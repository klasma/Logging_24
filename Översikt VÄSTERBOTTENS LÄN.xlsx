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46075</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46075</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46075</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8927-2023</t>
        </is>
      </c>
      <c r="B5" s="1" t="n">
        <v>44972</v>
      </c>
      <c r="C5" s="1" t="n">
        <v>46075</v>
      </c>
      <c r="D5" t="inlineStr">
        <is>
          <t>VÄSTERBOTTENS LÄN</t>
        </is>
      </c>
      <c r="E5" t="inlineStr">
        <is>
          <t>VILHELMINA</t>
        </is>
      </c>
      <c r="F5" t="inlineStr">
        <is>
          <t>Allmännings- och besparingsskogar</t>
        </is>
      </c>
      <c r="G5" t="n">
        <v>1510.3</v>
      </c>
      <c r="H5" t="n">
        <v>7</v>
      </c>
      <c r="I5" t="n">
        <v>12</v>
      </c>
      <c r="J5" t="n">
        <v>26</v>
      </c>
      <c r="K5" t="n">
        <v>8</v>
      </c>
      <c r="L5" t="n">
        <v>0</v>
      </c>
      <c r="M5" t="n">
        <v>0</v>
      </c>
      <c r="N5" t="n">
        <v>0</v>
      </c>
      <c r="O5" t="n">
        <v>34</v>
      </c>
      <c r="P5" t="n">
        <v>8</v>
      </c>
      <c r="Q5" t="n">
        <v>46</v>
      </c>
      <c r="R5"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5">
        <f>HYPERLINK("https://klasma.github.io/Logging_2462/artfynd/A 8927-2023 artfynd.xlsx", "A 8927-2023")</f>
        <v/>
      </c>
      <c r="T5">
        <f>HYPERLINK("https://klasma.github.io/Logging_2462/kartor/A 8927-2023 karta.png", "A 8927-2023")</f>
        <v/>
      </c>
      <c r="V5">
        <f>HYPERLINK("https://klasma.github.io/Logging_2462/klagomål/A 8927-2023 FSC-klagomål.docx", "A 8927-2023")</f>
        <v/>
      </c>
      <c r="W5">
        <f>HYPERLINK("https://klasma.github.io/Logging_2462/klagomålsmail/A 8927-2023 FSC-klagomål mail.docx", "A 8927-2023")</f>
        <v/>
      </c>
      <c r="X5">
        <f>HYPERLINK("https://klasma.github.io/Logging_2462/tillsyn/A 8927-2023 tillsynsbegäran.docx", "A 8927-2023")</f>
        <v/>
      </c>
      <c r="Y5">
        <f>HYPERLINK("https://klasma.github.io/Logging_2462/tillsynsmail/A 8927-2023 tillsynsbegäran mail.docx", "A 8927-2023")</f>
        <v/>
      </c>
      <c r="Z5">
        <f>HYPERLINK("https://klasma.github.io/Logging_2462/fåglar/A 8927-2023 prioriterade fågelarter.docx", "A 8927-2023")</f>
        <v/>
      </c>
    </row>
    <row r="6" ht="15" customHeight="1">
      <c r="A6" t="inlineStr">
        <is>
          <t>A 50208-2023</t>
        </is>
      </c>
      <c r="B6" s="1" t="n">
        <v>45215</v>
      </c>
      <c r="C6" s="1" t="n">
        <v>46075</v>
      </c>
      <c r="D6" t="inlineStr">
        <is>
          <t>VÄSTERBOTTENS LÄN</t>
        </is>
      </c>
      <c r="E6" t="inlineStr">
        <is>
          <t>STORUMAN</t>
        </is>
      </c>
      <c r="G6" t="n">
        <v>138.4</v>
      </c>
      <c r="H6" t="n">
        <v>9</v>
      </c>
      <c r="I6" t="n">
        <v>17</v>
      </c>
      <c r="J6" t="n">
        <v>20</v>
      </c>
      <c r="K6" t="n">
        <v>6</v>
      </c>
      <c r="L6" t="n">
        <v>0</v>
      </c>
      <c r="M6" t="n">
        <v>0</v>
      </c>
      <c r="N6" t="n">
        <v>0</v>
      </c>
      <c r="O6" t="n">
        <v>26</v>
      </c>
      <c r="P6" t="n">
        <v>6</v>
      </c>
      <c r="Q6" t="n">
        <v>46</v>
      </c>
      <c r="R6"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36585-2025</t>
        </is>
      </c>
      <c r="B7" s="1" t="n">
        <v>45870</v>
      </c>
      <c r="C7" s="1" t="n">
        <v>46075</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30663-2025</t>
        </is>
      </c>
      <c r="B8" s="1" t="n">
        <v>45831</v>
      </c>
      <c r="C8" s="1" t="n">
        <v>46075</v>
      </c>
      <c r="D8" t="inlineStr">
        <is>
          <t>VÄSTERBOTTENS LÄN</t>
        </is>
      </c>
      <c r="E8" t="inlineStr">
        <is>
          <t>BJURHOLM</t>
        </is>
      </c>
      <c r="F8" t="inlineStr">
        <is>
          <t>Sveaskog</t>
        </is>
      </c>
      <c r="G8" t="n">
        <v>13.4</v>
      </c>
      <c r="H8" t="n">
        <v>7</v>
      </c>
      <c r="I8" t="n">
        <v>13</v>
      </c>
      <c r="J8" t="n">
        <v>20</v>
      </c>
      <c r="K8" t="n">
        <v>5</v>
      </c>
      <c r="L8" t="n">
        <v>0</v>
      </c>
      <c r="M8" t="n">
        <v>0</v>
      </c>
      <c r="N8" t="n">
        <v>0</v>
      </c>
      <c r="O8" t="n">
        <v>25</v>
      </c>
      <c r="P8" t="n">
        <v>5</v>
      </c>
      <c r="Q8" t="n">
        <v>41</v>
      </c>
      <c r="R8"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8">
        <f>HYPERLINK("https://klasma.github.io/Logging_2403/artfynd/A 30663-2025 artfynd.xlsx", "A 30663-2025")</f>
        <v/>
      </c>
      <c r="T8">
        <f>HYPERLINK("https://klasma.github.io/Logging_2403/kartor/A 30663-2025 karta.png", "A 30663-2025")</f>
        <v/>
      </c>
      <c r="U8">
        <f>HYPERLINK("https://klasma.github.io/Logging_2403/knärot/A 30663-2025 karta knärot.png", "A 30663-2025")</f>
        <v/>
      </c>
      <c r="V8">
        <f>HYPERLINK("https://klasma.github.io/Logging_2403/klagomål/A 30663-2025 FSC-klagomål.docx", "A 30663-2025")</f>
        <v/>
      </c>
      <c r="W8">
        <f>HYPERLINK("https://klasma.github.io/Logging_2403/klagomålsmail/A 30663-2025 FSC-klagomål mail.docx", "A 30663-2025")</f>
        <v/>
      </c>
      <c r="X8">
        <f>HYPERLINK("https://klasma.github.io/Logging_2403/tillsyn/A 30663-2025 tillsynsbegäran.docx", "A 30663-2025")</f>
        <v/>
      </c>
      <c r="Y8">
        <f>HYPERLINK("https://klasma.github.io/Logging_2403/tillsynsmail/A 30663-2025 tillsynsbegäran mail.docx", "A 30663-2025")</f>
        <v/>
      </c>
      <c r="Z8">
        <f>HYPERLINK("https://klasma.github.io/Logging_2403/fåglar/A 30663-2025 prioriterade fågelarter.docx", "A 30663-2025")</f>
        <v/>
      </c>
    </row>
    <row r="9" ht="15" customHeight="1">
      <c r="A9" t="inlineStr">
        <is>
          <t>A 30047-2025</t>
        </is>
      </c>
      <c r="B9" s="1" t="n">
        <v>45826</v>
      </c>
      <c r="C9" s="1" t="n">
        <v>46075</v>
      </c>
      <c r="D9" t="inlineStr">
        <is>
          <t>VÄSTERBOTTENS LÄN</t>
        </is>
      </c>
      <c r="E9" t="inlineStr">
        <is>
          <t>ÅSELE</t>
        </is>
      </c>
      <c r="G9" t="n">
        <v>34.5</v>
      </c>
      <c r="H9" t="n">
        <v>8</v>
      </c>
      <c r="I9" t="n">
        <v>12</v>
      </c>
      <c r="J9" t="n">
        <v>23</v>
      </c>
      <c r="K9" t="n">
        <v>1</v>
      </c>
      <c r="L9" t="n">
        <v>0</v>
      </c>
      <c r="M9" t="n">
        <v>0</v>
      </c>
      <c r="N9" t="n">
        <v>0</v>
      </c>
      <c r="O9" t="n">
        <v>24</v>
      </c>
      <c r="P9" t="n">
        <v>1</v>
      </c>
      <c r="Q9" t="n">
        <v>41</v>
      </c>
      <c r="R9"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9">
        <f>HYPERLINK("https://klasma.github.io/Logging_2463/artfynd/A 30047-2025 artfynd.xlsx", "A 30047-2025")</f>
        <v/>
      </c>
      <c r="T9">
        <f>HYPERLINK("https://klasma.github.io/Logging_2463/kartor/A 30047-2025 karta.png", "A 30047-2025")</f>
        <v/>
      </c>
      <c r="V9">
        <f>HYPERLINK("https://klasma.github.io/Logging_2463/klagomål/A 30047-2025 FSC-klagomål.docx", "A 30047-2025")</f>
        <v/>
      </c>
      <c r="W9">
        <f>HYPERLINK("https://klasma.github.io/Logging_2463/klagomålsmail/A 30047-2025 FSC-klagomål mail.docx", "A 30047-2025")</f>
        <v/>
      </c>
      <c r="X9">
        <f>HYPERLINK("https://klasma.github.io/Logging_2463/tillsyn/A 30047-2025 tillsynsbegäran.docx", "A 30047-2025")</f>
        <v/>
      </c>
      <c r="Y9">
        <f>HYPERLINK("https://klasma.github.io/Logging_2463/tillsynsmail/A 30047-2025 tillsynsbegäran mail.docx", "A 30047-2025")</f>
        <v/>
      </c>
      <c r="Z9">
        <f>HYPERLINK("https://klasma.github.io/Logging_2463/fåglar/A 30047-2025 prioriterade fågelarter.docx", "A 30047-2025")</f>
        <v/>
      </c>
    </row>
    <row r="10" ht="15" customHeight="1">
      <c r="A10" t="inlineStr">
        <is>
          <t>A 59455-2025</t>
        </is>
      </c>
      <c r="B10" s="1" t="n">
        <v>45989</v>
      </c>
      <c r="C10" s="1" t="n">
        <v>46075</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27059-2021</t>
        </is>
      </c>
      <c r="B11" s="1" t="n">
        <v>44350</v>
      </c>
      <c r="C11" s="1" t="n">
        <v>46075</v>
      </c>
      <c r="D11" t="inlineStr">
        <is>
          <t>VÄSTERBOTTENS LÄN</t>
        </is>
      </c>
      <c r="E11" t="inlineStr">
        <is>
          <t>VILHELMINA</t>
        </is>
      </c>
      <c r="F11" t="inlineStr">
        <is>
          <t>Allmännings- och besparingsskogar</t>
        </is>
      </c>
      <c r="G11" t="n">
        <v>301.6</v>
      </c>
      <c r="H11" t="n">
        <v>3</v>
      </c>
      <c r="I11" t="n">
        <v>13</v>
      </c>
      <c r="J11" t="n">
        <v>18</v>
      </c>
      <c r="K11" t="n">
        <v>5</v>
      </c>
      <c r="L11" t="n">
        <v>0</v>
      </c>
      <c r="M11" t="n">
        <v>0</v>
      </c>
      <c r="N11" t="n">
        <v>0</v>
      </c>
      <c r="O11" t="n">
        <v>23</v>
      </c>
      <c r="P11" t="n">
        <v>5</v>
      </c>
      <c r="Q11" t="n">
        <v>37</v>
      </c>
      <c r="R11"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1">
        <f>HYPERLINK("https://klasma.github.io/Logging_2462/artfynd/A 27059-2021 artfynd.xlsx", "A 27059-2021")</f>
        <v/>
      </c>
      <c r="T11">
        <f>HYPERLINK("https://klasma.github.io/Logging_2462/kartor/A 27059-2021 karta.png", "A 27059-2021")</f>
        <v/>
      </c>
      <c r="V11">
        <f>HYPERLINK("https://klasma.github.io/Logging_2462/klagomål/A 27059-2021 FSC-klagomål.docx", "A 27059-2021")</f>
        <v/>
      </c>
      <c r="W11">
        <f>HYPERLINK("https://klasma.github.io/Logging_2462/klagomålsmail/A 27059-2021 FSC-klagomål mail.docx", "A 27059-2021")</f>
        <v/>
      </c>
      <c r="X11">
        <f>HYPERLINK("https://klasma.github.io/Logging_2462/tillsyn/A 27059-2021 tillsynsbegäran.docx", "A 27059-2021")</f>
        <v/>
      </c>
      <c r="Y11">
        <f>HYPERLINK("https://klasma.github.io/Logging_2462/tillsynsmail/A 27059-2021 tillsynsbegäran mail.docx", "A 27059-2021")</f>
        <v/>
      </c>
      <c r="Z11">
        <f>HYPERLINK("https://klasma.github.io/Logging_2462/fåglar/A 27059-2021 prioriterade fågelarter.docx", "A 27059-2021")</f>
        <v/>
      </c>
    </row>
    <row r="12" ht="15" customHeight="1">
      <c r="A12" t="inlineStr">
        <is>
          <t>A 60433-2021</t>
        </is>
      </c>
      <c r="B12" s="1" t="n">
        <v>44494</v>
      </c>
      <c r="C12" s="1" t="n">
        <v>46075</v>
      </c>
      <c r="D12" t="inlineStr">
        <is>
          <t>VÄSTERBOTTENS LÄN</t>
        </is>
      </c>
      <c r="E12" t="inlineStr">
        <is>
          <t>VILHELMINA</t>
        </is>
      </c>
      <c r="G12" t="n">
        <v>52.3</v>
      </c>
      <c r="H12" t="n">
        <v>4</v>
      </c>
      <c r="I12" t="n">
        <v>11</v>
      </c>
      <c r="J12" t="n">
        <v>17</v>
      </c>
      <c r="K12" t="n">
        <v>6</v>
      </c>
      <c r="L12" t="n">
        <v>0</v>
      </c>
      <c r="M12" t="n">
        <v>0</v>
      </c>
      <c r="N12" t="n">
        <v>0</v>
      </c>
      <c r="O12" t="n">
        <v>23</v>
      </c>
      <c r="P12" t="n">
        <v>6</v>
      </c>
      <c r="Q12" t="n">
        <v>36</v>
      </c>
      <c r="R12"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2">
        <f>HYPERLINK("https://klasma.github.io/Logging_2462/artfynd/A 60433-2021 artfynd.xlsx", "A 60433-2021")</f>
        <v/>
      </c>
      <c r="T12">
        <f>HYPERLINK("https://klasma.github.io/Logging_2462/kartor/A 60433-2021 karta.png", "A 60433-2021")</f>
        <v/>
      </c>
      <c r="V12">
        <f>HYPERLINK("https://klasma.github.io/Logging_2462/klagomål/A 60433-2021 FSC-klagomål.docx", "A 60433-2021")</f>
        <v/>
      </c>
      <c r="W12">
        <f>HYPERLINK("https://klasma.github.io/Logging_2462/klagomålsmail/A 60433-2021 FSC-klagomål mail.docx", "A 60433-2021")</f>
        <v/>
      </c>
      <c r="X12">
        <f>HYPERLINK("https://klasma.github.io/Logging_2462/tillsyn/A 60433-2021 tillsynsbegäran.docx", "A 60433-2021")</f>
        <v/>
      </c>
      <c r="Y12">
        <f>HYPERLINK("https://klasma.github.io/Logging_2462/tillsynsmail/A 60433-2021 tillsynsbegäran mail.docx", "A 60433-2021")</f>
        <v/>
      </c>
      <c r="Z12">
        <f>HYPERLINK("https://klasma.github.io/Logging_2462/fåglar/A 60433-2021 prioriterade fågelarter.docx", "A 60433-2021")</f>
        <v/>
      </c>
    </row>
    <row r="13" ht="15" customHeight="1">
      <c r="A13" t="inlineStr">
        <is>
          <t>A 17199-2024</t>
        </is>
      </c>
      <c r="B13" s="1" t="n">
        <v>45413</v>
      </c>
      <c r="C13" s="1" t="n">
        <v>46075</v>
      </c>
      <c r="D13" t="inlineStr">
        <is>
          <t>VÄSTERBOTTENS LÄN</t>
        </is>
      </c>
      <c r="E13" t="inlineStr">
        <is>
          <t>STORUMAN</t>
        </is>
      </c>
      <c r="G13" t="n">
        <v>27.9</v>
      </c>
      <c r="H13" t="n">
        <v>10</v>
      </c>
      <c r="I13" t="n">
        <v>11</v>
      </c>
      <c r="J13" t="n">
        <v>14</v>
      </c>
      <c r="K13" t="n">
        <v>4</v>
      </c>
      <c r="L13" t="n">
        <v>0</v>
      </c>
      <c r="M13" t="n">
        <v>0</v>
      </c>
      <c r="N13" t="n">
        <v>0</v>
      </c>
      <c r="O13" t="n">
        <v>18</v>
      </c>
      <c r="P13" t="n">
        <v>4</v>
      </c>
      <c r="Q13" t="n">
        <v>32</v>
      </c>
      <c r="R1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3">
        <f>HYPERLINK("https://klasma.github.io/Logging_2421/artfynd/A 17199-2024 artfynd.xlsx", "A 17199-2024")</f>
        <v/>
      </c>
      <c r="T13">
        <f>HYPERLINK("https://klasma.github.io/Logging_2421/kartor/A 17199-2024 karta.png", "A 17199-2024")</f>
        <v/>
      </c>
      <c r="U13">
        <f>HYPERLINK("https://klasma.github.io/Logging_2421/knärot/A 17199-2024 karta knärot.png", "A 17199-2024")</f>
        <v/>
      </c>
      <c r="V13">
        <f>HYPERLINK("https://klasma.github.io/Logging_2421/klagomål/A 17199-2024 FSC-klagomål.docx", "A 17199-2024")</f>
        <v/>
      </c>
      <c r="W13">
        <f>HYPERLINK("https://klasma.github.io/Logging_2421/klagomålsmail/A 17199-2024 FSC-klagomål mail.docx", "A 17199-2024")</f>
        <v/>
      </c>
      <c r="X13">
        <f>HYPERLINK("https://klasma.github.io/Logging_2421/tillsyn/A 17199-2024 tillsynsbegäran.docx", "A 17199-2024")</f>
        <v/>
      </c>
      <c r="Y13">
        <f>HYPERLINK("https://klasma.github.io/Logging_2421/tillsynsmail/A 17199-2024 tillsynsbegäran mail.docx", "A 17199-2024")</f>
        <v/>
      </c>
      <c r="Z13">
        <f>HYPERLINK("https://klasma.github.io/Logging_2421/fåglar/A 17199-2024 prioriterade fågelarter.docx", "A 17199-2024")</f>
        <v/>
      </c>
    </row>
    <row r="14" ht="15" customHeight="1">
      <c r="A14" t="inlineStr">
        <is>
          <t>A 28996-2024</t>
        </is>
      </c>
      <c r="B14" s="1" t="n">
        <v>45481.50050925926</v>
      </c>
      <c r="C14" s="1" t="n">
        <v>46075</v>
      </c>
      <c r="D14" t="inlineStr">
        <is>
          <t>VÄSTERBOTTENS LÄN</t>
        </is>
      </c>
      <c r="E14" t="inlineStr">
        <is>
          <t>ÅSELE</t>
        </is>
      </c>
      <c r="F14" t="inlineStr">
        <is>
          <t>Sveaskog</t>
        </is>
      </c>
      <c r="G14" t="n">
        <v>15.6</v>
      </c>
      <c r="H14" t="n">
        <v>6</v>
      </c>
      <c r="I14" t="n">
        <v>9</v>
      </c>
      <c r="J14" t="n">
        <v>18</v>
      </c>
      <c r="K14" t="n">
        <v>3</v>
      </c>
      <c r="L14" t="n">
        <v>0</v>
      </c>
      <c r="M14" t="n">
        <v>0</v>
      </c>
      <c r="N14" t="n">
        <v>0</v>
      </c>
      <c r="O14" t="n">
        <v>21</v>
      </c>
      <c r="P14" t="n">
        <v>3</v>
      </c>
      <c r="Q14" t="n">
        <v>32</v>
      </c>
      <c r="R14"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4">
        <f>HYPERLINK("https://klasma.github.io/Logging_2463/artfynd/A 28996-2024 artfynd.xlsx", "A 28996-2024")</f>
        <v/>
      </c>
      <c r="T14">
        <f>HYPERLINK("https://klasma.github.io/Logging_2463/kartor/A 28996-2024 karta.png", "A 28996-2024")</f>
        <v/>
      </c>
      <c r="U14">
        <f>HYPERLINK("https://klasma.github.io/Logging_2463/knärot/A 28996-2024 karta knärot.png", "A 28996-2024")</f>
        <v/>
      </c>
      <c r="V14">
        <f>HYPERLINK("https://klasma.github.io/Logging_2463/klagomål/A 28996-2024 FSC-klagomål.docx", "A 28996-2024")</f>
        <v/>
      </c>
      <c r="W14">
        <f>HYPERLINK("https://klasma.github.io/Logging_2463/klagomålsmail/A 28996-2024 FSC-klagomål mail.docx", "A 28996-2024")</f>
        <v/>
      </c>
      <c r="X14">
        <f>HYPERLINK("https://klasma.github.io/Logging_2463/tillsyn/A 28996-2024 tillsynsbegäran.docx", "A 28996-2024")</f>
        <v/>
      </c>
      <c r="Y14">
        <f>HYPERLINK("https://klasma.github.io/Logging_2463/tillsynsmail/A 28996-2024 tillsynsbegäran mail.docx", "A 28996-2024")</f>
        <v/>
      </c>
      <c r="Z14">
        <f>HYPERLINK("https://klasma.github.io/Logging_2463/fåglar/A 28996-2024 prioriterade fågelarter.docx", "A 28996-2024")</f>
        <v/>
      </c>
    </row>
    <row r="15" ht="15" customHeight="1">
      <c r="A15" t="inlineStr">
        <is>
          <t>A 39272-2021</t>
        </is>
      </c>
      <c r="B15" s="1" t="n">
        <v>44412</v>
      </c>
      <c r="C15" s="1" t="n">
        <v>46075</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58919-2024</t>
        </is>
      </c>
      <c r="B16" s="1" t="n">
        <v>45636</v>
      </c>
      <c r="C16" s="1" t="n">
        <v>46075</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33030-2025</t>
        </is>
      </c>
      <c r="B17" s="1" t="n">
        <v>45840</v>
      </c>
      <c r="C17" s="1" t="n">
        <v>46075</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19688-2021</t>
        </is>
      </c>
      <c r="B18" s="1" t="n">
        <v>44312</v>
      </c>
      <c r="C18" s="1" t="n">
        <v>46075</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40713-2024</t>
        </is>
      </c>
      <c r="B19" s="1" t="n">
        <v>45558</v>
      </c>
      <c r="C19" s="1" t="n">
        <v>46075</v>
      </c>
      <c r="D19" t="inlineStr">
        <is>
          <t>VÄSTERBOTTENS LÄN</t>
        </is>
      </c>
      <c r="E19" t="inlineStr">
        <is>
          <t>VILHELMINA</t>
        </is>
      </c>
      <c r="F19" t="inlineStr">
        <is>
          <t>Allmännings- och besparingsskogar</t>
        </is>
      </c>
      <c r="G19" t="n">
        <v>45.2</v>
      </c>
      <c r="H19" t="n">
        <v>3</v>
      </c>
      <c r="I19" t="n">
        <v>10</v>
      </c>
      <c r="J19" t="n">
        <v>15</v>
      </c>
      <c r="K19" t="n">
        <v>5</v>
      </c>
      <c r="L19" t="n">
        <v>0</v>
      </c>
      <c r="M19" t="n">
        <v>0</v>
      </c>
      <c r="N19" t="n">
        <v>0</v>
      </c>
      <c r="O19" t="n">
        <v>20</v>
      </c>
      <c r="P19" t="n">
        <v>5</v>
      </c>
      <c r="Q19" t="n">
        <v>30</v>
      </c>
      <c r="R1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9">
        <f>HYPERLINK("https://klasma.github.io/Logging_2462/artfynd/A 40713-2024 artfynd.xlsx", "A 40713-2024")</f>
        <v/>
      </c>
      <c r="T19">
        <f>HYPERLINK("https://klasma.github.io/Logging_2462/kartor/A 40713-2024 karta.png", "A 40713-2024")</f>
        <v/>
      </c>
      <c r="V19">
        <f>HYPERLINK("https://klasma.github.io/Logging_2462/klagomål/A 40713-2024 FSC-klagomål.docx", "A 40713-2024")</f>
        <v/>
      </c>
      <c r="W19">
        <f>HYPERLINK("https://klasma.github.io/Logging_2462/klagomålsmail/A 40713-2024 FSC-klagomål mail.docx", "A 40713-2024")</f>
        <v/>
      </c>
      <c r="X19">
        <f>HYPERLINK("https://klasma.github.io/Logging_2462/tillsyn/A 40713-2024 tillsynsbegäran.docx", "A 40713-2024")</f>
        <v/>
      </c>
      <c r="Y19">
        <f>HYPERLINK("https://klasma.github.io/Logging_2462/tillsynsmail/A 40713-2024 tillsynsbegäran mail.docx", "A 40713-2024")</f>
        <v/>
      </c>
      <c r="Z19">
        <f>HYPERLINK("https://klasma.github.io/Logging_2462/fåglar/A 40713-2024 prioriterade fågelarter.docx", "A 40713-2024")</f>
        <v/>
      </c>
    </row>
    <row r="20" ht="15" customHeight="1">
      <c r="A20" t="inlineStr">
        <is>
          <t>A 13322-2022</t>
        </is>
      </c>
      <c r="B20" s="1" t="n">
        <v>44644</v>
      </c>
      <c r="C20" s="1" t="n">
        <v>46075</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19470-2022</t>
        </is>
      </c>
      <c r="B21" s="1" t="n">
        <v>44693</v>
      </c>
      <c r="C21" s="1" t="n">
        <v>46075</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9166-2023</t>
        </is>
      </c>
      <c r="B22" s="1" t="n">
        <v>44972</v>
      </c>
      <c r="C22" s="1" t="n">
        <v>46075</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59481-2025</t>
        </is>
      </c>
      <c r="B23" s="1" t="n">
        <v>45989</v>
      </c>
      <c r="C23" s="1" t="n">
        <v>46075</v>
      </c>
      <c r="D23" t="inlineStr">
        <is>
          <t>VÄSTERBOTTENS LÄN</t>
        </is>
      </c>
      <c r="E23" t="inlineStr">
        <is>
          <t>VILHELMINA</t>
        </is>
      </c>
      <c r="F23" t="inlineStr">
        <is>
          <t>Allmännings- och besparingsskogar</t>
        </is>
      </c>
      <c r="G23" t="n">
        <v>33.1</v>
      </c>
      <c r="H23" t="n">
        <v>3</v>
      </c>
      <c r="I23" t="n">
        <v>5</v>
      </c>
      <c r="J23" t="n">
        <v>21</v>
      </c>
      <c r="K23" t="n">
        <v>1</v>
      </c>
      <c r="L23" t="n">
        <v>0</v>
      </c>
      <c r="M23" t="n">
        <v>0</v>
      </c>
      <c r="N23" t="n">
        <v>0</v>
      </c>
      <c r="O23" t="n">
        <v>22</v>
      </c>
      <c r="P23" t="n">
        <v>1</v>
      </c>
      <c r="Q23" t="n">
        <v>28</v>
      </c>
      <c r="R2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3">
        <f>HYPERLINK("https://klasma.github.io/Logging_2462/artfynd/A 59481-2025 artfynd.xlsx", "A 59481-2025")</f>
        <v/>
      </c>
      <c r="T23">
        <f>HYPERLINK("https://klasma.github.io/Logging_2462/kartor/A 59481-2025 karta.png", "A 59481-2025")</f>
        <v/>
      </c>
      <c r="V23">
        <f>HYPERLINK("https://klasma.github.io/Logging_2462/klagomål/A 59481-2025 FSC-klagomål.docx", "A 59481-2025")</f>
        <v/>
      </c>
      <c r="W23">
        <f>HYPERLINK("https://klasma.github.io/Logging_2462/klagomålsmail/A 59481-2025 FSC-klagomål mail.docx", "A 59481-2025")</f>
        <v/>
      </c>
      <c r="X23">
        <f>HYPERLINK("https://klasma.github.io/Logging_2462/tillsyn/A 59481-2025 tillsynsbegäran.docx", "A 59481-2025")</f>
        <v/>
      </c>
      <c r="Y23">
        <f>HYPERLINK("https://klasma.github.io/Logging_2462/tillsynsmail/A 59481-2025 tillsynsbegäran mail.docx", "A 59481-2025")</f>
        <v/>
      </c>
      <c r="Z23">
        <f>HYPERLINK("https://klasma.github.io/Logging_2462/fåglar/A 59481-2025 prioriterade fågelarter.docx", "A 59481-2025")</f>
        <v/>
      </c>
    </row>
    <row r="24" ht="15" customHeight="1">
      <c r="A24" t="inlineStr">
        <is>
          <t>A 45751-2022</t>
        </is>
      </c>
      <c r="B24" s="1" t="n">
        <v>44838</v>
      </c>
      <c r="C24" s="1" t="n">
        <v>46075</v>
      </c>
      <c r="D24" t="inlineStr">
        <is>
          <t>VÄSTERBOTTENS LÄN</t>
        </is>
      </c>
      <c r="E24" t="inlineStr">
        <is>
          <t>VILHELMINA</t>
        </is>
      </c>
      <c r="F24" t="inlineStr">
        <is>
          <t>Allmännings- och besparingsskogar</t>
        </is>
      </c>
      <c r="G24" t="n">
        <v>20.1</v>
      </c>
      <c r="H24" t="n">
        <v>3</v>
      </c>
      <c r="I24" t="n">
        <v>6</v>
      </c>
      <c r="J24" t="n">
        <v>16</v>
      </c>
      <c r="K24" t="n">
        <v>6</v>
      </c>
      <c r="L24" t="n">
        <v>0</v>
      </c>
      <c r="M24" t="n">
        <v>0</v>
      </c>
      <c r="N24" t="n">
        <v>0</v>
      </c>
      <c r="O24" t="n">
        <v>22</v>
      </c>
      <c r="P24" t="n">
        <v>6</v>
      </c>
      <c r="Q24" t="n">
        <v>28</v>
      </c>
      <c r="R2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4">
        <f>HYPERLINK("https://klasma.github.io/Logging_2462/artfynd/A 45751-2022 artfynd.xlsx", "A 45751-2022")</f>
        <v/>
      </c>
      <c r="T24">
        <f>HYPERLINK("https://klasma.github.io/Logging_2462/kartor/A 45751-2022 karta.png", "A 45751-2022")</f>
        <v/>
      </c>
      <c r="V24">
        <f>HYPERLINK("https://klasma.github.io/Logging_2462/klagomål/A 45751-2022 FSC-klagomål.docx", "A 45751-2022")</f>
        <v/>
      </c>
      <c r="W24">
        <f>HYPERLINK("https://klasma.github.io/Logging_2462/klagomålsmail/A 45751-2022 FSC-klagomål mail.docx", "A 45751-2022")</f>
        <v/>
      </c>
      <c r="X24">
        <f>HYPERLINK("https://klasma.github.io/Logging_2462/tillsyn/A 45751-2022 tillsynsbegäran.docx", "A 45751-2022")</f>
        <v/>
      </c>
      <c r="Y24">
        <f>HYPERLINK("https://klasma.github.io/Logging_2462/tillsynsmail/A 45751-2022 tillsynsbegäran mail.docx", "A 45751-2022")</f>
        <v/>
      </c>
      <c r="Z24">
        <f>HYPERLINK("https://klasma.github.io/Logging_2462/fåglar/A 45751-2022 prioriterade fågelarter.docx", "A 45751-2022")</f>
        <v/>
      </c>
    </row>
    <row r="25" ht="15" customHeight="1">
      <c r="A25" t="inlineStr">
        <is>
          <t>A 24114-2021</t>
        </is>
      </c>
      <c r="B25" s="1" t="n">
        <v>44336</v>
      </c>
      <c r="C25" s="1" t="n">
        <v>46075</v>
      </c>
      <c r="D25" t="inlineStr">
        <is>
          <t>VÄSTERBOTTENS LÄN</t>
        </is>
      </c>
      <c r="E25" t="inlineStr">
        <is>
          <t>BJURHOLM</t>
        </is>
      </c>
      <c r="F25" t="inlineStr">
        <is>
          <t>Kyrkan</t>
        </is>
      </c>
      <c r="G25" t="n">
        <v>22</v>
      </c>
      <c r="H25" t="n">
        <v>8</v>
      </c>
      <c r="I25" t="n">
        <v>10</v>
      </c>
      <c r="J25" t="n">
        <v>12</v>
      </c>
      <c r="K25" t="n">
        <v>4</v>
      </c>
      <c r="L25" t="n">
        <v>0</v>
      </c>
      <c r="M25" t="n">
        <v>0</v>
      </c>
      <c r="N25" t="n">
        <v>0</v>
      </c>
      <c r="O25" t="n">
        <v>16</v>
      </c>
      <c r="P25" t="n">
        <v>4</v>
      </c>
      <c r="Q25" t="n">
        <v>28</v>
      </c>
      <c r="R2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5">
        <f>HYPERLINK("https://klasma.github.io/Logging_2403/artfynd/A 24114-2021 artfynd.xlsx", "A 24114-2021")</f>
        <v/>
      </c>
      <c r="T25">
        <f>HYPERLINK("https://klasma.github.io/Logging_2403/kartor/A 24114-2021 karta.png", "A 24114-2021")</f>
        <v/>
      </c>
      <c r="U25">
        <f>HYPERLINK("https://klasma.github.io/Logging_2403/knärot/A 24114-2021 karta knärot.png", "A 24114-2021")</f>
        <v/>
      </c>
      <c r="V25">
        <f>HYPERLINK("https://klasma.github.io/Logging_2403/klagomål/A 24114-2021 FSC-klagomål.docx", "A 24114-2021")</f>
        <v/>
      </c>
      <c r="W25">
        <f>HYPERLINK("https://klasma.github.io/Logging_2403/klagomålsmail/A 24114-2021 FSC-klagomål mail.docx", "A 24114-2021")</f>
        <v/>
      </c>
      <c r="X25">
        <f>HYPERLINK("https://klasma.github.io/Logging_2403/tillsyn/A 24114-2021 tillsynsbegäran.docx", "A 24114-2021")</f>
        <v/>
      </c>
      <c r="Y25">
        <f>HYPERLINK("https://klasma.github.io/Logging_2403/tillsynsmail/A 24114-2021 tillsynsbegäran mail.docx", "A 24114-2021")</f>
        <v/>
      </c>
      <c r="Z25">
        <f>HYPERLINK("https://klasma.github.io/Logging_2403/fåglar/A 24114-2021 prioriterade fågelarter.docx", "A 24114-2021")</f>
        <v/>
      </c>
    </row>
    <row r="26" ht="15" customHeight="1">
      <c r="A26" t="inlineStr">
        <is>
          <t>A 38542-2025</t>
        </is>
      </c>
      <c r="B26" s="1" t="n">
        <v>45884.42804398148</v>
      </c>
      <c r="C26" s="1" t="n">
        <v>46075</v>
      </c>
      <c r="D26" t="inlineStr">
        <is>
          <t>VÄSTERBOTTENS LÄN</t>
        </is>
      </c>
      <c r="E26" t="inlineStr">
        <is>
          <t>BJURHOLM</t>
        </is>
      </c>
      <c r="F26" t="inlineStr">
        <is>
          <t>SCA</t>
        </is>
      </c>
      <c r="G26" t="n">
        <v>30</v>
      </c>
      <c r="H26" t="n">
        <v>9</v>
      </c>
      <c r="I26" t="n">
        <v>6</v>
      </c>
      <c r="J26" t="n">
        <v>14</v>
      </c>
      <c r="K26" t="n">
        <v>2</v>
      </c>
      <c r="L26" t="n">
        <v>0</v>
      </c>
      <c r="M26" t="n">
        <v>0</v>
      </c>
      <c r="N26" t="n">
        <v>0</v>
      </c>
      <c r="O26" t="n">
        <v>16</v>
      </c>
      <c r="P26" t="n">
        <v>2</v>
      </c>
      <c r="Q26" t="n">
        <v>27</v>
      </c>
      <c r="R26"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6">
        <f>HYPERLINK("https://klasma.github.io/Logging_2403/artfynd/A 38542-2025 artfynd.xlsx", "A 38542-2025")</f>
        <v/>
      </c>
      <c r="T26">
        <f>HYPERLINK("https://klasma.github.io/Logging_2403/kartor/A 38542-2025 karta.png", "A 38542-2025")</f>
        <v/>
      </c>
      <c r="U26">
        <f>HYPERLINK("https://klasma.github.io/Logging_2403/knärot/A 38542-2025 karta knärot.png", "A 38542-2025")</f>
        <v/>
      </c>
      <c r="V26">
        <f>HYPERLINK("https://klasma.github.io/Logging_2403/klagomål/A 38542-2025 FSC-klagomål.docx", "A 38542-2025")</f>
        <v/>
      </c>
      <c r="W26">
        <f>HYPERLINK("https://klasma.github.io/Logging_2403/klagomålsmail/A 38542-2025 FSC-klagomål mail.docx", "A 38542-2025")</f>
        <v/>
      </c>
      <c r="X26">
        <f>HYPERLINK("https://klasma.github.io/Logging_2403/tillsyn/A 38542-2025 tillsynsbegäran.docx", "A 38542-2025")</f>
        <v/>
      </c>
      <c r="Y26">
        <f>HYPERLINK("https://klasma.github.io/Logging_2403/tillsynsmail/A 38542-2025 tillsynsbegäran mail.docx", "A 38542-2025")</f>
        <v/>
      </c>
      <c r="Z26">
        <f>HYPERLINK("https://klasma.github.io/Logging_2403/fåglar/A 38542-2025 prioriterade fågelarter.docx", "A 38542-2025")</f>
        <v/>
      </c>
    </row>
    <row r="27" ht="15" customHeight="1">
      <c r="A27" t="inlineStr">
        <is>
          <t>A 51086-2025</t>
        </is>
      </c>
      <c r="B27" s="1" t="n">
        <v>45947.46935185185</v>
      </c>
      <c r="C27" s="1" t="n">
        <v>46075</v>
      </c>
      <c r="D27" t="inlineStr">
        <is>
          <t>VÄSTERBOTTENS LÄN</t>
        </is>
      </c>
      <c r="E27" t="inlineStr">
        <is>
          <t>VILHELMINA</t>
        </is>
      </c>
      <c r="F27" t="inlineStr">
        <is>
          <t>SCA</t>
        </is>
      </c>
      <c r="G27" t="n">
        <v>13.6</v>
      </c>
      <c r="H27" t="n">
        <v>6</v>
      </c>
      <c r="I27" t="n">
        <v>7</v>
      </c>
      <c r="J27" t="n">
        <v>17</v>
      </c>
      <c r="K27" t="n">
        <v>1</v>
      </c>
      <c r="L27" t="n">
        <v>0</v>
      </c>
      <c r="M27" t="n">
        <v>0</v>
      </c>
      <c r="N27" t="n">
        <v>0</v>
      </c>
      <c r="O27" t="n">
        <v>18</v>
      </c>
      <c r="P27" t="n">
        <v>1</v>
      </c>
      <c r="Q27" t="n">
        <v>26</v>
      </c>
      <c r="R27"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7">
        <f>HYPERLINK("https://klasma.github.io/Logging_2462/artfynd/A 51086-2025 artfynd.xlsx", "A 51086-2025")</f>
        <v/>
      </c>
      <c r="T27">
        <f>HYPERLINK("https://klasma.github.io/Logging_2462/kartor/A 51086-2025 karta.png", "A 51086-2025")</f>
        <v/>
      </c>
      <c r="V27">
        <f>HYPERLINK("https://klasma.github.io/Logging_2462/klagomål/A 51086-2025 FSC-klagomål.docx", "A 51086-2025")</f>
        <v/>
      </c>
      <c r="W27">
        <f>HYPERLINK("https://klasma.github.io/Logging_2462/klagomålsmail/A 51086-2025 FSC-klagomål mail.docx", "A 51086-2025")</f>
        <v/>
      </c>
      <c r="X27">
        <f>HYPERLINK("https://klasma.github.io/Logging_2462/tillsyn/A 51086-2025 tillsynsbegäran.docx", "A 51086-2025")</f>
        <v/>
      </c>
      <c r="Y27">
        <f>HYPERLINK("https://klasma.github.io/Logging_2462/tillsynsmail/A 51086-2025 tillsynsbegäran mail.docx", "A 51086-2025")</f>
        <v/>
      </c>
      <c r="Z27">
        <f>HYPERLINK("https://klasma.github.io/Logging_2462/fåglar/A 51086-2025 prioriterade fågelarter.docx", "A 51086-2025")</f>
        <v/>
      </c>
    </row>
    <row r="28" ht="15" customHeight="1">
      <c r="A28" t="inlineStr">
        <is>
          <t>A 8219-2025</t>
        </is>
      </c>
      <c r="B28" s="1" t="n">
        <v>45707</v>
      </c>
      <c r="C28" s="1" t="n">
        <v>46075</v>
      </c>
      <c r="D28" t="inlineStr">
        <is>
          <t>VÄSTERBOTTENS LÄN</t>
        </is>
      </c>
      <c r="E28" t="inlineStr">
        <is>
          <t>SORSELE</t>
        </is>
      </c>
      <c r="G28" t="n">
        <v>68.09999999999999</v>
      </c>
      <c r="H28" t="n">
        <v>3</v>
      </c>
      <c r="I28" t="n">
        <v>6</v>
      </c>
      <c r="J28" t="n">
        <v>15</v>
      </c>
      <c r="K28" t="n">
        <v>4</v>
      </c>
      <c r="L28" t="n">
        <v>0</v>
      </c>
      <c r="M28" t="n">
        <v>0</v>
      </c>
      <c r="N28" t="n">
        <v>0</v>
      </c>
      <c r="O28" t="n">
        <v>19</v>
      </c>
      <c r="P28" t="n">
        <v>4</v>
      </c>
      <c r="Q28" t="n">
        <v>26</v>
      </c>
      <c r="R28"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8">
        <f>HYPERLINK("https://klasma.github.io/Logging_2422/artfynd/A 8219-2025 artfynd.xlsx", "A 8219-2025")</f>
        <v/>
      </c>
      <c r="T28">
        <f>HYPERLINK("https://klasma.github.io/Logging_2422/kartor/A 8219-2025 karta.png", "A 8219-2025")</f>
        <v/>
      </c>
      <c r="V28">
        <f>HYPERLINK("https://klasma.github.io/Logging_2422/klagomål/A 8219-2025 FSC-klagomål.docx", "A 8219-2025")</f>
        <v/>
      </c>
      <c r="W28">
        <f>HYPERLINK("https://klasma.github.io/Logging_2422/klagomålsmail/A 8219-2025 FSC-klagomål mail.docx", "A 8219-2025")</f>
        <v/>
      </c>
      <c r="X28">
        <f>HYPERLINK("https://klasma.github.io/Logging_2422/tillsyn/A 8219-2025 tillsynsbegäran.docx", "A 8219-2025")</f>
        <v/>
      </c>
      <c r="Y28">
        <f>HYPERLINK("https://klasma.github.io/Logging_2422/tillsynsmail/A 8219-2025 tillsynsbegäran mail.docx", "A 8219-2025")</f>
        <v/>
      </c>
      <c r="Z28">
        <f>HYPERLINK("https://klasma.github.io/Logging_2422/fåglar/A 8219-2025 prioriterade fågelarter.docx", "A 8219-2025")</f>
        <v/>
      </c>
    </row>
    <row r="29" ht="15" customHeight="1">
      <c r="A29" t="inlineStr">
        <is>
          <t>A 12427-2023</t>
        </is>
      </c>
      <c r="B29" s="1" t="n">
        <v>44995</v>
      </c>
      <c r="C29" s="1" t="n">
        <v>46075</v>
      </c>
      <c r="D29" t="inlineStr">
        <is>
          <t>VÄSTERBOTTENS LÄN</t>
        </is>
      </c>
      <c r="E29" t="inlineStr">
        <is>
          <t>STORUMAN</t>
        </is>
      </c>
      <c r="F29" t="inlineStr">
        <is>
          <t>Allmännings- och besparingsskogar</t>
        </is>
      </c>
      <c r="G29" t="n">
        <v>344.5</v>
      </c>
      <c r="H29" t="n">
        <v>5</v>
      </c>
      <c r="I29" t="n">
        <v>8</v>
      </c>
      <c r="J29" t="n">
        <v>13</v>
      </c>
      <c r="K29" t="n">
        <v>2</v>
      </c>
      <c r="L29" t="n">
        <v>0</v>
      </c>
      <c r="M29" t="n">
        <v>1</v>
      </c>
      <c r="N29" t="n">
        <v>0</v>
      </c>
      <c r="O29" t="n">
        <v>16</v>
      </c>
      <c r="P29" t="n">
        <v>3</v>
      </c>
      <c r="Q29" t="n">
        <v>26</v>
      </c>
      <c r="R29"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9">
        <f>HYPERLINK("https://klasma.github.io/Logging_2421/artfynd/A 12427-2023 artfynd.xlsx", "A 12427-2023")</f>
        <v/>
      </c>
      <c r="T29">
        <f>HYPERLINK("https://klasma.github.io/Logging_2421/kartor/A 12427-2023 karta.png", "A 12427-2023")</f>
        <v/>
      </c>
      <c r="V29">
        <f>HYPERLINK("https://klasma.github.io/Logging_2421/klagomål/A 12427-2023 FSC-klagomål.docx", "A 12427-2023")</f>
        <v/>
      </c>
      <c r="W29">
        <f>HYPERLINK("https://klasma.github.io/Logging_2421/klagomålsmail/A 12427-2023 FSC-klagomål mail.docx", "A 12427-2023")</f>
        <v/>
      </c>
      <c r="X29">
        <f>HYPERLINK("https://klasma.github.io/Logging_2421/tillsyn/A 12427-2023 tillsynsbegäran.docx", "A 12427-2023")</f>
        <v/>
      </c>
      <c r="Y29">
        <f>HYPERLINK("https://klasma.github.io/Logging_2421/tillsynsmail/A 12427-2023 tillsynsbegäran mail.docx", "A 12427-2023")</f>
        <v/>
      </c>
      <c r="Z29">
        <f>HYPERLINK("https://klasma.github.io/Logging_2421/fåglar/A 12427-2023 prioriterade fågelarter.docx", "A 12427-2023")</f>
        <v/>
      </c>
    </row>
    <row r="30" ht="15" customHeight="1">
      <c r="A30" t="inlineStr">
        <is>
          <t>A 45663-2024</t>
        </is>
      </c>
      <c r="B30" s="1" t="n">
        <v>45579</v>
      </c>
      <c r="C30" s="1" t="n">
        <v>46075</v>
      </c>
      <c r="D30" t="inlineStr">
        <is>
          <t>VÄSTERBOTTENS LÄN</t>
        </is>
      </c>
      <c r="E30" t="inlineStr">
        <is>
          <t>UMEÅ</t>
        </is>
      </c>
      <c r="F30" t="inlineStr">
        <is>
          <t>Kommuner</t>
        </is>
      </c>
      <c r="G30" t="n">
        <v>24.7</v>
      </c>
      <c r="H30" t="n">
        <v>5</v>
      </c>
      <c r="I30" t="n">
        <v>3</v>
      </c>
      <c r="J30" t="n">
        <v>11</v>
      </c>
      <c r="K30" t="n">
        <v>9</v>
      </c>
      <c r="L30" t="n">
        <v>0</v>
      </c>
      <c r="M30" t="n">
        <v>0</v>
      </c>
      <c r="N30" t="n">
        <v>0</v>
      </c>
      <c r="O30" t="n">
        <v>20</v>
      </c>
      <c r="P30" t="n">
        <v>9</v>
      </c>
      <c r="Q30" t="n">
        <v>26</v>
      </c>
      <c r="R30"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30">
        <f>HYPERLINK("https://klasma.github.io/Logging_2480/artfynd/A 45663-2024 artfynd.xlsx", "A 45663-2024")</f>
        <v/>
      </c>
      <c r="T30">
        <f>HYPERLINK("https://klasma.github.io/Logging_2480/kartor/A 45663-2024 karta.png", "A 45663-2024")</f>
        <v/>
      </c>
      <c r="V30">
        <f>HYPERLINK("https://klasma.github.io/Logging_2480/klagomål/A 45663-2024 FSC-klagomål.docx", "A 45663-2024")</f>
        <v/>
      </c>
      <c r="W30">
        <f>HYPERLINK("https://klasma.github.io/Logging_2480/klagomålsmail/A 45663-2024 FSC-klagomål mail.docx", "A 45663-2024")</f>
        <v/>
      </c>
      <c r="X30">
        <f>HYPERLINK("https://klasma.github.io/Logging_2480/tillsyn/A 45663-2024 tillsynsbegäran.docx", "A 45663-2024")</f>
        <v/>
      </c>
      <c r="Y30">
        <f>HYPERLINK("https://klasma.github.io/Logging_2480/tillsynsmail/A 45663-2024 tillsynsbegäran mail.docx", "A 45663-2024")</f>
        <v/>
      </c>
      <c r="Z30">
        <f>HYPERLINK("https://klasma.github.io/Logging_2480/fåglar/A 45663-2024 prioriterade fågelarter.docx", "A 45663-2024")</f>
        <v/>
      </c>
    </row>
    <row r="31" ht="15" customHeight="1">
      <c r="A31" t="inlineStr">
        <is>
          <t>A 59033-2024</t>
        </is>
      </c>
      <c r="B31" s="1" t="n">
        <v>45636</v>
      </c>
      <c r="C31" s="1" t="n">
        <v>46075</v>
      </c>
      <c r="D31" t="inlineStr">
        <is>
          <t>VÄSTERBOTTENS LÄN</t>
        </is>
      </c>
      <c r="E31" t="inlineStr">
        <is>
          <t>VILHELMINA</t>
        </is>
      </c>
      <c r="F31" t="inlineStr">
        <is>
          <t>Allmännings- och besparingsskogar</t>
        </is>
      </c>
      <c r="G31" t="n">
        <v>22</v>
      </c>
      <c r="H31" t="n">
        <v>3</v>
      </c>
      <c r="I31" t="n">
        <v>9</v>
      </c>
      <c r="J31" t="n">
        <v>13</v>
      </c>
      <c r="K31" t="n">
        <v>3</v>
      </c>
      <c r="L31" t="n">
        <v>0</v>
      </c>
      <c r="M31" t="n">
        <v>0</v>
      </c>
      <c r="N31" t="n">
        <v>0</v>
      </c>
      <c r="O31" t="n">
        <v>16</v>
      </c>
      <c r="P31" t="n">
        <v>3</v>
      </c>
      <c r="Q31" t="n">
        <v>25</v>
      </c>
      <c r="R3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1">
        <f>HYPERLINK("https://klasma.github.io/Logging_2462/artfynd/A 59033-2024 artfynd.xlsx", "A 59033-2024")</f>
        <v/>
      </c>
      <c r="T31">
        <f>HYPERLINK("https://klasma.github.io/Logging_2462/kartor/A 59033-2024 karta.png", "A 59033-2024")</f>
        <v/>
      </c>
      <c r="V31">
        <f>HYPERLINK("https://klasma.github.io/Logging_2462/klagomål/A 59033-2024 FSC-klagomål.docx", "A 59033-2024")</f>
        <v/>
      </c>
      <c r="W31">
        <f>HYPERLINK("https://klasma.github.io/Logging_2462/klagomålsmail/A 59033-2024 FSC-klagomål mail.docx", "A 59033-2024")</f>
        <v/>
      </c>
      <c r="X31">
        <f>HYPERLINK("https://klasma.github.io/Logging_2462/tillsyn/A 59033-2024 tillsynsbegäran.docx", "A 59033-2024")</f>
        <v/>
      </c>
      <c r="Y31">
        <f>HYPERLINK("https://klasma.github.io/Logging_2462/tillsynsmail/A 59033-2024 tillsynsbegäran mail.docx", "A 59033-2024")</f>
        <v/>
      </c>
      <c r="Z31">
        <f>HYPERLINK("https://klasma.github.io/Logging_2462/fåglar/A 59033-2024 prioriterade fågelarter.docx", "A 59033-2024")</f>
        <v/>
      </c>
    </row>
    <row r="32" ht="15" customHeight="1">
      <c r="A32" t="inlineStr">
        <is>
          <t>A 60375-2021</t>
        </is>
      </c>
      <c r="B32" s="1" t="n">
        <v>44494</v>
      </c>
      <c r="C32" s="1" t="n">
        <v>46075</v>
      </c>
      <c r="D32" t="inlineStr">
        <is>
          <t>VÄSTERBOTTENS LÄN</t>
        </is>
      </c>
      <c r="E32" t="inlineStr">
        <is>
          <t>VILHELMINA</t>
        </is>
      </c>
      <c r="G32" t="n">
        <v>115.1</v>
      </c>
      <c r="H32" t="n">
        <v>6</v>
      </c>
      <c r="I32" t="n">
        <v>4</v>
      </c>
      <c r="J32" t="n">
        <v>15</v>
      </c>
      <c r="K32" t="n">
        <v>3</v>
      </c>
      <c r="L32" t="n">
        <v>0</v>
      </c>
      <c r="M32" t="n">
        <v>0</v>
      </c>
      <c r="N32" t="n">
        <v>0</v>
      </c>
      <c r="O32" t="n">
        <v>18</v>
      </c>
      <c r="P32" t="n">
        <v>3</v>
      </c>
      <c r="Q32" t="n">
        <v>25</v>
      </c>
      <c r="R32"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2">
        <f>HYPERLINK("https://klasma.github.io/Logging_2462/artfynd/A 60375-2021 artfynd.xlsx", "A 60375-2021")</f>
        <v/>
      </c>
      <c r="T32">
        <f>HYPERLINK("https://klasma.github.io/Logging_2462/kartor/A 60375-2021 karta.png", "A 60375-2021")</f>
        <v/>
      </c>
      <c r="V32">
        <f>HYPERLINK("https://klasma.github.io/Logging_2462/klagomål/A 60375-2021 FSC-klagomål.docx", "A 60375-2021")</f>
        <v/>
      </c>
      <c r="W32">
        <f>HYPERLINK("https://klasma.github.io/Logging_2462/klagomålsmail/A 60375-2021 FSC-klagomål mail.docx", "A 60375-2021")</f>
        <v/>
      </c>
      <c r="X32">
        <f>HYPERLINK("https://klasma.github.io/Logging_2462/tillsyn/A 60375-2021 tillsynsbegäran.docx", "A 60375-2021")</f>
        <v/>
      </c>
      <c r="Y32">
        <f>HYPERLINK("https://klasma.github.io/Logging_2462/tillsynsmail/A 60375-2021 tillsynsbegäran mail.docx", "A 60375-2021")</f>
        <v/>
      </c>
      <c r="Z32">
        <f>HYPERLINK("https://klasma.github.io/Logging_2462/fåglar/A 60375-2021 prioriterade fågelarter.docx", "A 60375-2021")</f>
        <v/>
      </c>
    </row>
    <row r="33" ht="15" customHeight="1">
      <c r="A33" t="inlineStr">
        <is>
          <t>A 25995-2024</t>
        </is>
      </c>
      <c r="B33" s="1" t="n">
        <v>45467</v>
      </c>
      <c r="C33" s="1" t="n">
        <v>46075</v>
      </c>
      <c r="D33" t="inlineStr">
        <is>
          <t>VÄSTERBOTTENS LÄN</t>
        </is>
      </c>
      <c r="E33" t="inlineStr">
        <is>
          <t>BJURHOLM</t>
        </is>
      </c>
      <c r="F33" t="inlineStr">
        <is>
          <t>Holmen skog AB</t>
        </is>
      </c>
      <c r="G33" t="n">
        <v>15.9</v>
      </c>
      <c r="H33" t="n">
        <v>9</v>
      </c>
      <c r="I33" t="n">
        <v>7</v>
      </c>
      <c r="J33" t="n">
        <v>14</v>
      </c>
      <c r="K33" t="n">
        <v>1</v>
      </c>
      <c r="L33" t="n">
        <v>0</v>
      </c>
      <c r="M33" t="n">
        <v>0</v>
      </c>
      <c r="N33" t="n">
        <v>0</v>
      </c>
      <c r="O33" t="n">
        <v>15</v>
      </c>
      <c r="P33" t="n">
        <v>1</v>
      </c>
      <c r="Q33" t="n">
        <v>25</v>
      </c>
      <c r="R33"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3">
        <f>HYPERLINK("https://klasma.github.io/Logging_2403/artfynd/A 25995-2024 artfynd.xlsx", "A 25995-2024")</f>
        <v/>
      </c>
      <c r="T33">
        <f>HYPERLINK("https://klasma.github.io/Logging_2403/kartor/A 25995-2024 karta.png", "A 25995-2024")</f>
        <v/>
      </c>
      <c r="U33">
        <f>HYPERLINK("https://klasma.github.io/Logging_2403/knärot/A 25995-2024 karta knärot.png", "A 25995-2024")</f>
        <v/>
      </c>
      <c r="V33">
        <f>HYPERLINK("https://klasma.github.io/Logging_2403/klagomål/A 25995-2024 FSC-klagomål.docx", "A 25995-2024")</f>
        <v/>
      </c>
      <c r="W33">
        <f>HYPERLINK("https://klasma.github.io/Logging_2403/klagomålsmail/A 25995-2024 FSC-klagomål mail.docx", "A 25995-2024")</f>
        <v/>
      </c>
      <c r="X33">
        <f>HYPERLINK("https://klasma.github.io/Logging_2403/tillsyn/A 25995-2024 tillsynsbegäran.docx", "A 25995-2024")</f>
        <v/>
      </c>
      <c r="Y33">
        <f>HYPERLINK("https://klasma.github.io/Logging_2403/tillsynsmail/A 25995-2024 tillsynsbegäran mail.docx", "A 25995-2024")</f>
        <v/>
      </c>
      <c r="Z33">
        <f>HYPERLINK("https://klasma.github.io/Logging_2403/fåglar/A 25995-2024 prioriterade fågelarter.docx", "A 25995-2024")</f>
        <v/>
      </c>
    </row>
    <row r="34" ht="15" customHeight="1">
      <c r="A34" t="inlineStr">
        <is>
          <t>A 27113-2021</t>
        </is>
      </c>
      <c r="B34" s="1" t="n">
        <v>44350</v>
      </c>
      <c r="C34" s="1" t="n">
        <v>46075</v>
      </c>
      <c r="D34" t="inlineStr">
        <is>
          <t>VÄSTERBOTTENS LÄN</t>
        </is>
      </c>
      <c r="E34" t="inlineStr">
        <is>
          <t>VILHELMINA</t>
        </is>
      </c>
      <c r="F34" t="inlineStr">
        <is>
          <t>Allmännings- och besparingsskogar</t>
        </is>
      </c>
      <c r="G34" t="n">
        <v>251.8</v>
      </c>
      <c r="H34" t="n">
        <v>1</v>
      </c>
      <c r="I34" t="n">
        <v>10</v>
      </c>
      <c r="J34" t="n">
        <v>14</v>
      </c>
      <c r="K34" t="n">
        <v>1</v>
      </c>
      <c r="L34" t="n">
        <v>0</v>
      </c>
      <c r="M34" t="n">
        <v>0</v>
      </c>
      <c r="N34" t="n">
        <v>0</v>
      </c>
      <c r="O34" t="n">
        <v>15</v>
      </c>
      <c r="P34" t="n">
        <v>1</v>
      </c>
      <c r="Q34" t="n">
        <v>25</v>
      </c>
      <c r="R3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4">
        <f>HYPERLINK("https://klasma.github.io/Logging_2462/artfynd/A 27113-2021 artfynd.xlsx", "A 27113-2021")</f>
        <v/>
      </c>
      <c r="T34">
        <f>HYPERLINK("https://klasma.github.io/Logging_2462/kartor/A 27113-2021 karta.png", "A 27113-2021")</f>
        <v/>
      </c>
      <c r="V34">
        <f>HYPERLINK("https://klasma.github.io/Logging_2462/klagomål/A 27113-2021 FSC-klagomål.docx", "A 27113-2021")</f>
        <v/>
      </c>
      <c r="W34">
        <f>HYPERLINK("https://klasma.github.io/Logging_2462/klagomålsmail/A 27113-2021 FSC-klagomål mail.docx", "A 27113-2021")</f>
        <v/>
      </c>
      <c r="X34">
        <f>HYPERLINK("https://klasma.github.io/Logging_2462/tillsyn/A 27113-2021 tillsynsbegäran.docx", "A 27113-2021")</f>
        <v/>
      </c>
      <c r="Y34">
        <f>HYPERLINK("https://klasma.github.io/Logging_2462/tillsynsmail/A 27113-2021 tillsynsbegäran mail.docx", "A 27113-2021")</f>
        <v/>
      </c>
      <c r="Z34">
        <f>HYPERLINK("https://klasma.github.io/Logging_2462/fåglar/A 27113-2021 prioriterade fågelarter.docx", "A 27113-2021")</f>
        <v/>
      </c>
    </row>
    <row r="35" ht="15" customHeight="1">
      <c r="A35" t="inlineStr">
        <is>
          <t>A 56621-2024</t>
        </is>
      </c>
      <c r="B35" s="1" t="n">
        <v>45625</v>
      </c>
      <c r="C35" s="1" t="n">
        <v>46075</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25917-2023</t>
        </is>
      </c>
      <c r="B36" s="1" t="n">
        <v>45085</v>
      </c>
      <c r="C36" s="1" t="n">
        <v>46075</v>
      </c>
      <c r="D36" t="inlineStr">
        <is>
          <t>VÄSTERBOTTENS LÄN</t>
        </is>
      </c>
      <c r="E36" t="inlineStr">
        <is>
          <t>SORSELE</t>
        </is>
      </c>
      <c r="G36" t="n">
        <v>27.6</v>
      </c>
      <c r="H36" t="n">
        <v>2</v>
      </c>
      <c r="I36" t="n">
        <v>4</v>
      </c>
      <c r="J36" t="n">
        <v>16</v>
      </c>
      <c r="K36" t="n">
        <v>3</v>
      </c>
      <c r="L36" t="n">
        <v>0</v>
      </c>
      <c r="M36" t="n">
        <v>0</v>
      </c>
      <c r="N36" t="n">
        <v>0</v>
      </c>
      <c r="O36" t="n">
        <v>19</v>
      </c>
      <c r="P36" t="n">
        <v>3</v>
      </c>
      <c r="Q36" t="n">
        <v>23</v>
      </c>
      <c r="R36"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6">
        <f>HYPERLINK("https://klasma.github.io/Logging_2422/artfynd/A 25917-2023 artfynd.xlsx", "A 25917-2023")</f>
        <v/>
      </c>
      <c r="T36">
        <f>HYPERLINK("https://klasma.github.io/Logging_2422/kartor/A 25917-2023 karta.png", "A 25917-2023")</f>
        <v/>
      </c>
      <c r="V36">
        <f>HYPERLINK("https://klasma.github.io/Logging_2422/klagomål/A 25917-2023 FSC-klagomål.docx", "A 25917-2023")</f>
        <v/>
      </c>
      <c r="W36">
        <f>HYPERLINK("https://klasma.github.io/Logging_2422/klagomålsmail/A 25917-2023 FSC-klagomål mail.docx", "A 25917-2023")</f>
        <v/>
      </c>
      <c r="X36">
        <f>HYPERLINK("https://klasma.github.io/Logging_2422/tillsyn/A 25917-2023 tillsynsbegäran.docx", "A 25917-2023")</f>
        <v/>
      </c>
      <c r="Y36">
        <f>HYPERLINK("https://klasma.github.io/Logging_2422/tillsynsmail/A 25917-2023 tillsynsbegäran mail.docx", "A 25917-2023")</f>
        <v/>
      </c>
      <c r="Z36">
        <f>HYPERLINK("https://klasma.github.io/Logging_2422/fåglar/A 25917-2023 prioriterade fågelarter.docx", "A 25917-2023")</f>
        <v/>
      </c>
    </row>
    <row r="37" ht="15" customHeight="1">
      <c r="A37" t="inlineStr">
        <is>
          <t>A 38554-2024</t>
        </is>
      </c>
      <c r="B37" s="1" t="n">
        <v>45546</v>
      </c>
      <c r="C37" s="1" t="n">
        <v>46075</v>
      </c>
      <c r="D37" t="inlineStr">
        <is>
          <t>VÄSTERBOTTENS LÄN</t>
        </is>
      </c>
      <c r="E37" t="inlineStr">
        <is>
          <t>UMEÅ</t>
        </is>
      </c>
      <c r="F37" t="inlineStr">
        <is>
          <t>Kommuner</t>
        </is>
      </c>
      <c r="G37" t="n">
        <v>11.8</v>
      </c>
      <c r="H37" t="n">
        <v>2</v>
      </c>
      <c r="I37" t="n">
        <v>4</v>
      </c>
      <c r="J37" t="n">
        <v>14</v>
      </c>
      <c r="K37" t="n">
        <v>5</v>
      </c>
      <c r="L37" t="n">
        <v>0</v>
      </c>
      <c r="M37" t="n">
        <v>0</v>
      </c>
      <c r="N37" t="n">
        <v>0</v>
      </c>
      <c r="O37" t="n">
        <v>19</v>
      </c>
      <c r="P37" t="n">
        <v>5</v>
      </c>
      <c r="Q37" t="n">
        <v>23</v>
      </c>
      <c r="R37"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7">
        <f>HYPERLINK("https://klasma.github.io/Logging_2480/artfynd/A 38554-2024 artfynd.xlsx", "A 38554-2024")</f>
        <v/>
      </c>
      <c r="T37">
        <f>HYPERLINK("https://klasma.github.io/Logging_2480/kartor/A 38554-2024 karta.png", "A 38554-2024")</f>
        <v/>
      </c>
      <c r="V37">
        <f>HYPERLINK("https://klasma.github.io/Logging_2480/klagomål/A 38554-2024 FSC-klagomål.docx", "A 38554-2024")</f>
        <v/>
      </c>
      <c r="W37">
        <f>HYPERLINK("https://klasma.github.io/Logging_2480/klagomålsmail/A 38554-2024 FSC-klagomål mail.docx", "A 38554-2024")</f>
        <v/>
      </c>
      <c r="X37">
        <f>HYPERLINK("https://klasma.github.io/Logging_2480/tillsyn/A 38554-2024 tillsynsbegäran.docx", "A 38554-2024")</f>
        <v/>
      </c>
      <c r="Y37">
        <f>HYPERLINK("https://klasma.github.io/Logging_2480/tillsynsmail/A 38554-2024 tillsynsbegäran mail.docx", "A 38554-2024")</f>
        <v/>
      </c>
      <c r="Z37">
        <f>HYPERLINK("https://klasma.github.io/Logging_2480/fåglar/A 38554-2024 prioriterade fågelarter.docx", "A 38554-2024")</f>
        <v/>
      </c>
    </row>
    <row r="38" ht="15" customHeight="1">
      <c r="A38" t="inlineStr">
        <is>
          <t>A 56589-2024</t>
        </is>
      </c>
      <c r="B38" s="1" t="n">
        <v>45625</v>
      </c>
      <c r="C38" s="1" t="n">
        <v>46075</v>
      </c>
      <c r="D38" t="inlineStr">
        <is>
          <t>VÄSTERBOTTENS LÄN</t>
        </is>
      </c>
      <c r="E38" t="inlineStr">
        <is>
          <t>VILHELMINA</t>
        </is>
      </c>
      <c r="F38" t="inlineStr">
        <is>
          <t>Allmännings- och besparingsskogar</t>
        </is>
      </c>
      <c r="G38" t="n">
        <v>60.1</v>
      </c>
      <c r="H38" t="n">
        <v>1</v>
      </c>
      <c r="I38" t="n">
        <v>2</v>
      </c>
      <c r="J38" t="n">
        <v>17</v>
      </c>
      <c r="K38" t="n">
        <v>4</v>
      </c>
      <c r="L38" t="n">
        <v>0</v>
      </c>
      <c r="M38" t="n">
        <v>0</v>
      </c>
      <c r="N38" t="n">
        <v>0</v>
      </c>
      <c r="O38" t="n">
        <v>21</v>
      </c>
      <c r="P38" t="n">
        <v>4</v>
      </c>
      <c r="Q38" t="n">
        <v>23</v>
      </c>
      <c r="R3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8">
        <f>HYPERLINK("https://klasma.github.io/Logging_2462/artfynd/A 56589-2024 artfynd.xlsx", "A 56589-2024")</f>
        <v/>
      </c>
      <c r="T38">
        <f>HYPERLINK("https://klasma.github.io/Logging_2462/kartor/A 56589-2024 karta.png", "A 56589-2024")</f>
        <v/>
      </c>
      <c r="V38">
        <f>HYPERLINK("https://klasma.github.io/Logging_2462/klagomål/A 56589-2024 FSC-klagomål.docx", "A 56589-2024")</f>
        <v/>
      </c>
      <c r="W38">
        <f>HYPERLINK("https://klasma.github.io/Logging_2462/klagomålsmail/A 56589-2024 FSC-klagomål mail.docx", "A 56589-2024")</f>
        <v/>
      </c>
      <c r="X38">
        <f>HYPERLINK("https://klasma.github.io/Logging_2462/tillsyn/A 56589-2024 tillsynsbegäran.docx", "A 56589-2024")</f>
        <v/>
      </c>
      <c r="Y38">
        <f>HYPERLINK("https://klasma.github.io/Logging_2462/tillsynsmail/A 56589-2024 tillsynsbegäran mail.docx", "A 56589-2024")</f>
        <v/>
      </c>
      <c r="Z38">
        <f>HYPERLINK("https://klasma.github.io/Logging_2462/fåglar/A 56589-2024 prioriterade fågelarter.docx", "A 56589-2024")</f>
        <v/>
      </c>
    </row>
    <row r="39" ht="15" customHeight="1">
      <c r="A39" t="inlineStr">
        <is>
          <t>A 36958-2023</t>
        </is>
      </c>
      <c r="B39" s="1" t="n">
        <v>45154</v>
      </c>
      <c r="C39" s="1" t="n">
        <v>46075</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54734-2022</t>
        </is>
      </c>
      <c r="B40" s="1" t="n">
        <v>44881</v>
      </c>
      <c r="C40" s="1" t="n">
        <v>46075</v>
      </c>
      <c r="D40" t="inlineStr">
        <is>
          <t>VÄSTERBOTTENS LÄN</t>
        </is>
      </c>
      <c r="E40" t="inlineStr">
        <is>
          <t>VILHELMINA</t>
        </is>
      </c>
      <c r="G40" t="n">
        <v>19</v>
      </c>
      <c r="H40" t="n">
        <v>1</v>
      </c>
      <c r="I40" t="n">
        <v>7</v>
      </c>
      <c r="J40" t="n">
        <v>14</v>
      </c>
      <c r="K40" t="n">
        <v>1</v>
      </c>
      <c r="L40" t="n">
        <v>0</v>
      </c>
      <c r="M40" t="n">
        <v>0</v>
      </c>
      <c r="N40" t="n">
        <v>0</v>
      </c>
      <c r="O40" t="n">
        <v>15</v>
      </c>
      <c r="P40" t="n">
        <v>1</v>
      </c>
      <c r="Q40" t="n">
        <v>22</v>
      </c>
      <c r="R4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0">
        <f>HYPERLINK("https://klasma.github.io/Logging_2462/artfynd/A 54734-2022 artfynd.xlsx", "A 54734-2022")</f>
        <v/>
      </c>
      <c r="T40">
        <f>HYPERLINK("https://klasma.github.io/Logging_2462/kartor/A 54734-2022 karta.png", "A 54734-2022")</f>
        <v/>
      </c>
      <c r="V40">
        <f>HYPERLINK("https://klasma.github.io/Logging_2462/klagomål/A 54734-2022 FSC-klagomål.docx", "A 54734-2022")</f>
        <v/>
      </c>
      <c r="W40">
        <f>HYPERLINK("https://klasma.github.io/Logging_2462/klagomålsmail/A 54734-2022 FSC-klagomål mail.docx", "A 54734-2022")</f>
        <v/>
      </c>
      <c r="X40">
        <f>HYPERLINK("https://klasma.github.io/Logging_2462/tillsyn/A 54734-2022 tillsynsbegäran.docx", "A 54734-2022")</f>
        <v/>
      </c>
      <c r="Y40">
        <f>HYPERLINK("https://klasma.github.io/Logging_2462/tillsynsmail/A 54734-2022 tillsynsbegäran mail.docx", "A 54734-2022")</f>
        <v/>
      </c>
      <c r="Z40">
        <f>HYPERLINK("https://klasma.github.io/Logging_2462/fåglar/A 54734-2022 prioriterade fågelarter.docx", "A 54734-2022")</f>
        <v/>
      </c>
    </row>
    <row r="41" ht="15" customHeight="1">
      <c r="A41" t="inlineStr">
        <is>
          <t>A 28969-2024</t>
        </is>
      </c>
      <c r="B41" s="1" t="n">
        <v>45481.44920138889</v>
      </c>
      <c r="C41" s="1" t="n">
        <v>46075</v>
      </c>
      <c r="D41" t="inlineStr">
        <is>
          <t>VÄSTERBOTTENS LÄN</t>
        </is>
      </c>
      <c r="E41" t="inlineStr">
        <is>
          <t>ÅSELE</t>
        </is>
      </c>
      <c r="F41" t="inlineStr">
        <is>
          <t>Sveaskog</t>
        </is>
      </c>
      <c r="G41" t="n">
        <v>12.8</v>
      </c>
      <c r="H41" t="n">
        <v>4</v>
      </c>
      <c r="I41" t="n">
        <v>3</v>
      </c>
      <c r="J41" t="n">
        <v>16</v>
      </c>
      <c r="K41" t="n">
        <v>2</v>
      </c>
      <c r="L41" t="n">
        <v>0</v>
      </c>
      <c r="M41" t="n">
        <v>0</v>
      </c>
      <c r="N41" t="n">
        <v>0</v>
      </c>
      <c r="O41" t="n">
        <v>18</v>
      </c>
      <c r="P41" t="n">
        <v>2</v>
      </c>
      <c r="Q41" t="n">
        <v>22</v>
      </c>
      <c r="R41"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1">
        <f>HYPERLINK("https://klasma.github.io/Logging_2463/artfynd/A 28969-2024 artfynd.xlsx", "A 28969-2024")</f>
        <v/>
      </c>
      <c r="T41">
        <f>HYPERLINK("https://klasma.github.io/Logging_2463/kartor/A 28969-2024 karta.png", "A 28969-2024")</f>
        <v/>
      </c>
      <c r="V41">
        <f>HYPERLINK("https://klasma.github.io/Logging_2463/klagomål/A 28969-2024 FSC-klagomål.docx", "A 28969-2024")</f>
        <v/>
      </c>
      <c r="W41">
        <f>HYPERLINK("https://klasma.github.io/Logging_2463/klagomålsmail/A 28969-2024 FSC-klagomål mail.docx", "A 28969-2024")</f>
        <v/>
      </c>
      <c r="X41">
        <f>HYPERLINK("https://klasma.github.io/Logging_2463/tillsyn/A 28969-2024 tillsynsbegäran.docx", "A 28969-2024")</f>
        <v/>
      </c>
      <c r="Y41">
        <f>HYPERLINK("https://klasma.github.io/Logging_2463/tillsynsmail/A 28969-2024 tillsynsbegäran mail.docx", "A 28969-2024")</f>
        <v/>
      </c>
      <c r="Z41">
        <f>HYPERLINK("https://klasma.github.io/Logging_2463/fåglar/A 28969-2024 prioriterade fågelarter.docx", "A 28969-2024")</f>
        <v/>
      </c>
    </row>
    <row r="42" ht="15" customHeight="1">
      <c r="A42" t="inlineStr">
        <is>
          <t>A 11974-2021</t>
        </is>
      </c>
      <c r="B42" s="1" t="n">
        <v>44266</v>
      </c>
      <c r="C42" s="1" t="n">
        <v>46075</v>
      </c>
      <c r="D42" t="inlineStr">
        <is>
          <t>VÄSTERBOTTENS LÄN</t>
        </is>
      </c>
      <c r="E42" t="inlineStr">
        <is>
          <t>VILHELMINA</t>
        </is>
      </c>
      <c r="F42" t="inlineStr">
        <is>
          <t>Allmännings- och besparingsskogar</t>
        </is>
      </c>
      <c r="G42" t="n">
        <v>10.6</v>
      </c>
      <c r="H42" t="n">
        <v>3</v>
      </c>
      <c r="I42" t="n">
        <v>4</v>
      </c>
      <c r="J42" t="n">
        <v>14</v>
      </c>
      <c r="K42" t="n">
        <v>3</v>
      </c>
      <c r="L42" t="n">
        <v>0</v>
      </c>
      <c r="M42" t="n">
        <v>0</v>
      </c>
      <c r="N42" t="n">
        <v>0</v>
      </c>
      <c r="O42" t="n">
        <v>17</v>
      </c>
      <c r="P42" t="n">
        <v>3</v>
      </c>
      <c r="Q42" t="n">
        <v>22</v>
      </c>
      <c r="R4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2">
        <f>HYPERLINK("https://klasma.github.io/Logging_2462/artfynd/A 11974-2021 artfynd.xlsx", "A 11974-2021")</f>
        <v/>
      </c>
      <c r="T42">
        <f>HYPERLINK("https://klasma.github.io/Logging_2462/kartor/A 11974-2021 karta.png", "A 11974-2021")</f>
        <v/>
      </c>
      <c r="V42">
        <f>HYPERLINK("https://klasma.github.io/Logging_2462/klagomål/A 11974-2021 FSC-klagomål.docx", "A 11974-2021")</f>
        <v/>
      </c>
      <c r="W42">
        <f>HYPERLINK("https://klasma.github.io/Logging_2462/klagomålsmail/A 11974-2021 FSC-klagomål mail.docx", "A 11974-2021")</f>
        <v/>
      </c>
      <c r="X42">
        <f>HYPERLINK("https://klasma.github.io/Logging_2462/tillsyn/A 11974-2021 tillsynsbegäran.docx", "A 11974-2021")</f>
        <v/>
      </c>
      <c r="Y42">
        <f>HYPERLINK("https://klasma.github.io/Logging_2462/tillsynsmail/A 11974-2021 tillsynsbegäran mail.docx", "A 11974-2021")</f>
        <v/>
      </c>
      <c r="Z42">
        <f>HYPERLINK("https://klasma.github.io/Logging_2462/fåglar/A 11974-2021 prioriterade fågelarter.docx", "A 11974-2021")</f>
        <v/>
      </c>
    </row>
    <row r="43" ht="15" customHeight="1">
      <c r="A43" t="inlineStr">
        <is>
          <t>A 59433-2025</t>
        </is>
      </c>
      <c r="B43" s="1" t="n">
        <v>45989</v>
      </c>
      <c r="C43" s="1" t="n">
        <v>46075</v>
      </c>
      <c r="D43" t="inlineStr">
        <is>
          <t>VÄSTERBOTTENS LÄN</t>
        </is>
      </c>
      <c r="E43" t="inlineStr">
        <is>
          <t>VILHELMINA</t>
        </is>
      </c>
      <c r="F43" t="inlineStr">
        <is>
          <t>Allmännings- och besparingsskogar</t>
        </is>
      </c>
      <c r="G43" t="n">
        <v>57.7</v>
      </c>
      <c r="H43" t="n">
        <v>2</v>
      </c>
      <c r="I43" t="n">
        <v>4</v>
      </c>
      <c r="J43" t="n">
        <v>15</v>
      </c>
      <c r="K43" t="n">
        <v>1</v>
      </c>
      <c r="L43" t="n">
        <v>0</v>
      </c>
      <c r="M43" t="n">
        <v>0</v>
      </c>
      <c r="N43" t="n">
        <v>0</v>
      </c>
      <c r="O43" t="n">
        <v>16</v>
      </c>
      <c r="P43" t="n">
        <v>1</v>
      </c>
      <c r="Q43" t="n">
        <v>21</v>
      </c>
      <c r="R43"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3">
        <f>HYPERLINK("https://klasma.github.io/Logging_2462/artfynd/A 59433-2025 artfynd.xlsx", "A 59433-2025")</f>
        <v/>
      </c>
      <c r="T43">
        <f>HYPERLINK("https://klasma.github.io/Logging_2462/kartor/A 59433-2025 karta.png", "A 59433-2025")</f>
        <v/>
      </c>
      <c r="V43">
        <f>HYPERLINK("https://klasma.github.io/Logging_2462/klagomål/A 59433-2025 FSC-klagomål.docx", "A 59433-2025")</f>
        <v/>
      </c>
      <c r="W43">
        <f>HYPERLINK("https://klasma.github.io/Logging_2462/klagomålsmail/A 59433-2025 FSC-klagomål mail.docx", "A 59433-2025")</f>
        <v/>
      </c>
      <c r="X43">
        <f>HYPERLINK("https://klasma.github.io/Logging_2462/tillsyn/A 59433-2025 tillsynsbegäran.docx", "A 59433-2025")</f>
        <v/>
      </c>
      <c r="Y43">
        <f>HYPERLINK("https://klasma.github.io/Logging_2462/tillsynsmail/A 59433-2025 tillsynsbegäran mail.docx", "A 59433-2025")</f>
        <v/>
      </c>
      <c r="Z43">
        <f>HYPERLINK("https://klasma.github.io/Logging_2462/fåglar/A 59433-2025 prioriterade fågelarter.docx", "A 59433-2025")</f>
        <v/>
      </c>
    </row>
    <row r="44" ht="15" customHeight="1">
      <c r="A44" t="inlineStr">
        <is>
          <t>A 31193-2024</t>
        </is>
      </c>
      <c r="B44" s="1" t="n">
        <v>45503</v>
      </c>
      <c r="C44" s="1" t="n">
        <v>46075</v>
      </c>
      <c r="D44" t="inlineStr">
        <is>
          <t>VÄSTERBOTTENS LÄN</t>
        </is>
      </c>
      <c r="E44" t="inlineStr">
        <is>
          <t>BJURHOLM</t>
        </is>
      </c>
      <c r="F44" t="inlineStr">
        <is>
          <t>Holmen skog AB</t>
        </is>
      </c>
      <c r="G44" t="n">
        <v>8.9</v>
      </c>
      <c r="H44" t="n">
        <v>6</v>
      </c>
      <c r="I44" t="n">
        <v>8</v>
      </c>
      <c r="J44" t="n">
        <v>8</v>
      </c>
      <c r="K44" t="n">
        <v>2</v>
      </c>
      <c r="L44" t="n">
        <v>0</v>
      </c>
      <c r="M44" t="n">
        <v>0</v>
      </c>
      <c r="N44" t="n">
        <v>0</v>
      </c>
      <c r="O44" t="n">
        <v>10</v>
      </c>
      <c r="P44" t="n">
        <v>2</v>
      </c>
      <c r="Q44" t="n">
        <v>21</v>
      </c>
      <c r="R44"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4">
        <f>HYPERLINK("https://klasma.github.io/Logging_2403/artfynd/A 31193-2024 artfynd.xlsx", "A 31193-2024")</f>
        <v/>
      </c>
      <c r="T44">
        <f>HYPERLINK("https://klasma.github.io/Logging_2403/kartor/A 31193-2024 karta.png", "A 31193-2024")</f>
        <v/>
      </c>
      <c r="U44">
        <f>HYPERLINK("https://klasma.github.io/Logging_2403/knärot/A 31193-2024 karta knärot.png", "A 31193-2024")</f>
        <v/>
      </c>
      <c r="V44">
        <f>HYPERLINK("https://klasma.github.io/Logging_2403/klagomål/A 31193-2024 FSC-klagomål.docx", "A 31193-2024")</f>
        <v/>
      </c>
      <c r="W44">
        <f>HYPERLINK("https://klasma.github.io/Logging_2403/klagomålsmail/A 31193-2024 FSC-klagomål mail.docx", "A 31193-2024")</f>
        <v/>
      </c>
      <c r="X44">
        <f>HYPERLINK("https://klasma.github.io/Logging_2403/tillsyn/A 31193-2024 tillsynsbegäran.docx", "A 31193-2024")</f>
        <v/>
      </c>
      <c r="Y44">
        <f>HYPERLINK("https://klasma.github.io/Logging_2403/tillsynsmail/A 31193-2024 tillsynsbegäran mail.docx", "A 31193-2024")</f>
        <v/>
      </c>
      <c r="Z44">
        <f>HYPERLINK("https://klasma.github.io/Logging_2403/fåglar/A 31193-2024 prioriterade fågelarter.docx", "A 31193-2024")</f>
        <v/>
      </c>
    </row>
    <row r="45" ht="15" customHeight="1">
      <c r="A45" t="inlineStr">
        <is>
          <t>A 33355-2024</t>
        </is>
      </c>
      <c r="B45" s="1" t="n">
        <v>45519</v>
      </c>
      <c r="C45" s="1" t="n">
        <v>46075</v>
      </c>
      <c r="D45" t="inlineStr">
        <is>
          <t>VÄSTERBOTTENS LÄN</t>
        </is>
      </c>
      <c r="E45" t="inlineStr">
        <is>
          <t>BJURHOLM</t>
        </is>
      </c>
      <c r="F45" t="inlineStr">
        <is>
          <t>Holmen skog AB</t>
        </is>
      </c>
      <c r="G45" t="n">
        <v>15.1</v>
      </c>
      <c r="H45" t="n">
        <v>5</v>
      </c>
      <c r="I45" t="n">
        <v>9</v>
      </c>
      <c r="J45" t="n">
        <v>9</v>
      </c>
      <c r="K45" t="n">
        <v>1</v>
      </c>
      <c r="L45" t="n">
        <v>0</v>
      </c>
      <c r="M45" t="n">
        <v>0</v>
      </c>
      <c r="N45" t="n">
        <v>0</v>
      </c>
      <c r="O45" t="n">
        <v>10</v>
      </c>
      <c r="P45" t="n">
        <v>1</v>
      </c>
      <c r="Q45" t="n">
        <v>21</v>
      </c>
      <c r="R45" s="2" t="inlineStr">
        <is>
          <t>Knärot
Gammelgransskål
Garnlav
Granticka
Lunglav
Rosenticka
Skrovellav
Talltita
Ullticka
Vedtrappmossa
Bårdlav
Gulnål
Gulpudrad spiklav
Luddlav
Spindelblomster
Spädstarr
Stuplav
Vedticka
Ögonpyrola
Fläcknycklar
Revlummer</t>
        </is>
      </c>
      <c r="S45">
        <f>HYPERLINK("https://klasma.github.io/Logging_2403/artfynd/A 33355-2024 artfynd.xlsx", "A 33355-2024")</f>
        <v/>
      </c>
      <c r="T45">
        <f>HYPERLINK("https://klasma.github.io/Logging_2403/kartor/A 33355-2024 karta.png", "A 33355-2024")</f>
        <v/>
      </c>
      <c r="U45">
        <f>HYPERLINK("https://klasma.github.io/Logging_2403/knärot/A 33355-2024 karta knärot.png", "A 33355-2024")</f>
        <v/>
      </c>
      <c r="V45">
        <f>HYPERLINK("https://klasma.github.io/Logging_2403/klagomål/A 33355-2024 FSC-klagomål.docx", "A 33355-2024")</f>
        <v/>
      </c>
      <c r="W45">
        <f>HYPERLINK("https://klasma.github.io/Logging_2403/klagomålsmail/A 33355-2024 FSC-klagomål mail.docx", "A 33355-2024")</f>
        <v/>
      </c>
      <c r="X45">
        <f>HYPERLINK("https://klasma.github.io/Logging_2403/tillsyn/A 33355-2024 tillsynsbegäran.docx", "A 33355-2024")</f>
        <v/>
      </c>
      <c r="Y45">
        <f>HYPERLINK("https://klasma.github.io/Logging_2403/tillsynsmail/A 33355-2024 tillsynsbegäran mail.docx", "A 33355-2024")</f>
        <v/>
      </c>
      <c r="Z45">
        <f>HYPERLINK("https://klasma.github.io/Logging_2403/fåglar/A 33355-2024 prioriterade fågelarter.docx", "A 33355-2024")</f>
        <v/>
      </c>
    </row>
    <row r="46" ht="15" customHeight="1">
      <c r="A46" t="inlineStr">
        <is>
          <t>A 33362-2024</t>
        </is>
      </c>
      <c r="B46" s="1" t="n">
        <v>45519</v>
      </c>
      <c r="C46" s="1" t="n">
        <v>46075</v>
      </c>
      <c r="D46" t="inlineStr">
        <is>
          <t>VÄSTERBOTTENS LÄN</t>
        </is>
      </c>
      <c r="E46" t="inlineStr">
        <is>
          <t>BJURHOLM</t>
        </is>
      </c>
      <c r="F46" t="inlineStr">
        <is>
          <t>Holmen skog AB</t>
        </is>
      </c>
      <c r="G46" t="n">
        <v>15.1</v>
      </c>
      <c r="H46" t="n">
        <v>5</v>
      </c>
      <c r="I46" t="n">
        <v>9</v>
      </c>
      <c r="J46" t="n">
        <v>9</v>
      </c>
      <c r="K46" t="n">
        <v>1</v>
      </c>
      <c r="L46" t="n">
        <v>0</v>
      </c>
      <c r="M46" t="n">
        <v>0</v>
      </c>
      <c r="N46" t="n">
        <v>0</v>
      </c>
      <c r="O46" t="n">
        <v>10</v>
      </c>
      <c r="P46" t="n">
        <v>1</v>
      </c>
      <c r="Q46" t="n">
        <v>21</v>
      </c>
      <c r="R46" s="2" t="inlineStr">
        <is>
          <t>Knärot
Gammelgransskål
Garnlav
Granticka
Lunglav
Rosenticka
Skrovellav
Talltita
Ullticka
Vedtrappmossa
Bårdlav
Gulnål
Gulpudrad spiklav
Luddlav
Spindelblomster
Spädstarr
Stuplav
Vedticka
Ögonpyrola
Fläcknycklar
Revlummer</t>
        </is>
      </c>
      <c r="S46">
        <f>HYPERLINK("https://klasma.github.io/Logging_2403/artfynd/A 33362-2024 artfynd.xlsx", "A 33362-2024")</f>
        <v/>
      </c>
      <c r="T46">
        <f>HYPERLINK("https://klasma.github.io/Logging_2403/kartor/A 33362-2024 karta.png", "A 33362-2024")</f>
        <v/>
      </c>
      <c r="U46">
        <f>HYPERLINK("https://klasma.github.io/Logging_2403/knärot/A 33362-2024 karta knärot.png", "A 33362-2024")</f>
        <v/>
      </c>
      <c r="V46">
        <f>HYPERLINK("https://klasma.github.io/Logging_2403/klagomål/A 33362-2024 FSC-klagomål.docx", "A 33362-2024")</f>
        <v/>
      </c>
      <c r="W46">
        <f>HYPERLINK("https://klasma.github.io/Logging_2403/klagomålsmail/A 33362-2024 FSC-klagomål mail.docx", "A 33362-2024")</f>
        <v/>
      </c>
      <c r="X46">
        <f>HYPERLINK("https://klasma.github.io/Logging_2403/tillsyn/A 33362-2024 tillsynsbegäran.docx", "A 33362-2024")</f>
        <v/>
      </c>
      <c r="Y46">
        <f>HYPERLINK("https://klasma.github.io/Logging_2403/tillsynsmail/A 33362-2024 tillsynsbegäran mail.docx", "A 33362-2024")</f>
        <v/>
      </c>
      <c r="Z46">
        <f>HYPERLINK("https://klasma.github.io/Logging_2403/fåglar/A 33362-2024 prioriterade fågelarter.docx", "A 33362-2024")</f>
        <v/>
      </c>
    </row>
    <row r="47" ht="15" customHeight="1">
      <c r="A47" t="inlineStr">
        <is>
          <t>A 38519-2025</t>
        </is>
      </c>
      <c r="B47" s="1" t="n">
        <v>45884.39982638889</v>
      </c>
      <c r="C47" s="1" t="n">
        <v>46075</v>
      </c>
      <c r="D47" t="inlineStr">
        <is>
          <t>VÄSTERBOTTENS LÄN</t>
        </is>
      </c>
      <c r="E47" t="inlineStr">
        <is>
          <t>UMEÅ</t>
        </is>
      </c>
      <c r="G47" t="n">
        <v>12.8</v>
      </c>
      <c r="H47" t="n">
        <v>7</v>
      </c>
      <c r="I47" t="n">
        <v>6</v>
      </c>
      <c r="J47" t="n">
        <v>9</v>
      </c>
      <c r="K47" t="n">
        <v>3</v>
      </c>
      <c r="L47" t="n">
        <v>0</v>
      </c>
      <c r="M47" t="n">
        <v>0</v>
      </c>
      <c r="N47" t="n">
        <v>0</v>
      </c>
      <c r="O47" t="n">
        <v>12</v>
      </c>
      <c r="P47" t="n">
        <v>3</v>
      </c>
      <c r="Q47" t="n">
        <v>21</v>
      </c>
      <c r="R47" s="2" t="inlineStr">
        <is>
          <t>Knärot
Kristallticka
Ulltickeporing
Gammelgransskål
Garnlav
Granticka
Lunglav
Spillkråka
Talltita
Tretåig hackspett
Ullticka
Vedflikmossa
Bårdlav
Luddlav
Mörk husmossa
Skinnlav
Stuplav
Vedticka
Kungsfågel
Tjäder
Fläcknycklar</t>
        </is>
      </c>
      <c r="S47">
        <f>HYPERLINK("https://klasma.github.io/Logging_2480/artfynd/A 38519-2025 artfynd.xlsx", "A 38519-2025")</f>
        <v/>
      </c>
      <c r="T47">
        <f>HYPERLINK("https://klasma.github.io/Logging_2480/kartor/A 38519-2025 karta.png", "A 38519-2025")</f>
        <v/>
      </c>
      <c r="U47">
        <f>HYPERLINK("https://klasma.github.io/Logging_2480/knärot/A 38519-2025 karta knärot.png", "A 38519-2025")</f>
        <v/>
      </c>
      <c r="V47">
        <f>HYPERLINK("https://klasma.github.io/Logging_2480/klagomål/A 38519-2025 FSC-klagomål.docx", "A 38519-2025")</f>
        <v/>
      </c>
      <c r="W47">
        <f>HYPERLINK("https://klasma.github.io/Logging_2480/klagomålsmail/A 38519-2025 FSC-klagomål mail.docx", "A 38519-2025")</f>
        <v/>
      </c>
      <c r="X47">
        <f>HYPERLINK("https://klasma.github.io/Logging_2480/tillsyn/A 38519-2025 tillsynsbegäran.docx", "A 38519-2025")</f>
        <v/>
      </c>
      <c r="Y47">
        <f>HYPERLINK("https://klasma.github.io/Logging_2480/tillsynsmail/A 38519-2025 tillsynsbegäran mail.docx", "A 38519-2025")</f>
        <v/>
      </c>
      <c r="Z47">
        <f>HYPERLINK("https://klasma.github.io/Logging_2480/fåglar/A 38519-2025 prioriterade fågelarter.docx", "A 38519-2025")</f>
        <v/>
      </c>
    </row>
    <row r="48" ht="15" customHeight="1">
      <c r="A48" t="inlineStr">
        <is>
          <t>A 29866-2023</t>
        </is>
      </c>
      <c r="B48" s="1" t="n">
        <v>45107</v>
      </c>
      <c r="C48" s="1" t="n">
        <v>46075</v>
      </c>
      <c r="D48" t="inlineStr">
        <is>
          <t>VÄSTERBOTTENS LÄN</t>
        </is>
      </c>
      <c r="E48" t="inlineStr">
        <is>
          <t>SORSELE</t>
        </is>
      </c>
      <c r="F48" t="inlineStr">
        <is>
          <t>Sveaskog</t>
        </is>
      </c>
      <c r="G48" t="n">
        <v>5.3</v>
      </c>
      <c r="H48" t="n">
        <v>5</v>
      </c>
      <c r="I48" t="n">
        <v>2</v>
      </c>
      <c r="J48" t="n">
        <v>15</v>
      </c>
      <c r="K48" t="n">
        <v>2</v>
      </c>
      <c r="L48" t="n">
        <v>0</v>
      </c>
      <c r="M48" t="n">
        <v>0</v>
      </c>
      <c r="N48" t="n">
        <v>0</v>
      </c>
      <c r="O48" t="n">
        <v>17</v>
      </c>
      <c r="P48" t="n">
        <v>2</v>
      </c>
      <c r="Q48" t="n">
        <v>21</v>
      </c>
      <c r="R48"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8">
        <f>HYPERLINK("https://klasma.github.io/Logging_2422/artfynd/A 29866-2023 artfynd.xlsx", "A 29866-2023")</f>
        <v/>
      </c>
      <c r="T48">
        <f>HYPERLINK("https://klasma.github.io/Logging_2422/kartor/A 29866-2023 karta.png", "A 29866-2023")</f>
        <v/>
      </c>
      <c r="V48">
        <f>HYPERLINK("https://klasma.github.io/Logging_2422/klagomål/A 29866-2023 FSC-klagomål.docx", "A 29866-2023")</f>
        <v/>
      </c>
      <c r="W48">
        <f>HYPERLINK("https://klasma.github.io/Logging_2422/klagomålsmail/A 29866-2023 FSC-klagomål mail.docx", "A 29866-2023")</f>
        <v/>
      </c>
      <c r="X48">
        <f>HYPERLINK("https://klasma.github.io/Logging_2422/tillsyn/A 29866-2023 tillsynsbegäran.docx", "A 29866-2023")</f>
        <v/>
      </c>
      <c r="Y48">
        <f>HYPERLINK("https://klasma.github.io/Logging_2422/tillsynsmail/A 29866-2023 tillsynsbegäran mail.docx", "A 29866-2023")</f>
        <v/>
      </c>
      <c r="Z48">
        <f>HYPERLINK("https://klasma.github.io/Logging_2422/fåglar/A 29866-2023 prioriterade fågelarter.docx", "A 29866-2023")</f>
        <v/>
      </c>
    </row>
    <row r="49" ht="15" customHeight="1">
      <c r="A49" t="inlineStr">
        <is>
          <t>A 42189-2024</t>
        </is>
      </c>
      <c r="B49" s="1" t="n">
        <v>45562</v>
      </c>
      <c r="C49" s="1" t="n">
        <v>46075</v>
      </c>
      <c r="D49" t="inlineStr">
        <is>
          <t>VÄSTERBOTTENS LÄN</t>
        </is>
      </c>
      <c r="E49" t="inlineStr">
        <is>
          <t>UMEÅ</t>
        </is>
      </c>
      <c r="F49" t="inlineStr">
        <is>
          <t>Kommuner</t>
        </is>
      </c>
      <c r="G49" t="n">
        <v>8.699999999999999</v>
      </c>
      <c r="H49" t="n">
        <v>2</v>
      </c>
      <c r="I49" t="n">
        <v>5</v>
      </c>
      <c r="J49" t="n">
        <v>11</v>
      </c>
      <c r="K49" t="n">
        <v>5</v>
      </c>
      <c r="L49" t="n">
        <v>0</v>
      </c>
      <c r="M49" t="n">
        <v>0</v>
      </c>
      <c r="N49" t="n">
        <v>0</v>
      </c>
      <c r="O49" t="n">
        <v>16</v>
      </c>
      <c r="P49" t="n">
        <v>5</v>
      </c>
      <c r="Q49" t="n">
        <v>21</v>
      </c>
      <c r="R49"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9">
        <f>HYPERLINK("https://klasma.github.io/Logging_2480/artfynd/A 42189-2024 artfynd.xlsx", "A 42189-2024")</f>
        <v/>
      </c>
      <c r="T49">
        <f>HYPERLINK("https://klasma.github.io/Logging_2480/kartor/A 42189-2024 karta.png", "A 42189-2024")</f>
        <v/>
      </c>
      <c r="V49">
        <f>HYPERLINK("https://klasma.github.io/Logging_2480/klagomål/A 42189-2024 FSC-klagomål.docx", "A 42189-2024")</f>
        <v/>
      </c>
      <c r="W49">
        <f>HYPERLINK("https://klasma.github.io/Logging_2480/klagomålsmail/A 42189-2024 FSC-klagomål mail.docx", "A 42189-2024")</f>
        <v/>
      </c>
      <c r="X49">
        <f>HYPERLINK("https://klasma.github.io/Logging_2480/tillsyn/A 42189-2024 tillsynsbegäran.docx", "A 42189-2024")</f>
        <v/>
      </c>
      <c r="Y49">
        <f>HYPERLINK("https://klasma.github.io/Logging_2480/tillsynsmail/A 42189-2024 tillsynsbegäran mail.docx", "A 42189-2024")</f>
        <v/>
      </c>
      <c r="Z49">
        <f>HYPERLINK("https://klasma.github.io/Logging_2480/fåglar/A 42189-2024 prioriterade fågelarter.docx", "A 42189-2024")</f>
        <v/>
      </c>
    </row>
    <row r="50" ht="15" customHeight="1">
      <c r="A50" t="inlineStr">
        <is>
          <t>A 11282-2021</t>
        </is>
      </c>
      <c r="B50" s="1" t="n">
        <v>44263</v>
      </c>
      <c r="C50" s="1" t="n">
        <v>46075</v>
      </c>
      <c r="D50" t="inlineStr">
        <is>
          <t>VÄSTERBOTTENS LÄN</t>
        </is>
      </c>
      <c r="E50" t="inlineStr">
        <is>
          <t>VILHELMINA</t>
        </is>
      </c>
      <c r="F50" t="inlineStr">
        <is>
          <t>Allmännings- och besparingsskogar</t>
        </is>
      </c>
      <c r="G50" t="n">
        <v>5.6</v>
      </c>
      <c r="H50" t="n">
        <v>1</v>
      </c>
      <c r="I50" t="n">
        <v>9</v>
      </c>
      <c r="J50" t="n">
        <v>9</v>
      </c>
      <c r="K50" t="n">
        <v>2</v>
      </c>
      <c r="L50" t="n">
        <v>0</v>
      </c>
      <c r="M50" t="n">
        <v>0</v>
      </c>
      <c r="N50" t="n">
        <v>0</v>
      </c>
      <c r="O50" t="n">
        <v>11</v>
      </c>
      <c r="P50" t="n">
        <v>2</v>
      </c>
      <c r="Q50" t="n">
        <v>20</v>
      </c>
      <c r="R50" s="2" t="inlineStr">
        <is>
          <t>Lappticka
Rynkskinn
Doftskinn
Gammelgransskål
Garnlav
Lunglav
Rosenticka
Skrovellav
Tretåig hackspett
Ullticka
Vitgrynig nållav
Barkkornlav
Bårdlav
Gytterlav
Korallblylav
Luddlav
Skinnlav
Stuplav
Trådticka
Vedticka</t>
        </is>
      </c>
      <c r="S50">
        <f>HYPERLINK("https://klasma.github.io/Logging_2462/artfynd/A 11282-2021 artfynd.xlsx", "A 11282-2021")</f>
        <v/>
      </c>
      <c r="T50">
        <f>HYPERLINK("https://klasma.github.io/Logging_2462/kartor/A 11282-2021 karta.png", "A 11282-2021")</f>
        <v/>
      </c>
      <c r="V50">
        <f>HYPERLINK("https://klasma.github.io/Logging_2462/klagomål/A 11282-2021 FSC-klagomål.docx", "A 11282-2021")</f>
        <v/>
      </c>
      <c r="W50">
        <f>HYPERLINK("https://klasma.github.io/Logging_2462/klagomålsmail/A 11282-2021 FSC-klagomål mail.docx", "A 11282-2021")</f>
        <v/>
      </c>
      <c r="X50">
        <f>HYPERLINK("https://klasma.github.io/Logging_2462/tillsyn/A 11282-2021 tillsynsbegäran.docx", "A 11282-2021")</f>
        <v/>
      </c>
      <c r="Y50">
        <f>HYPERLINK("https://klasma.github.io/Logging_2462/tillsynsmail/A 11282-2021 tillsynsbegäran mail.docx", "A 11282-2021")</f>
        <v/>
      </c>
      <c r="Z50">
        <f>HYPERLINK("https://klasma.github.io/Logging_2462/fåglar/A 11282-2021 prioriterade fågelarter.docx", "A 11282-2021")</f>
        <v/>
      </c>
    </row>
    <row r="51" ht="15" customHeight="1">
      <c r="A51" t="inlineStr">
        <is>
          <t>A 29360-2021</t>
        </is>
      </c>
      <c r="B51" s="1" t="n">
        <v>44361</v>
      </c>
      <c r="C51" s="1" t="n">
        <v>46075</v>
      </c>
      <c r="D51" t="inlineStr">
        <is>
          <t>VÄSTERBOTTENS LÄN</t>
        </is>
      </c>
      <c r="E51" t="inlineStr">
        <is>
          <t>VILHELMINA</t>
        </is>
      </c>
      <c r="F51" t="inlineStr">
        <is>
          <t>Allmännings- och besparingsskogar</t>
        </is>
      </c>
      <c r="G51" t="n">
        <v>71.09999999999999</v>
      </c>
      <c r="H51" t="n">
        <v>1</v>
      </c>
      <c r="I51" t="n">
        <v>5</v>
      </c>
      <c r="J51" t="n">
        <v>14</v>
      </c>
      <c r="K51" t="n">
        <v>1</v>
      </c>
      <c r="L51" t="n">
        <v>0</v>
      </c>
      <c r="M51" t="n">
        <v>0</v>
      </c>
      <c r="N51" t="n">
        <v>0</v>
      </c>
      <c r="O51" t="n">
        <v>15</v>
      </c>
      <c r="P51" t="n">
        <v>1</v>
      </c>
      <c r="Q51" t="n">
        <v>20</v>
      </c>
      <c r="R51" s="2" t="inlineStr">
        <is>
          <t>Tajgaskinn
Blanksvart spiklav
Blågrå svartspik
Garnlav
Granticka
Harticka
Kortskaftad ärgspik
Lunglav
Nordtagging
Skrovellav
Smal ängssyra
Tretåig hackspett
Ullticka
Vedflamlav
Vedskivlav
Skinnlav
Stuplav
Svavelriska
Trådticka
Vedticka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c r="Z51">
        <f>HYPERLINK("https://klasma.github.io/Logging_2462/fåglar/A 29360-2021 prioriterade fågelarter.docx", "A 29360-2021")</f>
        <v/>
      </c>
    </row>
    <row r="52" ht="15" customHeight="1">
      <c r="A52" t="inlineStr">
        <is>
          <t>A 30159-2024</t>
        </is>
      </c>
      <c r="B52" s="1" t="n">
        <v>45488</v>
      </c>
      <c r="C52" s="1" t="n">
        <v>46075</v>
      </c>
      <c r="D52" t="inlineStr">
        <is>
          <t>VÄSTERBOTTENS LÄN</t>
        </is>
      </c>
      <c r="E52" t="inlineStr">
        <is>
          <t>LYCKSELE</t>
        </is>
      </c>
      <c r="F52" t="inlineStr">
        <is>
          <t>Sveaskog</t>
        </is>
      </c>
      <c r="G52" t="n">
        <v>14.7</v>
      </c>
      <c r="H52" t="n">
        <v>0</v>
      </c>
      <c r="I52" t="n">
        <v>3</v>
      </c>
      <c r="J52" t="n">
        <v>12</v>
      </c>
      <c r="K52" t="n">
        <v>5</v>
      </c>
      <c r="L52" t="n">
        <v>0</v>
      </c>
      <c r="M52" t="n">
        <v>0</v>
      </c>
      <c r="N52" t="n">
        <v>0</v>
      </c>
      <c r="O52" t="n">
        <v>17</v>
      </c>
      <c r="P52" t="n">
        <v>5</v>
      </c>
      <c r="Q52" t="n">
        <v>20</v>
      </c>
      <c r="R52"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2">
        <f>HYPERLINK("https://klasma.github.io/Logging_2481/artfynd/A 30159-2024 artfynd.xlsx", "A 30159-2024")</f>
        <v/>
      </c>
      <c r="T52">
        <f>HYPERLINK("https://klasma.github.io/Logging_2481/kartor/A 30159-2024 karta.png", "A 30159-2024")</f>
        <v/>
      </c>
      <c r="V52">
        <f>HYPERLINK("https://klasma.github.io/Logging_2481/klagomål/A 30159-2024 FSC-klagomål.docx", "A 30159-2024")</f>
        <v/>
      </c>
      <c r="W52">
        <f>HYPERLINK("https://klasma.github.io/Logging_2481/klagomålsmail/A 30159-2024 FSC-klagomål mail.docx", "A 30159-2024")</f>
        <v/>
      </c>
      <c r="X52">
        <f>HYPERLINK("https://klasma.github.io/Logging_2481/tillsyn/A 30159-2024 tillsynsbegäran.docx", "A 30159-2024")</f>
        <v/>
      </c>
      <c r="Y52">
        <f>HYPERLINK("https://klasma.github.io/Logging_2481/tillsynsmail/A 30159-2024 tillsynsbegäran mail.docx", "A 30159-2024")</f>
        <v/>
      </c>
    </row>
    <row r="53" ht="15" customHeight="1">
      <c r="A53" t="inlineStr">
        <is>
          <t>A 24934-2025</t>
        </is>
      </c>
      <c r="B53" s="1" t="n">
        <v>45799</v>
      </c>
      <c r="C53" s="1" t="n">
        <v>46075</v>
      </c>
      <c r="D53" t="inlineStr">
        <is>
          <t>VÄSTERBOTTENS LÄN</t>
        </is>
      </c>
      <c r="E53" t="inlineStr">
        <is>
          <t>UMEÅ</t>
        </is>
      </c>
      <c r="G53" t="n">
        <v>24.9</v>
      </c>
      <c r="H53" t="n">
        <v>7</v>
      </c>
      <c r="I53" t="n">
        <v>6</v>
      </c>
      <c r="J53" t="n">
        <v>11</v>
      </c>
      <c r="K53" t="n">
        <v>1</v>
      </c>
      <c r="L53" t="n">
        <v>0</v>
      </c>
      <c r="M53" t="n">
        <v>0</v>
      </c>
      <c r="N53" t="n">
        <v>0</v>
      </c>
      <c r="O53" t="n">
        <v>12</v>
      </c>
      <c r="P53" t="n">
        <v>1</v>
      </c>
      <c r="Q53" t="n">
        <v>20</v>
      </c>
      <c r="R53" s="2" t="inlineStr">
        <is>
          <t>Sprickporing
Garnlav
Granticka
Gränsticka
Harticka
Havsörn
Järpe
Leptoporus mollis
Lunglav
Spillkråka
Tretåig hackspett
Ullticka
Bårdlav
Kattfotslav
Spindelblomster
Stuplav
Vedticka
Vågbandad barkbock
Grönsiska
Kungsfågel</t>
        </is>
      </c>
      <c r="S53">
        <f>HYPERLINK("https://klasma.github.io/Logging_2480/artfynd/A 24934-2025 artfynd.xlsx", "A 24934-2025")</f>
        <v/>
      </c>
      <c r="T53">
        <f>HYPERLINK("https://klasma.github.io/Logging_2480/kartor/A 24934-2025 karta.png", "A 24934-2025")</f>
        <v/>
      </c>
      <c r="V53">
        <f>HYPERLINK("https://klasma.github.io/Logging_2480/klagomål/A 24934-2025 FSC-klagomål.docx", "A 24934-2025")</f>
        <v/>
      </c>
      <c r="W53">
        <f>HYPERLINK("https://klasma.github.io/Logging_2480/klagomålsmail/A 24934-2025 FSC-klagomål mail.docx", "A 24934-2025")</f>
        <v/>
      </c>
      <c r="X53">
        <f>HYPERLINK("https://klasma.github.io/Logging_2480/tillsyn/A 24934-2025 tillsynsbegäran.docx", "A 24934-2025")</f>
        <v/>
      </c>
      <c r="Y53">
        <f>HYPERLINK("https://klasma.github.io/Logging_2480/tillsynsmail/A 24934-2025 tillsynsbegäran mail.docx", "A 24934-2025")</f>
        <v/>
      </c>
      <c r="Z53">
        <f>HYPERLINK("https://klasma.github.io/Logging_2480/fåglar/A 24934-2025 prioriterade fågelarter.docx", "A 24934-2025")</f>
        <v/>
      </c>
    </row>
    <row r="54" ht="15" customHeight="1">
      <c r="A54" t="inlineStr">
        <is>
          <t>A 65464-2021</t>
        </is>
      </c>
      <c r="B54" s="1" t="n">
        <v>44515</v>
      </c>
      <c r="C54" s="1" t="n">
        <v>46075</v>
      </c>
      <c r="D54" t="inlineStr">
        <is>
          <t>VÄSTERBOTTENS LÄN</t>
        </is>
      </c>
      <c r="E54" t="inlineStr">
        <is>
          <t>STORUMAN</t>
        </is>
      </c>
      <c r="G54" t="n">
        <v>20</v>
      </c>
      <c r="H54" t="n">
        <v>3</v>
      </c>
      <c r="I54" t="n">
        <v>5</v>
      </c>
      <c r="J54" t="n">
        <v>11</v>
      </c>
      <c r="K54" t="n">
        <v>2</v>
      </c>
      <c r="L54" t="n">
        <v>0</v>
      </c>
      <c r="M54" t="n">
        <v>0</v>
      </c>
      <c r="N54" t="n">
        <v>0</v>
      </c>
      <c r="O54" t="n">
        <v>13</v>
      </c>
      <c r="P54" t="n">
        <v>2</v>
      </c>
      <c r="Q54" t="n">
        <v>19</v>
      </c>
      <c r="R54" s="2" t="inlineStr">
        <is>
          <t>Lappticka
Rynkskinn
Doftskinn
Gammelgransskål
Garnlav
Granticka
Gränsticka
Harticka
Rosenticka
Spillkråka
Tretåig hackspett
Ullticka
Vedtrappmossa
Blodticka
Bronshjon
Svavelriska
Trådticka
Vedticka
Brudsporre</t>
        </is>
      </c>
      <c r="S54">
        <f>HYPERLINK("https://klasma.github.io/Logging_2421/artfynd/A 65464-2021 artfynd.xlsx", "A 65464-2021")</f>
        <v/>
      </c>
      <c r="T54">
        <f>HYPERLINK("https://klasma.github.io/Logging_2421/kartor/A 65464-2021 karta.png", "A 65464-2021")</f>
        <v/>
      </c>
      <c r="V54">
        <f>HYPERLINK("https://klasma.github.io/Logging_2421/klagomål/A 65464-2021 FSC-klagomål.docx", "A 65464-2021")</f>
        <v/>
      </c>
      <c r="W54">
        <f>HYPERLINK("https://klasma.github.io/Logging_2421/klagomålsmail/A 65464-2021 FSC-klagomål mail.docx", "A 65464-2021")</f>
        <v/>
      </c>
      <c r="X54">
        <f>HYPERLINK("https://klasma.github.io/Logging_2421/tillsyn/A 65464-2021 tillsynsbegäran.docx", "A 65464-2021")</f>
        <v/>
      </c>
      <c r="Y54">
        <f>HYPERLINK("https://klasma.github.io/Logging_2421/tillsynsmail/A 65464-2021 tillsynsbegäran mail.docx", "A 65464-2021")</f>
        <v/>
      </c>
      <c r="Z54">
        <f>HYPERLINK("https://klasma.github.io/Logging_2421/fåglar/A 65464-2021 prioriterade fågelarter.docx", "A 65464-2021")</f>
        <v/>
      </c>
    </row>
    <row r="55" ht="15" customHeight="1">
      <c r="A55" t="inlineStr">
        <is>
          <t>A 25126-2023</t>
        </is>
      </c>
      <c r="B55" s="1" t="n">
        <v>45078</v>
      </c>
      <c r="C55" s="1" t="n">
        <v>46075</v>
      </c>
      <c r="D55" t="inlineStr">
        <is>
          <t>VÄSTERBOTTENS LÄN</t>
        </is>
      </c>
      <c r="E55" t="inlineStr">
        <is>
          <t>STORUMAN</t>
        </is>
      </c>
      <c r="G55" t="n">
        <v>261</v>
      </c>
      <c r="H55" t="n">
        <v>1</v>
      </c>
      <c r="I55" t="n">
        <v>7</v>
      </c>
      <c r="J55" t="n">
        <v>11</v>
      </c>
      <c r="K55" t="n">
        <v>1</v>
      </c>
      <c r="L55" t="n">
        <v>0</v>
      </c>
      <c r="M55" t="n">
        <v>0</v>
      </c>
      <c r="N55" t="n">
        <v>0</v>
      </c>
      <c r="O55" t="n">
        <v>12</v>
      </c>
      <c r="P55" t="n">
        <v>1</v>
      </c>
      <c r="Q55" t="n">
        <v>19</v>
      </c>
      <c r="R55"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5">
        <f>HYPERLINK("https://klasma.github.io/Logging_2421/artfynd/A 25126-2023 artfynd.xlsx", "A 25126-2023")</f>
        <v/>
      </c>
      <c r="T55">
        <f>HYPERLINK("https://klasma.github.io/Logging_2421/kartor/A 25126-2023 karta.png", "A 25126-2023")</f>
        <v/>
      </c>
      <c r="V55">
        <f>HYPERLINK("https://klasma.github.io/Logging_2421/klagomål/A 25126-2023 FSC-klagomål.docx", "A 25126-2023")</f>
        <v/>
      </c>
      <c r="W55">
        <f>HYPERLINK("https://klasma.github.io/Logging_2421/klagomålsmail/A 25126-2023 FSC-klagomål mail.docx", "A 25126-2023")</f>
        <v/>
      </c>
      <c r="X55">
        <f>HYPERLINK("https://klasma.github.io/Logging_2421/tillsyn/A 25126-2023 tillsynsbegäran.docx", "A 25126-2023")</f>
        <v/>
      </c>
      <c r="Y55">
        <f>HYPERLINK("https://klasma.github.io/Logging_2421/tillsynsmail/A 25126-2023 tillsynsbegäran mail.docx", "A 25126-2023")</f>
        <v/>
      </c>
      <c r="Z55">
        <f>HYPERLINK("https://klasma.github.io/Logging_2421/fåglar/A 25126-2023 prioriterade fågelarter.docx", "A 25126-2023")</f>
        <v/>
      </c>
    </row>
    <row r="56" ht="15" customHeight="1">
      <c r="A56" t="inlineStr">
        <is>
          <t>A 30590-2025</t>
        </is>
      </c>
      <c r="B56" s="1" t="n">
        <v>45831</v>
      </c>
      <c r="C56" s="1" t="n">
        <v>46075</v>
      </c>
      <c r="D56" t="inlineStr">
        <is>
          <t>VÄSTERBOTTENS LÄN</t>
        </is>
      </c>
      <c r="E56" t="inlineStr">
        <is>
          <t>NORSJÖ</t>
        </is>
      </c>
      <c r="G56" t="n">
        <v>21.9</v>
      </c>
      <c r="H56" t="n">
        <v>5</v>
      </c>
      <c r="I56" t="n">
        <v>6</v>
      </c>
      <c r="J56" t="n">
        <v>11</v>
      </c>
      <c r="K56" t="n">
        <v>1</v>
      </c>
      <c r="L56" t="n">
        <v>0</v>
      </c>
      <c r="M56" t="n">
        <v>0</v>
      </c>
      <c r="N56" t="n">
        <v>0</v>
      </c>
      <c r="O56" t="n">
        <v>12</v>
      </c>
      <c r="P56" t="n">
        <v>1</v>
      </c>
      <c r="Q56" t="n">
        <v>19</v>
      </c>
      <c r="R56" s="2" t="inlineStr">
        <is>
          <t>Gräddporing
Brunpudrad nållav
Garnlav
Mörk kolflarnlav
Nordtagging
Rosenticka
Spillkråka
Talltita
Tretåig hackspett
Ullticka
Vedskivlav
Vitgrynig nållav
Bårdlav
Norrlandslav
Plattlummer
Skinnlav
Stuplav
Vedticka
Vanlig padda</t>
        </is>
      </c>
      <c r="S56">
        <f>HYPERLINK("https://klasma.github.io/Logging_2417/artfynd/A 30590-2025 artfynd.xlsx", "A 30590-2025")</f>
        <v/>
      </c>
      <c r="T56">
        <f>HYPERLINK("https://klasma.github.io/Logging_2417/kartor/A 30590-2025 karta.png", "A 30590-2025")</f>
        <v/>
      </c>
      <c r="V56">
        <f>HYPERLINK("https://klasma.github.io/Logging_2417/klagomål/A 30590-2025 FSC-klagomål.docx", "A 30590-2025")</f>
        <v/>
      </c>
      <c r="W56">
        <f>HYPERLINK("https://klasma.github.io/Logging_2417/klagomålsmail/A 30590-2025 FSC-klagomål mail.docx", "A 30590-2025")</f>
        <v/>
      </c>
      <c r="X56">
        <f>HYPERLINK("https://klasma.github.io/Logging_2417/tillsyn/A 30590-2025 tillsynsbegäran.docx", "A 30590-2025")</f>
        <v/>
      </c>
      <c r="Y56">
        <f>HYPERLINK("https://klasma.github.io/Logging_2417/tillsynsmail/A 30590-2025 tillsynsbegäran mail.docx", "A 30590-2025")</f>
        <v/>
      </c>
      <c r="Z56">
        <f>HYPERLINK("https://klasma.github.io/Logging_2417/fåglar/A 30590-2025 prioriterade fågelarter.docx", "A 30590-2025")</f>
        <v/>
      </c>
    </row>
    <row r="57" ht="15" customHeight="1">
      <c r="A57" t="inlineStr">
        <is>
          <t>A 41672-2024</t>
        </is>
      </c>
      <c r="B57" s="1" t="n">
        <v>45560</v>
      </c>
      <c r="C57" s="1" t="n">
        <v>46075</v>
      </c>
      <c r="D57" t="inlineStr">
        <is>
          <t>VÄSTERBOTTENS LÄN</t>
        </is>
      </c>
      <c r="E57" t="inlineStr">
        <is>
          <t>SKELLEFTEÅ</t>
        </is>
      </c>
      <c r="F57" t="inlineStr">
        <is>
          <t>Sveaskog</t>
        </is>
      </c>
      <c r="G57" t="n">
        <v>4.6</v>
      </c>
      <c r="H57" t="n">
        <v>1</v>
      </c>
      <c r="I57" t="n">
        <v>5</v>
      </c>
      <c r="J57" t="n">
        <v>12</v>
      </c>
      <c r="K57" t="n">
        <v>2</v>
      </c>
      <c r="L57" t="n">
        <v>0</v>
      </c>
      <c r="M57" t="n">
        <v>0</v>
      </c>
      <c r="N57" t="n">
        <v>0</v>
      </c>
      <c r="O57" t="n">
        <v>14</v>
      </c>
      <c r="P57" t="n">
        <v>2</v>
      </c>
      <c r="Q57" t="n">
        <v>19</v>
      </c>
      <c r="R57"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57">
        <f>HYPERLINK("https://klasma.github.io/Logging_2482/artfynd/A 41672-2024 artfynd.xlsx", "A 41672-2024")</f>
        <v/>
      </c>
      <c r="T57">
        <f>HYPERLINK("https://klasma.github.io/Logging_2482/kartor/A 41672-2024 karta.png", "A 41672-2024")</f>
        <v/>
      </c>
      <c r="V57">
        <f>HYPERLINK("https://klasma.github.io/Logging_2482/klagomål/A 41672-2024 FSC-klagomål.docx", "A 41672-2024")</f>
        <v/>
      </c>
      <c r="W57">
        <f>HYPERLINK("https://klasma.github.io/Logging_2482/klagomålsmail/A 41672-2024 FSC-klagomål mail.docx", "A 41672-2024")</f>
        <v/>
      </c>
      <c r="X57">
        <f>HYPERLINK("https://klasma.github.io/Logging_2482/tillsyn/A 41672-2024 tillsynsbegäran.docx", "A 41672-2024")</f>
        <v/>
      </c>
      <c r="Y57">
        <f>HYPERLINK("https://klasma.github.io/Logging_2482/tillsynsmail/A 41672-2024 tillsynsbegäran mail.docx", "A 41672-2024")</f>
        <v/>
      </c>
      <c r="Z57">
        <f>HYPERLINK("https://klasma.github.io/Logging_2482/fåglar/A 41672-2024 prioriterade fågelarter.docx", "A 41672-2024")</f>
        <v/>
      </c>
    </row>
    <row r="58" ht="15" customHeight="1">
      <c r="A58" t="inlineStr">
        <is>
          <t>A 41223-2024</t>
        </is>
      </c>
      <c r="B58" s="1" t="n">
        <v>45559</v>
      </c>
      <c r="C58" s="1" t="n">
        <v>46075</v>
      </c>
      <c r="D58" t="inlineStr">
        <is>
          <t>VÄSTERBOTTENS LÄN</t>
        </is>
      </c>
      <c r="E58" t="inlineStr">
        <is>
          <t>LYCKSELE</t>
        </is>
      </c>
      <c r="F58" t="inlineStr">
        <is>
          <t>Sveaskog</t>
        </is>
      </c>
      <c r="G58" t="n">
        <v>5.4</v>
      </c>
      <c r="H58" t="n">
        <v>9</v>
      </c>
      <c r="I58" t="n">
        <v>4</v>
      </c>
      <c r="J58" t="n">
        <v>9</v>
      </c>
      <c r="K58" t="n">
        <v>1</v>
      </c>
      <c r="L58" t="n">
        <v>0</v>
      </c>
      <c r="M58" t="n">
        <v>0</v>
      </c>
      <c r="N58" t="n">
        <v>0</v>
      </c>
      <c r="O58" t="n">
        <v>10</v>
      </c>
      <c r="P58" t="n">
        <v>1</v>
      </c>
      <c r="Q58" t="n">
        <v>19</v>
      </c>
      <c r="R58" s="2" t="inlineStr">
        <is>
          <t>Knärot
Garnlav
Granticka
Harticka
Spillkråka
Talltita
Tretåig hackspett
Vedskivlav
Violettgrå tagellav
Vitgrynig nållav
Gulnål
Norrlandslav
Trådticka
Vedticka
Kungsfågel
Lavskrika
Tjäder
Fläcknycklar
Revlummer</t>
        </is>
      </c>
      <c r="S58">
        <f>HYPERLINK("https://klasma.github.io/Logging_2481/artfynd/A 41223-2024 artfynd.xlsx", "A 41223-2024")</f>
        <v/>
      </c>
      <c r="T58">
        <f>HYPERLINK("https://klasma.github.io/Logging_2481/kartor/A 41223-2024 karta.png", "A 41223-2024")</f>
        <v/>
      </c>
      <c r="U58">
        <f>HYPERLINK("https://klasma.github.io/Logging_2481/knärot/A 41223-2024 karta knärot.png", "A 41223-2024")</f>
        <v/>
      </c>
      <c r="V58">
        <f>HYPERLINK("https://klasma.github.io/Logging_2481/klagomål/A 41223-2024 FSC-klagomål.docx", "A 41223-2024")</f>
        <v/>
      </c>
      <c r="W58">
        <f>HYPERLINK("https://klasma.github.io/Logging_2481/klagomålsmail/A 41223-2024 FSC-klagomål mail.docx", "A 41223-2024")</f>
        <v/>
      </c>
      <c r="X58">
        <f>HYPERLINK("https://klasma.github.io/Logging_2481/tillsyn/A 41223-2024 tillsynsbegäran.docx", "A 41223-2024")</f>
        <v/>
      </c>
      <c r="Y58">
        <f>HYPERLINK("https://klasma.github.io/Logging_2481/tillsynsmail/A 41223-2024 tillsynsbegäran mail.docx", "A 41223-2024")</f>
        <v/>
      </c>
      <c r="Z58">
        <f>HYPERLINK("https://klasma.github.io/Logging_2481/fåglar/A 41223-2024 prioriterade fågelarter.docx", "A 41223-2024")</f>
        <v/>
      </c>
    </row>
    <row r="59" ht="15" customHeight="1">
      <c r="A59" t="inlineStr">
        <is>
          <t>A 59219-2022</t>
        </is>
      </c>
      <c r="B59" s="1" t="n">
        <v>44904</v>
      </c>
      <c r="C59" s="1" t="n">
        <v>46075</v>
      </c>
      <c r="D59" t="inlineStr">
        <is>
          <t>VÄSTERBOTTENS LÄN</t>
        </is>
      </c>
      <c r="E59" t="inlineStr">
        <is>
          <t>STORUMAN</t>
        </is>
      </c>
      <c r="F59" t="inlineStr">
        <is>
          <t>Sveaskog</t>
        </is>
      </c>
      <c r="G59" t="n">
        <v>15.6</v>
      </c>
      <c r="H59" t="n">
        <v>3</v>
      </c>
      <c r="I59" t="n">
        <v>3</v>
      </c>
      <c r="J59" t="n">
        <v>13</v>
      </c>
      <c r="K59" t="n">
        <v>2</v>
      </c>
      <c r="L59" t="n">
        <v>0</v>
      </c>
      <c r="M59" t="n">
        <v>0</v>
      </c>
      <c r="N59" t="n">
        <v>0</v>
      </c>
      <c r="O59" t="n">
        <v>16</v>
      </c>
      <c r="P59" t="n">
        <v>2</v>
      </c>
      <c r="Q59" t="n">
        <v>19</v>
      </c>
      <c r="R59" s="2" t="inlineStr">
        <is>
          <t>Doftticka
Fläckporing
Blanksvart spiklav
Blågrå svartspik
Garnlav
Granticka
Kolflarnlav
Kortskaftad ärgspik
Lunglav
Mörk kolflarnlav
Skrovellav
Spillkråka
Talltita
Vedskivlav
Vitgrynig nållav
Mörk kådsvartspik
Barkticka
Luddlav
Stuplav</t>
        </is>
      </c>
      <c r="S59">
        <f>HYPERLINK("https://klasma.github.io/Logging_2421/artfynd/A 59219-2022 artfynd.xlsx", "A 59219-2022")</f>
        <v/>
      </c>
      <c r="T59">
        <f>HYPERLINK("https://klasma.github.io/Logging_2421/kartor/A 59219-2022 karta.png", "A 59219-2022")</f>
        <v/>
      </c>
      <c r="V59">
        <f>HYPERLINK("https://klasma.github.io/Logging_2421/klagomål/A 59219-2022 FSC-klagomål.docx", "A 59219-2022")</f>
        <v/>
      </c>
      <c r="W59">
        <f>HYPERLINK("https://klasma.github.io/Logging_2421/klagomålsmail/A 59219-2022 FSC-klagomål mail.docx", "A 59219-2022")</f>
        <v/>
      </c>
      <c r="X59">
        <f>HYPERLINK("https://klasma.github.io/Logging_2421/tillsyn/A 59219-2022 tillsynsbegäran.docx", "A 59219-2022")</f>
        <v/>
      </c>
      <c r="Y59">
        <f>HYPERLINK("https://klasma.github.io/Logging_2421/tillsynsmail/A 59219-2022 tillsynsbegäran mail.docx", "A 59219-2022")</f>
        <v/>
      </c>
      <c r="Z59">
        <f>HYPERLINK("https://klasma.github.io/Logging_2421/fåglar/A 59219-2022 prioriterade fågelarter.docx", "A 59219-2022")</f>
        <v/>
      </c>
    </row>
    <row r="60" ht="15" customHeight="1">
      <c r="A60" t="inlineStr">
        <is>
          <t>A 27826-2021</t>
        </is>
      </c>
      <c r="B60" s="1" t="n">
        <v>44354.5665162037</v>
      </c>
      <c r="C60" s="1" t="n">
        <v>46075</v>
      </c>
      <c r="D60" t="inlineStr">
        <is>
          <t>VÄSTERBOTTENS LÄN</t>
        </is>
      </c>
      <c r="E60" t="inlineStr">
        <is>
          <t>ÅSELE</t>
        </is>
      </c>
      <c r="F60" t="inlineStr">
        <is>
          <t>Sveaskog</t>
        </is>
      </c>
      <c r="G60" t="n">
        <v>30.2</v>
      </c>
      <c r="H60" t="n">
        <v>3</v>
      </c>
      <c r="I60" t="n">
        <v>7</v>
      </c>
      <c r="J60" t="n">
        <v>7</v>
      </c>
      <c r="K60" t="n">
        <v>3</v>
      </c>
      <c r="L60" t="n">
        <v>0</v>
      </c>
      <c r="M60" t="n">
        <v>0</v>
      </c>
      <c r="N60" t="n">
        <v>0</v>
      </c>
      <c r="O60" t="n">
        <v>10</v>
      </c>
      <c r="P60" t="n">
        <v>3</v>
      </c>
      <c r="Q60" t="n">
        <v>18</v>
      </c>
      <c r="R60" s="2" t="inlineStr">
        <is>
          <t>Doftticka
Ostticka
Rynkskinn
Granticka
Gränsticka
Harticka
Lunglav
Rosenticka
Skrovellav
Ullticka
Bårdlav
Luddlav
Skinnlav
Spindelblomster
Stuplav
Trådticka
Ögonpyrola
Fläcknycklar</t>
        </is>
      </c>
      <c r="S60">
        <f>HYPERLINK("https://klasma.github.io/Logging_2463/artfynd/A 27826-2021 artfynd.xlsx", "A 27826-2021")</f>
        <v/>
      </c>
      <c r="T60">
        <f>HYPERLINK("https://klasma.github.io/Logging_2463/kartor/A 27826-2021 karta.png", "A 27826-2021")</f>
        <v/>
      </c>
      <c r="V60">
        <f>HYPERLINK("https://klasma.github.io/Logging_2463/klagomål/A 27826-2021 FSC-klagomål.docx", "A 27826-2021")</f>
        <v/>
      </c>
      <c r="W60">
        <f>HYPERLINK("https://klasma.github.io/Logging_2463/klagomålsmail/A 27826-2021 FSC-klagomål mail.docx", "A 27826-2021")</f>
        <v/>
      </c>
      <c r="X60">
        <f>HYPERLINK("https://klasma.github.io/Logging_2463/tillsyn/A 27826-2021 tillsynsbegäran.docx", "A 27826-2021")</f>
        <v/>
      </c>
      <c r="Y60">
        <f>HYPERLINK("https://klasma.github.io/Logging_2463/tillsynsmail/A 27826-2021 tillsynsbegäran mail.docx", "A 27826-2021")</f>
        <v/>
      </c>
    </row>
    <row r="61" ht="15" customHeight="1">
      <c r="A61" t="inlineStr">
        <is>
          <t>A 3379-2022</t>
        </is>
      </c>
      <c r="B61" s="1" t="n">
        <v>44585</v>
      </c>
      <c r="C61" s="1" t="n">
        <v>46075</v>
      </c>
      <c r="D61" t="inlineStr">
        <is>
          <t>VÄSTERBOTTENS LÄN</t>
        </is>
      </c>
      <c r="E61" t="inlineStr">
        <is>
          <t>STORUMAN</t>
        </is>
      </c>
      <c r="G61" t="n">
        <v>3.8</v>
      </c>
      <c r="H61" t="n">
        <v>7</v>
      </c>
      <c r="I61" t="n">
        <v>5</v>
      </c>
      <c r="J61" t="n">
        <v>11</v>
      </c>
      <c r="K61" t="n">
        <v>0</v>
      </c>
      <c r="L61" t="n">
        <v>0</v>
      </c>
      <c r="M61" t="n">
        <v>0</v>
      </c>
      <c r="N61" t="n">
        <v>0</v>
      </c>
      <c r="O61" t="n">
        <v>11</v>
      </c>
      <c r="P61" t="n">
        <v>0</v>
      </c>
      <c r="Q61" t="n">
        <v>18</v>
      </c>
      <c r="R61" s="2" t="inlineStr">
        <is>
          <t>Brunpudrad nållav
Garnlav
Granticka
Harticka
Järpe
Skrovellav
Spillkråka
Talltita
Tretåig hackspett
Ullticka
Vitgrynig nållav
Bårdlav
Finbräken
Mörkhövdad spiklav
Spindelblomster
Stuplav
Skogsrör
Revlummer</t>
        </is>
      </c>
      <c r="S61">
        <f>HYPERLINK("https://klasma.github.io/Logging_2421/artfynd/A 3379-2022 artfynd.xlsx", "A 3379-2022")</f>
        <v/>
      </c>
      <c r="T61">
        <f>HYPERLINK("https://klasma.github.io/Logging_2421/kartor/A 3379-2022 karta.png", "A 3379-2022")</f>
        <v/>
      </c>
      <c r="V61">
        <f>HYPERLINK("https://klasma.github.io/Logging_2421/klagomål/A 3379-2022 FSC-klagomål.docx", "A 3379-2022")</f>
        <v/>
      </c>
      <c r="W61">
        <f>HYPERLINK("https://klasma.github.io/Logging_2421/klagomålsmail/A 3379-2022 FSC-klagomål mail.docx", "A 3379-2022")</f>
        <v/>
      </c>
      <c r="X61">
        <f>HYPERLINK("https://klasma.github.io/Logging_2421/tillsyn/A 3379-2022 tillsynsbegäran.docx", "A 3379-2022")</f>
        <v/>
      </c>
      <c r="Y61">
        <f>HYPERLINK("https://klasma.github.io/Logging_2421/tillsynsmail/A 3379-2022 tillsynsbegäran mail.docx", "A 3379-2022")</f>
        <v/>
      </c>
      <c r="Z61">
        <f>HYPERLINK("https://klasma.github.io/Logging_2421/fåglar/A 3379-2022 prioriterade fågelarter.docx", "A 3379-2022")</f>
        <v/>
      </c>
    </row>
    <row r="62" ht="15" customHeight="1">
      <c r="A62" t="inlineStr">
        <is>
          <t>A 42064-2024</t>
        </is>
      </c>
      <c r="B62" s="1" t="n">
        <v>45561</v>
      </c>
      <c r="C62" s="1" t="n">
        <v>46075</v>
      </c>
      <c r="D62" t="inlineStr">
        <is>
          <t>VÄSTERBOTTENS LÄN</t>
        </is>
      </c>
      <c r="E62" t="inlineStr">
        <is>
          <t>VILHELMINA</t>
        </is>
      </c>
      <c r="G62" t="n">
        <v>37.2</v>
      </c>
      <c r="H62" t="n">
        <v>3</v>
      </c>
      <c r="I62" t="n">
        <v>2</v>
      </c>
      <c r="J62" t="n">
        <v>15</v>
      </c>
      <c r="K62" t="n">
        <v>1</v>
      </c>
      <c r="L62" t="n">
        <v>0</v>
      </c>
      <c r="M62" t="n">
        <v>0</v>
      </c>
      <c r="N62" t="n">
        <v>0</v>
      </c>
      <c r="O62" t="n">
        <v>16</v>
      </c>
      <c r="P62" t="n">
        <v>1</v>
      </c>
      <c r="Q62" t="n">
        <v>18</v>
      </c>
      <c r="R62" s="2" t="inlineStr">
        <is>
          <t>Ulltickeporing
Blanksvart spiklav
Gammelgransskål
Garnlav
Granticka
Harticka
Järpe
Kortskaftad ärgspik
Leptoporus mollis
Rosenticka
Skogshare
Skrovellav
Talltita
Tretåig hackspett
Ullticka
Vitgrynig nållav
Korallblylav
Luddlav</t>
        </is>
      </c>
      <c r="S62">
        <f>HYPERLINK("https://klasma.github.io/Logging_2462/artfynd/A 42064-2024 artfynd.xlsx", "A 42064-2024")</f>
        <v/>
      </c>
      <c r="T62">
        <f>HYPERLINK("https://klasma.github.io/Logging_2462/kartor/A 42064-2024 karta.png", "A 42064-2024")</f>
        <v/>
      </c>
      <c r="V62">
        <f>HYPERLINK("https://klasma.github.io/Logging_2462/klagomål/A 42064-2024 FSC-klagomål.docx", "A 42064-2024")</f>
        <v/>
      </c>
      <c r="W62">
        <f>HYPERLINK("https://klasma.github.io/Logging_2462/klagomålsmail/A 42064-2024 FSC-klagomål mail.docx", "A 42064-2024")</f>
        <v/>
      </c>
      <c r="X62">
        <f>HYPERLINK("https://klasma.github.io/Logging_2462/tillsyn/A 42064-2024 tillsynsbegäran.docx", "A 42064-2024")</f>
        <v/>
      </c>
      <c r="Y62">
        <f>HYPERLINK("https://klasma.github.io/Logging_2462/tillsynsmail/A 42064-2024 tillsynsbegäran mail.docx", "A 42064-2024")</f>
        <v/>
      </c>
      <c r="Z62">
        <f>HYPERLINK("https://klasma.github.io/Logging_2462/fåglar/A 42064-2024 prioriterade fågelarter.docx", "A 42064-2024")</f>
        <v/>
      </c>
    </row>
    <row r="63" ht="15" customHeight="1">
      <c r="A63" t="inlineStr">
        <is>
          <t>A 64501-2023</t>
        </is>
      </c>
      <c r="B63" s="1" t="n">
        <v>45280</v>
      </c>
      <c r="C63" s="1" t="n">
        <v>46075</v>
      </c>
      <c r="D63" t="inlineStr">
        <is>
          <t>VÄSTERBOTTENS LÄN</t>
        </is>
      </c>
      <c r="E63" t="inlineStr">
        <is>
          <t>BJURHOLM</t>
        </is>
      </c>
      <c r="F63" t="inlineStr">
        <is>
          <t>SCA</t>
        </is>
      </c>
      <c r="G63" t="n">
        <v>4.4</v>
      </c>
      <c r="H63" t="n">
        <v>5</v>
      </c>
      <c r="I63" t="n">
        <v>8</v>
      </c>
      <c r="J63" t="n">
        <v>8</v>
      </c>
      <c r="K63" t="n">
        <v>0</v>
      </c>
      <c r="L63" t="n">
        <v>0</v>
      </c>
      <c r="M63" t="n">
        <v>0</v>
      </c>
      <c r="N63" t="n">
        <v>0</v>
      </c>
      <c r="O63" t="n">
        <v>8</v>
      </c>
      <c r="P63" t="n">
        <v>0</v>
      </c>
      <c r="Q63" t="n">
        <v>18</v>
      </c>
      <c r="R63" s="2" t="inlineStr">
        <is>
          <t>Dvärgbägarlav
Garnlav
Mörk kolflarnlav
Talltita
Tretåig hackspett
Ullticka
Vedskivlav
Vitgrynig nållav
Björksplintborre
Bårdlav
Kornig nållav
Norrlandslav
Skinnlav
Spindelblomster
Stuplav
Vedticka
Kungsfågel
Revlummer</t>
        </is>
      </c>
      <c r="S63">
        <f>HYPERLINK("https://klasma.github.io/Logging_2403/artfynd/A 64501-2023 artfynd.xlsx", "A 64501-2023")</f>
        <v/>
      </c>
      <c r="T63">
        <f>HYPERLINK("https://klasma.github.io/Logging_2403/kartor/A 64501-2023 karta.png", "A 64501-2023")</f>
        <v/>
      </c>
      <c r="U63">
        <f>HYPERLINK("https://klasma.github.io/Logging_2403/knärot/A 64501-2023 karta knärot.png", "A 64501-2023")</f>
        <v/>
      </c>
      <c r="V63">
        <f>HYPERLINK("https://klasma.github.io/Logging_2403/klagomål/A 64501-2023 FSC-klagomål.docx", "A 64501-2023")</f>
        <v/>
      </c>
      <c r="W63">
        <f>HYPERLINK("https://klasma.github.io/Logging_2403/klagomålsmail/A 64501-2023 FSC-klagomål mail.docx", "A 64501-2023")</f>
        <v/>
      </c>
      <c r="X63">
        <f>HYPERLINK("https://klasma.github.io/Logging_2403/tillsyn/A 64501-2023 tillsynsbegäran.docx", "A 64501-2023")</f>
        <v/>
      </c>
      <c r="Y63">
        <f>HYPERLINK("https://klasma.github.io/Logging_2403/tillsynsmail/A 64501-2023 tillsynsbegäran mail.docx", "A 64501-2023")</f>
        <v/>
      </c>
      <c r="Z63">
        <f>HYPERLINK("https://klasma.github.io/Logging_2403/fåglar/A 64501-2023 prioriterade fågelarter.docx", "A 64501-2023")</f>
        <v/>
      </c>
    </row>
    <row r="64" ht="15" customHeight="1">
      <c r="A64" t="inlineStr">
        <is>
          <t>A 58922-2024</t>
        </is>
      </c>
      <c r="B64" s="1" t="n">
        <v>45635</v>
      </c>
      <c r="C64" s="1" t="n">
        <v>46075</v>
      </c>
      <c r="D64" t="inlineStr">
        <is>
          <t>VÄSTERBOTTENS LÄN</t>
        </is>
      </c>
      <c r="E64" t="inlineStr">
        <is>
          <t>STORUMAN</t>
        </is>
      </c>
      <c r="F64" t="inlineStr">
        <is>
          <t>Allmännings- och besparingsskogar</t>
        </is>
      </c>
      <c r="G64" t="n">
        <v>157.1</v>
      </c>
      <c r="H64" t="n">
        <v>1</v>
      </c>
      <c r="I64" t="n">
        <v>1</v>
      </c>
      <c r="J64" t="n">
        <v>13</v>
      </c>
      <c r="K64" t="n">
        <v>4</v>
      </c>
      <c r="L64" t="n">
        <v>0</v>
      </c>
      <c r="M64" t="n">
        <v>0</v>
      </c>
      <c r="N64" t="n">
        <v>0</v>
      </c>
      <c r="O64" t="n">
        <v>17</v>
      </c>
      <c r="P64" t="n">
        <v>4</v>
      </c>
      <c r="Q64" t="n">
        <v>18</v>
      </c>
      <c r="R64" s="2" t="inlineStr">
        <is>
          <t>Doftticka
Ostticka
Rynkskinn
Sprickporing
Brunpudrad nållav
Gammelgransskål
Garnlav
Granticka
Gränsticka
Harticka
Knottrig blåslav
Rosenticka
Rödbrun blekspik
Skrovellav
Ullticka
Vitgrynig nållav
Vitskaftad svartspik
Svavelriska</t>
        </is>
      </c>
      <c r="S64">
        <f>HYPERLINK("https://klasma.github.io/Logging_2421/artfynd/A 58922-2024 artfynd.xlsx", "A 58922-2024")</f>
        <v/>
      </c>
      <c r="T64">
        <f>HYPERLINK("https://klasma.github.io/Logging_2421/kartor/A 58922-2024 karta.png", "A 58922-2024")</f>
        <v/>
      </c>
      <c r="V64">
        <f>HYPERLINK("https://klasma.github.io/Logging_2421/klagomål/A 58922-2024 FSC-klagomål.docx", "A 58922-2024")</f>
        <v/>
      </c>
      <c r="W64">
        <f>HYPERLINK("https://klasma.github.io/Logging_2421/klagomålsmail/A 58922-2024 FSC-klagomål mail.docx", "A 58922-2024")</f>
        <v/>
      </c>
      <c r="X64">
        <f>HYPERLINK("https://klasma.github.io/Logging_2421/tillsyn/A 58922-2024 tillsynsbegäran.docx", "A 58922-2024")</f>
        <v/>
      </c>
      <c r="Y64">
        <f>HYPERLINK("https://klasma.github.io/Logging_2421/tillsynsmail/A 58922-2024 tillsynsbegäran mail.docx", "A 58922-2024")</f>
        <v/>
      </c>
    </row>
    <row r="65" ht="15" customHeight="1">
      <c r="A65" t="inlineStr">
        <is>
          <t>A 33971-2024</t>
        </is>
      </c>
      <c r="B65" s="1" t="n">
        <v>45523</v>
      </c>
      <c r="C65" s="1" t="n">
        <v>46075</v>
      </c>
      <c r="D65" t="inlineStr">
        <is>
          <t>VÄSTERBOTTENS LÄN</t>
        </is>
      </c>
      <c r="E65" t="inlineStr">
        <is>
          <t>SKELLEFTEÅ</t>
        </is>
      </c>
      <c r="F65" t="inlineStr">
        <is>
          <t>Holmen skog AB</t>
        </is>
      </c>
      <c r="G65" t="n">
        <v>22.3</v>
      </c>
      <c r="H65" t="n">
        <v>4</v>
      </c>
      <c r="I65" t="n">
        <v>3</v>
      </c>
      <c r="J65" t="n">
        <v>12</v>
      </c>
      <c r="K65" t="n">
        <v>2</v>
      </c>
      <c r="L65" t="n">
        <v>0</v>
      </c>
      <c r="M65" t="n">
        <v>0</v>
      </c>
      <c r="N65" t="n">
        <v>0</v>
      </c>
      <c r="O65" t="n">
        <v>14</v>
      </c>
      <c r="P65" t="n">
        <v>2</v>
      </c>
      <c r="Q65" t="n">
        <v>18</v>
      </c>
      <c r="R65" s="2" t="inlineStr">
        <is>
          <t>Fläckporing
Knärot
Blanksvart spiklav
Gammelgransskål
Garnlav
Järpe
Kolflarnlav
Kortskaftad ärgspik
Lunglav
Rosenticka
Tallriska
Talltita
Violettgrå tagellav
Vitgrynig nållav
Dropptaggsvamp
Skarp dropptaggsvamp
Stuplav
Lavskrika</t>
        </is>
      </c>
      <c r="S65">
        <f>HYPERLINK("https://klasma.github.io/Logging_2482/artfynd/A 33971-2024 artfynd.xlsx", "A 33971-2024")</f>
        <v/>
      </c>
      <c r="T65">
        <f>HYPERLINK("https://klasma.github.io/Logging_2482/kartor/A 33971-2024 karta.png", "A 33971-2024")</f>
        <v/>
      </c>
      <c r="U65">
        <f>HYPERLINK("https://klasma.github.io/Logging_2482/knärot/A 33971-2024 karta knärot.png", "A 33971-2024")</f>
        <v/>
      </c>
      <c r="V65">
        <f>HYPERLINK("https://klasma.github.io/Logging_2482/klagomål/A 33971-2024 FSC-klagomål.docx", "A 33971-2024")</f>
        <v/>
      </c>
      <c r="W65">
        <f>HYPERLINK("https://klasma.github.io/Logging_2482/klagomålsmail/A 33971-2024 FSC-klagomål mail.docx", "A 33971-2024")</f>
        <v/>
      </c>
      <c r="X65">
        <f>HYPERLINK("https://klasma.github.io/Logging_2482/tillsyn/A 33971-2024 tillsynsbegäran.docx", "A 33971-2024")</f>
        <v/>
      </c>
      <c r="Y65">
        <f>HYPERLINK("https://klasma.github.io/Logging_2482/tillsynsmail/A 33971-2024 tillsynsbegäran mail.docx", "A 33971-2024")</f>
        <v/>
      </c>
      <c r="Z65">
        <f>HYPERLINK("https://klasma.github.io/Logging_2482/fåglar/A 33971-2024 prioriterade fågelarter.docx", "A 33971-2024")</f>
        <v/>
      </c>
    </row>
    <row r="66" ht="15" customHeight="1">
      <c r="A66" t="inlineStr">
        <is>
          <t>A 46776-2024</t>
        </is>
      </c>
      <c r="B66" s="1" t="n">
        <v>45583</v>
      </c>
      <c r="C66" s="1" t="n">
        <v>46075</v>
      </c>
      <c r="D66" t="inlineStr">
        <is>
          <t>VÄSTERBOTTENS LÄN</t>
        </is>
      </c>
      <c r="E66" t="inlineStr">
        <is>
          <t>VILHELMINA</t>
        </is>
      </c>
      <c r="F66" t="inlineStr">
        <is>
          <t>SCA</t>
        </is>
      </c>
      <c r="G66" t="n">
        <v>5.8</v>
      </c>
      <c r="H66" t="n">
        <v>2</v>
      </c>
      <c r="I66" t="n">
        <v>3</v>
      </c>
      <c r="J66" t="n">
        <v>13</v>
      </c>
      <c r="K66" t="n">
        <v>1</v>
      </c>
      <c r="L66" t="n">
        <v>0</v>
      </c>
      <c r="M66" t="n">
        <v>0</v>
      </c>
      <c r="N66" t="n">
        <v>0</v>
      </c>
      <c r="O66" t="n">
        <v>14</v>
      </c>
      <c r="P66" t="n">
        <v>1</v>
      </c>
      <c r="Q66" t="n">
        <v>18</v>
      </c>
      <c r="R66" s="2" t="inlineStr">
        <is>
          <t>Ulltickeporing
Garnlav
Granticka
Gränsticka
Knottrig blåslav
Kolflarnlav
Leptoporus mollis
Lunglav
Rosenticka
Skrovellav
Tretåig hackspett
Ullticka
Vedskivlav
Äggvaxskivling
Skarp dropptaggsvamp
Stuplav
Tallfingersvamp
Tjäder</t>
        </is>
      </c>
      <c r="S66">
        <f>HYPERLINK("https://klasma.github.io/Logging_2462/artfynd/A 46776-2024 artfynd.xlsx", "A 46776-2024")</f>
        <v/>
      </c>
      <c r="T66">
        <f>HYPERLINK("https://klasma.github.io/Logging_2462/kartor/A 46776-2024 karta.png", "A 46776-2024")</f>
        <v/>
      </c>
      <c r="V66">
        <f>HYPERLINK("https://klasma.github.io/Logging_2462/klagomål/A 46776-2024 FSC-klagomål.docx", "A 46776-2024")</f>
        <v/>
      </c>
      <c r="W66">
        <f>HYPERLINK("https://klasma.github.io/Logging_2462/klagomålsmail/A 46776-2024 FSC-klagomål mail.docx", "A 46776-2024")</f>
        <v/>
      </c>
      <c r="X66">
        <f>HYPERLINK("https://klasma.github.io/Logging_2462/tillsyn/A 46776-2024 tillsynsbegäran.docx", "A 46776-2024")</f>
        <v/>
      </c>
      <c r="Y66">
        <f>HYPERLINK("https://klasma.github.io/Logging_2462/tillsynsmail/A 46776-2024 tillsynsbegäran mail.docx", "A 46776-2024")</f>
        <v/>
      </c>
      <c r="Z66">
        <f>HYPERLINK("https://klasma.github.io/Logging_2462/fåglar/A 46776-2024 prioriterade fågelarter.docx", "A 46776-2024")</f>
        <v/>
      </c>
    </row>
    <row r="67" ht="15" customHeight="1">
      <c r="A67" t="inlineStr">
        <is>
          <t>A 9057-2023</t>
        </is>
      </c>
      <c r="B67" s="1" t="n">
        <v>44972</v>
      </c>
      <c r="C67" s="1" t="n">
        <v>46075</v>
      </c>
      <c r="D67" t="inlineStr">
        <is>
          <t>VÄSTERBOTTENS LÄN</t>
        </is>
      </c>
      <c r="E67" t="inlineStr">
        <is>
          <t>VILHELMINA</t>
        </is>
      </c>
      <c r="F67" t="inlineStr">
        <is>
          <t>Allmännings- och besparingsskogar</t>
        </is>
      </c>
      <c r="G67" t="n">
        <v>403.8</v>
      </c>
      <c r="H67" t="n">
        <v>3</v>
      </c>
      <c r="I67" t="n">
        <v>6</v>
      </c>
      <c r="J67" t="n">
        <v>9</v>
      </c>
      <c r="K67" t="n">
        <v>3</v>
      </c>
      <c r="L67" t="n">
        <v>0</v>
      </c>
      <c r="M67" t="n">
        <v>0</v>
      </c>
      <c r="N67" t="n">
        <v>0</v>
      </c>
      <c r="O67" t="n">
        <v>12</v>
      </c>
      <c r="P67" t="n">
        <v>3</v>
      </c>
      <c r="Q67" t="n">
        <v>18</v>
      </c>
      <c r="R67" s="2" t="inlineStr">
        <is>
          <t>Ostticka
Rynkskinn
Tajgaskinn
Fjällvråk
Granticka
Gränsticka
Harticka
Rosenticka
Skrovellav
Tretåig hackspett
Ullticka
Vedflikmossa
Bårdlav
Skinnlav
Spindelblomster
Stuplav
Vedticka
Ögonpyrola</t>
        </is>
      </c>
      <c r="S67">
        <f>HYPERLINK("https://klasma.github.io/Logging_2462/artfynd/A 9057-2023 artfynd.xlsx", "A 9057-2023")</f>
        <v/>
      </c>
      <c r="T67">
        <f>HYPERLINK("https://klasma.github.io/Logging_2462/kartor/A 9057-2023 karta.png", "A 9057-2023")</f>
        <v/>
      </c>
      <c r="V67">
        <f>HYPERLINK("https://klasma.github.io/Logging_2462/klagomål/A 9057-2023 FSC-klagomål.docx", "A 9057-2023")</f>
        <v/>
      </c>
      <c r="W67">
        <f>HYPERLINK("https://klasma.github.io/Logging_2462/klagomålsmail/A 9057-2023 FSC-klagomål mail.docx", "A 9057-2023")</f>
        <v/>
      </c>
      <c r="X67">
        <f>HYPERLINK("https://klasma.github.io/Logging_2462/tillsyn/A 9057-2023 tillsynsbegäran.docx", "A 9057-2023")</f>
        <v/>
      </c>
      <c r="Y67">
        <f>HYPERLINK("https://klasma.github.io/Logging_2462/tillsynsmail/A 9057-2023 tillsynsbegäran mail.docx", "A 9057-2023")</f>
        <v/>
      </c>
      <c r="Z67">
        <f>HYPERLINK("https://klasma.github.io/Logging_2462/fåglar/A 9057-2023 prioriterade fågelarter.docx", "A 9057-2023")</f>
        <v/>
      </c>
    </row>
    <row r="68" ht="15" customHeight="1">
      <c r="A68" t="inlineStr">
        <is>
          <t>A 9048-2023</t>
        </is>
      </c>
      <c r="B68" s="1" t="n">
        <v>44972</v>
      </c>
      <c r="C68" s="1" t="n">
        <v>46075</v>
      </c>
      <c r="D68" t="inlineStr">
        <is>
          <t>VÄSTERBOTTENS LÄN</t>
        </is>
      </c>
      <c r="E68" t="inlineStr">
        <is>
          <t>VILHELMINA</t>
        </is>
      </c>
      <c r="F68" t="inlineStr">
        <is>
          <t>Allmännings- och besparingsskogar</t>
        </is>
      </c>
      <c r="G68" t="n">
        <v>271</v>
      </c>
      <c r="H68" t="n">
        <v>3</v>
      </c>
      <c r="I68" t="n">
        <v>4</v>
      </c>
      <c r="J68" t="n">
        <v>13</v>
      </c>
      <c r="K68" t="n">
        <v>0</v>
      </c>
      <c r="L68" t="n">
        <v>0</v>
      </c>
      <c r="M68" t="n">
        <v>0</v>
      </c>
      <c r="N68" t="n">
        <v>0</v>
      </c>
      <c r="O68" t="n">
        <v>13</v>
      </c>
      <c r="P68" t="n">
        <v>0</v>
      </c>
      <c r="Q68" t="n">
        <v>18</v>
      </c>
      <c r="R68" s="2" t="inlineStr">
        <is>
          <t>Garnlav
Granticka
Harticka
Koralltaggsvamp
Rosenticka
Stjärntagging
Talltita
Tretåig hackspett
Ullticka
Vedflikmossa
Vedtrappmossa
Vitgrynig nållav
Vitskaftad svartspik
Bronshjon
Trådticka
Vedticka
Ögonpyrola
Lavskrika</t>
        </is>
      </c>
      <c r="S68">
        <f>HYPERLINK("https://klasma.github.io/Logging_2462/artfynd/A 9048-2023 artfynd.xlsx", "A 9048-2023")</f>
        <v/>
      </c>
      <c r="T68">
        <f>HYPERLINK("https://klasma.github.io/Logging_2462/kartor/A 9048-2023 karta.png", "A 9048-2023")</f>
        <v/>
      </c>
      <c r="V68">
        <f>HYPERLINK("https://klasma.github.io/Logging_2462/klagomål/A 9048-2023 FSC-klagomål.docx", "A 9048-2023")</f>
        <v/>
      </c>
      <c r="W68">
        <f>HYPERLINK("https://klasma.github.io/Logging_2462/klagomålsmail/A 9048-2023 FSC-klagomål mail.docx", "A 9048-2023")</f>
        <v/>
      </c>
      <c r="X68">
        <f>HYPERLINK("https://klasma.github.io/Logging_2462/tillsyn/A 9048-2023 tillsynsbegäran.docx", "A 9048-2023")</f>
        <v/>
      </c>
      <c r="Y68">
        <f>HYPERLINK("https://klasma.github.io/Logging_2462/tillsynsmail/A 9048-2023 tillsynsbegäran mail.docx", "A 9048-2023")</f>
        <v/>
      </c>
      <c r="Z68">
        <f>HYPERLINK("https://klasma.github.io/Logging_2462/fåglar/A 9048-2023 prioriterade fågelarter.docx", "A 9048-2023")</f>
        <v/>
      </c>
    </row>
    <row r="69" ht="15" customHeight="1">
      <c r="A69" t="inlineStr">
        <is>
          <t>A 50909-2022</t>
        </is>
      </c>
      <c r="B69" s="1" t="n">
        <v>44865</v>
      </c>
      <c r="C69" s="1" t="n">
        <v>46075</v>
      </c>
      <c r="D69" t="inlineStr">
        <is>
          <t>VÄSTERBOTTENS LÄN</t>
        </is>
      </c>
      <c r="E69" t="inlineStr">
        <is>
          <t>SORSELE</t>
        </is>
      </c>
      <c r="G69" t="n">
        <v>14.6</v>
      </c>
      <c r="H69" t="n">
        <v>1</v>
      </c>
      <c r="I69" t="n">
        <v>3</v>
      </c>
      <c r="J69" t="n">
        <v>13</v>
      </c>
      <c r="K69" t="n">
        <v>2</v>
      </c>
      <c r="L69" t="n">
        <v>0</v>
      </c>
      <c r="M69" t="n">
        <v>0</v>
      </c>
      <c r="N69" t="n">
        <v>0</v>
      </c>
      <c r="O69" t="n">
        <v>15</v>
      </c>
      <c r="P69" t="n">
        <v>2</v>
      </c>
      <c r="Q69" t="n">
        <v>18</v>
      </c>
      <c r="R69" s="2" t="inlineStr">
        <is>
          <t>Grantickeporing
Rynkskinn
Gammelgransskål
Garnlav
Granticka
Gränsticka
Harticka
Knottrig blåslav
Lunglav
Rosenticka
Rödbrun blekspik
Tretåig hackspett
Ullticka
Vitgrynig nållav
Vitskaftad svartspik
Gulnål
Stuplav
Trådticka</t>
        </is>
      </c>
      <c r="S69">
        <f>HYPERLINK("https://klasma.github.io/Logging_2422/artfynd/A 50909-2022 artfynd.xlsx", "A 50909-2022")</f>
        <v/>
      </c>
      <c r="T69">
        <f>HYPERLINK("https://klasma.github.io/Logging_2422/kartor/A 50909-2022 karta.png", "A 50909-2022")</f>
        <v/>
      </c>
      <c r="V69">
        <f>HYPERLINK("https://klasma.github.io/Logging_2422/klagomål/A 50909-2022 FSC-klagomål.docx", "A 50909-2022")</f>
        <v/>
      </c>
      <c r="W69">
        <f>HYPERLINK("https://klasma.github.io/Logging_2422/klagomålsmail/A 50909-2022 FSC-klagomål mail.docx", "A 50909-2022")</f>
        <v/>
      </c>
      <c r="X69">
        <f>HYPERLINK("https://klasma.github.io/Logging_2422/tillsyn/A 50909-2022 tillsynsbegäran.docx", "A 50909-2022")</f>
        <v/>
      </c>
      <c r="Y69">
        <f>HYPERLINK("https://klasma.github.io/Logging_2422/tillsynsmail/A 50909-2022 tillsynsbegäran mail.docx", "A 50909-2022")</f>
        <v/>
      </c>
      <c r="Z69">
        <f>HYPERLINK("https://klasma.github.io/Logging_2422/fåglar/A 50909-2022 prioriterade fågelarter.docx", "A 50909-2022")</f>
        <v/>
      </c>
    </row>
    <row r="70" ht="15" customHeight="1">
      <c r="A70" t="inlineStr">
        <is>
          <t>A 24409-2021</t>
        </is>
      </c>
      <c r="B70" s="1" t="n">
        <v>44337</v>
      </c>
      <c r="C70" s="1" t="n">
        <v>46075</v>
      </c>
      <c r="D70" t="inlineStr">
        <is>
          <t>VÄSTERBOTTENS LÄN</t>
        </is>
      </c>
      <c r="E70" t="inlineStr">
        <is>
          <t>SORSELE</t>
        </is>
      </c>
      <c r="G70" t="n">
        <v>44.6</v>
      </c>
      <c r="H70" t="n">
        <v>3</v>
      </c>
      <c r="I70" t="n">
        <v>2</v>
      </c>
      <c r="J70" t="n">
        <v>15</v>
      </c>
      <c r="K70" t="n">
        <v>1</v>
      </c>
      <c r="L70" t="n">
        <v>0</v>
      </c>
      <c r="M70" t="n">
        <v>0</v>
      </c>
      <c r="N70" t="n">
        <v>0</v>
      </c>
      <c r="O70" t="n">
        <v>16</v>
      </c>
      <c r="P70" t="n">
        <v>1</v>
      </c>
      <c r="Q70" t="n">
        <v>18</v>
      </c>
      <c r="R70" s="2" t="inlineStr">
        <is>
          <t>Ostticka
Dvärgbägarlav
Granticka
Harticka
Lunglav
Rödbrun blekspik
Skogshare
Skorpgelélav
Skrovellav
Spillkråka
Tallticka
Talltita
Tretåig hackspett
Vedflamlav
Vedskivlav
Vitplätt
Bårdlav
Skinnlav</t>
        </is>
      </c>
      <c r="S70">
        <f>HYPERLINK("https://klasma.github.io/Logging_2422/artfynd/A 24409-2021 artfynd.xlsx", "A 24409-2021")</f>
        <v/>
      </c>
      <c r="T70">
        <f>HYPERLINK("https://klasma.github.io/Logging_2422/kartor/A 24409-2021 karta.png", "A 24409-2021")</f>
        <v/>
      </c>
      <c r="V70">
        <f>HYPERLINK("https://klasma.github.io/Logging_2422/klagomål/A 24409-2021 FSC-klagomål.docx", "A 24409-2021")</f>
        <v/>
      </c>
      <c r="W70">
        <f>HYPERLINK("https://klasma.github.io/Logging_2422/klagomålsmail/A 24409-2021 FSC-klagomål mail.docx", "A 24409-2021")</f>
        <v/>
      </c>
      <c r="X70">
        <f>HYPERLINK("https://klasma.github.io/Logging_2422/tillsyn/A 24409-2021 tillsynsbegäran.docx", "A 24409-2021")</f>
        <v/>
      </c>
      <c r="Y70">
        <f>HYPERLINK("https://klasma.github.io/Logging_2422/tillsynsmail/A 24409-2021 tillsynsbegäran mail.docx", "A 24409-2021")</f>
        <v/>
      </c>
      <c r="Z70">
        <f>HYPERLINK("https://klasma.github.io/Logging_2422/fåglar/A 24409-2021 prioriterade fågelarter.docx", "A 24409-2021")</f>
        <v/>
      </c>
    </row>
    <row r="71" ht="15" customHeight="1">
      <c r="A71" t="inlineStr">
        <is>
          <t>A 48248-2023</t>
        </is>
      </c>
      <c r="B71" s="1" t="n">
        <v>45201</v>
      </c>
      <c r="C71" s="1" t="n">
        <v>46075</v>
      </c>
      <c r="D71" t="inlineStr">
        <is>
          <t>VÄSTERBOTTENS LÄN</t>
        </is>
      </c>
      <c r="E71" t="inlineStr">
        <is>
          <t>VILHELMINA</t>
        </is>
      </c>
      <c r="F71" t="inlineStr">
        <is>
          <t>Allmännings- och besparingsskogar</t>
        </is>
      </c>
      <c r="G71" t="n">
        <v>34.2</v>
      </c>
      <c r="H71" t="n">
        <v>7</v>
      </c>
      <c r="I71" t="n">
        <v>3</v>
      </c>
      <c r="J71" t="n">
        <v>11</v>
      </c>
      <c r="K71" t="n">
        <v>1</v>
      </c>
      <c r="L71" t="n">
        <v>0</v>
      </c>
      <c r="M71" t="n">
        <v>0</v>
      </c>
      <c r="N71" t="n">
        <v>0</v>
      </c>
      <c r="O71" t="n">
        <v>12</v>
      </c>
      <c r="P71" t="n">
        <v>1</v>
      </c>
      <c r="Q71" t="n">
        <v>18</v>
      </c>
      <c r="R71" s="2" t="inlineStr">
        <is>
          <t>Tallbit
Garnlav
Granticka
Järpe
Liten svartspik
Lunglav
Rödbrun blekspik
Skrovellav
Talltita
Tretåig hackspett
Vitgrynig nållav
Vitskaftad svartspik
Bårdlav
Gulnål
Stuplav
Lavskrika
Sparvuggla
Tjäder</t>
        </is>
      </c>
      <c r="S71">
        <f>HYPERLINK("https://klasma.github.io/Logging_2462/artfynd/A 48248-2023 artfynd.xlsx", "A 48248-2023")</f>
        <v/>
      </c>
      <c r="T71">
        <f>HYPERLINK("https://klasma.github.io/Logging_2462/kartor/A 48248-2023 karta.png", "A 48248-2023")</f>
        <v/>
      </c>
      <c r="V71">
        <f>HYPERLINK("https://klasma.github.io/Logging_2462/klagomål/A 48248-2023 FSC-klagomål.docx", "A 48248-2023")</f>
        <v/>
      </c>
      <c r="W71">
        <f>HYPERLINK("https://klasma.github.io/Logging_2462/klagomålsmail/A 48248-2023 FSC-klagomål mail.docx", "A 48248-2023")</f>
        <v/>
      </c>
      <c r="X71">
        <f>HYPERLINK("https://klasma.github.io/Logging_2462/tillsyn/A 48248-2023 tillsynsbegäran.docx", "A 48248-2023")</f>
        <v/>
      </c>
      <c r="Y71">
        <f>HYPERLINK("https://klasma.github.io/Logging_2462/tillsynsmail/A 48248-2023 tillsynsbegäran mail.docx", "A 48248-2023")</f>
        <v/>
      </c>
      <c r="Z71">
        <f>HYPERLINK("https://klasma.github.io/Logging_2462/fåglar/A 48248-2023 prioriterade fågelarter.docx", "A 48248-2023")</f>
        <v/>
      </c>
    </row>
    <row r="72" ht="15" customHeight="1">
      <c r="A72" t="inlineStr">
        <is>
          <t>A 19109-2022</t>
        </is>
      </c>
      <c r="B72" s="1" t="n">
        <v>44691</v>
      </c>
      <c r="C72" s="1" t="n">
        <v>46075</v>
      </c>
      <c r="D72" t="inlineStr">
        <is>
          <t>VÄSTERBOTTENS LÄN</t>
        </is>
      </c>
      <c r="E72" t="inlineStr">
        <is>
          <t>BJURHOLM</t>
        </is>
      </c>
      <c r="G72" t="n">
        <v>9.9</v>
      </c>
      <c r="H72" t="n">
        <v>5</v>
      </c>
      <c r="I72" t="n">
        <v>7</v>
      </c>
      <c r="J72" t="n">
        <v>9</v>
      </c>
      <c r="K72" t="n">
        <v>2</v>
      </c>
      <c r="L72" t="n">
        <v>0</v>
      </c>
      <c r="M72" t="n">
        <v>0</v>
      </c>
      <c r="N72" t="n">
        <v>0</v>
      </c>
      <c r="O72" t="n">
        <v>11</v>
      </c>
      <c r="P72" t="n">
        <v>2</v>
      </c>
      <c r="Q72" t="n">
        <v>18</v>
      </c>
      <c r="R72" s="2" t="inlineStr">
        <is>
          <t>Knärot
Rynkskinn
Gammelgransskål
Garnlav
Granticka
Järpe
Lunglav
Motaggsvamp
Tretåig hackspett
Ullticka
Violettgrå tagellav
Bollvitmossa
Bårdlav
Grönpyrola
Plattlummer
Spindelblomster
Stuplav
Vedticka</t>
        </is>
      </c>
      <c r="S72">
        <f>HYPERLINK("https://klasma.github.io/Logging_2403/artfynd/A 19109-2022 artfynd.xlsx", "A 19109-2022")</f>
        <v/>
      </c>
      <c r="T72">
        <f>HYPERLINK("https://klasma.github.io/Logging_2403/kartor/A 19109-2022 karta.png", "A 19109-2022")</f>
        <v/>
      </c>
      <c r="U72">
        <f>HYPERLINK("https://klasma.github.io/Logging_2403/knärot/A 19109-2022 karta knärot.png", "A 19109-2022")</f>
        <v/>
      </c>
      <c r="V72">
        <f>HYPERLINK("https://klasma.github.io/Logging_2403/klagomål/A 19109-2022 FSC-klagomål.docx", "A 19109-2022")</f>
        <v/>
      </c>
      <c r="W72">
        <f>HYPERLINK("https://klasma.github.io/Logging_2403/klagomålsmail/A 19109-2022 FSC-klagomål mail.docx", "A 19109-2022")</f>
        <v/>
      </c>
      <c r="X72">
        <f>HYPERLINK("https://klasma.github.io/Logging_2403/tillsyn/A 19109-2022 tillsynsbegäran.docx", "A 19109-2022")</f>
        <v/>
      </c>
      <c r="Y72">
        <f>HYPERLINK("https://klasma.github.io/Logging_2403/tillsynsmail/A 19109-2022 tillsynsbegäran mail.docx", "A 19109-2022")</f>
        <v/>
      </c>
      <c r="Z72">
        <f>HYPERLINK("https://klasma.github.io/Logging_2403/fåglar/A 19109-2022 prioriterade fågelarter.docx", "A 19109-2022")</f>
        <v/>
      </c>
    </row>
    <row r="73" ht="15" customHeight="1">
      <c r="A73" t="inlineStr">
        <is>
          <t>A 24078-2025</t>
        </is>
      </c>
      <c r="B73" s="1" t="n">
        <v>45796.55269675926</v>
      </c>
      <c r="C73" s="1" t="n">
        <v>46075</v>
      </c>
      <c r="D73" t="inlineStr">
        <is>
          <t>VÄSTERBOTTENS LÄN</t>
        </is>
      </c>
      <c r="E73" t="inlineStr">
        <is>
          <t>SKELLEFTEÅ</t>
        </is>
      </c>
      <c r="F73" t="inlineStr">
        <is>
          <t>Holmen skog AB</t>
        </is>
      </c>
      <c r="G73" t="n">
        <v>6.7</v>
      </c>
      <c r="H73" t="n">
        <v>3</v>
      </c>
      <c r="I73" t="n">
        <v>4</v>
      </c>
      <c r="J73" t="n">
        <v>10</v>
      </c>
      <c r="K73" t="n">
        <v>0</v>
      </c>
      <c r="L73" t="n">
        <v>2</v>
      </c>
      <c r="M73" t="n">
        <v>0</v>
      </c>
      <c r="N73" t="n">
        <v>0</v>
      </c>
      <c r="O73" t="n">
        <v>12</v>
      </c>
      <c r="P73" t="n">
        <v>2</v>
      </c>
      <c r="Q73" t="n">
        <v>18</v>
      </c>
      <c r="R73" s="2" t="inlineStr">
        <is>
          <t>Kolticka
Urskogsporing
Blanksvart spiklav
Blå taggsvamp
Blågrå svartspik
Dvärgbägarlav
Garnlav
Kolflarnlav
Nordtagging
Stjärntagging
Talltita
Vedskivlav
Dropptaggsvamp
Luddlav
Nästlav
Vedticka
Lavskrika
Tjäder</t>
        </is>
      </c>
      <c r="S73">
        <f>HYPERLINK("https://klasma.github.io/Logging_2482/artfynd/A 24078-2025 artfynd.xlsx", "A 24078-2025")</f>
        <v/>
      </c>
      <c r="T73">
        <f>HYPERLINK("https://klasma.github.io/Logging_2482/kartor/A 24078-2025 karta.png", "A 24078-2025")</f>
        <v/>
      </c>
      <c r="V73">
        <f>HYPERLINK("https://klasma.github.io/Logging_2482/klagomål/A 24078-2025 FSC-klagomål.docx", "A 24078-2025")</f>
        <v/>
      </c>
      <c r="W73">
        <f>HYPERLINK("https://klasma.github.io/Logging_2482/klagomålsmail/A 24078-2025 FSC-klagomål mail.docx", "A 24078-2025")</f>
        <v/>
      </c>
      <c r="X73">
        <f>HYPERLINK("https://klasma.github.io/Logging_2482/tillsyn/A 24078-2025 tillsynsbegäran.docx", "A 24078-2025")</f>
        <v/>
      </c>
      <c r="Y73">
        <f>HYPERLINK("https://klasma.github.io/Logging_2482/tillsynsmail/A 24078-2025 tillsynsbegäran mail.docx", "A 24078-2025")</f>
        <v/>
      </c>
      <c r="Z73">
        <f>HYPERLINK("https://klasma.github.io/Logging_2482/fåglar/A 24078-2025 prioriterade fågelarter.docx", "A 24078-2025")</f>
        <v/>
      </c>
    </row>
    <row r="74" ht="15" customHeight="1">
      <c r="A74" t="inlineStr">
        <is>
          <t>A 22179-2022</t>
        </is>
      </c>
      <c r="B74" s="1" t="n">
        <v>44712</v>
      </c>
      <c r="C74" s="1" t="n">
        <v>46075</v>
      </c>
      <c r="D74" t="inlineStr">
        <is>
          <t>VÄSTERBOTTENS LÄN</t>
        </is>
      </c>
      <c r="E74" t="inlineStr">
        <is>
          <t>STORUMAN</t>
        </is>
      </c>
      <c r="G74" t="n">
        <v>51.6</v>
      </c>
      <c r="H74" t="n">
        <v>4</v>
      </c>
      <c r="I74" t="n">
        <v>2</v>
      </c>
      <c r="J74" t="n">
        <v>12</v>
      </c>
      <c r="K74" t="n">
        <v>2</v>
      </c>
      <c r="L74" t="n">
        <v>0</v>
      </c>
      <c r="M74" t="n">
        <v>0</v>
      </c>
      <c r="N74" t="n">
        <v>0</v>
      </c>
      <c r="O74" t="n">
        <v>14</v>
      </c>
      <c r="P74" t="n">
        <v>2</v>
      </c>
      <c r="Q74" t="n">
        <v>17</v>
      </c>
      <c r="R74" s="2" t="inlineStr">
        <is>
          <t>Doftporing
Doftticka
Blå taggsvamp
Dvärgbägarlav
Gammelgransskål
Garnlav
Granticka
Järpe
Kolflarnlav
Lunglav
Mörk kolflarnlav
Skrovellav
Vedflamlav
Vedskivlav
Spindelblomster
Stuplav
Huggorm</t>
        </is>
      </c>
      <c r="S74">
        <f>HYPERLINK("https://klasma.github.io/Logging_2421/artfynd/A 22179-2022 artfynd.xlsx", "A 22179-2022")</f>
        <v/>
      </c>
      <c r="T74">
        <f>HYPERLINK("https://klasma.github.io/Logging_2421/kartor/A 22179-2022 karta.png", "A 22179-2022")</f>
        <v/>
      </c>
      <c r="V74">
        <f>HYPERLINK("https://klasma.github.io/Logging_2421/klagomål/A 22179-2022 FSC-klagomål.docx", "A 22179-2022")</f>
        <v/>
      </c>
      <c r="W74">
        <f>HYPERLINK("https://klasma.github.io/Logging_2421/klagomålsmail/A 22179-2022 FSC-klagomål mail.docx", "A 22179-2022")</f>
        <v/>
      </c>
      <c r="X74">
        <f>HYPERLINK("https://klasma.github.io/Logging_2421/tillsyn/A 22179-2022 tillsynsbegäran.docx", "A 22179-2022")</f>
        <v/>
      </c>
      <c r="Y74">
        <f>HYPERLINK("https://klasma.github.io/Logging_2421/tillsynsmail/A 22179-2022 tillsynsbegäran mail.docx", "A 22179-2022")</f>
        <v/>
      </c>
      <c r="Z74">
        <f>HYPERLINK("https://klasma.github.io/Logging_2421/fåglar/A 22179-2022 prioriterade fågelarter.docx", "A 22179-2022")</f>
        <v/>
      </c>
    </row>
    <row r="75" ht="15" customHeight="1">
      <c r="A75" t="inlineStr">
        <is>
          <t>A 66998-2021</t>
        </is>
      </c>
      <c r="B75" s="1" t="n">
        <v>44522</v>
      </c>
      <c r="C75" s="1" t="n">
        <v>46075</v>
      </c>
      <c r="D75" t="inlineStr">
        <is>
          <t>VÄSTERBOTTENS LÄN</t>
        </is>
      </c>
      <c r="E75" t="inlineStr">
        <is>
          <t>VILHELMINA</t>
        </is>
      </c>
      <c r="F75" t="inlineStr">
        <is>
          <t>Allmännings- och besparingsskogar</t>
        </is>
      </c>
      <c r="G75" t="n">
        <v>573.2</v>
      </c>
      <c r="H75" t="n">
        <v>0</v>
      </c>
      <c r="I75" t="n">
        <v>1</v>
      </c>
      <c r="J75" t="n">
        <v>12</v>
      </c>
      <c r="K75" t="n">
        <v>4</v>
      </c>
      <c r="L75" t="n">
        <v>0</v>
      </c>
      <c r="M75" t="n">
        <v>0</v>
      </c>
      <c r="N75" t="n">
        <v>0</v>
      </c>
      <c r="O75" t="n">
        <v>16</v>
      </c>
      <c r="P75" t="n">
        <v>4</v>
      </c>
      <c r="Q75" t="n">
        <v>17</v>
      </c>
      <c r="R75" s="2" t="inlineStr">
        <is>
          <t>Lappticka
Ostticka
Rynkskinn
Tajgaskinn
Brunpudrad nållav
Doftskinn
Gammelgransskål
Garnlav
Gränsticka
Harticka
Knottrig blåslav
Rosenticka
Rödbrun blekspik
Ullticka
Urnlav
Vitskaftad svartspik
Sotlav</t>
        </is>
      </c>
      <c r="S75">
        <f>HYPERLINK("https://klasma.github.io/Logging_2462/artfynd/A 66998-2021 artfynd.xlsx", "A 66998-2021")</f>
        <v/>
      </c>
      <c r="T75">
        <f>HYPERLINK("https://klasma.github.io/Logging_2462/kartor/A 66998-2021 karta.png", "A 66998-2021")</f>
        <v/>
      </c>
      <c r="V75">
        <f>HYPERLINK("https://klasma.github.io/Logging_2462/klagomål/A 66998-2021 FSC-klagomål.docx", "A 66998-2021")</f>
        <v/>
      </c>
      <c r="W75">
        <f>HYPERLINK("https://klasma.github.io/Logging_2462/klagomålsmail/A 66998-2021 FSC-klagomål mail.docx", "A 66998-2021")</f>
        <v/>
      </c>
      <c r="X75">
        <f>HYPERLINK("https://klasma.github.io/Logging_2462/tillsyn/A 66998-2021 tillsynsbegäran.docx", "A 66998-2021")</f>
        <v/>
      </c>
      <c r="Y75">
        <f>HYPERLINK("https://klasma.github.io/Logging_2462/tillsynsmail/A 66998-2021 tillsynsbegäran mail.docx", "A 66998-2021")</f>
        <v/>
      </c>
    </row>
    <row r="76" ht="15" customHeight="1">
      <c r="A76" t="inlineStr">
        <is>
          <t>A 43734-2021</t>
        </is>
      </c>
      <c r="B76" s="1" t="n">
        <v>44433</v>
      </c>
      <c r="C76" s="1" t="n">
        <v>46075</v>
      </c>
      <c r="D76" t="inlineStr">
        <is>
          <t>VÄSTERBOTTENS LÄN</t>
        </is>
      </c>
      <c r="E76" t="inlineStr">
        <is>
          <t>LYCKSELE</t>
        </is>
      </c>
      <c r="F76" t="inlineStr">
        <is>
          <t>Sveaskog</t>
        </is>
      </c>
      <c r="G76" t="n">
        <v>5.5</v>
      </c>
      <c r="H76" t="n">
        <v>0</v>
      </c>
      <c r="I76" t="n">
        <v>3</v>
      </c>
      <c r="J76" t="n">
        <v>11</v>
      </c>
      <c r="K76" t="n">
        <v>3</v>
      </c>
      <c r="L76" t="n">
        <v>0</v>
      </c>
      <c r="M76" t="n">
        <v>0</v>
      </c>
      <c r="N76" t="n">
        <v>0</v>
      </c>
      <c r="O76" t="n">
        <v>14</v>
      </c>
      <c r="P76" t="n">
        <v>3</v>
      </c>
      <c r="Q76" t="n">
        <v>17</v>
      </c>
      <c r="R76" s="2" t="inlineStr">
        <is>
          <t>Goliatmusseron
Smalfotad taggsvamp
Tallgråticka
Blå taggsvamp
Dvärgbägarlav
Garnlav
Kolflarnlav
Mörk kolflarnlav
Orange taggsvamp
Skrovlig taggsvamp
Svart taggsvamp
Vaddporing
Vedflamlav
Vedskivlav
Dropptaggsvamp
Skarp dropptaggsvamp
Vedticka</t>
        </is>
      </c>
      <c r="S76">
        <f>HYPERLINK("https://klasma.github.io/Logging_2481/artfynd/A 43734-2021 artfynd.xlsx", "A 43734-2021")</f>
        <v/>
      </c>
      <c r="T76">
        <f>HYPERLINK("https://klasma.github.io/Logging_2481/kartor/A 43734-2021 karta.png", "A 43734-2021")</f>
        <v/>
      </c>
      <c r="V76">
        <f>HYPERLINK("https://klasma.github.io/Logging_2481/klagomål/A 43734-2021 FSC-klagomål.docx", "A 43734-2021")</f>
        <v/>
      </c>
      <c r="W76">
        <f>HYPERLINK("https://klasma.github.io/Logging_2481/klagomålsmail/A 43734-2021 FSC-klagomål mail.docx", "A 43734-2021")</f>
        <v/>
      </c>
      <c r="X76">
        <f>HYPERLINK("https://klasma.github.io/Logging_2481/tillsyn/A 43734-2021 tillsynsbegäran.docx", "A 43734-2021")</f>
        <v/>
      </c>
      <c r="Y76">
        <f>HYPERLINK("https://klasma.github.io/Logging_2481/tillsynsmail/A 43734-2021 tillsynsbegäran mail.docx", "A 43734-2021")</f>
        <v/>
      </c>
    </row>
    <row r="77" ht="15" customHeight="1">
      <c r="A77" t="inlineStr">
        <is>
          <t>A 33041-2024</t>
        </is>
      </c>
      <c r="B77" s="1" t="n">
        <v>45517.61098379629</v>
      </c>
      <c r="C77" s="1" t="n">
        <v>46075</v>
      </c>
      <c r="D77" t="inlineStr">
        <is>
          <t>VÄSTERBOTTENS LÄN</t>
        </is>
      </c>
      <c r="E77" t="inlineStr">
        <is>
          <t>ÅSELE</t>
        </is>
      </c>
      <c r="F77" t="inlineStr">
        <is>
          <t>Sveaskog</t>
        </is>
      </c>
      <c r="G77" t="n">
        <v>37.9</v>
      </c>
      <c r="H77" t="n">
        <v>1</v>
      </c>
      <c r="I77" t="n">
        <v>2</v>
      </c>
      <c r="J77" t="n">
        <v>13</v>
      </c>
      <c r="K77" t="n">
        <v>2</v>
      </c>
      <c r="L77" t="n">
        <v>0</v>
      </c>
      <c r="M77" t="n">
        <v>0</v>
      </c>
      <c r="N77" t="n">
        <v>0</v>
      </c>
      <c r="O77" t="n">
        <v>15</v>
      </c>
      <c r="P77" t="n">
        <v>2</v>
      </c>
      <c r="Q77" t="n">
        <v>17</v>
      </c>
      <c r="R77" s="2" t="inlineStr">
        <is>
          <t>Smultronkantarell
Tajgataggsvamp
Blanksvart spiklav
Blågrå svartspik
Garnlav
Kolflarnlav
Lunglav
Motaggsvamp
Mörk kolflarnlav
Skrovlig taggsvamp
Talltaggsvamp
Utter
Vaddporing
Vedflamlav
Vedskivlav
Dropptaggsvamp
Skarp dropptaggsvamp</t>
        </is>
      </c>
      <c r="S77">
        <f>HYPERLINK("https://klasma.github.io/Logging_2463/artfynd/A 33041-2024 artfynd.xlsx", "A 33041-2024")</f>
        <v/>
      </c>
      <c r="T77">
        <f>HYPERLINK("https://klasma.github.io/Logging_2463/kartor/A 33041-2024 karta.png", "A 33041-2024")</f>
        <v/>
      </c>
      <c r="V77">
        <f>HYPERLINK("https://klasma.github.io/Logging_2463/klagomål/A 33041-2024 FSC-klagomål.docx", "A 33041-2024")</f>
        <v/>
      </c>
      <c r="W77">
        <f>HYPERLINK("https://klasma.github.io/Logging_2463/klagomålsmail/A 33041-2024 FSC-klagomål mail.docx", "A 33041-2024")</f>
        <v/>
      </c>
      <c r="X77">
        <f>HYPERLINK("https://klasma.github.io/Logging_2463/tillsyn/A 33041-2024 tillsynsbegäran.docx", "A 33041-2024")</f>
        <v/>
      </c>
      <c r="Y77">
        <f>HYPERLINK("https://klasma.github.io/Logging_2463/tillsynsmail/A 33041-2024 tillsynsbegäran mail.docx", "A 33041-2024")</f>
        <v/>
      </c>
    </row>
    <row r="78" ht="15" customHeight="1">
      <c r="A78" t="inlineStr">
        <is>
          <t>A 12372-2023</t>
        </is>
      </c>
      <c r="B78" s="1" t="n">
        <v>44995</v>
      </c>
      <c r="C78" s="1" t="n">
        <v>46075</v>
      </c>
      <c r="D78" t="inlineStr">
        <is>
          <t>VÄSTERBOTTENS LÄN</t>
        </is>
      </c>
      <c r="E78" t="inlineStr">
        <is>
          <t>STORUMAN</t>
        </is>
      </c>
      <c r="F78" t="inlineStr">
        <is>
          <t>Allmännings- och besparingsskogar</t>
        </is>
      </c>
      <c r="G78" t="n">
        <v>1606</v>
      </c>
      <c r="H78" t="n">
        <v>1</v>
      </c>
      <c r="I78" t="n">
        <v>3</v>
      </c>
      <c r="J78" t="n">
        <v>9</v>
      </c>
      <c r="K78" t="n">
        <v>5</v>
      </c>
      <c r="L78" t="n">
        <v>0</v>
      </c>
      <c r="M78" t="n">
        <v>0</v>
      </c>
      <c r="N78" t="n">
        <v>0</v>
      </c>
      <c r="O78" t="n">
        <v>14</v>
      </c>
      <c r="P78" t="n">
        <v>5</v>
      </c>
      <c r="Q78" t="n">
        <v>17</v>
      </c>
      <c r="R78" s="2" t="inlineStr">
        <is>
          <t>Lappticka
Ostticka
Rynkskinn
Tajgaskinn
Tallbit
Doftskinn
Granticka
Gränsticka
Harticka
Lunglav
Rosenticka
Skrovellav
Stjärntagging
Ullticka
Blodticka
Trådticka
Vedticka</t>
        </is>
      </c>
      <c r="S78">
        <f>HYPERLINK("https://klasma.github.io/Logging_2421/artfynd/A 12372-2023 artfynd.xlsx", "A 12372-2023")</f>
        <v/>
      </c>
      <c r="T78">
        <f>HYPERLINK("https://klasma.github.io/Logging_2421/kartor/A 12372-2023 karta.png", "A 12372-2023")</f>
        <v/>
      </c>
      <c r="V78">
        <f>HYPERLINK("https://klasma.github.io/Logging_2421/klagomål/A 12372-2023 FSC-klagomål.docx", "A 12372-2023")</f>
        <v/>
      </c>
      <c r="W78">
        <f>HYPERLINK("https://klasma.github.io/Logging_2421/klagomålsmail/A 12372-2023 FSC-klagomål mail.docx", "A 12372-2023")</f>
        <v/>
      </c>
      <c r="X78">
        <f>HYPERLINK("https://klasma.github.io/Logging_2421/tillsyn/A 12372-2023 tillsynsbegäran.docx", "A 12372-2023")</f>
        <v/>
      </c>
      <c r="Y78">
        <f>HYPERLINK("https://klasma.github.io/Logging_2421/tillsynsmail/A 12372-2023 tillsynsbegäran mail.docx", "A 12372-2023")</f>
        <v/>
      </c>
      <c r="Z78">
        <f>HYPERLINK("https://klasma.github.io/Logging_2421/fåglar/A 12372-2023 prioriterade fågelarter.docx", "A 12372-2023")</f>
        <v/>
      </c>
    </row>
    <row r="79" ht="15" customHeight="1">
      <c r="A79" t="inlineStr">
        <is>
          <t>A 50952-2024</t>
        </is>
      </c>
      <c r="B79" s="1" t="n">
        <v>45602</v>
      </c>
      <c r="C79" s="1" t="n">
        <v>46075</v>
      </c>
      <c r="D79" t="inlineStr">
        <is>
          <t>VÄSTERBOTTENS LÄN</t>
        </is>
      </c>
      <c r="E79" t="inlineStr">
        <is>
          <t>SORSELE</t>
        </is>
      </c>
      <c r="F79" t="inlineStr">
        <is>
          <t>Allmännings- och besparingsskogar</t>
        </is>
      </c>
      <c r="G79" t="n">
        <v>93.90000000000001</v>
      </c>
      <c r="H79" t="n">
        <v>2</v>
      </c>
      <c r="I79" t="n">
        <v>0</v>
      </c>
      <c r="J79" t="n">
        <v>14</v>
      </c>
      <c r="K79" t="n">
        <v>3</v>
      </c>
      <c r="L79" t="n">
        <v>0</v>
      </c>
      <c r="M79" t="n">
        <v>0</v>
      </c>
      <c r="N79" t="n">
        <v>0</v>
      </c>
      <c r="O79" t="n">
        <v>17</v>
      </c>
      <c r="P79" t="n">
        <v>3</v>
      </c>
      <c r="Q79" t="n">
        <v>17</v>
      </c>
      <c r="R79" s="2" t="inlineStr">
        <is>
          <t>Knärot
Ostticka
Rynkskinn
Blanksvart spiklav
Brunpudrad nållav
Gammelgransskål
Garnlav
Granticka
Gränsticka
Harticka
Järpe
Knottrig blåslav
Rosenticka
Rödbrun blekspik
Ullticka
Vitgrynig nållav
Vitskaftad svartspik</t>
        </is>
      </c>
      <c r="S79">
        <f>HYPERLINK("https://klasma.github.io/Logging_2422/artfynd/A 50952-2024 artfynd.xlsx", "A 50952-2024")</f>
        <v/>
      </c>
      <c r="T79">
        <f>HYPERLINK("https://klasma.github.io/Logging_2422/kartor/A 50952-2024 karta.png", "A 50952-2024")</f>
        <v/>
      </c>
      <c r="U79">
        <f>HYPERLINK("https://klasma.github.io/Logging_2422/knärot/A 50952-2024 karta knärot.png", "A 50952-2024")</f>
        <v/>
      </c>
      <c r="V79">
        <f>HYPERLINK("https://klasma.github.io/Logging_2422/klagomål/A 50952-2024 FSC-klagomål.docx", "A 50952-2024")</f>
        <v/>
      </c>
      <c r="W79">
        <f>HYPERLINK("https://klasma.github.io/Logging_2422/klagomålsmail/A 50952-2024 FSC-klagomål mail.docx", "A 50952-2024")</f>
        <v/>
      </c>
      <c r="X79">
        <f>HYPERLINK("https://klasma.github.io/Logging_2422/tillsyn/A 50952-2024 tillsynsbegäran.docx", "A 50952-2024")</f>
        <v/>
      </c>
      <c r="Y79">
        <f>HYPERLINK("https://klasma.github.io/Logging_2422/tillsynsmail/A 50952-2024 tillsynsbegäran mail.docx", "A 50952-2024")</f>
        <v/>
      </c>
      <c r="Z79">
        <f>HYPERLINK("https://klasma.github.io/Logging_2422/fåglar/A 50952-2024 prioriterade fågelarter.docx", "A 50952-2024")</f>
        <v/>
      </c>
    </row>
    <row r="80" ht="15" customHeight="1">
      <c r="A80" t="inlineStr">
        <is>
          <t>A 13030-2025</t>
        </is>
      </c>
      <c r="B80" s="1" t="n">
        <v>45734</v>
      </c>
      <c r="C80" s="1" t="n">
        <v>46075</v>
      </c>
      <c r="D80" t="inlineStr">
        <is>
          <t>VÄSTERBOTTENS LÄN</t>
        </is>
      </c>
      <c r="E80" t="inlineStr">
        <is>
          <t>VILHELMINA</t>
        </is>
      </c>
      <c r="G80" t="n">
        <v>13.9</v>
      </c>
      <c r="H80" t="n">
        <v>2</v>
      </c>
      <c r="I80" t="n">
        <v>4</v>
      </c>
      <c r="J80" t="n">
        <v>12</v>
      </c>
      <c r="K80" t="n">
        <v>1</v>
      </c>
      <c r="L80" t="n">
        <v>0</v>
      </c>
      <c r="M80" t="n">
        <v>0</v>
      </c>
      <c r="N80" t="n">
        <v>0</v>
      </c>
      <c r="O80" t="n">
        <v>13</v>
      </c>
      <c r="P80" t="n">
        <v>1</v>
      </c>
      <c r="Q80" t="n">
        <v>17</v>
      </c>
      <c r="R80" s="2" t="inlineStr">
        <is>
          <t>Blackticka
Blanksvart spiklav
Doftskinn
Garnlav
Gränsticka
Kolflarnlav
Lunglav
Rosenticka
Skrovellav
Talltita
Tretåig hackspett
Ullticka
Vitgrynig nållav
Luddlav
Norrlandslav
Skinnlav
Vedticka</t>
        </is>
      </c>
      <c r="S80">
        <f>HYPERLINK("https://klasma.github.io/Logging_2462/artfynd/A 13030-2025 artfynd.xlsx", "A 13030-2025")</f>
        <v/>
      </c>
      <c r="T80">
        <f>HYPERLINK("https://klasma.github.io/Logging_2462/kartor/A 13030-2025 karta.png", "A 13030-2025")</f>
        <v/>
      </c>
      <c r="V80">
        <f>HYPERLINK("https://klasma.github.io/Logging_2462/klagomål/A 13030-2025 FSC-klagomål.docx", "A 13030-2025")</f>
        <v/>
      </c>
      <c r="W80">
        <f>HYPERLINK("https://klasma.github.io/Logging_2462/klagomålsmail/A 13030-2025 FSC-klagomål mail.docx", "A 13030-2025")</f>
        <v/>
      </c>
      <c r="X80">
        <f>HYPERLINK("https://klasma.github.io/Logging_2462/tillsyn/A 13030-2025 tillsynsbegäran.docx", "A 13030-2025")</f>
        <v/>
      </c>
      <c r="Y80">
        <f>HYPERLINK("https://klasma.github.io/Logging_2462/tillsynsmail/A 13030-2025 tillsynsbegäran mail.docx", "A 13030-2025")</f>
        <v/>
      </c>
      <c r="Z80">
        <f>HYPERLINK("https://klasma.github.io/Logging_2462/fåglar/A 13030-2025 prioriterade fågelarter.docx", "A 13030-2025")</f>
        <v/>
      </c>
    </row>
    <row r="81" ht="15" customHeight="1">
      <c r="A81" t="inlineStr">
        <is>
          <t>A 46978-2024</t>
        </is>
      </c>
      <c r="B81" s="1" t="n">
        <v>45586</v>
      </c>
      <c r="C81" s="1" t="n">
        <v>46075</v>
      </c>
      <c r="D81" t="inlineStr">
        <is>
          <t>VÄSTERBOTTENS LÄN</t>
        </is>
      </c>
      <c r="E81" t="inlineStr">
        <is>
          <t>BJURHOLM</t>
        </is>
      </c>
      <c r="F81" t="inlineStr">
        <is>
          <t>Holmen skog AB</t>
        </is>
      </c>
      <c r="G81" t="n">
        <v>6.7</v>
      </c>
      <c r="H81" t="n">
        <v>3</v>
      </c>
      <c r="I81" t="n">
        <v>2</v>
      </c>
      <c r="J81" t="n">
        <v>12</v>
      </c>
      <c r="K81" t="n">
        <v>1</v>
      </c>
      <c r="L81" t="n">
        <v>1</v>
      </c>
      <c r="M81" t="n">
        <v>0</v>
      </c>
      <c r="N81" t="n">
        <v>0</v>
      </c>
      <c r="O81" t="n">
        <v>14</v>
      </c>
      <c r="P81" t="n">
        <v>2</v>
      </c>
      <c r="Q81" t="n">
        <v>17</v>
      </c>
      <c r="R81" s="2" t="inlineStr">
        <is>
          <t>Tornseglare
Fläckporing
Blanksvart spiklav
Dvärgbägarlav
Garnlav
Granticka
Kolflarnlav
Mörk kolflarnlav
Nordtagging
Talltita
Vedflamlav
Vedskivlav
Violettgrå tagellav
Vitplätt
Dropptaggsvamp
Nästlav
Tjäder</t>
        </is>
      </c>
      <c r="S81">
        <f>HYPERLINK("https://klasma.github.io/Logging_2403/artfynd/A 46978-2024 artfynd.xlsx", "A 46978-2024")</f>
        <v/>
      </c>
      <c r="T81">
        <f>HYPERLINK("https://klasma.github.io/Logging_2403/kartor/A 46978-2024 karta.png", "A 46978-2024")</f>
        <v/>
      </c>
      <c r="V81">
        <f>HYPERLINK("https://klasma.github.io/Logging_2403/klagomål/A 46978-2024 FSC-klagomål.docx", "A 46978-2024")</f>
        <v/>
      </c>
      <c r="W81">
        <f>HYPERLINK("https://klasma.github.io/Logging_2403/klagomålsmail/A 46978-2024 FSC-klagomål mail.docx", "A 46978-2024")</f>
        <v/>
      </c>
      <c r="X81">
        <f>HYPERLINK("https://klasma.github.io/Logging_2403/tillsyn/A 46978-2024 tillsynsbegäran.docx", "A 46978-2024")</f>
        <v/>
      </c>
      <c r="Y81">
        <f>HYPERLINK("https://klasma.github.io/Logging_2403/tillsynsmail/A 46978-2024 tillsynsbegäran mail.docx", "A 46978-2024")</f>
        <v/>
      </c>
      <c r="Z81">
        <f>HYPERLINK("https://klasma.github.io/Logging_2403/fåglar/A 46978-2024 prioriterade fågelarter.docx", "A 46978-2024")</f>
        <v/>
      </c>
    </row>
    <row r="82" ht="15" customHeight="1">
      <c r="A82" t="inlineStr">
        <is>
          <t>A 9827-2025</t>
        </is>
      </c>
      <c r="B82" s="1" t="n">
        <v>45716</v>
      </c>
      <c r="C82" s="1" t="n">
        <v>46075</v>
      </c>
      <c r="D82" t="inlineStr">
        <is>
          <t>VÄSTERBOTTENS LÄN</t>
        </is>
      </c>
      <c r="E82" t="inlineStr">
        <is>
          <t>VILHELMINA</t>
        </is>
      </c>
      <c r="F82" t="inlineStr">
        <is>
          <t>Allmännings- och besparingsskogar</t>
        </is>
      </c>
      <c r="G82" t="n">
        <v>13.6</v>
      </c>
      <c r="H82" t="n">
        <v>7</v>
      </c>
      <c r="I82" t="n">
        <v>4</v>
      </c>
      <c r="J82" t="n">
        <v>9</v>
      </c>
      <c r="K82" t="n">
        <v>0</v>
      </c>
      <c r="L82" t="n">
        <v>0</v>
      </c>
      <c r="M82" t="n">
        <v>0</v>
      </c>
      <c r="N82" t="n">
        <v>0</v>
      </c>
      <c r="O82" t="n">
        <v>9</v>
      </c>
      <c r="P82" t="n">
        <v>0</v>
      </c>
      <c r="Q82" t="n">
        <v>17</v>
      </c>
      <c r="R82" s="2" t="inlineStr">
        <is>
          <t>Gammelgransskål
Garnlav
Granticka
Knottrig blåslav
Spillkråka
Talltita
Tretåig hackspett
Vitgrynig nållav
Vitskaftad svartspik
Korallblylav
Luddlav
Skuggblåslav
Stuplav
Grönsiska
Kungsfågel
Tjäder
Revlummer</t>
        </is>
      </c>
      <c r="S82">
        <f>HYPERLINK("https://klasma.github.io/Logging_2462/artfynd/A 9827-2025 artfynd.xlsx", "A 9827-2025")</f>
        <v/>
      </c>
      <c r="T82">
        <f>HYPERLINK("https://klasma.github.io/Logging_2462/kartor/A 9827-2025 karta.png", "A 9827-2025")</f>
        <v/>
      </c>
      <c r="V82">
        <f>HYPERLINK("https://klasma.github.io/Logging_2462/klagomål/A 9827-2025 FSC-klagomål.docx", "A 9827-2025")</f>
        <v/>
      </c>
      <c r="W82">
        <f>HYPERLINK("https://klasma.github.io/Logging_2462/klagomålsmail/A 9827-2025 FSC-klagomål mail.docx", "A 9827-2025")</f>
        <v/>
      </c>
      <c r="X82">
        <f>HYPERLINK("https://klasma.github.io/Logging_2462/tillsyn/A 9827-2025 tillsynsbegäran.docx", "A 9827-2025")</f>
        <v/>
      </c>
      <c r="Y82">
        <f>HYPERLINK("https://klasma.github.io/Logging_2462/tillsynsmail/A 9827-2025 tillsynsbegäran mail.docx", "A 9827-2025")</f>
        <v/>
      </c>
      <c r="Z82">
        <f>HYPERLINK("https://klasma.github.io/Logging_2462/fåglar/A 9827-2025 prioriterade fågelarter.docx", "A 9827-2025")</f>
        <v/>
      </c>
    </row>
    <row r="83" ht="15" customHeight="1">
      <c r="A83" t="inlineStr">
        <is>
          <t>A 28719-2021</t>
        </is>
      </c>
      <c r="B83" s="1" t="n">
        <v>44357.45625</v>
      </c>
      <c r="C83" s="1" t="n">
        <v>46075</v>
      </c>
      <c r="D83" t="inlineStr">
        <is>
          <t>VÄSTERBOTTENS LÄN</t>
        </is>
      </c>
      <c r="E83" t="inlineStr">
        <is>
          <t>LYCKSELE</t>
        </is>
      </c>
      <c r="G83" t="n">
        <v>25.2</v>
      </c>
      <c r="H83" t="n">
        <v>1</v>
      </c>
      <c r="I83" t="n">
        <v>2</v>
      </c>
      <c r="J83" t="n">
        <v>13</v>
      </c>
      <c r="K83" t="n">
        <v>1</v>
      </c>
      <c r="L83" t="n">
        <v>0</v>
      </c>
      <c r="M83" t="n">
        <v>0</v>
      </c>
      <c r="N83" t="n">
        <v>0</v>
      </c>
      <c r="O83" t="n">
        <v>14</v>
      </c>
      <c r="P83" t="n">
        <v>1</v>
      </c>
      <c r="Q83" t="n">
        <v>16</v>
      </c>
      <c r="R83" s="2" t="inlineStr">
        <is>
          <t>Lunglavsknapp
Blanksvart spiklav
Gammelgransskål
Garnlav
Granticka
Leptoporus mollis
Lunglav
Skogshare
Tallticka
Tretåig hackspett
Ullticka
Vedflamlav
Vitgrynig nållav
Vitplätt
Bårdlav
Stuplav</t>
        </is>
      </c>
      <c r="S83">
        <f>HYPERLINK("https://klasma.github.io/Logging_2481/artfynd/A 28719-2021 artfynd.xlsx", "A 28719-2021")</f>
        <v/>
      </c>
      <c r="T83">
        <f>HYPERLINK("https://klasma.github.io/Logging_2481/kartor/A 28719-2021 karta.png", "A 28719-2021")</f>
        <v/>
      </c>
      <c r="V83">
        <f>HYPERLINK("https://klasma.github.io/Logging_2481/klagomål/A 28719-2021 FSC-klagomål.docx", "A 28719-2021")</f>
        <v/>
      </c>
      <c r="W83">
        <f>HYPERLINK("https://klasma.github.io/Logging_2481/klagomålsmail/A 28719-2021 FSC-klagomål mail.docx", "A 28719-2021")</f>
        <v/>
      </c>
      <c r="X83">
        <f>HYPERLINK("https://klasma.github.io/Logging_2481/tillsyn/A 28719-2021 tillsynsbegäran.docx", "A 28719-2021")</f>
        <v/>
      </c>
      <c r="Y83">
        <f>HYPERLINK("https://klasma.github.io/Logging_2481/tillsynsmail/A 28719-2021 tillsynsbegäran mail.docx", "A 28719-2021")</f>
        <v/>
      </c>
      <c r="Z83">
        <f>HYPERLINK("https://klasma.github.io/Logging_2481/fåglar/A 28719-2021 prioriterade fågelarter.docx", "A 28719-2021")</f>
        <v/>
      </c>
    </row>
    <row r="84" ht="15" customHeight="1">
      <c r="A84" t="inlineStr">
        <is>
          <t>A 35969-2025</t>
        </is>
      </c>
      <c r="B84" s="1" t="n">
        <v>45863.40695601852</v>
      </c>
      <c r="C84" s="1" t="n">
        <v>46075</v>
      </c>
      <c r="D84" t="inlineStr">
        <is>
          <t>VÄSTERBOTTENS LÄN</t>
        </is>
      </c>
      <c r="E84" t="inlineStr">
        <is>
          <t>VINDELN</t>
        </is>
      </c>
      <c r="F84" t="inlineStr">
        <is>
          <t>Holmen skog AB</t>
        </is>
      </c>
      <c r="G84" t="n">
        <v>9.6</v>
      </c>
      <c r="H84" t="n">
        <v>2</v>
      </c>
      <c r="I84" t="n">
        <v>4</v>
      </c>
      <c r="J84" t="n">
        <v>8</v>
      </c>
      <c r="K84" t="n">
        <v>4</v>
      </c>
      <c r="L84" t="n">
        <v>0</v>
      </c>
      <c r="M84" t="n">
        <v>0</v>
      </c>
      <c r="N84" t="n">
        <v>0</v>
      </c>
      <c r="O84" t="n">
        <v>12</v>
      </c>
      <c r="P84" t="n">
        <v>4</v>
      </c>
      <c r="Q84" t="n">
        <v>16</v>
      </c>
      <c r="R84" s="2" t="inlineStr">
        <is>
          <t>Fläckporing
Gräddporing
Laxporing
Smalfotad taggsvamp
Blågrå svartspik
Dvärgbägarlav
Garnlav
Gränsticka
Nordtagging
Talltita
Tretåig hackspett
Vaddporing
Dropptaggsvamp
Rävticka
Stuplav
Vedticka</t>
        </is>
      </c>
      <c r="S84">
        <f>HYPERLINK("https://klasma.github.io/Logging_2404/artfynd/A 35969-2025 artfynd.xlsx", "A 35969-2025")</f>
        <v/>
      </c>
      <c r="T84">
        <f>HYPERLINK("https://klasma.github.io/Logging_2404/kartor/A 35969-2025 karta.png", "A 35969-2025")</f>
        <v/>
      </c>
      <c r="V84">
        <f>HYPERLINK("https://klasma.github.io/Logging_2404/klagomål/A 35969-2025 FSC-klagomål.docx", "A 35969-2025")</f>
        <v/>
      </c>
      <c r="W84">
        <f>HYPERLINK("https://klasma.github.io/Logging_2404/klagomålsmail/A 35969-2025 FSC-klagomål mail.docx", "A 35969-2025")</f>
        <v/>
      </c>
      <c r="X84">
        <f>HYPERLINK("https://klasma.github.io/Logging_2404/tillsyn/A 35969-2025 tillsynsbegäran.docx", "A 35969-2025")</f>
        <v/>
      </c>
      <c r="Y84">
        <f>HYPERLINK("https://klasma.github.io/Logging_2404/tillsynsmail/A 35969-2025 tillsynsbegäran mail.docx", "A 35969-2025")</f>
        <v/>
      </c>
      <c r="Z84">
        <f>HYPERLINK("https://klasma.github.io/Logging_2404/fåglar/A 35969-2025 prioriterade fågelarter.docx", "A 35969-2025")</f>
        <v/>
      </c>
    </row>
    <row r="85" ht="15" customHeight="1">
      <c r="A85" t="inlineStr">
        <is>
          <t>A 36807-2025</t>
        </is>
      </c>
      <c r="B85" s="1" t="n">
        <v>45873.70951388889</v>
      </c>
      <c r="C85" s="1" t="n">
        <v>46075</v>
      </c>
      <c r="D85" t="inlineStr">
        <is>
          <t>VÄSTERBOTTENS LÄN</t>
        </is>
      </c>
      <c r="E85" t="inlineStr">
        <is>
          <t>SKELLEFTEÅ</t>
        </is>
      </c>
      <c r="F85" t="inlineStr">
        <is>
          <t>Sveaskog</t>
        </is>
      </c>
      <c r="G85" t="n">
        <v>19</v>
      </c>
      <c r="H85" t="n">
        <v>3</v>
      </c>
      <c r="I85" t="n">
        <v>4</v>
      </c>
      <c r="J85" t="n">
        <v>6</v>
      </c>
      <c r="K85" t="n">
        <v>5</v>
      </c>
      <c r="L85" t="n">
        <v>0</v>
      </c>
      <c r="M85" t="n">
        <v>0</v>
      </c>
      <c r="N85" t="n">
        <v>0</v>
      </c>
      <c r="O85" t="n">
        <v>11</v>
      </c>
      <c r="P85" t="n">
        <v>5</v>
      </c>
      <c r="Q85" t="n">
        <v>16</v>
      </c>
      <c r="R85" s="2" t="inlineStr">
        <is>
          <t>Fläckporing
Goliatmusseron
Jättemusseron
Knärot
Smalfotad taggsvamp
Blå taggsvamp
Nordtagging
Orange taggsvamp
Skrovlig taggsvamp
Svart taggsvamp
Vaddporing
Dropptaggsvamp
Plattlummer
Tallfingersvamp
Vedticka
Tjäder</t>
        </is>
      </c>
      <c r="S85">
        <f>HYPERLINK("https://klasma.github.io/Logging_2482/artfynd/A 36807-2025 artfynd.xlsx", "A 36807-2025")</f>
        <v/>
      </c>
      <c r="T85">
        <f>HYPERLINK("https://klasma.github.io/Logging_2482/kartor/A 36807-2025 karta.png", "A 36807-2025")</f>
        <v/>
      </c>
      <c r="U85">
        <f>HYPERLINK("https://klasma.github.io/Logging_2482/knärot/A 36807-2025 karta knärot.png", "A 36807-2025")</f>
        <v/>
      </c>
      <c r="V85">
        <f>HYPERLINK("https://klasma.github.io/Logging_2482/klagomål/A 36807-2025 FSC-klagomål.docx", "A 36807-2025")</f>
        <v/>
      </c>
      <c r="W85">
        <f>HYPERLINK("https://klasma.github.io/Logging_2482/klagomålsmail/A 36807-2025 FSC-klagomål mail.docx", "A 36807-2025")</f>
        <v/>
      </c>
      <c r="X85">
        <f>HYPERLINK("https://klasma.github.io/Logging_2482/tillsyn/A 36807-2025 tillsynsbegäran.docx", "A 36807-2025")</f>
        <v/>
      </c>
      <c r="Y85">
        <f>HYPERLINK("https://klasma.github.io/Logging_2482/tillsynsmail/A 36807-2025 tillsynsbegäran mail.docx", "A 36807-2025")</f>
        <v/>
      </c>
      <c r="Z85">
        <f>HYPERLINK("https://klasma.github.io/Logging_2482/fåglar/A 36807-2025 prioriterade fågelarter.docx", "A 36807-2025")</f>
        <v/>
      </c>
    </row>
    <row r="86" ht="15" customHeight="1">
      <c r="A86" t="inlineStr">
        <is>
          <t>A 31199-2023</t>
        </is>
      </c>
      <c r="B86" s="1" t="n">
        <v>45113</v>
      </c>
      <c r="C86" s="1" t="n">
        <v>46075</v>
      </c>
      <c r="D86" t="inlineStr">
        <is>
          <t>VÄSTERBOTTENS LÄN</t>
        </is>
      </c>
      <c r="E86" t="inlineStr">
        <is>
          <t>VILHELMINA</t>
        </is>
      </c>
      <c r="F86" t="inlineStr">
        <is>
          <t>SCA</t>
        </is>
      </c>
      <c r="G86" t="n">
        <v>9.800000000000001</v>
      </c>
      <c r="H86" t="n">
        <v>3</v>
      </c>
      <c r="I86" t="n">
        <v>5</v>
      </c>
      <c r="J86" t="n">
        <v>9</v>
      </c>
      <c r="K86" t="n">
        <v>1</v>
      </c>
      <c r="L86" t="n">
        <v>0</v>
      </c>
      <c r="M86" t="n">
        <v>0</v>
      </c>
      <c r="N86" t="n">
        <v>0</v>
      </c>
      <c r="O86" t="n">
        <v>10</v>
      </c>
      <c r="P86" t="n">
        <v>1</v>
      </c>
      <c r="Q86" t="n">
        <v>16</v>
      </c>
      <c r="R86" s="2" t="inlineStr">
        <is>
          <t>Skuggnål
Garnlav
Granticka
Gränsticka
Liten svartspik
Lunglav
Rödbrun blekspik
Talltita
Tretåig hackspett
Vitgrynig nållav
Bårdlav
Luddlav
Mörk husmossa
Stuplav
Vedticka
Revlummer</t>
        </is>
      </c>
      <c r="S86">
        <f>HYPERLINK("https://klasma.github.io/Logging_2462/artfynd/A 31199-2023 artfynd.xlsx", "A 31199-2023")</f>
        <v/>
      </c>
      <c r="T86">
        <f>HYPERLINK("https://klasma.github.io/Logging_2462/kartor/A 31199-2023 karta.png", "A 31199-2023")</f>
        <v/>
      </c>
      <c r="V86">
        <f>HYPERLINK("https://klasma.github.io/Logging_2462/klagomål/A 31199-2023 FSC-klagomål.docx", "A 31199-2023")</f>
        <v/>
      </c>
      <c r="W86">
        <f>HYPERLINK("https://klasma.github.io/Logging_2462/klagomålsmail/A 31199-2023 FSC-klagomål mail.docx", "A 31199-2023")</f>
        <v/>
      </c>
      <c r="X86">
        <f>HYPERLINK("https://klasma.github.io/Logging_2462/tillsyn/A 31199-2023 tillsynsbegäran.docx", "A 31199-2023")</f>
        <v/>
      </c>
      <c r="Y86">
        <f>HYPERLINK("https://klasma.github.io/Logging_2462/tillsynsmail/A 31199-2023 tillsynsbegäran mail.docx", "A 31199-2023")</f>
        <v/>
      </c>
      <c r="Z86">
        <f>HYPERLINK("https://klasma.github.io/Logging_2462/fåglar/A 31199-2023 prioriterade fågelarter.docx", "A 31199-2023")</f>
        <v/>
      </c>
    </row>
    <row r="87" ht="15" customHeight="1">
      <c r="A87" t="inlineStr">
        <is>
          <t>A 28796-2024</t>
        </is>
      </c>
      <c r="B87" s="1" t="n">
        <v>45478</v>
      </c>
      <c r="C87" s="1" t="n">
        <v>46075</v>
      </c>
      <c r="D87" t="inlineStr">
        <is>
          <t>VÄSTERBOTTENS LÄN</t>
        </is>
      </c>
      <c r="E87" t="inlineStr">
        <is>
          <t>VILHELMINA</t>
        </is>
      </c>
      <c r="G87" t="n">
        <v>20</v>
      </c>
      <c r="H87" t="n">
        <v>3</v>
      </c>
      <c r="I87" t="n">
        <v>2</v>
      </c>
      <c r="J87" t="n">
        <v>10</v>
      </c>
      <c r="K87" t="n">
        <v>3</v>
      </c>
      <c r="L87" t="n">
        <v>0</v>
      </c>
      <c r="M87" t="n">
        <v>0</v>
      </c>
      <c r="N87" t="n">
        <v>0</v>
      </c>
      <c r="O87" t="n">
        <v>13</v>
      </c>
      <c r="P87" t="n">
        <v>3</v>
      </c>
      <c r="Q87" t="n">
        <v>16</v>
      </c>
      <c r="R87" s="2" t="inlineStr">
        <is>
          <t>Gräddticka
Rynkskinn
Ulltickeporing
Garnlav
Granticka
Gränsticka
Harticka
Leptoporus mollis
Lunglav
Rosenticka
Talltita
Tretåig hackspett
Ullticka
Blodticka
Trådticka
Tjäder</t>
        </is>
      </c>
      <c r="S87">
        <f>HYPERLINK("https://klasma.github.io/Logging_2462/artfynd/A 28796-2024 artfynd.xlsx", "A 28796-2024")</f>
        <v/>
      </c>
      <c r="T87">
        <f>HYPERLINK("https://klasma.github.io/Logging_2462/kartor/A 28796-2024 karta.png", "A 28796-2024")</f>
        <v/>
      </c>
      <c r="V87">
        <f>HYPERLINK("https://klasma.github.io/Logging_2462/klagomål/A 28796-2024 FSC-klagomål.docx", "A 28796-2024")</f>
        <v/>
      </c>
      <c r="W87">
        <f>HYPERLINK("https://klasma.github.io/Logging_2462/klagomålsmail/A 28796-2024 FSC-klagomål mail.docx", "A 28796-2024")</f>
        <v/>
      </c>
      <c r="X87">
        <f>HYPERLINK("https://klasma.github.io/Logging_2462/tillsyn/A 28796-2024 tillsynsbegäran.docx", "A 28796-2024")</f>
        <v/>
      </c>
      <c r="Y87">
        <f>HYPERLINK("https://klasma.github.io/Logging_2462/tillsynsmail/A 28796-2024 tillsynsbegäran mail.docx", "A 28796-2024")</f>
        <v/>
      </c>
      <c r="Z87">
        <f>HYPERLINK("https://klasma.github.io/Logging_2462/fåglar/A 28796-2024 prioriterade fågelarter.docx", "A 28796-2024")</f>
        <v/>
      </c>
    </row>
    <row r="88" ht="15" customHeight="1">
      <c r="A88" t="inlineStr">
        <is>
          <t>A 59489-2025</t>
        </is>
      </c>
      <c r="B88" s="1" t="n">
        <v>45989</v>
      </c>
      <c r="C88" s="1" t="n">
        <v>46075</v>
      </c>
      <c r="D88" t="inlineStr">
        <is>
          <t>VÄSTERBOTTENS LÄN</t>
        </is>
      </c>
      <c r="E88" t="inlineStr">
        <is>
          <t>VILHELMINA</t>
        </is>
      </c>
      <c r="F88" t="inlineStr">
        <is>
          <t>Allmännings- och besparingsskogar</t>
        </is>
      </c>
      <c r="G88" t="n">
        <v>15.1</v>
      </c>
      <c r="H88" t="n">
        <v>1</v>
      </c>
      <c r="I88" t="n">
        <v>7</v>
      </c>
      <c r="J88" t="n">
        <v>8</v>
      </c>
      <c r="K88" t="n">
        <v>1</v>
      </c>
      <c r="L88" t="n">
        <v>0</v>
      </c>
      <c r="M88" t="n">
        <v>0</v>
      </c>
      <c r="N88" t="n">
        <v>0</v>
      </c>
      <c r="O88" t="n">
        <v>9</v>
      </c>
      <c r="P88" t="n">
        <v>1</v>
      </c>
      <c r="Q88" t="n">
        <v>16</v>
      </c>
      <c r="R88" s="2" t="inlineStr">
        <is>
          <t>Liten sotlav
Brunpudrad nållav
Doftskinn
Gränsticka
Harticka
Rosenticka
Rödbrun blekspik
Skrovellav
Tretåig hackspett
Kornig nållav
Mörk husmossa
Rostfläck
Skogshakmossa
Skör kvastmossa
Trådticka
Ögonpyrola</t>
        </is>
      </c>
      <c r="S88">
        <f>HYPERLINK("https://klasma.github.io/Logging_2462/artfynd/A 59489-2025 artfynd.xlsx", "A 59489-2025")</f>
        <v/>
      </c>
      <c r="T88">
        <f>HYPERLINK("https://klasma.github.io/Logging_2462/kartor/A 59489-2025 karta.png", "A 59489-2025")</f>
        <v/>
      </c>
      <c r="V88">
        <f>HYPERLINK("https://klasma.github.io/Logging_2462/klagomål/A 59489-2025 FSC-klagomål.docx", "A 59489-2025")</f>
        <v/>
      </c>
      <c r="W88">
        <f>HYPERLINK("https://klasma.github.io/Logging_2462/klagomålsmail/A 59489-2025 FSC-klagomål mail.docx", "A 59489-2025")</f>
        <v/>
      </c>
      <c r="X88">
        <f>HYPERLINK("https://klasma.github.io/Logging_2462/tillsyn/A 59489-2025 tillsynsbegäran.docx", "A 59489-2025")</f>
        <v/>
      </c>
      <c r="Y88">
        <f>HYPERLINK("https://klasma.github.io/Logging_2462/tillsynsmail/A 59489-2025 tillsynsbegäran mail.docx", "A 59489-2025")</f>
        <v/>
      </c>
      <c r="Z88">
        <f>HYPERLINK("https://klasma.github.io/Logging_2462/fåglar/A 59489-2025 prioriterade fågelarter.docx", "A 59489-2025")</f>
        <v/>
      </c>
    </row>
    <row r="89" ht="15" customHeight="1">
      <c r="A89" t="inlineStr">
        <is>
          <t>A 28856-2021</t>
        </is>
      </c>
      <c r="B89" s="1" t="n">
        <v>44357</v>
      </c>
      <c r="C89" s="1" t="n">
        <v>46075</v>
      </c>
      <c r="D89" t="inlineStr">
        <is>
          <t>VÄSTERBOTTENS LÄN</t>
        </is>
      </c>
      <c r="E89" t="inlineStr">
        <is>
          <t>STORUMAN</t>
        </is>
      </c>
      <c r="G89" t="n">
        <v>4.9</v>
      </c>
      <c r="H89" t="n">
        <v>3</v>
      </c>
      <c r="I89" t="n">
        <v>4</v>
      </c>
      <c r="J89" t="n">
        <v>8</v>
      </c>
      <c r="K89" t="n">
        <v>3</v>
      </c>
      <c r="L89" t="n">
        <v>0</v>
      </c>
      <c r="M89" t="n">
        <v>0</v>
      </c>
      <c r="N89" t="n">
        <v>0</v>
      </c>
      <c r="O89" t="n">
        <v>11</v>
      </c>
      <c r="P89" t="n">
        <v>3</v>
      </c>
      <c r="Q89" t="n">
        <v>16</v>
      </c>
      <c r="R89" s="2" t="inlineStr">
        <is>
          <t>Knärot
Lappticka
Rynkskinn
Garnlav
Granticka
Luddfingersvamp
Lunglav
Rosenticka
Tretåig hackspett
Ullticka
Äggvaxskivling
Luddlav
Stuplav
Svavelriska
Tibast
Kungsfågel</t>
        </is>
      </c>
      <c r="S89">
        <f>HYPERLINK("https://klasma.github.io/Logging_2421/artfynd/A 28856-2021 artfynd.xlsx", "A 28856-2021")</f>
        <v/>
      </c>
      <c r="T89">
        <f>HYPERLINK("https://klasma.github.io/Logging_2421/kartor/A 28856-2021 karta.png", "A 28856-2021")</f>
        <v/>
      </c>
      <c r="U89">
        <f>HYPERLINK("https://klasma.github.io/Logging_2421/knärot/A 28856-2021 karta knärot.png", "A 28856-2021")</f>
        <v/>
      </c>
      <c r="V89">
        <f>HYPERLINK("https://klasma.github.io/Logging_2421/klagomål/A 28856-2021 FSC-klagomål.docx", "A 28856-2021")</f>
        <v/>
      </c>
      <c r="W89">
        <f>HYPERLINK("https://klasma.github.io/Logging_2421/klagomålsmail/A 28856-2021 FSC-klagomål mail.docx", "A 28856-2021")</f>
        <v/>
      </c>
      <c r="X89">
        <f>HYPERLINK("https://klasma.github.io/Logging_2421/tillsyn/A 28856-2021 tillsynsbegäran.docx", "A 28856-2021")</f>
        <v/>
      </c>
      <c r="Y89">
        <f>HYPERLINK("https://klasma.github.io/Logging_2421/tillsynsmail/A 28856-2021 tillsynsbegäran mail.docx", "A 28856-2021")</f>
        <v/>
      </c>
      <c r="Z89">
        <f>HYPERLINK("https://klasma.github.io/Logging_2421/fåglar/A 28856-2021 prioriterade fågelarter.docx", "A 28856-2021")</f>
        <v/>
      </c>
    </row>
    <row r="90" ht="15" customHeight="1">
      <c r="A90" t="inlineStr">
        <is>
          <t>A 10060-2022</t>
        </is>
      </c>
      <c r="B90" s="1" t="n">
        <v>44621</v>
      </c>
      <c r="C90" s="1" t="n">
        <v>46075</v>
      </c>
      <c r="D90" t="inlineStr">
        <is>
          <t>VÄSTERBOTTENS LÄN</t>
        </is>
      </c>
      <c r="E90" t="inlineStr">
        <is>
          <t>SORSELE</t>
        </is>
      </c>
      <c r="G90" t="n">
        <v>45.3</v>
      </c>
      <c r="H90" t="n">
        <v>3</v>
      </c>
      <c r="I90" t="n">
        <v>4</v>
      </c>
      <c r="J90" t="n">
        <v>10</v>
      </c>
      <c r="K90" t="n">
        <v>1</v>
      </c>
      <c r="L90" t="n">
        <v>0</v>
      </c>
      <c r="M90" t="n">
        <v>0</v>
      </c>
      <c r="N90" t="n">
        <v>0</v>
      </c>
      <c r="O90" t="n">
        <v>11</v>
      </c>
      <c r="P90" t="n">
        <v>1</v>
      </c>
      <c r="Q90" t="n">
        <v>16</v>
      </c>
      <c r="R90" s="2" t="inlineStr">
        <is>
          <t>Gräddporing
Dvärgbägarlav
Gammelgransskål
Garnlav
Granticka
Rödbrun blekspik
Spillkråka
Tretåig hackspett
Violettgrå tagellav
Vitgrynig nållav
Vitplätt
Bårdlav
Norrlandslav
Nästlav
Stuplav
Revlummer</t>
        </is>
      </c>
      <c r="S90">
        <f>HYPERLINK("https://klasma.github.io/Logging_2422/artfynd/A 10060-2022 artfynd.xlsx", "A 10060-2022")</f>
        <v/>
      </c>
      <c r="T90">
        <f>HYPERLINK("https://klasma.github.io/Logging_2422/kartor/A 10060-2022 karta.png", "A 10060-2022")</f>
        <v/>
      </c>
      <c r="V90">
        <f>HYPERLINK("https://klasma.github.io/Logging_2422/klagomål/A 10060-2022 FSC-klagomål.docx", "A 10060-2022")</f>
        <v/>
      </c>
      <c r="W90">
        <f>HYPERLINK("https://klasma.github.io/Logging_2422/klagomålsmail/A 10060-2022 FSC-klagomål mail.docx", "A 10060-2022")</f>
        <v/>
      </c>
      <c r="X90">
        <f>HYPERLINK("https://klasma.github.io/Logging_2422/tillsyn/A 10060-2022 tillsynsbegäran.docx", "A 10060-2022")</f>
        <v/>
      </c>
      <c r="Y90">
        <f>HYPERLINK("https://klasma.github.io/Logging_2422/tillsynsmail/A 10060-2022 tillsynsbegäran mail.docx", "A 10060-2022")</f>
        <v/>
      </c>
      <c r="Z90">
        <f>HYPERLINK("https://klasma.github.io/Logging_2422/fåglar/A 10060-2022 prioriterade fågelarter.docx", "A 10060-2022")</f>
        <v/>
      </c>
    </row>
    <row r="91" ht="15" customHeight="1">
      <c r="A91" t="inlineStr">
        <is>
          <t>A 31718-2025</t>
        </is>
      </c>
      <c r="B91" s="1" t="n">
        <v>45834</v>
      </c>
      <c r="C91" s="1" t="n">
        <v>46075</v>
      </c>
      <c r="D91" t="inlineStr">
        <is>
          <t>VÄSTERBOTTENS LÄN</t>
        </is>
      </c>
      <c r="E91" t="inlineStr">
        <is>
          <t>SKELLEFTEÅ</t>
        </is>
      </c>
      <c r="G91" t="n">
        <v>4.3</v>
      </c>
      <c r="H91" t="n">
        <v>7</v>
      </c>
      <c r="I91" t="n">
        <v>6</v>
      </c>
      <c r="J91" t="n">
        <v>5</v>
      </c>
      <c r="K91" t="n">
        <v>2</v>
      </c>
      <c r="L91" t="n">
        <v>1</v>
      </c>
      <c r="M91" t="n">
        <v>0</v>
      </c>
      <c r="N91" t="n">
        <v>0</v>
      </c>
      <c r="O91" t="n">
        <v>8</v>
      </c>
      <c r="P91" t="n">
        <v>3</v>
      </c>
      <c r="Q91" t="n">
        <v>16</v>
      </c>
      <c r="R91" s="2" t="inlineStr">
        <is>
          <t>Tornseglare
Knärot
Ulltickeporing
Gammelgransskål
Garnlav
Lunglav
Tretåig hackspett
Ullticka
Grönpyrola
Norrlandslav
Plattlummer
Spindelblomster
Tibast
Ögonpyrola
Tjäder
Nattviol</t>
        </is>
      </c>
      <c r="S91">
        <f>HYPERLINK("https://klasma.github.io/Logging_2482/artfynd/A 31718-2025 artfynd.xlsx", "A 31718-2025")</f>
        <v/>
      </c>
      <c r="T91">
        <f>HYPERLINK("https://klasma.github.io/Logging_2482/kartor/A 31718-2025 karta.png", "A 31718-2025")</f>
        <v/>
      </c>
      <c r="U91">
        <f>HYPERLINK("https://klasma.github.io/Logging_2482/knärot/A 31718-2025 karta knärot.png", "A 31718-2025")</f>
        <v/>
      </c>
      <c r="V91">
        <f>HYPERLINK("https://klasma.github.io/Logging_2482/klagomål/A 31718-2025 FSC-klagomål.docx", "A 31718-2025")</f>
        <v/>
      </c>
      <c r="W91">
        <f>HYPERLINK("https://klasma.github.io/Logging_2482/klagomålsmail/A 31718-2025 FSC-klagomål mail.docx", "A 31718-2025")</f>
        <v/>
      </c>
      <c r="X91">
        <f>HYPERLINK("https://klasma.github.io/Logging_2482/tillsyn/A 31718-2025 tillsynsbegäran.docx", "A 31718-2025")</f>
        <v/>
      </c>
      <c r="Y91">
        <f>HYPERLINK("https://klasma.github.io/Logging_2482/tillsynsmail/A 31718-2025 tillsynsbegäran mail.docx", "A 31718-2025")</f>
        <v/>
      </c>
      <c r="Z91">
        <f>HYPERLINK("https://klasma.github.io/Logging_2482/fåglar/A 31718-2025 prioriterade fågelarter.docx", "A 31718-2025")</f>
        <v/>
      </c>
    </row>
    <row r="92" ht="15" customHeight="1">
      <c r="A92" t="inlineStr">
        <is>
          <t>A 30467-2025</t>
        </is>
      </c>
      <c r="B92" s="1" t="n">
        <v>45827</v>
      </c>
      <c r="C92" s="1" t="n">
        <v>46075</v>
      </c>
      <c r="D92" t="inlineStr">
        <is>
          <t>VÄSTERBOTTENS LÄN</t>
        </is>
      </c>
      <c r="E92" t="inlineStr">
        <is>
          <t>BJURHOLM</t>
        </is>
      </c>
      <c r="F92" t="inlineStr">
        <is>
          <t>Holmen skog AB</t>
        </is>
      </c>
      <c r="G92" t="n">
        <v>8.6</v>
      </c>
      <c r="H92" t="n">
        <v>3</v>
      </c>
      <c r="I92" t="n">
        <v>7</v>
      </c>
      <c r="J92" t="n">
        <v>8</v>
      </c>
      <c r="K92" t="n">
        <v>1</v>
      </c>
      <c r="L92" t="n">
        <v>0</v>
      </c>
      <c r="M92" t="n">
        <v>0</v>
      </c>
      <c r="N92" t="n">
        <v>0</v>
      </c>
      <c r="O92" t="n">
        <v>9</v>
      </c>
      <c r="P92" t="n">
        <v>1</v>
      </c>
      <c r="Q92" t="n">
        <v>16</v>
      </c>
      <c r="R92" s="2" t="inlineStr">
        <is>
          <t>Knärot
Garnlav
Kolflarnlav
Lunglav
Mörk kolflarnlav
Tallticka
Tretåig hackspett
Vedskivlav
Violettgrå tagellav
Dropptaggsvamp
Dvärgtufs
Luddlav
Plattlummer
Skinnlav
Stor aspticka
Stuplav</t>
        </is>
      </c>
      <c r="S92">
        <f>HYPERLINK("https://klasma.github.io/Logging_2403/artfynd/A 30467-2025 artfynd.xlsx", "A 30467-2025")</f>
        <v/>
      </c>
      <c r="T92">
        <f>HYPERLINK("https://klasma.github.io/Logging_2403/kartor/A 30467-2025 karta.png", "A 30467-2025")</f>
        <v/>
      </c>
      <c r="U92">
        <f>HYPERLINK("https://klasma.github.io/Logging_2403/knärot/A 30467-2025 karta knärot.png", "A 30467-2025")</f>
        <v/>
      </c>
      <c r="V92">
        <f>HYPERLINK("https://klasma.github.io/Logging_2403/klagomål/A 30467-2025 FSC-klagomål.docx", "A 30467-2025")</f>
        <v/>
      </c>
      <c r="W92">
        <f>HYPERLINK("https://klasma.github.io/Logging_2403/klagomålsmail/A 30467-2025 FSC-klagomål mail.docx", "A 30467-2025")</f>
        <v/>
      </c>
      <c r="X92">
        <f>HYPERLINK("https://klasma.github.io/Logging_2403/tillsyn/A 30467-2025 tillsynsbegäran.docx", "A 30467-2025")</f>
        <v/>
      </c>
      <c r="Y92">
        <f>HYPERLINK("https://klasma.github.io/Logging_2403/tillsynsmail/A 30467-2025 tillsynsbegäran mail.docx", "A 30467-2025")</f>
        <v/>
      </c>
      <c r="Z92">
        <f>HYPERLINK("https://klasma.github.io/Logging_2403/fåglar/A 30467-2025 prioriterade fågelarter.docx", "A 30467-2025")</f>
        <v/>
      </c>
    </row>
    <row r="93" ht="15" customHeight="1">
      <c r="A93" t="inlineStr">
        <is>
          <t>A 57334-2022</t>
        </is>
      </c>
      <c r="B93" s="1" t="n">
        <v>44896</v>
      </c>
      <c r="C93" s="1" t="n">
        <v>46075</v>
      </c>
      <c r="D93" t="inlineStr">
        <is>
          <t>VÄSTERBOTTENS LÄN</t>
        </is>
      </c>
      <c r="E93" t="inlineStr">
        <is>
          <t>BJURHOLM</t>
        </is>
      </c>
      <c r="F93" t="inlineStr">
        <is>
          <t>Holmen skog AB</t>
        </is>
      </c>
      <c r="G93" t="n">
        <v>3.3</v>
      </c>
      <c r="H93" t="n">
        <v>5</v>
      </c>
      <c r="I93" t="n">
        <v>2</v>
      </c>
      <c r="J93" t="n">
        <v>11</v>
      </c>
      <c r="K93" t="n">
        <v>2</v>
      </c>
      <c r="L93" t="n">
        <v>0</v>
      </c>
      <c r="M93" t="n">
        <v>0</v>
      </c>
      <c r="N93" t="n">
        <v>0</v>
      </c>
      <c r="O93" t="n">
        <v>13</v>
      </c>
      <c r="P93" t="n">
        <v>2</v>
      </c>
      <c r="Q93" t="n">
        <v>16</v>
      </c>
      <c r="R93" s="2" t="inlineStr">
        <is>
          <t>Fläckporing
Knärot
Barkporlav
Garnlav
Kolflarnlav
Kortskaftad ärgspik
Lunglav
Mörk kolflarnlav
Skrovellav
Spillkråka
Talltita
Tretåig hackspett
Vedskivlav
Dropptaggsvamp
Stuplav
Fläcknycklar</t>
        </is>
      </c>
      <c r="S93">
        <f>HYPERLINK("https://klasma.github.io/Logging_2403/artfynd/A 57334-2022 artfynd.xlsx", "A 57334-2022")</f>
        <v/>
      </c>
      <c r="T93">
        <f>HYPERLINK("https://klasma.github.io/Logging_2403/kartor/A 57334-2022 karta.png", "A 57334-2022")</f>
        <v/>
      </c>
      <c r="U93">
        <f>HYPERLINK("https://klasma.github.io/Logging_2403/knärot/A 57334-2022 karta knärot.png", "A 57334-2022")</f>
        <v/>
      </c>
      <c r="V93">
        <f>HYPERLINK("https://klasma.github.io/Logging_2403/klagomål/A 57334-2022 FSC-klagomål.docx", "A 57334-2022")</f>
        <v/>
      </c>
      <c r="W93">
        <f>HYPERLINK("https://klasma.github.io/Logging_2403/klagomålsmail/A 57334-2022 FSC-klagomål mail.docx", "A 57334-2022")</f>
        <v/>
      </c>
      <c r="X93">
        <f>HYPERLINK("https://klasma.github.io/Logging_2403/tillsyn/A 57334-2022 tillsynsbegäran.docx", "A 57334-2022")</f>
        <v/>
      </c>
      <c r="Y93">
        <f>HYPERLINK("https://klasma.github.io/Logging_2403/tillsynsmail/A 57334-2022 tillsynsbegäran mail.docx", "A 57334-2022")</f>
        <v/>
      </c>
      <c r="Z93">
        <f>HYPERLINK("https://klasma.github.io/Logging_2403/fåglar/A 57334-2022 prioriterade fågelarter.docx", "A 57334-2022")</f>
        <v/>
      </c>
    </row>
    <row r="94" ht="15" customHeight="1">
      <c r="A94" t="inlineStr">
        <is>
          <t>A 20418-2023</t>
        </is>
      </c>
      <c r="B94" s="1" t="n">
        <v>45054</v>
      </c>
      <c r="C94" s="1" t="n">
        <v>46075</v>
      </c>
      <c r="D94" t="inlineStr">
        <is>
          <t>VÄSTERBOTTENS LÄN</t>
        </is>
      </c>
      <c r="E94" t="inlineStr">
        <is>
          <t>VILHELMINA</t>
        </is>
      </c>
      <c r="F94" t="inlineStr">
        <is>
          <t>Övriga statliga verk och myndigheter</t>
        </is>
      </c>
      <c r="G94" t="n">
        <v>10.2</v>
      </c>
      <c r="H94" t="n">
        <v>1</v>
      </c>
      <c r="I94" t="n">
        <v>3</v>
      </c>
      <c r="J94" t="n">
        <v>12</v>
      </c>
      <c r="K94" t="n">
        <v>1</v>
      </c>
      <c r="L94" t="n">
        <v>0</v>
      </c>
      <c r="M94" t="n">
        <v>0</v>
      </c>
      <c r="N94" t="n">
        <v>0</v>
      </c>
      <c r="O94" t="n">
        <v>13</v>
      </c>
      <c r="P94" t="n">
        <v>1</v>
      </c>
      <c r="Q94" t="n">
        <v>16</v>
      </c>
      <c r="R94" s="2" t="inlineStr">
        <is>
          <t>Liten sotlav
Gammelgransskål
Garnlav
Granticka
Gränsticka
Harticka
Lunglav
Rosenticka
Skrovellav
Tretåig hackspett
Ullticka
Vitgrynig nållav
Vitskaftad svartspik
Bårdlav
Mörk husmossa
Vedticka</t>
        </is>
      </c>
      <c r="S94">
        <f>HYPERLINK("https://klasma.github.io/Logging_2462/artfynd/A 20418-2023 artfynd.xlsx", "A 20418-2023")</f>
        <v/>
      </c>
      <c r="T94">
        <f>HYPERLINK("https://klasma.github.io/Logging_2462/kartor/A 20418-2023 karta.png", "A 20418-2023")</f>
        <v/>
      </c>
      <c r="V94">
        <f>HYPERLINK("https://klasma.github.io/Logging_2462/klagomål/A 20418-2023 FSC-klagomål.docx", "A 20418-2023")</f>
        <v/>
      </c>
      <c r="W94">
        <f>HYPERLINK("https://klasma.github.io/Logging_2462/klagomålsmail/A 20418-2023 FSC-klagomål mail.docx", "A 20418-2023")</f>
        <v/>
      </c>
      <c r="X94">
        <f>HYPERLINK("https://klasma.github.io/Logging_2462/tillsyn/A 20418-2023 tillsynsbegäran.docx", "A 20418-2023")</f>
        <v/>
      </c>
      <c r="Y94">
        <f>HYPERLINK("https://klasma.github.io/Logging_2462/tillsynsmail/A 20418-2023 tillsynsbegäran mail.docx", "A 20418-2023")</f>
        <v/>
      </c>
      <c r="Z94">
        <f>HYPERLINK("https://klasma.github.io/Logging_2462/fåglar/A 20418-2023 prioriterade fågelarter.docx", "A 20418-2023")</f>
        <v/>
      </c>
    </row>
    <row r="95" ht="15" customHeight="1">
      <c r="A95" t="inlineStr">
        <is>
          <t>A 21611-2025</t>
        </is>
      </c>
      <c r="B95" s="1" t="n">
        <v>45783.39288194444</v>
      </c>
      <c r="C95" s="1" t="n">
        <v>46075</v>
      </c>
      <c r="D95" t="inlineStr">
        <is>
          <t>VÄSTERBOTTENS LÄN</t>
        </is>
      </c>
      <c r="E95" t="inlineStr">
        <is>
          <t>UMEÅ</t>
        </is>
      </c>
      <c r="G95" t="n">
        <v>18.6</v>
      </c>
      <c r="H95" t="n">
        <v>1</v>
      </c>
      <c r="I95" t="n">
        <v>3</v>
      </c>
      <c r="J95" t="n">
        <v>9</v>
      </c>
      <c r="K95" t="n">
        <v>3</v>
      </c>
      <c r="L95" t="n">
        <v>0</v>
      </c>
      <c r="M95" t="n">
        <v>0</v>
      </c>
      <c r="N95" t="n">
        <v>0</v>
      </c>
      <c r="O95" t="n">
        <v>13</v>
      </c>
      <c r="P95" t="n">
        <v>3</v>
      </c>
      <c r="Q95" t="n">
        <v>16</v>
      </c>
      <c r="R95"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5">
        <f>HYPERLINK("https://klasma.github.io/Logging_2480/artfynd/A 21611-2025 artfynd.xlsx", "A 21611-2025")</f>
        <v/>
      </c>
      <c r="T95">
        <f>HYPERLINK("https://klasma.github.io/Logging_2480/kartor/A 21611-2025 karta.png", "A 21611-2025")</f>
        <v/>
      </c>
      <c r="V95">
        <f>HYPERLINK("https://klasma.github.io/Logging_2480/klagomål/A 21611-2025 FSC-klagomål.docx", "A 21611-2025")</f>
        <v/>
      </c>
      <c r="W95">
        <f>HYPERLINK("https://klasma.github.io/Logging_2480/klagomålsmail/A 21611-2025 FSC-klagomål mail.docx", "A 21611-2025")</f>
        <v/>
      </c>
      <c r="X95">
        <f>HYPERLINK("https://klasma.github.io/Logging_2480/tillsyn/A 21611-2025 tillsynsbegäran.docx", "A 21611-2025")</f>
        <v/>
      </c>
      <c r="Y95">
        <f>HYPERLINK("https://klasma.github.io/Logging_2480/tillsynsmail/A 21611-2025 tillsynsbegäran mail.docx", "A 21611-2025")</f>
        <v/>
      </c>
      <c r="Z95">
        <f>HYPERLINK("https://klasma.github.io/Logging_2480/fåglar/A 21611-2025 prioriterade fågelarter.docx", "A 21611-2025")</f>
        <v/>
      </c>
    </row>
    <row r="96" ht="15" customHeight="1">
      <c r="A96" t="inlineStr">
        <is>
          <t>A 43267-2021</t>
        </is>
      </c>
      <c r="B96" s="1" t="n">
        <v>44432</v>
      </c>
      <c r="C96" s="1" t="n">
        <v>46075</v>
      </c>
      <c r="D96" t="inlineStr">
        <is>
          <t>VÄSTERBOTTENS LÄN</t>
        </is>
      </c>
      <c r="E96" t="inlineStr">
        <is>
          <t>SORSELE</t>
        </is>
      </c>
      <c r="G96" t="n">
        <v>29</v>
      </c>
      <c r="H96" t="n">
        <v>4</v>
      </c>
      <c r="I96" t="n">
        <v>2</v>
      </c>
      <c r="J96" t="n">
        <v>11</v>
      </c>
      <c r="K96" t="n">
        <v>1</v>
      </c>
      <c r="L96" t="n">
        <v>0</v>
      </c>
      <c r="M96" t="n">
        <v>0</v>
      </c>
      <c r="N96" t="n">
        <v>0</v>
      </c>
      <c r="O96" t="n">
        <v>12</v>
      </c>
      <c r="P96" t="n">
        <v>1</v>
      </c>
      <c r="Q96" t="n">
        <v>15</v>
      </c>
      <c r="R96" s="2" t="inlineStr">
        <is>
          <t>Ostticka
Gammelgransskål
Garnlav
Granticka
Gränsticka
Harticka
Knottrig blåslav
Rödbrun blekspik
Skrovellav
Spillkråka
Tretåig hackspett
Ullticka
Luddlav
Spindelblomster
Revlummer</t>
        </is>
      </c>
      <c r="S96">
        <f>HYPERLINK("https://klasma.github.io/Logging_2422/artfynd/A 43267-2021 artfynd.xlsx", "A 43267-2021")</f>
        <v/>
      </c>
      <c r="T96">
        <f>HYPERLINK("https://klasma.github.io/Logging_2422/kartor/A 43267-2021 karta.png", "A 43267-2021")</f>
        <v/>
      </c>
      <c r="V96">
        <f>HYPERLINK("https://klasma.github.io/Logging_2422/klagomål/A 43267-2021 FSC-klagomål.docx", "A 43267-2021")</f>
        <v/>
      </c>
      <c r="W96">
        <f>HYPERLINK("https://klasma.github.io/Logging_2422/klagomålsmail/A 43267-2021 FSC-klagomål mail.docx", "A 43267-2021")</f>
        <v/>
      </c>
      <c r="X96">
        <f>HYPERLINK("https://klasma.github.io/Logging_2422/tillsyn/A 43267-2021 tillsynsbegäran.docx", "A 43267-2021")</f>
        <v/>
      </c>
      <c r="Y96">
        <f>HYPERLINK("https://klasma.github.io/Logging_2422/tillsynsmail/A 43267-2021 tillsynsbegäran mail.docx", "A 43267-2021")</f>
        <v/>
      </c>
      <c r="Z96">
        <f>HYPERLINK("https://klasma.github.io/Logging_2422/fåglar/A 43267-2021 prioriterade fågelarter.docx", "A 43267-2021")</f>
        <v/>
      </c>
    </row>
    <row r="97" ht="15" customHeight="1">
      <c r="A97" t="inlineStr">
        <is>
          <t>A 54843-2021</t>
        </is>
      </c>
      <c r="B97" s="1" t="n">
        <v>44474</v>
      </c>
      <c r="C97" s="1" t="n">
        <v>46075</v>
      </c>
      <c r="D97" t="inlineStr">
        <is>
          <t>VÄSTERBOTTENS LÄN</t>
        </is>
      </c>
      <c r="E97" t="inlineStr">
        <is>
          <t>VILHELMINA</t>
        </is>
      </c>
      <c r="F97" t="inlineStr">
        <is>
          <t>Sveaskog</t>
        </is>
      </c>
      <c r="G97" t="n">
        <v>11.3</v>
      </c>
      <c r="H97" t="n">
        <v>4</v>
      </c>
      <c r="I97" t="n">
        <v>2</v>
      </c>
      <c r="J97" t="n">
        <v>9</v>
      </c>
      <c r="K97" t="n">
        <v>3</v>
      </c>
      <c r="L97" t="n">
        <v>0</v>
      </c>
      <c r="M97" t="n">
        <v>0</v>
      </c>
      <c r="N97" t="n">
        <v>0</v>
      </c>
      <c r="O97" t="n">
        <v>12</v>
      </c>
      <c r="P97" t="n">
        <v>3</v>
      </c>
      <c r="Q97" t="n">
        <v>15</v>
      </c>
      <c r="R97" s="2" t="inlineStr">
        <is>
          <t>Grantickeporing
Ostticka
Ulltickeporing
Gammelgransskål
Garnlav
Granticka
Rosenticka
Spillkråka
Talltita
Tretåig hackspett
Ullticka
Vitgrynig nållav
Skinnlav
Trådticka
Revlummer</t>
        </is>
      </c>
      <c r="S97">
        <f>HYPERLINK("https://klasma.github.io/Logging_2462/artfynd/A 54843-2021 artfynd.xlsx", "A 54843-2021")</f>
        <v/>
      </c>
      <c r="T97">
        <f>HYPERLINK("https://klasma.github.io/Logging_2462/kartor/A 54843-2021 karta.png", "A 54843-2021")</f>
        <v/>
      </c>
      <c r="V97">
        <f>HYPERLINK("https://klasma.github.io/Logging_2462/klagomål/A 54843-2021 FSC-klagomål.docx", "A 54843-2021")</f>
        <v/>
      </c>
      <c r="W97">
        <f>HYPERLINK("https://klasma.github.io/Logging_2462/klagomålsmail/A 54843-2021 FSC-klagomål mail.docx", "A 54843-2021")</f>
        <v/>
      </c>
      <c r="X97">
        <f>HYPERLINK("https://klasma.github.io/Logging_2462/tillsyn/A 54843-2021 tillsynsbegäran.docx", "A 54843-2021")</f>
        <v/>
      </c>
      <c r="Y97">
        <f>HYPERLINK("https://klasma.github.io/Logging_2462/tillsynsmail/A 54843-2021 tillsynsbegäran mail.docx", "A 54843-2021")</f>
        <v/>
      </c>
      <c r="Z97">
        <f>HYPERLINK("https://klasma.github.io/Logging_2462/fåglar/A 54843-2021 prioriterade fågelarter.docx", "A 54843-2021")</f>
        <v/>
      </c>
    </row>
    <row r="98" ht="15" customHeight="1">
      <c r="A98" t="inlineStr">
        <is>
          <t>A 6725-2024</t>
        </is>
      </c>
      <c r="B98" s="1" t="n">
        <v>45342</v>
      </c>
      <c r="C98" s="1" t="n">
        <v>46075</v>
      </c>
      <c r="D98" t="inlineStr">
        <is>
          <t>VÄSTERBOTTENS LÄN</t>
        </is>
      </c>
      <c r="E98" t="inlineStr">
        <is>
          <t>UMEÅ</t>
        </is>
      </c>
      <c r="F98" t="inlineStr">
        <is>
          <t>Övriga statliga verk och myndigheter</t>
        </is>
      </c>
      <c r="G98" t="n">
        <v>6.2</v>
      </c>
      <c r="H98" t="n">
        <v>5</v>
      </c>
      <c r="I98" t="n">
        <v>5</v>
      </c>
      <c r="J98" t="n">
        <v>5</v>
      </c>
      <c r="K98" t="n">
        <v>1</v>
      </c>
      <c r="L98" t="n">
        <v>1</v>
      </c>
      <c r="M98" t="n">
        <v>0</v>
      </c>
      <c r="N98" t="n">
        <v>0</v>
      </c>
      <c r="O98" t="n">
        <v>7</v>
      </c>
      <c r="P98" t="n">
        <v>2</v>
      </c>
      <c r="Q98" t="n">
        <v>15</v>
      </c>
      <c r="R98" s="2" t="inlineStr">
        <is>
          <t>Cylinderskägglav
Gropig skägglav
Granticka
Spillkråka
Talltita
Ullticka
Violettgrå tagellav
Björksplintborre
Nästlav
Thomsons trägnagare
Vedticka
Vågbandad barkbock
Kungsfågel
Tjäder
Fläcknycklar</t>
        </is>
      </c>
      <c r="S98">
        <f>HYPERLINK("https://klasma.github.io/Logging_2480/artfynd/A 6725-2024 artfynd.xlsx", "A 6725-2024")</f>
        <v/>
      </c>
      <c r="T98">
        <f>HYPERLINK("https://klasma.github.io/Logging_2480/kartor/A 6725-2024 karta.png", "A 6725-2024")</f>
        <v/>
      </c>
      <c r="V98">
        <f>HYPERLINK("https://klasma.github.io/Logging_2480/klagomål/A 6725-2024 FSC-klagomål.docx", "A 6725-2024")</f>
        <v/>
      </c>
      <c r="W98">
        <f>HYPERLINK("https://klasma.github.io/Logging_2480/klagomålsmail/A 6725-2024 FSC-klagomål mail.docx", "A 6725-2024")</f>
        <v/>
      </c>
      <c r="X98">
        <f>HYPERLINK("https://klasma.github.io/Logging_2480/tillsyn/A 6725-2024 tillsynsbegäran.docx", "A 6725-2024")</f>
        <v/>
      </c>
      <c r="Y98">
        <f>HYPERLINK("https://klasma.github.io/Logging_2480/tillsynsmail/A 6725-2024 tillsynsbegäran mail.docx", "A 6725-2024")</f>
        <v/>
      </c>
      <c r="Z98">
        <f>HYPERLINK("https://klasma.github.io/Logging_2480/fåglar/A 6725-2024 prioriterade fågelarter.docx", "A 6725-2024")</f>
        <v/>
      </c>
    </row>
    <row r="99" ht="15" customHeight="1">
      <c r="A99" t="inlineStr">
        <is>
          <t>A 15049-2024</t>
        </is>
      </c>
      <c r="B99" s="1" t="n">
        <v>45399</v>
      </c>
      <c r="C99" s="1" t="n">
        <v>46075</v>
      </c>
      <c r="D99" t="inlineStr">
        <is>
          <t>VÄSTERBOTTENS LÄN</t>
        </is>
      </c>
      <c r="E99" t="inlineStr">
        <is>
          <t>VILHELMINA</t>
        </is>
      </c>
      <c r="F99" t="inlineStr">
        <is>
          <t>SCA</t>
        </is>
      </c>
      <c r="G99" t="n">
        <v>4.6</v>
      </c>
      <c r="H99" t="n">
        <v>2</v>
      </c>
      <c r="I99" t="n">
        <v>4</v>
      </c>
      <c r="J99" t="n">
        <v>9</v>
      </c>
      <c r="K99" t="n">
        <v>1</v>
      </c>
      <c r="L99" t="n">
        <v>0</v>
      </c>
      <c r="M99" t="n">
        <v>0</v>
      </c>
      <c r="N99" t="n">
        <v>0</v>
      </c>
      <c r="O99" t="n">
        <v>10</v>
      </c>
      <c r="P99" t="n">
        <v>1</v>
      </c>
      <c r="Q99" t="n">
        <v>15</v>
      </c>
      <c r="R99" s="2" t="inlineStr">
        <is>
          <t>Liten sotlav
Gammelgransskål
Garnlav
Gränsticka
Harticka
Liten svartspik
Lunglav
Skrovellav
Tretåig hackspett
Ullticka
Bårdlav
Luddlav
Stuplav
Trådticka
Tjäder</t>
        </is>
      </c>
      <c r="S99">
        <f>HYPERLINK("https://klasma.github.io/Logging_2462/artfynd/A 15049-2024 artfynd.xlsx", "A 15049-2024")</f>
        <v/>
      </c>
      <c r="T99">
        <f>HYPERLINK("https://klasma.github.io/Logging_2462/kartor/A 15049-2024 karta.png", "A 15049-2024")</f>
        <v/>
      </c>
      <c r="V99">
        <f>HYPERLINK("https://klasma.github.io/Logging_2462/klagomål/A 15049-2024 FSC-klagomål.docx", "A 15049-2024")</f>
        <v/>
      </c>
      <c r="W99">
        <f>HYPERLINK("https://klasma.github.io/Logging_2462/klagomålsmail/A 15049-2024 FSC-klagomål mail.docx", "A 15049-2024")</f>
        <v/>
      </c>
      <c r="X99">
        <f>HYPERLINK("https://klasma.github.io/Logging_2462/tillsyn/A 15049-2024 tillsynsbegäran.docx", "A 15049-2024")</f>
        <v/>
      </c>
      <c r="Y99">
        <f>HYPERLINK("https://klasma.github.io/Logging_2462/tillsynsmail/A 15049-2024 tillsynsbegäran mail.docx", "A 15049-2024")</f>
        <v/>
      </c>
      <c r="Z99">
        <f>HYPERLINK("https://klasma.github.io/Logging_2462/fåglar/A 15049-2024 prioriterade fågelarter.docx", "A 15049-2024")</f>
        <v/>
      </c>
    </row>
    <row r="100" ht="15" customHeight="1">
      <c r="A100" t="inlineStr">
        <is>
          <t>A 27557-2025</t>
        </is>
      </c>
      <c r="B100" s="1" t="n">
        <v>45813</v>
      </c>
      <c r="C100" s="1" t="n">
        <v>46075</v>
      </c>
      <c r="D100" t="inlineStr">
        <is>
          <t>VÄSTERBOTTENS LÄN</t>
        </is>
      </c>
      <c r="E100" t="inlineStr">
        <is>
          <t>DOROTEA</t>
        </is>
      </c>
      <c r="F100" t="inlineStr">
        <is>
          <t>SCA</t>
        </is>
      </c>
      <c r="G100" t="n">
        <v>20.7</v>
      </c>
      <c r="H100" t="n">
        <v>4</v>
      </c>
      <c r="I100" t="n">
        <v>4</v>
      </c>
      <c r="J100" t="n">
        <v>8</v>
      </c>
      <c r="K100" t="n">
        <v>2</v>
      </c>
      <c r="L100" t="n">
        <v>0</v>
      </c>
      <c r="M100" t="n">
        <v>0</v>
      </c>
      <c r="N100" t="n">
        <v>0</v>
      </c>
      <c r="O100" t="n">
        <v>10</v>
      </c>
      <c r="P100" t="n">
        <v>2</v>
      </c>
      <c r="Q100" t="n">
        <v>15</v>
      </c>
      <c r="R100" s="2" t="inlineStr">
        <is>
          <t>Finporing
Ostticka
Garnlav
Granticka
Gränsticka
Harticka
Koralltaggsvamp
Spillkråka
Talltita
Tretåig hackspett
Kransrams
Luddlav
Stuplav
Trådticka
Skogsrör</t>
        </is>
      </c>
      <c r="S100">
        <f>HYPERLINK("https://klasma.github.io/Logging_2425/artfynd/A 27557-2025 artfynd.xlsx", "A 27557-2025")</f>
        <v/>
      </c>
      <c r="T100">
        <f>HYPERLINK("https://klasma.github.io/Logging_2425/kartor/A 27557-2025 karta.png", "A 27557-2025")</f>
        <v/>
      </c>
      <c r="V100">
        <f>HYPERLINK("https://klasma.github.io/Logging_2425/klagomål/A 27557-2025 FSC-klagomål.docx", "A 27557-2025")</f>
        <v/>
      </c>
      <c r="W100">
        <f>HYPERLINK("https://klasma.github.io/Logging_2425/klagomålsmail/A 27557-2025 FSC-klagomål mail.docx", "A 27557-2025")</f>
        <v/>
      </c>
      <c r="X100">
        <f>HYPERLINK("https://klasma.github.io/Logging_2425/tillsyn/A 27557-2025 tillsynsbegäran.docx", "A 27557-2025")</f>
        <v/>
      </c>
      <c r="Y100">
        <f>HYPERLINK("https://klasma.github.io/Logging_2425/tillsynsmail/A 27557-2025 tillsynsbegäran mail.docx", "A 27557-2025")</f>
        <v/>
      </c>
      <c r="Z100">
        <f>HYPERLINK("https://klasma.github.io/Logging_2425/fåglar/A 27557-2025 prioriterade fågelarter.docx", "A 27557-2025")</f>
        <v/>
      </c>
    </row>
    <row r="101" ht="15" customHeight="1">
      <c r="A101" t="inlineStr">
        <is>
          <t>A 18848-2025</t>
        </is>
      </c>
      <c r="B101" s="1" t="n">
        <v>45764</v>
      </c>
      <c r="C101" s="1" t="n">
        <v>46075</v>
      </c>
      <c r="D101" t="inlineStr">
        <is>
          <t>VÄSTERBOTTENS LÄN</t>
        </is>
      </c>
      <c r="E101" t="inlineStr">
        <is>
          <t>VILHELMINA</t>
        </is>
      </c>
      <c r="G101" t="n">
        <v>16.4</v>
      </c>
      <c r="H101" t="n">
        <v>4</v>
      </c>
      <c r="I101" t="n">
        <v>3</v>
      </c>
      <c r="J101" t="n">
        <v>8</v>
      </c>
      <c r="K101" t="n">
        <v>2</v>
      </c>
      <c r="L101" t="n">
        <v>0</v>
      </c>
      <c r="M101" t="n">
        <v>0</v>
      </c>
      <c r="N101" t="n">
        <v>0</v>
      </c>
      <c r="O101" t="n">
        <v>10</v>
      </c>
      <c r="P101" t="n">
        <v>2</v>
      </c>
      <c r="Q101" t="n">
        <v>15</v>
      </c>
      <c r="R101" s="2" t="inlineStr">
        <is>
          <t>Grantickeporing
Ostticka
Doftskinn
Garnlav
Granticka
Gränsticka
Harticka
Järpe
Rosenticka
Tretåig hackspett
Blodticka
Trådticka
Vedticka
Kungsfågel
Tjäder</t>
        </is>
      </c>
      <c r="S101">
        <f>HYPERLINK("https://klasma.github.io/Logging_2462/artfynd/A 18848-2025 artfynd.xlsx", "A 18848-2025")</f>
        <v/>
      </c>
      <c r="T101">
        <f>HYPERLINK("https://klasma.github.io/Logging_2462/kartor/A 18848-2025 karta.png", "A 18848-2025")</f>
        <v/>
      </c>
      <c r="V101">
        <f>HYPERLINK("https://klasma.github.io/Logging_2462/klagomål/A 18848-2025 FSC-klagomål.docx", "A 18848-2025")</f>
        <v/>
      </c>
      <c r="W101">
        <f>HYPERLINK("https://klasma.github.io/Logging_2462/klagomålsmail/A 18848-2025 FSC-klagomål mail.docx", "A 18848-2025")</f>
        <v/>
      </c>
      <c r="X101">
        <f>HYPERLINK("https://klasma.github.io/Logging_2462/tillsyn/A 18848-2025 tillsynsbegäran.docx", "A 18848-2025")</f>
        <v/>
      </c>
      <c r="Y101">
        <f>HYPERLINK("https://klasma.github.io/Logging_2462/tillsynsmail/A 18848-2025 tillsynsbegäran mail.docx", "A 18848-2025")</f>
        <v/>
      </c>
      <c r="Z101">
        <f>HYPERLINK("https://klasma.github.io/Logging_2462/fåglar/A 18848-2025 prioriterade fågelarter.docx", "A 18848-2025")</f>
        <v/>
      </c>
    </row>
    <row r="102" ht="15" customHeight="1">
      <c r="A102" t="inlineStr">
        <is>
          <t>A 9110-2025</t>
        </is>
      </c>
      <c r="B102" s="1" t="n">
        <v>45713</v>
      </c>
      <c r="C102" s="1" t="n">
        <v>46075</v>
      </c>
      <c r="D102" t="inlineStr">
        <is>
          <t>VÄSTERBOTTENS LÄN</t>
        </is>
      </c>
      <c r="E102" t="inlineStr">
        <is>
          <t>SORSELE</t>
        </is>
      </c>
      <c r="G102" t="n">
        <v>59.7</v>
      </c>
      <c r="H102" t="n">
        <v>1</v>
      </c>
      <c r="I102" t="n">
        <v>0</v>
      </c>
      <c r="J102" t="n">
        <v>12</v>
      </c>
      <c r="K102" t="n">
        <v>3</v>
      </c>
      <c r="L102" t="n">
        <v>0</v>
      </c>
      <c r="M102" t="n">
        <v>0</v>
      </c>
      <c r="N102" t="n">
        <v>0</v>
      </c>
      <c r="O102" t="n">
        <v>15</v>
      </c>
      <c r="P102" t="n">
        <v>3</v>
      </c>
      <c r="Q102" t="n">
        <v>15</v>
      </c>
      <c r="R102" s="2" t="inlineStr">
        <is>
          <t>Rynkskinn
Smalskaftslav
Tajgaskinn
Brunpudrad nållav
Garnlav
Granticka
Gränsticka
Harticka
Järpe
Knottrig blåslav
Rosenticka
Skogsfältmätare
Ullticka
Vitgrynig nållav
Vitskaftad svartspik</t>
        </is>
      </c>
      <c r="S102">
        <f>HYPERLINK("https://klasma.github.io/Logging_2422/artfynd/A 9110-2025 artfynd.xlsx", "A 9110-2025")</f>
        <v/>
      </c>
      <c r="T102">
        <f>HYPERLINK("https://klasma.github.io/Logging_2422/kartor/A 9110-2025 karta.png", "A 9110-2025")</f>
        <v/>
      </c>
      <c r="V102">
        <f>HYPERLINK("https://klasma.github.io/Logging_2422/klagomål/A 9110-2025 FSC-klagomål.docx", "A 9110-2025")</f>
        <v/>
      </c>
      <c r="W102">
        <f>HYPERLINK("https://klasma.github.io/Logging_2422/klagomålsmail/A 9110-2025 FSC-klagomål mail.docx", "A 9110-2025")</f>
        <v/>
      </c>
      <c r="X102">
        <f>HYPERLINK("https://klasma.github.io/Logging_2422/tillsyn/A 9110-2025 tillsynsbegäran.docx", "A 9110-2025")</f>
        <v/>
      </c>
      <c r="Y102">
        <f>HYPERLINK("https://klasma.github.io/Logging_2422/tillsynsmail/A 9110-2025 tillsynsbegäran mail.docx", "A 9110-2025")</f>
        <v/>
      </c>
      <c r="Z102">
        <f>HYPERLINK("https://klasma.github.io/Logging_2422/fåglar/A 9110-2025 prioriterade fågelarter.docx", "A 9110-2025")</f>
        <v/>
      </c>
    </row>
    <row r="103" ht="15" customHeight="1">
      <c r="A103" t="inlineStr">
        <is>
          <t>A 18158-2021</t>
        </is>
      </c>
      <c r="B103" s="1" t="n">
        <v>44302</v>
      </c>
      <c r="C103" s="1" t="n">
        <v>46075</v>
      </c>
      <c r="D103" t="inlineStr">
        <is>
          <t>VÄSTERBOTTENS LÄN</t>
        </is>
      </c>
      <c r="E103" t="inlineStr">
        <is>
          <t>SKELLEFTEÅ</t>
        </is>
      </c>
      <c r="G103" t="n">
        <v>13.8</v>
      </c>
      <c r="H103" t="n">
        <v>5</v>
      </c>
      <c r="I103" t="n">
        <v>2</v>
      </c>
      <c r="J103" t="n">
        <v>10</v>
      </c>
      <c r="K103" t="n">
        <v>2</v>
      </c>
      <c r="L103" t="n">
        <v>0</v>
      </c>
      <c r="M103" t="n">
        <v>0</v>
      </c>
      <c r="N103" t="n">
        <v>0</v>
      </c>
      <c r="O103" t="n">
        <v>12</v>
      </c>
      <c r="P103" t="n">
        <v>2</v>
      </c>
      <c r="Q103" t="n">
        <v>15</v>
      </c>
      <c r="R103" s="2" t="inlineStr">
        <is>
          <t>Knärot
Norna
Gammelgransskål
Garnlav
Granticka
Koralltaggsvamp
Lunglav
Rosenticka
Tretåig hackspett
Ullticka
Vaddporing
Vedtrappmossa
Skinnlav
Spindelblomster
Nattviol</t>
        </is>
      </c>
      <c r="S103">
        <f>HYPERLINK("https://klasma.github.io/Logging_2482/artfynd/A 18158-2021 artfynd.xlsx", "A 18158-2021")</f>
        <v/>
      </c>
      <c r="T103">
        <f>HYPERLINK("https://klasma.github.io/Logging_2482/kartor/A 18158-2021 karta.png", "A 18158-2021")</f>
        <v/>
      </c>
      <c r="U103">
        <f>HYPERLINK("https://klasma.github.io/Logging_2482/knärot/A 18158-2021 karta knärot.png", "A 18158-2021")</f>
        <v/>
      </c>
      <c r="V103">
        <f>HYPERLINK("https://klasma.github.io/Logging_2482/klagomål/A 18158-2021 FSC-klagomål.docx", "A 18158-2021")</f>
        <v/>
      </c>
      <c r="W103">
        <f>HYPERLINK("https://klasma.github.io/Logging_2482/klagomålsmail/A 18158-2021 FSC-klagomål mail.docx", "A 18158-2021")</f>
        <v/>
      </c>
      <c r="X103">
        <f>HYPERLINK("https://klasma.github.io/Logging_2482/tillsyn/A 18158-2021 tillsynsbegäran.docx", "A 18158-2021")</f>
        <v/>
      </c>
      <c r="Y103">
        <f>HYPERLINK("https://klasma.github.io/Logging_2482/tillsynsmail/A 18158-2021 tillsynsbegäran mail.docx", "A 18158-2021")</f>
        <v/>
      </c>
      <c r="Z103">
        <f>HYPERLINK("https://klasma.github.io/Logging_2482/fåglar/A 18158-2021 prioriterade fågelarter.docx", "A 18158-2021")</f>
        <v/>
      </c>
    </row>
    <row r="104" ht="15" customHeight="1">
      <c r="A104" t="inlineStr">
        <is>
          <t>A 31945-2021</t>
        </is>
      </c>
      <c r="B104" s="1" t="n">
        <v>44370</v>
      </c>
      <c r="C104" s="1" t="n">
        <v>46075</v>
      </c>
      <c r="D104" t="inlineStr">
        <is>
          <t>VÄSTERBOTTENS LÄN</t>
        </is>
      </c>
      <c r="E104" t="inlineStr">
        <is>
          <t>SORSELE</t>
        </is>
      </c>
      <c r="F104" t="inlineStr">
        <is>
          <t>Allmännings- och besparingsskogar</t>
        </is>
      </c>
      <c r="G104" t="n">
        <v>17.7</v>
      </c>
      <c r="H104" t="n">
        <v>2</v>
      </c>
      <c r="I104" t="n">
        <v>0</v>
      </c>
      <c r="J104" t="n">
        <v>13</v>
      </c>
      <c r="K104" t="n">
        <v>2</v>
      </c>
      <c r="L104" t="n">
        <v>0</v>
      </c>
      <c r="M104" t="n">
        <v>0</v>
      </c>
      <c r="N104" t="n">
        <v>0</v>
      </c>
      <c r="O104" t="n">
        <v>15</v>
      </c>
      <c r="P104" t="n">
        <v>2</v>
      </c>
      <c r="Q104" t="n">
        <v>15</v>
      </c>
      <c r="R104" s="2" t="inlineStr">
        <is>
          <t>Doftticka
Rynkskinn
Doftskinn
Gammelgransskål
Garnlav
Granticka
Gränsticka
Harticka
Knottrig blåslav
Lunglav
Rosenticka
Skrovellav
Stiftgelélav
Tretåig hackspett
Ullticka</t>
        </is>
      </c>
      <c r="S104">
        <f>HYPERLINK("https://klasma.github.io/Logging_2422/artfynd/A 31945-2021 artfynd.xlsx", "A 31945-2021")</f>
        <v/>
      </c>
      <c r="T104">
        <f>HYPERLINK("https://klasma.github.io/Logging_2422/kartor/A 31945-2021 karta.png", "A 31945-2021")</f>
        <v/>
      </c>
      <c r="V104">
        <f>HYPERLINK("https://klasma.github.io/Logging_2422/klagomål/A 31945-2021 FSC-klagomål.docx", "A 31945-2021")</f>
        <v/>
      </c>
      <c r="W104">
        <f>HYPERLINK("https://klasma.github.io/Logging_2422/klagomålsmail/A 31945-2021 FSC-klagomål mail.docx", "A 31945-2021")</f>
        <v/>
      </c>
      <c r="X104">
        <f>HYPERLINK("https://klasma.github.io/Logging_2422/tillsyn/A 31945-2021 tillsynsbegäran.docx", "A 31945-2021")</f>
        <v/>
      </c>
      <c r="Y104">
        <f>HYPERLINK("https://klasma.github.io/Logging_2422/tillsynsmail/A 31945-2021 tillsynsbegäran mail.docx", "A 31945-2021")</f>
        <v/>
      </c>
      <c r="Z104">
        <f>HYPERLINK("https://klasma.github.io/Logging_2422/fåglar/A 31945-2021 prioriterade fågelarter.docx", "A 31945-2021")</f>
        <v/>
      </c>
    </row>
    <row r="105" ht="15" customHeight="1">
      <c r="A105" t="inlineStr">
        <is>
          <t>A 24579-2025</t>
        </is>
      </c>
      <c r="B105" s="1" t="n">
        <v>45798</v>
      </c>
      <c r="C105" s="1" t="n">
        <v>46075</v>
      </c>
      <c r="D105" t="inlineStr">
        <is>
          <t>VÄSTERBOTTENS LÄN</t>
        </is>
      </c>
      <c r="E105" t="inlineStr">
        <is>
          <t>SKELLEFTEÅ</t>
        </is>
      </c>
      <c r="G105" t="n">
        <v>24.5</v>
      </c>
      <c r="H105" t="n">
        <v>4</v>
      </c>
      <c r="I105" t="n">
        <v>5</v>
      </c>
      <c r="J105" t="n">
        <v>8</v>
      </c>
      <c r="K105" t="n">
        <v>1</v>
      </c>
      <c r="L105" t="n">
        <v>0</v>
      </c>
      <c r="M105" t="n">
        <v>0</v>
      </c>
      <c r="N105" t="n">
        <v>0</v>
      </c>
      <c r="O105" t="n">
        <v>9</v>
      </c>
      <c r="P105" t="n">
        <v>1</v>
      </c>
      <c r="Q105" t="n">
        <v>15</v>
      </c>
      <c r="R105" s="2" t="inlineStr">
        <is>
          <t>Gropig skägglav
Dvärgbägarlav
Garnlav
Granticka
Lunglav
Talltita
Tretåig hackspett
Vedskivlav
Violettgrå tagellav
Dropptaggsvamp
Luddlav
Norrlandslav
Spindelblomster
Vedticka
Tjäder</t>
        </is>
      </c>
      <c r="S105">
        <f>HYPERLINK("https://klasma.github.io/Logging_2482/artfynd/A 24579-2025 artfynd.xlsx", "A 24579-2025")</f>
        <v/>
      </c>
      <c r="T105">
        <f>HYPERLINK("https://klasma.github.io/Logging_2482/kartor/A 24579-2025 karta.png", "A 24579-2025")</f>
        <v/>
      </c>
      <c r="V105">
        <f>HYPERLINK("https://klasma.github.io/Logging_2482/klagomål/A 24579-2025 FSC-klagomål.docx", "A 24579-2025")</f>
        <v/>
      </c>
      <c r="W105">
        <f>HYPERLINK("https://klasma.github.io/Logging_2482/klagomålsmail/A 24579-2025 FSC-klagomål mail.docx", "A 24579-2025")</f>
        <v/>
      </c>
      <c r="X105">
        <f>HYPERLINK("https://klasma.github.io/Logging_2482/tillsyn/A 24579-2025 tillsynsbegäran.docx", "A 24579-2025")</f>
        <v/>
      </c>
      <c r="Y105">
        <f>HYPERLINK("https://klasma.github.io/Logging_2482/tillsynsmail/A 24579-2025 tillsynsbegäran mail.docx", "A 24579-2025")</f>
        <v/>
      </c>
      <c r="Z105">
        <f>HYPERLINK("https://klasma.github.io/Logging_2482/fåglar/A 24579-2025 prioriterade fågelarter.docx", "A 24579-2025")</f>
        <v/>
      </c>
    </row>
    <row r="106" ht="15" customHeight="1">
      <c r="A106" t="inlineStr">
        <is>
          <t>A 39786-2025</t>
        </is>
      </c>
      <c r="B106" s="1" t="n">
        <v>45891</v>
      </c>
      <c r="C106" s="1" t="n">
        <v>46075</v>
      </c>
      <c r="D106" t="inlineStr">
        <is>
          <t>VÄSTERBOTTENS LÄN</t>
        </is>
      </c>
      <c r="E106" t="inlineStr">
        <is>
          <t>VINDELN</t>
        </is>
      </c>
      <c r="F106" t="inlineStr">
        <is>
          <t>Holmen skog AB</t>
        </is>
      </c>
      <c r="G106" t="n">
        <v>9.699999999999999</v>
      </c>
      <c r="H106" t="n">
        <v>5</v>
      </c>
      <c r="I106" t="n">
        <v>3</v>
      </c>
      <c r="J106" t="n">
        <v>7</v>
      </c>
      <c r="K106" t="n">
        <v>2</v>
      </c>
      <c r="L106" t="n">
        <v>0</v>
      </c>
      <c r="M106" t="n">
        <v>0</v>
      </c>
      <c r="N106" t="n">
        <v>0</v>
      </c>
      <c r="O106" t="n">
        <v>9</v>
      </c>
      <c r="P106" t="n">
        <v>2</v>
      </c>
      <c r="Q106" t="n">
        <v>15</v>
      </c>
      <c r="R106" s="2" t="inlineStr">
        <is>
          <t>Knärot
Rynkskinn
Brunpudrad nållav
Gammelgransskål
Garnlav
Granticka
Spillkråka
Ullticka
Vedflikmossa
Gulnål
Trådticka
Vedticka
Kungsfågel
Mattlummer
Revlummer</t>
        </is>
      </c>
      <c r="S106">
        <f>HYPERLINK("https://klasma.github.io/Logging_2404/artfynd/A 39786-2025 artfynd.xlsx", "A 39786-2025")</f>
        <v/>
      </c>
      <c r="T106">
        <f>HYPERLINK("https://klasma.github.io/Logging_2404/kartor/A 39786-2025 karta.png", "A 39786-2025")</f>
        <v/>
      </c>
      <c r="U106">
        <f>HYPERLINK("https://klasma.github.io/Logging_2404/knärot/A 39786-2025 karta knärot.png", "A 39786-2025")</f>
        <v/>
      </c>
      <c r="V106">
        <f>HYPERLINK("https://klasma.github.io/Logging_2404/klagomål/A 39786-2025 FSC-klagomål.docx", "A 39786-2025")</f>
        <v/>
      </c>
      <c r="W106">
        <f>HYPERLINK("https://klasma.github.io/Logging_2404/klagomålsmail/A 39786-2025 FSC-klagomål mail.docx", "A 39786-2025")</f>
        <v/>
      </c>
      <c r="X106">
        <f>HYPERLINK("https://klasma.github.io/Logging_2404/tillsyn/A 39786-2025 tillsynsbegäran.docx", "A 39786-2025")</f>
        <v/>
      </c>
      <c r="Y106">
        <f>HYPERLINK("https://klasma.github.io/Logging_2404/tillsynsmail/A 39786-2025 tillsynsbegäran mail.docx", "A 39786-2025")</f>
        <v/>
      </c>
      <c r="Z106">
        <f>HYPERLINK("https://klasma.github.io/Logging_2404/fåglar/A 39786-2025 prioriterade fågelarter.docx", "A 39786-2025")</f>
        <v/>
      </c>
    </row>
    <row r="107" ht="15" customHeight="1">
      <c r="A107" t="inlineStr">
        <is>
          <t>A 36708-2025</t>
        </is>
      </c>
      <c r="B107" s="1" t="n">
        <v>45873</v>
      </c>
      <c r="C107" s="1" t="n">
        <v>46075</v>
      </c>
      <c r="D107" t="inlineStr">
        <is>
          <t>VÄSTERBOTTENS LÄN</t>
        </is>
      </c>
      <c r="E107" t="inlineStr">
        <is>
          <t>STORUMAN</t>
        </is>
      </c>
      <c r="G107" t="n">
        <v>8.1</v>
      </c>
      <c r="H107" t="n">
        <v>4</v>
      </c>
      <c r="I107" t="n">
        <v>4</v>
      </c>
      <c r="J107" t="n">
        <v>9</v>
      </c>
      <c r="K107" t="n">
        <v>2</v>
      </c>
      <c r="L107" t="n">
        <v>0</v>
      </c>
      <c r="M107" t="n">
        <v>0</v>
      </c>
      <c r="N107" t="n">
        <v>0</v>
      </c>
      <c r="O107" t="n">
        <v>11</v>
      </c>
      <c r="P107" t="n">
        <v>2</v>
      </c>
      <c r="Q107" t="n">
        <v>15</v>
      </c>
      <c r="R107" s="2" t="inlineStr">
        <is>
          <t>Doftticka
Knärot
Blanksvart spiklav
Gammelgransskål
Garnlav
Kolflarnlav
Lunglav
Skrovellav
Tretåig hackspett
Vedskivlav
Violettgrå tagellav
Bårdlav
Luddlav
Spindelblomster
Stuplav</t>
        </is>
      </c>
      <c r="S107">
        <f>HYPERLINK("https://klasma.github.io/Logging_2421/artfynd/A 36708-2025 artfynd.xlsx", "A 36708-2025")</f>
        <v/>
      </c>
      <c r="T107">
        <f>HYPERLINK("https://klasma.github.io/Logging_2421/kartor/A 36708-2025 karta.png", "A 36708-2025")</f>
        <v/>
      </c>
      <c r="U107">
        <f>HYPERLINK("https://klasma.github.io/Logging_2421/knärot/A 36708-2025 karta knärot.png", "A 36708-2025")</f>
        <v/>
      </c>
      <c r="V107">
        <f>HYPERLINK("https://klasma.github.io/Logging_2421/klagomål/A 36708-2025 FSC-klagomål.docx", "A 36708-2025")</f>
        <v/>
      </c>
      <c r="W107">
        <f>HYPERLINK("https://klasma.github.io/Logging_2421/klagomålsmail/A 36708-2025 FSC-klagomål mail.docx", "A 36708-2025")</f>
        <v/>
      </c>
      <c r="X107">
        <f>HYPERLINK("https://klasma.github.io/Logging_2421/tillsyn/A 36708-2025 tillsynsbegäran.docx", "A 36708-2025")</f>
        <v/>
      </c>
      <c r="Y107">
        <f>HYPERLINK("https://klasma.github.io/Logging_2421/tillsynsmail/A 36708-2025 tillsynsbegäran mail.docx", "A 36708-2025")</f>
        <v/>
      </c>
      <c r="Z107">
        <f>HYPERLINK("https://klasma.github.io/Logging_2421/fåglar/A 36708-2025 prioriterade fågelarter.docx", "A 36708-2025")</f>
        <v/>
      </c>
    </row>
    <row r="108" ht="15" customHeight="1">
      <c r="A108" t="inlineStr">
        <is>
          <t>A 32724-2025</t>
        </is>
      </c>
      <c r="B108" s="1" t="n">
        <v>45839.39023148148</v>
      </c>
      <c r="C108" s="1" t="n">
        <v>46075</v>
      </c>
      <c r="D108" t="inlineStr">
        <is>
          <t>VÄSTERBOTTENS LÄN</t>
        </is>
      </c>
      <c r="E108" t="inlineStr">
        <is>
          <t>SORSELE</t>
        </is>
      </c>
      <c r="F108" t="inlineStr">
        <is>
          <t>Sveaskog</t>
        </is>
      </c>
      <c r="G108" t="n">
        <v>24.3</v>
      </c>
      <c r="H108" t="n">
        <v>1</v>
      </c>
      <c r="I108" t="n">
        <v>2</v>
      </c>
      <c r="J108" t="n">
        <v>9</v>
      </c>
      <c r="K108" t="n">
        <v>2</v>
      </c>
      <c r="L108" t="n">
        <v>0</v>
      </c>
      <c r="M108" t="n">
        <v>0</v>
      </c>
      <c r="N108" t="n">
        <v>0</v>
      </c>
      <c r="O108" t="n">
        <v>11</v>
      </c>
      <c r="P108" t="n">
        <v>2</v>
      </c>
      <c r="Q108" t="n">
        <v>14</v>
      </c>
      <c r="R108" s="2" t="inlineStr">
        <is>
          <t>Lakritsmusseron
Smalfotad taggsvamp
Blå taggsvamp
Dvärgbägarlav
Garnlav
Kolflarnlav
Nordtagging
Orange taggsvamp
Stjärntagging
Svart taggsvamp
Ullticka
Dropptaggsvamp
Skarp dropptaggsvamp
Tjäder</t>
        </is>
      </c>
      <c r="S108">
        <f>HYPERLINK("https://klasma.github.io/Logging_2422/artfynd/A 32724-2025 artfynd.xlsx", "A 32724-2025")</f>
        <v/>
      </c>
      <c r="T108">
        <f>HYPERLINK("https://klasma.github.io/Logging_2422/kartor/A 32724-2025 karta.png", "A 32724-2025")</f>
        <v/>
      </c>
      <c r="V108">
        <f>HYPERLINK("https://klasma.github.io/Logging_2422/klagomål/A 32724-2025 FSC-klagomål.docx", "A 32724-2025")</f>
        <v/>
      </c>
      <c r="W108">
        <f>HYPERLINK("https://klasma.github.io/Logging_2422/klagomålsmail/A 32724-2025 FSC-klagomål mail.docx", "A 32724-2025")</f>
        <v/>
      </c>
      <c r="X108">
        <f>HYPERLINK("https://klasma.github.io/Logging_2422/tillsyn/A 32724-2025 tillsynsbegäran.docx", "A 32724-2025")</f>
        <v/>
      </c>
      <c r="Y108">
        <f>HYPERLINK("https://klasma.github.io/Logging_2422/tillsynsmail/A 32724-2025 tillsynsbegäran mail.docx", "A 32724-2025")</f>
        <v/>
      </c>
      <c r="Z108">
        <f>HYPERLINK("https://klasma.github.io/Logging_2422/fåglar/A 32724-2025 prioriterade fågelarter.docx", "A 32724-2025")</f>
        <v/>
      </c>
    </row>
    <row r="109" ht="15" customHeight="1">
      <c r="A109" t="inlineStr">
        <is>
          <t>A 59019-2024</t>
        </is>
      </c>
      <c r="B109" s="1" t="n">
        <v>45636</v>
      </c>
      <c r="C109" s="1" t="n">
        <v>46075</v>
      </c>
      <c r="D109" t="inlineStr">
        <is>
          <t>VÄSTERBOTTENS LÄN</t>
        </is>
      </c>
      <c r="E109" t="inlineStr">
        <is>
          <t>VILHELMINA</t>
        </is>
      </c>
      <c r="F109" t="inlineStr">
        <is>
          <t>Allmännings- och besparingsskogar</t>
        </is>
      </c>
      <c r="G109" t="n">
        <v>22.1</v>
      </c>
      <c r="H109" t="n">
        <v>3</v>
      </c>
      <c r="I109" t="n">
        <v>3</v>
      </c>
      <c r="J109" t="n">
        <v>10</v>
      </c>
      <c r="K109" t="n">
        <v>0</v>
      </c>
      <c r="L109" t="n">
        <v>0</v>
      </c>
      <c r="M109" t="n">
        <v>0</v>
      </c>
      <c r="N109" t="n">
        <v>0</v>
      </c>
      <c r="O109" t="n">
        <v>10</v>
      </c>
      <c r="P109" t="n">
        <v>0</v>
      </c>
      <c r="Q109" t="n">
        <v>14</v>
      </c>
      <c r="R109" s="2" t="inlineStr">
        <is>
          <t>Gammelgransskål
Garnlav
Granticka
Gränsticka
Harticka
Rosenticka
Tretåig hackspett
Ullticka
Vitgrynig nållav
Vitskaftad svartspik
Blodticka
Spindelblomster
Vedticka
Lavskrika</t>
        </is>
      </c>
      <c r="S109">
        <f>HYPERLINK("https://klasma.github.io/Logging_2462/artfynd/A 59019-2024 artfynd.xlsx", "A 59019-2024")</f>
        <v/>
      </c>
      <c r="T109">
        <f>HYPERLINK("https://klasma.github.io/Logging_2462/kartor/A 59019-2024 karta.png", "A 59019-2024")</f>
        <v/>
      </c>
      <c r="V109">
        <f>HYPERLINK("https://klasma.github.io/Logging_2462/klagomål/A 59019-2024 FSC-klagomål.docx", "A 59019-2024")</f>
        <v/>
      </c>
      <c r="W109">
        <f>HYPERLINK("https://klasma.github.io/Logging_2462/klagomålsmail/A 59019-2024 FSC-klagomål mail.docx", "A 59019-2024")</f>
        <v/>
      </c>
      <c r="X109">
        <f>HYPERLINK("https://klasma.github.io/Logging_2462/tillsyn/A 59019-2024 tillsynsbegäran.docx", "A 59019-2024")</f>
        <v/>
      </c>
      <c r="Y109">
        <f>HYPERLINK("https://klasma.github.io/Logging_2462/tillsynsmail/A 59019-2024 tillsynsbegäran mail.docx", "A 59019-2024")</f>
        <v/>
      </c>
      <c r="Z109">
        <f>HYPERLINK("https://klasma.github.io/Logging_2462/fåglar/A 59019-2024 prioriterade fågelarter.docx", "A 59019-2024")</f>
        <v/>
      </c>
    </row>
    <row r="110" ht="15" customHeight="1">
      <c r="A110" t="inlineStr">
        <is>
          <t>A 44406-2021</t>
        </is>
      </c>
      <c r="B110" s="1" t="n">
        <v>44435</v>
      </c>
      <c r="C110" s="1" t="n">
        <v>46075</v>
      </c>
      <c r="D110" t="inlineStr">
        <is>
          <t>VÄSTERBOTTENS LÄN</t>
        </is>
      </c>
      <c r="E110" t="inlineStr">
        <is>
          <t>STORUMAN</t>
        </is>
      </c>
      <c r="G110" t="n">
        <v>43.8</v>
      </c>
      <c r="H110" t="n">
        <v>2</v>
      </c>
      <c r="I110" t="n">
        <v>3</v>
      </c>
      <c r="J110" t="n">
        <v>7</v>
      </c>
      <c r="K110" t="n">
        <v>3</v>
      </c>
      <c r="L110" t="n">
        <v>0</v>
      </c>
      <c r="M110" t="n">
        <v>0</v>
      </c>
      <c r="N110" t="n">
        <v>0</v>
      </c>
      <c r="O110" t="n">
        <v>10</v>
      </c>
      <c r="P110" t="n">
        <v>3</v>
      </c>
      <c r="Q110" t="n">
        <v>14</v>
      </c>
      <c r="R110" s="2" t="inlineStr">
        <is>
          <t>Fjällfotad musseron
Rynkskinn
Tajgaskinn
Garnlav
Granticka
Gränsticka
Harticka
Rosenticka
Tretåig hackspett
Ullticka
Bronshjon
Svavelriska
Trådticka
Lavskrika</t>
        </is>
      </c>
      <c r="S110">
        <f>HYPERLINK("https://klasma.github.io/Logging_2421/artfynd/A 44406-2021 artfynd.xlsx", "A 44406-2021")</f>
        <v/>
      </c>
      <c r="T110">
        <f>HYPERLINK("https://klasma.github.io/Logging_2421/kartor/A 44406-2021 karta.png", "A 44406-2021")</f>
        <v/>
      </c>
      <c r="V110">
        <f>HYPERLINK("https://klasma.github.io/Logging_2421/klagomål/A 44406-2021 FSC-klagomål.docx", "A 44406-2021")</f>
        <v/>
      </c>
      <c r="W110">
        <f>HYPERLINK("https://klasma.github.io/Logging_2421/klagomålsmail/A 44406-2021 FSC-klagomål mail.docx", "A 44406-2021")</f>
        <v/>
      </c>
      <c r="X110">
        <f>HYPERLINK("https://klasma.github.io/Logging_2421/tillsyn/A 44406-2021 tillsynsbegäran.docx", "A 44406-2021")</f>
        <v/>
      </c>
      <c r="Y110">
        <f>HYPERLINK("https://klasma.github.io/Logging_2421/tillsynsmail/A 44406-2021 tillsynsbegäran mail.docx", "A 44406-2021")</f>
        <v/>
      </c>
      <c r="Z110">
        <f>HYPERLINK("https://klasma.github.io/Logging_2421/fåglar/A 44406-2021 prioriterade fågelarter.docx", "A 44406-2021")</f>
        <v/>
      </c>
    </row>
    <row r="111" ht="15" customHeight="1">
      <c r="A111" t="inlineStr">
        <is>
          <t>A 18574-2025</t>
        </is>
      </c>
      <c r="B111" s="1" t="n">
        <v>45763</v>
      </c>
      <c r="C111" s="1" t="n">
        <v>46075</v>
      </c>
      <c r="D111" t="inlineStr">
        <is>
          <t>VÄSTERBOTTENS LÄN</t>
        </is>
      </c>
      <c r="E111" t="inlineStr">
        <is>
          <t>SKELLEFTEÅ</t>
        </is>
      </c>
      <c r="G111" t="n">
        <v>18.6</v>
      </c>
      <c r="H111" t="n">
        <v>6</v>
      </c>
      <c r="I111" t="n">
        <v>2</v>
      </c>
      <c r="J111" t="n">
        <v>10</v>
      </c>
      <c r="K111" t="n">
        <v>2</v>
      </c>
      <c r="L111" t="n">
        <v>0</v>
      </c>
      <c r="M111" t="n">
        <v>0</v>
      </c>
      <c r="N111" t="n">
        <v>0</v>
      </c>
      <c r="O111" t="n">
        <v>12</v>
      </c>
      <c r="P111" t="n">
        <v>2</v>
      </c>
      <c r="Q111" t="n">
        <v>14</v>
      </c>
      <c r="R111" s="2" t="inlineStr">
        <is>
          <t>Knärot
Lappuggla
Duvhök
Gammelgransskål
Garnlav
Järpe
Kortskaftad ärgspik
Spillkråka
Tretåig hackspett
Ullticka
Vedskivlav
Violettgrå tagellav
Nästlav
Vedticka</t>
        </is>
      </c>
      <c r="S111">
        <f>HYPERLINK("https://klasma.github.io/Logging_2482/artfynd/A 18574-2025 artfynd.xlsx", "A 18574-2025")</f>
        <v/>
      </c>
      <c r="T111">
        <f>HYPERLINK("https://klasma.github.io/Logging_2482/kartor/A 18574-2025 karta.png", "A 18574-2025")</f>
        <v/>
      </c>
      <c r="U111">
        <f>HYPERLINK("https://klasma.github.io/Logging_2482/knärot/A 18574-2025 karta knärot.png", "A 18574-2025")</f>
        <v/>
      </c>
      <c r="V111">
        <f>HYPERLINK("https://klasma.github.io/Logging_2482/klagomål/A 18574-2025 FSC-klagomål.docx", "A 18574-2025")</f>
        <v/>
      </c>
      <c r="W111">
        <f>HYPERLINK("https://klasma.github.io/Logging_2482/klagomålsmail/A 18574-2025 FSC-klagomål mail.docx", "A 18574-2025")</f>
        <v/>
      </c>
      <c r="X111">
        <f>HYPERLINK("https://klasma.github.io/Logging_2482/tillsyn/A 18574-2025 tillsynsbegäran.docx", "A 18574-2025")</f>
        <v/>
      </c>
      <c r="Y111">
        <f>HYPERLINK("https://klasma.github.io/Logging_2482/tillsynsmail/A 18574-2025 tillsynsbegäran mail.docx", "A 18574-2025")</f>
        <v/>
      </c>
      <c r="Z111">
        <f>HYPERLINK("https://klasma.github.io/Logging_2482/fåglar/A 18574-2025 prioriterade fågelarter.docx", "A 18574-2025")</f>
        <v/>
      </c>
    </row>
    <row r="112" ht="15" customHeight="1">
      <c r="A112" t="inlineStr">
        <is>
          <t>A 56645-2024</t>
        </is>
      </c>
      <c r="B112" s="1" t="n">
        <v>45625</v>
      </c>
      <c r="C112" s="1" t="n">
        <v>46075</v>
      </c>
      <c r="D112" t="inlineStr">
        <is>
          <t>VÄSTERBOTTENS LÄN</t>
        </is>
      </c>
      <c r="E112" t="inlineStr">
        <is>
          <t>SKELLEFTEÅ</t>
        </is>
      </c>
      <c r="F112" t="inlineStr">
        <is>
          <t>Sveaskog</t>
        </is>
      </c>
      <c r="G112" t="n">
        <v>7.5</v>
      </c>
      <c r="H112" t="n">
        <v>6</v>
      </c>
      <c r="I112" t="n">
        <v>3</v>
      </c>
      <c r="J112" t="n">
        <v>8</v>
      </c>
      <c r="K112" t="n">
        <v>2</v>
      </c>
      <c r="L112" t="n">
        <v>0</v>
      </c>
      <c r="M112" t="n">
        <v>0</v>
      </c>
      <c r="N112" t="n">
        <v>0</v>
      </c>
      <c r="O112" t="n">
        <v>10</v>
      </c>
      <c r="P112" t="n">
        <v>2</v>
      </c>
      <c r="Q112" t="n">
        <v>14</v>
      </c>
      <c r="R112" s="2" t="inlineStr">
        <is>
          <t>Doftticka
Knärot
Brunpudrad nållav
Garnlav
Granticka
Leptoporus mollis
Lunglav
Talltita
Tretåig hackspett
Ullticka
Bårdlav
Spindelblomster
Stuplav
Vanlig groda</t>
        </is>
      </c>
      <c r="S112">
        <f>HYPERLINK("https://klasma.github.io/Logging_2482/artfynd/A 56645-2024 artfynd.xlsx", "A 56645-2024")</f>
        <v/>
      </c>
      <c r="T112">
        <f>HYPERLINK("https://klasma.github.io/Logging_2482/kartor/A 56645-2024 karta.png", "A 56645-2024")</f>
        <v/>
      </c>
      <c r="U112">
        <f>HYPERLINK("https://klasma.github.io/Logging_2482/knärot/A 56645-2024 karta knärot.png", "A 56645-2024")</f>
        <v/>
      </c>
      <c r="V112">
        <f>HYPERLINK("https://klasma.github.io/Logging_2482/klagomål/A 56645-2024 FSC-klagomål.docx", "A 56645-2024")</f>
        <v/>
      </c>
      <c r="W112">
        <f>HYPERLINK("https://klasma.github.io/Logging_2482/klagomålsmail/A 56645-2024 FSC-klagomål mail.docx", "A 56645-2024")</f>
        <v/>
      </c>
      <c r="X112">
        <f>HYPERLINK("https://klasma.github.io/Logging_2482/tillsyn/A 56645-2024 tillsynsbegäran.docx", "A 56645-2024")</f>
        <v/>
      </c>
      <c r="Y112">
        <f>HYPERLINK("https://klasma.github.io/Logging_2482/tillsynsmail/A 56645-2024 tillsynsbegäran mail.docx", "A 56645-2024")</f>
        <v/>
      </c>
      <c r="Z112">
        <f>HYPERLINK("https://klasma.github.io/Logging_2482/fåglar/A 56645-2024 prioriterade fågelarter.docx", "A 56645-2024")</f>
        <v/>
      </c>
    </row>
    <row r="113" ht="15" customHeight="1">
      <c r="A113" t="inlineStr">
        <is>
          <t>A 57566-2024</t>
        </is>
      </c>
      <c r="B113" s="1" t="n">
        <v>45630</v>
      </c>
      <c r="C113" s="1" t="n">
        <v>46075</v>
      </c>
      <c r="D113" t="inlineStr">
        <is>
          <t>VÄSTERBOTTENS LÄN</t>
        </is>
      </c>
      <c r="E113" t="inlineStr">
        <is>
          <t>SORSELE</t>
        </is>
      </c>
      <c r="G113" t="n">
        <v>17.8</v>
      </c>
      <c r="H113" t="n">
        <v>3</v>
      </c>
      <c r="I113" t="n">
        <v>6</v>
      </c>
      <c r="J113" t="n">
        <v>7</v>
      </c>
      <c r="K113" t="n">
        <v>0</v>
      </c>
      <c r="L113" t="n">
        <v>0</v>
      </c>
      <c r="M113" t="n">
        <v>0</v>
      </c>
      <c r="N113" t="n">
        <v>0</v>
      </c>
      <c r="O113" t="n">
        <v>7</v>
      </c>
      <c r="P113" t="n">
        <v>0</v>
      </c>
      <c r="Q113" t="n">
        <v>14</v>
      </c>
      <c r="R113" s="2" t="inlineStr">
        <is>
          <t>Garnlav
Granticka
Harticka
Rosenticka
Skrovellav
Ullticka
Vitgrynig nållav
Dropptaggsvamp
Korallrot
Skinnlav
Spindelblomster
Stuplav
Ögonpyrola
Lavskrika</t>
        </is>
      </c>
      <c r="S113">
        <f>HYPERLINK("https://klasma.github.io/Logging_2422/artfynd/A 57566-2024 artfynd.xlsx", "A 57566-2024")</f>
        <v/>
      </c>
      <c r="T113">
        <f>HYPERLINK("https://klasma.github.io/Logging_2422/kartor/A 57566-2024 karta.png", "A 57566-2024")</f>
        <v/>
      </c>
      <c r="V113">
        <f>HYPERLINK("https://klasma.github.io/Logging_2422/klagomål/A 57566-2024 FSC-klagomål.docx", "A 57566-2024")</f>
        <v/>
      </c>
      <c r="W113">
        <f>HYPERLINK("https://klasma.github.io/Logging_2422/klagomålsmail/A 57566-2024 FSC-klagomål mail.docx", "A 57566-2024")</f>
        <v/>
      </c>
      <c r="X113">
        <f>HYPERLINK("https://klasma.github.io/Logging_2422/tillsyn/A 57566-2024 tillsynsbegäran.docx", "A 57566-2024")</f>
        <v/>
      </c>
      <c r="Y113">
        <f>HYPERLINK("https://klasma.github.io/Logging_2422/tillsynsmail/A 57566-2024 tillsynsbegäran mail.docx", "A 57566-2024")</f>
        <v/>
      </c>
      <c r="Z113">
        <f>HYPERLINK("https://klasma.github.io/Logging_2422/fåglar/A 57566-2024 prioriterade fågelarter.docx", "A 57566-2024")</f>
        <v/>
      </c>
    </row>
    <row r="114" ht="15" customHeight="1">
      <c r="A114" t="inlineStr">
        <is>
          <t>A 3140-2023</t>
        </is>
      </c>
      <c r="B114" s="1" t="n">
        <v>44945</v>
      </c>
      <c r="C114" s="1" t="n">
        <v>46075</v>
      </c>
      <c r="D114" t="inlineStr">
        <is>
          <t>VÄSTERBOTTENS LÄN</t>
        </is>
      </c>
      <c r="E114" t="inlineStr">
        <is>
          <t>VILHELMINA</t>
        </is>
      </c>
      <c r="F114" t="inlineStr">
        <is>
          <t>Allmännings- och besparingsskogar</t>
        </is>
      </c>
      <c r="G114" t="n">
        <v>20.9</v>
      </c>
      <c r="H114" t="n">
        <v>3</v>
      </c>
      <c r="I114" t="n">
        <v>2</v>
      </c>
      <c r="J114" t="n">
        <v>12</v>
      </c>
      <c r="K114" t="n">
        <v>0</v>
      </c>
      <c r="L114" t="n">
        <v>0</v>
      </c>
      <c r="M114" t="n">
        <v>0</v>
      </c>
      <c r="N114" t="n">
        <v>0</v>
      </c>
      <c r="O114" t="n">
        <v>12</v>
      </c>
      <c r="P114" t="n">
        <v>0</v>
      </c>
      <c r="Q114" t="n">
        <v>14</v>
      </c>
      <c r="R114" s="2" t="inlineStr">
        <is>
          <t>Blanksvart spiklav
Blågrå svartspik
Gammelgransskål
Garnlav
Knottrig blåslav
Liten svartspik
Reliktbock
Spillkråka
Talltita
Tretåig hackspett
Vedflamlav
Vitgrynig nållav
Bårdlav
Stuplav</t>
        </is>
      </c>
      <c r="S114">
        <f>HYPERLINK("https://klasma.github.io/Logging_2462/artfynd/A 3140-2023 artfynd.xlsx", "A 3140-2023")</f>
        <v/>
      </c>
      <c r="T114">
        <f>HYPERLINK("https://klasma.github.io/Logging_2462/kartor/A 3140-2023 karta.png", "A 3140-2023")</f>
        <v/>
      </c>
      <c r="V114">
        <f>HYPERLINK("https://klasma.github.io/Logging_2462/klagomål/A 3140-2023 FSC-klagomål.docx", "A 3140-2023")</f>
        <v/>
      </c>
      <c r="W114">
        <f>HYPERLINK("https://klasma.github.io/Logging_2462/klagomålsmail/A 3140-2023 FSC-klagomål mail.docx", "A 3140-2023")</f>
        <v/>
      </c>
      <c r="X114">
        <f>HYPERLINK("https://klasma.github.io/Logging_2462/tillsyn/A 3140-2023 tillsynsbegäran.docx", "A 3140-2023")</f>
        <v/>
      </c>
      <c r="Y114">
        <f>HYPERLINK("https://klasma.github.io/Logging_2462/tillsynsmail/A 3140-2023 tillsynsbegäran mail.docx", "A 3140-2023")</f>
        <v/>
      </c>
      <c r="Z114">
        <f>HYPERLINK("https://klasma.github.io/Logging_2462/fåglar/A 3140-2023 prioriterade fågelarter.docx", "A 3140-2023")</f>
        <v/>
      </c>
    </row>
    <row r="115" ht="15" customHeight="1">
      <c r="A115" t="inlineStr">
        <is>
          <t>A 42138-2021</t>
        </is>
      </c>
      <c r="B115" s="1" t="n">
        <v>44426</v>
      </c>
      <c r="C115" s="1" t="n">
        <v>46075</v>
      </c>
      <c r="D115" t="inlineStr">
        <is>
          <t>VÄSTERBOTTENS LÄN</t>
        </is>
      </c>
      <c r="E115" t="inlineStr">
        <is>
          <t>SORSELE</t>
        </is>
      </c>
      <c r="G115" t="n">
        <v>20</v>
      </c>
      <c r="H115" t="n">
        <v>2</v>
      </c>
      <c r="I115" t="n">
        <v>6</v>
      </c>
      <c r="J115" t="n">
        <v>6</v>
      </c>
      <c r="K115" t="n">
        <v>0</v>
      </c>
      <c r="L115" t="n">
        <v>0</v>
      </c>
      <c r="M115" t="n">
        <v>0</v>
      </c>
      <c r="N115" t="n">
        <v>0</v>
      </c>
      <c r="O115" t="n">
        <v>6</v>
      </c>
      <c r="P115" t="n">
        <v>0</v>
      </c>
      <c r="Q115" t="n">
        <v>13</v>
      </c>
      <c r="R115" s="2" t="inlineStr">
        <is>
          <t>Blanksvart spiklav
Knottrig blåslav
Rosenticka
Rödbrun blekspik
Tallticka
Talltita
Bårdlav
Luddlav
Norrlandslav
Nästlav
Skinnlav
Stuplav
Revlummer</t>
        </is>
      </c>
      <c r="S115">
        <f>HYPERLINK("https://klasma.github.io/Logging_2422/artfynd/A 42138-2021 artfynd.xlsx", "A 42138-2021")</f>
        <v/>
      </c>
      <c r="T115">
        <f>HYPERLINK("https://klasma.github.io/Logging_2422/kartor/A 42138-2021 karta.png", "A 42138-2021")</f>
        <v/>
      </c>
      <c r="V115">
        <f>HYPERLINK("https://klasma.github.io/Logging_2422/klagomål/A 42138-2021 FSC-klagomål.docx", "A 42138-2021")</f>
        <v/>
      </c>
      <c r="W115">
        <f>HYPERLINK("https://klasma.github.io/Logging_2422/klagomålsmail/A 42138-2021 FSC-klagomål mail.docx", "A 42138-2021")</f>
        <v/>
      </c>
      <c r="X115">
        <f>HYPERLINK("https://klasma.github.io/Logging_2422/tillsyn/A 42138-2021 tillsynsbegäran.docx", "A 42138-2021")</f>
        <v/>
      </c>
      <c r="Y115">
        <f>HYPERLINK("https://klasma.github.io/Logging_2422/tillsynsmail/A 42138-2021 tillsynsbegäran mail.docx", "A 42138-2021")</f>
        <v/>
      </c>
      <c r="Z115">
        <f>HYPERLINK("https://klasma.github.io/Logging_2422/fåglar/A 42138-2021 prioriterade fågelarter.docx", "A 42138-2021")</f>
        <v/>
      </c>
    </row>
    <row r="116" ht="15" customHeight="1">
      <c r="A116" t="inlineStr">
        <is>
          <t>A 15051-2024</t>
        </is>
      </c>
      <c r="B116" s="1" t="n">
        <v>45399</v>
      </c>
      <c r="C116" s="1" t="n">
        <v>46075</v>
      </c>
      <c r="D116" t="inlineStr">
        <is>
          <t>VÄSTERBOTTENS LÄN</t>
        </is>
      </c>
      <c r="E116" t="inlineStr">
        <is>
          <t>VILHELMINA</t>
        </is>
      </c>
      <c r="F116" t="inlineStr">
        <is>
          <t>SCA</t>
        </is>
      </c>
      <c r="G116" t="n">
        <v>8.300000000000001</v>
      </c>
      <c r="H116" t="n">
        <v>1</v>
      </c>
      <c r="I116" t="n">
        <v>1</v>
      </c>
      <c r="J116" t="n">
        <v>11</v>
      </c>
      <c r="K116" t="n">
        <v>1</v>
      </c>
      <c r="L116" t="n">
        <v>0</v>
      </c>
      <c r="M116" t="n">
        <v>0</v>
      </c>
      <c r="N116" t="n">
        <v>0</v>
      </c>
      <c r="O116" t="n">
        <v>12</v>
      </c>
      <c r="P116" t="n">
        <v>1</v>
      </c>
      <c r="Q116" t="n">
        <v>13</v>
      </c>
      <c r="R116" s="2" t="inlineStr">
        <is>
          <t>Rynkskinn
Gammelgransskål
Garnlav
Granticka
Gränsticka
Harticka
Liten svartspik
Rosenticka
Tretåig hackspett
Ullticka
Vitgrynig nållav
Vitskaftad svartspik
Trådticka</t>
        </is>
      </c>
      <c r="S116">
        <f>HYPERLINK("https://klasma.github.io/Logging_2462/artfynd/A 15051-2024 artfynd.xlsx", "A 15051-2024")</f>
        <v/>
      </c>
      <c r="T116">
        <f>HYPERLINK("https://klasma.github.io/Logging_2462/kartor/A 15051-2024 karta.png", "A 15051-2024")</f>
        <v/>
      </c>
      <c r="V116">
        <f>HYPERLINK("https://klasma.github.io/Logging_2462/klagomål/A 15051-2024 FSC-klagomål.docx", "A 15051-2024")</f>
        <v/>
      </c>
      <c r="W116">
        <f>HYPERLINK("https://klasma.github.io/Logging_2462/klagomålsmail/A 15051-2024 FSC-klagomål mail.docx", "A 15051-2024")</f>
        <v/>
      </c>
      <c r="X116">
        <f>HYPERLINK("https://klasma.github.io/Logging_2462/tillsyn/A 15051-2024 tillsynsbegäran.docx", "A 15051-2024")</f>
        <v/>
      </c>
      <c r="Y116">
        <f>HYPERLINK("https://klasma.github.io/Logging_2462/tillsynsmail/A 15051-2024 tillsynsbegäran mail.docx", "A 15051-2024")</f>
        <v/>
      </c>
      <c r="Z116">
        <f>HYPERLINK("https://klasma.github.io/Logging_2462/fåglar/A 15051-2024 prioriterade fågelarter.docx", "A 15051-2024")</f>
        <v/>
      </c>
    </row>
    <row r="117" ht="15" customHeight="1">
      <c r="A117" t="inlineStr">
        <is>
          <t>A 44016-2025</t>
        </is>
      </c>
      <c r="B117" s="1" t="n">
        <v>45915</v>
      </c>
      <c r="C117" s="1" t="n">
        <v>46075</v>
      </c>
      <c r="D117" t="inlineStr">
        <is>
          <t>VÄSTERBOTTENS LÄN</t>
        </is>
      </c>
      <c r="E117" t="inlineStr">
        <is>
          <t>VILHELMINA</t>
        </is>
      </c>
      <c r="G117" t="n">
        <v>8.6</v>
      </c>
      <c r="H117" t="n">
        <v>2</v>
      </c>
      <c r="I117" t="n">
        <v>4</v>
      </c>
      <c r="J117" t="n">
        <v>8</v>
      </c>
      <c r="K117" t="n">
        <v>0</v>
      </c>
      <c r="L117" t="n">
        <v>0</v>
      </c>
      <c r="M117" t="n">
        <v>0</v>
      </c>
      <c r="N117" t="n">
        <v>0</v>
      </c>
      <c r="O117" t="n">
        <v>8</v>
      </c>
      <c r="P117" t="n">
        <v>0</v>
      </c>
      <c r="Q117" t="n">
        <v>13</v>
      </c>
      <c r="R117" s="2" t="inlineStr">
        <is>
          <t>Gammelgransskål
Garnlav
Granticka
Lunglav
Rosenticka
Skrovellav
Talltita
Ullticka
Gulnål
Mörk husmossa
Svavelriska
Trådticka
Revlummer</t>
        </is>
      </c>
      <c r="S117">
        <f>HYPERLINK("https://klasma.github.io/Logging_2462/artfynd/A 44016-2025 artfynd.xlsx", "A 44016-2025")</f>
        <v/>
      </c>
      <c r="T117">
        <f>HYPERLINK("https://klasma.github.io/Logging_2462/kartor/A 44016-2025 karta.png", "A 44016-2025")</f>
        <v/>
      </c>
      <c r="V117">
        <f>HYPERLINK("https://klasma.github.io/Logging_2462/klagomål/A 44016-2025 FSC-klagomål.docx", "A 44016-2025")</f>
        <v/>
      </c>
      <c r="W117">
        <f>HYPERLINK("https://klasma.github.io/Logging_2462/klagomålsmail/A 44016-2025 FSC-klagomål mail.docx", "A 44016-2025")</f>
        <v/>
      </c>
      <c r="X117">
        <f>HYPERLINK("https://klasma.github.io/Logging_2462/tillsyn/A 44016-2025 tillsynsbegäran.docx", "A 44016-2025")</f>
        <v/>
      </c>
      <c r="Y117">
        <f>HYPERLINK("https://klasma.github.io/Logging_2462/tillsynsmail/A 44016-2025 tillsynsbegäran mail.docx", "A 44016-2025")</f>
        <v/>
      </c>
      <c r="Z117">
        <f>HYPERLINK("https://klasma.github.io/Logging_2462/fåglar/A 44016-2025 prioriterade fågelarter.docx", "A 44016-2025")</f>
        <v/>
      </c>
    </row>
    <row r="118" ht="15" customHeight="1">
      <c r="A118" t="inlineStr">
        <is>
          <t>A 35963-2025</t>
        </is>
      </c>
      <c r="B118" s="1" t="n">
        <v>45863.37907407407</v>
      </c>
      <c r="C118" s="1" t="n">
        <v>46075</v>
      </c>
      <c r="D118" t="inlineStr">
        <is>
          <t>VÄSTERBOTTENS LÄN</t>
        </is>
      </c>
      <c r="E118" t="inlineStr">
        <is>
          <t>VINDELN</t>
        </is>
      </c>
      <c r="F118" t="inlineStr">
        <is>
          <t>Holmen skog AB</t>
        </is>
      </c>
      <c r="G118" t="n">
        <v>13.4</v>
      </c>
      <c r="H118" t="n">
        <v>2</v>
      </c>
      <c r="I118" t="n">
        <v>3</v>
      </c>
      <c r="J118" t="n">
        <v>9</v>
      </c>
      <c r="K118" t="n">
        <v>1</v>
      </c>
      <c r="L118" t="n">
        <v>0</v>
      </c>
      <c r="M118" t="n">
        <v>0</v>
      </c>
      <c r="N118" t="n">
        <v>0</v>
      </c>
      <c r="O118" t="n">
        <v>10</v>
      </c>
      <c r="P118" t="n">
        <v>1</v>
      </c>
      <c r="Q118" t="n">
        <v>13</v>
      </c>
      <c r="R118" s="2" t="inlineStr">
        <is>
          <t>Smalfotad taggsvamp
Garnlav
Granticka
Kolflarnlav
Mörk kolflarnlav
Oljetagging
Talltita
Tretåig hackspett
Vedskivlav
Violettgrå tagellav
Dropptaggsvamp
Skarp dropptaggsvamp
Stuplav</t>
        </is>
      </c>
      <c r="S118">
        <f>HYPERLINK("https://klasma.github.io/Logging_2404/artfynd/A 35963-2025 artfynd.xlsx", "A 35963-2025")</f>
        <v/>
      </c>
      <c r="T118">
        <f>HYPERLINK("https://klasma.github.io/Logging_2404/kartor/A 35963-2025 karta.png", "A 35963-2025")</f>
        <v/>
      </c>
      <c r="V118">
        <f>HYPERLINK("https://klasma.github.io/Logging_2404/klagomål/A 35963-2025 FSC-klagomål.docx", "A 35963-2025")</f>
        <v/>
      </c>
      <c r="W118">
        <f>HYPERLINK("https://klasma.github.io/Logging_2404/klagomålsmail/A 35963-2025 FSC-klagomål mail.docx", "A 35963-2025")</f>
        <v/>
      </c>
      <c r="X118">
        <f>HYPERLINK("https://klasma.github.io/Logging_2404/tillsyn/A 35963-2025 tillsynsbegäran.docx", "A 35963-2025")</f>
        <v/>
      </c>
      <c r="Y118">
        <f>HYPERLINK("https://klasma.github.io/Logging_2404/tillsynsmail/A 35963-2025 tillsynsbegäran mail.docx", "A 35963-2025")</f>
        <v/>
      </c>
      <c r="Z118">
        <f>HYPERLINK("https://klasma.github.io/Logging_2404/fåglar/A 35963-2025 prioriterade fågelarter.docx", "A 35963-2025")</f>
        <v/>
      </c>
    </row>
    <row r="119" ht="15" customHeight="1">
      <c r="A119" t="inlineStr">
        <is>
          <t>A 37406-2025</t>
        </is>
      </c>
      <c r="B119" s="1" t="n">
        <v>45877.46135416667</v>
      </c>
      <c r="C119" s="1" t="n">
        <v>46075</v>
      </c>
      <c r="D119" t="inlineStr">
        <is>
          <t>VÄSTERBOTTENS LÄN</t>
        </is>
      </c>
      <c r="E119" t="inlineStr">
        <is>
          <t>LYCKSELE</t>
        </is>
      </c>
      <c r="F119" t="inlineStr">
        <is>
          <t>Holmen skog AB</t>
        </is>
      </c>
      <c r="G119" t="n">
        <v>25.4</v>
      </c>
      <c r="H119" t="n">
        <v>4</v>
      </c>
      <c r="I119" t="n">
        <v>3</v>
      </c>
      <c r="J119" t="n">
        <v>7</v>
      </c>
      <c r="K119" t="n">
        <v>1</v>
      </c>
      <c r="L119" t="n">
        <v>0</v>
      </c>
      <c r="M119" t="n">
        <v>0</v>
      </c>
      <c r="N119" t="n">
        <v>0</v>
      </c>
      <c r="O119" t="n">
        <v>8</v>
      </c>
      <c r="P119" t="n">
        <v>1</v>
      </c>
      <c r="Q119" t="n">
        <v>13</v>
      </c>
      <c r="R119" s="2" t="inlineStr">
        <is>
          <t>Knärot
Garnlav
Granticka
Harticka
Lunglav
Skrovellav
Talltita
Violmussling
Bårdlav
Luddlav
Stuplav
Fläcknycklar
Revlummer</t>
        </is>
      </c>
      <c r="S119">
        <f>HYPERLINK("https://klasma.github.io/Logging_2481/artfynd/A 37406-2025 artfynd.xlsx", "A 37406-2025")</f>
        <v/>
      </c>
      <c r="T119">
        <f>HYPERLINK("https://klasma.github.io/Logging_2481/kartor/A 37406-2025 karta.png", "A 37406-2025")</f>
        <v/>
      </c>
      <c r="U119">
        <f>HYPERLINK("https://klasma.github.io/Logging_2481/knärot/A 37406-2025 karta knärot.png", "A 37406-2025")</f>
        <v/>
      </c>
      <c r="V119">
        <f>HYPERLINK("https://klasma.github.io/Logging_2481/klagomål/A 37406-2025 FSC-klagomål.docx", "A 37406-2025")</f>
        <v/>
      </c>
      <c r="W119">
        <f>HYPERLINK("https://klasma.github.io/Logging_2481/klagomålsmail/A 37406-2025 FSC-klagomål mail.docx", "A 37406-2025")</f>
        <v/>
      </c>
      <c r="X119">
        <f>HYPERLINK("https://klasma.github.io/Logging_2481/tillsyn/A 37406-2025 tillsynsbegäran.docx", "A 37406-2025")</f>
        <v/>
      </c>
      <c r="Y119">
        <f>HYPERLINK("https://klasma.github.io/Logging_2481/tillsynsmail/A 37406-2025 tillsynsbegäran mail.docx", "A 37406-2025")</f>
        <v/>
      </c>
      <c r="Z119">
        <f>HYPERLINK("https://klasma.github.io/Logging_2481/fåglar/A 37406-2025 prioriterade fågelarter.docx", "A 37406-2025")</f>
        <v/>
      </c>
    </row>
    <row r="120" ht="15" customHeight="1">
      <c r="A120" t="inlineStr">
        <is>
          <t>A 25257-2025</t>
        </is>
      </c>
      <c r="B120" s="1" t="n">
        <v>45800.51078703703</v>
      </c>
      <c r="C120" s="1" t="n">
        <v>46075</v>
      </c>
      <c r="D120" t="inlineStr">
        <is>
          <t>VÄSTERBOTTENS LÄN</t>
        </is>
      </c>
      <c r="E120" t="inlineStr">
        <is>
          <t>DOROTEA</t>
        </is>
      </c>
      <c r="F120" t="inlineStr">
        <is>
          <t>SCA</t>
        </is>
      </c>
      <c r="G120" t="n">
        <v>10.6</v>
      </c>
      <c r="H120" t="n">
        <v>6</v>
      </c>
      <c r="I120" t="n">
        <v>5</v>
      </c>
      <c r="J120" t="n">
        <v>7</v>
      </c>
      <c r="K120" t="n">
        <v>0</v>
      </c>
      <c r="L120" t="n">
        <v>0</v>
      </c>
      <c r="M120" t="n">
        <v>0</v>
      </c>
      <c r="N120" t="n">
        <v>0</v>
      </c>
      <c r="O120" t="n">
        <v>7</v>
      </c>
      <c r="P120" t="n">
        <v>0</v>
      </c>
      <c r="Q120" t="n">
        <v>13</v>
      </c>
      <c r="R120" s="2" t="inlineStr">
        <is>
          <t>Garnlav
Granticka
Harticka
Lunglav
Spillkråka
Talltita
Tretåig hackspett
Luddlav
Plattlummer
Spindelblomster
Stuplav
Trådticka
Lavskrika</t>
        </is>
      </c>
      <c r="S120">
        <f>HYPERLINK("https://klasma.github.io/Logging_2425/artfynd/A 25257-2025 artfynd.xlsx", "A 25257-2025")</f>
        <v/>
      </c>
      <c r="T120">
        <f>HYPERLINK("https://klasma.github.io/Logging_2425/kartor/A 25257-2025 karta.png", "A 25257-2025")</f>
        <v/>
      </c>
      <c r="V120">
        <f>HYPERLINK("https://klasma.github.io/Logging_2425/klagomål/A 25257-2025 FSC-klagomål.docx", "A 25257-2025")</f>
        <v/>
      </c>
      <c r="W120">
        <f>HYPERLINK("https://klasma.github.io/Logging_2425/klagomålsmail/A 25257-2025 FSC-klagomål mail.docx", "A 25257-2025")</f>
        <v/>
      </c>
      <c r="X120">
        <f>HYPERLINK("https://klasma.github.io/Logging_2425/tillsyn/A 25257-2025 tillsynsbegäran.docx", "A 25257-2025")</f>
        <v/>
      </c>
      <c r="Y120">
        <f>HYPERLINK("https://klasma.github.io/Logging_2425/tillsynsmail/A 25257-2025 tillsynsbegäran mail.docx", "A 25257-2025")</f>
        <v/>
      </c>
      <c r="Z120">
        <f>HYPERLINK("https://klasma.github.io/Logging_2425/fåglar/A 25257-2025 prioriterade fågelarter.docx", "A 25257-2025")</f>
        <v/>
      </c>
    </row>
    <row r="121" ht="15" customHeight="1">
      <c r="A121" t="inlineStr">
        <is>
          <t>A 58596-2022</t>
        </is>
      </c>
      <c r="B121" s="1" t="n">
        <v>44902</v>
      </c>
      <c r="C121" s="1" t="n">
        <v>46075</v>
      </c>
      <c r="D121" t="inlineStr">
        <is>
          <t>VÄSTERBOTTENS LÄN</t>
        </is>
      </c>
      <c r="E121" t="inlineStr">
        <is>
          <t>LYCKSELE</t>
        </is>
      </c>
      <c r="F121" t="inlineStr">
        <is>
          <t>Sveaskog</t>
        </is>
      </c>
      <c r="G121" t="n">
        <v>2.9</v>
      </c>
      <c r="H121" t="n">
        <v>1</v>
      </c>
      <c r="I121" t="n">
        <v>7</v>
      </c>
      <c r="J121" t="n">
        <v>6</v>
      </c>
      <c r="K121" t="n">
        <v>0</v>
      </c>
      <c r="L121" t="n">
        <v>0</v>
      </c>
      <c r="M121" t="n">
        <v>0</v>
      </c>
      <c r="N121" t="n">
        <v>0</v>
      </c>
      <c r="O121" t="n">
        <v>6</v>
      </c>
      <c r="P121" t="n">
        <v>0</v>
      </c>
      <c r="Q121" t="n">
        <v>13</v>
      </c>
      <c r="R121" s="2" t="inlineStr">
        <is>
          <t>Garnlav
Kolflarnlav
Lunglav
Skrovellav
Spillkråka
Vaddporing
Bårdlav
Dropptaggsvamp
Kornig nållav
Luddlav
Skinnlav
Stuplav
Vedticka</t>
        </is>
      </c>
      <c r="S121">
        <f>HYPERLINK("https://klasma.github.io/Logging_2481/artfynd/A 58596-2022 artfynd.xlsx", "A 58596-2022")</f>
        <v/>
      </c>
      <c r="T121">
        <f>HYPERLINK("https://klasma.github.io/Logging_2481/kartor/A 58596-2022 karta.png", "A 58596-2022")</f>
        <v/>
      </c>
      <c r="V121">
        <f>HYPERLINK("https://klasma.github.io/Logging_2481/klagomål/A 58596-2022 FSC-klagomål.docx", "A 58596-2022")</f>
        <v/>
      </c>
      <c r="W121">
        <f>HYPERLINK("https://klasma.github.io/Logging_2481/klagomålsmail/A 58596-2022 FSC-klagomål mail.docx", "A 58596-2022")</f>
        <v/>
      </c>
      <c r="X121">
        <f>HYPERLINK("https://klasma.github.io/Logging_2481/tillsyn/A 58596-2022 tillsynsbegäran.docx", "A 58596-2022")</f>
        <v/>
      </c>
      <c r="Y121">
        <f>HYPERLINK("https://klasma.github.io/Logging_2481/tillsynsmail/A 58596-2022 tillsynsbegäran mail.docx", "A 58596-2022")</f>
        <v/>
      </c>
      <c r="Z121">
        <f>HYPERLINK("https://klasma.github.io/Logging_2481/fåglar/A 58596-2022 prioriterade fågelarter.docx", "A 58596-2022")</f>
        <v/>
      </c>
    </row>
    <row r="122" ht="15" customHeight="1">
      <c r="A122" t="inlineStr">
        <is>
          <t>A 50813-2023</t>
        </is>
      </c>
      <c r="B122" s="1" t="n">
        <v>45217</v>
      </c>
      <c r="C122" s="1" t="n">
        <v>46075</v>
      </c>
      <c r="D122" t="inlineStr">
        <is>
          <t>VÄSTERBOTTENS LÄN</t>
        </is>
      </c>
      <c r="E122" t="inlineStr">
        <is>
          <t>LYCKSELE</t>
        </is>
      </c>
      <c r="F122" t="inlineStr">
        <is>
          <t>Sveaskog</t>
        </is>
      </c>
      <c r="G122" t="n">
        <v>14.7</v>
      </c>
      <c r="H122" t="n">
        <v>3</v>
      </c>
      <c r="I122" t="n">
        <v>6</v>
      </c>
      <c r="J122" t="n">
        <v>4</v>
      </c>
      <c r="K122" t="n">
        <v>0</v>
      </c>
      <c r="L122" t="n">
        <v>0</v>
      </c>
      <c r="M122" t="n">
        <v>0</v>
      </c>
      <c r="N122" t="n">
        <v>0</v>
      </c>
      <c r="O122" t="n">
        <v>4</v>
      </c>
      <c r="P122" t="n">
        <v>0</v>
      </c>
      <c r="Q122" t="n">
        <v>13</v>
      </c>
      <c r="R122" s="2" t="inlineStr">
        <is>
          <t>Brunpudrad nållav
Garnlav
Lunglav
Skrovellav
Bårdlav
Luddlav
Norrlandslav
Skinnlav
Stuplav
Tibast
Tjäder
Fläcknycklar
Revlummer</t>
        </is>
      </c>
      <c r="S122">
        <f>HYPERLINK("https://klasma.github.io/Logging_2481/artfynd/A 50813-2023 artfynd.xlsx", "A 50813-2023")</f>
        <v/>
      </c>
      <c r="T122">
        <f>HYPERLINK("https://klasma.github.io/Logging_2481/kartor/A 50813-2023 karta.png", "A 50813-2023")</f>
        <v/>
      </c>
      <c r="V122">
        <f>HYPERLINK("https://klasma.github.io/Logging_2481/klagomål/A 50813-2023 FSC-klagomål.docx", "A 50813-2023")</f>
        <v/>
      </c>
      <c r="W122">
        <f>HYPERLINK("https://klasma.github.io/Logging_2481/klagomålsmail/A 50813-2023 FSC-klagomål mail.docx", "A 50813-2023")</f>
        <v/>
      </c>
      <c r="X122">
        <f>HYPERLINK("https://klasma.github.io/Logging_2481/tillsyn/A 50813-2023 tillsynsbegäran.docx", "A 50813-2023")</f>
        <v/>
      </c>
      <c r="Y122">
        <f>HYPERLINK("https://klasma.github.io/Logging_2481/tillsynsmail/A 50813-2023 tillsynsbegäran mail.docx", "A 50813-2023")</f>
        <v/>
      </c>
      <c r="Z122">
        <f>HYPERLINK("https://klasma.github.io/Logging_2481/fåglar/A 50813-2023 prioriterade fågelarter.docx", "A 50813-2023")</f>
        <v/>
      </c>
    </row>
    <row r="123" ht="15" customHeight="1">
      <c r="A123" t="inlineStr">
        <is>
          <t>A 58496-2024</t>
        </is>
      </c>
      <c r="B123" s="1" t="n">
        <v>45635</v>
      </c>
      <c r="C123" s="1" t="n">
        <v>46075</v>
      </c>
      <c r="D123" t="inlineStr">
        <is>
          <t>VÄSTERBOTTENS LÄN</t>
        </is>
      </c>
      <c r="E123" t="inlineStr">
        <is>
          <t>SORSELE</t>
        </is>
      </c>
      <c r="G123" t="n">
        <v>7.8</v>
      </c>
      <c r="H123" t="n">
        <v>1</v>
      </c>
      <c r="I123" t="n">
        <v>1</v>
      </c>
      <c r="J123" t="n">
        <v>10</v>
      </c>
      <c r="K123" t="n">
        <v>2</v>
      </c>
      <c r="L123" t="n">
        <v>0</v>
      </c>
      <c r="M123" t="n">
        <v>0</v>
      </c>
      <c r="N123" t="n">
        <v>0</v>
      </c>
      <c r="O123" t="n">
        <v>12</v>
      </c>
      <c r="P123" t="n">
        <v>2</v>
      </c>
      <c r="Q123" t="n">
        <v>13</v>
      </c>
      <c r="R123" s="2" t="inlineStr">
        <is>
          <t>Ostticka
Rynkskinn
Doftskinn
Gammelgransskål
Garnlav
Granticka
Gränsticka
Harticka
Rosenticka
Ullticka
Vedskivlav
Vitgrynig nållav
Plattlummer</t>
        </is>
      </c>
      <c r="S123">
        <f>HYPERLINK("https://klasma.github.io/Logging_2422/artfynd/A 58496-2024 artfynd.xlsx", "A 58496-2024")</f>
        <v/>
      </c>
      <c r="T123">
        <f>HYPERLINK("https://klasma.github.io/Logging_2422/kartor/A 58496-2024 karta.png", "A 58496-2024")</f>
        <v/>
      </c>
      <c r="V123">
        <f>HYPERLINK("https://klasma.github.io/Logging_2422/klagomål/A 58496-2024 FSC-klagomål.docx", "A 58496-2024")</f>
        <v/>
      </c>
      <c r="W123">
        <f>HYPERLINK("https://klasma.github.io/Logging_2422/klagomålsmail/A 58496-2024 FSC-klagomål mail.docx", "A 58496-2024")</f>
        <v/>
      </c>
      <c r="X123">
        <f>HYPERLINK("https://klasma.github.io/Logging_2422/tillsyn/A 58496-2024 tillsynsbegäran.docx", "A 58496-2024")</f>
        <v/>
      </c>
      <c r="Y123">
        <f>HYPERLINK("https://klasma.github.io/Logging_2422/tillsynsmail/A 58496-2024 tillsynsbegäran mail.docx", "A 58496-2024")</f>
        <v/>
      </c>
    </row>
    <row r="124" ht="15" customHeight="1">
      <c r="A124" t="inlineStr">
        <is>
          <t>A 50983-2024</t>
        </is>
      </c>
      <c r="B124" s="1" t="n">
        <v>45603</v>
      </c>
      <c r="C124" s="1" t="n">
        <v>46075</v>
      </c>
      <c r="D124" t="inlineStr">
        <is>
          <t>VÄSTERBOTTENS LÄN</t>
        </is>
      </c>
      <c r="E124" t="inlineStr">
        <is>
          <t>STORUMAN</t>
        </is>
      </c>
      <c r="G124" t="n">
        <v>19.3</v>
      </c>
      <c r="H124" t="n">
        <v>1</v>
      </c>
      <c r="I124" t="n">
        <v>4</v>
      </c>
      <c r="J124" t="n">
        <v>9</v>
      </c>
      <c r="K124" t="n">
        <v>0</v>
      </c>
      <c r="L124" t="n">
        <v>0</v>
      </c>
      <c r="M124" t="n">
        <v>0</v>
      </c>
      <c r="N124" t="n">
        <v>0</v>
      </c>
      <c r="O124" t="n">
        <v>9</v>
      </c>
      <c r="P124" t="n">
        <v>0</v>
      </c>
      <c r="Q124" t="n">
        <v>13</v>
      </c>
      <c r="R124" s="2" t="inlineStr">
        <is>
          <t>Gammelgransskål
Garnlav
Granticka
Gränsticka
Harticka
Knottrig blåslav
Skrovellav
Tretåig hackspett
Ullticka
Gulnål
Skinnlav
Stuplav
Trådticka</t>
        </is>
      </c>
      <c r="S124">
        <f>HYPERLINK("https://klasma.github.io/Logging_2421/artfynd/A 50983-2024 artfynd.xlsx", "A 50983-2024")</f>
        <v/>
      </c>
      <c r="T124">
        <f>HYPERLINK("https://klasma.github.io/Logging_2421/kartor/A 50983-2024 karta.png", "A 50983-2024")</f>
        <v/>
      </c>
      <c r="V124">
        <f>HYPERLINK("https://klasma.github.io/Logging_2421/klagomål/A 50983-2024 FSC-klagomål.docx", "A 50983-2024")</f>
        <v/>
      </c>
      <c r="W124">
        <f>HYPERLINK("https://klasma.github.io/Logging_2421/klagomålsmail/A 50983-2024 FSC-klagomål mail.docx", "A 50983-2024")</f>
        <v/>
      </c>
      <c r="X124">
        <f>HYPERLINK("https://klasma.github.io/Logging_2421/tillsyn/A 50983-2024 tillsynsbegäran.docx", "A 50983-2024")</f>
        <v/>
      </c>
      <c r="Y124">
        <f>HYPERLINK("https://klasma.github.io/Logging_2421/tillsynsmail/A 50983-2024 tillsynsbegäran mail.docx", "A 50983-2024")</f>
        <v/>
      </c>
      <c r="Z124">
        <f>HYPERLINK("https://klasma.github.io/Logging_2421/fåglar/A 50983-2024 prioriterade fågelarter.docx", "A 50983-2024")</f>
        <v/>
      </c>
    </row>
    <row r="125" ht="15" customHeight="1">
      <c r="A125" t="inlineStr">
        <is>
          <t>A 24173-2025</t>
        </is>
      </c>
      <c r="B125" s="1" t="n">
        <v>45796</v>
      </c>
      <c r="C125" s="1" t="n">
        <v>46075</v>
      </c>
      <c r="D125" t="inlineStr">
        <is>
          <t>VÄSTERBOTTENS LÄN</t>
        </is>
      </c>
      <c r="E125" t="inlineStr">
        <is>
          <t>VÄNNÄS</t>
        </is>
      </c>
      <c r="G125" t="n">
        <v>10.5</v>
      </c>
      <c r="H125" t="n">
        <v>3</v>
      </c>
      <c r="I125" t="n">
        <v>2</v>
      </c>
      <c r="J125" t="n">
        <v>8</v>
      </c>
      <c r="K125" t="n">
        <v>3</v>
      </c>
      <c r="L125" t="n">
        <v>0</v>
      </c>
      <c r="M125" t="n">
        <v>0</v>
      </c>
      <c r="N125" t="n">
        <v>0</v>
      </c>
      <c r="O125" t="n">
        <v>11</v>
      </c>
      <c r="P125" t="n">
        <v>3</v>
      </c>
      <c r="Q125" t="n">
        <v>13</v>
      </c>
      <c r="R125" s="2" t="inlineStr">
        <is>
          <t>Blackticka
Rynkskinn
Ulltickeporing
Gammelgransskål
Garnlav
Granticka
Gränsticka
Järpe
Spillkråka
Tretåig hackspett
Ullticka
Skinnlav
Vedticka</t>
        </is>
      </c>
      <c r="S125">
        <f>HYPERLINK("https://klasma.github.io/Logging_2460/artfynd/A 24173-2025 artfynd.xlsx", "A 24173-2025")</f>
        <v/>
      </c>
      <c r="T125">
        <f>HYPERLINK("https://klasma.github.io/Logging_2460/kartor/A 24173-2025 karta.png", "A 24173-2025")</f>
        <v/>
      </c>
      <c r="V125">
        <f>HYPERLINK("https://klasma.github.io/Logging_2460/klagomål/A 24173-2025 FSC-klagomål.docx", "A 24173-2025")</f>
        <v/>
      </c>
      <c r="W125">
        <f>HYPERLINK("https://klasma.github.io/Logging_2460/klagomålsmail/A 24173-2025 FSC-klagomål mail.docx", "A 24173-2025")</f>
        <v/>
      </c>
      <c r="X125">
        <f>HYPERLINK("https://klasma.github.io/Logging_2460/tillsyn/A 24173-2025 tillsynsbegäran.docx", "A 24173-2025")</f>
        <v/>
      </c>
      <c r="Y125">
        <f>HYPERLINK("https://klasma.github.io/Logging_2460/tillsynsmail/A 24173-2025 tillsynsbegäran mail.docx", "A 24173-2025")</f>
        <v/>
      </c>
      <c r="Z125">
        <f>HYPERLINK("https://klasma.github.io/Logging_2460/fåglar/A 24173-2025 prioriterade fågelarter.docx", "A 24173-2025")</f>
        <v/>
      </c>
    </row>
    <row r="126" ht="15" customHeight="1">
      <c r="A126" t="inlineStr">
        <is>
          <t>A 34681-2021</t>
        </is>
      </c>
      <c r="B126" s="1" t="n">
        <v>44382</v>
      </c>
      <c r="C126" s="1" t="n">
        <v>46075</v>
      </c>
      <c r="D126" t="inlineStr">
        <is>
          <t>VÄSTERBOTTENS LÄN</t>
        </is>
      </c>
      <c r="E126" t="inlineStr">
        <is>
          <t>STORUMAN</t>
        </is>
      </c>
      <c r="G126" t="n">
        <v>20.9</v>
      </c>
      <c r="H126" t="n">
        <v>1</v>
      </c>
      <c r="I126" t="n">
        <v>4</v>
      </c>
      <c r="J126" t="n">
        <v>8</v>
      </c>
      <c r="K126" t="n">
        <v>1</v>
      </c>
      <c r="L126" t="n">
        <v>0</v>
      </c>
      <c r="M126" t="n">
        <v>0</v>
      </c>
      <c r="N126" t="n">
        <v>0</v>
      </c>
      <c r="O126" t="n">
        <v>9</v>
      </c>
      <c r="P126" t="n">
        <v>1</v>
      </c>
      <c r="Q126" t="n">
        <v>13</v>
      </c>
      <c r="R126" s="2" t="inlineStr">
        <is>
          <t>Ostticka
Gammelgransskål
Garnlav
Granticka
Gränsticka
Rosenticka
Skrovellav
Ullticka
Violmussling
Bårdlav
Spindelblomster
Stuplav
Ögonpyrola</t>
        </is>
      </c>
      <c r="S126">
        <f>HYPERLINK("https://klasma.github.io/Logging_2421/artfynd/A 34681-2021 artfynd.xlsx", "A 34681-2021")</f>
        <v/>
      </c>
      <c r="T126">
        <f>HYPERLINK("https://klasma.github.io/Logging_2421/kartor/A 34681-2021 karta.png", "A 34681-2021")</f>
        <v/>
      </c>
      <c r="V126">
        <f>HYPERLINK("https://klasma.github.io/Logging_2421/klagomål/A 34681-2021 FSC-klagomål.docx", "A 34681-2021")</f>
        <v/>
      </c>
      <c r="W126">
        <f>HYPERLINK("https://klasma.github.io/Logging_2421/klagomålsmail/A 34681-2021 FSC-klagomål mail.docx", "A 34681-2021")</f>
        <v/>
      </c>
      <c r="X126">
        <f>HYPERLINK("https://klasma.github.io/Logging_2421/tillsyn/A 34681-2021 tillsynsbegäran.docx", "A 34681-2021")</f>
        <v/>
      </c>
      <c r="Y126">
        <f>HYPERLINK("https://klasma.github.io/Logging_2421/tillsynsmail/A 34681-2021 tillsynsbegäran mail.docx", "A 34681-2021")</f>
        <v/>
      </c>
    </row>
    <row r="127" ht="15" customHeight="1">
      <c r="A127" t="inlineStr">
        <is>
          <t>A 26728-2021</t>
        </is>
      </c>
      <c r="B127" s="1" t="n">
        <v>44349</v>
      </c>
      <c r="C127" s="1" t="n">
        <v>46075</v>
      </c>
      <c r="D127" t="inlineStr">
        <is>
          <t>VÄSTERBOTTENS LÄN</t>
        </is>
      </c>
      <c r="E127" t="inlineStr">
        <is>
          <t>SKELLEFTEÅ</t>
        </is>
      </c>
      <c r="G127" t="n">
        <v>9.9</v>
      </c>
      <c r="H127" t="n">
        <v>3</v>
      </c>
      <c r="I127" t="n">
        <v>7</v>
      </c>
      <c r="J127" t="n">
        <v>3</v>
      </c>
      <c r="K127" t="n">
        <v>2</v>
      </c>
      <c r="L127" t="n">
        <v>0</v>
      </c>
      <c r="M127" t="n">
        <v>0</v>
      </c>
      <c r="N127" t="n">
        <v>0</v>
      </c>
      <c r="O127" t="n">
        <v>5</v>
      </c>
      <c r="P127" t="n">
        <v>2</v>
      </c>
      <c r="Q127" t="n">
        <v>13</v>
      </c>
      <c r="R127" s="2" t="inlineStr">
        <is>
          <t>Knärot
Norna
Garnlav
Persiljespindling
Tallticka
Dropptaggsvamp
Kryddspindling
Rödgul trumpetsvamp
Skarp dropptaggsvamp
Svart trolldruva
Svavelriska
Tibast
Nattviol</t>
        </is>
      </c>
      <c r="S127">
        <f>HYPERLINK("https://klasma.github.io/Logging_2482/artfynd/A 26728-2021 artfynd.xlsx", "A 26728-2021")</f>
        <v/>
      </c>
      <c r="T127">
        <f>HYPERLINK("https://klasma.github.io/Logging_2482/kartor/A 26728-2021 karta.png", "A 26728-2021")</f>
        <v/>
      </c>
      <c r="U127">
        <f>HYPERLINK("https://klasma.github.io/Logging_2482/knärot/A 26728-2021 karta knärot.png", "A 26728-2021")</f>
        <v/>
      </c>
      <c r="V127">
        <f>HYPERLINK("https://klasma.github.io/Logging_2482/klagomål/A 26728-2021 FSC-klagomål.docx", "A 26728-2021")</f>
        <v/>
      </c>
      <c r="W127">
        <f>HYPERLINK("https://klasma.github.io/Logging_2482/klagomålsmail/A 26728-2021 FSC-klagomål mail.docx", "A 26728-2021")</f>
        <v/>
      </c>
      <c r="X127">
        <f>HYPERLINK("https://klasma.github.io/Logging_2482/tillsyn/A 26728-2021 tillsynsbegäran.docx", "A 26728-2021")</f>
        <v/>
      </c>
      <c r="Y127">
        <f>HYPERLINK("https://klasma.github.io/Logging_2482/tillsynsmail/A 26728-2021 tillsynsbegäran mail.docx", "A 26728-2021")</f>
        <v/>
      </c>
    </row>
    <row r="128" ht="15" customHeight="1">
      <c r="A128" t="inlineStr">
        <is>
          <t>A 22575-2024</t>
        </is>
      </c>
      <c r="B128" s="1" t="n">
        <v>45447</v>
      </c>
      <c r="C128" s="1" t="n">
        <v>46075</v>
      </c>
      <c r="D128" t="inlineStr">
        <is>
          <t>VÄSTERBOTTENS LÄN</t>
        </is>
      </c>
      <c r="E128" t="inlineStr">
        <is>
          <t>UMEÅ</t>
        </is>
      </c>
      <c r="F128" t="inlineStr">
        <is>
          <t>Holmen skog AB</t>
        </is>
      </c>
      <c r="G128" t="n">
        <v>10.2</v>
      </c>
      <c r="H128" t="n">
        <v>6</v>
      </c>
      <c r="I128" t="n">
        <v>3</v>
      </c>
      <c r="J128" t="n">
        <v>6</v>
      </c>
      <c r="K128" t="n">
        <v>2</v>
      </c>
      <c r="L128" t="n">
        <v>0</v>
      </c>
      <c r="M128" t="n">
        <v>0</v>
      </c>
      <c r="N128" t="n">
        <v>0</v>
      </c>
      <c r="O128" t="n">
        <v>8</v>
      </c>
      <c r="P128" t="n">
        <v>2</v>
      </c>
      <c r="Q128" t="n">
        <v>13</v>
      </c>
      <c r="R128" s="2" t="inlineStr">
        <is>
          <t>Knärot
Rynkskinn
Gammelgransskål
Garnlav
Järpe
Spillkråka
Ullticka
Violettgrå tagellav
Mörk husmossa
Plattlummer
Vedticka
Tjäder
Revlummer</t>
        </is>
      </c>
      <c r="S128">
        <f>HYPERLINK("https://klasma.github.io/Logging_2480/artfynd/A 22575-2024 artfynd.xlsx", "A 22575-2024")</f>
        <v/>
      </c>
      <c r="T128">
        <f>HYPERLINK("https://klasma.github.io/Logging_2480/kartor/A 22575-2024 karta.png", "A 22575-2024")</f>
        <v/>
      </c>
      <c r="U128">
        <f>HYPERLINK("https://klasma.github.io/Logging_2480/knärot/A 22575-2024 karta knärot.png", "A 22575-2024")</f>
        <v/>
      </c>
      <c r="V128">
        <f>HYPERLINK("https://klasma.github.io/Logging_2480/klagomål/A 22575-2024 FSC-klagomål.docx", "A 22575-2024")</f>
        <v/>
      </c>
      <c r="W128">
        <f>HYPERLINK("https://klasma.github.io/Logging_2480/klagomålsmail/A 22575-2024 FSC-klagomål mail.docx", "A 22575-2024")</f>
        <v/>
      </c>
      <c r="X128">
        <f>HYPERLINK("https://klasma.github.io/Logging_2480/tillsyn/A 22575-2024 tillsynsbegäran.docx", "A 22575-2024")</f>
        <v/>
      </c>
      <c r="Y128">
        <f>HYPERLINK("https://klasma.github.io/Logging_2480/tillsynsmail/A 22575-2024 tillsynsbegäran mail.docx", "A 22575-2024")</f>
        <v/>
      </c>
      <c r="Z128">
        <f>HYPERLINK("https://klasma.github.io/Logging_2480/fåglar/A 22575-2024 prioriterade fågelarter.docx", "A 22575-2024")</f>
        <v/>
      </c>
    </row>
    <row r="129" ht="15" customHeight="1">
      <c r="A129" t="inlineStr">
        <is>
          <t>A 12261-2023</t>
        </is>
      </c>
      <c r="B129" s="1" t="n">
        <v>44995</v>
      </c>
      <c r="C129" s="1" t="n">
        <v>46075</v>
      </c>
      <c r="D129" t="inlineStr">
        <is>
          <t>VÄSTERBOTTENS LÄN</t>
        </is>
      </c>
      <c r="E129" t="inlineStr">
        <is>
          <t>STORUMAN</t>
        </is>
      </c>
      <c r="F129" t="inlineStr">
        <is>
          <t>Allmännings- och besparingsskogar</t>
        </is>
      </c>
      <c r="G129" t="n">
        <v>880</v>
      </c>
      <c r="H129" t="n">
        <v>1</v>
      </c>
      <c r="I129" t="n">
        <v>3</v>
      </c>
      <c r="J129" t="n">
        <v>9</v>
      </c>
      <c r="K129" t="n">
        <v>1</v>
      </c>
      <c r="L129" t="n">
        <v>0</v>
      </c>
      <c r="M129" t="n">
        <v>0</v>
      </c>
      <c r="N129" t="n">
        <v>0</v>
      </c>
      <c r="O129" t="n">
        <v>10</v>
      </c>
      <c r="P129" t="n">
        <v>1</v>
      </c>
      <c r="Q129" t="n">
        <v>13</v>
      </c>
      <c r="R129" s="2" t="inlineStr">
        <is>
          <t>Rynkskinn
Doftskinn
Gammelgransskål
Granticka
Gränsticka
Lunglav
Rosenticka
Rödbrun blekspik
Skrovellav
Tretåig hackspett
Stuplav
Trådticka
Vedticka</t>
        </is>
      </c>
      <c r="S129">
        <f>HYPERLINK("https://klasma.github.io/Logging_2421/artfynd/A 12261-2023 artfynd.xlsx", "A 12261-2023")</f>
        <v/>
      </c>
      <c r="T129">
        <f>HYPERLINK("https://klasma.github.io/Logging_2421/kartor/A 12261-2023 karta.png", "A 12261-2023")</f>
        <v/>
      </c>
      <c r="V129">
        <f>HYPERLINK("https://klasma.github.io/Logging_2421/klagomål/A 12261-2023 FSC-klagomål.docx", "A 12261-2023")</f>
        <v/>
      </c>
      <c r="W129">
        <f>HYPERLINK("https://klasma.github.io/Logging_2421/klagomålsmail/A 12261-2023 FSC-klagomål mail.docx", "A 12261-2023")</f>
        <v/>
      </c>
      <c r="X129">
        <f>HYPERLINK("https://klasma.github.io/Logging_2421/tillsyn/A 12261-2023 tillsynsbegäran.docx", "A 12261-2023")</f>
        <v/>
      </c>
      <c r="Y129">
        <f>HYPERLINK("https://klasma.github.io/Logging_2421/tillsynsmail/A 12261-2023 tillsynsbegäran mail.docx", "A 12261-2023")</f>
        <v/>
      </c>
      <c r="Z129">
        <f>HYPERLINK("https://klasma.github.io/Logging_2421/fåglar/A 12261-2023 prioriterade fågelarter.docx", "A 12261-2023")</f>
        <v/>
      </c>
    </row>
    <row r="130" ht="15" customHeight="1">
      <c r="A130" t="inlineStr">
        <is>
          <t>A 24414-2024</t>
        </is>
      </c>
      <c r="B130" s="1" t="n">
        <v>45457</v>
      </c>
      <c r="C130" s="1" t="n">
        <v>46075</v>
      </c>
      <c r="D130" t="inlineStr">
        <is>
          <t>VÄSTERBOTTENS LÄN</t>
        </is>
      </c>
      <c r="E130" t="inlineStr">
        <is>
          <t>VINDELN</t>
        </is>
      </c>
      <c r="G130" t="n">
        <v>14.2</v>
      </c>
      <c r="H130" t="n">
        <v>5</v>
      </c>
      <c r="I130" t="n">
        <v>2</v>
      </c>
      <c r="J130" t="n">
        <v>8</v>
      </c>
      <c r="K130" t="n">
        <v>1</v>
      </c>
      <c r="L130" t="n">
        <v>0</v>
      </c>
      <c r="M130" t="n">
        <v>0</v>
      </c>
      <c r="N130" t="n">
        <v>0</v>
      </c>
      <c r="O130" t="n">
        <v>9</v>
      </c>
      <c r="P130" t="n">
        <v>1</v>
      </c>
      <c r="Q130" t="n">
        <v>13</v>
      </c>
      <c r="R130" s="2" t="inlineStr">
        <is>
          <t>Knärot
Garnlav
Granticka
Lunglav
Rosenticka
Spillkråka
Tretåig hackspett
Ullticka
Vedtrappmossa
Stuplav
Vedticka
Fläcknycklar
Revlummer</t>
        </is>
      </c>
      <c r="S130">
        <f>HYPERLINK("https://klasma.github.io/Logging_2404/artfynd/A 24414-2024 artfynd.xlsx", "A 24414-2024")</f>
        <v/>
      </c>
      <c r="T130">
        <f>HYPERLINK("https://klasma.github.io/Logging_2404/kartor/A 24414-2024 karta.png", "A 24414-2024")</f>
        <v/>
      </c>
      <c r="U130">
        <f>HYPERLINK("https://klasma.github.io/Logging_2404/knärot/A 24414-2024 karta knärot.png", "A 24414-2024")</f>
        <v/>
      </c>
      <c r="V130">
        <f>HYPERLINK("https://klasma.github.io/Logging_2404/klagomål/A 24414-2024 FSC-klagomål.docx", "A 24414-2024")</f>
        <v/>
      </c>
      <c r="W130">
        <f>HYPERLINK("https://klasma.github.io/Logging_2404/klagomålsmail/A 24414-2024 FSC-klagomål mail.docx", "A 24414-2024")</f>
        <v/>
      </c>
      <c r="X130">
        <f>HYPERLINK("https://klasma.github.io/Logging_2404/tillsyn/A 24414-2024 tillsynsbegäran.docx", "A 24414-2024")</f>
        <v/>
      </c>
      <c r="Y130">
        <f>HYPERLINK("https://klasma.github.io/Logging_2404/tillsynsmail/A 24414-2024 tillsynsbegäran mail.docx", "A 24414-2024")</f>
        <v/>
      </c>
      <c r="Z130">
        <f>HYPERLINK("https://klasma.github.io/Logging_2404/fåglar/A 24414-2024 prioriterade fågelarter.docx", "A 24414-2024")</f>
        <v/>
      </c>
    </row>
    <row r="131" ht="15" customHeight="1">
      <c r="A131" t="inlineStr">
        <is>
          <t>A 48290-2024</t>
        </is>
      </c>
      <c r="B131" s="1" t="n">
        <v>45590.45456018519</v>
      </c>
      <c r="C131" s="1" t="n">
        <v>46075</v>
      </c>
      <c r="D131" t="inlineStr">
        <is>
          <t>VÄSTERBOTTENS LÄN</t>
        </is>
      </c>
      <c r="E131" t="inlineStr">
        <is>
          <t>SKELLEFTEÅ</t>
        </is>
      </c>
      <c r="F131" t="inlineStr">
        <is>
          <t>Sveaskog</t>
        </is>
      </c>
      <c r="G131" t="n">
        <v>6.8</v>
      </c>
      <c r="H131" t="n">
        <v>4</v>
      </c>
      <c r="I131" t="n">
        <v>2</v>
      </c>
      <c r="J131" t="n">
        <v>7</v>
      </c>
      <c r="K131" t="n">
        <v>2</v>
      </c>
      <c r="L131" t="n">
        <v>1</v>
      </c>
      <c r="M131" t="n">
        <v>0</v>
      </c>
      <c r="N131" t="n">
        <v>0</v>
      </c>
      <c r="O131" t="n">
        <v>10</v>
      </c>
      <c r="P131" t="n">
        <v>3</v>
      </c>
      <c r="Q131" t="n">
        <v>13</v>
      </c>
      <c r="R131" s="2" t="inlineStr">
        <is>
          <t>Grönfink
Gräddporing
Raggbock
Garnlav
Granticka
Gränsticka
Nordtagging
Spillkråka
Talltita
Violettgrå tagellav
Nästlav
Vedticka
Tjäder</t>
        </is>
      </c>
      <c r="S131">
        <f>HYPERLINK("https://klasma.github.io/Logging_2482/artfynd/A 48290-2024 artfynd.xlsx", "A 48290-2024")</f>
        <v/>
      </c>
      <c r="T131">
        <f>HYPERLINK("https://klasma.github.io/Logging_2482/kartor/A 48290-2024 karta.png", "A 48290-2024")</f>
        <v/>
      </c>
      <c r="V131">
        <f>HYPERLINK("https://klasma.github.io/Logging_2482/klagomål/A 48290-2024 FSC-klagomål.docx", "A 48290-2024")</f>
        <v/>
      </c>
      <c r="W131">
        <f>HYPERLINK("https://klasma.github.io/Logging_2482/klagomålsmail/A 48290-2024 FSC-klagomål mail.docx", "A 48290-2024")</f>
        <v/>
      </c>
      <c r="X131">
        <f>HYPERLINK("https://klasma.github.io/Logging_2482/tillsyn/A 48290-2024 tillsynsbegäran.docx", "A 48290-2024")</f>
        <v/>
      </c>
      <c r="Y131">
        <f>HYPERLINK("https://klasma.github.io/Logging_2482/tillsynsmail/A 48290-2024 tillsynsbegäran mail.docx", "A 48290-2024")</f>
        <v/>
      </c>
      <c r="Z131">
        <f>HYPERLINK("https://klasma.github.io/Logging_2482/fåglar/A 48290-2024 prioriterade fågelarter.docx", "A 48290-2024")</f>
        <v/>
      </c>
    </row>
    <row r="132" ht="15" customHeight="1">
      <c r="A132" t="inlineStr">
        <is>
          <t>A 53141-2024</t>
        </is>
      </c>
      <c r="B132" s="1" t="n">
        <v>45611.60192129629</v>
      </c>
      <c r="C132" s="1" t="n">
        <v>46075</v>
      </c>
      <c r="D132" t="inlineStr">
        <is>
          <t>VÄSTERBOTTENS LÄN</t>
        </is>
      </c>
      <c r="E132" t="inlineStr">
        <is>
          <t>LYCKSELE</t>
        </is>
      </c>
      <c r="F132" t="inlineStr">
        <is>
          <t>Holmen skog AB</t>
        </is>
      </c>
      <c r="G132" t="n">
        <v>25.4</v>
      </c>
      <c r="H132" t="n">
        <v>4</v>
      </c>
      <c r="I132" t="n">
        <v>3</v>
      </c>
      <c r="J132" t="n">
        <v>7</v>
      </c>
      <c r="K132" t="n">
        <v>1</v>
      </c>
      <c r="L132" t="n">
        <v>0</v>
      </c>
      <c r="M132" t="n">
        <v>0</v>
      </c>
      <c r="N132" t="n">
        <v>0</v>
      </c>
      <c r="O132" t="n">
        <v>8</v>
      </c>
      <c r="P132" t="n">
        <v>1</v>
      </c>
      <c r="Q132" t="n">
        <v>13</v>
      </c>
      <c r="R132" s="2" t="inlineStr">
        <is>
          <t>Knärot
Garnlav
Granticka
Harticka
Lunglav
Skrovellav
Talltita
Violmussling
Bårdlav
Luddlav
Stuplav
Fläcknycklar
Revlummer</t>
        </is>
      </c>
      <c r="S132">
        <f>HYPERLINK("https://klasma.github.io/Logging_2481/artfynd/A 53141-2024 artfynd.xlsx", "A 53141-2024")</f>
        <v/>
      </c>
      <c r="T132">
        <f>HYPERLINK("https://klasma.github.io/Logging_2481/kartor/A 53141-2024 karta.png", "A 53141-2024")</f>
        <v/>
      </c>
      <c r="U132">
        <f>HYPERLINK("https://klasma.github.io/Logging_2481/knärot/A 53141-2024 karta knärot.png", "A 53141-2024")</f>
        <v/>
      </c>
      <c r="V132">
        <f>HYPERLINK("https://klasma.github.io/Logging_2481/klagomål/A 53141-2024 FSC-klagomål.docx", "A 53141-2024")</f>
        <v/>
      </c>
      <c r="W132">
        <f>HYPERLINK("https://klasma.github.io/Logging_2481/klagomålsmail/A 53141-2024 FSC-klagomål mail.docx", "A 53141-2024")</f>
        <v/>
      </c>
      <c r="X132">
        <f>HYPERLINK("https://klasma.github.io/Logging_2481/tillsyn/A 53141-2024 tillsynsbegäran.docx", "A 53141-2024")</f>
        <v/>
      </c>
      <c r="Y132">
        <f>HYPERLINK("https://klasma.github.io/Logging_2481/tillsynsmail/A 53141-2024 tillsynsbegäran mail.docx", "A 53141-2024")</f>
        <v/>
      </c>
      <c r="Z132">
        <f>HYPERLINK("https://klasma.github.io/Logging_2481/fåglar/A 53141-2024 prioriterade fågelarter.docx", "A 53141-2024")</f>
        <v/>
      </c>
    </row>
    <row r="133" ht="15" customHeight="1">
      <c r="A133" t="inlineStr">
        <is>
          <t>A 19934-2023</t>
        </is>
      </c>
      <c r="B133" s="1" t="n">
        <v>45051</v>
      </c>
      <c r="C133" s="1" t="n">
        <v>46075</v>
      </c>
      <c r="D133" t="inlineStr">
        <is>
          <t>VÄSTERBOTTENS LÄN</t>
        </is>
      </c>
      <c r="E133" t="inlineStr">
        <is>
          <t>VILHELMINA</t>
        </is>
      </c>
      <c r="F133" t="inlineStr">
        <is>
          <t>Övriga statliga verk och myndigheter</t>
        </is>
      </c>
      <c r="G133" t="n">
        <v>28.1</v>
      </c>
      <c r="H133" t="n">
        <v>4</v>
      </c>
      <c r="I133" t="n">
        <v>2</v>
      </c>
      <c r="J133" t="n">
        <v>9</v>
      </c>
      <c r="K133" t="n">
        <v>1</v>
      </c>
      <c r="L133" t="n">
        <v>0</v>
      </c>
      <c r="M133" t="n">
        <v>0</v>
      </c>
      <c r="N133" t="n">
        <v>0</v>
      </c>
      <c r="O133" t="n">
        <v>10</v>
      </c>
      <c r="P133" t="n">
        <v>1</v>
      </c>
      <c r="Q133" t="n">
        <v>13</v>
      </c>
      <c r="R133" s="2" t="inlineStr">
        <is>
          <t>Rynkskinn
Gammelgransskål
Garnlav
Granticka
Lunglav
Rosenticka
Skrovellav
Spillkråka
Talltita
Tretåig hackspett
Gulnål
Stuplav
Revlummer</t>
        </is>
      </c>
      <c r="S133">
        <f>HYPERLINK("https://klasma.github.io/Logging_2462/artfynd/A 19934-2023 artfynd.xlsx", "A 19934-2023")</f>
        <v/>
      </c>
      <c r="T133">
        <f>HYPERLINK("https://klasma.github.io/Logging_2462/kartor/A 19934-2023 karta.png", "A 19934-2023")</f>
        <v/>
      </c>
      <c r="V133">
        <f>HYPERLINK("https://klasma.github.io/Logging_2462/klagomål/A 19934-2023 FSC-klagomål.docx", "A 19934-2023")</f>
        <v/>
      </c>
      <c r="W133">
        <f>HYPERLINK("https://klasma.github.io/Logging_2462/klagomålsmail/A 19934-2023 FSC-klagomål mail.docx", "A 19934-2023")</f>
        <v/>
      </c>
      <c r="X133">
        <f>HYPERLINK("https://klasma.github.io/Logging_2462/tillsyn/A 19934-2023 tillsynsbegäran.docx", "A 19934-2023")</f>
        <v/>
      </c>
      <c r="Y133">
        <f>HYPERLINK("https://klasma.github.io/Logging_2462/tillsynsmail/A 19934-2023 tillsynsbegäran mail.docx", "A 19934-2023")</f>
        <v/>
      </c>
      <c r="Z133">
        <f>HYPERLINK("https://klasma.github.io/Logging_2462/fåglar/A 19934-2023 prioriterade fågelarter.docx", "A 19934-2023")</f>
        <v/>
      </c>
    </row>
    <row r="134" ht="15" customHeight="1">
      <c r="A134" t="inlineStr">
        <is>
          <t>A 62266-2021</t>
        </is>
      </c>
      <c r="B134" s="1" t="n">
        <v>44503.35390046296</v>
      </c>
      <c r="C134" s="1" t="n">
        <v>46075</v>
      </c>
      <c r="D134" t="inlineStr">
        <is>
          <t>VÄSTERBOTTENS LÄN</t>
        </is>
      </c>
      <c r="E134" t="inlineStr">
        <is>
          <t>VÄNNÄS</t>
        </is>
      </c>
      <c r="F134" t="inlineStr">
        <is>
          <t>Holmen skog AB</t>
        </is>
      </c>
      <c r="G134" t="n">
        <v>7</v>
      </c>
      <c r="H134" t="n">
        <v>2</v>
      </c>
      <c r="I134" t="n">
        <v>4</v>
      </c>
      <c r="J134" t="n">
        <v>7</v>
      </c>
      <c r="K134" t="n">
        <v>1</v>
      </c>
      <c r="L134" t="n">
        <v>0</v>
      </c>
      <c r="M134" t="n">
        <v>0</v>
      </c>
      <c r="N134" t="n">
        <v>0</v>
      </c>
      <c r="O134" t="n">
        <v>8</v>
      </c>
      <c r="P134" t="n">
        <v>1</v>
      </c>
      <c r="Q134" t="n">
        <v>12</v>
      </c>
      <c r="R134" s="2" t="inlineStr">
        <is>
          <t>Rynkskinn
Garnlav
Lunglav
Stjärntagging
Tretåig hackspett
Ullticka
Utter
Vitgrynig nållav
Mörk husmossa
Skinnlav
Skogshakmossa
Stuplav</t>
        </is>
      </c>
      <c r="S134">
        <f>HYPERLINK("https://klasma.github.io/Logging_2460/artfynd/A 62266-2021 artfynd.xlsx", "A 62266-2021")</f>
        <v/>
      </c>
      <c r="T134">
        <f>HYPERLINK("https://klasma.github.io/Logging_2460/kartor/A 62266-2021 karta.png", "A 62266-2021")</f>
        <v/>
      </c>
      <c r="V134">
        <f>HYPERLINK("https://klasma.github.io/Logging_2460/klagomål/A 62266-2021 FSC-klagomål.docx", "A 62266-2021")</f>
        <v/>
      </c>
      <c r="W134">
        <f>HYPERLINK("https://klasma.github.io/Logging_2460/klagomålsmail/A 62266-2021 FSC-klagomål mail.docx", "A 62266-2021")</f>
        <v/>
      </c>
      <c r="X134">
        <f>HYPERLINK("https://klasma.github.io/Logging_2460/tillsyn/A 62266-2021 tillsynsbegäran.docx", "A 62266-2021")</f>
        <v/>
      </c>
      <c r="Y134">
        <f>HYPERLINK("https://klasma.github.io/Logging_2460/tillsynsmail/A 62266-2021 tillsynsbegäran mail.docx", "A 62266-2021")</f>
        <v/>
      </c>
      <c r="Z134">
        <f>HYPERLINK("https://klasma.github.io/Logging_2460/fåglar/A 62266-2021 prioriterade fågelarter.docx", "A 62266-2021")</f>
        <v/>
      </c>
    </row>
    <row r="135" ht="15" customHeight="1">
      <c r="A135" t="inlineStr">
        <is>
          <t>A 42391-2021</t>
        </is>
      </c>
      <c r="B135" s="1" t="n">
        <v>44427</v>
      </c>
      <c r="C135" s="1" t="n">
        <v>46075</v>
      </c>
      <c r="D135" t="inlineStr">
        <is>
          <t>VÄSTERBOTTENS LÄN</t>
        </is>
      </c>
      <c r="E135" t="inlineStr">
        <is>
          <t>UMEÅ</t>
        </is>
      </c>
      <c r="F135" t="inlineStr">
        <is>
          <t>Kommuner</t>
        </is>
      </c>
      <c r="G135" t="n">
        <v>12</v>
      </c>
      <c r="H135" t="n">
        <v>4</v>
      </c>
      <c r="I135" t="n">
        <v>2</v>
      </c>
      <c r="J135" t="n">
        <v>8</v>
      </c>
      <c r="K135" t="n">
        <v>2</v>
      </c>
      <c r="L135" t="n">
        <v>0</v>
      </c>
      <c r="M135" t="n">
        <v>0</v>
      </c>
      <c r="N135" t="n">
        <v>0</v>
      </c>
      <c r="O135" t="n">
        <v>10</v>
      </c>
      <c r="P135" t="n">
        <v>2</v>
      </c>
      <c r="Q135" t="n">
        <v>12</v>
      </c>
      <c r="R135" s="2" t="inlineStr">
        <is>
          <t>Tallbit
Ulltickeporing
Granticka
Järpe
Motaggsvamp
Svartvit taggsvamp
Talltita
Tretåig hackspett
Ullticka
Violettgrå tagellav
Dropptaggsvamp
Mörk husmossa</t>
        </is>
      </c>
      <c r="S135">
        <f>HYPERLINK("https://klasma.github.io/Logging_2480/artfynd/A 42391-2021 artfynd.xlsx", "A 42391-2021")</f>
        <v/>
      </c>
      <c r="T135">
        <f>HYPERLINK("https://klasma.github.io/Logging_2480/kartor/A 42391-2021 karta.png", "A 42391-2021")</f>
        <v/>
      </c>
      <c r="V135">
        <f>HYPERLINK("https://klasma.github.io/Logging_2480/klagomål/A 42391-2021 FSC-klagomål.docx", "A 42391-2021")</f>
        <v/>
      </c>
      <c r="W135">
        <f>HYPERLINK("https://klasma.github.io/Logging_2480/klagomålsmail/A 42391-2021 FSC-klagomål mail.docx", "A 42391-2021")</f>
        <v/>
      </c>
      <c r="X135">
        <f>HYPERLINK("https://klasma.github.io/Logging_2480/tillsyn/A 42391-2021 tillsynsbegäran.docx", "A 42391-2021")</f>
        <v/>
      </c>
      <c r="Y135">
        <f>HYPERLINK("https://klasma.github.io/Logging_2480/tillsynsmail/A 42391-2021 tillsynsbegäran mail.docx", "A 42391-2021")</f>
        <v/>
      </c>
      <c r="Z135">
        <f>HYPERLINK("https://klasma.github.io/Logging_2480/fåglar/A 42391-2021 prioriterade fågelarter.docx", "A 42391-2021")</f>
        <v/>
      </c>
    </row>
    <row r="136" ht="15" customHeight="1">
      <c r="A136" t="inlineStr">
        <is>
          <t>A 48337-2021</t>
        </is>
      </c>
      <c r="B136" s="1" t="n">
        <v>44451</v>
      </c>
      <c r="C136" s="1" t="n">
        <v>46075</v>
      </c>
      <c r="D136" t="inlineStr">
        <is>
          <t>VÄSTERBOTTENS LÄN</t>
        </is>
      </c>
      <c r="E136" t="inlineStr">
        <is>
          <t>STORUMAN</t>
        </is>
      </c>
      <c r="F136" t="inlineStr">
        <is>
          <t>Sveaskog</t>
        </is>
      </c>
      <c r="G136" t="n">
        <v>2.9</v>
      </c>
      <c r="H136" t="n">
        <v>3</v>
      </c>
      <c r="I136" t="n">
        <v>5</v>
      </c>
      <c r="J136" t="n">
        <v>5</v>
      </c>
      <c r="K136" t="n">
        <v>0</v>
      </c>
      <c r="L136" t="n">
        <v>0</v>
      </c>
      <c r="M136" t="n">
        <v>0</v>
      </c>
      <c r="N136" t="n">
        <v>0</v>
      </c>
      <c r="O136" t="n">
        <v>5</v>
      </c>
      <c r="P136" t="n">
        <v>0</v>
      </c>
      <c r="Q136" t="n">
        <v>12</v>
      </c>
      <c r="R136" s="2" t="inlineStr">
        <is>
          <t>Gammelgransskål
Garnlav
Knottrig blåslav
Lunglav
Vitgrynig nållav
Bårdlav
Norrlandslav
Spindelblomster
Stuplav
Vedticka
Gråspett
Revlummer</t>
        </is>
      </c>
      <c r="S136">
        <f>HYPERLINK("https://klasma.github.io/Logging_2421/artfynd/A 48337-2021 artfynd.xlsx", "A 48337-2021")</f>
        <v/>
      </c>
      <c r="T136">
        <f>HYPERLINK("https://klasma.github.io/Logging_2421/kartor/A 48337-2021 karta.png", "A 48337-2021")</f>
        <v/>
      </c>
      <c r="V136">
        <f>HYPERLINK("https://klasma.github.io/Logging_2421/klagomål/A 48337-2021 FSC-klagomål.docx", "A 48337-2021")</f>
        <v/>
      </c>
      <c r="W136">
        <f>HYPERLINK("https://klasma.github.io/Logging_2421/klagomålsmail/A 48337-2021 FSC-klagomål mail.docx", "A 48337-2021")</f>
        <v/>
      </c>
      <c r="X136">
        <f>HYPERLINK("https://klasma.github.io/Logging_2421/tillsyn/A 48337-2021 tillsynsbegäran.docx", "A 48337-2021")</f>
        <v/>
      </c>
      <c r="Y136">
        <f>HYPERLINK("https://klasma.github.io/Logging_2421/tillsynsmail/A 48337-2021 tillsynsbegäran mail.docx", "A 48337-2021")</f>
        <v/>
      </c>
      <c r="Z136">
        <f>HYPERLINK("https://klasma.github.io/Logging_2421/fåglar/A 48337-2021 prioriterade fågelarter.docx", "A 48337-2021")</f>
        <v/>
      </c>
    </row>
    <row r="137" ht="15" customHeight="1">
      <c r="A137" t="inlineStr">
        <is>
          <t>A 48338-2021</t>
        </is>
      </c>
      <c r="B137" s="1" t="n">
        <v>44451.47785879629</v>
      </c>
      <c r="C137" s="1" t="n">
        <v>46075</v>
      </c>
      <c r="D137" t="inlineStr">
        <is>
          <t>VÄSTERBOTTENS LÄN</t>
        </is>
      </c>
      <c r="E137" t="inlineStr">
        <is>
          <t>STORUMAN</t>
        </is>
      </c>
      <c r="F137" t="inlineStr">
        <is>
          <t>Sveaskog</t>
        </is>
      </c>
      <c r="G137" t="n">
        <v>3.4</v>
      </c>
      <c r="H137" t="n">
        <v>4</v>
      </c>
      <c r="I137" t="n">
        <v>3</v>
      </c>
      <c r="J137" t="n">
        <v>7</v>
      </c>
      <c r="K137" t="n">
        <v>0</v>
      </c>
      <c r="L137" t="n">
        <v>0</v>
      </c>
      <c r="M137" t="n">
        <v>0</v>
      </c>
      <c r="N137" t="n">
        <v>0</v>
      </c>
      <c r="O137" t="n">
        <v>7</v>
      </c>
      <c r="P137" t="n">
        <v>0</v>
      </c>
      <c r="Q137" t="n">
        <v>12</v>
      </c>
      <c r="R137" s="2" t="inlineStr">
        <is>
          <t>Blågrå svartspik
Gammelgransskål
Garnlav
Knottrig blåslav
Lunglav
Skrovellav
Tretåig hackspett
Norrlandslav
Spindelblomster
Stuplav
Fläcknycklar
Revlummer</t>
        </is>
      </c>
      <c r="S137">
        <f>HYPERLINK("https://klasma.github.io/Logging_2421/artfynd/A 48338-2021 artfynd.xlsx", "A 48338-2021")</f>
        <v/>
      </c>
      <c r="T137">
        <f>HYPERLINK("https://klasma.github.io/Logging_2421/kartor/A 48338-2021 karta.png", "A 48338-2021")</f>
        <v/>
      </c>
      <c r="V137">
        <f>HYPERLINK("https://klasma.github.io/Logging_2421/klagomål/A 48338-2021 FSC-klagomål.docx", "A 48338-2021")</f>
        <v/>
      </c>
      <c r="W137">
        <f>HYPERLINK("https://klasma.github.io/Logging_2421/klagomålsmail/A 48338-2021 FSC-klagomål mail.docx", "A 48338-2021")</f>
        <v/>
      </c>
      <c r="X137">
        <f>HYPERLINK("https://klasma.github.io/Logging_2421/tillsyn/A 48338-2021 tillsynsbegäran.docx", "A 48338-2021")</f>
        <v/>
      </c>
      <c r="Y137">
        <f>HYPERLINK("https://klasma.github.io/Logging_2421/tillsynsmail/A 48338-2021 tillsynsbegäran mail.docx", "A 48338-2021")</f>
        <v/>
      </c>
      <c r="Z137">
        <f>HYPERLINK("https://klasma.github.io/Logging_2421/fåglar/A 48338-2021 prioriterade fågelarter.docx", "A 48338-2021")</f>
        <v/>
      </c>
    </row>
    <row r="138" ht="15" customHeight="1">
      <c r="A138" t="inlineStr">
        <is>
          <t>A 14646-2025</t>
        </is>
      </c>
      <c r="B138" s="1" t="n">
        <v>45742</v>
      </c>
      <c r="C138" s="1" t="n">
        <v>46075</v>
      </c>
      <c r="D138" t="inlineStr">
        <is>
          <t>VÄSTERBOTTENS LÄN</t>
        </is>
      </c>
      <c r="E138" t="inlineStr">
        <is>
          <t>BJURHOLM</t>
        </is>
      </c>
      <c r="G138" t="n">
        <v>14.8</v>
      </c>
      <c r="H138" t="n">
        <v>5</v>
      </c>
      <c r="I138" t="n">
        <v>2</v>
      </c>
      <c r="J138" t="n">
        <v>6</v>
      </c>
      <c r="K138" t="n">
        <v>1</v>
      </c>
      <c r="L138" t="n">
        <v>0</v>
      </c>
      <c r="M138" t="n">
        <v>0</v>
      </c>
      <c r="N138" t="n">
        <v>0</v>
      </c>
      <c r="O138" t="n">
        <v>7</v>
      </c>
      <c r="P138" t="n">
        <v>1</v>
      </c>
      <c r="Q138" t="n">
        <v>12</v>
      </c>
      <c r="R138" s="2" t="inlineStr">
        <is>
          <t>Knärot
Garnlav
Granticka
Lunglav
Spillkråka
Ullticka
Violettgrå tagellav
Stuplav
Vedticka
Tjäder
Fläcknycklar
Nattviol</t>
        </is>
      </c>
      <c r="S138">
        <f>HYPERLINK("https://klasma.github.io/Logging_2403/artfynd/A 14646-2025 artfynd.xlsx", "A 14646-2025")</f>
        <v/>
      </c>
      <c r="T138">
        <f>HYPERLINK("https://klasma.github.io/Logging_2403/kartor/A 14646-2025 karta.png", "A 14646-2025")</f>
        <v/>
      </c>
      <c r="U138">
        <f>HYPERLINK("https://klasma.github.io/Logging_2403/knärot/A 14646-2025 karta knärot.png", "A 14646-2025")</f>
        <v/>
      </c>
      <c r="V138">
        <f>HYPERLINK("https://klasma.github.io/Logging_2403/klagomål/A 14646-2025 FSC-klagomål.docx", "A 14646-2025")</f>
        <v/>
      </c>
      <c r="W138">
        <f>HYPERLINK("https://klasma.github.io/Logging_2403/klagomålsmail/A 14646-2025 FSC-klagomål mail.docx", "A 14646-2025")</f>
        <v/>
      </c>
      <c r="X138">
        <f>HYPERLINK("https://klasma.github.io/Logging_2403/tillsyn/A 14646-2025 tillsynsbegäran.docx", "A 14646-2025")</f>
        <v/>
      </c>
      <c r="Y138">
        <f>HYPERLINK("https://klasma.github.io/Logging_2403/tillsynsmail/A 14646-2025 tillsynsbegäran mail.docx", "A 14646-2025")</f>
        <v/>
      </c>
      <c r="Z138">
        <f>HYPERLINK("https://klasma.github.io/Logging_2403/fåglar/A 14646-2025 prioriterade fågelarter.docx", "A 14646-2025")</f>
        <v/>
      </c>
    </row>
    <row r="139" ht="15" customHeight="1">
      <c r="A139" t="inlineStr">
        <is>
          <t>A 55308-2024</t>
        </is>
      </c>
      <c r="B139" s="1" t="n">
        <v>45621.65283564815</v>
      </c>
      <c r="C139" s="1" t="n">
        <v>46075</v>
      </c>
      <c r="D139" t="inlineStr">
        <is>
          <t>VÄSTERBOTTENS LÄN</t>
        </is>
      </c>
      <c r="E139" t="inlineStr">
        <is>
          <t>LYCKSELE</t>
        </is>
      </c>
      <c r="F139" t="inlineStr">
        <is>
          <t>Sveaskog</t>
        </is>
      </c>
      <c r="G139" t="n">
        <v>6.3</v>
      </c>
      <c r="H139" t="n">
        <v>1</v>
      </c>
      <c r="I139" t="n">
        <v>0</v>
      </c>
      <c r="J139" t="n">
        <v>11</v>
      </c>
      <c r="K139" t="n">
        <v>1</v>
      </c>
      <c r="L139" t="n">
        <v>0</v>
      </c>
      <c r="M139" t="n">
        <v>0</v>
      </c>
      <c r="N139" t="n">
        <v>0</v>
      </c>
      <c r="O139" t="n">
        <v>12</v>
      </c>
      <c r="P139" t="n">
        <v>1</v>
      </c>
      <c r="Q139" t="n">
        <v>12</v>
      </c>
      <c r="R139" s="2" t="inlineStr">
        <is>
          <t>Rynkskinn
Brunpudrad nållav
Gammelgransskål
Garnlav
Granticka
Gultoppig fingersvamp
Motaggsvamp
Spillkråka
Stjärntagging
Ullticka
Vedskivlav
Violmussling</t>
        </is>
      </c>
      <c r="S139">
        <f>HYPERLINK("https://klasma.github.io/Logging_2481/artfynd/A 55308-2024 artfynd.xlsx", "A 55308-2024")</f>
        <v/>
      </c>
      <c r="T139">
        <f>HYPERLINK("https://klasma.github.io/Logging_2481/kartor/A 55308-2024 karta.png", "A 55308-2024")</f>
        <v/>
      </c>
      <c r="V139">
        <f>HYPERLINK("https://klasma.github.io/Logging_2481/klagomål/A 55308-2024 FSC-klagomål.docx", "A 55308-2024")</f>
        <v/>
      </c>
      <c r="W139">
        <f>HYPERLINK("https://klasma.github.io/Logging_2481/klagomålsmail/A 55308-2024 FSC-klagomål mail.docx", "A 55308-2024")</f>
        <v/>
      </c>
      <c r="X139">
        <f>HYPERLINK("https://klasma.github.io/Logging_2481/tillsyn/A 55308-2024 tillsynsbegäran.docx", "A 55308-2024")</f>
        <v/>
      </c>
      <c r="Y139">
        <f>HYPERLINK("https://klasma.github.io/Logging_2481/tillsynsmail/A 55308-2024 tillsynsbegäran mail.docx", "A 55308-2024")</f>
        <v/>
      </c>
      <c r="Z139">
        <f>HYPERLINK("https://klasma.github.io/Logging_2481/fåglar/A 55308-2024 prioriterade fågelarter.docx", "A 55308-2024")</f>
        <v/>
      </c>
    </row>
    <row r="140" ht="15" customHeight="1">
      <c r="A140" t="inlineStr">
        <is>
          <t>A 35700-2025</t>
        </is>
      </c>
      <c r="B140" s="1" t="n">
        <v>45860.35701388889</v>
      </c>
      <c r="C140" s="1" t="n">
        <v>46075</v>
      </c>
      <c r="D140" t="inlineStr">
        <is>
          <t>VÄSTERBOTTENS LÄN</t>
        </is>
      </c>
      <c r="E140" t="inlineStr">
        <is>
          <t>SORSELE</t>
        </is>
      </c>
      <c r="F140" t="inlineStr">
        <is>
          <t>Sveaskog</t>
        </is>
      </c>
      <c r="G140" t="n">
        <v>22.8</v>
      </c>
      <c r="H140" t="n">
        <v>3</v>
      </c>
      <c r="I140" t="n">
        <v>1</v>
      </c>
      <c r="J140" t="n">
        <v>9</v>
      </c>
      <c r="K140" t="n">
        <v>0</v>
      </c>
      <c r="L140" t="n">
        <v>0</v>
      </c>
      <c r="M140" t="n">
        <v>0</v>
      </c>
      <c r="N140" t="n">
        <v>0</v>
      </c>
      <c r="O140" t="n">
        <v>9</v>
      </c>
      <c r="P140" t="n">
        <v>0</v>
      </c>
      <c r="Q140" t="n">
        <v>12</v>
      </c>
      <c r="R140" s="2" t="inlineStr">
        <is>
          <t>Gammelgransskål
Garnlav
Granticka
Harticka
Knottrig blåslav
Lunglav
Skrovellav
Talltita
Vitgrynig nållav
Stuplav
Lavskrika
Tjäder</t>
        </is>
      </c>
      <c r="S140">
        <f>HYPERLINK("https://klasma.github.io/Logging_2422/artfynd/A 35700-2025 artfynd.xlsx", "A 35700-2025")</f>
        <v/>
      </c>
      <c r="T140">
        <f>HYPERLINK("https://klasma.github.io/Logging_2422/kartor/A 35700-2025 karta.png", "A 35700-2025")</f>
        <v/>
      </c>
      <c r="V140">
        <f>HYPERLINK("https://klasma.github.io/Logging_2422/klagomål/A 35700-2025 FSC-klagomål.docx", "A 35700-2025")</f>
        <v/>
      </c>
      <c r="W140">
        <f>HYPERLINK("https://klasma.github.io/Logging_2422/klagomålsmail/A 35700-2025 FSC-klagomål mail.docx", "A 35700-2025")</f>
        <v/>
      </c>
      <c r="X140">
        <f>HYPERLINK("https://klasma.github.io/Logging_2422/tillsyn/A 35700-2025 tillsynsbegäran.docx", "A 35700-2025")</f>
        <v/>
      </c>
      <c r="Y140">
        <f>HYPERLINK("https://klasma.github.io/Logging_2422/tillsynsmail/A 35700-2025 tillsynsbegäran mail.docx", "A 35700-2025")</f>
        <v/>
      </c>
      <c r="Z140">
        <f>HYPERLINK("https://klasma.github.io/Logging_2422/fåglar/A 35700-2025 prioriterade fågelarter.docx", "A 35700-2025")</f>
        <v/>
      </c>
    </row>
    <row r="141" ht="15" customHeight="1">
      <c r="A141" t="inlineStr">
        <is>
          <t>A 38930-2025</t>
        </is>
      </c>
      <c r="B141" s="1" t="n">
        <v>45887</v>
      </c>
      <c r="C141" s="1" t="n">
        <v>46075</v>
      </c>
      <c r="D141" t="inlineStr">
        <is>
          <t>VÄSTERBOTTENS LÄN</t>
        </is>
      </c>
      <c r="E141" t="inlineStr">
        <is>
          <t>VILHELMINA</t>
        </is>
      </c>
      <c r="F141" t="inlineStr">
        <is>
          <t>SCA</t>
        </is>
      </c>
      <c r="G141" t="n">
        <v>8.9</v>
      </c>
      <c r="H141" t="n">
        <v>1</v>
      </c>
      <c r="I141" t="n">
        <v>3</v>
      </c>
      <c r="J141" t="n">
        <v>8</v>
      </c>
      <c r="K141" t="n">
        <v>1</v>
      </c>
      <c r="L141" t="n">
        <v>0</v>
      </c>
      <c r="M141" t="n">
        <v>0</v>
      </c>
      <c r="N141" t="n">
        <v>0</v>
      </c>
      <c r="O141" t="n">
        <v>9</v>
      </c>
      <c r="P141" t="n">
        <v>1</v>
      </c>
      <c r="Q141" t="n">
        <v>12</v>
      </c>
      <c r="R141" s="2" t="inlineStr">
        <is>
          <t>Ulltickeporing
Brunpudrad nållav
Gammelgransskål
Granticka
Harticka
Tretåig hackspett
Ullticka
Vitgrynig nållav
Vitskaftad svartspik
Bronshjon
Gulnål
Vågbandad barkbock</t>
        </is>
      </c>
      <c r="S141">
        <f>HYPERLINK("https://klasma.github.io/Logging_2462/artfynd/A 38930-2025 artfynd.xlsx", "A 38930-2025")</f>
        <v/>
      </c>
      <c r="T141">
        <f>HYPERLINK("https://klasma.github.io/Logging_2462/kartor/A 38930-2025 karta.png", "A 38930-2025")</f>
        <v/>
      </c>
      <c r="V141">
        <f>HYPERLINK("https://klasma.github.io/Logging_2462/klagomål/A 38930-2025 FSC-klagomål.docx", "A 38930-2025")</f>
        <v/>
      </c>
      <c r="W141">
        <f>HYPERLINK("https://klasma.github.io/Logging_2462/klagomålsmail/A 38930-2025 FSC-klagomål mail.docx", "A 38930-2025")</f>
        <v/>
      </c>
      <c r="X141">
        <f>HYPERLINK("https://klasma.github.io/Logging_2462/tillsyn/A 38930-2025 tillsynsbegäran.docx", "A 38930-2025")</f>
        <v/>
      </c>
      <c r="Y141">
        <f>HYPERLINK("https://klasma.github.io/Logging_2462/tillsynsmail/A 38930-2025 tillsynsbegäran mail.docx", "A 38930-2025")</f>
        <v/>
      </c>
      <c r="Z141">
        <f>HYPERLINK("https://klasma.github.io/Logging_2462/fåglar/A 38930-2025 prioriterade fågelarter.docx", "A 38930-2025")</f>
        <v/>
      </c>
    </row>
    <row r="142" ht="15" customHeight="1">
      <c r="A142" t="inlineStr">
        <is>
          <t>A 59039-2024</t>
        </is>
      </c>
      <c r="B142" s="1" t="n">
        <v>45636</v>
      </c>
      <c r="C142" s="1" t="n">
        <v>46075</v>
      </c>
      <c r="D142" t="inlineStr">
        <is>
          <t>VÄSTERBOTTENS LÄN</t>
        </is>
      </c>
      <c r="E142" t="inlineStr">
        <is>
          <t>VILHELMINA</t>
        </is>
      </c>
      <c r="F142" t="inlineStr">
        <is>
          <t>Allmännings- och besparingsskogar</t>
        </is>
      </c>
      <c r="G142" t="n">
        <v>71.90000000000001</v>
      </c>
      <c r="H142" t="n">
        <v>2</v>
      </c>
      <c r="I142" t="n">
        <v>2</v>
      </c>
      <c r="J142" t="n">
        <v>9</v>
      </c>
      <c r="K142" t="n">
        <v>0</v>
      </c>
      <c r="L142" t="n">
        <v>0</v>
      </c>
      <c r="M142" t="n">
        <v>0</v>
      </c>
      <c r="N142" t="n">
        <v>0</v>
      </c>
      <c r="O142" t="n">
        <v>9</v>
      </c>
      <c r="P142" t="n">
        <v>0</v>
      </c>
      <c r="Q142" t="n">
        <v>12</v>
      </c>
      <c r="R142" s="2" t="inlineStr">
        <is>
          <t>Gammelgransskål
Garnlav
Granticka
Gränsticka
Harticka
Rosenticka
Ullticka
Vitgrynig nållav
Vitskaftad svartspik
Spindelblomster
Vedticka
Lavskrika</t>
        </is>
      </c>
      <c r="S142">
        <f>HYPERLINK("https://klasma.github.io/Logging_2462/artfynd/A 59039-2024 artfynd.xlsx", "A 59039-2024")</f>
        <v/>
      </c>
      <c r="T142">
        <f>HYPERLINK("https://klasma.github.io/Logging_2462/kartor/A 59039-2024 karta.png", "A 59039-2024")</f>
        <v/>
      </c>
      <c r="V142">
        <f>HYPERLINK("https://klasma.github.io/Logging_2462/klagomål/A 59039-2024 FSC-klagomål.docx", "A 59039-2024")</f>
        <v/>
      </c>
      <c r="W142">
        <f>HYPERLINK("https://klasma.github.io/Logging_2462/klagomålsmail/A 59039-2024 FSC-klagomål mail.docx", "A 59039-2024")</f>
        <v/>
      </c>
      <c r="X142">
        <f>HYPERLINK("https://klasma.github.io/Logging_2462/tillsyn/A 59039-2024 tillsynsbegäran.docx", "A 59039-2024")</f>
        <v/>
      </c>
      <c r="Y142">
        <f>HYPERLINK("https://klasma.github.io/Logging_2462/tillsynsmail/A 59039-2024 tillsynsbegäran mail.docx", "A 59039-2024")</f>
        <v/>
      </c>
      <c r="Z142">
        <f>HYPERLINK("https://klasma.github.io/Logging_2462/fåglar/A 59039-2024 prioriterade fågelarter.docx", "A 59039-2024")</f>
        <v/>
      </c>
    </row>
    <row r="143" ht="15" customHeight="1">
      <c r="A143" t="inlineStr">
        <is>
          <t>A 51874-2024</t>
        </is>
      </c>
      <c r="B143" s="1" t="n">
        <v>45607</v>
      </c>
      <c r="C143" s="1" t="n">
        <v>46075</v>
      </c>
      <c r="D143" t="inlineStr">
        <is>
          <t>VÄSTERBOTTENS LÄN</t>
        </is>
      </c>
      <c r="E143" t="inlineStr">
        <is>
          <t>BJURHOLM</t>
        </is>
      </c>
      <c r="G143" t="n">
        <v>6.1</v>
      </c>
      <c r="H143" t="n">
        <v>4</v>
      </c>
      <c r="I143" t="n">
        <v>3</v>
      </c>
      <c r="J143" t="n">
        <v>8</v>
      </c>
      <c r="K143" t="n">
        <v>0</v>
      </c>
      <c r="L143" t="n">
        <v>0</v>
      </c>
      <c r="M143" t="n">
        <v>0</v>
      </c>
      <c r="N143" t="n">
        <v>0</v>
      </c>
      <c r="O143" t="n">
        <v>8</v>
      </c>
      <c r="P143" t="n">
        <v>0</v>
      </c>
      <c r="Q143" t="n">
        <v>12</v>
      </c>
      <c r="R143" s="2" t="inlineStr">
        <is>
          <t>Gammelgransskål
Garnlav
Granticka
Lunglav
Spillkråka
Talltita
Tretåig hackspett
Ullticka
Bårdlav
Skör kvastmossa
Stuplav
Lavskrika</t>
        </is>
      </c>
      <c r="S143">
        <f>HYPERLINK("https://klasma.github.io/Logging_2403/artfynd/A 51874-2024 artfynd.xlsx", "A 51874-2024")</f>
        <v/>
      </c>
      <c r="T143">
        <f>HYPERLINK("https://klasma.github.io/Logging_2403/kartor/A 51874-2024 karta.png", "A 51874-2024")</f>
        <v/>
      </c>
      <c r="V143">
        <f>HYPERLINK("https://klasma.github.io/Logging_2403/klagomål/A 51874-2024 FSC-klagomål.docx", "A 51874-2024")</f>
        <v/>
      </c>
      <c r="W143">
        <f>HYPERLINK("https://klasma.github.io/Logging_2403/klagomålsmail/A 51874-2024 FSC-klagomål mail.docx", "A 51874-2024")</f>
        <v/>
      </c>
      <c r="X143">
        <f>HYPERLINK("https://klasma.github.io/Logging_2403/tillsyn/A 51874-2024 tillsynsbegäran.docx", "A 51874-2024")</f>
        <v/>
      </c>
      <c r="Y143">
        <f>HYPERLINK("https://klasma.github.io/Logging_2403/tillsynsmail/A 51874-2024 tillsynsbegäran mail.docx", "A 51874-2024")</f>
        <v/>
      </c>
      <c r="Z143">
        <f>HYPERLINK("https://klasma.github.io/Logging_2403/fåglar/A 51874-2024 prioriterade fågelarter.docx", "A 51874-2024")</f>
        <v/>
      </c>
    </row>
    <row r="144" ht="15" customHeight="1">
      <c r="A144" t="inlineStr">
        <is>
          <t>A 2991-2026</t>
        </is>
      </c>
      <c r="B144" s="1" t="n">
        <v>46038</v>
      </c>
      <c r="C144" s="1" t="n">
        <v>46075</v>
      </c>
      <c r="D144" t="inlineStr">
        <is>
          <t>VÄSTERBOTTENS LÄN</t>
        </is>
      </c>
      <c r="E144" t="inlineStr">
        <is>
          <t>UMEÅ</t>
        </is>
      </c>
      <c r="G144" t="n">
        <v>35.3</v>
      </c>
      <c r="H144" t="n">
        <v>2</v>
      </c>
      <c r="I144" t="n">
        <v>4</v>
      </c>
      <c r="J144" t="n">
        <v>5</v>
      </c>
      <c r="K144" t="n">
        <v>2</v>
      </c>
      <c r="L144" t="n">
        <v>0</v>
      </c>
      <c r="M144" t="n">
        <v>0</v>
      </c>
      <c r="N144" t="n">
        <v>0</v>
      </c>
      <c r="O144" t="n">
        <v>7</v>
      </c>
      <c r="P144" t="n">
        <v>2</v>
      </c>
      <c r="Q144" t="n">
        <v>12</v>
      </c>
      <c r="R144" s="2" t="inlineStr">
        <is>
          <t>Goliatmusseron
Smalfotad taggsvamp
Grantaggsvamp
Järpe
Motaggsvamp
Sandrottryffel
Talltaggsvamp
Dropptaggsvamp
Fjällig taggsvamp s.str.
Grovticka
Nästlav
Göktyta</t>
        </is>
      </c>
      <c r="S144">
        <f>HYPERLINK("https://klasma.github.io/Logging_2480/artfynd/A 2991-2026 artfynd.xlsx", "A 2991-2026")</f>
        <v/>
      </c>
      <c r="T144">
        <f>HYPERLINK("https://klasma.github.io/Logging_2480/kartor/A 2991-2026 karta.png", "A 2991-2026")</f>
        <v/>
      </c>
      <c r="V144">
        <f>HYPERLINK("https://klasma.github.io/Logging_2480/klagomål/A 2991-2026 FSC-klagomål.docx", "A 2991-2026")</f>
        <v/>
      </c>
      <c r="W144">
        <f>HYPERLINK("https://klasma.github.io/Logging_2480/klagomålsmail/A 2991-2026 FSC-klagomål mail.docx", "A 2991-2026")</f>
        <v/>
      </c>
      <c r="X144">
        <f>HYPERLINK("https://klasma.github.io/Logging_2480/tillsyn/A 2991-2026 tillsynsbegäran.docx", "A 2991-2026")</f>
        <v/>
      </c>
      <c r="Y144">
        <f>HYPERLINK("https://klasma.github.io/Logging_2480/tillsynsmail/A 2991-2026 tillsynsbegäran mail.docx", "A 2991-2026")</f>
        <v/>
      </c>
      <c r="Z144">
        <f>HYPERLINK("https://klasma.github.io/Logging_2480/fåglar/A 2991-2026 prioriterade fågelarter.docx", "A 2991-2026")</f>
        <v/>
      </c>
    </row>
    <row r="145" ht="15" customHeight="1">
      <c r="A145" t="inlineStr">
        <is>
          <t>A 61196-2022</t>
        </is>
      </c>
      <c r="B145" s="1" t="n">
        <v>44915</v>
      </c>
      <c r="C145" s="1" t="n">
        <v>46075</v>
      </c>
      <c r="D145" t="inlineStr">
        <is>
          <t>VÄSTERBOTTENS LÄN</t>
        </is>
      </c>
      <c r="E145" t="inlineStr">
        <is>
          <t>SKELLEFTEÅ</t>
        </is>
      </c>
      <c r="F145" t="inlineStr">
        <is>
          <t>Sveaskog</t>
        </is>
      </c>
      <c r="G145" t="n">
        <v>17.4</v>
      </c>
      <c r="H145" t="n">
        <v>3</v>
      </c>
      <c r="I145" t="n">
        <v>4</v>
      </c>
      <c r="J145" t="n">
        <v>6</v>
      </c>
      <c r="K145" t="n">
        <v>2</v>
      </c>
      <c r="L145" t="n">
        <v>0</v>
      </c>
      <c r="M145" t="n">
        <v>0</v>
      </c>
      <c r="N145" t="n">
        <v>0</v>
      </c>
      <c r="O145" t="n">
        <v>8</v>
      </c>
      <c r="P145" t="n">
        <v>2</v>
      </c>
      <c r="Q145" t="n">
        <v>12</v>
      </c>
      <c r="R145" s="2" t="inlineStr">
        <is>
          <t>Knärot
Rynkskinn
Garnlav
Granticka
Gränsticka
Lunglav
Spillkråka
Ullticka
Grönkulla
Mörk husmossa
Stuplav
Ögonpyrola</t>
        </is>
      </c>
      <c r="S145">
        <f>HYPERLINK("https://klasma.github.io/Logging_2482/artfynd/A 61196-2022 artfynd.xlsx", "A 61196-2022")</f>
        <v/>
      </c>
      <c r="T145">
        <f>HYPERLINK("https://klasma.github.io/Logging_2482/kartor/A 61196-2022 karta.png", "A 61196-2022")</f>
        <v/>
      </c>
      <c r="U145">
        <f>HYPERLINK("https://klasma.github.io/Logging_2482/knärot/A 61196-2022 karta knärot.png", "A 61196-2022")</f>
        <v/>
      </c>
      <c r="V145">
        <f>HYPERLINK("https://klasma.github.io/Logging_2482/klagomål/A 61196-2022 FSC-klagomål.docx", "A 61196-2022")</f>
        <v/>
      </c>
      <c r="W145">
        <f>HYPERLINK("https://klasma.github.io/Logging_2482/klagomålsmail/A 61196-2022 FSC-klagomål mail.docx", "A 61196-2022")</f>
        <v/>
      </c>
      <c r="X145">
        <f>HYPERLINK("https://klasma.github.io/Logging_2482/tillsyn/A 61196-2022 tillsynsbegäran.docx", "A 61196-2022")</f>
        <v/>
      </c>
      <c r="Y145">
        <f>HYPERLINK("https://klasma.github.io/Logging_2482/tillsynsmail/A 61196-2022 tillsynsbegäran mail.docx", "A 61196-2022")</f>
        <v/>
      </c>
      <c r="Z145">
        <f>HYPERLINK("https://klasma.github.io/Logging_2482/fåglar/A 61196-2022 prioriterade fågelarter.docx", "A 61196-2022")</f>
        <v/>
      </c>
    </row>
    <row r="146" ht="15" customHeight="1">
      <c r="A146" t="inlineStr">
        <is>
          <t>A 17180-2024</t>
        </is>
      </c>
      <c r="B146" s="1" t="n">
        <v>45412</v>
      </c>
      <c r="C146" s="1" t="n">
        <v>46075</v>
      </c>
      <c r="D146" t="inlineStr">
        <is>
          <t>VÄSTERBOTTENS LÄN</t>
        </is>
      </c>
      <c r="E146" t="inlineStr">
        <is>
          <t>DOROTEA</t>
        </is>
      </c>
      <c r="F146" t="inlineStr">
        <is>
          <t>SCA</t>
        </is>
      </c>
      <c r="G146" t="n">
        <v>5.6</v>
      </c>
      <c r="H146" t="n">
        <v>4</v>
      </c>
      <c r="I146" t="n">
        <v>4</v>
      </c>
      <c r="J146" t="n">
        <v>6</v>
      </c>
      <c r="K146" t="n">
        <v>1</v>
      </c>
      <c r="L146" t="n">
        <v>0</v>
      </c>
      <c r="M146" t="n">
        <v>0</v>
      </c>
      <c r="N146" t="n">
        <v>0</v>
      </c>
      <c r="O146" t="n">
        <v>7</v>
      </c>
      <c r="P146" t="n">
        <v>1</v>
      </c>
      <c r="Q146" t="n">
        <v>12</v>
      </c>
      <c r="R146" s="2" t="inlineStr">
        <is>
          <t>Knärot
Garnlav
Granticka
Harticka
Liten svartspik
Ullticka
Vitgrynig nållav
Guckusko
Kransrams
Luddlav
Spindelblomster
Fläcknycklar</t>
        </is>
      </c>
      <c r="S146">
        <f>HYPERLINK("https://klasma.github.io/Logging_2425/artfynd/A 17180-2024 artfynd.xlsx", "A 17180-2024")</f>
        <v/>
      </c>
      <c r="T146">
        <f>HYPERLINK("https://klasma.github.io/Logging_2425/kartor/A 17180-2024 karta.png", "A 17180-2024")</f>
        <v/>
      </c>
      <c r="U146">
        <f>HYPERLINK("https://klasma.github.io/Logging_2425/knärot/A 17180-2024 karta knärot.png", "A 17180-2024")</f>
        <v/>
      </c>
      <c r="V146">
        <f>HYPERLINK("https://klasma.github.io/Logging_2425/klagomål/A 17180-2024 FSC-klagomål.docx", "A 17180-2024")</f>
        <v/>
      </c>
      <c r="W146">
        <f>HYPERLINK("https://klasma.github.io/Logging_2425/klagomålsmail/A 17180-2024 FSC-klagomål mail.docx", "A 17180-2024")</f>
        <v/>
      </c>
      <c r="X146">
        <f>HYPERLINK("https://klasma.github.io/Logging_2425/tillsyn/A 17180-2024 tillsynsbegäran.docx", "A 17180-2024")</f>
        <v/>
      </c>
      <c r="Y146">
        <f>HYPERLINK("https://klasma.github.io/Logging_2425/tillsynsmail/A 17180-2024 tillsynsbegäran mail.docx", "A 17180-2024")</f>
        <v/>
      </c>
    </row>
    <row r="147" ht="15" customHeight="1">
      <c r="A147" t="inlineStr">
        <is>
          <t>A 19506-2025</t>
        </is>
      </c>
      <c r="B147" s="1" t="n">
        <v>45770</v>
      </c>
      <c r="C147" s="1" t="n">
        <v>46075</v>
      </c>
      <c r="D147" t="inlineStr">
        <is>
          <t>VÄSTERBOTTENS LÄN</t>
        </is>
      </c>
      <c r="E147" t="inlineStr">
        <is>
          <t>VILHELMINA</t>
        </is>
      </c>
      <c r="G147" t="n">
        <v>22.4</v>
      </c>
      <c r="H147" t="n">
        <v>2</v>
      </c>
      <c r="I147" t="n">
        <v>3</v>
      </c>
      <c r="J147" t="n">
        <v>8</v>
      </c>
      <c r="K147" t="n">
        <v>1</v>
      </c>
      <c r="L147" t="n">
        <v>0</v>
      </c>
      <c r="M147" t="n">
        <v>0</v>
      </c>
      <c r="N147" t="n">
        <v>0</v>
      </c>
      <c r="O147" t="n">
        <v>9</v>
      </c>
      <c r="P147" t="n">
        <v>1</v>
      </c>
      <c r="Q147" t="n">
        <v>12</v>
      </c>
      <c r="R147" s="2" t="inlineStr">
        <is>
          <t>Doftticka
Garnlav
Granticka
Gränsticka
Knottrig blåslav
Kolflarnlav
Rosenticka
Skrovellav
Tretåig hackspett
Blodticka
Norrlandslav
Trådticka</t>
        </is>
      </c>
      <c r="S147">
        <f>HYPERLINK("https://klasma.github.io/Logging_2462/artfynd/A 19506-2025 artfynd.xlsx", "A 19506-2025")</f>
        <v/>
      </c>
      <c r="T147">
        <f>HYPERLINK("https://klasma.github.io/Logging_2462/kartor/A 19506-2025 karta.png", "A 19506-2025")</f>
        <v/>
      </c>
      <c r="V147">
        <f>HYPERLINK("https://klasma.github.io/Logging_2462/klagomål/A 19506-2025 FSC-klagomål.docx", "A 19506-2025")</f>
        <v/>
      </c>
      <c r="W147">
        <f>HYPERLINK("https://klasma.github.io/Logging_2462/klagomålsmail/A 19506-2025 FSC-klagomål mail.docx", "A 19506-2025")</f>
        <v/>
      </c>
      <c r="X147">
        <f>HYPERLINK("https://klasma.github.io/Logging_2462/tillsyn/A 19506-2025 tillsynsbegäran.docx", "A 19506-2025")</f>
        <v/>
      </c>
      <c r="Y147">
        <f>HYPERLINK("https://klasma.github.io/Logging_2462/tillsynsmail/A 19506-2025 tillsynsbegäran mail.docx", "A 19506-2025")</f>
        <v/>
      </c>
      <c r="Z147">
        <f>HYPERLINK("https://klasma.github.io/Logging_2462/fåglar/A 19506-2025 prioriterade fågelarter.docx", "A 19506-2025")</f>
        <v/>
      </c>
    </row>
    <row r="148" ht="15" customHeight="1">
      <c r="A148" t="inlineStr">
        <is>
          <t>A 40113-2023</t>
        </is>
      </c>
      <c r="B148" s="1" t="n">
        <v>45168</v>
      </c>
      <c r="C148" s="1" t="n">
        <v>46075</v>
      </c>
      <c r="D148" t="inlineStr">
        <is>
          <t>VÄSTERBOTTENS LÄN</t>
        </is>
      </c>
      <c r="E148" t="inlineStr">
        <is>
          <t>NORDMALING</t>
        </is>
      </c>
      <c r="F148" t="inlineStr">
        <is>
          <t>SCA</t>
        </is>
      </c>
      <c r="G148" t="n">
        <v>6.1</v>
      </c>
      <c r="H148" t="n">
        <v>3</v>
      </c>
      <c r="I148" t="n">
        <v>2</v>
      </c>
      <c r="J148" t="n">
        <v>7</v>
      </c>
      <c r="K148" t="n">
        <v>2</v>
      </c>
      <c r="L148" t="n">
        <v>0</v>
      </c>
      <c r="M148" t="n">
        <v>0</v>
      </c>
      <c r="N148" t="n">
        <v>0</v>
      </c>
      <c r="O148" t="n">
        <v>9</v>
      </c>
      <c r="P148" t="n">
        <v>2</v>
      </c>
      <c r="Q148" t="n">
        <v>12</v>
      </c>
      <c r="R148" s="2" t="inlineStr">
        <is>
          <t>Knärot
Rynkskinn
Garnlav
Granticka
Leptoporus mollis
Lunglav
Rosenticka
Spillkråka
Ullticka
Bårdlav
Vedticka
Tjäder</t>
        </is>
      </c>
      <c r="S148">
        <f>HYPERLINK("https://klasma.github.io/Logging_2401/artfynd/A 40113-2023 artfynd.xlsx", "A 40113-2023")</f>
        <v/>
      </c>
      <c r="T148">
        <f>HYPERLINK("https://klasma.github.io/Logging_2401/kartor/A 40113-2023 karta.png", "A 40113-2023")</f>
        <v/>
      </c>
      <c r="U148">
        <f>HYPERLINK("https://klasma.github.io/Logging_2401/knärot/A 40113-2023 karta knärot.png", "A 40113-2023")</f>
        <v/>
      </c>
      <c r="V148">
        <f>HYPERLINK("https://klasma.github.io/Logging_2401/klagomål/A 40113-2023 FSC-klagomål.docx", "A 40113-2023")</f>
        <v/>
      </c>
      <c r="W148">
        <f>HYPERLINK("https://klasma.github.io/Logging_2401/klagomålsmail/A 40113-2023 FSC-klagomål mail.docx", "A 40113-2023")</f>
        <v/>
      </c>
      <c r="X148">
        <f>HYPERLINK("https://klasma.github.io/Logging_2401/tillsyn/A 40113-2023 tillsynsbegäran.docx", "A 40113-2023")</f>
        <v/>
      </c>
      <c r="Y148">
        <f>HYPERLINK("https://klasma.github.io/Logging_2401/tillsynsmail/A 40113-2023 tillsynsbegäran mail.docx", "A 40113-2023")</f>
        <v/>
      </c>
      <c r="Z148">
        <f>HYPERLINK("https://klasma.github.io/Logging_2401/fåglar/A 40113-2023 prioriterade fågelarter.docx", "A 40113-2023")</f>
        <v/>
      </c>
    </row>
    <row r="149" ht="15" customHeight="1">
      <c r="A149" t="inlineStr">
        <is>
          <t>A 65389-2021</t>
        </is>
      </c>
      <c r="B149" s="1" t="n">
        <v>44515</v>
      </c>
      <c r="C149" s="1" t="n">
        <v>46075</v>
      </c>
      <c r="D149" t="inlineStr">
        <is>
          <t>VÄSTERBOTTENS LÄN</t>
        </is>
      </c>
      <c r="E149" t="inlineStr">
        <is>
          <t>VINDELN</t>
        </is>
      </c>
      <c r="F149" t="inlineStr">
        <is>
          <t>Sveaskog</t>
        </is>
      </c>
      <c r="G149" t="n">
        <v>3.3</v>
      </c>
      <c r="H149" t="n">
        <v>1</v>
      </c>
      <c r="I149" t="n">
        <v>1</v>
      </c>
      <c r="J149" t="n">
        <v>10</v>
      </c>
      <c r="K149" t="n">
        <v>0</v>
      </c>
      <c r="L149" t="n">
        <v>0</v>
      </c>
      <c r="M149" t="n">
        <v>0</v>
      </c>
      <c r="N149" t="n">
        <v>0</v>
      </c>
      <c r="O149" t="n">
        <v>10</v>
      </c>
      <c r="P149" t="n">
        <v>0</v>
      </c>
      <c r="Q149" t="n">
        <v>11</v>
      </c>
      <c r="R149" s="2" t="inlineStr">
        <is>
          <t>Dvärgbägarlav
Garnlav
Kolflarnlav
Motaggsvamp
Mörk kolflarnlav
Reliktbock
Talltaggsvamp
Talltita
Vaddporing
Vedskivlav
Dropptaggsvamp</t>
        </is>
      </c>
      <c r="S149">
        <f>HYPERLINK("https://klasma.github.io/Logging_2404/artfynd/A 65389-2021 artfynd.xlsx", "A 65389-2021")</f>
        <v/>
      </c>
      <c r="T149">
        <f>HYPERLINK("https://klasma.github.io/Logging_2404/kartor/A 65389-2021 karta.png", "A 65389-2021")</f>
        <v/>
      </c>
      <c r="V149">
        <f>HYPERLINK("https://klasma.github.io/Logging_2404/klagomål/A 65389-2021 FSC-klagomål.docx", "A 65389-2021")</f>
        <v/>
      </c>
      <c r="W149">
        <f>HYPERLINK("https://klasma.github.io/Logging_2404/klagomålsmail/A 65389-2021 FSC-klagomål mail.docx", "A 65389-2021")</f>
        <v/>
      </c>
      <c r="X149">
        <f>HYPERLINK("https://klasma.github.io/Logging_2404/tillsyn/A 65389-2021 tillsynsbegäran.docx", "A 65389-2021")</f>
        <v/>
      </c>
      <c r="Y149">
        <f>HYPERLINK("https://klasma.github.io/Logging_2404/tillsynsmail/A 65389-2021 tillsynsbegäran mail.docx", "A 65389-2021")</f>
        <v/>
      </c>
      <c r="Z149">
        <f>HYPERLINK("https://klasma.github.io/Logging_2404/fåglar/A 65389-2021 prioriterade fågelarter.docx", "A 65389-2021")</f>
        <v/>
      </c>
    </row>
    <row r="150" ht="15" customHeight="1">
      <c r="A150" t="inlineStr">
        <is>
          <t>A 33295-2022</t>
        </is>
      </c>
      <c r="B150" s="1" t="n">
        <v>44788.37464120371</v>
      </c>
      <c r="C150" s="1" t="n">
        <v>46075</v>
      </c>
      <c r="D150" t="inlineStr">
        <is>
          <t>VÄSTERBOTTENS LÄN</t>
        </is>
      </c>
      <c r="E150" t="inlineStr">
        <is>
          <t>VINDELN</t>
        </is>
      </c>
      <c r="F150" t="inlineStr">
        <is>
          <t>Holmen skog AB</t>
        </is>
      </c>
      <c r="G150" t="n">
        <v>12.7</v>
      </c>
      <c r="H150" t="n">
        <v>0</v>
      </c>
      <c r="I150" t="n">
        <v>0</v>
      </c>
      <c r="J150" t="n">
        <v>8</v>
      </c>
      <c r="K150" t="n">
        <v>3</v>
      </c>
      <c r="L150" t="n">
        <v>0</v>
      </c>
      <c r="M150" t="n">
        <v>0</v>
      </c>
      <c r="N150" t="n">
        <v>0</v>
      </c>
      <c r="O150" t="n">
        <v>11</v>
      </c>
      <c r="P150" t="n">
        <v>3</v>
      </c>
      <c r="Q150" t="n">
        <v>11</v>
      </c>
      <c r="R150" s="2" t="inlineStr">
        <is>
          <t>Fläckporing
Goliatmusseron
Smalfotad taggsvamp
Blanksvart spiklav
Blå taggsvamp
Blågrå svartspik
Nordtagging
Orange taggsvamp
Skrovlig taggsvamp
Talltaggsvamp
Vaddporing</t>
        </is>
      </c>
      <c r="S150">
        <f>HYPERLINK("https://klasma.github.io/Logging_2404/artfynd/A 33295-2022 artfynd.xlsx", "A 33295-2022")</f>
        <v/>
      </c>
      <c r="T150">
        <f>HYPERLINK("https://klasma.github.io/Logging_2404/kartor/A 33295-2022 karta.png", "A 33295-2022")</f>
        <v/>
      </c>
      <c r="V150">
        <f>HYPERLINK("https://klasma.github.io/Logging_2404/klagomål/A 33295-2022 FSC-klagomål.docx", "A 33295-2022")</f>
        <v/>
      </c>
      <c r="W150">
        <f>HYPERLINK("https://klasma.github.io/Logging_2404/klagomålsmail/A 33295-2022 FSC-klagomål mail.docx", "A 33295-2022")</f>
        <v/>
      </c>
      <c r="X150">
        <f>HYPERLINK("https://klasma.github.io/Logging_2404/tillsyn/A 33295-2022 tillsynsbegäran.docx", "A 33295-2022")</f>
        <v/>
      </c>
      <c r="Y150">
        <f>HYPERLINK("https://klasma.github.io/Logging_2404/tillsynsmail/A 33295-2022 tillsynsbegäran mail.docx", "A 33295-2022")</f>
        <v/>
      </c>
    </row>
    <row r="151" ht="15" customHeight="1">
      <c r="A151" t="inlineStr">
        <is>
          <t>A 42025-2024</t>
        </is>
      </c>
      <c r="B151" s="1" t="n">
        <v>45561.72197916666</v>
      </c>
      <c r="C151" s="1" t="n">
        <v>46075</v>
      </c>
      <c r="D151" t="inlineStr">
        <is>
          <t>VÄSTERBOTTENS LÄN</t>
        </is>
      </c>
      <c r="E151" t="inlineStr">
        <is>
          <t>UMEÅ</t>
        </is>
      </c>
      <c r="F151" t="inlineStr">
        <is>
          <t>Kommuner</t>
        </is>
      </c>
      <c r="G151" t="n">
        <v>9</v>
      </c>
      <c r="H151" t="n">
        <v>1</v>
      </c>
      <c r="I151" t="n">
        <v>0</v>
      </c>
      <c r="J151" t="n">
        <v>8</v>
      </c>
      <c r="K151" t="n">
        <v>3</v>
      </c>
      <c r="L151" t="n">
        <v>0</v>
      </c>
      <c r="M151" t="n">
        <v>0</v>
      </c>
      <c r="N151" t="n">
        <v>0</v>
      </c>
      <c r="O151" t="n">
        <v>11</v>
      </c>
      <c r="P151" t="n">
        <v>3</v>
      </c>
      <c r="Q151" t="n">
        <v>11</v>
      </c>
      <c r="R151" s="2" t="inlineStr">
        <is>
          <t>Goliatmusseron
Spadskinn
Torrmusseron
Blå taggsvamp
Mjölsvärting
Motaggsvamp
Orange taggsvamp
Svart taggsvamp
Svartvit taggsvamp
Talltaggsvamp
Talltita</t>
        </is>
      </c>
      <c r="S151">
        <f>HYPERLINK("https://klasma.github.io/Logging_2480/artfynd/A 42025-2024 artfynd.xlsx", "A 42025-2024")</f>
        <v/>
      </c>
      <c r="T151">
        <f>HYPERLINK("https://klasma.github.io/Logging_2480/kartor/A 42025-2024 karta.png", "A 42025-2024")</f>
        <v/>
      </c>
      <c r="V151">
        <f>HYPERLINK("https://klasma.github.io/Logging_2480/klagomål/A 42025-2024 FSC-klagomål.docx", "A 42025-2024")</f>
        <v/>
      </c>
      <c r="W151">
        <f>HYPERLINK("https://klasma.github.io/Logging_2480/klagomålsmail/A 42025-2024 FSC-klagomål mail.docx", "A 42025-2024")</f>
        <v/>
      </c>
      <c r="X151">
        <f>HYPERLINK("https://klasma.github.io/Logging_2480/tillsyn/A 42025-2024 tillsynsbegäran.docx", "A 42025-2024")</f>
        <v/>
      </c>
      <c r="Y151">
        <f>HYPERLINK("https://klasma.github.io/Logging_2480/tillsynsmail/A 42025-2024 tillsynsbegäran mail.docx", "A 42025-2024")</f>
        <v/>
      </c>
      <c r="Z151">
        <f>HYPERLINK("https://klasma.github.io/Logging_2480/fåglar/A 42025-2024 prioriterade fågelarter.docx", "A 42025-2024")</f>
        <v/>
      </c>
    </row>
    <row r="152" ht="15" customHeight="1">
      <c r="A152" t="inlineStr">
        <is>
          <t>A 40718-2025</t>
        </is>
      </c>
      <c r="B152" s="1" t="n">
        <v>45897.34474537037</v>
      </c>
      <c r="C152" s="1" t="n">
        <v>46075</v>
      </c>
      <c r="D152" t="inlineStr">
        <is>
          <t>VÄSTERBOTTENS LÄN</t>
        </is>
      </c>
      <c r="E152" t="inlineStr">
        <is>
          <t>NORSJÖ</t>
        </is>
      </c>
      <c r="G152" t="n">
        <v>3.3</v>
      </c>
      <c r="H152" t="n">
        <v>4</v>
      </c>
      <c r="I152" t="n">
        <v>3</v>
      </c>
      <c r="J152" t="n">
        <v>7</v>
      </c>
      <c r="K152" t="n">
        <v>0</v>
      </c>
      <c r="L152" t="n">
        <v>0</v>
      </c>
      <c r="M152" t="n">
        <v>0</v>
      </c>
      <c r="N152" t="n">
        <v>0</v>
      </c>
      <c r="O152" t="n">
        <v>7</v>
      </c>
      <c r="P152" t="n">
        <v>0</v>
      </c>
      <c r="Q152" t="n">
        <v>11</v>
      </c>
      <c r="R152" s="2" t="inlineStr">
        <is>
          <t>Gammelgransskål
Garnlav
Granticka
Rosenticka
Spillkråka
Tretåig hackspett
Ullticka
Bårdlav
Plattlummer
Stuplav
Revlummer</t>
        </is>
      </c>
      <c r="S152">
        <f>HYPERLINK("https://klasma.github.io/Logging_2417/artfynd/A 40718-2025 artfynd.xlsx", "A 40718-2025")</f>
        <v/>
      </c>
      <c r="T152">
        <f>HYPERLINK("https://klasma.github.io/Logging_2417/kartor/A 40718-2025 karta.png", "A 40718-2025")</f>
        <v/>
      </c>
      <c r="V152">
        <f>HYPERLINK("https://klasma.github.io/Logging_2417/klagomål/A 40718-2025 FSC-klagomål.docx", "A 40718-2025")</f>
        <v/>
      </c>
      <c r="W152">
        <f>HYPERLINK("https://klasma.github.io/Logging_2417/klagomålsmail/A 40718-2025 FSC-klagomål mail.docx", "A 40718-2025")</f>
        <v/>
      </c>
      <c r="X152">
        <f>HYPERLINK("https://klasma.github.io/Logging_2417/tillsyn/A 40718-2025 tillsynsbegäran.docx", "A 40718-2025")</f>
        <v/>
      </c>
      <c r="Y152">
        <f>HYPERLINK("https://klasma.github.io/Logging_2417/tillsynsmail/A 40718-2025 tillsynsbegäran mail.docx", "A 40718-2025")</f>
        <v/>
      </c>
      <c r="Z152">
        <f>HYPERLINK("https://klasma.github.io/Logging_2417/fåglar/A 40718-2025 prioriterade fågelarter.docx", "A 40718-2025")</f>
        <v/>
      </c>
    </row>
    <row r="153" ht="15" customHeight="1">
      <c r="A153" t="inlineStr">
        <is>
          <t>A 9162-2024</t>
        </is>
      </c>
      <c r="B153" s="1" t="n">
        <v>45358</v>
      </c>
      <c r="C153" s="1" t="n">
        <v>46075</v>
      </c>
      <c r="D153" t="inlineStr">
        <is>
          <t>VÄSTERBOTTENS LÄN</t>
        </is>
      </c>
      <c r="E153" t="inlineStr">
        <is>
          <t>SKELLEFTEÅ</t>
        </is>
      </c>
      <c r="G153" t="n">
        <v>19.7</v>
      </c>
      <c r="H153" t="n">
        <v>3</v>
      </c>
      <c r="I153" t="n">
        <v>1</v>
      </c>
      <c r="J153" t="n">
        <v>8</v>
      </c>
      <c r="K153" t="n">
        <v>2</v>
      </c>
      <c r="L153" t="n">
        <v>0</v>
      </c>
      <c r="M153" t="n">
        <v>0</v>
      </c>
      <c r="N153" t="n">
        <v>0</v>
      </c>
      <c r="O153" t="n">
        <v>10</v>
      </c>
      <c r="P153" t="n">
        <v>2</v>
      </c>
      <c r="Q153" t="n">
        <v>11</v>
      </c>
      <c r="R153" s="2" t="inlineStr">
        <is>
          <t>Knärot
Ulltickeporing
Gammelgransskål
Garnlav
Granticka
Spillkråka
Tallriska
Tretåig hackspett
Ullticka
Violettgrå tagellav
Vedticka</t>
        </is>
      </c>
      <c r="S153">
        <f>HYPERLINK("https://klasma.github.io/Logging_2482/artfynd/A 9162-2024 artfynd.xlsx", "A 9162-2024")</f>
        <v/>
      </c>
      <c r="T153">
        <f>HYPERLINK("https://klasma.github.io/Logging_2482/kartor/A 9162-2024 karta.png", "A 9162-2024")</f>
        <v/>
      </c>
      <c r="U153">
        <f>HYPERLINK("https://klasma.github.io/Logging_2482/knärot/A 9162-2024 karta knärot.png", "A 9162-2024")</f>
        <v/>
      </c>
      <c r="V153">
        <f>HYPERLINK("https://klasma.github.io/Logging_2482/klagomål/A 9162-2024 FSC-klagomål.docx", "A 9162-2024")</f>
        <v/>
      </c>
      <c r="W153">
        <f>HYPERLINK("https://klasma.github.io/Logging_2482/klagomålsmail/A 9162-2024 FSC-klagomål mail.docx", "A 9162-2024")</f>
        <v/>
      </c>
      <c r="X153">
        <f>HYPERLINK("https://klasma.github.io/Logging_2482/tillsyn/A 9162-2024 tillsynsbegäran.docx", "A 9162-2024")</f>
        <v/>
      </c>
      <c r="Y153">
        <f>HYPERLINK("https://klasma.github.io/Logging_2482/tillsynsmail/A 9162-2024 tillsynsbegäran mail.docx", "A 9162-2024")</f>
        <v/>
      </c>
      <c r="Z153">
        <f>HYPERLINK("https://klasma.github.io/Logging_2482/fåglar/A 9162-2024 prioriterade fågelarter.docx", "A 9162-2024")</f>
        <v/>
      </c>
    </row>
    <row r="154" ht="15" customHeight="1">
      <c r="A154" t="inlineStr">
        <is>
          <t>A 48369-2023</t>
        </is>
      </c>
      <c r="B154" s="1" t="n">
        <v>45201</v>
      </c>
      <c r="C154" s="1" t="n">
        <v>46075</v>
      </c>
      <c r="D154" t="inlineStr">
        <is>
          <t>VÄSTERBOTTENS LÄN</t>
        </is>
      </c>
      <c r="E154" t="inlineStr">
        <is>
          <t>ÅSELE</t>
        </is>
      </c>
      <c r="G154" t="n">
        <v>2.4</v>
      </c>
      <c r="H154" t="n">
        <v>4</v>
      </c>
      <c r="I154" t="n">
        <v>2</v>
      </c>
      <c r="J154" t="n">
        <v>8</v>
      </c>
      <c r="K154" t="n">
        <v>0</v>
      </c>
      <c r="L154" t="n">
        <v>0</v>
      </c>
      <c r="M154" t="n">
        <v>0</v>
      </c>
      <c r="N154" t="n">
        <v>0</v>
      </c>
      <c r="O154" t="n">
        <v>8</v>
      </c>
      <c r="P154" t="n">
        <v>0</v>
      </c>
      <c r="Q154" t="n">
        <v>11</v>
      </c>
      <c r="R154" s="2" t="inlineStr">
        <is>
          <t>Doftskinn
Gammelgransskål
Garnlav
Granticka
Spillkråka
Talltita
Tretåig hackspett
Äggvaxskivling
Stuplav
Vedticka
Kungsfågel</t>
        </is>
      </c>
      <c r="S154">
        <f>HYPERLINK("https://klasma.github.io/Logging_2463/artfynd/A 48369-2023 artfynd.xlsx", "A 48369-2023")</f>
        <v/>
      </c>
      <c r="T154">
        <f>HYPERLINK("https://klasma.github.io/Logging_2463/kartor/A 48369-2023 karta.png", "A 48369-2023")</f>
        <v/>
      </c>
      <c r="V154">
        <f>HYPERLINK("https://klasma.github.io/Logging_2463/klagomål/A 48369-2023 FSC-klagomål.docx", "A 48369-2023")</f>
        <v/>
      </c>
      <c r="W154">
        <f>HYPERLINK("https://klasma.github.io/Logging_2463/klagomålsmail/A 48369-2023 FSC-klagomål mail.docx", "A 48369-2023")</f>
        <v/>
      </c>
      <c r="X154">
        <f>HYPERLINK("https://klasma.github.io/Logging_2463/tillsyn/A 48369-2023 tillsynsbegäran.docx", "A 48369-2023")</f>
        <v/>
      </c>
      <c r="Y154">
        <f>HYPERLINK("https://klasma.github.io/Logging_2463/tillsynsmail/A 48369-2023 tillsynsbegäran mail.docx", "A 48369-2023")</f>
        <v/>
      </c>
      <c r="Z154">
        <f>HYPERLINK("https://klasma.github.io/Logging_2463/fåglar/A 48369-2023 prioriterade fågelarter.docx", "A 48369-2023")</f>
        <v/>
      </c>
    </row>
    <row r="155" ht="15" customHeight="1">
      <c r="A155" t="inlineStr">
        <is>
          <t>A 14810-2023</t>
        </is>
      </c>
      <c r="B155" s="1" t="n">
        <v>45013</v>
      </c>
      <c r="C155" s="1" t="n">
        <v>46075</v>
      </c>
      <c r="D155" t="inlineStr">
        <is>
          <t>VÄSTERBOTTENS LÄN</t>
        </is>
      </c>
      <c r="E155" t="inlineStr">
        <is>
          <t>STORUMAN</t>
        </is>
      </c>
      <c r="G155" t="n">
        <v>13.9</v>
      </c>
      <c r="H155" t="n">
        <v>0</v>
      </c>
      <c r="I155" t="n">
        <v>1</v>
      </c>
      <c r="J155" t="n">
        <v>10</v>
      </c>
      <c r="K155" t="n">
        <v>0</v>
      </c>
      <c r="L155" t="n">
        <v>0</v>
      </c>
      <c r="M155" t="n">
        <v>0</v>
      </c>
      <c r="N155" t="n">
        <v>0</v>
      </c>
      <c r="O155" t="n">
        <v>10</v>
      </c>
      <c r="P155" t="n">
        <v>0</v>
      </c>
      <c r="Q155" t="n">
        <v>11</v>
      </c>
      <c r="R155" s="2" t="inlineStr">
        <is>
          <t>Brunpudrad nållav
Gammelgransskål
Garnlav
Granticka
Gränsticka
Harticka
Knottrig blåslav
Rödbrun blekspik
Skrovellav
Ullticka
Stuplav</t>
        </is>
      </c>
      <c r="S155">
        <f>HYPERLINK("https://klasma.github.io/Logging_2421/artfynd/A 14810-2023 artfynd.xlsx", "A 14810-2023")</f>
        <v/>
      </c>
      <c r="T155">
        <f>HYPERLINK("https://klasma.github.io/Logging_2421/kartor/A 14810-2023 karta.png", "A 14810-2023")</f>
        <v/>
      </c>
      <c r="V155">
        <f>HYPERLINK("https://klasma.github.io/Logging_2421/klagomål/A 14810-2023 FSC-klagomål.docx", "A 14810-2023")</f>
        <v/>
      </c>
      <c r="W155">
        <f>HYPERLINK("https://klasma.github.io/Logging_2421/klagomålsmail/A 14810-2023 FSC-klagomål mail.docx", "A 14810-2023")</f>
        <v/>
      </c>
      <c r="X155">
        <f>HYPERLINK("https://klasma.github.io/Logging_2421/tillsyn/A 14810-2023 tillsynsbegäran.docx", "A 14810-2023")</f>
        <v/>
      </c>
      <c r="Y155">
        <f>HYPERLINK("https://klasma.github.io/Logging_2421/tillsynsmail/A 14810-2023 tillsynsbegäran mail.docx", "A 14810-2023")</f>
        <v/>
      </c>
    </row>
    <row r="156" ht="15" customHeight="1">
      <c r="A156" t="inlineStr">
        <is>
          <t>A 36480-2025</t>
        </is>
      </c>
      <c r="B156" s="1" t="n">
        <v>45869.49547453703</v>
      </c>
      <c r="C156" s="1" t="n">
        <v>46075</v>
      </c>
      <c r="D156" t="inlineStr">
        <is>
          <t>VÄSTERBOTTENS LÄN</t>
        </is>
      </c>
      <c r="E156" t="inlineStr">
        <is>
          <t>SKELLEFTEÅ</t>
        </is>
      </c>
      <c r="F156" t="inlineStr">
        <is>
          <t>Holmen skog AB</t>
        </is>
      </c>
      <c r="G156" t="n">
        <v>6.2</v>
      </c>
      <c r="H156" t="n">
        <v>5</v>
      </c>
      <c r="I156" t="n">
        <v>1</v>
      </c>
      <c r="J156" t="n">
        <v>7</v>
      </c>
      <c r="K156" t="n">
        <v>2</v>
      </c>
      <c r="L156" t="n">
        <v>1</v>
      </c>
      <c r="M156" t="n">
        <v>0</v>
      </c>
      <c r="N156" t="n">
        <v>0</v>
      </c>
      <c r="O156" t="n">
        <v>10</v>
      </c>
      <c r="P156" t="n">
        <v>3</v>
      </c>
      <c r="Q156" t="n">
        <v>11</v>
      </c>
      <c r="R156" s="2" t="inlineStr">
        <is>
          <t>Tornseglare
Knärot
Ulltickeporing
Garnlav
Leptoporus mollis
Spillkråka
Stjärntagging
Talltita
Tretåig hackspett
Ullticka
Skinnlav</t>
        </is>
      </c>
      <c r="S156">
        <f>HYPERLINK("https://klasma.github.io/Logging_2482/artfynd/A 36480-2025 artfynd.xlsx", "A 36480-2025")</f>
        <v/>
      </c>
      <c r="T156">
        <f>HYPERLINK("https://klasma.github.io/Logging_2482/kartor/A 36480-2025 karta.png", "A 36480-2025")</f>
        <v/>
      </c>
      <c r="U156">
        <f>HYPERLINK("https://klasma.github.io/Logging_2482/knärot/A 36480-2025 karta knärot.png", "A 36480-2025")</f>
        <v/>
      </c>
      <c r="V156">
        <f>HYPERLINK("https://klasma.github.io/Logging_2482/klagomål/A 36480-2025 FSC-klagomål.docx", "A 36480-2025")</f>
        <v/>
      </c>
      <c r="W156">
        <f>HYPERLINK("https://klasma.github.io/Logging_2482/klagomålsmail/A 36480-2025 FSC-klagomål mail.docx", "A 36480-2025")</f>
        <v/>
      </c>
      <c r="X156">
        <f>HYPERLINK("https://klasma.github.io/Logging_2482/tillsyn/A 36480-2025 tillsynsbegäran.docx", "A 36480-2025")</f>
        <v/>
      </c>
      <c r="Y156">
        <f>HYPERLINK("https://klasma.github.io/Logging_2482/tillsynsmail/A 36480-2025 tillsynsbegäran mail.docx", "A 36480-2025")</f>
        <v/>
      </c>
      <c r="Z156">
        <f>HYPERLINK("https://klasma.github.io/Logging_2482/fåglar/A 36480-2025 prioriterade fågelarter.docx", "A 36480-2025")</f>
        <v/>
      </c>
    </row>
    <row r="157" ht="15" customHeight="1">
      <c r="A157" t="inlineStr">
        <is>
          <t>A 20608-2023</t>
        </is>
      </c>
      <c r="B157" s="1" t="n">
        <v>45057</v>
      </c>
      <c r="C157" s="1" t="n">
        <v>46075</v>
      </c>
      <c r="D157" t="inlineStr">
        <is>
          <t>VÄSTERBOTTENS LÄN</t>
        </is>
      </c>
      <c r="E157" t="inlineStr">
        <is>
          <t>BJURHOLM</t>
        </is>
      </c>
      <c r="F157" t="inlineStr">
        <is>
          <t>SCA</t>
        </is>
      </c>
      <c r="G157" t="n">
        <v>10.5</v>
      </c>
      <c r="H157" t="n">
        <v>0</v>
      </c>
      <c r="I157" t="n">
        <v>1</v>
      </c>
      <c r="J157" t="n">
        <v>9</v>
      </c>
      <c r="K157" t="n">
        <v>1</v>
      </c>
      <c r="L157" t="n">
        <v>0</v>
      </c>
      <c r="M157" t="n">
        <v>0</v>
      </c>
      <c r="N157" t="n">
        <v>0</v>
      </c>
      <c r="O157" t="n">
        <v>10</v>
      </c>
      <c r="P157" t="n">
        <v>1</v>
      </c>
      <c r="Q157" t="n">
        <v>11</v>
      </c>
      <c r="R157" s="2" t="inlineStr">
        <is>
          <t>Goliatmusseron
Blå taggsvamp
Garnlav
Kolflarnlav
Kortskaftad ärgspik
Orange taggsvamp
Skrovlig taggsvamp
Svart taggsvamp
Vaddporing
Vedskivlav
Dropptaggsvamp</t>
        </is>
      </c>
      <c r="S157">
        <f>HYPERLINK("https://klasma.github.io/Logging_2403/artfynd/A 20608-2023 artfynd.xlsx", "A 20608-2023")</f>
        <v/>
      </c>
      <c r="T157">
        <f>HYPERLINK("https://klasma.github.io/Logging_2403/kartor/A 20608-2023 karta.png", "A 20608-2023")</f>
        <v/>
      </c>
      <c r="V157">
        <f>HYPERLINK("https://klasma.github.io/Logging_2403/klagomål/A 20608-2023 FSC-klagomål.docx", "A 20608-2023")</f>
        <v/>
      </c>
      <c r="W157">
        <f>HYPERLINK("https://klasma.github.io/Logging_2403/klagomålsmail/A 20608-2023 FSC-klagomål mail.docx", "A 20608-2023")</f>
        <v/>
      </c>
      <c r="X157">
        <f>HYPERLINK("https://klasma.github.io/Logging_2403/tillsyn/A 20608-2023 tillsynsbegäran.docx", "A 20608-2023")</f>
        <v/>
      </c>
      <c r="Y157">
        <f>HYPERLINK("https://klasma.github.io/Logging_2403/tillsynsmail/A 20608-2023 tillsynsbegäran mail.docx", "A 20608-2023")</f>
        <v/>
      </c>
    </row>
    <row r="158" ht="15" customHeight="1">
      <c r="A158" t="inlineStr">
        <is>
          <t>A 1339-2025</t>
        </is>
      </c>
      <c r="B158" s="1" t="n">
        <v>45667</v>
      </c>
      <c r="C158" s="1" t="n">
        <v>46075</v>
      </c>
      <c r="D158" t="inlineStr">
        <is>
          <t>VÄSTERBOTTENS LÄN</t>
        </is>
      </c>
      <c r="E158" t="inlineStr">
        <is>
          <t>SORSELE</t>
        </is>
      </c>
      <c r="G158" t="n">
        <v>22.3</v>
      </c>
      <c r="H158" t="n">
        <v>0</v>
      </c>
      <c r="I158" t="n">
        <v>0</v>
      </c>
      <c r="J158" t="n">
        <v>10</v>
      </c>
      <c r="K158" t="n">
        <v>1</v>
      </c>
      <c r="L158" t="n">
        <v>0</v>
      </c>
      <c r="M158" t="n">
        <v>0</v>
      </c>
      <c r="N158" t="n">
        <v>0</v>
      </c>
      <c r="O158" t="n">
        <v>11</v>
      </c>
      <c r="P158" t="n">
        <v>1</v>
      </c>
      <c r="Q158" t="n">
        <v>11</v>
      </c>
      <c r="R158" s="2" t="inlineStr">
        <is>
          <t>Tajgaskinn
Garnlav
Granticka
Harticka
Knottrig blåslav
Kolflarnlav
Nordtagging
Rosenticka
Vedskivlav
Violmussling
Vitgrynig nållav</t>
        </is>
      </c>
      <c r="S158">
        <f>HYPERLINK("https://klasma.github.io/Logging_2422/artfynd/A 1339-2025 artfynd.xlsx", "A 1339-2025")</f>
        <v/>
      </c>
      <c r="T158">
        <f>HYPERLINK("https://klasma.github.io/Logging_2422/kartor/A 1339-2025 karta.png", "A 1339-2025")</f>
        <v/>
      </c>
      <c r="V158">
        <f>HYPERLINK("https://klasma.github.io/Logging_2422/klagomål/A 1339-2025 FSC-klagomål.docx", "A 1339-2025")</f>
        <v/>
      </c>
      <c r="W158">
        <f>HYPERLINK("https://klasma.github.io/Logging_2422/klagomålsmail/A 1339-2025 FSC-klagomål mail.docx", "A 1339-2025")</f>
        <v/>
      </c>
      <c r="X158">
        <f>HYPERLINK("https://klasma.github.io/Logging_2422/tillsyn/A 1339-2025 tillsynsbegäran.docx", "A 1339-2025")</f>
        <v/>
      </c>
      <c r="Y158">
        <f>HYPERLINK("https://klasma.github.io/Logging_2422/tillsynsmail/A 1339-2025 tillsynsbegäran mail.docx", "A 1339-2025")</f>
        <v/>
      </c>
    </row>
    <row r="159" ht="15" customHeight="1">
      <c r="A159" t="inlineStr">
        <is>
          <t>A 49141-2023</t>
        </is>
      </c>
      <c r="B159" s="1" t="n">
        <v>45205</v>
      </c>
      <c r="C159" s="1" t="n">
        <v>46075</v>
      </c>
      <c r="D159" t="inlineStr">
        <is>
          <t>VÄSTERBOTTENS LÄN</t>
        </is>
      </c>
      <c r="E159" t="inlineStr">
        <is>
          <t>VILHELMINA</t>
        </is>
      </c>
      <c r="F159" t="inlineStr">
        <is>
          <t>Allmännings- och besparingsskogar</t>
        </is>
      </c>
      <c r="G159" t="n">
        <v>8.1</v>
      </c>
      <c r="H159" t="n">
        <v>2</v>
      </c>
      <c r="I159" t="n">
        <v>1</v>
      </c>
      <c r="J159" t="n">
        <v>10</v>
      </c>
      <c r="K159" t="n">
        <v>0</v>
      </c>
      <c r="L159" t="n">
        <v>0</v>
      </c>
      <c r="M159" t="n">
        <v>0</v>
      </c>
      <c r="N159" t="n">
        <v>0</v>
      </c>
      <c r="O159" t="n">
        <v>10</v>
      </c>
      <c r="P159" t="n">
        <v>0</v>
      </c>
      <c r="Q159" t="n">
        <v>11</v>
      </c>
      <c r="R159" s="2" t="inlineStr">
        <is>
          <t>Garnlav
Granticka
Liten svartspik
Lunglav
Skrovellav
Talltita
Tretåig hackspett
Ullticka
Vitgrynig nållav
Vitskaftad svartspik
Trådticka</t>
        </is>
      </c>
      <c r="S159">
        <f>HYPERLINK("https://klasma.github.io/Logging_2462/artfynd/A 49141-2023 artfynd.xlsx", "A 49141-2023")</f>
        <v/>
      </c>
      <c r="T159">
        <f>HYPERLINK("https://klasma.github.io/Logging_2462/kartor/A 49141-2023 karta.png", "A 49141-2023")</f>
        <v/>
      </c>
      <c r="V159">
        <f>HYPERLINK("https://klasma.github.io/Logging_2462/klagomål/A 49141-2023 FSC-klagomål.docx", "A 49141-2023")</f>
        <v/>
      </c>
      <c r="W159">
        <f>HYPERLINK("https://klasma.github.io/Logging_2462/klagomålsmail/A 49141-2023 FSC-klagomål mail.docx", "A 49141-2023")</f>
        <v/>
      </c>
      <c r="X159">
        <f>HYPERLINK("https://klasma.github.io/Logging_2462/tillsyn/A 49141-2023 tillsynsbegäran.docx", "A 49141-2023")</f>
        <v/>
      </c>
      <c r="Y159">
        <f>HYPERLINK("https://klasma.github.io/Logging_2462/tillsynsmail/A 49141-2023 tillsynsbegäran mail.docx", "A 49141-2023")</f>
        <v/>
      </c>
      <c r="Z159">
        <f>HYPERLINK("https://klasma.github.io/Logging_2462/fåglar/A 49141-2023 prioriterade fågelarter.docx", "A 49141-2023")</f>
        <v/>
      </c>
    </row>
    <row r="160" ht="15" customHeight="1">
      <c r="A160" t="inlineStr">
        <is>
          <t>A 24124-2024</t>
        </is>
      </c>
      <c r="B160" s="1" t="n">
        <v>45456.62347222222</v>
      </c>
      <c r="C160" s="1" t="n">
        <v>46075</v>
      </c>
      <c r="D160" t="inlineStr">
        <is>
          <t>VÄSTERBOTTENS LÄN</t>
        </is>
      </c>
      <c r="E160" t="inlineStr">
        <is>
          <t>BJURHOLM</t>
        </is>
      </c>
      <c r="G160" t="n">
        <v>13.9</v>
      </c>
      <c r="H160" t="n">
        <v>3</v>
      </c>
      <c r="I160" t="n">
        <v>4</v>
      </c>
      <c r="J160" t="n">
        <v>5</v>
      </c>
      <c r="K160" t="n">
        <v>1</v>
      </c>
      <c r="L160" t="n">
        <v>0</v>
      </c>
      <c r="M160" t="n">
        <v>0</v>
      </c>
      <c r="N160" t="n">
        <v>0</v>
      </c>
      <c r="O160" t="n">
        <v>6</v>
      </c>
      <c r="P160" t="n">
        <v>1</v>
      </c>
      <c r="Q160" t="n">
        <v>11</v>
      </c>
      <c r="R160" s="2" t="inlineStr">
        <is>
          <t>Rynkskinn
Garnlav
Granticka
Järpe
Lunglav
Ullticka
Bollvitmossa
Skinnlav
Spindelblomster
Stuplav
Fläcknycklar</t>
        </is>
      </c>
      <c r="S160">
        <f>HYPERLINK("https://klasma.github.io/Logging_2403/artfynd/A 24124-2024 artfynd.xlsx", "A 24124-2024")</f>
        <v/>
      </c>
      <c r="T160">
        <f>HYPERLINK("https://klasma.github.io/Logging_2403/kartor/A 24124-2024 karta.png", "A 24124-2024")</f>
        <v/>
      </c>
      <c r="V160">
        <f>HYPERLINK("https://klasma.github.io/Logging_2403/klagomål/A 24124-2024 FSC-klagomål.docx", "A 24124-2024")</f>
        <v/>
      </c>
      <c r="W160">
        <f>HYPERLINK("https://klasma.github.io/Logging_2403/klagomålsmail/A 24124-2024 FSC-klagomål mail.docx", "A 24124-2024")</f>
        <v/>
      </c>
      <c r="X160">
        <f>HYPERLINK("https://klasma.github.io/Logging_2403/tillsyn/A 24124-2024 tillsynsbegäran.docx", "A 24124-2024")</f>
        <v/>
      </c>
      <c r="Y160">
        <f>HYPERLINK("https://klasma.github.io/Logging_2403/tillsynsmail/A 24124-2024 tillsynsbegäran mail.docx", "A 24124-2024")</f>
        <v/>
      </c>
      <c r="Z160">
        <f>HYPERLINK("https://klasma.github.io/Logging_2403/fåglar/A 24124-2024 prioriterade fågelarter.docx", "A 24124-2024")</f>
        <v/>
      </c>
    </row>
    <row r="161" ht="15" customHeight="1">
      <c r="A161" t="inlineStr">
        <is>
          <t>A 14963-2022</t>
        </is>
      </c>
      <c r="B161" s="1" t="n">
        <v>44657</v>
      </c>
      <c r="C161" s="1" t="n">
        <v>46075</v>
      </c>
      <c r="D161" t="inlineStr">
        <is>
          <t>VÄSTERBOTTENS LÄN</t>
        </is>
      </c>
      <c r="E161" t="inlineStr">
        <is>
          <t>VILHELMINA</t>
        </is>
      </c>
      <c r="G161" t="n">
        <v>11.5</v>
      </c>
      <c r="H161" t="n">
        <v>4</v>
      </c>
      <c r="I161" t="n">
        <v>0</v>
      </c>
      <c r="J161" t="n">
        <v>7</v>
      </c>
      <c r="K161" t="n">
        <v>2</v>
      </c>
      <c r="L161" t="n">
        <v>0</v>
      </c>
      <c r="M161" t="n">
        <v>0</v>
      </c>
      <c r="N161" t="n">
        <v>0</v>
      </c>
      <c r="O161" t="n">
        <v>9</v>
      </c>
      <c r="P161" t="n">
        <v>2</v>
      </c>
      <c r="Q161" t="n">
        <v>11</v>
      </c>
      <c r="R161" s="2" t="inlineStr">
        <is>
          <t>Ostticka
Ulltickeporing
Garnlav
Granticka
Harticka
Rosenticka
Talltita
Tretåig hackspett
Ullticka
Kungsfågel
Lavskrika</t>
        </is>
      </c>
      <c r="S161">
        <f>HYPERLINK("https://klasma.github.io/Logging_2462/artfynd/A 14963-2022 artfynd.xlsx", "A 14963-2022")</f>
        <v/>
      </c>
      <c r="T161">
        <f>HYPERLINK("https://klasma.github.io/Logging_2462/kartor/A 14963-2022 karta.png", "A 14963-2022")</f>
        <v/>
      </c>
      <c r="V161">
        <f>HYPERLINK("https://klasma.github.io/Logging_2462/klagomål/A 14963-2022 FSC-klagomål.docx", "A 14963-2022")</f>
        <v/>
      </c>
      <c r="W161">
        <f>HYPERLINK("https://klasma.github.io/Logging_2462/klagomålsmail/A 14963-2022 FSC-klagomål mail.docx", "A 14963-2022")</f>
        <v/>
      </c>
      <c r="X161">
        <f>HYPERLINK("https://klasma.github.io/Logging_2462/tillsyn/A 14963-2022 tillsynsbegäran.docx", "A 14963-2022")</f>
        <v/>
      </c>
      <c r="Y161">
        <f>HYPERLINK("https://klasma.github.io/Logging_2462/tillsynsmail/A 14963-2022 tillsynsbegäran mail.docx", "A 14963-2022")</f>
        <v/>
      </c>
      <c r="Z161">
        <f>HYPERLINK("https://klasma.github.io/Logging_2462/fåglar/A 14963-2022 prioriterade fågelarter.docx", "A 14963-2022")</f>
        <v/>
      </c>
    </row>
    <row r="162" ht="15" customHeight="1">
      <c r="A162" t="inlineStr">
        <is>
          <t>A 7762-2024</t>
        </is>
      </c>
      <c r="B162" s="1" t="n">
        <v>45349</v>
      </c>
      <c r="C162" s="1" t="n">
        <v>46075</v>
      </c>
      <c r="D162" t="inlineStr">
        <is>
          <t>VÄSTERBOTTENS LÄN</t>
        </is>
      </c>
      <c r="E162" t="inlineStr">
        <is>
          <t>VILHELMINA</t>
        </is>
      </c>
      <c r="G162" t="n">
        <v>4.8</v>
      </c>
      <c r="H162" t="n">
        <v>3</v>
      </c>
      <c r="I162" t="n">
        <v>2</v>
      </c>
      <c r="J162" t="n">
        <v>9</v>
      </c>
      <c r="K162" t="n">
        <v>0</v>
      </c>
      <c r="L162" t="n">
        <v>0</v>
      </c>
      <c r="M162" t="n">
        <v>0</v>
      </c>
      <c r="N162" t="n">
        <v>0</v>
      </c>
      <c r="O162" t="n">
        <v>9</v>
      </c>
      <c r="P162" t="n">
        <v>0</v>
      </c>
      <c r="Q162" t="n">
        <v>11</v>
      </c>
      <c r="R162" s="2" t="inlineStr">
        <is>
          <t>Gammelgransskål
Garnlav
Granticka
Järpe
Skogshare
Skrovellav
Talltita
Tretåig hackspett
Vitgrynig nållav
Korallblylav
Luddlav</t>
        </is>
      </c>
      <c r="S162">
        <f>HYPERLINK("https://klasma.github.io/Logging_2462/artfynd/A 7762-2024 artfynd.xlsx", "A 7762-2024")</f>
        <v/>
      </c>
      <c r="T162">
        <f>HYPERLINK("https://klasma.github.io/Logging_2462/kartor/A 7762-2024 karta.png", "A 7762-2024")</f>
        <v/>
      </c>
      <c r="V162">
        <f>HYPERLINK("https://klasma.github.io/Logging_2462/klagomål/A 7762-2024 FSC-klagomål.docx", "A 7762-2024")</f>
        <v/>
      </c>
      <c r="W162">
        <f>HYPERLINK("https://klasma.github.io/Logging_2462/klagomålsmail/A 7762-2024 FSC-klagomål mail.docx", "A 7762-2024")</f>
        <v/>
      </c>
      <c r="X162">
        <f>HYPERLINK("https://klasma.github.io/Logging_2462/tillsyn/A 7762-2024 tillsynsbegäran.docx", "A 7762-2024")</f>
        <v/>
      </c>
      <c r="Y162">
        <f>HYPERLINK("https://klasma.github.io/Logging_2462/tillsynsmail/A 7762-2024 tillsynsbegäran mail.docx", "A 7762-2024")</f>
        <v/>
      </c>
      <c r="Z162">
        <f>HYPERLINK("https://klasma.github.io/Logging_2462/fåglar/A 7762-2024 prioriterade fågelarter.docx", "A 7762-2024")</f>
        <v/>
      </c>
    </row>
    <row r="163" ht="15" customHeight="1">
      <c r="A163" t="inlineStr">
        <is>
          <t>A 48749-2025</t>
        </is>
      </c>
      <c r="B163" s="1" t="n">
        <v>45936.67924768518</v>
      </c>
      <c r="C163" s="1" t="n">
        <v>46075</v>
      </c>
      <c r="D163" t="inlineStr">
        <is>
          <t>VÄSTERBOTTENS LÄN</t>
        </is>
      </c>
      <c r="E163" t="inlineStr">
        <is>
          <t>ROBERTSFORS</t>
        </is>
      </c>
      <c r="G163" t="n">
        <v>24.4</v>
      </c>
      <c r="H163" t="n">
        <v>3</v>
      </c>
      <c r="I163" t="n">
        <v>1</v>
      </c>
      <c r="J163" t="n">
        <v>8</v>
      </c>
      <c r="K163" t="n">
        <v>2</v>
      </c>
      <c r="L163" t="n">
        <v>0</v>
      </c>
      <c r="M163" t="n">
        <v>0</v>
      </c>
      <c r="N163" t="n">
        <v>0</v>
      </c>
      <c r="O163" t="n">
        <v>10</v>
      </c>
      <c r="P163" t="n">
        <v>2</v>
      </c>
      <c r="Q163" t="n">
        <v>11</v>
      </c>
      <c r="R163" s="2" t="inlineStr">
        <is>
          <t>Knärot
Ostticka
Gammelgransskål
Garnlav
Granticka
Rosenticka
Spillkråka
Stjärntagging
Tretåig hackspett
Ullticka
Vedticka</t>
        </is>
      </c>
      <c r="S163">
        <f>HYPERLINK("https://klasma.github.io/Logging_2409/artfynd/A 48749-2025 artfynd.xlsx", "A 48749-2025")</f>
        <v/>
      </c>
      <c r="T163">
        <f>HYPERLINK("https://klasma.github.io/Logging_2409/kartor/A 48749-2025 karta.png", "A 48749-2025")</f>
        <v/>
      </c>
      <c r="U163">
        <f>HYPERLINK("https://klasma.github.io/Logging_2409/knärot/A 48749-2025 karta knärot.png", "A 48749-2025")</f>
        <v/>
      </c>
      <c r="V163">
        <f>HYPERLINK("https://klasma.github.io/Logging_2409/klagomål/A 48749-2025 FSC-klagomål.docx", "A 48749-2025")</f>
        <v/>
      </c>
      <c r="W163">
        <f>HYPERLINK("https://klasma.github.io/Logging_2409/klagomålsmail/A 48749-2025 FSC-klagomål mail.docx", "A 48749-2025")</f>
        <v/>
      </c>
      <c r="X163">
        <f>HYPERLINK("https://klasma.github.io/Logging_2409/tillsyn/A 48749-2025 tillsynsbegäran.docx", "A 48749-2025")</f>
        <v/>
      </c>
      <c r="Y163">
        <f>HYPERLINK("https://klasma.github.io/Logging_2409/tillsynsmail/A 48749-2025 tillsynsbegäran mail.docx", "A 48749-2025")</f>
        <v/>
      </c>
      <c r="Z163">
        <f>HYPERLINK("https://klasma.github.io/Logging_2409/fåglar/A 48749-2025 prioriterade fågelarter.docx", "A 48749-2025")</f>
        <v/>
      </c>
    </row>
    <row r="164" ht="15" customHeight="1">
      <c r="A164" t="inlineStr">
        <is>
          <t>A 55886-2023</t>
        </is>
      </c>
      <c r="B164" s="1" t="n">
        <v>45233</v>
      </c>
      <c r="C164" s="1" t="n">
        <v>46075</v>
      </c>
      <c r="D164" t="inlineStr">
        <is>
          <t>VÄSTERBOTTENS LÄN</t>
        </is>
      </c>
      <c r="E164" t="inlineStr">
        <is>
          <t>STORUMAN</t>
        </is>
      </c>
      <c r="G164" t="n">
        <v>40.9</v>
      </c>
      <c r="H164" t="n">
        <v>2</v>
      </c>
      <c r="I164" t="n">
        <v>5</v>
      </c>
      <c r="J164" t="n">
        <v>5</v>
      </c>
      <c r="K164" t="n">
        <v>1</v>
      </c>
      <c r="L164" t="n">
        <v>0</v>
      </c>
      <c r="M164" t="n">
        <v>0</v>
      </c>
      <c r="N164" t="n">
        <v>0</v>
      </c>
      <c r="O164" t="n">
        <v>6</v>
      </c>
      <c r="P164" t="n">
        <v>1</v>
      </c>
      <c r="Q164" t="n">
        <v>11</v>
      </c>
      <c r="R164" s="2" t="inlineStr">
        <is>
          <t>Doftticka
Garnlav
Granticka
Lunglav
Skrovellav
Tretåig hackspett
Bårdlav
Gulnål
Luddlav
Skinnlav
Stuplav</t>
        </is>
      </c>
      <c r="S164">
        <f>HYPERLINK("https://klasma.github.io/Logging_2421/artfynd/A 55886-2023 artfynd.xlsx", "A 55886-2023")</f>
        <v/>
      </c>
      <c r="T164">
        <f>HYPERLINK("https://klasma.github.io/Logging_2421/kartor/A 55886-2023 karta.png", "A 55886-2023")</f>
        <v/>
      </c>
      <c r="V164">
        <f>HYPERLINK("https://klasma.github.io/Logging_2421/klagomål/A 55886-2023 FSC-klagomål.docx", "A 55886-2023")</f>
        <v/>
      </c>
      <c r="W164">
        <f>HYPERLINK("https://klasma.github.io/Logging_2421/klagomålsmail/A 55886-2023 FSC-klagomål mail.docx", "A 55886-2023")</f>
        <v/>
      </c>
      <c r="X164">
        <f>HYPERLINK("https://klasma.github.io/Logging_2421/tillsyn/A 55886-2023 tillsynsbegäran.docx", "A 55886-2023")</f>
        <v/>
      </c>
      <c r="Y164">
        <f>HYPERLINK("https://klasma.github.io/Logging_2421/tillsynsmail/A 55886-2023 tillsynsbegäran mail.docx", "A 55886-2023")</f>
        <v/>
      </c>
      <c r="Z164">
        <f>HYPERLINK("https://klasma.github.io/Logging_2421/fåglar/A 55886-2023 prioriterade fågelarter.docx", "A 55886-2023")</f>
        <v/>
      </c>
    </row>
    <row r="165" ht="15" customHeight="1">
      <c r="A165" t="inlineStr">
        <is>
          <t>A 29392-2021</t>
        </is>
      </c>
      <c r="B165" s="1" t="n">
        <v>44361</v>
      </c>
      <c r="C165" s="1" t="n">
        <v>46075</v>
      </c>
      <c r="D165" t="inlineStr">
        <is>
          <t>VÄSTERBOTTENS LÄN</t>
        </is>
      </c>
      <c r="E165" t="inlineStr">
        <is>
          <t>VILHELMINA</t>
        </is>
      </c>
      <c r="F165" t="inlineStr">
        <is>
          <t>Allmännings- och besparingsskogar</t>
        </is>
      </c>
      <c r="G165" t="n">
        <v>275</v>
      </c>
      <c r="H165" t="n">
        <v>1</v>
      </c>
      <c r="I165" t="n">
        <v>5</v>
      </c>
      <c r="J165" t="n">
        <v>6</v>
      </c>
      <c r="K165" t="n">
        <v>0</v>
      </c>
      <c r="L165" t="n">
        <v>0</v>
      </c>
      <c r="M165" t="n">
        <v>0</v>
      </c>
      <c r="N165" t="n">
        <v>0</v>
      </c>
      <c r="O165" t="n">
        <v>6</v>
      </c>
      <c r="P165" t="n">
        <v>0</v>
      </c>
      <c r="Q165" t="n">
        <v>11</v>
      </c>
      <c r="R165" s="2" t="inlineStr">
        <is>
          <t>Brunpudrad nållav
Rödbrun blekspik
Skrovellav
Svartvit flugsnappare
Vitgrynig nållav
Vitskaftad svartspik
Bårdlav
Gulnål
Gytterlav
Källmossor
Mörk husmossa</t>
        </is>
      </c>
      <c r="S165">
        <f>HYPERLINK("https://klasma.github.io/Logging_2462/artfynd/A 29392-2021 artfynd.xlsx", "A 29392-2021")</f>
        <v/>
      </c>
      <c r="T165">
        <f>HYPERLINK("https://klasma.github.io/Logging_2462/kartor/A 29392-2021 karta.png", "A 29392-2021")</f>
        <v/>
      </c>
      <c r="V165">
        <f>HYPERLINK("https://klasma.github.io/Logging_2462/klagomål/A 29392-2021 FSC-klagomål.docx", "A 29392-2021")</f>
        <v/>
      </c>
      <c r="W165">
        <f>HYPERLINK("https://klasma.github.io/Logging_2462/klagomålsmail/A 29392-2021 FSC-klagomål mail.docx", "A 29392-2021")</f>
        <v/>
      </c>
      <c r="X165">
        <f>HYPERLINK("https://klasma.github.io/Logging_2462/tillsyn/A 29392-2021 tillsynsbegäran.docx", "A 29392-2021")</f>
        <v/>
      </c>
      <c r="Y165">
        <f>HYPERLINK("https://klasma.github.io/Logging_2462/tillsynsmail/A 29392-2021 tillsynsbegäran mail.docx", "A 29392-2021")</f>
        <v/>
      </c>
      <c r="Z165">
        <f>HYPERLINK("https://klasma.github.io/Logging_2462/fåglar/A 29392-2021 prioriterade fågelarter.docx", "A 29392-2021")</f>
        <v/>
      </c>
    </row>
    <row r="166" ht="15" customHeight="1">
      <c r="A166" t="inlineStr">
        <is>
          <t>A 15343-2023</t>
        </is>
      </c>
      <c r="B166" s="1" t="n">
        <v>45016</v>
      </c>
      <c r="C166" s="1" t="n">
        <v>46075</v>
      </c>
      <c r="D166" t="inlineStr">
        <is>
          <t>VÄSTERBOTTENS LÄN</t>
        </is>
      </c>
      <c r="E166" t="inlineStr">
        <is>
          <t>STORUMAN</t>
        </is>
      </c>
      <c r="G166" t="n">
        <v>11.7</v>
      </c>
      <c r="H166" t="n">
        <v>4</v>
      </c>
      <c r="I166" t="n">
        <v>3</v>
      </c>
      <c r="J166" t="n">
        <v>6</v>
      </c>
      <c r="K166" t="n">
        <v>0</v>
      </c>
      <c r="L166" t="n">
        <v>0</v>
      </c>
      <c r="M166" t="n">
        <v>0</v>
      </c>
      <c r="N166" t="n">
        <v>0</v>
      </c>
      <c r="O166" t="n">
        <v>6</v>
      </c>
      <c r="P166" t="n">
        <v>0</v>
      </c>
      <c r="Q166" t="n">
        <v>11</v>
      </c>
      <c r="R166" s="2" t="inlineStr">
        <is>
          <t>Garnlav
Granticka
Harticka
Talltita
Tretåig hackspett
Vitgrynig nållav
Björksplintborre
Bronshjon
Svavelriska
Lavskrika
Revlummer</t>
        </is>
      </c>
      <c r="S166">
        <f>HYPERLINK("https://klasma.github.io/Logging_2421/artfynd/A 15343-2023 artfynd.xlsx", "A 15343-2023")</f>
        <v/>
      </c>
      <c r="T166">
        <f>HYPERLINK("https://klasma.github.io/Logging_2421/kartor/A 15343-2023 karta.png", "A 15343-2023")</f>
        <v/>
      </c>
      <c r="V166">
        <f>HYPERLINK("https://klasma.github.io/Logging_2421/klagomål/A 15343-2023 FSC-klagomål.docx", "A 15343-2023")</f>
        <v/>
      </c>
      <c r="W166">
        <f>HYPERLINK("https://klasma.github.io/Logging_2421/klagomålsmail/A 15343-2023 FSC-klagomål mail.docx", "A 15343-2023")</f>
        <v/>
      </c>
      <c r="X166">
        <f>HYPERLINK("https://klasma.github.io/Logging_2421/tillsyn/A 15343-2023 tillsynsbegäran.docx", "A 15343-2023")</f>
        <v/>
      </c>
      <c r="Y166">
        <f>HYPERLINK("https://klasma.github.io/Logging_2421/tillsynsmail/A 15343-2023 tillsynsbegäran mail.docx", "A 15343-2023")</f>
        <v/>
      </c>
      <c r="Z166">
        <f>HYPERLINK("https://klasma.github.io/Logging_2421/fåglar/A 15343-2023 prioriterade fågelarter.docx", "A 15343-2023")</f>
        <v/>
      </c>
    </row>
    <row r="167" ht="15" customHeight="1">
      <c r="A167" t="inlineStr">
        <is>
          <t>A 24512-2025</t>
        </is>
      </c>
      <c r="B167" s="1" t="n">
        <v>45798</v>
      </c>
      <c r="C167" s="1" t="n">
        <v>46075</v>
      </c>
      <c r="D167" t="inlineStr">
        <is>
          <t>VÄSTERBOTTENS LÄN</t>
        </is>
      </c>
      <c r="E167" t="inlineStr">
        <is>
          <t>LYCKSELE</t>
        </is>
      </c>
      <c r="F167" t="inlineStr">
        <is>
          <t>Sveaskog</t>
        </is>
      </c>
      <c r="G167" t="n">
        <v>11.1</v>
      </c>
      <c r="H167" t="n">
        <v>5</v>
      </c>
      <c r="I167" t="n">
        <v>5</v>
      </c>
      <c r="J167" t="n">
        <v>4</v>
      </c>
      <c r="K167" t="n">
        <v>1</v>
      </c>
      <c r="L167" t="n">
        <v>0</v>
      </c>
      <c r="M167" t="n">
        <v>0</v>
      </c>
      <c r="N167" t="n">
        <v>0</v>
      </c>
      <c r="O167" t="n">
        <v>5</v>
      </c>
      <c r="P167" t="n">
        <v>1</v>
      </c>
      <c r="Q167" t="n">
        <v>11</v>
      </c>
      <c r="R167" s="2" t="inlineStr">
        <is>
          <t>Doftticka
Garnlav
Grantaggsvamp
Granticka
Spillkråka
Dvärgtufs
Norrlandslav
Plattlummer
Spindelblomster
Stuplav
Revlummer</t>
        </is>
      </c>
      <c r="S167">
        <f>HYPERLINK("https://klasma.github.io/Logging_2481/artfynd/A 24512-2025 artfynd.xlsx", "A 24512-2025")</f>
        <v/>
      </c>
      <c r="T167">
        <f>HYPERLINK("https://klasma.github.io/Logging_2481/kartor/A 24512-2025 karta.png", "A 24512-2025")</f>
        <v/>
      </c>
      <c r="V167">
        <f>HYPERLINK("https://klasma.github.io/Logging_2481/klagomål/A 24512-2025 FSC-klagomål.docx", "A 24512-2025")</f>
        <v/>
      </c>
      <c r="W167">
        <f>HYPERLINK("https://klasma.github.io/Logging_2481/klagomålsmail/A 24512-2025 FSC-klagomål mail.docx", "A 24512-2025")</f>
        <v/>
      </c>
      <c r="X167">
        <f>HYPERLINK("https://klasma.github.io/Logging_2481/tillsyn/A 24512-2025 tillsynsbegäran.docx", "A 24512-2025")</f>
        <v/>
      </c>
      <c r="Y167">
        <f>HYPERLINK("https://klasma.github.io/Logging_2481/tillsynsmail/A 24512-2025 tillsynsbegäran mail.docx", "A 24512-2025")</f>
        <v/>
      </c>
      <c r="Z167">
        <f>HYPERLINK("https://klasma.github.io/Logging_2481/fåglar/A 24512-2025 prioriterade fågelarter.docx", "A 24512-2025")</f>
        <v/>
      </c>
    </row>
    <row r="168" ht="15" customHeight="1">
      <c r="A168" t="inlineStr">
        <is>
          <t>A 15110-2021</t>
        </is>
      </c>
      <c r="B168" s="1" t="n">
        <v>44281</v>
      </c>
      <c r="C168" s="1" t="n">
        <v>46075</v>
      </c>
      <c r="D168" t="inlineStr">
        <is>
          <t>VÄSTERBOTTENS LÄN</t>
        </is>
      </c>
      <c r="E168" t="inlineStr">
        <is>
          <t>SKELLEFTEÅ</t>
        </is>
      </c>
      <c r="F168" t="inlineStr">
        <is>
          <t>SCA</t>
        </is>
      </c>
      <c r="G168" t="n">
        <v>2.7</v>
      </c>
      <c r="H168" t="n">
        <v>1</v>
      </c>
      <c r="I168" t="n">
        <v>3</v>
      </c>
      <c r="J168" t="n">
        <v>5</v>
      </c>
      <c r="K168" t="n">
        <v>1</v>
      </c>
      <c r="L168" t="n">
        <v>0</v>
      </c>
      <c r="M168" t="n">
        <v>0</v>
      </c>
      <c r="N168" t="n">
        <v>0</v>
      </c>
      <c r="O168" t="n">
        <v>6</v>
      </c>
      <c r="P168" t="n">
        <v>1</v>
      </c>
      <c r="Q168" t="n">
        <v>10</v>
      </c>
      <c r="R168" s="2" t="inlineStr">
        <is>
          <t>Rotfingersvamp
Gammelgransskål
Lunglav
Nordtagging
Orange taggsvamp
Svart taggsvamp
Bårdlav
Dropptaggsvamp
Stuplav
Nattviol</t>
        </is>
      </c>
      <c r="S168">
        <f>HYPERLINK("https://klasma.github.io/Logging_2482/artfynd/A 15110-2021 artfynd.xlsx", "A 15110-2021")</f>
        <v/>
      </c>
      <c r="T168">
        <f>HYPERLINK("https://klasma.github.io/Logging_2482/kartor/A 15110-2021 karta.png", "A 15110-2021")</f>
        <v/>
      </c>
      <c r="V168">
        <f>HYPERLINK("https://klasma.github.io/Logging_2482/klagomål/A 15110-2021 FSC-klagomål.docx", "A 15110-2021")</f>
        <v/>
      </c>
      <c r="W168">
        <f>HYPERLINK("https://klasma.github.io/Logging_2482/klagomålsmail/A 15110-2021 FSC-klagomål mail.docx", "A 15110-2021")</f>
        <v/>
      </c>
      <c r="X168">
        <f>HYPERLINK("https://klasma.github.io/Logging_2482/tillsyn/A 15110-2021 tillsynsbegäran.docx", "A 15110-2021")</f>
        <v/>
      </c>
      <c r="Y168">
        <f>HYPERLINK("https://klasma.github.io/Logging_2482/tillsynsmail/A 15110-2021 tillsynsbegäran mail.docx", "A 15110-2021")</f>
        <v/>
      </c>
    </row>
    <row r="169" ht="15" customHeight="1">
      <c r="A169" t="inlineStr">
        <is>
          <t>A 69626-2021</t>
        </is>
      </c>
      <c r="B169" s="1" t="n">
        <v>44532</v>
      </c>
      <c r="C169" s="1" t="n">
        <v>46075</v>
      </c>
      <c r="D169" t="inlineStr">
        <is>
          <t>VÄSTERBOTTENS LÄN</t>
        </is>
      </c>
      <c r="E169" t="inlineStr">
        <is>
          <t>VINDELN</t>
        </is>
      </c>
      <c r="F169" t="inlineStr">
        <is>
          <t>Sveaskog</t>
        </is>
      </c>
      <c r="G169" t="n">
        <v>4.6</v>
      </c>
      <c r="H169" t="n">
        <v>2</v>
      </c>
      <c r="I169" t="n">
        <v>0</v>
      </c>
      <c r="J169" t="n">
        <v>9</v>
      </c>
      <c r="K169" t="n">
        <v>1</v>
      </c>
      <c r="L169" t="n">
        <v>0</v>
      </c>
      <c r="M169" t="n">
        <v>0</v>
      </c>
      <c r="N169" t="n">
        <v>0</v>
      </c>
      <c r="O169" t="n">
        <v>10</v>
      </c>
      <c r="P169" t="n">
        <v>1</v>
      </c>
      <c r="Q169" t="n">
        <v>10</v>
      </c>
      <c r="R169" s="2" t="inlineStr">
        <is>
          <t>Rynkskinn
Gammelgransskål
Garnlav
Granticka
Gränsticka
Harticka
Järpe
Rosenticka
Tretåig hackspett
Ullticka</t>
        </is>
      </c>
      <c r="S169">
        <f>HYPERLINK("https://klasma.github.io/Logging_2404/artfynd/A 69626-2021 artfynd.xlsx", "A 69626-2021")</f>
        <v/>
      </c>
      <c r="T169">
        <f>HYPERLINK("https://klasma.github.io/Logging_2404/kartor/A 69626-2021 karta.png", "A 69626-2021")</f>
        <v/>
      </c>
      <c r="V169">
        <f>HYPERLINK("https://klasma.github.io/Logging_2404/klagomål/A 69626-2021 FSC-klagomål.docx", "A 69626-2021")</f>
        <v/>
      </c>
      <c r="W169">
        <f>HYPERLINK("https://klasma.github.io/Logging_2404/klagomålsmail/A 69626-2021 FSC-klagomål mail.docx", "A 69626-2021")</f>
        <v/>
      </c>
      <c r="X169">
        <f>HYPERLINK("https://klasma.github.io/Logging_2404/tillsyn/A 69626-2021 tillsynsbegäran.docx", "A 69626-2021")</f>
        <v/>
      </c>
      <c r="Y169">
        <f>HYPERLINK("https://klasma.github.io/Logging_2404/tillsynsmail/A 69626-2021 tillsynsbegäran mail.docx", "A 69626-2021")</f>
        <v/>
      </c>
      <c r="Z169">
        <f>HYPERLINK("https://klasma.github.io/Logging_2404/fåglar/A 69626-2021 prioriterade fågelarter.docx", "A 69626-2021")</f>
        <v/>
      </c>
    </row>
    <row r="170" ht="15" customHeight="1">
      <c r="A170" t="inlineStr">
        <is>
          <t>A 43261-2021</t>
        </is>
      </c>
      <c r="B170" s="1" t="n">
        <v>44432.3625925926</v>
      </c>
      <c r="C170" s="1" t="n">
        <v>46075</v>
      </c>
      <c r="D170" t="inlineStr">
        <is>
          <t>VÄSTERBOTTENS LÄN</t>
        </is>
      </c>
      <c r="E170" t="inlineStr">
        <is>
          <t>VINDELN</t>
        </is>
      </c>
      <c r="F170" t="inlineStr">
        <is>
          <t>Sveaskog</t>
        </is>
      </c>
      <c r="G170" t="n">
        <v>10.3</v>
      </c>
      <c r="H170" t="n">
        <v>3</v>
      </c>
      <c r="I170" t="n">
        <v>1</v>
      </c>
      <c r="J170" t="n">
        <v>7</v>
      </c>
      <c r="K170" t="n">
        <v>0</v>
      </c>
      <c r="L170" t="n">
        <v>0</v>
      </c>
      <c r="M170" t="n">
        <v>0</v>
      </c>
      <c r="N170" t="n">
        <v>0</v>
      </c>
      <c r="O170" t="n">
        <v>7</v>
      </c>
      <c r="P170" t="n">
        <v>0</v>
      </c>
      <c r="Q170" t="n">
        <v>10</v>
      </c>
      <c r="R170" s="2" t="inlineStr">
        <is>
          <t>Gammelgransskål
Garnlav
Granticka
Kolflarnlav
Tretåig hackspett
Vedskivlav
Violettgrå tagellav
Bronshjon
Gråspett
Lavskrika</t>
        </is>
      </c>
      <c r="S170">
        <f>HYPERLINK("https://klasma.github.io/Logging_2404/artfynd/A 43261-2021 artfynd.xlsx", "A 43261-2021")</f>
        <v/>
      </c>
      <c r="T170">
        <f>HYPERLINK("https://klasma.github.io/Logging_2404/kartor/A 43261-2021 karta.png", "A 43261-2021")</f>
        <v/>
      </c>
      <c r="V170">
        <f>HYPERLINK("https://klasma.github.io/Logging_2404/klagomål/A 43261-2021 FSC-klagomål.docx", "A 43261-2021")</f>
        <v/>
      </c>
      <c r="W170">
        <f>HYPERLINK("https://klasma.github.io/Logging_2404/klagomålsmail/A 43261-2021 FSC-klagomål mail.docx", "A 43261-2021")</f>
        <v/>
      </c>
      <c r="X170">
        <f>HYPERLINK("https://klasma.github.io/Logging_2404/tillsyn/A 43261-2021 tillsynsbegäran.docx", "A 43261-2021")</f>
        <v/>
      </c>
      <c r="Y170">
        <f>HYPERLINK("https://klasma.github.io/Logging_2404/tillsynsmail/A 43261-2021 tillsynsbegäran mail.docx", "A 43261-2021")</f>
        <v/>
      </c>
      <c r="Z170">
        <f>HYPERLINK("https://klasma.github.io/Logging_2404/fåglar/A 43261-2021 prioriterade fågelarter.docx", "A 43261-2021")</f>
        <v/>
      </c>
    </row>
    <row r="171" ht="15" customHeight="1">
      <c r="A171" t="inlineStr">
        <is>
          <t>A 72173-2021</t>
        </is>
      </c>
      <c r="B171" s="1" t="n">
        <v>44543</v>
      </c>
      <c r="C171" s="1" t="n">
        <v>46075</v>
      </c>
      <c r="D171" t="inlineStr">
        <is>
          <t>VÄSTERBOTTENS LÄN</t>
        </is>
      </c>
      <c r="E171" t="inlineStr">
        <is>
          <t>STORUMAN</t>
        </is>
      </c>
      <c r="G171" t="n">
        <v>22.9</v>
      </c>
      <c r="H171" t="n">
        <v>2</v>
      </c>
      <c r="I171" t="n">
        <v>4</v>
      </c>
      <c r="J171" t="n">
        <v>5</v>
      </c>
      <c r="K171" t="n">
        <v>0</v>
      </c>
      <c r="L171" t="n">
        <v>0</v>
      </c>
      <c r="M171" t="n">
        <v>0</v>
      </c>
      <c r="N171" t="n">
        <v>0</v>
      </c>
      <c r="O171" t="n">
        <v>5</v>
      </c>
      <c r="P171" t="n">
        <v>0</v>
      </c>
      <c r="Q171" t="n">
        <v>10</v>
      </c>
      <c r="R171" s="2" t="inlineStr">
        <is>
          <t>Garnlav
Granticka
Harticka
Skrovellav
Ullticka
Blodticka
Gräsull
Spindelblomster
Stuplav
Brudsporre</t>
        </is>
      </c>
      <c r="S171">
        <f>HYPERLINK("https://klasma.github.io/Logging_2421/artfynd/A 72173-2021 artfynd.xlsx", "A 72173-2021")</f>
        <v/>
      </c>
      <c r="T171">
        <f>HYPERLINK("https://klasma.github.io/Logging_2421/kartor/A 72173-2021 karta.png", "A 72173-2021")</f>
        <v/>
      </c>
      <c r="V171">
        <f>HYPERLINK("https://klasma.github.io/Logging_2421/klagomål/A 72173-2021 FSC-klagomål.docx", "A 72173-2021")</f>
        <v/>
      </c>
      <c r="W171">
        <f>HYPERLINK("https://klasma.github.io/Logging_2421/klagomålsmail/A 72173-2021 FSC-klagomål mail.docx", "A 72173-2021")</f>
        <v/>
      </c>
      <c r="X171">
        <f>HYPERLINK("https://klasma.github.io/Logging_2421/tillsyn/A 72173-2021 tillsynsbegäran.docx", "A 72173-2021")</f>
        <v/>
      </c>
      <c r="Y171">
        <f>HYPERLINK("https://klasma.github.io/Logging_2421/tillsynsmail/A 72173-2021 tillsynsbegäran mail.docx", "A 72173-2021")</f>
        <v/>
      </c>
    </row>
    <row r="172" ht="15" customHeight="1">
      <c r="A172" t="inlineStr">
        <is>
          <t>A 6963-2023</t>
        </is>
      </c>
      <c r="B172" s="1" t="n">
        <v>44964</v>
      </c>
      <c r="C172" s="1" t="n">
        <v>46075</v>
      </c>
      <c r="D172" t="inlineStr">
        <is>
          <t>VÄSTERBOTTENS LÄN</t>
        </is>
      </c>
      <c r="E172" t="inlineStr">
        <is>
          <t>VILHELMINA</t>
        </is>
      </c>
      <c r="F172" t="inlineStr">
        <is>
          <t>Allmännings- och besparingsskogar</t>
        </is>
      </c>
      <c r="G172" t="n">
        <v>8</v>
      </c>
      <c r="H172" t="n">
        <v>2</v>
      </c>
      <c r="I172" t="n">
        <v>2</v>
      </c>
      <c r="J172" t="n">
        <v>8</v>
      </c>
      <c r="K172" t="n">
        <v>0</v>
      </c>
      <c r="L172" t="n">
        <v>0</v>
      </c>
      <c r="M172" t="n">
        <v>0</v>
      </c>
      <c r="N172" t="n">
        <v>0</v>
      </c>
      <c r="O172" t="n">
        <v>8</v>
      </c>
      <c r="P172" t="n">
        <v>0</v>
      </c>
      <c r="Q172" t="n">
        <v>10</v>
      </c>
      <c r="R172" s="2" t="inlineStr">
        <is>
          <t>Gammelgransskål
Garnlav
Granticka
Knottrig blåslav
Skrovellav
Tretåig hackspett
Vitgrynig nållav
Vitskaftad svartspik
Mörk husmossa
Spindelblomster</t>
        </is>
      </c>
      <c r="S172">
        <f>HYPERLINK("https://klasma.github.io/Logging_2462/artfynd/A 6963-2023 artfynd.xlsx", "A 6963-2023")</f>
        <v/>
      </c>
      <c r="T172">
        <f>HYPERLINK("https://klasma.github.io/Logging_2462/kartor/A 6963-2023 karta.png", "A 6963-2023")</f>
        <v/>
      </c>
      <c r="V172">
        <f>HYPERLINK("https://klasma.github.io/Logging_2462/klagomål/A 6963-2023 FSC-klagomål.docx", "A 6963-2023")</f>
        <v/>
      </c>
      <c r="W172">
        <f>HYPERLINK("https://klasma.github.io/Logging_2462/klagomålsmail/A 6963-2023 FSC-klagomål mail.docx", "A 6963-2023")</f>
        <v/>
      </c>
      <c r="X172">
        <f>HYPERLINK("https://klasma.github.io/Logging_2462/tillsyn/A 6963-2023 tillsynsbegäran.docx", "A 6963-2023")</f>
        <v/>
      </c>
      <c r="Y172">
        <f>HYPERLINK("https://klasma.github.io/Logging_2462/tillsynsmail/A 6963-2023 tillsynsbegäran mail.docx", "A 6963-2023")</f>
        <v/>
      </c>
      <c r="Z172">
        <f>HYPERLINK("https://klasma.github.io/Logging_2462/fåglar/A 6963-2023 prioriterade fågelarter.docx", "A 6963-2023")</f>
        <v/>
      </c>
    </row>
    <row r="173" ht="15" customHeight="1">
      <c r="A173" t="inlineStr">
        <is>
          <t>A 25571-2024</t>
        </is>
      </c>
      <c r="B173" s="1" t="n">
        <v>45463</v>
      </c>
      <c r="C173" s="1" t="n">
        <v>46075</v>
      </c>
      <c r="D173" t="inlineStr">
        <is>
          <t>VÄSTERBOTTENS LÄN</t>
        </is>
      </c>
      <c r="E173" t="inlineStr">
        <is>
          <t>VILHELMINA</t>
        </is>
      </c>
      <c r="F173" t="inlineStr">
        <is>
          <t>Sveaskog</t>
        </is>
      </c>
      <c r="G173" t="n">
        <v>8.300000000000001</v>
      </c>
      <c r="H173" t="n">
        <v>0</v>
      </c>
      <c r="I173" t="n">
        <v>0</v>
      </c>
      <c r="J173" t="n">
        <v>8</v>
      </c>
      <c r="K173" t="n">
        <v>2</v>
      </c>
      <c r="L173" t="n">
        <v>0</v>
      </c>
      <c r="M173" t="n">
        <v>0</v>
      </c>
      <c r="N173" t="n">
        <v>0</v>
      </c>
      <c r="O173" t="n">
        <v>10</v>
      </c>
      <c r="P173" t="n">
        <v>2</v>
      </c>
      <c r="Q173" t="n">
        <v>10</v>
      </c>
      <c r="R173" s="2" t="inlineStr">
        <is>
          <t>Blackticka
Rynkskinn
Garnlav
Granticka
Kandelabersvamp
Kolflarnlav
Koralltaggsvamp
Oljetagging
Skrovellav
Stjärntagging</t>
        </is>
      </c>
      <c r="S173">
        <f>HYPERLINK("https://klasma.github.io/Logging_2462/artfynd/A 25571-2024 artfynd.xlsx", "A 25571-2024")</f>
        <v/>
      </c>
      <c r="T173">
        <f>HYPERLINK("https://klasma.github.io/Logging_2462/kartor/A 25571-2024 karta.png", "A 25571-2024")</f>
        <v/>
      </c>
      <c r="V173">
        <f>HYPERLINK("https://klasma.github.io/Logging_2462/klagomål/A 25571-2024 FSC-klagomål.docx", "A 25571-2024")</f>
        <v/>
      </c>
      <c r="W173">
        <f>HYPERLINK("https://klasma.github.io/Logging_2462/klagomålsmail/A 25571-2024 FSC-klagomål mail.docx", "A 25571-2024")</f>
        <v/>
      </c>
      <c r="X173">
        <f>HYPERLINK("https://klasma.github.io/Logging_2462/tillsyn/A 25571-2024 tillsynsbegäran.docx", "A 25571-2024")</f>
        <v/>
      </c>
      <c r="Y173">
        <f>HYPERLINK("https://klasma.github.io/Logging_2462/tillsynsmail/A 25571-2024 tillsynsbegäran mail.docx", "A 25571-2024")</f>
        <v/>
      </c>
    </row>
    <row r="174" ht="15" customHeight="1">
      <c r="A174" t="inlineStr">
        <is>
          <t>A 32934-2025</t>
        </is>
      </c>
      <c r="B174" s="1" t="n">
        <v>45839.67444444444</v>
      </c>
      <c r="C174" s="1" t="n">
        <v>46075</v>
      </c>
      <c r="D174" t="inlineStr">
        <is>
          <t>VÄSTERBOTTENS LÄN</t>
        </is>
      </c>
      <c r="E174" t="inlineStr">
        <is>
          <t>SKELLEFTEÅ</t>
        </is>
      </c>
      <c r="F174" t="inlineStr">
        <is>
          <t>Holmen skog AB</t>
        </is>
      </c>
      <c r="G174" t="n">
        <v>17.3</v>
      </c>
      <c r="H174" t="n">
        <v>4</v>
      </c>
      <c r="I174" t="n">
        <v>2</v>
      </c>
      <c r="J174" t="n">
        <v>5</v>
      </c>
      <c r="K174" t="n">
        <v>2</v>
      </c>
      <c r="L174" t="n">
        <v>0</v>
      </c>
      <c r="M174" t="n">
        <v>0</v>
      </c>
      <c r="N174" t="n">
        <v>0</v>
      </c>
      <c r="O174" t="n">
        <v>7</v>
      </c>
      <c r="P174" t="n">
        <v>2</v>
      </c>
      <c r="Q174" t="n">
        <v>10</v>
      </c>
      <c r="R174" s="2" t="inlineStr">
        <is>
          <t>Gräddporing
Smalfotad taggsvamp
Blå taggsvamp
Spillkråka
Stjärntagging
Talltita
Vaxspindling
Dropptaggsvamp
Plattlummer
Tjäder</t>
        </is>
      </c>
      <c r="S174">
        <f>HYPERLINK("https://klasma.github.io/Logging_2482/artfynd/A 32934-2025 artfynd.xlsx", "A 32934-2025")</f>
        <v/>
      </c>
      <c r="T174">
        <f>HYPERLINK("https://klasma.github.io/Logging_2482/kartor/A 32934-2025 karta.png", "A 32934-2025")</f>
        <v/>
      </c>
      <c r="V174">
        <f>HYPERLINK("https://klasma.github.io/Logging_2482/klagomål/A 32934-2025 FSC-klagomål.docx", "A 32934-2025")</f>
        <v/>
      </c>
      <c r="W174">
        <f>HYPERLINK("https://klasma.github.io/Logging_2482/klagomålsmail/A 32934-2025 FSC-klagomål mail.docx", "A 32934-2025")</f>
        <v/>
      </c>
      <c r="X174">
        <f>HYPERLINK("https://klasma.github.io/Logging_2482/tillsyn/A 32934-2025 tillsynsbegäran.docx", "A 32934-2025")</f>
        <v/>
      </c>
      <c r="Y174">
        <f>HYPERLINK("https://klasma.github.io/Logging_2482/tillsynsmail/A 32934-2025 tillsynsbegäran mail.docx", "A 32934-2025")</f>
        <v/>
      </c>
      <c r="Z174">
        <f>HYPERLINK("https://klasma.github.io/Logging_2482/fåglar/A 32934-2025 prioriterade fågelarter.docx", "A 32934-2025")</f>
        <v/>
      </c>
    </row>
    <row r="175" ht="15" customHeight="1">
      <c r="A175" t="inlineStr">
        <is>
          <t>A 12019-2023</t>
        </is>
      </c>
      <c r="B175" s="1" t="n">
        <v>44995.64879629629</v>
      </c>
      <c r="C175" s="1" t="n">
        <v>46075</v>
      </c>
      <c r="D175" t="inlineStr">
        <is>
          <t>VÄSTERBOTTENS LÄN</t>
        </is>
      </c>
      <c r="E175" t="inlineStr">
        <is>
          <t>SKELLEFTEÅ</t>
        </is>
      </c>
      <c r="F175" t="inlineStr">
        <is>
          <t>Sveaskog</t>
        </is>
      </c>
      <c r="G175" t="n">
        <v>12.6</v>
      </c>
      <c r="H175" t="n">
        <v>1</v>
      </c>
      <c r="I175" t="n">
        <v>2</v>
      </c>
      <c r="J175" t="n">
        <v>8</v>
      </c>
      <c r="K175" t="n">
        <v>0</v>
      </c>
      <c r="L175" t="n">
        <v>0</v>
      </c>
      <c r="M175" t="n">
        <v>0</v>
      </c>
      <c r="N175" t="n">
        <v>0</v>
      </c>
      <c r="O175" t="n">
        <v>8</v>
      </c>
      <c r="P175" t="n">
        <v>0</v>
      </c>
      <c r="Q175" t="n">
        <v>10</v>
      </c>
      <c r="R175" s="2" t="inlineStr">
        <is>
          <t>Blanksvart spiklav
Garnlav
Granticka
Hornvaxskinn
Lunglav
Nordtagging
Spillkråka
Stjärntagging
Dropptaggsvamp
Luddlav</t>
        </is>
      </c>
      <c r="S175">
        <f>HYPERLINK("https://klasma.github.io/Logging_2482/artfynd/A 12019-2023 artfynd.xlsx", "A 12019-2023")</f>
        <v/>
      </c>
      <c r="T175">
        <f>HYPERLINK("https://klasma.github.io/Logging_2482/kartor/A 12019-2023 karta.png", "A 12019-2023")</f>
        <v/>
      </c>
      <c r="V175">
        <f>HYPERLINK("https://klasma.github.io/Logging_2482/klagomål/A 12019-2023 FSC-klagomål.docx", "A 12019-2023")</f>
        <v/>
      </c>
      <c r="W175">
        <f>HYPERLINK("https://klasma.github.io/Logging_2482/klagomålsmail/A 12019-2023 FSC-klagomål mail.docx", "A 12019-2023")</f>
        <v/>
      </c>
      <c r="X175">
        <f>HYPERLINK("https://klasma.github.io/Logging_2482/tillsyn/A 12019-2023 tillsynsbegäran.docx", "A 12019-2023")</f>
        <v/>
      </c>
      <c r="Y175">
        <f>HYPERLINK("https://klasma.github.io/Logging_2482/tillsynsmail/A 12019-2023 tillsynsbegäran mail.docx", "A 12019-2023")</f>
        <v/>
      </c>
      <c r="Z175">
        <f>HYPERLINK("https://klasma.github.io/Logging_2482/fåglar/A 12019-2023 prioriterade fågelarter.docx", "A 12019-2023")</f>
        <v/>
      </c>
    </row>
    <row r="176" ht="15" customHeight="1">
      <c r="A176" t="inlineStr">
        <is>
          <t>A 13605-2022</t>
        </is>
      </c>
      <c r="B176" s="1" t="n">
        <v>44648</v>
      </c>
      <c r="C176" s="1" t="n">
        <v>46075</v>
      </c>
      <c r="D176" t="inlineStr">
        <is>
          <t>VÄSTERBOTTENS LÄN</t>
        </is>
      </c>
      <c r="E176" t="inlineStr">
        <is>
          <t>BJURHOLM</t>
        </is>
      </c>
      <c r="G176" t="n">
        <v>7</v>
      </c>
      <c r="H176" t="n">
        <v>3</v>
      </c>
      <c r="I176" t="n">
        <v>3</v>
      </c>
      <c r="J176" t="n">
        <v>6</v>
      </c>
      <c r="K176" t="n">
        <v>1</v>
      </c>
      <c r="L176" t="n">
        <v>0</v>
      </c>
      <c r="M176" t="n">
        <v>0</v>
      </c>
      <c r="N176" t="n">
        <v>0</v>
      </c>
      <c r="O176" t="n">
        <v>7</v>
      </c>
      <c r="P176" t="n">
        <v>1</v>
      </c>
      <c r="Q176" t="n">
        <v>10</v>
      </c>
      <c r="R176" s="2" t="inlineStr">
        <is>
          <t>Knärot
Garnlav
Granticka
Rödvingetrast
Stiftgelélav
Talltita
Ullticka
Skinnlav
Stor aspticka
Vedticka</t>
        </is>
      </c>
      <c r="S176">
        <f>HYPERLINK("https://klasma.github.io/Logging_2403/artfynd/A 13605-2022 artfynd.xlsx", "A 13605-2022")</f>
        <v/>
      </c>
      <c r="T176">
        <f>HYPERLINK("https://klasma.github.io/Logging_2403/kartor/A 13605-2022 karta.png", "A 13605-2022")</f>
        <v/>
      </c>
      <c r="U176">
        <f>HYPERLINK("https://klasma.github.io/Logging_2403/knärot/A 13605-2022 karta knärot.png", "A 13605-2022")</f>
        <v/>
      </c>
      <c r="V176">
        <f>HYPERLINK("https://klasma.github.io/Logging_2403/klagomål/A 13605-2022 FSC-klagomål.docx", "A 13605-2022")</f>
        <v/>
      </c>
      <c r="W176">
        <f>HYPERLINK("https://klasma.github.io/Logging_2403/klagomålsmail/A 13605-2022 FSC-klagomål mail.docx", "A 13605-2022")</f>
        <v/>
      </c>
      <c r="X176">
        <f>HYPERLINK("https://klasma.github.io/Logging_2403/tillsyn/A 13605-2022 tillsynsbegäran.docx", "A 13605-2022")</f>
        <v/>
      </c>
      <c r="Y176">
        <f>HYPERLINK("https://klasma.github.io/Logging_2403/tillsynsmail/A 13605-2022 tillsynsbegäran mail.docx", "A 13605-2022")</f>
        <v/>
      </c>
      <c r="Z176">
        <f>HYPERLINK("https://klasma.github.io/Logging_2403/fåglar/A 13605-2022 prioriterade fågelarter.docx", "A 13605-2022")</f>
        <v/>
      </c>
    </row>
    <row r="177" ht="15" customHeight="1">
      <c r="A177" t="inlineStr">
        <is>
          <t>A 62308-2022</t>
        </is>
      </c>
      <c r="B177" s="1" t="n">
        <v>44923.47131944444</v>
      </c>
      <c r="C177" s="1" t="n">
        <v>46075</v>
      </c>
      <c r="D177" t="inlineStr">
        <is>
          <t>VÄSTERBOTTENS LÄN</t>
        </is>
      </c>
      <c r="E177" t="inlineStr">
        <is>
          <t>SKELLEFTEÅ</t>
        </is>
      </c>
      <c r="F177" t="inlineStr">
        <is>
          <t>Sveaskog</t>
        </is>
      </c>
      <c r="G177" t="n">
        <v>5.9</v>
      </c>
      <c r="H177" t="n">
        <v>0</v>
      </c>
      <c r="I177" t="n">
        <v>3</v>
      </c>
      <c r="J177" t="n">
        <v>6</v>
      </c>
      <c r="K177" t="n">
        <v>1</v>
      </c>
      <c r="L177" t="n">
        <v>0</v>
      </c>
      <c r="M177" t="n">
        <v>0</v>
      </c>
      <c r="N177" t="n">
        <v>0</v>
      </c>
      <c r="O177" t="n">
        <v>7</v>
      </c>
      <c r="P177" t="n">
        <v>1</v>
      </c>
      <c r="Q177" t="n">
        <v>10</v>
      </c>
      <c r="R177" s="2" t="inlineStr">
        <is>
          <t>Smalfotad taggsvamp
Blågrå svartspik
Garnlav
Kolflarnlav
Mörk kolflarnlav
Nordtagging
Vedskivlav
Dropptaggsvamp
Gullgröppa
Vedticka</t>
        </is>
      </c>
      <c r="S177">
        <f>HYPERLINK("https://klasma.github.io/Logging_2482/artfynd/A 62308-2022 artfynd.xlsx", "A 62308-2022")</f>
        <v/>
      </c>
      <c r="T177">
        <f>HYPERLINK("https://klasma.github.io/Logging_2482/kartor/A 62308-2022 karta.png", "A 62308-2022")</f>
        <v/>
      </c>
      <c r="V177">
        <f>HYPERLINK("https://klasma.github.io/Logging_2482/klagomål/A 62308-2022 FSC-klagomål.docx", "A 62308-2022")</f>
        <v/>
      </c>
      <c r="W177">
        <f>HYPERLINK("https://klasma.github.io/Logging_2482/klagomålsmail/A 62308-2022 FSC-klagomål mail.docx", "A 62308-2022")</f>
        <v/>
      </c>
      <c r="X177">
        <f>HYPERLINK("https://klasma.github.io/Logging_2482/tillsyn/A 62308-2022 tillsynsbegäran.docx", "A 62308-2022")</f>
        <v/>
      </c>
      <c r="Y177">
        <f>HYPERLINK("https://klasma.github.io/Logging_2482/tillsynsmail/A 62308-2022 tillsynsbegäran mail.docx", "A 62308-2022")</f>
        <v/>
      </c>
    </row>
    <row r="178" ht="15" customHeight="1">
      <c r="A178" t="inlineStr">
        <is>
          <t>A 10862-2023</t>
        </is>
      </c>
      <c r="B178" s="1" t="n">
        <v>44991</v>
      </c>
      <c r="C178" s="1" t="n">
        <v>46075</v>
      </c>
      <c r="D178" t="inlineStr">
        <is>
          <t>VÄSTERBOTTENS LÄN</t>
        </is>
      </c>
      <c r="E178" t="inlineStr">
        <is>
          <t>VINDELN</t>
        </is>
      </c>
      <c r="G178" t="n">
        <v>26</v>
      </c>
      <c r="H178" t="n">
        <v>1</v>
      </c>
      <c r="I178" t="n">
        <v>2</v>
      </c>
      <c r="J178" t="n">
        <v>7</v>
      </c>
      <c r="K178" t="n">
        <v>1</v>
      </c>
      <c r="L178" t="n">
        <v>0</v>
      </c>
      <c r="M178" t="n">
        <v>0</v>
      </c>
      <c r="N178" t="n">
        <v>0</v>
      </c>
      <c r="O178" t="n">
        <v>8</v>
      </c>
      <c r="P178" t="n">
        <v>1</v>
      </c>
      <c r="Q178" t="n">
        <v>10</v>
      </c>
      <c r="R178" s="2" t="inlineStr">
        <is>
          <t>Smalfotad taggsvamp
Gammelgransskål
Järpe
Motaggsvamp
Nordtagging
Skrovlig taggsvamp
Svart taggsvamp
Vaddporing
Dropptaggsvamp
Skarp dropptaggsvamp</t>
        </is>
      </c>
      <c r="S178">
        <f>HYPERLINK("https://klasma.github.io/Logging_2404/artfynd/A 10862-2023 artfynd.xlsx", "A 10862-2023")</f>
        <v/>
      </c>
      <c r="T178">
        <f>HYPERLINK("https://klasma.github.io/Logging_2404/kartor/A 10862-2023 karta.png", "A 10862-2023")</f>
        <v/>
      </c>
      <c r="V178">
        <f>HYPERLINK("https://klasma.github.io/Logging_2404/klagomål/A 10862-2023 FSC-klagomål.docx", "A 10862-2023")</f>
        <v/>
      </c>
      <c r="W178">
        <f>HYPERLINK("https://klasma.github.io/Logging_2404/klagomålsmail/A 10862-2023 FSC-klagomål mail.docx", "A 10862-2023")</f>
        <v/>
      </c>
      <c r="X178">
        <f>HYPERLINK("https://klasma.github.io/Logging_2404/tillsyn/A 10862-2023 tillsynsbegäran.docx", "A 10862-2023")</f>
        <v/>
      </c>
      <c r="Y178">
        <f>HYPERLINK("https://klasma.github.io/Logging_2404/tillsynsmail/A 10862-2023 tillsynsbegäran mail.docx", "A 10862-2023")</f>
        <v/>
      </c>
      <c r="Z178">
        <f>HYPERLINK("https://klasma.github.io/Logging_2404/fåglar/A 10862-2023 prioriterade fågelarter.docx", "A 10862-2023")</f>
        <v/>
      </c>
    </row>
    <row r="179" ht="15" customHeight="1">
      <c r="A179" t="inlineStr">
        <is>
          <t>A 50406-2025</t>
        </is>
      </c>
      <c r="B179" s="1" t="n">
        <v>45944.63659722222</v>
      </c>
      <c r="C179" s="1" t="n">
        <v>46075</v>
      </c>
      <c r="D179" t="inlineStr">
        <is>
          <t>VÄSTERBOTTENS LÄN</t>
        </is>
      </c>
      <c r="E179" t="inlineStr">
        <is>
          <t>ROBERTSFORS</t>
        </is>
      </c>
      <c r="G179" t="n">
        <v>3.6</v>
      </c>
      <c r="H179" t="n">
        <v>2</v>
      </c>
      <c r="I179" t="n">
        <v>2</v>
      </c>
      <c r="J179" t="n">
        <v>7</v>
      </c>
      <c r="K179" t="n">
        <v>1</v>
      </c>
      <c r="L179" t="n">
        <v>0</v>
      </c>
      <c r="M179" t="n">
        <v>0</v>
      </c>
      <c r="N179" t="n">
        <v>0</v>
      </c>
      <c r="O179" t="n">
        <v>8</v>
      </c>
      <c r="P179" t="n">
        <v>1</v>
      </c>
      <c r="Q179" t="n">
        <v>10</v>
      </c>
      <c r="R179" s="2" t="inlineStr">
        <is>
          <t>Rynkskinn
Gammelgransskål
Garnlav
Spillkråka
Stjärntagging
Tretåig hackspett
Ullticka
Violettgrå tagellav
Bronshjon
Vedticka</t>
        </is>
      </c>
      <c r="S179">
        <f>HYPERLINK("https://klasma.github.io/Logging_2409/artfynd/A 50406-2025 artfynd.xlsx", "A 50406-2025")</f>
        <v/>
      </c>
      <c r="T179">
        <f>HYPERLINK("https://klasma.github.io/Logging_2409/kartor/A 50406-2025 karta.png", "A 50406-2025")</f>
        <v/>
      </c>
      <c r="V179">
        <f>HYPERLINK("https://klasma.github.io/Logging_2409/klagomål/A 50406-2025 FSC-klagomål.docx", "A 50406-2025")</f>
        <v/>
      </c>
      <c r="W179">
        <f>HYPERLINK("https://klasma.github.io/Logging_2409/klagomålsmail/A 50406-2025 FSC-klagomål mail.docx", "A 50406-2025")</f>
        <v/>
      </c>
      <c r="X179">
        <f>HYPERLINK("https://klasma.github.io/Logging_2409/tillsyn/A 50406-2025 tillsynsbegäran.docx", "A 50406-2025")</f>
        <v/>
      </c>
      <c r="Y179">
        <f>HYPERLINK("https://klasma.github.io/Logging_2409/tillsynsmail/A 50406-2025 tillsynsbegäran mail.docx", "A 50406-2025")</f>
        <v/>
      </c>
      <c r="Z179">
        <f>HYPERLINK("https://klasma.github.io/Logging_2409/fåglar/A 50406-2025 prioriterade fågelarter.docx", "A 50406-2025")</f>
        <v/>
      </c>
    </row>
    <row r="180" ht="15" customHeight="1">
      <c r="A180" t="inlineStr">
        <is>
          <t>A 59038-2024</t>
        </is>
      </c>
      <c r="B180" s="1" t="n">
        <v>45636</v>
      </c>
      <c r="C180" s="1" t="n">
        <v>46075</v>
      </c>
      <c r="D180" t="inlineStr">
        <is>
          <t>VÄSTERBOTTENS LÄN</t>
        </is>
      </c>
      <c r="E180" t="inlineStr">
        <is>
          <t>VILHELMINA</t>
        </is>
      </c>
      <c r="F180" t="inlineStr">
        <is>
          <t>Allmännings- och besparingsskogar</t>
        </is>
      </c>
      <c r="G180" t="n">
        <v>12.1</v>
      </c>
      <c r="H180" t="n">
        <v>2</v>
      </c>
      <c r="I180" t="n">
        <v>1</v>
      </c>
      <c r="J180" t="n">
        <v>8</v>
      </c>
      <c r="K180" t="n">
        <v>0</v>
      </c>
      <c r="L180" t="n">
        <v>0</v>
      </c>
      <c r="M180" t="n">
        <v>0</v>
      </c>
      <c r="N180" t="n">
        <v>0</v>
      </c>
      <c r="O180" t="n">
        <v>8</v>
      </c>
      <c r="P180" t="n">
        <v>0</v>
      </c>
      <c r="Q180" t="n">
        <v>10</v>
      </c>
      <c r="R180" s="2" t="inlineStr">
        <is>
          <t>Gammelgransskål
Garnlav
Granticka
Knottrig blåslav
Rödvingetrast
Ullticka
Vitgrynig nållav
Vitskaftad svartspik
Mörk husmossa
Lavskrika</t>
        </is>
      </c>
      <c r="S180">
        <f>HYPERLINK("https://klasma.github.io/Logging_2462/artfynd/A 59038-2024 artfynd.xlsx", "A 59038-2024")</f>
        <v/>
      </c>
      <c r="T180">
        <f>HYPERLINK("https://klasma.github.io/Logging_2462/kartor/A 59038-2024 karta.png", "A 59038-2024")</f>
        <v/>
      </c>
      <c r="V180">
        <f>HYPERLINK("https://klasma.github.io/Logging_2462/klagomål/A 59038-2024 FSC-klagomål.docx", "A 59038-2024")</f>
        <v/>
      </c>
      <c r="W180">
        <f>HYPERLINK("https://klasma.github.io/Logging_2462/klagomålsmail/A 59038-2024 FSC-klagomål mail.docx", "A 59038-2024")</f>
        <v/>
      </c>
      <c r="X180">
        <f>HYPERLINK("https://klasma.github.io/Logging_2462/tillsyn/A 59038-2024 tillsynsbegäran.docx", "A 59038-2024")</f>
        <v/>
      </c>
      <c r="Y180">
        <f>HYPERLINK("https://klasma.github.io/Logging_2462/tillsynsmail/A 59038-2024 tillsynsbegäran mail.docx", "A 59038-2024")</f>
        <v/>
      </c>
      <c r="Z180">
        <f>HYPERLINK("https://klasma.github.io/Logging_2462/fåglar/A 59038-2024 prioriterade fågelarter.docx", "A 59038-2024")</f>
        <v/>
      </c>
    </row>
    <row r="181" ht="15" customHeight="1">
      <c r="A181" t="inlineStr">
        <is>
          <t>A 8708-2023</t>
        </is>
      </c>
      <c r="B181" s="1" t="n">
        <v>44973</v>
      </c>
      <c r="C181" s="1" t="n">
        <v>46075</v>
      </c>
      <c r="D181" t="inlineStr">
        <is>
          <t>VÄSTERBOTTENS LÄN</t>
        </is>
      </c>
      <c r="E181" t="inlineStr">
        <is>
          <t>UMEÅ</t>
        </is>
      </c>
      <c r="G181" t="n">
        <v>8.4</v>
      </c>
      <c r="H181" t="n">
        <v>1</v>
      </c>
      <c r="I181" t="n">
        <v>2</v>
      </c>
      <c r="J181" t="n">
        <v>6</v>
      </c>
      <c r="K181" t="n">
        <v>1</v>
      </c>
      <c r="L181" t="n">
        <v>0</v>
      </c>
      <c r="M181" t="n">
        <v>0</v>
      </c>
      <c r="N181" t="n">
        <v>0</v>
      </c>
      <c r="O181" t="n">
        <v>7</v>
      </c>
      <c r="P181" t="n">
        <v>1</v>
      </c>
      <c r="Q181" t="n">
        <v>10</v>
      </c>
      <c r="R181" s="2" t="inlineStr">
        <is>
          <t>Aspgelélav
Garnlav
Granticka
Gränsticka
Lunglav
Nordtagging
Violettgrå tagellav
Skinnlav
Vedticka
Huggorm</t>
        </is>
      </c>
      <c r="S181">
        <f>HYPERLINK("https://klasma.github.io/Logging_2480/artfynd/A 8708-2023 artfynd.xlsx", "A 8708-2023")</f>
        <v/>
      </c>
      <c r="T181">
        <f>HYPERLINK("https://klasma.github.io/Logging_2480/kartor/A 8708-2023 karta.png", "A 8708-2023")</f>
        <v/>
      </c>
      <c r="V181">
        <f>HYPERLINK("https://klasma.github.io/Logging_2480/klagomål/A 8708-2023 FSC-klagomål.docx", "A 8708-2023")</f>
        <v/>
      </c>
      <c r="W181">
        <f>HYPERLINK("https://klasma.github.io/Logging_2480/klagomålsmail/A 8708-2023 FSC-klagomål mail.docx", "A 8708-2023")</f>
        <v/>
      </c>
      <c r="X181">
        <f>HYPERLINK("https://klasma.github.io/Logging_2480/tillsyn/A 8708-2023 tillsynsbegäran.docx", "A 8708-2023")</f>
        <v/>
      </c>
      <c r="Y181">
        <f>HYPERLINK("https://klasma.github.io/Logging_2480/tillsynsmail/A 8708-2023 tillsynsbegäran mail.docx", "A 8708-2023")</f>
        <v/>
      </c>
    </row>
    <row r="182" ht="15" customHeight="1">
      <c r="A182" t="inlineStr">
        <is>
          <t>A 5701-2023</t>
        </is>
      </c>
      <c r="B182" s="1" t="n">
        <v>44960</v>
      </c>
      <c r="C182" s="1" t="n">
        <v>46075</v>
      </c>
      <c r="D182" t="inlineStr">
        <is>
          <t>VÄSTERBOTTENS LÄN</t>
        </is>
      </c>
      <c r="E182" t="inlineStr">
        <is>
          <t>ÅSELE</t>
        </is>
      </c>
      <c r="F182" t="inlineStr">
        <is>
          <t>SCA</t>
        </is>
      </c>
      <c r="G182" t="n">
        <v>7.1</v>
      </c>
      <c r="H182" t="n">
        <v>1</v>
      </c>
      <c r="I182" t="n">
        <v>1</v>
      </c>
      <c r="J182" t="n">
        <v>8</v>
      </c>
      <c r="K182" t="n">
        <v>1</v>
      </c>
      <c r="L182" t="n">
        <v>0</v>
      </c>
      <c r="M182" t="n">
        <v>0</v>
      </c>
      <c r="N182" t="n">
        <v>0</v>
      </c>
      <c r="O182" t="n">
        <v>9</v>
      </c>
      <c r="P182" t="n">
        <v>1</v>
      </c>
      <c r="Q182" t="n">
        <v>10</v>
      </c>
      <c r="R182" s="2" t="inlineStr">
        <is>
          <t>Rynkskinn
Gammelgransskål
Garnlav
Reliktbock
Rosenticka
Skrovellav
Stiftgelélav
Tretåig hackspett
Ullticka
Stuplav</t>
        </is>
      </c>
      <c r="S182">
        <f>HYPERLINK("https://klasma.github.io/Logging_2463/artfynd/A 5701-2023 artfynd.xlsx", "A 5701-2023")</f>
        <v/>
      </c>
      <c r="T182">
        <f>HYPERLINK("https://klasma.github.io/Logging_2463/kartor/A 5701-2023 karta.png", "A 5701-2023")</f>
        <v/>
      </c>
      <c r="V182">
        <f>HYPERLINK("https://klasma.github.io/Logging_2463/klagomål/A 5701-2023 FSC-klagomål.docx", "A 5701-2023")</f>
        <v/>
      </c>
      <c r="W182">
        <f>HYPERLINK("https://klasma.github.io/Logging_2463/klagomålsmail/A 5701-2023 FSC-klagomål mail.docx", "A 5701-2023")</f>
        <v/>
      </c>
      <c r="X182">
        <f>HYPERLINK("https://klasma.github.io/Logging_2463/tillsyn/A 5701-2023 tillsynsbegäran.docx", "A 5701-2023")</f>
        <v/>
      </c>
      <c r="Y182">
        <f>HYPERLINK("https://klasma.github.io/Logging_2463/tillsynsmail/A 5701-2023 tillsynsbegäran mail.docx", "A 5701-2023")</f>
        <v/>
      </c>
      <c r="Z182">
        <f>HYPERLINK("https://klasma.github.io/Logging_2463/fåglar/A 5701-2023 prioriterade fågelarter.docx", "A 5701-2023")</f>
        <v/>
      </c>
    </row>
    <row r="183" ht="15" customHeight="1">
      <c r="A183" t="inlineStr">
        <is>
          <t>A 57190-2025</t>
        </is>
      </c>
      <c r="B183" s="1" t="n">
        <v>45979.57586805556</v>
      </c>
      <c r="C183" s="1" t="n">
        <v>46075</v>
      </c>
      <c r="D183" t="inlineStr">
        <is>
          <t>VÄSTERBOTTENS LÄN</t>
        </is>
      </c>
      <c r="E183" t="inlineStr">
        <is>
          <t>SORSELE</t>
        </is>
      </c>
      <c r="G183" t="n">
        <v>7.8</v>
      </c>
      <c r="H183" t="n">
        <v>1</v>
      </c>
      <c r="I183" t="n">
        <v>3</v>
      </c>
      <c r="J183" t="n">
        <v>5</v>
      </c>
      <c r="K183" t="n">
        <v>2</v>
      </c>
      <c r="L183" t="n">
        <v>0</v>
      </c>
      <c r="M183" t="n">
        <v>0</v>
      </c>
      <c r="N183" t="n">
        <v>0</v>
      </c>
      <c r="O183" t="n">
        <v>7</v>
      </c>
      <c r="P183" t="n">
        <v>2</v>
      </c>
      <c r="Q183" t="n">
        <v>10</v>
      </c>
      <c r="R183" s="2" t="inlineStr">
        <is>
          <t>Kristallticka
Lappticka
Gammelgransskål
Granticka
Lunglav
Skrovellav
Ullticka
Bårdlav
Luddlav
Spindelblomster</t>
        </is>
      </c>
      <c r="S183">
        <f>HYPERLINK("https://klasma.github.io/Logging_2422/artfynd/A 57190-2025 artfynd.xlsx", "A 57190-2025")</f>
        <v/>
      </c>
      <c r="T183">
        <f>HYPERLINK("https://klasma.github.io/Logging_2422/kartor/A 57190-2025 karta.png", "A 57190-2025")</f>
        <v/>
      </c>
      <c r="V183">
        <f>HYPERLINK("https://klasma.github.io/Logging_2422/klagomål/A 57190-2025 FSC-klagomål.docx", "A 57190-2025")</f>
        <v/>
      </c>
      <c r="W183">
        <f>HYPERLINK("https://klasma.github.io/Logging_2422/klagomålsmail/A 57190-2025 FSC-klagomål mail.docx", "A 57190-2025")</f>
        <v/>
      </c>
      <c r="X183">
        <f>HYPERLINK("https://klasma.github.io/Logging_2422/tillsyn/A 57190-2025 tillsynsbegäran.docx", "A 57190-2025")</f>
        <v/>
      </c>
      <c r="Y183">
        <f>HYPERLINK("https://klasma.github.io/Logging_2422/tillsynsmail/A 57190-2025 tillsynsbegäran mail.docx", "A 57190-2025")</f>
        <v/>
      </c>
    </row>
    <row r="184" ht="15" customHeight="1">
      <c r="A184" t="inlineStr">
        <is>
          <t>A 3370-2022</t>
        </is>
      </c>
      <c r="B184" s="1" t="n">
        <v>44585</v>
      </c>
      <c r="C184" s="1" t="n">
        <v>46075</v>
      </c>
      <c r="D184" t="inlineStr">
        <is>
          <t>VÄSTERBOTTENS LÄN</t>
        </is>
      </c>
      <c r="E184" t="inlineStr">
        <is>
          <t>STORUMAN</t>
        </is>
      </c>
      <c r="G184" t="n">
        <v>1.7</v>
      </c>
      <c r="H184" t="n">
        <v>4</v>
      </c>
      <c r="I184" t="n">
        <v>2</v>
      </c>
      <c r="J184" t="n">
        <v>7</v>
      </c>
      <c r="K184" t="n">
        <v>0</v>
      </c>
      <c r="L184" t="n">
        <v>0</v>
      </c>
      <c r="M184" t="n">
        <v>0</v>
      </c>
      <c r="N184" t="n">
        <v>0</v>
      </c>
      <c r="O184" t="n">
        <v>7</v>
      </c>
      <c r="P184" t="n">
        <v>0</v>
      </c>
      <c r="Q184" t="n">
        <v>10</v>
      </c>
      <c r="R184" s="2" t="inlineStr">
        <is>
          <t>Garnlav
Granticka
Rödbrun blekspik
Skrovellav
Spillkråka
Talltita
Vitgrynig nållav
Spindelblomster
Stuplav
Revlummer</t>
        </is>
      </c>
      <c r="S184">
        <f>HYPERLINK("https://klasma.github.io/Logging_2421/artfynd/A 3370-2022 artfynd.xlsx", "A 3370-2022")</f>
        <v/>
      </c>
      <c r="T184">
        <f>HYPERLINK("https://klasma.github.io/Logging_2421/kartor/A 3370-2022 karta.png", "A 3370-2022")</f>
        <v/>
      </c>
      <c r="V184">
        <f>HYPERLINK("https://klasma.github.io/Logging_2421/klagomål/A 3370-2022 FSC-klagomål.docx", "A 3370-2022")</f>
        <v/>
      </c>
      <c r="W184">
        <f>HYPERLINK("https://klasma.github.io/Logging_2421/klagomålsmail/A 3370-2022 FSC-klagomål mail.docx", "A 3370-2022")</f>
        <v/>
      </c>
      <c r="X184">
        <f>HYPERLINK("https://klasma.github.io/Logging_2421/tillsyn/A 3370-2022 tillsynsbegäran.docx", "A 3370-2022")</f>
        <v/>
      </c>
      <c r="Y184">
        <f>HYPERLINK("https://klasma.github.io/Logging_2421/tillsynsmail/A 3370-2022 tillsynsbegäran mail.docx", "A 3370-2022")</f>
        <v/>
      </c>
      <c r="Z184">
        <f>HYPERLINK("https://klasma.github.io/Logging_2421/fåglar/A 3370-2022 prioriterade fågelarter.docx", "A 3370-2022")</f>
        <v/>
      </c>
    </row>
    <row r="185" ht="15" customHeight="1">
      <c r="A185" t="inlineStr">
        <is>
          <t>A 50032-2024</t>
        </is>
      </c>
      <c r="B185" s="1" t="n">
        <v>45599</v>
      </c>
      <c r="C185" s="1" t="n">
        <v>46075</v>
      </c>
      <c r="D185" t="inlineStr">
        <is>
          <t>VÄSTERBOTTENS LÄN</t>
        </is>
      </c>
      <c r="E185" t="inlineStr">
        <is>
          <t>SKELLEFTEÅ</t>
        </is>
      </c>
      <c r="F185" t="inlineStr">
        <is>
          <t>Sveaskog</t>
        </is>
      </c>
      <c r="G185" t="n">
        <v>22.7</v>
      </c>
      <c r="H185" t="n">
        <v>3</v>
      </c>
      <c r="I185" t="n">
        <v>2</v>
      </c>
      <c r="J185" t="n">
        <v>7</v>
      </c>
      <c r="K185" t="n">
        <v>0</v>
      </c>
      <c r="L185" t="n">
        <v>1</v>
      </c>
      <c r="M185" t="n">
        <v>0</v>
      </c>
      <c r="N185" t="n">
        <v>0</v>
      </c>
      <c r="O185" t="n">
        <v>8</v>
      </c>
      <c r="P185" t="n">
        <v>1</v>
      </c>
      <c r="Q185" t="n">
        <v>10</v>
      </c>
      <c r="R185" s="2" t="inlineStr">
        <is>
          <t>Urskogsporing
Gammelgransskål
Granticka
Kolflarnlav
Mörk kolflarnlav
Spillkråka
Talltita
Tretåig hackspett
Dropptaggsvamp
Skinnlav</t>
        </is>
      </c>
      <c r="S185">
        <f>HYPERLINK("https://klasma.github.io/Logging_2482/artfynd/A 50032-2024 artfynd.xlsx", "A 50032-2024")</f>
        <v/>
      </c>
      <c r="T185">
        <f>HYPERLINK("https://klasma.github.io/Logging_2482/kartor/A 50032-2024 karta.png", "A 50032-2024")</f>
        <v/>
      </c>
      <c r="V185">
        <f>HYPERLINK("https://klasma.github.io/Logging_2482/klagomål/A 50032-2024 FSC-klagomål.docx", "A 50032-2024")</f>
        <v/>
      </c>
      <c r="W185">
        <f>HYPERLINK("https://klasma.github.io/Logging_2482/klagomålsmail/A 50032-2024 FSC-klagomål mail.docx", "A 50032-2024")</f>
        <v/>
      </c>
      <c r="X185">
        <f>HYPERLINK("https://klasma.github.io/Logging_2482/tillsyn/A 50032-2024 tillsynsbegäran.docx", "A 50032-2024")</f>
        <v/>
      </c>
      <c r="Y185">
        <f>HYPERLINK("https://klasma.github.io/Logging_2482/tillsynsmail/A 50032-2024 tillsynsbegäran mail.docx", "A 50032-2024")</f>
        <v/>
      </c>
      <c r="Z185">
        <f>HYPERLINK("https://klasma.github.io/Logging_2482/fåglar/A 50032-2024 prioriterade fågelarter.docx", "A 50032-2024")</f>
        <v/>
      </c>
    </row>
    <row r="186" ht="15" customHeight="1">
      <c r="A186" t="inlineStr">
        <is>
          <t>A 2574-2026</t>
        </is>
      </c>
      <c r="B186" s="1" t="n">
        <v>46037.51079861111</v>
      </c>
      <c r="C186" s="1" t="n">
        <v>46075</v>
      </c>
      <c r="D186" t="inlineStr">
        <is>
          <t>VÄSTERBOTTENS LÄN</t>
        </is>
      </c>
      <c r="E186" t="inlineStr">
        <is>
          <t>SKELLEFTEÅ</t>
        </is>
      </c>
      <c r="G186" t="n">
        <v>11.2</v>
      </c>
      <c r="H186" t="n">
        <v>3</v>
      </c>
      <c r="I186" t="n">
        <v>2</v>
      </c>
      <c r="J186" t="n">
        <v>8</v>
      </c>
      <c r="K186" t="n">
        <v>0</v>
      </c>
      <c r="L186" t="n">
        <v>0</v>
      </c>
      <c r="M186" t="n">
        <v>0</v>
      </c>
      <c r="N186" t="n">
        <v>0</v>
      </c>
      <c r="O186" t="n">
        <v>8</v>
      </c>
      <c r="P186" t="n">
        <v>0</v>
      </c>
      <c r="Q186" t="n">
        <v>10</v>
      </c>
      <c r="R186" s="2" t="inlineStr">
        <is>
          <t>Dvärgbägarlav
Gammelgransskål
Garnlav
Hornvaxskinn
Talltita
Tretåig hackspett
Ullticka
Videsparv
Bårdlav
Vedticka</t>
        </is>
      </c>
      <c r="S186">
        <f>HYPERLINK("https://klasma.github.io/Logging_2482/artfynd/A 2574-2026 artfynd.xlsx", "A 2574-2026")</f>
        <v/>
      </c>
      <c r="T186">
        <f>HYPERLINK("https://klasma.github.io/Logging_2482/kartor/A 2574-2026 karta.png", "A 2574-2026")</f>
        <v/>
      </c>
      <c r="V186">
        <f>HYPERLINK("https://klasma.github.io/Logging_2482/klagomål/A 2574-2026 FSC-klagomål.docx", "A 2574-2026")</f>
        <v/>
      </c>
      <c r="W186">
        <f>HYPERLINK("https://klasma.github.io/Logging_2482/klagomålsmail/A 2574-2026 FSC-klagomål mail.docx", "A 2574-2026")</f>
        <v/>
      </c>
      <c r="X186">
        <f>HYPERLINK("https://klasma.github.io/Logging_2482/tillsyn/A 2574-2026 tillsynsbegäran.docx", "A 2574-2026")</f>
        <v/>
      </c>
      <c r="Y186">
        <f>HYPERLINK("https://klasma.github.io/Logging_2482/tillsynsmail/A 2574-2026 tillsynsbegäran mail.docx", "A 2574-2026")</f>
        <v/>
      </c>
      <c r="Z186">
        <f>HYPERLINK("https://klasma.github.io/Logging_2482/fåglar/A 2574-2026 prioriterade fågelarter.docx", "A 2574-2026")</f>
        <v/>
      </c>
    </row>
    <row r="187" ht="15" customHeight="1">
      <c r="A187" t="inlineStr">
        <is>
          <t>A 31173-2021</t>
        </is>
      </c>
      <c r="B187" s="1" t="n">
        <v>44368</v>
      </c>
      <c r="C187" s="1" t="n">
        <v>46075</v>
      </c>
      <c r="D187" t="inlineStr">
        <is>
          <t>VÄSTERBOTTENS LÄN</t>
        </is>
      </c>
      <c r="E187" t="inlineStr">
        <is>
          <t>SKELLEFTEÅ</t>
        </is>
      </c>
      <c r="G187" t="n">
        <v>41.4</v>
      </c>
      <c r="H187" t="n">
        <v>1</v>
      </c>
      <c r="I187" t="n">
        <v>1</v>
      </c>
      <c r="J187" t="n">
        <v>8</v>
      </c>
      <c r="K187" t="n">
        <v>1</v>
      </c>
      <c r="L187" t="n">
        <v>0</v>
      </c>
      <c r="M187" t="n">
        <v>0</v>
      </c>
      <c r="N187" t="n">
        <v>0</v>
      </c>
      <c r="O187" t="n">
        <v>9</v>
      </c>
      <c r="P187" t="n">
        <v>1</v>
      </c>
      <c r="Q187" t="n">
        <v>10</v>
      </c>
      <c r="R187" s="2" t="inlineStr">
        <is>
          <t>Ulltickeporing
Gammelgransskål
Granticka
Gränsticka
Harticka
Rosenticka
Stjärntagging
Tretåig hackspett
Ullticka
Stuplav</t>
        </is>
      </c>
      <c r="S187">
        <f>HYPERLINK("https://klasma.github.io/Logging_2482/artfynd/A 31173-2021 artfynd.xlsx", "A 31173-2021")</f>
        <v/>
      </c>
      <c r="T187">
        <f>HYPERLINK("https://klasma.github.io/Logging_2482/kartor/A 31173-2021 karta.png", "A 31173-2021")</f>
        <v/>
      </c>
      <c r="V187">
        <f>HYPERLINK("https://klasma.github.io/Logging_2482/klagomål/A 31173-2021 FSC-klagomål.docx", "A 31173-2021")</f>
        <v/>
      </c>
      <c r="W187">
        <f>HYPERLINK("https://klasma.github.io/Logging_2482/klagomålsmail/A 31173-2021 FSC-klagomål mail.docx", "A 31173-2021")</f>
        <v/>
      </c>
      <c r="X187">
        <f>HYPERLINK("https://klasma.github.io/Logging_2482/tillsyn/A 31173-2021 tillsynsbegäran.docx", "A 31173-2021")</f>
        <v/>
      </c>
      <c r="Y187">
        <f>HYPERLINK("https://klasma.github.io/Logging_2482/tillsynsmail/A 31173-2021 tillsynsbegäran mail.docx", "A 31173-2021")</f>
        <v/>
      </c>
      <c r="Z187">
        <f>HYPERLINK("https://klasma.github.io/Logging_2482/fåglar/A 31173-2021 prioriterade fågelarter.docx", "A 31173-2021")</f>
        <v/>
      </c>
    </row>
    <row r="188" ht="15" customHeight="1">
      <c r="A188" t="inlineStr">
        <is>
          <t>A 28986-2025</t>
        </is>
      </c>
      <c r="B188" s="1" t="n">
        <v>45821</v>
      </c>
      <c r="C188" s="1" t="n">
        <v>46075</v>
      </c>
      <c r="D188" t="inlineStr">
        <is>
          <t>VÄSTERBOTTENS LÄN</t>
        </is>
      </c>
      <c r="E188" t="inlineStr">
        <is>
          <t>SKELLEFTEÅ</t>
        </is>
      </c>
      <c r="F188" t="inlineStr">
        <is>
          <t>Holmen skog AB</t>
        </is>
      </c>
      <c r="G188" t="n">
        <v>12.5</v>
      </c>
      <c r="H188" t="n">
        <v>2</v>
      </c>
      <c r="I188" t="n">
        <v>0</v>
      </c>
      <c r="J188" t="n">
        <v>9</v>
      </c>
      <c r="K188" t="n">
        <v>1</v>
      </c>
      <c r="L188" t="n">
        <v>0</v>
      </c>
      <c r="M188" t="n">
        <v>0</v>
      </c>
      <c r="N188" t="n">
        <v>0</v>
      </c>
      <c r="O188" t="n">
        <v>10</v>
      </c>
      <c r="P188" t="n">
        <v>1</v>
      </c>
      <c r="Q188" t="n">
        <v>10</v>
      </c>
      <c r="R188" s="2" t="inlineStr">
        <is>
          <t>Ulltickeporing
Garnlav
Granticka
Gränsticka
Lunglav
Rosenticka
Spillkråka
Tretåig hackspett
Ullticka
Violettgrå tagellav</t>
        </is>
      </c>
      <c r="S188">
        <f>HYPERLINK("https://klasma.github.io/Logging_2482/artfynd/A 28986-2025 artfynd.xlsx", "A 28986-2025")</f>
        <v/>
      </c>
      <c r="T188">
        <f>HYPERLINK("https://klasma.github.io/Logging_2482/kartor/A 28986-2025 karta.png", "A 28986-2025")</f>
        <v/>
      </c>
      <c r="V188">
        <f>HYPERLINK("https://klasma.github.io/Logging_2482/klagomål/A 28986-2025 FSC-klagomål.docx", "A 28986-2025")</f>
        <v/>
      </c>
      <c r="W188">
        <f>HYPERLINK("https://klasma.github.io/Logging_2482/klagomålsmail/A 28986-2025 FSC-klagomål mail.docx", "A 28986-2025")</f>
        <v/>
      </c>
      <c r="X188">
        <f>HYPERLINK("https://klasma.github.io/Logging_2482/tillsyn/A 28986-2025 tillsynsbegäran.docx", "A 28986-2025")</f>
        <v/>
      </c>
      <c r="Y188">
        <f>HYPERLINK("https://klasma.github.io/Logging_2482/tillsynsmail/A 28986-2025 tillsynsbegäran mail.docx", "A 28986-2025")</f>
        <v/>
      </c>
      <c r="Z188">
        <f>HYPERLINK("https://klasma.github.io/Logging_2482/fåglar/A 28986-2025 prioriterade fågelarter.docx", "A 28986-2025")</f>
        <v/>
      </c>
    </row>
    <row r="189" ht="15" customHeight="1">
      <c r="A189" t="inlineStr">
        <is>
          <t>A 28716-2024</t>
        </is>
      </c>
      <c r="B189" s="1" t="n">
        <v>45478</v>
      </c>
      <c r="C189" s="1" t="n">
        <v>46075</v>
      </c>
      <c r="D189" t="inlineStr">
        <is>
          <t>VÄSTERBOTTENS LÄN</t>
        </is>
      </c>
      <c r="E189" t="inlineStr">
        <is>
          <t>VINDELN</t>
        </is>
      </c>
      <c r="F189" t="inlineStr">
        <is>
          <t>Holmen skog AB</t>
        </is>
      </c>
      <c r="G189" t="n">
        <v>3.6</v>
      </c>
      <c r="H189" t="n">
        <v>6</v>
      </c>
      <c r="I189" t="n">
        <v>2</v>
      </c>
      <c r="J189" t="n">
        <v>5</v>
      </c>
      <c r="K189" t="n">
        <v>1</v>
      </c>
      <c r="L189" t="n">
        <v>0</v>
      </c>
      <c r="M189" t="n">
        <v>0</v>
      </c>
      <c r="N189" t="n">
        <v>0</v>
      </c>
      <c r="O189" t="n">
        <v>6</v>
      </c>
      <c r="P189" t="n">
        <v>1</v>
      </c>
      <c r="Q189" t="n">
        <v>10</v>
      </c>
      <c r="R189" s="2" t="inlineStr">
        <is>
          <t>Knärot
Garnlav
Lunglav
Spillkråka
Talltita
Tretåig hackspett
Bårdlav
Stuplav
Kungsfågel
Fläcknycklar</t>
        </is>
      </c>
      <c r="S189">
        <f>HYPERLINK("https://klasma.github.io/Logging_2404/artfynd/A 28716-2024 artfynd.xlsx", "A 28716-2024")</f>
        <v/>
      </c>
      <c r="T189">
        <f>HYPERLINK("https://klasma.github.io/Logging_2404/kartor/A 28716-2024 karta.png", "A 28716-2024")</f>
        <v/>
      </c>
      <c r="U189">
        <f>HYPERLINK("https://klasma.github.io/Logging_2404/knärot/A 28716-2024 karta knärot.png", "A 28716-2024")</f>
        <v/>
      </c>
      <c r="V189">
        <f>HYPERLINK("https://klasma.github.io/Logging_2404/klagomål/A 28716-2024 FSC-klagomål.docx", "A 28716-2024")</f>
        <v/>
      </c>
      <c r="W189">
        <f>HYPERLINK("https://klasma.github.io/Logging_2404/klagomålsmail/A 28716-2024 FSC-klagomål mail.docx", "A 28716-2024")</f>
        <v/>
      </c>
      <c r="X189">
        <f>HYPERLINK("https://klasma.github.io/Logging_2404/tillsyn/A 28716-2024 tillsynsbegäran.docx", "A 28716-2024")</f>
        <v/>
      </c>
      <c r="Y189">
        <f>HYPERLINK("https://klasma.github.io/Logging_2404/tillsynsmail/A 28716-2024 tillsynsbegäran mail.docx", "A 28716-2024")</f>
        <v/>
      </c>
      <c r="Z189">
        <f>HYPERLINK("https://klasma.github.io/Logging_2404/fåglar/A 28716-2024 prioriterade fågelarter.docx", "A 28716-2024")</f>
        <v/>
      </c>
    </row>
    <row r="190" ht="15" customHeight="1">
      <c r="A190" t="inlineStr">
        <is>
          <t>A 9093-2025</t>
        </is>
      </c>
      <c r="B190" s="1" t="n">
        <v>45713</v>
      </c>
      <c r="C190" s="1" t="n">
        <v>46075</v>
      </c>
      <c r="D190" t="inlineStr">
        <is>
          <t>VÄSTERBOTTENS LÄN</t>
        </is>
      </c>
      <c r="E190" t="inlineStr">
        <is>
          <t>SKELLEFTEÅ</t>
        </is>
      </c>
      <c r="G190" t="n">
        <v>10.5</v>
      </c>
      <c r="H190" t="n">
        <v>4</v>
      </c>
      <c r="I190" t="n">
        <v>2</v>
      </c>
      <c r="J190" t="n">
        <v>7</v>
      </c>
      <c r="K190" t="n">
        <v>1</v>
      </c>
      <c r="L190" t="n">
        <v>0</v>
      </c>
      <c r="M190" t="n">
        <v>0</v>
      </c>
      <c r="N190" t="n">
        <v>0</v>
      </c>
      <c r="O190" t="n">
        <v>8</v>
      </c>
      <c r="P190" t="n">
        <v>1</v>
      </c>
      <c r="Q190" t="n">
        <v>10</v>
      </c>
      <c r="R190" s="2" t="inlineStr">
        <is>
          <t>Knärot
Garnlav
Granticka
Spillkråka
Talltita
Tretåig hackspett
Ullticka
Violettgrå tagellav
Bronshjon
Vedticka</t>
        </is>
      </c>
      <c r="S190">
        <f>HYPERLINK("https://klasma.github.io/Logging_2482/artfynd/A 9093-2025 artfynd.xlsx", "A 9093-2025")</f>
        <v/>
      </c>
      <c r="T190">
        <f>HYPERLINK("https://klasma.github.io/Logging_2482/kartor/A 9093-2025 karta.png", "A 9093-2025")</f>
        <v/>
      </c>
      <c r="U190">
        <f>HYPERLINK("https://klasma.github.io/Logging_2482/knärot/A 9093-2025 karta knärot.png", "A 9093-2025")</f>
        <v/>
      </c>
      <c r="V190">
        <f>HYPERLINK("https://klasma.github.io/Logging_2482/klagomål/A 9093-2025 FSC-klagomål.docx", "A 9093-2025")</f>
        <v/>
      </c>
      <c r="W190">
        <f>HYPERLINK("https://klasma.github.io/Logging_2482/klagomålsmail/A 9093-2025 FSC-klagomål mail.docx", "A 9093-2025")</f>
        <v/>
      </c>
      <c r="X190">
        <f>HYPERLINK("https://klasma.github.io/Logging_2482/tillsyn/A 9093-2025 tillsynsbegäran.docx", "A 9093-2025")</f>
        <v/>
      </c>
      <c r="Y190">
        <f>HYPERLINK("https://klasma.github.io/Logging_2482/tillsynsmail/A 9093-2025 tillsynsbegäran mail.docx", "A 9093-2025")</f>
        <v/>
      </c>
      <c r="Z190">
        <f>HYPERLINK("https://klasma.github.io/Logging_2482/fåglar/A 9093-2025 prioriterade fågelarter.docx", "A 9093-2025")</f>
        <v/>
      </c>
    </row>
    <row r="191" ht="15" customHeight="1">
      <c r="A191" t="inlineStr">
        <is>
          <t>A 52336-2024</t>
        </is>
      </c>
      <c r="B191" s="1" t="n">
        <v>45609</v>
      </c>
      <c r="C191" s="1" t="n">
        <v>46075</v>
      </c>
      <c r="D191" t="inlineStr">
        <is>
          <t>VÄSTERBOTTENS LÄN</t>
        </is>
      </c>
      <c r="E191" t="inlineStr">
        <is>
          <t>SORSELE</t>
        </is>
      </c>
      <c r="G191" t="n">
        <v>22</v>
      </c>
      <c r="H191" t="n">
        <v>0</v>
      </c>
      <c r="I191" t="n">
        <v>0</v>
      </c>
      <c r="J191" t="n">
        <v>9</v>
      </c>
      <c r="K191" t="n">
        <v>1</v>
      </c>
      <c r="L191" t="n">
        <v>0</v>
      </c>
      <c r="M191" t="n">
        <v>0</v>
      </c>
      <c r="N191" t="n">
        <v>0</v>
      </c>
      <c r="O191" t="n">
        <v>10</v>
      </c>
      <c r="P191" t="n">
        <v>1</v>
      </c>
      <c r="Q191" t="n">
        <v>10</v>
      </c>
      <c r="R191" s="2" t="inlineStr">
        <is>
          <t>Rynkskinn
Garnlav
Granticka
Gränsticka
Knottrig blåslav
Rosenticka
Ullticka
Vedflamlav
Vedskivlav
Vitskaftad svartspik</t>
        </is>
      </c>
      <c r="S191">
        <f>HYPERLINK("https://klasma.github.io/Logging_2422/artfynd/A 52336-2024 artfynd.xlsx", "A 52336-2024")</f>
        <v/>
      </c>
      <c r="T191">
        <f>HYPERLINK("https://klasma.github.io/Logging_2422/kartor/A 52336-2024 karta.png", "A 52336-2024")</f>
        <v/>
      </c>
      <c r="V191">
        <f>HYPERLINK("https://klasma.github.io/Logging_2422/klagomål/A 52336-2024 FSC-klagomål.docx", "A 52336-2024")</f>
        <v/>
      </c>
      <c r="W191">
        <f>HYPERLINK("https://klasma.github.io/Logging_2422/klagomålsmail/A 52336-2024 FSC-klagomål mail.docx", "A 52336-2024")</f>
        <v/>
      </c>
      <c r="X191">
        <f>HYPERLINK("https://klasma.github.io/Logging_2422/tillsyn/A 52336-2024 tillsynsbegäran.docx", "A 52336-2024")</f>
        <v/>
      </c>
      <c r="Y191">
        <f>HYPERLINK("https://klasma.github.io/Logging_2422/tillsynsmail/A 52336-2024 tillsynsbegäran mail.docx", "A 52336-2024")</f>
        <v/>
      </c>
    </row>
    <row r="192" ht="15" customHeight="1">
      <c r="A192" t="inlineStr">
        <is>
          <t>A 22677-2024</t>
        </is>
      </c>
      <c r="B192" s="1" t="n">
        <v>45447</v>
      </c>
      <c r="C192" s="1" t="n">
        <v>46075</v>
      </c>
      <c r="D192" t="inlineStr">
        <is>
          <t>VÄSTERBOTTENS LÄN</t>
        </is>
      </c>
      <c r="E192" t="inlineStr">
        <is>
          <t>BJURHOLM</t>
        </is>
      </c>
      <c r="F192" t="inlineStr">
        <is>
          <t>SCA</t>
        </is>
      </c>
      <c r="G192" t="n">
        <v>14.4</v>
      </c>
      <c r="H192" t="n">
        <v>3</v>
      </c>
      <c r="I192" t="n">
        <v>1</v>
      </c>
      <c r="J192" t="n">
        <v>6</v>
      </c>
      <c r="K192" t="n">
        <v>1</v>
      </c>
      <c r="L192" t="n">
        <v>0</v>
      </c>
      <c r="M192" t="n">
        <v>0</v>
      </c>
      <c r="N192" t="n">
        <v>0</v>
      </c>
      <c r="O192" t="n">
        <v>7</v>
      </c>
      <c r="P192" t="n">
        <v>1</v>
      </c>
      <c r="Q192" t="n">
        <v>10</v>
      </c>
      <c r="R192" s="2" t="inlineStr">
        <is>
          <t>Lappticka
Duvhök
Garnlav
Granticka
Lunglav
Stjärntagging
Ullticka
Vedticka
Tjäder
Fläcknycklar</t>
        </is>
      </c>
      <c r="S192">
        <f>HYPERLINK("https://klasma.github.io/Logging_2403/artfynd/A 22677-2024 artfynd.xlsx", "A 22677-2024")</f>
        <v/>
      </c>
      <c r="T192">
        <f>HYPERLINK("https://klasma.github.io/Logging_2403/kartor/A 22677-2024 karta.png", "A 22677-2024")</f>
        <v/>
      </c>
      <c r="V192">
        <f>HYPERLINK("https://klasma.github.io/Logging_2403/klagomål/A 22677-2024 FSC-klagomål.docx", "A 22677-2024")</f>
        <v/>
      </c>
      <c r="W192">
        <f>HYPERLINK("https://klasma.github.io/Logging_2403/klagomålsmail/A 22677-2024 FSC-klagomål mail.docx", "A 22677-2024")</f>
        <v/>
      </c>
      <c r="X192">
        <f>HYPERLINK("https://klasma.github.io/Logging_2403/tillsyn/A 22677-2024 tillsynsbegäran.docx", "A 22677-2024")</f>
        <v/>
      </c>
      <c r="Y192">
        <f>HYPERLINK("https://klasma.github.io/Logging_2403/tillsynsmail/A 22677-2024 tillsynsbegäran mail.docx", "A 22677-2024")</f>
        <v/>
      </c>
      <c r="Z192">
        <f>HYPERLINK("https://klasma.github.io/Logging_2403/fåglar/A 22677-2024 prioriterade fågelarter.docx", "A 22677-2024")</f>
        <v/>
      </c>
    </row>
    <row r="193" ht="15" customHeight="1">
      <c r="A193" t="inlineStr">
        <is>
          <t>A 56840-2023</t>
        </is>
      </c>
      <c r="B193" s="1" t="n">
        <v>45238</v>
      </c>
      <c r="C193" s="1" t="n">
        <v>46075</v>
      </c>
      <c r="D193" t="inlineStr">
        <is>
          <t>VÄSTERBOTTENS LÄN</t>
        </is>
      </c>
      <c r="E193" t="inlineStr">
        <is>
          <t>VILHELMINA</t>
        </is>
      </c>
      <c r="F193" t="inlineStr">
        <is>
          <t>Allmännings- och besparingsskogar</t>
        </is>
      </c>
      <c r="G193" t="n">
        <v>55</v>
      </c>
      <c r="H193" t="n">
        <v>0</v>
      </c>
      <c r="I193" t="n">
        <v>1</v>
      </c>
      <c r="J193" t="n">
        <v>7</v>
      </c>
      <c r="K193" t="n">
        <v>2</v>
      </c>
      <c r="L193" t="n">
        <v>0</v>
      </c>
      <c r="M193" t="n">
        <v>0</v>
      </c>
      <c r="N193" t="n">
        <v>0</v>
      </c>
      <c r="O193" t="n">
        <v>9</v>
      </c>
      <c r="P193" t="n">
        <v>2</v>
      </c>
      <c r="Q193" t="n">
        <v>10</v>
      </c>
      <c r="R193" s="2" t="inlineStr">
        <is>
          <t>Kristallticka
Tajgaskinn
Doftskinn
Gammelgransskål
Granticka
Gränsticka
Harticka
Rosenticka
Skrovellav
Sotlav</t>
        </is>
      </c>
      <c r="S193">
        <f>HYPERLINK("https://klasma.github.io/Logging_2462/artfynd/A 56840-2023 artfynd.xlsx", "A 56840-2023")</f>
        <v/>
      </c>
      <c r="T193">
        <f>HYPERLINK("https://klasma.github.io/Logging_2462/kartor/A 56840-2023 karta.png", "A 56840-2023")</f>
        <v/>
      </c>
      <c r="V193">
        <f>HYPERLINK("https://klasma.github.io/Logging_2462/klagomål/A 56840-2023 FSC-klagomål.docx", "A 56840-2023")</f>
        <v/>
      </c>
      <c r="W193">
        <f>HYPERLINK("https://klasma.github.io/Logging_2462/klagomålsmail/A 56840-2023 FSC-klagomål mail.docx", "A 56840-2023")</f>
        <v/>
      </c>
      <c r="X193">
        <f>HYPERLINK("https://klasma.github.io/Logging_2462/tillsyn/A 56840-2023 tillsynsbegäran.docx", "A 56840-2023")</f>
        <v/>
      </c>
      <c r="Y193">
        <f>HYPERLINK("https://klasma.github.io/Logging_2462/tillsynsmail/A 56840-2023 tillsynsbegäran mail.docx", "A 56840-2023")</f>
        <v/>
      </c>
    </row>
    <row r="194" ht="15" customHeight="1">
      <c r="A194" t="inlineStr">
        <is>
          <t>A 6969-2023</t>
        </is>
      </c>
      <c r="B194" s="1" t="n">
        <v>44964</v>
      </c>
      <c r="C194" s="1" t="n">
        <v>46075</v>
      </c>
      <c r="D194" t="inlineStr">
        <is>
          <t>VÄSTERBOTTENS LÄN</t>
        </is>
      </c>
      <c r="E194" t="inlineStr">
        <is>
          <t>VILHELMINA</t>
        </is>
      </c>
      <c r="F194" t="inlineStr">
        <is>
          <t>Allmännings- och besparingsskogar</t>
        </is>
      </c>
      <c r="G194" t="n">
        <v>22</v>
      </c>
      <c r="H194" t="n">
        <v>0</v>
      </c>
      <c r="I194" t="n">
        <v>3</v>
      </c>
      <c r="J194" t="n">
        <v>7</v>
      </c>
      <c r="K194" t="n">
        <v>0</v>
      </c>
      <c r="L194" t="n">
        <v>0</v>
      </c>
      <c r="M194" t="n">
        <v>0</v>
      </c>
      <c r="N194" t="n">
        <v>0</v>
      </c>
      <c r="O194" t="n">
        <v>7</v>
      </c>
      <c r="P194" t="n">
        <v>0</v>
      </c>
      <c r="Q194" t="n">
        <v>10</v>
      </c>
      <c r="R194" s="2" t="inlineStr">
        <is>
          <t>Brunpudrad nållav
Garnlav
Granticka
Rosenticka
Rödbrun blekspik
Skrovellav
Ullticka
Gulnål
Mörk husmossa
Stuplav</t>
        </is>
      </c>
      <c r="S194">
        <f>HYPERLINK("https://klasma.github.io/Logging_2462/artfynd/A 6969-2023 artfynd.xlsx", "A 6969-2023")</f>
        <v/>
      </c>
      <c r="T194">
        <f>HYPERLINK("https://klasma.github.io/Logging_2462/kartor/A 6969-2023 karta.png", "A 6969-2023")</f>
        <v/>
      </c>
      <c r="V194">
        <f>HYPERLINK("https://klasma.github.io/Logging_2462/klagomål/A 6969-2023 FSC-klagomål.docx", "A 6969-2023")</f>
        <v/>
      </c>
      <c r="W194">
        <f>HYPERLINK("https://klasma.github.io/Logging_2462/klagomålsmail/A 6969-2023 FSC-klagomål mail.docx", "A 6969-2023")</f>
        <v/>
      </c>
      <c r="X194">
        <f>HYPERLINK("https://klasma.github.io/Logging_2462/tillsyn/A 6969-2023 tillsynsbegäran.docx", "A 6969-2023")</f>
        <v/>
      </c>
      <c r="Y194">
        <f>HYPERLINK("https://klasma.github.io/Logging_2462/tillsynsmail/A 6969-2023 tillsynsbegäran mail.docx", "A 6969-2023")</f>
        <v/>
      </c>
    </row>
    <row r="195" ht="15" customHeight="1">
      <c r="A195" t="inlineStr">
        <is>
          <t>A 15047-2024</t>
        </is>
      </c>
      <c r="B195" s="1" t="n">
        <v>45399</v>
      </c>
      <c r="C195" s="1" t="n">
        <v>46075</v>
      </c>
      <c r="D195" t="inlineStr">
        <is>
          <t>VÄSTERBOTTENS LÄN</t>
        </is>
      </c>
      <c r="E195" t="inlineStr">
        <is>
          <t>VILHELMINA</t>
        </is>
      </c>
      <c r="F195" t="inlineStr">
        <is>
          <t>Övriga statliga verk och myndigheter</t>
        </is>
      </c>
      <c r="G195" t="n">
        <v>1.3</v>
      </c>
      <c r="H195" t="n">
        <v>3</v>
      </c>
      <c r="I195" t="n">
        <v>2</v>
      </c>
      <c r="J195" t="n">
        <v>7</v>
      </c>
      <c r="K195" t="n">
        <v>0</v>
      </c>
      <c r="L195" t="n">
        <v>0</v>
      </c>
      <c r="M195" t="n">
        <v>0</v>
      </c>
      <c r="N195" t="n">
        <v>0</v>
      </c>
      <c r="O195" t="n">
        <v>7</v>
      </c>
      <c r="P195" t="n">
        <v>0</v>
      </c>
      <c r="Q195" t="n">
        <v>10</v>
      </c>
      <c r="R195" s="2" t="inlineStr">
        <is>
          <t>Gammelgransskål
Garnlav
Knottrig blåslav
Liten svartspik
Rödvingetrast
Tretåig hackspett
Vitgrynig nållav
Bårdlav
Luddlav
Orre</t>
        </is>
      </c>
      <c r="S195">
        <f>HYPERLINK("https://klasma.github.io/Logging_2462/artfynd/A 15047-2024 artfynd.xlsx", "A 15047-2024")</f>
        <v/>
      </c>
      <c r="T195">
        <f>HYPERLINK("https://klasma.github.io/Logging_2462/kartor/A 15047-2024 karta.png", "A 15047-2024")</f>
        <v/>
      </c>
      <c r="V195">
        <f>HYPERLINK("https://klasma.github.io/Logging_2462/klagomål/A 15047-2024 FSC-klagomål.docx", "A 15047-2024")</f>
        <v/>
      </c>
      <c r="W195">
        <f>HYPERLINK("https://klasma.github.io/Logging_2462/klagomålsmail/A 15047-2024 FSC-klagomål mail.docx", "A 15047-2024")</f>
        <v/>
      </c>
      <c r="X195">
        <f>HYPERLINK("https://klasma.github.io/Logging_2462/tillsyn/A 15047-2024 tillsynsbegäran.docx", "A 15047-2024")</f>
        <v/>
      </c>
      <c r="Y195">
        <f>HYPERLINK("https://klasma.github.io/Logging_2462/tillsynsmail/A 15047-2024 tillsynsbegäran mail.docx", "A 15047-2024")</f>
        <v/>
      </c>
      <c r="Z195">
        <f>HYPERLINK("https://klasma.github.io/Logging_2462/fåglar/A 15047-2024 prioriterade fågelarter.docx", "A 15047-2024")</f>
        <v/>
      </c>
    </row>
    <row r="196" ht="15" customHeight="1">
      <c r="A196" t="inlineStr">
        <is>
          <t>A 22116-2025</t>
        </is>
      </c>
      <c r="B196" s="1" t="n">
        <v>45785</v>
      </c>
      <c r="C196" s="1" t="n">
        <v>46075</v>
      </c>
      <c r="D196" t="inlineStr">
        <is>
          <t>VÄSTERBOTTENS LÄN</t>
        </is>
      </c>
      <c r="E196" t="inlineStr">
        <is>
          <t>DOROTEA</t>
        </is>
      </c>
      <c r="F196" t="inlineStr">
        <is>
          <t>SCA</t>
        </is>
      </c>
      <c r="G196" t="n">
        <v>10.1</v>
      </c>
      <c r="H196" t="n">
        <v>2</v>
      </c>
      <c r="I196" t="n">
        <v>2</v>
      </c>
      <c r="J196" t="n">
        <v>6</v>
      </c>
      <c r="K196" t="n">
        <v>2</v>
      </c>
      <c r="L196" t="n">
        <v>0</v>
      </c>
      <c r="M196" t="n">
        <v>0</v>
      </c>
      <c r="N196" t="n">
        <v>0</v>
      </c>
      <c r="O196" t="n">
        <v>8</v>
      </c>
      <c r="P196" t="n">
        <v>2</v>
      </c>
      <c r="Q196" t="n">
        <v>10</v>
      </c>
      <c r="R196" s="2" t="inlineStr">
        <is>
          <t>Grantickeporing
Tajgaskinn
Granticka
Harticka
Lunglav
Skrovellav
Spillkråka
Tretåig hackspett
Bårdlav
Trådticka</t>
        </is>
      </c>
      <c r="S196">
        <f>HYPERLINK("https://klasma.github.io/Logging_2425/artfynd/A 22116-2025 artfynd.xlsx", "A 22116-2025")</f>
        <v/>
      </c>
      <c r="T196">
        <f>HYPERLINK("https://klasma.github.io/Logging_2425/kartor/A 22116-2025 karta.png", "A 22116-2025")</f>
        <v/>
      </c>
      <c r="V196">
        <f>HYPERLINK("https://klasma.github.io/Logging_2425/klagomål/A 22116-2025 FSC-klagomål.docx", "A 22116-2025")</f>
        <v/>
      </c>
      <c r="W196">
        <f>HYPERLINK("https://klasma.github.io/Logging_2425/klagomålsmail/A 22116-2025 FSC-klagomål mail.docx", "A 22116-2025")</f>
        <v/>
      </c>
      <c r="X196">
        <f>HYPERLINK("https://klasma.github.io/Logging_2425/tillsyn/A 22116-2025 tillsynsbegäran.docx", "A 22116-2025")</f>
        <v/>
      </c>
      <c r="Y196">
        <f>HYPERLINK("https://klasma.github.io/Logging_2425/tillsynsmail/A 22116-2025 tillsynsbegäran mail.docx", "A 22116-2025")</f>
        <v/>
      </c>
      <c r="Z196">
        <f>HYPERLINK("https://klasma.github.io/Logging_2425/fåglar/A 22116-2025 prioriterade fågelarter.docx", "A 22116-2025")</f>
        <v/>
      </c>
    </row>
    <row r="197" ht="15" customHeight="1">
      <c r="A197" t="inlineStr">
        <is>
          <t>A 16152-2021</t>
        </is>
      </c>
      <c r="B197" s="1" t="n">
        <v>44287</v>
      </c>
      <c r="C197" s="1" t="n">
        <v>46075</v>
      </c>
      <c r="D197" t="inlineStr">
        <is>
          <t>VÄSTERBOTTENS LÄN</t>
        </is>
      </c>
      <c r="E197" t="inlineStr">
        <is>
          <t>SKELLEFTEÅ</t>
        </is>
      </c>
      <c r="G197" t="n">
        <v>3.4</v>
      </c>
      <c r="H197" t="n">
        <v>0</v>
      </c>
      <c r="I197" t="n">
        <v>3</v>
      </c>
      <c r="J197" t="n">
        <v>5</v>
      </c>
      <c r="K197" t="n">
        <v>1</v>
      </c>
      <c r="L197" t="n">
        <v>0</v>
      </c>
      <c r="M197" t="n">
        <v>0</v>
      </c>
      <c r="N197" t="n">
        <v>0</v>
      </c>
      <c r="O197" t="n">
        <v>6</v>
      </c>
      <c r="P197" t="n">
        <v>1</v>
      </c>
      <c r="Q197" t="n">
        <v>9</v>
      </c>
      <c r="R197" s="2" t="inlineStr">
        <is>
          <t>Goliatmusseron
Blå taggsvamp
Granticka
Orange taggsvamp
Svart taggsvamp
Talltaggsvamp
Dropptaggsvamp
Skarp dropptaggsvamp
Vedticka</t>
        </is>
      </c>
      <c r="S197">
        <f>HYPERLINK("https://klasma.github.io/Logging_2482/artfynd/A 16152-2021 artfynd.xlsx", "A 16152-2021")</f>
        <v/>
      </c>
      <c r="T197">
        <f>HYPERLINK("https://klasma.github.io/Logging_2482/kartor/A 16152-2021 karta.png", "A 16152-2021")</f>
        <v/>
      </c>
      <c r="V197">
        <f>HYPERLINK("https://klasma.github.io/Logging_2482/klagomål/A 16152-2021 FSC-klagomål.docx", "A 16152-2021")</f>
        <v/>
      </c>
      <c r="W197">
        <f>HYPERLINK("https://klasma.github.io/Logging_2482/klagomålsmail/A 16152-2021 FSC-klagomål mail.docx", "A 16152-2021")</f>
        <v/>
      </c>
      <c r="X197">
        <f>HYPERLINK("https://klasma.github.io/Logging_2482/tillsyn/A 16152-2021 tillsynsbegäran.docx", "A 16152-2021")</f>
        <v/>
      </c>
      <c r="Y197">
        <f>HYPERLINK("https://klasma.github.io/Logging_2482/tillsynsmail/A 16152-2021 tillsynsbegäran mail.docx", "A 16152-2021")</f>
        <v/>
      </c>
    </row>
    <row r="198" ht="15" customHeight="1">
      <c r="A198" t="inlineStr">
        <is>
          <t>A 9059-2021</t>
        </is>
      </c>
      <c r="B198" s="1" t="n">
        <v>44249</v>
      </c>
      <c r="C198" s="1" t="n">
        <v>46075</v>
      </c>
      <c r="D198" t="inlineStr">
        <is>
          <t>VÄSTERBOTTENS LÄN</t>
        </is>
      </c>
      <c r="E198" t="inlineStr">
        <is>
          <t>SKELLEFTEÅ</t>
        </is>
      </c>
      <c r="G198" t="n">
        <v>6.1</v>
      </c>
      <c r="H198" t="n">
        <v>3</v>
      </c>
      <c r="I198" t="n">
        <v>3</v>
      </c>
      <c r="J198" t="n">
        <v>4</v>
      </c>
      <c r="K198" t="n">
        <v>1</v>
      </c>
      <c r="L198" t="n">
        <v>0</v>
      </c>
      <c r="M198" t="n">
        <v>0</v>
      </c>
      <c r="N198" t="n">
        <v>0</v>
      </c>
      <c r="O198" t="n">
        <v>5</v>
      </c>
      <c r="P198" t="n">
        <v>1</v>
      </c>
      <c r="Q198" t="n">
        <v>9</v>
      </c>
      <c r="R198" s="2" t="inlineStr">
        <is>
          <t>Knärot
Garnlav
Granticka
Lunglav
Ullticka
Bårdlav
Skinnlav
Spindelblomster
Nattviol</t>
        </is>
      </c>
      <c r="S198">
        <f>HYPERLINK("https://klasma.github.io/Logging_2482/artfynd/A 9059-2021 artfynd.xlsx", "A 9059-2021")</f>
        <v/>
      </c>
      <c r="T198">
        <f>HYPERLINK("https://klasma.github.io/Logging_2482/kartor/A 9059-2021 karta.png", "A 9059-2021")</f>
        <v/>
      </c>
      <c r="U198">
        <f>HYPERLINK("https://klasma.github.io/Logging_2482/knärot/A 9059-2021 karta knärot.png", "A 9059-2021")</f>
        <v/>
      </c>
      <c r="V198">
        <f>HYPERLINK("https://klasma.github.io/Logging_2482/klagomål/A 9059-2021 FSC-klagomål.docx", "A 9059-2021")</f>
        <v/>
      </c>
      <c r="W198">
        <f>HYPERLINK("https://klasma.github.io/Logging_2482/klagomålsmail/A 9059-2021 FSC-klagomål mail.docx", "A 9059-2021")</f>
        <v/>
      </c>
      <c r="X198">
        <f>HYPERLINK("https://klasma.github.io/Logging_2482/tillsyn/A 9059-2021 tillsynsbegäran.docx", "A 9059-2021")</f>
        <v/>
      </c>
      <c r="Y198">
        <f>HYPERLINK("https://klasma.github.io/Logging_2482/tillsynsmail/A 9059-2021 tillsynsbegäran mail.docx", "A 9059-2021")</f>
        <v/>
      </c>
    </row>
    <row r="199" ht="15" customHeight="1">
      <c r="A199" t="inlineStr">
        <is>
          <t>A 15455-2025</t>
        </is>
      </c>
      <c r="B199" s="1" t="n">
        <v>45747</v>
      </c>
      <c r="C199" s="1" t="n">
        <v>46075</v>
      </c>
      <c r="D199" t="inlineStr">
        <is>
          <t>VÄSTERBOTTENS LÄN</t>
        </is>
      </c>
      <c r="E199" t="inlineStr">
        <is>
          <t>UMEÅ</t>
        </is>
      </c>
      <c r="G199" t="n">
        <v>10.1</v>
      </c>
      <c r="H199" t="n">
        <v>9</v>
      </c>
      <c r="I199" t="n">
        <v>0</v>
      </c>
      <c r="J199" t="n">
        <v>7</v>
      </c>
      <c r="K199" t="n">
        <v>2</v>
      </c>
      <c r="L199" t="n">
        <v>0</v>
      </c>
      <c r="M199" t="n">
        <v>0</v>
      </c>
      <c r="N199" t="n">
        <v>0</v>
      </c>
      <c r="O199" t="n">
        <v>9</v>
      </c>
      <c r="P199" t="n">
        <v>2</v>
      </c>
      <c r="Q199" t="n">
        <v>9</v>
      </c>
      <c r="R199" s="2" t="inlineStr">
        <is>
          <t>Gråtrut
Kricka
Fiskmås
Havsörn
Kråka
Skrattmås
Smålom
Talltita
Videsparv</t>
        </is>
      </c>
      <c r="S199">
        <f>HYPERLINK("https://klasma.github.io/Logging_2480/artfynd/A 15455-2025 artfynd.xlsx", "A 15455-2025")</f>
        <v/>
      </c>
      <c r="T199">
        <f>HYPERLINK("https://klasma.github.io/Logging_2480/kartor/A 15455-2025 karta.png", "A 15455-2025")</f>
        <v/>
      </c>
      <c r="V199">
        <f>HYPERLINK("https://klasma.github.io/Logging_2480/klagomål/A 15455-2025 FSC-klagomål.docx", "A 15455-2025")</f>
        <v/>
      </c>
      <c r="W199">
        <f>HYPERLINK("https://klasma.github.io/Logging_2480/klagomålsmail/A 15455-2025 FSC-klagomål mail.docx", "A 15455-2025")</f>
        <v/>
      </c>
      <c r="X199">
        <f>HYPERLINK("https://klasma.github.io/Logging_2480/tillsyn/A 15455-2025 tillsynsbegäran.docx", "A 15455-2025")</f>
        <v/>
      </c>
      <c r="Y199">
        <f>HYPERLINK("https://klasma.github.io/Logging_2480/tillsynsmail/A 15455-2025 tillsynsbegäran mail.docx", "A 15455-2025")</f>
        <v/>
      </c>
      <c r="Z199">
        <f>HYPERLINK("https://klasma.github.io/Logging_2480/fåglar/A 15455-2025 prioriterade fågelarter.docx", "A 15455-2025")</f>
        <v/>
      </c>
    </row>
    <row r="200" ht="15" customHeight="1">
      <c r="A200" t="inlineStr">
        <is>
          <t>A 1602-2023</t>
        </is>
      </c>
      <c r="B200" s="1" t="n">
        <v>44935</v>
      </c>
      <c r="C200" s="1" t="n">
        <v>46075</v>
      </c>
      <c r="D200" t="inlineStr">
        <is>
          <t>VÄSTERBOTTENS LÄN</t>
        </is>
      </c>
      <c r="E200" t="inlineStr">
        <is>
          <t>SKELLEFTEÅ</t>
        </is>
      </c>
      <c r="G200" t="n">
        <v>12.6</v>
      </c>
      <c r="H200" t="n">
        <v>3</v>
      </c>
      <c r="I200" t="n">
        <v>1</v>
      </c>
      <c r="J200" t="n">
        <v>7</v>
      </c>
      <c r="K200" t="n">
        <v>1</v>
      </c>
      <c r="L200" t="n">
        <v>0</v>
      </c>
      <c r="M200" t="n">
        <v>0</v>
      </c>
      <c r="N200" t="n">
        <v>0</v>
      </c>
      <c r="O200" t="n">
        <v>8</v>
      </c>
      <c r="P200" t="n">
        <v>1</v>
      </c>
      <c r="Q200" t="n">
        <v>9</v>
      </c>
      <c r="R200" s="2" t="inlineStr">
        <is>
          <t>Knärot
Gammelgransskål
Garnlav
Granticka
Spillkråka
Tretåig hackspett
Ullticka
Violettgrå tagellav
Vedticka</t>
        </is>
      </c>
      <c r="S200">
        <f>HYPERLINK("https://klasma.github.io/Logging_2482/artfynd/A 1602-2023 artfynd.xlsx", "A 1602-2023")</f>
        <v/>
      </c>
      <c r="T200">
        <f>HYPERLINK("https://klasma.github.io/Logging_2482/kartor/A 1602-2023 karta.png", "A 1602-2023")</f>
        <v/>
      </c>
      <c r="U200">
        <f>HYPERLINK("https://klasma.github.io/Logging_2482/knärot/A 1602-2023 karta knärot.png", "A 1602-2023")</f>
        <v/>
      </c>
      <c r="V200">
        <f>HYPERLINK("https://klasma.github.io/Logging_2482/klagomål/A 1602-2023 FSC-klagomål.docx", "A 1602-2023")</f>
        <v/>
      </c>
      <c r="W200">
        <f>HYPERLINK("https://klasma.github.io/Logging_2482/klagomålsmail/A 1602-2023 FSC-klagomål mail.docx", "A 1602-2023")</f>
        <v/>
      </c>
      <c r="X200">
        <f>HYPERLINK("https://klasma.github.io/Logging_2482/tillsyn/A 1602-2023 tillsynsbegäran.docx", "A 1602-2023")</f>
        <v/>
      </c>
      <c r="Y200">
        <f>HYPERLINK("https://klasma.github.io/Logging_2482/tillsynsmail/A 1602-2023 tillsynsbegäran mail.docx", "A 1602-2023")</f>
        <v/>
      </c>
      <c r="Z200">
        <f>HYPERLINK("https://klasma.github.io/Logging_2482/fåglar/A 1602-2023 prioriterade fågelarter.docx", "A 1602-2023")</f>
        <v/>
      </c>
    </row>
    <row r="201" ht="15" customHeight="1">
      <c r="A201" t="inlineStr">
        <is>
          <t>A 38157-2023</t>
        </is>
      </c>
      <c r="B201" s="1" t="n">
        <v>45161</v>
      </c>
      <c r="C201" s="1" t="n">
        <v>46075</v>
      </c>
      <c r="D201" t="inlineStr">
        <is>
          <t>VÄSTERBOTTENS LÄN</t>
        </is>
      </c>
      <c r="E201" t="inlineStr">
        <is>
          <t>LYCKSELE</t>
        </is>
      </c>
      <c r="G201" t="n">
        <v>6.4</v>
      </c>
      <c r="H201" t="n">
        <v>4</v>
      </c>
      <c r="I201" t="n">
        <v>1</v>
      </c>
      <c r="J201" t="n">
        <v>7</v>
      </c>
      <c r="K201" t="n">
        <v>1</v>
      </c>
      <c r="L201" t="n">
        <v>0</v>
      </c>
      <c r="M201" t="n">
        <v>0</v>
      </c>
      <c r="N201" t="n">
        <v>0</v>
      </c>
      <c r="O201" t="n">
        <v>8</v>
      </c>
      <c r="P201" t="n">
        <v>1</v>
      </c>
      <c r="Q201" t="n">
        <v>9</v>
      </c>
      <c r="R201" s="2" t="inlineStr">
        <is>
          <t>Laxporing
Garnlav
Granticka
Spillkråka
Talltita
Tretåig hackspett
Ullticka
Videsparv
Vedticka</t>
        </is>
      </c>
      <c r="S201">
        <f>HYPERLINK("https://klasma.github.io/Logging_2481/artfynd/A 38157-2023 artfynd.xlsx", "A 38157-2023")</f>
        <v/>
      </c>
      <c r="T201">
        <f>HYPERLINK("https://klasma.github.io/Logging_2481/kartor/A 38157-2023 karta.png", "A 38157-2023")</f>
        <v/>
      </c>
      <c r="V201">
        <f>HYPERLINK("https://klasma.github.io/Logging_2481/klagomål/A 38157-2023 FSC-klagomål.docx", "A 38157-2023")</f>
        <v/>
      </c>
      <c r="W201">
        <f>HYPERLINK("https://klasma.github.io/Logging_2481/klagomålsmail/A 38157-2023 FSC-klagomål mail.docx", "A 38157-2023")</f>
        <v/>
      </c>
      <c r="X201">
        <f>HYPERLINK("https://klasma.github.io/Logging_2481/tillsyn/A 38157-2023 tillsynsbegäran.docx", "A 38157-2023")</f>
        <v/>
      </c>
      <c r="Y201">
        <f>HYPERLINK("https://klasma.github.io/Logging_2481/tillsynsmail/A 38157-2023 tillsynsbegäran mail.docx", "A 38157-2023")</f>
        <v/>
      </c>
      <c r="Z201">
        <f>HYPERLINK("https://klasma.github.io/Logging_2481/fåglar/A 38157-2023 prioriterade fågelarter.docx", "A 38157-2023")</f>
        <v/>
      </c>
    </row>
    <row r="202" ht="15" customHeight="1">
      <c r="A202" t="inlineStr">
        <is>
          <t>A 31759-2025</t>
        </is>
      </c>
      <c r="B202" s="1" t="n">
        <v>45834.48988425926</v>
      </c>
      <c r="C202" s="1" t="n">
        <v>46075</v>
      </c>
      <c r="D202" t="inlineStr">
        <is>
          <t>VÄSTERBOTTENS LÄN</t>
        </is>
      </c>
      <c r="E202" t="inlineStr">
        <is>
          <t>NORSJÖ</t>
        </is>
      </c>
      <c r="G202" t="n">
        <v>18.5</v>
      </c>
      <c r="H202" t="n">
        <v>2</v>
      </c>
      <c r="I202" t="n">
        <v>1</v>
      </c>
      <c r="J202" t="n">
        <v>8</v>
      </c>
      <c r="K202" t="n">
        <v>0</v>
      </c>
      <c r="L202" t="n">
        <v>0</v>
      </c>
      <c r="M202" t="n">
        <v>0</v>
      </c>
      <c r="N202" t="n">
        <v>0</v>
      </c>
      <c r="O202" t="n">
        <v>8</v>
      </c>
      <c r="P202" t="n">
        <v>0</v>
      </c>
      <c r="Q202" t="n">
        <v>9</v>
      </c>
      <c r="R202" s="2" t="inlineStr">
        <is>
          <t>Garnlav
Gränsticka
Kolflarnlav
Mörk kolflarnlav
Nordtagging
Spillkråka
Tretåig hackspett
Vedskivlav
Vedticka</t>
        </is>
      </c>
      <c r="S202">
        <f>HYPERLINK("https://klasma.github.io/Logging_2417/artfynd/A 31759-2025 artfynd.xlsx", "A 31759-2025")</f>
        <v/>
      </c>
      <c r="T202">
        <f>HYPERLINK("https://klasma.github.io/Logging_2417/kartor/A 31759-2025 karta.png", "A 31759-2025")</f>
        <v/>
      </c>
      <c r="V202">
        <f>HYPERLINK("https://klasma.github.io/Logging_2417/klagomål/A 31759-2025 FSC-klagomål.docx", "A 31759-2025")</f>
        <v/>
      </c>
      <c r="W202">
        <f>HYPERLINK("https://klasma.github.io/Logging_2417/klagomålsmail/A 31759-2025 FSC-klagomål mail.docx", "A 31759-2025")</f>
        <v/>
      </c>
      <c r="X202">
        <f>HYPERLINK("https://klasma.github.io/Logging_2417/tillsyn/A 31759-2025 tillsynsbegäran.docx", "A 31759-2025")</f>
        <v/>
      </c>
      <c r="Y202">
        <f>HYPERLINK("https://klasma.github.io/Logging_2417/tillsynsmail/A 31759-2025 tillsynsbegäran mail.docx", "A 31759-2025")</f>
        <v/>
      </c>
      <c r="Z202">
        <f>HYPERLINK("https://klasma.github.io/Logging_2417/fåglar/A 31759-2025 prioriterade fågelarter.docx", "A 31759-2025")</f>
        <v/>
      </c>
    </row>
    <row r="203" ht="15" customHeight="1">
      <c r="A203" t="inlineStr">
        <is>
          <t>A 51198-2022</t>
        </is>
      </c>
      <c r="B203" s="1" t="n">
        <v>44868</v>
      </c>
      <c r="C203" s="1" t="n">
        <v>46075</v>
      </c>
      <c r="D203" t="inlineStr">
        <is>
          <t>VÄSTERBOTTENS LÄN</t>
        </is>
      </c>
      <c r="E203" t="inlineStr">
        <is>
          <t>UMEÅ</t>
        </is>
      </c>
      <c r="G203" t="n">
        <v>3.3</v>
      </c>
      <c r="H203" t="n">
        <v>0</v>
      </c>
      <c r="I203" t="n">
        <v>3</v>
      </c>
      <c r="J203" t="n">
        <v>6</v>
      </c>
      <c r="K203" t="n">
        <v>0</v>
      </c>
      <c r="L203" t="n">
        <v>0</v>
      </c>
      <c r="M203" t="n">
        <v>0</v>
      </c>
      <c r="N203" t="n">
        <v>0</v>
      </c>
      <c r="O203" t="n">
        <v>6</v>
      </c>
      <c r="P203" t="n">
        <v>0</v>
      </c>
      <c r="Q203" t="n">
        <v>9</v>
      </c>
      <c r="R203" s="2" t="inlineStr">
        <is>
          <t>Blå taggsvamp
Garnlav
Motaggsvamp
Orange taggsvamp
Skrovlig taggsvamp
Violettgrå tagellav
Dropptaggsvamp
Skarp dropptaggsvamp
Zontaggsvamp</t>
        </is>
      </c>
      <c r="S203">
        <f>HYPERLINK("https://klasma.github.io/Logging_2480/artfynd/A 51198-2022 artfynd.xlsx", "A 51198-2022")</f>
        <v/>
      </c>
      <c r="T203">
        <f>HYPERLINK("https://klasma.github.io/Logging_2480/kartor/A 51198-2022 karta.png", "A 51198-2022")</f>
        <v/>
      </c>
      <c r="V203">
        <f>HYPERLINK("https://klasma.github.io/Logging_2480/klagomål/A 51198-2022 FSC-klagomål.docx", "A 51198-2022")</f>
        <v/>
      </c>
      <c r="W203">
        <f>HYPERLINK("https://klasma.github.io/Logging_2480/klagomålsmail/A 51198-2022 FSC-klagomål mail.docx", "A 51198-2022")</f>
        <v/>
      </c>
      <c r="X203">
        <f>HYPERLINK("https://klasma.github.io/Logging_2480/tillsyn/A 51198-2022 tillsynsbegäran.docx", "A 51198-2022")</f>
        <v/>
      </c>
      <c r="Y203">
        <f>HYPERLINK("https://klasma.github.io/Logging_2480/tillsynsmail/A 51198-2022 tillsynsbegäran mail.docx", "A 51198-2022")</f>
        <v/>
      </c>
    </row>
    <row r="204" ht="15" customHeight="1">
      <c r="A204" t="inlineStr">
        <is>
          <t>A 34015-2025</t>
        </is>
      </c>
      <c r="B204" s="1" t="n">
        <v>45845.3308912037</v>
      </c>
      <c r="C204" s="1" t="n">
        <v>46075</v>
      </c>
      <c r="D204" t="inlineStr">
        <is>
          <t>VÄSTERBOTTENS LÄN</t>
        </is>
      </c>
      <c r="E204" t="inlineStr">
        <is>
          <t>LYCKSELE</t>
        </is>
      </c>
      <c r="F204" t="inlineStr">
        <is>
          <t>Sveaskog</t>
        </is>
      </c>
      <c r="G204" t="n">
        <v>10.4</v>
      </c>
      <c r="H204" t="n">
        <v>3</v>
      </c>
      <c r="I204" t="n">
        <v>0</v>
      </c>
      <c r="J204" t="n">
        <v>7</v>
      </c>
      <c r="K204" t="n">
        <v>0</v>
      </c>
      <c r="L204" t="n">
        <v>0</v>
      </c>
      <c r="M204" t="n">
        <v>0</v>
      </c>
      <c r="N204" t="n">
        <v>0</v>
      </c>
      <c r="O204" t="n">
        <v>7</v>
      </c>
      <c r="P204" t="n">
        <v>0</v>
      </c>
      <c r="Q204" t="n">
        <v>9</v>
      </c>
      <c r="R204" s="2" t="inlineStr">
        <is>
          <t>Gammelgransskål
Garnlav
Kolflarnlav
Motaggsvamp
Tallriska
Tretåig hackspett
Vitgrynig nållav
Huggorm
Revlummer</t>
        </is>
      </c>
      <c r="S204">
        <f>HYPERLINK("https://klasma.github.io/Logging_2481/artfynd/A 34015-2025 artfynd.xlsx", "A 34015-2025")</f>
        <v/>
      </c>
      <c r="T204">
        <f>HYPERLINK("https://klasma.github.io/Logging_2481/kartor/A 34015-2025 karta.png", "A 34015-2025")</f>
        <v/>
      </c>
      <c r="V204">
        <f>HYPERLINK("https://klasma.github.io/Logging_2481/klagomål/A 34015-2025 FSC-klagomål.docx", "A 34015-2025")</f>
        <v/>
      </c>
      <c r="W204">
        <f>HYPERLINK("https://klasma.github.io/Logging_2481/klagomålsmail/A 34015-2025 FSC-klagomål mail.docx", "A 34015-2025")</f>
        <v/>
      </c>
      <c r="X204">
        <f>HYPERLINK("https://klasma.github.io/Logging_2481/tillsyn/A 34015-2025 tillsynsbegäran.docx", "A 34015-2025")</f>
        <v/>
      </c>
      <c r="Y204">
        <f>HYPERLINK("https://klasma.github.io/Logging_2481/tillsynsmail/A 34015-2025 tillsynsbegäran mail.docx", "A 34015-2025")</f>
        <v/>
      </c>
      <c r="Z204">
        <f>HYPERLINK("https://klasma.github.io/Logging_2481/fåglar/A 34015-2025 prioriterade fågelarter.docx", "A 34015-2025")</f>
        <v/>
      </c>
    </row>
    <row r="205" ht="15" customHeight="1">
      <c r="A205" t="inlineStr">
        <is>
          <t>A 49000-2025</t>
        </is>
      </c>
      <c r="B205" s="1" t="n">
        <v>45937.5946412037</v>
      </c>
      <c r="C205" s="1" t="n">
        <v>46075</v>
      </c>
      <c r="D205" t="inlineStr">
        <is>
          <t>VÄSTERBOTTENS LÄN</t>
        </is>
      </c>
      <c r="E205" t="inlineStr">
        <is>
          <t>UMEÅ</t>
        </is>
      </c>
      <c r="G205" t="n">
        <v>12.2</v>
      </c>
      <c r="H205" t="n">
        <v>2</v>
      </c>
      <c r="I205" t="n">
        <v>3</v>
      </c>
      <c r="J205" t="n">
        <v>4</v>
      </c>
      <c r="K205" t="n">
        <v>1</v>
      </c>
      <c r="L205" t="n">
        <v>0</v>
      </c>
      <c r="M205" t="n">
        <v>0</v>
      </c>
      <c r="N205" t="n">
        <v>0</v>
      </c>
      <c r="O205" t="n">
        <v>5</v>
      </c>
      <c r="P205" t="n">
        <v>1</v>
      </c>
      <c r="Q205" t="n">
        <v>9</v>
      </c>
      <c r="R205" s="2" t="inlineStr">
        <is>
          <t>Knärot
Blanksvart spiklav
Garnlav
Kolflarnlav
Motaggsvamp
Björksplintborre
Dropptaggsvamp
Skarp dropptaggsvamp
Tjäder</t>
        </is>
      </c>
      <c r="S205">
        <f>HYPERLINK("https://klasma.github.io/Logging_2480/artfynd/A 49000-2025 artfynd.xlsx", "A 49000-2025")</f>
        <v/>
      </c>
      <c r="T205">
        <f>HYPERLINK("https://klasma.github.io/Logging_2480/kartor/A 49000-2025 karta.png", "A 49000-2025")</f>
        <v/>
      </c>
      <c r="U205">
        <f>HYPERLINK("https://klasma.github.io/Logging_2480/knärot/A 49000-2025 karta knärot.png", "A 49000-2025")</f>
        <v/>
      </c>
      <c r="V205">
        <f>HYPERLINK("https://klasma.github.io/Logging_2480/klagomål/A 49000-2025 FSC-klagomål.docx", "A 49000-2025")</f>
        <v/>
      </c>
      <c r="W205">
        <f>HYPERLINK("https://klasma.github.io/Logging_2480/klagomålsmail/A 49000-2025 FSC-klagomål mail.docx", "A 49000-2025")</f>
        <v/>
      </c>
      <c r="X205">
        <f>HYPERLINK("https://klasma.github.io/Logging_2480/tillsyn/A 49000-2025 tillsynsbegäran.docx", "A 49000-2025")</f>
        <v/>
      </c>
      <c r="Y205">
        <f>HYPERLINK("https://klasma.github.io/Logging_2480/tillsynsmail/A 49000-2025 tillsynsbegäran mail.docx", "A 49000-2025")</f>
        <v/>
      </c>
      <c r="Z205">
        <f>HYPERLINK("https://klasma.github.io/Logging_2480/fåglar/A 49000-2025 prioriterade fågelarter.docx", "A 49000-2025")</f>
        <v/>
      </c>
    </row>
    <row r="206" ht="15" customHeight="1">
      <c r="A206" t="inlineStr">
        <is>
          <t>A 32223-2024</t>
        </is>
      </c>
      <c r="B206" s="1" t="n">
        <v>45511</v>
      </c>
      <c r="C206" s="1" t="n">
        <v>46075</v>
      </c>
      <c r="D206" t="inlineStr">
        <is>
          <t>VÄSTERBOTTENS LÄN</t>
        </is>
      </c>
      <c r="E206" t="inlineStr">
        <is>
          <t>VINDELN</t>
        </is>
      </c>
      <c r="G206" t="n">
        <v>15.9</v>
      </c>
      <c r="H206" t="n">
        <v>1</v>
      </c>
      <c r="I206" t="n">
        <v>4</v>
      </c>
      <c r="J206" t="n">
        <v>4</v>
      </c>
      <c r="K206" t="n">
        <v>1</v>
      </c>
      <c r="L206" t="n">
        <v>0</v>
      </c>
      <c r="M206" t="n">
        <v>0</v>
      </c>
      <c r="N206" t="n">
        <v>0</v>
      </c>
      <c r="O206" t="n">
        <v>5</v>
      </c>
      <c r="P206" t="n">
        <v>1</v>
      </c>
      <c r="Q206" t="n">
        <v>9</v>
      </c>
      <c r="R206" s="2" t="inlineStr">
        <is>
          <t>Smalfotad taggsvamp
Blå taggsvamp
Garnlav
Skrovlig taggsvamp
Svartvit taggsvamp
Dropptaggsvamp
Plattlummer
Skarp dropptaggsvamp
Vedticka</t>
        </is>
      </c>
      <c r="S206">
        <f>HYPERLINK("https://klasma.github.io/Logging_2404/artfynd/A 32223-2024 artfynd.xlsx", "A 32223-2024")</f>
        <v/>
      </c>
      <c r="T206">
        <f>HYPERLINK("https://klasma.github.io/Logging_2404/kartor/A 32223-2024 karta.png", "A 32223-2024")</f>
        <v/>
      </c>
      <c r="V206">
        <f>HYPERLINK("https://klasma.github.io/Logging_2404/klagomål/A 32223-2024 FSC-klagomål.docx", "A 32223-2024")</f>
        <v/>
      </c>
      <c r="W206">
        <f>HYPERLINK("https://klasma.github.io/Logging_2404/klagomålsmail/A 32223-2024 FSC-klagomål mail.docx", "A 32223-2024")</f>
        <v/>
      </c>
      <c r="X206">
        <f>HYPERLINK("https://klasma.github.io/Logging_2404/tillsyn/A 32223-2024 tillsynsbegäran.docx", "A 32223-2024")</f>
        <v/>
      </c>
      <c r="Y206">
        <f>HYPERLINK("https://klasma.github.io/Logging_2404/tillsynsmail/A 32223-2024 tillsynsbegäran mail.docx", "A 32223-2024")</f>
        <v/>
      </c>
    </row>
    <row r="207" ht="15" customHeight="1">
      <c r="A207" t="inlineStr">
        <is>
          <t>A 58829-2025</t>
        </is>
      </c>
      <c r="B207" s="1" t="n">
        <v>45987.35112268518</v>
      </c>
      <c r="C207" s="1" t="n">
        <v>46075</v>
      </c>
      <c r="D207" t="inlineStr">
        <is>
          <t>VÄSTERBOTTENS LÄN</t>
        </is>
      </c>
      <c r="E207" t="inlineStr">
        <is>
          <t>UMEÅ</t>
        </is>
      </c>
      <c r="G207" t="n">
        <v>7.6</v>
      </c>
      <c r="H207" t="n">
        <v>4</v>
      </c>
      <c r="I207" t="n">
        <v>1</v>
      </c>
      <c r="J207" t="n">
        <v>7</v>
      </c>
      <c r="K207" t="n">
        <v>0</v>
      </c>
      <c r="L207" t="n">
        <v>0</v>
      </c>
      <c r="M207" t="n">
        <v>0</v>
      </c>
      <c r="N207" t="n">
        <v>0</v>
      </c>
      <c r="O207" t="n">
        <v>7</v>
      </c>
      <c r="P207" t="n">
        <v>0</v>
      </c>
      <c r="Q207" t="n">
        <v>9</v>
      </c>
      <c r="R207" s="2" t="inlineStr">
        <is>
          <t>Garnlav
Harticka
Spillkråka
Stjärntagging
Talltita
Tretåig hackspett
Ullticka
Vedticka
Kungsfågel</t>
        </is>
      </c>
      <c r="S207">
        <f>HYPERLINK("https://klasma.github.io/Logging_2480/artfynd/A 58829-2025 artfynd.xlsx", "A 58829-2025")</f>
        <v/>
      </c>
      <c r="T207">
        <f>HYPERLINK("https://klasma.github.io/Logging_2480/kartor/A 58829-2025 karta.png", "A 58829-2025")</f>
        <v/>
      </c>
      <c r="V207">
        <f>HYPERLINK("https://klasma.github.io/Logging_2480/klagomål/A 58829-2025 FSC-klagomål.docx", "A 58829-2025")</f>
        <v/>
      </c>
      <c r="W207">
        <f>HYPERLINK("https://klasma.github.io/Logging_2480/klagomålsmail/A 58829-2025 FSC-klagomål mail.docx", "A 58829-2025")</f>
        <v/>
      </c>
      <c r="X207">
        <f>HYPERLINK("https://klasma.github.io/Logging_2480/tillsyn/A 58829-2025 tillsynsbegäran.docx", "A 58829-2025")</f>
        <v/>
      </c>
      <c r="Y207">
        <f>HYPERLINK("https://klasma.github.io/Logging_2480/tillsynsmail/A 58829-2025 tillsynsbegäran mail.docx", "A 58829-2025")</f>
        <v/>
      </c>
      <c r="Z207">
        <f>HYPERLINK("https://klasma.github.io/Logging_2480/fåglar/A 58829-2025 prioriterade fågelarter.docx", "A 58829-2025")</f>
        <v/>
      </c>
    </row>
    <row r="208" ht="15" customHeight="1">
      <c r="A208" t="inlineStr">
        <is>
          <t>A 59036-2024</t>
        </is>
      </c>
      <c r="B208" s="1" t="n">
        <v>45636</v>
      </c>
      <c r="C208" s="1" t="n">
        <v>46075</v>
      </c>
      <c r="D208" t="inlineStr">
        <is>
          <t>VÄSTERBOTTENS LÄN</t>
        </is>
      </c>
      <c r="E208" t="inlineStr">
        <is>
          <t>VILHELMINA</t>
        </is>
      </c>
      <c r="F208" t="inlineStr">
        <is>
          <t>Allmännings- och besparingsskogar</t>
        </is>
      </c>
      <c r="G208" t="n">
        <v>33.1</v>
      </c>
      <c r="H208" t="n">
        <v>1</v>
      </c>
      <c r="I208" t="n">
        <v>2</v>
      </c>
      <c r="J208" t="n">
        <v>6</v>
      </c>
      <c r="K208" t="n">
        <v>0</v>
      </c>
      <c r="L208" t="n">
        <v>0</v>
      </c>
      <c r="M208" t="n">
        <v>0</v>
      </c>
      <c r="N208" t="n">
        <v>0</v>
      </c>
      <c r="O208" t="n">
        <v>6</v>
      </c>
      <c r="P208" t="n">
        <v>0</v>
      </c>
      <c r="Q208" t="n">
        <v>9</v>
      </c>
      <c r="R208" s="2" t="inlineStr">
        <is>
          <t>Garnlav
Harticka
Knottrig blåslav
Rödbrun blekspik
Skrovellav
Vitgrynig nållav
Bårdlav
Gulnål
Skogsrör</t>
        </is>
      </c>
      <c r="S208">
        <f>HYPERLINK("https://klasma.github.io/Logging_2462/artfynd/A 59036-2024 artfynd.xlsx", "A 59036-2024")</f>
        <v/>
      </c>
      <c r="T208">
        <f>HYPERLINK("https://klasma.github.io/Logging_2462/kartor/A 59036-2024 karta.png", "A 59036-2024")</f>
        <v/>
      </c>
      <c r="V208">
        <f>HYPERLINK("https://klasma.github.io/Logging_2462/klagomål/A 59036-2024 FSC-klagomål.docx", "A 59036-2024")</f>
        <v/>
      </c>
      <c r="W208">
        <f>HYPERLINK("https://klasma.github.io/Logging_2462/klagomålsmail/A 59036-2024 FSC-klagomål mail.docx", "A 59036-2024")</f>
        <v/>
      </c>
      <c r="X208">
        <f>HYPERLINK("https://klasma.github.io/Logging_2462/tillsyn/A 59036-2024 tillsynsbegäran.docx", "A 59036-2024")</f>
        <v/>
      </c>
      <c r="Y208">
        <f>HYPERLINK("https://klasma.github.io/Logging_2462/tillsynsmail/A 59036-2024 tillsynsbegäran mail.docx", "A 59036-2024")</f>
        <v/>
      </c>
    </row>
    <row r="209" ht="15" customHeight="1">
      <c r="A209" t="inlineStr">
        <is>
          <t>A 41407-2022</t>
        </is>
      </c>
      <c r="B209" s="1" t="n">
        <v>44826</v>
      </c>
      <c r="C209" s="1" t="n">
        <v>46075</v>
      </c>
      <c r="D209" t="inlineStr">
        <is>
          <t>VÄSTERBOTTENS LÄN</t>
        </is>
      </c>
      <c r="E209" t="inlineStr">
        <is>
          <t>UMEÅ</t>
        </is>
      </c>
      <c r="G209" t="n">
        <v>5.6</v>
      </c>
      <c r="H209" t="n">
        <v>3</v>
      </c>
      <c r="I209" t="n">
        <v>1</v>
      </c>
      <c r="J209" t="n">
        <v>7</v>
      </c>
      <c r="K209" t="n">
        <v>0</v>
      </c>
      <c r="L209" t="n">
        <v>0</v>
      </c>
      <c r="M209" t="n">
        <v>0</v>
      </c>
      <c r="N209" t="n">
        <v>0</v>
      </c>
      <c r="O209" t="n">
        <v>7</v>
      </c>
      <c r="P209" t="n">
        <v>0</v>
      </c>
      <c r="Q209" t="n">
        <v>9</v>
      </c>
      <c r="R209" s="2" t="inlineStr">
        <is>
          <t>Garnlav
Leptoporus mollis
Rosenticka
Spillkråka
Stjärntagging
Tretåig hackspett
Ullticka
Vedticka
Grönsiska</t>
        </is>
      </c>
      <c r="S209">
        <f>HYPERLINK("https://klasma.github.io/Logging_2480/artfynd/A 41407-2022 artfynd.xlsx", "A 41407-2022")</f>
        <v/>
      </c>
      <c r="T209">
        <f>HYPERLINK("https://klasma.github.io/Logging_2480/kartor/A 41407-2022 karta.png", "A 41407-2022")</f>
        <v/>
      </c>
      <c r="V209">
        <f>HYPERLINK("https://klasma.github.io/Logging_2480/klagomål/A 41407-2022 FSC-klagomål.docx", "A 41407-2022")</f>
        <v/>
      </c>
      <c r="W209">
        <f>HYPERLINK("https://klasma.github.io/Logging_2480/klagomålsmail/A 41407-2022 FSC-klagomål mail.docx", "A 41407-2022")</f>
        <v/>
      </c>
      <c r="X209">
        <f>HYPERLINK("https://klasma.github.io/Logging_2480/tillsyn/A 41407-2022 tillsynsbegäran.docx", "A 41407-2022")</f>
        <v/>
      </c>
      <c r="Y209">
        <f>HYPERLINK("https://klasma.github.io/Logging_2480/tillsynsmail/A 41407-2022 tillsynsbegäran mail.docx", "A 41407-2022")</f>
        <v/>
      </c>
      <c r="Z209">
        <f>HYPERLINK("https://klasma.github.io/Logging_2480/fåglar/A 41407-2022 prioriterade fågelarter.docx", "A 41407-2022")</f>
        <v/>
      </c>
    </row>
    <row r="210" ht="15" customHeight="1">
      <c r="A210" t="inlineStr">
        <is>
          <t>A 60737-2024</t>
        </is>
      </c>
      <c r="B210" s="1" t="n">
        <v>45644</v>
      </c>
      <c r="C210" s="1" t="n">
        <v>46075</v>
      </c>
      <c r="D210" t="inlineStr">
        <is>
          <t>VÄSTERBOTTENS LÄN</t>
        </is>
      </c>
      <c r="E210" t="inlineStr">
        <is>
          <t>VILHELMINA</t>
        </is>
      </c>
      <c r="G210" t="n">
        <v>198.1</v>
      </c>
      <c r="H210" t="n">
        <v>4</v>
      </c>
      <c r="I210" t="n">
        <v>1</v>
      </c>
      <c r="J210" t="n">
        <v>7</v>
      </c>
      <c r="K210" t="n">
        <v>0</v>
      </c>
      <c r="L210" t="n">
        <v>0</v>
      </c>
      <c r="M210" t="n">
        <v>0</v>
      </c>
      <c r="N210" t="n">
        <v>0</v>
      </c>
      <c r="O210" t="n">
        <v>7</v>
      </c>
      <c r="P210" t="n">
        <v>0</v>
      </c>
      <c r="Q210" t="n">
        <v>9</v>
      </c>
      <c r="R210" s="2" t="inlineStr">
        <is>
          <t>Alfågel
Garnlav
Granticka
Gränsticka
Järpe
Tretåig hackspett
Ullticka
Kransrams
Skogsrör</t>
        </is>
      </c>
      <c r="S210">
        <f>HYPERLINK("https://klasma.github.io/Logging_2462/artfynd/A 60737-2024 artfynd.xlsx", "A 60737-2024")</f>
        <v/>
      </c>
      <c r="T210">
        <f>HYPERLINK("https://klasma.github.io/Logging_2462/kartor/A 60737-2024 karta.png", "A 60737-2024")</f>
        <v/>
      </c>
      <c r="V210">
        <f>HYPERLINK("https://klasma.github.io/Logging_2462/klagomål/A 60737-2024 FSC-klagomål.docx", "A 60737-2024")</f>
        <v/>
      </c>
      <c r="W210">
        <f>HYPERLINK("https://klasma.github.io/Logging_2462/klagomålsmail/A 60737-2024 FSC-klagomål mail.docx", "A 60737-2024")</f>
        <v/>
      </c>
      <c r="X210">
        <f>HYPERLINK("https://klasma.github.io/Logging_2462/tillsyn/A 60737-2024 tillsynsbegäran.docx", "A 60737-2024")</f>
        <v/>
      </c>
      <c r="Y210">
        <f>HYPERLINK("https://klasma.github.io/Logging_2462/tillsynsmail/A 60737-2024 tillsynsbegäran mail.docx", "A 60737-2024")</f>
        <v/>
      </c>
      <c r="Z210">
        <f>HYPERLINK("https://klasma.github.io/Logging_2462/fåglar/A 60737-2024 prioriterade fågelarter.docx", "A 60737-2024")</f>
        <v/>
      </c>
    </row>
    <row r="211" ht="15" customHeight="1">
      <c r="A211" t="inlineStr">
        <is>
          <t>A 31884-2024</t>
        </is>
      </c>
      <c r="B211" s="1" t="n">
        <v>45509</v>
      </c>
      <c r="C211" s="1" t="n">
        <v>46075</v>
      </c>
      <c r="D211" t="inlineStr">
        <is>
          <t>VÄSTERBOTTENS LÄN</t>
        </is>
      </c>
      <c r="E211" t="inlineStr">
        <is>
          <t>VILHELMINA</t>
        </is>
      </c>
      <c r="F211" t="inlineStr">
        <is>
          <t>SCA</t>
        </is>
      </c>
      <c r="G211" t="n">
        <v>1.6</v>
      </c>
      <c r="H211" t="n">
        <v>2</v>
      </c>
      <c r="I211" t="n">
        <v>2</v>
      </c>
      <c r="J211" t="n">
        <v>7</v>
      </c>
      <c r="K211" t="n">
        <v>0</v>
      </c>
      <c r="L211" t="n">
        <v>0</v>
      </c>
      <c r="M211" t="n">
        <v>0</v>
      </c>
      <c r="N211" t="n">
        <v>0</v>
      </c>
      <c r="O211" t="n">
        <v>7</v>
      </c>
      <c r="P211" t="n">
        <v>0</v>
      </c>
      <c r="Q211" t="n">
        <v>9</v>
      </c>
      <c r="R211" s="2" t="inlineStr">
        <is>
          <t>Garnlav
Granticka
Kolflarnlav
Oljetagging
Skogshare
Spillkråka
Ullticka
Korallblylav
Spindelblomster</t>
        </is>
      </c>
      <c r="S211">
        <f>HYPERLINK("https://klasma.github.io/Logging_2462/artfynd/A 31884-2024 artfynd.xlsx", "A 31884-2024")</f>
        <v/>
      </c>
      <c r="T211">
        <f>HYPERLINK("https://klasma.github.io/Logging_2462/kartor/A 31884-2024 karta.png", "A 31884-2024")</f>
        <v/>
      </c>
      <c r="V211">
        <f>HYPERLINK("https://klasma.github.io/Logging_2462/klagomål/A 31884-2024 FSC-klagomål.docx", "A 31884-2024")</f>
        <v/>
      </c>
      <c r="W211">
        <f>HYPERLINK("https://klasma.github.io/Logging_2462/klagomålsmail/A 31884-2024 FSC-klagomål mail.docx", "A 31884-2024")</f>
        <v/>
      </c>
      <c r="X211">
        <f>HYPERLINK("https://klasma.github.io/Logging_2462/tillsyn/A 31884-2024 tillsynsbegäran.docx", "A 31884-2024")</f>
        <v/>
      </c>
      <c r="Y211">
        <f>HYPERLINK("https://klasma.github.io/Logging_2462/tillsynsmail/A 31884-2024 tillsynsbegäran mail.docx", "A 31884-2024")</f>
        <v/>
      </c>
      <c r="Z211">
        <f>HYPERLINK("https://klasma.github.io/Logging_2462/fåglar/A 31884-2024 prioriterade fågelarter.docx", "A 31884-2024")</f>
        <v/>
      </c>
    </row>
    <row r="212" ht="15" customHeight="1">
      <c r="A212" t="inlineStr">
        <is>
          <t>A 24709-2022</t>
        </is>
      </c>
      <c r="B212" s="1" t="n">
        <v>44727</v>
      </c>
      <c r="C212" s="1" t="n">
        <v>46075</v>
      </c>
      <c r="D212" t="inlineStr">
        <is>
          <t>VÄSTERBOTTENS LÄN</t>
        </is>
      </c>
      <c r="E212" t="inlineStr">
        <is>
          <t>STORUMAN</t>
        </is>
      </c>
      <c r="G212" t="n">
        <v>21</v>
      </c>
      <c r="H212" t="n">
        <v>1</v>
      </c>
      <c r="I212" t="n">
        <v>3</v>
      </c>
      <c r="J212" t="n">
        <v>5</v>
      </c>
      <c r="K212" t="n">
        <v>0</v>
      </c>
      <c r="L212" t="n">
        <v>0</v>
      </c>
      <c r="M212" t="n">
        <v>0</v>
      </c>
      <c r="N212" t="n">
        <v>0</v>
      </c>
      <c r="O212" t="n">
        <v>5</v>
      </c>
      <c r="P212" t="n">
        <v>0</v>
      </c>
      <c r="Q212" t="n">
        <v>9</v>
      </c>
      <c r="R212" s="2" t="inlineStr">
        <is>
          <t>Gammelgransskål
Garnlav
Granticka
Harticka
Skrovellav
Bårdlav
Luddlav
Stuplav
Lavskrika</t>
        </is>
      </c>
      <c r="S212">
        <f>HYPERLINK("https://klasma.github.io/Logging_2421/artfynd/A 24709-2022 artfynd.xlsx", "A 24709-2022")</f>
        <v/>
      </c>
      <c r="T212">
        <f>HYPERLINK("https://klasma.github.io/Logging_2421/kartor/A 24709-2022 karta.png", "A 24709-2022")</f>
        <v/>
      </c>
      <c r="V212">
        <f>HYPERLINK("https://klasma.github.io/Logging_2421/klagomål/A 24709-2022 FSC-klagomål.docx", "A 24709-2022")</f>
        <v/>
      </c>
      <c r="W212">
        <f>HYPERLINK("https://klasma.github.io/Logging_2421/klagomålsmail/A 24709-2022 FSC-klagomål mail.docx", "A 24709-2022")</f>
        <v/>
      </c>
      <c r="X212">
        <f>HYPERLINK("https://klasma.github.io/Logging_2421/tillsyn/A 24709-2022 tillsynsbegäran.docx", "A 24709-2022")</f>
        <v/>
      </c>
      <c r="Y212">
        <f>HYPERLINK("https://klasma.github.io/Logging_2421/tillsynsmail/A 24709-2022 tillsynsbegäran mail.docx", "A 24709-2022")</f>
        <v/>
      </c>
      <c r="Z212">
        <f>HYPERLINK("https://klasma.github.io/Logging_2421/fåglar/A 24709-2022 prioriterade fågelarter.docx", "A 24709-2022")</f>
        <v/>
      </c>
    </row>
    <row r="213" ht="15" customHeight="1">
      <c r="A213" t="inlineStr">
        <is>
          <t>A 53274-2024</t>
        </is>
      </c>
      <c r="B213" s="1" t="n">
        <v>45614</v>
      </c>
      <c r="C213" s="1" t="n">
        <v>46075</v>
      </c>
      <c r="D213" t="inlineStr">
        <is>
          <t>VÄSTERBOTTENS LÄN</t>
        </is>
      </c>
      <c r="E213" t="inlineStr">
        <is>
          <t>DOROTEA</t>
        </is>
      </c>
      <c r="G213" t="n">
        <v>15</v>
      </c>
      <c r="H213" t="n">
        <v>3</v>
      </c>
      <c r="I213" t="n">
        <v>1</v>
      </c>
      <c r="J213" t="n">
        <v>8</v>
      </c>
      <c r="K213" t="n">
        <v>0</v>
      </c>
      <c r="L213" t="n">
        <v>0</v>
      </c>
      <c r="M213" t="n">
        <v>0</v>
      </c>
      <c r="N213" t="n">
        <v>0</v>
      </c>
      <c r="O213" t="n">
        <v>8</v>
      </c>
      <c r="P213" t="n">
        <v>0</v>
      </c>
      <c r="Q213" t="n">
        <v>9</v>
      </c>
      <c r="R213" s="2" t="inlineStr">
        <is>
          <t>Garnlav
Granticka
Harticka
Kolflarnlav
Mörk kolflarnlav
Spillkråka
Talltita
Tretåig hackspett
Luddlav</t>
        </is>
      </c>
      <c r="S213">
        <f>HYPERLINK("https://klasma.github.io/Logging_2425/artfynd/A 53274-2024 artfynd.xlsx", "A 53274-2024")</f>
        <v/>
      </c>
      <c r="T213">
        <f>HYPERLINK("https://klasma.github.io/Logging_2425/kartor/A 53274-2024 karta.png", "A 53274-2024")</f>
        <v/>
      </c>
      <c r="V213">
        <f>HYPERLINK("https://klasma.github.io/Logging_2425/klagomål/A 53274-2024 FSC-klagomål.docx", "A 53274-2024")</f>
        <v/>
      </c>
      <c r="W213">
        <f>HYPERLINK("https://klasma.github.io/Logging_2425/klagomålsmail/A 53274-2024 FSC-klagomål mail.docx", "A 53274-2024")</f>
        <v/>
      </c>
      <c r="X213">
        <f>HYPERLINK("https://klasma.github.io/Logging_2425/tillsyn/A 53274-2024 tillsynsbegäran.docx", "A 53274-2024")</f>
        <v/>
      </c>
      <c r="Y213">
        <f>HYPERLINK("https://klasma.github.io/Logging_2425/tillsynsmail/A 53274-2024 tillsynsbegäran mail.docx", "A 53274-2024")</f>
        <v/>
      </c>
      <c r="Z213">
        <f>HYPERLINK("https://klasma.github.io/Logging_2425/fåglar/A 53274-2024 prioriterade fågelarter.docx", "A 53274-2024")</f>
        <v/>
      </c>
    </row>
    <row r="214" ht="15" customHeight="1">
      <c r="A214" t="inlineStr">
        <is>
          <t>A 39213-2021</t>
        </is>
      </c>
      <c r="B214" s="1" t="n">
        <v>44413</v>
      </c>
      <c r="C214" s="1" t="n">
        <v>46075</v>
      </c>
      <c r="D214" t="inlineStr">
        <is>
          <t>VÄSTERBOTTENS LÄN</t>
        </is>
      </c>
      <c r="E214" t="inlineStr">
        <is>
          <t>SKELLEFTEÅ</t>
        </is>
      </c>
      <c r="G214" t="n">
        <v>25</v>
      </c>
      <c r="H214" t="n">
        <v>1</v>
      </c>
      <c r="I214" t="n">
        <v>1</v>
      </c>
      <c r="J214" t="n">
        <v>8</v>
      </c>
      <c r="K214" t="n">
        <v>0</v>
      </c>
      <c r="L214" t="n">
        <v>0</v>
      </c>
      <c r="M214" t="n">
        <v>0</v>
      </c>
      <c r="N214" t="n">
        <v>0</v>
      </c>
      <c r="O214" t="n">
        <v>8</v>
      </c>
      <c r="P214" t="n">
        <v>0</v>
      </c>
      <c r="Q214" t="n">
        <v>9</v>
      </c>
      <c r="R214" s="2" t="inlineStr">
        <is>
          <t>Gammelgransskål
Garnlav
Granticka
Stjärntagging
Tallticka
Tretåig hackspett
Ullticka
Violettgrå tagellav
Vedticka</t>
        </is>
      </c>
      <c r="S214">
        <f>HYPERLINK("https://klasma.github.io/Logging_2482/artfynd/A 39213-2021 artfynd.xlsx", "A 39213-2021")</f>
        <v/>
      </c>
      <c r="T214">
        <f>HYPERLINK("https://klasma.github.io/Logging_2482/kartor/A 39213-2021 karta.png", "A 39213-2021")</f>
        <v/>
      </c>
      <c r="V214">
        <f>HYPERLINK("https://klasma.github.io/Logging_2482/klagomål/A 39213-2021 FSC-klagomål.docx", "A 39213-2021")</f>
        <v/>
      </c>
      <c r="W214">
        <f>HYPERLINK("https://klasma.github.io/Logging_2482/klagomålsmail/A 39213-2021 FSC-klagomål mail.docx", "A 39213-2021")</f>
        <v/>
      </c>
      <c r="X214">
        <f>HYPERLINK("https://klasma.github.io/Logging_2482/tillsyn/A 39213-2021 tillsynsbegäran.docx", "A 39213-2021")</f>
        <v/>
      </c>
      <c r="Y214">
        <f>HYPERLINK("https://klasma.github.io/Logging_2482/tillsynsmail/A 39213-2021 tillsynsbegäran mail.docx", "A 39213-2021")</f>
        <v/>
      </c>
      <c r="Z214">
        <f>HYPERLINK("https://klasma.github.io/Logging_2482/fåglar/A 39213-2021 prioriterade fågelarter.docx", "A 39213-2021")</f>
        <v/>
      </c>
    </row>
    <row r="215" ht="15" customHeight="1">
      <c r="A215" t="inlineStr">
        <is>
          <t>A 12330-2023</t>
        </is>
      </c>
      <c r="B215" s="1" t="n">
        <v>44995</v>
      </c>
      <c r="C215" s="1" t="n">
        <v>46075</v>
      </c>
      <c r="D215" t="inlineStr">
        <is>
          <t>VÄSTERBOTTENS LÄN</t>
        </is>
      </c>
      <c r="E215" t="inlineStr">
        <is>
          <t>STORUMAN</t>
        </is>
      </c>
      <c r="F215" t="inlineStr">
        <is>
          <t>Allmännings- och besparingsskogar</t>
        </is>
      </c>
      <c r="G215" t="n">
        <v>248.7</v>
      </c>
      <c r="H215" t="n">
        <v>0</v>
      </c>
      <c r="I215" t="n">
        <v>1</v>
      </c>
      <c r="J215" t="n">
        <v>8</v>
      </c>
      <c r="K215" t="n">
        <v>0</v>
      </c>
      <c r="L215" t="n">
        <v>0</v>
      </c>
      <c r="M215" t="n">
        <v>0</v>
      </c>
      <c r="N215" t="n">
        <v>0</v>
      </c>
      <c r="O215" t="n">
        <v>8</v>
      </c>
      <c r="P215" t="n">
        <v>0</v>
      </c>
      <c r="Q215" t="n">
        <v>9</v>
      </c>
      <c r="R215" s="2" t="inlineStr">
        <is>
          <t>Gammelgransskål
Garnlav
Gränsticka
Lunglav
Rosenticka
Rödbrun blekspik
Skrovellav
Urnlav
Vedticka</t>
        </is>
      </c>
      <c r="S215">
        <f>HYPERLINK("https://klasma.github.io/Logging_2421/artfynd/A 12330-2023 artfynd.xlsx", "A 12330-2023")</f>
        <v/>
      </c>
      <c r="T215">
        <f>HYPERLINK("https://klasma.github.io/Logging_2421/kartor/A 12330-2023 karta.png", "A 12330-2023")</f>
        <v/>
      </c>
      <c r="V215">
        <f>HYPERLINK("https://klasma.github.io/Logging_2421/klagomål/A 12330-2023 FSC-klagomål.docx", "A 12330-2023")</f>
        <v/>
      </c>
      <c r="W215">
        <f>HYPERLINK("https://klasma.github.io/Logging_2421/klagomålsmail/A 12330-2023 FSC-klagomål mail.docx", "A 12330-2023")</f>
        <v/>
      </c>
      <c r="X215">
        <f>HYPERLINK("https://klasma.github.io/Logging_2421/tillsyn/A 12330-2023 tillsynsbegäran.docx", "A 12330-2023")</f>
        <v/>
      </c>
      <c r="Y215">
        <f>HYPERLINK("https://klasma.github.io/Logging_2421/tillsynsmail/A 12330-2023 tillsynsbegäran mail.docx", "A 12330-2023")</f>
        <v/>
      </c>
    </row>
    <row r="216" ht="15" customHeight="1">
      <c r="A216" t="inlineStr">
        <is>
          <t>A 22441-2025</t>
        </is>
      </c>
      <c r="B216" s="1" t="n">
        <v>45786</v>
      </c>
      <c r="C216" s="1" t="n">
        <v>46075</v>
      </c>
      <c r="D216" t="inlineStr">
        <is>
          <t>VÄSTERBOTTENS LÄN</t>
        </is>
      </c>
      <c r="E216" t="inlineStr">
        <is>
          <t>SKELLEFTEÅ</t>
        </is>
      </c>
      <c r="G216" t="n">
        <v>3.6</v>
      </c>
      <c r="H216" t="n">
        <v>3</v>
      </c>
      <c r="I216" t="n">
        <v>1</v>
      </c>
      <c r="J216" t="n">
        <v>6</v>
      </c>
      <c r="K216" t="n">
        <v>1</v>
      </c>
      <c r="L216" t="n">
        <v>0</v>
      </c>
      <c r="M216" t="n">
        <v>0</v>
      </c>
      <c r="N216" t="n">
        <v>0</v>
      </c>
      <c r="O216" t="n">
        <v>7</v>
      </c>
      <c r="P216" t="n">
        <v>1</v>
      </c>
      <c r="Q216" t="n">
        <v>9</v>
      </c>
      <c r="R216" s="2" t="inlineStr">
        <is>
          <t>Ulltickeporing
Gammelgransskål
Granticka
Harticka
Spillkråka
Talltita
Ullticka
Vedticka
Fläcknycklar</t>
        </is>
      </c>
      <c r="S216">
        <f>HYPERLINK("https://klasma.github.io/Logging_2482/artfynd/A 22441-2025 artfynd.xlsx", "A 22441-2025")</f>
        <v/>
      </c>
      <c r="T216">
        <f>HYPERLINK("https://klasma.github.io/Logging_2482/kartor/A 22441-2025 karta.png", "A 22441-2025")</f>
        <v/>
      </c>
      <c r="V216">
        <f>HYPERLINK("https://klasma.github.io/Logging_2482/klagomål/A 22441-2025 FSC-klagomål.docx", "A 22441-2025")</f>
        <v/>
      </c>
      <c r="W216">
        <f>HYPERLINK("https://klasma.github.io/Logging_2482/klagomålsmail/A 22441-2025 FSC-klagomål mail.docx", "A 22441-2025")</f>
        <v/>
      </c>
      <c r="X216">
        <f>HYPERLINK("https://klasma.github.io/Logging_2482/tillsyn/A 22441-2025 tillsynsbegäran.docx", "A 22441-2025")</f>
        <v/>
      </c>
      <c r="Y216">
        <f>HYPERLINK("https://klasma.github.io/Logging_2482/tillsynsmail/A 22441-2025 tillsynsbegäran mail.docx", "A 22441-2025")</f>
        <v/>
      </c>
      <c r="Z216">
        <f>HYPERLINK("https://klasma.github.io/Logging_2482/fåglar/A 22441-2025 prioriterade fågelarter.docx", "A 22441-2025")</f>
        <v/>
      </c>
    </row>
    <row r="217" ht="15" customHeight="1">
      <c r="A217" t="inlineStr">
        <is>
          <t>A 72168-2021</t>
        </is>
      </c>
      <c r="B217" s="1" t="n">
        <v>44543</v>
      </c>
      <c r="C217" s="1" t="n">
        <v>46075</v>
      </c>
      <c r="D217" t="inlineStr">
        <is>
          <t>VÄSTERBOTTENS LÄN</t>
        </is>
      </c>
      <c r="E217" t="inlineStr">
        <is>
          <t>STORUMAN</t>
        </is>
      </c>
      <c r="G217" t="n">
        <v>16</v>
      </c>
      <c r="H217" t="n">
        <v>2</v>
      </c>
      <c r="I217" t="n">
        <v>3</v>
      </c>
      <c r="J217" t="n">
        <v>4</v>
      </c>
      <c r="K217" t="n">
        <v>0</v>
      </c>
      <c r="L217" t="n">
        <v>0</v>
      </c>
      <c r="M217" t="n">
        <v>0</v>
      </c>
      <c r="N217" t="n">
        <v>0</v>
      </c>
      <c r="O217" t="n">
        <v>4</v>
      </c>
      <c r="P217" t="n">
        <v>0</v>
      </c>
      <c r="Q217" t="n">
        <v>8</v>
      </c>
      <c r="R217" s="2" t="inlineStr">
        <is>
          <t>Garnlav
Skorpgelélav
Skrovellav
Talltita
Bårdlav
Luddlav
Stuplav
Brudsporre</t>
        </is>
      </c>
      <c r="S217">
        <f>HYPERLINK("https://klasma.github.io/Logging_2421/artfynd/A 72168-2021 artfynd.xlsx", "A 72168-2021")</f>
        <v/>
      </c>
      <c r="T217">
        <f>HYPERLINK("https://klasma.github.io/Logging_2421/kartor/A 72168-2021 karta.png", "A 72168-2021")</f>
        <v/>
      </c>
      <c r="V217">
        <f>HYPERLINK("https://klasma.github.io/Logging_2421/klagomål/A 72168-2021 FSC-klagomål.docx", "A 72168-2021")</f>
        <v/>
      </c>
      <c r="W217">
        <f>HYPERLINK("https://klasma.github.io/Logging_2421/klagomålsmail/A 72168-2021 FSC-klagomål mail.docx", "A 72168-2021")</f>
        <v/>
      </c>
      <c r="X217">
        <f>HYPERLINK("https://klasma.github.io/Logging_2421/tillsyn/A 72168-2021 tillsynsbegäran.docx", "A 72168-2021")</f>
        <v/>
      </c>
      <c r="Y217">
        <f>HYPERLINK("https://klasma.github.io/Logging_2421/tillsynsmail/A 72168-2021 tillsynsbegäran mail.docx", "A 72168-2021")</f>
        <v/>
      </c>
      <c r="Z217">
        <f>HYPERLINK("https://klasma.github.io/Logging_2421/fåglar/A 72168-2021 prioriterade fågelarter.docx", "A 72168-2021")</f>
        <v/>
      </c>
    </row>
    <row r="218" ht="15" customHeight="1">
      <c r="A218" t="inlineStr">
        <is>
          <t>A 9327-2022</t>
        </is>
      </c>
      <c r="B218" s="1" t="n">
        <v>44616</v>
      </c>
      <c r="C218" s="1" t="n">
        <v>46075</v>
      </c>
      <c r="D218" t="inlineStr">
        <is>
          <t>VÄSTERBOTTENS LÄN</t>
        </is>
      </c>
      <c r="E218" t="inlineStr">
        <is>
          <t>LYCKSELE</t>
        </is>
      </c>
      <c r="G218" t="n">
        <v>10.1</v>
      </c>
      <c r="H218" t="n">
        <v>4</v>
      </c>
      <c r="I218" t="n">
        <v>0</v>
      </c>
      <c r="J218" t="n">
        <v>6</v>
      </c>
      <c r="K218" t="n">
        <v>1</v>
      </c>
      <c r="L218" t="n">
        <v>0</v>
      </c>
      <c r="M218" t="n">
        <v>0</v>
      </c>
      <c r="N218" t="n">
        <v>0</v>
      </c>
      <c r="O218" t="n">
        <v>7</v>
      </c>
      <c r="P218" t="n">
        <v>1</v>
      </c>
      <c r="Q218" t="n">
        <v>8</v>
      </c>
      <c r="R218" s="2" t="inlineStr">
        <is>
          <t>Rynkskinn
Garnlav
Granticka
Spillkråka
Talltita
Tretåig hackspett
Ullticka
Fläcknycklar</t>
        </is>
      </c>
      <c r="S218">
        <f>HYPERLINK("https://klasma.github.io/Logging_2481/artfynd/A 9327-2022 artfynd.xlsx", "A 9327-2022")</f>
        <v/>
      </c>
      <c r="T218">
        <f>HYPERLINK("https://klasma.github.io/Logging_2481/kartor/A 9327-2022 karta.png", "A 9327-2022")</f>
        <v/>
      </c>
      <c r="V218">
        <f>HYPERLINK("https://klasma.github.io/Logging_2481/klagomål/A 9327-2022 FSC-klagomål.docx", "A 9327-2022")</f>
        <v/>
      </c>
      <c r="W218">
        <f>HYPERLINK("https://klasma.github.io/Logging_2481/klagomålsmail/A 9327-2022 FSC-klagomål mail.docx", "A 9327-2022")</f>
        <v/>
      </c>
      <c r="X218">
        <f>HYPERLINK("https://klasma.github.io/Logging_2481/tillsyn/A 9327-2022 tillsynsbegäran.docx", "A 9327-2022")</f>
        <v/>
      </c>
      <c r="Y218">
        <f>HYPERLINK("https://klasma.github.io/Logging_2481/tillsynsmail/A 9327-2022 tillsynsbegäran mail.docx", "A 9327-2022")</f>
        <v/>
      </c>
      <c r="Z218">
        <f>HYPERLINK("https://klasma.github.io/Logging_2481/fåglar/A 9327-2022 prioriterade fågelarter.docx", "A 9327-2022")</f>
        <v/>
      </c>
    </row>
    <row r="219" ht="15" customHeight="1">
      <c r="A219" t="inlineStr">
        <is>
          <t>A 63588-2021</t>
        </is>
      </c>
      <c r="B219" s="1" t="n">
        <v>44508.92318287037</v>
      </c>
      <c r="C219" s="1" t="n">
        <v>46075</v>
      </c>
      <c r="D219" t="inlineStr">
        <is>
          <t>VÄSTERBOTTENS LÄN</t>
        </is>
      </c>
      <c r="E219" t="inlineStr">
        <is>
          <t>LYCKSELE</t>
        </is>
      </c>
      <c r="G219" t="n">
        <v>5.8</v>
      </c>
      <c r="H219" t="n">
        <v>0</v>
      </c>
      <c r="I219" t="n">
        <v>1</v>
      </c>
      <c r="J219" t="n">
        <v>7</v>
      </c>
      <c r="K219" t="n">
        <v>0</v>
      </c>
      <c r="L219" t="n">
        <v>0</v>
      </c>
      <c r="M219" t="n">
        <v>0</v>
      </c>
      <c r="N219" t="n">
        <v>0</v>
      </c>
      <c r="O219" t="n">
        <v>7</v>
      </c>
      <c r="P219" t="n">
        <v>0</v>
      </c>
      <c r="Q219" t="n">
        <v>8</v>
      </c>
      <c r="R219" s="2" t="inlineStr">
        <is>
          <t>Blå taggsvamp
Garnlav
Leptoporus mollis
Orange taggsvamp
Rosenticka
Ullticka
Vitgrynig nållav
Dropptaggsvamp</t>
        </is>
      </c>
      <c r="S219">
        <f>HYPERLINK("https://klasma.github.io/Logging_2481/artfynd/A 63588-2021 artfynd.xlsx", "A 63588-2021")</f>
        <v/>
      </c>
      <c r="T219">
        <f>HYPERLINK("https://klasma.github.io/Logging_2481/kartor/A 63588-2021 karta.png", "A 63588-2021")</f>
        <v/>
      </c>
      <c r="V219">
        <f>HYPERLINK("https://klasma.github.io/Logging_2481/klagomål/A 63588-2021 FSC-klagomål.docx", "A 63588-2021")</f>
        <v/>
      </c>
      <c r="W219">
        <f>HYPERLINK("https://klasma.github.io/Logging_2481/klagomålsmail/A 63588-2021 FSC-klagomål mail.docx", "A 63588-2021")</f>
        <v/>
      </c>
      <c r="X219">
        <f>HYPERLINK("https://klasma.github.io/Logging_2481/tillsyn/A 63588-2021 tillsynsbegäran.docx", "A 63588-2021")</f>
        <v/>
      </c>
      <c r="Y219">
        <f>HYPERLINK("https://klasma.github.io/Logging_2481/tillsynsmail/A 63588-2021 tillsynsbegäran mail.docx", "A 63588-2021")</f>
        <v/>
      </c>
    </row>
    <row r="220" ht="15" customHeight="1">
      <c r="A220" t="inlineStr">
        <is>
          <t>A 26191-2022</t>
        </is>
      </c>
      <c r="B220" s="1" t="n">
        <v>44735</v>
      </c>
      <c r="C220" s="1" t="n">
        <v>46075</v>
      </c>
      <c r="D220" t="inlineStr">
        <is>
          <t>VÄSTERBOTTENS LÄN</t>
        </is>
      </c>
      <c r="E220" t="inlineStr">
        <is>
          <t>VILHELMINA</t>
        </is>
      </c>
      <c r="G220" t="n">
        <v>42.1</v>
      </c>
      <c r="H220" t="n">
        <v>2</v>
      </c>
      <c r="I220" t="n">
        <v>0</v>
      </c>
      <c r="J220" t="n">
        <v>8</v>
      </c>
      <c r="K220" t="n">
        <v>0</v>
      </c>
      <c r="L220" t="n">
        <v>0</v>
      </c>
      <c r="M220" t="n">
        <v>0</v>
      </c>
      <c r="N220" t="n">
        <v>0</v>
      </c>
      <c r="O220" t="n">
        <v>8</v>
      </c>
      <c r="P220" t="n">
        <v>0</v>
      </c>
      <c r="Q220" t="n">
        <v>8</v>
      </c>
      <c r="R220" s="2" t="inlineStr">
        <is>
          <t>Gammelgransskål
Garnlav
Granticka
Rosenticka
Rödbrun blekspik
Talltita
Tretåig hackspett
Ullticka</t>
        </is>
      </c>
      <c r="S220">
        <f>HYPERLINK("https://klasma.github.io/Logging_2462/artfynd/A 26191-2022 artfynd.xlsx", "A 26191-2022")</f>
        <v/>
      </c>
      <c r="T220">
        <f>HYPERLINK("https://klasma.github.io/Logging_2462/kartor/A 26191-2022 karta.png", "A 26191-2022")</f>
        <v/>
      </c>
      <c r="V220">
        <f>HYPERLINK("https://klasma.github.io/Logging_2462/klagomål/A 26191-2022 FSC-klagomål.docx", "A 26191-2022")</f>
        <v/>
      </c>
      <c r="W220">
        <f>HYPERLINK("https://klasma.github.io/Logging_2462/klagomålsmail/A 26191-2022 FSC-klagomål mail.docx", "A 26191-2022")</f>
        <v/>
      </c>
      <c r="X220">
        <f>HYPERLINK("https://klasma.github.io/Logging_2462/tillsyn/A 26191-2022 tillsynsbegäran.docx", "A 26191-2022")</f>
        <v/>
      </c>
      <c r="Y220">
        <f>HYPERLINK("https://klasma.github.io/Logging_2462/tillsynsmail/A 26191-2022 tillsynsbegäran mail.docx", "A 26191-2022")</f>
        <v/>
      </c>
      <c r="Z220">
        <f>HYPERLINK("https://klasma.github.io/Logging_2462/fåglar/A 26191-2022 prioriterade fågelarter.docx", "A 26191-2022")</f>
        <v/>
      </c>
    </row>
    <row r="221" ht="15" customHeight="1">
      <c r="A221" t="inlineStr">
        <is>
          <t>A 28001-2023</t>
        </is>
      </c>
      <c r="B221" s="1" t="n">
        <v>45098</v>
      </c>
      <c r="C221" s="1" t="n">
        <v>46075</v>
      </c>
      <c r="D221" t="inlineStr">
        <is>
          <t>VÄSTERBOTTENS LÄN</t>
        </is>
      </c>
      <c r="E221" t="inlineStr">
        <is>
          <t>STORUMAN</t>
        </is>
      </c>
      <c r="G221" t="n">
        <v>14.2</v>
      </c>
      <c r="H221" t="n">
        <v>1</v>
      </c>
      <c r="I221" t="n">
        <v>1</v>
      </c>
      <c r="J221" t="n">
        <v>7</v>
      </c>
      <c r="K221" t="n">
        <v>0</v>
      </c>
      <c r="L221" t="n">
        <v>0</v>
      </c>
      <c r="M221" t="n">
        <v>0</v>
      </c>
      <c r="N221" t="n">
        <v>0</v>
      </c>
      <c r="O221" t="n">
        <v>7</v>
      </c>
      <c r="P221" t="n">
        <v>0</v>
      </c>
      <c r="Q221" t="n">
        <v>8</v>
      </c>
      <c r="R221" s="2" t="inlineStr">
        <is>
          <t>Blå taggsvamp
Doftskinn
Garnlav
Mörk kolflarnlav
Skrovlig taggsvamp
Spillkråka
Ullticka
Dropptaggsvamp</t>
        </is>
      </c>
      <c r="S221">
        <f>HYPERLINK("https://klasma.github.io/Logging_2421/artfynd/A 28001-2023 artfynd.xlsx", "A 28001-2023")</f>
        <v/>
      </c>
      <c r="T221">
        <f>HYPERLINK("https://klasma.github.io/Logging_2421/kartor/A 28001-2023 karta.png", "A 28001-2023")</f>
        <v/>
      </c>
      <c r="V221">
        <f>HYPERLINK("https://klasma.github.io/Logging_2421/klagomål/A 28001-2023 FSC-klagomål.docx", "A 28001-2023")</f>
        <v/>
      </c>
      <c r="W221">
        <f>HYPERLINK("https://klasma.github.io/Logging_2421/klagomålsmail/A 28001-2023 FSC-klagomål mail.docx", "A 28001-2023")</f>
        <v/>
      </c>
      <c r="X221">
        <f>HYPERLINK("https://klasma.github.io/Logging_2421/tillsyn/A 28001-2023 tillsynsbegäran.docx", "A 28001-2023")</f>
        <v/>
      </c>
      <c r="Y221">
        <f>HYPERLINK("https://klasma.github.io/Logging_2421/tillsynsmail/A 28001-2023 tillsynsbegäran mail.docx", "A 28001-2023")</f>
        <v/>
      </c>
      <c r="Z221">
        <f>HYPERLINK("https://klasma.github.io/Logging_2421/fåglar/A 28001-2023 prioriterade fågelarter.docx", "A 28001-2023")</f>
        <v/>
      </c>
    </row>
    <row r="222" ht="15" customHeight="1">
      <c r="A222" t="inlineStr">
        <is>
          <t>A 40423-2025</t>
        </is>
      </c>
      <c r="B222" s="1" t="n">
        <v>45895.58626157408</v>
      </c>
      <c r="C222" s="1" t="n">
        <v>46075</v>
      </c>
      <c r="D222" t="inlineStr">
        <is>
          <t>VÄSTERBOTTENS LÄN</t>
        </is>
      </c>
      <c r="E222" t="inlineStr">
        <is>
          <t>NORSJÖ</t>
        </is>
      </c>
      <c r="F222" t="inlineStr">
        <is>
          <t>Holmen skog AB</t>
        </is>
      </c>
      <c r="G222" t="n">
        <v>20.7</v>
      </c>
      <c r="H222" t="n">
        <v>3</v>
      </c>
      <c r="I222" t="n">
        <v>2</v>
      </c>
      <c r="J222" t="n">
        <v>5</v>
      </c>
      <c r="K222" t="n">
        <v>1</v>
      </c>
      <c r="L222" t="n">
        <v>0</v>
      </c>
      <c r="M222" t="n">
        <v>0</v>
      </c>
      <c r="N222" t="n">
        <v>0</v>
      </c>
      <c r="O222" t="n">
        <v>6</v>
      </c>
      <c r="P222" t="n">
        <v>1</v>
      </c>
      <c r="Q222" t="n">
        <v>8</v>
      </c>
      <c r="R222" s="2" t="inlineStr">
        <is>
          <t>Knärot
Garnlav
Granticka
Lunglav
Talltita
Ullticka
Spindelblomster
Stuplav</t>
        </is>
      </c>
      <c r="S222">
        <f>HYPERLINK("https://klasma.github.io/Logging_2417/artfynd/A 40423-2025 artfynd.xlsx", "A 40423-2025")</f>
        <v/>
      </c>
      <c r="T222">
        <f>HYPERLINK("https://klasma.github.io/Logging_2417/kartor/A 40423-2025 karta.png", "A 40423-2025")</f>
        <v/>
      </c>
      <c r="U222">
        <f>HYPERLINK("https://klasma.github.io/Logging_2417/knärot/A 40423-2025 karta knärot.png", "A 40423-2025")</f>
        <v/>
      </c>
      <c r="V222">
        <f>HYPERLINK("https://klasma.github.io/Logging_2417/klagomål/A 40423-2025 FSC-klagomål.docx", "A 40423-2025")</f>
        <v/>
      </c>
      <c r="W222">
        <f>HYPERLINK("https://klasma.github.io/Logging_2417/klagomålsmail/A 40423-2025 FSC-klagomål mail.docx", "A 40423-2025")</f>
        <v/>
      </c>
      <c r="X222">
        <f>HYPERLINK("https://klasma.github.io/Logging_2417/tillsyn/A 40423-2025 tillsynsbegäran.docx", "A 40423-2025")</f>
        <v/>
      </c>
      <c r="Y222">
        <f>HYPERLINK("https://klasma.github.io/Logging_2417/tillsynsmail/A 40423-2025 tillsynsbegäran mail.docx", "A 40423-2025")</f>
        <v/>
      </c>
      <c r="Z222">
        <f>HYPERLINK("https://klasma.github.io/Logging_2417/fåglar/A 40423-2025 prioriterade fågelarter.docx", "A 40423-2025")</f>
        <v/>
      </c>
    </row>
    <row r="223" ht="15" customHeight="1">
      <c r="A223" t="inlineStr">
        <is>
          <t>A 12017-2023</t>
        </is>
      </c>
      <c r="B223" s="1" t="n">
        <v>44995.64068287037</v>
      </c>
      <c r="C223" s="1" t="n">
        <v>46075</v>
      </c>
      <c r="D223" t="inlineStr">
        <is>
          <t>VÄSTERBOTTENS LÄN</t>
        </is>
      </c>
      <c r="E223" t="inlineStr">
        <is>
          <t>SKELLEFTEÅ</t>
        </is>
      </c>
      <c r="F223" t="inlineStr">
        <is>
          <t>Sveaskog</t>
        </is>
      </c>
      <c r="G223" t="n">
        <v>6.8</v>
      </c>
      <c r="H223" t="n">
        <v>2</v>
      </c>
      <c r="I223" t="n">
        <v>4</v>
      </c>
      <c r="J223" t="n">
        <v>4</v>
      </c>
      <c r="K223" t="n">
        <v>0</v>
      </c>
      <c r="L223" t="n">
        <v>0</v>
      </c>
      <c r="M223" t="n">
        <v>0</v>
      </c>
      <c r="N223" t="n">
        <v>0</v>
      </c>
      <c r="O223" t="n">
        <v>4</v>
      </c>
      <c r="P223" t="n">
        <v>0</v>
      </c>
      <c r="Q223" t="n">
        <v>8</v>
      </c>
      <c r="R223" s="2" t="inlineStr">
        <is>
          <t>Garnlav
Kolflarnlav
Lunglav
Violettgrå tagellav
Dropptaggsvamp
Luddlav
Plattlummer
Spindelblomster</t>
        </is>
      </c>
      <c r="S223">
        <f>HYPERLINK("https://klasma.github.io/Logging_2482/artfynd/A 12017-2023 artfynd.xlsx", "A 12017-2023")</f>
        <v/>
      </c>
      <c r="T223">
        <f>HYPERLINK("https://klasma.github.io/Logging_2482/kartor/A 12017-2023 karta.png", "A 12017-2023")</f>
        <v/>
      </c>
      <c r="V223">
        <f>HYPERLINK("https://klasma.github.io/Logging_2482/klagomål/A 12017-2023 FSC-klagomål.docx", "A 12017-2023")</f>
        <v/>
      </c>
      <c r="W223">
        <f>HYPERLINK("https://klasma.github.io/Logging_2482/klagomålsmail/A 12017-2023 FSC-klagomål mail.docx", "A 12017-2023")</f>
        <v/>
      </c>
      <c r="X223">
        <f>HYPERLINK("https://klasma.github.io/Logging_2482/tillsyn/A 12017-2023 tillsynsbegäran.docx", "A 12017-2023")</f>
        <v/>
      </c>
      <c r="Y223">
        <f>HYPERLINK("https://klasma.github.io/Logging_2482/tillsynsmail/A 12017-2023 tillsynsbegäran mail.docx", "A 12017-2023")</f>
        <v/>
      </c>
    </row>
    <row r="224" ht="15" customHeight="1">
      <c r="A224" t="inlineStr">
        <is>
          <t>A 56632-2024</t>
        </is>
      </c>
      <c r="B224" s="1" t="n">
        <v>45625</v>
      </c>
      <c r="C224" s="1" t="n">
        <v>46075</v>
      </c>
      <c r="D224" t="inlineStr">
        <is>
          <t>VÄSTERBOTTENS LÄN</t>
        </is>
      </c>
      <c r="E224" t="inlineStr">
        <is>
          <t>VILHELMINA</t>
        </is>
      </c>
      <c r="F224" t="inlineStr">
        <is>
          <t>Allmännings- och besparingsskogar</t>
        </is>
      </c>
      <c r="G224" t="n">
        <v>36.4</v>
      </c>
      <c r="H224" t="n">
        <v>1</v>
      </c>
      <c r="I224" t="n">
        <v>3</v>
      </c>
      <c r="J224" t="n">
        <v>5</v>
      </c>
      <c r="K224" t="n">
        <v>0</v>
      </c>
      <c r="L224" t="n">
        <v>0</v>
      </c>
      <c r="M224" t="n">
        <v>0</v>
      </c>
      <c r="N224" t="n">
        <v>0</v>
      </c>
      <c r="O224" t="n">
        <v>5</v>
      </c>
      <c r="P224" t="n">
        <v>0</v>
      </c>
      <c r="Q224" t="n">
        <v>8</v>
      </c>
      <c r="R224" s="2" t="inlineStr">
        <is>
          <t>Garnlav
Granticka
Harticka
Tretåig hackspett
Vitgrynig nållav
Gulnål
Mörk husmossa
Stuplav</t>
        </is>
      </c>
      <c r="S224">
        <f>HYPERLINK("https://klasma.github.io/Logging_2462/artfynd/A 56632-2024 artfynd.xlsx", "A 56632-2024")</f>
        <v/>
      </c>
      <c r="T224">
        <f>HYPERLINK("https://klasma.github.io/Logging_2462/kartor/A 56632-2024 karta.png", "A 56632-2024")</f>
        <v/>
      </c>
      <c r="V224">
        <f>HYPERLINK("https://klasma.github.io/Logging_2462/klagomål/A 56632-2024 FSC-klagomål.docx", "A 56632-2024")</f>
        <v/>
      </c>
      <c r="W224">
        <f>HYPERLINK("https://klasma.github.io/Logging_2462/klagomålsmail/A 56632-2024 FSC-klagomål mail.docx", "A 56632-2024")</f>
        <v/>
      </c>
      <c r="X224">
        <f>HYPERLINK("https://klasma.github.io/Logging_2462/tillsyn/A 56632-2024 tillsynsbegäran.docx", "A 56632-2024")</f>
        <v/>
      </c>
      <c r="Y224">
        <f>HYPERLINK("https://klasma.github.io/Logging_2462/tillsynsmail/A 56632-2024 tillsynsbegäran mail.docx", "A 56632-2024")</f>
        <v/>
      </c>
      <c r="Z224">
        <f>HYPERLINK("https://klasma.github.io/Logging_2462/fåglar/A 56632-2024 prioriterade fågelarter.docx", "A 56632-2024")</f>
        <v/>
      </c>
    </row>
    <row r="225" ht="15" customHeight="1">
      <c r="A225" t="inlineStr">
        <is>
          <t>A 33322-2025</t>
        </is>
      </c>
      <c r="B225" s="1" t="n">
        <v>45841.3452662037</v>
      </c>
      <c r="C225" s="1" t="n">
        <v>46075</v>
      </c>
      <c r="D225" t="inlineStr">
        <is>
          <t>VÄSTERBOTTENS LÄN</t>
        </is>
      </c>
      <c r="E225" t="inlineStr">
        <is>
          <t>VILHELMINA</t>
        </is>
      </c>
      <c r="F225" t="inlineStr">
        <is>
          <t>SCA</t>
        </is>
      </c>
      <c r="G225" t="n">
        <v>3.4</v>
      </c>
      <c r="H225" t="n">
        <v>1</v>
      </c>
      <c r="I225" t="n">
        <v>1</v>
      </c>
      <c r="J225" t="n">
        <v>5</v>
      </c>
      <c r="K225" t="n">
        <v>1</v>
      </c>
      <c r="L225" t="n">
        <v>0</v>
      </c>
      <c r="M225" t="n">
        <v>0</v>
      </c>
      <c r="N225" t="n">
        <v>0</v>
      </c>
      <c r="O225" t="n">
        <v>6</v>
      </c>
      <c r="P225" t="n">
        <v>1</v>
      </c>
      <c r="Q225" t="n">
        <v>8</v>
      </c>
      <c r="R225" s="2" t="inlineStr">
        <is>
          <t>Rynkskinn
Gammelgransskål
Garnlav
Granticka
Lunglav
Skrovellav
Bronshjon
Fläcknycklar</t>
        </is>
      </c>
      <c r="S225">
        <f>HYPERLINK("https://klasma.github.io/Logging_2462/artfynd/A 33322-2025 artfynd.xlsx", "A 33322-2025")</f>
        <v/>
      </c>
      <c r="T225">
        <f>HYPERLINK("https://klasma.github.io/Logging_2462/kartor/A 33322-2025 karta.png", "A 33322-2025")</f>
        <v/>
      </c>
      <c r="V225">
        <f>HYPERLINK("https://klasma.github.io/Logging_2462/klagomål/A 33322-2025 FSC-klagomål.docx", "A 33322-2025")</f>
        <v/>
      </c>
      <c r="W225">
        <f>HYPERLINK("https://klasma.github.io/Logging_2462/klagomålsmail/A 33322-2025 FSC-klagomål mail.docx", "A 33322-2025")</f>
        <v/>
      </c>
      <c r="X225">
        <f>HYPERLINK("https://klasma.github.io/Logging_2462/tillsyn/A 33322-2025 tillsynsbegäran.docx", "A 33322-2025")</f>
        <v/>
      </c>
      <c r="Y225">
        <f>HYPERLINK("https://klasma.github.io/Logging_2462/tillsynsmail/A 33322-2025 tillsynsbegäran mail.docx", "A 33322-2025")</f>
        <v/>
      </c>
    </row>
    <row r="226" ht="15" customHeight="1">
      <c r="A226" t="inlineStr">
        <is>
          <t>A 35262-2025</t>
        </is>
      </c>
      <c r="B226" s="1" t="n">
        <v>45853.78947916667</v>
      </c>
      <c r="C226" s="1" t="n">
        <v>46075</v>
      </c>
      <c r="D226" t="inlineStr">
        <is>
          <t>VÄSTERBOTTENS LÄN</t>
        </is>
      </c>
      <c r="E226" t="inlineStr">
        <is>
          <t>NORSJÖ</t>
        </is>
      </c>
      <c r="F226" t="inlineStr">
        <is>
          <t>Sveaskog</t>
        </is>
      </c>
      <c r="G226" t="n">
        <v>9.199999999999999</v>
      </c>
      <c r="H226" t="n">
        <v>3</v>
      </c>
      <c r="I226" t="n">
        <v>3</v>
      </c>
      <c r="J226" t="n">
        <v>3</v>
      </c>
      <c r="K226" t="n">
        <v>1</v>
      </c>
      <c r="L226" t="n">
        <v>0</v>
      </c>
      <c r="M226" t="n">
        <v>0</v>
      </c>
      <c r="N226" t="n">
        <v>0</v>
      </c>
      <c r="O226" t="n">
        <v>4</v>
      </c>
      <c r="P226" t="n">
        <v>1</v>
      </c>
      <c r="Q226" t="n">
        <v>8</v>
      </c>
      <c r="R226" s="2" t="inlineStr">
        <is>
          <t>Knärot
Garnlav
Lunglav
Tretåig hackspett
Grönpyrola
Stuplav
Ögonpyrola
Fläcknycklar</t>
        </is>
      </c>
      <c r="S226">
        <f>HYPERLINK("https://klasma.github.io/Logging_2417/artfynd/A 35262-2025 artfynd.xlsx", "A 35262-2025")</f>
        <v/>
      </c>
      <c r="T226">
        <f>HYPERLINK("https://klasma.github.io/Logging_2417/kartor/A 35262-2025 karta.png", "A 35262-2025")</f>
        <v/>
      </c>
      <c r="U226">
        <f>HYPERLINK("https://klasma.github.io/Logging_2417/knärot/A 35262-2025 karta knärot.png", "A 35262-2025")</f>
        <v/>
      </c>
      <c r="V226">
        <f>HYPERLINK("https://klasma.github.io/Logging_2417/klagomål/A 35262-2025 FSC-klagomål.docx", "A 35262-2025")</f>
        <v/>
      </c>
      <c r="W226">
        <f>HYPERLINK("https://klasma.github.io/Logging_2417/klagomålsmail/A 35262-2025 FSC-klagomål mail.docx", "A 35262-2025")</f>
        <v/>
      </c>
      <c r="X226">
        <f>HYPERLINK("https://klasma.github.io/Logging_2417/tillsyn/A 35262-2025 tillsynsbegäran.docx", "A 35262-2025")</f>
        <v/>
      </c>
      <c r="Y226">
        <f>HYPERLINK("https://klasma.github.io/Logging_2417/tillsynsmail/A 35262-2025 tillsynsbegäran mail.docx", "A 35262-2025")</f>
        <v/>
      </c>
      <c r="Z226">
        <f>HYPERLINK("https://klasma.github.io/Logging_2417/fåglar/A 35262-2025 prioriterade fågelarter.docx", "A 35262-2025")</f>
        <v/>
      </c>
    </row>
    <row r="227" ht="15" customHeight="1">
      <c r="A227" t="inlineStr">
        <is>
          <t>A 302-2025</t>
        </is>
      </c>
      <c r="B227" s="1" t="n">
        <v>45656</v>
      </c>
      <c r="C227" s="1" t="n">
        <v>46075</v>
      </c>
      <c r="D227" t="inlineStr">
        <is>
          <t>VÄSTERBOTTENS LÄN</t>
        </is>
      </c>
      <c r="E227" t="inlineStr">
        <is>
          <t>ROBERTSFORS</t>
        </is>
      </c>
      <c r="G227" t="n">
        <v>10.1</v>
      </c>
      <c r="H227" t="n">
        <v>5</v>
      </c>
      <c r="I227" t="n">
        <v>1</v>
      </c>
      <c r="J227" t="n">
        <v>5</v>
      </c>
      <c r="K227" t="n">
        <v>0</v>
      </c>
      <c r="L227" t="n">
        <v>0</v>
      </c>
      <c r="M227" t="n">
        <v>0</v>
      </c>
      <c r="N227" t="n">
        <v>0</v>
      </c>
      <c r="O227" t="n">
        <v>5</v>
      </c>
      <c r="P227" t="n">
        <v>0</v>
      </c>
      <c r="Q227" t="n">
        <v>8</v>
      </c>
      <c r="R227" s="2" t="inlineStr">
        <is>
          <t>Garnlav
Granticka
Järpe
Spillkråka
Talltita
Vedticka
Fläcknycklar
Revlummer</t>
        </is>
      </c>
      <c r="S227">
        <f>HYPERLINK("https://klasma.github.io/Logging_2409/artfynd/A 302-2025 artfynd.xlsx", "A 302-2025")</f>
        <v/>
      </c>
      <c r="T227">
        <f>HYPERLINK("https://klasma.github.io/Logging_2409/kartor/A 302-2025 karta.png", "A 302-2025")</f>
        <v/>
      </c>
      <c r="V227">
        <f>HYPERLINK("https://klasma.github.io/Logging_2409/klagomål/A 302-2025 FSC-klagomål.docx", "A 302-2025")</f>
        <v/>
      </c>
      <c r="W227">
        <f>HYPERLINK("https://klasma.github.io/Logging_2409/klagomålsmail/A 302-2025 FSC-klagomål mail.docx", "A 302-2025")</f>
        <v/>
      </c>
      <c r="X227">
        <f>HYPERLINK("https://klasma.github.io/Logging_2409/tillsyn/A 302-2025 tillsynsbegäran.docx", "A 302-2025")</f>
        <v/>
      </c>
      <c r="Y227">
        <f>HYPERLINK("https://klasma.github.io/Logging_2409/tillsynsmail/A 302-2025 tillsynsbegäran mail.docx", "A 302-2025")</f>
        <v/>
      </c>
      <c r="Z227">
        <f>HYPERLINK("https://klasma.github.io/Logging_2409/fåglar/A 302-2025 prioriterade fågelarter.docx", "A 302-2025")</f>
        <v/>
      </c>
    </row>
    <row r="228" ht="15" customHeight="1">
      <c r="A228" t="inlineStr">
        <is>
          <t>A 37960-2025</t>
        </is>
      </c>
      <c r="B228" s="1" t="n">
        <v>45881</v>
      </c>
      <c r="C228" s="1" t="n">
        <v>46075</v>
      </c>
      <c r="D228" t="inlineStr">
        <is>
          <t>VÄSTERBOTTENS LÄN</t>
        </is>
      </c>
      <c r="E228" t="inlineStr">
        <is>
          <t>STORUMAN</t>
        </is>
      </c>
      <c r="G228" t="n">
        <v>15.7</v>
      </c>
      <c r="H228" t="n">
        <v>0</v>
      </c>
      <c r="I228" t="n">
        <v>3</v>
      </c>
      <c r="J228" t="n">
        <v>5</v>
      </c>
      <c r="K228" t="n">
        <v>0</v>
      </c>
      <c r="L228" t="n">
        <v>0</v>
      </c>
      <c r="M228" t="n">
        <v>0</v>
      </c>
      <c r="N228" t="n">
        <v>0</v>
      </c>
      <c r="O228" t="n">
        <v>5</v>
      </c>
      <c r="P228" t="n">
        <v>0</v>
      </c>
      <c r="Q228" t="n">
        <v>8</v>
      </c>
      <c r="R228" s="2" t="inlineStr">
        <is>
          <t>Harticka
Leptoporus mollis
Rödbrun blekspik
Skrovellav
Ullticka
Luddlav
Mörk husmossa
Skinnlav</t>
        </is>
      </c>
      <c r="S228">
        <f>HYPERLINK("https://klasma.github.io/Logging_2421/artfynd/A 37960-2025 artfynd.xlsx", "A 37960-2025")</f>
        <v/>
      </c>
      <c r="T228">
        <f>HYPERLINK("https://klasma.github.io/Logging_2421/kartor/A 37960-2025 karta.png", "A 37960-2025")</f>
        <v/>
      </c>
      <c r="V228">
        <f>HYPERLINK("https://klasma.github.io/Logging_2421/klagomål/A 37960-2025 FSC-klagomål.docx", "A 37960-2025")</f>
        <v/>
      </c>
      <c r="W228">
        <f>HYPERLINK("https://klasma.github.io/Logging_2421/klagomålsmail/A 37960-2025 FSC-klagomål mail.docx", "A 37960-2025")</f>
        <v/>
      </c>
      <c r="X228">
        <f>HYPERLINK("https://klasma.github.io/Logging_2421/tillsyn/A 37960-2025 tillsynsbegäran.docx", "A 37960-2025")</f>
        <v/>
      </c>
      <c r="Y228">
        <f>HYPERLINK("https://klasma.github.io/Logging_2421/tillsynsmail/A 37960-2025 tillsynsbegäran mail.docx", "A 37960-2025")</f>
        <v/>
      </c>
    </row>
    <row r="229" ht="15" customHeight="1">
      <c r="A229" t="inlineStr">
        <is>
          <t>A 49216-2025</t>
        </is>
      </c>
      <c r="B229" s="1" t="n">
        <v>45938.44971064815</v>
      </c>
      <c r="C229" s="1" t="n">
        <v>46075</v>
      </c>
      <c r="D229" t="inlineStr">
        <is>
          <t>VÄSTERBOTTENS LÄN</t>
        </is>
      </c>
      <c r="E229" t="inlineStr">
        <is>
          <t>SKELLEFTEÅ</t>
        </is>
      </c>
      <c r="F229" t="inlineStr">
        <is>
          <t>Holmen skog AB</t>
        </is>
      </c>
      <c r="G229" t="n">
        <v>12.7</v>
      </c>
      <c r="H229" t="n">
        <v>3</v>
      </c>
      <c r="I229" t="n">
        <v>3</v>
      </c>
      <c r="J229" t="n">
        <v>5</v>
      </c>
      <c r="K229" t="n">
        <v>0</v>
      </c>
      <c r="L229" t="n">
        <v>0</v>
      </c>
      <c r="M229" t="n">
        <v>0</v>
      </c>
      <c r="N229" t="n">
        <v>0</v>
      </c>
      <c r="O229" t="n">
        <v>5</v>
      </c>
      <c r="P229" t="n">
        <v>0</v>
      </c>
      <c r="Q229" t="n">
        <v>8</v>
      </c>
      <c r="R229" s="2" t="inlineStr">
        <is>
          <t>Garnlav
Granticka
Lunglav
Talltita
Tretåig hackspett
Bårdlav
Dropptaggsvamp
Plattlummer</t>
        </is>
      </c>
      <c r="S229">
        <f>HYPERLINK("https://klasma.github.io/Logging_2482/artfynd/A 49216-2025 artfynd.xlsx", "A 49216-2025")</f>
        <v/>
      </c>
      <c r="T229">
        <f>HYPERLINK("https://klasma.github.io/Logging_2482/kartor/A 49216-2025 karta.png", "A 49216-2025")</f>
        <v/>
      </c>
      <c r="V229">
        <f>HYPERLINK("https://klasma.github.io/Logging_2482/klagomål/A 49216-2025 FSC-klagomål.docx", "A 49216-2025")</f>
        <v/>
      </c>
      <c r="W229">
        <f>HYPERLINK("https://klasma.github.io/Logging_2482/klagomålsmail/A 49216-2025 FSC-klagomål mail.docx", "A 49216-2025")</f>
        <v/>
      </c>
      <c r="X229">
        <f>HYPERLINK("https://klasma.github.io/Logging_2482/tillsyn/A 49216-2025 tillsynsbegäran.docx", "A 49216-2025")</f>
        <v/>
      </c>
      <c r="Y229">
        <f>HYPERLINK("https://klasma.github.io/Logging_2482/tillsynsmail/A 49216-2025 tillsynsbegäran mail.docx", "A 49216-2025")</f>
        <v/>
      </c>
      <c r="Z229">
        <f>HYPERLINK("https://klasma.github.io/Logging_2482/fåglar/A 49216-2025 prioriterade fågelarter.docx", "A 49216-2025")</f>
        <v/>
      </c>
    </row>
    <row r="230" ht="15" customHeight="1">
      <c r="A230" t="inlineStr">
        <is>
          <t>A 1324-2025</t>
        </is>
      </c>
      <c r="B230" s="1" t="n">
        <v>45667</v>
      </c>
      <c r="C230" s="1" t="n">
        <v>46075</v>
      </c>
      <c r="D230" t="inlineStr">
        <is>
          <t>VÄSTERBOTTENS LÄN</t>
        </is>
      </c>
      <c r="E230" t="inlineStr">
        <is>
          <t>SORSELE</t>
        </is>
      </c>
      <c r="G230" t="n">
        <v>17.7</v>
      </c>
      <c r="H230" t="n">
        <v>0</v>
      </c>
      <c r="I230" t="n">
        <v>1</v>
      </c>
      <c r="J230" t="n">
        <v>7</v>
      </c>
      <c r="K230" t="n">
        <v>0</v>
      </c>
      <c r="L230" t="n">
        <v>0</v>
      </c>
      <c r="M230" t="n">
        <v>0</v>
      </c>
      <c r="N230" t="n">
        <v>0</v>
      </c>
      <c r="O230" t="n">
        <v>7</v>
      </c>
      <c r="P230" t="n">
        <v>0</v>
      </c>
      <c r="Q230" t="n">
        <v>8</v>
      </c>
      <c r="R230" s="2" t="inlineStr">
        <is>
          <t>Garnlav
Harticka
Knottrig blåslav
Rosenticka
Skrovellav
Ullticka
Vitskaftad svartspik
Svavelriska</t>
        </is>
      </c>
      <c r="S230">
        <f>HYPERLINK("https://klasma.github.io/Logging_2422/artfynd/A 1324-2025 artfynd.xlsx", "A 1324-2025")</f>
        <v/>
      </c>
      <c r="T230">
        <f>HYPERLINK("https://klasma.github.io/Logging_2422/kartor/A 1324-2025 karta.png", "A 1324-2025")</f>
        <v/>
      </c>
      <c r="V230">
        <f>HYPERLINK("https://klasma.github.io/Logging_2422/klagomål/A 1324-2025 FSC-klagomål.docx", "A 1324-2025")</f>
        <v/>
      </c>
      <c r="W230">
        <f>HYPERLINK("https://klasma.github.io/Logging_2422/klagomålsmail/A 1324-2025 FSC-klagomål mail.docx", "A 1324-2025")</f>
        <v/>
      </c>
      <c r="X230">
        <f>HYPERLINK("https://klasma.github.io/Logging_2422/tillsyn/A 1324-2025 tillsynsbegäran.docx", "A 1324-2025")</f>
        <v/>
      </c>
      <c r="Y230">
        <f>HYPERLINK("https://klasma.github.io/Logging_2422/tillsynsmail/A 1324-2025 tillsynsbegäran mail.docx", "A 1324-2025")</f>
        <v/>
      </c>
    </row>
    <row r="231" ht="15" customHeight="1">
      <c r="A231" t="inlineStr">
        <is>
          <t>A 913-2023</t>
        </is>
      </c>
      <c r="B231" s="1" t="n">
        <v>44931</v>
      </c>
      <c r="C231" s="1" t="n">
        <v>46075</v>
      </c>
      <c r="D231" t="inlineStr">
        <is>
          <t>VÄSTERBOTTENS LÄN</t>
        </is>
      </c>
      <c r="E231" t="inlineStr">
        <is>
          <t>SKELLEFTEÅ</t>
        </is>
      </c>
      <c r="G231" t="n">
        <v>8</v>
      </c>
      <c r="H231" t="n">
        <v>1</v>
      </c>
      <c r="I231" t="n">
        <v>2</v>
      </c>
      <c r="J231" t="n">
        <v>4</v>
      </c>
      <c r="K231" t="n">
        <v>1</v>
      </c>
      <c r="L231" t="n">
        <v>0</v>
      </c>
      <c r="M231" t="n">
        <v>0</v>
      </c>
      <c r="N231" t="n">
        <v>0</v>
      </c>
      <c r="O231" t="n">
        <v>5</v>
      </c>
      <c r="P231" t="n">
        <v>1</v>
      </c>
      <c r="Q231" t="n">
        <v>8</v>
      </c>
      <c r="R231" s="2" t="inlineStr">
        <is>
          <t>Ulltickeporing
Garnlav
Lunglav
Ullticka
Violettgrå tagellav
Stuplav
Vedticka
Lavskrika</t>
        </is>
      </c>
      <c r="S231">
        <f>HYPERLINK("https://klasma.github.io/Logging_2482/artfynd/A 913-2023 artfynd.xlsx", "A 913-2023")</f>
        <v/>
      </c>
      <c r="T231">
        <f>HYPERLINK("https://klasma.github.io/Logging_2482/kartor/A 913-2023 karta.png", "A 913-2023")</f>
        <v/>
      </c>
      <c r="V231">
        <f>HYPERLINK("https://klasma.github.io/Logging_2482/klagomål/A 913-2023 FSC-klagomål.docx", "A 913-2023")</f>
        <v/>
      </c>
      <c r="W231">
        <f>HYPERLINK("https://klasma.github.io/Logging_2482/klagomålsmail/A 913-2023 FSC-klagomål mail.docx", "A 913-2023")</f>
        <v/>
      </c>
      <c r="X231">
        <f>HYPERLINK("https://klasma.github.io/Logging_2482/tillsyn/A 913-2023 tillsynsbegäran.docx", "A 913-2023")</f>
        <v/>
      </c>
      <c r="Y231">
        <f>HYPERLINK("https://klasma.github.io/Logging_2482/tillsynsmail/A 913-2023 tillsynsbegäran mail.docx", "A 913-2023")</f>
        <v/>
      </c>
      <c r="Z231">
        <f>HYPERLINK("https://klasma.github.io/Logging_2482/fåglar/A 913-2023 prioriterade fågelarter.docx", "A 913-2023")</f>
        <v/>
      </c>
    </row>
    <row r="232" ht="15" customHeight="1">
      <c r="A232" t="inlineStr">
        <is>
          <t>A 2985-2025</t>
        </is>
      </c>
      <c r="B232" s="1" t="n">
        <v>45678</v>
      </c>
      <c r="C232" s="1" t="n">
        <v>46075</v>
      </c>
      <c r="D232" t="inlineStr">
        <is>
          <t>VÄSTERBOTTENS LÄN</t>
        </is>
      </c>
      <c r="E232" t="inlineStr">
        <is>
          <t>SORSELE</t>
        </is>
      </c>
      <c r="F232" t="inlineStr">
        <is>
          <t>Övriga statliga verk och myndigheter</t>
        </is>
      </c>
      <c r="G232" t="n">
        <v>82.5</v>
      </c>
      <c r="H232" t="n">
        <v>1</v>
      </c>
      <c r="I232" t="n">
        <v>0</v>
      </c>
      <c r="J232" t="n">
        <v>7</v>
      </c>
      <c r="K232" t="n">
        <v>1</v>
      </c>
      <c r="L232" t="n">
        <v>0</v>
      </c>
      <c r="M232" t="n">
        <v>0</v>
      </c>
      <c r="N232" t="n">
        <v>0</v>
      </c>
      <c r="O232" t="n">
        <v>8</v>
      </c>
      <c r="P232" t="n">
        <v>1</v>
      </c>
      <c r="Q232" t="n">
        <v>8</v>
      </c>
      <c r="R232" s="2" t="inlineStr">
        <is>
          <t>Grantickeporing
Gammelgransskål
Garnlav
Granticka
Rödbrun blekspik
Utter
Vitgrynig nållav
Vitskaftad svartspik</t>
        </is>
      </c>
      <c r="S232">
        <f>HYPERLINK("https://klasma.github.io/Logging_2422/artfynd/A 2985-2025 artfynd.xlsx", "A 2985-2025")</f>
        <v/>
      </c>
      <c r="T232">
        <f>HYPERLINK("https://klasma.github.io/Logging_2422/kartor/A 2985-2025 karta.png", "A 2985-2025")</f>
        <v/>
      </c>
      <c r="V232">
        <f>HYPERLINK("https://klasma.github.io/Logging_2422/klagomål/A 2985-2025 FSC-klagomål.docx", "A 2985-2025")</f>
        <v/>
      </c>
      <c r="W232">
        <f>HYPERLINK("https://klasma.github.io/Logging_2422/klagomålsmail/A 2985-2025 FSC-klagomål mail.docx", "A 2985-2025")</f>
        <v/>
      </c>
      <c r="X232">
        <f>HYPERLINK("https://klasma.github.io/Logging_2422/tillsyn/A 2985-2025 tillsynsbegäran.docx", "A 2985-2025")</f>
        <v/>
      </c>
      <c r="Y232">
        <f>HYPERLINK("https://klasma.github.io/Logging_2422/tillsynsmail/A 2985-2025 tillsynsbegäran mail.docx", "A 2985-2025")</f>
        <v/>
      </c>
    </row>
    <row r="233" ht="15" customHeight="1">
      <c r="A233" t="inlineStr">
        <is>
          <t>A 56996-2025</t>
        </is>
      </c>
      <c r="B233" s="1" t="n">
        <v>45978</v>
      </c>
      <c r="C233" s="1" t="n">
        <v>46075</v>
      </c>
      <c r="D233" t="inlineStr">
        <is>
          <t>VÄSTERBOTTENS LÄN</t>
        </is>
      </c>
      <c r="E233" t="inlineStr">
        <is>
          <t>SKELLEFTEÅ</t>
        </is>
      </c>
      <c r="G233" t="n">
        <v>5.3</v>
      </c>
      <c r="H233" t="n">
        <v>1</v>
      </c>
      <c r="I233" t="n">
        <v>1</v>
      </c>
      <c r="J233" t="n">
        <v>5</v>
      </c>
      <c r="K233" t="n">
        <v>2</v>
      </c>
      <c r="L233" t="n">
        <v>0</v>
      </c>
      <c r="M233" t="n">
        <v>0</v>
      </c>
      <c r="N233" t="n">
        <v>0</v>
      </c>
      <c r="O233" t="n">
        <v>7</v>
      </c>
      <c r="P233" t="n">
        <v>2</v>
      </c>
      <c r="Q233" t="n">
        <v>8</v>
      </c>
      <c r="R233" s="2" t="inlineStr">
        <is>
          <t>Rynkskinn
Ulltickeporing
Granticka
Harticka
Rosenticka
Spillkråka
Ullticka
Trådticka</t>
        </is>
      </c>
      <c r="S233">
        <f>HYPERLINK("https://klasma.github.io/Logging_2482/artfynd/A 56996-2025 artfynd.xlsx", "A 56996-2025")</f>
        <v/>
      </c>
      <c r="T233">
        <f>HYPERLINK("https://klasma.github.io/Logging_2482/kartor/A 56996-2025 karta.png", "A 56996-2025")</f>
        <v/>
      </c>
      <c r="V233">
        <f>HYPERLINK("https://klasma.github.io/Logging_2482/klagomål/A 56996-2025 FSC-klagomål.docx", "A 56996-2025")</f>
        <v/>
      </c>
      <c r="W233">
        <f>HYPERLINK("https://klasma.github.io/Logging_2482/klagomålsmail/A 56996-2025 FSC-klagomål mail.docx", "A 56996-2025")</f>
        <v/>
      </c>
      <c r="X233">
        <f>HYPERLINK("https://klasma.github.io/Logging_2482/tillsyn/A 56996-2025 tillsynsbegäran.docx", "A 56996-2025")</f>
        <v/>
      </c>
      <c r="Y233">
        <f>HYPERLINK("https://klasma.github.io/Logging_2482/tillsynsmail/A 56996-2025 tillsynsbegäran mail.docx", "A 56996-2025")</f>
        <v/>
      </c>
      <c r="Z233">
        <f>HYPERLINK("https://klasma.github.io/Logging_2482/fåglar/A 56996-2025 prioriterade fågelarter.docx", "A 56996-2025")</f>
        <v/>
      </c>
    </row>
    <row r="234" ht="15" customHeight="1">
      <c r="A234" t="inlineStr">
        <is>
          <t>A 15738-2023</t>
        </is>
      </c>
      <c r="B234" s="1" t="n">
        <v>45020</v>
      </c>
      <c r="C234" s="1" t="n">
        <v>46075</v>
      </c>
      <c r="D234" t="inlineStr">
        <is>
          <t>VÄSTERBOTTENS LÄN</t>
        </is>
      </c>
      <c r="E234" t="inlineStr">
        <is>
          <t>UMEÅ</t>
        </is>
      </c>
      <c r="F234" t="inlineStr">
        <is>
          <t>Kommuner</t>
        </is>
      </c>
      <c r="G234" t="n">
        <v>2.9</v>
      </c>
      <c r="H234" t="n">
        <v>0</v>
      </c>
      <c r="I234" t="n">
        <v>3</v>
      </c>
      <c r="J234" t="n">
        <v>4</v>
      </c>
      <c r="K234" t="n">
        <v>1</v>
      </c>
      <c r="L234" t="n">
        <v>0</v>
      </c>
      <c r="M234" t="n">
        <v>0</v>
      </c>
      <c r="N234" t="n">
        <v>0</v>
      </c>
      <c r="O234" t="n">
        <v>5</v>
      </c>
      <c r="P234" t="n">
        <v>1</v>
      </c>
      <c r="Q234" t="n">
        <v>8</v>
      </c>
      <c r="R234" s="2" t="inlineStr">
        <is>
          <t>Goliatmusseron
Blå taggsvamp
Orange taggsvamp
Svart taggsvamp
Svartvit taggsvamp
Dropptaggsvamp
Skarp dropptaggsvamp
Zontaggsvamp</t>
        </is>
      </c>
      <c r="S234">
        <f>HYPERLINK("https://klasma.github.io/Logging_2480/artfynd/A 15738-2023 artfynd.xlsx", "A 15738-2023")</f>
        <v/>
      </c>
      <c r="T234">
        <f>HYPERLINK("https://klasma.github.io/Logging_2480/kartor/A 15738-2023 karta.png", "A 15738-2023")</f>
        <v/>
      </c>
      <c r="V234">
        <f>HYPERLINK("https://klasma.github.io/Logging_2480/klagomål/A 15738-2023 FSC-klagomål.docx", "A 15738-2023")</f>
        <v/>
      </c>
      <c r="W234">
        <f>HYPERLINK("https://klasma.github.io/Logging_2480/klagomålsmail/A 15738-2023 FSC-klagomål mail.docx", "A 15738-2023")</f>
        <v/>
      </c>
      <c r="X234">
        <f>HYPERLINK("https://klasma.github.io/Logging_2480/tillsyn/A 15738-2023 tillsynsbegäran.docx", "A 15738-2023")</f>
        <v/>
      </c>
      <c r="Y234">
        <f>HYPERLINK("https://klasma.github.io/Logging_2480/tillsynsmail/A 15738-2023 tillsynsbegäran mail.docx", "A 15738-2023")</f>
        <v/>
      </c>
    </row>
    <row r="235" ht="15" customHeight="1">
      <c r="A235" t="inlineStr">
        <is>
          <t>A 62402-2025</t>
        </is>
      </c>
      <c r="B235" s="1" t="n">
        <v>46007.41623842593</v>
      </c>
      <c r="C235" s="1" t="n">
        <v>46075</v>
      </c>
      <c r="D235" t="inlineStr">
        <is>
          <t>VÄSTERBOTTENS LÄN</t>
        </is>
      </c>
      <c r="E235" t="inlineStr">
        <is>
          <t>VINDELN</t>
        </is>
      </c>
      <c r="F235" t="inlineStr">
        <is>
          <t>Sveaskog</t>
        </is>
      </c>
      <c r="G235" t="n">
        <v>20.7</v>
      </c>
      <c r="H235" t="n">
        <v>1</v>
      </c>
      <c r="I235" t="n">
        <v>3</v>
      </c>
      <c r="J235" t="n">
        <v>5</v>
      </c>
      <c r="K235" t="n">
        <v>0</v>
      </c>
      <c r="L235" t="n">
        <v>0</v>
      </c>
      <c r="M235" t="n">
        <v>0</v>
      </c>
      <c r="N235" t="n">
        <v>0</v>
      </c>
      <c r="O235" t="n">
        <v>5</v>
      </c>
      <c r="P235" t="n">
        <v>0</v>
      </c>
      <c r="Q235" t="n">
        <v>8</v>
      </c>
      <c r="R235" s="2" t="inlineStr">
        <is>
          <t>Gammelgransskål
Garnlav
Lunglav
Rosenticka
Ullticka
Spindelblomster
Stuplav
Vedticka</t>
        </is>
      </c>
      <c r="S235">
        <f>HYPERLINK("https://klasma.github.io/Logging_2404/artfynd/A 62402-2025 artfynd.xlsx", "A 62402-2025")</f>
        <v/>
      </c>
      <c r="T235">
        <f>HYPERLINK("https://klasma.github.io/Logging_2404/kartor/A 62402-2025 karta.png", "A 62402-2025")</f>
        <v/>
      </c>
      <c r="V235">
        <f>HYPERLINK("https://klasma.github.io/Logging_2404/klagomål/A 62402-2025 FSC-klagomål.docx", "A 62402-2025")</f>
        <v/>
      </c>
      <c r="W235">
        <f>HYPERLINK("https://klasma.github.io/Logging_2404/klagomålsmail/A 62402-2025 FSC-klagomål mail.docx", "A 62402-2025")</f>
        <v/>
      </c>
      <c r="X235">
        <f>HYPERLINK("https://klasma.github.io/Logging_2404/tillsyn/A 62402-2025 tillsynsbegäran.docx", "A 62402-2025")</f>
        <v/>
      </c>
      <c r="Y235">
        <f>HYPERLINK("https://klasma.github.io/Logging_2404/tillsynsmail/A 62402-2025 tillsynsbegäran mail.docx", "A 62402-2025")</f>
        <v/>
      </c>
    </row>
    <row r="236" ht="15" customHeight="1">
      <c r="A236" t="inlineStr">
        <is>
          <t>A 47252-2024</t>
        </is>
      </c>
      <c r="B236" s="1" t="n">
        <v>45586</v>
      </c>
      <c r="C236" s="1" t="n">
        <v>46075</v>
      </c>
      <c r="D236" t="inlineStr">
        <is>
          <t>VÄSTERBOTTENS LÄN</t>
        </is>
      </c>
      <c r="E236" t="inlineStr">
        <is>
          <t>UMEÅ</t>
        </is>
      </c>
      <c r="F236" t="inlineStr">
        <is>
          <t>Holmen skog AB</t>
        </is>
      </c>
      <c r="G236" t="n">
        <v>11</v>
      </c>
      <c r="H236" t="n">
        <v>4</v>
      </c>
      <c r="I236" t="n">
        <v>0</v>
      </c>
      <c r="J236" t="n">
        <v>5</v>
      </c>
      <c r="K236" t="n">
        <v>0</v>
      </c>
      <c r="L236" t="n">
        <v>0</v>
      </c>
      <c r="M236" t="n">
        <v>0</v>
      </c>
      <c r="N236" t="n">
        <v>0</v>
      </c>
      <c r="O236" t="n">
        <v>5</v>
      </c>
      <c r="P236" t="n">
        <v>0</v>
      </c>
      <c r="Q236" t="n">
        <v>8</v>
      </c>
      <c r="R236" s="2" t="inlineStr">
        <is>
          <t>Garnlav
Granticka
Mörk kolflarnlav
Spillkråka
Vedskivlav
Kungsfågel
Orre
Fläcknycklar</t>
        </is>
      </c>
      <c r="S236">
        <f>HYPERLINK("https://klasma.github.io/Logging_2480/artfynd/A 47252-2024 artfynd.xlsx", "A 47252-2024")</f>
        <v/>
      </c>
      <c r="T236">
        <f>HYPERLINK("https://klasma.github.io/Logging_2480/kartor/A 47252-2024 karta.png", "A 47252-2024")</f>
        <v/>
      </c>
      <c r="V236">
        <f>HYPERLINK("https://klasma.github.io/Logging_2480/klagomål/A 47252-2024 FSC-klagomål.docx", "A 47252-2024")</f>
        <v/>
      </c>
      <c r="W236">
        <f>HYPERLINK("https://klasma.github.io/Logging_2480/klagomålsmail/A 47252-2024 FSC-klagomål mail.docx", "A 47252-2024")</f>
        <v/>
      </c>
      <c r="X236">
        <f>HYPERLINK("https://klasma.github.io/Logging_2480/tillsyn/A 47252-2024 tillsynsbegäran.docx", "A 47252-2024")</f>
        <v/>
      </c>
      <c r="Y236">
        <f>HYPERLINK("https://klasma.github.io/Logging_2480/tillsynsmail/A 47252-2024 tillsynsbegäran mail.docx", "A 47252-2024")</f>
        <v/>
      </c>
      <c r="Z236">
        <f>HYPERLINK("https://klasma.github.io/Logging_2480/fåglar/A 47252-2024 prioriterade fågelarter.docx", "A 47252-2024")</f>
        <v/>
      </c>
    </row>
    <row r="237" ht="15" customHeight="1">
      <c r="A237" t="inlineStr">
        <is>
          <t>A 60849-2024</t>
        </is>
      </c>
      <c r="B237" s="1" t="n">
        <v>45644.65862268519</v>
      </c>
      <c r="C237" s="1" t="n">
        <v>46075</v>
      </c>
      <c r="D237" t="inlineStr">
        <is>
          <t>VÄSTERBOTTENS LÄN</t>
        </is>
      </c>
      <c r="E237" t="inlineStr">
        <is>
          <t>VINDELN</t>
        </is>
      </c>
      <c r="G237" t="n">
        <v>9.300000000000001</v>
      </c>
      <c r="H237" t="n">
        <v>2</v>
      </c>
      <c r="I237" t="n">
        <v>1</v>
      </c>
      <c r="J237" t="n">
        <v>6</v>
      </c>
      <c r="K237" t="n">
        <v>1</v>
      </c>
      <c r="L237" t="n">
        <v>0</v>
      </c>
      <c r="M237" t="n">
        <v>0</v>
      </c>
      <c r="N237" t="n">
        <v>0</v>
      </c>
      <c r="O237" t="n">
        <v>7</v>
      </c>
      <c r="P237" t="n">
        <v>1</v>
      </c>
      <c r="Q237" t="n">
        <v>8</v>
      </c>
      <c r="R237" s="2" t="inlineStr">
        <is>
          <t>Rynkskinn
Garnlav
Lunglav
Rosenticka
Spillkråka
Tretåig hackspett
Ullticka
Skinnlav</t>
        </is>
      </c>
      <c r="S237">
        <f>HYPERLINK("https://klasma.github.io/Logging_2404/artfynd/A 60849-2024 artfynd.xlsx", "A 60849-2024")</f>
        <v/>
      </c>
      <c r="T237">
        <f>HYPERLINK("https://klasma.github.io/Logging_2404/kartor/A 60849-2024 karta.png", "A 60849-2024")</f>
        <v/>
      </c>
      <c r="V237">
        <f>HYPERLINK("https://klasma.github.io/Logging_2404/klagomål/A 60849-2024 FSC-klagomål.docx", "A 60849-2024")</f>
        <v/>
      </c>
      <c r="W237">
        <f>HYPERLINK("https://klasma.github.io/Logging_2404/klagomålsmail/A 60849-2024 FSC-klagomål mail.docx", "A 60849-2024")</f>
        <v/>
      </c>
      <c r="X237">
        <f>HYPERLINK("https://klasma.github.io/Logging_2404/tillsyn/A 60849-2024 tillsynsbegäran.docx", "A 60849-2024")</f>
        <v/>
      </c>
      <c r="Y237">
        <f>HYPERLINK("https://klasma.github.io/Logging_2404/tillsynsmail/A 60849-2024 tillsynsbegäran mail.docx", "A 60849-2024")</f>
        <v/>
      </c>
      <c r="Z237">
        <f>HYPERLINK("https://klasma.github.io/Logging_2404/fåglar/A 60849-2024 prioriterade fågelarter.docx", "A 60849-2024")</f>
        <v/>
      </c>
    </row>
    <row r="238" ht="15" customHeight="1">
      <c r="A238" t="inlineStr">
        <is>
          <t>A 54406-2021</t>
        </is>
      </c>
      <c r="B238" s="1" t="n">
        <v>44473.40152777778</v>
      </c>
      <c r="C238" s="1" t="n">
        <v>46075</v>
      </c>
      <c r="D238" t="inlineStr">
        <is>
          <t>VÄSTERBOTTENS LÄN</t>
        </is>
      </c>
      <c r="E238" t="inlineStr">
        <is>
          <t>ROBERTSFORS</t>
        </is>
      </c>
      <c r="G238" t="n">
        <v>3.1</v>
      </c>
      <c r="H238" t="n">
        <v>2</v>
      </c>
      <c r="I238" t="n">
        <v>3</v>
      </c>
      <c r="J238" t="n">
        <v>5</v>
      </c>
      <c r="K238" t="n">
        <v>0</v>
      </c>
      <c r="L238" t="n">
        <v>0</v>
      </c>
      <c r="M238" t="n">
        <v>0</v>
      </c>
      <c r="N238" t="n">
        <v>0</v>
      </c>
      <c r="O238" t="n">
        <v>5</v>
      </c>
      <c r="P238" t="n">
        <v>0</v>
      </c>
      <c r="Q238" t="n">
        <v>8</v>
      </c>
      <c r="R238" s="2" t="inlineStr">
        <is>
          <t>Gammelgransskål
Spillkråka
Tretåig hackspett
Ullticka
Violettgrå tagellav
Dropptaggsvamp
Skinnlav
Vedticka</t>
        </is>
      </c>
      <c r="S238">
        <f>HYPERLINK("https://klasma.github.io/Logging_2409/artfynd/A 54406-2021 artfynd.xlsx", "A 54406-2021")</f>
        <v/>
      </c>
      <c r="T238">
        <f>HYPERLINK("https://klasma.github.io/Logging_2409/kartor/A 54406-2021 karta.png", "A 54406-2021")</f>
        <v/>
      </c>
      <c r="V238">
        <f>HYPERLINK("https://klasma.github.io/Logging_2409/klagomål/A 54406-2021 FSC-klagomål.docx", "A 54406-2021")</f>
        <v/>
      </c>
      <c r="W238">
        <f>HYPERLINK("https://klasma.github.io/Logging_2409/klagomålsmail/A 54406-2021 FSC-klagomål mail.docx", "A 54406-2021")</f>
        <v/>
      </c>
      <c r="X238">
        <f>HYPERLINK("https://klasma.github.io/Logging_2409/tillsyn/A 54406-2021 tillsynsbegäran.docx", "A 54406-2021")</f>
        <v/>
      </c>
      <c r="Y238">
        <f>HYPERLINK("https://klasma.github.io/Logging_2409/tillsynsmail/A 54406-2021 tillsynsbegäran mail.docx", "A 54406-2021")</f>
        <v/>
      </c>
      <c r="Z238">
        <f>HYPERLINK("https://klasma.github.io/Logging_2409/fåglar/A 54406-2021 prioriterade fågelarter.docx", "A 54406-2021")</f>
        <v/>
      </c>
    </row>
    <row r="239" ht="15" customHeight="1">
      <c r="A239" t="inlineStr">
        <is>
          <t>A 36220-2023</t>
        </is>
      </c>
      <c r="B239" s="1" t="n">
        <v>45149</v>
      </c>
      <c r="C239" s="1" t="n">
        <v>46075</v>
      </c>
      <c r="D239" t="inlineStr">
        <is>
          <t>VÄSTERBOTTENS LÄN</t>
        </is>
      </c>
      <c r="E239" t="inlineStr">
        <is>
          <t>VILHELMINA</t>
        </is>
      </c>
      <c r="F239" t="inlineStr">
        <is>
          <t>SCA</t>
        </is>
      </c>
      <c r="G239" t="n">
        <v>3.8</v>
      </c>
      <c r="H239" t="n">
        <v>2</v>
      </c>
      <c r="I239" t="n">
        <v>2</v>
      </c>
      <c r="J239" t="n">
        <v>6</v>
      </c>
      <c r="K239" t="n">
        <v>0</v>
      </c>
      <c r="L239" t="n">
        <v>0</v>
      </c>
      <c r="M239" t="n">
        <v>0</v>
      </c>
      <c r="N239" t="n">
        <v>0</v>
      </c>
      <c r="O239" t="n">
        <v>6</v>
      </c>
      <c r="P239" t="n">
        <v>0</v>
      </c>
      <c r="Q239" t="n">
        <v>8</v>
      </c>
      <c r="R239" s="2" t="inlineStr">
        <is>
          <t>Garnlav
Lunglav
Rödbrun blekspik
Skrovellav
Talltita
Tretåig hackspett
Korallblylav
Stuplav</t>
        </is>
      </c>
      <c r="S239">
        <f>HYPERLINK("https://klasma.github.io/Logging_2462/artfynd/A 36220-2023 artfynd.xlsx", "A 36220-2023")</f>
        <v/>
      </c>
      <c r="T239">
        <f>HYPERLINK("https://klasma.github.io/Logging_2462/kartor/A 36220-2023 karta.png", "A 36220-2023")</f>
        <v/>
      </c>
      <c r="V239">
        <f>HYPERLINK("https://klasma.github.io/Logging_2462/klagomål/A 36220-2023 FSC-klagomål.docx", "A 36220-2023")</f>
        <v/>
      </c>
      <c r="W239">
        <f>HYPERLINK("https://klasma.github.io/Logging_2462/klagomålsmail/A 36220-2023 FSC-klagomål mail.docx", "A 36220-2023")</f>
        <v/>
      </c>
      <c r="X239">
        <f>HYPERLINK("https://klasma.github.io/Logging_2462/tillsyn/A 36220-2023 tillsynsbegäran.docx", "A 36220-2023")</f>
        <v/>
      </c>
      <c r="Y239">
        <f>HYPERLINK("https://klasma.github.io/Logging_2462/tillsynsmail/A 36220-2023 tillsynsbegäran mail.docx", "A 36220-2023")</f>
        <v/>
      </c>
      <c r="Z239">
        <f>HYPERLINK("https://klasma.github.io/Logging_2462/fåglar/A 36220-2023 prioriterade fågelarter.docx", "A 36220-2023")</f>
        <v/>
      </c>
    </row>
    <row r="240" ht="15" customHeight="1">
      <c r="A240" t="inlineStr">
        <is>
          <t>A 30345-2024</t>
        </is>
      </c>
      <c r="B240" s="1" t="n">
        <v>45490</v>
      </c>
      <c r="C240" s="1" t="n">
        <v>46075</v>
      </c>
      <c r="D240" t="inlineStr">
        <is>
          <t>VÄSTERBOTTENS LÄN</t>
        </is>
      </c>
      <c r="E240" t="inlineStr">
        <is>
          <t>VILHELMINA</t>
        </is>
      </c>
      <c r="F240" t="inlineStr">
        <is>
          <t>SCA</t>
        </is>
      </c>
      <c r="G240" t="n">
        <v>4.1</v>
      </c>
      <c r="H240" t="n">
        <v>4</v>
      </c>
      <c r="I240" t="n">
        <v>1</v>
      </c>
      <c r="J240" t="n">
        <v>5</v>
      </c>
      <c r="K240" t="n">
        <v>0</v>
      </c>
      <c r="L240" t="n">
        <v>0</v>
      </c>
      <c r="M240" t="n">
        <v>0</v>
      </c>
      <c r="N240" t="n">
        <v>0</v>
      </c>
      <c r="O240" t="n">
        <v>5</v>
      </c>
      <c r="P240" t="n">
        <v>0</v>
      </c>
      <c r="Q240" t="n">
        <v>8</v>
      </c>
      <c r="R240" s="2" t="inlineStr">
        <is>
          <t>Gammelgransskål
Garnlav
Granticka
Talltita
Tretåig hackspett
Stuplav
Lavskrika
Orre</t>
        </is>
      </c>
      <c r="S240">
        <f>HYPERLINK("https://klasma.github.io/Logging_2462/artfynd/A 30345-2024 artfynd.xlsx", "A 30345-2024")</f>
        <v/>
      </c>
      <c r="T240">
        <f>HYPERLINK("https://klasma.github.io/Logging_2462/kartor/A 30345-2024 karta.png", "A 30345-2024")</f>
        <v/>
      </c>
      <c r="V240">
        <f>HYPERLINK("https://klasma.github.io/Logging_2462/klagomål/A 30345-2024 FSC-klagomål.docx", "A 30345-2024")</f>
        <v/>
      </c>
      <c r="W240">
        <f>HYPERLINK("https://klasma.github.io/Logging_2462/klagomålsmail/A 30345-2024 FSC-klagomål mail.docx", "A 30345-2024")</f>
        <v/>
      </c>
      <c r="X240">
        <f>HYPERLINK("https://klasma.github.io/Logging_2462/tillsyn/A 30345-2024 tillsynsbegäran.docx", "A 30345-2024")</f>
        <v/>
      </c>
      <c r="Y240">
        <f>HYPERLINK("https://klasma.github.io/Logging_2462/tillsynsmail/A 30345-2024 tillsynsbegäran mail.docx", "A 30345-2024")</f>
        <v/>
      </c>
      <c r="Z240">
        <f>HYPERLINK("https://klasma.github.io/Logging_2462/fåglar/A 30345-2024 prioriterade fågelarter.docx", "A 30345-2024")</f>
        <v/>
      </c>
    </row>
    <row r="241" ht="15" customHeight="1">
      <c r="A241" t="inlineStr">
        <is>
          <t>A 57580-2024</t>
        </is>
      </c>
      <c r="B241" s="1" t="n">
        <v>45630</v>
      </c>
      <c r="C241" s="1" t="n">
        <v>46075</v>
      </c>
      <c r="D241" t="inlineStr">
        <is>
          <t>VÄSTERBOTTENS LÄN</t>
        </is>
      </c>
      <c r="E241" t="inlineStr">
        <is>
          <t>SORSELE</t>
        </is>
      </c>
      <c r="G241" t="n">
        <v>18.2</v>
      </c>
      <c r="H241" t="n">
        <v>0</v>
      </c>
      <c r="I241" t="n">
        <v>0</v>
      </c>
      <c r="J241" t="n">
        <v>6</v>
      </c>
      <c r="K241" t="n">
        <v>2</v>
      </c>
      <c r="L241" t="n">
        <v>0</v>
      </c>
      <c r="M241" t="n">
        <v>0</v>
      </c>
      <c r="N241" t="n">
        <v>0</v>
      </c>
      <c r="O241" t="n">
        <v>8</v>
      </c>
      <c r="P241" t="n">
        <v>2</v>
      </c>
      <c r="Q241" t="n">
        <v>8</v>
      </c>
      <c r="R241" s="2" t="inlineStr">
        <is>
          <t>Ostticka
Rynkskinn
Garnlav
Granticka
Rödbrun blekspik
Skrovellav
Ullticka
Vedtrappmossa</t>
        </is>
      </c>
      <c r="S241">
        <f>HYPERLINK("https://klasma.github.io/Logging_2422/artfynd/A 57580-2024 artfynd.xlsx", "A 57580-2024")</f>
        <v/>
      </c>
      <c r="T241">
        <f>HYPERLINK("https://klasma.github.io/Logging_2422/kartor/A 57580-2024 karta.png", "A 57580-2024")</f>
        <v/>
      </c>
      <c r="V241">
        <f>HYPERLINK("https://klasma.github.io/Logging_2422/klagomål/A 57580-2024 FSC-klagomål.docx", "A 57580-2024")</f>
        <v/>
      </c>
      <c r="W241">
        <f>HYPERLINK("https://klasma.github.io/Logging_2422/klagomålsmail/A 57580-2024 FSC-klagomål mail.docx", "A 57580-2024")</f>
        <v/>
      </c>
      <c r="X241">
        <f>HYPERLINK("https://klasma.github.io/Logging_2422/tillsyn/A 57580-2024 tillsynsbegäran.docx", "A 57580-2024")</f>
        <v/>
      </c>
      <c r="Y241">
        <f>HYPERLINK("https://klasma.github.io/Logging_2422/tillsynsmail/A 57580-2024 tillsynsbegäran mail.docx", "A 57580-2024")</f>
        <v/>
      </c>
    </row>
    <row r="242" ht="15" customHeight="1">
      <c r="A242" t="inlineStr">
        <is>
          <t>A 50033-2025</t>
        </is>
      </c>
      <c r="B242" s="1" t="n">
        <v>45943.38998842592</v>
      </c>
      <c r="C242" s="1" t="n">
        <v>46075</v>
      </c>
      <c r="D242" t="inlineStr">
        <is>
          <t>VÄSTERBOTTENS LÄN</t>
        </is>
      </c>
      <c r="E242" t="inlineStr">
        <is>
          <t>VÄNNÄS</t>
        </is>
      </c>
      <c r="G242" t="n">
        <v>22.5</v>
      </c>
      <c r="H242" t="n">
        <v>3</v>
      </c>
      <c r="I242" t="n">
        <v>2</v>
      </c>
      <c r="J242" t="n">
        <v>5</v>
      </c>
      <c r="K242" t="n">
        <v>0</v>
      </c>
      <c r="L242" t="n">
        <v>0</v>
      </c>
      <c r="M242" t="n">
        <v>0</v>
      </c>
      <c r="N242" t="n">
        <v>0</v>
      </c>
      <c r="O242" t="n">
        <v>5</v>
      </c>
      <c r="P242" t="n">
        <v>0</v>
      </c>
      <c r="Q242" t="n">
        <v>8</v>
      </c>
      <c r="R242" s="2" t="inlineStr">
        <is>
          <t>Garnlav
Rosenticka
Spillkråka
Tretåig hackspett
Ullticka
Jättesvampmal
Vedticka
Fläcknycklar</t>
        </is>
      </c>
      <c r="S242">
        <f>HYPERLINK("https://klasma.github.io/Logging_2460/artfynd/A 50033-2025 artfynd.xlsx", "A 50033-2025")</f>
        <v/>
      </c>
      <c r="T242">
        <f>HYPERLINK("https://klasma.github.io/Logging_2460/kartor/A 50033-2025 karta.png", "A 50033-2025")</f>
        <v/>
      </c>
      <c r="V242">
        <f>HYPERLINK("https://klasma.github.io/Logging_2460/klagomål/A 50033-2025 FSC-klagomål.docx", "A 50033-2025")</f>
        <v/>
      </c>
      <c r="W242">
        <f>HYPERLINK("https://klasma.github.io/Logging_2460/klagomålsmail/A 50033-2025 FSC-klagomål mail.docx", "A 50033-2025")</f>
        <v/>
      </c>
      <c r="X242">
        <f>HYPERLINK("https://klasma.github.io/Logging_2460/tillsyn/A 50033-2025 tillsynsbegäran.docx", "A 50033-2025")</f>
        <v/>
      </c>
      <c r="Y242">
        <f>HYPERLINK("https://klasma.github.io/Logging_2460/tillsynsmail/A 50033-2025 tillsynsbegäran mail.docx", "A 50033-2025")</f>
        <v/>
      </c>
      <c r="Z242">
        <f>HYPERLINK("https://klasma.github.io/Logging_2460/fåglar/A 50033-2025 prioriterade fågelarter.docx", "A 50033-2025")</f>
        <v/>
      </c>
    </row>
    <row r="243" ht="15" customHeight="1">
      <c r="A243" t="inlineStr">
        <is>
          <t>A 48272-2024</t>
        </is>
      </c>
      <c r="B243" s="1" t="n">
        <v>45590</v>
      </c>
      <c r="C243" s="1" t="n">
        <v>46075</v>
      </c>
      <c r="D243" t="inlineStr">
        <is>
          <t>VÄSTERBOTTENS LÄN</t>
        </is>
      </c>
      <c r="E243" t="inlineStr">
        <is>
          <t>SKELLEFTEÅ</t>
        </is>
      </c>
      <c r="G243" t="n">
        <v>12.5</v>
      </c>
      <c r="H243" t="n">
        <v>1</v>
      </c>
      <c r="I243" t="n">
        <v>0</v>
      </c>
      <c r="J243" t="n">
        <v>7</v>
      </c>
      <c r="K243" t="n">
        <v>1</v>
      </c>
      <c r="L243" t="n">
        <v>0</v>
      </c>
      <c r="M243" t="n">
        <v>0</v>
      </c>
      <c r="N243" t="n">
        <v>0</v>
      </c>
      <c r="O243" t="n">
        <v>8</v>
      </c>
      <c r="P243" t="n">
        <v>1</v>
      </c>
      <c r="Q243" t="n">
        <v>8</v>
      </c>
      <c r="R243" s="2" t="inlineStr">
        <is>
          <t>Vågticka
Granticka
Harticka
Rosenticka
Stjärntagging
Tretåig hackspett
Ullticka
Violettgrå tagellav</t>
        </is>
      </c>
      <c r="S243">
        <f>HYPERLINK("https://klasma.github.io/Logging_2482/artfynd/A 48272-2024 artfynd.xlsx", "A 48272-2024")</f>
        <v/>
      </c>
      <c r="T243">
        <f>HYPERLINK("https://klasma.github.io/Logging_2482/kartor/A 48272-2024 karta.png", "A 48272-2024")</f>
        <v/>
      </c>
      <c r="V243">
        <f>HYPERLINK("https://klasma.github.io/Logging_2482/klagomål/A 48272-2024 FSC-klagomål.docx", "A 48272-2024")</f>
        <v/>
      </c>
      <c r="W243">
        <f>HYPERLINK("https://klasma.github.io/Logging_2482/klagomålsmail/A 48272-2024 FSC-klagomål mail.docx", "A 48272-2024")</f>
        <v/>
      </c>
      <c r="X243">
        <f>HYPERLINK("https://klasma.github.io/Logging_2482/tillsyn/A 48272-2024 tillsynsbegäran.docx", "A 48272-2024")</f>
        <v/>
      </c>
      <c r="Y243">
        <f>HYPERLINK("https://klasma.github.io/Logging_2482/tillsynsmail/A 48272-2024 tillsynsbegäran mail.docx", "A 48272-2024")</f>
        <v/>
      </c>
      <c r="Z243">
        <f>HYPERLINK("https://klasma.github.io/Logging_2482/fåglar/A 48272-2024 prioriterade fågelarter.docx", "A 48272-2024")</f>
        <v/>
      </c>
    </row>
    <row r="244" ht="15" customHeight="1">
      <c r="A244" t="inlineStr">
        <is>
          <t>A 14927-2023</t>
        </is>
      </c>
      <c r="B244" s="1" t="n">
        <v>45014</v>
      </c>
      <c r="C244" s="1" t="n">
        <v>46075</v>
      </c>
      <c r="D244" t="inlineStr">
        <is>
          <t>VÄSTERBOTTENS LÄN</t>
        </is>
      </c>
      <c r="E244" t="inlineStr">
        <is>
          <t>UMEÅ</t>
        </is>
      </c>
      <c r="F244" t="inlineStr">
        <is>
          <t>Kommuner</t>
        </is>
      </c>
      <c r="G244" t="n">
        <v>6.3</v>
      </c>
      <c r="H244" t="n">
        <v>5</v>
      </c>
      <c r="I244" t="n">
        <v>2</v>
      </c>
      <c r="J244" t="n">
        <v>4</v>
      </c>
      <c r="K244" t="n">
        <v>0</v>
      </c>
      <c r="L244" t="n">
        <v>0</v>
      </c>
      <c r="M244" t="n">
        <v>0</v>
      </c>
      <c r="N244" t="n">
        <v>0</v>
      </c>
      <c r="O244" t="n">
        <v>4</v>
      </c>
      <c r="P244" t="n">
        <v>0</v>
      </c>
      <c r="Q244" t="n">
        <v>8</v>
      </c>
      <c r="R244" s="2" t="inlineStr">
        <is>
          <t>Järpe
Motaggsvamp
Spillkråka
Talltita
Dropptaggsvamp
Vedticka
Kungsfågel
Tjäder</t>
        </is>
      </c>
      <c r="S244">
        <f>HYPERLINK("https://klasma.github.io/Logging_2480/artfynd/A 14927-2023 artfynd.xlsx", "A 14927-2023")</f>
        <v/>
      </c>
      <c r="T244">
        <f>HYPERLINK("https://klasma.github.io/Logging_2480/kartor/A 14927-2023 karta.png", "A 14927-2023")</f>
        <v/>
      </c>
      <c r="V244">
        <f>HYPERLINK("https://klasma.github.io/Logging_2480/klagomål/A 14927-2023 FSC-klagomål.docx", "A 14927-2023")</f>
        <v/>
      </c>
      <c r="W244">
        <f>HYPERLINK("https://klasma.github.io/Logging_2480/klagomålsmail/A 14927-2023 FSC-klagomål mail.docx", "A 14927-2023")</f>
        <v/>
      </c>
      <c r="X244">
        <f>HYPERLINK("https://klasma.github.io/Logging_2480/tillsyn/A 14927-2023 tillsynsbegäran.docx", "A 14927-2023")</f>
        <v/>
      </c>
      <c r="Y244">
        <f>HYPERLINK("https://klasma.github.io/Logging_2480/tillsynsmail/A 14927-2023 tillsynsbegäran mail.docx", "A 14927-2023")</f>
        <v/>
      </c>
      <c r="Z244">
        <f>HYPERLINK("https://klasma.github.io/Logging_2480/fåglar/A 14927-2023 prioriterade fågelarter.docx", "A 14927-2023")</f>
        <v/>
      </c>
    </row>
    <row r="245" ht="15" customHeight="1">
      <c r="A245" t="inlineStr">
        <is>
          <t>A 36650-2023</t>
        </is>
      </c>
      <c r="B245" s="1" t="n">
        <v>45152</v>
      </c>
      <c r="C245" s="1" t="n">
        <v>46075</v>
      </c>
      <c r="D245" t="inlineStr">
        <is>
          <t>VÄSTERBOTTENS LÄN</t>
        </is>
      </c>
      <c r="E245" t="inlineStr">
        <is>
          <t>LYCKSELE</t>
        </is>
      </c>
      <c r="G245" t="n">
        <v>6.8</v>
      </c>
      <c r="H245" t="n">
        <v>2</v>
      </c>
      <c r="I245" t="n">
        <v>2</v>
      </c>
      <c r="J245" t="n">
        <v>5</v>
      </c>
      <c r="K245" t="n">
        <v>0</v>
      </c>
      <c r="L245" t="n">
        <v>0</v>
      </c>
      <c r="M245" t="n">
        <v>0</v>
      </c>
      <c r="N245" t="n">
        <v>0</v>
      </c>
      <c r="O245" t="n">
        <v>5</v>
      </c>
      <c r="P245" t="n">
        <v>0</v>
      </c>
      <c r="Q245" t="n">
        <v>8</v>
      </c>
      <c r="R245" s="2" t="inlineStr">
        <is>
          <t>Doftskinn
Garnlav
Granticka
Lunglav
Tretåig hackspett
Norrlandslav
Skinnlav
Revlummer</t>
        </is>
      </c>
      <c r="S245">
        <f>HYPERLINK("https://klasma.github.io/Logging_2481/artfynd/A 36650-2023 artfynd.xlsx", "A 36650-2023")</f>
        <v/>
      </c>
      <c r="T245">
        <f>HYPERLINK("https://klasma.github.io/Logging_2481/kartor/A 36650-2023 karta.png", "A 36650-2023")</f>
        <v/>
      </c>
      <c r="V245">
        <f>HYPERLINK("https://klasma.github.io/Logging_2481/klagomål/A 36650-2023 FSC-klagomål.docx", "A 36650-2023")</f>
        <v/>
      </c>
      <c r="W245">
        <f>HYPERLINK("https://klasma.github.io/Logging_2481/klagomålsmail/A 36650-2023 FSC-klagomål mail.docx", "A 36650-2023")</f>
        <v/>
      </c>
      <c r="X245">
        <f>HYPERLINK("https://klasma.github.io/Logging_2481/tillsyn/A 36650-2023 tillsynsbegäran.docx", "A 36650-2023")</f>
        <v/>
      </c>
      <c r="Y245">
        <f>HYPERLINK("https://klasma.github.io/Logging_2481/tillsynsmail/A 36650-2023 tillsynsbegäran mail.docx", "A 36650-2023")</f>
        <v/>
      </c>
      <c r="Z245">
        <f>HYPERLINK("https://klasma.github.io/Logging_2481/fåglar/A 36650-2023 prioriterade fågelarter.docx", "A 36650-2023")</f>
        <v/>
      </c>
    </row>
    <row r="246" ht="15" customHeight="1">
      <c r="A246" t="inlineStr">
        <is>
          <t>A 24051-2021</t>
        </is>
      </c>
      <c r="B246" s="1" t="n">
        <v>44335</v>
      </c>
      <c r="C246" s="1" t="n">
        <v>46075</v>
      </c>
      <c r="D246" t="inlineStr">
        <is>
          <t>VÄSTERBOTTENS LÄN</t>
        </is>
      </c>
      <c r="E246" t="inlineStr">
        <is>
          <t>NORDMALING</t>
        </is>
      </c>
      <c r="G246" t="n">
        <v>2.6</v>
      </c>
      <c r="H246" t="n">
        <v>2</v>
      </c>
      <c r="I246" t="n">
        <v>0</v>
      </c>
      <c r="J246" t="n">
        <v>5</v>
      </c>
      <c r="K246" t="n">
        <v>2</v>
      </c>
      <c r="L246" t="n">
        <v>1</v>
      </c>
      <c r="M246" t="n">
        <v>0</v>
      </c>
      <c r="N246" t="n">
        <v>0</v>
      </c>
      <c r="O246" t="n">
        <v>8</v>
      </c>
      <c r="P246" t="n">
        <v>3</v>
      </c>
      <c r="Q246" t="n">
        <v>8</v>
      </c>
      <c r="R246" s="2" t="inlineStr">
        <is>
          <t>Trådbrosklav
Rynkskinn
Ulltickeporing
Garnlav
Järpe
Rosenticka
Tretåig hackspett
Ullticka</t>
        </is>
      </c>
      <c r="S246">
        <f>HYPERLINK("https://klasma.github.io/Logging_2401/artfynd/A 24051-2021 artfynd.xlsx", "A 24051-2021")</f>
        <v/>
      </c>
      <c r="T246">
        <f>HYPERLINK("https://klasma.github.io/Logging_2401/kartor/A 24051-2021 karta.png", "A 24051-2021")</f>
        <v/>
      </c>
      <c r="V246">
        <f>HYPERLINK("https://klasma.github.io/Logging_2401/klagomål/A 24051-2021 FSC-klagomål.docx", "A 24051-2021")</f>
        <v/>
      </c>
      <c r="W246">
        <f>HYPERLINK("https://klasma.github.io/Logging_2401/klagomålsmail/A 24051-2021 FSC-klagomål mail.docx", "A 24051-2021")</f>
        <v/>
      </c>
      <c r="X246">
        <f>HYPERLINK("https://klasma.github.io/Logging_2401/tillsyn/A 24051-2021 tillsynsbegäran.docx", "A 24051-2021")</f>
        <v/>
      </c>
      <c r="Y246">
        <f>HYPERLINK("https://klasma.github.io/Logging_2401/tillsynsmail/A 24051-2021 tillsynsbegäran mail.docx", "A 24051-2021")</f>
        <v/>
      </c>
      <c r="Z246">
        <f>HYPERLINK("https://klasma.github.io/Logging_2401/fåglar/A 24051-2021 prioriterade fågelarter.docx", "A 24051-2021")</f>
        <v/>
      </c>
    </row>
    <row r="247" ht="15" customHeight="1">
      <c r="A247" t="inlineStr">
        <is>
          <t>A 28799-2024</t>
        </is>
      </c>
      <c r="B247" s="1" t="n">
        <v>45478</v>
      </c>
      <c r="C247" s="1" t="n">
        <v>46075</v>
      </c>
      <c r="D247" t="inlineStr">
        <is>
          <t>VÄSTERBOTTENS LÄN</t>
        </is>
      </c>
      <c r="E247" t="inlineStr">
        <is>
          <t>VILHELMINA</t>
        </is>
      </c>
      <c r="G247" t="n">
        <v>5.2</v>
      </c>
      <c r="H247" t="n">
        <v>1</v>
      </c>
      <c r="I247" t="n">
        <v>1</v>
      </c>
      <c r="J247" t="n">
        <v>5</v>
      </c>
      <c r="K247" t="n">
        <v>2</v>
      </c>
      <c r="L247" t="n">
        <v>0</v>
      </c>
      <c r="M247" t="n">
        <v>0</v>
      </c>
      <c r="N247" t="n">
        <v>0</v>
      </c>
      <c r="O247" t="n">
        <v>7</v>
      </c>
      <c r="P247" t="n">
        <v>2</v>
      </c>
      <c r="Q247" t="n">
        <v>8</v>
      </c>
      <c r="R247" s="2" t="inlineStr">
        <is>
          <t>Rynkskinn
Ulltickeporing
Garnlav
Granticka
Harticka
Tretåig hackspett
Ullticka
Stuplav</t>
        </is>
      </c>
      <c r="S247">
        <f>HYPERLINK("https://klasma.github.io/Logging_2462/artfynd/A 28799-2024 artfynd.xlsx", "A 28799-2024")</f>
        <v/>
      </c>
      <c r="T247">
        <f>HYPERLINK("https://klasma.github.io/Logging_2462/kartor/A 28799-2024 karta.png", "A 28799-2024")</f>
        <v/>
      </c>
      <c r="V247">
        <f>HYPERLINK("https://klasma.github.io/Logging_2462/klagomål/A 28799-2024 FSC-klagomål.docx", "A 28799-2024")</f>
        <v/>
      </c>
      <c r="W247">
        <f>HYPERLINK("https://klasma.github.io/Logging_2462/klagomålsmail/A 28799-2024 FSC-klagomål mail.docx", "A 28799-2024")</f>
        <v/>
      </c>
      <c r="X247">
        <f>HYPERLINK("https://klasma.github.io/Logging_2462/tillsyn/A 28799-2024 tillsynsbegäran.docx", "A 28799-2024")</f>
        <v/>
      </c>
      <c r="Y247">
        <f>HYPERLINK("https://klasma.github.io/Logging_2462/tillsynsmail/A 28799-2024 tillsynsbegäran mail.docx", "A 28799-2024")</f>
        <v/>
      </c>
      <c r="Z247">
        <f>HYPERLINK("https://klasma.github.io/Logging_2462/fåglar/A 28799-2024 prioriterade fågelarter.docx", "A 28799-2024")</f>
        <v/>
      </c>
    </row>
    <row r="248" ht="15" customHeight="1">
      <c r="A248" t="inlineStr">
        <is>
          <t>A 49036-2024</t>
        </is>
      </c>
      <c r="B248" s="1" t="n">
        <v>45594</v>
      </c>
      <c r="C248" s="1" t="n">
        <v>46075</v>
      </c>
      <c r="D248" t="inlineStr">
        <is>
          <t>VÄSTERBOTTENS LÄN</t>
        </is>
      </c>
      <c r="E248" t="inlineStr">
        <is>
          <t>UMEÅ</t>
        </is>
      </c>
      <c r="G248" t="n">
        <v>26.7</v>
      </c>
      <c r="H248" t="n">
        <v>3</v>
      </c>
      <c r="I248" t="n">
        <v>1</v>
      </c>
      <c r="J248" t="n">
        <v>6</v>
      </c>
      <c r="K248" t="n">
        <v>0</v>
      </c>
      <c r="L248" t="n">
        <v>0</v>
      </c>
      <c r="M248" t="n">
        <v>0</v>
      </c>
      <c r="N248" t="n">
        <v>0</v>
      </c>
      <c r="O248" t="n">
        <v>6</v>
      </c>
      <c r="P248" t="n">
        <v>0</v>
      </c>
      <c r="Q248" t="n">
        <v>8</v>
      </c>
      <c r="R248" s="2" t="inlineStr">
        <is>
          <t>Gammelgransskål
Garnlav
Motaggsvamp
Spillkråka
Tallticka
Talltita
Gullgröppa
Tjäder</t>
        </is>
      </c>
      <c r="S248">
        <f>HYPERLINK("https://klasma.github.io/Logging_2480/artfynd/A 49036-2024 artfynd.xlsx", "A 49036-2024")</f>
        <v/>
      </c>
      <c r="T248">
        <f>HYPERLINK("https://klasma.github.io/Logging_2480/kartor/A 49036-2024 karta.png", "A 49036-2024")</f>
        <v/>
      </c>
      <c r="V248">
        <f>HYPERLINK("https://klasma.github.io/Logging_2480/klagomål/A 49036-2024 FSC-klagomål.docx", "A 49036-2024")</f>
        <v/>
      </c>
      <c r="W248">
        <f>HYPERLINK("https://klasma.github.io/Logging_2480/klagomålsmail/A 49036-2024 FSC-klagomål mail.docx", "A 49036-2024")</f>
        <v/>
      </c>
      <c r="X248">
        <f>HYPERLINK("https://klasma.github.io/Logging_2480/tillsyn/A 49036-2024 tillsynsbegäran.docx", "A 49036-2024")</f>
        <v/>
      </c>
      <c r="Y248">
        <f>HYPERLINK("https://klasma.github.io/Logging_2480/tillsynsmail/A 49036-2024 tillsynsbegäran mail.docx", "A 49036-2024")</f>
        <v/>
      </c>
      <c r="Z248">
        <f>HYPERLINK("https://klasma.github.io/Logging_2480/fåglar/A 49036-2024 prioriterade fågelarter.docx", "A 49036-2024")</f>
        <v/>
      </c>
    </row>
    <row r="249" ht="15" customHeight="1">
      <c r="A249" t="inlineStr">
        <is>
          <t>A 2110-2025</t>
        </is>
      </c>
      <c r="B249" s="1" t="n">
        <v>45672</v>
      </c>
      <c r="C249" s="1" t="n">
        <v>46075</v>
      </c>
      <c r="D249" t="inlineStr">
        <is>
          <t>VÄSTERBOTTENS LÄN</t>
        </is>
      </c>
      <c r="E249" t="inlineStr">
        <is>
          <t>LYCKSELE</t>
        </is>
      </c>
      <c r="G249" t="n">
        <v>11.6</v>
      </c>
      <c r="H249" t="n">
        <v>0</v>
      </c>
      <c r="I249" t="n">
        <v>1</v>
      </c>
      <c r="J249" t="n">
        <v>7</v>
      </c>
      <c r="K249" t="n">
        <v>0</v>
      </c>
      <c r="L249" t="n">
        <v>0</v>
      </c>
      <c r="M249" t="n">
        <v>0</v>
      </c>
      <c r="N249" t="n">
        <v>0</v>
      </c>
      <c r="O249" t="n">
        <v>7</v>
      </c>
      <c r="P249" t="n">
        <v>0</v>
      </c>
      <c r="Q249" t="n">
        <v>8</v>
      </c>
      <c r="R249" s="2" t="inlineStr">
        <is>
          <t>Brunpudrad nållav
Gammelgransskål
Garnlav
Granticka
Knottrig blåslav
Lunglav
Rödbrun blekspik
Trådticka</t>
        </is>
      </c>
      <c r="S249">
        <f>HYPERLINK("https://klasma.github.io/Logging_2481/artfynd/A 2110-2025 artfynd.xlsx", "A 2110-2025")</f>
        <v/>
      </c>
      <c r="T249">
        <f>HYPERLINK("https://klasma.github.io/Logging_2481/kartor/A 2110-2025 karta.png", "A 2110-2025")</f>
        <v/>
      </c>
      <c r="V249">
        <f>HYPERLINK("https://klasma.github.io/Logging_2481/klagomål/A 2110-2025 FSC-klagomål.docx", "A 2110-2025")</f>
        <v/>
      </c>
      <c r="W249">
        <f>HYPERLINK("https://klasma.github.io/Logging_2481/klagomålsmail/A 2110-2025 FSC-klagomål mail.docx", "A 2110-2025")</f>
        <v/>
      </c>
      <c r="X249">
        <f>HYPERLINK("https://klasma.github.io/Logging_2481/tillsyn/A 2110-2025 tillsynsbegäran.docx", "A 2110-2025")</f>
        <v/>
      </c>
      <c r="Y249">
        <f>HYPERLINK("https://klasma.github.io/Logging_2481/tillsynsmail/A 2110-2025 tillsynsbegäran mail.docx", "A 2110-2025")</f>
        <v/>
      </c>
    </row>
    <row r="250" ht="15" customHeight="1">
      <c r="A250" t="inlineStr">
        <is>
          <t>A 30810-2024</t>
        </is>
      </c>
      <c r="B250" s="1" t="n">
        <v>45497</v>
      </c>
      <c r="C250" s="1" t="n">
        <v>46075</v>
      </c>
      <c r="D250" t="inlineStr">
        <is>
          <t>VÄSTERBOTTENS LÄN</t>
        </is>
      </c>
      <c r="E250" t="inlineStr">
        <is>
          <t>VILHELMINA</t>
        </is>
      </c>
      <c r="G250" t="n">
        <v>24.7</v>
      </c>
      <c r="H250" t="n">
        <v>3</v>
      </c>
      <c r="I250" t="n">
        <v>1</v>
      </c>
      <c r="J250" t="n">
        <v>6</v>
      </c>
      <c r="K250" t="n">
        <v>0</v>
      </c>
      <c r="L250" t="n">
        <v>0</v>
      </c>
      <c r="M250" t="n">
        <v>0</v>
      </c>
      <c r="N250" t="n">
        <v>0</v>
      </c>
      <c r="O250" t="n">
        <v>6</v>
      </c>
      <c r="P250" t="n">
        <v>0</v>
      </c>
      <c r="Q250" t="n">
        <v>8</v>
      </c>
      <c r="R250" s="2" t="inlineStr">
        <is>
          <t>Garnlav
Granticka
Harticka
Spillkråka
Tretåig hackspett
Ullticka
Vedticka
Lavskrika</t>
        </is>
      </c>
      <c r="S250">
        <f>HYPERLINK("https://klasma.github.io/Logging_2462/artfynd/A 30810-2024 artfynd.xlsx", "A 30810-2024")</f>
        <v/>
      </c>
      <c r="T250">
        <f>HYPERLINK("https://klasma.github.io/Logging_2462/kartor/A 30810-2024 karta.png", "A 30810-2024")</f>
        <v/>
      </c>
      <c r="V250">
        <f>HYPERLINK("https://klasma.github.io/Logging_2462/klagomål/A 30810-2024 FSC-klagomål.docx", "A 30810-2024")</f>
        <v/>
      </c>
      <c r="W250">
        <f>HYPERLINK("https://klasma.github.io/Logging_2462/klagomålsmail/A 30810-2024 FSC-klagomål mail.docx", "A 30810-2024")</f>
        <v/>
      </c>
      <c r="X250">
        <f>HYPERLINK("https://klasma.github.io/Logging_2462/tillsyn/A 30810-2024 tillsynsbegäran.docx", "A 30810-2024")</f>
        <v/>
      </c>
      <c r="Y250">
        <f>HYPERLINK("https://klasma.github.io/Logging_2462/tillsynsmail/A 30810-2024 tillsynsbegäran mail.docx", "A 30810-2024")</f>
        <v/>
      </c>
      <c r="Z250">
        <f>HYPERLINK("https://klasma.github.io/Logging_2462/fåglar/A 30810-2024 prioriterade fågelarter.docx", "A 30810-2024")</f>
        <v/>
      </c>
    </row>
    <row r="251" ht="15" customHeight="1">
      <c r="A251" t="inlineStr">
        <is>
          <t>A 26112-2025</t>
        </is>
      </c>
      <c r="B251" s="1" t="n">
        <v>45805.36883101852</v>
      </c>
      <c r="C251" s="1" t="n">
        <v>46075</v>
      </c>
      <c r="D251" t="inlineStr">
        <is>
          <t>VÄSTERBOTTENS LÄN</t>
        </is>
      </c>
      <c r="E251" t="inlineStr">
        <is>
          <t>SKELLEFTEÅ</t>
        </is>
      </c>
      <c r="G251" t="n">
        <v>12.7</v>
      </c>
      <c r="H251" t="n">
        <v>0</v>
      </c>
      <c r="I251" t="n">
        <v>2</v>
      </c>
      <c r="J251" t="n">
        <v>5</v>
      </c>
      <c r="K251" t="n">
        <v>1</v>
      </c>
      <c r="L251" t="n">
        <v>0</v>
      </c>
      <c r="M251" t="n">
        <v>0</v>
      </c>
      <c r="N251" t="n">
        <v>0</v>
      </c>
      <c r="O251" t="n">
        <v>6</v>
      </c>
      <c r="P251" t="n">
        <v>1</v>
      </c>
      <c r="Q251" t="n">
        <v>8</v>
      </c>
      <c r="R251" s="2" t="inlineStr">
        <is>
          <t>Ulltickeporing
Garnlav
Kilporing
Lunglav
Stjärntagging
Ullticka
Blodticka
Vedticka</t>
        </is>
      </c>
      <c r="S251">
        <f>HYPERLINK("https://klasma.github.io/Logging_2482/artfynd/A 26112-2025 artfynd.xlsx", "A 26112-2025")</f>
        <v/>
      </c>
      <c r="T251">
        <f>HYPERLINK("https://klasma.github.io/Logging_2482/kartor/A 26112-2025 karta.png", "A 26112-2025")</f>
        <v/>
      </c>
      <c r="V251">
        <f>HYPERLINK("https://klasma.github.io/Logging_2482/klagomål/A 26112-2025 FSC-klagomål.docx", "A 26112-2025")</f>
        <v/>
      </c>
      <c r="W251">
        <f>HYPERLINK("https://klasma.github.io/Logging_2482/klagomålsmail/A 26112-2025 FSC-klagomål mail.docx", "A 26112-2025")</f>
        <v/>
      </c>
      <c r="X251">
        <f>HYPERLINK("https://klasma.github.io/Logging_2482/tillsyn/A 26112-2025 tillsynsbegäran.docx", "A 26112-2025")</f>
        <v/>
      </c>
      <c r="Y251">
        <f>HYPERLINK("https://klasma.github.io/Logging_2482/tillsynsmail/A 26112-2025 tillsynsbegäran mail.docx", "A 26112-2025")</f>
        <v/>
      </c>
    </row>
    <row r="252" ht="15" customHeight="1">
      <c r="A252" t="inlineStr">
        <is>
          <t>A 26792-2025</t>
        </is>
      </c>
      <c r="B252" s="1" t="n">
        <v>45810</v>
      </c>
      <c r="C252" s="1" t="n">
        <v>46075</v>
      </c>
      <c r="D252" t="inlineStr">
        <is>
          <t>VÄSTERBOTTENS LÄN</t>
        </is>
      </c>
      <c r="E252" t="inlineStr">
        <is>
          <t>ÅSELE</t>
        </is>
      </c>
      <c r="F252" t="inlineStr">
        <is>
          <t>SCA</t>
        </is>
      </c>
      <c r="G252" t="n">
        <v>0.8</v>
      </c>
      <c r="H252" t="n">
        <v>3</v>
      </c>
      <c r="I252" t="n">
        <v>2</v>
      </c>
      <c r="J252" t="n">
        <v>5</v>
      </c>
      <c r="K252" t="n">
        <v>0</v>
      </c>
      <c r="L252" t="n">
        <v>0</v>
      </c>
      <c r="M252" t="n">
        <v>0</v>
      </c>
      <c r="N252" t="n">
        <v>0</v>
      </c>
      <c r="O252" t="n">
        <v>5</v>
      </c>
      <c r="P252" t="n">
        <v>0</v>
      </c>
      <c r="Q252" t="n">
        <v>8</v>
      </c>
      <c r="R252" s="2" t="inlineStr">
        <is>
          <t>Gammelgransskål
Garnlav
Liten svartspik
Tretåig hackspett
Vitgrynig nållav
Luddlav
Spindelblomster
Fläcknycklar</t>
        </is>
      </c>
      <c r="S252">
        <f>HYPERLINK("https://klasma.github.io/Logging_2463/artfynd/A 26792-2025 artfynd.xlsx", "A 26792-2025")</f>
        <v/>
      </c>
      <c r="T252">
        <f>HYPERLINK("https://klasma.github.io/Logging_2463/kartor/A 26792-2025 karta.png", "A 26792-2025")</f>
        <v/>
      </c>
      <c r="V252">
        <f>HYPERLINK("https://klasma.github.io/Logging_2463/klagomål/A 26792-2025 FSC-klagomål.docx", "A 26792-2025")</f>
        <v/>
      </c>
      <c r="W252">
        <f>HYPERLINK("https://klasma.github.io/Logging_2463/klagomålsmail/A 26792-2025 FSC-klagomål mail.docx", "A 26792-2025")</f>
        <v/>
      </c>
      <c r="X252">
        <f>HYPERLINK("https://klasma.github.io/Logging_2463/tillsyn/A 26792-2025 tillsynsbegäran.docx", "A 26792-2025")</f>
        <v/>
      </c>
      <c r="Y252">
        <f>HYPERLINK("https://klasma.github.io/Logging_2463/tillsynsmail/A 26792-2025 tillsynsbegäran mail.docx", "A 26792-2025")</f>
        <v/>
      </c>
      <c r="Z252">
        <f>HYPERLINK("https://klasma.github.io/Logging_2463/fåglar/A 26792-2025 prioriterade fågelarter.docx", "A 26792-2025")</f>
        <v/>
      </c>
    </row>
    <row r="253" ht="15" customHeight="1">
      <c r="A253" t="inlineStr">
        <is>
          <t>A 40101-2022</t>
        </is>
      </c>
      <c r="B253" s="1" t="n">
        <v>44820</v>
      </c>
      <c r="C253" s="1" t="n">
        <v>46075</v>
      </c>
      <c r="D253" t="inlineStr">
        <is>
          <t>VÄSTERBOTTENS LÄN</t>
        </is>
      </c>
      <c r="E253" t="inlineStr">
        <is>
          <t>LYCKSELE</t>
        </is>
      </c>
      <c r="F253" t="inlineStr">
        <is>
          <t>Sveaskog</t>
        </is>
      </c>
      <c r="G253" t="n">
        <v>28.5</v>
      </c>
      <c r="H253" t="n">
        <v>0</v>
      </c>
      <c r="I253" t="n">
        <v>1</v>
      </c>
      <c r="J253" t="n">
        <v>5</v>
      </c>
      <c r="K253" t="n">
        <v>1</v>
      </c>
      <c r="L253" t="n">
        <v>0</v>
      </c>
      <c r="M253" t="n">
        <v>0</v>
      </c>
      <c r="N253" t="n">
        <v>0</v>
      </c>
      <c r="O253" t="n">
        <v>6</v>
      </c>
      <c r="P253" t="n">
        <v>1</v>
      </c>
      <c r="Q253" t="n">
        <v>7</v>
      </c>
      <c r="R253" s="2" t="inlineStr">
        <is>
          <t>Gräddporing
Garnlav
Kolflarnlav
Motaggsvamp
Orange taggsvamp
Skrovellav
Skarp dropptaggsvamp</t>
        </is>
      </c>
      <c r="S253">
        <f>HYPERLINK("https://klasma.github.io/Logging_2481/artfynd/A 40101-2022 artfynd.xlsx", "A 40101-2022")</f>
        <v/>
      </c>
      <c r="T253">
        <f>HYPERLINK("https://klasma.github.io/Logging_2481/kartor/A 40101-2022 karta.png", "A 40101-2022")</f>
        <v/>
      </c>
      <c r="V253">
        <f>HYPERLINK("https://klasma.github.io/Logging_2481/klagomål/A 40101-2022 FSC-klagomål.docx", "A 40101-2022")</f>
        <v/>
      </c>
      <c r="W253">
        <f>HYPERLINK("https://klasma.github.io/Logging_2481/klagomålsmail/A 40101-2022 FSC-klagomål mail.docx", "A 40101-2022")</f>
        <v/>
      </c>
      <c r="X253">
        <f>HYPERLINK("https://klasma.github.io/Logging_2481/tillsyn/A 40101-2022 tillsynsbegäran.docx", "A 40101-2022")</f>
        <v/>
      </c>
      <c r="Y253">
        <f>HYPERLINK("https://klasma.github.io/Logging_2481/tillsynsmail/A 40101-2022 tillsynsbegäran mail.docx", "A 40101-2022")</f>
        <v/>
      </c>
    </row>
    <row r="254" ht="15" customHeight="1">
      <c r="A254" t="inlineStr">
        <is>
          <t>A 14083-2021</t>
        </is>
      </c>
      <c r="B254" s="1" t="n">
        <v>44277</v>
      </c>
      <c r="C254" s="1" t="n">
        <v>46075</v>
      </c>
      <c r="D254" t="inlineStr">
        <is>
          <t>VÄSTERBOTTENS LÄN</t>
        </is>
      </c>
      <c r="E254" t="inlineStr">
        <is>
          <t>BJURHOLM</t>
        </is>
      </c>
      <c r="F254" t="inlineStr">
        <is>
          <t>SCA</t>
        </is>
      </c>
      <c r="G254" t="n">
        <v>15.1</v>
      </c>
      <c r="H254" t="n">
        <v>0</v>
      </c>
      <c r="I254" t="n">
        <v>1</v>
      </c>
      <c r="J254" t="n">
        <v>6</v>
      </c>
      <c r="K254" t="n">
        <v>0</v>
      </c>
      <c r="L254" t="n">
        <v>0</v>
      </c>
      <c r="M254" t="n">
        <v>0</v>
      </c>
      <c r="N254" t="n">
        <v>0</v>
      </c>
      <c r="O254" t="n">
        <v>6</v>
      </c>
      <c r="P254" t="n">
        <v>0</v>
      </c>
      <c r="Q254" t="n">
        <v>7</v>
      </c>
      <c r="R254" s="2" t="inlineStr">
        <is>
          <t>Doftskinn
Dvärgbägarlav
Garnlav
Granticka
Kolflarnlav
Vedskivlav
Dropptaggsvamp</t>
        </is>
      </c>
      <c r="S254">
        <f>HYPERLINK("https://klasma.github.io/Logging_2403/artfynd/A 14083-2021 artfynd.xlsx", "A 14083-2021")</f>
        <v/>
      </c>
      <c r="T254">
        <f>HYPERLINK("https://klasma.github.io/Logging_2403/kartor/A 14083-2021 karta.png", "A 14083-2021")</f>
        <v/>
      </c>
      <c r="V254">
        <f>HYPERLINK("https://klasma.github.io/Logging_2403/klagomål/A 14083-2021 FSC-klagomål.docx", "A 14083-2021")</f>
        <v/>
      </c>
      <c r="W254">
        <f>HYPERLINK("https://klasma.github.io/Logging_2403/klagomålsmail/A 14083-2021 FSC-klagomål mail.docx", "A 14083-2021")</f>
        <v/>
      </c>
      <c r="X254">
        <f>HYPERLINK("https://klasma.github.io/Logging_2403/tillsyn/A 14083-2021 tillsynsbegäran.docx", "A 14083-2021")</f>
        <v/>
      </c>
      <c r="Y254">
        <f>HYPERLINK("https://klasma.github.io/Logging_2403/tillsynsmail/A 14083-2021 tillsynsbegäran mail.docx", "A 14083-2021")</f>
        <v/>
      </c>
    </row>
    <row r="255" ht="15" customHeight="1">
      <c r="A255" t="inlineStr">
        <is>
          <t>A 14493-2022</t>
        </is>
      </c>
      <c r="B255" s="1" t="n">
        <v>44655</v>
      </c>
      <c r="C255" s="1" t="n">
        <v>46075</v>
      </c>
      <c r="D255" t="inlineStr">
        <is>
          <t>VÄSTERBOTTENS LÄN</t>
        </is>
      </c>
      <c r="E255" t="inlineStr">
        <is>
          <t>SKELLEFTEÅ</t>
        </is>
      </c>
      <c r="G255" t="n">
        <v>9.5</v>
      </c>
      <c r="H255" t="n">
        <v>2</v>
      </c>
      <c r="I255" t="n">
        <v>1</v>
      </c>
      <c r="J255" t="n">
        <v>5</v>
      </c>
      <c r="K255" t="n">
        <v>1</v>
      </c>
      <c r="L255" t="n">
        <v>0</v>
      </c>
      <c r="M255" t="n">
        <v>0</v>
      </c>
      <c r="N255" t="n">
        <v>0</v>
      </c>
      <c r="O255" t="n">
        <v>6</v>
      </c>
      <c r="P255" t="n">
        <v>1</v>
      </c>
      <c r="Q255" t="n">
        <v>7</v>
      </c>
      <c r="R255" s="2" t="inlineStr">
        <is>
          <t>Knärot
Gammelgransskål
Garnlav
Harticka
Tretåig hackspett
Ullticka
Vedticka</t>
        </is>
      </c>
      <c r="S255">
        <f>HYPERLINK("https://klasma.github.io/Logging_2482/artfynd/A 14493-2022 artfynd.xlsx", "A 14493-2022")</f>
        <v/>
      </c>
      <c r="T255">
        <f>HYPERLINK("https://klasma.github.io/Logging_2482/kartor/A 14493-2022 karta.png", "A 14493-2022")</f>
        <v/>
      </c>
      <c r="U255">
        <f>HYPERLINK("https://klasma.github.io/Logging_2482/knärot/A 14493-2022 karta knärot.png", "A 14493-2022")</f>
        <v/>
      </c>
      <c r="V255">
        <f>HYPERLINK("https://klasma.github.io/Logging_2482/klagomål/A 14493-2022 FSC-klagomål.docx", "A 14493-2022")</f>
        <v/>
      </c>
      <c r="W255">
        <f>HYPERLINK("https://klasma.github.io/Logging_2482/klagomålsmail/A 14493-2022 FSC-klagomål mail.docx", "A 14493-2022")</f>
        <v/>
      </c>
      <c r="X255">
        <f>HYPERLINK("https://klasma.github.io/Logging_2482/tillsyn/A 14493-2022 tillsynsbegäran.docx", "A 14493-2022")</f>
        <v/>
      </c>
      <c r="Y255">
        <f>HYPERLINK("https://klasma.github.io/Logging_2482/tillsynsmail/A 14493-2022 tillsynsbegäran mail.docx", "A 14493-2022")</f>
        <v/>
      </c>
      <c r="Z255">
        <f>HYPERLINK("https://klasma.github.io/Logging_2482/fåglar/A 14493-2022 prioriterade fågelarter.docx", "A 14493-2022")</f>
        <v/>
      </c>
    </row>
    <row r="256" ht="15" customHeight="1">
      <c r="A256" t="inlineStr">
        <is>
          <t>A 25564-2024</t>
        </is>
      </c>
      <c r="B256" s="1" t="n">
        <v>45463</v>
      </c>
      <c r="C256" s="1" t="n">
        <v>46075</v>
      </c>
      <c r="D256" t="inlineStr">
        <is>
          <t>VÄSTERBOTTENS LÄN</t>
        </is>
      </c>
      <c r="E256" t="inlineStr">
        <is>
          <t>VILHELMINA</t>
        </is>
      </c>
      <c r="F256" t="inlineStr">
        <is>
          <t>Sveaskog</t>
        </is>
      </c>
      <c r="G256" t="n">
        <v>4.2</v>
      </c>
      <c r="H256" t="n">
        <v>1</v>
      </c>
      <c r="I256" t="n">
        <v>1</v>
      </c>
      <c r="J256" t="n">
        <v>6</v>
      </c>
      <c r="K256" t="n">
        <v>0</v>
      </c>
      <c r="L256" t="n">
        <v>0</v>
      </c>
      <c r="M256" t="n">
        <v>0</v>
      </c>
      <c r="N256" t="n">
        <v>0</v>
      </c>
      <c r="O256" t="n">
        <v>6</v>
      </c>
      <c r="P256" t="n">
        <v>0</v>
      </c>
      <c r="Q256" t="n">
        <v>7</v>
      </c>
      <c r="R256" s="2" t="inlineStr">
        <is>
          <t>Gammelgransskål
Garnlav
Kandelabersvamp
Koralltaggsvamp
Tretåig hackspett
Vedtrappmossa
Blodticka</t>
        </is>
      </c>
      <c r="S256">
        <f>HYPERLINK("https://klasma.github.io/Logging_2462/artfynd/A 25564-2024 artfynd.xlsx", "A 25564-2024")</f>
        <v/>
      </c>
      <c r="T256">
        <f>HYPERLINK("https://klasma.github.io/Logging_2462/kartor/A 25564-2024 karta.png", "A 25564-2024")</f>
        <v/>
      </c>
      <c r="V256">
        <f>HYPERLINK("https://klasma.github.io/Logging_2462/klagomål/A 25564-2024 FSC-klagomål.docx", "A 25564-2024")</f>
        <v/>
      </c>
      <c r="W256">
        <f>HYPERLINK("https://klasma.github.io/Logging_2462/klagomålsmail/A 25564-2024 FSC-klagomål mail.docx", "A 25564-2024")</f>
        <v/>
      </c>
      <c r="X256">
        <f>HYPERLINK("https://klasma.github.io/Logging_2462/tillsyn/A 25564-2024 tillsynsbegäran.docx", "A 25564-2024")</f>
        <v/>
      </c>
      <c r="Y256">
        <f>HYPERLINK("https://klasma.github.io/Logging_2462/tillsynsmail/A 25564-2024 tillsynsbegäran mail.docx", "A 25564-2024")</f>
        <v/>
      </c>
      <c r="Z256">
        <f>HYPERLINK("https://klasma.github.io/Logging_2462/fåglar/A 25564-2024 prioriterade fågelarter.docx", "A 25564-2024")</f>
        <v/>
      </c>
    </row>
    <row r="257" ht="15" customHeight="1">
      <c r="A257" t="inlineStr">
        <is>
          <t>A 30187-2023</t>
        </is>
      </c>
      <c r="B257" s="1" t="n">
        <v>45110</v>
      </c>
      <c r="C257" s="1" t="n">
        <v>46075</v>
      </c>
      <c r="D257" t="inlineStr">
        <is>
          <t>VÄSTERBOTTENS LÄN</t>
        </is>
      </c>
      <c r="E257" t="inlineStr">
        <is>
          <t>UMEÅ</t>
        </is>
      </c>
      <c r="G257" t="n">
        <v>12.5</v>
      </c>
      <c r="H257" t="n">
        <v>2</v>
      </c>
      <c r="I257" t="n">
        <v>3</v>
      </c>
      <c r="J257" t="n">
        <v>4</v>
      </c>
      <c r="K257" t="n">
        <v>0</v>
      </c>
      <c r="L257" t="n">
        <v>0</v>
      </c>
      <c r="M257" t="n">
        <v>0</v>
      </c>
      <c r="N257" t="n">
        <v>0</v>
      </c>
      <c r="O257" t="n">
        <v>4</v>
      </c>
      <c r="P257" t="n">
        <v>0</v>
      </c>
      <c r="Q257" t="n">
        <v>7</v>
      </c>
      <c r="R257" s="2" t="inlineStr">
        <is>
          <t>Garnlav
Spillkråka
Tretåig hackspett
Ullticka
Bronshjon
Stuplav
Vedticka</t>
        </is>
      </c>
      <c r="S257">
        <f>HYPERLINK("https://klasma.github.io/Logging_2480/artfynd/A 30187-2023 artfynd.xlsx", "A 30187-2023")</f>
        <v/>
      </c>
      <c r="T257">
        <f>HYPERLINK("https://klasma.github.io/Logging_2480/kartor/A 30187-2023 karta.png", "A 30187-2023")</f>
        <v/>
      </c>
      <c r="V257">
        <f>HYPERLINK("https://klasma.github.io/Logging_2480/klagomål/A 30187-2023 FSC-klagomål.docx", "A 30187-2023")</f>
        <v/>
      </c>
      <c r="W257">
        <f>HYPERLINK("https://klasma.github.io/Logging_2480/klagomålsmail/A 30187-2023 FSC-klagomål mail.docx", "A 30187-2023")</f>
        <v/>
      </c>
      <c r="X257">
        <f>HYPERLINK("https://klasma.github.io/Logging_2480/tillsyn/A 30187-2023 tillsynsbegäran.docx", "A 30187-2023")</f>
        <v/>
      </c>
      <c r="Y257">
        <f>HYPERLINK("https://klasma.github.io/Logging_2480/tillsynsmail/A 30187-2023 tillsynsbegäran mail.docx", "A 30187-2023")</f>
        <v/>
      </c>
      <c r="Z257">
        <f>HYPERLINK("https://klasma.github.io/Logging_2480/fåglar/A 30187-2023 prioriterade fågelarter.docx", "A 30187-2023")</f>
        <v/>
      </c>
    </row>
    <row r="258" ht="15" customHeight="1">
      <c r="A258" t="inlineStr">
        <is>
          <t>A 33655-2023</t>
        </is>
      </c>
      <c r="B258" s="1" t="n">
        <v>45119</v>
      </c>
      <c r="C258" s="1" t="n">
        <v>46075</v>
      </c>
      <c r="D258" t="inlineStr">
        <is>
          <t>VÄSTERBOTTENS LÄN</t>
        </is>
      </c>
      <c r="E258" t="inlineStr">
        <is>
          <t>DOROTEA</t>
        </is>
      </c>
      <c r="F258" t="inlineStr">
        <is>
          <t>Allmännings- och besparingsskogar</t>
        </is>
      </c>
      <c r="G258" t="n">
        <v>21.4</v>
      </c>
      <c r="H258" t="n">
        <v>0</v>
      </c>
      <c r="I258" t="n">
        <v>2</v>
      </c>
      <c r="J258" t="n">
        <v>5</v>
      </c>
      <c r="K258" t="n">
        <v>0</v>
      </c>
      <c r="L258" t="n">
        <v>0</v>
      </c>
      <c r="M258" t="n">
        <v>0</v>
      </c>
      <c r="N258" t="n">
        <v>0</v>
      </c>
      <c r="O258" t="n">
        <v>5</v>
      </c>
      <c r="P258" t="n">
        <v>0</v>
      </c>
      <c r="Q258" t="n">
        <v>7</v>
      </c>
      <c r="R258" s="2" t="inlineStr">
        <is>
          <t>Garnlav
Granticka
Harticka
Rosenticka
Ullticka
Fjällig taggsvamp s.str.
Trådticka</t>
        </is>
      </c>
      <c r="S258">
        <f>HYPERLINK("https://klasma.github.io/Logging_2425/artfynd/A 33655-2023 artfynd.xlsx", "A 33655-2023")</f>
        <v/>
      </c>
      <c r="T258">
        <f>HYPERLINK("https://klasma.github.io/Logging_2425/kartor/A 33655-2023 karta.png", "A 33655-2023")</f>
        <v/>
      </c>
      <c r="V258">
        <f>HYPERLINK("https://klasma.github.io/Logging_2425/klagomål/A 33655-2023 FSC-klagomål.docx", "A 33655-2023")</f>
        <v/>
      </c>
      <c r="W258">
        <f>HYPERLINK("https://klasma.github.io/Logging_2425/klagomålsmail/A 33655-2023 FSC-klagomål mail.docx", "A 33655-2023")</f>
        <v/>
      </c>
      <c r="X258">
        <f>HYPERLINK("https://klasma.github.io/Logging_2425/tillsyn/A 33655-2023 tillsynsbegäran.docx", "A 33655-2023")</f>
        <v/>
      </c>
      <c r="Y258">
        <f>HYPERLINK("https://klasma.github.io/Logging_2425/tillsynsmail/A 33655-2023 tillsynsbegäran mail.docx", "A 33655-2023")</f>
        <v/>
      </c>
    </row>
    <row r="259" ht="15" customHeight="1">
      <c r="A259" t="inlineStr">
        <is>
          <t>A 31833-2023</t>
        </is>
      </c>
      <c r="B259" s="1" t="n">
        <v>45106</v>
      </c>
      <c r="C259" s="1" t="n">
        <v>46075</v>
      </c>
      <c r="D259" t="inlineStr">
        <is>
          <t>VÄSTERBOTTENS LÄN</t>
        </is>
      </c>
      <c r="E259" t="inlineStr">
        <is>
          <t>SORSELE</t>
        </is>
      </c>
      <c r="G259" t="n">
        <v>10.8</v>
      </c>
      <c r="H259" t="n">
        <v>0</v>
      </c>
      <c r="I259" t="n">
        <v>0</v>
      </c>
      <c r="J259" t="n">
        <v>7</v>
      </c>
      <c r="K259" t="n">
        <v>0</v>
      </c>
      <c r="L259" t="n">
        <v>0</v>
      </c>
      <c r="M259" t="n">
        <v>0</v>
      </c>
      <c r="N259" t="n">
        <v>0</v>
      </c>
      <c r="O259" t="n">
        <v>7</v>
      </c>
      <c r="P259" t="n">
        <v>0</v>
      </c>
      <c r="Q259" t="n">
        <v>7</v>
      </c>
      <c r="R259" s="2" t="inlineStr">
        <is>
          <t>Brunpudrad nållav
Garnlav
Granticka
Gränsticka
Rosenticka
Rödbrun blekspik
Vitgrynig nållav</t>
        </is>
      </c>
      <c r="S259">
        <f>HYPERLINK("https://klasma.github.io/Logging_2422/artfynd/A 31833-2023 artfynd.xlsx", "A 31833-2023")</f>
        <v/>
      </c>
      <c r="T259">
        <f>HYPERLINK("https://klasma.github.io/Logging_2422/kartor/A 31833-2023 karta.png", "A 31833-2023")</f>
        <v/>
      </c>
      <c r="V259">
        <f>HYPERLINK("https://klasma.github.io/Logging_2422/klagomål/A 31833-2023 FSC-klagomål.docx", "A 31833-2023")</f>
        <v/>
      </c>
      <c r="W259">
        <f>HYPERLINK("https://klasma.github.io/Logging_2422/klagomålsmail/A 31833-2023 FSC-klagomål mail.docx", "A 31833-2023")</f>
        <v/>
      </c>
      <c r="X259">
        <f>HYPERLINK("https://klasma.github.io/Logging_2422/tillsyn/A 31833-2023 tillsynsbegäran.docx", "A 31833-2023")</f>
        <v/>
      </c>
      <c r="Y259">
        <f>HYPERLINK("https://klasma.github.io/Logging_2422/tillsynsmail/A 31833-2023 tillsynsbegäran mail.docx", "A 31833-2023")</f>
        <v/>
      </c>
    </row>
    <row r="260" ht="15" customHeight="1">
      <c r="A260" t="inlineStr">
        <is>
          <t>A 53097-2024</t>
        </is>
      </c>
      <c r="B260" s="1" t="n">
        <v>45611</v>
      </c>
      <c r="C260" s="1" t="n">
        <v>46075</v>
      </c>
      <c r="D260" t="inlineStr">
        <is>
          <t>VÄSTERBOTTENS LÄN</t>
        </is>
      </c>
      <c r="E260" t="inlineStr">
        <is>
          <t>VINDELN</t>
        </is>
      </c>
      <c r="F260" t="inlineStr">
        <is>
          <t>SCA</t>
        </is>
      </c>
      <c r="G260" t="n">
        <v>6.6</v>
      </c>
      <c r="H260" t="n">
        <v>0</v>
      </c>
      <c r="I260" t="n">
        <v>6</v>
      </c>
      <c r="J260" t="n">
        <v>1</v>
      </c>
      <c r="K260" t="n">
        <v>0</v>
      </c>
      <c r="L260" t="n">
        <v>0</v>
      </c>
      <c r="M260" t="n">
        <v>0</v>
      </c>
      <c r="N260" t="n">
        <v>0</v>
      </c>
      <c r="O260" t="n">
        <v>1</v>
      </c>
      <c r="P260" t="n">
        <v>0</v>
      </c>
      <c r="Q260" t="n">
        <v>7</v>
      </c>
      <c r="R260" s="2" t="inlineStr">
        <is>
          <t>Lunglav
Barkticka
Bårdlav
Luddlav
Myskbock
Stekelbock
Stuplav</t>
        </is>
      </c>
      <c r="S260">
        <f>HYPERLINK("https://klasma.github.io/Logging_2404/artfynd/A 53097-2024 artfynd.xlsx", "A 53097-2024")</f>
        <v/>
      </c>
      <c r="T260">
        <f>HYPERLINK("https://klasma.github.io/Logging_2404/kartor/A 53097-2024 karta.png", "A 53097-2024")</f>
        <v/>
      </c>
      <c r="V260">
        <f>HYPERLINK("https://klasma.github.io/Logging_2404/klagomål/A 53097-2024 FSC-klagomål.docx", "A 53097-2024")</f>
        <v/>
      </c>
      <c r="W260">
        <f>HYPERLINK("https://klasma.github.io/Logging_2404/klagomålsmail/A 53097-2024 FSC-klagomål mail.docx", "A 53097-2024")</f>
        <v/>
      </c>
      <c r="X260">
        <f>HYPERLINK("https://klasma.github.io/Logging_2404/tillsyn/A 53097-2024 tillsynsbegäran.docx", "A 53097-2024")</f>
        <v/>
      </c>
      <c r="Y260">
        <f>HYPERLINK("https://klasma.github.io/Logging_2404/tillsynsmail/A 53097-2024 tillsynsbegäran mail.docx", "A 53097-2024")</f>
        <v/>
      </c>
    </row>
    <row r="261" ht="15" customHeight="1">
      <c r="A261" t="inlineStr">
        <is>
          <t>A 54391-2023</t>
        </is>
      </c>
      <c r="B261" s="1" t="n">
        <v>45226</v>
      </c>
      <c r="C261" s="1" t="n">
        <v>46075</v>
      </c>
      <c r="D261" t="inlineStr">
        <is>
          <t>VÄSTERBOTTENS LÄN</t>
        </is>
      </c>
      <c r="E261" t="inlineStr">
        <is>
          <t>SKELLEFTEÅ</t>
        </is>
      </c>
      <c r="G261" t="n">
        <v>17.9</v>
      </c>
      <c r="H261" t="n">
        <v>3</v>
      </c>
      <c r="I261" t="n">
        <v>1</v>
      </c>
      <c r="J261" t="n">
        <v>4</v>
      </c>
      <c r="K261" t="n">
        <v>0</v>
      </c>
      <c r="L261" t="n">
        <v>0</v>
      </c>
      <c r="M261" t="n">
        <v>0</v>
      </c>
      <c r="N261" t="n">
        <v>0</v>
      </c>
      <c r="O261" t="n">
        <v>4</v>
      </c>
      <c r="P261" t="n">
        <v>0</v>
      </c>
      <c r="Q261" t="n">
        <v>7</v>
      </c>
      <c r="R261" s="2" t="inlineStr">
        <is>
          <t>Garnlav
Harticka
Spillkråka
Tallticka
Skinnlav
Fläcknycklar
Revlummer</t>
        </is>
      </c>
      <c r="S261">
        <f>HYPERLINK("https://klasma.github.io/Logging_2482/artfynd/A 54391-2023 artfynd.xlsx", "A 54391-2023")</f>
        <v/>
      </c>
      <c r="T261">
        <f>HYPERLINK("https://klasma.github.io/Logging_2482/kartor/A 54391-2023 karta.png", "A 54391-2023")</f>
        <v/>
      </c>
      <c r="V261">
        <f>HYPERLINK("https://klasma.github.io/Logging_2482/klagomål/A 54391-2023 FSC-klagomål.docx", "A 54391-2023")</f>
        <v/>
      </c>
      <c r="W261">
        <f>HYPERLINK("https://klasma.github.io/Logging_2482/klagomålsmail/A 54391-2023 FSC-klagomål mail.docx", "A 54391-2023")</f>
        <v/>
      </c>
      <c r="X261">
        <f>HYPERLINK("https://klasma.github.io/Logging_2482/tillsyn/A 54391-2023 tillsynsbegäran.docx", "A 54391-2023")</f>
        <v/>
      </c>
      <c r="Y261">
        <f>HYPERLINK("https://klasma.github.io/Logging_2482/tillsynsmail/A 54391-2023 tillsynsbegäran mail.docx", "A 54391-2023")</f>
        <v/>
      </c>
      <c r="Z261">
        <f>HYPERLINK("https://klasma.github.io/Logging_2482/fåglar/A 54391-2023 prioriterade fågelarter.docx", "A 54391-2023")</f>
        <v/>
      </c>
    </row>
    <row r="262" ht="15" customHeight="1">
      <c r="A262" t="inlineStr">
        <is>
          <t>A 3358-2022</t>
        </is>
      </c>
      <c r="B262" s="1" t="n">
        <v>44585</v>
      </c>
      <c r="C262" s="1" t="n">
        <v>46075</v>
      </c>
      <c r="D262" t="inlineStr">
        <is>
          <t>VÄSTERBOTTENS LÄN</t>
        </is>
      </c>
      <c r="E262" t="inlineStr">
        <is>
          <t>STORUMAN</t>
        </is>
      </c>
      <c r="G262" t="n">
        <v>1.8</v>
      </c>
      <c r="H262" t="n">
        <v>3</v>
      </c>
      <c r="I262" t="n">
        <v>1</v>
      </c>
      <c r="J262" t="n">
        <v>5</v>
      </c>
      <c r="K262" t="n">
        <v>0</v>
      </c>
      <c r="L262" t="n">
        <v>0</v>
      </c>
      <c r="M262" t="n">
        <v>0</v>
      </c>
      <c r="N262" t="n">
        <v>0</v>
      </c>
      <c r="O262" t="n">
        <v>5</v>
      </c>
      <c r="P262" t="n">
        <v>0</v>
      </c>
      <c r="Q262" t="n">
        <v>7</v>
      </c>
      <c r="R262" s="2" t="inlineStr">
        <is>
          <t>Garnlav
Rosenticka
Talltita
Tretåig hackspett
Ullticka
Finbräken
Skogsrör</t>
        </is>
      </c>
      <c r="S262">
        <f>HYPERLINK("https://klasma.github.io/Logging_2421/artfynd/A 3358-2022 artfynd.xlsx", "A 3358-2022")</f>
        <v/>
      </c>
      <c r="T262">
        <f>HYPERLINK("https://klasma.github.io/Logging_2421/kartor/A 3358-2022 karta.png", "A 3358-2022")</f>
        <v/>
      </c>
      <c r="V262">
        <f>HYPERLINK("https://klasma.github.io/Logging_2421/klagomål/A 3358-2022 FSC-klagomål.docx", "A 3358-2022")</f>
        <v/>
      </c>
      <c r="W262">
        <f>HYPERLINK("https://klasma.github.io/Logging_2421/klagomålsmail/A 3358-2022 FSC-klagomål mail.docx", "A 3358-2022")</f>
        <v/>
      </c>
      <c r="X262">
        <f>HYPERLINK("https://klasma.github.io/Logging_2421/tillsyn/A 3358-2022 tillsynsbegäran.docx", "A 3358-2022")</f>
        <v/>
      </c>
      <c r="Y262">
        <f>HYPERLINK("https://klasma.github.io/Logging_2421/tillsynsmail/A 3358-2022 tillsynsbegäran mail.docx", "A 3358-2022")</f>
        <v/>
      </c>
      <c r="Z262">
        <f>HYPERLINK("https://klasma.github.io/Logging_2421/fåglar/A 3358-2022 prioriterade fågelarter.docx", "A 3358-2022")</f>
        <v/>
      </c>
    </row>
    <row r="263" ht="15" customHeight="1">
      <c r="A263" t="inlineStr">
        <is>
          <t>A 44354-2024</t>
        </is>
      </c>
      <c r="B263" s="1" t="n">
        <v>45573</v>
      </c>
      <c r="C263" s="1" t="n">
        <v>46075</v>
      </c>
      <c r="D263" t="inlineStr">
        <is>
          <t>VÄSTERBOTTENS LÄN</t>
        </is>
      </c>
      <c r="E263" t="inlineStr">
        <is>
          <t>VILHELMINA</t>
        </is>
      </c>
      <c r="F263" t="inlineStr">
        <is>
          <t>SCA</t>
        </is>
      </c>
      <c r="G263" t="n">
        <v>4.4</v>
      </c>
      <c r="H263" t="n">
        <v>3</v>
      </c>
      <c r="I263" t="n">
        <v>0</v>
      </c>
      <c r="J263" t="n">
        <v>7</v>
      </c>
      <c r="K263" t="n">
        <v>0</v>
      </c>
      <c r="L263" t="n">
        <v>0</v>
      </c>
      <c r="M263" t="n">
        <v>0</v>
      </c>
      <c r="N263" t="n">
        <v>0</v>
      </c>
      <c r="O263" t="n">
        <v>7</v>
      </c>
      <c r="P263" t="n">
        <v>0</v>
      </c>
      <c r="Q263" t="n">
        <v>7</v>
      </c>
      <c r="R263" s="2" t="inlineStr">
        <is>
          <t>Gammelgransskål
Garnlav
Granticka
Rödvingetrast
Spillkråka
Tretåig hackspett
Vitgrynig nållav</t>
        </is>
      </c>
      <c r="S263">
        <f>HYPERLINK("https://klasma.github.io/Logging_2462/artfynd/A 44354-2024 artfynd.xlsx", "A 44354-2024")</f>
        <v/>
      </c>
      <c r="T263">
        <f>HYPERLINK("https://klasma.github.io/Logging_2462/kartor/A 44354-2024 karta.png", "A 44354-2024")</f>
        <v/>
      </c>
      <c r="V263">
        <f>HYPERLINK("https://klasma.github.io/Logging_2462/klagomål/A 44354-2024 FSC-klagomål.docx", "A 44354-2024")</f>
        <v/>
      </c>
      <c r="W263">
        <f>HYPERLINK("https://klasma.github.io/Logging_2462/klagomålsmail/A 44354-2024 FSC-klagomål mail.docx", "A 44354-2024")</f>
        <v/>
      </c>
      <c r="X263">
        <f>HYPERLINK("https://klasma.github.io/Logging_2462/tillsyn/A 44354-2024 tillsynsbegäran.docx", "A 44354-2024")</f>
        <v/>
      </c>
      <c r="Y263">
        <f>HYPERLINK("https://klasma.github.io/Logging_2462/tillsynsmail/A 44354-2024 tillsynsbegäran mail.docx", "A 44354-2024")</f>
        <v/>
      </c>
      <c r="Z263">
        <f>HYPERLINK("https://klasma.github.io/Logging_2462/fåglar/A 44354-2024 prioriterade fågelarter.docx", "A 44354-2024")</f>
        <v/>
      </c>
    </row>
    <row r="264" ht="15" customHeight="1">
      <c r="A264" t="inlineStr">
        <is>
          <t>A 37547-2023</t>
        </is>
      </c>
      <c r="B264" s="1" t="n">
        <v>45158</v>
      </c>
      <c r="C264" s="1" t="n">
        <v>46075</v>
      </c>
      <c r="D264" t="inlineStr">
        <is>
          <t>VÄSTERBOTTENS LÄN</t>
        </is>
      </c>
      <c r="E264" t="inlineStr">
        <is>
          <t>NORDMALING</t>
        </is>
      </c>
      <c r="G264" t="n">
        <v>4.2</v>
      </c>
      <c r="H264" t="n">
        <v>0</v>
      </c>
      <c r="I264" t="n">
        <v>3</v>
      </c>
      <c r="J264" t="n">
        <v>4</v>
      </c>
      <c r="K264" t="n">
        <v>0</v>
      </c>
      <c r="L264" t="n">
        <v>0</v>
      </c>
      <c r="M264" t="n">
        <v>0</v>
      </c>
      <c r="N264" t="n">
        <v>0</v>
      </c>
      <c r="O264" t="n">
        <v>4</v>
      </c>
      <c r="P264" t="n">
        <v>0</v>
      </c>
      <c r="Q264" t="n">
        <v>7</v>
      </c>
      <c r="R264" s="2" t="inlineStr">
        <is>
          <t>Garnlav
Granticka
Orange taggsvamp
Svartvit taggsvamp
Dropptaggsvamp
Tjockfotad fingersvamp
Vågbandad barkbock</t>
        </is>
      </c>
      <c r="S264">
        <f>HYPERLINK("https://klasma.github.io/Logging_2401/artfynd/A 37547-2023 artfynd.xlsx", "A 37547-2023")</f>
        <v/>
      </c>
      <c r="T264">
        <f>HYPERLINK("https://klasma.github.io/Logging_2401/kartor/A 37547-2023 karta.png", "A 37547-2023")</f>
        <v/>
      </c>
      <c r="V264">
        <f>HYPERLINK("https://klasma.github.io/Logging_2401/klagomål/A 37547-2023 FSC-klagomål.docx", "A 37547-2023")</f>
        <v/>
      </c>
      <c r="W264">
        <f>HYPERLINK("https://klasma.github.io/Logging_2401/klagomålsmail/A 37547-2023 FSC-klagomål mail.docx", "A 37547-2023")</f>
        <v/>
      </c>
      <c r="X264">
        <f>HYPERLINK("https://klasma.github.io/Logging_2401/tillsyn/A 37547-2023 tillsynsbegäran.docx", "A 37547-2023")</f>
        <v/>
      </c>
      <c r="Y264">
        <f>HYPERLINK("https://klasma.github.io/Logging_2401/tillsynsmail/A 37547-2023 tillsynsbegäran mail.docx", "A 37547-2023")</f>
        <v/>
      </c>
    </row>
    <row r="265" ht="15" customHeight="1">
      <c r="A265" t="inlineStr">
        <is>
          <t>A 24811-2024</t>
        </is>
      </c>
      <c r="B265" s="1" t="n">
        <v>45460.95407407408</v>
      </c>
      <c r="C265" s="1" t="n">
        <v>46075</v>
      </c>
      <c r="D265" t="inlineStr">
        <is>
          <t>VÄSTERBOTTENS LÄN</t>
        </is>
      </c>
      <c r="E265" t="inlineStr">
        <is>
          <t>LYCKSELE</t>
        </is>
      </c>
      <c r="F265" t="inlineStr">
        <is>
          <t>SCA</t>
        </is>
      </c>
      <c r="G265" t="n">
        <v>3.8</v>
      </c>
      <c r="H265" t="n">
        <v>0</v>
      </c>
      <c r="I265" t="n">
        <v>2</v>
      </c>
      <c r="J265" t="n">
        <v>4</v>
      </c>
      <c r="K265" t="n">
        <v>1</v>
      </c>
      <c r="L265" t="n">
        <v>0</v>
      </c>
      <c r="M265" t="n">
        <v>0</v>
      </c>
      <c r="N265" t="n">
        <v>0</v>
      </c>
      <c r="O265" t="n">
        <v>5</v>
      </c>
      <c r="P265" t="n">
        <v>1</v>
      </c>
      <c r="Q265" t="n">
        <v>7</v>
      </c>
      <c r="R265" s="2" t="inlineStr">
        <is>
          <t>Smalfotad taggsvamp
Blanksvart spiklav
Nordlig nållav
Skrovlig taggsvamp
Svartvit taggsvamp
Dropptaggsvamp
Mörkhövdad spiklav</t>
        </is>
      </c>
      <c r="S265">
        <f>HYPERLINK("https://klasma.github.io/Logging_2481/artfynd/A 24811-2024 artfynd.xlsx", "A 24811-2024")</f>
        <v/>
      </c>
      <c r="T265">
        <f>HYPERLINK("https://klasma.github.io/Logging_2481/kartor/A 24811-2024 karta.png", "A 24811-2024")</f>
        <v/>
      </c>
      <c r="V265">
        <f>HYPERLINK("https://klasma.github.io/Logging_2481/klagomål/A 24811-2024 FSC-klagomål.docx", "A 24811-2024")</f>
        <v/>
      </c>
      <c r="W265">
        <f>HYPERLINK("https://klasma.github.io/Logging_2481/klagomålsmail/A 24811-2024 FSC-klagomål mail.docx", "A 24811-2024")</f>
        <v/>
      </c>
      <c r="X265">
        <f>HYPERLINK("https://klasma.github.io/Logging_2481/tillsyn/A 24811-2024 tillsynsbegäran.docx", "A 24811-2024")</f>
        <v/>
      </c>
      <c r="Y265">
        <f>HYPERLINK("https://klasma.github.io/Logging_2481/tillsynsmail/A 24811-2024 tillsynsbegäran mail.docx", "A 24811-2024")</f>
        <v/>
      </c>
    </row>
    <row r="266" ht="15" customHeight="1">
      <c r="A266" t="inlineStr">
        <is>
          <t>A 54875-2025</t>
        </is>
      </c>
      <c r="B266" s="1" t="n">
        <v>45967.31410879629</v>
      </c>
      <c r="C266" s="1" t="n">
        <v>46075</v>
      </c>
      <c r="D266" t="inlineStr">
        <is>
          <t>VÄSTERBOTTENS LÄN</t>
        </is>
      </c>
      <c r="E266" t="inlineStr">
        <is>
          <t>ROBERTSFORS</t>
        </is>
      </c>
      <c r="G266" t="n">
        <v>6</v>
      </c>
      <c r="H266" t="n">
        <v>3</v>
      </c>
      <c r="I266" t="n">
        <v>2</v>
      </c>
      <c r="J266" t="n">
        <v>4</v>
      </c>
      <c r="K266" t="n">
        <v>0</v>
      </c>
      <c r="L266" t="n">
        <v>0</v>
      </c>
      <c r="M266" t="n">
        <v>0</v>
      </c>
      <c r="N266" t="n">
        <v>0</v>
      </c>
      <c r="O266" t="n">
        <v>4</v>
      </c>
      <c r="P266" t="n">
        <v>0</v>
      </c>
      <c r="Q266" t="n">
        <v>7</v>
      </c>
      <c r="R266" s="2" t="inlineStr">
        <is>
          <t>Granticka
Spillkråka
Tretåig hackspett
Ullticka
Bronshjon
Vedticka
Tjäder</t>
        </is>
      </c>
      <c r="S266">
        <f>HYPERLINK("https://klasma.github.io/Logging_2409/artfynd/A 54875-2025 artfynd.xlsx", "A 54875-2025")</f>
        <v/>
      </c>
      <c r="T266">
        <f>HYPERLINK("https://klasma.github.io/Logging_2409/kartor/A 54875-2025 karta.png", "A 54875-2025")</f>
        <v/>
      </c>
      <c r="V266">
        <f>HYPERLINK("https://klasma.github.io/Logging_2409/klagomål/A 54875-2025 FSC-klagomål.docx", "A 54875-2025")</f>
        <v/>
      </c>
      <c r="W266">
        <f>HYPERLINK("https://klasma.github.io/Logging_2409/klagomålsmail/A 54875-2025 FSC-klagomål mail.docx", "A 54875-2025")</f>
        <v/>
      </c>
      <c r="X266">
        <f>HYPERLINK("https://klasma.github.io/Logging_2409/tillsyn/A 54875-2025 tillsynsbegäran.docx", "A 54875-2025")</f>
        <v/>
      </c>
      <c r="Y266">
        <f>HYPERLINK("https://klasma.github.io/Logging_2409/tillsynsmail/A 54875-2025 tillsynsbegäran mail.docx", "A 54875-2025")</f>
        <v/>
      </c>
      <c r="Z266">
        <f>HYPERLINK("https://klasma.github.io/Logging_2409/fåglar/A 54875-2025 prioriterade fågelarter.docx", "A 54875-2025")</f>
        <v/>
      </c>
    </row>
    <row r="267" ht="15" customHeight="1">
      <c r="A267" t="inlineStr">
        <is>
          <t>A 13467-2024</t>
        </is>
      </c>
      <c r="B267" s="1" t="n">
        <v>45387.57256944444</v>
      </c>
      <c r="C267" s="1" t="n">
        <v>46075</v>
      </c>
      <c r="D267" t="inlineStr">
        <is>
          <t>VÄSTERBOTTENS LÄN</t>
        </is>
      </c>
      <c r="E267" t="inlineStr">
        <is>
          <t>SKELLEFTEÅ</t>
        </is>
      </c>
      <c r="F267" t="inlineStr">
        <is>
          <t>Sveaskog</t>
        </is>
      </c>
      <c r="G267" t="n">
        <v>3.1</v>
      </c>
      <c r="H267" t="n">
        <v>3</v>
      </c>
      <c r="I267" t="n">
        <v>0</v>
      </c>
      <c r="J267" t="n">
        <v>5</v>
      </c>
      <c r="K267" t="n">
        <v>1</v>
      </c>
      <c r="L267" t="n">
        <v>0</v>
      </c>
      <c r="M267" t="n">
        <v>0</v>
      </c>
      <c r="N267" t="n">
        <v>0</v>
      </c>
      <c r="O267" t="n">
        <v>6</v>
      </c>
      <c r="P267" t="n">
        <v>1</v>
      </c>
      <c r="Q267" t="n">
        <v>7</v>
      </c>
      <c r="R267" s="2" t="inlineStr">
        <is>
          <t>Knärot
Garnlav
Granticka
Orange taggsvamp
Talltita
Äggvaxskivling
Lavskrika</t>
        </is>
      </c>
      <c r="S267">
        <f>HYPERLINK("https://klasma.github.io/Logging_2482/artfynd/A 13467-2024 artfynd.xlsx", "A 13467-2024")</f>
        <v/>
      </c>
      <c r="T267">
        <f>HYPERLINK("https://klasma.github.io/Logging_2482/kartor/A 13467-2024 karta.png", "A 13467-2024")</f>
        <v/>
      </c>
      <c r="U267">
        <f>HYPERLINK("https://klasma.github.io/Logging_2482/knärot/A 13467-2024 karta knärot.png", "A 13467-2024")</f>
        <v/>
      </c>
      <c r="V267">
        <f>HYPERLINK("https://klasma.github.io/Logging_2482/klagomål/A 13467-2024 FSC-klagomål.docx", "A 13467-2024")</f>
        <v/>
      </c>
      <c r="W267">
        <f>HYPERLINK("https://klasma.github.io/Logging_2482/klagomålsmail/A 13467-2024 FSC-klagomål mail.docx", "A 13467-2024")</f>
        <v/>
      </c>
      <c r="X267">
        <f>HYPERLINK("https://klasma.github.io/Logging_2482/tillsyn/A 13467-2024 tillsynsbegäran.docx", "A 13467-2024")</f>
        <v/>
      </c>
      <c r="Y267">
        <f>HYPERLINK("https://klasma.github.io/Logging_2482/tillsynsmail/A 13467-2024 tillsynsbegäran mail.docx", "A 13467-2024")</f>
        <v/>
      </c>
      <c r="Z267">
        <f>HYPERLINK("https://klasma.github.io/Logging_2482/fåglar/A 13467-2024 prioriterade fågelarter.docx", "A 13467-2024")</f>
        <v/>
      </c>
    </row>
    <row r="268" ht="15" customHeight="1">
      <c r="A268" t="inlineStr">
        <is>
          <t>A 45657-2024</t>
        </is>
      </c>
      <c r="B268" s="1" t="n">
        <v>45579.49459490741</v>
      </c>
      <c r="C268" s="1" t="n">
        <v>46075</v>
      </c>
      <c r="D268" t="inlineStr">
        <is>
          <t>VÄSTERBOTTENS LÄN</t>
        </is>
      </c>
      <c r="E268" t="inlineStr">
        <is>
          <t>UMEÅ</t>
        </is>
      </c>
      <c r="F268" t="inlineStr">
        <is>
          <t>Kommuner</t>
        </is>
      </c>
      <c r="G268" t="n">
        <v>1.8</v>
      </c>
      <c r="H268" t="n">
        <v>1</v>
      </c>
      <c r="I268" t="n">
        <v>0</v>
      </c>
      <c r="J268" t="n">
        <v>2</v>
      </c>
      <c r="K268" t="n">
        <v>5</v>
      </c>
      <c r="L268" t="n">
        <v>0</v>
      </c>
      <c r="M268" t="n">
        <v>0</v>
      </c>
      <c r="N268" t="n">
        <v>0</v>
      </c>
      <c r="O268" t="n">
        <v>7</v>
      </c>
      <c r="P268" t="n">
        <v>5</v>
      </c>
      <c r="Q268" t="n">
        <v>7</v>
      </c>
      <c r="R268" s="2" t="inlineStr">
        <is>
          <t>Gräddporing
Smalfotad taggsvamp
Spadskinn
Tajgataggsvamp
Torrmusseron
Svartvit taggsvamp
Talltita</t>
        </is>
      </c>
      <c r="S268">
        <f>HYPERLINK("https://klasma.github.io/Logging_2480/artfynd/A 45657-2024 artfynd.xlsx", "A 45657-2024")</f>
        <v/>
      </c>
      <c r="T268">
        <f>HYPERLINK("https://klasma.github.io/Logging_2480/kartor/A 45657-2024 karta.png", "A 45657-2024")</f>
        <v/>
      </c>
      <c r="V268">
        <f>HYPERLINK("https://klasma.github.io/Logging_2480/klagomål/A 45657-2024 FSC-klagomål.docx", "A 45657-2024")</f>
        <v/>
      </c>
      <c r="W268">
        <f>HYPERLINK("https://klasma.github.io/Logging_2480/klagomålsmail/A 45657-2024 FSC-klagomål mail.docx", "A 45657-2024")</f>
        <v/>
      </c>
      <c r="X268">
        <f>HYPERLINK("https://klasma.github.io/Logging_2480/tillsyn/A 45657-2024 tillsynsbegäran.docx", "A 45657-2024")</f>
        <v/>
      </c>
      <c r="Y268">
        <f>HYPERLINK("https://klasma.github.io/Logging_2480/tillsynsmail/A 45657-2024 tillsynsbegäran mail.docx", "A 45657-2024")</f>
        <v/>
      </c>
      <c r="Z268">
        <f>HYPERLINK("https://klasma.github.io/Logging_2480/fåglar/A 45657-2024 prioriterade fågelarter.docx", "A 45657-2024")</f>
        <v/>
      </c>
    </row>
    <row r="269" ht="15" customHeight="1">
      <c r="A269" t="inlineStr">
        <is>
          <t>A 21423-2024</t>
        </is>
      </c>
      <c r="B269" s="1" t="n">
        <v>45441</v>
      </c>
      <c r="C269" s="1" t="n">
        <v>46075</v>
      </c>
      <c r="D269" t="inlineStr">
        <is>
          <t>VÄSTERBOTTENS LÄN</t>
        </is>
      </c>
      <c r="E269" t="inlineStr">
        <is>
          <t>STORUMAN</t>
        </is>
      </c>
      <c r="F269" t="inlineStr">
        <is>
          <t>Allmännings- och besparingsskogar</t>
        </is>
      </c>
      <c r="G269" t="n">
        <v>13.4</v>
      </c>
      <c r="H269" t="n">
        <v>5</v>
      </c>
      <c r="I269" t="n">
        <v>2</v>
      </c>
      <c r="J269" t="n">
        <v>4</v>
      </c>
      <c r="K269" t="n">
        <v>0</v>
      </c>
      <c r="L269" t="n">
        <v>0</v>
      </c>
      <c r="M269" t="n">
        <v>0</v>
      </c>
      <c r="N269" t="n">
        <v>0</v>
      </c>
      <c r="O269" t="n">
        <v>4</v>
      </c>
      <c r="P269" t="n">
        <v>0</v>
      </c>
      <c r="Q269" t="n">
        <v>7</v>
      </c>
      <c r="R269" s="2" t="inlineStr">
        <is>
          <t>Garnlav
Granticka
Spillkråka
Tretåig hackspett
Plattlummer
Spindelblomster
Revlummer</t>
        </is>
      </c>
      <c r="S269">
        <f>HYPERLINK("https://klasma.github.io/Logging_2421/artfynd/A 21423-2024 artfynd.xlsx", "A 21423-2024")</f>
        <v/>
      </c>
      <c r="T269">
        <f>HYPERLINK("https://klasma.github.io/Logging_2421/kartor/A 21423-2024 karta.png", "A 21423-2024")</f>
        <v/>
      </c>
      <c r="V269">
        <f>HYPERLINK("https://klasma.github.io/Logging_2421/klagomål/A 21423-2024 FSC-klagomål.docx", "A 21423-2024")</f>
        <v/>
      </c>
      <c r="W269">
        <f>HYPERLINK("https://klasma.github.io/Logging_2421/klagomålsmail/A 21423-2024 FSC-klagomål mail.docx", "A 21423-2024")</f>
        <v/>
      </c>
      <c r="X269">
        <f>HYPERLINK("https://klasma.github.io/Logging_2421/tillsyn/A 21423-2024 tillsynsbegäran.docx", "A 21423-2024")</f>
        <v/>
      </c>
      <c r="Y269">
        <f>HYPERLINK("https://klasma.github.io/Logging_2421/tillsynsmail/A 21423-2024 tillsynsbegäran mail.docx", "A 21423-2024")</f>
        <v/>
      </c>
      <c r="Z269">
        <f>HYPERLINK("https://klasma.github.io/Logging_2421/fåglar/A 21423-2024 prioriterade fågelarter.docx", "A 21423-2024")</f>
        <v/>
      </c>
    </row>
    <row r="270" ht="15" customHeight="1">
      <c r="A270" t="inlineStr">
        <is>
          <t>A 49977-2023</t>
        </is>
      </c>
      <c r="B270" s="1" t="n">
        <v>45208</v>
      </c>
      <c r="C270" s="1" t="n">
        <v>46075</v>
      </c>
      <c r="D270" t="inlineStr">
        <is>
          <t>VÄSTERBOTTENS LÄN</t>
        </is>
      </c>
      <c r="E270" t="inlineStr">
        <is>
          <t>VILHELMINA</t>
        </is>
      </c>
      <c r="F270" t="inlineStr">
        <is>
          <t>Övriga statliga verk och myndigheter</t>
        </is>
      </c>
      <c r="G270" t="n">
        <v>8.1</v>
      </c>
      <c r="H270" t="n">
        <v>2</v>
      </c>
      <c r="I270" t="n">
        <v>2</v>
      </c>
      <c r="J270" t="n">
        <v>5</v>
      </c>
      <c r="K270" t="n">
        <v>0</v>
      </c>
      <c r="L270" t="n">
        <v>0</v>
      </c>
      <c r="M270" t="n">
        <v>0</v>
      </c>
      <c r="N270" t="n">
        <v>0</v>
      </c>
      <c r="O270" t="n">
        <v>5</v>
      </c>
      <c r="P270" t="n">
        <v>0</v>
      </c>
      <c r="Q270" t="n">
        <v>7</v>
      </c>
      <c r="R270" s="2" t="inlineStr">
        <is>
          <t>Leptoporus mollis
Skrovellav
Spillkråka
Tretåig hackspett
Vitgrynig nållav
Bårdlav
Fjällig taggsvamp s.str.</t>
        </is>
      </c>
      <c r="S270">
        <f>HYPERLINK("https://klasma.github.io/Logging_2462/artfynd/A 49977-2023 artfynd.xlsx", "A 49977-2023")</f>
        <v/>
      </c>
      <c r="T270">
        <f>HYPERLINK("https://klasma.github.io/Logging_2462/kartor/A 49977-2023 karta.png", "A 49977-2023")</f>
        <v/>
      </c>
      <c r="V270">
        <f>HYPERLINK("https://klasma.github.io/Logging_2462/klagomål/A 49977-2023 FSC-klagomål.docx", "A 49977-2023")</f>
        <v/>
      </c>
      <c r="W270">
        <f>HYPERLINK("https://klasma.github.io/Logging_2462/klagomålsmail/A 49977-2023 FSC-klagomål mail.docx", "A 49977-2023")</f>
        <v/>
      </c>
      <c r="X270">
        <f>HYPERLINK("https://klasma.github.io/Logging_2462/tillsyn/A 49977-2023 tillsynsbegäran.docx", "A 49977-2023")</f>
        <v/>
      </c>
      <c r="Y270">
        <f>HYPERLINK("https://klasma.github.io/Logging_2462/tillsynsmail/A 49977-2023 tillsynsbegäran mail.docx", "A 49977-2023")</f>
        <v/>
      </c>
      <c r="Z270">
        <f>HYPERLINK("https://klasma.github.io/Logging_2462/fåglar/A 49977-2023 prioriterade fågelarter.docx", "A 49977-2023")</f>
        <v/>
      </c>
    </row>
    <row r="271" ht="15" customHeight="1">
      <c r="A271" t="inlineStr">
        <is>
          <t>A 15852-2022</t>
        </is>
      </c>
      <c r="B271" s="1" t="n">
        <v>44664</v>
      </c>
      <c r="C271" s="1" t="n">
        <v>46075</v>
      </c>
      <c r="D271" t="inlineStr">
        <is>
          <t>VÄSTERBOTTENS LÄN</t>
        </is>
      </c>
      <c r="E271" t="inlineStr">
        <is>
          <t>VILHELMINA</t>
        </is>
      </c>
      <c r="G271" t="n">
        <v>9.300000000000001</v>
      </c>
      <c r="H271" t="n">
        <v>1</v>
      </c>
      <c r="I271" t="n">
        <v>2</v>
      </c>
      <c r="J271" t="n">
        <v>5</v>
      </c>
      <c r="K271" t="n">
        <v>0</v>
      </c>
      <c r="L271" t="n">
        <v>0</v>
      </c>
      <c r="M271" t="n">
        <v>0</v>
      </c>
      <c r="N271" t="n">
        <v>0</v>
      </c>
      <c r="O271" t="n">
        <v>5</v>
      </c>
      <c r="P271" t="n">
        <v>0</v>
      </c>
      <c r="Q271" t="n">
        <v>7</v>
      </c>
      <c r="R271" s="2" t="inlineStr">
        <is>
          <t>Granticka
Harticka
Lunglav
Skrovellav
Ullticka
Spindelblomster
Stuplav</t>
        </is>
      </c>
      <c r="S271">
        <f>HYPERLINK("https://klasma.github.io/Logging_2462/artfynd/A 15852-2022 artfynd.xlsx", "A 15852-2022")</f>
        <v/>
      </c>
      <c r="T271">
        <f>HYPERLINK("https://klasma.github.io/Logging_2462/kartor/A 15852-2022 karta.png", "A 15852-2022")</f>
        <v/>
      </c>
      <c r="V271">
        <f>HYPERLINK("https://klasma.github.io/Logging_2462/klagomål/A 15852-2022 FSC-klagomål.docx", "A 15852-2022")</f>
        <v/>
      </c>
      <c r="W271">
        <f>HYPERLINK("https://klasma.github.io/Logging_2462/klagomålsmail/A 15852-2022 FSC-klagomål mail.docx", "A 15852-2022")</f>
        <v/>
      </c>
      <c r="X271">
        <f>HYPERLINK("https://klasma.github.io/Logging_2462/tillsyn/A 15852-2022 tillsynsbegäran.docx", "A 15852-2022")</f>
        <v/>
      </c>
      <c r="Y271">
        <f>HYPERLINK("https://klasma.github.io/Logging_2462/tillsynsmail/A 15852-2022 tillsynsbegäran mail.docx", "A 15852-2022")</f>
        <v/>
      </c>
    </row>
    <row r="272" ht="15" customHeight="1">
      <c r="A272" t="inlineStr">
        <is>
          <t>A 52101-2021</t>
        </is>
      </c>
      <c r="B272" s="1" t="n">
        <v>44463</v>
      </c>
      <c r="C272" s="1" t="n">
        <v>46075</v>
      </c>
      <c r="D272" t="inlineStr">
        <is>
          <t>VÄSTERBOTTENS LÄN</t>
        </is>
      </c>
      <c r="E272" t="inlineStr">
        <is>
          <t>VINDELN</t>
        </is>
      </c>
      <c r="F272" t="inlineStr">
        <is>
          <t>Sveaskog</t>
        </is>
      </c>
      <c r="G272" t="n">
        <v>12.9</v>
      </c>
      <c r="H272" t="n">
        <v>0</v>
      </c>
      <c r="I272" t="n">
        <v>1</v>
      </c>
      <c r="J272" t="n">
        <v>5</v>
      </c>
      <c r="K272" t="n">
        <v>1</v>
      </c>
      <c r="L272" t="n">
        <v>0</v>
      </c>
      <c r="M272" t="n">
        <v>0</v>
      </c>
      <c r="N272" t="n">
        <v>0</v>
      </c>
      <c r="O272" t="n">
        <v>6</v>
      </c>
      <c r="P272" t="n">
        <v>1</v>
      </c>
      <c r="Q272" t="n">
        <v>7</v>
      </c>
      <c r="R272" s="2" t="inlineStr">
        <is>
          <t>Goliatmusseron
Blå taggsvamp
Orange taggsvamp
Skrovlig taggsvamp
Svart taggsvamp
Vaddporing
Dropptaggsvamp</t>
        </is>
      </c>
      <c r="S272">
        <f>HYPERLINK("https://klasma.github.io/Logging_2404/artfynd/A 52101-2021 artfynd.xlsx", "A 52101-2021")</f>
        <v/>
      </c>
      <c r="T272">
        <f>HYPERLINK("https://klasma.github.io/Logging_2404/kartor/A 52101-2021 karta.png", "A 52101-2021")</f>
        <v/>
      </c>
      <c r="V272">
        <f>HYPERLINK("https://klasma.github.io/Logging_2404/klagomål/A 52101-2021 FSC-klagomål.docx", "A 52101-2021")</f>
        <v/>
      </c>
      <c r="W272">
        <f>HYPERLINK("https://klasma.github.io/Logging_2404/klagomålsmail/A 52101-2021 FSC-klagomål mail.docx", "A 52101-2021")</f>
        <v/>
      </c>
      <c r="X272">
        <f>HYPERLINK("https://klasma.github.io/Logging_2404/tillsyn/A 52101-2021 tillsynsbegäran.docx", "A 52101-2021")</f>
        <v/>
      </c>
      <c r="Y272">
        <f>HYPERLINK("https://klasma.github.io/Logging_2404/tillsynsmail/A 52101-2021 tillsynsbegäran mail.docx", "A 52101-2021")</f>
        <v/>
      </c>
    </row>
    <row r="273" ht="15" customHeight="1">
      <c r="A273" t="inlineStr">
        <is>
          <t>A 19331-2024</t>
        </is>
      </c>
      <c r="B273" s="1" t="n">
        <v>45428</v>
      </c>
      <c r="C273" s="1" t="n">
        <v>46075</v>
      </c>
      <c r="D273" t="inlineStr">
        <is>
          <t>VÄSTERBOTTENS LÄN</t>
        </is>
      </c>
      <c r="E273" t="inlineStr">
        <is>
          <t>DOROTEA</t>
        </is>
      </c>
      <c r="F273" t="inlineStr">
        <is>
          <t>SCA</t>
        </is>
      </c>
      <c r="G273" t="n">
        <v>21.7</v>
      </c>
      <c r="H273" t="n">
        <v>1</v>
      </c>
      <c r="I273" t="n">
        <v>3</v>
      </c>
      <c r="J273" t="n">
        <v>4</v>
      </c>
      <c r="K273" t="n">
        <v>0</v>
      </c>
      <c r="L273" t="n">
        <v>0</v>
      </c>
      <c r="M273" t="n">
        <v>0</v>
      </c>
      <c r="N273" t="n">
        <v>0</v>
      </c>
      <c r="O273" t="n">
        <v>4</v>
      </c>
      <c r="P273" t="n">
        <v>0</v>
      </c>
      <c r="Q273" t="n">
        <v>7</v>
      </c>
      <c r="R273" s="2" t="inlineStr">
        <is>
          <t>Garnlav
Lunglav
Skrovellav
Tretåig hackspett
Bårdlav
Luddlav
Stuplav</t>
        </is>
      </c>
      <c r="S273">
        <f>HYPERLINK("https://klasma.github.io/Logging_2425/artfynd/A 19331-2024 artfynd.xlsx", "A 19331-2024")</f>
        <v/>
      </c>
      <c r="T273">
        <f>HYPERLINK("https://klasma.github.io/Logging_2425/kartor/A 19331-2024 karta.png", "A 19331-2024")</f>
        <v/>
      </c>
      <c r="V273">
        <f>HYPERLINK("https://klasma.github.io/Logging_2425/klagomål/A 19331-2024 FSC-klagomål.docx", "A 19331-2024")</f>
        <v/>
      </c>
      <c r="W273">
        <f>HYPERLINK("https://klasma.github.io/Logging_2425/klagomålsmail/A 19331-2024 FSC-klagomål mail.docx", "A 19331-2024")</f>
        <v/>
      </c>
      <c r="X273">
        <f>HYPERLINK("https://klasma.github.io/Logging_2425/tillsyn/A 19331-2024 tillsynsbegäran.docx", "A 19331-2024")</f>
        <v/>
      </c>
      <c r="Y273">
        <f>HYPERLINK("https://klasma.github.io/Logging_2425/tillsynsmail/A 19331-2024 tillsynsbegäran mail.docx", "A 19331-2024")</f>
        <v/>
      </c>
      <c r="Z273">
        <f>HYPERLINK("https://klasma.github.io/Logging_2425/fåglar/A 19331-2024 prioriterade fågelarter.docx", "A 19331-2024")</f>
        <v/>
      </c>
    </row>
    <row r="274" ht="15" customHeight="1">
      <c r="A274" t="inlineStr">
        <is>
          <t>A 35393-2024</t>
        </is>
      </c>
      <c r="B274" s="1" t="n">
        <v>45531</v>
      </c>
      <c r="C274" s="1" t="n">
        <v>46075</v>
      </c>
      <c r="D274" t="inlineStr">
        <is>
          <t>VÄSTERBOTTENS LÄN</t>
        </is>
      </c>
      <c r="E274" t="inlineStr">
        <is>
          <t>VILHELMINA</t>
        </is>
      </c>
      <c r="F274" t="inlineStr">
        <is>
          <t>SCA</t>
        </is>
      </c>
      <c r="G274" t="n">
        <v>4.2</v>
      </c>
      <c r="H274" t="n">
        <v>3</v>
      </c>
      <c r="I274" t="n">
        <v>0</v>
      </c>
      <c r="J274" t="n">
        <v>5</v>
      </c>
      <c r="K274" t="n">
        <v>1</v>
      </c>
      <c r="L274" t="n">
        <v>0</v>
      </c>
      <c r="M274" t="n">
        <v>0</v>
      </c>
      <c r="N274" t="n">
        <v>0</v>
      </c>
      <c r="O274" t="n">
        <v>6</v>
      </c>
      <c r="P274" t="n">
        <v>1</v>
      </c>
      <c r="Q274" t="n">
        <v>7</v>
      </c>
      <c r="R274" s="2" t="inlineStr">
        <is>
          <t>Liten sotlav
Gammelgransskål
Garnlav
Granticka
Spillkråka
Tretåig hackspett
Revlummer</t>
        </is>
      </c>
      <c r="S274">
        <f>HYPERLINK("https://klasma.github.io/Logging_2462/artfynd/A 35393-2024 artfynd.xlsx", "A 35393-2024")</f>
        <v/>
      </c>
      <c r="T274">
        <f>HYPERLINK("https://klasma.github.io/Logging_2462/kartor/A 35393-2024 karta.png", "A 35393-2024")</f>
        <v/>
      </c>
      <c r="V274">
        <f>HYPERLINK("https://klasma.github.io/Logging_2462/klagomål/A 35393-2024 FSC-klagomål.docx", "A 35393-2024")</f>
        <v/>
      </c>
      <c r="W274">
        <f>HYPERLINK("https://klasma.github.io/Logging_2462/klagomålsmail/A 35393-2024 FSC-klagomål mail.docx", "A 35393-2024")</f>
        <v/>
      </c>
      <c r="X274">
        <f>HYPERLINK("https://klasma.github.io/Logging_2462/tillsyn/A 35393-2024 tillsynsbegäran.docx", "A 35393-2024")</f>
        <v/>
      </c>
      <c r="Y274">
        <f>HYPERLINK("https://klasma.github.io/Logging_2462/tillsynsmail/A 35393-2024 tillsynsbegäran mail.docx", "A 35393-2024")</f>
        <v/>
      </c>
      <c r="Z274">
        <f>HYPERLINK("https://klasma.github.io/Logging_2462/fåglar/A 35393-2024 prioriterade fågelarter.docx", "A 35393-2024")</f>
        <v/>
      </c>
    </row>
    <row r="275" ht="15" customHeight="1">
      <c r="A275" t="inlineStr">
        <is>
          <t>A 32456-2024</t>
        </is>
      </c>
      <c r="B275" s="1" t="n">
        <v>45512</v>
      </c>
      <c r="C275" s="1" t="n">
        <v>46075</v>
      </c>
      <c r="D275" t="inlineStr">
        <is>
          <t>VÄSTERBOTTENS LÄN</t>
        </is>
      </c>
      <c r="E275" t="inlineStr">
        <is>
          <t>VILHELMINA</t>
        </is>
      </c>
      <c r="F275" t="inlineStr">
        <is>
          <t>SCA</t>
        </is>
      </c>
      <c r="G275" t="n">
        <v>10.5</v>
      </c>
      <c r="H275" t="n">
        <v>4</v>
      </c>
      <c r="I275" t="n">
        <v>1</v>
      </c>
      <c r="J275" t="n">
        <v>5</v>
      </c>
      <c r="K275" t="n">
        <v>0</v>
      </c>
      <c r="L275" t="n">
        <v>0</v>
      </c>
      <c r="M275" t="n">
        <v>0</v>
      </c>
      <c r="N275" t="n">
        <v>0</v>
      </c>
      <c r="O275" t="n">
        <v>5</v>
      </c>
      <c r="P275" t="n">
        <v>0</v>
      </c>
      <c r="Q275" t="n">
        <v>7</v>
      </c>
      <c r="R275" s="2" t="inlineStr">
        <is>
          <t>Garnlav
Granticka
Gränsticka
Spillkråka
Tretåig hackspett
Lappranunkel
Revlummer</t>
        </is>
      </c>
      <c r="S275">
        <f>HYPERLINK("https://klasma.github.io/Logging_2462/artfynd/A 32456-2024 artfynd.xlsx", "A 32456-2024")</f>
        <v/>
      </c>
      <c r="T275">
        <f>HYPERLINK("https://klasma.github.io/Logging_2462/kartor/A 32456-2024 karta.png", "A 32456-2024")</f>
        <v/>
      </c>
      <c r="V275">
        <f>HYPERLINK("https://klasma.github.io/Logging_2462/klagomål/A 32456-2024 FSC-klagomål.docx", "A 32456-2024")</f>
        <v/>
      </c>
      <c r="W275">
        <f>HYPERLINK("https://klasma.github.io/Logging_2462/klagomålsmail/A 32456-2024 FSC-klagomål mail.docx", "A 32456-2024")</f>
        <v/>
      </c>
      <c r="X275">
        <f>HYPERLINK("https://klasma.github.io/Logging_2462/tillsyn/A 32456-2024 tillsynsbegäran.docx", "A 32456-2024")</f>
        <v/>
      </c>
      <c r="Y275">
        <f>HYPERLINK("https://klasma.github.io/Logging_2462/tillsynsmail/A 32456-2024 tillsynsbegäran mail.docx", "A 32456-2024")</f>
        <v/>
      </c>
      <c r="Z275">
        <f>HYPERLINK("https://klasma.github.io/Logging_2462/fåglar/A 32456-2024 prioriterade fågelarter.docx", "A 32456-2024")</f>
        <v/>
      </c>
    </row>
    <row r="276" ht="15" customHeight="1">
      <c r="A276" t="inlineStr">
        <is>
          <t>A 47932-2024</t>
        </is>
      </c>
      <c r="B276" s="1" t="n">
        <v>45589</v>
      </c>
      <c r="C276" s="1" t="n">
        <v>46075</v>
      </c>
      <c r="D276" t="inlineStr">
        <is>
          <t>VÄSTERBOTTENS LÄN</t>
        </is>
      </c>
      <c r="E276" t="inlineStr">
        <is>
          <t>VILHELMINA</t>
        </is>
      </c>
      <c r="F276" t="inlineStr">
        <is>
          <t>SCA</t>
        </is>
      </c>
      <c r="G276" t="n">
        <v>15.4</v>
      </c>
      <c r="H276" t="n">
        <v>3</v>
      </c>
      <c r="I276" t="n">
        <v>0</v>
      </c>
      <c r="J276" t="n">
        <v>6</v>
      </c>
      <c r="K276" t="n">
        <v>0</v>
      </c>
      <c r="L276" t="n">
        <v>0</v>
      </c>
      <c r="M276" t="n">
        <v>0</v>
      </c>
      <c r="N276" t="n">
        <v>0</v>
      </c>
      <c r="O276" t="n">
        <v>6</v>
      </c>
      <c r="P276" t="n">
        <v>0</v>
      </c>
      <c r="Q276" t="n">
        <v>7</v>
      </c>
      <c r="R276" s="2" t="inlineStr">
        <is>
          <t>Brunpudrad nållav
Garnlav
Granticka
Spillkråka
Tretåig hackspett
Vitgrynig nållav
Revlummer</t>
        </is>
      </c>
      <c r="S276">
        <f>HYPERLINK("https://klasma.github.io/Logging_2462/artfynd/A 47932-2024 artfynd.xlsx", "A 47932-2024")</f>
        <v/>
      </c>
      <c r="T276">
        <f>HYPERLINK("https://klasma.github.io/Logging_2462/kartor/A 47932-2024 karta.png", "A 47932-2024")</f>
        <v/>
      </c>
      <c r="V276">
        <f>HYPERLINK("https://klasma.github.io/Logging_2462/klagomål/A 47932-2024 FSC-klagomål.docx", "A 47932-2024")</f>
        <v/>
      </c>
      <c r="W276">
        <f>HYPERLINK("https://klasma.github.io/Logging_2462/klagomålsmail/A 47932-2024 FSC-klagomål mail.docx", "A 47932-2024")</f>
        <v/>
      </c>
      <c r="X276">
        <f>HYPERLINK("https://klasma.github.io/Logging_2462/tillsyn/A 47932-2024 tillsynsbegäran.docx", "A 47932-2024")</f>
        <v/>
      </c>
      <c r="Y276">
        <f>HYPERLINK("https://klasma.github.io/Logging_2462/tillsynsmail/A 47932-2024 tillsynsbegäran mail.docx", "A 47932-2024")</f>
        <v/>
      </c>
      <c r="Z276">
        <f>HYPERLINK("https://klasma.github.io/Logging_2462/fåglar/A 47932-2024 prioriterade fågelarter.docx", "A 47932-2024")</f>
        <v/>
      </c>
    </row>
    <row r="277" ht="15" customHeight="1">
      <c r="A277" t="inlineStr">
        <is>
          <t>A 61242-2023</t>
        </is>
      </c>
      <c r="B277" s="1" t="n">
        <v>45264.46740740741</v>
      </c>
      <c r="C277" s="1" t="n">
        <v>46075</v>
      </c>
      <c r="D277" t="inlineStr">
        <is>
          <t>VÄSTERBOTTENS LÄN</t>
        </is>
      </c>
      <c r="E277" t="inlineStr">
        <is>
          <t>SKELLEFTEÅ</t>
        </is>
      </c>
      <c r="F277" t="inlineStr">
        <is>
          <t>Holmen skog AB</t>
        </is>
      </c>
      <c r="G277" t="n">
        <v>4.8</v>
      </c>
      <c r="H277" t="n">
        <v>1</v>
      </c>
      <c r="I277" t="n">
        <v>3</v>
      </c>
      <c r="J277" t="n">
        <v>4</v>
      </c>
      <c r="K277" t="n">
        <v>0</v>
      </c>
      <c r="L277" t="n">
        <v>0</v>
      </c>
      <c r="M277" t="n">
        <v>0</v>
      </c>
      <c r="N277" t="n">
        <v>0</v>
      </c>
      <c r="O277" t="n">
        <v>4</v>
      </c>
      <c r="P277" t="n">
        <v>0</v>
      </c>
      <c r="Q277" t="n">
        <v>7</v>
      </c>
      <c r="R277" s="2" t="inlineStr">
        <is>
          <t>Garnlav
Gransotdyna
Talltita
Vitgrynig nållav
Dvärgtufs
Nästlav
Skinnlav</t>
        </is>
      </c>
      <c r="S277">
        <f>HYPERLINK("https://klasma.github.io/Logging_2482/artfynd/A 61242-2023 artfynd.xlsx", "A 61242-2023")</f>
        <v/>
      </c>
      <c r="T277">
        <f>HYPERLINK("https://klasma.github.io/Logging_2482/kartor/A 61242-2023 karta.png", "A 61242-2023")</f>
        <v/>
      </c>
      <c r="V277">
        <f>HYPERLINK("https://klasma.github.io/Logging_2482/klagomål/A 61242-2023 FSC-klagomål.docx", "A 61242-2023")</f>
        <v/>
      </c>
      <c r="W277">
        <f>HYPERLINK("https://klasma.github.io/Logging_2482/klagomålsmail/A 61242-2023 FSC-klagomål mail.docx", "A 61242-2023")</f>
        <v/>
      </c>
      <c r="X277">
        <f>HYPERLINK("https://klasma.github.io/Logging_2482/tillsyn/A 61242-2023 tillsynsbegäran.docx", "A 61242-2023")</f>
        <v/>
      </c>
      <c r="Y277">
        <f>HYPERLINK("https://klasma.github.io/Logging_2482/tillsynsmail/A 61242-2023 tillsynsbegäran mail.docx", "A 61242-2023")</f>
        <v/>
      </c>
      <c r="Z277">
        <f>HYPERLINK("https://klasma.github.io/Logging_2482/fåglar/A 61242-2023 prioriterade fågelarter.docx", "A 61242-2023")</f>
        <v/>
      </c>
    </row>
    <row r="278" ht="15" customHeight="1">
      <c r="A278" t="inlineStr">
        <is>
          <t>A 57059-2024</t>
        </is>
      </c>
      <c r="B278" s="1" t="n">
        <v>45629</v>
      </c>
      <c r="C278" s="1" t="n">
        <v>46075</v>
      </c>
      <c r="D278" t="inlineStr">
        <is>
          <t>VÄSTERBOTTENS LÄN</t>
        </is>
      </c>
      <c r="E278" t="inlineStr">
        <is>
          <t>DOROTEA</t>
        </is>
      </c>
      <c r="F278" t="inlineStr">
        <is>
          <t>SCA</t>
        </is>
      </c>
      <c r="G278" t="n">
        <v>7.5</v>
      </c>
      <c r="H278" t="n">
        <v>0</v>
      </c>
      <c r="I278" t="n">
        <v>2</v>
      </c>
      <c r="J278" t="n">
        <v>5</v>
      </c>
      <c r="K278" t="n">
        <v>0</v>
      </c>
      <c r="L278" t="n">
        <v>0</v>
      </c>
      <c r="M278" t="n">
        <v>0</v>
      </c>
      <c r="N278" t="n">
        <v>0</v>
      </c>
      <c r="O278" t="n">
        <v>5</v>
      </c>
      <c r="P278" t="n">
        <v>0</v>
      </c>
      <c r="Q278" t="n">
        <v>7</v>
      </c>
      <c r="R278" s="2" t="inlineStr">
        <is>
          <t>Garnlav
Granticka
Lunglav
Skrovellav
Vitgrynig nållav
Barkticka
Luddlav</t>
        </is>
      </c>
      <c r="S278">
        <f>HYPERLINK("https://klasma.github.io/Logging_2425/artfynd/A 57059-2024 artfynd.xlsx", "A 57059-2024")</f>
        <v/>
      </c>
      <c r="T278">
        <f>HYPERLINK("https://klasma.github.io/Logging_2425/kartor/A 57059-2024 karta.png", "A 57059-2024")</f>
        <v/>
      </c>
      <c r="V278">
        <f>HYPERLINK("https://klasma.github.io/Logging_2425/klagomål/A 57059-2024 FSC-klagomål.docx", "A 57059-2024")</f>
        <v/>
      </c>
      <c r="W278">
        <f>HYPERLINK("https://klasma.github.io/Logging_2425/klagomålsmail/A 57059-2024 FSC-klagomål mail.docx", "A 57059-2024")</f>
        <v/>
      </c>
      <c r="X278">
        <f>HYPERLINK("https://klasma.github.io/Logging_2425/tillsyn/A 57059-2024 tillsynsbegäran.docx", "A 57059-2024")</f>
        <v/>
      </c>
      <c r="Y278">
        <f>HYPERLINK("https://klasma.github.io/Logging_2425/tillsynsmail/A 57059-2024 tillsynsbegäran mail.docx", "A 57059-2024")</f>
        <v/>
      </c>
    </row>
    <row r="279" ht="15" customHeight="1">
      <c r="A279" t="inlineStr">
        <is>
          <t>A 14855-2024</t>
        </is>
      </c>
      <c r="B279" s="1" t="n">
        <v>45398</v>
      </c>
      <c r="C279" s="1" t="n">
        <v>46075</v>
      </c>
      <c r="D279" t="inlineStr">
        <is>
          <t>VÄSTERBOTTENS LÄN</t>
        </is>
      </c>
      <c r="E279" t="inlineStr">
        <is>
          <t>STORUMAN</t>
        </is>
      </c>
      <c r="G279" t="n">
        <v>31.1</v>
      </c>
      <c r="H279" t="n">
        <v>1</v>
      </c>
      <c r="I279" t="n">
        <v>1</v>
      </c>
      <c r="J279" t="n">
        <v>6</v>
      </c>
      <c r="K279" t="n">
        <v>0</v>
      </c>
      <c r="L279" t="n">
        <v>0</v>
      </c>
      <c r="M279" t="n">
        <v>0</v>
      </c>
      <c r="N279" t="n">
        <v>0</v>
      </c>
      <c r="O279" t="n">
        <v>6</v>
      </c>
      <c r="P279" t="n">
        <v>0</v>
      </c>
      <c r="Q279" t="n">
        <v>7</v>
      </c>
      <c r="R279" s="2" t="inlineStr">
        <is>
          <t>Granticka
Harticka
Knottrig blåslav
Rosenticka
Skrovellav
Tretåig hackspett
Skinnlav</t>
        </is>
      </c>
      <c r="S279">
        <f>HYPERLINK("https://klasma.github.io/Logging_2421/artfynd/A 14855-2024 artfynd.xlsx", "A 14855-2024")</f>
        <v/>
      </c>
      <c r="T279">
        <f>HYPERLINK("https://klasma.github.io/Logging_2421/kartor/A 14855-2024 karta.png", "A 14855-2024")</f>
        <v/>
      </c>
      <c r="V279">
        <f>HYPERLINK("https://klasma.github.io/Logging_2421/klagomål/A 14855-2024 FSC-klagomål.docx", "A 14855-2024")</f>
        <v/>
      </c>
      <c r="W279">
        <f>HYPERLINK("https://klasma.github.io/Logging_2421/klagomålsmail/A 14855-2024 FSC-klagomål mail.docx", "A 14855-2024")</f>
        <v/>
      </c>
      <c r="X279">
        <f>HYPERLINK("https://klasma.github.io/Logging_2421/tillsyn/A 14855-2024 tillsynsbegäran.docx", "A 14855-2024")</f>
        <v/>
      </c>
      <c r="Y279">
        <f>HYPERLINK("https://klasma.github.io/Logging_2421/tillsynsmail/A 14855-2024 tillsynsbegäran mail.docx", "A 14855-2024")</f>
        <v/>
      </c>
      <c r="Z279">
        <f>HYPERLINK("https://klasma.github.io/Logging_2421/fåglar/A 14855-2024 prioriterade fågelarter.docx", "A 14855-2024")</f>
        <v/>
      </c>
    </row>
    <row r="280" ht="15" customHeight="1">
      <c r="A280" t="inlineStr">
        <is>
          <t>A 18873-2025</t>
        </is>
      </c>
      <c r="B280" s="1" t="n">
        <v>45764</v>
      </c>
      <c r="C280" s="1" t="n">
        <v>46075</v>
      </c>
      <c r="D280" t="inlineStr">
        <is>
          <t>VÄSTERBOTTENS LÄN</t>
        </is>
      </c>
      <c r="E280" t="inlineStr">
        <is>
          <t>VILHELMINA</t>
        </is>
      </c>
      <c r="G280" t="n">
        <v>7.2</v>
      </c>
      <c r="H280" t="n">
        <v>1</v>
      </c>
      <c r="I280" t="n">
        <v>1</v>
      </c>
      <c r="J280" t="n">
        <v>5</v>
      </c>
      <c r="K280" t="n">
        <v>1</v>
      </c>
      <c r="L280" t="n">
        <v>0</v>
      </c>
      <c r="M280" t="n">
        <v>0</v>
      </c>
      <c r="N280" t="n">
        <v>0</v>
      </c>
      <c r="O280" t="n">
        <v>6</v>
      </c>
      <c r="P280" t="n">
        <v>1</v>
      </c>
      <c r="Q280" t="n">
        <v>7</v>
      </c>
      <c r="R280" s="2" t="inlineStr">
        <is>
          <t>Rynkskinn
Doftskinn
Granticka
Harticka
Rosenticka
Tretåig hackspett
Trådticka</t>
        </is>
      </c>
      <c r="S280">
        <f>HYPERLINK("https://klasma.github.io/Logging_2462/artfynd/A 18873-2025 artfynd.xlsx", "A 18873-2025")</f>
        <v/>
      </c>
      <c r="T280">
        <f>HYPERLINK("https://klasma.github.io/Logging_2462/kartor/A 18873-2025 karta.png", "A 18873-2025")</f>
        <v/>
      </c>
      <c r="V280">
        <f>HYPERLINK("https://klasma.github.io/Logging_2462/klagomål/A 18873-2025 FSC-klagomål.docx", "A 18873-2025")</f>
        <v/>
      </c>
      <c r="W280">
        <f>HYPERLINK("https://klasma.github.io/Logging_2462/klagomålsmail/A 18873-2025 FSC-klagomål mail.docx", "A 18873-2025")</f>
        <v/>
      </c>
      <c r="X280">
        <f>HYPERLINK("https://klasma.github.io/Logging_2462/tillsyn/A 18873-2025 tillsynsbegäran.docx", "A 18873-2025")</f>
        <v/>
      </c>
      <c r="Y280">
        <f>HYPERLINK("https://klasma.github.io/Logging_2462/tillsynsmail/A 18873-2025 tillsynsbegäran mail.docx", "A 18873-2025")</f>
        <v/>
      </c>
      <c r="Z280">
        <f>HYPERLINK("https://klasma.github.io/Logging_2462/fåglar/A 18873-2025 prioriterade fågelarter.docx", "A 18873-2025")</f>
        <v/>
      </c>
    </row>
    <row r="281" ht="15" customHeight="1">
      <c r="A281" t="inlineStr">
        <is>
          <t>A 21922-2025</t>
        </is>
      </c>
      <c r="B281" s="1" t="n">
        <v>45784.52596064815</v>
      </c>
      <c r="C281" s="1" t="n">
        <v>46075</v>
      </c>
      <c r="D281" t="inlineStr">
        <is>
          <t>VÄSTERBOTTENS LÄN</t>
        </is>
      </c>
      <c r="E281" t="inlineStr">
        <is>
          <t>UMEÅ</t>
        </is>
      </c>
      <c r="G281" t="n">
        <v>2.6</v>
      </c>
      <c r="H281" t="n">
        <v>1</v>
      </c>
      <c r="I281" t="n">
        <v>2</v>
      </c>
      <c r="J281" t="n">
        <v>2</v>
      </c>
      <c r="K281" t="n">
        <v>3</v>
      </c>
      <c r="L281" t="n">
        <v>0</v>
      </c>
      <c r="M281" t="n">
        <v>0</v>
      </c>
      <c r="N281" t="n">
        <v>0</v>
      </c>
      <c r="O281" t="n">
        <v>5</v>
      </c>
      <c r="P281" t="n">
        <v>3</v>
      </c>
      <c r="Q281" t="n">
        <v>7</v>
      </c>
      <c r="R281" s="2" t="inlineStr">
        <is>
          <t>Blackticka
Ostticka
Rynkskinn
Granticka
Tretåig hackspett
Trådticka
Vedticka</t>
        </is>
      </c>
      <c r="S281">
        <f>HYPERLINK("https://klasma.github.io/Logging_2480/artfynd/A 21922-2025 artfynd.xlsx", "A 21922-2025")</f>
        <v/>
      </c>
      <c r="T281">
        <f>HYPERLINK("https://klasma.github.io/Logging_2480/kartor/A 21922-2025 karta.png", "A 21922-2025")</f>
        <v/>
      </c>
      <c r="V281">
        <f>HYPERLINK("https://klasma.github.io/Logging_2480/klagomål/A 21922-2025 FSC-klagomål.docx", "A 21922-2025")</f>
        <v/>
      </c>
      <c r="W281">
        <f>HYPERLINK("https://klasma.github.io/Logging_2480/klagomålsmail/A 21922-2025 FSC-klagomål mail.docx", "A 21922-2025")</f>
        <v/>
      </c>
      <c r="X281">
        <f>HYPERLINK("https://klasma.github.io/Logging_2480/tillsyn/A 21922-2025 tillsynsbegäran.docx", "A 21922-2025")</f>
        <v/>
      </c>
      <c r="Y281">
        <f>HYPERLINK("https://klasma.github.io/Logging_2480/tillsynsmail/A 21922-2025 tillsynsbegäran mail.docx", "A 21922-2025")</f>
        <v/>
      </c>
      <c r="Z281">
        <f>HYPERLINK("https://klasma.github.io/Logging_2480/fåglar/A 21922-2025 prioriterade fågelarter.docx", "A 21922-2025")</f>
        <v/>
      </c>
    </row>
    <row r="282" ht="15" customHeight="1">
      <c r="A282" t="inlineStr">
        <is>
          <t>A 18298-2021</t>
        </is>
      </c>
      <c r="B282" s="1" t="n">
        <v>44305</v>
      </c>
      <c r="C282" s="1" t="n">
        <v>46075</v>
      </c>
      <c r="D282" t="inlineStr">
        <is>
          <t>VÄSTERBOTTENS LÄN</t>
        </is>
      </c>
      <c r="E282" t="inlineStr">
        <is>
          <t>SKELLEFTEÅ</t>
        </is>
      </c>
      <c r="G282" t="n">
        <v>10.7</v>
      </c>
      <c r="H282" t="n">
        <v>1</v>
      </c>
      <c r="I282" t="n">
        <v>2</v>
      </c>
      <c r="J282" t="n">
        <v>4</v>
      </c>
      <c r="K282" t="n">
        <v>0</v>
      </c>
      <c r="L282" t="n">
        <v>0</v>
      </c>
      <c r="M282" t="n">
        <v>0</v>
      </c>
      <c r="N282" t="n">
        <v>0</v>
      </c>
      <c r="O282" t="n">
        <v>4</v>
      </c>
      <c r="P282" t="n">
        <v>0</v>
      </c>
      <c r="Q282" t="n">
        <v>6</v>
      </c>
      <c r="R282" s="2" t="inlineStr">
        <is>
          <t>Granticka
Harticka
Tretåig hackspett
Ullticka
Trådticka
Vedticka</t>
        </is>
      </c>
      <c r="S282">
        <f>HYPERLINK("https://klasma.github.io/Logging_2482/artfynd/A 18298-2021 artfynd.xlsx", "A 18298-2021")</f>
        <v/>
      </c>
      <c r="T282">
        <f>HYPERLINK("https://klasma.github.io/Logging_2482/kartor/A 18298-2021 karta.png", "A 18298-2021")</f>
        <v/>
      </c>
      <c r="V282">
        <f>HYPERLINK("https://klasma.github.io/Logging_2482/klagomål/A 18298-2021 FSC-klagomål.docx", "A 18298-2021")</f>
        <v/>
      </c>
      <c r="W282">
        <f>HYPERLINK("https://klasma.github.io/Logging_2482/klagomålsmail/A 18298-2021 FSC-klagomål mail.docx", "A 18298-2021")</f>
        <v/>
      </c>
      <c r="X282">
        <f>HYPERLINK("https://klasma.github.io/Logging_2482/tillsyn/A 18298-2021 tillsynsbegäran.docx", "A 18298-2021")</f>
        <v/>
      </c>
      <c r="Y282">
        <f>HYPERLINK("https://klasma.github.io/Logging_2482/tillsynsmail/A 18298-2021 tillsynsbegäran mail.docx", "A 18298-2021")</f>
        <v/>
      </c>
      <c r="Z282">
        <f>HYPERLINK("https://klasma.github.io/Logging_2482/fåglar/A 18298-2021 prioriterade fågelarter.docx", "A 18298-2021")</f>
        <v/>
      </c>
    </row>
    <row r="283" ht="15" customHeight="1">
      <c r="A283" t="inlineStr">
        <is>
          <t>A 36104-2021</t>
        </is>
      </c>
      <c r="B283" s="1" t="n">
        <v>44386</v>
      </c>
      <c r="C283" s="1" t="n">
        <v>46075</v>
      </c>
      <c r="D283" t="inlineStr">
        <is>
          <t>VÄSTERBOTTENS LÄN</t>
        </is>
      </c>
      <c r="E283" t="inlineStr">
        <is>
          <t>SORSELE</t>
        </is>
      </c>
      <c r="G283" t="n">
        <v>6</v>
      </c>
      <c r="H283" t="n">
        <v>6</v>
      </c>
      <c r="I283" t="n">
        <v>0</v>
      </c>
      <c r="J283" t="n">
        <v>6</v>
      </c>
      <c r="K283" t="n">
        <v>0</v>
      </c>
      <c r="L283" t="n">
        <v>0</v>
      </c>
      <c r="M283" t="n">
        <v>0</v>
      </c>
      <c r="N283" t="n">
        <v>0</v>
      </c>
      <c r="O283" t="n">
        <v>6</v>
      </c>
      <c r="P283" t="n">
        <v>0</v>
      </c>
      <c r="Q283" t="n">
        <v>6</v>
      </c>
      <c r="R283" s="2" t="inlineStr">
        <is>
          <t>Björktrast
Buskskvätta
Järpe
Kungsörn
Lappmes
Rödvingetrast</t>
        </is>
      </c>
      <c r="S283">
        <f>HYPERLINK("https://klasma.github.io/Logging_2422/artfynd/A 36104-2021 artfynd.xlsx", "A 36104-2021")</f>
        <v/>
      </c>
      <c r="T283">
        <f>HYPERLINK("https://klasma.github.io/Logging_2422/kartor/A 36104-2021 karta.png", "A 36104-2021")</f>
        <v/>
      </c>
      <c r="V283">
        <f>HYPERLINK("https://klasma.github.io/Logging_2422/klagomål/A 36104-2021 FSC-klagomål.docx", "A 36104-2021")</f>
        <v/>
      </c>
      <c r="W283">
        <f>HYPERLINK("https://klasma.github.io/Logging_2422/klagomålsmail/A 36104-2021 FSC-klagomål mail.docx", "A 36104-2021")</f>
        <v/>
      </c>
      <c r="X283">
        <f>HYPERLINK("https://klasma.github.io/Logging_2422/tillsyn/A 36104-2021 tillsynsbegäran.docx", "A 36104-2021")</f>
        <v/>
      </c>
      <c r="Y283">
        <f>HYPERLINK("https://klasma.github.io/Logging_2422/tillsynsmail/A 36104-2021 tillsynsbegäran mail.docx", "A 36104-2021")</f>
        <v/>
      </c>
      <c r="Z283">
        <f>HYPERLINK("https://klasma.github.io/Logging_2422/fåglar/A 36104-2021 prioriterade fågelarter.docx", "A 36104-2021")</f>
        <v/>
      </c>
    </row>
    <row r="284" ht="15" customHeight="1">
      <c r="A284" t="inlineStr">
        <is>
          <t>A 23008-2022</t>
        </is>
      </c>
      <c r="B284" s="1" t="n">
        <v>44715</v>
      </c>
      <c r="C284" s="1" t="n">
        <v>46075</v>
      </c>
      <c r="D284" t="inlineStr">
        <is>
          <t>VÄSTERBOTTENS LÄN</t>
        </is>
      </c>
      <c r="E284" t="inlineStr">
        <is>
          <t>UMEÅ</t>
        </is>
      </c>
      <c r="G284" t="n">
        <v>2.6</v>
      </c>
      <c r="H284" t="n">
        <v>2</v>
      </c>
      <c r="I284" t="n">
        <v>0</v>
      </c>
      <c r="J284" t="n">
        <v>4</v>
      </c>
      <c r="K284" t="n">
        <v>1</v>
      </c>
      <c r="L284" t="n">
        <v>0</v>
      </c>
      <c r="M284" t="n">
        <v>0</v>
      </c>
      <c r="N284" t="n">
        <v>0</v>
      </c>
      <c r="O284" t="n">
        <v>5</v>
      </c>
      <c r="P284" t="n">
        <v>1</v>
      </c>
      <c r="Q284" t="n">
        <v>6</v>
      </c>
      <c r="R284" s="2" t="inlineStr">
        <is>
          <t>Rynkskinn
Granticka
Leptoporus mollis
Talltita
Ullticka
Revlummer</t>
        </is>
      </c>
      <c r="S284">
        <f>HYPERLINK("https://klasma.github.io/Logging_2480/artfynd/A 23008-2022 artfynd.xlsx", "A 23008-2022")</f>
        <v/>
      </c>
      <c r="T284">
        <f>HYPERLINK("https://klasma.github.io/Logging_2480/kartor/A 23008-2022 karta.png", "A 23008-2022")</f>
        <v/>
      </c>
      <c r="V284">
        <f>HYPERLINK("https://klasma.github.io/Logging_2480/klagomål/A 23008-2022 FSC-klagomål.docx", "A 23008-2022")</f>
        <v/>
      </c>
      <c r="W284">
        <f>HYPERLINK("https://klasma.github.io/Logging_2480/klagomålsmail/A 23008-2022 FSC-klagomål mail.docx", "A 23008-2022")</f>
        <v/>
      </c>
      <c r="X284">
        <f>HYPERLINK("https://klasma.github.io/Logging_2480/tillsyn/A 23008-2022 tillsynsbegäran.docx", "A 23008-2022")</f>
        <v/>
      </c>
      <c r="Y284">
        <f>HYPERLINK("https://klasma.github.io/Logging_2480/tillsynsmail/A 23008-2022 tillsynsbegäran mail.docx", "A 23008-2022")</f>
        <v/>
      </c>
      <c r="Z284">
        <f>HYPERLINK("https://klasma.github.io/Logging_2480/fåglar/A 23008-2022 prioriterade fågelarter.docx", "A 23008-2022")</f>
        <v/>
      </c>
    </row>
    <row r="285" ht="15" customHeight="1">
      <c r="A285" t="inlineStr">
        <is>
          <t>A 44833-2024</t>
        </is>
      </c>
      <c r="B285" s="1" t="n">
        <v>45574.69194444444</v>
      </c>
      <c r="C285" s="1" t="n">
        <v>46075</v>
      </c>
      <c r="D285" t="inlineStr">
        <is>
          <t>VÄSTERBOTTENS LÄN</t>
        </is>
      </c>
      <c r="E285" t="inlineStr">
        <is>
          <t>NORSJÖ</t>
        </is>
      </c>
      <c r="G285" t="n">
        <v>15</v>
      </c>
      <c r="H285" t="n">
        <v>2</v>
      </c>
      <c r="I285" t="n">
        <v>1</v>
      </c>
      <c r="J285" t="n">
        <v>4</v>
      </c>
      <c r="K285" t="n">
        <v>1</v>
      </c>
      <c r="L285" t="n">
        <v>0</v>
      </c>
      <c r="M285" t="n">
        <v>0</v>
      </c>
      <c r="N285" t="n">
        <v>0</v>
      </c>
      <c r="O285" t="n">
        <v>5</v>
      </c>
      <c r="P285" t="n">
        <v>1</v>
      </c>
      <c r="Q285" t="n">
        <v>6</v>
      </c>
      <c r="R285" s="2" t="inlineStr">
        <is>
          <t>Knärot
Gammelgransskål
Garnlav
Granticka
Ullticka
Spindelblomster</t>
        </is>
      </c>
      <c r="S285">
        <f>HYPERLINK("https://klasma.github.io/Logging_2417/artfynd/A 44833-2024 artfynd.xlsx", "A 44833-2024")</f>
        <v/>
      </c>
      <c r="T285">
        <f>HYPERLINK("https://klasma.github.io/Logging_2417/kartor/A 44833-2024 karta.png", "A 44833-2024")</f>
        <v/>
      </c>
      <c r="U285">
        <f>HYPERLINK("https://klasma.github.io/Logging_2417/knärot/A 44833-2024 karta knärot.png", "A 44833-2024")</f>
        <v/>
      </c>
      <c r="V285">
        <f>HYPERLINK("https://klasma.github.io/Logging_2417/klagomål/A 44833-2024 FSC-klagomål.docx", "A 44833-2024")</f>
        <v/>
      </c>
      <c r="W285">
        <f>HYPERLINK("https://klasma.github.io/Logging_2417/klagomålsmail/A 44833-2024 FSC-klagomål mail.docx", "A 44833-2024")</f>
        <v/>
      </c>
      <c r="X285">
        <f>HYPERLINK("https://klasma.github.io/Logging_2417/tillsyn/A 44833-2024 tillsynsbegäran.docx", "A 44833-2024")</f>
        <v/>
      </c>
      <c r="Y285">
        <f>HYPERLINK("https://klasma.github.io/Logging_2417/tillsynsmail/A 44833-2024 tillsynsbegäran mail.docx", "A 44833-2024")</f>
        <v/>
      </c>
    </row>
    <row r="286" ht="15" customHeight="1">
      <c r="A286" t="inlineStr">
        <is>
          <t>A 42835-2021</t>
        </is>
      </c>
      <c r="B286" s="1" t="n">
        <v>44430</v>
      </c>
      <c r="C286" s="1" t="n">
        <v>46075</v>
      </c>
      <c r="D286" t="inlineStr">
        <is>
          <t>VÄSTERBOTTENS LÄN</t>
        </is>
      </c>
      <c r="E286" t="inlineStr">
        <is>
          <t>STORUMAN</t>
        </is>
      </c>
      <c r="F286" t="inlineStr">
        <is>
          <t>Övriga statliga verk och myndigheter</t>
        </is>
      </c>
      <c r="G286" t="n">
        <v>27.1</v>
      </c>
      <c r="H286" t="n">
        <v>2</v>
      </c>
      <c r="I286" t="n">
        <v>4</v>
      </c>
      <c r="J286" t="n">
        <v>2</v>
      </c>
      <c r="K286" t="n">
        <v>0</v>
      </c>
      <c r="L286" t="n">
        <v>0</v>
      </c>
      <c r="M286" t="n">
        <v>0</v>
      </c>
      <c r="N286" t="n">
        <v>0</v>
      </c>
      <c r="O286" t="n">
        <v>2</v>
      </c>
      <c r="P286" t="n">
        <v>0</v>
      </c>
      <c r="Q286" t="n">
        <v>6</v>
      </c>
      <c r="R286" s="2" t="inlineStr">
        <is>
          <t>Garnlav
Tretåig hackspett
Blodvaxing
Taggbräken
Tibast
Tvåblad</t>
        </is>
      </c>
      <c r="S286">
        <f>HYPERLINK("https://klasma.github.io/Logging_2421/artfynd/A 42835-2021 artfynd.xlsx", "A 42835-2021")</f>
        <v/>
      </c>
      <c r="T286">
        <f>HYPERLINK("https://klasma.github.io/Logging_2421/kartor/A 42835-2021 karta.png", "A 42835-2021")</f>
        <v/>
      </c>
      <c r="V286">
        <f>HYPERLINK("https://klasma.github.io/Logging_2421/klagomål/A 42835-2021 FSC-klagomål.docx", "A 42835-2021")</f>
        <v/>
      </c>
      <c r="W286">
        <f>HYPERLINK("https://klasma.github.io/Logging_2421/klagomålsmail/A 42835-2021 FSC-klagomål mail.docx", "A 42835-2021")</f>
        <v/>
      </c>
      <c r="X286">
        <f>HYPERLINK("https://klasma.github.io/Logging_2421/tillsyn/A 42835-2021 tillsynsbegäran.docx", "A 42835-2021")</f>
        <v/>
      </c>
      <c r="Y286">
        <f>HYPERLINK("https://klasma.github.io/Logging_2421/tillsynsmail/A 42835-2021 tillsynsbegäran mail.docx", "A 42835-2021")</f>
        <v/>
      </c>
      <c r="Z286">
        <f>HYPERLINK("https://klasma.github.io/Logging_2421/fåglar/A 42835-2021 prioriterade fågelarter.docx", "A 42835-2021")</f>
        <v/>
      </c>
    </row>
    <row r="287" ht="15" customHeight="1">
      <c r="A287" t="inlineStr">
        <is>
          <t>A 47105-2024</t>
        </is>
      </c>
      <c r="B287" s="1" t="n">
        <v>45586.55159722222</v>
      </c>
      <c r="C287" s="1" t="n">
        <v>46075</v>
      </c>
      <c r="D287" t="inlineStr">
        <is>
          <t>VÄSTERBOTTENS LÄN</t>
        </is>
      </c>
      <c r="E287" t="inlineStr">
        <is>
          <t>VINDELN</t>
        </is>
      </c>
      <c r="F287" t="inlineStr">
        <is>
          <t>Holmen skog AB</t>
        </is>
      </c>
      <c r="G287" t="n">
        <v>7.1</v>
      </c>
      <c r="H287" t="n">
        <v>0</v>
      </c>
      <c r="I287" t="n">
        <v>1</v>
      </c>
      <c r="J287" t="n">
        <v>5</v>
      </c>
      <c r="K287" t="n">
        <v>0</v>
      </c>
      <c r="L287" t="n">
        <v>0</v>
      </c>
      <c r="M287" t="n">
        <v>0</v>
      </c>
      <c r="N287" t="n">
        <v>0</v>
      </c>
      <c r="O287" t="n">
        <v>5</v>
      </c>
      <c r="P287" t="n">
        <v>0</v>
      </c>
      <c r="Q287" t="n">
        <v>6</v>
      </c>
      <c r="R287" s="2" t="inlineStr">
        <is>
          <t>Blanksvart spiklav
Blågrå svartspik
Kolflarnlav
Vedskivlav
Vitgrynig nållav
Dropptaggsvamp</t>
        </is>
      </c>
      <c r="S287">
        <f>HYPERLINK("https://klasma.github.io/Logging_2404/artfynd/A 47105-2024 artfynd.xlsx", "A 47105-2024")</f>
        <v/>
      </c>
      <c r="T287">
        <f>HYPERLINK("https://klasma.github.io/Logging_2404/kartor/A 47105-2024 karta.png", "A 47105-2024")</f>
        <v/>
      </c>
      <c r="V287">
        <f>HYPERLINK("https://klasma.github.io/Logging_2404/klagomål/A 47105-2024 FSC-klagomål.docx", "A 47105-2024")</f>
        <v/>
      </c>
      <c r="W287">
        <f>HYPERLINK("https://klasma.github.io/Logging_2404/klagomålsmail/A 47105-2024 FSC-klagomål mail.docx", "A 47105-2024")</f>
        <v/>
      </c>
      <c r="X287">
        <f>HYPERLINK("https://klasma.github.io/Logging_2404/tillsyn/A 47105-2024 tillsynsbegäran.docx", "A 47105-2024")</f>
        <v/>
      </c>
      <c r="Y287">
        <f>HYPERLINK("https://klasma.github.io/Logging_2404/tillsynsmail/A 47105-2024 tillsynsbegäran mail.docx", "A 47105-2024")</f>
        <v/>
      </c>
    </row>
    <row r="288" ht="15" customHeight="1">
      <c r="A288" t="inlineStr">
        <is>
          <t>A 41330-2024</t>
        </is>
      </c>
      <c r="B288" s="1" t="n">
        <v>45559.66045138889</v>
      </c>
      <c r="C288" s="1" t="n">
        <v>46075</v>
      </c>
      <c r="D288" t="inlineStr">
        <is>
          <t>VÄSTERBOTTENS LÄN</t>
        </is>
      </c>
      <c r="E288" t="inlineStr">
        <is>
          <t>MALÅ</t>
        </is>
      </c>
      <c r="F288" t="inlineStr">
        <is>
          <t>Sveaskog</t>
        </is>
      </c>
      <c r="G288" t="n">
        <v>9.699999999999999</v>
      </c>
      <c r="H288" t="n">
        <v>0</v>
      </c>
      <c r="I288" t="n">
        <v>2</v>
      </c>
      <c r="J288" t="n">
        <v>4</v>
      </c>
      <c r="K288" t="n">
        <v>0</v>
      </c>
      <c r="L288" t="n">
        <v>0</v>
      </c>
      <c r="M288" t="n">
        <v>0</v>
      </c>
      <c r="N288" t="n">
        <v>0</v>
      </c>
      <c r="O288" t="n">
        <v>4</v>
      </c>
      <c r="P288" t="n">
        <v>0</v>
      </c>
      <c r="Q288" t="n">
        <v>6</v>
      </c>
      <c r="R288" s="2" t="inlineStr">
        <is>
          <t>Blå taggsvamp
Kolflarnlav
Orange taggsvamp
Svart taggsvamp
Dropptaggsvamp
Skarp dropptaggsvamp</t>
        </is>
      </c>
      <c r="S288">
        <f>HYPERLINK("https://klasma.github.io/Logging_2418/artfynd/A 41330-2024 artfynd.xlsx", "A 41330-2024")</f>
        <v/>
      </c>
      <c r="T288">
        <f>HYPERLINK("https://klasma.github.io/Logging_2418/kartor/A 41330-2024 karta.png", "A 41330-2024")</f>
        <v/>
      </c>
      <c r="V288">
        <f>HYPERLINK("https://klasma.github.io/Logging_2418/klagomål/A 41330-2024 FSC-klagomål.docx", "A 41330-2024")</f>
        <v/>
      </c>
      <c r="W288">
        <f>HYPERLINK("https://klasma.github.io/Logging_2418/klagomålsmail/A 41330-2024 FSC-klagomål mail.docx", "A 41330-2024")</f>
        <v/>
      </c>
      <c r="X288">
        <f>HYPERLINK("https://klasma.github.io/Logging_2418/tillsyn/A 41330-2024 tillsynsbegäran.docx", "A 41330-2024")</f>
        <v/>
      </c>
      <c r="Y288">
        <f>HYPERLINK("https://klasma.github.io/Logging_2418/tillsynsmail/A 41330-2024 tillsynsbegäran mail.docx", "A 41330-2024")</f>
        <v/>
      </c>
    </row>
    <row r="289" ht="15" customHeight="1">
      <c r="A289" t="inlineStr">
        <is>
          <t>A 19644-2022</t>
        </is>
      </c>
      <c r="B289" s="1" t="n">
        <v>44694</v>
      </c>
      <c r="C289" s="1" t="n">
        <v>46075</v>
      </c>
      <c r="D289" t="inlineStr">
        <is>
          <t>VÄSTERBOTTENS LÄN</t>
        </is>
      </c>
      <c r="E289" t="inlineStr">
        <is>
          <t>BJURHOLM</t>
        </is>
      </c>
      <c r="F289" t="inlineStr">
        <is>
          <t>Kyrkan</t>
        </is>
      </c>
      <c r="G289" t="n">
        <v>3.1</v>
      </c>
      <c r="H289" t="n">
        <v>2</v>
      </c>
      <c r="I289" t="n">
        <v>2</v>
      </c>
      <c r="J289" t="n">
        <v>3</v>
      </c>
      <c r="K289" t="n">
        <v>0</v>
      </c>
      <c r="L289" t="n">
        <v>0</v>
      </c>
      <c r="M289" t="n">
        <v>0</v>
      </c>
      <c r="N289" t="n">
        <v>0</v>
      </c>
      <c r="O289" t="n">
        <v>3</v>
      </c>
      <c r="P289" t="n">
        <v>0</v>
      </c>
      <c r="Q289" t="n">
        <v>6</v>
      </c>
      <c r="R289" s="2" t="inlineStr">
        <is>
          <t>Granticka
Talltita
Ullticka
Skinnlav
Vedticka
Revlummer</t>
        </is>
      </c>
      <c r="S289">
        <f>HYPERLINK("https://klasma.github.io/Logging_2403/artfynd/A 19644-2022 artfynd.xlsx", "A 19644-2022")</f>
        <v/>
      </c>
      <c r="T289">
        <f>HYPERLINK("https://klasma.github.io/Logging_2403/kartor/A 19644-2022 karta.png", "A 19644-2022")</f>
        <v/>
      </c>
      <c r="V289">
        <f>HYPERLINK("https://klasma.github.io/Logging_2403/klagomål/A 19644-2022 FSC-klagomål.docx", "A 19644-2022")</f>
        <v/>
      </c>
      <c r="W289">
        <f>HYPERLINK("https://klasma.github.io/Logging_2403/klagomålsmail/A 19644-2022 FSC-klagomål mail.docx", "A 19644-2022")</f>
        <v/>
      </c>
      <c r="X289">
        <f>HYPERLINK("https://klasma.github.io/Logging_2403/tillsyn/A 19644-2022 tillsynsbegäran.docx", "A 19644-2022")</f>
        <v/>
      </c>
      <c r="Y289">
        <f>HYPERLINK("https://klasma.github.io/Logging_2403/tillsynsmail/A 19644-2022 tillsynsbegäran mail.docx", "A 19644-2022")</f>
        <v/>
      </c>
      <c r="Z289">
        <f>HYPERLINK("https://klasma.github.io/Logging_2403/fåglar/A 19644-2022 prioriterade fågelarter.docx", "A 19644-2022")</f>
        <v/>
      </c>
    </row>
    <row r="290" ht="15" customHeight="1">
      <c r="A290" t="inlineStr">
        <is>
          <t>A 28430-2025</t>
        </is>
      </c>
      <c r="B290" s="1" t="n">
        <v>45819.37813657407</v>
      </c>
      <c r="C290" s="1" t="n">
        <v>46075</v>
      </c>
      <c r="D290" t="inlineStr">
        <is>
          <t>VÄSTERBOTTENS LÄN</t>
        </is>
      </c>
      <c r="E290" t="inlineStr">
        <is>
          <t>UMEÅ</t>
        </is>
      </c>
      <c r="F290" t="inlineStr">
        <is>
          <t>Holmen skog AB</t>
        </is>
      </c>
      <c r="G290" t="n">
        <v>2.4</v>
      </c>
      <c r="H290" t="n">
        <v>1</v>
      </c>
      <c r="I290" t="n">
        <v>1</v>
      </c>
      <c r="J290" t="n">
        <v>4</v>
      </c>
      <c r="K290" t="n">
        <v>1</v>
      </c>
      <c r="L290" t="n">
        <v>0</v>
      </c>
      <c r="M290" t="n">
        <v>0</v>
      </c>
      <c r="N290" t="n">
        <v>0</v>
      </c>
      <c r="O290" t="n">
        <v>5</v>
      </c>
      <c r="P290" t="n">
        <v>1</v>
      </c>
      <c r="Q290" t="n">
        <v>6</v>
      </c>
      <c r="R290" s="2" t="inlineStr">
        <is>
          <t>Rynkskinn
Garnlav
Granticka
Spillkråka
Ullticka
Vedticka</t>
        </is>
      </c>
      <c r="S290">
        <f>HYPERLINK("https://klasma.github.io/Logging_2480/artfynd/A 28430-2025 artfynd.xlsx", "A 28430-2025")</f>
        <v/>
      </c>
      <c r="T290">
        <f>HYPERLINK("https://klasma.github.io/Logging_2480/kartor/A 28430-2025 karta.png", "A 28430-2025")</f>
        <v/>
      </c>
      <c r="V290">
        <f>HYPERLINK("https://klasma.github.io/Logging_2480/klagomål/A 28430-2025 FSC-klagomål.docx", "A 28430-2025")</f>
        <v/>
      </c>
      <c r="W290">
        <f>HYPERLINK("https://klasma.github.io/Logging_2480/klagomålsmail/A 28430-2025 FSC-klagomål mail.docx", "A 28430-2025")</f>
        <v/>
      </c>
      <c r="X290">
        <f>HYPERLINK("https://klasma.github.io/Logging_2480/tillsyn/A 28430-2025 tillsynsbegäran.docx", "A 28430-2025")</f>
        <v/>
      </c>
      <c r="Y290">
        <f>HYPERLINK("https://klasma.github.io/Logging_2480/tillsynsmail/A 28430-2025 tillsynsbegäran mail.docx", "A 28430-2025")</f>
        <v/>
      </c>
      <c r="Z290">
        <f>HYPERLINK("https://klasma.github.io/Logging_2480/fåglar/A 28430-2025 prioriterade fågelarter.docx", "A 28430-2025")</f>
        <v/>
      </c>
    </row>
    <row r="291" ht="15" customHeight="1">
      <c r="A291" t="inlineStr">
        <is>
          <t>A 30076-2025</t>
        </is>
      </c>
      <c r="B291" s="1" t="n">
        <v>45826</v>
      </c>
      <c r="C291" s="1" t="n">
        <v>46075</v>
      </c>
      <c r="D291" t="inlineStr">
        <is>
          <t>VÄSTERBOTTENS LÄN</t>
        </is>
      </c>
      <c r="E291" t="inlineStr">
        <is>
          <t>ÅSELE</t>
        </is>
      </c>
      <c r="F291" t="inlineStr">
        <is>
          <t>Sveaskog</t>
        </is>
      </c>
      <c r="G291" t="n">
        <v>2.4</v>
      </c>
      <c r="H291" t="n">
        <v>0</v>
      </c>
      <c r="I291" t="n">
        <v>0</v>
      </c>
      <c r="J291" t="n">
        <v>6</v>
      </c>
      <c r="K291" t="n">
        <v>0</v>
      </c>
      <c r="L291" t="n">
        <v>0</v>
      </c>
      <c r="M291" t="n">
        <v>0</v>
      </c>
      <c r="N291" t="n">
        <v>0</v>
      </c>
      <c r="O291" t="n">
        <v>6</v>
      </c>
      <c r="P291" t="n">
        <v>0</v>
      </c>
      <c r="Q291" t="n">
        <v>6</v>
      </c>
      <c r="R291" s="2" t="inlineStr">
        <is>
          <t>Blanksvart spiklav
Blågrå svartspik
Garnlav
Mörk kolflarnlav
Vaddporing
Vedskivlav</t>
        </is>
      </c>
      <c r="S291">
        <f>HYPERLINK("https://klasma.github.io/Logging_2463/artfynd/A 30076-2025 artfynd.xlsx", "A 30076-2025")</f>
        <v/>
      </c>
      <c r="T291">
        <f>HYPERLINK("https://klasma.github.io/Logging_2463/kartor/A 30076-2025 karta.png", "A 30076-2025")</f>
        <v/>
      </c>
      <c r="V291">
        <f>HYPERLINK("https://klasma.github.io/Logging_2463/klagomål/A 30076-2025 FSC-klagomål.docx", "A 30076-2025")</f>
        <v/>
      </c>
      <c r="W291">
        <f>HYPERLINK("https://klasma.github.io/Logging_2463/klagomålsmail/A 30076-2025 FSC-klagomål mail.docx", "A 30076-2025")</f>
        <v/>
      </c>
      <c r="X291">
        <f>HYPERLINK("https://klasma.github.io/Logging_2463/tillsyn/A 30076-2025 tillsynsbegäran.docx", "A 30076-2025")</f>
        <v/>
      </c>
      <c r="Y291">
        <f>HYPERLINK("https://klasma.github.io/Logging_2463/tillsynsmail/A 30076-2025 tillsynsbegäran mail.docx", "A 30076-2025")</f>
        <v/>
      </c>
    </row>
    <row r="292" ht="15" customHeight="1">
      <c r="A292" t="inlineStr">
        <is>
          <t>A 18046-2025</t>
        </is>
      </c>
      <c r="B292" s="1" t="n">
        <v>45761.4652199074</v>
      </c>
      <c r="C292" s="1" t="n">
        <v>46075</v>
      </c>
      <c r="D292" t="inlineStr">
        <is>
          <t>VÄSTERBOTTENS LÄN</t>
        </is>
      </c>
      <c r="E292" t="inlineStr">
        <is>
          <t>BJURHOLM</t>
        </is>
      </c>
      <c r="G292" t="n">
        <v>10.9</v>
      </c>
      <c r="H292" t="n">
        <v>2</v>
      </c>
      <c r="I292" t="n">
        <v>2</v>
      </c>
      <c r="J292" t="n">
        <v>3</v>
      </c>
      <c r="K292" t="n">
        <v>0</v>
      </c>
      <c r="L292" t="n">
        <v>0</v>
      </c>
      <c r="M292" t="n">
        <v>0</v>
      </c>
      <c r="N292" t="n">
        <v>0</v>
      </c>
      <c r="O292" t="n">
        <v>3</v>
      </c>
      <c r="P292" t="n">
        <v>0</v>
      </c>
      <c r="Q292" t="n">
        <v>6</v>
      </c>
      <c r="R292" s="2" t="inlineStr">
        <is>
          <t>Garnlav
Granticka
Ullticka
Spindelblomster
Vedticka
Fläcknycklar</t>
        </is>
      </c>
      <c r="S292">
        <f>HYPERLINK("https://klasma.github.io/Logging_2403/artfynd/A 18046-2025 artfynd.xlsx", "A 18046-2025")</f>
        <v/>
      </c>
      <c r="T292">
        <f>HYPERLINK("https://klasma.github.io/Logging_2403/kartor/A 18046-2025 karta.png", "A 18046-2025")</f>
        <v/>
      </c>
      <c r="V292">
        <f>HYPERLINK("https://klasma.github.io/Logging_2403/klagomål/A 18046-2025 FSC-klagomål.docx", "A 18046-2025")</f>
        <v/>
      </c>
      <c r="W292">
        <f>HYPERLINK("https://klasma.github.io/Logging_2403/klagomålsmail/A 18046-2025 FSC-klagomål mail.docx", "A 18046-2025")</f>
        <v/>
      </c>
      <c r="X292">
        <f>HYPERLINK("https://klasma.github.io/Logging_2403/tillsyn/A 18046-2025 tillsynsbegäran.docx", "A 18046-2025")</f>
        <v/>
      </c>
      <c r="Y292">
        <f>HYPERLINK("https://klasma.github.io/Logging_2403/tillsynsmail/A 18046-2025 tillsynsbegäran mail.docx", "A 18046-2025")</f>
        <v/>
      </c>
    </row>
    <row r="293" ht="15" customHeight="1">
      <c r="A293" t="inlineStr">
        <is>
          <t>A 21871-2025</t>
        </is>
      </c>
      <c r="B293" s="1" t="n">
        <v>45784</v>
      </c>
      <c r="C293" s="1" t="n">
        <v>46075</v>
      </c>
      <c r="D293" t="inlineStr">
        <is>
          <t>VÄSTERBOTTENS LÄN</t>
        </is>
      </c>
      <c r="E293" t="inlineStr">
        <is>
          <t>UMEÅ</t>
        </is>
      </c>
      <c r="G293" t="n">
        <v>20.7</v>
      </c>
      <c r="H293" t="n">
        <v>1</v>
      </c>
      <c r="I293" t="n">
        <v>2</v>
      </c>
      <c r="J293" t="n">
        <v>4</v>
      </c>
      <c r="K293" t="n">
        <v>0</v>
      </c>
      <c r="L293" t="n">
        <v>0</v>
      </c>
      <c r="M293" t="n">
        <v>0</v>
      </c>
      <c r="N293" t="n">
        <v>0</v>
      </c>
      <c r="O293" t="n">
        <v>4</v>
      </c>
      <c r="P293" t="n">
        <v>0</v>
      </c>
      <c r="Q293" t="n">
        <v>6</v>
      </c>
      <c r="R293" s="2" t="inlineStr">
        <is>
          <t>Garnlav
Granticka
Talltita
Violettgrå tagellav
Granbarkgnagare
Nästlav</t>
        </is>
      </c>
      <c r="S293">
        <f>HYPERLINK("https://klasma.github.io/Logging_2480/artfynd/A 21871-2025 artfynd.xlsx", "A 21871-2025")</f>
        <v/>
      </c>
      <c r="T293">
        <f>HYPERLINK("https://klasma.github.io/Logging_2480/kartor/A 21871-2025 karta.png", "A 21871-2025")</f>
        <v/>
      </c>
      <c r="V293">
        <f>HYPERLINK("https://klasma.github.io/Logging_2480/klagomål/A 21871-2025 FSC-klagomål.docx", "A 21871-2025")</f>
        <v/>
      </c>
      <c r="W293">
        <f>HYPERLINK("https://klasma.github.io/Logging_2480/klagomålsmail/A 21871-2025 FSC-klagomål mail.docx", "A 21871-2025")</f>
        <v/>
      </c>
      <c r="X293">
        <f>HYPERLINK("https://klasma.github.io/Logging_2480/tillsyn/A 21871-2025 tillsynsbegäran.docx", "A 21871-2025")</f>
        <v/>
      </c>
      <c r="Y293">
        <f>HYPERLINK("https://klasma.github.io/Logging_2480/tillsynsmail/A 21871-2025 tillsynsbegäran mail.docx", "A 21871-2025")</f>
        <v/>
      </c>
      <c r="Z293">
        <f>HYPERLINK("https://klasma.github.io/Logging_2480/fåglar/A 21871-2025 prioriterade fågelarter.docx", "A 21871-2025")</f>
        <v/>
      </c>
    </row>
    <row r="294" ht="15" customHeight="1">
      <c r="A294" t="inlineStr">
        <is>
          <t>A 32758-2025</t>
        </is>
      </c>
      <c r="B294" s="1" t="n">
        <v>45839.43550925926</v>
      </c>
      <c r="C294" s="1" t="n">
        <v>46075</v>
      </c>
      <c r="D294" t="inlineStr">
        <is>
          <t>VÄSTERBOTTENS LÄN</t>
        </is>
      </c>
      <c r="E294" t="inlineStr">
        <is>
          <t>LYCKSELE</t>
        </is>
      </c>
      <c r="G294" t="n">
        <v>4.5</v>
      </c>
      <c r="H294" t="n">
        <v>4</v>
      </c>
      <c r="I294" t="n">
        <v>1</v>
      </c>
      <c r="J294" t="n">
        <v>3</v>
      </c>
      <c r="K294" t="n">
        <v>0</v>
      </c>
      <c r="L294" t="n">
        <v>0</v>
      </c>
      <c r="M294" t="n">
        <v>0</v>
      </c>
      <c r="N294" t="n">
        <v>0</v>
      </c>
      <c r="O294" t="n">
        <v>3</v>
      </c>
      <c r="P294" t="n">
        <v>0</v>
      </c>
      <c r="Q294" t="n">
        <v>6</v>
      </c>
      <c r="R294" s="2" t="inlineStr">
        <is>
          <t>Gammelgransskål
Garnlav
Spillkråka
Spindelblomster
Fläcknycklar
Revlummer</t>
        </is>
      </c>
      <c r="S294">
        <f>HYPERLINK("https://klasma.github.io/Logging_2481/artfynd/A 32758-2025 artfynd.xlsx", "A 32758-2025")</f>
        <v/>
      </c>
      <c r="T294">
        <f>HYPERLINK("https://klasma.github.io/Logging_2481/kartor/A 32758-2025 karta.png", "A 32758-2025")</f>
        <v/>
      </c>
      <c r="V294">
        <f>HYPERLINK("https://klasma.github.io/Logging_2481/klagomål/A 32758-2025 FSC-klagomål.docx", "A 32758-2025")</f>
        <v/>
      </c>
      <c r="W294">
        <f>HYPERLINK("https://klasma.github.io/Logging_2481/klagomålsmail/A 32758-2025 FSC-klagomål mail.docx", "A 32758-2025")</f>
        <v/>
      </c>
      <c r="X294">
        <f>HYPERLINK("https://klasma.github.io/Logging_2481/tillsyn/A 32758-2025 tillsynsbegäran.docx", "A 32758-2025")</f>
        <v/>
      </c>
      <c r="Y294">
        <f>HYPERLINK("https://klasma.github.io/Logging_2481/tillsynsmail/A 32758-2025 tillsynsbegäran mail.docx", "A 32758-2025")</f>
        <v/>
      </c>
      <c r="Z294">
        <f>HYPERLINK("https://klasma.github.io/Logging_2481/fåglar/A 32758-2025 prioriterade fågelarter.docx", "A 32758-2025")</f>
        <v/>
      </c>
    </row>
    <row r="295" ht="15" customHeight="1">
      <c r="A295" t="inlineStr">
        <is>
          <t>A 24496-2025</t>
        </is>
      </c>
      <c r="B295" s="1" t="n">
        <v>45798</v>
      </c>
      <c r="C295" s="1" t="n">
        <v>46075</v>
      </c>
      <c r="D295" t="inlineStr">
        <is>
          <t>VÄSTERBOTTENS LÄN</t>
        </is>
      </c>
      <c r="E295" t="inlineStr">
        <is>
          <t>SKELLEFTEÅ</t>
        </is>
      </c>
      <c r="G295" t="n">
        <v>3</v>
      </c>
      <c r="H295" t="n">
        <v>3</v>
      </c>
      <c r="I295" t="n">
        <v>2</v>
      </c>
      <c r="J295" t="n">
        <v>3</v>
      </c>
      <c r="K295" t="n">
        <v>0</v>
      </c>
      <c r="L295" t="n">
        <v>0</v>
      </c>
      <c r="M295" t="n">
        <v>0</v>
      </c>
      <c r="N295" t="n">
        <v>0</v>
      </c>
      <c r="O295" t="n">
        <v>3</v>
      </c>
      <c r="P295" t="n">
        <v>0</v>
      </c>
      <c r="Q295" t="n">
        <v>6</v>
      </c>
      <c r="R295" s="2" t="inlineStr">
        <is>
          <t>Gammelgransskål
Mindre hackspett
Talltita
Björksplintborre
Vedticka
Kungsfågel</t>
        </is>
      </c>
      <c r="S295">
        <f>HYPERLINK("https://klasma.github.io/Logging_2482/artfynd/A 24496-2025 artfynd.xlsx", "A 24496-2025")</f>
        <v/>
      </c>
      <c r="T295">
        <f>HYPERLINK("https://klasma.github.io/Logging_2482/kartor/A 24496-2025 karta.png", "A 24496-2025")</f>
        <v/>
      </c>
      <c r="V295">
        <f>HYPERLINK("https://klasma.github.io/Logging_2482/klagomål/A 24496-2025 FSC-klagomål.docx", "A 24496-2025")</f>
        <v/>
      </c>
      <c r="W295">
        <f>HYPERLINK("https://klasma.github.io/Logging_2482/klagomålsmail/A 24496-2025 FSC-klagomål mail.docx", "A 24496-2025")</f>
        <v/>
      </c>
      <c r="X295">
        <f>HYPERLINK("https://klasma.github.io/Logging_2482/tillsyn/A 24496-2025 tillsynsbegäran.docx", "A 24496-2025")</f>
        <v/>
      </c>
      <c r="Y295">
        <f>HYPERLINK("https://klasma.github.io/Logging_2482/tillsynsmail/A 24496-2025 tillsynsbegäran mail.docx", "A 24496-2025")</f>
        <v/>
      </c>
      <c r="Z295">
        <f>HYPERLINK("https://klasma.github.io/Logging_2482/fåglar/A 24496-2025 prioriterade fågelarter.docx", "A 24496-2025")</f>
        <v/>
      </c>
    </row>
    <row r="296" ht="15" customHeight="1">
      <c r="A296" t="inlineStr">
        <is>
          <t>A 51569-2024</t>
        </is>
      </c>
      <c r="B296" s="1" t="n">
        <v>45604.62340277778</v>
      </c>
      <c r="C296" s="1" t="n">
        <v>46075</v>
      </c>
      <c r="D296" t="inlineStr">
        <is>
          <t>VÄSTERBOTTENS LÄN</t>
        </is>
      </c>
      <c r="E296" t="inlineStr">
        <is>
          <t>VINDELN</t>
        </is>
      </c>
      <c r="F296" t="inlineStr">
        <is>
          <t>Holmen skog AB</t>
        </is>
      </c>
      <c r="G296" t="n">
        <v>7.3</v>
      </c>
      <c r="H296" t="n">
        <v>0</v>
      </c>
      <c r="I296" t="n">
        <v>1</v>
      </c>
      <c r="J296" t="n">
        <v>5</v>
      </c>
      <c r="K296" t="n">
        <v>0</v>
      </c>
      <c r="L296" t="n">
        <v>0</v>
      </c>
      <c r="M296" t="n">
        <v>0</v>
      </c>
      <c r="N296" t="n">
        <v>0</v>
      </c>
      <c r="O296" t="n">
        <v>5</v>
      </c>
      <c r="P296" t="n">
        <v>0</v>
      </c>
      <c r="Q296" t="n">
        <v>6</v>
      </c>
      <c r="R296" s="2" t="inlineStr">
        <is>
          <t>Blanksvart spiklav
Blågrå svartspik
Kolflarnlav
Vedskivlav
Vitgrynig nållav
Dropptaggsvamp</t>
        </is>
      </c>
      <c r="S296">
        <f>HYPERLINK("https://klasma.github.io/Logging_2404/artfynd/A 51569-2024 artfynd.xlsx", "A 51569-2024")</f>
        <v/>
      </c>
      <c r="T296">
        <f>HYPERLINK("https://klasma.github.io/Logging_2404/kartor/A 51569-2024 karta.png", "A 51569-2024")</f>
        <v/>
      </c>
      <c r="V296">
        <f>HYPERLINK("https://klasma.github.io/Logging_2404/klagomål/A 51569-2024 FSC-klagomål.docx", "A 51569-2024")</f>
        <v/>
      </c>
      <c r="W296">
        <f>HYPERLINK("https://klasma.github.io/Logging_2404/klagomålsmail/A 51569-2024 FSC-klagomål mail.docx", "A 51569-2024")</f>
        <v/>
      </c>
      <c r="X296">
        <f>HYPERLINK("https://klasma.github.io/Logging_2404/tillsyn/A 51569-2024 tillsynsbegäran.docx", "A 51569-2024")</f>
        <v/>
      </c>
      <c r="Y296">
        <f>HYPERLINK("https://klasma.github.io/Logging_2404/tillsynsmail/A 51569-2024 tillsynsbegäran mail.docx", "A 51569-2024")</f>
        <v/>
      </c>
    </row>
    <row r="297" ht="15" customHeight="1">
      <c r="A297" t="inlineStr">
        <is>
          <t>A 2801-2024</t>
        </is>
      </c>
      <c r="B297" s="1" t="n">
        <v>45314</v>
      </c>
      <c r="C297" s="1" t="n">
        <v>46075</v>
      </c>
      <c r="D297" t="inlineStr">
        <is>
          <t>VÄSTERBOTTENS LÄN</t>
        </is>
      </c>
      <c r="E297" t="inlineStr">
        <is>
          <t>SKELLEFTEÅ</t>
        </is>
      </c>
      <c r="F297" t="inlineStr">
        <is>
          <t>Sveaskog</t>
        </is>
      </c>
      <c r="G297" t="n">
        <v>10.8</v>
      </c>
      <c r="H297" t="n">
        <v>0</v>
      </c>
      <c r="I297" t="n">
        <v>1</v>
      </c>
      <c r="J297" t="n">
        <v>5</v>
      </c>
      <c r="K297" t="n">
        <v>0</v>
      </c>
      <c r="L297" t="n">
        <v>0</v>
      </c>
      <c r="M297" t="n">
        <v>0</v>
      </c>
      <c r="N297" t="n">
        <v>0</v>
      </c>
      <c r="O297" t="n">
        <v>5</v>
      </c>
      <c r="P297" t="n">
        <v>0</v>
      </c>
      <c r="Q297" t="n">
        <v>6</v>
      </c>
      <c r="R297" s="2" t="inlineStr">
        <is>
          <t>Hapalopilus aurantiacus
Motaggsvamp
Mörk kolflarnlav
Vaddporing
Vitplätt
Dropptaggsvamp</t>
        </is>
      </c>
      <c r="S297">
        <f>HYPERLINK("https://klasma.github.io/Logging_2482/artfynd/A 2801-2024 artfynd.xlsx", "A 2801-2024")</f>
        <v/>
      </c>
      <c r="T297">
        <f>HYPERLINK("https://klasma.github.io/Logging_2482/kartor/A 2801-2024 karta.png", "A 2801-2024")</f>
        <v/>
      </c>
      <c r="V297">
        <f>HYPERLINK("https://klasma.github.io/Logging_2482/klagomål/A 2801-2024 FSC-klagomål.docx", "A 2801-2024")</f>
        <v/>
      </c>
      <c r="W297">
        <f>HYPERLINK("https://klasma.github.io/Logging_2482/klagomålsmail/A 2801-2024 FSC-klagomål mail.docx", "A 2801-2024")</f>
        <v/>
      </c>
      <c r="X297">
        <f>HYPERLINK("https://klasma.github.io/Logging_2482/tillsyn/A 2801-2024 tillsynsbegäran.docx", "A 2801-2024")</f>
        <v/>
      </c>
      <c r="Y297">
        <f>HYPERLINK("https://klasma.github.io/Logging_2482/tillsynsmail/A 2801-2024 tillsynsbegäran mail.docx", "A 2801-2024")</f>
        <v/>
      </c>
    </row>
    <row r="298" ht="15" customHeight="1">
      <c r="A298" t="inlineStr">
        <is>
          <t>A 62346-2023</t>
        </is>
      </c>
      <c r="B298" s="1" t="n">
        <v>45267</v>
      </c>
      <c r="C298" s="1" t="n">
        <v>46075</v>
      </c>
      <c r="D298" t="inlineStr">
        <is>
          <t>VÄSTERBOTTENS LÄN</t>
        </is>
      </c>
      <c r="E298" t="inlineStr">
        <is>
          <t>SKELLEFTEÅ</t>
        </is>
      </c>
      <c r="G298" t="n">
        <v>5.1</v>
      </c>
      <c r="H298" t="n">
        <v>3</v>
      </c>
      <c r="I298" t="n">
        <v>1</v>
      </c>
      <c r="J298" t="n">
        <v>5</v>
      </c>
      <c r="K298" t="n">
        <v>0</v>
      </c>
      <c r="L298" t="n">
        <v>0</v>
      </c>
      <c r="M298" t="n">
        <v>0</v>
      </c>
      <c r="N298" t="n">
        <v>0</v>
      </c>
      <c r="O298" t="n">
        <v>5</v>
      </c>
      <c r="P298" t="n">
        <v>0</v>
      </c>
      <c r="Q298" t="n">
        <v>6</v>
      </c>
      <c r="R298" s="2" t="inlineStr">
        <is>
          <t>Garnlav
Talltita
Tretåig hackspett
Ullticka
Violettgrå tagellav
Spindelblomster</t>
        </is>
      </c>
      <c r="S298">
        <f>HYPERLINK("https://klasma.github.io/Logging_2482/artfynd/A 62346-2023 artfynd.xlsx", "A 62346-2023")</f>
        <v/>
      </c>
      <c r="T298">
        <f>HYPERLINK("https://klasma.github.io/Logging_2482/kartor/A 62346-2023 karta.png", "A 62346-2023")</f>
        <v/>
      </c>
      <c r="V298">
        <f>HYPERLINK("https://klasma.github.io/Logging_2482/klagomål/A 62346-2023 FSC-klagomål.docx", "A 62346-2023")</f>
        <v/>
      </c>
      <c r="W298">
        <f>HYPERLINK("https://klasma.github.io/Logging_2482/klagomålsmail/A 62346-2023 FSC-klagomål mail.docx", "A 62346-2023")</f>
        <v/>
      </c>
      <c r="X298">
        <f>HYPERLINK("https://klasma.github.io/Logging_2482/tillsyn/A 62346-2023 tillsynsbegäran.docx", "A 62346-2023")</f>
        <v/>
      </c>
      <c r="Y298">
        <f>HYPERLINK("https://klasma.github.io/Logging_2482/tillsynsmail/A 62346-2023 tillsynsbegäran mail.docx", "A 62346-2023")</f>
        <v/>
      </c>
      <c r="Z298">
        <f>HYPERLINK("https://klasma.github.io/Logging_2482/fåglar/A 62346-2023 prioriterade fågelarter.docx", "A 62346-2023")</f>
        <v/>
      </c>
    </row>
    <row r="299" ht="15" customHeight="1">
      <c r="A299" t="inlineStr">
        <is>
          <t>A 51686-2025</t>
        </is>
      </c>
      <c r="B299" s="1" t="n">
        <v>45951.52231481481</v>
      </c>
      <c r="C299" s="1" t="n">
        <v>46075</v>
      </c>
      <c r="D299" t="inlineStr">
        <is>
          <t>VÄSTERBOTTENS LÄN</t>
        </is>
      </c>
      <c r="E299" t="inlineStr">
        <is>
          <t>SKELLEFTEÅ</t>
        </is>
      </c>
      <c r="G299" t="n">
        <v>3.5</v>
      </c>
      <c r="H299" t="n">
        <v>3</v>
      </c>
      <c r="I299" t="n">
        <v>1</v>
      </c>
      <c r="J299" t="n">
        <v>5</v>
      </c>
      <c r="K299" t="n">
        <v>0</v>
      </c>
      <c r="L299" t="n">
        <v>0</v>
      </c>
      <c r="M299" t="n">
        <v>0</v>
      </c>
      <c r="N299" t="n">
        <v>0</v>
      </c>
      <c r="O299" t="n">
        <v>5</v>
      </c>
      <c r="P299" t="n">
        <v>0</v>
      </c>
      <c r="Q299" t="n">
        <v>6</v>
      </c>
      <c r="R299" s="2" t="inlineStr">
        <is>
          <t>Garnlav
Granticka
Spillkråka
Tretåig hackspett
Ullticka
Spindelblomster</t>
        </is>
      </c>
      <c r="S299">
        <f>HYPERLINK("https://klasma.github.io/Logging_2482/artfynd/A 51686-2025 artfynd.xlsx", "A 51686-2025")</f>
        <v/>
      </c>
      <c r="T299">
        <f>HYPERLINK("https://klasma.github.io/Logging_2482/kartor/A 51686-2025 karta.png", "A 51686-2025")</f>
        <v/>
      </c>
      <c r="V299">
        <f>HYPERLINK("https://klasma.github.io/Logging_2482/klagomål/A 51686-2025 FSC-klagomål.docx", "A 51686-2025")</f>
        <v/>
      </c>
      <c r="W299">
        <f>HYPERLINK("https://klasma.github.io/Logging_2482/klagomålsmail/A 51686-2025 FSC-klagomål mail.docx", "A 51686-2025")</f>
        <v/>
      </c>
      <c r="X299">
        <f>HYPERLINK("https://klasma.github.io/Logging_2482/tillsyn/A 51686-2025 tillsynsbegäran.docx", "A 51686-2025")</f>
        <v/>
      </c>
      <c r="Y299">
        <f>HYPERLINK("https://klasma.github.io/Logging_2482/tillsynsmail/A 51686-2025 tillsynsbegäran mail.docx", "A 51686-2025")</f>
        <v/>
      </c>
      <c r="Z299">
        <f>HYPERLINK("https://klasma.github.io/Logging_2482/fåglar/A 51686-2025 prioriterade fågelarter.docx", "A 51686-2025")</f>
        <v/>
      </c>
    </row>
    <row r="300" ht="15" customHeight="1">
      <c r="A300" t="inlineStr">
        <is>
          <t>A 38540-2024</t>
        </is>
      </c>
      <c r="B300" s="1" t="n">
        <v>45546</v>
      </c>
      <c r="C300" s="1" t="n">
        <v>46075</v>
      </c>
      <c r="D300" t="inlineStr">
        <is>
          <t>VÄSTERBOTTENS LÄN</t>
        </is>
      </c>
      <c r="E300" t="inlineStr">
        <is>
          <t>VILHELMINA</t>
        </is>
      </c>
      <c r="G300" t="n">
        <v>2.7</v>
      </c>
      <c r="H300" t="n">
        <v>1</v>
      </c>
      <c r="I300" t="n">
        <v>1</v>
      </c>
      <c r="J300" t="n">
        <v>4</v>
      </c>
      <c r="K300" t="n">
        <v>1</v>
      </c>
      <c r="L300" t="n">
        <v>0</v>
      </c>
      <c r="M300" t="n">
        <v>0</v>
      </c>
      <c r="N300" t="n">
        <v>0</v>
      </c>
      <c r="O300" t="n">
        <v>5</v>
      </c>
      <c r="P300" t="n">
        <v>1</v>
      </c>
      <c r="Q300" t="n">
        <v>6</v>
      </c>
      <c r="R300" s="2" t="inlineStr">
        <is>
          <t>Rynkskinn
Doftskinn
Gammelgransskål
Granticka
Tretåig hackspett
Skogshakmossa</t>
        </is>
      </c>
      <c r="S300">
        <f>HYPERLINK("https://klasma.github.io/Logging_2462/artfynd/A 38540-2024 artfynd.xlsx", "A 38540-2024")</f>
        <v/>
      </c>
      <c r="T300">
        <f>HYPERLINK("https://klasma.github.io/Logging_2462/kartor/A 38540-2024 karta.png", "A 38540-2024")</f>
        <v/>
      </c>
      <c r="V300">
        <f>HYPERLINK("https://klasma.github.io/Logging_2462/klagomål/A 38540-2024 FSC-klagomål.docx", "A 38540-2024")</f>
        <v/>
      </c>
      <c r="W300">
        <f>HYPERLINK("https://klasma.github.io/Logging_2462/klagomålsmail/A 38540-2024 FSC-klagomål mail.docx", "A 38540-2024")</f>
        <v/>
      </c>
      <c r="X300">
        <f>HYPERLINK("https://klasma.github.io/Logging_2462/tillsyn/A 38540-2024 tillsynsbegäran.docx", "A 38540-2024")</f>
        <v/>
      </c>
      <c r="Y300">
        <f>HYPERLINK("https://klasma.github.io/Logging_2462/tillsynsmail/A 38540-2024 tillsynsbegäran mail.docx", "A 38540-2024")</f>
        <v/>
      </c>
      <c r="Z300">
        <f>HYPERLINK("https://klasma.github.io/Logging_2462/fåglar/A 38540-2024 prioriterade fågelarter.docx", "A 38540-2024")</f>
        <v/>
      </c>
    </row>
    <row r="301" ht="15" customHeight="1">
      <c r="A301" t="inlineStr">
        <is>
          <t>A 50969-2022</t>
        </is>
      </c>
      <c r="B301" s="1" t="n">
        <v>44867</v>
      </c>
      <c r="C301" s="1" t="n">
        <v>46075</v>
      </c>
      <c r="D301" t="inlineStr">
        <is>
          <t>VÄSTERBOTTENS LÄN</t>
        </is>
      </c>
      <c r="E301" t="inlineStr">
        <is>
          <t>UMEÅ</t>
        </is>
      </c>
      <c r="G301" t="n">
        <v>3.5</v>
      </c>
      <c r="H301" t="n">
        <v>0</v>
      </c>
      <c r="I301" t="n">
        <v>1</v>
      </c>
      <c r="J301" t="n">
        <v>4</v>
      </c>
      <c r="K301" t="n">
        <v>1</v>
      </c>
      <c r="L301" t="n">
        <v>0</v>
      </c>
      <c r="M301" t="n">
        <v>0</v>
      </c>
      <c r="N301" t="n">
        <v>0</v>
      </c>
      <c r="O301" t="n">
        <v>5</v>
      </c>
      <c r="P301" t="n">
        <v>1</v>
      </c>
      <c r="Q301" t="n">
        <v>6</v>
      </c>
      <c r="R301" s="2" t="inlineStr">
        <is>
          <t>Goliatmusseron
Motaggsvamp
Orange taggsvamp
Vedskivlav
Vitplätt
Dropptaggsvamp</t>
        </is>
      </c>
      <c r="S301">
        <f>HYPERLINK("https://klasma.github.io/Logging_2480/artfynd/A 50969-2022 artfynd.xlsx", "A 50969-2022")</f>
        <v/>
      </c>
      <c r="T301">
        <f>HYPERLINK("https://klasma.github.io/Logging_2480/kartor/A 50969-2022 karta.png", "A 50969-2022")</f>
        <v/>
      </c>
      <c r="V301">
        <f>HYPERLINK("https://klasma.github.io/Logging_2480/klagomål/A 50969-2022 FSC-klagomål.docx", "A 50969-2022")</f>
        <v/>
      </c>
      <c r="W301">
        <f>HYPERLINK("https://klasma.github.io/Logging_2480/klagomålsmail/A 50969-2022 FSC-klagomål mail.docx", "A 50969-2022")</f>
        <v/>
      </c>
      <c r="X301">
        <f>HYPERLINK("https://klasma.github.io/Logging_2480/tillsyn/A 50969-2022 tillsynsbegäran.docx", "A 50969-2022")</f>
        <v/>
      </c>
      <c r="Y301">
        <f>HYPERLINK("https://klasma.github.io/Logging_2480/tillsynsmail/A 50969-2022 tillsynsbegäran mail.docx", "A 50969-2022")</f>
        <v/>
      </c>
    </row>
    <row r="302" ht="15" customHeight="1">
      <c r="A302" t="inlineStr">
        <is>
          <t>A 4192-2025</t>
        </is>
      </c>
      <c r="B302" s="1" t="n">
        <v>45685</v>
      </c>
      <c r="C302" s="1" t="n">
        <v>46075</v>
      </c>
      <c r="D302" t="inlineStr">
        <is>
          <t>VÄSTERBOTTENS LÄN</t>
        </is>
      </c>
      <c r="E302" t="inlineStr">
        <is>
          <t>SORSELE</t>
        </is>
      </c>
      <c r="G302" t="n">
        <v>2.1</v>
      </c>
      <c r="H302" t="n">
        <v>0</v>
      </c>
      <c r="I302" t="n">
        <v>0</v>
      </c>
      <c r="J302" t="n">
        <v>6</v>
      </c>
      <c r="K302" t="n">
        <v>0</v>
      </c>
      <c r="L302" t="n">
        <v>0</v>
      </c>
      <c r="M302" t="n">
        <v>0</v>
      </c>
      <c r="N302" t="n">
        <v>0</v>
      </c>
      <c r="O302" t="n">
        <v>6</v>
      </c>
      <c r="P302" t="n">
        <v>0</v>
      </c>
      <c r="Q302" t="n">
        <v>6</v>
      </c>
      <c r="R302" s="2" t="inlineStr">
        <is>
          <t>Gammelgransskål
Garnlav
Harticka
Rosenticka
Vitgrynig nållav
Vitskaftad svartspik</t>
        </is>
      </c>
      <c r="S302">
        <f>HYPERLINK("https://klasma.github.io/Logging_2422/artfynd/A 4192-2025 artfynd.xlsx", "A 4192-2025")</f>
        <v/>
      </c>
      <c r="T302">
        <f>HYPERLINK("https://klasma.github.io/Logging_2422/kartor/A 4192-2025 karta.png", "A 4192-2025")</f>
        <v/>
      </c>
      <c r="V302">
        <f>HYPERLINK("https://klasma.github.io/Logging_2422/klagomål/A 4192-2025 FSC-klagomål.docx", "A 4192-2025")</f>
        <v/>
      </c>
      <c r="W302">
        <f>HYPERLINK("https://klasma.github.io/Logging_2422/klagomålsmail/A 4192-2025 FSC-klagomål mail.docx", "A 4192-2025")</f>
        <v/>
      </c>
      <c r="X302">
        <f>HYPERLINK("https://klasma.github.io/Logging_2422/tillsyn/A 4192-2025 tillsynsbegäran.docx", "A 4192-2025")</f>
        <v/>
      </c>
      <c r="Y302">
        <f>HYPERLINK("https://klasma.github.io/Logging_2422/tillsynsmail/A 4192-2025 tillsynsbegäran mail.docx", "A 4192-2025")</f>
        <v/>
      </c>
    </row>
    <row r="303" ht="15" customHeight="1">
      <c r="A303" t="inlineStr">
        <is>
          <t>A 902-2023</t>
        </is>
      </c>
      <c r="B303" s="1" t="n">
        <v>44931.92561342593</v>
      </c>
      <c r="C303" s="1" t="n">
        <v>46075</v>
      </c>
      <c r="D303" t="inlineStr">
        <is>
          <t>VÄSTERBOTTENS LÄN</t>
        </is>
      </c>
      <c r="E303" t="inlineStr">
        <is>
          <t>SKELLEFTEÅ</t>
        </is>
      </c>
      <c r="G303" t="n">
        <v>7.4</v>
      </c>
      <c r="H303" t="n">
        <v>2</v>
      </c>
      <c r="I303" t="n">
        <v>1</v>
      </c>
      <c r="J303" t="n">
        <v>3</v>
      </c>
      <c r="K303" t="n">
        <v>0</v>
      </c>
      <c r="L303" t="n">
        <v>0</v>
      </c>
      <c r="M303" t="n">
        <v>0</v>
      </c>
      <c r="N303" t="n">
        <v>0</v>
      </c>
      <c r="O303" t="n">
        <v>3</v>
      </c>
      <c r="P303" t="n">
        <v>0</v>
      </c>
      <c r="Q303" t="n">
        <v>6</v>
      </c>
      <c r="R303" s="2" t="inlineStr">
        <is>
          <t>Garnlav
Granticka
Lunglav
Luddlav
Orre
Tjäder</t>
        </is>
      </c>
      <c r="S303">
        <f>HYPERLINK("https://klasma.github.io/Logging_2482/artfynd/A 902-2023 artfynd.xlsx", "A 902-2023")</f>
        <v/>
      </c>
      <c r="T303">
        <f>HYPERLINK("https://klasma.github.io/Logging_2482/kartor/A 902-2023 karta.png", "A 902-2023")</f>
        <v/>
      </c>
      <c r="V303">
        <f>HYPERLINK("https://klasma.github.io/Logging_2482/klagomål/A 902-2023 FSC-klagomål.docx", "A 902-2023")</f>
        <v/>
      </c>
      <c r="W303">
        <f>HYPERLINK("https://klasma.github.io/Logging_2482/klagomålsmail/A 902-2023 FSC-klagomål mail.docx", "A 902-2023")</f>
        <v/>
      </c>
      <c r="X303">
        <f>HYPERLINK("https://klasma.github.io/Logging_2482/tillsyn/A 902-2023 tillsynsbegäran.docx", "A 902-2023")</f>
        <v/>
      </c>
      <c r="Y303">
        <f>HYPERLINK("https://klasma.github.io/Logging_2482/tillsynsmail/A 902-2023 tillsynsbegäran mail.docx", "A 902-2023")</f>
        <v/>
      </c>
      <c r="Z303">
        <f>HYPERLINK("https://klasma.github.io/Logging_2482/fåglar/A 902-2023 prioriterade fågelarter.docx", "A 902-2023")</f>
        <v/>
      </c>
    </row>
    <row r="304" ht="15" customHeight="1">
      <c r="A304" t="inlineStr">
        <is>
          <t>A 9217-2025</t>
        </is>
      </c>
      <c r="B304" s="1" t="n">
        <v>45714</v>
      </c>
      <c r="C304" s="1" t="n">
        <v>46075</v>
      </c>
      <c r="D304" t="inlineStr">
        <is>
          <t>VÄSTERBOTTENS LÄN</t>
        </is>
      </c>
      <c r="E304" t="inlineStr">
        <is>
          <t>STORUMAN</t>
        </is>
      </c>
      <c r="G304" t="n">
        <v>49.9</v>
      </c>
      <c r="H304" t="n">
        <v>0</v>
      </c>
      <c r="I304" t="n">
        <v>0</v>
      </c>
      <c r="J304" t="n">
        <v>6</v>
      </c>
      <c r="K304" t="n">
        <v>0</v>
      </c>
      <c r="L304" t="n">
        <v>0</v>
      </c>
      <c r="M304" t="n">
        <v>0</v>
      </c>
      <c r="N304" t="n">
        <v>0</v>
      </c>
      <c r="O304" t="n">
        <v>6</v>
      </c>
      <c r="P304" t="n">
        <v>0</v>
      </c>
      <c r="Q304" t="n">
        <v>6</v>
      </c>
      <c r="R304" s="2" t="inlineStr">
        <is>
          <t>Gammelgransskål
Garnlav
Gränsticka
Lunglav
Rosenticka
Skrovellav</t>
        </is>
      </c>
      <c r="S304">
        <f>HYPERLINK("https://klasma.github.io/Logging_2421/artfynd/A 9217-2025 artfynd.xlsx", "A 9217-2025")</f>
        <v/>
      </c>
      <c r="T304">
        <f>HYPERLINK("https://klasma.github.io/Logging_2421/kartor/A 9217-2025 karta.png", "A 9217-2025")</f>
        <v/>
      </c>
      <c r="V304">
        <f>HYPERLINK("https://klasma.github.io/Logging_2421/klagomål/A 9217-2025 FSC-klagomål.docx", "A 9217-2025")</f>
        <v/>
      </c>
      <c r="W304">
        <f>HYPERLINK("https://klasma.github.io/Logging_2421/klagomålsmail/A 9217-2025 FSC-klagomål mail.docx", "A 9217-2025")</f>
        <v/>
      </c>
      <c r="X304">
        <f>HYPERLINK("https://klasma.github.io/Logging_2421/tillsyn/A 9217-2025 tillsynsbegäran.docx", "A 9217-2025")</f>
        <v/>
      </c>
      <c r="Y304">
        <f>HYPERLINK("https://klasma.github.io/Logging_2421/tillsynsmail/A 9217-2025 tillsynsbegäran mail.docx", "A 9217-2025")</f>
        <v/>
      </c>
    </row>
    <row r="305" ht="15" customHeight="1">
      <c r="A305" t="inlineStr">
        <is>
          <t>A 49135-2023</t>
        </is>
      </c>
      <c r="B305" s="1" t="n">
        <v>45205</v>
      </c>
      <c r="C305" s="1" t="n">
        <v>46075</v>
      </c>
      <c r="D305" t="inlineStr">
        <is>
          <t>VÄSTERBOTTENS LÄN</t>
        </is>
      </c>
      <c r="E305" t="inlineStr">
        <is>
          <t>VILHELMINA</t>
        </is>
      </c>
      <c r="F305" t="inlineStr">
        <is>
          <t>Allmännings- och besparingsskogar</t>
        </is>
      </c>
      <c r="G305" t="n">
        <v>5.1</v>
      </c>
      <c r="H305" t="n">
        <v>1</v>
      </c>
      <c r="I305" t="n">
        <v>1</v>
      </c>
      <c r="J305" t="n">
        <v>5</v>
      </c>
      <c r="K305" t="n">
        <v>0</v>
      </c>
      <c r="L305" t="n">
        <v>0</v>
      </c>
      <c r="M305" t="n">
        <v>0</v>
      </c>
      <c r="N305" t="n">
        <v>0</v>
      </c>
      <c r="O305" t="n">
        <v>5</v>
      </c>
      <c r="P305" t="n">
        <v>0</v>
      </c>
      <c r="Q305" t="n">
        <v>6</v>
      </c>
      <c r="R305" s="2" t="inlineStr">
        <is>
          <t>Blanksvart spiklav
Blågrå svartspik
Garnlav
Skrovellav
Tretåig hackspett
Skinnlav</t>
        </is>
      </c>
      <c r="S305">
        <f>HYPERLINK("https://klasma.github.io/Logging_2462/artfynd/A 49135-2023 artfynd.xlsx", "A 49135-2023")</f>
        <v/>
      </c>
      <c r="T305">
        <f>HYPERLINK("https://klasma.github.io/Logging_2462/kartor/A 49135-2023 karta.png", "A 49135-2023")</f>
        <v/>
      </c>
      <c r="V305">
        <f>HYPERLINK("https://klasma.github.io/Logging_2462/klagomål/A 49135-2023 FSC-klagomål.docx", "A 49135-2023")</f>
        <v/>
      </c>
      <c r="W305">
        <f>HYPERLINK("https://klasma.github.io/Logging_2462/klagomålsmail/A 49135-2023 FSC-klagomål mail.docx", "A 49135-2023")</f>
        <v/>
      </c>
      <c r="X305">
        <f>HYPERLINK("https://klasma.github.io/Logging_2462/tillsyn/A 49135-2023 tillsynsbegäran.docx", "A 49135-2023")</f>
        <v/>
      </c>
      <c r="Y305">
        <f>HYPERLINK("https://klasma.github.io/Logging_2462/tillsynsmail/A 49135-2023 tillsynsbegäran mail.docx", "A 49135-2023")</f>
        <v/>
      </c>
      <c r="Z305">
        <f>HYPERLINK("https://klasma.github.io/Logging_2462/fåglar/A 49135-2023 prioriterade fågelarter.docx", "A 49135-2023")</f>
        <v/>
      </c>
    </row>
    <row r="306" ht="15" customHeight="1">
      <c r="A306" t="inlineStr">
        <is>
          <t>A 58497-2024</t>
        </is>
      </c>
      <c r="B306" s="1" t="n">
        <v>45635</v>
      </c>
      <c r="C306" s="1" t="n">
        <v>46075</v>
      </c>
      <c r="D306" t="inlineStr">
        <is>
          <t>VÄSTERBOTTENS LÄN</t>
        </is>
      </c>
      <c r="E306" t="inlineStr">
        <is>
          <t>SORSELE</t>
        </is>
      </c>
      <c r="G306" t="n">
        <v>4.1</v>
      </c>
      <c r="H306" t="n">
        <v>0</v>
      </c>
      <c r="I306" t="n">
        <v>0</v>
      </c>
      <c r="J306" t="n">
        <v>6</v>
      </c>
      <c r="K306" t="n">
        <v>0</v>
      </c>
      <c r="L306" t="n">
        <v>0</v>
      </c>
      <c r="M306" t="n">
        <v>0</v>
      </c>
      <c r="N306" t="n">
        <v>0</v>
      </c>
      <c r="O306" t="n">
        <v>6</v>
      </c>
      <c r="P306" t="n">
        <v>0</v>
      </c>
      <c r="Q306" t="n">
        <v>6</v>
      </c>
      <c r="R306" s="2" t="inlineStr">
        <is>
          <t>Garnlav
Granticka
Harticka
Knottrig blåslav
Vitgrynig nållav
Vitskaftad svartspik</t>
        </is>
      </c>
      <c r="S306">
        <f>HYPERLINK("https://klasma.github.io/Logging_2422/artfynd/A 58497-2024 artfynd.xlsx", "A 58497-2024")</f>
        <v/>
      </c>
      <c r="T306">
        <f>HYPERLINK("https://klasma.github.io/Logging_2422/kartor/A 58497-2024 karta.png", "A 58497-2024")</f>
        <v/>
      </c>
      <c r="V306">
        <f>HYPERLINK("https://klasma.github.io/Logging_2422/klagomål/A 58497-2024 FSC-klagomål.docx", "A 58497-2024")</f>
        <v/>
      </c>
      <c r="W306">
        <f>HYPERLINK("https://klasma.github.io/Logging_2422/klagomålsmail/A 58497-2024 FSC-klagomål mail.docx", "A 58497-2024")</f>
        <v/>
      </c>
      <c r="X306">
        <f>HYPERLINK("https://klasma.github.io/Logging_2422/tillsyn/A 58497-2024 tillsynsbegäran.docx", "A 58497-2024")</f>
        <v/>
      </c>
      <c r="Y306">
        <f>HYPERLINK("https://klasma.github.io/Logging_2422/tillsynsmail/A 58497-2024 tillsynsbegäran mail.docx", "A 58497-2024")</f>
        <v/>
      </c>
    </row>
    <row r="307" ht="15" customHeight="1">
      <c r="A307" t="inlineStr">
        <is>
          <t>A 58498-2024</t>
        </is>
      </c>
      <c r="B307" s="1" t="n">
        <v>45635</v>
      </c>
      <c r="C307" s="1" t="n">
        <v>46075</v>
      </c>
      <c r="D307" t="inlineStr">
        <is>
          <t>VÄSTERBOTTENS LÄN</t>
        </is>
      </c>
      <c r="E307" t="inlineStr">
        <is>
          <t>SORSELE</t>
        </is>
      </c>
      <c r="G307" t="n">
        <v>2.7</v>
      </c>
      <c r="H307" t="n">
        <v>0</v>
      </c>
      <c r="I307" t="n">
        <v>1</v>
      </c>
      <c r="J307" t="n">
        <v>5</v>
      </c>
      <c r="K307" t="n">
        <v>0</v>
      </c>
      <c r="L307" t="n">
        <v>0</v>
      </c>
      <c r="M307" t="n">
        <v>0</v>
      </c>
      <c r="N307" t="n">
        <v>0</v>
      </c>
      <c r="O307" t="n">
        <v>5</v>
      </c>
      <c r="P307" t="n">
        <v>0</v>
      </c>
      <c r="Q307" t="n">
        <v>6</v>
      </c>
      <c r="R307" s="2" t="inlineStr">
        <is>
          <t>Blanksvart spiklav
Blågrå svartspik
Granticka
Harticka
Vitgrynig nållav
Nästlav</t>
        </is>
      </c>
      <c r="S307">
        <f>HYPERLINK("https://klasma.github.io/Logging_2422/artfynd/A 58498-2024 artfynd.xlsx", "A 58498-2024")</f>
        <v/>
      </c>
      <c r="T307">
        <f>HYPERLINK("https://klasma.github.io/Logging_2422/kartor/A 58498-2024 karta.png", "A 58498-2024")</f>
        <v/>
      </c>
      <c r="V307">
        <f>HYPERLINK("https://klasma.github.io/Logging_2422/klagomål/A 58498-2024 FSC-klagomål.docx", "A 58498-2024")</f>
        <v/>
      </c>
      <c r="W307">
        <f>HYPERLINK("https://klasma.github.io/Logging_2422/klagomålsmail/A 58498-2024 FSC-klagomål mail.docx", "A 58498-2024")</f>
        <v/>
      </c>
      <c r="X307">
        <f>HYPERLINK("https://klasma.github.io/Logging_2422/tillsyn/A 58498-2024 tillsynsbegäran.docx", "A 58498-2024")</f>
        <v/>
      </c>
      <c r="Y307">
        <f>HYPERLINK("https://klasma.github.io/Logging_2422/tillsynsmail/A 58498-2024 tillsynsbegäran mail.docx", "A 58498-2024")</f>
        <v/>
      </c>
    </row>
    <row r="308" ht="15" customHeight="1">
      <c r="A308" t="inlineStr">
        <is>
          <t>A 33589-2024</t>
        </is>
      </c>
      <c r="B308" s="1" t="n">
        <v>45520.35296296296</v>
      </c>
      <c r="C308" s="1" t="n">
        <v>46075</v>
      </c>
      <c r="D308" t="inlineStr">
        <is>
          <t>VÄSTERBOTTENS LÄN</t>
        </is>
      </c>
      <c r="E308" t="inlineStr">
        <is>
          <t>LYCKSELE</t>
        </is>
      </c>
      <c r="F308" t="inlineStr">
        <is>
          <t>Sveaskog</t>
        </is>
      </c>
      <c r="G308" t="n">
        <v>3.5</v>
      </c>
      <c r="H308" t="n">
        <v>3</v>
      </c>
      <c r="I308" t="n">
        <v>0</v>
      </c>
      <c r="J308" t="n">
        <v>4</v>
      </c>
      <c r="K308" t="n">
        <v>0</v>
      </c>
      <c r="L308" t="n">
        <v>0</v>
      </c>
      <c r="M308" t="n">
        <v>0</v>
      </c>
      <c r="N308" t="n">
        <v>0</v>
      </c>
      <c r="O308" t="n">
        <v>4</v>
      </c>
      <c r="P308" t="n">
        <v>0</v>
      </c>
      <c r="Q308" t="n">
        <v>6</v>
      </c>
      <c r="R308" s="2" t="inlineStr">
        <is>
          <t>Garnlav
Granticka
Spillkråka
Ullticka
Lavskrika
Revlummer</t>
        </is>
      </c>
      <c r="S308">
        <f>HYPERLINK("https://klasma.github.io/Logging_2481/artfynd/A 33589-2024 artfynd.xlsx", "A 33589-2024")</f>
        <v/>
      </c>
      <c r="T308">
        <f>HYPERLINK("https://klasma.github.io/Logging_2481/kartor/A 33589-2024 karta.png", "A 33589-2024")</f>
        <v/>
      </c>
      <c r="V308">
        <f>HYPERLINK("https://klasma.github.io/Logging_2481/klagomål/A 33589-2024 FSC-klagomål.docx", "A 33589-2024")</f>
        <v/>
      </c>
      <c r="W308">
        <f>HYPERLINK("https://klasma.github.io/Logging_2481/klagomålsmail/A 33589-2024 FSC-klagomål mail.docx", "A 33589-2024")</f>
        <v/>
      </c>
      <c r="X308">
        <f>HYPERLINK("https://klasma.github.io/Logging_2481/tillsyn/A 33589-2024 tillsynsbegäran.docx", "A 33589-2024")</f>
        <v/>
      </c>
      <c r="Y308">
        <f>HYPERLINK("https://klasma.github.io/Logging_2481/tillsynsmail/A 33589-2024 tillsynsbegäran mail.docx", "A 33589-2024")</f>
        <v/>
      </c>
      <c r="Z308">
        <f>HYPERLINK("https://klasma.github.io/Logging_2481/fåglar/A 33589-2024 prioriterade fågelarter.docx", "A 33589-2024")</f>
        <v/>
      </c>
    </row>
    <row r="309" ht="15" customHeight="1">
      <c r="A309" t="inlineStr">
        <is>
          <t>A 38585-2025</t>
        </is>
      </c>
      <c r="B309" s="1" t="n">
        <v>45884.47008101852</v>
      </c>
      <c r="C309" s="1" t="n">
        <v>46075</v>
      </c>
      <c r="D309" t="inlineStr">
        <is>
          <t>VÄSTERBOTTENS LÄN</t>
        </is>
      </c>
      <c r="E309" t="inlineStr">
        <is>
          <t>BJURHOLM</t>
        </is>
      </c>
      <c r="F309" t="inlineStr">
        <is>
          <t>SCA</t>
        </is>
      </c>
      <c r="G309" t="n">
        <v>5.1</v>
      </c>
      <c r="H309" t="n">
        <v>3</v>
      </c>
      <c r="I309" t="n">
        <v>0</v>
      </c>
      <c r="J309" t="n">
        <v>5</v>
      </c>
      <c r="K309" t="n">
        <v>0</v>
      </c>
      <c r="L309" t="n">
        <v>0</v>
      </c>
      <c r="M309" t="n">
        <v>0</v>
      </c>
      <c r="N309" t="n">
        <v>0</v>
      </c>
      <c r="O309" t="n">
        <v>5</v>
      </c>
      <c r="P309" t="n">
        <v>0</v>
      </c>
      <c r="Q309" t="n">
        <v>6</v>
      </c>
      <c r="R309" s="2" t="inlineStr">
        <is>
          <t>Dvärgbägarlav
Garnlav
Mörk kolflarnlav
Talltita
Tretåig hackspett
Huggorm</t>
        </is>
      </c>
      <c r="S309">
        <f>HYPERLINK("https://klasma.github.io/Logging_2403/artfynd/A 38585-2025 artfynd.xlsx", "A 38585-2025")</f>
        <v/>
      </c>
      <c r="T309">
        <f>HYPERLINK("https://klasma.github.io/Logging_2403/kartor/A 38585-2025 karta.png", "A 38585-2025")</f>
        <v/>
      </c>
      <c r="V309">
        <f>HYPERLINK("https://klasma.github.io/Logging_2403/klagomål/A 38585-2025 FSC-klagomål.docx", "A 38585-2025")</f>
        <v/>
      </c>
      <c r="W309">
        <f>HYPERLINK("https://klasma.github.io/Logging_2403/klagomålsmail/A 38585-2025 FSC-klagomål mail.docx", "A 38585-2025")</f>
        <v/>
      </c>
      <c r="X309">
        <f>HYPERLINK("https://klasma.github.io/Logging_2403/tillsyn/A 38585-2025 tillsynsbegäran.docx", "A 38585-2025")</f>
        <v/>
      </c>
      <c r="Y309">
        <f>HYPERLINK("https://klasma.github.io/Logging_2403/tillsynsmail/A 38585-2025 tillsynsbegäran mail.docx", "A 38585-2025")</f>
        <v/>
      </c>
      <c r="Z309">
        <f>HYPERLINK("https://klasma.github.io/Logging_2403/fåglar/A 38585-2025 prioriterade fågelarter.docx", "A 38585-2025")</f>
        <v/>
      </c>
    </row>
    <row r="310" ht="15" customHeight="1">
      <c r="A310" t="inlineStr">
        <is>
          <t>A 62316-2023</t>
        </is>
      </c>
      <c r="B310" s="1" t="n">
        <v>45267.73364583333</v>
      </c>
      <c r="C310" s="1" t="n">
        <v>46075</v>
      </c>
      <c r="D310" t="inlineStr">
        <is>
          <t>VÄSTERBOTTENS LÄN</t>
        </is>
      </c>
      <c r="E310" t="inlineStr">
        <is>
          <t>SKELLEFTEÅ</t>
        </is>
      </c>
      <c r="F310" t="inlineStr">
        <is>
          <t>Sveaskog</t>
        </is>
      </c>
      <c r="G310" t="n">
        <v>12.8</v>
      </c>
      <c r="H310" t="n">
        <v>2</v>
      </c>
      <c r="I310" t="n">
        <v>4</v>
      </c>
      <c r="J310" t="n">
        <v>1</v>
      </c>
      <c r="K310" t="n">
        <v>0</v>
      </c>
      <c r="L310" t="n">
        <v>0</v>
      </c>
      <c r="M310" t="n">
        <v>0</v>
      </c>
      <c r="N310" t="n">
        <v>0</v>
      </c>
      <c r="O310" t="n">
        <v>1</v>
      </c>
      <c r="P310" t="n">
        <v>0</v>
      </c>
      <c r="Q310" t="n">
        <v>6</v>
      </c>
      <c r="R310" s="2" t="inlineStr">
        <is>
          <t>Tretåig hackspett
Bronshjon
Myskbock
Stuplav
Vågbandad barkbock
Fläcknycklar</t>
        </is>
      </c>
      <c r="S310">
        <f>HYPERLINK("https://klasma.github.io/Logging_2482/artfynd/A 62316-2023 artfynd.xlsx", "A 62316-2023")</f>
        <v/>
      </c>
      <c r="T310">
        <f>HYPERLINK("https://klasma.github.io/Logging_2482/kartor/A 62316-2023 karta.png", "A 62316-2023")</f>
        <v/>
      </c>
      <c r="V310">
        <f>HYPERLINK("https://klasma.github.io/Logging_2482/klagomål/A 62316-2023 FSC-klagomål.docx", "A 62316-2023")</f>
        <v/>
      </c>
      <c r="W310">
        <f>HYPERLINK("https://klasma.github.io/Logging_2482/klagomålsmail/A 62316-2023 FSC-klagomål mail.docx", "A 62316-2023")</f>
        <v/>
      </c>
      <c r="X310">
        <f>HYPERLINK("https://klasma.github.io/Logging_2482/tillsyn/A 62316-2023 tillsynsbegäran.docx", "A 62316-2023")</f>
        <v/>
      </c>
      <c r="Y310">
        <f>HYPERLINK("https://klasma.github.io/Logging_2482/tillsynsmail/A 62316-2023 tillsynsbegäran mail.docx", "A 62316-2023")</f>
        <v/>
      </c>
      <c r="Z310">
        <f>HYPERLINK("https://klasma.github.io/Logging_2482/fåglar/A 62316-2023 prioriterade fågelarter.docx", "A 62316-2023")</f>
        <v/>
      </c>
    </row>
    <row r="311" ht="15" customHeight="1">
      <c r="A311" t="inlineStr">
        <is>
          <t>A 37141-2023</t>
        </is>
      </c>
      <c r="B311" s="1" t="n">
        <v>45154</v>
      </c>
      <c r="C311" s="1" t="n">
        <v>46075</v>
      </c>
      <c r="D311" t="inlineStr">
        <is>
          <t>VÄSTERBOTTENS LÄN</t>
        </is>
      </c>
      <c r="E311" t="inlineStr">
        <is>
          <t>NORDMALING</t>
        </is>
      </c>
      <c r="G311" t="n">
        <v>6.2</v>
      </c>
      <c r="H311" t="n">
        <v>0</v>
      </c>
      <c r="I311" t="n">
        <v>1</v>
      </c>
      <c r="J311" t="n">
        <v>4</v>
      </c>
      <c r="K311" t="n">
        <v>1</v>
      </c>
      <c r="L311" t="n">
        <v>0</v>
      </c>
      <c r="M311" t="n">
        <v>0</v>
      </c>
      <c r="N311" t="n">
        <v>0</v>
      </c>
      <c r="O311" t="n">
        <v>5</v>
      </c>
      <c r="P311" t="n">
        <v>1</v>
      </c>
      <c r="Q311" t="n">
        <v>6</v>
      </c>
      <c r="R311" s="2" t="inlineStr">
        <is>
          <t>Goliatmusseron
Blå taggsvamp
Garnlav
Motaggsvamp
Orange taggsvamp
Dropptaggsvamp</t>
        </is>
      </c>
      <c r="S311">
        <f>HYPERLINK("https://klasma.github.io/Logging_2401/artfynd/A 37141-2023 artfynd.xlsx", "A 37141-2023")</f>
        <v/>
      </c>
      <c r="T311">
        <f>HYPERLINK("https://klasma.github.io/Logging_2401/kartor/A 37141-2023 karta.png", "A 37141-2023")</f>
        <v/>
      </c>
      <c r="V311">
        <f>HYPERLINK("https://klasma.github.io/Logging_2401/klagomål/A 37141-2023 FSC-klagomål.docx", "A 37141-2023")</f>
        <v/>
      </c>
      <c r="W311">
        <f>HYPERLINK("https://klasma.github.io/Logging_2401/klagomålsmail/A 37141-2023 FSC-klagomål mail.docx", "A 37141-2023")</f>
        <v/>
      </c>
      <c r="X311">
        <f>HYPERLINK("https://klasma.github.io/Logging_2401/tillsyn/A 37141-2023 tillsynsbegäran.docx", "A 37141-2023")</f>
        <v/>
      </c>
      <c r="Y311">
        <f>HYPERLINK("https://klasma.github.io/Logging_2401/tillsynsmail/A 37141-2023 tillsynsbegäran mail.docx", "A 37141-2023")</f>
        <v/>
      </c>
    </row>
    <row r="312" ht="15" customHeight="1">
      <c r="A312" t="inlineStr">
        <is>
          <t>A 49710-2025</t>
        </is>
      </c>
      <c r="B312" s="1" t="n">
        <v>45939.69342592593</v>
      </c>
      <c r="C312" s="1" t="n">
        <v>46075</v>
      </c>
      <c r="D312" t="inlineStr">
        <is>
          <t>VÄSTERBOTTENS LÄN</t>
        </is>
      </c>
      <c r="E312" t="inlineStr">
        <is>
          <t>ROBERTSFORS</t>
        </is>
      </c>
      <c r="F312" t="inlineStr">
        <is>
          <t>Kyrkan</t>
        </is>
      </c>
      <c r="G312" t="n">
        <v>7.7</v>
      </c>
      <c r="H312" t="n">
        <v>3</v>
      </c>
      <c r="I312" t="n">
        <v>1</v>
      </c>
      <c r="J312" t="n">
        <v>5</v>
      </c>
      <c r="K312" t="n">
        <v>0</v>
      </c>
      <c r="L312" t="n">
        <v>0</v>
      </c>
      <c r="M312" t="n">
        <v>0</v>
      </c>
      <c r="N312" t="n">
        <v>0</v>
      </c>
      <c r="O312" t="n">
        <v>5</v>
      </c>
      <c r="P312" t="n">
        <v>0</v>
      </c>
      <c r="Q312" t="n">
        <v>6</v>
      </c>
      <c r="R312" s="2" t="inlineStr">
        <is>
          <t>Gammelgransskål
Garnlav
Spillkråka
Talltita
Tretåig hackspett
Vedticka</t>
        </is>
      </c>
      <c r="S312">
        <f>HYPERLINK("https://klasma.github.io/Logging_2409/artfynd/A 49710-2025 artfynd.xlsx", "A 49710-2025")</f>
        <v/>
      </c>
      <c r="T312">
        <f>HYPERLINK("https://klasma.github.io/Logging_2409/kartor/A 49710-2025 karta.png", "A 49710-2025")</f>
        <v/>
      </c>
      <c r="V312">
        <f>HYPERLINK("https://klasma.github.io/Logging_2409/klagomål/A 49710-2025 FSC-klagomål.docx", "A 49710-2025")</f>
        <v/>
      </c>
      <c r="W312">
        <f>HYPERLINK("https://klasma.github.io/Logging_2409/klagomålsmail/A 49710-2025 FSC-klagomål mail.docx", "A 49710-2025")</f>
        <v/>
      </c>
      <c r="X312">
        <f>HYPERLINK("https://klasma.github.io/Logging_2409/tillsyn/A 49710-2025 tillsynsbegäran.docx", "A 49710-2025")</f>
        <v/>
      </c>
      <c r="Y312">
        <f>HYPERLINK("https://klasma.github.io/Logging_2409/tillsynsmail/A 49710-2025 tillsynsbegäran mail.docx", "A 49710-2025")</f>
        <v/>
      </c>
      <c r="Z312">
        <f>HYPERLINK("https://klasma.github.io/Logging_2409/fåglar/A 49710-2025 prioriterade fågelarter.docx", "A 49710-2025")</f>
        <v/>
      </c>
    </row>
    <row r="313" ht="15" customHeight="1">
      <c r="A313" t="inlineStr">
        <is>
          <t>A 50261-2024</t>
        </is>
      </c>
      <c r="B313" s="1" t="n">
        <v>45600.58561342592</v>
      </c>
      <c r="C313" s="1" t="n">
        <v>46075</v>
      </c>
      <c r="D313" t="inlineStr">
        <is>
          <t>VÄSTERBOTTENS LÄN</t>
        </is>
      </c>
      <c r="E313" t="inlineStr">
        <is>
          <t>NORSJÖ</t>
        </is>
      </c>
      <c r="F313" t="inlineStr">
        <is>
          <t>Holmen skog AB</t>
        </is>
      </c>
      <c r="G313" t="n">
        <v>6</v>
      </c>
      <c r="H313" t="n">
        <v>1</v>
      </c>
      <c r="I313" t="n">
        <v>3</v>
      </c>
      <c r="J313" t="n">
        <v>2</v>
      </c>
      <c r="K313" t="n">
        <v>1</v>
      </c>
      <c r="L313" t="n">
        <v>0</v>
      </c>
      <c r="M313" t="n">
        <v>0</v>
      </c>
      <c r="N313" t="n">
        <v>0</v>
      </c>
      <c r="O313" t="n">
        <v>3</v>
      </c>
      <c r="P313" t="n">
        <v>1</v>
      </c>
      <c r="Q313" t="n">
        <v>6</v>
      </c>
      <c r="R313" s="2" t="inlineStr">
        <is>
          <t>Knärot
Gammelgransskål
Vaddporing
Dropptaggsvamp
Skinnlav
Vedticka</t>
        </is>
      </c>
      <c r="S313">
        <f>HYPERLINK("https://klasma.github.io/Logging_2417/artfynd/A 50261-2024 artfynd.xlsx", "A 50261-2024")</f>
        <v/>
      </c>
      <c r="T313">
        <f>HYPERLINK("https://klasma.github.io/Logging_2417/kartor/A 50261-2024 karta.png", "A 50261-2024")</f>
        <v/>
      </c>
      <c r="U313">
        <f>HYPERLINK("https://klasma.github.io/Logging_2417/knärot/A 50261-2024 karta knärot.png", "A 50261-2024")</f>
        <v/>
      </c>
      <c r="V313">
        <f>HYPERLINK("https://klasma.github.io/Logging_2417/klagomål/A 50261-2024 FSC-klagomål.docx", "A 50261-2024")</f>
        <v/>
      </c>
      <c r="W313">
        <f>HYPERLINK("https://klasma.github.io/Logging_2417/klagomålsmail/A 50261-2024 FSC-klagomål mail.docx", "A 50261-2024")</f>
        <v/>
      </c>
      <c r="X313">
        <f>HYPERLINK("https://klasma.github.io/Logging_2417/tillsyn/A 50261-2024 tillsynsbegäran.docx", "A 50261-2024")</f>
        <v/>
      </c>
      <c r="Y313">
        <f>HYPERLINK("https://klasma.github.io/Logging_2417/tillsynsmail/A 50261-2024 tillsynsbegäran mail.docx", "A 50261-2024")</f>
        <v/>
      </c>
    </row>
    <row r="314" ht="15" customHeight="1">
      <c r="A314" t="inlineStr">
        <is>
          <t>A 32797-2025</t>
        </is>
      </c>
      <c r="B314" s="1" t="n">
        <v>45839</v>
      </c>
      <c r="C314" s="1" t="n">
        <v>46075</v>
      </c>
      <c r="D314" t="inlineStr">
        <is>
          <t>VÄSTERBOTTENS LÄN</t>
        </is>
      </c>
      <c r="E314" t="inlineStr">
        <is>
          <t>SORSELE</t>
        </is>
      </c>
      <c r="G314" t="n">
        <v>12.8</v>
      </c>
      <c r="H314" t="n">
        <v>1</v>
      </c>
      <c r="I314" t="n">
        <v>0</v>
      </c>
      <c r="J314" t="n">
        <v>6</v>
      </c>
      <c r="K314" t="n">
        <v>0</v>
      </c>
      <c r="L314" t="n">
        <v>0</v>
      </c>
      <c r="M314" t="n">
        <v>0</v>
      </c>
      <c r="N314" t="n">
        <v>0</v>
      </c>
      <c r="O314" t="n">
        <v>6</v>
      </c>
      <c r="P314" t="n">
        <v>0</v>
      </c>
      <c r="Q314" t="n">
        <v>6</v>
      </c>
      <c r="R314" s="2" t="inlineStr">
        <is>
          <t>Garnlav
Granticka
Harticka
Skrovellav
Talltita
Vitgrynig nållav</t>
        </is>
      </c>
      <c r="S314">
        <f>HYPERLINK("https://klasma.github.io/Logging_2422/artfynd/A 32797-2025 artfynd.xlsx", "A 32797-2025")</f>
        <v/>
      </c>
      <c r="T314">
        <f>HYPERLINK("https://klasma.github.io/Logging_2422/kartor/A 32797-2025 karta.png", "A 32797-2025")</f>
        <v/>
      </c>
      <c r="V314">
        <f>HYPERLINK("https://klasma.github.io/Logging_2422/klagomål/A 32797-2025 FSC-klagomål.docx", "A 32797-2025")</f>
        <v/>
      </c>
      <c r="W314">
        <f>HYPERLINK("https://klasma.github.io/Logging_2422/klagomålsmail/A 32797-2025 FSC-klagomål mail.docx", "A 32797-2025")</f>
        <v/>
      </c>
      <c r="X314">
        <f>HYPERLINK("https://klasma.github.io/Logging_2422/tillsyn/A 32797-2025 tillsynsbegäran.docx", "A 32797-2025")</f>
        <v/>
      </c>
      <c r="Y314">
        <f>HYPERLINK("https://klasma.github.io/Logging_2422/tillsynsmail/A 32797-2025 tillsynsbegäran mail.docx", "A 32797-2025")</f>
        <v/>
      </c>
      <c r="Z314">
        <f>HYPERLINK("https://klasma.github.io/Logging_2422/fåglar/A 32797-2025 prioriterade fågelarter.docx", "A 32797-2025")</f>
        <v/>
      </c>
    </row>
    <row r="315" ht="15" customHeight="1">
      <c r="A315" t="inlineStr">
        <is>
          <t>A 8723-2025</t>
        </is>
      </c>
      <c r="B315" s="1" t="n">
        <v>45712</v>
      </c>
      <c r="C315" s="1" t="n">
        <v>46075</v>
      </c>
      <c r="D315" t="inlineStr">
        <is>
          <t>VÄSTERBOTTENS LÄN</t>
        </is>
      </c>
      <c r="E315" t="inlineStr">
        <is>
          <t>ÅSELE</t>
        </is>
      </c>
      <c r="F315" t="inlineStr">
        <is>
          <t>SCA</t>
        </is>
      </c>
      <c r="G315" t="n">
        <v>6.5</v>
      </c>
      <c r="H315" t="n">
        <v>0</v>
      </c>
      <c r="I315" t="n">
        <v>3</v>
      </c>
      <c r="J315" t="n">
        <v>3</v>
      </c>
      <c r="K315" t="n">
        <v>0</v>
      </c>
      <c r="L315" t="n">
        <v>0</v>
      </c>
      <c r="M315" t="n">
        <v>0</v>
      </c>
      <c r="N315" t="n">
        <v>0</v>
      </c>
      <c r="O315" t="n">
        <v>3</v>
      </c>
      <c r="P315" t="n">
        <v>0</v>
      </c>
      <c r="Q315" t="n">
        <v>6</v>
      </c>
      <c r="R315" s="2" t="inlineStr">
        <is>
          <t>Garnlav
Lunglav
Vitgrynig nållav
Bårdlav
Luddlav
Stuplav</t>
        </is>
      </c>
      <c r="S315">
        <f>HYPERLINK("https://klasma.github.io/Logging_2463/artfynd/A 8723-2025 artfynd.xlsx", "A 8723-2025")</f>
        <v/>
      </c>
      <c r="T315">
        <f>HYPERLINK("https://klasma.github.io/Logging_2463/kartor/A 8723-2025 karta.png", "A 8723-2025")</f>
        <v/>
      </c>
      <c r="V315">
        <f>HYPERLINK("https://klasma.github.io/Logging_2463/klagomål/A 8723-2025 FSC-klagomål.docx", "A 8723-2025")</f>
        <v/>
      </c>
      <c r="W315">
        <f>HYPERLINK("https://klasma.github.io/Logging_2463/klagomålsmail/A 8723-2025 FSC-klagomål mail.docx", "A 8723-2025")</f>
        <v/>
      </c>
      <c r="X315">
        <f>HYPERLINK("https://klasma.github.io/Logging_2463/tillsyn/A 8723-2025 tillsynsbegäran.docx", "A 8723-2025")</f>
        <v/>
      </c>
      <c r="Y315">
        <f>HYPERLINK("https://klasma.github.io/Logging_2463/tillsynsmail/A 8723-2025 tillsynsbegäran mail.docx", "A 8723-2025")</f>
        <v/>
      </c>
    </row>
    <row r="316" ht="15" customHeight="1">
      <c r="A316" t="inlineStr">
        <is>
          <t>A 58499-2024</t>
        </is>
      </c>
      <c r="B316" s="1" t="n">
        <v>45635</v>
      </c>
      <c r="C316" s="1" t="n">
        <v>46075</v>
      </c>
      <c r="D316" t="inlineStr">
        <is>
          <t>VÄSTERBOTTENS LÄN</t>
        </is>
      </c>
      <c r="E316" t="inlineStr">
        <is>
          <t>SORSELE</t>
        </is>
      </c>
      <c r="G316" t="n">
        <v>6</v>
      </c>
      <c r="H316" t="n">
        <v>0</v>
      </c>
      <c r="I316" t="n">
        <v>0</v>
      </c>
      <c r="J316" t="n">
        <v>6</v>
      </c>
      <c r="K316" t="n">
        <v>0</v>
      </c>
      <c r="L316" t="n">
        <v>0</v>
      </c>
      <c r="M316" t="n">
        <v>0</v>
      </c>
      <c r="N316" t="n">
        <v>0</v>
      </c>
      <c r="O316" t="n">
        <v>6</v>
      </c>
      <c r="P316" t="n">
        <v>0</v>
      </c>
      <c r="Q316" t="n">
        <v>6</v>
      </c>
      <c r="R316" s="2" t="inlineStr">
        <is>
          <t>Garnlav
Granticka
Gränsticka
Harticka
Vedskivlav
Vitgrynig nållav</t>
        </is>
      </c>
      <c r="S316">
        <f>HYPERLINK("https://klasma.github.io/Logging_2422/artfynd/A 58499-2024 artfynd.xlsx", "A 58499-2024")</f>
        <v/>
      </c>
      <c r="T316">
        <f>HYPERLINK("https://klasma.github.io/Logging_2422/kartor/A 58499-2024 karta.png", "A 58499-2024")</f>
        <v/>
      </c>
      <c r="V316">
        <f>HYPERLINK("https://klasma.github.io/Logging_2422/klagomål/A 58499-2024 FSC-klagomål.docx", "A 58499-2024")</f>
        <v/>
      </c>
      <c r="W316">
        <f>HYPERLINK("https://klasma.github.io/Logging_2422/klagomålsmail/A 58499-2024 FSC-klagomål mail.docx", "A 58499-2024")</f>
        <v/>
      </c>
      <c r="X316">
        <f>HYPERLINK("https://klasma.github.io/Logging_2422/tillsyn/A 58499-2024 tillsynsbegäran.docx", "A 58499-2024")</f>
        <v/>
      </c>
      <c r="Y316">
        <f>HYPERLINK("https://klasma.github.io/Logging_2422/tillsynsmail/A 58499-2024 tillsynsbegäran mail.docx", "A 58499-2024")</f>
        <v/>
      </c>
    </row>
    <row r="317" ht="15" customHeight="1">
      <c r="A317" t="inlineStr">
        <is>
          <t>A 60590-2022</t>
        </is>
      </c>
      <c r="B317" s="1" t="n">
        <v>44911.5894212963</v>
      </c>
      <c r="C317" s="1" t="n">
        <v>46075</v>
      </c>
      <c r="D317" t="inlineStr">
        <is>
          <t>VÄSTERBOTTENS LÄN</t>
        </is>
      </c>
      <c r="E317" t="inlineStr">
        <is>
          <t>SKELLEFTEÅ</t>
        </is>
      </c>
      <c r="F317" t="inlineStr">
        <is>
          <t>Sveaskog</t>
        </is>
      </c>
      <c r="G317" t="n">
        <v>1.8</v>
      </c>
      <c r="H317" t="n">
        <v>1</v>
      </c>
      <c r="I317" t="n">
        <v>2</v>
      </c>
      <c r="J317" t="n">
        <v>4</v>
      </c>
      <c r="K317" t="n">
        <v>0</v>
      </c>
      <c r="L317" t="n">
        <v>0</v>
      </c>
      <c r="M317" t="n">
        <v>0</v>
      </c>
      <c r="N317" t="n">
        <v>0</v>
      </c>
      <c r="O317" t="n">
        <v>4</v>
      </c>
      <c r="P317" t="n">
        <v>0</v>
      </c>
      <c r="Q317" t="n">
        <v>6</v>
      </c>
      <c r="R317" s="2" t="inlineStr">
        <is>
          <t>Garnlav
Kolflarnlav
Kådvaxskinn
Vedskivlav
Bårdlav
Plattlummer</t>
        </is>
      </c>
      <c r="S317">
        <f>HYPERLINK("https://klasma.github.io/Logging_2482/artfynd/A 60590-2022 artfynd.xlsx", "A 60590-2022")</f>
        <v/>
      </c>
      <c r="T317">
        <f>HYPERLINK("https://klasma.github.io/Logging_2482/kartor/A 60590-2022 karta.png", "A 60590-2022")</f>
        <v/>
      </c>
      <c r="V317">
        <f>HYPERLINK("https://klasma.github.io/Logging_2482/klagomål/A 60590-2022 FSC-klagomål.docx", "A 60590-2022")</f>
        <v/>
      </c>
      <c r="W317">
        <f>HYPERLINK("https://klasma.github.io/Logging_2482/klagomålsmail/A 60590-2022 FSC-klagomål mail.docx", "A 60590-2022")</f>
        <v/>
      </c>
      <c r="X317">
        <f>HYPERLINK("https://klasma.github.io/Logging_2482/tillsyn/A 60590-2022 tillsynsbegäran.docx", "A 60590-2022")</f>
        <v/>
      </c>
      <c r="Y317">
        <f>HYPERLINK("https://klasma.github.io/Logging_2482/tillsynsmail/A 60590-2022 tillsynsbegäran mail.docx", "A 60590-2022")</f>
        <v/>
      </c>
    </row>
    <row r="318" ht="15" customHeight="1">
      <c r="A318" t="inlineStr">
        <is>
          <t>A 57099-2024</t>
        </is>
      </c>
      <c r="B318" s="1" t="n">
        <v>45629</v>
      </c>
      <c r="C318" s="1" t="n">
        <v>46075</v>
      </c>
      <c r="D318" t="inlineStr">
        <is>
          <t>VÄSTERBOTTENS LÄN</t>
        </is>
      </c>
      <c r="E318" t="inlineStr">
        <is>
          <t>VILHELMINA</t>
        </is>
      </c>
      <c r="F318" t="inlineStr">
        <is>
          <t>SCA</t>
        </is>
      </c>
      <c r="G318" t="n">
        <v>2.1</v>
      </c>
      <c r="H318" t="n">
        <v>2</v>
      </c>
      <c r="I318" t="n">
        <v>0</v>
      </c>
      <c r="J318" t="n">
        <v>5</v>
      </c>
      <c r="K318" t="n">
        <v>0</v>
      </c>
      <c r="L318" t="n">
        <v>0</v>
      </c>
      <c r="M318" t="n">
        <v>0</v>
      </c>
      <c r="N318" t="n">
        <v>0</v>
      </c>
      <c r="O318" t="n">
        <v>5</v>
      </c>
      <c r="P318" t="n">
        <v>0</v>
      </c>
      <c r="Q318" t="n">
        <v>6</v>
      </c>
      <c r="R318" s="2" t="inlineStr">
        <is>
          <t>Gammelgransskål
Garnlav
Rosenticka
Tretåig hackspett
Ullticka
Orre</t>
        </is>
      </c>
      <c r="S318">
        <f>HYPERLINK("https://klasma.github.io/Logging_2462/artfynd/A 57099-2024 artfynd.xlsx", "A 57099-2024")</f>
        <v/>
      </c>
      <c r="T318">
        <f>HYPERLINK("https://klasma.github.io/Logging_2462/kartor/A 57099-2024 karta.png", "A 57099-2024")</f>
        <v/>
      </c>
      <c r="V318">
        <f>HYPERLINK("https://klasma.github.io/Logging_2462/klagomål/A 57099-2024 FSC-klagomål.docx", "A 57099-2024")</f>
        <v/>
      </c>
      <c r="W318">
        <f>HYPERLINK("https://klasma.github.io/Logging_2462/klagomålsmail/A 57099-2024 FSC-klagomål mail.docx", "A 57099-2024")</f>
        <v/>
      </c>
      <c r="X318">
        <f>HYPERLINK("https://klasma.github.io/Logging_2462/tillsyn/A 57099-2024 tillsynsbegäran.docx", "A 57099-2024")</f>
        <v/>
      </c>
      <c r="Y318">
        <f>HYPERLINK("https://klasma.github.io/Logging_2462/tillsynsmail/A 57099-2024 tillsynsbegäran mail.docx", "A 57099-2024")</f>
        <v/>
      </c>
      <c r="Z318">
        <f>HYPERLINK("https://klasma.github.io/Logging_2462/fåglar/A 57099-2024 prioriterade fågelarter.docx", "A 57099-2024")</f>
        <v/>
      </c>
    </row>
    <row r="319" ht="15" customHeight="1">
      <c r="A319" t="inlineStr">
        <is>
          <t>A 38128-2024</t>
        </is>
      </c>
      <c r="B319" s="1" t="n">
        <v>45545</v>
      </c>
      <c r="C319" s="1" t="n">
        <v>46075</v>
      </c>
      <c r="D319" t="inlineStr">
        <is>
          <t>VÄSTERBOTTENS LÄN</t>
        </is>
      </c>
      <c r="E319" t="inlineStr">
        <is>
          <t>VILHELMINA</t>
        </is>
      </c>
      <c r="F319" t="inlineStr">
        <is>
          <t>SCA</t>
        </is>
      </c>
      <c r="G319" t="n">
        <v>9.5</v>
      </c>
      <c r="H319" t="n">
        <v>1</v>
      </c>
      <c r="I319" t="n">
        <v>0</v>
      </c>
      <c r="J319" t="n">
        <v>6</v>
      </c>
      <c r="K319" t="n">
        <v>0</v>
      </c>
      <c r="L319" t="n">
        <v>0</v>
      </c>
      <c r="M319" t="n">
        <v>0</v>
      </c>
      <c r="N319" t="n">
        <v>0</v>
      </c>
      <c r="O319" t="n">
        <v>6</v>
      </c>
      <c r="P319" t="n">
        <v>0</v>
      </c>
      <c r="Q319" t="n">
        <v>6</v>
      </c>
      <c r="R319" s="2" t="inlineStr">
        <is>
          <t>Gammelgransskål
Garnlav
Granticka
Liten svartspik
Tretåig hackspett
Vitgrynig nållav</t>
        </is>
      </c>
      <c r="S319">
        <f>HYPERLINK("https://klasma.github.io/Logging_2462/artfynd/A 38128-2024 artfynd.xlsx", "A 38128-2024")</f>
        <v/>
      </c>
      <c r="T319">
        <f>HYPERLINK("https://klasma.github.io/Logging_2462/kartor/A 38128-2024 karta.png", "A 38128-2024")</f>
        <v/>
      </c>
      <c r="V319">
        <f>HYPERLINK("https://klasma.github.io/Logging_2462/klagomål/A 38128-2024 FSC-klagomål.docx", "A 38128-2024")</f>
        <v/>
      </c>
      <c r="W319">
        <f>HYPERLINK("https://klasma.github.io/Logging_2462/klagomålsmail/A 38128-2024 FSC-klagomål mail.docx", "A 38128-2024")</f>
        <v/>
      </c>
      <c r="X319">
        <f>HYPERLINK("https://klasma.github.io/Logging_2462/tillsyn/A 38128-2024 tillsynsbegäran.docx", "A 38128-2024")</f>
        <v/>
      </c>
      <c r="Y319">
        <f>HYPERLINK("https://klasma.github.io/Logging_2462/tillsynsmail/A 38128-2024 tillsynsbegäran mail.docx", "A 38128-2024")</f>
        <v/>
      </c>
      <c r="Z319">
        <f>HYPERLINK("https://klasma.github.io/Logging_2462/fåglar/A 38128-2024 prioriterade fågelarter.docx", "A 38128-2024")</f>
        <v/>
      </c>
    </row>
    <row r="320" ht="15" customHeight="1">
      <c r="A320" t="inlineStr">
        <is>
          <t>A 39678-2024</t>
        </is>
      </c>
      <c r="B320" s="1" t="n">
        <v>45552</v>
      </c>
      <c r="C320" s="1" t="n">
        <v>46075</v>
      </c>
      <c r="D320" t="inlineStr">
        <is>
          <t>VÄSTERBOTTENS LÄN</t>
        </is>
      </c>
      <c r="E320" t="inlineStr">
        <is>
          <t>VILHELMINA</t>
        </is>
      </c>
      <c r="F320" t="inlineStr">
        <is>
          <t>SCA</t>
        </is>
      </c>
      <c r="G320" t="n">
        <v>9</v>
      </c>
      <c r="H320" t="n">
        <v>2</v>
      </c>
      <c r="I320" t="n">
        <v>1</v>
      </c>
      <c r="J320" t="n">
        <v>5</v>
      </c>
      <c r="K320" t="n">
        <v>0</v>
      </c>
      <c r="L320" t="n">
        <v>0</v>
      </c>
      <c r="M320" t="n">
        <v>0</v>
      </c>
      <c r="N320" t="n">
        <v>0</v>
      </c>
      <c r="O320" t="n">
        <v>5</v>
      </c>
      <c r="P320" t="n">
        <v>0</v>
      </c>
      <c r="Q320" t="n">
        <v>6</v>
      </c>
      <c r="R320" s="2" t="inlineStr">
        <is>
          <t>Garnlav
Granticka
Rödbrun blekspik
Spillkråka
Tretåig hackspett
Gulnål</t>
        </is>
      </c>
      <c r="S320">
        <f>HYPERLINK("https://klasma.github.io/Logging_2462/artfynd/A 39678-2024 artfynd.xlsx", "A 39678-2024")</f>
        <v/>
      </c>
      <c r="T320">
        <f>HYPERLINK("https://klasma.github.io/Logging_2462/kartor/A 39678-2024 karta.png", "A 39678-2024")</f>
        <v/>
      </c>
      <c r="V320">
        <f>HYPERLINK("https://klasma.github.io/Logging_2462/klagomål/A 39678-2024 FSC-klagomål.docx", "A 39678-2024")</f>
        <v/>
      </c>
      <c r="W320">
        <f>HYPERLINK("https://klasma.github.io/Logging_2462/klagomålsmail/A 39678-2024 FSC-klagomål mail.docx", "A 39678-2024")</f>
        <v/>
      </c>
      <c r="X320">
        <f>HYPERLINK("https://klasma.github.io/Logging_2462/tillsyn/A 39678-2024 tillsynsbegäran.docx", "A 39678-2024")</f>
        <v/>
      </c>
      <c r="Y320">
        <f>HYPERLINK("https://klasma.github.io/Logging_2462/tillsynsmail/A 39678-2024 tillsynsbegäran mail.docx", "A 39678-2024")</f>
        <v/>
      </c>
      <c r="Z320">
        <f>HYPERLINK("https://klasma.github.io/Logging_2462/fåglar/A 39678-2024 prioriterade fågelarter.docx", "A 39678-2024")</f>
        <v/>
      </c>
    </row>
    <row r="321" ht="15" customHeight="1">
      <c r="A321" t="inlineStr">
        <is>
          <t>A 44874-2024</t>
        </is>
      </c>
      <c r="B321" s="1" t="n">
        <v>45575</v>
      </c>
      <c r="C321" s="1" t="n">
        <v>46075</v>
      </c>
      <c r="D321" t="inlineStr">
        <is>
          <t>VÄSTERBOTTENS LÄN</t>
        </is>
      </c>
      <c r="E321" t="inlineStr">
        <is>
          <t>VILHELMINA</t>
        </is>
      </c>
      <c r="F321" t="inlineStr">
        <is>
          <t>SCA</t>
        </is>
      </c>
      <c r="G321" t="n">
        <v>11.2</v>
      </c>
      <c r="H321" t="n">
        <v>3</v>
      </c>
      <c r="I321" t="n">
        <v>0</v>
      </c>
      <c r="J321" t="n">
        <v>6</v>
      </c>
      <c r="K321" t="n">
        <v>0</v>
      </c>
      <c r="L321" t="n">
        <v>0</v>
      </c>
      <c r="M321" t="n">
        <v>0</v>
      </c>
      <c r="N321" t="n">
        <v>0</v>
      </c>
      <c r="O321" t="n">
        <v>6</v>
      </c>
      <c r="P321" t="n">
        <v>0</v>
      </c>
      <c r="Q321" t="n">
        <v>6</v>
      </c>
      <c r="R321" s="2" t="inlineStr">
        <is>
          <t>Garnlav
Granticka
Järpe
Talltita
Tretåig hackspett
Vitgrynig nållav</t>
        </is>
      </c>
      <c r="S321">
        <f>HYPERLINK("https://klasma.github.io/Logging_2462/artfynd/A 44874-2024 artfynd.xlsx", "A 44874-2024")</f>
        <v/>
      </c>
      <c r="T321">
        <f>HYPERLINK("https://klasma.github.io/Logging_2462/kartor/A 44874-2024 karta.png", "A 44874-2024")</f>
        <v/>
      </c>
      <c r="V321">
        <f>HYPERLINK("https://klasma.github.io/Logging_2462/klagomål/A 44874-2024 FSC-klagomål.docx", "A 44874-2024")</f>
        <v/>
      </c>
      <c r="W321">
        <f>HYPERLINK("https://klasma.github.io/Logging_2462/klagomålsmail/A 44874-2024 FSC-klagomål mail.docx", "A 44874-2024")</f>
        <v/>
      </c>
      <c r="X321">
        <f>HYPERLINK("https://klasma.github.io/Logging_2462/tillsyn/A 44874-2024 tillsynsbegäran.docx", "A 44874-2024")</f>
        <v/>
      </c>
      <c r="Y321">
        <f>HYPERLINK("https://klasma.github.io/Logging_2462/tillsynsmail/A 44874-2024 tillsynsbegäran mail.docx", "A 44874-2024")</f>
        <v/>
      </c>
      <c r="Z321">
        <f>HYPERLINK("https://klasma.github.io/Logging_2462/fåglar/A 44874-2024 prioriterade fågelarter.docx", "A 44874-2024")</f>
        <v/>
      </c>
    </row>
    <row r="322" ht="15" customHeight="1">
      <c r="A322" t="inlineStr">
        <is>
          <t>A 14108-2023</t>
        </is>
      </c>
      <c r="B322" s="1" t="n">
        <v>45009</v>
      </c>
      <c r="C322" s="1" t="n">
        <v>46075</v>
      </c>
      <c r="D322" t="inlineStr">
        <is>
          <t>VÄSTERBOTTENS LÄN</t>
        </is>
      </c>
      <c r="E322" t="inlineStr">
        <is>
          <t>BJURHOLM</t>
        </is>
      </c>
      <c r="G322" t="n">
        <v>4.4</v>
      </c>
      <c r="H322" t="n">
        <v>1</v>
      </c>
      <c r="I322" t="n">
        <v>2</v>
      </c>
      <c r="J322" t="n">
        <v>2</v>
      </c>
      <c r="K322" t="n">
        <v>2</v>
      </c>
      <c r="L322" t="n">
        <v>0</v>
      </c>
      <c r="M322" t="n">
        <v>0</v>
      </c>
      <c r="N322" t="n">
        <v>0</v>
      </c>
      <c r="O322" t="n">
        <v>4</v>
      </c>
      <c r="P322" t="n">
        <v>2</v>
      </c>
      <c r="Q322" t="n">
        <v>6</v>
      </c>
      <c r="R322" s="2" t="inlineStr">
        <is>
          <t>Knärot
Rynkskinn
Garnlav
Rosenticka
Bronshjon
Vedticka</t>
        </is>
      </c>
      <c r="S322">
        <f>HYPERLINK("https://klasma.github.io/Logging_2403/artfynd/A 14108-2023 artfynd.xlsx", "A 14108-2023")</f>
        <v/>
      </c>
      <c r="T322">
        <f>HYPERLINK("https://klasma.github.io/Logging_2403/kartor/A 14108-2023 karta.png", "A 14108-2023")</f>
        <v/>
      </c>
      <c r="U322">
        <f>HYPERLINK("https://klasma.github.io/Logging_2403/knärot/A 14108-2023 karta knärot.png", "A 14108-2023")</f>
        <v/>
      </c>
      <c r="V322">
        <f>HYPERLINK("https://klasma.github.io/Logging_2403/klagomål/A 14108-2023 FSC-klagomål.docx", "A 14108-2023")</f>
        <v/>
      </c>
      <c r="W322">
        <f>HYPERLINK("https://klasma.github.io/Logging_2403/klagomålsmail/A 14108-2023 FSC-klagomål mail.docx", "A 14108-2023")</f>
        <v/>
      </c>
      <c r="X322">
        <f>HYPERLINK("https://klasma.github.io/Logging_2403/tillsyn/A 14108-2023 tillsynsbegäran.docx", "A 14108-2023")</f>
        <v/>
      </c>
      <c r="Y322">
        <f>HYPERLINK("https://klasma.github.io/Logging_2403/tillsynsmail/A 14108-2023 tillsynsbegäran mail.docx", "A 14108-2023")</f>
        <v/>
      </c>
    </row>
    <row r="323" ht="15" customHeight="1">
      <c r="A323" t="inlineStr">
        <is>
          <t>A 16100-2024</t>
        </is>
      </c>
      <c r="B323" s="1" t="n">
        <v>45406.44877314815</v>
      </c>
      <c r="C323" s="1" t="n">
        <v>46075</v>
      </c>
      <c r="D323" t="inlineStr">
        <is>
          <t>VÄSTERBOTTENS LÄN</t>
        </is>
      </c>
      <c r="E323" t="inlineStr">
        <is>
          <t>UMEÅ</t>
        </is>
      </c>
      <c r="G323" t="n">
        <v>8</v>
      </c>
      <c r="H323" t="n">
        <v>2</v>
      </c>
      <c r="I323" t="n">
        <v>1</v>
      </c>
      <c r="J323" t="n">
        <v>5</v>
      </c>
      <c r="K323" t="n">
        <v>0</v>
      </c>
      <c r="L323" t="n">
        <v>0</v>
      </c>
      <c r="M323" t="n">
        <v>0</v>
      </c>
      <c r="N323" t="n">
        <v>0</v>
      </c>
      <c r="O323" t="n">
        <v>5</v>
      </c>
      <c r="P323" t="n">
        <v>0</v>
      </c>
      <c r="Q323" t="n">
        <v>6</v>
      </c>
      <c r="R323" s="2" t="inlineStr">
        <is>
          <t>Granticka
Gränsticka
Järpe
Spillkråka
Ullticka
Vedticka</t>
        </is>
      </c>
      <c r="S323">
        <f>HYPERLINK("https://klasma.github.io/Logging_2480/artfynd/A 16100-2024 artfynd.xlsx", "A 16100-2024")</f>
        <v/>
      </c>
      <c r="T323">
        <f>HYPERLINK("https://klasma.github.io/Logging_2480/kartor/A 16100-2024 karta.png", "A 16100-2024")</f>
        <v/>
      </c>
      <c r="V323">
        <f>HYPERLINK("https://klasma.github.io/Logging_2480/klagomål/A 16100-2024 FSC-klagomål.docx", "A 16100-2024")</f>
        <v/>
      </c>
      <c r="W323">
        <f>HYPERLINK("https://klasma.github.io/Logging_2480/klagomålsmail/A 16100-2024 FSC-klagomål mail.docx", "A 16100-2024")</f>
        <v/>
      </c>
      <c r="X323">
        <f>HYPERLINK("https://klasma.github.io/Logging_2480/tillsyn/A 16100-2024 tillsynsbegäran.docx", "A 16100-2024")</f>
        <v/>
      </c>
      <c r="Y323">
        <f>HYPERLINK("https://klasma.github.io/Logging_2480/tillsynsmail/A 16100-2024 tillsynsbegäran mail.docx", "A 16100-2024")</f>
        <v/>
      </c>
      <c r="Z323">
        <f>HYPERLINK("https://klasma.github.io/Logging_2480/fåglar/A 16100-2024 prioriterade fågelarter.docx", "A 16100-2024")</f>
        <v/>
      </c>
    </row>
    <row r="324" ht="15" customHeight="1">
      <c r="A324" t="inlineStr">
        <is>
          <t>A 50916-2022</t>
        </is>
      </c>
      <c r="B324" s="1" t="n">
        <v>44865</v>
      </c>
      <c r="C324" s="1" t="n">
        <v>46075</v>
      </c>
      <c r="D324" t="inlineStr">
        <is>
          <t>VÄSTERBOTTENS LÄN</t>
        </is>
      </c>
      <c r="E324" t="inlineStr">
        <is>
          <t>SORSELE</t>
        </is>
      </c>
      <c r="G324" t="n">
        <v>4.1</v>
      </c>
      <c r="H324" t="n">
        <v>1</v>
      </c>
      <c r="I324" t="n">
        <v>0</v>
      </c>
      <c r="J324" t="n">
        <v>6</v>
      </c>
      <c r="K324" t="n">
        <v>0</v>
      </c>
      <c r="L324" t="n">
        <v>0</v>
      </c>
      <c r="M324" t="n">
        <v>0</v>
      </c>
      <c r="N324" t="n">
        <v>0</v>
      </c>
      <c r="O324" t="n">
        <v>6</v>
      </c>
      <c r="P324" t="n">
        <v>0</v>
      </c>
      <c r="Q324" t="n">
        <v>6</v>
      </c>
      <c r="R324" s="2" t="inlineStr">
        <is>
          <t>Garnlav
Granticka
Harticka
Rosenticka
Tretåig hackspett
Ullticka</t>
        </is>
      </c>
      <c r="S324">
        <f>HYPERLINK("https://klasma.github.io/Logging_2422/artfynd/A 50916-2022 artfynd.xlsx", "A 50916-2022")</f>
        <v/>
      </c>
      <c r="T324">
        <f>HYPERLINK("https://klasma.github.io/Logging_2422/kartor/A 50916-2022 karta.png", "A 50916-2022")</f>
        <v/>
      </c>
      <c r="V324">
        <f>HYPERLINK("https://klasma.github.io/Logging_2422/klagomål/A 50916-2022 FSC-klagomål.docx", "A 50916-2022")</f>
        <v/>
      </c>
      <c r="W324">
        <f>HYPERLINK("https://klasma.github.io/Logging_2422/klagomålsmail/A 50916-2022 FSC-klagomål mail.docx", "A 50916-2022")</f>
        <v/>
      </c>
      <c r="X324">
        <f>HYPERLINK("https://klasma.github.io/Logging_2422/tillsyn/A 50916-2022 tillsynsbegäran.docx", "A 50916-2022")</f>
        <v/>
      </c>
      <c r="Y324">
        <f>HYPERLINK("https://klasma.github.io/Logging_2422/tillsynsmail/A 50916-2022 tillsynsbegäran mail.docx", "A 50916-2022")</f>
        <v/>
      </c>
      <c r="Z324">
        <f>HYPERLINK("https://klasma.github.io/Logging_2422/fåglar/A 50916-2022 prioriterade fågelarter.docx", "A 50916-2022")</f>
        <v/>
      </c>
    </row>
    <row r="325" ht="15" customHeight="1">
      <c r="A325" t="inlineStr">
        <is>
          <t>A 33659-2023</t>
        </is>
      </c>
      <c r="B325" s="1" t="n">
        <v>45119</v>
      </c>
      <c r="C325" s="1" t="n">
        <v>46075</v>
      </c>
      <c r="D325" t="inlineStr">
        <is>
          <t>VÄSTERBOTTENS LÄN</t>
        </is>
      </c>
      <c r="E325" t="inlineStr">
        <is>
          <t>DOROTEA</t>
        </is>
      </c>
      <c r="F325" t="inlineStr">
        <is>
          <t>Allmännings- och besparingsskogar</t>
        </is>
      </c>
      <c r="G325" t="n">
        <v>21.1</v>
      </c>
      <c r="H325" t="n">
        <v>1</v>
      </c>
      <c r="I325" t="n">
        <v>1</v>
      </c>
      <c r="J325" t="n">
        <v>5</v>
      </c>
      <c r="K325" t="n">
        <v>0</v>
      </c>
      <c r="L325" t="n">
        <v>0</v>
      </c>
      <c r="M325" t="n">
        <v>0</v>
      </c>
      <c r="N325" t="n">
        <v>0</v>
      </c>
      <c r="O325" t="n">
        <v>5</v>
      </c>
      <c r="P325" t="n">
        <v>0</v>
      </c>
      <c r="Q325" t="n">
        <v>6</v>
      </c>
      <c r="R325" s="2" t="inlineStr">
        <is>
          <t>Garnlav
Granticka
Harticka
Stjärntagging
Tretåig hackspett
Trådticka</t>
        </is>
      </c>
      <c r="S325">
        <f>HYPERLINK("https://klasma.github.io/Logging_2425/artfynd/A 33659-2023 artfynd.xlsx", "A 33659-2023")</f>
        <v/>
      </c>
      <c r="T325">
        <f>HYPERLINK("https://klasma.github.io/Logging_2425/kartor/A 33659-2023 karta.png", "A 33659-2023")</f>
        <v/>
      </c>
      <c r="V325">
        <f>HYPERLINK("https://klasma.github.io/Logging_2425/klagomål/A 33659-2023 FSC-klagomål.docx", "A 33659-2023")</f>
        <v/>
      </c>
      <c r="W325">
        <f>HYPERLINK("https://klasma.github.io/Logging_2425/klagomålsmail/A 33659-2023 FSC-klagomål mail.docx", "A 33659-2023")</f>
        <v/>
      </c>
      <c r="X325">
        <f>HYPERLINK("https://klasma.github.io/Logging_2425/tillsyn/A 33659-2023 tillsynsbegäran.docx", "A 33659-2023")</f>
        <v/>
      </c>
      <c r="Y325">
        <f>HYPERLINK("https://klasma.github.io/Logging_2425/tillsynsmail/A 33659-2023 tillsynsbegäran mail.docx", "A 33659-2023")</f>
        <v/>
      </c>
      <c r="Z325">
        <f>HYPERLINK("https://klasma.github.io/Logging_2425/fåglar/A 33659-2023 prioriterade fågelarter.docx", "A 33659-2023")</f>
        <v/>
      </c>
    </row>
    <row r="326" ht="15" customHeight="1">
      <c r="A326" t="inlineStr">
        <is>
          <t>A 25040-2025</t>
        </is>
      </c>
      <c r="B326" s="1" t="n">
        <v>45799.65734953704</v>
      </c>
      <c r="C326" s="1" t="n">
        <v>46075</v>
      </c>
      <c r="D326" t="inlineStr">
        <is>
          <t>VÄSTERBOTTENS LÄN</t>
        </is>
      </c>
      <c r="E326" t="inlineStr">
        <is>
          <t>VILHELMINA</t>
        </is>
      </c>
      <c r="F326" t="inlineStr">
        <is>
          <t>SCA</t>
        </is>
      </c>
      <c r="G326" t="n">
        <v>2.6</v>
      </c>
      <c r="H326" t="n">
        <v>3</v>
      </c>
      <c r="I326" t="n">
        <v>1</v>
      </c>
      <c r="J326" t="n">
        <v>4</v>
      </c>
      <c r="K326" t="n">
        <v>0</v>
      </c>
      <c r="L326" t="n">
        <v>0</v>
      </c>
      <c r="M326" t="n">
        <v>0</v>
      </c>
      <c r="N326" t="n">
        <v>0</v>
      </c>
      <c r="O326" t="n">
        <v>4</v>
      </c>
      <c r="P326" t="n">
        <v>0</v>
      </c>
      <c r="Q326" t="n">
        <v>6</v>
      </c>
      <c r="R326" s="2" t="inlineStr">
        <is>
          <t>Gammelgransskål
Garnlav
Granticka
Tretåig hackspett
Spindelblomster
Kungsfågel</t>
        </is>
      </c>
      <c r="S326">
        <f>HYPERLINK("https://klasma.github.io/Logging_2462/artfynd/A 25040-2025 artfynd.xlsx", "A 25040-2025")</f>
        <v/>
      </c>
      <c r="T326">
        <f>HYPERLINK("https://klasma.github.io/Logging_2462/kartor/A 25040-2025 karta.png", "A 25040-2025")</f>
        <v/>
      </c>
      <c r="V326">
        <f>HYPERLINK("https://klasma.github.io/Logging_2462/klagomål/A 25040-2025 FSC-klagomål.docx", "A 25040-2025")</f>
        <v/>
      </c>
      <c r="W326">
        <f>HYPERLINK("https://klasma.github.io/Logging_2462/klagomålsmail/A 25040-2025 FSC-klagomål mail.docx", "A 25040-2025")</f>
        <v/>
      </c>
      <c r="X326">
        <f>HYPERLINK("https://klasma.github.io/Logging_2462/tillsyn/A 25040-2025 tillsynsbegäran.docx", "A 25040-2025")</f>
        <v/>
      </c>
      <c r="Y326">
        <f>HYPERLINK("https://klasma.github.io/Logging_2462/tillsynsmail/A 25040-2025 tillsynsbegäran mail.docx", "A 25040-2025")</f>
        <v/>
      </c>
      <c r="Z326">
        <f>HYPERLINK("https://klasma.github.io/Logging_2462/fåglar/A 25040-2025 prioriterade fågelarter.docx", "A 25040-2025")</f>
        <v/>
      </c>
    </row>
    <row r="327" ht="15" customHeight="1">
      <c r="A327" t="inlineStr">
        <is>
          <t>A 8562-2025</t>
        </is>
      </c>
      <c r="B327" s="1" t="n">
        <v>45709</v>
      </c>
      <c r="C327" s="1" t="n">
        <v>46075</v>
      </c>
      <c r="D327" t="inlineStr">
        <is>
          <t>VÄSTERBOTTENS LÄN</t>
        </is>
      </c>
      <c r="E327" t="inlineStr">
        <is>
          <t>VILHELMINA</t>
        </is>
      </c>
      <c r="G327" t="n">
        <v>3.1</v>
      </c>
      <c r="H327" t="n">
        <v>0</v>
      </c>
      <c r="I327" t="n">
        <v>0</v>
      </c>
      <c r="J327" t="n">
        <v>6</v>
      </c>
      <c r="K327" t="n">
        <v>0</v>
      </c>
      <c r="L327" t="n">
        <v>0</v>
      </c>
      <c r="M327" t="n">
        <v>0</v>
      </c>
      <c r="N327" t="n">
        <v>0</v>
      </c>
      <c r="O327" t="n">
        <v>6</v>
      </c>
      <c r="P327" t="n">
        <v>0</v>
      </c>
      <c r="Q327" t="n">
        <v>6</v>
      </c>
      <c r="R327" s="2" t="inlineStr">
        <is>
          <t>Blanksvart spiklav
Garnlav
Granticka
Harticka
Vedtrappmossa
Vitgrynig nållav</t>
        </is>
      </c>
      <c r="S327">
        <f>HYPERLINK("https://klasma.github.io/Logging_2462/artfynd/A 8562-2025 artfynd.xlsx", "A 8562-2025")</f>
        <v/>
      </c>
      <c r="T327">
        <f>HYPERLINK("https://klasma.github.io/Logging_2462/kartor/A 8562-2025 karta.png", "A 8562-2025")</f>
        <v/>
      </c>
      <c r="V327">
        <f>HYPERLINK("https://klasma.github.io/Logging_2462/klagomål/A 8562-2025 FSC-klagomål.docx", "A 8562-2025")</f>
        <v/>
      </c>
      <c r="W327">
        <f>HYPERLINK("https://klasma.github.io/Logging_2462/klagomålsmail/A 8562-2025 FSC-klagomål mail.docx", "A 8562-2025")</f>
        <v/>
      </c>
      <c r="X327">
        <f>HYPERLINK("https://klasma.github.io/Logging_2462/tillsyn/A 8562-2025 tillsynsbegäran.docx", "A 8562-2025")</f>
        <v/>
      </c>
      <c r="Y327">
        <f>HYPERLINK("https://klasma.github.io/Logging_2462/tillsynsmail/A 8562-2025 tillsynsbegäran mail.docx", "A 8562-2025")</f>
        <v/>
      </c>
    </row>
    <row r="328" ht="15" customHeight="1">
      <c r="A328" t="inlineStr">
        <is>
          <t>A 26900-2025</t>
        </is>
      </c>
      <c r="B328" s="1" t="n">
        <v>45811.34444444445</v>
      </c>
      <c r="C328" s="1" t="n">
        <v>46075</v>
      </c>
      <c r="D328" t="inlineStr">
        <is>
          <t>VÄSTERBOTTENS LÄN</t>
        </is>
      </c>
      <c r="E328" t="inlineStr">
        <is>
          <t>ÅSELE</t>
        </is>
      </c>
      <c r="F328" t="inlineStr">
        <is>
          <t>SCA</t>
        </is>
      </c>
      <c r="G328" t="n">
        <v>1.4</v>
      </c>
      <c r="H328" t="n">
        <v>1</v>
      </c>
      <c r="I328" t="n">
        <v>1</v>
      </c>
      <c r="J328" t="n">
        <v>4</v>
      </c>
      <c r="K328" t="n">
        <v>0</v>
      </c>
      <c r="L328" t="n">
        <v>0</v>
      </c>
      <c r="M328" t="n">
        <v>0</v>
      </c>
      <c r="N328" t="n">
        <v>0</v>
      </c>
      <c r="O328" t="n">
        <v>4</v>
      </c>
      <c r="P328" t="n">
        <v>0</v>
      </c>
      <c r="Q328" t="n">
        <v>6</v>
      </c>
      <c r="R328" s="2" t="inlineStr">
        <is>
          <t>Blanksvart spiklav
Garnlav
Lunglav
Vedflamlav
Stuplav
Fläcknycklar</t>
        </is>
      </c>
      <c r="S328">
        <f>HYPERLINK("https://klasma.github.io/Logging_2463/artfynd/A 26900-2025 artfynd.xlsx", "A 26900-2025")</f>
        <v/>
      </c>
      <c r="T328">
        <f>HYPERLINK("https://klasma.github.io/Logging_2463/kartor/A 26900-2025 karta.png", "A 26900-2025")</f>
        <v/>
      </c>
      <c r="V328">
        <f>HYPERLINK("https://klasma.github.io/Logging_2463/klagomål/A 26900-2025 FSC-klagomål.docx", "A 26900-2025")</f>
        <v/>
      </c>
      <c r="W328">
        <f>HYPERLINK("https://klasma.github.io/Logging_2463/klagomålsmail/A 26900-2025 FSC-klagomål mail.docx", "A 26900-2025")</f>
        <v/>
      </c>
      <c r="X328">
        <f>HYPERLINK("https://klasma.github.io/Logging_2463/tillsyn/A 26900-2025 tillsynsbegäran.docx", "A 26900-2025")</f>
        <v/>
      </c>
      <c r="Y328">
        <f>HYPERLINK("https://klasma.github.io/Logging_2463/tillsynsmail/A 26900-2025 tillsynsbegäran mail.docx", "A 26900-2025")</f>
        <v/>
      </c>
    </row>
    <row r="329" ht="15" customHeight="1">
      <c r="A329" t="inlineStr">
        <is>
          <t>A 24279-2021</t>
        </is>
      </c>
      <c r="B329" s="1" t="n">
        <v>44336</v>
      </c>
      <c r="C329" s="1" t="n">
        <v>46075</v>
      </c>
      <c r="D329" t="inlineStr">
        <is>
          <t>VÄSTERBOTTENS LÄN</t>
        </is>
      </c>
      <c r="E329" t="inlineStr">
        <is>
          <t>SORSELE</t>
        </is>
      </c>
      <c r="G329" t="n">
        <v>47.2</v>
      </c>
      <c r="H329" t="n">
        <v>0</v>
      </c>
      <c r="I329" t="n">
        <v>2</v>
      </c>
      <c r="J329" t="n">
        <v>2</v>
      </c>
      <c r="K329" t="n">
        <v>1</v>
      </c>
      <c r="L329" t="n">
        <v>0</v>
      </c>
      <c r="M329" t="n">
        <v>0</v>
      </c>
      <c r="N329" t="n">
        <v>0</v>
      </c>
      <c r="O329" t="n">
        <v>3</v>
      </c>
      <c r="P329" t="n">
        <v>1</v>
      </c>
      <c r="Q329" t="n">
        <v>5</v>
      </c>
      <c r="R329" s="2" t="inlineStr">
        <is>
          <t>Grenlav
Garnlav
Granticka
Skinnlav
Vedticka</t>
        </is>
      </c>
      <c r="S329">
        <f>HYPERLINK("https://klasma.github.io/Logging_2422/artfynd/A 24279-2021 artfynd.xlsx", "A 24279-2021")</f>
        <v/>
      </c>
      <c r="T329">
        <f>HYPERLINK("https://klasma.github.io/Logging_2422/kartor/A 24279-2021 karta.png", "A 24279-2021")</f>
        <v/>
      </c>
      <c r="V329">
        <f>HYPERLINK("https://klasma.github.io/Logging_2422/klagomål/A 24279-2021 FSC-klagomål.docx", "A 24279-2021")</f>
        <v/>
      </c>
      <c r="W329">
        <f>HYPERLINK("https://klasma.github.io/Logging_2422/klagomålsmail/A 24279-2021 FSC-klagomål mail.docx", "A 24279-2021")</f>
        <v/>
      </c>
      <c r="X329">
        <f>HYPERLINK("https://klasma.github.io/Logging_2422/tillsyn/A 24279-2021 tillsynsbegäran.docx", "A 24279-2021")</f>
        <v/>
      </c>
      <c r="Y329">
        <f>HYPERLINK("https://klasma.github.io/Logging_2422/tillsynsmail/A 24279-2021 tillsynsbegäran mail.docx", "A 24279-2021")</f>
        <v/>
      </c>
    </row>
    <row r="330" ht="15" customHeight="1">
      <c r="A330" t="inlineStr">
        <is>
          <t>A 54568-2021</t>
        </is>
      </c>
      <c r="B330" s="1" t="n">
        <v>44473</v>
      </c>
      <c r="C330" s="1" t="n">
        <v>46075</v>
      </c>
      <c r="D330" t="inlineStr">
        <is>
          <t>VÄSTERBOTTENS LÄN</t>
        </is>
      </c>
      <c r="E330" t="inlineStr">
        <is>
          <t>SORSELE</t>
        </is>
      </c>
      <c r="F330" t="inlineStr">
        <is>
          <t>Sveaskog</t>
        </is>
      </c>
      <c r="G330" t="n">
        <v>1.6</v>
      </c>
      <c r="H330" t="n">
        <v>2</v>
      </c>
      <c r="I330" t="n">
        <v>0</v>
      </c>
      <c r="J330" t="n">
        <v>5</v>
      </c>
      <c r="K330" t="n">
        <v>0</v>
      </c>
      <c r="L330" t="n">
        <v>0</v>
      </c>
      <c r="M330" t="n">
        <v>0</v>
      </c>
      <c r="N330" t="n">
        <v>0</v>
      </c>
      <c r="O330" t="n">
        <v>5</v>
      </c>
      <c r="P330" t="n">
        <v>0</v>
      </c>
      <c r="Q330" t="n">
        <v>5</v>
      </c>
      <c r="R330" s="2" t="inlineStr">
        <is>
          <t>Dvärgbägarlav
Garnlav
Granticka
Spillkråka
Talltita</t>
        </is>
      </c>
      <c r="S330">
        <f>HYPERLINK("https://klasma.github.io/Logging_2422/artfynd/A 54568-2021 artfynd.xlsx", "A 54568-2021")</f>
        <v/>
      </c>
      <c r="T330">
        <f>HYPERLINK("https://klasma.github.io/Logging_2422/kartor/A 54568-2021 karta.png", "A 54568-2021")</f>
        <v/>
      </c>
      <c r="V330">
        <f>HYPERLINK("https://klasma.github.io/Logging_2422/klagomål/A 54568-2021 FSC-klagomål.docx", "A 54568-2021")</f>
        <v/>
      </c>
      <c r="W330">
        <f>HYPERLINK("https://klasma.github.io/Logging_2422/klagomålsmail/A 54568-2021 FSC-klagomål mail.docx", "A 54568-2021")</f>
        <v/>
      </c>
      <c r="X330">
        <f>HYPERLINK("https://klasma.github.io/Logging_2422/tillsyn/A 54568-2021 tillsynsbegäran.docx", "A 54568-2021")</f>
        <v/>
      </c>
      <c r="Y330">
        <f>HYPERLINK("https://klasma.github.io/Logging_2422/tillsynsmail/A 54568-2021 tillsynsbegäran mail.docx", "A 54568-2021")</f>
        <v/>
      </c>
      <c r="Z330">
        <f>HYPERLINK("https://klasma.github.io/Logging_2422/fåglar/A 54568-2021 prioriterade fågelarter.docx", "A 54568-2021")</f>
        <v/>
      </c>
    </row>
    <row r="331" ht="15" customHeight="1">
      <c r="A331" t="inlineStr">
        <is>
          <t>A 61301-2021</t>
        </is>
      </c>
      <c r="B331" s="1" t="n">
        <v>44498.63015046297</v>
      </c>
      <c r="C331" s="1" t="n">
        <v>46075</v>
      </c>
      <c r="D331" t="inlineStr">
        <is>
          <t>VÄSTERBOTTENS LÄN</t>
        </is>
      </c>
      <c r="E331" t="inlineStr">
        <is>
          <t>ÅSELE</t>
        </is>
      </c>
      <c r="F331" t="inlineStr">
        <is>
          <t>Sveaskog</t>
        </is>
      </c>
      <c r="G331" t="n">
        <v>24.7</v>
      </c>
      <c r="H331" t="n">
        <v>0</v>
      </c>
      <c r="I331" t="n">
        <v>1</v>
      </c>
      <c r="J331" t="n">
        <v>4</v>
      </c>
      <c r="K331" t="n">
        <v>0</v>
      </c>
      <c r="L331" t="n">
        <v>0</v>
      </c>
      <c r="M331" t="n">
        <v>0</v>
      </c>
      <c r="N331" t="n">
        <v>0</v>
      </c>
      <c r="O331" t="n">
        <v>4</v>
      </c>
      <c r="P331" t="n">
        <v>0</v>
      </c>
      <c r="Q331" t="n">
        <v>5</v>
      </c>
      <c r="R331" s="2" t="inlineStr">
        <is>
          <t>Granticka
Harticka
Lunglav
Skrovellav
Stuplav</t>
        </is>
      </c>
      <c r="S331">
        <f>HYPERLINK("https://klasma.github.io/Logging_2463/artfynd/A 61301-2021 artfynd.xlsx", "A 61301-2021")</f>
        <v/>
      </c>
      <c r="T331">
        <f>HYPERLINK("https://klasma.github.io/Logging_2463/kartor/A 61301-2021 karta.png", "A 61301-2021")</f>
        <v/>
      </c>
      <c r="V331">
        <f>HYPERLINK("https://klasma.github.io/Logging_2463/klagomål/A 61301-2021 FSC-klagomål.docx", "A 61301-2021")</f>
        <v/>
      </c>
      <c r="W331">
        <f>HYPERLINK("https://klasma.github.io/Logging_2463/klagomålsmail/A 61301-2021 FSC-klagomål mail.docx", "A 61301-2021")</f>
        <v/>
      </c>
      <c r="X331">
        <f>HYPERLINK("https://klasma.github.io/Logging_2463/tillsyn/A 61301-2021 tillsynsbegäran.docx", "A 61301-2021")</f>
        <v/>
      </c>
      <c r="Y331">
        <f>HYPERLINK("https://klasma.github.io/Logging_2463/tillsynsmail/A 61301-2021 tillsynsbegäran mail.docx", "A 61301-2021")</f>
        <v/>
      </c>
    </row>
    <row r="332" ht="15" customHeight="1">
      <c r="A332" t="inlineStr">
        <is>
          <t>A 39032-2021</t>
        </is>
      </c>
      <c r="B332" s="1" t="n">
        <v>44412</v>
      </c>
      <c r="C332" s="1" t="n">
        <v>46075</v>
      </c>
      <c r="D332" t="inlineStr">
        <is>
          <t>VÄSTERBOTTENS LÄN</t>
        </is>
      </c>
      <c r="E332" t="inlineStr">
        <is>
          <t>LYCKSELE</t>
        </is>
      </c>
      <c r="F332" t="inlineStr">
        <is>
          <t>Sveaskog</t>
        </is>
      </c>
      <c r="G332" t="n">
        <v>9.300000000000001</v>
      </c>
      <c r="H332" t="n">
        <v>0</v>
      </c>
      <c r="I332" t="n">
        <v>1</v>
      </c>
      <c r="J332" t="n">
        <v>4</v>
      </c>
      <c r="K332" t="n">
        <v>0</v>
      </c>
      <c r="L332" t="n">
        <v>0</v>
      </c>
      <c r="M332" t="n">
        <v>0</v>
      </c>
      <c r="N332" t="n">
        <v>0</v>
      </c>
      <c r="O332" t="n">
        <v>4</v>
      </c>
      <c r="P332" t="n">
        <v>0</v>
      </c>
      <c r="Q332" t="n">
        <v>5</v>
      </c>
      <c r="R332" s="2" t="inlineStr">
        <is>
          <t>Dvärgbägarlav
Skrovlig taggsvamp
Talltaggsvamp
Vaddporing
Dropptaggsvamp</t>
        </is>
      </c>
      <c r="S332">
        <f>HYPERLINK("https://klasma.github.io/Logging_2481/artfynd/A 39032-2021 artfynd.xlsx", "A 39032-2021")</f>
        <v/>
      </c>
      <c r="T332">
        <f>HYPERLINK("https://klasma.github.io/Logging_2481/kartor/A 39032-2021 karta.png", "A 39032-2021")</f>
        <v/>
      </c>
      <c r="V332">
        <f>HYPERLINK("https://klasma.github.io/Logging_2481/klagomål/A 39032-2021 FSC-klagomål.docx", "A 39032-2021")</f>
        <v/>
      </c>
      <c r="W332">
        <f>HYPERLINK("https://klasma.github.io/Logging_2481/klagomålsmail/A 39032-2021 FSC-klagomål mail.docx", "A 39032-2021")</f>
        <v/>
      </c>
      <c r="X332">
        <f>HYPERLINK("https://klasma.github.io/Logging_2481/tillsyn/A 39032-2021 tillsynsbegäran.docx", "A 39032-2021")</f>
        <v/>
      </c>
      <c r="Y332">
        <f>HYPERLINK("https://klasma.github.io/Logging_2481/tillsynsmail/A 39032-2021 tillsynsbegäran mail.docx", "A 39032-2021")</f>
        <v/>
      </c>
    </row>
    <row r="333" ht="15" customHeight="1">
      <c r="A333" t="inlineStr">
        <is>
          <t>A 72326-2021</t>
        </is>
      </c>
      <c r="B333" s="1" t="n">
        <v>44545</v>
      </c>
      <c r="C333" s="1" t="n">
        <v>46075</v>
      </c>
      <c r="D333" t="inlineStr">
        <is>
          <t>VÄSTERBOTTENS LÄN</t>
        </is>
      </c>
      <c r="E333" t="inlineStr">
        <is>
          <t>NORSJÖ</t>
        </is>
      </c>
      <c r="F333" t="inlineStr">
        <is>
          <t>Sveaskog</t>
        </is>
      </c>
      <c r="G333" t="n">
        <v>13.8</v>
      </c>
      <c r="H333" t="n">
        <v>2</v>
      </c>
      <c r="I333" t="n">
        <v>3</v>
      </c>
      <c r="J333" t="n">
        <v>2</v>
      </c>
      <c r="K333" t="n">
        <v>0</v>
      </c>
      <c r="L333" t="n">
        <v>0</v>
      </c>
      <c r="M333" t="n">
        <v>0</v>
      </c>
      <c r="N333" t="n">
        <v>0</v>
      </c>
      <c r="O333" t="n">
        <v>2</v>
      </c>
      <c r="P333" t="n">
        <v>0</v>
      </c>
      <c r="Q333" t="n">
        <v>5</v>
      </c>
      <c r="R333" s="2" t="inlineStr">
        <is>
          <t>Granticka
Lunglav
Lappranunkel
Spindelblomster
Stuplav</t>
        </is>
      </c>
      <c r="S333">
        <f>HYPERLINK("https://klasma.github.io/Logging_2417/artfynd/A 72326-2021 artfynd.xlsx", "A 72326-2021")</f>
        <v/>
      </c>
      <c r="T333">
        <f>HYPERLINK("https://klasma.github.io/Logging_2417/kartor/A 72326-2021 karta.png", "A 72326-2021")</f>
        <v/>
      </c>
      <c r="V333">
        <f>HYPERLINK("https://klasma.github.io/Logging_2417/klagomål/A 72326-2021 FSC-klagomål.docx", "A 72326-2021")</f>
        <v/>
      </c>
      <c r="W333">
        <f>HYPERLINK("https://klasma.github.io/Logging_2417/klagomålsmail/A 72326-2021 FSC-klagomål mail.docx", "A 72326-2021")</f>
        <v/>
      </c>
      <c r="X333">
        <f>HYPERLINK("https://klasma.github.io/Logging_2417/tillsyn/A 72326-2021 tillsynsbegäran.docx", "A 72326-2021")</f>
        <v/>
      </c>
      <c r="Y333">
        <f>HYPERLINK("https://klasma.github.io/Logging_2417/tillsynsmail/A 72326-2021 tillsynsbegäran mail.docx", "A 72326-2021")</f>
        <v/>
      </c>
    </row>
    <row r="334" ht="15" customHeight="1">
      <c r="A334" t="inlineStr">
        <is>
          <t>A 7976-2022</t>
        </is>
      </c>
      <c r="B334" s="1" t="n">
        <v>44609.3165162037</v>
      </c>
      <c r="C334" s="1" t="n">
        <v>46075</v>
      </c>
      <c r="D334" t="inlineStr">
        <is>
          <t>VÄSTERBOTTENS LÄN</t>
        </is>
      </c>
      <c r="E334" t="inlineStr">
        <is>
          <t>LYCKSELE</t>
        </is>
      </c>
      <c r="F334" t="inlineStr">
        <is>
          <t>Sveaskog</t>
        </is>
      </c>
      <c r="G334" t="n">
        <v>5.4</v>
      </c>
      <c r="H334" t="n">
        <v>0</v>
      </c>
      <c r="I334" t="n">
        <v>1</v>
      </c>
      <c r="J334" t="n">
        <v>4</v>
      </c>
      <c r="K334" t="n">
        <v>0</v>
      </c>
      <c r="L334" t="n">
        <v>0</v>
      </c>
      <c r="M334" t="n">
        <v>0</v>
      </c>
      <c r="N334" t="n">
        <v>0</v>
      </c>
      <c r="O334" t="n">
        <v>4</v>
      </c>
      <c r="P334" t="n">
        <v>0</v>
      </c>
      <c r="Q334" t="n">
        <v>5</v>
      </c>
      <c r="R334" s="2" t="inlineStr">
        <is>
          <t>Garnlav
Lunglav
Mörk kolflarnlav
Skrovellav
Luddlav</t>
        </is>
      </c>
      <c r="S334">
        <f>HYPERLINK("https://klasma.github.io/Logging_2481/artfynd/A 7976-2022 artfynd.xlsx", "A 7976-2022")</f>
        <v/>
      </c>
      <c r="T334">
        <f>HYPERLINK("https://klasma.github.io/Logging_2481/kartor/A 7976-2022 karta.png", "A 7976-2022")</f>
        <v/>
      </c>
      <c r="V334">
        <f>HYPERLINK("https://klasma.github.io/Logging_2481/klagomål/A 7976-2022 FSC-klagomål.docx", "A 7976-2022")</f>
        <v/>
      </c>
      <c r="W334">
        <f>HYPERLINK("https://klasma.github.io/Logging_2481/klagomålsmail/A 7976-2022 FSC-klagomål mail.docx", "A 7976-2022")</f>
        <v/>
      </c>
      <c r="X334">
        <f>HYPERLINK("https://klasma.github.io/Logging_2481/tillsyn/A 7976-2022 tillsynsbegäran.docx", "A 7976-2022")</f>
        <v/>
      </c>
      <c r="Y334">
        <f>HYPERLINK("https://klasma.github.io/Logging_2481/tillsynsmail/A 7976-2022 tillsynsbegäran mail.docx", "A 7976-2022")</f>
        <v/>
      </c>
    </row>
    <row r="335" ht="15" customHeight="1">
      <c r="A335" t="inlineStr">
        <is>
          <t>A 64868-2021</t>
        </is>
      </c>
      <c r="B335" s="1" t="n">
        <v>44512.60774305555</v>
      </c>
      <c r="C335" s="1" t="n">
        <v>46075</v>
      </c>
      <c r="D335" t="inlineStr">
        <is>
          <t>VÄSTERBOTTENS LÄN</t>
        </is>
      </c>
      <c r="E335" t="inlineStr">
        <is>
          <t>VINDELN</t>
        </is>
      </c>
      <c r="F335" t="inlineStr">
        <is>
          <t>Sveaskog</t>
        </is>
      </c>
      <c r="G335" t="n">
        <v>3.7</v>
      </c>
      <c r="H335" t="n">
        <v>0</v>
      </c>
      <c r="I335" t="n">
        <v>2</v>
      </c>
      <c r="J335" t="n">
        <v>3</v>
      </c>
      <c r="K335" t="n">
        <v>0</v>
      </c>
      <c r="L335" t="n">
        <v>0</v>
      </c>
      <c r="M335" t="n">
        <v>0</v>
      </c>
      <c r="N335" t="n">
        <v>0</v>
      </c>
      <c r="O335" t="n">
        <v>3</v>
      </c>
      <c r="P335" t="n">
        <v>0</v>
      </c>
      <c r="Q335" t="n">
        <v>5</v>
      </c>
      <c r="R335" s="2" t="inlineStr">
        <is>
          <t>Blå taggsvamp
Gammelgransskål
Granticka
Dropptaggsvamp
Skarp dropptaggsvamp</t>
        </is>
      </c>
      <c r="S335">
        <f>HYPERLINK("https://klasma.github.io/Logging_2404/artfynd/A 64868-2021 artfynd.xlsx", "A 64868-2021")</f>
        <v/>
      </c>
      <c r="T335">
        <f>HYPERLINK("https://klasma.github.io/Logging_2404/kartor/A 64868-2021 karta.png", "A 64868-2021")</f>
        <v/>
      </c>
      <c r="V335">
        <f>HYPERLINK("https://klasma.github.io/Logging_2404/klagomål/A 64868-2021 FSC-klagomål.docx", "A 64868-2021")</f>
        <v/>
      </c>
      <c r="W335">
        <f>HYPERLINK("https://klasma.github.io/Logging_2404/klagomålsmail/A 64868-2021 FSC-klagomål mail.docx", "A 64868-2021")</f>
        <v/>
      </c>
      <c r="X335">
        <f>HYPERLINK("https://klasma.github.io/Logging_2404/tillsyn/A 64868-2021 tillsynsbegäran.docx", "A 64868-2021")</f>
        <v/>
      </c>
      <c r="Y335">
        <f>HYPERLINK("https://klasma.github.io/Logging_2404/tillsynsmail/A 64868-2021 tillsynsbegäran mail.docx", "A 64868-2021")</f>
        <v/>
      </c>
    </row>
    <row r="336" ht="15" customHeight="1">
      <c r="A336" t="inlineStr">
        <is>
          <t>A 11867-2022</t>
        </is>
      </c>
      <c r="B336" s="1" t="n">
        <v>44635</v>
      </c>
      <c r="C336" s="1" t="n">
        <v>46075</v>
      </c>
      <c r="D336" t="inlineStr">
        <is>
          <t>VÄSTERBOTTENS LÄN</t>
        </is>
      </c>
      <c r="E336" t="inlineStr">
        <is>
          <t>SKELLEFTEÅ</t>
        </is>
      </c>
      <c r="G336" t="n">
        <v>5</v>
      </c>
      <c r="H336" t="n">
        <v>1</v>
      </c>
      <c r="I336" t="n">
        <v>0</v>
      </c>
      <c r="J336" t="n">
        <v>4</v>
      </c>
      <c r="K336" t="n">
        <v>1</v>
      </c>
      <c r="L336" t="n">
        <v>0</v>
      </c>
      <c r="M336" t="n">
        <v>0</v>
      </c>
      <c r="N336" t="n">
        <v>0</v>
      </c>
      <c r="O336" t="n">
        <v>5</v>
      </c>
      <c r="P336" t="n">
        <v>1</v>
      </c>
      <c r="Q336" t="n">
        <v>5</v>
      </c>
      <c r="R336" s="2" t="inlineStr">
        <is>
          <t>Nordlig flatbagge
Kolflarnlav
Skrovlig flatbagge
Spillkråka
Violettgrå tagellav</t>
        </is>
      </c>
      <c r="S336">
        <f>HYPERLINK("https://klasma.github.io/Logging_2482/artfynd/A 11867-2022 artfynd.xlsx", "A 11867-2022")</f>
        <v/>
      </c>
      <c r="T336">
        <f>HYPERLINK("https://klasma.github.io/Logging_2482/kartor/A 11867-2022 karta.png", "A 11867-2022")</f>
        <v/>
      </c>
      <c r="V336">
        <f>HYPERLINK("https://klasma.github.io/Logging_2482/klagomål/A 11867-2022 FSC-klagomål.docx", "A 11867-2022")</f>
        <v/>
      </c>
      <c r="W336">
        <f>HYPERLINK("https://klasma.github.io/Logging_2482/klagomålsmail/A 11867-2022 FSC-klagomål mail.docx", "A 11867-2022")</f>
        <v/>
      </c>
      <c r="X336">
        <f>HYPERLINK("https://klasma.github.io/Logging_2482/tillsyn/A 11867-2022 tillsynsbegäran.docx", "A 11867-2022")</f>
        <v/>
      </c>
      <c r="Y336">
        <f>HYPERLINK("https://klasma.github.io/Logging_2482/tillsynsmail/A 11867-2022 tillsynsbegäran mail.docx", "A 11867-2022")</f>
        <v/>
      </c>
      <c r="Z336">
        <f>HYPERLINK("https://klasma.github.io/Logging_2482/fåglar/A 11867-2022 prioriterade fågelarter.docx", "A 11867-2022")</f>
        <v/>
      </c>
    </row>
    <row r="337" ht="15" customHeight="1">
      <c r="A337" t="inlineStr">
        <is>
          <t>A 54340-2024</t>
        </is>
      </c>
      <c r="B337" s="1" t="n">
        <v>45617</v>
      </c>
      <c r="C337" s="1" t="n">
        <v>46075</v>
      </c>
      <c r="D337" t="inlineStr">
        <is>
          <t>VÄSTERBOTTENS LÄN</t>
        </is>
      </c>
      <c r="E337" t="inlineStr">
        <is>
          <t>ÅSELE</t>
        </is>
      </c>
      <c r="F337" t="inlineStr">
        <is>
          <t>SCA</t>
        </is>
      </c>
      <c r="G337" t="n">
        <v>15.4</v>
      </c>
      <c r="H337" t="n">
        <v>0</v>
      </c>
      <c r="I337" t="n">
        <v>0</v>
      </c>
      <c r="J337" t="n">
        <v>5</v>
      </c>
      <c r="K337" t="n">
        <v>0</v>
      </c>
      <c r="L337" t="n">
        <v>0</v>
      </c>
      <c r="M337" t="n">
        <v>0</v>
      </c>
      <c r="N337" t="n">
        <v>0</v>
      </c>
      <c r="O337" t="n">
        <v>5</v>
      </c>
      <c r="P337" t="n">
        <v>0</v>
      </c>
      <c r="Q337" t="n">
        <v>5</v>
      </c>
      <c r="R337" s="2" t="inlineStr">
        <is>
          <t>Gammelgransskål
Garnlav
Granticka
Ullticka
Vitgrynig nållav</t>
        </is>
      </c>
      <c r="S337">
        <f>HYPERLINK("https://klasma.github.io/Logging_2463/artfynd/A 54340-2024 artfynd.xlsx", "A 54340-2024")</f>
        <v/>
      </c>
      <c r="T337">
        <f>HYPERLINK("https://klasma.github.io/Logging_2463/kartor/A 54340-2024 karta.png", "A 54340-2024")</f>
        <v/>
      </c>
      <c r="V337">
        <f>HYPERLINK("https://klasma.github.io/Logging_2463/klagomål/A 54340-2024 FSC-klagomål.docx", "A 54340-2024")</f>
        <v/>
      </c>
      <c r="W337">
        <f>HYPERLINK("https://klasma.github.io/Logging_2463/klagomålsmail/A 54340-2024 FSC-klagomål mail.docx", "A 54340-2024")</f>
        <v/>
      </c>
      <c r="X337">
        <f>HYPERLINK("https://klasma.github.io/Logging_2463/tillsyn/A 54340-2024 tillsynsbegäran.docx", "A 54340-2024")</f>
        <v/>
      </c>
      <c r="Y337">
        <f>HYPERLINK("https://klasma.github.io/Logging_2463/tillsynsmail/A 54340-2024 tillsynsbegäran mail.docx", "A 54340-2024")</f>
        <v/>
      </c>
    </row>
    <row r="338" ht="15" customHeight="1">
      <c r="A338" t="inlineStr">
        <is>
          <t>A 15648-2023</t>
        </is>
      </c>
      <c r="B338" s="1" t="n">
        <v>45019</v>
      </c>
      <c r="C338" s="1" t="n">
        <v>46075</v>
      </c>
      <c r="D338" t="inlineStr">
        <is>
          <t>VÄSTERBOTTENS LÄN</t>
        </is>
      </c>
      <c r="E338" t="inlineStr">
        <is>
          <t>UMEÅ</t>
        </is>
      </c>
      <c r="F338" t="inlineStr">
        <is>
          <t>Kommuner</t>
        </is>
      </c>
      <c r="G338" t="n">
        <v>6.9</v>
      </c>
      <c r="H338" t="n">
        <v>0</v>
      </c>
      <c r="I338" t="n">
        <v>1</v>
      </c>
      <c r="J338" t="n">
        <v>4</v>
      </c>
      <c r="K338" t="n">
        <v>0</v>
      </c>
      <c r="L338" t="n">
        <v>0</v>
      </c>
      <c r="M338" t="n">
        <v>0</v>
      </c>
      <c r="N338" t="n">
        <v>0</v>
      </c>
      <c r="O338" t="n">
        <v>4</v>
      </c>
      <c r="P338" t="n">
        <v>0</v>
      </c>
      <c r="Q338" t="n">
        <v>5</v>
      </c>
      <c r="R338" s="2" t="inlineStr">
        <is>
          <t>Gammelgransskål
Garnlav
Granticka
Ullticka
Bollvitmossa</t>
        </is>
      </c>
      <c r="S338">
        <f>HYPERLINK("https://klasma.github.io/Logging_2480/artfynd/A 15648-2023 artfynd.xlsx", "A 15648-2023")</f>
        <v/>
      </c>
      <c r="T338">
        <f>HYPERLINK("https://klasma.github.io/Logging_2480/kartor/A 15648-2023 karta.png", "A 15648-2023")</f>
        <v/>
      </c>
      <c r="V338">
        <f>HYPERLINK("https://klasma.github.io/Logging_2480/klagomål/A 15648-2023 FSC-klagomål.docx", "A 15648-2023")</f>
        <v/>
      </c>
      <c r="W338">
        <f>HYPERLINK("https://klasma.github.io/Logging_2480/klagomålsmail/A 15648-2023 FSC-klagomål mail.docx", "A 15648-2023")</f>
        <v/>
      </c>
      <c r="X338">
        <f>HYPERLINK("https://klasma.github.io/Logging_2480/tillsyn/A 15648-2023 tillsynsbegäran.docx", "A 15648-2023")</f>
        <v/>
      </c>
      <c r="Y338">
        <f>HYPERLINK("https://klasma.github.io/Logging_2480/tillsynsmail/A 15648-2023 tillsynsbegäran mail.docx", "A 15648-2023")</f>
        <v/>
      </c>
    </row>
    <row r="339" ht="15" customHeight="1">
      <c r="A339" t="inlineStr">
        <is>
          <t>A 18951-2023</t>
        </is>
      </c>
      <c r="B339" s="1" t="n">
        <v>45043</v>
      </c>
      <c r="C339" s="1" t="n">
        <v>46075</v>
      </c>
      <c r="D339" t="inlineStr">
        <is>
          <t>VÄSTERBOTTENS LÄN</t>
        </is>
      </c>
      <c r="E339" t="inlineStr">
        <is>
          <t>BJURHOLM</t>
        </is>
      </c>
      <c r="G339" t="n">
        <v>0.7</v>
      </c>
      <c r="H339" t="n">
        <v>0</v>
      </c>
      <c r="I339" t="n">
        <v>2</v>
      </c>
      <c r="J339" t="n">
        <v>3</v>
      </c>
      <c r="K339" t="n">
        <v>0</v>
      </c>
      <c r="L339" t="n">
        <v>0</v>
      </c>
      <c r="M339" t="n">
        <v>0</v>
      </c>
      <c r="N339" t="n">
        <v>0</v>
      </c>
      <c r="O339" t="n">
        <v>3</v>
      </c>
      <c r="P339" t="n">
        <v>0</v>
      </c>
      <c r="Q339" t="n">
        <v>5</v>
      </c>
      <c r="R339" s="2" t="inlineStr">
        <is>
          <t>Lunglav
Småflikig brosklav
Violettgrå tagellav
Stuplav
Vedticka</t>
        </is>
      </c>
      <c r="S339">
        <f>HYPERLINK("https://klasma.github.io/Logging_2403/artfynd/A 18951-2023 artfynd.xlsx", "A 18951-2023")</f>
        <v/>
      </c>
      <c r="T339">
        <f>HYPERLINK("https://klasma.github.io/Logging_2403/kartor/A 18951-2023 karta.png", "A 18951-2023")</f>
        <v/>
      </c>
      <c r="V339">
        <f>HYPERLINK("https://klasma.github.io/Logging_2403/klagomål/A 18951-2023 FSC-klagomål.docx", "A 18951-2023")</f>
        <v/>
      </c>
      <c r="W339">
        <f>HYPERLINK("https://klasma.github.io/Logging_2403/klagomålsmail/A 18951-2023 FSC-klagomål mail.docx", "A 18951-2023")</f>
        <v/>
      </c>
      <c r="X339">
        <f>HYPERLINK("https://klasma.github.io/Logging_2403/tillsyn/A 18951-2023 tillsynsbegäran.docx", "A 18951-2023")</f>
        <v/>
      </c>
      <c r="Y339">
        <f>HYPERLINK("https://klasma.github.io/Logging_2403/tillsynsmail/A 18951-2023 tillsynsbegäran mail.docx", "A 18951-2023")</f>
        <v/>
      </c>
    </row>
    <row r="340" ht="15" customHeight="1">
      <c r="A340" t="inlineStr">
        <is>
          <t>A 55409-2024</t>
        </is>
      </c>
      <c r="B340" s="1" t="n">
        <v>45622</v>
      </c>
      <c r="C340" s="1" t="n">
        <v>46075</v>
      </c>
      <c r="D340" t="inlineStr">
        <is>
          <t>VÄSTERBOTTENS LÄN</t>
        </is>
      </c>
      <c r="E340" t="inlineStr">
        <is>
          <t>VINDELN</t>
        </is>
      </c>
      <c r="F340" t="inlineStr">
        <is>
          <t>Sveaskog</t>
        </is>
      </c>
      <c r="G340" t="n">
        <v>12.4</v>
      </c>
      <c r="H340" t="n">
        <v>0</v>
      </c>
      <c r="I340" t="n">
        <v>0</v>
      </c>
      <c r="J340" t="n">
        <v>4</v>
      </c>
      <c r="K340" t="n">
        <v>1</v>
      </c>
      <c r="L340" t="n">
        <v>0</v>
      </c>
      <c r="M340" t="n">
        <v>0</v>
      </c>
      <c r="N340" t="n">
        <v>0</v>
      </c>
      <c r="O340" t="n">
        <v>5</v>
      </c>
      <c r="P340" t="n">
        <v>1</v>
      </c>
      <c r="Q340" t="n">
        <v>5</v>
      </c>
      <c r="R340" s="2" t="inlineStr">
        <is>
          <t>Smalfotad taggsvamp
Blå taggsvamp
Lunglav
Vaddporing
Violettgrå tagellav</t>
        </is>
      </c>
      <c r="S340">
        <f>HYPERLINK("https://klasma.github.io/Logging_2404/artfynd/A 55409-2024 artfynd.xlsx", "A 55409-2024")</f>
        <v/>
      </c>
      <c r="T340">
        <f>HYPERLINK("https://klasma.github.io/Logging_2404/kartor/A 55409-2024 karta.png", "A 55409-2024")</f>
        <v/>
      </c>
      <c r="V340">
        <f>HYPERLINK("https://klasma.github.io/Logging_2404/klagomål/A 55409-2024 FSC-klagomål.docx", "A 55409-2024")</f>
        <v/>
      </c>
      <c r="W340">
        <f>HYPERLINK("https://klasma.github.io/Logging_2404/klagomålsmail/A 55409-2024 FSC-klagomål mail.docx", "A 55409-2024")</f>
        <v/>
      </c>
      <c r="X340">
        <f>HYPERLINK("https://klasma.github.io/Logging_2404/tillsyn/A 55409-2024 tillsynsbegäran.docx", "A 55409-2024")</f>
        <v/>
      </c>
      <c r="Y340">
        <f>HYPERLINK("https://klasma.github.io/Logging_2404/tillsynsmail/A 55409-2024 tillsynsbegäran mail.docx", "A 55409-2024")</f>
        <v/>
      </c>
    </row>
    <row r="341" ht="15" customHeight="1">
      <c r="A341" t="inlineStr">
        <is>
          <t>A 10345-2023</t>
        </is>
      </c>
      <c r="B341" s="1" t="n">
        <v>44980</v>
      </c>
      <c r="C341" s="1" t="n">
        <v>46075</v>
      </c>
      <c r="D341" t="inlineStr">
        <is>
          <t>VÄSTERBOTTENS LÄN</t>
        </is>
      </c>
      <c r="E341" t="inlineStr">
        <is>
          <t>LYCKSELE</t>
        </is>
      </c>
      <c r="G341" t="n">
        <v>2.3</v>
      </c>
      <c r="H341" t="n">
        <v>0</v>
      </c>
      <c r="I341" t="n">
        <v>1</v>
      </c>
      <c r="J341" t="n">
        <v>4</v>
      </c>
      <c r="K341" t="n">
        <v>0</v>
      </c>
      <c r="L341" t="n">
        <v>0</v>
      </c>
      <c r="M341" t="n">
        <v>0</v>
      </c>
      <c r="N341" t="n">
        <v>0</v>
      </c>
      <c r="O341" t="n">
        <v>4</v>
      </c>
      <c r="P341" t="n">
        <v>0</v>
      </c>
      <c r="Q341" t="n">
        <v>5</v>
      </c>
      <c r="R341" s="2" t="inlineStr">
        <is>
          <t>Blå taggsvamp
Gammelgransskål
Garnlav
Orange taggsvamp
Skarp dropptaggsvamp</t>
        </is>
      </c>
      <c r="S341">
        <f>HYPERLINK("https://klasma.github.io/Logging_2481/artfynd/A 10345-2023 artfynd.xlsx", "A 10345-2023")</f>
        <v/>
      </c>
      <c r="T341">
        <f>HYPERLINK("https://klasma.github.io/Logging_2481/kartor/A 10345-2023 karta.png", "A 10345-2023")</f>
        <v/>
      </c>
      <c r="V341">
        <f>HYPERLINK("https://klasma.github.io/Logging_2481/klagomål/A 10345-2023 FSC-klagomål.docx", "A 10345-2023")</f>
        <v/>
      </c>
      <c r="W341">
        <f>HYPERLINK("https://klasma.github.io/Logging_2481/klagomålsmail/A 10345-2023 FSC-klagomål mail.docx", "A 10345-2023")</f>
        <v/>
      </c>
      <c r="X341">
        <f>HYPERLINK("https://klasma.github.io/Logging_2481/tillsyn/A 10345-2023 tillsynsbegäran.docx", "A 10345-2023")</f>
        <v/>
      </c>
      <c r="Y341">
        <f>HYPERLINK("https://klasma.github.io/Logging_2481/tillsynsmail/A 10345-2023 tillsynsbegäran mail.docx", "A 10345-2023")</f>
        <v/>
      </c>
    </row>
    <row r="342" ht="15" customHeight="1">
      <c r="A342" t="inlineStr">
        <is>
          <t>A 29693-2025</t>
        </is>
      </c>
      <c r="B342" s="1" t="n">
        <v>45825.54184027778</v>
      </c>
      <c r="C342" s="1" t="n">
        <v>46075</v>
      </c>
      <c r="D342" t="inlineStr">
        <is>
          <t>VÄSTERBOTTENS LÄN</t>
        </is>
      </c>
      <c r="E342" t="inlineStr">
        <is>
          <t>SKELLEFTEÅ</t>
        </is>
      </c>
      <c r="G342" t="n">
        <v>17.8</v>
      </c>
      <c r="H342" t="n">
        <v>1</v>
      </c>
      <c r="I342" t="n">
        <v>2</v>
      </c>
      <c r="J342" t="n">
        <v>3</v>
      </c>
      <c r="K342" t="n">
        <v>0</v>
      </c>
      <c r="L342" t="n">
        <v>0</v>
      </c>
      <c r="M342" t="n">
        <v>0</v>
      </c>
      <c r="N342" t="n">
        <v>0</v>
      </c>
      <c r="O342" t="n">
        <v>3</v>
      </c>
      <c r="P342" t="n">
        <v>0</v>
      </c>
      <c r="Q342" t="n">
        <v>5</v>
      </c>
      <c r="R342" s="2" t="inlineStr">
        <is>
          <t>Garnlav
Orange taggsvamp
Talltita
Dropptaggsvamp
Nästlav</t>
        </is>
      </c>
      <c r="S342">
        <f>HYPERLINK("https://klasma.github.io/Logging_2482/artfynd/A 29693-2025 artfynd.xlsx", "A 29693-2025")</f>
        <v/>
      </c>
      <c r="T342">
        <f>HYPERLINK("https://klasma.github.io/Logging_2482/kartor/A 29693-2025 karta.png", "A 29693-2025")</f>
        <v/>
      </c>
      <c r="V342">
        <f>HYPERLINK("https://klasma.github.io/Logging_2482/klagomål/A 29693-2025 FSC-klagomål.docx", "A 29693-2025")</f>
        <v/>
      </c>
      <c r="W342">
        <f>HYPERLINK("https://klasma.github.io/Logging_2482/klagomålsmail/A 29693-2025 FSC-klagomål mail.docx", "A 29693-2025")</f>
        <v/>
      </c>
      <c r="X342">
        <f>HYPERLINK("https://klasma.github.io/Logging_2482/tillsyn/A 29693-2025 tillsynsbegäran.docx", "A 29693-2025")</f>
        <v/>
      </c>
      <c r="Y342">
        <f>HYPERLINK("https://klasma.github.io/Logging_2482/tillsynsmail/A 29693-2025 tillsynsbegäran mail.docx", "A 29693-2025")</f>
        <v/>
      </c>
      <c r="Z342">
        <f>HYPERLINK("https://klasma.github.io/Logging_2482/fåglar/A 29693-2025 prioriterade fågelarter.docx", "A 29693-2025")</f>
        <v/>
      </c>
    </row>
    <row r="343" ht="15" customHeight="1">
      <c r="A343" t="inlineStr">
        <is>
          <t>A 20701-2023</t>
        </is>
      </c>
      <c r="B343" s="1" t="n">
        <v>45055</v>
      </c>
      <c r="C343" s="1" t="n">
        <v>46075</v>
      </c>
      <c r="D343" t="inlineStr">
        <is>
          <t>VÄSTERBOTTENS LÄN</t>
        </is>
      </c>
      <c r="E343" t="inlineStr">
        <is>
          <t>STORUMAN</t>
        </is>
      </c>
      <c r="G343" t="n">
        <v>12.7</v>
      </c>
      <c r="H343" t="n">
        <v>1</v>
      </c>
      <c r="I343" t="n">
        <v>2</v>
      </c>
      <c r="J343" t="n">
        <v>3</v>
      </c>
      <c r="K343" t="n">
        <v>0</v>
      </c>
      <c r="L343" t="n">
        <v>0</v>
      </c>
      <c r="M343" t="n">
        <v>0</v>
      </c>
      <c r="N343" t="n">
        <v>0</v>
      </c>
      <c r="O343" t="n">
        <v>3</v>
      </c>
      <c r="P343" t="n">
        <v>0</v>
      </c>
      <c r="Q343" t="n">
        <v>5</v>
      </c>
      <c r="R343" s="2" t="inlineStr">
        <is>
          <t>Garnlav
Skrovellav
Tretåig hackspett
Blodticka
Luddlav</t>
        </is>
      </c>
      <c r="S343">
        <f>HYPERLINK("https://klasma.github.io/Logging_2421/artfynd/A 20701-2023 artfynd.xlsx", "A 20701-2023")</f>
        <v/>
      </c>
      <c r="T343">
        <f>HYPERLINK("https://klasma.github.io/Logging_2421/kartor/A 20701-2023 karta.png", "A 20701-2023")</f>
        <v/>
      </c>
      <c r="V343">
        <f>HYPERLINK("https://klasma.github.io/Logging_2421/klagomål/A 20701-2023 FSC-klagomål.docx", "A 20701-2023")</f>
        <v/>
      </c>
      <c r="W343">
        <f>HYPERLINK("https://klasma.github.io/Logging_2421/klagomålsmail/A 20701-2023 FSC-klagomål mail.docx", "A 20701-2023")</f>
        <v/>
      </c>
      <c r="X343">
        <f>HYPERLINK("https://klasma.github.io/Logging_2421/tillsyn/A 20701-2023 tillsynsbegäran.docx", "A 20701-2023")</f>
        <v/>
      </c>
      <c r="Y343">
        <f>HYPERLINK("https://klasma.github.io/Logging_2421/tillsynsmail/A 20701-2023 tillsynsbegäran mail.docx", "A 20701-2023")</f>
        <v/>
      </c>
      <c r="Z343">
        <f>HYPERLINK("https://klasma.github.io/Logging_2421/fåglar/A 20701-2023 prioriterade fågelarter.docx", "A 20701-2023")</f>
        <v/>
      </c>
    </row>
    <row r="344" ht="15" customHeight="1">
      <c r="A344" t="inlineStr">
        <is>
          <t>A 39882-2025</t>
        </is>
      </c>
      <c r="B344" s="1" t="n">
        <v>45891.6204050926</v>
      </c>
      <c r="C344" s="1" t="n">
        <v>46075</v>
      </c>
      <c r="D344" t="inlineStr">
        <is>
          <t>VÄSTERBOTTENS LÄN</t>
        </is>
      </c>
      <c r="E344" t="inlineStr">
        <is>
          <t>SORSELE</t>
        </is>
      </c>
      <c r="G344" t="n">
        <v>10.4</v>
      </c>
      <c r="H344" t="n">
        <v>0</v>
      </c>
      <c r="I344" t="n">
        <v>1</v>
      </c>
      <c r="J344" t="n">
        <v>3</v>
      </c>
      <c r="K344" t="n">
        <v>1</v>
      </c>
      <c r="L344" t="n">
        <v>0</v>
      </c>
      <c r="M344" t="n">
        <v>0</v>
      </c>
      <c r="N344" t="n">
        <v>0</v>
      </c>
      <c r="O344" t="n">
        <v>4</v>
      </c>
      <c r="P344" t="n">
        <v>1</v>
      </c>
      <c r="Q344" t="n">
        <v>5</v>
      </c>
      <c r="R344" s="2" t="inlineStr">
        <is>
          <t>Ostticka
Gammelgransskål
Granticka
Stjärntagging
Skinnlav</t>
        </is>
      </c>
      <c r="S344">
        <f>HYPERLINK("https://klasma.github.io/Logging_2422/artfynd/A 39882-2025 artfynd.xlsx", "A 39882-2025")</f>
        <v/>
      </c>
      <c r="T344">
        <f>HYPERLINK("https://klasma.github.io/Logging_2422/kartor/A 39882-2025 karta.png", "A 39882-2025")</f>
        <v/>
      </c>
      <c r="V344">
        <f>HYPERLINK("https://klasma.github.io/Logging_2422/klagomål/A 39882-2025 FSC-klagomål.docx", "A 39882-2025")</f>
        <v/>
      </c>
      <c r="W344">
        <f>HYPERLINK("https://klasma.github.io/Logging_2422/klagomålsmail/A 39882-2025 FSC-klagomål mail.docx", "A 39882-2025")</f>
        <v/>
      </c>
      <c r="X344">
        <f>HYPERLINK("https://klasma.github.io/Logging_2422/tillsyn/A 39882-2025 tillsynsbegäran.docx", "A 39882-2025")</f>
        <v/>
      </c>
      <c r="Y344">
        <f>HYPERLINK("https://klasma.github.io/Logging_2422/tillsynsmail/A 39882-2025 tillsynsbegäran mail.docx", "A 39882-2025")</f>
        <v/>
      </c>
    </row>
    <row r="345" ht="15" customHeight="1">
      <c r="A345" t="inlineStr">
        <is>
          <t>A 56000-2024</t>
        </is>
      </c>
      <c r="B345" s="1" t="n">
        <v>45623.70361111111</v>
      </c>
      <c r="C345" s="1" t="n">
        <v>46075</v>
      </c>
      <c r="D345" t="inlineStr">
        <is>
          <t>VÄSTERBOTTENS LÄN</t>
        </is>
      </c>
      <c r="E345" t="inlineStr">
        <is>
          <t>LYCKSELE</t>
        </is>
      </c>
      <c r="G345" t="n">
        <v>1.4</v>
      </c>
      <c r="H345" t="n">
        <v>1</v>
      </c>
      <c r="I345" t="n">
        <v>2</v>
      </c>
      <c r="J345" t="n">
        <v>2</v>
      </c>
      <c r="K345" t="n">
        <v>0</v>
      </c>
      <c r="L345" t="n">
        <v>0</v>
      </c>
      <c r="M345" t="n">
        <v>0</v>
      </c>
      <c r="N345" t="n">
        <v>0</v>
      </c>
      <c r="O345" t="n">
        <v>2</v>
      </c>
      <c r="P345" t="n">
        <v>0</v>
      </c>
      <c r="Q345" t="n">
        <v>5</v>
      </c>
      <c r="R345" s="2" t="inlineStr">
        <is>
          <t>Garnlav
Rosenticka
Dropptaggsvamp
Norrlandslav
Tjäder</t>
        </is>
      </c>
      <c r="S345">
        <f>HYPERLINK("https://klasma.github.io/Logging_2481/artfynd/A 56000-2024 artfynd.xlsx", "A 56000-2024")</f>
        <v/>
      </c>
      <c r="T345">
        <f>HYPERLINK("https://klasma.github.io/Logging_2481/kartor/A 56000-2024 karta.png", "A 56000-2024")</f>
        <v/>
      </c>
      <c r="V345">
        <f>HYPERLINK("https://klasma.github.io/Logging_2481/klagomål/A 56000-2024 FSC-klagomål.docx", "A 56000-2024")</f>
        <v/>
      </c>
      <c r="W345">
        <f>HYPERLINK("https://klasma.github.io/Logging_2481/klagomålsmail/A 56000-2024 FSC-klagomål mail.docx", "A 56000-2024")</f>
        <v/>
      </c>
      <c r="X345">
        <f>HYPERLINK("https://klasma.github.io/Logging_2481/tillsyn/A 56000-2024 tillsynsbegäran.docx", "A 56000-2024")</f>
        <v/>
      </c>
      <c r="Y345">
        <f>HYPERLINK("https://klasma.github.io/Logging_2481/tillsynsmail/A 56000-2024 tillsynsbegäran mail.docx", "A 56000-2024")</f>
        <v/>
      </c>
      <c r="Z345">
        <f>HYPERLINK("https://klasma.github.io/Logging_2481/fåglar/A 56000-2024 prioriterade fågelarter.docx", "A 56000-2024")</f>
        <v/>
      </c>
    </row>
    <row r="346" ht="15" customHeight="1">
      <c r="A346" t="inlineStr">
        <is>
          <t>A 33941-2024</t>
        </is>
      </c>
      <c r="B346" s="1" t="n">
        <v>45523.44668981482</v>
      </c>
      <c r="C346" s="1" t="n">
        <v>46075</v>
      </c>
      <c r="D346" t="inlineStr">
        <is>
          <t>VÄSTERBOTTENS LÄN</t>
        </is>
      </c>
      <c r="E346" t="inlineStr">
        <is>
          <t>SKELLEFTEÅ</t>
        </is>
      </c>
      <c r="F346" t="inlineStr">
        <is>
          <t>Holmen skog AB</t>
        </is>
      </c>
      <c r="G346" t="n">
        <v>8.1</v>
      </c>
      <c r="H346" t="n">
        <v>3</v>
      </c>
      <c r="I346" t="n">
        <v>0</v>
      </c>
      <c r="J346" t="n">
        <v>4</v>
      </c>
      <c r="K346" t="n">
        <v>0</v>
      </c>
      <c r="L346" t="n">
        <v>0</v>
      </c>
      <c r="M346" t="n">
        <v>0</v>
      </c>
      <c r="N346" t="n">
        <v>0</v>
      </c>
      <c r="O346" t="n">
        <v>4</v>
      </c>
      <c r="P346" t="n">
        <v>0</v>
      </c>
      <c r="Q346" t="n">
        <v>5</v>
      </c>
      <c r="R346" s="2" t="inlineStr">
        <is>
          <t>Garnlav
Granticka
Talltita
Tretåig hackspett
Revlummer</t>
        </is>
      </c>
      <c r="S346">
        <f>HYPERLINK("https://klasma.github.io/Logging_2482/artfynd/A 33941-2024 artfynd.xlsx", "A 33941-2024")</f>
        <v/>
      </c>
      <c r="T346">
        <f>HYPERLINK("https://klasma.github.io/Logging_2482/kartor/A 33941-2024 karta.png", "A 33941-2024")</f>
        <v/>
      </c>
      <c r="V346">
        <f>HYPERLINK("https://klasma.github.io/Logging_2482/klagomål/A 33941-2024 FSC-klagomål.docx", "A 33941-2024")</f>
        <v/>
      </c>
      <c r="W346">
        <f>HYPERLINK("https://klasma.github.io/Logging_2482/klagomålsmail/A 33941-2024 FSC-klagomål mail.docx", "A 33941-2024")</f>
        <v/>
      </c>
      <c r="X346">
        <f>HYPERLINK("https://klasma.github.io/Logging_2482/tillsyn/A 33941-2024 tillsynsbegäran.docx", "A 33941-2024")</f>
        <v/>
      </c>
      <c r="Y346">
        <f>HYPERLINK("https://klasma.github.io/Logging_2482/tillsynsmail/A 33941-2024 tillsynsbegäran mail.docx", "A 33941-2024")</f>
        <v/>
      </c>
      <c r="Z346">
        <f>HYPERLINK("https://klasma.github.io/Logging_2482/fåglar/A 33941-2024 prioriterade fågelarter.docx", "A 33941-2024")</f>
        <v/>
      </c>
    </row>
    <row r="347" ht="15" customHeight="1">
      <c r="A347" t="inlineStr">
        <is>
          <t>A 32739-2025</t>
        </is>
      </c>
      <c r="B347" s="1" t="n">
        <v>45839.42177083333</v>
      </c>
      <c r="C347" s="1" t="n">
        <v>46075</v>
      </c>
      <c r="D347" t="inlineStr">
        <is>
          <t>VÄSTERBOTTENS LÄN</t>
        </is>
      </c>
      <c r="E347" t="inlineStr">
        <is>
          <t>SKELLEFTEÅ</t>
        </is>
      </c>
      <c r="G347" t="n">
        <v>3.5</v>
      </c>
      <c r="H347" t="n">
        <v>2</v>
      </c>
      <c r="I347" t="n">
        <v>2</v>
      </c>
      <c r="J347" t="n">
        <v>2</v>
      </c>
      <c r="K347" t="n">
        <v>1</v>
      </c>
      <c r="L347" t="n">
        <v>0</v>
      </c>
      <c r="M347" t="n">
        <v>0</v>
      </c>
      <c r="N347" t="n">
        <v>0</v>
      </c>
      <c r="O347" t="n">
        <v>3</v>
      </c>
      <c r="P347" t="n">
        <v>1</v>
      </c>
      <c r="Q347" t="n">
        <v>5</v>
      </c>
      <c r="R347" s="2" t="inlineStr">
        <is>
          <t>Knärot
Talltita
Ullticka
Grönpyrola
Späd brosklav</t>
        </is>
      </c>
      <c r="S347">
        <f>HYPERLINK("https://klasma.github.io/Logging_2482/artfynd/A 32739-2025 artfynd.xlsx", "A 32739-2025")</f>
        <v/>
      </c>
      <c r="T347">
        <f>HYPERLINK("https://klasma.github.io/Logging_2482/kartor/A 32739-2025 karta.png", "A 32739-2025")</f>
        <v/>
      </c>
      <c r="U347">
        <f>HYPERLINK("https://klasma.github.io/Logging_2482/knärot/A 32739-2025 karta knärot.png", "A 32739-2025")</f>
        <v/>
      </c>
      <c r="V347">
        <f>HYPERLINK("https://klasma.github.io/Logging_2482/klagomål/A 32739-2025 FSC-klagomål.docx", "A 32739-2025")</f>
        <v/>
      </c>
      <c r="W347">
        <f>HYPERLINK("https://klasma.github.io/Logging_2482/klagomålsmail/A 32739-2025 FSC-klagomål mail.docx", "A 32739-2025")</f>
        <v/>
      </c>
      <c r="X347">
        <f>HYPERLINK("https://klasma.github.io/Logging_2482/tillsyn/A 32739-2025 tillsynsbegäran.docx", "A 32739-2025")</f>
        <v/>
      </c>
      <c r="Y347">
        <f>HYPERLINK("https://klasma.github.io/Logging_2482/tillsynsmail/A 32739-2025 tillsynsbegäran mail.docx", "A 32739-2025")</f>
        <v/>
      </c>
      <c r="Z347">
        <f>HYPERLINK("https://klasma.github.io/Logging_2482/fåglar/A 32739-2025 prioriterade fågelarter.docx", "A 32739-2025")</f>
        <v/>
      </c>
    </row>
    <row r="348" ht="15" customHeight="1">
      <c r="A348" t="inlineStr">
        <is>
          <t>A 32237-2024</t>
        </is>
      </c>
      <c r="B348" s="1" t="n">
        <v>45511.92913194445</v>
      </c>
      <c r="C348" s="1" t="n">
        <v>46075</v>
      </c>
      <c r="D348" t="inlineStr">
        <is>
          <t>VÄSTERBOTTENS LÄN</t>
        </is>
      </c>
      <c r="E348" t="inlineStr">
        <is>
          <t>NORSJÖ</t>
        </is>
      </c>
      <c r="G348" t="n">
        <v>10</v>
      </c>
      <c r="H348" t="n">
        <v>0</v>
      </c>
      <c r="I348" t="n">
        <v>1</v>
      </c>
      <c r="J348" t="n">
        <v>3</v>
      </c>
      <c r="K348" t="n">
        <v>1</v>
      </c>
      <c r="L348" t="n">
        <v>0</v>
      </c>
      <c r="M348" t="n">
        <v>0</v>
      </c>
      <c r="N348" t="n">
        <v>0</v>
      </c>
      <c r="O348" t="n">
        <v>4</v>
      </c>
      <c r="P348" t="n">
        <v>1</v>
      </c>
      <c r="Q348" t="n">
        <v>5</v>
      </c>
      <c r="R348" s="2" t="inlineStr">
        <is>
          <t>Torrmusseron
Blå taggsvamp
Motaggsvamp
Skrovlig taggsvamp
Dropptaggsvamp</t>
        </is>
      </c>
      <c r="S348">
        <f>HYPERLINK("https://klasma.github.io/Logging_2417/artfynd/A 32237-2024 artfynd.xlsx", "A 32237-2024")</f>
        <v/>
      </c>
      <c r="T348">
        <f>HYPERLINK("https://klasma.github.io/Logging_2417/kartor/A 32237-2024 karta.png", "A 32237-2024")</f>
        <v/>
      </c>
      <c r="V348">
        <f>HYPERLINK("https://klasma.github.io/Logging_2417/klagomål/A 32237-2024 FSC-klagomål.docx", "A 32237-2024")</f>
        <v/>
      </c>
      <c r="W348">
        <f>HYPERLINK("https://klasma.github.io/Logging_2417/klagomålsmail/A 32237-2024 FSC-klagomål mail.docx", "A 32237-2024")</f>
        <v/>
      </c>
      <c r="X348">
        <f>HYPERLINK("https://klasma.github.io/Logging_2417/tillsyn/A 32237-2024 tillsynsbegäran.docx", "A 32237-2024")</f>
        <v/>
      </c>
      <c r="Y348">
        <f>HYPERLINK("https://klasma.github.io/Logging_2417/tillsynsmail/A 32237-2024 tillsynsbegäran mail.docx", "A 32237-2024")</f>
        <v/>
      </c>
    </row>
    <row r="349" ht="15" customHeight="1">
      <c r="A349" t="inlineStr">
        <is>
          <t>A 21509-2025</t>
        </is>
      </c>
      <c r="B349" s="1" t="n">
        <v>45782.62307870371</v>
      </c>
      <c r="C349" s="1" t="n">
        <v>46075</v>
      </c>
      <c r="D349" t="inlineStr">
        <is>
          <t>VÄSTERBOTTENS LÄN</t>
        </is>
      </c>
      <c r="E349" t="inlineStr">
        <is>
          <t>LYCKSELE</t>
        </is>
      </c>
      <c r="F349" t="inlineStr">
        <is>
          <t>Sveaskog</t>
        </is>
      </c>
      <c r="G349" t="n">
        <v>13.3</v>
      </c>
      <c r="H349" t="n">
        <v>0</v>
      </c>
      <c r="I349" t="n">
        <v>1</v>
      </c>
      <c r="J349" t="n">
        <v>4</v>
      </c>
      <c r="K349" t="n">
        <v>0</v>
      </c>
      <c r="L349" t="n">
        <v>0</v>
      </c>
      <c r="M349" t="n">
        <v>0</v>
      </c>
      <c r="N349" t="n">
        <v>0</v>
      </c>
      <c r="O349" t="n">
        <v>4</v>
      </c>
      <c r="P349" t="n">
        <v>0</v>
      </c>
      <c r="Q349" t="n">
        <v>5</v>
      </c>
      <c r="R349" s="2" t="inlineStr">
        <is>
          <t>Blå taggsvamp
Kolflarnlav
Mörk kolflarnlav
Orange taggsvamp
Skarp dropptaggsvamp</t>
        </is>
      </c>
      <c r="S349">
        <f>HYPERLINK("https://klasma.github.io/Logging_2481/artfynd/A 21509-2025 artfynd.xlsx", "A 21509-2025")</f>
        <v/>
      </c>
      <c r="T349">
        <f>HYPERLINK("https://klasma.github.io/Logging_2481/kartor/A 21509-2025 karta.png", "A 21509-2025")</f>
        <v/>
      </c>
      <c r="V349">
        <f>HYPERLINK("https://klasma.github.io/Logging_2481/klagomål/A 21509-2025 FSC-klagomål.docx", "A 21509-2025")</f>
        <v/>
      </c>
      <c r="W349">
        <f>HYPERLINK("https://klasma.github.io/Logging_2481/klagomålsmail/A 21509-2025 FSC-klagomål mail.docx", "A 21509-2025")</f>
        <v/>
      </c>
      <c r="X349">
        <f>HYPERLINK("https://klasma.github.io/Logging_2481/tillsyn/A 21509-2025 tillsynsbegäran.docx", "A 21509-2025")</f>
        <v/>
      </c>
      <c r="Y349">
        <f>HYPERLINK("https://klasma.github.io/Logging_2481/tillsynsmail/A 21509-2025 tillsynsbegäran mail.docx", "A 21509-2025")</f>
        <v/>
      </c>
    </row>
    <row r="350" ht="15" customHeight="1">
      <c r="A350" t="inlineStr">
        <is>
          <t>A 35215-2025</t>
        </is>
      </c>
      <c r="B350" s="1" t="n">
        <v>45853.48318287037</v>
      </c>
      <c r="C350" s="1" t="n">
        <v>46075</v>
      </c>
      <c r="D350" t="inlineStr">
        <is>
          <t>VÄSTERBOTTENS LÄN</t>
        </is>
      </c>
      <c r="E350" t="inlineStr">
        <is>
          <t>LYCKSELE</t>
        </is>
      </c>
      <c r="F350" t="inlineStr">
        <is>
          <t>Sveaskog</t>
        </is>
      </c>
      <c r="G350" t="n">
        <v>18.7</v>
      </c>
      <c r="H350" t="n">
        <v>0</v>
      </c>
      <c r="I350" t="n">
        <v>3</v>
      </c>
      <c r="J350" t="n">
        <v>2</v>
      </c>
      <c r="K350" t="n">
        <v>0</v>
      </c>
      <c r="L350" t="n">
        <v>0</v>
      </c>
      <c r="M350" t="n">
        <v>0</v>
      </c>
      <c r="N350" t="n">
        <v>0</v>
      </c>
      <c r="O350" t="n">
        <v>2</v>
      </c>
      <c r="P350" t="n">
        <v>0</v>
      </c>
      <c r="Q350" t="n">
        <v>5</v>
      </c>
      <c r="R350" s="2" t="inlineStr">
        <is>
          <t>Gammelgransskål
Kolflarnlav
Dropptaggsvamp
Grönpyrola
Stuplav</t>
        </is>
      </c>
      <c r="S350">
        <f>HYPERLINK("https://klasma.github.io/Logging_2481/artfynd/A 35215-2025 artfynd.xlsx", "A 35215-2025")</f>
        <v/>
      </c>
      <c r="T350">
        <f>HYPERLINK("https://klasma.github.io/Logging_2481/kartor/A 35215-2025 karta.png", "A 35215-2025")</f>
        <v/>
      </c>
      <c r="V350">
        <f>HYPERLINK("https://klasma.github.io/Logging_2481/klagomål/A 35215-2025 FSC-klagomål.docx", "A 35215-2025")</f>
        <v/>
      </c>
      <c r="W350">
        <f>HYPERLINK("https://klasma.github.io/Logging_2481/klagomålsmail/A 35215-2025 FSC-klagomål mail.docx", "A 35215-2025")</f>
        <v/>
      </c>
      <c r="X350">
        <f>HYPERLINK("https://klasma.github.io/Logging_2481/tillsyn/A 35215-2025 tillsynsbegäran.docx", "A 35215-2025")</f>
        <v/>
      </c>
      <c r="Y350">
        <f>HYPERLINK("https://klasma.github.io/Logging_2481/tillsynsmail/A 35215-2025 tillsynsbegäran mail.docx", "A 35215-2025")</f>
        <v/>
      </c>
    </row>
    <row r="351" ht="15" customHeight="1">
      <c r="A351" t="inlineStr">
        <is>
          <t>A 45210-2025</t>
        </is>
      </c>
      <c r="B351" s="1" t="n">
        <v>45919.56964120371</v>
      </c>
      <c r="C351" s="1" t="n">
        <v>46075</v>
      </c>
      <c r="D351" t="inlineStr">
        <is>
          <t>VÄSTERBOTTENS LÄN</t>
        </is>
      </c>
      <c r="E351" t="inlineStr">
        <is>
          <t>SKELLEFTEÅ</t>
        </is>
      </c>
      <c r="F351" t="inlineStr">
        <is>
          <t>Holmen skog AB</t>
        </is>
      </c>
      <c r="G351" t="n">
        <v>38.1</v>
      </c>
      <c r="H351" t="n">
        <v>1</v>
      </c>
      <c r="I351" t="n">
        <v>1</v>
      </c>
      <c r="J351" t="n">
        <v>2</v>
      </c>
      <c r="K351" t="n">
        <v>1</v>
      </c>
      <c r="L351" t="n">
        <v>0</v>
      </c>
      <c r="M351" t="n">
        <v>0</v>
      </c>
      <c r="N351" t="n">
        <v>0</v>
      </c>
      <c r="O351" t="n">
        <v>3</v>
      </c>
      <c r="P351" t="n">
        <v>1</v>
      </c>
      <c r="Q351" t="n">
        <v>5</v>
      </c>
      <c r="R351" s="2" t="inlineStr">
        <is>
          <t>Smalfotad taggsvamp
Blå taggsvamp
Vedskivlav
Dropptaggsvamp
Tjäder</t>
        </is>
      </c>
      <c r="S351">
        <f>HYPERLINK("https://klasma.github.io/Logging_2482/artfynd/A 45210-2025 artfynd.xlsx", "A 45210-2025")</f>
        <v/>
      </c>
      <c r="T351">
        <f>HYPERLINK("https://klasma.github.io/Logging_2482/kartor/A 45210-2025 karta.png", "A 45210-2025")</f>
        <v/>
      </c>
      <c r="V351">
        <f>HYPERLINK("https://klasma.github.io/Logging_2482/klagomål/A 45210-2025 FSC-klagomål.docx", "A 45210-2025")</f>
        <v/>
      </c>
      <c r="W351">
        <f>HYPERLINK("https://klasma.github.io/Logging_2482/klagomålsmail/A 45210-2025 FSC-klagomål mail.docx", "A 45210-2025")</f>
        <v/>
      </c>
      <c r="X351">
        <f>HYPERLINK("https://klasma.github.io/Logging_2482/tillsyn/A 45210-2025 tillsynsbegäran.docx", "A 45210-2025")</f>
        <v/>
      </c>
      <c r="Y351">
        <f>HYPERLINK("https://klasma.github.io/Logging_2482/tillsynsmail/A 45210-2025 tillsynsbegäran mail.docx", "A 45210-2025")</f>
        <v/>
      </c>
      <c r="Z351">
        <f>HYPERLINK("https://klasma.github.io/Logging_2482/fåglar/A 45210-2025 prioriterade fågelarter.docx", "A 45210-2025")</f>
        <v/>
      </c>
    </row>
    <row r="352" ht="15" customHeight="1">
      <c r="A352" t="inlineStr">
        <is>
          <t>A 39692-2024</t>
        </is>
      </c>
      <c r="B352" s="1" t="n">
        <v>45552.55893518519</v>
      </c>
      <c r="C352" s="1" t="n">
        <v>46075</v>
      </c>
      <c r="D352" t="inlineStr">
        <is>
          <t>VÄSTERBOTTENS LÄN</t>
        </is>
      </c>
      <c r="E352" t="inlineStr">
        <is>
          <t>MALÅ</t>
        </is>
      </c>
      <c r="F352" t="inlineStr">
        <is>
          <t>Sveaskog</t>
        </is>
      </c>
      <c r="G352" t="n">
        <v>15.8</v>
      </c>
      <c r="H352" t="n">
        <v>1</v>
      </c>
      <c r="I352" t="n">
        <v>2</v>
      </c>
      <c r="J352" t="n">
        <v>3</v>
      </c>
      <c r="K352" t="n">
        <v>0</v>
      </c>
      <c r="L352" t="n">
        <v>0</v>
      </c>
      <c r="M352" t="n">
        <v>0</v>
      </c>
      <c r="N352" t="n">
        <v>0</v>
      </c>
      <c r="O352" t="n">
        <v>3</v>
      </c>
      <c r="P352" t="n">
        <v>0</v>
      </c>
      <c r="Q352" t="n">
        <v>5</v>
      </c>
      <c r="R352" s="2" t="inlineStr">
        <is>
          <t>Blå taggsvamp
Orange taggsvamp
Svart taggsvamp
Plattlummer
Skarp dropptaggsvamp</t>
        </is>
      </c>
      <c r="S352">
        <f>HYPERLINK("https://klasma.github.io/Logging_2418/artfynd/A 39692-2024 artfynd.xlsx", "A 39692-2024")</f>
        <v/>
      </c>
      <c r="T352">
        <f>HYPERLINK("https://klasma.github.io/Logging_2418/kartor/A 39692-2024 karta.png", "A 39692-2024")</f>
        <v/>
      </c>
      <c r="V352">
        <f>HYPERLINK("https://klasma.github.io/Logging_2418/klagomål/A 39692-2024 FSC-klagomål.docx", "A 39692-2024")</f>
        <v/>
      </c>
      <c r="W352">
        <f>HYPERLINK("https://klasma.github.io/Logging_2418/klagomålsmail/A 39692-2024 FSC-klagomål mail.docx", "A 39692-2024")</f>
        <v/>
      </c>
      <c r="X352">
        <f>HYPERLINK("https://klasma.github.io/Logging_2418/tillsyn/A 39692-2024 tillsynsbegäran.docx", "A 39692-2024")</f>
        <v/>
      </c>
      <c r="Y352">
        <f>HYPERLINK("https://klasma.github.io/Logging_2418/tillsynsmail/A 39692-2024 tillsynsbegäran mail.docx", "A 39692-2024")</f>
        <v/>
      </c>
    </row>
    <row r="353" ht="15" customHeight="1">
      <c r="A353" t="inlineStr">
        <is>
          <t>A 35761-2025</t>
        </is>
      </c>
      <c r="B353" s="1" t="n">
        <v>45860.6172337963</v>
      </c>
      <c r="C353" s="1" t="n">
        <v>46075</v>
      </c>
      <c r="D353" t="inlineStr">
        <is>
          <t>VÄSTERBOTTENS LÄN</t>
        </is>
      </c>
      <c r="E353" t="inlineStr">
        <is>
          <t>SKELLEFTEÅ</t>
        </is>
      </c>
      <c r="F353" t="inlineStr">
        <is>
          <t>Holmen skog AB</t>
        </is>
      </c>
      <c r="G353" t="n">
        <v>8.9</v>
      </c>
      <c r="H353" t="n">
        <v>1</v>
      </c>
      <c r="I353" t="n">
        <v>2</v>
      </c>
      <c r="J353" t="n">
        <v>3</v>
      </c>
      <c r="K353" t="n">
        <v>0</v>
      </c>
      <c r="L353" t="n">
        <v>0</v>
      </c>
      <c r="M353" t="n">
        <v>0</v>
      </c>
      <c r="N353" t="n">
        <v>0</v>
      </c>
      <c r="O353" t="n">
        <v>3</v>
      </c>
      <c r="P353" t="n">
        <v>0</v>
      </c>
      <c r="Q353" t="n">
        <v>5</v>
      </c>
      <c r="R353" s="2" t="inlineStr">
        <is>
          <t>Gammelgransskål
Garnlav
Lunglav
Luddlav
Spindelblomster</t>
        </is>
      </c>
      <c r="S353">
        <f>HYPERLINK("https://klasma.github.io/Logging_2482/artfynd/A 35761-2025 artfynd.xlsx", "A 35761-2025")</f>
        <v/>
      </c>
      <c r="T353">
        <f>HYPERLINK("https://klasma.github.io/Logging_2482/kartor/A 35761-2025 karta.png", "A 35761-2025")</f>
        <v/>
      </c>
      <c r="V353">
        <f>HYPERLINK("https://klasma.github.io/Logging_2482/klagomål/A 35761-2025 FSC-klagomål.docx", "A 35761-2025")</f>
        <v/>
      </c>
      <c r="W353">
        <f>HYPERLINK("https://klasma.github.io/Logging_2482/klagomålsmail/A 35761-2025 FSC-klagomål mail.docx", "A 35761-2025")</f>
        <v/>
      </c>
      <c r="X353">
        <f>HYPERLINK("https://klasma.github.io/Logging_2482/tillsyn/A 35761-2025 tillsynsbegäran.docx", "A 35761-2025")</f>
        <v/>
      </c>
      <c r="Y353">
        <f>HYPERLINK("https://klasma.github.io/Logging_2482/tillsynsmail/A 35761-2025 tillsynsbegäran mail.docx", "A 35761-2025")</f>
        <v/>
      </c>
    </row>
    <row r="354" ht="15" customHeight="1">
      <c r="A354" t="inlineStr">
        <is>
          <t>A 36893-2025</t>
        </is>
      </c>
      <c r="B354" s="1" t="n">
        <v>45874.46988425926</v>
      </c>
      <c r="C354" s="1" t="n">
        <v>46075</v>
      </c>
      <c r="D354" t="inlineStr">
        <is>
          <t>VÄSTERBOTTENS LÄN</t>
        </is>
      </c>
      <c r="E354" t="inlineStr">
        <is>
          <t>UMEÅ</t>
        </is>
      </c>
      <c r="G354" t="n">
        <v>11.4</v>
      </c>
      <c r="H354" t="n">
        <v>1</v>
      </c>
      <c r="I354" t="n">
        <v>2</v>
      </c>
      <c r="J354" t="n">
        <v>3</v>
      </c>
      <c r="K354" t="n">
        <v>0</v>
      </c>
      <c r="L354" t="n">
        <v>0</v>
      </c>
      <c r="M354" t="n">
        <v>0</v>
      </c>
      <c r="N354" t="n">
        <v>0</v>
      </c>
      <c r="O354" t="n">
        <v>3</v>
      </c>
      <c r="P354" t="n">
        <v>0</v>
      </c>
      <c r="Q354" t="n">
        <v>5</v>
      </c>
      <c r="R354" s="2" t="inlineStr">
        <is>
          <t>Garnlav
Granticka
Järpe
Thomsons trägnagare
Trådticka</t>
        </is>
      </c>
      <c r="S354">
        <f>HYPERLINK("https://klasma.github.io/Logging_2480/artfynd/A 36893-2025 artfynd.xlsx", "A 36893-2025")</f>
        <v/>
      </c>
      <c r="T354">
        <f>HYPERLINK("https://klasma.github.io/Logging_2480/kartor/A 36893-2025 karta.png", "A 36893-2025")</f>
        <v/>
      </c>
      <c r="V354">
        <f>HYPERLINK("https://klasma.github.io/Logging_2480/klagomål/A 36893-2025 FSC-klagomål.docx", "A 36893-2025")</f>
        <v/>
      </c>
      <c r="W354">
        <f>HYPERLINK("https://klasma.github.io/Logging_2480/klagomålsmail/A 36893-2025 FSC-klagomål mail.docx", "A 36893-2025")</f>
        <v/>
      </c>
      <c r="X354">
        <f>HYPERLINK("https://klasma.github.io/Logging_2480/tillsyn/A 36893-2025 tillsynsbegäran.docx", "A 36893-2025")</f>
        <v/>
      </c>
      <c r="Y354">
        <f>HYPERLINK("https://klasma.github.io/Logging_2480/tillsynsmail/A 36893-2025 tillsynsbegäran mail.docx", "A 36893-2025")</f>
        <v/>
      </c>
      <c r="Z354">
        <f>HYPERLINK("https://klasma.github.io/Logging_2480/fåglar/A 36893-2025 prioriterade fågelarter.docx", "A 36893-2025")</f>
        <v/>
      </c>
    </row>
    <row r="355" ht="15" customHeight="1">
      <c r="A355" t="inlineStr">
        <is>
          <t>A 49502-2025</t>
        </is>
      </c>
      <c r="B355" s="1" t="n">
        <v>45939.36972222223</v>
      </c>
      <c r="C355" s="1" t="n">
        <v>46075</v>
      </c>
      <c r="D355" t="inlineStr">
        <is>
          <t>VÄSTERBOTTENS LÄN</t>
        </is>
      </c>
      <c r="E355" t="inlineStr">
        <is>
          <t>ÅSELE</t>
        </is>
      </c>
      <c r="F355" t="inlineStr">
        <is>
          <t>Sveaskog</t>
        </is>
      </c>
      <c r="G355" t="n">
        <v>7.6</v>
      </c>
      <c r="H355" t="n">
        <v>0</v>
      </c>
      <c r="I355" t="n">
        <v>1</v>
      </c>
      <c r="J355" t="n">
        <v>4</v>
      </c>
      <c r="K355" t="n">
        <v>0</v>
      </c>
      <c r="L355" t="n">
        <v>0</v>
      </c>
      <c r="M355" t="n">
        <v>0</v>
      </c>
      <c r="N355" t="n">
        <v>0</v>
      </c>
      <c r="O355" t="n">
        <v>4</v>
      </c>
      <c r="P355" t="n">
        <v>0</v>
      </c>
      <c r="Q355" t="n">
        <v>5</v>
      </c>
      <c r="R355" s="2" t="inlineStr">
        <is>
          <t>Blanksvart spiklav
Blå taggsvamp
Motaggsvamp
Skrovlig taggsvamp
Dropptaggsvamp</t>
        </is>
      </c>
      <c r="S355">
        <f>HYPERLINK("https://klasma.github.io/Logging_2463/artfynd/A 49502-2025 artfynd.xlsx", "A 49502-2025")</f>
        <v/>
      </c>
      <c r="T355">
        <f>HYPERLINK("https://klasma.github.io/Logging_2463/kartor/A 49502-2025 karta.png", "A 49502-2025")</f>
        <v/>
      </c>
      <c r="V355">
        <f>HYPERLINK("https://klasma.github.io/Logging_2463/klagomål/A 49502-2025 FSC-klagomål.docx", "A 49502-2025")</f>
        <v/>
      </c>
      <c r="W355">
        <f>HYPERLINK("https://klasma.github.io/Logging_2463/klagomålsmail/A 49502-2025 FSC-klagomål mail.docx", "A 49502-2025")</f>
        <v/>
      </c>
      <c r="X355">
        <f>HYPERLINK("https://klasma.github.io/Logging_2463/tillsyn/A 49502-2025 tillsynsbegäran.docx", "A 49502-2025")</f>
        <v/>
      </c>
      <c r="Y355">
        <f>HYPERLINK("https://klasma.github.io/Logging_2463/tillsynsmail/A 49502-2025 tillsynsbegäran mail.docx", "A 49502-2025")</f>
        <v/>
      </c>
    </row>
    <row r="356" ht="15" customHeight="1">
      <c r="A356" t="inlineStr">
        <is>
          <t>A 49806-2025</t>
        </is>
      </c>
      <c r="B356" s="1" t="n">
        <v>45940.41746527778</v>
      </c>
      <c r="C356" s="1" t="n">
        <v>46075</v>
      </c>
      <c r="D356" t="inlineStr">
        <is>
          <t>VÄSTERBOTTENS LÄN</t>
        </is>
      </c>
      <c r="E356" t="inlineStr">
        <is>
          <t>LYCKSELE</t>
        </is>
      </c>
      <c r="F356" t="inlineStr">
        <is>
          <t>Sveaskog</t>
        </is>
      </c>
      <c r="G356" t="n">
        <v>11.9</v>
      </c>
      <c r="H356" t="n">
        <v>0</v>
      </c>
      <c r="I356" t="n">
        <v>1</v>
      </c>
      <c r="J356" t="n">
        <v>4</v>
      </c>
      <c r="K356" t="n">
        <v>0</v>
      </c>
      <c r="L356" t="n">
        <v>0</v>
      </c>
      <c r="M356" t="n">
        <v>0</v>
      </c>
      <c r="N356" t="n">
        <v>0</v>
      </c>
      <c r="O356" t="n">
        <v>4</v>
      </c>
      <c r="P356" t="n">
        <v>0</v>
      </c>
      <c r="Q356" t="n">
        <v>5</v>
      </c>
      <c r="R356" s="2" t="inlineStr">
        <is>
          <t>Blå taggsvamp
Kolflarnlav
Mörk kolflarnlav
Orange taggsvamp
Skarp dropptaggsvamp</t>
        </is>
      </c>
      <c r="S356">
        <f>HYPERLINK("https://klasma.github.io/Logging_2481/artfynd/A 49806-2025 artfynd.xlsx", "A 49806-2025")</f>
        <v/>
      </c>
      <c r="T356">
        <f>HYPERLINK("https://klasma.github.io/Logging_2481/kartor/A 49806-2025 karta.png", "A 49806-2025")</f>
        <v/>
      </c>
      <c r="V356">
        <f>HYPERLINK("https://klasma.github.io/Logging_2481/klagomål/A 49806-2025 FSC-klagomål.docx", "A 49806-2025")</f>
        <v/>
      </c>
      <c r="W356">
        <f>HYPERLINK("https://klasma.github.io/Logging_2481/klagomålsmail/A 49806-2025 FSC-klagomål mail.docx", "A 49806-2025")</f>
        <v/>
      </c>
      <c r="X356">
        <f>HYPERLINK("https://klasma.github.io/Logging_2481/tillsyn/A 49806-2025 tillsynsbegäran.docx", "A 49806-2025")</f>
        <v/>
      </c>
      <c r="Y356">
        <f>HYPERLINK("https://klasma.github.io/Logging_2481/tillsynsmail/A 49806-2025 tillsynsbegäran mail.docx", "A 49806-2025")</f>
        <v/>
      </c>
    </row>
    <row r="357" ht="15" customHeight="1">
      <c r="A357" t="inlineStr">
        <is>
          <t>A 42193-2024</t>
        </is>
      </c>
      <c r="B357" s="1" t="n">
        <v>45562.50009259259</v>
      </c>
      <c r="C357" s="1" t="n">
        <v>46075</v>
      </c>
      <c r="D357" t="inlineStr">
        <is>
          <t>VÄSTERBOTTENS LÄN</t>
        </is>
      </c>
      <c r="E357" t="inlineStr">
        <is>
          <t>UMEÅ</t>
        </is>
      </c>
      <c r="F357" t="inlineStr">
        <is>
          <t>Kommuner</t>
        </is>
      </c>
      <c r="G357" t="n">
        <v>2.2</v>
      </c>
      <c r="H357" t="n">
        <v>1</v>
      </c>
      <c r="I357" t="n">
        <v>1</v>
      </c>
      <c r="J357" t="n">
        <v>3</v>
      </c>
      <c r="K357" t="n">
        <v>1</v>
      </c>
      <c r="L357" t="n">
        <v>0</v>
      </c>
      <c r="M357" t="n">
        <v>0</v>
      </c>
      <c r="N357" t="n">
        <v>0</v>
      </c>
      <c r="O357" t="n">
        <v>4</v>
      </c>
      <c r="P357" t="n">
        <v>1</v>
      </c>
      <c r="Q357" t="n">
        <v>5</v>
      </c>
      <c r="R357" s="2" t="inlineStr">
        <is>
          <t>Smalfotad taggsvamp
Mjölsvärting
Skrovlig taggsvamp
Talltita
Dropptaggsvamp</t>
        </is>
      </c>
      <c r="S357">
        <f>HYPERLINK("https://klasma.github.io/Logging_2480/artfynd/A 42193-2024 artfynd.xlsx", "A 42193-2024")</f>
        <v/>
      </c>
      <c r="T357">
        <f>HYPERLINK("https://klasma.github.io/Logging_2480/kartor/A 42193-2024 karta.png", "A 42193-2024")</f>
        <v/>
      </c>
      <c r="V357">
        <f>HYPERLINK("https://klasma.github.io/Logging_2480/klagomål/A 42193-2024 FSC-klagomål.docx", "A 42193-2024")</f>
        <v/>
      </c>
      <c r="W357">
        <f>HYPERLINK("https://klasma.github.io/Logging_2480/klagomålsmail/A 42193-2024 FSC-klagomål mail.docx", "A 42193-2024")</f>
        <v/>
      </c>
      <c r="X357">
        <f>HYPERLINK("https://klasma.github.io/Logging_2480/tillsyn/A 42193-2024 tillsynsbegäran.docx", "A 42193-2024")</f>
        <v/>
      </c>
      <c r="Y357">
        <f>HYPERLINK("https://klasma.github.io/Logging_2480/tillsynsmail/A 42193-2024 tillsynsbegäran mail.docx", "A 42193-2024")</f>
        <v/>
      </c>
      <c r="Z357">
        <f>HYPERLINK("https://klasma.github.io/Logging_2480/fåglar/A 42193-2024 prioriterade fågelarter.docx", "A 42193-2024")</f>
        <v/>
      </c>
    </row>
    <row r="358" ht="15" customHeight="1">
      <c r="A358" t="inlineStr">
        <is>
          <t>A 55009-2022</t>
        </is>
      </c>
      <c r="B358" s="1" t="n">
        <v>44881</v>
      </c>
      <c r="C358" s="1" t="n">
        <v>46075</v>
      </c>
      <c r="D358" t="inlineStr">
        <is>
          <t>VÄSTERBOTTENS LÄN</t>
        </is>
      </c>
      <c r="E358" t="inlineStr">
        <is>
          <t>BJURHOLM</t>
        </is>
      </c>
      <c r="G358" t="n">
        <v>11.2</v>
      </c>
      <c r="H358" t="n">
        <v>0</v>
      </c>
      <c r="I358" t="n">
        <v>3</v>
      </c>
      <c r="J358" t="n">
        <v>2</v>
      </c>
      <c r="K358" t="n">
        <v>0</v>
      </c>
      <c r="L358" t="n">
        <v>0</v>
      </c>
      <c r="M358" t="n">
        <v>0</v>
      </c>
      <c r="N358" t="n">
        <v>0</v>
      </c>
      <c r="O358" t="n">
        <v>2</v>
      </c>
      <c r="P358" t="n">
        <v>0</v>
      </c>
      <c r="Q358" t="n">
        <v>5</v>
      </c>
      <c r="R358" s="2" t="inlineStr">
        <is>
          <t>Lunglav
Mörk kolflarnlav
Skinnlav
Stuplav
Vedticka</t>
        </is>
      </c>
      <c r="S358">
        <f>HYPERLINK("https://klasma.github.io/Logging_2403/artfynd/A 55009-2022 artfynd.xlsx", "A 55009-2022")</f>
        <v/>
      </c>
      <c r="T358">
        <f>HYPERLINK("https://klasma.github.io/Logging_2403/kartor/A 55009-2022 karta.png", "A 55009-2022")</f>
        <v/>
      </c>
      <c r="V358">
        <f>HYPERLINK("https://klasma.github.io/Logging_2403/klagomål/A 55009-2022 FSC-klagomål.docx", "A 55009-2022")</f>
        <v/>
      </c>
      <c r="W358">
        <f>HYPERLINK("https://klasma.github.io/Logging_2403/klagomålsmail/A 55009-2022 FSC-klagomål mail.docx", "A 55009-2022")</f>
        <v/>
      </c>
      <c r="X358">
        <f>HYPERLINK("https://klasma.github.io/Logging_2403/tillsyn/A 55009-2022 tillsynsbegäran.docx", "A 55009-2022")</f>
        <v/>
      </c>
      <c r="Y358">
        <f>HYPERLINK("https://klasma.github.io/Logging_2403/tillsynsmail/A 55009-2022 tillsynsbegäran mail.docx", "A 55009-2022")</f>
        <v/>
      </c>
    </row>
    <row r="359" ht="15" customHeight="1">
      <c r="A359" t="inlineStr">
        <is>
          <t>A 42046-2023</t>
        </is>
      </c>
      <c r="B359" s="1" t="n">
        <v>45177</v>
      </c>
      <c r="C359" s="1" t="n">
        <v>46075</v>
      </c>
      <c r="D359" t="inlineStr">
        <is>
          <t>VÄSTERBOTTENS LÄN</t>
        </is>
      </c>
      <c r="E359" t="inlineStr">
        <is>
          <t>ÅSELE</t>
        </is>
      </c>
      <c r="F359" t="inlineStr">
        <is>
          <t>Holmen skog AB</t>
        </is>
      </c>
      <c r="G359" t="n">
        <v>3.6</v>
      </c>
      <c r="H359" t="n">
        <v>0</v>
      </c>
      <c r="I359" t="n">
        <v>1</v>
      </c>
      <c r="J359" t="n">
        <v>4</v>
      </c>
      <c r="K359" t="n">
        <v>0</v>
      </c>
      <c r="L359" t="n">
        <v>0</v>
      </c>
      <c r="M359" t="n">
        <v>0</v>
      </c>
      <c r="N359" t="n">
        <v>0</v>
      </c>
      <c r="O359" t="n">
        <v>4</v>
      </c>
      <c r="P359" t="n">
        <v>0</v>
      </c>
      <c r="Q359" t="n">
        <v>5</v>
      </c>
      <c r="R359" s="2" t="inlineStr">
        <is>
          <t>Granticka
Kortskaftad ärgspik
Lunglav
Skrovellav
Luddlav</t>
        </is>
      </c>
      <c r="S359">
        <f>HYPERLINK("https://klasma.github.io/Logging_2463/artfynd/A 42046-2023 artfynd.xlsx", "A 42046-2023")</f>
        <v/>
      </c>
      <c r="T359">
        <f>HYPERLINK("https://klasma.github.io/Logging_2463/kartor/A 42046-2023 karta.png", "A 42046-2023")</f>
        <v/>
      </c>
      <c r="V359">
        <f>HYPERLINK("https://klasma.github.io/Logging_2463/klagomål/A 42046-2023 FSC-klagomål.docx", "A 42046-2023")</f>
        <v/>
      </c>
      <c r="W359">
        <f>HYPERLINK("https://klasma.github.io/Logging_2463/klagomålsmail/A 42046-2023 FSC-klagomål mail.docx", "A 42046-2023")</f>
        <v/>
      </c>
      <c r="X359">
        <f>HYPERLINK("https://klasma.github.io/Logging_2463/tillsyn/A 42046-2023 tillsynsbegäran.docx", "A 42046-2023")</f>
        <v/>
      </c>
      <c r="Y359">
        <f>HYPERLINK("https://klasma.github.io/Logging_2463/tillsynsmail/A 42046-2023 tillsynsbegäran mail.docx", "A 42046-2023")</f>
        <v/>
      </c>
    </row>
    <row r="360" ht="15" customHeight="1">
      <c r="A360" t="inlineStr">
        <is>
          <t>A 13479-2022</t>
        </is>
      </c>
      <c r="B360" s="1" t="n">
        <v>44645</v>
      </c>
      <c r="C360" s="1" t="n">
        <v>46075</v>
      </c>
      <c r="D360" t="inlineStr">
        <is>
          <t>VÄSTERBOTTENS LÄN</t>
        </is>
      </c>
      <c r="E360" t="inlineStr">
        <is>
          <t>UMEÅ</t>
        </is>
      </c>
      <c r="G360" t="n">
        <v>6.2</v>
      </c>
      <c r="H360" t="n">
        <v>5</v>
      </c>
      <c r="I360" t="n">
        <v>0</v>
      </c>
      <c r="J360" t="n">
        <v>3</v>
      </c>
      <c r="K360" t="n">
        <v>0</v>
      </c>
      <c r="L360" t="n">
        <v>0</v>
      </c>
      <c r="M360" t="n">
        <v>0</v>
      </c>
      <c r="N360" t="n">
        <v>0</v>
      </c>
      <c r="O360" t="n">
        <v>3</v>
      </c>
      <c r="P360" t="n">
        <v>0</v>
      </c>
      <c r="Q360" t="n">
        <v>5</v>
      </c>
      <c r="R360" s="2" t="inlineStr">
        <is>
          <t>Dammfladdermus
Fransfladdermus
Nordfladdermus
Trollpipistrell
Vattenfladdermus</t>
        </is>
      </c>
      <c r="S360">
        <f>HYPERLINK("https://klasma.github.io/Logging_2480/artfynd/A 13479-2022 artfynd.xlsx", "A 13479-2022")</f>
        <v/>
      </c>
      <c r="T360">
        <f>HYPERLINK("https://klasma.github.io/Logging_2480/kartor/A 13479-2022 karta.png", "A 13479-2022")</f>
        <v/>
      </c>
      <c r="V360">
        <f>HYPERLINK("https://klasma.github.io/Logging_2480/klagomål/A 13479-2022 FSC-klagomål.docx", "A 13479-2022")</f>
        <v/>
      </c>
      <c r="W360">
        <f>HYPERLINK("https://klasma.github.io/Logging_2480/klagomålsmail/A 13479-2022 FSC-klagomål mail.docx", "A 13479-2022")</f>
        <v/>
      </c>
      <c r="X360">
        <f>HYPERLINK("https://klasma.github.io/Logging_2480/tillsyn/A 13479-2022 tillsynsbegäran.docx", "A 13479-2022")</f>
        <v/>
      </c>
      <c r="Y360">
        <f>HYPERLINK("https://klasma.github.io/Logging_2480/tillsynsmail/A 13479-2022 tillsynsbegäran mail.docx", "A 13479-2022")</f>
        <v/>
      </c>
    </row>
    <row r="361" ht="15" customHeight="1">
      <c r="A361" t="inlineStr">
        <is>
          <t>A 53568-2025</t>
        </is>
      </c>
      <c r="B361" s="1" t="n">
        <v>45960.41017361111</v>
      </c>
      <c r="C361" s="1" t="n">
        <v>46075</v>
      </c>
      <c r="D361" t="inlineStr">
        <is>
          <t>VÄSTERBOTTENS LÄN</t>
        </is>
      </c>
      <c r="E361" t="inlineStr">
        <is>
          <t>LYCKSELE</t>
        </is>
      </c>
      <c r="F361" t="inlineStr">
        <is>
          <t>Sveaskog</t>
        </is>
      </c>
      <c r="G361" t="n">
        <v>12.8</v>
      </c>
      <c r="H361" t="n">
        <v>1</v>
      </c>
      <c r="I361" t="n">
        <v>2</v>
      </c>
      <c r="J361" t="n">
        <v>3</v>
      </c>
      <c r="K361" t="n">
        <v>0</v>
      </c>
      <c r="L361" t="n">
        <v>0</v>
      </c>
      <c r="M361" t="n">
        <v>0</v>
      </c>
      <c r="N361" t="n">
        <v>0</v>
      </c>
      <c r="O361" t="n">
        <v>3</v>
      </c>
      <c r="P361" t="n">
        <v>0</v>
      </c>
      <c r="Q361" t="n">
        <v>5</v>
      </c>
      <c r="R361" s="2" t="inlineStr">
        <is>
          <t>Blå taggsvamp
Garnlav
Kolflarnlav
Dropptaggsvamp
Plattlummer</t>
        </is>
      </c>
      <c r="S361">
        <f>HYPERLINK("https://klasma.github.io/Logging_2481/artfynd/A 53568-2025 artfynd.xlsx", "A 53568-2025")</f>
        <v/>
      </c>
      <c r="T361">
        <f>HYPERLINK("https://klasma.github.io/Logging_2481/kartor/A 53568-2025 karta.png", "A 53568-2025")</f>
        <v/>
      </c>
      <c r="V361">
        <f>HYPERLINK("https://klasma.github.io/Logging_2481/klagomål/A 53568-2025 FSC-klagomål.docx", "A 53568-2025")</f>
        <v/>
      </c>
      <c r="W361">
        <f>HYPERLINK("https://klasma.github.io/Logging_2481/klagomålsmail/A 53568-2025 FSC-klagomål mail.docx", "A 53568-2025")</f>
        <v/>
      </c>
      <c r="X361">
        <f>HYPERLINK("https://klasma.github.io/Logging_2481/tillsyn/A 53568-2025 tillsynsbegäran.docx", "A 53568-2025")</f>
        <v/>
      </c>
      <c r="Y361">
        <f>HYPERLINK("https://klasma.github.io/Logging_2481/tillsynsmail/A 53568-2025 tillsynsbegäran mail.docx", "A 53568-2025")</f>
        <v/>
      </c>
    </row>
    <row r="362" ht="15" customHeight="1">
      <c r="A362" t="inlineStr">
        <is>
          <t>A 53928-2025</t>
        </is>
      </c>
      <c r="B362" s="1" t="n">
        <v>45961.4696412037</v>
      </c>
      <c r="C362" s="1" t="n">
        <v>46075</v>
      </c>
      <c r="D362" t="inlineStr">
        <is>
          <t>VÄSTERBOTTENS LÄN</t>
        </is>
      </c>
      <c r="E362" t="inlineStr">
        <is>
          <t>SKELLEFTEÅ</t>
        </is>
      </c>
      <c r="F362" t="inlineStr">
        <is>
          <t>Övriga Aktiebolag</t>
        </is>
      </c>
      <c r="G362" t="n">
        <v>61.3</v>
      </c>
      <c r="H362" t="n">
        <v>2</v>
      </c>
      <c r="I362" t="n">
        <v>0</v>
      </c>
      <c r="J362" t="n">
        <v>4</v>
      </c>
      <c r="K362" t="n">
        <v>0</v>
      </c>
      <c r="L362" t="n">
        <v>0</v>
      </c>
      <c r="M362" t="n">
        <v>0</v>
      </c>
      <c r="N362" t="n">
        <v>0</v>
      </c>
      <c r="O362" t="n">
        <v>4</v>
      </c>
      <c r="P362" t="n">
        <v>0</v>
      </c>
      <c r="Q362" t="n">
        <v>5</v>
      </c>
      <c r="R362" s="2" t="inlineStr">
        <is>
          <t>Garnlav
Granticka
Stjärntagging
Tretåig hackspett
Revlummer</t>
        </is>
      </c>
      <c r="S362">
        <f>HYPERLINK("https://klasma.github.io/Logging_2482/artfynd/A 53928-2025 artfynd.xlsx", "A 53928-2025")</f>
        <v/>
      </c>
      <c r="T362">
        <f>HYPERLINK("https://klasma.github.io/Logging_2482/kartor/A 53928-2025 karta.png", "A 53928-2025")</f>
        <v/>
      </c>
      <c r="V362">
        <f>HYPERLINK("https://klasma.github.io/Logging_2482/klagomål/A 53928-2025 FSC-klagomål.docx", "A 53928-2025")</f>
        <v/>
      </c>
      <c r="W362">
        <f>HYPERLINK("https://klasma.github.io/Logging_2482/klagomålsmail/A 53928-2025 FSC-klagomål mail.docx", "A 53928-2025")</f>
        <v/>
      </c>
      <c r="X362">
        <f>HYPERLINK("https://klasma.github.io/Logging_2482/tillsyn/A 53928-2025 tillsynsbegäran.docx", "A 53928-2025")</f>
        <v/>
      </c>
      <c r="Y362">
        <f>HYPERLINK("https://klasma.github.io/Logging_2482/tillsynsmail/A 53928-2025 tillsynsbegäran mail.docx", "A 53928-2025")</f>
        <v/>
      </c>
      <c r="Z362">
        <f>HYPERLINK("https://klasma.github.io/Logging_2482/fåglar/A 53928-2025 prioriterade fågelarter.docx", "A 53928-2025")</f>
        <v/>
      </c>
    </row>
    <row r="363" ht="15" customHeight="1">
      <c r="A363" t="inlineStr">
        <is>
          <t>A 59482-2025</t>
        </is>
      </c>
      <c r="B363" s="1" t="n">
        <v>45989</v>
      </c>
      <c r="C363" s="1" t="n">
        <v>46075</v>
      </c>
      <c r="D363" t="inlineStr">
        <is>
          <t>VÄSTERBOTTENS LÄN</t>
        </is>
      </c>
      <c r="E363" t="inlineStr">
        <is>
          <t>VILHELMINA</t>
        </is>
      </c>
      <c r="F363" t="inlineStr">
        <is>
          <t>Allmännings- och besparingsskogar</t>
        </is>
      </c>
      <c r="G363" t="n">
        <v>12</v>
      </c>
      <c r="H363" t="n">
        <v>1</v>
      </c>
      <c r="I363" t="n">
        <v>0</v>
      </c>
      <c r="J363" t="n">
        <v>5</v>
      </c>
      <c r="K363" t="n">
        <v>0</v>
      </c>
      <c r="L363" t="n">
        <v>0</v>
      </c>
      <c r="M363" t="n">
        <v>0</v>
      </c>
      <c r="N363" t="n">
        <v>0</v>
      </c>
      <c r="O363" t="n">
        <v>5</v>
      </c>
      <c r="P363" t="n">
        <v>0</v>
      </c>
      <c r="Q363" t="n">
        <v>5</v>
      </c>
      <c r="R363" s="2" t="inlineStr">
        <is>
          <t>Granticka
Harticka
Rödbrun blekspik
Tretåig hackspett
Ullticka</t>
        </is>
      </c>
      <c r="S363">
        <f>HYPERLINK("https://klasma.github.io/Logging_2462/artfynd/A 59482-2025 artfynd.xlsx", "A 59482-2025")</f>
        <v/>
      </c>
      <c r="T363">
        <f>HYPERLINK("https://klasma.github.io/Logging_2462/kartor/A 59482-2025 karta.png", "A 59482-2025")</f>
        <v/>
      </c>
      <c r="V363">
        <f>HYPERLINK("https://klasma.github.io/Logging_2462/klagomål/A 59482-2025 FSC-klagomål.docx", "A 59482-2025")</f>
        <v/>
      </c>
      <c r="W363">
        <f>HYPERLINK("https://klasma.github.io/Logging_2462/klagomålsmail/A 59482-2025 FSC-klagomål mail.docx", "A 59482-2025")</f>
        <v/>
      </c>
      <c r="X363">
        <f>HYPERLINK("https://klasma.github.io/Logging_2462/tillsyn/A 59482-2025 tillsynsbegäran.docx", "A 59482-2025")</f>
        <v/>
      </c>
      <c r="Y363">
        <f>HYPERLINK("https://klasma.github.io/Logging_2462/tillsynsmail/A 59482-2025 tillsynsbegäran mail.docx", "A 59482-2025")</f>
        <v/>
      </c>
      <c r="Z363">
        <f>HYPERLINK("https://klasma.github.io/Logging_2462/fåglar/A 59482-2025 prioriterade fågelarter.docx", "A 59482-2025")</f>
        <v/>
      </c>
    </row>
    <row r="364" ht="15" customHeight="1">
      <c r="A364" t="inlineStr">
        <is>
          <t>A 55509-2025</t>
        </is>
      </c>
      <c r="B364" s="1" t="n">
        <v>45971.59429398148</v>
      </c>
      <c r="C364" s="1" t="n">
        <v>46075</v>
      </c>
      <c r="D364" t="inlineStr">
        <is>
          <t>VÄSTERBOTTENS LÄN</t>
        </is>
      </c>
      <c r="E364" t="inlineStr">
        <is>
          <t>LYCKSELE</t>
        </is>
      </c>
      <c r="G364" t="n">
        <v>12.2</v>
      </c>
      <c r="H364" t="n">
        <v>1</v>
      </c>
      <c r="I364" t="n">
        <v>0</v>
      </c>
      <c r="J364" t="n">
        <v>4</v>
      </c>
      <c r="K364" t="n">
        <v>1</v>
      </c>
      <c r="L364" t="n">
        <v>0</v>
      </c>
      <c r="M364" t="n">
        <v>0</v>
      </c>
      <c r="N364" t="n">
        <v>0</v>
      </c>
      <c r="O364" t="n">
        <v>5</v>
      </c>
      <c r="P364" t="n">
        <v>1</v>
      </c>
      <c r="Q364" t="n">
        <v>5</v>
      </c>
      <c r="R364" s="2" t="inlineStr">
        <is>
          <t>Doftticka
Doftskinn
Granticka
Lunglav
Stiftgelélav</t>
        </is>
      </c>
      <c r="S364">
        <f>HYPERLINK("https://klasma.github.io/Logging_2481/artfynd/A 55509-2025 artfynd.xlsx", "A 55509-2025")</f>
        <v/>
      </c>
      <c r="T364">
        <f>HYPERLINK("https://klasma.github.io/Logging_2481/kartor/A 55509-2025 karta.png", "A 55509-2025")</f>
        <v/>
      </c>
      <c r="V364">
        <f>HYPERLINK("https://klasma.github.io/Logging_2481/klagomål/A 55509-2025 FSC-klagomål.docx", "A 55509-2025")</f>
        <v/>
      </c>
      <c r="W364">
        <f>HYPERLINK("https://klasma.github.io/Logging_2481/klagomålsmail/A 55509-2025 FSC-klagomål mail.docx", "A 55509-2025")</f>
        <v/>
      </c>
      <c r="X364">
        <f>HYPERLINK("https://klasma.github.io/Logging_2481/tillsyn/A 55509-2025 tillsynsbegäran.docx", "A 55509-2025")</f>
        <v/>
      </c>
      <c r="Y364">
        <f>HYPERLINK("https://klasma.github.io/Logging_2481/tillsynsmail/A 55509-2025 tillsynsbegäran mail.docx", "A 55509-2025")</f>
        <v/>
      </c>
    </row>
    <row r="365" ht="15" customHeight="1">
      <c r="A365" t="inlineStr">
        <is>
          <t>A 56412-2025</t>
        </is>
      </c>
      <c r="B365" s="1" t="n">
        <v>45975.32414351852</v>
      </c>
      <c r="C365" s="1" t="n">
        <v>46075</v>
      </c>
      <c r="D365" t="inlineStr">
        <is>
          <t>VÄSTERBOTTENS LÄN</t>
        </is>
      </c>
      <c r="E365" t="inlineStr">
        <is>
          <t>STORUMAN</t>
        </is>
      </c>
      <c r="G365" t="n">
        <v>8.4</v>
      </c>
      <c r="H365" t="n">
        <v>2</v>
      </c>
      <c r="I365" t="n">
        <v>3</v>
      </c>
      <c r="J365" t="n">
        <v>1</v>
      </c>
      <c r="K365" t="n">
        <v>0</v>
      </c>
      <c r="L365" t="n">
        <v>0</v>
      </c>
      <c r="M365" t="n">
        <v>0</v>
      </c>
      <c r="N365" t="n">
        <v>0</v>
      </c>
      <c r="O365" t="n">
        <v>1</v>
      </c>
      <c r="P365" t="n">
        <v>0</v>
      </c>
      <c r="Q365" t="n">
        <v>5</v>
      </c>
      <c r="R365" s="2" t="inlineStr">
        <is>
          <t>Tretåig hackspett
Bårdlav
Luddlav
Stuplav
Kungsfågel</t>
        </is>
      </c>
      <c r="S365">
        <f>HYPERLINK("https://klasma.github.io/Logging_2421/artfynd/A 56412-2025 artfynd.xlsx", "A 56412-2025")</f>
        <v/>
      </c>
      <c r="T365">
        <f>HYPERLINK("https://klasma.github.io/Logging_2421/kartor/A 56412-2025 karta.png", "A 56412-2025")</f>
        <v/>
      </c>
      <c r="V365">
        <f>HYPERLINK("https://klasma.github.io/Logging_2421/klagomål/A 56412-2025 FSC-klagomål.docx", "A 56412-2025")</f>
        <v/>
      </c>
      <c r="W365">
        <f>HYPERLINK("https://klasma.github.io/Logging_2421/klagomålsmail/A 56412-2025 FSC-klagomål mail.docx", "A 56412-2025")</f>
        <v/>
      </c>
      <c r="X365">
        <f>HYPERLINK("https://klasma.github.io/Logging_2421/tillsyn/A 56412-2025 tillsynsbegäran.docx", "A 56412-2025")</f>
        <v/>
      </c>
      <c r="Y365">
        <f>HYPERLINK("https://klasma.github.io/Logging_2421/tillsynsmail/A 56412-2025 tillsynsbegäran mail.docx", "A 56412-2025")</f>
        <v/>
      </c>
      <c r="Z365">
        <f>HYPERLINK("https://klasma.github.io/Logging_2421/fåglar/A 56412-2025 prioriterade fågelarter.docx", "A 56412-2025")</f>
        <v/>
      </c>
    </row>
    <row r="366" ht="15" customHeight="1">
      <c r="A366" t="inlineStr">
        <is>
          <t>A 55597-2025</t>
        </is>
      </c>
      <c r="B366" s="1" t="n">
        <v>45971.72814814815</v>
      </c>
      <c r="C366" s="1" t="n">
        <v>46075</v>
      </c>
      <c r="D366" t="inlineStr">
        <is>
          <t>VÄSTERBOTTENS LÄN</t>
        </is>
      </c>
      <c r="E366" t="inlineStr">
        <is>
          <t>VINDELN</t>
        </is>
      </c>
      <c r="G366" t="n">
        <v>9.300000000000001</v>
      </c>
      <c r="H366" t="n">
        <v>2</v>
      </c>
      <c r="I366" t="n">
        <v>0</v>
      </c>
      <c r="J366" t="n">
        <v>5</v>
      </c>
      <c r="K366" t="n">
        <v>0</v>
      </c>
      <c r="L366" t="n">
        <v>0</v>
      </c>
      <c r="M366" t="n">
        <v>0</v>
      </c>
      <c r="N366" t="n">
        <v>0</v>
      </c>
      <c r="O366" t="n">
        <v>5</v>
      </c>
      <c r="P366" t="n">
        <v>0</v>
      </c>
      <c r="Q366" t="n">
        <v>5</v>
      </c>
      <c r="R366" s="2" t="inlineStr">
        <is>
          <t>Garnlav
Harticka
Spillkråka
Tretåig hackspett
Vitgrynig nållav</t>
        </is>
      </c>
      <c r="S366">
        <f>HYPERLINK("https://klasma.github.io/Logging_2404/artfynd/A 55597-2025 artfynd.xlsx", "A 55597-2025")</f>
        <v/>
      </c>
      <c r="T366">
        <f>HYPERLINK("https://klasma.github.io/Logging_2404/kartor/A 55597-2025 karta.png", "A 55597-2025")</f>
        <v/>
      </c>
      <c r="V366">
        <f>HYPERLINK("https://klasma.github.io/Logging_2404/klagomål/A 55597-2025 FSC-klagomål.docx", "A 55597-2025")</f>
        <v/>
      </c>
      <c r="W366">
        <f>HYPERLINK("https://klasma.github.io/Logging_2404/klagomålsmail/A 55597-2025 FSC-klagomål mail.docx", "A 55597-2025")</f>
        <v/>
      </c>
      <c r="X366">
        <f>HYPERLINK("https://klasma.github.io/Logging_2404/tillsyn/A 55597-2025 tillsynsbegäran.docx", "A 55597-2025")</f>
        <v/>
      </c>
      <c r="Y366">
        <f>HYPERLINK("https://klasma.github.io/Logging_2404/tillsynsmail/A 55597-2025 tillsynsbegäran mail.docx", "A 55597-2025")</f>
        <v/>
      </c>
      <c r="Z366">
        <f>HYPERLINK("https://klasma.github.io/Logging_2404/fåglar/A 55597-2025 prioriterade fågelarter.docx", "A 55597-2025")</f>
        <v/>
      </c>
    </row>
    <row r="367" ht="15" customHeight="1">
      <c r="A367" t="inlineStr">
        <is>
          <t>A 58209-2025</t>
        </is>
      </c>
      <c r="B367" s="1" t="n">
        <v>45985.3278587963</v>
      </c>
      <c r="C367" s="1" t="n">
        <v>46075</v>
      </c>
      <c r="D367" t="inlineStr">
        <is>
          <t>VÄSTERBOTTENS LÄN</t>
        </is>
      </c>
      <c r="E367" t="inlineStr">
        <is>
          <t>LYCKSELE</t>
        </is>
      </c>
      <c r="F367" t="inlineStr">
        <is>
          <t>Sveaskog</t>
        </is>
      </c>
      <c r="G367" t="n">
        <v>8.1</v>
      </c>
      <c r="H367" t="n">
        <v>0</v>
      </c>
      <c r="I367" t="n">
        <v>1</v>
      </c>
      <c r="J367" t="n">
        <v>4</v>
      </c>
      <c r="K367" t="n">
        <v>0</v>
      </c>
      <c r="L367" t="n">
        <v>0</v>
      </c>
      <c r="M367" t="n">
        <v>0</v>
      </c>
      <c r="N367" t="n">
        <v>0</v>
      </c>
      <c r="O367" t="n">
        <v>4</v>
      </c>
      <c r="P367" t="n">
        <v>0</v>
      </c>
      <c r="Q367" t="n">
        <v>5</v>
      </c>
      <c r="R367" s="2" t="inlineStr">
        <is>
          <t>Blå taggsvamp
Kolflarnlav
Mörk kolflarnlav
Orange taggsvamp
Dropptaggsvamp</t>
        </is>
      </c>
      <c r="S367">
        <f>HYPERLINK("https://klasma.github.io/Logging_2481/artfynd/A 58209-2025 artfynd.xlsx", "A 58209-2025")</f>
        <v/>
      </c>
      <c r="T367">
        <f>HYPERLINK("https://klasma.github.io/Logging_2481/kartor/A 58209-2025 karta.png", "A 58209-2025")</f>
        <v/>
      </c>
      <c r="V367">
        <f>HYPERLINK("https://klasma.github.io/Logging_2481/klagomål/A 58209-2025 FSC-klagomål.docx", "A 58209-2025")</f>
        <v/>
      </c>
      <c r="W367">
        <f>HYPERLINK("https://klasma.github.io/Logging_2481/klagomålsmail/A 58209-2025 FSC-klagomål mail.docx", "A 58209-2025")</f>
        <v/>
      </c>
      <c r="X367">
        <f>HYPERLINK("https://klasma.github.io/Logging_2481/tillsyn/A 58209-2025 tillsynsbegäran.docx", "A 58209-2025")</f>
        <v/>
      </c>
      <c r="Y367">
        <f>HYPERLINK("https://klasma.github.io/Logging_2481/tillsynsmail/A 58209-2025 tillsynsbegäran mail.docx", "A 58209-2025")</f>
        <v/>
      </c>
    </row>
    <row r="368" ht="15" customHeight="1">
      <c r="A368" t="inlineStr">
        <is>
          <t>A 37325-2022</t>
        </is>
      </c>
      <c r="B368" s="1" t="n">
        <v>44806</v>
      </c>
      <c r="C368" s="1" t="n">
        <v>46075</v>
      </c>
      <c r="D368" t="inlineStr">
        <is>
          <t>VÄSTERBOTTENS LÄN</t>
        </is>
      </c>
      <c r="E368" t="inlineStr">
        <is>
          <t>VILHELMINA</t>
        </is>
      </c>
      <c r="F368" t="inlineStr">
        <is>
          <t>Övriga statliga verk och myndigheter</t>
        </is>
      </c>
      <c r="G368" t="n">
        <v>11</v>
      </c>
      <c r="H368" t="n">
        <v>2</v>
      </c>
      <c r="I368" t="n">
        <v>0</v>
      </c>
      <c r="J368" t="n">
        <v>4</v>
      </c>
      <c r="K368" t="n">
        <v>0</v>
      </c>
      <c r="L368" t="n">
        <v>0</v>
      </c>
      <c r="M368" t="n">
        <v>0</v>
      </c>
      <c r="N368" t="n">
        <v>0</v>
      </c>
      <c r="O368" t="n">
        <v>4</v>
      </c>
      <c r="P368" t="n">
        <v>0</v>
      </c>
      <c r="Q368" t="n">
        <v>5</v>
      </c>
      <c r="R368" s="2" t="inlineStr">
        <is>
          <t>Garnlav
Granticka
Skrovellav
Spillkråka
Lavskrika</t>
        </is>
      </c>
      <c r="S368">
        <f>HYPERLINK("https://klasma.github.io/Logging_2462/artfynd/A 37325-2022 artfynd.xlsx", "A 37325-2022")</f>
        <v/>
      </c>
      <c r="T368">
        <f>HYPERLINK("https://klasma.github.io/Logging_2462/kartor/A 37325-2022 karta.png", "A 37325-2022")</f>
        <v/>
      </c>
      <c r="V368">
        <f>HYPERLINK("https://klasma.github.io/Logging_2462/klagomål/A 37325-2022 FSC-klagomål.docx", "A 37325-2022")</f>
        <v/>
      </c>
      <c r="W368">
        <f>HYPERLINK("https://klasma.github.io/Logging_2462/klagomålsmail/A 37325-2022 FSC-klagomål mail.docx", "A 37325-2022")</f>
        <v/>
      </c>
      <c r="X368">
        <f>HYPERLINK("https://klasma.github.io/Logging_2462/tillsyn/A 37325-2022 tillsynsbegäran.docx", "A 37325-2022")</f>
        <v/>
      </c>
      <c r="Y368">
        <f>HYPERLINK("https://klasma.github.io/Logging_2462/tillsynsmail/A 37325-2022 tillsynsbegäran mail.docx", "A 37325-2022")</f>
        <v/>
      </c>
      <c r="Z368">
        <f>HYPERLINK("https://klasma.github.io/Logging_2462/fåglar/A 37325-2022 prioriterade fågelarter.docx", "A 37325-2022")</f>
        <v/>
      </c>
    </row>
    <row r="369" ht="15" customHeight="1">
      <c r="A369" t="inlineStr">
        <is>
          <t>A 55941-2025</t>
        </is>
      </c>
      <c r="B369" s="1" t="n">
        <v>45973.45164351852</v>
      </c>
      <c r="C369" s="1" t="n">
        <v>46075</v>
      </c>
      <c r="D369" t="inlineStr">
        <is>
          <t>VÄSTERBOTTENS LÄN</t>
        </is>
      </c>
      <c r="E369" t="inlineStr">
        <is>
          <t>VINDELN</t>
        </is>
      </c>
      <c r="G369" t="n">
        <v>16.4</v>
      </c>
      <c r="H369" t="n">
        <v>2</v>
      </c>
      <c r="I369" t="n">
        <v>1</v>
      </c>
      <c r="J369" t="n">
        <v>4</v>
      </c>
      <c r="K369" t="n">
        <v>0</v>
      </c>
      <c r="L369" t="n">
        <v>0</v>
      </c>
      <c r="M369" t="n">
        <v>0</v>
      </c>
      <c r="N369" t="n">
        <v>0</v>
      </c>
      <c r="O369" t="n">
        <v>4</v>
      </c>
      <c r="P369" t="n">
        <v>0</v>
      </c>
      <c r="Q369" t="n">
        <v>5</v>
      </c>
      <c r="R369" s="2" t="inlineStr">
        <is>
          <t>Granticka
Spillkråka
Tretåig hackspett
Ullticka
Skinnlav</t>
        </is>
      </c>
      <c r="S369">
        <f>HYPERLINK("https://klasma.github.io/Logging_2404/artfynd/A 55941-2025 artfynd.xlsx", "A 55941-2025")</f>
        <v/>
      </c>
      <c r="T369">
        <f>HYPERLINK("https://klasma.github.io/Logging_2404/kartor/A 55941-2025 karta.png", "A 55941-2025")</f>
        <v/>
      </c>
      <c r="V369">
        <f>HYPERLINK("https://klasma.github.io/Logging_2404/klagomål/A 55941-2025 FSC-klagomål.docx", "A 55941-2025")</f>
        <v/>
      </c>
      <c r="W369">
        <f>HYPERLINK("https://klasma.github.io/Logging_2404/klagomålsmail/A 55941-2025 FSC-klagomål mail.docx", "A 55941-2025")</f>
        <v/>
      </c>
      <c r="X369">
        <f>HYPERLINK("https://klasma.github.io/Logging_2404/tillsyn/A 55941-2025 tillsynsbegäran.docx", "A 55941-2025")</f>
        <v/>
      </c>
      <c r="Y369">
        <f>HYPERLINK("https://klasma.github.io/Logging_2404/tillsynsmail/A 55941-2025 tillsynsbegäran mail.docx", "A 55941-2025")</f>
        <v/>
      </c>
      <c r="Z369">
        <f>HYPERLINK("https://klasma.github.io/Logging_2404/fåglar/A 55941-2025 prioriterade fågelarter.docx", "A 55941-2025")</f>
        <v/>
      </c>
    </row>
    <row r="370" ht="15" customHeight="1">
      <c r="A370" t="inlineStr">
        <is>
          <t>A 56053-2024</t>
        </is>
      </c>
      <c r="B370" s="1" t="n">
        <v>45624</v>
      </c>
      <c r="C370" s="1" t="n">
        <v>46075</v>
      </c>
      <c r="D370" t="inlineStr">
        <is>
          <t>VÄSTERBOTTENS LÄN</t>
        </is>
      </c>
      <c r="E370" t="inlineStr">
        <is>
          <t>LYCKSELE</t>
        </is>
      </c>
      <c r="F370" t="inlineStr">
        <is>
          <t>Sveaskog</t>
        </is>
      </c>
      <c r="G370" t="n">
        <v>8.1</v>
      </c>
      <c r="H370" t="n">
        <v>0</v>
      </c>
      <c r="I370" t="n">
        <v>2</v>
      </c>
      <c r="J370" t="n">
        <v>3</v>
      </c>
      <c r="K370" t="n">
        <v>0</v>
      </c>
      <c r="L370" t="n">
        <v>0</v>
      </c>
      <c r="M370" t="n">
        <v>0</v>
      </c>
      <c r="N370" t="n">
        <v>0</v>
      </c>
      <c r="O370" t="n">
        <v>3</v>
      </c>
      <c r="P370" t="n">
        <v>0</v>
      </c>
      <c r="Q370" t="n">
        <v>5</v>
      </c>
      <c r="R370" s="2" t="inlineStr">
        <is>
          <t>Granticka
Rosenticka
Vedskivlav
Trådticka
Vedticka</t>
        </is>
      </c>
      <c r="S370">
        <f>HYPERLINK("https://klasma.github.io/Logging_2481/artfynd/A 56053-2024 artfynd.xlsx", "A 56053-2024")</f>
        <v/>
      </c>
      <c r="T370">
        <f>HYPERLINK("https://klasma.github.io/Logging_2481/kartor/A 56053-2024 karta.png", "A 56053-2024")</f>
        <v/>
      </c>
      <c r="V370">
        <f>HYPERLINK("https://klasma.github.io/Logging_2481/klagomål/A 56053-2024 FSC-klagomål.docx", "A 56053-2024")</f>
        <v/>
      </c>
      <c r="W370">
        <f>HYPERLINK("https://klasma.github.io/Logging_2481/klagomålsmail/A 56053-2024 FSC-klagomål mail.docx", "A 56053-2024")</f>
        <v/>
      </c>
      <c r="X370">
        <f>HYPERLINK("https://klasma.github.io/Logging_2481/tillsyn/A 56053-2024 tillsynsbegäran.docx", "A 56053-2024")</f>
        <v/>
      </c>
      <c r="Y370">
        <f>HYPERLINK("https://klasma.github.io/Logging_2481/tillsynsmail/A 56053-2024 tillsynsbegäran mail.docx", "A 56053-2024")</f>
        <v/>
      </c>
    </row>
    <row r="371" ht="15" customHeight="1">
      <c r="A371" t="inlineStr">
        <is>
          <t>A 2749-2026</t>
        </is>
      </c>
      <c r="B371" s="1" t="n">
        <v>46038.31931712963</v>
      </c>
      <c r="C371" s="1" t="n">
        <v>46075</v>
      </c>
      <c r="D371" t="inlineStr">
        <is>
          <t>VÄSTERBOTTENS LÄN</t>
        </is>
      </c>
      <c r="E371" t="inlineStr">
        <is>
          <t>ÅSELE</t>
        </is>
      </c>
      <c r="F371" t="inlineStr">
        <is>
          <t>Sveaskog</t>
        </is>
      </c>
      <c r="G371" t="n">
        <v>5</v>
      </c>
      <c r="H371" t="n">
        <v>0</v>
      </c>
      <c r="I371" t="n">
        <v>1</v>
      </c>
      <c r="J371" t="n">
        <v>4</v>
      </c>
      <c r="K371" t="n">
        <v>0</v>
      </c>
      <c r="L371" t="n">
        <v>0</v>
      </c>
      <c r="M371" t="n">
        <v>0</v>
      </c>
      <c r="N371" t="n">
        <v>0</v>
      </c>
      <c r="O371" t="n">
        <v>4</v>
      </c>
      <c r="P371" t="n">
        <v>0</v>
      </c>
      <c r="Q371" t="n">
        <v>5</v>
      </c>
      <c r="R371" s="2" t="inlineStr">
        <is>
          <t>Lunglav
Rosenticka
Skrovellav
Vitgrynig nållav
Trådticka</t>
        </is>
      </c>
      <c r="S371">
        <f>HYPERLINK("https://klasma.github.io/Logging_2463/artfynd/A 2749-2026 artfynd.xlsx", "A 2749-2026")</f>
        <v/>
      </c>
      <c r="T371">
        <f>HYPERLINK("https://klasma.github.io/Logging_2463/kartor/A 2749-2026 karta.png", "A 2749-2026")</f>
        <v/>
      </c>
      <c r="V371">
        <f>HYPERLINK("https://klasma.github.io/Logging_2463/klagomål/A 2749-2026 FSC-klagomål.docx", "A 2749-2026")</f>
        <v/>
      </c>
      <c r="W371">
        <f>HYPERLINK("https://klasma.github.io/Logging_2463/klagomålsmail/A 2749-2026 FSC-klagomål mail.docx", "A 2749-2026")</f>
        <v/>
      </c>
      <c r="X371">
        <f>HYPERLINK("https://klasma.github.io/Logging_2463/tillsyn/A 2749-2026 tillsynsbegäran.docx", "A 2749-2026")</f>
        <v/>
      </c>
      <c r="Y371">
        <f>HYPERLINK("https://klasma.github.io/Logging_2463/tillsynsmail/A 2749-2026 tillsynsbegäran mail.docx", "A 2749-2026")</f>
        <v/>
      </c>
    </row>
    <row r="372" ht="15" customHeight="1">
      <c r="A372" t="inlineStr">
        <is>
          <t>A 34043-2024</t>
        </is>
      </c>
      <c r="B372" s="1" t="n">
        <v>45523.60096064815</v>
      </c>
      <c r="C372" s="1" t="n">
        <v>46075</v>
      </c>
      <c r="D372" t="inlineStr">
        <is>
          <t>VÄSTERBOTTENS LÄN</t>
        </is>
      </c>
      <c r="E372" t="inlineStr">
        <is>
          <t>NORSJÖ</t>
        </is>
      </c>
      <c r="F372" t="inlineStr">
        <is>
          <t>Sveaskog</t>
        </is>
      </c>
      <c r="G372" t="n">
        <v>13.6</v>
      </c>
      <c r="H372" t="n">
        <v>2</v>
      </c>
      <c r="I372" t="n">
        <v>2</v>
      </c>
      <c r="J372" t="n">
        <v>1</v>
      </c>
      <c r="K372" t="n">
        <v>1</v>
      </c>
      <c r="L372" t="n">
        <v>0</v>
      </c>
      <c r="M372" t="n">
        <v>0</v>
      </c>
      <c r="N372" t="n">
        <v>0</v>
      </c>
      <c r="O372" t="n">
        <v>2</v>
      </c>
      <c r="P372" t="n">
        <v>1</v>
      </c>
      <c r="Q372" t="n">
        <v>5</v>
      </c>
      <c r="R372" s="2" t="inlineStr">
        <is>
          <t>Goliatmusseron
Blå taggsvamp
Dropptaggsvamp
Plattlummer
Revlummer</t>
        </is>
      </c>
      <c r="S372">
        <f>HYPERLINK("https://klasma.github.io/Logging_2417/artfynd/A 34043-2024 artfynd.xlsx", "A 34043-2024")</f>
        <v/>
      </c>
      <c r="T372">
        <f>HYPERLINK("https://klasma.github.io/Logging_2417/kartor/A 34043-2024 karta.png", "A 34043-2024")</f>
        <v/>
      </c>
      <c r="V372">
        <f>HYPERLINK("https://klasma.github.io/Logging_2417/klagomål/A 34043-2024 FSC-klagomål.docx", "A 34043-2024")</f>
        <v/>
      </c>
      <c r="W372">
        <f>HYPERLINK("https://klasma.github.io/Logging_2417/klagomålsmail/A 34043-2024 FSC-klagomål mail.docx", "A 34043-2024")</f>
        <v/>
      </c>
      <c r="X372">
        <f>HYPERLINK("https://klasma.github.io/Logging_2417/tillsyn/A 34043-2024 tillsynsbegäran.docx", "A 34043-2024")</f>
        <v/>
      </c>
      <c r="Y372">
        <f>HYPERLINK("https://klasma.github.io/Logging_2417/tillsynsmail/A 34043-2024 tillsynsbegäran mail.docx", "A 34043-2024")</f>
        <v/>
      </c>
    </row>
    <row r="373" ht="15" customHeight="1">
      <c r="A373" t="inlineStr">
        <is>
          <t>A 49243-2023</t>
        </is>
      </c>
      <c r="B373" s="1" t="n">
        <v>45210.65243055556</v>
      </c>
      <c r="C373" s="1" t="n">
        <v>46075</v>
      </c>
      <c r="D373" t="inlineStr">
        <is>
          <t>VÄSTERBOTTENS LÄN</t>
        </is>
      </c>
      <c r="E373" t="inlineStr">
        <is>
          <t>SKELLEFTEÅ</t>
        </is>
      </c>
      <c r="F373" t="inlineStr">
        <is>
          <t>Holmen skog AB</t>
        </is>
      </c>
      <c r="G373" t="n">
        <v>6.4</v>
      </c>
      <c r="H373" t="n">
        <v>1</v>
      </c>
      <c r="I373" t="n">
        <v>1</v>
      </c>
      <c r="J373" t="n">
        <v>4</v>
      </c>
      <c r="K373" t="n">
        <v>0</v>
      </c>
      <c r="L373" t="n">
        <v>0</v>
      </c>
      <c r="M373" t="n">
        <v>0</v>
      </c>
      <c r="N373" t="n">
        <v>0</v>
      </c>
      <c r="O373" t="n">
        <v>4</v>
      </c>
      <c r="P373" t="n">
        <v>0</v>
      </c>
      <c r="Q373" t="n">
        <v>5</v>
      </c>
      <c r="R373" s="2" t="inlineStr">
        <is>
          <t>Garnlav
Leptoporus mollis
Talltita
Ullticka
Luddlav</t>
        </is>
      </c>
      <c r="S373">
        <f>HYPERLINK("https://klasma.github.io/Logging_2482/artfynd/A 49243-2023 artfynd.xlsx", "A 49243-2023")</f>
        <v/>
      </c>
      <c r="T373">
        <f>HYPERLINK("https://klasma.github.io/Logging_2482/kartor/A 49243-2023 karta.png", "A 49243-2023")</f>
        <v/>
      </c>
      <c r="V373">
        <f>HYPERLINK("https://klasma.github.io/Logging_2482/klagomål/A 49243-2023 FSC-klagomål.docx", "A 49243-2023")</f>
        <v/>
      </c>
      <c r="W373">
        <f>HYPERLINK("https://klasma.github.io/Logging_2482/klagomålsmail/A 49243-2023 FSC-klagomål mail.docx", "A 49243-2023")</f>
        <v/>
      </c>
      <c r="X373">
        <f>HYPERLINK("https://klasma.github.io/Logging_2482/tillsyn/A 49243-2023 tillsynsbegäran.docx", "A 49243-2023")</f>
        <v/>
      </c>
      <c r="Y373">
        <f>HYPERLINK("https://klasma.github.io/Logging_2482/tillsynsmail/A 49243-2023 tillsynsbegäran mail.docx", "A 49243-2023")</f>
        <v/>
      </c>
      <c r="Z373">
        <f>HYPERLINK("https://klasma.github.io/Logging_2482/fåglar/A 49243-2023 prioriterade fågelarter.docx", "A 49243-2023")</f>
        <v/>
      </c>
    </row>
    <row r="374" ht="15" customHeight="1">
      <c r="A374" t="inlineStr">
        <is>
          <t>A 63255-2023</t>
        </is>
      </c>
      <c r="B374" s="1" t="n">
        <v>45273</v>
      </c>
      <c r="C374" s="1" t="n">
        <v>46075</v>
      </c>
      <c r="D374" t="inlineStr">
        <is>
          <t>VÄSTERBOTTENS LÄN</t>
        </is>
      </c>
      <c r="E374" t="inlineStr">
        <is>
          <t>NORDMALING</t>
        </is>
      </c>
      <c r="G374" t="n">
        <v>2.4</v>
      </c>
      <c r="H374" t="n">
        <v>1</v>
      </c>
      <c r="I374" t="n">
        <v>4</v>
      </c>
      <c r="J374" t="n">
        <v>1</v>
      </c>
      <c r="K374" t="n">
        <v>0</v>
      </c>
      <c r="L374" t="n">
        <v>0</v>
      </c>
      <c r="M374" t="n">
        <v>0</v>
      </c>
      <c r="N374" t="n">
        <v>0</v>
      </c>
      <c r="O374" t="n">
        <v>1</v>
      </c>
      <c r="P374" t="n">
        <v>0</v>
      </c>
      <c r="Q374" t="n">
        <v>5</v>
      </c>
      <c r="R374" s="2" t="inlineStr">
        <is>
          <t>Svartvit flugsnappare
Dropptaggsvamp
Nästlav
Skinnlav
Trådticka</t>
        </is>
      </c>
      <c r="S374">
        <f>HYPERLINK("https://klasma.github.io/Logging_2401/artfynd/A 63255-2023 artfynd.xlsx", "A 63255-2023")</f>
        <v/>
      </c>
      <c r="T374">
        <f>HYPERLINK("https://klasma.github.io/Logging_2401/kartor/A 63255-2023 karta.png", "A 63255-2023")</f>
        <v/>
      </c>
      <c r="V374">
        <f>HYPERLINK("https://klasma.github.io/Logging_2401/klagomål/A 63255-2023 FSC-klagomål.docx", "A 63255-2023")</f>
        <v/>
      </c>
      <c r="W374">
        <f>HYPERLINK("https://klasma.github.io/Logging_2401/klagomålsmail/A 63255-2023 FSC-klagomål mail.docx", "A 63255-2023")</f>
        <v/>
      </c>
      <c r="X374">
        <f>HYPERLINK("https://klasma.github.io/Logging_2401/tillsyn/A 63255-2023 tillsynsbegäran.docx", "A 63255-2023")</f>
        <v/>
      </c>
      <c r="Y374">
        <f>HYPERLINK("https://klasma.github.io/Logging_2401/tillsynsmail/A 63255-2023 tillsynsbegäran mail.docx", "A 63255-2023")</f>
        <v/>
      </c>
      <c r="Z374">
        <f>HYPERLINK("https://klasma.github.io/Logging_2401/fåglar/A 63255-2023 prioriterade fågelarter.docx", "A 63255-2023")</f>
        <v/>
      </c>
    </row>
    <row r="375" ht="15" customHeight="1">
      <c r="A375" t="inlineStr">
        <is>
          <t>A 6819-2026</t>
        </is>
      </c>
      <c r="B375" s="1" t="n">
        <v>46057.38619212963</v>
      </c>
      <c r="C375" s="1" t="n">
        <v>46075</v>
      </c>
      <c r="D375" t="inlineStr">
        <is>
          <t>VÄSTERBOTTENS LÄN</t>
        </is>
      </c>
      <c r="E375" t="inlineStr">
        <is>
          <t>BJURHOLM</t>
        </is>
      </c>
      <c r="G375" t="n">
        <v>10.5</v>
      </c>
      <c r="H375" t="n">
        <v>0</v>
      </c>
      <c r="I375" t="n">
        <v>2</v>
      </c>
      <c r="J375" t="n">
        <v>3</v>
      </c>
      <c r="K375" t="n">
        <v>0</v>
      </c>
      <c r="L375" t="n">
        <v>0</v>
      </c>
      <c r="M375" t="n">
        <v>0</v>
      </c>
      <c r="N375" t="n">
        <v>0</v>
      </c>
      <c r="O375" t="n">
        <v>3</v>
      </c>
      <c r="P375" t="n">
        <v>0</v>
      </c>
      <c r="Q375" t="n">
        <v>5</v>
      </c>
      <c r="R375" s="2" t="inlineStr">
        <is>
          <t>Garnlav
Granticka
Lunglav
Dropptaggsvamp
Grönpyrola</t>
        </is>
      </c>
      <c r="S375">
        <f>HYPERLINK("https://klasma.github.io/Logging_2403/artfynd/A 6819-2026 artfynd.xlsx", "A 6819-2026")</f>
        <v/>
      </c>
      <c r="T375">
        <f>HYPERLINK("https://klasma.github.io/Logging_2403/kartor/A 6819-2026 karta.png", "A 6819-2026")</f>
        <v/>
      </c>
      <c r="V375">
        <f>HYPERLINK("https://klasma.github.io/Logging_2403/klagomål/A 6819-2026 FSC-klagomål.docx", "A 6819-2026")</f>
        <v/>
      </c>
      <c r="W375">
        <f>HYPERLINK("https://klasma.github.io/Logging_2403/klagomålsmail/A 6819-2026 FSC-klagomål mail.docx", "A 6819-2026")</f>
        <v/>
      </c>
      <c r="X375">
        <f>HYPERLINK("https://klasma.github.io/Logging_2403/tillsyn/A 6819-2026 tillsynsbegäran.docx", "A 6819-2026")</f>
        <v/>
      </c>
      <c r="Y375">
        <f>HYPERLINK("https://klasma.github.io/Logging_2403/tillsynsmail/A 6819-2026 tillsynsbegäran mail.docx", "A 6819-2026")</f>
        <v/>
      </c>
    </row>
    <row r="376" ht="15" customHeight="1">
      <c r="A376" t="inlineStr">
        <is>
          <t>A 52096-2025</t>
        </is>
      </c>
      <c r="B376" s="1" t="n">
        <v>45952.67902777778</v>
      </c>
      <c r="C376" s="1" t="n">
        <v>46075</v>
      </c>
      <c r="D376" t="inlineStr">
        <is>
          <t>VÄSTERBOTTENS LÄN</t>
        </is>
      </c>
      <c r="E376" t="inlineStr">
        <is>
          <t>SKELLEFTEÅ</t>
        </is>
      </c>
      <c r="G376" t="n">
        <v>4.3</v>
      </c>
      <c r="H376" t="n">
        <v>3</v>
      </c>
      <c r="I376" t="n">
        <v>0</v>
      </c>
      <c r="J376" t="n">
        <v>5</v>
      </c>
      <c r="K376" t="n">
        <v>0</v>
      </c>
      <c r="L376" t="n">
        <v>0</v>
      </c>
      <c r="M376" t="n">
        <v>0</v>
      </c>
      <c r="N376" t="n">
        <v>0</v>
      </c>
      <c r="O376" t="n">
        <v>5</v>
      </c>
      <c r="P376" t="n">
        <v>0</v>
      </c>
      <c r="Q376" t="n">
        <v>5</v>
      </c>
      <c r="R376" s="2" t="inlineStr">
        <is>
          <t>Gammelgransskål
Garnlav
Spillkråka
Talltita
Tretåig hackspett</t>
        </is>
      </c>
      <c r="S376">
        <f>HYPERLINK("https://klasma.github.io/Logging_2482/artfynd/A 52096-2025 artfynd.xlsx", "A 52096-2025")</f>
        <v/>
      </c>
      <c r="T376">
        <f>HYPERLINK("https://klasma.github.io/Logging_2482/kartor/A 52096-2025 karta.png", "A 52096-2025")</f>
        <v/>
      </c>
      <c r="V376">
        <f>HYPERLINK("https://klasma.github.io/Logging_2482/klagomål/A 52096-2025 FSC-klagomål.docx", "A 52096-2025")</f>
        <v/>
      </c>
      <c r="W376">
        <f>HYPERLINK("https://klasma.github.io/Logging_2482/klagomålsmail/A 52096-2025 FSC-klagomål mail.docx", "A 52096-2025")</f>
        <v/>
      </c>
      <c r="X376">
        <f>HYPERLINK("https://klasma.github.io/Logging_2482/tillsyn/A 52096-2025 tillsynsbegäran.docx", "A 52096-2025")</f>
        <v/>
      </c>
      <c r="Y376">
        <f>HYPERLINK("https://klasma.github.io/Logging_2482/tillsynsmail/A 52096-2025 tillsynsbegäran mail.docx", "A 52096-2025")</f>
        <v/>
      </c>
      <c r="Z376">
        <f>HYPERLINK("https://klasma.github.io/Logging_2482/fåglar/A 52096-2025 prioriterade fågelarter.docx", "A 52096-2025")</f>
        <v/>
      </c>
    </row>
    <row r="377" ht="15" customHeight="1">
      <c r="A377" t="inlineStr">
        <is>
          <t>A 32316-2022</t>
        </is>
      </c>
      <c r="B377" s="1" t="n">
        <v>44781</v>
      </c>
      <c r="C377" s="1" t="n">
        <v>46075</v>
      </c>
      <c r="D377" t="inlineStr">
        <is>
          <t>VÄSTERBOTTENS LÄN</t>
        </is>
      </c>
      <c r="E377" t="inlineStr">
        <is>
          <t>UMEÅ</t>
        </is>
      </c>
      <c r="F377" t="inlineStr">
        <is>
          <t>Holmen skog AB</t>
        </is>
      </c>
      <c r="G377" t="n">
        <v>6.4</v>
      </c>
      <c r="H377" t="n">
        <v>1</v>
      </c>
      <c r="I377" t="n">
        <v>2</v>
      </c>
      <c r="J377" t="n">
        <v>2</v>
      </c>
      <c r="K377" t="n">
        <v>0</v>
      </c>
      <c r="L377" t="n">
        <v>0</v>
      </c>
      <c r="M377" t="n">
        <v>0</v>
      </c>
      <c r="N377" t="n">
        <v>0</v>
      </c>
      <c r="O377" t="n">
        <v>2</v>
      </c>
      <c r="P377" t="n">
        <v>0</v>
      </c>
      <c r="Q377" t="n">
        <v>5</v>
      </c>
      <c r="R377" s="2" t="inlineStr">
        <is>
          <t>Garnlav
Orange taggsvamp
Dropptaggsvamp
Skarp dropptaggsvamp
Tjäder</t>
        </is>
      </c>
      <c r="S377">
        <f>HYPERLINK("https://klasma.github.io/Logging_2480/artfynd/A 32316-2022 artfynd.xlsx", "A 32316-2022")</f>
        <v/>
      </c>
      <c r="T377">
        <f>HYPERLINK("https://klasma.github.io/Logging_2480/kartor/A 32316-2022 karta.png", "A 32316-2022")</f>
        <v/>
      </c>
      <c r="V377">
        <f>HYPERLINK("https://klasma.github.io/Logging_2480/klagomål/A 32316-2022 FSC-klagomål.docx", "A 32316-2022")</f>
        <v/>
      </c>
      <c r="W377">
        <f>HYPERLINK("https://klasma.github.io/Logging_2480/klagomålsmail/A 32316-2022 FSC-klagomål mail.docx", "A 32316-2022")</f>
        <v/>
      </c>
      <c r="X377">
        <f>HYPERLINK("https://klasma.github.io/Logging_2480/tillsyn/A 32316-2022 tillsynsbegäran.docx", "A 32316-2022")</f>
        <v/>
      </c>
      <c r="Y377">
        <f>HYPERLINK("https://klasma.github.io/Logging_2480/tillsynsmail/A 32316-2022 tillsynsbegäran mail.docx", "A 32316-2022")</f>
        <v/>
      </c>
      <c r="Z377">
        <f>HYPERLINK("https://klasma.github.io/Logging_2480/fåglar/A 32316-2022 prioriterade fågelarter.docx", "A 32316-2022")</f>
        <v/>
      </c>
    </row>
    <row r="378" ht="15" customHeight="1">
      <c r="A378" t="inlineStr">
        <is>
          <t>A 32798-2025</t>
        </is>
      </c>
      <c r="B378" s="1" t="n">
        <v>45839</v>
      </c>
      <c r="C378" s="1" t="n">
        <v>46075</v>
      </c>
      <c r="D378" t="inlineStr">
        <is>
          <t>VÄSTERBOTTENS LÄN</t>
        </is>
      </c>
      <c r="E378" t="inlineStr">
        <is>
          <t>SORSELE</t>
        </is>
      </c>
      <c r="G378" t="n">
        <v>14.4</v>
      </c>
      <c r="H378" t="n">
        <v>0</v>
      </c>
      <c r="I378" t="n">
        <v>0</v>
      </c>
      <c r="J378" t="n">
        <v>5</v>
      </c>
      <c r="K378" t="n">
        <v>0</v>
      </c>
      <c r="L378" t="n">
        <v>0</v>
      </c>
      <c r="M378" t="n">
        <v>0</v>
      </c>
      <c r="N378" t="n">
        <v>0</v>
      </c>
      <c r="O378" t="n">
        <v>5</v>
      </c>
      <c r="P378" t="n">
        <v>0</v>
      </c>
      <c r="Q378" t="n">
        <v>5</v>
      </c>
      <c r="R378" s="2" t="inlineStr">
        <is>
          <t>Garnlav
Granticka
Harticka
Ullticka
Vitgrynig nållav</t>
        </is>
      </c>
      <c r="S378">
        <f>HYPERLINK("https://klasma.github.io/Logging_2422/artfynd/A 32798-2025 artfynd.xlsx", "A 32798-2025")</f>
        <v/>
      </c>
      <c r="T378">
        <f>HYPERLINK("https://klasma.github.io/Logging_2422/kartor/A 32798-2025 karta.png", "A 32798-2025")</f>
        <v/>
      </c>
      <c r="V378">
        <f>HYPERLINK("https://klasma.github.io/Logging_2422/klagomål/A 32798-2025 FSC-klagomål.docx", "A 32798-2025")</f>
        <v/>
      </c>
      <c r="W378">
        <f>HYPERLINK("https://klasma.github.io/Logging_2422/klagomålsmail/A 32798-2025 FSC-klagomål mail.docx", "A 32798-2025")</f>
        <v/>
      </c>
      <c r="X378">
        <f>HYPERLINK("https://klasma.github.io/Logging_2422/tillsyn/A 32798-2025 tillsynsbegäran.docx", "A 32798-2025")</f>
        <v/>
      </c>
      <c r="Y378">
        <f>HYPERLINK("https://klasma.github.io/Logging_2422/tillsynsmail/A 32798-2025 tillsynsbegäran mail.docx", "A 32798-2025")</f>
        <v/>
      </c>
    </row>
    <row r="379" ht="15" customHeight="1">
      <c r="A379" t="inlineStr">
        <is>
          <t>A 28831-2024</t>
        </is>
      </c>
      <c r="B379" s="1" t="n">
        <v>45478</v>
      </c>
      <c r="C379" s="1" t="n">
        <v>46075</v>
      </c>
      <c r="D379" t="inlineStr">
        <is>
          <t>VÄSTERBOTTENS LÄN</t>
        </is>
      </c>
      <c r="E379" t="inlineStr">
        <is>
          <t>VINDELN</t>
        </is>
      </c>
      <c r="F379" t="inlineStr">
        <is>
          <t>Holmen skog AB</t>
        </is>
      </c>
      <c r="G379" t="n">
        <v>1.6</v>
      </c>
      <c r="H379" t="n">
        <v>2</v>
      </c>
      <c r="I379" t="n">
        <v>1</v>
      </c>
      <c r="J379" t="n">
        <v>4</v>
      </c>
      <c r="K379" t="n">
        <v>0</v>
      </c>
      <c r="L379" t="n">
        <v>0</v>
      </c>
      <c r="M379" t="n">
        <v>0</v>
      </c>
      <c r="N379" t="n">
        <v>0</v>
      </c>
      <c r="O379" t="n">
        <v>4</v>
      </c>
      <c r="P379" t="n">
        <v>0</v>
      </c>
      <c r="Q379" t="n">
        <v>5</v>
      </c>
      <c r="R379" s="2" t="inlineStr">
        <is>
          <t>Garnlav
Spillkråka
Tretåig hackspett
Ullticka
Vedticka</t>
        </is>
      </c>
      <c r="S379">
        <f>HYPERLINK("https://klasma.github.io/Logging_2404/artfynd/A 28831-2024 artfynd.xlsx", "A 28831-2024")</f>
        <v/>
      </c>
      <c r="T379">
        <f>HYPERLINK("https://klasma.github.io/Logging_2404/kartor/A 28831-2024 karta.png", "A 28831-2024")</f>
        <v/>
      </c>
      <c r="V379">
        <f>HYPERLINK("https://klasma.github.io/Logging_2404/klagomål/A 28831-2024 FSC-klagomål.docx", "A 28831-2024")</f>
        <v/>
      </c>
      <c r="W379">
        <f>HYPERLINK("https://klasma.github.io/Logging_2404/klagomålsmail/A 28831-2024 FSC-klagomål mail.docx", "A 28831-2024")</f>
        <v/>
      </c>
      <c r="X379">
        <f>HYPERLINK("https://klasma.github.io/Logging_2404/tillsyn/A 28831-2024 tillsynsbegäran.docx", "A 28831-2024")</f>
        <v/>
      </c>
      <c r="Y379">
        <f>HYPERLINK("https://klasma.github.io/Logging_2404/tillsynsmail/A 28831-2024 tillsynsbegäran mail.docx", "A 28831-2024")</f>
        <v/>
      </c>
      <c r="Z379">
        <f>HYPERLINK("https://klasma.github.io/Logging_2404/fåglar/A 28831-2024 prioriterade fågelarter.docx", "A 28831-2024")</f>
        <v/>
      </c>
    </row>
    <row r="380" ht="15" customHeight="1">
      <c r="A380" t="inlineStr">
        <is>
          <t>A 5292-2026</t>
        </is>
      </c>
      <c r="B380" s="1" t="n">
        <v>46050.3446875</v>
      </c>
      <c r="C380" s="1" t="n">
        <v>46075</v>
      </c>
      <c r="D380" t="inlineStr">
        <is>
          <t>VÄSTERBOTTENS LÄN</t>
        </is>
      </c>
      <c r="E380" t="inlineStr">
        <is>
          <t>ROBERTSFORS</t>
        </is>
      </c>
      <c r="G380" t="n">
        <v>6.9</v>
      </c>
      <c r="H380" t="n">
        <v>2</v>
      </c>
      <c r="I380" t="n">
        <v>0</v>
      </c>
      <c r="J380" t="n">
        <v>5</v>
      </c>
      <c r="K380" t="n">
        <v>0</v>
      </c>
      <c r="L380" t="n">
        <v>0</v>
      </c>
      <c r="M380" t="n">
        <v>0</v>
      </c>
      <c r="N380" t="n">
        <v>0</v>
      </c>
      <c r="O380" t="n">
        <v>5</v>
      </c>
      <c r="P380" t="n">
        <v>0</v>
      </c>
      <c r="Q380" t="n">
        <v>5</v>
      </c>
      <c r="R380" s="2" t="inlineStr">
        <is>
          <t>Gammelgransskål
Garnlav
Spillkråka
Tallticka
Tretåig hackspett</t>
        </is>
      </c>
      <c r="S380">
        <f>HYPERLINK("https://klasma.github.io/Logging_2409/artfynd/A 5292-2026 artfynd.xlsx", "A 5292-2026")</f>
        <v/>
      </c>
      <c r="T380">
        <f>HYPERLINK("https://klasma.github.io/Logging_2409/kartor/A 5292-2026 karta.png", "A 5292-2026")</f>
        <v/>
      </c>
      <c r="V380">
        <f>HYPERLINK("https://klasma.github.io/Logging_2409/klagomål/A 5292-2026 FSC-klagomål.docx", "A 5292-2026")</f>
        <v/>
      </c>
      <c r="W380">
        <f>HYPERLINK("https://klasma.github.io/Logging_2409/klagomålsmail/A 5292-2026 FSC-klagomål mail.docx", "A 5292-2026")</f>
        <v/>
      </c>
      <c r="X380">
        <f>HYPERLINK("https://klasma.github.io/Logging_2409/tillsyn/A 5292-2026 tillsynsbegäran.docx", "A 5292-2026")</f>
        <v/>
      </c>
      <c r="Y380">
        <f>HYPERLINK("https://klasma.github.io/Logging_2409/tillsynsmail/A 5292-2026 tillsynsbegäran mail.docx", "A 5292-2026")</f>
        <v/>
      </c>
      <c r="Z380">
        <f>HYPERLINK("https://klasma.github.io/Logging_2409/fåglar/A 5292-2026 prioriterade fågelarter.docx", "A 5292-2026")</f>
        <v/>
      </c>
    </row>
    <row r="381" ht="15" customHeight="1">
      <c r="A381" t="inlineStr">
        <is>
          <t>A 47955-2022</t>
        </is>
      </c>
      <c r="B381" s="1" t="n">
        <v>44853</v>
      </c>
      <c r="C381" s="1" t="n">
        <v>46075</v>
      </c>
      <c r="D381" t="inlineStr">
        <is>
          <t>VÄSTERBOTTENS LÄN</t>
        </is>
      </c>
      <c r="E381" t="inlineStr">
        <is>
          <t>DOROTEA</t>
        </is>
      </c>
      <c r="G381" t="n">
        <v>16.3</v>
      </c>
      <c r="H381" t="n">
        <v>0</v>
      </c>
      <c r="I381" t="n">
        <v>0</v>
      </c>
      <c r="J381" t="n">
        <v>5</v>
      </c>
      <c r="K381" t="n">
        <v>0</v>
      </c>
      <c r="L381" t="n">
        <v>0</v>
      </c>
      <c r="M381" t="n">
        <v>0</v>
      </c>
      <c r="N381" t="n">
        <v>0</v>
      </c>
      <c r="O381" t="n">
        <v>5</v>
      </c>
      <c r="P381" t="n">
        <v>0</v>
      </c>
      <c r="Q381" t="n">
        <v>5</v>
      </c>
      <c r="R381" s="2" t="inlineStr">
        <is>
          <t>Doftskinn
Granticka
Gränsticka
Harticka
Ullticka</t>
        </is>
      </c>
      <c r="S381">
        <f>HYPERLINK("https://klasma.github.io/Logging_2425/artfynd/A 47955-2022 artfynd.xlsx", "A 47955-2022")</f>
        <v/>
      </c>
      <c r="T381">
        <f>HYPERLINK("https://klasma.github.io/Logging_2425/kartor/A 47955-2022 karta.png", "A 47955-2022")</f>
        <v/>
      </c>
      <c r="V381">
        <f>HYPERLINK("https://klasma.github.io/Logging_2425/klagomål/A 47955-2022 FSC-klagomål.docx", "A 47955-2022")</f>
        <v/>
      </c>
      <c r="W381">
        <f>HYPERLINK("https://klasma.github.io/Logging_2425/klagomålsmail/A 47955-2022 FSC-klagomål mail.docx", "A 47955-2022")</f>
        <v/>
      </c>
      <c r="X381">
        <f>HYPERLINK("https://klasma.github.io/Logging_2425/tillsyn/A 47955-2022 tillsynsbegäran.docx", "A 47955-2022")</f>
        <v/>
      </c>
      <c r="Y381">
        <f>HYPERLINK("https://klasma.github.io/Logging_2425/tillsynsmail/A 47955-2022 tillsynsbegäran mail.docx", "A 47955-2022")</f>
        <v/>
      </c>
    </row>
    <row r="382" ht="15" customHeight="1">
      <c r="A382" t="inlineStr">
        <is>
          <t>A 31524-2024</t>
        </is>
      </c>
      <c r="B382" s="1" t="n">
        <v>45505</v>
      </c>
      <c r="C382" s="1" t="n">
        <v>46075</v>
      </c>
      <c r="D382" t="inlineStr">
        <is>
          <t>VÄSTERBOTTENS LÄN</t>
        </is>
      </c>
      <c r="E382" t="inlineStr">
        <is>
          <t>VINDELN</t>
        </is>
      </c>
      <c r="F382" t="inlineStr">
        <is>
          <t>SCA</t>
        </is>
      </c>
      <c r="G382" t="n">
        <v>2.6</v>
      </c>
      <c r="H382" t="n">
        <v>0</v>
      </c>
      <c r="I382" t="n">
        <v>3</v>
      </c>
      <c r="J382" t="n">
        <v>2</v>
      </c>
      <c r="K382" t="n">
        <v>0</v>
      </c>
      <c r="L382" t="n">
        <v>0</v>
      </c>
      <c r="M382" t="n">
        <v>0</v>
      </c>
      <c r="N382" t="n">
        <v>0</v>
      </c>
      <c r="O382" t="n">
        <v>2</v>
      </c>
      <c r="P382" t="n">
        <v>0</v>
      </c>
      <c r="Q382" t="n">
        <v>5</v>
      </c>
      <c r="R382" s="2" t="inlineStr">
        <is>
          <t>Garnlav
Ullticka
Norrlandslav
Skinnlav
Stuplav</t>
        </is>
      </c>
      <c r="S382">
        <f>HYPERLINK("https://klasma.github.io/Logging_2404/artfynd/A 31524-2024 artfynd.xlsx", "A 31524-2024")</f>
        <v/>
      </c>
      <c r="T382">
        <f>HYPERLINK("https://klasma.github.io/Logging_2404/kartor/A 31524-2024 karta.png", "A 31524-2024")</f>
        <v/>
      </c>
      <c r="V382">
        <f>HYPERLINK("https://klasma.github.io/Logging_2404/klagomål/A 31524-2024 FSC-klagomål.docx", "A 31524-2024")</f>
        <v/>
      </c>
      <c r="W382">
        <f>HYPERLINK("https://klasma.github.io/Logging_2404/klagomålsmail/A 31524-2024 FSC-klagomål mail.docx", "A 31524-2024")</f>
        <v/>
      </c>
      <c r="X382">
        <f>HYPERLINK("https://klasma.github.io/Logging_2404/tillsyn/A 31524-2024 tillsynsbegäran.docx", "A 31524-2024")</f>
        <v/>
      </c>
      <c r="Y382">
        <f>HYPERLINK("https://klasma.github.io/Logging_2404/tillsynsmail/A 31524-2024 tillsynsbegäran mail.docx", "A 31524-2024")</f>
        <v/>
      </c>
    </row>
    <row r="383" ht="15" customHeight="1">
      <c r="A383" t="inlineStr">
        <is>
          <t>A 55814-2023</t>
        </is>
      </c>
      <c r="B383" s="1" t="n">
        <v>45239</v>
      </c>
      <c r="C383" s="1" t="n">
        <v>46075</v>
      </c>
      <c r="D383" t="inlineStr">
        <is>
          <t>VÄSTERBOTTENS LÄN</t>
        </is>
      </c>
      <c r="E383" t="inlineStr">
        <is>
          <t>NORDMALING</t>
        </is>
      </c>
      <c r="G383" t="n">
        <v>2.7</v>
      </c>
      <c r="H383" t="n">
        <v>1</v>
      </c>
      <c r="I383" t="n">
        <v>1</v>
      </c>
      <c r="J383" t="n">
        <v>4</v>
      </c>
      <c r="K383" t="n">
        <v>0</v>
      </c>
      <c r="L383" t="n">
        <v>0</v>
      </c>
      <c r="M383" t="n">
        <v>0</v>
      </c>
      <c r="N383" t="n">
        <v>0</v>
      </c>
      <c r="O383" t="n">
        <v>4</v>
      </c>
      <c r="P383" t="n">
        <v>0</v>
      </c>
      <c r="Q383" t="n">
        <v>5</v>
      </c>
      <c r="R383" s="2" t="inlineStr">
        <is>
          <t>Garnlav
Granticka
Tretåig hackspett
Ullticka
Vågbandad barkbock</t>
        </is>
      </c>
      <c r="S383">
        <f>HYPERLINK("https://klasma.github.io/Logging_2401/artfynd/A 55814-2023 artfynd.xlsx", "A 55814-2023")</f>
        <v/>
      </c>
      <c r="T383">
        <f>HYPERLINK("https://klasma.github.io/Logging_2401/kartor/A 55814-2023 karta.png", "A 55814-2023")</f>
        <v/>
      </c>
      <c r="V383">
        <f>HYPERLINK("https://klasma.github.io/Logging_2401/klagomål/A 55814-2023 FSC-klagomål.docx", "A 55814-2023")</f>
        <v/>
      </c>
      <c r="W383">
        <f>HYPERLINK("https://klasma.github.io/Logging_2401/klagomålsmail/A 55814-2023 FSC-klagomål mail.docx", "A 55814-2023")</f>
        <v/>
      </c>
      <c r="X383">
        <f>HYPERLINK("https://klasma.github.io/Logging_2401/tillsyn/A 55814-2023 tillsynsbegäran.docx", "A 55814-2023")</f>
        <v/>
      </c>
      <c r="Y383">
        <f>HYPERLINK("https://klasma.github.io/Logging_2401/tillsynsmail/A 55814-2023 tillsynsbegäran mail.docx", "A 55814-2023")</f>
        <v/>
      </c>
      <c r="Z383">
        <f>HYPERLINK("https://klasma.github.io/Logging_2401/fåglar/A 55814-2023 prioriterade fågelarter.docx", "A 55814-2023")</f>
        <v/>
      </c>
    </row>
    <row r="384" ht="15" customHeight="1">
      <c r="A384" t="inlineStr">
        <is>
          <t>A 2274-2024</t>
        </is>
      </c>
      <c r="B384" s="1" t="n">
        <v>45310</v>
      </c>
      <c r="C384" s="1" t="n">
        <v>46075</v>
      </c>
      <c r="D384" t="inlineStr">
        <is>
          <t>VÄSTERBOTTENS LÄN</t>
        </is>
      </c>
      <c r="E384" t="inlineStr">
        <is>
          <t>VINDELN</t>
        </is>
      </c>
      <c r="G384" t="n">
        <v>7.9</v>
      </c>
      <c r="H384" t="n">
        <v>1</v>
      </c>
      <c r="I384" t="n">
        <v>1</v>
      </c>
      <c r="J384" t="n">
        <v>3</v>
      </c>
      <c r="K384" t="n">
        <v>1</v>
      </c>
      <c r="L384" t="n">
        <v>0</v>
      </c>
      <c r="M384" t="n">
        <v>0</v>
      </c>
      <c r="N384" t="n">
        <v>0</v>
      </c>
      <c r="O384" t="n">
        <v>4</v>
      </c>
      <c r="P384" t="n">
        <v>1</v>
      </c>
      <c r="Q384" t="n">
        <v>5</v>
      </c>
      <c r="R384" s="2" t="inlineStr">
        <is>
          <t>Knärot
Garnlav
Lunglav
Stiftgelélav
Bårdlav</t>
        </is>
      </c>
      <c r="S384">
        <f>HYPERLINK("https://klasma.github.io/Logging_2404/artfynd/A 2274-2024 artfynd.xlsx", "A 2274-2024")</f>
        <v/>
      </c>
      <c r="T384">
        <f>HYPERLINK("https://klasma.github.io/Logging_2404/kartor/A 2274-2024 karta.png", "A 2274-2024")</f>
        <v/>
      </c>
      <c r="U384">
        <f>HYPERLINK("https://klasma.github.io/Logging_2404/knärot/A 2274-2024 karta knärot.png", "A 2274-2024")</f>
        <v/>
      </c>
      <c r="V384">
        <f>HYPERLINK("https://klasma.github.io/Logging_2404/klagomål/A 2274-2024 FSC-klagomål.docx", "A 2274-2024")</f>
        <v/>
      </c>
      <c r="W384">
        <f>HYPERLINK("https://klasma.github.io/Logging_2404/klagomålsmail/A 2274-2024 FSC-klagomål mail.docx", "A 2274-2024")</f>
        <v/>
      </c>
      <c r="X384">
        <f>HYPERLINK("https://klasma.github.io/Logging_2404/tillsyn/A 2274-2024 tillsynsbegäran.docx", "A 2274-2024")</f>
        <v/>
      </c>
      <c r="Y384">
        <f>HYPERLINK("https://klasma.github.io/Logging_2404/tillsynsmail/A 2274-2024 tillsynsbegäran mail.docx", "A 2274-2024")</f>
        <v/>
      </c>
    </row>
    <row r="385" ht="15" customHeight="1">
      <c r="A385" t="inlineStr">
        <is>
          <t>A 8853-2024</t>
        </is>
      </c>
      <c r="B385" s="1" t="n">
        <v>45356</v>
      </c>
      <c r="C385" s="1" t="n">
        <v>46075</v>
      </c>
      <c r="D385" t="inlineStr">
        <is>
          <t>VÄSTERBOTTENS LÄN</t>
        </is>
      </c>
      <c r="E385" t="inlineStr">
        <is>
          <t>DOROTEA</t>
        </is>
      </c>
      <c r="G385" t="n">
        <v>1.9</v>
      </c>
      <c r="H385" t="n">
        <v>1</v>
      </c>
      <c r="I385" t="n">
        <v>2</v>
      </c>
      <c r="J385" t="n">
        <v>2</v>
      </c>
      <c r="K385" t="n">
        <v>0</v>
      </c>
      <c r="L385" t="n">
        <v>0</v>
      </c>
      <c r="M385" t="n">
        <v>0</v>
      </c>
      <c r="N385" t="n">
        <v>0</v>
      </c>
      <c r="O385" t="n">
        <v>2</v>
      </c>
      <c r="P385" t="n">
        <v>0</v>
      </c>
      <c r="Q385" t="n">
        <v>5</v>
      </c>
      <c r="R385" s="2" t="inlineStr">
        <is>
          <t>Garnlav
Vitgrynig nållav
Luddlav
Stuplav
Kungsfågel</t>
        </is>
      </c>
      <c r="S385">
        <f>HYPERLINK("https://klasma.github.io/Logging_2425/artfynd/A 8853-2024 artfynd.xlsx", "A 8853-2024")</f>
        <v/>
      </c>
      <c r="T385">
        <f>HYPERLINK("https://klasma.github.io/Logging_2425/kartor/A 8853-2024 karta.png", "A 8853-2024")</f>
        <v/>
      </c>
      <c r="V385">
        <f>HYPERLINK("https://klasma.github.io/Logging_2425/klagomål/A 8853-2024 FSC-klagomål.docx", "A 8853-2024")</f>
        <v/>
      </c>
      <c r="W385">
        <f>HYPERLINK("https://klasma.github.io/Logging_2425/klagomålsmail/A 8853-2024 FSC-klagomål mail.docx", "A 8853-2024")</f>
        <v/>
      </c>
      <c r="X385">
        <f>HYPERLINK("https://klasma.github.io/Logging_2425/tillsyn/A 8853-2024 tillsynsbegäran.docx", "A 8853-2024")</f>
        <v/>
      </c>
      <c r="Y385">
        <f>HYPERLINK("https://klasma.github.io/Logging_2425/tillsynsmail/A 8853-2024 tillsynsbegäran mail.docx", "A 8853-2024")</f>
        <v/>
      </c>
      <c r="Z385">
        <f>HYPERLINK("https://klasma.github.io/Logging_2425/fåglar/A 8853-2024 prioriterade fågelarter.docx", "A 8853-2024")</f>
        <v/>
      </c>
    </row>
    <row r="386" ht="15" customHeight="1">
      <c r="A386" t="inlineStr">
        <is>
          <t>A 52787-2023</t>
        </is>
      </c>
      <c r="B386" s="1" t="n">
        <v>45219</v>
      </c>
      <c r="C386" s="1" t="n">
        <v>46075</v>
      </c>
      <c r="D386" t="inlineStr">
        <is>
          <t>VÄSTERBOTTENS LÄN</t>
        </is>
      </c>
      <c r="E386" t="inlineStr">
        <is>
          <t>NORDMALING</t>
        </is>
      </c>
      <c r="G386" t="n">
        <v>6.2</v>
      </c>
      <c r="H386" t="n">
        <v>2</v>
      </c>
      <c r="I386" t="n">
        <v>2</v>
      </c>
      <c r="J386" t="n">
        <v>3</v>
      </c>
      <c r="K386" t="n">
        <v>0</v>
      </c>
      <c r="L386" t="n">
        <v>0</v>
      </c>
      <c r="M386" t="n">
        <v>0</v>
      </c>
      <c r="N386" t="n">
        <v>0</v>
      </c>
      <c r="O386" t="n">
        <v>3</v>
      </c>
      <c r="P386" t="n">
        <v>0</v>
      </c>
      <c r="Q386" t="n">
        <v>5</v>
      </c>
      <c r="R386" s="2" t="inlineStr">
        <is>
          <t>Garnlav
Spillkråka
Tretåig hackspett
Rostfläck
Skinnlav</t>
        </is>
      </c>
      <c r="S386">
        <f>HYPERLINK("https://klasma.github.io/Logging_2401/artfynd/A 52787-2023 artfynd.xlsx", "A 52787-2023")</f>
        <v/>
      </c>
      <c r="T386">
        <f>HYPERLINK("https://klasma.github.io/Logging_2401/kartor/A 52787-2023 karta.png", "A 52787-2023")</f>
        <v/>
      </c>
      <c r="V386">
        <f>HYPERLINK("https://klasma.github.io/Logging_2401/klagomål/A 52787-2023 FSC-klagomål.docx", "A 52787-2023")</f>
        <v/>
      </c>
      <c r="W386">
        <f>HYPERLINK("https://klasma.github.io/Logging_2401/klagomålsmail/A 52787-2023 FSC-klagomål mail.docx", "A 52787-2023")</f>
        <v/>
      </c>
      <c r="X386">
        <f>HYPERLINK("https://klasma.github.io/Logging_2401/tillsyn/A 52787-2023 tillsynsbegäran.docx", "A 52787-2023")</f>
        <v/>
      </c>
      <c r="Y386">
        <f>HYPERLINK("https://klasma.github.io/Logging_2401/tillsynsmail/A 52787-2023 tillsynsbegäran mail.docx", "A 52787-2023")</f>
        <v/>
      </c>
      <c r="Z386">
        <f>HYPERLINK("https://klasma.github.io/Logging_2401/fåglar/A 52787-2023 prioriterade fågelarter.docx", "A 52787-2023")</f>
        <v/>
      </c>
    </row>
    <row r="387" ht="15" customHeight="1">
      <c r="A387" t="inlineStr">
        <is>
          <t>A 51811-2022</t>
        </is>
      </c>
      <c r="B387" s="1" t="n">
        <v>44867</v>
      </c>
      <c r="C387" s="1" t="n">
        <v>46075</v>
      </c>
      <c r="D387" t="inlineStr">
        <is>
          <t>VÄSTERBOTTENS LÄN</t>
        </is>
      </c>
      <c r="E387" t="inlineStr">
        <is>
          <t>SKELLEFTEÅ</t>
        </is>
      </c>
      <c r="G387" t="n">
        <v>3.8</v>
      </c>
      <c r="H387" t="n">
        <v>2</v>
      </c>
      <c r="I387" t="n">
        <v>1</v>
      </c>
      <c r="J387" t="n">
        <v>4</v>
      </c>
      <c r="K387" t="n">
        <v>0</v>
      </c>
      <c r="L387" t="n">
        <v>0</v>
      </c>
      <c r="M387" t="n">
        <v>0</v>
      </c>
      <c r="N387" t="n">
        <v>0</v>
      </c>
      <c r="O387" t="n">
        <v>4</v>
      </c>
      <c r="P387" t="n">
        <v>0</v>
      </c>
      <c r="Q387" t="n">
        <v>5</v>
      </c>
      <c r="R387" s="2" t="inlineStr">
        <is>
          <t>Garnlav
Harticka
Spillkråka
Tretåig hackspett
Bronshjon</t>
        </is>
      </c>
      <c r="S387">
        <f>HYPERLINK("https://klasma.github.io/Logging_2482/artfynd/A 51811-2022 artfynd.xlsx", "A 51811-2022")</f>
        <v/>
      </c>
      <c r="T387">
        <f>HYPERLINK("https://klasma.github.io/Logging_2482/kartor/A 51811-2022 karta.png", "A 51811-2022")</f>
        <v/>
      </c>
      <c r="V387">
        <f>HYPERLINK("https://klasma.github.io/Logging_2482/klagomål/A 51811-2022 FSC-klagomål.docx", "A 51811-2022")</f>
        <v/>
      </c>
      <c r="W387">
        <f>HYPERLINK("https://klasma.github.io/Logging_2482/klagomålsmail/A 51811-2022 FSC-klagomål mail.docx", "A 51811-2022")</f>
        <v/>
      </c>
      <c r="X387">
        <f>HYPERLINK("https://klasma.github.io/Logging_2482/tillsyn/A 51811-2022 tillsynsbegäran.docx", "A 51811-2022")</f>
        <v/>
      </c>
      <c r="Y387">
        <f>HYPERLINK("https://klasma.github.io/Logging_2482/tillsynsmail/A 51811-2022 tillsynsbegäran mail.docx", "A 51811-2022")</f>
        <v/>
      </c>
      <c r="Z387">
        <f>HYPERLINK("https://klasma.github.io/Logging_2482/fåglar/A 51811-2022 prioriterade fågelarter.docx", "A 51811-2022")</f>
        <v/>
      </c>
    </row>
    <row r="388" ht="15" customHeight="1">
      <c r="A388" t="inlineStr">
        <is>
          <t>A 8655-2024</t>
        </is>
      </c>
      <c r="B388" s="1" t="n">
        <v>45356</v>
      </c>
      <c r="C388" s="1" t="n">
        <v>46075</v>
      </c>
      <c r="D388" t="inlineStr">
        <is>
          <t>VÄSTERBOTTENS LÄN</t>
        </is>
      </c>
      <c r="E388" t="inlineStr">
        <is>
          <t>ÅSELE</t>
        </is>
      </c>
      <c r="F388" t="inlineStr">
        <is>
          <t>SCA</t>
        </is>
      </c>
      <c r="G388" t="n">
        <v>12.3</v>
      </c>
      <c r="H388" t="n">
        <v>0</v>
      </c>
      <c r="I388" t="n">
        <v>2</v>
      </c>
      <c r="J388" t="n">
        <v>3</v>
      </c>
      <c r="K388" t="n">
        <v>0</v>
      </c>
      <c r="L388" t="n">
        <v>0</v>
      </c>
      <c r="M388" t="n">
        <v>0</v>
      </c>
      <c r="N388" t="n">
        <v>0</v>
      </c>
      <c r="O388" t="n">
        <v>3</v>
      </c>
      <c r="P388" t="n">
        <v>0</v>
      </c>
      <c r="Q388" t="n">
        <v>5</v>
      </c>
      <c r="R388" s="2" t="inlineStr">
        <is>
          <t>Garnlav
Lunglav
Skrovellav
Bårdlav
Stuplav</t>
        </is>
      </c>
      <c r="S388">
        <f>HYPERLINK("https://klasma.github.io/Logging_2463/artfynd/A 8655-2024 artfynd.xlsx", "A 8655-2024")</f>
        <v/>
      </c>
      <c r="T388">
        <f>HYPERLINK("https://klasma.github.io/Logging_2463/kartor/A 8655-2024 karta.png", "A 8655-2024")</f>
        <v/>
      </c>
      <c r="V388">
        <f>HYPERLINK("https://klasma.github.io/Logging_2463/klagomål/A 8655-2024 FSC-klagomål.docx", "A 8655-2024")</f>
        <v/>
      </c>
      <c r="W388">
        <f>HYPERLINK("https://klasma.github.io/Logging_2463/klagomålsmail/A 8655-2024 FSC-klagomål mail.docx", "A 8655-2024")</f>
        <v/>
      </c>
      <c r="X388">
        <f>HYPERLINK("https://klasma.github.io/Logging_2463/tillsyn/A 8655-2024 tillsynsbegäran.docx", "A 8655-2024")</f>
        <v/>
      </c>
      <c r="Y388">
        <f>HYPERLINK("https://klasma.github.io/Logging_2463/tillsynsmail/A 8655-2024 tillsynsbegäran mail.docx", "A 8655-2024")</f>
        <v/>
      </c>
    </row>
    <row r="389" ht="15" customHeight="1">
      <c r="A389" t="inlineStr">
        <is>
          <t>A 23310-2025</t>
        </is>
      </c>
      <c r="B389" s="1" t="n">
        <v>45791.60834490741</v>
      </c>
      <c r="C389" s="1" t="n">
        <v>46075</v>
      </c>
      <c r="D389" t="inlineStr">
        <is>
          <t>VÄSTERBOTTENS LÄN</t>
        </is>
      </c>
      <c r="E389" t="inlineStr">
        <is>
          <t>LYCKSELE</t>
        </is>
      </c>
      <c r="F389" t="inlineStr">
        <is>
          <t>Sveaskog</t>
        </is>
      </c>
      <c r="G389" t="n">
        <v>12</v>
      </c>
      <c r="H389" t="n">
        <v>0</v>
      </c>
      <c r="I389" t="n">
        <v>1</v>
      </c>
      <c r="J389" t="n">
        <v>4</v>
      </c>
      <c r="K389" t="n">
        <v>0</v>
      </c>
      <c r="L389" t="n">
        <v>0</v>
      </c>
      <c r="M389" t="n">
        <v>0</v>
      </c>
      <c r="N389" t="n">
        <v>0</v>
      </c>
      <c r="O389" t="n">
        <v>4</v>
      </c>
      <c r="P389" t="n">
        <v>0</v>
      </c>
      <c r="Q389" t="n">
        <v>5</v>
      </c>
      <c r="R389" s="2" t="inlineStr">
        <is>
          <t>Blå taggsvamp
Kolflarnlav
Mörk kolflarnlav
Orange taggsvamp
Dropptaggsvamp</t>
        </is>
      </c>
      <c r="S389">
        <f>HYPERLINK("https://klasma.github.io/Logging_2481/artfynd/A 23310-2025 artfynd.xlsx", "A 23310-2025")</f>
        <v/>
      </c>
      <c r="T389">
        <f>HYPERLINK("https://klasma.github.io/Logging_2481/kartor/A 23310-2025 karta.png", "A 23310-2025")</f>
        <v/>
      </c>
      <c r="V389">
        <f>HYPERLINK("https://klasma.github.io/Logging_2481/klagomål/A 23310-2025 FSC-klagomål.docx", "A 23310-2025")</f>
        <v/>
      </c>
      <c r="W389">
        <f>HYPERLINK("https://klasma.github.io/Logging_2481/klagomålsmail/A 23310-2025 FSC-klagomål mail.docx", "A 23310-2025")</f>
        <v/>
      </c>
      <c r="X389">
        <f>HYPERLINK("https://klasma.github.io/Logging_2481/tillsyn/A 23310-2025 tillsynsbegäran.docx", "A 23310-2025")</f>
        <v/>
      </c>
      <c r="Y389">
        <f>HYPERLINK("https://klasma.github.io/Logging_2481/tillsynsmail/A 23310-2025 tillsynsbegäran mail.docx", "A 23310-2025")</f>
        <v/>
      </c>
    </row>
    <row r="390" ht="15" customHeight="1">
      <c r="A390" t="inlineStr">
        <is>
          <t>A 19007-2022</t>
        </is>
      </c>
      <c r="B390" s="1" t="n">
        <v>44690</v>
      </c>
      <c r="C390" s="1" t="n">
        <v>46075</v>
      </c>
      <c r="D390" t="inlineStr">
        <is>
          <t>VÄSTERBOTTENS LÄN</t>
        </is>
      </c>
      <c r="E390" t="inlineStr">
        <is>
          <t>VINDELN</t>
        </is>
      </c>
      <c r="F390" t="inlineStr">
        <is>
          <t>SCA</t>
        </is>
      </c>
      <c r="G390" t="n">
        <v>5.1</v>
      </c>
      <c r="H390" t="n">
        <v>0</v>
      </c>
      <c r="I390" t="n">
        <v>1</v>
      </c>
      <c r="J390" t="n">
        <v>4</v>
      </c>
      <c r="K390" t="n">
        <v>0</v>
      </c>
      <c r="L390" t="n">
        <v>0</v>
      </c>
      <c r="M390" t="n">
        <v>0</v>
      </c>
      <c r="N390" t="n">
        <v>0</v>
      </c>
      <c r="O390" t="n">
        <v>4</v>
      </c>
      <c r="P390" t="n">
        <v>0</v>
      </c>
      <c r="Q390" t="n">
        <v>5</v>
      </c>
      <c r="R390" s="2" t="inlineStr">
        <is>
          <t>Blå taggsvamp
Motaggsvamp
Orange taggsvamp
Svart taggsvamp
Dropptaggsvamp</t>
        </is>
      </c>
      <c r="S390">
        <f>HYPERLINK("https://klasma.github.io/Logging_2404/artfynd/A 19007-2022 artfynd.xlsx", "A 19007-2022")</f>
        <v/>
      </c>
      <c r="T390">
        <f>HYPERLINK("https://klasma.github.io/Logging_2404/kartor/A 19007-2022 karta.png", "A 19007-2022")</f>
        <v/>
      </c>
      <c r="V390">
        <f>HYPERLINK("https://klasma.github.io/Logging_2404/klagomål/A 19007-2022 FSC-klagomål.docx", "A 19007-2022")</f>
        <v/>
      </c>
      <c r="W390">
        <f>HYPERLINK("https://klasma.github.io/Logging_2404/klagomålsmail/A 19007-2022 FSC-klagomål mail.docx", "A 19007-2022")</f>
        <v/>
      </c>
      <c r="X390">
        <f>HYPERLINK("https://klasma.github.io/Logging_2404/tillsyn/A 19007-2022 tillsynsbegäran.docx", "A 19007-2022")</f>
        <v/>
      </c>
      <c r="Y390">
        <f>HYPERLINK("https://klasma.github.io/Logging_2404/tillsynsmail/A 19007-2022 tillsynsbegäran mail.docx", "A 19007-2022")</f>
        <v/>
      </c>
    </row>
    <row r="391" ht="15" customHeight="1">
      <c r="A391" t="inlineStr">
        <is>
          <t>A 896-2025</t>
        </is>
      </c>
      <c r="B391" s="1" t="n">
        <v>45665</v>
      </c>
      <c r="C391" s="1" t="n">
        <v>46075</v>
      </c>
      <c r="D391" t="inlineStr">
        <is>
          <t>VÄSTERBOTTENS LÄN</t>
        </is>
      </c>
      <c r="E391" t="inlineStr">
        <is>
          <t>VILHELMINA</t>
        </is>
      </c>
      <c r="G391" t="n">
        <v>24.8</v>
      </c>
      <c r="H391" t="n">
        <v>1</v>
      </c>
      <c r="I391" t="n">
        <v>0</v>
      </c>
      <c r="J391" t="n">
        <v>4</v>
      </c>
      <c r="K391" t="n">
        <v>1</v>
      </c>
      <c r="L391" t="n">
        <v>0</v>
      </c>
      <c r="M391" t="n">
        <v>0</v>
      </c>
      <c r="N391" t="n">
        <v>0</v>
      </c>
      <c r="O391" t="n">
        <v>5</v>
      </c>
      <c r="P391" t="n">
        <v>1</v>
      </c>
      <c r="Q391" t="n">
        <v>5</v>
      </c>
      <c r="R391" s="2" t="inlineStr">
        <is>
          <t>Rynkskinn
Garnlav
Granticka
Tretåig hackspett
Ullticka</t>
        </is>
      </c>
      <c r="S391">
        <f>HYPERLINK("https://klasma.github.io/Logging_2462/artfynd/A 896-2025 artfynd.xlsx", "A 896-2025")</f>
        <v/>
      </c>
      <c r="T391">
        <f>HYPERLINK("https://klasma.github.io/Logging_2462/kartor/A 896-2025 karta.png", "A 896-2025")</f>
        <v/>
      </c>
      <c r="V391">
        <f>HYPERLINK("https://klasma.github.io/Logging_2462/klagomål/A 896-2025 FSC-klagomål.docx", "A 896-2025")</f>
        <v/>
      </c>
      <c r="W391">
        <f>HYPERLINK("https://klasma.github.io/Logging_2462/klagomålsmail/A 896-2025 FSC-klagomål mail.docx", "A 896-2025")</f>
        <v/>
      </c>
      <c r="X391">
        <f>HYPERLINK("https://klasma.github.io/Logging_2462/tillsyn/A 896-2025 tillsynsbegäran.docx", "A 896-2025")</f>
        <v/>
      </c>
      <c r="Y391">
        <f>HYPERLINK("https://klasma.github.io/Logging_2462/tillsynsmail/A 896-2025 tillsynsbegäran mail.docx", "A 896-2025")</f>
        <v/>
      </c>
      <c r="Z391">
        <f>HYPERLINK("https://klasma.github.io/Logging_2462/fåglar/A 896-2025 prioriterade fågelarter.docx", "A 896-2025")</f>
        <v/>
      </c>
    </row>
    <row r="392" ht="15" customHeight="1">
      <c r="A392" t="inlineStr">
        <is>
          <t>A 26589-2025</t>
        </is>
      </c>
      <c r="B392" s="1" t="n">
        <v>45807.83921296296</v>
      </c>
      <c r="C392" s="1" t="n">
        <v>46075</v>
      </c>
      <c r="D392" t="inlineStr">
        <is>
          <t>VÄSTERBOTTENS LÄN</t>
        </is>
      </c>
      <c r="E392" t="inlineStr">
        <is>
          <t>SKELLEFTEÅ</t>
        </is>
      </c>
      <c r="F392" t="inlineStr">
        <is>
          <t>Sveaskog</t>
        </is>
      </c>
      <c r="G392" t="n">
        <v>19.8</v>
      </c>
      <c r="H392" t="n">
        <v>4</v>
      </c>
      <c r="I392" t="n">
        <v>2</v>
      </c>
      <c r="J392" t="n">
        <v>1</v>
      </c>
      <c r="K392" t="n">
        <v>0</v>
      </c>
      <c r="L392" t="n">
        <v>0</v>
      </c>
      <c r="M392" t="n">
        <v>0</v>
      </c>
      <c r="N392" t="n">
        <v>0</v>
      </c>
      <c r="O392" t="n">
        <v>1</v>
      </c>
      <c r="P392" t="n">
        <v>0</v>
      </c>
      <c r="Q392" t="n">
        <v>5</v>
      </c>
      <c r="R392" s="2" t="inlineStr">
        <is>
          <t>Nordfladdermus
Plattlummer
Stuplav
Fläcknycklar
Revlummer</t>
        </is>
      </c>
      <c r="S392">
        <f>HYPERLINK("https://klasma.github.io/Logging_2482/artfynd/A 26589-2025 artfynd.xlsx", "A 26589-2025")</f>
        <v/>
      </c>
      <c r="T392">
        <f>HYPERLINK("https://klasma.github.io/Logging_2482/kartor/A 26589-2025 karta.png", "A 26589-2025")</f>
        <v/>
      </c>
      <c r="V392">
        <f>HYPERLINK("https://klasma.github.io/Logging_2482/klagomål/A 26589-2025 FSC-klagomål.docx", "A 26589-2025")</f>
        <v/>
      </c>
      <c r="W392">
        <f>HYPERLINK("https://klasma.github.io/Logging_2482/klagomålsmail/A 26589-2025 FSC-klagomål mail.docx", "A 26589-2025")</f>
        <v/>
      </c>
      <c r="X392">
        <f>HYPERLINK("https://klasma.github.io/Logging_2482/tillsyn/A 26589-2025 tillsynsbegäran.docx", "A 26589-2025")</f>
        <v/>
      </c>
      <c r="Y392">
        <f>HYPERLINK("https://klasma.github.io/Logging_2482/tillsynsmail/A 26589-2025 tillsynsbegäran mail.docx", "A 26589-2025")</f>
        <v/>
      </c>
    </row>
    <row r="393" ht="15" customHeight="1">
      <c r="A393" t="inlineStr">
        <is>
          <t>A 26791-2025</t>
        </is>
      </c>
      <c r="B393" s="1" t="n">
        <v>45810</v>
      </c>
      <c r="C393" s="1" t="n">
        <v>46075</v>
      </c>
      <c r="D393" t="inlineStr">
        <is>
          <t>VÄSTERBOTTENS LÄN</t>
        </is>
      </c>
      <c r="E393" t="inlineStr">
        <is>
          <t>ÅSELE</t>
        </is>
      </c>
      <c r="F393" t="inlineStr">
        <is>
          <t>SCA</t>
        </is>
      </c>
      <c r="G393" t="n">
        <v>3.9</v>
      </c>
      <c r="H393" t="n">
        <v>1</v>
      </c>
      <c r="I393" t="n">
        <v>1</v>
      </c>
      <c r="J393" t="n">
        <v>4</v>
      </c>
      <c r="K393" t="n">
        <v>0</v>
      </c>
      <c r="L393" t="n">
        <v>0</v>
      </c>
      <c r="M393" t="n">
        <v>0</v>
      </c>
      <c r="N393" t="n">
        <v>0</v>
      </c>
      <c r="O393" t="n">
        <v>4</v>
      </c>
      <c r="P393" t="n">
        <v>0</v>
      </c>
      <c r="Q393" t="n">
        <v>5</v>
      </c>
      <c r="R393" s="2" t="inlineStr">
        <is>
          <t>Dvärgbägarlav
Garnlav
Spillkråka
Vedskivlav
Norrlandslav</t>
        </is>
      </c>
      <c r="S393">
        <f>HYPERLINK("https://klasma.github.io/Logging_2463/artfynd/A 26791-2025 artfynd.xlsx", "A 26791-2025")</f>
        <v/>
      </c>
      <c r="T393">
        <f>HYPERLINK("https://klasma.github.io/Logging_2463/kartor/A 26791-2025 karta.png", "A 26791-2025")</f>
        <v/>
      </c>
      <c r="V393">
        <f>HYPERLINK("https://klasma.github.io/Logging_2463/klagomål/A 26791-2025 FSC-klagomål.docx", "A 26791-2025")</f>
        <v/>
      </c>
      <c r="W393">
        <f>HYPERLINK("https://klasma.github.io/Logging_2463/klagomålsmail/A 26791-2025 FSC-klagomål mail.docx", "A 26791-2025")</f>
        <v/>
      </c>
      <c r="X393">
        <f>HYPERLINK("https://klasma.github.io/Logging_2463/tillsyn/A 26791-2025 tillsynsbegäran.docx", "A 26791-2025")</f>
        <v/>
      </c>
      <c r="Y393">
        <f>HYPERLINK("https://klasma.github.io/Logging_2463/tillsynsmail/A 26791-2025 tillsynsbegäran mail.docx", "A 26791-2025")</f>
        <v/>
      </c>
      <c r="Z393">
        <f>HYPERLINK("https://klasma.github.io/Logging_2463/fåglar/A 26791-2025 prioriterade fågelarter.docx", "A 26791-2025")</f>
        <v/>
      </c>
    </row>
    <row r="394" ht="15" customHeight="1">
      <c r="A394" t="inlineStr">
        <is>
          <t>A 16687-2021</t>
        </is>
      </c>
      <c r="B394" s="1" t="n">
        <v>44295</v>
      </c>
      <c r="C394" s="1" t="n">
        <v>46075</v>
      </c>
      <c r="D394" t="inlineStr">
        <is>
          <t>VÄSTERBOTTENS LÄN</t>
        </is>
      </c>
      <c r="E394" t="inlineStr">
        <is>
          <t>SORSELE</t>
        </is>
      </c>
      <c r="F394" t="inlineStr">
        <is>
          <t>Övriga statliga verk och myndigheter</t>
        </is>
      </c>
      <c r="G394" t="n">
        <v>19.7</v>
      </c>
      <c r="H394" t="n">
        <v>0</v>
      </c>
      <c r="I394" t="n">
        <v>0</v>
      </c>
      <c r="J394" t="n">
        <v>4</v>
      </c>
      <c r="K394" t="n">
        <v>0</v>
      </c>
      <c r="L394" t="n">
        <v>0</v>
      </c>
      <c r="M394" t="n">
        <v>0</v>
      </c>
      <c r="N394" t="n">
        <v>0</v>
      </c>
      <c r="O394" t="n">
        <v>4</v>
      </c>
      <c r="P394" t="n">
        <v>0</v>
      </c>
      <c r="Q394" t="n">
        <v>4</v>
      </c>
      <c r="R394" s="2" t="inlineStr">
        <is>
          <t>Brunpudrad nållav
Gammelgransskål
Garnlav
Granticka</t>
        </is>
      </c>
      <c r="S394">
        <f>HYPERLINK("https://klasma.github.io/Logging_2422/artfynd/A 16687-2021 artfynd.xlsx", "A 16687-2021")</f>
        <v/>
      </c>
      <c r="T394">
        <f>HYPERLINK("https://klasma.github.io/Logging_2422/kartor/A 16687-2021 karta.png", "A 16687-2021")</f>
        <v/>
      </c>
      <c r="V394">
        <f>HYPERLINK("https://klasma.github.io/Logging_2422/klagomål/A 16687-2021 FSC-klagomål.docx", "A 16687-2021")</f>
        <v/>
      </c>
      <c r="W394">
        <f>HYPERLINK("https://klasma.github.io/Logging_2422/klagomålsmail/A 16687-2021 FSC-klagomål mail.docx", "A 16687-2021")</f>
        <v/>
      </c>
      <c r="X394">
        <f>HYPERLINK("https://klasma.github.io/Logging_2422/tillsyn/A 16687-2021 tillsynsbegäran.docx", "A 16687-2021")</f>
        <v/>
      </c>
      <c r="Y394">
        <f>HYPERLINK("https://klasma.github.io/Logging_2422/tillsynsmail/A 16687-2021 tillsynsbegäran mail.docx", "A 16687-2021")</f>
        <v/>
      </c>
    </row>
    <row r="395" ht="15" customHeight="1">
      <c r="A395" t="inlineStr">
        <is>
          <t>A 60901-2021</t>
        </is>
      </c>
      <c r="B395" s="1" t="n">
        <v>44497.4450462963</v>
      </c>
      <c r="C395" s="1" t="n">
        <v>46075</v>
      </c>
      <c r="D395" t="inlineStr">
        <is>
          <t>VÄSTERBOTTENS LÄN</t>
        </is>
      </c>
      <c r="E395" t="inlineStr">
        <is>
          <t>VINDELN</t>
        </is>
      </c>
      <c r="F395" t="inlineStr">
        <is>
          <t>Sveaskog</t>
        </is>
      </c>
      <c r="G395" t="n">
        <v>2.4</v>
      </c>
      <c r="H395" t="n">
        <v>0</v>
      </c>
      <c r="I395" t="n">
        <v>0</v>
      </c>
      <c r="J395" t="n">
        <v>4</v>
      </c>
      <c r="K395" t="n">
        <v>0</v>
      </c>
      <c r="L395" t="n">
        <v>0</v>
      </c>
      <c r="M395" t="n">
        <v>0</v>
      </c>
      <c r="N395" t="n">
        <v>0</v>
      </c>
      <c r="O395" t="n">
        <v>4</v>
      </c>
      <c r="P395" t="n">
        <v>0</v>
      </c>
      <c r="Q395" t="n">
        <v>4</v>
      </c>
      <c r="R395" s="2" t="inlineStr">
        <is>
          <t>Gammelgransskål
Garnlav
Vedskivlav
Violettgrå tagellav</t>
        </is>
      </c>
      <c r="S395">
        <f>HYPERLINK("https://klasma.github.io/Logging_2404/artfynd/A 60901-2021 artfynd.xlsx", "A 60901-2021")</f>
        <v/>
      </c>
      <c r="T395">
        <f>HYPERLINK("https://klasma.github.io/Logging_2404/kartor/A 60901-2021 karta.png", "A 60901-2021")</f>
        <v/>
      </c>
      <c r="V395">
        <f>HYPERLINK("https://klasma.github.io/Logging_2404/klagomål/A 60901-2021 FSC-klagomål.docx", "A 60901-2021")</f>
        <v/>
      </c>
      <c r="W395">
        <f>HYPERLINK("https://klasma.github.io/Logging_2404/klagomålsmail/A 60901-2021 FSC-klagomål mail.docx", "A 60901-2021")</f>
        <v/>
      </c>
      <c r="X395">
        <f>HYPERLINK("https://klasma.github.io/Logging_2404/tillsyn/A 60901-2021 tillsynsbegäran.docx", "A 60901-2021")</f>
        <v/>
      </c>
      <c r="Y395">
        <f>HYPERLINK("https://klasma.github.io/Logging_2404/tillsynsmail/A 60901-2021 tillsynsbegäran mail.docx", "A 60901-2021")</f>
        <v/>
      </c>
    </row>
    <row r="396" ht="15" customHeight="1">
      <c r="A396" t="inlineStr">
        <is>
          <t>A 33008-2022</t>
        </is>
      </c>
      <c r="B396" s="1" t="n">
        <v>44785.31300925926</v>
      </c>
      <c r="C396" s="1" t="n">
        <v>46075</v>
      </c>
      <c r="D396" t="inlineStr">
        <is>
          <t>VÄSTERBOTTENS LÄN</t>
        </is>
      </c>
      <c r="E396" t="inlineStr">
        <is>
          <t>UMEÅ</t>
        </is>
      </c>
      <c r="F396" t="inlineStr">
        <is>
          <t>Kommuner</t>
        </is>
      </c>
      <c r="G396" t="n">
        <v>1.6</v>
      </c>
      <c r="H396" t="n">
        <v>1</v>
      </c>
      <c r="I396" t="n">
        <v>2</v>
      </c>
      <c r="J396" t="n">
        <v>2</v>
      </c>
      <c r="K396" t="n">
        <v>0</v>
      </c>
      <c r="L396" t="n">
        <v>0</v>
      </c>
      <c r="M396" t="n">
        <v>0</v>
      </c>
      <c r="N396" t="n">
        <v>0</v>
      </c>
      <c r="O396" t="n">
        <v>2</v>
      </c>
      <c r="P396" t="n">
        <v>0</v>
      </c>
      <c r="Q396" t="n">
        <v>4</v>
      </c>
      <c r="R396" s="2" t="inlineStr">
        <is>
          <t>Leptoporus mollis
Spillkråka
Trådticka
Vedticka</t>
        </is>
      </c>
      <c r="S396">
        <f>HYPERLINK("https://klasma.github.io/Logging_2480/artfynd/A 33008-2022 artfynd.xlsx", "A 33008-2022")</f>
        <v/>
      </c>
      <c r="T396">
        <f>HYPERLINK("https://klasma.github.io/Logging_2480/kartor/A 33008-2022 karta.png", "A 33008-2022")</f>
        <v/>
      </c>
      <c r="V396">
        <f>HYPERLINK("https://klasma.github.io/Logging_2480/klagomål/A 33008-2022 FSC-klagomål.docx", "A 33008-2022")</f>
        <v/>
      </c>
      <c r="W396">
        <f>HYPERLINK("https://klasma.github.io/Logging_2480/klagomålsmail/A 33008-2022 FSC-klagomål mail.docx", "A 33008-2022")</f>
        <v/>
      </c>
      <c r="X396">
        <f>HYPERLINK("https://klasma.github.io/Logging_2480/tillsyn/A 33008-2022 tillsynsbegäran.docx", "A 33008-2022")</f>
        <v/>
      </c>
      <c r="Y396">
        <f>HYPERLINK("https://klasma.github.io/Logging_2480/tillsynsmail/A 33008-2022 tillsynsbegäran mail.docx", "A 33008-2022")</f>
        <v/>
      </c>
      <c r="Z396">
        <f>HYPERLINK("https://klasma.github.io/Logging_2480/fåglar/A 33008-2022 prioriterade fågelarter.docx", "A 33008-2022")</f>
        <v/>
      </c>
    </row>
    <row r="397" ht="15" customHeight="1">
      <c r="A397" t="inlineStr">
        <is>
          <t>A 43740-2021</t>
        </is>
      </c>
      <c r="B397" s="1" t="n">
        <v>44433</v>
      </c>
      <c r="C397" s="1" t="n">
        <v>46075</v>
      </c>
      <c r="D397" t="inlineStr">
        <is>
          <t>VÄSTERBOTTENS LÄN</t>
        </is>
      </c>
      <c r="E397" t="inlineStr">
        <is>
          <t>LYCKSELE</t>
        </is>
      </c>
      <c r="F397" t="inlineStr">
        <is>
          <t>Sveaskog</t>
        </is>
      </c>
      <c r="G397" t="n">
        <v>16.2</v>
      </c>
      <c r="H397" t="n">
        <v>0</v>
      </c>
      <c r="I397" t="n">
        <v>1</v>
      </c>
      <c r="J397" t="n">
        <v>3</v>
      </c>
      <c r="K397" t="n">
        <v>0</v>
      </c>
      <c r="L397" t="n">
        <v>0</v>
      </c>
      <c r="M397" t="n">
        <v>0</v>
      </c>
      <c r="N397" t="n">
        <v>0</v>
      </c>
      <c r="O397" t="n">
        <v>3</v>
      </c>
      <c r="P397" t="n">
        <v>0</v>
      </c>
      <c r="Q397" t="n">
        <v>4</v>
      </c>
      <c r="R397" s="2" t="inlineStr">
        <is>
          <t>Garnlav
Kolflarnlav
Lunglav
Bårdlav</t>
        </is>
      </c>
      <c r="S397">
        <f>HYPERLINK("https://klasma.github.io/Logging_2481/artfynd/A 43740-2021 artfynd.xlsx", "A 43740-2021")</f>
        <v/>
      </c>
      <c r="T397">
        <f>HYPERLINK("https://klasma.github.io/Logging_2481/kartor/A 43740-2021 karta.png", "A 43740-2021")</f>
        <v/>
      </c>
      <c r="V397">
        <f>HYPERLINK("https://klasma.github.io/Logging_2481/klagomål/A 43740-2021 FSC-klagomål.docx", "A 43740-2021")</f>
        <v/>
      </c>
      <c r="W397">
        <f>HYPERLINK("https://klasma.github.io/Logging_2481/klagomålsmail/A 43740-2021 FSC-klagomål mail.docx", "A 43740-2021")</f>
        <v/>
      </c>
      <c r="X397">
        <f>HYPERLINK("https://klasma.github.io/Logging_2481/tillsyn/A 43740-2021 tillsynsbegäran.docx", "A 43740-2021")</f>
        <v/>
      </c>
      <c r="Y397">
        <f>HYPERLINK("https://klasma.github.io/Logging_2481/tillsynsmail/A 43740-2021 tillsynsbegäran mail.docx", "A 43740-2021")</f>
        <v/>
      </c>
    </row>
    <row r="398" ht="15" customHeight="1">
      <c r="A398" t="inlineStr">
        <is>
          <t>A 38688-2021</t>
        </is>
      </c>
      <c r="B398" s="1" t="n">
        <v>44407</v>
      </c>
      <c r="C398" s="1" t="n">
        <v>46075</v>
      </c>
      <c r="D398" t="inlineStr">
        <is>
          <t>VÄSTERBOTTENS LÄN</t>
        </is>
      </c>
      <c r="E398" t="inlineStr">
        <is>
          <t>UMEÅ</t>
        </is>
      </c>
      <c r="F398" t="inlineStr">
        <is>
          <t>Kommuner</t>
        </is>
      </c>
      <c r="G398" t="n">
        <v>1.6</v>
      </c>
      <c r="H398" t="n">
        <v>1</v>
      </c>
      <c r="I398" t="n">
        <v>2</v>
      </c>
      <c r="J398" t="n">
        <v>1</v>
      </c>
      <c r="K398" t="n">
        <v>0</v>
      </c>
      <c r="L398" t="n">
        <v>0</v>
      </c>
      <c r="M398" t="n">
        <v>0</v>
      </c>
      <c r="N398" t="n">
        <v>0</v>
      </c>
      <c r="O398" t="n">
        <v>1</v>
      </c>
      <c r="P398" t="n">
        <v>0</v>
      </c>
      <c r="Q398" t="n">
        <v>4</v>
      </c>
      <c r="R398" s="2" t="inlineStr">
        <is>
          <t>Älvstarr
Köseven
Strutbräken
Blåsippa</t>
        </is>
      </c>
      <c r="S398">
        <f>HYPERLINK("https://klasma.github.io/Logging_2480/artfynd/A 38688-2021 artfynd.xlsx", "A 38688-2021")</f>
        <v/>
      </c>
      <c r="T398">
        <f>HYPERLINK("https://klasma.github.io/Logging_2480/kartor/A 38688-2021 karta.png", "A 38688-2021")</f>
        <v/>
      </c>
      <c r="V398">
        <f>HYPERLINK("https://klasma.github.io/Logging_2480/klagomål/A 38688-2021 FSC-klagomål.docx", "A 38688-2021")</f>
        <v/>
      </c>
      <c r="W398">
        <f>HYPERLINK("https://klasma.github.io/Logging_2480/klagomålsmail/A 38688-2021 FSC-klagomål mail.docx", "A 38688-2021")</f>
        <v/>
      </c>
      <c r="X398">
        <f>HYPERLINK("https://klasma.github.io/Logging_2480/tillsyn/A 38688-2021 tillsynsbegäran.docx", "A 38688-2021")</f>
        <v/>
      </c>
      <c r="Y398">
        <f>HYPERLINK("https://klasma.github.io/Logging_2480/tillsynsmail/A 38688-2021 tillsynsbegäran mail.docx", "A 38688-2021")</f>
        <v/>
      </c>
    </row>
    <row r="399" ht="15" customHeight="1">
      <c r="A399" t="inlineStr">
        <is>
          <t>A 16206-2022</t>
        </is>
      </c>
      <c r="B399" s="1" t="n">
        <v>44670.33049768519</v>
      </c>
      <c r="C399" s="1" t="n">
        <v>46075</v>
      </c>
      <c r="D399" t="inlineStr">
        <is>
          <t>VÄSTERBOTTENS LÄN</t>
        </is>
      </c>
      <c r="E399" t="inlineStr">
        <is>
          <t>UMEÅ</t>
        </is>
      </c>
      <c r="F399" t="inlineStr">
        <is>
          <t>Kommuner</t>
        </is>
      </c>
      <c r="G399" t="n">
        <v>4.2</v>
      </c>
      <c r="H399" t="n">
        <v>1</v>
      </c>
      <c r="I399" t="n">
        <v>1</v>
      </c>
      <c r="J399" t="n">
        <v>3</v>
      </c>
      <c r="K399" t="n">
        <v>0</v>
      </c>
      <c r="L399" t="n">
        <v>0</v>
      </c>
      <c r="M399" t="n">
        <v>0</v>
      </c>
      <c r="N399" t="n">
        <v>0</v>
      </c>
      <c r="O399" t="n">
        <v>3</v>
      </c>
      <c r="P399" t="n">
        <v>0</v>
      </c>
      <c r="Q399" t="n">
        <v>4</v>
      </c>
      <c r="R399" s="2" t="inlineStr">
        <is>
          <t>Gammelgransskål
Spillkråka
Ullticka
Vedticka</t>
        </is>
      </c>
      <c r="S399">
        <f>HYPERLINK("https://klasma.github.io/Logging_2480/artfynd/A 16206-2022 artfynd.xlsx", "A 16206-2022")</f>
        <v/>
      </c>
      <c r="T399">
        <f>HYPERLINK("https://klasma.github.io/Logging_2480/kartor/A 16206-2022 karta.png", "A 16206-2022")</f>
        <v/>
      </c>
      <c r="V399">
        <f>HYPERLINK("https://klasma.github.io/Logging_2480/klagomål/A 16206-2022 FSC-klagomål.docx", "A 16206-2022")</f>
        <v/>
      </c>
      <c r="W399">
        <f>HYPERLINK("https://klasma.github.io/Logging_2480/klagomålsmail/A 16206-2022 FSC-klagomål mail.docx", "A 16206-2022")</f>
        <v/>
      </c>
      <c r="X399">
        <f>HYPERLINK("https://klasma.github.io/Logging_2480/tillsyn/A 16206-2022 tillsynsbegäran.docx", "A 16206-2022")</f>
        <v/>
      </c>
      <c r="Y399">
        <f>HYPERLINK("https://klasma.github.io/Logging_2480/tillsynsmail/A 16206-2022 tillsynsbegäran mail.docx", "A 16206-2022")</f>
        <v/>
      </c>
      <c r="Z399">
        <f>HYPERLINK("https://klasma.github.io/Logging_2480/fåglar/A 16206-2022 prioriterade fågelarter.docx", "A 16206-2022")</f>
        <v/>
      </c>
    </row>
    <row r="400" ht="15" customHeight="1">
      <c r="A400" t="inlineStr">
        <is>
          <t>A 4365-2022</t>
        </is>
      </c>
      <c r="B400" s="1" t="n">
        <v>44588</v>
      </c>
      <c r="C400" s="1" t="n">
        <v>46075</v>
      </c>
      <c r="D400" t="inlineStr">
        <is>
          <t>VÄSTERBOTTENS LÄN</t>
        </is>
      </c>
      <c r="E400" t="inlineStr">
        <is>
          <t>BJURHOLM</t>
        </is>
      </c>
      <c r="G400" t="n">
        <v>14</v>
      </c>
      <c r="H400" t="n">
        <v>1</v>
      </c>
      <c r="I400" t="n">
        <v>0</v>
      </c>
      <c r="J400" t="n">
        <v>3</v>
      </c>
      <c r="K400" t="n">
        <v>1</v>
      </c>
      <c r="L400" t="n">
        <v>0</v>
      </c>
      <c r="M400" t="n">
        <v>0</v>
      </c>
      <c r="N400" t="n">
        <v>0</v>
      </c>
      <c r="O400" t="n">
        <v>4</v>
      </c>
      <c r="P400" t="n">
        <v>1</v>
      </c>
      <c r="Q400" t="n">
        <v>4</v>
      </c>
      <c r="R400" s="2" t="inlineStr">
        <is>
          <t>Rynkskinn
Garnlav
Spillkråka
Ullticka</t>
        </is>
      </c>
      <c r="S400">
        <f>HYPERLINK("https://klasma.github.io/Logging_2403/artfynd/A 4365-2022 artfynd.xlsx", "A 4365-2022")</f>
        <v/>
      </c>
      <c r="T400">
        <f>HYPERLINK("https://klasma.github.io/Logging_2403/kartor/A 4365-2022 karta.png", "A 4365-2022")</f>
        <v/>
      </c>
      <c r="V400">
        <f>HYPERLINK("https://klasma.github.io/Logging_2403/klagomål/A 4365-2022 FSC-klagomål.docx", "A 4365-2022")</f>
        <v/>
      </c>
      <c r="W400">
        <f>HYPERLINK("https://klasma.github.io/Logging_2403/klagomålsmail/A 4365-2022 FSC-klagomål mail.docx", "A 4365-2022")</f>
        <v/>
      </c>
      <c r="X400">
        <f>HYPERLINK("https://klasma.github.io/Logging_2403/tillsyn/A 4365-2022 tillsynsbegäran.docx", "A 4365-2022")</f>
        <v/>
      </c>
      <c r="Y400">
        <f>HYPERLINK("https://klasma.github.io/Logging_2403/tillsynsmail/A 4365-2022 tillsynsbegäran mail.docx", "A 4365-2022")</f>
        <v/>
      </c>
      <c r="Z400">
        <f>HYPERLINK("https://klasma.github.io/Logging_2403/fåglar/A 4365-2022 prioriterade fågelarter.docx", "A 4365-2022")</f>
        <v/>
      </c>
    </row>
    <row r="401" ht="15" customHeight="1">
      <c r="A401" t="inlineStr">
        <is>
          <t>A 28993-2022</t>
        </is>
      </c>
      <c r="B401" s="1" t="n">
        <v>44749</v>
      </c>
      <c r="C401" s="1" t="n">
        <v>46075</v>
      </c>
      <c r="D401" t="inlineStr">
        <is>
          <t>VÄSTERBOTTENS LÄN</t>
        </is>
      </c>
      <c r="E401" t="inlineStr">
        <is>
          <t>LYCKSELE</t>
        </is>
      </c>
      <c r="F401" t="inlineStr">
        <is>
          <t>Holmen skog AB</t>
        </is>
      </c>
      <c r="G401" t="n">
        <v>6.9</v>
      </c>
      <c r="H401" t="n">
        <v>1</v>
      </c>
      <c r="I401" t="n">
        <v>0</v>
      </c>
      <c r="J401" t="n">
        <v>4</v>
      </c>
      <c r="K401" t="n">
        <v>0</v>
      </c>
      <c r="L401" t="n">
        <v>0</v>
      </c>
      <c r="M401" t="n">
        <v>0</v>
      </c>
      <c r="N401" t="n">
        <v>0</v>
      </c>
      <c r="O401" t="n">
        <v>4</v>
      </c>
      <c r="P401" t="n">
        <v>0</v>
      </c>
      <c r="Q401" t="n">
        <v>4</v>
      </c>
      <c r="R401" s="2" t="inlineStr">
        <is>
          <t>Garnlav
Granticka
Tretåig hackspett
Ullticka</t>
        </is>
      </c>
      <c r="S401">
        <f>HYPERLINK("https://klasma.github.io/Logging_2481/artfynd/A 28993-2022 artfynd.xlsx", "A 28993-2022")</f>
        <v/>
      </c>
      <c r="T401">
        <f>HYPERLINK("https://klasma.github.io/Logging_2481/kartor/A 28993-2022 karta.png", "A 28993-2022")</f>
        <v/>
      </c>
      <c r="V401">
        <f>HYPERLINK("https://klasma.github.io/Logging_2481/klagomål/A 28993-2022 FSC-klagomål.docx", "A 28993-2022")</f>
        <v/>
      </c>
      <c r="W401">
        <f>HYPERLINK("https://klasma.github.io/Logging_2481/klagomålsmail/A 28993-2022 FSC-klagomål mail.docx", "A 28993-2022")</f>
        <v/>
      </c>
      <c r="X401">
        <f>HYPERLINK("https://klasma.github.io/Logging_2481/tillsyn/A 28993-2022 tillsynsbegäran.docx", "A 28993-2022")</f>
        <v/>
      </c>
      <c r="Y401">
        <f>HYPERLINK("https://klasma.github.io/Logging_2481/tillsynsmail/A 28993-2022 tillsynsbegäran mail.docx", "A 28993-2022")</f>
        <v/>
      </c>
      <c r="Z401">
        <f>HYPERLINK("https://klasma.github.io/Logging_2481/fåglar/A 28993-2022 prioriterade fågelarter.docx", "A 28993-2022")</f>
        <v/>
      </c>
    </row>
    <row r="402" ht="15" customHeight="1">
      <c r="A402" t="inlineStr">
        <is>
          <t>A 38686-2021</t>
        </is>
      </c>
      <c r="B402" s="1" t="n">
        <v>44407</v>
      </c>
      <c r="C402" s="1" t="n">
        <v>46075</v>
      </c>
      <c r="D402" t="inlineStr">
        <is>
          <t>VÄSTERBOTTENS LÄN</t>
        </is>
      </c>
      <c r="E402" t="inlineStr">
        <is>
          <t>UMEÅ</t>
        </is>
      </c>
      <c r="F402" t="inlineStr">
        <is>
          <t>Kommuner</t>
        </is>
      </c>
      <c r="G402" t="n">
        <v>1.1</v>
      </c>
      <c r="H402" t="n">
        <v>3</v>
      </c>
      <c r="I402" t="n">
        <v>1</v>
      </c>
      <c r="J402" t="n">
        <v>1</v>
      </c>
      <c r="K402" t="n">
        <v>0</v>
      </c>
      <c r="L402" t="n">
        <v>0</v>
      </c>
      <c r="M402" t="n">
        <v>0</v>
      </c>
      <c r="N402" t="n">
        <v>0</v>
      </c>
      <c r="O402" t="n">
        <v>1</v>
      </c>
      <c r="P402" t="n">
        <v>0</v>
      </c>
      <c r="Q402" t="n">
        <v>4</v>
      </c>
      <c r="R402" s="2" t="inlineStr">
        <is>
          <t>Björktrast
Gullgröppa
Skogsödla
Vanlig padda</t>
        </is>
      </c>
      <c r="S402">
        <f>HYPERLINK("https://klasma.github.io/Logging_2480/artfynd/A 38686-2021 artfynd.xlsx", "A 38686-2021")</f>
        <v/>
      </c>
      <c r="T402">
        <f>HYPERLINK("https://klasma.github.io/Logging_2480/kartor/A 38686-2021 karta.png", "A 38686-2021")</f>
        <v/>
      </c>
      <c r="V402">
        <f>HYPERLINK("https://klasma.github.io/Logging_2480/klagomål/A 38686-2021 FSC-klagomål.docx", "A 38686-2021")</f>
        <v/>
      </c>
      <c r="W402">
        <f>HYPERLINK("https://klasma.github.io/Logging_2480/klagomålsmail/A 38686-2021 FSC-klagomål mail.docx", "A 38686-2021")</f>
        <v/>
      </c>
      <c r="X402">
        <f>HYPERLINK("https://klasma.github.io/Logging_2480/tillsyn/A 38686-2021 tillsynsbegäran.docx", "A 38686-2021")</f>
        <v/>
      </c>
      <c r="Y402">
        <f>HYPERLINK("https://klasma.github.io/Logging_2480/tillsynsmail/A 38686-2021 tillsynsbegäran mail.docx", "A 38686-2021")</f>
        <v/>
      </c>
      <c r="Z402">
        <f>HYPERLINK("https://klasma.github.io/Logging_2480/fåglar/A 38686-2021 prioriterade fågelarter.docx", "A 38686-2021")</f>
        <v/>
      </c>
    </row>
    <row r="403" ht="15" customHeight="1">
      <c r="A403" t="inlineStr">
        <is>
          <t>A 33350-2022</t>
        </is>
      </c>
      <c r="B403" s="1" t="n">
        <v>44788</v>
      </c>
      <c r="C403" s="1" t="n">
        <v>46075</v>
      </c>
      <c r="D403" t="inlineStr">
        <is>
          <t>VÄSTERBOTTENS LÄN</t>
        </is>
      </c>
      <c r="E403" t="inlineStr">
        <is>
          <t>STORUMAN</t>
        </is>
      </c>
      <c r="F403" t="inlineStr">
        <is>
          <t>Sveaskog</t>
        </is>
      </c>
      <c r="G403" t="n">
        <v>6.6</v>
      </c>
      <c r="H403" t="n">
        <v>0</v>
      </c>
      <c r="I403" t="n">
        <v>1</v>
      </c>
      <c r="J403" t="n">
        <v>3</v>
      </c>
      <c r="K403" t="n">
        <v>0</v>
      </c>
      <c r="L403" t="n">
        <v>0</v>
      </c>
      <c r="M403" t="n">
        <v>0</v>
      </c>
      <c r="N403" t="n">
        <v>0</v>
      </c>
      <c r="O403" t="n">
        <v>3</v>
      </c>
      <c r="P403" t="n">
        <v>0</v>
      </c>
      <c r="Q403" t="n">
        <v>4</v>
      </c>
      <c r="R403" s="2" t="inlineStr">
        <is>
          <t>Orange taggsvamp
Talltaggsvamp
Vaddporing
Dropptaggsvamp</t>
        </is>
      </c>
      <c r="S403">
        <f>HYPERLINK("https://klasma.github.io/Logging_2421/artfynd/A 33350-2022 artfynd.xlsx", "A 33350-2022")</f>
        <v/>
      </c>
      <c r="T403">
        <f>HYPERLINK("https://klasma.github.io/Logging_2421/kartor/A 33350-2022 karta.png", "A 33350-2022")</f>
        <v/>
      </c>
      <c r="V403">
        <f>HYPERLINK("https://klasma.github.io/Logging_2421/klagomål/A 33350-2022 FSC-klagomål.docx", "A 33350-2022")</f>
        <v/>
      </c>
      <c r="W403">
        <f>HYPERLINK("https://klasma.github.io/Logging_2421/klagomålsmail/A 33350-2022 FSC-klagomål mail.docx", "A 33350-2022")</f>
        <v/>
      </c>
      <c r="X403">
        <f>HYPERLINK("https://klasma.github.io/Logging_2421/tillsyn/A 33350-2022 tillsynsbegäran.docx", "A 33350-2022")</f>
        <v/>
      </c>
      <c r="Y403">
        <f>HYPERLINK("https://klasma.github.io/Logging_2421/tillsynsmail/A 33350-2022 tillsynsbegäran mail.docx", "A 33350-2022")</f>
        <v/>
      </c>
    </row>
    <row r="404" ht="15" customHeight="1">
      <c r="A404" t="inlineStr">
        <is>
          <t>A 57738-2021</t>
        </is>
      </c>
      <c r="B404" s="1" t="n">
        <v>44484</v>
      </c>
      <c r="C404" s="1" t="n">
        <v>46075</v>
      </c>
      <c r="D404" t="inlineStr">
        <is>
          <t>VÄSTERBOTTENS LÄN</t>
        </is>
      </c>
      <c r="E404" t="inlineStr">
        <is>
          <t>SKELLEFTEÅ</t>
        </is>
      </c>
      <c r="G404" t="n">
        <v>11.4</v>
      </c>
      <c r="H404" t="n">
        <v>2</v>
      </c>
      <c r="I404" t="n">
        <v>1</v>
      </c>
      <c r="J404" t="n">
        <v>2</v>
      </c>
      <c r="K404" t="n">
        <v>0</v>
      </c>
      <c r="L404" t="n">
        <v>0</v>
      </c>
      <c r="M404" t="n">
        <v>0</v>
      </c>
      <c r="N404" t="n">
        <v>0</v>
      </c>
      <c r="O404" t="n">
        <v>2</v>
      </c>
      <c r="P404" t="n">
        <v>0</v>
      </c>
      <c r="Q404" t="n">
        <v>4</v>
      </c>
      <c r="R404" s="2" t="inlineStr">
        <is>
          <t>Doftskinn
Talltita
Nästlav
Fläcknycklar</t>
        </is>
      </c>
      <c r="S404">
        <f>HYPERLINK("https://klasma.github.io/Logging_2482/artfynd/A 57738-2021 artfynd.xlsx", "A 57738-2021")</f>
        <v/>
      </c>
      <c r="T404">
        <f>HYPERLINK("https://klasma.github.io/Logging_2482/kartor/A 57738-2021 karta.png", "A 57738-2021")</f>
        <v/>
      </c>
      <c r="V404">
        <f>HYPERLINK("https://klasma.github.io/Logging_2482/klagomål/A 57738-2021 FSC-klagomål.docx", "A 57738-2021")</f>
        <v/>
      </c>
      <c r="W404">
        <f>HYPERLINK("https://klasma.github.io/Logging_2482/klagomålsmail/A 57738-2021 FSC-klagomål mail.docx", "A 57738-2021")</f>
        <v/>
      </c>
      <c r="X404">
        <f>HYPERLINK("https://klasma.github.io/Logging_2482/tillsyn/A 57738-2021 tillsynsbegäran.docx", "A 57738-2021")</f>
        <v/>
      </c>
      <c r="Y404">
        <f>HYPERLINK("https://klasma.github.io/Logging_2482/tillsynsmail/A 57738-2021 tillsynsbegäran mail.docx", "A 57738-2021")</f>
        <v/>
      </c>
      <c r="Z404">
        <f>HYPERLINK("https://klasma.github.io/Logging_2482/fåglar/A 57738-2021 prioriterade fågelarter.docx", "A 57738-2021")</f>
        <v/>
      </c>
    </row>
    <row r="405" ht="15" customHeight="1">
      <c r="A405" t="inlineStr">
        <is>
          <t>A 49528-2022</t>
        </is>
      </c>
      <c r="B405" s="1" t="n">
        <v>44861</v>
      </c>
      <c r="C405" s="1" t="n">
        <v>46075</v>
      </c>
      <c r="D405" t="inlineStr">
        <is>
          <t>VÄSTERBOTTENS LÄN</t>
        </is>
      </c>
      <c r="E405" t="inlineStr">
        <is>
          <t>ÅSELE</t>
        </is>
      </c>
      <c r="F405" t="inlineStr">
        <is>
          <t>SCA</t>
        </is>
      </c>
      <c r="G405" t="n">
        <v>12.6</v>
      </c>
      <c r="H405" t="n">
        <v>0</v>
      </c>
      <c r="I405" t="n">
        <v>1</v>
      </c>
      <c r="J405" t="n">
        <v>3</v>
      </c>
      <c r="K405" t="n">
        <v>0</v>
      </c>
      <c r="L405" t="n">
        <v>0</v>
      </c>
      <c r="M405" t="n">
        <v>0</v>
      </c>
      <c r="N405" t="n">
        <v>0</v>
      </c>
      <c r="O405" t="n">
        <v>3</v>
      </c>
      <c r="P405" t="n">
        <v>0</v>
      </c>
      <c r="Q405" t="n">
        <v>4</v>
      </c>
      <c r="R405" s="2" t="inlineStr">
        <is>
          <t>Doftskinn
Garnlav
Lunglav
Rävticka</t>
        </is>
      </c>
      <c r="S405">
        <f>HYPERLINK("https://klasma.github.io/Logging_2463/artfynd/A 49528-2022 artfynd.xlsx", "A 49528-2022")</f>
        <v/>
      </c>
      <c r="T405">
        <f>HYPERLINK("https://klasma.github.io/Logging_2463/kartor/A 49528-2022 karta.png", "A 49528-2022")</f>
        <v/>
      </c>
      <c r="V405">
        <f>HYPERLINK("https://klasma.github.io/Logging_2463/klagomål/A 49528-2022 FSC-klagomål.docx", "A 49528-2022")</f>
        <v/>
      </c>
      <c r="W405">
        <f>HYPERLINK("https://klasma.github.io/Logging_2463/klagomålsmail/A 49528-2022 FSC-klagomål mail.docx", "A 49528-2022")</f>
        <v/>
      </c>
      <c r="X405">
        <f>HYPERLINK("https://klasma.github.io/Logging_2463/tillsyn/A 49528-2022 tillsynsbegäran.docx", "A 49528-2022")</f>
        <v/>
      </c>
      <c r="Y405">
        <f>HYPERLINK("https://klasma.github.io/Logging_2463/tillsynsmail/A 49528-2022 tillsynsbegäran mail.docx", "A 49528-2022")</f>
        <v/>
      </c>
    </row>
    <row r="406" ht="15" customHeight="1">
      <c r="A406" t="inlineStr">
        <is>
          <t>A 25036-2024</t>
        </is>
      </c>
      <c r="B406" s="1" t="n">
        <v>45461</v>
      </c>
      <c r="C406" s="1" t="n">
        <v>46075</v>
      </c>
      <c r="D406" t="inlineStr">
        <is>
          <t>VÄSTERBOTTENS LÄN</t>
        </is>
      </c>
      <c r="E406" t="inlineStr">
        <is>
          <t>VILHELMINA</t>
        </is>
      </c>
      <c r="F406" t="inlineStr">
        <is>
          <t>SCA</t>
        </is>
      </c>
      <c r="G406" t="n">
        <v>7</v>
      </c>
      <c r="H406" t="n">
        <v>3</v>
      </c>
      <c r="I406" t="n">
        <v>1</v>
      </c>
      <c r="J406" t="n">
        <v>1</v>
      </c>
      <c r="K406" t="n">
        <v>0</v>
      </c>
      <c r="L406" t="n">
        <v>0</v>
      </c>
      <c r="M406" t="n">
        <v>0</v>
      </c>
      <c r="N406" t="n">
        <v>0</v>
      </c>
      <c r="O406" t="n">
        <v>1</v>
      </c>
      <c r="P406" t="n">
        <v>0</v>
      </c>
      <c r="Q406" t="n">
        <v>4</v>
      </c>
      <c r="R406" s="2" t="inlineStr">
        <is>
          <t>Garnlav
Plattlummer
Tjäder
Revlummer</t>
        </is>
      </c>
      <c r="S406">
        <f>HYPERLINK("https://klasma.github.io/Logging_2462/artfynd/A 25036-2024 artfynd.xlsx", "A 25036-2024")</f>
        <v/>
      </c>
      <c r="T406">
        <f>HYPERLINK("https://klasma.github.io/Logging_2462/kartor/A 25036-2024 karta.png", "A 25036-2024")</f>
        <v/>
      </c>
      <c r="V406">
        <f>HYPERLINK("https://klasma.github.io/Logging_2462/klagomål/A 25036-2024 FSC-klagomål.docx", "A 25036-2024")</f>
        <v/>
      </c>
      <c r="W406">
        <f>HYPERLINK("https://klasma.github.io/Logging_2462/klagomålsmail/A 25036-2024 FSC-klagomål mail.docx", "A 25036-2024")</f>
        <v/>
      </c>
      <c r="X406">
        <f>HYPERLINK("https://klasma.github.io/Logging_2462/tillsyn/A 25036-2024 tillsynsbegäran.docx", "A 25036-2024")</f>
        <v/>
      </c>
      <c r="Y406">
        <f>HYPERLINK("https://klasma.github.io/Logging_2462/tillsynsmail/A 25036-2024 tillsynsbegäran mail.docx", "A 25036-2024")</f>
        <v/>
      </c>
      <c r="Z406">
        <f>HYPERLINK("https://klasma.github.io/Logging_2462/fåglar/A 25036-2024 prioriterade fågelarter.docx", "A 25036-2024")</f>
        <v/>
      </c>
    </row>
    <row r="407" ht="15" customHeight="1">
      <c r="A407" t="inlineStr">
        <is>
          <t>A 18725-2024</t>
        </is>
      </c>
      <c r="B407" s="1" t="n">
        <v>45426</v>
      </c>
      <c r="C407" s="1" t="n">
        <v>46075</v>
      </c>
      <c r="D407" t="inlineStr">
        <is>
          <t>VÄSTERBOTTENS LÄN</t>
        </is>
      </c>
      <c r="E407" t="inlineStr">
        <is>
          <t>UMEÅ</t>
        </is>
      </c>
      <c r="F407" t="inlineStr">
        <is>
          <t>Holmen skog AB</t>
        </is>
      </c>
      <c r="G407" t="n">
        <v>6.6</v>
      </c>
      <c r="H407" t="n">
        <v>1</v>
      </c>
      <c r="I407" t="n">
        <v>0</v>
      </c>
      <c r="J407" t="n">
        <v>4</v>
      </c>
      <c r="K407" t="n">
        <v>0</v>
      </c>
      <c r="L407" t="n">
        <v>0</v>
      </c>
      <c r="M407" t="n">
        <v>0</v>
      </c>
      <c r="N407" t="n">
        <v>0</v>
      </c>
      <c r="O407" t="n">
        <v>4</v>
      </c>
      <c r="P407" t="n">
        <v>0</v>
      </c>
      <c r="Q407" t="n">
        <v>4</v>
      </c>
      <c r="R407" s="2" t="inlineStr">
        <is>
          <t>Garnlav
Orange taggsvamp
Talltita
Vedskivlav</t>
        </is>
      </c>
      <c r="S407">
        <f>HYPERLINK("https://klasma.github.io/Logging_2480/artfynd/A 18725-2024 artfynd.xlsx", "A 18725-2024")</f>
        <v/>
      </c>
      <c r="T407">
        <f>HYPERLINK("https://klasma.github.io/Logging_2480/kartor/A 18725-2024 karta.png", "A 18725-2024")</f>
        <v/>
      </c>
      <c r="V407">
        <f>HYPERLINK("https://klasma.github.io/Logging_2480/klagomål/A 18725-2024 FSC-klagomål.docx", "A 18725-2024")</f>
        <v/>
      </c>
      <c r="W407">
        <f>HYPERLINK("https://klasma.github.io/Logging_2480/klagomålsmail/A 18725-2024 FSC-klagomål mail.docx", "A 18725-2024")</f>
        <v/>
      </c>
      <c r="X407">
        <f>HYPERLINK("https://klasma.github.io/Logging_2480/tillsyn/A 18725-2024 tillsynsbegäran.docx", "A 18725-2024")</f>
        <v/>
      </c>
      <c r="Y407">
        <f>HYPERLINK("https://klasma.github.io/Logging_2480/tillsynsmail/A 18725-2024 tillsynsbegäran mail.docx", "A 18725-2024")</f>
        <v/>
      </c>
      <c r="Z407">
        <f>HYPERLINK("https://klasma.github.io/Logging_2480/fåglar/A 18725-2024 prioriterade fågelarter.docx", "A 18725-2024")</f>
        <v/>
      </c>
    </row>
    <row r="408" ht="15" customHeight="1">
      <c r="A408" t="inlineStr">
        <is>
          <t>A 17099-2025</t>
        </is>
      </c>
      <c r="B408" s="1" t="n">
        <v>45755.65731481482</v>
      </c>
      <c r="C408" s="1" t="n">
        <v>46075</v>
      </c>
      <c r="D408" t="inlineStr">
        <is>
          <t>VÄSTERBOTTENS LÄN</t>
        </is>
      </c>
      <c r="E408" t="inlineStr">
        <is>
          <t>VINDELN</t>
        </is>
      </c>
      <c r="F408" t="inlineStr">
        <is>
          <t>SCA</t>
        </is>
      </c>
      <c r="G408" t="n">
        <v>32.8</v>
      </c>
      <c r="H408" t="n">
        <v>0</v>
      </c>
      <c r="I408" t="n">
        <v>1</v>
      </c>
      <c r="J408" t="n">
        <v>3</v>
      </c>
      <c r="K408" t="n">
        <v>0</v>
      </c>
      <c r="L408" t="n">
        <v>0</v>
      </c>
      <c r="M408" t="n">
        <v>0</v>
      </c>
      <c r="N408" t="n">
        <v>0</v>
      </c>
      <c r="O408" t="n">
        <v>3</v>
      </c>
      <c r="P408" t="n">
        <v>0</v>
      </c>
      <c r="Q408" t="n">
        <v>4</v>
      </c>
      <c r="R408" s="2" t="inlineStr">
        <is>
          <t>Garnlav
Granticka
Lunglav
Stuplav</t>
        </is>
      </c>
      <c r="S408">
        <f>HYPERLINK("https://klasma.github.io/Logging_2404/artfynd/A 17099-2025 artfynd.xlsx", "A 17099-2025")</f>
        <v/>
      </c>
      <c r="T408">
        <f>HYPERLINK("https://klasma.github.io/Logging_2404/kartor/A 17099-2025 karta.png", "A 17099-2025")</f>
        <v/>
      </c>
      <c r="V408">
        <f>HYPERLINK("https://klasma.github.io/Logging_2404/klagomål/A 17099-2025 FSC-klagomål.docx", "A 17099-2025")</f>
        <v/>
      </c>
      <c r="W408">
        <f>HYPERLINK("https://klasma.github.io/Logging_2404/klagomålsmail/A 17099-2025 FSC-klagomål mail.docx", "A 17099-2025")</f>
        <v/>
      </c>
      <c r="X408">
        <f>HYPERLINK("https://klasma.github.io/Logging_2404/tillsyn/A 17099-2025 tillsynsbegäran.docx", "A 17099-2025")</f>
        <v/>
      </c>
      <c r="Y408">
        <f>HYPERLINK("https://klasma.github.io/Logging_2404/tillsynsmail/A 17099-2025 tillsynsbegäran mail.docx", "A 17099-2025")</f>
        <v/>
      </c>
    </row>
    <row r="409" ht="15" customHeight="1">
      <c r="A409" t="inlineStr">
        <is>
          <t>A 45582-2022</t>
        </is>
      </c>
      <c r="B409" s="1" t="n">
        <v>44841</v>
      </c>
      <c r="C409" s="1" t="n">
        <v>46075</v>
      </c>
      <c r="D409" t="inlineStr">
        <is>
          <t>VÄSTERBOTTENS LÄN</t>
        </is>
      </c>
      <c r="E409" t="inlineStr">
        <is>
          <t>SORSELE</t>
        </is>
      </c>
      <c r="G409" t="n">
        <v>79.3</v>
      </c>
      <c r="H409" t="n">
        <v>0</v>
      </c>
      <c r="I409" t="n">
        <v>0</v>
      </c>
      <c r="J409" t="n">
        <v>3</v>
      </c>
      <c r="K409" t="n">
        <v>0</v>
      </c>
      <c r="L409" t="n">
        <v>1</v>
      </c>
      <c r="M409" t="n">
        <v>0</v>
      </c>
      <c r="N409" t="n">
        <v>0</v>
      </c>
      <c r="O409" t="n">
        <v>4</v>
      </c>
      <c r="P409" t="n">
        <v>1</v>
      </c>
      <c r="Q409" t="n">
        <v>4</v>
      </c>
      <c r="R409" s="2" t="inlineStr">
        <is>
          <t>Grangytterlav
Lunglav
Olivbrun gytterlav
Skrovellav</t>
        </is>
      </c>
      <c r="S409">
        <f>HYPERLINK("https://klasma.github.io/Logging_2422/artfynd/A 45582-2022 artfynd.xlsx", "A 45582-2022")</f>
        <v/>
      </c>
      <c r="T409">
        <f>HYPERLINK("https://klasma.github.io/Logging_2422/kartor/A 45582-2022 karta.png", "A 45582-2022")</f>
        <v/>
      </c>
      <c r="V409">
        <f>HYPERLINK("https://klasma.github.io/Logging_2422/klagomål/A 45582-2022 FSC-klagomål.docx", "A 45582-2022")</f>
        <v/>
      </c>
      <c r="W409">
        <f>HYPERLINK("https://klasma.github.io/Logging_2422/klagomålsmail/A 45582-2022 FSC-klagomål mail.docx", "A 45582-2022")</f>
        <v/>
      </c>
      <c r="X409">
        <f>HYPERLINK("https://klasma.github.io/Logging_2422/tillsyn/A 45582-2022 tillsynsbegäran.docx", "A 45582-2022")</f>
        <v/>
      </c>
      <c r="Y409">
        <f>HYPERLINK("https://klasma.github.io/Logging_2422/tillsynsmail/A 45582-2022 tillsynsbegäran mail.docx", "A 45582-2022")</f>
        <v/>
      </c>
    </row>
    <row r="410" ht="15" customHeight="1">
      <c r="A410" t="inlineStr">
        <is>
          <t>A 47450-2024</t>
        </is>
      </c>
      <c r="B410" s="1" t="n">
        <v>45587.53958333333</v>
      </c>
      <c r="C410" s="1" t="n">
        <v>46075</v>
      </c>
      <c r="D410" t="inlineStr">
        <is>
          <t>VÄSTERBOTTENS LÄN</t>
        </is>
      </c>
      <c r="E410" t="inlineStr">
        <is>
          <t>NORSJÖ</t>
        </is>
      </c>
      <c r="F410" t="inlineStr">
        <is>
          <t>Sveaskog</t>
        </is>
      </c>
      <c r="G410" t="n">
        <v>4.5</v>
      </c>
      <c r="H410" t="n">
        <v>0</v>
      </c>
      <c r="I410" t="n">
        <v>2</v>
      </c>
      <c r="J410" t="n">
        <v>2</v>
      </c>
      <c r="K410" t="n">
        <v>0</v>
      </c>
      <c r="L410" t="n">
        <v>0</v>
      </c>
      <c r="M410" t="n">
        <v>0</v>
      </c>
      <c r="N410" t="n">
        <v>0</v>
      </c>
      <c r="O410" t="n">
        <v>2</v>
      </c>
      <c r="P410" t="n">
        <v>0</v>
      </c>
      <c r="Q410" t="n">
        <v>4</v>
      </c>
      <c r="R410" s="2" t="inlineStr">
        <is>
          <t>Blå taggsvamp
Orange taggsvamp
Dropptaggsvamp
Nästlav</t>
        </is>
      </c>
      <c r="S410">
        <f>HYPERLINK("https://klasma.github.io/Logging_2417/artfynd/A 47450-2024 artfynd.xlsx", "A 47450-2024")</f>
        <v/>
      </c>
      <c r="T410">
        <f>HYPERLINK("https://klasma.github.io/Logging_2417/kartor/A 47450-2024 karta.png", "A 47450-2024")</f>
        <v/>
      </c>
      <c r="V410">
        <f>HYPERLINK("https://klasma.github.io/Logging_2417/klagomål/A 47450-2024 FSC-klagomål.docx", "A 47450-2024")</f>
        <v/>
      </c>
      <c r="W410">
        <f>HYPERLINK("https://klasma.github.io/Logging_2417/klagomålsmail/A 47450-2024 FSC-klagomål mail.docx", "A 47450-2024")</f>
        <v/>
      </c>
      <c r="X410">
        <f>HYPERLINK("https://klasma.github.io/Logging_2417/tillsyn/A 47450-2024 tillsynsbegäran.docx", "A 47450-2024")</f>
        <v/>
      </c>
      <c r="Y410">
        <f>HYPERLINK("https://klasma.github.io/Logging_2417/tillsynsmail/A 47450-2024 tillsynsbegäran mail.docx", "A 47450-2024")</f>
        <v/>
      </c>
    </row>
    <row r="411" ht="15" customHeight="1">
      <c r="A411" t="inlineStr">
        <is>
          <t>A 47977-2024</t>
        </is>
      </c>
      <c r="B411" s="1" t="n">
        <v>45589</v>
      </c>
      <c r="C411" s="1" t="n">
        <v>46075</v>
      </c>
      <c r="D411" t="inlineStr">
        <is>
          <t>VÄSTERBOTTENS LÄN</t>
        </is>
      </c>
      <c r="E411" t="inlineStr">
        <is>
          <t>LYCKSELE</t>
        </is>
      </c>
      <c r="F411" t="inlineStr">
        <is>
          <t>Sveaskog</t>
        </is>
      </c>
      <c r="G411" t="n">
        <v>3</v>
      </c>
      <c r="H411" t="n">
        <v>0</v>
      </c>
      <c r="I411" t="n">
        <v>0</v>
      </c>
      <c r="J411" t="n">
        <v>4</v>
      </c>
      <c r="K411" t="n">
        <v>0</v>
      </c>
      <c r="L411" t="n">
        <v>0</v>
      </c>
      <c r="M411" t="n">
        <v>0</v>
      </c>
      <c r="N411" t="n">
        <v>0</v>
      </c>
      <c r="O411" t="n">
        <v>4</v>
      </c>
      <c r="P411" t="n">
        <v>0</v>
      </c>
      <c r="Q411" t="n">
        <v>4</v>
      </c>
      <c r="R411" s="2" t="inlineStr">
        <is>
          <t>Blå taggsvamp
Kolflarnlav
Orange taggsvamp
Skrovlig taggsvamp</t>
        </is>
      </c>
      <c r="S411">
        <f>HYPERLINK("https://klasma.github.io/Logging_2481/artfynd/A 47977-2024 artfynd.xlsx", "A 47977-2024")</f>
        <v/>
      </c>
      <c r="T411">
        <f>HYPERLINK("https://klasma.github.io/Logging_2481/kartor/A 47977-2024 karta.png", "A 47977-2024")</f>
        <v/>
      </c>
      <c r="V411">
        <f>HYPERLINK("https://klasma.github.io/Logging_2481/klagomål/A 47977-2024 FSC-klagomål.docx", "A 47977-2024")</f>
        <v/>
      </c>
      <c r="W411">
        <f>HYPERLINK("https://klasma.github.io/Logging_2481/klagomålsmail/A 47977-2024 FSC-klagomål mail.docx", "A 47977-2024")</f>
        <v/>
      </c>
      <c r="X411">
        <f>HYPERLINK("https://klasma.github.io/Logging_2481/tillsyn/A 47977-2024 tillsynsbegäran.docx", "A 47977-2024")</f>
        <v/>
      </c>
      <c r="Y411">
        <f>HYPERLINK("https://klasma.github.io/Logging_2481/tillsynsmail/A 47977-2024 tillsynsbegäran mail.docx", "A 47977-2024")</f>
        <v/>
      </c>
    </row>
    <row r="412" ht="15" customHeight="1">
      <c r="A412" t="inlineStr">
        <is>
          <t>A 12971-2025</t>
        </is>
      </c>
      <c r="B412" s="1" t="n">
        <v>45734</v>
      </c>
      <c r="C412" s="1" t="n">
        <v>46075</v>
      </c>
      <c r="D412" t="inlineStr">
        <is>
          <t>VÄSTERBOTTENS LÄN</t>
        </is>
      </c>
      <c r="E412" t="inlineStr">
        <is>
          <t>UMEÅ</t>
        </is>
      </c>
      <c r="G412" t="n">
        <v>4.1</v>
      </c>
      <c r="H412" t="n">
        <v>0</v>
      </c>
      <c r="I412" t="n">
        <v>1</v>
      </c>
      <c r="J412" t="n">
        <v>3</v>
      </c>
      <c r="K412" t="n">
        <v>0</v>
      </c>
      <c r="L412" t="n">
        <v>0</v>
      </c>
      <c r="M412" t="n">
        <v>0</v>
      </c>
      <c r="N412" t="n">
        <v>0</v>
      </c>
      <c r="O412" t="n">
        <v>3</v>
      </c>
      <c r="P412" t="n">
        <v>0</v>
      </c>
      <c r="Q412" t="n">
        <v>4</v>
      </c>
      <c r="R412" s="2" t="inlineStr">
        <is>
          <t>Granticka
Ullticka
Violmussling
Jättesvampmal</t>
        </is>
      </c>
      <c r="S412">
        <f>HYPERLINK("https://klasma.github.io/Logging_2480/artfynd/A 12971-2025 artfynd.xlsx", "A 12971-2025")</f>
        <v/>
      </c>
      <c r="T412">
        <f>HYPERLINK("https://klasma.github.io/Logging_2480/kartor/A 12971-2025 karta.png", "A 12971-2025")</f>
        <v/>
      </c>
      <c r="V412">
        <f>HYPERLINK("https://klasma.github.io/Logging_2480/klagomål/A 12971-2025 FSC-klagomål.docx", "A 12971-2025")</f>
        <v/>
      </c>
      <c r="W412">
        <f>HYPERLINK("https://klasma.github.io/Logging_2480/klagomålsmail/A 12971-2025 FSC-klagomål mail.docx", "A 12971-2025")</f>
        <v/>
      </c>
      <c r="X412">
        <f>HYPERLINK("https://klasma.github.io/Logging_2480/tillsyn/A 12971-2025 tillsynsbegäran.docx", "A 12971-2025")</f>
        <v/>
      </c>
      <c r="Y412">
        <f>HYPERLINK("https://klasma.github.io/Logging_2480/tillsynsmail/A 12971-2025 tillsynsbegäran mail.docx", "A 12971-2025")</f>
        <v/>
      </c>
    </row>
    <row r="413" ht="15" customHeight="1">
      <c r="A413" t="inlineStr">
        <is>
          <t>A 23555-2024</t>
        </is>
      </c>
      <c r="B413" s="1" t="n">
        <v>45453</v>
      </c>
      <c r="C413" s="1" t="n">
        <v>46075</v>
      </c>
      <c r="D413" t="inlineStr">
        <is>
          <t>VÄSTERBOTTENS LÄN</t>
        </is>
      </c>
      <c r="E413" t="inlineStr">
        <is>
          <t>DOROTEA</t>
        </is>
      </c>
      <c r="F413" t="inlineStr">
        <is>
          <t>SCA</t>
        </is>
      </c>
      <c r="G413" t="n">
        <v>16.3</v>
      </c>
      <c r="H413" t="n">
        <v>3</v>
      </c>
      <c r="I413" t="n">
        <v>1</v>
      </c>
      <c r="J413" t="n">
        <v>1</v>
      </c>
      <c r="K413" t="n">
        <v>0</v>
      </c>
      <c r="L413" t="n">
        <v>0</v>
      </c>
      <c r="M413" t="n">
        <v>0</v>
      </c>
      <c r="N413" t="n">
        <v>0</v>
      </c>
      <c r="O413" t="n">
        <v>1</v>
      </c>
      <c r="P413" t="n">
        <v>0</v>
      </c>
      <c r="Q413" t="n">
        <v>4</v>
      </c>
      <c r="R413" s="2" t="inlineStr">
        <is>
          <t>Garnlav
Spindelblomster
Vanlig groda
Fläcknycklar</t>
        </is>
      </c>
      <c r="S413">
        <f>HYPERLINK("https://klasma.github.io/Logging_2425/artfynd/A 23555-2024 artfynd.xlsx", "A 23555-2024")</f>
        <v/>
      </c>
      <c r="T413">
        <f>HYPERLINK("https://klasma.github.io/Logging_2425/kartor/A 23555-2024 karta.png", "A 23555-2024")</f>
        <v/>
      </c>
      <c r="V413">
        <f>HYPERLINK("https://klasma.github.io/Logging_2425/klagomål/A 23555-2024 FSC-klagomål.docx", "A 23555-2024")</f>
        <v/>
      </c>
      <c r="W413">
        <f>HYPERLINK("https://klasma.github.io/Logging_2425/klagomålsmail/A 23555-2024 FSC-klagomål mail.docx", "A 23555-2024")</f>
        <v/>
      </c>
      <c r="X413">
        <f>HYPERLINK("https://klasma.github.io/Logging_2425/tillsyn/A 23555-2024 tillsynsbegäran.docx", "A 23555-2024")</f>
        <v/>
      </c>
      <c r="Y413">
        <f>HYPERLINK("https://klasma.github.io/Logging_2425/tillsynsmail/A 23555-2024 tillsynsbegäran mail.docx", "A 23555-2024")</f>
        <v/>
      </c>
    </row>
    <row r="414" ht="15" customHeight="1">
      <c r="A414" t="inlineStr">
        <is>
          <t>A 21628-2021</t>
        </is>
      </c>
      <c r="B414" s="1" t="n">
        <v>44321.91877314815</v>
      </c>
      <c r="C414" s="1" t="n">
        <v>46075</v>
      </c>
      <c r="D414" t="inlineStr">
        <is>
          <t>VÄSTERBOTTENS LÄN</t>
        </is>
      </c>
      <c r="E414" t="inlineStr">
        <is>
          <t>UMEÅ</t>
        </is>
      </c>
      <c r="G414" t="n">
        <v>4</v>
      </c>
      <c r="H414" t="n">
        <v>2</v>
      </c>
      <c r="I414" t="n">
        <v>0</v>
      </c>
      <c r="J414" t="n">
        <v>3</v>
      </c>
      <c r="K414" t="n">
        <v>0</v>
      </c>
      <c r="L414" t="n">
        <v>0</v>
      </c>
      <c r="M414" t="n">
        <v>0</v>
      </c>
      <c r="N414" t="n">
        <v>0</v>
      </c>
      <c r="O414" t="n">
        <v>3</v>
      </c>
      <c r="P414" t="n">
        <v>0</v>
      </c>
      <c r="Q414" t="n">
        <v>4</v>
      </c>
      <c r="R414" s="2" t="inlineStr">
        <is>
          <t>Garnlav
Granticka
Spillkråka
Revlummer</t>
        </is>
      </c>
      <c r="S414">
        <f>HYPERLINK("https://klasma.github.io/Logging_2480/artfynd/A 21628-2021 artfynd.xlsx", "A 21628-2021")</f>
        <v/>
      </c>
      <c r="T414">
        <f>HYPERLINK("https://klasma.github.io/Logging_2480/kartor/A 21628-2021 karta.png", "A 21628-2021")</f>
        <v/>
      </c>
      <c r="V414">
        <f>HYPERLINK("https://klasma.github.io/Logging_2480/klagomål/A 21628-2021 FSC-klagomål.docx", "A 21628-2021")</f>
        <v/>
      </c>
      <c r="W414">
        <f>HYPERLINK("https://klasma.github.io/Logging_2480/klagomålsmail/A 21628-2021 FSC-klagomål mail.docx", "A 21628-2021")</f>
        <v/>
      </c>
      <c r="X414">
        <f>HYPERLINK("https://klasma.github.io/Logging_2480/tillsyn/A 21628-2021 tillsynsbegäran.docx", "A 21628-2021")</f>
        <v/>
      </c>
      <c r="Y414">
        <f>HYPERLINK("https://klasma.github.io/Logging_2480/tillsynsmail/A 21628-2021 tillsynsbegäran mail.docx", "A 21628-2021")</f>
        <v/>
      </c>
      <c r="Z414">
        <f>HYPERLINK("https://klasma.github.io/Logging_2480/fåglar/A 21628-2021 prioriterade fågelarter.docx", "A 21628-2021")</f>
        <v/>
      </c>
    </row>
    <row r="415" ht="15" customHeight="1">
      <c r="A415" t="inlineStr">
        <is>
          <t>A 30414-2025</t>
        </is>
      </c>
      <c r="B415" s="1" t="n">
        <v>45827.604375</v>
      </c>
      <c r="C415" s="1" t="n">
        <v>46075</v>
      </c>
      <c r="D415" t="inlineStr">
        <is>
          <t>VÄSTERBOTTENS LÄN</t>
        </is>
      </c>
      <c r="E415" t="inlineStr">
        <is>
          <t>LYCKSELE</t>
        </is>
      </c>
      <c r="F415" t="inlineStr">
        <is>
          <t>Sveaskog</t>
        </is>
      </c>
      <c r="G415" t="n">
        <v>17</v>
      </c>
      <c r="H415" t="n">
        <v>0</v>
      </c>
      <c r="I415" t="n">
        <v>2</v>
      </c>
      <c r="J415" t="n">
        <v>2</v>
      </c>
      <c r="K415" t="n">
        <v>0</v>
      </c>
      <c r="L415" t="n">
        <v>0</v>
      </c>
      <c r="M415" t="n">
        <v>0</v>
      </c>
      <c r="N415" t="n">
        <v>0</v>
      </c>
      <c r="O415" t="n">
        <v>2</v>
      </c>
      <c r="P415" t="n">
        <v>0</v>
      </c>
      <c r="Q415" t="n">
        <v>4</v>
      </c>
      <c r="R415" s="2" t="inlineStr">
        <is>
          <t>Lunglav
Skrovellav
Skinnlav
Stor aspticka</t>
        </is>
      </c>
      <c r="S415">
        <f>HYPERLINK("https://klasma.github.io/Logging_2481/artfynd/A 30414-2025 artfynd.xlsx", "A 30414-2025")</f>
        <v/>
      </c>
      <c r="T415">
        <f>HYPERLINK("https://klasma.github.io/Logging_2481/kartor/A 30414-2025 karta.png", "A 30414-2025")</f>
        <v/>
      </c>
      <c r="V415">
        <f>HYPERLINK("https://klasma.github.io/Logging_2481/klagomål/A 30414-2025 FSC-klagomål.docx", "A 30414-2025")</f>
        <v/>
      </c>
      <c r="W415">
        <f>HYPERLINK("https://klasma.github.io/Logging_2481/klagomålsmail/A 30414-2025 FSC-klagomål mail.docx", "A 30414-2025")</f>
        <v/>
      </c>
      <c r="X415">
        <f>HYPERLINK("https://klasma.github.io/Logging_2481/tillsyn/A 30414-2025 tillsynsbegäran.docx", "A 30414-2025")</f>
        <v/>
      </c>
      <c r="Y415">
        <f>HYPERLINK("https://klasma.github.io/Logging_2481/tillsynsmail/A 30414-2025 tillsynsbegäran mail.docx", "A 30414-2025")</f>
        <v/>
      </c>
    </row>
    <row r="416" ht="15" customHeight="1">
      <c r="A416" t="inlineStr">
        <is>
          <t>A 39528-2025</t>
        </is>
      </c>
      <c r="B416" s="1" t="n">
        <v>45890.44530092592</v>
      </c>
      <c r="C416" s="1" t="n">
        <v>46075</v>
      </c>
      <c r="D416" t="inlineStr">
        <is>
          <t>VÄSTERBOTTENS LÄN</t>
        </is>
      </c>
      <c r="E416" t="inlineStr">
        <is>
          <t>LYCKSELE</t>
        </is>
      </c>
      <c r="F416" t="inlineStr">
        <is>
          <t>Sveaskog</t>
        </is>
      </c>
      <c r="G416" t="n">
        <v>24.9</v>
      </c>
      <c r="H416" t="n">
        <v>0</v>
      </c>
      <c r="I416" t="n">
        <v>1</v>
      </c>
      <c r="J416" t="n">
        <v>3</v>
      </c>
      <c r="K416" t="n">
        <v>0</v>
      </c>
      <c r="L416" t="n">
        <v>0</v>
      </c>
      <c r="M416" t="n">
        <v>0</v>
      </c>
      <c r="N416" t="n">
        <v>0</v>
      </c>
      <c r="O416" t="n">
        <v>3</v>
      </c>
      <c r="P416" t="n">
        <v>0</v>
      </c>
      <c r="Q416" t="n">
        <v>4</v>
      </c>
      <c r="R416" s="2" t="inlineStr">
        <is>
          <t>Kolflarnlav
Lunglav
Mörk kolflarnlav
Dropptaggsvamp</t>
        </is>
      </c>
      <c r="S416">
        <f>HYPERLINK("https://klasma.github.io/Logging_2481/artfynd/A 39528-2025 artfynd.xlsx", "A 39528-2025")</f>
        <v/>
      </c>
      <c r="T416">
        <f>HYPERLINK("https://klasma.github.io/Logging_2481/kartor/A 39528-2025 karta.png", "A 39528-2025")</f>
        <v/>
      </c>
      <c r="V416">
        <f>HYPERLINK("https://klasma.github.io/Logging_2481/klagomål/A 39528-2025 FSC-klagomål.docx", "A 39528-2025")</f>
        <v/>
      </c>
      <c r="W416">
        <f>HYPERLINK("https://klasma.github.io/Logging_2481/klagomålsmail/A 39528-2025 FSC-klagomål mail.docx", "A 39528-2025")</f>
        <v/>
      </c>
      <c r="X416">
        <f>HYPERLINK("https://klasma.github.io/Logging_2481/tillsyn/A 39528-2025 tillsynsbegäran.docx", "A 39528-2025")</f>
        <v/>
      </c>
      <c r="Y416">
        <f>HYPERLINK("https://klasma.github.io/Logging_2481/tillsynsmail/A 39528-2025 tillsynsbegäran mail.docx", "A 39528-2025")</f>
        <v/>
      </c>
    </row>
    <row r="417" ht="15" customHeight="1">
      <c r="A417" t="inlineStr">
        <is>
          <t>A 29995-2025</t>
        </is>
      </c>
      <c r="B417" s="1" t="n">
        <v>45826</v>
      </c>
      <c r="C417" s="1" t="n">
        <v>46075</v>
      </c>
      <c r="D417" t="inlineStr">
        <is>
          <t>VÄSTERBOTTENS LÄN</t>
        </is>
      </c>
      <c r="E417" t="inlineStr">
        <is>
          <t>ÅSELE</t>
        </is>
      </c>
      <c r="F417" t="inlineStr">
        <is>
          <t>Sveaskog</t>
        </is>
      </c>
      <c r="G417" t="n">
        <v>9.800000000000001</v>
      </c>
      <c r="H417" t="n">
        <v>0</v>
      </c>
      <c r="I417" t="n">
        <v>2</v>
      </c>
      <c r="J417" t="n">
        <v>2</v>
      </c>
      <c r="K417" t="n">
        <v>0</v>
      </c>
      <c r="L417" t="n">
        <v>0</v>
      </c>
      <c r="M417" t="n">
        <v>0</v>
      </c>
      <c r="N417" t="n">
        <v>0</v>
      </c>
      <c r="O417" t="n">
        <v>2</v>
      </c>
      <c r="P417" t="n">
        <v>0</v>
      </c>
      <c r="Q417" t="n">
        <v>4</v>
      </c>
      <c r="R417" s="2" t="inlineStr">
        <is>
          <t>Lunglav
Skrovellav
Bårdlav
Luddlav</t>
        </is>
      </c>
      <c r="S417">
        <f>HYPERLINK("https://klasma.github.io/Logging_2463/artfynd/A 29995-2025 artfynd.xlsx", "A 29995-2025")</f>
        <v/>
      </c>
      <c r="T417">
        <f>HYPERLINK("https://klasma.github.io/Logging_2463/kartor/A 29995-2025 karta.png", "A 29995-2025")</f>
        <v/>
      </c>
      <c r="V417">
        <f>HYPERLINK("https://klasma.github.io/Logging_2463/klagomål/A 29995-2025 FSC-klagomål.docx", "A 29995-2025")</f>
        <v/>
      </c>
      <c r="W417">
        <f>HYPERLINK("https://klasma.github.io/Logging_2463/klagomålsmail/A 29995-2025 FSC-klagomål mail.docx", "A 29995-2025")</f>
        <v/>
      </c>
      <c r="X417">
        <f>HYPERLINK("https://klasma.github.io/Logging_2463/tillsyn/A 29995-2025 tillsynsbegäran.docx", "A 29995-2025")</f>
        <v/>
      </c>
      <c r="Y417">
        <f>HYPERLINK("https://klasma.github.io/Logging_2463/tillsynsmail/A 29995-2025 tillsynsbegäran mail.docx", "A 29995-2025")</f>
        <v/>
      </c>
    </row>
    <row r="418" ht="15" customHeight="1">
      <c r="A418" t="inlineStr">
        <is>
          <t>A 30316-2025</t>
        </is>
      </c>
      <c r="B418" s="1" t="n">
        <v>45827</v>
      </c>
      <c r="C418" s="1" t="n">
        <v>46075</v>
      </c>
      <c r="D418" t="inlineStr">
        <is>
          <t>VÄSTERBOTTENS LÄN</t>
        </is>
      </c>
      <c r="E418" t="inlineStr">
        <is>
          <t>ÅSELE</t>
        </is>
      </c>
      <c r="F418" t="inlineStr">
        <is>
          <t>SCA</t>
        </is>
      </c>
      <c r="G418" t="n">
        <v>2</v>
      </c>
      <c r="H418" t="n">
        <v>0</v>
      </c>
      <c r="I418" t="n">
        <v>2</v>
      </c>
      <c r="J418" t="n">
        <v>2</v>
      </c>
      <c r="K418" t="n">
        <v>0</v>
      </c>
      <c r="L418" t="n">
        <v>0</v>
      </c>
      <c r="M418" t="n">
        <v>0</v>
      </c>
      <c r="N418" t="n">
        <v>0</v>
      </c>
      <c r="O418" t="n">
        <v>2</v>
      </c>
      <c r="P418" t="n">
        <v>0</v>
      </c>
      <c r="Q418" t="n">
        <v>4</v>
      </c>
      <c r="R418" s="2" t="inlineStr">
        <is>
          <t>Garnlav
Ullticka
Vedticka
Vågbandad barkbock</t>
        </is>
      </c>
      <c r="S418">
        <f>HYPERLINK("https://klasma.github.io/Logging_2463/artfynd/A 30316-2025 artfynd.xlsx", "A 30316-2025")</f>
        <v/>
      </c>
      <c r="T418">
        <f>HYPERLINK("https://klasma.github.io/Logging_2463/kartor/A 30316-2025 karta.png", "A 30316-2025")</f>
        <v/>
      </c>
      <c r="V418">
        <f>HYPERLINK("https://klasma.github.io/Logging_2463/klagomål/A 30316-2025 FSC-klagomål.docx", "A 30316-2025")</f>
        <v/>
      </c>
      <c r="W418">
        <f>HYPERLINK("https://klasma.github.io/Logging_2463/klagomålsmail/A 30316-2025 FSC-klagomål mail.docx", "A 30316-2025")</f>
        <v/>
      </c>
      <c r="X418">
        <f>HYPERLINK("https://klasma.github.io/Logging_2463/tillsyn/A 30316-2025 tillsynsbegäran.docx", "A 30316-2025")</f>
        <v/>
      </c>
      <c r="Y418">
        <f>HYPERLINK("https://klasma.github.io/Logging_2463/tillsynsmail/A 30316-2025 tillsynsbegäran mail.docx", "A 30316-2025")</f>
        <v/>
      </c>
    </row>
    <row r="419" ht="15" customHeight="1">
      <c r="A419" t="inlineStr">
        <is>
          <t>A 40414-2025</t>
        </is>
      </c>
      <c r="B419" s="1" t="n">
        <v>45895.57538194444</v>
      </c>
      <c r="C419" s="1" t="n">
        <v>46075</v>
      </c>
      <c r="D419" t="inlineStr">
        <is>
          <t>VÄSTERBOTTENS LÄN</t>
        </is>
      </c>
      <c r="E419" t="inlineStr">
        <is>
          <t>SKELLEFTEÅ</t>
        </is>
      </c>
      <c r="F419" t="inlineStr">
        <is>
          <t>Holmen skog AB</t>
        </is>
      </c>
      <c r="G419" t="n">
        <v>5.1</v>
      </c>
      <c r="H419" t="n">
        <v>1</v>
      </c>
      <c r="I419" t="n">
        <v>0</v>
      </c>
      <c r="J419" t="n">
        <v>4</v>
      </c>
      <c r="K419" t="n">
        <v>0</v>
      </c>
      <c r="L419" t="n">
        <v>0</v>
      </c>
      <c r="M419" t="n">
        <v>0</v>
      </c>
      <c r="N419" t="n">
        <v>0</v>
      </c>
      <c r="O419" t="n">
        <v>4</v>
      </c>
      <c r="P419" t="n">
        <v>0</v>
      </c>
      <c r="Q419" t="n">
        <v>4</v>
      </c>
      <c r="R419" s="2" t="inlineStr">
        <is>
          <t>Gammelgransskål
Garnlav
Tallticka
Tretåig hackspett</t>
        </is>
      </c>
      <c r="S419">
        <f>HYPERLINK("https://klasma.github.io/Logging_2482/artfynd/A 40414-2025 artfynd.xlsx", "A 40414-2025")</f>
        <v/>
      </c>
      <c r="T419">
        <f>HYPERLINK("https://klasma.github.io/Logging_2482/kartor/A 40414-2025 karta.png", "A 40414-2025")</f>
        <v/>
      </c>
      <c r="V419">
        <f>HYPERLINK("https://klasma.github.io/Logging_2482/klagomål/A 40414-2025 FSC-klagomål.docx", "A 40414-2025")</f>
        <v/>
      </c>
      <c r="W419">
        <f>HYPERLINK("https://klasma.github.io/Logging_2482/klagomålsmail/A 40414-2025 FSC-klagomål mail.docx", "A 40414-2025")</f>
        <v/>
      </c>
      <c r="X419">
        <f>HYPERLINK("https://klasma.github.io/Logging_2482/tillsyn/A 40414-2025 tillsynsbegäran.docx", "A 40414-2025")</f>
        <v/>
      </c>
      <c r="Y419">
        <f>HYPERLINK("https://klasma.github.io/Logging_2482/tillsynsmail/A 40414-2025 tillsynsbegäran mail.docx", "A 40414-2025")</f>
        <v/>
      </c>
      <c r="Z419">
        <f>HYPERLINK("https://klasma.github.io/Logging_2482/fåglar/A 40414-2025 prioriterade fågelarter.docx", "A 40414-2025")</f>
        <v/>
      </c>
    </row>
    <row r="420" ht="15" customHeight="1">
      <c r="A420" t="inlineStr">
        <is>
          <t>A 52764-2024</t>
        </is>
      </c>
      <c r="B420" s="1" t="n">
        <v>45610.51162037037</v>
      </c>
      <c r="C420" s="1" t="n">
        <v>46075</v>
      </c>
      <c r="D420" t="inlineStr">
        <is>
          <t>VÄSTERBOTTENS LÄN</t>
        </is>
      </c>
      <c r="E420" t="inlineStr">
        <is>
          <t>UMEÅ</t>
        </is>
      </c>
      <c r="G420" t="n">
        <v>4.8</v>
      </c>
      <c r="H420" t="n">
        <v>0</v>
      </c>
      <c r="I420" t="n">
        <v>2</v>
      </c>
      <c r="J420" t="n">
        <v>2</v>
      </c>
      <c r="K420" t="n">
        <v>0</v>
      </c>
      <c r="L420" t="n">
        <v>0</v>
      </c>
      <c r="M420" t="n">
        <v>0</v>
      </c>
      <c r="N420" t="n">
        <v>0</v>
      </c>
      <c r="O420" t="n">
        <v>2</v>
      </c>
      <c r="P420" t="n">
        <v>0</v>
      </c>
      <c r="Q420" t="n">
        <v>4</v>
      </c>
      <c r="R420" s="2" t="inlineStr">
        <is>
          <t>Granticka
Violettgrå tagellav
Trådticka
Vågbandad barkbock</t>
        </is>
      </c>
      <c r="S420">
        <f>HYPERLINK("https://klasma.github.io/Logging_2480/artfynd/A 52764-2024 artfynd.xlsx", "A 52764-2024")</f>
        <v/>
      </c>
      <c r="T420">
        <f>HYPERLINK("https://klasma.github.io/Logging_2480/kartor/A 52764-2024 karta.png", "A 52764-2024")</f>
        <v/>
      </c>
      <c r="V420">
        <f>HYPERLINK("https://klasma.github.io/Logging_2480/klagomål/A 52764-2024 FSC-klagomål.docx", "A 52764-2024")</f>
        <v/>
      </c>
      <c r="W420">
        <f>HYPERLINK("https://klasma.github.io/Logging_2480/klagomålsmail/A 52764-2024 FSC-klagomål mail.docx", "A 52764-2024")</f>
        <v/>
      </c>
      <c r="X420">
        <f>HYPERLINK("https://klasma.github.io/Logging_2480/tillsyn/A 52764-2024 tillsynsbegäran.docx", "A 52764-2024")</f>
        <v/>
      </c>
      <c r="Y420">
        <f>HYPERLINK("https://klasma.github.io/Logging_2480/tillsynsmail/A 52764-2024 tillsynsbegäran mail.docx", "A 52764-2024")</f>
        <v/>
      </c>
    </row>
    <row r="421" ht="15" customHeight="1">
      <c r="A421" t="inlineStr">
        <is>
          <t>A 43956-2025</t>
        </is>
      </c>
      <c r="B421" s="1" t="n">
        <v>45915</v>
      </c>
      <c r="C421" s="1" t="n">
        <v>46075</v>
      </c>
      <c r="D421" t="inlineStr">
        <is>
          <t>VÄSTERBOTTENS LÄN</t>
        </is>
      </c>
      <c r="E421" t="inlineStr">
        <is>
          <t>ÅSELE</t>
        </is>
      </c>
      <c r="F421" t="inlineStr">
        <is>
          <t>Kyrkan</t>
        </is>
      </c>
      <c r="G421" t="n">
        <v>9.199999999999999</v>
      </c>
      <c r="H421" t="n">
        <v>1</v>
      </c>
      <c r="I421" t="n">
        <v>2</v>
      </c>
      <c r="J421" t="n">
        <v>2</v>
      </c>
      <c r="K421" t="n">
        <v>0</v>
      </c>
      <c r="L421" t="n">
        <v>0</v>
      </c>
      <c r="M421" t="n">
        <v>0</v>
      </c>
      <c r="N421" t="n">
        <v>0</v>
      </c>
      <c r="O421" t="n">
        <v>2</v>
      </c>
      <c r="P421" t="n">
        <v>0</v>
      </c>
      <c r="Q421" t="n">
        <v>4</v>
      </c>
      <c r="R421" s="2" t="inlineStr">
        <is>
          <t>Garnlav
Kolflarnlav
Plattlummer
Stuplav</t>
        </is>
      </c>
      <c r="S421">
        <f>HYPERLINK("https://klasma.github.io/Logging_2463/artfynd/A 43956-2025 artfynd.xlsx", "A 43956-2025")</f>
        <v/>
      </c>
      <c r="T421">
        <f>HYPERLINK("https://klasma.github.io/Logging_2463/kartor/A 43956-2025 karta.png", "A 43956-2025")</f>
        <v/>
      </c>
      <c r="V421">
        <f>HYPERLINK("https://klasma.github.io/Logging_2463/klagomål/A 43956-2025 FSC-klagomål.docx", "A 43956-2025")</f>
        <v/>
      </c>
      <c r="W421">
        <f>HYPERLINK("https://klasma.github.io/Logging_2463/klagomålsmail/A 43956-2025 FSC-klagomål mail.docx", "A 43956-2025")</f>
        <v/>
      </c>
      <c r="X421">
        <f>HYPERLINK("https://klasma.github.io/Logging_2463/tillsyn/A 43956-2025 tillsynsbegäran.docx", "A 43956-2025")</f>
        <v/>
      </c>
      <c r="Y421">
        <f>HYPERLINK("https://klasma.github.io/Logging_2463/tillsynsmail/A 43956-2025 tillsynsbegäran mail.docx", "A 43956-2025")</f>
        <v/>
      </c>
    </row>
    <row r="422" ht="15" customHeight="1">
      <c r="A422" t="inlineStr">
        <is>
          <t>A 40736-2024</t>
        </is>
      </c>
      <c r="B422" s="1" t="n">
        <v>45558</v>
      </c>
      <c r="C422" s="1" t="n">
        <v>46075</v>
      </c>
      <c r="D422" t="inlineStr">
        <is>
          <t>VÄSTERBOTTENS LÄN</t>
        </is>
      </c>
      <c r="E422" t="inlineStr">
        <is>
          <t>VILHELMINA</t>
        </is>
      </c>
      <c r="F422" t="inlineStr">
        <is>
          <t>Allmännings- och besparingsskogar</t>
        </is>
      </c>
      <c r="G422" t="n">
        <v>285</v>
      </c>
      <c r="H422" t="n">
        <v>0</v>
      </c>
      <c r="I422" t="n">
        <v>0</v>
      </c>
      <c r="J422" t="n">
        <v>4</v>
      </c>
      <c r="K422" t="n">
        <v>0</v>
      </c>
      <c r="L422" t="n">
        <v>0</v>
      </c>
      <c r="M422" t="n">
        <v>0</v>
      </c>
      <c r="N422" t="n">
        <v>0</v>
      </c>
      <c r="O422" t="n">
        <v>4</v>
      </c>
      <c r="P422" t="n">
        <v>0</v>
      </c>
      <c r="Q422" t="n">
        <v>4</v>
      </c>
      <c r="R422" s="2" t="inlineStr">
        <is>
          <t>Gammelgransskål
Granticka
Knottrig blåslav
Rödbrun blekspik</t>
        </is>
      </c>
      <c r="S422">
        <f>HYPERLINK("https://klasma.github.io/Logging_2462/artfynd/A 40736-2024 artfynd.xlsx", "A 40736-2024")</f>
        <v/>
      </c>
      <c r="T422">
        <f>HYPERLINK("https://klasma.github.io/Logging_2462/kartor/A 40736-2024 karta.png", "A 40736-2024")</f>
        <v/>
      </c>
      <c r="V422">
        <f>HYPERLINK("https://klasma.github.io/Logging_2462/klagomål/A 40736-2024 FSC-klagomål.docx", "A 40736-2024")</f>
        <v/>
      </c>
      <c r="W422">
        <f>HYPERLINK("https://klasma.github.io/Logging_2462/klagomålsmail/A 40736-2024 FSC-klagomål mail.docx", "A 40736-2024")</f>
        <v/>
      </c>
      <c r="X422">
        <f>HYPERLINK("https://klasma.github.io/Logging_2462/tillsyn/A 40736-2024 tillsynsbegäran.docx", "A 40736-2024")</f>
        <v/>
      </c>
      <c r="Y422">
        <f>HYPERLINK("https://klasma.github.io/Logging_2462/tillsynsmail/A 40736-2024 tillsynsbegäran mail.docx", "A 40736-2024")</f>
        <v/>
      </c>
    </row>
    <row r="423" ht="15" customHeight="1">
      <c r="A423" t="inlineStr">
        <is>
          <t>A 43680-2025</t>
        </is>
      </c>
      <c r="B423" s="1" t="n">
        <v>45912.36884259259</v>
      </c>
      <c r="C423" s="1" t="n">
        <v>46075</v>
      </c>
      <c r="D423" t="inlineStr">
        <is>
          <t>VÄSTERBOTTENS LÄN</t>
        </is>
      </c>
      <c r="E423" t="inlineStr">
        <is>
          <t>LYCKSELE</t>
        </is>
      </c>
      <c r="F423" t="inlineStr">
        <is>
          <t>Sveaskog</t>
        </is>
      </c>
      <c r="G423" t="n">
        <v>5.3</v>
      </c>
      <c r="H423" t="n">
        <v>1</v>
      </c>
      <c r="I423" t="n">
        <v>2</v>
      </c>
      <c r="J423" t="n">
        <v>2</v>
      </c>
      <c r="K423" t="n">
        <v>0</v>
      </c>
      <c r="L423" t="n">
        <v>0</v>
      </c>
      <c r="M423" t="n">
        <v>0</v>
      </c>
      <c r="N423" t="n">
        <v>0</v>
      </c>
      <c r="O423" t="n">
        <v>2</v>
      </c>
      <c r="P423" t="n">
        <v>0</v>
      </c>
      <c r="Q423" t="n">
        <v>4</v>
      </c>
      <c r="R423" s="2" t="inlineStr">
        <is>
          <t>Garnlav
Kolflarnlav
Dropptaggsvamp
Plattlummer</t>
        </is>
      </c>
      <c r="S423">
        <f>HYPERLINK("https://klasma.github.io/Logging_2481/artfynd/A 43680-2025 artfynd.xlsx", "A 43680-2025")</f>
        <v/>
      </c>
      <c r="T423">
        <f>HYPERLINK("https://klasma.github.io/Logging_2481/kartor/A 43680-2025 karta.png", "A 43680-2025")</f>
        <v/>
      </c>
      <c r="V423">
        <f>HYPERLINK("https://klasma.github.io/Logging_2481/klagomål/A 43680-2025 FSC-klagomål.docx", "A 43680-2025")</f>
        <v/>
      </c>
      <c r="W423">
        <f>HYPERLINK("https://klasma.github.io/Logging_2481/klagomålsmail/A 43680-2025 FSC-klagomål mail.docx", "A 43680-2025")</f>
        <v/>
      </c>
      <c r="X423">
        <f>HYPERLINK("https://klasma.github.io/Logging_2481/tillsyn/A 43680-2025 tillsynsbegäran.docx", "A 43680-2025")</f>
        <v/>
      </c>
      <c r="Y423">
        <f>HYPERLINK("https://klasma.github.io/Logging_2481/tillsynsmail/A 43680-2025 tillsynsbegäran mail.docx", "A 43680-2025")</f>
        <v/>
      </c>
    </row>
    <row r="424" ht="15" customHeight="1">
      <c r="A424" t="inlineStr">
        <is>
          <t>A 34749-2025</t>
        </is>
      </c>
      <c r="B424" s="1" t="n">
        <v>45848.61557870371</v>
      </c>
      <c r="C424" s="1" t="n">
        <v>46075</v>
      </c>
      <c r="D424" t="inlineStr">
        <is>
          <t>VÄSTERBOTTENS LÄN</t>
        </is>
      </c>
      <c r="E424" t="inlineStr">
        <is>
          <t>DOROTEA</t>
        </is>
      </c>
      <c r="F424" t="inlineStr">
        <is>
          <t>SCA</t>
        </is>
      </c>
      <c r="G424" t="n">
        <v>4.5</v>
      </c>
      <c r="H424" t="n">
        <v>0</v>
      </c>
      <c r="I424" t="n">
        <v>2</v>
      </c>
      <c r="J424" t="n">
        <v>2</v>
      </c>
      <c r="K424" t="n">
        <v>0</v>
      </c>
      <c r="L424" t="n">
        <v>0</v>
      </c>
      <c r="M424" t="n">
        <v>0</v>
      </c>
      <c r="N424" t="n">
        <v>0</v>
      </c>
      <c r="O424" t="n">
        <v>2</v>
      </c>
      <c r="P424" t="n">
        <v>0</v>
      </c>
      <c r="Q424" t="n">
        <v>4</v>
      </c>
      <c r="R424" s="2" t="inlineStr">
        <is>
          <t>Gammelgransskål
Granticka
Gytterlav
Luddlav</t>
        </is>
      </c>
      <c r="S424">
        <f>HYPERLINK("https://klasma.github.io/Logging_2425/artfynd/A 34749-2025 artfynd.xlsx", "A 34749-2025")</f>
        <v/>
      </c>
      <c r="T424">
        <f>HYPERLINK("https://klasma.github.io/Logging_2425/kartor/A 34749-2025 karta.png", "A 34749-2025")</f>
        <v/>
      </c>
      <c r="V424">
        <f>HYPERLINK("https://klasma.github.io/Logging_2425/klagomål/A 34749-2025 FSC-klagomål.docx", "A 34749-2025")</f>
        <v/>
      </c>
      <c r="W424">
        <f>HYPERLINK("https://klasma.github.io/Logging_2425/klagomålsmail/A 34749-2025 FSC-klagomål mail.docx", "A 34749-2025")</f>
        <v/>
      </c>
      <c r="X424">
        <f>HYPERLINK("https://klasma.github.io/Logging_2425/tillsyn/A 34749-2025 tillsynsbegäran.docx", "A 34749-2025")</f>
        <v/>
      </c>
      <c r="Y424">
        <f>HYPERLINK("https://klasma.github.io/Logging_2425/tillsynsmail/A 34749-2025 tillsynsbegäran mail.docx", "A 34749-2025")</f>
        <v/>
      </c>
    </row>
    <row r="425" ht="15" customHeight="1">
      <c r="A425" t="inlineStr">
        <is>
          <t>A 34723-2025</t>
        </is>
      </c>
      <c r="B425" s="1" t="n">
        <v>45848.54172453703</v>
      </c>
      <c r="C425" s="1" t="n">
        <v>46075</v>
      </c>
      <c r="D425" t="inlineStr">
        <is>
          <t>VÄSTERBOTTENS LÄN</t>
        </is>
      </c>
      <c r="E425" t="inlineStr">
        <is>
          <t>ROBERTSFORS</t>
        </is>
      </c>
      <c r="F425" t="inlineStr">
        <is>
          <t>Holmen skog AB</t>
        </is>
      </c>
      <c r="G425" t="n">
        <v>16.3</v>
      </c>
      <c r="H425" t="n">
        <v>2</v>
      </c>
      <c r="I425" t="n">
        <v>2</v>
      </c>
      <c r="J425" t="n">
        <v>1</v>
      </c>
      <c r="K425" t="n">
        <v>0</v>
      </c>
      <c r="L425" t="n">
        <v>0</v>
      </c>
      <c r="M425" t="n">
        <v>0</v>
      </c>
      <c r="N425" t="n">
        <v>0</v>
      </c>
      <c r="O425" t="n">
        <v>1</v>
      </c>
      <c r="P425" t="n">
        <v>0</v>
      </c>
      <c r="Q425" t="n">
        <v>4</v>
      </c>
      <c r="R425" s="2" t="inlineStr">
        <is>
          <t>Ullticka
Spindelblomster
Vedticka
Lavskrika</t>
        </is>
      </c>
      <c r="S425">
        <f>HYPERLINK("https://klasma.github.io/Logging_2409/artfynd/A 34723-2025 artfynd.xlsx", "A 34723-2025")</f>
        <v/>
      </c>
      <c r="T425">
        <f>HYPERLINK("https://klasma.github.io/Logging_2409/kartor/A 34723-2025 karta.png", "A 34723-2025")</f>
        <v/>
      </c>
      <c r="V425">
        <f>HYPERLINK("https://klasma.github.io/Logging_2409/klagomål/A 34723-2025 FSC-klagomål.docx", "A 34723-2025")</f>
        <v/>
      </c>
      <c r="W425">
        <f>HYPERLINK("https://klasma.github.io/Logging_2409/klagomålsmail/A 34723-2025 FSC-klagomål mail.docx", "A 34723-2025")</f>
        <v/>
      </c>
      <c r="X425">
        <f>HYPERLINK("https://klasma.github.io/Logging_2409/tillsyn/A 34723-2025 tillsynsbegäran.docx", "A 34723-2025")</f>
        <v/>
      </c>
      <c r="Y425">
        <f>HYPERLINK("https://klasma.github.io/Logging_2409/tillsynsmail/A 34723-2025 tillsynsbegäran mail.docx", "A 34723-2025")</f>
        <v/>
      </c>
      <c r="Z425">
        <f>HYPERLINK("https://klasma.github.io/Logging_2409/fåglar/A 34723-2025 prioriterade fågelarter.docx", "A 34723-2025")</f>
        <v/>
      </c>
    </row>
    <row r="426" ht="15" customHeight="1">
      <c r="A426" t="inlineStr">
        <is>
          <t>A 35164-2025</t>
        </is>
      </c>
      <c r="B426" s="1" t="n">
        <v>45852</v>
      </c>
      <c r="C426" s="1" t="n">
        <v>46075</v>
      </c>
      <c r="D426" t="inlineStr">
        <is>
          <t>VÄSTERBOTTENS LÄN</t>
        </is>
      </c>
      <c r="E426" t="inlineStr">
        <is>
          <t>SKELLEFTEÅ</t>
        </is>
      </c>
      <c r="G426" t="n">
        <v>2.1</v>
      </c>
      <c r="H426" t="n">
        <v>0</v>
      </c>
      <c r="I426" t="n">
        <v>0</v>
      </c>
      <c r="J426" t="n">
        <v>4</v>
      </c>
      <c r="K426" t="n">
        <v>0</v>
      </c>
      <c r="L426" t="n">
        <v>0</v>
      </c>
      <c r="M426" t="n">
        <v>0</v>
      </c>
      <c r="N426" t="n">
        <v>0</v>
      </c>
      <c r="O426" t="n">
        <v>4</v>
      </c>
      <c r="P426" t="n">
        <v>0</v>
      </c>
      <c r="Q426" t="n">
        <v>4</v>
      </c>
      <c r="R426" s="2" t="inlineStr">
        <is>
          <t>Granticka
Harticka
Kilporing
Rosenticka</t>
        </is>
      </c>
      <c r="S426">
        <f>HYPERLINK("https://klasma.github.io/Logging_2482/artfynd/A 35164-2025 artfynd.xlsx", "A 35164-2025")</f>
        <v/>
      </c>
      <c r="T426">
        <f>HYPERLINK("https://klasma.github.io/Logging_2482/kartor/A 35164-2025 karta.png", "A 35164-2025")</f>
        <v/>
      </c>
      <c r="V426">
        <f>HYPERLINK("https://klasma.github.io/Logging_2482/klagomål/A 35164-2025 FSC-klagomål.docx", "A 35164-2025")</f>
        <v/>
      </c>
      <c r="W426">
        <f>HYPERLINK("https://klasma.github.io/Logging_2482/klagomålsmail/A 35164-2025 FSC-klagomål mail.docx", "A 35164-2025")</f>
        <v/>
      </c>
      <c r="X426">
        <f>HYPERLINK("https://klasma.github.io/Logging_2482/tillsyn/A 35164-2025 tillsynsbegäran.docx", "A 35164-2025")</f>
        <v/>
      </c>
      <c r="Y426">
        <f>HYPERLINK("https://klasma.github.io/Logging_2482/tillsynsmail/A 35164-2025 tillsynsbegäran mail.docx", "A 35164-2025")</f>
        <v/>
      </c>
    </row>
    <row r="427" ht="15" customHeight="1">
      <c r="A427" t="inlineStr">
        <is>
          <t>A 58835-2021</t>
        </is>
      </c>
      <c r="B427" s="1" t="n">
        <v>44489</v>
      </c>
      <c r="C427" s="1" t="n">
        <v>46075</v>
      </c>
      <c r="D427" t="inlineStr">
        <is>
          <t>VÄSTERBOTTENS LÄN</t>
        </is>
      </c>
      <c r="E427" t="inlineStr">
        <is>
          <t>SKELLEFTEÅ</t>
        </is>
      </c>
      <c r="G427" t="n">
        <v>10.2</v>
      </c>
      <c r="H427" t="n">
        <v>0</v>
      </c>
      <c r="I427" t="n">
        <v>0</v>
      </c>
      <c r="J427" t="n">
        <v>4</v>
      </c>
      <c r="K427" t="n">
        <v>0</v>
      </c>
      <c r="L427" t="n">
        <v>0</v>
      </c>
      <c r="M427" t="n">
        <v>0</v>
      </c>
      <c r="N427" t="n">
        <v>0</v>
      </c>
      <c r="O427" t="n">
        <v>4</v>
      </c>
      <c r="P427" t="n">
        <v>0</v>
      </c>
      <c r="Q427" t="n">
        <v>4</v>
      </c>
      <c r="R427" s="2" t="inlineStr">
        <is>
          <t>Doftskinn
Gammelgransskål
Stjärntagging
Ullticka</t>
        </is>
      </c>
      <c r="S427">
        <f>HYPERLINK("https://klasma.github.io/Logging_2482/artfynd/A 58835-2021 artfynd.xlsx", "A 58835-2021")</f>
        <v/>
      </c>
      <c r="T427">
        <f>HYPERLINK("https://klasma.github.io/Logging_2482/kartor/A 58835-2021 karta.png", "A 58835-2021")</f>
        <v/>
      </c>
      <c r="V427">
        <f>HYPERLINK("https://klasma.github.io/Logging_2482/klagomål/A 58835-2021 FSC-klagomål.docx", "A 58835-2021")</f>
        <v/>
      </c>
      <c r="W427">
        <f>HYPERLINK("https://klasma.github.io/Logging_2482/klagomålsmail/A 58835-2021 FSC-klagomål mail.docx", "A 58835-2021")</f>
        <v/>
      </c>
      <c r="X427">
        <f>HYPERLINK("https://klasma.github.io/Logging_2482/tillsyn/A 58835-2021 tillsynsbegäran.docx", "A 58835-2021")</f>
        <v/>
      </c>
      <c r="Y427">
        <f>HYPERLINK("https://klasma.github.io/Logging_2482/tillsynsmail/A 58835-2021 tillsynsbegäran mail.docx", "A 58835-2021")</f>
        <v/>
      </c>
    </row>
    <row r="428" ht="15" customHeight="1">
      <c r="A428" t="inlineStr">
        <is>
          <t>A 55825-2024</t>
        </is>
      </c>
      <c r="B428" s="1" t="n">
        <v>45623.47923611111</v>
      </c>
      <c r="C428" s="1" t="n">
        <v>46075</v>
      </c>
      <c r="D428" t="inlineStr">
        <is>
          <t>VÄSTERBOTTENS LÄN</t>
        </is>
      </c>
      <c r="E428" t="inlineStr">
        <is>
          <t>LYCKSELE</t>
        </is>
      </c>
      <c r="G428" t="n">
        <v>7.1</v>
      </c>
      <c r="H428" t="n">
        <v>3</v>
      </c>
      <c r="I428" t="n">
        <v>0</v>
      </c>
      <c r="J428" t="n">
        <v>3</v>
      </c>
      <c r="K428" t="n">
        <v>0</v>
      </c>
      <c r="L428" t="n">
        <v>0</v>
      </c>
      <c r="M428" t="n">
        <v>0</v>
      </c>
      <c r="N428" t="n">
        <v>0</v>
      </c>
      <c r="O428" t="n">
        <v>3</v>
      </c>
      <c r="P428" t="n">
        <v>0</v>
      </c>
      <c r="Q428" t="n">
        <v>4</v>
      </c>
      <c r="R428" s="2" t="inlineStr">
        <is>
          <t>Kolflarnlav
Spillkråka
Tretåig hackspett
Revlummer</t>
        </is>
      </c>
      <c r="S428">
        <f>HYPERLINK("https://klasma.github.io/Logging_2481/artfynd/A 55825-2024 artfynd.xlsx", "A 55825-2024")</f>
        <v/>
      </c>
      <c r="T428">
        <f>HYPERLINK("https://klasma.github.io/Logging_2481/kartor/A 55825-2024 karta.png", "A 55825-2024")</f>
        <v/>
      </c>
      <c r="V428">
        <f>HYPERLINK("https://klasma.github.io/Logging_2481/klagomål/A 55825-2024 FSC-klagomål.docx", "A 55825-2024")</f>
        <v/>
      </c>
      <c r="W428">
        <f>HYPERLINK("https://klasma.github.io/Logging_2481/klagomålsmail/A 55825-2024 FSC-klagomål mail.docx", "A 55825-2024")</f>
        <v/>
      </c>
      <c r="X428">
        <f>HYPERLINK("https://klasma.github.io/Logging_2481/tillsyn/A 55825-2024 tillsynsbegäran.docx", "A 55825-2024")</f>
        <v/>
      </c>
      <c r="Y428">
        <f>HYPERLINK("https://klasma.github.io/Logging_2481/tillsynsmail/A 55825-2024 tillsynsbegäran mail.docx", "A 55825-2024")</f>
        <v/>
      </c>
      <c r="Z428">
        <f>HYPERLINK("https://klasma.github.io/Logging_2481/fåglar/A 55825-2024 prioriterade fågelarter.docx", "A 55825-2024")</f>
        <v/>
      </c>
    </row>
    <row r="429" ht="15" customHeight="1">
      <c r="A429" t="inlineStr">
        <is>
          <t>A 45352-2025</t>
        </is>
      </c>
      <c r="B429" s="1" t="n">
        <v>45922.36203703703</v>
      </c>
      <c r="C429" s="1" t="n">
        <v>46075</v>
      </c>
      <c r="D429" t="inlineStr">
        <is>
          <t>VÄSTERBOTTENS LÄN</t>
        </is>
      </c>
      <c r="E429" t="inlineStr">
        <is>
          <t>NORSJÖ</t>
        </is>
      </c>
      <c r="F429" t="inlineStr">
        <is>
          <t>Holmen skog AB</t>
        </is>
      </c>
      <c r="G429" t="n">
        <v>3.6</v>
      </c>
      <c r="H429" t="n">
        <v>0</v>
      </c>
      <c r="I429" t="n">
        <v>1</v>
      </c>
      <c r="J429" t="n">
        <v>3</v>
      </c>
      <c r="K429" t="n">
        <v>0</v>
      </c>
      <c r="L429" t="n">
        <v>0</v>
      </c>
      <c r="M429" t="n">
        <v>0</v>
      </c>
      <c r="N429" t="n">
        <v>0</v>
      </c>
      <c r="O429" t="n">
        <v>3</v>
      </c>
      <c r="P429" t="n">
        <v>0</v>
      </c>
      <c r="Q429" t="n">
        <v>4</v>
      </c>
      <c r="R429" s="2" t="inlineStr">
        <is>
          <t>Gammelgransskål
Garnlav
Vitgrynig nållav
Luddlav</t>
        </is>
      </c>
      <c r="S429">
        <f>HYPERLINK("https://klasma.github.io/Logging_2417/artfynd/A 45352-2025 artfynd.xlsx", "A 45352-2025")</f>
        <v/>
      </c>
      <c r="T429">
        <f>HYPERLINK("https://klasma.github.io/Logging_2417/kartor/A 45352-2025 karta.png", "A 45352-2025")</f>
        <v/>
      </c>
      <c r="V429">
        <f>HYPERLINK("https://klasma.github.io/Logging_2417/klagomål/A 45352-2025 FSC-klagomål.docx", "A 45352-2025")</f>
        <v/>
      </c>
      <c r="W429">
        <f>HYPERLINK("https://klasma.github.io/Logging_2417/klagomålsmail/A 45352-2025 FSC-klagomål mail.docx", "A 45352-2025")</f>
        <v/>
      </c>
      <c r="X429">
        <f>HYPERLINK("https://klasma.github.io/Logging_2417/tillsyn/A 45352-2025 tillsynsbegäran.docx", "A 45352-2025")</f>
        <v/>
      </c>
      <c r="Y429">
        <f>HYPERLINK("https://klasma.github.io/Logging_2417/tillsynsmail/A 45352-2025 tillsynsbegäran mail.docx", "A 45352-2025")</f>
        <v/>
      </c>
    </row>
    <row r="430" ht="15" customHeight="1">
      <c r="A430" t="inlineStr">
        <is>
          <t>A 33586-2024</t>
        </is>
      </c>
      <c r="B430" s="1" t="n">
        <v>45520.34674768519</v>
      </c>
      <c r="C430" s="1" t="n">
        <v>46075</v>
      </c>
      <c r="D430" t="inlineStr">
        <is>
          <t>VÄSTERBOTTENS LÄN</t>
        </is>
      </c>
      <c r="E430" t="inlineStr">
        <is>
          <t>LYCKSELE</t>
        </is>
      </c>
      <c r="F430" t="inlineStr">
        <is>
          <t>Sveaskog</t>
        </is>
      </c>
      <c r="G430" t="n">
        <v>3.1</v>
      </c>
      <c r="H430" t="n">
        <v>0</v>
      </c>
      <c r="I430" t="n">
        <v>1</v>
      </c>
      <c r="J430" t="n">
        <v>3</v>
      </c>
      <c r="K430" t="n">
        <v>0</v>
      </c>
      <c r="L430" t="n">
        <v>0</v>
      </c>
      <c r="M430" t="n">
        <v>0</v>
      </c>
      <c r="N430" t="n">
        <v>0</v>
      </c>
      <c r="O430" t="n">
        <v>3</v>
      </c>
      <c r="P430" t="n">
        <v>0</v>
      </c>
      <c r="Q430" t="n">
        <v>4</v>
      </c>
      <c r="R430" s="2" t="inlineStr">
        <is>
          <t>Granticka
Mörk kolflarnlav
Ullticka
Luddlav</t>
        </is>
      </c>
      <c r="S430">
        <f>HYPERLINK("https://klasma.github.io/Logging_2481/artfynd/A 33586-2024 artfynd.xlsx", "A 33586-2024")</f>
        <v/>
      </c>
      <c r="T430">
        <f>HYPERLINK("https://klasma.github.io/Logging_2481/kartor/A 33586-2024 karta.png", "A 33586-2024")</f>
        <v/>
      </c>
      <c r="V430">
        <f>HYPERLINK("https://klasma.github.io/Logging_2481/klagomål/A 33586-2024 FSC-klagomål.docx", "A 33586-2024")</f>
        <v/>
      </c>
      <c r="W430">
        <f>HYPERLINK("https://klasma.github.io/Logging_2481/klagomålsmail/A 33586-2024 FSC-klagomål mail.docx", "A 33586-2024")</f>
        <v/>
      </c>
      <c r="X430">
        <f>HYPERLINK("https://klasma.github.io/Logging_2481/tillsyn/A 33586-2024 tillsynsbegäran.docx", "A 33586-2024")</f>
        <v/>
      </c>
      <c r="Y430">
        <f>HYPERLINK("https://klasma.github.io/Logging_2481/tillsynsmail/A 33586-2024 tillsynsbegäran mail.docx", "A 33586-2024")</f>
        <v/>
      </c>
    </row>
    <row r="431" ht="15" customHeight="1">
      <c r="A431" t="inlineStr">
        <is>
          <t>A 36587-2025</t>
        </is>
      </c>
      <c r="B431" s="1" t="n">
        <v>45870.455625</v>
      </c>
      <c r="C431" s="1" t="n">
        <v>46075</v>
      </c>
      <c r="D431" t="inlineStr">
        <is>
          <t>VÄSTERBOTTENS LÄN</t>
        </is>
      </c>
      <c r="E431" t="inlineStr">
        <is>
          <t>STORUMAN</t>
        </is>
      </c>
      <c r="G431" t="n">
        <v>13.7</v>
      </c>
      <c r="H431" t="n">
        <v>1</v>
      </c>
      <c r="I431" t="n">
        <v>1</v>
      </c>
      <c r="J431" t="n">
        <v>2</v>
      </c>
      <c r="K431" t="n">
        <v>1</v>
      </c>
      <c r="L431" t="n">
        <v>0</v>
      </c>
      <c r="M431" t="n">
        <v>0</v>
      </c>
      <c r="N431" t="n">
        <v>0</v>
      </c>
      <c r="O431" t="n">
        <v>3</v>
      </c>
      <c r="P431" t="n">
        <v>1</v>
      </c>
      <c r="Q431" t="n">
        <v>4</v>
      </c>
      <c r="R431" s="2" t="inlineStr">
        <is>
          <t>Smalfotad taggsvamp
Skrovlig taggsvamp
Tretåig hackspett
Dropptaggsvamp</t>
        </is>
      </c>
      <c r="S431">
        <f>HYPERLINK("https://klasma.github.io/Logging_2421/artfynd/A 36587-2025 artfynd.xlsx", "A 36587-2025")</f>
        <v/>
      </c>
      <c r="T431">
        <f>HYPERLINK("https://klasma.github.io/Logging_2421/kartor/A 36587-2025 karta.png", "A 36587-2025")</f>
        <v/>
      </c>
      <c r="V431">
        <f>HYPERLINK("https://klasma.github.io/Logging_2421/klagomål/A 36587-2025 FSC-klagomål.docx", "A 36587-2025")</f>
        <v/>
      </c>
      <c r="W431">
        <f>HYPERLINK("https://klasma.github.io/Logging_2421/klagomålsmail/A 36587-2025 FSC-klagomål mail.docx", "A 36587-2025")</f>
        <v/>
      </c>
      <c r="X431">
        <f>HYPERLINK("https://klasma.github.io/Logging_2421/tillsyn/A 36587-2025 tillsynsbegäran.docx", "A 36587-2025")</f>
        <v/>
      </c>
      <c r="Y431">
        <f>HYPERLINK("https://klasma.github.io/Logging_2421/tillsynsmail/A 36587-2025 tillsynsbegäran mail.docx", "A 36587-2025")</f>
        <v/>
      </c>
      <c r="Z431">
        <f>HYPERLINK("https://klasma.github.io/Logging_2421/fåglar/A 36587-2025 prioriterade fågelarter.docx", "A 36587-2025")</f>
        <v/>
      </c>
    </row>
    <row r="432" ht="15" customHeight="1">
      <c r="A432" t="inlineStr">
        <is>
          <t>A 535-2025</t>
        </is>
      </c>
      <c r="B432" s="1" t="n">
        <v>45664.51217592593</v>
      </c>
      <c r="C432" s="1" t="n">
        <v>46075</v>
      </c>
      <c r="D432" t="inlineStr">
        <is>
          <t>VÄSTERBOTTENS LÄN</t>
        </is>
      </c>
      <c r="E432" t="inlineStr">
        <is>
          <t>UMEÅ</t>
        </is>
      </c>
      <c r="G432" t="n">
        <v>2.7</v>
      </c>
      <c r="H432" t="n">
        <v>4</v>
      </c>
      <c r="I432" t="n">
        <v>0</v>
      </c>
      <c r="J432" t="n">
        <v>2</v>
      </c>
      <c r="K432" t="n">
        <v>0</v>
      </c>
      <c r="L432" t="n">
        <v>0</v>
      </c>
      <c r="M432" t="n">
        <v>0</v>
      </c>
      <c r="N432" t="n">
        <v>0</v>
      </c>
      <c r="O432" t="n">
        <v>2</v>
      </c>
      <c r="P432" t="n">
        <v>0</v>
      </c>
      <c r="Q432" t="n">
        <v>4</v>
      </c>
      <c r="R432" s="2" t="inlineStr">
        <is>
          <t>Järpe
Talltita
Järnsparv
Kungsfågel</t>
        </is>
      </c>
      <c r="S432">
        <f>HYPERLINK("https://klasma.github.io/Logging_2480/artfynd/A 535-2025 artfynd.xlsx", "A 535-2025")</f>
        <v/>
      </c>
      <c r="T432">
        <f>HYPERLINK("https://klasma.github.io/Logging_2480/kartor/A 535-2025 karta.png", "A 535-2025")</f>
        <v/>
      </c>
      <c r="V432">
        <f>HYPERLINK("https://klasma.github.io/Logging_2480/klagomål/A 535-2025 FSC-klagomål.docx", "A 535-2025")</f>
        <v/>
      </c>
      <c r="W432">
        <f>HYPERLINK("https://klasma.github.io/Logging_2480/klagomålsmail/A 535-2025 FSC-klagomål mail.docx", "A 535-2025")</f>
        <v/>
      </c>
      <c r="X432">
        <f>HYPERLINK("https://klasma.github.io/Logging_2480/tillsyn/A 535-2025 tillsynsbegäran.docx", "A 535-2025")</f>
        <v/>
      </c>
      <c r="Y432">
        <f>HYPERLINK("https://klasma.github.io/Logging_2480/tillsynsmail/A 535-2025 tillsynsbegäran mail.docx", "A 535-2025")</f>
        <v/>
      </c>
      <c r="Z432">
        <f>HYPERLINK("https://klasma.github.io/Logging_2480/fåglar/A 535-2025 prioriterade fågelarter.docx", "A 535-2025")</f>
        <v/>
      </c>
    </row>
    <row r="433" ht="15" customHeight="1">
      <c r="A433" t="inlineStr">
        <is>
          <t>A 61036-2022</t>
        </is>
      </c>
      <c r="B433" s="1" t="n">
        <v>44914.92446759259</v>
      </c>
      <c r="C433" s="1" t="n">
        <v>46075</v>
      </c>
      <c r="D433" t="inlineStr">
        <is>
          <t>VÄSTERBOTTENS LÄN</t>
        </is>
      </c>
      <c r="E433" t="inlineStr">
        <is>
          <t>UMEÅ</t>
        </is>
      </c>
      <c r="G433" t="n">
        <v>6</v>
      </c>
      <c r="H433" t="n">
        <v>1</v>
      </c>
      <c r="I433" t="n">
        <v>1</v>
      </c>
      <c r="J433" t="n">
        <v>3</v>
      </c>
      <c r="K433" t="n">
        <v>0</v>
      </c>
      <c r="L433" t="n">
        <v>0</v>
      </c>
      <c r="M433" t="n">
        <v>0</v>
      </c>
      <c r="N433" t="n">
        <v>0</v>
      </c>
      <c r="O433" t="n">
        <v>3</v>
      </c>
      <c r="P433" t="n">
        <v>0</v>
      </c>
      <c r="Q433" t="n">
        <v>4</v>
      </c>
      <c r="R433" s="2" t="inlineStr">
        <is>
          <t>Garnlav
Granticka
Järpe
Vedticka</t>
        </is>
      </c>
      <c r="S433">
        <f>HYPERLINK("https://klasma.github.io/Logging_2480/artfynd/A 61036-2022 artfynd.xlsx", "A 61036-2022")</f>
        <v/>
      </c>
      <c r="T433">
        <f>HYPERLINK("https://klasma.github.io/Logging_2480/kartor/A 61036-2022 karta.png", "A 61036-2022")</f>
        <v/>
      </c>
      <c r="V433">
        <f>HYPERLINK("https://klasma.github.io/Logging_2480/klagomål/A 61036-2022 FSC-klagomål.docx", "A 61036-2022")</f>
        <v/>
      </c>
      <c r="W433">
        <f>HYPERLINK("https://klasma.github.io/Logging_2480/klagomålsmail/A 61036-2022 FSC-klagomål mail.docx", "A 61036-2022")</f>
        <v/>
      </c>
      <c r="X433">
        <f>HYPERLINK("https://klasma.github.io/Logging_2480/tillsyn/A 61036-2022 tillsynsbegäran.docx", "A 61036-2022")</f>
        <v/>
      </c>
      <c r="Y433">
        <f>HYPERLINK("https://klasma.github.io/Logging_2480/tillsynsmail/A 61036-2022 tillsynsbegäran mail.docx", "A 61036-2022")</f>
        <v/>
      </c>
      <c r="Z433">
        <f>HYPERLINK("https://klasma.github.io/Logging_2480/fåglar/A 61036-2022 prioriterade fågelarter.docx", "A 61036-2022")</f>
        <v/>
      </c>
    </row>
    <row r="434" ht="15" customHeight="1">
      <c r="A434" t="inlineStr">
        <is>
          <t>A 49808-2025</t>
        </is>
      </c>
      <c r="B434" s="1" t="n">
        <v>45940.42079861111</v>
      </c>
      <c r="C434" s="1" t="n">
        <v>46075</v>
      </c>
      <c r="D434" t="inlineStr">
        <is>
          <t>VÄSTERBOTTENS LÄN</t>
        </is>
      </c>
      <c r="E434" t="inlineStr">
        <is>
          <t>LYCKSELE</t>
        </is>
      </c>
      <c r="F434" t="inlineStr">
        <is>
          <t>Sveaskog</t>
        </is>
      </c>
      <c r="G434" t="n">
        <v>11.8</v>
      </c>
      <c r="H434" t="n">
        <v>0</v>
      </c>
      <c r="I434" t="n">
        <v>0</v>
      </c>
      <c r="J434" t="n">
        <v>4</v>
      </c>
      <c r="K434" t="n">
        <v>0</v>
      </c>
      <c r="L434" t="n">
        <v>0</v>
      </c>
      <c r="M434" t="n">
        <v>0</v>
      </c>
      <c r="N434" t="n">
        <v>0</v>
      </c>
      <c r="O434" t="n">
        <v>4</v>
      </c>
      <c r="P434" t="n">
        <v>0</v>
      </c>
      <c r="Q434" t="n">
        <v>4</v>
      </c>
      <c r="R434" s="2" t="inlineStr">
        <is>
          <t>Blå taggsvamp
Kolflarnlav
Mörk kolflarnlav
Orange taggsvamp</t>
        </is>
      </c>
      <c r="S434">
        <f>HYPERLINK("https://klasma.github.io/Logging_2481/artfynd/A 49808-2025 artfynd.xlsx", "A 49808-2025")</f>
        <v/>
      </c>
      <c r="T434">
        <f>HYPERLINK("https://klasma.github.io/Logging_2481/kartor/A 49808-2025 karta.png", "A 49808-2025")</f>
        <v/>
      </c>
      <c r="V434">
        <f>HYPERLINK("https://klasma.github.io/Logging_2481/klagomål/A 49808-2025 FSC-klagomål.docx", "A 49808-2025")</f>
        <v/>
      </c>
      <c r="W434">
        <f>HYPERLINK("https://klasma.github.io/Logging_2481/klagomålsmail/A 49808-2025 FSC-klagomål mail.docx", "A 49808-2025")</f>
        <v/>
      </c>
      <c r="X434">
        <f>HYPERLINK("https://klasma.github.io/Logging_2481/tillsyn/A 49808-2025 tillsynsbegäran.docx", "A 49808-2025")</f>
        <v/>
      </c>
      <c r="Y434">
        <f>HYPERLINK("https://klasma.github.io/Logging_2481/tillsynsmail/A 49808-2025 tillsynsbegäran mail.docx", "A 49808-2025")</f>
        <v/>
      </c>
    </row>
    <row r="435" ht="15" customHeight="1">
      <c r="A435" t="inlineStr">
        <is>
          <t>A 49802-2025</t>
        </is>
      </c>
      <c r="B435" s="1" t="n">
        <v>45940.41297453704</v>
      </c>
      <c r="C435" s="1" t="n">
        <v>46075</v>
      </c>
      <c r="D435" t="inlineStr">
        <is>
          <t>VÄSTERBOTTENS LÄN</t>
        </is>
      </c>
      <c r="E435" t="inlineStr">
        <is>
          <t>LYCKSELE</t>
        </is>
      </c>
      <c r="F435" t="inlineStr">
        <is>
          <t>Sveaskog</t>
        </is>
      </c>
      <c r="G435" t="n">
        <v>20.9</v>
      </c>
      <c r="H435" t="n">
        <v>1</v>
      </c>
      <c r="I435" t="n">
        <v>1</v>
      </c>
      <c r="J435" t="n">
        <v>3</v>
      </c>
      <c r="K435" t="n">
        <v>0</v>
      </c>
      <c r="L435" t="n">
        <v>0</v>
      </c>
      <c r="M435" t="n">
        <v>0</v>
      </c>
      <c r="N435" t="n">
        <v>0</v>
      </c>
      <c r="O435" t="n">
        <v>3</v>
      </c>
      <c r="P435" t="n">
        <v>0</v>
      </c>
      <c r="Q435" t="n">
        <v>4</v>
      </c>
      <c r="R435" s="2" t="inlineStr">
        <is>
          <t>Kolflarnlav
Mörk kolflarnlav
Orange taggsvamp
Plattlummer</t>
        </is>
      </c>
      <c r="S435">
        <f>HYPERLINK("https://klasma.github.io/Logging_2481/artfynd/A 49802-2025 artfynd.xlsx", "A 49802-2025")</f>
        <v/>
      </c>
      <c r="T435">
        <f>HYPERLINK("https://klasma.github.io/Logging_2481/kartor/A 49802-2025 karta.png", "A 49802-2025")</f>
        <v/>
      </c>
      <c r="V435">
        <f>HYPERLINK("https://klasma.github.io/Logging_2481/klagomål/A 49802-2025 FSC-klagomål.docx", "A 49802-2025")</f>
        <v/>
      </c>
      <c r="W435">
        <f>HYPERLINK("https://klasma.github.io/Logging_2481/klagomålsmail/A 49802-2025 FSC-klagomål mail.docx", "A 49802-2025")</f>
        <v/>
      </c>
      <c r="X435">
        <f>HYPERLINK("https://klasma.github.io/Logging_2481/tillsyn/A 49802-2025 tillsynsbegäran.docx", "A 49802-2025")</f>
        <v/>
      </c>
      <c r="Y435">
        <f>HYPERLINK("https://klasma.github.io/Logging_2481/tillsynsmail/A 49802-2025 tillsynsbegäran mail.docx", "A 49802-2025")</f>
        <v/>
      </c>
    </row>
    <row r="436" ht="15" customHeight="1">
      <c r="A436" t="inlineStr">
        <is>
          <t>A 49793-2025</t>
        </is>
      </c>
      <c r="B436" s="1" t="n">
        <v>45940.40770833333</v>
      </c>
      <c r="C436" s="1" t="n">
        <v>46075</v>
      </c>
      <c r="D436" t="inlineStr">
        <is>
          <t>VÄSTERBOTTENS LÄN</t>
        </is>
      </c>
      <c r="E436" t="inlineStr">
        <is>
          <t>LYCKSELE</t>
        </is>
      </c>
      <c r="F436" t="inlineStr">
        <is>
          <t>Sveaskog</t>
        </is>
      </c>
      <c r="G436" t="n">
        <v>19.8</v>
      </c>
      <c r="H436" t="n">
        <v>0</v>
      </c>
      <c r="I436" t="n">
        <v>0</v>
      </c>
      <c r="J436" t="n">
        <v>4</v>
      </c>
      <c r="K436" t="n">
        <v>0</v>
      </c>
      <c r="L436" t="n">
        <v>0</v>
      </c>
      <c r="M436" t="n">
        <v>0</v>
      </c>
      <c r="N436" t="n">
        <v>0</v>
      </c>
      <c r="O436" t="n">
        <v>4</v>
      </c>
      <c r="P436" t="n">
        <v>0</v>
      </c>
      <c r="Q436" t="n">
        <v>4</v>
      </c>
      <c r="R436" s="2" t="inlineStr">
        <is>
          <t>Blå taggsvamp
Kolflarnlav
Mörk kolflarnlav
Orange taggsvamp</t>
        </is>
      </c>
      <c r="S436">
        <f>HYPERLINK("https://klasma.github.io/Logging_2481/artfynd/A 49793-2025 artfynd.xlsx", "A 49793-2025")</f>
        <v/>
      </c>
      <c r="T436">
        <f>HYPERLINK("https://klasma.github.io/Logging_2481/kartor/A 49793-2025 karta.png", "A 49793-2025")</f>
        <v/>
      </c>
      <c r="V436">
        <f>HYPERLINK("https://klasma.github.io/Logging_2481/klagomål/A 49793-2025 FSC-klagomål.docx", "A 49793-2025")</f>
        <v/>
      </c>
      <c r="W436">
        <f>HYPERLINK("https://klasma.github.io/Logging_2481/klagomålsmail/A 49793-2025 FSC-klagomål mail.docx", "A 49793-2025")</f>
        <v/>
      </c>
      <c r="X436">
        <f>HYPERLINK("https://klasma.github.io/Logging_2481/tillsyn/A 49793-2025 tillsynsbegäran.docx", "A 49793-2025")</f>
        <v/>
      </c>
      <c r="Y436">
        <f>HYPERLINK("https://klasma.github.io/Logging_2481/tillsynsmail/A 49793-2025 tillsynsbegäran mail.docx", "A 49793-2025")</f>
        <v/>
      </c>
    </row>
    <row r="437" ht="15" customHeight="1">
      <c r="A437" t="inlineStr">
        <is>
          <t>A 38654-2025</t>
        </is>
      </c>
      <c r="B437" s="1" t="n">
        <v>45884.59638888889</v>
      </c>
      <c r="C437" s="1" t="n">
        <v>46075</v>
      </c>
      <c r="D437" t="inlineStr">
        <is>
          <t>VÄSTERBOTTENS LÄN</t>
        </is>
      </c>
      <c r="E437" t="inlineStr">
        <is>
          <t>SKELLEFTEÅ</t>
        </is>
      </c>
      <c r="F437" t="inlineStr">
        <is>
          <t>Holmen skog AB</t>
        </is>
      </c>
      <c r="G437" t="n">
        <v>5.6</v>
      </c>
      <c r="H437" t="n">
        <v>3</v>
      </c>
      <c r="I437" t="n">
        <v>0</v>
      </c>
      <c r="J437" t="n">
        <v>1</v>
      </c>
      <c r="K437" t="n">
        <v>0</v>
      </c>
      <c r="L437" t="n">
        <v>0</v>
      </c>
      <c r="M437" t="n">
        <v>0</v>
      </c>
      <c r="N437" t="n">
        <v>0</v>
      </c>
      <c r="O437" t="n">
        <v>1</v>
      </c>
      <c r="P437" t="n">
        <v>0</v>
      </c>
      <c r="Q437" t="n">
        <v>4</v>
      </c>
      <c r="R437" s="2" t="inlineStr">
        <is>
          <t>Gammelgransskål
Kopparödla
Brudsporre
Nattviol</t>
        </is>
      </c>
      <c r="S437">
        <f>HYPERLINK("https://klasma.github.io/Logging_2482/artfynd/A 38654-2025 artfynd.xlsx", "A 38654-2025")</f>
        <v/>
      </c>
      <c r="T437">
        <f>HYPERLINK("https://klasma.github.io/Logging_2482/kartor/A 38654-2025 karta.png", "A 38654-2025")</f>
        <v/>
      </c>
      <c r="V437">
        <f>HYPERLINK("https://klasma.github.io/Logging_2482/klagomål/A 38654-2025 FSC-klagomål.docx", "A 38654-2025")</f>
        <v/>
      </c>
      <c r="W437">
        <f>HYPERLINK("https://klasma.github.io/Logging_2482/klagomålsmail/A 38654-2025 FSC-klagomål mail.docx", "A 38654-2025")</f>
        <v/>
      </c>
      <c r="X437">
        <f>HYPERLINK("https://klasma.github.io/Logging_2482/tillsyn/A 38654-2025 tillsynsbegäran.docx", "A 38654-2025")</f>
        <v/>
      </c>
      <c r="Y437">
        <f>HYPERLINK("https://klasma.github.io/Logging_2482/tillsynsmail/A 38654-2025 tillsynsbegäran mail.docx", "A 38654-2025")</f>
        <v/>
      </c>
    </row>
    <row r="438" ht="15" customHeight="1">
      <c r="A438" t="inlineStr">
        <is>
          <t>A 51431-2025</t>
        </is>
      </c>
      <c r="B438" s="1" t="n">
        <v>45950.54863425926</v>
      </c>
      <c r="C438" s="1" t="n">
        <v>46075</v>
      </c>
      <c r="D438" t="inlineStr">
        <is>
          <t>VÄSTERBOTTENS LÄN</t>
        </is>
      </c>
      <c r="E438" t="inlineStr">
        <is>
          <t>SKELLEFTEÅ</t>
        </is>
      </c>
      <c r="F438" t="inlineStr">
        <is>
          <t>Holmen skog AB</t>
        </is>
      </c>
      <c r="G438" t="n">
        <v>3.2</v>
      </c>
      <c r="H438" t="n">
        <v>0</v>
      </c>
      <c r="I438" t="n">
        <v>1</v>
      </c>
      <c r="J438" t="n">
        <v>3</v>
      </c>
      <c r="K438" t="n">
        <v>0</v>
      </c>
      <c r="L438" t="n">
        <v>0</v>
      </c>
      <c r="M438" t="n">
        <v>0</v>
      </c>
      <c r="N438" t="n">
        <v>0</v>
      </c>
      <c r="O438" t="n">
        <v>3</v>
      </c>
      <c r="P438" t="n">
        <v>0</v>
      </c>
      <c r="Q438" t="n">
        <v>4</v>
      </c>
      <c r="R438" s="2" t="inlineStr">
        <is>
          <t>Blanksvart spiklav
Kolflarnlav
Svart taggsvamp
Dropptaggsvamp</t>
        </is>
      </c>
      <c r="S438">
        <f>HYPERLINK("https://klasma.github.io/Logging_2482/artfynd/A 51431-2025 artfynd.xlsx", "A 51431-2025")</f>
        <v/>
      </c>
      <c r="T438">
        <f>HYPERLINK("https://klasma.github.io/Logging_2482/kartor/A 51431-2025 karta.png", "A 51431-2025")</f>
        <v/>
      </c>
      <c r="V438">
        <f>HYPERLINK("https://klasma.github.io/Logging_2482/klagomål/A 51431-2025 FSC-klagomål.docx", "A 51431-2025")</f>
        <v/>
      </c>
      <c r="W438">
        <f>HYPERLINK("https://klasma.github.io/Logging_2482/klagomålsmail/A 51431-2025 FSC-klagomål mail.docx", "A 51431-2025")</f>
        <v/>
      </c>
      <c r="X438">
        <f>HYPERLINK("https://klasma.github.io/Logging_2482/tillsyn/A 51431-2025 tillsynsbegäran.docx", "A 51431-2025")</f>
        <v/>
      </c>
      <c r="Y438">
        <f>HYPERLINK("https://klasma.github.io/Logging_2482/tillsynsmail/A 51431-2025 tillsynsbegäran mail.docx", "A 51431-2025")</f>
        <v/>
      </c>
    </row>
    <row r="439" ht="15" customHeight="1">
      <c r="A439" t="inlineStr">
        <is>
          <t>A 31451-2024</t>
        </is>
      </c>
      <c r="B439" s="1" t="n">
        <v>45505</v>
      </c>
      <c r="C439" s="1" t="n">
        <v>46075</v>
      </c>
      <c r="D439" t="inlineStr">
        <is>
          <t>VÄSTERBOTTENS LÄN</t>
        </is>
      </c>
      <c r="E439" t="inlineStr">
        <is>
          <t>STORUMAN</t>
        </is>
      </c>
      <c r="G439" t="n">
        <v>16</v>
      </c>
      <c r="H439" t="n">
        <v>1</v>
      </c>
      <c r="I439" t="n">
        <v>1</v>
      </c>
      <c r="J439" t="n">
        <v>3</v>
      </c>
      <c r="K439" t="n">
        <v>0</v>
      </c>
      <c r="L439" t="n">
        <v>0</v>
      </c>
      <c r="M439" t="n">
        <v>0</v>
      </c>
      <c r="N439" t="n">
        <v>0</v>
      </c>
      <c r="O439" t="n">
        <v>3</v>
      </c>
      <c r="P439" t="n">
        <v>0</v>
      </c>
      <c r="Q439" t="n">
        <v>4</v>
      </c>
      <c r="R439" s="2" t="inlineStr">
        <is>
          <t>Granticka
Tretåig hackspett
Ullticka
Blodticka</t>
        </is>
      </c>
      <c r="S439">
        <f>HYPERLINK("https://klasma.github.io/Logging_2421/artfynd/A 31451-2024 artfynd.xlsx", "A 31451-2024")</f>
        <v/>
      </c>
      <c r="T439">
        <f>HYPERLINK("https://klasma.github.io/Logging_2421/kartor/A 31451-2024 karta.png", "A 31451-2024")</f>
        <v/>
      </c>
      <c r="V439">
        <f>HYPERLINK("https://klasma.github.io/Logging_2421/klagomål/A 31451-2024 FSC-klagomål.docx", "A 31451-2024")</f>
        <v/>
      </c>
      <c r="W439">
        <f>HYPERLINK("https://klasma.github.io/Logging_2421/klagomålsmail/A 31451-2024 FSC-klagomål mail.docx", "A 31451-2024")</f>
        <v/>
      </c>
      <c r="X439">
        <f>HYPERLINK("https://klasma.github.io/Logging_2421/tillsyn/A 31451-2024 tillsynsbegäran.docx", "A 31451-2024")</f>
        <v/>
      </c>
      <c r="Y439">
        <f>HYPERLINK("https://klasma.github.io/Logging_2421/tillsynsmail/A 31451-2024 tillsynsbegäran mail.docx", "A 31451-2024")</f>
        <v/>
      </c>
      <c r="Z439">
        <f>HYPERLINK("https://klasma.github.io/Logging_2421/fåglar/A 31451-2024 prioriterade fågelarter.docx", "A 31451-2024")</f>
        <v/>
      </c>
    </row>
    <row r="440" ht="15" customHeight="1">
      <c r="A440" t="inlineStr">
        <is>
          <t>A 33857-2024</t>
        </is>
      </c>
      <c r="B440" s="1" t="n">
        <v>45520.65300925926</v>
      </c>
      <c r="C440" s="1" t="n">
        <v>46075</v>
      </c>
      <c r="D440" t="inlineStr">
        <is>
          <t>VÄSTERBOTTENS LÄN</t>
        </is>
      </c>
      <c r="E440" t="inlineStr">
        <is>
          <t>STORUMAN</t>
        </is>
      </c>
      <c r="F440" t="inlineStr">
        <is>
          <t>Sveaskog</t>
        </is>
      </c>
      <c r="G440" t="n">
        <v>7.9</v>
      </c>
      <c r="H440" t="n">
        <v>1</v>
      </c>
      <c r="I440" t="n">
        <v>1</v>
      </c>
      <c r="J440" t="n">
        <v>3</v>
      </c>
      <c r="K440" t="n">
        <v>0</v>
      </c>
      <c r="L440" t="n">
        <v>0</v>
      </c>
      <c r="M440" t="n">
        <v>0</v>
      </c>
      <c r="N440" t="n">
        <v>0</v>
      </c>
      <c r="O440" t="n">
        <v>3</v>
      </c>
      <c r="P440" t="n">
        <v>0</v>
      </c>
      <c r="Q440" t="n">
        <v>4</v>
      </c>
      <c r="R440" s="2" t="inlineStr">
        <is>
          <t>Järpe
Kolflarnlav
Mörk kolflarnlav
Skinnlav</t>
        </is>
      </c>
      <c r="S440">
        <f>HYPERLINK("https://klasma.github.io/Logging_2421/artfynd/A 33857-2024 artfynd.xlsx", "A 33857-2024")</f>
        <v/>
      </c>
      <c r="T440">
        <f>HYPERLINK("https://klasma.github.io/Logging_2421/kartor/A 33857-2024 karta.png", "A 33857-2024")</f>
        <v/>
      </c>
      <c r="V440">
        <f>HYPERLINK("https://klasma.github.io/Logging_2421/klagomål/A 33857-2024 FSC-klagomål.docx", "A 33857-2024")</f>
        <v/>
      </c>
      <c r="W440">
        <f>HYPERLINK("https://klasma.github.io/Logging_2421/klagomålsmail/A 33857-2024 FSC-klagomål mail.docx", "A 33857-2024")</f>
        <v/>
      </c>
      <c r="X440">
        <f>HYPERLINK("https://klasma.github.io/Logging_2421/tillsyn/A 33857-2024 tillsynsbegäran.docx", "A 33857-2024")</f>
        <v/>
      </c>
      <c r="Y440">
        <f>HYPERLINK("https://klasma.github.io/Logging_2421/tillsynsmail/A 33857-2024 tillsynsbegäran mail.docx", "A 33857-2024")</f>
        <v/>
      </c>
      <c r="Z440">
        <f>HYPERLINK("https://klasma.github.io/Logging_2421/fåglar/A 33857-2024 prioriterade fågelarter.docx", "A 33857-2024")</f>
        <v/>
      </c>
    </row>
    <row r="441" ht="15" customHeight="1">
      <c r="A441" t="inlineStr">
        <is>
          <t>A 63151-2025</t>
        </is>
      </c>
      <c r="B441" s="1" t="n">
        <v>46009</v>
      </c>
      <c r="C441" s="1" t="n">
        <v>46075</v>
      </c>
      <c r="D441" t="inlineStr">
        <is>
          <t>VÄSTERBOTTENS LÄN</t>
        </is>
      </c>
      <c r="E441" t="inlineStr">
        <is>
          <t>VILHELMINA</t>
        </is>
      </c>
      <c r="G441" t="n">
        <v>41.7</v>
      </c>
      <c r="H441" t="n">
        <v>0</v>
      </c>
      <c r="I441" t="n">
        <v>1</v>
      </c>
      <c r="J441" t="n">
        <v>3</v>
      </c>
      <c r="K441" t="n">
        <v>0</v>
      </c>
      <c r="L441" t="n">
        <v>0</v>
      </c>
      <c r="M441" t="n">
        <v>0</v>
      </c>
      <c r="N441" t="n">
        <v>0</v>
      </c>
      <c r="O441" t="n">
        <v>3</v>
      </c>
      <c r="P441" t="n">
        <v>0</v>
      </c>
      <c r="Q441" t="n">
        <v>4</v>
      </c>
      <c r="R441" s="2" t="inlineStr">
        <is>
          <t>Blå taggsvamp
Garnlav
Vedflamlav
Skinnlav</t>
        </is>
      </c>
      <c r="S441">
        <f>HYPERLINK("https://klasma.github.io/Logging_2462/artfynd/A 63151-2025 artfynd.xlsx", "A 63151-2025")</f>
        <v/>
      </c>
      <c r="T441">
        <f>HYPERLINK("https://klasma.github.io/Logging_2462/kartor/A 63151-2025 karta.png", "A 63151-2025")</f>
        <v/>
      </c>
      <c r="V441">
        <f>HYPERLINK("https://klasma.github.io/Logging_2462/klagomål/A 63151-2025 FSC-klagomål.docx", "A 63151-2025")</f>
        <v/>
      </c>
      <c r="W441">
        <f>HYPERLINK("https://klasma.github.io/Logging_2462/klagomålsmail/A 63151-2025 FSC-klagomål mail.docx", "A 63151-2025")</f>
        <v/>
      </c>
      <c r="X441">
        <f>HYPERLINK("https://klasma.github.io/Logging_2462/tillsyn/A 63151-2025 tillsynsbegäran.docx", "A 63151-2025")</f>
        <v/>
      </c>
      <c r="Y441">
        <f>HYPERLINK("https://klasma.github.io/Logging_2462/tillsynsmail/A 63151-2025 tillsynsbegäran mail.docx", "A 63151-2025")</f>
        <v/>
      </c>
    </row>
    <row r="442" ht="15" customHeight="1">
      <c r="A442" t="inlineStr">
        <is>
          <t>A 56057-2025</t>
        </is>
      </c>
      <c r="B442" s="1" t="n">
        <v>45973.63479166666</v>
      </c>
      <c r="C442" s="1" t="n">
        <v>46075</v>
      </c>
      <c r="D442" t="inlineStr">
        <is>
          <t>VÄSTERBOTTENS LÄN</t>
        </is>
      </c>
      <c r="E442" t="inlineStr">
        <is>
          <t>BJURHOLM</t>
        </is>
      </c>
      <c r="G442" t="n">
        <v>8.6</v>
      </c>
      <c r="H442" t="n">
        <v>0</v>
      </c>
      <c r="I442" t="n">
        <v>0</v>
      </c>
      <c r="J442" t="n">
        <v>4</v>
      </c>
      <c r="K442" t="n">
        <v>0</v>
      </c>
      <c r="L442" t="n">
        <v>0</v>
      </c>
      <c r="M442" t="n">
        <v>0</v>
      </c>
      <c r="N442" t="n">
        <v>0</v>
      </c>
      <c r="O442" t="n">
        <v>4</v>
      </c>
      <c r="P442" t="n">
        <v>0</v>
      </c>
      <c r="Q442" t="n">
        <v>4</v>
      </c>
      <c r="R442" s="2" t="inlineStr">
        <is>
          <t>Gammelgransskål
Garnlav
Granticka
Violettgrå tagellav</t>
        </is>
      </c>
      <c r="S442">
        <f>HYPERLINK("https://klasma.github.io/Logging_2403/artfynd/A 56057-2025 artfynd.xlsx", "A 56057-2025")</f>
        <v/>
      </c>
      <c r="T442">
        <f>HYPERLINK("https://klasma.github.io/Logging_2403/kartor/A 56057-2025 karta.png", "A 56057-2025")</f>
        <v/>
      </c>
      <c r="V442">
        <f>HYPERLINK("https://klasma.github.io/Logging_2403/klagomål/A 56057-2025 FSC-klagomål.docx", "A 56057-2025")</f>
        <v/>
      </c>
      <c r="W442">
        <f>HYPERLINK("https://klasma.github.io/Logging_2403/klagomålsmail/A 56057-2025 FSC-klagomål mail.docx", "A 56057-2025")</f>
        <v/>
      </c>
      <c r="X442">
        <f>HYPERLINK("https://klasma.github.io/Logging_2403/tillsyn/A 56057-2025 tillsynsbegäran.docx", "A 56057-2025")</f>
        <v/>
      </c>
      <c r="Y442">
        <f>HYPERLINK("https://klasma.github.io/Logging_2403/tillsynsmail/A 56057-2025 tillsynsbegäran mail.docx", "A 56057-2025")</f>
        <v/>
      </c>
    </row>
    <row r="443" ht="15" customHeight="1">
      <c r="A443" t="inlineStr">
        <is>
          <t>A 18577-2024</t>
        </is>
      </c>
      <c r="B443" s="1" t="n">
        <v>45425</v>
      </c>
      <c r="C443" s="1" t="n">
        <v>46075</v>
      </c>
      <c r="D443" t="inlineStr">
        <is>
          <t>VÄSTERBOTTENS LÄN</t>
        </is>
      </c>
      <c r="E443" t="inlineStr">
        <is>
          <t>SKELLEFTEÅ</t>
        </is>
      </c>
      <c r="G443" t="n">
        <v>5.3</v>
      </c>
      <c r="H443" t="n">
        <v>1</v>
      </c>
      <c r="I443" t="n">
        <v>1</v>
      </c>
      <c r="J443" t="n">
        <v>2</v>
      </c>
      <c r="K443" t="n">
        <v>1</v>
      </c>
      <c r="L443" t="n">
        <v>0</v>
      </c>
      <c r="M443" t="n">
        <v>0</v>
      </c>
      <c r="N443" t="n">
        <v>0</v>
      </c>
      <c r="O443" t="n">
        <v>3</v>
      </c>
      <c r="P443" t="n">
        <v>1</v>
      </c>
      <c r="Q443" t="n">
        <v>4</v>
      </c>
      <c r="R443" s="2" t="inlineStr">
        <is>
          <t>Knärot
Gammelgransskål
Garnlav
Rävticka</t>
        </is>
      </c>
      <c r="S443">
        <f>HYPERLINK("https://klasma.github.io/Logging_2482/artfynd/A 18577-2024 artfynd.xlsx", "A 18577-2024")</f>
        <v/>
      </c>
      <c r="T443">
        <f>HYPERLINK("https://klasma.github.io/Logging_2482/kartor/A 18577-2024 karta.png", "A 18577-2024")</f>
        <v/>
      </c>
      <c r="U443">
        <f>HYPERLINK("https://klasma.github.io/Logging_2482/knärot/A 18577-2024 karta knärot.png", "A 18577-2024")</f>
        <v/>
      </c>
      <c r="V443">
        <f>HYPERLINK("https://klasma.github.io/Logging_2482/klagomål/A 18577-2024 FSC-klagomål.docx", "A 18577-2024")</f>
        <v/>
      </c>
      <c r="W443">
        <f>HYPERLINK("https://klasma.github.io/Logging_2482/klagomålsmail/A 18577-2024 FSC-klagomål mail.docx", "A 18577-2024")</f>
        <v/>
      </c>
      <c r="X443">
        <f>HYPERLINK("https://klasma.github.io/Logging_2482/tillsyn/A 18577-2024 tillsynsbegäran.docx", "A 18577-2024")</f>
        <v/>
      </c>
      <c r="Y443">
        <f>HYPERLINK("https://klasma.github.io/Logging_2482/tillsynsmail/A 18577-2024 tillsynsbegäran mail.docx", "A 18577-2024")</f>
        <v/>
      </c>
    </row>
    <row r="444" ht="15" customHeight="1">
      <c r="A444" t="inlineStr">
        <is>
          <t>A 13034-2024</t>
        </is>
      </c>
      <c r="B444" s="1" t="n">
        <v>45385</v>
      </c>
      <c r="C444" s="1" t="n">
        <v>46075</v>
      </c>
      <c r="D444" t="inlineStr">
        <is>
          <t>VÄSTERBOTTENS LÄN</t>
        </is>
      </c>
      <c r="E444" t="inlineStr">
        <is>
          <t>VINDELN</t>
        </is>
      </c>
      <c r="G444" t="n">
        <v>11.7</v>
      </c>
      <c r="H444" t="n">
        <v>1</v>
      </c>
      <c r="I444" t="n">
        <v>1</v>
      </c>
      <c r="J444" t="n">
        <v>3</v>
      </c>
      <c r="K444" t="n">
        <v>0</v>
      </c>
      <c r="L444" t="n">
        <v>0</v>
      </c>
      <c r="M444" t="n">
        <v>0</v>
      </c>
      <c r="N444" t="n">
        <v>0</v>
      </c>
      <c r="O444" t="n">
        <v>3</v>
      </c>
      <c r="P444" t="n">
        <v>0</v>
      </c>
      <c r="Q444" t="n">
        <v>4</v>
      </c>
      <c r="R444" s="2" t="inlineStr">
        <is>
          <t>Granticka
Spillkråka
Ullticka
Stor aspticka</t>
        </is>
      </c>
      <c r="S444">
        <f>HYPERLINK("https://klasma.github.io/Logging_2404/artfynd/A 13034-2024 artfynd.xlsx", "A 13034-2024")</f>
        <v/>
      </c>
      <c r="T444">
        <f>HYPERLINK("https://klasma.github.io/Logging_2404/kartor/A 13034-2024 karta.png", "A 13034-2024")</f>
        <v/>
      </c>
      <c r="V444">
        <f>HYPERLINK("https://klasma.github.io/Logging_2404/klagomål/A 13034-2024 FSC-klagomål.docx", "A 13034-2024")</f>
        <v/>
      </c>
      <c r="W444">
        <f>HYPERLINK("https://klasma.github.io/Logging_2404/klagomålsmail/A 13034-2024 FSC-klagomål mail.docx", "A 13034-2024")</f>
        <v/>
      </c>
      <c r="X444">
        <f>HYPERLINK("https://klasma.github.io/Logging_2404/tillsyn/A 13034-2024 tillsynsbegäran.docx", "A 13034-2024")</f>
        <v/>
      </c>
      <c r="Y444">
        <f>HYPERLINK("https://klasma.github.io/Logging_2404/tillsynsmail/A 13034-2024 tillsynsbegäran mail.docx", "A 13034-2024")</f>
        <v/>
      </c>
      <c r="Z444">
        <f>HYPERLINK("https://klasma.github.io/Logging_2404/fåglar/A 13034-2024 prioriterade fågelarter.docx", "A 13034-2024")</f>
        <v/>
      </c>
    </row>
    <row r="445" ht="15" customHeight="1">
      <c r="A445" t="inlineStr">
        <is>
          <t>A 58867-2025</t>
        </is>
      </c>
      <c r="B445" s="1" t="n">
        <v>45987.45527777778</v>
      </c>
      <c r="C445" s="1" t="n">
        <v>46075</v>
      </c>
      <c r="D445" t="inlineStr">
        <is>
          <t>VÄSTERBOTTENS LÄN</t>
        </is>
      </c>
      <c r="E445" t="inlineStr">
        <is>
          <t>SKELLEFTEÅ</t>
        </is>
      </c>
      <c r="F445" t="inlineStr">
        <is>
          <t>Holmen skog AB</t>
        </is>
      </c>
      <c r="G445" t="n">
        <v>4.4</v>
      </c>
      <c r="H445" t="n">
        <v>0</v>
      </c>
      <c r="I445" t="n">
        <v>1</v>
      </c>
      <c r="J445" t="n">
        <v>3</v>
      </c>
      <c r="K445" t="n">
        <v>0</v>
      </c>
      <c r="L445" t="n">
        <v>0</v>
      </c>
      <c r="M445" t="n">
        <v>0</v>
      </c>
      <c r="N445" t="n">
        <v>0</v>
      </c>
      <c r="O445" t="n">
        <v>3</v>
      </c>
      <c r="P445" t="n">
        <v>0</v>
      </c>
      <c r="Q445" t="n">
        <v>4</v>
      </c>
      <c r="R445" s="2" t="inlineStr">
        <is>
          <t>Gammelgransskål
Garnlav
Granticka
Vedticka</t>
        </is>
      </c>
      <c r="S445">
        <f>HYPERLINK("https://klasma.github.io/Logging_2482/artfynd/A 58867-2025 artfynd.xlsx", "A 58867-2025")</f>
        <v/>
      </c>
      <c r="T445">
        <f>HYPERLINK("https://klasma.github.io/Logging_2482/kartor/A 58867-2025 karta.png", "A 58867-2025")</f>
        <v/>
      </c>
      <c r="V445">
        <f>HYPERLINK("https://klasma.github.io/Logging_2482/klagomål/A 58867-2025 FSC-klagomål.docx", "A 58867-2025")</f>
        <v/>
      </c>
      <c r="W445">
        <f>HYPERLINK("https://klasma.github.io/Logging_2482/klagomålsmail/A 58867-2025 FSC-klagomål mail.docx", "A 58867-2025")</f>
        <v/>
      </c>
      <c r="X445">
        <f>HYPERLINK("https://klasma.github.io/Logging_2482/tillsyn/A 58867-2025 tillsynsbegäran.docx", "A 58867-2025")</f>
        <v/>
      </c>
      <c r="Y445">
        <f>HYPERLINK("https://klasma.github.io/Logging_2482/tillsynsmail/A 58867-2025 tillsynsbegäran mail.docx", "A 58867-2025")</f>
        <v/>
      </c>
    </row>
    <row r="446" ht="15" customHeight="1">
      <c r="A446" t="inlineStr">
        <is>
          <t>A 49447-2022</t>
        </is>
      </c>
      <c r="B446" s="1" t="n">
        <v>44861</v>
      </c>
      <c r="C446" s="1" t="n">
        <v>46075</v>
      </c>
      <c r="D446" t="inlineStr">
        <is>
          <t>VÄSTERBOTTENS LÄN</t>
        </is>
      </c>
      <c r="E446" t="inlineStr">
        <is>
          <t>UMEÅ</t>
        </is>
      </c>
      <c r="F446" t="inlineStr">
        <is>
          <t>Holmen skog AB</t>
        </is>
      </c>
      <c r="G446" t="n">
        <v>1.5</v>
      </c>
      <c r="H446" t="n">
        <v>0</v>
      </c>
      <c r="I446" t="n">
        <v>0</v>
      </c>
      <c r="J446" t="n">
        <v>4</v>
      </c>
      <c r="K446" t="n">
        <v>0</v>
      </c>
      <c r="L446" t="n">
        <v>0</v>
      </c>
      <c r="M446" t="n">
        <v>0</v>
      </c>
      <c r="N446" t="n">
        <v>0</v>
      </c>
      <c r="O446" t="n">
        <v>4</v>
      </c>
      <c r="P446" t="n">
        <v>0</v>
      </c>
      <c r="Q446" t="n">
        <v>4</v>
      </c>
      <c r="R446" s="2" t="inlineStr">
        <is>
          <t>Garnlav
Hapalopilus aurantiacus
Orange taggsvamp
Ullticka</t>
        </is>
      </c>
      <c r="S446">
        <f>HYPERLINK("https://klasma.github.io/Logging_2480/artfynd/A 49447-2022 artfynd.xlsx", "A 49447-2022")</f>
        <v/>
      </c>
      <c r="T446">
        <f>HYPERLINK("https://klasma.github.io/Logging_2480/kartor/A 49447-2022 karta.png", "A 49447-2022")</f>
        <v/>
      </c>
      <c r="V446">
        <f>HYPERLINK("https://klasma.github.io/Logging_2480/klagomål/A 49447-2022 FSC-klagomål.docx", "A 49447-2022")</f>
        <v/>
      </c>
      <c r="W446">
        <f>HYPERLINK("https://klasma.github.io/Logging_2480/klagomålsmail/A 49447-2022 FSC-klagomål mail.docx", "A 49447-2022")</f>
        <v/>
      </c>
      <c r="X446">
        <f>HYPERLINK("https://klasma.github.io/Logging_2480/tillsyn/A 49447-2022 tillsynsbegäran.docx", "A 49447-2022")</f>
        <v/>
      </c>
      <c r="Y446">
        <f>HYPERLINK("https://klasma.github.io/Logging_2480/tillsynsmail/A 49447-2022 tillsynsbegäran mail.docx", "A 49447-2022")</f>
        <v/>
      </c>
    </row>
    <row r="447" ht="15" customHeight="1">
      <c r="A447" t="inlineStr">
        <is>
          <t>A 3483-2026</t>
        </is>
      </c>
      <c r="B447" s="1" t="n">
        <v>46042.55883101852</v>
      </c>
      <c r="C447" s="1" t="n">
        <v>46075</v>
      </c>
      <c r="D447" t="inlineStr">
        <is>
          <t>VÄSTERBOTTENS LÄN</t>
        </is>
      </c>
      <c r="E447" t="inlineStr">
        <is>
          <t>NORDMALING</t>
        </is>
      </c>
      <c r="G447" t="n">
        <v>0.7</v>
      </c>
      <c r="H447" t="n">
        <v>0</v>
      </c>
      <c r="I447" t="n">
        <v>0</v>
      </c>
      <c r="J447" t="n">
        <v>4</v>
      </c>
      <c r="K447" t="n">
        <v>0</v>
      </c>
      <c r="L447" t="n">
        <v>0</v>
      </c>
      <c r="M447" t="n">
        <v>0</v>
      </c>
      <c r="N447" t="n">
        <v>0</v>
      </c>
      <c r="O447" t="n">
        <v>4</v>
      </c>
      <c r="P447" t="n">
        <v>0</v>
      </c>
      <c r="Q447" t="n">
        <v>4</v>
      </c>
      <c r="R447" s="2" t="inlineStr">
        <is>
          <t>Garnlav
Granticka
Stjärntagging
Ullticka</t>
        </is>
      </c>
      <c r="S447">
        <f>HYPERLINK("https://klasma.github.io/Logging_2401/artfynd/A 3483-2026 artfynd.xlsx", "A 3483-2026")</f>
        <v/>
      </c>
      <c r="T447">
        <f>HYPERLINK("https://klasma.github.io/Logging_2401/kartor/A 3483-2026 karta.png", "A 3483-2026")</f>
        <v/>
      </c>
      <c r="V447">
        <f>HYPERLINK("https://klasma.github.io/Logging_2401/klagomål/A 3483-2026 FSC-klagomål.docx", "A 3483-2026")</f>
        <v/>
      </c>
      <c r="W447">
        <f>HYPERLINK("https://klasma.github.io/Logging_2401/klagomålsmail/A 3483-2026 FSC-klagomål mail.docx", "A 3483-2026")</f>
        <v/>
      </c>
      <c r="X447">
        <f>HYPERLINK("https://klasma.github.io/Logging_2401/tillsyn/A 3483-2026 tillsynsbegäran.docx", "A 3483-2026")</f>
        <v/>
      </c>
      <c r="Y447">
        <f>HYPERLINK("https://klasma.github.io/Logging_2401/tillsynsmail/A 3483-2026 tillsynsbegäran mail.docx", "A 3483-2026")</f>
        <v/>
      </c>
    </row>
    <row r="448" ht="15" customHeight="1">
      <c r="A448" t="inlineStr">
        <is>
          <t>A 54905-2024</t>
        </is>
      </c>
      <c r="B448" s="1" t="n">
        <v>45618.66777777778</v>
      </c>
      <c r="C448" s="1" t="n">
        <v>46075</v>
      </c>
      <c r="D448" t="inlineStr">
        <is>
          <t>VÄSTERBOTTENS LÄN</t>
        </is>
      </c>
      <c r="E448" t="inlineStr">
        <is>
          <t>LYCKSELE</t>
        </is>
      </c>
      <c r="F448" t="inlineStr">
        <is>
          <t>Sveaskog</t>
        </is>
      </c>
      <c r="G448" t="n">
        <v>2.2</v>
      </c>
      <c r="H448" t="n">
        <v>0</v>
      </c>
      <c r="I448" t="n">
        <v>1</v>
      </c>
      <c r="J448" t="n">
        <v>2</v>
      </c>
      <c r="K448" t="n">
        <v>1</v>
      </c>
      <c r="L448" t="n">
        <v>0</v>
      </c>
      <c r="M448" t="n">
        <v>0</v>
      </c>
      <c r="N448" t="n">
        <v>0</v>
      </c>
      <c r="O448" t="n">
        <v>3</v>
      </c>
      <c r="P448" t="n">
        <v>1</v>
      </c>
      <c r="Q448" t="n">
        <v>4</v>
      </c>
      <c r="R448" s="2" t="inlineStr">
        <is>
          <t>Fläckporing
Garnlav
Kolflarnlav
Dropptaggsvamp</t>
        </is>
      </c>
      <c r="S448">
        <f>HYPERLINK("https://klasma.github.io/Logging_2481/artfynd/A 54905-2024 artfynd.xlsx", "A 54905-2024")</f>
        <v/>
      </c>
      <c r="T448">
        <f>HYPERLINK("https://klasma.github.io/Logging_2481/kartor/A 54905-2024 karta.png", "A 54905-2024")</f>
        <v/>
      </c>
      <c r="V448">
        <f>HYPERLINK("https://klasma.github.io/Logging_2481/klagomål/A 54905-2024 FSC-klagomål.docx", "A 54905-2024")</f>
        <v/>
      </c>
      <c r="W448">
        <f>HYPERLINK("https://klasma.github.io/Logging_2481/klagomålsmail/A 54905-2024 FSC-klagomål mail.docx", "A 54905-2024")</f>
        <v/>
      </c>
      <c r="X448">
        <f>HYPERLINK("https://klasma.github.io/Logging_2481/tillsyn/A 54905-2024 tillsynsbegäran.docx", "A 54905-2024")</f>
        <v/>
      </c>
      <c r="Y448">
        <f>HYPERLINK("https://klasma.github.io/Logging_2481/tillsynsmail/A 54905-2024 tillsynsbegäran mail.docx", "A 54905-2024")</f>
        <v/>
      </c>
    </row>
    <row r="449" ht="15" customHeight="1">
      <c r="A449" t="inlineStr">
        <is>
          <t>A 62340-2021</t>
        </is>
      </c>
      <c r="B449" s="1" t="n">
        <v>44503</v>
      </c>
      <c r="C449" s="1" t="n">
        <v>46075</v>
      </c>
      <c r="D449" t="inlineStr">
        <is>
          <t>VÄSTERBOTTENS LÄN</t>
        </is>
      </c>
      <c r="E449" t="inlineStr">
        <is>
          <t>SKELLEFTEÅ</t>
        </is>
      </c>
      <c r="G449" t="n">
        <v>3.9</v>
      </c>
      <c r="H449" t="n">
        <v>0</v>
      </c>
      <c r="I449" t="n">
        <v>2</v>
      </c>
      <c r="J449" t="n">
        <v>2</v>
      </c>
      <c r="K449" t="n">
        <v>0</v>
      </c>
      <c r="L449" t="n">
        <v>0</v>
      </c>
      <c r="M449" t="n">
        <v>0</v>
      </c>
      <c r="N449" t="n">
        <v>0</v>
      </c>
      <c r="O449" t="n">
        <v>2</v>
      </c>
      <c r="P449" t="n">
        <v>0</v>
      </c>
      <c r="Q449" t="n">
        <v>4</v>
      </c>
      <c r="R449" s="2" t="inlineStr">
        <is>
          <t>Garnlav
Harticka
Dropptaggsvamp
Vedticka</t>
        </is>
      </c>
      <c r="S449">
        <f>HYPERLINK("https://klasma.github.io/Logging_2482/artfynd/A 62340-2021 artfynd.xlsx", "A 62340-2021")</f>
        <v/>
      </c>
      <c r="T449">
        <f>HYPERLINK("https://klasma.github.io/Logging_2482/kartor/A 62340-2021 karta.png", "A 62340-2021")</f>
        <v/>
      </c>
      <c r="U449">
        <f>HYPERLINK("https://klasma.github.io/Logging_2482/knärot/A 62340-2021 karta knärot.png", "A 62340-2021")</f>
        <v/>
      </c>
      <c r="V449">
        <f>HYPERLINK("https://klasma.github.io/Logging_2482/klagomål/A 62340-2021 FSC-klagomål.docx", "A 62340-2021")</f>
        <v/>
      </c>
      <c r="W449">
        <f>HYPERLINK("https://klasma.github.io/Logging_2482/klagomålsmail/A 62340-2021 FSC-klagomål mail.docx", "A 62340-2021")</f>
        <v/>
      </c>
      <c r="X449">
        <f>HYPERLINK("https://klasma.github.io/Logging_2482/tillsyn/A 62340-2021 tillsynsbegäran.docx", "A 62340-2021")</f>
        <v/>
      </c>
      <c r="Y449">
        <f>HYPERLINK("https://klasma.github.io/Logging_2482/tillsynsmail/A 62340-2021 tillsynsbegäran mail.docx", "A 62340-2021")</f>
        <v/>
      </c>
    </row>
    <row r="450" ht="15" customHeight="1">
      <c r="A450" t="inlineStr">
        <is>
          <t>A 29797-2025</t>
        </is>
      </c>
      <c r="B450" s="1" t="n">
        <v>45825</v>
      </c>
      <c r="C450" s="1" t="n">
        <v>46075</v>
      </c>
      <c r="D450" t="inlineStr">
        <is>
          <t>VÄSTERBOTTENS LÄN</t>
        </is>
      </c>
      <c r="E450" t="inlineStr">
        <is>
          <t>SORSELE</t>
        </is>
      </c>
      <c r="F450" t="inlineStr">
        <is>
          <t>Allmännings- och besparingsskogar</t>
        </is>
      </c>
      <c r="G450" t="n">
        <v>19.8</v>
      </c>
      <c r="H450" t="n">
        <v>1</v>
      </c>
      <c r="I450" t="n">
        <v>0</v>
      </c>
      <c r="J450" t="n">
        <v>3</v>
      </c>
      <c r="K450" t="n">
        <v>1</v>
      </c>
      <c r="L450" t="n">
        <v>0</v>
      </c>
      <c r="M450" t="n">
        <v>0</v>
      </c>
      <c r="N450" t="n">
        <v>0</v>
      </c>
      <c r="O450" t="n">
        <v>4</v>
      </c>
      <c r="P450" t="n">
        <v>1</v>
      </c>
      <c r="Q450" t="n">
        <v>4</v>
      </c>
      <c r="R450" s="2" t="inlineStr">
        <is>
          <t>Liten sotlav
Garnlav
Gränsticka
Tretåig hackspett</t>
        </is>
      </c>
      <c r="S450">
        <f>HYPERLINK("https://klasma.github.io/Logging_2422/artfynd/A 29797-2025 artfynd.xlsx", "A 29797-2025")</f>
        <v/>
      </c>
      <c r="T450">
        <f>HYPERLINK("https://klasma.github.io/Logging_2422/kartor/A 29797-2025 karta.png", "A 29797-2025")</f>
        <v/>
      </c>
      <c r="V450">
        <f>HYPERLINK("https://klasma.github.io/Logging_2422/klagomål/A 29797-2025 FSC-klagomål.docx", "A 29797-2025")</f>
        <v/>
      </c>
      <c r="W450">
        <f>HYPERLINK("https://klasma.github.io/Logging_2422/klagomålsmail/A 29797-2025 FSC-klagomål mail.docx", "A 29797-2025")</f>
        <v/>
      </c>
      <c r="X450">
        <f>HYPERLINK("https://klasma.github.io/Logging_2422/tillsyn/A 29797-2025 tillsynsbegäran.docx", "A 29797-2025")</f>
        <v/>
      </c>
      <c r="Y450">
        <f>HYPERLINK("https://klasma.github.io/Logging_2422/tillsynsmail/A 29797-2025 tillsynsbegäran mail.docx", "A 29797-2025")</f>
        <v/>
      </c>
      <c r="Z450">
        <f>HYPERLINK("https://klasma.github.io/Logging_2422/fåglar/A 29797-2025 prioriterade fågelarter.docx", "A 29797-2025")</f>
        <v/>
      </c>
    </row>
    <row r="451" ht="15" customHeight="1">
      <c r="A451" t="inlineStr">
        <is>
          <t>A 51706-2024</t>
        </is>
      </c>
      <c r="B451" s="1" t="n">
        <v>45604</v>
      </c>
      <c r="C451" s="1" t="n">
        <v>46075</v>
      </c>
      <c r="D451" t="inlineStr">
        <is>
          <t>VÄSTERBOTTENS LÄN</t>
        </is>
      </c>
      <c r="E451" t="inlineStr">
        <is>
          <t>STORUMAN</t>
        </is>
      </c>
      <c r="F451" t="inlineStr">
        <is>
          <t>Allmännings- och besparingsskogar</t>
        </is>
      </c>
      <c r="G451" t="n">
        <v>164.7</v>
      </c>
      <c r="H451" t="n">
        <v>1</v>
      </c>
      <c r="I451" t="n">
        <v>0</v>
      </c>
      <c r="J451" t="n">
        <v>4</v>
      </c>
      <c r="K451" t="n">
        <v>0</v>
      </c>
      <c r="L451" t="n">
        <v>0</v>
      </c>
      <c r="M451" t="n">
        <v>0</v>
      </c>
      <c r="N451" t="n">
        <v>0</v>
      </c>
      <c r="O451" t="n">
        <v>4</v>
      </c>
      <c r="P451" t="n">
        <v>0</v>
      </c>
      <c r="Q451" t="n">
        <v>4</v>
      </c>
      <c r="R451" s="2" t="inlineStr">
        <is>
          <t>Brunpudrad nållav
Garnlav
Granticka
Tretåig hackspett</t>
        </is>
      </c>
      <c r="S451">
        <f>HYPERLINK("https://klasma.github.io/Logging_2421/artfynd/A 51706-2024 artfynd.xlsx", "A 51706-2024")</f>
        <v/>
      </c>
      <c r="T451">
        <f>HYPERLINK("https://klasma.github.io/Logging_2421/kartor/A 51706-2024 karta.png", "A 51706-2024")</f>
        <v/>
      </c>
      <c r="V451">
        <f>HYPERLINK("https://klasma.github.io/Logging_2421/klagomål/A 51706-2024 FSC-klagomål.docx", "A 51706-2024")</f>
        <v/>
      </c>
      <c r="W451">
        <f>HYPERLINK("https://klasma.github.io/Logging_2421/klagomålsmail/A 51706-2024 FSC-klagomål mail.docx", "A 51706-2024")</f>
        <v/>
      </c>
      <c r="X451">
        <f>HYPERLINK("https://klasma.github.io/Logging_2421/tillsyn/A 51706-2024 tillsynsbegäran.docx", "A 51706-2024")</f>
        <v/>
      </c>
      <c r="Y451">
        <f>HYPERLINK("https://klasma.github.io/Logging_2421/tillsynsmail/A 51706-2024 tillsynsbegäran mail.docx", "A 51706-2024")</f>
        <v/>
      </c>
      <c r="Z451">
        <f>HYPERLINK("https://klasma.github.io/Logging_2421/fåglar/A 51706-2024 prioriterade fågelarter.docx", "A 51706-2024")</f>
        <v/>
      </c>
    </row>
    <row r="452" ht="15" customHeight="1">
      <c r="A452" t="inlineStr">
        <is>
          <t>A 66443-2021</t>
        </is>
      </c>
      <c r="B452" s="1" t="n">
        <v>44518</v>
      </c>
      <c r="C452" s="1" t="n">
        <v>46075</v>
      </c>
      <c r="D452" t="inlineStr">
        <is>
          <t>VÄSTERBOTTENS LÄN</t>
        </is>
      </c>
      <c r="E452" t="inlineStr">
        <is>
          <t>SORSELE</t>
        </is>
      </c>
      <c r="G452" t="n">
        <v>15.5</v>
      </c>
      <c r="H452" t="n">
        <v>1</v>
      </c>
      <c r="I452" t="n">
        <v>0</v>
      </c>
      <c r="J452" t="n">
        <v>4</v>
      </c>
      <c r="K452" t="n">
        <v>0</v>
      </c>
      <c r="L452" t="n">
        <v>0</v>
      </c>
      <c r="M452" t="n">
        <v>0</v>
      </c>
      <c r="N452" t="n">
        <v>0</v>
      </c>
      <c r="O452" t="n">
        <v>4</v>
      </c>
      <c r="P452" t="n">
        <v>0</v>
      </c>
      <c r="Q452" t="n">
        <v>4</v>
      </c>
      <c r="R452" s="2" t="inlineStr">
        <is>
          <t>Dvärgbägarlav
Granticka
Harticka
Talltita</t>
        </is>
      </c>
      <c r="S452">
        <f>HYPERLINK("https://klasma.github.io/Logging_2422/artfynd/A 66443-2021 artfynd.xlsx", "A 66443-2021")</f>
        <v/>
      </c>
      <c r="T452">
        <f>HYPERLINK("https://klasma.github.io/Logging_2422/kartor/A 66443-2021 karta.png", "A 66443-2021")</f>
        <v/>
      </c>
      <c r="V452">
        <f>HYPERLINK("https://klasma.github.io/Logging_2422/klagomål/A 66443-2021 FSC-klagomål.docx", "A 66443-2021")</f>
        <v/>
      </c>
      <c r="W452">
        <f>HYPERLINK("https://klasma.github.io/Logging_2422/klagomålsmail/A 66443-2021 FSC-klagomål mail.docx", "A 66443-2021")</f>
        <v/>
      </c>
      <c r="X452">
        <f>HYPERLINK("https://klasma.github.io/Logging_2422/tillsyn/A 66443-2021 tillsynsbegäran.docx", "A 66443-2021")</f>
        <v/>
      </c>
      <c r="Y452">
        <f>HYPERLINK("https://klasma.github.io/Logging_2422/tillsynsmail/A 66443-2021 tillsynsbegäran mail.docx", "A 66443-2021")</f>
        <v/>
      </c>
      <c r="Z452">
        <f>HYPERLINK("https://klasma.github.io/Logging_2422/fåglar/A 66443-2021 prioriterade fågelarter.docx", "A 66443-2021")</f>
        <v/>
      </c>
    </row>
    <row r="453" ht="15" customHeight="1">
      <c r="A453" t="inlineStr">
        <is>
          <t>A 55235-2024</t>
        </is>
      </c>
      <c r="B453" s="1" t="n">
        <v>45620</v>
      </c>
      <c r="C453" s="1" t="n">
        <v>46075</v>
      </c>
      <c r="D453" t="inlineStr">
        <is>
          <t>VÄSTERBOTTENS LÄN</t>
        </is>
      </c>
      <c r="E453" t="inlineStr">
        <is>
          <t>SKELLEFTEÅ</t>
        </is>
      </c>
      <c r="G453" t="n">
        <v>0.9</v>
      </c>
      <c r="H453" t="n">
        <v>1</v>
      </c>
      <c r="I453" t="n">
        <v>1</v>
      </c>
      <c r="J453" t="n">
        <v>2</v>
      </c>
      <c r="K453" t="n">
        <v>1</v>
      </c>
      <c r="L453" t="n">
        <v>0</v>
      </c>
      <c r="M453" t="n">
        <v>0</v>
      </c>
      <c r="N453" t="n">
        <v>0</v>
      </c>
      <c r="O453" t="n">
        <v>3</v>
      </c>
      <c r="P453" t="n">
        <v>1</v>
      </c>
      <c r="Q453" t="n">
        <v>4</v>
      </c>
      <c r="R453" s="2" t="inlineStr">
        <is>
          <t>Doftticka
Barkporlav
Lunglav
Bårdlav</t>
        </is>
      </c>
      <c r="S453">
        <f>HYPERLINK("https://klasma.github.io/Logging_2482/artfynd/A 55235-2024 artfynd.xlsx", "A 55235-2024")</f>
        <v/>
      </c>
      <c r="T453">
        <f>HYPERLINK("https://klasma.github.io/Logging_2482/kartor/A 55235-2024 karta.png", "A 55235-2024")</f>
        <v/>
      </c>
      <c r="V453">
        <f>HYPERLINK("https://klasma.github.io/Logging_2482/klagomål/A 55235-2024 FSC-klagomål.docx", "A 55235-2024")</f>
        <v/>
      </c>
      <c r="W453">
        <f>HYPERLINK("https://klasma.github.io/Logging_2482/klagomålsmail/A 55235-2024 FSC-klagomål mail.docx", "A 55235-2024")</f>
        <v/>
      </c>
      <c r="X453">
        <f>HYPERLINK("https://klasma.github.io/Logging_2482/tillsyn/A 55235-2024 tillsynsbegäran.docx", "A 55235-2024")</f>
        <v/>
      </c>
      <c r="Y453">
        <f>HYPERLINK("https://klasma.github.io/Logging_2482/tillsynsmail/A 55235-2024 tillsynsbegäran mail.docx", "A 55235-2024")</f>
        <v/>
      </c>
    </row>
    <row r="454" ht="15" customHeight="1">
      <c r="A454" t="inlineStr">
        <is>
          <t>A 55242-2024</t>
        </is>
      </c>
      <c r="B454" s="1" t="n">
        <v>45620</v>
      </c>
      <c r="C454" s="1" t="n">
        <v>46075</v>
      </c>
      <c r="D454" t="inlineStr">
        <is>
          <t>VÄSTERBOTTENS LÄN</t>
        </is>
      </c>
      <c r="E454" t="inlineStr">
        <is>
          <t>SKELLEFTEÅ</t>
        </is>
      </c>
      <c r="G454" t="n">
        <v>3.4</v>
      </c>
      <c r="H454" t="n">
        <v>0</v>
      </c>
      <c r="I454" t="n">
        <v>0</v>
      </c>
      <c r="J454" t="n">
        <v>3</v>
      </c>
      <c r="K454" t="n">
        <v>1</v>
      </c>
      <c r="L454" t="n">
        <v>0</v>
      </c>
      <c r="M454" t="n">
        <v>0</v>
      </c>
      <c r="N454" t="n">
        <v>0</v>
      </c>
      <c r="O454" t="n">
        <v>4</v>
      </c>
      <c r="P454" t="n">
        <v>1</v>
      </c>
      <c r="Q454" t="n">
        <v>4</v>
      </c>
      <c r="R454" s="2" t="inlineStr">
        <is>
          <t>Ostticka
Garnlav
Granticka
Ullticka</t>
        </is>
      </c>
      <c r="S454">
        <f>HYPERLINK("https://klasma.github.io/Logging_2482/artfynd/A 55242-2024 artfynd.xlsx", "A 55242-2024")</f>
        <v/>
      </c>
      <c r="T454">
        <f>HYPERLINK("https://klasma.github.io/Logging_2482/kartor/A 55242-2024 karta.png", "A 55242-2024")</f>
        <v/>
      </c>
      <c r="V454">
        <f>HYPERLINK("https://klasma.github.io/Logging_2482/klagomål/A 55242-2024 FSC-klagomål.docx", "A 55242-2024")</f>
        <v/>
      </c>
      <c r="W454">
        <f>HYPERLINK("https://klasma.github.io/Logging_2482/klagomålsmail/A 55242-2024 FSC-klagomål mail.docx", "A 55242-2024")</f>
        <v/>
      </c>
      <c r="X454">
        <f>HYPERLINK("https://klasma.github.io/Logging_2482/tillsyn/A 55242-2024 tillsynsbegäran.docx", "A 55242-2024")</f>
        <v/>
      </c>
      <c r="Y454">
        <f>HYPERLINK("https://klasma.github.io/Logging_2482/tillsynsmail/A 55242-2024 tillsynsbegäran mail.docx", "A 55242-2024")</f>
        <v/>
      </c>
    </row>
    <row r="455" ht="15" customHeight="1">
      <c r="A455" t="inlineStr">
        <is>
          <t>A 61089-2025</t>
        </is>
      </c>
      <c r="B455" s="1" t="n">
        <v>46000.4275462963</v>
      </c>
      <c r="C455" s="1" t="n">
        <v>46075</v>
      </c>
      <c r="D455" t="inlineStr">
        <is>
          <t>VÄSTERBOTTENS LÄN</t>
        </is>
      </c>
      <c r="E455" t="inlineStr">
        <is>
          <t>BJURHOLM</t>
        </is>
      </c>
      <c r="F455" t="inlineStr">
        <is>
          <t>SCA</t>
        </is>
      </c>
      <c r="G455" t="n">
        <v>2.9</v>
      </c>
      <c r="H455" t="n">
        <v>2</v>
      </c>
      <c r="I455" t="n">
        <v>0</v>
      </c>
      <c r="J455" t="n">
        <v>3</v>
      </c>
      <c r="K455" t="n">
        <v>0</v>
      </c>
      <c r="L455" t="n">
        <v>0</v>
      </c>
      <c r="M455" t="n">
        <v>0</v>
      </c>
      <c r="N455" t="n">
        <v>0</v>
      </c>
      <c r="O455" t="n">
        <v>3</v>
      </c>
      <c r="P455" t="n">
        <v>0</v>
      </c>
      <c r="Q455" t="n">
        <v>4</v>
      </c>
      <c r="R455" s="2" t="inlineStr">
        <is>
          <t>Mörk kolflarnlav
Talltita
Vedskivlav
Tjäder</t>
        </is>
      </c>
      <c r="S455">
        <f>HYPERLINK("https://klasma.github.io/Logging_2403/artfynd/A 61089-2025 artfynd.xlsx", "A 61089-2025")</f>
        <v/>
      </c>
      <c r="T455">
        <f>HYPERLINK("https://klasma.github.io/Logging_2403/kartor/A 61089-2025 karta.png", "A 61089-2025")</f>
        <v/>
      </c>
      <c r="V455">
        <f>HYPERLINK("https://klasma.github.io/Logging_2403/klagomål/A 61089-2025 FSC-klagomål.docx", "A 61089-2025")</f>
        <v/>
      </c>
      <c r="W455">
        <f>HYPERLINK("https://klasma.github.io/Logging_2403/klagomålsmail/A 61089-2025 FSC-klagomål mail.docx", "A 61089-2025")</f>
        <v/>
      </c>
      <c r="X455">
        <f>HYPERLINK("https://klasma.github.io/Logging_2403/tillsyn/A 61089-2025 tillsynsbegäran.docx", "A 61089-2025")</f>
        <v/>
      </c>
      <c r="Y455">
        <f>HYPERLINK("https://klasma.github.io/Logging_2403/tillsynsmail/A 61089-2025 tillsynsbegäran mail.docx", "A 61089-2025")</f>
        <v/>
      </c>
      <c r="Z455">
        <f>HYPERLINK("https://klasma.github.io/Logging_2403/fåglar/A 61089-2025 prioriterade fågelarter.docx", "A 61089-2025")</f>
        <v/>
      </c>
    </row>
    <row r="456" ht="15" customHeight="1">
      <c r="A456" t="inlineStr">
        <is>
          <t>A 4828-2023</t>
        </is>
      </c>
      <c r="B456" s="1" t="n">
        <v>44957</v>
      </c>
      <c r="C456" s="1" t="n">
        <v>46075</v>
      </c>
      <c r="D456" t="inlineStr">
        <is>
          <t>VÄSTERBOTTENS LÄN</t>
        </is>
      </c>
      <c r="E456" t="inlineStr">
        <is>
          <t>DOROTEA</t>
        </is>
      </c>
      <c r="G456" t="n">
        <v>8</v>
      </c>
      <c r="H456" t="n">
        <v>1</v>
      </c>
      <c r="I456" t="n">
        <v>1</v>
      </c>
      <c r="J456" t="n">
        <v>3</v>
      </c>
      <c r="K456" t="n">
        <v>0</v>
      </c>
      <c r="L456" t="n">
        <v>0</v>
      </c>
      <c r="M456" t="n">
        <v>0</v>
      </c>
      <c r="N456" t="n">
        <v>0</v>
      </c>
      <c r="O456" t="n">
        <v>3</v>
      </c>
      <c r="P456" t="n">
        <v>0</v>
      </c>
      <c r="Q456" t="n">
        <v>4</v>
      </c>
      <c r="R456" s="2" t="inlineStr">
        <is>
          <t>Garnlav
Granticka
Vitgrynig nållav
Spindelblomster</t>
        </is>
      </c>
      <c r="S456">
        <f>HYPERLINK("https://klasma.github.io/Logging_2425/artfynd/A 4828-2023 artfynd.xlsx", "A 4828-2023")</f>
        <v/>
      </c>
      <c r="T456">
        <f>HYPERLINK("https://klasma.github.io/Logging_2425/kartor/A 4828-2023 karta.png", "A 4828-2023")</f>
        <v/>
      </c>
      <c r="V456">
        <f>HYPERLINK("https://klasma.github.io/Logging_2425/klagomål/A 4828-2023 FSC-klagomål.docx", "A 4828-2023")</f>
        <v/>
      </c>
      <c r="W456">
        <f>HYPERLINK("https://klasma.github.io/Logging_2425/klagomålsmail/A 4828-2023 FSC-klagomål mail.docx", "A 4828-2023")</f>
        <v/>
      </c>
      <c r="X456">
        <f>HYPERLINK("https://klasma.github.io/Logging_2425/tillsyn/A 4828-2023 tillsynsbegäran.docx", "A 4828-2023")</f>
        <v/>
      </c>
      <c r="Y456">
        <f>HYPERLINK("https://klasma.github.io/Logging_2425/tillsynsmail/A 4828-2023 tillsynsbegäran mail.docx", "A 4828-2023")</f>
        <v/>
      </c>
    </row>
    <row r="457" ht="15" customHeight="1">
      <c r="A457" t="inlineStr">
        <is>
          <t>A 62393-2023</t>
        </is>
      </c>
      <c r="B457" s="1" t="n">
        <v>45268</v>
      </c>
      <c r="C457" s="1" t="n">
        <v>46075</v>
      </c>
      <c r="D457" t="inlineStr">
        <is>
          <t>VÄSTERBOTTENS LÄN</t>
        </is>
      </c>
      <c r="E457" t="inlineStr">
        <is>
          <t>SKELLEFTEÅ</t>
        </is>
      </c>
      <c r="F457" t="inlineStr">
        <is>
          <t>Sveaskog</t>
        </is>
      </c>
      <c r="G457" t="n">
        <v>6.7</v>
      </c>
      <c r="H457" t="n">
        <v>0</v>
      </c>
      <c r="I457" t="n">
        <v>1</v>
      </c>
      <c r="J457" t="n">
        <v>3</v>
      </c>
      <c r="K457" t="n">
        <v>0</v>
      </c>
      <c r="L457" t="n">
        <v>0</v>
      </c>
      <c r="M457" t="n">
        <v>0</v>
      </c>
      <c r="N457" t="n">
        <v>0</v>
      </c>
      <c r="O457" t="n">
        <v>3</v>
      </c>
      <c r="P457" t="n">
        <v>0</v>
      </c>
      <c r="Q457" t="n">
        <v>4</v>
      </c>
      <c r="R457" s="2" t="inlineStr">
        <is>
          <t>Garnlav
Lunglav
Violettgrå tagellav
Bårdlav</t>
        </is>
      </c>
      <c r="S457">
        <f>HYPERLINK("https://klasma.github.io/Logging_2482/artfynd/A 62393-2023 artfynd.xlsx", "A 62393-2023")</f>
        <v/>
      </c>
      <c r="T457">
        <f>HYPERLINK("https://klasma.github.io/Logging_2482/kartor/A 62393-2023 karta.png", "A 62393-2023")</f>
        <v/>
      </c>
      <c r="V457">
        <f>HYPERLINK("https://klasma.github.io/Logging_2482/klagomål/A 62393-2023 FSC-klagomål.docx", "A 62393-2023")</f>
        <v/>
      </c>
      <c r="W457">
        <f>HYPERLINK("https://klasma.github.io/Logging_2482/klagomålsmail/A 62393-2023 FSC-klagomål mail.docx", "A 62393-2023")</f>
        <v/>
      </c>
      <c r="X457">
        <f>HYPERLINK("https://klasma.github.io/Logging_2482/tillsyn/A 62393-2023 tillsynsbegäran.docx", "A 62393-2023")</f>
        <v/>
      </c>
      <c r="Y457">
        <f>HYPERLINK("https://klasma.github.io/Logging_2482/tillsynsmail/A 62393-2023 tillsynsbegäran mail.docx", "A 62393-2023")</f>
        <v/>
      </c>
    </row>
    <row r="458" ht="15" customHeight="1">
      <c r="A458" t="inlineStr">
        <is>
          <t>A 27558-2024</t>
        </is>
      </c>
      <c r="B458" s="1" t="n">
        <v>45474.62412037037</v>
      </c>
      <c r="C458" s="1" t="n">
        <v>46075</v>
      </c>
      <c r="D458" t="inlineStr">
        <is>
          <t>VÄSTERBOTTENS LÄN</t>
        </is>
      </c>
      <c r="E458" t="inlineStr">
        <is>
          <t>STORUMAN</t>
        </is>
      </c>
      <c r="F458" t="inlineStr">
        <is>
          <t>Sveaskog</t>
        </is>
      </c>
      <c r="G458" t="n">
        <v>5.7</v>
      </c>
      <c r="H458" t="n">
        <v>2</v>
      </c>
      <c r="I458" t="n">
        <v>0</v>
      </c>
      <c r="J458" t="n">
        <v>3</v>
      </c>
      <c r="K458" t="n">
        <v>0</v>
      </c>
      <c r="L458" t="n">
        <v>0</v>
      </c>
      <c r="M458" t="n">
        <v>0</v>
      </c>
      <c r="N458" t="n">
        <v>0</v>
      </c>
      <c r="O458" t="n">
        <v>3</v>
      </c>
      <c r="P458" t="n">
        <v>0</v>
      </c>
      <c r="Q458" t="n">
        <v>4</v>
      </c>
      <c r="R458" s="2" t="inlineStr">
        <is>
          <t>Garnlav
Järpe
Kolflarnlav
Fläcknycklar</t>
        </is>
      </c>
      <c r="S458">
        <f>HYPERLINK("https://klasma.github.io/Logging_2421/artfynd/A 27558-2024 artfynd.xlsx", "A 27558-2024")</f>
        <v/>
      </c>
      <c r="T458">
        <f>HYPERLINK("https://klasma.github.io/Logging_2421/kartor/A 27558-2024 karta.png", "A 27558-2024")</f>
        <v/>
      </c>
      <c r="V458">
        <f>HYPERLINK("https://klasma.github.io/Logging_2421/klagomål/A 27558-2024 FSC-klagomål.docx", "A 27558-2024")</f>
        <v/>
      </c>
      <c r="W458">
        <f>HYPERLINK("https://klasma.github.io/Logging_2421/klagomålsmail/A 27558-2024 FSC-klagomål mail.docx", "A 27558-2024")</f>
        <v/>
      </c>
      <c r="X458">
        <f>HYPERLINK("https://klasma.github.io/Logging_2421/tillsyn/A 27558-2024 tillsynsbegäran.docx", "A 27558-2024")</f>
        <v/>
      </c>
      <c r="Y458">
        <f>HYPERLINK("https://klasma.github.io/Logging_2421/tillsynsmail/A 27558-2024 tillsynsbegäran mail.docx", "A 27558-2024")</f>
        <v/>
      </c>
      <c r="Z458">
        <f>HYPERLINK("https://klasma.github.io/Logging_2421/fåglar/A 27558-2024 prioriterade fågelarter.docx", "A 27558-2024")</f>
        <v/>
      </c>
    </row>
    <row r="459" ht="15" customHeight="1">
      <c r="A459" t="inlineStr">
        <is>
          <t>A 57409-2021</t>
        </is>
      </c>
      <c r="B459" s="1" t="n">
        <v>44483</v>
      </c>
      <c r="C459" s="1" t="n">
        <v>46075</v>
      </c>
      <c r="D459" t="inlineStr">
        <is>
          <t>VÄSTERBOTTENS LÄN</t>
        </is>
      </c>
      <c r="E459" t="inlineStr">
        <is>
          <t>SKELLEFTEÅ</t>
        </is>
      </c>
      <c r="G459" t="n">
        <v>20.3</v>
      </c>
      <c r="H459" t="n">
        <v>0</v>
      </c>
      <c r="I459" t="n">
        <v>1</v>
      </c>
      <c r="J459" t="n">
        <v>3</v>
      </c>
      <c r="K459" t="n">
        <v>0</v>
      </c>
      <c r="L459" t="n">
        <v>0</v>
      </c>
      <c r="M459" t="n">
        <v>0</v>
      </c>
      <c r="N459" t="n">
        <v>0</v>
      </c>
      <c r="O459" t="n">
        <v>3</v>
      </c>
      <c r="P459" t="n">
        <v>0</v>
      </c>
      <c r="Q459" t="n">
        <v>4</v>
      </c>
      <c r="R459" s="2" t="inlineStr">
        <is>
          <t>Gammelgransskål
Garnlav
Ullticka
Vedticka</t>
        </is>
      </c>
      <c r="S459">
        <f>HYPERLINK("https://klasma.github.io/Logging_2482/artfynd/A 57409-2021 artfynd.xlsx", "A 57409-2021")</f>
        <v/>
      </c>
      <c r="T459">
        <f>HYPERLINK("https://klasma.github.io/Logging_2482/kartor/A 57409-2021 karta.png", "A 57409-2021")</f>
        <v/>
      </c>
      <c r="V459">
        <f>HYPERLINK("https://klasma.github.io/Logging_2482/klagomål/A 57409-2021 FSC-klagomål.docx", "A 57409-2021")</f>
        <v/>
      </c>
      <c r="W459">
        <f>HYPERLINK("https://klasma.github.io/Logging_2482/klagomålsmail/A 57409-2021 FSC-klagomål mail.docx", "A 57409-2021")</f>
        <v/>
      </c>
      <c r="X459">
        <f>HYPERLINK("https://klasma.github.io/Logging_2482/tillsyn/A 57409-2021 tillsynsbegäran.docx", "A 57409-2021")</f>
        <v/>
      </c>
      <c r="Y459">
        <f>HYPERLINK("https://klasma.github.io/Logging_2482/tillsynsmail/A 57409-2021 tillsynsbegäran mail.docx", "A 57409-2021")</f>
        <v/>
      </c>
    </row>
    <row r="460" ht="15" customHeight="1">
      <c r="A460" t="inlineStr">
        <is>
          <t>A 39126-2025</t>
        </is>
      </c>
      <c r="B460" s="1" t="n">
        <v>45888</v>
      </c>
      <c r="C460" s="1" t="n">
        <v>46075</v>
      </c>
      <c r="D460" t="inlineStr">
        <is>
          <t>VÄSTERBOTTENS LÄN</t>
        </is>
      </c>
      <c r="E460" t="inlineStr">
        <is>
          <t>SKELLEFTEÅ</t>
        </is>
      </c>
      <c r="F460" t="inlineStr">
        <is>
          <t>Holmen skog AB</t>
        </is>
      </c>
      <c r="G460" t="n">
        <v>1</v>
      </c>
      <c r="H460" t="n">
        <v>0</v>
      </c>
      <c r="I460" t="n">
        <v>3</v>
      </c>
      <c r="J460" t="n">
        <v>1</v>
      </c>
      <c r="K460" t="n">
        <v>0</v>
      </c>
      <c r="L460" t="n">
        <v>0</v>
      </c>
      <c r="M460" t="n">
        <v>0</v>
      </c>
      <c r="N460" t="n">
        <v>0</v>
      </c>
      <c r="O460" t="n">
        <v>1</v>
      </c>
      <c r="P460" t="n">
        <v>0</v>
      </c>
      <c r="Q460" t="n">
        <v>4</v>
      </c>
      <c r="R460" s="2" t="inlineStr">
        <is>
          <t>Gammelgransskål
Granbarkgnagare
Trådticka
Vedticka</t>
        </is>
      </c>
      <c r="S460">
        <f>HYPERLINK("https://klasma.github.io/Logging_2482/artfynd/A 39126-2025 artfynd.xlsx", "A 39126-2025")</f>
        <v/>
      </c>
      <c r="T460">
        <f>HYPERLINK("https://klasma.github.io/Logging_2482/kartor/A 39126-2025 karta.png", "A 39126-2025")</f>
        <v/>
      </c>
      <c r="U460">
        <f>HYPERLINK("https://klasma.github.io/Logging_2482/knärot/A 39126-2025 karta knärot.png", "A 39126-2025")</f>
        <v/>
      </c>
      <c r="V460">
        <f>HYPERLINK("https://klasma.github.io/Logging_2482/klagomål/A 39126-2025 FSC-klagomål.docx", "A 39126-2025")</f>
        <v/>
      </c>
      <c r="W460">
        <f>HYPERLINK("https://klasma.github.io/Logging_2482/klagomålsmail/A 39126-2025 FSC-klagomål mail.docx", "A 39126-2025")</f>
        <v/>
      </c>
      <c r="X460">
        <f>HYPERLINK("https://klasma.github.io/Logging_2482/tillsyn/A 39126-2025 tillsynsbegäran.docx", "A 39126-2025")</f>
        <v/>
      </c>
      <c r="Y460">
        <f>HYPERLINK("https://klasma.github.io/Logging_2482/tillsynsmail/A 39126-2025 tillsynsbegäran mail.docx", "A 39126-2025")</f>
        <v/>
      </c>
    </row>
    <row r="461" ht="15" customHeight="1">
      <c r="A461" t="inlineStr">
        <is>
          <t>A 39114-2025</t>
        </is>
      </c>
      <c r="B461" s="1" t="n">
        <v>45888</v>
      </c>
      <c r="C461" s="1" t="n">
        <v>46075</v>
      </c>
      <c r="D461" t="inlineStr">
        <is>
          <t>VÄSTERBOTTENS LÄN</t>
        </is>
      </c>
      <c r="E461" t="inlineStr">
        <is>
          <t>SKELLEFTEÅ</t>
        </is>
      </c>
      <c r="F461" t="inlineStr">
        <is>
          <t>Holmen skog AB</t>
        </is>
      </c>
      <c r="G461" t="n">
        <v>2.9</v>
      </c>
      <c r="H461" t="n">
        <v>2</v>
      </c>
      <c r="I461" t="n">
        <v>1</v>
      </c>
      <c r="J461" t="n">
        <v>2</v>
      </c>
      <c r="K461" t="n">
        <v>0</v>
      </c>
      <c r="L461" t="n">
        <v>0</v>
      </c>
      <c r="M461" t="n">
        <v>0</v>
      </c>
      <c r="N461" t="n">
        <v>0</v>
      </c>
      <c r="O461" t="n">
        <v>2</v>
      </c>
      <c r="P461" t="n">
        <v>0</v>
      </c>
      <c r="Q461" t="n">
        <v>4</v>
      </c>
      <c r="R461" s="2" t="inlineStr">
        <is>
          <t>Garnlav
Tretåig hackspett
Vedticka
Lavskrika</t>
        </is>
      </c>
      <c r="S461">
        <f>HYPERLINK("https://klasma.github.io/Logging_2482/artfynd/A 39114-2025 artfynd.xlsx", "A 39114-2025")</f>
        <v/>
      </c>
      <c r="T461">
        <f>HYPERLINK("https://klasma.github.io/Logging_2482/kartor/A 39114-2025 karta.png", "A 39114-2025")</f>
        <v/>
      </c>
      <c r="V461">
        <f>HYPERLINK("https://klasma.github.io/Logging_2482/klagomål/A 39114-2025 FSC-klagomål.docx", "A 39114-2025")</f>
        <v/>
      </c>
      <c r="W461">
        <f>HYPERLINK("https://klasma.github.io/Logging_2482/klagomålsmail/A 39114-2025 FSC-klagomål mail.docx", "A 39114-2025")</f>
        <v/>
      </c>
      <c r="X461">
        <f>HYPERLINK("https://klasma.github.io/Logging_2482/tillsyn/A 39114-2025 tillsynsbegäran.docx", "A 39114-2025")</f>
        <v/>
      </c>
      <c r="Y461">
        <f>HYPERLINK("https://klasma.github.io/Logging_2482/tillsynsmail/A 39114-2025 tillsynsbegäran mail.docx", "A 39114-2025")</f>
        <v/>
      </c>
      <c r="Z461">
        <f>HYPERLINK("https://klasma.github.io/Logging_2482/fåglar/A 39114-2025 prioriterade fågelarter.docx", "A 39114-2025")</f>
        <v/>
      </c>
    </row>
    <row r="462" ht="15" customHeight="1">
      <c r="A462" t="inlineStr">
        <is>
          <t>A 31198-2023</t>
        </is>
      </c>
      <c r="B462" s="1" t="n">
        <v>45113</v>
      </c>
      <c r="C462" s="1" t="n">
        <v>46075</v>
      </c>
      <c r="D462" t="inlineStr">
        <is>
          <t>VÄSTERBOTTENS LÄN</t>
        </is>
      </c>
      <c r="E462" t="inlineStr">
        <is>
          <t>VILHELMINA</t>
        </is>
      </c>
      <c r="F462" t="inlineStr">
        <is>
          <t>SCA</t>
        </is>
      </c>
      <c r="G462" t="n">
        <v>4.2</v>
      </c>
      <c r="H462" t="n">
        <v>1</v>
      </c>
      <c r="I462" t="n">
        <v>0</v>
      </c>
      <c r="J462" t="n">
        <v>4</v>
      </c>
      <c r="K462" t="n">
        <v>0</v>
      </c>
      <c r="L462" t="n">
        <v>0</v>
      </c>
      <c r="M462" t="n">
        <v>0</v>
      </c>
      <c r="N462" t="n">
        <v>0</v>
      </c>
      <c r="O462" t="n">
        <v>4</v>
      </c>
      <c r="P462" t="n">
        <v>0</v>
      </c>
      <c r="Q462" t="n">
        <v>4</v>
      </c>
      <c r="R462" s="2" t="inlineStr">
        <is>
          <t>Garnlav
Knottrig blåslav
Tretåig hackspett
Vitgrynig nållav</t>
        </is>
      </c>
      <c r="S462">
        <f>HYPERLINK("https://klasma.github.io/Logging_2462/artfynd/A 31198-2023 artfynd.xlsx", "A 31198-2023")</f>
        <v/>
      </c>
      <c r="T462">
        <f>HYPERLINK("https://klasma.github.io/Logging_2462/kartor/A 31198-2023 karta.png", "A 31198-2023")</f>
        <v/>
      </c>
      <c r="V462">
        <f>HYPERLINK("https://klasma.github.io/Logging_2462/klagomål/A 31198-2023 FSC-klagomål.docx", "A 31198-2023")</f>
        <v/>
      </c>
      <c r="W462">
        <f>HYPERLINK("https://klasma.github.io/Logging_2462/klagomålsmail/A 31198-2023 FSC-klagomål mail.docx", "A 31198-2023")</f>
        <v/>
      </c>
      <c r="X462">
        <f>HYPERLINK("https://klasma.github.io/Logging_2462/tillsyn/A 31198-2023 tillsynsbegäran.docx", "A 31198-2023")</f>
        <v/>
      </c>
      <c r="Y462">
        <f>HYPERLINK("https://klasma.github.io/Logging_2462/tillsynsmail/A 31198-2023 tillsynsbegäran mail.docx", "A 31198-2023")</f>
        <v/>
      </c>
      <c r="Z462">
        <f>HYPERLINK("https://klasma.github.io/Logging_2462/fåglar/A 31198-2023 prioriterade fågelarter.docx", "A 31198-2023")</f>
        <v/>
      </c>
    </row>
    <row r="463" ht="15" customHeight="1">
      <c r="A463" t="inlineStr">
        <is>
          <t>A 56462-2024</t>
        </is>
      </c>
      <c r="B463" s="1" t="n">
        <v>45625</v>
      </c>
      <c r="C463" s="1" t="n">
        <v>46075</v>
      </c>
      <c r="D463" t="inlineStr">
        <is>
          <t>VÄSTERBOTTENS LÄN</t>
        </is>
      </c>
      <c r="E463" t="inlineStr">
        <is>
          <t>SKELLEFTEÅ</t>
        </is>
      </c>
      <c r="F463" t="inlineStr">
        <is>
          <t>Holmen skog AB</t>
        </is>
      </c>
      <c r="G463" t="n">
        <v>44.8</v>
      </c>
      <c r="H463" t="n">
        <v>0</v>
      </c>
      <c r="I463" t="n">
        <v>0</v>
      </c>
      <c r="J463" t="n">
        <v>3</v>
      </c>
      <c r="K463" t="n">
        <v>0</v>
      </c>
      <c r="L463" t="n">
        <v>1</v>
      </c>
      <c r="M463" t="n">
        <v>0</v>
      </c>
      <c r="N463" t="n">
        <v>0</v>
      </c>
      <c r="O463" t="n">
        <v>4</v>
      </c>
      <c r="P463" t="n">
        <v>1</v>
      </c>
      <c r="Q463" t="n">
        <v>4</v>
      </c>
      <c r="R463" s="2" t="inlineStr">
        <is>
          <t>Större svartbagge
Korthornad ögonbagge
Rödhalsad vedsvampbagge
Svart ögonknäppare</t>
        </is>
      </c>
      <c r="S463">
        <f>HYPERLINK("https://klasma.github.io/Logging_2482/artfynd/A 56462-2024 artfynd.xlsx", "A 56462-2024")</f>
        <v/>
      </c>
      <c r="T463">
        <f>HYPERLINK("https://klasma.github.io/Logging_2482/kartor/A 56462-2024 karta.png", "A 56462-2024")</f>
        <v/>
      </c>
      <c r="V463">
        <f>HYPERLINK("https://klasma.github.io/Logging_2482/klagomål/A 56462-2024 FSC-klagomål.docx", "A 56462-2024")</f>
        <v/>
      </c>
      <c r="W463">
        <f>HYPERLINK("https://klasma.github.io/Logging_2482/klagomålsmail/A 56462-2024 FSC-klagomål mail.docx", "A 56462-2024")</f>
        <v/>
      </c>
      <c r="X463">
        <f>HYPERLINK("https://klasma.github.io/Logging_2482/tillsyn/A 56462-2024 tillsynsbegäran.docx", "A 56462-2024")</f>
        <v/>
      </c>
      <c r="Y463">
        <f>HYPERLINK("https://klasma.github.io/Logging_2482/tillsynsmail/A 56462-2024 tillsynsbegäran mail.docx", "A 56462-2024")</f>
        <v/>
      </c>
    </row>
    <row r="464" ht="15" customHeight="1">
      <c r="A464" t="inlineStr">
        <is>
          <t>A 53423-2024</t>
        </is>
      </c>
      <c r="B464" s="1" t="n">
        <v>45614.51168981481</v>
      </c>
      <c r="C464" s="1" t="n">
        <v>46075</v>
      </c>
      <c r="D464" t="inlineStr">
        <is>
          <t>VÄSTERBOTTENS LÄN</t>
        </is>
      </c>
      <c r="E464" t="inlineStr">
        <is>
          <t>SKELLEFTEÅ</t>
        </is>
      </c>
      <c r="G464" t="n">
        <v>3.5</v>
      </c>
      <c r="H464" t="n">
        <v>1</v>
      </c>
      <c r="I464" t="n">
        <v>0</v>
      </c>
      <c r="J464" t="n">
        <v>4</v>
      </c>
      <c r="K464" t="n">
        <v>0</v>
      </c>
      <c r="L464" t="n">
        <v>0</v>
      </c>
      <c r="M464" t="n">
        <v>0</v>
      </c>
      <c r="N464" t="n">
        <v>0</v>
      </c>
      <c r="O464" t="n">
        <v>4</v>
      </c>
      <c r="P464" t="n">
        <v>0</v>
      </c>
      <c r="Q464" t="n">
        <v>4</v>
      </c>
      <c r="R464" s="2" t="inlineStr">
        <is>
          <t>Blanksvart spiklav
Blå taggsvamp
Garnlav
Spillkråka</t>
        </is>
      </c>
      <c r="S464">
        <f>HYPERLINK("https://klasma.github.io/Logging_2482/artfynd/A 53423-2024 artfynd.xlsx", "A 53423-2024")</f>
        <v/>
      </c>
      <c r="T464">
        <f>HYPERLINK("https://klasma.github.io/Logging_2482/kartor/A 53423-2024 karta.png", "A 53423-2024")</f>
        <v/>
      </c>
      <c r="V464">
        <f>HYPERLINK("https://klasma.github.io/Logging_2482/klagomål/A 53423-2024 FSC-klagomål.docx", "A 53423-2024")</f>
        <v/>
      </c>
      <c r="W464">
        <f>HYPERLINK("https://klasma.github.io/Logging_2482/klagomålsmail/A 53423-2024 FSC-klagomål mail.docx", "A 53423-2024")</f>
        <v/>
      </c>
      <c r="X464">
        <f>HYPERLINK("https://klasma.github.io/Logging_2482/tillsyn/A 53423-2024 tillsynsbegäran.docx", "A 53423-2024")</f>
        <v/>
      </c>
      <c r="Y464">
        <f>HYPERLINK("https://klasma.github.io/Logging_2482/tillsynsmail/A 53423-2024 tillsynsbegäran mail.docx", "A 53423-2024")</f>
        <v/>
      </c>
      <c r="Z464">
        <f>HYPERLINK("https://klasma.github.io/Logging_2482/fåglar/A 53423-2024 prioriterade fågelarter.docx", "A 53423-2024")</f>
        <v/>
      </c>
    </row>
    <row r="465" ht="15" customHeight="1">
      <c r="A465" t="inlineStr">
        <is>
          <t>A 2643-2025</t>
        </is>
      </c>
      <c r="B465" s="1" t="n">
        <v>45676.48310185185</v>
      </c>
      <c r="C465" s="1" t="n">
        <v>46075</v>
      </c>
      <c r="D465" t="inlineStr">
        <is>
          <t>VÄSTERBOTTENS LÄN</t>
        </is>
      </c>
      <c r="E465" t="inlineStr">
        <is>
          <t>UMEÅ</t>
        </is>
      </c>
      <c r="F465" t="inlineStr">
        <is>
          <t>Övriga Aktiebolag</t>
        </is>
      </c>
      <c r="G465" t="n">
        <v>12.6</v>
      </c>
      <c r="H465" t="n">
        <v>0</v>
      </c>
      <c r="I465" t="n">
        <v>1</v>
      </c>
      <c r="J465" t="n">
        <v>3</v>
      </c>
      <c r="K465" t="n">
        <v>0</v>
      </c>
      <c r="L465" t="n">
        <v>0</v>
      </c>
      <c r="M465" t="n">
        <v>0</v>
      </c>
      <c r="N465" t="n">
        <v>0</v>
      </c>
      <c r="O465" t="n">
        <v>3</v>
      </c>
      <c r="P465" t="n">
        <v>0</v>
      </c>
      <c r="Q465" t="n">
        <v>4</v>
      </c>
      <c r="R465" s="2" t="inlineStr">
        <is>
          <t>Garnlav
Kolflarnlav
Ullticka
Dropptaggsvamp</t>
        </is>
      </c>
      <c r="S465">
        <f>HYPERLINK("https://klasma.github.io/Logging_2480/artfynd/A 2643-2025 artfynd.xlsx", "A 2643-2025")</f>
        <v/>
      </c>
      <c r="T465">
        <f>HYPERLINK("https://klasma.github.io/Logging_2480/kartor/A 2643-2025 karta.png", "A 2643-2025")</f>
        <v/>
      </c>
      <c r="V465">
        <f>HYPERLINK("https://klasma.github.io/Logging_2480/klagomål/A 2643-2025 FSC-klagomål.docx", "A 2643-2025")</f>
        <v/>
      </c>
      <c r="W465">
        <f>HYPERLINK("https://klasma.github.io/Logging_2480/klagomålsmail/A 2643-2025 FSC-klagomål mail.docx", "A 2643-2025")</f>
        <v/>
      </c>
      <c r="X465">
        <f>HYPERLINK("https://klasma.github.io/Logging_2480/tillsyn/A 2643-2025 tillsynsbegäran.docx", "A 2643-2025")</f>
        <v/>
      </c>
      <c r="Y465">
        <f>HYPERLINK("https://klasma.github.io/Logging_2480/tillsynsmail/A 2643-2025 tillsynsbegäran mail.docx", "A 2643-2025")</f>
        <v/>
      </c>
    </row>
    <row r="466" ht="15" customHeight="1">
      <c r="A466" t="inlineStr">
        <is>
          <t>A 32211-2023</t>
        </is>
      </c>
      <c r="B466" s="1" t="n">
        <v>45119</v>
      </c>
      <c r="C466" s="1" t="n">
        <v>46075</v>
      </c>
      <c r="D466" t="inlineStr">
        <is>
          <t>VÄSTERBOTTENS LÄN</t>
        </is>
      </c>
      <c r="E466" t="inlineStr">
        <is>
          <t>ROBERTSFORS</t>
        </is>
      </c>
      <c r="F466" t="inlineStr">
        <is>
          <t>SCA</t>
        </is>
      </c>
      <c r="G466" t="n">
        <v>14.4</v>
      </c>
      <c r="H466" t="n">
        <v>1</v>
      </c>
      <c r="I466" t="n">
        <v>0</v>
      </c>
      <c r="J466" t="n">
        <v>3</v>
      </c>
      <c r="K466" t="n">
        <v>1</v>
      </c>
      <c r="L466" t="n">
        <v>0</v>
      </c>
      <c r="M466" t="n">
        <v>0</v>
      </c>
      <c r="N466" t="n">
        <v>0</v>
      </c>
      <c r="O466" t="n">
        <v>4</v>
      </c>
      <c r="P466" t="n">
        <v>1</v>
      </c>
      <c r="Q466" t="n">
        <v>4</v>
      </c>
      <c r="R466" s="2" t="inlineStr">
        <is>
          <t>Gräddporing
Granticka
Tallticka
Talltita</t>
        </is>
      </c>
      <c r="S466">
        <f>HYPERLINK("https://klasma.github.io/Logging_2409/artfynd/A 32211-2023 artfynd.xlsx", "A 32211-2023")</f>
        <v/>
      </c>
      <c r="T466">
        <f>HYPERLINK("https://klasma.github.io/Logging_2409/kartor/A 32211-2023 karta.png", "A 32211-2023")</f>
        <v/>
      </c>
      <c r="V466">
        <f>HYPERLINK("https://klasma.github.io/Logging_2409/klagomål/A 32211-2023 FSC-klagomål.docx", "A 32211-2023")</f>
        <v/>
      </c>
      <c r="W466">
        <f>HYPERLINK("https://klasma.github.io/Logging_2409/klagomålsmail/A 32211-2023 FSC-klagomål mail.docx", "A 32211-2023")</f>
        <v/>
      </c>
      <c r="X466">
        <f>HYPERLINK("https://klasma.github.io/Logging_2409/tillsyn/A 32211-2023 tillsynsbegäran.docx", "A 32211-2023")</f>
        <v/>
      </c>
      <c r="Y466">
        <f>HYPERLINK("https://klasma.github.io/Logging_2409/tillsynsmail/A 32211-2023 tillsynsbegäran mail.docx", "A 32211-2023")</f>
        <v/>
      </c>
      <c r="Z466">
        <f>HYPERLINK("https://klasma.github.io/Logging_2409/fåglar/A 32211-2023 prioriterade fågelarter.docx", "A 32211-2023")</f>
        <v/>
      </c>
    </row>
    <row r="467" ht="15" customHeight="1">
      <c r="A467" t="inlineStr">
        <is>
          <t>A 50665-2023</t>
        </is>
      </c>
      <c r="B467" s="1" t="n">
        <v>45217</v>
      </c>
      <c r="C467" s="1" t="n">
        <v>46075</v>
      </c>
      <c r="D467" t="inlineStr">
        <is>
          <t>VÄSTERBOTTENS LÄN</t>
        </is>
      </c>
      <c r="E467" t="inlineStr">
        <is>
          <t>VINDELN</t>
        </is>
      </c>
      <c r="F467" t="inlineStr">
        <is>
          <t>Holmen skog AB</t>
        </is>
      </c>
      <c r="G467" t="n">
        <v>7.3</v>
      </c>
      <c r="H467" t="n">
        <v>3</v>
      </c>
      <c r="I467" t="n">
        <v>0</v>
      </c>
      <c r="J467" t="n">
        <v>1</v>
      </c>
      <c r="K467" t="n">
        <v>1</v>
      </c>
      <c r="L467" t="n">
        <v>0</v>
      </c>
      <c r="M467" t="n">
        <v>0</v>
      </c>
      <c r="N467" t="n">
        <v>0</v>
      </c>
      <c r="O467" t="n">
        <v>2</v>
      </c>
      <c r="P467" t="n">
        <v>1</v>
      </c>
      <c r="Q467" t="n">
        <v>4</v>
      </c>
      <c r="R467" s="2" t="inlineStr">
        <is>
          <t>Turkos blåvinge
Höstlåsbräken
Fläcknycklar
Nattviol</t>
        </is>
      </c>
      <c r="S467">
        <f>HYPERLINK("https://klasma.github.io/Logging_2404/artfynd/A 50665-2023 artfynd.xlsx", "A 50665-2023")</f>
        <v/>
      </c>
      <c r="T467">
        <f>HYPERLINK("https://klasma.github.io/Logging_2404/kartor/A 50665-2023 karta.png", "A 50665-2023")</f>
        <v/>
      </c>
      <c r="V467">
        <f>HYPERLINK("https://klasma.github.io/Logging_2404/klagomål/A 50665-2023 FSC-klagomål.docx", "A 50665-2023")</f>
        <v/>
      </c>
      <c r="W467">
        <f>HYPERLINK("https://klasma.github.io/Logging_2404/klagomålsmail/A 50665-2023 FSC-klagomål mail.docx", "A 50665-2023")</f>
        <v/>
      </c>
      <c r="X467">
        <f>HYPERLINK("https://klasma.github.io/Logging_2404/tillsyn/A 50665-2023 tillsynsbegäran.docx", "A 50665-2023")</f>
        <v/>
      </c>
      <c r="Y467">
        <f>HYPERLINK("https://klasma.github.io/Logging_2404/tillsynsmail/A 50665-2023 tillsynsbegäran mail.docx", "A 50665-2023")</f>
        <v/>
      </c>
    </row>
    <row r="468" ht="15" customHeight="1">
      <c r="A468" t="inlineStr">
        <is>
          <t>A 5700-2023</t>
        </is>
      </c>
      <c r="B468" s="1" t="n">
        <v>44960</v>
      </c>
      <c r="C468" s="1" t="n">
        <v>46075</v>
      </c>
      <c r="D468" t="inlineStr">
        <is>
          <t>VÄSTERBOTTENS LÄN</t>
        </is>
      </c>
      <c r="E468" t="inlineStr">
        <is>
          <t>ÅSELE</t>
        </is>
      </c>
      <c r="F468" t="inlineStr">
        <is>
          <t>SCA</t>
        </is>
      </c>
      <c r="G468" t="n">
        <v>5.1</v>
      </c>
      <c r="H468" t="n">
        <v>0</v>
      </c>
      <c r="I468" t="n">
        <v>0</v>
      </c>
      <c r="J468" t="n">
        <v>4</v>
      </c>
      <c r="K468" t="n">
        <v>0</v>
      </c>
      <c r="L468" t="n">
        <v>0</v>
      </c>
      <c r="M468" t="n">
        <v>0</v>
      </c>
      <c r="N468" t="n">
        <v>0</v>
      </c>
      <c r="O468" t="n">
        <v>4</v>
      </c>
      <c r="P468" t="n">
        <v>0</v>
      </c>
      <c r="Q468" t="n">
        <v>4</v>
      </c>
      <c r="R468" s="2" t="inlineStr">
        <is>
          <t>Gammelgransskål
Garnlav
Granticka
Lunglav</t>
        </is>
      </c>
      <c r="S468">
        <f>HYPERLINK("https://klasma.github.io/Logging_2463/artfynd/A 5700-2023 artfynd.xlsx", "A 5700-2023")</f>
        <v/>
      </c>
      <c r="T468">
        <f>HYPERLINK("https://klasma.github.io/Logging_2463/kartor/A 5700-2023 karta.png", "A 5700-2023")</f>
        <v/>
      </c>
      <c r="V468">
        <f>HYPERLINK("https://klasma.github.io/Logging_2463/klagomål/A 5700-2023 FSC-klagomål.docx", "A 5700-2023")</f>
        <v/>
      </c>
      <c r="W468">
        <f>HYPERLINK("https://klasma.github.io/Logging_2463/klagomålsmail/A 5700-2023 FSC-klagomål mail.docx", "A 5700-2023")</f>
        <v/>
      </c>
      <c r="X468">
        <f>HYPERLINK("https://klasma.github.io/Logging_2463/tillsyn/A 5700-2023 tillsynsbegäran.docx", "A 5700-2023")</f>
        <v/>
      </c>
      <c r="Y468">
        <f>HYPERLINK("https://klasma.github.io/Logging_2463/tillsynsmail/A 5700-2023 tillsynsbegäran mail.docx", "A 5700-2023")</f>
        <v/>
      </c>
    </row>
    <row r="469" ht="15" customHeight="1">
      <c r="A469" t="inlineStr">
        <is>
          <t>A 28706-2024</t>
        </is>
      </c>
      <c r="B469" s="1" t="n">
        <v>45478</v>
      </c>
      <c r="C469" s="1" t="n">
        <v>46075</v>
      </c>
      <c r="D469" t="inlineStr">
        <is>
          <t>VÄSTERBOTTENS LÄN</t>
        </is>
      </c>
      <c r="E469" t="inlineStr">
        <is>
          <t>VINDELN</t>
        </is>
      </c>
      <c r="F469" t="inlineStr">
        <is>
          <t>Holmen skog AB</t>
        </is>
      </c>
      <c r="G469" t="n">
        <v>2.2</v>
      </c>
      <c r="H469" t="n">
        <v>3</v>
      </c>
      <c r="I469" t="n">
        <v>0</v>
      </c>
      <c r="J469" t="n">
        <v>3</v>
      </c>
      <c r="K469" t="n">
        <v>0</v>
      </c>
      <c r="L469" t="n">
        <v>0</v>
      </c>
      <c r="M469" t="n">
        <v>0</v>
      </c>
      <c r="N469" t="n">
        <v>0</v>
      </c>
      <c r="O469" t="n">
        <v>3</v>
      </c>
      <c r="P469" t="n">
        <v>0</v>
      </c>
      <c r="Q469" t="n">
        <v>4</v>
      </c>
      <c r="R469" s="2" t="inlineStr">
        <is>
          <t>Spillkråka
Tretåig hackspett
Ullticka
Fläcknycklar</t>
        </is>
      </c>
      <c r="S469">
        <f>HYPERLINK("https://klasma.github.io/Logging_2404/artfynd/A 28706-2024 artfynd.xlsx", "A 28706-2024")</f>
        <v/>
      </c>
      <c r="T469">
        <f>HYPERLINK("https://klasma.github.io/Logging_2404/kartor/A 28706-2024 karta.png", "A 28706-2024")</f>
        <v/>
      </c>
      <c r="U469">
        <f>HYPERLINK("https://klasma.github.io/Logging_2404/knärot/A 28706-2024 karta knärot.png", "A 28706-2024")</f>
        <v/>
      </c>
      <c r="V469">
        <f>HYPERLINK("https://klasma.github.io/Logging_2404/klagomål/A 28706-2024 FSC-klagomål.docx", "A 28706-2024")</f>
        <v/>
      </c>
      <c r="W469">
        <f>HYPERLINK("https://klasma.github.io/Logging_2404/klagomålsmail/A 28706-2024 FSC-klagomål mail.docx", "A 28706-2024")</f>
        <v/>
      </c>
      <c r="X469">
        <f>HYPERLINK("https://klasma.github.io/Logging_2404/tillsyn/A 28706-2024 tillsynsbegäran.docx", "A 28706-2024")</f>
        <v/>
      </c>
      <c r="Y469">
        <f>HYPERLINK("https://klasma.github.io/Logging_2404/tillsynsmail/A 28706-2024 tillsynsbegäran mail.docx", "A 28706-2024")</f>
        <v/>
      </c>
      <c r="Z469">
        <f>HYPERLINK("https://klasma.github.io/Logging_2404/fåglar/A 28706-2024 prioriterade fågelarter.docx", "A 28706-2024")</f>
        <v/>
      </c>
    </row>
    <row r="470" ht="15" customHeight="1">
      <c r="A470" t="inlineStr">
        <is>
          <t>A 37322-2022</t>
        </is>
      </c>
      <c r="B470" s="1" t="n">
        <v>44806</v>
      </c>
      <c r="C470" s="1" t="n">
        <v>46075</v>
      </c>
      <c r="D470" t="inlineStr">
        <is>
          <t>VÄSTERBOTTENS LÄN</t>
        </is>
      </c>
      <c r="E470" t="inlineStr">
        <is>
          <t>VILHELMINA</t>
        </is>
      </c>
      <c r="F470" t="inlineStr">
        <is>
          <t>Övriga statliga verk och myndigheter</t>
        </is>
      </c>
      <c r="G470" t="n">
        <v>15.4</v>
      </c>
      <c r="H470" t="n">
        <v>1</v>
      </c>
      <c r="I470" t="n">
        <v>0</v>
      </c>
      <c r="J470" t="n">
        <v>4</v>
      </c>
      <c r="K470" t="n">
        <v>0</v>
      </c>
      <c r="L470" t="n">
        <v>0</v>
      </c>
      <c r="M470" t="n">
        <v>0</v>
      </c>
      <c r="N470" t="n">
        <v>0</v>
      </c>
      <c r="O470" t="n">
        <v>4</v>
      </c>
      <c r="P470" t="n">
        <v>0</v>
      </c>
      <c r="Q470" t="n">
        <v>4</v>
      </c>
      <c r="R470" s="2" t="inlineStr">
        <is>
          <t>Garnlav
Granticka
Skrovellav
Tretåig hackspett</t>
        </is>
      </c>
      <c r="S470">
        <f>HYPERLINK("https://klasma.github.io/Logging_2462/artfynd/A 37322-2022 artfynd.xlsx", "A 37322-2022")</f>
        <v/>
      </c>
      <c r="T470">
        <f>HYPERLINK("https://klasma.github.io/Logging_2462/kartor/A 37322-2022 karta.png", "A 37322-2022")</f>
        <v/>
      </c>
      <c r="V470">
        <f>HYPERLINK("https://klasma.github.io/Logging_2462/klagomål/A 37322-2022 FSC-klagomål.docx", "A 37322-2022")</f>
        <v/>
      </c>
      <c r="W470">
        <f>HYPERLINK("https://klasma.github.io/Logging_2462/klagomålsmail/A 37322-2022 FSC-klagomål mail.docx", "A 37322-2022")</f>
        <v/>
      </c>
      <c r="X470">
        <f>HYPERLINK("https://klasma.github.io/Logging_2462/tillsyn/A 37322-2022 tillsynsbegäran.docx", "A 37322-2022")</f>
        <v/>
      </c>
      <c r="Y470">
        <f>HYPERLINK("https://klasma.github.io/Logging_2462/tillsynsmail/A 37322-2022 tillsynsbegäran mail.docx", "A 37322-2022")</f>
        <v/>
      </c>
      <c r="Z470">
        <f>HYPERLINK("https://klasma.github.io/Logging_2462/fåglar/A 37322-2022 prioriterade fågelarter.docx", "A 37322-2022")</f>
        <v/>
      </c>
    </row>
    <row r="471" ht="15" customHeight="1">
      <c r="A471" t="inlineStr">
        <is>
          <t>A 45691-2023</t>
        </is>
      </c>
      <c r="B471" s="1" t="n">
        <v>45195</v>
      </c>
      <c r="C471" s="1" t="n">
        <v>46075</v>
      </c>
      <c r="D471" t="inlineStr">
        <is>
          <t>VÄSTERBOTTENS LÄN</t>
        </is>
      </c>
      <c r="E471" t="inlineStr">
        <is>
          <t>UMEÅ</t>
        </is>
      </c>
      <c r="F471" t="inlineStr">
        <is>
          <t>Holmen skog AB</t>
        </is>
      </c>
      <c r="G471" t="n">
        <v>5.1</v>
      </c>
      <c r="H471" t="n">
        <v>1</v>
      </c>
      <c r="I471" t="n">
        <v>1</v>
      </c>
      <c r="J471" t="n">
        <v>3</v>
      </c>
      <c r="K471" t="n">
        <v>0</v>
      </c>
      <c r="L471" t="n">
        <v>0</v>
      </c>
      <c r="M471" t="n">
        <v>0</v>
      </c>
      <c r="N471" t="n">
        <v>0</v>
      </c>
      <c r="O471" t="n">
        <v>3</v>
      </c>
      <c r="P471" t="n">
        <v>0</v>
      </c>
      <c r="Q471" t="n">
        <v>4</v>
      </c>
      <c r="R471" s="2" t="inlineStr">
        <is>
          <t>Garnlav
Tretåig hackspett
Vaddporing
Stuplav</t>
        </is>
      </c>
      <c r="S471">
        <f>HYPERLINK("https://klasma.github.io/Logging_2480/artfynd/A 45691-2023 artfynd.xlsx", "A 45691-2023")</f>
        <v/>
      </c>
      <c r="T471">
        <f>HYPERLINK("https://klasma.github.io/Logging_2480/kartor/A 45691-2023 karta.png", "A 45691-2023")</f>
        <v/>
      </c>
      <c r="V471">
        <f>HYPERLINK("https://klasma.github.io/Logging_2480/klagomål/A 45691-2023 FSC-klagomål.docx", "A 45691-2023")</f>
        <v/>
      </c>
      <c r="W471">
        <f>HYPERLINK("https://klasma.github.io/Logging_2480/klagomålsmail/A 45691-2023 FSC-klagomål mail.docx", "A 45691-2023")</f>
        <v/>
      </c>
      <c r="X471">
        <f>HYPERLINK("https://klasma.github.io/Logging_2480/tillsyn/A 45691-2023 tillsynsbegäran.docx", "A 45691-2023")</f>
        <v/>
      </c>
      <c r="Y471">
        <f>HYPERLINK("https://klasma.github.io/Logging_2480/tillsynsmail/A 45691-2023 tillsynsbegäran mail.docx", "A 45691-2023")</f>
        <v/>
      </c>
      <c r="Z471">
        <f>HYPERLINK("https://klasma.github.io/Logging_2480/fåglar/A 45691-2023 prioriterade fågelarter.docx", "A 45691-2023")</f>
        <v/>
      </c>
    </row>
    <row r="472" ht="15" customHeight="1">
      <c r="A472" t="inlineStr">
        <is>
          <t>A 38124-2024</t>
        </is>
      </c>
      <c r="B472" s="1" t="n">
        <v>45545</v>
      </c>
      <c r="C472" s="1" t="n">
        <v>46075</v>
      </c>
      <c r="D472" t="inlineStr">
        <is>
          <t>VÄSTERBOTTENS LÄN</t>
        </is>
      </c>
      <c r="E472" t="inlineStr">
        <is>
          <t>VILHELMINA</t>
        </is>
      </c>
      <c r="F472" t="inlineStr">
        <is>
          <t>SCA</t>
        </is>
      </c>
      <c r="G472" t="n">
        <v>3.2</v>
      </c>
      <c r="H472" t="n">
        <v>3</v>
      </c>
      <c r="I472" t="n">
        <v>0</v>
      </c>
      <c r="J472" t="n">
        <v>3</v>
      </c>
      <c r="K472" t="n">
        <v>0</v>
      </c>
      <c r="L472" t="n">
        <v>0</v>
      </c>
      <c r="M472" t="n">
        <v>0</v>
      </c>
      <c r="N472" t="n">
        <v>0</v>
      </c>
      <c r="O472" t="n">
        <v>3</v>
      </c>
      <c r="P472" t="n">
        <v>0</v>
      </c>
      <c r="Q472" t="n">
        <v>4</v>
      </c>
      <c r="R472" s="2" t="inlineStr">
        <is>
          <t>Garnlav
Spillkråka
Tretåig hackspett
Lavskrika</t>
        </is>
      </c>
      <c r="S472">
        <f>HYPERLINK("https://klasma.github.io/Logging_2462/artfynd/A 38124-2024 artfynd.xlsx", "A 38124-2024")</f>
        <v/>
      </c>
      <c r="T472">
        <f>HYPERLINK("https://klasma.github.io/Logging_2462/kartor/A 38124-2024 karta.png", "A 38124-2024")</f>
        <v/>
      </c>
      <c r="V472">
        <f>HYPERLINK("https://klasma.github.io/Logging_2462/klagomål/A 38124-2024 FSC-klagomål.docx", "A 38124-2024")</f>
        <v/>
      </c>
      <c r="W472">
        <f>HYPERLINK("https://klasma.github.io/Logging_2462/klagomålsmail/A 38124-2024 FSC-klagomål mail.docx", "A 38124-2024")</f>
        <v/>
      </c>
      <c r="X472">
        <f>HYPERLINK("https://klasma.github.io/Logging_2462/tillsyn/A 38124-2024 tillsynsbegäran.docx", "A 38124-2024")</f>
        <v/>
      </c>
      <c r="Y472">
        <f>HYPERLINK("https://klasma.github.io/Logging_2462/tillsynsmail/A 38124-2024 tillsynsbegäran mail.docx", "A 38124-2024")</f>
        <v/>
      </c>
      <c r="Z472">
        <f>HYPERLINK("https://klasma.github.io/Logging_2462/fåglar/A 38124-2024 prioriterade fågelarter.docx", "A 38124-2024")</f>
        <v/>
      </c>
    </row>
    <row r="473" ht="15" customHeight="1">
      <c r="A473" t="inlineStr">
        <is>
          <t>A 28867-2024</t>
        </is>
      </c>
      <c r="B473" s="1" t="n">
        <v>45478</v>
      </c>
      <c r="C473" s="1" t="n">
        <v>46075</v>
      </c>
      <c r="D473" t="inlineStr">
        <is>
          <t>VÄSTERBOTTENS LÄN</t>
        </is>
      </c>
      <c r="E473" t="inlineStr">
        <is>
          <t>VILHELMINA</t>
        </is>
      </c>
      <c r="F473" t="inlineStr">
        <is>
          <t>SCA</t>
        </is>
      </c>
      <c r="G473" t="n">
        <v>1</v>
      </c>
      <c r="H473" t="n">
        <v>1</v>
      </c>
      <c r="I473" t="n">
        <v>0</v>
      </c>
      <c r="J473" t="n">
        <v>4</v>
      </c>
      <c r="K473" t="n">
        <v>0</v>
      </c>
      <c r="L473" t="n">
        <v>0</v>
      </c>
      <c r="M473" t="n">
        <v>0</v>
      </c>
      <c r="N473" t="n">
        <v>0</v>
      </c>
      <c r="O473" t="n">
        <v>4</v>
      </c>
      <c r="P473" t="n">
        <v>0</v>
      </c>
      <c r="Q473" t="n">
        <v>4</v>
      </c>
      <c r="R473" s="2" t="inlineStr">
        <is>
          <t>Garnlav
Granticka
Liten svartspik
Tretåig hackspett</t>
        </is>
      </c>
      <c r="S473">
        <f>HYPERLINK("https://klasma.github.io/Logging_2462/artfynd/A 28867-2024 artfynd.xlsx", "A 28867-2024")</f>
        <v/>
      </c>
      <c r="T473">
        <f>HYPERLINK("https://klasma.github.io/Logging_2462/kartor/A 28867-2024 karta.png", "A 28867-2024")</f>
        <v/>
      </c>
      <c r="V473">
        <f>HYPERLINK("https://klasma.github.io/Logging_2462/klagomål/A 28867-2024 FSC-klagomål.docx", "A 28867-2024")</f>
        <v/>
      </c>
      <c r="W473">
        <f>HYPERLINK("https://klasma.github.io/Logging_2462/klagomålsmail/A 28867-2024 FSC-klagomål mail.docx", "A 28867-2024")</f>
        <v/>
      </c>
      <c r="X473">
        <f>HYPERLINK("https://klasma.github.io/Logging_2462/tillsyn/A 28867-2024 tillsynsbegäran.docx", "A 28867-2024")</f>
        <v/>
      </c>
      <c r="Y473">
        <f>HYPERLINK("https://klasma.github.io/Logging_2462/tillsynsmail/A 28867-2024 tillsynsbegäran mail.docx", "A 28867-2024")</f>
        <v/>
      </c>
      <c r="Z473">
        <f>HYPERLINK("https://klasma.github.io/Logging_2462/fåglar/A 28867-2024 prioriterade fågelarter.docx", "A 28867-2024")</f>
        <v/>
      </c>
    </row>
    <row r="474" ht="15" customHeight="1">
      <c r="A474" t="inlineStr">
        <is>
          <t>A 52891-2024</t>
        </is>
      </c>
      <c r="B474" s="1" t="n">
        <v>45610.66724537037</v>
      </c>
      <c r="C474" s="1" t="n">
        <v>46075</v>
      </c>
      <c r="D474" t="inlineStr">
        <is>
          <t>VÄSTERBOTTENS LÄN</t>
        </is>
      </c>
      <c r="E474" t="inlineStr">
        <is>
          <t>LYCKSELE</t>
        </is>
      </c>
      <c r="F474" t="inlineStr">
        <is>
          <t>Holmen skog AB</t>
        </is>
      </c>
      <c r="G474" t="n">
        <v>5</v>
      </c>
      <c r="H474" t="n">
        <v>0</v>
      </c>
      <c r="I474" t="n">
        <v>1</v>
      </c>
      <c r="J474" t="n">
        <v>3</v>
      </c>
      <c r="K474" t="n">
        <v>0</v>
      </c>
      <c r="L474" t="n">
        <v>0</v>
      </c>
      <c r="M474" t="n">
        <v>0</v>
      </c>
      <c r="N474" t="n">
        <v>0</v>
      </c>
      <c r="O474" t="n">
        <v>3</v>
      </c>
      <c r="P474" t="n">
        <v>0</v>
      </c>
      <c r="Q474" t="n">
        <v>4</v>
      </c>
      <c r="R474" s="2" t="inlineStr">
        <is>
          <t>Garnlav
Granticka
Lunglav
Bårdlav</t>
        </is>
      </c>
      <c r="S474">
        <f>HYPERLINK("https://klasma.github.io/Logging_2481/artfynd/A 52891-2024 artfynd.xlsx", "A 52891-2024")</f>
        <v/>
      </c>
      <c r="T474">
        <f>HYPERLINK("https://klasma.github.io/Logging_2481/kartor/A 52891-2024 karta.png", "A 52891-2024")</f>
        <v/>
      </c>
      <c r="V474">
        <f>HYPERLINK("https://klasma.github.io/Logging_2481/klagomål/A 52891-2024 FSC-klagomål.docx", "A 52891-2024")</f>
        <v/>
      </c>
      <c r="W474">
        <f>HYPERLINK("https://klasma.github.io/Logging_2481/klagomålsmail/A 52891-2024 FSC-klagomål mail.docx", "A 52891-2024")</f>
        <v/>
      </c>
      <c r="X474">
        <f>HYPERLINK("https://klasma.github.io/Logging_2481/tillsyn/A 52891-2024 tillsynsbegäran.docx", "A 52891-2024")</f>
        <v/>
      </c>
      <c r="Y474">
        <f>HYPERLINK("https://klasma.github.io/Logging_2481/tillsynsmail/A 52891-2024 tillsynsbegäran mail.docx", "A 52891-2024")</f>
        <v/>
      </c>
    </row>
    <row r="475" ht="15" customHeight="1">
      <c r="A475" t="inlineStr">
        <is>
          <t>A 33974-2024</t>
        </is>
      </c>
      <c r="B475" s="1" t="n">
        <v>45523.49939814815</v>
      </c>
      <c r="C475" s="1" t="n">
        <v>46075</v>
      </c>
      <c r="D475" t="inlineStr">
        <is>
          <t>VÄSTERBOTTENS LÄN</t>
        </is>
      </c>
      <c r="E475" t="inlineStr">
        <is>
          <t>UMEÅ</t>
        </is>
      </c>
      <c r="G475" t="n">
        <v>1.5</v>
      </c>
      <c r="H475" t="n">
        <v>2</v>
      </c>
      <c r="I475" t="n">
        <v>1</v>
      </c>
      <c r="J475" t="n">
        <v>3</v>
      </c>
      <c r="K475" t="n">
        <v>0</v>
      </c>
      <c r="L475" t="n">
        <v>0</v>
      </c>
      <c r="M475" t="n">
        <v>0</v>
      </c>
      <c r="N475" t="n">
        <v>0</v>
      </c>
      <c r="O475" t="n">
        <v>3</v>
      </c>
      <c r="P475" t="n">
        <v>0</v>
      </c>
      <c r="Q475" t="n">
        <v>4</v>
      </c>
      <c r="R475" s="2" t="inlineStr">
        <is>
          <t>Garnlav
Talltita
Tretåig hackspett
Vedticka</t>
        </is>
      </c>
      <c r="S475">
        <f>HYPERLINK("https://klasma.github.io/Logging_2480/artfynd/A 33974-2024 artfynd.xlsx", "A 33974-2024")</f>
        <v/>
      </c>
      <c r="T475">
        <f>HYPERLINK("https://klasma.github.io/Logging_2480/kartor/A 33974-2024 karta.png", "A 33974-2024")</f>
        <v/>
      </c>
      <c r="V475">
        <f>HYPERLINK("https://klasma.github.io/Logging_2480/klagomål/A 33974-2024 FSC-klagomål.docx", "A 33974-2024")</f>
        <v/>
      </c>
      <c r="W475">
        <f>HYPERLINK("https://klasma.github.io/Logging_2480/klagomålsmail/A 33974-2024 FSC-klagomål mail.docx", "A 33974-2024")</f>
        <v/>
      </c>
      <c r="X475">
        <f>HYPERLINK("https://klasma.github.io/Logging_2480/tillsyn/A 33974-2024 tillsynsbegäran.docx", "A 33974-2024")</f>
        <v/>
      </c>
      <c r="Y475">
        <f>HYPERLINK("https://klasma.github.io/Logging_2480/tillsynsmail/A 33974-2024 tillsynsbegäran mail.docx", "A 33974-2024")</f>
        <v/>
      </c>
      <c r="Z475">
        <f>HYPERLINK("https://klasma.github.io/Logging_2480/fåglar/A 33974-2024 prioriterade fågelarter.docx", "A 33974-2024")</f>
        <v/>
      </c>
    </row>
    <row r="476" ht="15" customHeight="1">
      <c r="A476" t="inlineStr">
        <is>
          <t>A 58709-2024</t>
        </is>
      </c>
      <c r="B476" s="1" t="n">
        <v>45635</v>
      </c>
      <c r="C476" s="1" t="n">
        <v>46075</v>
      </c>
      <c r="D476" t="inlineStr">
        <is>
          <t>VÄSTERBOTTENS LÄN</t>
        </is>
      </c>
      <c r="E476" t="inlineStr">
        <is>
          <t>BJURHOLM</t>
        </is>
      </c>
      <c r="G476" t="n">
        <v>8.300000000000001</v>
      </c>
      <c r="H476" t="n">
        <v>1</v>
      </c>
      <c r="I476" t="n">
        <v>0</v>
      </c>
      <c r="J476" t="n">
        <v>3</v>
      </c>
      <c r="K476" t="n">
        <v>1</v>
      </c>
      <c r="L476" t="n">
        <v>0</v>
      </c>
      <c r="M476" t="n">
        <v>0</v>
      </c>
      <c r="N476" t="n">
        <v>0</v>
      </c>
      <c r="O476" t="n">
        <v>4</v>
      </c>
      <c r="P476" t="n">
        <v>1</v>
      </c>
      <c r="Q476" t="n">
        <v>4</v>
      </c>
      <c r="R476" s="2" t="inlineStr">
        <is>
          <t>Rynkskinn
Garnlav
Spillkråka
Ullticka</t>
        </is>
      </c>
      <c r="S476">
        <f>HYPERLINK("https://klasma.github.io/Logging_2403/artfynd/A 58709-2024 artfynd.xlsx", "A 58709-2024")</f>
        <v/>
      </c>
      <c r="T476">
        <f>HYPERLINK("https://klasma.github.io/Logging_2403/kartor/A 58709-2024 karta.png", "A 58709-2024")</f>
        <v/>
      </c>
      <c r="V476">
        <f>HYPERLINK("https://klasma.github.io/Logging_2403/klagomål/A 58709-2024 FSC-klagomål.docx", "A 58709-2024")</f>
        <v/>
      </c>
      <c r="W476">
        <f>HYPERLINK("https://klasma.github.io/Logging_2403/klagomålsmail/A 58709-2024 FSC-klagomål mail.docx", "A 58709-2024")</f>
        <v/>
      </c>
      <c r="X476">
        <f>HYPERLINK("https://klasma.github.io/Logging_2403/tillsyn/A 58709-2024 tillsynsbegäran.docx", "A 58709-2024")</f>
        <v/>
      </c>
      <c r="Y476">
        <f>HYPERLINK("https://klasma.github.io/Logging_2403/tillsynsmail/A 58709-2024 tillsynsbegäran mail.docx", "A 58709-2024")</f>
        <v/>
      </c>
      <c r="Z476">
        <f>HYPERLINK("https://klasma.github.io/Logging_2403/fåglar/A 58709-2024 prioriterade fågelarter.docx", "A 58709-2024")</f>
        <v/>
      </c>
    </row>
    <row r="477" ht="15" customHeight="1">
      <c r="A477" t="inlineStr">
        <is>
          <t>A 44382-2023</t>
        </is>
      </c>
      <c r="B477" s="1" t="n">
        <v>45188.94413194444</v>
      </c>
      <c r="C477" s="1" t="n">
        <v>46075</v>
      </c>
      <c r="D477" t="inlineStr">
        <is>
          <t>VÄSTERBOTTENS LÄN</t>
        </is>
      </c>
      <c r="E477" t="inlineStr">
        <is>
          <t>VILHELMINA</t>
        </is>
      </c>
      <c r="F477" t="inlineStr">
        <is>
          <t>SCA</t>
        </is>
      </c>
      <c r="G477" t="n">
        <v>2.8</v>
      </c>
      <c r="H477" t="n">
        <v>1</v>
      </c>
      <c r="I477" t="n">
        <v>1</v>
      </c>
      <c r="J477" t="n">
        <v>3</v>
      </c>
      <c r="K477" t="n">
        <v>0</v>
      </c>
      <c r="L477" t="n">
        <v>0</v>
      </c>
      <c r="M477" t="n">
        <v>0</v>
      </c>
      <c r="N477" t="n">
        <v>0</v>
      </c>
      <c r="O477" t="n">
        <v>3</v>
      </c>
      <c r="P477" t="n">
        <v>0</v>
      </c>
      <c r="Q477" t="n">
        <v>4</v>
      </c>
      <c r="R477" s="2" t="inlineStr">
        <is>
          <t>Garnlav
Lunglav
Talltita
Stuplav</t>
        </is>
      </c>
      <c r="S477">
        <f>HYPERLINK("https://klasma.github.io/Logging_2462/artfynd/A 44382-2023 artfynd.xlsx", "A 44382-2023")</f>
        <v/>
      </c>
      <c r="T477">
        <f>HYPERLINK("https://klasma.github.io/Logging_2462/kartor/A 44382-2023 karta.png", "A 44382-2023")</f>
        <v/>
      </c>
      <c r="V477">
        <f>HYPERLINK("https://klasma.github.io/Logging_2462/klagomål/A 44382-2023 FSC-klagomål.docx", "A 44382-2023")</f>
        <v/>
      </c>
      <c r="W477">
        <f>HYPERLINK("https://klasma.github.io/Logging_2462/klagomålsmail/A 44382-2023 FSC-klagomål mail.docx", "A 44382-2023")</f>
        <v/>
      </c>
      <c r="X477">
        <f>HYPERLINK("https://klasma.github.io/Logging_2462/tillsyn/A 44382-2023 tillsynsbegäran.docx", "A 44382-2023")</f>
        <v/>
      </c>
      <c r="Y477">
        <f>HYPERLINK("https://klasma.github.io/Logging_2462/tillsynsmail/A 44382-2023 tillsynsbegäran mail.docx", "A 44382-2023")</f>
        <v/>
      </c>
      <c r="Z477">
        <f>HYPERLINK("https://klasma.github.io/Logging_2462/fåglar/A 44382-2023 prioriterade fågelarter.docx", "A 44382-2023")</f>
        <v/>
      </c>
    </row>
    <row r="478" ht="15" customHeight="1">
      <c r="A478" t="inlineStr">
        <is>
          <t>A 53094-2024</t>
        </is>
      </c>
      <c r="B478" s="1" t="n">
        <v>45611.53018518518</v>
      </c>
      <c r="C478" s="1" t="n">
        <v>46075</v>
      </c>
      <c r="D478" t="inlineStr">
        <is>
          <t>VÄSTERBOTTENS LÄN</t>
        </is>
      </c>
      <c r="E478" t="inlineStr">
        <is>
          <t>LYCKSELE</t>
        </is>
      </c>
      <c r="F478" t="inlineStr">
        <is>
          <t>Sveaskog</t>
        </is>
      </c>
      <c r="G478" t="n">
        <v>5.4</v>
      </c>
      <c r="H478" t="n">
        <v>0</v>
      </c>
      <c r="I478" t="n">
        <v>0</v>
      </c>
      <c r="J478" t="n">
        <v>4</v>
      </c>
      <c r="K478" t="n">
        <v>0</v>
      </c>
      <c r="L478" t="n">
        <v>0</v>
      </c>
      <c r="M478" t="n">
        <v>0</v>
      </c>
      <c r="N478" t="n">
        <v>0</v>
      </c>
      <c r="O478" t="n">
        <v>4</v>
      </c>
      <c r="P478" t="n">
        <v>0</v>
      </c>
      <c r="Q478" t="n">
        <v>4</v>
      </c>
      <c r="R478" s="2" t="inlineStr">
        <is>
          <t>Blå taggsvamp
Kolflarnlav
Lunglav
Motaggsvamp</t>
        </is>
      </c>
      <c r="S478">
        <f>HYPERLINK("https://klasma.github.io/Logging_2481/artfynd/A 53094-2024 artfynd.xlsx", "A 53094-2024")</f>
        <v/>
      </c>
      <c r="T478">
        <f>HYPERLINK("https://klasma.github.io/Logging_2481/kartor/A 53094-2024 karta.png", "A 53094-2024")</f>
        <v/>
      </c>
      <c r="V478">
        <f>HYPERLINK("https://klasma.github.io/Logging_2481/klagomål/A 53094-2024 FSC-klagomål.docx", "A 53094-2024")</f>
        <v/>
      </c>
      <c r="W478">
        <f>HYPERLINK("https://klasma.github.io/Logging_2481/klagomålsmail/A 53094-2024 FSC-klagomål mail.docx", "A 53094-2024")</f>
        <v/>
      </c>
      <c r="X478">
        <f>HYPERLINK("https://klasma.github.io/Logging_2481/tillsyn/A 53094-2024 tillsynsbegäran.docx", "A 53094-2024")</f>
        <v/>
      </c>
      <c r="Y478">
        <f>HYPERLINK("https://klasma.github.io/Logging_2481/tillsynsmail/A 53094-2024 tillsynsbegäran mail.docx", "A 53094-2024")</f>
        <v/>
      </c>
    </row>
    <row r="479" ht="15" customHeight="1">
      <c r="A479" t="inlineStr">
        <is>
          <t>A 40760-2024</t>
        </is>
      </c>
      <c r="B479" s="1" t="n">
        <v>45558.46092592592</v>
      </c>
      <c r="C479" s="1" t="n">
        <v>46075</v>
      </c>
      <c r="D479" t="inlineStr">
        <is>
          <t>VÄSTERBOTTENS LÄN</t>
        </is>
      </c>
      <c r="E479" t="inlineStr">
        <is>
          <t>VINDELN</t>
        </is>
      </c>
      <c r="F479" t="inlineStr">
        <is>
          <t>Holmen skog AB</t>
        </is>
      </c>
      <c r="G479" t="n">
        <v>8.1</v>
      </c>
      <c r="H479" t="n">
        <v>0</v>
      </c>
      <c r="I479" t="n">
        <v>2</v>
      </c>
      <c r="J479" t="n">
        <v>2</v>
      </c>
      <c r="K479" t="n">
        <v>0</v>
      </c>
      <c r="L479" t="n">
        <v>0</v>
      </c>
      <c r="M479" t="n">
        <v>0</v>
      </c>
      <c r="N479" t="n">
        <v>0</v>
      </c>
      <c r="O479" t="n">
        <v>2</v>
      </c>
      <c r="P479" t="n">
        <v>0</v>
      </c>
      <c r="Q479" t="n">
        <v>4</v>
      </c>
      <c r="R479" s="2" t="inlineStr">
        <is>
          <t>Granticka
Ullticka
Skinnlav
Trådticka</t>
        </is>
      </c>
      <c r="S479">
        <f>HYPERLINK("https://klasma.github.io/Logging_2404/artfynd/A 40760-2024 artfynd.xlsx", "A 40760-2024")</f>
        <v/>
      </c>
      <c r="T479">
        <f>HYPERLINK("https://klasma.github.io/Logging_2404/kartor/A 40760-2024 karta.png", "A 40760-2024")</f>
        <v/>
      </c>
      <c r="V479">
        <f>HYPERLINK("https://klasma.github.io/Logging_2404/klagomål/A 40760-2024 FSC-klagomål.docx", "A 40760-2024")</f>
        <v/>
      </c>
      <c r="W479">
        <f>HYPERLINK("https://klasma.github.io/Logging_2404/klagomålsmail/A 40760-2024 FSC-klagomål mail.docx", "A 40760-2024")</f>
        <v/>
      </c>
      <c r="X479">
        <f>HYPERLINK("https://klasma.github.io/Logging_2404/tillsyn/A 40760-2024 tillsynsbegäran.docx", "A 40760-2024")</f>
        <v/>
      </c>
      <c r="Y479">
        <f>HYPERLINK("https://klasma.github.io/Logging_2404/tillsynsmail/A 40760-2024 tillsynsbegäran mail.docx", "A 40760-2024")</f>
        <v/>
      </c>
    </row>
    <row r="480" ht="15" customHeight="1">
      <c r="A480" t="inlineStr">
        <is>
          <t>A 684-2023</t>
        </is>
      </c>
      <c r="B480" s="1" t="n">
        <v>44925</v>
      </c>
      <c r="C480" s="1" t="n">
        <v>46075</v>
      </c>
      <c r="D480" t="inlineStr">
        <is>
          <t>VÄSTERBOTTENS LÄN</t>
        </is>
      </c>
      <c r="E480" t="inlineStr">
        <is>
          <t>UMEÅ</t>
        </is>
      </c>
      <c r="G480" t="n">
        <v>22.6</v>
      </c>
      <c r="H480" t="n">
        <v>3</v>
      </c>
      <c r="I480" t="n">
        <v>0</v>
      </c>
      <c r="J480" t="n">
        <v>4</v>
      </c>
      <c r="K480" t="n">
        <v>0</v>
      </c>
      <c r="L480" t="n">
        <v>0</v>
      </c>
      <c r="M480" t="n">
        <v>0</v>
      </c>
      <c r="N480" t="n">
        <v>0</v>
      </c>
      <c r="O480" t="n">
        <v>4</v>
      </c>
      <c r="P480" t="n">
        <v>0</v>
      </c>
      <c r="Q480" t="n">
        <v>4</v>
      </c>
      <c r="R480" s="2" t="inlineStr">
        <is>
          <t>Kolflarnlav
Spillkråka
Talltita
Tretåig hackspett</t>
        </is>
      </c>
      <c r="S480">
        <f>HYPERLINK("https://klasma.github.io/Logging_2480/artfynd/A 684-2023 artfynd.xlsx", "A 684-2023")</f>
        <v/>
      </c>
      <c r="T480">
        <f>HYPERLINK("https://klasma.github.io/Logging_2480/kartor/A 684-2023 karta.png", "A 684-2023")</f>
        <v/>
      </c>
      <c r="V480">
        <f>HYPERLINK("https://klasma.github.io/Logging_2480/klagomål/A 684-2023 FSC-klagomål.docx", "A 684-2023")</f>
        <v/>
      </c>
      <c r="W480">
        <f>HYPERLINK("https://klasma.github.io/Logging_2480/klagomålsmail/A 684-2023 FSC-klagomål mail.docx", "A 684-2023")</f>
        <v/>
      </c>
      <c r="X480">
        <f>HYPERLINK("https://klasma.github.io/Logging_2480/tillsyn/A 684-2023 tillsynsbegäran.docx", "A 684-2023")</f>
        <v/>
      </c>
      <c r="Y480">
        <f>HYPERLINK("https://klasma.github.io/Logging_2480/tillsynsmail/A 684-2023 tillsynsbegäran mail.docx", "A 684-2023")</f>
        <v/>
      </c>
      <c r="Z480">
        <f>HYPERLINK("https://klasma.github.io/Logging_2480/fåglar/A 684-2023 prioriterade fågelarter.docx", "A 684-2023")</f>
        <v/>
      </c>
    </row>
    <row r="481" ht="15" customHeight="1">
      <c r="A481" t="inlineStr">
        <is>
          <t>A 19776-2025</t>
        </is>
      </c>
      <c r="B481" s="1" t="n">
        <v>45771.42275462963</v>
      </c>
      <c r="C481" s="1" t="n">
        <v>46075</v>
      </c>
      <c r="D481" t="inlineStr">
        <is>
          <t>VÄSTERBOTTENS LÄN</t>
        </is>
      </c>
      <c r="E481" t="inlineStr">
        <is>
          <t>VÄNNÄS</t>
        </is>
      </c>
      <c r="F481" t="inlineStr">
        <is>
          <t>Holmen skog AB</t>
        </is>
      </c>
      <c r="G481" t="n">
        <v>1.3</v>
      </c>
      <c r="H481" t="n">
        <v>1</v>
      </c>
      <c r="I481" t="n">
        <v>2</v>
      </c>
      <c r="J481" t="n">
        <v>2</v>
      </c>
      <c r="K481" t="n">
        <v>0</v>
      </c>
      <c r="L481" t="n">
        <v>0</v>
      </c>
      <c r="M481" t="n">
        <v>0</v>
      </c>
      <c r="N481" t="n">
        <v>0</v>
      </c>
      <c r="O481" t="n">
        <v>2</v>
      </c>
      <c r="P481" t="n">
        <v>0</v>
      </c>
      <c r="Q481" t="n">
        <v>4</v>
      </c>
      <c r="R481" s="2" t="inlineStr">
        <is>
          <t>Garnlav
Spillkråka
Gullgröppa
Vedticka</t>
        </is>
      </c>
      <c r="S481">
        <f>HYPERLINK("https://klasma.github.io/Logging_2460/artfynd/A 19776-2025 artfynd.xlsx", "A 19776-2025")</f>
        <v/>
      </c>
      <c r="T481">
        <f>HYPERLINK("https://klasma.github.io/Logging_2460/kartor/A 19776-2025 karta.png", "A 19776-2025")</f>
        <v/>
      </c>
      <c r="V481">
        <f>HYPERLINK("https://klasma.github.io/Logging_2460/klagomål/A 19776-2025 FSC-klagomål.docx", "A 19776-2025")</f>
        <v/>
      </c>
      <c r="W481">
        <f>HYPERLINK("https://klasma.github.io/Logging_2460/klagomålsmail/A 19776-2025 FSC-klagomål mail.docx", "A 19776-2025")</f>
        <v/>
      </c>
      <c r="X481">
        <f>HYPERLINK("https://klasma.github.io/Logging_2460/tillsyn/A 19776-2025 tillsynsbegäran.docx", "A 19776-2025")</f>
        <v/>
      </c>
      <c r="Y481">
        <f>HYPERLINK("https://klasma.github.io/Logging_2460/tillsynsmail/A 19776-2025 tillsynsbegäran mail.docx", "A 19776-2025")</f>
        <v/>
      </c>
      <c r="Z481">
        <f>HYPERLINK("https://klasma.github.io/Logging_2460/fåglar/A 19776-2025 prioriterade fågelarter.docx", "A 19776-2025")</f>
        <v/>
      </c>
    </row>
    <row r="482" ht="15" customHeight="1">
      <c r="A482" t="inlineStr">
        <is>
          <t>A 5029-2022</t>
        </is>
      </c>
      <c r="B482" s="1" t="n">
        <v>44593.65526620371</v>
      </c>
      <c r="C482" s="1" t="n">
        <v>46075</v>
      </c>
      <c r="D482" t="inlineStr">
        <is>
          <t>VÄSTERBOTTENS LÄN</t>
        </is>
      </c>
      <c r="E482" t="inlineStr">
        <is>
          <t>UMEÅ</t>
        </is>
      </c>
      <c r="G482" t="n">
        <v>9.300000000000001</v>
      </c>
      <c r="H482" t="n">
        <v>0</v>
      </c>
      <c r="I482" t="n">
        <v>1</v>
      </c>
      <c r="J482" t="n">
        <v>2</v>
      </c>
      <c r="K482" t="n">
        <v>1</v>
      </c>
      <c r="L482" t="n">
        <v>0</v>
      </c>
      <c r="M482" t="n">
        <v>0</v>
      </c>
      <c r="N482" t="n">
        <v>0</v>
      </c>
      <c r="O482" t="n">
        <v>3</v>
      </c>
      <c r="P482" t="n">
        <v>1</v>
      </c>
      <c r="Q482" t="n">
        <v>4</v>
      </c>
      <c r="R482" s="2" t="inlineStr">
        <is>
          <t>Rynkskinn
Granticka
Ullticka
Vedticka</t>
        </is>
      </c>
      <c r="S482">
        <f>HYPERLINK("https://klasma.github.io/Logging_2480/artfynd/A 5029-2022 artfynd.xlsx", "A 5029-2022")</f>
        <v/>
      </c>
      <c r="T482">
        <f>HYPERLINK("https://klasma.github.io/Logging_2480/kartor/A 5029-2022 karta.png", "A 5029-2022")</f>
        <v/>
      </c>
      <c r="V482">
        <f>HYPERLINK("https://klasma.github.io/Logging_2480/klagomål/A 5029-2022 FSC-klagomål.docx", "A 5029-2022")</f>
        <v/>
      </c>
      <c r="W482">
        <f>HYPERLINK("https://klasma.github.io/Logging_2480/klagomålsmail/A 5029-2022 FSC-klagomål mail.docx", "A 5029-2022")</f>
        <v/>
      </c>
      <c r="X482">
        <f>HYPERLINK("https://klasma.github.io/Logging_2480/tillsyn/A 5029-2022 tillsynsbegäran.docx", "A 5029-2022")</f>
        <v/>
      </c>
      <c r="Y482">
        <f>HYPERLINK("https://klasma.github.io/Logging_2480/tillsynsmail/A 5029-2022 tillsynsbegäran mail.docx", "A 5029-2022")</f>
        <v/>
      </c>
    </row>
    <row r="483" ht="15" customHeight="1">
      <c r="A483" t="inlineStr">
        <is>
          <t>A 46092-2023</t>
        </is>
      </c>
      <c r="B483" s="1" t="n">
        <v>45190</v>
      </c>
      <c r="C483" s="1" t="n">
        <v>46075</v>
      </c>
      <c r="D483" t="inlineStr">
        <is>
          <t>VÄSTERBOTTENS LÄN</t>
        </is>
      </c>
      <c r="E483" t="inlineStr">
        <is>
          <t>SKELLEFTEÅ</t>
        </is>
      </c>
      <c r="G483" t="n">
        <v>8.699999999999999</v>
      </c>
      <c r="H483" t="n">
        <v>0</v>
      </c>
      <c r="I483" t="n">
        <v>3</v>
      </c>
      <c r="J483" t="n">
        <v>1</v>
      </c>
      <c r="K483" t="n">
        <v>0</v>
      </c>
      <c r="L483" t="n">
        <v>0</v>
      </c>
      <c r="M483" t="n">
        <v>0</v>
      </c>
      <c r="N483" t="n">
        <v>0</v>
      </c>
      <c r="O483" t="n">
        <v>1</v>
      </c>
      <c r="P483" t="n">
        <v>0</v>
      </c>
      <c r="Q483" t="n">
        <v>4</v>
      </c>
      <c r="R483" s="2" t="inlineStr">
        <is>
          <t>Violettgrå tagellav
Luddlav
Skinnlav
Stuplav</t>
        </is>
      </c>
      <c r="S483">
        <f>HYPERLINK("https://klasma.github.io/Logging_2482/artfynd/A 46092-2023 artfynd.xlsx", "A 46092-2023")</f>
        <v/>
      </c>
      <c r="T483">
        <f>HYPERLINK("https://klasma.github.io/Logging_2482/kartor/A 46092-2023 karta.png", "A 46092-2023")</f>
        <v/>
      </c>
      <c r="V483">
        <f>HYPERLINK("https://klasma.github.io/Logging_2482/klagomål/A 46092-2023 FSC-klagomål.docx", "A 46092-2023")</f>
        <v/>
      </c>
      <c r="W483">
        <f>HYPERLINK("https://klasma.github.io/Logging_2482/klagomålsmail/A 46092-2023 FSC-klagomål mail.docx", "A 46092-2023")</f>
        <v/>
      </c>
      <c r="X483">
        <f>HYPERLINK("https://klasma.github.io/Logging_2482/tillsyn/A 46092-2023 tillsynsbegäran.docx", "A 46092-2023")</f>
        <v/>
      </c>
      <c r="Y483">
        <f>HYPERLINK("https://klasma.github.io/Logging_2482/tillsynsmail/A 46092-2023 tillsynsbegäran mail.docx", "A 46092-2023")</f>
        <v/>
      </c>
    </row>
    <row r="484" ht="15" customHeight="1">
      <c r="A484" t="inlineStr">
        <is>
          <t>A 21711-2025</t>
        </is>
      </c>
      <c r="B484" s="1" t="n">
        <v>45783</v>
      </c>
      <c r="C484" s="1" t="n">
        <v>46075</v>
      </c>
      <c r="D484" t="inlineStr">
        <is>
          <t>VÄSTERBOTTENS LÄN</t>
        </is>
      </c>
      <c r="E484" t="inlineStr">
        <is>
          <t>VÄNNÄS</t>
        </is>
      </c>
      <c r="F484" t="inlineStr">
        <is>
          <t>Holmen skog AB</t>
        </is>
      </c>
      <c r="G484" t="n">
        <v>3.7</v>
      </c>
      <c r="H484" t="n">
        <v>1</v>
      </c>
      <c r="I484" t="n">
        <v>1</v>
      </c>
      <c r="J484" t="n">
        <v>3</v>
      </c>
      <c r="K484" t="n">
        <v>0</v>
      </c>
      <c r="L484" t="n">
        <v>0</v>
      </c>
      <c r="M484" t="n">
        <v>0</v>
      </c>
      <c r="N484" t="n">
        <v>0</v>
      </c>
      <c r="O484" t="n">
        <v>3</v>
      </c>
      <c r="P484" t="n">
        <v>0</v>
      </c>
      <c r="Q484" t="n">
        <v>4</v>
      </c>
      <c r="R484" s="2" t="inlineStr">
        <is>
          <t>Garnlav
Spillkråka
Ullticka
Vedticka</t>
        </is>
      </c>
      <c r="S484">
        <f>HYPERLINK("https://klasma.github.io/Logging_2460/artfynd/A 21711-2025 artfynd.xlsx", "A 21711-2025")</f>
        <v/>
      </c>
      <c r="T484">
        <f>HYPERLINK("https://klasma.github.io/Logging_2460/kartor/A 21711-2025 karta.png", "A 21711-2025")</f>
        <v/>
      </c>
      <c r="V484">
        <f>HYPERLINK("https://klasma.github.io/Logging_2460/klagomål/A 21711-2025 FSC-klagomål.docx", "A 21711-2025")</f>
        <v/>
      </c>
      <c r="W484">
        <f>HYPERLINK("https://klasma.github.io/Logging_2460/klagomålsmail/A 21711-2025 FSC-klagomål mail.docx", "A 21711-2025")</f>
        <v/>
      </c>
      <c r="X484">
        <f>HYPERLINK("https://klasma.github.io/Logging_2460/tillsyn/A 21711-2025 tillsynsbegäran.docx", "A 21711-2025")</f>
        <v/>
      </c>
      <c r="Y484">
        <f>HYPERLINK("https://klasma.github.io/Logging_2460/tillsynsmail/A 21711-2025 tillsynsbegäran mail.docx", "A 21711-2025")</f>
        <v/>
      </c>
      <c r="Z484">
        <f>HYPERLINK("https://klasma.github.io/Logging_2460/fåglar/A 21711-2025 prioriterade fågelarter.docx", "A 21711-2025")</f>
        <v/>
      </c>
    </row>
    <row r="485" ht="15" customHeight="1">
      <c r="A485" t="inlineStr">
        <is>
          <t>A 25188-2025</t>
        </is>
      </c>
      <c r="B485" s="1" t="n">
        <v>45800</v>
      </c>
      <c r="C485" s="1" t="n">
        <v>46075</v>
      </c>
      <c r="D485" t="inlineStr">
        <is>
          <t>VÄSTERBOTTENS LÄN</t>
        </is>
      </c>
      <c r="E485" t="inlineStr">
        <is>
          <t>NORDMALING</t>
        </is>
      </c>
      <c r="G485" t="n">
        <v>1.6</v>
      </c>
      <c r="H485" t="n">
        <v>1</v>
      </c>
      <c r="I485" t="n">
        <v>1</v>
      </c>
      <c r="J485" t="n">
        <v>3</v>
      </c>
      <c r="K485" t="n">
        <v>0</v>
      </c>
      <c r="L485" t="n">
        <v>0</v>
      </c>
      <c r="M485" t="n">
        <v>0</v>
      </c>
      <c r="N485" t="n">
        <v>0</v>
      </c>
      <c r="O485" t="n">
        <v>3</v>
      </c>
      <c r="P485" t="n">
        <v>0</v>
      </c>
      <c r="Q485" t="n">
        <v>4</v>
      </c>
      <c r="R485" s="2" t="inlineStr">
        <is>
          <t>Lunglav
Talltita
Ullticka
Stuplav</t>
        </is>
      </c>
      <c r="S485">
        <f>HYPERLINK("https://klasma.github.io/Logging_2401/artfynd/A 25188-2025 artfynd.xlsx", "A 25188-2025")</f>
        <v/>
      </c>
      <c r="T485">
        <f>HYPERLINK("https://klasma.github.io/Logging_2401/kartor/A 25188-2025 karta.png", "A 25188-2025")</f>
        <v/>
      </c>
      <c r="V485">
        <f>HYPERLINK("https://klasma.github.io/Logging_2401/klagomål/A 25188-2025 FSC-klagomål.docx", "A 25188-2025")</f>
        <v/>
      </c>
      <c r="W485">
        <f>HYPERLINK("https://klasma.github.io/Logging_2401/klagomålsmail/A 25188-2025 FSC-klagomål mail.docx", "A 25188-2025")</f>
        <v/>
      </c>
      <c r="X485">
        <f>HYPERLINK("https://klasma.github.io/Logging_2401/tillsyn/A 25188-2025 tillsynsbegäran.docx", "A 25188-2025")</f>
        <v/>
      </c>
      <c r="Y485">
        <f>HYPERLINK("https://klasma.github.io/Logging_2401/tillsynsmail/A 25188-2025 tillsynsbegäran mail.docx", "A 25188-2025")</f>
        <v/>
      </c>
      <c r="Z485">
        <f>HYPERLINK("https://klasma.github.io/Logging_2401/fåglar/A 25188-2025 prioriterade fågelarter.docx", "A 25188-2025")</f>
        <v/>
      </c>
    </row>
    <row r="486" ht="15" customHeight="1">
      <c r="A486" t="inlineStr">
        <is>
          <t>A 26484-2025</t>
        </is>
      </c>
      <c r="B486" s="1" t="n">
        <v>45807.47395833334</v>
      </c>
      <c r="C486" s="1" t="n">
        <v>46075</v>
      </c>
      <c r="D486" t="inlineStr">
        <is>
          <t>VÄSTERBOTTENS LÄN</t>
        </is>
      </c>
      <c r="E486" t="inlineStr">
        <is>
          <t>UMEÅ</t>
        </is>
      </c>
      <c r="G486" t="n">
        <v>5</v>
      </c>
      <c r="H486" t="n">
        <v>2</v>
      </c>
      <c r="I486" t="n">
        <v>2</v>
      </c>
      <c r="J486" t="n">
        <v>1</v>
      </c>
      <c r="K486" t="n">
        <v>0</v>
      </c>
      <c r="L486" t="n">
        <v>0</v>
      </c>
      <c r="M486" t="n">
        <v>0</v>
      </c>
      <c r="N486" t="n">
        <v>0</v>
      </c>
      <c r="O486" t="n">
        <v>1</v>
      </c>
      <c r="P486" t="n">
        <v>0</v>
      </c>
      <c r="Q486" t="n">
        <v>4</v>
      </c>
      <c r="R486" s="2" t="inlineStr">
        <is>
          <t>Garnlav
Spindelblomster
Vedticka
Fläcknycklar</t>
        </is>
      </c>
      <c r="S486">
        <f>HYPERLINK("https://klasma.github.io/Logging_2480/artfynd/A 26484-2025 artfynd.xlsx", "A 26484-2025")</f>
        <v/>
      </c>
      <c r="T486">
        <f>HYPERLINK("https://klasma.github.io/Logging_2480/kartor/A 26484-2025 karta.png", "A 26484-2025")</f>
        <v/>
      </c>
      <c r="V486">
        <f>HYPERLINK("https://klasma.github.io/Logging_2480/klagomål/A 26484-2025 FSC-klagomål.docx", "A 26484-2025")</f>
        <v/>
      </c>
      <c r="W486">
        <f>HYPERLINK("https://klasma.github.io/Logging_2480/klagomålsmail/A 26484-2025 FSC-klagomål mail.docx", "A 26484-2025")</f>
        <v/>
      </c>
      <c r="X486">
        <f>HYPERLINK("https://klasma.github.io/Logging_2480/tillsyn/A 26484-2025 tillsynsbegäran.docx", "A 26484-2025")</f>
        <v/>
      </c>
      <c r="Y486">
        <f>HYPERLINK("https://klasma.github.io/Logging_2480/tillsynsmail/A 26484-2025 tillsynsbegäran mail.docx", "A 26484-2025")</f>
        <v/>
      </c>
    </row>
    <row r="487" ht="15" customHeight="1">
      <c r="A487" t="inlineStr">
        <is>
          <t>A 26793-2025</t>
        </is>
      </c>
      <c r="B487" s="1" t="n">
        <v>45810</v>
      </c>
      <c r="C487" s="1" t="n">
        <v>46075</v>
      </c>
      <c r="D487" t="inlineStr">
        <is>
          <t>VÄSTERBOTTENS LÄN</t>
        </is>
      </c>
      <c r="E487" t="inlineStr">
        <is>
          <t>ÅSELE</t>
        </is>
      </c>
      <c r="F487" t="inlineStr">
        <is>
          <t>SCA</t>
        </is>
      </c>
      <c r="G487" t="n">
        <v>5</v>
      </c>
      <c r="H487" t="n">
        <v>0</v>
      </c>
      <c r="I487" t="n">
        <v>0</v>
      </c>
      <c r="J487" t="n">
        <v>4</v>
      </c>
      <c r="K487" t="n">
        <v>0</v>
      </c>
      <c r="L487" t="n">
        <v>0</v>
      </c>
      <c r="M487" t="n">
        <v>0</v>
      </c>
      <c r="N487" t="n">
        <v>0</v>
      </c>
      <c r="O487" t="n">
        <v>4</v>
      </c>
      <c r="P487" t="n">
        <v>0</v>
      </c>
      <c r="Q487" t="n">
        <v>4</v>
      </c>
      <c r="R487" s="2" t="inlineStr">
        <is>
          <t>Dvärgbägarlav
Garnlav
Mörk kolflarnlav
Vedskivlav</t>
        </is>
      </c>
      <c r="S487">
        <f>HYPERLINK("https://klasma.github.io/Logging_2463/artfynd/A 26793-2025 artfynd.xlsx", "A 26793-2025")</f>
        <v/>
      </c>
      <c r="T487">
        <f>HYPERLINK("https://klasma.github.io/Logging_2463/kartor/A 26793-2025 karta.png", "A 26793-2025")</f>
        <v/>
      </c>
      <c r="V487">
        <f>HYPERLINK("https://klasma.github.io/Logging_2463/klagomål/A 26793-2025 FSC-klagomål.docx", "A 26793-2025")</f>
        <v/>
      </c>
      <c r="W487">
        <f>HYPERLINK("https://klasma.github.io/Logging_2463/klagomålsmail/A 26793-2025 FSC-klagomål mail.docx", "A 26793-2025")</f>
        <v/>
      </c>
      <c r="X487">
        <f>HYPERLINK("https://klasma.github.io/Logging_2463/tillsyn/A 26793-2025 tillsynsbegäran.docx", "A 26793-2025")</f>
        <v/>
      </c>
      <c r="Y487">
        <f>HYPERLINK("https://klasma.github.io/Logging_2463/tillsynsmail/A 26793-2025 tillsynsbegäran mail.docx", "A 26793-2025")</f>
        <v/>
      </c>
    </row>
    <row r="488" ht="15" customHeight="1">
      <c r="A488" t="inlineStr">
        <is>
          <t>A 26673-2025</t>
        </is>
      </c>
      <c r="B488" s="1" t="n">
        <v>45810.42046296296</v>
      </c>
      <c r="C488" s="1" t="n">
        <v>46075</v>
      </c>
      <c r="D488" t="inlineStr">
        <is>
          <t>VÄSTERBOTTENS LÄN</t>
        </is>
      </c>
      <c r="E488" t="inlineStr">
        <is>
          <t>ROBERTSFORS</t>
        </is>
      </c>
      <c r="F488" t="inlineStr">
        <is>
          <t>Holmen skog AB</t>
        </is>
      </c>
      <c r="G488" t="n">
        <v>2.1</v>
      </c>
      <c r="H488" t="n">
        <v>3</v>
      </c>
      <c r="I488" t="n">
        <v>0</v>
      </c>
      <c r="J488" t="n">
        <v>2</v>
      </c>
      <c r="K488" t="n">
        <v>0</v>
      </c>
      <c r="L488" t="n">
        <v>0</v>
      </c>
      <c r="M488" t="n">
        <v>0</v>
      </c>
      <c r="N488" t="n">
        <v>0</v>
      </c>
      <c r="O488" t="n">
        <v>2</v>
      </c>
      <c r="P488" t="n">
        <v>0</v>
      </c>
      <c r="Q488" t="n">
        <v>4</v>
      </c>
      <c r="R488" s="2" t="inlineStr">
        <is>
          <t>Granticka
Svartvit flugsnappare
Fläcknycklar
Revlummer</t>
        </is>
      </c>
      <c r="S488">
        <f>HYPERLINK("https://klasma.github.io/Logging_2409/artfynd/A 26673-2025 artfynd.xlsx", "A 26673-2025")</f>
        <v/>
      </c>
      <c r="T488">
        <f>HYPERLINK("https://klasma.github.io/Logging_2409/kartor/A 26673-2025 karta.png", "A 26673-2025")</f>
        <v/>
      </c>
      <c r="V488">
        <f>HYPERLINK("https://klasma.github.io/Logging_2409/klagomål/A 26673-2025 FSC-klagomål.docx", "A 26673-2025")</f>
        <v/>
      </c>
      <c r="W488">
        <f>HYPERLINK("https://klasma.github.io/Logging_2409/klagomålsmail/A 26673-2025 FSC-klagomål mail.docx", "A 26673-2025")</f>
        <v/>
      </c>
      <c r="X488">
        <f>HYPERLINK("https://klasma.github.io/Logging_2409/tillsyn/A 26673-2025 tillsynsbegäran.docx", "A 26673-2025")</f>
        <v/>
      </c>
      <c r="Y488">
        <f>HYPERLINK("https://klasma.github.io/Logging_2409/tillsynsmail/A 26673-2025 tillsynsbegäran mail.docx", "A 26673-2025")</f>
        <v/>
      </c>
      <c r="Z488">
        <f>HYPERLINK("https://klasma.github.io/Logging_2409/fåglar/A 26673-2025 prioriterade fågelarter.docx", "A 26673-2025")</f>
        <v/>
      </c>
    </row>
    <row r="489" ht="15" customHeight="1">
      <c r="A489" t="inlineStr">
        <is>
          <t>A 27068-2025</t>
        </is>
      </c>
      <c r="B489" s="1" t="n">
        <v>45811.63672453703</v>
      </c>
      <c r="C489" s="1" t="n">
        <v>46075</v>
      </c>
      <c r="D489" t="inlineStr">
        <is>
          <t>VÄSTERBOTTENS LÄN</t>
        </is>
      </c>
      <c r="E489" t="inlineStr">
        <is>
          <t>LYCKSELE</t>
        </is>
      </c>
      <c r="F489" t="inlineStr">
        <is>
          <t>Sveaskog</t>
        </is>
      </c>
      <c r="G489" t="n">
        <v>3.3</v>
      </c>
      <c r="H489" t="n">
        <v>0</v>
      </c>
      <c r="I489" t="n">
        <v>1</v>
      </c>
      <c r="J489" t="n">
        <v>3</v>
      </c>
      <c r="K489" t="n">
        <v>0</v>
      </c>
      <c r="L489" t="n">
        <v>0</v>
      </c>
      <c r="M489" t="n">
        <v>0</v>
      </c>
      <c r="N489" t="n">
        <v>0</v>
      </c>
      <c r="O489" t="n">
        <v>3</v>
      </c>
      <c r="P489" t="n">
        <v>0</v>
      </c>
      <c r="Q489" t="n">
        <v>4</v>
      </c>
      <c r="R489" s="2" t="inlineStr">
        <is>
          <t>Blå taggsvamp
Kolflarnlav
Motaggsvamp
Dropptaggsvamp</t>
        </is>
      </c>
      <c r="S489">
        <f>HYPERLINK("https://klasma.github.io/Logging_2481/artfynd/A 27068-2025 artfynd.xlsx", "A 27068-2025")</f>
        <v/>
      </c>
      <c r="T489">
        <f>HYPERLINK("https://klasma.github.io/Logging_2481/kartor/A 27068-2025 karta.png", "A 27068-2025")</f>
        <v/>
      </c>
      <c r="V489">
        <f>HYPERLINK("https://klasma.github.io/Logging_2481/klagomål/A 27068-2025 FSC-klagomål.docx", "A 27068-2025")</f>
        <v/>
      </c>
      <c r="W489">
        <f>HYPERLINK("https://klasma.github.io/Logging_2481/klagomålsmail/A 27068-2025 FSC-klagomål mail.docx", "A 27068-2025")</f>
        <v/>
      </c>
      <c r="X489">
        <f>HYPERLINK("https://klasma.github.io/Logging_2481/tillsyn/A 27068-2025 tillsynsbegäran.docx", "A 27068-2025")</f>
        <v/>
      </c>
      <c r="Y489">
        <f>HYPERLINK("https://klasma.github.io/Logging_2481/tillsynsmail/A 27068-2025 tillsynsbegäran mail.docx", "A 27068-2025")</f>
        <v/>
      </c>
    </row>
    <row r="490" ht="15" customHeight="1">
      <c r="A490" t="inlineStr">
        <is>
          <t>A 40209-2021</t>
        </is>
      </c>
      <c r="B490" s="1" t="n">
        <v>44418</v>
      </c>
      <c r="C490" s="1" t="n">
        <v>46075</v>
      </c>
      <c r="D490" t="inlineStr">
        <is>
          <t>VÄSTERBOTTENS LÄN</t>
        </is>
      </c>
      <c r="E490" t="inlineStr">
        <is>
          <t>ÅSELE</t>
        </is>
      </c>
      <c r="G490" t="n">
        <v>13.3</v>
      </c>
      <c r="H490" t="n">
        <v>0</v>
      </c>
      <c r="I490" t="n">
        <v>3</v>
      </c>
      <c r="J490" t="n">
        <v>0</v>
      </c>
      <c r="K490" t="n">
        <v>0</v>
      </c>
      <c r="L490" t="n">
        <v>0</v>
      </c>
      <c r="M490" t="n">
        <v>0</v>
      </c>
      <c r="N490" t="n">
        <v>0</v>
      </c>
      <c r="O490" t="n">
        <v>0</v>
      </c>
      <c r="P490" t="n">
        <v>0</v>
      </c>
      <c r="Q490" t="n">
        <v>3</v>
      </c>
      <c r="R490" s="2" t="inlineStr">
        <is>
          <t>Grovticka
Stor aspticka
Vedticka</t>
        </is>
      </c>
      <c r="S490">
        <f>HYPERLINK("https://klasma.github.io/Logging_2463/artfynd/A 40209-2021 artfynd.xlsx", "A 40209-2021")</f>
        <v/>
      </c>
      <c r="T490">
        <f>HYPERLINK("https://klasma.github.io/Logging_2463/kartor/A 40209-2021 karta.png", "A 40209-2021")</f>
        <v/>
      </c>
      <c r="V490">
        <f>HYPERLINK("https://klasma.github.io/Logging_2463/klagomål/A 40209-2021 FSC-klagomål.docx", "A 40209-2021")</f>
        <v/>
      </c>
      <c r="W490">
        <f>HYPERLINK("https://klasma.github.io/Logging_2463/klagomålsmail/A 40209-2021 FSC-klagomål mail.docx", "A 40209-2021")</f>
        <v/>
      </c>
      <c r="X490">
        <f>HYPERLINK("https://klasma.github.io/Logging_2463/tillsyn/A 40209-2021 tillsynsbegäran.docx", "A 40209-2021")</f>
        <v/>
      </c>
      <c r="Y490">
        <f>HYPERLINK("https://klasma.github.io/Logging_2463/tillsynsmail/A 40209-2021 tillsynsbegäran mail.docx", "A 40209-2021")</f>
        <v/>
      </c>
    </row>
    <row r="491" ht="15" customHeight="1">
      <c r="A491" t="inlineStr">
        <is>
          <t>A 61747-2021</t>
        </is>
      </c>
      <c r="B491" s="1" t="n">
        <v>44501</v>
      </c>
      <c r="C491" s="1" t="n">
        <v>46075</v>
      </c>
      <c r="D491" t="inlineStr">
        <is>
          <t>VÄSTERBOTTENS LÄN</t>
        </is>
      </c>
      <c r="E491" t="inlineStr">
        <is>
          <t>LYCKSELE</t>
        </is>
      </c>
      <c r="F491" t="inlineStr">
        <is>
          <t>Sveaskog</t>
        </is>
      </c>
      <c r="G491" t="n">
        <v>15.1</v>
      </c>
      <c r="H491" t="n">
        <v>0</v>
      </c>
      <c r="I491" t="n">
        <v>2</v>
      </c>
      <c r="J491" t="n">
        <v>1</v>
      </c>
      <c r="K491" t="n">
        <v>0</v>
      </c>
      <c r="L491" t="n">
        <v>0</v>
      </c>
      <c r="M491" t="n">
        <v>0</v>
      </c>
      <c r="N491" t="n">
        <v>0</v>
      </c>
      <c r="O491" t="n">
        <v>1</v>
      </c>
      <c r="P491" t="n">
        <v>0</v>
      </c>
      <c r="Q491" t="n">
        <v>3</v>
      </c>
      <c r="R491" s="2" t="inlineStr">
        <is>
          <t>Vaddporing
Dropptaggsvamp
Fjällig taggsvamp s.str.</t>
        </is>
      </c>
      <c r="S491">
        <f>HYPERLINK("https://klasma.github.io/Logging_2481/artfynd/A 61747-2021 artfynd.xlsx", "A 61747-2021")</f>
        <v/>
      </c>
      <c r="T491">
        <f>HYPERLINK("https://klasma.github.io/Logging_2481/kartor/A 61747-2021 karta.png", "A 61747-2021")</f>
        <v/>
      </c>
      <c r="V491">
        <f>HYPERLINK("https://klasma.github.io/Logging_2481/klagomål/A 61747-2021 FSC-klagomål.docx", "A 61747-2021")</f>
        <v/>
      </c>
      <c r="W491">
        <f>HYPERLINK("https://klasma.github.io/Logging_2481/klagomålsmail/A 61747-2021 FSC-klagomål mail.docx", "A 61747-2021")</f>
        <v/>
      </c>
      <c r="X491">
        <f>HYPERLINK("https://klasma.github.io/Logging_2481/tillsyn/A 61747-2021 tillsynsbegäran.docx", "A 61747-2021")</f>
        <v/>
      </c>
      <c r="Y491">
        <f>HYPERLINK("https://klasma.github.io/Logging_2481/tillsynsmail/A 61747-2021 tillsynsbegäran mail.docx", "A 61747-2021")</f>
        <v/>
      </c>
    </row>
    <row r="492" ht="15" customHeight="1">
      <c r="A492" t="inlineStr">
        <is>
          <t>A 13604-2022</t>
        </is>
      </c>
      <c r="B492" s="1" t="n">
        <v>44648</v>
      </c>
      <c r="C492" s="1" t="n">
        <v>46075</v>
      </c>
      <c r="D492" t="inlineStr">
        <is>
          <t>VÄSTERBOTTENS LÄN</t>
        </is>
      </c>
      <c r="E492" t="inlineStr">
        <is>
          <t>VILHELMINA</t>
        </is>
      </c>
      <c r="G492" t="n">
        <v>17.4</v>
      </c>
      <c r="H492" t="n">
        <v>2</v>
      </c>
      <c r="I492" t="n">
        <v>1</v>
      </c>
      <c r="J492" t="n">
        <v>0</v>
      </c>
      <c r="K492" t="n">
        <v>0</v>
      </c>
      <c r="L492" t="n">
        <v>0</v>
      </c>
      <c r="M492" t="n">
        <v>0</v>
      </c>
      <c r="N492" t="n">
        <v>0</v>
      </c>
      <c r="O492" t="n">
        <v>0</v>
      </c>
      <c r="P492" t="n">
        <v>0</v>
      </c>
      <c r="Q492" t="n">
        <v>3</v>
      </c>
      <c r="R492" s="2" t="inlineStr">
        <is>
          <t>Maskfingersvamp
Hökuggla
Fläcknycklar</t>
        </is>
      </c>
      <c r="S492">
        <f>HYPERLINK("https://klasma.github.io/Logging_2462/artfynd/A 13604-2022 artfynd.xlsx", "A 13604-2022")</f>
        <v/>
      </c>
      <c r="T492">
        <f>HYPERLINK("https://klasma.github.io/Logging_2462/kartor/A 13604-2022 karta.png", "A 13604-2022")</f>
        <v/>
      </c>
      <c r="V492">
        <f>HYPERLINK("https://klasma.github.io/Logging_2462/klagomål/A 13604-2022 FSC-klagomål.docx", "A 13604-2022")</f>
        <v/>
      </c>
      <c r="W492">
        <f>HYPERLINK("https://klasma.github.io/Logging_2462/klagomålsmail/A 13604-2022 FSC-klagomål mail.docx", "A 13604-2022")</f>
        <v/>
      </c>
      <c r="X492">
        <f>HYPERLINK("https://klasma.github.io/Logging_2462/tillsyn/A 13604-2022 tillsynsbegäran.docx", "A 13604-2022")</f>
        <v/>
      </c>
      <c r="Y492">
        <f>HYPERLINK("https://klasma.github.io/Logging_2462/tillsynsmail/A 13604-2022 tillsynsbegäran mail.docx", "A 13604-2022")</f>
        <v/>
      </c>
      <c r="Z492">
        <f>HYPERLINK("https://klasma.github.io/Logging_2462/fåglar/A 13604-2022 prioriterade fågelarter.docx", "A 13604-2022")</f>
        <v/>
      </c>
    </row>
    <row r="493" ht="15" customHeight="1">
      <c r="A493" t="inlineStr">
        <is>
          <t>A 38400-2021</t>
        </is>
      </c>
      <c r="B493" s="1" t="n">
        <v>44406</v>
      </c>
      <c r="C493" s="1" t="n">
        <v>46075</v>
      </c>
      <c r="D493" t="inlineStr">
        <is>
          <t>VÄSTERBOTTENS LÄN</t>
        </is>
      </c>
      <c r="E493" t="inlineStr">
        <is>
          <t>UMEÅ</t>
        </is>
      </c>
      <c r="F493" t="inlineStr">
        <is>
          <t>Kommuner</t>
        </is>
      </c>
      <c r="G493" t="n">
        <v>2.5</v>
      </c>
      <c r="H493" t="n">
        <v>0</v>
      </c>
      <c r="I493" t="n">
        <v>0</v>
      </c>
      <c r="J493" t="n">
        <v>3</v>
      </c>
      <c r="K493" t="n">
        <v>0</v>
      </c>
      <c r="L493" t="n">
        <v>0</v>
      </c>
      <c r="M493" t="n">
        <v>0</v>
      </c>
      <c r="N493" t="n">
        <v>0</v>
      </c>
      <c r="O493" t="n">
        <v>3</v>
      </c>
      <c r="P493" t="n">
        <v>0</v>
      </c>
      <c r="Q493" t="n">
        <v>3</v>
      </c>
      <c r="R493" s="2" t="inlineStr">
        <is>
          <t>Epuraea oblonga
Granticka
Gulbandad brunbagge</t>
        </is>
      </c>
      <c r="S493">
        <f>HYPERLINK("https://klasma.github.io/Logging_2480/artfynd/A 38400-2021 artfynd.xlsx", "A 38400-2021")</f>
        <v/>
      </c>
      <c r="T493">
        <f>HYPERLINK("https://klasma.github.io/Logging_2480/kartor/A 38400-2021 karta.png", "A 38400-2021")</f>
        <v/>
      </c>
      <c r="V493">
        <f>HYPERLINK("https://klasma.github.io/Logging_2480/klagomål/A 38400-2021 FSC-klagomål.docx", "A 38400-2021")</f>
        <v/>
      </c>
      <c r="W493">
        <f>HYPERLINK("https://klasma.github.io/Logging_2480/klagomålsmail/A 38400-2021 FSC-klagomål mail.docx", "A 38400-2021")</f>
        <v/>
      </c>
      <c r="X493">
        <f>HYPERLINK("https://klasma.github.io/Logging_2480/tillsyn/A 38400-2021 tillsynsbegäran.docx", "A 38400-2021")</f>
        <v/>
      </c>
      <c r="Y493">
        <f>HYPERLINK("https://klasma.github.io/Logging_2480/tillsynsmail/A 38400-2021 tillsynsbegäran mail.docx", "A 38400-2021")</f>
        <v/>
      </c>
    </row>
    <row r="494" ht="15" customHeight="1">
      <c r="A494" t="inlineStr">
        <is>
          <t>A 43272-2021</t>
        </is>
      </c>
      <c r="B494" s="1" t="n">
        <v>44432</v>
      </c>
      <c r="C494" s="1" t="n">
        <v>46075</v>
      </c>
      <c r="D494" t="inlineStr">
        <is>
          <t>VÄSTERBOTTENS LÄN</t>
        </is>
      </c>
      <c r="E494" t="inlineStr">
        <is>
          <t>SORSELE</t>
        </is>
      </c>
      <c r="G494" t="n">
        <v>24.4</v>
      </c>
      <c r="H494" t="n">
        <v>1</v>
      </c>
      <c r="I494" t="n">
        <v>0</v>
      </c>
      <c r="J494" t="n">
        <v>3</v>
      </c>
      <c r="K494" t="n">
        <v>0</v>
      </c>
      <c r="L494" t="n">
        <v>0</v>
      </c>
      <c r="M494" t="n">
        <v>0</v>
      </c>
      <c r="N494" t="n">
        <v>0</v>
      </c>
      <c r="O494" t="n">
        <v>3</v>
      </c>
      <c r="P494" t="n">
        <v>0</v>
      </c>
      <c r="Q494" t="n">
        <v>3</v>
      </c>
      <c r="R494" s="2" t="inlineStr">
        <is>
          <t>Garnlav
Granticka
Tretåig hackspett</t>
        </is>
      </c>
      <c r="S494">
        <f>HYPERLINK("https://klasma.github.io/Logging_2422/artfynd/A 43272-2021 artfynd.xlsx", "A 43272-2021")</f>
        <v/>
      </c>
      <c r="T494">
        <f>HYPERLINK("https://klasma.github.io/Logging_2422/kartor/A 43272-2021 karta.png", "A 43272-2021")</f>
        <v/>
      </c>
      <c r="V494">
        <f>HYPERLINK("https://klasma.github.io/Logging_2422/klagomål/A 43272-2021 FSC-klagomål.docx", "A 43272-2021")</f>
        <v/>
      </c>
      <c r="W494">
        <f>HYPERLINK("https://klasma.github.io/Logging_2422/klagomålsmail/A 43272-2021 FSC-klagomål mail.docx", "A 43272-2021")</f>
        <v/>
      </c>
      <c r="X494">
        <f>HYPERLINK("https://klasma.github.io/Logging_2422/tillsyn/A 43272-2021 tillsynsbegäran.docx", "A 43272-2021")</f>
        <v/>
      </c>
      <c r="Y494">
        <f>HYPERLINK("https://klasma.github.io/Logging_2422/tillsynsmail/A 43272-2021 tillsynsbegäran mail.docx", "A 43272-2021")</f>
        <v/>
      </c>
      <c r="Z494">
        <f>HYPERLINK("https://klasma.github.io/Logging_2422/fåglar/A 43272-2021 prioriterade fågelarter.docx", "A 43272-2021")</f>
        <v/>
      </c>
    </row>
    <row r="495" ht="15" customHeight="1">
      <c r="A495" t="inlineStr">
        <is>
          <t>A 22626-2021</t>
        </is>
      </c>
      <c r="B495" s="1" t="n">
        <v>44326</v>
      </c>
      <c r="C495" s="1" t="n">
        <v>46075</v>
      </c>
      <c r="D495" t="inlineStr">
        <is>
          <t>VÄSTERBOTTENS LÄN</t>
        </is>
      </c>
      <c r="E495" t="inlineStr">
        <is>
          <t>SKELLEFTEÅ</t>
        </is>
      </c>
      <c r="G495" t="n">
        <v>8.4</v>
      </c>
      <c r="H495" t="n">
        <v>0</v>
      </c>
      <c r="I495" t="n">
        <v>0</v>
      </c>
      <c r="J495" t="n">
        <v>1</v>
      </c>
      <c r="K495" t="n">
        <v>2</v>
      </c>
      <c r="L495" t="n">
        <v>0</v>
      </c>
      <c r="M495" t="n">
        <v>0</v>
      </c>
      <c r="N495" t="n">
        <v>0</v>
      </c>
      <c r="O495" t="n">
        <v>3</v>
      </c>
      <c r="P495" t="n">
        <v>2</v>
      </c>
      <c r="Q495" t="n">
        <v>3</v>
      </c>
      <c r="R495" s="2" t="inlineStr">
        <is>
          <t>Laxporing
Ulltickeporing
Fyrflikig jordstjärna</t>
        </is>
      </c>
      <c r="S495">
        <f>HYPERLINK("https://klasma.github.io/Logging_2482/artfynd/A 22626-2021 artfynd.xlsx", "A 22626-2021")</f>
        <v/>
      </c>
      <c r="T495">
        <f>HYPERLINK("https://klasma.github.io/Logging_2482/kartor/A 22626-2021 karta.png", "A 22626-2021")</f>
        <v/>
      </c>
      <c r="V495">
        <f>HYPERLINK("https://klasma.github.io/Logging_2482/klagomål/A 22626-2021 FSC-klagomål.docx", "A 22626-2021")</f>
        <v/>
      </c>
      <c r="W495">
        <f>HYPERLINK("https://klasma.github.io/Logging_2482/klagomålsmail/A 22626-2021 FSC-klagomål mail.docx", "A 22626-2021")</f>
        <v/>
      </c>
      <c r="X495">
        <f>HYPERLINK("https://klasma.github.io/Logging_2482/tillsyn/A 22626-2021 tillsynsbegäran.docx", "A 22626-2021")</f>
        <v/>
      </c>
      <c r="Y495">
        <f>HYPERLINK("https://klasma.github.io/Logging_2482/tillsynsmail/A 22626-2021 tillsynsbegäran mail.docx", "A 22626-2021")</f>
        <v/>
      </c>
    </row>
    <row r="496" ht="15" customHeight="1">
      <c r="A496" t="inlineStr">
        <is>
          <t>A 25503-2022</t>
        </is>
      </c>
      <c r="B496" s="1" t="n">
        <v>44732</v>
      </c>
      <c r="C496" s="1" t="n">
        <v>46075</v>
      </c>
      <c r="D496" t="inlineStr">
        <is>
          <t>VÄSTERBOTTENS LÄN</t>
        </is>
      </c>
      <c r="E496" t="inlineStr">
        <is>
          <t>VILHELMINA</t>
        </is>
      </c>
      <c r="G496" t="n">
        <v>1.9</v>
      </c>
      <c r="H496" t="n">
        <v>0</v>
      </c>
      <c r="I496" t="n">
        <v>3</v>
      </c>
      <c r="J496" t="n">
        <v>0</v>
      </c>
      <c r="K496" t="n">
        <v>0</v>
      </c>
      <c r="L496" t="n">
        <v>0</v>
      </c>
      <c r="M496" t="n">
        <v>0</v>
      </c>
      <c r="N496" t="n">
        <v>0</v>
      </c>
      <c r="O496" t="n">
        <v>0</v>
      </c>
      <c r="P496" t="n">
        <v>0</v>
      </c>
      <c r="Q496" t="n">
        <v>3</v>
      </c>
      <c r="R496" s="2" t="inlineStr">
        <is>
          <t>Gulnål
Skinnlav
Stuplav</t>
        </is>
      </c>
      <c r="S496">
        <f>HYPERLINK("https://klasma.github.io/Logging_2462/artfynd/A 25503-2022 artfynd.xlsx", "A 25503-2022")</f>
        <v/>
      </c>
      <c r="T496">
        <f>HYPERLINK("https://klasma.github.io/Logging_2462/kartor/A 25503-2022 karta.png", "A 25503-2022")</f>
        <v/>
      </c>
      <c r="V496">
        <f>HYPERLINK("https://klasma.github.io/Logging_2462/klagomål/A 25503-2022 FSC-klagomål.docx", "A 25503-2022")</f>
        <v/>
      </c>
      <c r="W496">
        <f>HYPERLINK("https://klasma.github.io/Logging_2462/klagomålsmail/A 25503-2022 FSC-klagomål mail.docx", "A 25503-2022")</f>
        <v/>
      </c>
      <c r="X496">
        <f>HYPERLINK("https://klasma.github.io/Logging_2462/tillsyn/A 25503-2022 tillsynsbegäran.docx", "A 25503-2022")</f>
        <v/>
      </c>
      <c r="Y496">
        <f>HYPERLINK("https://klasma.github.io/Logging_2462/tillsynsmail/A 25503-2022 tillsynsbegäran mail.docx", "A 25503-2022")</f>
        <v/>
      </c>
    </row>
    <row r="497" ht="15" customHeight="1">
      <c r="A497" t="inlineStr">
        <is>
          <t>A 65240-2023</t>
        </is>
      </c>
      <c r="B497" s="1" t="n">
        <v>45289</v>
      </c>
      <c r="C497" s="1" t="n">
        <v>46075</v>
      </c>
      <c r="D497" t="inlineStr">
        <is>
          <t>VÄSTERBOTTENS LÄN</t>
        </is>
      </c>
      <c r="E497" t="inlineStr">
        <is>
          <t>NORSJÖ</t>
        </is>
      </c>
      <c r="G497" t="n">
        <v>4.8</v>
      </c>
      <c r="H497" t="n">
        <v>1</v>
      </c>
      <c r="I497" t="n">
        <v>0</v>
      </c>
      <c r="J497" t="n">
        <v>3</v>
      </c>
      <c r="K497" t="n">
        <v>0</v>
      </c>
      <c r="L497" t="n">
        <v>0</v>
      </c>
      <c r="M497" t="n">
        <v>0</v>
      </c>
      <c r="N497" t="n">
        <v>0</v>
      </c>
      <c r="O497" t="n">
        <v>3</v>
      </c>
      <c r="P497" t="n">
        <v>0</v>
      </c>
      <c r="Q497" t="n">
        <v>3</v>
      </c>
      <c r="R497" s="2" t="inlineStr">
        <is>
          <t>Granticka
Spillkråka
Ullticka</t>
        </is>
      </c>
      <c r="S497">
        <f>HYPERLINK("https://klasma.github.io/Logging_2417/artfynd/A 65240-2023 artfynd.xlsx", "A 65240-2023")</f>
        <v/>
      </c>
      <c r="T497">
        <f>HYPERLINK("https://klasma.github.io/Logging_2417/kartor/A 65240-2023 karta.png", "A 65240-2023")</f>
        <v/>
      </c>
      <c r="V497">
        <f>HYPERLINK("https://klasma.github.io/Logging_2417/klagomål/A 65240-2023 FSC-klagomål.docx", "A 65240-2023")</f>
        <v/>
      </c>
      <c r="W497">
        <f>HYPERLINK("https://klasma.github.io/Logging_2417/klagomålsmail/A 65240-2023 FSC-klagomål mail.docx", "A 65240-2023")</f>
        <v/>
      </c>
      <c r="X497">
        <f>HYPERLINK("https://klasma.github.io/Logging_2417/tillsyn/A 65240-2023 tillsynsbegäran.docx", "A 65240-2023")</f>
        <v/>
      </c>
      <c r="Y497">
        <f>HYPERLINK("https://klasma.github.io/Logging_2417/tillsynsmail/A 65240-2023 tillsynsbegäran mail.docx", "A 65240-2023")</f>
        <v/>
      </c>
      <c r="Z497">
        <f>HYPERLINK("https://klasma.github.io/Logging_2417/fåglar/A 65240-2023 prioriterade fågelarter.docx", "A 65240-2023")</f>
        <v/>
      </c>
    </row>
    <row r="498" ht="15" customHeight="1">
      <c r="A498" t="inlineStr">
        <is>
          <t>A 65382-2021</t>
        </is>
      </c>
      <c r="B498" s="1" t="n">
        <v>44515</v>
      </c>
      <c r="C498" s="1" t="n">
        <v>46075</v>
      </c>
      <c r="D498" t="inlineStr">
        <is>
          <t>VÄSTERBOTTENS LÄN</t>
        </is>
      </c>
      <c r="E498" t="inlineStr">
        <is>
          <t>VILHELMINA</t>
        </is>
      </c>
      <c r="G498" t="n">
        <v>10.7</v>
      </c>
      <c r="H498" t="n">
        <v>0</v>
      </c>
      <c r="I498" t="n">
        <v>0</v>
      </c>
      <c r="J498" t="n">
        <v>2</v>
      </c>
      <c r="K498" t="n">
        <v>1</v>
      </c>
      <c r="L498" t="n">
        <v>0</v>
      </c>
      <c r="M498" t="n">
        <v>0</v>
      </c>
      <c r="N498" t="n">
        <v>0</v>
      </c>
      <c r="O498" t="n">
        <v>3</v>
      </c>
      <c r="P498" t="n">
        <v>1</v>
      </c>
      <c r="Q498" t="n">
        <v>3</v>
      </c>
      <c r="R498" s="2" t="inlineStr">
        <is>
          <t>Rynkskinn
Lunglav
Rosenticka</t>
        </is>
      </c>
      <c r="S498">
        <f>HYPERLINK("https://klasma.github.io/Logging_2462/artfynd/A 65382-2021 artfynd.xlsx", "A 65382-2021")</f>
        <v/>
      </c>
      <c r="T498">
        <f>HYPERLINK("https://klasma.github.io/Logging_2462/kartor/A 65382-2021 karta.png", "A 65382-2021")</f>
        <v/>
      </c>
      <c r="V498">
        <f>HYPERLINK("https://klasma.github.io/Logging_2462/klagomål/A 65382-2021 FSC-klagomål.docx", "A 65382-2021")</f>
        <v/>
      </c>
      <c r="W498">
        <f>HYPERLINK("https://klasma.github.io/Logging_2462/klagomålsmail/A 65382-2021 FSC-klagomål mail.docx", "A 65382-2021")</f>
        <v/>
      </c>
      <c r="X498">
        <f>HYPERLINK("https://klasma.github.io/Logging_2462/tillsyn/A 65382-2021 tillsynsbegäran.docx", "A 65382-2021")</f>
        <v/>
      </c>
      <c r="Y498">
        <f>HYPERLINK("https://klasma.github.io/Logging_2462/tillsynsmail/A 65382-2021 tillsynsbegäran mail.docx", "A 65382-2021")</f>
        <v/>
      </c>
    </row>
    <row r="499" ht="15" customHeight="1">
      <c r="A499" t="inlineStr">
        <is>
          <t>A 14520-2024</t>
        </is>
      </c>
      <c r="B499" s="1" t="n">
        <v>45394</v>
      </c>
      <c r="C499" s="1" t="n">
        <v>46075</v>
      </c>
      <c r="D499" t="inlineStr">
        <is>
          <t>VÄSTERBOTTENS LÄN</t>
        </is>
      </c>
      <c r="E499" t="inlineStr">
        <is>
          <t>SORSELE</t>
        </is>
      </c>
      <c r="F499" t="inlineStr">
        <is>
          <t>Sveaskog</t>
        </is>
      </c>
      <c r="G499" t="n">
        <v>10</v>
      </c>
      <c r="H499" t="n">
        <v>1</v>
      </c>
      <c r="I499" t="n">
        <v>1</v>
      </c>
      <c r="J499" t="n">
        <v>2</v>
      </c>
      <c r="K499" t="n">
        <v>0</v>
      </c>
      <c r="L499" t="n">
        <v>0</v>
      </c>
      <c r="M499" t="n">
        <v>0</v>
      </c>
      <c r="N499" t="n">
        <v>0</v>
      </c>
      <c r="O499" t="n">
        <v>2</v>
      </c>
      <c r="P499" t="n">
        <v>0</v>
      </c>
      <c r="Q499" t="n">
        <v>3</v>
      </c>
      <c r="R499" s="2" t="inlineStr">
        <is>
          <t>Skrovellav
Talltita
Stuplav</t>
        </is>
      </c>
      <c r="S499">
        <f>HYPERLINK("https://klasma.github.io/Logging_2422/artfynd/A 14520-2024 artfynd.xlsx", "A 14520-2024")</f>
        <v/>
      </c>
      <c r="T499">
        <f>HYPERLINK("https://klasma.github.io/Logging_2422/kartor/A 14520-2024 karta.png", "A 14520-2024")</f>
        <v/>
      </c>
      <c r="V499">
        <f>HYPERLINK("https://klasma.github.io/Logging_2422/klagomål/A 14520-2024 FSC-klagomål.docx", "A 14520-2024")</f>
        <v/>
      </c>
      <c r="W499">
        <f>HYPERLINK("https://klasma.github.io/Logging_2422/klagomålsmail/A 14520-2024 FSC-klagomål mail.docx", "A 14520-2024")</f>
        <v/>
      </c>
      <c r="X499">
        <f>HYPERLINK("https://klasma.github.io/Logging_2422/tillsyn/A 14520-2024 tillsynsbegäran.docx", "A 14520-2024")</f>
        <v/>
      </c>
      <c r="Y499">
        <f>HYPERLINK("https://klasma.github.io/Logging_2422/tillsynsmail/A 14520-2024 tillsynsbegäran mail.docx", "A 14520-2024")</f>
        <v/>
      </c>
      <c r="Z499">
        <f>HYPERLINK("https://klasma.github.io/Logging_2422/fåglar/A 14520-2024 prioriterade fågelarter.docx", "A 14520-2024")</f>
        <v/>
      </c>
    </row>
    <row r="500" ht="15" customHeight="1">
      <c r="A500" t="inlineStr">
        <is>
          <t>A 4962-2025</t>
        </is>
      </c>
      <c r="B500" s="1" t="n">
        <v>45690.38700231481</v>
      </c>
      <c r="C500" s="1" t="n">
        <v>46075</v>
      </c>
      <c r="D500" t="inlineStr">
        <is>
          <t>VÄSTERBOTTENS LÄN</t>
        </is>
      </c>
      <c r="E500" t="inlineStr">
        <is>
          <t>STORUMAN</t>
        </is>
      </c>
      <c r="G500" t="n">
        <v>12.1</v>
      </c>
      <c r="H500" t="n">
        <v>1</v>
      </c>
      <c r="I500" t="n">
        <v>0</v>
      </c>
      <c r="J500" t="n">
        <v>3</v>
      </c>
      <c r="K500" t="n">
        <v>0</v>
      </c>
      <c r="L500" t="n">
        <v>0</v>
      </c>
      <c r="M500" t="n">
        <v>0</v>
      </c>
      <c r="N500" t="n">
        <v>0</v>
      </c>
      <c r="O500" t="n">
        <v>3</v>
      </c>
      <c r="P500" t="n">
        <v>0</v>
      </c>
      <c r="Q500" t="n">
        <v>3</v>
      </c>
      <c r="R500" s="2" t="inlineStr">
        <is>
          <t>Gammelgransskål
Harticka
Tretåig hackspett</t>
        </is>
      </c>
      <c r="S500">
        <f>HYPERLINK("https://klasma.github.io/Logging_2421/artfynd/A 4962-2025 artfynd.xlsx", "A 4962-2025")</f>
        <v/>
      </c>
      <c r="T500">
        <f>HYPERLINK("https://klasma.github.io/Logging_2421/kartor/A 4962-2025 karta.png", "A 4962-2025")</f>
        <v/>
      </c>
      <c r="V500">
        <f>HYPERLINK("https://klasma.github.io/Logging_2421/klagomål/A 4962-2025 FSC-klagomål.docx", "A 4962-2025")</f>
        <v/>
      </c>
      <c r="W500">
        <f>HYPERLINK("https://klasma.github.io/Logging_2421/klagomålsmail/A 4962-2025 FSC-klagomål mail.docx", "A 4962-2025")</f>
        <v/>
      </c>
      <c r="X500">
        <f>HYPERLINK("https://klasma.github.io/Logging_2421/tillsyn/A 4962-2025 tillsynsbegäran.docx", "A 4962-2025")</f>
        <v/>
      </c>
      <c r="Y500">
        <f>HYPERLINK("https://klasma.github.io/Logging_2421/tillsynsmail/A 4962-2025 tillsynsbegäran mail.docx", "A 4962-2025")</f>
        <v/>
      </c>
      <c r="Z500">
        <f>HYPERLINK("https://klasma.github.io/Logging_2421/fåglar/A 4962-2025 prioriterade fågelarter.docx", "A 4962-2025")</f>
        <v/>
      </c>
    </row>
    <row r="501" ht="15" customHeight="1">
      <c r="A501" t="inlineStr">
        <is>
          <t>A 54802-2024</t>
        </is>
      </c>
      <c r="B501" s="1" t="n">
        <v>45618.50975694445</v>
      </c>
      <c r="C501" s="1" t="n">
        <v>46075</v>
      </c>
      <c r="D501" t="inlineStr">
        <is>
          <t>VÄSTERBOTTENS LÄN</t>
        </is>
      </c>
      <c r="E501" t="inlineStr">
        <is>
          <t>LYCKSELE</t>
        </is>
      </c>
      <c r="F501" t="inlineStr">
        <is>
          <t>Sveaskog</t>
        </is>
      </c>
      <c r="G501" t="n">
        <v>6.2</v>
      </c>
      <c r="H501" t="n">
        <v>1</v>
      </c>
      <c r="I501" t="n">
        <v>1</v>
      </c>
      <c r="J501" t="n">
        <v>1</v>
      </c>
      <c r="K501" t="n">
        <v>1</v>
      </c>
      <c r="L501" t="n">
        <v>0</v>
      </c>
      <c r="M501" t="n">
        <v>0</v>
      </c>
      <c r="N501" t="n">
        <v>0</v>
      </c>
      <c r="O501" t="n">
        <v>2</v>
      </c>
      <c r="P501" t="n">
        <v>1</v>
      </c>
      <c r="Q501" t="n">
        <v>3</v>
      </c>
      <c r="R501" s="2" t="inlineStr">
        <is>
          <t>Doftticka
Blå taggsvamp
Dropptaggsvamp</t>
        </is>
      </c>
      <c r="S501">
        <f>HYPERLINK("https://klasma.github.io/Logging_2481/artfynd/A 54802-2024 artfynd.xlsx", "A 54802-2024")</f>
        <v/>
      </c>
      <c r="T501">
        <f>HYPERLINK("https://klasma.github.io/Logging_2481/kartor/A 54802-2024 karta.png", "A 54802-2024")</f>
        <v/>
      </c>
      <c r="V501">
        <f>HYPERLINK("https://klasma.github.io/Logging_2481/klagomål/A 54802-2024 FSC-klagomål.docx", "A 54802-2024")</f>
        <v/>
      </c>
      <c r="W501">
        <f>HYPERLINK("https://klasma.github.io/Logging_2481/klagomålsmail/A 54802-2024 FSC-klagomål mail.docx", "A 54802-2024")</f>
        <v/>
      </c>
      <c r="X501">
        <f>HYPERLINK("https://klasma.github.io/Logging_2481/tillsyn/A 54802-2024 tillsynsbegäran.docx", "A 54802-2024")</f>
        <v/>
      </c>
      <c r="Y501">
        <f>HYPERLINK("https://klasma.github.io/Logging_2481/tillsynsmail/A 54802-2024 tillsynsbegäran mail.docx", "A 54802-2024")</f>
        <v/>
      </c>
    </row>
    <row r="502" ht="15" customHeight="1">
      <c r="A502" t="inlineStr">
        <is>
          <t>A 679-2024</t>
        </is>
      </c>
      <c r="B502" s="1" t="n">
        <v>45300</v>
      </c>
      <c r="C502" s="1" t="n">
        <v>46075</v>
      </c>
      <c r="D502" t="inlineStr">
        <is>
          <t>VÄSTERBOTTENS LÄN</t>
        </is>
      </c>
      <c r="E502" t="inlineStr">
        <is>
          <t>LYCKSELE</t>
        </is>
      </c>
      <c r="G502" t="n">
        <v>11.3</v>
      </c>
      <c r="H502" t="n">
        <v>0</v>
      </c>
      <c r="I502" t="n">
        <v>1</v>
      </c>
      <c r="J502" t="n">
        <v>2</v>
      </c>
      <c r="K502" t="n">
        <v>0</v>
      </c>
      <c r="L502" t="n">
        <v>0</v>
      </c>
      <c r="M502" t="n">
        <v>0</v>
      </c>
      <c r="N502" t="n">
        <v>0</v>
      </c>
      <c r="O502" t="n">
        <v>2</v>
      </c>
      <c r="P502" t="n">
        <v>0</v>
      </c>
      <c r="Q502" t="n">
        <v>3</v>
      </c>
      <c r="R502" s="2" t="inlineStr">
        <is>
          <t>Garnlav
Skrovellav
Luddlav</t>
        </is>
      </c>
      <c r="S502">
        <f>HYPERLINK("https://klasma.github.io/Logging_2481/artfynd/A 679-2024 artfynd.xlsx", "A 679-2024")</f>
        <v/>
      </c>
      <c r="T502">
        <f>HYPERLINK("https://klasma.github.io/Logging_2481/kartor/A 679-2024 karta.png", "A 679-2024")</f>
        <v/>
      </c>
      <c r="V502">
        <f>HYPERLINK("https://klasma.github.io/Logging_2481/klagomål/A 679-2024 FSC-klagomål.docx", "A 679-2024")</f>
        <v/>
      </c>
      <c r="W502">
        <f>HYPERLINK("https://klasma.github.io/Logging_2481/klagomålsmail/A 679-2024 FSC-klagomål mail.docx", "A 679-2024")</f>
        <v/>
      </c>
      <c r="X502">
        <f>HYPERLINK("https://klasma.github.io/Logging_2481/tillsyn/A 679-2024 tillsynsbegäran.docx", "A 679-2024")</f>
        <v/>
      </c>
      <c r="Y502">
        <f>HYPERLINK("https://klasma.github.io/Logging_2481/tillsynsmail/A 679-2024 tillsynsbegäran mail.docx", "A 679-2024")</f>
        <v/>
      </c>
    </row>
    <row r="503" ht="15" customHeight="1">
      <c r="A503" t="inlineStr">
        <is>
          <t>A 61824-2022</t>
        </is>
      </c>
      <c r="B503" s="1" t="n">
        <v>44917</v>
      </c>
      <c r="C503" s="1" t="n">
        <v>46075</v>
      </c>
      <c r="D503" t="inlineStr">
        <is>
          <t>VÄSTERBOTTENS LÄN</t>
        </is>
      </c>
      <c r="E503" t="inlineStr">
        <is>
          <t>VINDELN</t>
        </is>
      </c>
      <c r="G503" t="n">
        <v>4.1</v>
      </c>
      <c r="H503" t="n">
        <v>0</v>
      </c>
      <c r="I503" t="n">
        <v>1</v>
      </c>
      <c r="J503" t="n">
        <v>1</v>
      </c>
      <c r="K503" t="n">
        <v>1</v>
      </c>
      <c r="L503" t="n">
        <v>0</v>
      </c>
      <c r="M503" t="n">
        <v>0</v>
      </c>
      <c r="N503" t="n">
        <v>0</v>
      </c>
      <c r="O503" t="n">
        <v>2</v>
      </c>
      <c r="P503" t="n">
        <v>1</v>
      </c>
      <c r="Q503" t="n">
        <v>3</v>
      </c>
      <c r="R503" s="2" t="inlineStr">
        <is>
          <t>Tallgråticka
Talltaggsvamp
Mindre märgborre</t>
        </is>
      </c>
      <c r="S503">
        <f>HYPERLINK("https://klasma.github.io/Logging_2404/artfynd/A 61824-2022 artfynd.xlsx", "A 61824-2022")</f>
        <v/>
      </c>
      <c r="T503">
        <f>HYPERLINK("https://klasma.github.io/Logging_2404/kartor/A 61824-2022 karta.png", "A 61824-2022")</f>
        <v/>
      </c>
      <c r="V503">
        <f>HYPERLINK("https://klasma.github.io/Logging_2404/klagomål/A 61824-2022 FSC-klagomål.docx", "A 61824-2022")</f>
        <v/>
      </c>
      <c r="W503">
        <f>HYPERLINK("https://klasma.github.io/Logging_2404/klagomålsmail/A 61824-2022 FSC-klagomål mail.docx", "A 61824-2022")</f>
        <v/>
      </c>
      <c r="X503">
        <f>HYPERLINK("https://klasma.github.io/Logging_2404/tillsyn/A 61824-2022 tillsynsbegäran.docx", "A 61824-2022")</f>
        <v/>
      </c>
      <c r="Y503">
        <f>HYPERLINK("https://klasma.github.io/Logging_2404/tillsynsmail/A 61824-2022 tillsynsbegäran mail.docx", "A 61824-2022")</f>
        <v/>
      </c>
    </row>
    <row r="504" ht="15" customHeight="1">
      <c r="A504" t="inlineStr">
        <is>
          <t>A 58525-2023</t>
        </is>
      </c>
      <c r="B504" s="1" t="n">
        <v>45251.38579861111</v>
      </c>
      <c r="C504" s="1" t="n">
        <v>46075</v>
      </c>
      <c r="D504" t="inlineStr">
        <is>
          <t>VÄSTERBOTTENS LÄN</t>
        </is>
      </c>
      <c r="E504" t="inlineStr">
        <is>
          <t>SKELLEFTEÅ</t>
        </is>
      </c>
      <c r="F504" t="inlineStr">
        <is>
          <t>Holmen skog AB</t>
        </is>
      </c>
      <c r="G504" t="n">
        <v>19.1</v>
      </c>
      <c r="H504" t="n">
        <v>1</v>
      </c>
      <c r="I504" t="n">
        <v>0</v>
      </c>
      <c r="J504" t="n">
        <v>3</v>
      </c>
      <c r="K504" t="n">
        <v>0</v>
      </c>
      <c r="L504" t="n">
        <v>0</v>
      </c>
      <c r="M504" t="n">
        <v>0</v>
      </c>
      <c r="N504" t="n">
        <v>0</v>
      </c>
      <c r="O504" t="n">
        <v>3</v>
      </c>
      <c r="P504" t="n">
        <v>0</v>
      </c>
      <c r="Q504" t="n">
        <v>3</v>
      </c>
      <c r="R504" s="2" t="inlineStr">
        <is>
          <t>Garnlav
Tretåig hackspett
Vedskivlav</t>
        </is>
      </c>
      <c r="S504">
        <f>HYPERLINK("https://klasma.github.io/Logging_2482/artfynd/A 58525-2023 artfynd.xlsx", "A 58525-2023")</f>
        <v/>
      </c>
      <c r="T504">
        <f>HYPERLINK("https://klasma.github.io/Logging_2482/kartor/A 58525-2023 karta.png", "A 58525-2023")</f>
        <v/>
      </c>
      <c r="V504">
        <f>HYPERLINK("https://klasma.github.io/Logging_2482/klagomål/A 58525-2023 FSC-klagomål.docx", "A 58525-2023")</f>
        <v/>
      </c>
      <c r="W504">
        <f>HYPERLINK("https://klasma.github.io/Logging_2482/klagomålsmail/A 58525-2023 FSC-klagomål mail.docx", "A 58525-2023")</f>
        <v/>
      </c>
      <c r="X504">
        <f>HYPERLINK("https://klasma.github.io/Logging_2482/tillsyn/A 58525-2023 tillsynsbegäran.docx", "A 58525-2023")</f>
        <v/>
      </c>
      <c r="Y504">
        <f>HYPERLINK("https://klasma.github.io/Logging_2482/tillsynsmail/A 58525-2023 tillsynsbegäran mail.docx", "A 58525-2023")</f>
        <v/>
      </c>
      <c r="Z504">
        <f>HYPERLINK("https://klasma.github.io/Logging_2482/fåglar/A 58525-2023 prioriterade fågelarter.docx", "A 58525-2023")</f>
        <v/>
      </c>
    </row>
    <row r="505" ht="15" customHeight="1">
      <c r="A505" t="inlineStr">
        <is>
          <t>A 59276-2024</t>
        </is>
      </c>
      <c r="B505" s="1" t="n">
        <v>45637.62774305556</v>
      </c>
      <c r="C505" s="1" t="n">
        <v>46075</v>
      </c>
      <c r="D505" t="inlineStr">
        <is>
          <t>VÄSTERBOTTENS LÄN</t>
        </is>
      </c>
      <c r="E505" t="inlineStr">
        <is>
          <t>LYCKSELE</t>
        </is>
      </c>
      <c r="F505" t="inlineStr">
        <is>
          <t>Sveaskog</t>
        </is>
      </c>
      <c r="G505" t="n">
        <v>12</v>
      </c>
      <c r="H505" t="n">
        <v>0</v>
      </c>
      <c r="I505" t="n">
        <v>1</v>
      </c>
      <c r="J505" t="n">
        <v>2</v>
      </c>
      <c r="K505" t="n">
        <v>0</v>
      </c>
      <c r="L505" t="n">
        <v>0</v>
      </c>
      <c r="M505" t="n">
        <v>0</v>
      </c>
      <c r="N505" t="n">
        <v>0</v>
      </c>
      <c r="O505" t="n">
        <v>2</v>
      </c>
      <c r="P505" t="n">
        <v>0</v>
      </c>
      <c r="Q505" t="n">
        <v>3</v>
      </c>
      <c r="R505" s="2" t="inlineStr">
        <is>
          <t>Kolflarnlav
Motaggsvamp
Dropptaggsvamp</t>
        </is>
      </c>
      <c r="S505">
        <f>HYPERLINK("https://klasma.github.io/Logging_2481/artfynd/A 59276-2024 artfynd.xlsx", "A 59276-2024")</f>
        <v/>
      </c>
      <c r="T505">
        <f>HYPERLINK("https://klasma.github.io/Logging_2481/kartor/A 59276-2024 karta.png", "A 59276-2024")</f>
        <v/>
      </c>
      <c r="V505">
        <f>HYPERLINK("https://klasma.github.io/Logging_2481/klagomål/A 59276-2024 FSC-klagomål.docx", "A 59276-2024")</f>
        <v/>
      </c>
      <c r="W505">
        <f>HYPERLINK("https://klasma.github.io/Logging_2481/klagomålsmail/A 59276-2024 FSC-klagomål mail.docx", "A 59276-2024")</f>
        <v/>
      </c>
      <c r="X505">
        <f>HYPERLINK("https://klasma.github.io/Logging_2481/tillsyn/A 59276-2024 tillsynsbegäran.docx", "A 59276-2024")</f>
        <v/>
      </c>
      <c r="Y505">
        <f>HYPERLINK("https://klasma.github.io/Logging_2481/tillsynsmail/A 59276-2024 tillsynsbegäran mail.docx", "A 59276-2024")</f>
        <v/>
      </c>
    </row>
    <row r="506" ht="15" customHeight="1">
      <c r="A506" t="inlineStr">
        <is>
          <t>A 28909-2025</t>
        </is>
      </c>
      <c r="B506" s="1" t="n">
        <v>45820.65403935185</v>
      </c>
      <c r="C506" s="1" t="n">
        <v>46075</v>
      </c>
      <c r="D506" t="inlineStr">
        <is>
          <t>VÄSTERBOTTENS LÄN</t>
        </is>
      </c>
      <c r="E506" t="inlineStr">
        <is>
          <t>DOROTEA</t>
        </is>
      </c>
      <c r="F506" t="inlineStr">
        <is>
          <t>Kyrkan</t>
        </is>
      </c>
      <c r="G506" t="n">
        <v>5.5</v>
      </c>
      <c r="H506" t="n">
        <v>1</v>
      </c>
      <c r="I506" t="n">
        <v>0</v>
      </c>
      <c r="J506" t="n">
        <v>3</v>
      </c>
      <c r="K506" t="n">
        <v>0</v>
      </c>
      <c r="L506" t="n">
        <v>0</v>
      </c>
      <c r="M506" t="n">
        <v>0</v>
      </c>
      <c r="N506" t="n">
        <v>0</v>
      </c>
      <c r="O506" t="n">
        <v>3</v>
      </c>
      <c r="P506" t="n">
        <v>0</v>
      </c>
      <c r="Q506" t="n">
        <v>3</v>
      </c>
      <c r="R506" s="2" t="inlineStr">
        <is>
          <t>Kolflarnlav
Mörk kolflarnlav
Tretåig hackspett</t>
        </is>
      </c>
      <c r="S506">
        <f>HYPERLINK("https://klasma.github.io/Logging_2425/artfynd/A 28909-2025 artfynd.xlsx", "A 28909-2025")</f>
        <v/>
      </c>
      <c r="T506">
        <f>HYPERLINK("https://klasma.github.io/Logging_2425/kartor/A 28909-2025 karta.png", "A 28909-2025")</f>
        <v/>
      </c>
      <c r="V506">
        <f>HYPERLINK("https://klasma.github.io/Logging_2425/klagomål/A 28909-2025 FSC-klagomål.docx", "A 28909-2025")</f>
        <v/>
      </c>
      <c r="W506">
        <f>HYPERLINK("https://klasma.github.io/Logging_2425/klagomålsmail/A 28909-2025 FSC-klagomål mail.docx", "A 28909-2025")</f>
        <v/>
      </c>
      <c r="X506">
        <f>HYPERLINK("https://klasma.github.io/Logging_2425/tillsyn/A 28909-2025 tillsynsbegäran.docx", "A 28909-2025")</f>
        <v/>
      </c>
      <c r="Y506">
        <f>HYPERLINK("https://klasma.github.io/Logging_2425/tillsynsmail/A 28909-2025 tillsynsbegäran mail.docx", "A 28909-2025")</f>
        <v/>
      </c>
      <c r="Z506">
        <f>HYPERLINK("https://klasma.github.io/Logging_2425/fåglar/A 28909-2025 prioriterade fågelarter.docx", "A 28909-2025")</f>
        <v/>
      </c>
    </row>
    <row r="507" ht="15" customHeight="1">
      <c r="A507" t="inlineStr">
        <is>
          <t>A 29917-2025</t>
        </is>
      </c>
      <c r="B507" s="1" t="n">
        <v>45826.41837962963</v>
      </c>
      <c r="C507" s="1" t="n">
        <v>46075</v>
      </c>
      <c r="D507" t="inlineStr">
        <is>
          <t>VÄSTERBOTTENS LÄN</t>
        </is>
      </c>
      <c r="E507" t="inlineStr">
        <is>
          <t>UMEÅ</t>
        </is>
      </c>
      <c r="G507" t="n">
        <v>7.7</v>
      </c>
      <c r="H507" t="n">
        <v>0</v>
      </c>
      <c r="I507" t="n">
        <v>1</v>
      </c>
      <c r="J507" t="n">
        <v>2</v>
      </c>
      <c r="K507" t="n">
        <v>0</v>
      </c>
      <c r="L507" t="n">
        <v>0</v>
      </c>
      <c r="M507" t="n">
        <v>0</v>
      </c>
      <c r="N507" t="n">
        <v>0</v>
      </c>
      <c r="O507" t="n">
        <v>2</v>
      </c>
      <c r="P507" t="n">
        <v>0</v>
      </c>
      <c r="Q507" t="n">
        <v>3</v>
      </c>
      <c r="R507" s="2" t="inlineStr">
        <is>
          <t>Granticka
Skogshare
Trådticka</t>
        </is>
      </c>
      <c r="S507">
        <f>HYPERLINK("https://klasma.github.io/Logging_2480/artfynd/A 29917-2025 artfynd.xlsx", "A 29917-2025")</f>
        <v/>
      </c>
      <c r="T507">
        <f>HYPERLINK("https://klasma.github.io/Logging_2480/kartor/A 29917-2025 karta.png", "A 29917-2025")</f>
        <v/>
      </c>
      <c r="V507">
        <f>HYPERLINK("https://klasma.github.io/Logging_2480/klagomål/A 29917-2025 FSC-klagomål.docx", "A 29917-2025")</f>
        <v/>
      </c>
      <c r="W507">
        <f>HYPERLINK("https://klasma.github.io/Logging_2480/klagomålsmail/A 29917-2025 FSC-klagomål mail.docx", "A 29917-2025")</f>
        <v/>
      </c>
      <c r="X507">
        <f>HYPERLINK("https://klasma.github.io/Logging_2480/tillsyn/A 29917-2025 tillsynsbegäran.docx", "A 29917-2025")</f>
        <v/>
      </c>
      <c r="Y507">
        <f>HYPERLINK("https://klasma.github.io/Logging_2480/tillsynsmail/A 29917-2025 tillsynsbegäran mail.docx", "A 29917-2025")</f>
        <v/>
      </c>
    </row>
    <row r="508" ht="15" customHeight="1">
      <c r="A508" t="inlineStr">
        <is>
          <t>A 6922-2025</t>
        </is>
      </c>
      <c r="B508" s="1" t="n">
        <v>45701</v>
      </c>
      <c r="C508" s="1" t="n">
        <v>46075</v>
      </c>
      <c r="D508" t="inlineStr">
        <is>
          <t>VÄSTERBOTTENS LÄN</t>
        </is>
      </c>
      <c r="E508" t="inlineStr">
        <is>
          <t>NORDMALING</t>
        </is>
      </c>
      <c r="F508" t="inlineStr">
        <is>
          <t>SCA</t>
        </is>
      </c>
      <c r="G508" t="n">
        <v>9.699999999999999</v>
      </c>
      <c r="H508" t="n">
        <v>0</v>
      </c>
      <c r="I508" t="n">
        <v>0</v>
      </c>
      <c r="J508" t="n">
        <v>3</v>
      </c>
      <c r="K508" t="n">
        <v>0</v>
      </c>
      <c r="L508" t="n">
        <v>0</v>
      </c>
      <c r="M508" t="n">
        <v>0</v>
      </c>
      <c r="N508" t="n">
        <v>0</v>
      </c>
      <c r="O508" t="n">
        <v>3</v>
      </c>
      <c r="P508" t="n">
        <v>0</v>
      </c>
      <c r="Q508" t="n">
        <v>3</v>
      </c>
      <c r="R508" s="2" t="inlineStr">
        <is>
          <t>Doftskinn
Garnlav
Violettgrå tagellav</t>
        </is>
      </c>
      <c r="S508">
        <f>HYPERLINK("https://klasma.github.io/Logging_2401/artfynd/A 6922-2025 artfynd.xlsx", "A 6922-2025")</f>
        <v/>
      </c>
      <c r="T508">
        <f>HYPERLINK("https://klasma.github.io/Logging_2401/kartor/A 6922-2025 karta.png", "A 6922-2025")</f>
        <v/>
      </c>
      <c r="V508">
        <f>HYPERLINK("https://klasma.github.io/Logging_2401/klagomål/A 6922-2025 FSC-klagomål.docx", "A 6922-2025")</f>
        <v/>
      </c>
      <c r="W508">
        <f>HYPERLINK("https://klasma.github.io/Logging_2401/klagomålsmail/A 6922-2025 FSC-klagomål mail.docx", "A 6922-2025")</f>
        <v/>
      </c>
      <c r="X508">
        <f>HYPERLINK("https://klasma.github.io/Logging_2401/tillsyn/A 6922-2025 tillsynsbegäran.docx", "A 6922-2025")</f>
        <v/>
      </c>
      <c r="Y508">
        <f>HYPERLINK("https://klasma.github.io/Logging_2401/tillsynsmail/A 6922-2025 tillsynsbegäran mail.docx", "A 6922-2025")</f>
        <v/>
      </c>
    </row>
    <row r="509" ht="15" customHeight="1">
      <c r="A509" t="inlineStr">
        <is>
          <t>A 54566-2024</t>
        </is>
      </c>
      <c r="B509" s="1" t="n">
        <v>45617.63777777777</v>
      </c>
      <c r="C509" s="1" t="n">
        <v>46075</v>
      </c>
      <c r="D509" t="inlineStr">
        <is>
          <t>VÄSTERBOTTENS LÄN</t>
        </is>
      </c>
      <c r="E509" t="inlineStr">
        <is>
          <t>LYCKSELE</t>
        </is>
      </c>
      <c r="F509" t="inlineStr">
        <is>
          <t>Sveaskog</t>
        </is>
      </c>
      <c r="G509" t="n">
        <v>6.7</v>
      </c>
      <c r="H509" t="n">
        <v>0</v>
      </c>
      <c r="I509" t="n">
        <v>2</v>
      </c>
      <c r="J509" t="n">
        <v>1</v>
      </c>
      <c r="K509" t="n">
        <v>0</v>
      </c>
      <c r="L509" t="n">
        <v>0</v>
      </c>
      <c r="M509" t="n">
        <v>0</v>
      </c>
      <c r="N509" t="n">
        <v>0</v>
      </c>
      <c r="O509" t="n">
        <v>1</v>
      </c>
      <c r="P509" t="n">
        <v>0</v>
      </c>
      <c r="Q509" t="n">
        <v>3</v>
      </c>
      <c r="R509" s="2" t="inlineStr">
        <is>
          <t>Orange taggsvamp
Dropptaggsvamp
Vedticka</t>
        </is>
      </c>
      <c r="S509">
        <f>HYPERLINK("https://klasma.github.io/Logging_2481/artfynd/A 54566-2024 artfynd.xlsx", "A 54566-2024")</f>
        <v/>
      </c>
      <c r="T509">
        <f>HYPERLINK("https://klasma.github.io/Logging_2481/kartor/A 54566-2024 karta.png", "A 54566-2024")</f>
        <v/>
      </c>
      <c r="V509">
        <f>HYPERLINK("https://klasma.github.io/Logging_2481/klagomål/A 54566-2024 FSC-klagomål.docx", "A 54566-2024")</f>
        <v/>
      </c>
      <c r="W509">
        <f>HYPERLINK("https://klasma.github.io/Logging_2481/klagomålsmail/A 54566-2024 FSC-klagomål mail.docx", "A 54566-2024")</f>
        <v/>
      </c>
      <c r="X509">
        <f>HYPERLINK("https://klasma.github.io/Logging_2481/tillsyn/A 54566-2024 tillsynsbegäran.docx", "A 54566-2024")</f>
        <v/>
      </c>
      <c r="Y509">
        <f>HYPERLINK("https://klasma.github.io/Logging_2481/tillsynsmail/A 54566-2024 tillsynsbegäran mail.docx", "A 54566-2024")</f>
        <v/>
      </c>
    </row>
    <row r="510" ht="15" customHeight="1">
      <c r="A510" t="inlineStr">
        <is>
          <t>A 15591-2023</t>
        </is>
      </c>
      <c r="B510" s="1" t="n">
        <v>45019</v>
      </c>
      <c r="C510" s="1" t="n">
        <v>46075</v>
      </c>
      <c r="D510" t="inlineStr">
        <is>
          <t>VÄSTERBOTTENS LÄN</t>
        </is>
      </c>
      <c r="E510" t="inlineStr">
        <is>
          <t>UMEÅ</t>
        </is>
      </c>
      <c r="F510" t="inlineStr">
        <is>
          <t>Kommuner</t>
        </is>
      </c>
      <c r="G510" t="n">
        <v>1.4</v>
      </c>
      <c r="H510" t="n">
        <v>0</v>
      </c>
      <c r="I510" t="n">
        <v>1</v>
      </c>
      <c r="J510" t="n">
        <v>2</v>
      </c>
      <c r="K510" t="n">
        <v>0</v>
      </c>
      <c r="L510" t="n">
        <v>0</v>
      </c>
      <c r="M510" t="n">
        <v>0</v>
      </c>
      <c r="N510" t="n">
        <v>0</v>
      </c>
      <c r="O510" t="n">
        <v>2</v>
      </c>
      <c r="P510" t="n">
        <v>0</v>
      </c>
      <c r="Q510" t="n">
        <v>3</v>
      </c>
      <c r="R510" s="2" t="inlineStr">
        <is>
          <t>Garnlav
Granticka
Vedticka</t>
        </is>
      </c>
      <c r="S510">
        <f>HYPERLINK("https://klasma.github.io/Logging_2480/artfynd/A 15591-2023 artfynd.xlsx", "A 15591-2023")</f>
        <v/>
      </c>
      <c r="T510">
        <f>HYPERLINK("https://klasma.github.io/Logging_2480/kartor/A 15591-2023 karta.png", "A 15591-2023")</f>
        <v/>
      </c>
      <c r="V510">
        <f>HYPERLINK("https://klasma.github.io/Logging_2480/klagomål/A 15591-2023 FSC-klagomål.docx", "A 15591-2023")</f>
        <v/>
      </c>
      <c r="W510">
        <f>HYPERLINK("https://klasma.github.io/Logging_2480/klagomålsmail/A 15591-2023 FSC-klagomål mail.docx", "A 15591-2023")</f>
        <v/>
      </c>
      <c r="X510">
        <f>HYPERLINK("https://klasma.github.io/Logging_2480/tillsyn/A 15591-2023 tillsynsbegäran.docx", "A 15591-2023")</f>
        <v/>
      </c>
      <c r="Y510">
        <f>HYPERLINK("https://klasma.github.io/Logging_2480/tillsynsmail/A 15591-2023 tillsynsbegäran mail.docx", "A 15591-2023")</f>
        <v/>
      </c>
    </row>
    <row r="511" ht="15" customHeight="1">
      <c r="A511" t="inlineStr">
        <is>
          <t>A 32779-2025</t>
        </is>
      </c>
      <c r="B511" s="1" t="n">
        <v>45839.46946759259</v>
      </c>
      <c r="C511" s="1" t="n">
        <v>46075</v>
      </c>
      <c r="D511" t="inlineStr">
        <is>
          <t>VÄSTERBOTTENS LÄN</t>
        </is>
      </c>
      <c r="E511" t="inlineStr">
        <is>
          <t>VILHELMINA</t>
        </is>
      </c>
      <c r="F511" t="inlineStr">
        <is>
          <t>SCA</t>
        </is>
      </c>
      <c r="G511" t="n">
        <v>13.6</v>
      </c>
      <c r="H511" t="n">
        <v>0</v>
      </c>
      <c r="I511" t="n">
        <v>1</v>
      </c>
      <c r="J511" t="n">
        <v>2</v>
      </c>
      <c r="K511" t="n">
        <v>0</v>
      </c>
      <c r="L511" t="n">
        <v>0</v>
      </c>
      <c r="M511" t="n">
        <v>0</v>
      </c>
      <c r="N511" t="n">
        <v>0</v>
      </c>
      <c r="O511" t="n">
        <v>2</v>
      </c>
      <c r="P511" t="n">
        <v>0</v>
      </c>
      <c r="Q511" t="n">
        <v>3</v>
      </c>
      <c r="R511" s="2" t="inlineStr">
        <is>
          <t>Doftskinn
Lunglav
Stuplav</t>
        </is>
      </c>
      <c r="S511">
        <f>HYPERLINK("https://klasma.github.io/Logging_2462/artfynd/A 32779-2025 artfynd.xlsx", "A 32779-2025")</f>
        <v/>
      </c>
      <c r="T511">
        <f>HYPERLINK("https://klasma.github.io/Logging_2462/kartor/A 32779-2025 karta.png", "A 32779-2025")</f>
        <v/>
      </c>
      <c r="V511">
        <f>HYPERLINK("https://klasma.github.io/Logging_2462/klagomål/A 32779-2025 FSC-klagomål.docx", "A 32779-2025")</f>
        <v/>
      </c>
      <c r="W511">
        <f>HYPERLINK("https://klasma.github.io/Logging_2462/klagomålsmail/A 32779-2025 FSC-klagomål mail.docx", "A 32779-2025")</f>
        <v/>
      </c>
      <c r="X511">
        <f>HYPERLINK("https://klasma.github.io/Logging_2462/tillsyn/A 32779-2025 tillsynsbegäran.docx", "A 32779-2025")</f>
        <v/>
      </c>
      <c r="Y511">
        <f>HYPERLINK("https://klasma.github.io/Logging_2462/tillsynsmail/A 32779-2025 tillsynsbegäran mail.docx", "A 32779-2025")</f>
        <v/>
      </c>
    </row>
    <row r="512" ht="15" customHeight="1">
      <c r="A512" t="inlineStr">
        <is>
          <t>A 18360-2023</t>
        </is>
      </c>
      <c r="B512" s="1" t="n">
        <v>45041</v>
      </c>
      <c r="C512" s="1" t="n">
        <v>46075</v>
      </c>
      <c r="D512" t="inlineStr">
        <is>
          <t>VÄSTERBOTTENS LÄN</t>
        </is>
      </c>
      <c r="E512" t="inlineStr">
        <is>
          <t>VINDELN</t>
        </is>
      </c>
      <c r="G512" t="n">
        <v>3.9</v>
      </c>
      <c r="H512" t="n">
        <v>0</v>
      </c>
      <c r="I512" t="n">
        <v>1</v>
      </c>
      <c r="J512" t="n">
        <v>0</v>
      </c>
      <c r="K512" t="n">
        <v>2</v>
      </c>
      <c r="L512" t="n">
        <v>0</v>
      </c>
      <c r="M512" t="n">
        <v>0</v>
      </c>
      <c r="N512" t="n">
        <v>0</v>
      </c>
      <c r="O512" t="n">
        <v>2</v>
      </c>
      <c r="P512" t="n">
        <v>2</v>
      </c>
      <c r="Q512" t="n">
        <v>3</v>
      </c>
      <c r="R512" s="2" t="inlineStr">
        <is>
          <t>Goliatmusseron
Tallgråticka
Skarp dropptaggsvamp</t>
        </is>
      </c>
      <c r="S512">
        <f>HYPERLINK("https://klasma.github.io/Logging_2404/artfynd/A 18360-2023 artfynd.xlsx", "A 18360-2023")</f>
        <v/>
      </c>
      <c r="T512">
        <f>HYPERLINK("https://klasma.github.io/Logging_2404/kartor/A 18360-2023 karta.png", "A 18360-2023")</f>
        <v/>
      </c>
      <c r="V512">
        <f>HYPERLINK("https://klasma.github.io/Logging_2404/klagomål/A 18360-2023 FSC-klagomål.docx", "A 18360-2023")</f>
        <v/>
      </c>
      <c r="W512">
        <f>HYPERLINK("https://klasma.github.io/Logging_2404/klagomålsmail/A 18360-2023 FSC-klagomål mail.docx", "A 18360-2023")</f>
        <v/>
      </c>
      <c r="X512">
        <f>HYPERLINK("https://klasma.github.io/Logging_2404/tillsyn/A 18360-2023 tillsynsbegäran.docx", "A 18360-2023")</f>
        <v/>
      </c>
      <c r="Y512">
        <f>HYPERLINK("https://klasma.github.io/Logging_2404/tillsynsmail/A 18360-2023 tillsynsbegäran mail.docx", "A 18360-2023")</f>
        <v/>
      </c>
    </row>
    <row r="513" ht="15" customHeight="1">
      <c r="A513" t="inlineStr">
        <is>
          <t>A 32937-2025</t>
        </is>
      </c>
      <c r="B513" s="1" t="n">
        <v>45839.67740740741</v>
      </c>
      <c r="C513" s="1" t="n">
        <v>46075</v>
      </c>
      <c r="D513" t="inlineStr">
        <is>
          <t>VÄSTERBOTTENS LÄN</t>
        </is>
      </c>
      <c r="E513" t="inlineStr">
        <is>
          <t>SKELLEFTEÅ</t>
        </is>
      </c>
      <c r="F513" t="inlineStr">
        <is>
          <t>Holmen skog AB</t>
        </is>
      </c>
      <c r="G513" t="n">
        <v>24.3</v>
      </c>
      <c r="H513" t="n">
        <v>2</v>
      </c>
      <c r="I513" t="n">
        <v>0</v>
      </c>
      <c r="J513" t="n">
        <v>3</v>
      </c>
      <c r="K513" t="n">
        <v>0</v>
      </c>
      <c r="L513" t="n">
        <v>0</v>
      </c>
      <c r="M513" t="n">
        <v>0</v>
      </c>
      <c r="N513" t="n">
        <v>0</v>
      </c>
      <c r="O513" t="n">
        <v>3</v>
      </c>
      <c r="P513" t="n">
        <v>0</v>
      </c>
      <c r="Q513" t="n">
        <v>3</v>
      </c>
      <c r="R513" s="2" t="inlineStr">
        <is>
          <t>Garnlav
Spillkråka
Talltita</t>
        </is>
      </c>
      <c r="S513">
        <f>HYPERLINK("https://klasma.github.io/Logging_2482/artfynd/A 32937-2025 artfynd.xlsx", "A 32937-2025")</f>
        <v/>
      </c>
      <c r="T513">
        <f>HYPERLINK("https://klasma.github.io/Logging_2482/kartor/A 32937-2025 karta.png", "A 32937-2025")</f>
        <v/>
      </c>
      <c r="V513">
        <f>HYPERLINK("https://klasma.github.io/Logging_2482/klagomål/A 32937-2025 FSC-klagomål.docx", "A 32937-2025")</f>
        <v/>
      </c>
      <c r="W513">
        <f>HYPERLINK("https://klasma.github.io/Logging_2482/klagomålsmail/A 32937-2025 FSC-klagomål mail.docx", "A 32937-2025")</f>
        <v/>
      </c>
      <c r="X513">
        <f>HYPERLINK("https://klasma.github.io/Logging_2482/tillsyn/A 32937-2025 tillsynsbegäran.docx", "A 32937-2025")</f>
        <v/>
      </c>
      <c r="Y513">
        <f>HYPERLINK("https://klasma.github.io/Logging_2482/tillsynsmail/A 32937-2025 tillsynsbegäran mail.docx", "A 32937-2025")</f>
        <v/>
      </c>
      <c r="Z513">
        <f>HYPERLINK("https://klasma.github.io/Logging_2482/fåglar/A 32937-2025 prioriterade fågelarter.docx", "A 32937-2025")</f>
        <v/>
      </c>
    </row>
    <row r="514" ht="15" customHeight="1">
      <c r="A514" t="inlineStr">
        <is>
          <t>A 33347-2025</t>
        </is>
      </c>
      <c r="B514" s="1" t="n">
        <v>45841.36940972223</v>
      </c>
      <c r="C514" s="1" t="n">
        <v>46075</v>
      </c>
      <c r="D514" t="inlineStr">
        <is>
          <t>VÄSTERBOTTENS LÄN</t>
        </is>
      </c>
      <c r="E514" t="inlineStr">
        <is>
          <t>ROBERTSFORS</t>
        </is>
      </c>
      <c r="F514" t="inlineStr">
        <is>
          <t>Holmen skog AB</t>
        </is>
      </c>
      <c r="G514" t="n">
        <v>2.9</v>
      </c>
      <c r="H514" t="n">
        <v>0</v>
      </c>
      <c r="I514" t="n">
        <v>1</v>
      </c>
      <c r="J514" t="n">
        <v>2</v>
      </c>
      <c r="K514" t="n">
        <v>0</v>
      </c>
      <c r="L514" t="n">
        <v>0</v>
      </c>
      <c r="M514" t="n">
        <v>0</v>
      </c>
      <c r="N514" t="n">
        <v>0</v>
      </c>
      <c r="O514" t="n">
        <v>2</v>
      </c>
      <c r="P514" t="n">
        <v>0</v>
      </c>
      <c r="Q514" t="n">
        <v>3</v>
      </c>
      <c r="R514" s="2" t="inlineStr">
        <is>
          <t>Garnlav
Lunglav
Stuplav</t>
        </is>
      </c>
      <c r="S514">
        <f>HYPERLINK("https://klasma.github.io/Logging_2409/artfynd/A 33347-2025 artfynd.xlsx", "A 33347-2025")</f>
        <v/>
      </c>
      <c r="T514">
        <f>HYPERLINK("https://klasma.github.io/Logging_2409/kartor/A 33347-2025 karta.png", "A 33347-2025")</f>
        <v/>
      </c>
      <c r="V514">
        <f>HYPERLINK("https://klasma.github.io/Logging_2409/klagomål/A 33347-2025 FSC-klagomål.docx", "A 33347-2025")</f>
        <v/>
      </c>
      <c r="W514">
        <f>HYPERLINK("https://klasma.github.io/Logging_2409/klagomålsmail/A 33347-2025 FSC-klagomål mail.docx", "A 33347-2025")</f>
        <v/>
      </c>
      <c r="X514">
        <f>HYPERLINK("https://klasma.github.io/Logging_2409/tillsyn/A 33347-2025 tillsynsbegäran.docx", "A 33347-2025")</f>
        <v/>
      </c>
      <c r="Y514">
        <f>HYPERLINK("https://klasma.github.io/Logging_2409/tillsynsmail/A 33347-2025 tillsynsbegäran mail.docx", "A 33347-2025")</f>
        <v/>
      </c>
    </row>
    <row r="515" ht="15" customHeight="1">
      <c r="A515" t="inlineStr">
        <is>
          <t>A 33340-2025</t>
        </is>
      </c>
      <c r="B515" s="1" t="n">
        <v>45841.36038194445</v>
      </c>
      <c r="C515" s="1" t="n">
        <v>46075</v>
      </c>
      <c r="D515" t="inlineStr">
        <is>
          <t>VÄSTERBOTTENS LÄN</t>
        </is>
      </c>
      <c r="E515" t="inlineStr">
        <is>
          <t>LYCKSELE</t>
        </is>
      </c>
      <c r="F515" t="inlineStr">
        <is>
          <t>Sveaskog</t>
        </is>
      </c>
      <c r="G515" t="n">
        <v>5.2</v>
      </c>
      <c r="H515" t="n">
        <v>0</v>
      </c>
      <c r="I515" t="n">
        <v>0</v>
      </c>
      <c r="J515" t="n">
        <v>3</v>
      </c>
      <c r="K515" t="n">
        <v>0</v>
      </c>
      <c r="L515" t="n">
        <v>0</v>
      </c>
      <c r="M515" t="n">
        <v>0</v>
      </c>
      <c r="N515" t="n">
        <v>0</v>
      </c>
      <c r="O515" t="n">
        <v>3</v>
      </c>
      <c r="P515" t="n">
        <v>0</v>
      </c>
      <c r="Q515" t="n">
        <v>3</v>
      </c>
      <c r="R515" s="2" t="inlineStr">
        <is>
          <t>Mörk kolflarnlav
Vaddporing
Vedflamlav</t>
        </is>
      </c>
      <c r="S515">
        <f>HYPERLINK("https://klasma.github.io/Logging_2481/artfynd/A 33340-2025 artfynd.xlsx", "A 33340-2025")</f>
        <v/>
      </c>
      <c r="T515">
        <f>HYPERLINK("https://klasma.github.io/Logging_2481/kartor/A 33340-2025 karta.png", "A 33340-2025")</f>
        <v/>
      </c>
      <c r="V515">
        <f>HYPERLINK("https://klasma.github.io/Logging_2481/klagomål/A 33340-2025 FSC-klagomål.docx", "A 33340-2025")</f>
        <v/>
      </c>
      <c r="W515">
        <f>HYPERLINK("https://klasma.github.io/Logging_2481/klagomålsmail/A 33340-2025 FSC-klagomål mail.docx", "A 33340-2025")</f>
        <v/>
      </c>
      <c r="X515">
        <f>HYPERLINK("https://klasma.github.io/Logging_2481/tillsyn/A 33340-2025 tillsynsbegäran.docx", "A 33340-2025")</f>
        <v/>
      </c>
      <c r="Y515">
        <f>HYPERLINK("https://klasma.github.io/Logging_2481/tillsynsmail/A 33340-2025 tillsynsbegäran mail.docx", "A 33340-2025")</f>
        <v/>
      </c>
    </row>
    <row r="516" ht="15" customHeight="1">
      <c r="A516" t="inlineStr">
        <is>
          <t>A 44084-2025</t>
        </is>
      </c>
      <c r="B516" s="1" t="n">
        <v>45915.55431712963</v>
      </c>
      <c r="C516" s="1" t="n">
        <v>46075</v>
      </c>
      <c r="D516" t="inlineStr">
        <is>
          <t>VÄSTERBOTTENS LÄN</t>
        </is>
      </c>
      <c r="E516" t="inlineStr">
        <is>
          <t>ROBERTSFORS</t>
        </is>
      </c>
      <c r="G516" t="n">
        <v>4.4</v>
      </c>
      <c r="H516" t="n">
        <v>1</v>
      </c>
      <c r="I516" t="n">
        <v>1</v>
      </c>
      <c r="J516" t="n">
        <v>2</v>
      </c>
      <c r="K516" t="n">
        <v>0</v>
      </c>
      <c r="L516" t="n">
        <v>0</v>
      </c>
      <c r="M516" t="n">
        <v>0</v>
      </c>
      <c r="N516" t="n">
        <v>0</v>
      </c>
      <c r="O516" t="n">
        <v>2</v>
      </c>
      <c r="P516" t="n">
        <v>0</v>
      </c>
      <c r="Q516" t="n">
        <v>3</v>
      </c>
      <c r="R516" s="2" t="inlineStr">
        <is>
          <t>Garnlav
Spillkråka
Vedticka</t>
        </is>
      </c>
      <c r="S516">
        <f>HYPERLINK("https://klasma.github.io/Logging_2409/artfynd/A 44084-2025 artfynd.xlsx", "A 44084-2025")</f>
        <v/>
      </c>
      <c r="T516">
        <f>HYPERLINK("https://klasma.github.io/Logging_2409/kartor/A 44084-2025 karta.png", "A 44084-2025")</f>
        <v/>
      </c>
      <c r="V516">
        <f>HYPERLINK("https://klasma.github.io/Logging_2409/klagomål/A 44084-2025 FSC-klagomål.docx", "A 44084-2025")</f>
        <v/>
      </c>
      <c r="W516">
        <f>HYPERLINK("https://klasma.github.io/Logging_2409/klagomålsmail/A 44084-2025 FSC-klagomål mail.docx", "A 44084-2025")</f>
        <v/>
      </c>
      <c r="X516">
        <f>HYPERLINK("https://klasma.github.io/Logging_2409/tillsyn/A 44084-2025 tillsynsbegäran.docx", "A 44084-2025")</f>
        <v/>
      </c>
      <c r="Y516">
        <f>HYPERLINK("https://klasma.github.io/Logging_2409/tillsynsmail/A 44084-2025 tillsynsbegäran mail.docx", "A 44084-2025")</f>
        <v/>
      </c>
      <c r="Z516">
        <f>HYPERLINK("https://klasma.github.io/Logging_2409/fåglar/A 44084-2025 prioriterade fågelarter.docx", "A 44084-2025")</f>
        <v/>
      </c>
    </row>
    <row r="517" ht="15" customHeight="1">
      <c r="A517" t="inlineStr">
        <is>
          <t>A 53238-2024</t>
        </is>
      </c>
      <c r="B517" s="1" t="n">
        <v>45613</v>
      </c>
      <c r="C517" s="1" t="n">
        <v>46075</v>
      </c>
      <c r="D517" t="inlineStr">
        <is>
          <t>VÄSTERBOTTENS LÄN</t>
        </is>
      </c>
      <c r="E517" t="inlineStr">
        <is>
          <t>ÅSELE</t>
        </is>
      </c>
      <c r="F517" t="inlineStr">
        <is>
          <t>Naturvårdsverket</t>
        </is>
      </c>
      <c r="G517" t="n">
        <v>1.2</v>
      </c>
      <c r="H517" t="n">
        <v>0</v>
      </c>
      <c r="I517" t="n">
        <v>0</v>
      </c>
      <c r="J517" t="n">
        <v>3</v>
      </c>
      <c r="K517" t="n">
        <v>0</v>
      </c>
      <c r="L517" t="n">
        <v>0</v>
      </c>
      <c r="M517" t="n">
        <v>0</v>
      </c>
      <c r="N517" t="n">
        <v>0</v>
      </c>
      <c r="O517" t="n">
        <v>3</v>
      </c>
      <c r="P517" t="n">
        <v>0</v>
      </c>
      <c r="Q517" t="n">
        <v>3</v>
      </c>
      <c r="R517" s="2" t="inlineStr">
        <is>
          <t>Gammelgransskål
Granticka
Vitgrynig nållav</t>
        </is>
      </c>
      <c r="S517">
        <f>HYPERLINK("https://klasma.github.io/Logging_2463/artfynd/A 53238-2024 artfynd.xlsx", "A 53238-2024")</f>
        <v/>
      </c>
      <c r="T517">
        <f>HYPERLINK("https://klasma.github.io/Logging_2463/kartor/A 53238-2024 karta.png", "A 53238-2024")</f>
        <v/>
      </c>
      <c r="V517">
        <f>HYPERLINK("https://klasma.github.io/Logging_2463/klagomål/A 53238-2024 FSC-klagomål.docx", "A 53238-2024")</f>
        <v/>
      </c>
      <c r="W517">
        <f>HYPERLINK("https://klasma.github.io/Logging_2463/klagomålsmail/A 53238-2024 FSC-klagomål mail.docx", "A 53238-2024")</f>
        <v/>
      </c>
      <c r="X517">
        <f>HYPERLINK("https://klasma.github.io/Logging_2463/tillsyn/A 53238-2024 tillsynsbegäran.docx", "A 53238-2024")</f>
        <v/>
      </c>
      <c r="Y517">
        <f>HYPERLINK("https://klasma.github.io/Logging_2463/tillsynsmail/A 53238-2024 tillsynsbegäran mail.docx", "A 53238-2024")</f>
        <v/>
      </c>
    </row>
    <row r="518" ht="15" customHeight="1">
      <c r="A518" t="inlineStr">
        <is>
          <t>A 43726-2025</t>
        </is>
      </c>
      <c r="B518" s="1" t="n">
        <v>45912.4291087963</v>
      </c>
      <c r="C518" s="1" t="n">
        <v>46075</v>
      </c>
      <c r="D518" t="inlineStr">
        <is>
          <t>VÄSTERBOTTENS LÄN</t>
        </is>
      </c>
      <c r="E518" t="inlineStr">
        <is>
          <t>LYCKSELE</t>
        </is>
      </c>
      <c r="F518" t="inlineStr">
        <is>
          <t>Sveaskog</t>
        </is>
      </c>
      <c r="G518" t="n">
        <v>10.1</v>
      </c>
      <c r="H518" t="n">
        <v>1</v>
      </c>
      <c r="I518" t="n">
        <v>0</v>
      </c>
      <c r="J518" t="n">
        <v>2</v>
      </c>
      <c r="K518" t="n">
        <v>1</v>
      </c>
      <c r="L518" t="n">
        <v>0</v>
      </c>
      <c r="M518" t="n">
        <v>0</v>
      </c>
      <c r="N518" t="n">
        <v>0</v>
      </c>
      <c r="O518" t="n">
        <v>3</v>
      </c>
      <c r="P518" t="n">
        <v>1</v>
      </c>
      <c r="Q518" t="n">
        <v>3</v>
      </c>
      <c r="R518" s="2" t="inlineStr">
        <is>
          <t>Doftticka
Kolflarnlav
Lunglav</t>
        </is>
      </c>
      <c r="S518">
        <f>HYPERLINK("https://klasma.github.io/Logging_2481/artfynd/A 43726-2025 artfynd.xlsx", "A 43726-2025")</f>
        <v/>
      </c>
      <c r="T518">
        <f>HYPERLINK("https://klasma.github.io/Logging_2481/kartor/A 43726-2025 karta.png", "A 43726-2025")</f>
        <v/>
      </c>
      <c r="V518">
        <f>HYPERLINK("https://klasma.github.io/Logging_2481/klagomål/A 43726-2025 FSC-klagomål.docx", "A 43726-2025")</f>
        <v/>
      </c>
      <c r="W518">
        <f>HYPERLINK("https://klasma.github.io/Logging_2481/klagomålsmail/A 43726-2025 FSC-klagomål mail.docx", "A 43726-2025")</f>
        <v/>
      </c>
      <c r="X518">
        <f>HYPERLINK("https://klasma.github.io/Logging_2481/tillsyn/A 43726-2025 tillsynsbegäran.docx", "A 43726-2025")</f>
        <v/>
      </c>
      <c r="Y518">
        <f>HYPERLINK("https://klasma.github.io/Logging_2481/tillsynsmail/A 43726-2025 tillsynsbegäran mail.docx", "A 43726-2025")</f>
        <v/>
      </c>
    </row>
    <row r="519" ht="15" customHeight="1">
      <c r="A519" t="inlineStr">
        <is>
          <t>A 34948-2025</t>
        </is>
      </c>
      <c r="B519" s="1" t="n">
        <v>45849.59368055555</v>
      </c>
      <c r="C519" s="1" t="n">
        <v>46075</v>
      </c>
      <c r="D519" t="inlineStr">
        <is>
          <t>VÄSTERBOTTENS LÄN</t>
        </is>
      </c>
      <c r="E519" t="inlineStr">
        <is>
          <t>NORSJÖ</t>
        </is>
      </c>
      <c r="F519" t="inlineStr">
        <is>
          <t>Holmen skog AB</t>
        </is>
      </c>
      <c r="G519" t="n">
        <v>4.9</v>
      </c>
      <c r="H519" t="n">
        <v>0</v>
      </c>
      <c r="I519" t="n">
        <v>0</v>
      </c>
      <c r="J519" t="n">
        <v>3</v>
      </c>
      <c r="K519" t="n">
        <v>0</v>
      </c>
      <c r="L519" t="n">
        <v>0</v>
      </c>
      <c r="M519" t="n">
        <v>0</v>
      </c>
      <c r="N519" t="n">
        <v>0</v>
      </c>
      <c r="O519" t="n">
        <v>3</v>
      </c>
      <c r="P519" t="n">
        <v>0</v>
      </c>
      <c r="Q519" t="n">
        <v>3</v>
      </c>
      <c r="R519" s="2" t="inlineStr">
        <is>
          <t>Gammelgransskål
Garnlav
Knottrig blåslav</t>
        </is>
      </c>
      <c r="S519">
        <f>HYPERLINK("https://klasma.github.io/Logging_2417/artfynd/A 34948-2025 artfynd.xlsx", "A 34948-2025")</f>
        <v/>
      </c>
      <c r="T519">
        <f>HYPERLINK("https://klasma.github.io/Logging_2417/kartor/A 34948-2025 karta.png", "A 34948-2025")</f>
        <v/>
      </c>
      <c r="V519">
        <f>HYPERLINK("https://klasma.github.io/Logging_2417/klagomål/A 34948-2025 FSC-klagomål.docx", "A 34948-2025")</f>
        <v/>
      </c>
      <c r="W519">
        <f>HYPERLINK("https://klasma.github.io/Logging_2417/klagomålsmail/A 34948-2025 FSC-klagomål mail.docx", "A 34948-2025")</f>
        <v/>
      </c>
      <c r="X519">
        <f>HYPERLINK("https://klasma.github.io/Logging_2417/tillsyn/A 34948-2025 tillsynsbegäran.docx", "A 34948-2025")</f>
        <v/>
      </c>
      <c r="Y519">
        <f>HYPERLINK("https://klasma.github.io/Logging_2417/tillsynsmail/A 34948-2025 tillsynsbegäran mail.docx", "A 34948-2025")</f>
        <v/>
      </c>
    </row>
    <row r="520" ht="15" customHeight="1">
      <c r="A520" t="inlineStr">
        <is>
          <t>A 35159-2025</t>
        </is>
      </c>
      <c r="B520" s="1" t="n">
        <v>45852</v>
      </c>
      <c r="C520" s="1" t="n">
        <v>46075</v>
      </c>
      <c r="D520" t="inlineStr">
        <is>
          <t>VÄSTERBOTTENS LÄN</t>
        </is>
      </c>
      <c r="E520" t="inlineStr">
        <is>
          <t>SKELLEFTEÅ</t>
        </is>
      </c>
      <c r="G520" t="n">
        <v>3.3</v>
      </c>
      <c r="H520" t="n">
        <v>1</v>
      </c>
      <c r="I520" t="n">
        <v>0</v>
      </c>
      <c r="J520" t="n">
        <v>2</v>
      </c>
      <c r="K520" t="n">
        <v>0</v>
      </c>
      <c r="L520" t="n">
        <v>0</v>
      </c>
      <c r="M520" t="n">
        <v>0</v>
      </c>
      <c r="N520" t="n">
        <v>0</v>
      </c>
      <c r="O520" t="n">
        <v>3</v>
      </c>
      <c r="P520" t="n">
        <v>0</v>
      </c>
      <c r="Q520" t="n">
        <v>3</v>
      </c>
      <c r="R520" s="2" t="inlineStr">
        <is>
          <t>Granticka
Talltita
Postia balsamina</t>
        </is>
      </c>
      <c r="S520">
        <f>HYPERLINK("https://klasma.github.io/Logging_2482/artfynd/A 35159-2025 artfynd.xlsx", "A 35159-2025")</f>
        <v/>
      </c>
      <c r="T520">
        <f>HYPERLINK("https://klasma.github.io/Logging_2482/kartor/A 35159-2025 karta.png", "A 35159-2025")</f>
        <v/>
      </c>
      <c r="V520">
        <f>HYPERLINK("https://klasma.github.io/Logging_2482/klagomål/A 35159-2025 FSC-klagomål.docx", "A 35159-2025")</f>
        <v/>
      </c>
      <c r="W520">
        <f>HYPERLINK("https://klasma.github.io/Logging_2482/klagomålsmail/A 35159-2025 FSC-klagomål mail.docx", "A 35159-2025")</f>
        <v/>
      </c>
      <c r="X520">
        <f>HYPERLINK("https://klasma.github.io/Logging_2482/tillsyn/A 35159-2025 tillsynsbegäran.docx", "A 35159-2025")</f>
        <v/>
      </c>
      <c r="Y520">
        <f>HYPERLINK("https://klasma.github.io/Logging_2482/tillsynsmail/A 35159-2025 tillsynsbegäran mail.docx", "A 35159-2025")</f>
        <v/>
      </c>
      <c r="Z520">
        <f>HYPERLINK("https://klasma.github.io/Logging_2482/fåglar/A 35159-2025 prioriterade fågelarter.docx", "A 35159-2025")</f>
        <v/>
      </c>
    </row>
    <row r="521" ht="15" customHeight="1">
      <c r="A521" t="inlineStr">
        <is>
          <t>A 42063-2024</t>
        </is>
      </c>
      <c r="B521" s="1" t="n">
        <v>45561</v>
      </c>
      <c r="C521" s="1" t="n">
        <v>46075</v>
      </c>
      <c r="D521" t="inlineStr">
        <is>
          <t>VÄSTERBOTTENS LÄN</t>
        </is>
      </c>
      <c r="E521" t="inlineStr">
        <is>
          <t>VILHELMINA</t>
        </is>
      </c>
      <c r="G521" t="n">
        <v>7.4</v>
      </c>
      <c r="H521" t="n">
        <v>0</v>
      </c>
      <c r="I521" t="n">
        <v>1</v>
      </c>
      <c r="J521" t="n">
        <v>2</v>
      </c>
      <c r="K521" t="n">
        <v>0</v>
      </c>
      <c r="L521" t="n">
        <v>0</v>
      </c>
      <c r="M521" t="n">
        <v>0</v>
      </c>
      <c r="N521" t="n">
        <v>0</v>
      </c>
      <c r="O521" t="n">
        <v>2</v>
      </c>
      <c r="P521" t="n">
        <v>0</v>
      </c>
      <c r="Q521" t="n">
        <v>3</v>
      </c>
      <c r="R521" s="2" t="inlineStr">
        <is>
          <t>Garnlav
Skrovellav
Luddlav</t>
        </is>
      </c>
      <c r="S521">
        <f>HYPERLINK("https://klasma.github.io/Logging_2462/artfynd/A 42063-2024 artfynd.xlsx", "A 42063-2024")</f>
        <v/>
      </c>
      <c r="T521">
        <f>HYPERLINK("https://klasma.github.io/Logging_2462/kartor/A 42063-2024 karta.png", "A 42063-2024")</f>
        <v/>
      </c>
      <c r="V521">
        <f>HYPERLINK("https://klasma.github.io/Logging_2462/klagomål/A 42063-2024 FSC-klagomål.docx", "A 42063-2024")</f>
        <v/>
      </c>
      <c r="W521">
        <f>HYPERLINK("https://klasma.github.io/Logging_2462/klagomålsmail/A 42063-2024 FSC-klagomål mail.docx", "A 42063-2024")</f>
        <v/>
      </c>
      <c r="X521">
        <f>HYPERLINK("https://klasma.github.io/Logging_2462/tillsyn/A 42063-2024 tillsynsbegäran.docx", "A 42063-2024")</f>
        <v/>
      </c>
      <c r="Y521">
        <f>HYPERLINK("https://klasma.github.io/Logging_2462/tillsynsmail/A 42063-2024 tillsynsbegäran mail.docx", "A 42063-2024")</f>
        <v/>
      </c>
    </row>
    <row r="522" ht="15" customHeight="1">
      <c r="A522" t="inlineStr">
        <is>
          <t>A 14498-2022</t>
        </is>
      </c>
      <c r="B522" s="1" t="n">
        <v>44655</v>
      </c>
      <c r="C522" s="1" t="n">
        <v>46075</v>
      </c>
      <c r="D522" t="inlineStr">
        <is>
          <t>VÄSTERBOTTENS LÄN</t>
        </is>
      </c>
      <c r="E522" t="inlineStr">
        <is>
          <t>SKELLEFTEÅ</t>
        </is>
      </c>
      <c r="G522" t="n">
        <v>8.6</v>
      </c>
      <c r="H522" t="n">
        <v>0</v>
      </c>
      <c r="I522" t="n">
        <v>0</v>
      </c>
      <c r="J522" t="n">
        <v>3</v>
      </c>
      <c r="K522" t="n">
        <v>0</v>
      </c>
      <c r="L522" t="n">
        <v>0</v>
      </c>
      <c r="M522" t="n">
        <v>0</v>
      </c>
      <c r="N522" t="n">
        <v>0</v>
      </c>
      <c r="O522" t="n">
        <v>3</v>
      </c>
      <c r="P522" t="n">
        <v>0</v>
      </c>
      <c r="Q522" t="n">
        <v>3</v>
      </c>
      <c r="R522" s="2" t="inlineStr">
        <is>
          <t>Garnlav
Granticka
Ullticka</t>
        </is>
      </c>
      <c r="S522">
        <f>HYPERLINK("https://klasma.github.io/Logging_2482/artfynd/A 14498-2022 artfynd.xlsx", "A 14498-2022")</f>
        <v/>
      </c>
      <c r="T522">
        <f>HYPERLINK("https://klasma.github.io/Logging_2482/kartor/A 14498-2022 karta.png", "A 14498-2022")</f>
        <v/>
      </c>
      <c r="V522">
        <f>HYPERLINK("https://klasma.github.io/Logging_2482/klagomål/A 14498-2022 FSC-klagomål.docx", "A 14498-2022")</f>
        <v/>
      </c>
      <c r="W522">
        <f>HYPERLINK("https://klasma.github.io/Logging_2482/klagomålsmail/A 14498-2022 FSC-klagomål mail.docx", "A 14498-2022")</f>
        <v/>
      </c>
      <c r="X522">
        <f>HYPERLINK("https://klasma.github.io/Logging_2482/tillsyn/A 14498-2022 tillsynsbegäran.docx", "A 14498-2022")</f>
        <v/>
      </c>
      <c r="Y522">
        <f>HYPERLINK("https://klasma.github.io/Logging_2482/tillsynsmail/A 14498-2022 tillsynsbegäran mail.docx", "A 14498-2022")</f>
        <v/>
      </c>
    </row>
    <row r="523" ht="15" customHeight="1">
      <c r="A523" t="inlineStr">
        <is>
          <t>A 6054-2025</t>
        </is>
      </c>
      <c r="B523" s="1" t="n">
        <v>45695</v>
      </c>
      <c r="C523" s="1" t="n">
        <v>46075</v>
      </c>
      <c r="D523" t="inlineStr">
        <is>
          <t>VÄSTERBOTTENS LÄN</t>
        </is>
      </c>
      <c r="E523" t="inlineStr">
        <is>
          <t>UMEÅ</t>
        </is>
      </c>
      <c r="G523" t="n">
        <v>5.4</v>
      </c>
      <c r="H523" t="n">
        <v>1</v>
      </c>
      <c r="I523" t="n">
        <v>0</v>
      </c>
      <c r="J523" t="n">
        <v>3</v>
      </c>
      <c r="K523" t="n">
        <v>0</v>
      </c>
      <c r="L523" t="n">
        <v>0</v>
      </c>
      <c r="M523" t="n">
        <v>0</v>
      </c>
      <c r="N523" t="n">
        <v>0</v>
      </c>
      <c r="O523" t="n">
        <v>3</v>
      </c>
      <c r="P523" t="n">
        <v>0</v>
      </c>
      <c r="Q523" t="n">
        <v>3</v>
      </c>
      <c r="R523" s="2" t="inlineStr">
        <is>
          <t>Harticka
Lundsångare
Svart taggsvamp</t>
        </is>
      </c>
      <c r="S523">
        <f>HYPERLINK("https://klasma.github.io/Logging_2480/artfynd/A 6054-2025 artfynd.xlsx", "A 6054-2025")</f>
        <v/>
      </c>
      <c r="T523">
        <f>HYPERLINK("https://klasma.github.io/Logging_2480/kartor/A 6054-2025 karta.png", "A 6054-2025")</f>
        <v/>
      </c>
      <c r="V523">
        <f>HYPERLINK("https://klasma.github.io/Logging_2480/klagomål/A 6054-2025 FSC-klagomål.docx", "A 6054-2025")</f>
        <v/>
      </c>
      <c r="W523">
        <f>HYPERLINK("https://klasma.github.io/Logging_2480/klagomålsmail/A 6054-2025 FSC-klagomål mail.docx", "A 6054-2025")</f>
        <v/>
      </c>
      <c r="X523">
        <f>HYPERLINK("https://klasma.github.io/Logging_2480/tillsyn/A 6054-2025 tillsynsbegäran.docx", "A 6054-2025")</f>
        <v/>
      </c>
      <c r="Y523">
        <f>HYPERLINK("https://klasma.github.io/Logging_2480/tillsynsmail/A 6054-2025 tillsynsbegäran mail.docx", "A 6054-2025")</f>
        <v/>
      </c>
      <c r="Z523">
        <f>HYPERLINK("https://klasma.github.io/Logging_2480/fåglar/A 6054-2025 prioriterade fågelarter.docx", "A 6054-2025")</f>
        <v/>
      </c>
    </row>
    <row r="524" ht="15" customHeight="1">
      <c r="A524" t="inlineStr">
        <is>
          <t>A 53115-2024</t>
        </is>
      </c>
      <c r="B524" s="1" t="n">
        <v>45611.5784375</v>
      </c>
      <c r="C524" s="1" t="n">
        <v>46075</v>
      </c>
      <c r="D524" t="inlineStr">
        <is>
          <t>VÄSTERBOTTENS LÄN</t>
        </is>
      </c>
      <c r="E524" t="inlineStr">
        <is>
          <t>LYCKSELE</t>
        </is>
      </c>
      <c r="F524" t="inlineStr">
        <is>
          <t>Sveaskog</t>
        </is>
      </c>
      <c r="G524" t="n">
        <v>4.1</v>
      </c>
      <c r="H524" t="n">
        <v>0</v>
      </c>
      <c r="I524" t="n">
        <v>0</v>
      </c>
      <c r="J524" t="n">
        <v>3</v>
      </c>
      <c r="K524" t="n">
        <v>0</v>
      </c>
      <c r="L524" t="n">
        <v>0</v>
      </c>
      <c r="M524" t="n">
        <v>0</v>
      </c>
      <c r="N524" t="n">
        <v>0</v>
      </c>
      <c r="O524" t="n">
        <v>3</v>
      </c>
      <c r="P524" t="n">
        <v>0</v>
      </c>
      <c r="Q524" t="n">
        <v>3</v>
      </c>
      <c r="R524" s="2" t="inlineStr">
        <is>
          <t>Blå taggsvamp
Kolflarnlav
Orange taggsvamp</t>
        </is>
      </c>
      <c r="S524">
        <f>HYPERLINK("https://klasma.github.io/Logging_2481/artfynd/A 53115-2024 artfynd.xlsx", "A 53115-2024")</f>
        <v/>
      </c>
      <c r="T524">
        <f>HYPERLINK("https://klasma.github.io/Logging_2481/kartor/A 53115-2024 karta.png", "A 53115-2024")</f>
        <v/>
      </c>
      <c r="V524">
        <f>HYPERLINK("https://klasma.github.io/Logging_2481/klagomål/A 53115-2024 FSC-klagomål.docx", "A 53115-2024")</f>
        <v/>
      </c>
      <c r="W524">
        <f>HYPERLINK("https://klasma.github.io/Logging_2481/klagomålsmail/A 53115-2024 FSC-klagomål mail.docx", "A 53115-2024")</f>
        <v/>
      </c>
      <c r="X524">
        <f>HYPERLINK("https://klasma.github.io/Logging_2481/tillsyn/A 53115-2024 tillsynsbegäran.docx", "A 53115-2024")</f>
        <v/>
      </c>
      <c r="Y524">
        <f>HYPERLINK("https://klasma.github.io/Logging_2481/tillsynsmail/A 53115-2024 tillsynsbegäran mail.docx", "A 53115-2024")</f>
        <v/>
      </c>
    </row>
    <row r="525" ht="15" customHeight="1">
      <c r="A525" t="inlineStr">
        <is>
          <t>A 56435-2023</t>
        </is>
      </c>
      <c r="B525" s="1" t="n">
        <v>45243</v>
      </c>
      <c r="C525" s="1" t="n">
        <v>46075</v>
      </c>
      <c r="D525" t="inlineStr">
        <is>
          <t>VÄSTERBOTTENS LÄN</t>
        </is>
      </c>
      <c r="E525" t="inlineStr">
        <is>
          <t>SKELLEFTEÅ</t>
        </is>
      </c>
      <c r="G525" t="n">
        <v>4.1</v>
      </c>
      <c r="H525" t="n">
        <v>0</v>
      </c>
      <c r="I525" t="n">
        <v>0</v>
      </c>
      <c r="J525" t="n">
        <v>3</v>
      </c>
      <c r="K525" t="n">
        <v>0</v>
      </c>
      <c r="L525" t="n">
        <v>0</v>
      </c>
      <c r="M525" t="n">
        <v>0</v>
      </c>
      <c r="N525" t="n">
        <v>0</v>
      </c>
      <c r="O525" t="n">
        <v>3</v>
      </c>
      <c r="P525" t="n">
        <v>0</v>
      </c>
      <c r="Q525" t="n">
        <v>3</v>
      </c>
      <c r="R525" s="2" t="inlineStr">
        <is>
          <t>Lunglav
Ullticka
Violettgrå tagellav</t>
        </is>
      </c>
      <c r="S525">
        <f>HYPERLINK("https://klasma.github.io/Logging_2482/artfynd/A 56435-2023 artfynd.xlsx", "A 56435-2023")</f>
        <v/>
      </c>
      <c r="T525">
        <f>HYPERLINK("https://klasma.github.io/Logging_2482/kartor/A 56435-2023 karta.png", "A 56435-2023")</f>
        <v/>
      </c>
      <c r="V525">
        <f>HYPERLINK("https://klasma.github.io/Logging_2482/klagomål/A 56435-2023 FSC-klagomål.docx", "A 56435-2023")</f>
        <v/>
      </c>
      <c r="W525">
        <f>HYPERLINK("https://klasma.github.io/Logging_2482/klagomålsmail/A 56435-2023 FSC-klagomål mail.docx", "A 56435-2023")</f>
        <v/>
      </c>
      <c r="X525">
        <f>HYPERLINK("https://klasma.github.io/Logging_2482/tillsyn/A 56435-2023 tillsynsbegäran.docx", "A 56435-2023")</f>
        <v/>
      </c>
      <c r="Y525">
        <f>HYPERLINK("https://klasma.github.io/Logging_2482/tillsynsmail/A 56435-2023 tillsynsbegäran mail.docx", "A 56435-2023")</f>
        <v/>
      </c>
    </row>
    <row r="526" ht="15" customHeight="1">
      <c r="A526" t="inlineStr">
        <is>
          <t>A 3933-2025</t>
        </is>
      </c>
      <c r="B526" s="1" t="n">
        <v>45684.45954861111</v>
      </c>
      <c r="C526" s="1" t="n">
        <v>46075</v>
      </c>
      <c r="D526" t="inlineStr">
        <is>
          <t>VÄSTERBOTTENS LÄN</t>
        </is>
      </c>
      <c r="E526" t="inlineStr">
        <is>
          <t>UMEÅ</t>
        </is>
      </c>
      <c r="G526" t="n">
        <v>8.300000000000001</v>
      </c>
      <c r="H526" t="n">
        <v>0</v>
      </c>
      <c r="I526" t="n">
        <v>0</v>
      </c>
      <c r="J526" t="n">
        <v>3</v>
      </c>
      <c r="K526" t="n">
        <v>0</v>
      </c>
      <c r="L526" t="n">
        <v>0</v>
      </c>
      <c r="M526" t="n">
        <v>0</v>
      </c>
      <c r="N526" t="n">
        <v>0</v>
      </c>
      <c r="O526" t="n">
        <v>3</v>
      </c>
      <c r="P526" t="n">
        <v>0</v>
      </c>
      <c r="Q526" t="n">
        <v>3</v>
      </c>
      <c r="R526" s="2" t="inlineStr">
        <is>
          <t>Garnlav
Granticka
Mörk kolflarnlav</t>
        </is>
      </c>
      <c r="S526">
        <f>HYPERLINK("https://klasma.github.io/Logging_2480/artfynd/A 3933-2025 artfynd.xlsx", "A 3933-2025")</f>
        <v/>
      </c>
      <c r="T526">
        <f>HYPERLINK("https://klasma.github.io/Logging_2480/kartor/A 3933-2025 karta.png", "A 3933-2025")</f>
        <v/>
      </c>
      <c r="V526">
        <f>HYPERLINK("https://klasma.github.io/Logging_2480/klagomål/A 3933-2025 FSC-klagomål.docx", "A 3933-2025")</f>
        <v/>
      </c>
      <c r="W526">
        <f>HYPERLINK("https://klasma.github.io/Logging_2480/klagomålsmail/A 3933-2025 FSC-klagomål mail.docx", "A 3933-2025")</f>
        <v/>
      </c>
      <c r="X526">
        <f>HYPERLINK("https://klasma.github.io/Logging_2480/tillsyn/A 3933-2025 tillsynsbegäran.docx", "A 3933-2025")</f>
        <v/>
      </c>
      <c r="Y526">
        <f>HYPERLINK("https://klasma.github.io/Logging_2480/tillsynsmail/A 3933-2025 tillsynsbegäran mail.docx", "A 3933-2025")</f>
        <v/>
      </c>
    </row>
    <row r="527" ht="15" customHeight="1">
      <c r="A527" t="inlineStr">
        <is>
          <t>A 47036-2025</t>
        </is>
      </c>
      <c r="B527" s="1" t="n">
        <v>45929.594375</v>
      </c>
      <c r="C527" s="1" t="n">
        <v>46075</v>
      </c>
      <c r="D527" t="inlineStr">
        <is>
          <t>VÄSTERBOTTENS LÄN</t>
        </is>
      </c>
      <c r="E527" t="inlineStr">
        <is>
          <t>VILHELMINA</t>
        </is>
      </c>
      <c r="F527" t="inlineStr">
        <is>
          <t>SCA</t>
        </is>
      </c>
      <c r="G527" t="n">
        <v>5.5</v>
      </c>
      <c r="H527" t="n">
        <v>0</v>
      </c>
      <c r="I527" t="n">
        <v>0</v>
      </c>
      <c r="J527" t="n">
        <v>2</v>
      </c>
      <c r="K527" t="n">
        <v>1</v>
      </c>
      <c r="L527" t="n">
        <v>0</v>
      </c>
      <c r="M527" t="n">
        <v>0</v>
      </c>
      <c r="N527" t="n">
        <v>0</v>
      </c>
      <c r="O527" t="n">
        <v>3</v>
      </c>
      <c r="P527" t="n">
        <v>1</v>
      </c>
      <c r="Q527" t="n">
        <v>3</v>
      </c>
      <c r="R527" s="2" t="inlineStr">
        <is>
          <t>Lateritticka
Ullticka
Vedskivlav</t>
        </is>
      </c>
      <c r="S527">
        <f>HYPERLINK("https://klasma.github.io/Logging_2462/artfynd/A 47036-2025 artfynd.xlsx", "A 47036-2025")</f>
        <v/>
      </c>
      <c r="T527">
        <f>HYPERLINK("https://klasma.github.io/Logging_2462/kartor/A 47036-2025 karta.png", "A 47036-2025")</f>
        <v/>
      </c>
      <c r="V527">
        <f>HYPERLINK("https://klasma.github.io/Logging_2462/klagomål/A 47036-2025 FSC-klagomål.docx", "A 47036-2025")</f>
        <v/>
      </c>
      <c r="W527">
        <f>HYPERLINK("https://klasma.github.io/Logging_2462/klagomålsmail/A 47036-2025 FSC-klagomål mail.docx", "A 47036-2025")</f>
        <v/>
      </c>
      <c r="X527">
        <f>HYPERLINK("https://klasma.github.io/Logging_2462/tillsyn/A 47036-2025 tillsynsbegäran.docx", "A 47036-2025")</f>
        <v/>
      </c>
      <c r="Y527">
        <f>HYPERLINK("https://klasma.github.io/Logging_2462/tillsynsmail/A 47036-2025 tillsynsbegäran mail.docx", "A 47036-2025")</f>
        <v/>
      </c>
    </row>
    <row r="528" ht="15" customHeight="1">
      <c r="A528" t="inlineStr">
        <is>
          <t>A 47245-2025</t>
        </is>
      </c>
      <c r="B528" s="1" t="n">
        <v>45930</v>
      </c>
      <c r="C528" s="1" t="n">
        <v>46075</v>
      </c>
      <c r="D528" t="inlineStr">
        <is>
          <t>VÄSTERBOTTENS LÄN</t>
        </is>
      </c>
      <c r="E528" t="inlineStr">
        <is>
          <t>VINDELN</t>
        </is>
      </c>
      <c r="G528" t="n">
        <v>10.3</v>
      </c>
      <c r="H528" t="n">
        <v>0</v>
      </c>
      <c r="I528" t="n">
        <v>2</v>
      </c>
      <c r="J528" t="n">
        <v>1</v>
      </c>
      <c r="K528" t="n">
        <v>0</v>
      </c>
      <c r="L528" t="n">
        <v>0</v>
      </c>
      <c r="M528" t="n">
        <v>0</v>
      </c>
      <c r="N528" t="n">
        <v>0</v>
      </c>
      <c r="O528" t="n">
        <v>1</v>
      </c>
      <c r="P528" t="n">
        <v>0</v>
      </c>
      <c r="Q528" t="n">
        <v>3</v>
      </c>
      <c r="R528" s="2" t="inlineStr">
        <is>
          <t>Lunglav
Luddlav
Stuplav</t>
        </is>
      </c>
      <c r="S528">
        <f>HYPERLINK("https://klasma.github.io/Logging_2404/artfynd/A 47245-2025 artfynd.xlsx", "A 47245-2025")</f>
        <v/>
      </c>
      <c r="T528">
        <f>HYPERLINK("https://klasma.github.io/Logging_2404/kartor/A 47245-2025 karta.png", "A 47245-2025")</f>
        <v/>
      </c>
      <c r="V528">
        <f>HYPERLINK("https://klasma.github.io/Logging_2404/klagomål/A 47245-2025 FSC-klagomål.docx", "A 47245-2025")</f>
        <v/>
      </c>
      <c r="W528">
        <f>HYPERLINK("https://klasma.github.io/Logging_2404/klagomålsmail/A 47245-2025 FSC-klagomål mail.docx", "A 47245-2025")</f>
        <v/>
      </c>
      <c r="X528">
        <f>HYPERLINK("https://klasma.github.io/Logging_2404/tillsyn/A 47245-2025 tillsynsbegäran.docx", "A 47245-2025")</f>
        <v/>
      </c>
      <c r="Y528">
        <f>HYPERLINK("https://klasma.github.io/Logging_2404/tillsynsmail/A 47245-2025 tillsynsbegäran mail.docx", "A 47245-2025")</f>
        <v/>
      </c>
    </row>
    <row r="529" ht="15" customHeight="1">
      <c r="A529" t="inlineStr">
        <is>
          <t>A 36894-2025</t>
        </is>
      </c>
      <c r="B529" s="1" t="n">
        <v>45874.4699537037</v>
      </c>
      <c r="C529" s="1" t="n">
        <v>46075</v>
      </c>
      <c r="D529" t="inlineStr">
        <is>
          <t>VÄSTERBOTTENS LÄN</t>
        </is>
      </c>
      <c r="E529" t="inlineStr">
        <is>
          <t>STORUMAN</t>
        </is>
      </c>
      <c r="G529" t="n">
        <v>12.7</v>
      </c>
      <c r="H529" t="n">
        <v>0</v>
      </c>
      <c r="I529" t="n">
        <v>0</v>
      </c>
      <c r="J529" t="n">
        <v>3</v>
      </c>
      <c r="K529" t="n">
        <v>0</v>
      </c>
      <c r="L529" t="n">
        <v>0</v>
      </c>
      <c r="M529" t="n">
        <v>0</v>
      </c>
      <c r="N529" t="n">
        <v>0</v>
      </c>
      <c r="O529" t="n">
        <v>3</v>
      </c>
      <c r="P529" t="n">
        <v>0</v>
      </c>
      <c r="Q529" t="n">
        <v>3</v>
      </c>
      <c r="R529" s="2" t="inlineStr">
        <is>
          <t>Gammelgransskål
Granticka
Gränsticka</t>
        </is>
      </c>
      <c r="S529">
        <f>HYPERLINK("https://klasma.github.io/Logging_2421/artfynd/A 36894-2025 artfynd.xlsx", "A 36894-2025")</f>
        <v/>
      </c>
      <c r="T529">
        <f>HYPERLINK("https://klasma.github.io/Logging_2421/kartor/A 36894-2025 karta.png", "A 36894-2025")</f>
        <v/>
      </c>
      <c r="V529">
        <f>HYPERLINK("https://klasma.github.io/Logging_2421/klagomål/A 36894-2025 FSC-klagomål.docx", "A 36894-2025")</f>
        <v/>
      </c>
      <c r="W529">
        <f>HYPERLINK("https://klasma.github.io/Logging_2421/klagomålsmail/A 36894-2025 FSC-klagomål mail.docx", "A 36894-2025")</f>
        <v/>
      </c>
      <c r="X529">
        <f>HYPERLINK("https://klasma.github.io/Logging_2421/tillsyn/A 36894-2025 tillsynsbegäran.docx", "A 36894-2025")</f>
        <v/>
      </c>
      <c r="Y529">
        <f>HYPERLINK("https://klasma.github.io/Logging_2421/tillsynsmail/A 36894-2025 tillsynsbegäran mail.docx", "A 36894-2025")</f>
        <v/>
      </c>
    </row>
    <row r="530" ht="15" customHeight="1">
      <c r="A530" t="inlineStr">
        <is>
          <t>A 11190-2025</t>
        </is>
      </c>
      <c r="B530" s="1" t="n">
        <v>45725</v>
      </c>
      <c r="C530" s="1" t="n">
        <v>46075</v>
      </c>
      <c r="D530" t="inlineStr">
        <is>
          <t>VÄSTERBOTTENS LÄN</t>
        </is>
      </c>
      <c r="E530" t="inlineStr">
        <is>
          <t>STORUMAN</t>
        </is>
      </c>
      <c r="G530" t="n">
        <v>31.8</v>
      </c>
      <c r="H530" t="n">
        <v>0</v>
      </c>
      <c r="I530" t="n">
        <v>0</v>
      </c>
      <c r="J530" t="n">
        <v>3</v>
      </c>
      <c r="K530" t="n">
        <v>0</v>
      </c>
      <c r="L530" t="n">
        <v>0</v>
      </c>
      <c r="M530" t="n">
        <v>0</v>
      </c>
      <c r="N530" t="n">
        <v>0</v>
      </c>
      <c r="O530" t="n">
        <v>3</v>
      </c>
      <c r="P530" t="n">
        <v>0</v>
      </c>
      <c r="Q530" t="n">
        <v>3</v>
      </c>
      <c r="R530" s="2" t="inlineStr">
        <is>
          <t>Garnlav
Lunglav
Skrovellav</t>
        </is>
      </c>
      <c r="S530">
        <f>HYPERLINK("https://klasma.github.io/Logging_2421/artfynd/A 11190-2025 artfynd.xlsx", "A 11190-2025")</f>
        <v/>
      </c>
      <c r="T530">
        <f>HYPERLINK("https://klasma.github.io/Logging_2421/kartor/A 11190-2025 karta.png", "A 11190-2025")</f>
        <v/>
      </c>
      <c r="V530">
        <f>HYPERLINK("https://klasma.github.io/Logging_2421/klagomål/A 11190-2025 FSC-klagomål.docx", "A 11190-2025")</f>
        <v/>
      </c>
      <c r="W530">
        <f>HYPERLINK("https://klasma.github.io/Logging_2421/klagomålsmail/A 11190-2025 FSC-klagomål mail.docx", "A 11190-2025")</f>
        <v/>
      </c>
      <c r="X530">
        <f>HYPERLINK("https://klasma.github.io/Logging_2421/tillsyn/A 11190-2025 tillsynsbegäran.docx", "A 11190-2025")</f>
        <v/>
      </c>
      <c r="Y530">
        <f>HYPERLINK("https://klasma.github.io/Logging_2421/tillsynsmail/A 11190-2025 tillsynsbegäran mail.docx", "A 11190-2025")</f>
        <v/>
      </c>
    </row>
    <row r="531" ht="15" customHeight="1">
      <c r="A531" t="inlineStr">
        <is>
          <t>A 30021-2025</t>
        </is>
      </c>
      <c r="B531" s="1" t="n">
        <v>45826.55575231482</v>
      </c>
      <c r="C531" s="1" t="n">
        <v>46075</v>
      </c>
      <c r="D531" t="inlineStr">
        <is>
          <t>VÄSTERBOTTENS LÄN</t>
        </is>
      </c>
      <c r="E531" t="inlineStr">
        <is>
          <t>NORSJÖ</t>
        </is>
      </c>
      <c r="G531" t="n">
        <v>8.5</v>
      </c>
      <c r="H531" t="n">
        <v>1</v>
      </c>
      <c r="I531" t="n">
        <v>0</v>
      </c>
      <c r="J531" t="n">
        <v>2</v>
      </c>
      <c r="K531" t="n">
        <v>1</v>
      </c>
      <c r="L531" t="n">
        <v>0</v>
      </c>
      <c r="M531" t="n">
        <v>0</v>
      </c>
      <c r="N531" t="n">
        <v>0</v>
      </c>
      <c r="O531" t="n">
        <v>3</v>
      </c>
      <c r="P531" t="n">
        <v>1</v>
      </c>
      <c r="Q531" t="n">
        <v>3</v>
      </c>
      <c r="R531" s="2" t="inlineStr">
        <is>
          <t>Fläckporing
Blå taggsvamp
Talltita</t>
        </is>
      </c>
      <c r="S531">
        <f>HYPERLINK("https://klasma.github.io/Logging_2417/artfynd/A 30021-2025 artfynd.xlsx", "A 30021-2025")</f>
        <v/>
      </c>
      <c r="T531">
        <f>HYPERLINK("https://klasma.github.io/Logging_2417/kartor/A 30021-2025 karta.png", "A 30021-2025")</f>
        <v/>
      </c>
      <c r="V531">
        <f>HYPERLINK("https://klasma.github.io/Logging_2417/klagomål/A 30021-2025 FSC-klagomål.docx", "A 30021-2025")</f>
        <v/>
      </c>
      <c r="W531">
        <f>HYPERLINK("https://klasma.github.io/Logging_2417/klagomålsmail/A 30021-2025 FSC-klagomål mail.docx", "A 30021-2025")</f>
        <v/>
      </c>
      <c r="X531">
        <f>HYPERLINK("https://klasma.github.io/Logging_2417/tillsyn/A 30021-2025 tillsynsbegäran.docx", "A 30021-2025")</f>
        <v/>
      </c>
      <c r="Y531">
        <f>HYPERLINK("https://klasma.github.io/Logging_2417/tillsynsmail/A 30021-2025 tillsynsbegäran mail.docx", "A 30021-2025")</f>
        <v/>
      </c>
      <c r="Z531">
        <f>HYPERLINK("https://klasma.github.io/Logging_2417/fåglar/A 30021-2025 prioriterade fågelarter.docx", "A 30021-2025")</f>
        <v/>
      </c>
    </row>
    <row r="532" ht="15" customHeight="1">
      <c r="A532" t="inlineStr">
        <is>
          <t>A 21672-2023</t>
        </is>
      </c>
      <c r="B532" s="1" t="n">
        <v>45063</v>
      </c>
      <c r="C532" s="1" t="n">
        <v>46075</v>
      </c>
      <c r="D532" t="inlineStr">
        <is>
          <t>VÄSTERBOTTENS LÄN</t>
        </is>
      </c>
      <c r="E532" t="inlineStr">
        <is>
          <t>DOROTEA</t>
        </is>
      </c>
      <c r="F532" t="inlineStr">
        <is>
          <t>SCA</t>
        </is>
      </c>
      <c r="G532" t="n">
        <v>7.4</v>
      </c>
      <c r="H532" t="n">
        <v>0</v>
      </c>
      <c r="I532" t="n">
        <v>0</v>
      </c>
      <c r="J532" t="n">
        <v>3</v>
      </c>
      <c r="K532" t="n">
        <v>0</v>
      </c>
      <c r="L532" t="n">
        <v>0</v>
      </c>
      <c r="M532" t="n">
        <v>0</v>
      </c>
      <c r="N532" t="n">
        <v>0</v>
      </c>
      <c r="O532" t="n">
        <v>3</v>
      </c>
      <c r="P532" t="n">
        <v>0</v>
      </c>
      <c r="Q532" t="n">
        <v>3</v>
      </c>
      <c r="R532" s="2" t="inlineStr">
        <is>
          <t>Doftskinn
Skrovellav
Ullticka</t>
        </is>
      </c>
      <c r="S532">
        <f>HYPERLINK("https://klasma.github.io/Logging_2425/artfynd/A 21672-2023 artfynd.xlsx", "A 21672-2023")</f>
        <v/>
      </c>
      <c r="T532">
        <f>HYPERLINK("https://klasma.github.io/Logging_2425/kartor/A 21672-2023 karta.png", "A 21672-2023")</f>
        <v/>
      </c>
      <c r="V532">
        <f>HYPERLINK("https://klasma.github.io/Logging_2425/klagomål/A 21672-2023 FSC-klagomål.docx", "A 21672-2023")</f>
        <v/>
      </c>
      <c r="W532">
        <f>HYPERLINK("https://klasma.github.io/Logging_2425/klagomålsmail/A 21672-2023 FSC-klagomål mail.docx", "A 21672-2023")</f>
        <v/>
      </c>
      <c r="X532">
        <f>HYPERLINK("https://klasma.github.io/Logging_2425/tillsyn/A 21672-2023 tillsynsbegäran.docx", "A 21672-2023")</f>
        <v/>
      </c>
      <c r="Y532">
        <f>HYPERLINK("https://klasma.github.io/Logging_2425/tillsynsmail/A 21672-2023 tillsynsbegäran mail.docx", "A 21672-2023")</f>
        <v/>
      </c>
    </row>
    <row r="533" ht="15" customHeight="1">
      <c r="A533" t="inlineStr">
        <is>
          <t>A 38401-2025</t>
        </is>
      </c>
      <c r="B533" s="1" t="n">
        <v>45883.58827546296</v>
      </c>
      <c r="C533" s="1" t="n">
        <v>46075</v>
      </c>
      <c r="D533" t="inlineStr">
        <is>
          <t>VÄSTERBOTTENS LÄN</t>
        </is>
      </c>
      <c r="E533" t="inlineStr">
        <is>
          <t>SKELLEFTEÅ</t>
        </is>
      </c>
      <c r="F533" t="inlineStr">
        <is>
          <t>Holmen skog AB</t>
        </is>
      </c>
      <c r="G533" t="n">
        <v>9.5</v>
      </c>
      <c r="H533" t="n">
        <v>0</v>
      </c>
      <c r="I533" t="n">
        <v>1</v>
      </c>
      <c r="J533" t="n">
        <v>2</v>
      </c>
      <c r="K533" t="n">
        <v>0</v>
      </c>
      <c r="L533" t="n">
        <v>0</v>
      </c>
      <c r="M533" t="n">
        <v>0</v>
      </c>
      <c r="N533" t="n">
        <v>0</v>
      </c>
      <c r="O533" t="n">
        <v>2</v>
      </c>
      <c r="P533" t="n">
        <v>0</v>
      </c>
      <c r="Q533" t="n">
        <v>3</v>
      </c>
      <c r="R533" s="2" t="inlineStr">
        <is>
          <t>Ullticka
Violettgrå tagellav
Ögonpyrola</t>
        </is>
      </c>
      <c r="S533">
        <f>HYPERLINK("https://klasma.github.io/Logging_2482/artfynd/A 38401-2025 artfynd.xlsx", "A 38401-2025")</f>
        <v/>
      </c>
      <c r="T533">
        <f>HYPERLINK("https://klasma.github.io/Logging_2482/kartor/A 38401-2025 karta.png", "A 38401-2025")</f>
        <v/>
      </c>
      <c r="V533">
        <f>HYPERLINK("https://klasma.github.io/Logging_2482/klagomål/A 38401-2025 FSC-klagomål.docx", "A 38401-2025")</f>
        <v/>
      </c>
      <c r="W533">
        <f>HYPERLINK("https://klasma.github.io/Logging_2482/klagomålsmail/A 38401-2025 FSC-klagomål mail.docx", "A 38401-2025")</f>
        <v/>
      </c>
      <c r="X533">
        <f>HYPERLINK("https://klasma.github.io/Logging_2482/tillsyn/A 38401-2025 tillsynsbegäran.docx", "A 38401-2025")</f>
        <v/>
      </c>
      <c r="Y533">
        <f>HYPERLINK("https://klasma.github.io/Logging_2482/tillsynsmail/A 38401-2025 tillsynsbegäran mail.docx", "A 38401-2025")</f>
        <v/>
      </c>
    </row>
    <row r="534" ht="15" customHeight="1">
      <c r="A534" t="inlineStr">
        <is>
          <t>A 48882-2025</t>
        </is>
      </c>
      <c r="B534" s="1" t="n">
        <v>45937.46267361111</v>
      </c>
      <c r="C534" s="1" t="n">
        <v>46075</v>
      </c>
      <c r="D534" t="inlineStr">
        <is>
          <t>VÄSTERBOTTENS LÄN</t>
        </is>
      </c>
      <c r="E534" t="inlineStr">
        <is>
          <t>ROBERTSFORS</t>
        </is>
      </c>
      <c r="F534" t="inlineStr">
        <is>
          <t>Kyrkan</t>
        </is>
      </c>
      <c r="G534" t="n">
        <v>5.5</v>
      </c>
      <c r="H534" t="n">
        <v>0</v>
      </c>
      <c r="I534" t="n">
        <v>0</v>
      </c>
      <c r="J534" t="n">
        <v>3</v>
      </c>
      <c r="K534" t="n">
        <v>0</v>
      </c>
      <c r="L534" t="n">
        <v>0</v>
      </c>
      <c r="M534" t="n">
        <v>0</v>
      </c>
      <c r="N534" t="n">
        <v>0</v>
      </c>
      <c r="O534" t="n">
        <v>3</v>
      </c>
      <c r="P534" t="n">
        <v>0</v>
      </c>
      <c r="Q534" t="n">
        <v>3</v>
      </c>
      <c r="R534" s="2" t="inlineStr">
        <is>
          <t>Granticka
Harticka
Ullticka</t>
        </is>
      </c>
      <c r="S534">
        <f>HYPERLINK("https://klasma.github.io/Logging_2409/artfynd/A 48882-2025 artfynd.xlsx", "A 48882-2025")</f>
        <v/>
      </c>
      <c r="T534">
        <f>HYPERLINK("https://klasma.github.io/Logging_2409/kartor/A 48882-2025 karta.png", "A 48882-2025")</f>
        <v/>
      </c>
      <c r="V534">
        <f>HYPERLINK("https://klasma.github.io/Logging_2409/klagomål/A 48882-2025 FSC-klagomål.docx", "A 48882-2025")</f>
        <v/>
      </c>
      <c r="W534">
        <f>HYPERLINK("https://klasma.github.io/Logging_2409/klagomålsmail/A 48882-2025 FSC-klagomål mail.docx", "A 48882-2025")</f>
        <v/>
      </c>
      <c r="X534">
        <f>HYPERLINK("https://klasma.github.io/Logging_2409/tillsyn/A 48882-2025 tillsynsbegäran.docx", "A 48882-2025")</f>
        <v/>
      </c>
      <c r="Y534">
        <f>HYPERLINK("https://klasma.github.io/Logging_2409/tillsynsmail/A 48882-2025 tillsynsbegäran mail.docx", "A 48882-2025")</f>
        <v/>
      </c>
    </row>
    <row r="535" ht="15" customHeight="1">
      <c r="A535" t="inlineStr">
        <is>
          <t>A 38916-2025</t>
        </is>
      </c>
      <c r="B535" s="1" t="n">
        <v>45887.62298611111</v>
      </c>
      <c r="C535" s="1" t="n">
        <v>46075</v>
      </c>
      <c r="D535" t="inlineStr">
        <is>
          <t>VÄSTERBOTTENS LÄN</t>
        </is>
      </c>
      <c r="E535" t="inlineStr">
        <is>
          <t>LYCKSELE</t>
        </is>
      </c>
      <c r="F535" t="inlineStr">
        <is>
          <t>Sveaskog</t>
        </is>
      </c>
      <c r="G535" t="n">
        <v>3.1</v>
      </c>
      <c r="H535" t="n">
        <v>1</v>
      </c>
      <c r="I535" t="n">
        <v>1</v>
      </c>
      <c r="J535" t="n">
        <v>1</v>
      </c>
      <c r="K535" t="n">
        <v>1</v>
      </c>
      <c r="L535" t="n">
        <v>0</v>
      </c>
      <c r="M535" t="n">
        <v>0</v>
      </c>
      <c r="N535" t="n">
        <v>0</v>
      </c>
      <c r="O535" t="n">
        <v>2</v>
      </c>
      <c r="P535" t="n">
        <v>1</v>
      </c>
      <c r="Q535" t="n">
        <v>3</v>
      </c>
      <c r="R535" s="2" t="inlineStr">
        <is>
          <t>Doftticka
Lunglav
Stuplav</t>
        </is>
      </c>
      <c r="S535">
        <f>HYPERLINK("https://klasma.github.io/Logging_2481/artfynd/A 38916-2025 artfynd.xlsx", "A 38916-2025")</f>
        <v/>
      </c>
      <c r="T535">
        <f>HYPERLINK("https://klasma.github.io/Logging_2481/kartor/A 38916-2025 karta.png", "A 38916-2025")</f>
        <v/>
      </c>
      <c r="V535">
        <f>HYPERLINK("https://klasma.github.io/Logging_2481/klagomål/A 38916-2025 FSC-klagomål.docx", "A 38916-2025")</f>
        <v/>
      </c>
      <c r="W535">
        <f>HYPERLINK("https://klasma.github.io/Logging_2481/klagomålsmail/A 38916-2025 FSC-klagomål mail.docx", "A 38916-2025")</f>
        <v/>
      </c>
      <c r="X535">
        <f>HYPERLINK("https://klasma.github.io/Logging_2481/tillsyn/A 38916-2025 tillsynsbegäran.docx", "A 38916-2025")</f>
        <v/>
      </c>
      <c r="Y535">
        <f>HYPERLINK("https://klasma.github.io/Logging_2481/tillsynsmail/A 38916-2025 tillsynsbegäran mail.docx", "A 38916-2025")</f>
        <v/>
      </c>
    </row>
    <row r="536" ht="15" customHeight="1">
      <c r="A536" t="inlineStr">
        <is>
          <t>A 40652-2021</t>
        </is>
      </c>
      <c r="B536" s="1" t="n">
        <v>44420</v>
      </c>
      <c r="C536" s="1" t="n">
        <v>46075</v>
      </c>
      <c r="D536" t="inlineStr">
        <is>
          <t>VÄSTERBOTTENS LÄN</t>
        </is>
      </c>
      <c r="E536" t="inlineStr">
        <is>
          <t>STORUMAN</t>
        </is>
      </c>
      <c r="G536" t="n">
        <v>10</v>
      </c>
      <c r="H536" t="n">
        <v>3</v>
      </c>
      <c r="I536" t="n">
        <v>0</v>
      </c>
      <c r="J536" t="n">
        <v>1</v>
      </c>
      <c r="K536" t="n">
        <v>1</v>
      </c>
      <c r="L536" t="n">
        <v>0</v>
      </c>
      <c r="M536" t="n">
        <v>0</v>
      </c>
      <c r="N536" t="n">
        <v>0</v>
      </c>
      <c r="O536" t="n">
        <v>2</v>
      </c>
      <c r="P536" t="n">
        <v>1</v>
      </c>
      <c r="Q536" t="n">
        <v>3</v>
      </c>
      <c r="R536" s="2" t="inlineStr">
        <is>
          <t>Knärot
Tretåig hackspett
Lavskrika</t>
        </is>
      </c>
      <c r="S536">
        <f>HYPERLINK("https://klasma.github.io/Logging_2421/artfynd/A 40652-2021 artfynd.xlsx", "A 40652-2021")</f>
        <v/>
      </c>
      <c r="T536">
        <f>HYPERLINK("https://klasma.github.io/Logging_2421/kartor/A 40652-2021 karta.png", "A 40652-2021")</f>
        <v/>
      </c>
      <c r="U536">
        <f>HYPERLINK("https://klasma.github.io/Logging_2421/knärot/A 40652-2021 karta knärot.png", "A 40652-2021")</f>
        <v/>
      </c>
      <c r="V536">
        <f>HYPERLINK("https://klasma.github.io/Logging_2421/klagomål/A 40652-2021 FSC-klagomål.docx", "A 40652-2021")</f>
        <v/>
      </c>
      <c r="W536">
        <f>HYPERLINK("https://klasma.github.io/Logging_2421/klagomålsmail/A 40652-2021 FSC-klagomål mail.docx", "A 40652-2021")</f>
        <v/>
      </c>
      <c r="X536">
        <f>HYPERLINK("https://klasma.github.io/Logging_2421/tillsyn/A 40652-2021 tillsynsbegäran.docx", "A 40652-2021")</f>
        <v/>
      </c>
      <c r="Y536">
        <f>HYPERLINK("https://klasma.github.io/Logging_2421/tillsynsmail/A 40652-2021 tillsynsbegäran mail.docx", "A 40652-2021")</f>
        <v/>
      </c>
      <c r="Z536">
        <f>HYPERLINK("https://klasma.github.io/Logging_2421/fåglar/A 40652-2021 prioriterade fågelarter.docx", "A 40652-2021")</f>
        <v/>
      </c>
    </row>
    <row r="537" ht="15" customHeight="1">
      <c r="A537" t="inlineStr">
        <is>
          <t>A 62595-2023</t>
        </is>
      </c>
      <c r="B537" s="1" t="n">
        <v>45267</v>
      </c>
      <c r="C537" s="1" t="n">
        <v>46075</v>
      </c>
      <c r="D537" t="inlineStr">
        <is>
          <t>VÄSTERBOTTENS LÄN</t>
        </is>
      </c>
      <c r="E537" t="inlineStr">
        <is>
          <t>SKELLEFTEÅ</t>
        </is>
      </c>
      <c r="G537" t="n">
        <v>4.6</v>
      </c>
      <c r="H537" t="n">
        <v>2</v>
      </c>
      <c r="I537" t="n">
        <v>1</v>
      </c>
      <c r="J537" t="n">
        <v>1</v>
      </c>
      <c r="K537" t="n">
        <v>0</v>
      </c>
      <c r="L537" t="n">
        <v>0</v>
      </c>
      <c r="M537" t="n">
        <v>0</v>
      </c>
      <c r="N537" t="n">
        <v>0</v>
      </c>
      <c r="O537" t="n">
        <v>1</v>
      </c>
      <c r="P537" t="n">
        <v>0</v>
      </c>
      <c r="Q537" t="n">
        <v>3</v>
      </c>
      <c r="R537" s="2" t="inlineStr">
        <is>
          <t>Spillkråka
Vedticka
Fläcknycklar</t>
        </is>
      </c>
      <c r="S537">
        <f>HYPERLINK("https://klasma.github.io/Logging_2482/artfynd/A 62595-2023 artfynd.xlsx", "A 62595-2023")</f>
        <v/>
      </c>
      <c r="T537">
        <f>HYPERLINK("https://klasma.github.io/Logging_2482/kartor/A 62595-2023 karta.png", "A 62595-2023")</f>
        <v/>
      </c>
      <c r="V537">
        <f>HYPERLINK("https://klasma.github.io/Logging_2482/klagomål/A 62595-2023 FSC-klagomål.docx", "A 62595-2023")</f>
        <v/>
      </c>
      <c r="W537">
        <f>HYPERLINK("https://klasma.github.io/Logging_2482/klagomålsmail/A 62595-2023 FSC-klagomål mail.docx", "A 62595-2023")</f>
        <v/>
      </c>
      <c r="X537">
        <f>HYPERLINK("https://klasma.github.io/Logging_2482/tillsyn/A 62595-2023 tillsynsbegäran.docx", "A 62595-2023")</f>
        <v/>
      </c>
      <c r="Y537">
        <f>HYPERLINK("https://klasma.github.io/Logging_2482/tillsynsmail/A 62595-2023 tillsynsbegäran mail.docx", "A 62595-2023")</f>
        <v/>
      </c>
      <c r="Z537">
        <f>HYPERLINK("https://klasma.github.io/Logging_2482/fåglar/A 62595-2023 prioriterade fågelarter.docx", "A 62595-2023")</f>
        <v/>
      </c>
    </row>
    <row r="538" ht="15" customHeight="1">
      <c r="A538" t="inlineStr">
        <is>
          <t>A 38534-2024</t>
        </is>
      </c>
      <c r="B538" s="1" t="n">
        <v>45546</v>
      </c>
      <c r="C538" s="1" t="n">
        <v>46075</v>
      </c>
      <c r="D538" t="inlineStr">
        <is>
          <t>VÄSTERBOTTENS LÄN</t>
        </is>
      </c>
      <c r="E538" t="inlineStr">
        <is>
          <t>VILHELMINA</t>
        </is>
      </c>
      <c r="G538" t="n">
        <v>10.5</v>
      </c>
      <c r="H538" t="n">
        <v>1</v>
      </c>
      <c r="I538" t="n">
        <v>1</v>
      </c>
      <c r="J538" t="n">
        <v>2</v>
      </c>
      <c r="K538" t="n">
        <v>0</v>
      </c>
      <c r="L538" t="n">
        <v>0</v>
      </c>
      <c r="M538" t="n">
        <v>0</v>
      </c>
      <c r="N538" t="n">
        <v>0</v>
      </c>
      <c r="O538" t="n">
        <v>2</v>
      </c>
      <c r="P538" t="n">
        <v>0</v>
      </c>
      <c r="Q538" t="n">
        <v>3</v>
      </c>
      <c r="R538" s="2" t="inlineStr">
        <is>
          <t>Tretåig hackspett
Ullticka
Trådticka</t>
        </is>
      </c>
      <c r="S538">
        <f>HYPERLINK("https://klasma.github.io/Logging_2462/artfynd/A 38534-2024 artfynd.xlsx", "A 38534-2024")</f>
        <v/>
      </c>
      <c r="T538">
        <f>HYPERLINK("https://klasma.github.io/Logging_2462/kartor/A 38534-2024 karta.png", "A 38534-2024")</f>
        <v/>
      </c>
      <c r="V538">
        <f>HYPERLINK("https://klasma.github.io/Logging_2462/klagomål/A 38534-2024 FSC-klagomål.docx", "A 38534-2024")</f>
        <v/>
      </c>
      <c r="W538">
        <f>HYPERLINK("https://klasma.github.io/Logging_2462/klagomålsmail/A 38534-2024 FSC-klagomål mail.docx", "A 38534-2024")</f>
        <v/>
      </c>
      <c r="X538">
        <f>HYPERLINK("https://klasma.github.io/Logging_2462/tillsyn/A 38534-2024 tillsynsbegäran.docx", "A 38534-2024")</f>
        <v/>
      </c>
      <c r="Y538">
        <f>HYPERLINK("https://klasma.github.io/Logging_2462/tillsynsmail/A 38534-2024 tillsynsbegäran mail.docx", "A 38534-2024")</f>
        <v/>
      </c>
      <c r="Z538">
        <f>HYPERLINK("https://klasma.github.io/Logging_2462/fåglar/A 38534-2024 prioriterade fågelarter.docx", "A 38534-2024")</f>
        <v/>
      </c>
    </row>
    <row r="539" ht="15" customHeight="1">
      <c r="A539" t="inlineStr">
        <is>
          <t>A 56618-2024</t>
        </is>
      </c>
      <c r="B539" s="1" t="n">
        <v>45625</v>
      </c>
      <c r="C539" s="1" t="n">
        <v>46075</v>
      </c>
      <c r="D539" t="inlineStr">
        <is>
          <t>VÄSTERBOTTENS LÄN</t>
        </is>
      </c>
      <c r="E539" t="inlineStr">
        <is>
          <t>VILHELMINA</t>
        </is>
      </c>
      <c r="F539" t="inlineStr">
        <is>
          <t>Allmännings- och besparingsskogar</t>
        </is>
      </c>
      <c r="G539" t="n">
        <v>17.1</v>
      </c>
      <c r="H539" t="n">
        <v>1</v>
      </c>
      <c r="I539" t="n">
        <v>0</v>
      </c>
      <c r="J539" t="n">
        <v>3</v>
      </c>
      <c r="K539" t="n">
        <v>0</v>
      </c>
      <c r="L539" t="n">
        <v>0</v>
      </c>
      <c r="M539" t="n">
        <v>0</v>
      </c>
      <c r="N539" t="n">
        <v>0</v>
      </c>
      <c r="O539" t="n">
        <v>3</v>
      </c>
      <c r="P539" t="n">
        <v>0</v>
      </c>
      <c r="Q539" t="n">
        <v>3</v>
      </c>
      <c r="R539" s="2" t="inlineStr">
        <is>
          <t>Granticka
Tretåig hackspett
Ullticka</t>
        </is>
      </c>
      <c r="S539">
        <f>HYPERLINK("https://klasma.github.io/Logging_2462/artfynd/A 56618-2024 artfynd.xlsx", "A 56618-2024")</f>
        <v/>
      </c>
      <c r="T539">
        <f>HYPERLINK("https://klasma.github.io/Logging_2462/kartor/A 56618-2024 karta.png", "A 56618-2024")</f>
        <v/>
      </c>
      <c r="V539">
        <f>HYPERLINK("https://klasma.github.io/Logging_2462/klagomål/A 56618-2024 FSC-klagomål.docx", "A 56618-2024")</f>
        <v/>
      </c>
      <c r="W539">
        <f>HYPERLINK("https://klasma.github.io/Logging_2462/klagomålsmail/A 56618-2024 FSC-klagomål mail.docx", "A 56618-2024")</f>
        <v/>
      </c>
      <c r="X539">
        <f>HYPERLINK("https://klasma.github.io/Logging_2462/tillsyn/A 56618-2024 tillsynsbegäran.docx", "A 56618-2024")</f>
        <v/>
      </c>
      <c r="Y539">
        <f>HYPERLINK("https://klasma.github.io/Logging_2462/tillsynsmail/A 56618-2024 tillsynsbegäran mail.docx", "A 56618-2024")</f>
        <v/>
      </c>
      <c r="Z539">
        <f>HYPERLINK("https://klasma.github.io/Logging_2462/fåglar/A 56618-2024 prioriterade fågelarter.docx", "A 56618-2024")</f>
        <v/>
      </c>
    </row>
    <row r="540" ht="15" customHeight="1">
      <c r="A540" t="inlineStr">
        <is>
          <t>A 5696-2025</t>
        </is>
      </c>
      <c r="B540" s="1" t="n">
        <v>45694.39746527778</v>
      </c>
      <c r="C540" s="1" t="n">
        <v>46075</v>
      </c>
      <c r="D540" t="inlineStr">
        <is>
          <t>VÄSTERBOTTENS LÄN</t>
        </is>
      </c>
      <c r="E540" t="inlineStr">
        <is>
          <t>LYCKSELE</t>
        </is>
      </c>
      <c r="G540" t="n">
        <v>6.4</v>
      </c>
      <c r="H540" t="n">
        <v>1</v>
      </c>
      <c r="I540" t="n">
        <v>1</v>
      </c>
      <c r="J540" t="n">
        <v>2</v>
      </c>
      <c r="K540" t="n">
        <v>0</v>
      </c>
      <c r="L540" t="n">
        <v>0</v>
      </c>
      <c r="M540" t="n">
        <v>0</v>
      </c>
      <c r="N540" t="n">
        <v>0</v>
      </c>
      <c r="O540" t="n">
        <v>2</v>
      </c>
      <c r="P540" t="n">
        <v>0</v>
      </c>
      <c r="Q540" t="n">
        <v>3</v>
      </c>
      <c r="R540" s="2" t="inlineStr">
        <is>
          <t>Blå taggsvamp
Tretåig hackspett
Dropptaggsvamp</t>
        </is>
      </c>
      <c r="S540">
        <f>HYPERLINK("https://klasma.github.io/Logging_2481/artfynd/A 5696-2025 artfynd.xlsx", "A 5696-2025")</f>
        <v/>
      </c>
      <c r="T540">
        <f>HYPERLINK("https://klasma.github.io/Logging_2481/kartor/A 5696-2025 karta.png", "A 5696-2025")</f>
        <v/>
      </c>
      <c r="V540">
        <f>HYPERLINK("https://klasma.github.io/Logging_2481/klagomål/A 5696-2025 FSC-klagomål.docx", "A 5696-2025")</f>
        <v/>
      </c>
      <c r="W540">
        <f>HYPERLINK("https://klasma.github.io/Logging_2481/klagomålsmail/A 5696-2025 FSC-klagomål mail.docx", "A 5696-2025")</f>
        <v/>
      </c>
      <c r="X540">
        <f>HYPERLINK("https://klasma.github.io/Logging_2481/tillsyn/A 5696-2025 tillsynsbegäran.docx", "A 5696-2025")</f>
        <v/>
      </c>
      <c r="Y540">
        <f>HYPERLINK("https://klasma.github.io/Logging_2481/tillsynsmail/A 5696-2025 tillsynsbegäran mail.docx", "A 5696-2025")</f>
        <v/>
      </c>
      <c r="Z540">
        <f>HYPERLINK("https://klasma.github.io/Logging_2481/fåglar/A 5696-2025 prioriterade fågelarter.docx", "A 5696-2025")</f>
        <v/>
      </c>
    </row>
    <row r="541" ht="15" customHeight="1">
      <c r="A541" t="inlineStr">
        <is>
          <t>A 53897-2025</t>
        </is>
      </c>
      <c r="B541" s="1" t="n">
        <v>45961.42766203704</v>
      </c>
      <c r="C541" s="1" t="n">
        <v>46075</v>
      </c>
      <c r="D541" t="inlineStr">
        <is>
          <t>VÄSTERBOTTENS LÄN</t>
        </is>
      </c>
      <c r="E541" t="inlineStr">
        <is>
          <t>VILHELMINA</t>
        </is>
      </c>
      <c r="F541" t="inlineStr">
        <is>
          <t>SCA</t>
        </is>
      </c>
      <c r="G541" t="n">
        <v>6.5</v>
      </c>
      <c r="H541" t="n">
        <v>0</v>
      </c>
      <c r="I541" t="n">
        <v>1</v>
      </c>
      <c r="J541" t="n">
        <v>2</v>
      </c>
      <c r="K541" t="n">
        <v>0</v>
      </c>
      <c r="L541" t="n">
        <v>0</v>
      </c>
      <c r="M541" t="n">
        <v>0</v>
      </c>
      <c r="N541" t="n">
        <v>0</v>
      </c>
      <c r="O541" t="n">
        <v>2</v>
      </c>
      <c r="P541" t="n">
        <v>0</v>
      </c>
      <c r="Q541" t="n">
        <v>3</v>
      </c>
      <c r="R541" s="2" t="inlineStr">
        <is>
          <t>Granticka
Skogshare
Rävticka</t>
        </is>
      </c>
      <c r="S541">
        <f>HYPERLINK("https://klasma.github.io/Logging_2462/artfynd/A 53897-2025 artfynd.xlsx", "A 53897-2025")</f>
        <v/>
      </c>
      <c r="T541">
        <f>HYPERLINK("https://klasma.github.io/Logging_2462/kartor/A 53897-2025 karta.png", "A 53897-2025")</f>
        <v/>
      </c>
      <c r="V541">
        <f>HYPERLINK("https://klasma.github.io/Logging_2462/klagomål/A 53897-2025 FSC-klagomål.docx", "A 53897-2025")</f>
        <v/>
      </c>
      <c r="W541">
        <f>HYPERLINK("https://klasma.github.io/Logging_2462/klagomålsmail/A 53897-2025 FSC-klagomål mail.docx", "A 53897-2025")</f>
        <v/>
      </c>
      <c r="X541">
        <f>HYPERLINK("https://klasma.github.io/Logging_2462/tillsyn/A 53897-2025 tillsynsbegäran.docx", "A 53897-2025")</f>
        <v/>
      </c>
      <c r="Y541">
        <f>HYPERLINK("https://klasma.github.io/Logging_2462/tillsynsmail/A 53897-2025 tillsynsbegäran mail.docx", "A 53897-2025")</f>
        <v/>
      </c>
    </row>
    <row r="542" ht="15" customHeight="1">
      <c r="A542" t="inlineStr">
        <is>
          <t>A 55024-2025</t>
        </is>
      </c>
      <c r="B542" s="1" t="n">
        <v>45967.63331018519</v>
      </c>
      <c r="C542" s="1" t="n">
        <v>46075</v>
      </c>
      <c r="D542" t="inlineStr">
        <is>
          <t>VÄSTERBOTTENS LÄN</t>
        </is>
      </c>
      <c r="E542" t="inlineStr">
        <is>
          <t>SKELLEFTEÅ</t>
        </is>
      </c>
      <c r="G542" t="n">
        <v>0.9</v>
      </c>
      <c r="H542" t="n">
        <v>3</v>
      </c>
      <c r="I542" t="n">
        <v>1</v>
      </c>
      <c r="J542" t="n">
        <v>0</v>
      </c>
      <c r="K542" t="n">
        <v>0</v>
      </c>
      <c r="L542" t="n">
        <v>0</v>
      </c>
      <c r="M542" t="n">
        <v>0</v>
      </c>
      <c r="N542" t="n">
        <v>0</v>
      </c>
      <c r="O542" t="n">
        <v>0</v>
      </c>
      <c r="P542" t="n">
        <v>0</v>
      </c>
      <c r="Q542" t="n">
        <v>3</v>
      </c>
      <c r="R542" s="2" t="inlineStr">
        <is>
          <t>Plattlummer
Mattlummer
Revlummer</t>
        </is>
      </c>
      <c r="S542">
        <f>HYPERLINK("https://klasma.github.io/Logging_2482/artfynd/A 55024-2025 artfynd.xlsx", "A 55024-2025")</f>
        <v/>
      </c>
      <c r="T542">
        <f>HYPERLINK("https://klasma.github.io/Logging_2482/kartor/A 55024-2025 karta.png", "A 55024-2025")</f>
        <v/>
      </c>
      <c r="V542">
        <f>HYPERLINK("https://klasma.github.io/Logging_2482/klagomål/A 55024-2025 FSC-klagomål.docx", "A 55024-2025")</f>
        <v/>
      </c>
      <c r="W542">
        <f>HYPERLINK("https://klasma.github.io/Logging_2482/klagomålsmail/A 55024-2025 FSC-klagomål mail.docx", "A 55024-2025")</f>
        <v/>
      </c>
      <c r="X542">
        <f>HYPERLINK("https://klasma.github.io/Logging_2482/tillsyn/A 55024-2025 tillsynsbegäran.docx", "A 55024-2025")</f>
        <v/>
      </c>
      <c r="Y542">
        <f>HYPERLINK("https://klasma.github.io/Logging_2482/tillsynsmail/A 55024-2025 tillsynsbegäran mail.docx", "A 55024-2025")</f>
        <v/>
      </c>
    </row>
    <row r="543" ht="15" customHeight="1">
      <c r="A543" t="inlineStr">
        <is>
          <t>A 45409-2024</t>
        </is>
      </c>
      <c r="B543" s="1" t="n">
        <v>45576.58877314815</v>
      </c>
      <c r="C543" s="1" t="n">
        <v>46075</v>
      </c>
      <c r="D543" t="inlineStr">
        <is>
          <t>VÄSTERBOTTENS LÄN</t>
        </is>
      </c>
      <c r="E543" t="inlineStr">
        <is>
          <t>MALÅ</t>
        </is>
      </c>
      <c r="F543" t="inlineStr">
        <is>
          <t>Sveaskog</t>
        </is>
      </c>
      <c r="G543" t="n">
        <v>17.5</v>
      </c>
      <c r="H543" t="n">
        <v>0</v>
      </c>
      <c r="I543" t="n">
        <v>2</v>
      </c>
      <c r="J543" t="n">
        <v>0</v>
      </c>
      <c r="K543" t="n">
        <v>1</v>
      </c>
      <c r="L543" t="n">
        <v>0</v>
      </c>
      <c r="M543" t="n">
        <v>0</v>
      </c>
      <c r="N543" t="n">
        <v>0</v>
      </c>
      <c r="O543" t="n">
        <v>1</v>
      </c>
      <c r="P543" t="n">
        <v>1</v>
      </c>
      <c r="Q543" t="n">
        <v>3</v>
      </c>
      <c r="R543" s="2" t="inlineStr">
        <is>
          <t>Tajgaskinn
Bronshjon
Dropptaggsvamp</t>
        </is>
      </c>
      <c r="S543">
        <f>HYPERLINK("https://klasma.github.io/Logging_2418/artfynd/A 45409-2024 artfynd.xlsx", "A 45409-2024")</f>
        <v/>
      </c>
      <c r="T543">
        <f>HYPERLINK("https://klasma.github.io/Logging_2418/kartor/A 45409-2024 karta.png", "A 45409-2024")</f>
        <v/>
      </c>
      <c r="V543">
        <f>HYPERLINK("https://klasma.github.io/Logging_2418/klagomål/A 45409-2024 FSC-klagomål.docx", "A 45409-2024")</f>
        <v/>
      </c>
      <c r="W543">
        <f>HYPERLINK("https://klasma.github.io/Logging_2418/klagomålsmail/A 45409-2024 FSC-klagomål mail.docx", "A 45409-2024")</f>
        <v/>
      </c>
      <c r="X543">
        <f>HYPERLINK("https://klasma.github.io/Logging_2418/tillsyn/A 45409-2024 tillsynsbegäran.docx", "A 45409-2024")</f>
        <v/>
      </c>
      <c r="Y543">
        <f>HYPERLINK("https://klasma.github.io/Logging_2418/tillsynsmail/A 45409-2024 tillsynsbegäran mail.docx", "A 45409-2024")</f>
        <v/>
      </c>
    </row>
    <row r="544" ht="15" customHeight="1">
      <c r="A544" t="inlineStr">
        <is>
          <t>A 55641-2024</t>
        </is>
      </c>
      <c r="B544" s="1" t="n">
        <v>45622.61625</v>
      </c>
      <c r="C544" s="1" t="n">
        <v>46075</v>
      </c>
      <c r="D544" t="inlineStr">
        <is>
          <t>VÄSTERBOTTENS LÄN</t>
        </is>
      </c>
      <c r="E544" t="inlineStr">
        <is>
          <t>NORSJÖ</t>
        </is>
      </c>
      <c r="F544" t="inlineStr">
        <is>
          <t>Sveaskog</t>
        </is>
      </c>
      <c r="G544" t="n">
        <v>14.6</v>
      </c>
      <c r="H544" t="n">
        <v>0</v>
      </c>
      <c r="I544" t="n">
        <v>0</v>
      </c>
      <c r="J544" t="n">
        <v>3</v>
      </c>
      <c r="K544" t="n">
        <v>0</v>
      </c>
      <c r="L544" t="n">
        <v>0</v>
      </c>
      <c r="M544" t="n">
        <v>0</v>
      </c>
      <c r="N544" t="n">
        <v>0</v>
      </c>
      <c r="O544" t="n">
        <v>3</v>
      </c>
      <c r="P544" t="n">
        <v>0</v>
      </c>
      <c r="Q544" t="n">
        <v>3</v>
      </c>
      <c r="R544" s="2" t="inlineStr">
        <is>
          <t>Garnlav
Granticka
Stjärntagging</t>
        </is>
      </c>
      <c r="S544">
        <f>HYPERLINK("https://klasma.github.io/Logging_2417/artfynd/A 55641-2024 artfynd.xlsx", "A 55641-2024")</f>
        <v/>
      </c>
      <c r="T544">
        <f>HYPERLINK("https://klasma.github.io/Logging_2417/kartor/A 55641-2024 karta.png", "A 55641-2024")</f>
        <v/>
      </c>
      <c r="V544">
        <f>HYPERLINK("https://klasma.github.io/Logging_2417/klagomål/A 55641-2024 FSC-klagomål.docx", "A 55641-2024")</f>
        <v/>
      </c>
      <c r="W544">
        <f>HYPERLINK("https://klasma.github.io/Logging_2417/klagomålsmail/A 55641-2024 FSC-klagomål mail.docx", "A 55641-2024")</f>
        <v/>
      </c>
      <c r="X544">
        <f>HYPERLINK("https://klasma.github.io/Logging_2417/tillsyn/A 55641-2024 tillsynsbegäran.docx", "A 55641-2024")</f>
        <v/>
      </c>
      <c r="Y544">
        <f>HYPERLINK("https://klasma.github.io/Logging_2417/tillsynsmail/A 55641-2024 tillsynsbegäran mail.docx", "A 55641-2024")</f>
        <v/>
      </c>
    </row>
    <row r="545" ht="15" customHeight="1">
      <c r="A545" t="inlineStr">
        <is>
          <t>A 40987-2022</t>
        </is>
      </c>
      <c r="B545" s="1" t="n">
        <v>44823</v>
      </c>
      <c r="C545" s="1" t="n">
        <v>46075</v>
      </c>
      <c r="D545" t="inlineStr">
        <is>
          <t>VÄSTERBOTTENS LÄN</t>
        </is>
      </c>
      <c r="E545" t="inlineStr">
        <is>
          <t>SKELLEFTEÅ</t>
        </is>
      </c>
      <c r="G545" t="n">
        <v>7.1</v>
      </c>
      <c r="H545" t="n">
        <v>0</v>
      </c>
      <c r="I545" t="n">
        <v>2</v>
      </c>
      <c r="J545" t="n">
        <v>1</v>
      </c>
      <c r="K545" t="n">
        <v>0</v>
      </c>
      <c r="L545" t="n">
        <v>0</v>
      </c>
      <c r="M545" t="n">
        <v>0</v>
      </c>
      <c r="N545" t="n">
        <v>0</v>
      </c>
      <c r="O545" t="n">
        <v>1</v>
      </c>
      <c r="P545" t="n">
        <v>0</v>
      </c>
      <c r="Q545" t="n">
        <v>3</v>
      </c>
      <c r="R545" s="2" t="inlineStr">
        <is>
          <t>Blå taggsvamp
Bårdlav
Norrlandslav</t>
        </is>
      </c>
      <c r="S545">
        <f>HYPERLINK("https://klasma.github.io/Logging_2482/artfynd/A 40987-2022 artfynd.xlsx", "A 40987-2022")</f>
        <v/>
      </c>
      <c r="T545">
        <f>HYPERLINK("https://klasma.github.io/Logging_2482/kartor/A 40987-2022 karta.png", "A 40987-2022")</f>
        <v/>
      </c>
      <c r="V545">
        <f>HYPERLINK("https://klasma.github.io/Logging_2482/klagomål/A 40987-2022 FSC-klagomål.docx", "A 40987-2022")</f>
        <v/>
      </c>
      <c r="W545">
        <f>HYPERLINK("https://klasma.github.io/Logging_2482/klagomålsmail/A 40987-2022 FSC-klagomål mail.docx", "A 40987-2022")</f>
        <v/>
      </c>
      <c r="X545">
        <f>HYPERLINK("https://klasma.github.io/Logging_2482/tillsyn/A 40987-2022 tillsynsbegäran.docx", "A 40987-2022")</f>
        <v/>
      </c>
      <c r="Y545">
        <f>HYPERLINK("https://klasma.github.io/Logging_2482/tillsynsmail/A 40987-2022 tillsynsbegäran mail.docx", "A 40987-2022")</f>
        <v/>
      </c>
    </row>
    <row r="546" ht="15" customHeight="1">
      <c r="A546" t="inlineStr">
        <is>
          <t>A 57233-2025</t>
        </is>
      </c>
      <c r="B546" s="1" t="n">
        <v>45979.6204050926</v>
      </c>
      <c r="C546" s="1" t="n">
        <v>46075</v>
      </c>
      <c r="D546" t="inlineStr">
        <is>
          <t>VÄSTERBOTTENS LÄN</t>
        </is>
      </c>
      <c r="E546" t="inlineStr">
        <is>
          <t>STORUMAN</t>
        </is>
      </c>
      <c r="F546" t="inlineStr">
        <is>
          <t>Sveaskog</t>
        </is>
      </c>
      <c r="G546" t="n">
        <v>15.3</v>
      </c>
      <c r="H546" t="n">
        <v>1</v>
      </c>
      <c r="I546" t="n">
        <v>1</v>
      </c>
      <c r="J546" t="n">
        <v>1</v>
      </c>
      <c r="K546" t="n">
        <v>0</v>
      </c>
      <c r="L546" t="n">
        <v>0</v>
      </c>
      <c r="M546" t="n">
        <v>0</v>
      </c>
      <c r="N546" t="n">
        <v>0</v>
      </c>
      <c r="O546" t="n">
        <v>1</v>
      </c>
      <c r="P546" t="n">
        <v>0</v>
      </c>
      <c r="Q546" t="n">
        <v>3</v>
      </c>
      <c r="R546" s="2" t="inlineStr">
        <is>
          <t>Garnlav
Stuplav
Lavskrika</t>
        </is>
      </c>
      <c r="S546">
        <f>HYPERLINK("https://klasma.github.io/Logging_2421/artfynd/A 57233-2025 artfynd.xlsx", "A 57233-2025")</f>
        <v/>
      </c>
      <c r="T546">
        <f>HYPERLINK("https://klasma.github.io/Logging_2421/kartor/A 57233-2025 karta.png", "A 57233-2025")</f>
        <v/>
      </c>
      <c r="V546">
        <f>HYPERLINK("https://klasma.github.io/Logging_2421/klagomål/A 57233-2025 FSC-klagomål.docx", "A 57233-2025")</f>
        <v/>
      </c>
      <c r="W546">
        <f>HYPERLINK("https://klasma.github.io/Logging_2421/klagomålsmail/A 57233-2025 FSC-klagomål mail.docx", "A 57233-2025")</f>
        <v/>
      </c>
      <c r="X546">
        <f>HYPERLINK("https://klasma.github.io/Logging_2421/tillsyn/A 57233-2025 tillsynsbegäran.docx", "A 57233-2025")</f>
        <v/>
      </c>
      <c r="Y546">
        <f>HYPERLINK("https://klasma.github.io/Logging_2421/tillsynsmail/A 57233-2025 tillsynsbegäran mail.docx", "A 57233-2025")</f>
        <v/>
      </c>
      <c r="Z546">
        <f>HYPERLINK("https://klasma.github.io/Logging_2421/fåglar/A 57233-2025 prioriterade fågelarter.docx", "A 57233-2025")</f>
        <v/>
      </c>
    </row>
    <row r="547" ht="15" customHeight="1">
      <c r="A547" t="inlineStr">
        <is>
          <t>A 57388-2025</t>
        </is>
      </c>
      <c r="B547" s="1" t="n">
        <v>45980.41665509259</v>
      </c>
      <c r="C547" s="1" t="n">
        <v>46075</v>
      </c>
      <c r="D547" t="inlineStr">
        <is>
          <t>VÄSTERBOTTENS LÄN</t>
        </is>
      </c>
      <c r="E547" t="inlineStr">
        <is>
          <t>SKELLEFTEÅ</t>
        </is>
      </c>
      <c r="F547" t="inlineStr">
        <is>
          <t>Sveaskog</t>
        </is>
      </c>
      <c r="G547" t="n">
        <v>6.6</v>
      </c>
      <c r="H547" t="n">
        <v>0</v>
      </c>
      <c r="I547" t="n">
        <v>1</v>
      </c>
      <c r="J547" t="n">
        <v>2</v>
      </c>
      <c r="K547" t="n">
        <v>0</v>
      </c>
      <c r="L547" t="n">
        <v>0</v>
      </c>
      <c r="M547" t="n">
        <v>0</v>
      </c>
      <c r="N547" t="n">
        <v>0</v>
      </c>
      <c r="O547" t="n">
        <v>2</v>
      </c>
      <c r="P547" t="n">
        <v>0</v>
      </c>
      <c r="Q547" t="n">
        <v>3</v>
      </c>
      <c r="R547" s="2" t="inlineStr">
        <is>
          <t>Gammelgransskål
Granticka
Vedticka</t>
        </is>
      </c>
      <c r="S547">
        <f>HYPERLINK("https://klasma.github.io/Logging_2482/artfynd/A 57388-2025 artfynd.xlsx", "A 57388-2025")</f>
        <v/>
      </c>
      <c r="T547">
        <f>HYPERLINK("https://klasma.github.io/Logging_2482/kartor/A 57388-2025 karta.png", "A 57388-2025")</f>
        <v/>
      </c>
      <c r="V547">
        <f>HYPERLINK("https://klasma.github.io/Logging_2482/klagomål/A 57388-2025 FSC-klagomål.docx", "A 57388-2025")</f>
        <v/>
      </c>
      <c r="W547">
        <f>HYPERLINK("https://klasma.github.io/Logging_2482/klagomålsmail/A 57388-2025 FSC-klagomål mail.docx", "A 57388-2025")</f>
        <v/>
      </c>
      <c r="X547">
        <f>HYPERLINK("https://klasma.github.io/Logging_2482/tillsyn/A 57388-2025 tillsynsbegäran.docx", "A 57388-2025")</f>
        <v/>
      </c>
      <c r="Y547">
        <f>HYPERLINK("https://klasma.github.io/Logging_2482/tillsynsmail/A 57388-2025 tillsynsbegäran mail.docx", "A 57388-2025")</f>
        <v/>
      </c>
    </row>
    <row r="548" ht="15" customHeight="1">
      <c r="A548" t="inlineStr">
        <is>
          <t>A 57783-2025</t>
        </is>
      </c>
      <c r="B548" s="1" t="n">
        <v>45981.57350694444</v>
      </c>
      <c r="C548" s="1" t="n">
        <v>46075</v>
      </c>
      <c r="D548" t="inlineStr">
        <is>
          <t>VÄSTERBOTTENS LÄN</t>
        </is>
      </c>
      <c r="E548" t="inlineStr">
        <is>
          <t>DOROTEA</t>
        </is>
      </c>
      <c r="F548" t="inlineStr">
        <is>
          <t>SCA</t>
        </is>
      </c>
      <c r="G548" t="n">
        <v>8.5</v>
      </c>
      <c r="H548" t="n">
        <v>1</v>
      </c>
      <c r="I548" t="n">
        <v>0</v>
      </c>
      <c r="J548" t="n">
        <v>2</v>
      </c>
      <c r="K548" t="n">
        <v>1</v>
      </c>
      <c r="L548" t="n">
        <v>0</v>
      </c>
      <c r="M548" t="n">
        <v>0</v>
      </c>
      <c r="N548" t="n">
        <v>0</v>
      </c>
      <c r="O548" t="n">
        <v>3</v>
      </c>
      <c r="P548" t="n">
        <v>1</v>
      </c>
      <c r="Q548" t="n">
        <v>3</v>
      </c>
      <c r="R548" s="2" t="inlineStr">
        <is>
          <t>Aspgelélav
Gammelgransskål
Tretåig hackspett</t>
        </is>
      </c>
      <c r="S548">
        <f>HYPERLINK("https://klasma.github.io/Logging_2425/artfynd/A 57783-2025 artfynd.xlsx", "A 57783-2025")</f>
        <v/>
      </c>
      <c r="T548">
        <f>HYPERLINK("https://klasma.github.io/Logging_2425/kartor/A 57783-2025 karta.png", "A 57783-2025")</f>
        <v/>
      </c>
      <c r="V548">
        <f>HYPERLINK("https://klasma.github.io/Logging_2425/klagomål/A 57783-2025 FSC-klagomål.docx", "A 57783-2025")</f>
        <v/>
      </c>
      <c r="W548">
        <f>HYPERLINK("https://klasma.github.io/Logging_2425/klagomålsmail/A 57783-2025 FSC-klagomål mail.docx", "A 57783-2025")</f>
        <v/>
      </c>
      <c r="X548">
        <f>HYPERLINK("https://klasma.github.io/Logging_2425/tillsyn/A 57783-2025 tillsynsbegäran.docx", "A 57783-2025")</f>
        <v/>
      </c>
      <c r="Y548">
        <f>HYPERLINK("https://klasma.github.io/Logging_2425/tillsynsmail/A 57783-2025 tillsynsbegäran mail.docx", "A 57783-2025")</f>
        <v/>
      </c>
      <c r="Z548">
        <f>HYPERLINK("https://klasma.github.io/Logging_2425/fåglar/A 57783-2025 prioriterade fågelarter.docx", "A 57783-2025")</f>
        <v/>
      </c>
    </row>
    <row r="549" ht="15" customHeight="1">
      <c r="A549" t="inlineStr">
        <is>
          <t>A 57758-2025</t>
        </is>
      </c>
      <c r="B549" s="1" t="n">
        <v>45981.55208333334</v>
      </c>
      <c r="C549" s="1" t="n">
        <v>46075</v>
      </c>
      <c r="D549" t="inlineStr">
        <is>
          <t>VÄSTERBOTTENS LÄN</t>
        </is>
      </c>
      <c r="E549" t="inlineStr">
        <is>
          <t>NORSJÖ</t>
        </is>
      </c>
      <c r="F549" t="inlineStr">
        <is>
          <t>Sveaskog</t>
        </is>
      </c>
      <c r="G549" t="n">
        <v>6.9</v>
      </c>
      <c r="H549" t="n">
        <v>0</v>
      </c>
      <c r="I549" t="n">
        <v>2</v>
      </c>
      <c r="J549" t="n">
        <v>1</v>
      </c>
      <c r="K549" t="n">
        <v>0</v>
      </c>
      <c r="L549" t="n">
        <v>0</v>
      </c>
      <c r="M549" t="n">
        <v>0</v>
      </c>
      <c r="N549" t="n">
        <v>0</v>
      </c>
      <c r="O549" t="n">
        <v>1</v>
      </c>
      <c r="P549" t="n">
        <v>0</v>
      </c>
      <c r="Q549" t="n">
        <v>3</v>
      </c>
      <c r="R549" s="2" t="inlineStr">
        <is>
          <t>Blå taggsvamp
Dropptaggsvamp
Skarp dropptaggsvamp</t>
        </is>
      </c>
      <c r="S549">
        <f>HYPERLINK("https://klasma.github.io/Logging_2417/artfynd/A 57758-2025 artfynd.xlsx", "A 57758-2025")</f>
        <v/>
      </c>
      <c r="T549">
        <f>HYPERLINK("https://klasma.github.io/Logging_2417/kartor/A 57758-2025 karta.png", "A 57758-2025")</f>
        <v/>
      </c>
      <c r="V549">
        <f>HYPERLINK("https://klasma.github.io/Logging_2417/klagomål/A 57758-2025 FSC-klagomål.docx", "A 57758-2025")</f>
        <v/>
      </c>
      <c r="W549">
        <f>HYPERLINK("https://klasma.github.io/Logging_2417/klagomålsmail/A 57758-2025 FSC-klagomål mail.docx", "A 57758-2025")</f>
        <v/>
      </c>
      <c r="X549">
        <f>HYPERLINK("https://klasma.github.io/Logging_2417/tillsyn/A 57758-2025 tillsynsbegäran.docx", "A 57758-2025")</f>
        <v/>
      </c>
      <c r="Y549">
        <f>HYPERLINK("https://klasma.github.io/Logging_2417/tillsynsmail/A 57758-2025 tillsynsbegäran mail.docx", "A 57758-2025")</f>
        <v/>
      </c>
    </row>
    <row r="550" ht="15" customHeight="1">
      <c r="A550" t="inlineStr">
        <is>
          <t>A 57759-2025</t>
        </is>
      </c>
      <c r="B550" s="1" t="n">
        <v>45981.55298611111</v>
      </c>
      <c r="C550" s="1" t="n">
        <v>46075</v>
      </c>
      <c r="D550" t="inlineStr">
        <is>
          <t>VÄSTERBOTTENS LÄN</t>
        </is>
      </c>
      <c r="E550" t="inlineStr">
        <is>
          <t>NORSJÖ</t>
        </is>
      </c>
      <c r="F550" t="inlineStr">
        <is>
          <t>Sveaskog</t>
        </is>
      </c>
      <c r="G550" t="n">
        <v>11</v>
      </c>
      <c r="H550" t="n">
        <v>1</v>
      </c>
      <c r="I550" t="n">
        <v>1</v>
      </c>
      <c r="J550" t="n">
        <v>2</v>
      </c>
      <c r="K550" t="n">
        <v>0</v>
      </c>
      <c r="L550" t="n">
        <v>0</v>
      </c>
      <c r="M550" t="n">
        <v>0</v>
      </c>
      <c r="N550" t="n">
        <v>0</v>
      </c>
      <c r="O550" t="n">
        <v>2</v>
      </c>
      <c r="P550" t="n">
        <v>0</v>
      </c>
      <c r="Q550" t="n">
        <v>3</v>
      </c>
      <c r="R550" s="2" t="inlineStr">
        <is>
          <t>Kolflarnlav
Mörk kolflarnlav
Plattlummer</t>
        </is>
      </c>
      <c r="S550">
        <f>HYPERLINK("https://klasma.github.io/Logging_2417/artfynd/A 57759-2025 artfynd.xlsx", "A 57759-2025")</f>
        <v/>
      </c>
      <c r="T550">
        <f>HYPERLINK("https://klasma.github.io/Logging_2417/kartor/A 57759-2025 karta.png", "A 57759-2025")</f>
        <v/>
      </c>
      <c r="V550">
        <f>HYPERLINK("https://klasma.github.io/Logging_2417/klagomål/A 57759-2025 FSC-klagomål.docx", "A 57759-2025")</f>
        <v/>
      </c>
      <c r="W550">
        <f>HYPERLINK("https://klasma.github.io/Logging_2417/klagomålsmail/A 57759-2025 FSC-klagomål mail.docx", "A 57759-2025")</f>
        <v/>
      </c>
      <c r="X550">
        <f>HYPERLINK("https://klasma.github.io/Logging_2417/tillsyn/A 57759-2025 tillsynsbegäran.docx", "A 57759-2025")</f>
        <v/>
      </c>
      <c r="Y550">
        <f>HYPERLINK("https://klasma.github.io/Logging_2417/tillsynsmail/A 57759-2025 tillsynsbegäran mail.docx", "A 57759-2025")</f>
        <v/>
      </c>
    </row>
    <row r="551" ht="15" customHeight="1">
      <c r="A551" t="inlineStr">
        <is>
          <t>A 57776-2025</t>
        </is>
      </c>
      <c r="B551" s="1" t="n">
        <v>45981.56534722223</v>
      </c>
      <c r="C551" s="1" t="n">
        <v>46075</v>
      </c>
      <c r="D551" t="inlineStr">
        <is>
          <t>VÄSTERBOTTENS LÄN</t>
        </is>
      </c>
      <c r="E551" t="inlineStr">
        <is>
          <t>BJURHOLM</t>
        </is>
      </c>
      <c r="G551" t="n">
        <v>1.5</v>
      </c>
      <c r="H551" t="n">
        <v>3</v>
      </c>
      <c r="I551" t="n">
        <v>1</v>
      </c>
      <c r="J551" t="n">
        <v>0</v>
      </c>
      <c r="K551" t="n">
        <v>1</v>
      </c>
      <c r="L551" t="n">
        <v>0</v>
      </c>
      <c r="M551" t="n">
        <v>0</v>
      </c>
      <c r="N551" t="n">
        <v>0</v>
      </c>
      <c r="O551" t="n">
        <v>1</v>
      </c>
      <c r="P551" t="n">
        <v>1</v>
      </c>
      <c r="Q551" t="n">
        <v>3</v>
      </c>
      <c r="R551" s="2" t="inlineStr">
        <is>
          <t>Knärot
Spindelblomster
Fläcknycklar</t>
        </is>
      </c>
      <c r="S551">
        <f>HYPERLINK("https://klasma.github.io/Logging_2403/artfynd/A 57776-2025 artfynd.xlsx", "A 57776-2025")</f>
        <v/>
      </c>
      <c r="T551">
        <f>HYPERLINK("https://klasma.github.io/Logging_2403/kartor/A 57776-2025 karta.png", "A 57776-2025")</f>
        <v/>
      </c>
      <c r="U551">
        <f>HYPERLINK("https://klasma.github.io/Logging_2403/knärot/A 57776-2025 karta knärot.png", "A 57776-2025")</f>
        <v/>
      </c>
      <c r="V551">
        <f>HYPERLINK("https://klasma.github.io/Logging_2403/klagomål/A 57776-2025 FSC-klagomål.docx", "A 57776-2025")</f>
        <v/>
      </c>
      <c r="W551">
        <f>HYPERLINK("https://klasma.github.io/Logging_2403/klagomålsmail/A 57776-2025 FSC-klagomål mail.docx", "A 57776-2025")</f>
        <v/>
      </c>
      <c r="X551">
        <f>HYPERLINK("https://klasma.github.io/Logging_2403/tillsyn/A 57776-2025 tillsynsbegäran.docx", "A 57776-2025")</f>
        <v/>
      </c>
      <c r="Y551">
        <f>HYPERLINK("https://klasma.github.io/Logging_2403/tillsynsmail/A 57776-2025 tillsynsbegäran mail.docx", "A 57776-2025")</f>
        <v/>
      </c>
    </row>
    <row r="552" ht="15" customHeight="1">
      <c r="A552" t="inlineStr">
        <is>
          <t>A 59076-2025</t>
        </is>
      </c>
      <c r="B552" s="1" t="n">
        <v>45988.42956018518</v>
      </c>
      <c r="C552" s="1" t="n">
        <v>46075</v>
      </c>
      <c r="D552" t="inlineStr">
        <is>
          <t>VÄSTERBOTTENS LÄN</t>
        </is>
      </c>
      <c r="E552" t="inlineStr">
        <is>
          <t>SKELLEFTEÅ</t>
        </is>
      </c>
      <c r="G552" t="n">
        <v>5.1</v>
      </c>
      <c r="H552" t="n">
        <v>0</v>
      </c>
      <c r="I552" t="n">
        <v>2</v>
      </c>
      <c r="J552" t="n">
        <v>1</v>
      </c>
      <c r="K552" t="n">
        <v>0</v>
      </c>
      <c r="L552" t="n">
        <v>0</v>
      </c>
      <c r="M552" t="n">
        <v>0</v>
      </c>
      <c r="N552" t="n">
        <v>0</v>
      </c>
      <c r="O552" t="n">
        <v>1</v>
      </c>
      <c r="P552" t="n">
        <v>0</v>
      </c>
      <c r="Q552" t="n">
        <v>3</v>
      </c>
      <c r="R552" s="2" t="inlineStr">
        <is>
          <t>Ullticka
Bårdlav
Stuplav</t>
        </is>
      </c>
      <c r="S552">
        <f>HYPERLINK("https://klasma.github.io/Logging_2482/artfynd/A 59076-2025 artfynd.xlsx", "A 59076-2025")</f>
        <v/>
      </c>
      <c r="T552">
        <f>HYPERLINK("https://klasma.github.io/Logging_2482/kartor/A 59076-2025 karta.png", "A 59076-2025")</f>
        <v/>
      </c>
      <c r="V552">
        <f>HYPERLINK("https://klasma.github.io/Logging_2482/klagomål/A 59076-2025 FSC-klagomål.docx", "A 59076-2025")</f>
        <v/>
      </c>
      <c r="W552">
        <f>HYPERLINK("https://klasma.github.io/Logging_2482/klagomålsmail/A 59076-2025 FSC-klagomål mail.docx", "A 59076-2025")</f>
        <v/>
      </c>
      <c r="X552">
        <f>HYPERLINK("https://klasma.github.io/Logging_2482/tillsyn/A 59076-2025 tillsynsbegäran.docx", "A 59076-2025")</f>
        <v/>
      </c>
      <c r="Y552">
        <f>HYPERLINK("https://klasma.github.io/Logging_2482/tillsynsmail/A 59076-2025 tillsynsbegäran mail.docx", "A 59076-2025")</f>
        <v/>
      </c>
    </row>
    <row r="553" ht="15" customHeight="1">
      <c r="A553" t="inlineStr">
        <is>
          <t>A 1762-2026</t>
        </is>
      </c>
      <c r="B553" s="1" t="n">
        <v>46034.67745370371</v>
      </c>
      <c r="C553" s="1" t="n">
        <v>46075</v>
      </c>
      <c r="D553" t="inlineStr">
        <is>
          <t>VÄSTERBOTTENS LÄN</t>
        </is>
      </c>
      <c r="E553" t="inlineStr">
        <is>
          <t>SKELLEFTEÅ</t>
        </is>
      </c>
      <c r="G553" t="n">
        <v>9.9</v>
      </c>
      <c r="H553" t="n">
        <v>2</v>
      </c>
      <c r="I553" t="n">
        <v>0</v>
      </c>
      <c r="J553" t="n">
        <v>1</v>
      </c>
      <c r="K553" t="n">
        <v>0</v>
      </c>
      <c r="L553" t="n">
        <v>0</v>
      </c>
      <c r="M553" t="n">
        <v>0</v>
      </c>
      <c r="N553" t="n">
        <v>0</v>
      </c>
      <c r="O553" t="n">
        <v>1</v>
      </c>
      <c r="P553" t="n">
        <v>0</v>
      </c>
      <c r="Q553" t="n">
        <v>3</v>
      </c>
      <c r="R553" s="2" t="inlineStr">
        <is>
          <t>Motaggsvamp
Fläcknycklar
Revlummer</t>
        </is>
      </c>
      <c r="S553">
        <f>HYPERLINK("https://klasma.github.io/Logging_2482/artfynd/A 1762-2026 artfynd.xlsx", "A 1762-2026")</f>
        <v/>
      </c>
      <c r="T553">
        <f>HYPERLINK("https://klasma.github.io/Logging_2482/kartor/A 1762-2026 karta.png", "A 1762-2026")</f>
        <v/>
      </c>
      <c r="V553">
        <f>HYPERLINK("https://klasma.github.io/Logging_2482/klagomål/A 1762-2026 FSC-klagomål.docx", "A 1762-2026")</f>
        <v/>
      </c>
      <c r="W553">
        <f>HYPERLINK("https://klasma.github.io/Logging_2482/klagomålsmail/A 1762-2026 FSC-klagomål mail.docx", "A 1762-2026")</f>
        <v/>
      </c>
      <c r="X553">
        <f>HYPERLINK("https://klasma.github.io/Logging_2482/tillsyn/A 1762-2026 tillsynsbegäran.docx", "A 1762-2026")</f>
        <v/>
      </c>
      <c r="Y553">
        <f>HYPERLINK("https://klasma.github.io/Logging_2482/tillsynsmail/A 1762-2026 tillsynsbegäran mail.docx", "A 1762-2026")</f>
        <v/>
      </c>
    </row>
    <row r="554" ht="15" customHeight="1">
      <c r="A554" t="inlineStr">
        <is>
          <t>A 54780-2024</t>
        </is>
      </c>
      <c r="B554" s="1" t="n">
        <v>45618</v>
      </c>
      <c r="C554" s="1" t="n">
        <v>46075</v>
      </c>
      <c r="D554" t="inlineStr">
        <is>
          <t>VÄSTERBOTTENS LÄN</t>
        </is>
      </c>
      <c r="E554" t="inlineStr">
        <is>
          <t>VILHELMINA</t>
        </is>
      </c>
      <c r="F554" t="inlineStr">
        <is>
          <t>SCA</t>
        </is>
      </c>
      <c r="G554" t="n">
        <v>8.199999999999999</v>
      </c>
      <c r="H554" t="n">
        <v>0</v>
      </c>
      <c r="I554" t="n">
        <v>0</v>
      </c>
      <c r="J554" t="n">
        <v>3</v>
      </c>
      <c r="K554" t="n">
        <v>0</v>
      </c>
      <c r="L554" t="n">
        <v>0</v>
      </c>
      <c r="M554" t="n">
        <v>0</v>
      </c>
      <c r="N554" t="n">
        <v>0</v>
      </c>
      <c r="O554" t="n">
        <v>3</v>
      </c>
      <c r="P554" t="n">
        <v>0</v>
      </c>
      <c r="Q554" t="n">
        <v>3</v>
      </c>
      <c r="R554" s="2" t="inlineStr">
        <is>
          <t>Gammelgransskål
Rosenticka
Tallticka</t>
        </is>
      </c>
      <c r="S554">
        <f>HYPERLINK("https://klasma.github.io/Logging_2462/artfynd/A 54780-2024 artfynd.xlsx", "A 54780-2024")</f>
        <v/>
      </c>
      <c r="T554">
        <f>HYPERLINK("https://klasma.github.io/Logging_2462/kartor/A 54780-2024 karta.png", "A 54780-2024")</f>
        <v/>
      </c>
      <c r="V554">
        <f>HYPERLINK("https://klasma.github.io/Logging_2462/klagomål/A 54780-2024 FSC-klagomål.docx", "A 54780-2024")</f>
        <v/>
      </c>
      <c r="W554">
        <f>HYPERLINK("https://klasma.github.io/Logging_2462/klagomålsmail/A 54780-2024 FSC-klagomål mail.docx", "A 54780-2024")</f>
        <v/>
      </c>
      <c r="X554">
        <f>HYPERLINK("https://klasma.github.io/Logging_2462/tillsyn/A 54780-2024 tillsynsbegäran.docx", "A 54780-2024")</f>
        <v/>
      </c>
      <c r="Y554">
        <f>HYPERLINK("https://klasma.github.io/Logging_2462/tillsynsmail/A 54780-2024 tillsynsbegäran mail.docx", "A 54780-2024")</f>
        <v/>
      </c>
    </row>
    <row r="555" ht="15" customHeight="1">
      <c r="A555" t="inlineStr">
        <is>
          <t>A 60313-2022</t>
        </is>
      </c>
      <c r="B555" s="1" t="n">
        <v>44910</v>
      </c>
      <c r="C555" s="1" t="n">
        <v>46075</v>
      </c>
      <c r="D555" t="inlineStr">
        <is>
          <t>VÄSTERBOTTENS LÄN</t>
        </is>
      </c>
      <c r="E555" t="inlineStr">
        <is>
          <t>VINDELN</t>
        </is>
      </c>
      <c r="F555" t="inlineStr">
        <is>
          <t>Sveaskog</t>
        </is>
      </c>
      <c r="G555" t="n">
        <v>5.2</v>
      </c>
      <c r="H555" t="n">
        <v>1</v>
      </c>
      <c r="I555" t="n">
        <v>1</v>
      </c>
      <c r="J555" t="n">
        <v>1</v>
      </c>
      <c r="K555" t="n">
        <v>0</v>
      </c>
      <c r="L555" t="n">
        <v>0</v>
      </c>
      <c r="M555" t="n">
        <v>0</v>
      </c>
      <c r="N555" t="n">
        <v>0</v>
      </c>
      <c r="O555" t="n">
        <v>1</v>
      </c>
      <c r="P555" t="n">
        <v>0</v>
      </c>
      <c r="Q555" t="n">
        <v>3</v>
      </c>
      <c r="R555" s="2" t="inlineStr">
        <is>
          <t>Kolflarnlav
Skarp dropptaggsvamp
Lavskrika</t>
        </is>
      </c>
      <c r="S555">
        <f>HYPERLINK("https://klasma.github.io/Logging_2404/artfynd/A 60313-2022 artfynd.xlsx", "A 60313-2022")</f>
        <v/>
      </c>
      <c r="T555">
        <f>HYPERLINK("https://klasma.github.io/Logging_2404/kartor/A 60313-2022 karta.png", "A 60313-2022")</f>
        <v/>
      </c>
      <c r="V555">
        <f>HYPERLINK("https://klasma.github.io/Logging_2404/klagomål/A 60313-2022 FSC-klagomål.docx", "A 60313-2022")</f>
        <v/>
      </c>
      <c r="W555">
        <f>HYPERLINK("https://klasma.github.io/Logging_2404/klagomålsmail/A 60313-2022 FSC-klagomål mail.docx", "A 60313-2022")</f>
        <v/>
      </c>
      <c r="X555">
        <f>HYPERLINK("https://klasma.github.io/Logging_2404/tillsyn/A 60313-2022 tillsynsbegäran.docx", "A 60313-2022")</f>
        <v/>
      </c>
      <c r="Y555">
        <f>HYPERLINK("https://klasma.github.io/Logging_2404/tillsynsmail/A 60313-2022 tillsynsbegäran mail.docx", "A 60313-2022")</f>
        <v/>
      </c>
      <c r="Z555">
        <f>HYPERLINK("https://klasma.github.io/Logging_2404/fåglar/A 60313-2022 prioriterade fågelarter.docx", "A 60313-2022")</f>
        <v/>
      </c>
    </row>
    <row r="556" ht="15" customHeight="1">
      <c r="A556" t="inlineStr">
        <is>
          <t>A 53808-2023</t>
        </is>
      </c>
      <c r="B556" s="1" t="n">
        <v>45231</v>
      </c>
      <c r="C556" s="1" t="n">
        <v>46075</v>
      </c>
      <c r="D556" t="inlineStr">
        <is>
          <t>VÄSTERBOTTENS LÄN</t>
        </is>
      </c>
      <c r="E556" t="inlineStr">
        <is>
          <t>LYCKSELE</t>
        </is>
      </c>
      <c r="F556" t="inlineStr">
        <is>
          <t>Sveaskog</t>
        </is>
      </c>
      <c r="G556" t="n">
        <v>1.8</v>
      </c>
      <c r="H556" t="n">
        <v>0</v>
      </c>
      <c r="I556" t="n">
        <v>2</v>
      </c>
      <c r="J556" t="n">
        <v>1</v>
      </c>
      <c r="K556" t="n">
        <v>0</v>
      </c>
      <c r="L556" t="n">
        <v>0</v>
      </c>
      <c r="M556" t="n">
        <v>0</v>
      </c>
      <c r="N556" t="n">
        <v>0</v>
      </c>
      <c r="O556" t="n">
        <v>1</v>
      </c>
      <c r="P556" t="n">
        <v>0</v>
      </c>
      <c r="Q556" t="n">
        <v>3</v>
      </c>
      <c r="R556" s="2" t="inlineStr">
        <is>
          <t>Vedflamlav
Brandticka
Gullgröppa</t>
        </is>
      </c>
      <c r="S556">
        <f>HYPERLINK("https://klasma.github.io/Logging_2481/artfynd/A 53808-2023 artfynd.xlsx", "A 53808-2023")</f>
        <v/>
      </c>
      <c r="T556">
        <f>HYPERLINK("https://klasma.github.io/Logging_2481/kartor/A 53808-2023 karta.png", "A 53808-2023")</f>
        <v/>
      </c>
      <c r="V556">
        <f>HYPERLINK("https://klasma.github.io/Logging_2481/klagomål/A 53808-2023 FSC-klagomål.docx", "A 53808-2023")</f>
        <v/>
      </c>
      <c r="W556">
        <f>HYPERLINK("https://klasma.github.io/Logging_2481/klagomålsmail/A 53808-2023 FSC-klagomål mail.docx", "A 53808-2023")</f>
        <v/>
      </c>
      <c r="X556">
        <f>HYPERLINK("https://klasma.github.io/Logging_2481/tillsyn/A 53808-2023 tillsynsbegäran.docx", "A 53808-2023")</f>
        <v/>
      </c>
      <c r="Y556">
        <f>HYPERLINK("https://klasma.github.io/Logging_2481/tillsynsmail/A 53808-2023 tillsynsbegäran mail.docx", "A 53808-2023")</f>
        <v/>
      </c>
    </row>
    <row r="557" ht="15" customHeight="1">
      <c r="A557" t="inlineStr">
        <is>
          <t>A 60564-2025</t>
        </is>
      </c>
      <c r="B557" s="1" t="n">
        <v>45994</v>
      </c>
      <c r="C557" s="1" t="n">
        <v>46075</v>
      </c>
      <c r="D557" t="inlineStr">
        <is>
          <t>VÄSTERBOTTENS LÄN</t>
        </is>
      </c>
      <c r="E557" t="inlineStr">
        <is>
          <t>SKELLEFTEÅ</t>
        </is>
      </c>
      <c r="F557" t="inlineStr">
        <is>
          <t>Kommuner</t>
        </is>
      </c>
      <c r="G557" t="n">
        <v>4.7</v>
      </c>
      <c r="H557" t="n">
        <v>3</v>
      </c>
      <c r="I557" t="n">
        <v>0</v>
      </c>
      <c r="J557" t="n">
        <v>2</v>
      </c>
      <c r="K557" t="n">
        <v>0</v>
      </c>
      <c r="L557" t="n">
        <v>0</v>
      </c>
      <c r="M557" t="n">
        <v>0</v>
      </c>
      <c r="N557" t="n">
        <v>0</v>
      </c>
      <c r="O557" t="n">
        <v>2</v>
      </c>
      <c r="P557" t="n">
        <v>0</v>
      </c>
      <c r="Q557" t="n">
        <v>3</v>
      </c>
      <c r="R557" s="2" t="inlineStr">
        <is>
          <t>Järpe
Spillkråka
Vanlig padda</t>
        </is>
      </c>
      <c r="S557">
        <f>HYPERLINK("https://klasma.github.io/Logging_2482/artfynd/A 60564-2025 artfynd.xlsx", "A 60564-2025")</f>
        <v/>
      </c>
      <c r="T557">
        <f>HYPERLINK("https://klasma.github.io/Logging_2482/kartor/A 60564-2025 karta.png", "A 60564-2025")</f>
        <v/>
      </c>
      <c r="V557">
        <f>HYPERLINK("https://klasma.github.io/Logging_2482/klagomål/A 60564-2025 FSC-klagomål.docx", "A 60564-2025")</f>
        <v/>
      </c>
      <c r="W557">
        <f>HYPERLINK("https://klasma.github.io/Logging_2482/klagomålsmail/A 60564-2025 FSC-klagomål mail.docx", "A 60564-2025")</f>
        <v/>
      </c>
      <c r="X557">
        <f>HYPERLINK("https://klasma.github.io/Logging_2482/tillsyn/A 60564-2025 tillsynsbegäran.docx", "A 60564-2025")</f>
        <v/>
      </c>
      <c r="Y557">
        <f>HYPERLINK("https://klasma.github.io/Logging_2482/tillsynsmail/A 60564-2025 tillsynsbegäran mail.docx", "A 60564-2025")</f>
        <v/>
      </c>
      <c r="Z557">
        <f>HYPERLINK("https://klasma.github.io/Logging_2482/fåglar/A 60564-2025 prioriterade fågelarter.docx", "A 60564-2025")</f>
        <v/>
      </c>
    </row>
    <row r="558" ht="15" customHeight="1">
      <c r="A558" t="inlineStr">
        <is>
          <t>A 2639-2026</t>
        </is>
      </c>
      <c r="B558" s="1" t="n">
        <v>46037.61684027778</v>
      </c>
      <c r="C558" s="1" t="n">
        <v>46075</v>
      </c>
      <c r="D558" t="inlineStr">
        <is>
          <t>VÄSTERBOTTENS LÄN</t>
        </is>
      </c>
      <c r="E558" t="inlineStr">
        <is>
          <t>ROBERTSFORS</t>
        </is>
      </c>
      <c r="G558" t="n">
        <v>4.5</v>
      </c>
      <c r="H558" t="n">
        <v>1</v>
      </c>
      <c r="I558" t="n">
        <v>0</v>
      </c>
      <c r="J558" t="n">
        <v>3</v>
      </c>
      <c r="K558" t="n">
        <v>0</v>
      </c>
      <c r="L558" t="n">
        <v>0</v>
      </c>
      <c r="M558" t="n">
        <v>0</v>
      </c>
      <c r="N558" t="n">
        <v>0</v>
      </c>
      <c r="O558" t="n">
        <v>3</v>
      </c>
      <c r="P558" t="n">
        <v>0</v>
      </c>
      <c r="Q558" t="n">
        <v>3</v>
      </c>
      <c r="R558" s="2" t="inlineStr">
        <is>
          <t>Garnlav
Tretåig hackspett
Ullticka</t>
        </is>
      </c>
      <c r="S558">
        <f>HYPERLINK("https://klasma.github.io/Logging_2409/artfynd/A 2639-2026 artfynd.xlsx", "A 2639-2026")</f>
        <v/>
      </c>
      <c r="T558">
        <f>HYPERLINK("https://klasma.github.io/Logging_2409/kartor/A 2639-2026 karta.png", "A 2639-2026")</f>
        <v/>
      </c>
      <c r="V558">
        <f>HYPERLINK("https://klasma.github.io/Logging_2409/klagomål/A 2639-2026 FSC-klagomål.docx", "A 2639-2026")</f>
        <v/>
      </c>
      <c r="W558">
        <f>HYPERLINK("https://klasma.github.io/Logging_2409/klagomålsmail/A 2639-2026 FSC-klagomål mail.docx", "A 2639-2026")</f>
        <v/>
      </c>
      <c r="X558">
        <f>HYPERLINK("https://klasma.github.io/Logging_2409/tillsyn/A 2639-2026 tillsynsbegäran.docx", "A 2639-2026")</f>
        <v/>
      </c>
      <c r="Y558">
        <f>HYPERLINK("https://klasma.github.io/Logging_2409/tillsynsmail/A 2639-2026 tillsynsbegäran mail.docx", "A 2639-2026")</f>
        <v/>
      </c>
      <c r="Z558">
        <f>HYPERLINK("https://klasma.github.io/Logging_2409/fåglar/A 2639-2026 prioriterade fågelarter.docx", "A 2639-2026")</f>
        <v/>
      </c>
    </row>
    <row r="559" ht="15" customHeight="1">
      <c r="A559" t="inlineStr">
        <is>
          <t>A 2761-2026</t>
        </is>
      </c>
      <c r="B559" s="1" t="n">
        <v>46038.34517361111</v>
      </c>
      <c r="C559" s="1" t="n">
        <v>46075</v>
      </c>
      <c r="D559" t="inlineStr">
        <is>
          <t>VÄSTERBOTTENS LÄN</t>
        </is>
      </c>
      <c r="E559" t="inlineStr">
        <is>
          <t>ÅSELE</t>
        </is>
      </c>
      <c r="F559" t="inlineStr">
        <is>
          <t>Sveaskog</t>
        </is>
      </c>
      <c r="G559" t="n">
        <v>3.6</v>
      </c>
      <c r="H559" t="n">
        <v>1</v>
      </c>
      <c r="I559" t="n">
        <v>0</v>
      </c>
      <c r="J559" t="n">
        <v>3</v>
      </c>
      <c r="K559" t="n">
        <v>0</v>
      </c>
      <c r="L559" t="n">
        <v>0</v>
      </c>
      <c r="M559" t="n">
        <v>0</v>
      </c>
      <c r="N559" t="n">
        <v>0</v>
      </c>
      <c r="O559" t="n">
        <v>3</v>
      </c>
      <c r="P559" t="n">
        <v>0</v>
      </c>
      <c r="Q559" t="n">
        <v>3</v>
      </c>
      <c r="R559" s="2" t="inlineStr">
        <is>
          <t>Blanksvart spiklav
Blågrå svartspik
Tretåig hackspett</t>
        </is>
      </c>
      <c r="S559">
        <f>HYPERLINK("https://klasma.github.io/Logging_2463/artfynd/A 2761-2026 artfynd.xlsx", "A 2761-2026")</f>
        <v/>
      </c>
      <c r="T559">
        <f>HYPERLINK("https://klasma.github.io/Logging_2463/kartor/A 2761-2026 karta.png", "A 2761-2026")</f>
        <v/>
      </c>
      <c r="V559">
        <f>HYPERLINK("https://klasma.github.io/Logging_2463/klagomål/A 2761-2026 FSC-klagomål.docx", "A 2761-2026")</f>
        <v/>
      </c>
      <c r="W559">
        <f>HYPERLINK("https://klasma.github.io/Logging_2463/klagomålsmail/A 2761-2026 FSC-klagomål mail.docx", "A 2761-2026")</f>
        <v/>
      </c>
      <c r="X559">
        <f>HYPERLINK("https://klasma.github.io/Logging_2463/tillsyn/A 2761-2026 tillsynsbegäran.docx", "A 2761-2026")</f>
        <v/>
      </c>
      <c r="Y559">
        <f>HYPERLINK("https://klasma.github.io/Logging_2463/tillsynsmail/A 2761-2026 tillsynsbegäran mail.docx", "A 2761-2026")</f>
        <v/>
      </c>
      <c r="Z559">
        <f>HYPERLINK("https://klasma.github.io/Logging_2463/fåglar/A 2761-2026 prioriterade fågelarter.docx", "A 2761-2026")</f>
        <v/>
      </c>
    </row>
    <row r="560" ht="15" customHeight="1">
      <c r="A560" t="inlineStr">
        <is>
          <t>A 61101-2025</t>
        </is>
      </c>
      <c r="B560" s="1" t="n">
        <v>46000.44283564815</v>
      </c>
      <c r="C560" s="1" t="n">
        <v>46075</v>
      </c>
      <c r="D560" t="inlineStr">
        <is>
          <t>VÄSTERBOTTENS LÄN</t>
        </is>
      </c>
      <c r="E560" t="inlineStr">
        <is>
          <t>SKELLEFTEÅ</t>
        </is>
      </c>
      <c r="F560" t="inlineStr">
        <is>
          <t>Holmen skog AB</t>
        </is>
      </c>
      <c r="G560" t="n">
        <v>13.7</v>
      </c>
      <c r="H560" t="n">
        <v>0</v>
      </c>
      <c r="I560" t="n">
        <v>1</v>
      </c>
      <c r="J560" t="n">
        <v>2</v>
      </c>
      <c r="K560" t="n">
        <v>0</v>
      </c>
      <c r="L560" t="n">
        <v>0</v>
      </c>
      <c r="M560" t="n">
        <v>0</v>
      </c>
      <c r="N560" t="n">
        <v>0</v>
      </c>
      <c r="O560" t="n">
        <v>2</v>
      </c>
      <c r="P560" t="n">
        <v>0</v>
      </c>
      <c r="Q560" t="n">
        <v>3</v>
      </c>
      <c r="R560" s="2" t="inlineStr">
        <is>
          <t>Lunglav
Ullticka
Stuplav</t>
        </is>
      </c>
      <c r="S560">
        <f>HYPERLINK("https://klasma.github.io/Logging_2482/artfynd/A 61101-2025 artfynd.xlsx", "A 61101-2025")</f>
        <v/>
      </c>
      <c r="T560">
        <f>HYPERLINK("https://klasma.github.io/Logging_2482/kartor/A 61101-2025 karta.png", "A 61101-2025")</f>
        <v/>
      </c>
      <c r="V560">
        <f>HYPERLINK("https://klasma.github.io/Logging_2482/klagomål/A 61101-2025 FSC-klagomål.docx", "A 61101-2025")</f>
        <v/>
      </c>
      <c r="W560">
        <f>HYPERLINK("https://klasma.github.io/Logging_2482/klagomålsmail/A 61101-2025 FSC-klagomål mail.docx", "A 61101-2025")</f>
        <v/>
      </c>
      <c r="X560">
        <f>HYPERLINK("https://klasma.github.io/Logging_2482/tillsyn/A 61101-2025 tillsynsbegäran.docx", "A 61101-2025")</f>
        <v/>
      </c>
      <c r="Y560">
        <f>HYPERLINK("https://klasma.github.io/Logging_2482/tillsynsmail/A 61101-2025 tillsynsbegäran mail.docx", "A 61101-2025")</f>
        <v/>
      </c>
    </row>
    <row r="561" ht="15" customHeight="1">
      <c r="A561" t="inlineStr">
        <is>
          <t>A 62416-2025</t>
        </is>
      </c>
      <c r="B561" s="1" t="n">
        <v>46007.44545138889</v>
      </c>
      <c r="C561" s="1" t="n">
        <v>46075</v>
      </c>
      <c r="D561" t="inlineStr">
        <is>
          <t>VÄSTERBOTTENS LÄN</t>
        </is>
      </c>
      <c r="E561" t="inlineStr">
        <is>
          <t>VÄNNÄS</t>
        </is>
      </c>
      <c r="G561" t="n">
        <v>2.9</v>
      </c>
      <c r="H561" t="n">
        <v>1</v>
      </c>
      <c r="I561" t="n">
        <v>1</v>
      </c>
      <c r="J561" t="n">
        <v>2</v>
      </c>
      <c r="K561" t="n">
        <v>0</v>
      </c>
      <c r="L561" t="n">
        <v>0</v>
      </c>
      <c r="M561" t="n">
        <v>0</v>
      </c>
      <c r="N561" t="n">
        <v>0</v>
      </c>
      <c r="O561" t="n">
        <v>2</v>
      </c>
      <c r="P561" t="n">
        <v>0</v>
      </c>
      <c r="Q561" t="n">
        <v>3</v>
      </c>
      <c r="R561" s="2" t="inlineStr">
        <is>
          <t>Garnlav
Spillkråka
Vågbandad barkbock</t>
        </is>
      </c>
      <c r="S561">
        <f>HYPERLINK("https://klasma.github.io/Logging_2460/artfynd/A 62416-2025 artfynd.xlsx", "A 62416-2025")</f>
        <v/>
      </c>
      <c r="T561">
        <f>HYPERLINK("https://klasma.github.io/Logging_2460/kartor/A 62416-2025 karta.png", "A 62416-2025")</f>
        <v/>
      </c>
      <c r="V561">
        <f>HYPERLINK("https://klasma.github.io/Logging_2460/klagomål/A 62416-2025 FSC-klagomål.docx", "A 62416-2025")</f>
        <v/>
      </c>
      <c r="W561">
        <f>HYPERLINK("https://klasma.github.io/Logging_2460/klagomålsmail/A 62416-2025 FSC-klagomål mail.docx", "A 62416-2025")</f>
        <v/>
      </c>
      <c r="X561">
        <f>HYPERLINK("https://klasma.github.io/Logging_2460/tillsyn/A 62416-2025 tillsynsbegäran.docx", "A 62416-2025")</f>
        <v/>
      </c>
      <c r="Y561">
        <f>HYPERLINK("https://klasma.github.io/Logging_2460/tillsynsmail/A 62416-2025 tillsynsbegäran mail.docx", "A 62416-2025")</f>
        <v/>
      </c>
      <c r="Z561">
        <f>HYPERLINK("https://klasma.github.io/Logging_2460/fåglar/A 62416-2025 prioriterade fågelarter.docx", "A 62416-2025")</f>
        <v/>
      </c>
    </row>
    <row r="562" ht="15" customHeight="1">
      <c r="A562" t="inlineStr">
        <is>
          <t>A 5957-2026</t>
        </is>
      </c>
      <c r="B562" s="1" t="n">
        <v>46052.50188657407</v>
      </c>
      <c r="C562" s="1" t="n">
        <v>46075</v>
      </c>
      <c r="D562" t="inlineStr">
        <is>
          <t>VÄSTERBOTTENS LÄN</t>
        </is>
      </c>
      <c r="E562" t="inlineStr">
        <is>
          <t>SKELLEFTEÅ</t>
        </is>
      </c>
      <c r="F562" t="inlineStr">
        <is>
          <t>Sveaskog</t>
        </is>
      </c>
      <c r="G562" t="n">
        <v>2.3</v>
      </c>
      <c r="H562" t="n">
        <v>0</v>
      </c>
      <c r="I562" t="n">
        <v>0</v>
      </c>
      <c r="J562" t="n">
        <v>3</v>
      </c>
      <c r="K562" t="n">
        <v>0</v>
      </c>
      <c r="L562" t="n">
        <v>0</v>
      </c>
      <c r="M562" t="n">
        <v>0</v>
      </c>
      <c r="N562" t="n">
        <v>0</v>
      </c>
      <c r="O562" t="n">
        <v>3</v>
      </c>
      <c r="P562" t="n">
        <v>0</v>
      </c>
      <c r="Q562" t="n">
        <v>3</v>
      </c>
      <c r="R562" s="2" t="inlineStr">
        <is>
          <t>Garnlav
Svart taggsvamp
Äggvaxskivling</t>
        </is>
      </c>
      <c r="S562">
        <f>HYPERLINK("https://klasma.github.io/Logging_2482/artfynd/A 5957-2026 artfynd.xlsx", "A 5957-2026")</f>
        <v/>
      </c>
      <c r="T562">
        <f>HYPERLINK("https://klasma.github.io/Logging_2482/kartor/A 5957-2026 karta.png", "A 5957-2026")</f>
        <v/>
      </c>
      <c r="U562">
        <f>HYPERLINK("https://klasma.github.io/Logging_2482/knärot/A 5957-2026 karta knärot.png", "A 5957-2026")</f>
        <v/>
      </c>
      <c r="V562">
        <f>HYPERLINK("https://klasma.github.io/Logging_2482/klagomål/A 5957-2026 FSC-klagomål.docx", "A 5957-2026")</f>
        <v/>
      </c>
      <c r="W562">
        <f>HYPERLINK("https://klasma.github.io/Logging_2482/klagomålsmail/A 5957-2026 FSC-klagomål mail.docx", "A 5957-2026")</f>
        <v/>
      </c>
      <c r="X562">
        <f>HYPERLINK("https://klasma.github.io/Logging_2482/tillsyn/A 5957-2026 tillsynsbegäran.docx", "A 5957-2026")</f>
        <v/>
      </c>
      <c r="Y562">
        <f>HYPERLINK("https://klasma.github.io/Logging_2482/tillsynsmail/A 5957-2026 tillsynsbegäran mail.docx", "A 5957-2026")</f>
        <v/>
      </c>
    </row>
    <row r="563" ht="15" customHeight="1">
      <c r="A563" t="inlineStr">
        <is>
          <t>A 55046-2024</t>
        </is>
      </c>
      <c r="B563" s="1" t="n">
        <v>45618</v>
      </c>
      <c r="C563" s="1" t="n">
        <v>46075</v>
      </c>
      <c r="D563" t="inlineStr">
        <is>
          <t>VÄSTERBOTTENS LÄN</t>
        </is>
      </c>
      <c r="E563" t="inlineStr">
        <is>
          <t>LYCKSELE</t>
        </is>
      </c>
      <c r="G563" t="n">
        <v>2.4</v>
      </c>
      <c r="H563" t="n">
        <v>1</v>
      </c>
      <c r="I563" t="n">
        <v>0</v>
      </c>
      <c r="J563" t="n">
        <v>3</v>
      </c>
      <c r="K563" t="n">
        <v>0</v>
      </c>
      <c r="L563" t="n">
        <v>0</v>
      </c>
      <c r="M563" t="n">
        <v>0</v>
      </c>
      <c r="N563" t="n">
        <v>0</v>
      </c>
      <c r="O563" t="n">
        <v>3</v>
      </c>
      <c r="P563" t="n">
        <v>0</v>
      </c>
      <c r="Q563" t="n">
        <v>3</v>
      </c>
      <c r="R563" s="2" t="inlineStr">
        <is>
          <t>Gammelgransskål
Tretåig hackspett
Vitgrynig nållav</t>
        </is>
      </c>
      <c r="S563">
        <f>HYPERLINK("https://klasma.github.io/Logging_2481/artfynd/A 55046-2024 artfynd.xlsx", "A 55046-2024")</f>
        <v/>
      </c>
      <c r="T563">
        <f>HYPERLINK("https://klasma.github.io/Logging_2481/kartor/A 55046-2024 karta.png", "A 55046-2024")</f>
        <v/>
      </c>
      <c r="V563">
        <f>HYPERLINK("https://klasma.github.io/Logging_2481/klagomål/A 55046-2024 FSC-klagomål.docx", "A 55046-2024")</f>
        <v/>
      </c>
      <c r="W563">
        <f>HYPERLINK("https://klasma.github.io/Logging_2481/klagomålsmail/A 55046-2024 FSC-klagomål mail.docx", "A 55046-2024")</f>
        <v/>
      </c>
      <c r="X563">
        <f>HYPERLINK("https://klasma.github.io/Logging_2481/tillsyn/A 55046-2024 tillsynsbegäran.docx", "A 55046-2024")</f>
        <v/>
      </c>
      <c r="Y563">
        <f>HYPERLINK("https://klasma.github.io/Logging_2481/tillsynsmail/A 55046-2024 tillsynsbegäran mail.docx", "A 55046-2024")</f>
        <v/>
      </c>
      <c r="Z563">
        <f>HYPERLINK("https://klasma.github.io/Logging_2481/fåglar/A 55046-2024 prioriterade fågelarter.docx", "A 55046-2024")</f>
        <v/>
      </c>
    </row>
    <row r="564" ht="15" customHeight="1">
      <c r="A564" t="inlineStr">
        <is>
          <t>A 29616-2023</t>
        </is>
      </c>
      <c r="B564" s="1" t="n">
        <v>45106</v>
      </c>
      <c r="C564" s="1" t="n">
        <v>46075</v>
      </c>
      <c r="D564" t="inlineStr">
        <is>
          <t>VÄSTERBOTTENS LÄN</t>
        </is>
      </c>
      <c r="E564" t="inlineStr">
        <is>
          <t>ÅSELE</t>
        </is>
      </c>
      <c r="F564" t="inlineStr">
        <is>
          <t>SCA</t>
        </is>
      </c>
      <c r="G564" t="n">
        <v>4.3</v>
      </c>
      <c r="H564" t="n">
        <v>0</v>
      </c>
      <c r="I564" t="n">
        <v>0</v>
      </c>
      <c r="J564" t="n">
        <v>3</v>
      </c>
      <c r="K564" t="n">
        <v>0</v>
      </c>
      <c r="L564" t="n">
        <v>0</v>
      </c>
      <c r="M564" t="n">
        <v>0</v>
      </c>
      <c r="N564" t="n">
        <v>0</v>
      </c>
      <c r="O564" t="n">
        <v>3</v>
      </c>
      <c r="P564" t="n">
        <v>0</v>
      </c>
      <c r="Q564" t="n">
        <v>3</v>
      </c>
      <c r="R564" s="2" t="inlineStr">
        <is>
          <t>Garnlav
Lunglav
Skrovellav</t>
        </is>
      </c>
      <c r="S564">
        <f>HYPERLINK("https://klasma.github.io/Logging_2463/artfynd/A 29616-2023 artfynd.xlsx", "A 29616-2023")</f>
        <v/>
      </c>
      <c r="T564">
        <f>HYPERLINK("https://klasma.github.io/Logging_2463/kartor/A 29616-2023 karta.png", "A 29616-2023")</f>
        <v/>
      </c>
      <c r="V564">
        <f>HYPERLINK("https://klasma.github.io/Logging_2463/klagomål/A 29616-2023 FSC-klagomål.docx", "A 29616-2023")</f>
        <v/>
      </c>
      <c r="W564">
        <f>HYPERLINK("https://klasma.github.io/Logging_2463/klagomålsmail/A 29616-2023 FSC-klagomål mail.docx", "A 29616-2023")</f>
        <v/>
      </c>
      <c r="X564">
        <f>HYPERLINK("https://klasma.github.io/Logging_2463/tillsyn/A 29616-2023 tillsynsbegäran.docx", "A 29616-2023")</f>
        <v/>
      </c>
      <c r="Y564">
        <f>HYPERLINK("https://klasma.github.io/Logging_2463/tillsynsmail/A 29616-2023 tillsynsbegäran mail.docx", "A 29616-2023")</f>
        <v/>
      </c>
    </row>
    <row r="565" ht="15" customHeight="1">
      <c r="A565" t="inlineStr">
        <is>
          <t>A 41099-2023</t>
        </is>
      </c>
      <c r="B565" s="1" t="n">
        <v>45173.68905092592</v>
      </c>
      <c r="C565" s="1" t="n">
        <v>46075</v>
      </c>
      <c r="D565" t="inlineStr">
        <is>
          <t>VÄSTERBOTTENS LÄN</t>
        </is>
      </c>
      <c r="E565" t="inlineStr">
        <is>
          <t>SKELLEFTEÅ</t>
        </is>
      </c>
      <c r="F565" t="inlineStr">
        <is>
          <t>Holmen skog AB</t>
        </is>
      </c>
      <c r="G565" t="n">
        <v>7.3</v>
      </c>
      <c r="H565" t="n">
        <v>0</v>
      </c>
      <c r="I565" t="n">
        <v>0</v>
      </c>
      <c r="J565" t="n">
        <v>3</v>
      </c>
      <c r="K565" t="n">
        <v>0</v>
      </c>
      <c r="L565" t="n">
        <v>0</v>
      </c>
      <c r="M565" t="n">
        <v>0</v>
      </c>
      <c r="N565" t="n">
        <v>0</v>
      </c>
      <c r="O565" t="n">
        <v>3</v>
      </c>
      <c r="P565" t="n">
        <v>0</v>
      </c>
      <c r="Q565" t="n">
        <v>3</v>
      </c>
      <c r="R565" s="2" t="inlineStr">
        <is>
          <t>Gammelgransskål
Garnlav
Lunglav</t>
        </is>
      </c>
      <c r="S565">
        <f>HYPERLINK("https://klasma.github.io/Logging_2482/artfynd/A 41099-2023 artfynd.xlsx", "A 41099-2023")</f>
        <v/>
      </c>
      <c r="T565">
        <f>HYPERLINK("https://klasma.github.io/Logging_2482/kartor/A 41099-2023 karta.png", "A 41099-2023")</f>
        <v/>
      </c>
      <c r="V565">
        <f>HYPERLINK("https://klasma.github.io/Logging_2482/klagomål/A 41099-2023 FSC-klagomål.docx", "A 41099-2023")</f>
        <v/>
      </c>
      <c r="W565">
        <f>HYPERLINK("https://klasma.github.io/Logging_2482/klagomålsmail/A 41099-2023 FSC-klagomål mail.docx", "A 41099-2023")</f>
        <v/>
      </c>
      <c r="X565">
        <f>HYPERLINK("https://klasma.github.io/Logging_2482/tillsyn/A 41099-2023 tillsynsbegäran.docx", "A 41099-2023")</f>
        <v/>
      </c>
      <c r="Y565">
        <f>HYPERLINK("https://klasma.github.io/Logging_2482/tillsynsmail/A 41099-2023 tillsynsbegäran mail.docx", "A 41099-2023")</f>
        <v/>
      </c>
    </row>
    <row r="566" ht="15" customHeight="1">
      <c r="A566" t="inlineStr">
        <is>
          <t>A 41646-2024</t>
        </is>
      </c>
      <c r="B566" s="1" t="n">
        <v>45560</v>
      </c>
      <c r="C566" s="1" t="n">
        <v>46075</v>
      </c>
      <c r="D566" t="inlineStr">
        <is>
          <t>VÄSTERBOTTENS LÄN</t>
        </is>
      </c>
      <c r="E566" t="inlineStr">
        <is>
          <t>VILHELMINA</t>
        </is>
      </c>
      <c r="F566" t="inlineStr">
        <is>
          <t>SCA</t>
        </is>
      </c>
      <c r="G566" t="n">
        <v>4.8</v>
      </c>
      <c r="H566" t="n">
        <v>1</v>
      </c>
      <c r="I566" t="n">
        <v>0</v>
      </c>
      <c r="J566" t="n">
        <v>3</v>
      </c>
      <c r="K566" t="n">
        <v>0</v>
      </c>
      <c r="L566" t="n">
        <v>0</v>
      </c>
      <c r="M566" t="n">
        <v>0</v>
      </c>
      <c r="N566" t="n">
        <v>0</v>
      </c>
      <c r="O566" t="n">
        <v>3</v>
      </c>
      <c r="P566" t="n">
        <v>0</v>
      </c>
      <c r="Q566" t="n">
        <v>3</v>
      </c>
      <c r="R566" s="2" t="inlineStr">
        <is>
          <t>Garnlav
Tretåig hackspett
Ullticka</t>
        </is>
      </c>
      <c r="S566">
        <f>HYPERLINK("https://klasma.github.io/Logging_2462/artfynd/A 41646-2024 artfynd.xlsx", "A 41646-2024")</f>
        <v/>
      </c>
      <c r="T566">
        <f>HYPERLINK("https://klasma.github.io/Logging_2462/kartor/A 41646-2024 karta.png", "A 41646-2024")</f>
        <v/>
      </c>
      <c r="V566">
        <f>HYPERLINK("https://klasma.github.io/Logging_2462/klagomål/A 41646-2024 FSC-klagomål.docx", "A 41646-2024")</f>
        <v/>
      </c>
      <c r="W566">
        <f>HYPERLINK("https://klasma.github.io/Logging_2462/klagomålsmail/A 41646-2024 FSC-klagomål mail.docx", "A 41646-2024")</f>
        <v/>
      </c>
      <c r="X566">
        <f>HYPERLINK("https://klasma.github.io/Logging_2462/tillsyn/A 41646-2024 tillsynsbegäran.docx", "A 41646-2024")</f>
        <v/>
      </c>
      <c r="Y566">
        <f>HYPERLINK("https://klasma.github.io/Logging_2462/tillsynsmail/A 41646-2024 tillsynsbegäran mail.docx", "A 41646-2024")</f>
        <v/>
      </c>
      <c r="Z566">
        <f>HYPERLINK("https://klasma.github.io/Logging_2462/fåglar/A 41646-2024 prioriterade fågelarter.docx", "A 41646-2024")</f>
        <v/>
      </c>
    </row>
    <row r="567" ht="15" customHeight="1">
      <c r="A567" t="inlineStr">
        <is>
          <t>A 60422-2024</t>
        </is>
      </c>
      <c r="B567" s="1" t="n">
        <v>45643.54054398148</v>
      </c>
      <c r="C567" s="1" t="n">
        <v>46075</v>
      </c>
      <c r="D567" t="inlineStr">
        <is>
          <t>VÄSTERBOTTENS LÄN</t>
        </is>
      </c>
      <c r="E567" t="inlineStr">
        <is>
          <t>LYCKSELE</t>
        </is>
      </c>
      <c r="F567" t="inlineStr">
        <is>
          <t>Sveaskog</t>
        </is>
      </c>
      <c r="G567" t="n">
        <v>12</v>
      </c>
      <c r="H567" t="n">
        <v>0</v>
      </c>
      <c r="I567" t="n">
        <v>1</v>
      </c>
      <c r="J567" t="n">
        <v>2</v>
      </c>
      <c r="K567" t="n">
        <v>0</v>
      </c>
      <c r="L567" t="n">
        <v>0</v>
      </c>
      <c r="M567" t="n">
        <v>0</v>
      </c>
      <c r="N567" t="n">
        <v>0</v>
      </c>
      <c r="O567" t="n">
        <v>2</v>
      </c>
      <c r="P567" t="n">
        <v>0</v>
      </c>
      <c r="Q567" t="n">
        <v>3</v>
      </c>
      <c r="R567" s="2" t="inlineStr">
        <is>
          <t>Kolflarnlav
Motaggsvamp
Dropptaggsvamp</t>
        </is>
      </c>
      <c r="S567">
        <f>HYPERLINK("https://klasma.github.io/Logging_2481/artfynd/A 60422-2024 artfynd.xlsx", "A 60422-2024")</f>
        <v/>
      </c>
      <c r="T567">
        <f>HYPERLINK("https://klasma.github.io/Logging_2481/kartor/A 60422-2024 karta.png", "A 60422-2024")</f>
        <v/>
      </c>
      <c r="V567">
        <f>HYPERLINK("https://klasma.github.io/Logging_2481/klagomål/A 60422-2024 FSC-klagomål.docx", "A 60422-2024")</f>
        <v/>
      </c>
      <c r="W567">
        <f>HYPERLINK("https://klasma.github.io/Logging_2481/klagomålsmail/A 60422-2024 FSC-klagomål mail.docx", "A 60422-2024")</f>
        <v/>
      </c>
      <c r="X567">
        <f>HYPERLINK("https://klasma.github.io/Logging_2481/tillsyn/A 60422-2024 tillsynsbegäran.docx", "A 60422-2024")</f>
        <v/>
      </c>
      <c r="Y567">
        <f>HYPERLINK("https://klasma.github.io/Logging_2481/tillsynsmail/A 60422-2024 tillsynsbegäran mail.docx", "A 60422-2024")</f>
        <v/>
      </c>
    </row>
    <row r="568" ht="15" customHeight="1">
      <c r="A568" t="inlineStr">
        <is>
          <t>A 7807-2026</t>
        </is>
      </c>
      <c r="B568" s="1" t="n">
        <v>46062.60943287037</v>
      </c>
      <c r="C568" s="1" t="n">
        <v>46075</v>
      </c>
      <c r="D568" t="inlineStr">
        <is>
          <t>VÄSTERBOTTENS LÄN</t>
        </is>
      </c>
      <c r="E568" t="inlineStr">
        <is>
          <t>VILHELMINA</t>
        </is>
      </c>
      <c r="G568" t="n">
        <v>9.5</v>
      </c>
      <c r="H568" t="n">
        <v>1</v>
      </c>
      <c r="I568" t="n">
        <v>0</v>
      </c>
      <c r="J568" t="n">
        <v>2</v>
      </c>
      <c r="K568" t="n">
        <v>1</v>
      </c>
      <c r="L568" t="n">
        <v>0</v>
      </c>
      <c r="M568" t="n">
        <v>0</v>
      </c>
      <c r="N568" t="n">
        <v>0</v>
      </c>
      <c r="O568" t="n">
        <v>3</v>
      </c>
      <c r="P568" t="n">
        <v>1</v>
      </c>
      <c r="Q568" t="n">
        <v>3</v>
      </c>
      <c r="R568" s="2" t="inlineStr">
        <is>
          <t>Rynkskinn
Garnlav
Videsparv</t>
        </is>
      </c>
      <c r="S568">
        <f>HYPERLINK("https://klasma.github.io/Logging_2462/artfynd/A 7807-2026 artfynd.xlsx", "A 7807-2026")</f>
        <v/>
      </c>
      <c r="T568">
        <f>HYPERLINK("https://klasma.github.io/Logging_2462/kartor/A 7807-2026 karta.png", "A 7807-2026")</f>
        <v/>
      </c>
      <c r="V568">
        <f>HYPERLINK("https://klasma.github.io/Logging_2462/klagomål/A 7807-2026 FSC-klagomål.docx", "A 7807-2026")</f>
        <v/>
      </c>
      <c r="W568">
        <f>HYPERLINK("https://klasma.github.io/Logging_2462/klagomålsmail/A 7807-2026 FSC-klagomål mail.docx", "A 7807-2026")</f>
        <v/>
      </c>
      <c r="X568">
        <f>HYPERLINK("https://klasma.github.io/Logging_2462/tillsyn/A 7807-2026 tillsynsbegäran.docx", "A 7807-2026")</f>
        <v/>
      </c>
      <c r="Y568">
        <f>HYPERLINK("https://klasma.github.io/Logging_2462/tillsynsmail/A 7807-2026 tillsynsbegäran mail.docx", "A 7807-2026")</f>
        <v/>
      </c>
      <c r="Z568">
        <f>HYPERLINK("https://klasma.github.io/Logging_2462/fåglar/A 7807-2026 prioriterade fågelarter.docx", "A 7807-2026")</f>
        <v/>
      </c>
    </row>
    <row r="569" ht="15" customHeight="1">
      <c r="A569" t="inlineStr">
        <is>
          <t>A 54319-2025</t>
        </is>
      </c>
      <c r="B569" s="1" t="n">
        <v>45965.34184027778</v>
      </c>
      <c r="C569" s="1" t="n">
        <v>46075</v>
      </c>
      <c r="D569" t="inlineStr">
        <is>
          <t>VÄSTERBOTTENS LÄN</t>
        </is>
      </c>
      <c r="E569" t="inlineStr">
        <is>
          <t>UMEÅ</t>
        </is>
      </c>
      <c r="G569" t="n">
        <v>6.6</v>
      </c>
      <c r="H569" t="n">
        <v>1</v>
      </c>
      <c r="I569" t="n">
        <v>0</v>
      </c>
      <c r="J569" t="n">
        <v>2</v>
      </c>
      <c r="K569" t="n">
        <v>1</v>
      </c>
      <c r="L569" t="n">
        <v>0</v>
      </c>
      <c r="M569" t="n">
        <v>0</v>
      </c>
      <c r="N569" t="n">
        <v>0</v>
      </c>
      <c r="O569" t="n">
        <v>3</v>
      </c>
      <c r="P569" t="n">
        <v>1</v>
      </c>
      <c r="Q569" t="n">
        <v>3</v>
      </c>
      <c r="R569" s="2" t="inlineStr">
        <is>
          <t>Knärot
Garnlav
Ullticka</t>
        </is>
      </c>
      <c r="S569">
        <f>HYPERLINK("https://klasma.github.io/Logging_2480/artfynd/A 54319-2025 artfynd.xlsx", "A 54319-2025")</f>
        <v/>
      </c>
      <c r="T569">
        <f>HYPERLINK("https://klasma.github.io/Logging_2480/kartor/A 54319-2025 karta.png", "A 54319-2025")</f>
        <v/>
      </c>
      <c r="U569">
        <f>HYPERLINK("https://klasma.github.io/Logging_2480/knärot/A 54319-2025 karta knärot.png", "A 54319-2025")</f>
        <v/>
      </c>
      <c r="V569">
        <f>HYPERLINK("https://klasma.github.io/Logging_2480/klagomål/A 54319-2025 FSC-klagomål.docx", "A 54319-2025")</f>
        <v/>
      </c>
      <c r="W569">
        <f>HYPERLINK("https://klasma.github.io/Logging_2480/klagomålsmail/A 54319-2025 FSC-klagomål mail.docx", "A 54319-2025")</f>
        <v/>
      </c>
      <c r="X569">
        <f>HYPERLINK("https://klasma.github.io/Logging_2480/tillsyn/A 54319-2025 tillsynsbegäran.docx", "A 54319-2025")</f>
        <v/>
      </c>
      <c r="Y569">
        <f>HYPERLINK("https://klasma.github.io/Logging_2480/tillsynsmail/A 54319-2025 tillsynsbegäran mail.docx", "A 54319-2025")</f>
        <v/>
      </c>
    </row>
    <row r="570" ht="15" customHeight="1">
      <c r="A570" t="inlineStr">
        <is>
          <t>A 60434-2022</t>
        </is>
      </c>
      <c r="B570" s="1" t="n">
        <v>44911</v>
      </c>
      <c r="C570" s="1" t="n">
        <v>46075</v>
      </c>
      <c r="D570" t="inlineStr">
        <is>
          <t>VÄSTERBOTTENS LÄN</t>
        </is>
      </c>
      <c r="E570" t="inlineStr">
        <is>
          <t>VINDELN</t>
        </is>
      </c>
      <c r="F570" t="inlineStr">
        <is>
          <t>Sveaskog</t>
        </is>
      </c>
      <c r="G570" t="n">
        <v>5.5</v>
      </c>
      <c r="H570" t="n">
        <v>0</v>
      </c>
      <c r="I570" t="n">
        <v>1</v>
      </c>
      <c r="J570" t="n">
        <v>2</v>
      </c>
      <c r="K570" t="n">
        <v>0</v>
      </c>
      <c r="L570" t="n">
        <v>0</v>
      </c>
      <c r="M570" t="n">
        <v>0</v>
      </c>
      <c r="N570" t="n">
        <v>0</v>
      </c>
      <c r="O570" t="n">
        <v>2</v>
      </c>
      <c r="P570" t="n">
        <v>0</v>
      </c>
      <c r="Q570" t="n">
        <v>3</v>
      </c>
      <c r="R570" s="2" t="inlineStr">
        <is>
          <t>Gammelgransskål
Granticka
Luddlav</t>
        </is>
      </c>
      <c r="S570">
        <f>HYPERLINK("https://klasma.github.io/Logging_2404/artfynd/A 60434-2022 artfynd.xlsx", "A 60434-2022")</f>
        <v/>
      </c>
      <c r="T570">
        <f>HYPERLINK("https://klasma.github.io/Logging_2404/kartor/A 60434-2022 karta.png", "A 60434-2022")</f>
        <v/>
      </c>
      <c r="V570">
        <f>HYPERLINK("https://klasma.github.io/Logging_2404/klagomål/A 60434-2022 FSC-klagomål.docx", "A 60434-2022")</f>
        <v/>
      </c>
      <c r="W570">
        <f>HYPERLINK("https://klasma.github.io/Logging_2404/klagomålsmail/A 60434-2022 FSC-klagomål mail.docx", "A 60434-2022")</f>
        <v/>
      </c>
      <c r="X570">
        <f>HYPERLINK("https://klasma.github.io/Logging_2404/tillsyn/A 60434-2022 tillsynsbegäran.docx", "A 60434-2022")</f>
        <v/>
      </c>
      <c r="Y570">
        <f>HYPERLINK("https://klasma.github.io/Logging_2404/tillsynsmail/A 60434-2022 tillsynsbegäran mail.docx", "A 60434-2022")</f>
        <v/>
      </c>
    </row>
    <row r="571" ht="15" customHeight="1">
      <c r="A571" t="inlineStr">
        <is>
          <t>A 28826-2024</t>
        </is>
      </c>
      <c r="B571" s="1" t="n">
        <v>45478</v>
      </c>
      <c r="C571" s="1" t="n">
        <v>46075</v>
      </c>
      <c r="D571" t="inlineStr">
        <is>
          <t>VÄSTERBOTTENS LÄN</t>
        </is>
      </c>
      <c r="E571" t="inlineStr">
        <is>
          <t>VINDELN</t>
        </is>
      </c>
      <c r="F571" t="inlineStr">
        <is>
          <t>Holmen skog AB</t>
        </is>
      </c>
      <c r="G571" t="n">
        <v>4</v>
      </c>
      <c r="H571" t="n">
        <v>1</v>
      </c>
      <c r="I571" t="n">
        <v>1</v>
      </c>
      <c r="J571" t="n">
        <v>2</v>
      </c>
      <c r="K571" t="n">
        <v>0</v>
      </c>
      <c r="L571" t="n">
        <v>0</v>
      </c>
      <c r="M571" t="n">
        <v>0</v>
      </c>
      <c r="N571" t="n">
        <v>0</v>
      </c>
      <c r="O571" t="n">
        <v>2</v>
      </c>
      <c r="P571" t="n">
        <v>0</v>
      </c>
      <c r="Q571" t="n">
        <v>3</v>
      </c>
      <c r="R571" s="2" t="inlineStr">
        <is>
          <t>Granticka
Spillkråka
Vedticka</t>
        </is>
      </c>
      <c r="S571">
        <f>HYPERLINK("https://klasma.github.io/Logging_2404/artfynd/A 28826-2024 artfynd.xlsx", "A 28826-2024")</f>
        <v/>
      </c>
      <c r="T571">
        <f>HYPERLINK("https://klasma.github.io/Logging_2404/kartor/A 28826-2024 karta.png", "A 28826-2024")</f>
        <v/>
      </c>
      <c r="U571">
        <f>HYPERLINK("https://klasma.github.io/Logging_2404/knärot/A 28826-2024 karta knärot.png", "A 28826-2024")</f>
        <v/>
      </c>
      <c r="V571">
        <f>HYPERLINK("https://klasma.github.io/Logging_2404/klagomål/A 28826-2024 FSC-klagomål.docx", "A 28826-2024")</f>
        <v/>
      </c>
      <c r="W571">
        <f>HYPERLINK("https://klasma.github.io/Logging_2404/klagomålsmail/A 28826-2024 FSC-klagomål mail.docx", "A 28826-2024")</f>
        <v/>
      </c>
      <c r="X571">
        <f>HYPERLINK("https://klasma.github.io/Logging_2404/tillsyn/A 28826-2024 tillsynsbegäran.docx", "A 28826-2024")</f>
        <v/>
      </c>
      <c r="Y571">
        <f>HYPERLINK("https://klasma.github.io/Logging_2404/tillsynsmail/A 28826-2024 tillsynsbegäran mail.docx", "A 28826-2024")</f>
        <v/>
      </c>
      <c r="Z571">
        <f>HYPERLINK("https://klasma.github.io/Logging_2404/fåglar/A 28826-2024 prioriterade fågelarter.docx", "A 28826-2024")</f>
        <v/>
      </c>
    </row>
    <row r="572" ht="15" customHeight="1">
      <c r="A572" t="inlineStr">
        <is>
          <t>A 28708-2024</t>
        </is>
      </c>
      <c r="B572" s="1" t="n">
        <v>45478</v>
      </c>
      <c r="C572" s="1" t="n">
        <v>46075</v>
      </c>
      <c r="D572" t="inlineStr">
        <is>
          <t>VÄSTERBOTTENS LÄN</t>
        </is>
      </c>
      <c r="E572" t="inlineStr">
        <is>
          <t>VINDELN</t>
        </is>
      </c>
      <c r="F572" t="inlineStr">
        <is>
          <t>Holmen skog AB</t>
        </is>
      </c>
      <c r="G572" t="n">
        <v>2</v>
      </c>
      <c r="H572" t="n">
        <v>1</v>
      </c>
      <c r="I572" t="n">
        <v>0</v>
      </c>
      <c r="J572" t="n">
        <v>3</v>
      </c>
      <c r="K572" t="n">
        <v>0</v>
      </c>
      <c r="L572" t="n">
        <v>0</v>
      </c>
      <c r="M572" t="n">
        <v>0</v>
      </c>
      <c r="N572" t="n">
        <v>0</v>
      </c>
      <c r="O572" t="n">
        <v>3</v>
      </c>
      <c r="P572" t="n">
        <v>0</v>
      </c>
      <c r="Q572" t="n">
        <v>3</v>
      </c>
      <c r="R572" s="2" t="inlineStr">
        <is>
          <t>Garnlav
Tretåig hackspett
Ullticka</t>
        </is>
      </c>
      <c r="S572">
        <f>HYPERLINK("https://klasma.github.io/Logging_2404/artfynd/A 28708-2024 artfynd.xlsx", "A 28708-2024")</f>
        <v/>
      </c>
      <c r="T572">
        <f>HYPERLINK("https://klasma.github.io/Logging_2404/kartor/A 28708-2024 karta.png", "A 28708-2024")</f>
        <v/>
      </c>
      <c r="V572">
        <f>HYPERLINK("https://klasma.github.io/Logging_2404/klagomål/A 28708-2024 FSC-klagomål.docx", "A 28708-2024")</f>
        <v/>
      </c>
      <c r="W572">
        <f>HYPERLINK("https://klasma.github.io/Logging_2404/klagomålsmail/A 28708-2024 FSC-klagomål mail.docx", "A 28708-2024")</f>
        <v/>
      </c>
      <c r="X572">
        <f>HYPERLINK("https://klasma.github.io/Logging_2404/tillsyn/A 28708-2024 tillsynsbegäran.docx", "A 28708-2024")</f>
        <v/>
      </c>
      <c r="Y572">
        <f>HYPERLINK("https://klasma.github.io/Logging_2404/tillsynsmail/A 28708-2024 tillsynsbegäran mail.docx", "A 28708-2024")</f>
        <v/>
      </c>
      <c r="Z572">
        <f>HYPERLINK("https://klasma.github.io/Logging_2404/fåglar/A 28708-2024 prioriterade fågelarter.docx", "A 28708-2024")</f>
        <v/>
      </c>
    </row>
    <row r="573" ht="15" customHeight="1">
      <c r="A573" t="inlineStr">
        <is>
          <t>A 57802-2023</t>
        </is>
      </c>
      <c r="B573" s="1" t="n">
        <v>45246</v>
      </c>
      <c r="C573" s="1" t="n">
        <v>46075</v>
      </c>
      <c r="D573" t="inlineStr">
        <is>
          <t>VÄSTERBOTTENS LÄN</t>
        </is>
      </c>
      <c r="E573" t="inlineStr">
        <is>
          <t>BJURHOLM</t>
        </is>
      </c>
      <c r="F573" t="inlineStr">
        <is>
          <t>SCA</t>
        </is>
      </c>
      <c r="G573" t="n">
        <v>14</v>
      </c>
      <c r="H573" t="n">
        <v>1</v>
      </c>
      <c r="I573" t="n">
        <v>0</v>
      </c>
      <c r="J573" t="n">
        <v>2</v>
      </c>
      <c r="K573" t="n">
        <v>0</v>
      </c>
      <c r="L573" t="n">
        <v>0</v>
      </c>
      <c r="M573" t="n">
        <v>0</v>
      </c>
      <c r="N573" t="n">
        <v>0</v>
      </c>
      <c r="O573" t="n">
        <v>2</v>
      </c>
      <c r="P573" t="n">
        <v>0</v>
      </c>
      <c r="Q573" t="n">
        <v>3</v>
      </c>
      <c r="R573" s="2" t="inlineStr">
        <is>
          <t>Dvärgbägarlav
Granticka
Fläcknycklar</t>
        </is>
      </c>
      <c r="S573">
        <f>HYPERLINK("https://klasma.github.io/Logging_2403/artfynd/A 57802-2023 artfynd.xlsx", "A 57802-2023")</f>
        <v/>
      </c>
      <c r="T573">
        <f>HYPERLINK("https://klasma.github.io/Logging_2403/kartor/A 57802-2023 karta.png", "A 57802-2023")</f>
        <v/>
      </c>
      <c r="V573">
        <f>HYPERLINK("https://klasma.github.io/Logging_2403/klagomål/A 57802-2023 FSC-klagomål.docx", "A 57802-2023")</f>
        <v/>
      </c>
      <c r="W573">
        <f>HYPERLINK("https://klasma.github.io/Logging_2403/klagomålsmail/A 57802-2023 FSC-klagomål mail.docx", "A 57802-2023")</f>
        <v/>
      </c>
      <c r="X573">
        <f>HYPERLINK("https://klasma.github.io/Logging_2403/tillsyn/A 57802-2023 tillsynsbegäran.docx", "A 57802-2023")</f>
        <v/>
      </c>
      <c r="Y573">
        <f>HYPERLINK("https://klasma.github.io/Logging_2403/tillsynsmail/A 57802-2023 tillsynsbegäran mail.docx", "A 57802-2023")</f>
        <v/>
      </c>
    </row>
    <row r="574" ht="15" customHeight="1">
      <c r="A574" t="inlineStr">
        <is>
          <t>A 37889-2023</t>
        </is>
      </c>
      <c r="B574" s="1" t="n">
        <v>45160</v>
      </c>
      <c r="C574" s="1" t="n">
        <v>46075</v>
      </c>
      <c r="D574" t="inlineStr">
        <is>
          <t>VÄSTERBOTTENS LÄN</t>
        </is>
      </c>
      <c r="E574" t="inlineStr">
        <is>
          <t>UMEÅ</t>
        </is>
      </c>
      <c r="F574" t="inlineStr">
        <is>
          <t>Holmen skog AB</t>
        </is>
      </c>
      <c r="G574" t="n">
        <v>1.7</v>
      </c>
      <c r="H574" t="n">
        <v>0</v>
      </c>
      <c r="I574" t="n">
        <v>1</v>
      </c>
      <c r="J574" t="n">
        <v>2</v>
      </c>
      <c r="K574" t="n">
        <v>0</v>
      </c>
      <c r="L574" t="n">
        <v>0</v>
      </c>
      <c r="M574" t="n">
        <v>0</v>
      </c>
      <c r="N574" t="n">
        <v>0</v>
      </c>
      <c r="O574" t="n">
        <v>2</v>
      </c>
      <c r="P574" t="n">
        <v>0</v>
      </c>
      <c r="Q574" t="n">
        <v>3</v>
      </c>
      <c r="R574" s="2" t="inlineStr">
        <is>
          <t>Kolflarnlav
Motaggsvamp
Dropptaggsvamp</t>
        </is>
      </c>
      <c r="S574">
        <f>HYPERLINK("https://klasma.github.io/Logging_2480/artfynd/A 37889-2023 artfynd.xlsx", "A 37889-2023")</f>
        <v/>
      </c>
      <c r="T574">
        <f>HYPERLINK("https://klasma.github.io/Logging_2480/kartor/A 37889-2023 karta.png", "A 37889-2023")</f>
        <v/>
      </c>
      <c r="V574">
        <f>HYPERLINK("https://klasma.github.io/Logging_2480/klagomål/A 37889-2023 FSC-klagomål.docx", "A 37889-2023")</f>
        <v/>
      </c>
      <c r="W574">
        <f>HYPERLINK("https://klasma.github.io/Logging_2480/klagomålsmail/A 37889-2023 FSC-klagomål mail.docx", "A 37889-2023")</f>
        <v/>
      </c>
      <c r="X574">
        <f>HYPERLINK("https://klasma.github.io/Logging_2480/tillsyn/A 37889-2023 tillsynsbegäran.docx", "A 37889-2023")</f>
        <v/>
      </c>
      <c r="Y574">
        <f>HYPERLINK("https://klasma.github.io/Logging_2480/tillsynsmail/A 37889-2023 tillsynsbegäran mail.docx", "A 37889-2023")</f>
        <v/>
      </c>
    </row>
    <row r="575" ht="15" customHeight="1">
      <c r="A575" t="inlineStr">
        <is>
          <t>A 60880-2023</t>
        </is>
      </c>
      <c r="B575" s="1" t="n">
        <v>45259</v>
      </c>
      <c r="C575" s="1" t="n">
        <v>46075</v>
      </c>
      <c r="D575" t="inlineStr">
        <is>
          <t>VÄSTERBOTTENS LÄN</t>
        </is>
      </c>
      <c r="E575" t="inlineStr">
        <is>
          <t>STORUMAN</t>
        </is>
      </c>
      <c r="G575" t="n">
        <v>2.2</v>
      </c>
      <c r="H575" t="n">
        <v>3</v>
      </c>
      <c r="I575" t="n">
        <v>0</v>
      </c>
      <c r="J575" t="n">
        <v>2</v>
      </c>
      <c r="K575" t="n">
        <v>1</v>
      </c>
      <c r="L575" t="n">
        <v>0</v>
      </c>
      <c r="M575" t="n">
        <v>0</v>
      </c>
      <c r="N575" t="n">
        <v>0</v>
      </c>
      <c r="O575" t="n">
        <v>3</v>
      </c>
      <c r="P575" t="n">
        <v>1</v>
      </c>
      <c r="Q575" t="n">
        <v>3</v>
      </c>
      <c r="R575" s="2" t="inlineStr">
        <is>
          <t>Knärot
Spillkråka
Tretåig hackspett</t>
        </is>
      </c>
      <c r="S575">
        <f>HYPERLINK("https://klasma.github.io/Logging_2421/artfynd/A 60880-2023 artfynd.xlsx", "A 60880-2023")</f>
        <v/>
      </c>
      <c r="T575">
        <f>HYPERLINK("https://klasma.github.io/Logging_2421/kartor/A 60880-2023 karta.png", "A 60880-2023")</f>
        <v/>
      </c>
      <c r="U575">
        <f>HYPERLINK("https://klasma.github.io/Logging_2421/knärot/A 60880-2023 karta knärot.png", "A 60880-2023")</f>
        <v/>
      </c>
      <c r="V575">
        <f>HYPERLINK("https://klasma.github.io/Logging_2421/klagomål/A 60880-2023 FSC-klagomål.docx", "A 60880-2023")</f>
        <v/>
      </c>
      <c r="W575">
        <f>HYPERLINK("https://klasma.github.io/Logging_2421/klagomålsmail/A 60880-2023 FSC-klagomål mail.docx", "A 60880-2023")</f>
        <v/>
      </c>
      <c r="X575">
        <f>HYPERLINK("https://klasma.github.io/Logging_2421/tillsyn/A 60880-2023 tillsynsbegäran.docx", "A 60880-2023")</f>
        <v/>
      </c>
      <c r="Y575">
        <f>HYPERLINK("https://klasma.github.io/Logging_2421/tillsynsmail/A 60880-2023 tillsynsbegäran mail.docx", "A 60880-2023")</f>
        <v/>
      </c>
      <c r="Z575">
        <f>HYPERLINK("https://klasma.github.io/Logging_2421/fåglar/A 60880-2023 prioriterade fågelarter.docx", "A 60880-2023")</f>
        <v/>
      </c>
    </row>
    <row r="576" ht="15" customHeight="1">
      <c r="A576" t="inlineStr">
        <is>
          <t>A 251-2026</t>
        </is>
      </c>
      <c r="B576" s="1" t="n">
        <v>46027.41774305556</v>
      </c>
      <c r="C576" s="1" t="n">
        <v>46075</v>
      </c>
      <c r="D576" t="inlineStr">
        <is>
          <t>VÄSTERBOTTENS LÄN</t>
        </is>
      </c>
      <c r="E576" t="inlineStr">
        <is>
          <t>UMEÅ</t>
        </is>
      </c>
      <c r="G576" t="n">
        <v>2.5</v>
      </c>
      <c r="H576" t="n">
        <v>1</v>
      </c>
      <c r="I576" t="n">
        <v>0</v>
      </c>
      <c r="J576" t="n">
        <v>3</v>
      </c>
      <c r="K576" t="n">
        <v>0</v>
      </c>
      <c r="L576" t="n">
        <v>0</v>
      </c>
      <c r="M576" t="n">
        <v>0</v>
      </c>
      <c r="N576" t="n">
        <v>0</v>
      </c>
      <c r="O576" t="n">
        <v>3</v>
      </c>
      <c r="P576" t="n">
        <v>0</v>
      </c>
      <c r="Q576" t="n">
        <v>3</v>
      </c>
      <c r="R576" s="2" t="inlineStr">
        <is>
          <t>Garnlav
Granticka
Tretåig hackspett</t>
        </is>
      </c>
      <c r="S576">
        <f>HYPERLINK("https://klasma.github.io/Logging_2480/artfynd/A 251-2026 artfynd.xlsx", "A 251-2026")</f>
        <v/>
      </c>
      <c r="T576">
        <f>HYPERLINK("https://klasma.github.io/Logging_2480/kartor/A 251-2026 karta.png", "A 251-2026")</f>
        <v/>
      </c>
      <c r="V576">
        <f>HYPERLINK("https://klasma.github.io/Logging_2480/klagomål/A 251-2026 FSC-klagomål.docx", "A 251-2026")</f>
        <v/>
      </c>
      <c r="W576">
        <f>HYPERLINK("https://klasma.github.io/Logging_2480/klagomålsmail/A 251-2026 FSC-klagomål mail.docx", "A 251-2026")</f>
        <v/>
      </c>
      <c r="X576">
        <f>HYPERLINK("https://klasma.github.io/Logging_2480/tillsyn/A 251-2026 tillsynsbegäran.docx", "A 251-2026")</f>
        <v/>
      </c>
      <c r="Y576">
        <f>HYPERLINK("https://klasma.github.io/Logging_2480/tillsynsmail/A 251-2026 tillsynsbegäran mail.docx", "A 251-2026")</f>
        <v/>
      </c>
      <c r="Z576">
        <f>HYPERLINK("https://klasma.github.io/Logging_2480/fåglar/A 251-2026 prioriterade fågelarter.docx", "A 251-2026")</f>
        <v/>
      </c>
    </row>
    <row r="577" ht="15" customHeight="1">
      <c r="A577" t="inlineStr">
        <is>
          <t>A 258-2026</t>
        </is>
      </c>
      <c r="B577" s="1" t="n">
        <v>46027.43534722222</v>
      </c>
      <c r="C577" s="1" t="n">
        <v>46075</v>
      </c>
      <c r="D577" t="inlineStr">
        <is>
          <t>VÄSTERBOTTENS LÄN</t>
        </is>
      </c>
      <c r="E577" t="inlineStr">
        <is>
          <t>UMEÅ</t>
        </is>
      </c>
      <c r="G577" t="n">
        <v>3.2</v>
      </c>
      <c r="H577" t="n">
        <v>2</v>
      </c>
      <c r="I577" t="n">
        <v>0</v>
      </c>
      <c r="J577" t="n">
        <v>3</v>
      </c>
      <c r="K577" t="n">
        <v>0</v>
      </c>
      <c r="L577" t="n">
        <v>0</v>
      </c>
      <c r="M577" t="n">
        <v>0</v>
      </c>
      <c r="N577" t="n">
        <v>0</v>
      </c>
      <c r="O577" t="n">
        <v>3</v>
      </c>
      <c r="P577" t="n">
        <v>0</v>
      </c>
      <c r="Q577" t="n">
        <v>3</v>
      </c>
      <c r="R577" s="2" t="inlineStr">
        <is>
          <t>Granticka
Talltita
Tretåig hackspett</t>
        </is>
      </c>
      <c r="S577">
        <f>HYPERLINK("https://klasma.github.io/Logging_2480/artfynd/A 258-2026 artfynd.xlsx", "A 258-2026")</f>
        <v/>
      </c>
      <c r="T577">
        <f>HYPERLINK("https://klasma.github.io/Logging_2480/kartor/A 258-2026 karta.png", "A 258-2026")</f>
        <v/>
      </c>
      <c r="V577">
        <f>HYPERLINK("https://klasma.github.io/Logging_2480/klagomål/A 258-2026 FSC-klagomål.docx", "A 258-2026")</f>
        <v/>
      </c>
      <c r="W577">
        <f>HYPERLINK("https://klasma.github.io/Logging_2480/klagomålsmail/A 258-2026 FSC-klagomål mail.docx", "A 258-2026")</f>
        <v/>
      </c>
      <c r="X577">
        <f>HYPERLINK("https://klasma.github.io/Logging_2480/tillsyn/A 258-2026 tillsynsbegäran.docx", "A 258-2026")</f>
        <v/>
      </c>
      <c r="Y577">
        <f>HYPERLINK("https://klasma.github.io/Logging_2480/tillsynsmail/A 258-2026 tillsynsbegäran mail.docx", "A 258-2026")</f>
        <v/>
      </c>
      <c r="Z577">
        <f>HYPERLINK("https://klasma.github.io/Logging_2480/fåglar/A 258-2026 prioriterade fågelarter.docx", "A 258-2026")</f>
        <v/>
      </c>
    </row>
    <row r="578" ht="15" customHeight="1">
      <c r="A578" t="inlineStr">
        <is>
          <t>A 38123-2024</t>
        </is>
      </c>
      <c r="B578" s="1" t="n">
        <v>45545</v>
      </c>
      <c r="C578" s="1" t="n">
        <v>46075</v>
      </c>
      <c r="D578" t="inlineStr">
        <is>
          <t>VÄSTERBOTTENS LÄN</t>
        </is>
      </c>
      <c r="E578" t="inlineStr">
        <is>
          <t>VILHELMINA</t>
        </is>
      </c>
      <c r="F578" t="inlineStr">
        <is>
          <t>SCA</t>
        </is>
      </c>
      <c r="G578" t="n">
        <v>4.8</v>
      </c>
      <c r="H578" t="n">
        <v>2</v>
      </c>
      <c r="I578" t="n">
        <v>0</v>
      </c>
      <c r="J578" t="n">
        <v>3</v>
      </c>
      <c r="K578" t="n">
        <v>0</v>
      </c>
      <c r="L578" t="n">
        <v>0</v>
      </c>
      <c r="M578" t="n">
        <v>0</v>
      </c>
      <c r="N578" t="n">
        <v>0</v>
      </c>
      <c r="O578" t="n">
        <v>3</v>
      </c>
      <c r="P578" t="n">
        <v>0</v>
      </c>
      <c r="Q578" t="n">
        <v>3</v>
      </c>
      <c r="R578" s="2" t="inlineStr">
        <is>
          <t>Garnlav
Spillkråka
Tretåig hackspett</t>
        </is>
      </c>
      <c r="S578">
        <f>HYPERLINK("https://klasma.github.io/Logging_2462/artfynd/A 38123-2024 artfynd.xlsx", "A 38123-2024")</f>
        <v/>
      </c>
      <c r="T578">
        <f>HYPERLINK("https://klasma.github.io/Logging_2462/kartor/A 38123-2024 karta.png", "A 38123-2024")</f>
        <v/>
      </c>
      <c r="V578">
        <f>HYPERLINK("https://klasma.github.io/Logging_2462/klagomål/A 38123-2024 FSC-klagomål.docx", "A 38123-2024")</f>
        <v/>
      </c>
      <c r="W578">
        <f>HYPERLINK("https://klasma.github.io/Logging_2462/klagomålsmail/A 38123-2024 FSC-klagomål mail.docx", "A 38123-2024")</f>
        <v/>
      </c>
      <c r="X578">
        <f>HYPERLINK("https://klasma.github.io/Logging_2462/tillsyn/A 38123-2024 tillsynsbegäran.docx", "A 38123-2024")</f>
        <v/>
      </c>
      <c r="Y578">
        <f>HYPERLINK("https://klasma.github.io/Logging_2462/tillsynsmail/A 38123-2024 tillsynsbegäran mail.docx", "A 38123-2024")</f>
        <v/>
      </c>
      <c r="Z578">
        <f>HYPERLINK("https://klasma.github.io/Logging_2462/fåglar/A 38123-2024 prioriterade fågelarter.docx", "A 38123-2024")</f>
        <v/>
      </c>
    </row>
    <row r="579" ht="15" customHeight="1">
      <c r="A579" t="inlineStr">
        <is>
          <t>A 47496-2023</t>
        </is>
      </c>
      <c r="B579" s="1" t="n">
        <v>45202</v>
      </c>
      <c r="C579" s="1" t="n">
        <v>46075</v>
      </c>
      <c r="D579" t="inlineStr">
        <is>
          <t>VÄSTERBOTTENS LÄN</t>
        </is>
      </c>
      <c r="E579" t="inlineStr">
        <is>
          <t>DOROTEA</t>
        </is>
      </c>
      <c r="F579" t="inlineStr">
        <is>
          <t>SCA</t>
        </is>
      </c>
      <c r="G579" t="n">
        <v>7.4</v>
      </c>
      <c r="H579" t="n">
        <v>1</v>
      </c>
      <c r="I579" t="n">
        <v>0</v>
      </c>
      <c r="J579" t="n">
        <v>2</v>
      </c>
      <c r="K579" t="n">
        <v>1</v>
      </c>
      <c r="L579" t="n">
        <v>0</v>
      </c>
      <c r="M579" t="n">
        <v>0</v>
      </c>
      <c r="N579" t="n">
        <v>0</v>
      </c>
      <c r="O579" t="n">
        <v>3</v>
      </c>
      <c r="P579" t="n">
        <v>1</v>
      </c>
      <c r="Q579" t="n">
        <v>3</v>
      </c>
      <c r="R579" s="2" t="inlineStr">
        <is>
          <t>Aspgelélav
Gammelgransskål
Tretåig hackspett</t>
        </is>
      </c>
      <c r="S579">
        <f>HYPERLINK("https://klasma.github.io/Logging_2425/artfynd/A 47496-2023 artfynd.xlsx", "A 47496-2023")</f>
        <v/>
      </c>
      <c r="T579">
        <f>HYPERLINK("https://klasma.github.io/Logging_2425/kartor/A 47496-2023 karta.png", "A 47496-2023")</f>
        <v/>
      </c>
      <c r="V579">
        <f>HYPERLINK("https://klasma.github.io/Logging_2425/klagomål/A 47496-2023 FSC-klagomål.docx", "A 47496-2023")</f>
        <v/>
      </c>
      <c r="W579">
        <f>HYPERLINK("https://klasma.github.io/Logging_2425/klagomålsmail/A 47496-2023 FSC-klagomål mail.docx", "A 47496-2023")</f>
        <v/>
      </c>
      <c r="X579">
        <f>HYPERLINK("https://klasma.github.io/Logging_2425/tillsyn/A 47496-2023 tillsynsbegäran.docx", "A 47496-2023")</f>
        <v/>
      </c>
      <c r="Y579">
        <f>HYPERLINK("https://klasma.github.io/Logging_2425/tillsynsmail/A 47496-2023 tillsynsbegäran mail.docx", "A 47496-2023")</f>
        <v/>
      </c>
      <c r="Z579">
        <f>HYPERLINK("https://klasma.github.io/Logging_2425/fåglar/A 47496-2023 prioriterade fågelarter.docx", "A 47496-2023")</f>
        <v/>
      </c>
    </row>
    <row r="580" ht="15" customHeight="1">
      <c r="A580" t="inlineStr">
        <is>
          <t>A 1408-2026</t>
        </is>
      </c>
      <c r="B580" s="1" t="n">
        <v>46031.65877314815</v>
      </c>
      <c r="C580" s="1" t="n">
        <v>46075</v>
      </c>
      <c r="D580" t="inlineStr">
        <is>
          <t>VÄSTERBOTTENS LÄN</t>
        </is>
      </c>
      <c r="E580" t="inlineStr">
        <is>
          <t>VÄNNÄS</t>
        </is>
      </c>
      <c r="G580" t="n">
        <v>5.4</v>
      </c>
      <c r="H580" t="n">
        <v>0</v>
      </c>
      <c r="I580" t="n">
        <v>0</v>
      </c>
      <c r="J580" t="n">
        <v>3</v>
      </c>
      <c r="K580" t="n">
        <v>0</v>
      </c>
      <c r="L580" t="n">
        <v>0</v>
      </c>
      <c r="M580" t="n">
        <v>0</v>
      </c>
      <c r="N580" t="n">
        <v>0</v>
      </c>
      <c r="O580" t="n">
        <v>3</v>
      </c>
      <c r="P580" t="n">
        <v>0</v>
      </c>
      <c r="Q580" t="n">
        <v>3</v>
      </c>
      <c r="R580" s="2" t="inlineStr">
        <is>
          <t>Blå taggsvamp
Garnlav
Violettgrå tagellav</t>
        </is>
      </c>
      <c r="S580">
        <f>HYPERLINK("https://klasma.github.io/Logging_2460/artfynd/A 1408-2026 artfynd.xlsx", "A 1408-2026")</f>
        <v/>
      </c>
      <c r="T580">
        <f>HYPERLINK("https://klasma.github.io/Logging_2460/kartor/A 1408-2026 karta.png", "A 1408-2026")</f>
        <v/>
      </c>
      <c r="V580">
        <f>HYPERLINK("https://klasma.github.io/Logging_2460/klagomål/A 1408-2026 FSC-klagomål.docx", "A 1408-2026")</f>
        <v/>
      </c>
      <c r="W580">
        <f>HYPERLINK("https://klasma.github.io/Logging_2460/klagomålsmail/A 1408-2026 FSC-klagomål mail.docx", "A 1408-2026")</f>
        <v/>
      </c>
      <c r="X580">
        <f>HYPERLINK("https://klasma.github.io/Logging_2460/tillsyn/A 1408-2026 tillsynsbegäran.docx", "A 1408-2026")</f>
        <v/>
      </c>
      <c r="Y580">
        <f>HYPERLINK("https://klasma.github.io/Logging_2460/tillsynsmail/A 1408-2026 tillsynsbegäran mail.docx", "A 1408-2026")</f>
        <v/>
      </c>
    </row>
    <row r="581" ht="15" customHeight="1">
      <c r="A581" t="inlineStr">
        <is>
          <t>A 52738-2023</t>
        </is>
      </c>
      <c r="B581" s="1" t="n">
        <v>45225</v>
      </c>
      <c r="C581" s="1" t="n">
        <v>46075</v>
      </c>
      <c r="D581" t="inlineStr">
        <is>
          <t>VÄSTERBOTTENS LÄN</t>
        </is>
      </c>
      <c r="E581" t="inlineStr">
        <is>
          <t>DOROTEA</t>
        </is>
      </c>
      <c r="F581" t="inlineStr">
        <is>
          <t>SCA</t>
        </is>
      </c>
      <c r="G581" t="n">
        <v>8.800000000000001</v>
      </c>
      <c r="H581" t="n">
        <v>2</v>
      </c>
      <c r="I581" t="n">
        <v>1</v>
      </c>
      <c r="J581" t="n">
        <v>0</v>
      </c>
      <c r="K581" t="n">
        <v>1</v>
      </c>
      <c r="L581" t="n">
        <v>0</v>
      </c>
      <c r="M581" t="n">
        <v>0</v>
      </c>
      <c r="N581" t="n">
        <v>0</v>
      </c>
      <c r="O581" t="n">
        <v>1</v>
      </c>
      <c r="P581" t="n">
        <v>1</v>
      </c>
      <c r="Q581" t="n">
        <v>3</v>
      </c>
      <c r="R581" s="2" t="inlineStr">
        <is>
          <t>Doftticka
Trådticka
Tjäder</t>
        </is>
      </c>
      <c r="S581">
        <f>HYPERLINK("https://klasma.github.io/Logging_2425/artfynd/A 52738-2023 artfynd.xlsx", "A 52738-2023")</f>
        <v/>
      </c>
      <c r="T581">
        <f>HYPERLINK("https://klasma.github.io/Logging_2425/kartor/A 52738-2023 karta.png", "A 52738-2023")</f>
        <v/>
      </c>
      <c r="V581">
        <f>HYPERLINK("https://klasma.github.io/Logging_2425/klagomål/A 52738-2023 FSC-klagomål.docx", "A 52738-2023")</f>
        <v/>
      </c>
      <c r="W581">
        <f>HYPERLINK("https://klasma.github.io/Logging_2425/klagomålsmail/A 52738-2023 FSC-klagomål mail.docx", "A 52738-2023")</f>
        <v/>
      </c>
      <c r="X581">
        <f>HYPERLINK("https://klasma.github.io/Logging_2425/tillsyn/A 52738-2023 tillsynsbegäran.docx", "A 52738-2023")</f>
        <v/>
      </c>
      <c r="Y581">
        <f>HYPERLINK("https://klasma.github.io/Logging_2425/tillsynsmail/A 52738-2023 tillsynsbegäran mail.docx", "A 52738-2023")</f>
        <v/>
      </c>
      <c r="Z581">
        <f>HYPERLINK("https://klasma.github.io/Logging_2425/fåglar/A 52738-2023 prioriterade fågelarter.docx", "A 52738-2023")</f>
        <v/>
      </c>
    </row>
    <row r="582" ht="15" customHeight="1">
      <c r="A582" t="inlineStr">
        <is>
          <t>A 44074-2023</t>
        </is>
      </c>
      <c r="B582" s="1" t="n">
        <v>45188</v>
      </c>
      <c r="C582" s="1" t="n">
        <v>46075</v>
      </c>
      <c r="D582" t="inlineStr">
        <is>
          <t>VÄSTERBOTTENS LÄN</t>
        </is>
      </c>
      <c r="E582" t="inlineStr">
        <is>
          <t>STORUMAN</t>
        </is>
      </c>
      <c r="G582" t="n">
        <v>5.3</v>
      </c>
      <c r="H582" t="n">
        <v>0</v>
      </c>
      <c r="I582" t="n">
        <v>3</v>
      </c>
      <c r="J582" t="n">
        <v>0</v>
      </c>
      <c r="K582" t="n">
        <v>0</v>
      </c>
      <c r="L582" t="n">
        <v>0</v>
      </c>
      <c r="M582" t="n">
        <v>0</v>
      </c>
      <c r="N582" t="n">
        <v>0</v>
      </c>
      <c r="O582" t="n">
        <v>0</v>
      </c>
      <c r="P582" t="n">
        <v>0</v>
      </c>
      <c r="Q582" t="n">
        <v>3</v>
      </c>
      <c r="R582" s="2" t="inlineStr">
        <is>
          <t>Stor aspticka
Svart trolldruva
Tibast</t>
        </is>
      </c>
      <c r="S582">
        <f>HYPERLINK("https://klasma.github.io/Logging_2421/artfynd/A 44074-2023 artfynd.xlsx", "A 44074-2023")</f>
        <v/>
      </c>
      <c r="T582">
        <f>HYPERLINK("https://klasma.github.io/Logging_2421/kartor/A 44074-2023 karta.png", "A 44074-2023")</f>
        <v/>
      </c>
      <c r="V582">
        <f>HYPERLINK("https://klasma.github.io/Logging_2421/klagomål/A 44074-2023 FSC-klagomål.docx", "A 44074-2023")</f>
        <v/>
      </c>
      <c r="W582">
        <f>HYPERLINK("https://klasma.github.io/Logging_2421/klagomålsmail/A 44074-2023 FSC-klagomål mail.docx", "A 44074-2023")</f>
        <v/>
      </c>
      <c r="X582">
        <f>HYPERLINK("https://klasma.github.io/Logging_2421/tillsyn/A 44074-2023 tillsynsbegäran.docx", "A 44074-2023")</f>
        <v/>
      </c>
      <c r="Y582">
        <f>HYPERLINK("https://klasma.github.io/Logging_2421/tillsynsmail/A 44074-2023 tillsynsbegäran mail.docx", "A 44074-2023")</f>
        <v/>
      </c>
    </row>
    <row r="583" ht="15" customHeight="1">
      <c r="A583" t="inlineStr">
        <is>
          <t>A 9157-2023</t>
        </is>
      </c>
      <c r="B583" s="1" t="n">
        <v>44972</v>
      </c>
      <c r="C583" s="1" t="n">
        <v>46075</v>
      </c>
      <c r="D583" t="inlineStr">
        <is>
          <t>VÄSTERBOTTENS LÄN</t>
        </is>
      </c>
      <c r="E583" t="inlineStr">
        <is>
          <t>VILHELMINA</t>
        </is>
      </c>
      <c r="F583" t="inlineStr">
        <is>
          <t>Allmännings- och besparingsskogar</t>
        </is>
      </c>
      <c r="G583" t="n">
        <v>411</v>
      </c>
      <c r="H583" t="n">
        <v>0</v>
      </c>
      <c r="I583" t="n">
        <v>0</v>
      </c>
      <c r="J583" t="n">
        <v>3</v>
      </c>
      <c r="K583" t="n">
        <v>0</v>
      </c>
      <c r="L583" t="n">
        <v>0</v>
      </c>
      <c r="M583" t="n">
        <v>0</v>
      </c>
      <c r="N583" t="n">
        <v>0</v>
      </c>
      <c r="O583" t="n">
        <v>3</v>
      </c>
      <c r="P583" t="n">
        <v>0</v>
      </c>
      <c r="Q583" t="n">
        <v>3</v>
      </c>
      <c r="R583" s="2" t="inlineStr">
        <is>
          <t>Garnlav
Granticka
Harticka</t>
        </is>
      </c>
      <c r="S583">
        <f>HYPERLINK("https://klasma.github.io/Logging_2462/artfynd/A 9157-2023 artfynd.xlsx", "A 9157-2023")</f>
        <v/>
      </c>
      <c r="T583">
        <f>HYPERLINK("https://klasma.github.io/Logging_2462/kartor/A 9157-2023 karta.png", "A 9157-2023")</f>
        <v/>
      </c>
      <c r="V583">
        <f>HYPERLINK("https://klasma.github.io/Logging_2462/klagomål/A 9157-2023 FSC-klagomål.docx", "A 9157-2023")</f>
        <v/>
      </c>
      <c r="W583">
        <f>HYPERLINK("https://klasma.github.io/Logging_2462/klagomålsmail/A 9157-2023 FSC-klagomål mail.docx", "A 9157-2023")</f>
        <v/>
      </c>
      <c r="X583">
        <f>HYPERLINK("https://klasma.github.io/Logging_2462/tillsyn/A 9157-2023 tillsynsbegäran.docx", "A 9157-2023")</f>
        <v/>
      </c>
      <c r="Y583">
        <f>HYPERLINK("https://klasma.github.io/Logging_2462/tillsynsmail/A 9157-2023 tillsynsbegäran mail.docx", "A 9157-2023")</f>
        <v/>
      </c>
    </row>
    <row r="584" ht="15" customHeight="1">
      <c r="A584" t="inlineStr">
        <is>
          <t>A 60450-2022</t>
        </is>
      </c>
      <c r="B584" s="1" t="n">
        <v>44904</v>
      </c>
      <c r="C584" s="1" t="n">
        <v>46075</v>
      </c>
      <c r="D584" t="inlineStr">
        <is>
          <t>VÄSTERBOTTENS LÄN</t>
        </is>
      </c>
      <c r="E584" t="inlineStr">
        <is>
          <t>NORDMALING</t>
        </is>
      </c>
      <c r="G584" t="n">
        <v>3.3</v>
      </c>
      <c r="H584" t="n">
        <v>0</v>
      </c>
      <c r="I584" t="n">
        <v>0</v>
      </c>
      <c r="J584" t="n">
        <v>2</v>
      </c>
      <c r="K584" t="n">
        <v>1</v>
      </c>
      <c r="L584" t="n">
        <v>0</v>
      </c>
      <c r="M584" t="n">
        <v>0</v>
      </c>
      <c r="N584" t="n">
        <v>0</v>
      </c>
      <c r="O584" t="n">
        <v>3</v>
      </c>
      <c r="P584" t="n">
        <v>1</v>
      </c>
      <c r="Q584" t="n">
        <v>3</v>
      </c>
      <c r="R584" s="2" t="inlineStr">
        <is>
          <t>Rynkskinn
Lunglav
Ullticka</t>
        </is>
      </c>
      <c r="S584">
        <f>HYPERLINK("https://klasma.github.io/Logging_2401/artfynd/A 60450-2022 artfynd.xlsx", "A 60450-2022")</f>
        <v/>
      </c>
      <c r="T584">
        <f>HYPERLINK("https://klasma.github.io/Logging_2401/kartor/A 60450-2022 karta.png", "A 60450-2022")</f>
        <v/>
      </c>
      <c r="V584">
        <f>HYPERLINK("https://klasma.github.io/Logging_2401/klagomål/A 60450-2022 FSC-klagomål.docx", "A 60450-2022")</f>
        <v/>
      </c>
      <c r="W584">
        <f>HYPERLINK("https://klasma.github.io/Logging_2401/klagomålsmail/A 60450-2022 FSC-klagomål mail.docx", "A 60450-2022")</f>
        <v/>
      </c>
      <c r="X584">
        <f>HYPERLINK("https://klasma.github.io/Logging_2401/tillsyn/A 60450-2022 tillsynsbegäran.docx", "A 60450-2022")</f>
        <v/>
      </c>
      <c r="Y584">
        <f>HYPERLINK("https://klasma.github.io/Logging_2401/tillsynsmail/A 60450-2022 tillsynsbegäran mail.docx", "A 60450-2022")</f>
        <v/>
      </c>
    </row>
    <row r="585" ht="15" customHeight="1">
      <c r="A585" t="inlineStr">
        <is>
          <t>A 29725-2021</t>
        </is>
      </c>
      <c r="B585" s="1" t="n">
        <v>44362.44362268518</v>
      </c>
      <c r="C585" s="1" t="n">
        <v>46075</v>
      </c>
      <c r="D585" t="inlineStr">
        <is>
          <t>VÄSTERBOTTENS LÄN</t>
        </is>
      </c>
      <c r="E585" t="inlineStr">
        <is>
          <t>SKELLEFTEÅ</t>
        </is>
      </c>
      <c r="F585" t="inlineStr">
        <is>
          <t>Holmen skog AB</t>
        </is>
      </c>
      <c r="G585" t="n">
        <v>10.7</v>
      </c>
      <c r="H585" t="n">
        <v>1</v>
      </c>
      <c r="I585" t="n">
        <v>0</v>
      </c>
      <c r="J585" t="n">
        <v>2</v>
      </c>
      <c r="K585" t="n">
        <v>0</v>
      </c>
      <c r="L585" t="n">
        <v>0</v>
      </c>
      <c r="M585" t="n">
        <v>0</v>
      </c>
      <c r="N585" t="n">
        <v>0</v>
      </c>
      <c r="O585" t="n">
        <v>2</v>
      </c>
      <c r="P585" t="n">
        <v>0</v>
      </c>
      <c r="Q585" t="n">
        <v>3</v>
      </c>
      <c r="R585" s="2" t="inlineStr">
        <is>
          <t>Gammelgransskål
Garnlav
Orre</t>
        </is>
      </c>
      <c r="S585">
        <f>HYPERLINK("https://klasma.github.io/Logging_2482/artfynd/A 29725-2021 artfynd.xlsx", "A 29725-2021")</f>
        <v/>
      </c>
      <c r="T585">
        <f>HYPERLINK("https://klasma.github.io/Logging_2482/kartor/A 29725-2021 karta.png", "A 29725-2021")</f>
        <v/>
      </c>
      <c r="V585">
        <f>HYPERLINK("https://klasma.github.io/Logging_2482/klagomål/A 29725-2021 FSC-klagomål.docx", "A 29725-2021")</f>
        <v/>
      </c>
      <c r="W585">
        <f>HYPERLINK("https://klasma.github.io/Logging_2482/klagomålsmail/A 29725-2021 FSC-klagomål mail.docx", "A 29725-2021")</f>
        <v/>
      </c>
      <c r="X585">
        <f>HYPERLINK("https://klasma.github.io/Logging_2482/tillsyn/A 29725-2021 tillsynsbegäran.docx", "A 29725-2021")</f>
        <v/>
      </c>
      <c r="Y585">
        <f>HYPERLINK("https://klasma.github.io/Logging_2482/tillsynsmail/A 29725-2021 tillsynsbegäran mail.docx", "A 29725-2021")</f>
        <v/>
      </c>
      <c r="Z585">
        <f>HYPERLINK("https://klasma.github.io/Logging_2482/fåglar/A 29725-2021 prioriterade fågelarter.docx", "A 29725-2021")</f>
        <v/>
      </c>
    </row>
    <row r="586" ht="15" customHeight="1">
      <c r="A586" t="inlineStr">
        <is>
          <t>A 41412-2022</t>
        </is>
      </c>
      <c r="B586" s="1" t="n">
        <v>44826</v>
      </c>
      <c r="C586" s="1" t="n">
        <v>46075</v>
      </c>
      <c r="D586" t="inlineStr">
        <is>
          <t>VÄSTERBOTTENS LÄN</t>
        </is>
      </c>
      <c r="E586" t="inlineStr">
        <is>
          <t>SKELLEFTEÅ</t>
        </is>
      </c>
      <c r="G586" t="n">
        <v>2.6</v>
      </c>
      <c r="H586" t="n">
        <v>0</v>
      </c>
      <c r="I586" t="n">
        <v>1</v>
      </c>
      <c r="J586" t="n">
        <v>2</v>
      </c>
      <c r="K586" t="n">
        <v>0</v>
      </c>
      <c r="L586" t="n">
        <v>0</v>
      </c>
      <c r="M586" t="n">
        <v>0</v>
      </c>
      <c r="N586" t="n">
        <v>0</v>
      </c>
      <c r="O586" t="n">
        <v>2</v>
      </c>
      <c r="P586" t="n">
        <v>0</v>
      </c>
      <c r="Q586" t="n">
        <v>3</v>
      </c>
      <c r="R586" s="2" t="inlineStr">
        <is>
          <t>Gränsticka
Ullticka
Vedticka</t>
        </is>
      </c>
      <c r="S586">
        <f>HYPERLINK("https://klasma.github.io/Logging_2482/artfynd/A 41412-2022 artfynd.xlsx", "A 41412-2022")</f>
        <v/>
      </c>
      <c r="T586">
        <f>HYPERLINK("https://klasma.github.io/Logging_2482/kartor/A 41412-2022 karta.png", "A 41412-2022")</f>
        <v/>
      </c>
      <c r="V586">
        <f>HYPERLINK("https://klasma.github.io/Logging_2482/klagomål/A 41412-2022 FSC-klagomål.docx", "A 41412-2022")</f>
        <v/>
      </c>
      <c r="W586">
        <f>HYPERLINK("https://klasma.github.io/Logging_2482/klagomålsmail/A 41412-2022 FSC-klagomål mail.docx", "A 41412-2022")</f>
        <v/>
      </c>
      <c r="X586">
        <f>HYPERLINK("https://klasma.github.io/Logging_2482/tillsyn/A 41412-2022 tillsynsbegäran.docx", "A 41412-2022")</f>
        <v/>
      </c>
      <c r="Y586">
        <f>HYPERLINK("https://klasma.github.io/Logging_2482/tillsynsmail/A 41412-2022 tillsynsbegäran mail.docx", "A 41412-2022")</f>
        <v/>
      </c>
    </row>
    <row r="587" ht="15" customHeight="1">
      <c r="A587" t="inlineStr">
        <is>
          <t>A 47327-2024</t>
        </is>
      </c>
      <c r="B587" s="1" t="n">
        <v>45587.38496527778</v>
      </c>
      <c r="C587" s="1" t="n">
        <v>46075</v>
      </c>
      <c r="D587" t="inlineStr">
        <is>
          <t>VÄSTERBOTTENS LÄN</t>
        </is>
      </c>
      <c r="E587" t="inlineStr">
        <is>
          <t>NORSJÖ</t>
        </is>
      </c>
      <c r="F587" t="inlineStr">
        <is>
          <t>Sveaskog</t>
        </is>
      </c>
      <c r="G587" t="n">
        <v>21.9</v>
      </c>
      <c r="H587" t="n">
        <v>0</v>
      </c>
      <c r="I587" t="n">
        <v>2</v>
      </c>
      <c r="J587" t="n">
        <v>1</v>
      </c>
      <c r="K587" t="n">
        <v>0</v>
      </c>
      <c r="L587" t="n">
        <v>0</v>
      </c>
      <c r="M587" t="n">
        <v>0</v>
      </c>
      <c r="N587" t="n">
        <v>0</v>
      </c>
      <c r="O587" t="n">
        <v>1</v>
      </c>
      <c r="P587" t="n">
        <v>0</v>
      </c>
      <c r="Q587" t="n">
        <v>3</v>
      </c>
      <c r="R587" s="2" t="inlineStr">
        <is>
          <t>Blå taggsvamp
Dropptaggsvamp
Skarp dropptaggsvamp</t>
        </is>
      </c>
      <c r="S587">
        <f>HYPERLINK("https://klasma.github.io/Logging_2417/artfynd/A 47327-2024 artfynd.xlsx", "A 47327-2024")</f>
        <v/>
      </c>
      <c r="T587">
        <f>HYPERLINK("https://klasma.github.io/Logging_2417/kartor/A 47327-2024 karta.png", "A 47327-2024")</f>
        <v/>
      </c>
      <c r="V587">
        <f>HYPERLINK("https://klasma.github.io/Logging_2417/klagomål/A 47327-2024 FSC-klagomål.docx", "A 47327-2024")</f>
        <v/>
      </c>
      <c r="W587">
        <f>HYPERLINK("https://klasma.github.io/Logging_2417/klagomålsmail/A 47327-2024 FSC-klagomål mail.docx", "A 47327-2024")</f>
        <v/>
      </c>
      <c r="X587">
        <f>HYPERLINK("https://klasma.github.io/Logging_2417/tillsyn/A 47327-2024 tillsynsbegäran.docx", "A 47327-2024")</f>
        <v/>
      </c>
      <c r="Y587">
        <f>HYPERLINK("https://klasma.github.io/Logging_2417/tillsynsmail/A 47327-2024 tillsynsbegäran mail.docx", "A 47327-2024")</f>
        <v/>
      </c>
    </row>
    <row r="588" ht="15" customHeight="1">
      <c r="A588" t="inlineStr">
        <is>
          <t>A 16463-2025</t>
        </is>
      </c>
      <c r="B588" s="1" t="n">
        <v>45751</v>
      </c>
      <c r="C588" s="1" t="n">
        <v>46075</v>
      </c>
      <c r="D588" t="inlineStr">
        <is>
          <t>VÄSTERBOTTENS LÄN</t>
        </is>
      </c>
      <c r="E588" t="inlineStr">
        <is>
          <t>VILHELMINA</t>
        </is>
      </c>
      <c r="G588" t="n">
        <v>8.1</v>
      </c>
      <c r="H588" t="n">
        <v>1</v>
      </c>
      <c r="I588" t="n">
        <v>0</v>
      </c>
      <c r="J588" t="n">
        <v>3</v>
      </c>
      <c r="K588" t="n">
        <v>0</v>
      </c>
      <c r="L588" t="n">
        <v>0</v>
      </c>
      <c r="M588" t="n">
        <v>0</v>
      </c>
      <c r="N588" t="n">
        <v>0</v>
      </c>
      <c r="O588" t="n">
        <v>3</v>
      </c>
      <c r="P588" t="n">
        <v>0</v>
      </c>
      <c r="Q588" t="n">
        <v>3</v>
      </c>
      <c r="R588" s="2" t="inlineStr">
        <is>
          <t>Granticka
Gränsticka
Tretåig hackspett</t>
        </is>
      </c>
      <c r="S588">
        <f>HYPERLINK("https://klasma.github.io/Logging_2462/artfynd/A 16463-2025 artfynd.xlsx", "A 16463-2025")</f>
        <v/>
      </c>
      <c r="T588">
        <f>HYPERLINK("https://klasma.github.io/Logging_2462/kartor/A 16463-2025 karta.png", "A 16463-2025")</f>
        <v/>
      </c>
      <c r="V588">
        <f>HYPERLINK("https://klasma.github.io/Logging_2462/klagomål/A 16463-2025 FSC-klagomål.docx", "A 16463-2025")</f>
        <v/>
      </c>
      <c r="W588">
        <f>HYPERLINK("https://klasma.github.io/Logging_2462/klagomålsmail/A 16463-2025 FSC-klagomål mail.docx", "A 16463-2025")</f>
        <v/>
      </c>
      <c r="X588">
        <f>HYPERLINK("https://klasma.github.io/Logging_2462/tillsyn/A 16463-2025 tillsynsbegäran.docx", "A 16463-2025")</f>
        <v/>
      </c>
      <c r="Y588">
        <f>HYPERLINK("https://klasma.github.io/Logging_2462/tillsynsmail/A 16463-2025 tillsynsbegäran mail.docx", "A 16463-2025")</f>
        <v/>
      </c>
      <c r="Z588">
        <f>HYPERLINK("https://klasma.github.io/Logging_2462/fåglar/A 16463-2025 prioriterade fågelarter.docx", "A 16463-2025")</f>
        <v/>
      </c>
    </row>
    <row r="589" ht="15" customHeight="1">
      <c r="A589" t="inlineStr">
        <is>
          <t>A 42687-2022</t>
        </is>
      </c>
      <c r="B589" s="1" t="n">
        <v>44831</v>
      </c>
      <c r="C589" s="1" t="n">
        <v>46075</v>
      </c>
      <c r="D589" t="inlineStr">
        <is>
          <t>VÄSTERBOTTENS LÄN</t>
        </is>
      </c>
      <c r="E589" t="inlineStr">
        <is>
          <t>SKELLEFTEÅ</t>
        </is>
      </c>
      <c r="G589" t="n">
        <v>2.7</v>
      </c>
      <c r="H589" t="n">
        <v>0</v>
      </c>
      <c r="I589" t="n">
        <v>0</v>
      </c>
      <c r="J589" t="n">
        <v>3</v>
      </c>
      <c r="K589" t="n">
        <v>0</v>
      </c>
      <c r="L589" t="n">
        <v>0</v>
      </c>
      <c r="M589" t="n">
        <v>0</v>
      </c>
      <c r="N589" t="n">
        <v>0</v>
      </c>
      <c r="O589" t="n">
        <v>3</v>
      </c>
      <c r="P589" t="n">
        <v>0</v>
      </c>
      <c r="Q589" t="n">
        <v>3</v>
      </c>
      <c r="R589" s="2" t="inlineStr">
        <is>
          <t>Granticka
Stjärntagging
Ullticka</t>
        </is>
      </c>
      <c r="S589">
        <f>HYPERLINK("https://klasma.github.io/Logging_2482/artfynd/A 42687-2022 artfynd.xlsx", "A 42687-2022")</f>
        <v/>
      </c>
      <c r="T589">
        <f>HYPERLINK("https://klasma.github.io/Logging_2482/kartor/A 42687-2022 karta.png", "A 42687-2022")</f>
        <v/>
      </c>
      <c r="V589">
        <f>HYPERLINK("https://klasma.github.io/Logging_2482/klagomål/A 42687-2022 FSC-klagomål.docx", "A 42687-2022")</f>
        <v/>
      </c>
      <c r="W589">
        <f>HYPERLINK("https://klasma.github.io/Logging_2482/klagomålsmail/A 42687-2022 FSC-klagomål mail.docx", "A 42687-2022")</f>
        <v/>
      </c>
      <c r="X589">
        <f>HYPERLINK("https://klasma.github.io/Logging_2482/tillsyn/A 42687-2022 tillsynsbegäran.docx", "A 42687-2022")</f>
        <v/>
      </c>
      <c r="Y589">
        <f>HYPERLINK("https://klasma.github.io/Logging_2482/tillsynsmail/A 42687-2022 tillsynsbegäran mail.docx", "A 42687-2022")</f>
        <v/>
      </c>
    </row>
    <row r="590" ht="15" customHeight="1">
      <c r="A590" t="inlineStr">
        <is>
          <t>A 57357-2024</t>
        </is>
      </c>
      <c r="B590" s="1" t="n">
        <v>45629.65383101852</v>
      </c>
      <c r="C590" s="1" t="n">
        <v>46075</v>
      </c>
      <c r="D590" t="inlineStr">
        <is>
          <t>VÄSTERBOTTENS LÄN</t>
        </is>
      </c>
      <c r="E590" t="inlineStr">
        <is>
          <t>LYCKSELE</t>
        </is>
      </c>
      <c r="F590" t="inlineStr">
        <is>
          <t>Sveaskog</t>
        </is>
      </c>
      <c r="G590" t="n">
        <v>9.699999999999999</v>
      </c>
      <c r="H590" t="n">
        <v>0</v>
      </c>
      <c r="I590" t="n">
        <v>0</v>
      </c>
      <c r="J590" t="n">
        <v>3</v>
      </c>
      <c r="K590" t="n">
        <v>0</v>
      </c>
      <c r="L590" t="n">
        <v>0</v>
      </c>
      <c r="M590" t="n">
        <v>0</v>
      </c>
      <c r="N590" t="n">
        <v>0</v>
      </c>
      <c r="O590" t="n">
        <v>3</v>
      </c>
      <c r="P590" t="n">
        <v>0</v>
      </c>
      <c r="Q590" t="n">
        <v>3</v>
      </c>
      <c r="R590" s="2" t="inlineStr">
        <is>
          <t>Doftskinn
Gammelgransskål
Garnlav</t>
        </is>
      </c>
      <c r="S590">
        <f>HYPERLINK("https://klasma.github.io/Logging_2481/artfynd/A 57357-2024 artfynd.xlsx", "A 57357-2024")</f>
        <v/>
      </c>
      <c r="T590">
        <f>HYPERLINK("https://klasma.github.io/Logging_2481/kartor/A 57357-2024 karta.png", "A 57357-2024")</f>
        <v/>
      </c>
      <c r="V590">
        <f>HYPERLINK("https://klasma.github.io/Logging_2481/klagomål/A 57357-2024 FSC-klagomål.docx", "A 57357-2024")</f>
        <v/>
      </c>
      <c r="W590">
        <f>HYPERLINK("https://klasma.github.io/Logging_2481/klagomålsmail/A 57357-2024 FSC-klagomål mail.docx", "A 57357-2024")</f>
        <v/>
      </c>
      <c r="X590">
        <f>HYPERLINK("https://klasma.github.io/Logging_2481/tillsyn/A 57357-2024 tillsynsbegäran.docx", "A 57357-2024")</f>
        <v/>
      </c>
      <c r="Y590">
        <f>HYPERLINK("https://klasma.github.io/Logging_2481/tillsynsmail/A 57357-2024 tillsynsbegäran mail.docx", "A 57357-2024")</f>
        <v/>
      </c>
    </row>
    <row r="591" ht="15" customHeight="1">
      <c r="A591" t="inlineStr">
        <is>
          <t>A 33858-2024</t>
        </is>
      </c>
      <c r="B591" s="1" t="n">
        <v>45520</v>
      </c>
      <c r="C591" s="1" t="n">
        <v>46075</v>
      </c>
      <c r="D591" t="inlineStr">
        <is>
          <t>VÄSTERBOTTENS LÄN</t>
        </is>
      </c>
      <c r="E591" t="inlineStr">
        <is>
          <t>SKELLEFTEÅ</t>
        </is>
      </c>
      <c r="F591" t="inlineStr">
        <is>
          <t>Holmen skog AB</t>
        </is>
      </c>
      <c r="G591" t="n">
        <v>1.5</v>
      </c>
      <c r="H591" t="n">
        <v>0</v>
      </c>
      <c r="I591" t="n">
        <v>1</v>
      </c>
      <c r="J591" t="n">
        <v>2</v>
      </c>
      <c r="K591" t="n">
        <v>0</v>
      </c>
      <c r="L591" t="n">
        <v>0</v>
      </c>
      <c r="M591" t="n">
        <v>0</v>
      </c>
      <c r="N591" t="n">
        <v>0</v>
      </c>
      <c r="O591" t="n">
        <v>2</v>
      </c>
      <c r="P591" t="n">
        <v>0</v>
      </c>
      <c r="Q591" t="n">
        <v>3</v>
      </c>
      <c r="R591" s="2" t="inlineStr">
        <is>
          <t>Gammelgransskål
Garnlav
Dropptaggsvamp</t>
        </is>
      </c>
      <c r="S591">
        <f>HYPERLINK("https://klasma.github.io/Logging_2482/artfynd/A 33858-2024 artfynd.xlsx", "A 33858-2024")</f>
        <v/>
      </c>
      <c r="T591">
        <f>HYPERLINK("https://klasma.github.io/Logging_2482/kartor/A 33858-2024 karta.png", "A 33858-2024")</f>
        <v/>
      </c>
      <c r="V591">
        <f>HYPERLINK("https://klasma.github.io/Logging_2482/klagomål/A 33858-2024 FSC-klagomål.docx", "A 33858-2024")</f>
        <v/>
      </c>
      <c r="W591">
        <f>HYPERLINK("https://klasma.github.io/Logging_2482/klagomålsmail/A 33858-2024 FSC-klagomål mail.docx", "A 33858-2024")</f>
        <v/>
      </c>
      <c r="X591">
        <f>HYPERLINK("https://klasma.github.io/Logging_2482/tillsyn/A 33858-2024 tillsynsbegäran.docx", "A 33858-2024")</f>
        <v/>
      </c>
      <c r="Y591">
        <f>HYPERLINK("https://klasma.github.io/Logging_2482/tillsynsmail/A 33858-2024 tillsynsbegäran mail.docx", "A 33858-2024")</f>
        <v/>
      </c>
    </row>
    <row r="592" ht="15" customHeight="1">
      <c r="A592" t="inlineStr">
        <is>
          <t>A 20379-2025</t>
        </is>
      </c>
      <c r="B592" s="1" t="n">
        <v>45775.42733796296</v>
      </c>
      <c r="C592" s="1" t="n">
        <v>46075</v>
      </c>
      <c r="D592" t="inlineStr">
        <is>
          <t>VÄSTERBOTTENS LÄN</t>
        </is>
      </c>
      <c r="E592" t="inlineStr">
        <is>
          <t>SKELLEFTEÅ</t>
        </is>
      </c>
      <c r="G592" t="n">
        <v>3.3</v>
      </c>
      <c r="H592" t="n">
        <v>0</v>
      </c>
      <c r="I592" t="n">
        <v>0</v>
      </c>
      <c r="J592" t="n">
        <v>3</v>
      </c>
      <c r="K592" t="n">
        <v>0</v>
      </c>
      <c r="L592" t="n">
        <v>0</v>
      </c>
      <c r="M592" t="n">
        <v>0</v>
      </c>
      <c r="N592" t="n">
        <v>0</v>
      </c>
      <c r="O592" t="n">
        <v>3</v>
      </c>
      <c r="P592" t="n">
        <v>0</v>
      </c>
      <c r="Q592" t="n">
        <v>3</v>
      </c>
      <c r="R592" s="2" t="inlineStr">
        <is>
          <t>Granticka
Orange taggsvamp
Violettgrå tagellav</t>
        </is>
      </c>
      <c r="S592">
        <f>HYPERLINK("https://klasma.github.io/Logging_2482/artfynd/A 20379-2025 artfynd.xlsx", "A 20379-2025")</f>
        <v/>
      </c>
      <c r="T592">
        <f>HYPERLINK("https://klasma.github.io/Logging_2482/kartor/A 20379-2025 karta.png", "A 20379-2025")</f>
        <v/>
      </c>
      <c r="V592">
        <f>HYPERLINK("https://klasma.github.io/Logging_2482/klagomål/A 20379-2025 FSC-klagomål.docx", "A 20379-2025")</f>
        <v/>
      </c>
      <c r="W592">
        <f>HYPERLINK("https://klasma.github.io/Logging_2482/klagomålsmail/A 20379-2025 FSC-klagomål mail.docx", "A 20379-2025")</f>
        <v/>
      </c>
      <c r="X592">
        <f>HYPERLINK("https://klasma.github.io/Logging_2482/tillsyn/A 20379-2025 tillsynsbegäran.docx", "A 20379-2025")</f>
        <v/>
      </c>
      <c r="Y592">
        <f>HYPERLINK("https://klasma.github.io/Logging_2482/tillsynsmail/A 20379-2025 tillsynsbegäran mail.docx", "A 20379-2025")</f>
        <v/>
      </c>
    </row>
    <row r="593" ht="15" customHeight="1">
      <c r="A593" t="inlineStr">
        <is>
          <t>A 3412-2022</t>
        </is>
      </c>
      <c r="B593" s="1" t="n">
        <v>44585</v>
      </c>
      <c r="C593" s="1" t="n">
        <v>46075</v>
      </c>
      <c r="D593" t="inlineStr">
        <is>
          <t>VÄSTERBOTTENS LÄN</t>
        </is>
      </c>
      <c r="E593" t="inlineStr">
        <is>
          <t>STORUMAN</t>
        </is>
      </c>
      <c r="G593" t="n">
        <v>0.7</v>
      </c>
      <c r="H593" t="n">
        <v>2</v>
      </c>
      <c r="I593" t="n">
        <v>1</v>
      </c>
      <c r="J593" t="n">
        <v>1</v>
      </c>
      <c r="K593" t="n">
        <v>0</v>
      </c>
      <c r="L593" t="n">
        <v>0</v>
      </c>
      <c r="M593" t="n">
        <v>0</v>
      </c>
      <c r="N593" t="n">
        <v>0</v>
      </c>
      <c r="O593" t="n">
        <v>1</v>
      </c>
      <c r="P593" t="n">
        <v>0</v>
      </c>
      <c r="Q593" t="n">
        <v>3</v>
      </c>
      <c r="R593" s="2" t="inlineStr">
        <is>
          <t>Garnlav
Spindelblomster
Skogsrör</t>
        </is>
      </c>
      <c r="S593">
        <f>HYPERLINK("https://klasma.github.io/Logging_2421/artfynd/A 3412-2022 artfynd.xlsx", "A 3412-2022")</f>
        <v/>
      </c>
      <c r="T593">
        <f>HYPERLINK("https://klasma.github.io/Logging_2421/kartor/A 3412-2022 karta.png", "A 3412-2022")</f>
        <v/>
      </c>
      <c r="V593">
        <f>HYPERLINK("https://klasma.github.io/Logging_2421/klagomål/A 3412-2022 FSC-klagomål.docx", "A 3412-2022")</f>
        <v/>
      </c>
      <c r="W593">
        <f>HYPERLINK("https://klasma.github.io/Logging_2421/klagomålsmail/A 3412-2022 FSC-klagomål mail.docx", "A 3412-2022")</f>
        <v/>
      </c>
      <c r="X593">
        <f>HYPERLINK("https://klasma.github.io/Logging_2421/tillsyn/A 3412-2022 tillsynsbegäran.docx", "A 3412-2022")</f>
        <v/>
      </c>
      <c r="Y593">
        <f>HYPERLINK("https://klasma.github.io/Logging_2421/tillsynsmail/A 3412-2022 tillsynsbegäran mail.docx", "A 3412-2022")</f>
        <v/>
      </c>
    </row>
    <row r="594" ht="15" customHeight="1">
      <c r="A594" t="inlineStr">
        <is>
          <t>A 20752-2025</t>
        </is>
      </c>
      <c r="B594" s="1" t="n">
        <v>45776.56769675926</v>
      </c>
      <c r="C594" s="1" t="n">
        <v>46075</v>
      </c>
      <c r="D594" t="inlineStr">
        <is>
          <t>VÄSTERBOTTENS LÄN</t>
        </is>
      </c>
      <c r="E594" t="inlineStr">
        <is>
          <t>ROBERTSFORS</t>
        </is>
      </c>
      <c r="F594" t="inlineStr">
        <is>
          <t>Holmen skog AB</t>
        </is>
      </c>
      <c r="G594" t="n">
        <v>2.9</v>
      </c>
      <c r="H594" t="n">
        <v>1</v>
      </c>
      <c r="I594" t="n">
        <v>1</v>
      </c>
      <c r="J594" t="n">
        <v>2</v>
      </c>
      <c r="K594" t="n">
        <v>0</v>
      </c>
      <c r="L594" t="n">
        <v>0</v>
      </c>
      <c r="M594" t="n">
        <v>0</v>
      </c>
      <c r="N594" t="n">
        <v>0</v>
      </c>
      <c r="O594" t="n">
        <v>2</v>
      </c>
      <c r="P594" t="n">
        <v>0</v>
      </c>
      <c r="Q594" t="n">
        <v>3</v>
      </c>
      <c r="R594" s="2" t="inlineStr">
        <is>
          <t>Garnlav
Spillkråka
Vedticka</t>
        </is>
      </c>
      <c r="S594">
        <f>HYPERLINK("https://klasma.github.io/Logging_2409/artfynd/A 20752-2025 artfynd.xlsx", "A 20752-2025")</f>
        <v/>
      </c>
      <c r="T594">
        <f>HYPERLINK("https://klasma.github.io/Logging_2409/kartor/A 20752-2025 karta.png", "A 20752-2025")</f>
        <v/>
      </c>
      <c r="V594">
        <f>HYPERLINK("https://klasma.github.io/Logging_2409/klagomål/A 20752-2025 FSC-klagomål.docx", "A 20752-2025")</f>
        <v/>
      </c>
      <c r="W594">
        <f>HYPERLINK("https://klasma.github.io/Logging_2409/klagomålsmail/A 20752-2025 FSC-klagomål mail.docx", "A 20752-2025")</f>
        <v/>
      </c>
      <c r="X594">
        <f>HYPERLINK("https://klasma.github.io/Logging_2409/tillsyn/A 20752-2025 tillsynsbegäran.docx", "A 20752-2025")</f>
        <v/>
      </c>
      <c r="Y594">
        <f>HYPERLINK("https://klasma.github.io/Logging_2409/tillsynsmail/A 20752-2025 tillsynsbegäran mail.docx", "A 20752-2025")</f>
        <v/>
      </c>
      <c r="Z594">
        <f>HYPERLINK("https://klasma.github.io/Logging_2409/fåglar/A 20752-2025 prioriterade fågelarter.docx", "A 20752-2025")</f>
        <v/>
      </c>
    </row>
    <row r="595" ht="15" customHeight="1">
      <c r="A595" t="inlineStr">
        <is>
          <t>A 22123-2025</t>
        </is>
      </c>
      <c r="B595" s="1" t="n">
        <v>45785.52142361111</v>
      </c>
      <c r="C595" s="1" t="n">
        <v>46075</v>
      </c>
      <c r="D595" t="inlineStr">
        <is>
          <t>VÄSTERBOTTENS LÄN</t>
        </is>
      </c>
      <c r="E595" t="inlineStr">
        <is>
          <t>LYCKSELE</t>
        </is>
      </c>
      <c r="F595" t="inlineStr">
        <is>
          <t>Sveaskog</t>
        </is>
      </c>
      <c r="G595" t="n">
        <v>11.2</v>
      </c>
      <c r="H595" t="n">
        <v>0</v>
      </c>
      <c r="I595" t="n">
        <v>1</v>
      </c>
      <c r="J595" t="n">
        <v>2</v>
      </c>
      <c r="K595" t="n">
        <v>0</v>
      </c>
      <c r="L595" t="n">
        <v>0</v>
      </c>
      <c r="M595" t="n">
        <v>0</v>
      </c>
      <c r="N595" t="n">
        <v>0</v>
      </c>
      <c r="O595" t="n">
        <v>2</v>
      </c>
      <c r="P595" t="n">
        <v>0</v>
      </c>
      <c r="Q595" t="n">
        <v>3</v>
      </c>
      <c r="R595" s="2" t="inlineStr">
        <is>
          <t>Blå taggsvamp
Kolflarnlav
Dropptaggsvamp</t>
        </is>
      </c>
      <c r="S595">
        <f>HYPERLINK("https://klasma.github.io/Logging_2481/artfynd/A 22123-2025 artfynd.xlsx", "A 22123-2025")</f>
        <v/>
      </c>
      <c r="T595">
        <f>HYPERLINK("https://klasma.github.io/Logging_2481/kartor/A 22123-2025 karta.png", "A 22123-2025")</f>
        <v/>
      </c>
      <c r="V595">
        <f>HYPERLINK("https://klasma.github.io/Logging_2481/klagomål/A 22123-2025 FSC-klagomål.docx", "A 22123-2025")</f>
        <v/>
      </c>
      <c r="W595">
        <f>HYPERLINK("https://klasma.github.io/Logging_2481/klagomålsmail/A 22123-2025 FSC-klagomål mail.docx", "A 22123-2025")</f>
        <v/>
      </c>
      <c r="X595">
        <f>HYPERLINK("https://klasma.github.io/Logging_2481/tillsyn/A 22123-2025 tillsynsbegäran.docx", "A 22123-2025")</f>
        <v/>
      </c>
      <c r="Y595">
        <f>HYPERLINK("https://klasma.github.io/Logging_2481/tillsynsmail/A 22123-2025 tillsynsbegäran mail.docx", "A 22123-2025")</f>
        <v/>
      </c>
    </row>
    <row r="596" ht="15" customHeight="1">
      <c r="A596" t="inlineStr">
        <is>
          <t>A 22368-2025</t>
        </is>
      </c>
      <c r="B596" s="1" t="n">
        <v>45786.47642361111</v>
      </c>
      <c r="C596" s="1" t="n">
        <v>46075</v>
      </c>
      <c r="D596" t="inlineStr">
        <is>
          <t>VÄSTERBOTTENS LÄN</t>
        </is>
      </c>
      <c r="E596" t="inlineStr">
        <is>
          <t>LYCKSELE</t>
        </is>
      </c>
      <c r="F596" t="inlineStr">
        <is>
          <t>Sveaskog</t>
        </is>
      </c>
      <c r="G596" t="n">
        <v>2.9</v>
      </c>
      <c r="H596" t="n">
        <v>0</v>
      </c>
      <c r="I596" t="n">
        <v>0</v>
      </c>
      <c r="J596" t="n">
        <v>3</v>
      </c>
      <c r="K596" t="n">
        <v>0</v>
      </c>
      <c r="L596" t="n">
        <v>0</v>
      </c>
      <c r="M596" t="n">
        <v>0</v>
      </c>
      <c r="N596" t="n">
        <v>0</v>
      </c>
      <c r="O596" t="n">
        <v>3</v>
      </c>
      <c r="P596" t="n">
        <v>0</v>
      </c>
      <c r="Q596" t="n">
        <v>3</v>
      </c>
      <c r="R596" s="2" t="inlineStr">
        <is>
          <t>Blå taggsvamp
Kolflarnlav
Mörk kolflarnlav</t>
        </is>
      </c>
      <c r="S596">
        <f>HYPERLINK("https://klasma.github.io/Logging_2481/artfynd/A 22368-2025 artfynd.xlsx", "A 22368-2025")</f>
        <v/>
      </c>
      <c r="T596">
        <f>HYPERLINK("https://klasma.github.io/Logging_2481/kartor/A 22368-2025 karta.png", "A 22368-2025")</f>
        <v/>
      </c>
      <c r="V596">
        <f>HYPERLINK("https://klasma.github.io/Logging_2481/klagomål/A 22368-2025 FSC-klagomål.docx", "A 22368-2025")</f>
        <v/>
      </c>
      <c r="W596">
        <f>HYPERLINK("https://klasma.github.io/Logging_2481/klagomålsmail/A 22368-2025 FSC-klagomål mail.docx", "A 22368-2025")</f>
        <v/>
      </c>
      <c r="X596">
        <f>HYPERLINK("https://klasma.github.io/Logging_2481/tillsyn/A 22368-2025 tillsynsbegäran.docx", "A 22368-2025")</f>
        <v/>
      </c>
      <c r="Y596">
        <f>HYPERLINK("https://klasma.github.io/Logging_2481/tillsynsmail/A 22368-2025 tillsynsbegäran mail.docx", "A 22368-2025")</f>
        <v/>
      </c>
    </row>
    <row r="597" ht="15" customHeight="1">
      <c r="A597" t="inlineStr">
        <is>
          <t>A 44152-2023</t>
        </is>
      </c>
      <c r="B597" s="1" t="n">
        <v>45188.47930555556</v>
      </c>
      <c r="C597" s="1" t="n">
        <v>46075</v>
      </c>
      <c r="D597" t="inlineStr">
        <is>
          <t>VÄSTERBOTTENS LÄN</t>
        </is>
      </c>
      <c r="E597" t="inlineStr">
        <is>
          <t>SKELLEFTEÅ</t>
        </is>
      </c>
      <c r="F597" t="inlineStr">
        <is>
          <t>Holmen skog AB</t>
        </is>
      </c>
      <c r="G597" t="n">
        <v>9.199999999999999</v>
      </c>
      <c r="H597" t="n">
        <v>1</v>
      </c>
      <c r="I597" t="n">
        <v>0</v>
      </c>
      <c r="J597" t="n">
        <v>3</v>
      </c>
      <c r="K597" t="n">
        <v>0</v>
      </c>
      <c r="L597" t="n">
        <v>0</v>
      </c>
      <c r="M597" t="n">
        <v>0</v>
      </c>
      <c r="N597" t="n">
        <v>0</v>
      </c>
      <c r="O597" t="n">
        <v>3</v>
      </c>
      <c r="P597" t="n">
        <v>0</v>
      </c>
      <c r="Q597" t="n">
        <v>3</v>
      </c>
      <c r="R597" s="2" t="inlineStr">
        <is>
          <t>Gammelgransskål
Garnlav
Videsparv</t>
        </is>
      </c>
      <c r="S597">
        <f>HYPERLINK("https://klasma.github.io/Logging_2482/artfynd/A 44152-2023 artfynd.xlsx", "A 44152-2023")</f>
        <v/>
      </c>
      <c r="T597">
        <f>HYPERLINK("https://klasma.github.io/Logging_2482/kartor/A 44152-2023 karta.png", "A 44152-2023")</f>
        <v/>
      </c>
      <c r="V597">
        <f>HYPERLINK("https://klasma.github.io/Logging_2482/klagomål/A 44152-2023 FSC-klagomål.docx", "A 44152-2023")</f>
        <v/>
      </c>
      <c r="W597">
        <f>HYPERLINK("https://klasma.github.io/Logging_2482/klagomålsmail/A 44152-2023 FSC-klagomål mail.docx", "A 44152-2023")</f>
        <v/>
      </c>
      <c r="X597">
        <f>HYPERLINK("https://klasma.github.io/Logging_2482/tillsyn/A 44152-2023 tillsynsbegäran.docx", "A 44152-2023")</f>
        <v/>
      </c>
      <c r="Y597">
        <f>HYPERLINK("https://klasma.github.io/Logging_2482/tillsynsmail/A 44152-2023 tillsynsbegäran mail.docx", "A 44152-2023")</f>
        <v/>
      </c>
      <c r="Z597">
        <f>HYPERLINK("https://klasma.github.io/Logging_2482/fåglar/A 44152-2023 prioriterade fågelarter.docx", "A 44152-2023")</f>
        <v/>
      </c>
    </row>
    <row r="598" ht="15" customHeight="1">
      <c r="A598" t="inlineStr">
        <is>
          <t>A 23299-2025</t>
        </is>
      </c>
      <c r="B598" s="1" t="n">
        <v>45791.59457175926</v>
      </c>
      <c r="C598" s="1" t="n">
        <v>46075</v>
      </c>
      <c r="D598" t="inlineStr">
        <is>
          <t>VÄSTERBOTTENS LÄN</t>
        </is>
      </c>
      <c r="E598" t="inlineStr">
        <is>
          <t>SKELLEFTEÅ</t>
        </is>
      </c>
      <c r="F598" t="inlineStr">
        <is>
          <t>Holmen skog AB</t>
        </is>
      </c>
      <c r="G598" t="n">
        <v>1.5</v>
      </c>
      <c r="H598" t="n">
        <v>1</v>
      </c>
      <c r="I598" t="n">
        <v>2</v>
      </c>
      <c r="J598" t="n">
        <v>1</v>
      </c>
      <c r="K598" t="n">
        <v>0</v>
      </c>
      <c r="L598" t="n">
        <v>0</v>
      </c>
      <c r="M598" t="n">
        <v>0</v>
      </c>
      <c r="N598" t="n">
        <v>0</v>
      </c>
      <c r="O598" t="n">
        <v>1</v>
      </c>
      <c r="P598" t="n">
        <v>0</v>
      </c>
      <c r="Q598" t="n">
        <v>3</v>
      </c>
      <c r="R598" s="2" t="inlineStr">
        <is>
          <t>Garnlav
Nästlav
Plattlummer</t>
        </is>
      </c>
      <c r="S598">
        <f>HYPERLINK("https://klasma.github.io/Logging_2482/artfynd/A 23299-2025 artfynd.xlsx", "A 23299-2025")</f>
        <v/>
      </c>
      <c r="T598">
        <f>HYPERLINK("https://klasma.github.io/Logging_2482/kartor/A 23299-2025 karta.png", "A 23299-2025")</f>
        <v/>
      </c>
      <c r="V598">
        <f>HYPERLINK("https://klasma.github.io/Logging_2482/klagomål/A 23299-2025 FSC-klagomål.docx", "A 23299-2025")</f>
        <v/>
      </c>
      <c r="W598">
        <f>HYPERLINK("https://klasma.github.io/Logging_2482/klagomålsmail/A 23299-2025 FSC-klagomål mail.docx", "A 23299-2025")</f>
        <v/>
      </c>
      <c r="X598">
        <f>HYPERLINK("https://klasma.github.io/Logging_2482/tillsyn/A 23299-2025 tillsynsbegäran.docx", "A 23299-2025")</f>
        <v/>
      </c>
      <c r="Y598">
        <f>HYPERLINK("https://klasma.github.io/Logging_2482/tillsynsmail/A 23299-2025 tillsynsbegäran mail.docx", "A 23299-2025")</f>
        <v/>
      </c>
    </row>
    <row r="599" ht="15" customHeight="1">
      <c r="A599" t="inlineStr">
        <is>
          <t>A 23725-2025</t>
        </is>
      </c>
      <c r="B599" s="1" t="n">
        <v>45793.40694444445</v>
      </c>
      <c r="C599" s="1" t="n">
        <v>46075</v>
      </c>
      <c r="D599" t="inlineStr">
        <is>
          <t>VÄSTERBOTTENS LÄN</t>
        </is>
      </c>
      <c r="E599" t="inlineStr">
        <is>
          <t>SKELLEFTEÅ</t>
        </is>
      </c>
      <c r="G599" t="n">
        <v>6.3</v>
      </c>
      <c r="H599" t="n">
        <v>2</v>
      </c>
      <c r="I599" t="n">
        <v>0</v>
      </c>
      <c r="J599" t="n">
        <v>2</v>
      </c>
      <c r="K599" t="n">
        <v>0</v>
      </c>
      <c r="L599" t="n">
        <v>0</v>
      </c>
      <c r="M599" t="n">
        <v>0</v>
      </c>
      <c r="N599" t="n">
        <v>0</v>
      </c>
      <c r="O599" t="n">
        <v>2</v>
      </c>
      <c r="P599" t="n">
        <v>0</v>
      </c>
      <c r="Q599" t="n">
        <v>3</v>
      </c>
      <c r="R599" s="2" t="inlineStr">
        <is>
          <t>Garnlav
Nordfladdermus
Fläcknycklar</t>
        </is>
      </c>
      <c r="S599">
        <f>HYPERLINK("https://klasma.github.io/Logging_2482/artfynd/A 23725-2025 artfynd.xlsx", "A 23725-2025")</f>
        <v/>
      </c>
      <c r="T599">
        <f>HYPERLINK("https://klasma.github.io/Logging_2482/kartor/A 23725-2025 karta.png", "A 23725-2025")</f>
        <v/>
      </c>
      <c r="V599">
        <f>HYPERLINK("https://klasma.github.io/Logging_2482/klagomål/A 23725-2025 FSC-klagomål.docx", "A 23725-2025")</f>
        <v/>
      </c>
      <c r="W599">
        <f>HYPERLINK("https://klasma.github.io/Logging_2482/klagomålsmail/A 23725-2025 FSC-klagomål mail.docx", "A 23725-2025")</f>
        <v/>
      </c>
      <c r="X599">
        <f>HYPERLINK("https://klasma.github.io/Logging_2482/tillsyn/A 23725-2025 tillsynsbegäran.docx", "A 23725-2025")</f>
        <v/>
      </c>
      <c r="Y599">
        <f>HYPERLINK("https://klasma.github.io/Logging_2482/tillsynsmail/A 23725-2025 tillsynsbegäran mail.docx", "A 23725-2025")</f>
        <v/>
      </c>
    </row>
    <row r="600" ht="15" customHeight="1">
      <c r="A600" t="inlineStr">
        <is>
          <t>A 26136-2025</t>
        </is>
      </c>
      <c r="B600" s="1" t="n">
        <v>45805.41388888889</v>
      </c>
      <c r="C600" s="1" t="n">
        <v>46075</v>
      </c>
      <c r="D600" t="inlineStr">
        <is>
          <t>VÄSTERBOTTENS LÄN</t>
        </is>
      </c>
      <c r="E600" t="inlineStr">
        <is>
          <t>ÅSELE</t>
        </is>
      </c>
      <c r="F600" t="inlineStr">
        <is>
          <t>Sveaskog</t>
        </is>
      </c>
      <c r="G600" t="n">
        <v>14.1</v>
      </c>
      <c r="H600" t="n">
        <v>0</v>
      </c>
      <c r="I600" t="n">
        <v>1</v>
      </c>
      <c r="J600" t="n">
        <v>2</v>
      </c>
      <c r="K600" t="n">
        <v>0</v>
      </c>
      <c r="L600" t="n">
        <v>0</v>
      </c>
      <c r="M600" t="n">
        <v>0</v>
      </c>
      <c r="N600" t="n">
        <v>0</v>
      </c>
      <c r="O600" t="n">
        <v>2</v>
      </c>
      <c r="P600" t="n">
        <v>0</v>
      </c>
      <c r="Q600" t="n">
        <v>3</v>
      </c>
      <c r="R600" s="2" t="inlineStr">
        <is>
          <t>Lunglav
Skrovellav
Bårdlav</t>
        </is>
      </c>
      <c r="S600">
        <f>HYPERLINK("https://klasma.github.io/Logging_2463/artfynd/A 26136-2025 artfynd.xlsx", "A 26136-2025")</f>
        <v/>
      </c>
      <c r="T600">
        <f>HYPERLINK("https://klasma.github.io/Logging_2463/kartor/A 26136-2025 karta.png", "A 26136-2025")</f>
        <v/>
      </c>
      <c r="V600">
        <f>HYPERLINK("https://klasma.github.io/Logging_2463/klagomål/A 26136-2025 FSC-klagomål.docx", "A 26136-2025")</f>
        <v/>
      </c>
      <c r="W600">
        <f>HYPERLINK("https://klasma.github.io/Logging_2463/klagomålsmail/A 26136-2025 FSC-klagomål mail.docx", "A 26136-2025")</f>
        <v/>
      </c>
      <c r="X600">
        <f>HYPERLINK("https://klasma.github.io/Logging_2463/tillsyn/A 26136-2025 tillsynsbegäran.docx", "A 26136-2025")</f>
        <v/>
      </c>
      <c r="Y600">
        <f>HYPERLINK("https://klasma.github.io/Logging_2463/tillsynsmail/A 26136-2025 tillsynsbegäran mail.docx", "A 26136-2025")</f>
        <v/>
      </c>
    </row>
    <row r="601" ht="15" customHeight="1">
      <c r="A601" t="inlineStr">
        <is>
          <t>A 6526-2022</t>
        </is>
      </c>
      <c r="B601" s="1" t="n">
        <v>44601</v>
      </c>
      <c r="C601" s="1" t="n">
        <v>46075</v>
      </c>
      <c r="D601" t="inlineStr">
        <is>
          <t>VÄSTERBOTTENS LÄN</t>
        </is>
      </c>
      <c r="E601" t="inlineStr">
        <is>
          <t>LYCKSELE</t>
        </is>
      </c>
      <c r="F601" t="inlineStr">
        <is>
          <t>Sveaskog</t>
        </is>
      </c>
      <c r="G601" t="n">
        <v>6.7</v>
      </c>
      <c r="H601" t="n">
        <v>0</v>
      </c>
      <c r="I601" t="n">
        <v>1</v>
      </c>
      <c r="J601" t="n">
        <v>1</v>
      </c>
      <c r="K601" t="n">
        <v>0</v>
      </c>
      <c r="L601" t="n">
        <v>0</v>
      </c>
      <c r="M601" t="n">
        <v>0</v>
      </c>
      <c r="N601" t="n">
        <v>0</v>
      </c>
      <c r="O601" t="n">
        <v>1</v>
      </c>
      <c r="P601" t="n">
        <v>0</v>
      </c>
      <c r="Q601" t="n">
        <v>2</v>
      </c>
      <c r="R601" s="2" t="inlineStr">
        <is>
          <t>Skrovlig taggsvamp
Dropptaggsvamp</t>
        </is>
      </c>
      <c r="S601">
        <f>HYPERLINK("https://klasma.github.io/Logging_2481/artfynd/A 6526-2022 artfynd.xlsx", "A 6526-2022")</f>
        <v/>
      </c>
      <c r="T601">
        <f>HYPERLINK("https://klasma.github.io/Logging_2481/kartor/A 6526-2022 karta.png", "A 6526-2022")</f>
        <v/>
      </c>
      <c r="V601">
        <f>HYPERLINK("https://klasma.github.io/Logging_2481/klagomål/A 6526-2022 FSC-klagomål.docx", "A 6526-2022")</f>
        <v/>
      </c>
      <c r="W601">
        <f>HYPERLINK("https://klasma.github.io/Logging_2481/klagomålsmail/A 6526-2022 FSC-klagomål mail.docx", "A 6526-2022")</f>
        <v/>
      </c>
      <c r="X601">
        <f>HYPERLINK("https://klasma.github.io/Logging_2481/tillsyn/A 6526-2022 tillsynsbegäran.docx", "A 6526-2022")</f>
        <v/>
      </c>
      <c r="Y601">
        <f>HYPERLINK("https://klasma.github.io/Logging_2481/tillsynsmail/A 6526-2022 tillsynsbegäran mail.docx", "A 6526-2022")</f>
        <v/>
      </c>
    </row>
    <row r="602" ht="15" customHeight="1">
      <c r="A602" t="inlineStr">
        <is>
          <t>A 38443-2021</t>
        </is>
      </c>
      <c r="B602" s="1" t="n">
        <v>44406</v>
      </c>
      <c r="C602" s="1" t="n">
        <v>46075</v>
      </c>
      <c r="D602" t="inlineStr">
        <is>
          <t>VÄSTERBOTTENS LÄN</t>
        </is>
      </c>
      <c r="E602" t="inlineStr">
        <is>
          <t>UMEÅ</t>
        </is>
      </c>
      <c r="F602" t="inlineStr">
        <is>
          <t>Kommuner</t>
        </is>
      </c>
      <c r="G602" t="n">
        <v>2.8</v>
      </c>
      <c r="H602" t="n">
        <v>0</v>
      </c>
      <c r="I602" t="n">
        <v>1</v>
      </c>
      <c r="J602" t="n">
        <v>1</v>
      </c>
      <c r="K602" t="n">
        <v>0</v>
      </c>
      <c r="L602" t="n">
        <v>0</v>
      </c>
      <c r="M602" t="n">
        <v>0</v>
      </c>
      <c r="N602" t="n">
        <v>0</v>
      </c>
      <c r="O602" t="n">
        <v>1</v>
      </c>
      <c r="P602" t="n">
        <v>0</v>
      </c>
      <c r="Q602" t="n">
        <v>2</v>
      </c>
      <c r="R602" s="2" t="inlineStr">
        <is>
          <t>Motaggsvamp
Skarp dropptaggsvamp</t>
        </is>
      </c>
      <c r="S602">
        <f>HYPERLINK("https://klasma.github.io/Logging_2480/artfynd/A 38443-2021 artfynd.xlsx", "A 38443-2021")</f>
        <v/>
      </c>
      <c r="T602">
        <f>HYPERLINK("https://klasma.github.io/Logging_2480/kartor/A 38443-2021 karta.png", "A 38443-2021")</f>
        <v/>
      </c>
      <c r="V602">
        <f>HYPERLINK("https://klasma.github.io/Logging_2480/klagomål/A 38443-2021 FSC-klagomål.docx", "A 38443-2021")</f>
        <v/>
      </c>
      <c r="W602">
        <f>HYPERLINK("https://klasma.github.io/Logging_2480/klagomålsmail/A 38443-2021 FSC-klagomål mail.docx", "A 38443-2021")</f>
        <v/>
      </c>
      <c r="X602">
        <f>HYPERLINK("https://klasma.github.io/Logging_2480/tillsyn/A 38443-2021 tillsynsbegäran.docx", "A 38443-2021")</f>
        <v/>
      </c>
      <c r="Y602">
        <f>HYPERLINK("https://klasma.github.io/Logging_2480/tillsynsmail/A 38443-2021 tillsynsbegäran mail.docx", "A 38443-2021")</f>
        <v/>
      </c>
    </row>
    <row r="603" ht="15" customHeight="1">
      <c r="A603" t="inlineStr">
        <is>
          <t>A 58661-2021</t>
        </is>
      </c>
      <c r="B603" s="1" t="n">
        <v>44489.40372685185</v>
      </c>
      <c r="C603" s="1" t="n">
        <v>46075</v>
      </c>
      <c r="D603" t="inlineStr">
        <is>
          <t>VÄSTERBOTTENS LÄN</t>
        </is>
      </c>
      <c r="E603" t="inlineStr">
        <is>
          <t>SKELLEFTEÅ</t>
        </is>
      </c>
      <c r="F603" t="inlineStr">
        <is>
          <t>Sveaskog</t>
        </is>
      </c>
      <c r="G603" t="n">
        <v>3.2</v>
      </c>
      <c r="H603" t="n">
        <v>0</v>
      </c>
      <c r="I603" t="n">
        <v>1</v>
      </c>
      <c r="J603" t="n">
        <v>1</v>
      </c>
      <c r="K603" t="n">
        <v>0</v>
      </c>
      <c r="L603" t="n">
        <v>0</v>
      </c>
      <c r="M603" t="n">
        <v>0</v>
      </c>
      <c r="N603" t="n">
        <v>0</v>
      </c>
      <c r="O603" t="n">
        <v>1</v>
      </c>
      <c r="P603" t="n">
        <v>0</v>
      </c>
      <c r="Q603" t="n">
        <v>2</v>
      </c>
      <c r="R603" s="2" t="inlineStr">
        <is>
          <t>Vedskivlav
Bronshjon</t>
        </is>
      </c>
      <c r="S603">
        <f>HYPERLINK("https://klasma.github.io/Logging_2482/artfynd/A 58661-2021 artfynd.xlsx", "A 58661-2021")</f>
        <v/>
      </c>
      <c r="T603">
        <f>HYPERLINK("https://klasma.github.io/Logging_2482/kartor/A 58661-2021 karta.png", "A 58661-2021")</f>
        <v/>
      </c>
      <c r="V603">
        <f>HYPERLINK("https://klasma.github.io/Logging_2482/klagomål/A 58661-2021 FSC-klagomål.docx", "A 58661-2021")</f>
        <v/>
      </c>
      <c r="W603">
        <f>HYPERLINK("https://klasma.github.io/Logging_2482/klagomålsmail/A 58661-2021 FSC-klagomål mail.docx", "A 58661-2021")</f>
        <v/>
      </c>
      <c r="X603">
        <f>HYPERLINK("https://klasma.github.io/Logging_2482/tillsyn/A 58661-2021 tillsynsbegäran.docx", "A 58661-2021")</f>
        <v/>
      </c>
      <c r="Y603">
        <f>HYPERLINK("https://klasma.github.io/Logging_2482/tillsynsmail/A 58661-2021 tillsynsbegäran mail.docx", "A 58661-2021")</f>
        <v/>
      </c>
    </row>
    <row r="604" ht="15" customHeight="1">
      <c r="A604" t="inlineStr">
        <is>
          <t>A 70179-2021</t>
        </is>
      </c>
      <c r="B604" s="1" t="n">
        <v>44533.92109953704</v>
      </c>
      <c r="C604" s="1" t="n">
        <v>46075</v>
      </c>
      <c r="D604" t="inlineStr">
        <is>
          <t>VÄSTERBOTTENS LÄN</t>
        </is>
      </c>
      <c r="E604" t="inlineStr">
        <is>
          <t>LYCKSELE</t>
        </is>
      </c>
      <c r="G604" t="n">
        <v>5.2</v>
      </c>
      <c r="H604" t="n">
        <v>0</v>
      </c>
      <c r="I604" t="n">
        <v>0</v>
      </c>
      <c r="J604" t="n">
        <v>2</v>
      </c>
      <c r="K604" t="n">
        <v>0</v>
      </c>
      <c r="L604" t="n">
        <v>0</v>
      </c>
      <c r="M604" t="n">
        <v>0</v>
      </c>
      <c r="N604" t="n">
        <v>0</v>
      </c>
      <c r="O604" t="n">
        <v>2</v>
      </c>
      <c r="P604" t="n">
        <v>0</v>
      </c>
      <c r="Q604" t="n">
        <v>2</v>
      </c>
      <c r="R604" s="2" t="inlineStr">
        <is>
          <t>Blanksvart spiklav
Vedflamlav</t>
        </is>
      </c>
      <c r="S604">
        <f>HYPERLINK("https://klasma.github.io/Logging_2481/artfynd/A 70179-2021 artfynd.xlsx", "A 70179-2021")</f>
        <v/>
      </c>
      <c r="T604">
        <f>HYPERLINK("https://klasma.github.io/Logging_2481/kartor/A 70179-2021 karta.png", "A 70179-2021")</f>
        <v/>
      </c>
      <c r="V604">
        <f>HYPERLINK("https://klasma.github.io/Logging_2481/klagomål/A 70179-2021 FSC-klagomål.docx", "A 70179-2021")</f>
        <v/>
      </c>
      <c r="W604">
        <f>HYPERLINK("https://klasma.github.io/Logging_2481/klagomålsmail/A 70179-2021 FSC-klagomål mail.docx", "A 70179-2021")</f>
        <v/>
      </c>
      <c r="X604">
        <f>HYPERLINK("https://klasma.github.io/Logging_2481/tillsyn/A 70179-2021 tillsynsbegäran.docx", "A 70179-2021")</f>
        <v/>
      </c>
      <c r="Y604">
        <f>HYPERLINK("https://klasma.github.io/Logging_2481/tillsynsmail/A 70179-2021 tillsynsbegäran mail.docx", "A 70179-2021")</f>
        <v/>
      </c>
    </row>
    <row r="605" ht="15" customHeight="1">
      <c r="A605" t="inlineStr">
        <is>
          <t>A 19667-2022</t>
        </is>
      </c>
      <c r="B605" s="1" t="n">
        <v>44694</v>
      </c>
      <c r="C605" s="1" t="n">
        <v>46075</v>
      </c>
      <c r="D605" t="inlineStr">
        <is>
          <t>VÄSTERBOTTENS LÄN</t>
        </is>
      </c>
      <c r="E605" t="inlineStr">
        <is>
          <t>NORDMALING</t>
        </is>
      </c>
      <c r="G605" t="n">
        <v>4</v>
      </c>
      <c r="H605" t="n">
        <v>2</v>
      </c>
      <c r="I605" t="n">
        <v>0</v>
      </c>
      <c r="J605" t="n">
        <v>0</v>
      </c>
      <c r="K605" t="n">
        <v>0</v>
      </c>
      <c r="L605" t="n">
        <v>0</v>
      </c>
      <c r="M605" t="n">
        <v>0</v>
      </c>
      <c r="N605" t="n">
        <v>0</v>
      </c>
      <c r="O605" t="n">
        <v>0</v>
      </c>
      <c r="P605" t="n">
        <v>0</v>
      </c>
      <c r="Q605" t="n">
        <v>2</v>
      </c>
      <c r="R605" s="2" t="inlineStr">
        <is>
          <t>Mustaschfladdermus
Tajgafladdermus</t>
        </is>
      </c>
      <c r="S605">
        <f>HYPERLINK("https://klasma.github.io/Logging_2401/artfynd/A 19667-2022 artfynd.xlsx", "A 19667-2022")</f>
        <v/>
      </c>
      <c r="T605">
        <f>HYPERLINK("https://klasma.github.io/Logging_2401/kartor/A 19667-2022 karta.png", "A 19667-2022")</f>
        <v/>
      </c>
      <c r="V605">
        <f>HYPERLINK("https://klasma.github.io/Logging_2401/klagomål/A 19667-2022 FSC-klagomål.docx", "A 19667-2022")</f>
        <v/>
      </c>
      <c r="W605">
        <f>HYPERLINK("https://klasma.github.io/Logging_2401/klagomålsmail/A 19667-2022 FSC-klagomål mail.docx", "A 19667-2022")</f>
        <v/>
      </c>
      <c r="X605">
        <f>HYPERLINK("https://klasma.github.io/Logging_2401/tillsyn/A 19667-2022 tillsynsbegäran.docx", "A 19667-2022")</f>
        <v/>
      </c>
      <c r="Y605">
        <f>HYPERLINK("https://klasma.github.io/Logging_2401/tillsynsmail/A 19667-2022 tillsynsbegäran mail.docx", "A 19667-2022")</f>
        <v/>
      </c>
    </row>
    <row r="606" ht="15" customHeight="1">
      <c r="A606" t="inlineStr">
        <is>
          <t>A 29352-2021</t>
        </is>
      </c>
      <c r="B606" s="1" t="n">
        <v>44361.4578125</v>
      </c>
      <c r="C606" s="1" t="n">
        <v>46075</v>
      </c>
      <c r="D606" t="inlineStr">
        <is>
          <t>VÄSTERBOTTENS LÄN</t>
        </is>
      </c>
      <c r="E606" t="inlineStr">
        <is>
          <t>STORUMAN</t>
        </is>
      </c>
      <c r="F606" t="inlineStr">
        <is>
          <t>Sveaskog</t>
        </is>
      </c>
      <c r="G606" t="n">
        <v>5.4</v>
      </c>
      <c r="H606" t="n">
        <v>0</v>
      </c>
      <c r="I606" t="n">
        <v>1</v>
      </c>
      <c r="J606" t="n">
        <v>1</v>
      </c>
      <c r="K606" t="n">
        <v>0</v>
      </c>
      <c r="L606" t="n">
        <v>0</v>
      </c>
      <c r="M606" t="n">
        <v>0</v>
      </c>
      <c r="N606" t="n">
        <v>0</v>
      </c>
      <c r="O606" t="n">
        <v>1</v>
      </c>
      <c r="P606" t="n">
        <v>0</v>
      </c>
      <c r="Q606" t="n">
        <v>2</v>
      </c>
      <c r="R606" s="2" t="inlineStr">
        <is>
          <t>Lunglav
Stuplav</t>
        </is>
      </c>
      <c r="S606">
        <f>HYPERLINK("https://klasma.github.io/Logging_2421/artfynd/A 29352-2021 artfynd.xlsx", "A 29352-2021")</f>
        <v/>
      </c>
      <c r="T606">
        <f>HYPERLINK("https://klasma.github.io/Logging_2421/kartor/A 29352-2021 karta.png", "A 29352-2021")</f>
        <v/>
      </c>
      <c r="V606">
        <f>HYPERLINK("https://klasma.github.io/Logging_2421/klagomål/A 29352-2021 FSC-klagomål.docx", "A 29352-2021")</f>
        <v/>
      </c>
      <c r="W606">
        <f>HYPERLINK("https://klasma.github.io/Logging_2421/klagomålsmail/A 29352-2021 FSC-klagomål mail.docx", "A 29352-2021")</f>
        <v/>
      </c>
      <c r="X606">
        <f>HYPERLINK("https://klasma.github.io/Logging_2421/tillsyn/A 29352-2021 tillsynsbegäran.docx", "A 29352-2021")</f>
        <v/>
      </c>
      <c r="Y606">
        <f>HYPERLINK("https://klasma.github.io/Logging_2421/tillsynsmail/A 29352-2021 tillsynsbegäran mail.docx", "A 29352-2021")</f>
        <v/>
      </c>
    </row>
    <row r="607" ht="15" customHeight="1">
      <c r="A607" t="inlineStr">
        <is>
          <t>A 43265-2021</t>
        </is>
      </c>
      <c r="B607" s="1" t="n">
        <v>44432</v>
      </c>
      <c r="C607" s="1" t="n">
        <v>46075</v>
      </c>
      <c r="D607" t="inlineStr">
        <is>
          <t>VÄSTERBOTTENS LÄN</t>
        </is>
      </c>
      <c r="E607" t="inlineStr">
        <is>
          <t>SORSELE</t>
        </is>
      </c>
      <c r="G607" t="n">
        <v>38.3</v>
      </c>
      <c r="H607" t="n">
        <v>1</v>
      </c>
      <c r="I607" t="n">
        <v>0</v>
      </c>
      <c r="J607" t="n">
        <v>1</v>
      </c>
      <c r="K607" t="n">
        <v>0</v>
      </c>
      <c r="L607" t="n">
        <v>0</v>
      </c>
      <c r="M607" t="n">
        <v>0</v>
      </c>
      <c r="N607" t="n">
        <v>0</v>
      </c>
      <c r="O607" t="n">
        <v>1</v>
      </c>
      <c r="P607" t="n">
        <v>0</v>
      </c>
      <c r="Q607" t="n">
        <v>2</v>
      </c>
      <c r="R607" s="2" t="inlineStr">
        <is>
          <t>Garnlav
Fläcknycklar</t>
        </is>
      </c>
      <c r="S607">
        <f>HYPERLINK("https://klasma.github.io/Logging_2422/artfynd/A 43265-2021 artfynd.xlsx", "A 43265-2021")</f>
        <v/>
      </c>
      <c r="T607">
        <f>HYPERLINK("https://klasma.github.io/Logging_2422/kartor/A 43265-2021 karta.png", "A 43265-2021")</f>
        <v/>
      </c>
      <c r="V607">
        <f>HYPERLINK("https://klasma.github.io/Logging_2422/klagomål/A 43265-2021 FSC-klagomål.docx", "A 43265-2021")</f>
        <v/>
      </c>
      <c r="W607">
        <f>HYPERLINK("https://klasma.github.io/Logging_2422/klagomålsmail/A 43265-2021 FSC-klagomål mail.docx", "A 43265-2021")</f>
        <v/>
      </c>
      <c r="X607">
        <f>HYPERLINK("https://klasma.github.io/Logging_2422/tillsyn/A 43265-2021 tillsynsbegäran.docx", "A 43265-2021")</f>
        <v/>
      </c>
      <c r="Y607">
        <f>HYPERLINK("https://klasma.github.io/Logging_2422/tillsynsmail/A 43265-2021 tillsynsbegäran mail.docx", "A 43265-2021")</f>
        <v/>
      </c>
    </row>
    <row r="608" ht="15" customHeight="1">
      <c r="A608" t="inlineStr">
        <is>
          <t>A 15662-2021</t>
        </is>
      </c>
      <c r="B608" s="1" t="n">
        <v>44286.32886574074</v>
      </c>
      <c r="C608" s="1" t="n">
        <v>46075</v>
      </c>
      <c r="D608" t="inlineStr">
        <is>
          <t>VÄSTERBOTTENS LÄN</t>
        </is>
      </c>
      <c r="E608" t="inlineStr">
        <is>
          <t>LYCKSELE</t>
        </is>
      </c>
      <c r="F608" t="inlineStr">
        <is>
          <t>Sveaskog</t>
        </is>
      </c>
      <c r="G608" t="n">
        <v>3.4</v>
      </c>
      <c r="H608" t="n">
        <v>0</v>
      </c>
      <c r="I608" t="n">
        <v>0</v>
      </c>
      <c r="J608" t="n">
        <v>2</v>
      </c>
      <c r="K608" t="n">
        <v>0</v>
      </c>
      <c r="L608" t="n">
        <v>0</v>
      </c>
      <c r="M608" t="n">
        <v>0</v>
      </c>
      <c r="N608" t="n">
        <v>0</v>
      </c>
      <c r="O608" t="n">
        <v>2</v>
      </c>
      <c r="P608" t="n">
        <v>0</v>
      </c>
      <c r="Q608" t="n">
        <v>2</v>
      </c>
      <c r="R608" s="2" t="inlineStr">
        <is>
          <t>Lunglav
Reliktbock</t>
        </is>
      </c>
      <c r="S608">
        <f>HYPERLINK("https://klasma.github.io/Logging_2481/artfynd/A 15662-2021 artfynd.xlsx", "A 15662-2021")</f>
        <v/>
      </c>
      <c r="T608">
        <f>HYPERLINK("https://klasma.github.io/Logging_2481/kartor/A 15662-2021 karta.png", "A 15662-2021")</f>
        <v/>
      </c>
      <c r="V608">
        <f>HYPERLINK("https://klasma.github.io/Logging_2481/klagomål/A 15662-2021 FSC-klagomål.docx", "A 15662-2021")</f>
        <v/>
      </c>
      <c r="W608">
        <f>HYPERLINK("https://klasma.github.io/Logging_2481/klagomålsmail/A 15662-2021 FSC-klagomål mail.docx", "A 15662-2021")</f>
        <v/>
      </c>
      <c r="X608">
        <f>HYPERLINK("https://klasma.github.io/Logging_2481/tillsyn/A 15662-2021 tillsynsbegäran.docx", "A 15662-2021")</f>
        <v/>
      </c>
      <c r="Y608">
        <f>HYPERLINK("https://klasma.github.io/Logging_2481/tillsynsmail/A 15662-2021 tillsynsbegäran mail.docx", "A 15662-2021")</f>
        <v/>
      </c>
    </row>
    <row r="609" ht="15" customHeight="1">
      <c r="A609" t="inlineStr">
        <is>
          <t>A 48951-2022</t>
        </is>
      </c>
      <c r="B609" s="1" t="n">
        <v>44859.95800925926</v>
      </c>
      <c r="C609" s="1" t="n">
        <v>46075</v>
      </c>
      <c r="D609" t="inlineStr">
        <is>
          <t>VÄSTERBOTTENS LÄN</t>
        </is>
      </c>
      <c r="E609" t="inlineStr">
        <is>
          <t>NORDMALING</t>
        </is>
      </c>
      <c r="F609" t="inlineStr">
        <is>
          <t>SCA</t>
        </is>
      </c>
      <c r="G609" t="n">
        <v>2.6</v>
      </c>
      <c r="H609" t="n">
        <v>0</v>
      </c>
      <c r="I609" t="n">
        <v>0</v>
      </c>
      <c r="J609" t="n">
        <v>2</v>
      </c>
      <c r="K609" t="n">
        <v>0</v>
      </c>
      <c r="L609" t="n">
        <v>0</v>
      </c>
      <c r="M609" t="n">
        <v>0</v>
      </c>
      <c r="N609" t="n">
        <v>0</v>
      </c>
      <c r="O609" t="n">
        <v>2</v>
      </c>
      <c r="P609" t="n">
        <v>0</v>
      </c>
      <c r="Q609" t="n">
        <v>2</v>
      </c>
      <c r="R609" s="2" t="inlineStr">
        <is>
          <t>Gammelgransskål
Ullticka</t>
        </is>
      </c>
      <c r="S609">
        <f>HYPERLINK("https://klasma.github.io/Logging_2401/artfynd/A 48951-2022 artfynd.xlsx", "A 48951-2022")</f>
        <v/>
      </c>
      <c r="T609">
        <f>HYPERLINK("https://klasma.github.io/Logging_2401/kartor/A 48951-2022 karta.png", "A 48951-2022")</f>
        <v/>
      </c>
      <c r="V609">
        <f>HYPERLINK("https://klasma.github.io/Logging_2401/klagomål/A 48951-2022 FSC-klagomål.docx", "A 48951-2022")</f>
        <v/>
      </c>
      <c r="W609">
        <f>HYPERLINK("https://klasma.github.io/Logging_2401/klagomålsmail/A 48951-2022 FSC-klagomål mail.docx", "A 48951-2022")</f>
        <v/>
      </c>
      <c r="X609">
        <f>HYPERLINK("https://klasma.github.io/Logging_2401/tillsyn/A 48951-2022 tillsynsbegäran.docx", "A 48951-2022")</f>
        <v/>
      </c>
      <c r="Y609">
        <f>HYPERLINK("https://klasma.github.io/Logging_2401/tillsynsmail/A 48951-2022 tillsynsbegäran mail.docx", "A 48951-2022")</f>
        <v/>
      </c>
    </row>
    <row r="610" ht="15" customHeight="1">
      <c r="A610" t="inlineStr">
        <is>
          <t>A 61497-2021</t>
        </is>
      </c>
      <c r="B610" s="1" t="n">
        <v>44501</v>
      </c>
      <c r="C610" s="1" t="n">
        <v>46075</v>
      </c>
      <c r="D610" t="inlineStr">
        <is>
          <t>VÄSTERBOTTENS LÄN</t>
        </is>
      </c>
      <c r="E610" t="inlineStr">
        <is>
          <t>LYCKSELE</t>
        </is>
      </c>
      <c r="F610" t="inlineStr">
        <is>
          <t>Sveaskog</t>
        </is>
      </c>
      <c r="G610" t="n">
        <v>8</v>
      </c>
      <c r="H610" t="n">
        <v>0</v>
      </c>
      <c r="I610" t="n">
        <v>0</v>
      </c>
      <c r="J610" t="n">
        <v>2</v>
      </c>
      <c r="K610" t="n">
        <v>0</v>
      </c>
      <c r="L610" t="n">
        <v>0</v>
      </c>
      <c r="M610" t="n">
        <v>0</v>
      </c>
      <c r="N610" t="n">
        <v>0</v>
      </c>
      <c r="O610" t="n">
        <v>2</v>
      </c>
      <c r="P610" t="n">
        <v>0</v>
      </c>
      <c r="Q610" t="n">
        <v>2</v>
      </c>
      <c r="R610" s="2" t="inlineStr">
        <is>
          <t>Dvärgbägarlav
Vaddporing</t>
        </is>
      </c>
      <c r="S610">
        <f>HYPERLINK("https://klasma.github.io/Logging_2481/artfynd/A 61497-2021 artfynd.xlsx", "A 61497-2021")</f>
        <v/>
      </c>
      <c r="T610">
        <f>HYPERLINK("https://klasma.github.io/Logging_2481/kartor/A 61497-2021 karta.png", "A 61497-2021")</f>
        <v/>
      </c>
      <c r="V610">
        <f>HYPERLINK("https://klasma.github.io/Logging_2481/klagomål/A 61497-2021 FSC-klagomål.docx", "A 61497-2021")</f>
        <v/>
      </c>
      <c r="W610">
        <f>HYPERLINK("https://klasma.github.io/Logging_2481/klagomålsmail/A 61497-2021 FSC-klagomål mail.docx", "A 61497-2021")</f>
        <v/>
      </c>
      <c r="X610">
        <f>HYPERLINK("https://klasma.github.io/Logging_2481/tillsyn/A 61497-2021 tillsynsbegäran.docx", "A 61497-2021")</f>
        <v/>
      </c>
      <c r="Y610">
        <f>HYPERLINK("https://klasma.github.io/Logging_2481/tillsynsmail/A 61497-2021 tillsynsbegäran mail.docx", "A 61497-2021")</f>
        <v/>
      </c>
    </row>
    <row r="611" ht="15" customHeight="1">
      <c r="A611" t="inlineStr">
        <is>
          <t>A 25524-2022</t>
        </is>
      </c>
      <c r="B611" s="1" t="n">
        <v>44732</v>
      </c>
      <c r="C611" s="1" t="n">
        <v>46075</v>
      </c>
      <c r="D611" t="inlineStr">
        <is>
          <t>VÄSTERBOTTENS LÄN</t>
        </is>
      </c>
      <c r="E611" t="inlineStr">
        <is>
          <t>STORUMAN</t>
        </is>
      </c>
      <c r="F611" t="inlineStr">
        <is>
          <t>Sveaskog</t>
        </is>
      </c>
      <c r="G611" t="n">
        <v>3.8</v>
      </c>
      <c r="H611" t="n">
        <v>0</v>
      </c>
      <c r="I611" t="n">
        <v>0</v>
      </c>
      <c r="J611" t="n">
        <v>1</v>
      </c>
      <c r="K611" t="n">
        <v>1</v>
      </c>
      <c r="L611" t="n">
        <v>0</v>
      </c>
      <c r="M611" t="n">
        <v>0</v>
      </c>
      <c r="N611" t="n">
        <v>0</v>
      </c>
      <c r="O611" t="n">
        <v>2</v>
      </c>
      <c r="P611" t="n">
        <v>1</v>
      </c>
      <c r="Q611" t="n">
        <v>2</v>
      </c>
      <c r="R611" s="2" t="inlineStr">
        <is>
          <t>Grantickeporing
Granticka</t>
        </is>
      </c>
      <c r="S611">
        <f>HYPERLINK("https://klasma.github.io/Logging_2421/artfynd/A 25524-2022 artfynd.xlsx", "A 25524-2022")</f>
        <v/>
      </c>
      <c r="T611">
        <f>HYPERLINK("https://klasma.github.io/Logging_2421/kartor/A 25524-2022 karta.png", "A 25524-2022")</f>
        <v/>
      </c>
      <c r="V611">
        <f>HYPERLINK("https://klasma.github.io/Logging_2421/klagomål/A 25524-2022 FSC-klagomål.docx", "A 25524-2022")</f>
        <v/>
      </c>
      <c r="W611">
        <f>HYPERLINK("https://klasma.github.io/Logging_2421/klagomålsmail/A 25524-2022 FSC-klagomål mail.docx", "A 25524-2022")</f>
        <v/>
      </c>
      <c r="X611">
        <f>HYPERLINK("https://klasma.github.io/Logging_2421/tillsyn/A 25524-2022 tillsynsbegäran.docx", "A 25524-2022")</f>
        <v/>
      </c>
      <c r="Y611">
        <f>HYPERLINK("https://klasma.github.io/Logging_2421/tillsynsmail/A 25524-2022 tillsynsbegäran mail.docx", "A 25524-2022")</f>
        <v/>
      </c>
    </row>
    <row r="612" ht="15" customHeight="1">
      <c r="A612" t="inlineStr">
        <is>
          <t>A 38689-2021</t>
        </is>
      </c>
      <c r="B612" s="1" t="n">
        <v>44407</v>
      </c>
      <c r="C612" s="1" t="n">
        <v>46075</v>
      </c>
      <c r="D612" t="inlineStr">
        <is>
          <t>VÄSTERBOTTENS LÄN</t>
        </is>
      </c>
      <c r="E612" t="inlineStr">
        <is>
          <t>UMEÅ</t>
        </is>
      </c>
      <c r="F612" t="inlineStr">
        <is>
          <t>Kommuner</t>
        </is>
      </c>
      <c r="G612" t="n">
        <v>1.4</v>
      </c>
      <c r="H612" t="n">
        <v>0</v>
      </c>
      <c r="I612" t="n">
        <v>0</v>
      </c>
      <c r="J612" t="n">
        <v>2</v>
      </c>
      <c r="K612" t="n">
        <v>0</v>
      </c>
      <c r="L612" t="n">
        <v>0</v>
      </c>
      <c r="M612" t="n">
        <v>0</v>
      </c>
      <c r="N612" t="n">
        <v>0</v>
      </c>
      <c r="O612" t="n">
        <v>2</v>
      </c>
      <c r="P612" t="n">
        <v>0</v>
      </c>
      <c r="Q612" t="n">
        <v>2</v>
      </c>
      <c r="R612" s="2" t="inlineStr">
        <is>
          <t>Gulbandad brunbagge
Rödhalsad vedsvampbagge</t>
        </is>
      </c>
      <c r="S612">
        <f>HYPERLINK("https://klasma.github.io/Logging_2480/artfynd/A 38689-2021 artfynd.xlsx", "A 38689-2021")</f>
        <v/>
      </c>
      <c r="T612">
        <f>HYPERLINK("https://klasma.github.io/Logging_2480/kartor/A 38689-2021 karta.png", "A 38689-2021")</f>
        <v/>
      </c>
      <c r="V612">
        <f>HYPERLINK("https://klasma.github.io/Logging_2480/klagomål/A 38689-2021 FSC-klagomål.docx", "A 38689-2021")</f>
        <v/>
      </c>
      <c r="W612">
        <f>HYPERLINK("https://klasma.github.io/Logging_2480/klagomålsmail/A 38689-2021 FSC-klagomål mail.docx", "A 38689-2021")</f>
        <v/>
      </c>
      <c r="X612">
        <f>HYPERLINK("https://klasma.github.io/Logging_2480/tillsyn/A 38689-2021 tillsynsbegäran.docx", "A 38689-2021")</f>
        <v/>
      </c>
      <c r="Y612">
        <f>HYPERLINK("https://klasma.github.io/Logging_2480/tillsynsmail/A 38689-2021 tillsynsbegäran mail.docx", "A 38689-2021")</f>
        <v/>
      </c>
    </row>
    <row r="613" ht="15" customHeight="1">
      <c r="A613" t="inlineStr">
        <is>
          <t>A 11980-2021</t>
        </is>
      </c>
      <c r="B613" s="1" t="n">
        <v>44266</v>
      </c>
      <c r="C613" s="1" t="n">
        <v>46075</v>
      </c>
      <c r="D613" t="inlineStr">
        <is>
          <t>VÄSTERBOTTENS LÄN</t>
        </is>
      </c>
      <c r="E613" t="inlineStr">
        <is>
          <t>VILHELMINA</t>
        </is>
      </c>
      <c r="F613" t="inlineStr">
        <is>
          <t>Allmännings- och besparingsskogar</t>
        </is>
      </c>
      <c r="G613" t="n">
        <v>4.1</v>
      </c>
      <c r="H613" t="n">
        <v>0</v>
      </c>
      <c r="I613" t="n">
        <v>1</v>
      </c>
      <c r="J613" t="n">
        <v>1</v>
      </c>
      <c r="K613" t="n">
        <v>0</v>
      </c>
      <c r="L613" t="n">
        <v>0</v>
      </c>
      <c r="M613" t="n">
        <v>0</v>
      </c>
      <c r="N613" t="n">
        <v>0</v>
      </c>
      <c r="O613" t="n">
        <v>1</v>
      </c>
      <c r="P613" t="n">
        <v>0</v>
      </c>
      <c r="Q613" t="n">
        <v>2</v>
      </c>
      <c r="R613" s="2" t="inlineStr">
        <is>
          <t>Skrovellav
Stuplav</t>
        </is>
      </c>
      <c r="S613">
        <f>HYPERLINK("https://klasma.github.io/Logging_2462/artfynd/A 11980-2021 artfynd.xlsx", "A 11980-2021")</f>
        <v/>
      </c>
      <c r="T613">
        <f>HYPERLINK("https://klasma.github.io/Logging_2462/kartor/A 11980-2021 karta.png", "A 11980-2021")</f>
        <v/>
      </c>
      <c r="V613">
        <f>HYPERLINK("https://klasma.github.io/Logging_2462/klagomål/A 11980-2021 FSC-klagomål.docx", "A 11980-2021")</f>
        <v/>
      </c>
      <c r="W613">
        <f>HYPERLINK("https://klasma.github.io/Logging_2462/klagomålsmail/A 11980-2021 FSC-klagomål mail.docx", "A 11980-2021")</f>
        <v/>
      </c>
      <c r="X613">
        <f>HYPERLINK("https://klasma.github.io/Logging_2462/tillsyn/A 11980-2021 tillsynsbegäran.docx", "A 11980-2021")</f>
        <v/>
      </c>
      <c r="Y613">
        <f>HYPERLINK("https://klasma.github.io/Logging_2462/tillsynsmail/A 11980-2021 tillsynsbegäran mail.docx", "A 11980-2021")</f>
        <v/>
      </c>
    </row>
    <row r="614" ht="15" customHeight="1">
      <c r="A614" t="inlineStr">
        <is>
          <t>A 45569-2022</t>
        </is>
      </c>
      <c r="B614" s="1" t="n">
        <v>44841</v>
      </c>
      <c r="C614" s="1" t="n">
        <v>46075</v>
      </c>
      <c r="D614" t="inlineStr">
        <is>
          <t>VÄSTERBOTTENS LÄN</t>
        </is>
      </c>
      <c r="E614" t="inlineStr">
        <is>
          <t>SORSELE</t>
        </is>
      </c>
      <c r="G614" t="n">
        <v>55.7</v>
      </c>
      <c r="H614" t="n">
        <v>0</v>
      </c>
      <c r="I614" t="n">
        <v>0</v>
      </c>
      <c r="J614" t="n">
        <v>2</v>
      </c>
      <c r="K614" t="n">
        <v>0</v>
      </c>
      <c r="L614" t="n">
        <v>0</v>
      </c>
      <c r="M614" t="n">
        <v>0</v>
      </c>
      <c r="N614" t="n">
        <v>0</v>
      </c>
      <c r="O614" t="n">
        <v>2</v>
      </c>
      <c r="P614" t="n">
        <v>0</v>
      </c>
      <c r="Q614" t="n">
        <v>2</v>
      </c>
      <c r="R614" s="2" t="inlineStr">
        <is>
          <t>Gränsticka
Harticka</t>
        </is>
      </c>
      <c r="S614">
        <f>HYPERLINK("https://klasma.github.io/Logging_2422/artfynd/A 45569-2022 artfynd.xlsx", "A 45569-2022")</f>
        <v/>
      </c>
      <c r="T614">
        <f>HYPERLINK("https://klasma.github.io/Logging_2422/kartor/A 45569-2022 karta.png", "A 45569-2022")</f>
        <v/>
      </c>
      <c r="V614">
        <f>HYPERLINK("https://klasma.github.io/Logging_2422/klagomål/A 45569-2022 FSC-klagomål.docx", "A 45569-2022")</f>
        <v/>
      </c>
      <c r="W614">
        <f>HYPERLINK("https://klasma.github.io/Logging_2422/klagomålsmail/A 45569-2022 FSC-klagomål mail.docx", "A 45569-2022")</f>
        <v/>
      </c>
      <c r="X614">
        <f>HYPERLINK("https://klasma.github.io/Logging_2422/tillsyn/A 45569-2022 tillsynsbegäran.docx", "A 45569-2022")</f>
        <v/>
      </c>
      <c r="Y614">
        <f>HYPERLINK("https://klasma.github.io/Logging_2422/tillsynsmail/A 45569-2022 tillsynsbegäran mail.docx", "A 45569-2022")</f>
        <v/>
      </c>
    </row>
    <row r="615" ht="15" customHeight="1">
      <c r="A615" t="inlineStr">
        <is>
          <t>A 58701-2023</t>
        </is>
      </c>
      <c r="B615" s="1" t="n">
        <v>45247</v>
      </c>
      <c r="C615" s="1" t="n">
        <v>46075</v>
      </c>
      <c r="D615" t="inlineStr">
        <is>
          <t>VÄSTERBOTTENS LÄN</t>
        </is>
      </c>
      <c r="E615" t="inlineStr">
        <is>
          <t>SKELLEFTEÅ</t>
        </is>
      </c>
      <c r="G615" t="n">
        <v>1.8</v>
      </c>
      <c r="H615" t="n">
        <v>1</v>
      </c>
      <c r="I615" t="n">
        <v>0</v>
      </c>
      <c r="J615" t="n">
        <v>2</v>
      </c>
      <c r="K615" t="n">
        <v>0</v>
      </c>
      <c r="L615" t="n">
        <v>0</v>
      </c>
      <c r="M615" t="n">
        <v>0</v>
      </c>
      <c r="N615" t="n">
        <v>0</v>
      </c>
      <c r="O615" t="n">
        <v>2</v>
      </c>
      <c r="P615" t="n">
        <v>0</v>
      </c>
      <c r="Q615" t="n">
        <v>2</v>
      </c>
      <c r="R615" s="2" t="inlineStr">
        <is>
          <t>Koralltaggsvamp
Talltita</t>
        </is>
      </c>
      <c r="S615">
        <f>HYPERLINK("https://klasma.github.io/Logging_2482/artfynd/A 58701-2023 artfynd.xlsx", "A 58701-2023")</f>
        <v/>
      </c>
      <c r="T615">
        <f>HYPERLINK("https://klasma.github.io/Logging_2482/kartor/A 58701-2023 karta.png", "A 58701-2023")</f>
        <v/>
      </c>
      <c r="V615">
        <f>HYPERLINK("https://klasma.github.io/Logging_2482/klagomål/A 58701-2023 FSC-klagomål.docx", "A 58701-2023")</f>
        <v/>
      </c>
      <c r="W615">
        <f>HYPERLINK("https://klasma.github.io/Logging_2482/klagomålsmail/A 58701-2023 FSC-klagomål mail.docx", "A 58701-2023")</f>
        <v/>
      </c>
      <c r="X615">
        <f>HYPERLINK("https://klasma.github.io/Logging_2482/tillsyn/A 58701-2023 tillsynsbegäran.docx", "A 58701-2023")</f>
        <v/>
      </c>
      <c r="Y615">
        <f>HYPERLINK("https://klasma.github.io/Logging_2482/tillsynsmail/A 58701-2023 tillsynsbegäran mail.docx", "A 58701-2023")</f>
        <v/>
      </c>
      <c r="Z615">
        <f>HYPERLINK("https://klasma.github.io/Logging_2482/fåglar/A 58701-2023 prioriterade fågelarter.docx", "A 58701-2023")</f>
        <v/>
      </c>
    </row>
    <row r="616" ht="15" customHeight="1">
      <c r="A616" t="inlineStr">
        <is>
          <t>A 41723-2024</t>
        </is>
      </c>
      <c r="B616" s="1" t="n">
        <v>45560</v>
      </c>
      <c r="C616" s="1" t="n">
        <v>46075</v>
      </c>
      <c r="D616" t="inlineStr">
        <is>
          <t>VÄSTERBOTTENS LÄN</t>
        </is>
      </c>
      <c r="E616" t="inlineStr">
        <is>
          <t>ROBERTSFORS</t>
        </is>
      </c>
      <c r="G616" t="n">
        <v>2.4</v>
      </c>
      <c r="H616" t="n">
        <v>2</v>
      </c>
      <c r="I616" t="n">
        <v>0</v>
      </c>
      <c r="J616" t="n">
        <v>2</v>
      </c>
      <c r="K616" t="n">
        <v>0</v>
      </c>
      <c r="L616" t="n">
        <v>0</v>
      </c>
      <c r="M616" t="n">
        <v>0</v>
      </c>
      <c r="N616" t="n">
        <v>0</v>
      </c>
      <c r="O616" t="n">
        <v>2</v>
      </c>
      <c r="P616" t="n">
        <v>0</v>
      </c>
      <c r="Q616" t="n">
        <v>2</v>
      </c>
      <c r="R616" s="2" t="inlineStr">
        <is>
          <t>Spillkråka
Tretåig hackspett</t>
        </is>
      </c>
      <c r="S616">
        <f>HYPERLINK("https://klasma.github.io/Logging_2409/artfynd/A 41723-2024 artfynd.xlsx", "A 41723-2024")</f>
        <v/>
      </c>
      <c r="T616">
        <f>HYPERLINK("https://klasma.github.io/Logging_2409/kartor/A 41723-2024 karta.png", "A 41723-2024")</f>
        <v/>
      </c>
      <c r="V616">
        <f>HYPERLINK("https://klasma.github.io/Logging_2409/klagomål/A 41723-2024 FSC-klagomål.docx", "A 41723-2024")</f>
        <v/>
      </c>
      <c r="W616">
        <f>HYPERLINK("https://klasma.github.io/Logging_2409/klagomålsmail/A 41723-2024 FSC-klagomål mail.docx", "A 41723-2024")</f>
        <v/>
      </c>
      <c r="X616">
        <f>HYPERLINK("https://klasma.github.io/Logging_2409/tillsyn/A 41723-2024 tillsynsbegäran.docx", "A 41723-2024")</f>
        <v/>
      </c>
      <c r="Y616">
        <f>HYPERLINK("https://klasma.github.io/Logging_2409/tillsynsmail/A 41723-2024 tillsynsbegäran mail.docx", "A 41723-2024")</f>
        <v/>
      </c>
      <c r="Z616">
        <f>HYPERLINK("https://klasma.github.io/Logging_2409/fåglar/A 41723-2024 prioriterade fågelarter.docx", "A 41723-2024")</f>
        <v/>
      </c>
    </row>
    <row r="617" ht="15" customHeight="1">
      <c r="A617" t="inlineStr">
        <is>
          <t>A 53422-2024</t>
        </is>
      </c>
      <c r="B617" s="1" t="n">
        <v>45614.51167824074</v>
      </c>
      <c r="C617" s="1" t="n">
        <v>46075</v>
      </c>
      <c r="D617" t="inlineStr">
        <is>
          <t>VÄSTERBOTTENS LÄN</t>
        </is>
      </c>
      <c r="E617" t="inlineStr">
        <is>
          <t>SKELLEFTEÅ</t>
        </is>
      </c>
      <c r="G617" t="n">
        <v>1.6</v>
      </c>
      <c r="H617" t="n">
        <v>1</v>
      </c>
      <c r="I617" t="n">
        <v>0</v>
      </c>
      <c r="J617" t="n">
        <v>2</v>
      </c>
      <c r="K617" t="n">
        <v>0</v>
      </c>
      <c r="L617" t="n">
        <v>0</v>
      </c>
      <c r="M617" t="n">
        <v>0</v>
      </c>
      <c r="N617" t="n">
        <v>0</v>
      </c>
      <c r="O617" t="n">
        <v>2</v>
      </c>
      <c r="P617" t="n">
        <v>0</v>
      </c>
      <c r="Q617" t="n">
        <v>2</v>
      </c>
      <c r="R617" s="2" t="inlineStr">
        <is>
          <t>Järpe
Talltaggsvamp</t>
        </is>
      </c>
      <c r="S617">
        <f>HYPERLINK("https://klasma.github.io/Logging_2482/artfynd/A 53422-2024 artfynd.xlsx", "A 53422-2024")</f>
        <v/>
      </c>
      <c r="T617">
        <f>HYPERLINK("https://klasma.github.io/Logging_2482/kartor/A 53422-2024 karta.png", "A 53422-2024")</f>
        <v/>
      </c>
      <c r="V617">
        <f>HYPERLINK("https://klasma.github.io/Logging_2482/klagomål/A 53422-2024 FSC-klagomål.docx", "A 53422-2024")</f>
        <v/>
      </c>
      <c r="W617">
        <f>HYPERLINK("https://klasma.github.io/Logging_2482/klagomålsmail/A 53422-2024 FSC-klagomål mail.docx", "A 53422-2024")</f>
        <v/>
      </c>
      <c r="X617">
        <f>HYPERLINK("https://klasma.github.io/Logging_2482/tillsyn/A 53422-2024 tillsynsbegäran.docx", "A 53422-2024")</f>
        <v/>
      </c>
      <c r="Y617">
        <f>HYPERLINK("https://klasma.github.io/Logging_2482/tillsynsmail/A 53422-2024 tillsynsbegäran mail.docx", "A 53422-2024")</f>
        <v/>
      </c>
      <c r="Z617">
        <f>HYPERLINK("https://klasma.github.io/Logging_2482/fåglar/A 53422-2024 prioriterade fågelarter.docx", "A 53422-2024")</f>
        <v/>
      </c>
    </row>
    <row r="618" ht="15" customHeight="1">
      <c r="A618" t="inlineStr">
        <is>
          <t>A 55198-2024</t>
        </is>
      </c>
      <c r="B618" s="1" t="n">
        <v>45620</v>
      </c>
      <c r="C618" s="1" t="n">
        <v>46075</v>
      </c>
      <c r="D618" t="inlineStr">
        <is>
          <t>VÄSTERBOTTENS LÄN</t>
        </is>
      </c>
      <c r="E618" t="inlineStr">
        <is>
          <t>SKELLEFTEÅ</t>
        </is>
      </c>
      <c r="G618" t="n">
        <v>1.8</v>
      </c>
      <c r="H618" t="n">
        <v>0</v>
      </c>
      <c r="I618" t="n">
        <v>1</v>
      </c>
      <c r="J618" t="n">
        <v>1</v>
      </c>
      <c r="K618" t="n">
        <v>0</v>
      </c>
      <c r="L618" t="n">
        <v>0</v>
      </c>
      <c r="M618" t="n">
        <v>0</v>
      </c>
      <c r="N618" t="n">
        <v>0</v>
      </c>
      <c r="O618" t="n">
        <v>1</v>
      </c>
      <c r="P618" t="n">
        <v>0</v>
      </c>
      <c r="Q618" t="n">
        <v>2</v>
      </c>
      <c r="R618" s="2" t="inlineStr">
        <is>
          <t>Blanksvart spiklav
Nästlav</t>
        </is>
      </c>
      <c r="S618">
        <f>HYPERLINK("https://klasma.github.io/Logging_2482/artfynd/A 55198-2024 artfynd.xlsx", "A 55198-2024")</f>
        <v/>
      </c>
      <c r="T618">
        <f>HYPERLINK("https://klasma.github.io/Logging_2482/kartor/A 55198-2024 karta.png", "A 55198-2024")</f>
        <v/>
      </c>
      <c r="V618">
        <f>HYPERLINK("https://klasma.github.io/Logging_2482/klagomål/A 55198-2024 FSC-klagomål.docx", "A 55198-2024")</f>
        <v/>
      </c>
      <c r="W618">
        <f>HYPERLINK("https://klasma.github.io/Logging_2482/klagomålsmail/A 55198-2024 FSC-klagomål mail.docx", "A 55198-2024")</f>
        <v/>
      </c>
      <c r="X618">
        <f>HYPERLINK("https://klasma.github.io/Logging_2482/tillsyn/A 55198-2024 tillsynsbegäran.docx", "A 55198-2024")</f>
        <v/>
      </c>
      <c r="Y618">
        <f>HYPERLINK("https://klasma.github.io/Logging_2482/tillsynsmail/A 55198-2024 tillsynsbegäran mail.docx", "A 55198-2024")</f>
        <v/>
      </c>
    </row>
    <row r="619" ht="15" customHeight="1">
      <c r="A619" t="inlineStr">
        <is>
          <t>A 52622-2024</t>
        </is>
      </c>
      <c r="B619" s="1" t="n">
        <v>45609.88023148148</v>
      </c>
      <c r="C619" s="1" t="n">
        <v>46075</v>
      </c>
      <c r="D619" t="inlineStr">
        <is>
          <t>VÄSTERBOTTENS LÄN</t>
        </is>
      </c>
      <c r="E619" t="inlineStr">
        <is>
          <t>SORSELE</t>
        </is>
      </c>
      <c r="G619" t="n">
        <v>3.3</v>
      </c>
      <c r="H619" t="n">
        <v>0</v>
      </c>
      <c r="I619" t="n">
        <v>0</v>
      </c>
      <c r="J619" t="n">
        <v>2</v>
      </c>
      <c r="K619" t="n">
        <v>0</v>
      </c>
      <c r="L619" t="n">
        <v>0</v>
      </c>
      <c r="M619" t="n">
        <v>0</v>
      </c>
      <c r="N619" t="n">
        <v>0</v>
      </c>
      <c r="O619" t="n">
        <v>2</v>
      </c>
      <c r="P619" t="n">
        <v>0</v>
      </c>
      <c r="Q619" t="n">
        <v>2</v>
      </c>
      <c r="R619" s="2" t="inlineStr">
        <is>
          <t>Gammelgransskål
Kolflarnlav</t>
        </is>
      </c>
      <c r="S619">
        <f>HYPERLINK("https://klasma.github.io/Logging_2422/artfynd/A 52622-2024 artfynd.xlsx", "A 52622-2024")</f>
        <v/>
      </c>
      <c r="T619">
        <f>HYPERLINK("https://klasma.github.io/Logging_2422/kartor/A 52622-2024 karta.png", "A 52622-2024")</f>
        <v/>
      </c>
      <c r="V619">
        <f>HYPERLINK("https://klasma.github.io/Logging_2422/klagomål/A 52622-2024 FSC-klagomål.docx", "A 52622-2024")</f>
        <v/>
      </c>
      <c r="W619">
        <f>HYPERLINK("https://klasma.github.io/Logging_2422/klagomålsmail/A 52622-2024 FSC-klagomål mail.docx", "A 52622-2024")</f>
        <v/>
      </c>
      <c r="X619">
        <f>HYPERLINK("https://klasma.github.io/Logging_2422/tillsyn/A 52622-2024 tillsynsbegäran.docx", "A 52622-2024")</f>
        <v/>
      </c>
      <c r="Y619">
        <f>HYPERLINK("https://klasma.github.io/Logging_2422/tillsynsmail/A 52622-2024 tillsynsbegäran mail.docx", "A 52622-2024")</f>
        <v/>
      </c>
    </row>
    <row r="620" ht="15" customHeight="1">
      <c r="A620" t="inlineStr">
        <is>
          <t>A 43250-2023</t>
        </is>
      </c>
      <c r="B620" s="1" t="n">
        <v>45180</v>
      </c>
      <c r="C620" s="1" t="n">
        <v>46075</v>
      </c>
      <c r="D620" t="inlineStr">
        <is>
          <t>VÄSTERBOTTENS LÄN</t>
        </is>
      </c>
      <c r="E620" t="inlineStr">
        <is>
          <t>SKELLEFTEÅ</t>
        </is>
      </c>
      <c r="G620" t="n">
        <v>3.3</v>
      </c>
      <c r="H620" t="n">
        <v>1</v>
      </c>
      <c r="I620" t="n">
        <v>0</v>
      </c>
      <c r="J620" t="n">
        <v>1</v>
      </c>
      <c r="K620" t="n">
        <v>1</v>
      </c>
      <c r="L620" t="n">
        <v>0</v>
      </c>
      <c r="M620" t="n">
        <v>0</v>
      </c>
      <c r="N620" t="n">
        <v>0</v>
      </c>
      <c r="O620" t="n">
        <v>2</v>
      </c>
      <c r="P620" t="n">
        <v>1</v>
      </c>
      <c r="Q620" t="n">
        <v>2</v>
      </c>
      <c r="R620" s="2" t="inlineStr">
        <is>
          <t>Knärot
Gammelgransskål</t>
        </is>
      </c>
      <c r="S620">
        <f>HYPERLINK("https://klasma.github.io/Logging_2482/artfynd/A 43250-2023 artfynd.xlsx", "A 43250-2023")</f>
        <v/>
      </c>
      <c r="T620">
        <f>HYPERLINK("https://klasma.github.io/Logging_2482/kartor/A 43250-2023 karta.png", "A 43250-2023")</f>
        <v/>
      </c>
      <c r="U620">
        <f>HYPERLINK("https://klasma.github.io/Logging_2482/knärot/A 43250-2023 karta knärot.png", "A 43250-2023")</f>
        <v/>
      </c>
      <c r="V620">
        <f>HYPERLINK("https://klasma.github.io/Logging_2482/klagomål/A 43250-2023 FSC-klagomål.docx", "A 43250-2023")</f>
        <v/>
      </c>
      <c r="W620">
        <f>HYPERLINK("https://klasma.github.io/Logging_2482/klagomålsmail/A 43250-2023 FSC-klagomål mail.docx", "A 43250-2023")</f>
        <v/>
      </c>
      <c r="X620">
        <f>HYPERLINK("https://klasma.github.io/Logging_2482/tillsyn/A 43250-2023 tillsynsbegäran.docx", "A 43250-2023")</f>
        <v/>
      </c>
      <c r="Y620">
        <f>HYPERLINK("https://klasma.github.io/Logging_2482/tillsynsmail/A 43250-2023 tillsynsbegäran mail.docx", "A 43250-2023")</f>
        <v/>
      </c>
    </row>
    <row r="621" ht="15" customHeight="1">
      <c r="A621" t="inlineStr">
        <is>
          <t>A 52538-2024</t>
        </is>
      </c>
      <c r="B621" s="1" t="n">
        <v>45609.62820601852</v>
      </c>
      <c r="C621" s="1" t="n">
        <v>46075</v>
      </c>
      <c r="D621" t="inlineStr">
        <is>
          <t>VÄSTERBOTTENS LÄN</t>
        </is>
      </c>
      <c r="E621" t="inlineStr">
        <is>
          <t>NORSJÖ</t>
        </is>
      </c>
      <c r="F621" t="inlineStr">
        <is>
          <t>Sveaskog</t>
        </is>
      </c>
      <c r="G621" t="n">
        <v>10.8</v>
      </c>
      <c r="H621" t="n">
        <v>0</v>
      </c>
      <c r="I621" t="n">
        <v>0</v>
      </c>
      <c r="J621" t="n">
        <v>2</v>
      </c>
      <c r="K621" t="n">
        <v>0</v>
      </c>
      <c r="L621" t="n">
        <v>0</v>
      </c>
      <c r="M621" t="n">
        <v>0</v>
      </c>
      <c r="N621" t="n">
        <v>0</v>
      </c>
      <c r="O621" t="n">
        <v>2</v>
      </c>
      <c r="P621" t="n">
        <v>0</v>
      </c>
      <c r="Q621" t="n">
        <v>2</v>
      </c>
      <c r="R621" s="2" t="inlineStr">
        <is>
          <t>Motaggsvamp
Orange taggsvamp</t>
        </is>
      </c>
      <c r="S621">
        <f>HYPERLINK("https://klasma.github.io/Logging_2417/artfynd/A 52538-2024 artfynd.xlsx", "A 52538-2024")</f>
        <v/>
      </c>
      <c r="T621">
        <f>HYPERLINK("https://klasma.github.io/Logging_2417/kartor/A 52538-2024 karta.png", "A 52538-2024")</f>
        <v/>
      </c>
      <c r="V621">
        <f>HYPERLINK("https://klasma.github.io/Logging_2417/klagomål/A 52538-2024 FSC-klagomål.docx", "A 52538-2024")</f>
        <v/>
      </c>
      <c r="W621">
        <f>HYPERLINK("https://klasma.github.io/Logging_2417/klagomålsmail/A 52538-2024 FSC-klagomål mail.docx", "A 52538-2024")</f>
        <v/>
      </c>
      <c r="X621">
        <f>HYPERLINK("https://klasma.github.io/Logging_2417/tillsyn/A 52538-2024 tillsynsbegäran.docx", "A 52538-2024")</f>
        <v/>
      </c>
      <c r="Y621">
        <f>HYPERLINK("https://klasma.github.io/Logging_2417/tillsynsmail/A 52538-2024 tillsynsbegäran mail.docx", "A 52538-2024")</f>
        <v/>
      </c>
    </row>
    <row r="622" ht="15" customHeight="1">
      <c r="A622" t="inlineStr">
        <is>
          <t>A 54363-2024</t>
        </is>
      </c>
      <c r="B622" s="1" t="n">
        <v>45617.41769675926</v>
      </c>
      <c r="C622" s="1" t="n">
        <v>46075</v>
      </c>
      <c r="D622" t="inlineStr">
        <is>
          <t>VÄSTERBOTTENS LÄN</t>
        </is>
      </c>
      <c r="E622" t="inlineStr">
        <is>
          <t>VINDELN</t>
        </is>
      </c>
      <c r="F622" t="inlineStr">
        <is>
          <t>Holmen skog AB</t>
        </is>
      </c>
      <c r="G622" t="n">
        <v>5.2</v>
      </c>
      <c r="H622" t="n">
        <v>0</v>
      </c>
      <c r="I622" t="n">
        <v>2</v>
      </c>
      <c r="J622" t="n">
        <v>0</v>
      </c>
      <c r="K622" t="n">
        <v>0</v>
      </c>
      <c r="L622" t="n">
        <v>0</v>
      </c>
      <c r="M622" t="n">
        <v>0</v>
      </c>
      <c r="N622" t="n">
        <v>0</v>
      </c>
      <c r="O622" t="n">
        <v>0</v>
      </c>
      <c r="P622" t="n">
        <v>0</v>
      </c>
      <c r="Q622" t="n">
        <v>2</v>
      </c>
      <c r="R622" s="2" t="inlineStr">
        <is>
          <t>Skinnlav
Vedticka</t>
        </is>
      </c>
      <c r="S622">
        <f>HYPERLINK("https://klasma.github.io/Logging_2404/artfynd/A 54363-2024 artfynd.xlsx", "A 54363-2024")</f>
        <v/>
      </c>
      <c r="T622">
        <f>HYPERLINK("https://klasma.github.io/Logging_2404/kartor/A 54363-2024 karta.png", "A 54363-2024")</f>
        <v/>
      </c>
      <c r="V622">
        <f>HYPERLINK("https://klasma.github.io/Logging_2404/klagomål/A 54363-2024 FSC-klagomål.docx", "A 54363-2024")</f>
        <v/>
      </c>
      <c r="W622">
        <f>HYPERLINK("https://klasma.github.io/Logging_2404/klagomålsmail/A 54363-2024 FSC-klagomål mail.docx", "A 54363-2024")</f>
        <v/>
      </c>
      <c r="X622">
        <f>HYPERLINK("https://klasma.github.io/Logging_2404/tillsyn/A 54363-2024 tillsynsbegäran.docx", "A 54363-2024")</f>
        <v/>
      </c>
      <c r="Y622">
        <f>HYPERLINK("https://klasma.github.io/Logging_2404/tillsynsmail/A 54363-2024 tillsynsbegäran mail.docx", "A 54363-2024")</f>
        <v/>
      </c>
    </row>
    <row r="623" ht="15" customHeight="1">
      <c r="A623" t="inlineStr">
        <is>
          <t>A 60379-2024</t>
        </is>
      </c>
      <c r="B623" s="1" t="n">
        <v>45643</v>
      </c>
      <c r="C623" s="1" t="n">
        <v>46075</v>
      </c>
      <c r="D623" t="inlineStr">
        <is>
          <t>VÄSTERBOTTENS LÄN</t>
        </is>
      </c>
      <c r="E623" t="inlineStr">
        <is>
          <t>VILHELMINA</t>
        </is>
      </c>
      <c r="F623" t="inlineStr">
        <is>
          <t>SCA</t>
        </is>
      </c>
      <c r="G623" t="n">
        <v>12.4</v>
      </c>
      <c r="H623" t="n">
        <v>0</v>
      </c>
      <c r="I623" t="n">
        <v>0</v>
      </c>
      <c r="J623" t="n">
        <v>2</v>
      </c>
      <c r="K623" t="n">
        <v>0</v>
      </c>
      <c r="L623" t="n">
        <v>0</v>
      </c>
      <c r="M623" t="n">
        <v>0</v>
      </c>
      <c r="N623" t="n">
        <v>0</v>
      </c>
      <c r="O623" t="n">
        <v>2</v>
      </c>
      <c r="P623" t="n">
        <v>0</v>
      </c>
      <c r="Q623" t="n">
        <v>2</v>
      </c>
      <c r="R623" s="2" t="inlineStr">
        <is>
          <t>Skrovellav
Ullticka</t>
        </is>
      </c>
      <c r="S623">
        <f>HYPERLINK("https://klasma.github.io/Logging_2462/artfynd/A 60379-2024 artfynd.xlsx", "A 60379-2024")</f>
        <v/>
      </c>
      <c r="T623">
        <f>HYPERLINK("https://klasma.github.io/Logging_2462/kartor/A 60379-2024 karta.png", "A 60379-2024")</f>
        <v/>
      </c>
      <c r="V623">
        <f>HYPERLINK("https://klasma.github.io/Logging_2462/klagomål/A 60379-2024 FSC-klagomål.docx", "A 60379-2024")</f>
        <v/>
      </c>
      <c r="W623">
        <f>HYPERLINK("https://klasma.github.io/Logging_2462/klagomålsmail/A 60379-2024 FSC-klagomål mail.docx", "A 60379-2024")</f>
        <v/>
      </c>
      <c r="X623">
        <f>HYPERLINK("https://klasma.github.io/Logging_2462/tillsyn/A 60379-2024 tillsynsbegäran.docx", "A 60379-2024")</f>
        <v/>
      </c>
      <c r="Y623">
        <f>HYPERLINK("https://klasma.github.io/Logging_2462/tillsynsmail/A 60379-2024 tillsynsbegäran mail.docx", "A 60379-2024")</f>
        <v/>
      </c>
    </row>
    <row r="624" ht="15" customHeight="1">
      <c r="A624" t="inlineStr">
        <is>
          <t>A 31320-2024</t>
        </is>
      </c>
      <c r="B624" s="1" t="n">
        <v>45504</v>
      </c>
      <c r="C624" s="1" t="n">
        <v>46075</v>
      </c>
      <c r="D624" t="inlineStr">
        <is>
          <t>VÄSTERBOTTENS LÄN</t>
        </is>
      </c>
      <c r="E624" t="inlineStr">
        <is>
          <t>ROBERTSFORS</t>
        </is>
      </c>
      <c r="F624" t="inlineStr">
        <is>
          <t>Holmen skog AB</t>
        </is>
      </c>
      <c r="G624" t="n">
        <v>4.9</v>
      </c>
      <c r="H624" t="n">
        <v>0</v>
      </c>
      <c r="I624" t="n">
        <v>0</v>
      </c>
      <c r="J624" t="n">
        <v>2</v>
      </c>
      <c r="K624" t="n">
        <v>0</v>
      </c>
      <c r="L624" t="n">
        <v>0</v>
      </c>
      <c r="M624" t="n">
        <v>0</v>
      </c>
      <c r="N624" t="n">
        <v>0</v>
      </c>
      <c r="O624" t="n">
        <v>2</v>
      </c>
      <c r="P624" t="n">
        <v>0</v>
      </c>
      <c r="Q624" t="n">
        <v>2</v>
      </c>
      <c r="R624" s="2" t="inlineStr">
        <is>
          <t>Kolflarnlav
Vedflamlav</t>
        </is>
      </c>
      <c r="S624">
        <f>HYPERLINK("https://klasma.github.io/Logging_2409/artfynd/A 31320-2024 artfynd.xlsx", "A 31320-2024")</f>
        <v/>
      </c>
      <c r="T624">
        <f>HYPERLINK("https://klasma.github.io/Logging_2409/kartor/A 31320-2024 karta.png", "A 31320-2024")</f>
        <v/>
      </c>
      <c r="V624">
        <f>HYPERLINK("https://klasma.github.io/Logging_2409/klagomål/A 31320-2024 FSC-klagomål.docx", "A 31320-2024")</f>
        <v/>
      </c>
      <c r="W624">
        <f>HYPERLINK("https://klasma.github.io/Logging_2409/klagomålsmail/A 31320-2024 FSC-klagomål mail.docx", "A 31320-2024")</f>
        <v/>
      </c>
      <c r="X624">
        <f>HYPERLINK("https://klasma.github.io/Logging_2409/tillsyn/A 31320-2024 tillsynsbegäran.docx", "A 31320-2024")</f>
        <v/>
      </c>
      <c r="Y624">
        <f>HYPERLINK("https://klasma.github.io/Logging_2409/tillsynsmail/A 31320-2024 tillsynsbegäran mail.docx", "A 31320-2024")</f>
        <v/>
      </c>
    </row>
    <row r="625" ht="15" customHeight="1">
      <c r="A625" t="inlineStr">
        <is>
          <t>A 43743-2024</t>
        </is>
      </c>
      <c r="B625" s="1" t="n">
        <v>45569.66039351852</v>
      </c>
      <c r="C625" s="1" t="n">
        <v>46075</v>
      </c>
      <c r="D625" t="inlineStr">
        <is>
          <t>VÄSTERBOTTENS LÄN</t>
        </is>
      </c>
      <c r="E625" t="inlineStr">
        <is>
          <t>SKELLEFTEÅ</t>
        </is>
      </c>
      <c r="G625" t="n">
        <v>2.6</v>
      </c>
      <c r="H625" t="n">
        <v>1</v>
      </c>
      <c r="I625" t="n">
        <v>1</v>
      </c>
      <c r="J625" t="n">
        <v>0</v>
      </c>
      <c r="K625" t="n">
        <v>0</v>
      </c>
      <c r="L625" t="n">
        <v>0</v>
      </c>
      <c r="M625" t="n">
        <v>0</v>
      </c>
      <c r="N625" t="n">
        <v>0</v>
      </c>
      <c r="O625" t="n">
        <v>0</v>
      </c>
      <c r="P625" t="n">
        <v>0</v>
      </c>
      <c r="Q625" t="n">
        <v>2</v>
      </c>
      <c r="R625" s="2" t="inlineStr">
        <is>
          <t>Stuplav
Fläcknycklar</t>
        </is>
      </c>
      <c r="S625">
        <f>HYPERLINK("https://klasma.github.io/Logging_2482/artfynd/A 43743-2024 artfynd.xlsx", "A 43743-2024")</f>
        <v/>
      </c>
      <c r="T625">
        <f>HYPERLINK("https://klasma.github.io/Logging_2482/kartor/A 43743-2024 karta.png", "A 43743-2024")</f>
        <v/>
      </c>
      <c r="V625">
        <f>HYPERLINK("https://klasma.github.io/Logging_2482/klagomål/A 43743-2024 FSC-klagomål.docx", "A 43743-2024")</f>
        <v/>
      </c>
      <c r="W625">
        <f>HYPERLINK("https://klasma.github.io/Logging_2482/klagomålsmail/A 43743-2024 FSC-klagomål mail.docx", "A 43743-2024")</f>
        <v/>
      </c>
      <c r="X625">
        <f>HYPERLINK("https://klasma.github.io/Logging_2482/tillsyn/A 43743-2024 tillsynsbegäran.docx", "A 43743-2024")</f>
        <v/>
      </c>
      <c r="Y625">
        <f>HYPERLINK("https://klasma.github.io/Logging_2482/tillsynsmail/A 43743-2024 tillsynsbegäran mail.docx", "A 43743-2024")</f>
        <v/>
      </c>
    </row>
    <row r="626" ht="15" customHeight="1">
      <c r="A626" t="inlineStr">
        <is>
          <t>A 15081-2023</t>
        </is>
      </c>
      <c r="B626" s="1" t="n">
        <v>45016.07569444444</v>
      </c>
      <c r="C626" s="1" t="n">
        <v>46075</v>
      </c>
      <c r="D626" t="inlineStr">
        <is>
          <t>VÄSTERBOTTENS LÄN</t>
        </is>
      </c>
      <c r="E626" t="inlineStr">
        <is>
          <t>ÅSELE</t>
        </is>
      </c>
      <c r="F626" t="inlineStr">
        <is>
          <t>SCA</t>
        </is>
      </c>
      <c r="G626" t="n">
        <v>6.4</v>
      </c>
      <c r="H626" t="n">
        <v>0</v>
      </c>
      <c r="I626" t="n">
        <v>0</v>
      </c>
      <c r="J626" t="n">
        <v>2</v>
      </c>
      <c r="K626" t="n">
        <v>0</v>
      </c>
      <c r="L626" t="n">
        <v>0</v>
      </c>
      <c r="M626" t="n">
        <v>0</v>
      </c>
      <c r="N626" t="n">
        <v>0</v>
      </c>
      <c r="O626" t="n">
        <v>2</v>
      </c>
      <c r="P626" t="n">
        <v>0</v>
      </c>
      <c r="Q626" t="n">
        <v>2</v>
      </c>
      <c r="R626" s="2" t="inlineStr">
        <is>
          <t>Gränsticka
Koralltaggsvamp</t>
        </is>
      </c>
      <c r="S626">
        <f>HYPERLINK("https://klasma.github.io/Logging_2463/artfynd/A 15081-2023 artfynd.xlsx", "A 15081-2023")</f>
        <v/>
      </c>
      <c r="T626">
        <f>HYPERLINK("https://klasma.github.io/Logging_2463/kartor/A 15081-2023 karta.png", "A 15081-2023")</f>
        <v/>
      </c>
      <c r="V626">
        <f>HYPERLINK("https://klasma.github.io/Logging_2463/klagomål/A 15081-2023 FSC-klagomål.docx", "A 15081-2023")</f>
        <v/>
      </c>
      <c r="W626">
        <f>HYPERLINK("https://klasma.github.io/Logging_2463/klagomålsmail/A 15081-2023 FSC-klagomål mail.docx", "A 15081-2023")</f>
        <v/>
      </c>
      <c r="X626">
        <f>HYPERLINK("https://klasma.github.io/Logging_2463/tillsyn/A 15081-2023 tillsynsbegäran.docx", "A 15081-2023")</f>
        <v/>
      </c>
      <c r="Y626">
        <f>HYPERLINK("https://klasma.github.io/Logging_2463/tillsynsmail/A 15081-2023 tillsynsbegäran mail.docx", "A 15081-2023")</f>
        <v/>
      </c>
    </row>
    <row r="627" ht="15" customHeight="1">
      <c r="A627" t="inlineStr">
        <is>
          <t>A 5110-2025</t>
        </is>
      </c>
      <c r="B627" s="1" t="n">
        <v>45691</v>
      </c>
      <c r="C627" s="1" t="n">
        <v>46075</v>
      </c>
      <c r="D627" t="inlineStr">
        <is>
          <t>VÄSTERBOTTENS LÄN</t>
        </is>
      </c>
      <c r="E627" t="inlineStr">
        <is>
          <t>SKELLEFTEÅ</t>
        </is>
      </c>
      <c r="G627" t="n">
        <v>3.5</v>
      </c>
      <c r="H627" t="n">
        <v>0</v>
      </c>
      <c r="I627" t="n">
        <v>0</v>
      </c>
      <c r="J627" t="n">
        <v>2</v>
      </c>
      <c r="K627" t="n">
        <v>0</v>
      </c>
      <c r="L627" t="n">
        <v>0</v>
      </c>
      <c r="M627" t="n">
        <v>0</v>
      </c>
      <c r="N627" t="n">
        <v>0</v>
      </c>
      <c r="O627" t="n">
        <v>2</v>
      </c>
      <c r="P627" t="n">
        <v>0</v>
      </c>
      <c r="Q627" t="n">
        <v>2</v>
      </c>
      <c r="R627" s="2" t="inlineStr">
        <is>
          <t>Gammelgransskål
Harticka</t>
        </is>
      </c>
      <c r="S627">
        <f>HYPERLINK("https://klasma.github.io/Logging_2482/artfynd/A 5110-2025 artfynd.xlsx", "A 5110-2025")</f>
        <v/>
      </c>
      <c r="T627">
        <f>HYPERLINK("https://klasma.github.io/Logging_2482/kartor/A 5110-2025 karta.png", "A 5110-2025")</f>
        <v/>
      </c>
      <c r="V627">
        <f>HYPERLINK("https://klasma.github.io/Logging_2482/klagomål/A 5110-2025 FSC-klagomål.docx", "A 5110-2025")</f>
        <v/>
      </c>
      <c r="W627">
        <f>HYPERLINK("https://klasma.github.io/Logging_2482/klagomålsmail/A 5110-2025 FSC-klagomål mail.docx", "A 5110-2025")</f>
        <v/>
      </c>
      <c r="X627">
        <f>HYPERLINK("https://klasma.github.io/Logging_2482/tillsyn/A 5110-2025 tillsynsbegäran.docx", "A 5110-2025")</f>
        <v/>
      </c>
      <c r="Y627">
        <f>HYPERLINK("https://klasma.github.io/Logging_2482/tillsynsmail/A 5110-2025 tillsynsbegäran mail.docx", "A 5110-2025")</f>
        <v/>
      </c>
    </row>
    <row r="628" ht="15" customHeight="1">
      <c r="A628" t="inlineStr">
        <is>
          <t>A 45935-2024</t>
        </is>
      </c>
      <c r="B628" s="1" t="n">
        <v>45580.5121412037</v>
      </c>
      <c r="C628" s="1" t="n">
        <v>46075</v>
      </c>
      <c r="D628" t="inlineStr">
        <is>
          <t>VÄSTERBOTTENS LÄN</t>
        </is>
      </c>
      <c r="E628" t="inlineStr">
        <is>
          <t>LYCKSELE</t>
        </is>
      </c>
      <c r="F628" t="inlineStr">
        <is>
          <t>Sveaskog</t>
        </is>
      </c>
      <c r="G628" t="n">
        <v>2.4</v>
      </c>
      <c r="H628" t="n">
        <v>0</v>
      </c>
      <c r="I628" t="n">
        <v>0</v>
      </c>
      <c r="J628" t="n">
        <v>2</v>
      </c>
      <c r="K628" t="n">
        <v>0</v>
      </c>
      <c r="L628" t="n">
        <v>0</v>
      </c>
      <c r="M628" t="n">
        <v>0</v>
      </c>
      <c r="N628" t="n">
        <v>0</v>
      </c>
      <c r="O628" t="n">
        <v>2</v>
      </c>
      <c r="P628" t="n">
        <v>0</v>
      </c>
      <c r="Q628" t="n">
        <v>2</v>
      </c>
      <c r="R628" s="2" t="inlineStr">
        <is>
          <t>Lunglav
Orange taggsvamp</t>
        </is>
      </c>
      <c r="S628">
        <f>HYPERLINK("https://klasma.github.io/Logging_2481/artfynd/A 45935-2024 artfynd.xlsx", "A 45935-2024")</f>
        <v/>
      </c>
      <c r="T628">
        <f>HYPERLINK("https://klasma.github.io/Logging_2481/kartor/A 45935-2024 karta.png", "A 45935-2024")</f>
        <v/>
      </c>
      <c r="V628">
        <f>HYPERLINK("https://klasma.github.io/Logging_2481/klagomål/A 45935-2024 FSC-klagomål.docx", "A 45935-2024")</f>
        <v/>
      </c>
      <c r="W628">
        <f>HYPERLINK("https://klasma.github.io/Logging_2481/klagomålsmail/A 45935-2024 FSC-klagomål mail.docx", "A 45935-2024")</f>
        <v/>
      </c>
      <c r="X628">
        <f>HYPERLINK("https://klasma.github.io/Logging_2481/tillsyn/A 45935-2024 tillsynsbegäran.docx", "A 45935-2024")</f>
        <v/>
      </c>
      <c r="Y628">
        <f>HYPERLINK("https://klasma.github.io/Logging_2481/tillsynsmail/A 45935-2024 tillsynsbegäran mail.docx", "A 45935-2024")</f>
        <v/>
      </c>
    </row>
    <row r="629" ht="15" customHeight="1">
      <c r="A629" t="inlineStr">
        <is>
          <t>A 9924-2024</t>
        </is>
      </c>
      <c r="B629" s="1" t="n">
        <v>45363</v>
      </c>
      <c r="C629" s="1" t="n">
        <v>46075</v>
      </c>
      <c r="D629" t="inlineStr">
        <is>
          <t>VÄSTERBOTTENS LÄN</t>
        </is>
      </c>
      <c r="E629" t="inlineStr">
        <is>
          <t>LYCKSELE</t>
        </is>
      </c>
      <c r="F629" t="inlineStr">
        <is>
          <t>Sveaskog</t>
        </is>
      </c>
      <c r="G629" t="n">
        <v>5.3</v>
      </c>
      <c r="H629" t="n">
        <v>0</v>
      </c>
      <c r="I629" t="n">
        <v>0</v>
      </c>
      <c r="J629" t="n">
        <v>2</v>
      </c>
      <c r="K629" t="n">
        <v>0</v>
      </c>
      <c r="L629" t="n">
        <v>0</v>
      </c>
      <c r="M629" t="n">
        <v>0</v>
      </c>
      <c r="N629" t="n">
        <v>0</v>
      </c>
      <c r="O629" t="n">
        <v>2</v>
      </c>
      <c r="P629" t="n">
        <v>0</v>
      </c>
      <c r="Q629" t="n">
        <v>2</v>
      </c>
      <c r="R629" s="2" t="inlineStr">
        <is>
          <t>Granticka
Kolflarnlav</t>
        </is>
      </c>
      <c r="S629">
        <f>HYPERLINK("https://klasma.github.io/Logging_2481/artfynd/A 9924-2024 artfynd.xlsx", "A 9924-2024")</f>
        <v/>
      </c>
      <c r="T629">
        <f>HYPERLINK("https://klasma.github.io/Logging_2481/kartor/A 9924-2024 karta.png", "A 9924-2024")</f>
        <v/>
      </c>
      <c r="V629">
        <f>HYPERLINK("https://klasma.github.io/Logging_2481/klagomål/A 9924-2024 FSC-klagomål.docx", "A 9924-2024")</f>
        <v/>
      </c>
      <c r="W629">
        <f>HYPERLINK("https://klasma.github.io/Logging_2481/klagomålsmail/A 9924-2024 FSC-klagomål mail.docx", "A 9924-2024")</f>
        <v/>
      </c>
      <c r="X629">
        <f>HYPERLINK("https://klasma.github.io/Logging_2481/tillsyn/A 9924-2024 tillsynsbegäran.docx", "A 9924-2024")</f>
        <v/>
      </c>
      <c r="Y629">
        <f>HYPERLINK("https://klasma.github.io/Logging_2481/tillsynsmail/A 9924-2024 tillsynsbegäran mail.docx", "A 9924-2024")</f>
        <v/>
      </c>
    </row>
    <row r="630" ht="15" customHeight="1">
      <c r="A630" t="inlineStr">
        <is>
          <t>A 10292-2023</t>
        </is>
      </c>
      <c r="B630" s="1" t="n">
        <v>44986</v>
      </c>
      <c r="C630" s="1" t="n">
        <v>46075</v>
      </c>
      <c r="D630" t="inlineStr">
        <is>
          <t>VÄSTERBOTTENS LÄN</t>
        </is>
      </c>
      <c r="E630" t="inlineStr">
        <is>
          <t>ÅSELE</t>
        </is>
      </c>
      <c r="F630" t="inlineStr">
        <is>
          <t>SCA</t>
        </is>
      </c>
      <c r="G630" t="n">
        <v>22.4</v>
      </c>
      <c r="H630" t="n">
        <v>0</v>
      </c>
      <c r="I630" t="n">
        <v>0</v>
      </c>
      <c r="J630" t="n">
        <v>2</v>
      </c>
      <c r="K630" t="n">
        <v>0</v>
      </c>
      <c r="L630" t="n">
        <v>0</v>
      </c>
      <c r="M630" t="n">
        <v>0</v>
      </c>
      <c r="N630" t="n">
        <v>0</v>
      </c>
      <c r="O630" t="n">
        <v>2</v>
      </c>
      <c r="P630" t="n">
        <v>0</v>
      </c>
      <c r="Q630" t="n">
        <v>2</v>
      </c>
      <c r="R630" s="2" t="inlineStr">
        <is>
          <t>Granticka
Lunglav</t>
        </is>
      </c>
      <c r="S630">
        <f>HYPERLINK("https://klasma.github.io/Logging_2463/artfynd/A 10292-2023 artfynd.xlsx", "A 10292-2023")</f>
        <v/>
      </c>
      <c r="T630">
        <f>HYPERLINK("https://klasma.github.io/Logging_2463/kartor/A 10292-2023 karta.png", "A 10292-2023")</f>
        <v/>
      </c>
      <c r="V630">
        <f>HYPERLINK("https://klasma.github.io/Logging_2463/klagomål/A 10292-2023 FSC-klagomål.docx", "A 10292-2023")</f>
        <v/>
      </c>
      <c r="W630">
        <f>HYPERLINK("https://klasma.github.io/Logging_2463/klagomålsmail/A 10292-2023 FSC-klagomål mail.docx", "A 10292-2023")</f>
        <v/>
      </c>
      <c r="X630">
        <f>HYPERLINK("https://klasma.github.io/Logging_2463/tillsyn/A 10292-2023 tillsynsbegäran.docx", "A 10292-2023")</f>
        <v/>
      </c>
      <c r="Y630">
        <f>HYPERLINK("https://klasma.github.io/Logging_2463/tillsynsmail/A 10292-2023 tillsynsbegäran mail.docx", "A 10292-2023")</f>
        <v/>
      </c>
    </row>
    <row r="631" ht="15" customHeight="1">
      <c r="A631" t="inlineStr">
        <is>
          <t>A 58624-2022</t>
        </is>
      </c>
      <c r="B631" s="1" t="n">
        <v>44902</v>
      </c>
      <c r="C631" s="1" t="n">
        <v>46075</v>
      </c>
      <c r="D631" t="inlineStr">
        <is>
          <t>VÄSTERBOTTENS LÄN</t>
        </is>
      </c>
      <c r="E631" t="inlineStr">
        <is>
          <t>LYCKSELE</t>
        </is>
      </c>
      <c r="F631" t="inlineStr">
        <is>
          <t>Sveaskog</t>
        </is>
      </c>
      <c r="G631" t="n">
        <v>3.2</v>
      </c>
      <c r="H631" t="n">
        <v>0</v>
      </c>
      <c r="I631" t="n">
        <v>0</v>
      </c>
      <c r="J631" t="n">
        <v>2</v>
      </c>
      <c r="K631" t="n">
        <v>0</v>
      </c>
      <c r="L631" t="n">
        <v>0</v>
      </c>
      <c r="M631" t="n">
        <v>0</v>
      </c>
      <c r="N631" t="n">
        <v>0</v>
      </c>
      <c r="O631" t="n">
        <v>2</v>
      </c>
      <c r="P631" t="n">
        <v>0</v>
      </c>
      <c r="Q631" t="n">
        <v>2</v>
      </c>
      <c r="R631" s="2" t="inlineStr">
        <is>
          <t>Blanksvart spiklav
Vedflamlav</t>
        </is>
      </c>
      <c r="S631">
        <f>HYPERLINK("https://klasma.github.io/Logging_2481/artfynd/A 58624-2022 artfynd.xlsx", "A 58624-2022")</f>
        <v/>
      </c>
      <c r="T631">
        <f>HYPERLINK("https://klasma.github.io/Logging_2481/kartor/A 58624-2022 karta.png", "A 58624-2022")</f>
        <v/>
      </c>
      <c r="V631">
        <f>HYPERLINK("https://klasma.github.io/Logging_2481/klagomål/A 58624-2022 FSC-klagomål.docx", "A 58624-2022")</f>
        <v/>
      </c>
      <c r="W631">
        <f>HYPERLINK("https://klasma.github.io/Logging_2481/klagomålsmail/A 58624-2022 FSC-klagomål mail.docx", "A 58624-2022")</f>
        <v/>
      </c>
      <c r="X631">
        <f>HYPERLINK("https://klasma.github.io/Logging_2481/tillsyn/A 58624-2022 tillsynsbegäran.docx", "A 58624-2022")</f>
        <v/>
      </c>
      <c r="Y631">
        <f>HYPERLINK("https://klasma.github.io/Logging_2481/tillsynsmail/A 58624-2022 tillsynsbegäran mail.docx", "A 58624-2022")</f>
        <v/>
      </c>
    </row>
    <row r="632" ht="15" customHeight="1">
      <c r="A632" t="inlineStr">
        <is>
          <t>A 57222-2024</t>
        </is>
      </c>
      <c r="B632" s="1" t="n">
        <v>45629.52625</v>
      </c>
      <c r="C632" s="1" t="n">
        <v>46075</v>
      </c>
      <c r="D632" t="inlineStr">
        <is>
          <t>VÄSTERBOTTENS LÄN</t>
        </is>
      </c>
      <c r="E632" t="inlineStr">
        <is>
          <t>SKELLEFTEÅ</t>
        </is>
      </c>
      <c r="F632" t="inlineStr">
        <is>
          <t>Holmen skog AB</t>
        </is>
      </c>
      <c r="G632" t="n">
        <v>3.9</v>
      </c>
      <c r="H632" t="n">
        <v>1</v>
      </c>
      <c r="I632" t="n">
        <v>0</v>
      </c>
      <c r="J632" t="n">
        <v>1</v>
      </c>
      <c r="K632" t="n">
        <v>1</v>
      </c>
      <c r="L632" t="n">
        <v>0</v>
      </c>
      <c r="M632" t="n">
        <v>0</v>
      </c>
      <c r="N632" t="n">
        <v>0</v>
      </c>
      <c r="O632" t="n">
        <v>2</v>
      </c>
      <c r="P632" t="n">
        <v>1</v>
      </c>
      <c r="Q632" t="n">
        <v>2</v>
      </c>
      <c r="R632" s="2" t="inlineStr">
        <is>
          <t>Knärot
Gammelgransskål</t>
        </is>
      </c>
      <c r="S632">
        <f>HYPERLINK("https://klasma.github.io/Logging_2482/artfynd/A 57222-2024 artfynd.xlsx", "A 57222-2024")</f>
        <v/>
      </c>
      <c r="T632">
        <f>HYPERLINK("https://klasma.github.io/Logging_2482/kartor/A 57222-2024 karta.png", "A 57222-2024")</f>
        <v/>
      </c>
      <c r="U632">
        <f>HYPERLINK("https://klasma.github.io/Logging_2482/knärot/A 57222-2024 karta knärot.png", "A 57222-2024")</f>
        <v/>
      </c>
      <c r="V632">
        <f>HYPERLINK("https://klasma.github.io/Logging_2482/klagomål/A 57222-2024 FSC-klagomål.docx", "A 57222-2024")</f>
        <v/>
      </c>
      <c r="W632">
        <f>HYPERLINK("https://klasma.github.io/Logging_2482/klagomålsmail/A 57222-2024 FSC-klagomål mail.docx", "A 57222-2024")</f>
        <v/>
      </c>
      <c r="X632">
        <f>HYPERLINK("https://klasma.github.io/Logging_2482/tillsyn/A 57222-2024 tillsynsbegäran.docx", "A 57222-2024")</f>
        <v/>
      </c>
      <c r="Y632">
        <f>HYPERLINK("https://klasma.github.io/Logging_2482/tillsynsmail/A 57222-2024 tillsynsbegäran mail.docx", "A 57222-2024")</f>
        <v/>
      </c>
    </row>
    <row r="633" ht="15" customHeight="1">
      <c r="A633" t="inlineStr">
        <is>
          <t>A 35430-2024</t>
        </is>
      </c>
      <c r="B633" s="1" t="n">
        <v>45531.41425925926</v>
      </c>
      <c r="C633" s="1" t="n">
        <v>46075</v>
      </c>
      <c r="D633" t="inlineStr">
        <is>
          <t>VÄSTERBOTTENS LÄN</t>
        </is>
      </c>
      <c r="E633" t="inlineStr">
        <is>
          <t>NORSJÖ</t>
        </is>
      </c>
      <c r="G633" t="n">
        <v>6.1</v>
      </c>
      <c r="H633" t="n">
        <v>2</v>
      </c>
      <c r="I633" t="n">
        <v>0</v>
      </c>
      <c r="J633" t="n">
        <v>0</v>
      </c>
      <c r="K633" t="n">
        <v>0</v>
      </c>
      <c r="L633" t="n">
        <v>0</v>
      </c>
      <c r="M633" t="n">
        <v>0</v>
      </c>
      <c r="N633" t="n">
        <v>0</v>
      </c>
      <c r="O633" t="n">
        <v>0</v>
      </c>
      <c r="P633" t="n">
        <v>0</v>
      </c>
      <c r="Q633" t="n">
        <v>2</v>
      </c>
      <c r="R633" s="2" t="inlineStr">
        <is>
          <t>Orre
Tjäder</t>
        </is>
      </c>
      <c r="S633">
        <f>HYPERLINK("https://klasma.github.io/Logging_2417/artfynd/A 35430-2024 artfynd.xlsx", "A 35430-2024")</f>
        <v/>
      </c>
      <c r="T633">
        <f>HYPERLINK("https://klasma.github.io/Logging_2417/kartor/A 35430-2024 karta.png", "A 35430-2024")</f>
        <v/>
      </c>
      <c r="V633">
        <f>HYPERLINK("https://klasma.github.io/Logging_2417/klagomål/A 35430-2024 FSC-klagomål.docx", "A 35430-2024")</f>
        <v/>
      </c>
      <c r="W633">
        <f>HYPERLINK("https://klasma.github.io/Logging_2417/klagomålsmail/A 35430-2024 FSC-klagomål mail.docx", "A 35430-2024")</f>
        <v/>
      </c>
      <c r="X633">
        <f>HYPERLINK("https://klasma.github.io/Logging_2417/tillsyn/A 35430-2024 tillsynsbegäran.docx", "A 35430-2024")</f>
        <v/>
      </c>
      <c r="Y633">
        <f>HYPERLINK("https://klasma.github.io/Logging_2417/tillsynsmail/A 35430-2024 tillsynsbegäran mail.docx", "A 35430-2024")</f>
        <v/>
      </c>
      <c r="Z633">
        <f>HYPERLINK("https://klasma.github.io/Logging_2417/fåglar/A 35430-2024 prioriterade fågelarter.docx", "A 35430-2024")</f>
        <v/>
      </c>
    </row>
    <row r="634" ht="15" customHeight="1">
      <c r="A634" t="inlineStr">
        <is>
          <t>A 10546-2023</t>
        </is>
      </c>
      <c r="B634" s="1" t="n">
        <v>44987</v>
      </c>
      <c r="C634" s="1" t="n">
        <v>46075</v>
      </c>
      <c r="D634" t="inlineStr">
        <is>
          <t>VÄSTERBOTTENS LÄN</t>
        </is>
      </c>
      <c r="E634" t="inlineStr">
        <is>
          <t>ÅSELE</t>
        </is>
      </c>
      <c r="F634" t="inlineStr">
        <is>
          <t>SCA</t>
        </is>
      </c>
      <c r="G634" t="n">
        <v>11.5</v>
      </c>
      <c r="H634" t="n">
        <v>0</v>
      </c>
      <c r="I634" t="n">
        <v>0</v>
      </c>
      <c r="J634" t="n">
        <v>2</v>
      </c>
      <c r="K634" t="n">
        <v>0</v>
      </c>
      <c r="L634" t="n">
        <v>0</v>
      </c>
      <c r="M634" t="n">
        <v>0</v>
      </c>
      <c r="N634" t="n">
        <v>0</v>
      </c>
      <c r="O634" t="n">
        <v>2</v>
      </c>
      <c r="P634" t="n">
        <v>0</v>
      </c>
      <c r="Q634" t="n">
        <v>2</v>
      </c>
      <c r="R634" s="2" t="inlineStr">
        <is>
          <t>Gammelgransskål
Lunglav</t>
        </is>
      </c>
      <c r="S634">
        <f>HYPERLINK("https://klasma.github.io/Logging_2463/artfynd/A 10546-2023 artfynd.xlsx", "A 10546-2023")</f>
        <v/>
      </c>
      <c r="T634">
        <f>HYPERLINK("https://klasma.github.io/Logging_2463/kartor/A 10546-2023 karta.png", "A 10546-2023")</f>
        <v/>
      </c>
      <c r="V634">
        <f>HYPERLINK("https://klasma.github.io/Logging_2463/klagomål/A 10546-2023 FSC-klagomål.docx", "A 10546-2023")</f>
        <v/>
      </c>
      <c r="W634">
        <f>HYPERLINK("https://klasma.github.io/Logging_2463/klagomålsmail/A 10546-2023 FSC-klagomål mail.docx", "A 10546-2023")</f>
        <v/>
      </c>
      <c r="X634">
        <f>HYPERLINK("https://klasma.github.io/Logging_2463/tillsyn/A 10546-2023 tillsynsbegäran.docx", "A 10546-2023")</f>
        <v/>
      </c>
      <c r="Y634">
        <f>HYPERLINK("https://klasma.github.io/Logging_2463/tillsynsmail/A 10546-2023 tillsynsbegäran mail.docx", "A 10546-2023")</f>
        <v/>
      </c>
    </row>
    <row r="635" ht="15" customHeight="1">
      <c r="A635" t="inlineStr">
        <is>
          <t>A 39237-2022</t>
        </is>
      </c>
      <c r="B635" s="1" t="n">
        <v>44817</v>
      </c>
      <c r="C635" s="1" t="n">
        <v>46075</v>
      </c>
      <c r="D635" t="inlineStr">
        <is>
          <t>VÄSTERBOTTENS LÄN</t>
        </is>
      </c>
      <c r="E635" t="inlineStr">
        <is>
          <t>STORUMAN</t>
        </is>
      </c>
      <c r="F635" t="inlineStr">
        <is>
          <t>Sveaskog</t>
        </is>
      </c>
      <c r="G635" t="n">
        <v>1.1</v>
      </c>
      <c r="H635" t="n">
        <v>1</v>
      </c>
      <c r="I635" t="n">
        <v>1</v>
      </c>
      <c r="J635" t="n">
        <v>0</v>
      </c>
      <c r="K635" t="n">
        <v>0</v>
      </c>
      <c r="L635" t="n">
        <v>0</v>
      </c>
      <c r="M635" t="n">
        <v>0</v>
      </c>
      <c r="N635" t="n">
        <v>0</v>
      </c>
      <c r="O635" t="n">
        <v>0</v>
      </c>
      <c r="P635" t="n">
        <v>0</v>
      </c>
      <c r="Q635" t="n">
        <v>2</v>
      </c>
      <c r="R635" s="2" t="inlineStr">
        <is>
          <t>Skarp dropptaggsvamp
Lavskrika</t>
        </is>
      </c>
      <c r="S635">
        <f>HYPERLINK("https://klasma.github.io/Logging_2421/artfynd/A 39237-2022 artfynd.xlsx", "A 39237-2022")</f>
        <v/>
      </c>
      <c r="T635">
        <f>HYPERLINK("https://klasma.github.io/Logging_2421/kartor/A 39237-2022 karta.png", "A 39237-2022")</f>
        <v/>
      </c>
      <c r="V635">
        <f>HYPERLINK("https://klasma.github.io/Logging_2421/klagomål/A 39237-2022 FSC-klagomål.docx", "A 39237-2022")</f>
        <v/>
      </c>
      <c r="W635">
        <f>HYPERLINK("https://klasma.github.io/Logging_2421/klagomålsmail/A 39237-2022 FSC-klagomål mail.docx", "A 39237-2022")</f>
        <v/>
      </c>
      <c r="X635">
        <f>HYPERLINK("https://klasma.github.io/Logging_2421/tillsyn/A 39237-2022 tillsynsbegäran.docx", "A 39237-2022")</f>
        <v/>
      </c>
      <c r="Y635">
        <f>HYPERLINK("https://klasma.github.io/Logging_2421/tillsynsmail/A 39237-2022 tillsynsbegäran mail.docx", "A 39237-2022")</f>
        <v/>
      </c>
      <c r="Z635">
        <f>HYPERLINK("https://klasma.github.io/Logging_2421/fåglar/A 39237-2022 prioriterade fågelarter.docx", "A 39237-2022")</f>
        <v/>
      </c>
    </row>
    <row r="636" ht="15" customHeight="1">
      <c r="A636" t="inlineStr">
        <is>
          <t>A 41087-2023</t>
        </is>
      </c>
      <c r="B636" s="1" t="n">
        <v>45173</v>
      </c>
      <c r="C636" s="1" t="n">
        <v>46075</v>
      </c>
      <c r="D636" t="inlineStr">
        <is>
          <t>VÄSTERBOTTENS LÄN</t>
        </is>
      </c>
      <c r="E636" t="inlineStr">
        <is>
          <t>SKELLEFTEÅ</t>
        </is>
      </c>
      <c r="F636" t="inlineStr">
        <is>
          <t>Holmen skog AB</t>
        </is>
      </c>
      <c r="G636" t="n">
        <v>10</v>
      </c>
      <c r="H636" t="n">
        <v>1</v>
      </c>
      <c r="I636" t="n">
        <v>0</v>
      </c>
      <c r="J636" t="n">
        <v>0</v>
      </c>
      <c r="K636" t="n">
        <v>1</v>
      </c>
      <c r="L636" t="n">
        <v>1</v>
      </c>
      <c r="M636" t="n">
        <v>0</v>
      </c>
      <c r="N636" t="n">
        <v>0</v>
      </c>
      <c r="O636" t="n">
        <v>2</v>
      </c>
      <c r="P636" t="n">
        <v>2</v>
      </c>
      <c r="Q636" t="n">
        <v>2</v>
      </c>
      <c r="R636" s="2" t="inlineStr">
        <is>
          <t>Flodpärlmussla
Knärot</t>
        </is>
      </c>
      <c r="S636">
        <f>HYPERLINK("https://klasma.github.io/Logging_2482/artfynd/A 41087-2023 artfynd.xlsx", "A 41087-2023")</f>
        <v/>
      </c>
      <c r="T636">
        <f>HYPERLINK("https://klasma.github.io/Logging_2482/kartor/A 41087-2023 karta.png", "A 41087-2023")</f>
        <v/>
      </c>
      <c r="U636">
        <f>HYPERLINK("https://klasma.github.io/Logging_2482/knärot/A 41087-2023 karta knärot.png", "A 41087-2023")</f>
        <v/>
      </c>
      <c r="V636">
        <f>HYPERLINK("https://klasma.github.io/Logging_2482/klagomål/A 41087-2023 FSC-klagomål.docx", "A 41087-2023")</f>
        <v/>
      </c>
      <c r="W636">
        <f>HYPERLINK("https://klasma.github.io/Logging_2482/klagomålsmail/A 41087-2023 FSC-klagomål mail.docx", "A 41087-2023")</f>
        <v/>
      </c>
      <c r="X636">
        <f>HYPERLINK("https://klasma.github.io/Logging_2482/tillsyn/A 41087-2023 tillsynsbegäran.docx", "A 41087-2023")</f>
        <v/>
      </c>
      <c r="Y636">
        <f>HYPERLINK("https://klasma.github.io/Logging_2482/tillsynsmail/A 41087-2023 tillsynsbegäran mail.docx", "A 41087-2023")</f>
        <v/>
      </c>
    </row>
    <row r="637" ht="15" customHeight="1">
      <c r="A637" t="inlineStr">
        <is>
          <t>A 11627-2023</t>
        </is>
      </c>
      <c r="B637" s="1" t="n">
        <v>44994</v>
      </c>
      <c r="C637" s="1" t="n">
        <v>46075</v>
      </c>
      <c r="D637" t="inlineStr">
        <is>
          <t>VÄSTERBOTTENS LÄN</t>
        </is>
      </c>
      <c r="E637" t="inlineStr">
        <is>
          <t>SKELLEFTEÅ</t>
        </is>
      </c>
      <c r="G637" t="n">
        <v>16.6</v>
      </c>
      <c r="H637" t="n">
        <v>1</v>
      </c>
      <c r="I637" t="n">
        <v>1</v>
      </c>
      <c r="J637" t="n">
        <v>0</v>
      </c>
      <c r="K637" t="n">
        <v>0</v>
      </c>
      <c r="L637" t="n">
        <v>0</v>
      </c>
      <c r="M637" t="n">
        <v>0</v>
      </c>
      <c r="N637" t="n">
        <v>0</v>
      </c>
      <c r="O637" t="n">
        <v>0</v>
      </c>
      <c r="P637" t="n">
        <v>0</v>
      </c>
      <c r="Q637" t="n">
        <v>2</v>
      </c>
      <c r="R637" s="2" t="inlineStr">
        <is>
          <t>Norrlandslav
Revlummer</t>
        </is>
      </c>
      <c r="S637">
        <f>HYPERLINK("https://klasma.github.io/Logging_2482/artfynd/A 11627-2023 artfynd.xlsx", "A 11627-2023")</f>
        <v/>
      </c>
      <c r="T637">
        <f>HYPERLINK("https://klasma.github.io/Logging_2482/kartor/A 11627-2023 karta.png", "A 11627-2023")</f>
        <v/>
      </c>
      <c r="V637">
        <f>HYPERLINK("https://klasma.github.io/Logging_2482/klagomål/A 11627-2023 FSC-klagomål.docx", "A 11627-2023")</f>
        <v/>
      </c>
      <c r="W637">
        <f>HYPERLINK("https://klasma.github.io/Logging_2482/klagomålsmail/A 11627-2023 FSC-klagomål mail.docx", "A 11627-2023")</f>
        <v/>
      </c>
      <c r="X637">
        <f>HYPERLINK("https://klasma.github.io/Logging_2482/tillsyn/A 11627-2023 tillsynsbegäran.docx", "A 11627-2023")</f>
        <v/>
      </c>
      <c r="Y637">
        <f>HYPERLINK("https://klasma.github.io/Logging_2482/tillsynsmail/A 11627-2023 tillsynsbegäran mail.docx", "A 11627-2023")</f>
        <v/>
      </c>
    </row>
    <row r="638" ht="15" customHeight="1">
      <c r="A638" t="inlineStr">
        <is>
          <t>A 40939-2021</t>
        </is>
      </c>
      <c r="B638" s="1" t="n">
        <v>44421</v>
      </c>
      <c r="C638" s="1" t="n">
        <v>46075</v>
      </c>
      <c r="D638" t="inlineStr">
        <is>
          <t>VÄSTERBOTTENS LÄN</t>
        </is>
      </c>
      <c r="E638" t="inlineStr">
        <is>
          <t>STORUMAN</t>
        </is>
      </c>
      <c r="G638" t="n">
        <v>4.8</v>
      </c>
      <c r="H638" t="n">
        <v>1</v>
      </c>
      <c r="I638" t="n">
        <v>0</v>
      </c>
      <c r="J638" t="n">
        <v>1</v>
      </c>
      <c r="K638" t="n">
        <v>1</v>
      </c>
      <c r="L638" t="n">
        <v>0</v>
      </c>
      <c r="M638" t="n">
        <v>0</v>
      </c>
      <c r="N638" t="n">
        <v>0</v>
      </c>
      <c r="O638" t="n">
        <v>2</v>
      </c>
      <c r="P638" t="n">
        <v>1</v>
      </c>
      <c r="Q638" t="n">
        <v>2</v>
      </c>
      <c r="R638" s="2" t="inlineStr">
        <is>
          <t>Knärot
Lunglav</t>
        </is>
      </c>
      <c r="S638">
        <f>HYPERLINK("https://klasma.github.io/Logging_2421/artfynd/A 40939-2021 artfynd.xlsx", "A 40939-2021")</f>
        <v/>
      </c>
      <c r="T638">
        <f>HYPERLINK("https://klasma.github.io/Logging_2421/kartor/A 40939-2021 karta.png", "A 40939-2021")</f>
        <v/>
      </c>
      <c r="U638">
        <f>HYPERLINK("https://klasma.github.io/Logging_2421/knärot/A 40939-2021 karta knärot.png", "A 40939-2021")</f>
        <v/>
      </c>
      <c r="V638">
        <f>HYPERLINK("https://klasma.github.io/Logging_2421/klagomål/A 40939-2021 FSC-klagomål.docx", "A 40939-2021")</f>
        <v/>
      </c>
      <c r="W638">
        <f>HYPERLINK("https://klasma.github.io/Logging_2421/klagomålsmail/A 40939-2021 FSC-klagomål mail.docx", "A 40939-2021")</f>
        <v/>
      </c>
      <c r="X638">
        <f>HYPERLINK("https://klasma.github.io/Logging_2421/tillsyn/A 40939-2021 tillsynsbegäran.docx", "A 40939-2021")</f>
        <v/>
      </c>
      <c r="Y638">
        <f>HYPERLINK("https://klasma.github.io/Logging_2421/tillsynsmail/A 40939-2021 tillsynsbegäran mail.docx", "A 40939-2021")</f>
        <v/>
      </c>
    </row>
    <row r="639" ht="15" customHeight="1">
      <c r="A639" t="inlineStr">
        <is>
          <t>A 49136-2024</t>
        </is>
      </c>
      <c r="B639" s="1" t="n">
        <v>45594.70607638889</v>
      </c>
      <c r="C639" s="1" t="n">
        <v>46075</v>
      </c>
      <c r="D639" t="inlineStr">
        <is>
          <t>VÄSTERBOTTENS LÄN</t>
        </is>
      </c>
      <c r="E639" t="inlineStr">
        <is>
          <t>UMEÅ</t>
        </is>
      </c>
      <c r="G639" t="n">
        <v>2.7</v>
      </c>
      <c r="H639" t="n">
        <v>0</v>
      </c>
      <c r="I639" t="n">
        <v>0</v>
      </c>
      <c r="J639" t="n">
        <v>2</v>
      </c>
      <c r="K639" t="n">
        <v>0</v>
      </c>
      <c r="L639" t="n">
        <v>0</v>
      </c>
      <c r="M639" t="n">
        <v>0</v>
      </c>
      <c r="N639" t="n">
        <v>0</v>
      </c>
      <c r="O639" t="n">
        <v>2</v>
      </c>
      <c r="P639" t="n">
        <v>0</v>
      </c>
      <c r="Q639" t="n">
        <v>2</v>
      </c>
      <c r="R639" s="2" t="inlineStr">
        <is>
          <t>Garnlav
Lunglav</t>
        </is>
      </c>
      <c r="S639">
        <f>HYPERLINK("https://klasma.github.io/Logging_2480/artfynd/A 49136-2024 artfynd.xlsx", "A 49136-2024")</f>
        <v/>
      </c>
      <c r="T639">
        <f>HYPERLINK("https://klasma.github.io/Logging_2480/kartor/A 49136-2024 karta.png", "A 49136-2024")</f>
        <v/>
      </c>
      <c r="V639">
        <f>HYPERLINK("https://klasma.github.io/Logging_2480/klagomål/A 49136-2024 FSC-klagomål.docx", "A 49136-2024")</f>
        <v/>
      </c>
      <c r="W639">
        <f>HYPERLINK("https://klasma.github.io/Logging_2480/klagomålsmail/A 49136-2024 FSC-klagomål mail.docx", "A 49136-2024")</f>
        <v/>
      </c>
      <c r="X639">
        <f>HYPERLINK("https://klasma.github.io/Logging_2480/tillsyn/A 49136-2024 tillsynsbegäran.docx", "A 49136-2024")</f>
        <v/>
      </c>
      <c r="Y639">
        <f>HYPERLINK("https://klasma.github.io/Logging_2480/tillsynsmail/A 49136-2024 tillsynsbegäran mail.docx", "A 49136-2024")</f>
        <v/>
      </c>
    </row>
    <row r="640" ht="15" customHeight="1">
      <c r="A640" t="inlineStr">
        <is>
          <t>A 38440-2021</t>
        </is>
      </c>
      <c r="B640" s="1" t="n">
        <v>44406</v>
      </c>
      <c r="C640" s="1" t="n">
        <v>46075</v>
      </c>
      <c r="D640" t="inlineStr">
        <is>
          <t>VÄSTERBOTTENS LÄN</t>
        </is>
      </c>
      <c r="E640" t="inlineStr">
        <is>
          <t>UMEÅ</t>
        </is>
      </c>
      <c r="F640" t="inlineStr">
        <is>
          <t>Kommuner</t>
        </is>
      </c>
      <c r="G640" t="n">
        <v>2.6</v>
      </c>
      <c r="H640" t="n">
        <v>2</v>
      </c>
      <c r="I640" t="n">
        <v>0</v>
      </c>
      <c r="J640" t="n">
        <v>1</v>
      </c>
      <c r="K640" t="n">
        <v>0</v>
      </c>
      <c r="L640" t="n">
        <v>0</v>
      </c>
      <c r="M640" t="n">
        <v>0</v>
      </c>
      <c r="N640" t="n">
        <v>0</v>
      </c>
      <c r="O640" t="n">
        <v>1</v>
      </c>
      <c r="P640" t="n">
        <v>0</v>
      </c>
      <c r="Q640" t="n">
        <v>2</v>
      </c>
      <c r="R640" s="2" t="inlineStr">
        <is>
          <t>Nordfladdermus
Vattenfladdermus</t>
        </is>
      </c>
      <c r="S640">
        <f>HYPERLINK("https://klasma.github.io/Logging_2480/artfynd/A 38440-2021 artfynd.xlsx", "A 38440-2021")</f>
        <v/>
      </c>
      <c r="T640">
        <f>HYPERLINK("https://klasma.github.io/Logging_2480/kartor/A 38440-2021 karta.png", "A 38440-2021")</f>
        <v/>
      </c>
      <c r="V640">
        <f>HYPERLINK("https://klasma.github.io/Logging_2480/klagomål/A 38440-2021 FSC-klagomål.docx", "A 38440-2021")</f>
        <v/>
      </c>
      <c r="W640">
        <f>HYPERLINK("https://klasma.github.io/Logging_2480/klagomålsmail/A 38440-2021 FSC-klagomål mail.docx", "A 38440-2021")</f>
        <v/>
      </c>
      <c r="X640">
        <f>HYPERLINK("https://klasma.github.io/Logging_2480/tillsyn/A 38440-2021 tillsynsbegäran.docx", "A 38440-2021")</f>
        <v/>
      </c>
      <c r="Y640">
        <f>HYPERLINK("https://klasma.github.io/Logging_2480/tillsynsmail/A 38440-2021 tillsynsbegäran mail.docx", "A 38440-2021")</f>
        <v/>
      </c>
    </row>
    <row r="641" ht="15" customHeight="1">
      <c r="A641" t="inlineStr">
        <is>
          <t>A 1059-2025</t>
        </is>
      </c>
      <c r="B641" s="1" t="n">
        <v>45666</v>
      </c>
      <c r="C641" s="1" t="n">
        <v>46075</v>
      </c>
      <c r="D641" t="inlineStr">
        <is>
          <t>VÄSTERBOTTENS LÄN</t>
        </is>
      </c>
      <c r="E641" t="inlineStr">
        <is>
          <t>VINDELN</t>
        </is>
      </c>
      <c r="F641" t="inlineStr">
        <is>
          <t>SCA</t>
        </is>
      </c>
      <c r="G641" t="n">
        <v>4.4</v>
      </c>
      <c r="H641" t="n">
        <v>1</v>
      </c>
      <c r="I641" t="n">
        <v>0</v>
      </c>
      <c r="J641" t="n">
        <v>2</v>
      </c>
      <c r="K641" t="n">
        <v>0</v>
      </c>
      <c r="L641" t="n">
        <v>0</v>
      </c>
      <c r="M641" t="n">
        <v>0</v>
      </c>
      <c r="N641" t="n">
        <v>0</v>
      </c>
      <c r="O641" t="n">
        <v>2</v>
      </c>
      <c r="P641" t="n">
        <v>0</v>
      </c>
      <c r="Q641" t="n">
        <v>2</v>
      </c>
      <c r="R641" s="2" t="inlineStr">
        <is>
          <t>Garnlav
Talltita</t>
        </is>
      </c>
      <c r="S641">
        <f>HYPERLINK("https://klasma.github.io/Logging_2404/artfynd/A 1059-2025 artfynd.xlsx", "A 1059-2025")</f>
        <v/>
      </c>
      <c r="T641">
        <f>HYPERLINK("https://klasma.github.io/Logging_2404/kartor/A 1059-2025 karta.png", "A 1059-2025")</f>
        <v/>
      </c>
      <c r="V641">
        <f>HYPERLINK("https://klasma.github.io/Logging_2404/klagomål/A 1059-2025 FSC-klagomål.docx", "A 1059-2025")</f>
        <v/>
      </c>
      <c r="W641">
        <f>HYPERLINK("https://klasma.github.io/Logging_2404/klagomålsmail/A 1059-2025 FSC-klagomål mail.docx", "A 1059-2025")</f>
        <v/>
      </c>
      <c r="X641">
        <f>HYPERLINK("https://klasma.github.io/Logging_2404/tillsyn/A 1059-2025 tillsynsbegäran.docx", "A 1059-2025")</f>
        <v/>
      </c>
      <c r="Y641">
        <f>HYPERLINK("https://klasma.github.io/Logging_2404/tillsynsmail/A 1059-2025 tillsynsbegäran mail.docx", "A 1059-2025")</f>
        <v/>
      </c>
      <c r="Z641">
        <f>HYPERLINK("https://klasma.github.io/Logging_2404/fåglar/A 1059-2025 prioriterade fågelarter.docx", "A 1059-2025")</f>
        <v/>
      </c>
    </row>
    <row r="642" ht="15" customHeight="1">
      <c r="A642" t="inlineStr">
        <is>
          <t>A 25037-2024</t>
        </is>
      </c>
      <c r="B642" s="1" t="n">
        <v>45461</v>
      </c>
      <c r="C642" s="1" t="n">
        <v>46075</v>
      </c>
      <c r="D642" t="inlineStr">
        <is>
          <t>VÄSTERBOTTENS LÄN</t>
        </is>
      </c>
      <c r="E642" t="inlineStr">
        <is>
          <t>VILHELMINA</t>
        </is>
      </c>
      <c r="F642" t="inlineStr">
        <is>
          <t>SCA</t>
        </is>
      </c>
      <c r="G642" t="n">
        <v>0.5</v>
      </c>
      <c r="H642" t="n">
        <v>2</v>
      </c>
      <c r="I642" t="n">
        <v>0</v>
      </c>
      <c r="J642" t="n">
        <v>1</v>
      </c>
      <c r="K642" t="n">
        <v>0</v>
      </c>
      <c r="L642" t="n">
        <v>0</v>
      </c>
      <c r="M642" t="n">
        <v>0</v>
      </c>
      <c r="N642" t="n">
        <v>0</v>
      </c>
      <c r="O642" t="n">
        <v>1</v>
      </c>
      <c r="P642" t="n">
        <v>0</v>
      </c>
      <c r="Q642" t="n">
        <v>2</v>
      </c>
      <c r="R642" s="2" t="inlineStr">
        <is>
          <t>Tretåig hackspett
Lavskrika</t>
        </is>
      </c>
      <c r="S642">
        <f>HYPERLINK("https://klasma.github.io/Logging_2462/artfynd/A 25037-2024 artfynd.xlsx", "A 25037-2024")</f>
        <v/>
      </c>
      <c r="T642">
        <f>HYPERLINK("https://klasma.github.io/Logging_2462/kartor/A 25037-2024 karta.png", "A 25037-2024")</f>
        <v/>
      </c>
      <c r="V642">
        <f>HYPERLINK("https://klasma.github.io/Logging_2462/klagomål/A 25037-2024 FSC-klagomål.docx", "A 25037-2024")</f>
        <v/>
      </c>
      <c r="W642">
        <f>HYPERLINK("https://klasma.github.io/Logging_2462/klagomålsmail/A 25037-2024 FSC-klagomål mail.docx", "A 25037-2024")</f>
        <v/>
      </c>
      <c r="X642">
        <f>HYPERLINK("https://klasma.github.io/Logging_2462/tillsyn/A 25037-2024 tillsynsbegäran.docx", "A 25037-2024")</f>
        <v/>
      </c>
      <c r="Y642">
        <f>HYPERLINK("https://klasma.github.io/Logging_2462/tillsynsmail/A 25037-2024 tillsynsbegäran mail.docx", "A 25037-2024")</f>
        <v/>
      </c>
      <c r="Z642">
        <f>HYPERLINK("https://klasma.github.io/Logging_2462/fåglar/A 25037-2024 prioriterade fågelarter.docx", "A 25037-2024")</f>
        <v/>
      </c>
    </row>
    <row r="643" ht="15" customHeight="1">
      <c r="A643" t="inlineStr">
        <is>
          <t>A 38776-2025</t>
        </is>
      </c>
      <c r="B643" s="1" t="n">
        <v>45887.42761574074</v>
      </c>
      <c r="C643" s="1" t="n">
        <v>46075</v>
      </c>
      <c r="D643" t="inlineStr">
        <is>
          <t>VÄSTERBOTTENS LÄN</t>
        </is>
      </c>
      <c r="E643" t="inlineStr">
        <is>
          <t>LYCKSELE</t>
        </is>
      </c>
      <c r="F643" t="inlineStr">
        <is>
          <t>Sveaskog</t>
        </is>
      </c>
      <c r="G643" t="n">
        <v>7.5</v>
      </c>
      <c r="H643" t="n">
        <v>0</v>
      </c>
      <c r="I643" t="n">
        <v>1</v>
      </c>
      <c r="J643" t="n">
        <v>1</v>
      </c>
      <c r="K643" t="n">
        <v>0</v>
      </c>
      <c r="L643" t="n">
        <v>0</v>
      </c>
      <c r="M643" t="n">
        <v>0</v>
      </c>
      <c r="N643" t="n">
        <v>0</v>
      </c>
      <c r="O643" t="n">
        <v>1</v>
      </c>
      <c r="P643" t="n">
        <v>0</v>
      </c>
      <c r="Q643" t="n">
        <v>2</v>
      </c>
      <c r="R643" s="2" t="inlineStr">
        <is>
          <t>Kolflarnlav
Dropptaggsvamp</t>
        </is>
      </c>
      <c r="S643">
        <f>HYPERLINK("https://klasma.github.io/Logging_2481/artfynd/A 38776-2025 artfynd.xlsx", "A 38776-2025")</f>
        <v/>
      </c>
      <c r="T643">
        <f>HYPERLINK("https://klasma.github.io/Logging_2481/kartor/A 38776-2025 karta.png", "A 38776-2025")</f>
        <v/>
      </c>
      <c r="V643">
        <f>HYPERLINK("https://klasma.github.io/Logging_2481/klagomål/A 38776-2025 FSC-klagomål.docx", "A 38776-2025")</f>
        <v/>
      </c>
      <c r="W643">
        <f>HYPERLINK("https://klasma.github.io/Logging_2481/klagomålsmail/A 38776-2025 FSC-klagomål mail.docx", "A 38776-2025")</f>
        <v/>
      </c>
      <c r="X643">
        <f>HYPERLINK("https://klasma.github.io/Logging_2481/tillsyn/A 38776-2025 tillsynsbegäran.docx", "A 38776-2025")</f>
        <v/>
      </c>
      <c r="Y643">
        <f>HYPERLINK("https://klasma.github.io/Logging_2481/tillsynsmail/A 38776-2025 tillsynsbegäran mail.docx", "A 38776-2025")</f>
        <v/>
      </c>
    </row>
    <row r="644" ht="15" customHeight="1">
      <c r="A644" t="inlineStr">
        <is>
          <t>A 29140-2025</t>
        </is>
      </c>
      <c r="B644" s="1" t="n">
        <v>45821</v>
      </c>
      <c r="C644" s="1" t="n">
        <v>46075</v>
      </c>
      <c r="D644" t="inlineStr">
        <is>
          <t>VÄSTERBOTTENS LÄN</t>
        </is>
      </c>
      <c r="E644" t="inlineStr">
        <is>
          <t>VILHELMINA</t>
        </is>
      </c>
      <c r="F644" t="inlineStr">
        <is>
          <t>SCA</t>
        </is>
      </c>
      <c r="G644" t="n">
        <v>9.699999999999999</v>
      </c>
      <c r="H644" t="n">
        <v>1</v>
      </c>
      <c r="I644" t="n">
        <v>1</v>
      </c>
      <c r="J644" t="n">
        <v>1</v>
      </c>
      <c r="K644" t="n">
        <v>0</v>
      </c>
      <c r="L644" t="n">
        <v>0</v>
      </c>
      <c r="M644" t="n">
        <v>0</v>
      </c>
      <c r="N644" t="n">
        <v>0</v>
      </c>
      <c r="O644" t="n">
        <v>1</v>
      </c>
      <c r="P644" t="n">
        <v>0</v>
      </c>
      <c r="Q644" t="n">
        <v>2</v>
      </c>
      <c r="R644" s="2" t="inlineStr">
        <is>
          <t>Ullticka
Lappranunkel</t>
        </is>
      </c>
      <c r="S644">
        <f>HYPERLINK("https://klasma.github.io/Logging_2462/artfynd/A 29140-2025 artfynd.xlsx", "A 29140-2025")</f>
        <v/>
      </c>
      <c r="T644">
        <f>HYPERLINK("https://klasma.github.io/Logging_2462/kartor/A 29140-2025 karta.png", "A 29140-2025")</f>
        <v/>
      </c>
      <c r="V644">
        <f>HYPERLINK("https://klasma.github.io/Logging_2462/klagomål/A 29140-2025 FSC-klagomål.docx", "A 29140-2025")</f>
        <v/>
      </c>
      <c r="W644">
        <f>HYPERLINK("https://klasma.github.io/Logging_2462/klagomålsmail/A 29140-2025 FSC-klagomål mail.docx", "A 29140-2025")</f>
        <v/>
      </c>
      <c r="X644">
        <f>HYPERLINK("https://klasma.github.io/Logging_2462/tillsyn/A 29140-2025 tillsynsbegäran.docx", "A 29140-2025")</f>
        <v/>
      </c>
      <c r="Y644">
        <f>HYPERLINK("https://klasma.github.io/Logging_2462/tillsynsmail/A 29140-2025 tillsynsbegäran mail.docx", "A 29140-2025")</f>
        <v/>
      </c>
    </row>
    <row r="645" ht="15" customHeight="1">
      <c r="A645" t="inlineStr">
        <is>
          <t>A 58736-2022</t>
        </is>
      </c>
      <c r="B645" s="1" t="n">
        <v>44902</v>
      </c>
      <c r="C645" s="1" t="n">
        <v>46075</v>
      </c>
      <c r="D645" t="inlineStr">
        <is>
          <t>VÄSTERBOTTENS LÄN</t>
        </is>
      </c>
      <c r="E645" t="inlineStr">
        <is>
          <t>DOROTEA</t>
        </is>
      </c>
      <c r="F645" t="inlineStr">
        <is>
          <t>SCA</t>
        </is>
      </c>
      <c r="G645" t="n">
        <v>3.4</v>
      </c>
      <c r="H645" t="n">
        <v>0</v>
      </c>
      <c r="I645" t="n">
        <v>0</v>
      </c>
      <c r="J645" t="n">
        <v>2</v>
      </c>
      <c r="K645" t="n">
        <v>0</v>
      </c>
      <c r="L645" t="n">
        <v>0</v>
      </c>
      <c r="M645" t="n">
        <v>0</v>
      </c>
      <c r="N645" t="n">
        <v>0</v>
      </c>
      <c r="O645" t="n">
        <v>2</v>
      </c>
      <c r="P645" t="n">
        <v>0</v>
      </c>
      <c r="Q645" t="n">
        <v>2</v>
      </c>
      <c r="R645" s="2" t="inlineStr">
        <is>
          <t>Lunglav
Skrovellav</t>
        </is>
      </c>
      <c r="S645">
        <f>HYPERLINK("https://klasma.github.io/Logging_2425/artfynd/A 58736-2022 artfynd.xlsx", "A 58736-2022")</f>
        <v/>
      </c>
      <c r="T645">
        <f>HYPERLINK("https://klasma.github.io/Logging_2425/kartor/A 58736-2022 karta.png", "A 58736-2022")</f>
        <v/>
      </c>
      <c r="V645">
        <f>HYPERLINK("https://klasma.github.io/Logging_2425/klagomål/A 58736-2022 FSC-klagomål.docx", "A 58736-2022")</f>
        <v/>
      </c>
      <c r="W645">
        <f>HYPERLINK("https://klasma.github.io/Logging_2425/klagomålsmail/A 58736-2022 FSC-klagomål mail.docx", "A 58736-2022")</f>
        <v/>
      </c>
      <c r="X645">
        <f>HYPERLINK("https://klasma.github.io/Logging_2425/tillsyn/A 58736-2022 tillsynsbegäran.docx", "A 58736-2022")</f>
        <v/>
      </c>
      <c r="Y645">
        <f>HYPERLINK("https://klasma.github.io/Logging_2425/tillsynsmail/A 58736-2022 tillsynsbegäran mail.docx", "A 58736-2022")</f>
        <v/>
      </c>
    </row>
    <row r="646" ht="15" customHeight="1">
      <c r="A646" t="inlineStr">
        <is>
          <t>A 29323-2025</t>
        </is>
      </c>
      <c r="B646" s="1" t="n">
        <v>45824.47902777778</v>
      </c>
      <c r="C646" s="1" t="n">
        <v>46075</v>
      </c>
      <c r="D646" t="inlineStr">
        <is>
          <t>VÄSTERBOTTENS LÄN</t>
        </is>
      </c>
      <c r="E646" t="inlineStr">
        <is>
          <t>NORDMALING</t>
        </is>
      </c>
      <c r="G646" t="n">
        <v>2.9</v>
      </c>
      <c r="H646" t="n">
        <v>0</v>
      </c>
      <c r="I646" t="n">
        <v>0</v>
      </c>
      <c r="J646" t="n">
        <v>2</v>
      </c>
      <c r="K646" t="n">
        <v>0</v>
      </c>
      <c r="L646" t="n">
        <v>0</v>
      </c>
      <c r="M646" t="n">
        <v>0</v>
      </c>
      <c r="N646" t="n">
        <v>0</v>
      </c>
      <c r="O646" t="n">
        <v>2</v>
      </c>
      <c r="P646" t="n">
        <v>0</v>
      </c>
      <c r="Q646" t="n">
        <v>2</v>
      </c>
      <c r="R646" s="2" t="inlineStr">
        <is>
          <t>Garnlav
Granticka</t>
        </is>
      </c>
      <c r="S646">
        <f>HYPERLINK("https://klasma.github.io/Logging_2401/artfynd/A 29323-2025 artfynd.xlsx", "A 29323-2025")</f>
        <v/>
      </c>
      <c r="T646">
        <f>HYPERLINK("https://klasma.github.io/Logging_2401/kartor/A 29323-2025 karta.png", "A 29323-2025")</f>
        <v/>
      </c>
      <c r="V646">
        <f>HYPERLINK("https://klasma.github.io/Logging_2401/klagomål/A 29323-2025 FSC-klagomål.docx", "A 29323-2025")</f>
        <v/>
      </c>
      <c r="W646">
        <f>HYPERLINK("https://klasma.github.io/Logging_2401/klagomålsmail/A 29323-2025 FSC-klagomål mail.docx", "A 29323-2025")</f>
        <v/>
      </c>
      <c r="X646">
        <f>HYPERLINK("https://klasma.github.io/Logging_2401/tillsyn/A 29323-2025 tillsynsbegäran.docx", "A 29323-2025")</f>
        <v/>
      </c>
      <c r="Y646">
        <f>HYPERLINK("https://klasma.github.io/Logging_2401/tillsynsmail/A 29323-2025 tillsynsbegäran mail.docx", "A 29323-2025")</f>
        <v/>
      </c>
    </row>
    <row r="647" ht="15" customHeight="1">
      <c r="A647" t="inlineStr">
        <is>
          <t>A 39679-2025</t>
        </is>
      </c>
      <c r="B647" s="1" t="n">
        <v>45890</v>
      </c>
      <c r="C647" s="1" t="n">
        <v>46075</v>
      </c>
      <c r="D647" t="inlineStr">
        <is>
          <t>VÄSTERBOTTENS LÄN</t>
        </is>
      </c>
      <c r="E647" t="inlineStr">
        <is>
          <t>DOROTEA</t>
        </is>
      </c>
      <c r="G647" t="n">
        <v>11</v>
      </c>
      <c r="H647" t="n">
        <v>0</v>
      </c>
      <c r="I647" t="n">
        <v>0</v>
      </c>
      <c r="J647" t="n">
        <v>2</v>
      </c>
      <c r="K647" t="n">
        <v>0</v>
      </c>
      <c r="L647" t="n">
        <v>0</v>
      </c>
      <c r="M647" t="n">
        <v>0</v>
      </c>
      <c r="N647" t="n">
        <v>0</v>
      </c>
      <c r="O647" t="n">
        <v>2</v>
      </c>
      <c r="P647" t="n">
        <v>0</v>
      </c>
      <c r="Q647" t="n">
        <v>2</v>
      </c>
      <c r="R647" s="2" t="inlineStr">
        <is>
          <t>Garnlav
Granticka</t>
        </is>
      </c>
      <c r="S647">
        <f>HYPERLINK("https://klasma.github.io/Logging_2425/artfynd/A 39679-2025 artfynd.xlsx", "A 39679-2025")</f>
        <v/>
      </c>
      <c r="T647">
        <f>HYPERLINK("https://klasma.github.io/Logging_2425/kartor/A 39679-2025 karta.png", "A 39679-2025")</f>
        <v/>
      </c>
      <c r="V647">
        <f>HYPERLINK("https://klasma.github.io/Logging_2425/klagomål/A 39679-2025 FSC-klagomål.docx", "A 39679-2025")</f>
        <v/>
      </c>
      <c r="W647">
        <f>HYPERLINK("https://klasma.github.io/Logging_2425/klagomålsmail/A 39679-2025 FSC-klagomål mail.docx", "A 39679-2025")</f>
        <v/>
      </c>
      <c r="X647">
        <f>HYPERLINK("https://klasma.github.io/Logging_2425/tillsyn/A 39679-2025 tillsynsbegäran.docx", "A 39679-2025")</f>
        <v/>
      </c>
      <c r="Y647">
        <f>HYPERLINK("https://klasma.github.io/Logging_2425/tillsynsmail/A 39679-2025 tillsynsbegäran mail.docx", "A 39679-2025")</f>
        <v/>
      </c>
    </row>
    <row r="648" ht="15" customHeight="1">
      <c r="A648" t="inlineStr">
        <is>
          <t>A 28012-2023</t>
        </is>
      </c>
      <c r="B648" s="1" t="n">
        <v>45098</v>
      </c>
      <c r="C648" s="1" t="n">
        <v>46075</v>
      </c>
      <c r="D648" t="inlineStr">
        <is>
          <t>VÄSTERBOTTENS LÄN</t>
        </is>
      </c>
      <c r="E648" t="inlineStr">
        <is>
          <t>VILHELMINA</t>
        </is>
      </c>
      <c r="F648" t="inlineStr">
        <is>
          <t>SCA</t>
        </is>
      </c>
      <c r="G648" t="n">
        <v>1.7</v>
      </c>
      <c r="H648" t="n">
        <v>1</v>
      </c>
      <c r="I648" t="n">
        <v>0</v>
      </c>
      <c r="J648" t="n">
        <v>2</v>
      </c>
      <c r="K648" t="n">
        <v>0</v>
      </c>
      <c r="L648" t="n">
        <v>0</v>
      </c>
      <c r="M648" t="n">
        <v>0</v>
      </c>
      <c r="N648" t="n">
        <v>0</v>
      </c>
      <c r="O648" t="n">
        <v>2</v>
      </c>
      <c r="P648" t="n">
        <v>0</v>
      </c>
      <c r="Q648" t="n">
        <v>2</v>
      </c>
      <c r="R648" s="2" t="inlineStr">
        <is>
          <t>Garnlav
Tretåig hackspett</t>
        </is>
      </c>
      <c r="S648">
        <f>HYPERLINK("https://klasma.github.io/Logging_2462/artfynd/A 28012-2023 artfynd.xlsx", "A 28012-2023")</f>
        <v/>
      </c>
      <c r="T648">
        <f>HYPERLINK("https://klasma.github.io/Logging_2462/kartor/A 28012-2023 karta.png", "A 28012-2023")</f>
        <v/>
      </c>
      <c r="V648">
        <f>HYPERLINK("https://klasma.github.io/Logging_2462/klagomål/A 28012-2023 FSC-klagomål.docx", "A 28012-2023")</f>
        <v/>
      </c>
      <c r="W648">
        <f>HYPERLINK("https://klasma.github.io/Logging_2462/klagomålsmail/A 28012-2023 FSC-klagomål mail.docx", "A 28012-2023")</f>
        <v/>
      </c>
      <c r="X648">
        <f>HYPERLINK("https://klasma.github.io/Logging_2462/tillsyn/A 28012-2023 tillsynsbegäran.docx", "A 28012-2023")</f>
        <v/>
      </c>
      <c r="Y648">
        <f>HYPERLINK("https://klasma.github.io/Logging_2462/tillsynsmail/A 28012-2023 tillsynsbegäran mail.docx", "A 28012-2023")</f>
        <v/>
      </c>
      <c r="Z648">
        <f>HYPERLINK("https://klasma.github.io/Logging_2462/fåglar/A 28012-2023 prioriterade fågelarter.docx", "A 28012-2023")</f>
        <v/>
      </c>
    </row>
    <row r="649" ht="15" customHeight="1">
      <c r="A649" t="inlineStr">
        <is>
          <t>A 30515-2025</t>
        </is>
      </c>
      <c r="B649" s="1" t="n">
        <v>45831.33053240741</v>
      </c>
      <c r="C649" s="1" t="n">
        <v>46075</v>
      </c>
      <c r="D649" t="inlineStr">
        <is>
          <t>VÄSTERBOTTENS LÄN</t>
        </is>
      </c>
      <c r="E649" t="inlineStr">
        <is>
          <t>LYCKSELE</t>
        </is>
      </c>
      <c r="F649" t="inlineStr">
        <is>
          <t>Sveaskog</t>
        </is>
      </c>
      <c r="G649" t="n">
        <v>8.1</v>
      </c>
      <c r="H649" t="n">
        <v>0</v>
      </c>
      <c r="I649" t="n">
        <v>0</v>
      </c>
      <c r="J649" t="n">
        <v>2</v>
      </c>
      <c r="K649" t="n">
        <v>0</v>
      </c>
      <c r="L649" t="n">
        <v>0</v>
      </c>
      <c r="M649" t="n">
        <v>0</v>
      </c>
      <c r="N649" t="n">
        <v>0</v>
      </c>
      <c r="O649" t="n">
        <v>2</v>
      </c>
      <c r="P649" t="n">
        <v>0</v>
      </c>
      <c r="Q649" t="n">
        <v>2</v>
      </c>
      <c r="R649" s="2" t="inlineStr">
        <is>
          <t>Granticka
Ullticka</t>
        </is>
      </c>
      <c r="S649">
        <f>HYPERLINK("https://klasma.github.io/Logging_2481/artfynd/A 30515-2025 artfynd.xlsx", "A 30515-2025")</f>
        <v/>
      </c>
      <c r="T649">
        <f>HYPERLINK("https://klasma.github.io/Logging_2481/kartor/A 30515-2025 karta.png", "A 30515-2025")</f>
        <v/>
      </c>
      <c r="V649">
        <f>HYPERLINK("https://klasma.github.io/Logging_2481/klagomål/A 30515-2025 FSC-klagomål.docx", "A 30515-2025")</f>
        <v/>
      </c>
      <c r="W649">
        <f>HYPERLINK("https://klasma.github.io/Logging_2481/klagomålsmail/A 30515-2025 FSC-klagomål mail.docx", "A 30515-2025")</f>
        <v/>
      </c>
      <c r="X649">
        <f>HYPERLINK("https://klasma.github.io/Logging_2481/tillsyn/A 30515-2025 tillsynsbegäran.docx", "A 30515-2025")</f>
        <v/>
      </c>
      <c r="Y649">
        <f>HYPERLINK("https://klasma.github.io/Logging_2481/tillsynsmail/A 30515-2025 tillsynsbegäran mail.docx", "A 30515-2025")</f>
        <v/>
      </c>
    </row>
    <row r="650" ht="15" customHeight="1">
      <c r="A650" t="inlineStr">
        <is>
          <t>A 30173-2025</t>
        </is>
      </c>
      <c r="B650" s="1" t="n">
        <v>45827.34200231481</v>
      </c>
      <c r="C650" s="1" t="n">
        <v>46075</v>
      </c>
      <c r="D650" t="inlineStr">
        <is>
          <t>VÄSTERBOTTENS LÄN</t>
        </is>
      </c>
      <c r="E650" t="inlineStr">
        <is>
          <t>UMEÅ</t>
        </is>
      </c>
      <c r="G650" t="n">
        <v>11</v>
      </c>
      <c r="H650" t="n">
        <v>1</v>
      </c>
      <c r="I650" t="n">
        <v>0</v>
      </c>
      <c r="J650" t="n">
        <v>2</v>
      </c>
      <c r="K650" t="n">
        <v>0</v>
      </c>
      <c r="L650" t="n">
        <v>0</v>
      </c>
      <c r="M650" t="n">
        <v>0</v>
      </c>
      <c r="N650" t="n">
        <v>0</v>
      </c>
      <c r="O650" t="n">
        <v>2</v>
      </c>
      <c r="P650" t="n">
        <v>0</v>
      </c>
      <c r="Q650" t="n">
        <v>2</v>
      </c>
      <c r="R650" s="2" t="inlineStr">
        <is>
          <t>Nordfladdermus
Ullticka</t>
        </is>
      </c>
      <c r="S650">
        <f>HYPERLINK("https://klasma.github.io/Logging_2480/artfynd/A 30173-2025 artfynd.xlsx", "A 30173-2025")</f>
        <v/>
      </c>
      <c r="T650">
        <f>HYPERLINK("https://klasma.github.io/Logging_2480/kartor/A 30173-2025 karta.png", "A 30173-2025")</f>
        <v/>
      </c>
      <c r="V650">
        <f>HYPERLINK("https://klasma.github.io/Logging_2480/klagomål/A 30173-2025 FSC-klagomål.docx", "A 30173-2025")</f>
        <v/>
      </c>
      <c r="W650">
        <f>HYPERLINK("https://klasma.github.io/Logging_2480/klagomålsmail/A 30173-2025 FSC-klagomål mail.docx", "A 30173-2025")</f>
        <v/>
      </c>
      <c r="X650">
        <f>HYPERLINK("https://klasma.github.io/Logging_2480/tillsyn/A 30173-2025 tillsynsbegäran.docx", "A 30173-2025")</f>
        <v/>
      </c>
      <c r="Y650">
        <f>HYPERLINK("https://klasma.github.io/Logging_2480/tillsynsmail/A 30173-2025 tillsynsbegäran mail.docx", "A 30173-2025")</f>
        <v/>
      </c>
    </row>
    <row r="651" ht="15" customHeight="1">
      <c r="A651" t="inlineStr">
        <is>
          <t>A 40520-2025</t>
        </is>
      </c>
      <c r="B651" s="1" t="n">
        <v>45896.36488425926</v>
      </c>
      <c r="C651" s="1" t="n">
        <v>46075</v>
      </c>
      <c r="D651" t="inlineStr">
        <is>
          <t>VÄSTERBOTTENS LÄN</t>
        </is>
      </c>
      <c r="E651" t="inlineStr">
        <is>
          <t>STORUMAN</t>
        </is>
      </c>
      <c r="G651" t="n">
        <v>8.1</v>
      </c>
      <c r="H651" t="n">
        <v>1</v>
      </c>
      <c r="I651" t="n">
        <v>0</v>
      </c>
      <c r="J651" t="n">
        <v>2</v>
      </c>
      <c r="K651" t="n">
        <v>0</v>
      </c>
      <c r="L651" t="n">
        <v>0</v>
      </c>
      <c r="M651" t="n">
        <v>0</v>
      </c>
      <c r="N651" t="n">
        <v>0</v>
      </c>
      <c r="O651" t="n">
        <v>2</v>
      </c>
      <c r="P651" t="n">
        <v>0</v>
      </c>
      <c r="Q651" t="n">
        <v>2</v>
      </c>
      <c r="R651" s="2" t="inlineStr">
        <is>
          <t>Rödbrun blekspik
Videsparv</t>
        </is>
      </c>
      <c r="S651">
        <f>HYPERLINK("https://klasma.github.io/Logging_2421/artfynd/A 40520-2025 artfynd.xlsx", "A 40520-2025")</f>
        <v/>
      </c>
      <c r="T651">
        <f>HYPERLINK("https://klasma.github.io/Logging_2421/kartor/A 40520-2025 karta.png", "A 40520-2025")</f>
        <v/>
      </c>
      <c r="V651">
        <f>HYPERLINK("https://klasma.github.io/Logging_2421/klagomål/A 40520-2025 FSC-klagomål.docx", "A 40520-2025")</f>
        <v/>
      </c>
      <c r="W651">
        <f>HYPERLINK("https://klasma.github.io/Logging_2421/klagomålsmail/A 40520-2025 FSC-klagomål mail.docx", "A 40520-2025")</f>
        <v/>
      </c>
      <c r="X651">
        <f>HYPERLINK("https://klasma.github.io/Logging_2421/tillsyn/A 40520-2025 tillsynsbegäran.docx", "A 40520-2025")</f>
        <v/>
      </c>
      <c r="Y651">
        <f>HYPERLINK("https://klasma.github.io/Logging_2421/tillsynsmail/A 40520-2025 tillsynsbegäran mail.docx", "A 40520-2025")</f>
        <v/>
      </c>
      <c r="Z651">
        <f>HYPERLINK("https://klasma.github.io/Logging_2421/fåglar/A 40520-2025 prioriterade fågelarter.docx", "A 40520-2025")</f>
        <v/>
      </c>
    </row>
    <row r="652" ht="15" customHeight="1">
      <c r="A652" t="inlineStr">
        <is>
          <t>A 30691-2025</t>
        </is>
      </c>
      <c r="B652" s="1" t="n">
        <v>45831.54038194445</v>
      </c>
      <c r="C652" s="1" t="n">
        <v>46075</v>
      </c>
      <c r="D652" t="inlineStr">
        <is>
          <t>VÄSTERBOTTENS LÄN</t>
        </is>
      </c>
      <c r="E652" t="inlineStr">
        <is>
          <t>LYCKSELE</t>
        </is>
      </c>
      <c r="F652" t="inlineStr">
        <is>
          <t>Sveaskog</t>
        </is>
      </c>
      <c r="G652" t="n">
        <v>2</v>
      </c>
      <c r="H652" t="n">
        <v>1</v>
      </c>
      <c r="I652" t="n">
        <v>0</v>
      </c>
      <c r="J652" t="n">
        <v>2</v>
      </c>
      <c r="K652" t="n">
        <v>0</v>
      </c>
      <c r="L652" t="n">
        <v>0</v>
      </c>
      <c r="M652" t="n">
        <v>0</v>
      </c>
      <c r="N652" t="n">
        <v>0</v>
      </c>
      <c r="O652" t="n">
        <v>2</v>
      </c>
      <c r="P652" t="n">
        <v>0</v>
      </c>
      <c r="Q652" t="n">
        <v>2</v>
      </c>
      <c r="R652" s="2" t="inlineStr">
        <is>
          <t>Mörk kolflarnlav
Tretåig hackspett</t>
        </is>
      </c>
      <c r="S652">
        <f>HYPERLINK("https://klasma.github.io/Logging_2481/artfynd/A 30691-2025 artfynd.xlsx", "A 30691-2025")</f>
        <v/>
      </c>
      <c r="T652">
        <f>HYPERLINK("https://klasma.github.io/Logging_2481/kartor/A 30691-2025 karta.png", "A 30691-2025")</f>
        <v/>
      </c>
      <c r="V652">
        <f>HYPERLINK("https://klasma.github.io/Logging_2481/klagomål/A 30691-2025 FSC-klagomål.docx", "A 30691-2025")</f>
        <v/>
      </c>
      <c r="W652">
        <f>HYPERLINK("https://klasma.github.io/Logging_2481/klagomålsmail/A 30691-2025 FSC-klagomål mail.docx", "A 30691-2025")</f>
        <v/>
      </c>
      <c r="X652">
        <f>HYPERLINK("https://klasma.github.io/Logging_2481/tillsyn/A 30691-2025 tillsynsbegäran.docx", "A 30691-2025")</f>
        <v/>
      </c>
      <c r="Y652">
        <f>HYPERLINK("https://klasma.github.io/Logging_2481/tillsynsmail/A 30691-2025 tillsynsbegäran mail.docx", "A 30691-2025")</f>
        <v/>
      </c>
      <c r="Z652">
        <f>HYPERLINK("https://klasma.github.io/Logging_2481/fåglar/A 30691-2025 prioriterade fågelarter.docx", "A 30691-2025")</f>
        <v/>
      </c>
    </row>
    <row r="653" ht="15" customHeight="1">
      <c r="A653" t="inlineStr">
        <is>
          <t>A 2893-2023</t>
        </is>
      </c>
      <c r="B653" s="1" t="n">
        <v>44945.50438657407</v>
      </c>
      <c r="C653" s="1" t="n">
        <v>46075</v>
      </c>
      <c r="D653" t="inlineStr">
        <is>
          <t>VÄSTERBOTTENS LÄN</t>
        </is>
      </c>
      <c r="E653" t="inlineStr">
        <is>
          <t>LYCKSELE</t>
        </is>
      </c>
      <c r="F653" t="inlineStr">
        <is>
          <t>Kyrkan</t>
        </is>
      </c>
      <c r="G653" t="n">
        <v>3.5</v>
      </c>
      <c r="H653" t="n">
        <v>0</v>
      </c>
      <c r="I653" t="n">
        <v>1</v>
      </c>
      <c r="J653" t="n">
        <v>1</v>
      </c>
      <c r="K653" t="n">
        <v>0</v>
      </c>
      <c r="L653" t="n">
        <v>0</v>
      </c>
      <c r="M653" t="n">
        <v>0</v>
      </c>
      <c r="N653" t="n">
        <v>0</v>
      </c>
      <c r="O653" t="n">
        <v>1</v>
      </c>
      <c r="P653" t="n">
        <v>0</v>
      </c>
      <c r="Q653" t="n">
        <v>2</v>
      </c>
      <c r="R653" s="2" t="inlineStr">
        <is>
          <t>Garnlav
Dropptaggsvamp</t>
        </is>
      </c>
      <c r="S653">
        <f>HYPERLINK("https://klasma.github.io/Logging_2481/artfynd/A 2893-2023 artfynd.xlsx", "A 2893-2023")</f>
        <v/>
      </c>
      <c r="T653">
        <f>HYPERLINK("https://klasma.github.io/Logging_2481/kartor/A 2893-2023 karta.png", "A 2893-2023")</f>
        <v/>
      </c>
      <c r="V653">
        <f>HYPERLINK("https://klasma.github.io/Logging_2481/klagomål/A 2893-2023 FSC-klagomål.docx", "A 2893-2023")</f>
        <v/>
      </c>
      <c r="W653">
        <f>HYPERLINK("https://klasma.github.io/Logging_2481/klagomålsmail/A 2893-2023 FSC-klagomål mail.docx", "A 2893-2023")</f>
        <v/>
      </c>
      <c r="X653">
        <f>HYPERLINK("https://klasma.github.io/Logging_2481/tillsyn/A 2893-2023 tillsynsbegäran.docx", "A 2893-2023")</f>
        <v/>
      </c>
      <c r="Y653">
        <f>HYPERLINK("https://klasma.github.io/Logging_2481/tillsynsmail/A 2893-2023 tillsynsbegäran mail.docx", "A 2893-2023")</f>
        <v/>
      </c>
    </row>
    <row r="654" ht="15" customHeight="1">
      <c r="A654" t="inlineStr">
        <is>
          <t>A 41360-2025</t>
        </is>
      </c>
      <c r="B654" s="1" t="n">
        <v>45900.46912037037</v>
      </c>
      <c r="C654" s="1" t="n">
        <v>46075</v>
      </c>
      <c r="D654" t="inlineStr">
        <is>
          <t>VÄSTERBOTTENS LÄN</t>
        </is>
      </c>
      <c r="E654" t="inlineStr">
        <is>
          <t>DOROTEA</t>
        </is>
      </c>
      <c r="F654" t="inlineStr">
        <is>
          <t>SCA</t>
        </is>
      </c>
      <c r="G654" t="n">
        <v>11.5</v>
      </c>
      <c r="H654" t="n">
        <v>1</v>
      </c>
      <c r="I654" t="n">
        <v>1</v>
      </c>
      <c r="J654" t="n">
        <v>0</v>
      </c>
      <c r="K654" t="n">
        <v>0</v>
      </c>
      <c r="L654" t="n">
        <v>0</v>
      </c>
      <c r="M654" t="n">
        <v>0</v>
      </c>
      <c r="N654" t="n">
        <v>0</v>
      </c>
      <c r="O654" t="n">
        <v>0</v>
      </c>
      <c r="P654" t="n">
        <v>0</v>
      </c>
      <c r="Q654" t="n">
        <v>2</v>
      </c>
      <c r="R654" s="2" t="inlineStr">
        <is>
          <t>Kransrams
Skogsrör</t>
        </is>
      </c>
      <c r="S654">
        <f>HYPERLINK("https://klasma.github.io/Logging_2425/artfynd/A 41360-2025 artfynd.xlsx", "A 41360-2025")</f>
        <v/>
      </c>
      <c r="T654">
        <f>HYPERLINK("https://klasma.github.io/Logging_2425/kartor/A 41360-2025 karta.png", "A 41360-2025")</f>
        <v/>
      </c>
      <c r="V654">
        <f>HYPERLINK("https://klasma.github.io/Logging_2425/klagomål/A 41360-2025 FSC-klagomål.docx", "A 41360-2025")</f>
        <v/>
      </c>
      <c r="W654">
        <f>HYPERLINK("https://klasma.github.io/Logging_2425/klagomålsmail/A 41360-2025 FSC-klagomål mail.docx", "A 41360-2025")</f>
        <v/>
      </c>
      <c r="X654">
        <f>HYPERLINK("https://klasma.github.io/Logging_2425/tillsyn/A 41360-2025 tillsynsbegäran.docx", "A 41360-2025")</f>
        <v/>
      </c>
      <c r="Y654">
        <f>HYPERLINK("https://klasma.github.io/Logging_2425/tillsynsmail/A 41360-2025 tillsynsbegäran mail.docx", "A 41360-2025")</f>
        <v/>
      </c>
    </row>
    <row r="655" ht="15" customHeight="1">
      <c r="A655" t="inlineStr">
        <is>
          <t>A 31735-2025</t>
        </is>
      </c>
      <c r="B655" s="1" t="n">
        <v>45834.47067129629</v>
      </c>
      <c r="C655" s="1" t="n">
        <v>46075</v>
      </c>
      <c r="D655" t="inlineStr">
        <is>
          <t>VÄSTERBOTTENS LÄN</t>
        </is>
      </c>
      <c r="E655" t="inlineStr">
        <is>
          <t>VILHELMINA</t>
        </is>
      </c>
      <c r="F655" t="inlineStr">
        <is>
          <t>SCA</t>
        </is>
      </c>
      <c r="G655" t="n">
        <v>7.4</v>
      </c>
      <c r="H655" t="n">
        <v>0</v>
      </c>
      <c r="I655" t="n">
        <v>1</v>
      </c>
      <c r="J655" t="n">
        <v>1</v>
      </c>
      <c r="K655" t="n">
        <v>0</v>
      </c>
      <c r="L655" t="n">
        <v>0</v>
      </c>
      <c r="M655" t="n">
        <v>0</v>
      </c>
      <c r="N655" t="n">
        <v>0</v>
      </c>
      <c r="O655" t="n">
        <v>1</v>
      </c>
      <c r="P655" t="n">
        <v>0</v>
      </c>
      <c r="Q655" t="n">
        <v>2</v>
      </c>
      <c r="R655" s="2" t="inlineStr">
        <is>
          <t>Skrovellav
Stuplav</t>
        </is>
      </c>
      <c r="S655">
        <f>HYPERLINK("https://klasma.github.io/Logging_2462/artfynd/A 31735-2025 artfynd.xlsx", "A 31735-2025")</f>
        <v/>
      </c>
      <c r="T655">
        <f>HYPERLINK("https://klasma.github.io/Logging_2462/kartor/A 31735-2025 karta.png", "A 31735-2025")</f>
        <v/>
      </c>
      <c r="V655">
        <f>HYPERLINK("https://klasma.github.io/Logging_2462/klagomål/A 31735-2025 FSC-klagomål.docx", "A 31735-2025")</f>
        <v/>
      </c>
      <c r="W655">
        <f>HYPERLINK("https://klasma.github.io/Logging_2462/klagomålsmail/A 31735-2025 FSC-klagomål mail.docx", "A 31735-2025")</f>
        <v/>
      </c>
      <c r="X655">
        <f>HYPERLINK("https://klasma.github.io/Logging_2462/tillsyn/A 31735-2025 tillsynsbegäran.docx", "A 31735-2025")</f>
        <v/>
      </c>
      <c r="Y655">
        <f>HYPERLINK("https://klasma.github.io/Logging_2462/tillsynsmail/A 31735-2025 tillsynsbegäran mail.docx", "A 31735-2025")</f>
        <v/>
      </c>
    </row>
    <row r="656" ht="15" customHeight="1">
      <c r="A656" t="inlineStr">
        <is>
          <t>A 41018-2025</t>
        </is>
      </c>
      <c r="B656" s="1" t="n">
        <v>45898.365</v>
      </c>
      <c r="C656" s="1" t="n">
        <v>46075</v>
      </c>
      <c r="D656" t="inlineStr">
        <is>
          <t>VÄSTERBOTTENS LÄN</t>
        </is>
      </c>
      <c r="E656" t="inlineStr">
        <is>
          <t>ÅSELE</t>
        </is>
      </c>
      <c r="F656" t="inlineStr">
        <is>
          <t>SCA</t>
        </is>
      </c>
      <c r="G656" t="n">
        <v>13.4</v>
      </c>
      <c r="H656" t="n">
        <v>0</v>
      </c>
      <c r="I656" t="n">
        <v>0</v>
      </c>
      <c r="J656" t="n">
        <v>2</v>
      </c>
      <c r="K656" t="n">
        <v>0</v>
      </c>
      <c r="L656" t="n">
        <v>0</v>
      </c>
      <c r="M656" t="n">
        <v>0</v>
      </c>
      <c r="N656" t="n">
        <v>0</v>
      </c>
      <c r="O656" t="n">
        <v>2</v>
      </c>
      <c r="P656" t="n">
        <v>0</v>
      </c>
      <c r="Q656" t="n">
        <v>2</v>
      </c>
      <c r="R656" s="2" t="inlineStr">
        <is>
          <t>Granticka
Ullticka</t>
        </is>
      </c>
      <c r="S656">
        <f>HYPERLINK("https://klasma.github.io/Logging_2463/artfynd/A 41018-2025 artfynd.xlsx", "A 41018-2025")</f>
        <v/>
      </c>
      <c r="T656">
        <f>HYPERLINK("https://klasma.github.io/Logging_2463/kartor/A 41018-2025 karta.png", "A 41018-2025")</f>
        <v/>
      </c>
      <c r="V656">
        <f>HYPERLINK("https://klasma.github.io/Logging_2463/klagomål/A 41018-2025 FSC-klagomål.docx", "A 41018-2025")</f>
        <v/>
      </c>
      <c r="W656">
        <f>HYPERLINK("https://klasma.github.io/Logging_2463/klagomålsmail/A 41018-2025 FSC-klagomål mail.docx", "A 41018-2025")</f>
        <v/>
      </c>
      <c r="X656">
        <f>HYPERLINK("https://klasma.github.io/Logging_2463/tillsyn/A 41018-2025 tillsynsbegäran.docx", "A 41018-2025")</f>
        <v/>
      </c>
      <c r="Y656">
        <f>HYPERLINK("https://klasma.github.io/Logging_2463/tillsynsmail/A 41018-2025 tillsynsbegäran mail.docx", "A 41018-2025")</f>
        <v/>
      </c>
    </row>
    <row r="657" ht="15" customHeight="1">
      <c r="A657" t="inlineStr">
        <is>
          <t>A 14391-2025</t>
        </is>
      </c>
      <c r="B657" s="1" t="n">
        <v>45741.42979166667</v>
      </c>
      <c r="C657" s="1" t="n">
        <v>46075</v>
      </c>
      <c r="D657" t="inlineStr">
        <is>
          <t>VÄSTERBOTTENS LÄN</t>
        </is>
      </c>
      <c r="E657" t="inlineStr">
        <is>
          <t>SKELLEFTEÅ</t>
        </is>
      </c>
      <c r="G657" t="n">
        <v>3.2</v>
      </c>
      <c r="H657" t="n">
        <v>2</v>
      </c>
      <c r="I657" t="n">
        <v>0</v>
      </c>
      <c r="J657" t="n">
        <v>0</v>
      </c>
      <c r="K657" t="n">
        <v>0</v>
      </c>
      <c r="L657" t="n">
        <v>0</v>
      </c>
      <c r="M657" t="n">
        <v>0</v>
      </c>
      <c r="N657" t="n">
        <v>0</v>
      </c>
      <c r="O657" t="n">
        <v>0</v>
      </c>
      <c r="P657" t="n">
        <v>0</v>
      </c>
      <c r="Q657" t="n">
        <v>2</v>
      </c>
      <c r="R657" s="2" t="inlineStr">
        <is>
          <t>Enkelbeckasin
Grönsiska</t>
        </is>
      </c>
      <c r="S657">
        <f>HYPERLINK("https://klasma.github.io/Logging_2482/artfynd/A 14391-2025 artfynd.xlsx", "A 14391-2025")</f>
        <v/>
      </c>
      <c r="T657">
        <f>HYPERLINK("https://klasma.github.io/Logging_2482/kartor/A 14391-2025 karta.png", "A 14391-2025")</f>
        <v/>
      </c>
      <c r="V657">
        <f>HYPERLINK("https://klasma.github.io/Logging_2482/klagomål/A 14391-2025 FSC-klagomål.docx", "A 14391-2025")</f>
        <v/>
      </c>
      <c r="W657">
        <f>HYPERLINK("https://klasma.github.io/Logging_2482/klagomålsmail/A 14391-2025 FSC-klagomål mail.docx", "A 14391-2025")</f>
        <v/>
      </c>
      <c r="X657">
        <f>HYPERLINK("https://klasma.github.io/Logging_2482/tillsyn/A 14391-2025 tillsynsbegäran.docx", "A 14391-2025")</f>
        <v/>
      </c>
      <c r="Y657">
        <f>HYPERLINK("https://klasma.github.io/Logging_2482/tillsynsmail/A 14391-2025 tillsynsbegäran mail.docx", "A 14391-2025")</f>
        <v/>
      </c>
      <c r="Z657">
        <f>HYPERLINK("https://klasma.github.io/Logging_2482/fåglar/A 14391-2025 prioriterade fågelarter.docx", "A 14391-2025")</f>
        <v/>
      </c>
    </row>
    <row r="658" ht="15" customHeight="1">
      <c r="A658" t="inlineStr">
        <is>
          <t>A 42328-2025</t>
        </is>
      </c>
      <c r="B658" s="1" t="n">
        <v>45904</v>
      </c>
      <c r="C658" s="1" t="n">
        <v>46075</v>
      </c>
      <c r="D658" t="inlineStr">
        <is>
          <t>VÄSTERBOTTENS LÄN</t>
        </is>
      </c>
      <c r="E658" t="inlineStr">
        <is>
          <t>SKELLEFTEÅ</t>
        </is>
      </c>
      <c r="G658" t="n">
        <v>7.5</v>
      </c>
      <c r="H658" t="n">
        <v>2</v>
      </c>
      <c r="I658" t="n">
        <v>0</v>
      </c>
      <c r="J658" t="n">
        <v>1</v>
      </c>
      <c r="K658" t="n">
        <v>0</v>
      </c>
      <c r="L658" t="n">
        <v>0</v>
      </c>
      <c r="M658" t="n">
        <v>0</v>
      </c>
      <c r="N658" t="n">
        <v>0</v>
      </c>
      <c r="O658" t="n">
        <v>1</v>
      </c>
      <c r="P658" t="n">
        <v>0</v>
      </c>
      <c r="Q658" t="n">
        <v>2</v>
      </c>
      <c r="R658" s="2" t="inlineStr">
        <is>
          <t>Rödvingetrast
Enkelbeckasin</t>
        </is>
      </c>
      <c r="S658">
        <f>HYPERLINK("https://klasma.github.io/Logging_2482/artfynd/A 42328-2025 artfynd.xlsx", "A 42328-2025")</f>
        <v/>
      </c>
      <c r="T658">
        <f>HYPERLINK("https://klasma.github.io/Logging_2482/kartor/A 42328-2025 karta.png", "A 42328-2025")</f>
        <v/>
      </c>
      <c r="V658">
        <f>HYPERLINK("https://klasma.github.io/Logging_2482/klagomål/A 42328-2025 FSC-klagomål.docx", "A 42328-2025")</f>
        <v/>
      </c>
      <c r="W658">
        <f>HYPERLINK("https://klasma.github.io/Logging_2482/klagomålsmail/A 42328-2025 FSC-klagomål mail.docx", "A 42328-2025")</f>
        <v/>
      </c>
      <c r="X658">
        <f>HYPERLINK("https://klasma.github.io/Logging_2482/tillsyn/A 42328-2025 tillsynsbegäran.docx", "A 42328-2025")</f>
        <v/>
      </c>
      <c r="Y658">
        <f>HYPERLINK("https://klasma.github.io/Logging_2482/tillsynsmail/A 42328-2025 tillsynsbegäran mail.docx", "A 42328-2025")</f>
        <v/>
      </c>
      <c r="Z658">
        <f>HYPERLINK("https://klasma.github.io/Logging_2482/fåglar/A 42328-2025 prioriterade fågelarter.docx", "A 42328-2025")</f>
        <v/>
      </c>
    </row>
    <row r="659" ht="15" customHeight="1">
      <c r="A659" t="inlineStr">
        <is>
          <t>A 36561-2023</t>
        </is>
      </c>
      <c r="B659" s="1" t="n">
        <v>45153</v>
      </c>
      <c r="C659" s="1" t="n">
        <v>46075</v>
      </c>
      <c r="D659" t="inlineStr">
        <is>
          <t>VÄSTERBOTTENS LÄN</t>
        </is>
      </c>
      <c r="E659" t="inlineStr">
        <is>
          <t>ROBERTSFORS</t>
        </is>
      </c>
      <c r="F659" t="inlineStr">
        <is>
          <t>Holmen skog AB</t>
        </is>
      </c>
      <c r="G659" t="n">
        <v>2.2</v>
      </c>
      <c r="H659" t="n">
        <v>2</v>
      </c>
      <c r="I659" t="n">
        <v>0</v>
      </c>
      <c r="J659" t="n">
        <v>0</v>
      </c>
      <c r="K659" t="n">
        <v>0</v>
      </c>
      <c r="L659" t="n">
        <v>0</v>
      </c>
      <c r="M659" t="n">
        <v>0</v>
      </c>
      <c r="N659" t="n">
        <v>0</v>
      </c>
      <c r="O659" t="n">
        <v>0</v>
      </c>
      <c r="P659" t="n">
        <v>0</v>
      </c>
      <c r="Q659" t="n">
        <v>2</v>
      </c>
      <c r="R659" s="2" t="inlineStr">
        <is>
          <t>Fläcknycklar
Revlummer</t>
        </is>
      </c>
      <c r="S659">
        <f>HYPERLINK("https://klasma.github.io/Logging_2409/artfynd/A 36561-2023 artfynd.xlsx", "A 36561-2023")</f>
        <v/>
      </c>
      <c r="T659">
        <f>HYPERLINK("https://klasma.github.io/Logging_2409/kartor/A 36561-2023 karta.png", "A 36561-2023")</f>
        <v/>
      </c>
      <c r="V659">
        <f>HYPERLINK("https://klasma.github.io/Logging_2409/klagomål/A 36561-2023 FSC-klagomål.docx", "A 36561-2023")</f>
        <v/>
      </c>
      <c r="W659">
        <f>HYPERLINK("https://klasma.github.io/Logging_2409/klagomålsmail/A 36561-2023 FSC-klagomål mail.docx", "A 36561-2023")</f>
        <v/>
      </c>
      <c r="X659">
        <f>HYPERLINK("https://klasma.github.io/Logging_2409/tillsyn/A 36561-2023 tillsynsbegäran.docx", "A 36561-2023")</f>
        <v/>
      </c>
      <c r="Y659">
        <f>HYPERLINK("https://klasma.github.io/Logging_2409/tillsynsmail/A 36561-2023 tillsynsbegäran mail.docx", "A 36561-2023")</f>
        <v/>
      </c>
    </row>
    <row r="660" ht="15" customHeight="1">
      <c r="A660" t="inlineStr">
        <is>
          <t>A 24413-2024</t>
        </is>
      </c>
      <c r="B660" s="1" t="n">
        <v>45457</v>
      </c>
      <c r="C660" s="1" t="n">
        <v>46075</v>
      </c>
      <c r="D660" t="inlineStr">
        <is>
          <t>VÄSTERBOTTENS LÄN</t>
        </is>
      </c>
      <c r="E660" t="inlineStr">
        <is>
          <t>VINDELN</t>
        </is>
      </c>
      <c r="G660" t="n">
        <v>0.7</v>
      </c>
      <c r="H660" t="n">
        <v>0</v>
      </c>
      <c r="I660" t="n">
        <v>1</v>
      </c>
      <c r="J660" t="n">
        <v>1</v>
      </c>
      <c r="K660" t="n">
        <v>0</v>
      </c>
      <c r="L660" t="n">
        <v>0</v>
      </c>
      <c r="M660" t="n">
        <v>0</v>
      </c>
      <c r="N660" t="n">
        <v>0</v>
      </c>
      <c r="O660" t="n">
        <v>1</v>
      </c>
      <c r="P660" t="n">
        <v>0</v>
      </c>
      <c r="Q660" t="n">
        <v>2</v>
      </c>
      <c r="R660" s="2" t="inlineStr">
        <is>
          <t>Ullticka
Vedticka</t>
        </is>
      </c>
      <c r="S660">
        <f>HYPERLINK("https://klasma.github.io/Logging_2404/artfynd/A 24413-2024 artfynd.xlsx", "A 24413-2024")</f>
        <v/>
      </c>
      <c r="T660">
        <f>HYPERLINK("https://klasma.github.io/Logging_2404/kartor/A 24413-2024 karta.png", "A 24413-2024")</f>
        <v/>
      </c>
      <c r="V660">
        <f>HYPERLINK("https://klasma.github.io/Logging_2404/klagomål/A 24413-2024 FSC-klagomål.docx", "A 24413-2024")</f>
        <v/>
      </c>
      <c r="W660">
        <f>HYPERLINK("https://klasma.github.io/Logging_2404/klagomålsmail/A 24413-2024 FSC-klagomål mail.docx", "A 24413-2024")</f>
        <v/>
      </c>
      <c r="X660">
        <f>HYPERLINK("https://klasma.github.io/Logging_2404/tillsyn/A 24413-2024 tillsynsbegäran.docx", "A 24413-2024")</f>
        <v/>
      </c>
      <c r="Y660">
        <f>HYPERLINK("https://klasma.github.io/Logging_2404/tillsynsmail/A 24413-2024 tillsynsbegäran mail.docx", "A 24413-2024")</f>
        <v/>
      </c>
    </row>
    <row r="661" ht="15" customHeight="1">
      <c r="A661" t="inlineStr">
        <is>
          <t>A 42159-2025</t>
        </is>
      </c>
      <c r="B661" s="1" t="n">
        <v>45904.41127314815</v>
      </c>
      <c r="C661" s="1" t="n">
        <v>46075</v>
      </c>
      <c r="D661" t="inlineStr">
        <is>
          <t>VÄSTERBOTTENS LÄN</t>
        </is>
      </c>
      <c r="E661" t="inlineStr">
        <is>
          <t>LYCKSELE</t>
        </is>
      </c>
      <c r="F661" t="inlineStr">
        <is>
          <t>Sveaskog</t>
        </is>
      </c>
      <c r="G661" t="n">
        <v>5.5</v>
      </c>
      <c r="H661" t="n">
        <v>0</v>
      </c>
      <c r="I661" t="n">
        <v>0</v>
      </c>
      <c r="J661" t="n">
        <v>2</v>
      </c>
      <c r="K661" t="n">
        <v>0</v>
      </c>
      <c r="L661" t="n">
        <v>0</v>
      </c>
      <c r="M661" t="n">
        <v>0</v>
      </c>
      <c r="N661" t="n">
        <v>0</v>
      </c>
      <c r="O661" t="n">
        <v>2</v>
      </c>
      <c r="P661" t="n">
        <v>0</v>
      </c>
      <c r="Q661" t="n">
        <v>2</v>
      </c>
      <c r="R661" s="2" t="inlineStr">
        <is>
          <t>Kolflarnlav
Mörk kolflarnlav</t>
        </is>
      </c>
      <c r="S661">
        <f>HYPERLINK("https://klasma.github.io/Logging_2481/artfynd/A 42159-2025 artfynd.xlsx", "A 42159-2025")</f>
        <v/>
      </c>
      <c r="T661">
        <f>HYPERLINK("https://klasma.github.io/Logging_2481/kartor/A 42159-2025 karta.png", "A 42159-2025")</f>
        <v/>
      </c>
      <c r="V661">
        <f>HYPERLINK("https://klasma.github.io/Logging_2481/klagomål/A 42159-2025 FSC-klagomål.docx", "A 42159-2025")</f>
        <v/>
      </c>
      <c r="W661">
        <f>HYPERLINK("https://klasma.github.io/Logging_2481/klagomålsmail/A 42159-2025 FSC-klagomål mail.docx", "A 42159-2025")</f>
        <v/>
      </c>
      <c r="X661">
        <f>HYPERLINK("https://klasma.github.io/Logging_2481/tillsyn/A 42159-2025 tillsynsbegäran.docx", "A 42159-2025")</f>
        <v/>
      </c>
      <c r="Y661">
        <f>HYPERLINK("https://klasma.github.io/Logging_2481/tillsynsmail/A 42159-2025 tillsynsbegäran mail.docx", "A 42159-2025")</f>
        <v/>
      </c>
    </row>
    <row r="662" ht="15" customHeight="1">
      <c r="A662" t="inlineStr">
        <is>
          <t>A 17442-2025</t>
        </is>
      </c>
      <c r="B662" s="1" t="n">
        <v>45757.42755787037</v>
      </c>
      <c r="C662" s="1" t="n">
        <v>46075</v>
      </c>
      <c r="D662" t="inlineStr">
        <is>
          <t>VÄSTERBOTTENS LÄN</t>
        </is>
      </c>
      <c r="E662" t="inlineStr">
        <is>
          <t>NORDMALING</t>
        </is>
      </c>
      <c r="F662" t="inlineStr">
        <is>
          <t>SCA</t>
        </is>
      </c>
      <c r="G662" t="n">
        <v>1.6</v>
      </c>
      <c r="H662" t="n">
        <v>2</v>
      </c>
      <c r="I662" t="n">
        <v>0</v>
      </c>
      <c r="J662" t="n">
        <v>0</v>
      </c>
      <c r="K662" t="n">
        <v>0</v>
      </c>
      <c r="L662" t="n">
        <v>0</v>
      </c>
      <c r="M662" t="n">
        <v>0</v>
      </c>
      <c r="N662" t="n">
        <v>0</v>
      </c>
      <c r="O662" t="n">
        <v>0</v>
      </c>
      <c r="P662" t="n">
        <v>0</v>
      </c>
      <c r="Q662" t="n">
        <v>2</v>
      </c>
      <c r="R662" s="2" t="inlineStr">
        <is>
          <t>Åkergroda
Vanlig groda</t>
        </is>
      </c>
      <c r="S662">
        <f>HYPERLINK("https://klasma.github.io/Logging_2401/artfynd/A 17442-2025 artfynd.xlsx", "A 17442-2025")</f>
        <v/>
      </c>
      <c r="T662">
        <f>HYPERLINK("https://klasma.github.io/Logging_2401/kartor/A 17442-2025 karta.png", "A 17442-2025")</f>
        <v/>
      </c>
      <c r="V662">
        <f>HYPERLINK("https://klasma.github.io/Logging_2401/klagomål/A 17442-2025 FSC-klagomål.docx", "A 17442-2025")</f>
        <v/>
      </c>
      <c r="W662">
        <f>HYPERLINK("https://klasma.github.io/Logging_2401/klagomålsmail/A 17442-2025 FSC-klagomål mail.docx", "A 17442-2025")</f>
        <v/>
      </c>
      <c r="X662">
        <f>HYPERLINK("https://klasma.github.io/Logging_2401/tillsyn/A 17442-2025 tillsynsbegäran.docx", "A 17442-2025")</f>
        <v/>
      </c>
      <c r="Y662">
        <f>HYPERLINK("https://klasma.github.io/Logging_2401/tillsynsmail/A 17442-2025 tillsynsbegäran mail.docx", "A 17442-2025")</f>
        <v/>
      </c>
    </row>
    <row r="663" ht="15" customHeight="1">
      <c r="A663" t="inlineStr">
        <is>
          <t>A 30717-2023</t>
        </is>
      </c>
      <c r="B663" s="1" t="n">
        <v>45112</v>
      </c>
      <c r="C663" s="1" t="n">
        <v>46075</v>
      </c>
      <c r="D663" t="inlineStr">
        <is>
          <t>VÄSTERBOTTENS LÄN</t>
        </is>
      </c>
      <c r="E663" t="inlineStr">
        <is>
          <t>VILHELMINA</t>
        </is>
      </c>
      <c r="G663" t="n">
        <v>22.7</v>
      </c>
      <c r="H663" t="n">
        <v>0</v>
      </c>
      <c r="I663" t="n">
        <v>0</v>
      </c>
      <c r="J663" t="n">
        <v>2</v>
      </c>
      <c r="K663" t="n">
        <v>0</v>
      </c>
      <c r="L663" t="n">
        <v>0</v>
      </c>
      <c r="M663" t="n">
        <v>0</v>
      </c>
      <c r="N663" t="n">
        <v>0</v>
      </c>
      <c r="O663" t="n">
        <v>2</v>
      </c>
      <c r="P663" t="n">
        <v>0</v>
      </c>
      <c r="Q663" t="n">
        <v>2</v>
      </c>
      <c r="R663" s="2" t="inlineStr">
        <is>
          <t>Garnlav
Ullticka</t>
        </is>
      </c>
      <c r="S663">
        <f>HYPERLINK("https://klasma.github.io/Logging_2462/artfynd/A 30717-2023 artfynd.xlsx", "A 30717-2023")</f>
        <v/>
      </c>
      <c r="T663">
        <f>HYPERLINK("https://klasma.github.io/Logging_2462/kartor/A 30717-2023 karta.png", "A 30717-2023")</f>
        <v/>
      </c>
      <c r="V663">
        <f>HYPERLINK("https://klasma.github.io/Logging_2462/klagomål/A 30717-2023 FSC-klagomål.docx", "A 30717-2023")</f>
        <v/>
      </c>
      <c r="W663">
        <f>HYPERLINK("https://klasma.github.io/Logging_2462/klagomålsmail/A 30717-2023 FSC-klagomål mail.docx", "A 30717-2023")</f>
        <v/>
      </c>
      <c r="X663">
        <f>HYPERLINK("https://klasma.github.io/Logging_2462/tillsyn/A 30717-2023 tillsynsbegäran.docx", "A 30717-2023")</f>
        <v/>
      </c>
      <c r="Y663">
        <f>HYPERLINK("https://klasma.github.io/Logging_2462/tillsynsmail/A 30717-2023 tillsynsbegäran mail.docx", "A 30717-2023")</f>
        <v/>
      </c>
    </row>
    <row r="664" ht="15" customHeight="1">
      <c r="A664" t="inlineStr">
        <is>
          <t>A 33263-2025</t>
        </is>
      </c>
      <c r="B664" s="1" t="n">
        <v>45840.67800925926</v>
      </c>
      <c r="C664" s="1" t="n">
        <v>46075</v>
      </c>
      <c r="D664" t="inlineStr">
        <is>
          <t>VÄSTERBOTTENS LÄN</t>
        </is>
      </c>
      <c r="E664" t="inlineStr">
        <is>
          <t>DOROTEA</t>
        </is>
      </c>
      <c r="F664" t="inlineStr">
        <is>
          <t>SCA</t>
        </is>
      </c>
      <c r="G664" t="n">
        <v>15</v>
      </c>
      <c r="H664" t="n">
        <v>0</v>
      </c>
      <c r="I664" t="n">
        <v>1</v>
      </c>
      <c r="J664" t="n">
        <v>1</v>
      </c>
      <c r="K664" t="n">
        <v>0</v>
      </c>
      <c r="L664" t="n">
        <v>0</v>
      </c>
      <c r="M664" t="n">
        <v>0</v>
      </c>
      <c r="N664" t="n">
        <v>0</v>
      </c>
      <c r="O664" t="n">
        <v>1</v>
      </c>
      <c r="P664" t="n">
        <v>0</v>
      </c>
      <c r="Q664" t="n">
        <v>2</v>
      </c>
      <c r="R664" s="2" t="inlineStr">
        <is>
          <t>Gammelgransskål
Vedticka</t>
        </is>
      </c>
      <c r="S664">
        <f>HYPERLINK("https://klasma.github.io/Logging_2425/artfynd/A 33263-2025 artfynd.xlsx", "A 33263-2025")</f>
        <v/>
      </c>
      <c r="T664">
        <f>HYPERLINK("https://klasma.github.io/Logging_2425/kartor/A 33263-2025 karta.png", "A 33263-2025")</f>
        <v/>
      </c>
      <c r="V664">
        <f>HYPERLINK("https://klasma.github.io/Logging_2425/klagomål/A 33263-2025 FSC-klagomål.docx", "A 33263-2025")</f>
        <v/>
      </c>
      <c r="W664">
        <f>HYPERLINK("https://klasma.github.io/Logging_2425/klagomålsmail/A 33263-2025 FSC-klagomål mail.docx", "A 33263-2025")</f>
        <v/>
      </c>
      <c r="X664">
        <f>HYPERLINK("https://klasma.github.io/Logging_2425/tillsyn/A 33263-2025 tillsynsbegäran.docx", "A 33263-2025")</f>
        <v/>
      </c>
      <c r="Y664">
        <f>HYPERLINK("https://klasma.github.io/Logging_2425/tillsynsmail/A 33263-2025 tillsynsbegäran mail.docx", "A 33263-2025")</f>
        <v/>
      </c>
    </row>
    <row r="665" ht="15" customHeight="1">
      <c r="A665" t="inlineStr">
        <is>
          <t>A 33206-2025</t>
        </is>
      </c>
      <c r="B665" s="1" t="n">
        <v>45840.61583333334</v>
      </c>
      <c r="C665" s="1" t="n">
        <v>46075</v>
      </c>
      <c r="D665" t="inlineStr">
        <is>
          <t>VÄSTERBOTTENS LÄN</t>
        </is>
      </c>
      <c r="E665" t="inlineStr">
        <is>
          <t>UMEÅ</t>
        </is>
      </c>
      <c r="G665" t="n">
        <v>3</v>
      </c>
      <c r="H665" t="n">
        <v>0</v>
      </c>
      <c r="I665" t="n">
        <v>0</v>
      </c>
      <c r="J665" t="n">
        <v>2</v>
      </c>
      <c r="K665" t="n">
        <v>0</v>
      </c>
      <c r="L665" t="n">
        <v>0</v>
      </c>
      <c r="M665" t="n">
        <v>0</v>
      </c>
      <c r="N665" t="n">
        <v>0</v>
      </c>
      <c r="O665" t="n">
        <v>2</v>
      </c>
      <c r="P665" t="n">
        <v>0</v>
      </c>
      <c r="Q665" t="n">
        <v>2</v>
      </c>
      <c r="R665" s="2" t="inlineStr">
        <is>
          <t>Granticka
Rosenticka</t>
        </is>
      </c>
      <c r="S665">
        <f>HYPERLINK("https://klasma.github.io/Logging_2480/artfynd/A 33206-2025 artfynd.xlsx", "A 33206-2025")</f>
        <v/>
      </c>
      <c r="T665">
        <f>HYPERLINK("https://klasma.github.io/Logging_2480/kartor/A 33206-2025 karta.png", "A 33206-2025")</f>
        <v/>
      </c>
      <c r="V665">
        <f>HYPERLINK("https://klasma.github.io/Logging_2480/klagomål/A 33206-2025 FSC-klagomål.docx", "A 33206-2025")</f>
        <v/>
      </c>
      <c r="W665">
        <f>HYPERLINK("https://klasma.github.io/Logging_2480/klagomålsmail/A 33206-2025 FSC-klagomål mail.docx", "A 33206-2025")</f>
        <v/>
      </c>
      <c r="X665">
        <f>HYPERLINK("https://klasma.github.io/Logging_2480/tillsyn/A 33206-2025 tillsynsbegäran.docx", "A 33206-2025")</f>
        <v/>
      </c>
      <c r="Y665">
        <f>HYPERLINK("https://klasma.github.io/Logging_2480/tillsynsmail/A 33206-2025 tillsynsbegäran mail.docx", "A 33206-2025")</f>
        <v/>
      </c>
    </row>
    <row r="666" ht="15" customHeight="1">
      <c r="A666" t="inlineStr">
        <is>
          <t>A 33215-2025</t>
        </is>
      </c>
      <c r="B666" s="1" t="n">
        <v>45840.63028935185</v>
      </c>
      <c r="C666" s="1" t="n">
        <v>46075</v>
      </c>
      <c r="D666" t="inlineStr">
        <is>
          <t>VÄSTERBOTTENS LÄN</t>
        </is>
      </c>
      <c r="E666" t="inlineStr">
        <is>
          <t>UMEÅ</t>
        </is>
      </c>
      <c r="G666" t="n">
        <v>1.2</v>
      </c>
      <c r="H666" t="n">
        <v>1</v>
      </c>
      <c r="I666" t="n">
        <v>1</v>
      </c>
      <c r="J666" t="n">
        <v>1</v>
      </c>
      <c r="K666" t="n">
        <v>0</v>
      </c>
      <c r="L666" t="n">
        <v>0</v>
      </c>
      <c r="M666" t="n">
        <v>0</v>
      </c>
      <c r="N666" t="n">
        <v>0</v>
      </c>
      <c r="O666" t="n">
        <v>1</v>
      </c>
      <c r="P666" t="n">
        <v>0</v>
      </c>
      <c r="Q666" t="n">
        <v>2</v>
      </c>
      <c r="R666" s="2" t="inlineStr">
        <is>
          <t>Lundsångare
Ögonpyrola</t>
        </is>
      </c>
      <c r="S666">
        <f>HYPERLINK("https://klasma.github.io/Logging_2480/artfynd/A 33215-2025 artfynd.xlsx", "A 33215-2025")</f>
        <v/>
      </c>
      <c r="T666">
        <f>HYPERLINK("https://klasma.github.io/Logging_2480/kartor/A 33215-2025 karta.png", "A 33215-2025")</f>
        <v/>
      </c>
      <c r="V666">
        <f>HYPERLINK("https://klasma.github.io/Logging_2480/klagomål/A 33215-2025 FSC-klagomål.docx", "A 33215-2025")</f>
        <v/>
      </c>
      <c r="W666">
        <f>HYPERLINK("https://klasma.github.io/Logging_2480/klagomålsmail/A 33215-2025 FSC-klagomål mail.docx", "A 33215-2025")</f>
        <v/>
      </c>
      <c r="X666">
        <f>HYPERLINK("https://klasma.github.io/Logging_2480/tillsyn/A 33215-2025 tillsynsbegäran.docx", "A 33215-2025")</f>
        <v/>
      </c>
      <c r="Y666">
        <f>HYPERLINK("https://klasma.github.io/Logging_2480/tillsynsmail/A 33215-2025 tillsynsbegäran mail.docx", "A 33215-2025")</f>
        <v/>
      </c>
      <c r="Z666">
        <f>HYPERLINK("https://klasma.github.io/Logging_2480/fåglar/A 33215-2025 prioriterade fågelarter.docx", "A 33215-2025")</f>
        <v/>
      </c>
    </row>
    <row r="667" ht="15" customHeight="1">
      <c r="A667" t="inlineStr">
        <is>
          <t>A 34032-2025</t>
        </is>
      </c>
      <c r="B667" s="1" t="n">
        <v>45845.36605324074</v>
      </c>
      <c r="C667" s="1" t="n">
        <v>46075</v>
      </c>
      <c r="D667" t="inlineStr">
        <is>
          <t>VÄSTERBOTTENS LÄN</t>
        </is>
      </c>
      <c r="E667" t="inlineStr">
        <is>
          <t>LYCKSELE</t>
        </is>
      </c>
      <c r="F667" t="inlineStr">
        <is>
          <t>Sveaskog</t>
        </is>
      </c>
      <c r="G667" t="n">
        <v>3.7</v>
      </c>
      <c r="H667" t="n">
        <v>0</v>
      </c>
      <c r="I667" t="n">
        <v>0</v>
      </c>
      <c r="J667" t="n">
        <v>2</v>
      </c>
      <c r="K667" t="n">
        <v>0</v>
      </c>
      <c r="L667" t="n">
        <v>0</v>
      </c>
      <c r="M667" t="n">
        <v>0</v>
      </c>
      <c r="N667" t="n">
        <v>0</v>
      </c>
      <c r="O667" t="n">
        <v>2</v>
      </c>
      <c r="P667" t="n">
        <v>0</v>
      </c>
      <c r="Q667" t="n">
        <v>2</v>
      </c>
      <c r="R667" s="2" t="inlineStr">
        <is>
          <t>Granticka
Lunglav</t>
        </is>
      </c>
      <c r="S667">
        <f>HYPERLINK("https://klasma.github.io/Logging_2481/artfynd/A 34032-2025 artfynd.xlsx", "A 34032-2025")</f>
        <v/>
      </c>
      <c r="T667">
        <f>HYPERLINK("https://klasma.github.io/Logging_2481/kartor/A 34032-2025 karta.png", "A 34032-2025")</f>
        <v/>
      </c>
      <c r="V667">
        <f>HYPERLINK("https://klasma.github.io/Logging_2481/klagomål/A 34032-2025 FSC-klagomål.docx", "A 34032-2025")</f>
        <v/>
      </c>
      <c r="W667">
        <f>HYPERLINK("https://klasma.github.io/Logging_2481/klagomålsmail/A 34032-2025 FSC-klagomål mail.docx", "A 34032-2025")</f>
        <v/>
      </c>
      <c r="X667">
        <f>HYPERLINK("https://klasma.github.io/Logging_2481/tillsyn/A 34032-2025 tillsynsbegäran.docx", "A 34032-2025")</f>
        <v/>
      </c>
      <c r="Y667">
        <f>HYPERLINK("https://klasma.github.io/Logging_2481/tillsynsmail/A 34032-2025 tillsynsbegäran mail.docx", "A 34032-2025")</f>
        <v/>
      </c>
    </row>
    <row r="668" ht="15" customHeight="1">
      <c r="A668" t="inlineStr">
        <is>
          <t>A 16914-2024</t>
        </is>
      </c>
      <c r="B668" s="1" t="n">
        <v>45411</v>
      </c>
      <c r="C668" s="1" t="n">
        <v>46075</v>
      </c>
      <c r="D668" t="inlineStr">
        <is>
          <t>VÄSTERBOTTENS LÄN</t>
        </is>
      </c>
      <c r="E668" t="inlineStr">
        <is>
          <t>LYCKSELE</t>
        </is>
      </c>
      <c r="G668" t="n">
        <v>24.6</v>
      </c>
      <c r="H668" t="n">
        <v>2</v>
      </c>
      <c r="I668" t="n">
        <v>0</v>
      </c>
      <c r="J668" t="n">
        <v>1</v>
      </c>
      <c r="K668" t="n">
        <v>0</v>
      </c>
      <c r="L668" t="n">
        <v>0</v>
      </c>
      <c r="M668" t="n">
        <v>0</v>
      </c>
      <c r="N668" t="n">
        <v>0</v>
      </c>
      <c r="O668" t="n">
        <v>1</v>
      </c>
      <c r="P668" t="n">
        <v>0</v>
      </c>
      <c r="Q668" t="n">
        <v>2</v>
      </c>
      <c r="R668" s="2" t="inlineStr">
        <is>
          <t>Tretåig hackspett
Lavskrika</t>
        </is>
      </c>
      <c r="S668">
        <f>HYPERLINK("https://klasma.github.io/Logging_2481/artfynd/A 16914-2024 artfynd.xlsx", "A 16914-2024")</f>
        <v/>
      </c>
      <c r="T668">
        <f>HYPERLINK("https://klasma.github.io/Logging_2481/kartor/A 16914-2024 karta.png", "A 16914-2024")</f>
        <v/>
      </c>
      <c r="V668">
        <f>HYPERLINK("https://klasma.github.io/Logging_2481/klagomål/A 16914-2024 FSC-klagomål.docx", "A 16914-2024")</f>
        <v/>
      </c>
      <c r="W668">
        <f>HYPERLINK("https://klasma.github.io/Logging_2481/klagomålsmail/A 16914-2024 FSC-klagomål mail.docx", "A 16914-2024")</f>
        <v/>
      </c>
      <c r="X668">
        <f>HYPERLINK("https://klasma.github.io/Logging_2481/tillsyn/A 16914-2024 tillsynsbegäran.docx", "A 16914-2024")</f>
        <v/>
      </c>
      <c r="Y668">
        <f>HYPERLINK("https://klasma.github.io/Logging_2481/tillsynsmail/A 16914-2024 tillsynsbegäran mail.docx", "A 16914-2024")</f>
        <v/>
      </c>
      <c r="Z668">
        <f>HYPERLINK("https://klasma.github.io/Logging_2481/fåglar/A 16914-2024 prioriterade fågelarter.docx", "A 16914-2024")</f>
        <v/>
      </c>
    </row>
    <row r="669" ht="15" customHeight="1">
      <c r="A669" t="inlineStr">
        <is>
          <t>A 26204-2024</t>
        </is>
      </c>
      <c r="B669" s="1" t="n">
        <v>45468.58577546296</v>
      </c>
      <c r="C669" s="1" t="n">
        <v>46075</v>
      </c>
      <c r="D669" t="inlineStr">
        <is>
          <t>VÄSTERBOTTENS LÄN</t>
        </is>
      </c>
      <c r="E669" t="inlineStr">
        <is>
          <t>ROBERTSFORS</t>
        </is>
      </c>
      <c r="F669" t="inlineStr">
        <is>
          <t>Holmen skog AB</t>
        </is>
      </c>
      <c r="G669" t="n">
        <v>3.9</v>
      </c>
      <c r="H669" t="n">
        <v>2</v>
      </c>
      <c r="I669" t="n">
        <v>0</v>
      </c>
      <c r="J669" t="n">
        <v>0</v>
      </c>
      <c r="K669" t="n">
        <v>0</v>
      </c>
      <c r="L669" t="n">
        <v>0</v>
      </c>
      <c r="M669" t="n">
        <v>0</v>
      </c>
      <c r="N669" t="n">
        <v>0</v>
      </c>
      <c r="O669" t="n">
        <v>0</v>
      </c>
      <c r="P669" t="n">
        <v>0</v>
      </c>
      <c r="Q669" t="n">
        <v>2</v>
      </c>
      <c r="R669" s="2" t="inlineStr">
        <is>
          <t>Orre
Tjäder</t>
        </is>
      </c>
      <c r="S669">
        <f>HYPERLINK("https://klasma.github.io/Logging_2409/artfynd/A 26204-2024 artfynd.xlsx", "A 26204-2024")</f>
        <v/>
      </c>
      <c r="T669">
        <f>HYPERLINK("https://klasma.github.io/Logging_2409/kartor/A 26204-2024 karta.png", "A 26204-2024")</f>
        <v/>
      </c>
      <c r="V669">
        <f>HYPERLINK("https://klasma.github.io/Logging_2409/klagomål/A 26204-2024 FSC-klagomål.docx", "A 26204-2024")</f>
        <v/>
      </c>
      <c r="W669">
        <f>HYPERLINK("https://klasma.github.io/Logging_2409/klagomålsmail/A 26204-2024 FSC-klagomål mail.docx", "A 26204-2024")</f>
        <v/>
      </c>
      <c r="X669">
        <f>HYPERLINK("https://klasma.github.io/Logging_2409/tillsyn/A 26204-2024 tillsynsbegäran.docx", "A 26204-2024")</f>
        <v/>
      </c>
      <c r="Y669">
        <f>HYPERLINK("https://klasma.github.io/Logging_2409/tillsynsmail/A 26204-2024 tillsynsbegäran mail.docx", "A 26204-2024")</f>
        <v/>
      </c>
      <c r="Z669">
        <f>HYPERLINK("https://klasma.github.io/Logging_2409/fåglar/A 26204-2024 prioriterade fågelarter.docx", "A 26204-2024")</f>
        <v/>
      </c>
    </row>
    <row r="670" ht="15" customHeight="1">
      <c r="A670" t="inlineStr">
        <is>
          <t>A 8880-2024</t>
        </is>
      </c>
      <c r="B670" s="1" t="n">
        <v>45357</v>
      </c>
      <c r="C670" s="1" t="n">
        <v>46075</v>
      </c>
      <c r="D670" t="inlineStr">
        <is>
          <t>VÄSTERBOTTENS LÄN</t>
        </is>
      </c>
      <c r="E670" t="inlineStr">
        <is>
          <t>ÅSELE</t>
        </is>
      </c>
      <c r="F670" t="inlineStr">
        <is>
          <t>SCA</t>
        </is>
      </c>
      <c r="G670" t="n">
        <v>10.8</v>
      </c>
      <c r="H670" t="n">
        <v>0</v>
      </c>
      <c r="I670" t="n">
        <v>0</v>
      </c>
      <c r="J670" t="n">
        <v>2</v>
      </c>
      <c r="K670" t="n">
        <v>0</v>
      </c>
      <c r="L670" t="n">
        <v>0</v>
      </c>
      <c r="M670" t="n">
        <v>0</v>
      </c>
      <c r="N670" t="n">
        <v>0</v>
      </c>
      <c r="O670" t="n">
        <v>2</v>
      </c>
      <c r="P670" t="n">
        <v>0</v>
      </c>
      <c r="Q670" t="n">
        <v>2</v>
      </c>
      <c r="R670" s="2" t="inlineStr">
        <is>
          <t>Dvärgbägarlav
Garnlav</t>
        </is>
      </c>
      <c r="S670">
        <f>HYPERLINK("https://klasma.github.io/Logging_2463/artfynd/A 8880-2024 artfynd.xlsx", "A 8880-2024")</f>
        <v/>
      </c>
      <c r="T670">
        <f>HYPERLINK("https://klasma.github.io/Logging_2463/kartor/A 8880-2024 karta.png", "A 8880-2024")</f>
        <v/>
      </c>
      <c r="V670">
        <f>HYPERLINK("https://klasma.github.io/Logging_2463/klagomål/A 8880-2024 FSC-klagomål.docx", "A 8880-2024")</f>
        <v/>
      </c>
      <c r="W670">
        <f>HYPERLINK("https://klasma.github.io/Logging_2463/klagomålsmail/A 8880-2024 FSC-klagomål mail.docx", "A 8880-2024")</f>
        <v/>
      </c>
      <c r="X670">
        <f>HYPERLINK("https://klasma.github.io/Logging_2463/tillsyn/A 8880-2024 tillsynsbegäran.docx", "A 8880-2024")</f>
        <v/>
      </c>
      <c r="Y670">
        <f>HYPERLINK("https://klasma.github.io/Logging_2463/tillsynsmail/A 8880-2024 tillsynsbegäran mail.docx", "A 8880-2024")</f>
        <v/>
      </c>
    </row>
    <row r="671" ht="15" customHeight="1">
      <c r="A671" t="inlineStr">
        <is>
          <t>A 37257-2023</t>
        </is>
      </c>
      <c r="B671" s="1" t="n">
        <v>45155.95586805556</v>
      </c>
      <c r="C671" s="1" t="n">
        <v>46075</v>
      </c>
      <c r="D671" t="inlineStr">
        <is>
          <t>VÄSTERBOTTENS LÄN</t>
        </is>
      </c>
      <c r="E671" t="inlineStr">
        <is>
          <t>VINDELN</t>
        </is>
      </c>
      <c r="F671" t="inlineStr">
        <is>
          <t>SCA</t>
        </is>
      </c>
      <c r="G671" t="n">
        <v>2.7</v>
      </c>
      <c r="H671" t="n">
        <v>0</v>
      </c>
      <c r="I671" t="n">
        <v>1</v>
      </c>
      <c r="J671" t="n">
        <v>1</v>
      </c>
      <c r="K671" t="n">
        <v>0</v>
      </c>
      <c r="L671" t="n">
        <v>0</v>
      </c>
      <c r="M671" t="n">
        <v>0</v>
      </c>
      <c r="N671" t="n">
        <v>0</v>
      </c>
      <c r="O671" t="n">
        <v>1</v>
      </c>
      <c r="P671" t="n">
        <v>0</v>
      </c>
      <c r="Q671" t="n">
        <v>2</v>
      </c>
      <c r="R671" s="2" t="inlineStr">
        <is>
          <t>Ullticka
Vedticka</t>
        </is>
      </c>
      <c r="S671">
        <f>HYPERLINK("https://klasma.github.io/Logging_2404/artfynd/A 37257-2023 artfynd.xlsx", "A 37257-2023")</f>
        <v/>
      </c>
      <c r="T671">
        <f>HYPERLINK("https://klasma.github.io/Logging_2404/kartor/A 37257-2023 karta.png", "A 37257-2023")</f>
        <v/>
      </c>
      <c r="V671">
        <f>HYPERLINK("https://klasma.github.io/Logging_2404/klagomål/A 37257-2023 FSC-klagomål.docx", "A 37257-2023")</f>
        <v/>
      </c>
      <c r="W671">
        <f>HYPERLINK("https://klasma.github.io/Logging_2404/klagomålsmail/A 37257-2023 FSC-klagomål mail.docx", "A 37257-2023")</f>
        <v/>
      </c>
      <c r="X671">
        <f>HYPERLINK("https://klasma.github.io/Logging_2404/tillsyn/A 37257-2023 tillsynsbegäran.docx", "A 37257-2023")</f>
        <v/>
      </c>
      <c r="Y671">
        <f>HYPERLINK("https://klasma.github.io/Logging_2404/tillsynsmail/A 37257-2023 tillsynsbegäran mail.docx", "A 37257-2023")</f>
        <v/>
      </c>
    </row>
    <row r="672" ht="15" customHeight="1">
      <c r="A672" t="inlineStr">
        <is>
          <t>A 43664-2025</t>
        </is>
      </c>
      <c r="B672" s="1" t="n">
        <v>45912</v>
      </c>
      <c r="C672" s="1" t="n">
        <v>46075</v>
      </c>
      <c r="D672" t="inlineStr">
        <is>
          <t>VÄSTERBOTTENS LÄN</t>
        </is>
      </c>
      <c r="E672" t="inlineStr">
        <is>
          <t>LYCKSELE</t>
        </is>
      </c>
      <c r="F672" t="inlineStr">
        <is>
          <t>Sveaskog</t>
        </is>
      </c>
      <c r="G672" t="n">
        <v>23.7</v>
      </c>
      <c r="H672" t="n">
        <v>0</v>
      </c>
      <c r="I672" t="n">
        <v>0</v>
      </c>
      <c r="J672" t="n">
        <v>2</v>
      </c>
      <c r="K672" t="n">
        <v>0</v>
      </c>
      <c r="L672" t="n">
        <v>0</v>
      </c>
      <c r="M672" t="n">
        <v>0</v>
      </c>
      <c r="N672" t="n">
        <v>0</v>
      </c>
      <c r="O672" t="n">
        <v>2</v>
      </c>
      <c r="P672" t="n">
        <v>0</v>
      </c>
      <c r="Q672" t="n">
        <v>2</v>
      </c>
      <c r="R672" s="2" t="inlineStr">
        <is>
          <t>Kolflarnlav
Mörk kolflarnlav</t>
        </is>
      </c>
      <c r="S672">
        <f>HYPERLINK("https://klasma.github.io/Logging_2481/artfynd/A 43664-2025 artfynd.xlsx", "A 43664-2025")</f>
        <v/>
      </c>
      <c r="T672">
        <f>HYPERLINK("https://klasma.github.io/Logging_2481/kartor/A 43664-2025 karta.png", "A 43664-2025")</f>
        <v/>
      </c>
      <c r="V672">
        <f>HYPERLINK("https://klasma.github.io/Logging_2481/klagomål/A 43664-2025 FSC-klagomål.docx", "A 43664-2025")</f>
        <v/>
      </c>
      <c r="W672">
        <f>HYPERLINK("https://klasma.github.io/Logging_2481/klagomålsmail/A 43664-2025 FSC-klagomål mail.docx", "A 43664-2025")</f>
        <v/>
      </c>
      <c r="X672">
        <f>HYPERLINK("https://klasma.github.io/Logging_2481/tillsyn/A 43664-2025 tillsynsbegäran.docx", "A 43664-2025")</f>
        <v/>
      </c>
      <c r="Y672">
        <f>HYPERLINK("https://klasma.github.io/Logging_2481/tillsynsmail/A 43664-2025 tillsynsbegäran mail.docx", "A 43664-2025")</f>
        <v/>
      </c>
    </row>
    <row r="673" ht="15" customHeight="1">
      <c r="A673" t="inlineStr">
        <is>
          <t>A 34727-2025</t>
        </is>
      </c>
      <c r="B673" s="1" t="n">
        <v>45848.57890046296</v>
      </c>
      <c r="C673" s="1" t="n">
        <v>46075</v>
      </c>
      <c r="D673" t="inlineStr">
        <is>
          <t>VÄSTERBOTTENS LÄN</t>
        </is>
      </c>
      <c r="E673" t="inlineStr">
        <is>
          <t>ROBERTSFORS</t>
        </is>
      </c>
      <c r="F673" t="inlineStr">
        <is>
          <t>Holmen skog AB</t>
        </is>
      </c>
      <c r="G673" t="n">
        <v>4.3</v>
      </c>
      <c r="H673" t="n">
        <v>1</v>
      </c>
      <c r="I673" t="n">
        <v>0</v>
      </c>
      <c r="J673" t="n">
        <v>2</v>
      </c>
      <c r="K673" t="n">
        <v>0</v>
      </c>
      <c r="L673" t="n">
        <v>0</v>
      </c>
      <c r="M673" t="n">
        <v>0</v>
      </c>
      <c r="N673" t="n">
        <v>0</v>
      </c>
      <c r="O673" t="n">
        <v>2</v>
      </c>
      <c r="P673" t="n">
        <v>0</v>
      </c>
      <c r="Q673" t="n">
        <v>2</v>
      </c>
      <c r="R673" s="2" t="inlineStr">
        <is>
          <t>Talltita
Ullticka</t>
        </is>
      </c>
      <c r="S673">
        <f>HYPERLINK("https://klasma.github.io/Logging_2409/artfynd/A 34727-2025 artfynd.xlsx", "A 34727-2025")</f>
        <v/>
      </c>
      <c r="T673">
        <f>HYPERLINK("https://klasma.github.io/Logging_2409/kartor/A 34727-2025 karta.png", "A 34727-2025")</f>
        <v/>
      </c>
      <c r="V673">
        <f>HYPERLINK("https://klasma.github.io/Logging_2409/klagomål/A 34727-2025 FSC-klagomål.docx", "A 34727-2025")</f>
        <v/>
      </c>
      <c r="W673">
        <f>HYPERLINK("https://klasma.github.io/Logging_2409/klagomålsmail/A 34727-2025 FSC-klagomål mail.docx", "A 34727-2025")</f>
        <v/>
      </c>
      <c r="X673">
        <f>HYPERLINK("https://klasma.github.io/Logging_2409/tillsyn/A 34727-2025 tillsynsbegäran.docx", "A 34727-2025")</f>
        <v/>
      </c>
      <c r="Y673">
        <f>HYPERLINK("https://klasma.github.io/Logging_2409/tillsynsmail/A 34727-2025 tillsynsbegäran mail.docx", "A 34727-2025")</f>
        <v/>
      </c>
      <c r="Z673">
        <f>HYPERLINK("https://klasma.github.io/Logging_2409/fåglar/A 34727-2025 prioriterade fågelarter.docx", "A 34727-2025")</f>
        <v/>
      </c>
    </row>
    <row r="674" ht="15" customHeight="1">
      <c r="A674" t="inlineStr">
        <is>
          <t>A 44708-2025</t>
        </is>
      </c>
      <c r="B674" s="1" t="n">
        <v>45917.61471064815</v>
      </c>
      <c r="C674" s="1" t="n">
        <v>46075</v>
      </c>
      <c r="D674" t="inlineStr">
        <is>
          <t>VÄSTERBOTTENS LÄN</t>
        </is>
      </c>
      <c r="E674" t="inlineStr">
        <is>
          <t>VINDELN</t>
        </is>
      </c>
      <c r="F674" t="inlineStr">
        <is>
          <t>Holmen skog AB</t>
        </is>
      </c>
      <c r="G674" t="n">
        <v>3.8</v>
      </c>
      <c r="H674" t="n">
        <v>1</v>
      </c>
      <c r="I674" t="n">
        <v>0</v>
      </c>
      <c r="J674" t="n">
        <v>2</v>
      </c>
      <c r="K674" t="n">
        <v>0</v>
      </c>
      <c r="L674" t="n">
        <v>0</v>
      </c>
      <c r="M674" t="n">
        <v>0</v>
      </c>
      <c r="N674" t="n">
        <v>0</v>
      </c>
      <c r="O674" t="n">
        <v>2</v>
      </c>
      <c r="P674" t="n">
        <v>0</v>
      </c>
      <c r="Q674" t="n">
        <v>2</v>
      </c>
      <c r="R674" s="2" t="inlineStr">
        <is>
          <t>Motaggsvamp
Spillkråka</t>
        </is>
      </c>
      <c r="S674">
        <f>HYPERLINK("https://klasma.github.io/Logging_2404/artfynd/A 44708-2025 artfynd.xlsx", "A 44708-2025")</f>
        <v/>
      </c>
      <c r="T674">
        <f>HYPERLINK("https://klasma.github.io/Logging_2404/kartor/A 44708-2025 karta.png", "A 44708-2025")</f>
        <v/>
      </c>
      <c r="V674">
        <f>HYPERLINK("https://klasma.github.io/Logging_2404/klagomål/A 44708-2025 FSC-klagomål.docx", "A 44708-2025")</f>
        <v/>
      </c>
      <c r="W674">
        <f>HYPERLINK("https://klasma.github.io/Logging_2404/klagomålsmail/A 44708-2025 FSC-klagomål mail.docx", "A 44708-2025")</f>
        <v/>
      </c>
      <c r="X674">
        <f>HYPERLINK("https://klasma.github.io/Logging_2404/tillsyn/A 44708-2025 tillsynsbegäran.docx", "A 44708-2025")</f>
        <v/>
      </c>
      <c r="Y674">
        <f>HYPERLINK("https://klasma.github.io/Logging_2404/tillsynsmail/A 44708-2025 tillsynsbegäran mail.docx", "A 44708-2025")</f>
        <v/>
      </c>
      <c r="Z674">
        <f>HYPERLINK("https://klasma.github.io/Logging_2404/fåglar/A 44708-2025 prioriterade fågelarter.docx", "A 44708-2025")</f>
        <v/>
      </c>
    </row>
    <row r="675" ht="15" customHeight="1">
      <c r="A675" t="inlineStr">
        <is>
          <t>A 44874-2025</t>
        </is>
      </c>
      <c r="B675" s="1" t="n">
        <v>45918.47039351852</v>
      </c>
      <c r="C675" s="1" t="n">
        <v>46075</v>
      </c>
      <c r="D675" t="inlineStr">
        <is>
          <t>VÄSTERBOTTENS LÄN</t>
        </is>
      </c>
      <c r="E675" t="inlineStr">
        <is>
          <t>NORSJÖ</t>
        </is>
      </c>
      <c r="F675" t="inlineStr">
        <is>
          <t>Holmen skog AB</t>
        </is>
      </c>
      <c r="G675" t="n">
        <v>7.4</v>
      </c>
      <c r="H675" t="n">
        <v>0</v>
      </c>
      <c r="I675" t="n">
        <v>1</v>
      </c>
      <c r="J675" t="n">
        <v>1</v>
      </c>
      <c r="K675" t="n">
        <v>0</v>
      </c>
      <c r="L675" t="n">
        <v>0</v>
      </c>
      <c r="M675" t="n">
        <v>0</v>
      </c>
      <c r="N675" t="n">
        <v>0</v>
      </c>
      <c r="O675" t="n">
        <v>1</v>
      </c>
      <c r="P675" t="n">
        <v>0</v>
      </c>
      <c r="Q675" t="n">
        <v>2</v>
      </c>
      <c r="R675" s="2" t="inlineStr">
        <is>
          <t>Garnlav
Luddlav</t>
        </is>
      </c>
      <c r="S675">
        <f>HYPERLINK("https://klasma.github.io/Logging_2417/artfynd/A 44874-2025 artfynd.xlsx", "A 44874-2025")</f>
        <v/>
      </c>
      <c r="T675">
        <f>HYPERLINK("https://klasma.github.io/Logging_2417/kartor/A 44874-2025 karta.png", "A 44874-2025")</f>
        <v/>
      </c>
      <c r="V675">
        <f>HYPERLINK("https://klasma.github.io/Logging_2417/klagomål/A 44874-2025 FSC-klagomål.docx", "A 44874-2025")</f>
        <v/>
      </c>
      <c r="W675">
        <f>HYPERLINK("https://klasma.github.io/Logging_2417/klagomålsmail/A 44874-2025 FSC-klagomål mail.docx", "A 44874-2025")</f>
        <v/>
      </c>
      <c r="X675">
        <f>HYPERLINK("https://klasma.github.io/Logging_2417/tillsyn/A 44874-2025 tillsynsbegäran.docx", "A 44874-2025")</f>
        <v/>
      </c>
      <c r="Y675">
        <f>HYPERLINK("https://klasma.github.io/Logging_2417/tillsynsmail/A 44874-2025 tillsynsbegäran mail.docx", "A 44874-2025")</f>
        <v/>
      </c>
    </row>
    <row r="676" ht="15" customHeight="1">
      <c r="A676" t="inlineStr">
        <is>
          <t>A 19234-2021</t>
        </is>
      </c>
      <c r="B676" s="1" t="n">
        <v>44309</v>
      </c>
      <c r="C676" s="1" t="n">
        <v>46075</v>
      </c>
      <c r="D676" t="inlineStr">
        <is>
          <t>VÄSTERBOTTENS LÄN</t>
        </is>
      </c>
      <c r="E676" t="inlineStr">
        <is>
          <t>VILHELMINA</t>
        </is>
      </c>
      <c r="F676" t="inlineStr">
        <is>
          <t>Övriga Aktiebolag</t>
        </is>
      </c>
      <c r="G676" t="n">
        <v>12</v>
      </c>
      <c r="H676" t="n">
        <v>0</v>
      </c>
      <c r="I676" t="n">
        <v>0</v>
      </c>
      <c r="J676" t="n">
        <v>2</v>
      </c>
      <c r="K676" t="n">
        <v>0</v>
      </c>
      <c r="L676" t="n">
        <v>0</v>
      </c>
      <c r="M676" t="n">
        <v>0</v>
      </c>
      <c r="N676" t="n">
        <v>0</v>
      </c>
      <c r="O676" t="n">
        <v>2</v>
      </c>
      <c r="P676" t="n">
        <v>0</v>
      </c>
      <c r="Q676" t="n">
        <v>2</v>
      </c>
      <c r="R676" s="2" t="inlineStr">
        <is>
          <t>Granticka
Harticka</t>
        </is>
      </c>
      <c r="S676">
        <f>HYPERLINK("https://klasma.github.io/Logging_2462/artfynd/A 19234-2021 artfynd.xlsx", "A 19234-2021")</f>
        <v/>
      </c>
      <c r="T676">
        <f>HYPERLINK("https://klasma.github.io/Logging_2462/kartor/A 19234-2021 karta.png", "A 19234-2021")</f>
        <v/>
      </c>
      <c r="V676">
        <f>HYPERLINK("https://klasma.github.io/Logging_2462/klagomål/A 19234-2021 FSC-klagomål.docx", "A 19234-2021")</f>
        <v/>
      </c>
      <c r="W676">
        <f>HYPERLINK("https://klasma.github.io/Logging_2462/klagomålsmail/A 19234-2021 FSC-klagomål mail.docx", "A 19234-2021")</f>
        <v/>
      </c>
      <c r="X676">
        <f>HYPERLINK("https://klasma.github.io/Logging_2462/tillsyn/A 19234-2021 tillsynsbegäran.docx", "A 19234-2021")</f>
        <v/>
      </c>
      <c r="Y676">
        <f>HYPERLINK("https://klasma.github.io/Logging_2462/tillsynsmail/A 19234-2021 tillsynsbegäran mail.docx", "A 19234-2021")</f>
        <v/>
      </c>
    </row>
    <row r="677" ht="15" customHeight="1">
      <c r="A677" t="inlineStr">
        <is>
          <t>A 45359-2025</t>
        </is>
      </c>
      <c r="B677" s="1" t="n">
        <v>45922.36978009259</v>
      </c>
      <c r="C677" s="1" t="n">
        <v>46075</v>
      </c>
      <c r="D677" t="inlineStr">
        <is>
          <t>VÄSTERBOTTENS LÄN</t>
        </is>
      </c>
      <c r="E677" t="inlineStr">
        <is>
          <t>LYCKSELE</t>
        </is>
      </c>
      <c r="F677" t="inlineStr">
        <is>
          <t>Sveaskog</t>
        </is>
      </c>
      <c r="G677" t="n">
        <v>4.6</v>
      </c>
      <c r="H677" t="n">
        <v>0</v>
      </c>
      <c r="I677" t="n">
        <v>1</v>
      </c>
      <c r="J677" t="n">
        <v>1</v>
      </c>
      <c r="K677" t="n">
        <v>0</v>
      </c>
      <c r="L677" t="n">
        <v>0</v>
      </c>
      <c r="M677" t="n">
        <v>0</v>
      </c>
      <c r="N677" t="n">
        <v>0</v>
      </c>
      <c r="O677" t="n">
        <v>1</v>
      </c>
      <c r="P677" t="n">
        <v>0</v>
      </c>
      <c r="Q677" t="n">
        <v>2</v>
      </c>
      <c r="R677" s="2" t="inlineStr">
        <is>
          <t>Garnlav
Stuplav</t>
        </is>
      </c>
      <c r="S677">
        <f>HYPERLINK("https://klasma.github.io/Logging_2481/artfynd/A 45359-2025 artfynd.xlsx", "A 45359-2025")</f>
        <v/>
      </c>
      <c r="T677">
        <f>HYPERLINK("https://klasma.github.io/Logging_2481/kartor/A 45359-2025 karta.png", "A 45359-2025")</f>
        <v/>
      </c>
      <c r="V677">
        <f>HYPERLINK("https://klasma.github.io/Logging_2481/klagomål/A 45359-2025 FSC-klagomål.docx", "A 45359-2025")</f>
        <v/>
      </c>
      <c r="W677">
        <f>HYPERLINK("https://klasma.github.io/Logging_2481/klagomålsmail/A 45359-2025 FSC-klagomål mail.docx", "A 45359-2025")</f>
        <v/>
      </c>
      <c r="X677">
        <f>HYPERLINK("https://klasma.github.io/Logging_2481/tillsyn/A 45359-2025 tillsynsbegäran.docx", "A 45359-2025")</f>
        <v/>
      </c>
      <c r="Y677">
        <f>HYPERLINK("https://klasma.github.io/Logging_2481/tillsynsmail/A 45359-2025 tillsynsbegäran mail.docx", "A 45359-2025")</f>
        <v/>
      </c>
    </row>
    <row r="678" ht="15" customHeight="1">
      <c r="A678" t="inlineStr">
        <is>
          <t>A 35956-2025</t>
        </is>
      </c>
      <c r="B678" s="1" t="n">
        <v>45863.32681712963</v>
      </c>
      <c r="C678" s="1" t="n">
        <v>46075</v>
      </c>
      <c r="D678" t="inlineStr">
        <is>
          <t>VÄSTERBOTTENS LÄN</t>
        </is>
      </c>
      <c r="E678" t="inlineStr">
        <is>
          <t>SKELLEFTEÅ</t>
        </is>
      </c>
      <c r="F678" t="inlineStr">
        <is>
          <t>Holmen skog AB</t>
        </is>
      </c>
      <c r="G678" t="n">
        <v>3.1</v>
      </c>
      <c r="H678" t="n">
        <v>1</v>
      </c>
      <c r="I678" t="n">
        <v>0</v>
      </c>
      <c r="J678" t="n">
        <v>1</v>
      </c>
      <c r="K678" t="n">
        <v>0</v>
      </c>
      <c r="L678" t="n">
        <v>0</v>
      </c>
      <c r="M678" t="n">
        <v>0</v>
      </c>
      <c r="N678" t="n">
        <v>0</v>
      </c>
      <c r="O678" t="n">
        <v>1</v>
      </c>
      <c r="P678" t="n">
        <v>0</v>
      </c>
      <c r="Q678" t="n">
        <v>2</v>
      </c>
      <c r="R678" s="2" t="inlineStr">
        <is>
          <t>Gammelgransskål
Fläcknycklar</t>
        </is>
      </c>
      <c r="S678">
        <f>HYPERLINK("https://klasma.github.io/Logging_2482/artfynd/A 35956-2025 artfynd.xlsx", "A 35956-2025")</f>
        <v/>
      </c>
      <c r="T678">
        <f>HYPERLINK("https://klasma.github.io/Logging_2482/kartor/A 35956-2025 karta.png", "A 35956-2025")</f>
        <v/>
      </c>
      <c r="V678">
        <f>HYPERLINK("https://klasma.github.io/Logging_2482/klagomål/A 35956-2025 FSC-klagomål.docx", "A 35956-2025")</f>
        <v/>
      </c>
      <c r="W678">
        <f>HYPERLINK("https://klasma.github.io/Logging_2482/klagomålsmail/A 35956-2025 FSC-klagomål mail.docx", "A 35956-2025")</f>
        <v/>
      </c>
      <c r="X678">
        <f>HYPERLINK("https://klasma.github.io/Logging_2482/tillsyn/A 35956-2025 tillsynsbegäran.docx", "A 35956-2025")</f>
        <v/>
      </c>
      <c r="Y678">
        <f>HYPERLINK("https://klasma.github.io/Logging_2482/tillsynsmail/A 35956-2025 tillsynsbegäran mail.docx", "A 35956-2025")</f>
        <v/>
      </c>
    </row>
    <row r="679" ht="15" customHeight="1">
      <c r="A679" t="inlineStr">
        <is>
          <t>A 36810-2025</t>
        </is>
      </c>
      <c r="B679" s="1" t="n">
        <v>45873</v>
      </c>
      <c r="C679" s="1" t="n">
        <v>46075</v>
      </c>
      <c r="D679" t="inlineStr">
        <is>
          <t>VÄSTERBOTTENS LÄN</t>
        </is>
      </c>
      <c r="E679" t="inlineStr">
        <is>
          <t>NORDMALING</t>
        </is>
      </c>
      <c r="G679" t="n">
        <v>1.3</v>
      </c>
      <c r="H679" t="n">
        <v>0</v>
      </c>
      <c r="I679" t="n">
        <v>1</v>
      </c>
      <c r="J679" t="n">
        <v>1</v>
      </c>
      <c r="K679" t="n">
        <v>0</v>
      </c>
      <c r="L679" t="n">
        <v>0</v>
      </c>
      <c r="M679" t="n">
        <v>0</v>
      </c>
      <c r="N679" t="n">
        <v>0</v>
      </c>
      <c r="O679" t="n">
        <v>1</v>
      </c>
      <c r="P679" t="n">
        <v>0</v>
      </c>
      <c r="Q679" t="n">
        <v>2</v>
      </c>
      <c r="R679" s="2" t="inlineStr">
        <is>
          <t>Garnlav
Granbarkgnagare</t>
        </is>
      </c>
      <c r="S679">
        <f>HYPERLINK("https://klasma.github.io/Logging_2401/artfynd/A 36810-2025 artfynd.xlsx", "A 36810-2025")</f>
        <v/>
      </c>
      <c r="T679">
        <f>HYPERLINK("https://klasma.github.io/Logging_2401/kartor/A 36810-2025 karta.png", "A 36810-2025")</f>
        <v/>
      </c>
      <c r="V679">
        <f>HYPERLINK("https://klasma.github.io/Logging_2401/klagomål/A 36810-2025 FSC-klagomål.docx", "A 36810-2025")</f>
        <v/>
      </c>
      <c r="W679">
        <f>HYPERLINK("https://klasma.github.io/Logging_2401/klagomålsmail/A 36810-2025 FSC-klagomål mail.docx", "A 36810-2025")</f>
        <v/>
      </c>
      <c r="X679">
        <f>HYPERLINK("https://klasma.github.io/Logging_2401/tillsyn/A 36810-2025 tillsynsbegäran.docx", "A 36810-2025")</f>
        <v/>
      </c>
      <c r="Y679">
        <f>HYPERLINK("https://klasma.github.io/Logging_2401/tillsynsmail/A 36810-2025 tillsynsbegäran mail.docx", "A 36810-2025")</f>
        <v/>
      </c>
    </row>
    <row r="680" ht="15" customHeight="1">
      <c r="A680" t="inlineStr">
        <is>
          <t>A 48652-2025</t>
        </is>
      </c>
      <c r="B680" s="1" t="n">
        <v>45936</v>
      </c>
      <c r="C680" s="1" t="n">
        <v>46075</v>
      </c>
      <c r="D680" t="inlineStr">
        <is>
          <t>VÄSTERBOTTENS LÄN</t>
        </is>
      </c>
      <c r="E680" t="inlineStr">
        <is>
          <t>VILHELMINA</t>
        </is>
      </c>
      <c r="F680" t="inlineStr">
        <is>
          <t>SCA</t>
        </is>
      </c>
      <c r="G680" t="n">
        <v>6.8</v>
      </c>
      <c r="H680" t="n">
        <v>0</v>
      </c>
      <c r="I680" t="n">
        <v>0</v>
      </c>
      <c r="J680" t="n">
        <v>2</v>
      </c>
      <c r="K680" t="n">
        <v>0</v>
      </c>
      <c r="L680" t="n">
        <v>0</v>
      </c>
      <c r="M680" t="n">
        <v>0</v>
      </c>
      <c r="N680" t="n">
        <v>0</v>
      </c>
      <c r="O680" t="n">
        <v>2</v>
      </c>
      <c r="P680" t="n">
        <v>0</v>
      </c>
      <c r="Q680" t="n">
        <v>2</v>
      </c>
      <c r="R680" s="2" t="inlineStr">
        <is>
          <t>Gammelgransskål
Knottrig blåslav</t>
        </is>
      </c>
      <c r="S680">
        <f>HYPERLINK("https://klasma.github.io/Logging_2462/artfynd/A 48652-2025 artfynd.xlsx", "A 48652-2025")</f>
        <v/>
      </c>
      <c r="T680">
        <f>HYPERLINK("https://klasma.github.io/Logging_2462/kartor/A 48652-2025 karta.png", "A 48652-2025")</f>
        <v/>
      </c>
      <c r="V680">
        <f>HYPERLINK("https://klasma.github.io/Logging_2462/klagomål/A 48652-2025 FSC-klagomål.docx", "A 48652-2025")</f>
        <v/>
      </c>
      <c r="W680">
        <f>HYPERLINK("https://klasma.github.io/Logging_2462/klagomålsmail/A 48652-2025 FSC-klagomål mail.docx", "A 48652-2025")</f>
        <v/>
      </c>
      <c r="X680">
        <f>HYPERLINK("https://klasma.github.io/Logging_2462/tillsyn/A 48652-2025 tillsynsbegäran.docx", "A 48652-2025")</f>
        <v/>
      </c>
      <c r="Y680">
        <f>HYPERLINK("https://klasma.github.io/Logging_2462/tillsynsmail/A 48652-2025 tillsynsbegäran mail.docx", "A 48652-2025")</f>
        <v/>
      </c>
    </row>
    <row r="681" ht="15" customHeight="1">
      <c r="A681" t="inlineStr">
        <is>
          <t>A 36794-2025</t>
        </is>
      </c>
      <c r="B681" s="1" t="n">
        <v>45873.64189814815</v>
      </c>
      <c r="C681" s="1" t="n">
        <v>46075</v>
      </c>
      <c r="D681" t="inlineStr">
        <is>
          <t>VÄSTERBOTTENS LÄN</t>
        </is>
      </c>
      <c r="E681" t="inlineStr">
        <is>
          <t>UMEÅ</t>
        </is>
      </c>
      <c r="F681" t="inlineStr">
        <is>
          <t>Holmen skog AB</t>
        </is>
      </c>
      <c r="G681" t="n">
        <v>7.5</v>
      </c>
      <c r="H681" t="n">
        <v>2</v>
      </c>
      <c r="I681" t="n">
        <v>0</v>
      </c>
      <c r="J681" t="n">
        <v>1</v>
      </c>
      <c r="K681" t="n">
        <v>0</v>
      </c>
      <c r="L681" t="n">
        <v>0</v>
      </c>
      <c r="M681" t="n">
        <v>0</v>
      </c>
      <c r="N681" t="n">
        <v>0</v>
      </c>
      <c r="O681" t="n">
        <v>1</v>
      </c>
      <c r="P681" t="n">
        <v>0</v>
      </c>
      <c r="Q681" t="n">
        <v>2</v>
      </c>
      <c r="R681" s="2" t="inlineStr">
        <is>
          <t>Talltita
Kungsfågel</t>
        </is>
      </c>
      <c r="S681">
        <f>HYPERLINK("https://klasma.github.io/Logging_2480/artfynd/A 36794-2025 artfynd.xlsx", "A 36794-2025")</f>
        <v/>
      </c>
      <c r="T681">
        <f>HYPERLINK("https://klasma.github.io/Logging_2480/kartor/A 36794-2025 karta.png", "A 36794-2025")</f>
        <v/>
      </c>
      <c r="V681">
        <f>HYPERLINK("https://klasma.github.io/Logging_2480/klagomål/A 36794-2025 FSC-klagomål.docx", "A 36794-2025")</f>
        <v/>
      </c>
      <c r="W681">
        <f>HYPERLINK("https://klasma.github.io/Logging_2480/klagomålsmail/A 36794-2025 FSC-klagomål mail.docx", "A 36794-2025")</f>
        <v/>
      </c>
      <c r="X681">
        <f>HYPERLINK("https://klasma.github.io/Logging_2480/tillsyn/A 36794-2025 tillsynsbegäran.docx", "A 36794-2025")</f>
        <v/>
      </c>
      <c r="Y681">
        <f>HYPERLINK("https://klasma.github.io/Logging_2480/tillsynsmail/A 36794-2025 tillsynsbegäran mail.docx", "A 36794-2025")</f>
        <v/>
      </c>
      <c r="Z681">
        <f>HYPERLINK("https://klasma.github.io/Logging_2480/fåglar/A 36794-2025 prioriterade fågelarter.docx", "A 36794-2025")</f>
        <v/>
      </c>
    </row>
    <row r="682" ht="15" customHeight="1">
      <c r="A682" t="inlineStr">
        <is>
          <t>A 47276-2025</t>
        </is>
      </c>
      <c r="B682" s="1" t="n">
        <v>45930.46909722222</v>
      </c>
      <c r="C682" s="1" t="n">
        <v>46075</v>
      </c>
      <c r="D682" t="inlineStr">
        <is>
          <t>VÄSTERBOTTENS LÄN</t>
        </is>
      </c>
      <c r="E682" t="inlineStr">
        <is>
          <t>UMEÅ</t>
        </is>
      </c>
      <c r="G682" t="n">
        <v>1.9</v>
      </c>
      <c r="H682" t="n">
        <v>0</v>
      </c>
      <c r="I682" t="n">
        <v>1</v>
      </c>
      <c r="J682" t="n">
        <v>1</v>
      </c>
      <c r="K682" t="n">
        <v>0</v>
      </c>
      <c r="L682" t="n">
        <v>0</v>
      </c>
      <c r="M682" t="n">
        <v>0</v>
      </c>
      <c r="N682" t="n">
        <v>0</v>
      </c>
      <c r="O682" t="n">
        <v>1</v>
      </c>
      <c r="P682" t="n">
        <v>0</v>
      </c>
      <c r="Q682" t="n">
        <v>2</v>
      </c>
      <c r="R682" s="2" t="inlineStr">
        <is>
          <t>Granticka
Vedticka</t>
        </is>
      </c>
      <c r="S682">
        <f>HYPERLINK("https://klasma.github.io/Logging_2480/artfynd/A 47276-2025 artfynd.xlsx", "A 47276-2025")</f>
        <v/>
      </c>
      <c r="T682">
        <f>HYPERLINK("https://klasma.github.io/Logging_2480/kartor/A 47276-2025 karta.png", "A 47276-2025")</f>
        <v/>
      </c>
      <c r="V682">
        <f>HYPERLINK("https://klasma.github.io/Logging_2480/klagomål/A 47276-2025 FSC-klagomål.docx", "A 47276-2025")</f>
        <v/>
      </c>
      <c r="W682">
        <f>HYPERLINK("https://klasma.github.io/Logging_2480/klagomålsmail/A 47276-2025 FSC-klagomål mail.docx", "A 47276-2025")</f>
        <v/>
      </c>
      <c r="X682">
        <f>HYPERLINK("https://klasma.github.io/Logging_2480/tillsyn/A 47276-2025 tillsynsbegäran.docx", "A 47276-2025")</f>
        <v/>
      </c>
      <c r="Y682">
        <f>HYPERLINK("https://klasma.github.io/Logging_2480/tillsynsmail/A 47276-2025 tillsynsbegäran mail.docx", "A 47276-2025")</f>
        <v/>
      </c>
    </row>
    <row r="683" ht="15" customHeight="1">
      <c r="A683" t="inlineStr">
        <is>
          <t>A 36998-2025</t>
        </is>
      </c>
      <c r="B683" s="1" t="n">
        <v>45874</v>
      </c>
      <c r="C683" s="1" t="n">
        <v>46075</v>
      </c>
      <c r="D683" t="inlineStr">
        <is>
          <t>VÄSTERBOTTENS LÄN</t>
        </is>
      </c>
      <c r="E683" t="inlineStr">
        <is>
          <t>VILHELMINA</t>
        </is>
      </c>
      <c r="F683" t="inlineStr">
        <is>
          <t>SCA</t>
        </is>
      </c>
      <c r="G683" t="n">
        <v>16.9</v>
      </c>
      <c r="H683" t="n">
        <v>1</v>
      </c>
      <c r="I683" t="n">
        <v>1</v>
      </c>
      <c r="J683" t="n">
        <v>1</v>
      </c>
      <c r="K683" t="n">
        <v>0</v>
      </c>
      <c r="L683" t="n">
        <v>0</v>
      </c>
      <c r="M683" t="n">
        <v>0</v>
      </c>
      <c r="N683" t="n">
        <v>0</v>
      </c>
      <c r="O683" t="n">
        <v>1</v>
      </c>
      <c r="P683" t="n">
        <v>0</v>
      </c>
      <c r="Q683" t="n">
        <v>2</v>
      </c>
      <c r="R683" s="2" t="inlineStr">
        <is>
          <t>Granticka
Lappranunkel</t>
        </is>
      </c>
      <c r="S683">
        <f>HYPERLINK("https://klasma.github.io/Logging_2462/artfynd/A 36998-2025 artfynd.xlsx", "A 36998-2025")</f>
        <v/>
      </c>
      <c r="T683">
        <f>HYPERLINK("https://klasma.github.io/Logging_2462/kartor/A 36998-2025 karta.png", "A 36998-2025")</f>
        <v/>
      </c>
      <c r="V683">
        <f>HYPERLINK("https://klasma.github.io/Logging_2462/klagomål/A 36998-2025 FSC-klagomål.docx", "A 36998-2025")</f>
        <v/>
      </c>
      <c r="W683">
        <f>HYPERLINK("https://klasma.github.io/Logging_2462/klagomålsmail/A 36998-2025 FSC-klagomål mail.docx", "A 36998-2025")</f>
        <v/>
      </c>
      <c r="X683">
        <f>HYPERLINK("https://klasma.github.io/Logging_2462/tillsyn/A 36998-2025 tillsynsbegäran.docx", "A 36998-2025")</f>
        <v/>
      </c>
      <c r="Y683">
        <f>HYPERLINK("https://klasma.github.io/Logging_2462/tillsynsmail/A 36998-2025 tillsynsbegäran mail.docx", "A 36998-2025")</f>
        <v/>
      </c>
    </row>
    <row r="684" ht="15" customHeight="1">
      <c r="A684" t="inlineStr">
        <is>
          <t>A 47744-2025</t>
        </is>
      </c>
      <c r="B684" s="1" t="n">
        <v>45931.64844907408</v>
      </c>
      <c r="C684" s="1" t="n">
        <v>46075</v>
      </c>
      <c r="D684" t="inlineStr">
        <is>
          <t>VÄSTERBOTTENS LÄN</t>
        </is>
      </c>
      <c r="E684" t="inlineStr">
        <is>
          <t>LYCKSELE</t>
        </is>
      </c>
      <c r="F684" t="inlineStr">
        <is>
          <t>Sveaskog</t>
        </is>
      </c>
      <c r="G684" t="n">
        <v>4.1</v>
      </c>
      <c r="H684" t="n">
        <v>0</v>
      </c>
      <c r="I684" t="n">
        <v>0</v>
      </c>
      <c r="J684" t="n">
        <v>2</v>
      </c>
      <c r="K684" t="n">
        <v>0</v>
      </c>
      <c r="L684" t="n">
        <v>0</v>
      </c>
      <c r="M684" t="n">
        <v>0</v>
      </c>
      <c r="N684" t="n">
        <v>0</v>
      </c>
      <c r="O684" t="n">
        <v>2</v>
      </c>
      <c r="P684" t="n">
        <v>0</v>
      </c>
      <c r="Q684" t="n">
        <v>2</v>
      </c>
      <c r="R684" s="2" t="inlineStr">
        <is>
          <t>Kolflarnlav
Mörk kolflarnlav</t>
        </is>
      </c>
      <c r="S684">
        <f>HYPERLINK("https://klasma.github.io/Logging_2481/artfynd/A 47744-2025 artfynd.xlsx", "A 47744-2025")</f>
        <v/>
      </c>
      <c r="T684">
        <f>HYPERLINK("https://klasma.github.io/Logging_2481/kartor/A 47744-2025 karta.png", "A 47744-2025")</f>
        <v/>
      </c>
      <c r="V684">
        <f>HYPERLINK("https://klasma.github.io/Logging_2481/klagomål/A 47744-2025 FSC-klagomål.docx", "A 47744-2025")</f>
        <v/>
      </c>
      <c r="W684">
        <f>HYPERLINK("https://klasma.github.io/Logging_2481/klagomålsmail/A 47744-2025 FSC-klagomål mail.docx", "A 47744-2025")</f>
        <v/>
      </c>
      <c r="X684">
        <f>HYPERLINK("https://klasma.github.io/Logging_2481/tillsyn/A 47744-2025 tillsynsbegäran.docx", "A 47744-2025")</f>
        <v/>
      </c>
      <c r="Y684">
        <f>HYPERLINK("https://klasma.github.io/Logging_2481/tillsynsmail/A 47744-2025 tillsynsbegäran mail.docx", "A 47744-2025")</f>
        <v/>
      </c>
    </row>
    <row r="685" ht="15" customHeight="1">
      <c r="A685" t="inlineStr">
        <is>
          <t>A 37458-2025</t>
        </is>
      </c>
      <c r="B685" s="1" t="n">
        <v>45877.56935185185</v>
      </c>
      <c r="C685" s="1" t="n">
        <v>46075</v>
      </c>
      <c r="D685" t="inlineStr">
        <is>
          <t>VÄSTERBOTTENS LÄN</t>
        </is>
      </c>
      <c r="E685" t="inlineStr">
        <is>
          <t>LYCKSELE</t>
        </is>
      </c>
      <c r="F685" t="inlineStr">
        <is>
          <t>Holmen skog AB</t>
        </is>
      </c>
      <c r="G685" t="n">
        <v>5.1</v>
      </c>
      <c r="H685" t="n">
        <v>1</v>
      </c>
      <c r="I685" t="n">
        <v>0</v>
      </c>
      <c r="J685" t="n">
        <v>1</v>
      </c>
      <c r="K685" t="n">
        <v>0</v>
      </c>
      <c r="L685" t="n">
        <v>0</v>
      </c>
      <c r="M685" t="n">
        <v>0</v>
      </c>
      <c r="N685" t="n">
        <v>0</v>
      </c>
      <c r="O685" t="n">
        <v>1</v>
      </c>
      <c r="P685" t="n">
        <v>0</v>
      </c>
      <c r="Q685" t="n">
        <v>2</v>
      </c>
      <c r="R685" s="2" t="inlineStr">
        <is>
          <t>Garnlav
Lavskrika</t>
        </is>
      </c>
      <c r="S685">
        <f>HYPERLINK("https://klasma.github.io/Logging_2481/artfynd/A 37458-2025 artfynd.xlsx", "A 37458-2025")</f>
        <v/>
      </c>
      <c r="T685">
        <f>HYPERLINK("https://klasma.github.io/Logging_2481/kartor/A 37458-2025 karta.png", "A 37458-2025")</f>
        <v/>
      </c>
      <c r="V685">
        <f>HYPERLINK("https://klasma.github.io/Logging_2481/klagomål/A 37458-2025 FSC-klagomål.docx", "A 37458-2025")</f>
        <v/>
      </c>
      <c r="W685">
        <f>HYPERLINK("https://klasma.github.io/Logging_2481/klagomålsmail/A 37458-2025 FSC-klagomål mail.docx", "A 37458-2025")</f>
        <v/>
      </c>
      <c r="X685">
        <f>HYPERLINK("https://klasma.github.io/Logging_2481/tillsyn/A 37458-2025 tillsynsbegäran.docx", "A 37458-2025")</f>
        <v/>
      </c>
      <c r="Y685">
        <f>HYPERLINK("https://klasma.github.io/Logging_2481/tillsynsmail/A 37458-2025 tillsynsbegäran mail.docx", "A 37458-2025")</f>
        <v/>
      </c>
      <c r="Z685">
        <f>HYPERLINK("https://klasma.github.io/Logging_2481/fåglar/A 37458-2025 prioriterade fågelarter.docx", "A 37458-2025")</f>
        <v/>
      </c>
    </row>
    <row r="686" ht="15" customHeight="1">
      <c r="A686" t="inlineStr">
        <is>
          <t>A 40742-2023</t>
        </is>
      </c>
      <c r="B686" s="1" t="n">
        <v>45170</v>
      </c>
      <c r="C686" s="1" t="n">
        <v>46075</v>
      </c>
      <c r="D686" t="inlineStr">
        <is>
          <t>VÄSTERBOTTENS LÄN</t>
        </is>
      </c>
      <c r="E686" t="inlineStr">
        <is>
          <t>SKELLEFTEÅ</t>
        </is>
      </c>
      <c r="F686" t="inlineStr">
        <is>
          <t>Sveaskog</t>
        </is>
      </c>
      <c r="G686" t="n">
        <v>13.6</v>
      </c>
      <c r="H686" t="n">
        <v>0</v>
      </c>
      <c r="I686" t="n">
        <v>1</v>
      </c>
      <c r="J686" t="n">
        <v>1</v>
      </c>
      <c r="K686" t="n">
        <v>0</v>
      </c>
      <c r="L686" t="n">
        <v>0</v>
      </c>
      <c r="M686" t="n">
        <v>0</v>
      </c>
      <c r="N686" t="n">
        <v>0</v>
      </c>
      <c r="O686" t="n">
        <v>1</v>
      </c>
      <c r="P686" t="n">
        <v>0</v>
      </c>
      <c r="Q686" t="n">
        <v>2</v>
      </c>
      <c r="R686" s="2" t="inlineStr">
        <is>
          <t>Kolflarnlav
Stuplav</t>
        </is>
      </c>
      <c r="S686">
        <f>HYPERLINK("https://klasma.github.io/Logging_2482/artfynd/A 40742-2023 artfynd.xlsx", "A 40742-2023")</f>
        <v/>
      </c>
      <c r="T686">
        <f>HYPERLINK("https://klasma.github.io/Logging_2482/kartor/A 40742-2023 karta.png", "A 40742-2023")</f>
        <v/>
      </c>
      <c r="V686">
        <f>HYPERLINK("https://klasma.github.io/Logging_2482/klagomål/A 40742-2023 FSC-klagomål.docx", "A 40742-2023")</f>
        <v/>
      </c>
      <c r="W686">
        <f>HYPERLINK("https://klasma.github.io/Logging_2482/klagomålsmail/A 40742-2023 FSC-klagomål mail.docx", "A 40742-2023")</f>
        <v/>
      </c>
      <c r="X686">
        <f>HYPERLINK("https://klasma.github.io/Logging_2482/tillsyn/A 40742-2023 tillsynsbegäran.docx", "A 40742-2023")</f>
        <v/>
      </c>
      <c r="Y686">
        <f>HYPERLINK("https://klasma.github.io/Logging_2482/tillsynsmail/A 40742-2023 tillsynsbegäran mail.docx", "A 40742-2023")</f>
        <v/>
      </c>
    </row>
    <row r="687" ht="15" customHeight="1">
      <c r="A687" t="inlineStr">
        <is>
          <t>A 37985-2025</t>
        </is>
      </c>
      <c r="B687" s="1" t="n">
        <v>45881.70010416667</v>
      </c>
      <c r="C687" s="1" t="n">
        <v>46075</v>
      </c>
      <c r="D687" t="inlineStr">
        <is>
          <t>VÄSTERBOTTENS LÄN</t>
        </is>
      </c>
      <c r="E687" t="inlineStr">
        <is>
          <t>SKELLEFTEÅ</t>
        </is>
      </c>
      <c r="G687" t="n">
        <v>4.9</v>
      </c>
      <c r="H687" t="n">
        <v>1</v>
      </c>
      <c r="I687" t="n">
        <v>0</v>
      </c>
      <c r="J687" t="n">
        <v>1</v>
      </c>
      <c r="K687" t="n">
        <v>0</v>
      </c>
      <c r="L687" t="n">
        <v>0</v>
      </c>
      <c r="M687" t="n">
        <v>0</v>
      </c>
      <c r="N687" t="n">
        <v>0</v>
      </c>
      <c r="O687" t="n">
        <v>1</v>
      </c>
      <c r="P687" t="n">
        <v>0</v>
      </c>
      <c r="Q687" t="n">
        <v>2</v>
      </c>
      <c r="R687" s="2" t="inlineStr">
        <is>
          <t>Lunglav
Orre</t>
        </is>
      </c>
      <c r="S687">
        <f>HYPERLINK("https://klasma.github.io/Logging_2482/artfynd/A 37985-2025 artfynd.xlsx", "A 37985-2025")</f>
        <v/>
      </c>
      <c r="T687">
        <f>HYPERLINK("https://klasma.github.io/Logging_2482/kartor/A 37985-2025 karta.png", "A 37985-2025")</f>
        <v/>
      </c>
      <c r="V687">
        <f>HYPERLINK("https://klasma.github.io/Logging_2482/klagomål/A 37985-2025 FSC-klagomål.docx", "A 37985-2025")</f>
        <v/>
      </c>
      <c r="W687">
        <f>HYPERLINK("https://klasma.github.io/Logging_2482/klagomålsmail/A 37985-2025 FSC-klagomål mail.docx", "A 37985-2025")</f>
        <v/>
      </c>
      <c r="X687">
        <f>HYPERLINK("https://klasma.github.io/Logging_2482/tillsyn/A 37985-2025 tillsynsbegäran.docx", "A 37985-2025")</f>
        <v/>
      </c>
      <c r="Y687">
        <f>HYPERLINK("https://klasma.github.io/Logging_2482/tillsynsmail/A 37985-2025 tillsynsbegäran mail.docx", "A 37985-2025")</f>
        <v/>
      </c>
      <c r="Z687">
        <f>HYPERLINK("https://klasma.github.io/Logging_2482/fåglar/A 37985-2025 prioriterade fågelarter.docx", "A 37985-2025")</f>
        <v/>
      </c>
    </row>
    <row r="688" ht="15" customHeight="1">
      <c r="A688" t="inlineStr">
        <is>
          <t>A 49045-2025</t>
        </is>
      </c>
      <c r="B688" s="1" t="n">
        <v>45937.63671296297</v>
      </c>
      <c r="C688" s="1" t="n">
        <v>46075</v>
      </c>
      <c r="D688" t="inlineStr">
        <is>
          <t>VÄSTERBOTTENS LÄN</t>
        </is>
      </c>
      <c r="E688" t="inlineStr">
        <is>
          <t>DOROTEA</t>
        </is>
      </c>
      <c r="F688" t="inlineStr">
        <is>
          <t>SCA</t>
        </is>
      </c>
      <c r="G688" t="n">
        <v>4.5</v>
      </c>
      <c r="H688" t="n">
        <v>1</v>
      </c>
      <c r="I688" t="n">
        <v>0</v>
      </c>
      <c r="J688" t="n">
        <v>2</v>
      </c>
      <c r="K688" t="n">
        <v>0</v>
      </c>
      <c r="L688" t="n">
        <v>0</v>
      </c>
      <c r="M688" t="n">
        <v>0</v>
      </c>
      <c r="N688" t="n">
        <v>0</v>
      </c>
      <c r="O688" t="n">
        <v>2</v>
      </c>
      <c r="P688" t="n">
        <v>0</v>
      </c>
      <c r="Q688" t="n">
        <v>2</v>
      </c>
      <c r="R688" s="2" t="inlineStr">
        <is>
          <t>Gammelgransskål
Tretåig hackspett</t>
        </is>
      </c>
      <c r="S688">
        <f>HYPERLINK("https://klasma.github.io/Logging_2425/artfynd/A 49045-2025 artfynd.xlsx", "A 49045-2025")</f>
        <v/>
      </c>
      <c r="T688">
        <f>HYPERLINK("https://klasma.github.io/Logging_2425/kartor/A 49045-2025 karta.png", "A 49045-2025")</f>
        <v/>
      </c>
      <c r="V688">
        <f>HYPERLINK("https://klasma.github.io/Logging_2425/klagomål/A 49045-2025 FSC-klagomål.docx", "A 49045-2025")</f>
        <v/>
      </c>
      <c r="W688">
        <f>HYPERLINK("https://klasma.github.io/Logging_2425/klagomålsmail/A 49045-2025 FSC-klagomål mail.docx", "A 49045-2025")</f>
        <v/>
      </c>
      <c r="X688">
        <f>HYPERLINK("https://klasma.github.io/Logging_2425/tillsyn/A 49045-2025 tillsynsbegäran.docx", "A 49045-2025")</f>
        <v/>
      </c>
      <c r="Y688">
        <f>HYPERLINK("https://klasma.github.io/Logging_2425/tillsynsmail/A 49045-2025 tillsynsbegäran mail.docx", "A 49045-2025")</f>
        <v/>
      </c>
      <c r="Z688">
        <f>HYPERLINK("https://klasma.github.io/Logging_2425/fåglar/A 49045-2025 prioriterade fågelarter.docx", "A 49045-2025")</f>
        <v/>
      </c>
    </row>
    <row r="689" ht="15" customHeight="1">
      <c r="A689" t="inlineStr">
        <is>
          <t>A 49553-2025</t>
        </is>
      </c>
      <c r="B689" s="1" t="n">
        <v>45939.4471875</v>
      </c>
      <c r="C689" s="1" t="n">
        <v>46075</v>
      </c>
      <c r="D689" t="inlineStr">
        <is>
          <t>VÄSTERBOTTENS LÄN</t>
        </is>
      </c>
      <c r="E689" t="inlineStr">
        <is>
          <t>LYCKSELE</t>
        </is>
      </c>
      <c r="F689" t="inlineStr">
        <is>
          <t>Sveaskog</t>
        </is>
      </c>
      <c r="G689" t="n">
        <v>26.1</v>
      </c>
      <c r="H689" t="n">
        <v>0</v>
      </c>
      <c r="I689" t="n">
        <v>0</v>
      </c>
      <c r="J689" t="n">
        <v>2</v>
      </c>
      <c r="K689" t="n">
        <v>0</v>
      </c>
      <c r="L689" t="n">
        <v>0</v>
      </c>
      <c r="M689" t="n">
        <v>0</v>
      </c>
      <c r="N689" t="n">
        <v>0</v>
      </c>
      <c r="O689" t="n">
        <v>2</v>
      </c>
      <c r="P689" t="n">
        <v>0</v>
      </c>
      <c r="Q689" t="n">
        <v>2</v>
      </c>
      <c r="R689" s="2" t="inlineStr">
        <is>
          <t>Kolflarnlav
Mörk kolflarnlav</t>
        </is>
      </c>
      <c r="S689">
        <f>HYPERLINK("https://klasma.github.io/Logging_2481/artfynd/A 49553-2025 artfynd.xlsx", "A 49553-2025")</f>
        <v/>
      </c>
      <c r="T689">
        <f>HYPERLINK("https://klasma.github.io/Logging_2481/kartor/A 49553-2025 karta.png", "A 49553-2025")</f>
        <v/>
      </c>
      <c r="V689">
        <f>HYPERLINK("https://klasma.github.io/Logging_2481/klagomål/A 49553-2025 FSC-klagomål.docx", "A 49553-2025")</f>
        <v/>
      </c>
      <c r="W689">
        <f>HYPERLINK("https://klasma.github.io/Logging_2481/klagomålsmail/A 49553-2025 FSC-klagomål mail.docx", "A 49553-2025")</f>
        <v/>
      </c>
      <c r="X689">
        <f>HYPERLINK("https://klasma.github.io/Logging_2481/tillsyn/A 49553-2025 tillsynsbegäran.docx", "A 49553-2025")</f>
        <v/>
      </c>
      <c r="Y689">
        <f>HYPERLINK("https://klasma.github.io/Logging_2481/tillsynsmail/A 49553-2025 tillsynsbegäran mail.docx", "A 49553-2025")</f>
        <v/>
      </c>
    </row>
    <row r="690" ht="15" customHeight="1">
      <c r="A690" t="inlineStr">
        <is>
          <t>A 49364-2025</t>
        </is>
      </c>
      <c r="B690" s="1" t="n">
        <v>45938.62302083334</v>
      </c>
      <c r="C690" s="1" t="n">
        <v>46075</v>
      </c>
      <c r="D690" t="inlineStr">
        <is>
          <t>VÄSTERBOTTENS LÄN</t>
        </is>
      </c>
      <c r="E690" t="inlineStr">
        <is>
          <t>LYCKSELE</t>
        </is>
      </c>
      <c r="F690" t="inlineStr">
        <is>
          <t>Sveaskog</t>
        </is>
      </c>
      <c r="G690" t="n">
        <v>7.9</v>
      </c>
      <c r="H690" t="n">
        <v>0</v>
      </c>
      <c r="I690" t="n">
        <v>0</v>
      </c>
      <c r="J690" t="n">
        <v>2</v>
      </c>
      <c r="K690" t="n">
        <v>0</v>
      </c>
      <c r="L690" t="n">
        <v>0</v>
      </c>
      <c r="M690" t="n">
        <v>0</v>
      </c>
      <c r="N690" t="n">
        <v>0</v>
      </c>
      <c r="O690" t="n">
        <v>2</v>
      </c>
      <c r="P690" t="n">
        <v>0</v>
      </c>
      <c r="Q690" t="n">
        <v>2</v>
      </c>
      <c r="R690" s="2" t="inlineStr">
        <is>
          <t>Kolflarnlav
Mörk kolflarnlav</t>
        </is>
      </c>
      <c r="S690">
        <f>HYPERLINK("https://klasma.github.io/Logging_2481/artfynd/A 49364-2025 artfynd.xlsx", "A 49364-2025")</f>
        <v/>
      </c>
      <c r="T690">
        <f>HYPERLINK("https://klasma.github.io/Logging_2481/kartor/A 49364-2025 karta.png", "A 49364-2025")</f>
        <v/>
      </c>
      <c r="V690">
        <f>HYPERLINK("https://klasma.github.io/Logging_2481/klagomål/A 49364-2025 FSC-klagomål.docx", "A 49364-2025")</f>
        <v/>
      </c>
      <c r="W690">
        <f>HYPERLINK("https://klasma.github.io/Logging_2481/klagomålsmail/A 49364-2025 FSC-klagomål mail.docx", "A 49364-2025")</f>
        <v/>
      </c>
      <c r="X690">
        <f>HYPERLINK("https://klasma.github.io/Logging_2481/tillsyn/A 49364-2025 tillsynsbegäran.docx", "A 49364-2025")</f>
        <v/>
      </c>
      <c r="Y690">
        <f>HYPERLINK("https://klasma.github.io/Logging_2481/tillsynsmail/A 49364-2025 tillsynsbegäran mail.docx", "A 49364-2025")</f>
        <v/>
      </c>
    </row>
    <row r="691" ht="15" customHeight="1">
      <c r="A691" t="inlineStr">
        <is>
          <t>A 38458-2025</t>
        </is>
      </c>
      <c r="B691" s="1" t="n">
        <v>45883.71289351852</v>
      </c>
      <c r="C691" s="1" t="n">
        <v>46075</v>
      </c>
      <c r="D691" t="inlineStr">
        <is>
          <t>VÄSTERBOTTENS LÄN</t>
        </is>
      </c>
      <c r="E691" t="inlineStr">
        <is>
          <t>SKELLEFTEÅ</t>
        </is>
      </c>
      <c r="G691" t="n">
        <v>7.2</v>
      </c>
      <c r="H691" t="n">
        <v>1</v>
      </c>
      <c r="I691" t="n">
        <v>1</v>
      </c>
      <c r="J691" t="n">
        <v>0</v>
      </c>
      <c r="K691" t="n">
        <v>0</v>
      </c>
      <c r="L691" t="n">
        <v>0</v>
      </c>
      <c r="M691" t="n">
        <v>0</v>
      </c>
      <c r="N691" t="n">
        <v>0</v>
      </c>
      <c r="O691" t="n">
        <v>0</v>
      </c>
      <c r="P691" t="n">
        <v>0</v>
      </c>
      <c r="Q691" t="n">
        <v>2</v>
      </c>
      <c r="R691" s="2" t="inlineStr">
        <is>
          <t>Stuplav
Fläcknycklar</t>
        </is>
      </c>
      <c r="S691">
        <f>HYPERLINK("https://klasma.github.io/Logging_2482/artfynd/A 38458-2025 artfynd.xlsx", "A 38458-2025")</f>
        <v/>
      </c>
      <c r="T691">
        <f>HYPERLINK("https://klasma.github.io/Logging_2482/kartor/A 38458-2025 karta.png", "A 38458-2025")</f>
        <v/>
      </c>
      <c r="V691">
        <f>HYPERLINK("https://klasma.github.io/Logging_2482/klagomål/A 38458-2025 FSC-klagomål.docx", "A 38458-2025")</f>
        <v/>
      </c>
      <c r="W691">
        <f>HYPERLINK("https://klasma.github.io/Logging_2482/klagomålsmail/A 38458-2025 FSC-klagomål mail.docx", "A 38458-2025")</f>
        <v/>
      </c>
      <c r="X691">
        <f>HYPERLINK("https://klasma.github.io/Logging_2482/tillsyn/A 38458-2025 tillsynsbegäran.docx", "A 38458-2025")</f>
        <v/>
      </c>
      <c r="Y691">
        <f>HYPERLINK("https://klasma.github.io/Logging_2482/tillsynsmail/A 38458-2025 tillsynsbegäran mail.docx", "A 38458-2025")</f>
        <v/>
      </c>
    </row>
    <row r="692" ht="15" customHeight="1">
      <c r="A692" t="inlineStr">
        <is>
          <t>A 49550-2025</t>
        </is>
      </c>
      <c r="B692" s="1" t="n">
        <v>45939.44409722222</v>
      </c>
      <c r="C692" s="1" t="n">
        <v>46075</v>
      </c>
      <c r="D692" t="inlineStr">
        <is>
          <t>VÄSTERBOTTENS LÄN</t>
        </is>
      </c>
      <c r="E692" t="inlineStr">
        <is>
          <t>LYCKSELE</t>
        </is>
      </c>
      <c r="F692" t="inlineStr">
        <is>
          <t>Sveaskog</t>
        </is>
      </c>
      <c r="G692" t="n">
        <v>4.5</v>
      </c>
      <c r="H692" t="n">
        <v>0</v>
      </c>
      <c r="I692" t="n">
        <v>0</v>
      </c>
      <c r="J692" t="n">
        <v>2</v>
      </c>
      <c r="K692" t="n">
        <v>0</v>
      </c>
      <c r="L692" t="n">
        <v>0</v>
      </c>
      <c r="M692" t="n">
        <v>0</v>
      </c>
      <c r="N692" t="n">
        <v>0</v>
      </c>
      <c r="O692" t="n">
        <v>2</v>
      </c>
      <c r="P692" t="n">
        <v>0</v>
      </c>
      <c r="Q692" t="n">
        <v>2</v>
      </c>
      <c r="R692" s="2" t="inlineStr">
        <is>
          <t>Kolflarnlav
Mörk kolflarnlav</t>
        </is>
      </c>
      <c r="S692">
        <f>HYPERLINK("https://klasma.github.io/Logging_2481/artfynd/A 49550-2025 artfynd.xlsx", "A 49550-2025")</f>
        <v/>
      </c>
      <c r="T692">
        <f>HYPERLINK("https://klasma.github.io/Logging_2481/kartor/A 49550-2025 karta.png", "A 49550-2025")</f>
        <v/>
      </c>
      <c r="V692">
        <f>HYPERLINK("https://klasma.github.io/Logging_2481/klagomål/A 49550-2025 FSC-klagomål.docx", "A 49550-2025")</f>
        <v/>
      </c>
      <c r="W692">
        <f>HYPERLINK("https://klasma.github.io/Logging_2481/klagomålsmail/A 49550-2025 FSC-klagomål mail.docx", "A 49550-2025")</f>
        <v/>
      </c>
      <c r="X692">
        <f>HYPERLINK("https://klasma.github.io/Logging_2481/tillsyn/A 49550-2025 tillsynsbegäran.docx", "A 49550-2025")</f>
        <v/>
      </c>
      <c r="Y692">
        <f>HYPERLINK("https://klasma.github.io/Logging_2481/tillsynsmail/A 49550-2025 tillsynsbegäran mail.docx", "A 49550-2025")</f>
        <v/>
      </c>
    </row>
    <row r="693" ht="15" customHeight="1">
      <c r="A693" t="inlineStr">
        <is>
          <t>A 49740-2025</t>
        </is>
      </c>
      <c r="B693" s="1" t="n">
        <v>45940.33377314815</v>
      </c>
      <c r="C693" s="1" t="n">
        <v>46075</v>
      </c>
      <c r="D693" t="inlineStr">
        <is>
          <t>VÄSTERBOTTENS LÄN</t>
        </is>
      </c>
      <c r="E693" t="inlineStr">
        <is>
          <t>LYCKSELE</t>
        </is>
      </c>
      <c r="F693" t="inlineStr">
        <is>
          <t>Sveaskog</t>
        </is>
      </c>
      <c r="G693" t="n">
        <v>13.8</v>
      </c>
      <c r="H693" t="n">
        <v>0</v>
      </c>
      <c r="I693" t="n">
        <v>0</v>
      </c>
      <c r="J693" t="n">
        <v>2</v>
      </c>
      <c r="K693" t="n">
        <v>0</v>
      </c>
      <c r="L693" t="n">
        <v>0</v>
      </c>
      <c r="M693" t="n">
        <v>0</v>
      </c>
      <c r="N693" t="n">
        <v>0</v>
      </c>
      <c r="O693" t="n">
        <v>2</v>
      </c>
      <c r="P693" t="n">
        <v>0</v>
      </c>
      <c r="Q693" t="n">
        <v>2</v>
      </c>
      <c r="R693" s="2" t="inlineStr">
        <is>
          <t>Kolflarnlav
Mörk kolflarnlav</t>
        </is>
      </c>
      <c r="S693">
        <f>HYPERLINK("https://klasma.github.io/Logging_2481/artfynd/A 49740-2025 artfynd.xlsx", "A 49740-2025")</f>
        <v/>
      </c>
      <c r="T693">
        <f>HYPERLINK("https://klasma.github.io/Logging_2481/kartor/A 49740-2025 karta.png", "A 49740-2025")</f>
        <v/>
      </c>
      <c r="V693">
        <f>HYPERLINK("https://klasma.github.io/Logging_2481/klagomål/A 49740-2025 FSC-klagomål.docx", "A 49740-2025")</f>
        <v/>
      </c>
      <c r="W693">
        <f>HYPERLINK("https://klasma.github.io/Logging_2481/klagomålsmail/A 49740-2025 FSC-klagomål mail.docx", "A 49740-2025")</f>
        <v/>
      </c>
      <c r="X693">
        <f>HYPERLINK("https://klasma.github.io/Logging_2481/tillsyn/A 49740-2025 tillsynsbegäran.docx", "A 49740-2025")</f>
        <v/>
      </c>
      <c r="Y693">
        <f>HYPERLINK("https://klasma.github.io/Logging_2481/tillsynsmail/A 49740-2025 tillsynsbegäran mail.docx", "A 49740-2025")</f>
        <v/>
      </c>
    </row>
    <row r="694" ht="15" customHeight="1">
      <c r="A694" t="inlineStr">
        <is>
          <t>A 50461-2025</t>
        </is>
      </c>
      <c r="B694" s="1" t="n">
        <v>45945.34506944445</v>
      </c>
      <c r="C694" s="1" t="n">
        <v>46075</v>
      </c>
      <c r="D694" t="inlineStr">
        <is>
          <t>VÄSTERBOTTENS LÄN</t>
        </is>
      </c>
      <c r="E694" t="inlineStr">
        <is>
          <t>VINDELN</t>
        </is>
      </c>
      <c r="G694" t="n">
        <v>11.8</v>
      </c>
      <c r="H694" t="n">
        <v>0</v>
      </c>
      <c r="I694" t="n">
        <v>1</v>
      </c>
      <c r="J694" t="n">
        <v>1</v>
      </c>
      <c r="K694" t="n">
        <v>0</v>
      </c>
      <c r="L694" t="n">
        <v>0</v>
      </c>
      <c r="M694" t="n">
        <v>0</v>
      </c>
      <c r="N694" t="n">
        <v>0</v>
      </c>
      <c r="O694" t="n">
        <v>1</v>
      </c>
      <c r="P694" t="n">
        <v>0</v>
      </c>
      <c r="Q694" t="n">
        <v>2</v>
      </c>
      <c r="R694" s="2" t="inlineStr">
        <is>
          <t>Blå taggsvamp
Mindre märgborre</t>
        </is>
      </c>
      <c r="S694">
        <f>HYPERLINK("https://klasma.github.io/Logging_2404/artfynd/A 50461-2025 artfynd.xlsx", "A 50461-2025")</f>
        <v/>
      </c>
      <c r="T694">
        <f>HYPERLINK("https://klasma.github.io/Logging_2404/kartor/A 50461-2025 karta.png", "A 50461-2025")</f>
        <v/>
      </c>
      <c r="V694">
        <f>HYPERLINK("https://klasma.github.io/Logging_2404/klagomål/A 50461-2025 FSC-klagomål.docx", "A 50461-2025")</f>
        <v/>
      </c>
      <c r="W694">
        <f>HYPERLINK("https://klasma.github.io/Logging_2404/klagomålsmail/A 50461-2025 FSC-klagomål mail.docx", "A 50461-2025")</f>
        <v/>
      </c>
      <c r="X694">
        <f>HYPERLINK("https://klasma.github.io/Logging_2404/tillsyn/A 50461-2025 tillsynsbegäran.docx", "A 50461-2025")</f>
        <v/>
      </c>
      <c r="Y694">
        <f>HYPERLINK("https://klasma.github.io/Logging_2404/tillsynsmail/A 50461-2025 tillsynsbegäran mail.docx", "A 50461-2025")</f>
        <v/>
      </c>
    </row>
    <row r="695" ht="15" customHeight="1">
      <c r="A695" t="inlineStr">
        <is>
          <t>A 65586-2021</t>
        </is>
      </c>
      <c r="B695" s="1" t="n">
        <v>44518</v>
      </c>
      <c r="C695" s="1" t="n">
        <v>46075</v>
      </c>
      <c r="D695" t="inlineStr">
        <is>
          <t>VÄSTERBOTTENS LÄN</t>
        </is>
      </c>
      <c r="E695" t="inlineStr">
        <is>
          <t>VILHELMINA</t>
        </is>
      </c>
      <c r="G695" t="n">
        <v>38</v>
      </c>
      <c r="H695" t="n">
        <v>2</v>
      </c>
      <c r="I695" t="n">
        <v>0</v>
      </c>
      <c r="J695" t="n">
        <v>1</v>
      </c>
      <c r="K695" t="n">
        <v>1</v>
      </c>
      <c r="L695" t="n">
        <v>0</v>
      </c>
      <c r="M695" t="n">
        <v>0</v>
      </c>
      <c r="N695" t="n">
        <v>0</v>
      </c>
      <c r="O695" t="n">
        <v>2</v>
      </c>
      <c r="P695" t="n">
        <v>1</v>
      </c>
      <c r="Q695" t="n">
        <v>2</v>
      </c>
      <c r="R695" s="2" t="inlineStr">
        <is>
          <t>Lappuggla
Tretåig hackspett</t>
        </is>
      </c>
      <c r="S695">
        <f>HYPERLINK("https://klasma.github.io/Logging_2462/artfynd/A 65586-2021 artfynd.xlsx", "A 65586-2021")</f>
        <v/>
      </c>
      <c r="T695">
        <f>HYPERLINK("https://klasma.github.io/Logging_2462/kartor/A 65586-2021 karta.png", "A 65586-2021")</f>
        <v/>
      </c>
      <c r="V695">
        <f>HYPERLINK("https://klasma.github.io/Logging_2462/klagomål/A 65586-2021 FSC-klagomål.docx", "A 65586-2021")</f>
        <v/>
      </c>
      <c r="W695">
        <f>HYPERLINK("https://klasma.github.io/Logging_2462/klagomålsmail/A 65586-2021 FSC-klagomål mail.docx", "A 65586-2021")</f>
        <v/>
      </c>
      <c r="X695">
        <f>HYPERLINK("https://klasma.github.io/Logging_2462/tillsyn/A 65586-2021 tillsynsbegäran.docx", "A 65586-2021")</f>
        <v/>
      </c>
      <c r="Y695">
        <f>HYPERLINK("https://klasma.github.io/Logging_2462/tillsynsmail/A 65586-2021 tillsynsbegäran mail.docx", "A 65586-2021")</f>
        <v/>
      </c>
      <c r="Z695">
        <f>HYPERLINK("https://klasma.github.io/Logging_2462/fåglar/A 65586-2021 prioriterade fågelarter.docx", "A 65586-2021")</f>
        <v/>
      </c>
    </row>
    <row r="696" ht="15" customHeight="1">
      <c r="A696" t="inlineStr">
        <is>
          <t>A 38475-2023</t>
        </is>
      </c>
      <c r="B696" s="1" t="n">
        <v>45162.4615625</v>
      </c>
      <c r="C696" s="1" t="n">
        <v>46075</v>
      </c>
      <c r="D696" t="inlineStr">
        <is>
          <t>VÄSTERBOTTENS LÄN</t>
        </is>
      </c>
      <c r="E696" t="inlineStr">
        <is>
          <t>LYCKSELE</t>
        </is>
      </c>
      <c r="F696" t="inlineStr">
        <is>
          <t>Sveaskog</t>
        </is>
      </c>
      <c r="G696" t="n">
        <v>1.6</v>
      </c>
      <c r="H696" t="n">
        <v>0</v>
      </c>
      <c r="I696" t="n">
        <v>0</v>
      </c>
      <c r="J696" t="n">
        <v>2</v>
      </c>
      <c r="K696" t="n">
        <v>0</v>
      </c>
      <c r="L696" t="n">
        <v>0</v>
      </c>
      <c r="M696" t="n">
        <v>0</v>
      </c>
      <c r="N696" t="n">
        <v>0</v>
      </c>
      <c r="O696" t="n">
        <v>2</v>
      </c>
      <c r="P696" t="n">
        <v>0</v>
      </c>
      <c r="Q696" t="n">
        <v>2</v>
      </c>
      <c r="R696" s="2" t="inlineStr">
        <is>
          <t>Blå taggsvamp
Mörk kolflarnlav</t>
        </is>
      </c>
      <c r="S696">
        <f>HYPERLINK("https://klasma.github.io/Logging_2481/artfynd/A 38475-2023 artfynd.xlsx", "A 38475-2023")</f>
        <v/>
      </c>
      <c r="T696">
        <f>HYPERLINK("https://klasma.github.io/Logging_2481/kartor/A 38475-2023 karta.png", "A 38475-2023")</f>
        <v/>
      </c>
      <c r="V696">
        <f>HYPERLINK("https://klasma.github.io/Logging_2481/klagomål/A 38475-2023 FSC-klagomål.docx", "A 38475-2023")</f>
        <v/>
      </c>
      <c r="W696">
        <f>HYPERLINK("https://klasma.github.io/Logging_2481/klagomålsmail/A 38475-2023 FSC-klagomål mail.docx", "A 38475-2023")</f>
        <v/>
      </c>
      <c r="X696">
        <f>HYPERLINK("https://klasma.github.io/Logging_2481/tillsyn/A 38475-2023 tillsynsbegäran.docx", "A 38475-2023")</f>
        <v/>
      </c>
      <c r="Y696">
        <f>HYPERLINK("https://klasma.github.io/Logging_2481/tillsynsmail/A 38475-2023 tillsynsbegäran mail.docx", "A 38475-2023")</f>
        <v/>
      </c>
    </row>
    <row r="697" ht="15" customHeight="1">
      <c r="A697" t="inlineStr">
        <is>
          <t>A 1278-2024</t>
        </is>
      </c>
      <c r="B697" s="1" t="n">
        <v>45302</v>
      </c>
      <c r="C697" s="1" t="n">
        <v>46075</v>
      </c>
      <c r="D697" t="inlineStr">
        <is>
          <t>VÄSTERBOTTENS LÄN</t>
        </is>
      </c>
      <c r="E697" t="inlineStr">
        <is>
          <t>DOROTEA</t>
        </is>
      </c>
      <c r="F697" t="inlineStr">
        <is>
          <t>SCA</t>
        </is>
      </c>
      <c r="G697" t="n">
        <v>1.3</v>
      </c>
      <c r="H697" t="n">
        <v>0</v>
      </c>
      <c r="I697" t="n">
        <v>0</v>
      </c>
      <c r="J697" t="n">
        <v>1</v>
      </c>
      <c r="K697" t="n">
        <v>1</v>
      </c>
      <c r="L697" t="n">
        <v>0</v>
      </c>
      <c r="M697" t="n">
        <v>0</v>
      </c>
      <c r="N697" t="n">
        <v>0</v>
      </c>
      <c r="O697" t="n">
        <v>2</v>
      </c>
      <c r="P697" t="n">
        <v>1</v>
      </c>
      <c r="Q697" t="n">
        <v>2</v>
      </c>
      <c r="R697" s="2" t="inlineStr">
        <is>
          <t>Gräddticka
Granticka</t>
        </is>
      </c>
      <c r="S697">
        <f>HYPERLINK("https://klasma.github.io/Logging_2425/artfynd/A 1278-2024 artfynd.xlsx", "A 1278-2024")</f>
        <v/>
      </c>
      <c r="T697">
        <f>HYPERLINK("https://klasma.github.io/Logging_2425/kartor/A 1278-2024 karta.png", "A 1278-2024")</f>
        <v/>
      </c>
      <c r="V697">
        <f>HYPERLINK("https://klasma.github.io/Logging_2425/klagomål/A 1278-2024 FSC-klagomål.docx", "A 1278-2024")</f>
        <v/>
      </c>
      <c r="W697">
        <f>HYPERLINK("https://klasma.github.io/Logging_2425/klagomålsmail/A 1278-2024 FSC-klagomål mail.docx", "A 1278-2024")</f>
        <v/>
      </c>
      <c r="X697">
        <f>HYPERLINK("https://klasma.github.io/Logging_2425/tillsyn/A 1278-2024 tillsynsbegäran.docx", "A 1278-2024")</f>
        <v/>
      </c>
      <c r="Y697">
        <f>HYPERLINK("https://klasma.github.io/Logging_2425/tillsynsmail/A 1278-2024 tillsynsbegäran mail.docx", "A 1278-2024")</f>
        <v/>
      </c>
    </row>
    <row r="698" ht="15" customHeight="1">
      <c r="A698" t="inlineStr">
        <is>
          <t>A 51285-2025</t>
        </is>
      </c>
      <c r="B698" s="1" t="n">
        <v>45950.34473379629</v>
      </c>
      <c r="C698" s="1" t="n">
        <v>46075</v>
      </c>
      <c r="D698" t="inlineStr">
        <is>
          <t>VÄSTERBOTTENS LÄN</t>
        </is>
      </c>
      <c r="E698" t="inlineStr">
        <is>
          <t>SKELLEFTEÅ</t>
        </is>
      </c>
      <c r="F698" t="inlineStr">
        <is>
          <t>SCA</t>
        </is>
      </c>
      <c r="G698" t="n">
        <v>2.4</v>
      </c>
      <c r="H698" t="n">
        <v>0</v>
      </c>
      <c r="I698" t="n">
        <v>1</v>
      </c>
      <c r="J698" t="n">
        <v>1</v>
      </c>
      <c r="K698" t="n">
        <v>0</v>
      </c>
      <c r="L698" t="n">
        <v>0</v>
      </c>
      <c r="M698" t="n">
        <v>0</v>
      </c>
      <c r="N698" t="n">
        <v>0</v>
      </c>
      <c r="O698" t="n">
        <v>1</v>
      </c>
      <c r="P698" t="n">
        <v>0</v>
      </c>
      <c r="Q698" t="n">
        <v>2</v>
      </c>
      <c r="R698" s="2" t="inlineStr">
        <is>
          <t>Blå taggsvamp
Skarp dropptaggsvamp</t>
        </is>
      </c>
      <c r="S698">
        <f>HYPERLINK("https://klasma.github.io/Logging_2482/artfynd/A 51285-2025 artfynd.xlsx", "A 51285-2025")</f>
        <v/>
      </c>
      <c r="T698">
        <f>HYPERLINK("https://klasma.github.io/Logging_2482/kartor/A 51285-2025 karta.png", "A 51285-2025")</f>
        <v/>
      </c>
      <c r="V698">
        <f>HYPERLINK("https://klasma.github.io/Logging_2482/klagomål/A 51285-2025 FSC-klagomål.docx", "A 51285-2025")</f>
        <v/>
      </c>
      <c r="W698">
        <f>HYPERLINK("https://klasma.github.io/Logging_2482/klagomålsmail/A 51285-2025 FSC-klagomål mail.docx", "A 51285-2025")</f>
        <v/>
      </c>
      <c r="X698">
        <f>HYPERLINK("https://klasma.github.io/Logging_2482/tillsyn/A 51285-2025 tillsynsbegäran.docx", "A 51285-2025")</f>
        <v/>
      </c>
      <c r="Y698">
        <f>HYPERLINK("https://klasma.github.io/Logging_2482/tillsynsmail/A 51285-2025 tillsynsbegäran mail.docx", "A 51285-2025")</f>
        <v/>
      </c>
    </row>
    <row r="699" ht="15" customHeight="1">
      <c r="A699" t="inlineStr">
        <is>
          <t>A 38052-2024</t>
        </is>
      </c>
      <c r="B699" s="1" t="n">
        <v>45544.70700231481</v>
      </c>
      <c r="C699" s="1" t="n">
        <v>46075</v>
      </c>
      <c r="D699" t="inlineStr">
        <is>
          <t>VÄSTERBOTTENS LÄN</t>
        </is>
      </c>
      <c r="E699" t="inlineStr">
        <is>
          <t>NORSJÖ</t>
        </is>
      </c>
      <c r="F699" t="inlineStr">
        <is>
          <t>Holmen skog AB</t>
        </is>
      </c>
      <c r="G699" t="n">
        <v>3.4</v>
      </c>
      <c r="H699" t="n">
        <v>1</v>
      </c>
      <c r="I699" t="n">
        <v>0</v>
      </c>
      <c r="J699" t="n">
        <v>1</v>
      </c>
      <c r="K699" t="n">
        <v>0</v>
      </c>
      <c r="L699" t="n">
        <v>0</v>
      </c>
      <c r="M699" t="n">
        <v>0</v>
      </c>
      <c r="N699" t="n">
        <v>0</v>
      </c>
      <c r="O699" t="n">
        <v>1</v>
      </c>
      <c r="P699" t="n">
        <v>0</v>
      </c>
      <c r="Q699" t="n">
        <v>2</v>
      </c>
      <c r="R699" s="2" t="inlineStr">
        <is>
          <t>Garnlav
Fläcknycklar</t>
        </is>
      </c>
      <c r="S699">
        <f>HYPERLINK("https://klasma.github.io/Logging_2417/artfynd/A 38052-2024 artfynd.xlsx", "A 38052-2024")</f>
        <v/>
      </c>
      <c r="T699">
        <f>HYPERLINK("https://klasma.github.io/Logging_2417/kartor/A 38052-2024 karta.png", "A 38052-2024")</f>
        <v/>
      </c>
      <c r="V699">
        <f>HYPERLINK("https://klasma.github.io/Logging_2417/klagomål/A 38052-2024 FSC-klagomål.docx", "A 38052-2024")</f>
        <v/>
      </c>
      <c r="W699">
        <f>HYPERLINK("https://klasma.github.io/Logging_2417/klagomålsmail/A 38052-2024 FSC-klagomål mail.docx", "A 38052-2024")</f>
        <v/>
      </c>
      <c r="X699">
        <f>HYPERLINK("https://klasma.github.io/Logging_2417/tillsyn/A 38052-2024 tillsynsbegäran.docx", "A 38052-2024")</f>
        <v/>
      </c>
      <c r="Y699">
        <f>HYPERLINK("https://klasma.github.io/Logging_2417/tillsynsmail/A 38052-2024 tillsynsbegäran mail.docx", "A 38052-2024")</f>
        <v/>
      </c>
    </row>
    <row r="700" ht="15" customHeight="1">
      <c r="A700" t="inlineStr">
        <is>
          <t>A 51838-2025</t>
        </is>
      </c>
      <c r="B700" s="1" t="n">
        <v>45952.34454861111</v>
      </c>
      <c r="C700" s="1" t="n">
        <v>46075</v>
      </c>
      <c r="D700" t="inlineStr">
        <is>
          <t>VÄSTERBOTTENS LÄN</t>
        </is>
      </c>
      <c r="E700" t="inlineStr">
        <is>
          <t>ÅSELE</t>
        </is>
      </c>
      <c r="F700" t="inlineStr">
        <is>
          <t>SCA</t>
        </is>
      </c>
      <c r="G700" t="n">
        <v>1.4</v>
      </c>
      <c r="H700" t="n">
        <v>0</v>
      </c>
      <c r="I700" t="n">
        <v>0</v>
      </c>
      <c r="J700" t="n">
        <v>2</v>
      </c>
      <c r="K700" t="n">
        <v>0</v>
      </c>
      <c r="L700" t="n">
        <v>0</v>
      </c>
      <c r="M700" t="n">
        <v>0</v>
      </c>
      <c r="N700" t="n">
        <v>0</v>
      </c>
      <c r="O700" t="n">
        <v>2</v>
      </c>
      <c r="P700" t="n">
        <v>0</v>
      </c>
      <c r="Q700" t="n">
        <v>2</v>
      </c>
      <c r="R700" s="2" t="inlineStr">
        <is>
          <t>Gammelgransskål
Granticka</t>
        </is>
      </c>
      <c r="S700">
        <f>HYPERLINK("https://klasma.github.io/Logging_2463/artfynd/A 51838-2025 artfynd.xlsx", "A 51838-2025")</f>
        <v/>
      </c>
      <c r="T700">
        <f>HYPERLINK("https://klasma.github.io/Logging_2463/kartor/A 51838-2025 karta.png", "A 51838-2025")</f>
        <v/>
      </c>
      <c r="V700">
        <f>HYPERLINK("https://klasma.github.io/Logging_2463/klagomål/A 51838-2025 FSC-klagomål.docx", "A 51838-2025")</f>
        <v/>
      </c>
      <c r="W700">
        <f>HYPERLINK("https://klasma.github.io/Logging_2463/klagomålsmail/A 51838-2025 FSC-klagomål mail.docx", "A 51838-2025")</f>
        <v/>
      </c>
      <c r="X700">
        <f>HYPERLINK("https://klasma.github.io/Logging_2463/tillsyn/A 51838-2025 tillsynsbegäran.docx", "A 51838-2025")</f>
        <v/>
      </c>
      <c r="Y700">
        <f>HYPERLINK("https://klasma.github.io/Logging_2463/tillsynsmail/A 51838-2025 tillsynsbegäran mail.docx", "A 51838-2025")</f>
        <v/>
      </c>
    </row>
    <row r="701" ht="15" customHeight="1">
      <c r="A701" t="inlineStr">
        <is>
          <t>A 52285-2025</t>
        </is>
      </c>
      <c r="B701" s="1" t="n">
        <v>45953.57572916667</v>
      </c>
      <c r="C701" s="1" t="n">
        <v>46075</v>
      </c>
      <c r="D701" t="inlineStr">
        <is>
          <t>VÄSTERBOTTENS LÄN</t>
        </is>
      </c>
      <c r="E701" t="inlineStr">
        <is>
          <t>LYCKSELE</t>
        </is>
      </c>
      <c r="F701" t="inlineStr">
        <is>
          <t>Sveaskog</t>
        </is>
      </c>
      <c r="G701" t="n">
        <v>4.3</v>
      </c>
      <c r="H701" t="n">
        <v>0</v>
      </c>
      <c r="I701" t="n">
        <v>0</v>
      </c>
      <c r="J701" t="n">
        <v>2</v>
      </c>
      <c r="K701" t="n">
        <v>0</v>
      </c>
      <c r="L701" t="n">
        <v>0</v>
      </c>
      <c r="M701" t="n">
        <v>0</v>
      </c>
      <c r="N701" t="n">
        <v>0</v>
      </c>
      <c r="O701" t="n">
        <v>2</v>
      </c>
      <c r="P701" t="n">
        <v>0</v>
      </c>
      <c r="Q701" t="n">
        <v>2</v>
      </c>
      <c r="R701" s="2" t="inlineStr">
        <is>
          <t>Kolflarnlav
Mörk kolflarnlav</t>
        </is>
      </c>
      <c r="S701">
        <f>HYPERLINK("https://klasma.github.io/Logging_2481/artfynd/A 52285-2025 artfynd.xlsx", "A 52285-2025")</f>
        <v/>
      </c>
      <c r="T701">
        <f>HYPERLINK("https://klasma.github.io/Logging_2481/kartor/A 52285-2025 karta.png", "A 52285-2025")</f>
        <v/>
      </c>
      <c r="V701">
        <f>HYPERLINK("https://klasma.github.io/Logging_2481/klagomål/A 52285-2025 FSC-klagomål.docx", "A 52285-2025")</f>
        <v/>
      </c>
      <c r="W701">
        <f>HYPERLINK("https://klasma.github.io/Logging_2481/klagomålsmail/A 52285-2025 FSC-klagomål mail.docx", "A 52285-2025")</f>
        <v/>
      </c>
      <c r="X701">
        <f>HYPERLINK("https://klasma.github.io/Logging_2481/tillsyn/A 52285-2025 tillsynsbegäran.docx", "A 52285-2025")</f>
        <v/>
      </c>
      <c r="Y701">
        <f>HYPERLINK("https://klasma.github.io/Logging_2481/tillsynsmail/A 52285-2025 tillsynsbegäran mail.docx", "A 52285-2025")</f>
        <v/>
      </c>
    </row>
    <row r="702" ht="15" customHeight="1">
      <c r="A702" t="inlineStr">
        <is>
          <t>A 52630-2025</t>
        </is>
      </c>
      <c r="B702" s="1" t="n">
        <v>45953</v>
      </c>
      <c r="C702" s="1" t="n">
        <v>46075</v>
      </c>
      <c r="D702" t="inlineStr">
        <is>
          <t>VÄSTERBOTTENS LÄN</t>
        </is>
      </c>
      <c r="E702" t="inlineStr">
        <is>
          <t>SKELLEFTEÅ</t>
        </is>
      </c>
      <c r="G702" t="n">
        <v>3.9</v>
      </c>
      <c r="H702" t="n">
        <v>2</v>
      </c>
      <c r="I702" t="n">
        <v>0</v>
      </c>
      <c r="J702" t="n">
        <v>1</v>
      </c>
      <c r="K702" t="n">
        <v>1</v>
      </c>
      <c r="L702" t="n">
        <v>0</v>
      </c>
      <c r="M702" t="n">
        <v>0</v>
      </c>
      <c r="N702" t="n">
        <v>0</v>
      </c>
      <c r="O702" t="n">
        <v>2</v>
      </c>
      <c r="P702" t="n">
        <v>1</v>
      </c>
      <c r="Q702" t="n">
        <v>2</v>
      </c>
      <c r="R702" s="2" t="inlineStr">
        <is>
          <t>Knärot
Spillkråka</t>
        </is>
      </c>
      <c r="S702">
        <f>HYPERLINK("https://klasma.github.io/Logging_2482/artfynd/A 52630-2025 artfynd.xlsx", "A 52630-2025")</f>
        <v/>
      </c>
      <c r="T702">
        <f>HYPERLINK("https://klasma.github.io/Logging_2482/kartor/A 52630-2025 karta.png", "A 52630-2025")</f>
        <v/>
      </c>
      <c r="U702">
        <f>HYPERLINK("https://klasma.github.io/Logging_2482/knärot/A 52630-2025 karta knärot.png", "A 52630-2025")</f>
        <v/>
      </c>
      <c r="V702">
        <f>HYPERLINK("https://klasma.github.io/Logging_2482/klagomål/A 52630-2025 FSC-klagomål.docx", "A 52630-2025")</f>
        <v/>
      </c>
      <c r="W702">
        <f>HYPERLINK("https://klasma.github.io/Logging_2482/klagomålsmail/A 52630-2025 FSC-klagomål mail.docx", "A 52630-2025")</f>
        <v/>
      </c>
      <c r="X702">
        <f>HYPERLINK("https://klasma.github.io/Logging_2482/tillsyn/A 52630-2025 tillsynsbegäran.docx", "A 52630-2025")</f>
        <v/>
      </c>
      <c r="Y702">
        <f>HYPERLINK("https://klasma.github.io/Logging_2482/tillsynsmail/A 52630-2025 tillsynsbegäran mail.docx", "A 52630-2025")</f>
        <v/>
      </c>
      <c r="Z702">
        <f>HYPERLINK("https://klasma.github.io/Logging_2482/fåglar/A 52630-2025 prioriterade fågelarter.docx", "A 52630-2025")</f>
        <v/>
      </c>
    </row>
    <row r="703" ht="15" customHeight="1">
      <c r="A703" t="inlineStr">
        <is>
          <t>A 51951-2025</t>
        </is>
      </c>
      <c r="B703" s="1" t="n">
        <v>45952.53230324074</v>
      </c>
      <c r="C703" s="1" t="n">
        <v>46075</v>
      </c>
      <c r="D703" t="inlineStr">
        <is>
          <t>VÄSTERBOTTENS LÄN</t>
        </is>
      </c>
      <c r="E703" t="inlineStr">
        <is>
          <t>MALÅ</t>
        </is>
      </c>
      <c r="G703" t="n">
        <v>6.6</v>
      </c>
      <c r="H703" t="n">
        <v>0</v>
      </c>
      <c r="I703" t="n">
        <v>0</v>
      </c>
      <c r="J703" t="n">
        <v>2</v>
      </c>
      <c r="K703" t="n">
        <v>0</v>
      </c>
      <c r="L703" t="n">
        <v>0</v>
      </c>
      <c r="M703" t="n">
        <v>0</v>
      </c>
      <c r="N703" t="n">
        <v>0</v>
      </c>
      <c r="O703" t="n">
        <v>2</v>
      </c>
      <c r="P703" t="n">
        <v>0</v>
      </c>
      <c r="Q703" t="n">
        <v>2</v>
      </c>
      <c r="R703" s="2" t="inlineStr">
        <is>
          <t>Garnlav
Ullticka</t>
        </is>
      </c>
      <c r="S703">
        <f>HYPERLINK("https://klasma.github.io/Logging_2418/artfynd/A 51951-2025 artfynd.xlsx", "A 51951-2025")</f>
        <v/>
      </c>
      <c r="T703">
        <f>HYPERLINK("https://klasma.github.io/Logging_2418/kartor/A 51951-2025 karta.png", "A 51951-2025")</f>
        <v/>
      </c>
      <c r="V703">
        <f>HYPERLINK("https://klasma.github.io/Logging_2418/klagomål/A 51951-2025 FSC-klagomål.docx", "A 51951-2025")</f>
        <v/>
      </c>
      <c r="W703">
        <f>HYPERLINK("https://klasma.github.io/Logging_2418/klagomålsmail/A 51951-2025 FSC-klagomål mail.docx", "A 51951-2025")</f>
        <v/>
      </c>
      <c r="X703">
        <f>HYPERLINK("https://klasma.github.io/Logging_2418/tillsyn/A 51951-2025 tillsynsbegäran.docx", "A 51951-2025")</f>
        <v/>
      </c>
      <c r="Y703">
        <f>HYPERLINK("https://klasma.github.io/Logging_2418/tillsynsmail/A 51951-2025 tillsynsbegäran mail.docx", "A 51951-2025")</f>
        <v/>
      </c>
    </row>
    <row r="704" ht="15" customHeight="1">
      <c r="A704" t="inlineStr">
        <is>
          <t>A 57851-2024</t>
        </is>
      </c>
      <c r="B704" s="1" t="n">
        <v>45631</v>
      </c>
      <c r="C704" s="1" t="n">
        <v>46075</v>
      </c>
      <c r="D704" t="inlineStr">
        <is>
          <t>VÄSTERBOTTENS LÄN</t>
        </is>
      </c>
      <c r="E704" t="inlineStr">
        <is>
          <t>SKELLEFTEÅ</t>
        </is>
      </c>
      <c r="F704" t="inlineStr">
        <is>
          <t>Sveaskog</t>
        </is>
      </c>
      <c r="G704" t="n">
        <v>15.7</v>
      </c>
      <c r="H704" t="n">
        <v>2</v>
      </c>
      <c r="I704" t="n">
        <v>0</v>
      </c>
      <c r="J704" t="n">
        <v>0</v>
      </c>
      <c r="K704" t="n">
        <v>0</v>
      </c>
      <c r="L704" t="n">
        <v>0</v>
      </c>
      <c r="M704" t="n">
        <v>0</v>
      </c>
      <c r="N704" t="n">
        <v>0</v>
      </c>
      <c r="O704" t="n">
        <v>0</v>
      </c>
      <c r="P704" t="n">
        <v>0</v>
      </c>
      <c r="Q704" t="n">
        <v>2</v>
      </c>
      <c r="R704" s="2" t="inlineStr">
        <is>
          <t>Fläcknycklar
Revlummer</t>
        </is>
      </c>
      <c r="S704">
        <f>HYPERLINK("https://klasma.github.io/Logging_2482/artfynd/A 57851-2024 artfynd.xlsx", "A 57851-2024")</f>
        <v/>
      </c>
      <c r="T704">
        <f>HYPERLINK("https://klasma.github.io/Logging_2482/kartor/A 57851-2024 karta.png", "A 57851-2024")</f>
        <v/>
      </c>
      <c r="V704">
        <f>HYPERLINK("https://klasma.github.io/Logging_2482/klagomål/A 57851-2024 FSC-klagomål.docx", "A 57851-2024")</f>
        <v/>
      </c>
      <c r="W704">
        <f>HYPERLINK("https://klasma.github.io/Logging_2482/klagomålsmail/A 57851-2024 FSC-klagomål mail.docx", "A 57851-2024")</f>
        <v/>
      </c>
      <c r="X704">
        <f>HYPERLINK("https://klasma.github.io/Logging_2482/tillsyn/A 57851-2024 tillsynsbegäran.docx", "A 57851-2024")</f>
        <v/>
      </c>
      <c r="Y704">
        <f>HYPERLINK("https://klasma.github.io/Logging_2482/tillsynsmail/A 57851-2024 tillsynsbegäran mail.docx", "A 57851-2024")</f>
        <v/>
      </c>
    </row>
    <row r="705" ht="15" customHeight="1">
      <c r="A705" t="inlineStr">
        <is>
          <t>A 52805-2025</t>
        </is>
      </c>
      <c r="B705" s="1" t="n">
        <v>45957.44629629629</v>
      </c>
      <c r="C705" s="1" t="n">
        <v>46075</v>
      </c>
      <c r="D705" t="inlineStr">
        <is>
          <t>VÄSTERBOTTENS LÄN</t>
        </is>
      </c>
      <c r="E705" t="inlineStr">
        <is>
          <t>ROBERTSFORS</t>
        </is>
      </c>
      <c r="G705" t="n">
        <v>7.7</v>
      </c>
      <c r="H705" t="n">
        <v>1</v>
      </c>
      <c r="I705" t="n">
        <v>0</v>
      </c>
      <c r="J705" t="n">
        <v>1</v>
      </c>
      <c r="K705" t="n">
        <v>0</v>
      </c>
      <c r="L705" t="n">
        <v>0</v>
      </c>
      <c r="M705" t="n">
        <v>0</v>
      </c>
      <c r="N705" t="n">
        <v>0</v>
      </c>
      <c r="O705" t="n">
        <v>1</v>
      </c>
      <c r="P705" t="n">
        <v>0</v>
      </c>
      <c r="Q705" t="n">
        <v>2</v>
      </c>
      <c r="R705" s="2" t="inlineStr">
        <is>
          <t>Garnlav
Tjäder</t>
        </is>
      </c>
      <c r="S705">
        <f>HYPERLINK("https://klasma.github.io/Logging_2409/artfynd/A 52805-2025 artfynd.xlsx", "A 52805-2025")</f>
        <v/>
      </c>
      <c r="T705">
        <f>HYPERLINK("https://klasma.github.io/Logging_2409/kartor/A 52805-2025 karta.png", "A 52805-2025")</f>
        <v/>
      </c>
      <c r="V705">
        <f>HYPERLINK("https://klasma.github.io/Logging_2409/klagomål/A 52805-2025 FSC-klagomål.docx", "A 52805-2025")</f>
        <v/>
      </c>
      <c r="W705">
        <f>HYPERLINK("https://klasma.github.io/Logging_2409/klagomålsmail/A 52805-2025 FSC-klagomål mail.docx", "A 52805-2025")</f>
        <v/>
      </c>
      <c r="X705">
        <f>HYPERLINK("https://klasma.github.io/Logging_2409/tillsyn/A 52805-2025 tillsynsbegäran.docx", "A 52805-2025")</f>
        <v/>
      </c>
      <c r="Y705">
        <f>HYPERLINK("https://klasma.github.io/Logging_2409/tillsynsmail/A 52805-2025 tillsynsbegäran mail.docx", "A 52805-2025")</f>
        <v/>
      </c>
      <c r="Z705">
        <f>HYPERLINK("https://klasma.github.io/Logging_2409/fåglar/A 52805-2025 prioriterade fågelarter.docx", "A 52805-2025")</f>
        <v/>
      </c>
    </row>
    <row r="706" ht="15" customHeight="1">
      <c r="A706" t="inlineStr">
        <is>
          <t>A 22648-2024</t>
        </is>
      </c>
      <c r="B706" s="1" t="n">
        <v>45447.89238425926</v>
      </c>
      <c r="C706" s="1" t="n">
        <v>46075</v>
      </c>
      <c r="D706" t="inlineStr">
        <is>
          <t>VÄSTERBOTTENS LÄN</t>
        </is>
      </c>
      <c r="E706" t="inlineStr">
        <is>
          <t>VÄNNÄS</t>
        </is>
      </c>
      <c r="F706" t="inlineStr">
        <is>
          <t>Holmen skog AB</t>
        </is>
      </c>
      <c r="G706" t="n">
        <v>5.5</v>
      </c>
      <c r="H706" t="n">
        <v>2</v>
      </c>
      <c r="I706" t="n">
        <v>1</v>
      </c>
      <c r="J706" t="n">
        <v>1</v>
      </c>
      <c r="K706" t="n">
        <v>0</v>
      </c>
      <c r="L706" t="n">
        <v>0</v>
      </c>
      <c r="M706" t="n">
        <v>0</v>
      </c>
      <c r="N706" t="n">
        <v>0</v>
      </c>
      <c r="O706" t="n">
        <v>1</v>
      </c>
      <c r="P706" t="n">
        <v>0</v>
      </c>
      <c r="Q706" t="n">
        <v>2</v>
      </c>
      <c r="R706" s="2" t="inlineStr">
        <is>
          <t>Spillkråka
Spindelblomster</t>
        </is>
      </c>
      <c r="S706">
        <f>HYPERLINK("https://klasma.github.io/Logging_2460/artfynd/A 22648-2024 artfynd.xlsx", "A 22648-2024")</f>
        <v/>
      </c>
      <c r="T706">
        <f>HYPERLINK("https://klasma.github.io/Logging_2460/kartor/A 22648-2024 karta.png", "A 22648-2024")</f>
        <v/>
      </c>
      <c r="V706">
        <f>HYPERLINK("https://klasma.github.io/Logging_2460/klagomål/A 22648-2024 FSC-klagomål.docx", "A 22648-2024")</f>
        <v/>
      </c>
      <c r="W706">
        <f>HYPERLINK("https://klasma.github.io/Logging_2460/klagomålsmail/A 22648-2024 FSC-klagomål mail.docx", "A 22648-2024")</f>
        <v/>
      </c>
      <c r="X706">
        <f>HYPERLINK("https://klasma.github.io/Logging_2460/tillsyn/A 22648-2024 tillsynsbegäran.docx", "A 22648-2024")</f>
        <v/>
      </c>
      <c r="Y706">
        <f>HYPERLINK("https://klasma.github.io/Logging_2460/tillsynsmail/A 22648-2024 tillsynsbegäran mail.docx", "A 22648-2024")</f>
        <v/>
      </c>
      <c r="Z706">
        <f>HYPERLINK("https://klasma.github.io/Logging_2460/fåglar/A 22648-2024 prioriterade fågelarter.docx", "A 22648-2024")</f>
        <v/>
      </c>
    </row>
    <row r="707" ht="15" customHeight="1">
      <c r="A707" t="inlineStr">
        <is>
          <t>A 8715-2024</t>
        </is>
      </c>
      <c r="B707" s="1" t="n">
        <v>45356</v>
      </c>
      <c r="C707" s="1" t="n">
        <v>46075</v>
      </c>
      <c r="D707" t="inlineStr">
        <is>
          <t>VÄSTERBOTTENS LÄN</t>
        </is>
      </c>
      <c r="E707" t="inlineStr">
        <is>
          <t>UMEÅ</t>
        </is>
      </c>
      <c r="G707" t="n">
        <v>6.1</v>
      </c>
      <c r="H707" t="n">
        <v>0</v>
      </c>
      <c r="I707" t="n">
        <v>0</v>
      </c>
      <c r="J707" t="n">
        <v>1</v>
      </c>
      <c r="K707" t="n">
        <v>1</v>
      </c>
      <c r="L707" t="n">
        <v>0</v>
      </c>
      <c r="M707" t="n">
        <v>0</v>
      </c>
      <c r="N707" t="n">
        <v>0</v>
      </c>
      <c r="O707" t="n">
        <v>2</v>
      </c>
      <c r="P707" t="n">
        <v>1</v>
      </c>
      <c r="Q707" t="n">
        <v>2</v>
      </c>
      <c r="R707" s="2" t="inlineStr">
        <is>
          <t>Turkos blåvinge
Garnlav</t>
        </is>
      </c>
      <c r="S707">
        <f>HYPERLINK("https://klasma.github.io/Logging_2480/artfynd/A 8715-2024 artfynd.xlsx", "A 8715-2024")</f>
        <v/>
      </c>
      <c r="T707">
        <f>HYPERLINK("https://klasma.github.io/Logging_2480/kartor/A 8715-2024 karta.png", "A 8715-2024")</f>
        <v/>
      </c>
      <c r="V707">
        <f>HYPERLINK("https://klasma.github.io/Logging_2480/klagomål/A 8715-2024 FSC-klagomål.docx", "A 8715-2024")</f>
        <v/>
      </c>
      <c r="W707">
        <f>HYPERLINK("https://klasma.github.io/Logging_2480/klagomålsmail/A 8715-2024 FSC-klagomål mail.docx", "A 8715-2024")</f>
        <v/>
      </c>
      <c r="X707">
        <f>HYPERLINK("https://klasma.github.io/Logging_2480/tillsyn/A 8715-2024 tillsynsbegäran.docx", "A 8715-2024")</f>
        <v/>
      </c>
      <c r="Y707">
        <f>HYPERLINK("https://klasma.github.io/Logging_2480/tillsynsmail/A 8715-2024 tillsynsbegäran mail.docx", "A 8715-2024")</f>
        <v/>
      </c>
    </row>
    <row r="708" ht="15" customHeight="1">
      <c r="A708" t="inlineStr">
        <is>
          <t>A 53682-2025</t>
        </is>
      </c>
      <c r="B708" s="1" t="n">
        <v>45960.574375</v>
      </c>
      <c r="C708" s="1" t="n">
        <v>46075</v>
      </c>
      <c r="D708" t="inlineStr">
        <is>
          <t>VÄSTERBOTTENS LÄN</t>
        </is>
      </c>
      <c r="E708" t="inlineStr">
        <is>
          <t>ÅSELE</t>
        </is>
      </c>
      <c r="F708" t="inlineStr">
        <is>
          <t>SCA</t>
        </is>
      </c>
      <c r="G708" t="n">
        <v>10.2</v>
      </c>
      <c r="H708" t="n">
        <v>0</v>
      </c>
      <c r="I708" t="n">
        <v>0</v>
      </c>
      <c r="J708" t="n">
        <v>2</v>
      </c>
      <c r="K708" t="n">
        <v>0</v>
      </c>
      <c r="L708" t="n">
        <v>0</v>
      </c>
      <c r="M708" t="n">
        <v>0</v>
      </c>
      <c r="N708" t="n">
        <v>0</v>
      </c>
      <c r="O708" t="n">
        <v>2</v>
      </c>
      <c r="P708" t="n">
        <v>0</v>
      </c>
      <c r="Q708" t="n">
        <v>2</v>
      </c>
      <c r="R708" s="2" t="inlineStr">
        <is>
          <t>Vedflamlav
Vedskivlav</t>
        </is>
      </c>
      <c r="S708">
        <f>HYPERLINK("https://klasma.github.io/Logging_2463/artfynd/A 53682-2025 artfynd.xlsx", "A 53682-2025")</f>
        <v/>
      </c>
      <c r="T708">
        <f>HYPERLINK("https://klasma.github.io/Logging_2463/kartor/A 53682-2025 karta.png", "A 53682-2025")</f>
        <v/>
      </c>
      <c r="V708">
        <f>HYPERLINK("https://klasma.github.io/Logging_2463/klagomål/A 53682-2025 FSC-klagomål.docx", "A 53682-2025")</f>
        <v/>
      </c>
      <c r="W708">
        <f>HYPERLINK("https://klasma.github.io/Logging_2463/klagomålsmail/A 53682-2025 FSC-klagomål mail.docx", "A 53682-2025")</f>
        <v/>
      </c>
      <c r="X708">
        <f>HYPERLINK("https://klasma.github.io/Logging_2463/tillsyn/A 53682-2025 tillsynsbegäran.docx", "A 53682-2025")</f>
        <v/>
      </c>
      <c r="Y708">
        <f>HYPERLINK("https://klasma.github.io/Logging_2463/tillsynsmail/A 53682-2025 tillsynsbegäran mail.docx", "A 53682-2025")</f>
        <v/>
      </c>
    </row>
    <row r="709" ht="15" customHeight="1">
      <c r="A709" t="inlineStr">
        <is>
          <t>A 53650-2025</t>
        </is>
      </c>
      <c r="B709" s="1" t="n">
        <v>45960.5271875</v>
      </c>
      <c r="C709" s="1" t="n">
        <v>46075</v>
      </c>
      <c r="D709" t="inlineStr">
        <is>
          <t>VÄSTERBOTTENS LÄN</t>
        </is>
      </c>
      <c r="E709" t="inlineStr">
        <is>
          <t>LYCKSELE</t>
        </is>
      </c>
      <c r="F709" t="inlineStr">
        <is>
          <t>Sveaskog</t>
        </is>
      </c>
      <c r="G709" t="n">
        <v>19.1</v>
      </c>
      <c r="H709" t="n">
        <v>1</v>
      </c>
      <c r="I709" t="n">
        <v>1</v>
      </c>
      <c r="J709" t="n">
        <v>1</v>
      </c>
      <c r="K709" t="n">
        <v>0</v>
      </c>
      <c r="L709" t="n">
        <v>0</v>
      </c>
      <c r="M709" t="n">
        <v>0</v>
      </c>
      <c r="N709" t="n">
        <v>0</v>
      </c>
      <c r="O709" t="n">
        <v>1</v>
      </c>
      <c r="P709" t="n">
        <v>0</v>
      </c>
      <c r="Q709" t="n">
        <v>2</v>
      </c>
      <c r="R709" s="2" t="inlineStr">
        <is>
          <t>Tretåig hackspett
Luddlav</t>
        </is>
      </c>
      <c r="S709">
        <f>HYPERLINK("https://klasma.github.io/Logging_2481/artfynd/A 53650-2025 artfynd.xlsx", "A 53650-2025")</f>
        <v/>
      </c>
      <c r="T709">
        <f>HYPERLINK("https://klasma.github.io/Logging_2481/kartor/A 53650-2025 karta.png", "A 53650-2025")</f>
        <v/>
      </c>
      <c r="V709">
        <f>HYPERLINK("https://klasma.github.io/Logging_2481/klagomål/A 53650-2025 FSC-klagomål.docx", "A 53650-2025")</f>
        <v/>
      </c>
      <c r="W709">
        <f>HYPERLINK("https://klasma.github.io/Logging_2481/klagomålsmail/A 53650-2025 FSC-klagomål mail.docx", "A 53650-2025")</f>
        <v/>
      </c>
      <c r="X709">
        <f>HYPERLINK("https://klasma.github.io/Logging_2481/tillsyn/A 53650-2025 tillsynsbegäran.docx", "A 53650-2025")</f>
        <v/>
      </c>
      <c r="Y709">
        <f>HYPERLINK("https://klasma.github.io/Logging_2481/tillsynsmail/A 53650-2025 tillsynsbegäran mail.docx", "A 53650-2025")</f>
        <v/>
      </c>
      <c r="Z709">
        <f>HYPERLINK("https://klasma.github.io/Logging_2481/fåglar/A 53650-2025 prioriterade fågelarter.docx", "A 53650-2025")</f>
        <v/>
      </c>
    </row>
    <row r="710" ht="15" customHeight="1">
      <c r="A710" t="inlineStr">
        <is>
          <t>A 49250-2024</t>
        </is>
      </c>
      <c r="B710" s="1" t="n">
        <v>45595</v>
      </c>
      <c r="C710" s="1" t="n">
        <v>46075</v>
      </c>
      <c r="D710" t="inlineStr">
        <is>
          <t>VÄSTERBOTTENS LÄN</t>
        </is>
      </c>
      <c r="E710" t="inlineStr">
        <is>
          <t>SORSELE</t>
        </is>
      </c>
      <c r="F710" t="inlineStr">
        <is>
          <t>Sveaskog</t>
        </is>
      </c>
      <c r="G710" t="n">
        <v>19.8</v>
      </c>
      <c r="H710" t="n">
        <v>0</v>
      </c>
      <c r="I710" t="n">
        <v>0</v>
      </c>
      <c r="J710" t="n">
        <v>2</v>
      </c>
      <c r="K710" t="n">
        <v>0</v>
      </c>
      <c r="L710" t="n">
        <v>0</v>
      </c>
      <c r="M710" t="n">
        <v>0</v>
      </c>
      <c r="N710" t="n">
        <v>0</v>
      </c>
      <c r="O710" t="n">
        <v>2</v>
      </c>
      <c r="P710" t="n">
        <v>0</v>
      </c>
      <c r="Q710" t="n">
        <v>2</v>
      </c>
      <c r="R710" s="2" t="inlineStr">
        <is>
          <t>Motaggsvamp
Orange taggsvamp</t>
        </is>
      </c>
      <c r="S710">
        <f>HYPERLINK("https://klasma.github.io/Logging_2422/artfynd/A 49250-2024 artfynd.xlsx", "A 49250-2024")</f>
        <v/>
      </c>
      <c r="T710">
        <f>HYPERLINK("https://klasma.github.io/Logging_2422/kartor/A 49250-2024 karta.png", "A 49250-2024")</f>
        <v/>
      </c>
      <c r="V710">
        <f>HYPERLINK("https://klasma.github.io/Logging_2422/klagomål/A 49250-2024 FSC-klagomål.docx", "A 49250-2024")</f>
        <v/>
      </c>
      <c r="W710">
        <f>HYPERLINK("https://klasma.github.io/Logging_2422/klagomålsmail/A 49250-2024 FSC-klagomål mail.docx", "A 49250-2024")</f>
        <v/>
      </c>
      <c r="X710">
        <f>HYPERLINK("https://klasma.github.io/Logging_2422/tillsyn/A 49250-2024 tillsynsbegäran.docx", "A 49250-2024")</f>
        <v/>
      </c>
      <c r="Y710">
        <f>HYPERLINK("https://klasma.github.io/Logging_2422/tillsynsmail/A 49250-2024 tillsynsbegäran mail.docx", "A 49250-2024")</f>
        <v/>
      </c>
    </row>
    <row r="711" ht="15" customHeight="1">
      <c r="A711" t="inlineStr">
        <is>
          <t>A 54277-2025</t>
        </is>
      </c>
      <c r="B711" s="1" t="n">
        <v>45964.69563657408</v>
      </c>
      <c r="C711" s="1" t="n">
        <v>46075</v>
      </c>
      <c r="D711" t="inlineStr">
        <is>
          <t>VÄSTERBOTTENS LÄN</t>
        </is>
      </c>
      <c r="E711" t="inlineStr">
        <is>
          <t>LYCKSELE</t>
        </is>
      </c>
      <c r="G711" t="n">
        <v>5.4</v>
      </c>
      <c r="H711" t="n">
        <v>0</v>
      </c>
      <c r="I711" t="n">
        <v>0</v>
      </c>
      <c r="J711" t="n">
        <v>2</v>
      </c>
      <c r="K711" t="n">
        <v>0</v>
      </c>
      <c r="L711" t="n">
        <v>0</v>
      </c>
      <c r="M711" t="n">
        <v>0</v>
      </c>
      <c r="N711" t="n">
        <v>0</v>
      </c>
      <c r="O711" t="n">
        <v>2</v>
      </c>
      <c r="P711" t="n">
        <v>0</v>
      </c>
      <c r="Q711" t="n">
        <v>2</v>
      </c>
      <c r="R711" s="2" t="inlineStr">
        <is>
          <t>Garnlav
Granticka</t>
        </is>
      </c>
      <c r="S711">
        <f>HYPERLINK("https://klasma.github.io/Logging_2481/artfynd/A 54277-2025 artfynd.xlsx", "A 54277-2025")</f>
        <v/>
      </c>
      <c r="T711">
        <f>HYPERLINK("https://klasma.github.io/Logging_2481/kartor/A 54277-2025 karta.png", "A 54277-2025")</f>
        <v/>
      </c>
      <c r="V711">
        <f>HYPERLINK("https://klasma.github.io/Logging_2481/klagomål/A 54277-2025 FSC-klagomål.docx", "A 54277-2025")</f>
        <v/>
      </c>
      <c r="W711">
        <f>HYPERLINK("https://klasma.github.io/Logging_2481/klagomålsmail/A 54277-2025 FSC-klagomål mail.docx", "A 54277-2025")</f>
        <v/>
      </c>
      <c r="X711">
        <f>HYPERLINK("https://klasma.github.io/Logging_2481/tillsyn/A 54277-2025 tillsynsbegäran.docx", "A 54277-2025")</f>
        <v/>
      </c>
      <c r="Y711">
        <f>HYPERLINK("https://klasma.github.io/Logging_2481/tillsynsmail/A 54277-2025 tillsynsbegäran mail.docx", "A 54277-2025")</f>
        <v/>
      </c>
    </row>
    <row r="712" ht="15" customHeight="1">
      <c r="A712" t="inlineStr">
        <is>
          <t>A 28515-2023</t>
        </is>
      </c>
      <c r="B712" s="1" t="n">
        <v>45103</v>
      </c>
      <c r="C712" s="1" t="n">
        <v>46075</v>
      </c>
      <c r="D712" t="inlineStr">
        <is>
          <t>VÄSTERBOTTENS LÄN</t>
        </is>
      </c>
      <c r="E712" t="inlineStr">
        <is>
          <t>LYCKSELE</t>
        </is>
      </c>
      <c r="F712" t="inlineStr">
        <is>
          <t>Sveaskog</t>
        </is>
      </c>
      <c r="G712" t="n">
        <v>10</v>
      </c>
      <c r="H712" t="n">
        <v>0</v>
      </c>
      <c r="I712" t="n">
        <v>0</v>
      </c>
      <c r="J712" t="n">
        <v>2</v>
      </c>
      <c r="K712" t="n">
        <v>0</v>
      </c>
      <c r="L712" t="n">
        <v>0</v>
      </c>
      <c r="M712" t="n">
        <v>0</v>
      </c>
      <c r="N712" t="n">
        <v>0</v>
      </c>
      <c r="O712" t="n">
        <v>2</v>
      </c>
      <c r="P712" t="n">
        <v>0</v>
      </c>
      <c r="Q712" t="n">
        <v>2</v>
      </c>
      <c r="R712" s="2" t="inlineStr">
        <is>
          <t>Lunglav
Tallticka</t>
        </is>
      </c>
      <c r="S712">
        <f>HYPERLINK("https://klasma.github.io/Logging_2481/artfynd/A 28515-2023 artfynd.xlsx", "A 28515-2023")</f>
        <v/>
      </c>
      <c r="T712">
        <f>HYPERLINK("https://klasma.github.io/Logging_2481/kartor/A 28515-2023 karta.png", "A 28515-2023")</f>
        <v/>
      </c>
      <c r="V712">
        <f>HYPERLINK("https://klasma.github.io/Logging_2481/klagomål/A 28515-2023 FSC-klagomål.docx", "A 28515-2023")</f>
        <v/>
      </c>
      <c r="W712">
        <f>HYPERLINK("https://klasma.github.io/Logging_2481/klagomålsmail/A 28515-2023 FSC-klagomål mail.docx", "A 28515-2023")</f>
        <v/>
      </c>
      <c r="X712">
        <f>HYPERLINK("https://klasma.github.io/Logging_2481/tillsyn/A 28515-2023 tillsynsbegäran.docx", "A 28515-2023")</f>
        <v/>
      </c>
      <c r="Y712">
        <f>HYPERLINK("https://klasma.github.io/Logging_2481/tillsynsmail/A 28515-2023 tillsynsbegäran mail.docx", "A 28515-2023")</f>
        <v/>
      </c>
    </row>
    <row r="713" ht="15" customHeight="1">
      <c r="A713" t="inlineStr">
        <is>
          <t>A 901-2023</t>
        </is>
      </c>
      <c r="B713" s="1" t="n">
        <v>44931.92556712963</v>
      </c>
      <c r="C713" s="1" t="n">
        <v>46075</v>
      </c>
      <c r="D713" t="inlineStr">
        <is>
          <t>VÄSTERBOTTENS LÄN</t>
        </is>
      </c>
      <c r="E713" t="inlineStr">
        <is>
          <t>SKELLEFTEÅ</t>
        </is>
      </c>
      <c r="G713" t="n">
        <v>7.7</v>
      </c>
      <c r="H713" t="n">
        <v>0</v>
      </c>
      <c r="I713" t="n">
        <v>0</v>
      </c>
      <c r="J713" t="n">
        <v>2</v>
      </c>
      <c r="K713" t="n">
        <v>0</v>
      </c>
      <c r="L713" t="n">
        <v>0</v>
      </c>
      <c r="M713" t="n">
        <v>0</v>
      </c>
      <c r="N713" t="n">
        <v>0</v>
      </c>
      <c r="O713" t="n">
        <v>2</v>
      </c>
      <c r="P713" t="n">
        <v>0</v>
      </c>
      <c r="Q713" t="n">
        <v>2</v>
      </c>
      <c r="R713" s="2" t="inlineStr">
        <is>
          <t>Garnlav
Skogshare</t>
        </is>
      </c>
      <c r="S713">
        <f>HYPERLINK("https://klasma.github.io/Logging_2482/artfynd/A 901-2023 artfynd.xlsx", "A 901-2023")</f>
        <v/>
      </c>
      <c r="T713">
        <f>HYPERLINK("https://klasma.github.io/Logging_2482/kartor/A 901-2023 karta.png", "A 901-2023")</f>
        <v/>
      </c>
      <c r="V713">
        <f>HYPERLINK("https://klasma.github.io/Logging_2482/klagomål/A 901-2023 FSC-klagomål.docx", "A 901-2023")</f>
        <v/>
      </c>
      <c r="W713">
        <f>HYPERLINK("https://klasma.github.io/Logging_2482/klagomålsmail/A 901-2023 FSC-klagomål mail.docx", "A 901-2023")</f>
        <v/>
      </c>
      <c r="X713">
        <f>HYPERLINK("https://klasma.github.io/Logging_2482/tillsyn/A 901-2023 tillsynsbegäran.docx", "A 901-2023")</f>
        <v/>
      </c>
      <c r="Y713">
        <f>HYPERLINK("https://klasma.github.io/Logging_2482/tillsynsmail/A 901-2023 tillsynsbegäran mail.docx", "A 901-2023")</f>
        <v/>
      </c>
    </row>
    <row r="714" ht="15" customHeight="1">
      <c r="A714" t="inlineStr">
        <is>
          <t>A 7702-2025</t>
        </is>
      </c>
      <c r="B714" s="1" t="n">
        <v>45706.4094212963</v>
      </c>
      <c r="C714" s="1" t="n">
        <v>46075</v>
      </c>
      <c r="D714" t="inlineStr">
        <is>
          <t>VÄSTERBOTTENS LÄN</t>
        </is>
      </c>
      <c r="E714" t="inlineStr">
        <is>
          <t>LYCKSELE</t>
        </is>
      </c>
      <c r="G714" t="n">
        <v>3.5</v>
      </c>
      <c r="H714" t="n">
        <v>1</v>
      </c>
      <c r="I714" t="n">
        <v>0</v>
      </c>
      <c r="J714" t="n">
        <v>1</v>
      </c>
      <c r="K714" t="n">
        <v>0</v>
      </c>
      <c r="L714" t="n">
        <v>0</v>
      </c>
      <c r="M714" t="n">
        <v>0</v>
      </c>
      <c r="N714" t="n">
        <v>0</v>
      </c>
      <c r="O714" t="n">
        <v>1</v>
      </c>
      <c r="P714" t="n">
        <v>0</v>
      </c>
      <c r="Q714" t="n">
        <v>2</v>
      </c>
      <c r="R714" s="2" t="inlineStr">
        <is>
          <t>Garnlav
Kungsfågel</t>
        </is>
      </c>
      <c r="S714">
        <f>HYPERLINK("https://klasma.github.io/Logging_2481/artfynd/A 7702-2025 artfynd.xlsx", "A 7702-2025")</f>
        <v/>
      </c>
      <c r="T714">
        <f>HYPERLINK("https://klasma.github.io/Logging_2481/kartor/A 7702-2025 karta.png", "A 7702-2025")</f>
        <v/>
      </c>
      <c r="V714">
        <f>HYPERLINK("https://klasma.github.io/Logging_2481/klagomål/A 7702-2025 FSC-klagomål.docx", "A 7702-2025")</f>
        <v/>
      </c>
      <c r="W714">
        <f>HYPERLINK("https://klasma.github.io/Logging_2481/klagomålsmail/A 7702-2025 FSC-klagomål mail.docx", "A 7702-2025")</f>
        <v/>
      </c>
      <c r="X714">
        <f>HYPERLINK("https://klasma.github.io/Logging_2481/tillsyn/A 7702-2025 tillsynsbegäran.docx", "A 7702-2025")</f>
        <v/>
      </c>
      <c r="Y714">
        <f>HYPERLINK("https://klasma.github.io/Logging_2481/tillsynsmail/A 7702-2025 tillsynsbegäran mail.docx", "A 7702-2025")</f>
        <v/>
      </c>
      <c r="Z714">
        <f>HYPERLINK("https://klasma.github.io/Logging_2481/fåglar/A 7702-2025 prioriterade fågelarter.docx", "A 7702-2025")</f>
        <v/>
      </c>
    </row>
    <row r="715" ht="15" customHeight="1">
      <c r="A715" t="inlineStr">
        <is>
          <t>A 57179-2025</t>
        </is>
      </c>
      <c r="B715" s="1" t="n">
        <v>45979.55950231481</v>
      </c>
      <c r="C715" s="1" t="n">
        <v>46075</v>
      </c>
      <c r="D715" t="inlineStr">
        <is>
          <t>VÄSTERBOTTENS LÄN</t>
        </is>
      </c>
      <c r="E715" t="inlineStr">
        <is>
          <t>LYCKSELE</t>
        </is>
      </c>
      <c r="F715" t="inlineStr">
        <is>
          <t>Sveaskog</t>
        </is>
      </c>
      <c r="G715" t="n">
        <v>10.1</v>
      </c>
      <c r="H715" t="n">
        <v>0</v>
      </c>
      <c r="I715" t="n">
        <v>1</v>
      </c>
      <c r="J715" t="n">
        <v>1</v>
      </c>
      <c r="K715" t="n">
        <v>0</v>
      </c>
      <c r="L715" t="n">
        <v>0</v>
      </c>
      <c r="M715" t="n">
        <v>0</v>
      </c>
      <c r="N715" t="n">
        <v>0</v>
      </c>
      <c r="O715" t="n">
        <v>1</v>
      </c>
      <c r="P715" t="n">
        <v>0</v>
      </c>
      <c r="Q715" t="n">
        <v>2</v>
      </c>
      <c r="R715" s="2" t="inlineStr">
        <is>
          <t>Granticka
Strutbräken</t>
        </is>
      </c>
      <c r="S715">
        <f>HYPERLINK("https://klasma.github.io/Logging_2481/artfynd/A 57179-2025 artfynd.xlsx", "A 57179-2025")</f>
        <v/>
      </c>
      <c r="T715">
        <f>HYPERLINK("https://klasma.github.io/Logging_2481/kartor/A 57179-2025 karta.png", "A 57179-2025")</f>
        <v/>
      </c>
      <c r="V715">
        <f>HYPERLINK("https://klasma.github.io/Logging_2481/klagomål/A 57179-2025 FSC-klagomål.docx", "A 57179-2025")</f>
        <v/>
      </c>
      <c r="W715">
        <f>HYPERLINK("https://klasma.github.io/Logging_2481/klagomålsmail/A 57179-2025 FSC-klagomål mail.docx", "A 57179-2025")</f>
        <v/>
      </c>
      <c r="X715">
        <f>HYPERLINK("https://klasma.github.io/Logging_2481/tillsyn/A 57179-2025 tillsynsbegäran.docx", "A 57179-2025")</f>
        <v/>
      </c>
      <c r="Y715">
        <f>HYPERLINK("https://klasma.github.io/Logging_2481/tillsynsmail/A 57179-2025 tillsynsbegäran mail.docx", "A 57179-2025")</f>
        <v/>
      </c>
    </row>
    <row r="716" ht="15" customHeight="1">
      <c r="A716" t="inlineStr">
        <is>
          <t>A 57756-2025</t>
        </is>
      </c>
      <c r="B716" s="1" t="n">
        <v>45981.54915509259</v>
      </c>
      <c r="C716" s="1" t="n">
        <v>46075</v>
      </c>
      <c r="D716" t="inlineStr">
        <is>
          <t>VÄSTERBOTTENS LÄN</t>
        </is>
      </c>
      <c r="E716" t="inlineStr">
        <is>
          <t>NORSJÖ</t>
        </is>
      </c>
      <c r="F716" t="inlineStr">
        <is>
          <t>Sveaskog</t>
        </is>
      </c>
      <c r="G716" t="n">
        <v>16.8</v>
      </c>
      <c r="H716" t="n">
        <v>2</v>
      </c>
      <c r="I716" t="n">
        <v>1</v>
      </c>
      <c r="J716" t="n">
        <v>1</v>
      </c>
      <c r="K716" t="n">
        <v>0</v>
      </c>
      <c r="L716" t="n">
        <v>0</v>
      </c>
      <c r="M716" t="n">
        <v>0</v>
      </c>
      <c r="N716" t="n">
        <v>0</v>
      </c>
      <c r="O716" t="n">
        <v>1</v>
      </c>
      <c r="P716" t="n">
        <v>0</v>
      </c>
      <c r="Q716" t="n">
        <v>2</v>
      </c>
      <c r="R716" s="2" t="inlineStr">
        <is>
          <t>Talltita
Plattlummer</t>
        </is>
      </c>
      <c r="S716">
        <f>HYPERLINK("https://klasma.github.io/Logging_2417/artfynd/A 57756-2025 artfynd.xlsx", "A 57756-2025")</f>
        <v/>
      </c>
      <c r="T716">
        <f>HYPERLINK("https://klasma.github.io/Logging_2417/kartor/A 57756-2025 karta.png", "A 57756-2025")</f>
        <v/>
      </c>
      <c r="V716">
        <f>HYPERLINK("https://klasma.github.io/Logging_2417/klagomål/A 57756-2025 FSC-klagomål.docx", "A 57756-2025")</f>
        <v/>
      </c>
      <c r="W716">
        <f>HYPERLINK("https://klasma.github.io/Logging_2417/klagomålsmail/A 57756-2025 FSC-klagomål mail.docx", "A 57756-2025")</f>
        <v/>
      </c>
      <c r="X716">
        <f>HYPERLINK("https://klasma.github.io/Logging_2417/tillsyn/A 57756-2025 tillsynsbegäran.docx", "A 57756-2025")</f>
        <v/>
      </c>
      <c r="Y716">
        <f>HYPERLINK("https://klasma.github.io/Logging_2417/tillsynsmail/A 57756-2025 tillsynsbegäran mail.docx", "A 57756-2025")</f>
        <v/>
      </c>
      <c r="Z716">
        <f>HYPERLINK("https://klasma.github.io/Logging_2417/fåglar/A 57756-2025 prioriterade fågelarter.docx", "A 57756-2025")</f>
        <v/>
      </c>
    </row>
    <row r="717" ht="15" customHeight="1">
      <c r="A717" t="inlineStr">
        <is>
          <t>A 58115-2025</t>
        </is>
      </c>
      <c r="B717" s="1" t="n">
        <v>45982.60415509259</v>
      </c>
      <c r="C717" s="1" t="n">
        <v>46075</v>
      </c>
      <c r="D717" t="inlineStr">
        <is>
          <t>VÄSTERBOTTENS LÄN</t>
        </is>
      </c>
      <c r="E717" t="inlineStr">
        <is>
          <t>LYCKSELE</t>
        </is>
      </c>
      <c r="G717" t="n">
        <v>20.9</v>
      </c>
      <c r="H717" t="n">
        <v>0</v>
      </c>
      <c r="I717" t="n">
        <v>0</v>
      </c>
      <c r="J717" t="n">
        <v>2</v>
      </c>
      <c r="K717" t="n">
        <v>0</v>
      </c>
      <c r="L717" t="n">
        <v>0</v>
      </c>
      <c r="M717" t="n">
        <v>0</v>
      </c>
      <c r="N717" t="n">
        <v>0</v>
      </c>
      <c r="O717" t="n">
        <v>2</v>
      </c>
      <c r="P717" t="n">
        <v>0</v>
      </c>
      <c r="Q717" t="n">
        <v>2</v>
      </c>
      <c r="R717" s="2" t="inlineStr">
        <is>
          <t>Garnlav
Lunglav</t>
        </is>
      </c>
      <c r="S717">
        <f>HYPERLINK("https://klasma.github.io/Logging_2481/artfynd/A 58115-2025 artfynd.xlsx", "A 58115-2025")</f>
        <v/>
      </c>
      <c r="T717">
        <f>HYPERLINK("https://klasma.github.io/Logging_2481/kartor/A 58115-2025 karta.png", "A 58115-2025")</f>
        <v/>
      </c>
      <c r="V717">
        <f>HYPERLINK("https://klasma.github.io/Logging_2481/klagomål/A 58115-2025 FSC-klagomål.docx", "A 58115-2025")</f>
        <v/>
      </c>
      <c r="W717">
        <f>HYPERLINK("https://klasma.github.io/Logging_2481/klagomålsmail/A 58115-2025 FSC-klagomål mail.docx", "A 58115-2025")</f>
        <v/>
      </c>
      <c r="X717">
        <f>HYPERLINK("https://klasma.github.io/Logging_2481/tillsyn/A 58115-2025 tillsynsbegäran.docx", "A 58115-2025")</f>
        <v/>
      </c>
      <c r="Y717">
        <f>HYPERLINK("https://klasma.github.io/Logging_2481/tillsynsmail/A 58115-2025 tillsynsbegäran mail.docx", "A 58115-2025")</f>
        <v/>
      </c>
    </row>
    <row r="718" ht="15" customHeight="1">
      <c r="A718" t="inlineStr">
        <is>
          <t>A 57969-2025</t>
        </is>
      </c>
      <c r="B718" s="1" t="n">
        <v>45982.38577546296</v>
      </c>
      <c r="C718" s="1" t="n">
        <v>46075</v>
      </c>
      <c r="D718" t="inlineStr">
        <is>
          <t>VÄSTERBOTTENS LÄN</t>
        </is>
      </c>
      <c r="E718" t="inlineStr">
        <is>
          <t>SKELLEFTEÅ</t>
        </is>
      </c>
      <c r="G718" t="n">
        <v>2.6</v>
      </c>
      <c r="H718" t="n">
        <v>1</v>
      </c>
      <c r="I718" t="n">
        <v>1</v>
      </c>
      <c r="J718" t="n">
        <v>0</v>
      </c>
      <c r="K718" t="n">
        <v>0</v>
      </c>
      <c r="L718" t="n">
        <v>0</v>
      </c>
      <c r="M718" t="n">
        <v>0</v>
      </c>
      <c r="N718" t="n">
        <v>0</v>
      </c>
      <c r="O718" t="n">
        <v>0</v>
      </c>
      <c r="P718" t="n">
        <v>0</v>
      </c>
      <c r="Q718" t="n">
        <v>2</v>
      </c>
      <c r="R718" s="2" t="inlineStr">
        <is>
          <t>Björksplintborre
Skogsödla</t>
        </is>
      </c>
      <c r="S718">
        <f>HYPERLINK("https://klasma.github.io/Logging_2482/artfynd/A 57969-2025 artfynd.xlsx", "A 57969-2025")</f>
        <v/>
      </c>
      <c r="T718">
        <f>HYPERLINK("https://klasma.github.io/Logging_2482/kartor/A 57969-2025 karta.png", "A 57969-2025")</f>
        <v/>
      </c>
      <c r="V718">
        <f>HYPERLINK("https://klasma.github.io/Logging_2482/klagomål/A 57969-2025 FSC-klagomål.docx", "A 57969-2025")</f>
        <v/>
      </c>
      <c r="W718">
        <f>HYPERLINK("https://klasma.github.io/Logging_2482/klagomålsmail/A 57969-2025 FSC-klagomål mail.docx", "A 57969-2025")</f>
        <v/>
      </c>
      <c r="X718">
        <f>HYPERLINK("https://klasma.github.io/Logging_2482/tillsyn/A 57969-2025 tillsynsbegäran.docx", "A 57969-2025")</f>
        <v/>
      </c>
      <c r="Y718">
        <f>HYPERLINK("https://klasma.github.io/Logging_2482/tillsynsmail/A 57969-2025 tillsynsbegäran mail.docx", "A 57969-2025")</f>
        <v/>
      </c>
    </row>
    <row r="719" ht="15" customHeight="1">
      <c r="A719" t="inlineStr">
        <is>
          <t>A 58271-2025</t>
        </is>
      </c>
      <c r="B719" s="1" t="n">
        <v>45985.42745370371</v>
      </c>
      <c r="C719" s="1" t="n">
        <v>46075</v>
      </c>
      <c r="D719" t="inlineStr">
        <is>
          <t>VÄSTERBOTTENS LÄN</t>
        </is>
      </c>
      <c r="E719" t="inlineStr">
        <is>
          <t>NORSJÖ</t>
        </is>
      </c>
      <c r="G719" t="n">
        <v>4.2</v>
      </c>
      <c r="H719" t="n">
        <v>0</v>
      </c>
      <c r="I719" t="n">
        <v>0</v>
      </c>
      <c r="J719" t="n">
        <v>2</v>
      </c>
      <c r="K719" t="n">
        <v>0</v>
      </c>
      <c r="L719" t="n">
        <v>0</v>
      </c>
      <c r="M719" t="n">
        <v>0</v>
      </c>
      <c r="N719" t="n">
        <v>0</v>
      </c>
      <c r="O719" t="n">
        <v>2</v>
      </c>
      <c r="P719" t="n">
        <v>0</v>
      </c>
      <c r="Q719" t="n">
        <v>2</v>
      </c>
      <c r="R719" s="2" t="inlineStr">
        <is>
          <t>Garnlav
Granticka</t>
        </is>
      </c>
      <c r="S719">
        <f>HYPERLINK("https://klasma.github.io/Logging_2417/artfynd/A 58271-2025 artfynd.xlsx", "A 58271-2025")</f>
        <v/>
      </c>
      <c r="T719">
        <f>HYPERLINK("https://klasma.github.io/Logging_2417/kartor/A 58271-2025 karta.png", "A 58271-2025")</f>
        <v/>
      </c>
      <c r="V719">
        <f>HYPERLINK("https://klasma.github.io/Logging_2417/klagomål/A 58271-2025 FSC-klagomål.docx", "A 58271-2025")</f>
        <v/>
      </c>
      <c r="W719">
        <f>HYPERLINK("https://klasma.github.io/Logging_2417/klagomålsmail/A 58271-2025 FSC-klagomål mail.docx", "A 58271-2025")</f>
        <v/>
      </c>
      <c r="X719">
        <f>HYPERLINK("https://klasma.github.io/Logging_2417/tillsyn/A 58271-2025 tillsynsbegäran.docx", "A 58271-2025")</f>
        <v/>
      </c>
      <c r="Y719">
        <f>HYPERLINK("https://klasma.github.io/Logging_2417/tillsynsmail/A 58271-2025 tillsynsbegäran mail.docx", "A 58271-2025")</f>
        <v/>
      </c>
    </row>
    <row r="720" ht="15" customHeight="1">
      <c r="A720" t="inlineStr">
        <is>
          <t>A 58693-2025</t>
        </is>
      </c>
      <c r="B720" s="1" t="n">
        <v>45986.58333333334</v>
      </c>
      <c r="C720" s="1" t="n">
        <v>46075</v>
      </c>
      <c r="D720" t="inlineStr">
        <is>
          <t>VÄSTERBOTTENS LÄN</t>
        </is>
      </c>
      <c r="E720" t="inlineStr">
        <is>
          <t>STORUMAN</t>
        </is>
      </c>
      <c r="G720" t="n">
        <v>9.199999999999999</v>
      </c>
      <c r="H720" t="n">
        <v>1</v>
      </c>
      <c r="I720" t="n">
        <v>1</v>
      </c>
      <c r="J720" t="n">
        <v>1</v>
      </c>
      <c r="K720" t="n">
        <v>0</v>
      </c>
      <c r="L720" t="n">
        <v>0</v>
      </c>
      <c r="M720" t="n">
        <v>0</v>
      </c>
      <c r="N720" t="n">
        <v>0</v>
      </c>
      <c r="O720" t="n">
        <v>1</v>
      </c>
      <c r="P720" t="n">
        <v>0</v>
      </c>
      <c r="Q720" t="n">
        <v>2</v>
      </c>
      <c r="R720" s="2" t="inlineStr">
        <is>
          <t>Tretåig hackspett
Vedticka</t>
        </is>
      </c>
      <c r="S720">
        <f>HYPERLINK("https://klasma.github.io/Logging_2421/artfynd/A 58693-2025 artfynd.xlsx", "A 58693-2025")</f>
        <v/>
      </c>
      <c r="T720">
        <f>HYPERLINK("https://klasma.github.io/Logging_2421/kartor/A 58693-2025 karta.png", "A 58693-2025")</f>
        <v/>
      </c>
      <c r="V720">
        <f>HYPERLINK("https://klasma.github.io/Logging_2421/klagomål/A 58693-2025 FSC-klagomål.docx", "A 58693-2025")</f>
        <v/>
      </c>
      <c r="W720">
        <f>HYPERLINK("https://klasma.github.io/Logging_2421/klagomålsmail/A 58693-2025 FSC-klagomål mail.docx", "A 58693-2025")</f>
        <v/>
      </c>
      <c r="X720">
        <f>HYPERLINK("https://klasma.github.io/Logging_2421/tillsyn/A 58693-2025 tillsynsbegäran.docx", "A 58693-2025")</f>
        <v/>
      </c>
      <c r="Y720">
        <f>HYPERLINK("https://klasma.github.io/Logging_2421/tillsynsmail/A 58693-2025 tillsynsbegäran mail.docx", "A 58693-2025")</f>
        <v/>
      </c>
      <c r="Z720">
        <f>HYPERLINK("https://klasma.github.io/Logging_2421/fåglar/A 58693-2025 prioriterade fågelarter.docx", "A 58693-2025")</f>
        <v/>
      </c>
    </row>
    <row r="721" ht="15" customHeight="1">
      <c r="A721" t="inlineStr">
        <is>
          <t>A 60047-2025</t>
        </is>
      </c>
      <c r="B721" s="1" t="n">
        <v>45993.6286574074</v>
      </c>
      <c r="C721" s="1" t="n">
        <v>46075</v>
      </c>
      <c r="D721" t="inlineStr">
        <is>
          <t>VÄSTERBOTTENS LÄN</t>
        </is>
      </c>
      <c r="E721" t="inlineStr">
        <is>
          <t>UMEÅ</t>
        </is>
      </c>
      <c r="F721" t="inlineStr">
        <is>
          <t>Sveaskog</t>
        </is>
      </c>
      <c r="G721" t="n">
        <v>1.6</v>
      </c>
      <c r="H721" t="n">
        <v>0</v>
      </c>
      <c r="I721" t="n">
        <v>1</v>
      </c>
      <c r="J721" t="n">
        <v>1</v>
      </c>
      <c r="K721" t="n">
        <v>0</v>
      </c>
      <c r="L721" t="n">
        <v>0</v>
      </c>
      <c r="M721" t="n">
        <v>0</v>
      </c>
      <c r="N721" t="n">
        <v>0</v>
      </c>
      <c r="O721" t="n">
        <v>1</v>
      </c>
      <c r="P721" t="n">
        <v>0</v>
      </c>
      <c r="Q721" t="n">
        <v>2</v>
      </c>
      <c r="R721" s="2" t="inlineStr">
        <is>
          <t>Kolflarnlav
Dropptaggsvamp</t>
        </is>
      </c>
      <c r="S721">
        <f>HYPERLINK("https://klasma.github.io/Logging_2480/artfynd/A 60047-2025 artfynd.xlsx", "A 60047-2025")</f>
        <v/>
      </c>
      <c r="T721">
        <f>HYPERLINK("https://klasma.github.io/Logging_2480/kartor/A 60047-2025 karta.png", "A 60047-2025")</f>
        <v/>
      </c>
      <c r="V721">
        <f>HYPERLINK("https://klasma.github.io/Logging_2480/klagomål/A 60047-2025 FSC-klagomål.docx", "A 60047-2025")</f>
        <v/>
      </c>
      <c r="W721">
        <f>HYPERLINK("https://klasma.github.io/Logging_2480/klagomålsmail/A 60047-2025 FSC-klagomål mail.docx", "A 60047-2025")</f>
        <v/>
      </c>
      <c r="X721">
        <f>HYPERLINK("https://klasma.github.io/Logging_2480/tillsyn/A 60047-2025 tillsynsbegäran.docx", "A 60047-2025")</f>
        <v/>
      </c>
      <c r="Y721">
        <f>HYPERLINK("https://klasma.github.io/Logging_2480/tillsynsmail/A 60047-2025 tillsynsbegäran mail.docx", "A 60047-2025")</f>
        <v/>
      </c>
    </row>
    <row r="722" ht="15" customHeight="1">
      <c r="A722" t="inlineStr">
        <is>
          <t>A 26190-2024</t>
        </is>
      </c>
      <c r="B722" s="1" t="n">
        <v>45468.5712037037</v>
      </c>
      <c r="C722" s="1" t="n">
        <v>46075</v>
      </c>
      <c r="D722" t="inlineStr">
        <is>
          <t>VÄSTERBOTTENS LÄN</t>
        </is>
      </c>
      <c r="E722" t="inlineStr">
        <is>
          <t>SKELLEFTEÅ</t>
        </is>
      </c>
      <c r="F722" t="inlineStr">
        <is>
          <t>Holmen skog AB</t>
        </is>
      </c>
      <c r="G722" t="n">
        <v>8.199999999999999</v>
      </c>
      <c r="H722" t="n">
        <v>1</v>
      </c>
      <c r="I722" t="n">
        <v>0</v>
      </c>
      <c r="J722" t="n">
        <v>2</v>
      </c>
      <c r="K722" t="n">
        <v>0</v>
      </c>
      <c r="L722" t="n">
        <v>0</v>
      </c>
      <c r="M722" t="n">
        <v>0</v>
      </c>
      <c r="N722" t="n">
        <v>0</v>
      </c>
      <c r="O722" t="n">
        <v>2</v>
      </c>
      <c r="P722" t="n">
        <v>0</v>
      </c>
      <c r="Q722" t="n">
        <v>2</v>
      </c>
      <c r="R722" s="2" t="inlineStr">
        <is>
          <t>Garnlav
Tretåig hackspett</t>
        </is>
      </c>
      <c r="S722">
        <f>HYPERLINK("https://klasma.github.io/Logging_2482/artfynd/A 26190-2024 artfynd.xlsx", "A 26190-2024")</f>
        <v/>
      </c>
      <c r="T722">
        <f>HYPERLINK("https://klasma.github.io/Logging_2482/kartor/A 26190-2024 karta.png", "A 26190-2024")</f>
        <v/>
      </c>
      <c r="V722">
        <f>HYPERLINK("https://klasma.github.io/Logging_2482/klagomål/A 26190-2024 FSC-klagomål.docx", "A 26190-2024")</f>
        <v/>
      </c>
      <c r="W722">
        <f>HYPERLINK("https://klasma.github.io/Logging_2482/klagomålsmail/A 26190-2024 FSC-klagomål mail.docx", "A 26190-2024")</f>
        <v/>
      </c>
      <c r="X722">
        <f>HYPERLINK("https://klasma.github.io/Logging_2482/tillsyn/A 26190-2024 tillsynsbegäran.docx", "A 26190-2024")</f>
        <v/>
      </c>
      <c r="Y722">
        <f>HYPERLINK("https://klasma.github.io/Logging_2482/tillsynsmail/A 26190-2024 tillsynsbegäran mail.docx", "A 26190-2024")</f>
        <v/>
      </c>
      <c r="Z722">
        <f>HYPERLINK("https://klasma.github.io/Logging_2482/fåglar/A 26190-2024 prioriterade fågelarter.docx", "A 26190-2024")</f>
        <v/>
      </c>
    </row>
    <row r="723" ht="15" customHeight="1">
      <c r="A723" t="inlineStr">
        <is>
          <t>A 54779-2024</t>
        </is>
      </c>
      <c r="B723" s="1" t="n">
        <v>45618</v>
      </c>
      <c r="C723" s="1" t="n">
        <v>46075</v>
      </c>
      <c r="D723" t="inlineStr">
        <is>
          <t>VÄSTERBOTTENS LÄN</t>
        </is>
      </c>
      <c r="E723" t="inlineStr">
        <is>
          <t>VILHELMINA</t>
        </is>
      </c>
      <c r="F723" t="inlineStr">
        <is>
          <t>SCA</t>
        </is>
      </c>
      <c r="G723" t="n">
        <v>10.3</v>
      </c>
      <c r="H723" t="n">
        <v>0</v>
      </c>
      <c r="I723" t="n">
        <v>0</v>
      </c>
      <c r="J723" t="n">
        <v>2</v>
      </c>
      <c r="K723" t="n">
        <v>0</v>
      </c>
      <c r="L723" t="n">
        <v>0</v>
      </c>
      <c r="M723" t="n">
        <v>0</v>
      </c>
      <c r="N723" t="n">
        <v>0</v>
      </c>
      <c r="O723" t="n">
        <v>2</v>
      </c>
      <c r="P723" t="n">
        <v>0</v>
      </c>
      <c r="Q723" t="n">
        <v>2</v>
      </c>
      <c r="R723" s="2" t="inlineStr">
        <is>
          <t>Gammelgransskål
Harticka</t>
        </is>
      </c>
      <c r="S723">
        <f>HYPERLINK("https://klasma.github.io/Logging_2462/artfynd/A 54779-2024 artfynd.xlsx", "A 54779-2024")</f>
        <v/>
      </c>
      <c r="T723">
        <f>HYPERLINK("https://klasma.github.io/Logging_2462/kartor/A 54779-2024 karta.png", "A 54779-2024")</f>
        <v/>
      </c>
      <c r="V723">
        <f>HYPERLINK("https://klasma.github.io/Logging_2462/klagomål/A 54779-2024 FSC-klagomål.docx", "A 54779-2024")</f>
        <v/>
      </c>
      <c r="W723">
        <f>HYPERLINK("https://klasma.github.io/Logging_2462/klagomålsmail/A 54779-2024 FSC-klagomål mail.docx", "A 54779-2024")</f>
        <v/>
      </c>
      <c r="X723">
        <f>HYPERLINK("https://klasma.github.io/Logging_2462/tillsyn/A 54779-2024 tillsynsbegäran.docx", "A 54779-2024")</f>
        <v/>
      </c>
      <c r="Y723">
        <f>HYPERLINK("https://klasma.github.io/Logging_2462/tillsynsmail/A 54779-2024 tillsynsbegäran mail.docx", "A 54779-2024")</f>
        <v/>
      </c>
    </row>
    <row r="724" ht="15" customHeight="1">
      <c r="A724" t="inlineStr">
        <is>
          <t>A 46143-2024</t>
        </is>
      </c>
      <c r="B724" s="1" t="n">
        <v>45581.45096064815</v>
      </c>
      <c r="C724" s="1" t="n">
        <v>46075</v>
      </c>
      <c r="D724" t="inlineStr">
        <is>
          <t>VÄSTERBOTTENS LÄN</t>
        </is>
      </c>
      <c r="E724" t="inlineStr">
        <is>
          <t>UMEÅ</t>
        </is>
      </c>
      <c r="G724" t="n">
        <v>2.7</v>
      </c>
      <c r="H724" t="n">
        <v>1</v>
      </c>
      <c r="I724" t="n">
        <v>1</v>
      </c>
      <c r="J724" t="n">
        <v>1</v>
      </c>
      <c r="K724" t="n">
        <v>0</v>
      </c>
      <c r="L724" t="n">
        <v>0</v>
      </c>
      <c r="M724" t="n">
        <v>0</v>
      </c>
      <c r="N724" t="n">
        <v>0</v>
      </c>
      <c r="O724" t="n">
        <v>1</v>
      </c>
      <c r="P724" t="n">
        <v>0</v>
      </c>
      <c r="Q724" t="n">
        <v>2</v>
      </c>
      <c r="R724" s="2" t="inlineStr">
        <is>
          <t>Talltita
Thomsons trägnagare</t>
        </is>
      </c>
      <c r="S724">
        <f>HYPERLINK("https://klasma.github.io/Logging_2480/artfynd/A 46143-2024 artfynd.xlsx", "A 46143-2024")</f>
        <v/>
      </c>
      <c r="T724">
        <f>HYPERLINK("https://klasma.github.io/Logging_2480/kartor/A 46143-2024 karta.png", "A 46143-2024")</f>
        <v/>
      </c>
      <c r="V724">
        <f>HYPERLINK("https://klasma.github.io/Logging_2480/klagomål/A 46143-2024 FSC-klagomål.docx", "A 46143-2024")</f>
        <v/>
      </c>
      <c r="W724">
        <f>HYPERLINK("https://klasma.github.io/Logging_2480/klagomålsmail/A 46143-2024 FSC-klagomål mail.docx", "A 46143-2024")</f>
        <v/>
      </c>
      <c r="X724">
        <f>HYPERLINK("https://klasma.github.io/Logging_2480/tillsyn/A 46143-2024 tillsynsbegäran.docx", "A 46143-2024")</f>
        <v/>
      </c>
      <c r="Y724">
        <f>HYPERLINK("https://klasma.github.io/Logging_2480/tillsynsmail/A 46143-2024 tillsynsbegäran mail.docx", "A 46143-2024")</f>
        <v/>
      </c>
      <c r="Z724">
        <f>HYPERLINK("https://klasma.github.io/Logging_2480/fåglar/A 46143-2024 prioriterade fågelarter.docx", "A 46143-2024")</f>
        <v/>
      </c>
    </row>
    <row r="725" ht="15" customHeight="1">
      <c r="A725" t="inlineStr">
        <is>
          <t>A 7050-2024</t>
        </is>
      </c>
      <c r="B725" s="1" t="n">
        <v>45343</v>
      </c>
      <c r="C725" s="1" t="n">
        <v>46075</v>
      </c>
      <c r="D725" t="inlineStr">
        <is>
          <t>VÄSTERBOTTENS LÄN</t>
        </is>
      </c>
      <c r="E725" t="inlineStr">
        <is>
          <t>UMEÅ</t>
        </is>
      </c>
      <c r="G725" t="n">
        <v>6.5</v>
      </c>
      <c r="H725" t="n">
        <v>1</v>
      </c>
      <c r="I725" t="n">
        <v>0</v>
      </c>
      <c r="J725" t="n">
        <v>2</v>
      </c>
      <c r="K725" t="n">
        <v>0</v>
      </c>
      <c r="L725" t="n">
        <v>0</v>
      </c>
      <c r="M725" t="n">
        <v>0</v>
      </c>
      <c r="N725" t="n">
        <v>0</v>
      </c>
      <c r="O725" t="n">
        <v>2</v>
      </c>
      <c r="P725" t="n">
        <v>0</v>
      </c>
      <c r="Q725" t="n">
        <v>2</v>
      </c>
      <c r="R725" s="2" t="inlineStr">
        <is>
          <t>Granticka
Talltita</t>
        </is>
      </c>
      <c r="S725">
        <f>HYPERLINK("https://klasma.github.io/Logging_2480/artfynd/A 7050-2024 artfynd.xlsx", "A 7050-2024")</f>
        <v/>
      </c>
      <c r="T725">
        <f>HYPERLINK("https://klasma.github.io/Logging_2480/kartor/A 7050-2024 karta.png", "A 7050-2024")</f>
        <v/>
      </c>
      <c r="V725">
        <f>HYPERLINK("https://klasma.github.io/Logging_2480/klagomål/A 7050-2024 FSC-klagomål.docx", "A 7050-2024")</f>
        <v/>
      </c>
      <c r="W725">
        <f>HYPERLINK("https://klasma.github.io/Logging_2480/klagomålsmail/A 7050-2024 FSC-klagomål mail.docx", "A 7050-2024")</f>
        <v/>
      </c>
      <c r="X725">
        <f>HYPERLINK("https://klasma.github.io/Logging_2480/tillsyn/A 7050-2024 tillsynsbegäran.docx", "A 7050-2024")</f>
        <v/>
      </c>
      <c r="Y725">
        <f>HYPERLINK("https://klasma.github.io/Logging_2480/tillsynsmail/A 7050-2024 tillsynsbegäran mail.docx", "A 7050-2024")</f>
        <v/>
      </c>
      <c r="Z725">
        <f>HYPERLINK("https://klasma.github.io/Logging_2480/fåglar/A 7050-2024 prioriterade fågelarter.docx", "A 7050-2024")</f>
        <v/>
      </c>
    </row>
    <row r="726" ht="15" customHeight="1">
      <c r="A726" t="inlineStr">
        <is>
          <t>A 37785-2021</t>
        </is>
      </c>
      <c r="B726" s="1" t="n">
        <v>44401</v>
      </c>
      <c r="C726" s="1" t="n">
        <v>46075</v>
      </c>
      <c r="D726" t="inlineStr">
        <is>
          <t>VÄSTERBOTTENS LÄN</t>
        </is>
      </c>
      <c r="E726" t="inlineStr">
        <is>
          <t>VILHELMINA</t>
        </is>
      </c>
      <c r="G726" t="n">
        <v>51.5</v>
      </c>
      <c r="H726" t="n">
        <v>1</v>
      </c>
      <c r="I726" t="n">
        <v>0</v>
      </c>
      <c r="J726" t="n">
        <v>1</v>
      </c>
      <c r="K726" t="n">
        <v>0</v>
      </c>
      <c r="L726" t="n">
        <v>0</v>
      </c>
      <c r="M726" t="n">
        <v>0</v>
      </c>
      <c r="N726" t="n">
        <v>0</v>
      </c>
      <c r="O726" t="n">
        <v>1</v>
      </c>
      <c r="P726" t="n">
        <v>0</v>
      </c>
      <c r="Q726" t="n">
        <v>2</v>
      </c>
      <c r="R726" s="2" t="inlineStr">
        <is>
          <t>Ullticka
Fläcknycklar</t>
        </is>
      </c>
      <c r="S726">
        <f>HYPERLINK("https://klasma.github.io/Logging_2462/artfynd/A 37785-2021 artfynd.xlsx", "A 37785-2021")</f>
        <v/>
      </c>
      <c r="T726">
        <f>HYPERLINK("https://klasma.github.io/Logging_2462/kartor/A 37785-2021 karta.png", "A 37785-2021")</f>
        <v/>
      </c>
      <c r="V726">
        <f>HYPERLINK("https://klasma.github.io/Logging_2462/klagomål/A 37785-2021 FSC-klagomål.docx", "A 37785-2021")</f>
        <v/>
      </c>
      <c r="W726">
        <f>HYPERLINK("https://klasma.github.io/Logging_2462/klagomålsmail/A 37785-2021 FSC-klagomål mail.docx", "A 37785-2021")</f>
        <v/>
      </c>
      <c r="X726">
        <f>HYPERLINK("https://klasma.github.io/Logging_2462/tillsyn/A 37785-2021 tillsynsbegäran.docx", "A 37785-2021")</f>
        <v/>
      </c>
      <c r="Y726">
        <f>HYPERLINK("https://klasma.github.io/Logging_2462/tillsynsmail/A 37785-2021 tillsynsbegäran mail.docx", "A 37785-2021")</f>
        <v/>
      </c>
    </row>
    <row r="727" ht="15" customHeight="1">
      <c r="A727" t="inlineStr">
        <is>
          <t>A 54284-2024</t>
        </is>
      </c>
      <c r="B727" s="1" t="n">
        <v>45616.89516203704</v>
      </c>
      <c r="C727" s="1" t="n">
        <v>46075</v>
      </c>
      <c r="D727" t="inlineStr">
        <is>
          <t>VÄSTERBOTTENS LÄN</t>
        </is>
      </c>
      <c r="E727" t="inlineStr">
        <is>
          <t>DOROTEA</t>
        </is>
      </c>
      <c r="G727" t="n">
        <v>16.1</v>
      </c>
      <c r="H727" t="n">
        <v>0</v>
      </c>
      <c r="I727" t="n">
        <v>2</v>
      </c>
      <c r="J727" t="n">
        <v>0</v>
      </c>
      <c r="K727" t="n">
        <v>0</v>
      </c>
      <c r="L727" t="n">
        <v>0</v>
      </c>
      <c r="M727" t="n">
        <v>0</v>
      </c>
      <c r="N727" t="n">
        <v>0</v>
      </c>
      <c r="O727" t="n">
        <v>0</v>
      </c>
      <c r="P727" t="n">
        <v>0</v>
      </c>
      <c r="Q727" t="n">
        <v>2</v>
      </c>
      <c r="R727" s="2" t="inlineStr">
        <is>
          <t>Bårdlav
Stuplav</t>
        </is>
      </c>
      <c r="S727">
        <f>HYPERLINK("https://klasma.github.io/Logging_2425/artfynd/A 54284-2024 artfynd.xlsx", "A 54284-2024")</f>
        <v/>
      </c>
      <c r="T727">
        <f>HYPERLINK("https://klasma.github.io/Logging_2425/kartor/A 54284-2024 karta.png", "A 54284-2024")</f>
        <v/>
      </c>
      <c r="V727">
        <f>HYPERLINK("https://klasma.github.io/Logging_2425/klagomål/A 54284-2024 FSC-klagomål.docx", "A 54284-2024")</f>
        <v/>
      </c>
      <c r="W727">
        <f>HYPERLINK("https://klasma.github.io/Logging_2425/klagomålsmail/A 54284-2024 FSC-klagomål mail.docx", "A 54284-2024")</f>
        <v/>
      </c>
      <c r="X727">
        <f>HYPERLINK("https://klasma.github.io/Logging_2425/tillsyn/A 54284-2024 tillsynsbegäran.docx", "A 54284-2024")</f>
        <v/>
      </c>
      <c r="Y727">
        <f>HYPERLINK("https://klasma.github.io/Logging_2425/tillsynsmail/A 54284-2024 tillsynsbegäran mail.docx", "A 54284-2024")</f>
        <v/>
      </c>
    </row>
    <row r="728" ht="15" customHeight="1">
      <c r="A728" t="inlineStr">
        <is>
          <t>A 2777-2026</t>
        </is>
      </c>
      <c r="B728" s="1" t="n">
        <v>46038.38196759259</v>
      </c>
      <c r="C728" s="1" t="n">
        <v>46075</v>
      </c>
      <c r="D728" t="inlineStr">
        <is>
          <t>VÄSTERBOTTENS LÄN</t>
        </is>
      </c>
      <c r="E728" t="inlineStr">
        <is>
          <t>ROBERTSFORS</t>
        </is>
      </c>
      <c r="G728" t="n">
        <v>2</v>
      </c>
      <c r="H728" t="n">
        <v>0</v>
      </c>
      <c r="I728" t="n">
        <v>1</v>
      </c>
      <c r="J728" t="n">
        <v>1</v>
      </c>
      <c r="K728" t="n">
        <v>0</v>
      </c>
      <c r="L728" t="n">
        <v>0</v>
      </c>
      <c r="M728" t="n">
        <v>0</v>
      </c>
      <c r="N728" t="n">
        <v>0</v>
      </c>
      <c r="O728" t="n">
        <v>1</v>
      </c>
      <c r="P728" t="n">
        <v>0</v>
      </c>
      <c r="Q728" t="n">
        <v>2</v>
      </c>
      <c r="R728" s="2" t="inlineStr">
        <is>
          <t>Granticka
Vedticka</t>
        </is>
      </c>
      <c r="S728">
        <f>HYPERLINK("https://klasma.github.io/Logging_2409/artfynd/A 2777-2026 artfynd.xlsx", "A 2777-2026")</f>
        <v/>
      </c>
      <c r="T728">
        <f>HYPERLINK("https://klasma.github.io/Logging_2409/kartor/A 2777-2026 karta.png", "A 2777-2026")</f>
        <v/>
      </c>
      <c r="V728">
        <f>HYPERLINK("https://klasma.github.io/Logging_2409/klagomål/A 2777-2026 FSC-klagomål.docx", "A 2777-2026")</f>
        <v/>
      </c>
      <c r="W728">
        <f>HYPERLINK("https://klasma.github.io/Logging_2409/klagomålsmail/A 2777-2026 FSC-klagomål mail.docx", "A 2777-2026")</f>
        <v/>
      </c>
      <c r="X728">
        <f>HYPERLINK("https://klasma.github.io/Logging_2409/tillsyn/A 2777-2026 tillsynsbegäran.docx", "A 2777-2026")</f>
        <v/>
      </c>
      <c r="Y728">
        <f>HYPERLINK("https://klasma.github.io/Logging_2409/tillsynsmail/A 2777-2026 tillsynsbegäran mail.docx", "A 2777-2026")</f>
        <v/>
      </c>
    </row>
    <row r="729" ht="15" customHeight="1">
      <c r="A729" t="inlineStr">
        <is>
          <t>A 61514-2025</t>
        </is>
      </c>
      <c r="B729" s="1" t="n">
        <v>46001.68449074074</v>
      </c>
      <c r="C729" s="1" t="n">
        <v>46075</v>
      </c>
      <c r="D729" t="inlineStr">
        <is>
          <t>VÄSTERBOTTENS LÄN</t>
        </is>
      </c>
      <c r="E729" t="inlineStr">
        <is>
          <t>BJURHOLM</t>
        </is>
      </c>
      <c r="F729" t="inlineStr">
        <is>
          <t>SCA</t>
        </is>
      </c>
      <c r="G729" t="n">
        <v>3.4</v>
      </c>
      <c r="H729" t="n">
        <v>0</v>
      </c>
      <c r="I729" t="n">
        <v>0</v>
      </c>
      <c r="J729" t="n">
        <v>1</v>
      </c>
      <c r="K729" t="n">
        <v>1</v>
      </c>
      <c r="L729" t="n">
        <v>0</v>
      </c>
      <c r="M729" t="n">
        <v>0</v>
      </c>
      <c r="N729" t="n">
        <v>0</v>
      </c>
      <c r="O729" t="n">
        <v>2</v>
      </c>
      <c r="P729" t="n">
        <v>1</v>
      </c>
      <c r="Q729" t="n">
        <v>2</v>
      </c>
      <c r="R729" s="2" t="inlineStr">
        <is>
          <t>Smalfotad taggsvamp
Tallticka</t>
        </is>
      </c>
      <c r="S729">
        <f>HYPERLINK("https://klasma.github.io/Logging_2403/artfynd/A 61514-2025 artfynd.xlsx", "A 61514-2025")</f>
        <v/>
      </c>
      <c r="T729">
        <f>HYPERLINK("https://klasma.github.io/Logging_2403/kartor/A 61514-2025 karta.png", "A 61514-2025")</f>
        <v/>
      </c>
      <c r="V729">
        <f>HYPERLINK("https://klasma.github.io/Logging_2403/klagomål/A 61514-2025 FSC-klagomål.docx", "A 61514-2025")</f>
        <v/>
      </c>
      <c r="W729">
        <f>HYPERLINK("https://klasma.github.io/Logging_2403/klagomålsmail/A 61514-2025 FSC-klagomål mail.docx", "A 61514-2025")</f>
        <v/>
      </c>
      <c r="X729">
        <f>HYPERLINK("https://klasma.github.io/Logging_2403/tillsyn/A 61514-2025 tillsynsbegäran.docx", "A 61514-2025")</f>
        <v/>
      </c>
      <c r="Y729">
        <f>HYPERLINK("https://klasma.github.io/Logging_2403/tillsynsmail/A 61514-2025 tillsynsbegäran mail.docx", "A 61514-2025")</f>
        <v/>
      </c>
    </row>
    <row r="730" ht="15" customHeight="1">
      <c r="A730" t="inlineStr">
        <is>
          <t>A 12321-2021</t>
        </is>
      </c>
      <c r="B730" s="1" t="n">
        <v>44266</v>
      </c>
      <c r="C730" s="1" t="n">
        <v>46075</v>
      </c>
      <c r="D730" t="inlineStr">
        <is>
          <t>VÄSTERBOTTENS LÄN</t>
        </is>
      </c>
      <c r="E730" t="inlineStr">
        <is>
          <t>STORUMAN</t>
        </is>
      </c>
      <c r="G730" t="n">
        <v>8</v>
      </c>
      <c r="H730" t="n">
        <v>0</v>
      </c>
      <c r="I730" t="n">
        <v>1</v>
      </c>
      <c r="J730" t="n">
        <v>1</v>
      </c>
      <c r="K730" t="n">
        <v>0</v>
      </c>
      <c r="L730" t="n">
        <v>0</v>
      </c>
      <c r="M730" t="n">
        <v>0</v>
      </c>
      <c r="N730" t="n">
        <v>0</v>
      </c>
      <c r="O730" t="n">
        <v>1</v>
      </c>
      <c r="P730" t="n">
        <v>0</v>
      </c>
      <c r="Q730" t="n">
        <v>2</v>
      </c>
      <c r="R730" s="2" t="inlineStr">
        <is>
          <t>Gammelgransskål
Svavelriska</t>
        </is>
      </c>
      <c r="S730">
        <f>HYPERLINK("https://klasma.github.io/Logging_2421/artfynd/A 12321-2021 artfynd.xlsx", "A 12321-2021")</f>
        <v/>
      </c>
      <c r="T730">
        <f>HYPERLINK("https://klasma.github.io/Logging_2421/kartor/A 12321-2021 karta.png", "A 12321-2021")</f>
        <v/>
      </c>
      <c r="V730">
        <f>HYPERLINK("https://klasma.github.io/Logging_2421/klagomål/A 12321-2021 FSC-klagomål.docx", "A 12321-2021")</f>
        <v/>
      </c>
      <c r="W730">
        <f>HYPERLINK("https://klasma.github.io/Logging_2421/klagomålsmail/A 12321-2021 FSC-klagomål mail.docx", "A 12321-2021")</f>
        <v/>
      </c>
      <c r="X730">
        <f>HYPERLINK("https://klasma.github.io/Logging_2421/tillsyn/A 12321-2021 tillsynsbegäran.docx", "A 12321-2021")</f>
        <v/>
      </c>
      <c r="Y730">
        <f>HYPERLINK("https://klasma.github.io/Logging_2421/tillsynsmail/A 12321-2021 tillsynsbegäran mail.docx", "A 12321-2021")</f>
        <v/>
      </c>
    </row>
    <row r="731" ht="15" customHeight="1">
      <c r="A731" t="inlineStr">
        <is>
          <t>A 69023-2021</t>
        </is>
      </c>
      <c r="B731" s="1" t="n">
        <v>44529</v>
      </c>
      <c r="C731" s="1" t="n">
        <v>46075</v>
      </c>
      <c r="D731" t="inlineStr">
        <is>
          <t>VÄSTERBOTTENS LÄN</t>
        </is>
      </c>
      <c r="E731" t="inlineStr">
        <is>
          <t>VILHELMINA</t>
        </is>
      </c>
      <c r="G731" t="n">
        <v>88</v>
      </c>
      <c r="H731" t="n">
        <v>0</v>
      </c>
      <c r="I731" t="n">
        <v>0</v>
      </c>
      <c r="J731" t="n">
        <v>2</v>
      </c>
      <c r="K731" t="n">
        <v>0</v>
      </c>
      <c r="L731" t="n">
        <v>0</v>
      </c>
      <c r="M731" t="n">
        <v>0</v>
      </c>
      <c r="N731" t="n">
        <v>0</v>
      </c>
      <c r="O731" t="n">
        <v>2</v>
      </c>
      <c r="P731" t="n">
        <v>0</v>
      </c>
      <c r="Q731" t="n">
        <v>2</v>
      </c>
      <c r="R731" s="2" t="inlineStr">
        <is>
          <t>Garnlav
Lunglav</t>
        </is>
      </c>
      <c r="S731">
        <f>HYPERLINK("https://klasma.github.io/Logging_2462/artfynd/A 69023-2021 artfynd.xlsx", "A 69023-2021")</f>
        <v/>
      </c>
      <c r="T731">
        <f>HYPERLINK("https://klasma.github.io/Logging_2462/kartor/A 69023-2021 karta.png", "A 69023-2021")</f>
        <v/>
      </c>
      <c r="V731">
        <f>HYPERLINK("https://klasma.github.io/Logging_2462/klagomål/A 69023-2021 FSC-klagomål.docx", "A 69023-2021")</f>
        <v/>
      </c>
      <c r="W731">
        <f>HYPERLINK("https://klasma.github.io/Logging_2462/klagomålsmail/A 69023-2021 FSC-klagomål mail.docx", "A 69023-2021")</f>
        <v/>
      </c>
      <c r="X731">
        <f>HYPERLINK("https://klasma.github.io/Logging_2462/tillsyn/A 69023-2021 tillsynsbegäran.docx", "A 69023-2021")</f>
        <v/>
      </c>
      <c r="Y731">
        <f>HYPERLINK("https://klasma.github.io/Logging_2462/tillsynsmail/A 69023-2021 tillsynsbegäran mail.docx", "A 69023-2021")</f>
        <v/>
      </c>
    </row>
    <row r="732" ht="15" customHeight="1">
      <c r="A732" t="inlineStr">
        <is>
          <t>A 4085-2026</t>
        </is>
      </c>
      <c r="B732" s="1" t="n">
        <v>46043</v>
      </c>
      <c r="C732" s="1" t="n">
        <v>46075</v>
      </c>
      <c r="D732" t="inlineStr">
        <is>
          <t>VÄSTERBOTTENS LÄN</t>
        </is>
      </c>
      <c r="E732" t="inlineStr">
        <is>
          <t>NORDMALING</t>
        </is>
      </c>
      <c r="G732" t="n">
        <v>33.1</v>
      </c>
      <c r="H732" t="n">
        <v>1</v>
      </c>
      <c r="I732" t="n">
        <v>0</v>
      </c>
      <c r="J732" t="n">
        <v>2</v>
      </c>
      <c r="K732" t="n">
        <v>0</v>
      </c>
      <c r="L732" t="n">
        <v>0</v>
      </c>
      <c r="M732" t="n">
        <v>0</v>
      </c>
      <c r="N732" t="n">
        <v>0</v>
      </c>
      <c r="O732" t="n">
        <v>2</v>
      </c>
      <c r="P732" t="n">
        <v>0</v>
      </c>
      <c r="Q732" t="n">
        <v>2</v>
      </c>
      <c r="R732" s="2" t="inlineStr">
        <is>
          <t>Garnlav
Tretåig hackspett</t>
        </is>
      </c>
      <c r="S732">
        <f>HYPERLINK("https://klasma.github.io/Logging_2401/artfynd/A 4085-2026 artfynd.xlsx", "A 4085-2026")</f>
        <v/>
      </c>
      <c r="T732">
        <f>HYPERLINK("https://klasma.github.io/Logging_2401/kartor/A 4085-2026 karta.png", "A 4085-2026")</f>
        <v/>
      </c>
      <c r="V732">
        <f>HYPERLINK("https://klasma.github.io/Logging_2401/klagomål/A 4085-2026 FSC-klagomål.docx", "A 4085-2026")</f>
        <v/>
      </c>
      <c r="W732">
        <f>HYPERLINK("https://klasma.github.io/Logging_2401/klagomålsmail/A 4085-2026 FSC-klagomål mail.docx", "A 4085-2026")</f>
        <v/>
      </c>
      <c r="X732">
        <f>HYPERLINK("https://klasma.github.io/Logging_2401/tillsyn/A 4085-2026 tillsynsbegäran.docx", "A 4085-2026")</f>
        <v/>
      </c>
      <c r="Y732">
        <f>HYPERLINK("https://klasma.github.io/Logging_2401/tillsynsmail/A 4085-2026 tillsynsbegäran mail.docx", "A 4085-2026")</f>
        <v/>
      </c>
      <c r="Z732">
        <f>HYPERLINK("https://klasma.github.io/Logging_2401/fåglar/A 4085-2026 prioriterade fågelarter.docx", "A 4085-2026")</f>
        <v/>
      </c>
    </row>
    <row r="733" ht="15" customHeight="1">
      <c r="A733" t="inlineStr">
        <is>
          <t>A 46391-2024</t>
        </is>
      </c>
      <c r="B733" s="1" t="n">
        <v>45582</v>
      </c>
      <c r="C733" s="1" t="n">
        <v>46075</v>
      </c>
      <c r="D733" t="inlineStr">
        <is>
          <t>VÄSTERBOTTENS LÄN</t>
        </is>
      </c>
      <c r="E733" t="inlineStr">
        <is>
          <t>VILHELMINA</t>
        </is>
      </c>
      <c r="F733" t="inlineStr">
        <is>
          <t>SCA</t>
        </is>
      </c>
      <c r="G733" t="n">
        <v>23.4</v>
      </c>
      <c r="H733" t="n">
        <v>0</v>
      </c>
      <c r="I733" t="n">
        <v>0</v>
      </c>
      <c r="J733" t="n">
        <v>2</v>
      </c>
      <c r="K733" t="n">
        <v>0</v>
      </c>
      <c r="L733" t="n">
        <v>0</v>
      </c>
      <c r="M733" t="n">
        <v>0</v>
      </c>
      <c r="N733" t="n">
        <v>0</v>
      </c>
      <c r="O733" t="n">
        <v>2</v>
      </c>
      <c r="P733" t="n">
        <v>0</v>
      </c>
      <c r="Q733" t="n">
        <v>2</v>
      </c>
      <c r="R733" s="2" t="inlineStr">
        <is>
          <t>Granticka
Gränsticka</t>
        </is>
      </c>
      <c r="S733">
        <f>HYPERLINK("https://klasma.github.io/Logging_2462/artfynd/A 46391-2024 artfynd.xlsx", "A 46391-2024")</f>
        <v/>
      </c>
      <c r="T733">
        <f>HYPERLINK("https://klasma.github.io/Logging_2462/kartor/A 46391-2024 karta.png", "A 46391-2024")</f>
        <v/>
      </c>
      <c r="V733">
        <f>HYPERLINK("https://klasma.github.io/Logging_2462/klagomål/A 46391-2024 FSC-klagomål.docx", "A 46391-2024")</f>
        <v/>
      </c>
      <c r="W733">
        <f>HYPERLINK("https://klasma.github.io/Logging_2462/klagomålsmail/A 46391-2024 FSC-klagomål mail.docx", "A 46391-2024")</f>
        <v/>
      </c>
      <c r="X733">
        <f>HYPERLINK("https://klasma.github.io/Logging_2462/tillsyn/A 46391-2024 tillsynsbegäran.docx", "A 46391-2024")</f>
        <v/>
      </c>
      <c r="Y733">
        <f>HYPERLINK("https://klasma.github.io/Logging_2462/tillsynsmail/A 46391-2024 tillsynsbegäran mail.docx", "A 46391-2024")</f>
        <v/>
      </c>
    </row>
    <row r="734" ht="15" customHeight="1">
      <c r="A734" t="inlineStr">
        <is>
          <t>A 22110-2024</t>
        </is>
      </c>
      <c r="B734" s="1" t="n">
        <v>45443</v>
      </c>
      <c r="C734" s="1" t="n">
        <v>46075</v>
      </c>
      <c r="D734" t="inlineStr">
        <is>
          <t>VÄSTERBOTTENS LÄN</t>
        </is>
      </c>
      <c r="E734" t="inlineStr">
        <is>
          <t>ÅSELE</t>
        </is>
      </c>
      <c r="F734" t="inlineStr">
        <is>
          <t>SCA</t>
        </is>
      </c>
      <c r="G734" t="n">
        <v>11.6</v>
      </c>
      <c r="H734" t="n">
        <v>0</v>
      </c>
      <c r="I734" t="n">
        <v>0</v>
      </c>
      <c r="J734" t="n">
        <v>2</v>
      </c>
      <c r="K734" t="n">
        <v>0</v>
      </c>
      <c r="L734" t="n">
        <v>0</v>
      </c>
      <c r="M734" t="n">
        <v>0</v>
      </c>
      <c r="N734" t="n">
        <v>0</v>
      </c>
      <c r="O734" t="n">
        <v>2</v>
      </c>
      <c r="P734" t="n">
        <v>0</v>
      </c>
      <c r="Q734" t="n">
        <v>2</v>
      </c>
      <c r="R734" s="2" t="inlineStr">
        <is>
          <t>Gammelgransskål
Lunglav</t>
        </is>
      </c>
      <c r="S734">
        <f>HYPERLINK("https://klasma.github.io/Logging_2463/artfynd/A 22110-2024 artfynd.xlsx", "A 22110-2024")</f>
        <v/>
      </c>
      <c r="T734">
        <f>HYPERLINK("https://klasma.github.io/Logging_2463/kartor/A 22110-2024 karta.png", "A 22110-2024")</f>
        <v/>
      </c>
      <c r="V734">
        <f>HYPERLINK("https://klasma.github.io/Logging_2463/klagomål/A 22110-2024 FSC-klagomål.docx", "A 22110-2024")</f>
        <v/>
      </c>
      <c r="W734">
        <f>HYPERLINK("https://klasma.github.io/Logging_2463/klagomålsmail/A 22110-2024 FSC-klagomål mail.docx", "A 22110-2024")</f>
        <v/>
      </c>
      <c r="X734">
        <f>HYPERLINK("https://klasma.github.io/Logging_2463/tillsyn/A 22110-2024 tillsynsbegäran.docx", "A 22110-2024")</f>
        <v/>
      </c>
      <c r="Y734">
        <f>HYPERLINK("https://klasma.github.io/Logging_2463/tillsynsmail/A 22110-2024 tillsynsbegäran mail.docx", "A 22110-2024")</f>
        <v/>
      </c>
    </row>
    <row r="735" ht="15" customHeight="1">
      <c r="A735" t="inlineStr">
        <is>
          <t>A 64030-2023</t>
        </is>
      </c>
      <c r="B735" s="1" t="n">
        <v>45278</v>
      </c>
      <c r="C735" s="1" t="n">
        <v>46075</v>
      </c>
      <c r="D735" t="inlineStr">
        <is>
          <t>VÄSTERBOTTENS LÄN</t>
        </is>
      </c>
      <c r="E735" t="inlineStr">
        <is>
          <t>VILHELMINA</t>
        </is>
      </c>
      <c r="F735" t="inlineStr">
        <is>
          <t>SCA</t>
        </is>
      </c>
      <c r="G735" t="n">
        <v>1.7</v>
      </c>
      <c r="H735" t="n">
        <v>1</v>
      </c>
      <c r="I735" t="n">
        <v>0</v>
      </c>
      <c r="J735" t="n">
        <v>2</v>
      </c>
      <c r="K735" t="n">
        <v>0</v>
      </c>
      <c r="L735" t="n">
        <v>0</v>
      </c>
      <c r="M735" t="n">
        <v>0</v>
      </c>
      <c r="N735" t="n">
        <v>0</v>
      </c>
      <c r="O735" t="n">
        <v>2</v>
      </c>
      <c r="P735" t="n">
        <v>0</v>
      </c>
      <c r="Q735" t="n">
        <v>2</v>
      </c>
      <c r="R735" s="2" t="inlineStr">
        <is>
          <t>Tretåig hackspett
Ullticka</t>
        </is>
      </c>
      <c r="S735">
        <f>HYPERLINK("https://klasma.github.io/Logging_2462/artfynd/A 64030-2023 artfynd.xlsx", "A 64030-2023")</f>
        <v/>
      </c>
      <c r="T735">
        <f>HYPERLINK("https://klasma.github.io/Logging_2462/kartor/A 64030-2023 karta.png", "A 64030-2023")</f>
        <v/>
      </c>
      <c r="V735">
        <f>HYPERLINK("https://klasma.github.io/Logging_2462/klagomål/A 64030-2023 FSC-klagomål.docx", "A 64030-2023")</f>
        <v/>
      </c>
      <c r="W735">
        <f>HYPERLINK("https://klasma.github.io/Logging_2462/klagomålsmail/A 64030-2023 FSC-klagomål mail.docx", "A 64030-2023")</f>
        <v/>
      </c>
      <c r="X735">
        <f>HYPERLINK("https://klasma.github.io/Logging_2462/tillsyn/A 64030-2023 tillsynsbegäran.docx", "A 64030-2023")</f>
        <v/>
      </c>
      <c r="Y735">
        <f>HYPERLINK("https://klasma.github.io/Logging_2462/tillsynsmail/A 64030-2023 tillsynsbegäran mail.docx", "A 64030-2023")</f>
        <v/>
      </c>
      <c r="Z735">
        <f>HYPERLINK("https://klasma.github.io/Logging_2462/fåglar/A 64030-2023 prioriterade fågelarter.docx", "A 64030-2023")</f>
        <v/>
      </c>
    </row>
    <row r="736" ht="15" customHeight="1">
      <c r="A736" t="inlineStr">
        <is>
          <t>A 34050-2024</t>
        </is>
      </c>
      <c r="B736" s="1" t="n">
        <v>45523.60684027777</v>
      </c>
      <c r="C736" s="1" t="n">
        <v>46075</v>
      </c>
      <c r="D736" t="inlineStr">
        <is>
          <t>VÄSTERBOTTENS LÄN</t>
        </is>
      </c>
      <c r="E736" t="inlineStr">
        <is>
          <t>UMEÅ</t>
        </is>
      </c>
      <c r="F736" t="inlineStr">
        <is>
          <t>Holmen skog AB</t>
        </is>
      </c>
      <c r="G736" t="n">
        <v>9.699999999999999</v>
      </c>
      <c r="H736" t="n">
        <v>0</v>
      </c>
      <c r="I736" t="n">
        <v>1</v>
      </c>
      <c r="J736" t="n">
        <v>1</v>
      </c>
      <c r="K736" t="n">
        <v>0</v>
      </c>
      <c r="L736" t="n">
        <v>0</v>
      </c>
      <c r="M736" t="n">
        <v>0</v>
      </c>
      <c r="N736" t="n">
        <v>0</v>
      </c>
      <c r="O736" t="n">
        <v>1</v>
      </c>
      <c r="P736" t="n">
        <v>0</v>
      </c>
      <c r="Q736" t="n">
        <v>2</v>
      </c>
      <c r="R736" s="2" t="inlineStr">
        <is>
          <t>Gränsticka
Vedticka</t>
        </is>
      </c>
      <c r="S736">
        <f>HYPERLINK("https://klasma.github.io/Logging_2480/artfynd/A 34050-2024 artfynd.xlsx", "A 34050-2024")</f>
        <v/>
      </c>
      <c r="T736">
        <f>HYPERLINK("https://klasma.github.io/Logging_2480/kartor/A 34050-2024 karta.png", "A 34050-2024")</f>
        <v/>
      </c>
      <c r="V736">
        <f>HYPERLINK("https://klasma.github.io/Logging_2480/klagomål/A 34050-2024 FSC-klagomål.docx", "A 34050-2024")</f>
        <v/>
      </c>
      <c r="W736">
        <f>HYPERLINK("https://klasma.github.io/Logging_2480/klagomålsmail/A 34050-2024 FSC-klagomål mail.docx", "A 34050-2024")</f>
        <v/>
      </c>
      <c r="X736">
        <f>HYPERLINK("https://klasma.github.io/Logging_2480/tillsyn/A 34050-2024 tillsynsbegäran.docx", "A 34050-2024")</f>
        <v/>
      </c>
      <c r="Y736">
        <f>HYPERLINK("https://klasma.github.io/Logging_2480/tillsynsmail/A 34050-2024 tillsynsbegäran mail.docx", "A 34050-2024")</f>
        <v/>
      </c>
    </row>
    <row r="737" ht="15" customHeight="1">
      <c r="A737" t="inlineStr">
        <is>
          <t>A 5880-2026</t>
        </is>
      </c>
      <c r="B737" s="1" t="n">
        <v>46052.39103009259</v>
      </c>
      <c r="C737" s="1" t="n">
        <v>46075</v>
      </c>
      <c r="D737" t="inlineStr">
        <is>
          <t>VÄSTERBOTTENS LÄN</t>
        </is>
      </c>
      <c r="E737" t="inlineStr">
        <is>
          <t>LYCKSELE</t>
        </is>
      </c>
      <c r="G737" t="n">
        <v>6</v>
      </c>
      <c r="H737" t="n">
        <v>2</v>
      </c>
      <c r="I737" t="n">
        <v>0</v>
      </c>
      <c r="J737" t="n">
        <v>2</v>
      </c>
      <c r="K737" t="n">
        <v>0</v>
      </c>
      <c r="L737" t="n">
        <v>0</v>
      </c>
      <c r="M737" t="n">
        <v>0</v>
      </c>
      <c r="N737" t="n">
        <v>0</v>
      </c>
      <c r="O737" t="n">
        <v>2</v>
      </c>
      <c r="P737" t="n">
        <v>0</v>
      </c>
      <c r="Q737" t="n">
        <v>2</v>
      </c>
      <c r="R737" s="2" t="inlineStr">
        <is>
          <t>Spillkråka
Tretåig hackspett</t>
        </is>
      </c>
      <c r="S737">
        <f>HYPERLINK("https://klasma.github.io/Logging_2481/artfynd/A 5880-2026 artfynd.xlsx", "A 5880-2026")</f>
        <v/>
      </c>
      <c r="T737">
        <f>HYPERLINK("https://klasma.github.io/Logging_2481/kartor/A 5880-2026 karta.png", "A 5880-2026")</f>
        <v/>
      </c>
      <c r="V737">
        <f>HYPERLINK("https://klasma.github.io/Logging_2481/klagomål/A 5880-2026 FSC-klagomål.docx", "A 5880-2026")</f>
        <v/>
      </c>
      <c r="W737">
        <f>HYPERLINK("https://klasma.github.io/Logging_2481/klagomålsmail/A 5880-2026 FSC-klagomål mail.docx", "A 5880-2026")</f>
        <v/>
      </c>
      <c r="X737">
        <f>HYPERLINK("https://klasma.github.io/Logging_2481/tillsyn/A 5880-2026 tillsynsbegäran.docx", "A 5880-2026")</f>
        <v/>
      </c>
      <c r="Y737">
        <f>HYPERLINK("https://klasma.github.io/Logging_2481/tillsynsmail/A 5880-2026 tillsynsbegäran mail.docx", "A 5880-2026")</f>
        <v/>
      </c>
      <c r="Z737">
        <f>HYPERLINK("https://klasma.github.io/Logging_2481/fåglar/A 5880-2026 prioriterade fågelarter.docx", "A 5880-2026")</f>
        <v/>
      </c>
    </row>
    <row r="738" ht="15" customHeight="1">
      <c r="A738" t="inlineStr">
        <is>
          <t>A 63573-2025</t>
        </is>
      </c>
      <c r="B738" s="1" t="n">
        <v>46013.66015046297</v>
      </c>
      <c r="C738" s="1" t="n">
        <v>46075</v>
      </c>
      <c r="D738" t="inlineStr">
        <is>
          <t>VÄSTERBOTTENS LÄN</t>
        </is>
      </c>
      <c r="E738" t="inlineStr">
        <is>
          <t>VÄNNÄS</t>
        </is>
      </c>
      <c r="G738" t="n">
        <v>1.3</v>
      </c>
      <c r="H738" t="n">
        <v>1</v>
      </c>
      <c r="I738" t="n">
        <v>1</v>
      </c>
      <c r="J738" t="n">
        <v>1</v>
      </c>
      <c r="K738" t="n">
        <v>0</v>
      </c>
      <c r="L738" t="n">
        <v>0</v>
      </c>
      <c r="M738" t="n">
        <v>0</v>
      </c>
      <c r="N738" t="n">
        <v>0</v>
      </c>
      <c r="O738" t="n">
        <v>1</v>
      </c>
      <c r="P738" t="n">
        <v>0</v>
      </c>
      <c r="Q738" t="n">
        <v>2</v>
      </c>
      <c r="R738" s="2" t="inlineStr">
        <is>
          <t>Järpe
Sotriska</t>
        </is>
      </c>
      <c r="S738">
        <f>HYPERLINK("https://klasma.github.io/Logging_2460/artfynd/A 63573-2025 artfynd.xlsx", "A 63573-2025")</f>
        <v/>
      </c>
      <c r="T738">
        <f>HYPERLINK("https://klasma.github.io/Logging_2460/kartor/A 63573-2025 karta.png", "A 63573-2025")</f>
        <v/>
      </c>
      <c r="V738">
        <f>HYPERLINK("https://klasma.github.io/Logging_2460/klagomål/A 63573-2025 FSC-klagomål.docx", "A 63573-2025")</f>
        <v/>
      </c>
      <c r="W738">
        <f>HYPERLINK("https://klasma.github.io/Logging_2460/klagomålsmail/A 63573-2025 FSC-klagomål mail.docx", "A 63573-2025")</f>
        <v/>
      </c>
      <c r="X738">
        <f>HYPERLINK("https://klasma.github.io/Logging_2460/tillsyn/A 63573-2025 tillsynsbegäran.docx", "A 63573-2025")</f>
        <v/>
      </c>
      <c r="Y738">
        <f>HYPERLINK("https://klasma.github.io/Logging_2460/tillsynsmail/A 63573-2025 tillsynsbegäran mail.docx", "A 63573-2025")</f>
        <v/>
      </c>
      <c r="Z738">
        <f>HYPERLINK("https://klasma.github.io/Logging_2460/fåglar/A 63573-2025 prioriterade fågelarter.docx", "A 63573-2025")</f>
        <v/>
      </c>
    </row>
    <row r="739" ht="15" customHeight="1">
      <c r="A739" t="inlineStr">
        <is>
          <t>A 787-2023</t>
        </is>
      </c>
      <c r="B739" s="1" t="n">
        <v>44931</v>
      </c>
      <c r="C739" s="1" t="n">
        <v>46075</v>
      </c>
      <c r="D739" t="inlineStr">
        <is>
          <t>VÄSTERBOTTENS LÄN</t>
        </is>
      </c>
      <c r="E739" t="inlineStr">
        <is>
          <t>SKELLEFTEÅ</t>
        </is>
      </c>
      <c r="G739" t="n">
        <v>13.9</v>
      </c>
      <c r="H739" t="n">
        <v>0</v>
      </c>
      <c r="I739" t="n">
        <v>1</v>
      </c>
      <c r="J739" t="n">
        <v>1</v>
      </c>
      <c r="K739" t="n">
        <v>0</v>
      </c>
      <c r="L739" t="n">
        <v>0</v>
      </c>
      <c r="M739" t="n">
        <v>0</v>
      </c>
      <c r="N739" t="n">
        <v>0</v>
      </c>
      <c r="O739" t="n">
        <v>1</v>
      </c>
      <c r="P739" t="n">
        <v>0</v>
      </c>
      <c r="Q739" t="n">
        <v>2</v>
      </c>
      <c r="R739" s="2" t="inlineStr">
        <is>
          <t>Storgröe
Ögonpyrola</t>
        </is>
      </c>
      <c r="S739">
        <f>HYPERLINK("https://klasma.github.io/Logging_2482/artfynd/A 787-2023 artfynd.xlsx", "A 787-2023")</f>
        <v/>
      </c>
      <c r="T739">
        <f>HYPERLINK("https://klasma.github.io/Logging_2482/kartor/A 787-2023 karta.png", "A 787-2023")</f>
        <v/>
      </c>
      <c r="V739">
        <f>HYPERLINK("https://klasma.github.io/Logging_2482/klagomål/A 787-2023 FSC-klagomål.docx", "A 787-2023")</f>
        <v/>
      </c>
      <c r="W739">
        <f>HYPERLINK("https://klasma.github.io/Logging_2482/klagomålsmail/A 787-2023 FSC-klagomål mail.docx", "A 787-2023")</f>
        <v/>
      </c>
      <c r="X739">
        <f>HYPERLINK("https://klasma.github.io/Logging_2482/tillsyn/A 787-2023 tillsynsbegäran.docx", "A 787-2023")</f>
        <v/>
      </c>
      <c r="Y739">
        <f>HYPERLINK("https://klasma.github.io/Logging_2482/tillsynsmail/A 787-2023 tillsynsbegäran mail.docx", "A 787-2023")</f>
        <v/>
      </c>
    </row>
    <row r="740" ht="15" customHeight="1">
      <c r="A740" t="inlineStr">
        <is>
          <t>A 63205-2025</t>
        </is>
      </c>
      <c r="B740" s="1" t="n">
        <v>46010.46971064815</v>
      </c>
      <c r="C740" s="1" t="n">
        <v>46075</v>
      </c>
      <c r="D740" t="inlineStr">
        <is>
          <t>VÄSTERBOTTENS LÄN</t>
        </is>
      </c>
      <c r="E740" t="inlineStr">
        <is>
          <t>BJURHOLM</t>
        </is>
      </c>
      <c r="F740" t="inlineStr">
        <is>
          <t>SCA</t>
        </is>
      </c>
      <c r="G740" t="n">
        <v>7</v>
      </c>
      <c r="H740" t="n">
        <v>0</v>
      </c>
      <c r="I740" t="n">
        <v>1</v>
      </c>
      <c r="J740" t="n">
        <v>1</v>
      </c>
      <c r="K740" t="n">
        <v>0</v>
      </c>
      <c r="L740" t="n">
        <v>0</v>
      </c>
      <c r="M740" t="n">
        <v>0</v>
      </c>
      <c r="N740" t="n">
        <v>0</v>
      </c>
      <c r="O740" t="n">
        <v>1</v>
      </c>
      <c r="P740" t="n">
        <v>0</v>
      </c>
      <c r="Q740" t="n">
        <v>2</v>
      </c>
      <c r="R740" s="2" t="inlineStr">
        <is>
          <t>Granticka
Stor aspticka</t>
        </is>
      </c>
      <c r="S740">
        <f>HYPERLINK("https://klasma.github.io/Logging_2403/artfynd/A 63205-2025 artfynd.xlsx", "A 63205-2025")</f>
        <v/>
      </c>
      <c r="T740">
        <f>HYPERLINK("https://klasma.github.io/Logging_2403/kartor/A 63205-2025 karta.png", "A 63205-2025")</f>
        <v/>
      </c>
      <c r="V740">
        <f>HYPERLINK("https://klasma.github.io/Logging_2403/klagomål/A 63205-2025 FSC-klagomål.docx", "A 63205-2025")</f>
        <v/>
      </c>
      <c r="W740">
        <f>HYPERLINK("https://klasma.github.io/Logging_2403/klagomålsmail/A 63205-2025 FSC-klagomål mail.docx", "A 63205-2025")</f>
        <v/>
      </c>
      <c r="X740">
        <f>HYPERLINK("https://klasma.github.io/Logging_2403/tillsyn/A 63205-2025 tillsynsbegäran.docx", "A 63205-2025")</f>
        <v/>
      </c>
      <c r="Y740">
        <f>HYPERLINK("https://klasma.github.io/Logging_2403/tillsynsmail/A 63205-2025 tillsynsbegäran mail.docx", "A 63205-2025")</f>
        <v/>
      </c>
    </row>
    <row r="741" ht="15" customHeight="1">
      <c r="A741" t="inlineStr">
        <is>
          <t>A 20367-2025</t>
        </is>
      </c>
      <c r="B741" s="1" t="n">
        <v>45775</v>
      </c>
      <c r="C741" s="1" t="n">
        <v>46075</v>
      </c>
      <c r="D741" t="inlineStr">
        <is>
          <t>VÄSTERBOTTENS LÄN</t>
        </is>
      </c>
      <c r="E741" t="inlineStr">
        <is>
          <t>SKELLEFTEÅ</t>
        </is>
      </c>
      <c r="G741" t="n">
        <v>3</v>
      </c>
      <c r="H741" t="n">
        <v>1</v>
      </c>
      <c r="I741" t="n">
        <v>0</v>
      </c>
      <c r="J741" t="n">
        <v>1</v>
      </c>
      <c r="K741" t="n">
        <v>1</v>
      </c>
      <c r="L741" t="n">
        <v>0</v>
      </c>
      <c r="M741" t="n">
        <v>0</v>
      </c>
      <c r="N741" t="n">
        <v>0</v>
      </c>
      <c r="O741" t="n">
        <v>2</v>
      </c>
      <c r="P741" t="n">
        <v>1</v>
      </c>
      <c r="Q741" t="n">
        <v>2</v>
      </c>
      <c r="R741" s="2" t="inlineStr">
        <is>
          <t>Knärot
Ullticka</t>
        </is>
      </c>
      <c r="S741">
        <f>HYPERLINK("https://klasma.github.io/Logging_2482/artfynd/A 20367-2025 artfynd.xlsx", "A 20367-2025")</f>
        <v/>
      </c>
      <c r="T741">
        <f>HYPERLINK("https://klasma.github.io/Logging_2482/kartor/A 20367-2025 karta.png", "A 20367-2025")</f>
        <v/>
      </c>
      <c r="U741">
        <f>HYPERLINK("https://klasma.github.io/Logging_2482/knärot/A 20367-2025 karta knärot.png", "A 20367-2025")</f>
        <v/>
      </c>
      <c r="V741">
        <f>HYPERLINK("https://klasma.github.io/Logging_2482/klagomål/A 20367-2025 FSC-klagomål.docx", "A 20367-2025")</f>
        <v/>
      </c>
      <c r="W741">
        <f>HYPERLINK("https://klasma.github.io/Logging_2482/klagomålsmail/A 20367-2025 FSC-klagomål mail.docx", "A 20367-2025")</f>
        <v/>
      </c>
      <c r="X741">
        <f>HYPERLINK("https://klasma.github.io/Logging_2482/tillsyn/A 20367-2025 tillsynsbegäran.docx", "A 20367-2025")</f>
        <v/>
      </c>
      <c r="Y741">
        <f>HYPERLINK("https://klasma.github.io/Logging_2482/tillsynsmail/A 20367-2025 tillsynsbegäran mail.docx", "A 20367-2025")</f>
        <v/>
      </c>
    </row>
    <row r="742" ht="15" customHeight="1">
      <c r="A742" t="inlineStr">
        <is>
          <t>A 52525-2024</t>
        </is>
      </c>
      <c r="B742" s="1" t="n">
        <v>45609</v>
      </c>
      <c r="C742" s="1" t="n">
        <v>46075</v>
      </c>
      <c r="D742" t="inlineStr">
        <is>
          <t>VÄSTERBOTTENS LÄN</t>
        </is>
      </c>
      <c r="E742" t="inlineStr">
        <is>
          <t>SKELLEFTEÅ</t>
        </is>
      </c>
      <c r="G742" t="n">
        <v>8.6</v>
      </c>
      <c r="H742" t="n">
        <v>0</v>
      </c>
      <c r="I742" t="n">
        <v>1</v>
      </c>
      <c r="J742" t="n">
        <v>1</v>
      </c>
      <c r="K742" t="n">
        <v>0</v>
      </c>
      <c r="L742" t="n">
        <v>0</v>
      </c>
      <c r="M742" t="n">
        <v>0</v>
      </c>
      <c r="N742" t="n">
        <v>0</v>
      </c>
      <c r="O742" t="n">
        <v>1</v>
      </c>
      <c r="P742" t="n">
        <v>0</v>
      </c>
      <c r="Q742" t="n">
        <v>2</v>
      </c>
      <c r="R742" s="2" t="inlineStr">
        <is>
          <t>Lunglav
Stuplav</t>
        </is>
      </c>
      <c r="S742">
        <f>HYPERLINK("https://klasma.github.io/Logging_2482/artfynd/A 52525-2024 artfynd.xlsx", "A 52525-2024")</f>
        <v/>
      </c>
      <c r="T742">
        <f>HYPERLINK("https://klasma.github.io/Logging_2482/kartor/A 52525-2024 karta.png", "A 52525-2024")</f>
        <v/>
      </c>
      <c r="V742">
        <f>HYPERLINK("https://klasma.github.io/Logging_2482/klagomål/A 52525-2024 FSC-klagomål.docx", "A 52525-2024")</f>
        <v/>
      </c>
      <c r="W742">
        <f>HYPERLINK("https://klasma.github.io/Logging_2482/klagomålsmail/A 52525-2024 FSC-klagomål mail.docx", "A 52525-2024")</f>
        <v/>
      </c>
      <c r="X742">
        <f>HYPERLINK("https://klasma.github.io/Logging_2482/tillsyn/A 52525-2024 tillsynsbegäran.docx", "A 52525-2024")</f>
        <v/>
      </c>
      <c r="Y742">
        <f>HYPERLINK("https://klasma.github.io/Logging_2482/tillsynsmail/A 52525-2024 tillsynsbegäran mail.docx", "A 52525-2024")</f>
        <v/>
      </c>
    </row>
    <row r="743" ht="15" customHeight="1">
      <c r="A743" t="inlineStr">
        <is>
          <t>A 57675-2024</t>
        </is>
      </c>
      <c r="B743" s="1" t="n">
        <v>45630</v>
      </c>
      <c r="C743" s="1" t="n">
        <v>46075</v>
      </c>
      <c r="D743" t="inlineStr">
        <is>
          <t>VÄSTERBOTTENS LÄN</t>
        </is>
      </c>
      <c r="E743" t="inlineStr">
        <is>
          <t>VINDELN</t>
        </is>
      </c>
      <c r="F743" t="inlineStr">
        <is>
          <t>SCA</t>
        </is>
      </c>
      <c r="G743" t="n">
        <v>1</v>
      </c>
      <c r="H743" t="n">
        <v>0</v>
      </c>
      <c r="I743" t="n">
        <v>0</v>
      </c>
      <c r="J743" t="n">
        <v>2</v>
      </c>
      <c r="K743" t="n">
        <v>0</v>
      </c>
      <c r="L743" t="n">
        <v>0</v>
      </c>
      <c r="M743" t="n">
        <v>0</v>
      </c>
      <c r="N743" t="n">
        <v>0</v>
      </c>
      <c r="O743" t="n">
        <v>2</v>
      </c>
      <c r="P743" t="n">
        <v>0</v>
      </c>
      <c r="Q743" t="n">
        <v>2</v>
      </c>
      <c r="R743" s="2" t="inlineStr">
        <is>
          <t>Garnlav
Granticka</t>
        </is>
      </c>
      <c r="S743">
        <f>HYPERLINK("https://klasma.github.io/Logging_2404/artfynd/A 57675-2024 artfynd.xlsx", "A 57675-2024")</f>
        <v/>
      </c>
      <c r="T743">
        <f>HYPERLINK("https://klasma.github.io/Logging_2404/kartor/A 57675-2024 karta.png", "A 57675-2024")</f>
        <v/>
      </c>
      <c r="V743">
        <f>HYPERLINK("https://klasma.github.io/Logging_2404/klagomål/A 57675-2024 FSC-klagomål.docx", "A 57675-2024")</f>
        <v/>
      </c>
      <c r="W743">
        <f>HYPERLINK("https://klasma.github.io/Logging_2404/klagomålsmail/A 57675-2024 FSC-klagomål mail.docx", "A 57675-2024")</f>
        <v/>
      </c>
      <c r="X743">
        <f>HYPERLINK("https://klasma.github.io/Logging_2404/tillsyn/A 57675-2024 tillsynsbegäran.docx", "A 57675-2024")</f>
        <v/>
      </c>
      <c r="Y743">
        <f>HYPERLINK("https://klasma.github.io/Logging_2404/tillsynsmail/A 57675-2024 tillsynsbegäran mail.docx", "A 57675-2024")</f>
        <v/>
      </c>
    </row>
    <row r="744" ht="15" customHeight="1">
      <c r="A744" t="inlineStr">
        <is>
          <t>A 13645-2025</t>
        </is>
      </c>
      <c r="B744" s="1" t="n">
        <v>45736.6775</v>
      </c>
      <c r="C744" s="1" t="n">
        <v>46075</v>
      </c>
      <c r="D744" t="inlineStr">
        <is>
          <t>VÄSTERBOTTENS LÄN</t>
        </is>
      </c>
      <c r="E744" t="inlineStr">
        <is>
          <t>LYCKSELE</t>
        </is>
      </c>
      <c r="F744" t="inlineStr">
        <is>
          <t>SCA</t>
        </is>
      </c>
      <c r="G744" t="n">
        <v>19.6</v>
      </c>
      <c r="H744" t="n">
        <v>1</v>
      </c>
      <c r="I744" t="n">
        <v>1</v>
      </c>
      <c r="J744" t="n">
        <v>1</v>
      </c>
      <c r="K744" t="n">
        <v>0</v>
      </c>
      <c r="L744" t="n">
        <v>0</v>
      </c>
      <c r="M744" t="n">
        <v>0</v>
      </c>
      <c r="N744" t="n">
        <v>0</v>
      </c>
      <c r="O744" t="n">
        <v>1</v>
      </c>
      <c r="P744" t="n">
        <v>0</v>
      </c>
      <c r="Q744" t="n">
        <v>2</v>
      </c>
      <c r="R744" s="2" t="inlineStr">
        <is>
          <t>Talltita
Dropptaggsvamp</t>
        </is>
      </c>
      <c r="S744">
        <f>HYPERLINK("https://klasma.github.io/Logging_2481/artfynd/A 13645-2025 artfynd.xlsx", "A 13645-2025")</f>
        <v/>
      </c>
      <c r="T744">
        <f>HYPERLINK("https://klasma.github.io/Logging_2481/kartor/A 13645-2025 karta.png", "A 13645-2025")</f>
        <v/>
      </c>
      <c r="V744">
        <f>HYPERLINK("https://klasma.github.io/Logging_2481/klagomål/A 13645-2025 FSC-klagomål.docx", "A 13645-2025")</f>
        <v/>
      </c>
      <c r="W744">
        <f>HYPERLINK("https://klasma.github.io/Logging_2481/klagomålsmail/A 13645-2025 FSC-klagomål mail.docx", "A 13645-2025")</f>
        <v/>
      </c>
      <c r="X744">
        <f>HYPERLINK("https://klasma.github.io/Logging_2481/tillsyn/A 13645-2025 tillsynsbegäran.docx", "A 13645-2025")</f>
        <v/>
      </c>
      <c r="Y744">
        <f>HYPERLINK("https://klasma.github.io/Logging_2481/tillsynsmail/A 13645-2025 tillsynsbegäran mail.docx", "A 13645-2025")</f>
        <v/>
      </c>
      <c r="Z744">
        <f>HYPERLINK("https://klasma.github.io/Logging_2481/fåglar/A 13645-2025 prioriterade fågelarter.docx", "A 13645-2025")</f>
        <v/>
      </c>
    </row>
    <row r="745" ht="15" customHeight="1">
      <c r="A745" t="inlineStr">
        <is>
          <t>A 4802-2026</t>
        </is>
      </c>
      <c r="B745" s="1" t="n">
        <v>46048</v>
      </c>
      <c r="C745" s="1" t="n">
        <v>46075</v>
      </c>
      <c r="D745" t="inlineStr">
        <is>
          <t>VÄSTERBOTTENS LÄN</t>
        </is>
      </c>
      <c r="E745" t="inlineStr">
        <is>
          <t>VILHELMINA</t>
        </is>
      </c>
      <c r="G745" t="n">
        <v>5.9</v>
      </c>
      <c r="H745" t="n">
        <v>1</v>
      </c>
      <c r="I745" t="n">
        <v>1</v>
      </c>
      <c r="J745" t="n">
        <v>0</v>
      </c>
      <c r="K745" t="n">
        <v>0</v>
      </c>
      <c r="L745" t="n">
        <v>0</v>
      </c>
      <c r="M745" t="n">
        <v>0</v>
      </c>
      <c r="N745" t="n">
        <v>0</v>
      </c>
      <c r="O745" t="n">
        <v>0</v>
      </c>
      <c r="P745" t="n">
        <v>0</v>
      </c>
      <c r="Q745" t="n">
        <v>2</v>
      </c>
      <c r="R745" s="2" t="inlineStr">
        <is>
          <t>Traslav
Revlummer</t>
        </is>
      </c>
      <c r="S745">
        <f>HYPERLINK("https://klasma.github.io/Logging_2462/artfynd/A 4802-2026 artfynd.xlsx", "A 4802-2026")</f>
        <v/>
      </c>
      <c r="T745">
        <f>HYPERLINK("https://klasma.github.io/Logging_2462/kartor/A 4802-2026 karta.png", "A 4802-2026")</f>
        <v/>
      </c>
      <c r="V745">
        <f>HYPERLINK("https://klasma.github.io/Logging_2462/klagomål/A 4802-2026 FSC-klagomål.docx", "A 4802-2026")</f>
        <v/>
      </c>
      <c r="W745">
        <f>HYPERLINK("https://klasma.github.io/Logging_2462/klagomålsmail/A 4802-2026 FSC-klagomål mail.docx", "A 4802-2026")</f>
        <v/>
      </c>
      <c r="X745">
        <f>HYPERLINK("https://klasma.github.io/Logging_2462/tillsyn/A 4802-2026 tillsynsbegäran.docx", "A 4802-2026")</f>
        <v/>
      </c>
      <c r="Y745">
        <f>HYPERLINK("https://klasma.github.io/Logging_2462/tillsynsmail/A 4802-2026 tillsynsbegäran mail.docx", "A 4802-2026")</f>
        <v/>
      </c>
    </row>
    <row r="746" ht="15" customHeight="1">
      <c r="A746" t="inlineStr">
        <is>
          <t>A 65043-2023</t>
        </is>
      </c>
      <c r="B746" s="1" t="n">
        <v>45283</v>
      </c>
      <c r="C746" s="1" t="n">
        <v>46075</v>
      </c>
      <c r="D746" t="inlineStr">
        <is>
          <t>VÄSTERBOTTENS LÄN</t>
        </is>
      </c>
      <c r="E746" t="inlineStr">
        <is>
          <t>NORDMALING</t>
        </is>
      </c>
      <c r="F746" t="inlineStr">
        <is>
          <t>Kommuner</t>
        </is>
      </c>
      <c r="G746" t="n">
        <v>9.1</v>
      </c>
      <c r="H746" t="n">
        <v>2</v>
      </c>
      <c r="I746" t="n">
        <v>0</v>
      </c>
      <c r="J746" t="n">
        <v>2</v>
      </c>
      <c r="K746" t="n">
        <v>0</v>
      </c>
      <c r="L746" t="n">
        <v>0</v>
      </c>
      <c r="M746" t="n">
        <v>0</v>
      </c>
      <c r="N746" t="n">
        <v>0</v>
      </c>
      <c r="O746" t="n">
        <v>2</v>
      </c>
      <c r="P746" t="n">
        <v>0</v>
      </c>
      <c r="Q746" t="n">
        <v>2</v>
      </c>
      <c r="R746" s="2" t="inlineStr">
        <is>
          <t>Grönsångare
Mindre hackspett</t>
        </is>
      </c>
      <c r="S746">
        <f>HYPERLINK("https://klasma.github.io/Logging_2401/artfynd/A 65043-2023 artfynd.xlsx", "A 65043-2023")</f>
        <v/>
      </c>
      <c r="T746">
        <f>HYPERLINK("https://klasma.github.io/Logging_2401/kartor/A 65043-2023 karta.png", "A 65043-2023")</f>
        <v/>
      </c>
      <c r="V746">
        <f>HYPERLINK("https://klasma.github.io/Logging_2401/klagomål/A 65043-2023 FSC-klagomål.docx", "A 65043-2023")</f>
        <v/>
      </c>
      <c r="W746">
        <f>HYPERLINK("https://klasma.github.io/Logging_2401/klagomålsmail/A 65043-2023 FSC-klagomål mail.docx", "A 65043-2023")</f>
        <v/>
      </c>
      <c r="X746">
        <f>HYPERLINK("https://klasma.github.io/Logging_2401/tillsyn/A 65043-2023 tillsynsbegäran.docx", "A 65043-2023")</f>
        <v/>
      </c>
      <c r="Y746">
        <f>HYPERLINK("https://klasma.github.io/Logging_2401/tillsynsmail/A 65043-2023 tillsynsbegäran mail.docx", "A 65043-2023")</f>
        <v/>
      </c>
      <c r="Z746">
        <f>HYPERLINK("https://klasma.github.io/Logging_2401/fåglar/A 65043-2023 prioriterade fågelarter.docx", "A 65043-2023")</f>
        <v/>
      </c>
    </row>
    <row r="747" ht="15" customHeight="1">
      <c r="A747" t="inlineStr">
        <is>
          <t>A 47362-2022</t>
        </is>
      </c>
      <c r="B747" s="1" t="n">
        <v>44853</v>
      </c>
      <c r="C747" s="1" t="n">
        <v>46075</v>
      </c>
      <c r="D747" t="inlineStr">
        <is>
          <t>VÄSTERBOTTENS LÄN</t>
        </is>
      </c>
      <c r="E747" t="inlineStr">
        <is>
          <t>NORSJÖ</t>
        </is>
      </c>
      <c r="G747" t="n">
        <v>1.4</v>
      </c>
      <c r="H747" t="n">
        <v>0</v>
      </c>
      <c r="I747" t="n">
        <v>0</v>
      </c>
      <c r="J747" t="n">
        <v>2</v>
      </c>
      <c r="K747" t="n">
        <v>0</v>
      </c>
      <c r="L747" t="n">
        <v>0</v>
      </c>
      <c r="M747" t="n">
        <v>0</v>
      </c>
      <c r="N747" t="n">
        <v>0</v>
      </c>
      <c r="O747" t="n">
        <v>2</v>
      </c>
      <c r="P747" t="n">
        <v>0</v>
      </c>
      <c r="Q747" t="n">
        <v>2</v>
      </c>
      <c r="R747" s="2" t="inlineStr">
        <is>
          <t>Lunglav
Ullticka</t>
        </is>
      </c>
      <c r="S747">
        <f>HYPERLINK("https://klasma.github.io/Logging_2417/artfynd/A 47362-2022 artfynd.xlsx", "A 47362-2022")</f>
        <v/>
      </c>
      <c r="T747">
        <f>HYPERLINK("https://klasma.github.io/Logging_2417/kartor/A 47362-2022 karta.png", "A 47362-2022")</f>
        <v/>
      </c>
      <c r="V747">
        <f>HYPERLINK("https://klasma.github.io/Logging_2417/klagomål/A 47362-2022 FSC-klagomål.docx", "A 47362-2022")</f>
        <v/>
      </c>
      <c r="W747">
        <f>HYPERLINK("https://klasma.github.io/Logging_2417/klagomålsmail/A 47362-2022 FSC-klagomål mail.docx", "A 47362-2022")</f>
        <v/>
      </c>
      <c r="X747">
        <f>HYPERLINK("https://klasma.github.io/Logging_2417/tillsyn/A 47362-2022 tillsynsbegäran.docx", "A 47362-2022")</f>
        <v/>
      </c>
      <c r="Y747">
        <f>HYPERLINK("https://klasma.github.io/Logging_2417/tillsynsmail/A 47362-2022 tillsynsbegäran mail.docx", "A 47362-2022")</f>
        <v/>
      </c>
    </row>
    <row r="748" ht="15" customHeight="1">
      <c r="A748" t="inlineStr">
        <is>
          <t>A 41645-2024</t>
        </is>
      </c>
      <c r="B748" s="1" t="n">
        <v>45560</v>
      </c>
      <c r="C748" s="1" t="n">
        <v>46075</v>
      </c>
      <c r="D748" t="inlineStr">
        <is>
          <t>VÄSTERBOTTENS LÄN</t>
        </is>
      </c>
      <c r="E748" t="inlineStr">
        <is>
          <t>VILHELMINA</t>
        </is>
      </c>
      <c r="F748" t="inlineStr">
        <is>
          <t>SCA</t>
        </is>
      </c>
      <c r="G748" t="n">
        <v>10.4</v>
      </c>
      <c r="H748" t="n">
        <v>1</v>
      </c>
      <c r="I748" t="n">
        <v>1</v>
      </c>
      <c r="J748" t="n">
        <v>1</v>
      </c>
      <c r="K748" t="n">
        <v>0</v>
      </c>
      <c r="L748" t="n">
        <v>0</v>
      </c>
      <c r="M748" t="n">
        <v>0</v>
      </c>
      <c r="N748" t="n">
        <v>0</v>
      </c>
      <c r="O748" t="n">
        <v>1</v>
      </c>
      <c r="P748" t="n">
        <v>0</v>
      </c>
      <c r="Q748" t="n">
        <v>2</v>
      </c>
      <c r="R748" s="2" t="inlineStr">
        <is>
          <t>Gammelgransskål
Lappranunkel</t>
        </is>
      </c>
      <c r="S748">
        <f>HYPERLINK("https://klasma.github.io/Logging_2462/artfynd/A 41645-2024 artfynd.xlsx", "A 41645-2024")</f>
        <v/>
      </c>
      <c r="T748">
        <f>HYPERLINK("https://klasma.github.io/Logging_2462/kartor/A 41645-2024 karta.png", "A 41645-2024")</f>
        <v/>
      </c>
      <c r="V748">
        <f>HYPERLINK("https://klasma.github.io/Logging_2462/klagomål/A 41645-2024 FSC-klagomål.docx", "A 41645-2024")</f>
        <v/>
      </c>
      <c r="W748">
        <f>HYPERLINK("https://klasma.github.io/Logging_2462/klagomålsmail/A 41645-2024 FSC-klagomål mail.docx", "A 41645-2024")</f>
        <v/>
      </c>
      <c r="X748">
        <f>HYPERLINK("https://klasma.github.io/Logging_2462/tillsyn/A 41645-2024 tillsynsbegäran.docx", "A 41645-2024")</f>
        <v/>
      </c>
      <c r="Y748">
        <f>HYPERLINK("https://klasma.github.io/Logging_2462/tillsynsmail/A 41645-2024 tillsynsbegäran mail.docx", "A 41645-2024")</f>
        <v/>
      </c>
    </row>
    <row r="749" ht="15" customHeight="1">
      <c r="A749" t="inlineStr">
        <is>
          <t>A 57060-2024</t>
        </is>
      </c>
      <c r="B749" s="1" t="n">
        <v>45629</v>
      </c>
      <c r="C749" s="1" t="n">
        <v>46075</v>
      </c>
      <c r="D749" t="inlineStr">
        <is>
          <t>VÄSTERBOTTENS LÄN</t>
        </is>
      </c>
      <c r="E749" t="inlineStr">
        <is>
          <t>DOROTEA</t>
        </is>
      </c>
      <c r="F749" t="inlineStr">
        <is>
          <t>SCA</t>
        </is>
      </c>
      <c r="G749" t="n">
        <v>8.9</v>
      </c>
      <c r="H749" t="n">
        <v>0</v>
      </c>
      <c r="I749" t="n">
        <v>0</v>
      </c>
      <c r="J749" t="n">
        <v>2</v>
      </c>
      <c r="K749" t="n">
        <v>0</v>
      </c>
      <c r="L749" t="n">
        <v>0</v>
      </c>
      <c r="M749" t="n">
        <v>0</v>
      </c>
      <c r="N749" t="n">
        <v>0</v>
      </c>
      <c r="O749" t="n">
        <v>2</v>
      </c>
      <c r="P749" t="n">
        <v>0</v>
      </c>
      <c r="Q749" t="n">
        <v>2</v>
      </c>
      <c r="R749" s="2" t="inlineStr">
        <is>
          <t>Garnlav
Granticka</t>
        </is>
      </c>
      <c r="S749">
        <f>HYPERLINK("https://klasma.github.io/Logging_2425/artfynd/A 57060-2024 artfynd.xlsx", "A 57060-2024")</f>
        <v/>
      </c>
      <c r="T749">
        <f>HYPERLINK("https://klasma.github.io/Logging_2425/kartor/A 57060-2024 karta.png", "A 57060-2024")</f>
        <v/>
      </c>
      <c r="V749">
        <f>HYPERLINK("https://klasma.github.io/Logging_2425/klagomål/A 57060-2024 FSC-klagomål.docx", "A 57060-2024")</f>
        <v/>
      </c>
      <c r="W749">
        <f>HYPERLINK("https://klasma.github.io/Logging_2425/klagomålsmail/A 57060-2024 FSC-klagomål mail.docx", "A 57060-2024")</f>
        <v/>
      </c>
      <c r="X749">
        <f>HYPERLINK("https://klasma.github.io/Logging_2425/tillsyn/A 57060-2024 tillsynsbegäran.docx", "A 57060-2024")</f>
        <v/>
      </c>
      <c r="Y749">
        <f>HYPERLINK("https://klasma.github.io/Logging_2425/tillsynsmail/A 57060-2024 tillsynsbegäran mail.docx", "A 57060-2024")</f>
        <v/>
      </c>
    </row>
    <row r="750" ht="15" customHeight="1">
      <c r="A750" t="inlineStr">
        <is>
          <t>A 35733-2021</t>
        </is>
      </c>
      <c r="B750" s="1" t="n">
        <v>44385</v>
      </c>
      <c r="C750" s="1" t="n">
        <v>46075</v>
      </c>
      <c r="D750" t="inlineStr">
        <is>
          <t>VÄSTERBOTTENS LÄN</t>
        </is>
      </c>
      <c r="E750" t="inlineStr">
        <is>
          <t>SKELLEFTEÅ</t>
        </is>
      </c>
      <c r="G750" t="n">
        <v>0.9</v>
      </c>
      <c r="H750" t="n">
        <v>2</v>
      </c>
      <c r="I750" t="n">
        <v>0</v>
      </c>
      <c r="J750" t="n">
        <v>1</v>
      </c>
      <c r="K750" t="n">
        <v>0</v>
      </c>
      <c r="L750" t="n">
        <v>0</v>
      </c>
      <c r="M750" t="n">
        <v>0</v>
      </c>
      <c r="N750" t="n">
        <v>0</v>
      </c>
      <c r="O750" t="n">
        <v>1</v>
      </c>
      <c r="P750" t="n">
        <v>0</v>
      </c>
      <c r="Q750" t="n">
        <v>2</v>
      </c>
      <c r="R750" s="2" t="inlineStr">
        <is>
          <t>Spillkråka
Tjäder</t>
        </is>
      </c>
      <c r="S750">
        <f>HYPERLINK("https://klasma.github.io/Logging_2482/artfynd/A 35733-2021 artfynd.xlsx", "A 35733-2021")</f>
        <v/>
      </c>
      <c r="T750">
        <f>HYPERLINK("https://klasma.github.io/Logging_2482/kartor/A 35733-2021 karta.png", "A 35733-2021")</f>
        <v/>
      </c>
      <c r="V750">
        <f>HYPERLINK("https://klasma.github.io/Logging_2482/klagomål/A 35733-2021 FSC-klagomål.docx", "A 35733-2021")</f>
        <v/>
      </c>
      <c r="W750">
        <f>HYPERLINK("https://klasma.github.io/Logging_2482/klagomålsmail/A 35733-2021 FSC-klagomål mail.docx", "A 35733-2021")</f>
        <v/>
      </c>
      <c r="X750">
        <f>HYPERLINK("https://klasma.github.io/Logging_2482/tillsyn/A 35733-2021 tillsynsbegäran.docx", "A 35733-2021")</f>
        <v/>
      </c>
      <c r="Y750">
        <f>HYPERLINK("https://klasma.github.io/Logging_2482/tillsynsmail/A 35733-2021 tillsynsbegäran mail.docx", "A 35733-2021")</f>
        <v/>
      </c>
      <c r="Z750">
        <f>HYPERLINK("https://klasma.github.io/Logging_2482/fåglar/A 35733-2021 prioriterade fågelarter.docx", "A 35733-2021")</f>
        <v/>
      </c>
    </row>
    <row r="751" ht="15" customHeight="1">
      <c r="A751" t="inlineStr">
        <is>
          <t>A 5287-2026</t>
        </is>
      </c>
      <c r="B751" s="1" t="n">
        <v>46050.34443287037</v>
      </c>
      <c r="C751" s="1" t="n">
        <v>46075</v>
      </c>
      <c r="D751" t="inlineStr">
        <is>
          <t>VÄSTERBOTTENS LÄN</t>
        </is>
      </c>
      <c r="E751" t="inlineStr">
        <is>
          <t>ROBERTSFORS</t>
        </is>
      </c>
      <c r="G751" t="n">
        <v>3.2</v>
      </c>
      <c r="H751" t="n">
        <v>1</v>
      </c>
      <c r="I751" t="n">
        <v>0</v>
      </c>
      <c r="J751" t="n">
        <v>2</v>
      </c>
      <c r="K751" t="n">
        <v>0</v>
      </c>
      <c r="L751" t="n">
        <v>0</v>
      </c>
      <c r="M751" t="n">
        <v>0</v>
      </c>
      <c r="N751" t="n">
        <v>0</v>
      </c>
      <c r="O751" t="n">
        <v>2</v>
      </c>
      <c r="P751" t="n">
        <v>0</v>
      </c>
      <c r="Q751" t="n">
        <v>2</v>
      </c>
      <c r="R751" s="2" t="inlineStr">
        <is>
          <t>Gammelgransskål
Spillkråka</t>
        </is>
      </c>
      <c r="S751">
        <f>HYPERLINK("https://klasma.github.io/Logging_2409/artfynd/A 5287-2026 artfynd.xlsx", "A 5287-2026")</f>
        <v/>
      </c>
      <c r="T751">
        <f>HYPERLINK("https://klasma.github.io/Logging_2409/kartor/A 5287-2026 karta.png", "A 5287-2026")</f>
        <v/>
      </c>
      <c r="V751">
        <f>HYPERLINK("https://klasma.github.io/Logging_2409/klagomål/A 5287-2026 FSC-klagomål.docx", "A 5287-2026")</f>
        <v/>
      </c>
      <c r="W751">
        <f>HYPERLINK("https://klasma.github.io/Logging_2409/klagomålsmail/A 5287-2026 FSC-klagomål mail.docx", "A 5287-2026")</f>
        <v/>
      </c>
      <c r="X751">
        <f>HYPERLINK("https://klasma.github.io/Logging_2409/tillsyn/A 5287-2026 tillsynsbegäran.docx", "A 5287-2026")</f>
        <v/>
      </c>
      <c r="Y751">
        <f>HYPERLINK("https://klasma.github.io/Logging_2409/tillsynsmail/A 5287-2026 tillsynsbegäran mail.docx", "A 5287-2026")</f>
        <v/>
      </c>
      <c r="Z751">
        <f>HYPERLINK("https://klasma.github.io/Logging_2409/fåglar/A 5287-2026 prioriterade fågelarter.docx", "A 5287-2026")</f>
        <v/>
      </c>
    </row>
    <row r="752" ht="15" customHeight="1">
      <c r="A752" t="inlineStr">
        <is>
          <t>A 20111-2025</t>
        </is>
      </c>
      <c r="B752" s="1" t="n">
        <v>45772.47297453704</v>
      </c>
      <c r="C752" s="1" t="n">
        <v>46075</v>
      </c>
      <c r="D752" t="inlineStr">
        <is>
          <t>VÄSTERBOTTENS LÄN</t>
        </is>
      </c>
      <c r="E752" t="inlineStr">
        <is>
          <t>LYCKSELE</t>
        </is>
      </c>
      <c r="F752" t="inlineStr">
        <is>
          <t>Sveaskog</t>
        </is>
      </c>
      <c r="G752" t="n">
        <v>6.9</v>
      </c>
      <c r="H752" t="n">
        <v>0</v>
      </c>
      <c r="I752" t="n">
        <v>0</v>
      </c>
      <c r="J752" t="n">
        <v>2</v>
      </c>
      <c r="K752" t="n">
        <v>0</v>
      </c>
      <c r="L752" t="n">
        <v>0</v>
      </c>
      <c r="M752" t="n">
        <v>0</v>
      </c>
      <c r="N752" t="n">
        <v>0</v>
      </c>
      <c r="O752" t="n">
        <v>2</v>
      </c>
      <c r="P752" t="n">
        <v>0</v>
      </c>
      <c r="Q752" t="n">
        <v>2</v>
      </c>
      <c r="R752" s="2" t="inlineStr">
        <is>
          <t>Blå taggsvamp
Orange taggsvamp</t>
        </is>
      </c>
      <c r="S752">
        <f>HYPERLINK("https://klasma.github.io/Logging_2481/artfynd/A 20111-2025 artfynd.xlsx", "A 20111-2025")</f>
        <v/>
      </c>
      <c r="T752">
        <f>HYPERLINK("https://klasma.github.io/Logging_2481/kartor/A 20111-2025 karta.png", "A 20111-2025")</f>
        <v/>
      </c>
      <c r="V752">
        <f>HYPERLINK("https://klasma.github.io/Logging_2481/klagomål/A 20111-2025 FSC-klagomål.docx", "A 20111-2025")</f>
        <v/>
      </c>
      <c r="W752">
        <f>HYPERLINK("https://klasma.github.io/Logging_2481/klagomålsmail/A 20111-2025 FSC-klagomål mail.docx", "A 20111-2025")</f>
        <v/>
      </c>
      <c r="X752">
        <f>HYPERLINK("https://klasma.github.io/Logging_2481/tillsyn/A 20111-2025 tillsynsbegäran.docx", "A 20111-2025")</f>
        <v/>
      </c>
      <c r="Y752">
        <f>HYPERLINK("https://klasma.github.io/Logging_2481/tillsynsmail/A 20111-2025 tillsynsbegäran mail.docx", "A 20111-2025")</f>
        <v/>
      </c>
    </row>
    <row r="753" ht="15" customHeight="1">
      <c r="A753" t="inlineStr">
        <is>
          <t>A 27295-2024</t>
        </is>
      </c>
      <c r="B753" s="1" t="n">
        <v>45471.94290509259</v>
      </c>
      <c r="C753" s="1" t="n">
        <v>46075</v>
      </c>
      <c r="D753" t="inlineStr">
        <is>
          <t>VÄSTERBOTTENS LÄN</t>
        </is>
      </c>
      <c r="E753" t="inlineStr">
        <is>
          <t>BJURHOLM</t>
        </is>
      </c>
      <c r="F753" t="inlineStr">
        <is>
          <t>SCA</t>
        </is>
      </c>
      <c r="G753" t="n">
        <v>1.9</v>
      </c>
      <c r="H753" t="n">
        <v>0</v>
      </c>
      <c r="I753" t="n">
        <v>1</v>
      </c>
      <c r="J753" t="n">
        <v>1</v>
      </c>
      <c r="K753" t="n">
        <v>0</v>
      </c>
      <c r="L753" t="n">
        <v>0</v>
      </c>
      <c r="M753" t="n">
        <v>0</v>
      </c>
      <c r="N753" t="n">
        <v>0</v>
      </c>
      <c r="O753" t="n">
        <v>1</v>
      </c>
      <c r="P753" t="n">
        <v>0</v>
      </c>
      <c r="Q753" t="n">
        <v>2</v>
      </c>
      <c r="R753" s="2" t="inlineStr">
        <is>
          <t>Kolflarnlav
Dropptaggsvamp</t>
        </is>
      </c>
      <c r="S753">
        <f>HYPERLINK("https://klasma.github.io/Logging_2403/artfynd/A 27295-2024 artfynd.xlsx", "A 27295-2024")</f>
        <v/>
      </c>
      <c r="T753">
        <f>HYPERLINK("https://klasma.github.io/Logging_2403/kartor/A 27295-2024 karta.png", "A 27295-2024")</f>
        <v/>
      </c>
      <c r="V753">
        <f>HYPERLINK("https://klasma.github.io/Logging_2403/klagomål/A 27295-2024 FSC-klagomål.docx", "A 27295-2024")</f>
        <v/>
      </c>
      <c r="W753">
        <f>HYPERLINK("https://klasma.github.io/Logging_2403/klagomålsmail/A 27295-2024 FSC-klagomål mail.docx", "A 27295-2024")</f>
        <v/>
      </c>
      <c r="X753">
        <f>HYPERLINK("https://klasma.github.io/Logging_2403/tillsyn/A 27295-2024 tillsynsbegäran.docx", "A 27295-2024")</f>
        <v/>
      </c>
      <c r="Y753">
        <f>HYPERLINK("https://klasma.github.io/Logging_2403/tillsynsmail/A 27295-2024 tillsynsbegäran mail.docx", "A 27295-2024")</f>
        <v/>
      </c>
    </row>
    <row r="754" ht="15" customHeight="1">
      <c r="A754" t="inlineStr">
        <is>
          <t>A 5290-2026</t>
        </is>
      </c>
      <c r="B754" s="1" t="n">
        <v>46050.34460648148</v>
      </c>
      <c r="C754" s="1" t="n">
        <v>46075</v>
      </c>
      <c r="D754" t="inlineStr">
        <is>
          <t>VÄSTERBOTTENS LÄN</t>
        </is>
      </c>
      <c r="E754" t="inlineStr">
        <is>
          <t>ROBERTSFORS</t>
        </is>
      </c>
      <c r="G754" t="n">
        <v>2</v>
      </c>
      <c r="H754" t="n">
        <v>0</v>
      </c>
      <c r="I754" t="n">
        <v>1</v>
      </c>
      <c r="J754" t="n">
        <v>1</v>
      </c>
      <c r="K754" t="n">
        <v>0</v>
      </c>
      <c r="L754" t="n">
        <v>0</v>
      </c>
      <c r="M754" t="n">
        <v>0</v>
      </c>
      <c r="N754" t="n">
        <v>0</v>
      </c>
      <c r="O754" t="n">
        <v>1</v>
      </c>
      <c r="P754" t="n">
        <v>0</v>
      </c>
      <c r="Q754" t="n">
        <v>2</v>
      </c>
      <c r="R754" s="2" t="inlineStr">
        <is>
          <t>Granticka
Vedticka</t>
        </is>
      </c>
      <c r="S754">
        <f>HYPERLINK("https://klasma.github.io/Logging_2409/artfynd/A 5290-2026 artfynd.xlsx", "A 5290-2026")</f>
        <v/>
      </c>
      <c r="T754">
        <f>HYPERLINK("https://klasma.github.io/Logging_2409/kartor/A 5290-2026 karta.png", "A 5290-2026")</f>
        <v/>
      </c>
      <c r="V754">
        <f>HYPERLINK("https://klasma.github.io/Logging_2409/klagomål/A 5290-2026 FSC-klagomål.docx", "A 5290-2026")</f>
        <v/>
      </c>
      <c r="W754">
        <f>HYPERLINK("https://klasma.github.io/Logging_2409/klagomålsmail/A 5290-2026 FSC-klagomål mail.docx", "A 5290-2026")</f>
        <v/>
      </c>
      <c r="X754">
        <f>HYPERLINK("https://klasma.github.io/Logging_2409/tillsyn/A 5290-2026 tillsynsbegäran.docx", "A 5290-2026")</f>
        <v/>
      </c>
      <c r="Y754">
        <f>HYPERLINK("https://klasma.github.io/Logging_2409/tillsynsmail/A 5290-2026 tillsynsbegäran mail.docx", "A 5290-2026")</f>
        <v/>
      </c>
    </row>
    <row r="755" ht="15" customHeight="1">
      <c r="A755" t="inlineStr">
        <is>
          <t>A 59706-2021</t>
        </is>
      </c>
      <c r="B755" s="1" t="n">
        <v>44494</v>
      </c>
      <c r="C755" s="1" t="n">
        <v>46075</v>
      </c>
      <c r="D755" t="inlineStr">
        <is>
          <t>VÄSTERBOTTENS LÄN</t>
        </is>
      </c>
      <c r="E755" t="inlineStr">
        <is>
          <t>SKELLEFTEÅ</t>
        </is>
      </c>
      <c r="F755" t="inlineStr">
        <is>
          <t>Sveaskog</t>
        </is>
      </c>
      <c r="G755" t="n">
        <v>2.5</v>
      </c>
      <c r="H755" t="n">
        <v>0</v>
      </c>
      <c r="I755" t="n">
        <v>0</v>
      </c>
      <c r="J755" t="n">
        <v>2</v>
      </c>
      <c r="K755" t="n">
        <v>0</v>
      </c>
      <c r="L755" t="n">
        <v>0</v>
      </c>
      <c r="M755" t="n">
        <v>0</v>
      </c>
      <c r="N755" t="n">
        <v>0</v>
      </c>
      <c r="O755" t="n">
        <v>2</v>
      </c>
      <c r="P755" t="n">
        <v>0</v>
      </c>
      <c r="Q755" t="n">
        <v>2</v>
      </c>
      <c r="R755" s="2" t="inlineStr">
        <is>
          <t>Garnlav
Violettgrå tagellav</t>
        </is>
      </c>
      <c r="S755">
        <f>HYPERLINK("https://klasma.github.io/Logging_2482/artfynd/A 59706-2021 artfynd.xlsx", "A 59706-2021")</f>
        <v/>
      </c>
      <c r="T755">
        <f>HYPERLINK("https://klasma.github.io/Logging_2482/kartor/A 59706-2021 karta.png", "A 59706-2021")</f>
        <v/>
      </c>
      <c r="V755">
        <f>HYPERLINK("https://klasma.github.io/Logging_2482/klagomål/A 59706-2021 FSC-klagomål.docx", "A 59706-2021")</f>
        <v/>
      </c>
      <c r="W755">
        <f>HYPERLINK("https://klasma.github.io/Logging_2482/klagomålsmail/A 59706-2021 FSC-klagomål mail.docx", "A 59706-2021")</f>
        <v/>
      </c>
      <c r="X755">
        <f>HYPERLINK("https://klasma.github.io/Logging_2482/tillsyn/A 59706-2021 tillsynsbegäran.docx", "A 59706-2021")</f>
        <v/>
      </c>
      <c r="Y755">
        <f>HYPERLINK("https://klasma.github.io/Logging_2482/tillsynsmail/A 59706-2021 tillsynsbegäran mail.docx", "A 59706-2021")</f>
        <v/>
      </c>
    </row>
    <row r="756" ht="15" customHeight="1">
      <c r="A756" t="inlineStr">
        <is>
          <t>A 12760-2022</t>
        </is>
      </c>
      <c r="B756" s="1" t="n">
        <v>44641</v>
      </c>
      <c r="C756" s="1" t="n">
        <v>46075</v>
      </c>
      <c r="D756" t="inlineStr">
        <is>
          <t>VÄSTERBOTTENS LÄN</t>
        </is>
      </c>
      <c r="E756" t="inlineStr">
        <is>
          <t>LYCKSELE</t>
        </is>
      </c>
      <c r="G756" t="n">
        <v>11.6</v>
      </c>
      <c r="H756" t="n">
        <v>1</v>
      </c>
      <c r="I756" t="n">
        <v>0</v>
      </c>
      <c r="J756" t="n">
        <v>2</v>
      </c>
      <c r="K756" t="n">
        <v>0</v>
      </c>
      <c r="L756" t="n">
        <v>0</v>
      </c>
      <c r="M756" t="n">
        <v>0</v>
      </c>
      <c r="N756" t="n">
        <v>0</v>
      </c>
      <c r="O756" t="n">
        <v>2</v>
      </c>
      <c r="P756" t="n">
        <v>0</v>
      </c>
      <c r="Q756" t="n">
        <v>2</v>
      </c>
      <c r="R756" s="2" t="inlineStr">
        <is>
          <t>Garnlav
Järpe</t>
        </is>
      </c>
      <c r="S756">
        <f>HYPERLINK("https://klasma.github.io/Logging_2481/artfynd/A 12760-2022 artfynd.xlsx", "A 12760-2022")</f>
        <v/>
      </c>
      <c r="T756">
        <f>HYPERLINK("https://klasma.github.io/Logging_2481/kartor/A 12760-2022 karta.png", "A 12760-2022")</f>
        <v/>
      </c>
      <c r="V756">
        <f>HYPERLINK("https://klasma.github.io/Logging_2481/klagomål/A 12760-2022 FSC-klagomål.docx", "A 12760-2022")</f>
        <v/>
      </c>
      <c r="W756">
        <f>HYPERLINK("https://klasma.github.io/Logging_2481/klagomålsmail/A 12760-2022 FSC-klagomål mail.docx", "A 12760-2022")</f>
        <v/>
      </c>
      <c r="X756">
        <f>HYPERLINK("https://klasma.github.io/Logging_2481/tillsyn/A 12760-2022 tillsynsbegäran.docx", "A 12760-2022")</f>
        <v/>
      </c>
      <c r="Y756">
        <f>HYPERLINK("https://klasma.github.io/Logging_2481/tillsynsmail/A 12760-2022 tillsynsbegäran mail.docx", "A 12760-2022")</f>
        <v/>
      </c>
      <c r="Z756">
        <f>HYPERLINK("https://klasma.github.io/Logging_2481/fåglar/A 12760-2022 prioriterade fågelarter.docx", "A 12760-2022")</f>
        <v/>
      </c>
    </row>
    <row r="757" ht="15" customHeight="1">
      <c r="A757" t="inlineStr">
        <is>
          <t>A 25712-2024</t>
        </is>
      </c>
      <c r="B757" s="1" t="n">
        <v>45463</v>
      </c>
      <c r="C757" s="1" t="n">
        <v>46075</v>
      </c>
      <c r="D757" t="inlineStr">
        <is>
          <t>VÄSTERBOTTENS LÄN</t>
        </is>
      </c>
      <c r="E757" t="inlineStr">
        <is>
          <t>ÅSELE</t>
        </is>
      </c>
      <c r="F757" t="inlineStr">
        <is>
          <t>SCA</t>
        </is>
      </c>
      <c r="G757" t="n">
        <v>3.3</v>
      </c>
      <c r="H757" t="n">
        <v>0</v>
      </c>
      <c r="I757" t="n">
        <v>1</v>
      </c>
      <c r="J757" t="n">
        <v>1</v>
      </c>
      <c r="K757" t="n">
        <v>0</v>
      </c>
      <c r="L757" t="n">
        <v>0</v>
      </c>
      <c r="M757" t="n">
        <v>0</v>
      </c>
      <c r="N757" t="n">
        <v>0</v>
      </c>
      <c r="O757" t="n">
        <v>1</v>
      </c>
      <c r="P757" t="n">
        <v>0</v>
      </c>
      <c r="Q757" t="n">
        <v>2</v>
      </c>
      <c r="R757" s="2" t="inlineStr">
        <is>
          <t>Lunglav
Stuplav</t>
        </is>
      </c>
      <c r="S757">
        <f>HYPERLINK("https://klasma.github.io/Logging_2463/artfynd/A 25712-2024 artfynd.xlsx", "A 25712-2024")</f>
        <v/>
      </c>
      <c r="T757">
        <f>HYPERLINK("https://klasma.github.io/Logging_2463/kartor/A 25712-2024 karta.png", "A 25712-2024")</f>
        <v/>
      </c>
      <c r="V757">
        <f>HYPERLINK("https://klasma.github.io/Logging_2463/klagomål/A 25712-2024 FSC-klagomål.docx", "A 25712-2024")</f>
        <v/>
      </c>
      <c r="W757">
        <f>HYPERLINK("https://klasma.github.io/Logging_2463/klagomålsmail/A 25712-2024 FSC-klagomål mail.docx", "A 25712-2024")</f>
        <v/>
      </c>
      <c r="X757">
        <f>HYPERLINK("https://klasma.github.io/Logging_2463/tillsyn/A 25712-2024 tillsynsbegäran.docx", "A 25712-2024")</f>
        <v/>
      </c>
      <c r="Y757">
        <f>HYPERLINK("https://klasma.github.io/Logging_2463/tillsynsmail/A 25712-2024 tillsynsbegäran mail.docx", "A 25712-2024")</f>
        <v/>
      </c>
    </row>
    <row r="758" ht="15" customHeight="1">
      <c r="A758" t="inlineStr">
        <is>
          <t>A 20434-2022</t>
        </is>
      </c>
      <c r="B758" s="1" t="n">
        <v>44699</v>
      </c>
      <c r="C758" s="1" t="n">
        <v>46075</v>
      </c>
      <c r="D758" t="inlineStr">
        <is>
          <t>VÄSTERBOTTENS LÄN</t>
        </is>
      </c>
      <c r="E758" t="inlineStr">
        <is>
          <t>STORUMAN</t>
        </is>
      </c>
      <c r="G758" t="n">
        <v>3.4</v>
      </c>
      <c r="H758" t="n">
        <v>2</v>
      </c>
      <c r="I758" t="n">
        <v>0</v>
      </c>
      <c r="J758" t="n">
        <v>1</v>
      </c>
      <c r="K758" t="n">
        <v>1</v>
      </c>
      <c r="L758" t="n">
        <v>0</v>
      </c>
      <c r="M758" t="n">
        <v>0</v>
      </c>
      <c r="N758" t="n">
        <v>0</v>
      </c>
      <c r="O758" t="n">
        <v>2</v>
      </c>
      <c r="P758" t="n">
        <v>1</v>
      </c>
      <c r="Q758" t="n">
        <v>2</v>
      </c>
      <c r="R758" s="2" t="inlineStr">
        <is>
          <t>Knärot
Spillkråka</t>
        </is>
      </c>
      <c r="S758">
        <f>HYPERLINK("https://klasma.github.io/Logging_2421/artfynd/A 20434-2022 artfynd.xlsx", "A 20434-2022")</f>
        <v/>
      </c>
      <c r="T758">
        <f>HYPERLINK("https://klasma.github.io/Logging_2421/kartor/A 20434-2022 karta.png", "A 20434-2022")</f>
        <v/>
      </c>
      <c r="U758">
        <f>HYPERLINK("https://klasma.github.io/Logging_2421/knärot/A 20434-2022 karta knärot.png", "A 20434-2022")</f>
        <v/>
      </c>
      <c r="V758">
        <f>HYPERLINK("https://klasma.github.io/Logging_2421/klagomål/A 20434-2022 FSC-klagomål.docx", "A 20434-2022")</f>
        <v/>
      </c>
      <c r="W758">
        <f>HYPERLINK("https://klasma.github.io/Logging_2421/klagomålsmail/A 20434-2022 FSC-klagomål mail.docx", "A 20434-2022")</f>
        <v/>
      </c>
      <c r="X758">
        <f>HYPERLINK("https://klasma.github.io/Logging_2421/tillsyn/A 20434-2022 tillsynsbegäran.docx", "A 20434-2022")</f>
        <v/>
      </c>
      <c r="Y758">
        <f>HYPERLINK("https://klasma.github.io/Logging_2421/tillsynsmail/A 20434-2022 tillsynsbegäran mail.docx", "A 20434-2022")</f>
        <v/>
      </c>
      <c r="Z758">
        <f>HYPERLINK("https://klasma.github.io/Logging_2421/fåglar/A 20434-2022 prioriterade fågelarter.docx", "A 20434-2022")</f>
        <v/>
      </c>
    </row>
    <row r="759" ht="15" customHeight="1">
      <c r="A759" t="inlineStr">
        <is>
          <t>A 61172-2024</t>
        </is>
      </c>
      <c r="B759" s="1" t="n">
        <v>45645</v>
      </c>
      <c r="C759" s="1" t="n">
        <v>46075</v>
      </c>
      <c r="D759" t="inlineStr">
        <is>
          <t>VÄSTERBOTTENS LÄN</t>
        </is>
      </c>
      <c r="E759" t="inlineStr">
        <is>
          <t>BJURHOLM</t>
        </is>
      </c>
      <c r="G759" t="n">
        <v>4.6</v>
      </c>
      <c r="H759" t="n">
        <v>0</v>
      </c>
      <c r="I759" t="n">
        <v>1</v>
      </c>
      <c r="J759" t="n">
        <v>1</v>
      </c>
      <c r="K759" t="n">
        <v>0</v>
      </c>
      <c r="L759" t="n">
        <v>0</v>
      </c>
      <c r="M759" t="n">
        <v>0</v>
      </c>
      <c r="N759" t="n">
        <v>0</v>
      </c>
      <c r="O759" t="n">
        <v>1</v>
      </c>
      <c r="P759" t="n">
        <v>0</v>
      </c>
      <c r="Q759" t="n">
        <v>2</v>
      </c>
      <c r="R759" s="2" t="inlineStr">
        <is>
          <t>Lunglav
Stuplav</t>
        </is>
      </c>
      <c r="S759">
        <f>HYPERLINK("https://klasma.github.io/Logging_2403/artfynd/A 61172-2024 artfynd.xlsx", "A 61172-2024")</f>
        <v/>
      </c>
      <c r="T759">
        <f>HYPERLINK("https://klasma.github.io/Logging_2403/kartor/A 61172-2024 karta.png", "A 61172-2024")</f>
        <v/>
      </c>
      <c r="V759">
        <f>HYPERLINK("https://klasma.github.io/Logging_2403/klagomål/A 61172-2024 FSC-klagomål.docx", "A 61172-2024")</f>
        <v/>
      </c>
      <c r="W759">
        <f>HYPERLINK("https://klasma.github.io/Logging_2403/klagomålsmail/A 61172-2024 FSC-klagomål mail.docx", "A 61172-2024")</f>
        <v/>
      </c>
      <c r="X759">
        <f>HYPERLINK("https://klasma.github.io/Logging_2403/tillsyn/A 61172-2024 tillsynsbegäran.docx", "A 61172-2024")</f>
        <v/>
      </c>
      <c r="Y759">
        <f>HYPERLINK("https://klasma.github.io/Logging_2403/tillsynsmail/A 61172-2024 tillsynsbegäran mail.docx", "A 61172-2024")</f>
        <v/>
      </c>
    </row>
    <row r="760" ht="15" customHeight="1">
      <c r="A760" t="inlineStr">
        <is>
          <t>A 42274-2025</t>
        </is>
      </c>
      <c r="B760" s="1" t="n">
        <v>45903</v>
      </c>
      <c r="C760" s="1" t="n">
        <v>46075</v>
      </c>
      <c r="D760" t="inlineStr">
        <is>
          <t>VÄSTERBOTTENS LÄN</t>
        </is>
      </c>
      <c r="E760" t="inlineStr">
        <is>
          <t>VILHELMINA</t>
        </is>
      </c>
      <c r="F760" t="inlineStr">
        <is>
          <t>Övriga statliga verk och myndigheter</t>
        </is>
      </c>
      <c r="G760" t="n">
        <v>3.1</v>
      </c>
      <c r="H760" t="n">
        <v>2</v>
      </c>
      <c r="I760" t="n">
        <v>1</v>
      </c>
      <c r="J760" t="n">
        <v>1</v>
      </c>
      <c r="K760" t="n">
        <v>0</v>
      </c>
      <c r="L760" t="n">
        <v>0</v>
      </c>
      <c r="M760" t="n">
        <v>0</v>
      </c>
      <c r="N760" t="n">
        <v>0</v>
      </c>
      <c r="O760" t="n">
        <v>1</v>
      </c>
      <c r="P760" t="n">
        <v>0</v>
      </c>
      <c r="Q760" t="n">
        <v>2</v>
      </c>
      <c r="R760" s="2" t="inlineStr">
        <is>
          <t>Björktrast
Grönkulla</t>
        </is>
      </c>
      <c r="S760">
        <f>HYPERLINK("https://klasma.github.io/Logging_2462/artfynd/A 42274-2025 artfynd.xlsx", "A 42274-2025")</f>
        <v/>
      </c>
      <c r="T760">
        <f>HYPERLINK("https://klasma.github.io/Logging_2462/kartor/A 42274-2025 karta.png", "A 42274-2025")</f>
        <v/>
      </c>
      <c r="V760">
        <f>HYPERLINK("https://klasma.github.io/Logging_2462/klagomål/A 42274-2025 FSC-klagomål.docx", "A 42274-2025")</f>
        <v/>
      </c>
      <c r="W760">
        <f>HYPERLINK("https://klasma.github.io/Logging_2462/klagomålsmail/A 42274-2025 FSC-klagomål mail.docx", "A 42274-2025")</f>
        <v/>
      </c>
      <c r="X760">
        <f>HYPERLINK("https://klasma.github.io/Logging_2462/tillsyn/A 42274-2025 tillsynsbegäran.docx", "A 42274-2025")</f>
        <v/>
      </c>
      <c r="Y760">
        <f>HYPERLINK("https://klasma.github.io/Logging_2462/tillsynsmail/A 42274-2025 tillsynsbegäran mail.docx", "A 42274-2025")</f>
        <v/>
      </c>
      <c r="Z760">
        <f>HYPERLINK("https://klasma.github.io/Logging_2462/fåglar/A 42274-2025 prioriterade fågelarter.docx", "A 42274-2025")</f>
        <v/>
      </c>
    </row>
    <row r="761" ht="15" customHeight="1">
      <c r="A761" t="inlineStr">
        <is>
          <t>A 14070-2022</t>
        </is>
      </c>
      <c r="B761" s="1" t="n">
        <v>44650</v>
      </c>
      <c r="C761" s="1" t="n">
        <v>46075</v>
      </c>
      <c r="D761" t="inlineStr">
        <is>
          <t>VÄSTERBOTTENS LÄN</t>
        </is>
      </c>
      <c r="E761" t="inlineStr">
        <is>
          <t>STORUMAN</t>
        </is>
      </c>
      <c r="F761" t="inlineStr">
        <is>
          <t>Övriga statliga verk och myndigheter</t>
        </is>
      </c>
      <c r="G761" t="n">
        <v>14.1</v>
      </c>
      <c r="H761" t="n">
        <v>1</v>
      </c>
      <c r="I761" t="n">
        <v>0</v>
      </c>
      <c r="J761" t="n">
        <v>2</v>
      </c>
      <c r="K761" t="n">
        <v>0</v>
      </c>
      <c r="L761" t="n">
        <v>0</v>
      </c>
      <c r="M761" t="n">
        <v>0</v>
      </c>
      <c r="N761" t="n">
        <v>0</v>
      </c>
      <c r="O761" t="n">
        <v>2</v>
      </c>
      <c r="P761" t="n">
        <v>0</v>
      </c>
      <c r="Q761" t="n">
        <v>2</v>
      </c>
      <c r="R761" s="2" t="inlineStr">
        <is>
          <t>Granticka
Järpe</t>
        </is>
      </c>
      <c r="S761">
        <f>HYPERLINK("https://klasma.github.io/Logging_2421/artfynd/A 14070-2022 artfynd.xlsx", "A 14070-2022")</f>
        <v/>
      </c>
      <c r="T761">
        <f>HYPERLINK("https://klasma.github.io/Logging_2421/kartor/A 14070-2022 karta.png", "A 14070-2022")</f>
        <v/>
      </c>
      <c r="V761">
        <f>HYPERLINK("https://klasma.github.io/Logging_2421/klagomål/A 14070-2022 FSC-klagomål.docx", "A 14070-2022")</f>
        <v/>
      </c>
      <c r="W761">
        <f>HYPERLINK("https://klasma.github.io/Logging_2421/klagomålsmail/A 14070-2022 FSC-klagomål mail.docx", "A 14070-2022")</f>
        <v/>
      </c>
      <c r="X761">
        <f>HYPERLINK("https://klasma.github.io/Logging_2421/tillsyn/A 14070-2022 tillsynsbegäran.docx", "A 14070-2022")</f>
        <v/>
      </c>
      <c r="Y761">
        <f>HYPERLINK("https://klasma.github.io/Logging_2421/tillsynsmail/A 14070-2022 tillsynsbegäran mail.docx", "A 14070-2022")</f>
        <v/>
      </c>
      <c r="Z761">
        <f>HYPERLINK("https://klasma.github.io/Logging_2421/fåglar/A 14070-2022 prioriterade fågelarter.docx", "A 14070-2022")</f>
        <v/>
      </c>
    </row>
    <row r="762" ht="15" customHeight="1">
      <c r="A762" t="inlineStr">
        <is>
          <t>A 18922-2023</t>
        </is>
      </c>
      <c r="B762" s="1" t="n">
        <v>45043</v>
      </c>
      <c r="C762" s="1" t="n">
        <v>46075</v>
      </c>
      <c r="D762" t="inlineStr">
        <is>
          <t>VÄSTERBOTTENS LÄN</t>
        </is>
      </c>
      <c r="E762" t="inlineStr">
        <is>
          <t>UMEÅ</t>
        </is>
      </c>
      <c r="G762" t="n">
        <v>9.199999999999999</v>
      </c>
      <c r="H762" t="n">
        <v>0</v>
      </c>
      <c r="I762" t="n">
        <v>0</v>
      </c>
      <c r="J762" t="n">
        <v>2</v>
      </c>
      <c r="K762" t="n">
        <v>0</v>
      </c>
      <c r="L762" t="n">
        <v>0</v>
      </c>
      <c r="M762" t="n">
        <v>0</v>
      </c>
      <c r="N762" t="n">
        <v>0</v>
      </c>
      <c r="O762" t="n">
        <v>2</v>
      </c>
      <c r="P762" t="n">
        <v>0</v>
      </c>
      <c r="Q762" t="n">
        <v>2</v>
      </c>
      <c r="R762" s="2" t="inlineStr">
        <is>
          <t>Granticka
Ullticka</t>
        </is>
      </c>
      <c r="S762">
        <f>HYPERLINK("https://klasma.github.io/Logging_2480/artfynd/A 18922-2023 artfynd.xlsx", "A 18922-2023")</f>
        <v/>
      </c>
      <c r="T762">
        <f>HYPERLINK("https://klasma.github.io/Logging_2480/kartor/A 18922-2023 karta.png", "A 18922-2023")</f>
        <v/>
      </c>
      <c r="V762">
        <f>HYPERLINK("https://klasma.github.io/Logging_2480/klagomål/A 18922-2023 FSC-klagomål.docx", "A 18922-2023")</f>
        <v/>
      </c>
      <c r="W762">
        <f>HYPERLINK("https://klasma.github.io/Logging_2480/klagomålsmail/A 18922-2023 FSC-klagomål mail.docx", "A 18922-2023")</f>
        <v/>
      </c>
      <c r="X762">
        <f>HYPERLINK("https://klasma.github.io/Logging_2480/tillsyn/A 18922-2023 tillsynsbegäran.docx", "A 18922-2023")</f>
        <v/>
      </c>
      <c r="Y762">
        <f>HYPERLINK("https://klasma.github.io/Logging_2480/tillsynsmail/A 18922-2023 tillsynsbegäran mail.docx", "A 18922-2023")</f>
        <v/>
      </c>
    </row>
    <row r="763" ht="15" customHeight="1">
      <c r="A763" t="inlineStr">
        <is>
          <t>A 32618-2024</t>
        </is>
      </c>
      <c r="B763" s="1" t="n">
        <v>45513.68399305556</v>
      </c>
      <c r="C763" s="1" t="n">
        <v>46075</v>
      </c>
      <c r="D763" t="inlineStr">
        <is>
          <t>VÄSTERBOTTENS LÄN</t>
        </is>
      </c>
      <c r="E763" t="inlineStr">
        <is>
          <t>NORSJÖ</t>
        </is>
      </c>
      <c r="F763" t="inlineStr">
        <is>
          <t>Holmen skog AB</t>
        </is>
      </c>
      <c r="G763" t="n">
        <v>1.3</v>
      </c>
      <c r="H763" t="n">
        <v>0</v>
      </c>
      <c r="I763" t="n">
        <v>0</v>
      </c>
      <c r="J763" t="n">
        <v>2</v>
      </c>
      <c r="K763" t="n">
        <v>0</v>
      </c>
      <c r="L763" t="n">
        <v>0</v>
      </c>
      <c r="M763" t="n">
        <v>0</v>
      </c>
      <c r="N763" t="n">
        <v>0</v>
      </c>
      <c r="O763" t="n">
        <v>2</v>
      </c>
      <c r="P763" t="n">
        <v>0</v>
      </c>
      <c r="Q763" t="n">
        <v>2</v>
      </c>
      <c r="R763" s="2" t="inlineStr">
        <is>
          <t>Gammelgransskål
Garnlav</t>
        </is>
      </c>
      <c r="S763">
        <f>HYPERLINK("https://klasma.github.io/Logging_2417/artfynd/A 32618-2024 artfynd.xlsx", "A 32618-2024")</f>
        <v/>
      </c>
      <c r="T763">
        <f>HYPERLINK("https://klasma.github.io/Logging_2417/kartor/A 32618-2024 karta.png", "A 32618-2024")</f>
        <v/>
      </c>
      <c r="V763">
        <f>HYPERLINK("https://klasma.github.io/Logging_2417/klagomål/A 32618-2024 FSC-klagomål.docx", "A 32618-2024")</f>
        <v/>
      </c>
      <c r="W763">
        <f>HYPERLINK("https://klasma.github.io/Logging_2417/klagomålsmail/A 32618-2024 FSC-klagomål mail.docx", "A 32618-2024")</f>
        <v/>
      </c>
      <c r="X763">
        <f>HYPERLINK("https://klasma.github.io/Logging_2417/tillsyn/A 32618-2024 tillsynsbegäran.docx", "A 32618-2024")</f>
        <v/>
      </c>
      <c r="Y763">
        <f>HYPERLINK("https://klasma.github.io/Logging_2417/tillsynsmail/A 32618-2024 tillsynsbegäran mail.docx", "A 32618-2024")</f>
        <v/>
      </c>
    </row>
    <row r="764" ht="15" customHeight="1">
      <c r="A764" t="inlineStr">
        <is>
          <t>A 49440-2022</t>
        </is>
      </c>
      <c r="B764" s="1" t="n">
        <v>44859</v>
      </c>
      <c r="C764" s="1" t="n">
        <v>46075</v>
      </c>
      <c r="D764" t="inlineStr">
        <is>
          <t>VÄSTERBOTTENS LÄN</t>
        </is>
      </c>
      <c r="E764" t="inlineStr">
        <is>
          <t>SKELLEFTEÅ</t>
        </is>
      </c>
      <c r="G764" t="n">
        <v>1.5</v>
      </c>
      <c r="H764" t="n">
        <v>0</v>
      </c>
      <c r="I764" t="n">
        <v>0</v>
      </c>
      <c r="J764" t="n">
        <v>2</v>
      </c>
      <c r="K764" t="n">
        <v>0</v>
      </c>
      <c r="L764" t="n">
        <v>0</v>
      </c>
      <c r="M764" t="n">
        <v>0</v>
      </c>
      <c r="N764" t="n">
        <v>0</v>
      </c>
      <c r="O764" t="n">
        <v>2</v>
      </c>
      <c r="P764" t="n">
        <v>0</v>
      </c>
      <c r="Q764" t="n">
        <v>2</v>
      </c>
      <c r="R764" s="2" t="inlineStr">
        <is>
          <t>Gränsticka
Ullticka</t>
        </is>
      </c>
      <c r="S764">
        <f>HYPERLINK("https://klasma.github.io/Logging_2482/artfynd/A 49440-2022 artfynd.xlsx", "A 49440-2022")</f>
        <v/>
      </c>
      <c r="T764">
        <f>HYPERLINK("https://klasma.github.io/Logging_2482/kartor/A 49440-2022 karta.png", "A 49440-2022")</f>
        <v/>
      </c>
      <c r="V764">
        <f>HYPERLINK("https://klasma.github.io/Logging_2482/klagomål/A 49440-2022 FSC-klagomål.docx", "A 49440-2022")</f>
        <v/>
      </c>
      <c r="W764">
        <f>HYPERLINK("https://klasma.github.io/Logging_2482/klagomålsmail/A 49440-2022 FSC-klagomål mail.docx", "A 49440-2022")</f>
        <v/>
      </c>
      <c r="X764">
        <f>HYPERLINK("https://klasma.github.io/Logging_2482/tillsyn/A 49440-2022 tillsynsbegäran.docx", "A 49440-2022")</f>
        <v/>
      </c>
      <c r="Y764">
        <f>HYPERLINK("https://klasma.github.io/Logging_2482/tillsynsmail/A 49440-2022 tillsynsbegäran mail.docx", "A 49440-2022")</f>
        <v/>
      </c>
    </row>
    <row r="765" ht="15" customHeight="1">
      <c r="A765" t="inlineStr">
        <is>
          <t>A 1259-2024</t>
        </is>
      </c>
      <c r="B765" s="1" t="n">
        <v>45302</v>
      </c>
      <c r="C765" s="1" t="n">
        <v>46075</v>
      </c>
      <c r="D765" t="inlineStr">
        <is>
          <t>VÄSTERBOTTENS LÄN</t>
        </is>
      </c>
      <c r="E765" t="inlineStr">
        <is>
          <t>SKELLEFTEÅ</t>
        </is>
      </c>
      <c r="G765" t="n">
        <v>1.6</v>
      </c>
      <c r="H765" t="n">
        <v>0</v>
      </c>
      <c r="I765" t="n">
        <v>0</v>
      </c>
      <c r="J765" t="n">
        <v>2</v>
      </c>
      <c r="K765" t="n">
        <v>0</v>
      </c>
      <c r="L765" t="n">
        <v>0</v>
      </c>
      <c r="M765" t="n">
        <v>0</v>
      </c>
      <c r="N765" t="n">
        <v>0</v>
      </c>
      <c r="O765" t="n">
        <v>2</v>
      </c>
      <c r="P765" t="n">
        <v>0</v>
      </c>
      <c r="Q765" t="n">
        <v>2</v>
      </c>
      <c r="R765" s="2" t="inlineStr">
        <is>
          <t>Månlåsbräken
Nordlåsbräken</t>
        </is>
      </c>
      <c r="S765">
        <f>HYPERLINK("https://klasma.github.io/Logging_2482/artfynd/A 1259-2024 artfynd.xlsx", "A 1259-2024")</f>
        <v/>
      </c>
      <c r="T765">
        <f>HYPERLINK("https://klasma.github.io/Logging_2482/kartor/A 1259-2024 karta.png", "A 1259-2024")</f>
        <v/>
      </c>
      <c r="V765">
        <f>HYPERLINK("https://klasma.github.io/Logging_2482/klagomål/A 1259-2024 FSC-klagomål.docx", "A 1259-2024")</f>
        <v/>
      </c>
      <c r="W765">
        <f>HYPERLINK("https://klasma.github.io/Logging_2482/klagomålsmail/A 1259-2024 FSC-klagomål mail.docx", "A 1259-2024")</f>
        <v/>
      </c>
      <c r="X765">
        <f>HYPERLINK("https://klasma.github.io/Logging_2482/tillsyn/A 1259-2024 tillsynsbegäran.docx", "A 1259-2024")</f>
        <v/>
      </c>
      <c r="Y765">
        <f>HYPERLINK("https://klasma.github.io/Logging_2482/tillsynsmail/A 1259-2024 tillsynsbegäran mail.docx", "A 1259-2024")</f>
        <v/>
      </c>
    </row>
    <row r="766" ht="15" customHeight="1">
      <c r="A766" t="inlineStr">
        <is>
          <t>A 43094-2023</t>
        </is>
      </c>
      <c r="B766" s="1" t="n">
        <v>45182</v>
      </c>
      <c r="C766" s="1" t="n">
        <v>46075</v>
      </c>
      <c r="D766" t="inlineStr">
        <is>
          <t>VÄSTERBOTTENS LÄN</t>
        </is>
      </c>
      <c r="E766" t="inlineStr">
        <is>
          <t>ROBERTSFORS</t>
        </is>
      </c>
      <c r="G766" t="n">
        <v>7.7</v>
      </c>
      <c r="H766" t="n">
        <v>2</v>
      </c>
      <c r="I766" t="n">
        <v>0</v>
      </c>
      <c r="J766" t="n">
        <v>2</v>
      </c>
      <c r="K766" t="n">
        <v>0</v>
      </c>
      <c r="L766" t="n">
        <v>0</v>
      </c>
      <c r="M766" t="n">
        <v>0</v>
      </c>
      <c r="N766" t="n">
        <v>0</v>
      </c>
      <c r="O766" t="n">
        <v>2</v>
      </c>
      <c r="P766" t="n">
        <v>0</v>
      </c>
      <c r="Q766" t="n">
        <v>2</v>
      </c>
      <c r="R766" s="2" t="inlineStr">
        <is>
          <t>Svartvit flugsnappare
Ärtsångare</t>
        </is>
      </c>
      <c r="S766">
        <f>HYPERLINK("https://klasma.github.io/Logging_2409/artfynd/A 43094-2023 artfynd.xlsx", "A 43094-2023")</f>
        <v/>
      </c>
      <c r="T766">
        <f>HYPERLINK("https://klasma.github.io/Logging_2409/kartor/A 43094-2023 karta.png", "A 43094-2023")</f>
        <v/>
      </c>
      <c r="V766">
        <f>HYPERLINK("https://klasma.github.io/Logging_2409/klagomål/A 43094-2023 FSC-klagomål.docx", "A 43094-2023")</f>
        <v/>
      </c>
      <c r="W766">
        <f>HYPERLINK("https://klasma.github.io/Logging_2409/klagomålsmail/A 43094-2023 FSC-klagomål mail.docx", "A 43094-2023")</f>
        <v/>
      </c>
      <c r="X766">
        <f>HYPERLINK("https://klasma.github.io/Logging_2409/tillsyn/A 43094-2023 tillsynsbegäran.docx", "A 43094-2023")</f>
        <v/>
      </c>
      <c r="Y766">
        <f>HYPERLINK("https://klasma.github.io/Logging_2409/tillsynsmail/A 43094-2023 tillsynsbegäran mail.docx", "A 43094-2023")</f>
        <v/>
      </c>
      <c r="Z766">
        <f>HYPERLINK("https://klasma.github.io/Logging_2409/fåglar/A 43094-2023 prioriterade fågelarter.docx", "A 43094-2023")</f>
        <v/>
      </c>
    </row>
    <row r="767" ht="15" customHeight="1">
      <c r="A767" t="inlineStr">
        <is>
          <t>A 19492-2025</t>
        </is>
      </c>
      <c r="B767" s="1" t="n">
        <v>45770.38863425926</v>
      </c>
      <c r="C767" s="1" t="n">
        <v>46075</v>
      </c>
      <c r="D767" t="inlineStr">
        <is>
          <t>VÄSTERBOTTENS LÄN</t>
        </is>
      </c>
      <c r="E767" t="inlineStr">
        <is>
          <t>LYCKSELE</t>
        </is>
      </c>
      <c r="F767" t="inlineStr">
        <is>
          <t>SCA</t>
        </is>
      </c>
      <c r="G767" t="n">
        <v>14.2</v>
      </c>
      <c r="H767" t="n">
        <v>0</v>
      </c>
      <c r="I767" t="n">
        <v>1</v>
      </c>
      <c r="J767" t="n">
        <v>1</v>
      </c>
      <c r="K767" t="n">
        <v>0</v>
      </c>
      <c r="L767" t="n">
        <v>0</v>
      </c>
      <c r="M767" t="n">
        <v>0</v>
      </c>
      <c r="N767" t="n">
        <v>0</v>
      </c>
      <c r="O767" t="n">
        <v>1</v>
      </c>
      <c r="P767" t="n">
        <v>0</v>
      </c>
      <c r="Q767" t="n">
        <v>2</v>
      </c>
      <c r="R767" s="2" t="inlineStr">
        <is>
          <t>Lunglav
Stuplav</t>
        </is>
      </c>
      <c r="S767">
        <f>HYPERLINK("https://klasma.github.io/Logging_2481/artfynd/A 19492-2025 artfynd.xlsx", "A 19492-2025")</f>
        <v/>
      </c>
      <c r="T767">
        <f>HYPERLINK("https://klasma.github.io/Logging_2481/kartor/A 19492-2025 karta.png", "A 19492-2025")</f>
        <v/>
      </c>
      <c r="V767">
        <f>HYPERLINK("https://klasma.github.io/Logging_2481/klagomål/A 19492-2025 FSC-klagomål.docx", "A 19492-2025")</f>
        <v/>
      </c>
      <c r="W767">
        <f>HYPERLINK("https://klasma.github.io/Logging_2481/klagomålsmail/A 19492-2025 FSC-klagomål mail.docx", "A 19492-2025")</f>
        <v/>
      </c>
      <c r="X767">
        <f>HYPERLINK("https://klasma.github.io/Logging_2481/tillsyn/A 19492-2025 tillsynsbegäran.docx", "A 19492-2025")</f>
        <v/>
      </c>
      <c r="Y767">
        <f>HYPERLINK("https://klasma.github.io/Logging_2481/tillsynsmail/A 19492-2025 tillsynsbegäran mail.docx", "A 19492-2025")</f>
        <v/>
      </c>
    </row>
    <row r="768" ht="15" customHeight="1">
      <c r="A768" t="inlineStr">
        <is>
          <t>A 52234-2024</t>
        </is>
      </c>
      <c r="B768" s="1" t="n">
        <v>45608.6122337963</v>
      </c>
      <c r="C768" s="1" t="n">
        <v>46075</v>
      </c>
      <c r="D768" t="inlineStr">
        <is>
          <t>VÄSTERBOTTENS LÄN</t>
        </is>
      </c>
      <c r="E768" t="inlineStr">
        <is>
          <t>LYCKSELE</t>
        </is>
      </c>
      <c r="F768" t="inlineStr">
        <is>
          <t>Sveaskog</t>
        </is>
      </c>
      <c r="G768" t="n">
        <v>2.7</v>
      </c>
      <c r="H768" t="n">
        <v>1</v>
      </c>
      <c r="I768" t="n">
        <v>1</v>
      </c>
      <c r="J768" t="n">
        <v>0</v>
      </c>
      <c r="K768" t="n">
        <v>0</v>
      </c>
      <c r="L768" t="n">
        <v>0</v>
      </c>
      <c r="M768" t="n">
        <v>0</v>
      </c>
      <c r="N768" t="n">
        <v>0</v>
      </c>
      <c r="O768" t="n">
        <v>0</v>
      </c>
      <c r="P768" t="n">
        <v>0</v>
      </c>
      <c r="Q768" t="n">
        <v>2</v>
      </c>
      <c r="R768" s="2" t="inlineStr">
        <is>
          <t>Dropptaggsvamp
Lavskrika</t>
        </is>
      </c>
      <c r="S768">
        <f>HYPERLINK("https://klasma.github.io/Logging_2481/artfynd/A 52234-2024 artfynd.xlsx", "A 52234-2024")</f>
        <v/>
      </c>
      <c r="T768">
        <f>HYPERLINK("https://klasma.github.io/Logging_2481/kartor/A 52234-2024 karta.png", "A 52234-2024")</f>
        <v/>
      </c>
      <c r="V768">
        <f>HYPERLINK("https://klasma.github.io/Logging_2481/klagomål/A 52234-2024 FSC-klagomål.docx", "A 52234-2024")</f>
        <v/>
      </c>
      <c r="W768">
        <f>HYPERLINK("https://klasma.github.io/Logging_2481/klagomålsmail/A 52234-2024 FSC-klagomål mail.docx", "A 52234-2024")</f>
        <v/>
      </c>
      <c r="X768">
        <f>HYPERLINK("https://klasma.github.io/Logging_2481/tillsyn/A 52234-2024 tillsynsbegäran.docx", "A 52234-2024")</f>
        <v/>
      </c>
      <c r="Y768">
        <f>HYPERLINK("https://klasma.github.io/Logging_2481/tillsynsmail/A 52234-2024 tillsynsbegäran mail.docx", "A 52234-2024")</f>
        <v/>
      </c>
      <c r="Z768">
        <f>HYPERLINK("https://klasma.github.io/Logging_2481/fåglar/A 52234-2024 prioriterade fågelarter.docx", "A 52234-2024")</f>
        <v/>
      </c>
    </row>
    <row r="769" ht="15" customHeight="1">
      <c r="A769" t="inlineStr">
        <is>
          <t>A 15197-2023</t>
        </is>
      </c>
      <c r="B769" s="1" t="n">
        <v>45016</v>
      </c>
      <c r="C769" s="1" t="n">
        <v>46075</v>
      </c>
      <c r="D769" t="inlineStr">
        <is>
          <t>VÄSTERBOTTENS LÄN</t>
        </is>
      </c>
      <c r="E769" t="inlineStr">
        <is>
          <t>LYCKSELE</t>
        </is>
      </c>
      <c r="G769" t="n">
        <v>11.2</v>
      </c>
      <c r="H769" t="n">
        <v>0</v>
      </c>
      <c r="I769" t="n">
        <v>1</v>
      </c>
      <c r="J769" t="n">
        <v>1</v>
      </c>
      <c r="K769" t="n">
        <v>0</v>
      </c>
      <c r="L769" t="n">
        <v>0</v>
      </c>
      <c r="M769" t="n">
        <v>0</v>
      </c>
      <c r="N769" t="n">
        <v>0</v>
      </c>
      <c r="O769" t="n">
        <v>1</v>
      </c>
      <c r="P769" t="n">
        <v>0</v>
      </c>
      <c r="Q769" t="n">
        <v>2</v>
      </c>
      <c r="R769" s="2" t="inlineStr">
        <is>
          <t>Vaddporing
Dropptaggsvamp</t>
        </is>
      </c>
      <c r="S769">
        <f>HYPERLINK("https://klasma.github.io/Logging_2481/artfynd/A 15197-2023 artfynd.xlsx", "A 15197-2023")</f>
        <v/>
      </c>
      <c r="T769">
        <f>HYPERLINK("https://klasma.github.io/Logging_2481/kartor/A 15197-2023 karta.png", "A 15197-2023")</f>
        <v/>
      </c>
      <c r="V769">
        <f>HYPERLINK("https://klasma.github.io/Logging_2481/klagomål/A 15197-2023 FSC-klagomål.docx", "A 15197-2023")</f>
        <v/>
      </c>
      <c r="W769">
        <f>HYPERLINK("https://klasma.github.io/Logging_2481/klagomålsmail/A 15197-2023 FSC-klagomål mail.docx", "A 15197-2023")</f>
        <v/>
      </c>
      <c r="X769">
        <f>HYPERLINK("https://klasma.github.io/Logging_2481/tillsyn/A 15197-2023 tillsynsbegäran.docx", "A 15197-2023")</f>
        <v/>
      </c>
      <c r="Y769">
        <f>HYPERLINK("https://klasma.github.io/Logging_2481/tillsynsmail/A 15197-2023 tillsynsbegäran mail.docx", "A 15197-2023")</f>
        <v/>
      </c>
    </row>
    <row r="770" ht="15" customHeight="1">
      <c r="A770" t="inlineStr">
        <is>
          <t>A 53271-2024</t>
        </is>
      </c>
      <c r="B770" s="1" t="n">
        <v>45614.36726851852</v>
      </c>
      <c r="C770" s="1" t="n">
        <v>46075</v>
      </c>
      <c r="D770" t="inlineStr">
        <is>
          <t>VÄSTERBOTTENS LÄN</t>
        </is>
      </c>
      <c r="E770" t="inlineStr">
        <is>
          <t>SKELLEFTEÅ</t>
        </is>
      </c>
      <c r="F770" t="inlineStr">
        <is>
          <t>Holmen skog AB</t>
        </is>
      </c>
      <c r="G770" t="n">
        <v>11.1</v>
      </c>
      <c r="H770" t="n">
        <v>0</v>
      </c>
      <c r="I770" t="n">
        <v>1</v>
      </c>
      <c r="J770" t="n">
        <v>1</v>
      </c>
      <c r="K770" t="n">
        <v>0</v>
      </c>
      <c r="L770" t="n">
        <v>0</v>
      </c>
      <c r="M770" t="n">
        <v>0</v>
      </c>
      <c r="N770" t="n">
        <v>0</v>
      </c>
      <c r="O770" t="n">
        <v>1</v>
      </c>
      <c r="P770" t="n">
        <v>0</v>
      </c>
      <c r="Q770" t="n">
        <v>2</v>
      </c>
      <c r="R770" s="2" t="inlineStr">
        <is>
          <t>Orange taggsvamp
Ögonpyrola</t>
        </is>
      </c>
      <c r="S770">
        <f>HYPERLINK("https://klasma.github.io/Logging_2482/artfynd/A 53271-2024 artfynd.xlsx", "A 53271-2024")</f>
        <v/>
      </c>
      <c r="T770">
        <f>HYPERLINK("https://klasma.github.io/Logging_2482/kartor/A 53271-2024 karta.png", "A 53271-2024")</f>
        <v/>
      </c>
      <c r="V770">
        <f>HYPERLINK("https://klasma.github.io/Logging_2482/klagomål/A 53271-2024 FSC-klagomål.docx", "A 53271-2024")</f>
        <v/>
      </c>
      <c r="W770">
        <f>HYPERLINK("https://klasma.github.io/Logging_2482/klagomålsmail/A 53271-2024 FSC-klagomål mail.docx", "A 53271-2024")</f>
        <v/>
      </c>
      <c r="X770">
        <f>HYPERLINK("https://klasma.github.io/Logging_2482/tillsyn/A 53271-2024 tillsynsbegäran.docx", "A 53271-2024")</f>
        <v/>
      </c>
      <c r="Y770">
        <f>HYPERLINK("https://klasma.github.io/Logging_2482/tillsynsmail/A 53271-2024 tillsynsbegäran mail.docx", "A 53271-2024")</f>
        <v/>
      </c>
    </row>
    <row r="771" ht="15" customHeight="1">
      <c r="A771" t="inlineStr">
        <is>
          <t>A 24332-2023</t>
        </is>
      </c>
      <c r="B771" s="1" t="n">
        <v>45081</v>
      </c>
      <c r="C771" s="1" t="n">
        <v>46075</v>
      </c>
      <c r="D771" t="inlineStr">
        <is>
          <t>VÄSTERBOTTENS LÄN</t>
        </is>
      </c>
      <c r="E771" t="inlineStr">
        <is>
          <t>SORSELE</t>
        </is>
      </c>
      <c r="F771" t="inlineStr">
        <is>
          <t>Övriga statliga verk och myndigheter</t>
        </is>
      </c>
      <c r="G771" t="n">
        <v>211.8</v>
      </c>
      <c r="H771" t="n">
        <v>0</v>
      </c>
      <c r="I771" t="n">
        <v>0</v>
      </c>
      <c r="J771" t="n">
        <v>2</v>
      </c>
      <c r="K771" t="n">
        <v>0</v>
      </c>
      <c r="L771" t="n">
        <v>0</v>
      </c>
      <c r="M771" t="n">
        <v>0</v>
      </c>
      <c r="N771" t="n">
        <v>0</v>
      </c>
      <c r="O771" t="n">
        <v>2</v>
      </c>
      <c r="P771" t="n">
        <v>0</v>
      </c>
      <c r="Q771" t="n">
        <v>2</v>
      </c>
      <c r="R771" s="2" t="inlineStr">
        <is>
          <t>Granticka
Harticka</t>
        </is>
      </c>
      <c r="S771">
        <f>HYPERLINK("https://klasma.github.io/Logging_2422/artfynd/A 24332-2023 artfynd.xlsx", "A 24332-2023")</f>
        <v/>
      </c>
      <c r="T771">
        <f>HYPERLINK("https://klasma.github.io/Logging_2422/kartor/A 24332-2023 karta.png", "A 24332-2023")</f>
        <v/>
      </c>
      <c r="V771">
        <f>HYPERLINK("https://klasma.github.io/Logging_2422/klagomål/A 24332-2023 FSC-klagomål.docx", "A 24332-2023")</f>
        <v/>
      </c>
      <c r="W771">
        <f>HYPERLINK("https://klasma.github.io/Logging_2422/klagomålsmail/A 24332-2023 FSC-klagomål mail.docx", "A 24332-2023")</f>
        <v/>
      </c>
      <c r="X771">
        <f>HYPERLINK("https://klasma.github.io/Logging_2422/tillsyn/A 24332-2023 tillsynsbegäran.docx", "A 24332-2023")</f>
        <v/>
      </c>
      <c r="Y771">
        <f>HYPERLINK("https://klasma.github.io/Logging_2422/tillsynsmail/A 24332-2023 tillsynsbegäran mail.docx", "A 24332-2023")</f>
        <v/>
      </c>
    </row>
    <row r="772" ht="15" customHeight="1">
      <c r="A772" t="inlineStr">
        <is>
          <t>A 37513-2024</t>
        </is>
      </c>
      <c r="B772" s="1" t="n">
        <v>45541.38572916666</v>
      </c>
      <c r="C772" s="1" t="n">
        <v>46075</v>
      </c>
      <c r="D772" t="inlineStr">
        <is>
          <t>VÄSTERBOTTENS LÄN</t>
        </is>
      </c>
      <c r="E772" t="inlineStr">
        <is>
          <t>VILHELMINA</t>
        </is>
      </c>
      <c r="F772" t="inlineStr">
        <is>
          <t>SCA</t>
        </is>
      </c>
      <c r="G772" t="n">
        <v>3.4</v>
      </c>
      <c r="H772" t="n">
        <v>0</v>
      </c>
      <c r="I772" t="n">
        <v>0</v>
      </c>
      <c r="J772" t="n">
        <v>2</v>
      </c>
      <c r="K772" t="n">
        <v>0</v>
      </c>
      <c r="L772" t="n">
        <v>0</v>
      </c>
      <c r="M772" t="n">
        <v>0</v>
      </c>
      <c r="N772" t="n">
        <v>0</v>
      </c>
      <c r="O772" t="n">
        <v>2</v>
      </c>
      <c r="P772" t="n">
        <v>0</v>
      </c>
      <c r="Q772" t="n">
        <v>2</v>
      </c>
      <c r="R772" s="2" t="inlineStr">
        <is>
          <t>Rosenticka
Ullticka</t>
        </is>
      </c>
      <c r="S772">
        <f>HYPERLINK("https://klasma.github.io/Logging_2462/artfynd/A 37513-2024 artfynd.xlsx", "A 37513-2024")</f>
        <v/>
      </c>
      <c r="T772">
        <f>HYPERLINK("https://klasma.github.io/Logging_2462/kartor/A 37513-2024 karta.png", "A 37513-2024")</f>
        <v/>
      </c>
      <c r="V772">
        <f>HYPERLINK("https://klasma.github.io/Logging_2462/klagomål/A 37513-2024 FSC-klagomål.docx", "A 37513-2024")</f>
        <v/>
      </c>
      <c r="W772">
        <f>HYPERLINK("https://klasma.github.io/Logging_2462/klagomålsmail/A 37513-2024 FSC-klagomål mail.docx", "A 37513-2024")</f>
        <v/>
      </c>
      <c r="X772">
        <f>HYPERLINK("https://klasma.github.io/Logging_2462/tillsyn/A 37513-2024 tillsynsbegäran.docx", "A 37513-2024")</f>
        <v/>
      </c>
      <c r="Y772">
        <f>HYPERLINK("https://klasma.github.io/Logging_2462/tillsynsmail/A 37513-2024 tillsynsbegäran mail.docx", "A 37513-2024")</f>
        <v/>
      </c>
    </row>
    <row r="773" ht="15" customHeight="1">
      <c r="A773" t="inlineStr">
        <is>
          <t>A 37548-2024</t>
        </is>
      </c>
      <c r="B773" s="1" t="n">
        <v>45541.43171296296</v>
      </c>
      <c r="C773" s="1" t="n">
        <v>46075</v>
      </c>
      <c r="D773" t="inlineStr">
        <is>
          <t>VÄSTERBOTTENS LÄN</t>
        </is>
      </c>
      <c r="E773" t="inlineStr">
        <is>
          <t>LYCKSELE</t>
        </is>
      </c>
      <c r="F773" t="inlineStr">
        <is>
          <t>Sveaskog</t>
        </is>
      </c>
      <c r="G773" t="n">
        <v>13.5</v>
      </c>
      <c r="H773" t="n">
        <v>0</v>
      </c>
      <c r="I773" t="n">
        <v>1</v>
      </c>
      <c r="J773" t="n">
        <v>1</v>
      </c>
      <c r="K773" t="n">
        <v>0</v>
      </c>
      <c r="L773" t="n">
        <v>0</v>
      </c>
      <c r="M773" t="n">
        <v>0</v>
      </c>
      <c r="N773" t="n">
        <v>0</v>
      </c>
      <c r="O773" t="n">
        <v>1</v>
      </c>
      <c r="P773" t="n">
        <v>0</v>
      </c>
      <c r="Q773" t="n">
        <v>2</v>
      </c>
      <c r="R773" s="2" t="inlineStr">
        <is>
          <t>Kolflarnlav
Skarp dropptaggsvamp</t>
        </is>
      </c>
      <c r="S773">
        <f>HYPERLINK("https://klasma.github.io/Logging_2481/artfynd/A 37548-2024 artfynd.xlsx", "A 37548-2024")</f>
        <v/>
      </c>
      <c r="T773">
        <f>HYPERLINK("https://klasma.github.io/Logging_2481/kartor/A 37548-2024 karta.png", "A 37548-2024")</f>
        <v/>
      </c>
      <c r="V773">
        <f>HYPERLINK("https://klasma.github.io/Logging_2481/klagomål/A 37548-2024 FSC-klagomål.docx", "A 37548-2024")</f>
        <v/>
      </c>
      <c r="W773">
        <f>HYPERLINK("https://klasma.github.io/Logging_2481/klagomålsmail/A 37548-2024 FSC-klagomål mail.docx", "A 37548-2024")</f>
        <v/>
      </c>
      <c r="X773">
        <f>HYPERLINK("https://klasma.github.io/Logging_2481/tillsyn/A 37548-2024 tillsynsbegäran.docx", "A 37548-2024")</f>
        <v/>
      </c>
      <c r="Y773">
        <f>HYPERLINK("https://klasma.github.io/Logging_2481/tillsynsmail/A 37548-2024 tillsynsbegäran mail.docx", "A 37548-2024")</f>
        <v/>
      </c>
    </row>
    <row r="774" ht="15" customHeight="1">
      <c r="A774" t="inlineStr">
        <is>
          <t>A 55632-2023</t>
        </is>
      </c>
      <c r="B774" s="1" t="n">
        <v>45238</v>
      </c>
      <c r="C774" s="1" t="n">
        <v>46075</v>
      </c>
      <c r="D774" t="inlineStr">
        <is>
          <t>VÄSTERBOTTENS LÄN</t>
        </is>
      </c>
      <c r="E774" t="inlineStr">
        <is>
          <t>NORDMALING</t>
        </is>
      </c>
      <c r="G774" t="n">
        <v>1</v>
      </c>
      <c r="H774" t="n">
        <v>0</v>
      </c>
      <c r="I774" t="n">
        <v>1</v>
      </c>
      <c r="J774" t="n">
        <v>1</v>
      </c>
      <c r="K774" t="n">
        <v>0</v>
      </c>
      <c r="L774" t="n">
        <v>0</v>
      </c>
      <c r="M774" t="n">
        <v>0</v>
      </c>
      <c r="N774" t="n">
        <v>0</v>
      </c>
      <c r="O774" t="n">
        <v>1</v>
      </c>
      <c r="P774" t="n">
        <v>0</v>
      </c>
      <c r="Q774" t="n">
        <v>2</v>
      </c>
      <c r="R774" s="2" t="inlineStr">
        <is>
          <t>Garnlav
Skinnlav</t>
        </is>
      </c>
      <c r="S774">
        <f>HYPERLINK("https://klasma.github.io/Logging_2401/artfynd/A 55632-2023 artfynd.xlsx", "A 55632-2023")</f>
        <v/>
      </c>
      <c r="T774">
        <f>HYPERLINK("https://klasma.github.io/Logging_2401/kartor/A 55632-2023 karta.png", "A 55632-2023")</f>
        <v/>
      </c>
      <c r="V774">
        <f>HYPERLINK("https://klasma.github.io/Logging_2401/klagomål/A 55632-2023 FSC-klagomål.docx", "A 55632-2023")</f>
        <v/>
      </c>
      <c r="W774">
        <f>HYPERLINK("https://klasma.github.io/Logging_2401/klagomålsmail/A 55632-2023 FSC-klagomål mail.docx", "A 55632-2023")</f>
        <v/>
      </c>
      <c r="X774">
        <f>HYPERLINK("https://klasma.github.io/Logging_2401/tillsyn/A 55632-2023 tillsynsbegäran.docx", "A 55632-2023")</f>
        <v/>
      </c>
      <c r="Y774">
        <f>HYPERLINK("https://klasma.github.io/Logging_2401/tillsynsmail/A 55632-2023 tillsynsbegäran mail.docx", "A 55632-2023")</f>
        <v/>
      </c>
    </row>
    <row r="775" ht="15" customHeight="1">
      <c r="A775" t="inlineStr">
        <is>
          <t>A 9771-2022</t>
        </is>
      </c>
      <c r="B775" s="1" t="n">
        <v>44619</v>
      </c>
      <c r="C775" s="1" t="n">
        <v>46075</v>
      </c>
      <c r="D775" t="inlineStr">
        <is>
          <t>VÄSTERBOTTENS LÄN</t>
        </is>
      </c>
      <c r="E775" t="inlineStr">
        <is>
          <t>UMEÅ</t>
        </is>
      </c>
      <c r="G775" t="n">
        <v>39.1</v>
      </c>
      <c r="H775" t="n">
        <v>0</v>
      </c>
      <c r="I775" t="n">
        <v>1</v>
      </c>
      <c r="J775" t="n">
        <v>1</v>
      </c>
      <c r="K775" t="n">
        <v>0</v>
      </c>
      <c r="L775" t="n">
        <v>0</v>
      </c>
      <c r="M775" t="n">
        <v>0</v>
      </c>
      <c r="N775" t="n">
        <v>0</v>
      </c>
      <c r="O775" t="n">
        <v>1</v>
      </c>
      <c r="P775" t="n">
        <v>0</v>
      </c>
      <c r="Q775" t="n">
        <v>2</v>
      </c>
      <c r="R775" s="2" t="inlineStr">
        <is>
          <t>Blå taggsvamp
Dropptaggsvamp</t>
        </is>
      </c>
      <c r="S775">
        <f>HYPERLINK("https://klasma.github.io/Logging_2480/artfynd/A 9771-2022 artfynd.xlsx", "A 9771-2022")</f>
        <v/>
      </c>
      <c r="T775">
        <f>HYPERLINK("https://klasma.github.io/Logging_2480/kartor/A 9771-2022 karta.png", "A 9771-2022")</f>
        <v/>
      </c>
      <c r="V775">
        <f>HYPERLINK("https://klasma.github.io/Logging_2480/klagomål/A 9771-2022 FSC-klagomål.docx", "A 9771-2022")</f>
        <v/>
      </c>
      <c r="W775">
        <f>HYPERLINK("https://klasma.github.io/Logging_2480/klagomålsmail/A 9771-2022 FSC-klagomål mail.docx", "A 9771-2022")</f>
        <v/>
      </c>
      <c r="X775">
        <f>HYPERLINK("https://klasma.github.io/Logging_2480/tillsyn/A 9771-2022 tillsynsbegäran.docx", "A 9771-2022")</f>
        <v/>
      </c>
      <c r="Y775">
        <f>HYPERLINK("https://klasma.github.io/Logging_2480/tillsynsmail/A 9771-2022 tillsynsbegäran mail.docx", "A 9771-2022")</f>
        <v/>
      </c>
    </row>
    <row r="776" ht="15" customHeight="1">
      <c r="A776" t="inlineStr">
        <is>
          <t>A 42195-2024</t>
        </is>
      </c>
      <c r="B776" s="1" t="n">
        <v>45562.50609953704</v>
      </c>
      <c r="C776" s="1" t="n">
        <v>46075</v>
      </c>
      <c r="D776" t="inlineStr">
        <is>
          <t>VÄSTERBOTTENS LÄN</t>
        </is>
      </c>
      <c r="E776" t="inlineStr">
        <is>
          <t>UMEÅ</t>
        </is>
      </c>
      <c r="F776" t="inlineStr">
        <is>
          <t>Kommuner</t>
        </is>
      </c>
      <c r="G776" t="n">
        <v>1.2</v>
      </c>
      <c r="H776" t="n">
        <v>1</v>
      </c>
      <c r="I776" t="n">
        <v>0</v>
      </c>
      <c r="J776" t="n">
        <v>1</v>
      </c>
      <c r="K776" t="n">
        <v>1</v>
      </c>
      <c r="L776" t="n">
        <v>0</v>
      </c>
      <c r="M776" t="n">
        <v>0</v>
      </c>
      <c r="N776" t="n">
        <v>0</v>
      </c>
      <c r="O776" t="n">
        <v>2</v>
      </c>
      <c r="P776" t="n">
        <v>1</v>
      </c>
      <c r="Q776" t="n">
        <v>2</v>
      </c>
      <c r="R776" s="2" t="inlineStr">
        <is>
          <t>Smalfotad taggsvamp
Spillkråka</t>
        </is>
      </c>
      <c r="S776">
        <f>HYPERLINK("https://klasma.github.io/Logging_2480/artfynd/A 42195-2024 artfynd.xlsx", "A 42195-2024")</f>
        <v/>
      </c>
      <c r="T776">
        <f>HYPERLINK("https://klasma.github.io/Logging_2480/kartor/A 42195-2024 karta.png", "A 42195-2024")</f>
        <v/>
      </c>
      <c r="V776">
        <f>HYPERLINK("https://klasma.github.io/Logging_2480/klagomål/A 42195-2024 FSC-klagomål.docx", "A 42195-2024")</f>
        <v/>
      </c>
      <c r="W776">
        <f>HYPERLINK("https://klasma.github.io/Logging_2480/klagomålsmail/A 42195-2024 FSC-klagomål mail.docx", "A 42195-2024")</f>
        <v/>
      </c>
      <c r="X776">
        <f>HYPERLINK("https://klasma.github.io/Logging_2480/tillsyn/A 42195-2024 tillsynsbegäran.docx", "A 42195-2024")</f>
        <v/>
      </c>
      <c r="Y776">
        <f>HYPERLINK("https://klasma.github.io/Logging_2480/tillsynsmail/A 42195-2024 tillsynsbegäran mail.docx", "A 42195-2024")</f>
        <v/>
      </c>
      <c r="Z776">
        <f>HYPERLINK("https://klasma.github.io/Logging_2480/fåglar/A 42195-2024 prioriterade fågelarter.docx", "A 42195-2024")</f>
        <v/>
      </c>
    </row>
    <row r="777" ht="15" customHeight="1">
      <c r="A777" t="inlineStr">
        <is>
          <t>A 31206-2023</t>
        </is>
      </c>
      <c r="B777" s="1" t="n">
        <v>45113</v>
      </c>
      <c r="C777" s="1" t="n">
        <v>46075</v>
      </c>
      <c r="D777" t="inlineStr">
        <is>
          <t>VÄSTERBOTTENS LÄN</t>
        </is>
      </c>
      <c r="E777" t="inlineStr">
        <is>
          <t>BJURHOLM</t>
        </is>
      </c>
      <c r="F777" t="inlineStr">
        <is>
          <t>SCA</t>
        </is>
      </c>
      <c r="G777" t="n">
        <v>6</v>
      </c>
      <c r="H777" t="n">
        <v>0</v>
      </c>
      <c r="I777" t="n">
        <v>1</v>
      </c>
      <c r="J777" t="n">
        <v>1</v>
      </c>
      <c r="K777" t="n">
        <v>0</v>
      </c>
      <c r="L777" t="n">
        <v>0</v>
      </c>
      <c r="M777" t="n">
        <v>0</v>
      </c>
      <c r="N777" t="n">
        <v>0</v>
      </c>
      <c r="O777" t="n">
        <v>1</v>
      </c>
      <c r="P777" t="n">
        <v>0</v>
      </c>
      <c r="Q777" t="n">
        <v>2</v>
      </c>
      <c r="R777" s="2" t="inlineStr">
        <is>
          <t>Garnlav
Skarp dropptaggsvamp</t>
        </is>
      </c>
      <c r="S777">
        <f>HYPERLINK("https://klasma.github.io/Logging_2403/artfynd/A 31206-2023 artfynd.xlsx", "A 31206-2023")</f>
        <v/>
      </c>
      <c r="T777">
        <f>HYPERLINK("https://klasma.github.io/Logging_2403/kartor/A 31206-2023 karta.png", "A 31206-2023")</f>
        <v/>
      </c>
      <c r="U777">
        <f>HYPERLINK("https://klasma.github.io/Logging_2403/knärot/A 31206-2023 karta knärot.png", "A 31206-2023")</f>
        <v/>
      </c>
      <c r="V777">
        <f>HYPERLINK("https://klasma.github.io/Logging_2403/klagomål/A 31206-2023 FSC-klagomål.docx", "A 31206-2023")</f>
        <v/>
      </c>
      <c r="W777">
        <f>HYPERLINK("https://klasma.github.io/Logging_2403/klagomålsmail/A 31206-2023 FSC-klagomål mail.docx", "A 31206-2023")</f>
        <v/>
      </c>
      <c r="X777">
        <f>HYPERLINK("https://klasma.github.io/Logging_2403/tillsyn/A 31206-2023 tillsynsbegäran.docx", "A 31206-2023")</f>
        <v/>
      </c>
      <c r="Y777">
        <f>HYPERLINK("https://klasma.github.io/Logging_2403/tillsynsmail/A 31206-2023 tillsynsbegäran mail.docx", "A 31206-2023")</f>
        <v/>
      </c>
    </row>
    <row r="778" ht="15" customHeight="1">
      <c r="A778" t="inlineStr">
        <is>
          <t>A 20983-2025</t>
        </is>
      </c>
      <c r="B778" s="1" t="n">
        <v>45777.46910879629</v>
      </c>
      <c r="C778" s="1" t="n">
        <v>46075</v>
      </c>
      <c r="D778" t="inlineStr">
        <is>
          <t>VÄSTERBOTTENS LÄN</t>
        </is>
      </c>
      <c r="E778" t="inlineStr">
        <is>
          <t>VILHELMINA</t>
        </is>
      </c>
      <c r="F778" t="inlineStr">
        <is>
          <t>SCA</t>
        </is>
      </c>
      <c r="G778" t="n">
        <v>1.2</v>
      </c>
      <c r="H778" t="n">
        <v>1</v>
      </c>
      <c r="I778" t="n">
        <v>0</v>
      </c>
      <c r="J778" t="n">
        <v>2</v>
      </c>
      <c r="K778" t="n">
        <v>0</v>
      </c>
      <c r="L778" t="n">
        <v>0</v>
      </c>
      <c r="M778" t="n">
        <v>0</v>
      </c>
      <c r="N778" t="n">
        <v>0</v>
      </c>
      <c r="O778" t="n">
        <v>2</v>
      </c>
      <c r="P778" t="n">
        <v>0</v>
      </c>
      <c r="Q778" t="n">
        <v>2</v>
      </c>
      <c r="R778" s="2" t="inlineStr">
        <is>
          <t>Tretåig hackspett
Ullticka</t>
        </is>
      </c>
      <c r="S778">
        <f>HYPERLINK("https://klasma.github.io/Logging_2462/artfynd/A 20983-2025 artfynd.xlsx", "A 20983-2025")</f>
        <v/>
      </c>
      <c r="T778">
        <f>HYPERLINK("https://klasma.github.io/Logging_2462/kartor/A 20983-2025 karta.png", "A 20983-2025")</f>
        <v/>
      </c>
      <c r="V778">
        <f>HYPERLINK("https://klasma.github.io/Logging_2462/klagomål/A 20983-2025 FSC-klagomål.docx", "A 20983-2025")</f>
        <v/>
      </c>
      <c r="W778">
        <f>HYPERLINK("https://klasma.github.io/Logging_2462/klagomålsmail/A 20983-2025 FSC-klagomål mail.docx", "A 20983-2025")</f>
        <v/>
      </c>
      <c r="X778">
        <f>HYPERLINK("https://klasma.github.io/Logging_2462/tillsyn/A 20983-2025 tillsynsbegäran.docx", "A 20983-2025")</f>
        <v/>
      </c>
      <c r="Y778">
        <f>HYPERLINK("https://klasma.github.io/Logging_2462/tillsynsmail/A 20983-2025 tillsynsbegäran mail.docx", "A 20983-2025")</f>
        <v/>
      </c>
      <c r="Z778">
        <f>HYPERLINK("https://klasma.github.io/Logging_2462/fåglar/A 20983-2025 prioriterade fågelarter.docx", "A 20983-2025")</f>
        <v/>
      </c>
    </row>
    <row r="779" ht="15" customHeight="1">
      <c r="A779" t="inlineStr">
        <is>
          <t>A 22092-2025</t>
        </is>
      </c>
      <c r="B779" s="1" t="n">
        <v>45785.45925925926</v>
      </c>
      <c r="C779" s="1" t="n">
        <v>46075</v>
      </c>
      <c r="D779" t="inlineStr">
        <is>
          <t>VÄSTERBOTTENS LÄN</t>
        </is>
      </c>
      <c r="E779" t="inlineStr">
        <is>
          <t>ROBERTSFORS</t>
        </is>
      </c>
      <c r="G779" t="n">
        <v>3.9</v>
      </c>
      <c r="H779" t="n">
        <v>0</v>
      </c>
      <c r="I779" t="n">
        <v>1</v>
      </c>
      <c r="J779" t="n">
        <v>1</v>
      </c>
      <c r="K779" t="n">
        <v>0</v>
      </c>
      <c r="L779" t="n">
        <v>0</v>
      </c>
      <c r="M779" t="n">
        <v>0</v>
      </c>
      <c r="N779" t="n">
        <v>0</v>
      </c>
      <c r="O779" t="n">
        <v>1</v>
      </c>
      <c r="P779" t="n">
        <v>0</v>
      </c>
      <c r="Q779" t="n">
        <v>2</v>
      </c>
      <c r="R779" s="2" t="inlineStr">
        <is>
          <t>Garnlav
Dropptaggsvamp</t>
        </is>
      </c>
      <c r="S779">
        <f>HYPERLINK("https://klasma.github.io/Logging_2409/artfynd/A 22092-2025 artfynd.xlsx", "A 22092-2025")</f>
        <v/>
      </c>
      <c r="T779">
        <f>HYPERLINK("https://klasma.github.io/Logging_2409/kartor/A 22092-2025 karta.png", "A 22092-2025")</f>
        <v/>
      </c>
      <c r="V779">
        <f>HYPERLINK("https://klasma.github.io/Logging_2409/klagomål/A 22092-2025 FSC-klagomål.docx", "A 22092-2025")</f>
        <v/>
      </c>
      <c r="W779">
        <f>HYPERLINK("https://klasma.github.io/Logging_2409/klagomålsmail/A 22092-2025 FSC-klagomål mail.docx", "A 22092-2025")</f>
        <v/>
      </c>
      <c r="X779">
        <f>HYPERLINK("https://klasma.github.io/Logging_2409/tillsyn/A 22092-2025 tillsynsbegäran.docx", "A 22092-2025")</f>
        <v/>
      </c>
      <c r="Y779">
        <f>HYPERLINK("https://klasma.github.io/Logging_2409/tillsynsmail/A 22092-2025 tillsynsbegäran mail.docx", "A 22092-2025")</f>
        <v/>
      </c>
    </row>
    <row r="780" ht="15" customHeight="1">
      <c r="A780" t="inlineStr">
        <is>
          <t>A 22363-2025</t>
        </is>
      </c>
      <c r="B780" s="1" t="n">
        <v>45786.46878472222</v>
      </c>
      <c r="C780" s="1" t="n">
        <v>46075</v>
      </c>
      <c r="D780" t="inlineStr">
        <is>
          <t>VÄSTERBOTTENS LÄN</t>
        </is>
      </c>
      <c r="E780" t="inlineStr">
        <is>
          <t>LYCKSELE</t>
        </is>
      </c>
      <c r="F780" t="inlineStr">
        <is>
          <t>Sveaskog</t>
        </is>
      </c>
      <c r="G780" t="n">
        <v>2.2</v>
      </c>
      <c r="H780" t="n">
        <v>0</v>
      </c>
      <c r="I780" t="n">
        <v>0</v>
      </c>
      <c r="J780" t="n">
        <v>2</v>
      </c>
      <c r="K780" t="n">
        <v>0</v>
      </c>
      <c r="L780" t="n">
        <v>0</v>
      </c>
      <c r="M780" t="n">
        <v>0</v>
      </c>
      <c r="N780" t="n">
        <v>0</v>
      </c>
      <c r="O780" t="n">
        <v>2</v>
      </c>
      <c r="P780" t="n">
        <v>0</v>
      </c>
      <c r="Q780" t="n">
        <v>2</v>
      </c>
      <c r="R780" s="2" t="inlineStr">
        <is>
          <t>Blå taggsvamp
Orange taggsvamp</t>
        </is>
      </c>
      <c r="S780">
        <f>HYPERLINK("https://klasma.github.io/Logging_2481/artfynd/A 22363-2025 artfynd.xlsx", "A 22363-2025")</f>
        <v/>
      </c>
      <c r="T780">
        <f>HYPERLINK("https://klasma.github.io/Logging_2481/kartor/A 22363-2025 karta.png", "A 22363-2025")</f>
        <v/>
      </c>
      <c r="V780">
        <f>HYPERLINK("https://klasma.github.io/Logging_2481/klagomål/A 22363-2025 FSC-klagomål.docx", "A 22363-2025")</f>
        <v/>
      </c>
      <c r="W780">
        <f>HYPERLINK("https://klasma.github.io/Logging_2481/klagomålsmail/A 22363-2025 FSC-klagomål mail.docx", "A 22363-2025")</f>
        <v/>
      </c>
      <c r="X780">
        <f>HYPERLINK("https://klasma.github.io/Logging_2481/tillsyn/A 22363-2025 tillsynsbegäran.docx", "A 22363-2025")</f>
        <v/>
      </c>
      <c r="Y780">
        <f>HYPERLINK("https://klasma.github.io/Logging_2481/tillsynsmail/A 22363-2025 tillsynsbegäran mail.docx", "A 22363-2025")</f>
        <v/>
      </c>
    </row>
    <row r="781" ht="15" customHeight="1">
      <c r="A781" t="inlineStr">
        <is>
          <t>A 22360-2025</t>
        </is>
      </c>
      <c r="B781" s="1" t="n">
        <v>45786.46645833334</v>
      </c>
      <c r="C781" s="1" t="n">
        <v>46075</v>
      </c>
      <c r="D781" t="inlineStr">
        <is>
          <t>VÄSTERBOTTENS LÄN</t>
        </is>
      </c>
      <c r="E781" t="inlineStr">
        <is>
          <t>LYCKSELE</t>
        </is>
      </c>
      <c r="F781" t="inlineStr">
        <is>
          <t>Sveaskog</t>
        </is>
      </c>
      <c r="G781" t="n">
        <v>2.2</v>
      </c>
      <c r="H781" t="n">
        <v>0</v>
      </c>
      <c r="I781" t="n">
        <v>0</v>
      </c>
      <c r="J781" t="n">
        <v>2</v>
      </c>
      <c r="K781" t="n">
        <v>0</v>
      </c>
      <c r="L781" t="n">
        <v>0</v>
      </c>
      <c r="M781" t="n">
        <v>0</v>
      </c>
      <c r="N781" t="n">
        <v>0</v>
      </c>
      <c r="O781" t="n">
        <v>2</v>
      </c>
      <c r="P781" t="n">
        <v>0</v>
      </c>
      <c r="Q781" t="n">
        <v>2</v>
      </c>
      <c r="R781" s="2" t="inlineStr">
        <is>
          <t>Blå taggsvamp
Orange taggsvamp</t>
        </is>
      </c>
      <c r="S781">
        <f>HYPERLINK("https://klasma.github.io/Logging_2481/artfynd/A 22360-2025 artfynd.xlsx", "A 22360-2025")</f>
        <v/>
      </c>
      <c r="T781">
        <f>HYPERLINK("https://klasma.github.io/Logging_2481/kartor/A 22360-2025 karta.png", "A 22360-2025")</f>
        <v/>
      </c>
      <c r="V781">
        <f>HYPERLINK("https://klasma.github.io/Logging_2481/klagomål/A 22360-2025 FSC-klagomål.docx", "A 22360-2025")</f>
        <v/>
      </c>
      <c r="W781">
        <f>HYPERLINK("https://klasma.github.io/Logging_2481/klagomålsmail/A 22360-2025 FSC-klagomål mail.docx", "A 22360-2025")</f>
        <v/>
      </c>
      <c r="X781">
        <f>HYPERLINK("https://klasma.github.io/Logging_2481/tillsyn/A 22360-2025 tillsynsbegäran.docx", "A 22360-2025")</f>
        <v/>
      </c>
      <c r="Y781">
        <f>HYPERLINK("https://klasma.github.io/Logging_2481/tillsynsmail/A 22360-2025 tillsynsbegäran mail.docx", "A 22360-2025")</f>
        <v/>
      </c>
    </row>
    <row r="782" ht="15" customHeight="1">
      <c r="A782" t="inlineStr">
        <is>
          <t>A 22629-2025</t>
        </is>
      </c>
      <c r="B782" s="1" t="n">
        <v>45789.43789351852</v>
      </c>
      <c r="C782" s="1" t="n">
        <v>46075</v>
      </c>
      <c r="D782" t="inlineStr">
        <is>
          <t>VÄSTERBOTTENS LÄN</t>
        </is>
      </c>
      <c r="E782" t="inlineStr">
        <is>
          <t>LYCKSELE</t>
        </is>
      </c>
      <c r="F782" t="inlineStr">
        <is>
          <t>Sveaskog</t>
        </is>
      </c>
      <c r="G782" t="n">
        <v>11.3</v>
      </c>
      <c r="H782" t="n">
        <v>0</v>
      </c>
      <c r="I782" t="n">
        <v>0</v>
      </c>
      <c r="J782" t="n">
        <v>2</v>
      </c>
      <c r="K782" t="n">
        <v>0</v>
      </c>
      <c r="L782" t="n">
        <v>0</v>
      </c>
      <c r="M782" t="n">
        <v>0</v>
      </c>
      <c r="N782" t="n">
        <v>0</v>
      </c>
      <c r="O782" t="n">
        <v>2</v>
      </c>
      <c r="P782" t="n">
        <v>0</v>
      </c>
      <c r="Q782" t="n">
        <v>2</v>
      </c>
      <c r="R782" s="2" t="inlineStr">
        <is>
          <t>Kolflarnlav
Mörk kolflarnlav</t>
        </is>
      </c>
      <c r="S782">
        <f>HYPERLINK("https://klasma.github.io/Logging_2481/artfynd/A 22629-2025 artfynd.xlsx", "A 22629-2025")</f>
        <v/>
      </c>
      <c r="T782">
        <f>HYPERLINK("https://klasma.github.io/Logging_2481/kartor/A 22629-2025 karta.png", "A 22629-2025")</f>
        <v/>
      </c>
      <c r="V782">
        <f>HYPERLINK("https://klasma.github.io/Logging_2481/klagomål/A 22629-2025 FSC-klagomål.docx", "A 22629-2025")</f>
        <v/>
      </c>
      <c r="W782">
        <f>HYPERLINK("https://klasma.github.io/Logging_2481/klagomålsmail/A 22629-2025 FSC-klagomål mail.docx", "A 22629-2025")</f>
        <v/>
      </c>
      <c r="X782">
        <f>HYPERLINK("https://klasma.github.io/Logging_2481/tillsyn/A 22629-2025 tillsynsbegäran.docx", "A 22629-2025")</f>
        <v/>
      </c>
      <c r="Y782">
        <f>HYPERLINK("https://klasma.github.io/Logging_2481/tillsynsmail/A 22629-2025 tillsynsbegäran mail.docx", "A 22629-2025")</f>
        <v/>
      </c>
    </row>
    <row r="783" ht="15" customHeight="1">
      <c r="A783" t="inlineStr">
        <is>
          <t>A 23329-2025</t>
        </is>
      </c>
      <c r="B783" s="1" t="n">
        <v>45791.64069444445</v>
      </c>
      <c r="C783" s="1" t="n">
        <v>46075</v>
      </c>
      <c r="D783" t="inlineStr">
        <is>
          <t>VÄSTERBOTTENS LÄN</t>
        </is>
      </c>
      <c r="E783" t="inlineStr">
        <is>
          <t>SKELLEFTEÅ</t>
        </is>
      </c>
      <c r="F783" t="inlineStr">
        <is>
          <t>Holmen skog AB</t>
        </is>
      </c>
      <c r="G783" t="n">
        <v>3.3</v>
      </c>
      <c r="H783" t="n">
        <v>0</v>
      </c>
      <c r="I783" t="n">
        <v>1</v>
      </c>
      <c r="J783" t="n">
        <v>1</v>
      </c>
      <c r="K783" t="n">
        <v>0</v>
      </c>
      <c r="L783" t="n">
        <v>0</v>
      </c>
      <c r="M783" t="n">
        <v>0</v>
      </c>
      <c r="N783" t="n">
        <v>0</v>
      </c>
      <c r="O783" t="n">
        <v>1</v>
      </c>
      <c r="P783" t="n">
        <v>0</v>
      </c>
      <c r="Q783" t="n">
        <v>2</v>
      </c>
      <c r="R783" s="2" t="inlineStr">
        <is>
          <t>Garnlav
Dropptaggsvamp</t>
        </is>
      </c>
      <c r="S783">
        <f>HYPERLINK("https://klasma.github.io/Logging_2482/artfynd/A 23329-2025 artfynd.xlsx", "A 23329-2025")</f>
        <v/>
      </c>
      <c r="T783">
        <f>HYPERLINK("https://klasma.github.io/Logging_2482/kartor/A 23329-2025 karta.png", "A 23329-2025")</f>
        <v/>
      </c>
      <c r="V783">
        <f>HYPERLINK("https://klasma.github.io/Logging_2482/klagomål/A 23329-2025 FSC-klagomål.docx", "A 23329-2025")</f>
        <v/>
      </c>
      <c r="W783">
        <f>HYPERLINK("https://klasma.github.io/Logging_2482/klagomålsmail/A 23329-2025 FSC-klagomål mail.docx", "A 23329-2025")</f>
        <v/>
      </c>
      <c r="X783">
        <f>HYPERLINK("https://klasma.github.io/Logging_2482/tillsyn/A 23329-2025 tillsynsbegäran.docx", "A 23329-2025")</f>
        <v/>
      </c>
      <c r="Y783">
        <f>HYPERLINK("https://klasma.github.io/Logging_2482/tillsynsmail/A 23329-2025 tillsynsbegäran mail.docx", "A 23329-2025")</f>
        <v/>
      </c>
    </row>
    <row r="784" ht="15" customHeight="1">
      <c r="A784" t="inlineStr">
        <is>
          <t>A 23341-2025</t>
        </is>
      </c>
      <c r="B784" s="1" t="n">
        <v>45791.65668981482</v>
      </c>
      <c r="C784" s="1" t="n">
        <v>46075</v>
      </c>
      <c r="D784" t="inlineStr">
        <is>
          <t>VÄSTERBOTTENS LÄN</t>
        </is>
      </c>
      <c r="E784" t="inlineStr">
        <is>
          <t>LYCKSELE</t>
        </is>
      </c>
      <c r="F784" t="inlineStr">
        <is>
          <t>Sveaskog</t>
        </is>
      </c>
      <c r="G784" t="n">
        <v>2.2</v>
      </c>
      <c r="H784" t="n">
        <v>0</v>
      </c>
      <c r="I784" t="n">
        <v>0</v>
      </c>
      <c r="J784" t="n">
        <v>2</v>
      </c>
      <c r="K784" t="n">
        <v>0</v>
      </c>
      <c r="L784" t="n">
        <v>0</v>
      </c>
      <c r="M784" t="n">
        <v>0</v>
      </c>
      <c r="N784" t="n">
        <v>0</v>
      </c>
      <c r="O784" t="n">
        <v>2</v>
      </c>
      <c r="P784" t="n">
        <v>0</v>
      </c>
      <c r="Q784" t="n">
        <v>2</v>
      </c>
      <c r="R784" s="2" t="inlineStr">
        <is>
          <t>Blå taggsvamp
Orange taggsvamp</t>
        </is>
      </c>
      <c r="S784">
        <f>HYPERLINK("https://klasma.github.io/Logging_2481/artfynd/A 23341-2025 artfynd.xlsx", "A 23341-2025")</f>
        <v/>
      </c>
      <c r="T784">
        <f>HYPERLINK("https://klasma.github.io/Logging_2481/kartor/A 23341-2025 karta.png", "A 23341-2025")</f>
        <v/>
      </c>
      <c r="V784">
        <f>HYPERLINK("https://klasma.github.io/Logging_2481/klagomål/A 23341-2025 FSC-klagomål.docx", "A 23341-2025")</f>
        <v/>
      </c>
      <c r="W784">
        <f>HYPERLINK("https://klasma.github.io/Logging_2481/klagomålsmail/A 23341-2025 FSC-klagomål mail.docx", "A 23341-2025")</f>
        <v/>
      </c>
      <c r="X784">
        <f>HYPERLINK("https://klasma.github.io/Logging_2481/tillsyn/A 23341-2025 tillsynsbegäran.docx", "A 23341-2025")</f>
        <v/>
      </c>
      <c r="Y784">
        <f>HYPERLINK("https://klasma.github.io/Logging_2481/tillsynsmail/A 23341-2025 tillsynsbegäran mail.docx", "A 23341-2025")</f>
        <v/>
      </c>
    </row>
    <row r="785" ht="15" customHeight="1">
      <c r="A785" t="inlineStr">
        <is>
          <t>A 23328-2025</t>
        </is>
      </c>
      <c r="B785" s="1" t="n">
        <v>45791.63113425926</v>
      </c>
      <c r="C785" s="1" t="n">
        <v>46075</v>
      </c>
      <c r="D785" t="inlineStr">
        <is>
          <t>VÄSTERBOTTENS LÄN</t>
        </is>
      </c>
      <c r="E785" t="inlineStr">
        <is>
          <t>LYCKSELE</t>
        </is>
      </c>
      <c r="F785" t="inlineStr">
        <is>
          <t>Sveaskog</t>
        </is>
      </c>
      <c r="G785" t="n">
        <v>2.2</v>
      </c>
      <c r="H785" t="n">
        <v>0</v>
      </c>
      <c r="I785" t="n">
        <v>0</v>
      </c>
      <c r="J785" t="n">
        <v>2</v>
      </c>
      <c r="K785" t="n">
        <v>0</v>
      </c>
      <c r="L785" t="n">
        <v>0</v>
      </c>
      <c r="M785" t="n">
        <v>0</v>
      </c>
      <c r="N785" t="n">
        <v>0</v>
      </c>
      <c r="O785" t="n">
        <v>2</v>
      </c>
      <c r="P785" t="n">
        <v>0</v>
      </c>
      <c r="Q785" t="n">
        <v>2</v>
      </c>
      <c r="R785" s="2" t="inlineStr">
        <is>
          <t>Blå taggsvamp
Orange taggsvamp</t>
        </is>
      </c>
      <c r="S785">
        <f>HYPERLINK("https://klasma.github.io/Logging_2481/artfynd/A 23328-2025 artfynd.xlsx", "A 23328-2025")</f>
        <v/>
      </c>
      <c r="T785">
        <f>HYPERLINK("https://klasma.github.io/Logging_2481/kartor/A 23328-2025 karta.png", "A 23328-2025")</f>
        <v/>
      </c>
      <c r="V785">
        <f>HYPERLINK("https://klasma.github.io/Logging_2481/klagomål/A 23328-2025 FSC-klagomål.docx", "A 23328-2025")</f>
        <v/>
      </c>
      <c r="W785">
        <f>HYPERLINK("https://klasma.github.io/Logging_2481/klagomålsmail/A 23328-2025 FSC-klagomål mail.docx", "A 23328-2025")</f>
        <v/>
      </c>
      <c r="X785">
        <f>HYPERLINK("https://klasma.github.io/Logging_2481/tillsyn/A 23328-2025 tillsynsbegäran.docx", "A 23328-2025")</f>
        <v/>
      </c>
      <c r="Y785">
        <f>HYPERLINK("https://klasma.github.io/Logging_2481/tillsynsmail/A 23328-2025 tillsynsbegäran mail.docx", "A 23328-2025")</f>
        <v/>
      </c>
    </row>
    <row r="786" ht="15" customHeight="1">
      <c r="A786" t="inlineStr">
        <is>
          <t>A 23853-2025</t>
        </is>
      </c>
      <c r="B786" s="1" t="n">
        <v>45793.65607638889</v>
      </c>
      <c r="C786" s="1" t="n">
        <v>46075</v>
      </c>
      <c r="D786" t="inlineStr">
        <is>
          <t>VÄSTERBOTTENS LÄN</t>
        </is>
      </c>
      <c r="E786" t="inlineStr">
        <is>
          <t>STORUMAN</t>
        </is>
      </c>
      <c r="G786" t="n">
        <v>4.2</v>
      </c>
      <c r="H786" t="n">
        <v>1</v>
      </c>
      <c r="I786" t="n">
        <v>1</v>
      </c>
      <c r="J786" t="n">
        <v>1</v>
      </c>
      <c r="K786" t="n">
        <v>0</v>
      </c>
      <c r="L786" t="n">
        <v>0</v>
      </c>
      <c r="M786" t="n">
        <v>0</v>
      </c>
      <c r="N786" t="n">
        <v>0</v>
      </c>
      <c r="O786" t="n">
        <v>1</v>
      </c>
      <c r="P786" t="n">
        <v>0</v>
      </c>
      <c r="Q786" t="n">
        <v>2</v>
      </c>
      <c r="R786" s="2" t="inlineStr">
        <is>
          <t>Spillkråka
Tibast</t>
        </is>
      </c>
      <c r="S786">
        <f>HYPERLINK("https://klasma.github.io/Logging_2421/artfynd/A 23853-2025 artfynd.xlsx", "A 23853-2025")</f>
        <v/>
      </c>
      <c r="T786">
        <f>HYPERLINK("https://klasma.github.io/Logging_2421/kartor/A 23853-2025 karta.png", "A 23853-2025")</f>
        <v/>
      </c>
      <c r="V786">
        <f>HYPERLINK("https://klasma.github.io/Logging_2421/klagomål/A 23853-2025 FSC-klagomål.docx", "A 23853-2025")</f>
        <v/>
      </c>
      <c r="W786">
        <f>HYPERLINK("https://klasma.github.io/Logging_2421/klagomålsmail/A 23853-2025 FSC-klagomål mail.docx", "A 23853-2025")</f>
        <v/>
      </c>
      <c r="X786">
        <f>HYPERLINK("https://klasma.github.io/Logging_2421/tillsyn/A 23853-2025 tillsynsbegäran.docx", "A 23853-2025")</f>
        <v/>
      </c>
      <c r="Y786">
        <f>HYPERLINK("https://klasma.github.io/Logging_2421/tillsynsmail/A 23853-2025 tillsynsbegäran mail.docx", "A 23853-2025")</f>
        <v/>
      </c>
      <c r="Z786">
        <f>HYPERLINK("https://klasma.github.io/Logging_2421/fåglar/A 23853-2025 prioriterade fågelarter.docx", "A 23853-2025")</f>
        <v/>
      </c>
    </row>
    <row r="787" ht="15" customHeight="1">
      <c r="A787" t="inlineStr">
        <is>
          <t>A 23862-2025</t>
        </is>
      </c>
      <c r="B787" s="1" t="n">
        <v>45793.66493055555</v>
      </c>
      <c r="C787" s="1" t="n">
        <v>46075</v>
      </c>
      <c r="D787" t="inlineStr">
        <is>
          <t>VÄSTERBOTTENS LÄN</t>
        </is>
      </c>
      <c r="E787" t="inlineStr">
        <is>
          <t>LYCKSELE</t>
        </is>
      </c>
      <c r="F787" t="inlineStr">
        <is>
          <t>Sveaskog</t>
        </is>
      </c>
      <c r="G787" t="n">
        <v>4.7</v>
      </c>
      <c r="H787" t="n">
        <v>2</v>
      </c>
      <c r="I787" t="n">
        <v>0</v>
      </c>
      <c r="J787" t="n">
        <v>0</v>
      </c>
      <c r="K787" t="n">
        <v>0</v>
      </c>
      <c r="L787" t="n">
        <v>0</v>
      </c>
      <c r="M787" t="n">
        <v>0</v>
      </c>
      <c r="N787" t="n">
        <v>0</v>
      </c>
      <c r="O787" t="n">
        <v>0</v>
      </c>
      <c r="P787" t="n">
        <v>0</v>
      </c>
      <c r="Q787" t="n">
        <v>2</v>
      </c>
      <c r="R787" s="2" t="inlineStr">
        <is>
          <t>Fläcknycklar
Revlummer</t>
        </is>
      </c>
      <c r="S787">
        <f>HYPERLINK("https://klasma.github.io/Logging_2481/artfynd/A 23862-2025 artfynd.xlsx", "A 23862-2025")</f>
        <v/>
      </c>
      <c r="T787">
        <f>HYPERLINK("https://klasma.github.io/Logging_2481/kartor/A 23862-2025 karta.png", "A 23862-2025")</f>
        <v/>
      </c>
      <c r="V787">
        <f>HYPERLINK("https://klasma.github.io/Logging_2481/klagomål/A 23862-2025 FSC-klagomål.docx", "A 23862-2025")</f>
        <v/>
      </c>
      <c r="W787">
        <f>HYPERLINK("https://klasma.github.io/Logging_2481/klagomålsmail/A 23862-2025 FSC-klagomål mail.docx", "A 23862-2025")</f>
        <v/>
      </c>
      <c r="X787">
        <f>HYPERLINK("https://klasma.github.io/Logging_2481/tillsyn/A 23862-2025 tillsynsbegäran.docx", "A 23862-2025")</f>
        <v/>
      </c>
      <c r="Y787">
        <f>HYPERLINK("https://klasma.github.io/Logging_2481/tillsynsmail/A 23862-2025 tillsynsbegäran mail.docx", "A 23862-2025")</f>
        <v/>
      </c>
    </row>
    <row r="788" ht="15" customHeight="1">
      <c r="A788" t="inlineStr">
        <is>
          <t>A 26271-2025</t>
        </is>
      </c>
      <c r="B788" s="1" t="n">
        <v>45805.59424768519</v>
      </c>
      <c r="C788" s="1" t="n">
        <v>46075</v>
      </c>
      <c r="D788" t="inlineStr">
        <is>
          <t>VÄSTERBOTTENS LÄN</t>
        </is>
      </c>
      <c r="E788" t="inlineStr">
        <is>
          <t>LYCKSELE</t>
        </is>
      </c>
      <c r="F788" t="inlineStr">
        <is>
          <t>Sveaskog</t>
        </is>
      </c>
      <c r="G788" t="n">
        <v>1.7</v>
      </c>
      <c r="H788" t="n">
        <v>0</v>
      </c>
      <c r="I788" t="n">
        <v>0</v>
      </c>
      <c r="J788" t="n">
        <v>2</v>
      </c>
      <c r="K788" t="n">
        <v>0</v>
      </c>
      <c r="L788" t="n">
        <v>0</v>
      </c>
      <c r="M788" t="n">
        <v>0</v>
      </c>
      <c r="N788" t="n">
        <v>0</v>
      </c>
      <c r="O788" t="n">
        <v>2</v>
      </c>
      <c r="P788" t="n">
        <v>0</v>
      </c>
      <c r="Q788" t="n">
        <v>2</v>
      </c>
      <c r="R788" s="2" t="inlineStr">
        <is>
          <t>Gammelgransskål
Lunglav</t>
        </is>
      </c>
      <c r="S788">
        <f>HYPERLINK("https://klasma.github.io/Logging_2481/artfynd/A 26271-2025 artfynd.xlsx", "A 26271-2025")</f>
        <v/>
      </c>
      <c r="T788">
        <f>HYPERLINK("https://klasma.github.io/Logging_2481/kartor/A 26271-2025 karta.png", "A 26271-2025")</f>
        <v/>
      </c>
      <c r="V788">
        <f>HYPERLINK("https://klasma.github.io/Logging_2481/klagomål/A 26271-2025 FSC-klagomål.docx", "A 26271-2025")</f>
        <v/>
      </c>
      <c r="W788">
        <f>HYPERLINK("https://klasma.github.io/Logging_2481/klagomålsmail/A 26271-2025 FSC-klagomål mail.docx", "A 26271-2025")</f>
        <v/>
      </c>
      <c r="X788">
        <f>HYPERLINK("https://klasma.github.io/Logging_2481/tillsyn/A 26271-2025 tillsynsbegäran.docx", "A 26271-2025")</f>
        <v/>
      </c>
      <c r="Y788">
        <f>HYPERLINK("https://klasma.github.io/Logging_2481/tillsynsmail/A 26271-2025 tillsynsbegäran mail.docx", "A 26271-2025")</f>
        <v/>
      </c>
    </row>
    <row r="789" ht="15" customHeight="1">
      <c r="A789" t="inlineStr">
        <is>
          <t>A 26962-2025</t>
        </is>
      </c>
      <c r="B789" s="1" t="n">
        <v>45811.46348379629</v>
      </c>
      <c r="C789" s="1" t="n">
        <v>46075</v>
      </c>
      <c r="D789" t="inlineStr">
        <is>
          <t>VÄSTERBOTTENS LÄN</t>
        </is>
      </c>
      <c r="E789" t="inlineStr">
        <is>
          <t>SKELLEFTEÅ</t>
        </is>
      </c>
      <c r="G789" t="n">
        <v>2.4</v>
      </c>
      <c r="H789" t="n">
        <v>1</v>
      </c>
      <c r="I789" t="n">
        <v>0</v>
      </c>
      <c r="J789" t="n">
        <v>2</v>
      </c>
      <c r="K789" t="n">
        <v>0</v>
      </c>
      <c r="L789" t="n">
        <v>0</v>
      </c>
      <c r="M789" t="n">
        <v>0</v>
      </c>
      <c r="N789" t="n">
        <v>0</v>
      </c>
      <c r="O789" t="n">
        <v>2</v>
      </c>
      <c r="P789" t="n">
        <v>0</v>
      </c>
      <c r="Q789" t="n">
        <v>2</v>
      </c>
      <c r="R789" s="2" t="inlineStr">
        <is>
          <t>Garnlav
Talltita</t>
        </is>
      </c>
      <c r="S789">
        <f>HYPERLINK("https://klasma.github.io/Logging_2482/artfynd/A 26962-2025 artfynd.xlsx", "A 26962-2025")</f>
        <v/>
      </c>
      <c r="T789">
        <f>HYPERLINK("https://klasma.github.io/Logging_2482/kartor/A 26962-2025 karta.png", "A 26962-2025")</f>
        <v/>
      </c>
      <c r="V789">
        <f>HYPERLINK("https://klasma.github.io/Logging_2482/klagomål/A 26962-2025 FSC-klagomål.docx", "A 26962-2025")</f>
        <v/>
      </c>
      <c r="W789">
        <f>HYPERLINK("https://klasma.github.io/Logging_2482/klagomålsmail/A 26962-2025 FSC-klagomål mail.docx", "A 26962-2025")</f>
        <v/>
      </c>
      <c r="X789">
        <f>HYPERLINK("https://klasma.github.io/Logging_2482/tillsyn/A 26962-2025 tillsynsbegäran.docx", "A 26962-2025")</f>
        <v/>
      </c>
      <c r="Y789">
        <f>HYPERLINK("https://klasma.github.io/Logging_2482/tillsynsmail/A 26962-2025 tillsynsbegäran mail.docx", "A 26962-2025")</f>
        <v/>
      </c>
      <c r="Z789">
        <f>HYPERLINK("https://klasma.github.io/Logging_2482/fåglar/A 26962-2025 prioriterade fågelarter.docx", "A 26962-2025")</f>
        <v/>
      </c>
    </row>
    <row r="790" ht="15" customHeight="1">
      <c r="A790" t="inlineStr">
        <is>
          <t>A 27665-2025</t>
        </is>
      </c>
      <c r="B790" s="1" t="n">
        <v>45813.61879629629</v>
      </c>
      <c r="C790" s="1" t="n">
        <v>46075</v>
      </c>
      <c r="D790" t="inlineStr">
        <is>
          <t>VÄSTERBOTTENS LÄN</t>
        </is>
      </c>
      <c r="E790" t="inlineStr">
        <is>
          <t>VINDELN</t>
        </is>
      </c>
      <c r="F790" t="inlineStr">
        <is>
          <t>Holmen skog AB</t>
        </is>
      </c>
      <c r="G790" t="n">
        <v>5.7</v>
      </c>
      <c r="H790" t="n">
        <v>0</v>
      </c>
      <c r="I790" t="n">
        <v>2</v>
      </c>
      <c r="J790" t="n">
        <v>0</v>
      </c>
      <c r="K790" t="n">
        <v>0</v>
      </c>
      <c r="L790" t="n">
        <v>0</v>
      </c>
      <c r="M790" t="n">
        <v>0</v>
      </c>
      <c r="N790" t="n">
        <v>0</v>
      </c>
      <c r="O790" t="n">
        <v>0</v>
      </c>
      <c r="P790" t="n">
        <v>0</v>
      </c>
      <c r="Q790" t="n">
        <v>2</v>
      </c>
      <c r="R790" s="2" t="inlineStr">
        <is>
          <t>Mindre märgborre
Skarp dropptaggsvamp</t>
        </is>
      </c>
      <c r="S790">
        <f>HYPERLINK("https://klasma.github.io/Logging_2404/artfynd/A 27665-2025 artfynd.xlsx", "A 27665-2025")</f>
        <v/>
      </c>
      <c r="T790">
        <f>HYPERLINK("https://klasma.github.io/Logging_2404/kartor/A 27665-2025 karta.png", "A 27665-2025")</f>
        <v/>
      </c>
      <c r="V790">
        <f>HYPERLINK("https://klasma.github.io/Logging_2404/klagomål/A 27665-2025 FSC-klagomål.docx", "A 27665-2025")</f>
        <v/>
      </c>
      <c r="W790">
        <f>HYPERLINK("https://klasma.github.io/Logging_2404/klagomålsmail/A 27665-2025 FSC-klagomål mail.docx", "A 27665-2025")</f>
        <v/>
      </c>
      <c r="X790">
        <f>HYPERLINK("https://klasma.github.io/Logging_2404/tillsyn/A 27665-2025 tillsynsbegäran.docx", "A 27665-2025")</f>
        <v/>
      </c>
      <c r="Y790">
        <f>HYPERLINK("https://klasma.github.io/Logging_2404/tillsynsmail/A 27665-2025 tillsynsbegäran mail.docx", "A 27665-2025")</f>
        <v/>
      </c>
    </row>
    <row r="791" ht="15" customHeight="1">
      <c r="A791" t="inlineStr">
        <is>
          <t>A 28061-2025</t>
        </is>
      </c>
      <c r="B791" s="1" t="n">
        <v>45817.66739583333</v>
      </c>
      <c r="C791" s="1" t="n">
        <v>46075</v>
      </c>
      <c r="D791" t="inlineStr">
        <is>
          <t>VÄSTERBOTTENS LÄN</t>
        </is>
      </c>
      <c r="E791" t="inlineStr">
        <is>
          <t>SKELLEFTEÅ</t>
        </is>
      </c>
      <c r="G791" t="n">
        <v>3.3</v>
      </c>
      <c r="H791" t="n">
        <v>1</v>
      </c>
      <c r="I791" t="n">
        <v>0</v>
      </c>
      <c r="J791" t="n">
        <v>2</v>
      </c>
      <c r="K791" t="n">
        <v>0</v>
      </c>
      <c r="L791" t="n">
        <v>0</v>
      </c>
      <c r="M791" t="n">
        <v>0</v>
      </c>
      <c r="N791" t="n">
        <v>0</v>
      </c>
      <c r="O791" t="n">
        <v>2</v>
      </c>
      <c r="P791" t="n">
        <v>0</v>
      </c>
      <c r="Q791" t="n">
        <v>2</v>
      </c>
      <c r="R791" s="2" t="inlineStr">
        <is>
          <t>Garnlav
Spillkråka</t>
        </is>
      </c>
      <c r="S791">
        <f>HYPERLINK("https://klasma.github.io/Logging_2482/artfynd/A 28061-2025 artfynd.xlsx", "A 28061-2025")</f>
        <v/>
      </c>
      <c r="T791">
        <f>HYPERLINK("https://klasma.github.io/Logging_2482/kartor/A 28061-2025 karta.png", "A 28061-2025")</f>
        <v/>
      </c>
      <c r="V791">
        <f>HYPERLINK("https://klasma.github.io/Logging_2482/klagomål/A 28061-2025 FSC-klagomål.docx", "A 28061-2025")</f>
        <v/>
      </c>
      <c r="W791">
        <f>HYPERLINK("https://klasma.github.io/Logging_2482/klagomålsmail/A 28061-2025 FSC-klagomål mail.docx", "A 28061-2025")</f>
        <v/>
      </c>
      <c r="X791">
        <f>HYPERLINK("https://klasma.github.io/Logging_2482/tillsyn/A 28061-2025 tillsynsbegäran.docx", "A 28061-2025")</f>
        <v/>
      </c>
      <c r="Y791">
        <f>HYPERLINK("https://klasma.github.io/Logging_2482/tillsynsmail/A 28061-2025 tillsynsbegäran mail.docx", "A 28061-2025")</f>
        <v/>
      </c>
      <c r="Z791">
        <f>HYPERLINK("https://klasma.github.io/Logging_2482/fåglar/A 28061-2025 prioriterade fågelarter.docx", "A 28061-2025")</f>
        <v/>
      </c>
    </row>
    <row r="792" ht="15" customHeight="1">
      <c r="A792" t="inlineStr">
        <is>
          <t>A 43050-2021</t>
        </is>
      </c>
      <c r="B792" s="1" t="n">
        <v>44431</v>
      </c>
      <c r="C792" s="1" t="n">
        <v>46075</v>
      </c>
      <c r="D792" t="inlineStr">
        <is>
          <t>VÄSTERBOTTENS LÄN</t>
        </is>
      </c>
      <c r="E792" t="inlineStr">
        <is>
          <t>NORDMALING</t>
        </is>
      </c>
      <c r="G792" t="n">
        <v>3</v>
      </c>
      <c r="H792" t="n">
        <v>0</v>
      </c>
      <c r="I792" t="n">
        <v>0</v>
      </c>
      <c r="J792" t="n">
        <v>1</v>
      </c>
      <c r="K792" t="n">
        <v>0</v>
      </c>
      <c r="L792" t="n">
        <v>0</v>
      </c>
      <c r="M792" t="n">
        <v>0</v>
      </c>
      <c r="N792" t="n">
        <v>0</v>
      </c>
      <c r="O792" t="n">
        <v>1</v>
      </c>
      <c r="P792" t="n">
        <v>0</v>
      </c>
      <c r="Q792" t="n">
        <v>1</v>
      </c>
      <c r="R792" s="2" t="inlineStr">
        <is>
          <t>Gränsticka</t>
        </is>
      </c>
      <c r="S792">
        <f>HYPERLINK("https://klasma.github.io/Logging_2401/artfynd/A 43050-2021 artfynd.xlsx", "A 43050-2021")</f>
        <v/>
      </c>
      <c r="T792">
        <f>HYPERLINK("https://klasma.github.io/Logging_2401/kartor/A 43050-2021 karta.png", "A 43050-2021")</f>
        <v/>
      </c>
      <c r="V792">
        <f>HYPERLINK("https://klasma.github.io/Logging_2401/klagomål/A 43050-2021 FSC-klagomål.docx", "A 43050-2021")</f>
        <v/>
      </c>
      <c r="W792">
        <f>HYPERLINK("https://klasma.github.io/Logging_2401/klagomålsmail/A 43050-2021 FSC-klagomål mail.docx", "A 43050-2021")</f>
        <v/>
      </c>
      <c r="X792">
        <f>HYPERLINK("https://klasma.github.io/Logging_2401/tillsyn/A 43050-2021 tillsynsbegäran.docx", "A 43050-2021")</f>
        <v/>
      </c>
      <c r="Y792">
        <f>HYPERLINK("https://klasma.github.io/Logging_2401/tillsynsmail/A 43050-2021 tillsynsbegäran mail.docx", "A 43050-2021")</f>
        <v/>
      </c>
    </row>
    <row r="793" ht="15" customHeight="1">
      <c r="A793" t="inlineStr">
        <is>
          <t>A 60045-2021</t>
        </is>
      </c>
      <c r="B793" s="1" t="n">
        <v>44495.33185185185</v>
      </c>
      <c r="C793" s="1" t="n">
        <v>46075</v>
      </c>
      <c r="D793" t="inlineStr">
        <is>
          <t>VÄSTERBOTTENS LÄN</t>
        </is>
      </c>
      <c r="E793" t="inlineStr">
        <is>
          <t>LYCKSELE</t>
        </is>
      </c>
      <c r="F793" t="inlineStr">
        <is>
          <t>Sveaskog</t>
        </is>
      </c>
      <c r="G793" t="n">
        <v>0.6</v>
      </c>
      <c r="H793" t="n">
        <v>0</v>
      </c>
      <c r="I793" t="n">
        <v>0</v>
      </c>
      <c r="J793" t="n">
        <v>1</v>
      </c>
      <c r="K793" t="n">
        <v>0</v>
      </c>
      <c r="L793" t="n">
        <v>0</v>
      </c>
      <c r="M793" t="n">
        <v>0</v>
      </c>
      <c r="N793" t="n">
        <v>0</v>
      </c>
      <c r="O793" t="n">
        <v>1</v>
      </c>
      <c r="P793" t="n">
        <v>0</v>
      </c>
      <c r="Q793" t="n">
        <v>1</v>
      </c>
      <c r="R793" s="2" t="inlineStr">
        <is>
          <t>Lunglav</t>
        </is>
      </c>
      <c r="S793">
        <f>HYPERLINK("https://klasma.github.io/Logging_2481/artfynd/A 60045-2021 artfynd.xlsx", "A 60045-2021")</f>
        <v/>
      </c>
      <c r="T793">
        <f>HYPERLINK("https://klasma.github.io/Logging_2481/kartor/A 60045-2021 karta.png", "A 60045-2021")</f>
        <v/>
      </c>
      <c r="V793">
        <f>HYPERLINK("https://klasma.github.io/Logging_2481/klagomål/A 60045-2021 FSC-klagomål.docx", "A 60045-2021")</f>
        <v/>
      </c>
      <c r="W793">
        <f>HYPERLINK("https://klasma.github.io/Logging_2481/klagomålsmail/A 60045-2021 FSC-klagomål mail.docx", "A 60045-2021")</f>
        <v/>
      </c>
      <c r="X793">
        <f>HYPERLINK("https://klasma.github.io/Logging_2481/tillsyn/A 60045-2021 tillsynsbegäran.docx", "A 60045-2021")</f>
        <v/>
      </c>
      <c r="Y793">
        <f>HYPERLINK("https://klasma.github.io/Logging_2481/tillsynsmail/A 60045-2021 tillsynsbegäran mail.docx", "A 60045-2021")</f>
        <v/>
      </c>
    </row>
    <row r="794" ht="15" customHeight="1">
      <c r="A794" t="inlineStr">
        <is>
          <t>A 66259-2021</t>
        </is>
      </c>
      <c r="B794" s="1" t="n">
        <v>44518</v>
      </c>
      <c r="C794" s="1" t="n">
        <v>46075</v>
      </c>
      <c r="D794" t="inlineStr">
        <is>
          <t>VÄSTERBOTTENS LÄN</t>
        </is>
      </c>
      <c r="E794" t="inlineStr">
        <is>
          <t>VILHELMINA</t>
        </is>
      </c>
      <c r="G794" t="n">
        <v>14.6</v>
      </c>
      <c r="H794" t="n">
        <v>0</v>
      </c>
      <c r="I794" t="n">
        <v>0</v>
      </c>
      <c r="J794" t="n">
        <v>1</v>
      </c>
      <c r="K794" t="n">
        <v>0</v>
      </c>
      <c r="L794" t="n">
        <v>0</v>
      </c>
      <c r="M794" t="n">
        <v>0</v>
      </c>
      <c r="N794" t="n">
        <v>0</v>
      </c>
      <c r="O794" t="n">
        <v>1</v>
      </c>
      <c r="P794" t="n">
        <v>0</v>
      </c>
      <c r="Q794" t="n">
        <v>1</v>
      </c>
      <c r="R794" s="2" t="inlineStr">
        <is>
          <t>Skogshare</t>
        </is>
      </c>
      <c r="S794">
        <f>HYPERLINK("https://klasma.github.io/Logging_2462/artfynd/A 66259-2021 artfynd.xlsx", "A 66259-2021")</f>
        <v/>
      </c>
      <c r="T794">
        <f>HYPERLINK("https://klasma.github.io/Logging_2462/kartor/A 66259-2021 karta.png", "A 66259-2021")</f>
        <v/>
      </c>
      <c r="V794">
        <f>HYPERLINK("https://klasma.github.io/Logging_2462/klagomål/A 66259-2021 FSC-klagomål.docx", "A 66259-2021")</f>
        <v/>
      </c>
      <c r="W794">
        <f>HYPERLINK("https://klasma.github.io/Logging_2462/klagomålsmail/A 66259-2021 FSC-klagomål mail.docx", "A 66259-2021")</f>
        <v/>
      </c>
      <c r="X794">
        <f>HYPERLINK("https://klasma.github.io/Logging_2462/tillsyn/A 66259-2021 tillsynsbegäran.docx", "A 66259-2021")</f>
        <v/>
      </c>
      <c r="Y794">
        <f>HYPERLINK("https://klasma.github.io/Logging_2462/tillsynsmail/A 66259-2021 tillsynsbegäran mail.docx", "A 66259-2021")</f>
        <v/>
      </c>
    </row>
    <row r="795" ht="15" customHeight="1">
      <c r="A795" t="inlineStr">
        <is>
          <t>A 38393-2021</t>
        </is>
      </c>
      <c r="B795" s="1" t="n">
        <v>44406</v>
      </c>
      <c r="C795" s="1" t="n">
        <v>46075</v>
      </c>
      <c r="D795" t="inlineStr">
        <is>
          <t>VÄSTERBOTTENS LÄN</t>
        </is>
      </c>
      <c r="E795" t="inlineStr">
        <is>
          <t>UMEÅ</t>
        </is>
      </c>
      <c r="G795" t="n">
        <v>1</v>
      </c>
      <c r="H795" t="n">
        <v>1</v>
      </c>
      <c r="I795" t="n">
        <v>0</v>
      </c>
      <c r="J795" t="n">
        <v>1</v>
      </c>
      <c r="K795" t="n">
        <v>0</v>
      </c>
      <c r="L795" t="n">
        <v>0</v>
      </c>
      <c r="M795" t="n">
        <v>0</v>
      </c>
      <c r="N795" t="n">
        <v>0</v>
      </c>
      <c r="O795" t="n">
        <v>1</v>
      </c>
      <c r="P795" t="n">
        <v>0</v>
      </c>
      <c r="Q795" t="n">
        <v>1</v>
      </c>
      <c r="R795" s="2" t="inlineStr">
        <is>
          <t>Spillkråka</t>
        </is>
      </c>
      <c r="S795">
        <f>HYPERLINK("https://klasma.github.io/Logging_2480/artfynd/A 38393-2021 artfynd.xlsx", "A 38393-2021")</f>
        <v/>
      </c>
      <c r="T795">
        <f>HYPERLINK("https://klasma.github.io/Logging_2480/kartor/A 38393-2021 karta.png", "A 38393-2021")</f>
        <v/>
      </c>
      <c r="V795">
        <f>HYPERLINK("https://klasma.github.io/Logging_2480/klagomål/A 38393-2021 FSC-klagomål.docx", "A 38393-2021")</f>
        <v/>
      </c>
      <c r="W795">
        <f>HYPERLINK("https://klasma.github.io/Logging_2480/klagomålsmail/A 38393-2021 FSC-klagomål mail.docx", "A 38393-2021")</f>
        <v/>
      </c>
      <c r="X795">
        <f>HYPERLINK("https://klasma.github.io/Logging_2480/tillsyn/A 38393-2021 tillsynsbegäran.docx", "A 38393-2021")</f>
        <v/>
      </c>
      <c r="Y795">
        <f>HYPERLINK("https://klasma.github.io/Logging_2480/tillsynsmail/A 38393-2021 tillsynsbegäran mail.docx", "A 38393-2021")</f>
        <v/>
      </c>
      <c r="Z795">
        <f>HYPERLINK("https://klasma.github.io/Logging_2480/fåglar/A 38393-2021 prioriterade fågelarter.docx", "A 38393-2021")</f>
        <v/>
      </c>
    </row>
    <row r="796" ht="15" customHeight="1">
      <c r="A796" t="inlineStr">
        <is>
          <t>A 38396-2021</t>
        </is>
      </c>
      <c r="B796" s="1" t="n">
        <v>44406</v>
      </c>
      <c r="C796" s="1" t="n">
        <v>46075</v>
      </c>
      <c r="D796" t="inlineStr">
        <is>
          <t>VÄSTERBOTTENS LÄN</t>
        </is>
      </c>
      <c r="E796" t="inlineStr">
        <is>
          <t>UMEÅ</t>
        </is>
      </c>
      <c r="F796" t="inlineStr">
        <is>
          <t>Kommuner</t>
        </is>
      </c>
      <c r="G796" t="n">
        <v>1.7</v>
      </c>
      <c r="H796" t="n">
        <v>0</v>
      </c>
      <c r="I796" t="n">
        <v>1</v>
      </c>
      <c r="J796" t="n">
        <v>0</v>
      </c>
      <c r="K796" t="n">
        <v>0</v>
      </c>
      <c r="L796" t="n">
        <v>0</v>
      </c>
      <c r="M796" t="n">
        <v>0</v>
      </c>
      <c r="N796" t="n">
        <v>0</v>
      </c>
      <c r="O796" t="n">
        <v>0</v>
      </c>
      <c r="P796" t="n">
        <v>0</v>
      </c>
      <c r="Q796" t="n">
        <v>1</v>
      </c>
      <c r="R796" s="2" t="inlineStr">
        <is>
          <t>Strutbräken</t>
        </is>
      </c>
      <c r="S796">
        <f>HYPERLINK("https://klasma.github.io/Logging_2480/artfynd/A 38396-2021 artfynd.xlsx", "A 38396-2021")</f>
        <v/>
      </c>
      <c r="T796">
        <f>HYPERLINK("https://klasma.github.io/Logging_2480/kartor/A 38396-2021 karta.png", "A 38396-2021")</f>
        <v/>
      </c>
      <c r="V796">
        <f>HYPERLINK("https://klasma.github.io/Logging_2480/klagomål/A 38396-2021 FSC-klagomål.docx", "A 38396-2021")</f>
        <v/>
      </c>
      <c r="W796">
        <f>HYPERLINK("https://klasma.github.io/Logging_2480/klagomålsmail/A 38396-2021 FSC-klagomål mail.docx", "A 38396-2021")</f>
        <v/>
      </c>
      <c r="X796">
        <f>HYPERLINK("https://klasma.github.io/Logging_2480/tillsyn/A 38396-2021 tillsynsbegäran.docx", "A 38396-2021")</f>
        <v/>
      </c>
      <c r="Y796">
        <f>HYPERLINK("https://klasma.github.io/Logging_2480/tillsynsmail/A 38396-2021 tillsynsbegäran mail.docx", "A 38396-2021")</f>
        <v/>
      </c>
    </row>
    <row r="797" ht="15" customHeight="1">
      <c r="A797" t="inlineStr">
        <is>
          <t>A 38437-2021</t>
        </is>
      </c>
      <c r="B797" s="1" t="n">
        <v>44406</v>
      </c>
      <c r="C797" s="1" t="n">
        <v>46075</v>
      </c>
      <c r="D797" t="inlineStr">
        <is>
          <t>VÄSTERBOTTENS LÄN</t>
        </is>
      </c>
      <c r="E797" t="inlineStr">
        <is>
          <t>UMEÅ</t>
        </is>
      </c>
      <c r="F797" t="inlineStr">
        <is>
          <t>Övriga statliga verk och myndigheter</t>
        </is>
      </c>
      <c r="G797" t="n">
        <v>2.3</v>
      </c>
      <c r="H797" t="n">
        <v>0</v>
      </c>
      <c r="I797" t="n">
        <v>1</v>
      </c>
      <c r="J797" t="n">
        <v>0</v>
      </c>
      <c r="K797" t="n">
        <v>0</v>
      </c>
      <c r="L797" t="n">
        <v>0</v>
      </c>
      <c r="M797" t="n">
        <v>0</v>
      </c>
      <c r="N797" t="n">
        <v>0</v>
      </c>
      <c r="O797" t="n">
        <v>0</v>
      </c>
      <c r="P797" t="n">
        <v>0</v>
      </c>
      <c r="Q797" t="n">
        <v>1</v>
      </c>
      <c r="R797" s="2" t="inlineStr">
        <is>
          <t>Tibast</t>
        </is>
      </c>
      <c r="S797">
        <f>HYPERLINK("https://klasma.github.io/Logging_2480/artfynd/A 38437-2021 artfynd.xlsx", "A 38437-2021")</f>
        <v/>
      </c>
      <c r="T797">
        <f>HYPERLINK("https://klasma.github.io/Logging_2480/kartor/A 38437-2021 karta.png", "A 38437-2021")</f>
        <v/>
      </c>
      <c r="V797">
        <f>HYPERLINK("https://klasma.github.io/Logging_2480/klagomål/A 38437-2021 FSC-klagomål.docx", "A 38437-2021")</f>
        <v/>
      </c>
      <c r="W797">
        <f>HYPERLINK("https://klasma.github.io/Logging_2480/klagomålsmail/A 38437-2021 FSC-klagomål mail.docx", "A 38437-2021")</f>
        <v/>
      </c>
      <c r="X797">
        <f>HYPERLINK("https://klasma.github.io/Logging_2480/tillsyn/A 38437-2021 tillsynsbegäran.docx", "A 38437-2021")</f>
        <v/>
      </c>
      <c r="Y797">
        <f>HYPERLINK("https://klasma.github.io/Logging_2480/tillsynsmail/A 38437-2021 tillsynsbegäran mail.docx", "A 38437-2021")</f>
        <v/>
      </c>
    </row>
    <row r="798" ht="15" customHeight="1">
      <c r="A798" t="inlineStr">
        <is>
          <t>A 3929-2022</t>
        </is>
      </c>
      <c r="B798" s="1" t="n">
        <v>44587.54111111111</v>
      </c>
      <c r="C798" s="1" t="n">
        <v>46075</v>
      </c>
      <c r="D798" t="inlineStr">
        <is>
          <t>VÄSTERBOTTENS LÄN</t>
        </is>
      </c>
      <c r="E798" t="inlineStr">
        <is>
          <t>LYCKSELE</t>
        </is>
      </c>
      <c r="F798" t="inlineStr">
        <is>
          <t>Sveaskog</t>
        </is>
      </c>
      <c r="G798" t="n">
        <v>6.7</v>
      </c>
      <c r="H798" t="n">
        <v>0</v>
      </c>
      <c r="I798" t="n">
        <v>0</v>
      </c>
      <c r="J798" t="n">
        <v>1</v>
      </c>
      <c r="K798" t="n">
        <v>0</v>
      </c>
      <c r="L798" t="n">
        <v>0</v>
      </c>
      <c r="M798" t="n">
        <v>0</v>
      </c>
      <c r="N798" t="n">
        <v>0</v>
      </c>
      <c r="O798" t="n">
        <v>1</v>
      </c>
      <c r="P798" t="n">
        <v>0</v>
      </c>
      <c r="Q798" t="n">
        <v>1</v>
      </c>
      <c r="R798" s="2" t="inlineStr">
        <is>
          <t>Kolflarnlav</t>
        </is>
      </c>
      <c r="S798">
        <f>HYPERLINK("https://klasma.github.io/Logging_2481/artfynd/A 3929-2022 artfynd.xlsx", "A 3929-2022")</f>
        <v/>
      </c>
      <c r="T798">
        <f>HYPERLINK("https://klasma.github.io/Logging_2481/kartor/A 3929-2022 karta.png", "A 3929-2022")</f>
        <v/>
      </c>
      <c r="V798">
        <f>HYPERLINK("https://klasma.github.io/Logging_2481/klagomål/A 3929-2022 FSC-klagomål.docx", "A 3929-2022")</f>
        <v/>
      </c>
      <c r="W798">
        <f>HYPERLINK("https://klasma.github.io/Logging_2481/klagomålsmail/A 3929-2022 FSC-klagomål mail.docx", "A 3929-2022")</f>
        <v/>
      </c>
      <c r="X798">
        <f>HYPERLINK("https://klasma.github.io/Logging_2481/tillsyn/A 3929-2022 tillsynsbegäran.docx", "A 3929-2022")</f>
        <v/>
      </c>
      <c r="Y798">
        <f>HYPERLINK("https://klasma.github.io/Logging_2481/tillsynsmail/A 3929-2022 tillsynsbegäran mail.docx", "A 3929-2022")</f>
        <v/>
      </c>
    </row>
    <row r="799" ht="15" customHeight="1">
      <c r="A799" t="inlineStr">
        <is>
          <t>A 40328-2022</t>
        </is>
      </c>
      <c r="B799" s="1" t="n">
        <v>44823</v>
      </c>
      <c r="C799" s="1" t="n">
        <v>46075</v>
      </c>
      <c r="D799" t="inlineStr">
        <is>
          <t>VÄSTERBOTTENS LÄN</t>
        </is>
      </c>
      <c r="E799" t="inlineStr">
        <is>
          <t>ÅSELE</t>
        </is>
      </c>
      <c r="G799" t="n">
        <v>5</v>
      </c>
      <c r="H799" t="n">
        <v>1</v>
      </c>
      <c r="I799" t="n">
        <v>0</v>
      </c>
      <c r="J799" t="n">
        <v>1</v>
      </c>
      <c r="K799" t="n">
        <v>0</v>
      </c>
      <c r="L799" t="n">
        <v>0</v>
      </c>
      <c r="M799" t="n">
        <v>0</v>
      </c>
      <c r="N799" t="n">
        <v>0</v>
      </c>
      <c r="O799" t="n">
        <v>1</v>
      </c>
      <c r="P799" t="n">
        <v>0</v>
      </c>
      <c r="Q799" t="n">
        <v>1</v>
      </c>
      <c r="R799" s="2" t="inlineStr">
        <is>
          <t>Utter</t>
        </is>
      </c>
      <c r="S799">
        <f>HYPERLINK("https://klasma.github.io/Logging_2463/artfynd/A 40328-2022 artfynd.xlsx", "A 40328-2022")</f>
        <v/>
      </c>
      <c r="T799">
        <f>HYPERLINK("https://klasma.github.io/Logging_2463/kartor/A 40328-2022 karta.png", "A 40328-2022")</f>
        <v/>
      </c>
      <c r="V799">
        <f>HYPERLINK("https://klasma.github.io/Logging_2463/klagomål/A 40328-2022 FSC-klagomål.docx", "A 40328-2022")</f>
        <v/>
      </c>
      <c r="W799">
        <f>HYPERLINK("https://klasma.github.io/Logging_2463/klagomålsmail/A 40328-2022 FSC-klagomål mail.docx", "A 40328-2022")</f>
        <v/>
      </c>
      <c r="X799">
        <f>HYPERLINK("https://klasma.github.io/Logging_2463/tillsyn/A 40328-2022 tillsynsbegäran.docx", "A 40328-2022")</f>
        <v/>
      </c>
      <c r="Y799">
        <f>HYPERLINK("https://klasma.github.io/Logging_2463/tillsynsmail/A 40328-2022 tillsynsbegäran mail.docx", "A 40328-2022")</f>
        <v/>
      </c>
    </row>
    <row r="800" ht="15" customHeight="1">
      <c r="A800" t="inlineStr">
        <is>
          <t>A 6711-2022</t>
        </is>
      </c>
      <c r="B800" s="1" t="n">
        <v>44602</v>
      </c>
      <c r="C800" s="1" t="n">
        <v>46075</v>
      </c>
      <c r="D800" t="inlineStr">
        <is>
          <t>VÄSTERBOTTENS LÄN</t>
        </is>
      </c>
      <c r="E800" t="inlineStr">
        <is>
          <t>UMEÅ</t>
        </is>
      </c>
      <c r="G800" t="n">
        <v>9.6</v>
      </c>
      <c r="H800" t="n">
        <v>1</v>
      </c>
      <c r="I800" t="n">
        <v>0</v>
      </c>
      <c r="J800" t="n">
        <v>1</v>
      </c>
      <c r="K800" t="n">
        <v>0</v>
      </c>
      <c r="L800" t="n">
        <v>0</v>
      </c>
      <c r="M800" t="n">
        <v>0</v>
      </c>
      <c r="N800" t="n">
        <v>0</v>
      </c>
      <c r="O800" t="n">
        <v>1</v>
      </c>
      <c r="P800" t="n">
        <v>0</v>
      </c>
      <c r="Q800" t="n">
        <v>1</v>
      </c>
      <c r="R800" s="2" t="inlineStr">
        <is>
          <t>Blå kärrhök</t>
        </is>
      </c>
      <c r="S800">
        <f>HYPERLINK("https://klasma.github.io/Logging_2480/artfynd/A 6711-2022 artfynd.xlsx", "A 6711-2022")</f>
        <v/>
      </c>
      <c r="T800">
        <f>HYPERLINK("https://klasma.github.io/Logging_2480/kartor/A 6711-2022 karta.png", "A 6711-2022")</f>
        <v/>
      </c>
      <c r="V800">
        <f>HYPERLINK("https://klasma.github.io/Logging_2480/klagomål/A 6711-2022 FSC-klagomål.docx", "A 6711-2022")</f>
        <v/>
      </c>
      <c r="W800">
        <f>HYPERLINK("https://klasma.github.io/Logging_2480/klagomålsmail/A 6711-2022 FSC-klagomål mail.docx", "A 6711-2022")</f>
        <v/>
      </c>
      <c r="X800">
        <f>HYPERLINK("https://klasma.github.io/Logging_2480/tillsyn/A 6711-2022 tillsynsbegäran.docx", "A 6711-2022")</f>
        <v/>
      </c>
      <c r="Y800">
        <f>HYPERLINK("https://klasma.github.io/Logging_2480/tillsynsmail/A 6711-2022 tillsynsbegäran mail.docx", "A 6711-2022")</f>
        <v/>
      </c>
      <c r="Z800">
        <f>HYPERLINK("https://klasma.github.io/Logging_2480/fåglar/A 6711-2022 prioriterade fågelarter.docx", "A 6711-2022")</f>
        <v/>
      </c>
    </row>
    <row r="801" ht="15" customHeight="1">
      <c r="A801" t="inlineStr">
        <is>
          <t>A 69915-2021</t>
        </is>
      </c>
      <c r="B801" s="1" t="n">
        <v>44532</v>
      </c>
      <c r="C801" s="1" t="n">
        <v>46075</v>
      </c>
      <c r="D801" t="inlineStr">
        <is>
          <t>VÄSTERBOTTENS LÄN</t>
        </is>
      </c>
      <c r="E801" t="inlineStr">
        <is>
          <t>VILHELMINA</t>
        </is>
      </c>
      <c r="F801" t="inlineStr">
        <is>
          <t>SCA</t>
        </is>
      </c>
      <c r="G801" t="n">
        <v>3</v>
      </c>
      <c r="H801" t="n">
        <v>1</v>
      </c>
      <c r="I801" t="n">
        <v>0</v>
      </c>
      <c r="J801" t="n">
        <v>1</v>
      </c>
      <c r="K801" t="n">
        <v>0</v>
      </c>
      <c r="L801" t="n">
        <v>0</v>
      </c>
      <c r="M801" t="n">
        <v>0</v>
      </c>
      <c r="N801" t="n">
        <v>0</v>
      </c>
      <c r="O801" t="n">
        <v>1</v>
      </c>
      <c r="P801" t="n">
        <v>0</v>
      </c>
      <c r="Q801" t="n">
        <v>1</v>
      </c>
      <c r="R801" s="2" t="inlineStr">
        <is>
          <t>Tretåig hackspett</t>
        </is>
      </c>
      <c r="S801">
        <f>HYPERLINK("https://klasma.github.io/Logging_2462/artfynd/A 69915-2021 artfynd.xlsx", "A 69915-2021")</f>
        <v/>
      </c>
      <c r="T801">
        <f>HYPERLINK("https://klasma.github.io/Logging_2462/kartor/A 69915-2021 karta.png", "A 69915-2021")</f>
        <v/>
      </c>
      <c r="V801">
        <f>HYPERLINK("https://klasma.github.io/Logging_2462/klagomål/A 69915-2021 FSC-klagomål.docx", "A 69915-2021")</f>
        <v/>
      </c>
      <c r="W801">
        <f>HYPERLINK("https://klasma.github.io/Logging_2462/klagomålsmail/A 69915-2021 FSC-klagomål mail.docx", "A 69915-2021")</f>
        <v/>
      </c>
      <c r="X801">
        <f>HYPERLINK("https://klasma.github.io/Logging_2462/tillsyn/A 69915-2021 tillsynsbegäran.docx", "A 69915-2021")</f>
        <v/>
      </c>
      <c r="Y801">
        <f>HYPERLINK("https://klasma.github.io/Logging_2462/tillsynsmail/A 69915-2021 tillsynsbegäran mail.docx", "A 69915-2021")</f>
        <v/>
      </c>
      <c r="Z801">
        <f>HYPERLINK("https://klasma.github.io/Logging_2462/fåglar/A 69915-2021 prioriterade fågelarter.docx", "A 69915-2021")</f>
        <v/>
      </c>
    </row>
    <row r="802" ht="15" customHeight="1">
      <c r="A802" t="inlineStr">
        <is>
          <t>A 38390-2021</t>
        </is>
      </c>
      <c r="B802" s="1" t="n">
        <v>44406</v>
      </c>
      <c r="C802" s="1" t="n">
        <v>46075</v>
      </c>
      <c r="D802" t="inlineStr">
        <is>
          <t>VÄSTERBOTTENS LÄN</t>
        </is>
      </c>
      <c r="E802" t="inlineStr">
        <is>
          <t>UMEÅ</t>
        </is>
      </c>
      <c r="F802" t="inlineStr">
        <is>
          <t>Övriga statliga verk och myndigheter</t>
        </is>
      </c>
      <c r="G802" t="n">
        <v>1.5</v>
      </c>
      <c r="H802" t="n">
        <v>0</v>
      </c>
      <c r="I802" t="n">
        <v>0</v>
      </c>
      <c r="J802" t="n">
        <v>1</v>
      </c>
      <c r="K802" t="n">
        <v>0</v>
      </c>
      <c r="L802" t="n">
        <v>0</v>
      </c>
      <c r="M802" t="n">
        <v>0</v>
      </c>
      <c r="N802" t="n">
        <v>0</v>
      </c>
      <c r="O802" t="n">
        <v>1</v>
      </c>
      <c r="P802" t="n">
        <v>0</v>
      </c>
      <c r="Q802" t="n">
        <v>1</v>
      </c>
      <c r="R802" s="2" t="inlineStr">
        <is>
          <t>Ullticka</t>
        </is>
      </c>
      <c r="S802">
        <f>HYPERLINK("https://klasma.github.io/Logging_2480/artfynd/A 38390-2021 artfynd.xlsx", "A 38390-2021")</f>
        <v/>
      </c>
      <c r="T802">
        <f>HYPERLINK("https://klasma.github.io/Logging_2480/kartor/A 38390-2021 karta.png", "A 38390-2021")</f>
        <v/>
      </c>
      <c r="V802">
        <f>HYPERLINK("https://klasma.github.io/Logging_2480/klagomål/A 38390-2021 FSC-klagomål.docx", "A 38390-2021")</f>
        <v/>
      </c>
      <c r="W802">
        <f>HYPERLINK("https://klasma.github.io/Logging_2480/klagomålsmail/A 38390-2021 FSC-klagomål mail.docx", "A 38390-2021")</f>
        <v/>
      </c>
      <c r="X802">
        <f>HYPERLINK("https://klasma.github.io/Logging_2480/tillsyn/A 38390-2021 tillsynsbegäran.docx", "A 38390-2021")</f>
        <v/>
      </c>
      <c r="Y802">
        <f>HYPERLINK("https://klasma.github.io/Logging_2480/tillsynsmail/A 38390-2021 tillsynsbegäran mail.docx", "A 38390-2021")</f>
        <v/>
      </c>
    </row>
    <row r="803" ht="15" customHeight="1">
      <c r="A803" t="inlineStr">
        <is>
          <t>A 60833-2021</t>
        </is>
      </c>
      <c r="B803" s="1" t="n">
        <v>44497</v>
      </c>
      <c r="C803" s="1" t="n">
        <v>46075</v>
      </c>
      <c r="D803" t="inlineStr">
        <is>
          <t>VÄSTERBOTTENS LÄN</t>
        </is>
      </c>
      <c r="E803" t="inlineStr">
        <is>
          <t>ROBERTSFORS</t>
        </is>
      </c>
      <c r="G803" t="n">
        <v>1.9</v>
      </c>
      <c r="H803" t="n">
        <v>0</v>
      </c>
      <c r="I803" t="n">
        <v>1</v>
      </c>
      <c r="J803" t="n">
        <v>0</v>
      </c>
      <c r="K803" t="n">
        <v>0</v>
      </c>
      <c r="L803" t="n">
        <v>0</v>
      </c>
      <c r="M803" t="n">
        <v>0</v>
      </c>
      <c r="N803" t="n">
        <v>0</v>
      </c>
      <c r="O803" t="n">
        <v>0</v>
      </c>
      <c r="P803" t="n">
        <v>0</v>
      </c>
      <c r="Q803" t="n">
        <v>1</v>
      </c>
      <c r="R803" s="2" t="inlineStr">
        <is>
          <t>Stuplav</t>
        </is>
      </c>
      <c r="S803">
        <f>HYPERLINK("https://klasma.github.io/Logging_2409/artfynd/A 60833-2021 artfynd.xlsx", "A 60833-2021")</f>
        <v/>
      </c>
      <c r="T803">
        <f>HYPERLINK("https://klasma.github.io/Logging_2409/kartor/A 60833-2021 karta.png", "A 60833-2021")</f>
        <v/>
      </c>
      <c r="V803">
        <f>HYPERLINK("https://klasma.github.io/Logging_2409/klagomål/A 60833-2021 FSC-klagomål.docx", "A 60833-2021")</f>
        <v/>
      </c>
      <c r="W803">
        <f>HYPERLINK("https://klasma.github.io/Logging_2409/klagomålsmail/A 60833-2021 FSC-klagomål mail.docx", "A 60833-2021")</f>
        <v/>
      </c>
      <c r="X803">
        <f>HYPERLINK("https://klasma.github.io/Logging_2409/tillsyn/A 60833-2021 tillsynsbegäran.docx", "A 60833-2021")</f>
        <v/>
      </c>
      <c r="Y803">
        <f>HYPERLINK("https://klasma.github.io/Logging_2409/tillsynsmail/A 60833-2021 tillsynsbegäran mail.docx", "A 60833-2021")</f>
        <v/>
      </c>
    </row>
    <row r="804" ht="15" customHeight="1">
      <c r="A804" t="inlineStr">
        <is>
          <t>A 32813-2022</t>
        </is>
      </c>
      <c r="B804" s="1" t="n">
        <v>44784</v>
      </c>
      <c r="C804" s="1" t="n">
        <v>46075</v>
      </c>
      <c r="D804" t="inlineStr">
        <is>
          <t>VÄSTERBOTTENS LÄN</t>
        </is>
      </c>
      <c r="E804" t="inlineStr">
        <is>
          <t>SORSELE</t>
        </is>
      </c>
      <c r="F804" t="inlineStr">
        <is>
          <t>Sveaskog</t>
        </is>
      </c>
      <c r="G804" t="n">
        <v>2.9</v>
      </c>
      <c r="H804" t="n">
        <v>0</v>
      </c>
      <c r="I804" t="n">
        <v>0</v>
      </c>
      <c r="J804" t="n">
        <v>1</v>
      </c>
      <c r="K804" t="n">
        <v>0</v>
      </c>
      <c r="L804" t="n">
        <v>0</v>
      </c>
      <c r="M804" t="n">
        <v>0</v>
      </c>
      <c r="N804" t="n">
        <v>0</v>
      </c>
      <c r="O804" t="n">
        <v>1</v>
      </c>
      <c r="P804" t="n">
        <v>0</v>
      </c>
      <c r="Q804" t="n">
        <v>1</v>
      </c>
      <c r="R804" s="2" t="inlineStr">
        <is>
          <t>Granticka</t>
        </is>
      </c>
      <c r="S804">
        <f>HYPERLINK("https://klasma.github.io/Logging_2422/artfynd/A 32813-2022 artfynd.xlsx", "A 32813-2022")</f>
        <v/>
      </c>
      <c r="T804">
        <f>HYPERLINK("https://klasma.github.io/Logging_2422/kartor/A 32813-2022 karta.png", "A 32813-2022")</f>
        <v/>
      </c>
      <c r="V804">
        <f>HYPERLINK("https://klasma.github.io/Logging_2422/klagomål/A 32813-2022 FSC-klagomål.docx", "A 32813-2022")</f>
        <v/>
      </c>
      <c r="W804">
        <f>HYPERLINK("https://klasma.github.io/Logging_2422/klagomålsmail/A 32813-2022 FSC-klagomål mail.docx", "A 32813-2022")</f>
        <v/>
      </c>
      <c r="X804">
        <f>HYPERLINK("https://klasma.github.io/Logging_2422/tillsyn/A 32813-2022 tillsynsbegäran.docx", "A 32813-2022")</f>
        <v/>
      </c>
      <c r="Y804">
        <f>HYPERLINK("https://klasma.github.io/Logging_2422/tillsynsmail/A 32813-2022 tillsynsbegäran mail.docx", "A 32813-2022")</f>
        <v/>
      </c>
    </row>
    <row r="805" ht="15" customHeight="1">
      <c r="A805" t="inlineStr">
        <is>
          <t>A 14857-2021</t>
        </is>
      </c>
      <c r="B805" s="1" t="n">
        <v>44280</v>
      </c>
      <c r="C805" s="1" t="n">
        <v>46075</v>
      </c>
      <c r="D805" t="inlineStr">
        <is>
          <t>VÄSTERBOTTENS LÄN</t>
        </is>
      </c>
      <c r="E805" t="inlineStr">
        <is>
          <t>SKELLEFTEÅ</t>
        </is>
      </c>
      <c r="F805" t="inlineStr">
        <is>
          <t>SCA</t>
        </is>
      </c>
      <c r="G805" t="n">
        <v>3.7</v>
      </c>
      <c r="H805" t="n">
        <v>1</v>
      </c>
      <c r="I805" t="n">
        <v>0</v>
      </c>
      <c r="J805" t="n">
        <v>1</v>
      </c>
      <c r="K805" t="n">
        <v>0</v>
      </c>
      <c r="L805" t="n">
        <v>0</v>
      </c>
      <c r="M805" t="n">
        <v>0</v>
      </c>
      <c r="N805" t="n">
        <v>0</v>
      </c>
      <c r="O805" t="n">
        <v>1</v>
      </c>
      <c r="P805" t="n">
        <v>0</v>
      </c>
      <c r="Q805" t="n">
        <v>1</v>
      </c>
      <c r="R805" s="2" t="inlineStr">
        <is>
          <t>Tretåig hackspett</t>
        </is>
      </c>
      <c r="S805">
        <f>HYPERLINK("https://klasma.github.io/Logging_2482/artfynd/A 14857-2021 artfynd.xlsx", "A 14857-2021")</f>
        <v/>
      </c>
      <c r="T805">
        <f>HYPERLINK("https://klasma.github.io/Logging_2482/kartor/A 14857-2021 karta.png", "A 14857-2021")</f>
        <v/>
      </c>
      <c r="V805">
        <f>HYPERLINK("https://klasma.github.io/Logging_2482/klagomål/A 14857-2021 FSC-klagomål.docx", "A 14857-2021")</f>
        <v/>
      </c>
      <c r="W805">
        <f>HYPERLINK("https://klasma.github.io/Logging_2482/klagomålsmail/A 14857-2021 FSC-klagomål mail.docx", "A 14857-2021")</f>
        <v/>
      </c>
      <c r="X805">
        <f>HYPERLINK("https://klasma.github.io/Logging_2482/tillsyn/A 14857-2021 tillsynsbegäran.docx", "A 14857-2021")</f>
        <v/>
      </c>
      <c r="Y805">
        <f>HYPERLINK("https://klasma.github.io/Logging_2482/tillsynsmail/A 14857-2021 tillsynsbegäran mail.docx", "A 14857-2021")</f>
        <v/>
      </c>
      <c r="Z805">
        <f>HYPERLINK("https://klasma.github.io/Logging_2482/fåglar/A 14857-2021 prioriterade fågelarter.docx", "A 14857-2021")</f>
        <v/>
      </c>
    </row>
    <row r="806" ht="15" customHeight="1">
      <c r="A806" t="inlineStr">
        <is>
          <t>A 38545-2021</t>
        </is>
      </c>
      <c r="B806" s="1" t="n">
        <v>44407</v>
      </c>
      <c r="C806" s="1" t="n">
        <v>46075</v>
      </c>
      <c r="D806" t="inlineStr">
        <is>
          <t>VÄSTERBOTTENS LÄN</t>
        </is>
      </c>
      <c r="E806" t="inlineStr">
        <is>
          <t>UMEÅ</t>
        </is>
      </c>
      <c r="F806" t="inlineStr">
        <is>
          <t>Kommuner</t>
        </is>
      </c>
      <c r="G806" t="n">
        <v>0.6</v>
      </c>
      <c r="H806" t="n">
        <v>1</v>
      </c>
      <c r="I806" t="n">
        <v>0</v>
      </c>
      <c r="J806" t="n">
        <v>1</v>
      </c>
      <c r="K806" t="n">
        <v>0</v>
      </c>
      <c r="L806" t="n">
        <v>0</v>
      </c>
      <c r="M806" t="n">
        <v>0</v>
      </c>
      <c r="N806" t="n">
        <v>0</v>
      </c>
      <c r="O806" t="n">
        <v>1</v>
      </c>
      <c r="P806" t="n">
        <v>0</v>
      </c>
      <c r="Q806" t="n">
        <v>1</v>
      </c>
      <c r="R806" s="2" t="inlineStr">
        <is>
          <t>Järpe</t>
        </is>
      </c>
      <c r="S806">
        <f>HYPERLINK("https://klasma.github.io/Logging_2480/artfynd/A 38545-2021 artfynd.xlsx", "A 38545-2021")</f>
        <v/>
      </c>
      <c r="T806">
        <f>HYPERLINK("https://klasma.github.io/Logging_2480/kartor/A 38545-2021 karta.png", "A 38545-2021")</f>
        <v/>
      </c>
      <c r="V806">
        <f>HYPERLINK("https://klasma.github.io/Logging_2480/klagomål/A 38545-2021 FSC-klagomål.docx", "A 38545-2021")</f>
        <v/>
      </c>
      <c r="W806">
        <f>HYPERLINK("https://klasma.github.io/Logging_2480/klagomålsmail/A 38545-2021 FSC-klagomål mail.docx", "A 38545-2021")</f>
        <v/>
      </c>
      <c r="X806">
        <f>HYPERLINK("https://klasma.github.io/Logging_2480/tillsyn/A 38545-2021 tillsynsbegäran.docx", "A 38545-2021")</f>
        <v/>
      </c>
      <c r="Y806">
        <f>HYPERLINK("https://klasma.github.io/Logging_2480/tillsynsmail/A 38545-2021 tillsynsbegäran mail.docx", "A 38545-2021")</f>
        <v/>
      </c>
      <c r="Z806">
        <f>HYPERLINK("https://klasma.github.io/Logging_2480/fåglar/A 38545-2021 prioriterade fågelarter.docx", "A 38545-2021")</f>
        <v/>
      </c>
    </row>
    <row r="807" ht="15" customHeight="1">
      <c r="A807" t="inlineStr">
        <is>
          <t>A 38681-2021</t>
        </is>
      </c>
      <c r="B807" s="1" t="n">
        <v>44407</v>
      </c>
      <c r="C807" s="1" t="n">
        <v>46075</v>
      </c>
      <c r="D807" t="inlineStr">
        <is>
          <t>VÄSTERBOTTENS LÄN</t>
        </is>
      </c>
      <c r="E807" t="inlineStr">
        <is>
          <t>UMEÅ</t>
        </is>
      </c>
      <c r="F807" t="inlineStr">
        <is>
          <t>Kommuner</t>
        </is>
      </c>
      <c r="G807" t="n">
        <v>1</v>
      </c>
      <c r="H807" t="n">
        <v>1</v>
      </c>
      <c r="I807" t="n">
        <v>0</v>
      </c>
      <c r="J807" t="n">
        <v>1</v>
      </c>
      <c r="K807" t="n">
        <v>0</v>
      </c>
      <c r="L807" t="n">
        <v>0</v>
      </c>
      <c r="M807" t="n">
        <v>0</v>
      </c>
      <c r="N807" t="n">
        <v>0</v>
      </c>
      <c r="O807" t="n">
        <v>1</v>
      </c>
      <c r="P807" t="n">
        <v>0</v>
      </c>
      <c r="Q807" t="n">
        <v>1</v>
      </c>
      <c r="R807" s="2" t="inlineStr">
        <is>
          <t>Talltita</t>
        </is>
      </c>
      <c r="S807">
        <f>HYPERLINK("https://klasma.github.io/Logging_2480/artfynd/A 38681-2021 artfynd.xlsx", "A 38681-2021")</f>
        <v/>
      </c>
      <c r="T807">
        <f>HYPERLINK("https://klasma.github.io/Logging_2480/kartor/A 38681-2021 karta.png", "A 38681-2021")</f>
        <v/>
      </c>
      <c r="V807">
        <f>HYPERLINK("https://klasma.github.io/Logging_2480/klagomål/A 38681-2021 FSC-klagomål.docx", "A 38681-2021")</f>
        <v/>
      </c>
      <c r="W807">
        <f>HYPERLINK("https://klasma.github.io/Logging_2480/klagomålsmail/A 38681-2021 FSC-klagomål mail.docx", "A 38681-2021")</f>
        <v/>
      </c>
      <c r="X807">
        <f>HYPERLINK("https://klasma.github.io/Logging_2480/tillsyn/A 38681-2021 tillsynsbegäran.docx", "A 38681-2021")</f>
        <v/>
      </c>
      <c r="Y807">
        <f>HYPERLINK("https://klasma.github.io/Logging_2480/tillsynsmail/A 38681-2021 tillsynsbegäran mail.docx", "A 38681-2021")</f>
        <v/>
      </c>
      <c r="Z807">
        <f>HYPERLINK("https://klasma.github.io/Logging_2480/fåglar/A 38681-2021 prioriterade fågelarter.docx", "A 38681-2021")</f>
        <v/>
      </c>
    </row>
    <row r="808" ht="15" customHeight="1">
      <c r="A808" t="inlineStr">
        <is>
          <t>A 60310-2021</t>
        </is>
      </c>
      <c r="B808" s="1" t="n">
        <v>44495</v>
      </c>
      <c r="C808" s="1" t="n">
        <v>46075</v>
      </c>
      <c r="D808" t="inlineStr">
        <is>
          <t>VÄSTERBOTTENS LÄN</t>
        </is>
      </c>
      <c r="E808" t="inlineStr">
        <is>
          <t>NORDMALING</t>
        </is>
      </c>
      <c r="F808" t="inlineStr">
        <is>
          <t>SCA</t>
        </is>
      </c>
      <c r="G808" t="n">
        <v>1.2</v>
      </c>
      <c r="H808" t="n">
        <v>0</v>
      </c>
      <c r="I808" t="n">
        <v>1</v>
      </c>
      <c r="J808" t="n">
        <v>0</v>
      </c>
      <c r="K808" t="n">
        <v>0</v>
      </c>
      <c r="L808" t="n">
        <v>0</v>
      </c>
      <c r="M808" t="n">
        <v>0</v>
      </c>
      <c r="N808" t="n">
        <v>0</v>
      </c>
      <c r="O808" t="n">
        <v>0</v>
      </c>
      <c r="P808" t="n">
        <v>0</v>
      </c>
      <c r="Q808" t="n">
        <v>1</v>
      </c>
      <c r="R808" s="2" t="inlineStr">
        <is>
          <t>Stor aspticka</t>
        </is>
      </c>
      <c r="S808">
        <f>HYPERLINK("https://klasma.github.io/Logging_2401/artfynd/A 60310-2021 artfynd.xlsx", "A 60310-2021")</f>
        <v/>
      </c>
      <c r="T808">
        <f>HYPERLINK("https://klasma.github.io/Logging_2401/kartor/A 60310-2021 karta.png", "A 60310-2021")</f>
        <v/>
      </c>
      <c r="V808">
        <f>HYPERLINK("https://klasma.github.io/Logging_2401/klagomål/A 60310-2021 FSC-klagomål.docx", "A 60310-2021")</f>
        <v/>
      </c>
      <c r="W808">
        <f>HYPERLINK("https://klasma.github.io/Logging_2401/klagomålsmail/A 60310-2021 FSC-klagomål mail.docx", "A 60310-2021")</f>
        <v/>
      </c>
      <c r="X808">
        <f>HYPERLINK("https://klasma.github.io/Logging_2401/tillsyn/A 60310-2021 tillsynsbegäran.docx", "A 60310-2021")</f>
        <v/>
      </c>
      <c r="Y808">
        <f>HYPERLINK("https://klasma.github.io/Logging_2401/tillsynsmail/A 60310-2021 tillsynsbegäran mail.docx", "A 60310-2021")</f>
        <v/>
      </c>
    </row>
    <row r="809" ht="15" customHeight="1">
      <c r="A809" t="inlineStr">
        <is>
          <t>A 30704-2021</t>
        </is>
      </c>
      <c r="B809" s="1" t="n">
        <v>44365</v>
      </c>
      <c r="C809" s="1" t="n">
        <v>46075</v>
      </c>
      <c r="D809" t="inlineStr">
        <is>
          <t>VÄSTERBOTTENS LÄN</t>
        </is>
      </c>
      <c r="E809" t="inlineStr">
        <is>
          <t>SKELLEFTEÅ</t>
        </is>
      </c>
      <c r="G809" t="n">
        <v>20.2</v>
      </c>
      <c r="H809" t="n">
        <v>0</v>
      </c>
      <c r="I809" t="n">
        <v>0</v>
      </c>
      <c r="J809" t="n">
        <v>1</v>
      </c>
      <c r="K809" t="n">
        <v>0</v>
      </c>
      <c r="L809" t="n">
        <v>0</v>
      </c>
      <c r="M809" t="n">
        <v>0</v>
      </c>
      <c r="N809" t="n">
        <v>0</v>
      </c>
      <c r="O809" t="n">
        <v>1</v>
      </c>
      <c r="P809" t="n">
        <v>0</v>
      </c>
      <c r="Q809" t="n">
        <v>1</v>
      </c>
      <c r="R809" s="2" t="inlineStr">
        <is>
          <t>Lunglav</t>
        </is>
      </c>
      <c r="S809">
        <f>HYPERLINK("https://klasma.github.io/Logging_2482/artfynd/A 30704-2021 artfynd.xlsx", "A 30704-2021")</f>
        <v/>
      </c>
      <c r="T809">
        <f>HYPERLINK("https://klasma.github.io/Logging_2482/kartor/A 30704-2021 karta.png", "A 30704-2021")</f>
        <v/>
      </c>
      <c r="V809">
        <f>HYPERLINK("https://klasma.github.io/Logging_2482/klagomål/A 30704-2021 FSC-klagomål.docx", "A 30704-2021")</f>
        <v/>
      </c>
      <c r="W809">
        <f>HYPERLINK("https://klasma.github.io/Logging_2482/klagomålsmail/A 30704-2021 FSC-klagomål mail.docx", "A 30704-2021")</f>
        <v/>
      </c>
      <c r="X809">
        <f>HYPERLINK("https://klasma.github.io/Logging_2482/tillsyn/A 30704-2021 tillsynsbegäran.docx", "A 30704-2021")</f>
        <v/>
      </c>
      <c r="Y809">
        <f>HYPERLINK("https://klasma.github.io/Logging_2482/tillsynsmail/A 30704-2021 tillsynsbegäran mail.docx", "A 30704-2021")</f>
        <v/>
      </c>
    </row>
    <row r="810" ht="15" customHeight="1">
      <c r="A810" t="inlineStr">
        <is>
          <t>A 27804-2021</t>
        </is>
      </c>
      <c r="B810" s="1" t="n">
        <v>44354</v>
      </c>
      <c r="C810" s="1" t="n">
        <v>46075</v>
      </c>
      <c r="D810" t="inlineStr">
        <is>
          <t>VÄSTERBOTTENS LÄN</t>
        </is>
      </c>
      <c r="E810" t="inlineStr">
        <is>
          <t>UMEÅ</t>
        </is>
      </c>
      <c r="G810" t="n">
        <v>0.8</v>
      </c>
      <c r="H810" t="n">
        <v>0</v>
      </c>
      <c r="I810" t="n">
        <v>0</v>
      </c>
      <c r="J810" t="n">
        <v>1</v>
      </c>
      <c r="K810" t="n">
        <v>0</v>
      </c>
      <c r="L810" t="n">
        <v>0</v>
      </c>
      <c r="M810" t="n">
        <v>0</v>
      </c>
      <c r="N810" t="n">
        <v>0</v>
      </c>
      <c r="O810" t="n">
        <v>1</v>
      </c>
      <c r="P810" t="n">
        <v>0</v>
      </c>
      <c r="Q810" t="n">
        <v>1</v>
      </c>
      <c r="R810" s="2" t="inlineStr">
        <is>
          <t>Igelkott</t>
        </is>
      </c>
      <c r="S810">
        <f>HYPERLINK("https://klasma.github.io/Logging_2480/artfynd/A 27804-2021 artfynd.xlsx", "A 27804-2021")</f>
        <v/>
      </c>
      <c r="T810">
        <f>HYPERLINK("https://klasma.github.io/Logging_2480/kartor/A 27804-2021 karta.png", "A 27804-2021")</f>
        <v/>
      </c>
      <c r="V810">
        <f>HYPERLINK("https://klasma.github.io/Logging_2480/klagomål/A 27804-2021 FSC-klagomål.docx", "A 27804-2021")</f>
        <v/>
      </c>
      <c r="W810">
        <f>HYPERLINK("https://klasma.github.io/Logging_2480/klagomålsmail/A 27804-2021 FSC-klagomål mail.docx", "A 27804-2021")</f>
        <v/>
      </c>
      <c r="X810">
        <f>HYPERLINK("https://klasma.github.io/Logging_2480/tillsyn/A 27804-2021 tillsynsbegäran.docx", "A 27804-2021")</f>
        <v/>
      </c>
      <c r="Y810">
        <f>HYPERLINK("https://klasma.github.io/Logging_2480/tillsynsmail/A 27804-2021 tillsynsbegäran mail.docx", "A 27804-2021")</f>
        <v/>
      </c>
    </row>
    <row r="811" ht="15" customHeight="1">
      <c r="A811" t="inlineStr">
        <is>
          <t>A 9073-2022</t>
        </is>
      </c>
      <c r="B811" s="1" t="n">
        <v>44615</v>
      </c>
      <c r="C811" s="1" t="n">
        <v>46075</v>
      </c>
      <c r="D811" t="inlineStr">
        <is>
          <t>VÄSTERBOTTENS LÄN</t>
        </is>
      </c>
      <c r="E811" t="inlineStr">
        <is>
          <t>LYCKSELE</t>
        </is>
      </c>
      <c r="G811" t="n">
        <v>3</v>
      </c>
      <c r="H811" t="n">
        <v>1</v>
      </c>
      <c r="I811" t="n">
        <v>0</v>
      </c>
      <c r="J811" t="n">
        <v>1</v>
      </c>
      <c r="K811" t="n">
        <v>0</v>
      </c>
      <c r="L811" t="n">
        <v>0</v>
      </c>
      <c r="M811" t="n">
        <v>0</v>
      </c>
      <c r="N811" t="n">
        <v>0</v>
      </c>
      <c r="O811" t="n">
        <v>1</v>
      </c>
      <c r="P811" t="n">
        <v>0</v>
      </c>
      <c r="Q811" t="n">
        <v>1</v>
      </c>
      <c r="R811" s="2" t="inlineStr">
        <is>
          <t>Utter</t>
        </is>
      </c>
      <c r="S811">
        <f>HYPERLINK("https://klasma.github.io/Logging_2481/artfynd/A 9073-2022 artfynd.xlsx", "A 9073-2022")</f>
        <v/>
      </c>
      <c r="T811">
        <f>HYPERLINK("https://klasma.github.io/Logging_2481/kartor/A 9073-2022 karta.png", "A 9073-2022")</f>
        <v/>
      </c>
      <c r="V811">
        <f>HYPERLINK("https://klasma.github.io/Logging_2481/klagomål/A 9073-2022 FSC-klagomål.docx", "A 9073-2022")</f>
        <v/>
      </c>
      <c r="W811">
        <f>HYPERLINK("https://klasma.github.io/Logging_2481/klagomålsmail/A 9073-2022 FSC-klagomål mail.docx", "A 9073-2022")</f>
        <v/>
      </c>
      <c r="X811">
        <f>HYPERLINK("https://klasma.github.io/Logging_2481/tillsyn/A 9073-2022 tillsynsbegäran.docx", "A 9073-2022")</f>
        <v/>
      </c>
      <c r="Y811">
        <f>HYPERLINK("https://klasma.github.io/Logging_2481/tillsynsmail/A 9073-2022 tillsynsbegäran mail.docx", "A 9073-2022")</f>
        <v/>
      </c>
    </row>
    <row r="812" ht="15" customHeight="1">
      <c r="A812" t="inlineStr">
        <is>
          <t>A 14088-2021</t>
        </is>
      </c>
      <c r="B812" s="1" t="n">
        <v>44277</v>
      </c>
      <c r="C812" s="1" t="n">
        <v>46075</v>
      </c>
      <c r="D812" t="inlineStr">
        <is>
          <t>VÄSTERBOTTENS LÄN</t>
        </is>
      </c>
      <c r="E812" t="inlineStr">
        <is>
          <t>BJURHOLM</t>
        </is>
      </c>
      <c r="F812" t="inlineStr">
        <is>
          <t>SCA</t>
        </is>
      </c>
      <c r="G812" t="n">
        <v>7.6</v>
      </c>
      <c r="H812" t="n">
        <v>0</v>
      </c>
      <c r="I812" t="n">
        <v>0</v>
      </c>
      <c r="J812" t="n">
        <v>1</v>
      </c>
      <c r="K812" t="n">
        <v>0</v>
      </c>
      <c r="L812" t="n">
        <v>0</v>
      </c>
      <c r="M812" t="n">
        <v>0</v>
      </c>
      <c r="N812" t="n">
        <v>0</v>
      </c>
      <c r="O812" t="n">
        <v>1</v>
      </c>
      <c r="P812" t="n">
        <v>0</v>
      </c>
      <c r="Q812" t="n">
        <v>1</v>
      </c>
      <c r="R812" s="2" t="inlineStr">
        <is>
          <t>Lunglav</t>
        </is>
      </c>
      <c r="S812">
        <f>HYPERLINK("https://klasma.github.io/Logging_2403/artfynd/A 14088-2021 artfynd.xlsx", "A 14088-2021")</f>
        <v/>
      </c>
      <c r="T812">
        <f>HYPERLINK("https://klasma.github.io/Logging_2403/kartor/A 14088-2021 karta.png", "A 14088-2021")</f>
        <v/>
      </c>
      <c r="V812">
        <f>HYPERLINK("https://klasma.github.io/Logging_2403/klagomål/A 14088-2021 FSC-klagomål.docx", "A 14088-2021")</f>
        <v/>
      </c>
      <c r="W812">
        <f>HYPERLINK("https://klasma.github.io/Logging_2403/klagomålsmail/A 14088-2021 FSC-klagomål mail.docx", "A 14088-2021")</f>
        <v/>
      </c>
      <c r="X812">
        <f>HYPERLINK("https://klasma.github.io/Logging_2403/tillsyn/A 14088-2021 tillsynsbegäran.docx", "A 14088-2021")</f>
        <v/>
      </c>
      <c r="Y812">
        <f>HYPERLINK("https://klasma.github.io/Logging_2403/tillsynsmail/A 14088-2021 tillsynsbegäran mail.docx", "A 14088-2021")</f>
        <v/>
      </c>
    </row>
    <row r="813" ht="15" customHeight="1">
      <c r="A813" t="inlineStr">
        <is>
          <t>A 59780-2021</t>
        </is>
      </c>
      <c r="B813" s="1" t="n">
        <v>44494</v>
      </c>
      <c r="C813" s="1" t="n">
        <v>46075</v>
      </c>
      <c r="D813" t="inlineStr">
        <is>
          <t>VÄSTERBOTTENS LÄN</t>
        </is>
      </c>
      <c r="E813" t="inlineStr">
        <is>
          <t>LYCKSELE</t>
        </is>
      </c>
      <c r="F813" t="inlineStr">
        <is>
          <t>Sveaskog</t>
        </is>
      </c>
      <c r="G813" t="n">
        <v>5</v>
      </c>
      <c r="H813" t="n">
        <v>0</v>
      </c>
      <c r="I813" t="n">
        <v>0</v>
      </c>
      <c r="J813" t="n">
        <v>1</v>
      </c>
      <c r="K813" t="n">
        <v>0</v>
      </c>
      <c r="L813" t="n">
        <v>0</v>
      </c>
      <c r="M813" t="n">
        <v>0</v>
      </c>
      <c r="N813" t="n">
        <v>0</v>
      </c>
      <c r="O813" t="n">
        <v>1</v>
      </c>
      <c r="P813" t="n">
        <v>0</v>
      </c>
      <c r="Q813" t="n">
        <v>1</v>
      </c>
      <c r="R813" s="2" t="inlineStr">
        <is>
          <t>Lunglav</t>
        </is>
      </c>
      <c r="S813">
        <f>HYPERLINK("https://klasma.github.io/Logging_2481/artfynd/A 59780-2021 artfynd.xlsx", "A 59780-2021")</f>
        <v/>
      </c>
      <c r="T813">
        <f>HYPERLINK("https://klasma.github.io/Logging_2481/kartor/A 59780-2021 karta.png", "A 59780-2021")</f>
        <v/>
      </c>
      <c r="V813">
        <f>HYPERLINK("https://klasma.github.io/Logging_2481/klagomål/A 59780-2021 FSC-klagomål.docx", "A 59780-2021")</f>
        <v/>
      </c>
      <c r="W813">
        <f>HYPERLINK("https://klasma.github.io/Logging_2481/klagomålsmail/A 59780-2021 FSC-klagomål mail.docx", "A 59780-2021")</f>
        <v/>
      </c>
      <c r="X813">
        <f>HYPERLINK("https://klasma.github.io/Logging_2481/tillsyn/A 59780-2021 tillsynsbegäran.docx", "A 59780-2021")</f>
        <v/>
      </c>
      <c r="Y813">
        <f>HYPERLINK("https://klasma.github.io/Logging_2481/tillsynsmail/A 59780-2021 tillsynsbegäran mail.docx", "A 59780-2021")</f>
        <v/>
      </c>
    </row>
    <row r="814" ht="15" customHeight="1">
      <c r="A814" t="inlineStr">
        <is>
          <t>A 38438-2021</t>
        </is>
      </c>
      <c r="B814" s="1" t="n">
        <v>44406</v>
      </c>
      <c r="C814" s="1" t="n">
        <v>46075</v>
      </c>
      <c r="D814" t="inlineStr">
        <is>
          <t>VÄSTERBOTTENS LÄN</t>
        </is>
      </c>
      <c r="E814" t="inlineStr">
        <is>
          <t>UMEÅ</t>
        </is>
      </c>
      <c r="F814" t="inlineStr">
        <is>
          <t>Övriga statliga verk och myndigheter</t>
        </is>
      </c>
      <c r="G814" t="n">
        <v>1.8</v>
      </c>
      <c r="H814" t="n">
        <v>0</v>
      </c>
      <c r="I814" t="n">
        <v>1</v>
      </c>
      <c r="J814" t="n">
        <v>0</v>
      </c>
      <c r="K814" t="n">
        <v>0</v>
      </c>
      <c r="L814" t="n">
        <v>0</v>
      </c>
      <c r="M814" t="n">
        <v>0</v>
      </c>
      <c r="N814" t="n">
        <v>0</v>
      </c>
      <c r="O814" t="n">
        <v>0</v>
      </c>
      <c r="P814" t="n">
        <v>0</v>
      </c>
      <c r="Q814" t="n">
        <v>1</v>
      </c>
      <c r="R814" s="2" t="inlineStr">
        <is>
          <t>Tibast</t>
        </is>
      </c>
      <c r="S814">
        <f>HYPERLINK("https://klasma.github.io/Logging_2480/artfynd/A 38438-2021 artfynd.xlsx", "A 38438-2021")</f>
        <v/>
      </c>
      <c r="T814">
        <f>HYPERLINK("https://klasma.github.io/Logging_2480/kartor/A 38438-2021 karta.png", "A 38438-2021")</f>
        <v/>
      </c>
      <c r="V814">
        <f>HYPERLINK("https://klasma.github.io/Logging_2480/klagomål/A 38438-2021 FSC-klagomål.docx", "A 38438-2021")</f>
        <v/>
      </c>
      <c r="W814">
        <f>HYPERLINK("https://klasma.github.io/Logging_2480/klagomålsmail/A 38438-2021 FSC-klagomål mail.docx", "A 38438-2021")</f>
        <v/>
      </c>
      <c r="X814">
        <f>HYPERLINK("https://klasma.github.io/Logging_2480/tillsyn/A 38438-2021 tillsynsbegäran.docx", "A 38438-2021")</f>
        <v/>
      </c>
      <c r="Y814">
        <f>HYPERLINK("https://klasma.github.io/Logging_2480/tillsynsmail/A 38438-2021 tillsynsbegäran mail.docx", "A 38438-2021")</f>
        <v/>
      </c>
    </row>
    <row r="815" ht="15" customHeight="1">
      <c r="A815" t="inlineStr">
        <is>
          <t>A 60309-2021</t>
        </is>
      </c>
      <c r="B815" s="1" t="n">
        <v>44495</v>
      </c>
      <c r="C815" s="1" t="n">
        <v>46075</v>
      </c>
      <c r="D815" t="inlineStr">
        <is>
          <t>VÄSTERBOTTENS LÄN</t>
        </is>
      </c>
      <c r="E815" t="inlineStr">
        <is>
          <t>NORDMALING</t>
        </is>
      </c>
      <c r="F815" t="inlineStr">
        <is>
          <t>SCA</t>
        </is>
      </c>
      <c r="G815" t="n">
        <v>1.5</v>
      </c>
      <c r="H815" t="n">
        <v>0</v>
      </c>
      <c r="I815" t="n">
        <v>0</v>
      </c>
      <c r="J815" t="n">
        <v>1</v>
      </c>
      <c r="K815" t="n">
        <v>0</v>
      </c>
      <c r="L815" t="n">
        <v>0</v>
      </c>
      <c r="M815" t="n">
        <v>0</v>
      </c>
      <c r="N815" t="n">
        <v>0</v>
      </c>
      <c r="O815" t="n">
        <v>1</v>
      </c>
      <c r="P815" t="n">
        <v>0</v>
      </c>
      <c r="Q815" t="n">
        <v>1</v>
      </c>
      <c r="R815" s="2" t="inlineStr">
        <is>
          <t>Gränsticka</t>
        </is>
      </c>
      <c r="S815">
        <f>HYPERLINK("https://klasma.github.io/Logging_2401/artfynd/A 60309-2021 artfynd.xlsx", "A 60309-2021")</f>
        <v/>
      </c>
      <c r="T815">
        <f>HYPERLINK("https://klasma.github.io/Logging_2401/kartor/A 60309-2021 karta.png", "A 60309-2021")</f>
        <v/>
      </c>
      <c r="V815">
        <f>HYPERLINK("https://klasma.github.io/Logging_2401/klagomål/A 60309-2021 FSC-klagomål.docx", "A 60309-2021")</f>
        <v/>
      </c>
      <c r="W815">
        <f>HYPERLINK("https://klasma.github.io/Logging_2401/klagomålsmail/A 60309-2021 FSC-klagomål mail.docx", "A 60309-2021")</f>
        <v/>
      </c>
      <c r="X815">
        <f>HYPERLINK("https://klasma.github.io/Logging_2401/tillsyn/A 60309-2021 tillsynsbegäran.docx", "A 60309-2021")</f>
        <v/>
      </c>
      <c r="Y815">
        <f>HYPERLINK("https://klasma.github.io/Logging_2401/tillsynsmail/A 60309-2021 tillsynsbegäran mail.docx", "A 60309-2021")</f>
        <v/>
      </c>
    </row>
    <row r="816" ht="15" customHeight="1">
      <c r="A816" t="inlineStr">
        <is>
          <t>A 48771-2022</t>
        </is>
      </c>
      <c r="B816" s="1" t="n">
        <v>44859.59534722222</v>
      </c>
      <c r="C816" s="1" t="n">
        <v>46075</v>
      </c>
      <c r="D816" t="inlineStr">
        <is>
          <t>VÄSTERBOTTENS LÄN</t>
        </is>
      </c>
      <c r="E816" t="inlineStr">
        <is>
          <t>UMEÅ</t>
        </is>
      </c>
      <c r="F816" t="inlineStr">
        <is>
          <t>Holmen skog AB</t>
        </is>
      </c>
      <c r="G816" t="n">
        <v>4.6</v>
      </c>
      <c r="H816" t="n">
        <v>0</v>
      </c>
      <c r="I816" t="n">
        <v>1</v>
      </c>
      <c r="J816" t="n">
        <v>0</v>
      </c>
      <c r="K816" t="n">
        <v>0</v>
      </c>
      <c r="L816" t="n">
        <v>0</v>
      </c>
      <c r="M816" t="n">
        <v>0</v>
      </c>
      <c r="N816" t="n">
        <v>0</v>
      </c>
      <c r="O816" t="n">
        <v>0</v>
      </c>
      <c r="P816" t="n">
        <v>0</v>
      </c>
      <c r="Q816" t="n">
        <v>1</v>
      </c>
      <c r="R816" s="2" t="inlineStr">
        <is>
          <t>Vedticka</t>
        </is>
      </c>
      <c r="S816">
        <f>HYPERLINK("https://klasma.github.io/Logging_2480/artfynd/A 48771-2022 artfynd.xlsx", "A 48771-2022")</f>
        <v/>
      </c>
      <c r="T816">
        <f>HYPERLINK("https://klasma.github.io/Logging_2480/kartor/A 48771-2022 karta.png", "A 48771-2022")</f>
        <v/>
      </c>
      <c r="V816">
        <f>HYPERLINK("https://klasma.github.io/Logging_2480/klagomål/A 48771-2022 FSC-klagomål.docx", "A 48771-2022")</f>
        <v/>
      </c>
      <c r="W816">
        <f>HYPERLINK("https://klasma.github.io/Logging_2480/klagomålsmail/A 48771-2022 FSC-klagomål mail.docx", "A 48771-2022")</f>
        <v/>
      </c>
      <c r="X816">
        <f>HYPERLINK("https://klasma.github.io/Logging_2480/tillsyn/A 48771-2022 tillsynsbegäran.docx", "A 48771-2022")</f>
        <v/>
      </c>
      <c r="Y816">
        <f>HYPERLINK("https://klasma.github.io/Logging_2480/tillsynsmail/A 48771-2022 tillsynsbegäran mail.docx", "A 48771-2022")</f>
        <v/>
      </c>
    </row>
    <row r="817" ht="15" customHeight="1">
      <c r="A817" t="inlineStr">
        <is>
          <t>A 49658-2022</t>
        </is>
      </c>
      <c r="B817" s="1" t="n">
        <v>44862</v>
      </c>
      <c r="C817" s="1" t="n">
        <v>46075</v>
      </c>
      <c r="D817" t="inlineStr">
        <is>
          <t>VÄSTERBOTTENS LÄN</t>
        </is>
      </c>
      <c r="E817" t="inlineStr">
        <is>
          <t>UMEÅ</t>
        </is>
      </c>
      <c r="F817" t="inlineStr">
        <is>
          <t>Holmen skog AB</t>
        </is>
      </c>
      <c r="G817" t="n">
        <v>2.2</v>
      </c>
      <c r="H817" t="n">
        <v>1</v>
      </c>
      <c r="I817" t="n">
        <v>0</v>
      </c>
      <c r="J817" t="n">
        <v>0</v>
      </c>
      <c r="K817" t="n">
        <v>0</v>
      </c>
      <c r="L817" t="n">
        <v>0</v>
      </c>
      <c r="M817" t="n">
        <v>0</v>
      </c>
      <c r="N817" t="n">
        <v>0</v>
      </c>
      <c r="O817" t="n">
        <v>0</v>
      </c>
      <c r="P817" t="n">
        <v>0</v>
      </c>
      <c r="Q817" t="n">
        <v>1</v>
      </c>
      <c r="R817" s="2" t="inlineStr">
        <is>
          <t>Vanlig groda</t>
        </is>
      </c>
      <c r="S817">
        <f>HYPERLINK("https://klasma.github.io/Logging_2480/artfynd/A 49658-2022 artfynd.xlsx", "A 49658-2022")</f>
        <v/>
      </c>
      <c r="T817">
        <f>HYPERLINK("https://klasma.github.io/Logging_2480/kartor/A 49658-2022 karta.png", "A 49658-2022")</f>
        <v/>
      </c>
      <c r="V817">
        <f>HYPERLINK("https://klasma.github.io/Logging_2480/klagomål/A 49658-2022 FSC-klagomål.docx", "A 49658-2022")</f>
        <v/>
      </c>
      <c r="W817">
        <f>HYPERLINK("https://klasma.github.io/Logging_2480/klagomålsmail/A 49658-2022 FSC-klagomål mail.docx", "A 49658-2022")</f>
        <v/>
      </c>
      <c r="X817">
        <f>HYPERLINK("https://klasma.github.io/Logging_2480/tillsyn/A 49658-2022 tillsynsbegäran.docx", "A 49658-2022")</f>
        <v/>
      </c>
      <c r="Y817">
        <f>HYPERLINK("https://klasma.github.io/Logging_2480/tillsynsmail/A 49658-2022 tillsynsbegäran mail.docx", "A 49658-2022")</f>
        <v/>
      </c>
    </row>
    <row r="818" ht="15" customHeight="1">
      <c r="A818" t="inlineStr">
        <is>
          <t>A 31355-2021</t>
        </is>
      </c>
      <c r="B818" s="1" t="n">
        <v>44368.93952546296</v>
      </c>
      <c r="C818" s="1" t="n">
        <v>46075</v>
      </c>
      <c r="D818" t="inlineStr">
        <is>
          <t>VÄSTERBOTTENS LÄN</t>
        </is>
      </c>
      <c r="E818" t="inlineStr">
        <is>
          <t>NORDMALING</t>
        </is>
      </c>
      <c r="F818" t="inlineStr">
        <is>
          <t>SCA</t>
        </is>
      </c>
      <c r="G818" t="n">
        <v>5.1</v>
      </c>
      <c r="H818" t="n">
        <v>0</v>
      </c>
      <c r="I818" t="n">
        <v>0</v>
      </c>
      <c r="J818" t="n">
        <v>1</v>
      </c>
      <c r="K818" t="n">
        <v>0</v>
      </c>
      <c r="L818" t="n">
        <v>0</v>
      </c>
      <c r="M818" t="n">
        <v>0</v>
      </c>
      <c r="N818" t="n">
        <v>0</v>
      </c>
      <c r="O818" t="n">
        <v>1</v>
      </c>
      <c r="P818" t="n">
        <v>0</v>
      </c>
      <c r="Q818" t="n">
        <v>1</v>
      </c>
      <c r="R818" s="2" t="inlineStr">
        <is>
          <t>Garnlav</t>
        </is>
      </c>
      <c r="S818">
        <f>HYPERLINK("https://klasma.github.io/Logging_2401/artfynd/A 31355-2021 artfynd.xlsx", "A 31355-2021")</f>
        <v/>
      </c>
      <c r="T818">
        <f>HYPERLINK("https://klasma.github.io/Logging_2401/kartor/A 31355-2021 karta.png", "A 31355-2021")</f>
        <v/>
      </c>
      <c r="V818">
        <f>HYPERLINK("https://klasma.github.io/Logging_2401/klagomål/A 31355-2021 FSC-klagomål.docx", "A 31355-2021")</f>
        <v/>
      </c>
      <c r="W818">
        <f>HYPERLINK("https://klasma.github.io/Logging_2401/klagomålsmail/A 31355-2021 FSC-klagomål mail.docx", "A 31355-2021")</f>
        <v/>
      </c>
      <c r="X818">
        <f>HYPERLINK("https://klasma.github.io/Logging_2401/tillsyn/A 31355-2021 tillsynsbegäran.docx", "A 31355-2021")</f>
        <v/>
      </c>
      <c r="Y818">
        <f>HYPERLINK("https://klasma.github.io/Logging_2401/tillsynsmail/A 31355-2021 tillsynsbegäran mail.docx", "A 31355-2021")</f>
        <v/>
      </c>
    </row>
    <row r="819" ht="15" customHeight="1">
      <c r="A819" t="inlineStr">
        <is>
          <t>A 45511-2021</t>
        </is>
      </c>
      <c r="B819" s="1" t="n">
        <v>44440</v>
      </c>
      <c r="C819" s="1" t="n">
        <v>46075</v>
      </c>
      <c r="D819" t="inlineStr">
        <is>
          <t>VÄSTERBOTTENS LÄN</t>
        </is>
      </c>
      <c r="E819" t="inlineStr">
        <is>
          <t>SORSELE</t>
        </is>
      </c>
      <c r="G819" t="n">
        <v>2.7</v>
      </c>
      <c r="H819" t="n">
        <v>1</v>
      </c>
      <c r="I819" t="n">
        <v>0</v>
      </c>
      <c r="J819" t="n">
        <v>1</v>
      </c>
      <c r="K819" t="n">
        <v>0</v>
      </c>
      <c r="L819" t="n">
        <v>0</v>
      </c>
      <c r="M819" t="n">
        <v>0</v>
      </c>
      <c r="N819" t="n">
        <v>0</v>
      </c>
      <c r="O819" t="n">
        <v>1</v>
      </c>
      <c r="P819" t="n">
        <v>0</v>
      </c>
      <c r="Q819" t="n">
        <v>1</v>
      </c>
      <c r="R819" s="2" t="inlineStr">
        <is>
          <t>Tretåig hackspett</t>
        </is>
      </c>
      <c r="S819">
        <f>HYPERLINK("https://klasma.github.io/Logging_2422/artfynd/A 45511-2021 artfynd.xlsx", "A 45511-2021")</f>
        <v/>
      </c>
      <c r="T819">
        <f>HYPERLINK("https://klasma.github.io/Logging_2422/kartor/A 45511-2021 karta.png", "A 45511-2021")</f>
        <v/>
      </c>
      <c r="V819">
        <f>HYPERLINK("https://klasma.github.io/Logging_2422/klagomål/A 45511-2021 FSC-klagomål.docx", "A 45511-2021")</f>
        <v/>
      </c>
      <c r="W819">
        <f>HYPERLINK("https://klasma.github.io/Logging_2422/klagomålsmail/A 45511-2021 FSC-klagomål mail.docx", "A 45511-2021")</f>
        <v/>
      </c>
      <c r="X819">
        <f>HYPERLINK("https://klasma.github.io/Logging_2422/tillsyn/A 45511-2021 tillsynsbegäran.docx", "A 45511-2021")</f>
        <v/>
      </c>
      <c r="Y819">
        <f>HYPERLINK("https://klasma.github.io/Logging_2422/tillsynsmail/A 45511-2021 tillsynsbegäran mail.docx", "A 45511-2021")</f>
        <v/>
      </c>
      <c r="Z819">
        <f>HYPERLINK("https://klasma.github.io/Logging_2422/fåglar/A 45511-2021 prioriterade fågelarter.docx", "A 45511-2021")</f>
        <v/>
      </c>
    </row>
    <row r="820" ht="15" customHeight="1">
      <c r="A820" t="inlineStr">
        <is>
          <t>A 41993-2021</t>
        </is>
      </c>
      <c r="B820" s="1" t="n">
        <v>44426.47770833333</v>
      </c>
      <c r="C820" s="1" t="n">
        <v>46075</v>
      </c>
      <c r="D820" t="inlineStr">
        <is>
          <t>VÄSTERBOTTENS LÄN</t>
        </is>
      </c>
      <c r="E820" t="inlineStr">
        <is>
          <t>SKELLEFTEÅ</t>
        </is>
      </c>
      <c r="F820" t="inlineStr">
        <is>
          <t>Sveaskog</t>
        </is>
      </c>
      <c r="G820" t="n">
        <v>14.3</v>
      </c>
      <c r="H820" t="n">
        <v>0</v>
      </c>
      <c r="I820" t="n">
        <v>1</v>
      </c>
      <c r="J820" t="n">
        <v>0</v>
      </c>
      <c r="K820" t="n">
        <v>0</v>
      </c>
      <c r="L820" t="n">
        <v>0</v>
      </c>
      <c r="M820" t="n">
        <v>0</v>
      </c>
      <c r="N820" t="n">
        <v>0</v>
      </c>
      <c r="O820" t="n">
        <v>0</v>
      </c>
      <c r="P820" t="n">
        <v>0</v>
      </c>
      <c r="Q820" t="n">
        <v>1</v>
      </c>
      <c r="R820" s="2" t="inlineStr">
        <is>
          <t>Gullgröppa</t>
        </is>
      </c>
      <c r="S820">
        <f>HYPERLINK("https://klasma.github.io/Logging_2482/artfynd/A 41993-2021 artfynd.xlsx", "A 41993-2021")</f>
        <v/>
      </c>
      <c r="T820">
        <f>HYPERLINK("https://klasma.github.io/Logging_2482/kartor/A 41993-2021 karta.png", "A 41993-2021")</f>
        <v/>
      </c>
      <c r="V820">
        <f>HYPERLINK("https://klasma.github.io/Logging_2482/klagomål/A 41993-2021 FSC-klagomål.docx", "A 41993-2021")</f>
        <v/>
      </c>
      <c r="W820">
        <f>HYPERLINK("https://klasma.github.io/Logging_2482/klagomålsmail/A 41993-2021 FSC-klagomål mail.docx", "A 41993-2021")</f>
        <v/>
      </c>
      <c r="X820">
        <f>HYPERLINK("https://klasma.github.io/Logging_2482/tillsyn/A 41993-2021 tillsynsbegäran.docx", "A 41993-2021")</f>
        <v/>
      </c>
      <c r="Y820">
        <f>HYPERLINK("https://klasma.github.io/Logging_2482/tillsynsmail/A 41993-2021 tillsynsbegäran mail.docx", "A 41993-2021")</f>
        <v/>
      </c>
    </row>
    <row r="821" ht="15" customHeight="1">
      <c r="A821" t="inlineStr">
        <is>
          <t>A 20192-2022</t>
        </is>
      </c>
      <c r="B821" s="1" t="n">
        <v>44698.55512731482</v>
      </c>
      <c r="C821" s="1" t="n">
        <v>46075</v>
      </c>
      <c r="D821" t="inlineStr">
        <is>
          <t>VÄSTERBOTTENS LÄN</t>
        </is>
      </c>
      <c r="E821" t="inlineStr">
        <is>
          <t>STORUMAN</t>
        </is>
      </c>
      <c r="F821" t="inlineStr">
        <is>
          <t>Sveaskog</t>
        </is>
      </c>
      <c r="G821" t="n">
        <v>3.4</v>
      </c>
      <c r="H821" t="n">
        <v>0</v>
      </c>
      <c r="I821" t="n">
        <v>1</v>
      </c>
      <c r="J821" t="n">
        <v>0</v>
      </c>
      <c r="K821" t="n">
        <v>0</v>
      </c>
      <c r="L821" t="n">
        <v>0</v>
      </c>
      <c r="M821" t="n">
        <v>0</v>
      </c>
      <c r="N821" t="n">
        <v>0</v>
      </c>
      <c r="O821" t="n">
        <v>0</v>
      </c>
      <c r="P821" t="n">
        <v>0</v>
      </c>
      <c r="Q821" t="n">
        <v>1</v>
      </c>
      <c r="R821" s="2" t="inlineStr">
        <is>
          <t>Stuplav</t>
        </is>
      </c>
      <c r="S821">
        <f>HYPERLINK("https://klasma.github.io/Logging_2421/artfynd/A 20192-2022 artfynd.xlsx", "A 20192-2022")</f>
        <v/>
      </c>
      <c r="T821">
        <f>HYPERLINK("https://klasma.github.io/Logging_2421/kartor/A 20192-2022 karta.png", "A 20192-2022")</f>
        <v/>
      </c>
      <c r="V821">
        <f>HYPERLINK("https://klasma.github.io/Logging_2421/klagomål/A 20192-2022 FSC-klagomål.docx", "A 20192-2022")</f>
        <v/>
      </c>
      <c r="W821">
        <f>HYPERLINK("https://klasma.github.io/Logging_2421/klagomålsmail/A 20192-2022 FSC-klagomål mail.docx", "A 20192-2022")</f>
        <v/>
      </c>
      <c r="X821">
        <f>HYPERLINK("https://klasma.github.io/Logging_2421/tillsyn/A 20192-2022 tillsynsbegäran.docx", "A 20192-2022")</f>
        <v/>
      </c>
      <c r="Y821">
        <f>HYPERLINK("https://klasma.github.io/Logging_2421/tillsynsmail/A 20192-2022 tillsynsbegäran mail.docx", "A 20192-2022")</f>
        <v/>
      </c>
    </row>
    <row r="822" ht="15" customHeight="1">
      <c r="A822" t="inlineStr">
        <is>
          <t>A 23035-2022</t>
        </is>
      </c>
      <c r="B822" s="1" t="n">
        <v>44715</v>
      </c>
      <c r="C822" s="1" t="n">
        <v>46075</v>
      </c>
      <c r="D822" t="inlineStr">
        <is>
          <t>VÄSTERBOTTENS LÄN</t>
        </is>
      </c>
      <c r="E822" t="inlineStr">
        <is>
          <t>UMEÅ</t>
        </is>
      </c>
      <c r="G822" t="n">
        <v>1.2</v>
      </c>
      <c r="H822" t="n">
        <v>0</v>
      </c>
      <c r="I822" t="n">
        <v>0</v>
      </c>
      <c r="J822" t="n">
        <v>1</v>
      </c>
      <c r="K822" t="n">
        <v>0</v>
      </c>
      <c r="L822" t="n">
        <v>0</v>
      </c>
      <c r="M822" t="n">
        <v>0</v>
      </c>
      <c r="N822" t="n">
        <v>0</v>
      </c>
      <c r="O822" t="n">
        <v>1</v>
      </c>
      <c r="P822" t="n">
        <v>0</v>
      </c>
      <c r="Q822" t="n">
        <v>1</v>
      </c>
      <c r="R822" s="2" t="inlineStr">
        <is>
          <t>Granticka</t>
        </is>
      </c>
      <c r="S822">
        <f>HYPERLINK("https://klasma.github.io/Logging_2480/artfynd/A 23035-2022 artfynd.xlsx", "A 23035-2022")</f>
        <v/>
      </c>
      <c r="T822">
        <f>HYPERLINK("https://klasma.github.io/Logging_2480/kartor/A 23035-2022 karta.png", "A 23035-2022")</f>
        <v/>
      </c>
      <c r="V822">
        <f>HYPERLINK("https://klasma.github.io/Logging_2480/klagomål/A 23035-2022 FSC-klagomål.docx", "A 23035-2022")</f>
        <v/>
      </c>
      <c r="W822">
        <f>HYPERLINK("https://klasma.github.io/Logging_2480/klagomålsmail/A 23035-2022 FSC-klagomål mail.docx", "A 23035-2022")</f>
        <v/>
      </c>
      <c r="X822">
        <f>HYPERLINK("https://klasma.github.io/Logging_2480/tillsyn/A 23035-2022 tillsynsbegäran.docx", "A 23035-2022")</f>
        <v/>
      </c>
      <c r="Y822">
        <f>HYPERLINK("https://klasma.github.io/Logging_2480/tillsynsmail/A 23035-2022 tillsynsbegäran mail.docx", "A 23035-2022")</f>
        <v/>
      </c>
    </row>
    <row r="823" ht="15" customHeight="1">
      <c r="A823" t="inlineStr">
        <is>
          <t>A 42843-2021</t>
        </is>
      </c>
      <c r="B823" s="1" t="n">
        <v>44430</v>
      </c>
      <c r="C823" s="1" t="n">
        <v>46075</v>
      </c>
      <c r="D823" t="inlineStr">
        <is>
          <t>VÄSTERBOTTENS LÄN</t>
        </is>
      </c>
      <c r="E823" t="inlineStr">
        <is>
          <t>STORUMAN</t>
        </is>
      </c>
      <c r="F823" t="inlineStr">
        <is>
          <t>Övriga statliga verk och myndigheter</t>
        </is>
      </c>
      <c r="G823" t="n">
        <v>19.7</v>
      </c>
      <c r="H823" t="n">
        <v>0</v>
      </c>
      <c r="I823" t="n">
        <v>0</v>
      </c>
      <c r="J823" t="n">
        <v>1</v>
      </c>
      <c r="K823" t="n">
        <v>0</v>
      </c>
      <c r="L823" t="n">
        <v>0</v>
      </c>
      <c r="M823" t="n">
        <v>0</v>
      </c>
      <c r="N823" t="n">
        <v>0</v>
      </c>
      <c r="O823" t="n">
        <v>1</v>
      </c>
      <c r="P823" t="n">
        <v>0</v>
      </c>
      <c r="Q823" t="n">
        <v>1</v>
      </c>
      <c r="R823" s="2" t="inlineStr">
        <is>
          <t>Granticka</t>
        </is>
      </c>
      <c r="S823">
        <f>HYPERLINK("https://klasma.github.io/Logging_2421/artfynd/A 42843-2021 artfynd.xlsx", "A 42843-2021")</f>
        <v/>
      </c>
      <c r="T823">
        <f>HYPERLINK("https://klasma.github.io/Logging_2421/kartor/A 42843-2021 karta.png", "A 42843-2021")</f>
        <v/>
      </c>
      <c r="V823">
        <f>HYPERLINK("https://klasma.github.io/Logging_2421/klagomål/A 42843-2021 FSC-klagomål.docx", "A 42843-2021")</f>
        <v/>
      </c>
      <c r="W823">
        <f>HYPERLINK("https://klasma.github.io/Logging_2421/klagomålsmail/A 42843-2021 FSC-klagomål mail.docx", "A 42843-2021")</f>
        <v/>
      </c>
      <c r="X823">
        <f>HYPERLINK("https://klasma.github.io/Logging_2421/tillsyn/A 42843-2021 tillsynsbegäran.docx", "A 42843-2021")</f>
        <v/>
      </c>
      <c r="Y823">
        <f>HYPERLINK("https://klasma.github.io/Logging_2421/tillsynsmail/A 42843-2021 tillsynsbegäran mail.docx", "A 42843-2021")</f>
        <v/>
      </c>
    </row>
    <row r="824" ht="15" customHeight="1">
      <c r="A824" t="inlineStr">
        <is>
          <t>A 74179-2021</t>
        </is>
      </c>
      <c r="B824" s="1" t="n">
        <v>44558</v>
      </c>
      <c r="C824" s="1" t="n">
        <v>46075</v>
      </c>
      <c r="D824" t="inlineStr">
        <is>
          <t>VÄSTERBOTTENS LÄN</t>
        </is>
      </c>
      <c r="E824" t="inlineStr">
        <is>
          <t>LYCKSELE</t>
        </is>
      </c>
      <c r="G824" t="n">
        <v>3.1</v>
      </c>
      <c r="H824" t="n">
        <v>1</v>
      </c>
      <c r="I824" t="n">
        <v>0</v>
      </c>
      <c r="J824" t="n">
        <v>1</v>
      </c>
      <c r="K824" t="n">
        <v>0</v>
      </c>
      <c r="L824" t="n">
        <v>0</v>
      </c>
      <c r="M824" t="n">
        <v>0</v>
      </c>
      <c r="N824" t="n">
        <v>0</v>
      </c>
      <c r="O824" t="n">
        <v>1</v>
      </c>
      <c r="P824" t="n">
        <v>0</v>
      </c>
      <c r="Q824" t="n">
        <v>1</v>
      </c>
      <c r="R824" s="2" t="inlineStr">
        <is>
          <t>Spillkråka</t>
        </is>
      </c>
      <c r="S824">
        <f>HYPERLINK("https://klasma.github.io/Logging_2481/artfynd/A 74179-2021 artfynd.xlsx", "A 74179-2021")</f>
        <v/>
      </c>
      <c r="T824">
        <f>HYPERLINK("https://klasma.github.io/Logging_2481/kartor/A 74179-2021 karta.png", "A 74179-2021")</f>
        <v/>
      </c>
      <c r="V824">
        <f>HYPERLINK("https://klasma.github.io/Logging_2481/klagomål/A 74179-2021 FSC-klagomål.docx", "A 74179-2021")</f>
        <v/>
      </c>
      <c r="W824">
        <f>HYPERLINK("https://klasma.github.io/Logging_2481/klagomålsmail/A 74179-2021 FSC-klagomål mail.docx", "A 74179-2021")</f>
        <v/>
      </c>
      <c r="X824">
        <f>HYPERLINK("https://klasma.github.io/Logging_2481/tillsyn/A 74179-2021 tillsynsbegäran.docx", "A 74179-2021")</f>
        <v/>
      </c>
      <c r="Y824">
        <f>HYPERLINK("https://klasma.github.io/Logging_2481/tillsynsmail/A 74179-2021 tillsynsbegäran mail.docx", "A 74179-2021")</f>
        <v/>
      </c>
      <c r="Z824">
        <f>HYPERLINK("https://klasma.github.io/Logging_2481/fåglar/A 74179-2021 prioriterade fågelarter.docx", "A 74179-2021")</f>
        <v/>
      </c>
    </row>
    <row r="825" ht="15" customHeight="1">
      <c r="A825" t="inlineStr">
        <is>
          <t>A 49588-2022</t>
        </is>
      </c>
      <c r="B825" s="1" t="n">
        <v>44862</v>
      </c>
      <c r="C825" s="1" t="n">
        <v>46075</v>
      </c>
      <c r="D825" t="inlineStr">
        <is>
          <t>VÄSTERBOTTENS LÄN</t>
        </is>
      </c>
      <c r="E825" t="inlineStr">
        <is>
          <t>SKELLEFTEÅ</t>
        </is>
      </c>
      <c r="F825" t="inlineStr">
        <is>
          <t>Holmen skog AB</t>
        </is>
      </c>
      <c r="G825" t="n">
        <v>6.1</v>
      </c>
      <c r="H825" t="n">
        <v>0</v>
      </c>
      <c r="I825" t="n">
        <v>0</v>
      </c>
      <c r="J825" t="n">
        <v>1</v>
      </c>
      <c r="K825" t="n">
        <v>0</v>
      </c>
      <c r="L825" t="n">
        <v>0</v>
      </c>
      <c r="M825" t="n">
        <v>0</v>
      </c>
      <c r="N825" t="n">
        <v>0</v>
      </c>
      <c r="O825" t="n">
        <v>1</v>
      </c>
      <c r="P825" t="n">
        <v>0</v>
      </c>
      <c r="Q825" t="n">
        <v>1</v>
      </c>
      <c r="R825" s="2" t="inlineStr">
        <is>
          <t>Lunglav</t>
        </is>
      </c>
      <c r="S825">
        <f>HYPERLINK("https://klasma.github.io/Logging_2482/artfynd/A 49588-2022 artfynd.xlsx", "A 49588-2022")</f>
        <v/>
      </c>
      <c r="T825">
        <f>HYPERLINK("https://klasma.github.io/Logging_2482/kartor/A 49588-2022 karta.png", "A 49588-2022")</f>
        <v/>
      </c>
      <c r="V825">
        <f>HYPERLINK("https://klasma.github.io/Logging_2482/klagomål/A 49588-2022 FSC-klagomål.docx", "A 49588-2022")</f>
        <v/>
      </c>
      <c r="W825">
        <f>HYPERLINK("https://klasma.github.io/Logging_2482/klagomålsmail/A 49588-2022 FSC-klagomål mail.docx", "A 49588-2022")</f>
        <v/>
      </c>
      <c r="X825">
        <f>HYPERLINK("https://klasma.github.io/Logging_2482/tillsyn/A 49588-2022 tillsynsbegäran.docx", "A 49588-2022")</f>
        <v/>
      </c>
      <c r="Y825">
        <f>HYPERLINK("https://klasma.github.io/Logging_2482/tillsynsmail/A 49588-2022 tillsynsbegäran mail.docx", "A 49588-2022")</f>
        <v/>
      </c>
    </row>
    <row r="826" ht="15" customHeight="1">
      <c r="A826" t="inlineStr">
        <is>
          <t>A 44389-2022</t>
        </is>
      </c>
      <c r="B826" s="1" t="n">
        <v>44838</v>
      </c>
      <c r="C826" s="1" t="n">
        <v>46075</v>
      </c>
      <c r="D826" t="inlineStr">
        <is>
          <t>VÄSTERBOTTENS LÄN</t>
        </is>
      </c>
      <c r="E826" t="inlineStr">
        <is>
          <t>DOROTEA</t>
        </is>
      </c>
      <c r="G826" t="n">
        <v>1.8</v>
      </c>
      <c r="H826" t="n">
        <v>0</v>
      </c>
      <c r="I826" t="n">
        <v>0</v>
      </c>
      <c r="J826" t="n">
        <v>1</v>
      </c>
      <c r="K826" t="n">
        <v>0</v>
      </c>
      <c r="L826" t="n">
        <v>0</v>
      </c>
      <c r="M826" t="n">
        <v>0</v>
      </c>
      <c r="N826" t="n">
        <v>0</v>
      </c>
      <c r="O826" t="n">
        <v>1</v>
      </c>
      <c r="P826" t="n">
        <v>0</v>
      </c>
      <c r="Q826" t="n">
        <v>1</v>
      </c>
      <c r="R826" s="2" t="inlineStr">
        <is>
          <t>Granticka</t>
        </is>
      </c>
      <c r="S826">
        <f>HYPERLINK("https://klasma.github.io/Logging_2425/artfynd/A 44389-2022 artfynd.xlsx", "A 44389-2022")</f>
        <v/>
      </c>
      <c r="T826">
        <f>HYPERLINK("https://klasma.github.io/Logging_2425/kartor/A 44389-2022 karta.png", "A 44389-2022")</f>
        <v/>
      </c>
      <c r="V826">
        <f>HYPERLINK("https://klasma.github.io/Logging_2425/klagomål/A 44389-2022 FSC-klagomål.docx", "A 44389-2022")</f>
        <v/>
      </c>
      <c r="W826">
        <f>HYPERLINK("https://klasma.github.io/Logging_2425/klagomålsmail/A 44389-2022 FSC-klagomål mail.docx", "A 44389-2022")</f>
        <v/>
      </c>
      <c r="X826">
        <f>HYPERLINK("https://klasma.github.io/Logging_2425/tillsyn/A 44389-2022 tillsynsbegäran.docx", "A 44389-2022")</f>
        <v/>
      </c>
      <c r="Y826">
        <f>HYPERLINK("https://klasma.github.io/Logging_2425/tillsynsmail/A 44389-2022 tillsynsbegäran mail.docx", "A 44389-2022")</f>
        <v/>
      </c>
    </row>
    <row r="827" ht="15" customHeight="1">
      <c r="A827" t="inlineStr">
        <is>
          <t>A 61850-2021</t>
        </is>
      </c>
      <c r="B827" s="1" t="n">
        <v>44501</v>
      </c>
      <c r="C827" s="1" t="n">
        <v>46075</v>
      </c>
      <c r="D827" t="inlineStr">
        <is>
          <t>VÄSTERBOTTENS LÄN</t>
        </is>
      </c>
      <c r="E827" t="inlineStr">
        <is>
          <t>ÅSELE</t>
        </is>
      </c>
      <c r="F827" t="inlineStr">
        <is>
          <t>SCA</t>
        </is>
      </c>
      <c r="G827" t="n">
        <v>12.9</v>
      </c>
      <c r="H827" t="n">
        <v>0</v>
      </c>
      <c r="I827" t="n">
        <v>1</v>
      </c>
      <c r="J827" t="n">
        <v>0</v>
      </c>
      <c r="K827" t="n">
        <v>0</v>
      </c>
      <c r="L827" t="n">
        <v>0</v>
      </c>
      <c r="M827" t="n">
        <v>0</v>
      </c>
      <c r="N827" t="n">
        <v>0</v>
      </c>
      <c r="O827" t="n">
        <v>0</v>
      </c>
      <c r="P827" t="n">
        <v>0</v>
      </c>
      <c r="Q827" t="n">
        <v>1</v>
      </c>
      <c r="R827" s="2" t="inlineStr">
        <is>
          <t>Skinnlav</t>
        </is>
      </c>
      <c r="S827">
        <f>HYPERLINK("https://klasma.github.io/Logging_2463/artfynd/A 61850-2021 artfynd.xlsx", "A 61850-2021")</f>
        <v/>
      </c>
      <c r="T827">
        <f>HYPERLINK("https://klasma.github.io/Logging_2463/kartor/A 61850-2021 karta.png", "A 61850-2021")</f>
        <v/>
      </c>
      <c r="V827">
        <f>HYPERLINK("https://klasma.github.io/Logging_2463/klagomål/A 61850-2021 FSC-klagomål.docx", "A 61850-2021")</f>
        <v/>
      </c>
      <c r="W827">
        <f>HYPERLINK("https://klasma.github.io/Logging_2463/klagomålsmail/A 61850-2021 FSC-klagomål mail.docx", "A 61850-2021")</f>
        <v/>
      </c>
      <c r="X827">
        <f>HYPERLINK("https://klasma.github.io/Logging_2463/tillsyn/A 61850-2021 tillsynsbegäran.docx", "A 61850-2021")</f>
        <v/>
      </c>
      <c r="Y827">
        <f>HYPERLINK("https://klasma.github.io/Logging_2463/tillsynsmail/A 61850-2021 tillsynsbegäran mail.docx", "A 61850-2021")</f>
        <v/>
      </c>
    </row>
    <row r="828" ht="15" customHeight="1">
      <c r="A828" t="inlineStr">
        <is>
          <t>A 38683-2021</t>
        </is>
      </c>
      <c r="B828" s="1" t="n">
        <v>44407</v>
      </c>
      <c r="C828" s="1" t="n">
        <v>46075</v>
      </c>
      <c r="D828" t="inlineStr">
        <is>
          <t>VÄSTERBOTTENS LÄN</t>
        </is>
      </c>
      <c r="E828" t="inlineStr">
        <is>
          <t>UMEÅ</t>
        </is>
      </c>
      <c r="F828" t="inlineStr">
        <is>
          <t>Kommuner</t>
        </is>
      </c>
      <c r="G828" t="n">
        <v>0.6</v>
      </c>
      <c r="H828" t="n">
        <v>0</v>
      </c>
      <c r="I828" t="n">
        <v>0</v>
      </c>
      <c r="J828" t="n">
        <v>1</v>
      </c>
      <c r="K828" t="n">
        <v>0</v>
      </c>
      <c r="L828" t="n">
        <v>0</v>
      </c>
      <c r="M828" t="n">
        <v>0</v>
      </c>
      <c r="N828" t="n">
        <v>0</v>
      </c>
      <c r="O828" t="n">
        <v>1</v>
      </c>
      <c r="P828" t="n">
        <v>0</v>
      </c>
      <c r="Q828" t="n">
        <v>1</v>
      </c>
      <c r="R828" s="2" t="inlineStr">
        <is>
          <t>Springkornsfältmätare</t>
        </is>
      </c>
      <c r="S828">
        <f>HYPERLINK("https://klasma.github.io/Logging_2480/artfynd/A 38683-2021 artfynd.xlsx", "A 38683-2021")</f>
        <v/>
      </c>
      <c r="T828">
        <f>HYPERLINK("https://klasma.github.io/Logging_2480/kartor/A 38683-2021 karta.png", "A 38683-2021")</f>
        <v/>
      </c>
      <c r="V828">
        <f>HYPERLINK("https://klasma.github.io/Logging_2480/klagomål/A 38683-2021 FSC-klagomål.docx", "A 38683-2021")</f>
        <v/>
      </c>
      <c r="W828">
        <f>HYPERLINK("https://klasma.github.io/Logging_2480/klagomålsmail/A 38683-2021 FSC-klagomål mail.docx", "A 38683-2021")</f>
        <v/>
      </c>
      <c r="X828">
        <f>HYPERLINK("https://klasma.github.io/Logging_2480/tillsyn/A 38683-2021 tillsynsbegäran.docx", "A 38683-2021")</f>
        <v/>
      </c>
      <c r="Y828">
        <f>HYPERLINK("https://klasma.github.io/Logging_2480/tillsynsmail/A 38683-2021 tillsynsbegäran mail.docx", "A 38683-2021")</f>
        <v/>
      </c>
    </row>
    <row r="829" ht="15" customHeight="1">
      <c r="A829" t="inlineStr">
        <is>
          <t>A 9341-2022</t>
        </is>
      </c>
      <c r="B829" s="1" t="n">
        <v>44616</v>
      </c>
      <c r="C829" s="1" t="n">
        <v>46075</v>
      </c>
      <c r="D829" t="inlineStr">
        <is>
          <t>VÄSTERBOTTENS LÄN</t>
        </is>
      </c>
      <c r="E829" t="inlineStr">
        <is>
          <t>LYCKSELE</t>
        </is>
      </c>
      <c r="G829" t="n">
        <v>6.9</v>
      </c>
      <c r="H829" t="n">
        <v>0</v>
      </c>
      <c r="I829" t="n">
        <v>0</v>
      </c>
      <c r="J829" t="n">
        <v>1</v>
      </c>
      <c r="K829" t="n">
        <v>0</v>
      </c>
      <c r="L829" t="n">
        <v>0</v>
      </c>
      <c r="M829" t="n">
        <v>0</v>
      </c>
      <c r="N829" t="n">
        <v>0</v>
      </c>
      <c r="O829" t="n">
        <v>1</v>
      </c>
      <c r="P829" t="n">
        <v>0</v>
      </c>
      <c r="Q829" t="n">
        <v>1</v>
      </c>
      <c r="R829" s="2" t="inlineStr">
        <is>
          <t>Ullticka</t>
        </is>
      </c>
      <c r="S829">
        <f>HYPERLINK("https://klasma.github.io/Logging_2481/artfynd/A 9341-2022 artfynd.xlsx", "A 9341-2022")</f>
        <v/>
      </c>
      <c r="T829">
        <f>HYPERLINK("https://klasma.github.io/Logging_2481/kartor/A 9341-2022 karta.png", "A 9341-2022")</f>
        <v/>
      </c>
      <c r="V829">
        <f>HYPERLINK("https://klasma.github.io/Logging_2481/klagomål/A 9341-2022 FSC-klagomål.docx", "A 9341-2022")</f>
        <v/>
      </c>
      <c r="W829">
        <f>HYPERLINK("https://klasma.github.io/Logging_2481/klagomålsmail/A 9341-2022 FSC-klagomål mail.docx", "A 9341-2022")</f>
        <v/>
      </c>
      <c r="X829">
        <f>HYPERLINK("https://klasma.github.io/Logging_2481/tillsyn/A 9341-2022 tillsynsbegäran.docx", "A 9341-2022")</f>
        <v/>
      </c>
      <c r="Y829">
        <f>HYPERLINK("https://klasma.github.io/Logging_2481/tillsynsmail/A 9341-2022 tillsynsbegäran mail.docx", "A 9341-2022")</f>
        <v/>
      </c>
    </row>
    <row r="830" ht="15" customHeight="1">
      <c r="A830" t="inlineStr">
        <is>
          <t>A 47038-2021</t>
        </is>
      </c>
      <c r="B830" s="1" t="n">
        <v>44446</v>
      </c>
      <c r="C830" s="1" t="n">
        <v>46075</v>
      </c>
      <c r="D830" t="inlineStr">
        <is>
          <t>VÄSTERBOTTENS LÄN</t>
        </is>
      </c>
      <c r="E830" t="inlineStr">
        <is>
          <t>UMEÅ</t>
        </is>
      </c>
      <c r="G830" t="n">
        <v>22.3</v>
      </c>
      <c r="H830" t="n">
        <v>0</v>
      </c>
      <c r="I830" t="n">
        <v>0</v>
      </c>
      <c r="J830" t="n">
        <v>1</v>
      </c>
      <c r="K830" t="n">
        <v>0</v>
      </c>
      <c r="L830" t="n">
        <v>0</v>
      </c>
      <c r="M830" t="n">
        <v>0</v>
      </c>
      <c r="N830" t="n">
        <v>0</v>
      </c>
      <c r="O830" t="n">
        <v>1</v>
      </c>
      <c r="P830" t="n">
        <v>0</v>
      </c>
      <c r="Q830" t="n">
        <v>1</v>
      </c>
      <c r="R830" s="2" t="inlineStr">
        <is>
          <t>Ullticka</t>
        </is>
      </c>
      <c r="S830">
        <f>HYPERLINK("https://klasma.github.io/Logging_2480/artfynd/A 47038-2021 artfynd.xlsx", "A 47038-2021")</f>
        <v/>
      </c>
      <c r="T830">
        <f>HYPERLINK("https://klasma.github.io/Logging_2480/kartor/A 47038-2021 karta.png", "A 47038-2021")</f>
        <v/>
      </c>
      <c r="V830">
        <f>HYPERLINK("https://klasma.github.io/Logging_2480/klagomål/A 47038-2021 FSC-klagomål.docx", "A 47038-2021")</f>
        <v/>
      </c>
      <c r="W830">
        <f>HYPERLINK("https://klasma.github.io/Logging_2480/klagomålsmail/A 47038-2021 FSC-klagomål mail.docx", "A 47038-2021")</f>
        <v/>
      </c>
      <c r="X830">
        <f>HYPERLINK("https://klasma.github.io/Logging_2480/tillsyn/A 47038-2021 tillsynsbegäran.docx", "A 47038-2021")</f>
        <v/>
      </c>
      <c r="Y830">
        <f>HYPERLINK("https://klasma.github.io/Logging_2480/tillsynsmail/A 47038-2021 tillsynsbegäran mail.docx", "A 47038-2021")</f>
        <v/>
      </c>
    </row>
    <row r="831" ht="15" customHeight="1">
      <c r="A831" t="inlineStr">
        <is>
          <t>A 34809-2022</t>
        </is>
      </c>
      <c r="B831" s="1" t="n">
        <v>44795</v>
      </c>
      <c r="C831" s="1" t="n">
        <v>46075</v>
      </c>
      <c r="D831" t="inlineStr">
        <is>
          <t>VÄSTERBOTTENS LÄN</t>
        </is>
      </c>
      <c r="E831" t="inlineStr">
        <is>
          <t>LYCKSELE</t>
        </is>
      </c>
      <c r="F831" t="inlineStr">
        <is>
          <t>SCA</t>
        </is>
      </c>
      <c r="G831" t="n">
        <v>1</v>
      </c>
      <c r="H831" t="n">
        <v>0</v>
      </c>
      <c r="I831" t="n">
        <v>0</v>
      </c>
      <c r="J831" t="n">
        <v>1</v>
      </c>
      <c r="K831" t="n">
        <v>0</v>
      </c>
      <c r="L831" t="n">
        <v>0</v>
      </c>
      <c r="M831" t="n">
        <v>0</v>
      </c>
      <c r="N831" t="n">
        <v>0</v>
      </c>
      <c r="O831" t="n">
        <v>1</v>
      </c>
      <c r="P831" t="n">
        <v>0</v>
      </c>
      <c r="Q831" t="n">
        <v>1</v>
      </c>
      <c r="R831" s="2" t="inlineStr">
        <is>
          <t>Gammelgransskål</t>
        </is>
      </c>
      <c r="S831">
        <f>HYPERLINK("https://klasma.github.io/Logging_2481/artfynd/A 34809-2022 artfynd.xlsx", "A 34809-2022")</f>
        <v/>
      </c>
      <c r="T831">
        <f>HYPERLINK("https://klasma.github.io/Logging_2481/kartor/A 34809-2022 karta.png", "A 34809-2022")</f>
        <v/>
      </c>
      <c r="V831">
        <f>HYPERLINK("https://klasma.github.io/Logging_2481/klagomål/A 34809-2022 FSC-klagomål.docx", "A 34809-2022")</f>
        <v/>
      </c>
      <c r="W831">
        <f>HYPERLINK("https://klasma.github.io/Logging_2481/klagomålsmail/A 34809-2022 FSC-klagomål mail.docx", "A 34809-2022")</f>
        <v/>
      </c>
      <c r="X831">
        <f>HYPERLINK("https://klasma.github.io/Logging_2481/tillsyn/A 34809-2022 tillsynsbegäran.docx", "A 34809-2022")</f>
        <v/>
      </c>
      <c r="Y831">
        <f>HYPERLINK("https://klasma.github.io/Logging_2481/tillsynsmail/A 34809-2022 tillsynsbegäran mail.docx", "A 34809-2022")</f>
        <v/>
      </c>
    </row>
    <row r="832" ht="15" customHeight="1">
      <c r="A832" t="inlineStr">
        <is>
          <t>A 34810-2022</t>
        </is>
      </c>
      <c r="B832" s="1" t="n">
        <v>44795</v>
      </c>
      <c r="C832" s="1" t="n">
        <v>46075</v>
      </c>
      <c r="D832" t="inlineStr">
        <is>
          <t>VÄSTERBOTTENS LÄN</t>
        </is>
      </c>
      <c r="E832" t="inlineStr">
        <is>
          <t>LYCKSELE</t>
        </is>
      </c>
      <c r="F832" t="inlineStr">
        <is>
          <t>SCA</t>
        </is>
      </c>
      <c r="G832" t="n">
        <v>2.3</v>
      </c>
      <c r="H832" t="n">
        <v>0</v>
      </c>
      <c r="I832" t="n">
        <v>0</v>
      </c>
      <c r="J832" t="n">
        <v>1</v>
      </c>
      <c r="K832" t="n">
        <v>0</v>
      </c>
      <c r="L832" t="n">
        <v>0</v>
      </c>
      <c r="M832" t="n">
        <v>0</v>
      </c>
      <c r="N832" t="n">
        <v>0</v>
      </c>
      <c r="O832" t="n">
        <v>1</v>
      </c>
      <c r="P832" t="n">
        <v>0</v>
      </c>
      <c r="Q832" t="n">
        <v>1</v>
      </c>
      <c r="R832" s="2" t="inlineStr">
        <is>
          <t>Lunglav</t>
        </is>
      </c>
      <c r="S832">
        <f>HYPERLINK("https://klasma.github.io/Logging_2481/artfynd/A 34810-2022 artfynd.xlsx", "A 34810-2022")</f>
        <v/>
      </c>
      <c r="T832">
        <f>HYPERLINK("https://klasma.github.io/Logging_2481/kartor/A 34810-2022 karta.png", "A 34810-2022")</f>
        <v/>
      </c>
      <c r="V832">
        <f>HYPERLINK("https://klasma.github.io/Logging_2481/klagomål/A 34810-2022 FSC-klagomål.docx", "A 34810-2022")</f>
        <v/>
      </c>
      <c r="W832">
        <f>HYPERLINK("https://klasma.github.io/Logging_2481/klagomålsmail/A 34810-2022 FSC-klagomål mail.docx", "A 34810-2022")</f>
        <v/>
      </c>
      <c r="X832">
        <f>HYPERLINK("https://klasma.github.io/Logging_2481/tillsyn/A 34810-2022 tillsynsbegäran.docx", "A 34810-2022")</f>
        <v/>
      </c>
      <c r="Y832">
        <f>HYPERLINK("https://klasma.github.io/Logging_2481/tillsynsmail/A 34810-2022 tillsynsbegäran mail.docx", "A 34810-2022")</f>
        <v/>
      </c>
    </row>
    <row r="833" ht="15" customHeight="1">
      <c r="A833" t="inlineStr">
        <is>
          <t>A 48947-2022</t>
        </is>
      </c>
      <c r="B833" s="1" t="n">
        <v>44859</v>
      </c>
      <c r="C833" s="1" t="n">
        <v>46075</v>
      </c>
      <c r="D833" t="inlineStr">
        <is>
          <t>VÄSTERBOTTENS LÄN</t>
        </is>
      </c>
      <c r="E833" t="inlineStr">
        <is>
          <t>NORDMALING</t>
        </is>
      </c>
      <c r="F833" t="inlineStr">
        <is>
          <t>SCA</t>
        </is>
      </c>
      <c r="G833" t="n">
        <v>3.4</v>
      </c>
      <c r="H833" t="n">
        <v>0</v>
      </c>
      <c r="I833" t="n">
        <v>1</v>
      </c>
      <c r="J833" t="n">
        <v>0</v>
      </c>
      <c r="K833" t="n">
        <v>0</v>
      </c>
      <c r="L833" t="n">
        <v>0</v>
      </c>
      <c r="M833" t="n">
        <v>0</v>
      </c>
      <c r="N833" t="n">
        <v>0</v>
      </c>
      <c r="O833" t="n">
        <v>0</v>
      </c>
      <c r="P833" t="n">
        <v>0</v>
      </c>
      <c r="Q833" t="n">
        <v>1</v>
      </c>
      <c r="R833" s="2" t="inlineStr">
        <is>
          <t>Trådticka</t>
        </is>
      </c>
      <c r="S833">
        <f>HYPERLINK("https://klasma.github.io/Logging_2401/artfynd/A 48947-2022 artfynd.xlsx", "A 48947-2022")</f>
        <v/>
      </c>
      <c r="T833">
        <f>HYPERLINK("https://klasma.github.io/Logging_2401/kartor/A 48947-2022 karta.png", "A 48947-2022")</f>
        <v/>
      </c>
      <c r="V833">
        <f>HYPERLINK("https://klasma.github.io/Logging_2401/klagomål/A 48947-2022 FSC-klagomål.docx", "A 48947-2022")</f>
        <v/>
      </c>
      <c r="W833">
        <f>HYPERLINK("https://klasma.github.io/Logging_2401/klagomålsmail/A 48947-2022 FSC-klagomål mail.docx", "A 48947-2022")</f>
        <v/>
      </c>
      <c r="X833">
        <f>HYPERLINK("https://klasma.github.io/Logging_2401/tillsyn/A 48947-2022 tillsynsbegäran.docx", "A 48947-2022")</f>
        <v/>
      </c>
      <c r="Y833">
        <f>HYPERLINK("https://klasma.github.io/Logging_2401/tillsynsmail/A 48947-2022 tillsynsbegäran mail.docx", "A 48947-2022")</f>
        <v/>
      </c>
    </row>
    <row r="834" ht="15" customHeight="1">
      <c r="A834" t="inlineStr">
        <is>
          <t>A 16833-2024</t>
        </is>
      </c>
      <c r="B834" s="1" t="n">
        <v>45411</v>
      </c>
      <c r="C834" s="1" t="n">
        <v>46075</v>
      </c>
      <c r="D834" t="inlineStr">
        <is>
          <t>VÄSTERBOTTENS LÄN</t>
        </is>
      </c>
      <c r="E834" t="inlineStr">
        <is>
          <t>STORUMAN</t>
        </is>
      </c>
      <c r="F834" t="inlineStr">
        <is>
          <t>Sveaskog</t>
        </is>
      </c>
      <c r="G834" t="n">
        <v>7.4</v>
      </c>
      <c r="H834" t="n">
        <v>1</v>
      </c>
      <c r="I834" t="n">
        <v>0</v>
      </c>
      <c r="J834" t="n">
        <v>0</v>
      </c>
      <c r="K834" t="n">
        <v>1</v>
      </c>
      <c r="L834" t="n">
        <v>0</v>
      </c>
      <c r="M834" t="n">
        <v>0</v>
      </c>
      <c r="N834" t="n">
        <v>0</v>
      </c>
      <c r="O834" t="n">
        <v>1</v>
      </c>
      <c r="P834" t="n">
        <v>1</v>
      </c>
      <c r="Q834" t="n">
        <v>1</v>
      </c>
      <c r="R834" s="2" t="inlineStr">
        <is>
          <t>Knärot</t>
        </is>
      </c>
      <c r="S834">
        <f>HYPERLINK("https://klasma.github.io/Logging_2421/artfynd/A 16833-2024 artfynd.xlsx", "A 16833-2024")</f>
        <v/>
      </c>
      <c r="T834">
        <f>HYPERLINK("https://klasma.github.io/Logging_2421/kartor/A 16833-2024 karta.png", "A 16833-2024")</f>
        <v/>
      </c>
      <c r="U834">
        <f>HYPERLINK("https://klasma.github.io/Logging_2421/knärot/A 16833-2024 karta knärot.png", "A 16833-2024")</f>
        <v/>
      </c>
      <c r="V834">
        <f>HYPERLINK("https://klasma.github.io/Logging_2421/klagomål/A 16833-2024 FSC-klagomål.docx", "A 16833-2024")</f>
        <v/>
      </c>
      <c r="W834">
        <f>HYPERLINK("https://klasma.github.io/Logging_2421/klagomålsmail/A 16833-2024 FSC-klagomål mail.docx", "A 16833-2024")</f>
        <v/>
      </c>
      <c r="X834">
        <f>HYPERLINK("https://klasma.github.io/Logging_2421/tillsyn/A 16833-2024 tillsynsbegäran.docx", "A 16833-2024")</f>
        <v/>
      </c>
      <c r="Y834">
        <f>HYPERLINK("https://klasma.github.io/Logging_2421/tillsynsmail/A 16833-2024 tillsynsbegäran mail.docx", "A 16833-2024")</f>
        <v/>
      </c>
    </row>
    <row r="835" ht="15" customHeight="1">
      <c r="A835" t="inlineStr">
        <is>
          <t>A 94-2025</t>
        </is>
      </c>
      <c r="B835" s="1" t="n">
        <v>45659</v>
      </c>
      <c r="C835" s="1" t="n">
        <v>46075</v>
      </c>
      <c r="D835" t="inlineStr">
        <is>
          <t>VÄSTERBOTTENS LÄN</t>
        </is>
      </c>
      <c r="E835" t="inlineStr">
        <is>
          <t>BJURHOLM</t>
        </is>
      </c>
      <c r="G835" t="n">
        <v>1.5</v>
      </c>
      <c r="H835" t="n">
        <v>0</v>
      </c>
      <c r="I835" t="n">
        <v>0</v>
      </c>
      <c r="J835" t="n">
        <v>1</v>
      </c>
      <c r="K835" t="n">
        <v>0</v>
      </c>
      <c r="L835" t="n">
        <v>0</v>
      </c>
      <c r="M835" t="n">
        <v>0</v>
      </c>
      <c r="N835" t="n">
        <v>0</v>
      </c>
      <c r="O835" t="n">
        <v>1</v>
      </c>
      <c r="P835" t="n">
        <v>0</v>
      </c>
      <c r="Q835" t="n">
        <v>1</v>
      </c>
      <c r="R835" s="2" t="inlineStr">
        <is>
          <t>Violettgrå tagellav</t>
        </is>
      </c>
      <c r="S835">
        <f>HYPERLINK("https://klasma.github.io/Logging_2403/artfynd/A 94-2025 artfynd.xlsx", "A 94-2025")</f>
        <v/>
      </c>
      <c r="T835">
        <f>HYPERLINK("https://klasma.github.io/Logging_2403/kartor/A 94-2025 karta.png", "A 94-2025")</f>
        <v/>
      </c>
      <c r="V835">
        <f>HYPERLINK("https://klasma.github.io/Logging_2403/klagomål/A 94-2025 FSC-klagomål.docx", "A 94-2025")</f>
        <v/>
      </c>
      <c r="W835">
        <f>HYPERLINK("https://klasma.github.io/Logging_2403/klagomålsmail/A 94-2025 FSC-klagomål mail.docx", "A 94-2025")</f>
        <v/>
      </c>
      <c r="X835">
        <f>HYPERLINK("https://klasma.github.io/Logging_2403/tillsyn/A 94-2025 tillsynsbegäran.docx", "A 94-2025")</f>
        <v/>
      </c>
      <c r="Y835">
        <f>HYPERLINK("https://klasma.github.io/Logging_2403/tillsynsmail/A 94-2025 tillsynsbegäran mail.docx", "A 94-2025")</f>
        <v/>
      </c>
    </row>
    <row r="836" ht="15" customHeight="1">
      <c r="A836" t="inlineStr">
        <is>
          <t>A 36467-2024</t>
        </is>
      </c>
      <c r="B836" s="1" t="n">
        <v>45537</v>
      </c>
      <c r="C836" s="1" t="n">
        <v>46075</v>
      </c>
      <c r="D836" t="inlineStr">
        <is>
          <t>VÄSTERBOTTENS LÄN</t>
        </is>
      </c>
      <c r="E836" t="inlineStr">
        <is>
          <t>NORDMALING</t>
        </is>
      </c>
      <c r="F836" t="inlineStr">
        <is>
          <t>SCA</t>
        </is>
      </c>
      <c r="G836" t="n">
        <v>4.1</v>
      </c>
      <c r="H836" t="n">
        <v>0</v>
      </c>
      <c r="I836" t="n">
        <v>0</v>
      </c>
      <c r="J836" t="n">
        <v>1</v>
      </c>
      <c r="K836" t="n">
        <v>0</v>
      </c>
      <c r="L836" t="n">
        <v>0</v>
      </c>
      <c r="M836" t="n">
        <v>0</v>
      </c>
      <c r="N836" t="n">
        <v>0</v>
      </c>
      <c r="O836" t="n">
        <v>1</v>
      </c>
      <c r="P836" t="n">
        <v>0</v>
      </c>
      <c r="Q836" t="n">
        <v>1</v>
      </c>
      <c r="R836" s="2" t="inlineStr">
        <is>
          <t>Lunglav</t>
        </is>
      </c>
      <c r="S836">
        <f>HYPERLINK("https://klasma.github.io/Logging_2401/artfynd/A 36467-2024 artfynd.xlsx", "A 36467-2024")</f>
        <v/>
      </c>
      <c r="T836">
        <f>HYPERLINK("https://klasma.github.io/Logging_2401/kartor/A 36467-2024 karta.png", "A 36467-2024")</f>
        <v/>
      </c>
      <c r="V836">
        <f>HYPERLINK("https://klasma.github.io/Logging_2401/klagomål/A 36467-2024 FSC-klagomål.docx", "A 36467-2024")</f>
        <v/>
      </c>
      <c r="W836">
        <f>HYPERLINK("https://klasma.github.io/Logging_2401/klagomålsmail/A 36467-2024 FSC-klagomål mail.docx", "A 36467-2024")</f>
        <v/>
      </c>
      <c r="X836">
        <f>HYPERLINK("https://klasma.github.io/Logging_2401/tillsyn/A 36467-2024 tillsynsbegäran.docx", "A 36467-2024")</f>
        <v/>
      </c>
      <c r="Y836">
        <f>HYPERLINK("https://klasma.github.io/Logging_2401/tillsynsmail/A 36467-2024 tillsynsbegäran mail.docx", "A 36467-2024")</f>
        <v/>
      </c>
    </row>
    <row r="837" ht="15" customHeight="1">
      <c r="A837" t="inlineStr">
        <is>
          <t>A 57851-2022</t>
        </is>
      </c>
      <c r="B837" s="1" t="n">
        <v>44898</v>
      </c>
      <c r="C837" s="1" t="n">
        <v>46075</v>
      </c>
      <c r="D837" t="inlineStr">
        <is>
          <t>VÄSTERBOTTENS LÄN</t>
        </is>
      </c>
      <c r="E837" t="inlineStr">
        <is>
          <t>SKELLEFTEÅ</t>
        </is>
      </c>
      <c r="F837" t="inlineStr">
        <is>
          <t>Holmen skog AB</t>
        </is>
      </c>
      <c r="G837" t="n">
        <v>4.6</v>
      </c>
      <c r="H837" t="n">
        <v>1</v>
      </c>
      <c r="I837" t="n">
        <v>0</v>
      </c>
      <c r="J837" t="n">
        <v>1</v>
      </c>
      <c r="K837" t="n">
        <v>0</v>
      </c>
      <c r="L837" t="n">
        <v>0</v>
      </c>
      <c r="M837" t="n">
        <v>0</v>
      </c>
      <c r="N837" t="n">
        <v>0</v>
      </c>
      <c r="O837" t="n">
        <v>1</v>
      </c>
      <c r="P837" t="n">
        <v>0</v>
      </c>
      <c r="Q837" t="n">
        <v>1</v>
      </c>
      <c r="R837" s="2" t="inlineStr">
        <is>
          <t>Utter</t>
        </is>
      </c>
      <c r="S837">
        <f>HYPERLINK("https://klasma.github.io/Logging_2482/artfynd/A 57851-2022 artfynd.xlsx", "A 57851-2022")</f>
        <v/>
      </c>
      <c r="T837">
        <f>HYPERLINK("https://klasma.github.io/Logging_2482/kartor/A 57851-2022 karta.png", "A 57851-2022")</f>
        <v/>
      </c>
      <c r="V837">
        <f>HYPERLINK("https://klasma.github.io/Logging_2482/klagomål/A 57851-2022 FSC-klagomål.docx", "A 57851-2022")</f>
        <v/>
      </c>
      <c r="W837">
        <f>HYPERLINK("https://klasma.github.io/Logging_2482/klagomålsmail/A 57851-2022 FSC-klagomål mail.docx", "A 57851-2022")</f>
        <v/>
      </c>
      <c r="X837">
        <f>HYPERLINK("https://klasma.github.io/Logging_2482/tillsyn/A 57851-2022 tillsynsbegäran.docx", "A 57851-2022")</f>
        <v/>
      </c>
      <c r="Y837">
        <f>HYPERLINK("https://klasma.github.io/Logging_2482/tillsynsmail/A 57851-2022 tillsynsbegäran mail.docx", "A 57851-2022")</f>
        <v/>
      </c>
    </row>
    <row r="838" ht="15" customHeight="1">
      <c r="A838" t="inlineStr">
        <is>
          <t>A 44443-2024</t>
        </is>
      </c>
      <c r="B838" s="1" t="n">
        <v>45574</v>
      </c>
      <c r="C838" s="1" t="n">
        <v>46075</v>
      </c>
      <c r="D838" t="inlineStr">
        <is>
          <t>VÄSTERBOTTENS LÄN</t>
        </is>
      </c>
      <c r="E838" t="inlineStr">
        <is>
          <t>NORDMALING</t>
        </is>
      </c>
      <c r="F838" t="inlineStr">
        <is>
          <t>SCA</t>
        </is>
      </c>
      <c r="G838" t="n">
        <v>1.5</v>
      </c>
      <c r="H838" t="n">
        <v>0</v>
      </c>
      <c r="I838" t="n">
        <v>0</v>
      </c>
      <c r="J838" t="n">
        <v>1</v>
      </c>
      <c r="K838" t="n">
        <v>0</v>
      </c>
      <c r="L838" t="n">
        <v>0</v>
      </c>
      <c r="M838" t="n">
        <v>0</v>
      </c>
      <c r="N838" t="n">
        <v>0</v>
      </c>
      <c r="O838" t="n">
        <v>1</v>
      </c>
      <c r="P838" t="n">
        <v>0</v>
      </c>
      <c r="Q838" t="n">
        <v>1</v>
      </c>
      <c r="R838" s="2" t="inlineStr">
        <is>
          <t>Gammelgransskål</t>
        </is>
      </c>
      <c r="S838">
        <f>HYPERLINK("https://klasma.github.io/Logging_2401/artfynd/A 44443-2024 artfynd.xlsx", "A 44443-2024")</f>
        <v/>
      </c>
      <c r="T838">
        <f>HYPERLINK("https://klasma.github.io/Logging_2401/kartor/A 44443-2024 karta.png", "A 44443-2024")</f>
        <v/>
      </c>
      <c r="V838">
        <f>HYPERLINK("https://klasma.github.io/Logging_2401/klagomål/A 44443-2024 FSC-klagomål.docx", "A 44443-2024")</f>
        <v/>
      </c>
      <c r="W838">
        <f>HYPERLINK("https://klasma.github.io/Logging_2401/klagomålsmail/A 44443-2024 FSC-klagomål mail.docx", "A 44443-2024")</f>
        <v/>
      </c>
      <c r="X838">
        <f>HYPERLINK("https://klasma.github.io/Logging_2401/tillsyn/A 44443-2024 tillsynsbegäran.docx", "A 44443-2024")</f>
        <v/>
      </c>
      <c r="Y838">
        <f>HYPERLINK("https://klasma.github.io/Logging_2401/tillsynsmail/A 44443-2024 tillsynsbegäran mail.docx", "A 44443-2024")</f>
        <v/>
      </c>
    </row>
    <row r="839" ht="15" customHeight="1">
      <c r="A839" t="inlineStr">
        <is>
          <t>A 19153-2023</t>
        </is>
      </c>
      <c r="B839" s="1" t="n">
        <v>45044</v>
      </c>
      <c r="C839" s="1" t="n">
        <v>46075</v>
      </c>
      <c r="D839" t="inlineStr">
        <is>
          <t>VÄSTERBOTTENS LÄN</t>
        </is>
      </c>
      <c r="E839" t="inlineStr">
        <is>
          <t>STORUMAN</t>
        </is>
      </c>
      <c r="G839" t="n">
        <v>16</v>
      </c>
      <c r="H839" t="n">
        <v>0</v>
      </c>
      <c r="I839" t="n">
        <v>0</v>
      </c>
      <c r="J839" t="n">
        <v>1</v>
      </c>
      <c r="K839" t="n">
        <v>0</v>
      </c>
      <c r="L839" t="n">
        <v>0</v>
      </c>
      <c r="M839" t="n">
        <v>0</v>
      </c>
      <c r="N839" t="n">
        <v>0</v>
      </c>
      <c r="O839" t="n">
        <v>1</v>
      </c>
      <c r="P839" t="n">
        <v>0</v>
      </c>
      <c r="Q839" t="n">
        <v>1</v>
      </c>
      <c r="R839" s="2" t="inlineStr">
        <is>
          <t>Ullticka</t>
        </is>
      </c>
      <c r="S839">
        <f>HYPERLINK("https://klasma.github.io/Logging_2421/artfynd/A 19153-2023 artfynd.xlsx", "A 19153-2023")</f>
        <v/>
      </c>
      <c r="T839">
        <f>HYPERLINK("https://klasma.github.io/Logging_2421/kartor/A 19153-2023 karta.png", "A 19153-2023")</f>
        <v/>
      </c>
      <c r="V839">
        <f>HYPERLINK("https://klasma.github.io/Logging_2421/klagomål/A 19153-2023 FSC-klagomål.docx", "A 19153-2023")</f>
        <v/>
      </c>
      <c r="W839">
        <f>HYPERLINK("https://klasma.github.io/Logging_2421/klagomålsmail/A 19153-2023 FSC-klagomål mail.docx", "A 19153-2023")</f>
        <v/>
      </c>
      <c r="X839">
        <f>HYPERLINK("https://klasma.github.io/Logging_2421/tillsyn/A 19153-2023 tillsynsbegäran.docx", "A 19153-2023")</f>
        <v/>
      </c>
      <c r="Y839">
        <f>HYPERLINK("https://klasma.github.io/Logging_2421/tillsynsmail/A 19153-2023 tillsynsbegäran mail.docx", "A 19153-2023")</f>
        <v/>
      </c>
    </row>
    <row r="840" ht="15" customHeight="1">
      <c r="A840" t="inlineStr">
        <is>
          <t>A 31311-2023</t>
        </is>
      </c>
      <c r="B840" s="1" t="n">
        <v>45104</v>
      </c>
      <c r="C840" s="1" t="n">
        <v>46075</v>
      </c>
      <c r="D840" t="inlineStr">
        <is>
          <t>VÄSTERBOTTENS LÄN</t>
        </is>
      </c>
      <c r="E840" t="inlineStr">
        <is>
          <t>UMEÅ</t>
        </is>
      </c>
      <c r="G840" t="n">
        <v>3.2</v>
      </c>
      <c r="H840" t="n">
        <v>0</v>
      </c>
      <c r="I840" t="n">
        <v>0</v>
      </c>
      <c r="J840" t="n">
        <v>1</v>
      </c>
      <c r="K840" t="n">
        <v>0</v>
      </c>
      <c r="L840" t="n">
        <v>0</v>
      </c>
      <c r="M840" t="n">
        <v>0</v>
      </c>
      <c r="N840" t="n">
        <v>0</v>
      </c>
      <c r="O840" t="n">
        <v>1</v>
      </c>
      <c r="P840" t="n">
        <v>0</v>
      </c>
      <c r="Q840" t="n">
        <v>1</v>
      </c>
      <c r="R840" s="2" t="inlineStr">
        <is>
          <t>Garnlav</t>
        </is>
      </c>
      <c r="S840">
        <f>HYPERLINK("https://klasma.github.io/Logging_2480/artfynd/A 31311-2023 artfynd.xlsx", "A 31311-2023")</f>
        <v/>
      </c>
      <c r="T840">
        <f>HYPERLINK("https://klasma.github.io/Logging_2480/kartor/A 31311-2023 karta.png", "A 31311-2023")</f>
        <v/>
      </c>
      <c r="V840">
        <f>HYPERLINK("https://klasma.github.io/Logging_2480/klagomål/A 31311-2023 FSC-klagomål.docx", "A 31311-2023")</f>
        <v/>
      </c>
      <c r="W840">
        <f>HYPERLINK("https://klasma.github.io/Logging_2480/klagomålsmail/A 31311-2023 FSC-klagomål mail.docx", "A 31311-2023")</f>
        <v/>
      </c>
      <c r="X840">
        <f>HYPERLINK("https://klasma.github.io/Logging_2480/tillsyn/A 31311-2023 tillsynsbegäran.docx", "A 31311-2023")</f>
        <v/>
      </c>
      <c r="Y840">
        <f>HYPERLINK("https://klasma.github.io/Logging_2480/tillsynsmail/A 31311-2023 tillsynsbegäran mail.docx", "A 31311-2023")</f>
        <v/>
      </c>
    </row>
    <row r="841" ht="15" customHeight="1">
      <c r="A841" t="inlineStr">
        <is>
          <t>A 37546-2023</t>
        </is>
      </c>
      <c r="B841" s="1" t="n">
        <v>45158</v>
      </c>
      <c r="C841" s="1" t="n">
        <v>46075</v>
      </c>
      <c r="D841" t="inlineStr">
        <is>
          <t>VÄSTERBOTTENS LÄN</t>
        </is>
      </c>
      <c r="E841" t="inlineStr">
        <is>
          <t>NORDMALING</t>
        </is>
      </c>
      <c r="G841" t="n">
        <v>4.7</v>
      </c>
      <c r="H841" t="n">
        <v>0</v>
      </c>
      <c r="I841" t="n">
        <v>1</v>
      </c>
      <c r="J841" t="n">
        <v>0</v>
      </c>
      <c r="K841" t="n">
        <v>0</v>
      </c>
      <c r="L841" t="n">
        <v>0</v>
      </c>
      <c r="M841" t="n">
        <v>0</v>
      </c>
      <c r="N841" t="n">
        <v>0</v>
      </c>
      <c r="O841" t="n">
        <v>0</v>
      </c>
      <c r="P841" t="n">
        <v>0</v>
      </c>
      <c r="Q841" t="n">
        <v>1</v>
      </c>
      <c r="R841" s="2" t="inlineStr">
        <is>
          <t>Vedticka</t>
        </is>
      </c>
      <c r="S841">
        <f>HYPERLINK("https://klasma.github.io/Logging_2401/artfynd/A 37546-2023 artfynd.xlsx", "A 37546-2023")</f>
        <v/>
      </c>
      <c r="T841">
        <f>HYPERLINK("https://klasma.github.io/Logging_2401/kartor/A 37546-2023 karta.png", "A 37546-2023")</f>
        <v/>
      </c>
      <c r="V841">
        <f>HYPERLINK("https://klasma.github.io/Logging_2401/klagomål/A 37546-2023 FSC-klagomål.docx", "A 37546-2023")</f>
        <v/>
      </c>
      <c r="W841">
        <f>HYPERLINK("https://klasma.github.io/Logging_2401/klagomålsmail/A 37546-2023 FSC-klagomål mail.docx", "A 37546-2023")</f>
        <v/>
      </c>
      <c r="X841">
        <f>HYPERLINK("https://klasma.github.io/Logging_2401/tillsyn/A 37546-2023 tillsynsbegäran.docx", "A 37546-2023")</f>
        <v/>
      </c>
      <c r="Y841">
        <f>HYPERLINK("https://klasma.github.io/Logging_2401/tillsynsmail/A 37546-2023 tillsynsbegäran mail.docx", "A 37546-2023")</f>
        <v/>
      </c>
    </row>
    <row r="842" ht="15" customHeight="1">
      <c r="A842" t="inlineStr">
        <is>
          <t>A 1830-2024</t>
        </is>
      </c>
      <c r="B842" s="1" t="n">
        <v>45307</v>
      </c>
      <c r="C842" s="1" t="n">
        <v>46075</v>
      </c>
      <c r="D842" t="inlineStr">
        <is>
          <t>VÄSTERBOTTENS LÄN</t>
        </is>
      </c>
      <c r="E842" t="inlineStr">
        <is>
          <t>ROBERTSFORS</t>
        </is>
      </c>
      <c r="F842" t="inlineStr">
        <is>
          <t>Holmen skog AB</t>
        </is>
      </c>
      <c r="G842" t="n">
        <v>0.6</v>
      </c>
      <c r="H842" t="n">
        <v>0</v>
      </c>
      <c r="I842" t="n">
        <v>0</v>
      </c>
      <c r="J842" t="n">
        <v>1</v>
      </c>
      <c r="K842" t="n">
        <v>0</v>
      </c>
      <c r="L842" t="n">
        <v>0</v>
      </c>
      <c r="M842" t="n">
        <v>0</v>
      </c>
      <c r="N842" t="n">
        <v>0</v>
      </c>
      <c r="O842" t="n">
        <v>1</v>
      </c>
      <c r="P842" t="n">
        <v>0</v>
      </c>
      <c r="Q842" t="n">
        <v>1</v>
      </c>
      <c r="R842" s="2" t="inlineStr">
        <is>
          <t>Svart taggsvamp</t>
        </is>
      </c>
      <c r="S842">
        <f>HYPERLINK("https://klasma.github.io/Logging_2409/artfynd/A 1830-2024 artfynd.xlsx", "A 1830-2024")</f>
        <v/>
      </c>
      <c r="T842">
        <f>HYPERLINK("https://klasma.github.io/Logging_2409/kartor/A 1830-2024 karta.png", "A 1830-2024")</f>
        <v/>
      </c>
      <c r="V842">
        <f>HYPERLINK("https://klasma.github.io/Logging_2409/klagomål/A 1830-2024 FSC-klagomål.docx", "A 1830-2024")</f>
        <v/>
      </c>
      <c r="W842">
        <f>HYPERLINK("https://klasma.github.io/Logging_2409/klagomålsmail/A 1830-2024 FSC-klagomål mail.docx", "A 1830-2024")</f>
        <v/>
      </c>
      <c r="X842">
        <f>HYPERLINK("https://klasma.github.io/Logging_2409/tillsyn/A 1830-2024 tillsynsbegäran.docx", "A 1830-2024")</f>
        <v/>
      </c>
      <c r="Y842">
        <f>HYPERLINK("https://klasma.github.io/Logging_2409/tillsynsmail/A 1830-2024 tillsynsbegäran mail.docx", "A 1830-2024")</f>
        <v/>
      </c>
    </row>
    <row r="843" ht="15" customHeight="1">
      <c r="A843" t="inlineStr">
        <is>
          <t>A 4552-2025</t>
        </is>
      </c>
      <c r="B843" s="1" t="n">
        <v>45687.42112268518</v>
      </c>
      <c r="C843" s="1" t="n">
        <v>46075</v>
      </c>
      <c r="D843" t="inlineStr">
        <is>
          <t>VÄSTERBOTTENS LÄN</t>
        </is>
      </c>
      <c r="E843" t="inlineStr">
        <is>
          <t>ROBERTSFORS</t>
        </is>
      </c>
      <c r="G843" t="n">
        <v>4.4</v>
      </c>
      <c r="H843" t="n">
        <v>1</v>
      </c>
      <c r="I843" t="n">
        <v>0</v>
      </c>
      <c r="J843" t="n">
        <v>0</v>
      </c>
      <c r="K843" t="n">
        <v>0</v>
      </c>
      <c r="L843" t="n">
        <v>0</v>
      </c>
      <c r="M843" t="n">
        <v>0</v>
      </c>
      <c r="N843" t="n">
        <v>0</v>
      </c>
      <c r="O843" t="n">
        <v>0</v>
      </c>
      <c r="P843" t="n">
        <v>0</v>
      </c>
      <c r="Q843" t="n">
        <v>1</v>
      </c>
      <c r="R843" s="2" t="inlineStr">
        <is>
          <t>Tjäder</t>
        </is>
      </c>
      <c r="S843">
        <f>HYPERLINK("https://klasma.github.io/Logging_2409/artfynd/A 4552-2025 artfynd.xlsx", "A 4552-2025")</f>
        <v/>
      </c>
      <c r="T843">
        <f>HYPERLINK("https://klasma.github.io/Logging_2409/kartor/A 4552-2025 karta.png", "A 4552-2025")</f>
        <v/>
      </c>
      <c r="V843">
        <f>HYPERLINK("https://klasma.github.io/Logging_2409/klagomål/A 4552-2025 FSC-klagomål.docx", "A 4552-2025")</f>
        <v/>
      </c>
      <c r="W843">
        <f>HYPERLINK("https://klasma.github.io/Logging_2409/klagomålsmail/A 4552-2025 FSC-klagomål mail.docx", "A 4552-2025")</f>
        <v/>
      </c>
      <c r="X843">
        <f>HYPERLINK("https://klasma.github.io/Logging_2409/tillsyn/A 4552-2025 tillsynsbegäran.docx", "A 4552-2025")</f>
        <v/>
      </c>
      <c r="Y843">
        <f>HYPERLINK("https://klasma.github.io/Logging_2409/tillsynsmail/A 4552-2025 tillsynsbegäran mail.docx", "A 4552-2025")</f>
        <v/>
      </c>
      <c r="Z843">
        <f>HYPERLINK("https://klasma.github.io/Logging_2409/fåglar/A 4552-2025 prioriterade fågelarter.docx", "A 4552-2025")</f>
        <v/>
      </c>
    </row>
    <row r="844" ht="15" customHeight="1">
      <c r="A844" t="inlineStr">
        <is>
          <t>A 63810-2023</t>
        </is>
      </c>
      <c r="B844" s="1" t="n">
        <v>45275</v>
      </c>
      <c r="C844" s="1" t="n">
        <v>46075</v>
      </c>
      <c r="D844" t="inlineStr">
        <is>
          <t>VÄSTERBOTTENS LÄN</t>
        </is>
      </c>
      <c r="E844" t="inlineStr">
        <is>
          <t>UMEÅ</t>
        </is>
      </c>
      <c r="G844" t="n">
        <v>1.1</v>
      </c>
      <c r="H844" t="n">
        <v>1</v>
      </c>
      <c r="I844" t="n">
        <v>0</v>
      </c>
      <c r="J844" t="n">
        <v>1</v>
      </c>
      <c r="K844" t="n">
        <v>0</v>
      </c>
      <c r="L844" t="n">
        <v>0</v>
      </c>
      <c r="M844" t="n">
        <v>0</v>
      </c>
      <c r="N844" t="n">
        <v>0</v>
      </c>
      <c r="O844" t="n">
        <v>1</v>
      </c>
      <c r="P844" t="n">
        <v>0</v>
      </c>
      <c r="Q844" t="n">
        <v>1</v>
      </c>
      <c r="R844" s="2" t="inlineStr">
        <is>
          <t>Spillkråka</t>
        </is>
      </c>
      <c r="S844">
        <f>HYPERLINK("https://klasma.github.io/Logging_2480/artfynd/A 63810-2023 artfynd.xlsx", "A 63810-2023")</f>
        <v/>
      </c>
      <c r="T844">
        <f>HYPERLINK("https://klasma.github.io/Logging_2480/kartor/A 63810-2023 karta.png", "A 63810-2023")</f>
        <v/>
      </c>
      <c r="V844">
        <f>HYPERLINK("https://klasma.github.io/Logging_2480/klagomål/A 63810-2023 FSC-klagomål.docx", "A 63810-2023")</f>
        <v/>
      </c>
      <c r="W844">
        <f>HYPERLINK("https://klasma.github.io/Logging_2480/klagomålsmail/A 63810-2023 FSC-klagomål mail.docx", "A 63810-2023")</f>
        <v/>
      </c>
      <c r="X844">
        <f>HYPERLINK("https://klasma.github.io/Logging_2480/tillsyn/A 63810-2023 tillsynsbegäran.docx", "A 63810-2023")</f>
        <v/>
      </c>
      <c r="Y844">
        <f>HYPERLINK("https://klasma.github.io/Logging_2480/tillsynsmail/A 63810-2023 tillsynsbegäran mail.docx", "A 63810-2023")</f>
        <v/>
      </c>
      <c r="Z844">
        <f>HYPERLINK("https://klasma.github.io/Logging_2480/fåglar/A 63810-2023 prioriterade fågelarter.docx", "A 63810-2023")</f>
        <v/>
      </c>
    </row>
    <row r="845" ht="15" customHeight="1">
      <c r="A845" t="inlineStr">
        <is>
          <t>A 59075-2022</t>
        </is>
      </c>
      <c r="B845" s="1" t="n">
        <v>44904</v>
      </c>
      <c r="C845" s="1" t="n">
        <v>46075</v>
      </c>
      <c r="D845" t="inlineStr">
        <is>
          <t>VÄSTERBOTTENS LÄN</t>
        </is>
      </c>
      <c r="E845" t="inlineStr">
        <is>
          <t>UMEÅ</t>
        </is>
      </c>
      <c r="G845" t="n">
        <v>0.4</v>
      </c>
      <c r="H845" t="n">
        <v>0</v>
      </c>
      <c r="I845" t="n">
        <v>1</v>
      </c>
      <c r="J845" t="n">
        <v>0</v>
      </c>
      <c r="K845" t="n">
        <v>0</v>
      </c>
      <c r="L845" t="n">
        <v>0</v>
      </c>
      <c r="M845" t="n">
        <v>0</v>
      </c>
      <c r="N845" t="n">
        <v>0</v>
      </c>
      <c r="O845" t="n">
        <v>0</v>
      </c>
      <c r="P845" t="n">
        <v>0</v>
      </c>
      <c r="Q845" t="n">
        <v>1</v>
      </c>
      <c r="R845" s="2" t="inlineStr">
        <is>
          <t>Vedticka</t>
        </is>
      </c>
      <c r="S845">
        <f>HYPERLINK("https://klasma.github.io/Logging_2480/artfynd/A 59075-2022 artfynd.xlsx", "A 59075-2022")</f>
        <v/>
      </c>
      <c r="T845">
        <f>HYPERLINK("https://klasma.github.io/Logging_2480/kartor/A 59075-2022 karta.png", "A 59075-2022")</f>
        <v/>
      </c>
      <c r="V845">
        <f>HYPERLINK("https://klasma.github.io/Logging_2480/klagomål/A 59075-2022 FSC-klagomål.docx", "A 59075-2022")</f>
        <v/>
      </c>
      <c r="W845">
        <f>HYPERLINK("https://klasma.github.io/Logging_2480/klagomålsmail/A 59075-2022 FSC-klagomål mail.docx", "A 59075-2022")</f>
        <v/>
      </c>
      <c r="X845">
        <f>HYPERLINK("https://klasma.github.io/Logging_2480/tillsyn/A 59075-2022 tillsynsbegäran.docx", "A 59075-2022")</f>
        <v/>
      </c>
      <c r="Y845">
        <f>HYPERLINK("https://klasma.github.io/Logging_2480/tillsynsmail/A 59075-2022 tillsynsbegäran mail.docx", "A 59075-2022")</f>
        <v/>
      </c>
    </row>
    <row r="846" ht="15" customHeight="1">
      <c r="A846" t="inlineStr">
        <is>
          <t>A 33852-2024</t>
        </is>
      </c>
      <c r="B846" s="1" t="n">
        <v>45520.63962962963</v>
      </c>
      <c r="C846" s="1" t="n">
        <v>46075</v>
      </c>
      <c r="D846" t="inlineStr">
        <is>
          <t>VÄSTERBOTTENS LÄN</t>
        </is>
      </c>
      <c r="E846" t="inlineStr">
        <is>
          <t>STORUMAN</t>
        </is>
      </c>
      <c r="F846" t="inlineStr">
        <is>
          <t>Sveaskog</t>
        </is>
      </c>
      <c r="G846" t="n">
        <v>1.9</v>
      </c>
      <c r="H846" t="n">
        <v>0</v>
      </c>
      <c r="I846" t="n">
        <v>0</v>
      </c>
      <c r="J846" t="n">
        <v>1</v>
      </c>
      <c r="K846" t="n">
        <v>0</v>
      </c>
      <c r="L846" t="n">
        <v>0</v>
      </c>
      <c r="M846" t="n">
        <v>0</v>
      </c>
      <c r="N846" t="n">
        <v>0</v>
      </c>
      <c r="O846" t="n">
        <v>1</v>
      </c>
      <c r="P846" t="n">
        <v>0</v>
      </c>
      <c r="Q846" t="n">
        <v>1</v>
      </c>
      <c r="R846" s="2" t="inlineStr">
        <is>
          <t>Lunglav</t>
        </is>
      </c>
      <c r="S846">
        <f>HYPERLINK("https://klasma.github.io/Logging_2421/artfynd/A 33852-2024 artfynd.xlsx", "A 33852-2024")</f>
        <v/>
      </c>
      <c r="T846">
        <f>HYPERLINK("https://klasma.github.io/Logging_2421/kartor/A 33852-2024 karta.png", "A 33852-2024")</f>
        <v/>
      </c>
      <c r="V846">
        <f>HYPERLINK("https://klasma.github.io/Logging_2421/klagomål/A 33852-2024 FSC-klagomål.docx", "A 33852-2024")</f>
        <v/>
      </c>
      <c r="W846">
        <f>HYPERLINK("https://klasma.github.io/Logging_2421/klagomålsmail/A 33852-2024 FSC-klagomål mail.docx", "A 33852-2024")</f>
        <v/>
      </c>
      <c r="X846">
        <f>HYPERLINK("https://klasma.github.io/Logging_2421/tillsyn/A 33852-2024 tillsynsbegäran.docx", "A 33852-2024")</f>
        <v/>
      </c>
      <c r="Y846">
        <f>HYPERLINK("https://klasma.github.io/Logging_2421/tillsynsmail/A 33852-2024 tillsynsbegäran mail.docx", "A 33852-2024")</f>
        <v/>
      </c>
    </row>
    <row r="847" ht="15" customHeight="1">
      <c r="A847" t="inlineStr">
        <is>
          <t>A 742-2025</t>
        </is>
      </c>
      <c r="B847" s="1" t="n">
        <v>45665.42216435185</v>
      </c>
      <c r="C847" s="1" t="n">
        <v>46075</v>
      </c>
      <c r="D847" t="inlineStr">
        <is>
          <t>VÄSTERBOTTENS LÄN</t>
        </is>
      </c>
      <c r="E847" t="inlineStr">
        <is>
          <t>LYCKSELE</t>
        </is>
      </c>
      <c r="F847" t="inlineStr">
        <is>
          <t>Holmen skog AB</t>
        </is>
      </c>
      <c r="G847" t="n">
        <v>5.6</v>
      </c>
      <c r="H847" t="n">
        <v>1</v>
      </c>
      <c r="I847" t="n">
        <v>0</v>
      </c>
      <c r="J847" t="n">
        <v>0</v>
      </c>
      <c r="K847" t="n">
        <v>0</v>
      </c>
      <c r="L847" t="n">
        <v>0</v>
      </c>
      <c r="M847" t="n">
        <v>0</v>
      </c>
      <c r="N847" t="n">
        <v>0</v>
      </c>
      <c r="O847" t="n">
        <v>0</v>
      </c>
      <c r="P847" t="n">
        <v>0</v>
      </c>
      <c r="Q847" t="n">
        <v>1</v>
      </c>
      <c r="R847" s="2" t="inlineStr">
        <is>
          <t>Fläcknycklar</t>
        </is>
      </c>
      <c r="S847">
        <f>HYPERLINK("https://klasma.github.io/Logging_2481/artfynd/A 742-2025 artfynd.xlsx", "A 742-2025")</f>
        <v/>
      </c>
      <c r="T847">
        <f>HYPERLINK("https://klasma.github.io/Logging_2481/kartor/A 742-2025 karta.png", "A 742-2025")</f>
        <v/>
      </c>
      <c r="V847">
        <f>HYPERLINK("https://klasma.github.io/Logging_2481/klagomål/A 742-2025 FSC-klagomål.docx", "A 742-2025")</f>
        <v/>
      </c>
      <c r="W847">
        <f>HYPERLINK("https://klasma.github.io/Logging_2481/klagomålsmail/A 742-2025 FSC-klagomål mail.docx", "A 742-2025")</f>
        <v/>
      </c>
      <c r="X847">
        <f>HYPERLINK("https://klasma.github.io/Logging_2481/tillsyn/A 742-2025 tillsynsbegäran.docx", "A 742-2025")</f>
        <v/>
      </c>
      <c r="Y847">
        <f>HYPERLINK("https://klasma.github.io/Logging_2481/tillsynsmail/A 742-2025 tillsynsbegäran mail.docx", "A 742-2025")</f>
        <v/>
      </c>
    </row>
    <row r="848" ht="15" customHeight="1">
      <c r="A848" t="inlineStr">
        <is>
          <t>A 61896-2024</t>
        </is>
      </c>
      <c r="B848" s="1" t="n">
        <v>45652.74872685185</v>
      </c>
      <c r="C848" s="1" t="n">
        <v>46075</v>
      </c>
      <c r="D848" t="inlineStr">
        <is>
          <t>VÄSTERBOTTENS LÄN</t>
        </is>
      </c>
      <c r="E848" t="inlineStr">
        <is>
          <t>LYCKSELE</t>
        </is>
      </c>
      <c r="G848" t="n">
        <v>6.6</v>
      </c>
      <c r="H848" t="n">
        <v>0</v>
      </c>
      <c r="I848" t="n">
        <v>0</v>
      </c>
      <c r="J848" t="n">
        <v>1</v>
      </c>
      <c r="K848" t="n">
        <v>0</v>
      </c>
      <c r="L848" t="n">
        <v>0</v>
      </c>
      <c r="M848" t="n">
        <v>0</v>
      </c>
      <c r="N848" t="n">
        <v>0</v>
      </c>
      <c r="O848" t="n">
        <v>1</v>
      </c>
      <c r="P848" t="n">
        <v>0</v>
      </c>
      <c r="Q848" t="n">
        <v>1</v>
      </c>
      <c r="R848" s="2" t="inlineStr">
        <is>
          <t>Harticka</t>
        </is>
      </c>
      <c r="S848">
        <f>HYPERLINK("https://klasma.github.io/Logging_2481/artfynd/A 61896-2024 artfynd.xlsx", "A 61896-2024")</f>
        <v/>
      </c>
      <c r="T848">
        <f>HYPERLINK("https://klasma.github.io/Logging_2481/kartor/A 61896-2024 karta.png", "A 61896-2024")</f>
        <v/>
      </c>
      <c r="V848">
        <f>HYPERLINK("https://klasma.github.io/Logging_2481/klagomål/A 61896-2024 FSC-klagomål.docx", "A 61896-2024")</f>
        <v/>
      </c>
      <c r="W848">
        <f>HYPERLINK("https://klasma.github.io/Logging_2481/klagomålsmail/A 61896-2024 FSC-klagomål mail.docx", "A 61896-2024")</f>
        <v/>
      </c>
      <c r="X848">
        <f>HYPERLINK("https://klasma.github.io/Logging_2481/tillsyn/A 61896-2024 tillsynsbegäran.docx", "A 61896-2024")</f>
        <v/>
      </c>
      <c r="Y848">
        <f>HYPERLINK("https://klasma.github.io/Logging_2481/tillsynsmail/A 61896-2024 tillsynsbegäran mail.docx", "A 61896-2024")</f>
        <v/>
      </c>
    </row>
    <row r="849" ht="15" customHeight="1">
      <c r="A849" t="inlineStr">
        <is>
          <t>A 39554-2023</t>
        </is>
      </c>
      <c r="B849" s="1" t="n">
        <v>45167</v>
      </c>
      <c r="C849" s="1" t="n">
        <v>46075</v>
      </c>
      <c r="D849" t="inlineStr">
        <is>
          <t>VÄSTERBOTTENS LÄN</t>
        </is>
      </c>
      <c r="E849" t="inlineStr">
        <is>
          <t>UMEÅ</t>
        </is>
      </c>
      <c r="F849" t="inlineStr">
        <is>
          <t>Holmen skog AB</t>
        </is>
      </c>
      <c r="G849" t="n">
        <v>3.5</v>
      </c>
      <c r="H849" t="n">
        <v>0</v>
      </c>
      <c r="I849" t="n">
        <v>0</v>
      </c>
      <c r="J849" t="n">
        <v>1</v>
      </c>
      <c r="K849" t="n">
        <v>0</v>
      </c>
      <c r="L849" t="n">
        <v>0</v>
      </c>
      <c r="M849" t="n">
        <v>0</v>
      </c>
      <c r="N849" t="n">
        <v>0</v>
      </c>
      <c r="O849" t="n">
        <v>1</v>
      </c>
      <c r="P849" t="n">
        <v>0</v>
      </c>
      <c r="Q849" t="n">
        <v>1</v>
      </c>
      <c r="R849" s="2" t="inlineStr">
        <is>
          <t>Blanksvart spiklav</t>
        </is>
      </c>
      <c r="S849">
        <f>HYPERLINK("https://klasma.github.io/Logging_2480/artfynd/A 39554-2023 artfynd.xlsx", "A 39554-2023")</f>
        <v/>
      </c>
      <c r="T849">
        <f>HYPERLINK("https://klasma.github.io/Logging_2480/kartor/A 39554-2023 karta.png", "A 39554-2023")</f>
        <v/>
      </c>
      <c r="V849">
        <f>HYPERLINK("https://klasma.github.io/Logging_2480/klagomål/A 39554-2023 FSC-klagomål.docx", "A 39554-2023")</f>
        <v/>
      </c>
      <c r="W849">
        <f>HYPERLINK("https://klasma.github.io/Logging_2480/klagomålsmail/A 39554-2023 FSC-klagomål mail.docx", "A 39554-2023")</f>
        <v/>
      </c>
      <c r="X849">
        <f>HYPERLINK("https://klasma.github.io/Logging_2480/tillsyn/A 39554-2023 tillsynsbegäran.docx", "A 39554-2023")</f>
        <v/>
      </c>
      <c r="Y849">
        <f>HYPERLINK("https://klasma.github.io/Logging_2480/tillsynsmail/A 39554-2023 tillsynsbegäran mail.docx", "A 39554-2023")</f>
        <v/>
      </c>
    </row>
    <row r="850" ht="15" customHeight="1">
      <c r="A850" t="inlineStr">
        <is>
          <t>A 28262-2023</t>
        </is>
      </c>
      <c r="B850" s="1" t="n">
        <v>45099</v>
      </c>
      <c r="C850" s="1" t="n">
        <v>46075</v>
      </c>
      <c r="D850" t="inlineStr">
        <is>
          <t>VÄSTERBOTTENS LÄN</t>
        </is>
      </c>
      <c r="E850" t="inlineStr">
        <is>
          <t>UMEÅ</t>
        </is>
      </c>
      <c r="F850" t="inlineStr">
        <is>
          <t>Holmen skog AB</t>
        </is>
      </c>
      <c r="G850" t="n">
        <v>2.6</v>
      </c>
      <c r="H850" t="n">
        <v>0</v>
      </c>
      <c r="I850" t="n">
        <v>1</v>
      </c>
      <c r="J850" t="n">
        <v>0</v>
      </c>
      <c r="K850" t="n">
        <v>0</v>
      </c>
      <c r="L850" t="n">
        <v>0</v>
      </c>
      <c r="M850" t="n">
        <v>0</v>
      </c>
      <c r="N850" t="n">
        <v>0</v>
      </c>
      <c r="O850" t="n">
        <v>0</v>
      </c>
      <c r="P850" t="n">
        <v>0</v>
      </c>
      <c r="Q850" t="n">
        <v>1</v>
      </c>
      <c r="R850" s="2" t="inlineStr">
        <is>
          <t>Gulskölding</t>
        </is>
      </c>
      <c r="S850">
        <f>HYPERLINK("https://klasma.github.io/Logging_2480/artfynd/A 28262-2023 artfynd.xlsx", "A 28262-2023")</f>
        <v/>
      </c>
      <c r="T850">
        <f>HYPERLINK("https://klasma.github.io/Logging_2480/kartor/A 28262-2023 karta.png", "A 28262-2023")</f>
        <v/>
      </c>
      <c r="V850">
        <f>HYPERLINK("https://klasma.github.io/Logging_2480/klagomål/A 28262-2023 FSC-klagomål.docx", "A 28262-2023")</f>
        <v/>
      </c>
      <c r="W850">
        <f>HYPERLINK("https://klasma.github.io/Logging_2480/klagomålsmail/A 28262-2023 FSC-klagomål mail.docx", "A 28262-2023")</f>
        <v/>
      </c>
      <c r="X850">
        <f>HYPERLINK("https://klasma.github.io/Logging_2480/tillsyn/A 28262-2023 tillsynsbegäran.docx", "A 28262-2023")</f>
        <v/>
      </c>
      <c r="Y850">
        <f>HYPERLINK("https://klasma.github.io/Logging_2480/tillsynsmail/A 28262-2023 tillsynsbegäran mail.docx", "A 28262-2023")</f>
        <v/>
      </c>
    </row>
    <row r="851" ht="15" customHeight="1">
      <c r="A851" t="inlineStr">
        <is>
          <t>A 59767-2024</t>
        </is>
      </c>
      <c r="B851" s="1" t="n">
        <v>45639.56111111111</v>
      </c>
      <c r="C851" s="1" t="n">
        <v>46075</v>
      </c>
      <c r="D851" t="inlineStr">
        <is>
          <t>VÄSTERBOTTENS LÄN</t>
        </is>
      </c>
      <c r="E851" t="inlineStr">
        <is>
          <t>NORSJÖ</t>
        </is>
      </c>
      <c r="F851" t="inlineStr">
        <is>
          <t>Sveaskog</t>
        </is>
      </c>
      <c r="G851" t="n">
        <v>5.9</v>
      </c>
      <c r="H851" t="n">
        <v>0</v>
      </c>
      <c r="I851" t="n">
        <v>0</v>
      </c>
      <c r="J851" t="n">
        <v>1</v>
      </c>
      <c r="K851" t="n">
        <v>0</v>
      </c>
      <c r="L851" t="n">
        <v>0</v>
      </c>
      <c r="M851" t="n">
        <v>0</v>
      </c>
      <c r="N851" t="n">
        <v>0</v>
      </c>
      <c r="O851" t="n">
        <v>1</v>
      </c>
      <c r="P851" t="n">
        <v>0</v>
      </c>
      <c r="Q851" t="n">
        <v>1</v>
      </c>
      <c r="R851" s="2" t="inlineStr">
        <is>
          <t>Blå taggsvamp</t>
        </is>
      </c>
      <c r="S851">
        <f>HYPERLINK("https://klasma.github.io/Logging_2417/artfynd/A 59767-2024 artfynd.xlsx", "A 59767-2024")</f>
        <v/>
      </c>
      <c r="T851">
        <f>HYPERLINK("https://klasma.github.io/Logging_2417/kartor/A 59767-2024 karta.png", "A 59767-2024")</f>
        <v/>
      </c>
      <c r="V851">
        <f>HYPERLINK("https://klasma.github.io/Logging_2417/klagomål/A 59767-2024 FSC-klagomål.docx", "A 59767-2024")</f>
        <v/>
      </c>
      <c r="W851">
        <f>HYPERLINK("https://klasma.github.io/Logging_2417/klagomålsmail/A 59767-2024 FSC-klagomål mail.docx", "A 59767-2024")</f>
        <v/>
      </c>
      <c r="X851">
        <f>HYPERLINK("https://klasma.github.io/Logging_2417/tillsyn/A 59767-2024 tillsynsbegäran.docx", "A 59767-2024")</f>
        <v/>
      </c>
      <c r="Y851">
        <f>HYPERLINK("https://klasma.github.io/Logging_2417/tillsynsmail/A 59767-2024 tillsynsbegäran mail.docx", "A 59767-2024")</f>
        <v/>
      </c>
    </row>
    <row r="852" ht="15" customHeight="1">
      <c r="A852" t="inlineStr">
        <is>
          <t>A 45774-2024</t>
        </is>
      </c>
      <c r="B852" s="1" t="n">
        <v>45579</v>
      </c>
      <c r="C852" s="1" t="n">
        <v>46075</v>
      </c>
      <c r="D852" t="inlineStr">
        <is>
          <t>VÄSTERBOTTENS LÄN</t>
        </is>
      </c>
      <c r="E852" t="inlineStr">
        <is>
          <t>LYCKSELE</t>
        </is>
      </c>
      <c r="F852" t="inlineStr">
        <is>
          <t>SCA</t>
        </is>
      </c>
      <c r="G852" t="n">
        <v>4.3</v>
      </c>
      <c r="H852" t="n">
        <v>0</v>
      </c>
      <c r="I852" t="n">
        <v>1</v>
      </c>
      <c r="J852" t="n">
        <v>0</v>
      </c>
      <c r="K852" t="n">
        <v>0</v>
      </c>
      <c r="L852" t="n">
        <v>0</v>
      </c>
      <c r="M852" t="n">
        <v>0</v>
      </c>
      <c r="N852" t="n">
        <v>0</v>
      </c>
      <c r="O852" t="n">
        <v>0</v>
      </c>
      <c r="P852" t="n">
        <v>0</v>
      </c>
      <c r="Q852" t="n">
        <v>1</v>
      </c>
      <c r="R852" s="2" t="inlineStr">
        <is>
          <t>Barkticka</t>
        </is>
      </c>
      <c r="S852">
        <f>HYPERLINK("https://klasma.github.io/Logging_2481/artfynd/A 45774-2024 artfynd.xlsx", "A 45774-2024")</f>
        <v/>
      </c>
      <c r="T852">
        <f>HYPERLINK("https://klasma.github.io/Logging_2481/kartor/A 45774-2024 karta.png", "A 45774-2024")</f>
        <v/>
      </c>
      <c r="V852">
        <f>HYPERLINK("https://klasma.github.io/Logging_2481/klagomål/A 45774-2024 FSC-klagomål.docx", "A 45774-2024")</f>
        <v/>
      </c>
      <c r="W852">
        <f>HYPERLINK("https://klasma.github.io/Logging_2481/klagomålsmail/A 45774-2024 FSC-klagomål mail.docx", "A 45774-2024")</f>
        <v/>
      </c>
      <c r="X852">
        <f>HYPERLINK("https://klasma.github.io/Logging_2481/tillsyn/A 45774-2024 tillsynsbegäran.docx", "A 45774-2024")</f>
        <v/>
      </c>
      <c r="Y852">
        <f>HYPERLINK("https://klasma.github.io/Logging_2481/tillsynsmail/A 45774-2024 tillsynsbegäran mail.docx", "A 45774-2024")</f>
        <v/>
      </c>
    </row>
    <row r="853" ht="15" customHeight="1">
      <c r="A853" t="inlineStr">
        <is>
          <t>A 30373-2024</t>
        </is>
      </c>
      <c r="B853" s="1" t="n">
        <v>45491.39454861111</v>
      </c>
      <c r="C853" s="1" t="n">
        <v>46075</v>
      </c>
      <c r="D853" t="inlineStr">
        <is>
          <t>VÄSTERBOTTENS LÄN</t>
        </is>
      </c>
      <c r="E853" t="inlineStr">
        <is>
          <t>DOROTEA</t>
        </is>
      </c>
      <c r="F853" t="inlineStr">
        <is>
          <t>Sveaskog</t>
        </is>
      </c>
      <c r="G853" t="n">
        <v>13</v>
      </c>
      <c r="H853" t="n">
        <v>1</v>
      </c>
      <c r="I853" t="n">
        <v>0</v>
      </c>
      <c r="J853" t="n">
        <v>1</v>
      </c>
      <c r="K853" t="n">
        <v>0</v>
      </c>
      <c r="L853" t="n">
        <v>0</v>
      </c>
      <c r="M853" t="n">
        <v>0</v>
      </c>
      <c r="N853" t="n">
        <v>0</v>
      </c>
      <c r="O853" t="n">
        <v>1</v>
      </c>
      <c r="P853" t="n">
        <v>0</v>
      </c>
      <c r="Q853" t="n">
        <v>1</v>
      </c>
      <c r="R853" s="2" t="inlineStr">
        <is>
          <t>Utter</t>
        </is>
      </c>
      <c r="S853">
        <f>HYPERLINK("https://klasma.github.io/Logging_2425/artfynd/A 30373-2024 artfynd.xlsx", "A 30373-2024")</f>
        <v/>
      </c>
      <c r="T853">
        <f>HYPERLINK("https://klasma.github.io/Logging_2425/kartor/A 30373-2024 karta.png", "A 30373-2024")</f>
        <v/>
      </c>
      <c r="V853">
        <f>HYPERLINK("https://klasma.github.io/Logging_2425/klagomål/A 30373-2024 FSC-klagomål.docx", "A 30373-2024")</f>
        <v/>
      </c>
      <c r="W853">
        <f>HYPERLINK("https://klasma.github.io/Logging_2425/klagomålsmail/A 30373-2024 FSC-klagomål mail.docx", "A 30373-2024")</f>
        <v/>
      </c>
      <c r="X853">
        <f>HYPERLINK("https://klasma.github.io/Logging_2425/tillsyn/A 30373-2024 tillsynsbegäran.docx", "A 30373-2024")</f>
        <v/>
      </c>
      <c r="Y853">
        <f>HYPERLINK("https://klasma.github.io/Logging_2425/tillsynsmail/A 30373-2024 tillsynsbegäran mail.docx", "A 30373-2024")</f>
        <v/>
      </c>
    </row>
    <row r="854" ht="15" customHeight="1">
      <c r="A854" t="inlineStr">
        <is>
          <t>A 53309-2022</t>
        </is>
      </c>
      <c r="B854" s="1" t="n">
        <v>44878.6125462963</v>
      </c>
      <c r="C854" s="1" t="n">
        <v>46075</v>
      </c>
      <c r="D854" t="inlineStr">
        <is>
          <t>VÄSTERBOTTENS LÄN</t>
        </is>
      </c>
      <c r="E854" t="inlineStr">
        <is>
          <t>DOROTEA</t>
        </is>
      </c>
      <c r="G854" t="n">
        <v>6.6</v>
      </c>
      <c r="H854" t="n">
        <v>1</v>
      </c>
      <c r="I854" t="n">
        <v>0</v>
      </c>
      <c r="J854" t="n">
        <v>0</v>
      </c>
      <c r="K854" t="n">
        <v>0</v>
      </c>
      <c r="L854" t="n">
        <v>0</v>
      </c>
      <c r="M854" t="n">
        <v>0</v>
      </c>
      <c r="N854" t="n">
        <v>0</v>
      </c>
      <c r="O854" t="n">
        <v>0</v>
      </c>
      <c r="P854" t="n">
        <v>0</v>
      </c>
      <c r="Q854" t="n">
        <v>1</v>
      </c>
      <c r="R854" s="2" t="inlineStr">
        <is>
          <t>Göktyta</t>
        </is>
      </c>
      <c r="S854">
        <f>HYPERLINK("https://klasma.github.io/Logging_2425/artfynd/A 53309-2022 artfynd.xlsx", "A 53309-2022")</f>
        <v/>
      </c>
      <c r="T854">
        <f>HYPERLINK("https://klasma.github.io/Logging_2425/kartor/A 53309-2022 karta.png", "A 53309-2022")</f>
        <v/>
      </c>
      <c r="V854">
        <f>HYPERLINK("https://klasma.github.io/Logging_2425/klagomål/A 53309-2022 FSC-klagomål.docx", "A 53309-2022")</f>
        <v/>
      </c>
      <c r="W854">
        <f>HYPERLINK("https://klasma.github.io/Logging_2425/klagomålsmail/A 53309-2022 FSC-klagomål mail.docx", "A 53309-2022")</f>
        <v/>
      </c>
      <c r="X854">
        <f>HYPERLINK("https://klasma.github.io/Logging_2425/tillsyn/A 53309-2022 tillsynsbegäran.docx", "A 53309-2022")</f>
        <v/>
      </c>
      <c r="Y854">
        <f>HYPERLINK("https://klasma.github.io/Logging_2425/tillsynsmail/A 53309-2022 tillsynsbegäran mail.docx", "A 53309-2022")</f>
        <v/>
      </c>
      <c r="Z854">
        <f>HYPERLINK("https://klasma.github.io/Logging_2425/fåglar/A 53309-2022 prioriterade fågelarter.docx", "A 53309-2022")</f>
        <v/>
      </c>
    </row>
    <row r="855" ht="15" customHeight="1">
      <c r="A855" t="inlineStr">
        <is>
          <t>A 9446-2025</t>
        </is>
      </c>
      <c r="B855" s="1" t="n">
        <v>45715.42019675926</v>
      </c>
      <c r="C855" s="1" t="n">
        <v>46075</v>
      </c>
      <c r="D855" t="inlineStr">
        <is>
          <t>VÄSTERBOTTENS LÄN</t>
        </is>
      </c>
      <c r="E855" t="inlineStr">
        <is>
          <t>SKELLEFTEÅ</t>
        </is>
      </c>
      <c r="G855" t="n">
        <v>1.8</v>
      </c>
      <c r="H855" t="n">
        <v>0</v>
      </c>
      <c r="I855" t="n">
        <v>1</v>
      </c>
      <c r="J855" t="n">
        <v>0</v>
      </c>
      <c r="K855" t="n">
        <v>0</v>
      </c>
      <c r="L855" t="n">
        <v>0</v>
      </c>
      <c r="M855" t="n">
        <v>0</v>
      </c>
      <c r="N855" t="n">
        <v>0</v>
      </c>
      <c r="O855" t="n">
        <v>0</v>
      </c>
      <c r="P855" t="n">
        <v>0</v>
      </c>
      <c r="Q855" t="n">
        <v>1</v>
      </c>
      <c r="R855" s="2" t="inlineStr">
        <is>
          <t>Vedticka</t>
        </is>
      </c>
      <c r="S855">
        <f>HYPERLINK("https://klasma.github.io/Logging_2482/artfynd/A 9446-2025 artfynd.xlsx", "A 9446-2025")</f>
        <v/>
      </c>
      <c r="T855">
        <f>HYPERLINK("https://klasma.github.io/Logging_2482/kartor/A 9446-2025 karta.png", "A 9446-2025")</f>
        <v/>
      </c>
      <c r="V855">
        <f>HYPERLINK("https://klasma.github.io/Logging_2482/klagomål/A 9446-2025 FSC-klagomål.docx", "A 9446-2025")</f>
        <v/>
      </c>
      <c r="W855">
        <f>HYPERLINK("https://klasma.github.io/Logging_2482/klagomålsmail/A 9446-2025 FSC-klagomål mail.docx", "A 9446-2025")</f>
        <v/>
      </c>
      <c r="X855">
        <f>HYPERLINK("https://klasma.github.io/Logging_2482/tillsyn/A 9446-2025 tillsynsbegäran.docx", "A 9446-2025")</f>
        <v/>
      </c>
      <c r="Y855">
        <f>HYPERLINK("https://klasma.github.io/Logging_2482/tillsynsmail/A 9446-2025 tillsynsbegäran mail.docx", "A 9446-2025")</f>
        <v/>
      </c>
    </row>
    <row r="856" ht="15" customHeight="1">
      <c r="A856" t="inlineStr">
        <is>
          <t>A 53071-2022</t>
        </is>
      </c>
      <c r="B856" s="1" t="n">
        <v>44873</v>
      </c>
      <c r="C856" s="1" t="n">
        <v>46075</v>
      </c>
      <c r="D856" t="inlineStr">
        <is>
          <t>VÄSTERBOTTENS LÄN</t>
        </is>
      </c>
      <c r="E856" t="inlineStr">
        <is>
          <t>SKELLEFTEÅ</t>
        </is>
      </c>
      <c r="G856" t="n">
        <v>10.6</v>
      </c>
      <c r="H856" t="n">
        <v>0</v>
      </c>
      <c r="I856" t="n">
        <v>0</v>
      </c>
      <c r="J856" t="n">
        <v>1</v>
      </c>
      <c r="K856" t="n">
        <v>0</v>
      </c>
      <c r="L856" t="n">
        <v>0</v>
      </c>
      <c r="M856" t="n">
        <v>0</v>
      </c>
      <c r="N856" t="n">
        <v>0</v>
      </c>
      <c r="O856" t="n">
        <v>1</v>
      </c>
      <c r="P856" t="n">
        <v>0</v>
      </c>
      <c r="Q856" t="n">
        <v>1</v>
      </c>
      <c r="R856" s="2" t="inlineStr">
        <is>
          <t>Granticka</t>
        </is>
      </c>
      <c r="S856">
        <f>HYPERLINK("https://klasma.github.io/Logging_2482/artfynd/A 53071-2022 artfynd.xlsx", "A 53071-2022")</f>
        <v/>
      </c>
      <c r="T856">
        <f>HYPERLINK("https://klasma.github.io/Logging_2482/kartor/A 53071-2022 karta.png", "A 53071-2022")</f>
        <v/>
      </c>
      <c r="V856">
        <f>HYPERLINK("https://klasma.github.io/Logging_2482/klagomål/A 53071-2022 FSC-klagomål.docx", "A 53071-2022")</f>
        <v/>
      </c>
      <c r="W856">
        <f>HYPERLINK("https://klasma.github.io/Logging_2482/klagomålsmail/A 53071-2022 FSC-klagomål mail.docx", "A 53071-2022")</f>
        <v/>
      </c>
      <c r="X856">
        <f>HYPERLINK("https://klasma.github.io/Logging_2482/tillsyn/A 53071-2022 tillsynsbegäran.docx", "A 53071-2022")</f>
        <v/>
      </c>
      <c r="Y856">
        <f>HYPERLINK("https://klasma.github.io/Logging_2482/tillsynsmail/A 53071-2022 tillsynsbegäran mail.docx", "A 53071-2022")</f>
        <v/>
      </c>
    </row>
    <row r="857" ht="15" customHeight="1">
      <c r="A857" t="inlineStr">
        <is>
          <t>A 49370-2021</t>
        </is>
      </c>
      <c r="B857" s="1" t="n">
        <v>44454</v>
      </c>
      <c r="C857" s="1" t="n">
        <v>46075</v>
      </c>
      <c r="D857" t="inlineStr">
        <is>
          <t>VÄSTERBOTTENS LÄN</t>
        </is>
      </c>
      <c r="E857" t="inlineStr">
        <is>
          <t>MALÅ</t>
        </is>
      </c>
      <c r="F857" t="inlineStr">
        <is>
          <t>Sveaskog</t>
        </is>
      </c>
      <c r="G857" t="n">
        <v>26.5</v>
      </c>
      <c r="H857" t="n">
        <v>1</v>
      </c>
      <c r="I857" t="n">
        <v>0</v>
      </c>
      <c r="J857" t="n">
        <v>0</v>
      </c>
      <c r="K857" t="n">
        <v>1</v>
      </c>
      <c r="L857" t="n">
        <v>0</v>
      </c>
      <c r="M857" t="n">
        <v>0</v>
      </c>
      <c r="N857" t="n">
        <v>0</v>
      </c>
      <c r="O857" t="n">
        <v>1</v>
      </c>
      <c r="P857" t="n">
        <v>1</v>
      </c>
      <c r="Q857" t="n">
        <v>1</v>
      </c>
      <c r="R857" s="2" t="inlineStr">
        <is>
          <t>Norna</t>
        </is>
      </c>
      <c r="S857">
        <f>HYPERLINK("https://klasma.github.io/Logging_2418/artfynd/A 49370-2021 artfynd.xlsx", "A 49370-2021")</f>
        <v/>
      </c>
      <c r="T857">
        <f>HYPERLINK("https://klasma.github.io/Logging_2418/kartor/A 49370-2021 karta.png", "A 49370-2021")</f>
        <v/>
      </c>
      <c r="V857">
        <f>HYPERLINK("https://klasma.github.io/Logging_2418/klagomål/A 49370-2021 FSC-klagomål.docx", "A 49370-2021")</f>
        <v/>
      </c>
      <c r="W857">
        <f>HYPERLINK("https://klasma.github.io/Logging_2418/klagomålsmail/A 49370-2021 FSC-klagomål mail.docx", "A 49370-2021")</f>
        <v/>
      </c>
      <c r="X857">
        <f>HYPERLINK("https://klasma.github.io/Logging_2418/tillsyn/A 49370-2021 tillsynsbegäran.docx", "A 49370-2021")</f>
        <v/>
      </c>
      <c r="Y857">
        <f>HYPERLINK("https://klasma.github.io/Logging_2418/tillsynsmail/A 49370-2021 tillsynsbegäran mail.docx", "A 49370-2021")</f>
        <v/>
      </c>
    </row>
    <row r="858" ht="15" customHeight="1">
      <c r="A858" t="inlineStr">
        <is>
          <t>A 46666-2024</t>
        </is>
      </c>
      <c r="B858" s="1" t="n">
        <v>45583.37048611111</v>
      </c>
      <c r="C858" s="1" t="n">
        <v>46075</v>
      </c>
      <c r="D858" t="inlineStr">
        <is>
          <t>VÄSTERBOTTENS LÄN</t>
        </is>
      </c>
      <c r="E858" t="inlineStr">
        <is>
          <t>NORSJÖ</t>
        </is>
      </c>
      <c r="F858" t="inlineStr">
        <is>
          <t>Sveaskog</t>
        </is>
      </c>
      <c r="G858" t="n">
        <v>6.7</v>
      </c>
      <c r="H858" t="n">
        <v>0</v>
      </c>
      <c r="I858" t="n">
        <v>1</v>
      </c>
      <c r="J858" t="n">
        <v>0</v>
      </c>
      <c r="K858" t="n">
        <v>0</v>
      </c>
      <c r="L858" t="n">
        <v>0</v>
      </c>
      <c r="M858" t="n">
        <v>0</v>
      </c>
      <c r="N858" t="n">
        <v>0</v>
      </c>
      <c r="O858" t="n">
        <v>0</v>
      </c>
      <c r="P858" t="n">
        <v>0</v>
      </c>
      <c r="Q858" t="n">
        <v>1</v>
      </c>
      <c r="R858" s="2" t="inlineStr">
        <is>
          <t>Dropptaggsvamp</t>
        </is>
      </c>
      <c r="S858">
        <f>HYPERLINK("https://klasma.github.io/Logging_2417/artfynd/A 46666-2024 artfynd.xlsx", "A 46666-2024")</f>
        <v/>
      </c>
      <c r="T858">
        <f>HYPERLINK("https://klasma.github.io/Logging_2417/kartor/A 46666-2024 karta.png", "A 46666-2024")</f>
        <v/>
      </c>
      <c r="V858">
        <f>HYPERLINK("https://klasma.github.io/Logging_2417/klagomål/A 46666-2024 FSC-klagomål.docx", "A 46666-2024")</f>
        <v/>
      </c>
      <c r="W858">
        <f>HYPERLINK("https://klasma.github.io/Logging_2417/klagomålsmail/A 46666-2024 FSC-klagomål mail.docx", "A 46666-2024")</f>
        <v/>
      </c>
      <c r="X858">
        <f>HYPERLINK("https://klasma.github.io/Logging_2417/tillsyn/A 46666-2024 tillsynsbegäran.docx", "A 46666-2024")</f>
        <v/>
      </c>
      <c r="Y858">
        <f>HYPERLINK("https://klasma.github.io/Logging_2417/tillsynsmail/A 46666-2024 tillsynsbegäran mail.docx", "A 46666-2024")</f>
        <v/>
      </c>
    </row>
    <row r="859" ht="15" customHeight="1">
      <c r="A859" t="inlineStr">
        <is>
          <t>A 14348-2025</t>
        </is>
      </c>
      <c r="B859" s="1" t="n">
        <v>45741.34489583333</v>
      </c>
      <c r="C859" s="1" t="n">
        <v>46075</v>
      </c>
      <c r="D859" t="inlineStr">
        <is>
          <t>VÄSTERBOTTENS LÄN</t>
        </is>
      </c>
      <c r="E859" t="inlineStr">
        <is>
          <t>VINDELN</t>
        </is>
      </c>
      <c r="F859" t="inlineStr">
        <is>
          <t>Holmen skog AB</t>
        </is>
      </c>
      <c r="G859" t="n">
        <v>7.6</v>
      </c>
      <c r="H859" t="n">
        <v>1</v>
      </c>
      <c r="I859" t="n">
        <v>0</v>
      </c>
      <c r="J859" t="n">
        <v>0</v>
      </c>
      <c r="K859" t="n">
        <v>0</v>
      </c>
      <c r="L859" t="n">
        <v>0</v>
      </c>
      <c r="M859" t="n">
        <v>0</v>
      </c>
      <c r="N859" t="n">
        <v>0</v>
      </c>
      <c r="O859" t="n">
        <v>0</v>
      </c>
      <c r="P859" t="n">
        <v>0</v>
      </c>
      <c r="Q859" t="n">
        <v>1</v>
      </c>
      <c r="R859" s="2" t="inlineStr">
        <is>
          <t>Fläcknycklar</t>
        </is>
      </c>
      <c r="S859">
        <f>HYPERLINK("https://klasma.github.io/Logging_2404/artfynd/A 14348-2025 artfynd.xlsx", "A 14348-2025")</f>
        <v/>
      </c>
      <c r="T859">
        <f>HYPERLINK("https://klasma.github.io/Logging_2404/kartor/A 14348-2025 karta.png", "A 14348-2025")</f>
        <v/>
      </c>
      <c r="V859">
        <f>HYPERLINK("https://klasma.github.io/Logging_2404/klagomål/A 14348-2025 FSC-klagomål.docx", "A 14348-2025")</f>
        <v/>
      </c>
      <c r="W859">
        <f>HYPERLINK("https://klasma.github.io/Logging_2404/klagomålsmail/A 14348-2025 FSC-klagomål mail.docx", "A 14348-2025")</f>
        <v/>
      </c>
      <c r="X859">
        <f>HYPERLINK("https://klasma.github.io/Logging_2404/tillsyn/A 14348-2025 tillsynsbegäran.docx", "A 14348-2025")</f>
        <v/>
      </c>
      <c r="Y859">
        <f>HYPERLINK("https://klasma.github.io/Logging_2404/tillsynsmail/A 14348-2025 tillsynsbegäran mail.docx", "A 14348-2025")</f>
        <v/>
      </c>
    </row>
    <row r="860" ht="15" customHeight="1">
      <c r="A860" t="inlineStr">
        <is>
          <t>A 34769-2024</t>
        </is>
      </c>
      <c r="B860" s="1" t="n">
        <v>45526.62043981482</v>
      </c>
      <c r="C860" s="1" t="n">
        <v>46075</v>
      </c>
      <c r="D860" t="inlineStr">
        <is>
          <t>VÄSTERBOTTENS LÄN</t>
        </is>
      </c>
      <c r="E860" t="inlineStr">
        <is>
          <t>VILHELMINA</t>
        </is>
      </c>
      <c r="F860" t="inlineStr">
        <is>
          <t>SCA</t>
        </is>
      </c>
      <c r="G860" t="n">
        <v>6.7</v>
      </c>
      <c r="H860" t="n">
        <v>0</v>
      </c>
      <c r="I860" t="n">
        <v>0</v>
      </c>
      <c r="J860" t="n">
        <v>0</v>
      </c>
      <c r="K860" t="n">
        <v>1</v>
      </c>
      <c r="L860" t="n">
        <v>0</v>
      </c>
      <c r="M860" t="n">
        <v>0</v>
      </c>
      <c r="N860" t="n">
        <v>0</v>
      </c>
      <c r="O860" t="n">
        <v>1</v>
      </c>
      <c r="P860" t="n">
        <v>1</v>
      </c>
      <c r="Q860" t="n">
        <v>1</v>
      </c>
      <c r="R860" s="2" t="inlineStr">
        <is>
          <t>Rynkskinn</t>
        </is>
      </c>
      <c r="S860">
        <f>HYPERLINK("https://klasma.github.io/Logging_2462/artfynd/A 34769-2024 artfynd.xlsx", "A 34769-2024")</f>
        <v/>
      </c>
      <c r="T860">
        <f>HYPERLINK("https://klasma.github.io/Logging_2462/kartor/A 34769-2024 karta.png", "A 34769-2024")</f>
        <v/>
      </c>
      <c r="V860">
        <f>HYPERLINK("https://klasma.github.io/Logging_2462/klagomål/A 34769-2024 FSC-klagomål.docx", "A 34769-2024")</f>
        <v/>
      </c>
      <c r="W860">
        <f>HYPERLINK("https://klasma.github.io/Logging_2462/klagomålsmail/A 34769-2024 FSC-klagomål mail.docx", "A 34769-2024")</f>
        <v/>
      </c>
      <c r="X860">
        <f>HYPERLINK("https://klasma.github.io/Logging_2462/tillsyn/A 34769-2024 tillsynsbegäran.docx", "A 34769-2024")</f>
        <v/>
      </c>
      <c r="Y860">
        <f>HYPERLINK("https://klasma.github.io/Logging_2462/tillsynsmail/A 34769-2024 tillsynsbegäran mail.docx", "A 34769-2024")</f>
        <v/>
      </c>
    </row>
    <row r="861" ht="15" customHeight="1">
      <c r="A861" t="inlineStr">
        <is>
          <t>A 17091-2025</t>
        </is>
      </c>
      <c r="B861" s="1" t="n">
        <v>45755.64905092592</v>
      </c>
      <c r="C861" s="1" t="n">
        <v>46075</v>
      </c>
      <c r="D861" t="inlineStr">
        <is>
          <t>VÄSTERBOTTENS LÄN</t>
        </is>
      </c>
      <c r="E861" t="inlineStr">
        <is>
          <t>UMEÅ</t>
        </is>
      </c>
      <c r="G861" t="n">
        <v>2.2</v>
      </c>
      <c r="H861" t="n">
        <v>0</v>
      </c>
      <c r="I861" t="n">
        <v>0</v>
      </c>
      <c r="J861" t="n">
        <v>1</v>
      </c>
      <c r="K861" t="n">
        <v>0</v>
      </c>
      <c r="L861" t="n">
        <v>0</v>
      </c>
      <c r="M861" t="n">
        <v>0</v>
      </c>
      <c r="N861" t="n">
        <v>0</v>
      </c>
      <c r="O861" t="n">
        <v>1</v>
      </c>
      <c r="P861" t="n">
        <v>0</v>
      </c>
      <c r="Q861" t="n">
        <v>1</v>
      </c>
      <c r="R861" s="2" t="inlineStr">
        <is>
          <t>Motaggsvamp</t>
        </is>
      </c>
      <c r="S861">
        <f>HYPERLINK("https://klasma.github.io/Logging_2480/artfynd/A 17091-2025 artfynd.xlsx", "A 17091-2025")</f>
        <v/>
      </c>
      <c r="T861">
        <f>HYPERLINK("https://klasma.github.io/Logging_2480/kartor/A 17091-2025 karta.png", "A 17091-2025")</f>
        <v/>
      </c>
      <c r="V861">
        <f>HYPERLINK("https://klasma.github.io/Logging_2480/klagomål/A 17091-2025 FSC-klagomål.docx", "A 17091-2025")</f>
        <v/>
      </c>
      <c r="W861">
        <f>HYPERLINK("https://klasma.github.io/Logging_2480/klagomålsmail/A 17091-2025 FSC-klagomål mail.docx", "A 17091-2025")</f>
        <v/>
      </c>
      <c r="X861">
        <f>HYPERLINK("https://klasma.github.io/Logging_2480/tillsyn/A 17091-2025 tillsynsbegäran.docx", "A 17091-2025")</f>
        <v/>
      </c>
      <c r="Y861">
        <f>HYPERLINK("https://klasma.github.io/Logging_2480/tillsynsmail/A 17091-2025 tillsynsbegäran mail.docx", "A 17091-2025")</f>
        <v/>
      </c>
    </row>
    <row r="862" ht="15" customHeight="1">
      <c r="A862" t="inlineStr">
        <is>
          <t>A 313-2025</t>
        </is>
      </c>
      <c r="B862" s="1" t="n">
        <v>45656</v>
      </c>
      <c r="C862" s="1" t="n">
        <v>46075</v>
      </c>
      <c r="D862" t="inlineStr">
        <is>
          <t>VÄSTERBOTTENS LÄN</t>
        </is>
      </c>
      <c r="E862" t="inlineStr">
        <is>
          <t>ROBERTSFORS</t>
        </is>
      </c>
      <c r="G862" t="n">
        <v>3.9</v>
      </c>
      <c r="H862" t="n">
        <v>1</v>
      </c>
      <c r="I862" t="n">
        <v>0</v>
      </c>
      <c r="J862" t="n">
        <v>1</v>
      </c>
      <c r="K862" t="n">
        <v>0</v>
      </c>
      <c r="L862" t="n">
        <v>0</v>
      </c>
      <c r="M862" t="n">
        <v>0</v>
      </c>
      <c r="N862" t="n">
        <v>0</v>
      </c>
      <c r="O862" t="n">
        <v>1</v>
      </c>
      <c r="P862" t="n">
        <v>0</v>
      </c>
      <c r="Q862" t="n">
        <v>1</v>
      </c>
      <c r="R862" s="2" t="inlineStr">
        <is>
          <t>Spillkråka</t>
        </is>
      </c>
      <c r="S862">
        <f>HYPERLINK("https://klasma.github.io/Logging_2409/artfynd/A 313-2025 artfynd.xlsx", "A 313-2025")</f>
        <v/>
      </c>
      <c r="T862">
        <f>HYPERLINK("https://klasma.github.io/Logging_2409/kartor/A 313-2025 karta.png", "A 313-2025")</f>
        <v/>
      </c>
      <c r="V862">
        <f>HYPERLINK("https://klasma.github.io/Logging_2409/klagomål/A 313-2025 FSC-klagomål.docx", "A 313-2025")</f>
        <v/>
      </c>
      <c r="W862">
        <f>HYPERLINK("https://klasma.github.io/Logging_2409/klagomålsmail/A 313-2025 FSC-klagomål mail.docx", "A 313-2025")</f>
        <v/>
      </c>
      <c r="X862">
        <f>HYPERLINK("https://klasma.github.io/Logging_2409/tillsyn/A 313-2025 tillsynsbegäran.docx", "A 313-2025")</f>
        <v/>
      </c>
      <c r="Y862">
        <f>HYPERLINK("https://klasma.github.io/Logging_2409/tillsynsmail/A 313-2025 tillsynsbegäran mail.docx", "A 313-2025")</f>
        <v/>
      </c>
      <c r="Z862">
        <f>HYPERLINK("https://klasma.github.io/Logging_2409/fåglar/A 313-2025 prioriterade fågelarter.docx", "A 313-2025")</f>
        <v/>
      </c>
    </row>
    <row r="863" ht="15" customHeight="1">
      <c r="A863" t="inlineStr">
        <is>
          <t>A 23458-2024</t>
        </is>
      </c>
      <c r="B863" s="1" t="n">
        <v>45453.64537037037</v>
      </c>
      <c r="C863" s="1" t="n">
        <v>46075</v>
      </c>
      <c r="D863" t="inlineStr">
        <is>
          <t>VÄSTERBOTTENS LÄN</t>
        </is>
      </c>
      <c r="E863" t="inlineStr">
        <is>
          <t>STORUMAN</t>
        </is>
      </c>
      <c r="F863" t="inlineStr">
        <is>
          <t>Sveaskog</t>
        </is>
      </c>
      <c r="G863" t="n">
        <v>2.2</v>
      </c>
      <c r="H863" t="n">
        <v>0</v>
      </c>
      <c r="I863" t="n">
        <v>1</v>
      </c>
      <c r="J863" t="n">
        <v>0</v>
      </c>
      <c r="K863" t="n">
        <v>0</v>
      </c>
      <c r="L863" t="n">
        <v>0</v>
      </c>
      <c r="M863" t="n">
        <v>0</v>
      </c>
      <c r="N863" t="n">
        <v>0</v>
      </c>
      <c r="O863" t="n">
        <v>0</v>
      </c>
      <c r="P863" t="n">
        <v>0</v>
      </c>
      <c r="Q863" t="n">
        <v>1</v>
      </c>
      <c r="R863" s="2" t="inlineStr">
        <is>
          <t>Dropptaggsvamp</t>
        </is>
      </c>
      <c r="S863">
        <f>HYPERLINK("https://klasma.github.io/Logging_2421/artfynd/A 23458-2024 artfynd.xlsx", "A 23458-2024")</f>
        <v/>
      </c>
      <c r="T863">
        <f>HYPERLINK("https://klasma.github.io/Logging_2421/kartor/A 23458-2024 karta.png", "A 23458-2024")</f>
        <v/>
      </c>
      <c r="V863">
        <f>HYPERLINK("https://klasma.github.io/Logging_2421/klagomål/A 23458-2024 FSC-klagomål.docx", "A 23458-2024")</f>
        <v/>
      </c>
      <c r="W863">
        <f>HYPERLINK("https://klasma.github.io/Logging_2421/klagomålsmail/A 23458-2024 FSC-klagomål mail.docx", "A 23458-2024")</f>
        <v/>
      </c>
      <c r="X863">
        <f>HYPERLINK("https://klasma.github.io/Logging_2421/tillsyn/A 23458-2024 tillsynsbegäran.docx", "A 23458-2024")</f>
        <v/>
      </c>
      <c r="Y863">
        <f>HYPERLINK("https://klasma.github.io/Logging_2421/tillsynsmail/A 23458-2024 tillsynsbegäran mail.docx", "A 23458-2024")</f>
        <v/>
      </c>
    </row>
    <row r="864" ht="15" customHeight="1">
      <c r="A864" t="inlineStr">
        <is>
          <t>A 27583-2022</t>
        </is>
      </c>
      <c r="B864" s="1" t="n">
        <v>44742</v>
      </c>
      <c r="C864" s="1" t="n">
        <v>46075</v>
      </c>
      <c r="D864" t="inlineStr">
        <is>
          <t>VÄSTERBOTTENS LÄN</t>
        </is>
      </c>
      <c r="E864" t="inlineStr">
        <is>
          <t>VINDELN</t>
        </is>
      </c>
      <c r="F864" t="inlineStr">
        <is>
          <t>SCA</t>
        </is>
      </c>
      <c r="G864" t="n">
        <v>2.1</v>
      </c>
      <c r="H864" t="n">
        <v>0</v>
      </c>
      <c r="I864" t="n">
        <v>0</v>
      </c>
      <c r="J864" t="n">
        <v>1</v>
      </c>
      <c r="K864" t="n">
        <v>0</v>
      </c>
      <c r="L864" t="n">
        <v>0</v>
      </c>
      <c r="M864" t="n">
        <v>0</v>
      </c>
      <c r="N864" t="n">
        <v>0</v>
      </c>
      <c r="O864" t="n">
        <v>1</v>
      </c>
      <c r="P864" t="n">
        <v>0</v>
      </c>
      <c r="Q864" t="n">
        <v>1</v>
      </c>
      <c r="R864" s="2" t="inlineStr">
        <is>
          <t>Ullticka</t>
        </is>
      </c>
      <c r="S864">
        <f>HYPERLINK("https://klasma.github.io/Logging_2404/artfynd/A 27583-2022 artfynd.xlsx", "A 27583-2022")</f>
        <v/>
      </c>
      <c r="T864">
        <f>HYPERLINK("https://klasma.github.io/Logging_2404/kartor/A 27583-2022 karta.png", "A 27583-2022")</f>
        <v/>
      </c>
      <c r="V864">
        <f>HYPERLINK("https://klasma.github.io/Logging_2404/klagomål/A 27583-2022 FSC-klagomål.docx", "A 27583-2022")</f>
        <v/>
      </c>
      <c r="W864">
        <f>HYPERLINK("https://klasma.github.io/Logging_2404/klagomålsmail/A 27583-2022 FSC-klagomål mail.docx", "A 27583-2022")</f>
        <v/>
      </c>
      <c r="X864">
        <f>HYPERLINK("https://klasma.github.io/Logging_2404/tillsyn/A 27583-2022 tillsynsbegäran.docx", "A 27583-2022")</f>
        <v/>
      </c>
      <c r="Y864">
        <f>HYPERLINK("https://klasma.github.io/Logging_2404/tillsynsmail/A 27583-2022 tillsynsbegäran mail.docx", "A 27583-2022")</f>
        <v/>
      </c>
    </row>
    <row r="865" ht="15" customHeight="1">
      <c r="A865" t="inlineStr">
        <is>
          <t>A 11056-2023</t>
        </is>
      </c>
      <c r="B865" s="1" t="n">
        <v>44991</v>
      </c>
      <c r="C865" s="1" t="n">
        <v>46075</v>
      </c>
      <c r="D865" t="inlineStr">
        <is>
          <t>VÄSTERBOTTENS LÄN</t>
        </is>
      </c>
      <c r="E865" t="inlineStr">
        <is>
          <t>NORDMALING</t>
        </is>
      </c>
      <c r="F865" t="inlineStr">
        <is>
          <t>SCA</t>
        </is>
      </c>
      <c r="G865" t="n">
        <v>1</v>
      </c>
      <c r="H865" t="n">
        <v>1</v>
      </c>
      <c r="I865" t="n">
        <v>1</v>
      </c>
      <c r="J865" t="n">
        <v>0</v>
      </c>
      <c r="K865" t="n">
        <v>0</v>
      </c>
      <c r="L865" t="n">
        <v>0</v>
      </c>
      <c r="M865" t="n">
        <v>0</v>
      </c>
      <c r="N865" t="n">
        <v>0</v>
      </c>
      <c r="O865" t="n">
        <v>0</v>
      </c>
      <c r="P865" t="n">
        <v>0</v>
      </c>
      <c r="Q865" t="n">
        <v>1</v>
      </c>
      <c r="R865" s="2" t="inlineStr">
        <is>
          <t>Plattlummer</t>
        </is>
      </c>
      <c r="S865">
        <f>HYPERLINK("https://klasma.github.io/Logging_2401/artfynd/A 11056-2023 artfynd.xlsx", "A 11056-2023")</f>
        <v/>
      </c>
      <c r="T865">
        <f>HYPERLINK("https://klasma.github.io/Logging_2401/kartor/A 11056-2023 karta.png", "A 11056-2023")</f>
        <v/>
      </c>
      <c r="V865">
        <f>HYPERLINK("https://klasma.github.io/Logging_2401/klagomål/A 11056-2023 FSC-klagomål.docx", "A 11056-2023")</f>
        <v/>
      </c>
      <c r="W865">
        <f>HYPERLINK("https://klasma.github.io/Logging_2401/klagomålsmail/A 11056-2023 FSC-klagomål mail.docx", "A 11056-2023")</f>
        <v/>
      </c>
      <c r="X865">
        <f>HYPERLINK("https://klasma.github.io/Logging_2401/tillsyn/A 11056-2023 tillsynsbegäran.docx", "A 11056-2023")</f>
        <v/>
      </c>
      <c r="Y865">
        <f>HYPERLINK("https://klasma.github.io/Logging_2401/tillsynsmail/A 11056-2023 tillsynsbegäran mail.docx", "A 11056-2023")</f>
        <v/>
      </c>
    </row>
    <row r="866" ht="15" customHeight="1">
      <c r="A866" t="inlineStr">
        <is>
          <t>A 24824-2024</t>
        </is>
      </c>
      <c r="B866" s="1" t="n">
        <v>45461.35597222222</v>
      </c>
      <c r="C866" s="1" t="n">
        <v>46075</v>
      </c>
      <c r="D866" t="inlineStr">
        <is>
          <t>VÄSTERBOTTENS LÄN</t>
        </is>
      </c>
      <c r="E866" t="inlineStr">
        <is>
          <t>LYCKSELE</t>
        </is>
      </c>
      <c r="F866" t="inlineStr">
        <is>
          <t>Sveaskog</t>
        </is>
      </c>
      <c r="G866" t="n">
        <v>6.1</v>
      </c>
      <c r="H866" t="n">
        <v>1</v>
      </c>
      <c r="I866" t="n">
        <v>0</v>
      </c>
      <c r="J866" t="n">
        <v>1</v>
      </c>
      <c r="K866" t="n">
        <v>0</v>
      </c>
      <c r="L866" t="n">
        <v>0</v>
      </c>
      <c r="M866" t="n">
        <v>0</v>
      </c>
      <c r="N866" t="n">
        <v>0</v>
      </c>
      <c r="O866" t="n">
        <v>1</v>
      </c>
      <c r="P866" t="n">
        <v>0</v>
      </c>
      <c r="Q866" t="n">
        <v>1</v>
      </c>
      <c r="R866" s="2" t="inlineStr">
        <is>
          <t>Kungsörn</t>
        </is>
      </c>
      <c r="S866">
        <f>HYPERLINK("https://klasma.github.io/Logging_2481/artfynd/A 24824-2024 artfynd.xlsx", "A 24824-2024")</f>
        <v/>
      </c>
      <c r="T866">
        <f>HYPERLINK("https://klasma.github.io/Logging_2481/kartor/A 24824-2024 karta.png", "A 24824-2024")</f>
        <v/>
      </c>
      <c r="V866">
        <f>HYPERLINK("https://klasma.github.io/Logging_2481/klagomål/A 24824-2024 FSC-klagomål.docx", "A 24824-2024")</f>
        <v/>
      </c>
      <c r="W866">
        <f>HYPERLINK("https://klasma.github.io/Logging_2481/klagomålsmail/A 24824-2024 FSC-klagomål mail.docx", "A 24824-2024")</f>
        <v/>
      </c>
      <c r="X866">
        <f>HYPERLINK("https://klasma.github.io/Logging_2481/tillsyn/A 24824-2024 tillsynsbegäran.docx", "A 24824-2024")</f>
        <v/>
      </c>
      <c r="Y866">
        <f>HYPERLINK("https://klasma.github.io/Logging_2481/tillsynsmail/A 24824-2024 tillsynsbegäran mail.docx", "A 24824-2024")</f>
        <v/>
      </c>
      <c r="Z866">
        <f>HYPERLINK("https://klasma.github.io/Logging_2481/fåglar/A 24824-2024 prioriterade fågelarter.docx", "A 24824-2024")</f>
        <v/>
      </c>
    </row>
    <row r="867" ht="15" customHeight="1">
      <c r="A867" t="inlineStr">
        <is>
          <t>A 49394-2024</t>
        </is>
      </c>
      <c r="B867" s="1" t="n">
        <v>45595</v>
      </c>
      <c r="C867" s="1" t="n">
        <v>46075</v>
      </c>
      <c r="D867" t="inlineStr">
        <is>
          <t>VÄSTERBOTTENS LÄN</t>
        </is>
      </c>
      <c r="E867" t="inlineStr">
        <is>
          <t>LYCKSELE</t>
        </is>
      </c>
      <c r="F867" t="inlineStr">
        <is>
          <t>Sveaskog</t>
        </is>
      </c>
      <c r="G867" t="n">
        <v>10.6</v>
      </c>
      <c r="H867" t="n">
        <v>0</v>
      </c>
      <c r="I867" t="n">
        <v>0</v>
      </c>
      <c r="J867" t="n">
        <v>1</v>
      </c>
      <c r="K867" t="n">
        <v>0</v>
      </c>
      <c r="L867" t="n">
        <v>0</v>
      </c>
      <c r="M867" t="n">
        <v>0</v>
      </c>
      <c r="N867" t="n">
        <v>0</v>
      </c>
      <c r="O867" t="n">
        <v>1</v>
      </c>
      <c r="P867" t="n">
        <v>0</v>
      </c>
      <c r="Q867" t="n">
        <v>1</v>
      </c>
      <c r="R867" s="2" t="inlineStr">
        <is>
          <t>Lunglav</t>
        </is>
      </c>
      <c r="S867">
        <f>HYPERLINK("https://klasma.github.io/Logging_2481/artfynd/A 49394-2024 artfynd.xlsx", "A 49394-2024")</f>
        <v/>
      </c>
      <c r="T867">
        <f>HYPERLINK("https://klasma.github.io/Logging_2481/kartor/A 49394-2024 karta.png", "A 49394-2024")</f>
        <v/>
      </c>
      <c r="V867">
        <f>HYPERLINK("https://klasma.github.io/Logging_2481/klagomål/A 49394-2024 FSC-klagomål.docx", "A 49394-2024")</f>
        <v/>
      </c>
      <c r="W867">
        <f>HYPERLINK("https://klasma.github.io/Logging_2481/klagomålsmail/A 49394-2024 FSC-klagomål mail.docx", "A 49394-2024")</f>
        <v/>
      </c>
      <c r="X867">
        <f>HYPERLINK("https://klasma.github.io/Logging_2481/tillsyn/A 49394-2024 tillsynsbegäran.docx", "A 49394-2024")</f>
        <v/>
      </c>
      <c r="Y867">
        <f>HYPERLINK("https://klasma.github.io/Logging_2481/tillsynsmail/A 49394-2024 tillsynsbegäran mail.docx", "A 49394-2024")</f>
        <v/>
      </c>
    </row>
    <row r="868" ht="15" customHeight="1">
      <c r="A868" t="inlineStr">
        <is>
          <t>A 56202-2024</t>
        </is>
      </c>
      <c r="B868" s="1" t="n">
        <v>45624</v>
      </c>
      <c r="C868" s="1" t="n">
        <v>46075</v>
      </c>
      <c r="D868" t="inlineStr">
        <is>
          <t>VÄSTERBOTTENS LÄN</t>
        </is>
      </c>
      <c r="E868" t="inlineStr">
        <is>
          <t>DOROTEA</t>
        </is>
      </c>
      <c r="F868" t="inlineStr">
        <is>
          <t>SCA</t>
        </is>
      </c>
      <c r="G868" t="n">
        <v>6.2</v>
      </c>
      <c r="H868" t="n">
        <v>0</v>
      </c>
      <c r="I868" t="n">
        <v>0</v>
      </c>
      <c r="J868" t="n">
        <v>1</v>
      </c>
      <c r="K868" t="n">
        <v>0</v>
      </c>
      <c r="L868" t="n">
        <v>0</v>
      </c>
      <c r="M868" t="n">
        <v>0</v>
      </c>
      <c r="N868" t="n">
        <v>0</v>
      </c>
      <c r="O868" t="n">
        <v>1</v>
      </c>
      <c r="P868" t="n">
        <v>0</v>
      </c>
      <c r="Q868" t="n">
        <v>1</v>
      </c>
      <c r="R868" s="2" t="inlineStr">
        <is>
          <t>Ullticka</t>
        </is>
      </c>
      <c r="S868">
        <f>HYPERLINK("https://klasma.github.io/Logging_2425/artfynd/A 56202-2024 artfynd.xlsx", "A 56202-2024")</f>
        <v/>
      </c>
      <c r="T868">
        <f>HYPERLINK("https://klasma.github.io/Logging_2425/kartor/A 56202-2024 karta.png", "A 56202-2024")</f>
        <v/>
      </c>
      <c r="V868">
        <f>HYPERLINK("https://klasma.github.io/Logging_2425/klagomål/A 56202-2024 FSC-klagomål.docx", "A 56202-2024")</f>
        <v/>
      </c>
      <c r="W868">
        <f>HYPERLINK("https://klasma.github.io/Logging_2425/klagomålsmail/A 56202-2024 FSC-klagomål mail.docx", "A 56202-2024")</f>
        <v/>
      </c>
      <c r="X868">
        <f>HYPERLINK("https://klasma.github.io/Logging_2425/tillsyn/A 56202-2024 tillsynsbegäran.docx", "A 56202-2024")</f>
        <v/>
      </c>
      <c r="Y868">
        <f>HYPERLINK("https://klasma.github.io/Logging_2425/tillsynsmail/A 56202-2024 tillsynsbegäran mail.docx", "A 56202-2024")</f>
        <v/>
      </c>
    </row>
    <row r="869" ht="15" customHeight="1">
      <c r="A869" t="inlineStr">
        <is>
          <t>A 29317-2023</t>
        </is>
      </c>
      <c r="B869" s="1" t="n">
        <v>45105</v>
      </c>
      <c r="C869" s="1" t="n">
        <v>46075</v>
      </c>
      <c r="D869" t="inlineStr">
        <is>
          <t>VÄSTERBOTTENS LÄN</t>
        </is>
      </c>
      <c r="E869" t="inlineStr">
        <is>
          <t>VILHELMINA</t>
        </is>
      </c>
      <c r="F869" t="inlineStr">
        <is>
          <t>SCA</t>
        </is>
      </c>
      <c r="G869" t="n">
        <v>18.8</v>
      </c>
      <c r="H869" t="n">
        <v>1</v>
      </c>
      <c r="I869" t="n">
        <v>0</v>
      </c>
      <c r="J869" t="n">
        <v>1</v>
      </c>
      <c r="K869" t="n">
        <v>0</v>
      </c>
      <c r="L869" t="n">
        <v>0</v>
      </c>
      <c r="M869" t="n">
        <v>0</v>
      </c>
      <c r="N869" t="n">
        <v>0</v>
      </c>
      <c r="O869" t="n">
        <v>1</v>
      </c>
      <c r="P869" t="n">
        <v>0</v>
      </c>
      <c r="Q869" t="n">
        <v>1</v>
      </c>
      <c r="R869" s="2" t="inlineStr">
        <is>
          <t>Tretåig hackspett</t>
        </is>
      </c>
      <c r="S869">
        <f>HYPERLINK("https://klasma.github.io/Logging_2462/artfynd/A 29317-2023 artfynd.xlsx", "A 29317-2023")</f>
        <v/>
      </c>
      <c r="T869">
        <f>HYPERLINK("https://klasma.github.io/Logging_2462/kartor/A 29317-2023 karta.png", "A 29317-2023")</f>
        <v/>
      </c>
      <c r="V869">
        <f>HYPERLINK("https://klasma.github.io/Logging_2462/klagomål/A 29317-2023 FSC-klagomål.docx", "A 29317-2023")</f>
        <v/>
      </c>
      <c r="W869">
        <f>HYPERLINK("https://klasma.github.io/Logging_2462/klagomålsmail/A 29317-2023 FSC-klagomål mail.docx", "A 29317-2023")</f>
        <v/>
      </c>
      <c r="X869">
        <f>HYPERLINK("https://klasma.github.io/Logging_2462/tillsyn/A 29317-2023 tillsynsbegäran.docx", "A 29317-2023")</f>
        <v/>
      </c>
      <c r="Y869">
        <f>HYPERLINK("https://klasma.github.io/Logging_2462/tillsynsmail/A 29317-2023 tillsynsbegäran mail.docx", "A 29317-2023")</f>
        <v/>
      </c>
      <c r="Z869">
        <f>HYPERLINK("https://klasma.github.io/Logging_2462/fåglar/A 29317-2023 prioriterade fågelarter.docx", "A 29317-2023")</f>
        <v/>
      </c>
    </row>
    <row r="870" ht="15" customHeight="1">
      <c r="A870" t="inlineStr">
        <is>
          <t>A 61910-2024</t>
        </is>
      </c>
      <c r="B870" s="1" t="n">
        <v>45653.36229166666</v>
      </c>
      <c r="C870" s="1" t="n">
        <v>46075</v>
      </c>
      <c r="D870" t="inlineStr">
        <is>
          <t>VÄSTERBOTTENS LÄN</t>
        </is>
      </c>
      <c r="E870" t="inlineStr">
        <is>
          <t>LYCKSELE</t>
        </is>
      </c>
      <c r="G870" t="n">
        <v>5.8</v>
      </c>
      <c r="H870" t="n">
        <v>1</v>
      </c>
      <c r="I870" t="n">
        <v>0</v>
      </c>
      <c r="J870" t="n">
        <v>0</v>
      </c>
      <c r="K870" t="n">
        <v>1</v>
      </c>
      <c r="L870" t="n">
        <v>0</v>
      </c>
      <c r="M870" t="n">
        <v>0</v>
      </c>
      <c r="N870" t="n">
        <v>0</v>
      </c>
      <c r="O870" t="n">
        <v>1</v>
      </c>
      <c r="P870" t="n">
        <v>1</v>
      </c>
      <c r="Q870" t="n">
        <v>1</v>
      </c>
      <c r="R870" s="2" t="inlineStr">
        <is>
          <t>Norna</t>
        </is>
      </c>
      <c r="S870">
        <f>HYPERLINK("https://klasma.github.io/Logging_2481/artfynd/A 61910-2024 artfynd.xlsx", "A 61910-2024")</f>
        <v/>
      </c>
      <c r="T870">
        <f>HYPERLINK("https://klasma.github.io/Logging_2481/kartor/A 61910-2024 karta.png", "A 61910-2024")</f>
        <v/>
      </c>
      <c r="V870">
        <f>HYPERLINK("https://klasma.github.io/Logging_2481/klagomål/A 61910-2024 FSC-klagomål.docx", "A 61910-2024")</f>
        <v/>
      </c>
      <c r="W870">
        <f>HYPERLINK("https://klasma.github.io/Logging_2481/klagomålsmail/A 61910-2024 FSC-klagomål mail.docx", "A 61910-2024")</f>
        <v/>
      </c>
      <c r="X870">
        <f>HYPERLINK("https://klasma.github.io/Logging_2481/tillsyn/A 61910-2024 tillsynsbegäran.docx", "A 61910-2024")</f>
        <v/>
      </c>
      <c r="Y870">
        <f>HYPERLINK("https://klasma.github.io/Logging_2481/tillsynsmail/A 61910-2024 tillsynsbegäran mail.docx", "A 61910-2024")</f>
        <v/>
      </c>
    </row>
    <row r="871" ht="15" customHeight="1">
      <c r="A871" t="inlineStr">
        <is>
          <t>A 53869-2023</t>
        </is>
      </c>
      <c r="B871" s="1" t="n">
        <v>45231</v>
      </c>
      <c r="C871" s="1" t="n">
        <v>46075</v>
      </c>
      <c r="D871" t="inlineStr">
        <is>
          <t>VÄSTERBOTTENS LÄN</t>
        </is>
      </c>
      <c r="E871" t="inlineStr">
        <is>
          <t>LYCKSELE</t>
        </is>
      </c>
      <c r="F871" t="inlineStr">
        <is>
          <t>Sveaskog</t>
        </is>
      </c>
      <c r="G871" t="n">
        <v>5.6</v>
      </c>
      <c r="H871" t="n">
        <v>0</v>
      </c>
      <c r="I871" t="n">
        <v>1</v>
      </c>
      <c r="J871" t="n">
        <v>0</v>
      </c>
      <c r="K871" t="n">
        <v>0</v>
      </c>
      <c r="L871" t="n">
        <v>0</v>
      </c>
      <c r="M871" t="n">
        <v>0</v>
      </c>
      <c r="N871" t="n">
        <v>0</v>
      </c>
      <c r="O871" t="n">
        <v>0</v>
      </c>
      <c r="P871" t="n">
        <v>0</v>
      </c>
      <c r="Q871" t="n">
        <v>1</v>
      </c>
      <c r="R871" s="2" t="inlineStr">
        <is>
          <t>Dropptaggsvamp</t>
        </is>
      </c>
      <c r="S871">
        <f>HYPERLINK("https://klasma.github.io/Logging_2481/artfynd/A 53869-2023 artfynd.xlsx", "A 53869-2023")</f>
        <v/>
      </c>
      <c r="T871">
        <f>HYPERLINK("https://klasma.github.io/Logging_2481/kartor/A 53869-2023 karta.png", "A 53869-2023")</f>
        <v/>
      </c>
      <c r="V871">
        <f>HYPERLINK("https://klasma.github.io/Logging_2481/klagomål/A 53869-2023 FSC-klagomål.docx", "A 53869-2023")</f>
        <v/>
      </c>
      <c r="W871">
        <f>HYPERLINK("https://klasma.github.io/Logging_2481/klagomålsmail/A 53869-2023 FSC-klagomål mail.docx", "A 53869-2023")</f>
        <v/>
      </c>
      <c r="X871">
        <f>HYPERLINK("https://klasma.github.io/Logging_2481/tillsyn/A 53869-2023 tillsynsbegäran.docx", "A 53869-2023")</f>
        <v/>
      </c>
      <c r="Y871">
        <f>HYPERLINK("https://klasma.github.io/Logging_2481/tillsynsmail/A 53869-2023 tillsynsbegäran mail.docx", "A 53869-2023")</f>
        <v/>
      </c>
    </row>
    <row r="872" ht="15" customHeight="1">
      <c r="A872" t="inlineStr">
        <is>
          <t>A 57653-2022</t>
        </is>
      </c>
      <c r="B872" s="1" t="n">
        <v>44897.43052083333</v>
      </c>
      <c r="C872" s="1" t="n">
        <v>46075</v>
      </c>
      <c r="D872" t="inlineStr">
        <is>
          <t>VÄSTERBOTTENS LÄN</t>
        </is>
      </c>
      <c r="E872" t="inlineStr">
        <is>
          <t>BJURHOLM</t>
        </is>
      </c>
      <c r="F872" t="inlineStr">
        <is>
          <t>Holmen skog AB</t>
        </is>
      </c>
      <c r="G872" t="n">
        <v>4.9</v>
      </c>
      <c r="H872" t="n">
        <v>0</v>
      </c>
      <c r="I872" t="n">
        <v>0</v>
      </c>
      <c r="J872" t="n">
        <v>1</v>
      </c>
      <c r="K872" t="n">
        <v>0</v>
      </c>
      <c r="L872" t="n">
        <v>0</v>
      </c>
      <c r="M872" t="n">
        <v>0</v>
      </c>
      <c r="N872" t="n">
        <v>0</v>
      </c>
      <c r="O872" t="n">
        <v>1</v>
      </c>
      <c r="P872" t="n">
        <v>0</v>
      </c>
      <c r="Q872" t="n">
        <v>1</v>
      </c>
      <c r="R872" s="2" t="inlineStr">
        <is>
          <t>Garnlav</t>
        </is>
      </c>
      <c r="S872">
        <f>HYPERLINK("https://klasma.github.io/Logging_2403/artfynd/A 57653-2022 artfynd.xlsx", "A 57653-2022")</f>
        <v/>
      </c>
      <c r="T872">
        <f>HYPERLINK("https://klasma.github.io/Logging_2403/kartor/A 57653-2022 karta.png", "A 57653-2022")</f>
        <v/>
      </c>
      <c r="V872">
        <f>HYPERLINK("https://klasma.github.io/Logging_2403/klagomål/A 57653-2022 FSC-klagomål.docx", "A 57653-2022")</f>
        <v/>
      </c>
      <c r="W872">
        <f>HYPERLINK("https://klasma.github.io/Logging_2403/klagomålsmail/A 57653-2022 FSC-klagomål mail.docx", "A 57653-2022")</f>
        <v/>
      </c>
      <c r="X872">
        <f>HYPERLINK("https://klasma.github.io/Logging_2403/tillsyn/A 57653-2022 tillsynsbegäran.docx", "A 57653-2022")</f>
        <v/>
      </c>
      <c r="Y872">
        <f>HYPERLINK("https://klasma.github.io/Logging_2403/tillsynsmail/A 57653-2022 tillsynsbegäran mail.docx", "A 57653-2022")</f>
        <v/>
      </c>
    </row>
    <row r="873" ht="15" customHeight="1">
      <c r="A873" t="inlineStr">
        <is>
          <t>A 28307-2025</t>
        </is>
      </c>
      <c r="B873" s="1" t="n">
        <v>45818.61664351852</v>
      </c>
      <c r="C873" s="1" t="n">
        <v>46075</v>
      </c>
      <c r="D873" t="inlineStr">
        <is>
          <t>VÄSTERBOTTENS LÄN</t>
        </is>
      </c>
      <c r="E873" t="inlineStr">
        <is>
          <t>LYCKSELE</t>
        </is>
      </c>
      <c r="F873" t="inlineStr">
        <is>
          <t>Sveaskog</t>
        </is>
      </c>
      <c r="G873" t="n">
        <v>3.6</v>
      </c>
      <c r="H873" t="n">
        <v>0</v>
      </c>
      <c r="I873" t="n">
        <v>0</v>
      </c>
      <c r="J873" t="n">
        <v>1</v>
      </c>
      <c r="K873" t="n">
        <v>0</v>
      </c>
      <c r="L873" t="n">
        <v>0</v>
      </c>
      <c r="M873" t="n">
        <v>0</v>
      </c>
      <c r="N873" t="n">
        <v>0</v>
      </c>
      <c r="O873" t="n">
        <v>1</v>
      </c>
      <c r="P873" t="n">
        <v>0</v>
      </c>
      <c r="Q873" t="n">
        <v>1</v>
      </c>
      <c r="R873" s="2" t="inlineStr">
        <is>
          <t>Lunglav</t>
        </is>
      </c>
      <c r="S873">
        <f>HYPERLINK("https://klasma.github.io/Logging_2481/artfynd/A 28307-2025 artfynd.xlsx", "A 28307-2025")</f>
        <v/>
      </c>
      <c r="T873">
        <f>HYPERLINK("https://klasma.github.io/Logging_2481/kartor/A 28307-2025 karta.png", "A 28307-2025")</f>
        <v/>
      </c>
      <c r="V873">
        <f>HYPERLINK("https://klasma.github.io/Logging_2481/klagomål/A 28307-2025 FSC-klagomål.docx", "A 28307-2025")</f>
        <v/>
      </c>
      <c r="W873">
        <f>HYPERLINK("https://klasma.github.io/Logging_2481/klagomålsmail/A 28307-2025 FSC-klagomål mail.docx", "A 28307-2025")</f>
        <v/>
      </c>
      <c r="X873">
        <f>HYPERLINK("https://klasma.github.io/Logging_2481/tillsyn/A 28307-2025 tillsynsbegäran.docx", "A 28307-2025")</f>
        <v/>
      </c>
      <c r="Y873">
        <f>HYPERLINK("https://klasma.github.io/Logging_2481/tillsynsmail/A 28307-2025 tillsynsbegäran mail.docx", "A 28307-2025")</f>
        <v/>
      </c>
    </row>
    <row r="874" ht="15" customHeight="1">
      <c r="A874" t="inlineStr">
        <is>
          <t>A 41481-2024</t>
        </is>
      </c>
      <c r="B874" s="1" t="n">
        <v>45560.44495370371</v>
      </c>
      <c r="C874" s="1" t="n">
        <v>46075</v>
      </c>
      <c r="D874" t="inlineStr">
        <is>
          <t>VÄSTERBOTTENS LÄN</t>
        </is>
      </c>
      <c r="E874" t="inlineStr">
        <is>
          <t>VINDELN</t>
        </is>
      </c>
      <c r="F874" t="inlineStr">
        <is>
          <t>Sveaskog</t>
        </is>
      </c>
      <c r="G874" t="n">
        <v>29</v>
      </c>
      <c r="H874" t="n">
        <v>0</v>
      </c>
      <c r="I874" t="n">
        <v>0</v>
      </c>
      <c r="J874" t="n">
        <v>1</v>
      </c>
      <c r="K874" t="n">
        <v>0</v>
      </c>
      <c r="L874" t="n">
        <v>0</v>
      </c>
      <c r="M874" t="n">
        <v>0</v>
      </c>
      <c r="N874" t="n">
        <v>0</v>
      </c>
      <c r="O874" t="n">
        <v>1</v>
      </c>
      <c r="P874" t="n">
        <v>0</v>
      </c>
      <c r="Q874" t="n">
        <v>1</v>
      </c>
      <c r="R874" s="2" t="inlineStr">
        <is>
          <t>Tallvägstekel</t>
        </is>
      </c>
      <c r="S874">
        <f>HYPERLINK("https://klasma.github.io/Logging_2404/artfynd/A 41481-2024 artfynd.xlsx", "A 41481-2024")</f>
        <v/>
      </c>
      <c r="T874">
        <f>HYPERLINK("https://klasma.github.io/Logging_2404/kartor/A 41481-2024 karta.png", "A 41481-2024")</f>
        <v/>
      </c>
      <c r="V874">
        <f>HYPERLINK("https://klasma.github.io/Logging_2404/klagomål/A 41481-2024 FSC-klagomål.docx", "A 41481-2024")</f>
        <v/>
      </c>
      <c r="W874">
        <f>HYPERLINK("https://klasma.github.io/Logging_2404/klagomålsmail/A 41481-2024 FSC-klagomål mail.docx", "A 41481-2024")</f>
        <v/>
      </c>
      <c r="X874">
        <f>HYPERLINK("https://klasma.github.io/Logging_2404/tillsyn/A 41481-2024 tillsynsbegäran.docx", "A 41481-2024")</f>
        <v/>
      </c>
      <c r="Y874">
        <f>HYPERLINK("https://klasma.github.io/Logging_2404/tillsynsmail/A 41481-2024 tillsynsbegäran mail.docx", "A 41481-2024")</f>
        <v/>
      </c>
    </row>
    <row r="875" ht="15" customHeight="1">
      <c r="A875" t="inlineStr">
        <is>
          <t>A 45429-2024</t>
        </is>
      </c>
      <c r="B875" s="1" t="n">
        <v>45576</v>
      </c>
      <c r="C875" s="1" t="n">
        <v>46075</v>
      </c>
      <c r="D875" t="inlineStr">
        <is>
          <t>VÄSTERBOTTENS LÄN</t>
        </is>
      </c>
      <c r="E875" t="inlineStr">
        <is>
          <t>UMEÅ</t>
        </is>
      </c>
      <c r="F875" t="inlineStr">
        <is>
          <t>Sveaskog</t>
        </is>
      </c>
      <c r="G875" t="n">
        <v>11.5</v>
      </c>
      <c r="H875" t="n">
        <v>0</v>
      </c>
      <c r="I875" t="n">
        <v>0</v>
      </c>
      <c r="J875" t="n">
        <v>1</v>
      </c>
      <c r="K875" t="n">
        <v>0</v>
      </c>
      <c r="L875" t="n">
        <v>0</v>
      </c>
      <c r="M875" t="n">
        <v>0</v>
      </c>
      <c r="N875" t="n">
        <v>0</v>
      </c>
      <c r="O875" t="n">
        <v>1</v>
      </c>
      <c r="P875" t="n">
        <v>0</v>
      </c>
      <c r="Q875" t="n">
        <v>1</v>
      </c>
      <c r="R875" s="2" t="inlineStr">
        <is>
          <t>Motaggsvamp</t>
        </is>
      </c>
      <c r="S875">
        <f>HYPERLINK("https://klasma.github.io/Logging_2480/artfynd/A 45429-2024 artfynd.xlsx", "A 45429-2024")</f>
        <v/>
      </c>
      <c r="T875">
        <f>HYPERLINK("https://klasma.github.io/Logging_2480/kartor/A 45429-2024 karta.png", "A 45429-2024")</f>
        <v/>
      </c>
      <c r="V875">
        <f>HYPERLINK("https://klasma.github.io/Logging_2480/klagomål/A 45429-2024 FSC-klagomål.docx", "A 45429-2024")</f>
        <v/>
      </c>
      <c r="W875">
        <f>HYPERLINK("https://klasma.github.io/Logging_2480/klagomålsmail/A 45429-2024 FSC-klagomål mail.docx", "A 45429-2024")</f>
        <v/>
      </c>
      <c r="X875">
        <f>HYPERLINK("https://klasma.github.io/Logging_2480/tillsyn/A 45429-2024 tillsynsbegäran.docx", "A 45429-2024")</f>
        <v/>
      </c>
      <c r="Y875">
        <f>HYPERLINK("https://klasma.github.io/Logging_2480/tillsynsmail/A 45429-2024 tillsynsbegäran mail.docx", "A 45429-2024")</f>
        <v/>
      </c>
    </row>
    <row r="876" ht="15" customHeight="1">
      <c r="A876" t="inlineStr">
        <is>
          <t>A 59283-2024</t>
        </is>
      </c>
      <c r="B876" s="1" t="n">
        <v>45637.64248842592</v>
      </c>
      <c r="C876" s="1" t="n">
        <v>46075</v>
      </c>
      <c r="D876" t="inlineStr">
        <is>
          <t>VÄSTERBOTTENS LÄN</t>
        </is>
      </c>
      <c r="E876" t="inlineStr">
        <is>
          <t>LYCKSELE</t>
        </is>
      </c>
      <c r="F876" t="inlineStr">
        <is>
          <t>Sveaskog</t>
        </is>
      </c>
      <c r="G876" t="n">
        <v>2</v>
      </c>
      <c r="H876" t="n">
        <v>0</v>
      </c>
      <c r="I876" t="n">
        <v>1</v>
      </c>
      <c r="J876" t="n">
        <v>0</v>
      </c>
      <c r="K876" t="n">
        <v>0</v>
      </c>
      <c r="L876" t="n">
        <v>0</v>
      </c>
      <c r="M876" t="n">
        <v>0</v>
      </c>
      <c r="N876" t="n">
        <v>0</v>
      </c>
      <c r="O876" t="n">
        <v>0</v>
      </c>
      <c r="P876" t="n">
        <v>0</v>
      </c>
      <c r="Q876" t="n">
        <v>1</v>
      </c>
      <c r="R876" s="2" t="inlineStr">
        <is>
          <t>Dropptaggsvamp</t>
        </is>
      </c>
      <c r="S876">
        <f>HYPERLINK("https://klasma.github.io/Logging_2481/artfynd/A 59283-2024 artfynd.xlsx", "A 59283-2024")</f>
        <v/>
      </c>
      <c r="T876">
        <f>HYPERLINK("https://klasma.github.io/Logging_2481/kartor/A 59283-2024 karta.png", "A 59283-2024")</f>
        <v/>
      </c>
      <c r="V876">
        <f>HYPERLINK("https://klasma.github.io/Logging_2481/klagomål/A 59283-2024 FSC-klagomål.docx", "A 59283-2024")</f>
        <v/>
      </c>
      <c r="W876">
        <f>HYPERLINK("https://klasma.github.io/Logging_2481/klagomålsmail/A 59283-2024 FSC-klagomål mail.docx", "A 59283-2024")</f>
        <v/>
      </c>
      <c r="X876">
        <f>HYPERLINK("https://klasma.github.io/Logging_2481/tillsyn/A 59283-2024 tillsynsbegäran.docx", "A 59283-2024")</f>
        <v/>
      </c>
      <c r="Y876">
        <f>HYPERLINK("https://klasma.github.io/Logging_2481/tillsynsmail/A 59283-2024 tillsynsbegäran mail.docx", "A 59283-2024")</f>
        <v/>
      </c>
    </row>
    <row r="877" ht="15" customHeight="1">
      <c r="A877" t="inlineStr">
        <is>
          <t>A 23232-2022</t>
        </is>
      </c>
      <c r="B877" s="1" t="n">
        <v>44719</v>
      </c>
      <c r="C877" s="1" t="n">
        <v>46075</v>
      </c>
      <c r="D877" t="inlineStr">
        <is>
          <t>VÄSTERBOTTENS LÄN</t>
        </is>
      </c>
      <c r="E877" t="inlineStr">
        <is>
          <t>SORSELE</t>
        </is>
      </c>
      <c r="G877" t="n">
        <v>11.5</v>
      </c>
      <c r="H877" t="n">
        <v>1</v>
      </c>
      <c r="I877" t="n">
        <v>0</v>
      </c>
      <c r="J877" t="n">
        <v>1</v>
      </c>
      <c r="K877" t="n">
        <v>0</v>
      </c>
      <c r="L877" t="n">
        <v>0</v>
      </c>
      <c r="M877" t="n">
        <v>0</v>
      </c>
      <c r="N877" t="n">
        <v>0</v>
      </c>
      <c r="O877" t="n">
        <v>1</v>
      </c>
      <c r="P877" t="n">
        <v>0</v>
      </c>
      <c r="Q877" t="n">
        <v>1</v>
      </c>
      <c r="R877" s="2" t="inlineStr">
        <is>
          <t>Tretåig hackspett</t>
        </is>
      </c>
      <c r="S877">
        <f>HYPERLINK("https://klasma.github.io/Logging_2422/artfynd/A 23232-2022 artfynd.xlsx", "A 23232-2022")</f>
        <v/>
      </c>
      <c r="T877">
        <f>HYPERLINK("https://klasma.github.io/Logging_2422/kartor/A 23232-2022 karta.png", "A 23232-2022")</f>
        <v/>
      </c>
      <c r="V877">
        <f>HYPERLINK("https://klasma.github.io/Logging_2422/klagomål/A 23232-2022 FSC-klagomål.docx", "A 23232-2022")</f>
        <v/>
      </c>
      <c r="W877">
        <f>HYPERLINK("https://klasma.github.io/Logging_2422/klagomålsmail/A 23232-2022 FSC-klagomål mail.docx", "A 23232-2022")</f>
        <v/>
      </c>
      <c r="X877">
        <f>HYPERLINK("https://klasma.github.io/Logging_2422/tillsyn/A 23232-2022 tillsynsbegäran.docx", "A 23232-2022")</f>
        <v/>
      </c>
      <c r="Y877">
        <f>HYPERLINK("https://klasma.github.io/Logging_2422/tillsynsmail/A 23232-2022 tillsynsbegäran mail.docx", "A 23232-2022")</f>
        <v/>
      </c>
      <c r="Z877">
        <f>HYPERLINK("https://klasma.github.io/Logging_2422/fåglar/A 23232-2022 prioriterade fågelarter.docx", "A 23232-2022")</f>
        <v/>
      </c>
    </row>
    <row r="878" ht="15" customHeight="1">
      <c r="A878" t="inlineStr">
        <is>
          <t>A 28829-2025</t>
        </is>
      </c>
      <c r="B878" s="1" t="n">
        <v>45820.55273148148</v>
      </c>
      <c r="C878" s="1" t="n">
        <v>46075</v>
      </c>
      <c r="D878" t="inlineStr">
        <is>
          <t>VÄSTERBOTTENS LÄN</t>
        </is>
      </c>
      <c r="E878" t="inlineStr">
        <is>
          <t>LYCKSELE</t>
        </is>
      </c>
      <c r="F878" t="inlineStr">
        <is>
          <t>Sveaskog</t>
        </is>
      </c>
      <c r="G878" t="n">
        <v>9.9</v>
      </c>
      <c r="H878" t="n">
        <v>0</v>
      </c>
      <c r="I878" t="n">
        <v>1</v>
      </c>
      <c r="J878" t="n">
        <v>0</v>
      </c>
      <c r="K878" t="n">
        <v>0</v>
      </c>
      <c r="L878" t="n">
        <v>0</v>
      </c>
      <c r="M878" t="n">
        <v>0</v>
      </c>
      <c r="N878" t="n">
        <v>0</v>
      </c>
      <c r="O878" t="n">
        <v>0</v>
      </c>
      <c r="P878" t="n">
        <v>0</v>
      </c>
      <c r="Q878" t="n">
        <v>1</v>
      </c>
      <c r="R878" s="2" t="inlineStr">
        <is>
          <t>Skarp dropptaggsvamp</t>
        </is>
      </c>
      <c r="S878">
        <f>HYPERLINK("https://klasma.github.io/Logging_2481/artfynd/A 28829-2025 artfynd.xlsx", "A 28829-2025")</f>
        <v/>
      </c>
      <c r="T878">
        <f>HYPERLINK("https://klasma.github.io/Logging_2481/kartor/A 28829-2025 karta.png", "A 28829-2025")</f>
        <v/>
      </c>
      <c r="V878">
        <f>HYPERLINK("https://klasma.github.io/Logging_2481/klagomål/A 28829-2025 FSC-klagomål.docx", "A 28829-2025")</f>
        <v/>
      </c>
      <c r="W878">
        <f>HYPERLINK("https://klasma.github.io/Logging_2481/klagomålsmail/A 28829-2025 FSC-klagomål mail.docx", "A 28829-2025")</f>
        <v/>
      </c>
      <c r="X878">
        <f>HYPERLINK("https://klasma.github.io/Logging_2481/tillsyn/A 28829-2025 tillsynsbegäran.docx", "A 28829-2025")</f>
        <v/>
      </c>
      <c r="Y878">
        <f>HYPERLINK("https://klasma.github.io/Logging_2481/tillsynsmail/A 28829-2025 tillsynsbegäran mail.docx", "A 28829-2025")</f>
        <v/>
      </c>
    </row>
    <row r="879" ht="15" customHeight="1">
      <c r="A879" t="inlineStr">
        <is>
          <t>A 28860-2025</t>
        </is>
      </c>
      <c r="B879" s="1" t="n">
        <v>45820.59178240741</v>
      </c>
      <c r="C879" s="1" t="n">
        <v>46075</v>
      </c>
      <c r="D879" t="inlineStr">
        <is>
          <t>VÄSTERBOTTENS LÄN</t>
        </is>
      </c>
      <c r="E879" t="inlineStr">
        <is>
          <t>SKELLEFTEÅ</t>
        </is>
      </c>
      <c r="F879" t="inlineStr">
        <is>
          <t>Holmen skog AB</t>
        </is>
      </c>
      <c r="G879" t="n">
        <v>3.2</v>
      </c>
      <c r="H879" t="n">
        <v>0</v>
      </c>
      <c r="I879" t="n">
        <v>0</v>
      </c>
      <c r="J879" t="n">
        <v>1</v>
      </c>
      <c r="K879" t="n">
        <v>0</v>
      </c>
      <c r="L879" t="n">
        <v>0</v>
      </c>
      <c r="M879" t="n">
        <v>0</v>
      </c>
      <c r="N879" t="n">
        <v>0</v>
      </c>
      <c r="O879" t="n">
        <v>1</v>
      </c>
      <c r="P879" t="n">
        <v>0</v>
      </c>
      <c r="Q879" t="n">
        <v>1</v>
      </c>
      <c r="R879" s="2" t="inlineStr">
        <is>
          <t>Vedskivlav</t>
        </is>
      </c>
      <c r="S879">
        <f>HYPERLINK("https://klasma.github.io/Logging_2482/artfynd/A 28860-2025 artfynd.xlsx", "A 28860-2025")</f>
        <v/>
      </c>
      <c r="T879">
        <f>HYPERLINK("https://klasma.github.io/Logging_2482/kartor/A 28860-2025 karta.png", "A 28860-2025")</f>
        <v/>
      </c>
      <c r="V879">
        <f>HYPERLINK("https://klasma.github.io/Logging_2482/klagomål/A 28860-2025 FSC-klagomål.docx", "A 28860-2025")</f>
        <v/>
      </c>
      <c r="W879">
        <f>HYPERLINK("https://klasma.github.io/Logging_2482/klagomålsmail/A 28860-2025 FSC-klagomål mail.docx", "A 28860-2025")</f>
        <v/>
      </c>
      <c r="X879">
        <f>HYPERLINK("https://klasma.github.io/Logging_2482/tillsyn/A 28860-2025 tillsynsbegäran.docx", "A 28860-2025")</f>
        <v/>
      </c>
      <c r="Y879">
        <f>HYPERLINK("https://klasma.github.io/Logging_2482/tillsynsmail/A 28860-2025 tillsynsbegäran mail.docx", "A 28860-2025")</f>
        <v/>
      </c>
    </row>
    <row r="880" ht="15" customHeight="1">
      <c r="A880" t="inlineStr">
        <is>
          <t>A 29121-2025</t>
        </is>
      </c>
      <c r="B880" s="1" t="n">
        <v>45821</v>
      </c>
      <c r="C880" s="1" t="n">
        <v>46075</v>
      </c>
      <c r="D880" t="inlineStr">
        <is>
          <t>VÄSTERBOTTENS LÄN</t>
        </is>
      </c>
      <c r="E880" t="inlineStr">
        <is>
          <t>VILHELMINA</t>
        </is>
      </c>
      <c r="F880" t="inlineStr">
        <is>
          <t>SCA</t>
        </is>
      </c>
      <c r="G880" t="n">
        <v>4.4</v>
      </c>
      <c r="H880" t="n">
        <v>0</v>
      </c>
      <c r="I880" t="n">
        <v>0</v>
      </c>
      <c r="J880" t="n">
        <v>1</v>
      </c>
      <c r="K880" t="n">
        <v>0</v>
      </c>
      <c r="L880" t="n">
        <v>0</v>
      </c>
      <c r="M880" t="n">
        <v>0</v>
      </c>
      <c r="N880" t="n">
        <v>0</v>
      </c>
      <c r="O880" t="n">
        <v>1</v>
      </c>
      <c r="P880" t="n">
        <v>0</v>
      </c>
      <c r="Q880" t="n">
        <v>1</v>
      </c>
      <c r="R880" s="2" t="inlineStr">
        <is>
          <t>Ullticka</t>
        </is>
      </c>
      <c r="S880">
        <f>HYPERLINK("https://klasma.github.io/Logging_2462/artfynd/A 29121-2025 artfynd.xlsx", "A 29121-2025")</f>
        <v/>
      </c>
      <c r="T880">
        <f>HYPERLINK("https://klasma.github.io/Logging_2462/kartor/A 29121-2025 karta.png", "A 29121-2025")</f>
        <v/>
      </c>
      <c r="V880">
        <f>HYPERLINK("https://klasma.github.io/Logging_2462/klagomål/A 29121-2025 FSC-klagomål.docx", "A 29121-2025")</f>
        <v/>
      </c>
      <c r="W880">
        <f>HYPERLINK("https://klasma.github.io/Logging_2462/klagomålsmail/A 29121-2025 FSC-klagomål mail.docx", "A 29121-2025")</f>
        <v/>
      </c>
      <c r="X880">
        <f>HYPERLINK("https://klasma.github.io/Logging_2462/tillsyn/A 29121-2025 tillsynsbegäran.docx", "A 29121-2025")</f>
        <v/>
      </c>
      <c r="Y880">
        <f>HYPERLINK("https://klasma.github.io/Logging_2462/tillsynsmail/A 29121-2025 tillsynsbegäran mail.docx", "A 29121-2025")</f>
        <v/>
      </c>
    </row>
    <row r="881" ht="15" customHeight="1">
      <c r="A881" t="inlineStr">
        <is>
          <t>A 36531-2022</t>
        </is>
      </c>
      <c r="B881" s="1" t="n">
        <v>44804</v>
      </c>
      <c r="C881" s="1" t="n">
        <v>46075</v>
      </c>
      <c r="D881" t="inlineStr">
        <is>
          <t>VÄSTERBOTTENS LÄN</t>
        </is>
      </c>
      <c r="E881" t="inlineStr">
        <is>
          <t>SKELLEFTEÅ</t>
        </is>
      </c>
      <c r="F881" t="inlineStr">
        <is>
          <t>Kommuner</t>
        </is>
      </c>
      <c r="G881" t="n">
        <v>3.1</v>
      </c>
      <c r="H881" t="n">
        <v>0</v>
      </c>
      <c r="I881" t="n">
        <v>1</v>
      </c>
      <c r="J881" t="n">
        <v>0</v>
      </c>
      <c r="K881" t="n">
        <v>0</v>
      </c>
      <c r="L881" t="n">
        <v>0</v>
      </c>
      <c r="M881" t="n">
        <v>0</v>
      </c>
      <c r="N881" t="n">
        <v>0</v>
      </c>
      <c r="O881" t="n">
        <v>0</v>
      </c>
      <c r="P881" t="n">
        <v>0</v>
      </c>
      <c r="Q881" t="n">
        <v>1</v>
      </c>
      <c r="R881" s="2" t="inlineStr">
        <is>
          <t>Dropptaggsvamp</t>
        </is>
      </c>
      <c r="S881">
        <f>HYPERLINK("https://klasma.github.io/Logging_2482/artfynd/A 36531-2022 artfynd.xlsx", "A 36531-2022")</f>
        <v/>
      </c>
      <c r="T881">
        <f>HYPERLINK("https://klasma.github.io/Logging_2482/kartor/A 36531-2022 karta.png", "A 36531-2022")</f>
        <v/>
      </c>
      <c r="V881">
        <f>HYPERLINK("https://klasma.github.io/Logging_2482/klagomål/A 36531-2022 FSC-klagomål.docx", "A 36531-2022")</f>
        <v/>
      </c>
      <c r="W881">
        <f>HYPERLINK("https://klasma.github.io/Logging_2482/klagomålsmail/A 36531-2022 FSC-klagomål mail.docx", "A 36531-2022")</f>
        <v/>
      </c>
      <c r="X881">
        <f>HYPERLINK("https://klasma.github.io/Logging_2482/tillsyn/A 36531-2022 tillsynsbegäran.docx", "A 36531-2022")</f>
        <v/>
      </c>
      <c r="Y881">
        <f>HYPERLINK("https://klasma.github.io/Logging_2482/tillsynsmail/A 36531-2022 tillsynsbegäran mail.docx", "A 36531-2022")</f>
        <v/>
      </c>
    </row>
    <row r="882" ht="15" customHeight="1">
      <c r="A882" t="inlineStr">
        <is>
          <t>A 44987-2024</t>
        </is>
      </c>
      <c r="B882" s="1" t="n">
        <v>45575</v>
      </c>
      <c r="C882" s="1" t="n">
        <v>46075</v>
      </c>
      <c r="D882" t="inlineStr">
        <is>
          <t>VÄSTERBOTTENS LÄN</t>
        </is>
      </c>
      <c r="E882" t="inlineStr">
        <is>
          <t>NORDMALING</t>
        </is>
      </c>
      <c r="G882" t="n">
        <v>3</v>
      </c>
      <c r="H882" t="n">
        <v>0</v>
      </c>
      <c r="I882" t="n">
        <v>0</v>
      </c>
      <c r="J882" t="n">
        <v>1</v>
      </c>
      <c r="K882" t="n">
        <v>0</v>
      </c>
      <c r="L882" t="n">
        <v>0</v>
      </c>
      <c r="M882" t="n">
        <v>0</v>
      </c>
      <c r="N882" t="n">
        <v>0</v>
      </c>
      <c r="O882" t="n">
        <v>1</v>
      </c>
      <c r="P882" t="n">
        <v>0</v>
      </c>
      <c r="Q882" t="n">
        <v>1</v>
      </c>
      <c r="R882" s="2" t="inlineStr">
        <is>
          <t>Violettgrå tagellav</t>
        </is>
      </c>
      <c r="S882">
        <f>HYPERLINK("https://klasma.github.io/Logging_2401/artfynd/A 44987-2024 artfynd.xlsx", "A 44987-2024")</f>
        <v/>
      </c>
      <c r="T882">
        <f>HYPERLINK("https://klasma.github.io/Logging_2401/kartor/A 44987-2024 karta.png", "A 44987-2024")</f>
        <v/>
      </c>
      <c r="V882">
        <f>HYPERLINK("https://klasma.github.io/Logging_2401/klagomål/A 44987-2024 FSC-klagomål.docx", "A 44987-2024")</f>
        <v/>
      </c>
      <c r="W882">
        <f>HYPERLINK("https://klasma.github.io/Logging_2401/klagomålsmail/A 44987-2024 FSC-klagomål mail.docx", "A 44987-2024")</f>
        <v/>
      </c>
      <c r="X882">
        <f>HYPERLINK("https://klasma.github.io/Logging_2401/tillsyn/A 44987-2024 tillsynsbegäran.docx", "A 44987-2024")</f>
        <v/>
      </c>
      <c r="Y882">
        <f>HYPERLINK("https://klasma.github.io/Logging_2401/tillsynsmail/A 44987-2024 tillsynsbegäran mail.docx", "A 44987-2024")</f>
        <v/>
      </c>
    </row>
    <row r="883" ht="15" customHeight="1">
      <c r="A883" t="inlineStr">
        <is>
          <t>A 28817-2025</t>
        </is>
      </c>
      <c r="B883" s="1" t="n">
        <v>45820.53430555556</v>
      </c>
      <c r="C883" s="1" t="n">
        <v>46075</v>
      </c>
      <c r="D883" t="inlineStr">
        <is>
          <t>VÄSTERBOTTENS LÄN</t>
        </is>
      </c>
      <c r="E883" t="inlineStr">
        <is>
          <t>NORDMALING</t>
        </is>
      </c>
      <c r="G883" t="n">
        <v>6.5</v>
      </c>
      <c r="H883" t="n">
        <v>1</v>
      </c>
      <c r="I883" t="n">
        <v>0</v>
      </c>
      <c r="J883" t="n">
        <v>1</v>
      </c>
      <c r="K883" t="n">
        <v>0</v>
      </c>
      <c r="L883" t="n">
        <v>0</v>
      </c>
      <c r="M883" t="n">
        <v>0</v>
      </c>
      <c r="N883" t="n">
        <v>0</v>
      </c>
      <c r="O883" t="n">
        <v>1</v>
      </c>
      <c r="P883" t="n">
        <v>0</v>
      </c>
      <c r="Q883" t="n">
        <v>1</v>
      </c>
      <c r="R883" s="2" t="inlineStr">
        <is>
          <t>Tretåig hackspett</t>
        </is>
      </c>
      <c r="S883">
        <f>HYPERLINK("https://klasma.github.io/Logging_2401/artfynd/A 28817-2025 artfynd.xlsx", "A 28817-2025")</f>
        <v/>
      </c>
      <c r="T883">
        <f>HYPERLINK("https://klasma.github.io/Logging_2401/kartor/A 28817-2025 karta.png", "A 28817-2025")</f>
        <v/>
      </c>
      <c r="V883">
        <f>HYPERLINK("https://klasma.github.io/Logging_2401/klagomål/A 28817-2025 FSC-klagomål.docx", "A 28817-2025")</f>
        <v/>
      </c>
      <c r="W883">
        <f>HYPERLINK("https://klasma.github.io/Logging_2401/klagomålsmail/A 28817-2025 FSC-klagomål mail.docx", "A 28817-2025")</f>
        <v/>
      </c>
      <c r="X883">
        <f>HYPERLINK("https://klasma.github.io/Logging_2401/tillsyn/A 28817-2025 tillsynsbegäran.docx", "A 28817-2025")</f>
        <v/>
      </c>
      <c r="Y883">
        <f>HYPERLINK("https://klasma.github.io/Logging_2401/tillsynsmail/A 28817-2025 tillsynsbegäran mail.docx", "A 28817-2025")</f>
        <v/>
      </c>
      <c r="Z883">
        <f>HYPERLINK("https://klasma.github.io/Logging_2401/fåglar/A 28817-2025 prioriterade fågelarter.docx", "A 28817-2025")</f>
        <v/>
      </c>
    </row>
    <row r="884" ht="15" customHeight="1">
      <c r="A884" t="inlineStr">
        <is>
          <t>A 39289-2025</t>
        </is>
      </c>
      <c r="B884" s="1" t="n">
        <v>45889.40774305556</v>
      </c>
      <c r="C884" s="1" t="n">
        <v>46075</v>
      </c>
      <c r="D884" t="inlineStr">
        <is>
          <t>VÄSTERBOTTENS LÄN</t>
        </is>
      </c>
      <c r="E884" t="inlineStr">
        <is>
          <t>NORSJÖ</t>
        </is>
      </c>
      <c r="F884" t="inlineStr">
        <is>
          <t>Sveaskog</t>
        </is>
      </c>
      <c r="G884" t="n">
        <v>21.4</v>
      </c>
      <c r="H884" t="n">
        <v>0</v>
      </c>
      <c r="I884" t="n">
        <v>0</v>
      </c>
      <c r="J884" t="n">
        <v>1</v>
      </c>
      <c r="K884" t="n">
        <v>0</v>
      </c>
      <c r="L884" t="n">
        <v>0</v>
      </c>
      <c r="M884" t="n">
        <v>0</v>
      </c>
      <c r="N884" t="n">
        <v>0</v>
      </c>
      <c r="O884" t="n">
        <v>1</v>
      </c>
      <c r="P884" t="n">
        <v>0</v>
      </c>
      <c r="Q884" t="n">
        <v>1</v>
      </c>
      <c r="R884" s="2" t="inlineStr">
        <is>
          <t>Lunglav</t>
        </is>
      </c>
      <c r="S884">
        <f>HYPERLINK("https://klasma.github.io/Logging_2417/artfynd/A 39289-2025 artfynd.xlsx", "A 39289-2025")</f>
        <v/>
      </c>
      <c r="T884">
        <f>HYPERLINK("https://klasma.github.io/Logging_2417/kartor/A 39289-2025 karta.png", "A 39289-2025")</f>
        <v/>
      </c>
      <c r="V884">
        <f>HYPERLINK("https://klasma.github.io/Logging_2417/klagomål/A 39289-2025 FSC-klagomål.docx", "A 39289-2025")</f>
        <v/>
      </c>
      <c r="W884">
        <f>HYPERLINK("https://klasma.github.io/Logging_2417/klagomålsmail/A 39289-2025 FSC-klagomål mail.docx", "A 39289-2025")</f>
        <v/>
      </c>
      <c r="X884">
        <f>HYPERLINK("https://klasma.github.io/Logging_2417/tillsyn/A 39289-2025 tillsynsbegäran.docx", "A 39289-2025")</f>
        <v/>
      </c>
      <c r="Y884">
        <f>HYPERLINK("https://klasma.github.io/Logging_2417/tillsynsmail/A 39289-2025 tillsynsbegäran mail.docx", "A 39289-2025")</f>
        <v/>
      </c>
    </row>
    <row r="885" ht="15" customHeight="1">
      <c r="A885" t="inlineStr">
        <is>
          <t>A 29397-2025</t>
        </is>
      </c>
      <c r="B885" s="1" t="n">
        <v>45824.60902777778</v>
      </c>
      <c r="C885" s="1" t="n">
        <v>46075</v>
      </c>
      <c r="D885" t="inlineStr">
        <is>
          <t>VÄSTERBOTTENS LÄN</t>
        </is>
      </c>
      <c r="E885" t="inlineStr">
        <is>
          <t>UMEÅ</t>
        </is>
      </c>
      <c r="F885" t="inlineStr">
        <is>
          <t>Holmen skog AB</t>
        </is>
      </c>
      <c r="G885" t="n">
        <v>4</v>
      </c>
      <c r="H885" t="n">
        <v>1</v>
      </c>
      <c r="I885" t="n">
        <v>0</v>
      </c>
      <c r="J885" t="n">
        <v>0</v>
      </c>
      <c r="K885" t="n">
        <v>0</v>
      </c>
      <c r="L885" t="n">
        <v>0</v>
      </c>
      <c r="M885" t="n">
        <v>0</v>
      </c>
      <c r="N885" t="n">
        <v>0</v>
      </c>
      <c r="O885" t="n">
        <v>0</v>
      </c>
      <c r="P885" t="n">
        <v>0</v>
      </c>
      <c r="Q885" t="n">
        <v>1</v>
      </c>
      <c r="R885" s="2" t="inlineStr">
        <is>
          <t>Tjäder</t>
        </is>
      </c>
      <c r="S885">
        <f>HYPERLINK("https://klasma.github.io/Logging_2480/artfynd/A 29397-2025 artfynd.xlsx", "A 29397-2025")</f>
        <v/>
      </c>
      <c r="T885">
        <f>HYPERLINK("https://klasma.github.io/Logging_2480/kartor/A 29397-2025 karta.png", "A 29397-2025")</f>
        <v/>
      </c>
      <c r="V885">
        <f>HYPERLINK("https://klasma.github.io/Logging_2480/klagomål/A 29397-2025 FSC-klagomål.docx", "A 29397-2025")</f>
        <v/>
      </c>
      <c r="W885">
        <f>HYPERLINK("https://klasma.github.io/Logging_2480/klagomålsmail/A 29397-2025 FSC-klagomål mail.docx", "A 29397-2025")</f>
        <v/>
      </c>
      <c r="X885">
        <f>HYPERLINK("https://klasma.github.io/Logging_2480/tillsyn/A 29397-2025 tillsynsbegäran.docx", "A 29397-2025")</f>
        <v/>
      </c>
      <c r="Y885">
        <f>HYPERLINK("https://klasma.github.io/Logging_2480/tillsynsmail/A 29397-2025 tillsynsbegäran mail.docx", "A 29397-2025")</f>
        <v/>
      </c>
      <c r="Z885">
        <f>HYPERLINK("https://klasma.github.io/Logging_2480/fåglar/A 29397-2025 prioriterade fågelarter.docx", "A 29397-2025")</f>
        <v/>
      </c>
    </row>
    <row r="886" ht="15" customHeight="1">
      <c r="A886" t="inlineStr">
        <is>
          <t>A 39231-2025</t>
        </is>
      </c>
      <c r="B886" s="1" t="n">
        <v>45889.29927083333</v>
      </c>
      <c r="C886" s="1" t="n">
        <v>46075</v>
      </c>
      <c r="D886" t="inlineStr">
        <is>
          <t>VÄSTERBOTTENS LÄN</t>
        </is>
      </c>
      <c r="E886" t="inlineStr">
        <is>
          <t>LYCKSELE</t>
        </is>
      </c>
      <c r="F886" t="inlineStr">
        <is>
          <t>Sveaskog</t>
        </is>
      </c>
      <c r="G886" t="n">
        <v>16.3</v>
      </c>
      <c r="H886" t="n">
        <v>0</v>
      </c>
      <c r="I886" t="n">
        <v>0</v>
      </c>
      <c r="J886" t="n">
        <v>1</v>
      </c>
      <c r="K886" t="n">
        <v>0</v>
      </c>
      <c r="L886" t="n">
        <v>0</v>
      </c>
      <c r="M886" t="n">
        <v>0</v>
      </c>
      <c r="N886" t="n">
        <v>0</v>
      </c>
      <c r="O886" t="n">
        <v>1</v>
      </c>
      <c r="P886" t="n">
        <v>0</v>
      </c>
      <c r="Q886" t="n">
        <v>1</v>
      </c>
      <c r="R886" s="2" t="inlineStr">
        <is>
          <t>Mörk kolflarnlav</t>
        </is>
      </c>
      <c r="S886">
        <f>HYPERLINK("https://klasma.github.io/Logging_2481/artfynd/A 39231-2025 artfynd.xlsx", "A 39231-2025")</f>
        <v/>
      </c>
      <c r="T886">
        <f>HYPERLINK("https://klasma.github.io/Logging_2481/kartor/A 39231-2025 karta.png", "A 39231-2025")</f>
        <v/>
      </c>
      <c r="V886">
        <f>HYPERLINK("https://klasma.github.io/Logging_2481/klagomål/A 39231-2025 FSC-klagomål.docx", "A 39231-2025")</f>
        <v/>
      </c>
      <c r="W886">
        <f>HYPERLINK("https://klasma.github.io/Logging_2481/klagomålsmail/A 39231-2025 FSC-klagomål mail.docx", "A 39231-2025")</f>
        <v/>
      </c>
      <c r="X886">
        <f>HYPERLINK("https://klasma.github.io/Logging_2481/tillsyn/A 39231-2025 tillsynsbegäran.docx", "A 39231-2025")</f>
        <v/>
      </c>
      <c r="Y886">
        <f>HYPERLINK("https://klasma.github.io/Logging_2481/tillsynsmail/A 39231-2025 tillsynsbegäran mail.docx", "A 39231-2025")</f>
        <v/>
      </c>
    </row>
    <row r="887" ht="15" customHeight="1">
      <c r="A887" t="inlineStr">
        <is>
          <t>A 519-2025</t>
        </is>
      </c>
      <c r="B887" s="1" t="n">
        <v>45660</v>
      </c>
      <c r="C887" s="1" t="n">
        <v>46075</v>
      </c>
      <c r="D887" t="inlineStr">
        <is>
          <t>VÄSTERBOTTENS LÄN</t>
        </is>
      </c>
      <c r="E887" t="inlineStr">
        <is>
          <t>STORUMAN</t>
        </is>
      </c>
      <c r="G887" t="n">
        <v>10.4</v>
      </c>
      <c r="H887" t="n">
        <v>0</v>
      </c>
      <c r="I887" t="n">
        <v>1</v>
      </c>
      <c r="J887" t="n">
        <v>0</v>
      </c>
      <c r="K887" t="n">
        <v>0</v>
      </c>
      <c r="L887" t="n">
        <v>0</v>
      </c>
      <c r="M887" t="n">
        <v>0</v>
      </c>
      <c r="N887" t="n">
        <v>0</v>
      </c>
      <c r="O887" t="n">
        <v>0</v>
      </c>
      <c r="P887" t="n">
        <v>0</v>
      </c>
      <c r="Q887" t="n">
        <v>1</v>
      </c>
      <c r="R887" s="2" t="inlineStr">
        <is>
          <t>Skinnlav</t>
        </is>
      </c>
      <c r="S887">
        <f>HYPERLINK("https://klasma.github.io/Logging_2421/artfynd/A 519-2025 artfynd.xlsx", "A 519-2025")</f>
        <v/>
      </c>
      <c r="T887">
        <f>HYPERLINK("https://klasma.github.io/Logging_2421/kartor/A 519-2025 karta.png", "A 519-2025")</f>
        <v/>
      </c>
      <c r="V887">
        <f>HYPERLINK("https://klasma.github.io/Logging_2421/klagomål/A 519-2025 FSC-klagomål.docx", "A 519-2025")</f>
        <v/>
      </c>
      <c r="W887">
        <f>HYPERLINK("https://klasma.github.io/Logging_2421/klagomålsmail/A 519-2025 FSC-klagomål mail.docx", "A 519-2025")</f>
        <v/>
      </c>
      <c r="X887">
        <f>HYPERLINK("https://klasma.github.io/Logging_2421/tillsyn/A 519-2025 tillsynsbegäran.docx", "A 519-2025")</f>
        <v/>
      </c>
      <c r="Y887">
        <f>HYPERLINK("https://klasma.github.io/Logging_2421/tillsynsmail/A 519-2025 tillsynsbegäran mail.docx", "A 519-2025")</f>
        <v/>
      </c>
    </row>
    <row r="888" ht="15" customHeight="1">
      <c r="A888" t="inlineStr">
        <is>
          <t>A 39293-2025</t>
        </is>
      </c>
      <c r="B888" s="1" t="n">
        <v>45889.41836805556</v>
      </c>
      <c r="C888" s="1" t="n">
        <v>46075</v>
      </c>
      <c r="D888" t="inlineStr">
        <is>
          <t>VÄSTERBOTTENS LÄN</t>
        </is>
      </c>
      <c r="E888" t="inlineStr">
        <is>
          <t>NORSJÖ</t>
        </is>
      </c>
      <c r="F888" t="inlineStr">
        <is>
          <t>Sveaskog</t>
        </is>
      </c>
      <c r="G888" t="n">
        <v>12.6</v>
      </c>
      <c r="H888" t="n">
        <v>0</v>
      </c>
      <c r="I888" t="n">
        <v>0</v>
      </c>
      <c r="J888" t="n">
        <v>1</v>
      </c>
      <c r="K888" t="n">
        <v>0</v>
      </c>
      <c r="L888" t="n">
        <v>0</v>
      </c>
      <c r="M888" t="n">
        <v>0</v>
      </c>
      <c r="N888" t="n">
        <v>0</v>
      </c>
      <c r="O888" t="n">
        <v>1</v>
      </c>
      <c r="P888" t="n">
        <v>0</v>
      </c>
      <c r="Q888" t="n">
        <v>1</v>
      </c>
      <c r="R888" s="2" t="inlineStr">
        <is>
          <t>Lunglav</t>
        </is>
      </c>
      <c r="S888">
        <f>HYPERLINK("https://klasma.github.io/Logging_2417/artfynd/A 39293-2025 artfynd.xlsx", "A 39293-2025")</f>
        <v/>
      </c>
      <c r="T888">
        <f>HYPERLINK("https://klasma.github.io/Logging_2417/kartor/A 39293-2025 karta.png", "A 39293-2025")</f>
        <v/>
      </c>
      <c r="V888">
        <f>HYPERLINK("https://klasma.github.io/Logging_2417/klagomål/A 39293-2025 FSC-klagomål.docx", "A 39293-2025")</f>
        <v/>
      </c>
      <c r="W888">
        <f>HYPERLINK("https://klasma.github.io/Logging_2417/klagomålsmail/A 39293-2025 FSC-klagomål mail.docx", "A 39293-2025")</f>
        <v/>
      </c>
      <c r="X888">
        <f>HYPERLINK("https://klasma.github.io/Logging_2417/tillsyn/A 39293-2025 tillsynsbegäran.docx", "A 39293-2025")</f>
        <v/>
      </c>
      <c r="Y888">
        <f>HYPERLINK("https://klasma.github.io/Logging_2417/tillsynsmail/A 39293-2025 tillsynsbegäran mail.docx", "A 39293-2025")</f>
        <v/>
      </c>
    </row>
    <row r="889" ht="15" customHeight="1">
      <c r="A889" t="inlineStr">
        <is>
          <t>A 39280-2025</t>
        </is>
      </c>
      <c r="B889" s="1" t="n">
        <v>45889.40121527778</v>
      </c>
      <c r="C889" s="1" t="n">
        <v>46075</v>
      </c>
      <c r="D889" t="inlineStr">
        <is>
          <t>VÄSTERBOTTENS LÄN</t>
        </is>
      </c>
      <c r="E889" t="inlineStr">
        <is>
          <t>LYCKSELE</t>
        </is>
      </c>
      <c r="F889" t="inlineStr">
        <is>
          <t>Sveaskog</t>
        </is>
      </c>
      <c r="G889" t="n">
        <v>9.199999999999999</v>
      </c>
      <c r="H889" t="n">
        <v>0</v>
      </c>
      <c r="I889" t="n">
        <v>0</v>
      </c>
      <c r="J889" t="n">
        <v>1</v>
      </c>
      <c r="K889" t="n">
        <v>0</v>
      </c>
      <c r="L889" t="n">
        <v>0</v>
      </c>
      <c r="M889" t="n">
        <v>0</v>
      </c>
      <c r="N889" t="n">
        <v>0</v>
      </c>
      <c r="O889" t="n">
        <v>1</v>
      </c>
      <c r="P889" t="n">
        <v>0</v>
      </c>
      <c r="Q889" t="n">
        <v>1</v>
      </c>
      <c r="R889" s="2" t="inlineStr">
        <is>
          <t>Lunglav</t>
        </is>
      </c>
      <c r="S889">
        <f>HYPERLINK("https://klasma.github.io/Logging_2481/artfynd/A 39280-2025 artfynd.xlsx", "A 39280-2025")</f>
        <v/>
      </c>
      <c r="T889">
        <f>HYPERLINK("https://klasma.github.io/Logging_2481/kartor/A 39280-2025 karta.png", "A 39280-2025")</f>
        <v/>
      </c>
      <c r="V889">
        <f>HYPERLINK("https://klasma.github.io/Logging_2481/klagomål/A 39280-2025 FSC-klagomål.docx", "A 39280-2025")</f>
        <v/>
      </c>
      <c r="W889">
        <f>HYPERLINK("https://klasma.github.io/Logging_2481/klagomålsmail/A 39280-2025 FSC-klagomål mail.docx", "A 39280-2025")</f>
        <v/>
      </c>
      <c r="X889">
        <f>HYPERLINK("https://klasma.github.io/Logging_2481/tillsyn/A 39280-2025 tillsynsbegäran.docx", "A 39280-2025")</f>
        <v/>
      </c>
      <c r="Y889">
        <f>HYPERLINK("https://klasma.github.io/Logging_2481/tillsynsmail/A 39280-2025 tillsynsbegäran mail.docx", "A 39280-2025")</f>
        <v/>
      </c>
    </row>
    <row r="890" ht="15" customHeight="1">
      <c r="A890" t="inlineStr">
        <is>
          <t>A 24885-2022</t>
        </is>
      </c>
      <c r="B890" s="1" t="n">
        <v>44728</v>
      </c>
      <c r="C890" s="1" t="n">
        <v>46075</v>
      </c>
      <c r="D890" t="inlineStr">
        <is>
          <t>VÄSTERBOTTENS LÄN</t>
        </is>
      </c>
      <c r="E890" t="inlineStr">
        <is>
          <t>SKELLEFTEÅ</t>
        </is>
      </c>
      <c r="F890" t="inlineStr">
        <is>
          <t>Holmen skog AB</t>
        </is>
      </c>
      <c r="G890" t="n">
        <v>2.7</v>
      </c>
      <c r="H890" t="n">
        <v>0</v>
      </c>
      <c r="I890" t="n">
        <v>0</v>
      </c>
      <c r="J890" t="n">
        <v>1</v>
      </c>
      <c r="K890" t="n">
        <v>0</v>
      </c>
      <c r="L890" t="n">
        <v>0</v>
      </c>
      <c r="M890" t="n">
        <v>0</v>
      </c>
      <c r="N890" t="n">
        <v>0</v>
      </c>
      <c r="O890" t="n">
        <v>1</v>
      </c>
      <c r="P890" t="n">
        <v>0</v>
      </c>
      <c r="Q890" t="n">
        <v>1</v>
      </c>
      <c r="R890" s="2" t="inlineStr">
        <is>
          <t>Lunglav</t>
        </is>
      </c>
      <c r="S890">
        <f>HYPERLINK("https://klasma.github.io/Logging_2482/artfynd/A 24885-2022 artfynd.xlsx", "A 24885-2022")</f>
        <v/>
      </c>
      <c r="T890">
        <f>HYPERLINK("https://klasma.github.io/Logging_2482/kartor/A 24885-2022 karta.png", "A 24885-2022")</f>
        <v/>
      </c>
      <c r="V890">
        <f>HYPERLINK("https://klasma.github.io/Logging_2482/klagomål/A 24885-2022 FSC-klagomål.docx", "A 24885-2022")</f>
        <v/>
      </c>
      <c r="W890">
        <f>HYPERLINK("https://klasma.github.io/Logging_2482/klagomålsmail/A 24885-2022 FSC-klagomål mail.docx", "A 24885-2022")</f>
        <v/>
      </c>
      <c r="X890">
        <f>HYPERLINK("https://klasma.github.io/Logging_2482/tillsyn/A 24885-2022 tillsynsbegäran.docx", "A 24885-2022")</f>
        <v/>
      </c>
      <c r="Y890">
        <f>HYPERLINK("https://klasma.github.io/Logging_2482/tillsynsmail/A 24885-2022 tillsynsbegäran mail.docx", "A 24885-2022")</f>
        <v/>
      </c>
    </row>
    <row r="891" ht="15" customHeight="1">
      <c r="A891" t="inlineStr">
        <is>
          <t>A 29623-2025</t>
        </is>
      </c>
      <c r="B891" s="1" t="n">
        <v>45825.44150462963</v>
      </c>
      <c r="C891" s="1" t="n">
        <v>46075</v>
      </c>
      <c r="D891" t="inlineStr">
        <is>
          <t>VÄSTERBOTTENS LÄN</t>
        </is>
      </c>
      <c r="E891" t="inlineStr">
        <is>
          <t>VINDELN</t>
        </is>
      </c>
      <c r="G891" t="n">
        <v>7.2</v>
      </c>
      <c r="H891" t="n">
        <v>1</v>
      </c>
      <c r="I891" t="n">
        <v>0</v>
      </c>
      <c r="J891" t="n">
        <v>0</v>
      </c>
      <c r="K891" t="n">
        <v>1</v>
      </c>
      <c r="L891" t="n">
        <v>0</v>
      </c>
      <c r="M891" t="n">
        <v>0</v>
      </c>
      <c r="N891" t="n">
        <v>0</v>
      </c>
      <c r="O891" t="n">
        <v>1</v>
      </c>
      <c r="P891" t="n">
        <v>1</v>
      </c>
      <c r="Q891" t="n">
        <v>1</v>
      </c>
      <c r="R891" s="2" t="inlineStr">
        <is>
          <t>Lappuggla</t>
        </is>
      </c>
      <c r="S891">
        <f>HYPERLINK("https://klasma.github.io/Logging_2404/artfynd/A 29623-2025 artfynd.xlsx", "A 29623-2025")</f>
        <v/>
      </c>
      <c r="T891">
        <f>HYPERLINK("https://klasma.github.io/Logging_2404/kartor/A 29623-2025 karta.png", "A 29623-2025")</f>
        <v/>
      </c>
      <c r="V891">
        <f>HYPERLINK("https://klasma.github.io/Logging_2404/klagomål/A 29623-2025 FSC-klagomål.docx", "A 29623-2025")</f>
        <v/>
      </c>
      <c r="W891">
        <f>HYPERLINK("https://klasma.github.io/Logging_2404/klagomålsmail/A 29623-2025 FSC-klagomål mail.docx", "A 29623-2025")</f>
        <v/>
      </c>
      <c r="X891">
        <f>HYPERLINK("https://klasma.github.io/Logging_2404/tillsyn/A 29623-2025 tillsynsbegäran.docx", "A 29623-2025")</f>
        <v/>
      </c>
      <c r="Y891">
        <f>HYPERLINK("https://klasma.github.io/Logging_2404/tillsynsmail/A 29623-2025 tillsynsbegäran mail.docx", "A 29623-2025")</f>
        <v/>
      </c>
      <c r="Z891">
        <f>HYPERLINK("https://klasma.github.io/Logging_2404/fåglar/A 29623-2025 prioriterade fågelarter.docx", "A 29623-2025")</f>
        <v/>
      </c>
    </row>
    <row r="892" ht="15" customHeight="1">
      <c r="A892" t="inlineStr">
        <is>
          <t>A 29611-2025</t>
        </is>
      </c>
      <c r="B892" s="1" t="n">
        <v>45825</v>
      </c>
      <c r="C892" s="1" t="n">
        <v>46075</v>
      </c>
      <c r="D892" t="inlineStr">
        <is>
          <t>VÄSTERBOTTENS LÄN</t>
        </is>
      </c>
      <c r="E892" t="inlineStr">
        <is>
          <t>VINDELN</t>
        </is>
      </c>
      <c r="G892" t="n">
        <v>3</v>
      </c>
      <c r="H892" t="n">
        <v>1</v>
      </c>
      <c r="I892" t="n">
        <v>0</v>
      </c>
      <c r="J892" t="n">
        <v>1</v>
      </c>
      <c r="K892" t="n">
        <v>0</v>
      </c>
      <c r="L892" t="n">
        <v>0</v>
      </c>
      <c r="M892" t="n">
        <v>0</v>
      </c>
      <c r="N892" t="n">
        <v>0</v>
      </c>
      <c r="O892" t="n">
        <v>1</v>
      </c>
      <c r="P892" t="n">
        <v>0</v>
      </c>
      <c r="Q892" t="n">
        <v>1</v>
      </c>
      <c r="R892" s="2" t="inlineStr">
        <is>
          <t>Slaguggla</t>
        </is>
      </c>
      <c r="S892">
        <f>HYPERLINK("https://klasma.github.io/Logging_2404/artfynd/A 29611-2025 artfynd.xlsx", "A 29611-2025")</f>
        <v/>
      </c>
      <c r="T892">
        <f>HYPERLINK("https://klasma.github.io/Logging_2404/kartor/A 29611-2025 karta.png", "A 29611-2025")</f>
        <v/>
      </c>
      <c r="V892">
        <f>HYPERLINK("https://klasma.github.io/Logging_2404/klagomål/A 29611-2025 FSC-klagomål.docx", "A 29611-2025")</f>
        <v/>
      </c>
      <c r="W892">
        <f>HYPERLINK("https://klasma.github.io/Logging_2404/klagomålsmail/A 29611-2025 FSC-klagomål mail.docx", "A 29611-2025")</f>
        <v/>
      </c>
      <c r="X892">
        <f>HYPERLINK("https://klasma.github.io/Logging_2404/tillsyn/A 29611-2025 tillsynsbegäran.docx", "A 29611-2025")</f>
        <v/>
      </c>
      <c r="Y892">
        <f>HYPERLINK("https://klasma.github.io/Logging_2404/tillsynsmail/A 29611-2025 tillsynsbegäran mail.docx", "A 29611-2025")</f>
        <v/>
      </c>
      <c r="Z892">
        <f>HYPERLINK("https://klasma.github.io/Logging_2404/fåglar/A 29611-2025 prioriterade fågelarter.docx", "A 29611-2025")</f>
        <v/>
      </c>
    </row>
    <row r="893" ht="15" customHeight="1">
      <c r="A893" t="inlineStr">
        <is>
          <t>A 4341-2023</t>
        </is>
      </c>
      <c r="B893" s="1" t="n">
        <v>44953</v>
      </c>
      <c r="C893" s="1" t="n">
        <v>46075</v>
      </c>
      <c r="D893" t="inlineStr">
        <is>
          <t>VÄSTERBOTTENS LÄN</t>
        </is>
      </c>
      <c r="E893" t="inlineStr">
        <is>
          <t>DOROTEA</t>
        </is>
      </c>
      <c r="F893" t="inlineStr">
        <is>
          <t>SCA</t>
        </is>
      </c>
      <c r="G893" t="n">
        <v>1.7</v>
      </c>
      <c r="H893" t="n">
        <v>0</v>
      </c>
      <c r="I893" t="n">
        <v>1</v>
      </c>
      <c r="J893" t="n">
        <v>0</v>
      </c>
      <c r="K893" t="n">
        <v>0</v>
      </c>
      <c r="L893" t="n">
        <v>0</v>
      </c>
      <c r="M893" t="n">
        <v>0</v>
      </c>
      <c r="N893" t="n">
        <v>0</v>
      </c>
      <c r="O893" t="n">
        <v>0</v>
      </c>
      <c r="P893" t="n">
        <v>0</v>
      </c>
      <c r="Q893" t="n">
        <v>1</v>
      </c>
      <c r="R893" s="2" t="inlineStr">
        <is>
          <t>Luddlav</t>
        </is>
      </c>
      <c r="S893">
        <f>HYPERLINK("https://klasma.github.io/Logging_2425/artfynd/A 4341-2023 artfynd.xlsx", "A 4341-2023")</f>
        <v/>
      </c>
      <c r="T893">
        <f>HYPERLINK("https://klasma.github.io/Logging_2425/kartor/A 4341-2023 karta.png", "A 4341-2023")</f>
        <v/>
      </c>
      <c r="V893">
        <f>HYPERLINK("https://klasma.github.io/Logging_2425/klagomål/A 4341-2023 FSC-klagomål.docx", "A 4341-2023")</f>
        <v/>
      </c>
      <c r="W893">
        <f>HYPERLINK("https://klasma.github.io/Logging_2425/klagomålsmail/A 4341-2023 FSC-klagomål mail.docx", "A 4341-2023")</f>
        <v/>
      </c>
      <c r="X893">
        <f>HYPERLINK("https://klasma.github.io/Logging_2425/tillsyn/A 4341-2023 tillsynsbegäran.docx", "A 4341-2023")</f>
        <v/>
      </c>
      <c r="Y893">
        <f>HYPERLINK("https://klasma.github.io/Logging_2425/tillsynsmail/A 4341-2023 tillsynsbegäran mail.docx", "A 4341-2023")</f>
        <v/>
      </c>
    </row>
    <row r="894" ht="15" customHeight="1">
      <c r="A894" t="inlineStr">
        <is>
          <t>A 39821-2025</t>
        </is>
      </c>
      <c r="B894" s="1" t="n">
        <v>45891.53680555556</v>
      </c>
      <c r="C894" s="1" t="n">
        <v>46075</v>
      </c>
      <c r="D894" t="inlineStr">
        <is>
          <t>VÄSTERBOTTENS LÄN</t>
        </is>
      </c>
      <c r="E894" t="inlineStr">
        <is>
          <t>ROBERTSFORS</t>
        </is>
      </c>
      <c r="F894" t="inlineStr">
        <is>
          <t>Holmen skog AB</t>
        </is>
      </c>
      <c r="G894" t="n">
        <v>12.8</v>
      </c>
      <c r="H894" t="n">
        <v>0</v>
      </c>
      <c r="I894" t="n">
        <v>0</v>
      </c>
      <c r="J894" t="n">
        <v>1</v>
      </c>
      <c r="K894" t="n">
        <v>0</v>
      </c>
      <c r="L894" t="n">
        <v>0</v>
      </c>
      <c r="M894" t="n">
        <v>0</v>
      </c>
      <c r="N894" t="n">
        <v>0</v>
      </c>
      <c r="O894" t="n">
        <v>1</v>
      </c>
      <c r="P894" t="n">
        <v>0</v>
      </c>
      <c r="Q894" t="n">
        <v>1</v>
      </c>
      <c r="R894" s="2" t="inlineStr">
        <is>
          <t>Garnlav</t>
        </is>
      </c>
      <c r="S894">
        <f>HYPERLINK("https://klasma.github.io/Logging_2409/artfynd/A 39821-2025 artfynd.xlsx", "A 39821-2025")</f>
        <v/>
      </c>
      <c r="T894">
        <f>HYPERLINK("https://klasma.github.io/Logging_2409/kartor/A 39821-2025 karta.png", "A 39821-2025")</f>
        <v/>
      </c>
      <c r="V894">
        <f>HYPERLINK("https://klasma.github.io/Logging_2409/klagomål/A 39821-2025 FSC-klagomål.docx", "A 39821-2025")</f>
        <v/>
      </c>
      <c r="W894">
        <f>HYPERLINK("https://klasma.github.io/Logging_2409/klagomålsmail/A 39821-2025 FSC-klagomål mail.docx", "A 39821-2025")</f>
        <v/>
      </c>
      <c r="X894">
        <f>HYPERLINK("https://klasma.github.io/Logging_2409/tillsyn/A 39821-2025 tillsynsbegäran.docx", "A 39821-2025")</f>
        <v/>
      </c>
      <c r="Y894">
        <f>HYPERLINK("https://klasma.github.io/Logging_2409/tillsynsmail/A 39821-2025 tillsynsbegäran mail.docx", "A 39821-2025")</f>
        <v/>
      </c>
    </row>
    <row r="895" ht="15" customHeight="1">
      <c r="A895" t="inlineStr">
        <is>
          <t>A 32964-2021</t>
        </is>
      </c>
      <c r="B895" s="1" t="n">
        <v>44376</v>
      </c>
      <c r="C895" s="1" t="n">
        <v>46075</v>
      </c>
      <c r="D895" t="inlineStr">
        <is>
          <t>VÄSTERBOTTENS LÄN</t>
        </is>
      </c>
      <c r="E895" t="inlineStr">
        <is>
          <t>SKELLEFTEÅ</t>
        </is>
      </c>
      <c r="G895" t="n">
        <v>16</v>
      </c>
      <c r="H895" t="n">
        <v>0</v>
      </c>
      <c r="I895" t="n">
        <v>0</v>
      </c>
      <c r="J895" t="n">
        <v>1</v>
      </c>
      <c r="K895" t="n">
        <v>0</v>
      </c>
      <c r="L895" t="n">
        <v>0</v>
      </c>
      <c r="M895" t="n">
        <v>0</v>
      </c>
      <c r="N895" t="n">
        <v>0</v>
      </c>
      <c r="O895" t="n">
        <v>1</v>
      </c>
      <c r="P895" t="n">
        <v>0</v>
      </c>
      <c r="Q895" t="n">
        <v>1</v>
      </c>
      <c r="R895" s="2" t="inlineStr">
        <is>
          <t>Kådvaxskinn</t>
        </is>
      </c>
      <c r="S895">
        <f>HYPERLINK("https://klasma.github.io/Logging_2482/artfynd/A 32964-2021 artfynd.xlsx", "A 32964-2021")</f>
        <v/>
      </c>
      <c r="T895">
        <f>HYPERLINK("https://klasma.github.io/Logging_2482/kartor/A 32964-2021 karta.png", "A 32964-2021")</f>
        <v/>
      </c>
      <c r="V895">
        <f>HYPERLINK("https://klasma.github.io/Logging_2482/klagomål/A 32964-2021 FSC-klagomål.docx", "A 32964-2021")</f>
        <v/>
      </c>
      <c r="W895">
        <f>HYPERLINK("https://klasma.github.io/Logging_2482/klagomålsmail/A 32964-2021 FSC-klagomål mail.docx", "A 32964-2021")</f>
        <v/>
      </c>
      <c r="X895">
        <f>HYPERLINK("https://klasma.github.io/Logging_2482/tillsyn/A 32964-2021 tillsynsbegäran.docx", "A 32964-2021")</f>
        <v/>
      </c>
      <c r="Y895">
        <f>HYPERLINK("https://klasma.github.io/Logging_2482/tillsynsmail/A 32964-2021 tillsynsbegäran mail.docx", "A 32964-2021")</f>
        <v/>
      </c>
    </row>
    <row r="896" ht="15" customHeight="1">
      <c r="A896" t="inlineStr">
        <is>
          <t>A 27234-2024</t>
        </is>
      </c>
      <c r="B896" s="1" t="n">
        <v>45471</v>
      </c>
      <c r="C896" s="1" t="n">
        <v>46075</v>
      </c>
      <c r="D896" t="inlineStr">
        <is>
          <t>VÄSTERBOTTENS LÄN</t>
        </is>
      </c>
      <c r="E896" t="inlineStr">
        <is>
          <t>DOROTEA</t>
        </is>
      </c>
      <c r="F896" t="inlineStr">
        <is>
          <t>SCA</t>
        </is>
      </c>
      <c r="G896" t="n">
        <v>2.2</v>
      </c>
      <c r="H896" t="n">
        <v>0</v>
      </c>
      <c r="I896" t="n">
        <v>0</v>
      </c>
      <c r="J896" t="n">
        <v>0</v>
      </c>
      <c r="K896" t="n">
        <v>1</v>
      </c>
      <c r="L896" t="n">
        <v>0</v>
      </c>
      <c r="M896" t="n">
        <v>0</v>
      </c>
      <c r="N896" t="n">
        <v>0</v>
      </c>
      <c r="O896" t="n">
        <v>1</v>
      </c>
      <c r="P896" t="n">
        <v>1</v>
      </c>
      <c r="Q896" t="n">
        <v>1</v>
      </c>
      <c r="R896" s="2" t="inlineStr">
        <is>
          <t>Rynkskinn</t>
        </is>
      </c>
      <c r="S896">
        <f>HYPERLINK("https://klasma.github.io/Logging_2425/artfynd/A 27234-2024 artfynd.xlsx", "A 27234-2024")</f>
        <v/>
      </c>
      <c r="T896">
        <f>HYPERLINK("https://klasma.github.io/Logging_2425/kartor/A 27234-2024 karta.png", "A 27234-2024")</f>
        <v/>
      </c>
      <c r="V896">
        <f>HYPERLINK("https://klasma.github.io/Logging_2425/klagomål/A 27234-2024 FSC-klagomål.docx", "A 27234-2024")</f>
        <v/>
      </c>
      <c r="W896">
        <f>HYPERLINK("https://klasma.github.io/Logging_2425/klagomålsmail/A 27234-2024 FSC-klagomål mail.docx", "A 27234-2024")</f>
        <v/>
      </c>
      <c r="X896">
        <f>HYPERLINK("https://klasma.github.io/Logging_2425/tillsyn/A 27234-2024 tillsynsbegäran.docx", "A 27234-2024")</f>
        <v/>
      </c>
      <c r="Y896">
        <f>HYPERLINK("https://klasma.github.io/Logging_2425/tillsynsmail/A 27234-2024 tillsynsbegäran mail.docx", "A 27234-2024")</f>
        <v/>
      </c>
    </row>
    <row r="897" ht="15" customHeight="1">
      <c r="A897" t="inlineStr">
        <is>
          <t>A 30756-2025</t>
        </is>
      </c>
      <c r="B897" s="1" t="n">
        <v>45831</v>
      </c>
      <c r="C897" s="1" t="n">
        <v>46075</v>
      </c>
      <c r="D897" t="inlineStr">
        <is>
          <t>VÄSTERBOTTENS LÄN</t>
        </is>
      </c>
      <c r="E897" t="inlineStr">
        <is>
          <t>DOROTEA</t>
        </is>
      </c>
      <c r="F897" t="inlineStr">
        <is>
          <t>SCA</t>
        </is>
      </c>
      <c r="G897" t="n">
        <v>6</v>
      </c>
      <c r="H897" t="n">
        <v>0</v>
      </c>
      <c r="I897" t="n">
        <v>1</v>
      </c>
      <c r="J897" t="n">
        <v>0</v>
      </c>
      <c r="K897" t="n">
        <v>0</v>
      </c>
      <c r="L897" t="n">
        <v>0</v>
      </c>
      <c r="M897" t="n">
        <v>0</v>
      </c>
      <c r="N897" t="n">
        <v>0</v>
      </c>
      <c r="O897" t="n">
        <v>0</v>
      </c>
      <c r="P897" t="n">
        <v>0</v>
      </c>
      <c r="Q897" t="n">
        <v>1</v>
      </c>
      <c r="R897" s="2" t="inlineStr">
        <is>
          <t>Luddlav</t>
        </is>
      </c>
      <c r="S897">
        <f>HYPERLINK("https://klasma.github.io/Logging_2425/artfynd/A 30756-2025 artfynd.xlsx", "A 30756-2025")</f>
        <v/>
      </c>
      <c r="T897">
        <f>HYPERLINK("https://klasma.github.io/Logging_2425/kartor/A 30756-2025 karta.png", "A 30756-2025")</f>
        <v/>
      </c>
      <c r="V897">
        <f>HYPERLINK("https://klasma.github.io/Logging_2425/klagomål/A 30756-2025 FSC-klagomål.docx", "A 30756-2025")</f>
        <v/>
      </c>
      <c r="W897">
        <f>HYPERLINK("https://klasma.github.io/Logging_2425/klagomålsmail/A 30756-2025 FSC-klagomål mail.docx", "A 30756-2025")</f>
        <v/>
      </c>
      <c r="X897">
        <f>HYPERLINK("https://klasma.github.io/Logging_2425/tillsyn/A 30756-2025 tillsynsbegäran.docx", "A 30756-2025")</f>
        <v/>
      </c>
      <c r="Y897">
        <f>HYPERLINK("https://klasma.github.io/Logging_2425/tillsynsmail/A 30756-2025 tillsynsbegäran mail.docx", "A 30756-2025")</f>
        <v/>
      </c>
    </row>
    <row r="898" ht="15" customHeight="1">
      <c r="A898" t="inlineStr">
        <is>
          <t>A 8302-2025</t>
        </is>
      </c>
      <c r="B898" s="1" t="n">
        <v>45708</v>
      </c>
      <c r="C898" s="1" t="n">
        <v>46075</v>
      </c>
      <c r="D898" t="inlineStr">
        <is>
          <t>VÄSTERBOTTENS LÄN</t>
        </is>
      </c>
      <c r="E898" t="inlineStr">
        <is>
          <t>SKELLEFTEÅ</t>
        </is>
      </c>
      <c r="G898" t="n">
        <v>9.800000000000001</v>
      </c>
      <c r="H898" t="n">
        <v>1</v>
      </c>
      <c r="I898" t="n">
        <v>0</v>
      </c>
      <c r="J898" t="n">
        <v>0</v>
      </c>
      <c r="K898" t="n">
        <v>0</v>
      </c>
      <c r="L898" t="n">
        <v>0</v>
      </c>
      <c r="M898" t="n">
        <v>0</v>
      </c>
      <c r="N898" t="n">
        <v>0</v>
      </c>
      <c r="O898" t="n">
        <v>0</v>
      </c>
      <c r="P898" t="n">
        <v>0</v>
      </c>
      <c r="Q898" t="n">
        <v>1</v>
      </c>
      <c r="R898" s="2" t="inlineStr">
        <is>
          <t>Mattlummer</t>
        </is>
      </c>
      <c r="S898">
        <f>HYPERLINK("https://klasma.github.io/Logging_2482/artfynd/A 8302-2025 artfynd.xlsx", "A 8302-2025")</f>
        <v/>
      </c>
      <c r="T898">
        <f>HYPERLINK("https://klasma.github.io/Logging_2482/kartor/A 8302-2025 karta.png", "A 8302-2025")</f>
        <v/>
      </c>
      <c r="V898">
        <f>HYPERLINK("https://klasma.github.io/Logging_2482/klagomål/A 8302-2025 FSC-klagomål.docx", "A 8302-2025")</f>
        <v/>
      </c>
      <c r="W898">
        <f>HYPERLINK("https://klasma.github.io/Logging_2482/klagomålsmail/A 8302-2025 FSC-klagomål mail.docx", "A 8302-2025")</f>
        <v/>
      </c>
      <c r="X898">
        <f>HYPERLINK("https://klasma.github.io/Logging_2482/tillsyn/A 8302-2025 tillsynsbegäran.docx", "A 8302-2025")</f>
        <v/>
      </c>
      <c r="Y898">
        <f>HYPERLINK("https://klasma.github.io/Logging_2482/tillsynsmail/A 8302-2025 tillsynsbegäran mail.docx", "A 8302-2025")</f>
        <v/>
      </c>
    </row>
    <row r="899" ht="15" customHeight="1">
      <c r="A899" t="inlineStr">
        <is>
          <t>A 52129-2024</t>
        </is>
      </c>
      <c r="B899" s="1" t="n">
        <v>45608.47541666667</v>
      </c>
      <c r="C899" s="1" t="n">
        <v>46075</v>
      </c>
      <c r="D899" t="inlineStr">
        <is>
          <t>VÄSTERBOTTENS LÄN</t>
        </is>
      </c>
      <c r="E899" t="inlineStr">
        <is>
          <t>MALÅ</t>
        </is>
      </c>
      <c r="F899" t="inlineStr">
        <is>
          <t>Sveaskog</t>
        </is>
      </c>
      <c r="G899" t="n">
        <v>5.2</v>
      </c>
      <c r="H899" t="n">
        <v>0</v>
      </c>
      <c r="I899" t="n">
        <v>0</v>
      </c>
      <c r="J899" t="n">
        <v>1</v>
      </c>
      <c r="K899" t="n">
        <v>0</v>
      </c>
      <c r="L899" t="n">
        <v>0</v>
      </c>
      <c r="M899" t="n">
        <v>0</v>
      </c>
      <c r="N899" t="n">
        <v>0</v>
      </c>
      <c r="O899" t="n">
        <v>1</v>
      </c>
      <c r="P899" t="n">
        <v>0</v>
      </c>
      <c r="Q899" t="n">
        <v>1</v>
      </c>
      <c r="R899" s="2" t="inlineStr">
        <is>
          <t>Gammelgransskål</t>
        </is>
      </c>
      <c r="S899">
        <f>HYPERLINK("https://klasma.github.io/Logging_2418/artfynd/A 52129-2024 artfynd.xlsx", "A 52129-2024")</f>
        <v/>
      </c>
      <c r="T899">
        <f>HYPERLINK("https://klasma.github.io/Logging_2418/kartor/A 52129-2024 karta.png", "A 52129-2024")</f>
        <v/>
      </c>
      <c r="V899">
        <f>HYPERLINK("https://klasma.github.io/Logging_2418/klagomål/A 52129-2024 FSC-klagomål.docx", "A 52129-2024")</f>
        <v/>
      </c>
      <c r="W899">
        <f>HYPERLINK("https://klasma.github.io/Logging_2418/klagomålsmail/A 52129-2024 FSC-klagomål mail.docx", "A 52129-2024")</f>
        <v/>
      </c>
      <c r="X899">
        <f>HYPERLINK("https://klasma.github.io/Logging_2418/tillsyn/A 52129-2024 tillsynsbegäran.docx", "A 52129-2024")</f>
        <v/>
      </c>
      <c r="Y899">
        <f>HYPERLINK("https://klasma.github.io/Logging_2418/tillsynsmail/A 52129-2024 tillsynsbegäran mail.docx", "A 52129-2024")</f>
        <v/>
      </c>
    </row>
    <row r="900" ht="15" customHeight="1">
      <c r="A900" t="inlineStr">
        <is>
          <t>A 8729-2025</t>
        </is>
      </c>
      <c r="B900" s="1" t="n">
        <v>45712.53144675926</v>
      </c>
      <c r="C900" s="1" t="n">
        <v>46075</v>
      </c>
      <c r="D900" t="inlineStr">
        <is>
          <t>VÄSTERBOTTENS LÄN</t>
        </is>
      </c>
      <c r="E900" t="inlineStr">
        <is>
          <t>SKELLEFTEÅ</t>
        </is>
      </c>
      <c r="G900" t="n">
        <v>12.2</v>
      </c>
      <c r="H900" t="n">
        <v>0</v>
      </c>
      <c r="I900" t="n">
        <v>0</v>
      </c>
      <c r="J900" t="n">
        <v>1</v>
      </c>
      <c r="K900" t="n">
        <v>0</v>
      </c>
      <c r="L900" t="n">
        <v>0</v>
      </c>
      <c r="M900" t="n">
        <v>0</v>
      </c>
      <c r="N900" t="n">
        <v>0</v>
      </c>
      <c r="O900" t="n">
        <v>1</v>
      </c>
      <c r="P900" t="n">
        <v>0</v>
      </c>
      <c r="Q900" t="n">
        <v>1</v>
      </c>
      <c r="R900" s="2" t="inlineStr">
        <is>
          <t>Granticka</t>
        </is>
      </c>
      <c r="S900">
        <f>HYPERLINK("https://klasma.github.io/Logging_2482/artfynd/A 8729-2025 artfynd.xlsx", "A 8729-2025")</f>
        <v/>
      </c>
      <c r="T900">
        <f>HYPERLINK("https://klasma.github.io/Logging_2482/kartor/A 8729-2025 karta.png", "A 8729-2025")</f>
        <v/>
      </c>
      <c r="V900">
        <f>HYPERLINK("https://klasma.github.io/Logging_2482/klagomål/A 8729-2025 FSC-klagomål.docx", "A 8729-2025")</f>
        <v/>
      </c>
      <c r="W900">
        <f>HYPERLINK("https://klasma.github.io/Logging_2482/klagomålsmail/A 8729-2025 FSC-klagomål mail.docx", "A 8729-2025")</f>
        <v/>
      </c>
      <c r="X900">
        <f>HYPERLINK("https://klasma.github.io/Logging_2482/tillsyn/A 8729-2025 tillsynsbegäran.docx", "A 8729-2025")</f>
        <v/>
      </c>
      <c r="Y900">
        <f>HYPERLINK("https://klasma.github.io/Logging_2482/tillsynsmail/A 8729-2025 tillsynsbegäran mail.docx", "A 8729-2025")</f>
        <v/>
      </c>
    </row>
    <row r="901" ht="15" customHeight="1">
      <c r="A901" t="inlineStr">
        <is>
          <t>A 30664-2025</t>
        </is>
      </c>
      <c r="B901" s="1" t="n">
        <v>45831.51394675926</v>
      </c>
      <c r="C901" s="1" t="n">
        <v>46075</v>
      </c>
      <c r="D901" t="inlineStr">
        <is>
          <t>VÄSTERBOTTENS LÄN</t>
        </is>
      </c>
      <c r="E901" t="inlineStr">
        <is>
          <t>LYCKSELE</t>
        </is>
      </c>
      <c r="F901" t="inlineStr">
        <is>
          <t>Sveaskog</t>
        </is>
      </c>
      <c r="G901" t="n">
        <v>7.1</v>
      </c>
      <c r="H901" t="n">
        <v>0</v>
      </c>
      <c r="I901" t="n">
        <v>0</v>
      </c>
      <c r="J901" t="n">
        <v>1</v>
      </c>
      <c r="K901" t="n">
        <v>0</v>
      </c>
      <c r="L901" t="n">
        <v>0</v>
      </c>
      <c r="M901" t="n">
        <v>0</v>
      </c>
      <c r="N901" t="n">
        <v>0</v>
      </c>
      <c r="O901" t="n">
        <v>1</v>
      </c>
      <c r="P901" t="n">
        <v>0</v>
      </c>
      <c r="Q901" t="n">
        <v>1</v>
      </c>
      <c r="R901" s="2" t="inlineStr">
        <is>
          <t>Blå taggsvamp</t>
        </is>
      </c>
      <c r="S901">
        <f>HYPERLINK("https://klasma.github.io/Logging_2481/artfynd/A 30664-2025 artfynd.xlsx", "A 30664-2025")</f>
        <v/>
      </c>
      <c r="T901">
        <f>HYPERLINK("https://klasma.github.io/Logging_2481/kartor/A 30664-2025 karta.png", "A 30664-2025")</f>
        <v/>
      </c>
      <c r="V901">
        <f>HYPERLINK("https://klasma.github.io/Logging_2481/klagomål/A 30664-2025 FSC-klagomål.docx", "A 30664-2025")</f>
        <v/>
      </c>
      <c r="W901">
        <f>HYPERLINK("https://klasma.github.io/Logging_2481/klagomålsmail/A 30664-2025 FSC-klagomål mail.docx", "A 30664-2025")</f>
        <v/>
      </c>
      <c r="X901">
        <f>HYPERLINK("https://klasma.github.io/Logging_2481/tillsyn/A 30664-2025 tillsynsbegäran.docx", "A 30664-2025")</f>
        <v/>
      </c>
      <c r="Y901">
        <f>HYPERLINK("https://klasma.github.io/Logging_2481/tillsynsmail/A 30664-2025 tillsynsbegäran mail.docx", "A 30664-2025")</f>
        <v/>
      </c>
    </row>
    <row r="902" ht="15" customHeight="1">
      <c r="A902" t="inlineStr">
        <is>
          <t>A 30608-2025</t>
        </is>
      </c>
      <c r="B902" s="1" t="n">
        <v>45831.45858796296</v>
      </c>
      <c r="C902" s="1" t="n">
        <v>46075</v>
      </c>
      <c r="D902" t="inlineStr">
        <is>
          <t>VÄSTERBOTTENS LÄN</t>
        </is>
      </c>
      <c r="E902" t="inlineStr">
        <is>
          <t>LYCKSELE</t>
        </is>
      </c>
      <c r="F902" t="inlineStr">
        <is>
          <t>Holmen skog AB</t>
        </is>
      </c>
      <c r="G902" t="n">
        <v>3.2</v>
      </c>
      <c r="H902" t="n">
        <v>0</v>
      </c>
      <c r="I902" t="n">
        <v>0</v>
      </c>
      <c r="J902" t="n">
        <v>1</v>
      </c>
      <c r="K902" t="n">
        <v>0</v>
      </c>
      <c r="L902" t="n">
        <v>0</v>
      </c>
      <c r="M902" t="n">
        <v>0</v>
      </c>
      <c r="N902" t="n">
        <v>0</v>
      </c>
      <c r="O902" t="n">
        <v>1</v>
      </c>
      <c r="P902" t="n">
        <v>0</v>
      </c>
      <c r="Q902" t="n">
        <v>1</v>
      </c>
      <c r="R902" s="2" t="inlineStr">
        <is>
          <t>Lunglav</t>
        </is>
      </c>
      <c r="S902">
        <f>HYPERLINK("https://klasma.github.io/Logging_2481/artfynd/A 30608-2025 artfynd.xlsx", "A 30608-2025")</f>
        <v/>
      </c>
      <c r="T902">
        <f>HYPERLINK("https://klasma.github.io/Logging_2481/kartor/A 30608-2025 karta.png", "A 30608-2025")</f>
        <v/>
      </c>
      <c r="V902">
        <f>HYPERLINK("https://klasma.github.io/Logging_2481/klagomål/A 30608-2025 FSC-klagomål.docx", "A 30608-2025")</f>
        <v/>
      </c>
      <c r="W902">
        <f>HYPERLINK("https://klasma.github.io/Logging_2481/klagomålsmail/A 30608-2025 FSC-klagomål mail.docx", "A 30608-2025")</f>
        <v/>
      </c>
      <c r="X902">
        <f>HYPERLINK("https://klasma.github.io/Logging_2481/tillsyn/A 30608-2025 tillsynsbegäran.docx", "A 30608-2025")</f>
        <v/>
      </c>
      <c r="Y902">
        <f>HYPERLINK("https://klasma.github.io/Logging_2481/tillsynsmail/A 30608-2025 tillsynsbegäran mail.docx", "A 30608-2025")</f>
        <v/>
      </c>
    </row>
    <row r="903" ht="15" customHeight="1">
      <c r="A903" t="inlineStr">
        <is>
          <t>A 30923-2025</t>
        </is>
      </c>
      <c r="B903" s="1" t="n">
        <v>45832.38615740741</v>
      </c>
      <c r="C903" s="1" t="n">
        <v>46075</v>
      </c>
      <c r="D903" t="inlineStr">
        <is>
          <t>VÄSTERBOTTENS LÄN</t>
        </is>
      </c>
      <c r="E903" t="inlineStr">
        <is>
          <t>VINDELN</t>
        </is>
      </c>
      <c r="G903" t="n">
        <v>4.6</v>
      </c>
      <c r="H903" t="n">
        <v>0</v>
      </c>
      <c r="I903" t="n">
        <v>0</v>
      </c>
      <c r="J903" t="n">
        <v>0</v>
      </c>
      <c r="K903" t="n">
        <v>1</v>
      </c>
      <c r="L903" t="n">
        <v>0</v>
      </c>
      <c r="M903" t="n">
        <v>0</v>
      </c>
      <c r="N903" t="n">
        <v>0</v>
      </c>
      <c r="O903" t="n">
        <v>1</v>
      </c>
      <c r="P903" t="n">
        <v>1</v>
      </c>
      <c r="Q903" t="n">
        <v>1</v>
      </c>
      <c r="R903" s="2" t="inlineStr">
        <is>
          <t>Goliatmusseron</t>
        </is>
      </c>
      <c r="S903">
        <f>HYPERLINK("https://klasma.github.io/Logging_2404/artfynd/A 30923-2025 artfynd.xlsx", "A 30923-2025")</f>
        <v/>
      </c>
      <c r="T903">
        <f>HYPERLINK("https://klasma.github.io/Logging_2404/kartor/A 30923-2025 karta.png", "A 30923-2025")</f>
        <v/>
      </c>
      <c r="V903">
        <f>HYPERLINK("https://klasma.github.io/Logging_2404/klagomål/A 30923-2025 FSC-klagomål.docx", "A 30923-2025")</f>
        <v/>
      </c>
      <c r="W903">
        <f>HYPERLINK("https://klasma.github.io/Logging_2404/klagomålsmail/A 30923-2025 FSC-klagomål mail.docx", "A 30923-2025")</f>
        <v/>
      </c>
      <c r="X903">
        <f>HYPERLINK("https://klasma.github.io/Logging_2404/tillsyn/A 30923-2025 tillsynsbegäran.docx", "A 30923-2025")</f>
        <v/>
      </c>
      <c r="Y903">
        <f>HYPERLINK("https://klasma.github.io/Logging_2404/tillsynsmail/A 30923-2025 tillsynsbegäran mail.docx", "A 30923-2025")</f>
        <v/>
      </c>
    </row>
    <row r="904" ht="15" customHeight="1">
      <c r="A904" t="inlineStr">
        <is>
          <t>A 48089-2022</t>
        </is>
      </c>
      <c r="B904" s="1" t="n">
        <v>44855</v>
      </c>
      <c r="C904" s="1" t="n">
        <v>46075</v>
      </c>
      <c r="D904" t="inlineStr">
        <is>
          <t>VÄSTERBOTTENS LÄN</t>
        </is>
      </c>
      <c r="E904" t="inlineStr">
        <is>
          <t>DOROTEA</t>
        </is>
      </c>
      <c r="F904" t="inlineStr">
        <is>
          <t>SCA</t>
        </is>
      </c>
      <c r="G904" t="n">
        <v>9.199999999999999</v>
      </c>
      <c r="H904" t="n">
        <v>0</v>
      </c>
      <c r="I904" t="n">
        <v>0</v>
      </c>
      <c r="J904" t="n">
        <v>1</v>
      </c>
      <c r="K904" t="n">
        <v>0</v>
      </c>
      <c r="L904" t="n">
        <v>0</v>
      </c>
      <c r="M904" t="n">
        <v>0</v>
      </c>
      <c r="N904" t="n">
        <v>0</v>
      </c>
      <c r="O904" t="n">
        <v>1</v>
      </c>
      <c r="P904" t="n">
        <v>0</v>
      </c>
      <c r="Q904" t="n">
        <v>1</v>
      </c>
      <c r="R904" s="2" t="inlineStr">
        <is>
          <t>Gammelgransskål</t>
        </is>
      </c>
      <c r="S904">
        <f>HYPERLINK("https://klasma.github.io/Logging_2425/artfynd/A 48089-2022 artfynd.xlsx", "A 48089-2022")</f>
        <v/>
      </c>
      <c r="T904">
        <f>HYPERLINK("https://klasma.github.io/Logging_2425/kartor/A 48089-2022 karta.png", "A 48089-2022")</f>
        <v/>
      </c>
      <c r="V904">
        <f>HYPERLINK("https://klasma.github.io/Logging_2425/klagomål/A 48089-2022 FSC-klagomål.docx", "A 48089-2022")</f>
        <v/>
      </c>
      <c r="W904">
        <f>HYPERLINK("https://klasma.github.io/Logging_2425/klagomålsmail/A 48089-2022 FSC-klagomål mail.docx", "A 48089-2022")</f>
        <v/>
      </c>
      <c r="X904">
        <f>HYPERLINK("https://klasma.github.io/Logging_2425/tillsyn/A 48089-2022 tillsynsbegäran.docx", "A 48089-2022")</f>
        <v/>
      </c>
      <c r="Y904">
        <f>HYPERLINK("https://klasma.github.io/Logging_2425/tillsynsmail/A 48089-2022 tillsynsbegäran mail.docx", "A 48089-2022")</f>
        <v/>
      </c>
    </row>
    <row r="905" ht="15" customHeight="1">
      <c r="A905" t="inlineStr">
        <is>
          <t>A 31162-2025</t>
        </is>
      </c>
      <c r="B905" s="1" t="n">
        <v>45832.65657407408</v>
      </c>
      <c r="C905" s="1" t="n">
        <v>46075</v>
      </c>
      <c r="D905" t="inlineStr">
        <is>
          <t>VÄSTERBOTTENS LÄN</t>
        </is>
      </c>
      <c r="E905" t="inlineStr">
        <is>
          <t>NORSJÖ</t>
        </is>
      </c>
      <c r="F905" t="inlineStr">
        <is>
          <t>Sveaskog</t>
        </is>
      </c>
      <c r="G905" t="n">
        <v>7.4</v>
      </c>
      <c r="H905" t="n">
        <v>0</v>
      </c>
      <c r="I905" t="n">
        <v>0</v>
      </c>
      <c r="J905" t="n">
        <v>1</v>
      </c>
      <c r="K905" t="n">
        <v>0</v>
      </c>
      <c r="L905" t="n">
        <v>0</v>
      </c>
      <c r="M905" t="n">
        <v>0</v>
      </c>
      <c r="N905" t="n">
        <v>0</v>
      </c>
      <c r="O905" t="n">
        <v>1</v>
      </c>
      <c r="P905" t="n">
        <v>0</v>
      </c>
      <c r="Q905" t="n">
        <v>1</v>
      </c>
      <c r="R905" s="2" t="inlineStr">
        <is>
          <t>Blå taggsvamp</t>
        </is>
      </c>
      <c r="S905">
        <f>HYPERLINK("https://klasma.github.io/Logging_2417/artfynd/A 31162-2025 artfynd.xlsx", "A 31162-2025")</f>
        <v/>
      </c>
      <c r="T905">
        <f>HYPERLINK("https://klasma.github.io/Logging_2417/kartor/A 31162-2025 karta.png", "A 31162-2025")</f>
        <v/>
      </c>
      <c r="V905">
        <f>HYPERLINK("https://klasma.github.io/Logging_2417/klagomål/A 31162-2025 FSC-klagomål.docx", "A 31162-2025")</f>
        <v/>
      </c>
      <c r="W905">
        <f>HYPERLINK("https://klasma.github.io/Logging_2417/klagomålsmail/A 31162-2025 FSC-klagomål mail.docx", "A 31162-2025")</f>
        <v/>
      </c>
      <c r="X905">
        <f>HYPERLINK("https://klasma.github.io/Logging_2417/tillsyn/A 31162-2025 tillsynsbegäran.docx", "A 31162-2025")</f>
        <v/>
      </c>
      <c r="Y905">
        <f>HYPERLINK("https://klasma.github.io/Logging_2417/tillsynsmail/A 31162-2025 tillsynsbegäran mail.docx", "A 31162-2025")</f>
        <v/>
      </c>
    </row>
    <row r="906" ht="15" customHeight="1">
      <c r="A906" t="inlineStr">
        <is>
          <t>A 55389-2024</t>
        </is>
      </c>
      <c r="B906" s="1" t="n">
        <v>45622.33753472222</v>
      </c>
      <c r="C906" s="1" t="n">
        <v>46075</v>
      </c>
      <c r="D906" t="inlineStr">
        <is>
          <t>VÄSTERBOTTENS LÄN</t>
        </is>
      </c>
      <c r="E906" t="inlineStr">
        <is>
          <t>NORSJÖ</t>
        </is>
      </c>
      <c r="F906" t="inlineStr">
        <is>
          <t>Sveaskog</t>
        </is>
      </c>
      <c r="G906" t="n">
        <v>14.6</v>
      </c>
      <c r="H906" t="n">
        <v>0</v>
      </c>
      <c r="I906" t="n">
        <v>0</v>
      </c>
      <c r="J906" t="n">
        <v>1</v>
      </c>
      <c r="K906" t="n">
        <v>0</v>
      </c>
      <c r="L906" t="n">
        <v>0</v>
      </c>
      <c r="M906" t="n">
        <v>0</v>
      </c>
      <c r="N906" t="n">
        <v>0</v>
      </c>
      <c r="O906" t="n">
        <v>1</v>
      </c>
      <c r="P906" t="n">
        <v>0</v>
      </c>
      <c r="Q906" t="n">
        <v>1</v>
      </c>
      <c r="R906" s="2" t="inlineStr">
        <is>
          <t>Garnlav</t>
        </is>
      </c>
      <c r="S906">
        <f>HYPERLINK("https://klasma.github.io/Logging_2417/artfynd/A 55389-2024 artfynd.xlsx", "A 55389-2024")</f>
        <v/>
      </c>
      <c r="T906">
        <f>HYPERLINK("https://klasma.github.io/Logging_2417/kartor/A 55389-2024 karta.png", "A 55389-2024")</f>
        <v/>
      </c>
      <c r="V906">
        <f>HYPERLINK("https://klasma.github.io/Logging_2417/klagomål/A 55389-2024 FSC-klagomål.docx", "A 55389-2024")</f>
        <v/>
      </c>
      <c r="W906">
        <f>HYPERLINK("https://klasma.github.io/Logging_2417/klagomålsmail/A 55389-2024 FSC-klagomål mail.docx", "A 55389-2024")</f>
        <v/>
      </c>
      <c r="X906">
        <f>HYPERLINK("https://klasma.github.io/Logging_2417/tillsyn/A 55389-2024 tillsynsbegäran.docx", "A 55389-2024")</f>
        <v/>
      </c>
      <c r="Y906">
        <f>HYPERLINK("https://klasma.github.io/Logging_2417/tillsynsmail/A 55389-2024 tillsynsbegäran mail.docx", "A 55389-2024")</f>
        <v/>
      </c>
    </row>
    <row r="907" ht="15" customHeight="1">
      <c r="A907" t="inlineStr">
        <is>
          <t>A 41409-2025</t>
        </is>
      </c>
      <c r="B907" s="1" t="n">
        <v>45901.34798611111</v>
      </c>
      <c r="C907" s="1" t="n">
        <v>46075</v>
      </c>
      <c r="D907" t="inlineStr">
        <is>
          <t>VÄSTERBOTTENS LÄN</t>
        </is>
      </c>
      <c r="E907" t="inlineStr">
        <is>
          <t>SKELLEFTEÅ</t>
        </is>
      </c>
      <c r="F907" t="inlineStr">
        <is>
          <t>Kommuner</t>
        </is>
      </c>
      <c r="G907" t="n">
        <v>2.4</v>
      </c>
      <c r="H907" t="n">
        <v>0</v>
      </c>
      <c r="I907" t="n">
        <v>0</v>
      </c>
      <c r="J907" t="n">
        <v>1</v>
      </c>
      <c r="K907" t="n">
        <v>0</v>
      </c>
      <c r="L907" t="n">
        <v>0</v>
      </c>
      <c r="M907" t="n">
        <v>0</v>
      </c>
      <c r="N907" t="n">
        <v>0</v>
      </c>
      <c r="O907" t="n">
        <v>1</v>
      </c>
      <c r="P907" t="n">
        <v>0</v>
      </c>
      <c r="Q907" t="n">
        <v>1</v>
      </c>
      <c r="R907" s="2" t="inlineStr">
        <is>
          <t>Lunglav</t>
        </is>
      </c>
      <c r="S907">
        <f>HYPERLINK("https://klasma.github.io/Logging_2482/artfynd/A 41409-2025 artfynd.xlsx", "A 41409-2025")</f>
        <v/>
      </c>
      <c r="T907">
        <f>HYPERLINK("https://klasma.github.io/Logging_2482/kartor/A 41409-2025 karta.png", "A 41409-2025")</f>
        <v/>
      </c>
      <c r="V907">
        <f>HYPERLINK("https://klasma.github.io/Logging_2482/klagomål/A 41409-2025 FSC-klagomål.docx", "A 41409-2025")</f>
        <v/>
      </c>
      <c r="W907">
        <f>HYPERLINK("https://klasma.github.io/Logging_2482/klagomålsmail/A 41409-2025 FSC-klagomål mail.docx", "A 41409-2025")</f>
        <v/>
      </c>
      <c r="X907">
        <f>HYPERLINK("https://klasma.github.io/Logging_2482/tillsyn/A 41409-2025 tillsynsbegäran.docx", "A 41409-2025")</f>
        <v/>
      </c>
      <c r="Y907">
        <f>HYPERLINK("https://klasma.github.io/Logging_2482/tillsynsmail/A 41409-2025 tillsynsbegäran mail.docx", "A 41409-2025")</f>
        <v/>
      </c>
    </row>
    <row r="908" ht="15" customHeight="1">
      <c r="A908" t="inlineStr">
        <is>
          <t>A 15654-2023</t>
        </is>
      </c>
      <c r="B908" s="1" t="n">
        <v>45019</v>
      </c>
      <c r="C908" s="1" t="n">
        <v>46075</v>
      </c>
      <c r="D908" t="inlineStr">
        <is>
          <t>VÄSTERBOTTENS LÄN</t>
        </is>
      </c>
      <c r="E908" t="inlineStr">
        <is>
          <t>UMEÅ</t>
        </is>
      </c>
      <c r="F908" t="inlineStr">
        <is>
          <t>Kommuner</t>
        </is>
      </c>
      <c r="G908" t="n">
        <v>3.2</v>
      </c>
      <c r="H908" t="n">
        <v>0</v>
      </c>
      <c r="I908" t="n">
        <v>0</v>
      </c>
      <c r="J908" t="n">
        <v>1</v>
      </c>
      <c r="K908" t="n">
        <v>0</v>
      </c>
      <c r="L908" t="n">
        <v>0</v>
      </c>
      <c r="M908" t="n">
        <v>0</v>
      </c>
      <c r="N908" t="n">
        <v>0</v>
      </c>
      <c r="O908" t="n">
        <v>1</v>
      </c>
      <c r="P908" t="n">
        <v>0</v>
      </c>
      <c r="Q908" t="n">
        <v>1</v>
      </c>
      <c r="R908" s="2" t="inlineStr">
        <is>
          <t>Garnlav</t>
        </is>
      </c>
      <c r="S908">
        <f>HYPERLINK("https://klasma.github.io/Logging_2480/artfynd/A 15654-2023 artfynd.xlsx", "A 15654-2023")</f>
        <v/>
      </c>
      <c r="T908">
        <f>HYPERLINK("https://klasma.github.io/Logging_2480/kartor/A 15654-2023 karta.png", "A 15654-2023")</f>
        <v/>
      </c>
      <c r="V908">
        <f>HYPERLINK("https://klasma.github.io/Logging_2480/klagomål/A 15654-2023 FSC-klagomål.docx", "A 15654-2023")</f>
        <v/>
      </c>
      <c r="W908">
        <f>HYPERLINK("https://klasma.github.io/Logging_2480/klagomålsmail/A 15654-2023 FSC-klagomål mail.docx", "A 15654-2023")</f>
        <v/>
      </c>
      <c r="X908">
        <f>HYPERLINK("https://klasma.github.io/Logging_2480/tillsyn/A 15654-2023 tillsynsbegäran.docx", "A 15654-2023")</f>
        <v/>
      </c>
      <c r="Y908">
        <f>HYPERLINK("https://klasma.github.io/Logging_2480/tillsynsmail/A 15654-2023 tillsynsbegäran mail.docx", "A 15654-2023")</f>
        <v/>
      </c>
    </row>
    <row r="909" ht="15" customHeight="1">
      <c r="A909" t="inlineStr">
        <is>
          <t>A 31266-2025</t>
        </is>
      </c>
      <c r="B909" s="1" t="n">
        <v>45833.32979166666</v>
      </c>
      <c r="C909" s="1" t="n">
        <v>46075</v>
      </c>
      <c r="D909" t="inlineStr">
        <is>
          <t>VÄSTERBOTTENS LÄN</t>
        </is>
      </c>
      <c r="E909" t="inlineStr">
        <is>
          <t>LYCKSELE</t>
        </is>
      </c>
      <c r="F909" t="inlineStr">
        <is>
          <t>Sveaskog</t>
        </is>
      </c>
      <c r="G909" t="n">
        <v>4.4</v>
      </c>
      <c r="H909" t="n">
        <v>0</v>
      </c>
      <c r="I909" t="n">
        <v>0</v>
      </c>
      <c r="J909" t="n">
        <v>1</v>
      </c>
      <c r="K909" t="n">
        <v>0</v>
      </c>
      <c r="L909" t="n">
        <v>0</v>
      </c>
      <c r="M909" t="n">
        <v>0</v>
      </c>
      <c r="N909" t="n">
        <v>0</v>
      </c>
      <c r="O909" t="n">
        <v>1</v>
      </c>
      <c r="P909" t="n">
        <v>0</v>
      </c>
      <c r="Q909" t="n">
        <v>1</v>
      </c>
      <c r="R909" s="2" t="inlineStr">
        <is>
          <t>Mörk kolflarnlav</t>
        </is>
      </c>
      <c r="S909">
        <f>HYPERLINK("https://klasma.github.io/Logging_2481/artfynd/A 31266-2025 artfynd.xlsx", "A 31266-2025")</f>
        <v/>
      </c>
      <c r="T909">
        <f>HYPERLINK("https://klasma.github.io/Logging_2481/kartor/A 31266-2025 karta.png", "A 31266-2025")</f>
        <v/>
      </c>
      <c r="V909">
        <f>HYPERLINK("https://klasma.github.io/Logging_2481/klagomål/A 31266-2025 FSC-klagomål.docx", "A 31266-2025")</f>
        <v/>
      </c>
      <c r="W909">
        <f>HYPERLINK("https://klasma.github.io/Logging_2481/klagomålsmail/A 31266-2025 FSC-klagomål mail.docx", "A 31266-2025")</f>
        <v/>
      </c>
      <c r="X909">
        <f>HYPERLINK("https://klasma.github.io/Logging_2481/tillsyn/A 31266-2025 tillsynsbegäran.docx", "A 31266-2025")</f>
        <v/>
      </c>
      <c r="Y909">
        <f>HYPERLINK("https://klasma.github.io/Logging_2481/tillsynsmail/A 31266-2025 tillsynsbegäran mail.docx", "A 31266-2025")</f>
        <v/>
      </c>
    </row>
    <row r="910" ht="15" customHeight="1">
      <c r="A910" t="inlineStr">
        <is>
          <t>A 66924-2021</t>
        </is>
      </c>
      <c r="B910" s="1" t="n">
        <v>44522</v>
      </c>
      <c r="C910" s="1" t="n">
        <v>46075</v>
      </c>
      <c r="D910" t="inlineStr">
        <is>
          <t>VÄSTERBOTTENS LÄN</t>
        </is>
      </c>
      <c r="E910" t="inlineStr">
        <is>
          <t>VILHELMINA</t>
        </is>
      </c>
      <c r="F910" t="inlineStr">
        <is>
          <t>Allmännings- och besparingsskogar</t>
        </is>
      </c>
      <c r="G910" t="n">
        <v>335.4</v>
      </c>
      <c r="H910" t="n">
        <v>1</v>
      </c>
      <c r="I910" t="n">
        <v>0</v>
      </c>
      <c r="J910" t="n">
        <v>1</v>
      </c>
      <c r="K910" t="n">
        <v>0</v>
      </c>
      <c r="L910" t="n">
        <v>0</v>
      </c>
      <c r="M910" t="n">
        <v>0</v>
      </c>
      <c r="N910" t="n">
        <v>0</v>
      </c>
      <c r="O910" t="n">
        <v>1</v>
      </c>
      <c r="P910" t="n">
        <v>0</v>
      </c>
      <c r="Q910" t="n">
        <v>1</v>
      </c>
      <c r="R910" s="2" t="inlineStr">
        <is>
          <t>Utter</t>
        </is>
      </c>
      <c r="S910">
        <f>HYPERLINK("https://klasma.github.io/Logging_2462/artfynd/A 66924-2021 artfynd.xlsx", "A 66924-2021")</f>
        <v/>
      </c>
      <c r="T910">
        <f>HYPERLINK("https://klasma.github.io/Logging_2462/kartor/A 66924-2021 karta.png", "A 66924-2021")</f>
        <v/>
      </c>
      <c r="V910">
        <f>HYPERLINK("https://klasma.github.io/Logging_2462/klagomål/A 66924-2021 FSC-klagomål.docx", "A 66924-2021")</f>
        <v/>
      </c>
      <c r="W910">
        <f>HYPERLINK("https://klasma.github.io/Logging_2462/klagomålsmail/A 66924-2021 FSC-klagomål mail.docx", "A 66924-2021")</f>
        <v/>
      </c>
      <c r="X910">
        <f>HYPERLINK("https://klasma.github.io/Logging_2462/tillsyn/A 66924-2021 tillsynsbegäran.docx", "A 66924-2021")</f>
        <v/>
      </c>
      <c r="Y910">
        <f>HYPERLINK("https://klasma.github.io/Logging_2462/tillsynsmail/A 66924-2021 tillsynsbegäran mail.docx", "A 66924-2021")</f>
        <v/>
      </c>
    </row>
    <row r="911" ht="15" customHeight="1">
      <c r="A911" t="inlineStr">
        <is>
          <t>A 18248-2021</t>
        </is>
      </c>
      <c r="B911" s="1" t="n">
        <v>44305</v>
      </c>
      <c r="C911" s="1" t="n">
        <v>46075</v>
      </c>
      <c r="D911" t="inlineStr">
        <is>
          <t>VÄSTERBOTTENS LÄN</t>
        </is>
      </c>
      <c r="E911" t="inlineStr">
        <is>
          <t>UMEÅ</t>
        </is>
      </c>
      <c r="G911" t="n">
        <v>22</v>
      </c>
      <c r="H911" t="n">
        <v>1</v>
      </c>
      <c r="I911" t="n">
        <v>0</v>
      </c>
      <c r="J911" t="n">
        <v>0</v>
      </c>
      <c r="K911" t="n">
        <v>0</v>
      </c>
      <c r="L911" t="n">
        <v>0</v>
      </c>
      <c r="M911" t="n">
        <v>0</v>
      </c>
      <c r="N911" t="n">
        <v>0</v>
      </c>
      <c r="O911" t="n">
        <v>0</v>
      </c>
      <c r="P911" t="n">
        <v>0</v>
      </c>
      <c r="Q911" t="n">
        <v>1</v>
      </c>
      <c r="R911" s="2" t="inlineStr">
        <is>
          <t>Bivråk</t>
        </is>
      </c>
      <c r="S911">
        <f>HYPERLINK("https://klasma.github.io/Logging_2480/artfynd/A 18248-2021 artfynd.xlsx", "A 18248-2021")</f>
        <v/>
      </c>
      <c r="T911">
        <f>HYPERLINK("https://klasma.github.io/Logging_2480/kartor/A 18248-2021 karta.png", "A 18248-2021")</f>
        <v/>
      </c>
      <c r="V911">
        <f>HYPERLINK("https://klasma.github.io/Logging_2480/klagomål/A 18248-2021 FSC-klagomål.docx", "A 18248-2021")</f>
        <v/>
      </c>
      <c r="W911">
        <f>HYPERLINK("https://klasma.github.io/Logging_2480/klagomålsmail/A 18248-2021 FSC-klagomål mail.docx", "A 18248-2021")</f>
        <v/>
      </c>
      <c r="X911">
        <f>HYPERLINK("https://klasma.github.io/Logging_2480/tillsyn/A 18248-2021 tillsynsbegäran.docx", "A 18248-2021")</f>
        <v/>
      </c>
      <c r="Y911">
        <f>HYPERLINK("https://klasma.github.io/Logging_2480/tillsynsmail/A 18248-2021 tillsynsbegäran mail.docx", "A 18248-2021")</f>
        <v/>
      </c>
      <c r="Z911">
        <f>HYPERLINK("https://klasma.github.io/Logging_2480/fåglar/A 18248-2021 prioriterade fågelarter.docx", "A 18248-2021")</f>
        <v/>
      </c>
    </row>
    <row r="912" ht="15" customHeight="1">
      <c r="A912" t="inlineStr">
        <is>
          <t>A 32234-2025</t>
        </is>
      </c>
      <c r="B912" s="1" t="n">
        <v>45835.60891203704</v>
      </c>
      <c r="C912" s="1" t="n">
        <v>46075</v>
      </c>
      <c r="D912" t="inlineStr">
        <is>
          <t>VÄSTERBOTTENS LÄN</t>
        </is>
      </c>
      <c r="E912" t="inlineStr">
        <is>
          <t>VINDELN</t>
        </is>
      </c>
      <c r="F912" t="inlineStr">
        <is>
          <t>Sveaskog</t>
        </is>
      </c>
      <c r="G912" t="n">
        <v>3.1</v>
      </c>
      <c r="H912" t="n">
        <v>0</v>
      </c>
      <c r="I912" t="n">
        <v>0</v>
      </c>
      <c r="J912" t="n">
        <v>1</v>
      </c>
      <c r="K912" t="n">
        <v>0</v>
      </c>
      <c r="L912" t="n">
        <v>0</v>
      </c>
      <c r="M912" t="n">
        <v>0</v>
      </c>
      <c r="N912" t="n">
        <v>0</v>
      </c>
      <c r="O912" t="n">
        <v>1</v>
      </c>
      <c r="P912" t="n">
        <v>0</v>
      </c>
      <c r="Q912" t="n">
        <v>1</v>
      </c>
      <c r="R912" s="2" t="inlineStr">
        <is>
          <t>Lunglav</t>
        </is>
      </c>
      <c r="S912">
        <f>HYPERLINK("https://klasma.github.io/Logging_2404/artfynd/A 32234-2025 artfynd.xlsx", "A 32234-2025")</f>
        <v/>
      </c>
      <c r="T912">
        <f>HYPERLINK("https://klasma.github.io/Logging_2404/kartor/A 32234-2025 karta.png", "A 32234-2025")</f>
        <v/>
      </c>
      <c r="V912">
        <f>HYPERLINK("https://klasma.github.io/Logging_2404/klagomål/A 32234-2025 FSC-klagomål.docx", "A 32234-2025")</f>
        <v/>
      </c>
      <c r="W912">
        <f>HYPERLINK("https://klasma.github.io/Logging_2404/klagomålsmail/A 32234-2025 FSC-klagomål mail.docx", "A 32234-2025")</f>
        <v/>
      </c>
      <c r="X912">
        <f>HYPERLINK("https://klasma.github.io/Logging_2404/tillsyn/A 32234-2025 tillsynsbegäran.docx", "A 32234-2025")</f>
        <v/>
      </c>
      <c r="Y912">
        <f>HYPERLINK("https://klasma.github.io/Logging_2404/tillsynsmail/A 32234-2025 tillsynsbegäran mail.docx", "A 32234-2025")</f>
        <v/>
      </c>
    </row>
    <row r="913" ht="15" customHeight="1">
      <c r="A913" t="inlineStr">
        <is>
          <t>A 41078-2025</t>
        </is>
      </c>
      <c r="B913" s="1" t="n">
        <v>45898</v>
      </c>
      <c r="C913" s="1" t="n">
        <v>46075</v>
      </c>
      <c r="D913" t="inlineStr">
        <is>
          <t>VÄSTERBOTTENS LÄN</t>
        </is>
      </c>
      <c r="E913" t="inlineStr">
        <is>
          <t>ÅSELE</t>
        </is>
      </c>
      <c r="F913" t="inlineStr">
        <is>
          <t>SCA</t>
        </is>
      </c>
      <c r="G913" t="n">
        <v>14.6</v>
      </c>
      <c r="H913" t="n">
        <v>0</v>
      </c>
      <c r="I913" t="n">
        <v>0</v>
      </c>
      <c r="J913" t="n">
        <v>1</v>
      </c>
      <c r="K913" t="n">
        <v>0</v>
      </c>
      <c r="L913" t="n">
        <v>0</v>
      </c>
      <c r="M913" t="n">
        <v>0</v>
      </c>
      <c r="N913" t="n">
        <v>0</v>
      </c>
      <c r="O913" t="n">
        <v>1</v>
      </c>
      <c r="P913" t="n">
        <v>0</v>
      </c>
      <c r="Q913" t="n">
        <v>1</v>
      </c>
      <c r="R913" s="2" t="inlineStr">
        <is>
          <t>Granticka</t>
        </is>
      </c>
      <c r="S913">
        <f>HYPERLINK("https://klasma.github.io/Logging_2463/artfynd/A 41078-2025 artfynd.xlsx", "A 41078-2025")</f>
        <v/>
      </c>
      <c r="T913">
        <f>HYPERLINK("https://klasma.github.io/Logging_2463/kartor/A 41078-2025 karta.png", "A 41078-2025")</f>
        <v/>
      </c>
      <c r="V913">
        <f>HYPERLINK("https://klasma.github.io/Logging_2463/klagomål/A 41078-2025 FSC-klagomål.docx", "A 41078-2025")</f>
        <v/>
      </c>
      <c r="W913">
        <f>HYPERLINK("https://klasma.github.io/Logging_2463/klagomålsmail/A 41078-2025 FSC-klagomål mail.docx", "A 41078-2025")</f>
        <v/>
      </c>
      <c r="X913">
        <f>HYPERLINK("https://klasma.github.io/Logging_2463/tillsyn/A 41078-2025 tillsynsbegäran.docx", "A 41078-2025")</f>
        <v/>
      </c>
      <c r="Y913">
        <f>HYPERLINK("https://klasma.github.io/Logging_2463/tillsynsmail/A 41078-2025 tillsynsbegäran mail.docx", "A 41078-2025")</f>
        <v/>
      </c>
    </row>
    <row r="914" ht="15" customHeight="1">
      <c r="A914" t="inlineStr">
        <is>
          <t>A 56247-2023</t>
        </is>
      </c>
      <c r="B914" s="1" t="n">
        <v>45240</v>
      </c>
      <c r="C914" s="1" t="n">
        <v>46075</v>
      </c>
      <c r="D914" t="inlineStr">
        <is>
          <t>VÄSTERBOTTENS LÄN</t>
        </is>
      </c>
      <c r="E914" t="inlineStr">
        <is>
          <t>VILHELMINA</t>
        </is>
      </c>
      <c r="F914" t="inlineStr">
        <is>
          <t>SCA</t>
        </is>
      </c>
      <c r="G914" t="n">
        <v>1.3</v>
      </c>
      <c r="H914" t="n">
        <v>0</v>
      </c>
      <c r="I914" t="n">
        <v>0</v>
      </c>
      <c r="J914" t="n">
        <v>1</v>
      </c>
      <c r="K914" t="n">
        <v>0</v>
      </c>
      <c r="L914" t="n">
        <v>0</v>
      </c>
      <c r="M914" t="n">
        <v>0</v>
      </c>
      <c r="N914" t="n">
        <v>0</v>
      </c>
      <c r="O914" t="n">
        <v>1</v>
      </c>
      <c r="P914" t="n">
        <v>0</v>
      </c>
      <c r="Q914" t="n">
        <v>1</v>
      </c>
      <c r="R914" s="2" t="inlineStr">
        <is>
          <t>Harticka</t>
        </is>
      </c>
      <c r="S914">
        <f>HYPERLINK("https://klasma.github.io/Logging_2462/artfynd/A 56247-2023 artfynd.xlsx", "A 56247-2023")</f>
        <v/>
      </c>
      <c r="T914">
        <f>HYPERLINK("https://klasma.github.io/Logging_2462/kartor/A 56247-2023 karta.png", "A 56247-2023")</f>
        <v/>
      </c>
      <c r="V914">
        <f>HYPERLINK("https://klasma.github.io/Logging_2462/klagomål/A 56247-2023 FSC-klagomål.docx", "A 56247-2023")</f>
        <v/>
      </c>
      <c r="W914">
        <f>HYPERLINK("https://klasma.github.io/Logging_2462/klagomålsmail/A 56247-2023 FSC-klagomål mail.docx", "A 56247-2023")</f>
        <v/>
      </c>
      <c r="X914">
        <f>HYPERLINK("https://klasma.github.io/Logging_2462/tillsyn/A 56247-2023 tillsynsbegäran.docx", "A 56247-2023")</f>
        <v/>
      </c>
      <c r="Y914">
        <f>HYPERLINK("https://klasma.github.io/Logging_2462/tillsynsmail/A 56247-2023 tillsynsbegäran mail.docx", "A 56247-2023")</f>
        <v/>
      </c>
    </row>
    <row r="915" ht="15" customHeight="1">
      <c r="A915" t="inlineStr">
        <is>
          <t>A 42090-2025</t>
        </is>
      </c>
      <c r="B915" s="1" t="n">
        <v>45903.69844907407</v>
      </c>
      <c r="C915" s="1" t="n">
        <v>46075</v>
      </c>
      <c r="D915" t="inlineStr">
        <is>
          <t>VÄSTERBOTTENS LÄN</t>
        </is>
      </c>
      <c r="E915" t="inlineStr">
        <is>
          <t>ÅSELE</t>
        </is>
      </c>
      <c r="F915" t="inlineStr">
        <is>
          <t>SCA</t>
        </is>
      </c>
      <c r="G915" t="n">
        <v>2.8</v>
      </c>
      <c r="H915" t="n">
        <v>0</v>
      </c>
      <c r="I915" t="n">
        <v>0</v>
      </c>
      <c r="J915" t="n">
        <v>1</v>
      </c>
      <c r="K915" t="n">
        <v>0</v>
      </c>
      <c r="L915" t="n">
        <v>0</v>
      </c>
      <c r="M915" t="n">
        <v>0</v>
      </c>
      <c r="N915" t="n">
        <v>0</v>
      </c>
      <c r="O915" t="n">
        <v>1</v>
      </c>
      <c r="P915" t="n">
        <v>0</v>
      </c>
      <c r="Q915" t="n">
        <v>1</v>
      </c>
      <c r="R915" s="2" t="inlineStr">
        <is>
          <t>Granticka</t>
        </is>
      </c>
      <c r="S915">
        <f>HYPERLINK("https://klasma.github.io/Logging_2463/artfynd/A 42090-2025 artfynd.xlsx", "A 42090-2025")</f>
        <v/>
      </c>
      <c r="T915">
        <f>HYPERLINK("https://klasma.github.io/Logging_2463/kartor/A 42090-2025 karta.png", "A 42090-2025")</f>
        <v/>
      </c>
      <c r="V915">
        <f>HYPERLINK("https://klasma.github.io/Logging_2463/klagomål/A 42090-2025 FSC-klagomål.docx", "A 42090-2025")</f>
        <v/>
      </c>
      <c r="W915">
        <f>HYPERLINK("https://klasma.github.io/Logging_2463/klagomålsmail/A 42090-2025 FSC-klagomål mail.docx", "A 42090-2025")</f>
        <v/>
      </c>
      <c r="X915">
        <f>HYPERLINK("https://klasma.github.io/Logging_2463/tillsyn/A 42090-2025 tillsynsbegäran.docx", "A 42090-2025")</f>
        <v/>
      </c>
      <c r="Y915">
        <f>HYPERLINK("https://klasma.github.io/Logging_2463/tillsynsmail/A 42090-2025 tillsynsbegäran mail.docx", "A 42090-2025")</f>
        <v/>
      </c>
    </row>
    <row r="916" ht="15" customHeight="1">
      <c r="A916" t="inlineStr">
        <is>
          <t>A 32269-2025</t>
        </is>
      </c>
      <c r="B916" s="1" t="n">
        <v>45835</v>
      </c>
      <c r="C916" s="1" t="n">
        <v>46075</v>
      </c>
      <c r="D916" t="inlineStr">
        <is>
          <t>VÄSTERBOTTENS LÄN</t>
        </is>
      </c>
      <c r="E916" t="inlineStr">
        <is>
          <t>ROBERTSFORS</t>
        </is>
      </c>
      <c r="G916" t="n">
        <v>2.2</v>
      </c>
      <c r="H916" t="n">
        <v>0</v>
      </c>
      <c r="I916" t="n">
        <v>0</v>
      </c>
      <c r="J916" t="n">
        <v>1</v>
      </c>
      <c r="K916" t="n">
        <v>0</v>
      </c>
      <c r="L916" t="n">
        <v>0</v>
      </c>
      <c r="M916" t="n">
        <v>0</v>
      </c>
      <c r="N916" t="n">
        <v>0</v>
      </c>
      <c r="O916" t="n">
        <v>1</v>
      </c>
      <c r="P916" t="n">
        <v>0</v>
      </c>
      <c r="Q916" t="n">
        <v>1</v>
      </c>
      <c r="R916" s="2" t="inlineStr">
        <is>
          <t>Skogshare</t>
        </is>
      </c>
      <c r="S916">
        <f>HYPERLINK("https://klasma.github.io/Logging_2409/artfynd/A 32269-2025 artfynd.xlsx", "A 32269-2025")</f>
        <v/>
      </c>
      <c r="T916">
        <f>HYPERLINK("https://klasma.github.io/Logging_2409/kartor/A 32269-2025 karta.png", "A 32269-2025")</f>
        <v/>
      </c>
      <c r="V916">
        <f>HYPERLINK("https://klasma.github.io/Logging_2409/klagomål/A 32269-2025 FSC-klagomål.docx", "A 32269-2025")</f>
        <v/>
      </c>
      <c r="W916">
        <f>HYPERLINK("https://klasma.github.io/Logging_2409/klagomålsmail/A 32269-2025 FSC-klagomål mail.docx", "A 32269-2025")</f>
        <v/>
      </c>
      <c r="X916">
        <f>HYPERLINK("https://klasma.github.io/Logging_2409/tillsyn/A 32269-2025 tillsynsbegäran.docx", "A 32269-2025")</f>
        <v/>
      </c>
      <c r="Y916">
        <f>HYPERLINK("https://klasma.github.io/Logging_2409/tillsynsmail/A 32269-2025 tillsynsbegäran mail.docx", "A 32269-2025")</f>
        <v/>
      </c>
    </row>
    <row r="917" ht="15" customHeight="1">
      <c r="A917" t="inlineStr">
        <is>
          <t>A 49359-2023</t>
        </is>
      </c>
      <c r="B917" s="1" t="n">
        <v>45211.33486111111</v>
      </c>
      <c r="C917" s="1" t="n">
        <v>46075</v>
      </c>
      <c r="D917" t="inlineStr">
        <is>
          <t>VÄSTERBOTTENS LÄN</t>
        </is>
      </c>
      <c r="E917" t="inlineStr">
        <is>
          <t>UMEÅ</t>
        </is>
      </c>
      <c r="G917" t="n">
        <v>5.2</v>
      </c>
      <c r="H917" t="n">
        <v>1</v>
      </c>
      <c r="I917" t="n">
        <v>0</v>
      </c>
      <c r="J917" t="n">
        <v>0</v>
      </c>
      <c r="K917" t="n">
        <v>0</v>
      </c>
      <c r="L917" t="n">
        <v>0</v>
      </c>
      <c r="M917" t="n">
        <v>0</v>
      </c>
      <c r="N917" t="n">
        <v>0</v>
      </c>
      <c r="O917" t="n">
        <v>0</v>
      </c>
      <c r="P917" t="n">
        <v>0</v>
      </c>
      <c r="Q917" t="n">
        <v>1</v>
      </c>
      <c r="R917" s="2" t="inlineStr">
        <is>
          <t>Orre</t>
        </is>
      </c>
      <c r="S917">
        <f>HYPERLINK("https://klasma.github.io/Logging_2480/artfynd/A 49359-2023 artfynd.xlsx", "A 49359-2023")</f>
        <v/>
      </c>
      <c r="T917">
        <f>HYPERLINK("https://klasma.github.io/Logging_2480/kartor/A 49359-2023 karta.png", "A 49359-2023")</f>
        <v/>
      </c>
      <c r="V917">
        <f>HYPERLINK("https://klasma.github.io/Logging_2480/klagomål/A 49359-2023 FSC-klagomål.docx", "A 49359-2023")</f>
        <v/>
      </c>
      <c r="W917">
        <f>HYPERLINK("https://klasma.github.io/Logging_2480/klagomålsmail/A 49359-2023 FSC-klagomål mail.docx", "A 49359-2023")</f>
        <v/>
      </c>
      <c r="X917">
        <f>HYPERLINK("https://klasma.github.io/Logging_2480/tillsyn/A 49359-2023 tillsynsbegäran.docx", "A 49359-2023")</f>
        <v/>
      </c>
      <c r="Y917">
        <f>HYPERLINK("https://klasma.github.io/Logging_2480/tillsynsmail/A 49359-2023 tillsynsbegäran mail.docx", "A 49359-2023")</f>
        <v/>
      </c>
      <c r="Z917">
        <f>HYPERLINK("https://klasma.github.io/Logging_2480/fåglar/A 49359-2023 prioriterade fågelarter.docx", "A 49359-2023")</f>
        <v/>
      </c>
    </row>
    <row r="918" ht="15" customHeight="1">
      <c r="A918" t="inlineStr">
        <is>
          <t>A 15699-2024</t>
        </is>
      </c>
      <c r="B918" s="1" t="n">
        <v>45404</v>
      </c>
      <c r="C918" s="1" t="n">
        <v>46075</v>
      </c>
      <c r="D918" t="inlineStr">
        <is>
          <t>VÄSTERBOTTENS LÄN</t>
        </is>
      </c>
      <c r="E918" t="inlineStr">
        <is>
          <t>BJURHOLM</t>
        </is>
      </c>
      <c r="G918" t="n">
        <v>2.2</v>
      </c>
      <c r="H918" t="n">
        <v>0</v>
      </c>
      <c r="I918" t="n">
        <v>1</v>
      </c>
      <c r="J918" t="n">
        <v>0</v>
      </c>
      <c r="K918" t="n">
        <v>0</v>
      </c>
      <c r="L918" t="n">
        <v>0</v>
      </c>
      <c r="M918" t="n">
        <v>0</v>
      </c>
      <c r="N918" t="n">
        <v>0</v>
      </c>
      <c r="O918" t="n">
        <v>0</v>
      </c>
      <c r="P918" t="n">
        <v>0</v>
      </c>
      <c r="Q918" t="n">
        <v>1</v>
      </c>
      <c r="R918" s="2" t="inlineStr">
        <is>
          <t>Dropptaggsvamp</t>
        </is>
      </c>
      <c r="S918">
        <f>HYPERLINK("https://klasma.github.io/Logging_2403/artfynd/A 15699-2024 artfynd.xlsx", "A 15699-2024")</f>
        <v/>
      </c>
      <c r="T918">
        <f>HYPERLINK("https://klasma.github.io/Logging_2403/kartor/A 15699-2024 karta.png", "A 15699-2024")</f>
        <v/>
      </c>
      <c r="V918">
        <f>HYPERLINK("https://klasma.github.io/Logging_2403/klagomål/A 15699-2024 FSC-klagomål.docx", "A 15699-2024")</f>
        <v/>
      </c>
      <c r="W918">
        <f>HYPERLINK("https://klasma.github.io/Logging_2403/klagomålsmail/A 15699-2024 FSC-klagomål mail.docx", "A 15699-2024")</f>
        <v/>
      </c>
      <c r="X918">
        <f>HYPERLINK("https://klasma.github.io/Logging_2403/tillsyn/A 15699-2024 tillsynsbegäran.docx", "A 15699-2024")</f>
        <v/>
      </c>
      <c r="Y918">
        <f>HYPERLINK("https://klasma.github.io/Logging_2403/tillsynsmail/A 15699-2024 tillsynsbegäran mail.docx", "A 15699-2024")</f>
        <v/>
      </c>
    </row>
    <row r="919" ht="15" customHeight="1">
      <c r="A919" t="inlineStr">
        <is>
          <t>A 42849-2025</t>
        </is>
      </c>
      <c r="B919" s="1" t="n">
        <v>45908.59594907407</v>
      </c>
      <c r="C919" s="1" t="n">
        <v>46075</v>
      </c>
      <c r="D919" t="inlineStr">
        <is>
          <t>VÄSTERBOTTENS LÄN</t>
        </is>
      </c>
      <c r="E919" t="inlineStr">
        <is>
          <t>ROBERTSFORS</t>
        </is>
      </c>
      <c r="G919" t="n">
        <v>13.1</v>
      </c>
      <c r="H919" t="n">
        <v>0</v>
      </c>
      <c r="I919" t="n">
        <v>0</v>
      </c>
      <c r="J919" t="n">
        <v>1</v>
      </c>
      <c r="K919" t="n">
        <v>0</v>
      </c>
      <c r="L919" t="n">
        <v>0</v>
      </c>
      <c r="M919" t="n">
        <v>0</v>
      </c>
      <c r="N919" t="n">
        <v>0</v>
      </c>
      <c r="O919" t="n">
        <v>1</v>
      </c>
      <c r="P919" t="n">
        <v>0</v>
      </c>
      <c r="Q919" t="n">
        <v>1</v>
      </c>
      <c r="R919" s="2" t="inlineStr">
        <is>
          <t>Garnlav</t>
        </is>
      </c>
      <c r="S919">
        <f>HYPERLINK("https://klasma.github.io/Logging_2409/artfynd/A 42849-2025 artfynd.xlsx", "A 42849-2025")</f>
        <v/>
      </c>
      <c r="T919">
        <f>HYPERLINK("https://klasma.github.io/Logging_2409/kartor/A 42849-2025 karta.png", "A 42849-2025")</f>
        <v/>
      </c>
      <c r="V919">
        <f>HYPERLINK("https://klasma.github.io/Logging_2409/klagomål/A 42849-2025 FSC-klagomål.docx", "A 42849-2025")</f>
        <v/>
      </c>
      <c r="W919">
        <f>HYPERLINK("https://klasma.github.io/Logging_2409/klagomålsmail/A 42849-2025 FSC-klagomål mail.docx", "A 42849-2025")</f>
        <v/>
      </c>
      <c r="X919">
        <f>HYPERLINK("https://klasma.github.io/Logging_2409/tillsyn/A 42849-2025 tillsynsbegäran.docx", "A 42849-2025")</f>
        <v/>
      </c>
      <c r="Y919">
        <f>HYPERLINK("https://klasma.github.io/Logging_2409/tillsynsmail/A 42849-2025 tillsynsbegäran mail.docx", "A 42849-2025")</f>
        <v/>
      </c>
    </row>
    <row r="920" ht="15" customHeight="1">
      <c r="A920" t="inlineStr">
        <is>
          <t>A 43228-2025</t>
        </is>
      </c>
      <c r="B920" s="1" t="n">
        <v>45910.49400462963</v>
      </c>
      <c r="C920" s="1" t="n">
        <v>46075</v>
      </c>
      <c r="D920" t="inlineStr">
        <is>
          <t>VÄSTERBOTTENS LÄN</t>
        </is>
      </c>
      <c r="E920" t="inlineStr">
        <is>
          <t>SKELLEFTEÅ</t>
        </is>
      </c>
      <c r="G920" t="n">
        <v>2.9</v>
      </c>
      <c r="H920" t="n">
        <v>0</v>
      </c>
      <c r="I920" t="n">
        <v>0</v>
      </c>
      <c r="J920" t="n">
        <v>1</v>
      </c>
      <c r="K920" t="n">
        <v>0</v>
      </c>
      <c r="L920" t="n">
        <v>0</v>
      </c>
      <c r="M920" t="n">
        <v>0</v>
      </c>
      <c r="N920" t="n">
        <v>0</v>
      </c>
      <c r="O920" t="n">
        <v>1</v>
      </c>
      <c r="P920" t="n">
        <v>0</v>
      </c>
      <c r="Q920" t="n">
        <v>1</v>
      </c>
      <c r="R920" s="2" t="inlineStr">
        <is>
          <t>Ullticka</t>
        </is>
      </c>
      <c r="S920">
        <f>HYPERLINK("https://klasma.github.io/Logging_2482/artfynd/A 43228-2025 artfynd.xlsx", "A 43228-2025")</f>
        <v/>
      </c>
      <c r="T920">
        <f>HYPERLINK("https://klasma.github.io/Logging_2482/kartor/A 43228-2025 karta.png", "A 43228-2025")</f>
        <v/>
      </c>
      <c r="V920">
        <f>HYPERLINK("https://klasma.github.io/Logging_2482/klagomål/A 43228-2025 FSC-klagomål.docx", "A 43228-2025")</f>
        <v/>
      </c>
      <c r="W920">
        <f>HYPERLINK("https://klasma.github.io/Logging_2482/klagomålsmail/A 43228-2025 FSC-klagomål mail.docx", "A 43228-2025")</f>
        <v/>
      </c>
      <c r="X920">
        <f>HYPERLINK("https://klasma.github.io/Logging_2482/tillsyn/A 43228-2025 tillsynsbegäran.docx", "A 43228-2025")</f>
        <v/>
      </c>
      <c r="Y920">
        <f>HYPERLINK("https://klasma.github.io/Logging_2482/tillsynsmail/A 43228-2025 tillsynsbegäran mail.docx", "A 43228-2025")</f>
        <v/>
      </c>
    </row>
    <row r="921" ht="15" customHeight="1">
      <c r="A921" t="inlineStr">
        <is>
          <t>A 33763-2024</t>
        </is>
      </c>
      <c r="B921" s="1" t="n">
        <v>45520.57005787037</v>
      </c>
      <c r="C921" s="1" t="n">
        <v>46075</v>
      </c>
      <c r="D921" t="inlineStr">
        <is>
          <t>VÄSTERBOTTENS LÄN</t>
        </is>
      </c>
      <c r="E921" t="inlineStr">
        <is>
          <t>NORSJÖ</t>
        </is>
      </c>
      <c r="F921" t="inlineStr">
        <is>
          <t>Sveaskog</t>
        </is>
      </c>
      <c r="G921" t="n">
        <v>10.5</v>
      </c>
      <c r="H921" t="n">
        <v>0</v>
      </c>
      <c r="I921" t="n">
        <v>0</v>
      </c>
      <c r="J921" t="n">
        <v>1</v>
      </c>
      <c r="K921" t="n">
        <v>0</v>
      </c>
      <c r="L921" t="n">
        <v>0</v>
      </c>
      <c r="M921" t="n">
        <v>0</v>
      </c>
      <c r="N921" t="n">
        <v>0</v>
      </c>
      <c r="O921" t="n">
        <v>1</v>
      </c>
      <c r="P921" t="n">
        <v>0</v>
      </c>
      <c r="Q921" t="n">
        <v>1</v>
      </c>
      <c r="R921" s="2" t="inlineStr">
        <is>
          <t>Orange taggsvamp</t>
        </is>
      </c>
      <c r="S921">
        <f>HYPERLINK("https://klasma.github.io/Logging_2417/artfynd/A 33763-2024 artfynd.xlsx", "A 33763-2024")</f>
        <v/>
      </c>
      <c r="T921">
        <f>HYPERLINK("https://klasma.github.io/Logging_2417/kartor/A 33763-2024 karta.png", "A 33763-2024")</f>
        <v/>
      </c>
      <c r="V921">
        <f>HYPERLINK("https://klasma.github.io/Logging_2417/klagomål/A 33763-2024 FSC-klagomål.docx", "A 33763-2024")</f>
        <v/>
      </c>
      <c r="W921">
        <f>HYPERLINK("https://klasma.github.io/Logging_2417/klagomålsmail/A 33763-2024 FSC-klagomål mail.docx", "A 33763-2024")</f>
        <v/>
      </c>
      <c r="X921">
        <f>HYPERLINK("https://klasma.github.io/Logging_2417/tillsyn/A 33763-2024 tillsynsbegäran.docx", "A 33763-2024")</f>
        <v/>
      </c>
      <c r="Y921">
        <f>HYPERLINK("https://klasma.github.io/Logging_2417/tillsynsmail/A 33763-2024 tillsynsbegäran mail.docx", "A 33763-2024")</f>
        <v/>
      </c>
    </row>
    <row r="922" ht="15" customHeight="1">
      <c r="A922" t="inlineStr">
        <is>
          <t>A 34007-2025</t>
        </is>
      </c>
      <c r="B922" s="1" t="n">
        <v>45844.72150462963</v>
      </c>
      <c r="C922" s="1" t="n">
        <v>46075</v>
      </c>
      <c r="D922" t="inlineStr">
        <is>
          <t>VÄSTERBOTTENS LÄN</t>
        </is>
      </c>
      <c r="E922" t="inlineStr">
        <is>
          <t>ROBERTSFORS</t>
        </is>
      </c>
      <c r="G922" t="n">
        <v>1.3</v>
      </c>
      <c r="H922" t="n">
        <v>0</v>
      </c>
      <c r="I922" t="n">
        <v>0</v>
      </c>
      <c r="J922" t="n">
        <v>1</v>
      </c>
      <c r="K922" t="n">
        <v>0</v>
      </c>
      <c r="L922" t="n">
        <v>0</v>
      </c>
      <c r="M922" t="n">
        <v>0</v>
      </c>
      <c r="N922" t="n">
        <v>0</v>
      </c>
      <c r="O922" t="n">
        <v>1</v>
      </c>
      <c r="P922" t="n">
        <v>0</v>
      </c>
      <c r="Q922" t="n">
        <v>1</v>
      </c>
      <c r="R922" s="2" t="inlineStr">
        <is>
          <t>Harticka</t>
        </is>
      </c>
      <c r="S922">
        <f>HYPERLINK("https://klasma.github.io/Logging_2409/artfynd/A 34007-2025 artfynd.xlsx", "A 34007-2025")</f>
        <v/>
      </c>
      <c r="T922">
        <f>HYPERLINK("https://klasma.github.io/Logging_2409/kartor/A 34007-2025 karta.png", "A 34007-2025")</f>
        <v/>
      </c>
      <c r="V922">
        <f>HYPERLINK("https://klasma.github.io/Logging_2409/klagomål/A 34007-2025 FSC-klagomål.docx", "A 34007-2025")</f>
        <v/>
      </c>
      <c r="W922">
        <f>HYPERLINK("https://klasma.github.io/Logging_2409/klagomålsmail/A 34007-2025 FSC-klagomål mail.docx", "A 34007-2025")</f>
        <v/>
      </c>
      <c r="X922">
        <f>HYPERLINK("https://klasma.github.io/Logging_2409/tillsyn/A 34007-2025 tillsynsbegäran.docx", "A 34007-2025")</f>
        <v/>
      </c>
      <c r="Y922">
        <f>HYPERLINK("https://klasma.github.io/Logging_2409/tillsynsmail/A 34007-2025 tillsynsbegäran mail.docx", "A 34007-2025")</f>
        <v/>
      </c>
    </row>
    <row r="923" ht="15" customHeight="1">
      <c r="A923" t="inlineStr">
        <is>
          <t>A 33882-2025</t>
        </is>
      </c>
      <c r="B923" s="1" t="n">
        <v>45842.56947916667</v>
      </c>
      <c r="C923" s="1" t="n">
        <v>46075</v>
      </c>
      <c r="D923" t="inlineStr">
        <is>
          <t>VÄSTERBOTTENS LÄN</t>
        </is>
      </c>
      <c r="E923" t="inlineStr">
        <is>
          <t>STORUMAN</t>
        </is>
      </c>
      <c r="F923" t="inlineStr">
        <is>
          <t>Sveaskog</t>
        </is>
      </c>
      <c r="G923" t="n">
        <v>9.5</v>
      </c>
      <c r="H923" t="n">
        <v>1</v>
      </c>
      <c r="I923" t="n">
        <v>0</v>
      </c>
      <c r="J923" t="n">
        <v>1</v>
      </c>
      <c r="K923" t="n">
        <v>0</v>
      </c>
      <c r="L923" t="n">
        <v>0</v>
      </c>
      <c r="M923" t="n">
        <v>0</v>
      </c>
      <c r="N923" t="n">
        <v>0</v>
      </c>
      <c r="O923" t="n">
        <v>1</v>
      </c>
      <c r="P923" t="n">
        <v>0</v>
      </c>
      <c r="Q923" t="n">
        <v>1</v>
      </c>
      <c r="R923" s="2" t="inlineStr">
        <is>
          <t>Tretåig hackspett</t>
        </is>
      </c>
      <c r="S923">
        <f>HYPERLINK("https://klasma.github.io/Logging_2421/artfynd/A 33882-2025 artfynd.xlsx", "A 33882-2025")</f>
        <v/>
      </c>
      <c r="T923">
        <f>HYPERLINK("https://klasma.github.io/Logging_2421/kartor/A 33882-2025 karta.png", "A 33882-2025")</f>
        <v/>
      </c>
      <c r="V923">
        <f>HYPERLINK("https://klasma.github.io/Logging_2421/klagomål/A 33882-2025 FSC-klagomål.docx", "A 33882-2025")</f>
        <v/>
      </c>
      <c r="W923">
        <f>HYPERLINK("https://klasma.github.io/Logging_2421/klagomålsmail/A 33882-2025 FSC-klagomål mail.docx", "A 33882-2025")</f>
        <v/>
      </c>
      <c r="X923">
        <f>HYPERLINK("https://klasma.github.io/Logging_2421/tillsyn/A 33882-2025 tillsynsbegäran.docx", "A 33882-2025")</f>
        <v/>
      </c>
      <c r="Y923">
        <f>HYPERLINK("https://klasma.github.io/Logging_2421/tillsynsmail/A 33882-2025 tillsynsbegäran mail.docx", "A 33882-2025")</f>
        <v/>
      </c>
      <c r="Z923">
        <f>HYPERLINK("https://klasma.github.io/Logging_2421/fåglar/A 33882-2025 prioriterade fågelarter.docx", "A 33882-2025")</f>
        <v/>
      </c>
    </row>
    <row r="924" ht="15" customHeight="1">
      <c r="A924" t="inlineStr">
        <is>
          <t>A 44079-2025</t>
        </is>
      </c>
      <c r="B924" s="1" t="n">
        <v>45915.55253472222</v>
      </c>
      <c r="C924" s="1" t="n">
        <v>46075</v>
      </c>
      <c r="D924" t="inlineStr">
        <is>
          <t>VÄSTERBOTTENS LÄN</t>
        </is>
      </c>
      <c r="E924" t="inlineStr">
        <is>
          <t>BJURHOLM</t>
        </is>
      </c>
      <c r="F924" t="inlineStr">
        <is>
          <t>SCA</t>
        </is>
      </c>
      <c r="G924" t="n">
        <v>3.6</v>
      </c>
      <c r="H924" t="n">
        <v>0</v>
      </c>
      <c r="I924" t="n">
        <v>1</v>
      </c>
      <c r="J924" t="n">
        <v>0</v>
      </c>
      <c r="K924" t="n">
        <v>0</v>
      </c>
      <c r="L924" t="n">
        <v>0</v>
      </c>
      <c r="M924" t="n">
        <v>0</v>
      </c>
      <c r="N924" t="n">
        <v>0</v>
      </c>
      <c r="O924" t="n">
        <v>0</v>
      </c>
      <c r="P924" t="n">
        <v>0</v>
      </c>
      <c r="Q924" t="n">
        <v>1</v>
      </c>
      <c r="R924" s="2" t="inlineStr">
        <is>
          <t>Dropptaggsvamp</t>
        </is>
      </c>
      <c r="S924">
        <f>HYPERLINK("https://klasma.github.io/Logging_2403/artfynd/A 44079-2025 artfynd.xlsx", "A 44079-2025")</f>
        <v/>
      </c>
      <c r="T924">
        <f>HYPERLINK("https://klasma.github.io/Logging_2403/kartor/A 44079-2025 karta.png", "A 44079-2025")</f>
        <v/>
      </c>
      <c r="V924">
        <f>HYPERLINK("https://klasma.github.io/Logging_2403/klagomål/A 44079-2025 FSC-klagomål.docx", "A 44079-2025")</f>
        <v/>
      </c>
      <c r="W924">
        <f>HYPERLINK("https://klasma.github.io/Logging_2403/klagomålsmail/A 44079-2025 FSC-klagomål mail.docx", "A 44079-2025")</f>
        <v/>
      </c>
      <c r="X924">
        <f>HYPERLINK("https://klasma.github.io/Logging_2403/tillsyn/A 44079-2025 tillsynsbegäran.docx", "A 44079-2025")</f>
        <v/>
      </c>
      <c r="Y924">
        <f>HYPERLINK("https://klasma.github.io/Logging_2403/tillsynsmail/A 44079-2025 tillsynsbegäran mail.docx", "A 44079-2025")</f>
        <v/>
      </c>
    </row>
    <row r="925" ht="15" customHeight="1">
      <c r="A925" t="inlineStr">
        <is>
          <t>A 43701-2025</t>
        </is>
      </c>
      <c r="B925" s="1" t="n">
        <v>45912</v>
      </c>
      <c r="C925" s="1" t="n">
        <v>46075</v>
      </c>
      <c r="D925" t="inlineStr">
        <is>
          <t>VÄSTERBOTTENS LÄN</t>
        </is>
      </c>
      <c r="E925" t="inlineStr">
        <is>
          <t>ROBERTSFORS</t>
        </is>
      </c>
      <c r="F925" t="inlineStr">
        <is>
          <t>Holmen skog AB</t>
        </is>
      </c>
      <c r="G925" t="n">
        <v>1.7</v>
      </c>
      <c r="H925" t="n">
        <v>0</v>
      </c>
      <c r="I925" t="n">
        <v>1</v>
      </c>
      <c r="J925" t="n">
        <v>0</v>
      </c>
      <c r="K925" t="n">
        <v>0</v>
      </c>
      <c r="L925" t="n">
        <v>0</v>
      </c>
      <c r="M925" t="n">
        <v>0</v>
      </c>
      <c r="N925" t="n">
        <v>0</v>
      </c>
      <c r="O925" t="n">
        <v>0</v>
      </c>
      <c r="P925" t="n">
        <v>0</v>
      </c>
      <c r="Q925" t="n">
        <v>1</v>
      </c>
      <c r="R925" s="2" t="inlineStr">
        <is>
          <t>Björksplintborre</t>
        </is>
      </c>
      <c r="S925">
        <f>HYPERLINK("https://klasma.github.io/Logging_2409/artfynd/A 43701-2025 artfynd.xlsx", "A 43701-2025")</f>
        <v/>
      </c>
      <c r="T925">
        <f>HYPERLINK("https://klasma.github.io/Logging_2409/kartor/A 43701-2025 karta.png", "A 43701-2025")</f>
        <v/>
      </c>
      <c r="V925">
        <f>HYPERLINK("https://klasma.github.io/Logging_2409/klagomål/A 43701-2025 FSC-klagomål.docx", "A 43701-2025")</f>
        <v/>
      </c>
      <c r="W925">
        <f>HYPERLINK("https://klasma.github.io/Logging_2409/klagomålsmail/A 43701-2025 FSC-klagomål mail.docx", "A 43701-2025")</f>
        <v/>
      </c>
      <c r="X925">
        <f>HYPERLINK("https://klasma.github.io/Logging_2409/tillsyn/A 43701-2025 tillsynsbegäran.docx", "A 43701-2025")</f>
        <v/>
      </c>
      <c r="Y925">
        <f>HYPERLINK("https://klasma.github.io/Logging_2409/tillsynsmail/A 43701-2025 tillsynsbegäran mail.docx", "A 43701-2025")</f>
        <v/>
      </c>
    </row>
    <row r="926" ht="15" customHeight="1">
      <c r="A926" t="inlineStr">
        <is>
          <t>A 55622-2024</t>
        </is>
      </c>
      <c r="B926" s="1" t="n">
        <v>45622.59461805555</v>
      </c>
      <c r="C926" s="1" t="n">
        <v>46075</v>
      </c>
      <c r="D926" t="inlineStr">
        <is>
          <t>VÄSTERBOTTENS LÄN</t>
        </is>
      </c>
      <c r="E926" t="inlineStr">
        <is>
          <t>DOROTEA</t>
        </is>
      </c>
      <c r="F926" t="inlineStr">
        <is>
          <t>SCA</t>
        </is>
      </c>
      <c r="G926" t="n">
        <v>5.7</v>
      </c>
      <c r="H926" t="n">
        <v>1</v>
      </c>
      <c r="I926" t="n">
        <v>0</v>
      </c>
      <c r="J926" t="n">
        <v>0</v>
      </c>
      <c r="K926" t="n">
        <v>0</v>
      </c>
      <c r="L926" t="n">
        <v>0</v>
      </c>
      <c r="M926" t="n">
        <v>0</v>
      </c>
      <c r="N926" t="n">
        <v>0</v>
      </c>
      <c r="O926" t="n">
        <v>0</v>
      </c>
      <c r="P926" t="n">
        <v>0</v>
      </c>
      <c r="Q926" t="n">
        <v>1</v>
      </c>
      <c r="R926" s="2" t="inlineStr">
        <is>
          <t>Fläcknycklar</t>
        </is>
      </c>
      <c r="S926">
        <f>HYPERLINK("https://klasma.github.io/Logging_2425/artfynd/A 55622-2024 artfynd.xlsx", "A 55622-2024")</f>
        <v/>
      </c>
      <c r="T926">
        <f>HYPERLINK("https://klasma.github.io/Logging_2425/kartor/A 55622-2024 karta.png", "A 55622-2024")</f>
        <v/>
      </c>
      <c r="V926">
        <f>HYPERLINK("https://klasma.github.io/Logging_2425/klagomål/A 55622-2024 FSC-klagomål.docx", "A 55622-2024")</f>
        <v/>
      </c>
      <c r="W926">
        <f>HYPERLINK("https://klasma.github.io/Logging_2425/klagomålsmail/A 55622-2024 FSC-klagomål mail.docx", "A 55622-2024")</f>
        <v/>
      </c>
      <c r="X926">
        <f>HYPERLINK("https://klasma.github.io/Logging_2425/tillsyn/A 55622-2024 tillsynsbegäran.docx", "A 55622-2024")</f>
        <v/>
      </c>
      <c r="Y926">
        <f>HYPERLINK("https://klasma.github.io/Logging_2425/tillsynsmail/A 55622-2024 tillsynsbegäran mail.docx", "A 55622-2024")</f>
        <v/>
      </c>
    </row>
    <row r="927" ht="15" customHeight="1">
      <c r="A927" t="inlineStr">
        <is>
          <t>A 58657-2023</t>
        </is>
      </c>
      <c r="B927" s="1" t="n">
        <v>45251</v>
      </c>
      <c r="C927" s="1" t="n">
        <v>46075</v>
      </c>
      <c r="D927" t="inlineStr">
        <is>
          <t>VÄSTERBOTTENS LÄN</t>
        </is>
      </c>
      <c r="E927" t="inlineStr">
        <is>
          <t>LYCKSELE</t>
        </is>
      </c>
      <c r="F927" t="inlineStr">
        <is>
          <t>Sveaskog</t>
        </is>
      </c>
      <c r="G927" t="n">
        <v>14.4</v>
      </c>
      <c r="H927" t="n">
        <v>0</v>
      </c>
      <c r="I927" t="n">
        <v>1</v>
      </c>
      <c r="J927" t="n">
        <v>0</v>
      </c>
      <c r="K927" t="n">
        <v>0</v>
      </c>
      <c r="L927" t="n">
        <v>0</v>
      </c>
      <c r="M927" t="n">
        <v>0</v>
      </c>
      <c r="N927" t="n">
        <v>0</v>
      </c>
      <c r="O927" t="n">
        <v>0</v>
      </c>
      <c r="P927" t="n">
        <v>0</v>
      </c>
      <c r="Q927" t="n">
        <v>1</v>
      </c>
      <c r="R927" s="2" t="inlineStr">
        <is>
          <t>Bollvitmossa</t>
        </is>
      </c>
      <c r="S927">
        <f>HYPERLINK("https://klasma.github.io/Logging_2481/artfynd/A 58657-2023 artfynd.xlsx", "A 58657-2023")</f>
        <v/>
      </c>
      <c r="T927">
        <f>HYPERLINK("https://klasma.github.io/Logging_2481/kartor/A 58657-2023 karta.png", "A 58657-2023")</f>
        <v/>
      </c>
      <c r="V927">
        <f>HYPERLINK("https://klasma.github.io/Logging_2481/klagomål/A 58657-2023 FSC-klagomål.docx", "A 58657-2023")</f>
        <v/>
      </c>
      <c r="W927">
        <f>HYPERLINK("https://klasma.github.io/Logging_2481/klagomålsmail/A 58657-2023 FSC-klagomål mail.docx", "A 58657-2023")</f>
        <v/>
      </c>
      <c r="X927">
        <f>HYPERLINK("https://klasma.github.io/Logging_2481/tillsyn/A 58657-2023 tillsynsbegäran.docx", "A 58657-2023")</f>
        <v/>
      </c>
      <c r="Y927">
        <f>HYPERLINK("https://klasma.github.io/Logging_2481/tillsynsmail/A 58657-2023 tillsynsbegäran mail.docx", "A 58657-2023")</f>
        <v/>
      </c>
    </row>
    <row r="928" ht="15" customHeight="1">
      <c r="A928" t="inlineStr">
        <is>
          <t>A 34496-2025</t>
        </is>
      </c>
      <c r="B928" s="1" t="n">
        <v>45847</v>
      </c>
      <c r="C928" s="1" t="n">
        <v>46075</v>
      </c>
      <c r="D928" t="inlineStr">
        <is>
          <t>VÄSTERBOTTENS LÄN</t>
        </is>
      </c>
      <c r="E928" t="inlineStr">
        <is>
          <t>UMEÅ</t>
        </is>
      </c>
      <c r="G928" t="n">
        <v>4.6</v>
      </c>
      <c r="H928" t="n">
        <v>1</v>
      </c>
      <c r="I928" t="n">
        <v>0</v>
      </c>
      <c r="J928" t="n">
        <v>0</v>
      </c>
      <c r="K928" t="n">
        <v>0</v>
      </c>
      <c r="L928" t="n">
        <v>0</v>
      </c>
      <c r="M928" t="n">
        <v>0</v>
      </c>
      <c r="N928" t="n">
        <v>0</v>
      </c>
      <c r="O928" t="n">
        <v>0</v>
      </c>
      <c r="P928" t="n">
        <v>0</v>
      </c>
      <c r="Q928" t="n">
        <v>1</v>
      </c>
      <c r="R928" s="2" t="inlineStr">
        <is>
          <t>Kungsfågel</t>
        </is>
      </c>
      <c r="S928">
        <f>HYPERLINK("https://klasma.github.io/Logging_2480/artfynd/A 34496-2025 artfynd.xlsx", "A 34496-2025")</f>
        <v/>
      </c>
      <c r="T928">
        <f>HYPERLINK("https://klasma.github.io/Logging_2480/kartor/A 34496-2025 karta.png", "A 34496-2025")</f>
        <v/>
      </c>
      <c r="V928">
        <f>HYPERLINK("https://klasma.github.io/Logging_2480/klagomål/A 34496-2025 FSC-klagomål.docx", "A 34496-2025")</f>
        <v/>
      </c>
      <c r="W928">
        <f>HYPERLINK("https://klasma.github.io/Logging_2480/klagomålsmail/A 34496-2025 FSC-klagomål mail.docx", "A 34496-2025")</f>
        <v/>
      </c>
      <c r="X928">
        <f>HYPERLINK("https://klasma.github.io/Logging_2480/tillsyn/A 34496-2025 tillsynsbegäran.docx", "A 34496-2025")</f>
        <v/>
      </c>
      <c r="Y928">
        <f>HYPERLINK("https://klasma.github.io/Logging_2480/tillsynsmail/A 34496-2025 tillsynsbegäran mail.docx", "A 34496-2025")</f>
        <v/>
      </c>
      <c r="Z928">
        <f>HYPERLINK("https://klasma.github.io/Logging_2480/fåglar/A 34496-2025 prioriterade fågelarter.docx", "A 34496-2025")</f>
        <v/>
      </c>
    </row>
    <row r="929" ht="15" customHeight="1">
      <c r="A929" t="inlineStr">
        <is>
          <t>A 34497-2025</t>
        </is>
      </c>
      <c r="B929" s="1" t="n">
        <v>45847.42752314815</v>
      </c>
      <c r="C929" s="1" t="n">
        <v>46075</v>
      </c>
      <c r="D929" t="inlineStr">
        <is>
          <t>VÄSTERBOTTENS LÄN</t>
        </is>
      </c>
      <c r="E929" t="inlineStr">
        <is>
          <t>VINDELN</t>
        </is>
      </c>
      <c r="F929" t="inlineStr">
        <is>
          <t>SCA</t>
        </is>
      </c>
      <c r="G929" t="n">
        <v>4.8</v>
      </c>
      <c r="H929" t="n">
        <v>0</v>
      </c>
      <c r="I929" t="n">
        <v>0</v>
      </c>
      <c r="J929" t="n">
        <v>1</v>
      </c>
      <c r="K929" t="n">
        <v>0</v>
      </c>
      <c r="L929" t="n">
        <v>0</v>
      </c>
      <c r="M929" t="n">
        <v>0</v>
      </c>
      <c r="N929" t="n">
        <v>0</v>
      </c>
      <c r="O929" t="n">
        <v>1</v>
      </c>
      <c r="P929" t="n">
        <v>0</v>
      </c>
      <c r="Q929" t="n">
        <v>1</v>
      </c>
      <c r="R929" s="2" t="inlineStr">
        <is>
          <t>Lunglav</t>
        </is>
      </c>
      <c r="S929">
        <f>HYPERLINK("https://klasma.github.io/Logging_2404/artfynd/A 34497-2025 artfynd.xlsx", "A 34497-2025")</f>
        <v/>
      </c>
      <c r="T929">
        <f>HYPERLINK("https://klasma.github.io/Logging_2404/kartor/A 34497-2025 karta.png", "A 34497-2025")</f>
        <v/>
      </c>
      <c r="V929">
        <f>HYPERLINK("https://klasma.github.io/Logging_2404/klagomål/A 34497-2025 FSC-klagomål.docx", "A 34497-2025")</f>
        <v/>
      </c>
      <c r="W929">
        <f>HYPERLINK("https://klasma.github.io/Logging_2404/klagomålsmail/A 34497-2025 FSC-klagomål mail.docx", "A 34497-2025")</f>
        <v/>
      </c>
      <c r="X929">
        <f>HYPERLINK("https://klasma.github.io/Logging_2404/tillsyn/A 34497-2025 tillsynsbegäran.docx", "A 34497-2025")</f>
        <v/>
      </c>
      <c r="Y929">
        <f>HYPERLINK("https://klasma.github.io/Logging_2404/tillsynsmail/A 34497-2025 tillsynsbegäran mail.docx", "A 34497-2025")</f>
        <v/>
      </c>
    </row>
    <row r="930" ht="15" customHeight="1">
      <c r="A930" t="inlineStr">
        <is>
          <t>A 34758-2025</t>
        </is>
      </c>
      <c r="B930" s="1" t="n">
        <v>45848.63575231482</v>
      </c>
      <c r="C930" s="1" t="n">
        <v>46075</v>
      </c>
      <c r="D930" t="inlineStr">
        <is>
          <t>VÄSTERBOTTENS LÄN</t>
        </is>
      </c>
      <c r="E930" t="inlineStr">
        <is>
          <t>ROBERTSFORS</t>
        </is>
      </c>
      <c r="G930" t="n">
        <v>5</v>
      </c>
      <c r="H930" t="n">
        <v>1</v>
      </c>
      <c r="I930" t="n">
        <v>0</v>
      </c>
      <c r="J930" t="n">
        <v>0</v>
      </c>
      <c r="K930" t="n">
        <v>0</v>
      </c>
      <c r="L930" t="n">
        <v>0</v>
      </c>
      <c r="M930" t="n">
        <v>0</v>
      </c>
      <c r="N930" t="n">
        <v>0</v>
      </c>
      <c r="O930" t="n">
        <v>0</v>
      </c>
      <c r="P930" t="n">
        <v>0</v>
      </c>
      <c r="Q930" t="n">
        <v>1</v>
      </c>
      <c r="R930" s="2" t="inlineStr">
        <is>
          <t>Tjäder</t>
        </is>
      </c>
      <c r="S930">
        <f>HYPERLINK("https://klasma.github.io/Logging_2409/artfynd/A 34758-2025 artfynd.xlsx", "A 34758-2025")</f>
        <v/>
      </c>
      <c r="T930">
        <f>HYPERLINK("https://klasma.github.io/Logging_2409/kartor/A 34758-2025 karta.png", "A 34758-2025")</f>
        <v/>
      </c>
      <c r="V930">
        <f>HYPERLINK("https://klasma.github.io/Logging_2409/klagomål/A 34758-2025 FSC-klagomål.docx", "A 34758-2025")</f>
        <v/>
      </c>
      <c r="W930">
        <f>HYPERLINK("https://klasma.github.io/Logging_2409/klagomålsmail/A 34758-2025 FSC-klagomål mail.docx", "A 34758-2025")</f>
        <v/>
      </c>
      <c r="X930">
        <f>HYPERLINK("https://klasma.github.io/Logging_2409/tillsyn/A 34758-2025 tillsynsbegäran.docx", "A 34758-2025")</f>
        <v/>
      </c>
      <c r="Y930">
        <f>HYPERLINK("https://klasma.github.io/Logging_2409/tillsynsmail/A 34758-2025 tillsynsbegäran mail.docx", "A 34758-2025")</f>
        <v/>
      </c>
      <c r="Z930">
        <f>HYPERLINK("https://klasma.github.io/Logging_2409/fåglar/A 34758-2025 prioriterade fågelarter.docx", "A 34758-2025")</f>
        <v/>
      </c>
    </row>
    <row r="931" ht="15" customHeight="1">
      <c r="A931" t="inlineStr">
        <is>
          <t>A 34958-2025</t>
        </is>
      </c>
      <c r="B931" s="1" t="n">
        <v>45849.61287037037</v>
      </c>
      <c r="C931" s="1" t="n">
        <v>46075</v>
      </c>
      <c r="D931" t="inlineStr">
        <is>
          <t>VÄSTERBOTTENS LÄN</t>
        </is>
      </c>
      <c r="E931" t="inlineStr">
        <is>
          <t>LYCKSELE</t>
        </is>
      </c>
      <c r="F931" t="inlineStr">
        <is>
          <t>Sveaskog</t>
        </is>
      </c>
      <c r="G931" t="n">
        <v>4.1</v>
      </c>
      <c r="H931" t="n">
        <v>1</v>
      </c>
      <c r="I931" t="n">
        <v>0</v>
      </c>
      <c r="J931" t="n">
        <v>1</v>
      </c>
      <c r="K931" t="n">
        <v>0</v>
      </c>
      <c r="L931" t="n">
        <v>0</v>
      </c>
      <c r="M931" t="n">
        <v>0</v>
      </c>
      <c r="N931" t="n">
        <v>0</v>
      </c>
      <c r="O931" t="n">
        <v>1</v>
      </c>
      <c r="P931" t="n">
        <v>0</v>
      </c>
      <c r="Q931" t="n">
        <v>1</v>
      </c>
      <c r="R931" s="2" t="inlineStr">
        <is>
          <t>Spillkråka</t>
        </is>
      </c>
      <c r="S931">
        <f>HYPERLINK("https://klasma.github.io/Logging_2481/artfynd/A 34958-2025 artfynd.xlsx", "A 34958-2025")</f>
        <v/>
      </c>
      <c r="T931">
        <f>HYPERLINK("https://klasma.github.io/Logging_2481/kartor/A 34958-2025 karta.png", "A 34958-2025")</f>
        <v/>
      </c>
      <c r="V931">
        <f>HYPERLINK("https://klasma.github.io/Logging_2481/klagomål/A 34958-2025 FSC-klagomål.docx", "A 34958-2025")</f>
        <v/>
      </c>
      <c r="W931">
        <f>HYPERLINK("https://klasma.github.io/Logging_2481/klagomålsmail/A 34958-2025 FSC-klagomål mail.docx", "A 34958-2025")</f>
        <v/>
      </c>
      <c r="X931">
        <f>HYPERLINK("https://klasma.github.io/Logging_2481/tillsyn/A 34958-2025 tillsynsbegäran.docx", "A 34958-2025")</f>
        <v/>
      </c>
      <c r="Y931">
        <f>HYPERLINK("https://klasma.github.io/Logging_2481/tillsynsmail/A 34958-2025 tillsynsbegäran mail.docx", "A 34958-2025")</f>
        <v/>
      </c>
      <c r="Z931">
        <f>HYPERLINK("https://klasma.github.io/Logging_2481/fåglar/A 34958-2025 prioriterade fågelarter.docx", "A 34958-2025")</f>
        <v/>
      </c>
    </row>
    <row r="932" ht="15" customHeight="1">
      <c r="A932" t="inlineStr">
        <is>
          <t>A 35239-2025</t>
        </is>
      </c>
      <c r="B932" s="1" t="n">
        <v>45853.61649305555</v>
      </c>
      <c r="C932" s="1" t="n">
        <v>46075</v>
      </c>
      <c r="D932" t="inlineStr">
        <is>
          <t>VÄSTERBOTTENS LÄN</t>
        </is>
      </c>
      <c r="E932" t="inlineStr">
        <is>
          <t>LYCKSELE</t>
        </is>
      </c>
      <c r="F932" t="inlineStr">
        <is>
          <t>Sveaskog</t>
        </is>
      </c>
      <c r="G932" t="n">
        <v>8.699999999999999</v>
      </c>
      <c r="H932" t="n">
        <v>0</v>
      </c>
      <c r="I932" t="n">
        <v>0</v>
      </c>
      <c r="J932" t="n">
        <v>1</v>
      </c>
      <c r="K932" t="n">
        <v>0</v>
      </c>
      <c r="L932" t="n">
        <v>0</v>
      </c>
      <c r="M932" t="n">
        <v>0</v>
      </c>
      <c r="N932" t="n">
        <v>0</v>
      </c>
      <c r="O932" t="n">
        <v>1</v>
      </c>
      <c r="P932" t="n">
        <v>0</v>
      </c>
      <c r="Q932" t="n">
        <v>1</v>
      </c>
      <c r="R932" s="2" t="inlineStr">
        <is>
          <t>Gammelgransskål</t>
        </is>
      </c>
      <c r="S932">
        <f>HYPERLINK("https://klasma.github.io/Logging_2481/artfynd/A 35239-2025 artfynd.xlsx", "A 35239-2025")</f>
        <v/>
      </c>
      <c r="T932">
        <f>HYPERLINK("https://klasma.github.io/Logging_2481/kartor/A 35239-2025 karta.png", "A 35239-2025")</f>
        <v/>
      </c>
      <c r="V932">
        <f>HYPERLINK("https://klasma.github.io/Logging_2481/klagomål/A 35239-2025 FSC-klagomål.docx", "A 35239-2025")</f>
        <v/>
      </c>
      <c r="W932">
        <f>HYPERLINK("https://klasma.github.io/Logging_2481/klagomålsmail/A 35239-2025 FSC-klagomål mail.docx", "A 35239-2025")</f>
        <v/>
      </c>
      <c r="X932">
        <f>HYPERLINK("https://klasma.github.io/Logging_2481/tillsyn/A 35239-2025 tillsynsbegäran.docx", "A 35239-2025")</f>
        <v/>
      </c>
      <c r="Y932">
        <f>HYPERLINK("https://klasma.github.io/Logging_2481/tillsynsmail/A 35239-2025 tillsynsbegäran mail.docx", "A 35239-2025")</f>
        <v/>
      </c>
    </row>
    <row r="933" ht="15" customHeight="1">
      <c r="A933" t="inlineStr">
        <is>
          <t>A 44331-2025</t>
        </is>
      </c>
      <c r="B933" s="1" t="n">
        <v>45916.42150462963</v>
      </c>
      <c r="C933" s="1" t="n">
        <v>46075</v>
      </c>
      <c r="D933" t="inlineStr">
        <is>
          <t>VÄSTERBOTTENS LÄN</t>
        </is>
      </c>
      <c r="E933" t="inlineStr">
        <is>
          <t>LYCKSELE</t>
        </is>
      </c>
      <c r="F933" t="inlineStr">
        <is>
          <t>Sveaskog</t>
        </is>
      </c>
      <c r="G933" t="n">
        <v>4.8</v>
      </c>
      <c r="H933" t="n">
        <v>0</v>
      </c>
      <c r="I933" t="n">
        <v>0</v>
      </c>
      <c r="J933" t="n">
        <v>1</v>
      </c>
      <c r="K933" t="n">
        <v>0</v>
      </c>
      <c r="L933" t="n">
        <v>0</v>
      </c>
      <c r="M933" t="n">
        <v>0</v>
      </c>
      <c r="N933" t="n">
        <v>0</v>
      </c>
      <c r="O933" t="n">
        <v>1</v>
      </c>
      <c r="P933" t="n">
        <v>0</v>
      </c>
      <c r="Q933" t="n">
        <v>1</v>
      </c>
      <c r="R933" s="2" t="inlineStr">
        <is>
          <t>Kolflarnlav</t>
        </is>
      </c>
      <c r="S933">
        <f>HYPERLINK("https://klasma.github.io/Logging_2481/artfynd/A 44331-2025 artfynd.xlsx", "A 44331-2025")</f>
        <v/>
      </c>
      <c r="T933">
        <f>HYPERLINK("https://klasma.github.io/Logging_2481/kartor/A 44331-2025 karta.png", "A 44331-2025")</f>
        <v/>
      </c>
      <c r="V933">
        <f>HYPERLINK("https://klasma.github.io/Logging_2481/klagomål/A 44331-2025 FSC-klagomål.docx", "A 44331-2025")</f>
        <v/>
      </c>
      <c r="W933">
        <f>HYPERLINK("https://klasma.github.io/Logging_2481/klagomålsmail/A 44331-2025 FSC-klagomål mail.docx", "A 44331-2025")</f>
        <v/>
      </c>
      <c r="X933">
        <f>HYPERLINK("https://klasma.github.io/Logging_2481/tillsyn/A 44331-2025 tillsynsbegäran.docx", "A 44331-2025")</f>
        <v/>
      </c>
      <c r="Y933">
        <f>HYPERLINK("https://klasma.github.io/Logging_2481/tillsynsmail/A 44331-2025 tillsynsbegäran mail.docx", "A 44331-2025")</f>
        <v/>
      </c>
    </row>
    <row r="934" ht="15" customHeight="1">
      <c r="A934" t="inlineStr">
        <is>
          <t>A 1694-2025</t>
        </is>
      </c>
      <c r="B934" s="1" t="n">
        <v>45670</v>
      </c>
      <c r="C934" s="1" t="n">
        <v>46075</v>
      </c>
      <c r="D934" t="inlineStr">
        <is>
          <t>VÄSTERBOTTENS LÄN</t>
        </is>
      </c>
      <c r="E934" t="inlineStr">
        <is>
          <t>SKELLEFTEÅ</t>
        </is>
      </c>
      <c r="G934" t="n">
        <v>1.8</v>
      </c>
      <c r="H934" t="n">
        <v>1</v>
      </c>
      <c r="I934" t="n">
        <v>0</v>
      </c>
      <c r="J934" t="n">
        <v>1</v>
      </c>
      <c r="K934" t="n">
        <v>0</v>
      </c>
      <c r="L934" t="n">
        <v>0</v>
      </c>
      <c r="M934" t="n">
        <v>0</v>
      </c>
      <c r="N934" t="n">
        <v>0</v>
      </c>
      <c r="O934" t="n">
        <v>1</v>
      </c>
      <c r="P934" t="n">
        <v>0</v>
      </c>
      <c r="Q934" t="n">
        <v>1</v>
      </c>
      <c r="R934" s="2" t="inlineStr">
        <is>
          <t>Spillkråka</t>
        </is>
      </c>
      <c r="S934">
        <f>HYPERLINK("https://klasma.github.io/Logging_2482/artfynd/A 1694-2025 artfynd.xlsx", "A 1694-2025")</f>
        <v/>
      </c>
      <c r="T934">
        <f>HYPERLINK("https://klasma.github.io/Logging_2482/kartor/A 1694-2025 karta.png", "A 1694-2025")</f>
        <v/>
      </c>
      <c r="V934">
        <f>HYPERLINK("https://klasma.github.io/Logging_2482/klagomål/A 1694-2025 FSC-klagomål.docx", "A 1694-2025")</f>
        <v/>
      </c>
      <c r="W934">
        <f>HYPERLINK("https://klasma.github.io/Logging_2482/klagomålsmail/A 1694-2025 FSC-klagomål mail.docx", "A 1694-2025")</f>
        <v/>
      </c>
      <c r="X934">
        <f>HYPERLINK("https://klasma.github.io/Logging_2482/tillsyn/A 1694-2025 tillsynsbegäran.docx", "A 1694-2025")</f>
        <v/>
      </c>
      <c r="Y934">
        <f>HYPERLINK("https://klasma.github.io/Logging_2482/tillsynsmail/A 1694-2025 tillsynsbegäran mail.docx", "A 1694-2025")</f>
        <v/>
      </c>
      <c r="Z934">
        <f>HYPERLINK("https://klasma.github.io/Logging_2482/fåglar/A 1694-2025 prioriterade fågelarter.docx", "A 1694-2025")</f>
        <v/>
      </c>
    </row>
    <row r="935" ht="15" customHeight="1">
      <c r="A935" t="inlineStr">
        <is>
          <t>A 35233-2025</t>
        </is>
      </c>
      <c r="B935" s="1" t="n">
        <v>45853.59981481481</v>
      </c>
      <c r="C935" s="1" t="n">
        <v>46075</v>
      </c>
      <c r="D935" t="inlineStr">
        <is>
          <t>VÄSTERBOTTENS LÄN</t>
        </is>
      </c>
      <c r="E935" t="inlineStr">
        <is>
          <t>LYCKSELE</t>
        </is>
      </c>
      <c r="F935" t="inlineStr">
        <is>
          <t>Sveaskog</t>
        </is>
      </c>
      <c r="G935" t="n">
        <v>21.5</v>
      </c>
      <c r="H935" t="n">
        <v>0</v>
      </c>
      <c r="I935" t="n">
        <v>0</v>
      </c>
      <c r="J935" t="n">
        <v>1</v>
      </c>
      <c r="K935" t="n">
        <v>0</v>
      </c>
      <c r="L935" t="n">
        <v>0</v>
      </c>
      <c r="M935" t="n">
        <v>0</v>
      </c>
      <c r="N935" t="n">
        <v>0</v>
      </c>
      <c r="O935" t="n">
        <v>1</v>
      </c>
      <c r="P935" t="n">
        <v>0</v>
      </c>
      <c r="Q935" t="n">
        <v>1</v>
      </c>
      <c r="R935" s="2" t="inlineStr">
        <is>
          <t>Lunglav</t>
        </is>
      </c>
      <c r="S935">
        <f>HYPERLINK("https://klasma.github.io/Logging_2481/artfynd/A 35233-2025 artfynd.xlsx", "A 35233-2025")</f>
        <v/>
      </c>
      <c r="T935">
        <f>HYPERLINK("https://klasma.github.io/Logging_2481/kartor/A 35233-2025 karta.png", "A 35233-2025")</f>
        <v/>
      </c>
      <c r="V935">
        <f>HYPERLINK("https://klasma.github.io/Logging_2481/klagomål/A 35233-2025 FSC-klagomål.docx", "A 35233-2025")</f>
        <v/>
      </c>
      <c r="W935">
        <f>HYPERLINK("https://klasma.github.io/Logging_2481/klagomålsmail/A 35233-2025 FSC-klagomål mail.docx", "A 35233-2025")</f>
        <v/>
      </c>
      <c r="X935">
        <f>HYPERLINK("https://klasma.github.io/Logging_2481/tillsyn/A 35233-2025 tillsynsbegäran.docx", "A 35233-2025")</f>
        <v/>
      </c>
      <c r="Y935">
        <f>HYPERLINK("https://klasma.github.io/Logging_2481/tillsynsmail/A 35233-2025 tillsynsbegäran mail.docx", "A 35233-2025")</f>
        <v/>
      </c>
    </row>
    <row r="936" ht="15" customHeight="1">
      <c r="A936" t="inlineStr">
        <is>
          <t>A 45127-2025</t>
        </is>
      </c>
      <c r="B936" s="1" t="n">
        <v>45919.43388888889</v>
      </c>
      <c r="C936" s="1" t="n">
        <v>46075</v>
      </c>
      <c r="D936" t="inlineStr">
        <is>
          <t>VÄSTERBOTTENS LÄN</t>
        </is>
      </c>
      <c r="E936" t="inlineStr">
        <is>
          <t>LYCKSELE</t>
        </is>
      </c>
      <c r="F936" t="inlineStr">
        <is>
          <t>Sveaskog</t>
        </is>
      </c>
      <c r="G936" t="n">
        <v>21.6</v>
      </c>
      <c r="H936" t="n">
        <v>0</v>
      </c>
      <c r="I936" t="n">
        <v>0</v>
      </c>
      <c r="J936" t="n">
        <v>1</v>
      </c>
      <c r="K936" t="n">
        <v>0</v>
      </c>
      <c r="L936" t="n">
        <v>0</v>
      </c>
      <c r="M936" t="n">
        <v>0</v>
      </c>
      <c r="N936" t="n">
        <v>0</v>
      </c>
      <c r="O936" t="n">
        <v>1</v>
      </c>
      <c r="P936" t="n">
        <v>0</v>
      </c>
      <c r="Q936" t="n">
        <v>1</v>
      </c>
      <c r="R936" s="2" t="inlineStr">
        <is>
          <t>Kolflarnlav</t>
        </is>
      </c>
      <c r="S936">
        <f>HYPERLINK("https://klasma.github.io/Logging_2481/artfynd/A 45127-2025 artfynd.xlsx", "A 45127-2025")</f>
        <v/>
      </c>
      <c r="T936">
        <f>HYPERLINK("https://klasma.github.io/Logging_2481/kartor/A 45127-2025 karta.png", "A 45127-2025")</f>
        <v/>
      </c>
      <c r="V936">
        <f>HYPERLINK("https://klasma.github.io/Logging_2481/klagomål/A 45127-2025 FSC-klagomål.docx", "A 45127-2025")</f>
        <v/>
      </c>
      <c r="W936">
        <f>HYPERLINK("https://klasma.github.io/Logging_2481/klagomålsmail/A 45127-2025 FSC-klagomål mail.docx", "A 45127-2025")</f>
        <v/>
      </c>
      <c r="X936">
        <f>HYPERLINK("https://klasma.github.io/Logging_2481/tillsyn/A 45127-2025 tillsynsbegäran.docx", "A 45127-2025")</f>
        <v/>
      </c>
      <c r="Y936">
        <f>HYPERLINK("https://klasma.github.io/Logging_2481/tillsynsmail/A 45127-2025 tillsynsbegäran mail.docx", "A 45127-2025")</f>
        <v/>
      </c>
    </row>
    <row r="937" ht="15" customHeight="1">
      <c r="A937" t="inlineStr">
        <is>
          <t>A 44974-2025</t>
        </is>
      </c>
      <c r="B937" s="1" t="n">
        <v>45918.64247685186</v>
      </c>
      <c r="C937" s="1" t="n">
        <v>46075</v>
      </c>
      <c r="D937" t="inlineStr">
        <is>
          <t>VÄSTERBOTTENS LÄN</t>
        </is>
      </c>
      <c r="E937" t="inlineStr">
        <is>
          <t>LYCKSELE</t>
        </is>
      </c>
      <c r="F937" t="inlineStr">
        <is>
          <t>Sveaskog</t>
        </is>
      </c>
      <c r="G937" t="n">
        <v>19.2</v>
      </c>
      <c r="H937" t="n">
        <v>0</v>
      </c>
      <c r="I937" t="n">
        <v>0</v>
      </c>
      <c r="J937" t="n">
        <v>1</v>
      </c>
      <c r="K937" t="n">
        <v>0</v>
      </c>
      <c r="L937" t="n">
        <v>0</v>
      </c>
      <c r="M937" t="n">
        <v>0</v>
      </c>
      <c r="N937" t="n">
        <v>0</v>
      </c>
      <c r="O937" t="n">
        <v>1</v>
      </c>
      <c r="P937" t="n">
        <v>0</v>
      </c>
      <c r="Q937" t="n">
        <v>1</v>
      </c>
      <c r="R937" s="2" t="inlineStr">
        <is>
          <t>Kolflarnlav</t>
        </is>
      </c>
      <c r="S937">
        <f>HYPERLINK("https://klasma.github.io/Logging_2481/artfynd/A 44974-2025 artfynd.xlsx", "A 44974-2025")</f>
        <v/>
      </c>
      <c r="T937">
        <f>HYPERLINK("https://klasma.github.io/Logging_2481/kartor/A 44974-2025 karta.png", "A 44974-2025")</f>
        <v/>
      </c>
      <c r="V937">
        <f>HYPERLINK("https://klasma.github.io/Logging_2481/klagomål/A 44974-2025 FSC-klagomål.docx", "A 44974-2025")</f>
        <v/>
      </c>
      <c r="W937">
        <f>HYPERLINK("https://klasma.github.io/Logging_2481/klagomålsmail/A 44974-2025 FSC-klagomål mail.docx", "A 44974-2025")</f>
        <v/>
      </c>
      <c r="X937">
        <f>HYPERLINK("https://klasma.github.io/Logging_2481/tillsyn/A 44974-2025 tillsynsbegäran.docx", "A 44974-2025")</f>
        <v/>
      </c>
      <c r="Y937">
        <f>HYPERLINK("https://klasma.github.io/Logging_2481/tillsynsmail/A 44974-2025 tillsynsbegäran mail.docx", "A 44974-2025")</f>
        <v/>
      </c>
    </row>
    <row r="938" ht="15" customHeight="1">
      <c r="A938" t="inlineStr">
        <is>
          <t>A 35226-2025</t>
        </is>
      </c>
      <c r="B938" s="1" t="n">
        <v>45853.58109953703</v>
      </c>
      <c r="C938" s="1" t="n">
        <v>46075</v>
      </c>
      <c r="D938" t="inlineStr">
        <is>
          <t>VÄSTERBOTTENS LÄN</t>
        </is>
      </c>
      <c r="E938" t="inlineStr">
        <is>
          <t>LYCKSELE</t>
        </is>
      </c>
      <c r="F938" t="inlineStr">
        <is>
          <t>Sveaskog</t>
        </is>
      </c>
      <c r="G938" t="n">
        <v>14.7</v>
      </c>
      <c r="H938" t="n">
        <v>1</v>
      </c>
      <c r="I938" t="n">
        <v>0</v>
      </c>
      <c r="J938" t="n">
        <v>1</v>
      </c>
      <c r="K938" t="n">
        <v>0</v>
      </c>
      <c r="L938" t="n">
        <v>0</v>
      </c>
      <c r="M938" t="n">
        <v>0</v>
      </c>
      <c r="N938" t="n">
        <v>0</v>
      </c>
      <c r="O938" t="n">
        <v>1</v>
      </c>
      <c r="P938" t="n">
        <v>0</v>
      </c>
      <c r="Q938" t="n">
        <v>1</v>
      </c>
      <c r="R938" s="2" t="inlineStr">
        <is>
          <t>Tretåig hackspett</t>
        </is>
      </c>
      <c r="S938">
        <f>HYPERLINK("https://klasma.github.io/Logging_2481/artfynd/A 35226-2025 artfynd.xlsx", "A 35226-2025")</f>
        <v/>
      </c>
      <c r="T938">
        <f>HYPERLINK("https://klasma.github.io/Logging_2481/kartor/A 35226-2025 karta.png", "A 35226-2025")</f>
        <v/>
      </c>
      <c r="V938">
        <f>HYPERLINK("https://klasma.github.io/Logging_2481/klagomål/A 35226-2025 FSC-klagomål.docx", "A 35226-2025")</f>
        <v/>
      </c>
      <c r="W938">
        <f>HYPERLINK("https://klasma.github.io/Logging_2481/klagomålsmail/A 35226-2025 FSC-klagomål mail.docx", "A 35226-2025")</f>
        <v/>
      </c>
      <c r="X938">
        <f>HYPERLINK("https://klasma.github.io/Logging_2481/tillsyn/A 35226-2025 tillsynsbegäran.docx", "A 35226-2025")</f>
        <v/>
      </c>
      <c r="Y938">
        <f>HYPERLINK("https://klasma.github.io/Logging_2481/tillsynsmail/A 35226-2025 tillsynsbegäran mail.docx", "A 35226-2025")</f>
        <v/>
      </c>
      <c r="Z938">
        <f>HYPERLINK("https://klasma.github.io/Logging_2481/fåglar/A 35226-2025 prioriterade fågelarter.docx", "A 35226-2025")</f>
        <v/>
      </c>
    </row>
    <row r="939" ht="15" customHeight="1">
      <c r="A939" t="inlineStr">
        <is>
          <t>A 2308-2025</t>
        </is>
      </c>
      <c r="B939" s="1" t="n">
        <v>45673.60113425926</v>
      </c>
      <c r="C939" s="1" t="n">
        <v>46075</v>
      </c>
      <c r="D939" t="inlineStr">
        <is>
          <t>VÄSTERBOTTENS LÄN</t>
        </is>
      </c>
      <c r="E939" t="inlineStr">
        <is>
          <t>SKELLEFTEÅ</t>
        </is>
      </c>
      <c r="F939" t="inlineStr">
        <is>
          <t>Holmen skog AB</t>
        </is>
      </c>
      <c r="G939" t="n">
        <v>1.2</v>
      </c>
      <c r="H939" t="n">
        <v>0</v>
      </c>
      <c r="I939" t="n">
        <v>0</v>
      </c>
      <c r="J939" t="n">
        <v>1</v>
      </c>
      <c r="K939" t="n">
        <v>0</v>
      </c>
      <c r="L939" t="n">
        <v>0</v>
      </c>
      <c r="M939" t="n">
        <v>0</v>
      </c>
      <c r="N939" t="n">
        <v>0</v>
      </c>
      <c r="O939" t="n">
        <v>1</v>
      </c>
      <c r="P939" t="n">
        <v>0</v>
      </c>
      <c r="Q939" t="n">
        <v>1</v>
      </c>
      <c r="R939" s="2" t="inlineStr">
        <is>
          <t>Garnlav</t>
        </is>
      </c>
      <c r="S939">
        <f>HYPERLINK("https://klasma.github.io/Logging_2482/artfynd/A 2308-2025 artfynd.xlsx", "A 2308-2025")</f>
        <v/>
      </c>
      <c r="T939">
        <f>HYPERLINK("https://klasma.github.io/Logging_2482/kartor/A 2308-2025 karta.png", "A 2308-2025")</f>
        <v/>
      </c>
      <c r="V939">
        <f>HYPERLINK("https://klasma.github.io/Logging_2482/klagomål/A 2308-2025 FSC-klagomål.docx", "A 2308-2025")</f>
        <v/>
      </c>
      <c r="W939">
        <f>HYPERLINK("https://klasma.github.io/Logging_2482/klagomålsmail/A 2308-2025 FSC-klagomål mail.docx", "A 2308-2025")</f>
        <v/>
      </c>
      <c r="X939">
        <f>HYPERLINK("https://klasma.github.io/Logging_2482/tillsyn/A 2308-2025 tillsynsbegäran.docx", "A 2308-2025")</f>
        <v/>
      </c>
      <c r="Y939">
        <f>HYPERLINK("https://klasma.github.io/Logging_2482/tillsynsmail/A 2308-2025 tillsynsbegäran mail.docx", "A 2308-2025")</f>
        <v/>
      </c>
    </row>
    <row r="940" ht="15" customHeight="1">
      <c r="A940" t="inlineStr">
        <is>
          <t>A 26897-2023</t>
        </is>
      </c>
      <c r="B940" s="1" t="n">
        <v>45093.60384259259</v>
      </c>
      <c r="C940" s="1" t="n">
        <v>46075</v>
      </c>
      <c r="D940" t="inlineStr">
        <is>
          <t>VÄSTERBOTTENS LÄN</t>
        </is>
      </c>
      <c r="E940" t="inlineStr">
        <is>
          <t>ÅSELE</t>
        </is>
      </c>
      <c r="F940" t="inlineStr">
        <is>
          <t>Sveaskog</t>
        </is>
      </c>
      <c r="G940" t="n">
        <v>15</v>
      </c>
      <c r="H940" t="n">
        <v>1</v>
      </c>
      <c r="I940" t="n">
        <v>0</v>
      </c>
      <c r="J940" t="n">
        <v>1</v>
      </c>
      <c r="K940" t="n">
        <v>0</v>
      </c>
      <c r="L940" t="n">
        <v>0</v>
      </c>
      <c r="M940" t="n">
        <v>0</v>
      </c>
      <c r="N940" t="n">
        <v>0</v>
      </c>
      <c r="O940" t="n">
        <v>1</v>
      </c>
      <c r="P940" t="n">
        <v>0</v>
      </c>
      <c r="Q940" t="n">
        <v>1</v>
      </c>
      <c r="R940" s="2" t="inlineStr">
        <is>
          <t>Talltita</t>
        </is>
      </c>
      <c r="S940">
        <f>HYPERLINK("https://klasma.github.io/Logging_2463/artfynd/A 26897-2023 artfynd.xlsx", "A 26897-2023")</f>
        <v/>
      </c>
      <c r="T940">
        <f>HYPERLINK("https://klasma.github.io/Logging_2463/kartor/A 26897-2023 karta.png", "A 26897-2023")</f>
        <v/>
      </c>
      <c r="V940">
        <f>HYPERLINK("https://klasma.github.io/Logging_2463/klagomål/A 26897-2023 FSC-klagomål.docx", "A 26897-2023")</f>
        <v/>
      </c>
      <c r="W940">
        <f>HYPERLINK("https://klasma.github.io/Logging_2463/klagomålsmail/A 26897-2023 FSC-klagomål mail.docx", "A 26897-2023")</f>
        <v/>
      </c>
      <c r="X940">
        <f>HYPERLINK("https://klasma.github.io/Logging_2463/tillsyn/A 26897-2023 tillsynsbegäran.docx", "A 26897-2023")</f>
        <v/>
      </c>
      <c r="Y940">
        <f>HYPERLINK("https://klasma.github.io/Logging_2463/tillsynsmail/A 26897-2023 tillsynsbegäran mail.docx", "A 26897-2023")</f>
        <v/>
      </c>
      <c r="Z940">
        <f>HYPERLINK("https://klasma.github.io/Logging_2463/fåglar/A 26897-2023 prioriterade fågelarter.docx", "A 26897-2023")</f>
        <v/>
      </c>
    </row>
    <row r="941" ht="15" customHeight="1">
      <c r="A941" t="inlineStr">
        <is>
          <t>A 5683-2025</t>
        </is>
      </c>
      <c r="B941" s="1" t="n">
        <v>45694.35394675926</v>
      </c>
      <c r="C941" s="1" t="n">
        <v>46075</v>
      </c>
      <c r="D941" t="inlineStr">
        <is>
          <t>VÄSTERBOTTENS LÄN</t>
        </is>
      </c>
      <c r="E941" t="inlineStr">
        <is>
          <t>LYCKSELE</t>
        </is>
      </c>
      <c r="G941" t="n">
        <v>4.4</v>
      </c>
      <c r="H941" t="n">
        <v>0</v>
      </c>
      <c r="I941" t="n">
        <v>0</v>
      </c>
      <c r="J941" t="n">
        <v>1</v>
      </c>
      <c r="K941" t="n">
        <v>0</v>
      </c>
      <c r="L941" t="n">
        <v>0</v>
      </c>
      <c r="M941" t="n">
        <v>0</v>
      </c>
      <c r="N941" t="n">
        <v>0</v>
      </c>
      <c r="O941" t="n">
        <v>1</v>
      </c>
      <c r="P941" t="n">
        <v>0</v>
      </c>
      <c r="Q941" t="n">
        <v>1</v>
      </c>
      <c r="R941" s="2" t="inlineStr">
        <is>
          <t>Vitgrynig nållav</t>
        </is>
      </c>
      <c r="S941">
        <f>HYPERLINK("https://klasma.github.io/Logging_2481/artfynd/A 5683-2025 artfynd.xlsx", "A 5683-2025")</f>
        <v/>
      </c>
      <c r="T941">
        <f>HYPERLINK("https://klasma.github.io/Logging_2481/kartor/A 5683-2025 karta.png", "A 5683-2025")</f>
        <v/>
      </c>
      <c r="V941">
        <f>HYPERLINK("https://klasma.github.io/Logging_2481/klagomål/A 5683-2025 FSC-klagomål.docx", "A 5683-2025")</f>
        <v/>
      </c>
      <c r="W941">
        <f>HYPERLINK("https://klasma.github.io/Logging_2481/klagomålsmail/A 5683-2025 FSC-klagomål mail.docx", "A 5683-2025")</f>
        <v/>
      </c>
      <c r="X941">
        <f>HYPERLINK("https://klasma.github.io/Logging_2481/tillsyn/A 5683-2025 tillsynsbegäran.docx", "A 5683-2025")</f>
        <v/>
      </c>
      <c r="Y941">
        <f>HYPERLINK("https://klasma.github.io/Logging_2481/tillsynsmail/A 5683-2025 tillsynsbegäran mail.docx", "A 5683-2025")</f>
        <v/>
      </c>
    </row>
    <row r="942" ht="15" customHeight="1">
      <c r="A942" t="inlineStr">
        <is>
          <t>A 45074-2025</t>
        </is>
      </c>
      <c r="B942" s="1" t="n">
        <v>45919.36138888889</v>
      </c>
      <c r="C942" s="1" t="n">
        <v>46075</v>
      </c>
      <c r="D942" t="inlineStr">
        <is>
          <t>VÄSTERBOTTENS LÄN</t>
        </is>
      </c>
      <c r="E942" t="inlineStr">
        <is>
          <t>VINDELN</t>
        </is>
      </c>
      <c r="G942" t="n">
        <v>11.3</v>
      </c>
      <c r="H942" t="n">
        <v>0</v>
      </c>
      <c r="I942" t="n">
        <v>0</v>
      </c>
      <c r="J942" t="n">
        <v>1</v>
      </c>
      <c r="K942" t="n">
        <v>0</v>
      </c>
      <c r="L942" t="n">
        <v>0</v>
      </c>
      <c r="M942" t="n">
        <v>0</v>
      </c>
      <c r="N942" t="n">
        <v>0</v>
      </c>
      <c r="O942" t="n">
        <v>1</v>
      </c>
      <c r="P942" t="n">
        <v>0</v>
      </c>
      <c r="Q942" t="n">
        <v>1</v>
      </c>
      <c r="R942" s="2" t="inlineStr">
        <is>
          <t>Lunglav</t>
        </is>
      </c>
      <c r="S942">
        <f>HYPERLINK("https://klasma.github.io/Logging_2404/artfynd/A 45074-2025 artfynd.xlsx", "A 45074-2025")</f>
        <v/>
      </c>
      <c r="T942">
        <f>HYPERLINK("https://klasma.github.io/Logging_2404/kartor/A 45074-2025 karta.png", "A 45074-2025")</f>
        <v/>
      </c>
      <c r="V942">
        <f>HYPERLINK("https://klasma.github.io/Logging_2404/klagomål/A 45074-2025 FSC-klagomål.docx", "A 45074-2025")</f>
        <v/>
      </c>
      <c r="W942">
        <f>HYPERLINK("https://klasma.github.io/Logging_2404/klagomålsmail/A 45074-2025 FSC-klagomål mail.docx", "A 45074-2025")</f>
        <v/>
      </c>
      <c r="X942">
        <f>HYPERLINK("https://klasma.github.io/Logging_2404/tillsyn/A 45074-2025 tillsynsbegäran.docx", "A 45074-2025")</f>
        <v/>
      </c>
      <c r="Y942">
        <f>HYPERLINK("https://klasma.github.io/Logging_2404/tillsynsmail/A 45074-2025 tillsynsbegäran mail.docx", "A 45074-2025")</f>
        <v/>
      </c>
    </row>
    <row r="943" ht="15" customHeight="1">
      <c r="A943" t="inlineStr">
        <is>
          <t>A 61826-2022</t>
        </is>
      </c>
      <c r="B943" s="1" t="n">
        <v>44917</v>
      </c>
      <c r="C943" s="1" t="n">
        <v>46075</v>
      </c>
      <c r="D943" t="inlineStr">
        <is>
          <t>VÄSTERBOTTENS LÄN</t>
        </is>
      </c>
      <c r="E943" t="inlineStr">
        <is>
          <t>VINDELN</t>
        </is>
      </c>
      <c r="G943" t="n">
        <v>3.1</v>
      </c>
      <c r="H943" t="n">
        <v>0</v>
      </c>
      <c r="I943" t="n">
        <v>1</v>
      </c>
      <c r="J943" t="n">
        <v>0</v>
      </c>
      <c r="K943" t="n">
        <v>0</v>
      </c>
      <c r="L943" t="n">
        <v>0</v>
      </c>
      <c r="M943" t="n">
        <v>0</v>
      </c>
      <c r="N943" t="n">
        <v>0</v>
      </c>
      <c r="O943" t="n">
        <v>0</v>
      </c>
      <c r="P943" t="n">
        <v>0</v>
      </c>
      <c r="Q943" t="n">
        <v>1</v>
      </c>
      <c r="R943" s="2" t="inlineStr">
        <is>
          <t>Mindre märgborre</t>
        </is>
      </c>
      <c r="S943">
        <f>HYPERLINK("https://klasma.github.io/Logging_2404/artfynd/A 61826-2022 artfynd.xlsx", "A 61826-2022")</f>
        <v/>
      </c>
      <c r="T943">
        <f>HYPERLINK("https://klasma.github.io/Logging_2404/kartor/A 61826-2022 karta.png", "A 61826-2022")</f>
        <v/>
      </c>
      <c r="V943">
        <f>HYPERLINK("https://klasma.github.io/Logging_2404/klagomål/A 61826-2022 FSC-klagomål.docx", "A 61826-2022")</f>
        <v/>
      </c>
      <c r="W943">
        <f>HYPERLINK("https://klasma.github.io/Logging_2404/klagomålsmail/A 61826-2022 FSC-klagomål mail.docx", "A 61826-2022")</f>
        <v/>
      </c>
      <c r="X943">
        <f>HYPERLINK("https://klasma.github.io/Logging_2404/tillsyn/A 61826-2022 tillsynsbegäran.docx", "A 61826-2022")</f>
        <v/>
      </c>
      <c r="Y943">
        <f>HYPERLINK("https://klasma.github.io/Logging_2404/tillsynsmail/A 61826-2022 tillsynsbegäran mail.docx", "A 61826-2022")</f>
        <v/>
      </c>
    </row>
    <row r="944" ht="15" customHeight="1">
      <c r="A944" t="inlineStr">
        <is>
          <t>A 40802-2023</t>
        </is>
      </c>
      <c r="B944" s="1" t="n">
        <v>45170</v>
      </c>
      <c r="C944" s="1" t="n">
        <v>46075</v>
      </c>
      <c r="D944" t="inlineStr">
        <is>
          <t>VÄSTERBOTTENS LÄN</t>
        </is>
      </c>
      <c r="E944" t="inlineStr">
        <is>
          <t>VINDELN</t>
        </is>
      </c>
      <c r="F944" t="inlineStr">
        <is>
          <t>SCA</t>
        </is>
      </c>
      <c r="G944" t="n">
        <v>5.1</v>
      </c>
      <c r="H944" t="n">
        <v>0</v>
      </c>
      <c r="I944" t="n">
        <v>0</v>
      </c>
      <c r="J944" t="n">
        <v>1</v>
      </c>
      <c r="K944" t="n">
        <v>0</v>
      </c>
      <c r="L944" t="n">
        <v>0</v>
      </c>
      <c r="M944" t="n">
        <v>0</v>
      </c>
      <c r="N944" t="n">
        <v>0</v>
      </c>
      <c r="O944" t="n">
        <v>1</v>
      </c>
      <c r="P944" t="n">
        <v>0</v>
      </c>
      <c r="Q944" t="n">
        <v>1</v>
      </c>
      <c r="R944" s="2" t="inlineStr">
        <is>
          <t>Blå taggsvamp</t>
        </is>
      </c>
      <c r="S944">
        <f>HYPERLINK("https://klasma.github.io/Logging_2404/artfynd/A 40802-2023 artfynd.xlsx", "A 40802-2023")</f>
        <v/>
      </c>
      <c r="T944">
        <f>HYPERLINK("https://klasma.github.io/Logging_2404/kartor/A 40802-2023 karta.png", "A 40802-2023")</f>
        <v/>
      </c>
      <c r="V944">
        <f>HYPERLINK("https://klasma.github.io/Logging_2404/klagomål/A 40802-2023 FSC-klagomål.docx", "A 40802-2023")</f>
        <v/>
      </c>
      <c r="W944">
        <f>HYPERLINK("https://klasma.github.io/Logging_2404/klagomålsmail/A 40802-2023 FSC-klagomål mail.docx", "A 40802-2023")</f>
        <v/>
      </c>
      <c r="X944">
        <f>HYPERLINK("https://klasma.github.io/Logging_2404/tillsyn/A 40802-2023 tillsynsbegäran.docx", "A 40802-2023")</f>
        <v/>
      </c>
      <c r="Y944">
        <f>HYPERLINK("https://klasma.github.io/Logging_2404/tillsynsmail/A 40802-2023 tillsynsbegäran mail.docx", "A 40802-2023")</f>
        <v/>
      </c>
    </row>
    <row r="945" ht="15" customHeight="1">
      <c r="A945" t="inlineStr">
        <is>
          <t>A 44809-2025</t>
        </is>
      </c>
      <c r="B945" s="1" t="n">
        <v>45918.36953703704</v>
      </c>
      <c r="C945" s="1" t="n">
        <v>46075</v>
      </c>
      <c r="D945" t="inlineStr">
        <is>
          <t>VÄSTERBOTTENS LÄN</t>
        </is>
      </c>
      <c r="E945" t="inlineStr">
        <is>
          <t>SKELLEFTEÅ</t>
        </is>
      </c>
      <c r="F945" t="inlineStr">
        <is>
          <t>Holmen skog AB</t>
        </is>
      </c>
      <c r="G945" t="n">
        <v>1.9</v>
      </c>
      <c r="H945" t="n">
        <v>1</v>
      </c>
      <c r="I945" t="n">
        <v>0</v>
      </c>
      <c r="J945" t="n">
        <v>1</v>
      </c>
      <c r="K945" t="n">
        <v>0</v>
      </c>
      <c r="L945" t="n">
        <v>0</v>
      </c>
      <c r="M945" t="n">
        <v>0</v>
      </c>
      <c r="N945" t="n">
        <v>0</v>
      </c>
      <c r="O945" t="n">
        <v>1</v>
      </c>
      <c r="P945" t="n">
        <v>0</v>
      </c>
      <c r="Q945" t="n">
        <v>1</v>
      </c>
      <c r="R945" s="2" t="inlineStr">
        <is>
          <t>Utter</t>
        </is>
      </c>
      <c r="S945">
        <f>HYPERLINK("https://klasma.github.io/Logging_2482/artfynd/A 44809-2025 artfynd.xlsx", "A 44809-2025")</f>
        <v/>
      </c>
      <c r="T945">
        <f>HYPERLINK("https://klasma.github.io/Logging_2482/kartor/A 44809-2025 karta.png", "A 44809-2025")</f>
        <v/>
      </c>
      <c r="V945">
        <f>HYPERLINK("https://klasma.github.io/Logging_2482/klagomål/A 44809-2025 FSC-klagomål.docx", "A 44809-2025")</f>
        <v/>
      </c>
      <c r="W945">
        <f>HYPERLINK("https://klasma.github.io/Logging_2482/klagomålsmail/A 44809-2025 FSC-klagomål mail.docx", "A 44809-2025")</f>
        <v/>
      </c>
      <c r="X945">
        <f>HYPERLINK("https://klasma.github.io/Logging_2482/tillsyn/A 44809-2025 tillsynsbegäran.docx", "A 44809-2025")</f>
        <v/>
      </c>
      <c r="Y945">
        <f>HYPERLINK("https://klasma.github.io/Logging_2482/tillsynsmail/A 44809-2025 tillsynsbegäran mail.docx", "A 44809-2025")</f>
        <v/>
      </c>
    </row>
    <row r="946" ht="15" customHeight="1">
      <c r="A946" t="inlineStr">
        <is>
          <t>A 59709-2024</t>
        </is>
      </c>
      <c r="B946" s="1" t="n">
        <v>45639.44667824074</v>
      </c>
      <c r="C946" s="1" t="n">
        <v>46075</v>
      </c>
      <c r="D946" t="inlineStr">
        <is>
          <t>VÄSTERBOTTENS LÄN</t>
        </is>
      </c>
      <c r="E946" t="inlineStr">
        <is>
          <t>SKELLEFTEÅ</t>
        </is>
      </c>
      <c r="G946" t="n">
        <v>2.7</v>
      </c>
      <c r="H946" t="n">
        <v>1</v>
      </c>
      <c r="I946" t="n">
        <v>0</v>
      </c>
      <c r="J946" t="n">
        <v>1</v>
      </c>
      <c r="K946" t="n">
        <v>0</v>
      </c>
      <c r="L946" t="n">
        <v>0</v>
      </c>
      <c r="M946" t="n">
        <v>0</v>
      </c>
      <c r="N946" t="n">
        <v>0</v>
      </c>
      <c r="O946" t="n">
        <v>1</v>
      </c>
      <c r="P946" t="n">
        <v>0</v>
      </c>
      <c r="Q946" t="n">
        <v>1</v>
      </c>
      <c r="R946" s="2" t="inlineStr">
        <is>
          <t>Spillkråka</t>
        </is>
      </c>
      <c r="S946">
        <f>HYPERLINK("https://klasma.github.io/Logging_2482/artfynd/A 59709-2024 artfynd.xlsx", "A 59709-2024")</f>
        <v/>
      </c>
      <c r="T946">
        <f>HYPERLINK("https://klasma.github.io/Logging_2482/kartor/A 59709-2024 karta.png", "A 59709-2024")</f>
        <v/>
      </c>
      <c r="V946">
        <f>HYPERLINK("https://klasma.github.io/Logging_2482/klagomål/A 59709-2024 FSC-klagomål.docx", "A 59709-2024")</f>
        <v/>
      </c>
      <c r="W946">
        <f>HYPERLINK("https://klasma.github.io/Logging_2482/klagomålsmail/A 59709-2024 FSC-klagomål mail.docx", "A 59709-2024")</f>
        <v/>
      </c>
      <c r="X946">
        <f>HYPERLINK("https://klasma.github.io/Logging_2482/tillsyn/A 59709-2024 tillsynsbegäran.docx", "A 59709-2024")</f>
        <v/>
      </c>
      <c r="Y946">
        <f>HYPERLINK("https://klasma.github.io/Logging_2482/tillsynsmail/A 59709-2024 tillsynsbegäran mail.docx", "A 59709-2024")</f>
        <v/>
      </c>
      <c r="Z946">
        <f>HYPERLINK("https://klasma.github.io/Logging_2482/fåglar/A 59709-2024 prioriterade fågelarter.docx", "A 59709-2024")</f>
        <v/>
      </c>
    </row>
    <row r="947" ht="15" customHeight="1">
      <c r="A947" t="inlineStr">
        <is>
          <t>A 47118-2024</t>
        </is>
      </c>
      <c r="B947" s="1" t="n">
        <v>45586.56363425926</v>
      </c>
      <c r="C947" s="1" t="n">
        <v>46075</v>
      </c>
      <c r="D947" t="inlineStr">
        <is>
          <t>VÄSTERBOTTENS LÄN</t>
        </is>
      </c>
      <c r="E947" t="inlineStr">
        <is>
          <t>MALÅ</t>
        </is>
      </c>
      <c r="F947" t="inlineStr">
        <is>
          <t>Sveaskog</t>
        </is>
      </c>
      <c r="G947" t="n">
        <v>10.6</v>
      </c>
      <c r="H947" t="n">
        <v>0</v>
      </c>
      <c r="I947" t="n">
        <v>0</v>
      </c>
      <c r="J947" t="n">
        <v>1</v>
      </c>
      <c r="K947" t="n">
        <v>0</v>
      </c>
      <c r="L947" t="n">
        <v>0</v>
      </c>
      <c r="M947" t="n">
        <v>0</v>
      </c>
      <c r="N947" t="n">
        <v>0</v>
      </c>
      <c r="O947" t="n">
        <v>1</v>
      </c>
      <c r="P947" t="n">
        <v>0</v>
      </c>
      <c r="Q947" t="n">
        <v>1</v>
      </c>
      <c r="R947" s="2" t="inlineStr">
        <is>
          <t>Orange taggsvamp</t>
        </is>
      </c>
      <c r="S947">
        <f>HYPERLINK("https://klasma.github.io/Logging_2418/artfynd/A 47118-2024 artfynd.xlsx", "A 47118-2024")</f>
        <v/>
      </c>
      <c r="T947">
        <f>HYPERLINK("https://klasma.github.io/Logging_2418/kartor/A 47118-2024 karta.png", "A 47118-2024")</f>
        <v/>
      </c>
      <c r="V947">
        <f>HYPERLINK("https://klasma.github.io/Logging_2418/klagomål/A 47118-2024 FSC-klagomål.docx", "A 47118-2024")</f>
        <v/>
      </c>
      <c r="W947">
        <f>HYPERLINK("https://klasma.github.io/Logging_2418/klagomålsmail/A 47118-2024 FSC-klagomål mail.docx", "A 47118-2024")</f>
        <v/>
      </c>
      <c r="X947">
        <f>HYPERLINK("https://klasma.github.io/Logging_2418/tillsyn/A 47118-2024 tillsynsbegäran.docx", "A 47118-2024")</f>
        <v/>
      </c>
      <c r="Y947">
        <f>HYPERLINK("https://klasma.github.io/Logging_2418/tillsynsmail/A 47118-2024 tillsynsbegäran mail.docx", "A 47118-2024")</f>
        <v/>
      </c>
    </row>
    <row r="948" ht="15" customHeight="1">
      <c r="A948" t="inlineStr">
        <is>
          <t>A 45294-2025</t>
        </is>
      </c>
      <c r="B948" s="1" t="n">
        <v>45920.55261574074</v>
      </c>
      <c r="C948" s="1" t="n">
        <v>46075</v>
      </c>
      <c r="D948" t="inlineStr">
        <is>
          <t>VÄSTERBOTTENS LÄN</t>
        </is>
      </c>
      <c r="E948" t="inlineStr">
        <is>
          <t>NORDMALING</t>
        </is>
      </c>
      <c r="F948" t="inlineStr">
        <is>
          <t>SCA</t>
        </is>
      </c>
      <c r="G948" t="n">
        <v>7.2</v>
      </c>
      <c r="H948" t="n">
        <v>0</v>
      </c>
      <c r="I948" t="n">
        <v>1</v>
      </c>
      <c r="J948" t="n">
        <v>0</v>
      </c>
      <c r="K948" t="n">
        <v>0</v>
      </c>
      <c r="L948" t="n">
        <v>0</v>
      </c>
      <c r="M948" t="n">
        <v>0</v>
      </c>
      <c r="N948" t="n">
        <v>0</v>
      </c>
      <c r="O948" t="n">
        <v>0</v>
      </c>
      <c r="P948" t="n">
        <v>0</v>
      </c>
      <c r="Q948" t="n">
        <v>1</v>
      </c>
      <c r="R948" s="2" t="inlineStr">
        <is>
          <t>Skarp dropptaggsvamp</t>
        </is>
      </c>
      <c r="S948">
        <f>HYPERLINK("https://klasma.github.io/Logging_2401/artfynd/A 45294-2025 artfynd.xlsx", "A 45294-2025")</f>
        <v/>
      </c>
      <c r="T948">
        <f>HYPERLINK("https://klasma.github.io/Logging_2401/kartor/A 45294-2025 karta.png", "A 45294-2025")</f>
        <v/>
      </c>
      <c r="V948">
        <f>HYPERLINK("https://klasma.github.io/Logging_2401/klagomål/A 45294-2025 FSC-klagomål.docx", "A 45294-2025")</f>
        <v/>
      </c>
      <c r="W948">
        <f>HYPERLINK("https://klasma.github.io/Logging_2401/klagomålsmail/A 45294-2025 FSC-klagomål mail.docx", "A 45294-2025")</f>
        <v/>
      </c>
      <c r="X948">
        <f>HYPERLINK("https://klasma.github.io/Logging_2401/tillsyn/A 45294-2025 tillsynsbegäran.docx", "A 45294-2025")</f>
        <v/>
      </c>
      <c r="Y948">
        <f>HYPERLINK("https://klasma.github.io/Logging_2401/tillsynsmail/A 45294-2025 tillsynsbegäran mail.docx", "A 45294-2025")</f>
        <v/>
      </c>
    </row>
    <row r="949" ht="15" customHeight="1">
      <c r="A949" t="inlineStr">
        <is>
          <t>A 35551-2025</t>
        </is>
      </c>
      <c r="B949" s="1" t="n">
        <v>45856.49604166667</v>
      </c>
      <c r="C949" s="1" t="n">
        <v>46075</v>
      </c>
      <c r="D949" t="inlineStr">
        <is>
          <t>VÄSTERBOTTENS LÄN</t>
        </is>
      </c>
      <c r="E949" t="inlineStr">
        <is>
          <t>ROBERTSFORS</t>
        </is>
      </c>
      <c r="G949" t="n">
        <v>1</v>
      </c>
      <c r="H949" t="n">
        <v>1</v>
      </c>
      <c r="I949" t="n">
        <v>0</v>
      </c>
      <c r="J949" t="n">
        <v>0</v>
      </c>
      <c r="K949" t="n">
        <v>0</v>
      </c>
      <c r="L949" t="n">
        <v>0</v>
      </c>
      <c r="M949" t="n">
        <v>0</v>
      </c>
      <c r="N949" t="n">
        <v>0</v>
      </c>
      <c r="O949" t="n">
        <v>0</v>
      </c>
      <c r="P949" t="n">
        <v>0</v>
      </c>
      <c r="Q949" t="n">
        <v>1</v>
      </c>
      <c r="R949" s="2" t="inlineStr">
        <is>
          <t>Tjäder</t>
        </is>
      </c>
      <c r="S949">
        <f>HYPERLINK("https://klasma.github.io/Logging_2409/artfynd/A 35551-2025 artfynd.xlsx", "A 35551-2025")</f>
        <v/>
      </c>
      <c r="T949">
        <f>HYPERLINK("https://klasma.github.io/Logging_2409/kartor/A 35551-2025 karta.png", "A 35551-2025")</f>
        <v/>
      </c>
      <c r="V949">
        <f>HYPERLINK("https://klasma.github.io/Logging_2409/klagomål/A 35551-2025 FSC-klagomål.docx", "A 35551-2025")</f>
        <v/>
      </c>
      <c r="W949">
        <f>HYPERLINK("https://klasma.github.io/Logging_2409/klagomålsmail/A 35551-2025 FSC-klagomål mail.docx", "A 35551-2025")</f>
        <v/>
      </c>
      <c r="X949">
        <f>HYPERLINK("https://klasma.github.io/Logging_2409/tillsyn/A 35551-2025 tillsynsbegäran.docx", "A 35551-2025")</f>
        <v/>
      </c>
      <c r="Y949">
        <f>HYPERLINK("https://klasma.github.io/Logging_2409/tillsynsmail/A 35551-2025 tillsynsbegäran mail.docx", "A 35551-2025")</f>
        <v/>
      </c>
      <c r="Z949">
        <f>HYPERLINK("https://klasma.github.io/Logging_2409/fåglar/A 35551-2025 prioriterade fågelarter.docx", "A 35551-2025")</f>
        <v/>
      </c>
    </row>
    <row r="950" ht="15" customHeight="1">
      <c r="A950" t="inlineStr">
        <is>
          <t>A 45754-2025</t>
        </is>
      </c>
      <c r="B950" s="1" t="n">
        <v>45923.50239583333</v>
      </c>
      <c r="C950" s="1" t="n">
        <v>46075</v>
      </c>
      <c r="D950" t="inlineStr">
        <is>
          <t>VÄSTERBOTTENS LÄN</t>
        </is>
      </c>
      <c r="E950" t="inlineStr">
        <is>
          <t>STORUMAN</t>
        </is>
      </c>
      <c r="G950" t="n">
        <v>16.2</v>
      </c>
      <c r="H950" t="n">
        <v>1</v>
      </c>
      <c r="I950" t="n">
        <v>0</v>
      </c>
      <c r="J950" t="n">
        <v>0</v>
      </c>
      <c r="K950" t="n">
        <v>0</v>
      </c>
      <c r="L950" t="n">
        <v>0</v>
      </c>
      <c r="M950" t="n">
        <v>0</v>
      </c>
      <c r="N950" t="n">
        <v>0</v>
      </c>
      <c r="O950" t="n">
        <v>0</v>
      </c>
      <c r="P950" t="n">
        <v>0</v>
      </c>
      <c r="Q950" t="n">
        <v>1</v>
      </c>
      <c r="R950" s="2" t="inlineStr">
        <is>
          <t>Tjäder</t>
        </is>
      </c>
      <c r="S950">
        <f>HYPERLINK("https://klasma.github.io/Logging_2421/artfynd/A 45754-2025 artfynd.xlsx", "A 45754-2025")</f>
        <v/>
      </c>
      <c r="T950">
        <f>HYPERLINK("https://klasma.github.io/Logging_2421/kartor/A 45754-2025 karta.png", "A 45754-2025")</f>
        <v/>
      </c>
      <c r="V950">
        <f>HYPERLINK("https://klasma.github.io/Logging_2421/klagomål/A 45754-2025 FSC-klagomål.docx", "A 45754-2025")</f>
        <v/>
      </c>
      <c r="W950">
        <f>HYPERLINK("https://klasma.github.io/Logging_2421/klagomålsmail/A 45754-2025 FSC-klagomål mail.docx", "A 45754-2025")</f>
        <v/>
      </c>
      <c r="X950">
        <f>HYPERLINK("https://klasma.github.io/Logging_2421/tillsyn/A 45754-2025 tillsynsbegäran.docx", "A 45754-2025")</f>
        <v/>
      </c>
      <c r="Y950">
        <f>HYPERLINK("https://klasma.github.io/Logging_2421/tillsynsmail/A 45754-2025 tillsynsbegäran mail.docx", "A 45754-2025")</f>
        <v/>
      </c>
      <c r="Z950">
        <f>HYPERLINK("https://klasma.github.io/Logging_2421/fåglar/A 45754-2025 prioriterade fågelarter.docx", "A 45754-2025")</f>
        <v/>
      </c>
    </row>
    <row r="951" ht="15" customHeight="1">
      <c r="A951" t="inlineStr">
        <is>
          <t>A 57284-2023</t>
        </is>
      </c>
      <c r="B951" s="1" t="n">
        <v>45245</v>
      </c>
      <c r="C951" s="1" t="n">
        <v>46075</v>
      </c>
      <c r="D951" t="inlineStr">
        <is>
          <t>VÄSTERBOTTENS LÄN</t>
        </is>
      </c>
      <c r="E951" t="inlineStr">
        <is>
          <t>ROBERTSFORS</t>
        </is>
      </c>
      <c r="F951" t="inlineStr">
        <is>
          <t>Holmen skog AB</t>
        </is>
      </c>
      <c r="G951" t="n">
        <v>6.8</v>
      </c>
      <c r="H951" t="n">
        <v>0</v>
      </c>
      <c r="I951" t="n">
        <v>0</v>
      </c>
      <c r="J951" t="n">
        <v>1</v>
      </c>
      <c r="K951" t="n">
        <v>0</v>
      </c>
      <c r="L951" t="n">
        <v>0</v>
      </c>
      <c r="M951" t="n">
        <v>0</v>
      </c>
      <c r="N951" t="n">
        <v>0</v>
      </c>
      <c r="O951" t="n">
        <v>1</v>
      </c>
      <c r="P951" t="n">
        <v>0</v>
      </c>
      <c r="Q951" t="n">
        <v>1</v>
      </c>
      <c r="R951" s="2" t="inlineStr">
        <is>
          <t>Tallticka</t>
        </is>
      </c>
      <c r="S951">
        <f>HYPERLINK("https://klasma.github.io/Logging_2409/artfynd/A 57284-2023 artfynd.xlsx", "A 57284-2023")</f>
        <v/>
      </c>
      <c r="T951">
        <f>HYPERLINK("https://klasma.github.io/Logging_2409/kartor/A 57284-2023 karta.png", "A 57284-2023")</f>
        <v/>
      </c>
      <c r="V951">
        <f>HYPERLINK("https://klasma.github.io/Logging_2409/klagomål/A 57284-2023 FSC-klagomål.docx", "A 57284-2023")</f>
        <v/>
      </c>
      <c r="W951">
        <f>HYPERLINK("https://klasma.github.io/Logging_2409/klagomålsmail/A 57284-2023 FSC-klagomål mail.docx", "A 57284-2023")</f>
        <v/>
      </c>
      <c r="X951">
        <f>HYPERLINK("https://klasma.github.io/Logging_2409/tillsyn/A 57284-2023 tillsynsbegäran.docx", "A 57284-2023")</f>
        <v/>
      </c>
      <c r="Y951">
        <f>HYPERLINK("https://klasma.github.io/Logging_2409/tillsynsmail/A 57284-2023 tillsynsbegäran mail.docx", "A 57284-2023")</f>
        <v/>
      </c>
    </row>
    <row r="952" ht="15" customHeight="1">
      <c r="A952" t="inlineStr">
        <is>
          <t>A 37669-2024</t>
        </is>
      </c>
      <c r="B952" s="1" t="n">
        <v>45541.57616898148</v>
      </c>
      <c r="C952" s="1" t="n">
        <v>46075</v>
      </c>
      <c r="D952" t="inlineStr">
        <is>
          <t>VÄSTERBOTTENS LÄN</t>
        </is>
      </c>
      <c r="E952" t="inlineStr">
        <is>
          <t>LYCKSELE</t>
        </is>
      </c>
      <c r="F952" t="inlineStr">
        <is>
          <t>Sveaskog</t>
        </is>
      </c>
      <c r="G952" t="n">
        <v>5.5</v>
      </c>
      <c r="H952" t="n">
        <v>0</v>
      </c>
      <c r="I952" t="n">
        <v>1</v>
      </c>
      <c r="J952" t="n">
        <v>0</v>
      </c>
      <c r="K952" t="n">
        <v>0</v>
      </c>
      <c r="L952" t="n">
        <v>0</v>
      </c>
      <c r="M952" t="n">
        <v>0</v>
      </c>
      <c r="N952" t="n">
        <v>0</v>
      </c>
      <c r="O952" t="n">
        <v>0</v>
      </c>
      <c r="P952" t="n">
        <v>0</v>
      </c>
      <c r="Q952" t="n">
        <v>1</v>
      </c>
      <c r="R952" s="2" t="inlineStr">
        <is>
          <t>Dropptaggsvamp</t>
        </is>
      </c>
      <c r="S952">
        <f>HYPERLINK("https://klasma.github.io/Logging_2481/artfynd/A 37669-2024 artfynd.xlsx", "A 37669-2024")</f>
        <v/>
      </c>
      <c r="T952">
        <f>HYPERLINK("https://klasma.github.io/Logging_2481/kartor/A 37669-2024 karta.png", "A 37669-2024")</f>
        <v/>
      </c>
      <c r="V952">
        <f>HYPERLINK("https://klasma.github.io/Logging_2481/klagomål/A 37669-2024 FSC-klagomål.docx", "A 37669-2024")</f>
        <v/>
      </c>
      <c r="W952">
        <f>HYPERLINK("https://klasma.github.io/Logging_2481/klagomålsmail/A 37669-2024 FSC-klagomål mail.docx", "A 37669-2024")</f>
        <v/>
      </c>
      <c r="X952">
        <f>HYPERLINK("https://klasma.github.io/Logging_2481/tillsyn/A 37669-2024 tillsynsbegäran.docx", "A 37669-2024")</f>
        <v/>
      </c>
      <c r="Y952">
        <f>HYPERLINK("https://klasma.github.io/Logging_2481/tillsynsmail/A 37669-2024 tillsynsbegäran mail.docx", "A 37669-2024")</f>
        <v/>
      </c>
    </row>
    <row r="953" ht="15" customHeight="1">
      <c r="A953" t="inlineStr">
        <is>
          <t>A 45473-2025</t>
        </is>
      </c>
      <c r="B953" s="1" t="n">
        <v>45922.51494212963</v>
      </c>
      <c r="C953" s="1" t="n">
        <v>46075</v>
      </c>
      <c r="D953" t="inlineStr">
        <is>
          <t>VÄSTERBOTTENS LÄN</t>
        </is>
      </c>
      <c r="E953" t="inlineStr">
        <is>
          <t>SORSELE</t>
        </is>
      </c>
      <c r="G953" t="n">
        <v>4.2</v>
      </c>
      <c r="H953" t="n">
        <v>0</v>
      </c>
      <c r="I953" t="n">
        <v>0</v>
      </c>
      <c r="J953" t="n">
        <v>1</v>
      </c>
      <c r="K953" t="n">
        <v>0</v>
      </c>
      <c r="L953" t="n">
        <v>0</v>
      </c>
      <c r="M953" t="n">
        <v>0</v>
      </c>
      <c r="N953" t="n">
        <v>0</v>
      </c>
      <c r="O953" t="n">
        <v>1</v>
      </c>
      <c r="P953" t="n">
        <v>0</v>
      </c>
      <c r="Q953" t="n">
        <v>1</v>
      </c>
      <c r="R953" s="2" t="inlineStr">
        <is>
          <t>Lunglav</t>
        </is>
      </c>
      <c r="S953">
        <f>HYPERLINK("https://klasma.github.io/Logging_2422/artfynd/A 45473-2025 artfynd.xlsx", "A 45473-2025")</f>
        <v/>
      </c>
      <c r="T953">
        <f>HYPERLINK("https://klasma.github.io/Logging_2422/kartor/A 45473-2025 karta.png", "A 45473-2025")</f>
        <v/>
      </c>
      <c r="V953">
        <f>HYPERLINK("https://klasma.github.io/Logging_2422/klagomål/A 45473-2025 FSC-klagomål.docx", "A 45473-2025")</f>
        <v/>
      </c>
      <c r="W953">
        <f>HYPERLINK("https://klasma.github.io/Logging_2422/klagomålsmail/A 45473-2025 FSC-klagomål mail.docx", "A 45473-2025")</f>
        <v/>
      </c>
      <c r="X953">
        <f>HYPERLINK("https://klasma.github.io/Logging_2422/tillsyn/A 45473-2025 tillsynsbegäran.docx", "A 45473-2025")</f>
        <v/>
      </c>
      <c r="Y953">
        <f>HYPERLINK("https://klasma.github.io/Logging_2422/tillsynsmail/A 45473-2025 tillsynsbegäran mail.docx", "A 45473-2025")</f>
        <v/>
      </c>
    </row>
    <row r="954" ht="15" customHeight="1">
      <c r="A954" t="inlineStr">
        <is>
          <t>A 57568-2024</t>
        </is>
      </c>
      <c r="B954" s="1" t="n">
        <v>45630.46457175926</v>
      </c>
      <c r="C954" s="1" t="n">
        <v>46075</v>
      </c>
      <c r="D954" t="inlineStr">
        <is>
          <t>VÄSTERBOTTENS LÄN</t>
        </is>
      </c>
      <c r="E954" t="inlineStr">
        <is>
          <t>SKELLEFTEÅ</t>
        </is>
      </c>
      <c r="F954" t="inlineStr">
        <is>
          <t>Sveaskog</t>
        </is>
      </c>
      <c r="G954" t="n">
        <v>7.3</v>
      </c>
      <c r="H954" t="n">
        <v>0</v>
      </c>
      <c r="I954" t="n">
        <v>0</v>
      </c>
      <c r="J954" t="n">
        <v>1</v>
      </c>
      <c r="K954" t="n">
        <v>0</v>
      </c>
      <c r="L954" t="n">
        <v>0</v>
      </c>
      <c r="M954" t="n">
        <v>0</v>
      </c>
      <c r="N954" t="n">
        <v>0</v>
      </c>
      <c r="O954" t="n">
        <v>1</v>
      </c>
      <c r="P954" t="n">
        <v>0</v>
      </c>
      <c r="Q954" t="n">
        <v>1</v>
      </c>
      <c r="R954" s="2" t="inlineStr">
        <is>
          <t>Stjärntagging</t>
        </is>
      </c>
      <c r="S954">
        <f>HYPERLINK("https://klasma.github.io/Logging_2482/artfynd/A 57568-2024 artfynd.xlsx", "A 57568-2024")</f>
        <v/>
      </c>
      <c r="T954">
        <f>HYPERLINK("https://klasma.github.io/Logging_2482/kartor/A 57568-2024 karta.png", "A 57568-2024")</f>
        <v/>
      </c>
      <c r="V954">
        <f>HYPERLINK("https://klasma.github.io/Logging_2482/klagomål/A 57568-2024 FSC-klagomål.docx", "A 57568-2024")</f>
        <v/>
      </c>
      <c r="W954">
        <f>HYPERLINK("https://klasma.github.io/Logging_2482/klagomålsmail/A 57568-2024 FSC-klagomål mail.docx", "A 57568-2024")</f>
        <v/>
      </c>
      <c r="X954">
        <f>HYPERLINK("https://klasma.github.io/Logging_2482/tillsyn/A 57568-2024 tillsynsbegäran.docx", "A 57568-2024")</f>
        <v/>
      </c>
      <c r="Y954">
        <f>HYPERLINK("https://klasma.github.io/Logging_2482/tillsynsmail/A 57568-2024 tillsynsbegäran mail.docx", "A 57568-2024")</f>
        <v/>
      </c>
    </row>
    <row r="955" ht="15" customHeight="1">
      <c r="A955" t="inlineStr">
        <is>
          <t>A 36318-2024</t>
        </is>
      </c>
      <c r="B955" s="1" t="n">
        <v>45534</v>
      </c>
      <c r="C955" s="1" t="n">
        <v>46075</v>
      </c>
      <c r="D955" t="inlineStr">
        <is>
          <t>VÄSTERBOTTENS LÄN</t>
        </is>
      </c>
      <c r="E955" t="inlineStr">
        <is>
          <t>DOROTEA</t>
        </is>
      </c>
      <c r="F955" t="inlineStr">
        <is>
          <t>SCA</t>
        </is>
      </c>
      <c r="G955" t="n">
        <v>2.5</v>
      </c>
      <c r="H955" t="n">
        <v>0</v>
      </c>
      <c r="I955" t="n">
        <v>0</v>
      </c>
      <c r="J955" t="n">
        <v>1</v>
      </c>
      <c r="K955" t="n">
        <v>0</v>
      </c>
      <c r="L955" t="n">
        <v>0</v>
      </c>
      <c r="M955" t="n">
        <v>0</v>
      </c>
      <c r="N955" t="n">
        <v>0</v>
      </c>
      <c r="O955" t="n">
        <v>1</v>
      </c>
      <c r="P955" t="n">
        <v>0</v>
      </c>
      <c r="Q955" t="n">
        <v>1</v>
      </c>
      <c r="R955" s="2" t="inlineStr">
        <is>
          <t>Garnlav</t>
        </is>
      </c>
      <c r="S955">
        <f>HYPERLINK("https://klasma.github.io/Logging_2425/artfynd/A 36318-2024 artfynd.xlsx", "A 36318-2024")</f>
        <v/>
      </c>
      <c r="T955">
        <f>HYPERLINK("https://klasma.github.io/Logging_2425/kartor/A 36318-2024 karta.png", "A 36318-2024")</f>
        <v/>
      </c>
      <c r="V955">
        <f>HYPERLINK("https://klasma.github.io/Logging_2425/klagomål/A 36318-2024 FSC-klagomål.docx", "A 36318-2024")</f>
        <v/>
      </c>
      <c r="W955">
        <f>HYPERLINK("https://klasma.github.io/Logging_2425/klagomålsmail/A 36318-2024 FSC-klagomål mail.docx", "A 36318-2024")</f>
        <v/>
      </c>
      <c r="X955">
        <f>HYPERLINK("https://klasma.github.io/Logging_2425/tillsyn/A 36318-2024 tillsynsbegäran.docx", "A 36318-2024")</f>
        <v/>
      </c>
      <c r="Y955">
        <f>HYPERLINK("https://klasma.github.io/Logging_2425/tillsynsmail/A 36318-2024 tillsynsbegäran mail.docx", "A 36318-2024")</f>
        <v/>
      </c>
    </row>
    <row r="956" ht="15" customHeight="1">
      <c r="A956" t="inlineStr">
        <is>
          <t>A 35981-2025</t>
        </is>
      </c>
      <c r="B956" s="1" t="n">
        <v>45863.44873842593</v>
      </c>
      <c r="C956" s="1" t="n">
        <v>46075</v>
      </c>
      <c r="D956" t="inlineStr">
        <is>
          <t>VÄSTERBOTTENS LÄN</t>
        </is>
      </c>
      <c r="E956" t="inlineStr">
        <is>
          <t>LYCKSELE</t>
        </is>
      </c>
      <c r="F956" t="inlineStr">
        <is>
          <t>Sveaskog</t>
        </is>
      </c>
      <c r="G956" t="n">
        <v>6.1</v>
      </c>
      <c r="H956" t="n">
        <v>0</v>
      </c>
      <c r="I956" t="n">
        <v>1</v>
      </c>
      <c r="J956" t="n">
        <v>0</v>
      </c>
      <c r="K956" t="n">
        <v>0</v>
      </c>
      <c r="L956" t="n">
        <v>0</v>
      </c>
      <c r="M956" t="n">
        <v>0</v>
      </c>
      <c r="N956" t="n">
        <v>0</v>
      </c>
      <c r="O956" t="n">
        <v>0</v>
      </c>
      <c r="P956" t="n">
        <v>0</v>
      </c>
      <c r="Q956" t="n">
        <v>1</v>
      </c>
      <c r="R956" s="2" t="inlineStr">
        <is>
          <t>Dropptaggsvamp</t>
        </is>
      </c>
      <c r="S956">
        <f>HYPERLINK("https://klasma.github.io/Logging_2481/artfynd/A 35981-2025 artfynd.xlsx", "A 35981-2025")</f>
        <v/>
      </c>
      <c r="T956">
        <f>HYPERLINK("https://klasma.github.io/Logging_2481/kartor/A 35981-2025 karta.png", "A 35981-2025")</f>
        <v/>
      </c>
      <c r="V956">
        <f>HYPERLINK("https://klasma.github.io/Logging_2481/klagomål/A 35981-2025 FSC-klagomål.docx", "A 35981-2025")</f>
        <v/>
      </c>
      <c r="W956">
        <f>HYPERLINK("https://klasma.github.io/Logging_2481/klagomålsmail/A 35981-2025 FSC-klagomål mail.docx", "A 35981-2025")</f>
        <v/>
      </c>
      <c r="X956">
        <f>HYPERLINK("https://klasma.github.io/Logging_2481/tillsyn/A 35981-2025 tillsynsbegäran.docx", "A 35981-2025")</f>
        <v/>
      </c>
      <c r="Y956">
        <f>HYPERLINK("https://klasma.github.io/Logging_2481/tillsynsmail/A 35981-2025 tillsynsbegäran mail.docx", "A 35981-2025")</f>
        <v/>
      </c>
    </row>
    <row r="957" ht="15" customHeight="1">
      <c r="A957" t="inlineStr">
        <is>
          <t>A 35910-2025</t>
        </is>
      </c>
      <c r="B957" s="1" t="n">
        <v>45862.5197800926</v>
      </c>
      <c r="C957" s="1" t="n">
        <v>46075</v>
      </c>
      <c r="D957" t="inlineStr">
        <is>
          <t>VÄSTERBOTTENS LÄN</t>
        </is>
      </c>
      <c r="E957" t="inlineStr">
        <is>
          <t>SKELLEFTEÅ</t>
        </is>
      </c>
      <c r="F957" t="inlineStr">
        <is>
          <t>Holmen skog AB</t>
        </is>
      </c>
      <c r="G957" t="n">
        <v>5.6</v>
      </c>
      <c r="H957" t="n">
        <v>0</v>
      </c>
      <c r="I957" t="n">
        <v>1</v>
      </c>
      <c r="J957" t="n">
        <v>0</v>
      </c>
      <c r="K957" t="n">
        <v>0</v>
      </c>
      <c r="L957" t="n">
        <v>0</v>
      </c>
      <c r="M957" t="n">
        <v>0</v>
      </c>
      <c r="N957" t="n">
        <v>0</v>
      </c>
      <c r="O957" t="n">
        <v>0</v>
      </c>
      <c r="P957" t="n">
        <v>0</v>
      </c>
      <c r="Q957" t="n">
        <v>1</v>
      </c>
      <c r="R957" s="2" t="inlineStr">
        <is>
          <t>Stuplav</t>
        </is>
      </c>
      <c r="S957">
        <f>HYPERLINK("https://klasma.github.io/Logging_2482/artfynd/A 35910-2025 artfynd.xlsx", "A 35910-2025")</f>
        <v/>
      </c>
      <c r="T957">
        <f>HYPERLINK("https://klasma.github.io/Logging_2482/kartor/A 35910-2025 karta.png", "A 35910-2025")</f>
        <v/>
      </c>
      <c r="U957">
        <f>HYPERLINK("https://klasma.github.io/Logging_2482/knärot/A 35910-2025 karta knärot.png", "A 35910-2025")</f>
        <v/>
      </c>
      <c r="V957">
        <f>HYPERLINK("https://klasma.github.io/Logging_2482/klagomål/A 35910-2025 FSC-klagomål.docx", "A 35910-2025")</f>
        <v/>
      </c>
      <c r="W957">
        <f>HYPERLINK("https://klasma.github.io/Logging_2482/klagomålsmail/A 35910-2025 FSC-klagomål mail.docx", "A 35910-2025")</f>
        <v/>
      </c>
      <c r="X957">
        <f>HYPERLINK("https://klasma.github.io/Logging_2482/tillsyn/A 35910-2025 tillsynsbegäran.docx", "A 35910-2025")</f>
        <v/>
      </c>
      <c r="Y957">
        <f>HYPERLINK("https://klasma.github.io/Logging_2482/tillsynsmail/A 35910-2025 tillsynsbegäran mail.docx", "A 35910-2025")</f>
        <v/>
      </c>
    </row>
    <row r="958" ht="15" customHeight="1">
      <c r="A958" t="inlineStr">
        <is>
          <t>A 72131-2021</t>
        </is>
      </c>
      <c r="B958" s="1" t="n">
        <v>44543</v>
      </c>
      <c r="C958" s="1" t="n">
        <v>46075</v>
      </c>
      <c r="D958" t="inlineStr">
        <is>
          <t>VÄSTERBOTTENS LÄN</t>
        </is>
      </c>
      <c r="E958" t="inlineStr">
        <is>
          <t>LYCKSELE</t>
        </is>
      </c>
      <c r="G958" t="n">
        <v>19.1</v>
      </c>
      <c r="H958" t="n">
        <v>1</v>
      </c>
      <c r="I958" t="n">
        <v>0</v>
      </c>
      <c r="J958" t="n">
        <v>1</v>
      </c>
      <c r="K958" t="n">
        <v>0</v>
      </c>
      <c r="L958" t="n">
        <v>0</v>
      </c>
      <c r="M958" t="n">
        <v>0</v>
      </c>
      <c r="N958" t="n">
        <v>0</v>
      </c>
      <c r="O958" t="n">
        <v>1</v>
      </c>
      <c r="P958" t="n">
        <v>0</v>
      </c>
      <c r="Q958" t="n">
        <v>1</v>
      </c>
      <c r="R958" s="2" t="inlineStr">
        <is>
          <t>Tretåig hackspett</t>
        </is>
      </c>
      <c r="S958">
        <f>HYPERLINK("https://klasma.github.io/Logging_2481/artfynd/A 72131-2021 artfynd.xlsx", "A 72131-2021")</f>
        <v/>
      </c>
      <c r="T958">
        <f>HYPERLINK("https://klasma.github.io/Logging_2481/kartor/A 72131-2021 karta.png", "A 72131-2021")</f>
        <v/>
      </c>
      <c r="V958">
        <f>HYPERLINK("https://klasma.github.io/Logging_2481/klagomål/A 72131-2021 FSC-klagomål.docx", "A 72131-2021")</f>
        <v/>
      </c>
      <c r="W958">
        <f>HYPERLINK("https://klasma.github.io/Logging_2481/klagomålsmail/A 72131-2021 FSC-klagomål mail.docx", "A 72131-2021")</f>
        <v/>
      </c>
      <c r="X958">
        <f>HYPERLINK("https://klasma.github.io/Logging_2481/tillsyn/A 72131-2021 tillsynsbegäran.docx", "A 72131-2021")</f>
        <v/>
      </c>
      <c r="Y958">
        <f>HYPERLINK("https://klasma.github.io/Logging_2481/tillsynsmail/A 72131-2021 tillsynsbegäran mail.docx", "A 72131-2021")</f>
        <v/>
      </c>
      <c r="Z958">
        <f>HYPERLINK("https://klasma.github.io/Logging_2481/fåglar/A 72131-2021 prioriterade fågelarter.docx", "A 72131-2021")</f>
        <v/>
      </c>
    </row>
    <row r="959" ht="15" customHeight="1">
      <c r="A959" t="inlineStr">
        <is>
          <t>A 46249-2025</t>
        </is>
      </c>
      <c r="B959" s="1" t="n">
        <v>45925.34439814815</v>
      </c>
      <c r="C959" s="1" t="n">
        <v>46075</v>
      </c>
      <c r="D959" t="inlineStr">
        <is>
          <t>VÄSTERBOTTENS LÄN</t>
        </is>
      </c>
      <c r="E959" t="inlineStr">
        <is>
          <t>ÅSELE</t>
        </is>
      </c>
      <c r="F959" t="inlineStr">
        <is>
          <t>SCA</t>
        </is>
      </c>
      <c r="G959" t="n">
        <v>16.1</v>
      </c>
      <c r="H959" t="n">
        <v>0</v>
      </c>
      <c r="I959" t="n">
        <v>0</v>
      </c>
      <c r="J959" t="n">
        <v>1</v>
      </c>
      <c r="K959" t="n">
        <v>0</v>
      </c>
      <c r="L959" t="n">
        <v>0</v>
      </c>
      <c r="M959" t="n">
        <v>0</v>
      </c>
      <c r="N959" t="n">
        <v>0</v>
      </c>
      <c r="O959" t="n">
        <v>1</v>
      </c>
      <c r="P959" t="n">
        <v>0</v>
      </c>
      <c r="Q959" t="n">
        <v>1</v>
      </c>
      <c r="R959" s="2" t="inlineStr">
        <is>
          <t>Gammelgransskål</t>
        </is>
      </c>
      <c r="S959">
        <f>HYPERLINK("https://klasma.github.io/Logging_2463/artfynd/A 46249-2025 artfynd.xlsx", "A 46249-2025")</f>
        <v/>
      </c>
      <c r="T959">
        <f>HYPERLINK("https://klasma.github.io/Logging_2463/kartor/A 46249-2025 karta.png", "A 46249-2025")</f>
        <v/>
      </c>
      <c r="V959">
        <f>HYPERLINK("https://klasma.github.io/Logging_2463/klagomål/A 46249-2025 FSC-klagomål.docx", "A 46249-2025")</f>
        <v/>
      </c>
      <c r="W959">
        <f>HYPERLINK("https://klasma.github.io/Logging_2463/klagomålsmail/A 46249-2025 FSC-klagomål mail.docx", "A 46249-2025")</f>
        <v/>
      </c>
      <c r="X959">
        <f>HYPERLINK("https://klasma.github.io/Logging_2463/tillsyn/A 46249-2025 tillsynsbegäran.docx", "A 46249-2025")</f>
        <v/>
      </c>
      <c r="Y959">
        <f>HYPERLINK("https://klasma.github.io/Logging_2463/tillsynsmail/A 46249-2025 tillsynsbegäran mail.docx", "A 46249-2025")</f>
        <v/>
      </c>
    </row>
    <row r="960" ht="15" customHeight="1">
      <c r="A960" t="inlineStr">
        <is>
          <t>A 60586-2022</t>
        </is>
      </c>
      <c r="B960" s="1" t="n">
        <v>44911</v>
      </c>
      <c r="C960" s="1" t="n">
        <v>46075</v>
      </c>
      <c r="D960" t="inlineStr">
        <is>
          <t>VÄSTERBOTTENS LÄN</t>
        </is>
      </c>
      <c r="E960" t="inlineStr">
        <is>
          <t>SKELLEFTEÅ</t>
        </is>
      </c>
      <c r="F960" t="inlineStr">
        <is>
          <t>Sveaskog</t>
        </is>
      </c>
      <c r="G960" t="n">
        <v>10.8</v>
      </c>
      <c r="H960" t="n">
        <v>0</v>
      </c>
      <c r="I960" t="n">
        <v>0</v>
      </c>
      <c r="J960" t="n">
        <v>1</v>
      </c>
      <c r="K960" t="n">
        <v>0</v>
      </c>
      <c r="L960" t="n">
        <v>0</v>
      </c>
      <c r="M960" t="n">
        <v>0</v>
      </c>
      <c r="N960" t="n">
        <v>0</v>
      </c>
      <c r="O960" t="n">
        <v>1</v>
      </c>
      <c r="P960" t="n">
        <v>0</v>
      </c>
      <c r="Q960" t="n">
        <v>1</v>
      </c>
      <c r="R960" s="2" t="inlineStr">
        <is>
          <t>Garnlav</t>
        </is>
      </c>
      <c r="S960">
        <f>HYPERLINK("https://klasma.github.io/Logging_2482/artfynd/A 60586-2022 artfynd.xlsx", "A 60586-2022")</f>
        <v/>
      </c>
      <c r="T960">
        <f>HYPERLINK("https://klasma.github.io/Logging_2482/kartor/A 60586-2022 karta.png", "A 60586-2022")</f>
        <v/>
      </c>
      <c r="V960">
        <f>HYPERLINK("https://klasma.github.io/Logging_2482/klagomål/A 60586-2022 FSC-klagomål.docx", "A 60586-2022")</f>
        <v/>
      </c>
      <c r="W960">
        <f>HYPERLINK("https://klasma.github.io/Logging_2482/klagomålsmail/A 60586-2022 FSC-klagomål mail.docx", "A 60586-2022")</f>
        <v/>
      </c>
      <c r="X960">
        <f>HYPERLINK("https://klasma.github.io/Logging_2482/tillsyn/A 60586-2022 tillsynsbegäran.docx", "A 60586-2022")</f>
        <v/>
      </c>
      <c r="Y960">
        <f>HYPERLINK("https://klasma.github.io/Logging_2482/tillsynsmail/A 60586-2022 tillsynsbegäran mail.docx", "A 60586-2022")</f>
        <v/>
      </c>
    </row>
    <row r="961" ht="15" customHeight="1">
      <c r="A961" t="inlineStr">
        <is>
          <t>A 47014-2025</t>
        </is>
      </c>
      <c r="B961" s="1" t="n">
        <v>45929.5741087963</v>
      </c>
      <c r="C961" s="1" t="n">
        <v>46075</v>
      </c>
      <c r="D961" t="inlineStr">
        <is>
          <t>VÄSTERBOTTENS LÄN</t>
        </is>
      </c>
      <c r="E961" t="inlineStr">
        <is>
          <t>BJURHOLM</t>
        </is>
      </c>
      <c r="G961" t="n">
        <v>16</v>
      </c>
      <c r="H961" t="n">
        <v>0</v>
      </c>
      <c r="I961" t="n">
        <v>0</v>
      </c>
      <c r="J961" t="n">
        <v>1</v>
      </c>
      <c r="K961" t="n">
        <v>0</v>
      </c>
      <c r="L961" t="n">
        <v>0</v>
      </c>
      <c r="M961" t="n">
        <v>0</v>
      </c>
      <c r="N961" t="n">
        <v>0</v>
      </c>
      <c r="O961" t="n">
        <v>1</v>
      </c>
      <c r="P961" t="n">
        <v>0</v>
      </c>
      <c r="Q961" t="n">
        <v>1</v>
      </c>
      <c r="R961" s="2" t="inlineStr">
        <is>
          <t>Ullticka</t>
        </is>
      </c>
      <c r="S961">
        <f>HYPERLINK("https://klasma.github.io/Logging_2403/artfynd/A 47014-2025 artfynd.xlsx", "A 47014-2025")</f>
        <v/>
      </c>
      <c r="T961">
        <f>HYPERLINK("https://klasma.github.io/Logging_2403/kartor/A 47014-2025 karta.png", "A 47014-2025")</f>
        <v/>
      </c>
      <c r="V961">
        <f>HYPERLINK("https://klasma.github.io/Logging_2403/klagomål/A 47014-2025 FSC-klagomål.docx", "A 47014-2025")</f>
        <v/>
      </c>
      <c r="W961">
        <f>HYPERLINK("https://klasma.github.io/Logging_2403/klagomålsmail/A 47014-2025 FSC-klagomål mail.docx", "A 47014-2025")</f>
        <v/>
      </c>
      <c r="X961">
        <f>HYPERLINK("https://klasma.github.io/Logging_2403/tillsyn/A 47014-2025 tillsynsbegäran.docx", "A 47014-2025")</f>
        <v/>
      </c>
      <c r="Y961">
        <f>HYPERLINK("https://klasma.github.io/Logging_2403/tillsynsmail/A 47014-2025 tillsynsbegäran mail.docx", "A 47014-2025")</f>
        <v/>
      </c>
    </row>
    <row r="962" ht="15" customHeight="1">
      <c r="A962" t="inlineStr">
        <is>
          <t>A 36730-2025</t>
        </is>
      </c>
      <c r="B962" s="1" t="n">
        <v>45873.49789351852</v>
      </c>
      <c r="C962" s="1" t="n">
        <v>46075</v>
      </c>
      <c r="D962" t="inlineStr">
        <is>
          <t>VÄSTERBOTTENS LÄN</t>
        </is>
      </c>
      <c r="E962" t="inlineStr">
        <is>
          <t>STORUMAN</t>
        </is>
      </c>
      <c r="F962" t="inlineStr">
        <is>
          <t>Sveaskog</t>
        </is>
      </c>
      <c r="G962" t="n">
        <v>10.5</v>
      </c>
      <c r="H962" t="n">
        <v>0</v>
      </c>
      <c r="I962" t="n">
        <v>0</v>
      </c>
      <c r="J962" t="n">
        <v>1</v>
      </c>
      <c r="K962" t="n">
        <v>0</v>
      </c>
      <c r="L962" t="n">
        <v>0</v>
      </c>
      <c r="M962" t="n">
        <v>0</v>
      </c>
      <c r="N962" t="n">
        <v>0</v>
      </c>
      <c r="O962" t="n">
        <v>1</v>
      </c>
      <c r="P962" t="n">
        <v>0</v>
      </c>
      <c r="Q962" t="n">
        <v>1</v>
      </c>
      <c r="R962" s="2" t="inlineStr">
        <is>
          <t>Orange taggsvamp</t>
        </is>
      </c>
      <c r="S962">
        <f>HYPERLINK("https://klasma.github.io/Logging_2421/artfynd/A 36730-2025 artfynd.xlsx", "A 36730-2025")</f>
        <v/>
      </c>
      <c r="T962">
        <f>HYPERLINK("https://klasma.github.io/Logging_2421/kartor/A 36730-2025 karta.png", "A 36730-2025")</f>
        <v/>
      </c>
      <c r="V962">
        <f>HYPERLINK("https://klasma.github.io/Logging_2421/klagomål/A 36730-2025 FSC-klagomål.docx", "A 36730-2025")</f>
        <v/>
      </c>
      <c r="W962">
        <f>HYPERLINK("https://klasma.github.io/Logging_2421/klagomålsmail/A 36730-2025 FSC-klagomål mail.docx", "A 36730-2025")</f>
        <v/>
      </c>
      <c r="X962">
        <f>HYPERLINK("https://klasma.github.io/Logging_2421/tillsyn/A 36730-2025 tillsynsbegäran.docx", "A 36730-2025")</f>
        <v/>
      </c>
      <c r="Y962">
        <f>HYPERLINK("https://klasma.github.io/Logging_2421/tillsynsmail/A 36730-2025 tillsynsbegäran mail.docx", "A 36730-2025")</f>
        <v/>
      </c>
    </row>
    <row r="963" ht="15" customHeight="1">
      <c r="A963" t="inlineStr">
        <is>
          <t>A 57618-2022</t>
        </is>
      </c>
      <c r="B963" s="1" t="n">
        <v>44897</v>
      </c>
      <c r="C963" s="1" t="n">
        <v>46075</v>
      </c>
      <c r="D963" t="inlineStr">
        <is>
          <t>VÄSTERBOTTENS LÄN</t>
        </is>
      </c>
      <c r="E963" t="inlineStr">
        <is>
          <t>LYCKSELE</t>
        </is>
      </c>
      <c r="F963" t="inlineStr">
        <is>
          <t>Holmen skog AB</t>
        </is>
      </c>
      <c r="G963" t="n">
        <v>3.4</v>
      </c>
      <c r="H963" t="n">
        <v>0</v>
      </c>
      <c r="I963" t="n">
        <v>0</v>
      </c>
      <c r="J963" t="n">
        <v>0</v>
      </c>
      <c r="K963" t="n">
        <v>0</v>
      </c>
      <c r="L963" t="n">
        <v>1</v>
      </c>
      <c r="M963" t="n">
        <v>0</v>
      </c>
      <c r="N963" t="n">
        <v>0</v>
      </c>
      <c r="O963" t="n">
        <v>1</v>
      </c>
      <c r="P963" t="n">
        <v>1</v>
      </c>
      <c r="Q963" t="n">
        <v>1</v>
      </c>
      <c r="R963" s="2" t="inlineStr">
        <is>
          <t>Flodpärlmussla</t>
        </is>
      </c>
      <c r="S963">
        <f>HYPERLINK("https://klasma.github.io/Logging_2481/artfynd/A 57618-2022 artfynd.xlsx", "A 57618-2022")</f>
        <v/>
      </c>
      <c r="T963">
        <f>HYPERLINK("https://klasma.github.io/Logging_2481/kartor/A 57618-2022 karta.png", "A 57618-2022")</f>
        <v/>
      </c>
      <c r="V963">
        <f>HYPERLINK("https://klasma.github.io/Logging_2481/klagomål/A 57618-2022 FSC-klagomål.docx", "A 57618-2022")</f>
        <v/>
      </c>
      <c r="W963">
        <f>HYPERLINK("https://klasma.github.io/Logging_2481/klagomålsmail/A 57618-2022 FSC-klagomål mail.docx", "A 57618-2022")</f>
        <v/>
      </c>
      <c r="X963">
        <f>HYPERLINK("https://klasma.github.io/Logging_2481/tillsyn/A 57618-2022 tillsynsbegäran.docx", "A 57618-2022")</f>
        <v/>
      </c>
      <c r="Y963">
        <f>HYPERLINK("https://klasma.github.io/Logging_2481/tillsynsmail/A 57618-2022 tillsynsbegäran mail.docx", "A 57618-2022")</f>
        <v/>
      </c>
    </row>
    <row r="964" ht="15" customHeight="1">
      <c r="A964" t="inlineStr">
        <is>
          <t>A 6180-2025</t>
        </is>
      </c>
      <c r="B964" s="1" t="n">
        <v>45698.44841435185</v>
      </c>
      <c r="C964" s="1" t="n">
        <v>46075</v>
      </c>
      <c r="D964" t="inlineStr">
        <is>
          <t>VÄSTERBOTTENS LÄN</t>
        </is>
      </c>
      <c r="E964" t="inlineStr">
        <is>
          <t>VÄNNÄS</t>
        </is>
      </c>
      <c r="G964" t="n">
        <v>5.9</v>
      </c>
      <c r="H964" t="n">
        <v>0</v>
      </c>
      <c r="I964" t="n">
        <v>1</v>
      </c>
      <c r="J964" t="n">
        <v>0</v>
      </c>
      <c r="K964" t="n">
        <v>0</v>
      </c>
      <c r="L964" t="n">
        <v>0</v>
      </c>
      <c r="M964" t="n">
        <v>0</v>
      </c>
      <c r="N964" t="n">
        <v>0</v>
      </c>
      <c r="O964" t="n">
        <v>0</v>
      </c>
      <c r="P964" t="n">
        <v>0</v>
      </c>
      <c r="Q964" t="n">
        <v>1</v>
      </c>
      <c r="R964" s="2" t="inlineStr">
        <is>
          <t>Thomsons trägnagare</t>
        </is>
      </c>
      <c r="S964">
        <f>HYPERLINK("https://klasma.github.io/Logging_2460/artfynd/A 6180-2025 artfynd.xlsx", "A 6180-2025")</f>
        <v/>
      </c>
      <c r="T964">
        <f>HYPERLINK("https://klasma.github.io/Logging_2460/kartor/A 6180-2025 karta.png", "A 6180-2025")</f>
        <v/>
      </c>
      <c r="V964">
        <f>HYPERLINK("https://klasma.github.io/Logging_2460/klagomål/A 6180-2025 FSC-klagomål.docx", "A 6180-2025")</f>
        <v/>
      </c>
      <c r="W964">
        <f>HYPERLINK("https://klasma.github.io/Logging_2460/klagomålsmail/A 6180-2025 FSC-klagomål mail.docx", "A 6180-2025")</f>
        <v/>
      </c>
      <c r="X964">
        <f>HYPERLINK("https://klasma.github.io/Logging_2460/tillsyn/A 6180-2025 tillsynsbegäran.docx", "A 6180-2025")</f>
        <v/>
      </c>
      <c r="Y964">
        <f>HYPERLINK("https://klasma.github.io/Logging_2460/tillsynsmail/A 6180-2025 tillsynsbegäran mail.docx", "A 6180-2025")</f>
        <v/>
      </c>
    </row>
    <row r="965" ht="15" customHeight="1">
      <c r="A965" t="inlineStr">
        <is>
          <t>A 36687-2025</t>
        </is>
      </c>
      <c r="B965" s="1" t="n">
        <v>45873.41922453704</v>
      </c>
      <c r="C965" s="1" t="n">
        <v>46075</v>
      </c>
      <c r="D965" t="inlineStr">
        <is>
          <t>VÄSTERBOTTENS LÄN</t>
        </is>
      </c>
      <c r="E965" t="inlineStr">
        <is>
          <t>LYCKSELE</t>
        </is>
      </c>
      <c r="F965" t="inlineStr">
        <is>
          <t>Sveaskog</t>
        </is>
      </c>
      <c r="G965" t="n">
        <v>1.9</v>
      </c>
      <c r="H965" t="n">
        <v>0</v>
      </c>
      <c r="I965" t="n">
        <v>0</v>
      </c>
      <c r="J965" t="n">
        <v>1</v>
      </c>
      <c r="K965" t="n">
        <v>0</v>
      </c>
      <c r="L965" t="n">
        <v>0</v>
      </c>
      <c r="M965" t="n">
        <v>0</v>
      </c>
      <c r="N965" t="n">
        <v>0</v>
      </c>
      <c r="O965" t="n">
        <v>1</v>
      </c>
      <c r="P965" t="n">
        <v>0</v>
      </c>
      <c r="Q965" t="n">
        <v>1</v>
      </c>
      <c r="R965" s="2" t="inlineStr">
        <is>
          <t>Kolflarnlav</t>
        </is>
      </c>
      <c r="S965">
        <f>HYPERLINK("https://klasma.github.io/Logging_2481/artfynd/A 36687-2025 artfynd.xlsx", "A 36687-2025")</f>
        <v/>
      </c>
      <c r="T965">
        <f>HYPERLINK("https://klasma.github.io/Logging_2481/kartor/A 36687-2025 karta.png", "A 36687-2025")</f>
        <v/>
      </c>
      <c r="V965">
        <f>HYPERLINK("https://klasma.github.io/Logging_2481/klagomål/A 36687-2025 FSC-klagomål.docx", "A 36687-2025")</f>
        <v/>
      </c>
      <c r="W965">
        <f>HYPERLINK("https://klasma.github.io/Logging_2481/klagomålsmail/A 36687-2025 FSC-klagomål mail.docx", "A 36687-2025")</f>
        <v/>
      </c>
      <c r="X965">
        <f>HYPERLINK("https://klasma.github.io/Logging_2481/tillsyn/A 36687-2025 tillsynsbegäran.docx", "A 36687-2025")</f>
        <v/>
      </c>
      <c r="Y965">
        <f>HYPERLINK("https://klasma.github.io/Logging_2481/tillsynsmail/A 36687-2025 tillsynsbegäran mail.docx", "A 36687-2025")</f>
        <v/>
      </c>
    </row>
    <row r="966" ht="15" customHeight="1">
      <c r="A966" t="inlineStr">
        <is>
          <t>A 46743-2025</t>
        </is>
      </c>
      <c r="B966" s="1" t="n">
        <v>45926</v>
      </c>
      <c r="C966" s="1" t="n">
        <v>46075</v>
      </c>
      <c r="D966" t="inlineStr">
        <is>
          <t>VÄSTERBOTTENS LÄN</t>
        </is>
      </c>
      <c r="E966" t="inlineStr">
        <is>
          <t>ROBERTSFORS</t>
        </is>
      </c>
      <c r="G966" t="n">
        <v>1.8</v>
      </c>
      <c r="H966" t="n">
        <v>0</v>
      </c>
      <c r="I966" t="n">
        <v>0</v>
      </c>
      <c r="J966" t="n">
        <v>1</v>
      </c>
      <c r="K966" t="n">
        <v>0</v>
      </c>
      <c r="L966" t="n">
        <v>0</v>
      </c>
      <c r="M966" t="n">
        <v>0</v>
      </c>
      <c r="N966" t="n">
        <v>0</v>
      </c>
      <c r="O966" t="n">
        <v>1</v>
      </c>
      <c r="P966" t="n">
        <v>0</v>
      </c>
      <c r="Q966" t="n">
        <v>1</v>
      </c>
      <c r="R966" s="2" t="inlineStr">
        <is>
          <t>Granticka</t>
        </is>
      </c>
      <c r="S966">
        <f>HYPERLINK("https://klasma.github.io/Logging_2409/artfynd/A 46743-2025 artfynd.xlsx", "A 46743-2025")</f>
        <v/>
      </c>
      <c r="T966">
        <f>HYPERLINK("https://klasma.github.io/Logging_2409/kartor/A 46743-2025 karta.png", "A 46743-2025")</f>
        <v/>
      </c>
      <c r="V966">
        <f>HYPERLINK("https://klasma.github.io/Logging_2409/klagomål/A 46743-2025 FSC-klagomål.docx", "A 46743-2025")</f>
        <v/>
      </c>
      <c r="W966">
        <f>HYPERLINK("https://klasma.github.io/Logging_2409/klagomålsmail/A 46743-2025 FSC-klagomål mail.docx", "A 46743-2025")</f>
        <v/>
      </c>
      <c r="X966">
        <f>HYPERLINK("https://klasma.github.io/Logging_2409/tillsyn/A 46743-2025 tillsynsbegäran.docx", "A 46743-2025")</f>
        <v/>
      </c>
      <c r="Y966">
        <f>HYPERLINK("https://klasma.github.io/Logging_2409/tillsynsmail/A 46743-2025 tillsynsbegäran mail.docx", "A 46743-2025")</f>
        <v/>
      </c>
    </row>
    <row r="967" ht="15" customHeight="1">
      <c r="A967" t="inlineStr">
        <is>
          <t>A 36797-2025</t>
        </is>
      </c>
      <c r="B967" s="1" t="n">
        <v>45873.65006944445</v>
      </c>
      <c r="C967" s="1" t="n">
        <v>46075</v>
      </c>
      <c r="D967" t="inlineStr">
        <is>
          <t>VÄSTERBOTTENS LÄN</t>
        </is>
      </c>
      <c r="E967" t="inlineStr">
        <is>
          <t>ROBERTSFORS</t>
        </is>
      </c>
      <c r="G967" t="n">
        <v>3.5</v>
      </c>
      <c r="H967" t="n">
        <v>1</v>
      </c>
      <c r="I967" t="n">
        <v>1</v>
      </c>
      <c r="J967" t="n">
        <v>0</v>
      </c>
      <c r="K967" t="n">
        <v>0</v>
      </c>
      <c r="L967" t="n">
        <v>0</v>
      </c>
      <c r="M967" t="n">
        <v>0</v>
      </c>
      <c r="N967" t="n">
        <v>0</v>
      </c>
      <c r="O967" t="n">
        <v>0</v>
      </c>
      <c r="P967" t="n">
        <v>0</v>
      </c>
      <c r="Q967" t="n">
        <v>1</v>
      </c>
      <c r="R967" s="2" t="inlineStr">
        <is>
          <t>Korallrot</t>
        </is>
      </c>
      <c r="S967">
        <f>HYPERLINK("https://klasma.github.io/Logging_2409/artfynd/A 36797-2025 artfynd.xlsx", "A 36797-2025")</f>
        <v/>
      </c>
      <c r="T967">
        <f>HYPERLINK("https://klasma.github.io/Logging_2409/kartor/A 36797-2025 karta.png", "A 36797-2025")</f>
        <v/>
      </c>
      <c r="V967">
        <f>HYPERLINK("https://klasma.github.io/Logging_2409/klagomål/A 36797-2025 FSC-klagomål.docx", "A 36797-2025")</f>
        <v/>
      </c>
      <c r="W967">
        <f>HYPERLINK("https://klasma.github.io/Logging_2409/klagomålsmail/A 36797-2025 FSC-klagomål mail.docx", "A 36797-2025")</f>
        <v/>
      </c>
      <c r="X967">
        <f>HYPERLINK("https://klasma.github.io/Logging_2409/tillsyn/A 36797-2025 tillsynsbegäran.docx", "A 36797-2025")</f>
        <v/>
      </c>
      <c r="Y967">
        <f>HYPERLINK("https://klasma.github.io/Logging_2409/tillsynsmail/A 36797-2025 tillsynsbegäran mail.docx", "A 36797-2025")</f>
        <v/>
      </c>
    </row>
    <row r="968" ht="15" customHeight="1">
      <c r="A968" t="inlineStr">
        <is>
          <t>A 48741-2025</t>
        </is>
      </c>
      <c r="B968" s="1" t="n">
        <v>45936</v>
      </c>
      <c r="C968" s="1" t="n">
        <v>46075</v>
      </c>
      <c r="D968" t="inlineStr">
        <is>
          <t>VÄSTERBOTTENS LÄN</t>
        </is>
      </c>
      <c r="E968" t="inlineStr">
        <is>
          <t>VILHELMINA</t>
        </is>
      </c>
      <c r="F968" t="inlineStr">
        <is>
          <t>SCA</t>
        </is>
      </c>
      <c r="G968" t="n">
        <v>4.6</v>
      </c>
      <c r="H968" t="n">
        <v>0</v>
      </c>
      <c r="I968" t="n">
        <v>0</v>
      </c>
      <c r="J968" t="n">
        <v>1</v>
      </c>
      <c r="K968" t="n">
        <v>0</v>
      </c>
      <c r="L968" t="n">
        <v>0</v>
      </c>
      <c r="M968" t="n">
        <v>0</v>
      </c>
      <c r="N968" t="n">
        <v>0</v>
      </c>
      <c r="O968" t="n">
        <v>1</v>
      </c>
      <c r="P968" t="n">
        <v>0</v>
      </c>
      <c r="Q968" t="n">
        <v>1</v>
      </c>
      <c r="R968" s="2" t="inlineStr">
        <is>
          <t>Ullticka</t>
        </is>
      </c>
      <c r="S968">
        <f>HYPERLINK("https://klasma.github.io/Logging_2462/artfynd/A 48741-2025 artfynd.xlsx", "A 48741-2025")</f>
        <v/>
      </c>
      <c r="T968">
        <f>HYPERLINK("https://klasma.github.io/Logging_2462/kartor/A 48741-2025 karta.png", "A 48741-2025")</f>
        <v/>
      </c>
      <c r="V968">
        <f>HYPERLINK("https://klasma.github.io/Logging_2462/klagomål/A 48741-2025 FSC-klagomål.docx", "A 48741-2025")</f>
        <v/>
      </c>
      <c r="W968">
        <f>HYPERLINK("https://klasma.github.io/Logging_2462/klagomålsmail/A 48741-2025 FSC-klagomål mail.docx", "A 48741-2025")</f>
        <v/>
      </c>
      <c r="X968">
        <f>HYPERLINK("https://klasma.github.io/Logging_2462/tillsyn/A 48741-2025 tillsynsbegäran.docx", "A 48741-2025")</f>
        <v/>
      </c>
      <c r="Y968">
        <f>HYPERLINK("https://klasma.github.io/Logging_2462/tillsynsmail/A 48741-2025 tillsynsbegäran mail.docx", "A 48741-2025")</f>
        <v/>
      </c>
    </row>
    <row r="969" ht="15" customHeight="1">
      <c r="A969" t="inlineStr">
        <is>
          <t>A 46731-2025</t>
        </is>
      </c>
      <c r="B969" s="1" t="n">
        <v>45926.59231481481</v>
      </c>
      <c r="C969" s="1" t="n">
        <v>46075</v>
      </c>
      <c r="D969" t="inlineStr">
        <is>
          <t>VÄSTERBOTTENS LÄN</t>
        </is>
      </c>
      <c r="E969" t="inlineStr">
        <is>
          <t>SKELLEFTEÅ</t>
        </is>
      </c>
      <c r="F969" t="inlineStr">
        <is>
          <t>Sveaskog</t>
        </is>
      </c>
      <c r="G969" t="n">
        <v>17</v>
      </c>
      <c r="H969" t="n">
        <v>0</v>
      </c>
      <c r="I969" t="n">
        <v>0</v>
      </c>
      <c r="J969" t="n">
        <v>1</v>
      </c>
      <c r="K969" t="n">
        <v>0</v>
      </c>
      <c r="L969" t="n">
        <v>0</v>
      </c>
      <c r="M969" t="n">
        <v>0</v>
      </c>
      <c r="N969" t="n">
        <v>0</v>
      </c>
      <c r="O969" t="n">
        <v>1</v>
      </c>
      <c r="P969" t="n">
        <v>0</v>
      </c>
      <c r="Q969" t="n">
        <v>1</v>
      </c>
      <c r="R969" s="2" t="inlineStr">
        <is>
          <t>Garnlav</t>
        </is>
      </c>
      <c r="S969">
        <f>HYPERLINK("https://klasma.github.io/Logging_2482/artfynd/A 46731-2025 artfynd.xlsx", "A 46731-2025")</f>
        <v/>
      </c>
      <c r="T969">
        <f>HYPERLINK("https://klasma.github.io/Logging_2482/kartor/A 46731-2025 karta.png", "A 46731-2025")</f>
        <v/>
      </c>
      <c r="V969">
        <f>HYPERLINK("https://klasma.github.io/Logging_2482/klagomål/A 46731-2025 FSC-klagomål.docx", "A 46731-2025")</f>
        <v/>
      </c>
      <c r="W969">
        <f>HYPERLINK("https://klasma.github.io/Logging_2482/klagomålsmail/A 46731-2025 FSC-klagomål mail.docx", "A 46731-2025")</f>
        <v/>
      </c>
      <c r="X969">
        <f>HYPERLINK("https://klasma.github.io/Logging_2482/tillsyn/A 46731-2025 tillsynsbegäran.docx", "A 46731-2025")</f>
        <v/>
      </c>
      <c r="Y969">
        <f>HYPERLINK("https://klasma.github.io/Logging_2482/tillsynsmail/A 46731-2025 tillsynsbegäran mail.docx", "A 46731-2025")</f>
        <v/>
      </c>
    </row>
    <row r="970" ht="15" customHeight="1">
      <c r="A970" t="inlineStr">
        <is>
          <t>A 28448-2023</t>
        </is>
      </c>
      <c r="B970" s="1" t="n">
        <v>45103</v>
      </c>
      <c r="C970" s="1" t="n">
        <v>46075</v>
      </c>
      <c r="D970" t="inlineStr">
        <is>
          <t>VÄSTERBOTTENS LÄN</t>
        </is>
      </c>
      <c r="E970" t="inlineStr">
        <is>
          <t>SKELLEFTEÅ</t>
        </is>
      </c>
      <c r="F970" t="inlineStr">
        <is>
          <t>Kyrkan</t>
        </is>
      </c>
      <c r="G970" t="n">
        <v>9.4</v>
      </c>
      <c r="H970" t="n">
        <v>0</v>
      </c>
      <c r="I970" t="n">
        <v>0</v>
      </c>
      <c r="J970" t="n">
        <v>1</v>
      </c>
      <c r="K970" t="n">
        <v>0</v>
      </c>
      <c r="L970" t="n">
        <v>0</v>
      </c>
      <c r="M970" t="n">
        <v>0</v>
      </c>
      <c r="N970" t="n">
        <v>0</v>
      </c>
      <c r="O970" t="n">
        <v>1</v>
      </c>
      <c r="P970" t="n">
        <v>0</v>
      </c>
      <c r="Q970" t="n">
        <v>1</v>
      </c>
      <c r="R970" s="2" t="inlineStr">
        <is>
          <t>Tallriska</t>
        </is>
      </c>
      <c r="S970">
        <f>HYPERLINK("https://klasma.github.io/Logging_2482/artfynd/A 28448-2023 artfynd.xlsx", "A 28448-2023")</f>
        <v/>
      </c>
      <c r="T970">
        <f>HYPERLINK("https://klasma.github.io/Logging_2482/kartor/A 28448-2023 karta.png", "A 28448-2023")</f>
        <v/>
      </c>
      <c r="V970">
        <f>HYPERLINK("https://klasma.github.io/Logging_2482/klagomål/A 28448-2023 FSC-klagomål.docx", "A 28448-2023")</f>
        <v/>
      </c>
      <c r="W970">
        <f>HYPERLINK("https://klasma.github.io/Logging_2482/klagomålsmail/A 28448-2023 FSC-klagomål mail.docx", "A 28448-2023")</f>
        <v/>
      </c>
      <c r="X970">
        <f>HYPERLINK("https://klasma.github.io/Logging_2482/tillsyn/A 28448-2023 tillsynsbegäran.docx", "A 28448-2023")</f>
        <v/>
      </c>
      <c r="Y970">
        <f>HYPERLINK("https://klasma.github.io/Logging_2482/tillsynsmail/A 28448-2023 tillsynsbegäran mail.docx", "A 28448-2023")</f>
        <v/>
      </c>
    </row>
    <row r="971" ht="15" customHeight="1">
      <c r="A971" t="inlineStr">
        <is>
          <t>A 47454-2025</t>
        </is>
      </c>
      <c r="B971" s="1" t="n">
        <v>45930.65238425926</v>
      </c>
      <c r="C971" s="1" t="n">
        <v>46075</v>
      </c>
      <c r="D971" t="inlineStr">
        <is>
          <t>VÄSTERBOTTENS LÄN</t>
        </is>
      </c>
      <c r="E971" t="inlineStr">
        <is>
          <t>LYCKSELE</t>
        </is>
      </c>
      <c r="F971" t="inlineStr">
        <is>
          <t>Sveaskog</t>
        </is>
      </c>
      <c r="G971" t="n">
        <v>3.8</v>
      </c>
      <c r="H971" t="n">
        <v>0</v>
      </c>
      <c r="I971" t="n">
        <v>0</v>
      </c>
      <c r="J971" t="n">
        <v>1</v>
      </c>
      <c r="K971" t="n">
        <v>0</v>
      </c>
      <c r="L971" t="n">
        <v>0</v>
      </c>
      <c r="M971" t="n">
        <v>0</v>
      </c>
      <c r="N971" t="n">
        <v>0</v>
      </c>
      <c r="O971" t="n">
        <v>1</v>
      </c>
      <c r="P971" t="n">
        <v>0</v>
      </c>
      <c r="Q971" t="n">
        <v>1</v>
      </c>
      <c r="R971" s="2" t="inlineStr">
        <is>
          <t>Motaggsvamp</t>
        </is>
      </c>
      <c r="S971">
        <f>HYPERLINK("https://klasma.github.io/Logging_2481/artfynd/A 47454-2025 artfynd.xlsx", "A 47454-2025")</f>
        <v/>
      </c>
      <c r="T971">
        <f>HYPERLINK("https://klasma.github.io/Logging_2481/kartor/A 47454-2025 karta.png", "A 47454-2025")</f>
        <v/>
      </c>
      <c r="V971">
        <f>HYPERLINK("https://klasma.github.io/Logging_2481/klagomål/A 47454-2025 FSC-klagomål.docx", "A 47454-2025")</f>
        <v/>
      </c>
      <c r="W971">
        <f>HYPERLINK("https://klasma.github.io/Logging_2481/klagomålsmail/A 47454-2025 FSC-klagomål mail.docx", "A 47454-2025")</f>
        <v/>
      </c>
      <c r="X971">
        <f>HYPERLINK("https://klasma.github.io/Logging_2481/tillsyn/A 47454-2025 tillsynsbegäran.docx", "A 47454-2025")</f>
        <v/>
      </c>
      <c r="Y971">
        <f>HYPERLINK("https://klasma.github.io/Logging_2481/tillsynsmail/A 47454-2025 tillsynsbegäran mail.docx", "A 47454-2025")</f>
        <v/>
      </c>
    </row>
    <row r="972" ht="15" customHeight="1">
      <c r="A972" t="inlineStr">
        <is>
          <t>A 58948-2023</t>
        </is>
      </c>
      <c r="B972" s="1" t="n">
        <v>45252</v>
      </c>
      <c r="C972" s="1" t="n">
        <v>46075</v>
      </c>
      <c r="D972" t="inlineStr">
        <is>
          <t>VÄSTERBOTTENS LÄN</t>
        </is>
      </c>
      <c r="E972" t="inlineStr">
        <is>
          <t>BJURHOLM</t>
        </is>
      </c>
      <c r="F972" t="inlineStr">
        <is>
          <t>Sveaskog</t>
        </is>
      </c>
      <c r="G972" t="n">
        <v>7.9</v>
      </c>
      <c r="H972" t="n">
        <v>0</v>
      </c>
      <c r="I972" t="n">
        <v>0</v>
      </c>
      <c r="J972" t="n">
        <v>1</v>
      </c>
      <c r="K972" t="n">
        <v>0</v>
      </c>
      <c r="L972" t="n">
        <v>0</v>
      </c>
      <c r="M972" t="n">
        <v>0</v>
      </c>
      <c r="N972" t="n">
        <v>0</v>
      </c>
      <c r="O972" t="n">
        <v>1</v>
      </c>
      <c r="P972" t="n">
        <v>0</v>
      </c>
      <c r="Q972" t="n">
        <v>1</v>
      </c>
      <c r="R972" s="2" t="inlineStr">
        <is>
          <t>Lunglav</t>
        </is>
      </c>
      <c r="S972">
        <f>HYPERLINK("https://klasma.github.io/Logging_2403/artfynd/A 58948-2023 artfynd.xlsx", "A 58948-2023")</f>
        <v/>
      </c>
      <c r="T972">
        <f>HYPERLINK("https://klasma.github.io/Logging_2403/kartor/A 58948-2023 karta.png", "A 58948-2023")</f>
        <v/>
      </c>
      <c r="V972">
        <f>HYPERLINK("https://klasma.github.io/Logging_2403/klagomål/A 58948-2023 FSC-klagomål.docx", "A 58948-2023")</f>
        <v/>
      </c>
      <c r="W972">
        <f>HYPERLINK("https://klasma.github.io/Logging_2403/klagomålsmail/A 58948-2023 FSC-klagomål mail.docx", "A 58948-2023")</f>
        <v/>
      </c>
      <c r="X972">
        <f>HYPERLINK("https://klasma.github.io/Logging_2403/tillsyn/A 58948-2023 tillsynsbegäran.docx", "A 58948-2023")</f>
        <v/>
      </c>
      <c r="Y972">
        <f>HYPERLINK("https://klasma.github.io/Logging_2403/tillsynsmail/A 58948-2023 tillsynsbegäran mail.docx", "A 58948-2023")</f>
        <v/>
      </c>
    </row>
    <row r="973" ht="15" customHeight="1">
      <c r="A973" t="inlineStr">
        <is>
          <t>A 47354-2025</t>
        </is>
      </c>
      <c r="B973" s="1" t="n">
        <v>45930.57769675926</v>
      </c>
      <c r="C973" s="1" t="n">
        <v>46075</v>
      </c>
      <c r="D973" t="inlineStr">
        <is>
          <t>VÄSTERBOTTENS LÄN</t>
        </is>
      </c>
      <c r="E973" t="inlineStr">
        <is>
          <t>SKELLEFTEÅ</t>
        </is>
      </c>
      <c r="G973" t="n">
        <v>0.5</v>
      </c>
      <c r="H973" t="n">
        <v>1</v>
      </c>
      <c r="I973" t="n">
        <v>0</v>
      </c>
      <c r="J973" t="n">
        <v>0</v>
      </c>
      <c r="K973" t="n">
        <v>0</v>
      </c>
      <c r="L973" t="n">
        <v>0</v>
      </c>
      <c r="M973" t="n">
        <v>0</v>
      </c>
      <c r="N973" t="n">
        <v>0</v>
      </c>
      <c r="O973" t="n">
        <v>0</v>
      </c>
      <c r="P973" t="n">
        <v>0</v>
      </c>
      <c r="Q973" t="n">
        <v>1</v>
      </c>
      <c r="R973" s="2" t="inlineStr">
        <is>
          <t>Mindre vattensalamander</t>
        </is>
      </c>
      <c r="S973">
        <f>HYPERLINK("https://klasma.github.io/Logging_2482/artfynd/A 47354-2025 artfynd.xlsx", "A 47354-2025")</f>
        <v/>
      </c>
      <c r="T973">
        <f>HYPERLINK("https://klasma.github.io/Logging_2482/kartor/A 47354-2025 karta.png", "A 47354-2025")</f>
        <v/>
      </c>
      <c r="V973">
        <f>HYPERLINK("https://klasma.github.io/Logging_2482/klagomål/A 47354-2025 FSC-klagomål.docx", "A 47354-2025")</f>
        <v/>
      </c>
      <c r="W973">
        <f>HYPERLINK("https://klasma.github.io/Logging_2482/klagomålsmail/A 47354-2025 FSC-klagomål mail.docx", "A 47354-2025")</f>
        <v/>
      </c>
      <c r="X973">
        <f>HYPERLINK("https://klasma.github.io/Logging_2482/tillsyn/A 47354-2025 tillsynsbegäran.docx", "A 47354-2025")</f>
        <v/>
      </c>
      <c r="Y973">
        <f>HYPERLINK("https://klasma.github.io/Logging_2482/tillsynsmail/A 47354-2025 tillsynsbegäran mail.docx", "A 47354-2025")</f>
        <v/>
      </c>
    </row>
    <row r="974" ht="15" customHeight="1">
      <c r="A974" t="inlineStr">
        <is>
          <t>A 16839-2022</t>
        </is>
      </c>
      <c r="B974" s="1" t="n">
        <v>44673</v>
      </c>
      <c r="C974" s="1" t="n">
        <v>46075</v>
      </c>
      <c r="D974" t="inlineStr">
        <is>
          <t>VÄSTERBOTTENS LÄN</t>
        </is>
      </c>
      <c r="E974" t="inlineStr">
        <is>
          <t>UMEÅ</t>
        </is>
      </c>
      <c r="G974" t="n">
        <v>3</v>
      </c>
      <c r="H974" t="n">
        <v>1</v>
      </c>
      <c r="I974" t="n">
        <v>0</v>
      </c>
      <c r="J974" t="n">
        <v>1</v>
      </c>
      <c r="K974" t="n">
        <v>0</v>
      </c>
      <c r="L974" t="n">
        <v>0</v>
      </c>
      <c r="M974" t="n">
        <v>0</v>
      </c>
      <c r="N974" t="n">
        <v>0</v>
      </c>
      <c r="O974" t="n">
        <v>1</v>
      </c>
      <c r="P974" t="n">
        <v>0</v>
      </c>
      <c r="Q974" t="n">
        <v>1</v>
      </c>
      <c r="R974" s="2" t="inlineStr">
        <is>
          <t>Kråka</t>
        </is>
      </c>
      <c r="S974">
        <f>HYPERLINK("https://klasma.github.io/Logging_2480/artfynd/A 16839-2022 artfynd.xlsx", "A 16839-2022")</f>
        <v/>
      </c>
      <c r="T974">
        <f>HYPERLINK("https://klasma.github.io/Logging_2480/kartor/A 16839-2022 karta.png", "A 16839-2022")</f>
        <v/>
      </c>
      <c r="V974">
        <f>HYPERLINK("https://klasma.github.io/Logging_2480/klagomål/A 16839-2022 FSC-klagomål.docx", "A 16839-2022")</f>
        <v/>
      </c>
      <c r="W974">
        <f>HYPERLINK("https://klasma.github.io/Logging_2480/klagomålsmail/A 16839-2022 FSC-klagomål mail.docx", "A 16839-2022")</f>
        <v/>
      </c>
      <c r="X974">
        <f>HYPERLINK("https://klasma.github.io/Logging_2480/tillsyn/A 16839-2022 tillsynsbegäran.docx", "A 16839-2022")</f>
        <v/>
      </c>
      <c r="Y974">
        <f>HYPERLINK("https://klasma.github.io/Logging_2480/tillsynsmail/A 16839-2022 tillsynsbegäran mail.docx", "A 16839-2022")</f>
        <v/>
      </c>
      <c r="Z974">
        <f>HYPERLINK("https://klasma.github.io/Logging_2480/fåglar/A 16839-2022 prioriterade fågelarter.docx", "A 16839-2022")</f>
        <v/>
      </c>
    </row>
    <row r="975" ht="15" customHeight="1">
      <c r="A975" t="inlineStr">
        <is>
          <t>A 37254-2025</t>
        </is>
      </c>
      <c r="B975" s="1" t="n">
        <v>45875</v>
      </c>
      <c r="C975" s="1" t="n">
        <v>46075</v>
      </c>
      <c r="D975" t="inlineStr">
        <is>
          <t>VÄSTERBOTTENS LÄN</t>
        </is>
      </c>
      <c r="E975" t="inlineStr">
        <is>
          <t>SKELLEFTEÅ</t>
        </is>
      </c>
      <c r="G975" t="n">
        <v>11.4</v>
      </c>
      <c r="H975" t="n">
        <v>0</v>
      </c>
      <c r="I975" t="n">
        <v>0</v>
      </c>
      <c r="J975" t="n">
        <v>1</v>
      </c>
      <c r="K975" t="n">
        <v>0</v>
      </c>
      <c r="L975" t="n">
        <v>0</v>
      </c>
      <c r="M975" t="n">
        <v>0</v>
      </c>
      <c r="N975" t="n">
        <v>0</v>
      </c>
      <c r="O975" t="n">
        <v>1</v>
      </c>
      <c r="P975" t="n">
        <v>0</v>
      </c>
      <c r="Q975" t="n">
        <v>1</v>
      </c>
      <c r="R975" s="2" t="inlineStr">
        <is>
          <t>Äggvaxskivling</t>
        </is>
      </c>
      <c r="S975">
        <f>HYPERLINK("https://klasma.github.io/Logging_2482/artfynd/A 37254-2025 artfynd.xlsx", "A 37254-2025")</f>
        <v/>
      </c>
      <c r="T975">
        <f>HYPERLINK("https://klasma.github.io/Logging_2482/kartor/A 37254-2025 karta.png", "A 37254-2025")</f>
        <v/>
      </c>
      <c r="V975">
        <f>HYPERLINK("https://klasma.github.io/Logging_2482/klagomål/A 37254-2025 FSC-klagomål.docx", "A 37254-2025")</f>
        <v/>
      </c>
      <c r="W975">
        <f>HYPERLINK("https://klasma.github.io/Logging_2482/klagomålsmail/A 37254-2025 FSC-klagomål mail.docx", "A 37254-2025")</f>
        <v/>
      </c>
      <c r="X975">
        <f>HYPERLINK("https://klasma.github.io/Logging_2482/tillsyn/A 37254-2025 tillsynsbegäran.docx", "A 37254-2025")</f>
        <v/>
      </c>
      <c r="Y975">
        <f>HYPERLINK("https://klasma.github.io/Logging_2482/tillsynsmail/A 37254-2025 tillsynsbegäran mail.docx", "A 37254-2025")</f>
        <v/>
      </c>
    </row>
    <row r="976" ht="15" customHeight="1">
      <c r="A976" t="inlineStr">
        <is>
          <t>A 47835-2025</t>
        </is>
      </c>
      <c r="B976" s="1" t="n">
        <v>45932.36537037037</v>
      </c>
      <c r="C976" s="1" t="n">
        <v>46075</v>
      </c>
      <c r="D976" t="inlineStr">
        <is>
          <t>VÄSTERBOTTENS LÄN</t>
        </is>
      </c>
      <c r="E976" t="inlineStr">
        <is>
          <t>NORDMALING</t>
        </is>
      </c>
      <c r="F976" t="inlineStr">
        <is>
          <t>SCA</t>
        </is>
      </c>
      <c r="G976" t="n">
        <v>1.3</v>
      </c>
      <c r="H976" t="n">
        <v>0</v>
      </c>
      <c r="I976" t="n">
        <v>0</v>
      </c>
      <c r="J976" t="n">
        <v>1</v>
      </c>
      <c r="K976" t="n">
        <v>0</v>
      </c>
      <c r="L976" t="n">
        <v>0</v>
      </c>
      <c r="M976" t="n">
        <v>0</v>
      </c>
      <c r="N976" t="n">
        <v>0</v>
      </c>
      <c r="O976" t="n">
        <v>1</v>
      </c>
      <c r="P976" t="n">
        <v>0</v>
      </c>
      <c r="Q976" t="n">
        <v>1</v>
      </c>
      <c r="R976" s="2" t="inlineStr">
        <is>
          <t>Blå taggsvamp</t>
        </is>
      </c>
      <c r="S976">
        <f>HYPERLINK("https://klasma.github.io/Logging_2401/artfynd/A 47835-2025 artfynd.xlsx", "A 47835-2025")</f>
        <v/>
      </c>
      <c r="T976">
        <f>HYPERLINK("https://klasma.github.io/Logging_2401/kartor/A 47835-2025 karta.png", "A 47835-2025")</f>
        <v/>
      </c>
      <c r="V976">
        <f>HYPERLINK("https://klasma.github.io/Logging_2401/klagomål/A 47835-2025 FSC-klagomål.docx", "A 47835-2025")</f>
        <v/>
      </c>
      <c r="W976">
        <f>HYPERLINK("https://klasma.github.io/Logging_2401/klagomålsmail/A 47835-2025 FSC-klagomål mail.docx", "A 47835-2025")</f>
        <v/>
      </c>
      <c r="X976">
        <f>HYPERLINK("https://klasma.github.io/Logging_2401/tillsyn/A 47835-2025 tillsynsbegäran.docx", "A 47835-2025")</f>
        <v/>
      </c>
      <c r="Y976">
        <f>HYPERLINK("https://klasma.github.io/Logging_2401/tillsynsmail/A 47835-2025 tillsynsbegäran mail.docx", "A 47835-2025")</f>
        <v/>
      </c>
    </row>
    <row r="977" ht="15" customHeight="1">
      <c r="A977" t="inlineStr">
        <is>
          <t>A 36880-2025</t>
        </is>
      </c>
      <c r="B977" s="1" t="n">
        <v>45874.43534722222</v>
      </c>
      <c r="C977" s="1" t="n">
        <v>46075</v>
      </c>
      <c r="D977" t="inlineStr">
        <is>
          <t>VÄSTERBOTTENS LÄN</t>
        </is>
      </c>
      <c r="E977" t="inlineStr">
        <is>
          <t>UMEÅ</t>
        </is>
      </c>
      <c r="G977" t="n">
        <v>11.4</v>
      </c>
      <c r="H977" t="n">
        <v>1</v>
      </c>
      <c r="I977" t="n">
        <v>0</v>
      </c>
      <c r="J977" t="n">
        <v>0</v>
      </c>
      <c r="K977" t="n">
        <v>0</v>
      </c>
      <c r="L977" t="n">
        <v>0</v>
      </c>
      <c r="M977" t="n">
        <v>0</v>
      </c>
      <c r="N977" t="n">
        <v>0</v>
      </c>
      <c r="O977" t="n">
        <v>0</v>
      </c>
      <c r="P977" t="n">
        <v>0</v>
      </c>
      <c r="Q977" t="n">
        <v>1</v>
      </c>
      <c r="R977" s="2" t="inlineStr">
        <is>
          <t>Vanlig groda</t>
        </is>
      </c>
      <c r="S977">
        <f>HYPERLINK("https://klasma.github.io/Logging_2480/artfynd/A 36880-2025 artfynd.xlsx", "A 36880-2025")</f>
        <v/>
      </c>
      <c r="T977">
        <f>HYPERLINK("https://klasma.github.io/Logging_2480/kartor/A 36880-2025 karta.png", "A 36880-2025")</f>
        <v/>
      </c>
      <c r="V977">
        <f>HYPERLINK("https://klasma.github.io/Logging_2480/klagomål/A 36880-2025 FSC-klagomål.docx", "A 36880-2025")</f>
        <v/>
      </c>
      <c r="W977">
        <f>HYPERLINK("https://klasma.github.io/Logging_2480/klagomålsmail/A 36880-2025 FSC-klagomål mail.docx", "A 36880-2025")</f>
        <v/>
      </c>
      <c r="X977">
        <f>HYPERLINK("https://klasma.github.io/Logging_2480/tillsyn/A 36880-2025 tillsynsbegäran.docx", "A 36880-2025")</f>
        <v/>
      </c>
      <c r="Y977">
        <f>HYPERLINK("https://klasma.github.io/Logging_2480/tillsynsmail/A 36880-2025 tillsynsbegäran mail.docx", "A 36880-2025")</f>
        <v/>
      </c>
    </row>
    <row r="978" ht="15" customHeight="1">
      <c r="A978" t="inlineStr">
        <is>
          <t>A 32023-2024</t>
        </is>
      </c>
      <c r="B978" s="1" t="n">
        <v>45510</v>
      </c>
      <c r="C978" s="1" t="n">
        <v>46075</v>
      </c>
      <c r="D978" t="inlineStr">
        <is>
          <t>VÄSTERBOTTENS LÄN</t>
        </is>
      </c>
      <c r="E978" t="inlineStr">
        <is>
          <t>ROBERTSFORS</t>
        </is>
      </c>
      <c r="F978" t="inlineStr">
        <is>
          <t>Holmen skog AB</t>
        </is>
      </c>
      <c r="G978" t="n">
        <v>1.8</v>
      </c>
      <c r="H978" t="n">
        <v>0</v>
      </c>
      <c r="I978" t="n">
        <v>1</v>
      </c>
      <c r="J978" t="n">
        <v>0</v>
      </c>
      <c r="K978" t="n">
        <v>0</v>
      </c>
      <c r="L978" t="n">
        <v>0</v>
      </c>
      <c r="M978" t="n">
        <v>0</v>
      </c>
      <c r="N978" t="n">
        <v>0</v>
      </c>
      <c r="O978" t="n">
        <v>0</v>
      </c>
      <c r="P978" t="n">
        <v>0</v>
      </c>
      <c r="Q978" t="n">
        <v>1</v>
      </c>
      <c r="R978" s="2" t="inlineStr">
        <is>
          <t>Dropptaggsvamp</t>
        </is>
      </c>
      <c r="S978">
        <f>HYPERLINK("https://klasma.github.io/Logging_2409/artfynd/A 32023-2024 artfynd.xlsx", "A 32023-2024")</f>
        <v/>
      </c>
      <c r="T978">
        <f>HYPERLINK("https://klasma.github.io/Logging_2409/kartor/A 32023-2024 karta.png", "A 32023-2024")</f>
        <v/>
      </c>
      <c r="V978">
        <f>HYPERLINK("https://klasma.github.io/Logging_2409/klagomål/A 32023-2024 FSC-klagomål.docx", "A 32023-2024")</f>
        <v/>
      </c>
      <c r="W978">
        <f>HYPERLINK("https://klasma.github.io/Logging_2409/klagomålsmail/A 32023-2024 FSC-klagomål mail.docx", "A 32023-2024")</f>
        <v/>
      </c>
      <c r="X978">
        <f>HYPERLINK("https://klasma.github.io/Logging_2409/tillsyn/A 32023-2024 tillsynsbegäran.docx", "A 32023-2024")</f>
        <v/>
      </c>
      <c r="Y978">
        <f>HYPERLINK("https://klasma.github.io/Logging_2409/tillsynsmail/A 32023-2024 tillsynsbegäran mail.docx", "A 32023-2024")</f>
        <v/>
      </c>
    </row>
    <row r="979" ht="15" customHeight="1">
      <c r="A979" t="inlineStr">
        <is>
          <t>A 42835-2025</t>
        </is>
      </c>
      <c r="B979" s="1" t="n">
        <v>45908</v>
      </c>
      <c r="C979" s="1" t="n">
        <v>46075</v>
      </c>
      <c r="D979" t="inlineStr">
        <is>
          <t>VÄSTERBOTTENS LÄN</t>
        </is>
      </c>
      <c r="E979" t="inlineStr">
        <is>
          <t>UMEÅ</t>
        </is>
      </c>
      <c r="F979" t="inlineStr">
        <is>
          <t>Övriga statliga verk och myndigheter</t>
        </is>
      </c>
      <c r="G979" t="n">
        <v>1.1</v>
      </c>
      <c r="H979" t="n">
        <v>0</v>
      </c>
      <c r="I979" t="n">
        <v>0</v>
      </c>
      <c r="J979" t="n">
        <v>1</v>
      </c>
      <c r="K979" t="n">
        <v>0</v>
      </c>
      <c r="L979" t="n">
        <v>0</v>
      </c>
      <c r="M979" t="n">
        <v>0</v>
      </c>
      <c r="N979" t="n">
        <v>0</v>
      </c>
      <c r="O979" t="n">
        <v>1</v>
      </c>
      <c r="P979" t="n">
        <v>0</v>
      </c>
      <c r="Q979" t="n">
        <v>1</v>
      </c>
      <c r="R979" s="2" t="inlineStr">
        <is>
          <t>Klofibbla</t>
        </is>
      </c>
      <c r="S979">
        <f>HYPERLINK("https://klasma.github.io/Logging_2480/artfynd/A 42835-2025 artfynd.xlsx", "A 42835-2025")</f>
        <v/>
      </c>
      <c r="T979">
        <f>HYPERLINK("https://klasma.github.io/Logging_2480/kartor/A 42835-2025 karta.png", "A 42835-2025")</f>
        <v/>
      </c>
      <c r="V979">
        <f>HYPERLINK("https://klasma.github.io/Logging_2480/klagomål/A 42835-2025 FSC-klagomål.docx", "A 42835-2025")</f>
        <v/>
      </c>
      <c r="W979">
        <f>HYPERLINK("https://klasma.github.io/Logging_2480/klagomålsmail/A 42835-2025 FSC-klagomål mail.docx", "A 42835-2025")</f>
        <v/>
      </c>
      <c r="X979">
        <f>HYPERLINK("https://klasma.github.io/Logging_2480/tillsyn/A 42835-2025 tillsynsbegäran.docx", "A 42835-2025")</f>
        <v/>
      </c>
      <c r="Y979">
        <f>HYPERLINK("https://klasma.github.io/Logging_2480/tillsynsmail/A 42835-2025 tillsynsbegäran mail.docx", "A 42835-2025")</f>
        <v/>
      </c>
    </row>
    <row r="980" ht="15" customHeight="1">
      <c r="A980" t="inlineStr">
        <is>
          <t>A 37828-2025</t>
        </is>
      </c>
      <c r="B980" s="1" t="n">
        <v>45881.41111111111</v>
      </c>
      <c r="C980" s="1" t="n">
        <v>46075</v>
      </c>
      <c r="D980" t="inlineStr">
        <is>
          <t>VÄSTERBOTTENS LÄN</t>
        </is>
      </c>
      <c r="E980" t="inlineStr">
        <is>
          <t>LYCKSELE</t>
        </is>
      </c>
      <c r="F980" t="inlineStr">
        <is>
          <t>Sveaskog</t>
        </is>
      </c>
      <c r="G980" t="n">
        <v>28.4</v>
      </c>
      <c r="H980" t="n">
        <v>1</v>
      </c>
      <c r="I980" t="n">
        <v>0</v>
      </c>
      <c r="J980" t="n">
        <v>0</v>
      </c>
      <c r="K980" t="n">
        <v>0</v>
      </c>
      <c r="L980" t="n">
        <v>0</v>
      </c>
      <c r="M980" t="n">
        <v>0</v>
      </c>
      <c r="N980" t="n">
        <v>0</v>
      </c>
      <c r="O980" t="n">
        <v>0</v>
      </c>
      <c r="P980" t="n">
        <v>0</v>
      </c>
      <c r="Q980" t="n">
        <v>1</v>
      </c>
      <c r="R980" s="2" t="inlineStr">
        <is>
          <t>Fläcknycklar</t>
        </is>
      </c>
      <c r="S980">
        <f>HYPERLINK("https://klasma.github.io/Logging_2481/artfynd/A 37828-2025 artfynd.xlsx", "A 37828-2025")</f>
        <v/>
      </c>
      <c r="T980">
        <f>HYPERLINK("https://klasma.github.io/Logging_2481/kartor/A 37828-2025 karta.png", "A 37828-2025")</f>
        <v/>
      </c>
      <c r="V980">
        <f>HYPERLINK("https://klasma.github.io/Logging_2481/klagomål/A 37828-2025 FSC-klagomål.docx", "A 37828-2025")</f>
        <v/>
      </c>
      <c r="W980">
        <f>HYPERLINK("https://klasma.github.io/Logging_2481/klagomålsmail/A 37828-2025 FSC-klagomål mail.docx", "A 37828-2025")</f>
        <v/>
      </c>
      <c r="X980">
        <f>HYPERLINK("https://klasma.github.io/Logging_2481/tillsyn/A 37828-2025 tillsynsbegäran.docx", "A 37828-2025")</f>
        <v/>
      </c>
      <c r="Y980">
        <f>HYPERLINK("https://klasma.github.io/Logging_2481/tillsynsmail/A 37828-2025 tillsynsbegäran mail.docx", "A 37828-2025")</f>
        <v/>
      </c>
    </row>
    <row r="981" ht="15" customHeight="1">
      <c r="A981" t="inlineStr">
        <is>
          <t>A 37815-2025</t>
        </is>
      </c>
      <c r="B981" s="1" t="n">
        <v>45881.38259259259</v>
      </c>
      <c r="C981" s="1" t="n">
        <v>46075</v>
      </c>
      <c r="D981" t="inlineStr">
        <is>
          <t>VÄSTERBOTTENS LÄN</t>
        </is>
      </c>
      <c r="E981" t="inlineStr">
        <is>
          <t>SKELLEFTEÅ</t>
        </is>
      </c>
      <c r="G981" t="n">
        <v>3.7</v>
      </c>
      <c r="H981" t="n">
        <v>1</v>
      </c>
      <c r="I981" t="n">
        <v>0</v>
      </c>
      <c r="J981" t="n">
        <v>1</v>
      </c>
      <c r="K981" t="n">
        <v>0</v>
      </c>
      <c r="L981" t="n">
        <v>0</v>
      </c>
      <c r="M981" t="n">
        <v>0</v>
      </c>
      <c r="N981" t="n">
        <v>0</v>
      </c>
      <c r="O981" t="n">
        <v>1</v>
      </c>
      <c r="P981" t="n">
        <v>0</v>
      </c>
      <c r="Q981" t="n">
        <v>1</v>
      </c>
      <c r="R981" s="2" t="inlineStr">
        <is>
          <t>Spillkråka</t>
        </is>
      </c>
      <c r="S981">
        <f>HYPERLINK("https://klasma.github.io/Logging_2482/artfynd/A 37815-2025 artfynd.xlsx", "A 37815-2025")</f>
        <v/>
      </c>
      <c r="T981">
        <f>HYPERLINK("https://klasma.github.io/Logging_2482/kartor/A 37815-2025 karta.png", "A 37815-2025")</f>
        <v/>
      </c>
      <c r="V981">
        <f>HYPERLINK("https://klasma.github.io/Logging_2482/klagomål/A 37815-2025 FSC-klagomål.docx", "A 37815-2025")</f>
        <v/>
      </c>
      <c r="W981">
        <f>HYPERLINK("https://klasma.github.io/Logging_2482/klagomålsmail/A 37815-2025 FSC-klagomål mail.docx", "A 37815-2025")</f>
        <v/>
      </c>
      <c r="X981">
        <f>HYPERLINK("https://klasma.github.io/Logging_2482/tillsyn/A 37815-2025 tillsynsbegäran.docx", "A 37815-2025")</f>
        <v/>
      </c>
      <c r="Y981">
        <f>HYPERLINK("https://klasma.github.io/Logging_2482/tillsynsmail/A 37815-2025 tillsynsbegäran mail.docx", "A 37815-2025")</f>
        <v/>
      </c>
      <c r="Z981">
        <f>HYPERLINK("https://klasma.github.io/Logging_2482/fåglar/A 37815-2025 prioriterade fågelarter.docx", "A 37815-2025")</f>
        <v/>
      </c>
    </row>
    <row r="982" ht="15" customHeight="1">
      <c r="A982" t="inlineStr">
        <is>
          <t>A 37568-2025</t>
        </is>
      </c>
      <c r="B982" s="1" t="n">
        <v>45880.3647337963</v>
      </c>
      <c r="C982" s="1" t="n">
        <v>46075</v>
      </c>
      <c r="D982" t="inlineStr">
        <is>
          <t>VÄSTERBOTTENS LÄN</t>
        </is>
      </c>
      <c r="E982" t="inlineStr">
        <is>
          <t>ÅSELE</t>
        </is>
      </c>
      <c r="F982" t="inlineStr">
        <is>
          <t>Kyrkan</t>
        </is>
      </c>
      <c r="G982" t="n">
        <v>8</v>
      </c>
      <c r="H982" t="n">
        <v>0</v>
      </c>
      <c r="I982" t="n">
        <v>0</v>
      </c>
      <c r="J982" t="n">
        <v>1</v>
      </c>
      <c r="K982" t="n">
        <v>0</v>
      </c>
      <c r="L982" t="n">
        <v>0</v>
      </c>
      <c r="M982" t="n">
        <v>0</v>
      </c>
      <c r="N982" t="n">
        <v>0</v>
      </c>
      <c r="O982" t="n">
        <v>1</v>
      </c>
      <c r="P982" t="n">
        <v>0</v>
      </c>
      <c r="Q982" t="n">
        <v>1</v>
      </c>
      <c r="R982" s="2" t="inlineStr">
        <is>
          <t>Lunglav</t>
        </is>
      </c>
      <c r="S982">
        <f>HYPERLINK("https://klasma.github.io/Logging_2463/artfynd/A 37568-2025 artfynd.xlsx", "A 37568-2025")</f>
        <v/>
      </c>
      <c r="T982">
        <f>HYPERLINK("https://klasma.github.io/Logging_2463/kartor/A 37568-2025 karta.png", "A 37568-2025")</f>
        <v/>
      </c>
      <c r="V982">
        <f>HYPERLINK("https://klasma.github.io/Logging_2463/klagomål/A 37568-2025 FSC-klagomål.docx", "A 37568-2025")</f>
        <v/>
      </c>
      <c r="W982">
        <f>HYPERLINK("https://klasma.github.io/Logging_2463/klagomålsmail/A 37568-2025 FSC-klagomål mail.docx", "A 37568-2025")</f>
        <v/>
      </c>
      <c r="X982">
        <f>HYPERLINK("https://klasma.github.io/Logging_2463/tillsyn/A 37568-2025 tillsynsbegäran.docx", "A 37568-2025")</f>
        <v/>
      </c>
      <c r="Y982">
        <f>HYPERLINK("https://klasma.github.io/Logging_2463/tillsynsmail/A 37568-2025 tillsynsbegäran mail.docx", "A 37568-2025")</f>
        <v/>
      </c>
    </row>
    <row r="983" ht="15" customHeight="1">
      <c r="A983" t="inlineStr">
        <is>
          <t>A 9012-2025</t>
        </is>
      </c>
      <c r="B983" s="1" t="n">
        <v>45713.58675925926</v>
      </c>
      <c r="C983" s="1" t="n">
        <v>46075</v>
      </c>
      <c r="D983" t="inlineStr">
        <is>
          <t>VÄSTERBOTTENS LÄN</t>
        </is>
      </c>
      <c r="E983" t="inlineStr">
        <is>
          <t>NORDMALING</t>
        </is>
      </c>
      <c r="G983" t="n">
        <v>6.3</v>
      </c>
      <c r="H983" t="n">
        <v>1</v>
      </c>
      <c r="I983" t="n">
        <v>0</v>
      </c>
      <c r="J983" t="n">
        <v>1</v>
      </c>
      <c r="K983" t="n">
        <v>0</v>
      </c>
      <c r="L983" t="n">
        <v>0</v>
      </c>
      <c r="M983" t="n">
        <v>0</v>
      </c>
      <c r="N983" t="n">
        <v>0</v>
      </c>
      <c r="O983" t="n">
        <v>1</v>
      </c>
      <c r="P983" t="n">
        <v>0</v>
      </c>
      <c r="Q983" t="n">
        <v>1</v>
      </c>
      <c r="R983" s="2" t="inlineStr">
        <is>
          <t>Talltita</t>
        </is>
      </c>
      <c r="S983">
        <f>HYPERLINK("https://klasma.github.io/Logging_2401/artfynd/A 9012-2025 artfynd.xlsx", "A 9012-2025")</f>
        <v/>
      </c>
      <c r="T983">
        <f>HYPERLINK("https://klasma.github.io/Logging_2401/kartor/A 9012-2025 karta.png", "A 9012-2025")</f>
        <v/>
      </c>
      <c r="V983">
        <f>HYPERLINK("https://klasma.github.io/Logging_2401/klagomål/A 9012-2025 FSC-klagomål.docx", "A 9012-2025")</f>
        <v/>
      </c>
      <c r="W983">
        <f>HYPERLINK("https://klasma.github.io/Logging_2401/klagomålsmail/A 9012-2025 FSC-klagomål mail.docx", "A 9012-2025")</f>
        <v/>
      </c>
      <c r="X983">
        <f>HYPERLINK("https://klasma.github.io/Logging_2401/tillsyn/A 9012-2025 tillsynsbegäran.docx", "A 9012-2025")</f>
        <v/>
      </c>
      <c r="Y983">
        <f>HYPERLINK("https://klasma.github.io/Logging_2401/tillsynsmail/A 9012-2025 tillsynsbegäran mail.docx", "A 9012-2025")</f>
        <v/>
      </c>
      <c r="Z983">
        <f>HYPERLINK("https://klasma.github.io/Logging_2401/fåglar/A 9012-2025 prioriterade fågelarter.docx", "A 9012-2025")</f>
        <v/>
      </c>
    </row>
    <row r="984" ht="15" customHeight="1">
      <c r="A984" t="inlineStr">
        <is>
          <t>A 59939-2023</t>
        </is>
      </c>
      <c r="B984" s="1" t="n">
        <v>45254</v>
      </c>
      <c r="C984" s="1" t="n">
        <v>46075</v>
      </c>
      <c r="D984" t="inlineStr">
        <is>
          <t>VÄSTERBOTTENS LÄN</t>
        </is>
      </c>
      <c r="E984" t="inlineStr">
        <is>
          <t>VINDELN</t>
        </is>
      </c>
      <c r="G984" t="n">
        <v>9.300000000000001</v>
      </c>
      <c r="H984" t="n">
        <v>0</v>
      </c>
      <c r="I984" t="n">
        <v>0</v>
      </c>
      <c r="J984" t="n">
        <v>1</v>
      </c>
      <c r="K984" t="n">
        <v>0</v>
      </c>
      <c r="L984" t="n">
        <v>0</v>
      </c>
      <c r="M984" t="n">
        <v>0</v>
      </c>
      <c r="N984" t="n">
        <v>0</v>
      </c>
      <c r="O984" t="n">
        <v>1</v>
      </c>
      <c r="P984" t="n">
        <v>0</v>
      </c>
      <c r="Q984" t="n">
        <v>1</v>
      </c>
      <c r="R984" s="2" t="inlineStr">
        <is>
          <t>Ullticka</t>
        </is>
      </c>
      <c r="S984">
        <f>HYPERLINK("https://klasma.github.io/Logging_2404/artfynd/A 59939-2023 artfynd.xlsx", "A 59939-2023")</f>
        <v/>
      </c>
      <c r="T984">
        <f>HYPERLINK("https://klasma.github.io/Logging_2404/kartor/A 59939-2023 karta.png", "A 59939-2023")</f>
        <v/>
      </c>
      <c r="V984">
        <f>HYPERLINK("https://klasma.github.io/Logging_2404/klagomål/A 59939-2023 FSC-klagomål.docx", "A 59939-2023")</f>
        <v/>
      </c>
      <c r="W984">
        <f>HYPERLINK("https://klasma.github.io/Logging_2404/klagomålsmail/A 59939-2023 FSC-klagomål mail.docx", "A 59939-2023")</f>
        <v/>
      </c>
      <c r="X984">
        <f>HYPERLINK("https://klasma.github.io/Logging_2404/tillsyn/A 59939-2023 tillsynsbegäran.docx", "A 59939-2023")</f>
        <v/>
      </c>
      <c r="Y984">
        <f>HYPERLINK("https://klasma.github.io/Logging_2404/tillsynsmail/A 59939-2023 tillsynsbegäran mail.docx", "A 59939-2023")</f>
        <v/>
      </c>
    </row>
    <row r="985" ht="15" customHeight="1">
      <c r="A985" t="inlineStr">
        <is>
          <t>A 62046-2024</t>
        </is>
      </c>
      <c r="B985" s="1" t="n">
        <v>45656</v>
      </c>
      <c r="C985" s="1" t="n">
        <v>46075</v>
      </c>
      <c r="D985" t="inlineStr">
        <is>
          <t>VÄSTERBOTTENS LÄN</t>
        </is>
      </c>
      <c r="E985" t="inlineStr">
        <is>
          <t>BJURHOLM</t>
        </is>
      </c>
      <c r="G985" t="n">
        <v>21.9</v>
      </c>
      <c r="H985" t="n">
        <v>1</v>
      </c>
      <c r="I985" t="n">
        <v>0</v>
      </c>
      <c r="J985" t="n">
        <v>0</v>
      </c>
      <c r="K985" t="n">
        <v>0</v>
      </c>
      <c r="L985" t="n">
        <v>0</v>
      </c>
      <c r="M985" t="n">
        <v>0</v>
      </c>
      <c r="N985" t="n">
        <v>0</v>
      </c>
      <c r="O985" t="n">
        <v>0</v>
      </c>
      <c r="P985" t="n">
        <v>0</v>
      </c>
      <c r="Q985" t="n">
        <v>1</v>
      </c>
      <c r="R985" s="2" t="inlineStr">
        <is>
          <t>Fläcknycklar</t>
        </is>
      </c>
      <c r="S985">
        <f>HYPERLINK("https://klasma.github.io/Logging_2403/artfynd/A 62046-2024 artfynd.xlsx", "A 62046-2024")</f>
        <v/>
      </c>
      <c r="T985">
        <f>HYPERLINK("https://klasma.github.io/Logging_2403/kartor/A 62046-2024 karta.png", "A 62046-2024")</f>
        <v/>
      </c>
      <c r="V985">
        <f>HYPERLINK("https://klasma.github.io/Logging_2403/klagomål/A 62046-2024 FSC-klagomål.docx", "A 62046-2024")</f>
        <v/>
      </c>
      <c r="W985">
        <f>HYPERLINK("https://klasma.github.io/Logging_2403/klagomålsmail/A 62046-2024 FSC-klagomål mail.docx", "A 62046-2024")</f>
        <v/>
      </c>
      <c r="X985">
        <f>HYPERLINK("https://klasma.github.io/Logging_2403/tillsyn/A 62046-2024 tillsynsbegäran.docx", "A 62046-2024")</f>
        <v/>
      </c>
      <c r="Y985">
        <f>HYPERLINK("https://klasma.github.io/Logging_2403/tillsynsmail/A 62046-2024 tillsynsbegäran mail.docx", "A 62046-2024")</f>
        <v/>
      </c>
    </row>
    <row r="986" ht="15" customHeight="1">
      <c r="A986" t="inlineStr">
        <is>
          <t>A 48594-2025</t>
        </is>
      </c>
      <c r="B986" s="1" t="n">
        <v>45936.46305555556</v>
      </c>
      <c r="C986" s="1" t="n">
        <v>46075</v>
      </c>
      <c r="D986" t="inlineStr">
        <is>
          <t>VÄSTERBOTTENS LÄN</t>
        </is>
      </c>
      <c r="E986" t="inlineStr">
        <is>
          <t>ÅSELE</t>
        </is>
      </c>
      <c r="F986" t="inlineStr">
        <is>
          <t>Kommuner</t>
        </is>
      </c>
      <c r="G986" t="n">
        <v>13.3</v>
      </c>
      <c r="H986" t="n">
        <v>0</v>
      </c>
      <c r="I986" t="n">
        <v>0</v>
      </c>
      <c r="J986" t="n">
        <v>1</v>
      </c>
      <c r="K986" t="n">
        <v>0</v>
      </c>
      <c r="L986" t="n">
        <v>0</v>
      </c>
      <c r="M986" t="n">
        <v>0</v>
      </c>
      <c r="N986" t="n">
        <v>0</v>
      </c>
      <c r="O986" t="n">
        <v>1</v>
      </c>
      <c r="P986" t="n">
        <v>0</v>
      </c>
      <c r="Q986" t="n">
        <v>1</v>
      </c>
      <c r="R986" s="2" t="inlineStr">
        <is>
          <t>Igelkott</t>
        </is>
      </c>
      <c r="S986">
        <f>HYPERLINK("https://klasma.github.io/Logging_2463/artfynd/A 48594-2025 artfynd.xlsx", "A 48594-2025")</f>
        <v/>
      </c>
      <c r="T986">
        <f>HYPERLINK("https://klasma.github.io/Logging_2463/kartor/A 48594-2025 karta.png", "A 48594-2025")</f>
        <v/>
      </c>
      <c r="V986">
        <f>HYPERLINK("https://klasma.github.io/Logging_2463/klagomål/A 48594-2025 FSC-klagomål.docx", "A 48594-2025")</f>
        <v/>
      </c>
      <c r="W986">
        <f>HYPERLINK("https://klasma.github.io/Logging_2463/klagomålsmail/A 48594-2025 FSC-klagomål mail.docx", "A 48594-2025")</f>
        <v/>
      </c>
      <c r="X986">
        <f>HYPERLINK("https://klasma.github.io/Logging_2463/tillsyn/A 48594-2025 tillsynsbegäran.docx", "A 48594-2025")</f>
        <v/>
      </c>
      <c r="Y986">
        <f>HYPERLINK("https://klasma.github.io/Logging_2463/tillsynsmail/A 48594-2025 tillsynsbegäran mail.docx", "A 48594-2025")</f>
        <v/>
      </c>
    </row>
    <row r="987" ht="15" customHeight="1">
      <c r="A987" t="inlineStr">
        <is>
          <t>A 49363-2025</t>
        </is>
      </c>
      <c r="B987" s="1" t="n">
        <v>45938.61984953703</v>
      </c>
      <c r="C987" s="1" t="n">
        <v>46075</v>
      </c>
      <c r="D987" t="inlineStr">
        <is>
          <t>VÄSTERBOTTENS LÄN</t>
        </is>
      </c>
      <c r="E987" t="inlineStr">
        <is>
          <t>NORDMALING</t>
        </is>
      </c>
      <c r="G987" t="n">
        <v>4.2</v>
      </c>
      <c r="H987" t="n">
        <v>0</v>
      </c>
      <c r="I987" t="n">
        <v>0</v>
      </c>
      <c r="J987" t="n">
        <v>1</v>
      </c>
      <c r="K987" t="n">
        <v>0</v>
      </c>
      <c r="L987" t="n">
        <v>0</v>
      </c>
      <c r="M987" t="n">
        <v>0</v>
      </c>
      <c r="N987" t="n">
        <v>0</v>
      </c>
      <c r="O987" t="n">
        <v>1</v>
      </c>
      <c r="P987" t="n">
        <v>0</v>
      </c>
      <c r="Q987" t="n">
        <v>1</v>
      </c>
      <c r="R987" s="2" t="inlineStr">
        <is>
          <t>Garnlav</t>
        </is>
      </c>
      <c r="S987">
        <f>HYPERLINK("https://klasma.github.io/Logging_2401/artfynd/A 49363-2025 artfynd.xlsx", "A 49363-2025")</f>
        <v/>
      </c>
      <c r="T987">
        <f>HYPERLINK("https://klasma.github.io/Logging_2401/kartor/A 49363-2025 karta.png", "A 49363-2025")</f>
        <v/>
      </c>
      <c r="V987">
        <f>HYPERLINK("https://klasma.github.io/Logging_2401/klagomål/A 49363-2025 FSC-klagomål.docx", "A 49363-2025")</f>
        <v/>
      </c>
      <c r="W987">
        <f>HYPERLINK("https://klasma.github.io/Logging_2401/klagomålsmail/A 49363-2025 FSC-klagomål mail.docx", "A 49363-2025")</f>
        <v/>
      </c>
      <c r="X987">
        <f>HYPERLINK("https://klasma.github.io/Logging_2401/tillsyn/A 49363-2025 tillsynsbegäran.docx", "A 49363-2025")</f>
        <v/>
      </c>
      <c r="Y987">
        <f>HYPERLINK("https://klasma.github.io/Logging_2401/tillsynsmail/A 49363-2025 tillsynsbegäran mail.docx", "A 49363-2025")</f>
        <v/>
      </c>
    </row>
    <row r="988" ht="15" customHeight="1">
      <c r="A988" t="inlineStr">
        <is>
          <t>A 49497-2025</t>
        </is>
      </c>
      <c r="B988" s="1" t="n">
        <v>45939.36646990741</v>
      </c>
      <c r="C988" s="1" t="n">
        <v>46075</v>
      </c>
      <c r="D988" t="inlineStr">
        <is>
          <t>VÄSTERBOTTENS LÄN</t>
        </is>
      </c>
      <c r="E988" t="inlineStr">
        <is>
          <t>UMEÅ</t>
        </is>
      </c>
      <c r="G988" t="n">
        <v>17.2</v>
      </c>
      <c r="H988" t="n">
        <v>0</v>
      </c>
      <c r="I988" t="n">
        <v>1</v>
      </c>
      <c r="J988" t="n">
        <v>0</v>
      </c>
      <c r="K988" t="n">
        <v>0</v>
      </c>
      <c r="L988" t="n">
        <v>0</v>
      </c>
      <c r="M988" t="n">
        <v>0</v>
      </c>
      <c r="N988" t="n">
        <v>0</v>
      </c>
      <c r="O988" t="n">
        <v>0</v>
      </c>
      <c r="P988" t="n">
        <v>0</v>
      </c>
      <c r="Q988" t="n">
        <v>1</v>
      </c>
      <c r="R988" s="2" t="inlineStr">
        <is>
          <t>Trådticka</t>
        </is>
      </c>
      <c r="S988">
        <f>HYPERLINK("https://klasma.github.io/Logging_2480/artfynd/A 49497-2025 artfynd.xlsx", "A 49497-2025")</f>
        <v/>
      </c>
      <c r="T988">
        <f>HYPERLINK("https://klasma.github.io/Logging_2480/kartor/A 49497-2025 karta.png", "A 49497-2025")</f>
        <v/>
      </c>
      <c r="V988">
        <f>HYPERLINK("https://klasma.github.io/Logging_2480/klagomål/A 49497-2025 FSC-klagomål.docx", "A 49497-2025")</f>
        <v/>
      </c>
      <c r="W988">
        <f>HYPERLINK("https://klasma.github.io/Logging_2480/klagomålsmail/A 49497-2025 FSC-klagomål mail.docx", "A 49497-2025")</f>
        <v/>
      </c>
      <c r="X988">
        <f>HYPERLINK("https://klasma.github.io/Logging_2480/tillsyn/A 49497-2025 tillsynsbegäran.docx", "A 49497-2025")</f>
        <v/>
      </c>
      <c r="Y988">
        <f>HYPERLINK("https://klasma.github.io/Logging_2480/tillsynsmail/A 49497-2025 tillsynsbegäran mail.docx", "A 49497-2025")</f>
        <v/>
      </c>
    </row>
    <row r="989" ht="15" customHeight="1">
      <c r="A989" t="inlineStr">
        <is>
          <t>A 10945-2025</t>
        </is>
      </c>
      <c r="B989" s="1" t="n">
        <v>45723.33811342593</v>
      </c>
      <c r="C989" s="1" t="n">
        <v>46075</v>
      </c>
      <c r="D989" t="inlineStr">
        <is>
          <t>VÄSTERBOTTENS LÄN</t>
        </is>
      </c>
      <c r="E989" t="inlineStr">
        <is>
          <t>UMEÅ</t>
        </is>
      </c>
      <c r="G989" t="n">
        <v>1.6</v>
      </c>
      <c r="H989" t="n">
        <v>0</v>
      </c>
      <c r="I989" t="n">
        <v>0</v>
      </c>
      <c r="J989" t="n">
        <v>1</v>
      </c>
      <c r="K989" t="n">
        <v>0</v>
      </c>
      <c r="L989" t="n">
        <v>0</v>
      </c>
      <c r="M989" t="n">
        <v>0</v>
      </c>
      <c r="N989" t="n">
        <v>0</v>
      </c>
      <c r="O989" t="n">
        <v>1</v>
      </c>
      <c r="P989" t="n">
        <v>0</v>
      </c>
      <c r="Q989" t="n">
        <v>1</v>
      </c>
      <c r="R989" s="2" t="inlineStr">
        <is>
          <t>Garnlav</t>
        </is>
      </c>
      <c r="S989">
        <f>HYPERLINK("https://klasma.github.io/Logging_2480/artfynd/A 10945-2025 artfynd.xlsx", "A 10945-2025")</f>
        <v/>
      </c>
      <c r="T989">
        <f>HYPERLINK("https://klasma.github.io/Logging_2480/kartor/A 10945-2025 karta.png", "A 10945-2025")</f>
        <v/>
      </c>
      <c r="V989">
        <f>HYPERLINK("https://klasma.github.io/Logging_2480/klagomål/A 10945-2025 FSC-klagomål.docx", "A 10945-2025")</f>
        <v/>
      </c>
      <c r="W989">
        <f>HYPERLINK("https://klasma.github.io/Logging_2480/klagomålsmail/A 10945-2025 FSC-klagomål mail.docx", "A 10945-2025")</f>
        <v/>
      </c>
      <c r="X989">
        <f>HYPERLINK("https://klasma.github.io/Logging_2480/tillsyn/A 10945-2025 tillsynsbegäran.docx", "A 10945-2025")</f>
        <v/>
      </c>
      <c r="Y989">
        <f>HYPERLINK("https://klasma.github.io/Logging_2480/tillsynsmail/A 10945-2025 tillsynsbegäran mail.docx", "A 10945-2025")</f>
        <v/>
      </c>
    </row>
    <row r="990" ht="15" customHeight="1">
      <c r="A990" t="inlineStr">
        <is>
          <t>A 49040-2025</t>
        </is>
      </c>
      <c r="B990" s="1" t="n">
        <v>45937.63402777778</v>
      </c>
      <c r="C990" s="1" t="n">
        <v>46075</v>
      </c>
      <c r="D990" t="inlineStr">
        <is>
          <t>VÄSTERBOTTENS LÄN</t>
        </is>
      </c>
      <c r="E990" t="inlineStr">
        <is>
          <t>MALÅ</t>
        </is>
      </c>
      <c r="F990" t="inlineStr">
        <is>
          <t>Sveaskog</t>
        </is>
      </c>
      <c r="G990" t="n">
        <v>5.5</v>
      </c>
      <c r="H990" t="n">
        <v>0</v>
      </c>
      <c r="I990" t="n">
        <v>0</v>
      </c>
      <c r="J990" t="n">
        <v>1</v>
      </c>
      <c r="K990" t="n">
        <v>0</v>
      </c>
      <c r="L990" t="n">
        <v>0</v>
      </c>
      <c r="M990" t="n">
        <v>0</v>
      </c>
      <c r="N990" t="n">
        <v>0</v>
      </c>
      <c r="O990" t="n">
        <v>1</v>
      </c>
      <c r="P990" t="n">
        <v>0</v>
      </c>
      <c r="Q990" t="n">
        <v>1</v>
      </c>
      <c r="R990" s="2" t="inlineStr">
        <is>
          <t>Orange taggsvamp</t>
        </is>
      </c>
      <c r="S990">
        <f>HYPERLINK("https://klasma.github.io/Logging_2418/artfynd/A 49040-2025 artfynd.xlsx", "A 49040-2025")</f>
        <v/>
      </c>
      <c r="T990">
        <f>HYPERLINK("https://klasma.github.io/Logging_2418/kartor/A 49040-2025 karta.png", "A 49040-2025")</f>
        <v/>
      </c>
      <c r="V990">
        <f>HYPERLINK("https://klasma.github.io/Logging_2418/klagomål/A 49040-2025 FSC-klagomål.docx", "A 49040-2025")</f>
        <v/>
      </c>
      <c r="W990">
        <f>HYPERLINK("https://klasma.github.io/Logging_2418/klagomålsmail/A 49040-2025 FSC-klagomål mail.docx", "A 49040-2025")</f>
        <v/>
      </c>
      <c r="X990">
        <f>HYPERLINK("https://klasma.github.io/Logging_2418/tillsyn/A 49040-2025 tillsynsbegäran.docx", "A 49040-2025")</f>
        <v/>
      </c>
      <c r="Y990">
        <f>HYPERLINK("https://klasma.github.io/Logging_2418/tillsynsmail/A 49040-2025 tillsynsbegäran mail.docx", "A 49040-2025")</f>
        <v/>
      </c>
    </row>
    <row r="991" ht="15" customHeight="1">
      <c r="A991" t="inlineStr">
        <is>
          <t>A 48895-2025</t>
        </is>
      </c>
      <c r="B991" s="1" t="n">
        <v>45937.47490740741</v>
      </c>
      <c r="C991" s="1" t="n">
        <v>46075</v>
      </c>
      <c r="D991" t="inlineStr">
        <is>
          <t>VÄSTERBOTTENS LÄN</t>
        </is>
      </c>
      <c r="E991" t="inlineStr">
        <is>
          <t>MALÅ</t>
        </is>
      </c>
      <c r="F991" t="inlineStr">
        <is>
          <t>Sveaskog</t>
        </is>
      </c>
      <c r="G991" t="n">
        <v>11.7</v>
      </c>
      <c r="H991" t="n">
        <v>0</v>
      </c>
      <c r="I991" t="n">
        <v>0</v>
      </c>
      <c r="J991" t="n">
        <v>1</v>
      </c>
      <c r="K991" t="n">
        <v>0</v>
      </c>
      <c r="L991" t="n">
        <v>0</v>
      </c>
      <c r="M991" t="n">
        <v>0</v>
      </c>
      <c r="N991" t="n">
        <v>0</v>
      </c>
      <c r="O991" t="n">
        <v>1</v>
      </c>
      <c r="P991" t="n">
        <v>0</v>
      </c>
      <c r="Q991" t="n">
        <v>1</v>
      </c>
      <c r="R991" s="2" t="inlineStr">
        <is>
          <t>Tallticka</t>
        </is>
      </c>
      <c r="S991">
        <f>HYPERLINK("https://klasma.github.io/Logging_2418/artfynd/A 48895-2025 artfynd.xlsx", "A 48895-2025")</f>
        <v/>
      </c>
      <c r="T991">
        <f>HYPERLINK("https://klasma.github.io/Logging_2418/kartor/A 48895-2025 karta.png", "A 48895-2025")</f>
        <v/>
      </c>
      <c r="V991">
        <f>HYPERLINK("https://klasma.github.io/Logging_2418/klagomål/A 48895-2025 FSC-klagomål.docx", "A 48895-2025")</f>
        <v/>
      </c>
      <c r="W991">
        <f>HYPERLINK("https://klasma.github.io/Logging_2418/klagomålsmail/A 48895-2025 FSC-klagomål mail.docx", "A 48895-2025")</f>
        <v/>
      </c>
      <c r="X991">
        <f>HYPERLINK("https://klasma.github.io/Logging_2418/tillsyn/A 48895-2025 tillsynsbegäran.docx", "A 48895-2025")</f>
        <v/>
      </c>
      <c r="Y991">
        <f>HYPERLINK("https://klasma.github.io/Logging_2418/tillsynsmail/A 48895-2025 tillsynsbegäran mail.docx", "A 48895-2025")</f>
        <v/>
      </c>
    </row>
    <row r="992" ht="15" customHeight="1">
      <c r="A992" t="inlineStr">
        <is>
          <t>A 49256-2025</t>
        </is>
      </c>
      <c r="B992" s="1" t="n">
        <v>45938.49196759259</v>
      </c>
      <c r="C992" s="1" t="n">
        <v>46075</v>
      </c>
      <c r="D992" t="inlineStr">
        <is>
          <t>VÄSTERBOTTENS LÄN</t>
        </is>
      </c>
      <c r="E992" t="inlineStr">
        <is>
          <t>DOROTEA</t>
        </is>
      </c>
      <c r="F992" t="inlineStr">
        <is>
          <t>SCA</t>
        </is>
      </c>
      <c r="G992" t="n">
        <v>15.7</v>
      </c>
      <c r="H992" t="n">
        <v>0</v>
      </c>
      <c r="I992" t="n">
        <v>1</v>
      </c>
      <c r="J992" t="n">
        <v>0</v>
      </c>
      <c r="K992" t="n">
        <v>0</v>
      </c>
      <c r="L992" t="n">
        <v>0</v>
      </c>
      <c r="M992" t="n">
        <v>0</v>
      </c>
      <c r="N992" t="n">
        <v>0</v>
      </c>
      <c r="O992" t="n">
        <v>0</v>
      </c>
      <c r="P992" t="n">
        <v>0</v>
      </c>
      <c r="Q992" t="n">
        <v>1</v>
      </c>
      <c r="R992" s="2" t="inlineStr">
        <is>
          <t>Skinnlav</t>
        </is>
      </c>
      <c r="S992">
        <f>HYPERLINK("https://klasma.github.io/Logging_2425/artfynd/A 49256-2025 artfynd.xlsx", "A 49256-2025")</f>
        <v/>
      </c>
      <c r="T992">
        <f>HYPERLINK("https://klasma.github.io/Logging_2425/kartor/A 49256-2025 karta.png", "A 49256-2025")</f>
        <v/>
      </c>
      <c r="V992">
        <f>HYPERLINK("https://klasma.github.io/Logging_2425/klagomål/A 49256-2025 FSC-klagomål.docx", "A 49256-2025")</f>
        <v/>
      </c>
      <c r="W992">
        <f>HYPERLINK("https://klasma.github.io/Logging_2425/klagomålsmail/A 49256-2025 FSC-klagomål mail.docx", "A 49256-2025")</f>
        <v/>
      </c>
      <c r="X992">
        <f>HYPERLINK("https://klasma.github.io/Logging_2425/tillsyn/A 49256-2025 tillsynsbegäran.docx", "A 49256-2025")</f>
        <v/>
      </c>
      <c r="Y992">
        <f>HYPERLINK("https://klasma.github.io/Logging_2425/tillsynsmail/A 49256-2025 tillsynsbegäran mail.docx", "A 49256-2025")</f>
        <v/>
      </c>
    </row>
    <row r="993" ht="15" customHeight="1">
      <c r="A993" t="inlineStr">
        <is>
          <t>A 73357-2021</t>
        </is>
      </c>
      <c r="B993" s="1" t="n">
        <v>44551.40773148148</v>
      </c>
      <c r="C993" s="1" t="n">
        <v>46075</v>
      </c>
      <c r="D993" t="inlineStr">
        <is>
          <t>VÄSTERBOTTENS LÄN</t>
        </is>
      </c>
      <c r="E993" t="inlineStr">
        <is>
          <t>LYCKSELE</t>
        </is>
      </c>
      <c r="G993" t="n">
        <v>11.3</v>
      </c>
      <c r="H993" t="n">
        <v>0</v>
      </c>
      <c r="I993" t="n">
        <v>0</v>
      </c>
      <c r="J993" t="n">
        <v>1</v>
      </c>
      <c r="K993" t="n">
        <v>0</v>
      </c>
      <c r="L993" t="n">
        <v>0</v>
      </c>
      <c r="M993" t="n">
        <v>0</v>
      </c>
      <c r="N993" t="n">
        <v>0</v>
      </c>
      <c r="O993" t="n">
        <v>1</v>
      </c>
      <c r="P993" t="n">
        <v>0</v>
      </c>
      <c r="Q993" t="n">
        <v>1</v>
      </c>
      <c r="R993" s="2" t="inlineStr">
        <is>
          <t>Garnlav</t>
        </is>
      </c>
      <c r="S993">
        <f>HYPERLINK("https://klasma.github.io/Logging_2481/artfynd/A 73357-2021 artfynd.xlsx", "A 73357-2021")</f>
        <v/>
      </c>
      <c r="T993">
        <f>HYPERLINK("https://klasma.github.io/Logging_2481/kartor/A 73357-2021 karta.png", "A 73357-2021")</f>
        <v/>
      </c>
      <c r="V993">
        <f>HYPERLINK("https://klasma.github.io/Logging_2481/klagomål/A 73357-2021 FSC-klagomål.docx", "A 73357-2021")</f>
        <v/>
      </c>
      <c r="W993">
        <f>HYPERLINK("https://klasma.github.io/Logging_2481/klagomålsmail/A 73357-2021 FSC-klagomål mail.docx", "A 73357-2021")</f>
        <v/>
      </c>
      <c r="X993">
        <f>HYPERLINK("https://klasma.github.io/Logging_2481/tillsyn/A 73357-2021 tillsynsbegäran.docx", "A 73357-2021")</f>
        <v/>
      </c>
      <c r="Y993">
        <f>HYPERLINK("https://klasma.github.io/Logging_2481/tillsynsmail/A 73357-2021 tillsynsbegäran mail.docx", "A 73357-2021")</f>
        <v/>
      </c>
    </row>
    <row r="994" ht="15" customHeight="1">
      <c r="A994" t="inlineStr">
        <is>
          <t>A 49050-2025</t>
        </is>
      </c>
      <c r="B994" s="1" t="n">
        <v>45937.63756944444</v>
      </c>
      <c r="C994" s="1" t="n">
        <v>46075</v>
      </c>
      <c r="D994" t="inlineStr">
        <is>
          <t>VÄSTERBOTTENS LÄN</t>
        </is>
      </c>
      <c r="E994" t="inlineStr">
        <is>
          <t>ÅSELE</t>
        </is>
      </c>
      <c r="F994" t="inlineStr">
        <is>
          <t>SCA</t>
        </is>
      </c>
      <c r="G994" t="n">
        <v>9.300000000000001</v>
      </c>
      <c r="H994" t="n">
        <v>1</v>
      </c>
      <c r="I994" t="n">
        <v>0</v>
      </c>
      <c r="J994" t="n">
        <v>0</v>
      </c>
      <c r="K994" t="n">
        <v>0</v>
      </c>
      <c r="L994" t="n">
        <v>0</v>
      </c>
      <c r="M994" t="n">
        <v>0</v>
      </c>
      <c r="N994" t="n">
        <v>0</v>
      </c>
      <c r="O994" t="n">
        <v>0</v>
      </c>
      <c r="P994" t="n">
        <v>0</v>
      </c>
      <c r="Q994" t="n">
        <v>1</v>
      </c>
      <c r="R994" s="2" t="inlineStr">
        <is>
          <t>Orre</t>
        </is>
      </c>
      <c r="S994">
        <f>HYPERLINK("https://klasma.github.io/Logging_2463/artfynd/A 49050-2025 artfynd.xlsx", "A 49050-2025")</f>
        <v/>
      </c>
      <c r="T994">
        <f>HYPERLINK("https://klasma.github.io/Logging_2463/kartor/A 49050-2025 karta.png", "A 49050-2025")</f>
        <v/>
      </c>
      <c r="V994">
        <f>HYPERLINK("https://klasma.github.io/Logging_2463/klagomål/A 49050-2025 FSC-klagomål.docx", "A 49050-2025")</f>
        <v/>
      </c>
      <c r="W994">
        <f>HYPERLINK("https://klasma.github.io/Logging_2463/klagomålsmail/A 49050-2025 FSC-klagomål mail.docx", "A 49050-2025")</f>
        <v/>
      </c>
      <c r="X994">
        <f>HYPERLINK("https://klasma.github.io/Logging_2463/tillsyn/A 49050-2025 tillsynsbegäran.docx", "A 49050-2025")</f>
        <v/>
      </c>
      <c r="Y994">
        <f>HYPERLINK("https://klasma.github.io/Logging_2463/tillsynsmail/A 49050-2025 tillsynsbegäran mail.docx", "A 49050-2025")</f>
        <v/>
      </c>
      <c r="Z994">
        <f>HYPERLINK("https://klasma.github.io/Logging_2463/fåglar/A 49050-2025 prioriterade fågelarter.docx", "A 49050-2025")</f>
        <v/>
      </c>
    </row>
    <row r="995" ht="15" customHeight="1">
      <c r="A995" t="inlineStr">
        <is>
          <t>A 18248-2021</t>
        </is>
      </c>
      <c r="B995" s="1" t="n">
        <v>44305</v>
      </c>
      <c r="C995" s="1" t="n">
        <v>46075</v>
      </c>
      <c r="D995" t="inlineStr">
        <is>
          <t>VÄSTERBOTTENS LÄN</t>
        </is>
      </c>
      <c r="E995" t="inlineStr">
        <is>
          <t>UMEÅ</t>
        </is>
      </c>
      <c r="G995" t="n">
        <v>22</v>
      </c>
      <c r="H995" t="n">
        <v>1</v>
      </c>
      <c r="I995" t="n">
        <v>0</v>
      </c>
      <c r="J995" t="n">
        <v>0</v>
      </c>
      <c r="K995" t="n">
        <v>0</v>
      </c>
      <c r="L995" t="n">
        <v>0</v>
      </c>
      <c r="M995" t="n">
        <v>0</v>
      </c>
      <c r="N995" t="n">
        <v>0</v>
      </c>
      <c r="O995" t="n">
        <v>0</v>
      </c>
      <c r="P995" t="n">
        <v>0</v>
      </c>
      <c r="Q995" t="n">
        <v>1</v>
      </c>
      <c r="R995" s="2" t="inlineStr">
        <is>
          <t>Bivråk</t>
        </is>
      </c>
      <c r="S995">
        <f>HYPERLINK("https://klasma.github.io/Logging_2480/artfynd/A 18248-2021 artfynd.xlsx", "A 18248-2021")</f>
        <v/>
      </c>
      <c r="T995">
        <f>HYPERLINK("https://klasma.github.io/Logging_2480/kartor/A 18248-2021 karta.png", "A 18248-2021")</f>
        <v/>
      </c>
      <c r="V995">
        <f>HYPERLINK("https://klasma.github.io/Logging_2480/klagomål/A 18248-2021 FSC-klagomål.docx", "A 18248-2021")</f>
        <v/>
      </c>
      <c r="W995">
        <f>HYPERLINK("https://klasma.github.io/Logging_2480/klagomålsmail/A 18248-2021 FSC-klagomål mail.docx", "A 18248-2021")</f>
        <v/>
      </c>
      <c r="X995">
        <f>HYPERLINK("https://klasma.github.io/Logging_2480/tillsyn/A 18248-2021 tillsynsbegäran.docx", "A 18248-2021")</f>
        <v/>
      </c>
      <c r="Y995">
        <f>HYPERLINK("https://klasma.github.io/Logging_2480/tillsynsmail/A 18248-2021 tillsynsbegäran mail.docx", "A 18248-2021")</f>
        <v/>
      </c>
      <c r="Z995">
        <f>HYPERLINK("https://klasma.github.io/Logging_2480/fåglar/A 18248-2021 prioriterade fågelarter.docx", "A 18248-2021")</f>
        <v/>
      </c>
    </row>
    <row r="996" ht="15" customHeight="1">
      <c r="A996" t="inlineStr">
        <is>
          <t>A 61794-2023</t>
        </is>
      </c>
      <c r="B996" s="1" t="n">
        <v>45265</v>
      </c>
      <c r="C996" s="1" t="n">
        <v>46075</v>
      </c>
      <c r="D996" t="inlineStr">
        <is>
          <t>VÄSTERBOTTENS LÄN</t>
        </is>
      </c>
      <c r="E996" t="inlineStr">
        <is>
          <t>NORDMALING</t>
        </is>
      </c>
      <c r="F996" t="inlineStr">
        <is>
          <t>SCA</t>
        </is>
      </c>
      <c r="G996" t="n">
        <v>2.2</v>
      </c>
      <c r="H996" t="n">
        <v>0</v>
      </c>
      <c r="I996" t="n">
        <v>0</v>
      </c>
      <c r="J996" t="n">
        <v>1</v>
      </c>
      <c r="K996" t="n">
        <v>0</v>
      </c>
      <c r="L996" t="n">
        <v>0</v>
      </c>
      <c r="M996" t="n">
        <v>0</v>
      </c>
      <c r="N996" t="n">
        <v>0</v>
      </c>
      <c r="O996" t="n">
        <v>1</v>
      </c>
      <c r="P996" t="n">
        <v>0</v>
      </c>
      <c r="Q996" t="n">
        <v>1</v>
      </c>
      <c r="R996" s="2" t="inlineStr">
        <is>
          <t>Ullticka</t>
        </is>
      </c>
      <c r="S996">
        <f>HYPERLINK("https://klasma.github.io/Logging_2401/artfynd/A 61794-2023 artfynd.xlsx", "A 61794-2023")</f>
        <v/>
      </c>
      <c r="T996">
        <f>HYPERLINK("https://klasma.github.io/Logging_2401/kartor/A 61794-2023 karta.png", "A 61794-2023")</f>
        <v/>
      </c>
      <c r="V996">
        <f>HYPERLINK("https://klasma.github.io/Logging_2401/klagomål/A 61794-2023 FSC-klagomål.docx", "A 61794-2023")</f>
        <v/>
      </c>
      <c r="W996">
        <f>HYPERLINK("https://klasma.github.io/Logging_2401/klagomålsmail/A 61794-2023 FSC-klagomål mail.docx", "A 61794-2023")</f>
        <v/>
      </c>
      <c r="X996">
        <f>HYPERLINK("https://klasma.github.io/Logging_2401/tillsyn/A 61794-2023 tillsynsbegäran.docx", "A 61794-2023")</f>
        <v/>
      </c>
      <c r="Y996">
        <f>HYPERLINK("https://klasma.github.io/Logging_2401/tillsynsmail/A 61794-2023 tillsynsbegäran mail.docx", "A 61794-2023")</f>
        <v/>
      </c>
    </row>
    <row r="997" ht="15" customHeight="1">
      <c r="A997" t="inlineStr">
        <is>
          <t>A 49786-2025</t>
        </is>
      </c>
      <c r="B997" s="1" t="n">
        <v>45940.40097222223</v>
      </c>
      <c r="C997" s="1" t="n">
        <v>46075</v>
      </c>
      <c r="D997" t="inlineStr">
        <is>
          <t>VÄSTERBOTTENS LÄN</t>
        </is>
      </c>
      <c r="E997" t="inlineStr">
        <is>
          <t>LYCKSELE</t>
        </is>
      </c>
      <c r="F997" t="inlineStr">
        <is>
          <t>Sveaskog</t>
        </is>
      </c>
      <c r="G997" t="n">
        <v>6.3</v>
      </c>
      <c r="H997" t="n">
        <v>0</v>
      </c>
      <c r="I997" t="n">
        <v>1</v>
      </c>
      <c r="J997" t="n">
        <v>0</v>
      </c>
      <c r="K997" t="n">
        <v>0</v>
      </c>
      <c r="L997" t="n">
        <v>0</v>
      </c>
      <c r="M997" t="n">
        <v>0</v>
      </c>
      <c r="N997" t="n">
        <v>0</v>
      </c>
      <c r="O997" t="n">
        <v>0</v>
      </c>
      <c r="P997" t="n">
        <v>0</v>
      </c>
      <c r="Q997" t="n">
        <v>1</v>
      </c>
      <c r="R997" s="2" t="inlineStr">
        <is>
          <t>Dropptaggsvamp</t>
        </is>
      </c>
      <c r="S997">
        <f>HYPERLINK("https://klasma.github.io/Logging_2481/artfynd/A 49786-2025 artfynd.xlsx", "A 49786-2025")</f>
        <v/>
      </c>
      <c r="T997">
        <f>HYPERLINK("https://klasma.github.io/Logging_2481/kartor/A 49786-2025 karta.png", "A 49786-2025")</f>
        <v/>
      </c>
      <c r="V997">
        <f>HYPERLINK("https://klasma.github.io/Logging_2481/klagomål/A 49786-2025 FSC-klagomål.docx", "A 49786-2025")</f>
        <v/>
      </c>
      <c r="W997">
        <f>HYPERLINK("https://klasma.github.io/Logging_2481/klagomålsmail/A 49786-2025 FSC-klagomål mail.docx", "A 49786-2025")</f>
        <v/>
      </c>
      <c r="X997">
        <f>HYPERLINK("https://klasma.github.io/Logging_2481/tillsyn/A 49786-2025 tillsynsbegäran.docx", "A 49786-2025")</f>
        <v/>
      </c>
      <c r="Y997">
        <f>HYPERLINK("https://klasma.github.io/Logging_2481/tillsynsmail/A 49786-2025 tillsynsbegäran mail.docx", "A 49786-2025")</f>
        <v/>
      </c>
    </row>
    <row r="998" ht="15" customHeight="1">
      <c r="A998" t="inlineStr">
        <is>
          <t>A 38929-2025</t>
        </is>
      </c>
      <c r="B998" s="1" t="n">
        <v>45887</v>
      </c>
      <c r="C998" s="1" t="n">
        <v>46075</v>
      </c>
      <c r="D998" t="inlineStr">
        <is>
          <t>VÄSTERBOTTENS LÄN</t>
        </is>
      </c>
      <c r="E998" t="inlineStr">
        <is>
          <t>VILHELMINA</t>
        </is>
      </c>
      <c r="F998" t="inlineStr">
        <is>
          <t>SCA</t>
        </is>
      </c>
      <c r="G998" t="n">
        <v>3.5</v>
      </c>
      <c r="H998" t="n">
        <v>0</v>
      </c>
      <c r="I998" t="n">
        <v>1</v>
      </c>
      <c r="J998" t="n">
        <v>0</v>
      </c>
      <c r="K998" t="n">
        <v>0</v>
      </c>
      <c r="L998" t="n">
        <v>0</v>
      </c>
      <c r="M998" t="n">
        <v>0</v>
      </c>
      <c r="N998" t="n">
        <v>0</v>
      </c>
      <c r="O998" t="n">
        <v>0</v>
      </c>
      <c r="P998" t="n">
        <v>0</v>
      </c>
      <c r="Q998" t="n">
        <v>1</v>
      </c>
      <c r="R998" s="2" t="inlineStr">
        <is>
          <t>Blodticka</t>
        </is>
      </c>
      <c r="S998">
        <f>HYPERLINK("https://klasma.github.io/Logging_2462/artfynd/A 38929-2025 artfynd.xlsx", "A 38929-2025")</f>
        <v/>
      </c>
      <c r="T998">
        <f>HYPERLINK("https://klasma.github.io/Logging_2462/kartor/A 38929-2025 karta.png", "A 38929-2025")</f>
        <v/>
      </c>
      <c r="V998">
        <f>HYPERLINK("https://klasma.github.io/Logging_2462/klagomål/A 38929-2025 FSC-klagomål.docx", "A 38929-2025")</f>
        <v/>
      </c>
      <c r="W998">
        <f>HYPERLINK("https://klasma.github.io/Logging_2462/klagomålsmail/A 38929-2025 FSC-klagomål mail.docx", "A 38929-2025")</f>
        <v/>
      </c>
      <c r="X998">
        <f>HYPERLINK("https://klasma.github.io/Logging_2462/tillsyn/A 38929-2025 tillsynsbegäran.docx", "A 38929-2025")</f>
        <v/>
      </c>
      <c r="Y998">
        <f>HYPERLINK("https://klasma.github.io/Logging_2462/tillsynsmail/A 38929-2025 tillsynsbegäran mail.docx", "A 38929-2025")</f>
        <v/>
      </c>
    </row>
    <row r="999" ht="15" customHeight="1">
      <c r="A999" t="inlineStr">
        <is>
          <t>A 50463-2025</t>
        </is>
      </c>
      <c r="B999" s="1" t="n">
        <v>45945.34695601852</v>
      </c>
      <c r="C999" s="1" t="n">
        <v>46075</v>
      </c>
      <c r="D999" t="inlineStr">
        <is>
          <t>VÄSTERBOTTENS LÄN</t>
        </is>
      </c>
      <c r="E999" t="inlineStr">
        <is>
          <t>LYCKSELE</t>
        </is>
      </c>
      <c r="F999" t="inlineStr">
        <is>
          <t>Sveaskog</t>
        </is>
      </c>
      <c r="G999" t="n">
        <v>2</v>
      </c>
      <c r="H999" t="n">
        <v>0</v>
      </c>
      <c r="I999" t="n">
        <v>1</v>
      </c>
      <c r="J999" t="n">
        <v>0</v>
      </c>
      <c r="K999" t="n">
        <v>0</v>
      </c>
      <c r="L999" t="n">
        <v>0</v>
      </c>
      <c r="M999" t="n">
        <v>0</v>
      </c>
      <c r="N999" t="n">
        <v>0</v>
      </c>
      <c r="O999" t="n">
        <v>0</v>
      </c>
      <c r="P999" t="n">
        <v>0</v>
      </c>
      <c r="Q999" t="n">
        <v>1</v>
      </c>
      <c r="R999" s="2" t="inlineStr">
        <is>
          <t>Dropptaggsvamp</t>
        </is>
      </c>
      <c r="S999">
        <f>HYPERLINK("https://klasma.github.io/Logging_2481/artfynd/A 50463-2025 artfynd.xlsx", "A 50463-2025")</f>
        <v/>
      </c>
      <c r="T999">
        <f>HYPERLINK("https://klasma.github.io/Logging_2481/kartor/A 50463-2025 karta.png", "A 50463-2025")</f>
        <v/>
      </c>
      <c r="V999">
        <f>HYPERLINK("https://klasma.github.io/Logging_2481/klagomål/A 50463-2025 FSC-klagomål.docx", "A 50463-2025")</f>
        <v/>
      </c>
      <c r="W999">
        <f>HYPERLINK("https://klasma.github.io/Logging_2481/klagomålsmail/A 50463-2025 FSC-klagomål mail.docx", "A 50463-2025")</f>
        <v/>
      </c>
      <c r="X999">
        <f>HYPERLINK("https://klasma.github.io/Logging_2481/tillsyn/A 50463-2025 tillsynsbegäran.docx", "A 50463-2025")</f>
        <v/>
      </c>
      <c r="Y999">
        <f>HYPERLINK("https://klasma.github.io/Logging_2481/tillsynsmail/A 50463-2025 tillsynsbegäran mail.docx", "A 50463-2025")</f>
        <v/>
      </c>
    </row>
    <row r="1000" ht="15" customHeight="1">
      <c r="A1000" t="inlineStr">
        <is>
          <t>A 64409-2021</t>
        </is>
      </c>
      <c r="B1000" s="1" t="n">
        <v>44510</v>
      </c>
      <c r="C1000" s="1" t="n">
        <v>46075</v>
      </c>
      <c r="D1000" t="inlineStr">
        <is>
          <t>VÄSTERBOTTENS LÄN</t>
        </is>
      </c>
      <c r="E1000" t="inlineStr">
        <is>
          <t>SKELLEFTEÅ</t>
        </is>
      </c>
      <c r="G1000" t="n">
        <v>1.3</v>
      </c>
      <c r="H1000" t="n">
        <v>0</v>
      </c>
      <c r="I1000" t="n">
        <v>0</v>
      </c>
      <c r="J1000" t="n">
        <v>1</v>
      </c>
      <c r="K1000" t="n">
        <v>0</v>
      </c>
      <c r="L1000" t="n">
        <v>0</v>
      </c>
      <c r="M1000" t="n">
        <v>0</v>
      </c>
      <c r="N1000" t="n">
        <v>0</v>
      </c>
      <c r="O1000" t="n">
        <v>1</v>
      </c>
      <c r="P1000" t="n">
        <v>0</v>
      </c>
      <c r="Q1000" t="n">
        <v>1</v>
      </c>
      <c r="R1000" s="2" t="inlineStr">
        <is>
          <t>Igelkott</t>
        </is>
      </c>
      <c r="S1000">
        <f>HYPERLINK("https://klasma.github.io/Logging_2482/artfynd/A 64409-2021 artfynd.xlsx", "A 64409-2021")</f>
        <v/>
      </c>
      <c r="T1000">
        <f>HYPERLINK("https://klasma.github.io/Logging_2482/kartor/A 64409-2021 karta.png", "A 64409-2021")</f>
        <v/>
      </c>
      <c r="V1000">
        <f>HYPERLINK("https://klasma.github.io/Logging_2482/klagomål/A 64409-2021 FSC-klagomål.docx", "A 64409-2021")</f>
        <v/>
      </c>
      <c r="W1000">
        <f>HYPERLINK("https://klasma.github.io/Logging_2482/klagomålsmail/A 64409-2021 FSC-klagomål mail.docx", "A 64409-2021")</f>
        <v/>
      </c>
      <c r="X1000">
        <f>HYPERLINK("https://klasma.github.io/Logging_2482/tillsyn/A 64409-2021 tillsynsbegäran.docx", "A 64409-2021")</f>
        <v/>
      </c>
      <c r="Y1000">
        <f>HYPERLINK("https://klasma.github.io/Logging_2482/tillsynsmail/A 64409-2021 tillsynsbegäran mail.docx", "A 64409-2021")</f>
        <v/>
      </c>
    </row>
    <row r="1001" ht="15" customHeight="1">
      <c r="A1001" t="inlineStr">
        <is>
          <t>A 46004-2024</t>
        </is>
      </c>
      <c r="B1001" s="1" t="n">
        <v>45580.65900462963</v>
      </c>
      <c r="C1001" s="1" t="n">
        <v>46075</v>
      </c>
      <c r="D1001" t="inlineStr">
        <is>
          <t>VÄSTERBOTTENS LÄN</t>
        </is>
      </c>
      <c r="E1001" t="inlineStr">
        <is>
          <t>LYCKSELE</t>
        </is>
      </c>
      <c r="F1001" t="inlineStr">
        <is>
          <t>Sveaskog</t>
        </is>
      </c>
      <c r="G1001" t="n">
        <v>7.2</v>
      </c>
      <c r="H1001" t="n">
        <v>0</v>
      </c>
      <c r="I1001" t="n">
        <v>0</v>
      </c>
      <c r="J1001" t="n">
        <v>1</v>
      </c>
      <c r="K1001" t="n">
        <v>0</v>
      </c>
      <c r="L1001" t="n">
        <v>0</v>
      </c>
      <c r="M1001" t="n">
        <v>0</v>
      </c>
      <c r="N1001" t="n">
        <v>0</v>
      </c>
      <c r="O1001" t="n">
        <v>1</v>
      </c>
      <c r="P1001" t="n">
        <v>0</v>
      </c>
      <c r="Q1001" t="n">
        <v>1</v>
      </c>
      <c r="R1001" s="2" t="inlineStr">
        <is>
          <t>Lunglav</t>
        </is>
      </c>
      <c r="S1001">
        <f>HYPERLINK("https://klasma.github.io/Logging_2481/artfynd/A 46004-2024 artfynd.xlsx", "A 46004-2024")</f>
        <v/>
      </c>
      <c r="T1001">
        <f>HYPERLINK("https://klasma.github.io/Logging_2481/kartor/A 46004-2024 karta.png", "A 46004-2024")</f>
        <v/>
      </c>
      <c r="V1001">
        <f>HYPERLINK("https://klasma.github.io/Logging_2481/klagomål/A 46004-2024 FSC-klagomål.docx", "A 46004-2024")</f>
        <v/>
      </c>
      <c r="W1001">
        <f>HYPERLINK("https://klasma.github.io/Logging_2481/klagomålsmail/A 46004-2024 FSC-klagomål mail.docx", "A 46004-2024")</f>
        <v/>
      </c>
      <c r="X1001">
        <f>HYPERLINK("https://klasma.github.io/Logging_2481/tillsyn/A 46004-2024 tillsynsbegäran.docx", "A 46004-2024")</f>
        <v/>
      </c>
      <c r="Y1001">
        <f>HYPERLINK("https://klasma.github.io/Logging_2481/tillsynsmail/A 46004-2024 tillsynsbegäran mail.docx", "A 46004-2024")</f>
        <v/>
      </c>
    </row>
    <row r="1002" ht="15" customHeight="1">
      <c r="A1002" t="inlineStr">
        <is>
          <t>A 50292-2025</t>
        </is>
      </c>
      <c r="B1002" s="1" t="n">
        <v>45944.40802083333</v>
      </c>
      <c r="C1002" s="1" t="n">
        <v>46075</v>
      </c>
      <c r="D1002" t="inlineStr">
        <is>
          <t>VÄSTERBOTTENS LÄN</t>
        </is>
      </c>
      <c r="E1002" t="inlineStr">
        <is>
          <t>VINDELN</t>
        </is>
      </c>
      <c r="G1002" t="n">
        <v>10.1</v>
      </c>
      <c r="H1002" t="n">
        <v>1</v>
      </c>
      <c r="I1002" t="n">
        <v>0</v>
      </c>
      <c r="J1002" t="n">
        <v>1</v>
      </c>
      <c r="K1002" t="n">
        <v>0</v>
      </c>
      <c r="L1002" t="n">
        <v>0</v>
      </c>
      <c r="M1002" t="n">
        <v>0</v>
      </c>
      <c r="N1002" t="n">
        <v>0</v>
      </c>
      <c r="O1002" t="n">
        <v>1</v>
      </c>
      <c r="P1002" t="n">
        <v>0</v>
      </c>
      <c r="Q1002" t="n">
        <v>1</v>
      </c>
      <c r="R1002" s="2" t="inlineStr">
        <is>
          <t>Järpe</t>
        </is>
      </c>
      <c r="S1002">
        <f>HYPERLINK("https://klasma.github.io/Logging_2404/artfynd/A 50292-2025 artfynd.xlsx", "A 50292-2025")</f>
        <v/>
      </c>
      <c r="T1002">
        <f>HYPERLINK("https://klasma.github.io/Logging_2404/kartor/A 50292-2025 karta.png", "A 50292-2025")</f>
        <v/>
      </c>
      <c r="V1002">
        <f>HYPERLINK("https://klasma.github.io/Logging_2404/klagomål/A 50292-2025 FSC-klagomål.docx", "A 50292-2025")</f>
        <v/>
      </c>
      <c r="W1002">
        <f>HYPERLINK("https://klasma.github.io/Logging_2404/klagomålsmail/A 50292-2025 FSC-klagomål mail.docx", "A 50292-2025")</f>
        <v/>
      </c>
      <c r="X1002">
        <f>HYPERLINK("https://klasma.github.io/Logging_2404/tillsyn/A 50292-2025 tillsynsbegäran.docx", "A 50292-2025")</f>
        <v/>
      </c>
      <c r="Y1002">
        <f>HYPERLINK("https://klasma.github.io/Logging_2404/tillsynsmail/A 50292-2025 tillsynsbegäran mail.docx", "A 50292-2025")</f>
        <v/>
      </c>
      <c r="Z1002">
        <f>HYPERLINK("https://klasma.github.io/Logging_2404/fåglar/A 50292-2025 prioriterade fågelarter.docx", "A 50292-2025")</f>
        <v/>
      </c>
    </row>
    <row r="1003" ht="15" customHeight="1">
      <c r="A1003" t="inlineStr">
        <is>
          <t>A 48743-2023</t>
        </is>
      </c>
      <c r="B1003" s="1" t="n">
        <v>45208</v>
      </c>
      <c r="C1003" s="1" t="n">
        <v>46075</v>
      </c>
      <c r="D1003" t="inlineStr">
        <is>
          <t>VÄSTERBOTTENS LÄN</t>
        </is>
      </c>
      <c r="E1003" t="inlineStr">
        <is>
          <t>ÅSELE</t>
        </is>
      </c>
      <c r="G1003" t="n">
        <v>18.5</v>
      </c>
      <c r="H1003" t="n">
        <v>0</v>
      </c>
      <c r="I1003" t="n">
        <v>1</v>
      </c>
      <c r="J1003" t="n">
        <v>0</v>
      </c>
      <c r="K1003" t="n">
        <v>0</v>
      </c>
      <c r="L1003" t="n">
        <v>0</v>
      </c>
      <c r="M1003" t="n">
        <v>0</v>
      </c>
      <c r="N1003" t="n">
        <v>0</v>
      </c>
      <c r="O1003" t="n">
        <v>0</v>
      </c>
      <c r="P1003" t="n">
        <v>0</v>
      </c>
      <c r="Q1003" t="n">
        <v>1</v>
      </c>
      <c r="R1003" s="2" t="inlineStr">
        <is>
          <t>Skinnlav</t>
        </is>
      </c>
      <c r="S1003">
        <f>HYPERLINK("https://klasma.github.io/Logging_2463/artfynd/A 48743-2023 artfynd.xlsx", "A 48743-2023")</f>
        <v/>
      </c>
      <c r="T1003">
        <f>HYPERLINK("https://klasma.github.io/Logging_2463/kartor/A 48743-2023 karta.png", "A 48743-2023")</f>
        <v/>
      </c>
      <c r="V1003">
        <f>HYPERLINK("https://klasma.github.io/Logging_2463/klagomål/A 48743-2023 FSC-klagomål.docx", "A 48743-2023")</f>
        <v/>
      </c>
      <c r="W1003">
        <f>HYPERLINK("https://klasma.github.io/Logging_2463/klagomålsmail/A 48743-2023 FSC-klagomål mail.docx", "A 48743-2023")</f>
        <v/>
      </c>
      <c r="X1003">
        <f>HYPERLINK("https://klasma.github.io/Logging_2463/tillsyn/A 48743-2023 tillsynsbegäran.docx", "A 48743-2023")</f>
        <v/>
      </c>
      <c r="Y1003">
        <f>HYPERLINK("https://klasma.github.io/Logging_2463/tillsynsmail/A 48743-2023 tillsynsbegäran mail.docx", "A 48743-2023")</f>
        <v/>
      </c>
    </row>
    <row r="1004" ht="15" customHeight="1">
      <c r="A1004" t="inlineStr">
        <is>
          <t>A 36628-2023</t>
        </is>
      </c>
      <c r="B1004" s="1" t="n">
        <v>45153</v>
      </c>
      <c r="C1004" s="1" t="n">
        <v>46075</v>
      </c>
      <c r="D1004" t="inlineStr">
        <is>
          <t>VÄSTERBOTTENS LÄN</t>
        </is>
      </c>
      <c r="E1004" t="inlineStr">
        <is>
          <t>SKELLEFTEÅ</t>
        </is>
      </c>
      <c r="F1004" t="inlineStr">
        <is>
          <t>Holmen skog AB</t>
        </is>
      </c>
      <c r="G1004" t="n">
        <v>4.6</v>
      </c>
      <c r="H1004" t="n">
        <v>0</v>
      </c>
      <c r="I1004" t="n">
        <v>0</v>
      </c>
      <c r="J1004" t="n">
        <v>1</v>
      </c>
      <c r="K1004" t="n">
        <v>0</v>
      </c>
      <c r="L1004" t="n">
        <v>0</v>
      </c>
      <c r="M1004" t="n">
        <v>0</v>
      </c>
      <c r="N1004" t="n">
        <v>0</v>
      </c>
      <c r="O1004" t="n">
        <v>1</v>
      </c>
      <c r="P1004" t="n">
        <v>0</v>
      </c>
      <c r="Q1004" t="n">
        <v>1</v>
      </c>
      <c r="R1004" s="2" t="inlineStr">
        <is>
          <t>Gultoppig fingersvamp</t>
        </is>
      </c>
      <c r="S1004">
        <f>HYPERLINK("https://klasma.github.io/Logging_2482/artfynd/A 36628-2023 artfynd.xlsx", "A 36628-2023")</f>
        <v/>
      </c>
      <c r="T1004">
        <f>HYPERLINK("https://klasma.github.io/Logging_2482/kartor/A 36628-2023 karta.png", "A 36628-2023")</f>
        <v/>
      </c>
      <c r="V1004">
        <f>HYPERLINK("https://klasma.github.io/Logging_2482/klagomål/A 36628-2023 FSC-klagomål.docx", "A 36628-2023")</f>
        <v/>
      </c>
      <c r="W1004">
        <f>HYPERLINK("https://klasma.github.io/Logging_2482/klagomålsmail/A 36628-2023 FSC-klagomål mail.docx", "A 36628-2023")</f>
        <v/>
      </c>
      <c r="X1004">
        <f>HYPERLINK("https://klasma.github.io/Logging_2482/tillsyn/A 36628-2023 tillsynsbegäran.docx", "A 36628-2023")</f>
        <v/>
      </c>
      <c r="Y1004">
        <f>HYPERLINK("https://klasma.github.io/Logging_2482/tillsynsmail/A 36628-2023 tillsynsbegäran mail.docx", "A 36628-2023")</f>
        <v/>
      </c>
    </row>
    <row r="1005" ht="15" customHeight="1">
      <c r="A1005" t="inlineStr">
        <is>
          <t>A 39572-2024</t>
        </is>
      </c>
      <c r="B1005" s="1" t="n">
        <v>45552.36100694445</v>
      </c>
      <c r="C1005" s="1" t="n">
        <v>46075</v>
      </c>
      <c r="D1005" t="inlineStr">
        <is>
          <t>VÄSTERBOTTENS LÄN</t>
        </is>
      </c>
      <c r="E1005" t="inlineStr">
        <is>
          <t>LYCKSELE</t>
        </is>
      </c>
      <c r="F1005" t="inlineStr">
        <is>
          <t>Sveaskog</t>
        </is>
      </c>
      <c r="G1005" t="n">
        <v>39.2</v>
      </c>
      <c r="H1005" t="n">
        <v>0</v>
      </c>
      <c r="I1005" t="n">
        <v>0</v>
      </c>
      <c r="J1005" t="n">
        <v>1</v>
      </c>
      <c r="K1005" t="n">
        <v>0</v>
      </c>
      <c r="L1005" t="n">
        <v>0</v>
      </c>
      <c r="M1005" t="n">
        <v>0</v>
      </c>
      <c r="N1005" t="n">
        <v>0</v>
      </c>
      <c r="O1005" t="n">
        <v>1</v>
      </c>
      <c r="P1005" t="n">
        <v>0</v>
      </c>
      <c r="Q1005" t="n">
        <v>1</v>
      </c>
      <c r="R1005" s="2" t="inlineStr">
        <is>
          <t>Grynig filtlav</t>
        </is>
      </c>
      <c r="S1005">
        <f>HYPERLINK("https://klasma.github.io/Logging_2481/artfynd/A 39572-2024 artfynd.xlsx", "A 39572-2024")</f>
        <v/>
      </c>
      <c r="T1005">
        <f>HYPERLINK("https://klasma.github.io/Logging_2481/kartor/A 39572-2024 karta.png", "A 39572-2024")</f>
        <v/>
      </c>
      <c r="V1005">
        <f>HYPERLINK("https://klasma.github.io/Logging_2481/klagomål/A 39572-2024 FSC-klagomål.docx", "A 39572-2024")</f>
        <v/>
      </c>
      <c r="W1005">
        <f>HYPERLINK("https://klasma.github.io/Logging_2481/klagomålsmail/A 39572-2024 FSC-klagomål mail.docx", "A 39572-2024")</f>
        <v/>
      </c>
      <c r="X1005">
        <f>HYPERLINK("https://klasma.github.io/Logging_2481/tillsyn/A 39572-2024 tillsynsbegäran.docx", "A 39572-2024")</f>
        <v/>
      </c>
      <c r="Y1005">
        <f>HYPERLINK("https://klasma.github.io/Logging_2481/tillsynsmail/A 39572-2024 tillsynsbegäran mail.docx", "A 39572-2024")</f>
        <v/>
      </c>
    </row>
    <row r="1006" ht="15" customHeight="1">
      <c r="A1006" t="inlineStr">
        <is>
          <t>A 51288-2025</t>
        </is>
      </c>
      <c r="B1006" s="1" t="n">
        <v>45950.34547453704</v>
      </c>
      <c r="C1006" s="1" t="n">
        <v>46075</v>
      </c>
      <c r="D1006" t="inlineStr">
        <is>
          <t>VÄSTERBOTTENS LÄN</t>
        </is>
      </c>
      <c r="E1006" t="inlineStr">
        <is>
          <t>SKELLEFTEÅ</t>
        </is>
      </c>
      <c r="F1006" t="inlineStr">
        <is>
          <t>SCA</t>
        </is>
      </c>
      <c r="G1006" t="n">
        <v>6.5</v>
      </c>
      <c r="H1006" t="n">
        <v>0</v>
      </c>
      <c r="I1006" t="n">
        <v>0</v>
      </c>
      <c r="J1006" t="n">
        <v>1</v>
      </c>
      <c r="K1006" t="n">
        <v>0</v>
      </c>
      <c r="L1006" t="n">
        <v>0</v>
      </c>
      <c r="M1006" t="n">
        <v>0</v>
      </c>
      <c r="N1006" t="n">
        <v>0</v>
      </c>
      <c r="O1006" t="n">
        <v>1</v>
      </c>
      <c r="P1006" t="n">
        <v>0</v>
      </c>
      <c r="Q1006" t="n">
        <v>1</v>
      </c>
      <c r="R1006" s="2" t="inlineStr">
        <is>
          <t>Blå taggsvamp</t>
        </is>
      </c>
      <c r="S1006">
        <f>HYPERLINK("https://klasma.github.io/Logging_2482/artfynd/A 51288-2025 artfynd.xlsx", "A 51288-2025")</f>
        <v/>
      </c>
      <c r="T1006">
        <f>HYPERLINK("https://klasma.github.io/Logging_2482/kartor/A 51288-2025 karta.png", "A 51288-2025")</f>
        <v/>
      </c>
      <c r="V1006">
        <f>HYPERLINK("https://klasma.github.io/Logging_2482/klagomål/A 51288-2025 FSC-klagomål.docx", "A 51288-2025")</f>
        <v/>
      </c>
      <c r="W1006">
        <f>HYPERLINK("https://klasma.github.io/Logging_2482/klagomålsmail/A 51288-2025 FSC-klagomål mail.docx", "A 51288-2025")</f>
        <v/>
      </c>
      <c r="X1006">
        <f>HYPERLINK("https://klasma.github.io/Logging_2482/tillsyn/A 51288-2025 tillsynsbegäran.docx", "A 51288-2025")</f>
        <v/>
      </c>
      <c r="Y1006">
        <f>HYPERLINK("https://klasma.github.io/Logging_2482/tillsynsmail/A 51288-2025 tillsynsbegäran mail.docx", "A 51288-2025")</f>
        <v/>
      </c>
    </row>
    <row r="1007" ht="15" customHeight="1">
      <c r="A1007" t="inlineStr">
        <is>
          <t>A 40665-2024</t>
        </is>
      </c>
      <c r="B1007" s="1" t="n">
        <v>45558.34784722222</v>
      </c>
      <c r="C1007" s="1" t="n">
        <v>46075</v>
      </c>
      <c r="D1007" t="inlineStr">
        <is>
          <t>VÄSTERBOTTENS LÄN</t>
        </is>
      </c>
      <c r="E1007" t="inlineStr">
        <is>
          <t>UMEÅ</t>
        </is>
      </c>
      <c r="G1007" t="n">
        <v>15.3</v>
      </c>
      <c r="H1007" t="n">
        <v>0</v>
      </c>
      <c r="I1007" t="n">
        <v>0</v>
      </c>
      <c r="J1007" t="n">
        <v>1</v>
      </c>
      <c r="K1007" t="n">
        <v>0</v>
      </c>
      <c r="L1007" t="n">
        <v>0</v>
      </c>
      <c r="M1007" t="n">
        <v>0</v>
      </c>
      <c r="N1007" t="n">
        <v>0</v>
      </c>
      <c r="O1007" t="n">
        <v>1</v>
      </c>
      <c r="P1007" t="n">
        <v>0</v>
      </c>
      <c r="Q1007" t="n">
        <v>1</v>
      </c>
      <c r="R1007" s="2" t="inlineStr">
        <is>
          <t>Garnlav</t>
        </is>
      </c>
      <c r="S1007">
        <f>HYPERLINK("https://klasma.github.io/Logging_2480/artfynd/A 40665-2024 artfynd.xlsx", "A 40665-2024")</f>
        <v/>
      </c>
      <c r="T1007">
        <f>HYPERLINK("https://klasma.github.io/Logging_2480/kartor/A 40665-2024 karta.png", "A 40665-2024")</f>
        <v/>
      </c>
      <c r="V1007">
        <f>HYPERLINK("https://klasma.github.io/Logging_2480/klagomål/A 40665-2024 FSC-klagomål.docx", "A 40665-2024")</f>
        <v/>
      </c>
      <c r="W1007">
        <f>HYPERLINK("https://klasma.github.io/Logging_2480/klagomålsmail/A 40665-2024 FSC-klagomål mail.docx", "A 40665-2024")</f>
        <v/>
      </c>
      <c r="X1007">
        <f>HYPERLINK("https://klasma.github.io/Logging_2480/tillsyn/A 40665-2024 tillsynsbegäran.docx", "A 40665-2024")</f>
        <v/>
      </c>
      <c r="Y1007">
        <f>HYPERLINK("https://klasma.github.io/Logging_2480/tillsynsmail/A 40665-2024 tillsynsbegäran mail.docx", "A 40665-2024")</f>
        <v/>
      </c>
    </row>
    <row r="1008" ht="15" customHeight="1">
      <c r="A1008" t="inlineStr">
        <is>
          <t>A 277-2025</t>
        </is>
      </c>
      <c r="B1008" s="1" t="n">
        <v>45660.49072916667</v>
      </c>
      <c r="C1008" s="1" t="n">
        <v>46075</v>
      </c>
      <c r="D1008" t="inlineStr">
        <is>
          <t>VÄSTERBOTTENS LÄN</t>
        </is>
      </c>
      <c r="E1008" t="inlineStr">
        <is>
          <t>SKELLEFTEÅ</t>
        </is>
      </c>
      <c r="G1008" t="n">
        <v>17</v>
      </c>
      <c r="H1008" t="n">
        <v>1</v>
      </c>
      <c r="I1008" t="n">
        <v>0</v>
      </c>
      <c r="J1008" t="n">
        <v>1</v>
      </c>
      <c r="K1008" t="n">
        <v>0</v>
      </c>
      <c r="L1008" t="n">
        <v>0</v>
      </c>
      <c r="M1008" t="n">
        <v>0</v>
      </c>
      <c r="N1008" t="n">
        <v>0</v>
      </c>
      <c r="O1008" t="n">
        <v>1</v>
      </c>
      <c r="P1008" t="n">
        <v>0</v>
      </c>
      <c r="Q1008" t="n">
        <v>1</v>
      </c>
      <c r="R1008" s="2" t="inlineStr">
        <is>
          <t>Spillkråka</t>
        </is>
      </c>
      <c r="S1008">
        <f>HYPERLINK("https://klasma.github.io/Logging_2482/artfynd/A 277-2025 artfynd.xlsx", "A 277-2025")</f>
        <v/>
      </c>
      <c r="T1008">
        <f>HYPERLINK("https://klasma.github.io/Logging_2482/kartor/A 277-2025 karta.png", "A 277-2025")</f>
        <v/>
      </c>
      <c r="V1008">
        <f>HYPERLINK("https://klasma.github.io/Logging_2482/klagomål/A 277-2025 FSC-klagomål.docx", "A 277-2025")</f>
        <v/>
      </c>
      <c r="W1008">
        <f>HYPERLINK("https://klasma.github.io/Logging_2482/klagomålsmail/A 277-2025 FSC-klagomål mail.docx", "A 277-2025")</f>
        <v/>
      </c>
      <c r="X1008">
        <f>HYPERLINK("https://klasma.github.io/Logging_2482/tillsyn/A 277-2025 tillsynsbegäran.docx", "A 277-2025")</f>
        <v/>
      </c>
      <c r="Y1008">
        <f>HYPERLINK("https://klasma.github.io/Logging_2482/tillsynsmail/A 277-2025 tillsynsbegäran mail.docx", "A 277-2025")</f>
        <v/>
      </c>
      <c r="Z1008">
        <f>HYPERLINK("https://klasma.github.io/Logging_2482/fåglar/A 277-2025 prioriterade fågelarter.docx", "A 277-2025")</f>
        <v/>
      </c>
    </row>
    <row r="1009" ht="15" customHeight="1">
      <c r="A1009" t="inlineStr">
        <is>
          <t>A 52299-2025</t>
        </is>
      </c>
      <c r="B1009" s="1" t="n">
        <v>45953.61414351852</v>
      </c>
      <c r="C1009" s="1" t="n">
        <v>46075</v>
      </c>
      <c r="D1009" t="inlineStr">
        <is>
          <t>VÄSTERBOTTENS LÄN</t>
        </is>
      </c>
      <c r="E1009" t="inlineStr">
        <is>
          <t>SKELLEFTEÅ</t>
        </is>
      </c>
      <c r="G1009" t="n">
        <v>1.4</v>
      </c>
      <c r="H1009" t="n">
        <v>0</v>
      </c>
      <c r="I1009" t="n">
        <v>0</v>
      </c>
      <c r="J1009" t="n">
        <v>1</v>
      </c>
      <c r="K1009" t="n">
        <v>0</v>
      </c>
      <c r="L1009" t="n">
        <v>0</v>
      </c>
      <c r="M1009" t="n">
        <v>0</v>
      </c>
      <c r="N1009" t="n">
        <v>0</v>
      </c>
      <c r="O1009" t="n">
        <v>1</v>
      </c>
      <c r="P1009" t="n">
        <v>0</v>
      </c>
      <c r="Q1009" t="n">
        <v>1</v>
      </c>
      <c r="R1009" s="2" t="inlineStr">
        <is>
          <t>Månlåsbräken</t>
        </is>
      </c>
      <c r="S1009">
        <f>HYPERLINK("https://klasma.github.io/Logging_2482/artfynd/A 52299-2025 artfynd.xlsx", "A 52299-2025")</f>
        <v/>
      </c>
      <c r="T1009">
        <f>HYPERLINK("https://klasma.github.io/Logging_2482/kartor/A 52299-2025 karta.png", "A 52299-2025")</f>
        <v/>
      </c>
      <c r="V1009">
        <f>HYPERLINK("https://klasma.github.io/Logging_2482/klagomål/A 52299-2025 FSC-klagomål.docx", "A 52299-2025")</f>
        <v/>
      </c>
      <c r="W1009">
        <f>HYPERLINK("https://klasma.github.io/Logging_2482/klagomålsmail/A 52299-2025 FSC-klagomål mail.docx", "A 52299-2025")</f>
        <v/>
      </c>
      <c r="X1009">
        <f>HYPERLINK("https://klasma.github.io/Logging_2482/tillsyn/A 52299-2025 tillsynsbegäran.docx", "A 52299-2025")</f>
        <v/>
      </c>
      <c r="Y1009">
        <f>HYPERLINK("https://klasma.github.io/Logging_2482/tillsynsmail/A 52299-2025 tillsynsbegäran mail.docx", "A 52299-2025")</f>
        <v/>
      </c>
    </row>
    <row r="1010" ht="15" customHeight="1">
      <c r="A1010" t="inlineStr">
        <is>
          <t>A 59001-2024</t>
        </is>
      </c>
      <c r="B1010" s="1" t="n">
        <v>45636</v>
      </c>
      <c r="C1010" s="1" t="n">
        <v>46075</v>
      </c>
      <c r="D1010" t="inlineStr">
        <is>
          <t>VÄSTERBOTTENS LÄN</t>
        </is>
      </c>
      <c r="E1010" t="inlineStr">
        <is>
          <t>VILHELMINA</t>
        </is>
      </c>
      <c r="F1010" t="inlineStr">
        <is>
          <t>Allmännings- och besparingsskogar</t>
        </is>
      </c>
      <c r="G1010" t="n">
        <v>32.5</v>
      </c>
      <c r="H1010" t="n">
        <v>0</v>
      </c>
      <c r="I1010" t="n">
        <v>0</v>
      </c>
      <c r="J1010" t="n">
        <v>1</v>
      </c>
      <c r="K1010" t="n">
        <v>0</v>
      </c>
      <c r="L1010" t="n">
        <v>0</v>
      </c>
      <c r="M1010" t="n">
        <v>0</v>
      </c>
      <c r="N1010" t="n">
        <v>0</v>
      </c>
      <c r="O1010" t="n">
        <v>1</v>
      </c>
      <c r="P1010" t="n">
        <v>0</v>
      </c>
      <c r="Q1010" t="n">
        <v>1</v>
      </c>
      <c r="R1010" s="2" t="inlineStr">
        <is>
          <t>Gammelgransskål</t>
        </is>
      </c>
      <c r="S1010">
        <f>HYPERLINK("https://klasma.github.io/Logging_2462/artfynd/A 59001-2024 artfynd.xlsx", "A 59001-2024")</f>
        <v/>
      </c>
      <c r="T1010">
        <f>HYPERLINK("https://klasma.github.io/Logging_2462/kartor/A 59001-2024 karta.png", "A 59001-2024")</f>
        <v/>
      </c>
      <c r="V1010">
        <f>HYPERLINK("https://klasma.github.io/Logging_2462/klagomål/A 59001-2024 FSC-klagomål.docx", "A 59001-2024")</f>
        <v/>
      </c>
      <c r="W1010">
        <f>HYPERLINK("https://klasma.github.io/Logging_2462/klagomålsmail/A 59001-2024 FSC-klagomål mail.docx", "A 59001-2024")</f>
        <v/>
      </c>
      <c r="X1010">
        <f>HYPERLINK("https://klasma.github.io/Logging_2462/tillsyn/A 59001-2024 tillsynsbegäran.docx", "A 59001-2024")</f>
        <v/>
      </c>
      <c r="Y1010">
        <f>HYPERLINK("https://klasma.github.io/Logging_2462/tillsynsmail/A 59001-2024 tillsynsbegäran mail.docx", "A 59001-2024")</f>
        <v/>
      </c>
    </row>
    <row r="1011" ht="15" customHeight="1">
      <c r="A1011" t="inlineStr">
        <is>
          <t>A 53110-2025</t>
        </is>
      </c>
      <c r="B1011" s="1" t="n">
        <v>45958.44224537037</v>
      </c>
      <c r="C1011" s="1" t="n">
        <v>46075</v>
      </c>
      <c r="D1011" t="inlineStr">
        <is>
          <t>VÄSTERBOTTENS LÄN</t>
        </is>
      </c>
      <c r="E1011" t="inlineStr">
        <is>
          <t>LYCKSELE</t>
        </is>
      </c>
      <c r="F1011" t="inlineStr">
        <is>
          <t>Sveaskog</t>
        </is>
      </c>
      <c r="G1011" t="n">
        <v>16.2</v>
      </c>
      <c r="H1011" t="n">
        <v>0</v>
      </c>
      <c r="I1011" t="n">
        <v>0</v>
      </c>
      <c r="J1011" t="n">
        <v>1</v>
      </c>
      <c r="K1011" t="n">
        <v>0</v>
      </c>
      <c r="L1011" t="n">
        <v>0</v>
      </c>
      <c r="M1011" t="n">
        <v>0</v>
      </c>
      <c r="N1011" t="n">
        <v>0</v>
      </c>
      <c r="O1011" t="n">
        <v>1</v>
      </c>
      <c r="P1011" t="n">
        <v>0</v>
      </c>
      <c r="Q1011" t="n">
        <v>1</v>
      </c>
      <c r="R1011" s="2" t="inlineStr">
        <is>
          <t>Kolflarnlav</t>
        </is>
      </c>
      <c r="S1011">
        <f>HYPERLINK("https://klasma.github.io/Logging_2481/artfynd/A 53110-2025 artfynd.xlsx", "A 53110-2025")</f>
        <v/>
      </c>
      <c r="T1011">
        <f>HYPERLINK("https://klasma.github.io/Logging_2481/kartor/A 53110-2025 karta.png", "A 53110-2025")</f>
        <v/>
      </c>
      <c r="V1011">
        <f>HYPERLINK("https://klasma.github.io/Logging_2481/klagomål/A 53110-2025 FSC-klagomål.docx", "A 53110-2025")</f>
        <v/>
      </c>
      <c r="W1011">
        <f>HYPERLINK("https://klasma.github.io/Logging_2481/klagomålsmail/A 53110-2025 FSC-klagomål mail.docx", "A 53110-2025")</f>
        <v/>
      </c>
      <c r="X1011">
        <f>HYPERLINK("https://klasma.github.io/Logging_2481/tillsyn/A 53110-2025 tillsynsbegäran.docx", "A 53110-2025")</f>
        <v/>
      </c>
      <c r="Y1011">
        <f>HYPERLINK("https://klasma.github.io/Logging_2481/tillsynsmail/A 53110-2025 tillsynsbegäran mail.docx", "A 53110-2025")</f>
        <v/>
      </c>
    </row>
    <row r="1012" ht="15" customHeight="1">
      <c r="A1012" t="inlineStr">
        <is>
          <t>A 53119-2025</t>
        </is>
      </c>
      <c r="B1012" s="1" t="n">
        <v>45958.44869212963</v>
      </c>
      <c r="C1012" s="1" t="n">
        <v>46075</v>
      </c>
      <c r="D1012" t="inlineStr">
        <is>
          <t>VÄSTERBOTTENS LÄN</t>
        </is>
      </c>
      <c r="E1012" t="inlineStr">
        <is>
          <t>LYCKSELE</t>
        </is>
      </c>
      <c r="F1012" t="inlineStr">
        <is>
          <t>Sveaskog</t>
        </is>
      </c>
      <c r="G1012" t="n">
        <v>16</v>
      </c>
      <c r="H1012" t="n">
        <v>0</v>
      </c>
      <c r="I1012" t="n">
        <v>0</v>
      </c>
      <c r="J1012" t="n">
        <v>1</v>
      </c>
      <c r="K1012" t="n">
        <v>0</v>
      </c>
      <c r="L1012" t="n">
        <v>0</v>
      </c>
      <c r="M1012" t="n">
        <v>0</v>
      </c>
      <c r="N1012" t="n">
        <v>0</v>
      </c>
      <c r="O1012" t="n">
        <v>1</v>
      </c>
      <c r="P1012" t="n">
        <v>0</v>
      </c>
      <c r="Q1012" t="n">
        <v>1</v>
      </c>
      <c r="R1012" s="2" t="inlineStr">
        <is>
          <t>Kolflarnlav</t>
        </is>
      </c>
      <c r="S1012">
        <f>HYPERLINK("https://klasma.github.io/Logging_2481/artfynd/A 53119-2025 artfynd.xlsx", "A 53119-2025")</f>
        <v/>
      </c>
      <c r="T1012">
        <f>HYPERLINK("https://klasma.github.io/Logging_2481/kartor/A 53119-2025 karta.png", "A 53119-2025")</f>
        <v/>
      </c>
      <c r="V1012">
        <f>HYPERLINK("https://klasma.github.io/Logging_2481/klagomål/A 53119-2025 FSC-klagomål.docx", "A 53119-2025")</f>
        <v/>
      </c>
      <c r="W1012">
        <f>HYPERLINK("https://klasma.github.io/Logging_2481/klagomålsmail/A 53119-2025 FSC-klagomål mail.docx", "A 53119-2025")</f>
        <v/>
      </c>
      <c r="X1012">
        <f>HYPERLINK("https://klasma.github.io/Logging_2481/tillsyn/A 53119-2025 tillsynsbegäran.docx", "A 53119-2025")</f>
        <v/>
      </c>
      <c r="Y1012">
        <f>HYPERLINK("https://klasma.github.io/Logging_2481/tillsynsmail/A 53119-2025 tillsynsbegäran mail.docx", "A 53119-2025")</f>
        <v/>
      </c>
    </row>
    <row r="1013" ht="15" customHeight="1">
      <c r="A1013" t="inlineStr">
        <is>
          <t>A 51640-2021</t>
        </is>
      </c>
      <c r="B1013" s="1" t="n">
        <v>44462</v>
      </c>
      <c r="C1013" s="1" t="n">
        <v>46075</v>
      </c>
      <c r="D1013" t="inlineStr">
        <is>
          <t>VÄSTERBOTTENS LÄN</t>
        </is>
      </c>
      <c r="E1013" t="inlineStr">
        <is>
          <t>NORSJÖ</t>
        </is>
      </c>
      <c r="F1013" t="inlineStr">
        <is>
          <t>Sveaskog</t>
        </is>
      </c>
      <c r="G1013" t="n">
        <v>7.5</v>
      </c>
      <c r="H1013" t="n">
        <v>0</v>
      </c>
      <c r="I1013" t="n">
        <v>1</v>
      </c>
      <c r="J1013" t="n">
        <v>0</v>
      </c>
      <c r="K1013" t="n">
        <v>0</v>
      </c>
      <c r="L1013" t="n">
        <v>0</v>
      </c>
      <c r="M1013" t="n">
        <v>0</v>
      </c>
      <c r="N1013" t="n">
        <v>0</v>
      </c>
      <c r="O1013" t="n">
        <v>0</v>
      </c>
      <c r="P1013" t="n">
        <v>0</v>
      </c>
      <c r="Q1013" t="n">
        <v>1</v>
      </c>
      <c r="R1013" s="2" t="inlineStr">
        <is>
          <t>Dropptaggsvamp</t>
        </is>
      </c>
      <c r="S1013">
        <f>HYPERLINK("https://klasma.github.io/Logging_2417/artfynd/A 51640-2021 artfynd.xlsx", "A 51640-2021")</f>
        <v/>
      </c>
      <c r="T1013">
        <f>HYPERLINK("https://klasma.github.io/Logging_2417/kartor/A 51640-2021 karta.png", "A 51640-2021")</f>
        <v/>
      </c>
      <c r="V1013">
        <f>HYPERLINK("https://klasma.github.io/Logging_2417/klagomål/A 51640-2021 FSC-klagomål.docx", "A 51640-2021")</f>
        <v/>
      </c>
      <c r="W1013">
        <f>HYPERLINK("https://klasma.github.io/Logging_2417/klagomålsmail/A 51640-2021 FSC-klagomål mail.docx", "A 51640-2021")</f>
        <v/>
      </c>
      <c r="X1013">
        <f>HYPERLINK("https://klasma.github.io/Logging_2417/tillsyn/A 51640-2021 tillsynsbegäran.docx", "A 51640-2021")</f>
        <v/>
      </c>
      <c r="Y1013">
        <f>HYPERLINK("https://klasma.github.io/Logging_2417/tillsynsmail/A 51640-2021 tillsynsbegäran mail.docx", "A 51640-2021")</f>
        <v/>
      </c>
    </row>
    <row r="1014" ht="15" customHeight="1">
      <c r="A1014" t="inlineStr">
        <is>
          <t>A 53108-2025</t>
        </is>
      </c>
      <c r="B1014" s="1" t="n">
        <v>45958.43690972222</v>
      </c>
      <c r="C1014" s="1" t="n">
        <v>46075</v>
      </c>
      <c r="D1014" t="inlineStr">
        <is>
          <t>VÄSTERBOTTENS LÄN</t>
        </is>
      </c>
      <c r="E1014" t="inlineStr">
        <is>
          <t>LYCKSELE</t>
        </is>
      </c>
      <c r="F1014" t="inlineStr">
        <is>
          <t>Sveaskog</t>
        </is>
      </c>
      <c r="G1014" t="n">
        <v>14.1</v>
      </c>
      <c r="H1014" t="n">
        <v>0</v>
      </c>
      <c r="I1014" t="n">
        <v>1</v>
      </c>
      <c r="J1014" t="n">
        <v>0</v>
      </c>
      <c r="K1014" t="n">
        <v>0</v>
      </c>
      <c r="L1014" t="n">
        <v>0</v>
      </c>
      <c r="M1014" t="n">
        <v>0</v>
      </c>
      <c r="N1014" t="n">
        <v>0</v>
      </c>
      <c r="O1014" t="n">
        <v>0</v>
      </c>
      <c r="P1014" t="n">
        <v>0</v>
      </c>
      <c r="Q1014" t="n">
        <v>1</v>
      </c>
      <c r="R1014" s="2" t="inlineStr">
        <is>
          <t>Bårdlav</t>
        </is>
      </c>
      <c r="S1014">
        <f>HYPERLINK("https://klasma.github.io/Logging_2481/artfynd/A 53108-2025 artfynd.xlsx", "A 53108-2025")</f>
        <v/>
      </c>
      <c r="T1014">
        <f>HYPERLINK("https://klasma.github.io/Logging_2481/kartor/A 53108-2025 karta.png", "A 53108-2025")</f>
        <v/>
      </c>
      <c r="V1014">
        <f>HYPERLINK("https://klasma.github.io/Logging_2481/klagomål/A 53108-2025 FSC-klagomål.docx", "A 53108-2025")</f>
        <v/>
      </c>
      <c r="W1014">
        <f>HYPERLINK("https://klasma.github.io/Logging_2481/klagomålsmail/A 53108-2025 FSC-klagomål mail.docx", "A 53108-2025")</f>
        <v/>
      </c>
      <c r="X1014">
        <f>HYPERLINK("https://klasma.github.io/Logging_2481/tillsyn/A 53108-2025 tillsynsbegäran.docx", "A 53108-2025")</f>
        <v/>
      </c>
      <c r="Y1014">
        <f>HYPERLINK("https://klasma.github.io/Logging_2481/tillsynsmail/A 53108-2025 tillsynsbegäran mail.docx", "A 53108-2025")</f>
        <v/>
      </c>
    </row>
    <row r="1015" ht="15" customHeight="1">
      <c r="A1015" t="inlineStr">
        <is>
          <t>A 53250-2025</t>
        </is>
      </c>
      <c r="B1015" s="1" t="n">
        <v>45958.66072916667</v>
      </c>
      <c r="C1015" s="1" t="n">
        <v>46075</v>
      </c>
      <c r="D1015" t="inlineStr">
        <is>
          <t>VÄSTERBOTTENS LÄN</t>
        </is>
      </c>
      <c r="E1015" t="inlineStr">
        <is>
          <t>STORUMAN</t>
        </is>
      </c>
      <c r="F1015" t="inlineStr">
        <is>
          <t>Sveaskog</t>
        </is>
      </c>
      <c r="G1015" t="n">
        <v>55.9</v>
      </c>
      <c r="H1015" t="n">
        <v>0</v>
      </c>
      <c r="I1015" t="n">
        <v>0</v>
      </c>
      <c r="J1015" t="n">
        <v>1</v>
      </c>
      <c r="K1015" t="n">
        <v>0</v>
      </c>
      <c r="L1015" t="n">
        <v>0</v>
      </c>
      <c r="M1015" t="n">
        <v>0</v>
      </c>
      <c r="N1015" t="n">
        <v>0</v>
      </c>
      <c r="O1015" t="n">
        <v>1</v>
      </c>
      <c r="P1015" t="n">
        <v>0</v>
      </c>
      <c r="Q1015" t="n">
        <v>1</v>
      </c>
      <c r="R1015" s="2" t="inlineStr">
        <is>
          <t>Gränsticka</t>
        </is>
      </c>
      <c r="S1015">
        <f>HYPERLINK("https://klasma.github.io/Logging_2421/artfynd/A 53250-2025 artfynd.xlsx", "A 53250-2025")</f>
        <v/>
      </c>
      <c r="T1015">
        <f>HYPERLINK("https://klasma.github.io/Logging_2421/kartor/A 53250-2025 karta.png", "A 53250-2025")</f>
        <v/>
      </c>
      <c r="V1015">
        <f>HYPERLINK("https://klasma.github.io/Logging_2421/klagomål/A 53250-2025 FSC-klagomål.docx", "A 53250-2025")</f>
        <v/>
      </c>
      <c r="W1015">
        <f>HYPERLINK("https://klasma.github.io/Logging_2421/klagomålsmail/A 53250-2025 FSC-klagomål mail.docx", "A 53250-2025")</f>
        <v/>
      </c>
      <c r="X1015">
        <f>HYPERLINK("https://klasma.github.io/Logging_2421/tillsyn/A 53250-2025 tillsynsbegäran.docx", "A 53250-2025")</f>
        <v/>
      </c>
      <c r="Y1015">
        <f>HYPERLINK("https://klasma.github.io/Logging_2421/tillsynsmail/A 53250-2025 tillsynsbegäran mail.docx", "A 53250-2025")</f>
        <v/>
      </c>
    </row>
    <row r="1016" ht="15" customHeight="1">
      <c r="A1016" t="inlineStr">
        <is>
          <t>A 53502-2025</t>
        </is>
      </c>
      <c r="B1016" s="1" t="n">
        <v>45960.34290509259</v>
      </c>
      <c r="C1016" s="1" t="n">
        <v>46075</v>
      </c>
      <c r="D1016" t="inlineStr">
        <is>
          <t>VÄSTERBOTTENS LÄN</t>
        </is>
      </c>
      <c r="E1016" t="inlineStr">
        <is>
          <t>NORSJÖ</t>
        </is>
      </c>
      <c r="F1016" t="inlineStr">
        <is>
          <t>Sveaskog</t>
        </is>
      </c>
      <c r="G1016" t="n">
        <v>5.5</v>
      </c>
      <c r="H1016" t="n">
        <v>0</v>
      </c>
      <c r="I1016" t="n">
        <v>1</v>
      </c>
      <c r="J1016" t="n">
        <v>0</v>
      </c>
      <c r="K1016" t="n">
        <v>0</v>
      </c>
      <c r="L1016" t="n">
        <v>0</v>
      </c>
      <c r="M1016" t="n">
        <v>0</v>
      </c>
      <c r="N1016" t="n">
        <v>0</v>
      </c>
      <c r="O1016" t="n">
        <v>0</v>
      </c>
      <c r="P1016" t="n">
        <v>0</v>
      </c>
      <c r="Q1016" t="n">
        <v>1</v>
      </c>
      <c r="R1016" s="2" t="inlineStr">
        <is>
          <t>Tibast</t>
        </is>
      </c>
      <c r="S1016">
        <f>HYPERLINK("https://klasma.github.io/Logging_2417/artfynd/A 53502-2025 artfynd.xlsx", "A 53502-2025")</f>
        <v/>
      </c>
      <c r="T1016">
        <f>HYPERLINK("https://klasma.github.io/Logging_2417/kartor/A 53502-2025 karta.png", "A 53502-2025")</f>
        <v/>
      </c>
      <c r="V1016">
        <f>HYPERLINK("https://klasma.github.io/Logging_2417/klagomål/A 53502-2025 FSC-klagomål.docx", "A 53502-2025")</f>
        <v/>
      </c>
      <c r="W1016">
        <f>HYPERLINK("https://klasma.github.io/Logging_2417/klagomålsmail/A 53502-2025 FSC-klagomål mail.docx", "A 53502-2025")</f>
        <v/>
      </c>
      <c r="X1016">
        <f>HYPERLINK("https://klasma.github.io/Logging_2417/tillsyn/A 53502-2025 tillsynsbegäran.docx", "A 53502-2025")</f>
        <v/>
      </c>
      <c r="Y1016">
        <f>HYPERLINK("https://klasma.github.io/Logging_2417/tillsynsmail/A 53502-2025 tillsynsbegäran mail.docx", "A 53502-2025")</f>
        <v/>
      </c>
    </row>
    <row r="1017" ht="15" customHeight="1">
      <c r="A1017" t="inlineStr">
        <is>
          <t>A 41674-2023</t>
        </is>
      </c>
      <c r="B1017" s="1" t="n">
        <v>45176</v>
      </c>
      <c r="C1017" s="1" t="n">
        <v>46075</v>
      </c>
      <c r="D1017" t="inlineStr">
        <is>
          <t>VÄSTERBOTTENS LÄN</t>
        </is>
      </c>
      <c r="E1017" t="inlineStr">
        <is>
          <t>UMEÅ</t>
        </is>
      </c>
      <c r="F1017" t="inlineStr">
        <is>
          <t>Holmen skog AB</t>
        </is>
      </c>
      <c r="G1017" t="n">
        <v>4.1</v>
      </c>
      <c r="H1017" t="n">
        <v>1</v>
      </c>
      <c r="I1017" t="n">
        <v>0</v>
      </c>
      <c r="J1017" t="n">
        <v>1</v>
      </c>
      <c r="K1017" t="n">
        <v>0</v>
      </c>
      <c r="L1017" t="n">
        <v>0</v>
      </c>
      <c r="M1017" t="n">
        <v>0</v>
      </c>
      <c r="N1017" t="n">
        <v>0</v>
      </c>
      <c r="O1017" t="n">
        <v>1</v>
      </c>
      <c r="P1017" t="n">
        <v>0</v>
      </c>
      <c r="Q1017" t="n">
        <v>1</v>
      </c>
      <c r="R1017" s="2" t="inlineStr">
        <is>
          <t>Nordfladdermus</t>
        </is>
      </c>
      <c r="S1017">
        <f>HYPERLINK("https://klasma.github.io/Logging_2480/artfynd/A 41674-2023 artfynd.xlsx", "A 41674-2023")</f>
        <v/>
      </c>
      <c r="T1017">
        <f>HYPERLINK("https://klasma.github.io/Logging_2480/kartor/A 41674-2023 karta.png", "A 41674-2023")</f>
        <v/>
      </c>
      <c r="V1017">
        <f>HYPERLINK("https://klasma.github.io/Logging_2480/klagomål/A 41674-2023 FSC-klagomål.docx", "A 41674-2023")</f>
        <v/>
      </c>
      <c r="W1017">
        <f>HYPERLINK("https://klasma.github.io/Logging_2480/klagomålsmail/A 41674-2023 FSC-klagomål mail.docx", "A 41674-2023")</f>
        <v/>
      </c>
      <c r="X1017">
        <f>HYPERLINK("https://klasma.github.io/Logging_2480/tillsyn/A 41674-2023 tillsynsbegäran.docx", "A 41674-2023")</f>
        <v/>
      </c>
      <c r="Y1017">
        <f>HYPERLINK("https://klasma.github.io/Logging_2480/tillsynsmail/A 41674-2023 tillsynsbegäran mail.docx", "A 41674-2023")</f>
        <v/>
      </c>
    </row>
    <row r="1018" ht="15" customHeight="1">
      <c r="A1018" t="inlineStr">
        <is>
          <t>A 24114-2025</t>
        </is>
      </c>
      <c r="B1018" s="1" t="n">
        <v>45796.61449074074</v>
      </c>
      <c r="C1018" s="1" t="n">
        <v>46075</v>
      </c>
      <c r="D1018" t="inlineStr">
        <is>
          <t>VÄSTERBOTTENS LÄN</t>
        </is>
      </c>
      <c r="E1018" t="inlineStr">
        <is>
          <t>ROBERTSFORS</t>
        </is>
      </c>
      <c r="F1018" t="inlineStr">
        <is>
          <t>Holmen skog AB</t>
        </is>
      </c>
      <c r="G1018" t="n">
        <v>9.699999999999999</v>
      </c>
      <c r="H1018" t="n">
        <v>1</v>
      </c>
      <c r="I1018" t="n">
        <v>0</v>
      </c>
      <c r="J1018" t="n">
        <v>0</v>
      </c>
      <c r="K1018" t="n">
        <v>0</v>
      </c>
      <c r="L1018" t="n">
        <v>0</v>
      </c>
      <c r="M1018" t="n">
        <v>0</v>
      </c>
      <c r="N1018" t="n">
        <v>0</v>
      </c>
      <c r="O1018" t="n">
        <v>0</v>
      </c>
      <c r="P1018" t="n">
        <v>0</v>
      </c>
      <c r="Q1018" t="n">
        <v>1</v>
      </c>
      <c r="R1018" s="2" t="inlineStr">
        <is>
          <t>Revlummer</t>
        </is>
      </c>
      <c r="S1018">
        <f>HYPERLINK("https://klasma.github.io/Logging_2409/artfynd/A 24114-2025 artfynd.xlsx", "A 24114-2025")</f>
        <v/>
      </c>
      <c r="T1018">
        <f>HYPERLINK("https://klasma.github.io/Logging_2409/kartor/A 24114-2025 karta.png", "A 24114-2025")</f>
        <v/>
      </c>
      <c r="V1018">
        <f>HYPERLINK("https://klasma.github.io/Logging_2409/klagomål/A 24114-2025 FSC-klagomål.docx", "A 24114-2025")</f>
        <v/>
      </c>
      <c r="W1018">
        <f>HYPERLINK("https://klasma.github.io/Logging_2409/klagomålsmail/A 24114-2025 FSC-klagomål mail.docx", "A 24114-2025")</f>
        <v/>
      </c>
      <c r="X1018">
        <f>HYPERLINK("https://klasma.github.io/Logging_2409/tillsyn/A 24114-2025 tillsynsbegäran.docx", "A 24114-2025")</f>
        <v/>
      </c>
      <c r="Y1018">
        <f>HYPERLINK("https://klasma.github.io/Logging_2409/tillsynsmail/A 24114-2025 tillsynsbegäran mail.docx", "A 24114-2025")</f>
        <v/>
      </c>
    </row>
    <row r="1019" ht="15" customHeight="1">
      <c r="A1019" t="inlineStr">
        <is>
          <t>A 48989-2025</t>
        </is>
      </c>
      <c r="B1019" s="1" t="n">
        <v>45937</v>
      </c>
      <c r="C1019" s="1" t="n">
        <v>46075</v>
      </c>
      <c r="D1019" t="inlineStr">
        <is>
          <t>VÄSTERBOTTENS LÄN</t>
        </is>
      </c>
      <c r="E1019" t="inlineStr">
        <is>
          <t>SORSELE</t>
        </is>
      </c>
      <c r="F1019" t="inlineStr">
        <is>
          <t>Sveaskog</t>
        </is>
      </c>
      <c r="G1019" t="n">
        <v>57.3</v>
      </c>
      <c r="H1019" t="n">
        <v>0</v>
      </c>
      <c r="I1019" t="n">
        <v>0</v>
      </c>
      <c r="J1019" t="n">
        <v>0</v>
      </c>
      <c r="K1019" t="n">
        <v>0</v>
      </c>
      <c r="L1019" t="n">
        <v>1</v>
      </c>
      <c r="M1019" t="n">
        <v>0</v>
      </c>
      <c r="N1019" t="n">
        <v>0</v>
      </c>
      <c r="O1019" t="n">
        <v>1</v>
      </c>
      <c r="P1019" t="n">
        <v>1</v>
      </c>
      <c r="Q1019" t="n">
        <v>1</v>
      </c>
      <c r="R1019" s="2" t="inlineStr">
        <is>
          <t>Flodpärlmussla</t>
        </is>
      </c>
      <c r="S1019">
        <f>HYPERLINK("https://klasma.github.io/Logging_2422/artfynd/A 48989-2025 artfynd.xlsx", "A 48989-2025")</f>
        <v/>
      </c>
      <c r="T1019">
        <f>HYPERLINK("https://klasma.github.io/Logging_2422/kartor/A 48989-2025 karta.png", "A 48989-2025")</f>
        <v/>
      </c>
      <c r="V1019">
        <f>HYPERLINK("https://klasma.github.io/Logging_2422/klagomål/A 48989-2025 FSC-klagomål.docx", "A 48989-2025")</f>
        <v/>
      </c>
      <c r="W1019">
        <f>HYPERLINK("https://klasma.github.io/Logging_2422/klagomålsmail/A 48989-2025 FSC-klagomål mail.docx", "A 48989-2025")</f>
        <v/>
      </c>
      <c r="X1019">
        <f>HYPERLINK("https://klasma.github.io/Logging_2422/tillsyn/A 48989-2025 tillsynsbegäran.docx", "A 48989-2025")</f>
        <v/>
      </c>
      <c r="Y1019">
        <f>HYPERLINK("https://klasma.github.io/Logging_2422/tillsynsmail/A 48989-2025 tillsynsbegäran mail.docx", "A 48989-2025")</f>
        <v/>
      </c>
    </row>
    <row r="1020" ht="15" customHeight="1">
      <c r="A1020" t="inlineStr">
        <is>
          <t>A 35641-2025</t>
        </is>
      </c>
      <c r="B1020" s="1" t="n">
        <v>45859</v>
      </c>
      <c r="C1020" s="1" t="n">
        <v>46075</v>
      </c>
      <c r="D1020" t="inlineStr">
        <is>
          <t>VÄSTERBOTTENS LÄN</t>
        </is>
      </c>
      <c r="E1020" t="inlineStr">
        <is>
          <t>STORUMAN</t>
        </is>
      </c>
      <c r="G1020" t="n">
        <v>23.7</v>
      </c>
      <c r="H1020" t="n">
        <v>1</v>
      </c>
      <c r="I1020" t="n">
        <v>0</v>
      </c>
      <c r="J1020" t="n">
        <v>1</v>
      </c>
      <c r="K1020" t="n">
        <v>0</v>
      </c>
      <c r="L1020" t="n">
        <v>0</v>
      </c>
      <c r="M1020" t="n">
        <v>0</v>
      </c>
      <c r="N1020" t="n">
        <v>0</v>
      </c>
      <c r="O1020" t="n">
        <v>1</v>
      </c>
      <c r="P1020" t="n">
        <v>0</v>
      </c>
      <c r="Q1020" t="n">
        <v>1</v>
      </c>
      <c r="R1020" s="2" t="inlineStr">
        <is>
          <t>Tretåig hackspett</t>
        </is>
      </c>
      <c r="S1020">
        <f>HYPERLINK("https://klasma.github.io/Logging_2421/artfynd/A 35641-2025 artfynd.xlsx", "A 35641-2025")</f>
        <v/>
      </c>
      <c r="T1020">
        <f>HYPERLINK("https://klasma.github.io/Logging_2421/kartor/A 35641-2025 karta.png", "A 35641-2025")</f>
        <v/>
      </c>
      <c r="V1020">
        <f>HYPERLINK("https://klasma.github.io/Logging_2421/klagomål/A 35641-2025 FSC-klagomål.docx", "A 35641-2025")</f>
        <v/>
      </c>
      <c r="W1020">
        <f>HYPERLINK("https://klasma.github.io/Logging_2421/klagomålsmail/A 35641-2025 FSC-klagomål mail.docx", "A 35641-2025")</f>
        <v/>
      </c>
      <c r="X1020">
        <f>HYPERLINK("https://klasma.github.io/Logging_2421/tillsyn/A 35641-2025 tillsynsbegäran.docx", "A 35641-2025")</f>
        <v/>
      </c>
      <c r="Y1020">
        <f>HYPERLINK("https://klasma.github.io/Logging_2421/tillsynsmail/A 35641-2025 tillsynsbegäran mail.docx", "A 35641-2025")</f>
        <v/>
      </c>
      <c r="Z1020">
        <f>HYPERLINK("https://klasma.github.io/Logging_2421/fåglar/A 35641-2025 prioriterade fågelarter.docx", "A 35641-2025")</f>
        <v/>
      </c>
    </row>
    <row r="1021" ht="15" customHeight="1">
      <c r="A1021" t="inlineStr">
        <is>
          <t>A 737-2025</t>
        </is>
      </c>
      <c r="B1021" s="1" t="n">
        <v>45665</v>
      </c>
      <c r="C1021" s="1" t="n">
        <v>46075</v>
      </c>
      <c r="D1021" t="inlineStr">
        <is>
          <t>VÄSTERBOTTENS LÄN</t>
        </is>
      </c>
      <c r="E1021" t="inlineStr">
        <is>
          <t>SKELLEFTEÅ</t>
        </is>
      </c>
      <c r="G1021" t="n">
        <v>14.8</v>
      </c>
      <c r="H1021" t="n">
        <v>0</v>
      </c>
      <c r="I1021" t="n">
        <v>0</v>
      </c>
      <c r="J1021" t="n">
        <v>0</v>
      </c>
      <c r="K1021" t="n">
        <v>1</v>
      </c>
      <c r="L1021" t="n">
        <v>0</v>
      </c>
      <c r="M1021" t="n">
        <v>0</v>
      </c>
      <c r="N1021" t="n">
        <v>0</v>
      </c>
      <c r="O1021" t="n">
        <v>1</v>
      </c>
      <c r="P1021" t="n">
        <v>1</v>
      </c>
      <c r="Q1021" t="n">
        <v>1</v>
      </c>
      <c r="R1021" s="2" t="inlineStr">
        <is>
          <t>Goliatmusseron</t>
        </is>
      </c>
      <c r="S1021">
        <f>HYPERLINK("https://klasma.github.io/Logging_2482/artfynd/A 737-2025 artfynd.xlsx", "A 737-2025")</f>
        <v/>
      </c>
      <c r="T1021">
        <f>HYPERLINK("https://klasma.github.io/Logging_2482/kartor/A 737-2025 karta.png", "A 737-2025")</f>
        <v/>
      </c>
      <c r="V1021">
        <f>HYPERLINK("https://klasma.github.io/Logging_2482/klagomål/A 737-2025 FSC-klagomål.docx", "A 737-2025")</f>
        <v/>
      </c>
      <c r="W1021">
        <f>HYPERLINK("https://klasma.github.io/Logging_2482/klagomålsmail/A 737-2025 FSC-klagomål mail.docx", "A 737-2025")</f>
        <v/>
      </c>
      <c r="X1021">
        <f>HYPERLINK("https://klasma.github.io/Logging_2482/tillsyn/A 737-2025 tillsynsbegäran.docx", "A 737-2025")</f>
        <v/>
      </c>
      <c r="Y1021">
        <f>HYPERLINK("https://klasma.github.io/Logging_2482/tillsynsmail/A 737-2025 tillsynsbegäran mail.docx", "A 737-2025")</f>
        <v/>
      </c>
    </row>
    <row r="1022" ht="15" customHeight="1">
      <c r="A1022" t="inlineStr">
        <is>
          <t>A 50903-2025</t>
        </is>
      </c>
      <c r="B1022" s="1" t="n">
        <v>45946</v>
      </c>
      <c r="C1022" s="1" t="n">
        <v>46075</v>
      </c>
      <c r="D1022" t="inlineStr">
        <is>
          <t>VÄSTERBOTTENS LÄN</t>
        </is>
      </c>
      <c r="E1022" t="inlineStr">
        <is>
          <t>NORSJÖ</t>
        </is>
      </c>
      <c r="G1022" t="n">
        <v>23.8</v>
      </c>
      <c r="H1022" t="n">
        <v>1</v>
      </c>
      <c r="I1022" t="n">
        <v>0</v>
      </c>
      <c r="J1022" t="n">
        <v>1</v>
      </c>
      <c r="K1022" t="n">
        <v>0</v>
      </c>
      <c r="L1022" t="n">
        <v>0</v>
      </c>
      <c r="M1022" t="n">
        <v>0</v>
      </c>
      <c r="N1022" t="n">
        <v>0</v>
      </c>
      <c r="O1022" t="n">
        <v>1</v>
      </c>
      <c r="P1022" t="n">
        <v>0</v>
      </c>
      <c r="Q1022" t="n">
        <v>1</v>
      </c>
      <c r="R1022" s="2" t="inlineStr">
        <is>
          <t>Talltita</t>
        </is>
      </c>
      <c r="S1022">
        <f>HYPERLINK("https://klasma.github.io/Logging_2417/artfynd/A 50903-2025 artfynd.xlsx", "A 50903-2025")</f>
        <v/>
      </c>
      <c r="T1022">
        <f>HYPERLINK("https://klasma.github.io/Logging_2417/kartor/A 50903-2025 karta.png", "A 50903-2025")</f>
        <v/>
      </c>
      <c r="V1022">
        <f>HYPERLINK("https://klasma.github.io/Logging_2417/klagomål/A 50903-2025 FSC-klagomål.docx", "A 50903-2025")</f>
        <v/>
      </c>
      <c r="W1022">
        <f>HYPERLINK("https://klasma.github.io/Logging_2417/klagomålsmail/A 50903-2025 FSC-klagomål mail.docx", "A 50903-2025")</f>
        <v/>
      </c>
      <c r="X1022">
        <f>HYPERLINK("https://klasma.github.io/Logging_2417/tillsyn/A 50903-2025 tillsynsbegäran.docx", "A 50903-2025")</f>
        <v/>
      </c>
      <c r="Y1022">
        <f>HYPERLINK("https://klasma.github.io/Logging_2417/tillsynsmail/A 50903-2025 tillsynsbegäran mail.docx", "A 50903-2025")</f>
        <v/>
      </c>
      <c r="Z1022">
        <f>HYPERLINK("https://klasma.github.io/Logging_2417/fåglar/A 50903-2025 prioriterade fågelarter.docx", "A 50903-2025")</f>
        <v/>
      </c>
    </row>
    <row r="1023" ht="15" customHeight="1">
      <c r="A1023" t="inlineStr">
        <is>
          <t>A 38507-2023</t>
        </is>
      </c>
      <c r="B1023" s="1" t="n">
        <v>45162.50637731481</v>
      </c>
      <c r="C1023" s="1" t="n">
        <v>46075</v>
      </c>
      <c r="D1023" t="inlineStr">
        <is>
          <t>VÄSTERBOTTENS LÄN</t>
        </is>
      </c>
      <c r="E1023" t="inlineStr">
        <is>
          <t>LYCKSELE</t>
        </is>
      </c>
      <c r="F1023" t="inlineStr">
        <is>
          <t>Sveaskog</t>
        </is>
      </c>
      <c r="G1023" t="n">
        <v>2.5</v>
      </c>
      <c r="H1023" t="n">
        <v>0</v>
      </c>
      <c r="I1023" t="n">
        <v>0</v>
      </c>
      <c r="J1023" t="n">
        <v>1</v>
      </c>
      <c r="K1023" t="n">
        <v>0</v>
      </c>
      <c r="L1023" t="n">
        <v>0</v>
      </c>
      <c r="M1023" t="n">
        <v>0</v>
      </c>
      <c r="N1023" t="n">
        <v>0</v>
      </c>
      <c r="O1023" t="n">
        <v>1</v>
      </c>
      <c r="P1023" t="n">
        <v>0</v>
      </c>
      <c r="Q1023" t="n">
        <v>1</v>
      </c>
      <c r="R1023" s="2" t="inlineStr">
        <is>
          <t>Blå taggsvamp</t>
        </is>
      </c>
      <c r="S1023">
        <f>HYPERLINK("https://klasma.github.io/Logging_2481/artfynd/A 38507-2023 artfynd.xlsx", "A 38507-2023")</f>
        <v/>
      </c>
      <c r="T1023">
        <f>HYPERLINK("https://klasma.github.io/Logging_2481/kartor/A 38507-2023 karta.png", "A 38507-2023")</f>
        <v/>
      </c>
      <c r="V1023">
        <f>HYPERLINK("https://klasma.github.io/Logging_2481/klagomål/A 38507-2023 FSC-klagomål.docx", "A 38507-2023")</f>
        <v/>
      </c>
      <c r="W1023">
        <f>HYPERLINK("https://klasma.github.io/Logging_2481/klagomålsmail/A 38507-2023 FSC-klagomål mail.docx", "A 38507-2023")</f>
        <v/>
      </c>
      <c r="X1023">
        <f>HYPERLINK("https://klasma.github.io/Logging_2481/tillsyn/A 38507-2023 tillsynsbegäran.docx", "A 38507-2023")</f>
        <v/>
      </c>
      <c r="Y1023">
        <f>HYPERLINK("https://klasma.github.io/Logging_2481/tillsynsmail/A 38507-2023 tillsynsbegäran mail.docx", "A 38507-2023")</f>
        <v/>
      </c>
    </row>
    <row r="1024" ht="15" customHeight="1">
      <c r="A1024" t="inlineStr">
        <is>
          <t>A 45404-2024</t>
        </is>
      </c>
      <c r="B1024" s="1" t="n">
        <v>45576.57828703704</v>
      </c>
      <c r="C1024" s="1" t="n">
        <v>46075</v>
      </c>
      <c r="D1024" t="inlineStr">
        <is>
          <t>VÄSTERBOTTENS LÄN</t>
        </is>
      </c>
      <c r="E1024" t="inlineStr">
        <is>
          <t>STORUMAN</t>
        </is>
      </c>
      <c r="F1024" t="inlineStr">
        <is>
          <t>Sveaskog</t>
        </is>
      </c>
      <c r="G1024" t="n">
        <v>3.3</v>
      </c>
      <c r="H1024" t="n">
        <v>0</v>
      </c>
      <c r="I1024" t="n">
        <v>0</v>
      </c>
      <c r="J1024" t="n">
        <v>1</v>
      </c>
      <c r="K1024" t="n">
        <v>0</v>
      </c>
      <c r="L1024" t="n">
        <v>0</v>
      </c>
      <c r="M1024" t="n">
        <v>0</v>
      </c>
      <c r="N1024" t="n">
        <v>0</v>
      </c>
      <c r="O1024" t="n">
        <v>1</v>
      </c>
      <c r="P1024" t="n">
        <v>0</v>
      </c>
      <c r="Q1024" t="n">
        <v>1</v>
      </c>
      <c r="R1024" s="2" t="inlineStr">
        <is>
          <t>Lunglav</t>
        </is>
      </c>
      <c r="S1024">
        <f>HYPERLINK("https://klasma.github.io/Logging_2421/artfynd/A 45404-2024 artfynd.xlsx", "A 45404-2024")</f>
        <v/>
      </c>
      <c r="T1024">
        <f>HYPERLINK("https://klasma.github.io/Logging_2421/kartor/A 45404-2024 karta.png", "A 45404-2024")</f>
        <v/>
      </c>
      <c r="V1024">
        <f>HYPERLINK("https://klasma.github.io/Logging_2421/klagomål/A 45404-2024 FSC-klagomål.docx", "A 45404-2024")</f>
        <v/>
      </c>
      <c r="W1024">
        <f>HYPERLINK("https://klasma.github.io/Logging_2421/klagomålsmail/A 45404-2024 FSC-klagomål mail.docx", "A 45404-2024")</f>
        <v/>
      </c>
      <c r="X1024">
        <f>HYPERLINK("https://klasma.github.io/Logging_2421/tillsyn/A 45404-2024 tillsynsbegäran.docx", "A 45404-2024")</f>
        <v/>
      </c>
      <c r="Y1024">
        <f>HYPERLINK("https://klasma.github.io/Logging_2421/tillsynsmail/A 45404-2024 tillsynsbegäran mail.docx", "A 45404-2024")</f>
        <v/>
      </c>
    </row>
    <row r="1025" ht="15" customHeight="1">
      <c r="A1025" t="inlineStr">
        <is>
          <t>A 32677-2021</t>
        </is>
      </c>
      <c r="B1025" s="1" t="n">
        <v>44371</v>
      </c>
      <c r="C1025" s="1" t="n">
        <v>46075</v>
      </c>
      <c r="D1025" t="inlineStr">
        <is>
          <t>VÄSTERBOTTENS LÄN</t>
        </is>
      </c>
      <c r="E1025" t="inlineStr">
        <is>
          <t>VILHELMINA</t>
        </is>
      </c>
      <c r="G1025" t="n">
        <v>9.699999999999999</v>
      </c>
      <c r="H1025" t="n">
        <v>1</v>
      </c>
      <c r="I1025" t="n">
        <v>0</v>
      </c>
      <c r="J1025" t="n">
        <v>1</v>
      </c>
      <c r="K1025" t="n">
        <v>0</v>
      </c>
      <c r="L1025" t="n">
        <v>0</v>
      </c>
      <c r="M1025" t="n">
        <v>0</v>
      </c>
      <c r="N1025" t="n">
        <v>0</v>
      </c>
      <c r="O1025" t="n">
        <v>1</v>
      </c>
      <c r="P1025" t="n">
        <v>0</v>
      </c>
      <c r="Q1025" t="n">
        <v>1</v>
      </c>
      <c r="R1025" s="2" t="inlineStr">
        <is>
          <t>Tretåig hackspett</t>
        </is>
      </c>
      <c r="S1025">
        <f>HYPERLINK("https://klasma.github.io/Logging_2462/artfynd/A 32677-2021 artfynd.xlsx", "A 32677-2021")</f>
        <v/>
      </c>
      <c r="T1025">
        <f>HYPERLINK("https://klasma.github.io/Logging_2462/kartor/A 32677-2021 karta.png", "A 32677-2021")</f>
        <v/>
      </c>
      <c r="V1025">
        <f>HYPERLINK("https://klasma.github.io/Logging_2462/klagomål/A 32677-2021 FSC-klagomål.docx", "A 32677-2021")</f>
        <v/>
      </c>
      <c r="W1025">
        <f>HYPERLINK("https://klasma.github.io/Logging_2462/klagomålsmail/A 32677-2021 FSC-klagomål mail.docx", "A 32677-2021")</f>
        <v/>
      </c>
      <c r="X1025">
        <f>HYPERLINK("https://klasma.github.io/Logging_2462/tillsyn/A 32677-2021 tillsynsbegäran.docx", "A 32677-2021")</f>
        <v/>
      </c>
      <c r="Y1025">
        <f>HYPERLINK("https://klasma.github.io/Logging_2462/tillsynsmail/A 32677-2021 tillsynsbegäran mail.docx", "A 32677-2021")</f>
        <v/>
      </c>
      <c r="Z1025">
        <f>HYPERLINK("https://klasma.github.io/Logging_2462/fåglar/A 32677-2021 prioriterade fågelarter.docx", "A 32677-2021")</f>
        <v/>
      </c>
    </row>
    <row r="1026" ht="15" customHeight="1">
      <c r="A1026" t="inlineStr">
        <is>
          <t>A 13523-2025</t>
        </is>
      </c>
      <c r="B1026" s="1" t="n">
        <v>45736</v>
      </c>
      <c r="C1026" s="1" t="n">
        <v>46075</v>
      </c>
      <c r="D1026" t="inlineStr">
        <is>
          <t>VÄSTERBOTTENS LÄN</t>
        </is>
      </c>
      <c r="E1026" t="inlineStr">
        <is>
          <t>VILHELMINA</t>
        </is>
      </c>
      <c r="F1026" t="inlineStr">
        <is>
          <t>SCA</t>
        </is>
      </c>
      <c r="G1026" t="n">
        <v>1.9</v>
      </c>
      <c r="H1026" t="n">
        <v>0</v>
      </c>
      <c r="I1026" t="n">
        <v>0</v>
      </c>
      <c r="J1026" t="n">
        <v>1</v>
      </c>
      <c r="K1026" t="n">
        <v>0</v>
      </c>
      <c r="L1026" t="n">
        <v>0</v>
      </c>
      <c r="M1026" t="n">
        <v>0</v>
      </c>
      <c r="N1026" t="n">
        <v>0</v>
      </c>
      <c r="O1026" t="n">
        <v>1</v>
      </c>
      <c r="P1026" t="n">
        <v>0</v>
      </c>
      <c r="Q1026" t="n">
        <v>1</v>
      </c>
      <c r="R1026" s="2" t="inlineStr">
        <is>
          <t>Lunglav</t>
        </is>
      </c>
      <c r="S1026">
        <f>HYPERLINK("https://klasma.github.io/Logging_2462/artfynd/A 13523-2025 artfynd.xlsx", "A 13523-2025")</f>
        <v/>
      </c>
      <c r="T1026">
        <f>HYPERLINK("https://klasma.github.io/Logging_2462/kartor/A 13523-2025 karta.png", "A 13523-2025")</f>
        <v/>
      </c>
      <c r="V1026">
        <f>HYPERLINK("https://klasma.github.io/Logging_2462/klagomål/A 13523-2025 FSC-klagomål.docx", "A 13523-2025")</f>
        <v/>
      </c>
      <c r="W1026">
        <f>HYPERLINK("https://klasma.github.io/Logging_2462/klagomålsmail/A 13523-2025 FSC-klagomål mail.docx", "A 13523-2025")</f>
        <v/>
      </c>
      <c r="X1026">
        <f>HYPERLINK("https://klasma.github.io/Logging_2462/tillsyn/A 13523-2025 tillsynsbegäran.docx", "A 13523-2025")</f>
        <v/>
      </c>
      <c r="Y1026">
        <f>HYPERLINK("https://klasma.github.io/Logging_2462/tillsynsmail/A 13523-2025 tillsynsbegäran mail.docx", "A 13523-2025")</f>
        <v/>
      </c>
    </row>
    <row r="1027" ht="15" customHeight="1">
      <c r="A1027" t="inlineStr">
        <is>
          <t>A 59058-2023</t>
        </is>
      </c>
      <c r="B1027" s="1" t="n">
        <v>45252.8006712963</v>
      </c>
      <c r="C1027" s="1" t="n">
        <v>46075</v>
      </c>
      <c r="D1027" t="inlineStr">
        <is>
          <t>VÄSTERBOTTENS LÄN</t>
        </is>
      </c>
      <c r="E1027" t="inlineStr">
        <is>
          <t>STORUMAN</t>
        </is>
      </c>
      <c r="G1027" t="n">
        <v>15.3</v>
      </c>
      <c r="H1027" t="n">
        <v>0</v>
      </c>
      <c r="I1027" t="n">
        <v>0</v>
      </c>
      <c r="J1027" t="n">
        <v>1</v>
      </c>
      <c r="K1027" t="n">
        <v>0</v>
      </c>
      <c r="L1027" t="n">
        <v>0</v>
      </c>
      <c r="M1027" t="n">
        <v>0</v>
      </c>
      <c r="N1027" t="n">
        <v>0</v>
      </c>
      <c r="O1027" t="n">
        <v>1</v>
      </c>
      <c r="P1027" t="n">
        <v>0</v>
      </c>
      <c r="Q1027" t="n">
        <v>1</v>
      </c>
      <c r="R1027" s="2" t="inlineStr">
        <is>
          <t>Lunglav</t>
        </is>
      </c>
      <c r="S1027">
        <f>HYPERLINK("https://klasma.github.io/Logging_2421/artfynd/A 59058-2023 artfynd.xlsx", "A 59058-2023")</f>
        <v/>
      </c>
      <c r="T1027">
        <f>HYPERLINK("https://klasma.github.io/Logging_2421/kartor/A 59058-2023 karta.png", "A 59058-2023")</f>
        <v/>
      </c>
      <c r="V1027">
        <f>HYPERLINK("https://klasma.github.io/Logging_2421/klagomål/A 59058-2023 FSC-klagomål.docx", "A 59058-2023")</f>
        <v/>
      </c>
      <c r="W1027">
        <f>HYPERLINK("https://klasma.github.io/Logging_2421/klagomålsmail/A 59058-2023 FSC-klagomål mail.docx", "A 59058-2023")</f>
        <v/>
      </c>
      <c r="X1027">
        <f>HYPERLINK("https://klasma.github.io/Logging_2421/tillsyn/A 59058-2023 tillsynsbegäran.docx", "A 59058-2023")</f>
        <v/>
      </c>
      <c r="Y1027">
        <f>HYPERLINK("https://klasma.github.io/Logging_2421/tillsynsmail/A 59058-2023 tillsynsbegäran mail.docx", "A 59058-2023")</f>
        <v/>
      </c>
    </row>
    <row r="1028" ht="15" customHeight="1">
      <c r="A1028" t="inlineStr">
        <is>
          <t>A 29434-2025</t>
        </is>
      </c>
      <c r="B1028" s="1" t="n">
        <v>45824</v>
      </c>
      <c r="C1028" s="1" t="n">
        <v>46075</v>
      </c>
      <c r="D1028" t="inlineStr">
        <is>
          <t>VÄSTERBOTTENS LÄN</t>
        </is>
      </c>
      <c r="E1028" t="inlineStr">
        <is>
          <t>VILHELMINA</t>
        </is>
      </c>
      <c r="F1028" t="inlineStr">
        <is>
          <t>SCA</t>
        </is>
      </c>
      <c r="G1028" t="n">
        <v>5.9</v>
      </c>
      <c r="H1028" t="n">
        <v>0</v>
      </c>
      <c r="I1028" t="n">
        <v>1</v>
      </c>
      <c r="J1028" t="n">
        <v>0</v>
      </c>
      <c r="K1028" t="n">
        <v>0</v>
      </c>
      <c r="L1028" t="n">
        <v>0</v>
      </c>
      <c r="M1028" t="n">
        <v>0</v>
      </c>
      <c r="N1028" t="n">
        <v>0</v>
      </c>
      <c r="O1028" t="n">
        <v>0</v>
      </c>
      <c r="P1028" t="n">
        <v>0</v>
      </c>
      <c r="Q1028" t="n">
        <v>1</v>
      </c>
      <c r="R1028" s="2" t="inlineStr">
        <is>
          <t>Tibast</t>
        </is>
      </c>
      <c r="S1028">
        <f>HYPERLINK("https://klasma.github.io/Logging_2462/artfynd/A 29434-2025 artfynd.xlsx", "A 29434-2025")</f>
        <v/>
      </c>
      <c r="T1028">
        <f>HYPERLINK("https://klasma.github.io/Logging_2462/kartor/A 29434-2025 karta.png", "A 29434-2025")</f>
        <v/>
      </c>
      <c r="V1028">
        <f>HYPERLINK("https://klasma.github.io/Logging_2462/klagomål/A 29434-2025 FSC-klagomål.docx", "A 29434-2025")</f>
        <v/>
      </c>
      <c r="W1028">
        <f>HYPERLINK("https://klasma.github.io/Logging_2462/klagomålsmail/A 29434-2025 FSC-klagomål mail.docx", "A 29434-2025")</f>
        <v/>
      </c>
      <c r="X1028">
        <f>HYPERLINK("https://klasma.github.io/Logging_2462/tillsyn/A 29434-2025 tillsynsbegäran.docx", "A 29434-2025")</f>
        <v/>
      </c>
      <c r="Y1028">
        <f>HYPERLINK("https://klasma.github.io/Logging_2462/tillsynsmail/A 29434-2025 tillsynsbegäran mail.docx", "A 29434-2025")</f>
        <v/>
      </c>
    </row>
    <row r="1029" ht="15" customHeight="1">
      <c r="A1029" t="inlineStr">
        <is>
          <t>A 56072-2025</t>
        </is>
      </c>
      <c r="B1029" s="1" t="n">
        <v>45973.6524074074</v>
      </c>
      <c r="C1029" s="1" t="n">
        <v>46075</v>
      </c>
      <c r="D1029" t="inlineStr">
        <is>
          <t>VÄSTERBOTTENS LÄN</t>
        </is>
      </c>
      <c r="E1029" t="inlineStr">
        <is>
          <t>SKELLEFTEÅ</t>
        </is>
      </c>
      <c r="G1029" t="n">
        <v>4</v>
      </c>
      <c r="H1029" t="n">
        <v>0</v>
      </c>
      <c r="I1029" t="n">
        <v>0</v>
      </c>
      <c r="J1029" t="n">
        <v>1</v>
      </c>
      <c r="K1029" t="n">
        <v>0</v>
      </c>
      <c r="L1029" t="n">
        <v>0</v>
      </c>
      <c r="M1029" t="n">
        <v>0</v>
      </c>
      <c r="N1029" t="n">
        <v>0</v>
      </c>
      <c r="O1029" t="n">
        <v>1</v>
      </c>
      <c r="P1029" t="n">
        <v>0</v>
      </c>
      <c r="Q1029" t="n">
        <v>1</v>
      </c>
      <c r="R1029" s="2" t="inlineStr">
        <is>
          <t>Ullticka</t>
        </is>
      </c>
      <c r="S1029">
        <f>HYPERLINK("https://klasma.github.io/Logging_2482/artfynd/A 56072-2025 artfynd.xlsx", "A 56072-2025")</f>
        <v/>
      </c>
      <c r="T1029">
        <f>HYPERLINK("https://klasma.github.io/Logging_2482/kartor/A 56072-2025 karta.png", "A 56072-2025")</f>
        <v/>
      </c>
      <c r="V1029">
        <f>HYPERLINK("https://klasma.github.io/Logging_2482/klagomål/A 56072-2025 FSC-klagomål.docx", "A 56072-2025")</f>
        <v/>
      </c>
      <c r="W1029">
        <f>HYPERLINK("https://klasma.github.io/Logging_2482/klagomålsmail/A 56072-2025 FSC-klagomål mail.docx", "A 56072-2025")</f>
        <v/>
      </c>
      <c r="X1029">
        <f>HYPERLINK("https://klasma.github.io/Logging_2482/tillsyn/A 56072-2025 tillsynsbegäran.docx", "A 56072-2025")</f>
        <v/>
      </c>
      <c r="Y1029">
        <f>HYPERLINK("https://klasma.github.io/Logging_2482/tillsynsmail/A 56072-2025 tillsynsbegäran mail.docx", "A 56072-2025")</f>
        <v/>
      </c>
    </row>
    <row r="1030" ht="15" customHeight="1">
      <c r="A1030" t="inlineStr">
        <is>
          <t>A 46836-2024</t>
        </is>
      </c>
      <c r="B1030" s="1" t="n">
        <v>45583</v>
      </c>
      <c r="C1030" s="1" t="n">
        <v>46075</v>
      </c>
      <c r="D1030" t="inlineStr">
        <is>
          <t>VÄSTERBOTTENS LÄN</t>
        </is>
      </c>
      <c r="E1030" t="inlineStr">
        <is>
          <t>DOROTEA</t>
        </is>
      </c>
      <c r="F1030" t="inlineStr">
        <is>
          <t>SCA</t>
        </is>
      </c>
      <c r="G1030" t="n">
        <v>3.1</v>
      </c>
      <c r="H1030" t="n">
        <v>0</v>
      </c>
      <c r="I1030" t="n">
        <v>0</v>
      </c>
      <c r="J1030" t="n">
        <v>1</v>
      </c>
      <c r="K1030" t="n">
        <v>0</v>
      </c>
      <c r="L1030" t="n">
        <v>0</v>
      </c>
      <c r="M1030" t="n">
        <v>0</v>
      </c>
      <c r="N1030" t="n">
        <v>0</v>
      </c>
      <c r="O1030" t="n">
        <v>1</v>
      </c>
      <c r="P1030" t="n">
        <v>0</v>
      </c>
      <c r="Q1030" t="n">
        <v>1</v>
      </c>
      <c r="R1030" s="2" t="inlineStr">
        <is>
          <t>Lunglav</t>
        </is>
      </c>
      <c r="S1030">
        <f>HYPERLINK("https://klasma.github.io/Logging_2425/artfynd/A 46836-2024 artfynd.xlsx", "A 46836-2024")</f>
        <v/>
      </c>
      <c r="T1030">
        <f>HYPERLINK("https://klasma.github.io/Logging_2425/kartor/A 46836-2024 karta.png", "A 46836-2024")</f>
        <v/>
      </c>
      <c r="V1030">
        <f>HYPERLINK("https://klasma.github.io/Logging_2425/klagomål/A 46836-2024 FSC-klagomål.docx", "A 46836-2024")</f>
        <v/>
      </c>
      <c r="W1030">
        <f>HYPERLINK("https://klasma.github.io/Logging_2425/klagomålsmail/A 46836-2024 FSC-klagomål mail.docx", "A 46836-2024")</f>
        <v/>
      </c>
      <c r="X1030">
        <f>HYPERLINK("https://klasma.github.io/Logging_2425/tillsyn/A 46836-2024 tillsynsbegäran.docx", "A 46836-2024")</f>
        <v/>
      </c>
      <c r="Y1030">
        <f>HYPERLINK("https://klasma.github.io/Logging_2425/tillsynsmail/A 46836-2024 tillsynsbegäran mail.docx", "A 46836-2024")</f>
        <v/>
      </c>
    </row>
    <row r="1031" ht="15" customHeight="1">
      <c r="A1031" t="inlineStr">
        <is>
          <t>A 56064-2025</t>
        </is>
      </c>
      <c r="B1031" s="1" t="n">
        <v>45973.64320601852</v>
      </c>
      <c r="C1031" s="1" t="n">
        <v>46075</v>
      </c>
      <c r="D1031" t="inlineStr">
        <is>
          <t>VÄSTERBOTTENS LÄN</t>
        </is>
      </c>
      <c r="E1031" t="inlineStr">
        <is>
          <t>VINDELN</t>
        </is>
      </c>
      <c r="G1031" t="n">
        <v>7.9</v>
      </c>
      <c r="H1031" t="n">
        <v>0</v>
      </c>
      <c r="I1031" t="n">
        <v>0</v>
      </c>
      <c r="J1031" t="n">
        <v>1</v>
      </c>
      <c r="K1031" t="n">
        <v>0</v>
      </c>
      <c r="L1031" t="n">
        <v>0</v>
      </c>
      <c r="M1031" t="n">
        <v>0</v>
      </c>
      <c r="N1031" t="n">
        <v>0</v>
      </c>
      <c r="O1031" t="n">
        <v>1</v>
      </c>
      <c r="P1031" t="n">
        <v>0</v>
      </c>
      <c r="Q1031" t="n">
        <v>1</v>
      </c>
      <c r="R1031" s="2" t="inlineStr">
        <is>
          <t>Barrpraktbagge</t>
        </is>
      </c>
      <c r="S1031">
        <f>HYPERLINK("https://klasma.github.io/Logging_2404/artfynd/A 56064-2025 artfynd.xlsx", "A 56064-2025")</f>
        <v/>
      </c>
      <c r="T1031">
        <f>HYPERLINK("https://klasma.github.io/Logging_2404/kartor/A 56064-2025 karta.png", "A 56064-2025")</f>
        <v/>
      </c>
      <c r="V1031">
        <f>HYPERLINK("https://klasma.github.io/Logging_2404/klagomål/A 56064-2025 FSC-klagomål.docx", "A 56064-2025")</f>
        <v/>
      </c>
      <c r="W1031">
        <f>HYPERLINK("https://klasma.github.io/Logging_2404/klagomålsmail/A 56064-2025 FSC-klagomål mail.docx", "A 56064-2025")</f>
        <v/>
      </c>
      <c r="X1031">
        <f>HYPERLINK("https://klasma.github.io/Logging_2404/tillsyn/A 56064-2025 tillsynsbegäran.docx", "A 56064-2025")</f>
        <v/>
      </c>
      <c r="Y1031">
        <f>HYPERLINK("https://klasma.github.io/Logging_2404/tillsynsmail/A 56064-2025 tillsynsbegäran mail.docx", "A 56064-2025")</f>
        <v/>
      </c>
    </row>
    <row r="1032" ht="15" customHeight="1">
      <c r="A1032" t="inlineStr">
        <is>
          <t>A 56442-2025</t>
        </is>
      </c>
      <c r="B1032" s="1" t="n">
        <v>45975.34778935185</v>
      </c>
      <c r="C1032" s="1" t="n">
        <v>46075</v>
      </c>
      <c r="D1032" t="inlineStr">
        <is>
          <t>VÄSTERBOTTENS LÄN</t>
        </is>
      </c>
      <c r="E1032" t="inlineStr">
        <is>
          <t>BJURHOLM</t>
        </is>
      </c>
      <c r="F1032" t="inlineStr">
        <is>
          <t>SCA</t>
        </is>
      </c>
      <c r="G1032" t="n">
        <v>6.5</v>
      </c>
      <c r="H1032" t="n">
        <v>0</v>
      </c>
      <c r="I1032" t="n">
        <v>0</v>
      </c>
      <c r="J1032" t="n">
        <v>1</v>
      </c>
      <c r="K1032" t="n">
        <v>0</v>
      </c>
      <c r="L1032" t="n">
        <v>0</v>
      </c>
      <c r="M1032" t="n">
        <v>0</v>
      </c>
      <c r="N1032" t="n">
        <v>0</v>
      </c>
      <c r="O1032" t="n">
        <v>1</v>
      </c>
      <c r="P1032" t="n">
        <v>0</v>
      </c>
      <c r="Q1032" t="n">
        <v>1</v>
      </c>
      <c r="R1032" s="2" t="inlineStr">
        <is>
          <t>Lunglav</t>
        </is>
      </c>
      <c r="S1032">
        <f>HYPERLINK("https://klasma.github.io/Logging_2403/artfynd/A 56442-2025 artfynd.xlsx", "A 56442-2025")</f>
        <v/>
      </c>
      <c r="T1032">
        <f>HYPERLINK("https://klasma.github.io/Logging_2403/kartor/A 56442-2025 karta.png", "A 56442-2025")</f>
        <v/>
      </c>
      <c r="V1032">
        <f>HYPERLINK("https://klasma.github.io/Logging_2403/klagomål/A 56442-2025 FSC-klagomål.docx", "A 56442-2025")</f>
        <v/>
      </c>
      <c r="W1032">
        <f>HYPERLINK("https://klasma.github.io/Logging_2403/klagomålsmail/A 56442-2025 FSC-klagomål mail.docx", "A 56442-2025")</f>
        <v/>
      </c>
      <c r="X1032">
        <f>HYPERLINK("https://klasma.github.io/Logging_2403/tillsyn/A 56442-2025 tillsynsbegäran.docx", "A 56442-2025")</f>
        <v/>
      </c>
      <c r="Y1032">
        <f>HYPERLINK("https://klasma.github.io/Logging_2403/tillsynsmail/A 56442-2025 tillsynsbegäran mail.docx", "A 56442-2025")</f>
        <v/>
      </c>
    </row>
    <row r="1033" ht="15" customHeight="1">
      <c r="A1033" t="inlineStr">
        <is>
          <t>A 57206-2025</t>
        </is>
      </c>
      <c r="B1033" s="1" t="n">
        <v>45979.59435185185</v>
      </c>
      <c r="C1033" s="1" t="n">
        <v>46075</v>
      </c>
      <c r="D1033" t="inlineStr">
        <is>
          <t>VÄSTERBOTTENS LÄN</t>
        </is>
      </c>
      <c r="E1033" t="inlineStr">
        <is>
          <t>VÄNNÄS</t>
        </is>
      </c>
      <c r="F1033" t="inlineStr">
        <is>
          <t>Sveaskog</t>
        </is>
      </c>
      <c r="G1033" t="n">
        <v>12.2</v>
      </c>
      <c r="H1033" t="n">
        <v>1</v>
      </c>
      <c r="I1033" t="n">
        <v>0</v>
      </c>
      <c r="J1033" t="n">
        <v>0</v>
      </c>
      <c r="K1033" t="n">
        <v>0</v>
      </c>
      <c r="L1033" t="n">
        <v>0</v>
      </c>
      <c r="M1033" t="n">
        <v>0</v>
      </c>
      <c r="N1033" t="n">
        <v>0</v>
      </c>
      <c r="O1033" t="n">
        <v>0</v>
      </c>
      <c r="P1033" t="n">
        <v>0</v>
      </c>
      <c r="Q1033" t="n">
        <v>1</v>
      </c>
      <c r="R1033" s="2" t="inlineStr">
        <is>
          <t>Huggorm</t>
        </is>
      </c>
      <c r="S1033">
        <f>HYPERLINK("https://klasma.github.io/Logging_2460/artfynd/A 57206-2025 artfynd.xlsx", "A 57206-2025")</f>
        <v/>
      </c>
      <c r="T1033">
        <f>HYPERLINK("https://klasma.github.io/Logging_2460/kartor/A 57206-2025 karta.png", "A 57206-2025")</f>
        <v/>
      </c>
      <c r="V1033">
        <f>HYPERLINK("https://klasma.github.io/Logging_2460/klagomål/A 57206-2025 FSC-klagomål.docx", "A 57206-2025")</f>
        <v/>
      </c>
      <c r="W1033">
        <f>HYPERLINK("https://klasma.github.io/Logging_2460/klagomålsmail/A 57206-2025 FSC-klagomål mail.docx", "A 57206-2025")</f>
        <v/>
      </c>
      <c r="X1033">
        <f>HYPERLINK("https://klasma.github.io/Logging_2460/tillsyn/A 57206-2025 tillsynsbegäran.docx", "A 57206-2025")</f>
        <v/>
      </c>
      <c r="Y1033">
        <f>HYPERLINK("https://klasma.github.io/Logging_2460/tillsynsmail/A 57206-2025 tillsynsbegäran mail.docx", "A 57206-2025")</f>
        <v/>
      </c>
    </row>
    <row r="1034" ht="15" customHeight="1">
      <c r="A1034" t="inlineStr">
        <is>
          <t>A 41776-2024</t>
        </is>
      </c>
      <c r="B1034" s="1" t="n">
        <v>45561.34743055556</v>
      </c>
      <c r="C1034" s="1" t="n">
        <v>46075</v>
      </c>
      <c r="D1034" t="inlineStr">
        <is>
          <t>VÄSTERBOTTENS LÄN</t>
        </is>
      </c>
      <c r="E1034" t="inlineStr">
        <is>
          <t>LYCKSELE</t>
        </is>
      </c>
      <c r="F1034" t="inlineStr">
        <is>
          <t>Sveaskog</t>
        </is>
      </c>
      <c r="G1034" t="n">
        <v>1.1</v>
      </c>
      <c r="H1034" t="n">
        <v>0</v>
      </c>
      <c r="I1034" t="n">
        <v>0</v>
      </c>
      <c r="J1034" t="n">
        <v>1</v>
      </c>
      <c r="K1034" t="n">
        <v>0</v>
      </c>
      <c r="L1034" t="n">
        <v>0</v>
      </c>
      <c r="M1034" t="n">
        <v>0</v>
      </c>
      <c r="N1034" t="n">
        <v>0</v>
      </c>
      <c r="O1034" t="n">
        <v>1</v>
      </c>
      <c r="P1034" t="n">
        <v>0</v>
      </c>
      <c r="Q1034" t="n">
        <v>1</v>
      </c>
      <c r="R1034" s="2" t="inlineStr">
        <is>
          <t>Kolflarnlav</t>
        </is>
      </c>
      <c r="S1034">
        <f>HYPERLINK("https://klasma.github.io/Logging_2481/artfynd/A 41776-2024 artfynd.xlsx", "A 41776-2024")</f>
        <v/>
      </c>
      <c r="T1034">
        <f>HYPERLINK("https://klasma.github.io/Logging_2481/kartor/A 41776-2024 karta.png", "A 41776-2024")</f>
        <v/>
      </c>
      <c r="V1034">
        <f>HYPERLINK("https://klasma.github.io/Logging_2481/klagomål/A 41776-2024 FSC-klagomål.docx", "A 41776-2024")</f>
        <v/>
      </c>
      <c r="W1034">
        <f>HYPERLINK("https://klasma.github.io/Logging_2481/klagomålsmail/A 41776-2024 FSC-klagomål mail.docx", "A 41776-2024")</f>
        <v/>
      </c>
      <c r="X1034">
        <f>HYPERLINK("https://klasma.github.io/Logging_2481/tillsyn/A 41776-2024 tillsynsbegäran.docx", "A 41776-2024")</f>
        <v/>
      </c>
      <c r="Y1034">
        <f>HYPERLINK("https://klasma.github.io/Logging_2481/tillsynsmail/A 41776-2024 tillsynsbegäran mail.docx", "A 41776-2024")</f>
        <v/>
      </c>
    </row>
    <row r="1035" ht="15" customHeight="1">
      <c r="A1035" t="inlineStr">
        <is>
          <t>A 57601-2025</t>
        </is>
      </c>
      <c r="B1035" s="1" t="n">
        <v>45981.30391203704</v>
      </c>
      <c r="C1035" s="1" t="n">
        <v>46075</v>
      </c>
      <c r="D1035" t="inlineStr">
        <is>
          <t>VÄSTERBOTTENS LÄN</t>
        </is>
      </c>
      <c r="E1035" t="inlineStr">
        <is>
          <t>BJURHOLM</t>
        </is>
      </c>
      <c r="F1035" t="inlineStr">
        <is>
          <t>Holmen skog AB</t>
        </is>
      </c>
      <c r="G1035" t="n">
        <v>6.3</v>
      </c>
      <c r="H1035" t="n">
        <v>1</v>
      </c>
      <c r="I1035" t="n">
        <v>0</v>
      </c>
      <c r="J1035" t="n">
        <v>0</v>
      </c>
      <c r="K1035" t="n">
        <v>0</v>
      </c>
      <c r="L1035" t="n">
        <v>0</v>
      </c>
      <c r="M1035" t="n">
        <v>0</v>
      </c>
      <c r="N1035" t="n">
        <v>0</v>
      </c>
      <c r="O1035" t="n">
        <v>0</v>
      </c>
      <c r="P1035" t="n">
        <v>0</v>
      </c>
      <c r="Q1035" t="n">
        <v>1</v>
      </c>
      <c r="R1035" s="2" t="inlineStr">
        <is>
          <t>Fläcknycklar</t>
        </is>
      </c>
      <c r="S1035">
        <f>HYPERLINK("https://klasma.github.io/Logging_2403/artfynd/A 57601-2025 artfynd.xlsx", "A 57601-2025")</f>
        <v/>
      </c>
      <c r="T1035">
        <f>HYPERLINK("https://klasma.github.io/Logging_2403/kartor/A 57601-2025 karta.png", "A 57601-2025")</f>
        <v/>
      </c>
      <c r="V1035">
        <f>HYPERLINK("https://klasma.github.io/Logging_2403/klagomål/A 57601-2025 FSC-klagomål.docx", "A 57601-2025")</f>
        <v/>
      </c>
      <c r="W1035">
        <f>HYPERLINK("https://klasma.github.io/Logging_2403/klagomålsmail/A 57601-2025 FSC-klagomål mail.docx", "A 57601-2025")</f>
        <v/>
      </c>
      <c r="X1035">
        <f>HYPERLINK("https://klasma.github.io/Logging_2403/tillsyn/A 57601-2025 tillsynsbegäran.docx", "A 57601-2025")</f>
        <v/>
      </c>
      <c r="Y1035">
        <f>HYPERLINK("https://klasma.github.io/Logging_2403/tillsynsmail/A 57601-2025 tillsynsbegäran mail.docx", "A 57601-2025")</f>
        <v/>
      </c>
    </row>
    <row r="1036" ht="15" customHeight="1">
      <c r="A1036" t="inlineStr">
        <is>
          <t>A 38282-2024</t>
        </is>
      </c>
      <c r="B1036" s="1" t="n">
        <v>45545</v>
      </c>
      <c r="C1036" s="1" t="n">
        <v>46075</v>
      </c>
      <c r="D1036" t="inlineStr">
        <is>
          <t>VÄSTERBOTTENS LÄN</t>
        </is>
      </c>
      <c r="E1036" t="inlineStr">
        <is>
          <t>VILHELMINA</t>
        </is>
      </c>
      <c r="F1036" t="inlineStr">
        <is>
          <t>SCA</t>
        </is>
      </c>
      <c r="G1036" t="n">
        <v>3.4</v>
      </c>
      <c r="H1036" t="n">
        <v>0</v>
      </c>
      <c r="I1036" t="n">
        <v>0</v>
      </c>
      <c r="J1036" t="n">
        <v>1</v>
      </c>
      <c r="K1036" t="n">
        <v>0</v>
      </c>
      <c r="L1036" t="n">
        <v>0</v>
      </c>
      <c r="M1036" t="n">
        <v>0</v>
      </c>
      <c r="N1036" t="n">
        <v>0</v>
      </c>
      <c r="O1036" t="n">
        <v>1</v>
      </c>
      <c r="P1036" t="n">
        <v>0</v>
      </c>
      <c r="Q1036" t="n">
        <v>1</v>
      </c>
      <c r="R1036" s="2" t="inlineStr">
        <is>
          <t>Gränsticka</t>
        </is>
      </c>
      <c r="S1036">
        <f>HYPERLINK("https://klasma.github.io/Logging_2462/artfynd/A 38282-2024 artfynd.xlsx", "A 38282-2024")</f>
        <v/>
      </c>
      <c r="T1036">
        <f>HYPERLINK("https://klasma.github.io/Logging_2462/kartor/A 38282-2024 karta.png", "A 38282-2024")</f>
        <v/>
      </c>
      <c r="V1036">
        <f>HYPERLINK("https://klasma.github.io/Logging_2462/klagomål/A 38282-2024 FSC-klagomål.docx", "A 38282-2024")</f>
        <v/>
      </c>
      <c r="W1036">
        <f>HYPERLINK("https://klasma.github.io/Logging_2462/klagomålsmail/A 38282-2024 FSC-klagomål mail.docx", "A 38282-2024")</f>
        <v/>
      </c>
      <c r="X1036">
        <f>HYPERLINK("https://klasma.github.io/Logging_2462/tillsyn/A 38282-2024 tillsynsbegäran.docx", "A 38282-2024")</f>
        <v/>
      </c>
      <c r="Y1036">
        <f>HYPERLINK("https://klasma.github.io/Logging_2462/tillsynsmail/A 38282-2024 tillsynsbegäran mail.docx", "A 38282-2024")</f>
        <v/>
      </c>
    </row>
    <row r="1037" ht="15" customHeight="1">
      <c r="A1037" t="inlineStr">
        <is>
          <t>A 15557-2025</t>
        </is>
      </c>
      <c r="B1037" s="1" t="n">
        <v>45747.68127314815</v>
      </c>
      <c r="C1037" s="1" t="n">
        <v>46075</v>
      </c>
      <c r="D1037" t="inlineStr">
        <is>
          <t>VÄSTERBOTTENS LÄN</t>
        </is>
      </c>
      <c r="E1037" t="inlineStr">
        <is>
          <t>BJURHOLM</t>
        </is>
      </c>
      <c r="G1037" t="n">
        <v>11.3</v>
      </c>
      <c r="H1037" t="n">
        <v>1</v>
      </c>
      <c r="I1037" t="n">
        <v>0</v>
      </c>
      <c r="J1037" t="n">
        <v>1</v>
      </c>
      <c r="K1037" t="n">
        <v>0</v>
      </c>
      <c r="L1037" t="n">
        <v>0</v>
      </c>
      <c r="M1037" t="n">
        <v>0</v>
      </c>
      <c r="N1037" t="n">
        <v>0</v>
      </c>
      <c r="O1037" t="n">
        <v>1</v>
      </c>
      <c r="P1037" t="n">
        <v>0</v>
      </c>
      <c r="Q1037" t="n">
        <v>1</v>
      </c>
      <c r="R1037" s="2" t="inlineStr">
        <is>
          <t>Talltita</t>
        </is>
      </c>
      <c r="S1037">
        <f>HYPERLINK("https://klasma.github.io/Logging_2403/artfynd/A 15557-2025 artfynd.xlsx", "A 15557-2025")</f>
        <v/>
      </c>
      <c r="T1037">
        <f>HYPERLINK("https://klasma.github.io/Logging_2403/kartor/A 15557-2025 karta.png", "A 15557-2025")</f>
        <v/>
      </c>
      <c r="V1037">
        <f>HYPERLINK("https://klasma.github.io/Logging_2403/klagomål/A 15557-2025 FSC-klagomål.docx", "A 15557-2025")</f>
        <v/>
      </c>
      <c r="W1037">
        <f>HYPERLINK("https://klasma.github.io/Logging_2403/klagomålsmail/A 15557-2025 FSC-klagomål mail.docx", "A 15557-2025")</f>
        <v/>
      </c>
      <c r="X1037">
        <f>HYPERLINK("https://klasma.github.io/Logging_2403/tillsyn/A 15557-2025 tillsynsbegäran.docx", "A 15557-2025")</f>
        <v/>
      </c>
      <c r="Y1037">
        <f>HYPERLINK("https://klasma.github.io/Logging_2403/tillsynsmail/A 15557-2025 tillsynsbegäran mail.docx", "A 15557-2025")</f>
        <v/>
      </c>
      <c r="Z1037">
        <f>HYPERLINK("https://klasma.github.io/Logging_2403/fåglar/A 15557-2025 prioriterade fågelarter.docx", "A 15557-2025")</f>
        <v/>
      </c>
    </row>
    <row r="1038" ht="15" customHeight="1">
      <c r="A1038" t="inlineStr">
        <is>
          <t>A 57992-2025</t>
        </is>
      </c>
      <c r="B1038" s="1" t="n">
        <v>45982.42826388889</v>
      </c>
      <c r="C1038" s="1" t="n">
        <v>46075</v>
      </c>
      <c r="D1038" t="inlineStr">
        <is>
          <t>VÄSTERBOTTENS LÄN</t>
        </is>
      </c>
      <c r="E1038" t="inlineStr">
        <is>
          <t>SKELLEFTEÅ</t>
        </is>
      </c>
      <c r="F1038" t="inlineStr">
        <is>
          <t>Sveaskog</t>
        </is>
      </c>
      <c r="G1038" t="n">
        <v>13.6</v>
      </c>
      <c r="H1038" t="n">
        <v>1</v>
      </c>
      <c r="I1038" t="n">
        <v>0</v>
      </c>
      <c r="J1038" t="n">
        <v>0</v>
      </c>
      <c r="K1038" t="n">
        <v>0</v>
      </c>
      <c r="L1038" t="n">
        <v>0</v>
      </c>
      <c r="M1038" t="n">
        <v>0</v>
      </c>
      <c r="N1038" t="n">
        <v>0</v>
      </c>
      <c r="O1038" t="n">
        <v>0</v>
      </c>
      <c r="P1038" t="n">
        <v>0</v>
      </c>
      <c r="Q1038" t="n">
        <v>1</v>
      </c>
      <c r="R1038" s="2" t="inlineStr">
        <is>
          <t>Tjäder</t>
        </is>
      </c>
      <c r="S1038">
        <f>HYPERLINK("https://klasma.github.io/Logging_2482/artfynd/A 57992-2025 artfynd.xlsx", "A 57992-2025")</f>
        <v/>
      </c>
      <c r="T1038">
        <f>HYPERLINK("https://klasma.github.io/Logging_2482/kartor/A 57992-2025 karta.png", "A 57992-2025")</f>
        <v/>
      </c>
      <c r="V1038">
        <f>HYPERLINK("https://klasma.github.io/Logging_2482/klagomål/A 57992-2025 FSC-klagomål.docx", "A 57992-2025")</f>
        <v/>
      </c>
      <c r="W1038">
        <f>HYPERLINK("https://klasma.github.io/Logging_2482/klagomålsmail/A 57992-2025 FSC-klagomål mail.docx", "A 57992-2025")</f>
        <v/>
      </c>
      <c r="X1038">
        <f>HYPERLINK("https://klasma.github.io/Logging_2482/tillsyn/A 57992-2025 tillsynsbegäran.docx", "A 57992-2025")</f>
        <v/>
      </c>
      <c r="Y1038">
        <f>HYPERLINK("https://klasma.github.io/Logging_2482/tillsynsmail/A 57992-2025 tillsynsbegäran mail.docx", "A 57992-2025")</f>
        <v/>
      </c>
      <c r="Z1038">
        <f>HYPERLINK("https://klasma.github.io/Logging_2482/fåglar/A 57992-2025 prioriterade fågelarter.docx", "A 57992-2025")</f>
        <v/>
      </c>
    </row>
    <row r="1039" ht="15" customHeight="1">
      <c r="A1039" t="inlineStr">
        <is>
          <t>A 55598-2025</t>
        </is>
      </c>
      <c r="B1039" s="1" t="n">
        <v>45971.73069444444</v>
      </c>
      <c r="C1039" s="1" t="n">
        <v>46075</v>
      </c>
      <c r="D1039" t="inlineStr">
        <is>
          <t>VÄSTERBOTTENS LÄN</t>
        </is>
      </c>
      <c r="E1039" t="inlineStr">
        <is>
          <t>VINDELN</t>
        </is>
      </c>
      <c r="G1039" t="n">
        <v>8</v>
      </c>
      <c r="H1039" t="n">
        <v>0</v>
      </c>
      <c r="I1039" t="n">
        <v>0</v>
      </c>
      <c r="J1039" t="n">
        <v>1</v>
      </c>
      <c r="K1039" t="n">
        <v>0</v>
      </c>
      <c r="L1039" t="n">
        <v>0</v>
      </c>
      <c r="M1039" t="n">
        <v>0</v>
      </c>
      <c r="N1039" t="n">
        <v>0</v>
      </c>
      <c r="O1039" t="n">
        <v>1</v>
      </c>
      <c r="P1039" t="n">
        <v>0</v>
      </c>
      <c r="Q1039" t="n">
        <v>1</v>
      </c>
      <c r="R1039" s="2" t="inlineStr">
        <is>
          <t>Harticka</t>
        </is>
      </c>
      <c r="S1039">
        <f>HYPERLINK("https://klasma.github.io/Logging_2404/artfynd/A 55598-2025 artfynd.xlsx", "A 55598-2025")</f>
        <v/>
      </c>
      <c r="T1039">
        <f>HYPERLINK("https://klasma.github.io/Logging_2404/kartor/A 55598-2025 karta.png", "A 55598-2025")</f>
        <v/>
      </c>
      <c r="V1039">
        <f>HYPERLINK("https://klasma.github.io/Logging_2404/klagomål/A 55598-2025 FSC-klagomål.docx", "A 55598-2025")</f>
        <v/>
      </c>
      <c r="W1039">
        <f>HYPERLINK("https://klasma.github.io/Logging_2404/klagomålsmail/A 55598-2025 FSC-klagomål mail.docx", "A 55598-2025")</f>
        <v/>
      </c>
      <c r="X1039">
        <f>HYPERLINK("https://klasma.github.io/Logging_2404/tillsyn/A 55598-2025 tillsynsbegäran.docx", "A 55598-2025")</f>
        <v/>
      </c>
      <c r="Y1039">
        <f>HYPERLINK("https://klasma.github.io/Logging_2404/tillsynsmail/A 55598-2025 tillsynsbegäran mail.docx", "A 55598-2025")</f>
        <v/>
      </c>
    </row>
    <row r="1040" ht="15" customHeight="1">
      <c r="A1040" t="inlineStr">
        <is>
          <t>A 58390-2025</t>
        </is>
      </c>
      <c r="B1040" s="1" t="n">
        <v>45985.54884259259</v>
      </c>
      <c r="C1040" s="1" t="n">
        <v>46075</v>
      </c>
      <c r="D1040" t="inlineStr">
        <is>
          <t>VÄSTERBOTTENS LÄN</t>
        </is>
      </c>
      <c r="E1040" t="inlineStr">
        <is>
          <t>LYCKSELE</t>
        </is>
      </c>
      <c r="F1040" t="inlineStr">
        <is>
          <t>Sveaskog</t>
        </is>
      </c>
      <c r="G1040" t="n">
        <v>9.1</v>
      </c>
      <c r="H1040" t="n">
        <v>0</v>
      </c>
      <c r="I1040" t="n">
        <v>0</v>
      </c>
      <c r="J1040" t="n">
        <v>1</v>
      </c>
      <c r="K1040" t="n">
        <v>0</v>
      </c>
      <c r="L1040" t="n">
        <v>0</v>
      </c>
      <c r="M1040" t="n">
        <v>0</v>
      </c>
      <c r="N1040" t="n">
        <v>0</v>
      </c>
      <c r="O1040" t="n">
        <v>1</v>
      </c>
      <c r="P1040" t="n">
        <v>0</v>
      </c>
      <c r="Q1040" t="n">
        <v>1</v>
      </c>
      <c r="R1040" s="2" t="inlineStr">
        <is>
          <t>Lunglav</t>
        </is>
      </c>
      <c r="S1040">
        <f>HYPERLINK("https://klasma.github.io/Logging_2481/artfynd/A 58390-2025 artfynd.xlsx", "A 58390-2025")</f>
        <v/>
      </c>
      <c r="T1040">
        <f>HYPERLINK("https://klasma.github.io/Logging_2481/kartor/A 58390-2025 karta.png", "A 58390-2025")</f>
        <v/>
      </c>
      <c r="V1040">
        <f>HYPERLINK("https://klasma.github.io/Logging_2481/klagomål/A 58390-2025 FSC-klagomål.docx", "A 58390-2025")</f>
        <v/>
      </c>
      <c r="W1040">
        <f>HYPERLINK("https://klasma.github.io/Logging_2481/klagomålsmail/A 58390-2025 FSC-klagomål mail.docx", "A 58390-2025")</f>
        <v/>
      </c>
      <c r="X1040">
        <f>HYPERLINK("https://klasma.github.io/Logging_2481/tillsyn/A 58390-2025 tillsynsbegäran.docx", "A 58390-2025")</f>
        <v/>
      </c>
      <c r="Y1040">
        <f>HYPERLINK("https://klasma.github.io/Logging_2481/tillsynsmail/A 58390-2025 tillsynsbegäran mail.docx", "A 58390-2025")</f>
        <v/>
      </c>
    </row>
    <row r="1041" ht="15" customHeight="1">
      <c r="A1041" t="inlineStr">
        <is>
          <t>A 58071-2025</t>
        </is>
      </c>
      <c r="B1041" s="1" t="n">
        <v>45982.5507175926</v>
      </c>
      <c r="C1041" s="1" t="n">
        <v>46075</v>
      </c>
      <c r="D1041" t="inlineStr">
        <is>
          <t>VÄSTERBOTTENS LÄN</t>
        </is>
      </c>
      <c r="E1041" t="inlineStr">
        <is>
          <t>LYCKSELE</t>
        </is>
      </c>
      <c r="F1041" t="inlineStr">
        <is>
          <t>Sveaskog</t>
        </is>
      </c>
      <c r="G1041" t="n">
        <v>3.1</v>
      </c>
      <c r="H1041" t="n">
        <v>0</v>
      </c>
      <c r="I1041" t="n">
        <v>1</v>
      </c>
      <c r="J1041" t="n">
        <v>0</v>
      </c>
      <c r="K1041" t="n">
        <v>0</v>
      </c>
      <c r="L1041" t="n">
        <v>0</v>
      </c>
      <c r="M1041" t="n">
        <v>0</v>
      </c>
      <c r="N1041" t="n">
        <v>0</v>
      </c>
      <c r="O1041" t="n">
        <v>0</v>
      </c>
      <c r="P1041" t="n">
        <v>0</v>
      </c>
      <c r="Q1041" t="n">
        <v>1</v>
      </c>
      <c r="R1041" s="2" t="inlineStr">
        <is>
          <t>Stuplav</t>
        </is>
      </c>
      <c r="S1041">
        <f>HYPERLINK("https://klasma.github.io/Logging_2481/artfynd/A 58071-2025 artfynd.xlsx", "A 58071-2025")</f>
        <v/>
      </c>
      <c r="T1041">
        <f>HYPERLINK("https://klasma.github.io/Logging_2481/kartor/A 58071-2025 karta.png", "A 58071-2025")</f>
        <v/>
      </c>
      <c r="V1041">
        <f>HYPERLINK("https://klasma.github.io/Logging_2481/klagomål/A 58071-2025 FSC-klagomål.docx", "A 58071-2025")</f>
        <v/>
      </c>
      <c r="W1041">
        <f>HYPERLINK("https://klasma.github.io/Logging_2481/klagomålsmail/A 58071-2025 FSC-klagomål mail.docx", "A 58071-2025")</f>
        <v/>
      </c>
      <c r="X1041">
        <f>HYPERLINK("https://klasma.github.io/Logging_2481/tillsyn/A 58071-2025 tillsynsbegäran.docx", "A 58071-2025")</f>
        <v/>
      </c>
      <c r="Y1041">
        <f>HYPERLINK("https://klasma.github.io/Logging_2481/tillsynsmail/A 58071-2025 tillsynsbegäran mail.docx", "A 58071-2025")</f>
        <v/>
      </c>
    </row>
    <row r="1042" ht="15" customHeight="1">
      <c r="A1042" t="inlineStr">
        <is>
          <t>A 7379-2024</t>
        </is>
      </c>
      <c r="B1042" s="1" t="n">
        <v>45345</v>
      </c>
      <c r="C1042" s="1" t="n">
        <v>46075</v>
      </c>
      <c r="D1042" t="inlineStr">
        <is>
          <t>VÄSTERBOTTENS LÄN</t>
        </is>
      </c>
      <c r="E1042" t="inlineStr">
        <is>
          <t>ROBERTSFORS</t>
        </is>
      </c>
      <c r="F1042" t="inlineStr">
        <is>
          <t>Sveaskog</t>
        </is>
      </c>
      <c r="G1042" t="n">
        <v>12.9</v>
      </c>
      <c r="H1042" t="n">
        <v>0</v>
      </c>
      <c r="I1042" t="n">
        <v>0</v>
      </c>
      <c r="J1042" t="n">
        <v>1</v>
      </c>
      <c r="K1042" t="n">
        <v>0</v>
      </c>
      <c r="L1042" t="n">
        <v>0</v>
      </c>
      <c r="M1042" t="n">
        <v>0</v>
      </c>
      <c r="N1042" t="n">
        <v>0</v>
      </c>
      <c r="O1042" t="n">
        <v>1</v>
      </c>
      <c r="P1042" t="n">
        <v>0</v>
      </c>
      <c r="Q1042" t="n">
        <v>1</v>
      </c>
      <c r="R1042" s="2" t="inlineStr">
        <is>
          <t>Garnlav</t>
        </is>
      </c>
      <c r="S1042">
        <f>HYPERLINK("https://klasma.github.io/Logging_2409/artfynd/A 7379-2024 artfynd.xlsx", "A 7379-2024")</f>
        <v/>
      </c>
      <c r="T1042">
        <f>HYPERLINK("https://klasma.github.io/Logging_2409/kartor/A 7379-2024 karta.png", "A 7379-2024")</f>
        <v/>
      </c>
      <c r="V1042">
        <f>HYPERLINK("https://klasma.github.io/Logging_2409/klagomål/A 7379-2024 FSC-klagomål.docx", "A 7379-2024")</f>
        <v/>
      </c>
      <c r="W1042">
        <f>HYPERLINK("https://klasma.github.io/Logging_2409/klagomålsmail/A 7379-2024 FSC-klagomål mail.docx", "A 7379-2024")</f>
        <v/>
      </c>
      <c r="X1042">
        <f>HYPERLINK("https://klasma.github.io/Logging_2409/tillsyn/A 7379-2024 tillsynsbegäran.docx", "A 7379-2024")</f>
        <v/>
      </c>
      <c r="Y1042">
        <f>HYPERLINK("https://klasma.github.io/Logging_2409/tillsynsmail/A 7379-2024 tillsynsbegäran mail.docx", "A 7379-2024")</f>
        <v/>
      </c>
    </row>
    <row r="1043" ht="15" customHeight="1">
      <c r="A1043" t="inlineStr">
        <is>
          <t>A 8820-2025</t>
        </is>
      </c>
      <c r="B1043" s="1" t="n">
        <v>45712</v>
      </c>
      <c r="C1043" s="1" t="n">
        <v>46075</v>
      </c>
      <c r="D1043" t="inlineStr">
        <is>
          <t>VÄSTERBOTTENS LÄN</t>
        </is>
      </c>
      <c r="E1043" t="inlineStr">
        <is>
          <t>SKELLEFTEÅ</t>
        </is>
      </c>
      <c r="G1043" t="n">
        <v>2.5</v>
      </c>
      <c r="H1043" t="n">
        <v>1</v>
      </c>
      <c r="I1043" t="n">
        <v>0</v>
      </c>
      <c r="J1043" t="n">
        <v>0</v>
      </c>
      <c r="K1043" t="n">
        <v>1</v>
      </c>
      <c r="L1043" t="n">
        <v>0</v>
      </c>
      <c r="M1043" t="n">
        <v>0</v>
      </c>
      <c r="N1043" t="n">
        <v>0</v>
      </c>
      <c r="O1043" t="n">
        <v>1</v>
      </c>
      <c r="P1043" t="n">
        <v>1</v>
      </c>
      <c r="Q1043" t="n">
        <v>1</v>
      </c>
      <c r="R1043" s="2" t="inlineStr">
        <is>
          <t>Knärot</t>
        </is>
      </c>
      <c r="S1043">
        <f>HYPERLINK("https://klasma.github.io/Logging_2482/artfynd/A 8820-2025 artfynd.xlsx", "A 8820-2025")</f>
        <v/>
      </c>
      <c r="T1043">
        <f>HYPERLINK("https://klasma.github.io/Logging_2482/kartor/A 8820-2025 karta.png", "A 8820-2025")</f>
        <v/>
      </c>
      <c r="U1043">
        <f>HYPERLINK("https://klasma.github.io/Logging_2482/knärot/A 8820-2025 karta knärot.png", "A 8820-2025")</f>
        <v/>
      </c>
      <c r="V1043">
        <f>HYPERLINK("https://klasma.github.io/Logging_2482/klagomål/A 8820-2025 FSC-klagomål.docx", "A 8820-2025")</f>
        <v/>
      </c>
      <c r="W1043">
        <f>HYPERLINK("https://klasma.github.io/Logging_2482/klagomålsmail/A 8820-2025 FSC-klagomål mail.docx", "A 8820-2025")</f>
        <v/>
      </c>
      <c r="X1043">
        <f>HYPERLINK("https://klasma.github.io/Logging_2482/tillsyn/A 8820-2025 tillsynsbegäran.docx", "A 8820-2025")</f>
        <v/>
      </c>
      <c r="Y1043">
        <f>HYPERLINK("https://klasma.github.io/Logging_2482/tillsynsmail/A 8820-2025 tillsynsbegäran mail.docx", "A 8820-2025")</f>
        <v/>
      </c>
    </row>
    <row r="1044" ht="15" customHeight="1">
      <c r="A1044" t="inlineStr">
        <is>
          <t>A 45633-2024</t>
        </is>
      </c>
      <c r="B1044" s="1" t="n">
        <v>45579</v>
      </c>
      <c r="C1044" s="1" t="n">
        <v>46075</v>
      </c>
      <c r="D1044" t="inlineStr">
        <is>
          <t>VÄSTERBOTTENS LÄN</t>
        </is>
      </c>
      <c r="E1044" t="inlineStr">
        <is>
          <t>UMEÅ</t>
        </is>
      </c>
      <c r="F1044" t="inlineStr">
        <is>
          <t>Holmen skog AB</t>
        </is>
      </c>
      <c r="G1044" t="n">
        <v>5.4</v>
      </c>
      <c r="H1044" t="n">
        <v>0</v>
      </c>
      <c r="I1044" t="n">
        <v>0</v>
      </c>
      <c r="J1044" t="n">
        <v>1</v>
      </c>
      <c r="K1044" t="n">
        <v>0</v>
      </c>
      <c r="L1044" t="n">
        <v>0</v>
      </c>
      <c r="M1044" t="n">
        <v>0</v>
      </c>
      <c r="N1044" t="n">
        <v>0</v>
      </c>
      <c r="O1044" t="n">
        <v>1</v>
      </c>
      <c r="P1044" t="n">
        <v>0</v>
      </c>
      <c r="Q1044" t="n">
        <v>1</v>
      </c>
      <c r="R1044" s="2" t="inlineStr">
        <is>
          <t>Mörk kolflarnlav</t>
        </is>
      </c>
      <c r="S1044">
        <f>HYPERLINK("https://klasma.github.io/Logging_2480/artfynd/A 45633-2024 artfynd.xlsx", "A 45633-2024")</f>
        <v/>
      </c>
      <c r="T1044">
        <f>HYPERLINK("https://klasma.github.io/Logging_2480/kartor/A 45633-2024 karta.png", "A 45633-2024")</f>
        <v/>
      </c>
      <c r="V1044">
        <f>HYPERLINK("https://klasma.github.io/Logging_2480/klagomål/A 45633-2024 FSC-klagomål.docx", "A 45633-2024")</f>
        <v/>
      </c>
      <c r="W1044">
        <f>HYPERLINK("https://klasma.github.io/Logging_2480/klagomålsmail/A 45633-2024 FSC-klagomål mail.docx", "A 45633-2024")</f>
        <v/>
      </c>
      <c r="X1044">
        <f>HYPERLINK("https://klasma.github.io/Logging_2480/tillsyn/A 45633-2024 tillsynsbegäran.docx", "A 45633-2024")</f>
        <v/>
      </c>
      <c r="Y1044">
        <f>HYPERLINK("https://klasma.github.io/Logging_2480/tillsynsmail/A 45633-2024 tillsynsbegäran mail.docx", "A 45633-2024")</f>
        <v/>
      </c>
    </row>
    <row r="1045" ht="15" customHeight="1">
      <c r="A1045" t="inlineStr">
        <is>
          <t>A 59097-2025</t>
        </is>
      </c>
      <c r="B1045" s="1" t="n">
        <v>45988.45326388889</v>
      </c>
      <c r="C1045" s="1" t="n">
        <v>46075</v>
      </c>
      <c r="D1045" t="inlineStr">
        <is>
          <t>VÄSTERBOTTENS LÄN</t>
        </is>
      </c>
      <c r="E1045" t="inlineStr">
        <is>
          <t>SKELLEFTEÅ</t>
        </is>
      </c>
      <c r="F1045" t="inlineStr">
        <is>
          <t>Sveaskog</t>
        </is>
      </c>
      <c r="G1045" t="n">
        <v>11.6</v>
      </c>
      <c r="H1045" t="n">
        <v>1</v>
      </c>
      <c r="I1045" t="n">
        <v>0</v>
      </c>
      <c r="J1045" t="n">
        <v>0</v>
      </c>
      <c r="K1045" t="n">
        <v>0</v>
      </c>
      <c r="L1045" t="n">
        <v>0</v>
      </c>
      <c r="M1045" t="n">
        <v>0</v>
      </c>
      <c r="N1045" t="n">
        <v>0</v>
      </c>
      <c r="O1045" t="n">
        <v>0</v>
      </c>
      <c r="P1045" t="n">
        <v>0</v>
      </c>
      <c r="Q1045" t="n">
        <v>1</v>
      </c>
      <c r="R1045" s="2" t="inlineStr">
        <is>
          <t>Huggorm</t>
        </is>
      </c>
      <c r="S1045">
        <f>HYPERLINK("https://klasma.github.io/Logging_2482/artfynd/A 59097-2025 artfynd.xlsx", "A 59097-2025")</f>
        <v/>
      </c>
      <c r="T1045">
        <f>HYPERLINK("https://klasma.github.io/Logging_2482/kartor/A 59097-2025 karta.png", "A 59097-2025")</f>
        <v/>
      </c>
      <c r="V1045">
        <f>HYPERLINK("https://klasma.github.io/Logging_2482/klagomål/A 59097-2025 FSC-klagomål.docx", "A 59097-2025")</f>
        <v/>
      </c>
      <c r="W1045">
        <f>HYPERLINK("https://klasma.github.io/Logging_2482/klagomålsmail/A 59097-2025 FSC-klagomål mail.docx", "A 59097-2025")</f>
        <v/>
      </c>
      <c r="X1045">
        <f>HYPERLINK("https://klasma.github.io/Logging_2482/tillsyn/A 59097-2025 tillsynsbegäran.docx", "A 59097-2025")</f>
        <v/>
      </c>
      <c r="Y1045">
        <f>HYPERLINK("https://klasma.github.io/Logging_2482/tillsynsmail/A 59097-2025 tillsynsbegäran mail.docx", "A 59097-2025")</f>
        <v/>
      </c>
    </row>
    <row r="1046" ht="15" customHeight="1">
      <c r="A1046" t="inlineStr">
        <is>
          <t>A 7138-2025</t>
        </is>
      </c>
      <c r="B1046" s="1" t="n">
        <v>45702.36715277778</v>
      </c>
      <c r="C1046" s="1" t="n">
        <v>46075</v>
      </c>
      <c r="D1046" t="inlineStr">
        <is>
          <t>VÄSTERBOTTENS LÄN</t>
        </is>
      </c>
      <c r="E1046" t="inlineStr">
        <is>
          <t>MALÅ</t>
        </is>
      </c>
      <c r="F1046" t="inlineStr">
        <is>
          <t>Sveaskog</t>
        </is>
      </c>
      <c r="G1046" t="n">
        <v>8.199999999999999</v>
      </c>
      <c r="H1046" t="n">
        <v>0</v>
      </c>
      <c r="I1046" t="n">
        <v>1</v>
      </c>
      <c r="J1046" t="n">
        <v>0</v>
      </c>
      <c r="K1046" t="n">
        <v>0</v>
      </c>
      <c r="L1046" t="n">
        <v>0</v>
      </c>
      <c r="M1046" t="n">
        <v>0</v>
      </c>
      <c r="N1046" t="n">
        <v>0</v>
      </c>
      <c r="O1046" t="n">
        <v>0</v>
      </c>
      <c r="P1046" t="n">
        <v>0</v>
      </c>
      <c r="Q1046" t="n">
        <v>1</v>
      </c>
      <c r="R1046" s="2" t="inlineStr">
        <is>
          <t>Dropptaggsvamp</t>
        </is>
      </c>
      <c r="S1046">
        <f>HYPERLINK("https://klasma.github.io/Logging_2418/artfynd/A 7138-2025 artfynd.xlsx", "A 7138-2025")</f>
        <v/>
      </c>
      <c r="T1046">
        <f>HYPERLINK("https://klasma.github.io/Logging_2418/kartor/A 7138-2025 karta.png", "A 7138-2025")</f>
        <v/>
      </c>
      <c r="V1046">
        <f>HYPERLINK("https://klasma.github.io/Logging_2418/klagomål/A 7138-2025 FSC-klagomål.docx", "A 7138-2025")</f>
        <v/>
      </c>
      <c r="W1046">
        <f>HYPERLINK("https://klasma.github.io/Logging_2418/klagomålsmail/A 7138-2025 FSC-klagomål mail.docx", "A 7138-2025")</f>
        <v/>
      </c>
      <c r="X1046">
        <f>HYPERLINK("https://klasma.github.io/Logging_2418/tillsyn/A 7138-2025 tillsynsbegäran.docx", "A 7138-2025")</f>
        <v/>
      </c>
      <c r="Y1046">
        <f>HYPERLINK("https://klasma.github.io/Logging_2418/tillsynsmail/A 7138-2025 tillsynsbegäran mail.docx", "A 7138-2025")</f>
        <v/>
      </c>
    </row>
    <row r="1047" ht="15" customHeight="1">
      <c r="A1047" t="inlineStr">
        <is>
          <t>A 60010-2025</t>
        </is>
      </c>
      <c r="B1047" s="1" t="n">
        <v>45993.59423611111</v>
      </c>
      <c r="C1047" s="1" t="n">
        <v>46075</v>
      </c>
      <c r="D1047" t="inlineStr">
        <is>
          <t>VÄSTERBOTTENS LÄN</t>
        </is>
      </c>
      <c r="E1047" t="inlineStr">
        <is>
          <t>SKELLEFTEÅ</t>
        </is>
      </c>
      <c r="G1047" t="n">
        <v>25.1</v>
      </c>
      <c r="H1047" t="n">
        <v>1</v>
      </c>
      <c r="I1047" t="n">
        <v>0</v>
      </c>
      <c r="J1047" t="n">
        <v>1</v>
      </c>
      <c r="K1047" t="n">
        <v>0</v>
      </c>
      <c r="L1047" t="n">
        <v>0</v>
      </c>
      <c r="M1047" t="n">
        <v>0</v>
      </c>
      <c r="N1047" t="n">
        <v>0</v>
      </c>
      <c r="O1047" t="n">
        <v>1</v>
      </c>
      <c r="P1047" t="n">
        <v>0</v>
      </c>
      <c r="Q1047" t="n">
        <v>1</v>
      </c>
      <c r="R1047" s="2" t="inlineStr">
        <is>
          <t>Spillkråka</t>
        </is>
      </c>
      <c r="S1047">
        <f>HYPERLINK("https://klasma.github.io/Logging_2482/artfynd/A 60010-2025 artfynd.xlsx", "A 60010-2025")</f>
        <v/>
      </c>
      <c r="T1047">
        <f>HYPERLINK("https://klasma.github.io/Logging_2482/kartor/A 60010-2025 karta.png", "A 60010-2025")</f>
        <v/>
      </c>
      <c r="V1047">
        <f>HYPERLINK("https://klasma.github.io/Logging_2482/klagomål/A 60010-2025 FSC-klagomål.docx", "A 60010-2025")</f>
        <v/>
      </c>
      <c r="W1047">
        <f>HYPERLINK("https://klasma.github.io/Logging_2482/klagomålsmail/A 60010-2025 FSC-klagomål mail.docx", "A 60010-2025")</f>
        <v/>
      </c>
      <c r="X1047">
        <f>HYPERLINK("https://klasma.github.io/Logging_2482/tillsyn/A 60010-2025 tillsynsbegäran.docx", "A 60010-2025")</f>
        <v/>
      </c>
      <c r="Y1047">
        <f>HYPERLINK("https://klasma.github.io/Logging_2482/tillsynsmail/A 60010-2025 tillsynsbegäran mail.docx", "A 60010-2025")</f>
        <v/>
      </c>
      <c r="Z1047">
        <f>HYPERLINK("https://klasma.github.io/Logging_2482/fåglar/A 60010-2025 prioriterade fågelarter.docx", "A 60010-2025")</f>
        <v/>
      </c>
    </row>
    <row r="1048" ht="15" customHeight="1">
      <c r="A1048" t="inlineStr">
        <is>
          <t>A 1752-2026</t>
        </is>
      </c>
      <c r="B1048" s="1" t="n">
        <v>46034.65699074074</v>
      </c>
      <c r="C1048" s="1" t="n">
        <v>46075</v>
      </c>
      <c r="D1048" t="inlineStr">
        <is>
          <t>VÄSTERBOTTENS LÄN</t>
        </is>
      </c>
      <c r="E1048" t="inlineStr">
        <is>
          <t>SKELLEFTEÅ</t>
        </is>
      </c>
      <c r="G1048" t="n">
        <v>13</v>
      </c>
      <c r="H1048" t="n">
        <v>1</v>
      </c>
      <c r="I1048" t="n">
        <v>0</v>
      </c>
      <c r="J1048" t="n">
        <v>0</v>
      </c>
      <c r="K1048" t="n">
        <v>0</v>
      </c>
      <c r="L1048" t="n">
        <v>0</v>
      </c>
      <c r="M1048" t="n">
        <v>0</v>
      </c>
      <c r="N1048" t="n">
        <v>0</v>
      </c>
      <c r="O1048" t="n">
        <v>0</v>
      </c>
      <c r="P1048" t="n">
        <v>0</v>
      </c>
      <c r="Q1048" t="n">
        <v>1</v>
      </c>
      <c r="R1048" s="2" t="inlineStr">
        <is>
          <t>Revlummer</t>
        </is>
      </c>
      <c r="S1048">
        <f>HYPERLINK("https://klasma.github.io/Logging_2482/artfynd/A 1752-2026 artfynd.xlsx", "A 1752-2026")</f>
        <v/>
      </c>
      <c r="T1048">
        <f>HYPERLINK("https://klasma.github.io/Logging_2482/kartor/A 1752-2026 karta.png", "A 1752-2026")</f>
        <v/>
      </c>
      <c r="V1048">
        <f>HYPERLINK("https://klasma.github.io/Logging_2482/klagomål/A 1752-2026 FSC-klagomål.docx", "A 1752-2026")</f>
        <v/>
      </c>
      <c r="W1048">
        <f>HYPERLINK("https://klasma.github.io/Logging_2482/klagomålsmail/A 1752-2026 FSC-klagomål mail.docx", "A 1752-2026")</f>
        <v/>
      </c>
      <c r="X1048">
        <f>HYPERLINK("https://klasma.github.io/Logging_2482/tillsyn/A 1752-2026 tillsynsbegäran.docx", "A 1752-2026")</f>
        <v/>
      </c>
      <c r="Y1048">
        <f>HYPERLINK("https://klasma.github.io/Logging_2482/tillsynsmail/A 1752-2026 tillsynsbegäran mail.docx", "A 1752-2026")</f>
        <v/>
      </c>
    </row>
    <row r="1049" ht="15" customHeight="1">
      <c r="A1049" t="inlineStr">
        <is>
          <t>A 11832-2023</t>
        </is>
      </c>
      <c r="B1049" s="1" t="n">
        <v>44994</v>
      </c>
      <c r="C1049" s="1" t="n">
        <v>46075</v>
      </c>
      <c r="D1049" t="inlineStr">
        <is>
          <t>VÄSTERBOTTENS LÄN</t>
        </is>
      </c>
      <c r="E1049" t="inlineStr">
        <is>
          <t>VILHELMINA</t>
        </is>
      </c>
      <c r="F1049" t="inlineStr">
        <is>
          <t>SCA</t>
        </is>
      </c>
      <c r="G1049" t="n">
        <v>6.7</v>
      </c>
      <c r="H1049" t="n">
        <v>0</v>
      </c>
      <c r="I1049" t="n">
        <v>0</v>
      </c>
      <c r="J1049" t="n">
        <v>1</v>
      </c>
      <c r="K1049" t="n">
        <v>0</v>
      </c>
      <c r="L1049" t="n">
        <v>0</v>
      </c>
      <c r="M1049" t="n">
        <v>0</v>
      </c>
      <c r="N1049" t="n">
        <v>0</v>
      </c>
      <c r="O1049" t="n">
        <v>1</v>
      </c>
      <c r="P1049" t="n">
        <v>0</v>
      </c>
      <c r="Q1049" t="n">
        <v>1</v>
      </c>
      <c r="R1049" s="2" t="inlineStr">
        <is>
          <t>Granticka</t>
        </is>
      </c>
      <c r="S1049">
        <f>HYPERLINK("https://klasma.github.io/Logging_2462/artfynd/A 11832-2023 artfynd.xlsx", "A 11832-2023")</f>
        <v/>
      </c>
      <c r="T1049">
        <f>HYPERLINK("https://klasma.github.io/Logging_2462/kartor/A 11832-2023 karta.png", "A 11832-2023")</f>
        <v/>
      </c>
      <c r="V1049">
        <f>HYPERLINK("https://klasma.github.io/Logging_2462/klagomål/A 11832-2023 FSC-klagomål.docx", "A 11832-2023")</f>
        <v/>
      </c>
      <c r="W1049">
        <f>HYPERLINK("https://klasma.github.io/Logging_2462/klagomålsmail/A 11832-2023 FSC-klagomål mail.docx", "A 11832-2023")</f>
        <v/>
      </c>
      <c r="X1049">
        <f>HYPERLINK("https://klasma.github.io/Logging_2462/tillsyn/A 11832-2023 tillsynsbegäran.docx", "A 11832-2023")</f>
        <v/>
      </c>
      <c r="Y1049">
        <f>HYPERLINK("https://klasma.github.io/Logging_2462/tillsynsmail/A 11832-2023 tillsynsbegäran mail.docx", "A 11832-2023")</f>
        <v/>
      </c>
    </row>
    <row r="1050" ht="15" customHeight="1">
      <c r="A1050" t="inlineStr">
        <is>
          <t>A 59935-2025</t>
        </is>
      </c>
      <c r="B1050" s="1" t="n">
        <v>45993.41291666667</v>
      </c>
      <c r="C1050" s="1" t="n">
        <v>46075</v>
      </c>
      <c r="D1050" t="inlineStr">
        <is>
          <t>VÄSTERBOTTENS LÄN</t>
        </is>
      </c>
      <c r="E1050" t="inlineStr">
        <is>
          <t>STORUMAN</t>
        </is>
      </c>
      <c r="G1050" t="n">
        <v>3.4</v>
      </c>
      <c r="H1050" t="n">
        <v>0</v>
      </c>
      <c r="I1050" t="n">
        <v>0</v>
      </c>
      <c r="J1050" t="n">
        <v>1</v>
      </c>
      <c r="K1050" t="n">
        <v>0</v>
      </c>
      <c r="L1050" t="n">
        <v>0</v>
      </c>
      <c r="M1050" t="n">
        <v>0</v>
      </c>
      <c r="N1050" t="n">
        <v>0</v>
      </c>
      <c r="O1050" t="n">
        <v>1</v>
      </c>
      <c r="P1050" t="n">
        <v>0</v>
      </c>
      <c r="Q1050" t="n">
        <v>1</v>
      </c>
      <c r="R1050" s="2" t="inlineStr">
        <is>
          <t>Gammelgransskål</t>
        </is>
      </c>
      <c r="S1050">
        <f>HYPERLINK("https://klasma.github.io/Logging_2421/artfynd/A 59935-2025 artfynd.xlsx", "A 59935-2025")</f>
        <v/>
      </c>
      <c r="T1050">
        <f>HYPERLINK("https://klasma.github.io/Logging_2421/kartor/A 59935-2025 karta.png", "A 59935-2025")</f>
        <v/>
      </c>
      <c r="V1050">
        <f>HYPERLINK("https://klasma.github.io/Logging_2421/klagomål/A 59935-2025 FSC-klagomål.docx", "A 59935-2025")</f>
        <v/>
      </c>
      <c r="W1050">
        <f>HYPERLINK("https://klasma.github.io/Logging_2421/klagomålsmail/A 59935-2025 FSC-klagomål mail.docx", "A 59935-2025")</f>
        <v/>
      </c>
      <c r="X1050">
        <f>HYPERLINK("https://klasma.github.io/Logging_2421/tillsyn/A 59935-2025 tillsynsbegäran.docx", "A 59935-2025")</f>
        <v/>
      </c>
      <c r="Y1050">
        <f>HYPERLINK("https://klasma.github.io/Logging_2421/tillsynsmail/A 59935-2025 tillsynsbegäran mail.docx", "A 59935-2025")</f>
        <v/>
      </c>
    </row>
    <row r="1051" ht="15" customHeight="1">
      <c r="A1051" t="inlineStr">
        <is>
          <t>A 59883-2025</t>
        </is>
      </c>
      <c r="B1051" s="1" t="n">
        <v>45993.3181712963</v>
      </c>
      <c r="C1051" s="1" t="n">
        <v>46075</v>
      </c>
      <c r="D1051" t="inlineStr">
        <is>
          <t>VÄSTERBOTTENS LÄN</t>
        </is>
      </c>
      <c r="E1051" t="inlineStr">
        <is>
          <t>LYCKSELE</t>
        </is>
      </c>
      <c r="F1051" t="inlineStr">
        <is>
          <t>Sveaskog</t>
        </is>
      </c>
      <c r="G1051" t="n">
        <v>9.1</v>
      </c>
      <c r="H1051" t="n">
        <v>0</v>
      </c>
      <c r="I1051" t="n">
        <v>0</v>
      </c>
      <c r="J1051" t="n">
        <v>1</v>
      </c>
      <c r="K1051" t="n">
        <v>0</v>
      </c>
      <c r="L1051" t="n">
        <v>0</v>
      </c>
      <c r="M1051" t="n">
        <v>0</v>
      </c>
      <c r="N1051" t="n">
        <v>0</v>
      </c>
      <c r="O1051" t="n">
        <v>1</v>
      </c>
      <c r="P1051" t="n">
        <v>0</v>
      </c>
      <c r="Q1051" t="n">
        <v>1</v>
      </c>
      <c r="R1051" s="2" t="inlineStr">
        <is>
          <t>Lunglav</t>
        </is>
      </c>
      <c r="S1051">
        <f>HYPERLINK("https://klasma.github.io/Logging_2481/artfynd/A 59883-2025 artfynd.xlsx", "A 59883-2025")</f>
        <v/>
      </c>
      <c r="T1051">
        <f>HYPERLINK("https://klasma.github.io/Logging_2481/kartor/A 59883-2025 karta.png", "A 59883-2025")</f>
        <v/>
      </c>
      <c r="V1051">
        <f>HYPERLINK("https://klasma.github.io/Logging_2481/klagomål/A 59883-2025 FSC-klagomål.docx", "A 59883-2025")</f>
        <v/>
      </c>
      <c r="W1051">
        <f>HYPERLINK("https://klasma.github.io/Logging_2481/klagomålsmail/A 59883-2025 FSC-klagomål mail.docx", "A 59883-2025")</f>
        <v/>
      </c>
      <c r="X1051">
        <f>HYPERLINK("https://klasma.github.io/Logging_2481/tillsyn/A 59883-2025 tillsynsbegäran.docx", "A 59883-2025")</f>
        <v/>
      </c>
      <c r="Y1051">
        <f>HYPERLINK("https://klasma.github.io/Logging_2481/tillsynsmail/A 59883-2025 tillsynsbegäran mail.docx", "A 59883-2025")</f>
        <v/>
      </c>
    </row>
    <row r="1052" ht="15" customHeight="1">
      <c r="A1052" t="inlineStr">
        <is>
          <t>A 37745-2023</t>
        </is>
      </c>
      <c r="B1052" s="1" t="n">
        <v>45156</v>
      </c>
      <c r="C1052" s="1" t="n">
        <v>46075</v>
      </c>
      <c r="D1052" t="inlineStr">
        <is>
          <t>VÄSTERBOTTENS LÄN</t>
        </is>
      </c>
      <c r="E1052" t="inlineStr">
        <is>
          <t>SORSELE</t>
        </is>
      </c>
      <c r="G1052" t="n">
        <v>8.6</v>
      </c>
      <c r="H1052" t="n">
        <v>1</v>
      </c>
      <c r="I1052" t="n">
        <v>1</v>
      </c>
      <c r="J1052" t="n">
        <v>0</v>
      </c>
      <c r="K1052" t="n">
        <v>0</v>
      </c>
      <c r="L1052" t="n">
        <v>0</v>
      </c>
      <c r="M1052" t="n">
        <v>0</v>
      </c>
      <c r="N1052" t="n">
        <v>0</v>
      </c>
      <c r="O1052" t="n">
        <v>0</v>
      </c>
      <c r="P1052" t="n">
        <v>0</v>
      </c>
      <c r="Q1052" t="n">
        <v>1</v>
      </c>
      <c r="R1052" s="2" t="inlineStr">
        <is>
          <t>Lappranunkel</t>
        </is>
      </c>
      <c r="S1052">
        <f>HYPERLINK("https://klasma.github.io/Logging_2422/artfynd/A 37745-2023 artfynd.xlsx", "A 37745-2023")</f>
        <v/>
      </c>
      <c r="T1052">
        <f>HYPERLINK("https://klasma.github.io/Logging_2422/kartor/A 37745-2023 karta.png", "A 37745-2023")</f>
        <v/>
      </c>
      <c r="V1052">
        <f>HYPERLINK("https://klasma.github.io/Logging_2422/klagomål/A 37745-2023 FSC-klagomål.docx", "A 37745-2023")</f>
        <v/>
      </c>
      <c r="W1052">
        <f>HYPERLINK("https://klasma.github.io/Logging_2422/klagomålsmail/A 37745-2023 FSC-klagomål mail.docx", "A 37745-2023")</f>
        <v/>
      </c>
      <c r="X1052">
        <f>HYPERLINK("https://klasma.github.io/Logging_2422/tillsyn/A 37745-2023 tillsynsbegäran.docx", "A 37745-2023")</f>
        <v/>
      </c>
      <c r="Y1052">
        <f>HYPERLINK("https://klasma.github.io/Logging_2422/tillsynsmail/A 37745-2023 tillsynsbegäran mail.docx", "A 37745-2023")</f>
        <v/>
      </c>
    </row>
    <row r="1053" ht="15" customHeight="1">
      <c r="A1053" t="inlineStr">
        <is>
          <t>A 62578-2022</t>
        </is>
      </c>
      <c r="B1053" s="1" t="n">
        <v>44924</v>
      </c>
      <c r="C1053" s="1" t="n">
        <v>46075</v>
      </c>
      <c r="D1053" t="inlineStr">
        <is>
          <t>VÄSTERBOTTENS LÄN</t>
        </is>
      </c>
      <c r="E1053" t="inlineStr">
        <is>
          <t>VINDELN</t>
        </is>
      </c>
      <c r="G1053" t="n">
        <v>4.6</v>
      </c>
      <c r="H1053" t="n">
        <v>1</v>
      </c>
      <c r="I1053" t="n">
        <v>0</v>
      </c>
      <c r="J1053" t="n">
        <v>1</v>
      </c>
      <c r="K1053" t="n">
        <v>0</v>
      </c>
      <c r="L1053" t="n">
        <v>0</v>
      </c>
      <c r="M1053" t="n">
        <v>0</v>
      </c>
      <c r="N1053" t="n">
        <v>0</v>
      </c>
      <c r="O1053" t="n">
        <v>1</v>
      </c>
      <c r="P1053" t="n">
        <v>0</v>
      </c>
      <c r="Q1053" t="n">
        <v>1</v>
      </c>
      <c r="R1053" s="2" t="inlineStr">
        <is>
          <t>Tretåig hackspett</t>
        </is>
      </c>
      <c r="S1053">
        <f>HYPERLINK("https://klasma.github.io/Logging_2404/artfynd/A 62578-2022 artfynd.xlsx", "A 62578-2022")</f>
        <v/>
      </c>
      <c r="T1053">
        <f>HYPERLINK("https://klasma.github.io/Logging_2404/kartor/A 62578-2022 karta.png", "A 62578-2022")</f>
        <v/>
      </c>
      <c r="V1053">
        <f>HYPERLINK("https://klasma.github.io/Logging_2404/klagomål/A 62578-2022 FSC-klagomål.docx", "A 62578-2022")</f>
        <v/>
      </c>
      <c r="W1053">
        <f>HYPERLINK("https://klasma.github.io/Logging_2404/klagomålsmail/A 62578-2022 FSC-klagomål mail.docx", "A 62578-2022")</f>
        <v/>
      </c>
      <c r="X1053">
        <f>HYPERLINK("https://klasma.github.io/Logging_2404/tillsyn/A 62578-2022 tillsynsbegäran.docx", "A 62578-2022")</f>
        <v/>
      </c>
      <c r="Y1053">
        <f>HYPERLINK("https://klasma.github.io/Logging_2404/tillsynsmail/A 62578-2022 tillsynsbegäran mail.docx", "A 62578-2022")</f>
        <v/>
      </c>
      <c r="Z1053">
        <f>HYPERLINK("https://klasma.github.io/Logging_2404/fåglar/A 62578-2022 prioriterade fågelarter.docx", "A 62578-2022")</f>
        <v/>
      </c>
    </row>
    <row r="1054" ht="15" customHeight="1">
      <c r="A1054" t="inlineStr">
        <is>
          <t>A 11845-2021</t>
        </is>
      </c>
      <c r="B1054" s="1" t="n">
        <v>44265</v>
      </c>
      <c r="C1054" s="1" t="n">
        <v>46075</v>
      </c>
      <c r="D1054" t="inlineStr">
        <is>
          <t>VÄSTERBOTTENS LÄN</t>
        </is>
      </c>
      <c r="E1054" t="inlineStr">
        <is>
          <t>SORSELE</t>
        </is>
      </c>
      <c r="G1054" t="n">
        <v>2.8</v>
      </c>
      <c r="H1054" t="n">
        <v>0</v>
      </c>
      <c r="I1054" t="n">
        <v>0</v>
      </c>
      <c r="J1054" t="n">
        <v>1</v>
      </c>
      <c r="K1054" t="n">
        <v>0</v>
      </c>
      <c r="L1054" t="n">
        <v>0</v>
      </c>
      <c r="M1054" t="n">
        <v>0</v>
      </c>
      <c r="N1054" t="n">
        <v>0</v>
      </c>
      <c r="O1054" t="n">
        <v>1</v>
      </c>
      <c r="P1054" t="n">
        <v>0</v>
      </c>
      <c r="Q1054" t="n">
        <v>1</v>
      </c>
      <c r="R1054" s="2" t="inlineStr">
        <is>
          <t>Blå taggsvamp</t>
        </is>
      </c>
      <c r="S1054">
        <f>HYPERLINK("https://klasma.github.io/Logging_2422/artfynd/A 11845-2021 artfynd.xlsx", "A 11845-2021")</f>
        <v/>
      </c>
      <c r="T1054">
        <f>HYPERLINK("https://klasma.github.io/Logging_2422/kartor/A 11845-2021 karta.png", "A 11845-2021")</f>
        <v/>
      </c>
      <c r="V1054">
        <f>HYPERLINK("https://klasma.github.io/Logging_2422/klagomål/A 11845-2021 FSC-klagomål.docx", "A 11845-2021")</f>
        <v/>
      </c>
      <c r="W1054">
        <f>HYPERLINK("https://klasma.github.io/Logging_2422/klagomålsmail/A 11845-2021 FSC-klagomål mail.docx", "A 11845-2021")</f>
        <v/>
      </c>
      <c r="X1054">
        <f>HYPERLINK("https://klasma.github.io/Logging_2422/tillsyn/A 11845-2021 tillsynsbegäran.docx", "A 11845-2021")</f>
        <v/>
      </c>
      <c r="Y1054">
        <f>HYPERLINK("https://klasma.github.io/Logging_2422/tillsynsmail/A 11845-2021 tillsynsbegäran mail.docx", "A 11845-2021")</f>
        <v/>
      </c>
    </row>
    <row r="1055" ht="15" customHeight="1">
      <c r="A1055" t="inlineStr">
        <is>
          <t>A 60369-2021</t>
        </is>
      </c>
      <c r="B1055" s="1" t="n">
        <v>44494</v>
      </c>
      <c r="C1055" s="1" t="n">
        <v>46075</v>
      </c>
      <c r="D1055" t="inlineStr">
        <is>
          <t>VÄSTERBOTTENS LÄN</t>
        </is>
      </c>
      <c r="E1055" t="inlineStr">
        <is>
          <t>VILHELMINA</t>
        </is>
      </c>
      <c r="G1055" t="n">
        <v>0.6</v>
      </c>
      <c r="H1055" t="n">
        <v>0</v>
      </c>
      <c r="I1055" t="n">
        <v>1</v>
      </c>
      <c r="J1055" t="n">
        <v>0</v>
      </c>
      <c r="K1055" t="n">
        <v>0</v>
      </c>
      <c r="L1055" t="n">
        <v>0</v>
      </c>
      <c r="M1055" t="n">
        <v>0</v>
      </c>
      <c r="N1055" t="n">
        <v>0</v>
      </c>
      <c r="O1055" t="n">
        <v>0</v>
      </c>
      <c r="P1055" t="n">
        <v>0</v>
      </c>
      <c r="Q1055" t="n">
        <v>1</v>
      </c>
      <c r="R1055" s="2" t="inlineStr">
        <is>
          <t>Stuplav</t>
        </is>
      </c>
      <c r="S1055">
        <f>HYPERLINK("https://klasma.github.io/Logging_2462/artfynd/A 60369-2021 artfynd.xlsx", "A 60369-2021")</f>
        <v/>
      </c>
      <c r="T1055">
        <f>HYPERLINK("https://klasma.github.io/Logging_2462/kartor/A 60369-2021 karta.png", "A 60369-2021")</f>
        <v/>
      </c>
      <c r="V1055">
        <f>HYPERLINK("https://klasma.github.io/Logging_2462/klagomål/A 60369-2021 FSC-klagomål.docx", "A 60369-2021")</f>
        <v/>
      </c>
      <c r="W1055">
        <f>HYPERLINK("https://klasma.github.io/Logging_2462/klagomålsmail/A 60369-2021 FSC-klagomål mail.docx", "A 60369-2021")</f>
        <v/>
      </c>
      <c r="X1055">
        <f>HYPERLINK("https://klasma.github.io/Logging_2462/tillsyn/A 60369-2021 tillsynsbegäran.docx", "A 60369-2021")</f>
        <v/>
      </c>
      <c r="Y1055">
        <f>HYPERLINK("https://klasma.github.io/Logging_2462/tillsynsmail/A 60369-2021 tillsynsbegäran mail.docx", "A 60369-2021")</f>
        <v/>
      </c>
    </row>
    <row r="1056" ht="15" customHeight="1">
      <c r="A1056" t="inlineStr">
        <is>
          <t>A 2499-2026</t>
        </is>
      </c>
      <c r="B1056" s="1" t="n">
        <v>46037.40584490741</v>
      </c>
      <c r="C1056" s="1" t="n">
        <v>46075</v>
      </c>
      <c r="D1056" t="inlineStr">
        <is>
          <t>VÄSTERBOTTENS LÄN</t>
        </is>
      </c>
      <c r="E1056" t="inlineStr">
        <is>
          <t>LYCKSELE</t>
        </is>
      </c>
      <c r="F1056" t="inlineStr">
        <is>
          <t>Sveaskog</t>
        </is>
      </c>
      <c r="G1056" t="n">
        <v>19.3</v>
      </c>
      <c r="H1056" t="n">
        <v>1</v>
      </c>
      <c r="I1056" t="n">
        <v>0</v>
      </c>
      <c r="J1056" t="n">
        <v>0</v>
      </c>
      <c r="K1056" t="n">
        <v>0</v>
      </c>
      <c r="L1056" t="n">
        <v>0</v>
      </c>
      <c r="M1056" t="n">
        <v>0</v>
      </c>
      <c r="N1056" t="n">
        <v>0</v>
      </c>
      <c r="O1056" t="n">
        <v>0</v>
      </c>
      <c r="P1056" t="n">
        <v>0</v>
      </c>
      <c r="Q1056" t="n">
        <v>1</v>
      </c>
      <c r="R1056" s="2" t="inlineStr">
        <is>
          <t>Fläcknycklar</t>
        </is>
      </c>
      <c r="S1056">
        <f>HYPERLINK("https://klasma.github.io/Logging_2481/artfynd/A 2499-2026 artfynd.xlsx", "A 2499-2026")</f>
        <v/>
      </c>
      <c r="T1056">
        <f>HYPERLINK("https://klasma.github.io/Logging_2481/kartor/A 2499-2026 karta.png", "A 2499-2026")</f>
        <v/>
      </c>
      <c r="V1056">
        <f>HYPERLINK("https://klasma.github.io/Logging_2481/klagomål/A 2499-2026 FSC-klagomål.docx", "A 2499-2026")</f>
        <v/>
      </c>
      <c r="W1056">
        <f>HYPERLINK("https://klasma.github.io/Logging_2481/klagomålsmail/A 2499-2026 FSC-klagomål mail.docx", "A 2499-2026")</f>
        <v/>
      </c>
      <c r="X1056">
        <f>HYPERLINK("https://klasma.github.io/Logging_2481/tillsyn/A 2499-2026 tillsynsbegäran.docx", "A 2499-2026")</f>
        <v/>
      </c>
      <c r="Y1056">
        <f>HYPERLINK("https://klasma.github.io/Logging_2481/tillsynsmail/A 2499-2026 tillsynsbegäran mail.docx", "A 2499-2026")</f>
        <v/>
      </c>
    </row>
    <row r="1057" ht="15" customHeight="1">
      <c r="A1057" t="inlineStr">
        <is>
          <t>A 2278-2026</t>
        </is>
      </c>
      <c r="B1057" s="1" t="n">
        <v>46036.57505787037</v>
      </c>
      <c r="C1057" s="1" t="n">
        <v>46075</v>
      </c>
      <c r="D1057" t="inlineStr">
        <is>
          <t>VÄSTERBOTTENS LÄN</t>
        </is>
      </c>
      <c r="E1057" t="inlineStr">
        <is>
          <t>ÅSELE</t>
        </is>
      </c>
      <c r="F1057" t="inlineStr">
        <is>
          <t>Sveaskog</t>
        </is>
      </c>
      <c r="G1057" t="n">
        <v>5</v>
      </c>
      <c r="H1057" t="n">
        <v>0</v>
      </c>
      <c r="I1057" t="n">
        <v>1</v>
      </c>
      <c r="J1057" t="n">
        <v>0</v>
      </c>
      <c r="K1057" t="n">
        <v>0</v>
      </c>
      <c r="L1057" t="n">
        <v>0</v>
      </c>
      <c r="M1057" t="n">
        <v>0</v>
      </c>
      <c r="N1057" t="n">
        <v>0</v>
      </c>
      <c r="O1057" t="n">
        <v>0</v>
      </c>
      <c r="P1057" t="n">
        <v>0</v>
      </c>
      <c r="Q1057" t="n">
        <v>1</v>
      </c>
      <c r="R1057" s="2" t="inlineStr">
        <is>
          <t>Vedticka</t>
        </is>
      </c>
      <c r="S1057">
        <f>HYPERLINK("https://klasma.github.io/Logging_2463/artfynd/A 2278-2026 artfynd.xlsx", "A 2278-2026")</f>
        <v/>
      </c>
      <c r="T1057">
        <f>HYPERLINK("https://klasma.github.io/Logging_2463/kartor/A 2278-2026 karta.png", "A 2278-2026")</f>
        <v/>
      </c>
      <c r="V1057">
        <f>HYPERLINK("https://klasma.github.io/Logging_2463/klagomål/A 2278-2026 FSC-klagomål.docx", "A 2278-2026")</f>
        <v/>
      </c>
      <c r="W1057">
        <f>HYPERLINK("https://klasma.github.io/Logging_2463/klagomålsmail/A 2278-2026 FSC-klagomål mail.docx", "A 2278-2026")</f>
        <v/>
      </c>
      <c r="X1057">
        <f>HYPERLINK("https://klasma.github.io/Logging_2463/tillsyn/A 2278-2026 tillsynsbegäran.docx", "A 2278-2026")</f>
        <v/>
      </c>
      <c r="Y1057">
        <f>HYPERLINK("https://klasma.github.io/Logging_2463/tillsynsmail/A 2278-2026 tillsynsbegäran mail.docx", "A 2278-2026")</f>
        <v/>
      </c>
    </row>
    <row r="1058" ht="15" customHeight="1">
      <c r="A1058" t="inlineStr">
        <is>
          <t>A 36517-2024</t>
        </is>
      </c>
      <c r="B1058" s="1" t="n">
        <v>45537.42907407408</v>
      </c>
      <c r="C1058" s="1" t="n">
        <v>46075</v>
      </c>
      <c r="D1058" t="inlineStr">
        <is>
          <t>VÄSTERBOTTENS LÄN</t>
        </is>
      </c>
      <c r="E1058" t="inlineStr">
        <is>
          <t>VINDELN</t>
        </is>
      </c>
      <c r="F1058" t="inlineStr">
        <is>
          <t>Sveaskog</t>
        </is>
      </c>
      <c r="G1058" t="n">
        <v>11.8</v>
      </c>
      <c r="H1058" t="n">
        <v>0</v>
      </c>
      <c r="I1058" t="n">
        <v>0</v>
      </c>
      <c r="J1058" t="n">
        <v>1</v>
      </c>
      <c r="K1058" t="n">
        <v>0</v>
      </c>
      <c r="L1058" t="n">
        <v>0</v>
      </c>
      <c r="M1058" t="n">
        <v>0</v>
      </c>
      <c r="N1058" t="n">
        <v>0</v>
      </c>
      <c r="O1058" t="n">
        <v>1</v>
      </c>
      <c r="P1058" t="n">
        <v>0</v>
      </c>
      <c r="Q1058" t="n">
        <v>1</v>
      </c>
      <c r="R1058" s="2" t="inlineStr">
        <is>
          <t>Granticka</t>
        </is>
      </c>
      <c r="S1058">
        <f>HYPERLINK("https://klasma.github.io/Logging_2404/artfynd/A 36517-2024 artfynd.xlsx", "A 36517-2024")</f>
        <v/>
      </c>
      <c r="T1058">
        <f>HYPERLINK("https://klasma.github.io/Logging_2404/kartor/A 36517-2024 karta.png", "A 36517-2024")</f>
        <v/>
      </c>
      <c r="V1058">
        <f>HYPERLINK("https://klasma.github.io/Logging_2404/klagomål/A 36517-2024 FSC-klagomål.docx", "A 36517-2024")</f>
        <v/>
      </c>
      <c r="W1058">
        <f>HYPERLINK("https://klasma.github.io/Logging_2404/klagomålsmail/A 36517-2024 FSC-klagomål mail.docx", "A 36517-2024")</f>
        <v/>
      </c>
      <c r="X1058">
        <f>HYPERLINK("https://klasma.github.io/Logging_2404/tillsyn/A 36517-2024 tillsynsbegäran.docx", "A 36517-2024")</f>
        <v/>
      </c>
      <c r="Y1058">
        <f>HYPERLINK("https://klasma.github.io/Logging_2404/tillsynsmail/A 36517-2024 tillsynsbegäran mail.docx", "A 36517-2024")</f>
        <v/>
      </c>
    </row>
    <row r="1059" ht="15" customHeight="1">
      <c r="A1059" t="inlineStr">
        <is>
          <t>A 58829-2024</t>
        </is>
      </c>
      <c r="B1059" s="1" t="n">
        <v>45636</v>
      </c>
      <c r="C1059" s="1" t="n">
        <v>46075</v>
      </c>
      <c r="D1059" t="inlineStr">
        <is>
          <t>VÄSTERBOTTENS LÄN</t>
        </is>
      </c>
      <c r="E1059" t="inlineStr">
        <is>
          <t>SKELLEFTEÅ</t>
        </is>
      </c>
      <c r="G1059" t="n">
        <v>5.5</v>
      </c>
      <c r="H1059" t="n">
        <v>0</v>
      </c>
      <c r="I1059" t="n">
        <v>0</v>
      </c>
      <c r="J1059" t="n">
        <v>1</v>
      </c>
      <c r="K1059" t="n">
        <v>0</v>
      </c>
      <c r="L1059" t="n">
        <v>0</v>
      </c>
      <c r="M1059" t="n">
        <v>0</v>
      </c>
      <c r="N1059" t="n">
        <v>0</v>
      </c>
      <c r="O1059" t="n">
        <v>1</v>
      </c>
      <c r="P1059" t="n">
        <v>0</v>
      </c>
      <c r="Q1059" t="n">
        <v>1</v>
      </c>
      <c r="R1059" s="2" t="inlineStr">
        <is>
          <t>Granticka</t>
        </is>
      </c>
      <c r="S1059">
        <f>HYPERLINK("https://klasma.github.io/Logging_2482/artfynd/A 58829-2024 artfynd.xlsx", "A 58829-2024")</f>
        <v/>
      </c>
      <c r="T1059">
        <f>HYPERLINK("https://klasma.github.io/Logging_2482/kartor/A 58829-2024 karta.png", "A 58829-2024")</f>
        <v/>
      </c>
      <c r="V1059">
        <f>HYPERLINK("https://klasma.github.io/Logging_2482/klagomål/A 58829-2024 FSC-klagomål.docx", "A 58829-2024")</f>
        <v/>
      </c>
      <c r="W1059">
        <f>HYPERLINK("https://klasma.github.io/Logging_2482/klagomålsmail/A 58829-2024 FSC-klagomål mail.docx", "A 58829-2024")</f>
        <v/>
      </c>
      <c r="X1059">
        <f>HYPERLINK("https://klasma.github.io/Logging_2482/tillsyn/A 58829-2024 tillsynsbegäran.docx", "A 58829-2024")</f>
        <v/>
      </c>
      <c r="Y1059">
        <f>HYPERLINK("https://klasma.github.io/Logging_2482/tillsynsmail/A 58829-2024 tillsynsbegäran mail.docx", "A 58829-2024")</f>
        <v/>
      </c>
    </row>
    <row r="1060" ht="15" customHeight="1">
      <c r="A1060" t="inlineStr">
        <is>
          <t>A 60773-2025</t>
        </is>
      </c>
      <c r="B1060" s="1" t="n">
        <v>45999.38724537037</v>
      </c>
      <c r="C1060" s="1" t="n">
        <v>46075</v>
      </c>
      <c r="D1060" t="inlineStr">
        <is>
          <t>VÄSTERBOTTENS LÄN</t>
        </is>
      </c>
      <c r="E1060" t="inlineStr">
        <is>
          <t>NORDMALING</t>
        </is>
      </c>
      <c r="G1060" t="n">
        <v>6.6</v>
      </c>
      <c r="H1060" t="n">
        <v>0</v>
      </c>
      <c r="I1060" t="n">
        <v>0</v>
      </c>
      <c r="J1060" t="n">
        <v>1</v>
      </c>
      <c r="K1060" t="n">
        <v>0</v>
      </c>
      <c r="L1060" t="n">
        <v>0</v>
      </c>
      <c r="M1060" t="n">
        <v>0</v>
      </c>
      <c r="N1060" t="n">
        <v>0</v>
      </c>
      <c r="O1060" t="n">
        <v>1</v>
      </c>
      <c r="P1060" t="n">
        <v>0</v>
      </c>
      <c r="Q1060" t="n">
        <v>1</v>
      </c>
      <c r="R1060" s="2" t="inlineStr">
        <is>
          <t>Gammelgransskål</t>
        </is>
      </c>
      <c r="S1060">
        <f>HYPERLINK("https://klasma.github.io/Logging_2401/artfynd/A 60773-2025 artfynd.xlsx", "A 60773-2025")</f>
        <v/>
      </c>
      <c r="T1060">
        <f>HYPERLINK("https://klasma.github.io/Logging_2401/kartor/A 60773-2025 karta.png", "A 60773-2025")</f>
        <v/>
      </c>
      <c r="V1060">
        <f>HYPERLINK("https://klasma.github.io/Logging_2401/klagomål/A 60773-2025 FSC-klagomål.docx", "A 60773-2025")</f>
        <v/>
      </c>
      <c r="W1060">
        <f>HYPERLINK("https://klasma.github.io/Logging_2401/klagomålsmail/A 60773-2025 FSC-klagomål mail.docx", "A 60773-2025")</f>
        <v/>
      </c>
      <c r="X1060">
        <f>HYPERLINK("https://klasma.github.io/Logging_2401/tillsyn/A 60773-2025 tillsynsbegäran.docx", "A 60773-2025")</f>
        <v/>
      </c>
      <c r="Y1060">
        <f>HYPERLINK("https://klasma.github.io/Logging_2401/tillsynsmail/A 60773-2025 tillsynsbegäran mail.docx", "A 60773-2025")</f>
        <v/>
      </c>
    </row>
    <row r="1061" ht="15" customHeight="1">
      <c r="A1061" t="inlineStr">
        <is>
          <t>A 60849-2025</t>
        </is>
      </c>
      <c r="B1061" s="1" t="n">
        <v>45999.50113425926</v>
      </c>
      <c r="C1061" s="1" t="n">
        <v>46075</v>
      </c>
      <c r="D1061" t="inlineStr">
        <is>
          <t>VÄSTERBOTTENS LÄN</t>
        </is>
      </c>
      <c r="E1061" t="inlineStr">
        <is>
          <t>NORDMALING</t>
        </is>
      </c>
      <c r="G1061" t="n">
        <v>13.5</v>
      </c>
      <c r="H1061" t="n">
        <v>0</v>
      </c>
      <c r="I1061" t="n">
        <v>0</v>
      </c>
      <c r="J1061" t="n">
        <v>1</v>
      </c>
      <c r="K1061" t="n">
        <v>0</v>
      </c>
      <c r="L1061" t="n">
        <v>0</v>
      </c>
      <c r="M1061" t="n">
        <v>0</v>
      </c>
      <c r="N1061" t="n">
        <v>0</v>
      </c>
      <c r="O1061" t="n">
        <v>1</v>
      </c>
      <c r="P1061" t="n">
        <v>0</v>
      </c>
      <c r="Q1061" t="n">
        <v>1</v>
      </c>
      <c r="R1061" s="2" t="inlineStr">
        <is>
          <t>Garnlav</t>
        </is>
      </c>
      <c r="S1061">
        <f>HYPERLINK("https://klasma.github.io/Logging_2401/artfynd/A 60849-2025 artfynd.xlsx", "A 60849-2025")</f>
        <v/>
      </c>
      <c r="T1061">
        <f>HYPERLINK("https://klasma.github.io/Logging_2401/kartor/A 60849-2025 karta.png", "A 60849-2025")</f>
        <v/>
      </c>
      <c r="V1061">
        <f>HYPERLINK("https://klasma.github.io/Logging_2401/klagomål/A 60849-2025 FSC-klagomål.docx", "A 60849-2025")</f>
        <v/>
      </c>
      <c r="W1061">
        <f>HYPERLINK("https://klasma.github.io/Logging_2401/klagomålsmail/A 60849-2025 FSC-klagomål mail.docx", "A 60849-2025")</f>
        <v/>
      </c>
      <c r="X1061">
        <f>HYPERLINK("https://klasma.github.io/Logging_2401/tillsyn/A 60849-2025 tillsynsbegäran.docx", "A 60849-2025")</f>
        <v/>
      </c>
      <c r="Y1061">
        <f>HYPERLINK("https://klasma.github.io/Logging_2401/tillsynsmail/A 60849-2025 tillsynsbegäran mail.docx", "A 60849-2025")</f>
        <v/>
      </c>
    </row>
    <row r="1062" ht="15" customHeight="1">
      <c r="A1062" t="inlineStr">
        <is>
          <t>A 25111-2023</t>
        </is>
      </c>
      <c r="B1062" s="1" t="n">
        <v>45078</v>
      </c>
      <c r="C1062" s="1" t="n">
        <v>46075</v>
      </c>
      <c r="D1062" t="inlineStr">
        <is>
          <t>VÄSTERBOTTENS LÄN</t>
        </is>
      </c>
      <c r="E1062" t="inlineStr">
        <is>
          <t>STORUMAN</t>
        </is>
      </c>
      <c r="F1062" t="inlineStr">
        <is>
          <t>Övriga statliga verk och myndigheter</t>
        </is>
      </c>
      <c r="G1062" t="n">
        <v>445.5</v>
      </c>
      <c r="H1062" t="n">
        <v>0</v>
      </c>
      <c r="I1062" t="n">
        <v>0</v>
      </c>
      <c r="J1062" t="n">
        <v>0</v>
      </c>
      <c r="K1062" t="n">
        <v>0</v>
      </c>
      <c r="L1062" t="n">
        <v>0</v>
      </c>
      <c r="M1062" t="n">
        <v>0</v>
      </c>
      <c r="N1062" t="n">
        <v>0</v>
      </c>
      <c r="O1062" t="n">
        <v>1</v>
      </c>
      <c r="P1062" t="n">
        <v>0</v>
      </c>
      <c r="Q1062" t="n">
        <v>1</v>
      </c>
      <c r="R1062" s="2" t="inlineStr">
        <is>
          <t>Hieracium duplicaticeps</t>
        </is>
      </c>
      <c r="S1062">
        <f>HYPERLINK("https://klasma.github.io/Logging_2421/artfynd/A 25111-2023 artfynd.xlsx", "A 25111-2023")</f>
        <v/>
      </c>
      <c r="T1062">
        <f>HYPERLINK("https://klasma.github.io/Logging_2421/kartor/A 25111-2023 karta.png", "A 25111-2023")</f>
        <v/>
      </c>
      <c r="V1062">
        <f>HYPERLINK("https://klasma.github.io/Logging_2421/klagomål/A 25111-2023 FSC-klagomål.docx", "A 25111-2023")</f>
        <v/>
      </c>
      <c r="W1062">
        <f>HYPERLINK("https://klasma.github.io/Logging_2421/klagomålsmail/A 25111-2023 FSC-klagomål mail.docx", "A 25111-2023")</f>
        <v/>
      </c>
      <c r="X1062">
        <f>HYPERLINK("https://klasma.github.io/Logging_2421/tillsyn/A 25111-2023 tillsynsbegäran.docx", "A 25111-2023")</f>
        <v/>
      </c>
      <c r="Y1062">
        <f>HYPERLINK("https://klasma.github.io/Logging_2421/tillsynsmail/A 25111-2023 tillsynsbegäran mail.docx", "A 25111-2023")</f>
        <v/>
      </c>
    </row>
    <row r="1063" ht="15" customHeight="1">
      <c r="A1063" t="inlineStr">
        <is>
          <t>A 60929-2025</t>
        </is>
      </c>
      <c r="B1063" s="1" t="n">
        <v>45999.63458333333</v>
      </c>
      <c r="C1063" s="1" t="n">
        <v>46075</v>
      </c>
      <c r="D1063" t="inlineStr">
        <is>
          <t>VÄSTERBOTTENS LÄN</t>
        </is>
      </c>
      <c r="E1063" t="inlineStr">
        <is>
          <t>SKELLEFTEÅ</t>
        </is>
      </c>
      <c r="F1063" t="inlineStr">
        <is>
          <t>Kommuner</t>
        </is>
      </c>
      <c r="G1063" t="n">
        <v>8</v>
      </c>
      <c r="H1063" t="n">
        <v>1</v>
      </c>
      <c r="I1063" t="n">
        <v>0</v>
      </c>
      <c r="J1063" t="n">
        <v>1</v>
      </c>
      <c r="K1063" t="n">
        <v>0</v>
      </c>
      <c r="L1063" t="n">
        <v>0</v>
      </c>
      <c r="M1063" t="n">
        <v>0</v>
      </c>
      <c r="N1063" t="n">
        <v>0</v>
      </c>
      <c r="O1063" t="n">
        <v>1</v>
      </c>
      <c r="P1063" t="n">
        <v>0</v>
      </c>
      <c r="Q1063" t="n">
        <v>1</v>
      </c>
      <c r="R1063" s="2" t="inlineStr">
        <is>
          <t>Spillkråka</t>
        </is>
      </c>
      <c r="S1063">
        <f>HYPERLINK("https://klasma.github.io/Logging_2482/artfynd/A 60929-2025 artfynd.xlsx", "A 60929-2025")</f>
        <v/>
      </c>
      <c r="T1063">
        <f>HYPERLINK("https://klasma.github.io/Logging_2482/kartor/A 60929-2025 karta.png", "A 60929-2025")</f>
        <v/>
      </c>
      <c r="V1063">
        <f>HYPERLINK("https://klasma.github.io/Logging_2482/klagomål/A 60929-2025 FSC-klagomål.docx", "A 60929-2025")</f>
        <v/>
      </c>
      <c r="W1063">
        <f>HYPERLINK("https://klasma.github.io/Logging_2482/klagomålsmail/A 60929-2025 FSC-klagomål mail.docx", "A 60929-2025")</f>
        <v/>
      </c>
      <c r="X1063">
        <f>HYPERLINK("https://klasma.github.io/Logging_2482/tillsyn/A 60929-2025 tillsynsbegäran.docx", "A 60929-2025")</f>
        <v/>
      </c>
      <c r="Y1063">
        <f>HYPERLINK("https://klasma.github.io/Logging_2482/tillsynsmail/A 60929-2025 tillsynsbegäran mail.docx", "A 60929-2025")</f>
        <v/>
      </c>
      <c r="Z1063">
        <f>HYPERLINK("https://klasma.github.io/Logging_2482/fåglar/A 60929-2025 prioriterade fågelarter.docx", "A 60929-2025")</f>
        <v/>
      </c>
    </row>
    <row r="1064" ht="15" customHeight="1">
      <c r="A1064" t="inlineStr">
        <is>
          <t>A 60756-2025</t>
        </is>
      </c>
      <c r="B1064" s="1" t="n">
        <v>45999.38415509259</v>
      </c>
      <c r="C1064" s="1" t="n">
        <v>46075</v>
      </c>
      <c r="D1064" t="inlineStr">
        <is>
          <t>VÄSTERBOTTENS LÄN</t>
        </is>
      </c>
      <c r="E1064" t="inlineStr">
        <is>
          <t>NORDMALING</t>
        </is>
      </c>
      <c r="F1064" t="inlineStr">
        <is>
          <t>Holmen skog AB</t>
        </is>
      </c>
      <c r="G1064" t="n">
        <v>8.800000000000001</v>
      </c>
      <c r="H1064" t="n">
        <v>0</v>
      </c>
      <c r="I1064" t="n">
        <v>0</v>
      </c>
      <c r="J1064" t="n">
        <v>1</v>
      </c>
      <c r="K1064" t="n">
        <v>0</v>
      </c>
      <c r="L1064" t="n">
        <v>0</v>
      </c>
      <c r="M1064" t="n">
        <v>0</v>
      </c>
      <c r="N1064" t="n">
        <v>0</v>
      </c>
      <c r="O1064" t="n">
        <v>1</v>
      </c>
      <c r="P1064" t="n">
        <v>0</v>
      </c>
      <c r="Q1064" t="n">
        <v>1</v>
      </c>
      <c r="R1064" s="2" t="inlineStr">
        <is>
          <t>Motaggsvamp</t>
        </is>
      </c>
      <c r="S1064">
        <f>HYPERLINK("https://klasma.github.io/Logging_2401/artfynd/A 60756-2025 artfynd.xlsx", "A 60756-2025")</f>
        <v/>
      </c>
      <c r="T1064">
        <f>HYPERLINK("https://klasma.github.io/Logging_2401/kartor/A 60756-2025 karta.png", "A 60756-2025")</f>
        <v/>
      </c>
      <c r="V1064">
        <f>HYPERLINK("https://klasma.github.io/Logging_2401/klagomål/A 60756-2025 FSC-klagomål.docx", "A 60756-2025")</f>
        <v/>
      </c>
      <c r="W1064">
        <f>HYPERLINK("https://klasma.github.io/Logging_2401/klagomålsmail/A 60756-2025 FSC-klagomål mail.docx", "A 60756-2025")</f>
        <v/>
      </c>
      <c r="X1064">
        <f>HYPERLINK("https://klasma.github.io/Logging_2401/tillsyn/A 60756-2025 tillsynsbegäran.docx", "A 60756-2025")</f>
        <v/>
      </c>
      <c r="Y1064">
        <f>HYPERLINK("https://klasma.github.io/Logging_2401/tillsynsmail/A 60756-2025 tillsynsbegäran mail.docx", "A 60756-2025")</f>
        <v/>
      </c>
    </row>
    <row r="1065" ht="15" customHeight="1">
      <c r="A1065" t="inlineStr">
        <is>
          <t>A 59903-2023</t>
        </is>
      </c>
      <c r="B1065" s="1" t="n">
        <v>45254</v>
      </c>
      <c r="C1065" s="1" t="n">
        <v>46075</v>
      </c>
      <c r="D1065" t="inlineStr">
        <is>
          <t>VÄSTERBOTTENS LÄN</t>
        </is>
      </c>
      <c r="E1065" t="inlineStr">
        <is>
          <t>VINDELN</t>
        </is>
      </c>
      <c r="G1065" t="n">
        <v>5.9</v>
      </c>
      <c r="H1065" t="n">
        <v>0</v>
      </c>
      <c r="I1065" t="n">
        <v>0</v>
      </c>
      <c r="J1065" t="n">
        <v>1</v>
      </c>
      <c r="K1065" t="n">
        <v>0</v>
      </c>
      <c r="L1065" t="n">
        <v>0</v>
      </c>
      <c r="M1065" t="n">
        <v>0</v>
      </c>
      <c r="N1065" t="n">
        <v>0</v>
      </c>
      <c r="O1065" t="n">
        <v>1</v>
      </c>
      <c r="P1065" t="n">
        <v>0</v>
      </c>
      <c r="Q1065" t="n">
        <v>1</v>
      </c>
      <c r="R1065" s="2" t="inlineStr">
        <is>
          <t>Mörk kolflarnlav</t>
        </is>
      </c>
      <c r="S1065">
        <f>HYPERLINK("https://klasma.github.io/Logging_2404/artfynd/A 59903-2023 artfynd.xlsx", "A 59903-2023")</f>
        <v/>
      </c>
      <c r="T1065">
        <f>HYPERLINK("https://klasma.github.io/Logging_2404/kartor/A 59903-2023 karta.png", "A 59903-2023")</f>
        <v/>
      </c>
      <c r="U1065">
        <f>HYPERLINK("https://klasma.github.io/Logging_2404/knärot/A 59903-2023 karta knärot.png", "A 59903-2023")</f>
        <v/>
      </c>
      <c r="V1065">
        <f>HYPERLINK("https://klasma.github.io/Logging_2404/klagomål/A 59903-2023 FSC-klagomål.docx", "A 59903-2023")</f>
        <v/>
      </c>
      <c r="W1065">
        <f>HYPERLINK("https://klasma.github.io/Logging_2404/klagomålsmail/A 59903-2023 FSC-klagomål mail.docx", "A 59903-2023")</f>
        <v/>
      </c>
      <c r="X1065">
        <f>HYPERLINK("https://klasma.github.io/Logging_2404/tillsyn/A 59903-2023 tillsynsbegäran.docx", "A 59903-2023")</f>
        <v/>
      </c>
      <c r="Y1065">
        <f>HYPERLINK("https://klasma.github.io/Logging_2404/tillsynsmail/A 59903-2023 tillsynsbegäran mail.docx", "A 59903-2023")</f>
        <v/>
      </c>
    </row>
    <row r="1066" ht="15" customHeight="1">
      <c r="A1066" t="inlineStr">
        <is>
          <t>A 2844-2026</t>
        </is>
      </c>
      <c r="B1066" s="1" t="n">
        <v>46036</v>
      </c>
      <c r="C1066" s="1" t="n">
        <v>46075</v>
      </c>
      <c r="D1066" t="inlineStr">
        <is>
          <t>VÄSTERBOTTENS LÄN</t>
        </is>
      </c>
      <c r="E1066" t="inlineStr">
        <is>
          <t>SKELLEFTEÅ</t>
        </is>
      </c>
      <c r="G1066" t="n">
        <v>3.4</v>
      </c>
      <c r="H1066" t="n">
        <v>0</v>
      </c>
      <c r="I1066" t="n">
        <v>1</v>
      </c>
      <c r="J1066" t="n">
        <v>0</v>
      </c>
      <c r="K1066" t="n">
        <v>0</v>
      </c>
      <c r="L1066" t="n">
        <v>0</v>
      </c>
      <c r="M1066" t="n">
        <v>0</v>
      </c>
      <c r="N1066" t="n">
        <v>0</v>
      </c>
      <c r="O1066" t="n">
        <v>0</v>
      </c>
      <c r="P1066" t="n">
        <v>0</v>
      </c>
      <c r="Q1066" t="n">
        <v>1</v>
      </c>
      <c r="R1066" s="2" t="inlineStr">
        <is>
          <t>Ögonpyrola</t>
        </is>
      </c>
      <c r="S1066">
        <f>HYPERLINK("https://klasma.github.io/Logging_2482/artfynd/A 2844-2026 artfynd.xlsx", "A 2844-2026")</f>
        <v/>
      </c>
      <c r="T1066">
        <f>HYPERLINK("https://klasma.github.io/Logging_2482/kartor/A 2844-2026 karta.png", "A 2844-2026")</f>
        <v/>
      </c>
      <c r="V1066">
        <f>HYPERLINK("https://klasma.github.io/Logging_2482/klagomål/A 2844-2026 FSC-klagomål.docx", "A 2844-2026")</f>
        <v/>
      </c>
      <c r="W1066">
        <f>HYPERLINK("https://klasma.github.io/Logging_2482/klagomålsmail/A 2844-2026 FSC-klagomål mail.docx", "A 2844-2026")</f>
        <v/>
      </c>
      <c r="X1066">
        <f>HYPERLINK("https://klasma.github.io/Logging_2482/tillsyn/A 2844-2026 tillsynsbegäran.docx", "A 2844-2026")</f>
        <v/>
      </c>
      <c r="Y1066">
        <f>HYPERLINK("https://klasma.github.io/Logging_2482/tillsynsmail/A 2844-2026 tillsynsbegäran mail.docx", "A 2844-2026")</f>
        <v/>
      </c>
    </row>
    <row r="1067" ht="15" customHeight="1">
      <c r="A1067" t="inlineStr">
        <is>
          <t>A 42891-2023</t>
        </is>
      </c>
      <c r="B1067" s="1" t="n">
        <v>45182</v>
      </c>
      <c r="C1067" s="1" t="n">
        <v>46075</v>
      </c>
      <c r="D1067" t="inlineStr">
        <is>
          <t>VÄSTERBOTTENS LÄN</t>
        </is>
      </c>
      <c r="E1067" t="inlineStr">
        <is>
          <t>ROBERTSFORS</t>
        </is>
      </c>
      <c r="F1067" t="inlineStr">
        <is>
          <t>Holmen skog AB</t>
        </is>
      </c>
      <c r="G1067" t="n">
        <v>3.8</v>
      </c>
      <c r="H1067" t="n">
        <v>0</v>
      </c>
      <c r="I1067" t="n">
        <v>0</v>
      </c>
      <c r="J1067" t="n">
        <v>1</v>
      </c>
      <c r="K1067" t="n">
        <v>0</v>
      </c>
      <c r="L1067" t="n">
        <v>0</v>
      </c>
      <c r="M1067" t="n">
        <v>0</v>
      </c>
      <c r="N1067" t="n">
        <v>0</v>
      </c>
      <c r="O1067" t="n">
        <v>1</v>
      </c>
      <c r="P1067" t="n">
        <v>0</v>
      </c>
      <c r="Q1067" t="n">
        <v>1</v>
      </c>
      <c r="R1067" s="2" t="inlineStr">
        <is>
          <t>Garnlav</t>
        </is>
      </c>
      <c r="S1067">
        <f>HYPERLINK("https://klasma.github.io/Logging_2409/artfynd/A 42891-2023 artfynd.xlsx", "A 42891-2023")</f>
        <v/>
      </c>
      <c r="T1067">
        <f>HYPERLINK("https://klasma.github.io/Logging_2409/kartor/A 42891-2023 karta.png", "A 42891-2023")</f>
        <v/>
      </c>
      <c r="V1067">
        <f>HYPERLINK("https://klasma.github.io/Logging_2409/klagomål/A 42891-2023 FSC-klagomål.docx", "A 42891-2023")</f>
        <v/>
      </c>
      <c r="W1067">
        <f>HYPERLINK("https://klasma.github.io/Logging_2409/klagomålsmail/A 42891-2023 FSC-klagomål mail.docx", "A 42891-2023")</f>
        <v/>
      </c>
      <c r="X1067">
        <f>HYPERLINK("https://klasma.github.io/Logging_2409/tillsyn/A 42891-2023 tillsynsbegäran.docx", "A 42891-2023")</f>
        <v/>
      </c>
      <c r="Y1067">
        <f>HYPERLINK("https://klasma.github.io/Logging_2409/tillsynsmail/A 42891-2023 tillsynsbegäran mail.docx", "A 42891-2023")</f>
        <v/>
      </c>
    </row>
    <row r="1068" ht="15" customHeight="1">
      <c r="A1068" t="inlineStr">
        <is>
          <t>A 31318-2022</t>
        </is>
      </c>
      <c r="B1068" s="1" t="n">
        <v>44772</v>
      </c>
      <c r="C1068" s="1" t="n">
        <v>46075</v>
      </c>
      <c r="D1068" t="inlineStr">
        <is>
          <t>VÄSTERBOTTENS LÄN</t>
        </is>
      </c>
      <c r="E1068" t="inlineStr">
        <is>
          <t>UMEÅ</t>
        </is>
      </c>
      <c r="G1068" t="n">
        <v>11.3</v>
      </c>
      <c r="H1068" t="n">
        <v>1</v>
      </c>
      <c r="I1068" t="n">
        <v>0</v>
      </c>
      <c r="J1068" t="n">
        <v>1</v>
      </c>
      <c r="K1068" t="n">
        <v>0</v>
      </c>
      <c r="L1068" t="n">
        <v>0</v>
      </c>
      <c r="M1068" t="n">
        <v>0</v>
      </c>
      <c r="N1068" t="n">
        <v>0</v>
      </c>
      <c r="O1068" t="n">
        <v>1</v>
      </c>
      <c r="P1068" t="n">
        <v>0</v>
      </c>
      <c r="Q1068" t="n">
        <v>1</v>
      </c>
      <c r="R1068" s="2" t="inlineStr">
        <is>
          <t>Sävsparv</t>
        </is>
      </c>
      <c r="S1068">
        <f>HYPERLINK("https://klasma.github.io/Logging_2480/artfynd/A 31318-2022 artfynd.xlsx", "A 31318-2022")</f>
        <v/>
      </c>
      <c r="T1068">
        <f>HYPERLINK("https://klasma.github.io/Logging_2480/kartor/A 31318-2022 karta.png", "A 31318-2022")</f>
        <v/>
      </c>
      <c r="V1068">
        <f>HYPERLINK("https://klasma.github.io/Logging_2480/klagomål/A 31318-2022 FSC-klagomål.docx", "A 31318-2022")</f>
        <v/>
      </c>
      <c r="W1068">
        <f>HYPERLINK("https://klasma.github.io/Logging_2480/klagomålsmail/A 31318-2022 FSC-klagomål mail.docx", "A 31318-2022")</f>
        <v/>
      </c>
      <c r="X1068">
        <f>HYPERLINK("https://klasma.github.io/Logging_2480/tillsyn/A 31318-2022 tillsynsbegäran.docx", "A 31318-2022")</f>
        <v/>
      </c>
      <c r="Y1068">
        <f>HYPERLINK("https://klasma.github.io/Logging_2480/tillsynsmail/A 31318-2022 tillsynsbegäran mail.docx", "A 31318-2022")</f>
        <v/>
      </c>
      <c r="Z1068">
        <f>HYPERLINK("https://klasma.github.io/Logging_2480/fåglar/A 31318-2022 prioriterade fågelarter.docx", "A 31318-2022")</f>
        <v/>
      </c>
    </row>
    <row r="1069" ht="15" customHeight="1">
      <c r="A1069" t="inlineStr">
        <is>
          <t>A 28716-2023</t>
        </is>
      </c>
      <c r="B1069" s="1" t="n">
        <v>45103</v>
      </c>
      <c r="C1069" s="1" t="n">
        <v>46075</v>
      </c>
      <c r="D1069" t="inlineStr">
        <is>
          <t>VÄSTERBOTTENS LÄN</t>
        </is>
      </c>
      <c r="E1069" t="inlineStr">
        <is>
          <t>DOROTEA</t>
        </is>
      </c>
      <c r="F1069" t="inlineStr">
        <is>
          <t>Sveaskog</t>
        </is>
      </c>
      <c r="G1069" t="n">
        <v>10</v>
      </c>
      <c r="H1069" t="n">
        <v>0</v>
      </c>
      <c r="I1069" t="n">
        <v>1</v>
      </c>
      <c r="J1069" t="n">
        <v>0</v>
      </c>
      <c r="K1069" t="n">
        <v>0</v>
      </c>
      <c r="L1069" t="n">
        <v>0</v>
      </c>
      <c r="M1069" t="n">
        <v>0</v>
      </c>
      <c r="N1069" t="n">
        <v>0</v>
      </c>
      <c r="O1069" t="n">
        <v>0</v>
      </c>
      <c r="P1069" t="n">
        <v>0</v>
      </c>
      <c r="Q1069" t="n">
        <v>1</v>
      </c>
      <c r="R1069" s="2" t="inlineStr">
        <is>
          <t>Bårdlav</t>
        </is>
      </c>
      <c r="S1069">
        <f>HYPERLINK("https://klasma.github.io/Logging_2425/artfynd/A 28716-2023 artfynd.xlsx", "A 28716-2023")</f>
        <v/>
      </c>
      <c r="T1069">
        <f>HYPERLINK("https://klasma.github.io/Logging_2425/kartor/A 28716-2023 karta.png", "A 28716-2023")</f>
        <v/>
      </c>
      <c r="V1069">
        <f>HYPERLINK("https://klasma.github.io/Logging_2425/klagomål/A 28716-2023 FSC-klagomål.docx", "A 28716-2023")</f>
        <v/>
      </c>
      <c r="W1069">
        <f>HYPERLINK("https://klasma.github.io/Logging_2425/klagomålsmail/A 28716-2023 FSC-klagomål mail.docx", "A 28716-2023")</f>
        <v/>
      </c>
      <c r="X1069">
        <f>HYPERLINK("https://klasma.github.io/Logging_2425/tillsyn/A 28716-2023 tillsynsbegäran.docx", "A 28716-2023")</f>
        <v/>
      </c>
      <c r="Y1069">
        <f>HYPERLINK("https://klasma.github.io/Logging_2425/tillsynsmail/A 28716-2023 tillsynsbegäran mail.docx", "A 28716-2023")</f>
        <v/>
      </c>
    </row>
    <row r="1070" ht="15" customHeight="1">
      <c r="A1070" t="inlineStr">
        <is>
          <t>A 3046-2022</t>
        </is>
      </c>
      <c r="B1070" s="1" t="n">
        <v>44581</v>
      </c>
      <c r="C1070" s="1" t="n">
        <v>46075</v>
      </c>
      <c r="D1070" t="inlineStr">
        <is>
          <t>VÄSTERBOTTENS LÄN</t>
        </is>
      </c>
      <c r="E1070" t="inlineStr">
        <is>
          <t>STORUMAN</t>
        </is>
      </c>
      <c r="G1070" t="n">
        <v>23.9</v>
      </c>
      <c r="H1070" t="n">
        <v>0</v>
      </c>
      <c r="I1070" t="n">
        <v>0</v>
      </c>
      <c r="J1070" t="n">
        <v>1</v>
      </c>
      <c r="K1070" t="n">
        <v>0</v>
      </c>
      <c r="L1070" t="n">
        <v>0</v>
      </c>
      <c r="M1070" t="n">
        <v>0</v>
      </c>
      <c r="N1070" t="n">
        <v>0</v>
      </c>
      <c r="O1070" t="n">
        <v>1</v>
      </c>
      <c r="P1070" t="n">
        <v>0</v>
      </c>
      <c r="Q1070" t="n">
        <v>1</v>
      </c>
      <c r="R1070" s="2" t="inlineStr">
        <is>
          <t>Garnlav</t>
        </is>
      </c>
      <c r="S1070">
        <f>HYPERLINK("https://klasma.github.io/Logging_2421/artfynd/A 3046-2022 artfynd.xlsx", "A 3046-2022")</f>
        <v/>
      </c>
      <c r="T1070">
        <f>HYPERLINK("https://klasma.github.io/Logging_2421/kartor/A 3046-2022 karta.png", "A 3046-2022")</f>
        <v/>
      </c>
      <c r="V1070">
        <f>HYPERLINK("https://klasma.github.io/Logging_2421/klagomål/A 3046-2022 FSC-klagomål.docx", "A 3046-2022")</f>
        <v/>
      </c>
      <c r="W1070">
        <f>HYPERLINK("https://klasma.github.io/Logging_2421/klagomålsmail/A 3046-2022 FSC-klagomål mail.docx", "A 3046-2022")</f>
        <v/>
      </c>
      <c r="X1070">
        <f>HYPERLINK("https://klasma.github.io/Logging_2421/tillsyn/A 3046-2022 tillsynsbegäran.docx", "A 3046-2022")</f>
        <v/>
      </c>
      <c r="Y1070">
        <f>HYPERLINK("https://klasma.github.io/Logging_2421/tillsynsmail/A 3046-2022 tillsynsbegäran mail.docx", "A 3046-2022")</f>
        <v/>
      </c>
    </row>
    <row r="1071" ht="15" customHeight="1">
      <c r="A1071" t="inlineStr">
        <is>
          <t>A 42132-2024</t>
        </is>
      </c>
      <c r="B1071" s="1" t="n">
        <v>45562</v>
      </c>
      <c r="C1071" s="1" t="n">
        <v>46075</v>
      </c>
      <c r="D1071" t="inlineStr">
        <is>
          <t>VÄSTERBOTTENS LÄN</t>
        </is>
      </c>
      <c r="E1071" t="inlineStr">
        <is>
          <t>ÅSELE</t>
        </is>
      </c>
      <c r="F1071" t="inlineStr">
        <is>
          <t>Holmen skog AB</t>
        </is>
      </c>
      <c r="G1071" t="n">
        <v>18.5</v>
      </c>
      <c r="H1071" t="n">
        <v>0</v>
      </c>
      <c r="I1071" t="n">
        <v>0</v>
      </c>
      <c r="J1071" t="n">
        <v>1</v>
      </c>
      <c r="K1071" t="n">
        <v>0</v>
      </c>
      <c r="L1071" t="n">
        <v>0</v>
      </c>
      <c r="M1071" t="n">
        <v>0</v>
      </c>
      <c r="N1071" t="n">
        <v>0</v>
      </c>
      <c r="O1071" t="n">
        <v>1</v>
      </c>
      <c r="P1071" t="n">
        <v>0</v>
      </c>
      <c r="Q1071" t="n">
        <v>1</v>
      </c>
      <c r="R1071" s="2" t="inlineStr">
        <is>
          <t>Kolflarnlav</t>
        </is>
      </c>
      <c r="S1071">
        <f>HYPERLINK("https://klasma.github.io/Logging_2463/artfynd/A 42132-2024 artfynd.xlsx", "A 42132-2024")</f>
        <v/>
      </c>
      <c r="T1071">
        <f>HYPERLINK("https://klasma.github.io/Logging_2463/kartor/A 42132-2024 karta.png", "A 42132-2024")</f>
        <v/>
      </c>
      <c r="V1071">
        <f>HYPERLINK("https://klasma.github.io/Logging_2463/klagomål/A 42132-2024 FSC-klagomål.docx", "A 42132-2024")</f>
        <v/>
      </c>
      <c r="W1071">
        <f>HYPERLINK("https://klasma.github.io/Logging_2463/klagomålsmail/A 42132-2024 FSC-klagomål mail.docx", "A 42132-2024")</f>
        <v/>
      </c>
      <c r="X1071">
        <f>HYPERLINK("https://klasma.github.io/Logging_2463/tillsyn/A 42132-2024 tillsynsbegäran.docx", "A 42132-2024")</f>
        <v/>
      </c>
      <c r="Y1071">
        <f>HYPERLINK("https://klasma.github.io/Logging_2463/tillsynsmail/A 42132-2024 tillsynsbegäran mail.docx", "A 42132-2024")</f>
        <v/>
      </c>
    </row>
    <row r="1072" ht="15" customHeight="1">
      <c r="A1072" t="inlineStr">
        <is>
          <t>A 61224-2025</t>
        </is>
      </c>
      <c r="B1072" s="1" t="n">
        <v>46000.62998842593</v>
      </c>
      <c r="C1072" s="1" t="n">
        <v>46075</v>
      </c>
      <c r="D1072" t="inlineStr">
        <is>
          <t>VÄSTERBOTTENS LÄN</t>
        </is>
      </c>
      <c r="E1072" t="inlineStr">
        <is>
          <t>VÄNNÄS</t>
        </is>
      </c>
      <c r="G1072" t="n">
        <v>3.2</v>
      </c>
      <c r="H1072" t="n">
        <v>0</v>
      </c>
      <c r="I1072" t="n">
        <v>0</v>
      </c>
      <c r="J1072" t="n">
        <v>1</v>
      </c>
      <c r="K1072" t="n">
        <v>0</v>
      </c>
      <c r="L1072" t="n">
        <v>0</v>
      </c>
      <c r="M1072" t="n">
        <v>0</v>
      </c>
      <c r="N1072" t="n">
        <v>0</v>
      </c>
      <c r="O1072" t="n">
        <v>1</v>
      </c>
      <c r="P1072" t="n">
        <v>0</v>
      </c>
      <c r="Q1072" t="n">
        <v>1</v>
      </c>
      <c r="R1072" s="2" t="inlineStr">
        <is>
          <t>Älvstarr</t>
        </is>
      </c>
      <c r="S1072">
        <f>HYPERLINK("https://klasma.github.io/Logging_2460/artfynd/A 61224-2025 artfynd.xlsx", "A 61224-2025")</f>
        <v/>
      </c>
      <c r="T1072">
        <f>HYPERLINK("https://klasma.github.io/Logging_2460/kartor/A 61224-2025 karta.png", "A 61224-2025")</f>
        <v/>
      </c>
      <c r="V1072">
        <f>HYPERLINK("https://klasma.github.io/Logging_2460/klagomål/A 61224-2025 FSC-klagomål.docx", "A 61224-2025")</f>
        <v/>
      </c>
      <c r="W1072">
        <f>HYPERLINK("https://klasma.github.io/Logging_2460/klagomålsmail/A 61224-2025 FSC-klagomål mail.docx", "A 61224-2025")</f>
        <v/>
      </c>
      <c r="X1072">
        <f>HYPERLINK("https://klasma.github.io/Logging_2460/tillsyn/A 61224-2025 tillsynsbegäran.docx", "A 61224-2025")</f>
        <v/>
      </c>
      <c r="Y1072">
        <f>HYPERLINK("https://klasma.github.io/Logging_2460/tillsynsmail/A 61224-2025 tillsynsbegäran mail.docx", "A 61224-2025")</f>
        <v/>
      </c>
    </row>
    <row r="1073" ht="15" customHeight="1">
      <c r="A1073" t="inlineStr">
        <is>
          <t>A 61521-2025</t>
        </is>
      </c>
      <c r="B1073" s="1" t="n">
        <v>46001.68668981481</v>
      </c>
      <c r="C1073" s="1" t="n">
        <v>46075</v>
      </c>
      <c r="D1073" t="inlineStr">
        <is>
          <t>VÄSTERBOTTENS LÄN</t>
        </is>
      </c>
      <c r="E1073" t="inlineStr">
        <is>
          <t>BJURHOLM</t>
        </is>
      </c>
      <c r="F1073" t="inlineStr">
        <is>
          <t>SCA</t>
        </is>
      </c>
      <c r="G1073" t="n">
        <v>4.2</v>
      </c>
      <c r="H1073" t="n">
        <v>0</v>
      </c>
      <c r="I1073" t="n">
        <v>1</v>
      </c>
      <c r="J1073" t="n">
        <v>0</v>
      </c>
      <c r="K1073" t="n">
        <v>0</v>
      </c>
      <c r="L1073" t="n">
        <v>0</v>
      </c>
      <c r="M1073" t="n">
        <v>0</v>
      </c>
      <c r="N1073" t="n">
        <v>0</v>
      </c>
      <c r="O1073" t="n">
        <v>0</v>
      </c>
      <c r="P1073" t="n">
        <v>0</v>
      </c>
      <c r="Q1073" t="n">
        <v>1</v>
      </c>
      <c r="R1073" s="2" t="inlineStr">
        <is>
          <t>Dropptaggsvamp</t>
        </is>
      </c>
      <c r="S1073">
        <f>HYPERLINK("https://klasma.github.io/Logging_2403/artfynd/A 61521-2025 artfynd.xlsx", "A 61521-2025")</f>
        <v/>
      </c>
      <c r="T1073">
        <f>HYPERLINK("https://klasma.github.io/Logging_2403/kartor/A 61521-2025 karta.png", "A 61521-2025")</f>
        <v/>
      </c>
      <c r="V1073">
        <f>HYPERLINK("https://klasma.github.io/Logging_2403/klagomål/A 61521-2025 FSC-klagomål.docx", "A 61521-2025")</f>
        <v/>
      </c>
      <c r="W1073">
        <f>HYPERLINK("https://klasma.github.io/Logging_2403/klagomålsmail/A 61521-2025 FSC-klagomål mail.docx", "A 61521-2025")</f>
        <v/>
      </c>
      <c r="X1073">
        <f>HYPERLINK("https://klasma.github.io/Logging_2403/tillsyn/A 61521-2025 tillsynsbegäran.docx", "A 61521-2025")</f>
        <v/>
      </c>
      <c r="Y1073">
        <f>HYPERLINK("https://klasma.github.io/Logging_2403/tillsynsmail/A 61521-2025 tillsynsbegäran mail.docx", "A 61521-2025")</f>
        <v/>
      </c>
    </row>
    <row r="1074" ht="15" customHeight="1">
      <c r="A1074" t="inlineStr">
        <is>
          <t>A 61854-2025</t>
        </is>
      </c>
      <c r="B1074" s="1" t="n">
        <v>46003.38546296296</v>
      </c>
      <c r="C1074" s="1" t="n">
        <v>46075</v>
      </c>
      <c r="D1074" t="inlineStr">
        <is>
          <t>VÄSTERBOTTENS LÄN</t>
        </is>
      </c>
      <c r="E1074" t="inlineStr">
        <is>
          <t>LYCKSELE</t>
        </is>
      </c>
      <c r="F1074" t="inlineStr">
        <is>
          <t>Sveaskog</t>
        </is>
      </c>
      <c r="G1074" t="n">
        <v>2.3</v>
      </c>
      <c r="H1074" t="n">
        <v>0</v>
      </c>
      <c r="I1074" t="n">
        <v>0</v>
      </c>
      <c r="J1074" t="n">
        <v>1</v>
      </c>
      <c r="K1074" t="n">
        <v>0</v>
      </c>
      <c r="L1074" t="n">
        <v>0</v>
      </c>
      <c r="M1074" t="n">
        <v>0</v>
      </c>
      <c r="N1074" t="n">
        <v>0</v>
      </c>
      <c r="O1074" t="n">
        <v>1</v>
      </c>
      <c r="P1074" t="n">
        <v>0</v>
      </c>
      <c r="Q1074" t="n">
        <v>1</v>
      </c>
      <c r="R1074" s="2" t="inlineStr">
        <is>
          <t>Granticka</t>
        </is>
      </c>
      <c r="S1074">
        <f>HYPERLINK("https://klasma.github.io/Logging_2481/artfynd/A 61854-2025 artfynd.xlsx", "A 61854-2025")</f>
        <v/>
      </c>
      <c r="T1074">
        <f>HYPERLINK("https://klasma.github.io/Logging_2481/kartor/A 61854-2025 karta.png", "A 61854-2025")</f>
        <v/>
      </c>
      <c r="V1074">
        <f>HYPERLINK("https://klasma.github.io/Logging_2481/klagomål/A 61854-2025 FSC-klagomål.docx", "A 61854-2025")</f>
        <v/>
      </c>
      <c r="W1074">
        <f>HYPERLINK("https://klasma.github.io/Logging_2481/klagomålsmail/A 61854-2025 FSC-klagomål mail.docx", "A 61854-2025")</f>
        <v/>
      </c>
      <c r="X1074">
        <f>HYPERLINK("https://klasma.github.io/Logging_2481/tillsyn/A 61854-2025 tillsynsbegäran.docx", "A 61854-2025")</f>
        <v/>
      </c>
      <c r="Y1074">
        <f>HYPERLINK("https://klasma.github.io/Logging_2481/tillsynsmail/A 61854-2025 tillsynsbegäran mail.docx", "A 61854-2025")</f>
        <v/>
      </c>
    </row>
    <row r="1075" ht="15" customHeight="1">
      <c r="A1075" t="inlineStr">
        <is>
          <t>A 43276-2025</t>
        </is>
      </c>
      <c r="B1075" s="1" t="n">
        <v>45910</v>
      </c>
      <c r="C1075" s="1" t="n">
        <v>46075</v>
      </c>
      <c r="D1075" t="inlineStr">
        <is>
          <t>VÄSTERBOTTENS LÄN</t>
        </is>
      </c>
      <c r="E1075" t="inlineStr">
        <is>
          <t>ÅSELE</t>
        </is>
      </c>
      <c r="F1075" t="inlineStr">
        <is>
          <t>Kyrkan</t>
        </is>
      </c>
      <c r="G1075" t="n">
        <v>4.9</v>
      </c>
      <c r="H1075" t="n">
        <v>1</v>
      </c>
      <c r="I1075" t="n">
        <v>0</v>
      </c>
      <c r="J1075" t="n">
        <v>1</v>
      </c>
      <c r="K1075" t="n">
        <v>0</v>
      </c>
      <c r="L1075" t="n">
        <v>0</v>
      </c>
      <c r="M1075" t="n">
        <v>0</v>
      </c>
      <c r="N1075" t="n">
        <v>0</v>
      </c>
      <c r="O1075" t="n">
        <v>1</v>
      </c>
      <c r="P1075" t="n">
        <v>0</v>
      </c>
      <c r="Q1075" t="n">
        <v>1</v>
      </c>
      <c r="R1075" s="2" t="inlineStr">
        <is>
          <t>Tretåig hackspett</t>
        </is>
      </c>
      <c r="S1075">
        <f>HYPERLINK("https://klasma.github.io/Logging_2463/artfynd/A 43276-2025 artfynd.xlsx", "A 43276-2025")</f>
        <v/>
      </c>
      <c r="T1075">
        <f>HYPERLINK("https://klasma.github.io/Logging_2463/kartor/A 43276-2025 karta.png", "A 43276-2025")</f>
        <v/>
      </c>
      <c r="V1075">
        <f>HYPERLINK("https://klasma.github.io/Logging_2463/klagomål/A 43276-2025 FSC-klagomål.docx", "A 43276-2025")</f>
        <v/>
      </c>
      <c r="W1075">
        <f>HYPERLINK("https://klasma.github.io/Logging_2463/klagomålsmail/A 43276-2025 FSC-klagomål mail.docx", "A 43276-2025")</f>
        <v/>
      </c>
      <c r="X1075">
        <f>HYPERLINK("https://klasma.github.io/Logging_2463/tillsyn/A 43276-2025 tillsynsbegäran.docx", "A 43276-2025")</f>
        <v/>
      </c>
      <c r="Y1075">
        <f>HYPERLINK("https://klasma.github.io/Logging_2463/tillsynsmail/A 43276-2025 tillsynsbegäran mail.docx", "A 43276-2025")</f>
        <v/>
      </c>
      <c r="Z1075">
        <f>HYPERLINK("https://klasma.github.io/Logging_2463/fåglar/A 43276-2025 prioriterade fågelarter.docx", "A 43276-2025")</f>
        <v/>
      </c>
    </row>
    <row r="1076" ht="15" customHeight="1">
      <c r="A1076" t="inlineStr">
        <is>
          <t>A 45267-2021</t>
        </is>
      </c>
      <c r="B1076" s="1" t="n">
        <v>44439</v>
      </c>
      <c r="C1076" s="1" t="n">
        <v>46075</v>
      </c>
      <c r="D1076" t="inlineStr">
        <is>
          <t>VÄSTERBOTTENS LÄN</t>
        </is>
      </c>
      <c r="E1076" t="inlineStr">
        <is>
          <t>VINDELN</t>
        </is>
      </c>
      <c r="G1076" t="n">
        <v>1.9</v>
      </c>
      <c r="H1076" t="n">
        <v>0</v>
      </c>
      <c r="I1076" t="n">
        <v>1</v>
      </c>
      <c r="J1076" t="n">
        <v>0</v>
      </c>
      <c r="K1076" t="n">
        <v>0</v>
      </c>
      <c r="L1076" t="n">
        <v>0</v>
      </c>
      <c r="M1076" t="n">
        <v>0</v>
      </c>
      <c r="N1076" t="n">
        <v>0</v>
      </c>
      <c r="O1076" t="n">
        <v>0</v>
      </c>
      <c r="P1076" t="n">
        <v>0</v>
      </c>
      <c r="Q1076" t="n">
        <v>1</v>
      </c>
      <c r="R1076" s="2" t="inlineStr">
        <is>
          <t>Mörk husmossa</t>
        </is>
      </c>
      <c r="S1076">
        <f>HYPERLINK("https://klasma.github.io/Logging_2404/artfynd/A 45267-2021 artfynd.xlsx", "A 45267-2021")</f>
        <v/>
      </c>
      <c r="T1076">
        <f>HYPERLINK("https://klasma.github.io/Logging_2404/kartor/A 45267-2021 karta.png", "A 45267-2021")</f>
        <v/>
      </c>
      <c r="V1076">
        <f>HYPERLINK("https://klasma.github.io/Logging_2404/klagomål/A 45267-2021 FSC-klagomål.docx", "A 45267-2021")</f>
        <v/>
      </c>
      <c r="W1076">
        <f>HYPERLINK("https://klasma.github.io/Logging_2404/klagomålsmail/A 45267-2021 FSC-klagomål mail.docx", "A 45267-2021")</f>
        <v/>
      </c>
      <c r="X1076">
        <f>HYPERLINK("https://klasma.github.io/Logging_2404/tillsyn/A 45267-2021 tillsynsbegäran.docx", "A 45267-2021")</f>
        <v/>
      </c>
      <c r="Y1076">
        <f>HYPERLINK("https://klasma.github.io/Logging_2404/tillsynsmail/A 45267-2021 tillsynsbegäran mail.docx", "A 45267-2021")</f>
        <v/>
      </c>
    </row>
    <row r="1077" ht="15" customHeight="1">
      <c r="A1077" t="inlineStr">
        <is>
          <t>A 33913-2024</t>
        </is>
      </c>
      <c r="B1077" s="1" t="n">
        <v>45523.38783564815</v>
      </c>
      <c r="C1077" s="1" t="n">
        <v>46075</v>
      </c>
      <c r="D1077" t="inlineStr">
        <is>
          <t>VÄSTERBOTTENS LÄN</t>
        </is>
      </c>
      <c r="E1077" t="inlineStr">
        <is>
          <t>VILHELMINA</t>
        </is>
      </c>
      <c r="F1077" t="inlineStr">
        <is>
          <t>SCA</t>
        </is>
      </c>
      <c r="G1077" t="n">
        <v>2.4</v>
      </c>
      <c r="H1077" t="n">
        <v>0</v>
      </c>
      <c r="I1077" t="n">
        <v>0</v>
      </c>
      <c r="J1077" t="n">
        <v>1</v>
      </c>
      <c r="K1077" t="n">
        <v>0</v>
      </c>
      <c r="L1077" t="n">
        <v>0</v>
      </c>
      <c r="M1077" t="n">
        <v>0</v>
      </c>
      <c r="N1077" t="n">
        <v>0</v>
      </c>
      <c r="O1077" t="n">
        <v>1</v>
      </c>
      <c r="P1077" t="n">
        <v>0</v>
      </c>
      <c r="Q1077" t="n">
        <v>1</v>
      </c>
      <c r="R1077" s="2" t="inlineStr">
        <is>
          <t>Lunglav</t>
        </is>
      </c>
      <c r="S1077">
        <f>HYPERLINK("https://klasma.github.io/Logging_2462/artfynd/A 33913-2024 artfynd.xlsx", "A 33913-2024")</f>
        <v/>
      </c>
      <c r="T1077">
        <f>HYPERLINK("https://klasma.github.io/Logging_2462/kartor/A 33913-2024 karta.png", "A 33913-2024")</f>
        <v/>
      </c>
      <c r="V1077">
        <f>HYPERLINK("https://klasma.github.io/Logging_2462/klagomål/A 33913-2024 FSC-klagomål.docx", "A 33913-2024")</f>
        <v/>
      </c>
      <c r="W1077">
        <f>HYPERLINK("https://klasma.github.io/Logging_2462/klagomålsmail/A 33913-2024 FSC-klagomål mail.docx", "A 33913-2024")</f>
        <v/>
      </c>
      <c r="X1077">
        <f>HYPERLINK("https://klasma.github.io/Logging_2462/tillsyn/A 33913-2024 tillsynsbegäran.docx", "A 33913-2024")</f>
        <v/>
      </c>
      <c r="Y1077">
        <f>HYPERLINK("https://klasma.github.io/Logging_2462/tillsynsmail/A 33913-2024 tillsynsbegäran mail.docx", "A 33913-2024")</f>
        <v/>
      </c>
    </row>
    <row r="1078" ht="15" customHeight="1">
      <c r="A1078" t="inlineStr">
        <is>
          <t>A 74395-2021</t>
        </is>
      </c>
      <c r="B1078" s="1" t="n">
        <v>44560</v>
      </c>
      <c r="C1078" s="1" t="n">
        <v>46075</v>
      </c>
      <c r="D1078" t="inlineStr">
        <is>
          <t>VÄSTERBOTTENS LÄN</t>
        </is>
      </c>
      <c r="E1078" t="inlineStr">
        <is>
          <t>VILHELMINA</t>
        </is>
      </c>
      <c r="G1078" t="n">
        <v>37.6</v>
      </c>
      <c r="H1078" t="n">
        <v>1</v>
      </c>
      <c r="I1078" t="n">
        <v>0</v>
      </c>
      <c r="J1078" t="n">
        <v>1</v>
      </c>
      <c r="K1078" t="n">
        <v>0</v>
      </c>
      <c r="L1078" t="n">
        <v>0</v>
      </c>
      <c r="M1078" t="n">
        <v>0</v>
      </c>
      <c r="N1078" t="n">
        <v>0</v>
      </c>
      <c r="O1078" t="n">
        <v>1</v>
      </c>
      <c r="P1078" t="n">
        <v>0</v>
      </c>
      <c r="Q1078" t="n">
        <v>1</v>
      </c>
      <c r="R1078" s="2" t="inlineStr">
        <is>
          <t>Tretåig hackspett</t>
        </is>
      </c>
      <c r="S1078">
        <f>HYPERLINK("https://klasma.github.io/Logging_2462/artfynd/A 74395-2021 artfynd.xlsx", "A 74395-2021")</f>
        <v/>
      </c>
      <c r="T1078">
        <f>HYPERLINK("https://klasma.github.io/Logging_2462/kartor/A 74395-2021 karta.png", "A 74395-2021")</f>
        <v/>
      </c>
      <c r="V1078">
        <f>HYPERLINK("https://klasma.github.io/Logging_2462/klagomål/A 74395-2021 FSC-klagomål.docx", "A 74395-2021")</f>
        <v/>
      </c>
      <c r="W1078">
        <f>HYPERLINK("https://klasma.github.io/Logging_2462/klagomålsmail/A 74395-2021 FSC-klagomål mail.docx", "A 74395-2021")</f>
        <v/>
      </c>
      <c r="X1078">
        <f>HYPERLINK("https://klasma.github.io/Logging_2462/tillsyn/A 74395-2021 tillsynsbegäran.docx", "A 74395-2021")</f>
        <v/>
      </c>
      <c r="Y1078">
        <f>HYPERLINK("https://klasma.github.io/Logging_2462/tillsynsmail/A 74395-2021 tillsynsbegäran mail.docx", "A 74395-2021")</f>
        <v/>
      </c>
      <c r="Z1078">
        <f>HYPERLINK("https://klasma.github.io/Logging_2462/fåglar/A 74395-2021 prioriterade fågelarter.docx", "A 74395-2021")</f>
        <v/>
      </c>
    </row>
    <row r="1079" ht="15" customHeight="1">
      <c r="A1079" t="inlineStr">
        <is>
          <t>A 62373-2025</t>
        </is>
      </c>
      <c r="B1079" s="1" t="n">
        <v>46007.34458333333</v>
      </c>
      <c r="C1079" s="1" t="n">
        <v>46075</v>
      </c>
      <c r="D1079" t="inlineStr">
        <is>
          <t>VÄSTERBOTTENS LÄN</t>
        </is>
      </c>
      <c r="E1079" t="inlineStr">
        <is>
          <t>SKELLEFTEÅ</t>
        </is>
      </c>
      <c r="G1079" t="n">
        <v>7.3</v>
      </c>
      <c r="H1079" t="n">
        <v>0</v>
      </c>
      <c r="I1079" t="n">
        <v>0</v>
      </c>
      <c r="J1079" t="n">
        <v>1</v>
      </c>
      <c r="K1079" t="n">
        <v>0</v>
      </c>
      <c r="L1079" t="n">
        <v>0</v>
      </c>
      <c r="M1079" t="n">
        <v>0</v>
      </c>
      <c r="N1079" t="n">
        <v>0</v>
      </c>
      <c r="O1079" t="n">
        <v>1</v>
      </c>
      <c r="P1079" t="n">
        <v>0</v>
      </c>
      <c r="Q1079" t="n">
        <v>1</v>
      </c>
      <c r="R1079" s="2" t="inlineStr">
        <is>
          <t>Motaggsvamp</t>
        </is>
      </c>
      <c r="S1079">
        <f>HYPERLINK("https://klasma.github.io/Logging_2482/artfynd/A 62373-2025 artfynd.xlsx", "A 62373-2025")</f>
        <v/>
      </c>
      <c r="T1079">
        <f>HYPERLINK("https://klasma.github.io/Logging_2482/kartor/A 62373-2025 karta.png", "A 62373-2025")</f>
        <v/>
      </c>
      <c r="V1079">
        <f>HYPERLINK("https://klasma.github.io/Logging_2482/klagomål/A 62373-2025 FSC-klagomål.docx", "A 62373-2025")</f>
        <v/>
      </c>
      <c r="W1079">
        <f>HYPERLINK("https://klasma.github.io/Logging_2482/klagomålsmail/A 62373-2025 FSC-klagomål mail.docx", "A 62373-2025")</f>
        <v/>
      </c>
      <c r="X1079">
        <f>HYPERLINK("https://klasma.github.io/Logging_2482/tillsyn/A 62373-2025 tillsynsbegäran.docx", "A 62373-2025")</f>
        <v/>
      </c>
      <c r="Y1079">
        <f>HYPERLINK("https://klasma.github.io/Logging_2482/tillsynsmail/A 62373-2025 tillsynsbegäran mail.docx", "A 62373-2025")</f>
        <v/>
      </c>
    </row>
    <row r="1080" ht="15" customHeight="1">
      <c r="A1080" t="inlineStr">
        <is>
          <t>A 62418-2025</t>
        </is>
      </c>
      <c r="B1080" s="1" t="n">
        <v>46007.44689814815</v>
      </c>
      <c r="C1080" s="1" t="n">
        <v>46075</v>
      </c>
      <c r="D1080" t="inlineStr">
        <is>
          <t>VÄSTERBOTTENS LÄN</t>
        </is>
      </c>
      <c r="E1080" t="inlineStr">
        <is>
          <t>VÄNNÄS</t>
        </is>
      </c>
      <c r="G1080" t="n">
        <v>3.1</v>
      </c>
      <c r="H1080" t="n">
        <v>1</v>
      </c>
      <c r="I1080" t="n">
        <v>0</v>
      </c>
      <c r="J1080" t="n">
        <v>0</v>
      </c>
      <c r="K1080" t="n">
        <v>0</v>
      </c>
      <c r="L1080" t="n">
        <v>0</v>
      </c>
      <c r="M1080" t="n">
        <v>0</v>
      </c>
      <c r="N1080" t="n">
        <v>0</v>
      </c>
      <c r="O1080" t="n">
        <v>0</v>
      </c>
      <c r="P1080" t="n">
        <v>0</v>
      </c>
      <c r="Q1080" t="n">
        <v>1</v>
      </c>
      <c r="R1080" s="2" t="inlineStr">
        <is>
          <t>Kungsfågel</t>
        </is>
      </c>
      <c r="S1080">
        <f>HYPERLINK("https://klasma.github.io/Logging_2460/artfynd/A 62418-2025 artfynd.xlsx", "A 62418-2025")</f>
        <v/>
      </c>
      <c r="T1080">
        <f>HYPERLINK("https://klasma.github.io/Logging_2460/kartor/A 62418-2025 karta.png", "A 62418-2025")</f>
        <v/>
      </c>
      <c r="V1080">
        <f>HYPERLINK("https://klasma.github.io/Logging_2460/klagomål/A 62418-2025 FSC-klagomål.docx", "A 62418-2025")</f>
        <v/>
      </c>
      <c r="W1080">
        <f>HYPERLINK("https://klasma.github.io/Logging_2460/klagomålsmail/A 62418-2025 FSC-klagomål mail.docx", "A 62418-2025")</f>
        <v/>
      </c>
      <c r="X1080">
        <f>HYPERLINK("https://klasma.github.io/Logging_2460/tillsyn/A 62418-2025 tillsynsbegäran.docx", "A 62418-2025")</f>
        <v/>
      </c>
      <c r="Y1080">
        <f>HYPERLINK("https://klasma.github.io/Logging_2460/tillsynsmail/A 62418-2025 tillsynsbegäran mail.docx", "A 62418-2025")</f>
        <v/>
      </c>
      <c r="Z1080">
        <f>HYPERLINK("https://klasma.github.io/Logging_2460/fåglar/A 62418-2025 prioriterade fågelarter.docx", "A 62418-2025")</f>
        <v/>
      </c>
    </row>
    <row r="1081" ht="15" customHeight="1">
      <c r="A1081" t="inlineStr">
        <is>
          <t>A 62111-2025</t>
        </is>
      </c>
      <c r="B1081" s="1" t="n">
        <v>46006.43400462963</v>
      </c>
      <c r="C1081" s="1" t="n">
        <v>46075</v>
      </c>
      <c r="D1081" t="inlineStr">
        <is>
          <t>VÄSTERBOTTENS LÄN</t>
        </is>
      </c>
      <c r="E1081" t="inlineStr">
        <is>
          <t>VINDELN</t>
        </is>
      </c>
      <c r="F1081" t="inlineStr">
        <is>
          <t>Sveaskog</t>
        </is>
      </c>
      <c r="G1081" t="n">
        <v>1.1</v>
      </c>
      <c r="H1081" t="n">
        <v>0</v>
      </c>
      <c r="I1081" t="n">
        <v>0</v>
      </c>
      <c r="J1081" t="n">
        <v>1</v>
      </c>
      <c r="K1081" t="n">
        <v>0</v>
      </c>
      <c r="L1081" t="n">
        <v>0</v>
      </c>
      <c r="M1081" t="n">
        <v>0</v>
      </c>
      <c r="N1081" t="n">
        <v>0</v>
      </c>
      <c r="O1081" t="n">
        <v>1</v>
      </c>
      <c r="P1081" t="n">
        <v>0</v>
      </c>
      <c r="Q1081" t="n">
        <v>1</v>
      </c>
      <c r="R1081" s="2" t="inlineStr">
        <is>
          <t>Garnlav</t>
        </is>
      </c>
      <c r="S1081">
        <f>HYPERLINK("https://klasma.github.io/Logging_2404/artfynd/A 62111-2025 artfynd.xlsx", "A 62111-2025")</f>
        <v/>
      </c>
      <c r="T1081">
        <f>HYPERLINK("https://klasma.github.io/Logging_2404/kartor/A 62111-2025 karta.png", "A 62111-2025")</f>
        <v/>
      </c>
      <c r="V1081">
        <f>HYPERLINK("https://klasma.github.io/Logging_2404/klagomål/A 62111-2025 FSC-klagomål.docx", "A 62111-2025")</f>
        <v/>
      </c>
      <c r="W1081">
        <f>HYPERLINK("https://klasma.github.io/Logging_2404/klagomålsmail/A 62111-2025 FSC-klagomål mail.docx", "A 62111-2025")</f>
        <v/>
      </c>
      <c r="X1081">
        <f>HYPERLINK("https://klasma.github.io/Logging_2404/tillsyn/A 62111-2025 tillsynsbegäran.docx", "A 62111-2025")</f>
        <v/>
      </c>
      <c r="Y1081">
        <f>HYPERLINK("https://klasma.github.io/Logging_2404/tillsynsmail/A 62111-2025 tillsynsbegäran mail.docx", "A 62111-2025")</f>
        <v/>
      </c>
    </row>
    <row r="1082" ht="15" customHeight="1">
      <c r="A1082" t="inlineStr">
        <is>
          <t>A 62145-2025</t>
        </is>
      </c>
      <c r="B1082" s="1" t="n">
        <v>46006.47403935185</v>
      </c>
      <c r="C1082" s="1" t="n">
        <v>46075</v>
      </c>
      <c r="D1082" t="inlineStr">
        <is>
          <t>VÄSTERBOTTENS LÄN</t>
        </is>
      </c>
      <c r="E1082" t="inlineStr">
        <is>
          <t>UMEÅ</t>
        </is>
      </c>
      <c r="G1082" t="n">
        <v>2.8</v>
      </c>
      <c r="H1082" t="n">
        <v>1</v>
      </c>
      <c r="I1082" t="n">
        <v>0</v>
      </c>
      <c r="J1082" t="n">
        <v>1</v>
      </c>
      <c r="K1082" t="n">
        <v>0</v>
      </c>
      <c r="L1082" t="n">
        <v>0</v>
      </c>
      <c r="M1082" t="n">
        <v>0</v>
      </c>
      <c r="N1082" t="n">
        <v>0</v>
      </c>
      <c r="O1082" t="n">
        <v>1</v>
      </c>
      <c r="P1082" t="n">
        <v>0</v>
      </c>
      <c r="Q1082" t="n">
        <v>1</v>
      </c>
      <c r="R1082" s="2" t="inlineStr">
        <is>
          <t>Tretåig hackspett</t>
        </is>
      </c>
      <c r="S1082">
        <f>HYPERLINK("https://klasma.github.io/Logging_2480/artfynd/A 62145-2025 artfynd.xlsx", "A 62145-2025")</f>
        <v/>
      </c>
      <c r="T1082">
        <f>HYPERLINK("https://klasma.github.io/Logging_2480/kartor/A 62145-2025 karta.png", "A 62145-2025")</f>
        <v/>
      </c>
      <c r="V1082">
        <f>HYPERLINK("https://klasma.github.io/Logging_2480/klagomål/A 62145-2025 FSC-klagomål.docx", "A 62145-2025")</f>
        <v/>
      </c>
      <c r="W1082">
        <f>HYPERLINK("https://klasma.github.io/Logging_2480/klagomålsmail/A 62145-2025 FSC-klagomål mail.docx", "A 62145-2025")</f>
        <v/>
      </c>
      <c r="X1082">
        <f>HYPERLINK("https://klasma.github.io/Logging_2480/tillsyn/A 62145-2025 tillsynsbegäran.docx", "A 62145-2025")</f>
        <v/>
      </c>
      <c r="Y1082">
        <f>HYPERLINK("https://klasma.github.io/Logging_2480/tillsynsmail/A 62145-2025 tillsynsbegäran mail.docx", "A 62145-2025")</f>
        <v/>
      </c>
      <c r="Z1082">
        <f>HYPERLINK("https://klasma.github.io/Logging_2480/fåglar/A 62145-2025 prioriterade fågelarter.docx", "A 62145-2025")</f>
        <v/>
      </c>
    </row>
    <row r="1083" ht="15" customHeight="1">
      <c r="A1083" t="inlineStr">
        <is>
          <t>A 5283-2026</t>
        </is>
      </c>
      <c r="B1083" s="1" t="n">
        <v>46050.34430555555</v>
      </c>
      <c r="C1083" s="1" t="n">
        <v>46075</v>
      </c>
      <c r="D1083" t="inlineStr">
        <is>
          <t>VÄSTERBOTTENS LÄN</t>
        </is>
      </c>
      <c r="E1083" t="inlineStr">
        <is>
          <t>ROBERTSFORS</t>
        </is>
      </c>
      <c r="G1083" t="n">
        <v>1.2</v>
      </c>
      <c r="H1083" t="n">
        <v>1</v>
      </c>
      <c r="I1083" t="n">
        <v>0</v>
      </c>
      <c r="J1083" t="n">
        <v>1</v>
      </c>
      <c r="K1083" t="n">
        <v>0</v>
      </c>
      <c r="L1083" t="n">
        <v>0</v>
      </c>
      <c r="M1083" t="n">
        <v>0</v>
      </c>
      <c r="N1083" t="n">
        <v>0</v>
      </c>
      <c r="O1083" t="n">
        <v>1</v>
      </c>
      <c r="P1083" t="n">
        <v>0</v>
      </c>
      <c r="Q1083" t="n">
        <v>1</v>
      </c>
      <c r="R1083" s="2" t="inlineStr">
        <is>
          <t>Talltita</t>
        </is>
      </c>
      <c r="S1083">
        <f>HYPERLINK("https://klasma.github.io/Logging_2409/artfynd/A 5283-2026 artfynd.xlsx", "A 5283-2026")</f>
        <v/>
      </c>
      <c r="T1083">
        <f>HYPERLINK("https://klasma.github.io/Logging_2409/kartor/A 5283-2026 karta.png", "A 5283-2026")</f>
        <v/>
      </c>
      <c r="V1083">
        <f>HYPERLINK("https://klasma.github.io/Logging_2409/klagomål/A 5283-2026 FSC-klagomål.docx", "A 5283-2026")</f>
        <v/>
      </c>
      <c r="W1083">
        <f>HYPERLINK("https://klasma.github.io/Logging_2409/klagomålsmail/A 5283-2026 FSC-klagomål mail.docx", "A 5283-2026")</f>
        <v/>
      </c>
      <c r="X1083">
        <f>HYPERLINK("https://klasma.github.io/Logging_2409/tillsyn/A 5283-2026 tillsynsbegäran.docx", "A 5283-2026")</f>
        <v/>
      </c>
      <c r="Y1083">
        <f>HYPERLINK("https://klasma.github.io/Logging_2409/tillsynsmail/A 5283-2026 tillsynsbegäran mail.docx", "A 5283-2026")</f>
        <v/>
      </c>
      <c r="Z1083">
        <f>HYPERLINK("https://klasma.github.io/Logging_2409/fåglar/A 5283-2026 prioriterade fågelarter.docx", "A 5283-2026")</f>
        <v/>
      </c>
    </row>
    <row r="1084" ht="15" customHeight="1">
      <c r="A1084" t="inlineStr">
        <is>
          <t>A 32724-2024</t>
        </is>
      </c>
      <c r="B1084" s="1" t="n">
        <v>45516.40765046296</v>
      </c>
      <c r="C1084" s="1" t="n">
        <v>46075</v>
      </c>
      <c r="D1084" t="inlineStr">
        <is>
          <t>VÄSTERBOTTENS LÄN</t>
        </is>
      </c>
      <c r="E1084" t="inlineStr">
        <is>
          <t>SKELLEFTEÅ</t>
        </is>
      </c>
      <c r="F1084" t="inlineStr">
        <is>
          <t>Holmen skog AB</t>
        </is>
      </c>
      <c r="G1084" t="n">
        <v>4.4</v>
      </c>
      <c r="H1084" t="n">
        <v>0</v>
      </c>
      <c r="I1084" t="n">
        <v>0</v>
      </c>
      <c r="J1084" t="n">
        <v>1</v>
      </c>
      <c r="K1084" t="n">
        <v>0</v>
      </c>
      <c r="L1084" t="n">
        <v>0</v>
      </c>
      <c r="M1084" t="n">
        <v>0</v>
      </c>
      <c r="N1084" t="n">
        <v>0</v>
      </c>
      <c r="O1084" t="n">
        <v>1</v>
      </c>
      <c r="P1084" t="n">
        <v>0</v>
      </c>
      <c r="Q1084" t="n">
        <v>1</v>
      </c>
      <c r="R1084" s="2" t="inlineStr">
        <is>
          <t>Lunglav</t>
        </is>
      </c>
      <c r="S1084">
        <f>HYPERLINK("https://klasma.github.io/Logging_2482/artfynd/A 32724-2024 artfynd.xlsx", "A 32724-2024")</f>
        <v/>
      </c>
      <c r="T1084">
        <f>HYPERLINK("https://klasma.github.io/Logging_2482/kartor/A 32724-2024 karta.png", "A 32724-2024")</f>
        <v/>
      </c>
      <c r="V1084">
        <f>HYPERLINK("https://klasma.github.io/Logging_2482/klagomål/A 32724-2024 FSC-klagomål.docx", "A 32724-2024")</f>
        <v/>
      </c>
      <c r="W1084">
        <f>HYPERLINK("https://klasma.github.io/Logging_2482/klagomålsmail/A 32724-2024 FSC-klagomål mail.docx", "A 32724-2024")</f>
        <v/>
      </c>
      <c r="X1084">
        <f>HYPERLINK("https://klasma.github.io/Logging_2482/tillsyn/A 32724-2024 tillsynsbegäran.docx", "A 32724-2024")</f>
        <v/>
      </c>
      <c r="Y1084">
        <f>HYPERLINK("https://klasma.github.io/Logging_2482/tillsynsmail/A 32724-2024 tillsynsbegäran mail.docx", "A 32724-2024")</f>
        <v/>
      </c>
    </row>
    <row r="1085" ht="15" customHeight="1">
      <c r="A1085" t="inlineStr">
        <is>
          <t>A 64497-2023</t>
        </is>
      </c>
      <c r="B1085" s="1" t="n">
        <v>45280</v>
      </c>
      <c r="C1085" s="1" t="n">
        <v>46075</v>
      </c>
      <c r="D1085" t="inlineStr">
        <is>
          <t>VÄSTERBOTTENS LÄN</t>
        </is>
      </c>
      <c r="E1085" t="inlineStr">
        <is>
          <t>ÅSELE</t>
        </is>
      </c>
      <c r="F1085" t="inlineStr">
        <is>
          <t>SCA</t>
        </is>
      </c>
      <c r="G1085" t="n">
        <v>7.3</v>
      </c>
      <c r="H1085" t="n">
        <v>0</v>
      </c>
      <c r="I1085" t="n">
        <v>0</v>
      </c>
      <c r="J1085" t="n">
        <v>1</v>
      </c>
      <c r="K1085" t="n">
        <v>0</v>
      </c>
      <c r="L1085" t="n">
        <v>0</v>
      </c>
      <c r="M1085" t="n">
        <v>0</v>
      </c>
      <c r="N1085" t="n">
        <v>0</v>
      </c>
      <c r="O1085" t="n">
        <v>1</v>
      </c>
      <c r="P1085" t="n">
        <v>0</v>
      </c>
      <c r="Q1085" t="n">
        <v>1</v>
      </c>
      <c r="R1085" s="2" t="inlineStr">
        <is>
          <t>Harticka</t>
        </is>
      </c>
      <c r="S1085">
        <f>HYPERLINK("https://klasma.github.io/Logging_2463/artfynd/A 64497-2023 artfynd.xlsx", "A 64497-2023")</f>
        <v/>
      </c>
      <c r="T1085">
        <f>HYPERLINK("https://klasma.github.io/Logging_2463/kartor/A 64497-2023 karta.png", "A 64497-2023")</f>
        <v/>
      </c>
      <c r="V1085">
        <f>HYPERLINK("https://klasma.github.io/Logging_2463/klagomål/A 64497-2023 FSC-klagomål.docx", "A 64497-2023")</f>
        <v/>
      </c>
      <c r="W1085">
        <f>HYPERLINK("https://klasma.github.io/Logging_2463/klagomålsmail/A 64497-2023 FSC-klagomål mail.docx", "A 64497-2023")</f>
        <v/>
      </c>
      <c r="X1085">
        <f>HYPERLINK("https://klasma.github.io/Logging_2463/tillsyn/A 64497-2023 tillsynsbegäran.docx", "A 64497-2023")</f>
        <v/>
      </c>
      <c r="Y1085">
        <f>HYPERLINK("https://klasma.github.io/Logging_2463/tillsynsmail/A 64497-2023 tillsynsbegäran mail.docx", "A 64497-2023")</f>
        <v/>
      </c>
    </row>
    <row r="1086" ht="15" customHeight="1">
      <c r="A1086" t="inlineStr">
        <is>
          <t>A 5658-2026</t>
        </is>
      </c>
      <c r="B1086" s="1" t="n">
        <v>46051.44943287037</v>
      </c>
      <c r="C1086" s="1" t="n">
        <v>46075</v>
      </c>
      <c r="D1086" t="inlineStr">
        <is>
          <t>VÄSTERBOTTENS LÄN</t>
        </is>
      </c>
      <c r="E1086" t="inlineStr">
        <is>
          <t>MALÅ</t>
        </is>
      </c>
      <c r="F1086" t="inlineStr">
        <is>
          <t>Sveaskog</t>
        </is>
      </c>
      <c r="G1086" t="n">
        <v>8.6</v>
      </c>
      <c r="H1086" t="n">
        <v>0</v>
      </c>
      <c r="I1086" t="n">
        <v>0</v>
      </c>
      <c r="J1086" t="n">
        <v>1</v>
      </c>
      <c r="K1086" t="n">
        <v>0</v>
      </c>
      <c r="L1086" t="n">
        <v>0</v>
      </c>
      <c r="M1086" t="n">
        <v>0</v>
      </c>
      <c r="N1086" t="n">
        <v>0</v>
      </c>
      <c r="O1086" t="n">
        <v>1</v>
      </c>
      <c r="P1086" t="n">
        <v>0</v>
      </c>
      <c r="Q1086" t="n">
        <v>1</v>
      </c>
      <c r="R1086" s="2" t="inlineStr">
        <is>
          <t>Grantaggsvamp</t>
        </is>
      </c>
      <c r="S1086">
        <f>HYPERLINK("https://klasma.github.io/Logging_2418/artfynd/A 5658-2026 artfynd.xlsx", "A 5658-2026")</f>
        <v/>
      </c>
      <c r="T1086">
        <f>HYPERLINK("https://klasma.github.io/Logging_2418/kartor/A 5658-2026 karta.png", "A 5658-2026")</f>
        <v/>
      </c>
      <c r="V1086">
        <f>HYPERLINK("https://klasma.github.io/Logging_2418/klagomål/A 5658-2026 FSC-klagomål.docx", "A 5658-2026")</f>
        <v/>
      </c>
      <c r="W1086">
        <f>HYPERLINK("https://klasma.github.io/Logging_2418/klagomålsmail/A 5658-2026 FSC-klagomål mail.docx", "A 5658-2026")</f>
        <v/>
      </c>
      <c r="X1086">
        <f>HYPERLINK("https://klasma.github.io/Logging_2418/tillsyn/A 5658-2026 tillsynsbegäran.docx", "A 5658-2026")</f>
        <v/>
      </c>
      <c r="Y1086">
        <f>HYPERLINK("https://klasma.github.io/Logging_2418/tillsynsmail/A 5658-2026 tillsynsbegäran mail.docx", "A 5658-2026")</f>
        <v/>
      </c>
    </row>
    <row r="1087" ht="15" customHeight="1">
      <c r="A1087" t="inlineStr">
        <is>
          <t>A 62184-2025</t>
        </is>
      </c>
      <c r="B1087" s="1" t="n">
        <v>46003</v>
      </c>
      <c r="C1087" s="1" t="n">
        <v>46075</v>
      </c>
      <c r="D1087" t="inlineStr">
        <is>
          <t>VÄSTERBOTTENS LÄN</t>
        </is>
      </c>
      <c r="E1087" t="inlineStr">
        <is>
          <t>DOROTEA</t>
        </is>
      </c>
      <c r="G1087" t="n">
        <v>30.7</v>
      </c>
      <c r="H1087" t="n">
        <v>1</v>
      </c>
      <c r="I1087" t="n">
        <v>0</v>
      </c>
      <c r="J1087" t="n">
        <v>0</v>
      </c>
      <c r="K1087" t="n">
        <v>0</v>
      </c>
      <c r="L1087" t="n">
        <v>0</v>
      </c>
      <c r="M1087" t="n">
        <v>0</v>
      </c>
      <c r="N1087" t="n">
        <v>0</v>
      </c>
      <c r="O1087" t="n">
        <v>0</v>
      </c>
      <c r="P1087" t="n">
        <v>0</v>
      </c>
      <c r="Q1087" t="n">
        <v>1</v>
      </c>
      <c r="R1087" s="2" t="inlineStr">
        <is>
          <t>Tjäder</t>
        </is>
      </c>
      <c r="S1087">
        <f>HYPERLINK("https://klasma.github.io/Logging_2425/artfynd/A 62184-2025 artfynd.xlsx", "A 62184-2025")</f>
        <v/>
      </c>
      <c r="T1087">
        <f>HYPERLINK("https://klasma.github.io/Logging_2425/kartor/A 62184-2025 karta.png", "A 62184-2025")</f>
        <v/>
      </c>
      <c r="V1087">
        <f>HYPERLINK("https://klasma.github.io/Logging_2425/klagomål/A 62184-2025 FSC-klagomål.docx", "A 62184-2025")</f>
        <v/>
      </c>
      <c r="W1087">
        <f>HYPERLINK("https://klasma.github.io/Logging_2425/klagomålsmail/A 62184-2025 FSC-klagomål mail.docx", "A 62184-2025")</f>
        <v/>
      </c>
      <c r="X1087">
        <f>HYPERLINK("https://klasma.github.io/Logging_2425/tillsyn/A 62184-2025 tillsynsbegäran.docx", "A 62184-2025")</f>
        <v/>
      </c>
      <c r="Y1087">
        <f>HYPERLINK("https://klasma.github.io/Logging_2425/tillsynsmail/A 62184-2025 tillsynsbegäran mail.docx", "A 62184-2025")</f>
        <v/>
      </c>
      <c r="Z1087">
        <f>HYPERLINK("https://klasma.github.io/Logging_2425/fåglar/A 62184-2025 prioriterade fågelarter.docx", "A 62184-2025")</f>
        <v/>
      </c>
    </row>
    <row r="1088" ht="15" customHeight="1">
      <c r="A1088" t="inlineStr">
        <is>
          <t>A 5611-2026</t>
        </is>
      </c>
      <c r="B1088" s="1" t="n">
        <v>46051.36436342593</v>
      </c>
      <c r="C1088" s="1" t="n">
        <v>46075</v>
      </c>
      <c r="D1088" t="inlineStr">
        <is>
          <t>VÄSTERBOTTENS LÄN</t>
        </is>
      </c>
      <c r="E1088" t="inlineStr">
        <is>
          <t>NORSJÖ</t>
        </is>
      </c>
      <c r="F1088" t="inlineStr">
        <is>
          <t>Sveaskog</t>
        </is>
      </c>
      <c r="G1088" t="n">
        <v>29.1</v>
      </c>
      <c r="H1088" t="n">
        <v>0</v>
      </c>
      <c r="I1088" t="n">
        <v>0</v>
      </c>
      <c r="J1088" t="n">
        <v>1</v>
      </c>
      <c r="K1088" t="n">
        <v>0</v>
      </c>
      <c r="L1088" t="n">
        <v>0</v>
      </c>
      <c r="M1088" t="n">
        <v>0</v>
      </c>
      <c r="N1088" t="n">
        <v>0</v>
      </c>
      <c r="O1088" t="n">
        <v>1</v>
      </c>
      <c r="P1088" t="n">
        <v>0</v>
      </c>
      <c r="Q1088" t="n">
        <v>1</v>
      </c>
      <c r="R1088" s="2" t="inlineStr">
        <is>
          <t>Lunglav</t>
        </is>
      </c>
      <c r="S1088">
        <f>HYPERLINK("https://klasma.github.io/Logging_2417/artfynd/A 5611-2026 artfynd.xlsx", "A 5611-2026")</f>
        <v/>
      </c>
      <c r="T1088">
        <f>HYPERLINK("https://klasma.github.io/Logging_2417/kartor/A 5611-2026 karta.png", "A 5611-2026")</f>
        <v/>
      </c>
      <c r="V1088">
        <f>HYPERLINK("https://klasma.github.io/Logging_2417/klagomål/A 5611-2026 FSC-klagomål.docx", "A 5611-2026")</f>
        <v/>
      </c>
      <c r="W1088">
        <f>HYPERLINK("https://klasma.github.io/Logging_2417/klagomålsmail/A 5611-2026 FSC-klagomål mail.docx", "A 5611-2026")</f>
        <v/>
      </c>
      <c r="X1088">
        <f>HYPERLINK("https://klasma.github.io/Logging_2417/tillsyn/A 5611-2026 tillsynsbegäran.docx", "A 5611-2026")</f>
        <v/>
      </c>
      <c r="Y1088">
        <f>HYPERLINK("https://klasma.github.io/Logging_2417/tillsynsmail/A 5611-2026 tillsynsbegäran mail.docx", "A 5611-2026")</f>
        <v/>
      </c>
    </row>
    <row r="1089" ht="15" customHeight="1">
      <c r="A1089" t="inlineStr">
        <is>
          <t>A 18000-2025</t>
        </is>
      </c>
      <c r="B1089" s="1" t="n">
        <v>45761</v>
      </c>
      <c r="C1089" s="1" t="n">
        <v>46075</v>
      </c>
      <c r="D1089" t="inlineStr">
        <is>
          <t>VÄSTERBOTTENS LÄN</t>
        </is>
      </c>
      <c r="E1089" t="inlineStr">
        <is>
          <t>ÅSELE</t>
        </is>
      </c>
      <c r="G1089" t="n">
        <v>4.2</v>
      </c>
      <c r="H1089" t="n">
        <v>0</v>
      </c>
      <c r="I1089" t="n">
        <v>0</v>
      </c>
      <c r="J1089" t="n">
        <v>1</v>
      </c>
      <c r="K1089" t="n">
        <v>0</v>
      </c>
      <c r="L1089" t="n">
        <v>0</v>
      </c>
      <c r="M1089" t="n">
        <v>0</v>
      </c>
      <c r="N1089" t="n">
        <v>0</v>
      </c>
      <c r="O1089" t="n">
        <v>1</v>
      </c>
      <c r="P1089" t="n">
        <v>0</v>
      </c>
      <c r="Q1089" t="n">
        <v>1</v>
      </c>
      <c r="R1089" s="2" t="inlineStr">
        <is>
          <t>Månlåsbräken</t>
        </is>
      </c>
      <c r="S1089">
        <f>HYPERLINK("https://klasma.github.io/Logging_2463/artfynd/A 18000-2025 artfynd.xlsx", "A 18000-2025")</f>
        <v/>
      </c>
      <c r="T1089">
        <f>HYPERLINK("https://klasma.github.io/Logging_2463/kartor/A 18000-2025 karta.png", "A 18000-2025")</f>
        <v/>
      </c>
      <c r="V1089">
        <f>HYPERLINK("https://klasma.github.io/Logging_2463/klagomål/A 18000-2025 FSC-klagomål.docx", "A 18000-2025")</f>
        <v/>
      </c>
      <c r="W1089">
        <f>HYPERLINK("https://klasma.github.io/Logging_2463/klagomålsmail/A 18000-2025 FSC-klagomål mail.docx", "A 18000-2025")</f>
        <v/>
      </c>
      <c r="X1089">
        <f>HYPERLINK("https://klasma.github.io/Logging_2463/tillsyn/A 18000-2025 tillsynsbegäran.docx", "A 18000-2025")</f>
        <v/>
      </c>
      <c r="Y1089">
        <f>HYPERLINK("https://klasma.github.io/Logging_2463/tillsynsmail/A 18000-2025 tillsynsbegäran mail.docx", "A 18000-2025")</f>
        <v/>
      </c>
    </row>
    <row r="1090" ht="15" customHeight="1">
      <c r="A1090" t="inlineStr">
        <is>
          <t>A 63528-2025</t>
        </is>
      </c>
      <c r="B1090" s="1" t="n">
        <v>46013.56092592593</v>
      </c>
      <c r="C1090" s="1" t="n">
        <v>46075</v>
      </c>
      <c r="D1090" t="inlineStr">
        <is>
          <t>VÄSTERBOTTENS LÄN</t>
        </is>
      </c>
      <c r="E1090" t="inlineStr">
        <is>
          <t>BJURHOLM</t>
        </is>
      </c>
      <c r="F1090" t="inlineStr">
        <is>
          <t>Holmen skog AB</t>
        </is>
      </c>
      <c r="G1090" t="n">
        <v>4</v>
      </c>
      <c r="H1090" t="n">
        <v>0</v>
      </c>
      <c r="I1090" t="n">
        <v>0</v>
      </c>
      <c r="J1090" t="n">
        <v>1</v>
      </c>
      <c r="K1090" t="n">
        <v>0</v>
      </c>
      <c r="L1090" t="n">
        <v>0</v>
      </c>
      <c r="M1090" t="n">
        <v>0</v>
      </c>
      <c r="N1090" t="n">
        <v>0</v>
      </c>
      <c r="O1090" t="n">
        <v>1</v>
      </c>
      <c r="P1090" t="n">
        <v>0</v>
      </c>
      <c r="Q1090" t="n">
        <v>1</v>
      </c>
      <c r="R1090" s="2" t="inlineStr">
        <is>
          <t>Garnlav</t>
        </is>
      </c>
      <c r="S1090">
        <f>HYPERLINK("https://klasma.github.io/Logging_2403/artfynd/A 63528-2025 artfynd.xlsx", "A 63528-2025")</f>
        <v/>
      </c>
      <c r="T1090">
        <f>HYPERLINK("https://klasma.github.io/Logging_2403/kartor/A 63528-2025 karta.png", "A 63528-2025")</f>
        <v/>
      </c>
      <c r="V1090">
        <f>HYPERLINK("https://klasma.github.io/Logging_2403/klagomål/A 63528-2025 FSC-klagomål.docx", "A 63528-2025")</f>
        <v/>
      </c>
      <c r="W1090">
        <f>HYPERLINK("https://klasma.github.io/Logging_2403/klagomålsmail/A 63528-2025 FSC-klagomål mail.docx", "A 63528-2025")</f>
        <v/>
      </c>
      <c r="X1090">
        <f>HYPERLINK("https://klasma.github.io/Logging_2403/tillsyn/A 63528-2025 tillsynsbegäran.docx", "A 63528-2025")</f>
        <v/>
      </c>
      <c r="Y1090">
        <f>HYPERLINK("https://klasma.github.io/Logging_2403/tillsynsmail/A 63528-2025 tillsynsbegäran mail.docx", "A 63528-2025")</f>
        <v/>
      </c>
    </row>
    <row r="1091" ht="15" customHeight="1">
      <c r="A1091" t="inlineStr">
        <is>
          <t>A 63161-2025</t>
        </is>
      </c>
      <c r="B1091" s="1" t="n">
        <v>46010.37401620371</v>
      </c>
      <c r="C1091" s="1" t="n">
        <v>46075</v>
      </c>
      <c r="D1091" t="inlineStr">
        <is>
          <t>VÄSTERBOTTENS LÄN</t>
        </is>
      </c>
      <c r="E1091" t="inlineStr">
        <is>
          <t>VÄNNÄS</t>
        </is>
      </c>
      <c r="G1091" t="n">
        <v>1.6</v>
      </c>
      <c r="H1091" t="n">
        <v>0</v>
      </c>
      <c r="I1091" t="n">
        <v>0</v>
      </c>
      <c r="J1091" t="n">
        <v>1</v>
      </c>
      <c r="K1091" t="n">
        <v>0</v>
      </c>
      <c r="L1091" t="n">
        <v>0</v>
      </c>
      <c r="M1091" t="n">
        <v>0</v>
      </c>
      <c r="N1091" t="n">
        <v>0</v>
      </c>
      <c r="O1091" t="n">
        <v>1</v>
      </c>
      <c r="P1091" t="n">
        <v>0</v>
      </c>
      <c r="Q1091" t="n">
        <v>1</v>
      </c>
      <c r="R1091" s="2" t="inlineStr">
        <is>
          <t>Veckticka</t>
        </is>
      </c>
      <c r="S1091">
        <f>HYPERLINK("https://klasma.github.io/Logging_2460/artfynd/A 63161-2025 artfynd.xlsx", "A 63161-2025")</f>
        <v/>
      </c>
      <c r="T1091">
        <f>HYPERLINK("https://klasma.github.io/Logging_2460/kartor/A 63161-2025 karta.png", "A 63161-2025")</f>
        <v/>
      </c>
      <c r="V1091">
        <f>HYPERLINK("https://klasma.github.io/Logging_2460/klagomål/A 63161-2025 FSC-klagomål.docx", "A 63161-2025")</f>
        <v/>
      </c>
      <c r="W1091">
        <f>HYPERLINK("https://klasma.github.io/Logging_2460/klagomålsmail/A 63161-2025 FSC-klagomål mail.docx", "A 63161-2025")</f>
        <v/>
      </c>
      <c r="X1091">
        <f>HYPERLINK("https://klasma.github.io/Logging_2460/tillsyn/A 63161-2025 tillsynsbegäran.docx", "A 63161-2025")</f>
        <v/>
      </c>
      <c r="Y1091">
        <f>HYPERLINK("https://klasma.github.io/Logging_2460/tillsynsmail/A 63161-2025 tillsynsbegäran mail.docx", "A 63161-2025")</f>
        <v/>
      </c>
    </row>
    <row r="1092" ht="15" customHeight="1">
      <c r="A1092" t="inlineStr">
        <is>
          <t>A 18703-2024</t>
        </is>
      </c>
      <c r="B1092" s="1" t="n">
        <v>45426</v>
      </c>
      <c r="C1092" s="1" t="n">
        <v>46075</v>
      </c>
      <c r="D1092" t="inlineStr">
        <is>
          <t>VÄSTERBOTTENS LÄN</t>
        </is>
      </c>
      <c r="E1092" t="inlineStr">
        <is>
          <t>UMEÅ</t>
        </is>
      </c>
      <c r="F1092" t="inlineStr">
        <is>
          <t>Holmen skog AB</t>
        </is>
      </c>
      <c r="G1092" t="n">
        <v>2</v>
      </c>
      <c r="H1092" t="n">
        <v>1</v>
      </c>
      <c r="I1092" t="n">
        <v>0</v>
      </c>
      <c r="J1092" t="n">
        <v>1</v>
      </c>
      <c r="K1092" t="n">
        <v>0</v>
      </c>
      <c r="L1092" t="n">
        <v>0</v>
      </c>
      <c r="M1092" t="n">
        <v>0</v>
      </c>
      <c r="N1092" t="n">
        <v>0</v>
      </c>
      <c r="O1092" t="n">
        <v>1</v>
      </c>
      <c r="P1092" t="n">
        <v>0</v>
      </c>
      <c r="Q1092" t="n">
        <v>1</v>
      </c>
      <c r="R1092" s="2" t="inlineStr">
        <is>
          <t>Spillkråka</t>
        </is>
      </c>
      <c r="S1092">
        <f>HYPERLINK("https://klasma.github.io/Logging_2480/artfynd/A 18703-2024 artfynd.xlsx", "A 18703-2024")</f>
        <v/>
      </c>
      <c r="T1092">
        <f>HYPERLINK("https://klasma.github.io/Logging_2480/kartor/A 18703-2024 karta.png", "A 18703-2024")</f>
        <v/>
      </c>
      <c r="V1092">
        <f>HYPERLINK("https://klasma.github.io/Logging_2480/klagomål/A 18703-2024 FSC-klagomål.docx", "A 18703-2024")</f>
        <v/>
      </c>
      <c r="W1092">
        <f>HYPERLINK("https://klasma.github.io/Logging_2480/klagomålsmail/A 18703-2024 FSC-klagomål mail.docx", "A 18703-2024")</f>
        <v/>
      </c>
      <c r="X1092">
        <f>HYPERLINK("https://klasma.github.io/Logging_2480/tillsyn/A 18703-2024 tillsynsbegäran.docx", "A 18703-2024")</f>
        <v/>
      </c>
      <c r="Y1092">
        <f>HYPERLINK("https://klasma.github.io/Logging_2480/tillsynsmail/A 18703-2024 tillsynsbegäran mail.docx", "A 18703-2024")</f>
        <v/>
      </c>
      <c r="Z1092">
        <f>HYPERLINK("https://klasma.github.io/Logging_2480/fåglar/A 18703-2024 prioriterade fågelarter.docx", "A 18703-2024")</f>
        <v/>
      </c>
    </row>
    <row r="1093" ht="15" customHeight="1">
      <c r="A1093" t="inlineStr">
        <is>
          <t>A 63238-2025</t>
        </is>
      </c>
      <c r="B1093" s="1" t="n">
        <v>46010.52430555555</v>
      </c>
      <c r="C1093" s="1" t="n">
        <v>46075</v>
      </c>
      <c r="D1093" t="inlineStr">
        <is>
          <t>VÄSTERBOTTENS LÄN</t>
        </is>
      </c>
      <c r="E1093" t="inlineStr">
        <is>
          <t>NORSJÖ</t>
        </is>
      </c>
      <c r="F1093" t="inlineStr">
        <is>
          <t>Sveaskog</t>
        </is>
      </c>
      <c r="G1093" t="n">
        <v>4.8</v>
      </c>
      <c r="H1093" t="n">
        <v>0</v>
      </c>
      <c r="I1093" t="n">
        <v>0</v>
      </c>
      <c r="J1093" t="n">
        <v>1</v>
      </c>
      <c r="K1093" t="n">
        <v>0</v>
      </c>
      <c r="L1093" t="n">
        <v>0</v>
      </c>
      <c r="M1093" t="n">
        <v>0</v>
      </c>
      <c r="N1093" t="n">
        <v>0</v>
      </c>
      <c r="O1093" t="n">
        <v>1</v>
      </c>
      <c r="P1093" t="n">
        <v>0</v>
      </c>
      <c r="Q1093" t="n">
        <v>1</v>
      </c>
      <c r="R1093" s="2" t="inlineStr">
        <is>
          <t>Lunglav</t>
        </is>
      </c>
      <c r="S1093">
        <f>HYPERLINK("https://klasma.github.io/Logging_2417/artfynd/A 63238-2025 artfynd.xlsx", "A 63238-2025")</f>
        <v/>
      </c>
      <c r="T1093">
        <f>HYPERLINK("https://klasma.github.io/Logging_2417/kartor/A 63238-2025 karta.png", "A 63238-2025")</f>
        <v/>
      </c>
      <c r="V1093">
        <f>HYPERLINK("https://klasma.github.io/Logging_2417/klagomål/A 63238-2025 FSC-klagomål.docx", "A 63238-2025")</f>
        <v/>
      </c>
      <c r="W1093">
        <f>HYPERLINK("https://klasma.github.io/Logging_2417/klagomålsmail/A 63238-2025 FSC-klagomål mail.docx", "A 63238-2025")</f>
        <v/>
      </c>
      <c r="X1093">
        <f>HYPERLINK("https://klasma.github.io/Logging_2417/tillsyn/A 63238-2025 tillsynsbegäran.docx", "A 63238-2025")</f>
        <v/>
      </c>
      <c r="Y1093">
        <f>HYPERLINK("https://klasma.github.io/Logging_2417/tillsynsmail/A 63238-2025 tillsynsbegäran mail.docx", "A 63238-2025")</f>
        <v/>
      </c>
    </row>
    <row r="1094" ht="15" customHeight="1">
      <c r="A1094" t="inlineStr">
        <is>
          <t>A 60084-2025</t>
        </is>
      </c>
      <c r="B1094" s="1" t="n">
        <v>45993.70097222222</v>
      </c>
      <c r="C1094" s="1" t="n">
        <v>46075</v>
      </c>
      <c r="D1094" t="inlineStr">
        <is>
          <t>VÄSTERBOTTENS LÄN</t>
        </is>
      </c>
      <c r="E1094" t="inlineStr">
        <is>
          <t>UMEÅ</t>
        </is>
      </c>
      <c r="G1094" t="n">
        <v>1.5</v>
      </c>
      <c r="H1094" t="n">
        <v>1</v>
      </c>
      <c r="I1094" t="n">
        <v>0</v>
      </c>
      <c r="J1094" t="n">
        <v>1</v>
      </c>
      <c r="K1094" t="n">
        <v>0</v>
      </c>
      <c r="L1094" t="n">
        <v>0</v>
      </c>
      <c r="M1094" t="n">
        <v>0</v>
      </c>
      <c r="N1094" t="n">
        <v>0</v>
      </c>
      <c r="O1094" t="n">
        <v>1</v>
      </c>
      <c r="P1094" t="n">
        <v>0</v>
      </c>
      <c r="Q1094" t="n">
        <v>1</v>
      </c>
      <c r="R1094" s="2" t="inlineStr">
        <is>
          <t>Tretåig hackspett</t>
        </is>
      </c>
      <c r="S1094">
        <f>HYPERLINK("https://klasma.github.io/Logging_2480/artfynd/A 60084-2025 artfynd.xlsx", "A 60084-2025")</f>
        <v/>
      </c>
      <c r="T1094">
        <f>HYPERLINK("https://klasma.github.io/Logging_2480/kartor/A 60084-2025 karta.png", "A 60084-2025")</f>
        <v/>
      </c>
      <c r="V1094">
        <f>HYPERLINK("https://klasma.github.io/Logging_2480/klagomål/A 60084-2025 FSC-klagomål.docx", "A 60084-2025")</f>
        <v/>
      </c>
      <c r="W1094">
        <f>HYPERLINK("https://klasma.github.io/Logging_2480/klagomålsmail/A 60084-2025 FSC-klagomål mail.docx", "A 60084-2025")</f>
        <v/>
      </c>
      <c r="X1094">
        <f>HYPERLINK("https://klasma.github.io/Logging_2480/tillsyn/A 60084-2025 tillsynsbegäran.docx", "A 60084-2025")</f>
        <v/>
      </c>
      <c r="Y1094">
        <f>HYPERLINK("https://klasma.github.io/Logging_2480/tillsynsmail/A 60084-2025 tillsynsbegäran mail.docx", "A 60084-2025")</f>
        <v/>
      </c>
      <c r="Z1094">
        <f>HYPERLINK("https://klasma.github.io/Logging_2480/fåglar/A 60084-2025 prioriterade fågelarter.docx", "A 60084-2025")</f>
        <v/>
      </c>
    </row>
    <row r="1095" ht="15" customHeight="1">
      <c r="A1095" t="inlineStr">
        <is>
          <t>A 39380-2022</t>
        </is>
      </c>
      <c r="B1095" s="1" t="n">
        <v>44817</v>
      </c>
      <c r="C1095" s="1" t="n">
        <v>46075</v>
      </c>
      <c r="D1095" t="inlineStr">
        <is>
          <t>VÄSTERBOTTENS LÄN</t>
        </is>
      </c>
      <c r="E1095" t="inlineStr">
        <is>
          <t>ÅSELE</t>
        </is>
      </c>
      <c r="F1095" t="inlineStr">
        <is>
          <t>SCA</t>
        </is>
      </c>
      <c r="G1095" t="n">
        <v>2.4</v>
      </c>
      <c r="H1095" t="n">
        <v>1</v>
      </c>
      <c r="I1095" t="n">
        <v>1</v>
      </c>
      <c r="J1095" t="n">
        <v>0</v>
      </c>
      <c r="K1095" t="n">
        <v>0</v>
      </c>
      <c r="L1095" t="n">
        <v>0</v>
      </c>
      <c r="M1095" t="n">
        <v>0</v>
      </c>
      <c r="N1095" t="n">
        <v>0</v>
      </c>
      <c r="O1095" t="n">
        <v>0</v>
      </c>
      <c r="P1095" t="n">
        <v>0</v>
      </c>
      <c r="Q1095" t="n">
        <v>1</v>
      </c>
      <c r="R1095" s="2" t="inlineStr">
        <is>
          <t>Lappranunkel</t>
        </is>
      </c>
      <c r="S1095">
        <f>HYPERLINK("https://klasma.github.io/Logging_2463/artfynd/A 39380-2022 artfynd.xlsx", "A 39380-2022")</f>
        <v/>
      </c>
      <c r="T1095">
        <f>HYPERLINK("https://klasma.github.io/Logging_2463/kartor/A 39380-2022 karta.png", "A 39380-2022")</f>
        <v/>
      </c>
      <c r="V1095">
        <f>HYPERLINK("https://klasma.github.io/Logging_2463/klagomål/A 39380-2022 FSC-klagomål.docx", "A 39380-2022")</f>
        <v/>
      </c>
      <c r="W1095">
        <f>HYPERLINK("https://klasma.github.io/Logging_2463/klagomålsmail/A 39380-2022 FSC-klagomål mail.docx", "A 39380-2022")</f>
        <v/>
      </c>
      <c r="X1095">
        <f>HYPERLINK("https://klasma.github.io/Logging_2463/tillsyn/A 39380-2022 tillsynsbegäran.docx", "A 39380-2022")</f>
        <v/>
      </c>
      <c r="Y1095">
        <f>HYPERLINK("https://klasma.github.io/Logging_2463/tillsynsmail/A 39380-2022 tillsynsbegäran mail.docx", "A 39380-2022")</f>
        <v/>
      </c>
    </row>
    <row r="1096" ht="15" customHeight="1">
      <c r="A1096" t="inlineStr">
        <is>
          <t>A 6566-2026</t>
        </is>
      </c>
      <c r="B1096" s="1" t="n">
        <v>46056.44005787037</v>
      </c>
      <c r="C1096" s="1" t="n">
        <v>46075</v>
      </c>
      <c r="D1096" t="inlineStr">
        <is>
          <t>VÄSTERBOTTENS LÄN</t>
        </is>
      </c>
      <c r="E1096" t="inlineStr">
        <is>
          <t>VILHELMINA</t>
        </is>
      </c>
      <c r="G1096" t="n">
        <v>12.7</v>
      </c>
      <c r="H1096" t="n">
        <v>0</v>
      </c>
      <c r="I1096" t="n">
        <v>1</v>
      </c>
      <c r="J1096" t="n">
        <v>0</v>
      </c>
      <c r="K1096" t="n">
        <v>0</v>
      </c>
      <c r="L1096" t="n">
        <v>0</v>
      </c>
      <c r="M1096" t="n">
        <v>0</v>
      </c>
      <c r="N1096" t="n">
        <v>0</v>
      </c>
      <c r="O1096" t="n">
        <v>0</v>
      </c>
      <c r="P1096" t="n">
        <v>0</v>
      </c>
      <c r="Q1096" t="n">
        <v>1</v>
      </c>
      <c r="R1096" s="2" t="inlineStr">
        <is>
          <t>Nordlig tuffmossa</t>
        </is>
      </c>
      <c r="S1096">
        <f>HYPERLINK("https://klasma.github.io/Logging_2462/artfynd/A 6566-2026 artfynd.xlsx", "A 6566-2026")</f>
        <v/>
      </c>
      <c r="T1096">
        <f>HYPERLINK("https://klasma.github.io/Logging_2462/kartor/A 6566-2026 karta.png", "A 6566-2026")</f>
        <v/>
      </c>
      <c r="V1096">
        <f>HYPERLINK("https://klasma.github.io/Logging_2462/klagomål/A 6566-2026 FSC-klagomål.docx", "A 6566-2026")</f>
        <v/>
      </c>
      <c r="W1096">
        <f>HYPERLINK("https://klasma.github.io/Logging_2462/klagomålsmail/A 6566-2026 FSC-klagomål mail.docx", "A 6566-2026")</f>
        <v/>
      </c>
      <c r="X1096">
        <f>HYPERLINK("https://klasma.github.io/Logging_2462/tillsyn/A 6566-2026 tillsynsbegäran.docx", "A 6566-2026")</f>
        <v/>
      </c>
      <c r="Y1096">
        <f>HYPERLINK("https://klasma.github.io/Logging_2462/tillsynsmail/A 6566-2026 tillsynsbegäran mail.docx", "A 6566-2026")</f>
        <v/>
      </c>
    </row>
    <row r="1097" ht="15" customHeight="1">
      <c r="A1097" t="inlineStr">
        <is>
          <t>A 7181-2026</t>
        </is>
      </c>
      <c r="B1097" s="1" t="n">
        <v>46058.48370370371</v>
      </c>
      <c r="C1097" s="1" t="n">
        <v>46075</v>
      </c>
      <c r="D1097" t="inlineStr">
        <is>
          <t>VÄSTERBOTTENS LÄN</t>
        </is>
      </c>
      <c r="E1097" t="inlineStr">
        <is>
          <t>SKELLEFTEÅ</t>
        </is>
      </c>
      <c r="G1097" t="n">
        <v>5.6</v>
      </c>
      <c r="H1097" t="n">
        <v>1</v>
      </c>
      <c r="I1097" t="n">
        <v>0</v>
      </c>
      <c r="J1097" t="n">
        <v>0</v>
      </c>
      <c r="K1097" t="n">
        <v>0</v>
      </c>
      <c r="L1097" t="n">
        <v>0</v>
      </c>
      <c r="M1097" t="n">
        <v>0</v>
      </c>
      <c r="N1097" t="n">
        <v>0</v>
      </c>
      <c r="O1097" t="n">
        <v>0</v>
      </c>
      <c r="P1097" t="n">
        <v>0</v>
      </c>
      <c r="Q1097" t="n">
        <v>1</v>
      </c>
      <c r="R1097" s="2" t="inlineStr">
        <is>
          <t>Fläcknycklar</t>
        </is>
      </c>
      <c r="S1097">
        <f>HYPERLINK("https://klasma.github.io/Logging_2482/artfynd/A 7181-2026 artfynd.xlsx", "A 7181-2026")</f>
        <v/>
      </c>
      <c r="T1097">
        <f>HYPERLINK("https://klasma.github.io/Logging_2482/kartor/A 7181-2026 karta.png", "A 7181-2026")</f>
        <v/>
      </c>
      <c r="V1097">
        <f>HYPERLINK("https://klasma.github.io/Logging_2482/klagomål/A 7181-2026 FSC-klagomål.docx", "A 7181-2026")</f>
        <v/>
      </c>
      <c r="W1097">
        <f>HYPERLINK("https://klasma.github.io/Logging_2482/klagomålsmail/A 7181-2026 FSC-klagomål mail.docx", "A 7181-2026")</f>
        <v/>
      </c>
      <c r="X1097">
        <f>HYPERLINK("https://klasma.github.io/Logging_2482/tillsyn/A 7181-2026 tillsynsbegäran.docx", "A 7181-2026")</f>
        <v/>
      </c>
      <c r="Y1097">
        <f>HYPERLINK("https://klasma.github.io/Logging_2482/tillsynsmail/A 7181-2026 tillsynsbegäran mail.docx", "A 7181-2026")</f>
        <v/>
      </c>
    </row>
    <row r="1098" ht="15" customHeight="1">
      <c r="A1098" t="inlineStr">
        <is>
          <t>A 73985-2021</t>
        </is>
      </c>
      <c r="B1098" s="1" t="n">
        <v>44555</v>
      </c>
      <c r="C1098" s="1" t="n">
        <v>46075</v>
      </c>
      <c r="D1098" t="inlineStr">
        <is>
          <t>VÄSTERBOTTENS LÄN</t>
        </is>
      </c>
      <c r="E1098" t="inlineStr">
        <is>
          <t>SKELLEFTEÅ</t>
        </is>
      </c>
      <c r="G1098" t="n">
        <v>1.8</v>
      </c>
      <c r="H1098" t="n">
        <v>1</v>
      </c>
      <c r="I1098" t="n">
        <v>0</v>
      </c>
      <c r="J1098" t="n">
        <v>0</v>
      </c>
      <c r="K1098" t="n">
        <v>0</v>
      </c>
      <c r="L1098" t="n">
        <v>0</v>
      </c>
      <c r="M1098" t="n">
        <v>0</v>
      </c>
      <c r="N1098" t="n">
        <v>0</v>
      </c>
      <c r="O1098" t="n">
        <v>0</v>
      </c>
      <c r="P1098" t="n">
        <v>0</v>
      </c>
      <c r="Q1098" t="n">
        <v>1</v>
      </c>
      <c r="R1098" s="2" t="inlineStr">
        <is>
          <t>Fläcknycklar</t>
        </is>
      </c>
      <c r="S1098">
        <f>HYPERLINK("https://klasma.github.io/Logging_2482/artfynd/A 73985-2021 artfynd.xlsx", "A 73985-2021")</f>
        <v/>
      </c>
      <c r="T1098">
        <f>HYPERLINK("https://klasma.github.io/Logging_2482/kartor/A 73985-2021 karta.png", "A 73985-2021")</f>
        <v/>
      </c>
      <c r="V1098">
        <f>HYPERLINK("https://klasma.github.io/Logging_2482/klagomål/A 73985-2021 FSC-klagomål.docx", "A 73985-2021")</f>
        <v/>
      </c>
      <c r="W1098">
        <f>HYPERLINK("https://klasma.github.io/Logging_2482/klagomålsmail/A 73985-2021 FSC-klagomål mail.docx", "A 73985-2021")</f>
        <v/>
      </c>
      <c r="X1098">
        <f>HYPERLINK("https://klasma.github.io/Logging_2482/tillsyn/A 73985-2021 tillsynsbegäran.docx", "A 73985-2021")</f>
        <v/>
      </c>
      <c r="Y1098">
        <f>HYPERLINK("https://klasma.github.io/Logging_2482/tillsynsmail/A 73985-2021 tillsynsbegäran mail.docx", "A 73985-2021")</f>
        <v/>
      </c>
    </row>
    <row r="1099" ht="15" customHeight="1">
      <c r="A1099" t="inlineStr">
        <is>
          <t>A 7219-2026</t>
        </is>
      </c>
      <c r="B1099" s="1" t="n">
        <v>46058.5600462963</v>
      </c>
      <c r="C1099" s="1" t="n">
        <v>46075</v>
      </c>
      <c r="D1099" t="inlineStr">
        <is>
          <t>VÄSTERBOTTENS LÄN</t>
        </is>
      </c>
      <c r="E1099" t="inlineStr">
        <is>
          <t>STORUMAN</t>
        </is>
      </c>
      <c r="G1099" t="n">
        <v>12.8</v>
      </c>
      <c r="H1099" t="n">
        <v>0</v>
      </c>
      <c r="I1099" t="n">
        <v>0</v>
      </c>
      <c r="J1099" t="n">
        <v>1</v>
      </c>
      <c r="K1099" t="n">
        <v>0</v>
      </c>
      <c r="L1099" t="n">
        <v>0</v>
      </c>
      <c r="M1099" t="n">
        <v>0</v>
      </c>
      <c r="N1099" t="n">
        <v>0</v>
      </c>
      <c r="O1099" t="n">
        <v>1</v>
      </c>
      <c r="P1099" t="n">
        <v>0</v>
      </c>
      <c r="Q1099" t="n">
        <v>1</v>
      </c>
      <c r="R1099" s="2" t="inlineStr">
        <is>
          <t>Vedflikmossa</t>
        </is>
      </c>
      <c r="S1099">
        <f>HYPERLINK("https://klasma.github.io/Logging_2421/artfynd/A 7219-2026 artfynd.xlsx", "A 7219-2026")</f>
        <v/>
      </c>
      <c r="T1099">
        <f>HYPERLINK("https://klasma.github.io/Logging_2421/kartor/A 7219-2026 karta.png", "A 7219-2026")</f>
        <v/>
      </c>
      <c r="V1099">
        <f>HYPERLINK("https://klasma.github.io/Logging_2421/klagomål/A 7219-2026 FSC-klagomål.docx", "A 7219-2026")</f>
        <v/>
      </c>
      <c r="W1099">
        <f>HYPERLINK("https://klasma.github.io/Logging_2421/klagomålsmail/A 7219-2026 FSC-klagomål mail.docx", "A 7219-2026")</f>
        <v/>
      </c>
      <c r="X1099">
        <f>HYPERLINK("https://klasma.github.io/Logging_2421/tillsyn/A 7219-2026 tillsynsbegäran.docx", "A 7219-2026")</f>
        <v/>
      </c>
      <c r="Y1099">
        <f>HYPERLINK("https://klasma.github.io/Logging_2421/tillsynsmail/A 7219-2026 tillsynsbegäran mail.docx", "A 7219-2026")</f>
        <v/>
      </c>
    </row>
    <row r="1100" ht="15" customHeight="1">
      <c r="A1100" t="inlineStr">
        <is>
          <t>A 19731-2024</t>
        </is>
      </c>
      <c r="B1100" s="1" t="n">
        <v>45432.60155092592</v>
      </c>
      <c r="C1100" s="1" t="n">
        <v>46075</v>
      </c>
      <c r="D1100" t="inlineStr">
        <is>
          <t>VÄSTERBOTTENS LÄN</t>
        </is>
      </c>
      <c r="E1100" t="inlineStr">
        <is>
          <t>NORSJÖ</t>
        </is>
      </c>
      <c r="F1100" t="inlineStr">
        <is>
          <t>Holmen skog AB</t>
        </is>
      </c>
      <c r="G1100" t="n">
        <v>8.699999999999999</v>
      </c>
      <c r="H1100" t="n">
        <v>1</v>
      </c>
      <c r="I1100" t="n">
        <v>0</v>
      </c>
      <c r="J1100" t="n">
        <v>1</v>
      </c>
      <c r="K1100" t="n">
        <v>0</v>
      </c>
      <c r="L1100" t="n">
        <v>0</v>
      </c>
      <c r="M1100" t="n">
        <v>0</v>
      </c>
      <c r="N1100" t="n">
        <v>0</v>
      </c>
      <c r="O1100" t="n">
        <v>1</v>
      </c>
      <c r="P1100" t="n">
        <v>0</v>
      </c>
      <c r="Q1100" t="n">
        <v>1</v>
      </c>
      <c r="R1100" s="2" t="inlineStr">
        <is>
          <t>Tretåig hackspett</t>
        </is>
      </c>
      <c r="S1100">
        <f>HYPERLINK("https://klasma.github.io/Logging_2417/artfynd/A 19731-2024 artfynd.xlsx", "A 19731-2024")</f>
        <v/>
      </c>
      <c r="T1100">
        <f>HYPERLINK("https://klasma.github.io/Logging_2417/kartor/A 19731-2024 karta.png", "A 19731-2024")</f>
        <v/>
      </c>
      <c r="V1100">
        <f>HYPERLINK("https://klasma.github.io/Logging_2417/klagomål/A 19731-2024 FSC-klagomål.docx", "A 19731-2024")</f>
        <v/>
      </c>
      <c r="W1100">
        <f>HYPERLINK("https://klasma.github.io/Logging_2417/klagomålsmail/A 19731-2024 FSC-klagomål mail.docx", "A 19731-2024")</f>
        <v/>
      </c>
      <c r="X1100">
        <f>HYPERLINK("https://klasma.github.io/Logging_2417/tillsyn/A 19731-2024 tillsynsbegäran.docx", "A 19731-2024")</f>
        <v/>
      </c>
      <c r="Y1100">
        <f>HYPERLINK("https://klasma.github.io/Logging_2417/tillsynsmail/A 19731-2024 tillsynsbegäran mail.docx", "A 19731-2024")</f>
        <v/>
      </c>
      <c r="Z1100">
        <f>HYPERLINK("https://klasma.github.io/Logging_2417/fåglar/A 19731-2024 prioriterade fågelarter.docx", "A 19731-2024")</f>
        <v/>
      </c>
    </row>
    <row r="1101" ht="15" customHeight="1">
      <c r="A1101" t="inlineStr">
        <is>
          <t>A 55566-2024</t>
        </is>
      </c>
      <c r="B1101" s="1" t="n">
        <v>45622</v>
      </c>
      <c r="C1101" s="1" t="n">
        <v>46075</v>
      </c>
      <c r="D1101" t="inlineStr">
        <is>
          <t>VÄSTERBOTTENS LÄN</t>
        </is>
      </c>
      <c r="E1101" t="inlineStr">
        <is>
          <t>LYCKSELE</t>
        </is>
      </c>
      <c r="F1101" t="inlineStr">
        <is>
          <t>Sveaskog</t>
        </is>
      </c>
      <c r="G1101" t="n">
        <v>1.8</v>
      </c>
      <c r="H1101" t="n">
        <v>0</v>
      </c>
      <c r="I1101" t="n">
        <v>0</v>
      </c>
      <c r="J1101" t="n">
        <v>1</v>
      </c>
      <c r="K1101" t="n">
        <v>0</v>
      </c>
      <c r="L1101" t="n">
        <v>0</v>
      </c>
      <c r="M1101" t="n">
        <v>0</v>
      </c>
      <c r="N1101" t="n">
        <v>0</v>
      </c>
      <c r="O1101" t="n">
        <v>1</v>
      </c>
      <c r="P1101" t="n">
        <v>0</v>
      </c>
      <c r="Q1101" t="n">
        <v>1</v>
      </c>
      <c r="R1101" s="2" t="inlineStr">
        <is>
          <t>Harticka</t>
        </is>
      </c>
      <c r="S1101">
        <f>HYPERLINK("https://klasma.github.io/Logging_2481/artfynd/A 55566-2024 artfynd.xlsx", "A 55566-2024")</f>
        <v/>
      </c>
      <c r="T1101">
        <f>HYPERLINK("https://klasma.github.io/Logging_2481/kartor/A 55566-2024 karta.png", "A 55566-2024")</f>
        <v/>
      </c>
      <c r="V1101">
        <f>HYPERLINK("https://klasma.github.io/Logging_2481/klagomål/A 55566-2024 FSC-klagomål.docx", "A 55566-2024")</f>
        <v/>
      </c>
      <c r="W1101">
        <f>HYPERLINK("https://klasma.github.io/Logging_2481/klagomålsmail/A 55566-2024 FSC-klagomål mail.docx", "A 55566-2024")</f>
        <v/>
      </c>
      <c r="X1101">
        <f>HYPERLINK("https://klasma.github.io/Logging_2481/tillsyn/A 55566-2024 tillsynsbegäran.docx", "A 55566-2024")</f>
        <v/>
      </c>
      <c r="Y1101">
        <f>HYPERLINK("https://klasma.github.io/Logging_2481/tillsynsmail/A 55566-2024 tillsynsbegäran mail.docx", "A 55566-2024")</f>
        <v/>
      </c>
    </row>
    <row r="1102" ht="15" customHeight="1">
      <c r="A1102" t="inlineStr">
        <is>
          <t>A 16145-2022</t>
        </is>
      </c>
      <c r="B1102" s="1" t="n">
        <v>44665</v>
      </c>
      <c r="C1102" s="1" t="n">
        <v>46075</v>
      </c>
      <c r="D1102" t="inlineStr">
        <is>
          <t>VÄSTERBOTTENS LÄN</t>
        </is>
      </c>
      <c r="E1102" t="inlineStr">
        <is>
          <t>BJURHOLM</t>
        </is>
      </c>
      <c r="F1102" t="inlineStr">
        <is>
          <t>SCA</t>
        </is>
      </c>
      <c r="G1102" t="n">
        <v>5.9</v>
      </c>
      <c r="H1102" t="n">
        <v>0</v>
      </c>
      <c r="I1102" t="n">
        <v>1</v>
      </c>
      <c r="J1102" t="n">
        <v>0</v>
      </c>
      <c r="K1102" t="n">
        <v>0</v>
      </c>
      <c r="L1102" t="n">
        <v>0</v>
      </c>
      <c r="M1102" t="n">
        <v>0</v>
      </c>
      <c r="N1102" t="n">
        <v>0</v>
      </c>
      <c r="O1102" t="n">
        <v>0</v>
      </c>
      <c r="P1102" t="n">
        <v>0</v>
      </c>
      <c r="Q1102" t="n">
        <v>1</v>
      </c>
      <c r="R1102" s="2" t="inlineStr">
        <is>
          <t>Stor aspticka</t>
        </is>
      </c>
      <c r="S1102">
        <f>HYPERLINK("https://klasma.github.io/Logging_2403/artfynd/A 16145-2022 artfynd.xlsx", "A 16145-2022")</f>
        <v/>
      </c>
      <c r="T1102">
        <f>HYPERLINK("https://klasma.github.io/Logging_2403/kartor/A 16145-2022 karta.png", "A 16145-2022")</f>
        <v/>
      </c>
      <c r="V1102">
        <f>HYPERLINK("https://klasma.github.io/Logging_2403/klagomål/A 16145-2022 FSC-klagomål.docx", "A 16145-2022")</f>
        <v/>
      </c>
      <c r="W1102">
        <f>HYPERLINK("https://klasma.github.io/Logging_2403/klagomålsmail/A 16145-2022 FSC-klagomål mail.docx", "A 16145-2022")</f>
        <v/>
      </c>
      <c r="X1102">
        <f>HYPERLINK("https://klasma.github.io/Logging_2403/tillsyn/A 16145-2022 tillsynsbegäran.docx", "A 16145-2022")</f>
        <v/>
      </c>
      <c r="Y1102">
        <f>HYPERLINK("https://klasma.github.io/Logging_2403/tillsynsmail/A 16145-2022 tillsynsbegäran mail.docx", "A 16145-2022")</f>
        <v/>
      </c>
    </row>
    <row r="1103" ht="15" customHeight="1">
      <c r="A1103" t="inlineStr">
        <is>
          <t>A 47313-2023</t>
        </is>
      </c>
      <c r="B1103" s="1" t="n">
        <v>45196</v>
      </c>
      <c r="C1103" s="1" t="n">
        <v>46075</v>
      </c>
      <c r="D1103" t="inlineStr">
        <is>
          <t>VÄSTERBOTTENS LÄN</t>
        </is>
      </c>
      <c r="E1103" t="inlineStr">
        <is>
          <t>STORUMAN</t>
        </is>
      </c>
      <c r="F1103" t="inlineStr">
        <is>
          <t>Övriga statliga verk och myndigheter</t>
        </is>
      </c>
      <c r="G1103" t="n">
        <v>33</v>
      </c>
      <c r="H1103" t="n">
        <v>0</v>
      </c>
      <c r="I1103" t="n">
        <v>0</v>
      </c>
      <c r="J1103" t="n">
        <v>1</v>
      </c>
      <c r="K1103" t="n">
        <v>0</v>
      </c>
      <c r="L1103" t="n">
        <v>0</v>
      </c>
      <c r="M1103" t="n">
        <v>0</v>
      </c>
      <c r="N1103" t="n">
        <v>0</v>
      </c>
      <c r="O1103" t="n">
        <v>1</v>
      </c>
      <c r="P1103" t="n">
        <v>0</v>
      </c>
      <c r="Q1103" t="n">
        <v>1</v>
      </c>
      <c r="R1103" s="2" t="inlineStr">
        <is>
          <t>Granticka</t>
        </is>
      </c>
      <c r="S1103">
        <f>HYPERLINK("https://klasma.github.io/Logging_2421/artfynd/A 47313-2023 artfynd.xlsx", "A 47313-2023")</f>
        <v/>
      </c>
      <c r="T1103">
        <f>HYPERLINK("https://klasma.github.io/Logging_2421/kartor/A 47313-2023 karta.png", "A 47313-2023")</f>
        <v/>
      </c>
      <c r="V1103">
        <f>HYPERLINK("https://klasma.github.io/Logging_2421/klagomål/A 47313-2023 FSC-klagomål.docx", "A 47313-2023")</f>
        <v/>
      </c>
      <c r="W1103">
        <f>HYPERLINK("https://klasma.github.io/Logging_2421/klagomålsmail/A 47313-2023 FSC-klagomål mail.docx", "A 47313-2023")</f>
        <v/>
      </c>
      <c r="X1103">
        <f>HYPERLINK("https://klasma.github.io/Logging_2421/tillsyn/A 47313-2023 tillsynsbegäran.docx", "A 47313-2023")</f>
        <v/>
      </c>
      <c r="Y1103">
        <f>HYPERLINK("https://klasma.github.io/Logging_2421/tillsynsmail/A 47313-2023 tillsynsbegäran mail.docx", "A 47313-2023")</f>
        <v/>
      </c>
    </row>
    <row r="1104" ht="15" customHeight="1">
      <c r="A1104" t="inlineStr">
        <is>
          <t>A 21386-2024</t>
        </is>
      </c>
      <c r="B1104" s="1" t="n">
        <v>45440</v>
      </c>
      <c r="C1104" s="1" t="n">
        <v>46075</v>
      </c>
      <c r="D1104" t="inlineStr">
        <is>
          <t>VÄSTERBOTTENS LÄN</t>
        </is>
      </c>
      <c r="E1104" t="inlineStr">
        <is>
          <t>BJURHOLM</t>
        </is>
      </c>
      <c r="F1104" t="inlineStr">
        <is>
          <t>SCA</t>
        </is>
      </c>
      <c r="G1104" t="n">
        <v>1.2</v>
      </c>
      <c r="H1104" t="n">
        <v>0</v>
      </c>
      <c r="I1104" t="n">
        <v>0</v>
      </c>
      <c r="J1104" t="n">
        <v>1</v>
      </c>
      <c r="K1104" t="n">
        <v>0</v>
      </c>
      <c r="L1104" t="n">
        <v>0</v>
      </c>
      <c r="M1104" t="n">
        <v>0</v>
      </c>
      <c r="N1104" t="n">
        <v>0</v>
      </c>
      <c r="O1104" t="n">
        <v>1</v>
      </c>
      <c r="P1104" t="n">
        <v>0</v>
      </c>
      <c r="Q1104" t="n">
        <v>1</v>
      </c>
      <c r="R1104" s="2" t="inlineStr">
        <is>
          <t>Ullticka</t>
        </is>
      </c>
      <c r="S1104">
        <f>HYPERLINK("https://klasma.github.io/Logging_2403/artfynd/A 21386-2024 artfynd.xlsx", "A 21386-2024")</f>
        <v/>
      </c>
      <c r="T1104">
        <f>HYPERLINK("https://klasma.github.io/Logging_2403/kartor/A 21386-2024 karta.png", "A 21386-2024")</f>
        <v/>
      </c>
      <c r="V1104">
        <f>HYPERLINK("https://klasma.github.io/Logging_2403/klagomål/A 21386-2024 FSC-klagomål.docx", "A 21386-2024")</f>
        <v/>
      </c>
      <c r="W1104">
        <f>HYPERLINK("https://klasma.github.io/Logging_2403/klagomålsmail/A 21386-2024 FSC-klagomål mail.docx", "A 21386-2024")</f>
        <v/>
      </c>
      <c r="X1104">
        <f>HYPERLINK("https://klasma.github.io/Logging_2403/tillsyn/A 21386-2024 tillsynsbegäran.docx", "A 21386-2024")</f>
        <v/>
      </c>
      <c r="Y1104">
        <f>HYPERLINK("https://klasma.github.io/Logging_2403/tillsynsmail/A 21386-2024 tillsynsbegäran mail.docx", "A 21386-2024")</f>
        <v/>
      </c>
    </row>
    <row r="1105" ht="15" customHeight="1">
      <c r="A1105" t="inlineStr">
        <is>
          <t>A 54044-2024</t>
        </is>
      </c>
      <c r="B1105" s="1" t="n">
        <v>45616.4488425926</v>
      </c>
      <c r="C1105" s="1" t="n">
        <v>46075</v>
      </c>
      <c r="D1105" t="inlineStr">
        <is>
          <t>VÄSTERBOTTENS LÄN</t>
        </is>
      </c>
      <c r="E1105" t="inlineStr">
        <is>
          <t>NORSJÖ</t>
        </is>
      </c>
      <c r="G1105" t="n">
        <v>5.7</v>
      </c>
      <c r="H1105" t="n">
        <v>0</v>
      </c>
      <c r="I1105" t="n">
        <v>0</v>
      </c>
      <c r="J1105" t="n">
        <v>1</v>
      </c>
      <c r="K1105" t="n">
        <v>0</v>
      </c>
      <c r="L1105" t="n">
        <v>0</v>
      </c>
      <c r="M1105" t="n">
        <v>0</v>
      </c>
      <c r="N1105" t="n">
        <v>0</v>
      </c>
      <c r="O1105" t="n">
        <v>1</v>
      </c>
      <c r="P1105" t="n">
        <v>0</v>
      </c>
      <c r="Q1105" t="n">
        <v>1</v>
      </c>
      <c r="R1105" s="2" t="inlineStr">
        <is>
          <t>Nordtagging</t>
        </is>
      </c>
      <c r="S1105">
        <f>HYPERLINK("https://klasma.github.io/Logging_2417/artfynd/A 54044-2024 artfynd.xlsx", "A 54044-2024")</f>
        <v/>
      </c>
      <c r="T1105">
        <f>HYPERLINK("https://klasma.github.io/Logging_2417/kartor/A 54044-2024 karta.png", "A 54044-2024")</f>
        <v/>
      </c>
      <c r="V1105">
        <f>HYPERLINK("https://klasma.github.io/Logging_2417/klagomål/A 54044-2024 FSC-klagomål.docx", "A 54044-2024")</f>
        <v/>
      </c>
      <c r="W1105">
        <f>HYPERLINK("https://klasma.github.io/Logging_2417/klagomålsmail/A 54044-2024 FSC-klagomål mail.docx", "A 54044-2024")</f>
        <v/>
      </c>
      <c r="X1105">
        <f>HYPERLINK("https://klasma.github.io/Logging_2417/tillsyn/A 54044-2024 tillsynsbegäran.docx", "A 54044-2024")</f>
        <v/>
      </c>
      <c r="Y1105">
        <f>HYPERLINK("https://klasma.github.io/Logging_2417/tillsynsmail/A 54044-2024 tillsynsbegäran mail.docx", "A 54044-2024")</f>
        <v/>
      </c>
    </row>
    <row r="1106" ht="15" customHeight="1">
      <c r="A1106" t="inlineStr">
        <is>
          <t>A 54741-2023</t>
        </is>
      </c>
      <c r="B1106" s="1" t="n">
        <v>45236.40642361111</v>
      </c>
      <c r="C1106" s="1" t="n">
        <v>46075</v>
      </c>
      <c r="D1106" t="inlineStr">
        <is>
          <t>VÄSTERBOTTENS LÄN</t>
        </is>
      </c>
      <c r="E1106" t="inlineStr">
        <is>
          <t>ÅSELE</t>
        </is>
      </c>
      <c r="F1106" t="inlineStr">
        <is>
          <t>Sveaskog</t>
        </is>
      </c>
      <c r="G1106" t="n">
        <v>23.4</v>
      </c>
      <c r="H1106" t="n">
        <v>0</v>
      </c>
      <c r="I1106" t="n">
        <v>0</v>
      </c>
      <c r="J1106" t="n">
        <v>1</v>
      </c>
      <c r="K1106" t="n">
        <v>0</v>
      </c>
      <c r="L1106" t="n">
        <v>0</v>
      </c>
      <c r="M1106" t="n">
        <v>0</v>
      </c>
      <c r="N1106" t="n">
        <v>0</v>
      </c>
      <c r="O1106" t="n">
        <v>1</v>
      </c>
      <c r="P1106" t="n">
        <v>0</v>
      </c>
      <c r="Q1106" t="n">
        <v>1</v>
      </c>
      <c r="R1106" s="2" t="inlineStr">
        <is>
          <t>Garnlav</t>
        </is>
      </c>
      <c r="S1106">
        <f>HYPERLINK("https://klasma.github.io/Logging_2463/artfynd/A 54741-2023 artfynd.xlsx", "A 54741-2023")</f>
        <v/>
      </c>
      <c r="T1106">
        <f>HYPERLINK("https://klasma.github.io/Logging_2463/kartor/A 54741-2023 karta.png", "A 54741-2023")</f>
        <v/>
      </c>
      <c r="V1106">
        <f>HYPERLINK("https://klasma.github.io/Logging_2463/klagomål/A 54741-2023 FSC-klagomål.docx", "A 54741-2023")</f>
        <v/>
      </c>
      <c r="W1106">
        <f>HYPERLINK("https://klasma.github.io/Logging_2463/klagomålsmail/A 54741-2023 FSC-klagomål mail.docx", "A 54741-2023")</f>
        <v/>
      </c>
      <c r="X1106">
        <f>HYPERLINK("https://klasma.github.io/Logging_2463/tillsyn/A 54741-2023 tillsynsbegäran.docx", "A 54741-2023")</f>
        <v/>
      </c>
      <c r="Y1106">
        <f>HYPERLINK("https://klasma.github.io/Logging_2463/tillsynsmail/A 54741-2023 tillsynsbegäran mail.docx", "A 54741-2023")</f>
        <v/>
      </c>
    </row>
    <row r="1107" ht="15" customHeight="1">
      <c r="A1107" t="inlineStr">
        <is>
          <t>A 65044-2023</t>
        </is>
      </c>
      <c r="B1107" s="1" t="n">
        <v>45283</v>
      </c>
      <c r="C1107" s="1" t="n">
        <v>46075</v>
      </c>
      <c r="D1107" t="inlineStr">
        <is>
          <t>VÄSTERBOTTENS LÄN</t>
        </is>
      </c>
      <c r="E1107" t="inlineStr">
        <is>
          <t>NORDMALING</t>
        </is>
      </c>
      <c r="F1107" t="inlineStr">
        <is>
          <t>Kommuner</t>
        </is>
      </c>
      <c r="G1107" t="n">
        <v>15.4</v>
      </c>
      <c r="H1107" t="n">
        <v>1</v>
      </c>
      <c r="I1107" t="n">
        <v>0</v>
      </c>
      <c r="J1107" t="n">
        <v>1</v>
      </c>
      <c r="K1107" t="n">
        <v>0</v>
      </c>
      <c r="L1107" t="n">
        <v>0</v>
      </c>
      <c r="M1107" t="n">
        <v>0</v>
      </c>
      <c r="N1107" t="n">
        <v>0</v>
      </c>
      <c r="O1107" t="n">
        <v>1</v>
      </c>
      <c r="P1107" t="n">
        <v>0</v>
      </c>
      <c r="Q1107" t="n">
        <v>1</v>
      </c>
      <c r="R1107" s="2" t="inlineStr">
        <is>
          <t>Mindre hackspett</t>
        </is>
      </c>
      <c r="S1107">
        <f>HYPERLINK("https://klasma.github.io/Logging_2401/artfynd/A 65044-2023 artfynd.xlsx", "A 65044-2023")</f>
        <v/>
      </c>
      <c r="T1107">
        <f>HYPERLINK("https://klasma.github.io/Logging_2401/kartor/A 65044-2023 karta.png", "A 65044-2023")</f>
        <v/>
      </c>
      <c r="V1107">
        <f>HYPERLINK("https://klasma.github.io/Logging_2401/klagomål/A 65044-2023 FSC-klagomål.docx", "A 65044-2023")</f>
        <v/>
      </c>
      <c r="W1107">
        <f>HYPERLINK("https://klasma.github.io/Logging_2401/klagomålsmail/A 65044-2023 FSC-klagomål mail.docx", "A 65044-2023")</f>
        <v/>
      </c>
      <c r="X1107">
        <f>HYPERLINK("https://klasma.github.io/Logging_2401/tillsyn/A 65044-2023 tillsynsbegäran.docx", "A 65044-2023")</f>
        <v/>
      </c>
      <c r="Y1107">
        <f>HYPERLINK("https://klasma.github.io/Logging_2401/tillsynsmail/A 65044-2023 tillsynsbegäran mail.docx", "A 65044-2023")</f>
        <v/>
      </c>
      <c r="Z1107">
        <f>HYPERLINK("https://klasma.github.io/Logging_2401/fåglar/A 65044-2023 prioriterade fågelarter.docx", "A 65044-2023")</f>
        <v/>
      </c>
    </row>
    <row r="1108" ht="15" customHeight="1">
      <c r="A1108" t="inlineStr">
        <is>
          <t>A 57865-2021</t>
        </is>
      </c>
      <c r="B1108" s="1" t="n">
        <v>44484</v>
      </c>
      <c r="C1108" s="1" t="n">
        <v>46075</v>
      </c>
      <c r="D1108" t="inlineStr">
        <is>
          <t>VÄSTERBOTTENS LÄN</t>
        </is>
      </c>
      <c r="E1108" t="inlineStr">
        <is>
          <t>BJURHOLM</t>
        </is>
      </c>
      <c r="F1108" t="inlineStr">
        <is>
          <t>SCA</t>
        </is>
      </c>
      <c r="G1108" t="n">
        <v>2.6</v>
      </c>
      <c r="H1108" t="n">
        <v>0</v>
      </c>
      <c r="I1108" t="n">
        <v>1</v>
      </c>
      <c r="J1108" t="n">
        <v>0</v>
      </c>
      <c r="K1108" t="n">
        <v>0</v>
      </c>
      <c r="L1108" t="n">
        <v>0</v>
      </c>
      <c r="M1108" t="n">
        <v>0</v>
      </c>
      <c r="N1108" t="n">
        <v>0</v>
      </c>
      <c r="O1108" t="n">
        <v>0</v>
      </c>
      <c r="P1108" t="n">
        <v>0</v>
      </c>
      <c r="Q1108" t="n">
        <v>1</v>
      </c>
      <c r="R1108" s="2" t="inlineStr">
        <is>
          <t>Stor aspticka</t>
        </is>
      </c>
      <c r="S1108">
        <f>HYPERLINK("https://klasma.github.io/Logging_2403/artfynd/A 57865-2021 artfynd.xlsx", "A 57865-2021")</f>
        <v/>
      </c>
      <c r="T1108">
        <f>HYPERLINK("https://klasma.github.io/Logging_2403/kartor/A 57865-2021 karta.png", "A 57865-2021")</f>
        <v/>
      </c>
      <c r="V1108">
        <f>HYPERLINK("https://klasma.github.io/Logging_2403/klagomål/A 57865-2021 FSC-klagomål.docx", "A 57865-2021")</f>
        <v/>
      </c>
      <c r="W1108">
        <f>HYPERLINK("https://klasma.github.io/Logging_2403/klagomålsmail/A 57865-2021 FSC-klagomål mail.docx", "A 57865-2021")</f>
        <v/>
      </c>
      <c r="X1108">
        <f>HYPERLINK("https://klasma.github.io/Logging_2403/tillsyn/A 57865-2021 tillsynsbegäran.docx", "A 57865-2021")</f>
        <v/>
      </c>
      <c r="Y1108">
        <f>HYPERLINK("https://klasma.github.io/Logging_2403/tillsynsmail/A 57865-2021 tillsynsbegäran mail.docx", "A 57865-2021")</f>
        <v/>
      </c>
    </row>
    <row r="1109" ht="15" customHeight="1">
      <c r="A1109" t="inlineStr">
        <is>
          <t>A 42489-2024</t>
        </is>
      </c>
      <c r="B1109" s="1" t="n">
        <v>45565</v>
      </c>
      <c r="C1109" s="1" t="n">
        <v>46075</v>
      </c>
      <c r="D1109" t="inlineStr">
        <is>
          <t>VÄSTERBOTTENS LÄN</t>
        </is>
      </c>
      <c r="E1109" t="inlineStr">
        <is>
          <t>VILHELMINA</t>
        </is>
      </c>
      <c r="F1109" t="inlineStr">
        <is>
          <t>SCA</t>
        </is>
      </c>
      <c r="G1109" t="n">
        <v>1.9</v>
      </c>
      <c r="H1109" t="n">
        <v>0</v>
      </c>
      <c r="I1109" t="n">
        <v>0</v>
      </c>
      <c r="J1109" t="n">
        <v>1</v>
      </c>
      <c r="K1109" t="n">
        <v>0</v>
      </c>
      <c r="L1109" t="n">
        <v>0</v>
      </c>
      <c r="M1109" t="n">
        <v>0</v>
      </c>
      <c r="N1109" t="n">
        <v>0</v>
      </c>
      <c r="O1109" t="n">
        <v>1</v>
      </c>
      <c r="P1109" t="n">
        <v>0</v>
      </c>
      <c r="Q1109" t="n">
        <v>1</v>
      </c>
      <c r="R1109" s="2" t="inlineStr">
        <is>
          <t>Granticka</t>
        </is>
      </c>
      <c r="S1109">
        <f>HYPERLINK("https://klasma.github.io/Logging_2462/artfynd/A 42489-2024 artfynd.xlsx", "A 42489-2024")</f>
        <v/>
      </c>
      <c r="T1109">
        <f>HYPERLINK("https://klasma.github.io/Logging_2462/kartor/A 42489-2024 karta.png", "A 42489-2024")</f>
        <v/>
      </c>
      <c r="V1109">
        <f>HYPERLINK("https://klasma.github.io/Logging_2462/klagomål/A 42489-2024 FSC-klagomål.docx", "A 42489-2024")</f>
        <v/>
      </c>
      <c r="W1109">
        <f>HYPERLINK("https://klasma.github.io/Logging_2462/klagomålsmail/A 42489-2024 FSC-klagomål mail.docx", "A 42489-2024")</f>
        <v/>
      </c>
      <c r="X1109">
        <f>HYPERLINK("https://klasma.github.io/Logging_2462/tillsyn/A 42489-2024 tillsynsbegäran.docx", "A 42489-2024")</f>
        <v/>
      </c>
      <c r="Y1109">
        <f>HYPERLINK("https://klasma.github.io/Logging_2462/tillsynsmail/A 42489-2024 tillsynsbegäran mail.docx", "A 42489-2024")</f>
        <v/>
      </c>
    </row>
    <row r="1110" ht="15" customHeight="1">
      <c r="A1110" t="inlineStr">
        <is>
          <t>A 43459-2024</t>
        </is>
      </c>
      <c r="B1110" s="1" t="n">
        <v>45568</v>
      </c>
      <c r="C1110" s="1" t="n">
        <v>46075</v>
      </c>
      <c r="D1110" t="inlineStr">
        <is>
          <t>VÄSTERBOTTENS LÄN</t>
        </is>
      </c>
      <c r="E1110" t="inlineStr">
        <is>
          <t>ÅSELE</t>
        </is>
      </c>
      <c r="F1110" t="inlineStr">
        <is>
          <t>SCA</t>
        </is>
      </c>
      <c r="G1110" t="n">
        <v>7.9</v>
      </c>
      <c r="H1110" t="n">
        <v>0</v>
      </c>
      <c r="I1110" t="n">
        <v>0</v>
      </c>
      <c r="J1110" t="n">
        <v>1</v>
      </c>
      <c r="K1110" t="n">
        <v>0</v>
      </c>
      <c r="L1110" t="n">
        <v>0</v>
      </c>
      <c r="M1110" t="n">
        <v>0</v>
      </c>
      <c r="N1110" t="n">
        <v>0</v>
      </c>
      <c r="O1110" t="n">
        <v>1</v>
      </c>
      <c r="P1110" t="n">
        <v>0</v>
      </c>
      <c r="Q1110" t="n">
        <v>1</v>
      </c>
      <c r="R1110" s="2" t="inlineStr">
        <is>
          <t>Gammelgransskål</t>
        </is>
      </c>
      <c r="S1110">
        <f>HYPERLINK("https://klasma.github.io/Logging_2463/artfynd/A 43459-2024 artfynd.xlsx", "A 43459-2024")</f>
        <v/>
      </c>
      <c r="T1110">
        <f>HYPERLINK("https://klasma.github.io/Logging_2463/kartor/A 43459-2024 karta.png", "A 43459-2024")</f>
        <v/>
      </c>
      <c r="V1110">
        <f>HYPERLINK("https://klasma.github.io/Logging_2463/klagomål/A 43459-2024 FSC-klagomål.docx", "A 43459-2024")</f>
        <v/>
      </c>
      <c r="W1110">
        <f>HYPERLINK("https://klasma.github.io/Logging_2463/klagomålsmail/A 43459-2024 FSC-klagomål mail.docx", "A 43459-2024")</f>
        <v/>
      </c>
      <c r="X1110">
        <f>HYPERLINK("https://klasma.github.io/Logging_2463/tillsyn/A 43459-2024 tillsynsbegäran.docx", "A 43459-2024")</f>
        <v/>
      </c>
      <c r="Y1110">
        <f>HYPERLINK("https://klasma.github.io/Logging_2463/tillsynsmail/A 43459-2024 tillsynsbegäran mail.docx", "A 43459-2024")</f>
        <v/>
      </c>
    </row>
    <row r="1111" ht="15" customHeight="1">
      <c r="A1111" t="inlineStr">
        <is>
          <t>A 49125-2024</t>
        </is>
      </c>
      <c r="B1111" s="1" t="n">
        <v>45594</v>
      </c>
      <c r="C1111" s="1" t="n">
        <v>46075</v>
      </c>
      <c r="D1111" t="inlineStr">
        <is>
          <t>VÄSTERBOTTENS LÄN</t>
        </is>
      </c>
      <c r="E1111" t="inlineStr">
        <is>
          <t>LYCKSELE</t>
        </is>
      </c>
      <c r="F1111" t="inlineStr">
        <is>
          <t>Sveaskog</t>
        </is>
      </c>
      <c r="G1111" t="n">
        <v>6.7</v>
      </c>
      <c r="H1111" t="n">
        <v>1</v>
      </c>
      <c r="I1111" t="n">
        <v>0</v>
      </c>
      <c r="J1111" t="n">
        <v>0</v>
      </c>
      <c r="K1111" t="n">
        <v>1</v>
      </c>
      <c r="L1111" t="n">
        <v>0</v>
      </c>
      <c r="M1111" t="n">
        <v>0</v>
      </c>
      <c r="N1111" t="n">
        <v>0</v>
      </c>
      <c r="O1111" t="n">
        <v>1</v>
      </c>
      <c r="P1111" t="n">
        <v>1</v>
      </c>
      <c r="Q1111" t="n">
        <v>1</v>
      </c>
      <c r="R1111" s="2" t="inlineStr">
        <is>
          <t>Knärot</t>
        </is>
      </c>
      <c r="S1111">
        <f>HYPERLINK("https://klasma.github.io/Logging_2481/artfynd/A 49125-2024 artfynd.xlsx", "A 49125-2024")</f>
        <v/>
      </c>
      <c r="T1111">
        <f>HYPERLINK("https://klasma.github.io/Logging_2481/kartor/A 49125-2024 karta.png", "A 49125-2024")</f>
        <v/>
      </c>
      <c r="U1111">
        <f>HYPERLINK("https://klasma.github.io/Logging_2481/knärot/A 49125-2024 karta knärot.png", "A 49125-2024")</f>
        <v/>
      </c>
      <c r="V1111">
        <f>HYPERLINK("https://klasma.github.io/Logging_2481/klagomål/A 49125-2024 FSC-klagomål.docx", "A 49125-2024")</f>
        <v/>
      </c>
      <c r="W1111">
        <f>HYPERLINK("https://klasma.github.io/Logging_2481/klagomålsmail/A 49125-2024 FSC-klagomål mail.docx", "A 49125-2024")</f>
        <v/>
      </c>
      <c r="X1111">
        <f>HYPERLINK("https://klasma.github.io/Logging_2481/tillsyn/A 49125-2024 tillsynsbegäran.docx", "A 49125-2024")</f>
        <v/>
      </c>
      <c r="Y1111">
        <f>HYPERLINK("https://klasma.github.io/Logging_2481/tillsynsmail/A 49125-2024 tillsynsbegäran mail.docx", "A 49125-2024")</f>
        <v/>
      </c>
    </row>
    <row r="1112" ht="15" customHeight="1">
      <c r="A1112" t="inlineStr">
        <is>
          <t>A 32506-2024</t>
        </is>
      </c>
      <c r="B1112" s="1" t="n">
        <v>45513</v>
      </c>
      <c r="C1112" s="1" t="n">
        <v>46075</v>
      </c>
      <c r="D1112" t="inlineStr">
        <is>
          <t>VÄSTERBOTTENS LÄN</t>
        </is>
      </c>
      <c r="E1112" t="inlineStr">
        <is>
          <t>BJURHOLM</t>
        </is>
      </c>
      <c r="G1112" t="n">
        <v>3.5</v>
      </c>
      <c r="H1112" t="n">
        <v>1</v>
      </c>
      <c r="I1112" t="n">
        <v>0</v>
      </c>
      <c r="J1112" t="n">
        <v>1</v>
      </c>
      <c r="K1112" t="n">
        <v>0</v>
      </c>
      <c r="L1112" t="n">
        <v>0</v>
      </c>
      <c r="M1112" t="n">
        <v>0</v>
      </c>
      <c r="N1112" t="n">
        <v>0</v>
      </c>
      <c r="O1112" t="n">
        <v>1</v>
      </c>
      <c r="P1112" t="n">
        <v>0</v>
      </c>
      <c r="Q1112" t="n">
        <v>1</v>
      </c>
      <c r="R1112" s="2" t="inlineStr">
        <is>
          <t>Tretåig hackspett</t>
        </is>
      </c>
      <c r="S1112">
        <f>HYPERLINK("https://klasma.github.io/Logging_2403/artfynd/A 32506-2024 artfynd.xlsx", "A 32506-2024")</f>
        <v/>
      </c>
      <c r="T1112">
        <f>HYPERLINK("https://klasma.github.io/Logging_2403/kartor/A 32506-2024 karta.png", "A 32506-2024")</f>
        <v/>
      </c>
      <c r="V1112">
        <f>HYPERLINK("https://klasma.github.io/Logging_2403/klagomål/A 32506-2024 FSC-klagomål.docx", "A 32506-2024")</f>
        <v/>
      </c>
      <c r="W1112">
        <f>HYPERLINK("https://klasma.github.io/Logging_2403/klagomålsmail/A 32506-2024 FSC-klagomål mail.docx", "A 32506-2024")</f>
        <v/>
      </c>
      <c r="X1112">
        <f>HYPERLINK("https://klasma.github.io/Logging_2403/tillsyn/A 32506-2024 tillsynsbegäran.docx", "A 32506-2024")</f>
        <v/>
      </c>
      <c r="Y1112">
        <f>HYPERLINK("https://klasma.github.io/Logging_2403/tillsynsmail/A 32506-2024 tillsynsbegäran mail.docx", "A 32506-2024")</f>
        <v/>
      </c>
      <c r="Z1112">
        <f>HYPERLINK("https://klasma.github.io/Logging_2403/fåglar/A 32506-2024 prioriterade fågelarter.docx", "A 32506-2024")</f>
        <v/>
      </c>
    </row>
    <row r="1113" ht="15" customHeight="1">
      <c r="A1113" t="inlineStr">
        <is>
          <t>A 43029-2024</t>
        </is>
      </c>
      <c r="B1113" s="1" t="n">
        <v>45567.41245370371</v>
      </c>
      <c r="C1113" s="1" t="n">
        <v>46075</v>
      </c>
      <c r="D1113" t="inlineStr">
        <is>
          <t>VÄSTERBOTTENS LÄN</t>
        </is>
      </c>
      <c r="E1113" t="inlineStr">
        <is>
          <t>UMEÅ</t>
        </is>
      </c>
      <c r="G1113" t="n">
        <v>5.7</v>
      </c>
      <c r="H1113" t="n">
        <v>0</v>
      </c>
      <c r="I1113" t="n">
        <v>1</v>
      </c>
      <c r="J1113" t="n">
        <v>0</v>
      </c>
      <c r="K1113" t="n">
        <v>0</v>
      </c>
      <c r="L1113" t="n">
        <v>0</v>
      </c>
      <c r="M1113" t="n">
        <v>0</v>
      </c>
      <c r="N1113" t="n">
        <v>0</v>
      </c>
      <c r="O1113" t="n">
        <v>0</v>
      </c>
      <c r="P1113" t="n">
        <v>0</v>
      </c>
      <c r="Q1113" t="n">
        <v>1</v>
      </c>
      <c r="R1113" s="2" t="inlineStr">
        <is>
          <t>Dropptaggsvamp</t>
        </is>
      </c>
      <c r="S1113">
        <f>HYPERLINK("https://klasma.github.io/Logging_2480/artfynd/A 43029-2024 artfynd.xlsx", "A 43029-2024")</f>
        <v/>
      </c>
      <c r="T1113">
        <f>HYPERLINK("https://klasma.github.io/Logging_2480/kartor/A 43029-2024 karta.png", "A 43029-2024")</f>
        <v/>
      </c>
      <c r="V1113">
        <f>HYPERLINK("https://klasma.github.io/Logging_2480/klagomål/A 43029-2024 FSC-klagomål.docx", "A 43029-2024")</f>
        <v/>
      </c>
      <c r="W1113">
        <f>HYPERLINK("https://klasma.github.io/Logging_2480/klagomålsmail/A 43029-2024 FSC-klagomål mail.docx", "A 43029-2024")</f>
        <v/>
      </c>
      <c r="X1113">
        <f>HYPERLINK("https://klasma.github.io/Logging_2480/tillsyn/A 43029-2024 tillsynsbegäran.docx", "A 43029-2024")</f>
        <v/>
      </c>
      <c r="Y1113">
        <f>HYPERLINK("https://klasma.github.io/Logging_2480/tillsynsmail/A 43029-2024 tillsynsbegäran mail.docx", "A 43029-2024")</f>
        <v/>
      </c>
    </row>
    <row r="1114" ht="15" customHeight="1">
      <c r="A1114" t="inlineStr">
        <is>
          <t>A 1433-2026</t>
        </is>
      </c>
      <c r="B1114" s="1" t="n">
        <v>46032.43961805556</v>
      </c>
      <c r="C1114" s="1" t="n">
        <v>46075</v>
      </c>
      <c r="D1114" t="inlineStr">
        <is>
          <t>VÄSTERBOTTENS LÄN</t>
        </is>
      </c>
      <c r="E1114" t="inlineStr">
        <is>
          <t>NORDMALING</t>
        </is>
      </c>
      <c r="F1114" t="inlineStr">
        <is>
          <t>Holmen skog AB</t>
        </is>
      </c>
      <c r="G1114" t="n">
        <v>22.4</v>
      </c>
      <c r="H1114" t="n">
        <v>0</v>
      </c>
      <c r="I1114" t="n">
        <v>1</v>
      </c>
      <c r="J1114" t="n">
        <v>0</v>
      </c>
      <c r="K1114" t="n">
        <v>0</v>
      </c>
      <c r="L1114" t="n">
        <v>0</v>
      </c>
      <c r="M1114" t="n">
        <v>0</v>
      </c>
      <c r="N1114" t="n">
        <v>0</v>
      </c>
      <c r="O1114" t="n">
        <v>0</v>
      </c>
      <c r="P1114" t="n">
        <v>0</v>
      </c>
      <c r="Q1114" t="n">
        <v>1</v>
      </c>
      <c r="R1114" s="2" t="inlineStr">
        <is>
          <t>Bårdlav</t>
        </is>
      </c>
      <c r="S1114">
        <f>HYPERLINK("https://klasma.github.io/Logging_2401/artfynd/A 1433-2026 artfynd.xlsx", "A 1433-2026")</f>
        <v/>
      </c>
      <c r="T1114">
        <f>HYPERLINK("https://klasma.github.io/Logging_2401/kartor/A 1433-2026 karta.png", "A 1433-2026")</f>
        <v/>
      </c>
      <c r="V1114">
        <f>HYPERLINK("https://klasma.github.io/Logging_2401/klagomål/A 1433-2026 FSC-klagomål.docx", "A 1433-2026")</f>
        <v/>
      </c>
      <c r="W1114">
        <f>HYPERLINK("https://klasma.github.io/Logging_2401/klagomålsmail/A 1433-2026 FSC-klagomål mail.docx", "A 1433-2026")</f>
        <v/>
      </c>
      <c r="X1114">
        <f>HYPERLINK("https://klasma.github.io/Logging_2401/tillsyn/A 1433-2026 tillsynsbegäran.docx", "A 1433-2026")</f>
        <v/>
      </c>
      <c r="Y1114">
        <f>HYPERLINK("https://klasma.github.io/Logging_2401/tillsynsmail/A 1433-2026 tillsynsbegäran mail.docx", "A 1433-2026")</f>
        <v/>
      </c>
    </row>
    <row r="1115" ht="15" customHeight="1">
      <c r="A1115" t="inlineStr">
        <is>
          <t>A 4913-2026</t>
        </is>
      </c>
      <c r="B1115" s="1" t="n">
        <v>46048.72559027778</v>
      </c>
      <c r="C1115" s="1" t="n">
        <v>46075</v>
      </c>
      <c r="D1115" t="inlineStr">
        <is>
          <t>VÄSTERBOTTENS LÄN</t>
        </is>
      </c>
      <c r="E1115" t="inlineStr">
        <is>
          <t>UMEÅ</t>
        </is>
      </c>
      <c r="G1115" t="n">
        <v>2.8</v>
      </c>
      <c r="H1115" t="n">
        <v>0</v>
      </c>
      <c r="I1115" t="n">
        <v>0</v>
      </c>
      <c r="J1115" t="n">
        <v>1</v>
      </c>
      <c r="K1115" t="n">
        <v>0</v>
      </c>
      <c r="L1115" t="n">
        <v>0</v>
      </c>
      <c r="M1115" t="n">
        <v>0</v>
      </c>
      <c r="N1115" t="n">
        <v>0</v>
      </c>
      <c r="O1115" t="n">
        <v>1</v>
      </c>
      <c r="P1115" t="n">
        <v>0</v>
      </c>
      <c r="Q1115" t="n">
        <v>1</v>
      </c>
      <c r="R1115" s="2" t="inlineStr">
        <is>
          <t>Motaggsvamp</t>
        </is>
      </c>
      <c r="S1115">
        <f>HYPERLINK("https://klasma.github.io/Logging_2480/artfynd/A 4913-2026 artfynd.xlsx", "A 4913-2026")</f>
        <v/>
      </c>
      <c r="T1115">
        <f>HYPERLINK("https://klasma.github.io/Logging_2480/kartor/A 4913-2026 karta.png", "A 4913-2026")</f>
        <v/>
      </c>
      <c r="V1115">
        <f>HYPERLINK("https://klasma.github.io/Logging_2480/klagomål/A 4913-2026 FSC-klagomål.docx", "A 4913-2026")</f>
        <v/>
      </c>
      <c r="W1115">
        <f>HYPERLINK("https://klasma.github.io/Logging_2480/klagomålsmail/A 4913-2026 FSC-klagomål mail.docx", "A 4913-2026")</f>
        <v/>
      </c>
      <c r="X1115">
        <f>HYPERLINK("https://klasma.github.io/Logging_2480/tillsyn/A 4913-2026 tillsynsbegäran.docx", "A 4913-2026")</f>
        <v/>
      </c>
      <c r="Y1115">
        <f>HYPERLINK("https://klasma.github.io/Logging_2480/tillsynsmail/A 4913-2026 tillsynsbegäran mail.docx", "A 4913-2026")</f>
        <v/>
      </c>
    </row>
    <row r="1116" ht="15" customHeight="1">
      <c r="A1116" t="inlineStr">
        <is>
          <t>A 38131-2024</t>
        </is>
      </c>
      <c r="B1116" s="1" t="n">
        <v>45545</v>
      </c>
      <c r="C1116" s="1" t="n">
        <v>46075</v>
      </c>
      <c r="D1116" t="inlineStr">
        <is>
          <t>VÄSTERBOTTENS LÄN</t>
        </is>
      </c>
      <c r="E1116" t="inlineStr">
        <is>
          <t>VILHELMINA</t>
        </is>
      </c>
      <c r="F1116" t="inlineStr">
        <is>
          <t>SCA</t>
        </is>
      </c>
      <c r="G1116" t="n">
        <v>1.5</v>
      </c>
      <c r="H1116" t="n">
        <v>1</v>
      </c>
      <c r="I1116" t="n">
        <v>0</v>
      </c>
      <c r="J1116" t="n">
        <v>1</v>
      </c>
      <c r="K1116" t="n">
        <v>0</v>
      </c>
      <c r="L1116" t="n">
        <v>0</v>
      </c>
      <c r="M1116" t="n">
        <v>0</v>
      </c>
      <c r="N1116" t="n">
        <v>0</v>
      </c>
      <c r="O1116" t="n">
        <v>1</v>
      </c>
      <c r="P1116" t="n">
        <v>0</v>
      </c>
      <c r="Q1116" t="n">
        <v>1</v>
      </c>
      <c r="R1116" s="2" t="inlineStr">
        <is>
          <t>Tretåig hackspett</t>
        </is>
      </c>
      <c r="S1116">
        <f>HYPERLINK("https://klasma.github.io/Logging_2462/artfynd/A 38131-2024 artfynd.xlsx", "A 38131-2024")</f>
        <v/>
      </c>
      <c r="T1116">
        <f>HYPERLINK("https://klasma.github.io/Logging_2462/kartor/A 38131-2024 karta.png", "A 38131-2024")</f>
        <v/>
      </c>
      <c r="V1116">
        <f>HYPERLINK("https://klasma.github.io/Logging_2462/klagomål/A 38131-2024 FSC-klagomål.docx", "A 38131-2024")</f>
        <v/>
      </c>
      <c r="W1116">
        <f>HYPERLINK("https://klasma.github.io/Logging_2462/klagomålsmail/A 38131-2024 FSC-klagomål mail.docx", "A 38131-2024")</f>
        <v/>
      </c>
      <c r="X1116">
        <f>HYPERLINK("https://klasma.github.io/Logging_2462/tillsyn/A 38131-2024 tillsynsbegäran.docx", "A 38131-2024")</f>
        <v/>
      </c>
      <c r="Y1116">
        <f>HYPERLINK("https://klasma.github.io/Logging_2462/tillsynsmail/A 38131-2024 tillsynsbegäran mail.docx", "A 38131-2024")</f>
        <v/>
      </c>
      <c r="Z1116">
        <f>HYPERLINK("https://klasma.github.io/Logging_2462/fåglar/A 38131-2024 prioriterade fågelarter.docx", "A 38131-2024")</f>
        <v/>
      </c>
    </row>
    <row r="1117" ht="15" customHeight="1">
      <c r="A1117" t="inlineStr">
        <is>
          <t>A 19713-2021</t>
        </is>
      </c>
      <c r="B1117" s="1" t="n">
        <v>44312</v>
      </c>
      <c r="C1117" s="1" t="n">
        <v>46075</v>
      </c>
      <c r="D1117" t="inlineStr">
        <is>
          <t>VÄSTERBOTTENS LÄN</t>
        </is>
      </c>
      <c r="E1117" t="inlineStr">
        <is>
          <t>STORUMAN</t>
        </is>
      </c>
      <c r="G1117" t="n">
        <v>1.6</v>
      </c>
      <c r="H1117" t="n">
        <v>1</v>
      </c>
      <c r="I1117" t="n">
        <v>0</v>
      </c>
      <c r="J1117" t="n">
        <v>0</v>
      </c>
      <c r="K1117" t="n">
        <v>1</v>
      </c>
      <c r="L1117" t="n">
        <v>0</v>
      </c>
      <c r="M1117" t="n">
        <v>0</v>
      </c>
      <c r="N1117" t="n">
        <v>0</v>
      </c>
      <c r="O1117" t="n">
        <v>1</v>
      </c>
      <c r="P1117" t="n">
        <v>1</v>
      </c>
      <c r="Q1117" t="n">
        <v>1</v>
      </c>
      <c r="R1117" s="2" t="inlineStr">
        <is>
          <t>Knärot</t>
        </is>
      </c>
      <c r="S1117">
        <f>HYPERLINK("https://klasma.github.io/Logging_2421/artfynd/A 19713-2021 artfynd.xlsx", "A 19713-2021")</f>
        <v/>
      </c>
      <c r="T1117">
        <f>HYPERLINK("https://klasma.github.io/Logging_2421/kartor/A 19713-2021 karta.png", "A 19713-2021")</f>
        <v/>
      </c>
      <c r="U1117">
        <f>HYPERLINK("https://klasma.github.io/Logging_2421/knärot/A 19713-2021 karta knärot.png", "A 19713-2021")</f>
        <v/>
      </c>
      <c r="V1117">
        <f>HYPERLINK("https://klasma.github.io/Logging_2421/klagomål/A 19713-2021 FSC-klagomål.docx", "A 19713-2021")</f>
        <v/>
      </c>
      <c r="W1117">
        <f>HYPERLINK("https://klasma.github.io/Logging_2421/klagomålsmail/A 19713-2021 FSC-klagomål mail.docx", "A 19713-2021")</f>
        <v/>
      </c>
      <c r="X1117">
        <f>HYPERLINK("https://klasma.github.io/Logging_2421/tillsyn/A 19713-2021 tillsynsbegäran.docx", "A 19713-2021")</f>
        <v/>
      </c>
      <c r="Y1117">
        <f>HYPERLINK("https://klasma.github.io/Logging_2421/tillsynsmail/A 19713-2021 tillsynsbegäran mail.docx", "A 19713-2021")</f>
        <v/>
      </c>
    </row>
    <row r="1118" ht="15" customHeight="1">
      <c r="A1118" t="inlineStr">
        <is>
          <t>A 49714-2025</t>
        </is>
      </c>
      <c r="B1118" s="1" t="n">
        <v>45939.71892361111</v>
      </c>
      <c r="C1118" s="1" t="n">
        <v>46075</v>
      </c>
      <c r="D1118" t="inlineStr">
        <is>
          <t>VÄSTERBOTTENS LÄN</t>
        </is>
      </c>
      <c r="E1118" t="inlineStr">
        <is>
          <t>ROBERTSFORS</t>
        </is>
      </c>
      <c r="F1118" t="inlineStr">
        <is>
          <t>Kyrkan</t>
        </is>
      </c>
      <c r="G1118" t="n">
        <v>13</v>
      </c>
      <c r="H1118" t="n">
        <v>0</v>
      </c>
      <c r="I1118" t="n">
        <v>0</v>
      </c>
      <c r="J1118" t="n">
        <v>1</v>
      </c>
      <c r="K1118" t="n">
        <v>0</v>
      </c>
      <c r="L1118" t="n">
        <v>0</v>
      </c>
      <c r="M1118" t="n">
        <v>0</v>
      </c>
      <c r="N1118" t="n">
        <v>0</v>
      </c>
      <c r="O1118" t="n">
        <v>1</v>
      </c>
      <c r="P1118" t="n">
        <v>0</v>
      </c>
      <c r="Q1118" t="n">
        <v>1</v>
      </c>
      <c r="R1118" s="2" t="inlineStr">
        <is>
          <t>Harticka</t>
        </is>
      </c>
      <c r="S1118">
        <f>HYPERLINK("https://klasma.github.io/Logging_2409/artfynd/A 49714-2025 artfynd.xlsx", "A 49714-2025")</f>
        <v/>
      </c>
      <c r="T1118">
        <f>HYPERLINK("https://klasma.github.io/Logging_2409/kartor/A 49714-2025 karta.png", "A 49714-2025")</f>
        <v/>
      </c>
      <c r="V1118">
        <f>HYPERLINK("https://klasma.github.io/Logging_2409/klagomål/A 49714-2025 FSC-klagomål.docx", "A 49714-2025")</f>
        <v/>
      </c>
      <c r="W1118">
        <f>HYPERLINK("https://klasma.github.io/Logging_2409/klagomålsmail/A 49714-2025 FSC-klagomål mail.docx", "A 49714-2025")</f>
        <v/>
      </c>
      <c r="X1118">
        <f>HYPERLINK("https://klasma.github.io/Logging_2409/tillsyn/A 49714-2025 tillsynsbegäran.docx", "A 49714-2025")</f>
        <v/>
      </c>
      <c r="Y1118">
        <f>HYPERLINK("https://klasma.github.io/Logging_2409/tillsynsmail/A 49714-2025 tillsynsbegäran mail.docx", "A 49714-2025")</f>
        <v/>
      </c>
    </row>
    <row r="1119" ht="15" customHeight="1">
      <c r="A1119" t="inlineStr">
        <is>
          <t>A 25374-2024</t>
        </is>
      </c>
      <c r="B1119" s="1" t="n">
        <v>45462</v>
      </c>
      <c r="C1119" s="1" t="n">
        <v>46075</v>
      </c>
      <c r="D1119" t="inlineStr">
        <is>
          <t>VÄSTERBOTTENS LÄN</t>
        </is>
      </c>
      <c r="E1119" t="inlineStr">
        <is>
          <t>VILHELMINA</t>
        </is>
      </c>
      <c r="F1119" t="inlineStr">
        <is>
          <t>SCA</t>
        </is>
      </c>
      <c r="G1119" t="n">
        <v>7.7</v>
      </c>
      <c r="H1119" t="n">
        <v>1</v>
      </c>
      <c r="I1119" t="n">
        <v>0</v>
      </c>
      <c r="J1119" t="n">
        <v>1</v>
      </c>
      <c r="K1119" t="n">
        <v>0</v>
      </c>
      <c r="L1119" t="n">
        <v>0</v>
      </c>
      <c r="M1119" t="n">
        <v>0</v>
      </c>
      <c r="N1119" t="n">
        <v>0</v>
      </c>
      <c r="O1119" t="n">
        <v>1</v>
      </c>
      <c r="P1119" t="n">
        <v>0</v>
      </c>
      <c r="Q1119" t="n">
        <v>1</v>
      </c>
      <c r="R1119" s="2" t="inlineStr">
        <is>
          <t>Tretåig hackspett</t>
        </is>
      </c>
      <c r="S1119">
        <f>HYPERLINK("https://klasma.github.io/Logging_2462/artfynd/A 25374-2024 artfynd.xlsx", "A 25374-2024")</f>
        <v/>
      </c>
      <c r="T1119">
        <f>HYPERLINK("https://klasma.github.io/Logging_2462/kartor/A 25374-2024 karta.png", "A 25374-2024")</f>
        <v/>
      </c>
      <c r="V1119">
        <f>HYPERLINK("https://klasma.github.io/Logging_2462/klagomål/A 25374-2024 FSC-klagomål.docx", "A 25374-2024")</f>
        <v/>
      </c>
      <c r="W1119">
        <f>HYPERLINK("https://klasma.github.io/Logging_2462/klagomålsmail/A 25374-2024 FSC-klagomål mail.docx", "A 25374-2024")</f>
        <v/>
      </c>
      <c r="X1119">
        <f>HYPERLINK("https://klasma.github.io/Logging_2462/tillsyn/A 25374-2024 tillsynsbegäran.docx", "A 25374-2024")</f>
        <v/>
      </c>
      <c r="Y1119">
        <f>HYPERLINK("https://klasma.github.io/Logging_2462/tillsynsmail/A 25374-2024 tillsynsbegäran mail.docx", "A 25374-2024")</f>
        <v/>
      </c>
      <c r="Z1119">
        <f>HYPERLINK("https://klasma.github.io/Logging_2462/fåglar/A 25374-2024 prioriterade fågelarter.docx", "A 25374-2024")</f>
        <v/>
      </c>
    </row>
    <row r="1120" ht="15" customHeight="1">
      <c r="A1120" t="inlineStr">
        <is>
          <t>A 9722-2026</t>
        </is>
      </c>
      <c r="B1120" s="1" t="n">
        <v>46072.45427083333</v>
      </c>
      <c r="C1120" s="1" t="n">
        <v>46075</v>
      </c>
      <c r="D1120" t="inlineStr">
        <is>
          <t>VÄSTERBOTTENS LÄN</t>
        </is>
      </c>
      <c r="E1120" t="inlineStr">
        <is>
          <t>LYCKSELE</t>
        </is>
      </c>
      <c r="F1120" t="inlineStr">
        <is>
          <t>Holmen skog AB</t>
        </is>
      </c>
      <c r="G1120" t="n">
        <v>4.5</v>
      </c>
      <c r="H1120" t="n">
        <v>0</v>
      </c>
      <c r="I1120" t="n">
        <v>0</v>
      </c>
      <c r="J1120" t="n">
        <v>1</v>
      </c>
      <c r="K1120" t="n">
        <v>0</v>
      </c>
      <c r="L1120" t="n">
        <v>0</v>
      </c>
      <c r="M1120" t="n">
        <v>0</v>
      </c>
      <c r="N1120" t="n">
        <v>0</v>
      </c>
      <c r="O1120" t="n">
        <v>1</v>
      </c>
      <c r="P1120" t="n">
        <v>0</v>
      </c>
      <c r="Q1120" t="n">
        <v>1</v>
      </c>
      <c r="R1120" s="2" t="inlineStr">
        <is>
          <t>Ullticka</t>
        </is>
      </c>
      <c r="S1120">
        <f>HYPERLINK("https://klasma.github.io/Logging_2481/artfynd/A 9722-2026 artfynd.xlsx", "A 9722-2026")</f>
        <v/>
      </c>
      <c r="T1120">
        <f>HYPERLINK("https://klasma.github.io/Logging_2481/kartor/A 9722-2026 karta.png", "A 9722-2026")</f>
        <v/>
      </c>
      <c r="V1120">
        <f>HYPERLINK("https://klasma.github.io/Logging_2481/klagomål/A 9722-2026 FSC-klagomål.docx", "A 9722-2026")</f>
        <v/>
      </c>
      <c r="W1120">
        <f>HYPERLINK("https://klasma.github.io/Logging_2481/klagomålsmail/A 9722-2026 FSC-klagomål mail.docx", "A 9722-2026")</f>
        <v/>
      </c>
      <c r="X1120">
        <f>HYPERLINK("https://klasma.github.io/Logging_2481/tillsyn/A 9722-2026 tillsynsbegäran.docx", "A 9722-2026")</f>
        <v/>
      </c>
      <c r="Y1120">
        <f>HYPERLINK("https://klasma.github.io/Logging_2481/tillsynsmail/A 9722-2026 tillsynsbegäran mail.docx", "A 9722-2026")</f>
        <v/>
      </c>
    </row>
    <row r="1121" ht="15" customHeight="1">
      <c r="A1121" t="inlineStr">
        <is>
          <t>A 1339-2026</t>
        </is>
      </c>
      <c r="B1121" s="1" t="n">
        <v>46031.57552083334</v>
      </c>
      <c r="C1121" s="1" t="n">
        <v>46075</v>
      </c>
      <c r="D1121" t="inlineStr">
        <is>
          <t>VÄSTERBOTTENS LÄN</t>
        </is>
      </c>
      <c r="E1121" t="inlineStr">
        <is>
          <t>LYCKSELE</t>
        </is>
      </c>
      <c r="G1121" t="n">
        <v>4.9</v>
      </c>
      <c r="H1121" t="n">
        <v>1</v>
      </c>
      <c r="I1121" t="n">
        <v>0</v>
      </c>
      <c r="J1121" t="n">
        <v>0</v>
      </c>
      <c r="K1121" t="n">
        <v>1</v>
      </c>
      <c r="L1121" t="n">
        <v>0</v>
      </c>
      <c r="M1121" t="n">
        <v>0</v>
      </c>
      <c r="N1121" t="n">
        <v>0</v>
      </c>
      <c r="O1121" t="n">
        <v>1</v>
      </c>
      <c r="P1121" t="n">
        <v>1</v>
      </c>
      <c r="Q1121" t="n">
        <v>1</v>
      </c>
      <c r="R1121" s="2" t="inlineStr">
        <is>
          <t>Norna</t>
        </is>
      </c>
      <c r="S1121">
        <f>HYPERLINK("https://klasma.github.io/Logging_2481/artfynd/A 1339-2026 artfynd.xlsx", "A 1339-2026")</f>
        <v/>
      </c>
      <c r="T1121">
        <f>HYPERLINK("https://klasma.github.io/Logging_2481/kartor/A 1339-2026 karta.png", "A 1339-2026")</f>
        <v/>
      </c>
      <c r="V1121">
        <f>HYPERLINK("https://klasma.github.io/Logging_2481/klagomål/A 1339-2026 FSC-klagomål.docx", "A 1339-2026")</f>
        <v/>
      </c>
      <c r="W1121">
        <f>HYPERLINK("https://klasma.github.io/Logging_2481/klagomålsmail/A 1339-2026 FSC-klagomål mail.docx", "A 1339-2026")</f>
        <v/>
      </c>
      <c r="X1121">
        <f>HYPERLINK("https://klasma.github.io/Logging_2481/tillsyn/A 1339-2026 tillsynsbegäran.docx", "A 1339-2026")</f>
        <v/>
      </c>
      <c r="Y1121">
        <f>HYPERLINK("https://klasma.github.io/Logging_2481/tillsynsmail/A 1339-2026 tillsynsbegäran mail.docx", "A 1339-2026")</f>
        <v/>
      </c>
    </row>
    <row r="1122" ht="15" customHeight="1">
      <c r="A1122" t="inlineStr">
        <is>
          <t>A 922-2026</t>
        </is>
      </c>
      <c r="B1122" s="1" t="n">
        <v>46030.49030092593</v>
      </c>
      <c r="C1122" s="1" t="n">
        <v>46075</v>
      </c>
      <c r="D1122" t="inlineStr">
        <is>
          <t>VÄSTERBOTTENS LÄN</t>
        </is>
      </c>
      <c r="E1122" t="inlineStr">
        <is>
          <t>UMEÅ</t>
        </is>
      </c>
      <c r="G1122" t="n">
        <v>5.2</v>
      </c>
      <c r="H1122" t="n">
        <v>1</v>
      </c>
      <c r="I1122" t="n">
        <v>0</v>
      </c>
      <c r="J1122" t="n">
        <v>0</v>
      </c>
      <c r="K1122" t="n">
        <v>0</v>
      </c>
      <c r="L1122" t="n">
        <v>0</v>
      </c>
      <c r="M1122" t="n">
        <v>0</v>
      </c>
      <c r="N1122" t="n">
        <v>0</v>
      </c>
      <c r="O1122" t="n">
        <v>0</v>
      </c>
      <c r="P1122" t="n">
        <v>0</v>
      </c>
      <c r="Q1122" t="n">
        <v>1</v>
      </c>
      <c r="R1122" s="2" t="inlineStr">
        <is>
          <t>Fläcknycklar</t>
        </is>
      </c>
      <c r="S1122">
        <f>HYPERLINK("https://klasma.github.io/Logging_2480/artfynd/A 922-2026 artfynd.xlsx", "A 922-2026")</f>
        <v/>
      </c>
      <c r="T1122">
        <f>HYPERLINK("https://klasma.github.io/Logging_2480/kartor/A 922-2026 karta.png", "A 922-2026")</f>
        <v/>
      </c>
      <c r="V1122">
        <f>HYPERLINK("https://klasma.github.io/Logging_2480/klagomål/A 922-2026 FSC-klagomål.docx", "A 922-2026")</f>
        <v/>
      </c>
      <c r="W1122">
        <f>HYPERLINK("https://klasma.github.io/Logging_2480/klagomålsmail/A 922-2026 FSC-klagomål mail.docx", "A 922-2026")</f>
        <v/>
      </c>
      <c r="X1122">
        <f>HYPERLINK("https://klasma.github.io/Logging_2480/tillsyn/A 922-2026 tillsynsbegäran.docx", "A 922-2026")</f>
        <v/>
      </c>
      <c r="Y1122">
        <f>HYPERLINK("https://klasma.github.io/Logging_2480/tillsynsmail/A 922-2026 tillsynsbegäran mail.docx", "A 922-2026")</f>
        <v/>
      </c>
    </row>
    <row r="1123" ht="15" customHeight="1">
      <c r="A1123" t="inlineStr">
        <is>
          <t>A 45659-2024</t>
        </is>
      </c>
      <c r="B1123" s="1" t="n">
        <v>45579.495</v>
      </c>
      <c r="C1123" s="1" t="n">
        <v>46075</v>
      </c>
      <c r="D1123" t="inlineStr">
        <is>
          <t>VÄSTERBOTTENS LÄN</t>
        </is>
      </c>
      <c r="E1123" t="inlineStr">
        <is>
          <t>UMEÅ</t>
        </is>
      </c>
      <c r="F1123" t="inlineStr">
        <is>
          <t>Kommuner</t>
        </is>
      </c>
      <c r="G1123" t="n">
        <v>9.199999999999999</v>
      </c>
      <c r="H1123" t="n">
        <v>0</v>
      </c>
      <c r="I1123" t="n">
        <v>1</v>
      </c>
      <c r="J1123" t="n">
        <v>0</v>
      </c>
      <c r="K1123" t="n">
        <v>0</v>
      </c>
      <c r="L1123" t="n">
        <v>0</v>
      </c>
      <c r="M1123" t="n">
        <v>0</v>
      </c>
      <c r="N1123" t="n">
        <v>0</v>
      </c>
      <c r="O1123" t="n">
        <v>0</v>
      </c>
      <c r="P1123" t="n">
        <v>0</v>
      </c>
      <c r="Q1123" t="n">
        <v>1</v>
      </c>
      <c r="R1123" s="2" t="inlineStr">
        <is>
          <t>Dropptaggsvamp</t>
        </is>
      </c>
      <c r="S1123">
        <f>HYPERLINK("https://klasma.github.io/Logging_2480/artfynd/A 45659-2024 artfynd.xlsx", "A 45659-2024")</f>
        <v/>
      </c>
      <c r="T1123">
        <f>HYPERLINK("https://klasma.github.io/Logging_2480/kartor/A 45659-2024 karta.png", "A 45659-2024")</f>
        <v/>
      </c>
      <c r="V1123">
        <f>HYPERLINK("https://klasma.github.io/Logging_2480/klagomål/A 45659-2024 FSC-klagomål.docx", "A 45659-2024")</f>
        <v/>
      </c>
      <c r="W1123">
        <f>HYPERLINK("https://klasma.github.io/Logging_2480/klagomålsmail/A 45659-2024 FSC-klagomål mail.docx", "A 45659-2024")</f>
        <v/>
      </c>
      <c r="X1123">
        <f>HYPERLINK("https://klasma.github.io/Logging_2480/tillsyn/A 45659-2024 tillsynsbegäran.docx", "A 45659-2024")</f>
        <v/>
      </c>
      <c r="Y1123">
        <f>HYPERLINK("https://klasma.github.io/Logging_2480/tillsynsmail/A 45659-2024 tillsynsbegäran mail.docx", "A 45659-2024")</f>
        <v/>
      </c>
    </row>
    <row r="1124" ht="15" customHeight="1">
      <c r="A1124" t="inlineStr">
        <is>
          <t>A 34730-2024</t>
        </is>
      </c>
      <c r="B1124" s="1" t="n">
        <v>45526</v>
      </c>
      <c r="C1124" s="1" t="n">
        <v>46075</v>
      </c>
      <c r="D1124" t="inlineStr">
        <is>
          <t>VÄSTERBOTTENS LÄN</t>
        </is>
      </c>
      <c r="E1124" t="inlineStr">
        <is>
          <t>VILHELMINA</t>
        </is>
      </c>
      <c r="G1124" t="n">
        <v>19.2</v>
      </c>
      <c r="H1124" t="n">
        <v>0</v>
      </c>
      <c r="I1124" t="n">
        <v>0</v>
      </c>
      <c r="J1124" t="n">
        <v>1</v>
      </c>
      <c r="K1124" t="n">
        <v>0</v>
      </c>
      <c r="L1124" t="n">
        <v>0</v>
      </c>
      <c r="M1124" t="n">
        <v>0</v>
      </c>
      <c r="N1124" t="n">
        <v>0</v>
      </c>
      <c r="O1124" t="n">
        <v>1</v>
      </c>
      <c r="P1124" t="n">
        <v>0</v>
      </c>
      <c r="Q1124" t="n">
        <v>1</v>
      </c>
      <c r="R1124" s="2" t="inlineStr">
        <is>
          <t>Ullticka</t>
        </is>
      </c>
      <c r="S1124">
        <f>HYPERLINK("https://klasma.github.io/Logging_2462/artfynd/A 34730-2024 artfynd.xlsx", "A 34730-2024")</f>
        <v/>
      </c>
      <c r="T1124">
        <f>HYPERLINK("https://klasma.github.io/Logging_2462/kartor/A 34730-2024 karta.png", "A 34730-2024")</f>
        <v/>
      </c>
      <c r="V1124">
        <f>HYPERLINK("https://klasma.github.io/Logging_2462/klagomål/A 34730-2024 FSC-klagomål.docx", "A 34730-2024")</f>
        <v/>
      </c>
      <c r="W1124">
        <f>HYPERLINK("https://klasma.github.io/Logging_2462/klagomålsmail/A 34730-2024 FSC-klagomål mail.docx", "A 34730-2024")</f>
        <v/>
      </c>
      <c r="X1124">
        <f>HYPERLINK("https://klasma.github.io/Logging_2462/tillsyn/A 34730-2024 tillsynsbegäran.docx", "A 34730-2024")</f>
        <v/>
      </c>
      <c r="Y1124">
        <f>HYPERLINK("https://klasma.github.io/Logging_2462/tillsynsmail/A 34730-2024 tillsynsbegäran mail.docx", "A 34730-2024")</f>
        <v/>
      </c>
    </row>
    <row r="1125" ht="15" customHeight="1">
      <c r="A1125" t="inlineStr">
        <is>
          <t>A 9747-2026</t>
        </is>
      </c>
      <c r="B1125" s="1" t="n">
        <v>46072.52524305556</v>
      </c>
      <c r="C1125" s="1" t="n">
        <v>46075</v>
      </c>
      <c r="D1125" t="inlineStr">
        <is>
          <t>VÄSTERBOTTENS LÄN</t>
        </is>
      </c>
      <c r="E1125" t="inlineStr">
        <is>
          <t>BJURHOLM</t>
        </is>
      </c>
      <c r="G1125" t="n">
        <v>5.7</v>
      </c>
      <c r="H1125" t="n">
        <v>1</v>
      </c>
      <c r="I1125" t="n">
        <v>0</v>
      </c>
      <c r="J1125" t="n">
        <v>0</v>
      </c>
      <c r="K1125" t="n">
        <v>1</v>
      </c>
      <c r="L1125" t="n">
        <v>0</v>
      </c>
      <c r="M1125" t="n">
        <v>0</v>
      </c>
      <c r="N1125" t="n">
        <v>0</v>
      </c>
      <c r="O1125" t="n">
        <v>1</v>
      </c>
      <c r="P1125" t="n">
        <v>1</v>
      </c>
      <c r="Q1125" t="n">
        <v>1</v>
      </c>
      <c r="R1125" s="2" t="inlineStr">
        <is>
          <t>Bombmurkla</t>
        </is>
      </c>
      <c r="S1125">
        <f>HYPERLINK("https://klasma.github.io/Logging_2403/artfynd/A 9747-2026 artfynd.xlsx", "A 9747-2026")</f>
        <v/>
      </c>
      <c r="T1125">
        <f>HYPERLINK("https://klasma.github.io/Logging_2403/kartor/A 9747-2026 karta.png", "A 9747-2026")</f>
        <v/>
      </c>
      <c r="V1125">
        <f>HYPERLINK("https://klasma.github.io/Logging_2403/klagomål/A 9747-2026 FSC-klagomål.docx", "A 9747-2026")</f>
        <v/>
      </c>
      <c r="W1125">
        <f>HYPERLINK("https://klasma.github.io/Logging_2403/klagomålsmail/A 9747-2026 FSC-klagomål mail.docx", "A 9747-2026")</f>
        <v/>
      </c>
      <c r="X1125">
        <f>HYPERLINK("https://klasma.github.io/Logging_2403/tillsyn/A 9747-2026 tillsynsbegäran.docx", "A 9747-2026")</f>
        <v/>
      </c>
      <c r="Y1125">
        <f>HYPERLINK("https://klasma.github.io/Logging_2403/tillsynsmail/A 9747-2026 tillsynsbegäran mail.docx", "A 9747-2026")</f>
        <v/>
      </c>
    </row>
    <row r="1126" ht="15" customHeight="1">
      <c r="A1126" t="inlineStr">
        <is>
          <t>A 59664-2023</t>
        </is>
      </c>
      <c r="B1126" s="1" t="n">
        <v>45254</v>
      </c>
      <c r="C1126" s="1" t="n">
        <v>46075</v>
      </c>
      <c r="D1126" t="inlineStr">
        <is>
          <t>VÄSTERBOTTENS LÄN</t>
        </is>
      </c>
      <c r="E1126" t="inlineStr">
        <is>
          <t>VILHELMINA</t>
        </is>
      </c>
      <c r="F1126" t="inlineStr">
        <is>
          <t>SCA</t>
        </is>
      </c>
      <c r="G1126" t="n">
        <v>3.3</v>
      </c>
      <c r="H1126" t="n">
        <v>1</v>
      </c>
      <c r="I1126" t="n">
        <v>0</v>
      </c>
      <c r="J1126" t="n">
        <v>1</v>
      </c>
      <c r="K1126" t="n">
        <v>0</v>
      </c>
      <c r="L1126" t="n">
        <v>0</v>
      </c>
      <c r="M1126" t="n">
        <v>0</v>
      </c>
      <c r="N1126" t="n">
        <v>0</v>
      </c>
      <c r="O1126" t="n">
        <v>1</v>
      </c>
      <c r="P1126" t="n">
        <v>0</v>
      </c>
      <c r="Q1126" t="n">
        <v>1</v>
      </c>
      <c r="R1126" s="2" t="inlineStr">
        <is>
          <t>Tretåig hackspett</t>
        </is>
      </c>
      <c r="S1126">
        <f>HYPERLINK("https://klasma.github.io/Logging_2462/artfynd/A 59664-2023 artfynd.xlsx", "A 59664-2023")</f>
        <v/>
      </c>
      <c r="T1126">
        <f>HYPERLINK("https://klasma.github.io/Logging_2462/kartor/A 59664-2023 karta.png", "A 59664-2023")</f>
        <v/>
      </c>
      <c r="V1126">
        <f>HYPERLINK("https://klasma.github.io/Logging_2462/klagomål/A 59664-2023 FSC-klagomål.docx", "A 59664-2023")</f>
        <v/>
      </c>
      <c r="W1126">
        <f>HYPERLINK("https://klasma.github.io/Logging_2462/klagomålsmail/A 59664-2023 FSC-klagomål mail.docx", "A 59664-2023")</f>
        <v/>
      </c>
      <c r="X1126">
        <f>HYPERLINK("https://klasma.github.io/Logging_2462/tillsyn/A 59664-2023 tillsynsbegäran.docx", "A 59664-2023")</f>
        <v/>
      </c>
      <c r="Y1126">
        <f>HYPERLINK("https://klasma.github.io/Logging_2462/tillsynsmail/A 59664-2023 tillsynsbegäran mail.docx", "A 59664-2023")</f>
        <v/>
      </c>
      <c r="Z1126">
        <f>HYPERLINK("https://klasma.github.io/Logging_2462/fåglar/A 59664-2023 prioriterade fågelarter.docx", "A 59664-2023")</f>
        <v/>
      </c>
    </row>
    <row r="1127" ht="15" customHeight="1">
      <c r="A1127" t="inlineStr">
        <is>
          <t>A 851-2026</t>
        </is>
      </c>
      <c r="B1127" s="1" t="n">
        <v>46030</v>
      </c>
      <c r="C1127" s="1" t="n">
        <v>46075</v>
      </c>
      <c r="D1127" t="inlineStr">
        <is>
          <t>VÄSTERBOTTENS LÄN</t>
        </is>
      </c>
      <c r="E1127" t="inlineStr">
        <is>
          <t>ROBERTSFORS</t>
        </is>
      </c>
      <c r="G1127" t="n">
        <v>5.6</v>
      </c>
      <c r="H1127" t="n">
        <v>1</v>
      </c>
      <c r="I1127" t="n">
        <v>0</v>
      </c>
      <c r="J1127" t="n">
        <v>1</v>
      </c>
      <c r="K1127" t="n">
        <v>0</v>
      </c>
      <c r="L1127" t="n">
        <v>0</v>
      </c>
      <c r="M1127" t="n">
        <v>0</v>
      </c>
      <c r="N1127" t="n">
        <v>0</v>
      </c>
      <c r="O1127" t="n">
        <v>1</v>
      </c>
      <c r="P1127" t="n">
        <v>0</v>
      </c>
      <c r="Q1127" t="n">
        <v>1</v>
      </c>
      <c r="R1127" s="2" t="inlineStr">
        <is>
          <t>Spillkråka</t>
        </is>
      </c>
      <c r="S1127">
        <f>HYPERLINK("https://klasma.github.io/Logging_2409/artfynd/A 851-2026 artfynd.xlsx", "A 851-2026")</f>
        <v/>
      </c>
      <c r="T1127">
        <f>HYPERLINK("https://klasma.github.io/Logging_2409/kartor/A 851-2026 karta.png", "A 851-2026")</f>
        <v/>
      </c>
      <c r="V1127">
        <f>HYPERLINK("https://klasma.github.io/Logging_2409/klagomål/A 851-2026 FSC-klagomål.docx", "A 851-2026")</f>
        <v/>
      </c>
      <c r="W1127">
        <f>HYPERLINK("https://klasma.github.io/Logging_2409/klagomålsmail/A 851-2026 FSC-klagomål mail.docx", "A 851-2026")</f>
        <v/>
      </c>
      <c r="X1127">
        <f>HYPERLINK("https://klasma.github.io/Logging_2409/tillsyn/A 851-2026 tillsynsbegäran.docx", "A 851-2026")</f>
        <v/>
      </c>
      <c r="Y1127">
        <f>HYPERLINK("https://klasma.github.io/Logging_2409/tillsynsmail/A 851-2026 tillsynsbegäran mail.docx", "A 851-2026")</f>
        <v/>
      </c>
      <c r="Z1127">
        <f>HYPERLINK("https://klasma.github.io/Logging_2409/fåglar/A 851-2026 prioriterade fågelarter.docx", "A 851-2026")</f>
        <v/>
      </c>
    </row>
    <row r="1128" ht="15" customHeight="1">
      <c r="A1128" t="inlineStr">
        <is>
          <t>A 26250-2023</t>
        </is>
      </c>
      <c r="B1128" s="1" t="n">
        <v>45086</v>
      </c>
      <c r="C1128" s="1" t="n">
        <v>46075</v>
      </c>
      <c r="D1128" t="inlineStr">
        <is>
          <t>VÄSTERBOTTENS LÄN</t>
        </is>
      </c>
      <c r="E1128" t="inlineStr">
        <is>
          <t>UMEÅ</t>
        </is>
      </c>
      <c r="G1128" t="n">
        <v>1.3</v>
      </c>
      <c r="H1128" t="n">
        <v>1</v>
      </c>
      <c r="I1128" t="n">
        <v>0</v>
      </c>
      <c r="J1128" t="n">
        <v>0</v>
      </c>
      <c r="K1128" t="n">
        <v>0</v>
      </c>
      <c r="L1128" t="n">
        <v>0</v>
      </c>
      <c r="M1128" t="n">
        <v>0</v>
      </c>
      <c r="N1128" t="n">
        <v>0</v>
      </c>
      <c r="O1128" t="n">
        <v>0</v>
      </c>
      <c r="P1128" t="n">
        <v>0</v>
      </c>
      <c r="Q1128" t="n">
        <v>1</v>
      </c>
      <c r="R1128" s="2" t="inlineStr">
        <is>
          <t>Huggorm</t>
        </is>
      </c>
      <c r="S1128">
        <f>HYPERLINK("https://klasma.github.io/Logging_2480/artfynd/A 26250-2023 artfynd.xlsx", "A 26250-2023")</f>
        <v/>
      </c>
      <c r="T1128">
        <f>HYPERLINK("https://klasma.github.io/Logging_2480/kartor/A 26250-2023 karta.png", "A 26250-2023")</f>
        <v/>
      </c>
      <c r="V1128">
        <f>HYPERLINK("https://klasma.github.io/Logging_2480/klagomål/A 26250-2023 FSC-klagomål.docx", "A 26250-2023")</f>
        <v/>
      </c>
      <c r="W1128">
        <f>HYPERLINK("https://klasma.github.io/Logging_2480/klagomålsmail/A 26250-2023 FSC-klagomål mail.docx", "A 26250-2023")</f>
        <v/>
      </c>
      <c r="X1128">
        <f>HYPERLINK("https://klasma.github.io/Logging_2480/tillsyn/A 26250-2023 tillsynsbegäran.docx", "A 26250-2023")</f>
        <v/>
      </c>
      <c r="Y1128">
        <f>HYPERLINK("https://klasma.github.io/Logging_2480/tillsynsmail/A 26250-2023 tillsynsbegäran mail.docx", "A 26250-2023")</f>
        <v/>
      </c>
    </row>
    <row r="1129" ht="15" customHeight="1">
      <c r="A1129" t="inlineStr">
        <is>
          <t>A 41848-2024</t>
        </is>
      </c>
      <c r="B1129" s="1" t="n">
        <v>45561.43266203703</v>
      </c>
      <c r="C1129" s="1" t="n">
        <v>46075</v>
      </c>
      <c r="D1129" t="inlineStr">
        <is>
          <t>VÄSTERBOTTENS LÄN</t>
        </is>
      </c>
      <c r="E1129" t="inlineStr">
        <is>
          <t>STORUMAN</t>
        </is>
      </c>
      <c r="F1129" t="inlineStr">
        <is>
          <t>Sveaskog</t>
        </is>
      </c>
      <c r="G1129" t="n">
        <v>4.1</v>
      </c>
      <c r="H1129" t="n">
        <v>0</v>
      </c>
      <c r="I1129" t="n">
        <v>1</v>
      </c>
      <c r="J1129" t="n">
        <v>0</v>
      </c>
      <c r="K1129" t="n">
        <v>0</v>
      </c>
      <c r="L1129" t="n">
        <v>0</v>
      </c>
      <c r="M1129" t="n">
        <v>0</v>
      </c>
      <c r="N1129" t="n">
        <v>0</v>
      </c>
      <c r="O1129" t="n">
        <v>0</v>
      </c>
      <c r="P1129" t="n">
        <v>0</v>
      </c>
      <c r="Q1129" t="n">
        <v>1</v>
      </c>
      <c r="R1129" s="2" t="inlineStr">
        <is>
          <t>Skarp dropptaggsvamp</t>
        </is>
      </c>
      <c r="S1129">
        <f>HYPERLINK("https://klasma.github.io/Logging_2421/artfynd/A 41848-2024 artfynd.xlsx", "A 41848-2024")</f>
        <v/>
      </c>
      <c r="T1129">
        <f>HYPERLINK("https://klasma.github.io/Logging_2421/kartor/A 41848-2024 karta.png", "A 41848-2024")</f>
        <v/>
      </c>
      <c r="V1129">
        <f>HYPERLINK("https://klasma.github.io/Logging_2421/klagomål/A 41848-2024 FSC-klagomål.docx", "A 41848-2024")</f>
        <v/>
      </c>
      <c r="W1129">
        <f>HYPERLINK("https://klasma.github.io/Logging_2421/klagomålsmail/A 41848-2024 FSC-klagomål mail.docx", "A 41848-2024")</f>
        <v/>
      </c>
      <c r="X1129">
        <f>HYPERLINK("https://klasma.github.io/Logging_2421/tillsyn/A 41848-2024 tillsynsbegäran.docx", "A 41848-2024")</f>
        <v/>
      </c>
      <c r="Y1129">
        <f>HYPERLINK("https://klasma.github.io/Logging_2421/tillsynsmail/A 41848-2024 tillsynsbegäran mail.docx", "A 41848-2024")</f>
        <v/>
      </c>
    </row>
    <row r="1130" ht="15" customHeight="1">
      <c r="A1130" t="inlineStr">
        <is>
          <t>A 23330-2023</t>
        </is>
      </c>
      <c r="B1130" s="1" t="n">
        <v>45071</v>
      </c>
      <c r="C1130" s="1" t="n">
        <v>46075</v>
      </c>
      <c r="D1130" t="inlineStr">
        <is>
          <t>VÄSTERBOTTENS LÄN</t>
        </is>
      </c>
      <c r="E1130" t="inlineStr">
        <is>
          <t>SORSELE</t>
        </is>
      </c>
      <c r="G1130" t="n">
        <v>3.2</v>
      </c>
      <c r="H1130" t="n">
        <v>0</v>
      </c>
      <c r="I1130" t="n">
        <v>1</v>
      </c>
      <c r="J1130" t="n">
        <v>0</v>
      </c>
      <c r="K1130" t="n">
        <v>0</v>
      </c>
      <c r="L1130" t="n">
        <v>0</v>
      </c>
      <c r="M1130" t="n">
        <v>0</v>
      </c>
      <c r="N1130" t="n">
        <v>0</v>
      </c>
      <c r="O1130" t="n">
        <v>0</v>
      </c>
      <c r="P1130" t="n">
        <v>0</v>
      </c>
      <c r="Q1130" t="n">
        <v>1</v>
      </c>
      <c r="R1130" s="2" t="inlineStr">
        <is>
          <t>Vedticka</t>
        </is>
      </c>
      <c r="S1130">
        <f>HYPERLINK("https://klasma.github.io/Logging_2422/artfynd/A 23330-2023 artfynd.xlsx", "A 23330-2023")</f>
        <v/>
      </c>
      <c r="T1130">
        <f>HYPERLINK("https://klasma.github.io/Logging_2422/kartor/A 23330-2023 karta.png", "A 23330-2023")</f>
        <v/>
      </c>
      <c r="V1130">
        <f>HYPERLINK("https://klasma.github.io/Logging_2422/klagomål/A 23330-2023 FSC-klagomål.docx", "A 23330-2023")</f>
        <v/>
      </c>
      <c r="W1130">
        <f>HYPERLINK("https://klasma.github.io/Logging_2422/klagomålsmail/A 23330-2023 FSC-klagomål mail.docx", "A 23330-2023")</f>
        <v/>
      </c>
      <c r="X1130">
        <f>HYPERLINK("https://klasma.github.io/Logging_2422/tillsyn/A 23330-2023 tillsynsbegäran.docx", "A 23330-2023")</f>
        <v/>
      </c>
      <c r="Y1130">
        <f>HYPERLINK("https://klasma.github.io/Logging_2422/tillsynsmail/A 23330-2023 tillsynsbegäran mail.docx", "A 23330-2023")</f>
        <v/>
      </c>
    </row>
    <row r="1131" ht="15" customHeight="1">
      <c r="A1131" t="inlineStr">
        <is>
          <t>A 21663-2024</t>
        </is>
      </c>
      <c r="B1131" s="1" t="n">
        <v>45442</v>
      </c>
      <c r="C1131" s="1" t="n">
        <v>46075</v>
      </c>
      <c r="D1131" t="inlineStr">
        <is>
          <t>VÄSTERBOTTENS LÄN</t>
        </is>
      </c>
      <c r="E1131" t="inlineStr">
        <is>
          <t>STORUMAN</t>
        </is>
      </c>
      <c r="F1131" t="inlineStr">
        <is>
          <t>Holmen skog AB</t>
        </is>
      </c>
      <c r="G1131" t="n">
        <v>4.7</v>
      </c>
      <c r="H1131" t="n">
        <v>1</v>
      </c>
      <c r="I1131" t="n">
        <v>0</v>
      </c>
      <c r="J1131" t="n">
        <v>0</v>
      </c>
      <c r="K1131" t="n">
        <v>1</v>
      </c>
      <c r="L1131" t="n">
        <v>0</v>
      </c>
      <c r="M1131" t="n">
        <v>0</v>
      </c>
      <c r="N1131" t="n">
        <v>0</v>
      </c>
      <c r="O1131" t="n">
        <v>1</v>
      </c>
      <c r="P1131" t="n">
        <v>1</v>
      </c>
      <c r="Q1131" t="n">
        <v>1</v>
      </c>
      <c r="R1131" s="2" t="inlineStr">
        <is>
          <t>Knärot</t>
        </is>
      </c>
      <c r="S1131">
        <f>HYPERLINK("https://klasma.github.io/Logging_2421/artfynd/A 21663-2024 artfynd.xlsx", "A 21663-2024")</f>
        <v/>
      </c>
      <c r="T1131">
        <f>HYPERLINK("https://klasma.github.io/Logging_2421/kartor/A 21663-2024 karta.png", "A 21663-2024")</f>
        <v/>
      </c>
      <c r="U1131">
        <f>HYPERLINK("https://klasma.github.io/Logging_2421/knärot/A 21663-2024 karta knärot.png", "A 21663-2024")</f>
        <v/>
      </c>
      <c r="V1131">
        <f>HYPERLINK("https://klasma.github.io/Logging_2421/klagomål/A 21663-2024 FSC-klagomål.docx", "A 21663-2024")</f>
        <v/>
      </c>
      <c r="W1131">
        <f>HYPERLINK("https://klasma.github.io/Logging_2421/klagomålsmail/A 21663-2024 FSC-klagomål mail.docx", "A 21663-2024")</f>
        <v/>
      </c>
      <c r="X1131">
        <f>HYPERLINK("https://klasma.github.io/Logging_2421/tillsyn/A 21663-2024 tillsynsbegäran.docx", "A 21663-2024")</f>
        <v/>
      </c>
      <c r="Y1131">
        <f>HYPERLINK("https://klasma.github.io/Logging_2421/tillsynsmail/A 21663-2024 tillsynsbegäran mail.docx", "A 21663-2024")</f>
        <v/>
      </c>
    </row>
    <row r="1132" ht="15" customHeight="1">
      <c r="A1132" t="inlineStr">
        <is>
          <t>A 54058-2022</t>
        </is>
      </c>
      <c r="B1132" s="1" t="n">
        <v>44881</v>
      </c>
      <c r="C1132" s="1" t="n">
        <v>46075</v>
      </c>
      <c r="D1132" t="inlineStr">
        <is>
          <t>VÄSTERBOTTENS LÄN</t>
        </is>
      </c>
      <c r="E1132" t="inlineStr">
        <is>
          <t>SKELLEFTEÅ</t>
        </is>
      </c>
      <c r="F1132" t="inlineStr">
        <is>
          <t>Sveaskog</t>
        </is>
      </c>
      <c r="G1132" t="n">
        <v>1.2</v>
      </c>
      <c r="H1132" t="n">
        <v>0</v>
      </c>
      <c r="I1132" t="n">
        <v>1</v>
      </c>
      <c r="J1132" t="n">
        <v>0</v>
      </c>
      <c r="K1132" t="n">
        <v>0</v>
      </c>
      <c r="L1132" t="n">
        <v>0</v>
      </c>
      <c r="M1132" t="n">
        <v>0</v>
      </c>
      <c r="N1132" t="n">
        <v>0</v>
      </c>
      <c r="O1132" t="n">
        <v>0</v>
      </c>
      <c r="P1132" t="n">
        <v>0</v>
      </c>
      <c r="Q1132" t="n">
        <v>1</v>
      </c>
      <c r="R1132" s="2" t="inlineStr">
        <is>
          <t>Luddlav</t>
        </is>
      </c>
      <c r="S1132">
        <f>HYPERLINK("https://klasma.github.io/Logging_2482/artfynd/A 54058-2022 artfynd.xlsx", "A 54058-2022")</f>
        <v/>
      </c>
      <c r="T1132">
        <f>HYPERLINK("https://klasma.github.io/Logging_2482/kartor/A 54058-2022 karta.png", "A 54058-2022")</f>
        <v/>
      </c>
      <c r="V1132">
        <f>HYPERLINK("https://klasma.github.io/Logging_2482/klagomål/A 54058-2022 FSC-klagomål.docx", "A 54058-2022")</f>
        <v/>
      </c>
      <c r="W1132">
        <f>HYPERLINK("https://klasma.github.io/Logging_2482/klagomålsmail/A 54058-2022 FSC-klagomål mail.docx", "A 54058-2022")</f>
        <v/>
      </c>
      <c r="X1132">
        <f>HYPERLINK("https://klasma.github.io/Logging_2482/tillsyn/A 54058-2022 tillsynsbegäran.docx", "A 54058-2022")</f>
        <v/>
      </c>
      <c r="Y1132">
        <f>HYPERLINK("https://klasma.github.io/Logging_2482/tillsynsmail/A 54058-2022 tillsynsbegäran mail.docx", "A 54058-2022")</f>
        <v/>
      </c>
    </row>
    <row r="1133" ht="15" customHeight="1">
      <c r="A1133" t="inlineStr">
        <is>
          <t>A 61867-2024</t>
        </is>
      </c>
      <c r="B1133" s="1" t="n">
        <v>45651.46909722222</v>
      </c>
      <c r="C1133" s="1" t="n">
        <v>46075</v>
      </c>
      <c r="D1133" t="inlineStr">
        <is>
          <t>VÄSTERBOTTENS LÄN</t>
        </is>
      </c>
      <c r="E1133" t="inlineStr">
        <is>
          <t>NORDMALING</t>
        </is>
      </c>
      <c r="F1133" t="inlineStr">
        <is>
          <t>SCA</t>
        </is>
      </c>
      <c r="G1133" t="n">
        <v>4.5</v>
      </c>
      <c r="H1133" t="n">
        <v>0</v>
      </c>
      <c r="I1133" t="n">
        <v>0</v>
      </c>
      <c r="J1133" t="n">
        <v>1</v>
      </c>
      <c r="K1133" t="n">
        <v>0</v>
      </c>
      <c r="L1133" t="n">
        <v>0</v>
      </c>
      <c r="M1133" t="n">
        <v>0</v>
      </c>
      <c r="N1133" t="n">
        <v>0</v>
      </c>
      <c r="O1133" t="n">
        <v>1</v>
      </c>
      <c r="P1133" t="n">
        <v>0</v>
      </c>
      <c r="Q1133" t="n">
        <v>1</v>
      </c>
      <c r="R1133" s="2" t="inlineStr">
        <is>
          <t>Tallticka</t>
        </is>
      </c>
      <c r="S1133">
        <f>HYPERLINK("https://klasma.github.io/Logging_2401/artfynd/A 61867-2024 artfynd.xlsx", "A 61867-2024")</f>
        <v/>
      </c>
      <c r="T1133">
        <f>HYPERLINK("https://klasma.github.io/Logging_2401/kartor/A 61867-2024 karta.png", "A 61867-2024")</f>
        <v/>
      </c>
      <c r="V1133">
        <f>HYPERLINK("https://klasma.github.io/Logging_2401/klagomål/A 61867-2024 FSC-klagomål.docx", "A 61867-2024")</f>
        <v/>
      </c>
      <c r="W1133">
        <f>HYPERLINK("https://klasma.github.io/Logging_2401/klagomålsmail/A 61867-2024 FSC-klagomål mail.docx", "A 61867-2024")</f>
        <v/>
      </c>
      <c r="X1133">
        <f>HYPERLINK("https://klasma.github.io/Logging_2401/tillsyn/A 61867-2024 tillsynsbegäran.docx", "A 61867-2024")</f>
        <v/>
      </c>
      <c r="Y1133">
        <f>HYPERLINK("https://klasma.github.io/Logging_2401/tillsynsmail/A 61867-2024 tillsynsbegäran mail.docx", "A 61867-2024")</f>
        <v/>
      </c>
    </row>
    <row r="1134" ht="15" customHeight="1">
      <c r="A1134" t="inlineStr">
        <is>
          <t>A 29572-2023</t>
        </is>
      </c>
      <c r="B1134" s="1" t="n">
        <v>45106</v>
      </c>
      <c r="C1134" s="1" t="n">
        <v>46075</v>
      </c>
      <c r="D1134" t="inlineStr">
        <is>
          <t>VÄSTERBOTTENS LÄN</t>
        </is>
      </c>
      <c r="E1134" t="inlineStr">
        <is>
          <t>STORUMAN</t>
        </is>
      </c>
      <c r="F1134" t="inlineStr">
        <is>
          <t>Sveaskog</t>
        </is>
      </c>
      <c r="G1134" t="n">
        <v>5.3</v>
      </c>
      <c r="H1134" t="n">
        <v>0</v>
      </c>
      <c r="I1134" t="n">
        <v>0</v>
      </c>
      <c r="J1134" t="n">
        <v>1</v>
      </c>
      <c r="K1134" t="n">
        <v>0</v>
      </c>
      <c r="L1134" t="n">
        <v>0</v>
      </c>
      <c r="M1134" t="n">
        <v>0</v>
      </c>
      <c r="N1134" t="n">
        <v>0</v>
      </c>
      <c r="O1134" t="n">
        <v>1</v>
      </c>
      <c r="P1134" t="n">
        <v>0</v>
      </c>
      <c r="Q1134" t="n">
        <v>1</v>
      </c>
      <c r="R1134" s="2" t="inlineStr">
        <is>
          <t>Skrovlig taggsvamp</t>
        </is>
      </c>
      <c r="S1134">
        <f>HYPERLINK("https://klasma.github.io/Logging_2421/artfynd/A 29572-2023 artfynd.xlsx", "A 29572-2023")</f>
        <v/>
      </c>
      <c r="T1134">
        <f>HYPERLINK("https://klasma.github.io/Logging_2421/kartor/A 29572-2023 karta.png", "A 29572-2023")</f>
        <v/>
      </c>
      <c r="V1134">
        <f>HYPERLINK("https://klasma.github.io/Logging_2421/klagomål/A 29572-2023 FSC-klagomål.docx", "A 29572-2023")</f>
        <v/>
      </c>
      <c r="W1134">
        <f>HYPERLINK("https://klasma.github.io/Logging_2421/klagomålsmail/A 29572-2023 FSC-klagomål mail.docx", "A 29572-2023")</f>
        <v/>
      </c>
      <c r="X1134">
        <f>HYPERLINK("https://klasma.github.io/Logging_2421/tillsyn/A 29572-2023 tillsynsbegäran.docx", "A 29572-2023")</f>
        <v/>
      </c>
      <c r="Y1134">
        <f>HYPERLINK("https://klasma.github.io/Logging_2421/tillsynsmail/A 29572-2023 tillsynsbegäran mail.docx", "A 29572-2023")</f>
        <v/>
      </c>
    </row>
    <row r="1135" ht="15" customHeight="1">
      <c r="A1135" t="inlineStr">
        <is>
          <t>A 31518-2024</t>
        </is>
      </c>
      <c r="B1135" s="1" t="n">
        <v>45505</v>
      </c>
      <c r="C1135" s="1" t="n">
        <v>46075</v>
      </c>
      <c r="D1135" t="inlineStr">
        <is>
          <t>VÄSTERBOTTENS LÄN</t>
        </is>
      </c>
      <c r="E1135" t="inlineStr">
        <is>
          <t>ÅSELE</t>
        </is>
      </c>
      <c r="F1135" t="inlineStr">
        <is>
          <t>SCA</t>
        </is>
      </c>
      <c r="G1135" t="n">
        <v>5.4</v>
      </c>
      <c r="H1135" t="n">
        <v>0</v>
      </c>
      <c r="I1135" t="n">
        <v>0</v>
      </c>
      <c r="J1135" t="n">
        <v>1</v>
      </c>
      <c r="K1135" t="n">
        <v>0</v>
      </c>
      <c r="L1135" t="n">
        <v>0</v>
      </c>
      <c r="M1135" t="n">
        <v>0</v>
      </c>
      <c r="N1135" t="n">
        <v>0</v>
      </c>
      <c r="O1135" t="n">
        <v>1</v>
      </c>
      <c r="P1135" t="n">
        <v>0</v>
      </c>
      <c r="Q1135" t="n">
        <v>1</v>
      </c>
      <c r="R1135" s="2" t="inlineStr">
        <is>
          <t>Garnlav</t>
        </is>
      </c>
      <c r="S1135">
        <f>HYPERLINK("https://klasma.github.io/Logging_2463/artfynd/A 31518-2024 artfynd.xlsx", "A 31518-2024")</f>
        <v/>
      </c>
      <c r="T1135">
        <f>HYPERLINK("https://klasma.github.io/Logging_2463/kartor/A 31518-2024 karta.png", "A 31518-2024")</f>
        <v/>
      </c>
      <c r="V1135">
        <f>HYPERLINK("https://klasma.github.io/Logging_2463/klagomål/A 31518-2024 FSC-klagomål.docx", "A 31518-2024")</f>
        <v/>
      </c>
      <c r="W1135">
        <f>HYPERLINK("https://klasma.github.io/Logging_2463/klagomålsmail/A 31518-2024 FSC-klagomål mail.docx", "A 31518-2024")</f>
        <v/>
      </c>
      <c r="X1135">
        <f>HYPERLINK("https://klasma.github.io/Logging_2463/tillsyn/A 31518-2024 tillsynsbegäran.docx", "A 31518-2024")</f>
        <v/>
      </c>
      <c r="Y1135">
        <f>HYPERLINK("https://klasma.github.io/Logging_2463/tillsynsmail/A 31518-2024 tillsynsbegäran mail.docx", "A 31518-2024")</f>
        <v/>
      </c>
    </row>
    <row r="1136" ht="15" customHeight="1">
      <c r="A1136" t="inlineStr">
        <is>
          <t>A 41055-2023</t>
        </is>
      </c>
      <c r="B1136" s="1" t="n">
        <v>45173</v>
      </c>
      <c r="C1136" s="1" t="n">
        <v>46075</v>
      </c>
      <c r="D1136" t="inlineStr">
        <is>
          <t>VÄSTERBOTTENS LÄN</t>
        </is>
      </c>
      <c r="E1136" t="inlineStr">
        <is>
          <t>SKELLEFTEÅ</t>
        </is>
      </c>
      <c r="F1136" t="inlineStr">
        <is>
          <t>Holmen skog AB</t>
        </is>
      </c>
      <c r="G1136" t="n">
        <v>4.4</v>
      </c>
      <c r="H1136" t="n">
        <v>0</v>
      </c>
      <c r="I1136" t="n">
        <v>0</v>
      </c>
      <c r="J1136" t="n">
        <v>0</v>
      </c>
      <c r="K1136" t="n">
        <v>0</v>
      </c>
      <c r="L1136" t="n">
        <v>1</v>
      </c>
      <c r="M1136" t="n">
        <v>0</v>
      </c>
      <c r="N1136" t="n">
        <v>0</v>
      </c>
      <c r="O1136" t="n">
        <v>1</v>
      </c>
      <c r="P1136" t="n">
        <v>1</v>
      </c>
      <c r="Q1136" t="n">
        <v>1</v>
      </c>
      <c r="R1136" s="2" t="inlineStr">
        <is>
          <t>Flodpärlmussla</t>
        </is>
      </c>
      <c r="S1136">
        <f>HYPERLINK("https://klasma.github.io/Logging_2482/artfynd/A 41055-2023 artfynd.xlsx", "A 41055-2023")</f>
        <v/>
      </c>
      <c r="T1136">
        <f>HYPERLINK("https://klasma.github.io/Logging_2482/kartor/A 41055-2023 karta.png", "A 41055-2023")</f>
        <v/>
      </c>
      <c r="V1136">
        <f>HYPERLINK("https://klasma.github.io/Logging_2482/klagomål/A 41055-2023 FSC-klagomål.docx", "A 41055-2023")</f>
        <v/>
      </c>
      <c r="W1136">
        <f>HYPERLINK("https://klasma.github.io/Logging_2482/klagomålsmail/A 41055-2023 FSC-klagomål mail.docx", "A 41055-2023")</f>
        <v/>
      </c>
      <c r="X1136">
        <f>HYPERLINK("https://klasma.github.io/Logging_2482/tillsyn/A 41055-2023 tillsynsbegäran.docx", "A 41055-2023")</f>
        <v/>
      </c>
      <c r="Y1136">
        <f>HYPERLINK("https://klasma.github.io/Logging_2482/tillsynsmail/A 41055-2023 tillsynsbegäran mail.docx", "A 41055-2023")</f>
        <v/>
      </c>
    </row>
    <row r="1137" ht="15" customHeight="1">
      <c r="A1137" t="inlineStr">
        <is>
          <t>A 53351-2024</t>
        </is>
      </c>
      <c r="B1137" s="1" t="n">
        <v>45614.44894675926</v>
      </c>
      <c r="C1137" s="1" t="n">
        <v>46075</v>
      </c>
      <c r="D1137" t="inlineStr">
        <is>
          <t>VÄSTERBOTTENS LÄN</t>
        </is>
      </c>
      <c r="E1137" t="inlineStr">
        <is>
          <t>VINDELN</t>
        </is>
      </c>
      <c r="F1137" t="inlineStr">
        <is>
          <t>SCA</t>
        </is>
      </c>
      <c r="G1137" t="n">
        <v>6.6</v>
      </c>
      <c r="H1137" t="n">
        <v>0</v>
      </c>
      <c r="I1137" t="n">
        <v>1</v>
      </c>
      <c r="J1137" t="n">
        <v>0</v>
      </c>
      <c r="K1137" t="n">
        <v>0</v>
      </c>
      <c r="L1137" t="n">
        <v>0</v>
      </c>
      <c r="M1137" t="n">
        <v>0</v>
      </c>
      <c r="N1137" t="n">
        <v>0</v>
      </c>
      <c r="O1137" t="n">
        <v>0</v>
      </c>
      <c r="P1137" t="n">
        <v>0</v>
      </c>
      <c r="Q1137" t="n">
        <v>1</v>
      </c>
      <c r="R1137" s="2" t="inlineStr">
        <is>
          <t>Dropptaggsvamp</t>
        </is>
      </c>
      <c r="S1137">
        <f>HYPERLINK("https://klasma.github.io/Logging_2404/artfynd/A 53351-2024 artfynd.xlsx", "A 53351-2024")</f>
        <v/>
      </c>
      <c r="T1137">
        <f>HYPERLINK("https://klasma.github.io/Logging_2404/kartor/A 53351-2024 karta.png", "A 53351-2024")</f>
        <v/>
      </c>
      <c r="V1137">
        <f>HYPERLINK("https://klasma.github.io/Logging_2404/klagomål/A 53351-2024 FSC-klagomål.docx", "A 53351-2024")</f>
        <v/>
      </c>
      <c r="W1137">
        <f>HYPERLINK("https://klasma.github.io/Logging_2404/klagomålsmail/A 53351-2024 FSC-klagomål mail.docx", "A 53351-2024")</f>
        <v/>
      </c>
      <c r="X1137">
        <f>HYPERLINK("https://klasma.github.io/Logging_2404/tillsyn/A 53351-2024 tillsynsbegäran.docx", "A 53351-2024")</f>
        <v/>
      </c>
      <c r="Y1137">
        <f>HYPERLINK("https://klasma.github.io/Logging_2404/tillsynsmail/A 53351-2024 tillsynsbegäran mail.docx", "A 53351-2024")</f>
        <v/>
      </c>
    </row>
    <row r="1138" ht="15" customHeight="1">
      <c r="A1138" t="inlineStr">
        <is>
          <t>A 25368-2024</t>
        </is>
      </c>
      <c r="B1138" s="1" t="n">
        <v>45462</v>
      </c>
      <c r="C1138" s="1" t="n">
        <v>46075</v>
      </c>
      <c r="D1138" t="inlineStr">
        <is>
          <t>VÄSTERBOTTENS LÄN</t>
        </is>
      </c>
      <c r="E1138" t="inlineStr">
        <is>
          <t>VILHELMINA</t>
        </is>
      </c>
      <c r="F1138" t="inlineStr">
        <is>
          <t>SCA</t>
        </is>
      </c>
      <c r="G1138" t="n">
        <v>2.5</v>
      </c>
      <c r="H1138" t="n">
        <v>1</v>
      </c>
      <c r="I1138" t="n">
        <v>0</v>
      </c>
      <c r="J1138" t="n">
        <v>1</v>
      </c>
      <c r="K1138" t="n">
        <v>0</v>
      </c>
      <c r="L1138" t="n">
        <v>0</v>
      </c>
      <c r="M1138" t="n">
        <v>0</v>
      </c>
      <c r="N1138" t="n">
        <v>0</v>
      </c>
      <c r="O1138" t="n">
        <v>1</v>
      </c>
      <c r="P1138" t="n">
        <v>0</v>
      </c>
      <c r="Q1138" t="n">
        <v>1</v>
      </c>
      <c r="R1138" s="2" t="inlineStr">
        <is>
          <t>Utter</t>
        </is>
      </c>
      <c r="S1138">
        <f>HYPERLINK("https://klasma.github.io/Logging_2462/artfynd/A 25368-2024 artfynd.xlsx", "A 25368-2024")</f>
        <v/>
      </c>
      <c r="T1138">
        <f>HYPERLINK("https://klasma.github.io/Logging_2462/kartor/A 25368-2024 karta.png", "A 25368-2024")</f>
        <v/>
      </c>
      <c r="V1138">
        <f>HYPERLINK("https://klasma.github.io/Logging_2462/klagomål/A 25368-2024 FSC-klagomål.docx", "A 25368-2024")</f>
        <v/>
      </c>
      <c r="W1138">
        <f>HYPERLINK("https://klasma.github.io/Logging_2462/klagomålsmail/A 25368-2024 FSC-klagomål mail.docx", "A 25368-2024")</f>
        <v/>
      </c>
      <c r="X1138">
        <f>HYPERLINK("https://klasma.github.io/Logging_2462/tillsyn/A 25368-2024 tillsynsbegäran.docx", "A 25368-2024")</f>
        <v/>
      </c>
      <c r="Y1138">
        <f>HYPERLINK("https://klasma.github.io/Logging_2462/tillsynsmail/A 25368-2024 tillsynsbegäran mail.docx", "A 25368-2024")</f>
        <v/>
      </c>
    </row>
    <row r="1139" ht="15" customHeight="1">
      <c r="A1139" t="inlineStr">
        <is>
          <t>A 3826-2023</t>
        </is>
      </c>
      <c r="B1139" s="1" t="n">
        <v>44950</v>
      </c>
      <c r="C1139" s="1" t="n">
        <v>46075</v>
      </c>
      <c r="D1139" t="inlineStr">
        <is>
          <t>VÄSTERBOTTENS LÄN</t>
        </is>
      </c>
      <c r="E1139" t="inlineStr">
        <is>
          <t>STORUMAN</t>
        </is>
      </c>
      <c r="G1139" t="n">
        <v>0.7</v>
      </c>
      <c r="H1139" t="n">
        <v>1</v>
      </c>
      <c r="I1139" t="n">
        <v>0</v>
      </c>
      <c r="J1139" t="n">
        <v>1</v>
      </c>
      <c r="K1139" t="n">
        <v>0</v>
      </c>
      <c r="L1139" t="n">
        <v>0</v>
      </c>
      <c r="M1139" t="n">
        <v>0</v>
      </c>
      <c r="N1139" t="n">
        <v>0</v>
      </c>
      <c r="O1139" t="n">
        <v>1</v>
      </c>
      <c r="P1139" t="n">
        <v>0</v>
      </c>
      <c r="Q1139" t="n">
        <v>1</v>
      </c>
      <c r="R1139" s="2" t="inlineStr">
        <is>
          <t>Tretåig hackspett</t>
        </is>
      </c>
      <c r="S1139">
        <f>HYPERLINK("https://klasma.github.io/Logging_2421/artfynd/A 3826-2023 artfynd.xlsx", "A 3826-2023")</f>
        <v/>
      </c>
      <c r="T1139">
        <f>HYPERLINK("https://klasma.github.io/Logging_2421/kartor/A 3826-2023 karta.png", "A 3826-2023")</f>
        <v/>
      </c>
      <c r="V1139">
        <f>HYPERLINK("https://klasma.github.io/Logging_2421/klagomål/A 3826-2023 FSC-klagomål.docx", "A 3826-2023")</f>
        <v/>
      </c>
      <c r="W1139">
        <f>HYPERLINK("https://klasma.github.io/Logging_2421/klagomålsmail/A 3826-2023 FSC-klagomål mail.docx", "A 3826-2023")</f>
        <v/>
      </c>
      <c r="X1139">
        <f>HYPERLINK("https://klasma.github.io/Logging_2421/tillsyn/A 3826-2023 tillsynsbegäran.docx", "A 3826-2023")</f>
        <v/>
      </c>
      <c r="Y1139">
        <f>HYPERLINK("https://klasma.github.io/Logging_2421/tillsynsmail/A 3826-2023 tillsynsbegäran mail.docx", "A 3826-2023")</f>
        <v/>
      </c>
      <c r="Z1139">
        <f>HYPERLINK("https://klasma.github.io/Logging_2421/fåglar/A 3826-2023 prioriterade fågelarter.docx", "A 3826-2023")</f>
        <v/>
      </c>
    </row>
    <row r="1140" ht="15" customHeight="1">
      <c r="A1140" t="inlineStr">
        <is>
          <t>A 17253-2025</t>
        </is>
      </c>
      <c r="B1140" s="1" t="n">
        <v>45756</v>
      </c>
      <c r="C1140" s="1" t="n">
        <v>46075</v>
      </c>
      <c r="D1140" t="inlineStr">
        <is>
          <t>VÄSTERBOTTENS LÄN</t>
        </is>
      </c>
      <c r="E1140" t="inlineStr">
        <is>
          <t>VILHELMINA</t>
        </is>
      </c>
      <c r="F1140" t="inlineStr">
        <is>
          <t>SCA</t>
        </is>
      </c>
      <c r="G1140" t="n">
        <v>6.5</v>
      </c>
      <c r="H1140" t="n">
        <v>0</v>
      </c>
      <c r="I1140" t="n">
        <v>0</v>
      </c>
      <c r="J1140" t="n">
        <v>1</v>
      </c>
      <c r="K1140" t="n">
        <v>0</v>
      </c>
      <c r="L1140" t="n">
        <v>0</v>
      </c>
      <c r="M1140" t="n">
        <v>0</v>
      </c>
      <c r="N1140" t="n">
        <v>0</v>
      </c>
      <c r="O1140" t="n">
        <v>1</v>
      </c>
      <c r="P1140" t="n">
        <v>0</v>
      </c>
      <c r="Q1140" t="n">
        <v>1</v>
      </c>
      <c r="R1140" s="2" t="inlineStr">
        <is>
          <t>Granticka</t>
        </is>
      </c>
      <c r="S1140">
        <f>HYPERLINK("https://klasma.github.io/Logging_2462/artfynd/A 17253-2025 artfynd.xlsx", "A 17253-2025")</f>
        <v/>
      </c>
      <c r="T1140">
        <f>HYPERLINK("https://klasma.github.io/Logging_2462/kartor/A 17253-2025 karta.png", "A 17253-2025")</f>
        <v/>
      </c>
      <c r="V1140">
        <f>HYPERLINK("https://klasma.github.io/Logging_2462/klagomål/A 17253-2025 FSC-klagomål.docx", "A 17253-2025")</f>
        <v/>
      </c>
      <c r="W1140">
        <f>HYPERLINK("https://klasma.github.io/Logging_2462/klagomålsmail/A 17253-2025 FSC-klagomål mail.docx", "A 17253-2025")</f>
        <v/>
      </c>
      <c r="X1140">
        <f>HYPERLINK("https://klasma.github.io/Logging_2462/tillsyn/A 17253-2025 tillsynsbegäran.docx", "A 17253-2025")</f>
        <v/>
      </c>
      <c r="Y1140">
        <f>HYPERLINK("https://klasma.github.io/Logging_2462/tillsynsmail/A 17253-2025 tillsynsbegäran mail.docx", "A 17253-2025")</f>
        <v/>
      </c>
    </row>
    <row r="1141" ht="15" customHeight="1">
      <c r="A1141" t="inlineStr">
        <is>
          <t>A 5969-2025</t>
        </is>
      </c>
      <c r="B1141" s="1" t="n">
        <v>45695.50104166667</v>
      </c>
      <c r="C1141" s="1" t="n">
        <v>46075</v>
      </c>
      <c r="D1141" t="inlineStr">
        <is>
          <t>VÄSTERBOTTENS LÄN</t>
        </is>
      </c>
      <c r="E1141" t="inlineStr">
        <is>
          <t>ROBERTSFORS</t>
        </is>
      </c>
      <c r="G1141" t="n">
        <v>18.1</v>
      </c>
      <c r="H1141" t="n">
        <v>1</v>
      </c>
      <c r="I1141" t="n">
        <v>0</v>
      </c>
      <c r="J1141" t="n">
        <v>1</v>
      </c>
      <c r="K1141" t="n">
        <v>0</v>
      </c>
      <c r="L1141" t="n">
        <v>0</v>
      </c>
      <c r="M1141" t="n">
        <v>0</v>
      </c>
      <c r="N1141" t="n">
        <v>0</v>
      </c>
      <c r="O1141" t="n">
        <v>1</v>
      </c>
      <c r="P1141" t="n">
        <v>0</v>
      </c>
      <c r="Q1141" t="n">
        <v>1</v>
      </c>
      <c r="R1141" s="2" t="inlineStr">
        <is>
          <t>Tretåig hackspett</t>
        </is>
      </c>
      <c r="S1141">
        <f>HYPERLINK("https://klasma.github.io/Logging_2409/artfynd/A 5969-2025 artfynd.xlsx", "A 5969-2025")</f>
        <v/>
      </c>
      <c r="T1141">
        <f>HYPERLINK("https://klasma.github.io/Logging_2409/kartor/A 5969-2025 karta.png", "A 5969-2025")</f>
        <v/>
      </c>
      <c r="V1141">
        <f>HYPERLINK("https://klasma.github.io/Logging_2409/klagomål/A 5969-2025 FSC-klagomål.docx", "A 5969-2025")</f>
        <v/>
      </c>
      <c r="W1141">
        <f>HYPERLINK("https://klasma.github.io/Logging_2409/klagomålsmail/A 5969-2025 FSC-klagomål mail.docx", "A 5969-2025")</f>
        <v/>
      </c>
      <c r="X1141">
        <f>HYPERLINK("https://klasma.github.io/Logging_2409/tillsyn/A 5969-2025 tillsynsbegäran.docx", "A 5969-2025")</f>
        <v/>
      </c>
      <c r="Y1141">
        <f>HYPERLINK("https://klasma.github.io/Logging_2409/tillsynsmail/A 5969-2025 tillsynsbegäran mail.docx", "A 5969-2025")</f>
        <v/>
      </c>
      <c r="Z1141">
        <f>HYPERLINK("https://klasma.github.io/Logging_2409/fåglar/A 5969-2025 prioriterade fågelarter.docx", "A 5969-2025")</f>
        <v/>
      </c>
    </row>
    <row r="1142" ht="15" customHeight="1">
      <c r="A1142" t="inlineStr">
        <is>
          <t>A 11502-2022</t>
        </is>
      </c>
      <c r="B1142" s="1" t="n">
        <v>44631</v>
      </c>
      <c r="C1142" s="1" t="n">
        <v>46075</v>
      </c>
      <c r="D1142" t="inlineStr">
        <is>
          <t>VÄSTERBOTTENS LÄN</t>
        </is>
      </c>
      <c r="E1142" t="inlineStr">
        <is>
          <t>UMEÅ</t>
        </is>
      </c>
      <c r="F1142" t="inlineStr">
        <is>
          <t>Kommuner</t>
        </is>
      </c>
      <c r="G1142" t="n">
        <v>1.8</v>
      </c>
      <c r="H1142" t="n">
        <v>0</v>
      </c>
      <c r="I1142" t="n">
        <v>0</v>
      </c>
      <c r="J1142" t="n">
        <v>1</v>
      </c>
      <c r="K1142" t="n">
        <v>0</v>
      </c>
      <c r="L1142" t="n">
        <v>0</v>
      </c>
      <c r="M1142" t="n">
        <v>0</v>
      </c>
      <c r="N1142" t="n">
        <v>0</v>
      </c>
      <c r="O1142" t="n">
        <v>1</v>
      </c>
      <c r="P1142" t="n">
        <v>0</v>
      </c>
      <c r="Q1142" t="n">
        <v>1</v>
      </c>
      <c r="R1142" s="2" t="inlineStr">
        <is>
          <t>Violettgrå tagellav</t>
        </is>
      </c>
      <c r="S1142">
        <f>HYPERLINK("https://klasma.github.io/Logging_2480/artfynd/A 11502-2022 artfynd.xlsx", "A 11502-2022")</f>
        <v/>
      </c>
      <c r="T1142">
        <f>HYPERLINK("https://klasma.github.io/Logging_2480/kartor/A 11502-2022 karta.png", "A 11502-2022")</f>
        <v/>
      </c>
      <c r="V1142">
        <f>HYPERLINK("https://klasma.github.io/Logging_2480/klagomål/A 11502-2022 FSC-klagomål.docx", "A 11502-2022")</f>
        <v/>
      </c>
      <c r="W1142">
        <f>HYPERLINK("https://klasma.github.io/Logging_2480/klagomålsmail/A 11502-2022 FSC-klagomål mail.docx", "A 11502-2022")</f>
        <v/>
      </c>
      <c r="X1142">
        <f>HYPERLINK("https://klasma.github.io/Logging_2480/tillsyn/A 11502-2022 tillsynsbegäran.docx", "A 11502-2022")</f>
        <v/>
      </c>
      <c r="Y1142">
        <f>HYPERLINK("https://klasma.github.io/Logging_2480/tillsynsmail/A 11502-2022 tillsynsbegäran mail.docx", "A 11502-2022")</f>
        <v/>
      </c>
    </row>
    <row r="1143" ht="15" customHeight="1">
      <c r="A1143" t="inlineStr">
        <is>
          <t>A 58670-2023</t>
        </is>
      </c>
      <c r="B1143" s="1" t="n">
        <v>45251</v>
      </c>
      <c r="C1143" s="1" t="n">
        <v>46075</v>
      </c>
      <c r="D1143" t="inlineStr">
        <is>
          <t>VÄSTERBOTTENS LÄN</t>
        </is>
      </c>
      <c r="E1143" t="inlineStr">
        <is>
          <t>UMEÅ</t>
        </is>
      </c>
      <c r="F1143" t="inlineStr">
        <is>
          <t>Sveaskog</t>
        </is>
      </c>
      <c r="G1143" t="n">
        <v>11.9</v>
      </c>
      <c r="H1143" t="n">
        <v>0</v>
      </c>
      <c r="I1143" t="n">
        <v>0</v>
      </c>
      <c r="J1143" t="n">
        <v>1</v>
      </c>
      <c r="K1143" t="n">
        <v>0</v>
      </c>
      <c r="L1143" t="n">
        <v>0</v>
      </c>
      <c r="M1143" t="n">
        <v>0</v>
      </c>
      <c r="N1143" t="n">
        <v>0</v>
      </c>
      <c r="O1143" t="n">
        <v>1</v>
      </c>
      <c r="P1143" t="n">
        <v>0</v>
      </c>
      <c r="Q1143" t="n">
        <v>1</v>
      </c>
      <c r="R1143" s="2" t="inlineStr">
        <is>
          <t>Gammelgransskål</t>
        </is>
      </c>
      <c r="S1143">
        <f>HYPERLINK("https://klasma.github.io/Logging_2480/artfynd/A 58670-2023 artfynd.xlsx", "A 58670-2023")</f>
        <v/>
      </c>
      <c r="T1143">
        <f>HYPERLINK("https://klasma.github.io/Logging_2480/kartor/A 58670-2023 karta.png", "A 58670-2023")</f>
        <v/>
      </c>
      <c r="V1143">
        <f>HYPERLINK("https://klasma.github.io/Logging_2480/klagomål/A 58670-2023 FSC-klagomål.docx", "A 58670-2023")</f>
        <v/>
      </c>
      <c r="W1143">
        <f>HYPERLINK("https://klasma.github.io/Logging_2480/klagomålsmail/A 58670-2023 FSC-klagomål mail.docx", "A 58670-2023")</f>
        <v/>
      </c>
      <c r="X1143">
        <f>HYPERLINK("https://klasma.github.io/Logging_2480/tillsyn/A 58670-2023 tillsynsbegäran.docx", "A 58670-2023")</f>
        <v/>
      </c>
      <c r="Y1143">
        <f>HYPERLINK("https://klasma.github.io/Logging_2480/tillsynsmail/A 58670-2023 tillsynsbegäran mail.docx", "A 58670-2023")</f>
        <v/>
      </c>
    </row>
    <row r="1144" ht="15" customHeight="1">
      <c r="A1144" t="inlineStr">
        <is>
          <t>A 50942-2024</t>
        </is>
      </c>
      <c r="B1144" s="1" t="n">
        <v>45602</v>
      </c>
      <c r="C1144" s="1" t="n">
        <v>46075</v>
      </c>
      <c r="D1144" t="inlineStr">
        <is>
          <t>VÄSTERBOTTENS LÄN</t>
        </is>
      </c>
      <c r="E1144" t="inlineStr">
        <is>
          <t>STORUMAN</t>
        </is>
      </c>
      <c r="G1144" t="n">
        <v>9.1</v>
      </c>
      <c r="H1144" t="n">
        <v>1</v>
      </c>
      <c r="I1144" t="n">
        <v>0</v>
      </c>
      <c r="J1144" t="n">
        <v>0</v>
      </c>
      <c r="K1144" t="n">
        <v>1</v>
      </c>
      <c r="L1144" t="n">
        <v>0</v>
      </c>
      <c r="M1144" t="n">
        <v>0</v>
      </c>
      <c r="N1144" t="n">
        <v>0</v>
      </c>
      <c r="O1144" t="n">
        <v>1</v>
      </c>
      <c r="P1144" t="n">
        <v>1</v>
      </c>
      <c r="Q1144" t="n">
        <v>1</v>
      </c>
      <c r="R1144" s="2" t="inlineStr">
        <is>
          <t>Knärot</t>
        </is>
      </c>
      <c r="S1144">
        <f>HYPERLINK("https://klasma.github.io/Logging_2421/artfynd/A 50942-2024 artfynd.xlsx", "A 50942-2024")</f>
        <v/>
      </c>
      <c r="T1144">
        <f>HYPERLINK("https://klasma.github.io/Logging_2421/kartor/A 50942-2024 karta.png", "A 50942-2024")</f>
        <v/>
      </c>
      <c r="U1144">
        <f>HYPERLINK("https://klasma.github.io/Logging_2421/knärot/A 50942-2024 karta knärot.png", "A 50942-2024")</f>
        <v/>
      </c>
      <c r="V1144">
        <f>HYPERLINK("https://klasma.github.io/Logging_2421/klagomål/A 50942-2024 FSC-klagomål.docx", "A 50942-2024")</f>
        <v/>
      </c>
      <c r="W1144">
        <f>HYPERLINK("https://klasma.github.io/Logging_2421/klagomålsmail/A 50942-2024 FSC-klagomål mail.docx", "A 50942-2024")</f>
        <v/>
      </c>
      <c r="X1144">
        <f>HYPERLINK("https://klasma.github.io/Logging_2421/tillsyn/A 50942-2024 tillsynsbegäran.docx", "A 50942-2024")</f>
        <v/>
      </c>
      <c r="Y1144">
        <f>HYPERLINK("https://klasma.github.io/Logging_2421/tillsynsmail/A 50942-2024 tillsynsbegäran mail.docx", "A 50942-2024")</f>
        <v/>
      </c>
    </row>
    <row r="1145" ht="15" customHeight="1">
      <c r="A1145" t="inlineStr">
        <is>
          <t>A 41840-2023</t>
        </is>
      </c>
      <c r="B1145" s="1" t="n">
        <v>45176</v>
      </c>
      <c r="C1145" s="1" t="n">
        <v>46075</v>
      </c>
      <c r="D1145" t="inlineStr">
        <is>
          <t>VÄSTERBOTTENS LÄN</t>
        </is>
      </c>
      <c r="E1145" t="inlineStr">
        <is>
          <t>MALÅ</t>
        </is>
      </c>
      <c r="F1145" t="inlineStr">
        <is>
          <t>Sveaskog</t>
        </is>
      </c>
      <c r="G1145" t="n">
        <v>15.9</v>
      </c>
      <c r="H1145" t="n">
        <v>0</v>
      </c>
      <c r="I1145" t="n">
        <v>1</v>
      </c>
      <c r="J1145" t="n">
        <v>0</v>
      </c>
      <c r="K1145" t="n">
        <v>0</v>
      </c>
      <c r="L1145" t="n">
        <v>0</v>
      </c>
      <c r="M1145" t="n">
        <v>0</v>
      </c>
      <c r="N1145" t="n">
        <v>0</v>
      </c>
      <c r="O1145" t="n">
        <v>0</v>
      </c>
      <c r="P1145" t="n">
        <v>0</v>
      </c>
      <c r="Q1145" t="n">
        <v>1</v>
      </c>
      <c r="R1145" s="2" t="inlineStr">
        <is>
          <t>Robust tickgnagare</t>
        </is>
      </c>
      <c r="S1145">
        <f>HYPERLINK("https://klasma.github.io/Logging_2418/artfynd/A 41840-2023 artfynd.xlsx", "A 41840-2023")</f>
        <v/>
      </c>
      <c r="T1145">
        <f>HYPERLINK("https://klasma.github.io/Logging_2418/kartor/A 41840-2023 karta.png", "A 41840-2023")</f>
        <v/>
      </c>
      <c r="V1145">
        <f>HYPERLINK("https://klasma.github.io/Logging_2418/klagomål/A 41840-2023 FSC-klagomål.docx", "A 41840-2023")</f>
        <v/>
      </c>
      <c r="W1145">
        <f>HYPERLINK("https://klasma.github.io/Logging_2418/klagomålsmail/A 41840-2023 FSC-klagomål mail.docx", "A 41840-2023")</f>
        <v/>
      </c>
      <c r="X1145">
        <f>HYPERLINK("https://klasma.github.io/Logging_2418/tillsyn/A 41840-2023 tillsynsbegäran.docx", "A 41840-2023")</f>
        <v/>
      </c>
      <c r="Y1145">
        <f>HYPERLINK("https://klasma.github.io/Logging_2418/tillsynsmail/A 41840-2023 tillsynsbegäran mail.docx", "A 41840-2023")</f>
        <v/>
      </c>
    </row>
    <row r="1146" ht="15" customHeight="1">
      <c r="A1146" t="inlineStr">
        <is>
          <t>A 60231-2022</t>
        </is>
      </c>
      <c r="B1146" s="1" t="n">
        <v>44910</v>
      </c>
      <c r="C1146" s="1" t="n">
        <v>46075</v>
      </c>
      <c r="D1146" t="inlineStr">
        <is>
          <t>VÄSTERBOTTENS LÄN</t>
        </is>
      </c>
      <c r="E1146" t="inlineStr">
        <is>
          <t>SKELLEFTEÅ</t>
        </is>
      </c>
      <c r="F1146" t="inlineStr">
        <is>
          <t>Holmen skog AB</t>
        </is>
      </c>
      <c r="G1146" t="n">
        <v>6.4</v>
      </c>
      <c r="H1146" t="n">
        <v>1</v>
      </c>
      <c r="I1146" t="n">
        <v>0</v>
      </c>
      <c r="J1146" t="n">
        <v>0</v>
      </c>
      <c r="K1146" t="n">
        <v>0</v>
      </c>
      <c r="L1146" t="n">
        <v>0</v>
      </c>
      <c r="M1146" t="n">
        <v>0</v>
      </c>
      <c r="N1146" t="n">
        <v>0</v>
      </c>
      <c r="O1146" t="n">
        <v>0</v>
      </c>
      <c r="P1146" t="n">
        <v>0</v>
      </c>
      <c r="Q1146" t="n">
        <v>1</v>
      </c>
      <c r="R1146" s="2" t="inlineStr">
        <is>
          <t>Fläcknycklar</t>
        </is>
      </c>
      <c r="S1146">
        <f>HYPERLINK("https://klasma.github.io/Logging_2482/artfynd/A 60231-2022 artfynd.xlsx", "A 60231-2022")</f>
        <v/>
      </c>
      <c r="T1146">
        <f>HYPERLINK("https://klasma.github.io/Logging_2482/kartor/A 60231-2022 karta.png", "A 60231-2022")</f>
        <v/>
      </c>
      <c r="V1146">
        <f>HYPERLINK("https://klasma.github.io/Logging_2482/klagomål/A 60231-2022 FSC-klagomål.docx", "A 60231-2022")</f>
        <v/>
      </c>
      <c r="W1146">
        <f>HYPERLINK("https://klasma.github.io/Logging_2482/klagomålsmail/A 60231-2022 FSC-klagomål mail.docx", "A 60231-2022")</f>
        <v/>
      </c>
      <c r="X1146">
        <f>HYPERLINK("https://klasma.github.io/Logging_2482/tillsyn/A 60231-2022 tillsynsbegäran.docx", "A 60231-2022")</f>
        <v/>
      </c>
      <c r="Y1146">
        <f>HYPERLINK("https://klasma.github.io/Logging_2482/tillsynsmail/A 60231-2022 tillsynsbegäran mail.docx", "A 60231-2022")</f>
        <v/>
      </c>
    </row>
    <row r="1147" ht="15" customHeight="1">
      <c r="A1147" t="inlineStr">
        <is>
          <t>A 44195-2024</t>
        </is>
      </c>
      <c r="B1147" s="1" t="n">
        <v>45573</v>
      </c>
      <c r="C1147" s="1" t="n">
        <v>46075</v>
      </c>
      <c r="D1147" t="inlineStr">
        <is>
          <t>VÄSTERBOTTENS LÄN</t>
        </is>
      </c>
      <c r="E1147" t="inlineStr">
        <is>
          <t>NORDMALING</t>
        </is>
      </c>
      <c r="G1147" t="n">
        <v>8.4</v>
      </c>
      <c r="H1147" t="n">
        <v>0</v>
      </c>
      <c r="I1147" t="n">
        <v>0</v>
      </c>
      <c r="J1147" t="n">
        <v>1</v>
      </c>
      <c r="K1147" t="n">
        <v>0</v>
      </c>
      <c r="L1147" t="n">
        <v>0</v>
      </c>
      <c r="M1147" t="n">
        <v>0</v>
      </c>
      <c r="N1147" t="n">
        <v>0</v>
      </c>
      <c r="O1147" t="n">
        <v>1</v>
      </c>
      <c r="P1147" t="n">
        <v>0</v>
      </c>
      <c r="Q1147" t="n">
        <v>1</v>
      </c>
      <c r="R1147" s="2" t="inlineStr">
        <is>
          <t>Lunglav</t>
        </is>
      </c>
      <c r="S1147">
        <f>HYPERLINK("https://klasma.github.io/Logging_2401/artfynd/A 44195-2024 artfynd.xlsx", "A 44195-2024")</f>
        <v/>
      </c>
      <c r="T1147">
        <f>HYPERLINK("https://klasma.github.io/Logging_2401/kartor/A 44195-2024 karta.png", "A 44195-2024")</f>
        <v/>
      </c>
      <c r="V1147">
        <f>HYPERLINK("https://klasma.github.io/Logging_2401/klagomål/A 44195-2024 FSC-klagomål.docx", "A 44195-2024")</f>
        <v/>
      </c>
      <c r="W1147">
        <f>HYPERLINK("https://klasma.github.io/Logging_2401/klagomålsmail/A 44195-2024 FSC-klagomål mail.docx", "A 44195-2024")</f>
        <v/>
      </c>
      <c r="X1147">
        <f>HYPERLINK("https://klasma.github.io/Logging_2401/tillsyn/A 44195-2024 tillsynsbegäran.docx", "A 44195-2024")</f>
        <v/>
      </c>
      <c r="Y1147">
        <f>HYPERLINK("https://klasma.github.io/Logging_2401/tillsynsmail/A 44195-2024 tillsynsbegäran mail.docx", "A 44195-2024")</f>
        <v/>
      </c>
    </row>
    <row r="1148" ht="15" customHeight="1">
      <c r="A1148" t="inlineStr">
        <is>
          <t>A 44286-2024</t>
        </is>
      </c>
      <c r="B1148" s="1" t="n">
        <v>45573</v>
      </c>
      <c r="C1148" s="1" t="n">
        <v>46075</v>
      </c>
      <c r="D1148" t="inlineStr">
        <is>
          <t>VÄSTERBOTTENS LÄN</t>
        </is>
      </c>
      <c r="E1148" t="inlineStr">
        <is>
          <t>VILHELMINA</t>
        </is>
      </c>
      <c r="G1148" t="n">
        <v>29.2</v>
      </c>
      <c r="H1148" t="n">
        <v>1</v>
      </c>
      <c r="I1148" t="n">
        <v>0</v>
      </c>
      <c r="J1148" t="n">
        <v>1</v>
      </c>
      <c r="K1148" t="n">
        <v>0</v>
      </c>
      <c r="L1148" t="n">
        <v>0</v>
      </c>
      <c r="M1148" t="n">
        <v>0</v>
      </c>
      <c r="N1148" t="n">
        <v>0</v>
      </c>
      <c r="O1148" t="n">
        <v>1</v>
      </c>
      <c r="P1148" t="n">
        <v>0</v>
      </c>
      <c r="Q1148" t="n">
        <v>1</v>
      </c>
      <c r="R1148" s="2" t="inlineStr">
        <is>
          <t>Videsparv</t>
        </is>
      </c>
      <c r="S1148">
        <f>HYPERLINK("https://klasma.github.io/Logging_2462/artfynd/A 44286-2024 artfynd.xlsx", "A 44286-2024")</f>
        <v/>
      </c>
      <c r="T1148">
        <f>HYPERLINK("https://klasma.github.io/Logging_2462/kartor/A 44286-2024 karta.png", "A 44286-2024")</f>
        <v/>
      </c>
      <c r="V1148">
        <f>HYPERLINK("https://klasma.github.io/Logging_2462/klagomål/A 44286-2024 FSC-klagomål.docx", "A 44286-2024")</f>
        <v/>
      </c>
      <c r="W1148">
        <f>HYPERLINK("https://klasma.github.io/Logging_2462/klagomålsmail/A 44286-2024 FSC-klagomål mail.docx", "A 44286-2024")</f>
        <v/>
      </c>
      <c r="X1148">
        <f>HYPERLINK("https://klasma.github.io/Logging_2462/tillsyn/A 44286-2024 tillsynsbegäran.docx", "A 44286-2024")</f>
        <v/>
      </c>
      <c r="Y1148">
        <f>HYPERLINK("https://klasma.github.io/Logging_2462/tillsynsmail/A 44286-2024 tillsynsbegäran mail.docx", "A 44286-2024")</f>
        <v/>
      </c>
      <c r="Z1148">
        <f>HYPERLINK("https://klasma.github.io/Logging_2462/fåglar/A 44286-2024 prioriterade fågelarter.docx", "A 44286-2024")</f>
        <v/>
      </c>
    </row>
    <row r="1149" ht="15" customHeight="1">
      <c r="A1149" t="inlineStr">
        <is>
          <t>A 35915-2023</t>
        </is>
      </c>
      <c r="B1149" s="1" t="n">
        <v>45148</v>
      </c>
      <c r="C1149" s="1" t="n">
        <v>46075</v>
      </c>
      <c r="D1149" t="inlineStr">
        <is>
          <t>VÄSTERBOTTENS LÄN</t>
        </is>
      </c>
      <c r="E1149" t="inlineStr">
        <is>
          <t>VINDELN</t>
        </is>
      </c>
      <c r="G1149" t="n">
        <v>1.8</v>
      </c>
      <c r="H1149" t="n">
        <v>1</v>
      </c>
      <c r="I1149" t="n">
        <v>0</v>
      </c>
      <c r="J1149" t="n">
        <v>1</v>
      </c>
      <c r="K1149" t="n">
        <v>0</v>
      </c>
      <c r="L1149" t="n">
        <v>0</v>
      </c>
      <c r="M1149" t="n">
        <v>0</v>
      </c>
      <c r="N1149" t="n">
        <v>0</v>
      </c>
      <c r="O1149" t="n">
        <v>1</v>
      </c>
      <c r="P1149" t="n">
        <v>0</v>
      </c>
      <c r="Q1149" t="n">
        <v>1</v>
      </c>
      <c r="R1149" s="2" t="inlineStr">
        <is>
          <t>Järpe</t>
        </is>
      </c>
      <c r="S1149">
        <f>HYPERLINK("https://klasma.github.io/Logging_2404/artfynd/A 35915-2023 artfynd.xlsx", "A 35915-2023")</f>
        <v/>
      </c>
      <c r="T1149">
        <f>HYPERLINK("https://klasma.github.io/Logging_2404/kartor/A 35915-2023 karta.png", "A 35915-2023")</f>
        <v/>
      </c>
      <c r="V1149">
        <f>HYPERLINK("https://klasma.github.io/Logging_2404/klagomål/A 35915-2023 FSC-klagomål.docx", "A 35915-2023")</f>
        <v/>
      </c>
      <c r="W1149">
        <f>HYPERLINK("https://klasma.github.io/Logging_2404/klagomålsmail/A 35915-2023 FSC-klagomål mail.docx", "A 35915-2023")</f>
        <v/>
      </c>
      <c r="X1149">
        <f>HYPERLINK("https://klasma.github.io/Logging_2404/tillsyn/A 35915-2023 tillsynsbegäran.docx", "A 35915-2023")</f>
        <v/>
      </c>
      <c r="Y1149">
        <f>HYPERLINK("https://klasma.github.io/Logging_2404/tillsynsmail/A 35915-2023 tillsynsbegäran mail.docx", "A 35915-2023")</f>
        <v/>
      </c>
      <c r="Z1149">
        <f>HYPERLINK("https://klasma.github.io/Logging_2404/fåglar/A 35915-2023 prioriterade fågelarter.docx", "A 35915-2023")</f>
        <v/>
      </c>
    </row>
    <row r="1150" ht="15" customHeight="1">
      <c r="A1150" t="inlineStr">
        <is>
          <t>A 57058-2024</t>
        </is>
      </c>
      <c r="B1150" s="1" t="n">
        <v>45629</v>
      </c>
      <c r="C1150" s="1" t="n">
        <v>46075</v>
      </c>
      <c r="D1150" t="inlineStr">
        <is>
          <t>VÄSTERBOTTENS LÄN</t>
        </is>
      </c>
      <c r="E1150" t="inlineStr">
        <is>
          <t>DOROTEA</t>
        </is>
      </c>
      <c r="F1150" t="inlineStr">
        <is>
          <t>SCA</t>
        </is>
      </c>
      <c r="G1150" t="n">
        <v>2.4</v>
      </c>
      <c r="H1150" t="n">
        <v>0</v>
      </c>
      <c r="I1150" t="n">
        <v>0</v>
      </c>
      <c r="J1150" t="n">
        <v>1</v>
      </c>
      <c r="K1150" t="n">
        <v>0</v>
      </c>
      <c r="L1150" t="n">
        <v>0</v>
      </c>
      <c r="M1150" t="n">
        <v>0</v>
      </c>
      <c r="N1150" t="n">
        <v>0</v>
      </c>
      <c r="O1150" t="n">
        <v>1</v>
      </c>
      <c r="P1150" t="n">
        <v>0</v>
      </c>
      <c r="Q1150" t="n">
        <v>1</v>
      </c>
      <c r="R1150" s="2" t="inlineStr">
        <is>
          <t>Granticka</t>
        </is>
      </c>
      <c r="S1150">
        <f>HYPERLINK("https://klasma.github.io/Logging_2425/artfynd/A 57058-2024 artfynd.xlsx", "A 57058-2024")</f>
        <v/>
      </c>
      <c r="T1150">
        <f>HYPERLINK("https://klasma.github.io/Logging_2425/kartor/A 57058-2024 karta.png", "A 57058-2024")</f>
        <v/>
      </c>
      <c r="V1150">
        <f>HYPERLINK("https://klasma.github.io/Logging_2425/klagomål/A 57058-2024 FSC-klagomål.docx", "A 57058-2024")</f>
        <v/>
      </c>
      <c r="W1150">
        <f>HYPERLINK("https://klasma.github.io/Logging_2425/klagomålsmail/A 57058-2024 FSC-klagomål mail.docx", "A 57058-2024")</f>
        <v/>
      </c>
      <c r="X1150">
        <f>HYPERLINK("https://klasma.github.io/Logging_2425/tillsyn/A 57058-2024 tillsynsbegäran.docx", "A 57058-2024")</f>
        <v/>
      </c>
      <c r="Y1150">
        <f>HYPERLINK("https://klasma.github.io/Logging_2425/tillsynsmail/A 57058-2024 tillsynsbegäran mail.docx", "A 57058-2024")</f>
        <v/>
      </c>
    </row>
    <row r="1151" ht="15" customHeight="1">
      <c r="A1151" t="inlineStr">
        <is>
          <t>A 51990-2023</t>
        </is>
      </c>
      <c r="B1151" s="1" t="n">
        <v>45216</v>
      </c>
      <c r="C1151" s="1" t="n">
        <v>46075</v>
      </c>
      <c r="D1151" t="inlineStr">
        <is>
          <t>VÄSTERBOTTENS LÄN</t>
        </is>
      </c>
      <c r="E1151" t="inlineStr">
        <is>
          <t>UMEÅ</t>
        </is>
      </c>
      <c r="G1151" t="n">
        <v>4.5</v>
      </c>
      <c r="H1151" t="n">
        <v>0</v>
      </c>
      <c r="I1151" t="n">
        <v>0</v>
      </c>
      <c r="J1151" t="n">
        <v>1</v>
      </c>
      <c r="K1151" t="n">
        <v>0</v>
      </c>
      <c r="L1151" t="n">
        <v>0</v>
      </c>
      <c r="M1151" t="n">
        <v>0</v>
      </c>
      <c r="N1151" t="n">
        <v>0</v>
      </c>
      <c r="O1151" t="n">
        <v>1</v>
      </c>
      <c r="P1151" t="n">
        <v>0</v>
      </c>
      <c r="Q1151" t="n">
        <v>1</v>
      </c>
      <c r="R1151" s="2" t="inlineStr">
        <is>
          <t>Garnlav</t>
        </is>
      </c>
      <c r="S1151">
        <f>HYPERLINK("https://klasma.github.io/Logging_2480/artfynd/A 51990-2023 artfynd.xlsx", "A 51990-2023")</f>
        <v/>
      </c>
      <c r="T1151">
        <f>HYPERLINK("https://klasma.github.io/Logging_2480/kartor/A 51990-2023 karta.png", "A 51990-2023")</f>
        <v/>
      </c>
      <c r="V1151">
        <f>HYPERLINK("https://klasma.github.io/Logging_2480/klagomål/A 51990-2023 FSC-klagomål.docx", "A 51990-2023")</f>
        <v/>
      </c>
      <c r="W1151">
        <f>HYPERLINK("https://klasma.github.io/Logging_2480/klagomålsmail/A 51990-2023 FSC-klagomål mail.docx", "A 51990-2023")</f>
        <v/>
      </c>
      <c r="X1151">
        <f>HYPERLINK("https://klasma.github.io/Logging_2480/tillsyn/A 51990-2023 tillsynsbegäran.docx", "A 51990-2023")</f>
        <v/>
      </c>
      <c r="Y1151">
        <f>HYPERLINK("https://klasma.github.io/Logging_2480/tillsynsmail/A 51990-2023 tillsynsbegäran mail.docx", "A 51990-2023")</f>
        <v/>
      </c>
    </row>
    <row r="1152" ht="15" customHeight="1">
      <c r="A1152" t="inlineStr">
        <is>
          <t>A 15767-2024</t>
        </is>
      </c>
      <c r="B1152" s="1" t="n">
        <v>45404</v>
      </c>
      <c r="C1152" s="1" t="n">
        <v>46075</v>
      </c>
      <c r="D1152" t="inlineStr">
        <is>
          <t>VÄSTERBOTTENS LÄN</t>
        </is>
      </c>
      <c r="E1152" t="inlineStr">
        <is>
          <t>UMEÅ</t>
        </is>
      </c>
      <c r="G1152" t="n">
        <v>7.8</v>
      </c>
      <c r="H1152" t="n">
        <v>1</v>
      </c>
      <c r="I1152" t="n">
        <v>0</v>
      </c>
      <c r="J1152" t="n">
        <v>1</v>
      </c>
      <c r="K1152" t="n">
        <v>0</v>
      </c>
      <c r="L1152" t="n">
        <v>0</v>
      </c>
      <c r="M1152" t="n">
        <v>0</v>
      </c>
      <c r="N1152" t="n">
        <v>0</v>
      </c>
      <c r="O1152" t="n">
        <v>1</v>
      </c>
      <c r="P1152" t="n">
        <v>0</v>
      </c>
      <c r="Q1152" t="n">
        <v>1</v>
      </c>
      <c r="R1152" s="2" t="inlineStr">
        <is>
          <t>Talltita</t>
        </is>
      </c>
      <c r="S1152">
        <f>HYPERLINK("https://klasma.github.io/Logging_2480/artfynd/A 15767-2024 artfynd.xlsx", "A 15767-2024")</f>
        <v/>
      </c>
      <c r="T1152">
        <f>HYPERLINK("https://klasma.github.io/Logging_2480/kartor/A 15767-2024 karta.png", "A 15767-2024")</f>
        <v/>
      </c>
      <c r="V1152">
        <f>HYPERLINK("https://klasma.github.io/Logging_2480/klagomål/A 15767-2024 FSC-klagomål.docx", "A 15767-2024")</f>
        <v/>
      </c>
      <c r="W1152">
        <f>HYPERLINK("https://klasma.github.io/Logging_2480/klagomålsmail/A 15767-2024 FSC-klagomål mail.docx", "A 15767-2024")</f>
        <v/>
      </c>
      <c r="X1152">
        <f>HYPERLINK("https://klasma.github.io/Logging_2480/tillsyn/A 15767-2024 tillsynsbegäran.docx", "A 15767-2024")</f>
        <v/>
      </c>
      <c r="Y1152">
        <f>HYPERLINK("https://klasma.github.io/Logging_2480/tillsynsmail/A 15767-2024 tillsynsbegäran mail.docx", "A 15767-2024")</f>
        <v/>
      </c>
      <c r="Z1152">
        <f>HYPERLINK("https://klasma.github.io/Logging_2480/fåglar/A 15767-2024 prioriterade fågelarter.docx", "A 15767-2024")</f>
        <v/>
      </c>
    </row>
    <row r="1153" ht="15" customHeight="1">
      <c r="A1153" t="inlineStr">
        <is>
          <t>A 45376-2024</t>
        </is>
      </c>
      <c r="B1153" s="1" t="n">
        <v>45576.51907407407</v>
      </c>
      <c r="C1153" s="1" t="n">
        <v>46075</v>
      </c>
      <c r="D1153" t="inlineStr">
        <is>
          <t>VÄSTERBOTTENS LÄN</t>
        </is>
      </c>
      <c r="E1153" t="inlineStr">
        <is>
          <t>SKELLEFTEÅ</t>
        </is>
      </c>
      <c r="G1153" t="n">
        <v>1.2</v>
      </c>
      <c r="H1153" t="n">
        <v>1</v>
      </c>
      <c r="I1153" t="n">
        <v>0</v>
      </c>
      <c r="J1153" t="n">
        <v>0</v>
      </c>
      <c r="K1153" t="n">
        <v>0</v>
      </c>
      <c r="L1153" t="n">
        <v>0</v>
      </c>
      <c r="M1153" t="n">
        <v>0</v>
      </c>
      <c r="N1153" t="n">
        <v>0</v>
      </c>
      <c r="O1153" t="n">
        <v>0</v>
      </c>
      <c r="P1153" t="n">
        <v>0</v>
      </c>
      <c r="Q1153" t="n">
        <v>1</v>
      </c>
      <c r="R1153" s="2" t="inlineStr">
        <is>
          <t>Fläcknycklar</t>
        </is>
      </c>
      <c r="S1153">
        <f>HYPERLINK("https://klasma.github.io/Logging_2482/artfynd/A 45376-2024 artfynd.xlsx", "A 45376-2024")</f>
        <v/>
      </c>
      <c r="T1153">
        <f>HYPERLINK("https://klasma.github.io/Logging_2482/kartor/A 45376-2024 karta.png", "A 45376-2024")</f>
        <v/>
      </c>
      <c r="V1153">
        <f>HYPERLINK("https://klasma.github.io/Logging_2482/klagomål/A 45376-2024 FSC-klagomål.docx", "A 45376-2024")</f>
        <v/>
      </c>
      <c r="W1153">
        <f>HYPERLINK("https://klasma.github.io/Logging_2482/klagomålsmail/A 45376-2024 FSC-klagomål mail.docx", "A 45376-2024")</f>
        <v/>
      </c>
      <c r="X1153">
        <f>HYPERLINK("https://klasma.github.io/Logging_2482/tillsyn/A 45376-2024 tillsynsbegäran.docx", "A 45376-2024")</f>
        <v/>
      </c>
      <c r="Y1153">
        <f>HYPERLINK("https://klasma.github.io/Logging_2482/tillsynsmail/A 45376-2024 tillsynsbegäran mail.docx", "A 45376-2024")</f>
        <v/>
      </c>
    </row>
    <row r="1154" ht="15" customHeight="1">
      <c r="A1154" t="inlineStr">
        <is>
          <t>A 219-2025</t>
        </is>
      </c>
      <c r="B1154" s="1" t="n">
        <v>45660.34533564815</v>
      </c>
      <c r="C1154" s="1" t="n">
        <v>46075</v>
      </c>
      <c r="D1154" t="inlineStr">
        <is>
          <t>VÄSTERBOTTENS LÄN</t>
        </is>
      </c>
      <c r="E1154" t="inlineStr">
        <is>
          <t>LYCKSELE</t>
        </is>
      </c>
      <c r="F1154" t="inlineStr">
        <is>
          <t>Sveaskog</t>
        </is>
      </c>
      <c r="G1154" t="n">
        <v>2</v>
      </c>
      <c r="H1154" t="n">
        <v>0</v>
      </c>
      <c r="I1154" t="n">
        <v>1</v>
      </c>
      <c r="J1154" t="n">
        <v>0</v>
      </c>
      <c r="K1154" t="n">
        <v>0</v>
      </c>
      <c r="L1154" t="n">
        <v>0</v>
      </c>
      <c r="M1154" t="n">
        <v>0</v>
      </c>
      <c r="N1154" t="n">
        <v>0</v>
      </c>
      <c r="O1154" t="n">
        <v>0</v>
      </c>
      <c r="P1154" t="n">
        <v>0</v>
      </c>
      <c r="Q1154" t="n">
        <v>1</v>
      </c>
      <c r="R1154" s="2" t="inlineStr">
        <is>
          <t>Dropptaggsvamp</t>
        </is>
      </c>
      <c r="S1154">
        <f>HYPERLINK("https://klasma.github.io/Logging_2481/artfynd/A 219-2025 artfynd.xlsx", "A 219-2025")</f>
        <v/>
      </c>
      <c r="T1154">
        <f>HYPERLINK("https://klasma.github.io/Logging_2481/kartor/A 219-2025 karta.png", "A 219-2025")</f>
        <v/>
      </c>
      <c r="V1154">
        <f>HYPERLINK("https://klasma.github.io/Logging_2481/klagomål/A 219-2025 FSC-klagomål.docx", "A 219-2025")</f>
        <v/>
      </c>
      <c r="W1154">
        <f>HYPERLINK("https://klasma.github.io/Logging_2481/klagomålsmail/A 219-2025 FSC-klagomål mail.docx", "A 219-2025")</f>
        <v/>
      </c>
      <c r="X1154">
        <f>HYPERLINK("https://klasma.github.io/Logging_2481/tillsyn/A 219-2025 tillsynsbegäran.docx", "A 219-2025")</f>
        <v/>
      </c>
      <c r="Y1154">
        <f>HYPERLINK("https://klasma.github.io/Logging_2481/tillsynsmail/A 219-2025 tillsynsbegäran mail.docx", "A 219-2025")</f>
        <v/>
      </c>
    </row>
    <row r="1155" ht="15" customHeight="1">
      <c r="A1155" t="inlineStr">
        <is>
          <t>A 67790-2021</t>
        </is>
      </c>
      <c r="B1155" s="1" t="n">
        <v>44526</v>
      </c>
      <c r="C1155" s="1" t="n">
        <v>46075</v>
      </c>
      <c r="D1155" t="inlineStr">
        <is>
          <t>VÄSTERBOTTENS LÄN</t>
        </is>
      </c>
      <c r="E1155" t="inlineStr">
        <is>
          <t>DOROTEA</t>
        </is>
      </c>
      <c r="F1155" t="inlineStr">
        <is>
          <t>Övriga statliga verk och myndigheter</t>
        </is>
      </c>
      <c r="G1155" t="n">
        <v>3.2</v>
      </c>
      <c r="H1155" t="n">
        <v>1</v>
      </c>
      <c r="I1155" t="n">
        <v>0</v>
      </c>
      <c r="J1155" t="n">
        <v>1</v>
      </c>
      <c r="K1155" t="n">
        <v>0</v>
      </c>
      <c r="L1155" t="n">
        <v>0</v>
      </c>
      <c r="M1155" t="n">
        <v>0</v>
      </c>
      <c r="N1155" t="n">
        <v>0</v>
      </c>
      <c r="O1155" t="n">
        <v>1</v>
      </c>
      <c r="P1155" t="n">
        <v>0</v>
      </c>
      <c r="Q1155" t="n">
        <v>1</v>
      </c>
      <c r="R1155" s="2" t="inlineStr">
        <is>
          <t>Tretåig hackspett</t>
        </is>
      </c>
      <c r="S1155">
        <f>HYPERLINK("https://klasma.github.io/Logging_2425/artfynd/A 67790-2021 artfynd.xlsx", "A 67790-2021")</f>
        <v/>
      </c>
      <c r="T1155">
        <f>HYPERLINK("https://klasma.github.io/Logging_2425/kartor/A 67790-2021 karta.png", "A 67790-2021")</f>
        <v/>
      </c>
      <c r="V1155">
        <f>HYPERLINK("https://klasma.github.io/Logging_2425/klagomål/A 67790-2021 FSC-klagomål.docx", "A 67790-2021")</f>
        <v/>
      </c>
      <c r="W1155">
        <f>HYPERLINK("https://klasma.github.io/Logging_2425/klagomålsmail/A 67790-2021 FSC-klagomål mail.docx", "A 67790-2021")</f>
        <v/>
      </c>
      <c r="X1155">
        <f>HYPERLINK("https://klasma.github.io/Logging_2425/tillsyn/A 67790-2021 tillsynsbegäran.docx", "A 67790-2021")</f>
        <v/>
      </c>
      <c r="Y1155">
        <f>HYPERLINK("https://klasma.github.io/Logging_2425/tillsynsmail/A 67790-2021 tillsynsbegäran mail.docx", "A 67790-2021")</f>
        <v/>
      </c>
      <c r="Z1155">
        <f>HYPERLINK("https://klasma.github.io/Logging_2425/fåglar/A 67790-2021 prioriterade fågelarter.docx", "A 67790-2021")</f>
        <v/>
      </c>
    </row>
    <row r="1156" ht="15" customHeight="1">
      <c r="A1156" t="inlineStr">
        <is>
          <t>A 26932-2024</t>
        </is>
      </c>
      <c r="B1156" s="1" t="n">
        <v>45470</v>
      </c>
      <c r="C1156" s="1" t="n">
        <v>46075</v>
      </c>
      <c r="D1156" t="inlineStr">
        <is>
          <t>VÄSTERBOTTENS LÄN</t>
        </is>
      </c>
      <c r="E1156" t="inlineStr">
        <is>
          <t>UMEÅ</t>
        </is>
      </c>
      <c r="G1156" t="n">
        <v>4</v>
      </c>
      <c r="H1156" t="n">
        <v>0</v>
      </c>
      <c r="I1156" t="n">
        <v>0</v>
      </c>
      <c r="J1156" t="n">
        <v>1</v>
      </c>
      <c r="K1156" t="n">
        <v>0</v>
      </c>
      <c r="L1156" t="n">
        <v>0</v>
      </c>
      <c r="M1156" t="n">
        <v>0</v>
      </c>
      <c r="N1156" t="n">
        <v>0</v>
      </c>
      <c r="O1156" t="n">
        <v>1</v>
      </c>
      <c r="P1156" t="n">
        <v>0</v>
      </c>
      <c r="Q1156" t="n">
        <v>1</v>
      </c>
      <c r="R1156" s="2" t="inlineStr">
        <is>
          <t>Violettgrå tagellav</t>
        </is>
      </c>
      <c r="S1156">
        <f>HYPERLINK("https://klasma.github.io/Logging_2480/artfynd/A 26932-2024 artfynd.xlsx", "A 26932-2024")</f>
        <v/>
      </c>
      <c r="T1156">
        <f>HYPERLINK("https://klasma.github.io/Logging_2480/kartor/A 26932-2024 karta.png", "A 26932-2024")</f>
        <v/>
      </c>
      <c r="V1156">
        <f>HYPERLINK("https://klasma.github.io/Logging_2480/klagomål/A 26932-2024 FSC-klagomål.docx", "A 26932-2024")</f>
        <v/>
      </c>
      <c r="W1156">
        <f>HYPERLINK("https://klasma.github.io/Logging_2480/klagomålsmail/A 26932-2024 FSC-klagomål mail.docx", "A 26932-2024")</f>
        <v/>
      </c>
      <c r="X1156">
        <f>HYPERLINK("https://klasma.github.io/Logging_2480/tillsyn/A 26932-2024 tillsynsbegäran.docx", "A 26932-2024")</f>
        <v/>
      </c>
      <c r="Y1156">
        <f>HYPERLINK("https://klasma.github.io/Logging_2480/tillsynsmail/A 26932-2024 tillsynsbegäran mail.docx", "A 26932-2024")</f>
        <v/>
      </c>
    </row>
    <row r="1157" ht="15" customHeight="1">
      <c r="A1157" t="inlineStr">
        <is>
          <t>A 23496-2022</t>
        </is>
      </c>
      <c r="B1157" s="1" t="n">
        <v>44721</v>
      </c>
      <c r="C1157" s="1" t="n">
        <v>46075</v>
      </c>
      <c r="D1157" t="inlineStr">
        <is>
          <t>VÄSTERBOTTENS LÄN</t>
        </is>
      </c>
      <c r="E1157" t="inlineStr">
        <is>
          <t>NORDMALING</t>
        </is>
      </c>
      <c r="G1157" t="n">
        <v>0.7</v>
      </c>
      <c r="H1157" t="n">
        <v>1</v>
      </c>
      <c r="I1157" t="n">
        <v>0</v>
      </c>
      <c r="J1157" t="n">
        <v>1</v>
      </c>
      <c r="K1157" t="n">
        <v>0</v>
      </c>
      <c r="L1157" t="n">
        <v>0</v>
      </c>
      <c r="M1157" t="n">
        <v>0</v>
      </c>
      <c r="N1157" t="n">
        <v>0</v>
      </c>
      <c r="O1157" t="n">
        <v>1</v>
      </c>
      <c r="P1157" t="n">
        <v>0</v>
      </c>
      <c r="Q1157" t="n">
        <v>1</v>
      </c>
      <c r="R1157" s="2" t="inlineStr">
        <is>
          <t>Järpe</t>
        </is>
      </c>
      <c r="S1157">
        <f>HYPERLINK("https://klasma.github.io/Logging_2401/artfynd/A 23496-2022 artfynd.xlsx", "A 23496-2022")</f>
        <v/>
      </c>
      <c r="T1157">
        <f>HYPERLINK("https://klasma.github.io/Logging_2401/kartor/A 23496-2022 karta.png", "A 23496-2022")</f>
        <v/>
      </c>
      <c r="V1157">
        <f>HYPERLINK("https://klasma.github.io/Logging_2401/klagomål/A 23496-2022 FSC-klagomål.docx", "A 23496-2022")</f>
        <v/>
      </c>
      <c r="W1157">
        <f>HYPERLINK("https://klasma.github.io/Logging_2401/klagomålsmail/A 23496-2022 FSC-klagomål mail.docx", "A 23496-2022")</f>
        <v/>
      </c>
      <c r="X1157">
        <f>HYPERLINK("https://klasma.github.io/Logging_2401/tillsyn/A 23496-2022 tillsynsbegäran.docx", "A 23496-2022")</f>
        <v/>
      </c>
      <c r="Y1157">
        <f>HYPERLINK("https://klasma.github.io/Logging_2401/tillsynsmail/A 23496-2022 tillsynsbegäran mail.docx", "A 23496-2022")</f>
        <v/>
      </c>
      <c r="Z1157">
        <f>HYPERLINK("https://klasma.github.io/Logging_2401/fåglar/A 23496-2022 prioriterade fågelarter.docx", "A 23496-2022")</f>
        <v/>
      </c>
    </row>
    <row r="1158" ht="15" customHeight="1">
      <c r="A1158" t="inlineStr">
        <is>
          <t>A 33633-2024</t>
        </is>
      </c>
      <c r="B1158" s="1" t="n">
        <v>45520.43246527778</v>
      </c>
      <c r="C1158" s="1" t="n">
        <v>46075</v>
      </c>
      <c r="D1158" t="inlineStr">
        <is>
          <t>VÄSTERBOTTENS LÄN</t>
        </is>
      </c>
      <c r="E1158" t="inlineStr">
        <is>
          <t>LYCKSELE</t>
        </is>
      </c>
      <c r="F1158" t="inlineStr">
        <is>
          <t>Sveaskog</t>
        </is>
      </c>
      <c r="G1158" t="n">
        <v>2</v>
      </c>
      <c r="H1158" t="n">
        <v>0</v>
      </c>
      <c r="I1158" t="n">
        <v>1</v>
      </c>
      <c r="J1158" t="n">
        <v>0</v>
      </c>
      <c r="K1158" t="n">
        <v>0</v>
      </c>
      <c r="L1158" t="n">
        <v>0</v>
      </c>
      <c r="M1158" t="n">
        <v>0</v>
      </c>
      <c r="N1158" t="n">
        <v>0</v>
      </c>
      <c r="O1158" t="n">
        <v>0</v>
      </c>
      <c r="P1158" t="n">
        <v>0</v>
      </c>
      <c r="Q1158" t="n">
        <v>1</v>
      </c>
      <c r="R1158" s="2" t="inlineStr">
        <is>
          <t>Ögonpyrola</t>
        </is>
      </c>
      <c r="S1158">
        <f>HYPERLINK("https://klasma.github.io/Logging_2481/artfynd/A 33633-2024 artfynd.xlsx", "A 33633-2024")</f>
        <v/>
      </c>
      <c r="T1158">
        <f>HYPERLINK("https://klasma.github.io/Logging_2481/kartor/A 33633-2024 karta.png", "A 33633-2024")</f>
        <v/>
      </c>
      <c r="V1158">
        <f>HYPERLINK("https://klasma.github.io/Logging_2481/klagomål/A 33633-2024 FSC-klagomål.docx", "A 33633-2024")</f>
        <v/>
      </c>
      <c r="W1158">
        <f>HYPERLINK("https://klasma.github.io/Logging_2481/klagomålsmail/A 33633-2024 FSC-klagomål mail.docx", "A 33633-2024")</f>
        <v/>
      </c>
      <c r="X1158">
        <f>HYPERLINK("https://klasma.github.io/Logging_2481/tillsyn/A 33633-2024 tillsynsbegäran.docx", "A 33633-2024")</f>
        <v/>
      </c>
      <c r="Y1158">
        <f>HYPERLINK("https://klasma.github.io/Logging_2481/tillsynsmail/A 33633-2024 tillsynsbegäran mail.docx", "A 33633-2024")</f>
        <v/>
      </c>
    </row>
    <row r="1159" ht="15" customHeight="1">
      <c r="A1159" t="inlineStr">
        <is>
          <t>A 13727-2022</t>
        </is>
      </c>
      <c r="B1159" s="1" t="n">
        <v>44648</v>
      </c>
      <c r="C1159" s="1" t="n">
        <v>46075</v>
      </c>
      <c r="D1159" t="inlineStr">
        <is>
          <t>VÄSTERBOTTENS LÄN</t>
        </is>
      </c>
      <c r="E1159" t="inlineStr">
        <is>
          <t>SORSELE</t>
        </is>
      </c>
      <c r="G1159" t="n">
        <v>45.5</v>
      </c>
      <c r="H1159" t="n">
        <v>0</v>
      </c>
      <c r="I1159" t="n">
        <v>0</v>
      </c>
      <c r="J1159" t="n">
        <v>1</v>
      </c>
      <c r="K1159" t="n">
        <v>0</v>
      </c>
      <c r="L1159" t="n">
        <v>0</v>
      </c>
      <c r="M1159" t="n">
        <v>0</v>
      </c>
      <c r="N1159" t="n">
        <v>0</v>
      </c>
      <c r="O1159" t="n">
        <v>1</v>
      </c>
      <c r="P1159" t="n">
        <v>0</v>
      </c>
      <c r="Q1159" t="n">
        <v>1</v>
      </c>
      <c r="R1159" s="2" t="inlineStr">
        <is>
          <t>Knottrig blåslav</t>
        </is>
      </c>
      <c r="S1159">
        <f>HYPERLINK("https://klasma.github.io/Logging_2422/artfynd/A 13727-2022 artfynd.xlsx", "A 13727-2022")</f>
        <v/>
      </c>
      <c r="T1159">
        <f>HYPERLINK("https://klasma.github.io/Logging_2422/kartor/A 13727-2022 karta.png", "A 13727-2022")</f>
        <v/>
      </c>
      <c r="V1159">
        <f>HYPERLINK("https://klasma.github.io/Logging_2422/klagomål/A 13727-2022 FSC-klagomål.docx", "A 13727-2022")</f>
        <v/>
      </c>
      <c r="W1159">
        <f>HYPERLINK("https://klasma.github.io/Logging_2422/klagomålsmail/A 13727-2022 FSC-klagomål mail.docx", "A 13727-2022")</f>
        <v/>
      </c>
      <c r="X1159">
        <f>HYPERLINK("https://klasma.github.io/Logging_2422/tillsyn/A 13727-2022 tillsynsbegäran.docx", "A 13727-2022")</f>
        <v/>
      </c>
      <c r="Y1159">
        <f>HYPERLINK("https://klasma.github.io/Logging_2422/tillsynsmail/A 13727-2022 tillsynsbegäran mail.docx", "A 13727-2022")</f>
        <v/>
      </c>
    </row>
    <row r="1160" ht="15" customHeight="1">
      <c r="A1160" t="inlineStr">
        <is>
          <t>A 28838-2024</t>
        </is>
      </c>
      <c r="B1160" s="1" t="n">
        <v>45478.68777777778</v>
      </c>
      <c r="C1160" s="1" t="n">
        <v>46075</v>
      </c>
      <c r="D1160" t="inlineStr">
        <is>
          <t>VÄSTERBOTTENS LÄN</t>
        </is>
      </c>
      <c r="E1160" t="inlineStr">
        <is>
          <t>LYCKSELE</t>
        </is>
      </c>
      <c r="F1160" t="inlineStr">
        <is>
          <t>Sveaskog</t>
        </is>
      </c>
      <c r="G1160" t="n">
        <v>1.6</v>
      </c>
      <c r="H1160" t="n">
        <v>0</v>
      </c>
      <c r="I1160" t="n">
        <v>0</v>
      </c>
      <c r="J1160" t="n">
        <v>1</v>
      </c>
      <c r="K1160" t="n">
        <v>0</v>
      </c>
      <c r="L1160" t="n">
        <v>0</v>
      </c>
      <c r="M1160" t="n">
        <v>0</v>
      </c>
      <c r="N1160" t="n">
        <v>0</v>
      </c>
      <c r="O1160" t="n">
        <v>1</v>
      </c>
      <c r="P1160" t="n">
        <v>0</v>
      </c>
      <c r="Q1160" t="n">
        <v>1</v>
      </c>
      <c r="R1160" s="2" t="inlineStr">
        <is>
          <t>Kolflarnlav</t>
        </is>
      </c>
      <c r="S1160">
        <f>HYPERLINK("https://klasma.github.io/Logging_2481/artfynd/A 28838-2024 artfynd.xlsx", "A 28838-2024")</f>
        <v/>
      </c>
      <c r="T1160">
        <f>HYPERLINK("https://klasma.github.io/Logging_2481/kartor/A 28838-2024 karta.png", "A 28838-2024")</f>
        <v/>
      </c>
      <c r="V1160">
        <f>HYPERLINK("https://klasma.github.io/Logging_2481/klagomål/A 28838-2024 FSC-klagomål.docx", "A 28838-2024")</f>
        <v/>
      </c>
      <c r="W1160">
        <f>HYPERLINK("https://klasma.github.io/Logging_2481/klagomålsmail/A 28838-2024 FSC-klagomål mail.docx", "A 28838-2024")</f>
        <v/>
      </c>
      <c r="X1160">
        <f>HYPERLINK("https://klasma.github.io/Logging_2481/tillsyn/A 28838-2024 tillsynsbegäran.docx", "A 28838-2024")</f>
        <v/>
      </c>
      <c r="Y1160">
        <f>HYPERLINK("https://klasma.github.io/Logging_2481/tillsynsmail/A 28838-2024 tillsynsbegäran mail.docx", "A 28838-2024")</f>
        <v/>
      </c>
    </row>
    <row r="1161" ht="15" customHeight="1">
      <c r="A1161" t="inlineStr">
        <is>
          <t>A 50826-2024</t>
        </is>
      </c>
      <c r="B1161" s="1" t="n">
        <v>45602</v>
      </c>
      <c r="C1161" s="1" t="n">
        <v>46075</v>
      </c>
      <c r="D1161" t="inlineStr">
        <is>
          <t>VÄSTERBOTTENS LÄN</t>
        </is>
      </c>
      <c r="E1161" t="inlineStr">
        <is>
          <t>LYCKSELE</t>
        </is>
      </c>
      <c r="F1161" t="inlineStr">
        <is>
          <t>Sveaskog</t>
        </is>
      </c>
      <c r="G1161" t="n">
        <v>3.1</v>
      </c>
      <c r="H1161" t="n">
        <v>0</v>
      </c>
      <c r="I1161" t="n">
        <v>1</v>
      </c>
      <c r="J1161" t="n">
        <v>0</v>
      </c>
      <c r="K1161" t="n">
        <v>0</v>
      </c>
      <c r="L1161" t="n">
        <v>0</v>
      </c>
      <c r="M1161" t="n">
        <v>0</v>
      </c>
      <c r="N1161" t="n">
        <v>0</v>
      </c>
      <c r="O1161" t="n">
        <v>0</v>
      </c>
      <c r="P1161" t="n">
        <v>0</v>
      </c>
      <c r="Q1161" t="n">
        <v>1</v>
      </c>
      <c r="R1161" s="2" t="inlineStr">
        <is>
          <t>Dropptaggsvamp</t>
        </is>
      </c>
      <c r="S1161">
        <f>HYPERLINK("https://klasma.github.io/Logging_2481/artfynd/A 50826-2024 artfynd.xlsx", "A 50826-2024")</f>
        <v/>
      </c>
      <c r="T1161">
        <f>HYPERLINK("https://klasma.github.io/Logging_2481/kartor/A 50826-2024 karta.png", "A 50826-2024")</f>
        <v/>
      </c>
      <c r="V1161">
        <f>HYPERLINK("https://klasma.github.io/Logging_2481/klagomål/A 50826-2024 FSC-klagomål.docx", "A 50826-2024")</f>
        <v/>
      </c>
      <c r="W1161">
        <f>HYPERLINK("https://klasma.github.io/Logging_2481/klagomålsmail/A 50826-2024 FSC-klagomål mail.docx", "A 50826-2024")</f>
        <v/>
      </c>
      <c r="X1161">
        <f>HYPERLINK("https://klasma.github.io/Logging_2481/tillsyn/A 50826-2024 tillsynsbegäran.docx", "A 50826-2024")</f>
        <v/>
      </c>
      <c r="Y1161">
        <f>HYPERLINK("https://klasma.github.io/Logging_2481/tillsynsmail/A 50826-2024 tillsynsbegäran mail.docx", "A 50826-2024")</f>
        <v/>
      </c>
    </row>
    <row r="1162" ht="15" customHeight="1">
      <c r="A1162" t="inlineStr">
        <is>
          <t>A 2436-2025</t>
        </is>
      </c>
      <c r="B1162" s="1" t="n">
        <v>45673</v>
      </c>
      <c r="C1162" s="1" t="n">
        <v>46075</v>
      </c>
      <c r="D1162" t="inlineStr">
        <is>
          <t>VÄSTERBOTTENS LÄN</t>
        </is>
      </c>
      <c r="E1162" t="inlineStr">
        <is>
          <t>SKELLEFTEÅ</t>
        </is>
      </c>
      <c r="G1162" t="n">
        <v>5</v>
      </c>
      <c r="H1162" t="n">
        <v>1</v>
      </c>
      <c r="I1162" t="n">
        <v>0</v>
      </c>
      <c r="J1162" t="n">
        <v>1</v>
      </c>
      <c r="K1162" t="n">
        <v>0</v>
      </c>
      <c r="L1162" t="n">
        <v>0</v>
      </c>
      <c r="M1162" t="n">
        <v>0</v>
      </c>
      <c r="N1162" t="n">
        <v>0</v>
      </c>
      <c r="O1162" t="n">
        <v>1</v>
      </c>
      <c r="P1162" t="n">
        <v>0</v>
      </c>
      <c r="Q1162" t="n">
        <v>1</v>
      </c>
      <c r="R1162" s="2" t="inlineStr">
        <is>
          <t>Tretåig hackspett</t>
        </is>
      </c>
      <c r="S1162">
        <f>HYPERLINK("https://klasma.github.io/Logging_2482/artfynd/A 2436-2025 artfynd.xlsx", "A 2436-2025")</f>
        <v/>
      </c>
      <c r="T1162">
        <f>HYPERLINK("https://klasma.github.io/Logging_2482/kartor/A 2436-2025 karta.png", "A 2436-2025")</f>
        <v/>
      </c>
      <c r="V1162">
        <f>HYPERLINK("https://klasma.github.io/Logging_2482/klagomål/A 2436-2025 FSC-klagomål.docx", "A 2436-2025")</f>
        <v/>
      </c>
      <c r="W1162">
        <f>HYPERLINK("https://klasma.github.io/Logging_2482/klagomålsmail/A 2436-2025 FSC-klagomål mail.docx", "A 2436-2025")</f>
        <v/>
      </c>
      <c r="X1162">
        <f>HYPERLINK("https://klasma.github.io/Logging_2482/tillsyn/A 2436-2025 tillsynsbegäran.docx", "A 2436-2025")</f>
        <v/>
      </c>
      <c r="Y1162">
        <f>HYPERLINK("https://klasma.github.io/Logging_2482/tillsynsmail/A 2436-2025 tillsynsbegäran mail.docx", "A 2436-2025")</f>
        <v/>
      </c>
      <c r="Z1162">
        <f>HYPERLINK("https://klasma.github.io/Logging_2482/fåglar/A 2436-2025 prioriterade fågelarter.docx", "A 2436-2025")</f>
        <v/>
      </c>
    </row>
    <row r="1163" ht="15" customHeight="1">
      <c r="A1163" t="inlineStr">
        <is>
          <t>A 32830-2024</t>
        </is>
      </c>
      <c r="B1163" s="1" t="n">
        <v>45516.59490740741</v>
      </c>
      <c r="C1163" s="1" t="n">
        <v>46075</v>
      </c>
      <c r="D1163" t="inlineStr">
        <is>
          <t>VÄSTERBOTTENS LÄN</t>
        </is>
      </c>
      <c r="E1163" t="inlineStr">
        <is>
          <t>VINDELN</t>
        </is>
      </c>
      <c r="F1163" t="inlineStr">
        <is>
          <t>Holmen skog AB</t>
        </is>
      </c>
      <c r="G1163" t="n">
        <v>0.4</v>
      </c>
      <c r="H1163" t="n">
        <v>0</v>
      </c>
      <c r="I1163" t="n">
        <v>0</v>
      </c>
      <c r="J1163" t="n">
        <v>1</v>
      </c>
      <c r="K1163" t="n">
        <v>0</v>
      </c>
      <c r="L1163" t="n">
        <v>0</v>
      </c>
      <c r="M1163" t="n">
        <v>0</v>
      </c>
      <c r="N1163" t="n">
        <v>0</v>
      </c>
      <c r="O1163" t="n">
        <v>1</v>
      </c>
      <c r="P1163" t="n">
        <v>0</v>
      </c>
      <c r="Q1163" t="n">
        <v>1</v>
      </c>
      <c r="R1163" s="2" t="inlineStr">
        <is>
          <t>Ullticka</t>
        </is>
      </c>
      <c r="S1163">
        <f>HYPERLINK("https://klasma.github.io/Logging_2404/artfynd/A 32830-2024 artfynd.xlsx", "A 32830-2024")</f>
        <v/>
      </c>
      <c r="T1163">
        <f>HYPERLINK("https://klasma.github.io/Logging_2404/kartor/A 32830-2024 karta.png", "A 32830-2024")</f>
        <v/>
      </c>
      <c r="V1163">
        <f>HYPERLINK("https://klasma.github.io/Logging_2404/klagomål/A 32830-2024 FSC-klagomål.docx", "A 32830-2024")</f>
        <v/>
      </c>
      <c r="W1163">
        <f>HYPERLINK("https://klasma.github.io/Logging_2404/klagomålsmail/A 32830-2024 FSC-klagomål mail.docx", "A 32830-2024")</f>
        <v/>
      </c>
      <c r="X1163">
        <f>HYPERLINK("https://klasma.github.io/Logging_2404/tillsyn/A 32830-2024 tillsynsbegäran.docx", "A 32830-2024")</f>
        <v/>
      </c>
      <c r="Y1163">
        <f>HYPERLINK("https://klasma.github.io/Logging_2404/tillsynsmail/A 32830-2024 tillsynsbegäran mail.docx", "A 32830-2024")</f>
        <v/>
      </c>
    </row>
    <row r="1164" ht="15" customHeight="1">
      <c r="A1164" t="inlineStr">
        <is>
          <t>A 30266-2023</t>
        </is>
      </c>
      <c r="B1164" s="1" t="n">
        <v>45110</v>
      </c>
      <c r="C1164" s="1" t="n">
        <v>46075</v>
      </c>
      <c r="D1164" t="inlineStr">
        <is>
          <t>VÄSTERBOTTENS LÄN</t>
        </is>
      </c>
      <c r="E1164" t="inlineStr">
        <is>
          <t>UMEÅ</t>
        </is>
      </c>
      <c r="F1164" t="inlineStr">
        <is>
          <t>Holmen skog AB</t>
        </is>
      </c>
      <c r="G1164" t="n">
        <v>4.7</v>
      </c>
      <c r="H1164" t="n">
        <v>0</v>
      </c>
      <c r="I1164" t="n">
        <v>0</v>
      </c>
      <c r="J1164" t="n">
        <v>1</v>
      </c>
      <c r="K1164" t="n">
        <v>0</v>
      </c>
      <c r="L1164" t="n">
        <v>0</v>
      </c>
      <c r="M1164" t="n">
        <v>0</v>
      </c>
      <c r="N1164" t="n">
        <v>0</v>
      </c>
      <c r="O1164" t="n">
        <v>1</v>
      </c>
      <c r="P1164" t="n">
        <v>0</v>
      </c>
      <c r="Q1164" t="n">
        <v>1</v>
      </c>
      <c r="R1164" s="2" t="inlineStr">
        <is>
          <t>Tallticka</t>
        </is>
      </c>
      <c r="S1164">
        <f>HYPERLINK("https://klasma.github.io/Logging_2480/artfynd/A 30266-2023 artfynd.xlsx", "A 30266-2023")</f>
        <v/>
      </c>
      <c r="T1164">
        <f>HYPERLINK("https://klasma.github.io/Logging_2480/kartor/A 30266-2023 karta.png", "A 30266-2023")</f>
        <v/>
      </c>
      <c r="V1164">
        <f>HYPERLINK("https://klasma.github.io/Logging_2480/klagomål/A 30266-2023 FSC-klagomål.docx", "A 30266-2023")</f>
        <v/>
      </c>
      <c r="W1164">
        <f>HYPERLINK("https://klasma.github.io/Logging_2480/klagomålsmail/A 30266-2023 FSC-klagomål mail.docx", "A 30266-2023")</f>
        <v/>
      </c>
      <c r="X1164">
        <f>HYPERLINK("https://klasma.github.io/Logging_2480/tillsyn/A 30266-2023 tillsynsbegäran.docx", "A 30266-2023")</f>
        <v/>
      </c>
      <c r="Y1164">
        <f>HYPERLINK("https://klasma.github.io/Logging_2480/tillsynsmail/A 30266-2023 tillsynsbegäran mail.docx", "A 30266-2023")</f>
        <v/>
      </c>
    </row>
    <row r="1165" ht="15" customHeight="1">
      <c r="A1165" t="inlineStr">
        <is>
          <t>A 55328-2024</t>
        </is>
      </c>
      <c r="B1165" s="1" t="n">
        <v>45621.67853009259</v>
      </c>
      <c r="C1165" s="1" t="n">
        <v>46075</v>
      </c>
      <c r="D1165" t="inlineStr">
        <is>
          <t>VÄSTERBOTTENS LÄN</t>
        </is>
      </c>
      <c r="E1165" t="inlineStr">
        <is>
          <t>NORSJÖ</t>
        </is>
      </c>
      <c r="F1165" t="inlineStr">
        <is>
          <t>Sveaskog</t>
        </is>
      </c>
      <c r="G1165" t="n">
        <v>5.9</v>
      </c>
      <c r="H1165" t="n">
        <v>0</v>
      </c>
      <c r="I1165" t="n">
        <v>0</v>
      </c>
      <c r="J1165" t="n">
        <v>1</v>
      </c>
      <c r="K1165" t="n">
        <v>0</v>
      </c>
      <c r="L1165" t="n">
        <v>0</v>
      </c>
      <c r="M1165" t="n">
        <v>0</v>
      </c>
      <c r="N1165" t="n">
        <v>0</v>
      </c>
      <c r="O1165" t="n">
        <v>1</v>
      </c>
      <c r="P1165" t="n">
        <v>0</v>
      </c>
      <c r="Q1165" t="n">
        <v>1</v>
      </c>
      <c r="R1165" s="2" t="inlineStr">
        <is>
          <t>Blå taggsvamp</t>
        </is>
      </c>
      <c r="S1165">
        <f>HYPERLINK("https://klasma.github.io/Logging_2417/artfynd/A 55328-2024 artfynd.xlsx", "A 55328-2024")</f>
        <v/>
      </c>
      <c r="T1165">
        <f>HYPERLINK("https://klasma.github.io/Logging_2417/kartor/A 55328-2024 karta.png", "A 55328-2024")</f>
        <v/>
      </c>
      <c r="V1165">
        <f>HYPERLINK("https://klasma.github.io/Logging_2417/klagomål/A 55328-2024 FSC-klagomål.docx", "A 55328-2024")</f>
        <v/>
      </c>
      <c r="W1165">
        <f>HYPERLINK("https://klasma.github.io/Logging_2417/klagomålsmail/A 55328-2024 FSC-klagomål mail.docx", "A 55328-2024")</f>
        <v/>
      </c>
      <c r="X1165">
        <f>HYPERLINK("https://klasma.github.io/Logging_2417/tillsyn/A 55328-2024 tillsynsbegäran.docx", "A 55328-2024")</f>
        <v/>
      </c>
      <c r="Y1165">
        <f>HYPERLINK("https://klasma.github.io/Logging_2417/tillsynsmail/A 55328-2024 tillsynsbegäran mail.docx", "A 55328-2024")</f>
        <v/>
      </c>
    </row>
    <row r="1166" ht="15" customHeight="1">
      <c r="A1166" t="inlineStr">
        <is>
          <t>A 43097-2023</t>
        </is>
      </c>
      <c r="B1166" s="1" t="n">
        <v>45182</v>
      </c>
      <c r="C1166" s="1" t="n">
        <v>46075</v>
      </c>
      <c r="D1166" t="inlineStr">
        <is>
          <t>VÄSTERBOTTENS LÄN</t>
        </is>
      </c>
      <c r="E1166" t="inlineStr">
        <is>
          <t>ROBERTSFORS</t>
        </is>
      </c>
      <c r="G1166" t="n">
        <v>3</v>
      </c>
      <c r="H1166" t="n">
        <v>1</v>
      </c>
      <c r="I1166" t="n">
        <v>0</v>
      </c>
      <c r="J1166" t="n">
        <v>1</v>
      </c>
      <c r="K1166" t="n">
        <v>0</v>
      </c>
      <c r="L1166" t="n">
        <v>0</v>
      </c>
      <c r="M1166" t="n">
        <v>0</v>
      </c>
      <c r="N1166" t="n">
        <v>0</v>
      </c>
      <c r="O1166" t="n">
        <v>1</v>
      </c>
      <c r="P1166" t="n">
        <v>0</v>
      </c>
      <c r="Q1166" t="n">
        <v>1</v>
      </c>
      <c r="R1166" s="2" t="inlineStr">
        <is>
          <t>Talltita</t>
        </is>
      </c>
      <c r="S1166">
        <f>HYPERLINK("https://klasma.github.io/Logging_2409/artfynd/A 43097-2023 artfynd.xlsx", "A 43097-2023")</f>
        <v/>
      </c>
      <c r="T1166">
        <f>HYPERLINK("https://klasma.github.io/Logging_2409/kartor/A 43097-2023 karta.png", "A 43097-2023")</f>
        <v/>
      </c>
      <c r="V1166">
        <f>HYPERLINK("https://klasma.github.io/Logging_2409/klagomål/A 43097-2023 FSC-klagomål.docx", "A 43097-2023")</f>
        <v/>
      </c>
      <c r="W1166">
        <f>HYPERLINK("https://klasma.github.io/Logging_2409/klagomålsmail/A 43097-2023 FSC-klagomål mail.docx", "A 43097-2023")</f>
        <v/>
      </c>
      <c r="X1166">
        <f>HYPERLINK("https://klasma.github.io/Logging_2409/tillsyn/A 43097-2023 tillsynsbegäran.docx", "A 43097-2023")</f>
        <v/>
      </c>
      <c r="Y1166">
        <f>HYPERLINK("https://klasma.github.io/Logging_2409/tillsynsmail/A 43097-2023 tillsynsbegäran mail.docx", "A 43097-2023")</f>
        <v/>
      </c>
      <c r="Z1166">
        <f>HYPERLINK("https://klasma.github.io/Logging_2409/fåglar/A 43097-2023 prioriterade fågelarter.docx", "A 43097-2023")</f>
        <v/>
      </c>
    </row>
    <row r="1167" ht="15" customHeight="1">
      <c r="A1167" t="inlineStr">
        <is>
          <t>A 49850-2021</t>
        </is>
      </c>
      <c r="B1167" s="1" t="n">
        <v>44455</v>
      </c>
      <c r="C1167" s="1" t="n">
        <v>46075</v>
      </c>
      <c r="D1167" t="inlineStr">
        <is>
          <t>VÄSTERBOTTENS LÄN</t>
        </is>
      </c>
      <c r="E1167" t="inlineStr">
        <is>
          <t>UMEÅ</t>
        </is>
      </c>
      <c r="G1167" t="n">
        <v>3.8</v>
      </c>
      <c r="H1167" t="n">
        <v>0</v>
      </c>
      <c r="I1167" t="n">
        <v>0</v>
      </c>
      <c r="J1167" t="n">
        <v>1</v>
      </c>
      <c r="K1167" t="n">
        <v>0</v>
      </c>
      <c r="L1167" t="n">
        <v>0</v>
      </c>
      <c r="M1167" t="n">
        <v>0</v>
      </c>
      <c r="N1167" t="n">
        <v>0</v>
      </c>
      <c r="O1167" t="n">
        <v>1</v>
      </c>
      <c r="P1167" t="n">
        <v>0</v>
      </c>
      <c r="Q1167" t="n">
        <v>1</v>
      </c>
      <c r="R1167" s="2" t="inlineStr">
        <is>
          <t>Skogshare</t>
        </is>
      </c>
      <c r="S1167">
        <f>HYPERLINK("https://klasma.github.io/Logging_2480/artfynd/A 49850-2021 artfynd.xlsx", "A 49850-2021")</f>
        <v/>
      </c>
      <c r="T1167">
        <f>HYPERLINK("https://klasma.github.io/Logging_2480/kartor/A 49850-2021 karta.png", "A 49850-2021")</f>
        <v/>
      </c>
      <c r="V1167">
        <f>HYPERLINK("https://klasma.github.io/Logging_2480/klagomål/A 49850-2021 FSC-klagomål.docx", "A 49850-2021")</f>
        <v/>
      </c>
      <c r="W1167">
        <f>HYPERLINK("https://klasma.github.io/Logging_2480/klagomålsmail/A 49850-2021 FSC-klagomål mail.docx", "A 49850-2021")</f>
        <v/>
      </c>
      <c r="X1167">
        <f>HYPERLINK("https://klasma.github.io/Logging_2480/tillsyn/A 49850-2021 tillsynsbegäran.docx", "A 49850-2021")</f>
        <v/>
      </c>
      <c r="Y1167">
        <f>HYPERLINK("https://klasma.github.io/Logging_2480/tillsynsmail/A 49850-2021 tillsynsbegäran mail.docx", "A 49850-2021")</f>
        <v/>
      </c>
    </row>
    <row r="1168" ht="15" customHeight="1">
      <c r="A1168" t="inlineStr">
        <is>
          <t>A 61392-2024</t>
        </is>
      </c>
      <c r="B1168" s="1" t="n">
        <v>45646.42027777778</v>
      </c>
      <c r="C1168" s="1" t="n">
        <v>46075</v>
      </c>
      <c r="D1168" t="inlineStr">
        <is>
          <t>VÄSTERBOTTENS LÄN</t>
        </is>
      </c>
      <c r="E1168" t="inlineStr">
        <is>
          <t>ROBERTSFORS</t>
        </is>
      </c>
      <c r="G1168" t="n">
        <v>1.2</v>
      </c>
      <c r="H1168" t="n">
        <v>0</v>
      </c>
      <c r="I1168" t="n">
        <v>0</v>
      </c>
      <c r="J1168" t="n">
        <v>1</v>
      </c>
      <c r="K1168" t="n">
        <v>0</v>
      </c>
      <c r="L1168" t="n">
        <v>0</v>
      </c>
      <c r="M1168" t="n">
        <v>0</v>
      </c>
      <c r="N1168" t="n">
        <v>0</v>
      </c>
      <c r="O1168" t="n">
        <v>1</v>
      </c>
      <c r="P1168" t="n">
        <v>0</v>
      </c>
      <c r="Q1168" t="n">
        <v>1</v>
      </c>
      <c r="R1168" s="2" t="inlineStr">
        <is>
          <t>Ullticka</t>
        </is>
      </c>
      <c r="S1168">
        <f>HYPERLINK("https://klasma.github.io/Logging_2409/artfynd/A 61392-2024 artfynd.xlsx", "A 61392-2024")</f>
        <v/>
      </c>
      <c r="T1168">
        <f>HYPERLINK("https://klasma.github.io/Logging_2409/kartor/A 61392-2024 karta.png", "A 61392-2024")</f>
        <v/>
      </c>
      <c r="V1168">
        <f>HYPERLINK("https://klasma.github.io/Logging_2409/klagomål/A 61392-2024 FSC-klagomål.docx", "A 61392-2024")</f>
        <v/>
      </c>
      <c r="W1168">
        <f>HYPERLINK("https://klasma.github.io/Logging_2409/klagomålsmail/A 61392-2024 FSC-klagomål mail.docx", "A 61392-2024")</f>
        <v/>
      </c>
      <c r="X1168">
        <f>HYPERLINK("https://klasma.github.io/Logging_2409/tillsyn/A 61392-2024 tillsynsbegäran.docx", "A 61392-2024")</f>
        <v/>
      </c>
      <c r="Y1168">
        <f>HYPERLINK("https://klasma.github.io/Logging_2409/tillsynsmail/A 61392-2024 tillsynsbegäran mail.docx", "A 61392-2024")</f>
        <v/>
      </c>
    </row>
    <row r="1169" ht="15" customHeight="1">
      <c r="A1169" t="inlineStr">
        <is>
          <t>A 65146-2021</t>
        </is>
      </c>
      <c r="B1169" s="1" t="n">
        <v>44515</v>
      </c>
      <c r="C1169" s="1" t="n">
        <v>46075</v>
      </c>
      <c r="D1169" t="inlineStr">
        <is>
          <t>VÄSTERBOTTENS LÄN</t>
        </is>
      </c>
      <c r="E1169" t="inlineStr">
        <is>
          <t>VILHELMINA</t>
        </is>
      </c>
      <c r="G1169" t="n">
        <v>7.4</v>
      </c>
      <c r="H1169" t="n">
        <v>0</v>
      </c>
      <c r="I1169" t="n">
        <v>0</v>
      </c>
      <c r="J1169" t="n">
        <v>1</v>
      </c>
      <c r="K1169" t="n">
        <v>0</v>
      </c>
      <c r="L1169" t="n">
        <v>0</v>
      </c>
      <c r="M1169" t="n">
        <v>0</v>
      </c>
      <c r="N1169" t="n">
        <v>0</v>
      </c>
      <c r="O1169" t="n">
        <v>1</v>
      </c>
      <c r="P1169" t="n">
        <v>0</v>
      </c>
      <c r="Q1169" t="n">
        <v>1</v>
      </c>
      <c r="R1169" s="2" t="inlineStr">
        <is>
          <t>Granticka</t>
        </is>
      </c>
      <c r="S1169">
        <f>HYPERLINK("https://klasma.github.io/Logging_2462/artfynd/A 65146-2021 artfynd.xlsx", "A 65146-2021")</f>
        <v/>
      </c>
      <c r="T1169">
        <f>HYPERLINK("https://klasma.github.io/Logging_2462/kartor/A 65146-2021 karta.png", "A 65146-2021")</f>
        <v/>
      </c>
      <c r="V1169">
        <f>HYPERLINK("https://klasma.github.io/Logging_2462/klagomål/A 65146-2021 FSC-klagomål.docx", "A 65146-2021")</f>
        <v/>
      </c>
      <c r="W1169">
        <f>HYPERLINK("https://klasma.github.io/Logging_2462/klagomålsmail/A 65146-2021 FSC-klagomål mail.docx", "A 65146-2021")</f>
        <v/>
      </c>
      <c r="X1169">
        <f>HYPERLINK("https://klasma.github.io/Logging_2462/tillsyn/A 65146-2021 tillsynsbegäran.docx", "A 65146-2021")</f>
        <v/>
      </c>
      <c r="Y1169">
        <f>HYPERLINK("https://klasma.github.io/Logging_2462/tillsynsmail/A 65146-2021 tillsynsbegäran mail.docx", "A 65146-2021")</f>
        <v/>
      </c>
    </row>
    <row r="1170" ht="15" customHeight="1">
      <c r="A1170" t="inlineStr">
        <is>
          <t>A 29376-2021</t>
        </is>
      </c>
      <c r="B1170" s="1" t="n">
        <v>44361</v>
      </c>
      <c r="C1170" s="1" t="n">
        <v>46075</v>
      </c>
      <c r="D1170" t="inlineStr">
        <is>
          <t>VÄSTERBOTTENS LÄN</t>
        </is>
      </c>
      <c r="E1170" t="inlineStr">
        <is>
          <t>VILHELMINA</t>
        </is>
      </c>
      <c r="F1170" t="inlineStr">
        <is>
          <t>Allmännings- och besparingsskogar</t>
        </is>
      </c>
      <c r="G1170" t="n">
        <v>110.8</v>
      </c>
      <c r="H1170" t="n">
        <v>1</v>
      </c>
      <c r="I1170" t="n">
        <v>0</v>
      </c>
      <c r="J1170" t="n">
        <v>0</v>
      </c>
      <c r="K1170" t="n">
        <v>0</v>
      </c>
      <c r="L1170" t="n">
        <v>0</v>
      </c>
      <c r="M1170" t="n">
        <v>0</v>
      </c>
      <c r="N1170" t="n">
        <v>0</v>
      </c>
      <c r="O1170" t="n">
        <v>0</v>
      </c>
      <c r="P1170" t="n">
        <v>0</v>
      </c>
      <c r="Q1170" t="n">
        <v>1</v>
      </c>
      <c r="R1170" s="2" t="inlineStr">
        <is>
          <t>Lavskrika</t>
        </is>
      </c>
      <c r="S1170">
        <f>HYPERLINK("https://klasma.github.io/Logging_2462/artfynd/A 29376-2021 artfynd.xlsx", "A 29376-2021")</f>
        <v/>
      </c>
      <c r="T1170">
        <f>HYPERLINK("https://klasma.github.io/Logging_2462/kartor/A 29376-2021 karta.png", "A 29376-2021")</f>
        <v/>
      </c>
      <c r="V1170">
        <f>HYPERLINK("https://klasma.github.io/Logging_2462/klagomål/A 29376-2021 FSC-klagomål.docx", "A 29376-2021")</f>
        <v/>
      </c>
      <c r="W1170">
        <f>HYPERLINK("https://klasma.github.io/Logging_2462/klagomålsmail/A 29376-2021 FSC-klagomål mail.docx", "A 29376-2021")</f>
        <v/>
      </c>
      <c r="X1170">
        <f>HYPERLINK("https://klasma.github.io/Logging_2462/tillsyn/A 29376-2021 tillsynsbegäran.docx", "A 29376-2021")</f>
        <v/>
      </c>
      <c r="Y1170">
        <f>HYPERLINK("https://klasma.github.io/Logging_2462/tillsynsmail/A 29376-2021 tillsynsbegäran mail.docx", "A 29376-2021")</f>
        <v/>
      </c>
      <c r="Z1170">
        <f>HYPERLINK("https://klasma.github.io/Logging_2462/fåglar/A 29376-2021 prioriterade fågelarter.docx", "A 29376-2021")</f>
        <v/>
      </c>
    </row>
    <row r="1171" ht="15" customHeight="1">
      <c r="A1171" t="inlineStr">
        <is>
          <t>A 26857-2024</t>
        </is>
      </c>
      <c r="B1171" s="1" t="n">
        <v>45470</v>
      </c>
      <c r="C1171" s="1" t="n">
        <v>46075</v>
      </c>
      <c r="D1171" t="inlineStr">
        <is>
          <t>VÄSTERBOTTENS LÄN</t>
        </is>
      </c>
      <c r="E1171" t="inlineStr">
        <is>
          <t>LYCKSELE</t>
        </is>
      </c>
      <c r="F1171" t="inlineStr">
        <is>
          <t>Sveaskog</t>
        </is>
      </c>
      <c r="G1171" t="n">
        <v>24.2</v>
      </c>
      <c r="H1171" t="n">
        <v>0</v>
      </c>
      <c r="I1171" t="n">
        <v>0</v>
      </c>
      <c r="J1171" t="n">
        <v>1</v>
      </c>
      <c r="K1171" t="n">
        <v>0</v>
      </c>
      <c r="L1171" t="n">
        <v>0</v>
      </c>
      <c r="M1171" t="n">
        <v>0</v>
      </c>
      <c r="N1171" t="n">
        <v>0</v>
      </c>
      <c r="O1171" t="n">
        <v>1</v>
      </c>
      <c r="P1171" t="n">
        <v>0</v>
      </c>
      <c r="Q1171" t="n">
        <v>1</v>
      </c>
      <c r="R1171" s="2" t="inlineStr">
        <is>
          <t>Kolflarnlav</t>
        </is>
      </c>
      <c r="S1171">
        <f>HYPERLINK("https://klasma.github.io/Logging_2481/artfynd/A 26857-2024 artfynd.xlsx", "A 26857-2024")</f>
        <v/>
      </c>
      <c r="T1171">
        <f>HYPERLINK("https://klasma.github.io/Logging_2481/kartor/A 26857-2024 karta.png", "A 26857-2024")</f>
        <v/>
      </c>
      <c r="V1171">
        <f>HYPERLINK("https://klasma.github.io/Logging_2481/klagomål/A 26857-2024 FSC-klagomål.docx", "A 26857-2024")</f>
        <v/>
      </c>
      <c r="W1171">
        <f>HYPERLINK("https://klasma.github.io/Logging_2481/klagomålsmail/A 26857-2024 FSC-klagomål mail.docx", "A 26857-2024")</f>
        <v/>
      </c>
      <c r="X1171">
        <f>HYPERLINK("https://klasma.github.io/Logging_2481/tillsyn/A 26857-2024 tillsynsbegäran.docx", "A 26857-2024")</f>
        <v/>
      </c>
      <c r="Y1171">
        <f>HYPERLINK("https://klasma.github.io/Logging_2481/tillsynsmail/A 26857-2024 tillsynsbegäran mail.docx", "A 26857-2024")</f>
        <v/>
      </c>
    </row>
    <row r="1172" ht="15" customHeight="1">
      <c r="A1172" t="inlineStr">
        <is>
          <t>A 43550-2024</t>
        </is>
      </c>
      <c r="B1172" s="1" t="n">
        <v>45569.38002314815</v>
      </c>
      <c r="C1172" s="1" t="n">
        <v>46075</v>
      </c>
      <c r="D1172" t="inlineStr">
        <is>
          <t>VÄSTERBOTTENS LÄN</t>
        </is>
      </c>
      <c r="E1172" t="inlineStr">
        <is>
          <t>UMEÅ</t>
        </is>
      </c>
      <c r="F1172" t="inlineStr">
        <is>
          <t>Kommuner</t>
        </is>
      </c>
      <c r="G1172" t="n">
        <v>3.9</v>
      </c>
      <c r="H1172" t="n">
        <v>0</v>
      </c>
      <c r="I1172" t="n">
        <v>1</v>
      </c>
      <c r="J1172" t="n">
        <v>0</v>
      </c>
      <c r="K1172" t="n">
        <v>0</v>
      </c>
      <c r="L1172" t="n">
        <v>0</v>
      </c>
      <c r="M1172" t="n">
        <v>0</v>
      </c>
      <c r="N1172" t="n">
        <v>0</v>
      </c>
      <c r="O1172" t="n">
        <v>0</v>
      </c>
      <c r="P1172" t="n">
        <v>0</v>
      </c>
      <c r="Q1172" t="n">
        <v>1</v>
      </c>
      <c r="R1172" s="2" t="inlineStr">
        <is>
          <t>Rävticka</t>
        </is>
      </c>
      <c r="S1172">
        <f>HYPERLINK("https://klasma.github.io/Logging_2480/artfynd/A 43550-2024 artfynd.xlsx", "A 43550-2024")</f>
        <v/>
      </c>
      <c r="T1172">
        <f>HYPERLINK("https://klasma.github.io/Logging_2480/kartor/A 43550-2024 karta.png", "A 43550-2024")</f>
        <v/>
      </c>
      <c r="V1172">
        <f>HYPERLINK("https://klasma.github.io/Logging_2480/klagomål/A 43550-2024 FSC-klagomål.docx", "A 43550-2024")</f>
        <v/>
      </c>
      <c r="W1172">
        <f>HYPERLINK("https://klasma.github.io/Logging_2480/klagomålsmail/A 43550-2024 FSC-klagomål mail.docx", "A 43550-2024")</f>
        <v/>
      </c>
      <c r="X1172">
        <f>HYPERLINK("https://klasma.github.io/Logging_2480/tillsyn/A 43550-2024 tillsynsbegäran.docx", "A 43550-2024")</f>
        <v/>
      </c>
      <c r="Y1172">
        <f>HYPERLINK("https://klasma.github.io/Logging_2480/tillsynsmail/A 43550-2024 tillsynsbegäran mail.docx", "A 43550-2024")</f>
        <v/>
      </c>
    </row>
    <row r="1173" ht="15" customHeight="1">
      <c r="A1173" t="inlineStr">
        <is>
          <t>A 43519-2022</t>
        </is>
      </c>
      <c r="B1173" s="1" t="n">
        <v>44837</v>
      </c>
      <c r="C1173" s="1" t="n">
        <v>46075</v>
      </c>
      <c r="D1173" t="inlineStr">
        <is>
          <t>VÄSTERBOTTENS LÄN</t>
        </is>
      </c>
      <c r="E1173" t="inlineStr">
        <is>
          <t>UMEÅ</t>
        </is>
      </c>
      <c r="G1173" t="n">
        <v>4.2</v>
      </c>
      <c r="H1173" t="n">
        <v>0</v>
      </c>
      <c r="I1173" t="n">
        <v>0</v>
      </c>
      <c r="J1173" t="n">
        <v>1</v>
      </c>
      <c r="K1173" t="n">
        <v>0</v>
      </c>
      <c r="L1173" t="n">
        <v>0</v>
      </c>
      <c r="M1173" t="n">
        <v>0</v>
      </c>
      <c r="N1173" t="n">
        <v>0</v>
      </c>
      <c r="O1173" t="n">
        <v>1</v>
      </c>
      <c r="P1173" t="n">
        <v>0</v>
      </c>
      <c r="Q1173" t="n">
        <v>1</v>
      </c>
      <c r="R1173" s="2" t="inlineStr">
        <is>
          <t>Skogshare</t>
        </is>
      </c>
      <c r="S1173">
        <f>HYPERLINK("https://klasma.github.io/Logging_2480/artfynd/A 43519-2022 artfynd.xlsx", "A 43519-2022")</f>
        <v/>
      </c>
      <c r="T1173">
        <f>HYPERLINK("https://klasma.github.io/Logging_2480/kartor/A 43519-2022 karta.png", "A 43519-2022")</f>
        <v/>
      </c>
      <c r="V1173">
        <f>HYPERLINK("https://klasma.github.io/Logging_2480/klagomål/A 43519-2022 FSC-klagomål.docx", "A 43519-2022")</f>
        <v/>
      </c>
      <c r="W1173">
        <f>HYPERLINK("https://klasma.github.io/Logging_2480/klagomålsmail/A 43519-2022 FSC-klagomål mail.docx", "A 43519-2022")</f>
        <v/>
      </c>
      <c r="X1173">
        <f>HYPERLINK("https://klasma.github.io/Logging_2480/tillsyn/A 43519-2022 tillsynsbegäran.docx", "A 43519-2022")</f>
        <v/>
      </c>
      <c r="Y1173">
        <f>HYPERLINK("https://klasma.github.io/Logging_2480/tillsynsmail/A 43519-2022 tillsynsbegäran mail.docx", "A 43519-2022")</f>
        <v/>
      </c>
    </row>
    <row r="1174" ht="15" customHeight="1">
      <c r="A1174" t="inlineStr">
        <is>
          <t>A 32566-2023</t>
        </is>
      </c>
      <c r="B1174" s="1" t="n">
        <v>45121</v>
      </c>
      <c r="C1174" s="1" t="n">
        <v>46075</v>
      </c>
      <c r="D1174" t="inlineStr">
        <is>
          <t>VÄSTERBOTTENS LÄN</t>
        </is>
      </c>
      <c r="E1174" t="inlineStr">
        <is>
          <t>SKELLEFTEÅ</t>
        </is>
      </c>
      <c r="F1174" t="inlineStr">
        <is>
          <t>Holmen skog AB</t>
        </is>
      </c>
      <c r="G1174" t="n">
        <v>13</v>
      </c>
      <c r="H1174" t="n">
        <v>1</v>
      </c>
      <c r="I1174" t="n">
        <v>0</v>
      </c>
      <c r="J1174" t="n">
        <v>0</v>
      </c>
      <c r="K1174" t="n">
        <v>0</v>
      </c>
      <c r="L1174" t="n">
        <v>0</v>
      </c>
      <c r="M1174" t="n">
        <v>0</v>
      </c>
      <c r="N1174" t="n">
        <v>0</v>
      </c>
      <c r="O1174" t="n">
        <v>0</v>
      </c>
      <c r="P1174" t="n">
        <v>0</v>
      </c>
      <c r="Q1174" t="n">
        <v>1</v>
      </c>
      <c r="R1174" s="2" t="inlineStr">
        <is>
          <t>Revlummer</t>
        </is>
      </c>
      <c r="S1174">
        <f>HYPERLINK("https://klasma.github.io/Logging_2482/artfynd/A 32566-2023 artfynd.xlsx", "A 32566-2023")</f>
        <v/>
      </c>
      <c r="T1174">
        <f>HYPERLINK("https://klasma.github.io/Logging_2482/kartor/A 32566-2023 karta.png", "A 32566-2023")</f>
        <v/>
      </c>
      <c r="V1174">
        <f>HYPERLINK("https://klasma.github.io/Logging_2482/klagomål/A 32566-2023 FSC-klagomål.docx", "A 32566-2023")</f>
        <v/>
      </c>
      <c r="W1174">
        <f>HYPERLINK("https://klasma.github.io/Logging_2482/klagomålsmail/A 32566-2023 FSC-klagomål mail.docx", "A 32566-2023")</f>
        <v/>
      </c>
      <c r="X1174">
        <f>HYPERLINK("https://klasma.github.io/Logging_2482/tillsyn/A 32566-2023 tillsynsbegäran.docx", "A 32566-2023")</f>
        <v/>
      </c>
      <c r="Y1174">
        <f>HYPERLINK("https://klasma.github.io/Logging_2482/tillsynsmail/A 32566-2023 tillsynsbegäran mail.docx", "A 32566-2023")</f>
        <v/>
      </c>
    </row>
    <row r="1175" ht="15" customHeight="1">
      <c r="A1175" t="inlineStr">
        <is>
          <t>A 46815-2023</t>
        </is>
      </c>
      <c r="B1175" s="1" t="n">
        <v>45198</v>
      </c>
      <c r="C1175" s="1" t="n">
        <v>46075</v>
      </c>
      <c r="D1175" t="inlineStr">
        <is>
          <t>VÄSTERBOTTENS LÄN</t>
        </is>
      </c>
      <c r="E1175" t="inlineStr">
        <is>
          <t>DOROTEA</t>
        </is>
      </c>
      <c r="F1175" t="inlineStr">
        <is>
          <t>SCA</t>
        </is>
      </c>
      <c r="G1175" t="n">
        <v>3.7</v>
      </c>
      <c r="H1175" t="n">
        <v>0</v>
      </c>
      <c r="I1175" t="n">
        <v>0</v>
      </c>
      <c r="J1175" t="n">
        <v>1</v>
      </c>
      <c r="K1175" t="n">
        <v>0</v>
      </c>
      <c r="L1175" t="n">
        <v>0</v>
      </c>
      <c r="M1175" t="n">
        <v>0</v>
      </c>
      <c r="N1175" t="n">
        <v>0</v>
      </c>
      <c r="O1175" t="n">
        <v>1</v>
      </c>
      <c r="P1175" t="n">
        <v>0</v>
      </c>
      <c r="Q1175" t="n">
        <v>1</v>
      </c>
      <c r="R1175" s="2" t="inlineStr">
        <is>
          <t>Harticka</t>
        </is>
      </c>
      <c r="S1175">
        <f>HYPERLINK("https://klasma.github.io/Logging_2425/artfynd/A 46815-2023 artfynd.xlsx", "A 46815-2023")</f>
        <v/>
      </c>
      <c r="T1175">
        <f>HYPERLINK("https://klasma.github.io/Logging_2425/kartor/A 46815-2023 karta.png", "A 46815-2023")</f>
        <v/>
      </c>
      <c r="V1175">
        <f>HYPERLINK("https://klasma.github.io/Logging_2425/klagomål/A 46815-2023 FSC-klagomål.docx", "A 46815-2023")</f>
        <v/>
      </c>
      <c r="W1175">
        <f>HYPERLINK("https://klasma.github.io/Logging_2425/klagomålsmail/A 46815-2023 FSC-klagomål mail.docx", "A 46815-2023")</f>
        <v/>
      </c>
      <c r="X1175">
        <f>HYPERLINK("https://klasma.github.io/Logging_2425/tillsyn/A 46815-2023 tillsynsbegäran.docx", "A 46815-2023")</f>
        <v/>
      </c>
      <c r="Y1175">
        <f>HYPERLINK("https://klasma.github.io/Logging_2425/tillsynsmail/A 46815-2023 tillsynsbegäran mail.docx", "A 46815-2023")</f>
        <v/>
      </c>
    </row>
    <row r="1176" ht="15" customHeight="1">
      <c r="A1176" t="inlineStr">
        <is>
          <t>A 20940-2025</t>
        </is>
      </c>
      <c r="B1176" s="1" t="n">
        <v>45777.4309375</v>
      </c>
      <c r="C1176" s="1" t="n">
        <v>46075</v>
      </c>
      <c r="D1176" t="inlineStr">
        <is>
          <t>VÄSTERBOTTENS LÄN</t>
        </is>
      </c>
      <c r="E1176" t="inlineStr">
        <is>
          <t>LYCKSELE</t>
        </is>
      </c>
      <c r="F1176" t="inlineStr">
        <is>
          <t>Sveaskog</t>
        </is>
      </c>
      <c r="G1176" t="n">
        <v>3</v>
      </c>
      <c r="H1176" t="n">
        <v>0</v>
      </c>
      <c r="I1176" t="n">
        <v>1</v>
      </c>
      <c r="J1176" t="n">
        <v>0</v>
      </c>
      <c r="K1176" t="n">
        <v>0</v>
      </c>
      <c r="L1176" t="n">
        <v>0</v>
      </c>
      <c r="M1176" t="n">
        <v>0</v>
      </c>
      <c r="N1176" t="n">
        <v>0</v>
      </c>
      <c r="O1176" t="n">
        <v>0</v>
      </c>
      <c r="P1176" t="n">
        <v>0</v>
      </c>
      <c r="Q1176" t="n">
        <v>1</v>
      </c>
      <c r="R1176" s="2" t="inlineStr">
        <is>
          <t>Dropptaggsvamp</t>
        </is>
      </c>
      <c r="S1176">
        <f>HYPERLINK("https://klasma.github.io/Logging_2481/artfynd/A 20940-2025 artfynd.xlsx", "A 20940-2025")</f>
        <v/>
      </c>
      <c r="T1176">
        <f>HYPERLINK("https://klasma.github.io/Logging_2481/kartor/A 20940-2025 karta.png", "A 20940-2025")</f>
        <v/>
      </c>
      <c r="V1176">
        <f>HYPERLINK("https://klasma.github.io/Logging_2481/klagomål/A 20940-2025 FSC-klagomål.docx", "A 20940-2025")</f>
        <v/>
      </c>
      <c r="W1176">
        <f>HYPERLINK("https://klasma.github.io/Logging_2481/klagomålsmail/A 20940-2025 FSC-klagomål mail.docx", "A 20940-2025")</f>
        <v/>
      </c>
      <c r="X1176">
        <f>HYPERLINK("https://klasma.github.io/Logging_2481/tillsyn/A 20940-2025 tillsynsbegäran.docx", "A 20940-2025")</f>
        <v/>
      </c>
      <c r="Y1176">
        <f>HYPERLINK("https://klasma.github.io/Logging_2481/tillsynsmail/A 20940-2025 tillsynsbegäran mail.docx", "A 20940-2025")</f>
        <v/>
      </c>
    </row>
    <row r="1177" ht="15" customHeight="1">
      <c r="A1177" t="inlineStr">
        <is>
          <t>A 20929-2025</t>
        </is>
      </c>
      <c r="B1177" s="1" t="n">
        <v>45777.42574074074</v>
      </c>
      <c r="C1177" s="1" t="n">
        <v>46075</v>
      </c>
      <c r="D1177" t="inlineStr">
        <is>
          <t>VÄSTERBOTTENS LÄN</t>
        </is>
      </c>
      <c r="E1177" t="inlineStr">
        <is>
          <t>LYCKSELE</t>
        </is>
      </c>
      <c r="F1177" t="inlineStr">
        <is>
          <t>Sveaskog</t>
        </is>
      </c>
      <c r="G1177" t="n">
        <v>3</v>
      </c>
      <c r="H1177" t="n">
        <v>0</v>
      </c>
      <c r="I1177" t="n">
        <v>1</v>
      </c>
      <c r="J1177" t="n">
        <v>0</v>
      </c>
      <c r="K1177" t="n">
        <v>0</v>
      </c>
      <c r="L1177" t="n">
        <v>0</v>
      </c>
      <c r="M1177" t="n">
        <v>0</v>
      </c>
      <c r="N1177" t="n">
        <v>0</v>
      </c>
      <c r="O1177" t="n">
        <v>0</v>
      </c>
      <c r="P1177" t="n">
        <v>0</v>
      </c>
      <c r="Q1177" t="n">
        <v>1</v>
      </c>
      <c r="R1177" s="2" t="inlineStr">
        <is>
          <t>Dropptaggsvamp</t>
        </is>
      </c>
      <c r="S1177">
        <f>HYPERLINK("https://klasma.github.io/Logging_2481/artfynd/A 20929-2025 artfynd.xlsx", "A 20929-2025")</f>
        <v/>
      </c>
      <c r="T1177">
        <f>HYPERLINK("https://klasma.github.io/Logging_2481/kartor/A 20929-2025 karta.png", "A 20929-2025")</f>
        <v/>
      </c>
      <c r="V1177">
        <f>HYPERLINK("https://klasma.github.io/Logging_2481/klagomål/A 20929-2025 FSC-klagomål.docx", "A 20929-2025")</f>
        <v/>
      </c>
      <c r="W1177">
        <f>HYPERLINK("https://klasma.github.io/Logging_2481/klagomålsmail/A 20929-2025 FSC-klagomål mail.docx", "A 20929-2025")</f>
        <v/>
      </c>
      <c r="X1177">
        <f>HYPERLINK("https://klasma.github.io/Logging_2481/tillsyn/A 20929-2025 tillsynsbegäran.docx", "A 20929-2025")</f>
        <v/>
      </c>
      <c r="Y1177">
        <f>HYPERLINK("https://klasma.github.io/Logging_2481/tillsynsmail/A 20929-2025 tillsynsbegäran mail.docx", "A 20929-2025")</f>
        <v/>
      </c>
    </row>
    <row r="1178" ht="15" customHeight="1">
      <c r="A1178" t="inlineStr">
        <is>
          <t>A 56135-2024</t>
        </is>
      </c>
      <c r="B1178" s="1" t="n">
        <v>45624</v>
      </c>
      <c r="C1178" s="1" t="n">
        <v>46075</v>
      </c>
      <c r="D1178" t="inlineStr">
        <is>
          <t>VÄSTERBOTTENS LÄN</t>
        </is>
      </c>
      <c r="E1178" t="inlineStr">
        <is>
          <t>UMEÅ</t>
        </is>
      </c>
      <c r="G1178" t="n">
        <v>19.9</v>
      </c>
      <c r="H1178" t="n">
        <v>0</v>
      </c>
      <c r="I1178" t="n">
        <v>0</v>
      </c>
      <c r="J1178" t="n">
        <v>1</v>
      </c>
      <c r="K1178" t="n">
        <v>0</v>
      </c>
      <c r="L1178" t="n">
        <v>0</v>
      </c>
      <c r="M1178" t="n">
        <v>0</v>
      </c>
      <c r="N1178" t="n">
        <v>0</v>
      </c>
      <c r="O1178" t="n">
        <v>1</v>
      </c>
      <c r="P1178" t="n">
        <v>0</v>
      </c>
      <c r="Q1178" t="n">
        <v>1</v>
      </c>
      <c r="R1178" s="2" t="inlineStr">
        <is>
          <t>Violettgrå tagellav</t>
        </is>
      </c>
      <c r="S1178">
        <f>HYPERLINK("https://klasma.github.io/Logging_2480/artfynd/A 56135-2024 artfynd.xlsx", "A 56135-2024")</f>
        <v/>
      </c>
      <c r="T1178">
        <f>HYPERLINK("https://klasma.github.io/Logging_2480/kartor/A 56135-2024 karta.png", "A 56135-2024")</f>
        <v/>
      </c>
      <c r="V1178">
        <f>HYPERLINK("https://klasma.github.io/Logging_2480/klagomål/A 56135-2024 FSC-klagomål.docx", "A 56135-2024")</f>
        <v/>
      </c>
      <c r="W1178">
        <f>HYPERLINK("https://klasma.github.io/Logging_2480/klagomålsmail/A 56135-2024 FSC-klagomål mail.docx", "A 56135-2024")</f>
        <v/>
      </c>
      <c r="X1178">
        <f>HYPERLINK("https://klasma.github.io/Logging_2480/tillsyn/A 56135-2024 tillsynsbegäran.docx", "A 56135-2024")</f>
        <v/>
      </c>
      <c r="Y1178">
        <f>HYPERLINK("https://klasma.github.io/Logging_2480/tillsynsmail/A 56135-2024 tillsynsbegäran mail.docx", "A 56135-2024")</f>
        <v/>
      </c>
    </row>
    <row r="1179" ht="15" customHeight="1">
      <c r="A1179" t="inlineStr">
        <is>
          <t>A 496-2024</t>
        </is>
      </c>
      <c r="B1179" s="1" t="n">
        <v>45299</v>
      </c>
      <c r="C1179" s="1" t="n">
        <v>46075</v>
      </c>
      <c r="D1179" t="inlineStr">
        <is>
          <t>VÄSTERBOTTENS LÄN</t>
        </is>
      </c>
      <c r="E1179" t="inlineStr">
        <is>
          <t>LYCKSELE</t>
        </is>
      </c>
      <c r="G1179" t="n">
        <v>5.2</v>
      </c>
      <c r="H1179" t="n">
        <v>1</v>
      </c>
      <c r="I1179" t="n">
        <v>0</v>
      </c>
      <c r="J1179" t="n">
        <v>1</v>
      </c>
      <c r="K1179" t="n">
        <v>0</v>
      </c>
      <c r="L1179" t="n">
        <v>0</v>
      </c>
      <c r="M1179" t="n">
        <v>0</v>
      </c>
      <c r="N1179" t="n">
        <v>0</v>
      </c>
      <c r="O1179" t="n">
        <v>1</v>
      </c>
      <c r="P1179" t="n">
        <v>0</v>
      </c>
      <c r="Q1179" t="n">
        <v>1</v>
      </c>
      <c r="R1179" s="2" t="inlineStr">
        <is>
          <t>Tretåig hackspett</t>
        </is>
      </c>
      <c r="S1179">
        <f>HYPERLINK("https://klasma.github.io/Logging_2481/artfynd/A 496-2024 artfynd.xlsx", "A 496-2024")</f>
        <v/>
      </c>
      <c r="T1179">
        <f>HYPERLINK("https://klasma.github.io/Logging_2481/kartor/A 496-2024 karta.png", "A 496-2024")</f>
        <v/>
      </c>
      <c r="V1179">
        <f>HYPERLINK("https://klasma.github.io/Logging_2481/klagomål/A 496-2024 FSC-klagomål.docx", "A 496-2024")</f>
        <v/>
      </c>
      <c r="W1179">
        <f>HYPERLINK("https://klasma.github.io/Logging_2481/klagomålsmail/A 496-2024 FSC-klagomål mail.docx", "A 496-2024")</f>
        <v/>
      </c>
      <c r="X1179">
        <f>HYPERLINK("https://klasma.github.io/Logging_2481/tillsyn/A 496-2024 tillsynsbegäran.docx", "A 496-2024")</f>
        <v/>
      </c>
      <c r="Y1179">
        <f>HYPERLINK("https://klasma.github.io/Logging_2481/tillsynsmail/A 496-2024 tillsynsbegäran mail.docx", "A 496-2024")</f>
        <v/>
      </c>
      <c r="Z1179">
        <f>HYPERLINK("https://klasma.github.io/Logging_2481/fåglar/A 496-2024 prioriterade fågelarter.docx", "A 496-2024")</f>
        <v/>
      </c>
    </row>
    <row r="1180" ht="15" customHeight="1">
      <c r="A1180" t="inlineStr">
        <is>
          <t>A 22373-2025</t>
        </is>
      </c>
      <c r="B1180" s="1" t="n">
        <v>45786.47950231482</v>
      </c>
      <c r="C1180" s="1" t="n">
        <v>46075</v>
      </c>
      <c r="D1180" t="inlineStr">
        <is>
          <t>VÄSTERBOTTENS LÄN</t>
        </is>
      </c>
      <c r="E1180" t="inlineStr">
        <is>
          <t>LYCKSELE</t>
        </is>
      </c>
      <c r="F1180" t="inlineStr">
        <is>
          <t>Holmen skog AB</t>
        </is>
      </c>
      <c r="G1180" t="n">
        <v>5</v>
      </c>
      <c r="H1180" t="n">
        <v>0</v>
      </c>
      <c r="I1180" t="n">
        <v>0</v>
      </c>
      <c r="J1180" t="n">
        <v>1</v>
      </c>
      <c r="K1180" t="n">
        <v>0</v>
      </c>
      <c r="L1180" t="n">
        <v>0</v>
      </c>
      <c r="M1180" t="n">
        <v>0</v>
      </c>
      <c r="N1180" t="n">
        <v>0</v>
      </c>
      <c r="O1180" t="n">
        <v>1</v>
      </c>
      <c r="P1180" t="n">
        <v>0</v>
      </c>
      <c r="Q1180" t="n">
        <v>1</v>
      </c>
      <c r="R1180" s="2" t="inlineStr">
        <is>
          <t>Garnlav</t>
        </is>
      </c>
      <c r="S1180">
        <f>HYPERLINK("https://klasma.github.io/Logging_2481/artfynd/A 22373-2025 artfynd.xlsx", "A 22373-2025")</f>
        <v/>
      </c>
      <c r="T1180">
        <f>HYPERLINK("https://klasma.github.io/Logging_2481/kartor/A 22373-2025 karta.png", "A 22373-2025")</f>
        <v/>
      </c>
      <c r="V1180">
        <f>HYPERLINK("https://klasma.github.io/Logging_2481/klagomål/A 22373-2025 FSC-klagomål.docx", "A 22373-2025")</f>
        <v/>
      </c>
      <c r="W1180">
        <f>HYPERLINK("https://klasma.github.io/Logging_2481/klagomålsmail/A 22373-2025 FSC-klagomål mail.docx", "A 22373-2025")</f>
        <v/>
      </c>
      <c r="X1180">
        <f>HYPERLINK("https://klasma.github.io/Logging_2481/tillsyn/A 22373-2025 tillsynsbegäran.docx", "A 22373-2025")</f>
        <v/>
      </c>
      <c r="Y1180">
        <f>HYPERLINK("https://klasma.github.io/Logging_2481/tillsynsmail/A 22373-2025 tillsynsbegäran mail.docx", "A 22373-2025")</f>
        <v/>
      </c>
    </row>
    <row r="1181" ht="15" customHeight="1">
      <c r="A1181" t="inlineStr">
        <is>
          <t>A 37953-2023</t>
        </is>
      </c>
      <c r="B1181" s="1" t="n">
        <v>45159</v>
      </c>
      <c r="C1181" s="1" t="n">
        <v>46075</v>
      </c>
      <c r="D1181" t="inlineStr">
        <is>
          <t>VÄSTERBOTTENS LÄN</t>
        </is>
      </c>
      <c r="E1181" t="inlineStr">
        <is>
          <t>VINDELN</t>
        </is>
      </c>
      <c r="G1181" t="n">
        <v>1.5</v>
      </c>
      <c r="H1181" t="n">
        <v>1</v>
      </c>
      <c r="I1181" t="n">
        <v>0</v>
      </c>
      <c r="J1181" t="n">
        <v>0</v>
      </c>
      <c r="K1181" t="n">
        <v>1</v>
      </c>
      <c r="L1181" t="n">
        <v>0</v>
      </c>
      <c r="M1181" t="n">
        <v>0</v>
      </c>
      <c r="N1181" t="n">
        <v>0</v>
      </c>
      <c r="O1181" t="n">
        <v>1</v>
      </c>
      <c r="P1181" t="n">
        <v>1</v>
      </c>
      <c r="Q1181" t="n">
        <v>1</v>
      </c>
      <c r="R1181" s="2" t="inlineStr">
        <is>
          <t>Knärot</t>
        </is>
      </c>
      <c r="S1181">
        <f>HYPERLINK("https://klasma.github.io/Logging_2404/artfynd/A 37953-2023 artfynd.xlsx", "A 37953-2023")</f>
        <v/>
      </c>
      <c r="T1181">
        <f>HYPERLINK("https://klasma.github.io/Logging_2404/kartor/A 37953-2023 karta.png", "A 37953-2023")</f>
        <v/>
      </c>
      <c r="U1181">
        <f>HYPERLINK("https://klasma.github.io/Logging_2404/knärot/A 37953-2023 karta knärot.png", "A 37953-2023")</f>
        <v/>
      </c>
      <c r="V1181">
        <f>HYPERLINK("https://klasma.github.io/Logging_2404/klagomål/A 37953-2023 FSC-klagomål.docx", "A 37953-2023")</f>
        <v/>
      </c>
      <c r="W1181">
        <f>HYPERLINK("https://klasma.github.io/Logging_2404/klagomålsmail/A 37953-2023 FSC-klagomål mail.docx", "A 37953-2023")</f>
        <v/>
      </c>
      <c r="X1181">
        <f>HYPERLINK("https://klasma.github.io/Logging_2404/tillsyn/A 37953-2023 tillsynsbegäran.docx", "A 37953-2023")</f>
        <v/>
      </c>
      <c r="Y1181">
        <f>HYPERLINK("https://klasma.github.io/Logging_2404/tillsynsmail/A 37953-2023 tillsynsbegäran mail.docx", "A 37953-2023")</f>
        <v/>
      </c>
    </row>
    <row r="1182" ht="15" customHeight="1">
      <c r="A1182" t="inlineStr">
        <is>
          <t>A 64134-2023</t>
        </is>
      </c>
      <c r="B1182" s="1" t="n">
        <v>45279</v>
      </c>
      <c r="C1182" s="1" t="n">
        <v>46075</v>
      </c>
      <c r="D1182" t="inlineStr">
        <is>
          <t>VÄSTERBOTTENS LÄN</t>
        </is>
      </c>
      <c r="E1182" t="inlineStr">
        <is>
          <t>SORSELE</t>
        </is>
      </c>
      <c r="G1182" t="n">
        <v>10.3</v>
      </c>
      <c r="H1182" t="n">
        <v>1</v>
      </c>
      <c r="I1182" t="n">
        <v>0</v>
      </c>
      <c r="J1182" t="n">
        <v>0</v>
      </c>
      <c r="K1182" t="n">
        <v>1</v>
      </c>
      <c r="L1182" t="n">
        <v>0</v>
      </c>
      <c r="M1182" t="n">
        <v>0</v>
      </c>
      <c r="N1182" t="n">
        <v>0</v>
      </c>
      <c r="O1182" t="n">
        <v>1</v>
      </c>
      <c r="P1182" t="n">
        <v>1</v>
      </c>
      <c r="Q1182" t="n">
        <v>1</v>
      </c>
      <c r="R1182" s="2" t="inlineStr">
        <is>
          <t>Norna</t>
        </is>
      </c>
      <c r="S1182">
        <f>HYPERLINK("https://klasma.github.io/Logging_2422/artfynd/A 64134-2023 artfynd.xlsx", "A 64134-2023")</f>
        <v/>
      </c>
      <c r="T1182">
        <f>HYPERLINK("https://klasma.github.io/Logging_2422/kartor/A 64134-2023 karta.png", "A 64134-2023")</f>
        <v/>
      </c>
      <c r="V1182">
        <f>HYPERLINK("https://klasma.github.io/Logging_2422/klagomål/A 64134-2023 FSC-klagomål.docx", "A 64134-2023")</f>
        <v/>
      </c>
      <c r="W1182">
        <f>HYPERLINK("https://klasma.github.io/Logging_2422/klagomålsmail/A 64134-2023 FSC-klagomål mail.docx", "A 64134-2023")</f>
        <v/>
      </c>
      <c r="X1182">
        <f>HYPERLINK("https://klasma.github.io/Logging_2422/tillsyn/A 64134-2023 tillsynsbegäran.docx", "A 64134-2023")</f>
        <v/>
      </c>
      <c r="Y1182">
        <f>HYPERLINK("https://klasma.github.io/Logging_2422/tillsynsmail/A 64134-2023 tillsynsbegäran mail.docx", "A 64134-2023")</f>
        <v/>
      </c>
    </row>
    <row r="1183" ht="15" customHeight="1">
      <c r="A1183" t="inlineStr">
        <is>
          <t>A 23314-2025</t>
        </is>
      </c>
      <c r="B1183" s="1" t="n">
        <v>45791.61121527778</v>
      </c>
      <c r="C1183" s="1" t="n">
        <v>46075</v>
      </c>
      <c r="D1183" t="inlineStr">
        <is>
          <t>VÄSTERBOTTENS LÄN</t>
        </is>
      </c>
      <c r="E1183" t="inlineStr">
        <is>
          <t>LYCKSELE</t>
        </is>
      </c>
      <c r="F1183" t="inlineStr">
        <is>
          <t>Sveaskog</t>
        </is>
      </c>
      <c r="G1183" t="n">
        <v>1.7</v>
      </c>
      <c r="H1183" t="n">
        <v>0</v>
      </c>
      <c r="I1183" t="n">
        <v>0</v>
      </c>
      <c r="J1183" t="n">
        <v>1</v>
      </c>
      <c r="K1183" t="n">
        <v>0</v>
      </c>
      <c r="L1183" t="n">
        <v>0</v>
      </c>
      <c r="M1183" t="n">
        <v>0</v>
      </c>
      <c r="N1183" t="n">
        <v>0</v>
      </c>
      <c r="O1183" t="n">
        <v>1</v>
      </c>
      <c r="P1183" t="n">
        <v>0</v>
      </c>
      <c r="Q1183" t="n">
        <v>1</v>
      </c>
      <c r="R1183" s="2" t="inlineStr">
        <is>
          <t>Orange taggsvamp</t>
        </is>
      </c>
      <c r="S1183">
        <f>HYPERLINK("https://klasma.github.io/Logging_2481/artfynd/A 23314-2025 artfynd.xlsx", "A 23314-2025")</f>
        <v/>
      </c>
      <c r="T1183">
        <f>HYPERLINK("https://klasma.github.io/Logging_2481/kartor/A 23314-2025 karta.png", "A 23314-2025")</f>
        <v/>
      </c>
      <c r="V1183">
        <f>HYPERLINK("https://klasma.github.io/Logging_2481/klagomål/A 23314-2025 FSC-klagomål.docx", "A 23314-2025")</f>
        <v/>
      </c>
      <c r="W1183">
        <f>HYPERLINK("https://klasma.github.io/Logging_2481/klagomålsmail/A 23314-2025 FSC-klagomål mail.docx", "A 23314-2025")</f>
        <v/>
      </c>
      <c r="X1183">
        <f>HYPERLINK("https://klasma.github.io/Logging_2481/tillsyn/A 23314-2025 tillsynsbegäran.docx", "A 23314-2025")</f>
        <v/>
      </c>
      <c r="Y1183">
        <f>HYPERLINK("https://klasma.github.io/Logging_2481/tillsynsmail/A 23314-2025 tillsynsbegäran mail.docx", "A 23314-2025")</f>
        <v/>
      </c>
    </row>
    <row r="1184" ht="15" customHeight="1">
      <c r="A1184" t="inlineStr">
        <is>
          <t>A 47248-2024</t>
        </is>
      </c>
      <c r="B1184" s="1" t="n">
        <v>45586</v>
      </c>
      <c r="C1184" s="1" t="n">
        <v>46075</v>
      </c>
      <c r="D1184" t="inlineStr">
        <is>
          <t>VÄSTERBOTTENS LÄN</t>
        </is>
      </c>
      <c r="E1184" t="inlineStr">
        <is>
          <t>VILHELMINA</t>
        </is>
      </c>
      <c r="F1184" t="inlineStr">
        <is>
          <t>SCA</t>
        </is>
      </c>
      <c r="G1184" t="n">
        <v>4</v>
      </c>
      <c r="H1184" t="n">
        <v>0</v>
      </c>
      <c r="I1184" t="n">
        <v>0</v>
      </c>
      <c r="J1184" t="n">
        <v>1</v>
      </c>
      <c r="K1184" t="n">
        <v>0</v>
      </c>
      <c r="L1184" t="n">
        <v>0</v>
      </c>
      <c r="M1184" t="n">
        <v>0</v>
      </c>
      <c r="N1184" t="n">
        <v>0</v>
      </c>
      <c r="O1184" t="n">
        <v>1</v>
      </c>
      <c r="P1184" t="n">
        <v>0</v>
      </c>
      <c r="Q1184" t="n">
        <v>1</v>
      </c>
      <c r="R1184" s="2" t="inlineStr">
        <is>
          <t>Granticka</t>
        </is>
      </c>
      <c r="S1184">
        <f>HYPERLINK("https://klasma.github.io/Logging_2462/artfynd/A 47248-2024 artfynd.xlsx", "A 47248-2024")</f>
        <v/>
      </c>
      <c r="T1184">
        <f>HYPERLINK("https://klasma.github.io/Logging_2462/kartor/A 47248-2024 karta.png", "A 47248-2024")</f>
        <v/>
      </c>
      <c r="V1184">
        <f>HYPERLINK("https://klasma.github.io/Logging_2462/klagomål/A 47248-2024 FSC-klagomål.docx", "A 47248-2024")</f>
        <v/>
      </c>
      <c r="W1184">
        <f>HYPERLINK("https://klasma.github.io/Logging_2462/klagomålsmail/A 47248-2024 FSC-klagomål mail.docx", "A 47248-2024")</f>
        <v/>
      </c>
      <c r="X1184">
        <f>HYPERLINK("https://klasma.github.io/Logging_2462/tillsyn/A 47248-2024 tillsynsbegäran.docx", "A 47248-2024")</f>
        <v/>
      </c>
      <c r="Y1184">
        <f>HYPERLINK("https://klasma.github.io/Logging_2462/tillsynsmail/A 47248-2024 tillsynsbegäran mail.docx", "A 47248-2024")</f>
        <v/>
      </c>
    </row>
    <row r="1185" ht="15" customHeight="1">
      <c r="A1185" t="inlineStr">
        <is>
          <t>A 35931-2024</t>
        </is>
      </c>
      <c r="B1185" s="1" t="n">
        <v>45533.4471875</v>
      </c>
      <c r="C1185" s="1" t="n">
        <v>46075</v>
      </c>
      <c r="D1185" t="inlineStr">
        <is>
          <t>VÄSTERBOTTENS LÄN</t>
        </is>
      </c>
      <c r="E1185" t="inlineStr">
        <is>
          <t>LYCKSELE</t>
        </is>
      </c>
      <c r="F1185" t="inlineStr">
        <is>
          <t>Sveaskog</t>
        </is>
      </c>
      <c r="G1185" t="n">
        <v>57.3</v>
      </c>
      <c r="H1185" t="n">
        <v>0</v>
      </c>
      <c r="I1185" t="n">
        <v>0</v>
      </c>
      <c r="J1185" t="n">
        <v>1</v>
      </c>
      <c r="K1185" t="n">
        <v>0</v>
      </c>
      <c r="L1185" t="n">
        <v>0</v>
      </c>
      <c r="M1185" t="n">
        <v>0</v>
      </c>
      <c r="N1185" t="n">
        <v>0</v>
      </c>
      <c r="O1185" t="n">
        <v>1</v>
      </c>
      <c r="P1185" t="n">
        <v>0</v>
      </c>
      <c r="Q1185" t="n">
        <v>1</v>
      </c>
      <c r="R1185" s="2" t="inlineStr">
        <is>
          <t>Kolflarnlav</t>
        </is>
      </c>
      <c r="S1185">
        <f>HYPERLINK("https://klasma.github.io/Logging_2481/artfynd/A 35931-2024 artfynd.xlsx", "A 35931-2024")</f>
        <v/>
      </c>
      <c r="T1185">
        <f>HYPERLINK("https://klasma.github.io/Logging_2481/kartor/A 35931-2024 karta.png", "A 35931-2024")</f>
        <v/>
      </c>
      <c r="V1185">
        <f>HYPERLINK("https://klasma.github.io/Logging_2481/klagomål/A 35931-2024 FSC-klagomål.docx", "A 35931-2024")</f>
        <v/>
      </c>
      <c r="W1185">
        <f>HYPERLINK("https://klasma.github.io/Logging_2481/klagomålsmail/A 35931-2024 FSC-klagomål mail.docx", "A 35931-2024")</f>
        <v/>
      </c>
      <c r="X1185">
        <f>HYPERLINK("https://klasma.github.io/Logging_2481/tillsyn/A 35931-2024 tillsynsbegäran.docx", "A 35931-2024")</f>
        <v/>
      </c>
      <c r="Y1185">
        <f>HYPERLINK("https://klasma.github.io/Logging_2481/tillsynsmail/A 35931-2024 tillsynsbegäran mail.docx", "A 35931-2024")</f>
        <v/>
      </c>
    </row>
    <row r="1186" ht="15" customHeight="1">
      <c r="A1186" t="inlineStr">
        <is>
          <t>A 24515-2025</t>
        </is>
      </c>
      <c r="B1186" s="1" t="n">
        <v>45798</v>
      </c>
      <c r="C1186" s="1" t="n">
        <v>46075</v>
      </c>
      <c r="D1186" t="inlineStr">
        <is>
          <t>VÄSTERBOTTENS LÄN</t>
        </is>
      </c>
      <c r="E1186" t="inlineStr">
        <is>
          <t>LYCKSELE</t>
        </is>
      </c>
      <c r="F1186" t="inlineStr">
        <is>
          <t>Sveaskog</t>
        </is>
      </c>
      <c r="G1186" t="n">
        <v>9.9</v>
      </c>
      <c r="H1186" t="n">
        <v>1</v>
      </c>
      <c r="I1186" t="n">
        <v>0</v>
      </c>
      <c r="J1186" t="n">
        <v>1</v>
      </c>
      <c r="K1186" t="n">
        <v>0</v>
      </c>
      <c r="L1186" t="n">
        <v>0</v>
      </c>
      <c r="M1186" t="n">
        <v>0</v>
      </c>
      <c r="N1186" t="n">
        <v>0</v>
      </c>
      <c r="O1186" t="n">
        <v>1</v>
      </c>
      <c r="P1186" t="n">
        <v>0</v>
      </c>
      <c r="Q1186" t="n">
        <v>1</v>
      </c>
      <c r="R1186" s="2" t="inlineStr">
        <is>
          <t>Talltita</t>
        </is>
      </c>
      <c r="S1186">
        <f>HYPERLINK("https://klasma.github.io/Logging_2481/artfynd/A 24515-2025 artfynd.xlsx", "A 24515-2025")</f>
        <v/>
      </c>
      <c r="T1186">
        <f>HYPERLINK("https://klasma.github.io/Logging_2481/kartor/A 24515-2025 karta.png", "A 24515-2025")</f>
        <v/>
      </c>
      <c r="V1186">
        <f>HYPERLINK("https://klasma.github.io/Logging_2481/klagomål/A 24515-2025 FSC-klagomål.docx", "A 24515-2025")</f>
        <v/>
      </c>
      <c r="W1186">
        <f>HYPERLINK("https://klasma.github.io/Logging_2481/klagomålsmail/A 24515-2025 FSC-klagomål mail.docx", "A 24515-2025")</f>
        <v/>
      </c>
      <c r="X1186">
        <f>HYPERLINK("https://klasma.github.io/Logging_2481/tillsyn/A 24515-2025 tillsynsbegäran.docx", "A 24515-2025")</f>
        <v/>
      </c>
      <c r="Y1186">
        <f>HYPERLINK("https://klasma.github.io/Logging_2481/tillsynsmail/A 24515-2025 tillsynsbegäran mail.docx", "A 24515-2025")</f>
        <v/>
      </c>
      <c r="Z1186">
        <f>HYPERLINK("https://klasma.github.io/Logging_2481/fåglar/A 24515-2025 prioriterade fågelarter.docx", "A 24515-2025")</f>
        <v/>
      </c>
    </row>
    <row r="1187" ht="15" customHeight="1">
      <c r="A1187" t="inlineStr">
        <is>
          <t>A 58766-2021</t>
        </is>
      </c>
      <c r="B1187" s="1" t="n">
        <v>44489</v>
      </c>
      <c r="C1187" s="1" t="n">
        <v>46075</v>
      </c>
      <c r="D1187" t="inlineStr">
        <is>
          <t>VÄSTERBOTTENS LÄN</t>
        </is>
      </c>
      <c r="E1187" t="inlineStr">
        <is>
          <t>SKELLEFTEÅ</t>
        </is>
      </c>
      <c r="G1187" t="n">
        <v>5.5</v>
      </c>
      <c r="H1187" t="n">
        <v>0</v>
      </c>
      <c r="I1187" t="n">
        <v>0</v>
      </c>
      <c r="J1187" t="n">
        <v>1</v>
      </c>
      <c r="K1187" t="n">
        <v>0</v>
      </c>
      <c r="L1187" t="n">
        <v>0</v>
      </c>
      <c r="M1187" t="n">
        <v>0</v>
      </c>
      <c r="N1187" t="n">
        <v>0</v>
      </c>
      <c r="O1187" t="n">
        <v>1</v>
      </c>
      <c r="P1187" t="n">
        <v>0</v>
      </c>
      <c r="Q1187" t="n">
        <v>1</v>
      </c>
      <c r="R1187" s="2" t="inlineStr">
        <is>
          <t>Stjärntagging</t>
        </is>
      </c>
      <c r="S1187">
        <f>HYPERLINK("https://klasma.github.io/Logging_2482/artfynd/A 58766-2021 artfynd.xlsx", "A 58766-2021")</f>
        <v/>
      </c>
      <c r="T1187">
        <f>HYPERLINK("https://klasma.github.io/Logging_2482/kartor/A 58766-2021 karta.png", "A 58766-2021")</f>
        <v/>
      </c>
      <c r="V1187">
        <f>HYPERLINK("https://klasma.github.io/Logging_2482/klagomål/A 58766-2021 FSC-klagomål.docx", "A 58766-2021")</f>
        <v/>
      </c>
      <c r="W1187">
        <f>HYPERLINK("https://klasma.github.io/Logging_2482/klagomålsmail/A 58766-2021 FSC-klagomål mail.docx", "A 58766-2021")</f>
        <v/>
      </c>
      <c r="X1187">
        <f>HYPERLINK("https://klasma.github.io/Logging_2482/tillsyn/A 58766-2021 tillsynsbegäran.docx", "A 58766-2021")</f>
        <v/>
      </c>
      <c r="Y1187">
        <f>HYPERLINK("https://klasma.github.io/Logging_2482/tillsynsmail/A 58766-2021 tillsynsbegäran mail.docx", "A 58766-2021")</f>
        <v/>
      </c>
    </row>
    <row r="1188" ht="15" customHeight="1">
      <c r="A1188" t="inlineStr">
        <is>
          <t>A 6156-2025</t>
        </is>
      </c>
      <c r="B1188" s="1" t="n">
        <v>45695</v>
      </c>
      <c r="C1188" s="1" t="n">
        <v>46075</v>
      </c>
      <c r="D1188" t="inlineStr">
        <is>
          <t>VÄSTERBOTTENS LÄN</t>
        </is>
      </c>
      <c r="E1188" t="inlineStr">
        <is>
          <t>SKELLEFTEÅ</t>
        </is>
      </c>
      <c r="G1188" t="n">
        <v>5.1</v>
      </c>
      <c r="H1188" t="n">
        <v>0</v>
      </c>
      <c r="I1188" t="n">
        <v>0</v>
      </c>
      <c r="J1188" t="n">
        <v>1</v>
      </c>
      <c r="K1188" t="n">
        <v>0</v>
      </c>
      <c r="L1188" t="n">
        <v>0</v>
      </c>
      <c r="M1188" t="n">
        <v>0</v>
      </c>
      <c r="N1188" t="n">
        <v>0</v>
      </c>
      <c r="O1188" t="n">
        <v>1</v>
      </c>
      <c r="P1188" t="n">
        <v>0</v>
      </c>
      <c r="Q1188" t="n">
        <v>1</v>
      </c>
      <c r="R1188" s="2" t="inlineStr">
        <is>
          <t>Gammelgransskål</t>
        </is>
      </c>
      <c r="S1188">
        <f>HYPERLINK("https://klasma.github.io/Logging_2482/artfynd/A 6156-2025 artfynd.xlsx", "A 6156-2025")</f>
        <v/>
      </c>
      <c r="T1188">
        <f>HYPERLINK("https://klasma.github.io/Logging_2482/kartor/A 6156-2025 karta.png", "A 6156-2025")</f>
        <v/>
      </c>
      <c r="V1188">
        <f>HYPERLINK("https://klasma.github.io/Logging_2482/klagomål/A 6156-2025 FSC-klagomål.docx", "A 6156-2025")</f>
        <v/>
      </c>
      <c r="W1188">
        <f>HYPERLINK("https://klasma.github.io/Logging_2482/klagomålsmail/A 6156-2025 FSC-klagomål mail.docx", "A 6156-2025")</f>
        <v/>
      </c>
      <c r="X1188">
        <f>HYPERLINK("https://klasma.github.io/Logging_2482/tillsyn/A 6156-2025 tillsynsbegäran.docx", "A 6156-2025")</f>
        <v/>
      </c>
      <c r="Y1188">
        <f>HYPERLINK("https://klasma.github.io/Logging_2482/tillsynsmail/A 6156-2025 tillsynsbegäran mail.docx", "A 6156-2025")</f>
        <v/>
      </c>
    </row>
    <row r="1189" ht="15" customHeight="1">
      <c r="A1189" t="inlineStr">
        <is>
          <t>A 25977-2025</t>
        </is>
      </c>
      <c r="B1189" s="1" t="n">
        <v>45804</v>
      </c>
      <c r="C1189" s="1" t="n">
        <v>46075</v>
      </c>
      <c r="D1189" t="inlineStr">
        <is>
          <t>VÄSTERBOTTENS LÄN</t>
        </is>
      </c>
      <c r="E1189" t="inlineStr">
        <is>
          <t>VILHELMINA</t>
        </is>
      </c>
      <c r="F1189" t="inlineStr">
        <is>
          <t>SCA</t>
        </is>
      </c>
      <c r="G1189" t="n">
        <v>6.2</v>
      </c>
      <c r="H1189" t="n">
        <v>0</v>
      </c>
      <c r="I1189" t="n">
        <v>0</v>
      </c>
      <c r="J1189" t="n">
        <v>1</v>
      </c>
      <c r="K1189" t="n">
        <v>0</v>
      </c>
      <c r="L1189" t="n">
        <v>0</v>
      </c>
      <c r="M1189" t="n">
        <v>0</v>
      </c>
      <c r="N1189" t="n">
        <v>0</v>
      </c>
      <c r="O1189" t="n">
        <v>1</v>
      </c>
      <c r="P1189" t="n">
        <v>0</v>
      </c>
      <c r="Q1189" t="n">
        <v>1</v>
      </c>
      <c r="R1189" s="2" t="inlineStr">
        <is>
          <t>Rosenticka</t>
        </is>
      </c>
      <c r="S1189">
        <f>HYPERLINK("https://klasma.github.io/Logging_2462/artfynd/A 25977-2025 artfynd.xlsx", "A 25977-2025")</f>
        <v/>
      </c>
      <c r="T1189">
        <f>HYPERLINK("https://klasma.github.io/Logging_2462/kartor/A 25977-2025 karta.png", "A 25977-2025")</f>
        <v/>
      </c>
      <c r="V1189">
        <f>HYPERLINK("https://klasma.github.io/Logging_2462/klagomål/A 25977-2025 FSC-klagomål.docx", "A 25977-2025")</f>
        <v/>
      </c>
      <c r="W1189">
        <f>HYPERLINK("https://klasma.github.io/Logging_2462/klagomålsmail/A 25977-2025 FSC-klagomål mail.docx", "A 25977-2025")</f>
        <v/>
      </c>
      <c r="X1189">
        <f>HYPERLINK("https://klasma.github.io/Logging_2462/tillsyn/A 25977-2025 tillsynsbegäran.docx", "A 25977-2025")</f>
        <v/>
      </c>
      <c r="Y1189">
        <f>HYPERLINK("https://klasma.github.io/Logging_2462/tillsynsmail/A 25977-2025 tillsynsbegäran mail.docx", "A 25977-2025")</f>
        <v/>
      </c>
    </row>
    <row r="1190" ht="15" customHeight="1">
      <c r="A1190" t="inlineStr">
        <is>
          <t>A 40851-2024</t>
        </is>
      </c>
      <c r="B1190" s="1" t="n">
        <v>45558</v>
      </c>
      <c r="C1190" s="1" t="n">
        <v>46075</v>
      </c>
      <c r="D1190" t="inlineStr">
        <is>
          <t>VÄSTERBOTTENS LÄN</t>
        </is>
      </c>
      <c r="E1190" t="inlineStr">
        <is>
          <t>UMEÅ</t>
        </is>
      </c>
      <c r="G1190" t="n">
        <v>2.9</v>
      </c>
      <c r="H1190" t="n">
        <v>1</v>
      </c>
      <c r="I1190" t="n">
        <v>0</v>
      </c>
      <c r="J1190" t="n">
        <v>1</v>
      </c>
      <c r="K1190" t="n">
        <v>0</v>
      </c>
      <c r="L1190" t="n">
        <v>0</v>
      </c>
      <c r="M1190" t="n">
        <v>0</v>
      </c>
      <c r="N1190" t="n">
        <v>0</v>
      </c>
      <c r="O1190" t="n">
        <v>1</v>
      </c>
      <c r="P1190" t="n">
        <v>0</v>
      </c>
      <c r="Q1190" t="n">
        <v>1</v>
      </c>
      <c r="R1190" s="2" t="inlineStr">
        <is>
          <t>Havsörn</t>
        </is>
      </c>
      <c r="S1190">
        <f>HYPERLINK("https://klasma.github.io/Logging_2480/artfynd/A 40851-2024 artfynd.xlsx", "A 40851-2024")</f>
        <v/>
      </c>
      <c r="T1190">
        <f>HYPERLINK("https://klasma.github.io/Logging_2480/kartor/A 40851-2024 karta.png", "A 40851-2024")</f>
        <v/>
      </c>
      <c r="V1190">
        <f>HYPERLINK("https://klasma.github.io/Logging_2480/klagomål/A 40851-2024 FSC-klagomål.docx", "A 40851-2024")</f>
        <v/>
      </c>
      <c r="W1190">
        <f>HYPERLINK("https://klasma.github.io/Logging_2480/klagomålsmail/A 40851-2024 FSC-klagomål mail.docx", "A 40851-2024")</f>
        <v/>
      </c>
      <c r="X1190">
        <f>HYPERLINK("https://klasma.github.io/Logging_2480/tillsyn/A 40851-2024 tillsynsbegäran.docx", "A 40851-2024")</f>
        <v/>
      </c>
      <c r="Y1190">
        <f>HYPERLINK("https://klasma.github.io/Logging_2480/tillsynsmail/A 40851-2024 tillsynsbegäran mail.docx", "A 40851-2024")</f>
        <v/>
      </c>
      <c r="Z1190">
        <f>HYPERLINK("https://klasma.github.io/Logging_2480/fåglar/A 40851-2024 prioriterade fågelarter.docx", "A 40851-2024")</f>
        <v/>
      </c>
    </row>
    <row r="1191" ht="15" customHeight="1">
      <c r="A1191" t="inlineStr">
        <is>
          <t>A 27106-2025</t>
        </is>
      </c>
      <c r="B1191" s="1" t="n">
        <v>45811</v>
      </c>
      <c r="C1191" s="1" t="n">
        <v>46075</v>
      </c>
      <c r="D1191" t="inlineStr">
        <is>
          <t>VÄSTERBOTTENS LÄN</t>
        </is>
      </c>
      <c r="E1191" t="inlineStr">
        <is>
          <t>ÅSELE</t>
        </is>
      </c>
      <c r="F1191" t="inlineStr">
        <is>
          <t>SCA</t>
        </is>
      </c>
      <c r="G1191" t="n">
        <v>8.300000000000001</v>
      </c>
      <c r="H1191" t="n">
        <v>0</v>
      </c>
      <c r="I1191" t="n">
        <v>0</v>
      </c>
      <c r="J1191" t="n">
        <v>1</v>
      </c>
      <c r="K1191" t="n">
        <v>0</v>
      </c>
      <c r="L1191" t="n">
        <v>0</v>
      </c>
      <c r="M1191" t="n">
        <v>0</v>
      </c>
      <c r="N1191" t="n">
        <v>0</v>
      </c>
      <c r="O1191" t="n">
        <v>1</v>
      </c>
      <c r="P1191" t="n">
        <v>0</v>
      </c>
      <c r="Q1191" t="n">
        <v>1</v>
      </c>
      <c r="R1191" s="2" t="inlineStr">
        <is>
          <t>Tallticka</t>
        </is>
      </c>
      <c r="S1191">
        <f>HYPERLINK("https://klasma.github.io/Logging_2463/artfynd/A 27106-2025 artfynd.xlsx", "A 27106-2025")</f>
        <v/>
      </c>
      <c r="T1191">
        <f>HYPERLINK("https://klasma.github.io/Logging_2463/kartor/A 27106-2025 karta.png", "A 27106-2025")</f>
        <v/>
      </c>
      <c r="V1191">
        <f>HYPERLINK("https://klasma.github.io/Logging_2463/klagomål/A 27106-2025 FSC-klagomål.docx", "A 27106-2025")</f>
        <v/>
      </c>
      <c r="W1191">
        <f>HYPERLINK("https://klasma.github.io/Logging_2463/klagomålsmail/A 27106-2025 FSC-klagomål mail.docx", "A 27106-2025")</f>
        <v/>
      </c>
      <c r="X1191">
        <f>HYPERLINK("https://klasma.github.io/Logging_2463/tillsyn/A 27106-2025 tillsynsbegäran.docx", "A 27106-2025")</f>
        <v/>
      </c>
      <c r="Y1191">
        <f>HYPERLINK("https://klasma.github.io/Logging_2463/tillsynsmail/A 27106-2025 tillsynsbegäran mail.docx", "A 27106-2025")</f>
        <v/>
      </c>
    </row>
    <row r="1192" ht="15" customHeight="1">
      <c r="A1192" t="inlineStr">
        <is>
          <t>A 26867-2025</t>
        </is>
      </c>
      <c r="B1192" s="1" t="n">
        <v>45810</v>
      </c>
      <c r="C1192" s="1" t="n">
        <v>46075</v>
      </c>
      <c r="D1192" t="inlineStr">
        <is>
          <t>VÄSTERBOTTENS LÄN</t>
        </is>
      </c>
      <c r="E1192" t="inlineStr">
        <is>
          <t>ÅSELE</t>
        </is>
      </c>
      <c r="F1192" t="inlineStr">
        <is>
          <t>SCA</t>
        </is>
      </c>
      <c r="G1192" t="n">
        <v>1.6</v>
      </c>
      <c r="H1192" t="n">
        <v>1</v>
      </c>
      <c r="I1192" t="n">
        <v>0</v>
      </c>
      <c r="J1192" t="n">
        <v>0</v>
      </c>
      <c r="K1192" t="n">
        <v>1</v>
      </c>
      <c r="L1192" t="n">
        <v>0</v>
      </c>
      <c r="M1192" t="n">
        <v>0</v>
      </c>
      <c r="N1192" t="n">
        <v>0</v>
      </c>
      <c r="O1192" t="n">
        <v>1</v>
      </c>
      <c r="P1192" t="n">
        <v>1</v>
      </c>
      <c r="Q1192" t="n">
        <v>1</v>
      </c>
      <c r="R1192" s="2" t="inlineStr">
        <is>
          <t>Knärot</t>
        </is>
      </c>
      <c r="S1192">
        <f>HYPERLINK("https://klasma.github.io/Logging_2463/artfynd/A 26867-2025 artfynd.xlsx", "A 26867-2025")</f>
        <v/>
      </c>
      <c r="T1192">
        <f>HYPERLINK("https://klasma.github.io/Logging_2463/kartor/A 26867-2025 karta.png", "A 26867-2025")</f>
        <v/>
      </c>
      <c r="U1192">
        <f>HYPERLINK("https://klasma.github.io/Logging_2463/knärot/A 26867-2025 karta knärot.png", "A 26867-2025")</f>
        <v/>
      </c>
      <c r="V1192">
        <f>HYPERLINK("https://klasma.github.io/Logging_2463/klagomål/A 26867-2025 FSC-klagomål.docx", "A 26867-2025")</f>
        <v/>
      </c>
      <c r="W1192">
        <f>HYPERLINK("https://klasma.github.io/Logging_2463/klagomålsmail/A 26867-2025 FSC-klagomål mail.docx", "A 26867-2025")</f>
        <v/>
      </c>
      <c r="X1192">
        <f>HYPERLINK("https://klasma.github.io/Logging_2463/tillsyn/A 26867-2025 tillsynsbegäran.docx", "A 26867-2025")</f>
        <v/>
      </c>
      <c r="Y1192">
        <f>HYPERLINK("https://klasma.github.io/Logging_2463/tillsynsmail/A 26867-2025 tillsynsbegäran mail.docx", "A 26867-2025")</f>
        <v/>
      </c>
    </row>
    <row r="1193" ht="15" customHeight="1">
      <c r="A1193" t="inlineStr">
        <is>
          <t>A 19924-2025</t>
        </is>
      </c>
      <c r="B1193" s="1" t="n">
        <v>45771</v>
      </c>
      <c r="C1193" s="1" t="n">
        <v>46075</v>
      </c>
      <c r="D1193" t="inlineStr">
        <is>
          <t>VÄSTERBOTTENS LÄN</t>
        </is>
      </c>
      <c r="E1193" t="inlineStr">
        <is>
          <t>SKELLEFTEÅ</t>
        </is>
      </c>
      <c r="F1193" t="inlineStr">
        <is>
          <t>Holmen skog AB</t>
        </is>
      </c>
      <c r="G1193" t="n">
        <v>2.1</v>
      </c>
      <c r="H1193" t="n">
        <v>0</v>
      </c>
      <c r="I1193" t="n">
        <v>1</v>
      </c>
      <c r="J1193" t="n">
        <v>0</v>
      </c>
      <c r="K1193" t="n">
        <v>0</v>
      </c>
      <c r="L1193" t="n">
        <v>0</v>
      </c>
      <c r="M1193" t="n">
        <v>0</v>
      </c>
      <c r="N1193" t="n">
        <v>0</v>
      </c>
      <c r="O1193" t="n">
        <v>0</v>
      </c>
      <c r="P1193" t="n">
        <v>0</v>
      </c>
      <c r="Q1193" t="n">
        <v>1</v>
      </c>
      <c r="R1193" s="2" t="inlineStr">
        <is>
          <t>Tibast</t>
        </is>
      </c>
      <c r="S1193">
        <f>HYPERLINK("https://klasma.github.io/Logging_2482/artfynd/A 19924-2025 artfynd.xlsx", "A 19924-2025")</f>
        <v/>
      </c>
      <c r="T1193">
        <f>HYPERLINK("https://klasma.github.io/Logging_2482/kartor/A 19924-2025 karta.png", "A 19924-2025")</f>
        <v/>
      </c>
      <c r="V1193">
        <f>HYPERLINK("https://klasma.github.io/Logging_2482/klagomål/A 19924-2025 FSC-klagomål.docx", "A 19924-2025")</f>
        <v/>
      </c>
      <c r="W1193">
        <f>HYPERLINK("https://klasma.github.io/Logging_2482/klagomålsmail/A 19924-2025 FSC-klagomål mail.docx", "A 19924-2025")</f>
        <v/>
      </c>
      <c r="X1193">
        <f>HYPERLINK("https://klasma.github.io/Logging_2482/tillsyn/A 19924-2025 tillsynsbegäran.docx", "A 19924-2025")</f>
        <v/>
      </c>
      <c r="Y1193">
        <f>HYPERLINK("https://klasma.github.io/Logging_2482/tillsynsmail/A 19924-2025 tillsynsbegäran mail.docx", "A 19924-2025")</f>
        <v/>
      </c>
    </row>
    <row r="1194" ht="15" customHeight="1">
      <c r="A1194" t="inlineStr">
        <is>
          <t>A 27315-2021</t>
        </is>
      </c>
      <c r="B1194" s="1" t="n">
        <v>44350</v>
      </c>
      <c r="C1194" s="1" t="n">
        <v>46075</v>
      </c>
      <c r="D1194" t="inlineStr">
        <is>
          <t>VÄSTERBOTTENS LÄN</t>
        </is>
      </c>
      <c r="E1194" t="inlineStr">
        <is>
          <t>ÅSELE</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39233-2022</t>
        </is>
      </c>
      <c r="B1195" s="1" t="n">
        <v>44817.5884375</v>
      </c>
      <c r="C1195" s="1" t="n">
        <v>46075</v>
      </c>
      <c r="D1195" t="inlineStr">
        <is>
          <t>VÄSTERBOTTENS LÄN</t>
        </is>
      </c>
      <c r="E1195" t="inlineStr">
        <is>
          <t>UMEÅ</t>
        </is>
      </c>
      <c r="F1195" t="inlineStr">
        <is>
          <t>Holmen skog AB</t>
        </is>
      </c>
      <c r="G1195" t="n">
        <v>8.1</v>
      </c>
      <c r="H1195" t="n">
        <v>0</v>
      </c>
      <c r="I1195" t="n">
        <v>0</v>
      </c>
      <c r="J1195" t="n">
        <v>0</v>
      </c>
      <c r="K1195" t="n">
        <v>0</v>
      </c>
      <c r="L1195" t="n">
        <v>0</v>
      </c>
      <c r="M1195" t="n">
        <v>0</v>
      </c>
      <c r="N1195" t="n">
        <v>0</v>
      </c>
      <c r="O1195" t="n">
        <v>0</v>
      </c>
      <c r="P1195" t="n">
        <v>0</v>
      </c>
      <c r="Q1195" t="n">
        <v>0</v>
      </c>
      <c r="R1195" s="2" t="inlineStr"/>
    </row>
    <row r="1196" ht="15" customHeight="1">
      <c r="A1196" t="inlineStr">
        <is>
          <t>A 33222-2021</t>
        </is>
      </c>
      <c r="B1196" s="1" t="n">
        <v>44376</v>
      </c>
      <c r="C1196" s="1" t="n">
        <v>46075</v>
      </c>
      <c r="D1196" t="inlineStr">
        <is>
          <t>VÄSTERBOTTENS LÄN</t>
        </is>
      </c>
      <c r="E1196" t="inlineStr">
        <is>
          <t>LYCKSELE</t>
        </is>
      </c>
      <c r="F1196" t="inlineStr">
        <is>
          <t>SCA</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48329-2022</t>
        </is>
      </c>
      <c r="B1197" s="1" t="n">
        <v>44858</v>
      </c>
      <c r="C1197" s="1" t="n">
        <v>46075</v>
      </c>
      <c r="D1197" t="inlineStr">
        <is>
          <t>VÄSTERBOTTENS LÄN</t>
        </is>
      </c>
      <c r="E1197" t="inlineStr">
        <is>
          <t>NORDMALING</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46026-2022</t>
        </is>
      </c>
      <c r="B1198" s="1" t="n">
        <v>44846</v>
      </c>
      <c r="C1198" s="1" t="n">
        <v>46075</v>
      </c>
      <c r="D1198" t="inlineStr">
        <is>
          <t>VÄSTERBOTTENS LÄN</t>
        </is>
      </c>
      <c r="E1198" t="inlineStr">
        <is>
          <t>MALÅ</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46092-2022</t>
        </is>
      </c>
      <c r="B1199" s="1" t="n">
        <v>44845</v>
      </c>
      <c r="C1199" s="1" t="n">
        <v>46075</v>
      </c>
      <c r="D1199" t="inlineStr">
        <is>
          <t>VÄSTERBOTTENS LÄN</t>
        </is>
      </c>
      <c r="E1199" t="inlineStr">
        <is>
          <t>VINDELN</t>
        </is>
      </c>
      <c r="G1199" t="n">
        <v>4.1</v>
      </c>
      <c r="H1199" t="n">
        <v>0</v>
      </c>
      <c r="I1199" t="n">
        <v>0</v>
      </c>
      <c r="J1199" t="n">
        <v>0</v>
      </c>
      <c r="K1199" t="n">
        <v>0</v>
      </c>
      <c r="L1199" t="n">
        <v>0</v>
      </c>
      <c r="M1199" t="n">
        <v>0</v>
      </c>
      <c r="N1199" t="n">
        <v>0</v>
      </c>
      <c r="O1199" t="n">
        <v>0</v>
      </c>
      <c r="P1199" t="n">
        <v>0</v>
      </c>
      <c r="Q1199" t="n">
        <v>0</v>
      </c>
      <c r="R1199" s="2" t="inlineStr"/>
    </row>
    <row r="1200" ht="15" customHeight="1">
      <c r="A1200" t="inlineStr">
        <is>
          <t>A 38416-2022</t>
        </is>
      </c>
      <c r="B1200" s="1" t="n">
        <v>44812</v>
      </c>
      <c r="C1200" s="1" t="n">
        <v>46075</v>
      </c>
      <c r="D1200" t="inlineStr">
        <is>
          <t>VÄSTERBOTTENS LÄN</t>
        </is>
      </c>
      <c r="E1200" t="inlineStr">
        <is>
          <t>VILHELMINA</t>
        </is>
      </c>
      <c r="F1200" t="inlineStr">
        <is>
          <t>SCA</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19442-2022</t>
        </is>
      </c>
      <c r="B1201" s="1" t="n">
        <v>44693</v>
      </c>
      <c r="C1201" s="1" t="n">
        <v>46075</v>
      </c>
      <c r="D1201" t="inlineStr">
        <is>
          <t>VÄSTERBOTTENS LÄN</t>
        </is>
      </c>
      <c r="E1201" t="inlineStr">
        <is>
          <t>VINDELN</t>
        </is>
      </c>
      <c r="G1201" t="n">
        <v>6.3</v>
      </c>
      <c r="H1201" t="n">
        <v>0</v>
      </c>
      <c r="I1201" t="n">
        <v>0</v>
      </c>
      <c r="J1201" t="n">
        <v>0</v>
      </c>
      <c r="K1201" t="n">
        <v>0</v>
      </c>
      <c r="L1201" t="n">
        <v>0</v>
      </c>
      <c r="M1201" t="n">
        <v>0</v>
      </c>
      <c r="N1201" t="n">
        <v>0</v>
      </c>
      <c r="O1201" t="n">
        <v>0</v>
      </c>
      <c r="P1201" t="n">
        <v>0</v>
      </c>
      <c r="Q1201" t="n">
        <v>0</v>
      </c>
      <c r="R1201" s="2" t="inlineStr"/>
    </row>
    <row r="1202" ht="15" customHeight="1">
      <c r="A1202" t="inlineStr">
        <is>
          <t>A 52885-2022</t>
        </is>
      </c>
      <c r="B1202" s="1" t="n">
        <v>44872</v>
      </c>
      <c r="C1202" s="1" t="n">
        <v>46075</v>
      </c>
      <c r="D1202" t="inlineStr">
        <is>
          <t>VÄSTERBOTTENS LÄN</t>
        </is>
      </c>
      <c r="E1202" t="inlineStr">
        <is>
          <t>VINDELN</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20406-2021</t>
        </is>
      </c>
      <c r="B1203" s="1" t="n">
        <v>44314</v>
      </c>
      <c r="C1203" s="1" t="n">
        <v>46075</v>
      </c>
      <c r="D1203" t="inlineStr">
        <is>
          <t>VÄSTERBOTTENS LÄN</t>
        </is>
      </c>
      <c r="E1203" t="inlineStr">
        <is>
          <t>ROBERTSFORS</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20856-2021</t>
        </is>
      </c>
      <c r="B1204" s="1" t="n">
        <v>44319</v>
      </c>
      <c r="C1204" s="1" t="n">
        <v>46075</v>
      </c>
      <c r="D1204" t="inlineStr">
        <is>
          <t>VÄSTERBOTTENS LÄN</t>
        </is>
      </c>
      <c r="E1204" t="inlineStr">
        <is>
          <t>SKELLEFTEÅ</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19772-2021</t>
        </is>
      </c>
      <c r="B1205" s="1" t="n">
        <v>44309</v>
      </c>
      <c r="C1205" s="1" t="n">
        <v>46075</v>
      </c>
      <c r="D1205" t="inlineStr">
        <is>
          <t>VÄSTERBOTTENS LÄN</t>
        </is>
      </c>
      <c r="E1205" t="inlineStr">
        <is>
          <t>VINDELN</t>
        </is>
      </c>
      <c r="G1205" t="n">
        <v>4.5</v>
      </c>
      <c r="H1205" t="n">
        <v>0</v>
      </c>
      <c r="I1205" t="n">
        <v>0</v>
      </c>
      <c r="J1205" t="n">
        <v>0</v>
      </c>
      <c r="K1205" t="n">
        <v>0</v>
      </c>
      <c r="L1205" t="n">
        <v>0</v>
      </c>
      <c r="M1205" t="n">
        <v>0</v>
      </c>
      <c r="N1205" t="n">
        <v>0</v>
      </c>
      <c r="O1205" t="n">
        <v>0</v>
      </c>
      <c r="P1205" t="n">
        <v>0</v>
      </c>
      <c r="Q1205" t="n">
        <v>0</v>
      </c>
      <c r="R1205" s="2" t="inlineStr"/>
    </row>
    <row r="1206" ht="15" customHeight="1">
      <c r="A1206" t="inlineStr">
        <is>
          <t>A 38893-2021</t>
        </is>
      </c>
      <c r="B1206" s="1" t="n">
        <v>44410</v>
      </c>
      <c r="C1206" s="1" t="n">
        <v>46075</v>
      </c>
      <c r="D1206" t="inlineStr">
        <is>
          <t>VÄSTERBOTTENS LÄN</t>
        </is>
      </c>
      <c r="E1206" t="inlineStr">
        <is>
          <t>UMEÅ</t>
        </is>
      </c>
      <c r="F1206" t="inlineStr">
        <is>
          <t>Övriga statliga verk och myndigheter</t>
        </is>
      </c>
      <c r="G1206" t="n">
        <v>0.3</v>
      </c>
      <c r="H1206" t="n">
        <v>0</v>
      </c>
      <c r="I1206" t="n">
        <v>0</v>
      </c>
      <c r="J1206" t="n">
        <v>0</v>
      </c>
      <c r="K1206" t="n">
        <v>0</v>
      </c>
      <c r="L1206" t="n">
        <v>0</v>
      </c>
      <c r="M1206" t="n">
        <v>0</v>
      </c>
      <c r="N1206" t="n">
        <v>0</v>
      </c>
      <c r="O1206" t="n">
        <v>0</v>
      </c>
      <c r="P1206" t="n">
        <v>0</v>
      </c>
      <c r="Q1206" t="n">
        <v>0</v>
      </c>
      <c r="R1206" s="2" t="inlineStr"/>
    </row>
    <row r="1207" ht="15" customHeight="1">
      <c r="A1207" t="inlineStr">
        <is>
          <t>A 33294-2021</t>
        </is>
      </c>
      <c r="B1207" s="1" t="n">
        <v>44377</v>
      </c>
      <c r="C1207" s="1" t="n">
        <v>46075</v>
      </c>
      <c r="D1207" t="inlineStr">
        <is>
          <t>VÄSTERBOTTENS LÄN</t>
        </is>
      </c>
      <c r="E1207" t="inlineStr">
        <is>
          <t>DOROTEA</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36450-2021</t>
        </is>
      </c>
      <c r="B1208" s="1" t="n">
        <v>44390</v>
      </c>
      <c r="C1208" s="1" t="n">
        <v>46075</v>
      </c>
      <c r="D1208" t="inlineStr">
        <is>
          <t>VÄSTERBOTTENS LÄN</t>
        </is>
      </c>
      <c r="E1208" t="inlineStr">
        <is>
          <t>ÅSELE</t>
        </is>
      </c>
      <c r="F1208" t="inlineStr">
        <is>
          <t>SCA</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29332-2021</t>
        </is>
      </c>
      <c r="B1209" s="1" t="n">
        <v>44361</v>
      </c>
      <c r="C1209" s="1" t="n">
        <v>46075</v>
      </c>
      <c r="D1209" t="inlineStr">
        <is>
          <t>VÄSTERBOTTENS LÄN</t>
        </is>
      </c>
      <c r="E1209" t="inlineStr">
        <is>
          <t>VILHELMINA</t>
        </is>
      </c>
      <c r="F1209" t="inlineStr">
        <is>
          <t>Allmännings- och besparingsskogar</t>
        </is>
      </c>
      <c r="G1209" t="n">
        <v>51.8</v>
      </c>
      <c r="H1209" t="n">
        <v>0</v>
      </c>
      <c r="I1209" t="n">
        <v>0</v>
      </c>
      <c r="J1209" t="n">
        <v>0</v>
      </c>
      <c r="K1209" t="n">
        <v>0</v>
      </c>
      <c r="L1209" t="n">
        <v>0</v>
      </c>
      <c r="M1209" t="n">
        <v>0</v>
      </c>
      <c r="N1209" t="n">
        <v>0</v>
      </c>
      <c r="O1209" t="n">
        <v>0</v>
      </c>
      <c r="P1209" t="n">
        <v>0</v>
      </c>
      <c r="Q1209" t="n">
        <v>0</v>
      </c>
      <c r="R1209" s="2" t="inlineStr"/>
    </row>
    <row r="1210" ht="15" customHeight="1">
      <c r="A1210" t="inlineStr">
        <is>
          <t>A 40470-2021</t>
        </is>
      </c>
      <c r="B1210" s="1" t="n">
        <v>44419.94226851852</v>
      </c>
      <c r="C1210" s="1" t="n">
        <v>46075</v>
      </c>
      <c r="D1210" t="inlineStr">
        <is>
          <t>VÄSTERBOTTENS LÄN</t>
        </is>
      </c>
      <c r="E1210" t="inlineStr">
        <is>
          <t>VILHELMINA</t>
        </is>
      </c>
      <c r="F1210" t="inlineStr">
        <is>
          <t>SCA</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14540-2021</t>
        </is>
      </c>
      <c r="B1211" s="1" t="n">
        <v>44279</v>
      </c>
      <c r="C1211" s="1" t="n">
        <v>46075</v>
      </c>
      <c r="D1211" t="inlineStr">
        <is>
          <t>VÄSTERBOTTENS LÄN</t>
        </is>
      </c>
      <c r="E1211" t="inlineStr">
        <is>
          <t>BJURHOLM</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71582-2021</t>
        </is>
      </c>
      <c r="B1212" s="1" t="n">
        <v>44540</v>
      </c>
      <c r="C1212" s="1" t="n">
        <v>46075</v>
      </c>
      <c r="D1212" t="inlineStr">
        <is>
          <t>VÄSTERBOTTENS LÄN</t>
        </is>
      </c>
      <c r="E1212" t="inlineStr">
        <is>
          <t>VINDELN</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36046-2021</t>
        </is>
      </c>
      <c r="B1213" s="1" t="n">
        <v>44386</v>
      </c>
      <c r="C1213" s="1" t="n">
        <v>46075</v>
      </c>
      <c r="D1213" t="inlineStr">
        <is>
          <t>VÄSTERBOTTENS LÄN</t>
        </is>
      </c>
      <c r="E1213" t="inlineStr">
        <is>
          <t>LYCKSELE</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64316-2021</t>
        </is>
      </c>
      <c r="B1214" s="1" t="n">
        <v>44510</v>
      </c>
      <c r="C1214" s="1" t="n">
        <v>46075</v>
      </c>
      <c r="D1214" t="inlineStr">
        <is>
          <t>VÄSTERBOTTENS LÄN</t>
        </is>
      </c>
      <c r="E1214" t="inlineStr">
        <is>
          <t>SKELLEFTEÅ</t>
        </is>
      </c>
      <c r="G1214" t="n">
        <v>9.199999999999999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36603-2021</t>
        </is>
      </c>
      <c r="B1215" s="1" t="n">
        <v>44391</v>
      </c>
      <c r="C1215" s="1" t="n">
        <v>46075</v>
      </c>
      <c r="D1215" t="inlineStr">
        <is>
          <t>VÄSTERBOTTENS LÄN</t>
        </is>
      </c>
      <c r="E1215" t="inlineStr">
        <is>
          <t>SKELLEFTEÅ</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8023-2022</t>
        </is>
      </c>
      <c r="B1216" s="1" t="n">
        <v>44609</v>
      </c>
      <c r="C1216" s="1" t="n">
        <v>46075</v>
      </c>
      <c r="D1216" t="inlineStr">
        <is>
          <t>VÄSTERBOTTENS LÄN</t>
        </is>
      </c>
      <c r="E1216" t="inlineStr">
        <is>
          <t>SKELLEFTEÅ</t>
        </is>
      </c>
      <c r="F1216" t="inlineStr">
        <is>
          <t>Kyrkan</t>
        </is>
      </c>
      <c r="G1216" t="n">
        <v>6.7</v>
      </c>
      <c r="H1216" t="n">
        <v>0</v>
      </c>
      <c r="I1216" t="n">
        <v>0</v>
      </c>
      <c r="J1216" t="n">
        <v>0</v>
      </c>
      <c r="K1216" t="n">
        <v>0</v>
      </c>
      <c r="L1216" t="n">
        <v>0</v>
      </c>
      <c r="M1216" t="n">
        <v>0</v>
      </c>
      <c r="N1216" t="n">
        <v>0</v>
      </c>
      <c r="O1216" t="n">
        <v>0</v>
      </c>
      <c r="P1216" t="n">
        <v>0</v>
      </c>
      <c r="Q1216" t="n">
        <v>0</v>
      </c>
      <c r="R1216" s="2" t="inlineStr"/>
    </row>
    <row r="1217" ht="15" customHeight="1">
      <c r="A1217" t="inlineStr">
        <is>
          <t>A 37987-2021</t>
        </is>
      </c>
      <c r="B1217" s="1" t="n">
        <v>44403</v>
      </c>
      <c r="C1217" s="1" t="n">
        <v>46075</v>
      </c>
      <c r="D1217" t="inlineStr">
        <is>
          <t>VÄSTERBOTTENS LÄN</t>
        </is>
      </c>
      <c r="E1217" t="inlineStr">
        <is>
          <t>LYCKSELE</t>
        </is>
      </c>
      <c r="G1217" t="n">
        <v>4.6</v>
      </c>
      <c r="H1217" t="n">
        <v>0</v>
      </c>
      <c r="I1217" t="n">
        <v>0</v>
      </c>
      <c r="J1217" t="n">
        <v>0</v>
      </c>
      <c r="K1217" t="n">
        <v>0</v>
      </c>
      <c r="L1217" t="n">
        <v>0</v>
      </c>
      <c r="M1217" t="n">
        <v>0</v>
      </c>
      <c r="N1217" t="n">
        <v>0</v>
      </c>
      <c r="O1217" t="n">
        <v>0</v>
      </c>
      <c r="P1217" t="n">
        <v>0</v>
      </c>
      <c r="Q1217" t="n">
        <v>0</v>
      </c>
      <c r="R1217" s="2" t="inlineStr"/>
    </row>
    <row r="1218" ht="15" customHeight="1">
      <c r="A1218" t="inlineStr">
        <is>
          <t>A 31185-2021</t>
        </is>
      </c>
      <c r="B1218" s="1" t="n">
        <v>44367</v>
      </c>
      <c r="C1218" s="1" t="n">
        <v>46075</v>
      </c>
      <c r="D1218" t="inlineStr">
        <is>
          <t>VÄSTERBOTTENS LÄN</t>
        </is>
      </c>
      <c r="E1218" t="inlineStr">
        <is>
          <t>SKELLEFTEÅ</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9779-2022</t>
        </is>
      </c>
      <c r="B1219" s="1" t="n">
        <v>44619.87392361111</v>
      </c>
      <c r="C1219" s="1" t="n">
        <v>46075</v>
      </c>
      <c r="D1219" t="inlineStr">
        <is>
          <t>VÄSTERBOTTENS LÄN</t>
        </is>
      </c>
      <c r="E1219" t="inlineStr">
        <is>
          <t>VILHELMINA</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38685-2021</t>
        </is>
      </c>
      <c r="B1220" s="1" t="n">
        <v>44407</v>
      </c>
      <c r="C1220" s="1" t="n">
        <v>46075</v>
      </c>
      <c r="D1220" t="inlineStr">
        <is>
          <t>VÄSTERBOTTENS LÄN</t>
        </is>
      </c>
      <c r="E1220" t="inlineStr">
        <is>
          <t>UMEÅ</t>
        </is>
      </c>
      <c r="F1220" t="inlineStr">
        <is>
          <t>Kommuner</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38691-2021</t>
        </is>
      </c>
      <c r="B1221" s="1" t="n">
        <v>44407</v>
      </c>
      <c r="C1221" s="1" t="n">
        <v>46075</v>
      </c>
      <c r="D1221" t="inlineStr">
        <is>
          <t>VÄSTERBOTTENS LÄN</t>
        </is>
      </c>
      <c r="E1221" t="inlineStr">
        <is>
          <t>UMEÅ</t>
        </is>
      </c>
      <c r="F1221" t="inlineStr">
        <is>
          <t>Kommuner</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59249-2021</t>
        </is>
      </c>
      <c r="B1222" s="1" t="n">
        <v>44490.65641203704</v>
      </c>
      <c r="C1222" s="1" t="n">
        <v>46075</v>
      </c>
      <c r="D1222" t="inlineStr">
        <is>
          <t>VÄSTERBOTTENS LÄN</t>
        </is>
      </c>
      <c r="E1222" t="inlineStr">
        <is>
          <t>ÅSELE</t>
        </is>
      </c>
      <c r="F1222" t="inlineStr">
        <is>
          <t>Holmen skog AB</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11076-2022</t>
        </is>
      </c>
      <c r="B1223" s="1" t="n">
        <v>44628</v>
      </c>
      <c r="C1223" s="1" t="n">
        <v>46075</v>
      </c>
      <c r="D1223" t="inlineStr">
        <is>
          <t>VÄSTERBOTTENS LÄN</t>
        </is>
      </c>
      <c r="E1223" t="inlineStr">
        <is>
          <t>VILHELMINA</t>
        </is>
      </c>
      <c r="G1223" t="n">
        <v>7.4</v>
      </c>
      <c r="H1223" t="n">
        <v>0</v>
      </c>
      <c r="I1223" t="n">
        <v>0</v>
      </c>
      <c r="J1223" t="n">
        <v>0</v>
      </c>
      <c r="K1223" t="n">
        <v>0</v>
      </c>
      <c r="L1223" t="n">
        <v>0</v>
      </c>
      <c r="M1223" t="n">
        <v>0</v>
      </c>
      <c r="N1223" t="n">
        <v>0</v>
      </c>
      <c r="O1223" t="n">
        <v>0</v>
      </c>
      <c r="P1223" t="n">
        <v>0</v>
      </c>
      <c r="Q1223" t="n">
        <v>0</v>
      </c>
      <c r="R1223" s="2" t="inlineStr"/>
    </row>
    <row r="1224" ht="15" customHeight="1">
      <c r="A1224" t="inlineStr">
        <is>
          <t>A 60044-2021</t>
        </is>
      </c>
      <c r="B1224" s="1" t="n">
        <v>44495</v>
      </c>
      <c r="C1224" s="1" t="n">
        <v>46075</v>
      </c>
      <c r="D1224" t="inlineStr">
        <is>
          <t>VÄSTERBOTTENS LÄN</t>
        </is>
      </c>
      <c r="E1224" t="inlineStr">
        <is>
          <t>LYCKSELE</t>
        </is>
      </c>
      <c r="F1224" t="inlineStr">
        <is>
          <t>Sveaskog</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40825-2022</t>
        </is>
      </c>
      <c r="B1225" s="1" t="n">
        <v>44824.91319444445</v>
      </c>
      <c r="C1225" s="1" t="n">
        <v>46075</v>
      </c>
      <c r="D1225" t="inlineStr">
        <is>
          <t>VÄSTERBOTTENS LÄN</t>
        </is>
      </c>
      <c r="E1225" t="inlineStr">
        <is>
          <t>UMEÅ</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3940-2022</t>
        </is>
      </c>
      <c r="B1226" s="1" t="n">
        <v>44587</v>
      </c>
      <c r="C1226" s="1" t="n">
        <v>46075</v>
      </c>
      <c r="D1226" t="inlineStr">
        <is>
          <t>VÄSTERBOTTENS LÄN</t>
        </is>
      </c>
      <c r="E1226" t="inlineStr">
        <is>
          <t>UMEÅ</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9777-2022</t>
        </is>
      </c>
      <c r="B1227" s="1" t="n">
        <v>44619.86621527778</v>
      </c>
      <c r="C1227" s="1" t="n">
        <v>46075</v>
      </c>
      <c r="D1227" t="inlineStr">
        <is>
          <t>VÄSTERBOTTENS LÄN</t>
        </is>
      </c>
      <c r="E1227" t="inlineStr">
        <is>
          <t>VILHELMINA</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58046-2021</t>
        </is>
      </c>
      <c r="B1228" s="1" t="n">
        <v>44487</v>
      </c>
      <c r="C1228" s="1" t="n">
        <v>46075</v>
      </c>
      <c r="D1228" t="inlineStr">
        <is>
          <t>VÄSTERBOTTENS LÄN</t>
        </is>
      </c>
      <c r="E1228" t="inlineStr">
        <is>
          <t>NORDMALING</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58844-2021</t>
        </is>
      </c>
      <c r="B1229" s="1" t="n">
        <v>44489.61810185185</v>
      </c>
      <c r="C1229" s="1" t="n">
        <v>46075</v>
      </c>
      <c r="D1229" t="inlineStr">
        <is>
          <t>VÄSTERBOTTENS LÄN</t>
        </is>
      </c>
      <c r="E1229" t="inlineStr">
        <is>
          <t>SKELLEFTEÅ</t>
        </is>
      </c>
      <c r="F1229" t="inlineStr">
        <is>
          <t>Sveaskog</t>
        </is>
      </c>
      <c r="G1229" t="n">
        <v>5.5</v>
      </c>
      <c r="H1229" t="n">
        <v>0</v>
      </c>
      <c r="I1229" t="n">
        <v>0</v>
      </c>
      <c r="J1229" t="n">
        <v>0</v>
      </c>
      <c r="K1229" t="n">
        <v>0</v>
      </c>
      <c r="L1229" t="n">
        <v>0</v>
      </c>
      <c r="M1229" t="n">
        <v>0</v>
      </c>
      <c r="N1229" t="n">
        <v>0</v>
      </c>
      <c r="O1229" t="n">
        <v>0</v>
      </c>
      <c r="P1229" t="n">
        <v>0</v>
      </c>
      <c r="Q1229" t="n">
        <v>0</v>
      </c>
      <c r="R1229" s="2" t="inlineStr"/>
    </row>
    <row r="1230" ht="15" customHeight="1">
      <c r="A1230" t="inlineStr">
        <is>
          <t>A 52412-2021</t>
        </is>
      </c>
      <c r="B1230" s="1" t="n">
        <v>44463</v>
      </c>
      <c r="C1230" s="1" t="n">
        <v>46075</v>
      </c>
      <c r="D1230" t="inlineStr">
        <is>
          <t>VÄSTERBOTTENS LÄN</t>
        </is>
      </c>
      <c r="E1230" t="inlineStr">
        <is>
          <t>NORDMALING</t>
        </is>
      </c>
      <c r="G1230" t="n">
        <v>4.4</v>
      </c>
      <c r="H1230" t="n">
        <v>0</v>
      </c>
      <c r="I1230" t="n">
        <v>0</v>
      </c>
      <c r="J1230" t="n">
        <v>0</v>
      </c>
      <c r="K1230" t="n">
        <v>0</v>
      </c>
      <c r="L1230" t="n">
        <v>0</v>
      </c>
      <c r="M1230" t="n">
        <v>0</v>
      </c>
      <c r="N1230" t="n">
        <v>0</v>
      </c>
      <c r="O1230" t="n">
        <v>0</v>
      </c>
      <c r="P1230" t="n">
        <v>0</v>
      </c>
      <c r="Q1230" t="n">
        <v>0</v>
      </c>
      <c r="R1230" s="2" t="inlineStr"/>
    </row>
    <row r="1231" ht="15" customHeight="1">
      <c r="A1231" t="inlineStr">
        <is>
          <t>A 37655-2022</t>
        </is>
      </c>
      <c r="B1231" s="1" t="n">
        <v>44810</v>
      </c>
      <c r="C1231" s="1" t="n">
        <v>46075</v>
      </c>
      <c r="D1231" t="inlineStr">
        <is>
          <t>VÄSTERBOTTENS LÄN</t>
        </is>
      </c>
      <c r="E1231" t="inlineStr">
        <is>
          <t>VILHELMINA</t>
        </is>
      </c>
      <c r="G1231" t="n">
        <v>6.3</v>
      </c>
      <c r="H1231" t="n">
        <v>0</v>
      </c>
      <c r="I1231" t="n">
        <v>0</v>
      </c>
      <c r="J1231" t="n">
        <v>0</v>
      </c>
      <c r="K1231" t="n">
        <v>0</v>
      </c>
      <c r="L1231" t="n">
        <v>0</v>
      </c>
      <c r="M1231" t="n">
        <v>0</v>
      </c>
      <c r="N1231" t="n">
        <v>0</v>
      </c>
      <c r="O1231" t="n">
        <v>0</v>
      </c>
      <c r="P1231" t="n">
        <v>0</v>
      </c>
      <c r="Q1231" t="n">
        <v>0</v>
      </c>
      <c r="R1231" s="2" t="inlineStr"/>
    </row>
    <row r="1232" ht="15" customHeight="1">
      <c r="A1232" t="inlineStr">
        <is>
          <t>A 24669-2022</t>
        </is>
      </c>
      <c r="B1232" s="1" t="n">
        <v>44727.65446759259</v>
      </c>
      <c r="C1232" s="1" t="n">
        <v>46075</v>
      </c>
      <c r="D1232" t="inlineStr">
        <is>
          <t>VÄSTERBOTTENS LÄN</t>
        </is>
      </c>
      <c r="E1232" t="inlineStr">
        <is>
          <t>ÅSELE</t>
        </is>
      </c>
      <c r="F1232" t="inlineStr">
        <is>
          <t>Holmen skog AB</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32942-2022</t>
        </is>
      </c>
      <c r="B1233" s="1" t="n">
        <v>44784.69390046296</v>
      </c>
      <c r="C1233" s="1" t="n">
        <v>46075</v>
      </c>
      <c r="D1233" t="inlineStr">
        <is>
          <t>VÄSTERBOTTENS LÄN</t>
        </is>
      </c>
      <c r="E1233" t="inlineStr">
        <is>
          <t>ROBERTSFORS</t>
        </is>
      </c>
      <c r="F1233" t="inlineStr">
        <is>
          <t>Holmen skog AB</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3695-2022</t>
        </is>
      </c>
      <c r="B1234" s="1" t="n">
        <v>44586</v>
      </c>
      <c r="C1234" s="1" t="n">
        <v>46075</v>
      </c>
      <c r="D1234" t="inlineStr">
        <is>
          <t>VÄSTERBOTTENS LÄN</t>
        </is>
      </c>
      <c r="E1234" t="inlineStr">
        <is>
          <t>VINDELN</t>
        </is>
      </c>
      <c r="G1234" t="n">
        <v>6.4</v>
      </c>
      <c r="H1234" t="n">
        <v>0</v>
      </c>
      <c r="I1234" t="n">
        <v>0</v>
      </c>
      <c r="J1234" t="n">
        <v>0</v>
      </c>
      <c r="K1234" t="n">
        <v>0</v>
      </c>
      <c r="L1234" t="n">
        <v>0</v>
      </c>
      <c r="M1234" t="n">
        <v>0</v>
      </c>
      <c r="N1234" t="n">
        <v>0</v>
      </c>
      <c r="O1234" t="n">
        <v>0</v>
      </c>
      <c r="P1234" t="n">
        <v>0</v>
      </c>
      <c r="Q1234" t="n">
        <v>0</v>
      </c>
      <c r="R1234" s="2" t="inlineStr"/>
    </row>
    <row r="1235" ht="15" customHeight="1">
      <c r="A1235" t="inlineStr">
        <is>
          <t>A 3703-2022</t>
        </is>
      </c>
      <c r="B1235" s="1" t="n">
        <v>44586</v>
      </c>
      <c r="C1235" s="1" t="n">
        <v>46075</v>
      </c>
      <c r="D1235" t="inlineStr">
        <is>
          <t>VÄSTERBOTTENS LÄN</t>
        </is>
      </c>
      <c r="E1235" t="inlineStr">
        <is>
          <t>VINDELN</t>
        </is>
      </c>
      <c r="G1235" t="n">
        <v>5</v>
      </c>
      <c r="H1235" t="n">
        <v>0</v>
      </c>
      <c r="I1235" t="n">
        <v>0</v>
      </c>
      <c r="J1235" t="n">
        <v>0</v>
      </c>
      <c r="K1235" t="n">
        <v>0</v>
      </c>
      <c r="L1235" t="n">
        <v>0</v>
      </c>
      <c r="M1235" t="n">
        <v>0</v>
      </c>
      <c r="N1235" t="n">
        <v>0</v>
      </c>
      <c r="O1235" t="n">
        <v>0</v>
      </c>
      <c r="P1235" t="n">
        <v>0</v>
      </c>
      <c r="Q1235" t="n">
        <v>0</v>
      </c>
      <c r="R1235" s="2" t="inlineStr"/>
    </row>
    <row r="1236" ht="15" customHeight="1">
      <c r="A1236" t="inlineStr">
        <is>
          <t>A 42860-2021</t>
        </is>
      </c>
      <c r="B1236" s="1" t="n">
        <v>44430.85060185185</v>
      </c>
      <c r="C1236" s="1" t="n">
        <v>46075</v>
      </c>
      <c r="D1236" t="inlineStr">
        <is>
          <t>VÄSTERBOTTENS LÄN</t>
        </is>
      </c>
      <c r="E1236" t="inlineStr">
        <is>
          <t>NORDMALING</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42885-2021</t>
        </is>
      </c>
      <c r="B1237" s="1" t="n">
        <v>44431</v>
      </c>
      <c r="C1237" s="1" t="n">
        <v>46075</v>
      </c>
      <c r="D1237" t="inlineStr">
        <is>
          <t>VÄSTERBOTTENS LÄN</t>
        </is>
      </c>
      <c r="E1237" t="inlineStr">
        <is>
          <t>NORDMALING</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56001-2021</t>
        </is>
      </c>
      <c r="B1238" s="1" t="n">
        <v>44477</v>
      </c>
      <c r="C1238" s="1" t="n">
        <v>46075</v>
      </c>
      <c r="D1238" t="inlineStr">
        <is>
          <t>VÄSTERBOTTENS LÄN</t>
        </is>
      </c>
      <c r="E1238" t="inlineStr">
        <is>
          <t>SKELLEFTEÅ</t>
        </is>
      </c>
      <c r="G1238" t="n">
        <v>7.6</v>
      </c>
      <c r="H1238" t="n">
        <v>0</v>
      </c>
      <c r="I1238" t="n">
        <v>0</v>
      </c>
      <c r="J1238" t="n">
        <v>0</v>
      </c>
      <c r="K1238" t="n">
        <v>0</v>
      </c>
      <c r="L1238" t="n">
        <v>0</v>
      </c>
      <c r="M1238" t="n">
        <v>0</v>
      </c>
      <c r="N1238" t="n">
        <v>0</v>
      </c>
      <c r="O1238" t="n">
        <v>0</v>
      </c>
      <c r="P1238" t="n">
        <v>0</v>
      </c>
      <c r="Q1238" t="n">
        <v>0</v>
      </c>
      <c r="R1238" s="2" t="inlineStr"/>
    </row>
    <row r="1239" ht="15" customHeight="1">
      <c r="A1239" t="inlineStr">
        <is>
          <t>A 36846-2022</t>
        </is>
      </c>
      <c r="B1239" s="1" t="n">
        <v>44805.5905324074</v>
      </c>
      <c r="C1239" s="1" t="n">
        <v>46075</v>
      </c>
      <c r="D1239" t="inlineStr">
        <is>
          <t>VÄSTERBOTTENS LÄN</t>
        </is>
      </c>
      <c r="E1239" t="inlineStr">
        <is>
          <t>LYCKSELE</t>
        </is>
      </c>
      <c r="F1239" t="inlineStr">
        <is>
          <t>Holmen skog AB</t>
        </is>
      </c>
      <c r="G1239" t="n">
        <v>5.5</v>
      </c>
      <c r="H1239" t="n">
        <v>0</v>
      </c>
      <c r="I1239" t="n">
        <v>0</v>
      </c>
      <c r="J1239" t="n">
        <v>0</v>
      </c>
      <c r="K1239" t="n">
        <v>0</v>
      </c>
      <c r="L1239" t="n">
        <v>0</v>
      </c>
      <c r="M1239" t="n">
        <v>0</v>
      </c>
      <c r="N1239" t="n">
        <v>0</v>
      </c>
      <c r="O1239" t="n">
        <v>0</v>
      </c>
      <c r="P1239" t="n">
        <v>0</v>
      </c>
      <c r="Q1239" t="n">
        <v>0</v>
      </c>
      <c r="R1239" s="2" t="inlineStr"/>
    </row>
    <row r="1240" ht="15" customHeight="1">
      <c r="A1240" t="inlineStr">
        <is>
          <t>A 38516-2021</t>
        </is>
      </c>
      <c r="B1240" s="1" t="n">
        <v>44407</v>
      </c>
      <c r="C1240" s="1" t="n">
        <v>46075</v>
      </c>
      <c r="D1240" t="inlineStr">
        <is>
          <t>VÄSTERBOTTENS LÄN</t>
        </is>
      </c>
      <c r="E1240" t="inlineStr">
        <is>
          <t>UMEÅ</t>
        </is>
      </c>
      <c r="F1240" t="inlineStr">
        <is>
          <t>Kommuner</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615-2022</t>
        </is>
      </c>
      <c r="B1241" s="1" t="n">
        <v>44567.84981481481</v>
      </c>
      <c r="C1241" s="1" t="n">
        <v>46075</v>
      </c>
      <c r="D1241" t="inlineStr">
        <is>
          <t>VÄSTERBOTTENS LÄN</t>
        </is>
      </c>
      <c r="E1241" t="inlineStr">
        <is>
          <t>LYCKSELE</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37805-2022</t>
        </is>
      </c>
      <c r="B1242" s="1" t="n">
        <v>44810</v>
      </c>
      <c r="C1242" s="1" t="n">
        <v>46075</v>
      </c>
      <c r="D1242" t="inlineStr">
        <is>
          <t>VÄSTERBOTTENS LÄN</t>
        </is>
      </c>
      <c r="E1242" t="inlineStr">
        <is>
          <t>ROBERTSFORS</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37833-2022</t>
        </is>
      </c>
      <c r="B1243" s="1" t="n">
        <v>44810.9431712963</v>
      </c>
      <c r="C1243" s="1" t="n">
        <v>46075</v>
      </c>
      <c r="D1243" t="inlineStr">
        <is>
          <t>VÄSTERBOTTENS LÄN</t>
        </is>
      </c>
      <c r="E1243" t="inlineStr">
        <is>
          <t>DOROTEA</t>
        </is>
      </c>
      <c r="F1243" t="inlineStr">
        <is>
          <t>SCA</t>
        </is>
      </c>
      <c r="G1243" t="n">
        <v>9</v>
      </c>
      <c r="H1243" t="n">
        <v>0</v>
      </c>
      <c r="I1243" t="n">
        <v>0</v>
      </c>
      <c r="J1243" t="n">
        <v>0</v>
      </c>
      <c r="K1243" t="n">
        <v>0</v>
      </c>
      <c r="L1243" t="n">
        <v>0</v>
      </c>
      <c r="M1243" t="n">
        <v>0</v>
      </c>
      <c r="N1243" t="n">
        <v>0</v>
      </c>
      <c r="O1243" t="n">
        <v>0</v>
      </c>
      <c r="P1243" t="n">
        <v>0</v>
      </c>
      <c r="Q1243" t="n">
        <v>0</v>
      </c>
      <c r="R1243" s="2" t="inlineStr"/>
    </row>
    <row r="1244" ht="15" customHeight="1">
      <c r="A1244" t="inlineStr">
        <is>
          <t>A 21539-2022</t>
        </is>
      </c>
      <c r="B1244" s="1" t="n">
        <v>44706</v>
      </c>
      <c r="C1244" s="1" t="n">
        <v>46075</v>
      </c>
      <c r="D1244" t="inlineStr">
        <is>
          <t>VÄSTERBOTTENS LÄN</t>
        </is>
      </c>
      <c r="E1244" t="inlineStr">
        <is>
          <t>SKELLEFTEÅ</t>
        </is>
      </c>
      <c r="F1244" t="inlineStr">
        <is>
          <t>Holmen skog AB</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38394-2021</t>
        </is>
      </c>
      <c r="B1245" s="1" t="n">
        <v>44406</v>
      </c>
      <c r="C1245" s="1" t="n">
        <v>46075</v>
      </c>
      <c r="D1245" t="inlineStr">
        <is>
          <t>VÄSTERBOTTENS LÄN</t>
        </is>
      </c>
      <c r="E1245" t="inlineStr">
        <is>
          <t>UMEÅ</t>
        </is>
      </c>
      <c r="F1245" t="inlineStr">
        <is>
          <t>Kommuner</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38402-2021</t>
        </is>
      </c>
      <c r="B1246" s="1" t="n">
        <v>44406</v>
      </c>
      <c r="C1246" s="1" t="n">
        <v>46075</v>
      </c>
      <c r="D1246" t="inlineStr">
        <is>
          <t>VÄSTERBOTTENS LÄN</t>
        </is>
      </c>
      <c r="E1246" t="inlineStr">
        <is>
          <t>UMEÅ</t>
        </is>
      </c>
      <c r="F1246" t="inlineStr">
        <is>
          <t>Kommuner</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38403-2021</t>
        </is>
      </c>
      <c r="B1247" s="1" t="n">
        <v>44406</v>
      </c>
      <c r="C1247" s="1" t="n">
        <v>46075</v>
      </c>
      <c r="D1247" t="inlineStr">
        <is>
          <t>VÄSTERBOTTENS LÄN</t>
        </is>
      </c>
      <c r="E1247" t="inlineStr">
        <is>
          <t>UMEÅ</t>
        </is>
      </c>
      <c r="F1247" t="inlineStr">
        <is>
          <t>Övriga statliga verk och myndigheter</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38435-2021</t>
        </is>
      </c>
      <c r="B1248" s="1" t="n">
        <v>44406</v>
      </c>
      <c r="C1248" s="1" t="n">
        <v>46075</v>
      </c>
      <c r="D1248" t="inlineStr">
        <is>
          <t>VÄSTERBOTTENS LÄN</t>
        </is>
      </c>
      <c r="E1248" t="inlineStr">
        <is>
          <t>UMEÅ</t>
        </is>
      </c>
      <c r="F1248" t="inlineStr">
        <is>
          <t>Övriga statliga verk och myndigheter</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38439-2021</t>
        </is>
      </c>
      <c r="B1249" s="1" t="n">
        <v>44406</v>
      </c>
      <c r="C1249" s="1" t="n">
        <v>46075</v>
      </c>
      <c r="D1249" t="inlineStr">
        <is>
          <t>VÄSTERBOTTENS LÄN</t>
        </is>
      </c>
      <c r="E1249" t="inlineStr">
        <is>
          <t>UMEÅ</t>
        </is>
      </c>
      <c r="F1249" t="inlineStr">
        <is>
          <t>Kommuner</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37592-2022</t>
        </is>
      </c>
      <c r="B1250" s="1" t="n">
        <v>44809.94574074074</v>
      </c>
      <c r="C1250" s="1" t="n">
        <v>46075</v>
      </c>
      <c r="D1250" t="inlineStr">
        <is>
          <t>VÄSTERBOTTENS LÄN</t>
        </is>
      </c>
      <c r="E1250" t="inlineStr">
        <is>
          <t>VINDELN</t>
        </is>
      </c>
      <c r="F1250" t="inlineStr">
        <is>
          <t>SCA</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40345-2022</t>
        </is>
      </c>
      <c r="B1251" s="1" t="n">
        <v>44823</v>
      </c>
      <c r="C1251" s="1" t="n">
        <v>46075</v>
      </c>
      <c r="D1251" t="inlineStr">
        <is>
          <t>VÄSTERBOTTENS LÄN</t>
        </is>
      </c>
      <c r="E1251" t="inlineStr">
        <is>
          <t>SKELLEFTEÅ</t>
        </is>
      </c>
      <c r="F1251" t="inlineStr">
        <is>
          <t>Holmen skog AB</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32787-2022</t>
        </is>
      </c>
      <c r="B1252" s="1" t="n">
        <v>44784.31969907408</v>
      </c>
      <c r="C1252" s="1" t="n">
        <v>46075</v>
      </c>
      <c r="D1252" t="inlineStr">
        <is>
          <t>VÄSTERBOTTENS LÄN</t>
        </is>
      </c>
      <c r="E1252" t="inlineStr">
        <is>
          <t>UMEÅ</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48768-2022</t>
        </is>
      </c>
      <c r="B1253" s="1" t="n">
        <v>44859</v>
      </c>
      <c r="C1253" s="1" t="n">
        <v>46075</v>
      </c>
      <c r="D1253" t="inlineStr">
        <is>
          <t>VÄSTERBOTTENS LÄN</t>
        </is>
      </c>
      <c r="E1253" t="inlineStr">
        <is>
          <t>VILHELMINA</t>
        </is>
      </c>
      <c r="F1253" t="inlineStr">
        <is>
          <t>Sveaskog</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51017-2022</t>
        </is>
      </c>
      <c r="B1254" s="1" t="n">
        <v>44867.95054398148</v>
      </c>
      <c r="C1254" s="1" t="n">
        <v>46075</v>
      </c>
      <c r="D1254" t="inlineStr">
        <is>
          <t>VÄSTERBOTTENS LÄN</t>
        </is>
      </c>
      <c r="E1254" t="inlineStr">
        <is>
          <t>VILHELMINA</t>
        </is>
      </c>
      <c r="F1254" t="inlineStr">
        <is>
          <t>SCA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17551-2022</t>
        </is>
      </c>
      <c r="B1255" s="1" t="n">
        <v>44679</v>
      </c>
      <c r="C1255" s="1" t="n">
        <v>46075</v>
      </c>
      <c r="D1255" t="inlineStr">
        <is>
          <t>VÄSTERBOTTENS LÄN</t>
        </is>
      </c>
      <c r="E1255" t="inlineStr">
        <is>
          <t>BJURHOLM</t>
        </is>
      </c>
      <c r="G1255" t="n">
        <v>6.1</v>
      </c>
      <c r="H1255" t="n">
        <v>0</v>
      </c>
      <c r="I1255" t="n">
        <v>0</v>
      </c>
      <c r="J1255" t="n">
        <v>0</v>
      </c>
      <c r="K1255" t="n">
        <v>0</v>
      </c>
      <c r="L1255" t="n">
        <v>0</v>
      </c>
      <c r="M1255" t="n">
        <v>0</v>
      </c>
      <c r="N1255" t="n">
        <v>0</v>
      </c>
      <c r="O1255" t="n">
        <v>0</v>
      </c>
      <c r="P1255" t="n">
        <v>0</v>
      </c>
      <c r="Q1255" t="n">
        <v>0</v>
      </c>
      <c r="R1255" s="2" t="inlineStr"/>
    </row>
    <row r="1256" ht="15" customHeight="1">
      <c r="A1256" t="inlineStr">
        <is>
          <t>A 42253-2022</t>
        </is>
      </c>
      <c r="B1256" s="1" t="n">
        <v>44830.92861111111</v>
      </c>
      <c r="C1256" s="1" t="n">
        <v>46075</v>
      </c>
      <c r="D1256" t="inlineStr">
        <is>
          <t>VÄSTERBOTTENS LÄN</t>
        </is>
      </c>
      <c r="E1256" t="inlineStr">
        <is>
          <t>NORSJÖ</t>
        </is>
      </c>
      <c r="G1256" t="n">
        <v>6.8</v>
      </c>
      <c r="H1256" t="n">
        <v>0</v>
      </c>
      <c r="I1256" t="n">
        <v>0</v>
      </c>
      <c r="J1256" t="n">
        <v>0</v>
      </c>
      <c r="K1256" t="n">
        <v>0</v>
      </c>
      <c r="L1256" t="n">
        <v>0</v>
      </c>
      <c r="M1256" t="n">
        <v>0</v>
      </c>
      <c r="N1256" t="n">
        <v>0</v>
      </c>
      <c r="O1256" t="n">
        <v>0</v>
      </c>
      <c r="P1256" t="n">
        <v>0</v>
      </c>
      <c r="Q1256" t="n">
        <v>0</v>
      </c>
      <c r="R1256" s="2" t="inlineStr"/>
    </row>
    <row r="1257" ht="15" customHeight="1">
      <c r="A1257" t="inlineStr">
        <is>
          <t>A 23698-2022</t>
        </is>
      </c>
      <c r="B1257" s="1" t="n">
        <v>44721.941875</v>
      </c>
      <c r="C1257" s="1" t="n">
        <v>46075</v>
      </c>
      <c r="D1257" t="inlineStr">
        <is>
          <t>VÄSTERBOTTENS LÄN</t>
        </is>
      </c>
      <c r="E1257" t="inlineStr">
        <is>
          <t>VINDELN</t>
        </is>
      </c>
      <c r="F1257" t="inlineStr">
        <is>
          <t>SCA</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14431-2022</t>
        </is>
      </c>
      <c r="B1258" s="1" t="n">
        <v>44652.92739583334</v>
      </c>
      <c r="C1258" s="1" t="n">
        <v>46075</v>
      </c>
      <c r="D1258" t="inlineStr">
        <is>
          <t>VÄSTERBOTTENS LÄN</t>
        </is>
      </c>
      <c r="E1258" t="inlineStr">
        <is>
          <t>UMEÅ</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48834-2021</t>
        </is>
      </c>
      <c r="B1259" s="1" t="n">
        <v>44452.92001157408</v>
      </c>
      <c r="C1259" s="1" t="n">
        <v>46075</v>
      </c>
      <c r="D1259" t="inlineStr">
        <is>
          <t>VÄSTERBOTTENS LÄN</t>
        </is>
      </c>
      <c r="E1259" t="inlineStr">
        <is>
          <t>ROBERTSFORS</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33409-2022</t>
        </is>
      </c>
      <c r="B1260" s="1" t="n">
        <v>44788</v>
      </c>
      <c r="C1260" s="1" t="n">
        <v>46075</v>
      </c>
      <c r="D1260" t="inlineStr">
        <is>
          <t>VÄSTERBOTTENS LÄN</t>
        </is>
      </c>
      <c r="E1260" t="inlineStr">
        <is>
          <t>UMEÅ</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48890-2021</t>
        </is>
      </c>
      <c r="B1261" s="1" t="n">
        <v>44452</v>
      </c>
      <c r="C1261" s="1" t="n">
        <v>46075</v>
      </c>
      <c r="D1261" t="inlineStr">
        <is>
          <t>VÄSTERBOTTENS LÄN</t>
        </is>
      </c>
      <c r="E1261" t="inlineStr">
        <is>
          <t>VÄNNÄS</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36723-2022</t>
        </is>
      </c>
      <c r="B1262" s="1" t="n">
        <v>44804</v>
      </c>
      <c r="C1262" s="1" t="n">
        <v>46075</v>
      </c>
      <c r="D1262" t="inlineStr">
        <is>
          <t>VÄSTERBOTTENS LÄN</t>
        </is>
      </c>
      <c r="E1262" t="inlineStr">
        <is>
          <t>SKELLEFTEÅ</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36167-2022</t>
        </is>
      </c>
      <c r="B1263" s="1" t="n">
        <v>44803.40796296296</v>
      </c>
      <c r="C1263" s="1" t="n">
        <v>46075</v>
      </c>
      <c r="D1263" t="inlineStr">
        <is>
          <t>VÄSTERBOTTENS LÄN</t>
        </is>
      </c>
      <c r="E1263" t="inlineStr">
        <is>
          <t>ROBERTSFORS</t>
        </is>
      </c>
      <c r="F1263" t="inlineStr">
        <is>
          <t>Holmen skog AB</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42193-2021</t>
        </is>
      </c>
      <c r="B1264" s="1" t="n">
        <v>44426.69363425926</v>
      </c>
      <c r="C1264" s="1" t="n">
        <v>46075</v>
      </c>
      <c r="D1264" t="inlineStr">
        <is>
          <t>VÄSTERBOTTENS LÄN</t>
        </is>
      </c>
      <c r="E1264" t="inlineStr">
        <is>
          <t>ÅSELE</t>
        </is>
      </c>
      <c r="G1264" t="n">
        <v>10.1</v>
      </c>
      <c r="H1264" t="n">
        <v>0</v>
      </c>
      <c r="I1264" t="n">
        <v>0</v>
      </c>
      <c r="J1264" t="n">
        <v>0</v>
      </c>
      <c r="K1264" t="n">
        <v>0</v>
      </c>
      <c r="L1264" t="n">
        <v>0</v>
      </c>
      <c r="M1264" t="n">
        <v>0</v>
      </c>
      <c r="N1264" t="n">
        <v>0</v>
      </c>
      <c r="O1264" t="n">
        <v>0</v>
      </c>
      <c r="P1264" t="n">
        <v>0</v>
      </c>
      <c r="Q1264" t="n">
        <v>0</v>
      </c>
      <c r="R1264" s="2" t="inlineStr"/>
    </row>
    <row r="1265" ht="15" customHeight="1">
      <c r="A1265" t="inlineStr">
        <is>
          <t>A 48280-2022</t>
        </is>
      </c>
      <c r="B1265" s="1" t="n">
        <v>44858.49686342593</v>
      </c>
      <c r="C1265" s="1" t="n">
        <v>46075</v>
      </c>
      <c r="D1265" t="inlineStr">
        <is>
          <t>VÄSTERBOTTENS LÄN</t>
        </is>
      </c>
      <c r="E1265" t="inlineStr">
        <is>
          <t>ÅSELE</t>
        </is>
      </c>
      <c r="F1265" t="inlineStr">
        <is>
          <t>Sveaskog</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47991-2022</t>
        </is>
      </c>
      <c r="B1266" s="1" t="n">
        <v>44853</v>
      </c>
      <c r="C1266" s="1" t="n">
        <v>46075</v>
      </c>
      <c r="D1266" t="inlineStr">
        <is>
          <t>VÄSTERBOTTENS LÄN</t>
        </is>
      </c>
      <c r="E1266" t="inlineStr">
        <is>
          <t>SKELLEFTEÅ</t>
        </is>
      </c>
      <c r="G1266" t="n">
        <v>5.3</v>
      </c>
      <c r="H1266" t="n">
        <v>0</v>
      </c>
      <c r="I1266" t="n">
        <v>0</v>
      </c>
      <c r="J1266" t="n">
        <v>0</v>
      </c>
      <c r="K1266" t="n">
        <v>0</v>
      </c>
      <c r="L1266" t="n">
        <v>0</v>
      </c>
      <c r="M1266" t="n">
        <v>0</v>
      </c>
      <c r="N1266" t="n">
        <v>0</v>
      </c>
      <c r="O1266" t="n">
        <v>0</v>
      </c>
      <c r="P1266" t="n">
        <v>0</v>
      </c>
      <c r="Q1266" t="n">
        <v>0</v>
      </c>
      <c r="R1266" s="2" t="inlineStr"/>
    </row>
    <row r="1267" ht="15" customHeight="1">
      <c r="A1267" t="inlineStr">
        <is>
          <t>A 64063-2021</t>
        </is>
      </c>
      <c r="B1267" s="1" t="n">
        <v>44509</v>
      </c>
      <c r="C1267" s="1" t="n">
        <v>46075</v>
      </c>
      <c r="D1267" t="inlineStr">
        <is>
          <t>VÄSTERBOTTENS LÄN</t>
        </is>
      </c>
      <c r="E1267" t="inlineStr">
        <is>
          <t>DOROTEA</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42144-2021</t>
        </is>
      </c>
      <c r="B1268" s="1" t="n">
        <v>44426</v>
      </c>
      <c r="C1268" s="1" t="n">
        <v>46075</v>
      </c>
      <c r="D1268" t="inlineStr">
        <is>
          <t>VÄSTERBOTTENS LÄN</t>
        </is>
      </c>
      <c r="E1268" t="inlineStr">
        <is>
          <t>LYCKSELE</t>
        </is>
      </c>
      <c r="F1268" t="inlineStr">
        <is>
          <t>Sveaskog</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14939-2021</t>
        </is>
      </c>
      <c r="B1269" s="1" t="n">
        <v>44281</v>
      </c>
      <c r="C1269" s="1" t="n">
        <v>46075</v>
      </c>
      <c r="D1269" t="inlineStr">
        <is>
          <t>VÄSTERBOTTENS LÄN</t>
        </is>
      </c>
      <c r="E1269" t="inlineStr">
        <is>
          <t>VINDELN</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57821-2021</t>
        </is>
      </c>
      <c r="B1270" s="1" t="n">
        <v>44484.65474537037</v>
      </c>
      <c r="C1270" s="1" t="n">
        <v>46075</v>
      </c>
      <c r="D1270" t="inlineStr">
        <is>
          <t>VÄSTERBOTTENS LÄN</t>
        </is>
      </c>
      <c r="E1270" t="inlineStr">
        <is>
          <t>LYCKSELE</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13568-2021</t>
        </is>
      </c>
      <c r="B1271" s="1" t="n">
        <v>44273</v>
      </c>
      <c r="C1271" s="1" t="n">
        <v>46075</v>
      </c>
      <c r="D1271" t="inlineStr">
        <is>
          <t>VÄSTERBOTTENS LÄN</t>
        </is>
      </c>
      <c r="E1271" t="inlineStr">
        <is>
          <t>STORUMAN</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11544-2021</t>
        </is>
      </c>
      <c r="B1272" s="1" t="n">
        <v>44264</v>
      </c>
      <c r="C1272" s="1" t="n">
        <v>46075</v>
      </c>
      <c r="D1272" t="inlineStr">
        <is>
          <t>VÄSTERBOTTENS LÄN</t>
        </is>
      </c>
      <c r="E1272" t="inlineStr">
        <is>
          <t>VINDELN</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10421-2021</t>
        </is>
      </c>
      <c r="B1273" s="1" t="n">
        <v>44257</v>
      </c>
      <c r="C1273" s="1" t="n">
        <v>46075</v>
      </c>
      <c r="D1273" t="inlineStr">
        <is>
          <t>VÄSTERBOTTENS LÄN</t>
        </is>
      </c>
      <c r="E1273" t="inlineStr">
        <is>
          <t>NORSJÖ</t>
        </is>
      </c>
      <c r="G1273" t="n">
        <v>13.8</v>
      </c>
      <c r="H1273" t="n">
        <v>0</v>
      </c>
      <c r="I1273" t="n">
        <v>0</v>
      </c>
      <c r="J1273" t="n">
        <v>0</v>
      </c>
      <c r="K1273" t="n">
        <v>0</v>
      </c>
      <c r="L1273" t="n">
        <v>0</v>
      </c>
      <c r="M1273" t="n">
        <v>0</v>
      </c>
      <c r="N1273" t="n">
        <v>0</v>
      </c>
      <c r="O1273" t="n">
        <v>0</v>
      </c>
      <c r="P1273" t="n">
        <v>0</v>
      </c>
      <c r="Q1273" t="n">
        <v>0</v>
      </c>
      <c r="R1273" s="2" t="inlineStr"/>
    </row>
    <row r="1274" ht="15" customHeight="1">
      <c r="A1274" t="inlineStr">
        <is>
          <t>A 35430-2021</t>
        </is>
      </c>
      <c r="B1274" s="1" t="n">
        <v>44384</v>
      </c>
      <c r="C1274" s="1" t="n">
        <v>46075</v>
      </c>
      <c r="D1274" t="inlineStr">
        <is>
          <t>VÄSTERBOTTENS LÄN</t>
        </is>
      </c>
      <c r="E1274" t="inlineStr">
        <is>
          <t>VINDELN</t>
        </is>
      </c>
      <c r="G1274" t="n">
        <v>12.6</v>
      </c>
      <c r="H1274" t="n">
        <v>0</v>
      </c>
      <c r="I1274" t="n">
        <v>0</v>
      </c>
      <c r="J1274" t="n">
        <v>0</v>
      </c>
      <c r="K1274" t="n">
        <v>0</v>
      </c>
      <c r="L1274" t="n">
        <v>0</v>
      </c>
      <c r="M1274" t="n">
        <v>0</v>
      </c>
      <c r="N1274" t="n">
        <v>0</v>
      </c>
      <c r="O1274" t="n">
        <v>0</v>
      </c>
      <c r="P1274" t="n">
        <v>0</v>
      </c>
      <c r="Q1274" t="n">
        <v>0</v>
      </c>
      <c r="R1274" s="2" t="inlineStr"/>
    </row>
    <row r="1275" ht="15" customHeight="1">
      <c r="A1275" t="inlineStr">
        <is>
          <t>A 66612-2021</t>
        </is>
      </c>
      <c r="B1275" s="1" t="n">
        <v>44519.49189814815</v>
      </c>
      <c r="C1275" s="1" t="n">
        <v>46075</v>
      </c>
      <c r="D1275" t="inlineStr">
        <is>
          <t>VÄSTERBOTTENS LÄN</t>
        </is>
      </c>
      <c r="E1275" t="inlineStr">
        <is>
          <t>ÅSELE</t>
        </is>
      </c>
      <c r="F1275" t="inlineStr">
        <is>
          <t>Holmen skog AB</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48783-2021</t>
        </is>
      </c>
      <c r="B1276" s="1" t="n">
        <v>44452</v>
      </c>
      <c r="C1276" s="1" t="n">
        <v>46075</v>
      </c>
      <c r="D1276" t="inlineStr">
        <is>
          <t>VÄSTERBOTTENS LÄN</t>
        </is>
      </c>
      <c r="E1276" t="inlineStr">
        <is>
          <t>VILHELMINA</t>
        </is>
      </c>
      <c r="F1276" t="inlineStr">
        <is>
          <t>Allmännings- och besparingsskogar</t>
        </is>
      </c>
      <c r="G1276" t="n">
        <v>9.5</v>
      </c>
      <c r="H1276" t="n">
        <v>0</v>
      </c>
      <c r="I1276" t="n">
        <v>0</v>
      </c>
      <c r="J1276" t="n">
        <v>0</v>
      </c>
      <c r="K1276" t="n">
        <v>0</v>
      </c>
      <c r="L1276" t="n">
        <v>0</v>
      </c>
      <c r="M1276" t="n">
        <v>0</v>
      </c>
      <c r="N1276" t="n">
        <v>0</v>
      </c>
      <c r="O1276" t="n">
        <v>0</v>
      </c>
      <c r="P1276" t="n">
        <v>0</v>
      </c>
      <c r="Q1276" t="n">
        <v>0</v>
      </c>
      <c r="R1276" s="2" t="inlineStr"/>
    </row>
    <row r="1277" ht="15" customHeight="1">
      <c r="A1277" t="inlineStr">
        <is>
          <t>A 9539-2021</t>
        </is>
      </c>
      <c r="B1277" s="1" t="n">
        <v>44251</v>
      </c>
      <c r="C1277" s="1" t="n">
        <v>46075</v>
      </c>
      <c r="D1277" t="inlineStr">
        <is>
          <t>VÄSTERBOTTENS LÄN</t>
        </is>
      </c>
      <c r="E1277" t="inlineStr">
        <is>
          <t>SORSELE</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16911-2021</t>
        </is>
      </c>
      <c r="B1278" s="1" t="n">
        <v>44295</v>
      </c>
      <c r="C1278" s="1" t="n">
        <v>46075</v>
      </c>
      <c r="D1278" t="inlineStr">
        <is>
          <t>VÄSTERBOTTENS LÄN</t>
        </is>
      </c>
      <c r="E1278" t="inlineStr">
        <is>
          <t>SORSELE</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20454-2021</t>
        </is>
      </c>
      <c r="B1279" s="1" t="n">
        <v>44314</v>
      </c>
      <c r="C1279" s="1" t="n">
        <v>46075</v>
      </c>
      <c r="D1279" t="inlineStr">
        <is>
          <t>VÄSTERBOTTENS LÄN</t>
        </is>
      </c>
      <c r="E1279" t="inlineStr">
        <is>
          <t>UMEÅ</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70508-2021</t>
        </is>
      </c>
      <c r="B1280" s="1" t="n">
        <v>44536</v>
      </c>
      <c r="C1280" s="1" t="n">
        <v>46075</v>
      </c>
      <c r="D1280" t="inlineStr">
        <is>
          <t>VÄSTERBOTTENS LÄN</t>
        </is>
      </c>
      <c r="E1280" t="inlineStr">
        <is>
          <t>SKELLEFTEÅ</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59457-2021</t>
        </is>
      </c>
      <c r="B1281" s="1" t="n">
        <v>44491.47449074074</v>
      </c>
      <c r="C1281" s="1" t="n">
        <v>46075</v>
      </c>
      <c r="D1281" t="inlineStr">
        <is>
          <t>VÄSTERBOTTENS LÄN</t>
        </is>
      </c>
      <c r="E1281" t="inlineStr">
        <is>
          <t>SKELLEFTEÅ</t>
        </is>
      </c>
      <c r="F1281" t="inlineStr">
        <is>
          <t>Sveaskog</t>
        </is>
      </c>
      <c r="G1281" t="n">
        <v>10.4</v>
      </c>
      <c r="H1281" t="n">
        <v>0</v>
      </c>
      <c r="I1281" t="n">
        <v>0</v>
      </c>
      <c r="J1281" t="n">
        <v>0</v>
      </c>
      <c r="K1281" t="n">
        <v>0</v>
      </c>
      <c r="L1281" t="n">
        <v>0</v>
      </c>
      <c r="M1281" t="n">
        <v>0</v>
      </c>
      <c r="N1281" t="n">
        <v>0</v>
      </c>
      <c r="O1281" t="n">
        <v>0</v>
      </c>
      <c r="P1281" t="n">
        <v>0</v>
      </c>
      <c r="Q1281" t="n">
        <v>0</v>
      </c>
      <c r="R1281" s="2" t="inlineStr"/>
    </row>
    <row r="1282" ht="15" customHeight="1">
      <c r="A1282" t="inlineStr">
        <is>
          <t>A 64399-2021</t>
        </is>
      </c>
      <c r="B1282" s="1" t="n">
        <v>44511</v>
      </c>
      <c r="C1282" s="1" t="n">
        <v>46075</v>
      </c>
      <c r="D1282" t="inlineStr">
        <is>
          <t>VÄSTERBOTTENS LÄN</t>
        </is>
      </c>
      <c r="E1282" t="inlineStr">
        <is>
          <t>SKELLEFTEÅ</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15267-2021</t>
        </is>
      </c>
      <c r="B1283" s="1" t="n">
        <v>44284.56082175926</v>
      </c>
      <c r="C1283" s="1" t="n">
        <v>46075</v>
      </c>
      <c r="D1283" t="inlineStr">
        <is>
          <t>VÄSTERBOTTENS LÄN</t>
        </is>
      </c>
      <c r="E1283" t="inlineStr">
        <is>
          <t>ROBERTSFORS</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3368-2022</t>
        </is>
      </c>
      <c r="B1284" s="1" t="n">
        <v>44585</v>
      </c>
      <c r="C1284" s="1" t="n">
        <v>46075</v>
      </c>
      <c r="D1284" t="inlineStr">
        <is>
          <t>VÄSTERBOTTENS LÄN</t>
        </is>
      </c>
      <c r="E1284" t="inlineStr">
        <is>
          <t>LYCKSELE</t>
        </is>
      </c>
      <c r="G1284" t="n">
        <v>11.8</v>
      </c>
      <c r="H1284" t="n">
        <v>0</v>
      </c>
      <c r="I1284" t="n">
        <v>0</v>
      </c>
      <c r="J1284" t="n">
        <v>0</v>
      </c>
      <c r="K1284" t="n">
        <v>0</v>
      </c>
      <c r="L1284" t="n">
        <v>0</v>
      </c>
      <c r="M1284" t="n">
        <v>0</v>
      </c>
      <c r="N1284" t="n">
        <v>0</v>
      </c>
      <c r="O1284" t="n">
        <v>0</v>
      </c>
      <c r="P1284" t="n">
        <v>0</v>
      </c>
      <c r="Q1284" t="n">
        <v>0</v>
      </c>
      <c r="R1284" s="2" t="inlineStr"/>
    </row>
    <row r="1285" ht="15" customHeight="1">
      <c r="A1285" t="inlineStr">
        <is>
          <t>A 13059-2021</t>
        </is>
      </c>
      <c r="B1285" s="1" t="n">
        <v>44271</v>
      </c>
      <c r="C1285" s="1" t="n">
        <v>46075</v>
      </c>
      <c r="D1285" t="inlineStr">
        <is>
          <t>VÄSTERBOTTENS LÄN</t>
        </is>
      </c>
      <c r="E1285" t="inlineStr">
        <is>
          <t>DOROTEA</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27508-2021</t>
        </is>
      </c>
      <c r="B1286" s="1" t="n">
        <v>44351</v>
      </c>
      <c r="C1286" s="1" t="n">
        <v>46075</v>
      </c>
      <c r="D1286" t="inlineStr">
        <is>
          <t>VÄSTERBOTTENS LÄN</t>
        </is>
      </c>
      <c r="E1286" t="inlineStr">
        <is>
          <t>DOROTEA</t>
        </is>
      </c>
      <c r="F1286" t="inlineStr">
        <is>
          <t>Kommuner</t>
        </is>
      </c>
      <c r="G1286" t="n">
        <v>0.2</v>
      </c>
      <c r="H1286" t="n">
        <v>0</v>
      </c>
      <c r="I1286" t="n">
        <v>0</v>
      </c>
      <c r="J1286" t="n">
        <v>0</v>
      </c>
      <c r="K1286" t="n">
        <v>0</v>
      </c>
      <c r="L1286" t="n">
        <v>0</v>
      </c>
      <c r="M1286" t="n">
        <v>0</v>
      </c>
      <c r="N1286" t="n">
        <v>0</v>
      </c>
      <c r="O1286" t="n">
        <v>0</v>
      </c>
      <c r="P1286" t="n">
        <v>0</v>
      </c>
      <c r="Q1286" t="n">
        <v>0</v>
      </c>
      <c r="R1286" s="2" t="inlineStr"/>
    </row>
    <row r="1287" ht="15" customHeight="1">
      <c r="A1287" t="inlineStr">
        <is>
          <t>A 70117-2021</t>
        </is>
      </c>
      <c r="B1287" s="1" t="n">
        <v>44533</v>
      </c>
      <c r="C1287" s="1" t="n">
        <v>46075</v>
      </c>
      <c r="D1287" t="inlineStr">
        <is>
          <t>VÄSTERBOTTENS LÄN</t>
        </is>
      </c>
      <c r="E1287" t="inlineStr">
        <is>
          <t>VILHELMINA</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27514-2021</t>
        </is>
      </c>
      <c r="B1288" s="1" t="n">
        <v>44351</v>
      </c>
      <c r="C1288" s="1" t="n">
        <v>46075</v>
      </c>
      <c r="D1288" t="inlineStr">
        <is>
          <t>VÄSTERBOTTENS LÄN</t>
        </is>
      </c>
      <c r="E1288" t="inlineStr">
        <is>
          <t>DOROTEA</t>
        </is>
      </c>
      <c r="F1288" t="inlineStr">
        <is>
          <t>Kommuner</t>
        </is>
      </c>
      <c r="G1288" t="n">
        <v>0.1</v>
      </c>
      <c r="H1288" t="n">
        <v>0</v>
      </c>
      <c r="I1288" t="n">
        <v>0</v>
      </c>
      <c r="J1288" t="n">
        <v>0</v>
      </c>
      <c r="K1288" t="n">
        <v>0</v>
      </c>
      <c r="L1288" t="n">
        <v>0</v>
      </c>
      <c r="M1288" t="n">
        <v>0</v>
      </c>
      <c r="N1288" t="n">
        <v>0</v>
      </c>
      <c r="O1288" t="n">
        <v>0</v>
      </c>
      <c r="P1288" t="n">
        <v>0</v>
      </c>
      <c r="Q1288" t="n">
        <v>0</v>
      </c>
      <c r="R1288" s="2" t="inlineStr"/>
    </row>
    <row r="1289" ht="15" customHeight="1">
      <c r="A1289" t="inlineStr">
        <is>
          <t>A 38447-2021</t>
        </is>
      </c>
      <c r="B1289" s="1" t="n">
        <v>44406</v>
      </c>
      <c r="C1289" s="1" t="n">
        <v>46075</v>
      </c>
      <c r="D1289" t="inlineStr">
        <is>
          <t>VÄSTERBOTTENS LÄN</t>
        </is>
      </c>
      <c r="E1289" t="inlineStr">
        <is>
          <t>UMEÅ</t>
        </is>
      </c>
      <c r="F1289" t="inlineStr">
        <is>
          <t>Övriga statliga verk och myndigheter</t>
        </is>
      </c>
      <c r="G1289" t="n">
        <v>0.3</v>
      </c>
      <c r="H1289" t="n">
        <v>0</v>
      </c>
      <c r="I1289" t="n">
        <v>0</v>
      </c>
      <c r="J1289" t="n">
        <v>0</v>
      </c>
      <c r="K1289" t="n">
        <v>0</v>
      </c>
      <c r="L1289" t="n">
        <v>0</v>
      </c>
      <c r="M1289" t="n">
        <v>0</v>
      </c>
      <c r="N1289" t="n">
        <v>0</v>
      </c>
      <c r="O1289" t="n">
        <v>0</v>
      </c>
      <c r="P1289" t="n">
        <v>0</v>
      </c>
      <c r="Q1289" t="n">
        <v>0</v>
      </c>
      <c r="R1289" s="2" t="inlineStr"/>
    </row>
    <row r="1290" ht="15" customHeight="1">
      <c r="A1290" t="inlineStr">
        <is>
          <t>A 13334-2021</t>
        </is>
      </c>
      <c r="B1290" s="1" t="n">
        <v>44272</v>
      </c>
      <c r="C1290" s="1" t="n">
        <v>46075</v>
      </c>
      <c r="D1290" t="inlineStr">
        <is>
          <t>VÄSTERBOTTENS LÄN</t>
        </is>
      </c>
      <c r="E1290" t="inlineStr">
        <is>
          <t>SORSELE</t>
        </is>
      </c>
      <c r="G1290" t="n">
        <v>19.4</v>
      </c>
      <c r="H1290" t="n">
        <v>0</v>
      </c>
      <c r="I1290" t="n">
        <v>0</v>
      </c>
      <c r="J1290" t="n">
        <v>0</v>
      </c>
      <c r="K1290" t="n">
        <v>0</v>
      </c>
      <c r="L1290" t="n">
        <v>0</v>
      </c>
      <c r="M1290" t="n">
        <v>0</v>
      </c>
      <c r="N1290" t="n">
        <v>0</v>
      </c>
      <c r="O1290" t="n">
        <v>0</v>
      </c>
      <c r="P1290" t="n">
        <v>0</v>
      </c>
      <c r="Q1290" t="n">
        <v>0</v>
      </c>
      <c r="R1290" s="2" t="inlineStr"/>
    </row>
    <row r="1291" ht="15" customHeight="1">
      <c r="A1291" t="inlineStr">
        <is>
          <t>A 12896-2021</t>
        </is>
      </c>
      <c r="B1291" s="1" t="n">
        <v>44270</v>
      </c>
      <c r="C1291" s="1" t="n">
        <v>46075</v>
      </c>
      <c r="D1291" t="inlineStr">
        <is>
          <t>VÄSTERBOTTENS LÄN</t>
        </is>
      </c>
      <c r="E1291" t="inlineStr">
        <is>
          <t>STORUMAN</t>
        </is>
      </c>
      <c r="G1291" t="n">
        <v>19.9</v>
      </c>
      <c r="H1291" t="n">
        <v>0</v>
      </c>
      <c r="I1291" t="n">
        <v>0</v>
      </c>
      <c r="J1291" t="n">
        <v>0</v>
      </c>
      <c r="K1291" t="n">
        <v>0</v>
      </c>
      <c r="L1291" t="n">
        <v>0</v>
      </c>
      <c r="M1291" t="n">
        <v>0</v>
      </c>
      <c r="N1291" t="n">
        <v>0</v>
      </c>
      <c r="O1291" t="n">
        <v>0</v>
      </c>
      <c r="P1291" t="n">
        <v>0</v>
      </c>
      <c r="Q1291" t="n">
        <v>0</v>
      </c>
      <c r="R1291" s="2" t="inlineStr"/>
    </row>
    <row r="1292" ht="15" customHeight="1">
      <c r="A1292" t="inlineStr">
        <is>
          <t>A 38535-2021</t>
        </is>
      </c>
      <c r="B1292" s="1" t="n">
        <v>44407</v>
      </c>
      <c r="C1292" s="1" t="n">
        <v>46075</v>
      </c>
      <c r="D1292" t="inlineStr">
        <is>
          <t>VÄSTERBOTTENS LÄN</t>
        </is>
      </c>
      <c r="E1292" t="inlineStr">
        <is>
          <t>UMEÅ</t>
        </is>
      </c>
      <c r="F1292" t="inlineStr">
        <is>
          <t>Kommuner</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29529-2021</t>
        </is>
      </c>
      <c r="B1293" s="1" t="n">
        <v>44361</v>
      </c>
      <c r="C1293" s="1" t="n">
        <v>46075</v>
      </c>
      <c r="D1293" t="inlineStr">
        <is>
          <t>VÄSTERBOTTENS LÄN</t>
        </is>
      </c>
      <c r="E1293" t="inlineStr">
        <is>
          <t>UMEÅ</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29534-2021</t>
        </is>
      </c>
      <c r="B1294" s="1" t="n">
        <v>44361</v>
      </c>
      <c r="C1294" s="1" t="n">
        <v>46075</v>
      </c>
      <c r="D1294" t="inlineStr">
        <is>
          <t>VÄSTERBOTTENS LÄN</t>
        </is>
      </c>
      <c r="E1294" t="inlineStr">
        <is>
          <t>UMEÅ</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28959-2021</t>
        </is>
      </c>
      <c r="B1295" s="1" t="n">
        <v>44358.37585648148</v>
      </c>
      <c r="C1295" s="1" t="n">
        <v>46075</v>
      </c>
      <c r="D1295" t="inlineStr">
        <is>
          <t>VÄSTERBOTTENS LÄN</t>
        </is>
      </c>
      <c r="E1295" t="inlineStr">
        <is>
          <t>SKELLEFTEÅ</t>
        </is>
      </c>
      <c r="G1295" t="n">
        <v>4.9</v>
      </c>
      <c r="H1295" t="n">
        <v>0</v>
      </c>
      <c r="I1295" t="n">
        <v>0</v>
      </c>
      <c r="J1295" t="n">
        <v>0</v>
      </c>
      <c r="K1295" t="n">
        <v>0</v>
      </c>
      <c r="L1295" t="n">
        <v>0</v>
      </c>
      <c r="M1295" t="n">
        <v>0</v>
      </c>
      <c r="N1295" t="n">
        <v>0</v>
      </c>
      <c r="O1295" t="n">
        <v>0</v>
      </c>
      <c r="P1295" t="n">
        <v>0</v>
      </c>
      <c r="Q1295" t="n">
        <v>0</v>
      </c>
      <c r="R1295" s="2" t="inlineStr"/>
    </row>
    <row r="1296" ht="15" customHeight="1">
      <c r="A1296" t="inlineStr">
        <is>
          <t>A 11226-2022</t>
        </is>
      </c>
      <c r="B1296" s="1" t="n">
        <v>44624</v>
      </c>
      <c r="C1296" s="1" t="n">
        <v>46075</v>
      </c>
      <c r="D1296" t="inlineStr">
        <is>
          <t>VÄSTERBOTTENS LÄN</t>
        </is>
      </c>
      <c r="E1296" t="inlineStr">
        <is>
          <t>SKELLEFTEÅ</t>
        </is>
      </c>
      <c r="G1296" t="n">
        <v>3.1</v>
      </c>
      <c r="H1296" t="n">
        <v>0</v>
      </c>
      <c r="I1296" t="n">
        <v>0</v>
      </c>
      <c r="J1296" t="n">
        <v>0</v>
      </c>
      <c r="K1296" t="n">
        <v>0</v>
      </c>
      <c r="L1296" t="n">
        <v>0</v>
      </c>
      <c r="M1296" t="n">
        <v>0</v>
      </c>
      <c r="N1296" t="n">
        <v>0</v>
      </c>
      <c r="O1296" t="n">
        <v>0</v>
      </c>
      <c r="P1296" t="n">
        <v>0</v>
      </c>
      <c r="Q1296" t="n">
        <v>0</v>
      </c>
      <c r="R1296" s="2" t="inlineStr"/>
    </row>
    <row r="1297" ht="15" customHeight="1">
      <c r="A1297" t="inlineStr">
        <is>
          <t>A 47018-2021</t>
        </is>
      </c>
      <c r="B1297" s="1" t="n">
        <v>44446.59321759259</v>
      </c>
      <c r="C1297" s="1" t="n">
        <v>46075</v>
      </c>
      <c r="D1297" t="inlineStr">
        <is>
          <t>VÄSTERBOTTENS LÄN</t>
        </is>
      </c>
      <c r="E1297" t="inlineStr">
        <is>
          <t>LYCKSELE</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32439-2021</t>
        </is>
      </c>
      <c r="B1298" s="1" t="n">
        <v>44371</v>
      </c>
      <c r="C1298" s="1" t="n">
        <v>46075</v>
      </c>
      <c r="D1298" t="inlineStr">
        <is>
          <t>VÄSTERBOTTENS LÄN</t>
        </is>
      </c>
      <c r="E1298" t="inlineStr">
        <is>
          <t>SKELLEFTEÅ</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21261-2021</t>
        </is>
      </c>
      <c r="B1299" s="1" t="n">
        <v>44320</v>
      </c>
      <c r="C1299" s="1" t="n">
        <v>46075</v>
      </c>
      <c r="D1299" t="inlineStr">
        <is>
          <t>VÄSTERBOTTENS LÄN</t>
        </is>
      </c>
      <c r="E1299" t="inlineStr">
        <is>
          <t>UMEÅ</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18188-2021</t>
        </is>
      </c>
      <c r="B1300" s="1" t="n">
        <v>44302</v>
      </c>
      <c r="C1300" s="1" t="n">
        <v>46075</v>
      </c>
      <c r="D1300" t="inlineStr">
        <is>
          <t>VÄSTERBOTTENS LÄN</t>
        </is>
      </c>
      <c r="E1300" t="inlineStr">
        <is>
          <t>ROBERTSFORS</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31434-2021</t>
        </is>
      </c>
      <c r="B1301" s="1" t="n">
        <v>44369</v>
      </c>
      <c r="C1301" s="1" t="n">
        <v>46075</v>
      </c>
      <c r="D1301" t="inlineStr">
        <is>
          <t>VÄSTERBOTTENS LÄN</t>
        </is>
      </c>
      <c r="E1301" t="inlineStr">
        <is>
          <t>NORDMALING</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38915-2021</t>
        </is>
      </c>
      <c r="B1302" s="1" t="n">
        <v>44410</v>
      </c>
      <c r="C1302" s="1" t="n">
        <v>46075</v>
      </c>
      <c r="D1302" t="inlineStr">
        <is>
          <t>VÄSTERBOTTENS LÄN</t>
        </is>
      </c>
      <c r="E1302" t="inlineStr">
        <is>
          <t>UMEÅ</t>
        </is>
      </c>
      <c r="F1302" t="inlineStr">
        <is>
          <t>Övriga statliga verk och myndigheter</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38921-2021</t>
        </is>
      </c>
      <c r="B1303" s="1" t="n">
        <v>44410</v>
      </c>
      <c r="C1303" s="1" t="n">
        <v>46075</v>
      </c>
      <c r="D1303" t="inlineStr">
        <is>
          <t>VÄSTERBOTTENS LÄN</t>
        </is>
      </c>
      <c r="E1303" t="inlineStr">
        <is>
          <t>UMEÅ</t>
        </is>
      </c>
      <c r="F1303" t="inlineStr">
        <is>
          <t>Övriga statliga verk och myndigheter</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46006-2021</t>
        </is>
      </c>
      <c r="B1304" s="1" t="n">
        <v>44441</v>
      </c>
      <c r="C1304" s="1" t="n">
        <v>46075</v>
      </c>
      <c r="D1304" t="inlineStr">
        <is>
          <t>VÄSTERBOTTENS LÄN</t>
        </is>
      </c>
      <c r="E1304" t="inlineStr">
        <is>
          <t>SKELLEFTEÅ</t>
        </is>
      </c>
      <c r="G1304" t="n">
        <v>6.1</v>
      </c>
      <c r="H1304" t="n">
        <v>0</v>
      </c>
      <c r="I1304" t="n">
        <v>0</v>
      </c>
      <c r="J1304" t="n">
        <v>0</v>
      </c>
      <c r="K1304" t="n">
        <v>0</v>
      </c>
      <c r="L1304" t="n">
        <v>0</v>
      </c>
      <c r="M1304" t="n">
        <v>0</v>
      </c>
      <c r="N1304" t="n">
        <v>0</v>
      </c>
      <c r="O1304" t="n">
        <v>0</v>
      </c>
      <c r="P1304" t="n">
        <v>0</v>
      </c>
      <c r="Q1304" t="n">
        <v>0</v>
      </c>
      <c r="R1304" s="2" t="inlineStr"/>
    </row>
    <row r="1305" ht="15" customHeight="1">
      <c r="A1305" t="inlineStr">
        <is>
          <t>A 55168-2021</t>
        </is>
      </c>
      <c r="B1305" s="1" t="n">
        <v>44475.23858796297</v>
      </c>
      <c r="C1305" s="1" t="n">
        <v>46075</v>
      </c>
      <c r="D1305" t="inlineStr">
        <is>
          <t>VÄSTERBOTTENS LÄN</t>
        </is>
      </c>
      <c r="E1305" t="inlineStr">
        <is>
          <t>SKELLEFTEÅ</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67751-2021</t>
        </is>
      </c>
      <c r="B1306" s="1" t="n">
        <v>44524</v>
      </c>
      <c r="C1306" s="1" t="n">
        <v>46075</v>
      </c>
      <c r="D1306" t="inlineStr">
        <is>
          <t>VÄSTERBOTTENS LÄN</t>
        </is>
      </c>
      <c r="E1306" t="inlineStr">
        <is>
          <t>BJURHOLM</t>
        </is>
      </c>
      <c r="G1306" t="n">
        <v>3.3</v>
      </c>
      <c r="H1306" t="n">
        <v>0</v>
      </c>
      <c r="I1306" t="n">
        <v>0</v>
      </c>
      <c r="J1306" t="n">
        <v>0</v>
      </c>
      <c r="K1306" t="n">
        <v>0</v>
      </c>
      <c r="L1306" t="n">
        <v>0</v>
      </c>
      <c r="M1306" t="n">
        <v>0</v>
      </c>
      <c r="N1306" t="n">
        <v>0</v>
      </c>
      <c r="O1306" t="n">
        <v>0</v>
      </c>
      <c r="P1306" t="n">
        <v>0</v>
      </c>
      <c r="Q1306" t="n">
        <v>0</v>
      </c>
      <c r="R1306" s="2" t="inlineStr"/>
    </row>
    <row r="1307" ht="15" customHeight="1">
      <c r="A1307" t="inlineStr">
        <is>
          <t>A 53979-2021</t>
        </is>
      </c>
      <c r="B1307" s="1" t="n">
        <v>44469</v>
      </c>
      <c r="C1307" s="1" t="n">
        <v>46075</v>
      </c>
      <c r="D1307" t="inlineStr">
        <is>
          <t>VÄSTERBOTTENS LÄN</t>
        </is>
      </c>
      <c r="E1307" t="inlineStr">
        <is>
          <t>LYCKSELE</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38519-2021</t>
        </is>
      </c>
      <c r="B1308" s="1" t="n">
        <v>44407</v>
      </c>
      <c r="C1308" s="1" t="n">
        <v>46075</v>
      </c>
      <c r="D1308" t="inlineStr">
        <is>
          <t>VÄSTERBOTTENS LÄN</t>
        </is>
      </c>
      <c r="E1308" t="inlineStr">
        <is>
          <t>UMEÅ</t>
        </is>
      </c>
      <c r="F1308" t="inlineStr">
        <is>
          <t>Kommuner</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28065-2021</t>
        </is>
      </c>
      <c r="B1309" s="1" t="n">
        <v>44355</v>
      </c>
      <c r="C1309" s="1" t="n">
        <v>46075</v>
      </c>
      <c r="D1309" t="inlineStr">
        <is>
          <t>VÄSTERBOTTENS LÄN</t>
        </is>
      </c>
      <c r="E1309" t="inlineStr">
        <is>
          <t>VÄNNÄS</t>
        </is>
      </c>
      <c r="G1309" t="n">
        <v>4.5</v>
      </c>
      <c r="H1309" t="n">
        <v>0</v>
      </c>
      <c r="I1309" t="n">
        <v>0</v>
      </c>
      <c r="J1309" t="n">
        <v>0</v>
      </c>
      <c r="K1309" t="n">
        <v>0</v>
      </c>
      <c r="L1309" t="n">
        <v>0</v>
      </c>
      <c r="M1309" t="n">
        <v>0</v>
      </c>
      <c r="N1309" t="n">
        <v>0</v>
      </c>
      <c r="O1309" t="n">
        <v>0</v>
      </c>
      <c r="P1309" t="n">
        <v>0</v>
      </c>
      <c r="Q1309" t="n">
        <v>0</v>
      </c>
      <c r="R1309" s="2" t="inlineStr"/>
    </row>
    <row r="1310" ht="15" customHeight="1">
      <c r="A1310" t="inlineStr">
        <is>
          <t>A 54606-2022</t>
        </is>
      </c>
      <c r="B1310" s="1" t="n">
        <v>44880</v>
      </c>
      <c r="C1310" s="1" t="n">
        <v>46075</v>
      </c>
      <c r="D1310" t="inlineStr">
        <is>
          <t>VÄSTERBOTTENS LÄN</t>
        </is>
      </c>
      <c r="E1310" t="inlineStr">
        <is>
          <t>ROBERTSFORS</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17139-2022</t>
        </is>
      </c>
      <c r="B1311" s="1" t="n">
        <v>44677</v>
      </c>
      <c r="C1311" s="1" t="n">
        <v>46075</v>
      </c>
      <c r="D1311" t="inlineStr">
        <is>
          <t>VÄSTERBOTTENS LÄN</t>
        </is>
      </c>
      <c r="E1311" t="inlineStr">
        <is>
          <t>ROBERTSFORS</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9007-2022</t>
        </is>
      </c>
      <c r="B1312" s="1" t="n">
        <v>44615.35633101852</v>
      </c>
      <c r="C1312" s="1" t="n">
        <v>46075</v>
      </c>
      <c r="D1312" t="inlineStr">
        <is>
          <t>VÄSTERBOTTENS LÄN</t>
        </is>
      </c>
      <c r="E1312" t="inlineStr">
        <is>
          <t>ÅSELE</t>
        </is>
      </c>
      <c r="G1312" t="n">
        <v>18.6</v>
      </c>
      <c r="H1312" t="n">
        <v>0</v>
      </c>
      <c r="I1312" t="n">
        <v>0</v>
      </c>
      <c r="J1312" t="n">
        <v>0</v>
      </c>
      <c r="K1312" t="n">
        <v>0</v>
      </c>
      <c r="L1312" t="n">
        <v>0</v>
      </c>
      <c r="M1312" t="n">
        <v>0</v>
      </c>
      <c r="N1312" t="n">
        <v>0</v>
      </c>
      <c r="O1312" t="n">
        <v>0</v>
      </c>
      <c r="P1312" t="n">
        <v>0</v>
      </c>
      <c r="Q1312" t="n">
        <v>0</v>
      </c>
      <c r="R1312" s="2" t="inlineStr"/>
    </row>
    <row r="1313" ht="15" customHeight="1">
      <c r="A1313" t="inlineStr">
        <is>
          <t>A 40503-2021</t>
        </is>
      </c>
      <c r="B1313" s="1" t="n">
        <v>44420.34442129629</v>
      </c>
      <c r="C1313" s="1" t="n">
        <v>46075</v>
      </c>
      <c r="D1313" t="inlineStr">
        <is>
          <t>VÄSTERBOTTENS LÄN</t>
        </is>
      </c>
      <c r="E1313" t="inlineStr">
        <is>
          <t>ÅSELE</t>
        </is>
      </c>
      <c r="F1313" t="inlineStr">
        <is>
          <t>Holmen skog AB</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31848-2022</t>
        </is>
      </c>
      <c r="B1314" s="1" t="n">
        <v>44776</v>
      </c>
      <c r="C1314" s="1" t="n">
        <v>46075</v>
      </c>
      <c r="D1314" t="inlineStr">
        <is>
          <t>VÄSTERBOTTENS LÄN</t>
        </is>
      </c>
      <c r="E1314" t="inlineStr">
        <is>
          <t>ÅSELE</t>
        </is>
      </c>
      <c r="F1314" t="inlineStr">
        <is>
          <t>SCA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31920-2022</t>
        </is>
      </c>
      <c r="B1315" s="1" t="n">
        <v>44777.60917824074</v>
      </c>
      <c r="C1315" s="1" t="n">
        <v>46075</v>
      </c>
      <c r="D1315" t="inlineStr">
        <is>
          <t>VÄSTERBOTTENS LÄN</t>
        </is>
      </c>
      <c r="E1315" t="inlineStr">
        <is>
          <t>UMEÅ</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11468-2022</t>
        </is>
      </c>
      <c r="B1316" s="1" t="n">
        <v>44630.82231481482</v>
      </c>
      <c r="C1316" s="1" t="n">
        <v>46075</v>
      </c>
      <c r="D1316" t="inlineStr">
        <is>
          <t>VÄSTERBOTTENS LÄN</t>
        </is>
      </c>
      <c r="E1316" t="inlineStr">
        <is>
          <t>SKELLEFTEÅ</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14850-2021</t>
        </is>
      </c>
      <c r="B1317" s="1" t="n">
        <v>44280</v>
      </c>
      <c r="C1317" s="1" t="n">
        <v>46075</v>
      </c>
      <c r="D1317" t="inlineStr">
        <is>
          <t>VÄSTERBOTTENS LÄN</t>
        </is>
      </c>
      <c r="E1317" t="inlineStr">
        <is>
          <t>SKELLEFTEÅ</t>
        </is>
      </c>
      <c r="F1317" t="inlineStr">
        <is>
          <t>SCA</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30626-2021</t>
        </is>
      </c>
      <c r="B1318" s="1" t="n">
        <v>44364</v>
      </c>
      <c r="C1318" s="1" t="n">
        <v>46075</v>
      </c>
      <c r="D1318" t="inlineStr">
        <is>
          <t>VÄSTERBOTTENS LÄN</t>
        </is>
      </c>
      <c r="E1318" t="inlineStr">
        <is>
          <t>SORSELE</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40314-2022</t>
        </is>
      </c>
      <c r="B1319" s="1" t="n">
        <v>44823.28108796296</v>
      </c>
      <c r="C1319" s="1" t="n">
        <v>46075</v>
      </c>
      <c r="D1319" t="inlineStr">
        <is>
          <t>VÄSTERBOTTENS LÄN</t>
        </is>
      </c>
      <c r="E1319" t="inlineStr">
        <is>
          <t>SKELLEFTEÅ</t>
        </is>
      </c>
      <c r="G1319" t="n">
        <v>4.1</v>
      </c>
      <c r="H1319" t="n">
        <v>0</v>
      </c>
      <c r="I1319" t="n">
        <v>0</v>
      </c>
      <c r="J1319" t="n">
        <v>0</v>
      </c>
      <c r="K1319" t="n">
        <v>0</v>
      </c>
      <c r="L1319" t="n">
        <v>0</v>
      </c>
      <c r="M1319" t="n">
        <v>0</v>
      </c>
      <c r="N1319" t="n">
        <v>0</v>
      </c>
      <c r="O1319" t="n">
        <v>0</v>
      </c>
      <c r="P1319" t="n">
        <v>0</v>
      </c>
      <c r="Q1319" t="n">
        <v>0</v>
      </c>
      <c r="R1319" s="2" t="inlineStr"/>
    </row>
    <row r="1320" ht="15" customHeight="1">
      <c r="A1320" t="inlineStr">
        <is>
          <t>A 25401-2021</t>
        </is>
      </c>
      <c r="B1320" s="1" t="n">
        <v>44342</v>
      </c>
      <c r="C1320" s="1" t="n">
        <v>46075</v>
      </c>
      <c r="D1320" t="inlineStr">
        <is>
          <t>VÄSTERBOTTENS LÄN</t>
        </is>
      </c>
      <c r="E1320" t="inlineStr">
        <is>
          <t>NORDMALING</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11309-2022</t>
        </is>
      </c>
      <c r="B1321" s="1" t="n">
        <v>44629</v>
      </c>
      <c r="C1321" s="1" t="n">
        <v>46075</v>
      </c>
      <c r="D1321" t="inlineStr">
        <is>
          <t>VÄSTERBOTTENS LÄN</t>
        </is>
      </c>
      <c r="E1321" t="inlineStr">
        <is>
          <t>DOROTEA</t>
        </is>
      </c>
      <c r="F1321" t="inlineStr">
        <is>
          <t>SCA</t>
        </is>
      </c>
      <c r="G1321" t="n">
        <v>16.8</v>
      </c>
      <c r="H1321" t="n">
        <v>0</v>
      </c>
      <c r="I1321" t="n">
        <v>0</v>
      </c>
      <c r="J1321" t="n">
        <v>0</v>
      </c>
      <c r="K1321" t="n">
        <v>0</v>
      </c>
      <c r="L1321" t="n">
        <v>0</v>
      </c>
      <c r="M1321" t="n">
        <v>0</v>
      </c>
      <c r="N1321" t="n">
        <v>0</v>
      </c>
      <c r="O1321" t="n">
        <v>0</v>
      </c>
      <c r="P1321" t="n">
        <v>0</v>
      </c>
      <c r="Q1321" t="n">
        <v>0</v>
      </c>
      <c r="R1321" s="2" t="inlineStr"/>
    </row>
    <row r="1322" ht="15" customHeight="1">
      <c r="A1322" t="inlineStr">
        <is>
          <t>A 36719-2021</t>
        </is>
      </c>
      <c r="B1322" s="1" t="n">
        <v>44392</v>
      </c>
      <c r="C1322" s="1" t="n">
        <v>46075</v>
      </c>
      <c r="D1322" t="inlineStr">
        <is>
          <t>VÄSTERBOTTENS LÄN</t>
        </is>
      </c>
      <c r="E1322" t="inlineStr">
        <is>
          <t>STORUMAN</t>
        </is>
      </c>
      <c r="F1322" t="inlineStr">
        <is>
          <t>Sveaskog</t>
        </is>
      </c>
      <c r="G1322" t="n">
        <v>4.4</v>
      </c>
      <c r="H1322" t="n">
        <v>0</v>
      </c>
      <c r="I1322" t="n">
        <v>0</v>
      </c>
      <c r="J1322" t="n">
        <v>0</v>
      </c>
      <c r="K1322" t="n">
        <v>0</v>
      </c>
      <c r="L1322" t="n">
        <v>0</v>
      </c>
      <c r="M1322" t="n">
        <v>0</v>
      </c>
      <c r="N1322" t="n">
        <v>0</v>
      </c>
      <c r="O1322" t="n">
        <v>0</v>
      </c>
      <c r="P1322" t="n">
        <v>0</v>
      </c>
      <c r="Q1322" t="n">
        <v>0</v>
      </c>
      <c r="R1322" s="2" t="inlineStr"/>
    </row>
    <row r="1323" ht="15" customHeight="1">
      <c r="A1323" t="inlineStr">
        <is>
          <t>A 17850-2021</t>
        </is>
      </c>
      <c r="B1323" s="1" t="n">
        <v>44300.93118055556</v>
      </c>
      <c r="C1323" s="1" t="n">
        <v>46075</v>
      </c>
      <c r="D1323" t="inlineStr">
        <is>
          <t>VÄSTERBOTTENS LÄN</t>
        </is>
      </c>
      <c r="E1323" t="inlineStr">
        <is>
          <t>BJURHOLM</t>
        </is>
      </c>
      <c r="F1323" t="inlineStr">
        <is>
          <t>SCA</t>
        </is>
      </c>
      <c r="G1323" t="n">
        <v>11.4</v>
      </c>
      <c r="H1323" t="n">
        <v>0</v>
      </c>
      <c r="I1323" t="n">
        <v>0</v>
      </c>
      <c r="J1323" t="n">
        <v>0</v>
      </c>
      <c r="K1323" t="n">
        <v>0</v>
      </c>
      <c r="L1323" t="n">
        <v>0</v>
      </c>
      <c r="M1323" t="n">
        <v>0</v>
      </c>
      <c r="N1323" t="n">
        <v>0</v>
      </c>
      <c r="O1323" t="n">
        <v>0</v>
      </c>
      <c r="P1323" t="n">
        <v>0</v>
      </c>
      <c r="Q1323" t="n">
        <v>0</v>
      </c>
      <c r="R1323" s="2" t="inlineStr"/>
    </row>
    <row r="1324" ht="15" customHeight="1">
      <c r="A1324" t="inlineStr">
        <is>
          <t>A 36460-2021</t>
        </is>
      </c>
      <c r="B1324" s="1" t="n">
        <v>44390</v>
      </c>
      <c r="C1324" s="1" t="n">
        <v>46075</v>
      </c>
      <c r="D1324" t="inlineStr">
        <is>
          <t>VÄSTERBOTTENS LÄN</t>
        </is>
      </c>
      <c r="E1324" t="inlineStr">
        <is>
          <t>ÅSELE</t>
        </is>
      </c>
      <c r="F1324" t="inlineStr">
        <is>
          <t>SCA</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26018-2022</t>
        </is>
      </c>
      <c r="B1325" s="1" t="n">
        <v>44734</v>
      </c>
      <c r="C1325" s="1" t="n">
        <v>46075</v>
      </c>
      <c r="D1325" t="inlineStr">
        <is>
          <t>VÄSTERBOTTENS LÄN</t>
        </is>
      </c>
      <c r="E1325" t="inlineStr">
        <is>
          <t>ROBERTSFORS</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26048-2022</t>
        </is>
      </c>
      <c r="B1326" s="1" t="n">
        <v>44734.59699074074</v>
      </c>
      <c r="C1326" s="1" t="n">
        <v>46075</v>
      </c>
      <c r="D1326" t="inlineStr">
        <is>
          <t>VÄSTERBOTTENS LÄN</t>
        </is>
      </c>
      <c r="E1326" t="inlineStr">
        <is>
          <t>ROBERTSFORS</t>
        </is>
      </c>
      <c r="G1326" t="n">
        <v>12.2</v>
      </c>
      <c r="H1326" t="n">
        <v>0</v>
      </c>
      <c r="I1326" t="n">
        <v>0</v>
      </c>
      <c r="J1326" t="n">
        <v>0</v>
      </c>
      <c r="K1326" t="n">
        <v>0</v>
      </c>
      <c r="L1326" t="n">
        <v>0</v>
      </c>
      <c r="M1326" t="n">
        <v>0</v>
      </c>
      <c r="N1326" t="n">
        <v>0</v>
      </c>
      <c r="O1326" t="n">
        <v>0</v>
      </c>
      <c r="P1326" t="n">
        <v>0</v>
      </c>
      <c r="Q1326" t="n">
        <v>0</v>
      </c>
      <c r="R1326" s="2" t="inlineStr"/>
    </row>
    <row r="1327" ht="15" customHeight="1">
      <c r="A1327" t="inlineStr">
        <is>
          <t>A 12529-2022</t>
        </is>
      </c>
      <c r="B1327" s="1" t="n">
        <v>44638</v>
      </c>
      <c r="C1327" s="1" t="n">
        <v>46075</v>
      </c>
      <c r="D1327" t="inlineStr">
        <is>
          <t>VÄSTERBOTTENS LÄN</t>
        </is>
      </c>
      <c r="E1327" t="inlineStr">
        <is>
          <t>SKELLEFTEÅ</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22405-2022</t>
        </is>
      </c>
      <c r="B1328" s="1" t="n">
        <v>44713</v>
      </c>
      <c r="C1328" s="1" t="n">
        <v>46075</v>
      </c>
      <c r="D1328" t="inlineStr">
        <is>
          <t>VÄSTERBOTTENS LÄN</t>
        </is>
      </c>
      <c r="E1328" t="inlineStr">
        <is>
          <t>VILHELMINA</t>
        </is>
      </c>
      <c r="G1328" t="n">
        <v>13.2</v>
      </c>
      <c r="H1328" t="n">
        <v>0</v>
      </c>
      <c r="I1328" t="n">
        <v>0</v>
      </c>
      <c r="J1328" t="n">
        <v>0</v>
      </c>
      <c r="K1328" t="n">
        <v>0</v>
      </c>
      <c r="L1328" t="n">
        <v>0</v>
      </c>
      <c r="M1328" t="n">
        <v>0</v>
      </c>
      <c r="N1328" t="n">
        <v>0</v>
      </c>
      <c r="O1328" t="n">
        <v>0</v>
      </c>
      <c r="P1328" t="n">
        <v>0</v>
      </c>
      <c r="Q1328" t="n">
        <v>0</v>
      </c>
      <c r="R1328" s="2" t="inlineStr"/>
    </row>
    <row r="1329" ht="15" customHeight="1">
      <c r="A1329" t="inlineStr">
        <is>
          <t>A 33236-2021</t>
        </is>
      </c>
      <c r="B1329" s="1" t="n">
        <v>44376</v>
      </c>
      <c r="C1329" s="1" t="n">
        <v>46075</v>
      </c>
      <c r="D1329" t="inlineStr">
        <is>
          <t>VÄSTERBOTTENS LÄN</t>
        </is>
      </c>
      <c r="E1329" t="inlineStr">
        <is>
          <t>SKELLEFTEÅ</t>
        </is>
      </c>
      <c r="G1329" t="n">
        <v>5.4</v>
      </c>
      <c r="H1329" t="n">
        <v>0</v>
      </c>
      <c r="I1329" t="n">
        <v>0</v>
      </c>
      <c r="J1329" t="n">
        <v>0</v>
      </c>
      <c r="K1329" t="n">
        <v>0</v>
      </c>
      <c r="L1329" t="n">
        <v>0</v>
      </c>
      <c r="M1329" t="n">
        <v>0</v>
      </c>
      <c r="N1329" t="n">
        <v>0</v>
      </c>
      <c r="O1329" t="n">
        <v>0</v>
      </c>
      <c r="P1329" t="n">
        <v>0</v>
      </c>
      <c r="Q1329" t="n">
        <v>0</v>
      </c>
      <c r="R1329" s="2" t="inlineStr"/>
    </row>
    <row r="1330" ht="15" customHeight="1">
      <c r="A1330" t="inlineStr">
        <is>
          <t>A 35943-2021</t>
        </is>
      </c>
      <c r="B1330" s="1" t="n">
        <v>44388.59247685185</v>
      </c>
      <c r="C1330" s="1" t="n">
        <v>46075</v>
      </c>
      <c r="D1330" t="inlineStr">
        <is>
          <t>VÄSTERBOTTENS LÄN</t>
        </is>
      </c>
      <c r="E1330" t="inlineStr">
        <is>
          <t>LYCKSELE</t>
        </is>
      </c>
      <c r="F1330" t="inlineStr">
        <is>
          <t>Sveaskog</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18046-2022</t>
        </is>
      </c>
      <c r="B1331" s="1" t="n">
        <v>44684</v>
      </c>
      <c r="C1331" s="1" t="n">
        <v>46075</v>
      </c>
      <c r="D1331" t="inlineStr">
        <is>
          <t>VÄSTERBOTTENS LÄN</t>
        </is>
      </c>
      <c r="E1331" t="inlineStr">
        <is>
          <t>SKELLEFTEÅ</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70213-2021</t>
        </is>
      </c>
      <c r="B1332" s="1" t="n">
        <v>44535.39266203704</v>
      </c>
      <c r="C1332" s="1" t="n">
        <v>46075</v>
      </c>
      <c r="D1332" t="inlineStr">
        <is>
          <t>VÄSTERBOTTENS LÄN</t>
        </is>
      </c>
      <c r="E1332" t="inlineStr">
        <is>
          <t>LYCKSELE</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37979-2021</t>
        </is>
      </c>
      <c r="B1333" s="1" t="n">
        <v>44403</v>
      </c>
      <c r="C1333" s="1" t="n">
        <v>46075</v>
      </c>
      <c r="D1333" t="inlineStr">
        <is>
          <t>VÄSTERBOTTENS LÄN</t>
        </is>
      </c>
      <c r="E1333" t="inlineStr">
        <is>
          <t>LYCKSELE</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70229-2021</t>
        </is>
      </c>
      <c r="B1334" s="1" t="n">
        <v>44533</v>
      </c>
      <c r="C1334" s="1" t="n">
        <v>46075</v>
      </c>
      <c r="D1334" t="inlineStr">
        <is>
          <t>VÄSTERBOTTENS LÄN</t>
        </is>
      </c>
      <c r="E1334" t="inlineStr">
        <is>
          <t>SKELLEFTEÅ</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24503-2021</t>
        </is>
      </c>
      <c r="B1335" s="1" t="n">
        <v>44337</v>
      </c>
      <c r="C1335" s="1" t="n">
        <v>46075</v>
      </c>
      <c r="D1335" t="inlineStr">
        <is>
          <t>VÄSTERBOTTENS LÄN</t>
        </is>
      </c>
      <c r="E1335" t="inlineStr">
        <is>
          <t>MALÅ</t>
        </is>
      </c>
      <c r="G1335" t="n">
        <v>33.3</v>
      </c>
      <c r="H1335" t="n">
        <v>0</v>
      </c>
      <c r="I1335" t="n">
        <v>0</v>
      </c>
      <c r="J1335" t="n">
        <v>0</v>
      </c>
      <c r="K1335" t="n">
        <v>0</v>
      </c>
      <c r="L1335" t="n">
        <v>0</v>
      </c>
      <c r="M1335" t="n">
        <v>0</v>
      </c>
      <c r="N1335" t="n">
        <v>0</v>
      </c>
      <c r="O1335" t="n">
        <v>0</v>
      </c>
      <c r="P1335" t="n">
        <v>0</v>
      </c>
      <c r="Q1335" t="n">
        <v>0</v>
      </c>
      <c r="R1335" s="2" t="inlineStr"/>
    </row>
    <row r="1336" ht="15" customHeight="1">
      <c r="A1336" t="inlineStr">
        <is>
          <t>A 11116-2022</t>
        </is>
      </c>
      <c r="B1336" s="1" t="n">
        <v>44628.92569444444</v>
      </c>
      <c r="C1336" s="1" t="n">
        <v>46075</v>
      </c>
      <c r="D1336" t="inlineStr">
        <is>
          <t>VÄSTERBOTTENS LÄN</t>
        </is>
      </c>
      <c r="E1336" t="inlineStr">
        <is>
          <t>VILHELMINA</t>
        </is>
      </c>
      <c r="G1336" t="n">
        <v>4.2</v>
      </c>
      <c r="H1336" t="n">
        <v>0</v>
      </c>
      <c r="I1336" t="n">
        <v>0</v>
      </c>
      <c r="J1336" t="n">
        <v>0</v>
      </c>
      <c r="K1336" t="n">
        <v>0</v>
      </c>
      <c r="L1336" t="n">
        <v>0</v>
      </c>
      <c r="M1336" t="n">
        <v>0</v>
      </c>
      <c r="N1336" t="n">
        <v>0</v>
      </c>
      <c r="O1336" t="n">
        <v>0</v>
      </c>
      <c r="P1336" t="n">
        <v>0</v>
      </c>
      <c r="Q1336" t="n">
        <v>0</v>
      </c>
      <c r="R1336" s="2" t="inlineStr"/>
    </row>
    <row r="1337" ht="15" customHeight="1">
      <c r="A1337" t="inlineStr">
        <is>
          <t>A 24871-2021</t>
        </is>
      </c>
      <c r="B1337" s="1" t="n">
        <v>44340</v>
      </c>
      <c r="C1337" s="1" t="n">
        <v>46075</v>
      </c>
      <c r="D1337" t="inlineStr">
        <is>
          <t>VÄSTERBOTTENS LÄN</t>
        </is>
      </c>
      <c r="E1337" t="inlineStr">
        <is>
          <t>VINDELN</t>
        </is>
      </c>
      <c r="G1337" t="n">
        <v>10.7</v>
      </c>
      <c r="H1337" t="n">
        <v>0</v>
      </c>
      <c r="I1337" t="n">
        <v>0</v>
      </c>
      <c r="J1337" t="n">
        <v>0</v>
      </c>
      <c r="K1337" t="n">
        <v>0</v>
      </c>
      <c r="L1337" t="n">
        <v>0</v>
      </c>
      <c r="M1337" t="n">
        <v>0</v>
      </c>
      <c r="N1337" t="n">
        <v>0</v>
      </c>
      <c r="O1337" t="n">
        <v>0</v>
      </c>
      <c r="P1337" t="n">
        <v>0</v>
      </c>
      <c r="Q1337" t="n">
        <v>0</v>
      </c>
      <c r="R1337" s="2" t="inlineStr"/>
    </row>
    <row r="1338" ht="15" customHeight="1">
      <c r="A1338" t="inlineStr">
        <is>
          <t>A 24892-2021</t>
        </is>
      </c>
      <c r="B1338" s="1" t="n">
        <v>44340</v>
      </c>
      <c r="C1338" s="1" t="n">
        <v>46075</v>
      </c>
      <c r="D1338" t="inlineStr">
        <is>
          <t>VÄSTERBOTTENS LÄN</t>
        </is>
      </c>
      <c r="E1338" t="inlineStr">
        <is>
          <t>VINDELN</t>
        </is>
      </c>
      <c r="G1338" t="n">
        <v>10</v>
      </c>
      <c r="H1338" t="n">
        <v>0</v>
      </c>
      <c r="I1338" t="n">
        <v>0</v>
      </c>
      <c r="J1338" t="n">
        <v>0</v>
      </c>
      <c r="K1338" t="n">
        <v>0</v>
      </c>
      <c r="L1338" t="n">
        <v>0</v>
      </c>
      <c r="M1338" t="n">
        <v>0</v>
      </c>
      <c r="N1338" t="n">
        <v>0</v>
      </c>
      <c r="O1338" t="n">
        <v>0</v>
      </c>
      <c r="P1338" t="n">
        <v>0</v>
      </c>
      <c r="Q1338" t="n">
        <v>0</v>
      </c>
      <c r="R1338" s="2" t="inlineStr"/>
    </row>
    <row r="1339" ht="15" customHeight="1">
      <c r="A1339" t="inlineStr">
        <is>
          <t>A 58428-2021</t>
        </is>
      </c>
      <c r="B1339" s="1" t="n">
        <v>44488</v>
      </c>
      <c r="C1339" s="1" t="n">
        <v>46075</v>
      </c>
      <c r="D1339" t="inlineStr">
        <is>
          <t>VÄSTERBOTTENS LÄN</t>
        </is>
      </c>
      <c r="E1339" t="inlineStr">
        <is>
          <t>STORUMAN</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27265-2022</t>
        </is>
      </c>
      <c r="B1340" s="1" t="n">
        <v>44741.85099537037</v>
      </c>
      <c r="C1340" s="1" t="n">
        <v>46075</v>
      </c>
      <c r="D1340" t="inlineStr">
        <is>
          <t>VÄSTERBOTTENS LÄN</t>
        </is>
      </c>
      <c r="E1340" t="inlineStr">
        <is>
          <t>SKELLEFTEÅ</t>
        </is>
      </c>
      <c r="F1340" t="inlineStr">
        <is>
          <t>Holmen skog AB</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14351-2022</t>
        </is>
      </c>
      <c r="B1341" s="1" t="n">
        <v>44652</v>
      </c>
      <c r="C1341" s="1" t="n">
        <v>46075</v>
      </c>
      <c r="D1341" t="inlineStr">
        <is>
          <t>VÄSTERBOTTENS LÄN</t>
        </is>
      </c>
      <c r="E1341" t="inlineStr">
        <is>
          <t>VINDELN</t>
        </is>
      </c>
      <c r="G1341" t="n">
        <v>14.4</v>
      </c>
      <c r="H1341" t="n">
        <v>0</v>
      </c>
      <c r="I1341" t="n">
        <v>0</v>
      </c>
      <c r="J1341" t="n">
        <v>0</v>
      </c>
      <c r="K1341" t="n">
        <v>0</v>
      </c>
      <c r="L1341" t="n">
        <v>0</v>
      </c>
      <c r="M1341" t="n">
        <v>0</v>
      </c>
      <c r="N1341" t="n">
        <v>0</v>
      </c>
      <c r="O1341" t="n">
        <v>0</v>
      </c>
      <c r="P1341" t="n">
        <v>0</v>
      </c>
      <c r="Q1341" t="n">
        <v>0</v>
      </c>
      <c r="R1341" s="2" t="inlineStr"/>
    </row>
    <row r="1342" ht="15" customHeight="1">
      <c r="A1342" t="inlineStr">
        <is>
          <t>A 28040-2022</t>
        </is>
      </c>
      <c r="B1342" s="1" t="n">
        <v>44746</v>
      </c>
      <c r="C1342" s="1" t="n">
        <v>46075</v>
      </c>
      <c r="D1342" t="inlineStr">
        <is>
          <t>VÄSTERBOTTENS LÄN</t>
        </is>
      </c>
      <c r="E1342" t="inlineStr">
        <is>
          <t>BJURHOLM</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30389-2022</t>
        </is>
      </c>
      <c r="B1343" s="1" t="n">
        <v>44760</v>
      </c>
      <c r="C1343" s="1" t="n">
        <v>46075</v>
      </c>
      <c r="D1343" t="inlineStr">
        <is>
          <t>VÄSTERBOTTENS LÄN</t>
        </is>
      </c>
      <c r="E1343" t="inlineStr">
        <is>
          <t>SKELLEFTEÅ</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15680-2022</t>
        </is>
      </c>
      <c r="B1344" s="1" t="n">
        <v>44663</v>
      </c>
      <c r="C1344" s="1" t="n">
        <v>46075</v>
      </c>
      <c r="D1344" t="inlineStr">
        <is>
          <t>VÄSTERBOTTENS LÄN</t>
        </is>
      </c>
      <c r="E1344" t="inlineStr">
        <is>
          <t>STORUMAN</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54225-2021</t>
        </is>
      </c>
      <c r="B1345" s="1" t="n">
        <v>44470.62471064815</v>
      </c>
      <c r="C1345" s="1" t="n">
        <v>46075</v>
      </c>
      <c r="D1345" t="inlineStr">
        <is>
          <t>VÄSTERBOTTENS LÄN</t>
        </is>
      </c>
      <c r="E1345" t="inlineStr">
        <is>
          <t>UMEÅ</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54297-2021</t>
        </is>
      </c>
      <c r="B1346" s="1" t="n">
        <v>44472</v>
      </c>
      <c r="C1346" s="1" t="n">
        <v>46075</v>
      </c>
      <c r="D1346" t="inlineStr">
        <is>
          <t>VÄSTERBOTTENS LÄN</t>
        </is>
      </c>
      <c r="E1346" t="inlineStr">
        <is>
          <t>MALÅ</t>
        </is>
      </c>
      <c r="G1346" t="n">
        <v>8.800000000000001</v>
      </c>
      <c r="H1346" t="n">
        <v>0</v>
      </c>
      <c r="I1346" t="n">
        <v>0</v>
      </c>
      <c r="J1346" t="n">
        <v>0</v>
      </c>
      <c r="K1346" t="n">
        <v>0</v>
      </c>
      <c r="L1346" t="n">
        <v>0</v>
      </c>
      <c r="M1346" t="n">
        <v>0</v>
      </c>
      <c r="N1346" t="n">
        <v>0</v>
      </c>
      <c r="O1346" t="n">
        <v>0</v>
      </c>
      <c r="P1346" t="n">
        <v>0</v>
      </c>
      <c r="Q1346" t="n">
        <v>0</v>
      </c>
      <c r="R1346" s="2" t="inlineStr"/>
    </row>
    <row r="1347" ht="15" customHeight="1">
      <c r="A1347" t="inlineStr">
        <is>
          <t>A 54298-2021</t>
        </is>
      </c>
      <c r="B1347" s="1" t="n">
        <v>44472</v>
      </c>
      <c r="C1347" s="1" t="n">
        <v>46075</v>
      </c>
      <c r="D1347" t="inlineStr">
        <is>
          <t>VÄSTERBOTTENS LÄN</t>
        </is>
      </c>
      <c r="E1347" t="inlineStr">
        <is>
          <t>MALÅ</t>
        </is>
      </c>
      <c r="G1347" t="n">
        <v>7.6</v>
      </c>
      <c r="H1347" t="n">
        <v>0</v>
      </c>
      <c r="I1347" t="n">
        <v>0</v>
      </c>
      <c r="J1347" t="n">
        <v>0</v>
      </c>
      <c r="K1347" t="n">
        <v>0</v>
      </c>
      <c r="L1347" t="n">
        <v>0</v>
      </c>
      <c r="M1347" t="n">
        <v>0</v>
      </c>
      <c r="N1347" t="n">
        <v>0</v>
      </c>
      <c r="O1347" t="n">
        <v>0</v>
      </c>
      <c r="P1347" t="n">
        <v>0</v>
      </c>
      <c r="Q1347" t="n">
        <v>0</v>
      </c>
      <c r="R1347" s="2" t="inlineStr"/>
    </row>
    <row r="1348" ht="15" customHeight="1">
      <c r="A1348" t="inlineStr">
        <is>
          <t>A 48432-2022</t>
        </is>
      </c>
      <c r="B1348" s="1" t="n">
        <v>44858.64782407408</v>
      </c>
      <c r="C1348" s="1" t="n">
        <v>46075</v>
      </c>
      <c r="D1348" t="inlineStr">
        <is>
          <t>VÄSTERBOTTENS LÄN</t>
        </is>
      </c>
      <c r="E1348" t="inlineStr">
        <is>
          <t>ROBERTSFORS</t>
        </is>
      </c>
      <c r="F1348" t="inlineStr">
        <is>
          <t>Holmen skog AB</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8731-2022</t>
        </is>
      </c>
      <c r="B1349" s="1" t="n">
        <v>44613</v>
      </c>
      <c r="C1349" s="1" t="n">
        <v>46075</v>
      </c>
      <c r="D1349" t="inlineStr">
        <is>
          <t>VÄSTERBOTTENS LÄN</t>
        </is>
      </c>
      <c r="E1349" t="inlineStr">
        <is>
          <t>VILHELMINA</t>
        </is>
      </c>
      <c r="F1349" t="inlineStr">
        <is>
          <t>SCA</t>
        </is>
      </c>
      <c r="G1349" t="n">
        <v>4.4</v>
      </c>
      <c r="H1349" t="n">
        <v>0</v>
      </c>
      <c r="I1349" t="n">
        <v>0</v>
      </c>
      <c r="J1349" t="n">
        <v>0</v>
      </c>
      <c r="K1349" t="n">
        <v>0</v>
      </c>
      <c r="L1349" t="n">
        <v>0</v>
      </c>
      <c r="M1349" t="n">
        <v>0</v>
      </c>
      <c r="N1349" t="n">
        <v>0</v>
      </c>
      <c r="O1349" t="n">
        <v>0</v>
      </c>
      <c r="P1349" t="n">
        <v>0</v>
      </c>
      <c r="Q1349" t="n">
        <v>0</v>
      </c>
      <c r="R1349" s="2" t="inlineStr"/>
    </row>
    <row r="1350" ht="15" customHeight="1">
      <c r="A1350" t="inlineStr">
        <is>
          <t>A 64098-2021</t>
        </is>
      </c>
      <c r="B1350" s="1" t="n">
        <v>44510.4482175926</v>
      </c>
      <c r="C1350" s="1" t="n">
        <v>46075</v>
      </c>
      <c r="D1350" t="inlineStr">
        <is>
          <t>VÄSTERBOTTENS LÄN</t>
        </is>
      </c>
      <c r="E1350" t="inlineStr">
        <is>
          <t>NORDMALING</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50110-2021</t>
        </is>
      </c>
      <c r="B1351" s="1" t="n">
        <v>44456</v>
      </c>
      <c r="C1351" s="1" t="n">
        <v>46075</v>
      </c>
      <c r="D1351" t="inlineStr">
        <is>
          <t>VÄSTERBOTTENS LÄN</t>
        </is>
      </c>
      <c r="E1351" t="inlineStr">
        <is>
          <t>UMEÅ</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13369-2022</t>
        </is>
      </c>
      <c r="B1352" s="1" t="n">
        <v>44645</v>
      </c>
      <c r="C1352" s="1" t="n">
        <v>46075</v>
      </c>
      <c r="D1352" t="inlineStr">
        <is>
          <t>VÄSTERBOTTENS LÄN</t>
        </is>
      </c>
      <c r="E1352" t="inlineStr">
        <is>
          <t>ROBERTSFORS</t>
        </is>
      </c>
      <c r="G1352" t="n">
        <v>13.1</v>
      </c>
      <c r="H1352" t="n">
        <v>0</v>
      </c>
      <c r="I1352" t="n">
        <v>0</v>
      </c>
      <c r="J1352" t="n">
        <v>0</v>
      </c>
      <c r="K1352" t="n">
        <v>0</v>
      </c>
      <c r="L1352" t="n">
        <v>0</v>
      </c>
      <c r="M1352" t="n">
        <v>0</v>
      </c>
      <c r="N1352" t="n">
        <v>0</v>
      </c>
      <c r="O1352" t="n">
        <v>0</v>
      </c>
      <c r="P1352" t="n">
        <v>0</v>
      </c>
      <c r="Q1352" t="n">
        <v>0</v>
      </c>
      <c r="R1352" s="2" t="inlineStr"/>
    </row>
    <row r="1353" ht="15" customHeight="1">
      <c r="A1353" t="inlineStr">
        <is>
          <t>A 31412-2022</t>
        </is>
      </c>
      <c r="B1353" s="1" t="n">
        <v>44774</v>
      </c>
      <c r="C1353" s="1" t="n">
        <v>46075</v>
      </c>
      <c r="D1353" t="inlineStr">
        <is>
          <t>VÄSTERBOTTENS LÄN</t>
        </is>
      </c>
      <c r="E1353" t="inlineStr">
        <is>
          <t>BJURHOLM</t>
        </is>
      </c>
      <c r="G1353" t="n">
        <v>5.4</v>
      </c>
      <c r="H1353" t="n">
        <v>0</v>
      </c>
      <c r="I1353" t="n">
        <v>0</v>
      </c>
      <c r="J1353" t="n">
        <v>0</v>
      </c>
      <c r="K1353" t="n">
        <v>0</v>
      </c>
      <c r="L1353" t="n">
        <v>0</v>
      </c>
      <c r="M1353" t="n">
        <v>0</v>
      </c>
      <c r="N1353" t="n">
        <v>0</v>
      </c>
      <c r="O1353" t="n">
        <v>0</v>
      </c>
      <c r="P1353" t="n">
        <v>0</v>
      </c>
      <c r="Q1353" t="n">
        <v>0</v>
      </c>
      <c r="R1353" s="2" t="inlineStr"/>
    </row>
    <row r="1354" ht="15" customHeight="1">
      <c r="A1354" t="inlineStr">
        <is>
          <t>A 52482-2022</t>
        </is>
      </c>
      <c r="B1354" s="1" t="n">
        <v>44869</v>
      </c>
      <c r="C1354" s="1" t="n">
        <v>46075</v>
      </c>
      <c r="D1354" t="inlineStr">
        <is>
          <t>VÄSTERBOTTENS LÄN</t>
        </is>
      </c>
      <c r="E1354" t="inlineStr">
        <is>
          <t>SKELLEFTEÅ</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31296-2022</t>
        </is>
      </c>
      <c r="B1355" s="1" t="n">
        <v>44772.67398148148</v>
      </c>
      <c r="C1355" s="1" t="n">
        <v>46075</v>
      </c>
      <c r="D1355" t="inlineStr">
        <is>
          <t>VÄSTERBOTTENS LÄN</t>
        </is>
      </c>
      <c r="E1355" t="inlineStr">
        <is>
          <t>UMEÅ</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26798-2022</t>
        </is>
      </c>
      <c r="B1356" s="1" t="n">
        <v>44740</v>
      </c>
      <c r="C1356" s="1" t="n">
        <v>46075</v>
      </c>
      <c r="D1356" t="inlineStr">
        <is>
          <t>VÄSTERBOTTENS LÄN</t>
        </is>
      </c>
      <c r="E1356" t="inlineStr">
        <is>
          <t>SKELLEFTEÅ</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46005-2021</t>
        </is>
      </c>
      <c r="B1357" s="1" t="n">
        <v>44441.85534722222</v>
      </c>
      <c r="C1357" s="1" t="n">
        <v>46075</v>
      </c>
      <c r="D1357" t="inlineStr">
        <is>
          <t>VÄSTERBOTTENS LÄN</t>
        </is>
      </c>
      <c r="E1357" t="inlineStr">
        <is>
          <t>SKELLEFTEÅ</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37313-2022</t>
        </is>
      </c>
      <c r="B1358" s="1" t="n">
        <v>44808.95638888889</v>
      </c>
      <c r="C1358" s="1" t="n">
        <v>46075</v>
      </c>
      <c r="D1358" t="inlineStr">
        <is>
          <t>VÄSTERBOTTENS LÄN</t>
        </is>
      </c>
      <c r="E1358" t="inlineStr">
        <is>
          <t>ÅSELE</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35954-2022</t>
        </is>
      </c>
      <c r="B1359" s="1" t="n">
        <v>44802</v>
      </c>
      <c r="C1359" s="1" t="n">
        <v>46075</v>
      </c>
      <c r="D1359" t="inlineStr">
        <is>
          <t>VÄSTERBOTTENS LÄN</t>
        </is>
      </c>
      <c r="E1359" t="inlineStr">
        <is>
          <t>NORDMALING</t>
        </is>
      </c>
      <c r="G1359" t="n">
        <v>5.7</v>
      </c>
      <c r="H1359" t="n">
        <v>0</v>
      </c>
      <c r="I1359" t="n">
        <v>0</v>
      </c>
      <c r="J1359" t="n">
        <v>0</v>
      </c>
      <c r="K1359" t="n">
        <v>0</v>
      </c>
      <c r="L1359" t="n">
        <v>0</v>
      </c>
      <c r="M1359" t="n">
        <v>0</v>
      </c>
      <c r="N1359" t="n">
        <v>0</v>
      </c>
      <c r="O1359" t="n">
        <v>0</v>
      </c>
      <c r="P1359" t="n">
        <v>0</v>
      </c>
      <c r="Q1359" t="n">
        <v>0</v>
      </c>
      <c r="R1359" s="2" t="inlineStr"/>
    </row>
    <row r="1360" ht="15" customHeight="1">
      <c r="A1360" t="inlineStr">
        <is>
          <t>A 53826-2022</t>
        </is>
      </c>
      <c r="B1360" s="1" t="n">
        <v>44876</v>
      </c>
      <c r="C1360" s="1" t="n">
        <v>46075</v>
      </c>
      <c r="D1360" t="inlineStr">
        <is>
          <t>VÄSTERBOTTENS LÄN</t>
        </is>
      </c>
      <c r="E1360" t="inlineStr">
        <is>
          <t>VINDELN</t>
        </is>
      </c>
      <c r="G1360" t="n">
        <v>7.3</v>
      </c>
      <c r="H1360" t="n">
        <v>0</v>
      </c>
      <c r="I1360" t="n">
        <v>0</v>
      </c>
      <c r="J1360" t="n">
        <v>0</v>
      </c>
      <c r="K1360" t="n">
        <v>0</v>
      </c>
      <c r="L1360" t="n">
        <v>0</v>
      </c>
      <c r="M1360" t="n">
        <v>0</v>
      </c>
      <c r="N1360" t="n">
        <v>0</v>
      </c>
      <c r="O1360" t="n">
        <v>0</v>
      </c>
      <c r="P1360" t="n">
        <v>0</v>
      </c>
      <c r="Q1360" t="n">
        <v>0</v>
      </c>
      <c r="R1360" s="2" t="inlineStr"/>
    </row>
    <row r="1361" ht="15" customHeight="1">
      <c r="A1361" t="inlineStr">
        <is>
          <t>A 33261-2021</t>
        </is>
      </c>
      <c r="B1361" s="1" t="n">
        <v>44376</v>
      </c>
      <c r="C1361" s="1" t="n">
        <v>46075</v>
      </c>
      <c r="D1361" t="inlineStr">
        <is>
          <t>VÄSTERBOTTENS LÄN</t>
        </is>
      </c>
      <c r="E1361" t="inlineStr">
        <is>
          <t>NORSJÖ</t>
        </is>
      </c>
      <c r="G1361" t="n">
        <v>4.5</v>
      </c>
      <c r="H1361" t="n">
        <v>0</v>
      </c>
      <c r="I1361" t="n">
        <v>0</v>
      </c>
      <c r="J1361" t="n">
        <v>0</v>
      </c>
      <c r="K1361" t="n">
        <v>0</v>
      </c>
      <c r="L1361" t="n">
        <v>0</v>
      </c>
      <c r="M1361" t="n">
        <v>0</v>
      </c>
      <c r="N1361" t="n">
        <v>0</v>
      </c>
      <c r="O1361" t="n">
        <v>0</v>
      </c>
      <c r="P1361" t="n">
        <v>0</v>
      </c>
      <c r="Q1361" t="n">
        <v>0</v>
      </c>
      <c r="R1361" s="2" t="inlineStr"/>
    </row>
    <row r="1362" ht="15" customHeight="1">
      <c r="A1362" t="inlineStr">
        <is>
          <t>A 33235-2022</t>
        </is>
      </c>
      <c r="B1362" s="1" t="n">
        <v>44785.94342592593</v>
      </c>
      <c r="C1362" s="1" t="n">
        <v>46075</v>
      </c>
      <c r="D1362" t="inlineStr">
        <is>
          <t>VÄSTERBOTTENS LÄN</t>
        </is>
      </c>
      <c r="E1362" t="inlineStr">
        <is>
          <t>LYCKSELE</t>
        </is>
      </c>
      <c r="F1362" t="inlineStr">
        <is>
          <t>SCA</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31955-2022</t>
        </is>
      </c>
      <c r="B1363" s="1" t="n">
        <v>44777.92472222223</v>
      </c>
      <c r="C1363" s="1" t="n">
        <v>46075</v>
      </c>
      <c r="D1363" t="inlineStr">
        <is>
          <t>VÄSTERBOTTENS LÄN</t>
        </is>
      </c>
      <c r="E1363" t="inlineStr">
        <is>
          <t>SKELLEFTEÅ</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39676-2022</t>
        </is>
      </c>
      <c r="B1364" s="1" t="n">
        <v>44818</v>
      </c>
      <c r="C1364" s="1" t="n">
        <v>46075</v>
      </c>
      <c r="D1364" t="inlineStr">
        <is>
          <t>VÄSTERBOTTENS LÄN</t>
        </is>
      </c>
      <c r="E1364" t="inlineStr">
        <is>
          <t>NORDMALING</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71934-2021</t>
        </is>
      </c>
      <c r="B1365" s="1" t="n">
        <v>44543.94390046296</v>
      </c>
      <c r="C1365" s="1" t="n">
        <v>46075</v>
      </c>
      <c r="D1365" t="inlineStr">
        <is>
          <t>VÄSTERBOTTENS LÄN</t>
        </is>
      </c>
      <c r="E1365" t="inlineStr">
        <is>
          <t>SKELLEFTEÅ</t>
        </is>
      </c>
      <c r="F1365" t="inlineStr">
        <is>
          <t>SCA</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42403-2022</t>
        </is>
      </c>
      <c r="B1366" s="1" t="n">
        <v>44831.43211805556</v>
      </c>
      <c r="C1366" s="1" t="n">
        <v>46075</v>
      </c>
      <c r="D1366" t="inlineStr">
        <is>
          <t>VÄSTERBOTTENS LÄN</t>
        </is>
      </c>
      <c r="E1366" t="inlineStr">
        <is>
          <t>BJURHOLM</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58639-2021</t>
        </is>
      </c>
      <c r="B1367" s="1" t="n">
        <v>44488</v>
      </c>
      <c r="C1367" s="1" t="n">
        <v>46075</v>
      </c>
      <c r="D1367" t="inlineStr">
        <is>
          <t>VÄSTERBOTTENS LÄN</t>
        </is>
      </c>
      <c r="E1367" t="inlineStr">
        <is>
          <t>VINDELN</t>
        </is>
      </c>
      <c r="G1367" t="n">
        <v>12.5</v>
      </c>
      <c r="H1367" t="n">
        <v>0</v>
      </c>
      <c r="I1367" t="n">
        <v>0</v>
      </c>
      <c r="J1367" t="n">
        <v>0</v>
      </c>
      <c r="K1367" t="n">
        <v>0</v>
      </c>
      <c r="L1367" t="n">
        <v>0</v>
      </c>
      <c r="M1367" t="n">
        <v>0</v>
      </c>
      <c r="N1367" t="n">
        <v>0</v>
      </c>
      <c r="O1367" t="n">
        <v>0</v>
      </c>
      <c r="P1367" t="n">
        <v>0</v>
      </c>
      <c r="Q1367" t="n">
        <v>0</v>
      </c>
      <c r="R1367" s="2" t="inlineStr"/>
    </row>
    <row r="1368" ht="15" customHeight="1">
      <c r="A1368" t="inlineStr">
        <is>
          <t>A 31181-2021</t>
        </is>
      </c>
      <c r="B1368" s="1" t="n">
        <v>44368</v>
      </c>
      <c r="C1368" s="1" t="n">
        <v>46075</v>
      </c>
      <c r="D1368" t="inlineStr">
        <is>
          <t>VÄSTERBOTTENS LÄN</t>
        </is>
      </c>
      <c r="E1368" t="inlineStr">
        <is>
          <t>SKELLEFTEÅ</t>
        </is>
      </c>
      <c r="G1368" t="n">
        <v>6.3</v>
      </c>
      <c r="H1368" t="n">
        <v>0</v>
      </c>
      <c r="I1368" t="n">
        <v>0</v>
      </c>
      <c r="J1368" t="n">
        <v>0</v>
      </c>
      <c r="K1368" t="n">
        <v>0</v>
      </c>
      <c r="L1368" t="n">
        <v>0</v>
      </c>
      <c r="M1368" t="n">
        <v>0</v>
      </c>
      <c r="N1368" t="n">
        <v>0</v>
      </c>
      <c r="O1368" t="n">
        <v>0</v>
      </c>
      <c r="P1368" t="n">
        <v>0</v>
      </c>
      <c r="Q1368" t="n">
        <v>0</v>
      </c>
      <c r="R1368" s="2" t="inlineStr"/>
    </row>
    <row r="1369" ht="15" customHeight="1">
      <c r="A1369" t="inlineStr">
        <is>
          <t>A 58612-2021</t>
        </is>
      </c>
      <c r="B1369" s="1" t="n">
        <v>44489</v>
      </c>
      <c r="C1369" s="1" t="n">
        <v>46075</v>
      </c>
      <c r="D1369" t="inlineStr">
        <is>
          <t>VÄSTERBOTTENS LÄN</t>
        </is>
      </c>
      <c r="E1369" t="inlineStr">
        <is>
          <t>UMEÅ</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36588-2021</t>
        </is>
      </c>
      <c r="B1370" s="1" t="n">
        <v>44391</v>
      </c>
      <c r="C1370" s="1" t="n">
        <v>46075</v>
      </c>
      <c r="D1370" t="inlineStr">
        <is>
          <t>VÄSTERBOTTENS LÄN</t>
        </is>
      </c>
      <c r="E1370" t="inlineStr">
        <is>
          <t>SKELLEFTEÅ</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30344-2021</t>
        </is>
      </c>
      <c r="B1371" s="1" t="n">
        <v>44363</v>
      </c>
      <c r="C1371" s="1" t="n">
        <v>46075</v>
      </c>
      <c r="D1371" t="inlineStr">
        <is>
          <t>VÄSTERBOTTENS LÄN</t>
        </is>
      </c>
      <c r="E1371" t="inlineStr">
        <is>
          <t>NORDMALING</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39986-2022</t>
        </is>
      </c>
      <c r="B1372" s="1" t="n">
        <v>44820.34625</v>
      </c>
      <c r="C1372" s="1" t="n">
        <v>46075</v>
      </c>
      <c r="D1372" t="inlineStr">
        <is>
          <t>VÄSTERBOTTENS LÄN</t>
        </is>
      </c>
      <c r="E1372" t="inlineStr">
        <is>
          <t>SKELLEFTEÅ</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39998-2022</t>
        </is>
      </c>
      <c r="B1373" s="1" t="n">
        <v>44820.35803240741</v>
      </c>
      <c r="C1373" s="1" t="n">
        <v>46075</v>
      </c>
      <c r="D1373" t="inlineStr">
        <is>
          <t>VÄSTERBOTTENS LÄN</t>
        </is>
      </c>
      <c r="E1373" t="inlineStr">
        <is>
          <t>SKELLEFTEÅ</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40000-2022</t>
        </is>
      </c>
      <c r="B1374" s="1" t="n">
        <v>44818</v>
      </c>
      <c r="C1374" s="1" t="n">
        <v>46075</v>
      </c>
      <c r="D1374" t="inlineStr">
        <is>
          <t>VÄSTERBOTTENS LÄN</t>
        </is>
      </c>
      <c r="E1374" t="inlineStr">
        <is>
          <t>BJURHOLM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45425-2022</t>
        </is>
      </c>
      <c r="B1375" s="1" t="n">
        <v>44844</v>
      </c>
      <c r="C1375" s="1" t="n">
        <v>46075</v>
      </c>
      <c r="D1375" t="inlineStr">
        <is>
          <t>VÄSTERBOTTENS LÄN</t>
        </is>
      </c>
      <c r="E1375" t="inlineStr">
        <is>
          <t>VILHELMINA</t>
        </is>
      </c>
      <c r="F1375" t="inlineStr">
        <is>
          <t>SCA</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29902-2022</t>
        </is>
      </c>
      <c r="B1376" s="1" t="n">
        <v>44756.49922453704</v>
      </c>
      <c r="C1376" s="1" t="n">
        <v>46075</v>
      </c>
      <c r="D1376" t="inlineStr">
        <is>
          <t>VÄSTERBOTTENS LÄN</t>
        </is>
      </c>
      <c r="E1376" t="inlineStr">
        <is>
          <t>ÅSELE</t>
        </is>
      </c>
      <c r="F1376" t="inlineStr">
        <is>
          <t>Holmen skog AB</t>
        </is>
      </c>
      <c r="G1376" t="n">
        <v>20.6</v>
      </c>
      <c r="H1376" t="n">
        <v>0</v>
      </c>
      <c r="I1376" t="n">
        <v>0</v>
      </c>
      <c r="J1376" t="n">
        <v>0</v>
      </c>
      <c r="K1376" t="n">
        <v>0</v>
      </c>
      <c r="L1376" t="n">
        <v>0</v>
      </c>
      <c r="M1376" t="n">
        <v>0</v>
      </c>
      <c r="N1376" t="n">
        <v>0</v>
      </c>
      <c r="O1376" t="n">
        <v>0</v>
      </c>
      <c r="P1376" t="n">
        <v>0</v>
      </c>
      <c r="Q1376" t="n">
        <v>0</v>
      </c>
      <c r="R1376" s="2" t="inlineStr"/>
    </row>
    <row r="1377" ht="15" customHeight="1">
      <c r="A1377" t="inlineStr">
        <is>
          <t>A 40034-2022</t>
        </is>
      </c>
      <c r="B1377" s="1" t="n">
        <v>44820.42978009259</v>
      </c>
      <c r="C1377" s="1" t="n">
        <v>46075</v>
      </c>
      <c r="D1377" t="inlineStr">
        <is>
          <t>VÄSTERBOTTENS LÄN</t>
        </is>
      </c>
      <c r="E1377" t="inlineStr">
        <is>
          <t>SKELLEFTEÅ</t>
        </is>
      </c>
      <c r="G1377" t="n">
        <v>6.2</v>
      </c>
      <c r="H1377" t="n">
        <v>0</v>
      </c>
      <c r="I1377" t="n">
        <v>0</v>
      </c>
      <c r="J1377" t="n">
        <v>0</v>
      </c>
      <c r="K1377" t="n">
        <v>0</v>
      </c>
      <c r="L1377" t="n">
        <v>0</v>
      </c>
      <c r="M1377" t="n">
        <v>0</v>
      </c>
      <c r="N1377" t="n">
        <v>0</v>
      </c>
      <c r="O1377" t="n">
        <v>0</v>
      </c>
      <c r="P1377" t="n">
        <v>0</v>
      </c>
      <c r="Q1377" t="n">
        <v>0</v>
      </c>
      <c r="R1377" s="2" t="inlineStr"/>
    </row>
    <row r="1378" ht="15" customHeight="1">
      <c r="A1378" t="inlineStr">
        <is>
          <t>A 36188-2022</t>
        </is>
      </c>
      <c r="B1378" s="1" t="n">
        <v>44803.43947916666</v>
      </c>
      <c r="C1378" s="1" t="n">
        <v>46075</v>
      </c>
      <c r="D1378" t="inlineStr">
        <is>
          <t>VÄSTERBOTTENS LÄN</t>
        </is>
      </c>
      <c r="E1378" t="inlineStr">
        <is>
          <t>ÅSELE</t>
        </is>
      </c>
      <c r="F1378" t="inlineStr">
        <is>
          <t>Sveaskog</t>
        </is>
      </c>
      <c r="G1378" t="n">
        <v>14.2</v>
      </c>
      <c r="H1378" t="n">
        <v>0</v>
      </c>
      <c r="I1378" t="n">
        <v>0</v>
      </c>
      <c r="J1378" t="n">
        <v>0</v>
      </c>
      <c r="K1378" t="n">
        <v>0</v>
      </c>
      <c r="L1378" t="n">
        <v>0</v>
      </c>
      <c r="M1378" t="n">
        <v>0</v>
      </c>
      <c r="N1378" t="n">
        <v>0</v>
      </c>
      <c r="O1378" t="n">
        <v>0</v>
      </c>
      <c r="P1378" t="n">
        <v>0</v>
      </c>
      <c r="Q1378" t="n">
        <v>0</v>
      </c>
      <c r="R1378" s="2" t="inlineStr"/>
    </row>
    <row r="1379" ht="15" customHeight="1">
      <c r="A1379" t="inlineStr">
        <is>
          <t>A 48943-2022</t>
        </is>
      </c>
      <c r="B1379" s="1" t="n">
        <v>44859.95741898148</v>
      </c>
      <c r="C1379" s="1" t="n">
        <v>46075</v>
      </c>
      <c r="D1379" t="inlineStr">
        <is>
          <t>VÄSTERBOTTENS LÄN</t>
        </is>
      </c>
      <c r="E1379" t="inlineStr">
        <is>
          <t>NORDMALING</t>
        </is>
      </c>
      <c r="F1379" t="inlineStr">
        <is>
          <t>SCA</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30019-2022</t>
        </is>
      </c>
      <c r="B1380" s="1" t="n">
        <v>44756.94431712963</v>
      </c>
      <c r="C1380" s="1" t="n">
        <v>46075</v>
      </c>
      <c r="D1380" t="inlineStr">
        <is>
          <t>VÄSTERBOTTENS LÄN</t>
        </is>
      </c>
      <c r="E1380" t="inlineStr">
        <is>
          <t>VILHELMINA</t>
        </is>
      </c>
      <c r="F1380" t="inlineStr">
        <is>
          <t>SCA</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30020-2022</t>
        </is>
      </c>
      <c r="B1381" s="1" t="n">
        <v>44756.94440972222</v>
      </c>
      <c r="C1381" s="1" t="n">
        <v>46075</v>
      </c>
      <c r="D1381" t="inlineStr">
        <is>
          <t>VÄSTERBOTTENS LÄN</t>
        </is>
      </c>
      <c r="E1381" t="inlineStr">
        <is>
          <t>VILHELMINA</t>
        </is>
      </c>
      <c r="F1381" t="inlineStr">
        <is>
          <t>SCA</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43078-2022</t>
        </is>
      </c>
      <c r="B1382" s="1" t="n">
        <v>44833.64483796297</v>
      </c>
      <c r="C1382" s="1" t="n">
        <v>46075</v>
      </c>
      <c r="D1382" t="inlineStr">
        <is>
          <t>VÄSTERBOTTENS LÄN</t>
        </is>
      </c>
      <c r="E1382" t="inlineStr">
        <is>
          <t>SKELLEFTEÅ</t>
        </is>
      </c>
      <c r="F1382" t="inlineStr">
        <is>
          <t>Sveaskog</t>
        </is>
      </c>
      <c r="G1382" t="n">
        <v>19.6</v>
      </c>
      <c r="H1382" t="n">
        <v>0</v>
      </c>
      <c r="I1382" t="n">
        <v>0</v>
      </c>
      <c r="J1382" t="n">
        <v>0</v>
      </c>
      <c r="K1382" t="n">
        <v>0</v>
      </c>
      <c r="L1382" t="n">
        <v>0</v>
      </c>
      <c r="M1382" t="n">
        <v>0</v>
      </c>
      <c r="N1382" t="n">
        <v>0</v>
      </c>
      <c r="O1382" t="n">
        <v>0</v>
      </c>
      <c r="P1382" t="n">
        <v>0</v>
      </c>
      <c r="Q1382" t="n">
        <v>0</v>
      </c>
      <c r="R1382" s="2" t="inlineStr"/>
    </row>
    <row r="1383" ht="15" customHeight="1">
      <c r="A1383" t="inlineStr">
        <is>
          <t>A 66756-2021</t>
        </is>
      </c>
      <c r="B1383" s="1" t="n">
        <v>44521.76505787037</v>
      </c>
      <c r="C1383" s="1" t="n">
        <v>46075</v>
      </c>
      <c r="D1383" t="inlineStr">
        <is>
          <t>VÄSTERBOTTENS LÄN</t>
        </is>
      </c>
      <c r="E1383" t="inlineStr">
        <is>
          <t>SKELLEFTEÅ</t>
        </is>
      </c>
      <c r="G1383" t="n">
        <v>5.3</v>
      </c>
      <c r="H1383" t="n">
        <v>0</v>
      </c>
      <c r="I1383" t="n">
        <v>0</v>
      </c>
      <c r="J1383" t="n">
        <v>0</v>
      </c>
      <c r="K1383" t="n">
        <v>0</v>
      </c>
      <c r="L1383" t="n">
        <v>0</v>
      </c>
      <c r="M1383" t="n">
        <v>0</v>
      </c>
      <c r="N1383" t="n">
        <v>0</v>
      </c>
      <c r="O1383" t="n">
        <v>0</v>
      </c>
      <c r="P1383" t="n">
        <v>0</v>
      </c>
      <c r="Q1383" t="n">
        <v>0</v>
      </c>
      <c r="R1383" s="2" t="inlineStr"/>
    </row>
    <row r="1384" ht="15" customHeight="1">
      <c r="A1384" t="inlineStr">
        <is>
          <t>A 36609-2021</t>
        </is>
      </c>
      <c r="B1384" s="1" t="n">
        <v>44391</v>
      </c>
      <c r="C1384" s="1" t="n">
        <v>46075</v>
      </c>
      <c r="D1384" t="inlineStr">
        <is>
          <t>VÄSTERBOTTENS LÄN</t>
        </is>
      </c>
      <c r="E1384" t="inlineStr">
        <is>
          <t>SKELLEFTEÅ</t>
        </is>
      </c>
      <c r="G1384" t="n">
        <v>10.6</v>
      </c>
      <c r="H1384" t="n">
        <v>0</v>
      </c>
      <c r="I1384" t="n">
        <v>0</v>
      </c>
      <c r="J1384" t="n">
        <v>0</v>
      </c>
      <c r="K1384" t="n">
        <v>0</v>
      </c>
      <c r="L1384" t="n">
        <v>0</v>
      </c>
      <c r="M1384" t="n">
        <v>0</v>
      </c>
      <c r="N1384" t="n">
        <v>0</v>
      </c>
      <c r="O1384" t="n">
        <v>0</v>
      </c>
      <c r="P1384" t="n">
        <v>0</v>
      </c>
      <c r="Q1384" t="n">
        <v>0</v>
      </c>
      <c r="R1384" s="2" t="inlineStr"/>
    </row>
    <row r="1385" ht="15" customHeight="1">
      <c r="A1385" t="inlineStr">
        <is>
          <t>A 41513-2022</t>
        </is>
      </c>
      <c r="B1385" s="1" t="n">
        <v>44827</v>
      </c>
      <c r="C1385" s="1" t="n">
        <v>46075</v>
      </c>
      <c r="D1385" t="inlineStr">
        <is>
          <t>VÄSTERBOTTENS LÄN</t>
        </is>
      </c>
      <c r="E1385" t="inlineStr">
        <is>
          <t>SKELLEFTEÅ</t>
        </is>
      </c>
      <c r="G1385" t="n">
        <v>6.4</v>
      </c>
      <c r="H1385" t="n">
        <v>0</v>
      </c>
      <c r="I1385" t="n">
        <v>0</v>
      </c>
      <c r="J1385" t="n">
        <v>0</v>
      </c>
      <c r="K1385" t="n">
        <v>0</v>
      </c>
      <c r="L1385" t="n">
        <v>0</v>
      </c>
      <c r="M1385" t="n">
        <v>0</v>
      </c>
      <c r="N1385" t="n">
        <v>0</v>
      </c>
      <c r="O1385" t="n">
        <v>0</v>
      </c>
      <c r="P1385" t="n">
        <v>0</v>
      </c>
      <c r="Q1385" t="n">
        <v>0</v>
      </c>
      <c r="R1385" s="2" t="inlineStr"/>
    </row>
    <row r="1386" ht="15" customHeight="1">
      <c r="A1386" t="inlineStr">
        <is>
          <t>A 53389-2022</t>
        </is>
      </c>
      <c r="B1386" s="1" t="n">
        <v>44874</v>
      </c>
      <c r="C1386" s="1" t="n">
        <v>46075</v>
      </c>
      <c r="D1386" t="inlineStr">
        <is>
          <t>VÄSTERBOTTENS LÄN</t>
        </is>
      </c>
      <c r="E1386" t="inlineStr">
        <is>
          <t>LYCKSELE</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46981-2022</t>
        </is>
      </c>
      <c r="B1387" s="1" t="n">
        <v>44851.95386574074</v>
      </c>
      <c r="C1387" s="1" t="n">
        <v>46075</v>
      </c>
      <c r="D1387" t="inlineStr">
        <is>
          <t>VÄSTERBOTTENS LÄN</t>
        </is>
      </c>
      <c r="E1387" t="inlineStr">
        <is>
          <t>ÅSELE</t>
        </is>
      </c>
      <c r="F1387" t="inlineStr">
        <is>
          <t>SCA</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51682-2021</t>
        </is>
      </c>
      <c r="B1388" s="1" t="n">
        <v>44462.53556712963</v>
      </c>
      <c r="C1388" s="1" t="n">
        <v>46075</v>
      </c>
      <c r="D1388" t="inlineStr">
        <is>
          <t>VÄSTERBOTTENS LÄN</t>
        </is>
      </c>
      <c r="E1388" t="inlineStr">
        <is>
          <t>NORSJÖ</t>
        </is>
      </c>
      <c r="F1388" t="inlineStr">
        <is>
          <t>Sveaskog</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6901-2022</t>
        </is>
      </c>
      <c r="B1389" s="1" t="n">
        <v>44602.92150462963</v>
      </c>
      <c r="C1389" s="1" t="n">
        <v>46075</v>
      </c>
      <c r="D1389" t="inlineStr">
        <is>
          <t>VÄSTERBOTTENS LÄN</t>
        </is>
      </c>
      <c r="E1389" t="inlineStr">
        <is>
          <t>NORSJÖ</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49644-2021</t>
        </is>
      </c>
      <c r="B1390" s="1" t="n">
        <v>44454</v>
      </c>
      <c r="C1390" s="1" t="n">
        <v>46075</v>
      </c>
      <c r="D1390" t="inlineStr">
        <is>
          <t>VÄSTERBOTTENS LÄN</t>
        </is>
      </c>
      <c r="E1390" t="inlineStr">
        <is>
          <t>VÄNNÄS</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51555-2021</t>
        </is>
      </c>
      <c r="B1391" s="1" t="n">
        <v>44462.42559027778</v>
      </c>
      <c r="C1391" s="1" t="n">
        <v>46075</v>
      </c>
      <c r="D1391" t="inlineStr">
        <is>
          <t>VÄSTERBOTTENS LÄN</t>
        </is>
      </c>
      <c r="E1391" t="inlineStr">
        <is>
          <t>NORDMALING</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70365-2021</t>
        </is>
      </c>
      <c r="B1392" s="1" t="n">
        <v>44535</v>
      </c>
      <c r="C1392" s="1" t="n">
        <v>46075</v>
      </c>
      <c r="D1392" t="inlineStr">
        <is>
          <t>VÄSTERBOTTENS LÄN</t>
        </is>
      </c>
      <c r="E1392" t="inlineStr">
        <is>
          <t>ROBERTSFORS</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44621-2022</t>
        </is>
      </c>
      <c r="B1393" s="1" t="n">
        <v>44838</v>
      </c>
      <c r="C1393" s="1" t="n">
        <v>46075</v>
      </c>
      <c r="D1393" t="inlineStr">
        <is>
          <t>VÄSTERBOTTENS LÄN</t>
        </is>
      </c>
      <c r="E1393" t="inlineStr">
        <is>
          <t>SKELLEFTEÅ</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45031-2022</t>
        </is>
      </c>
      <c r="B1394" s="1" t="n">
        <v>44841.65748842592</v>
      </c>
      <c r="C1394" s="1" t="n">
        <v>46075</v>
      </c>
      <c r="D1394" t="inlineStr">
        <is>
          <t>VÄSTERBOTTENS LÄN</t>
        </is>
      </c>
      <c r="E1394" t="inlineStr">
        <is>
          <t>UMEÅ</t>
        </is>
      </c>
      <c r="F1394" t="inlineStr">
        <is>
          <t>Holmen skog AB</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49081-2022</t>
        </is>
      </c>
      <c r="B1395" s="1" t="n">
        <v>44860</v>
      </c>
      <c r="C1395" s="1" t="n">
        <v>46075</v>
      </c>
      <c r="D1395" t="inlineStr">
        <is>
          <t>VÄSTERBOTTENS LÄN</t>
        </is>
      </c>
      <c r="E1395" t="inlineStr">
        <is>
          <t>STORUMAN</t>
        </is>
      </c>
      <c r="F1395" t="inlineStr">
        <is>
          <t>Sveaskog</t>
        </is>
      </c>
      <c r="G1395" t="n">
        <v>19.8</v>
      </c>
      <c r="H1395" t="n">
        <v>0</v>
      </c>
      <c r="I1395" t="n">
        <v>0</v>
      </c>
      <c r="J1395" t="n">
        <v>0</v>
      </c>
      <c r="K1395" t="n">
        <v>0</v>
      </c>
      <c r="L1395" t="n">
        <v>0</v>
      </c>
      <c r="M1395" t="n">
        <v>0</v>
      </c>
      <c r="N1395" t="n">
        <v>0</v>
      </c>
      <c r="O1395" t="n">
        <v>0</v>
      </c>
      <c r="P1395" t="n">
        <v>0</v>
      </c>
      <c r="Q1395" t="n">
        <v>0</v>
      </c>
      <c r="R1395" s="2" t="inlineStr"/>
    </row>
    <row r="1396" ht="15" customHeight="1">
      <c r="A1396" t="inlineStr">
        <is>
          <t>A 38395-2021</t>
        </is>
      </c>
      <c r="B1396" s="1" t="n">
        <v>44406</v>
      </c>
      <c r="C1396" s="1" t="n">
        <v>46075</v>
      </c>
      <c r="D1396" t="inlineStr">
        <is>
          <t>VÄSTERBOTTENS LÄN</t>
        </is>
      </c>
      <c r="E1396" t="inlineStr">
        <is>
          <t>UMEÅ</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38406-2021</t>
        </is>
      </c>
      <c r="B1397" s="1" t="n">
        <v>44406</v>
      </c>
      <c r="C1397" s="1" t="n">
        <v>46075</v>
      </c>
      <c r="D1397" t="inlineStr">
        <is>
          <t>VÄSTERBOTTENS LÄN</t>
        </is>
      </c>
      <c r="E1397" t="inlineStr">
        <is>
          <t>UMEÅ</t>
        </is>
      </c>
      <c r="F1397" t="inlineStr">
        <is>
          <t>Kommuner</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59372-2021</t>
        </is>
      </c>
      <c r="B1398" s="1" t="n">
        <v>44491</v>
      </c>
      <c r="C1398" s="1" t="n">
        <v>46075</v>
      </c>
      <c r="D1398" t="inlineStr">
        <is>
          <t>VÄSTERBOTTENS LÄN</t>
        </is>
      </c>
      <c r="E1398" t="inlineStr">
        <is>
          <t>SKELLEFTEÅ</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46340-2022</t>
        </is>
      </c>
      <c r="B1399" s="1" t="n">
        <v>44847.94993055556</v>
      </c>
      <c r="C1399" s="1" t="n">
        <v>46075</v>
      </c>
      <c r="D1399" t="inlineStr">
        <is>
          <t>VÄSTERBOTTENS LÄN</t>
        </is>
      </c>
      <c r="E1399" t="inlineStr">
        <is>
          <t>ÅSELE</t>
        </is>
      </c>
      <c r="F1399" t="inlineStr">
        <is>
          <t>SCA</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10422-2021</t>
        </is>
      </c>
      <c r="B1400" s="1" t="n">
        <v>44257</v>
      </c>
      <c r="C1400" s="1" t="n">
        <v>46075</v>
      </c>
      <c r="D1400" t="inlineStr">
        <is>
          <t>VÄSTERBOTTENS LÄN</t>
        </is>
      </c>
      <c r="E1400" t="inlineStr">
        <is>
          <t>STORUMAN</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38397-2021</t>
        </is>
      </c>
      <c r="B1401" s="1" t="n">
        <v>44406</v>
      </c>
      <c r="C1401" s="1" t="n">
        <v>46075</v>
      </c>
      <c r="D1401" t="inlineStr">
        <is>
          <t>VÄSTERBOTTENS LÄN</t>
        </is>
      </c>
      <c r="E1401" t="inlineStr">
        <is>
          <t>UMEÅ</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43403-2022</t>
        </is>
      </c>
      <c r="B1402" s="1" t="n">
        <v>44834.76478009259</v>
      </c>
      <c r="C1402" s="1" t="n">
        <v>46075</v>
      </c>
      <c r="D1402" t="inlineStr">
        <is>
          <t>VÄSTERBOTTENS LÄN</t>
        </is>
      </c>
      <c r="E1402" t="inlineStr">
        <is>
          <t>DOROTEA</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27945-2021</t>
        </is>
      </c>
      <c r="B1403" s="1" t="n">
        <v>44354</v>
      </c>
      <c r="C1403" s="1" t="n">
        <v>46075</v>
      </c>
      <c r="D1403" t="inlineStr">
        <is>
          <t>VÄSTERBOTTENS LÄN</t>
        </is>
      </c>
      <c r="E1403" t="inlineStr">
        <is>
          <t>LYCKSELE</t>
        </is>
      </c>
      <c r="F1403" t="inlineStr">
        <is>
          <t>Holmen skog AB</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45902-2022</t>
        </is>
      </c>
      <c r="B1404" s="1" t="n">
        <v>44846</v>
      </c>
      <c r="C1404" s="1" t="n">
        <v>46075</v>
      </c>
      <c r="D1404" t="inlineStr">
        <is>
          <t>VÄSTERBOTTENS LÄN</t>
        </is>
      </c>
      <c r="E1404" t="inlineStr">
        <is>
          <t>UMEÅ</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27475-2021</t>
        </is>
      </c>
      <c r="B1405" s="1" t="n">
        <v>44351</v>
      </c>
      <c r="C1405" s="1" t="n">
        <v>46075</v>
      </c>
      <c r="D1405" t="inlineStr">
        <is>
          <t>VÄSTERBOTTENS LÄN</t>
        </is>
      </c>
      <c r="E1405" t="inlineStr">
        <is>
          <t>VINDELN</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32934-2021</t>
        </is>
      </c>
      <c r="B1406" s="1" t="n">
        <v>44375</v>
      </c>
      <c r="C1406" s="1" t="n">
        <v>46075</v>
      </c>
      <c r="D1406" t="inlineStr">
        <is>
          <t>VÄSTERBOTTENS LÄN</t>
        </is>
      </c>
      <c r="E1406" t="inlineStr">
        <is>
          <t>BJURHOLM</t>
        </is>
      </c>
      <c r="G1406" t="n">
        <v>3.9</v>
      </c>
      <c r="H1406" t="n">
        <v>0</v>
      </c>
      <c r="I1406" t="n">
        <v>0</v>
      </c>
      <c r="J1406" t="n">
        <v>0</v>
      </c>
      <c r="K1406" t="n">
        <v>0</v>
      </c>
      <c r="L1406" t="n">
        <v>0</v>
      </c>
      <c r="M1406" t="n">
        <v>0</v>
      </c>
      <c r="N1406" t="n">
        <v>0</v>
      </c>
      <c r="O1406" t="n">
        <v>0</v>
      </c>
      <c r="P1406" t="n">
        <v>0</v>
      </c>
      <c r="Q1406" t="n">
        <v>0</v>
      </c>
      <c r="R1406" s="2" t="inlineStr"/>
    </row>
    <row r="1407" ht="15" customHeight="1">
      <c r="A1407" t="inlineStr">
        <is>
          <t>A 31186-2021</t>
        </is>
      </c>
      <c r="B1407" s="1" t="n">
        <v>44368</v>
      </c>
      <c r="C1407" s="1" t="n">
        <v>46075</v>
      </c>
      <c r="D1407" t="inlineStr">
        <is>
          <t>VÄSTERBOTTENS LÄN</t>
        </is>
      </c>
      <c r="E1407" t="inlineStr">
        <is>
          <t>SKELLEFTEÅ</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27444-2021</t>
        </is>
      </c>
      <c r="B1408" s="1" t="n">
        <v>44351</v>
      </c>
      <c r="C1408" s="1" t="n">
        <v>46075</v>
      </c>
      <c r="D1408" t="inlineStr">
        <is>
          <t>VÄSTERBOTTENS LÄN</t>
        </is>
      </c>
      <c r="E1408" t="inlineStr">
        <is>
          <t>SKELLEFTEÅ</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32006-2021</t>
        </is>
      </c>
      <c r="B1409" s="1" t="n">
        <v>44370.62300925926</v>
      </c>
      <c r="C1409" s="1" t="n">
        <v>46075</v>
      </c>
      <c r="D1409" t="inlineStr">
        <is>
          <t>VÄSTERBOTTENS LÄN</t>
        </is>
      </c>
      <c r="E1409" t="inlineStr">
        <is>
          <t>NORSJÖ</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32081-2021</t>
        </is>
      </c>
      <c r="B1410" s="1" t="n">
        <v>44370</v>
      </c>
      <c r="C1410" s="1" t="n">
        <v>46075</v>
      </c>
      <c r="D1410" t="inlineStr">
        <is>
          <t>VÄSTERBOTTENS LÄN</t>
        </is>
      </c>
      <c r="E1410" t="inlineStr">
        <is>
          <t>BJURHOLM</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1120-2022</t>
        </is>
      </c>
      <c r="B1411" s="1" t="n">
        <v>44572.34782407407</v>
      </c>
      <c r="C1411" s="1" t="n">
        <v>46075</v>
      </c>
      <c r="D1411" t="inlineStr">
        <is>
          <t>VÄSTERBOTTENS LÄN</t>
        </is>
      </c>
      <c r="E1411" t="inlineStr">
        <is>
          <t>ROBERTSFORS</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38891-2021</t>
        </is>
      </c>
      <c r="B1412" s="1" t="n">
        <v>44410</v>
      </c>
      <c r="C1412" s="1" t="n">
        <v>46075</v>
      </c>
      <c r="D1412" t="inlineStr">
        <is>
          <t>VÄSTERBOTTENS LÄN</t>
        </is>
      </c>
      <c r="E1412" t="inlineStr">
        <is>
          <t>UMEÅ</t>
        </is>
      </c>
      <c r="F1412" t="inlineStr">
        <is>
          <t>Övriga statliga verk och myndigheter</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18950-2021</t>
        </is>
      </c>
      <c r="B1413" s="1" t="n">
        <v>44307</v>
      </c>
      <c r="C1413" s="1" t="n">
        <v>46075</v>
      </c>
      <c r="D1413" t="inlineStr">
        <is>
          <t>VÄSTERBOTTENS LÄN</t>
        </is>
      </c>
      <c r="E1413" t="inlineStr">
        <is>
          <t>VILHELMINA</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27511-2021</t>
        </is>
      </c>
      <c r="B1414" s="1" t="n">
        <v>44351</v>
      </c>
      <c r="C1414" s="1" t="n">
        <v>46075</v>
      </c>
      <c r="D1414" t="inlineStr">
        <is>
          <t>VÄSTERBOTTENS LÄN</t>
        </is>
      </c>
      <c r="E1414" t="inlineStr">
        <is>
          <t>DOROTEA</t>
        </is>
      </c>
      <c r="F1414" t="inlineStr">
        <is>
          <t>Kommuner</t>
        </is>
      </c>
      <c r="G1414" t="n">
        <v>0.2</v>
      </c>
      <c r="H1414" t="n">
        <v>0</v>
      </c>
      <c r="I1414" t="n">
        <v>0</v>
      </c>
      <c r="J1414" t="n">
        <v>0</v>
      </c>
      <c r="K1414" t="n">
        <v>0</v>
      </c>
      <c r="L1414" t="n">
        <v>0</v>
      </c>
      <c r="M1414" t="n">
        <v>0</v>
      </c>
      <c r="N1414" t="n">
        <v>0</v>
      </c>
      <c r="O1414" t="n">
        <v>0</v>
      </c>
      <c r="P1414" t="n">
        <v>0</v>
      </c>
      <c r="Q1414" t="n">
        <v>0</v>
      </c>
      <c r="R1414" s="2" t="inlineStr"/>
    </row>
    <row r="1415" ht="15" customHeight="1">
      <c r="A1415" t="inlineStr">
        <is>
          <t>A 74394-2021</t>
        </is>
      </c>
      <c r="B1415" s="1" t="n">
        <v>44559</v>
      </c>
      <c r="C1415" s="1" t="n">
        <v>46075</v>
      </c>
      <c r="D1415" t="inlineStr">
        <is>
          <t>VÄSTERBOTTENS LÄN</t>
        </is>
      </c>
      <c r="E1415" t="inlineStr">
        <is>
          <t>VINDELN</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32319-2021</t>
        </is>
      </c>
      <c r="B1416" s="1" t="n">
        <v>44371</v>
      </c>
      <c r="C1416" s="1" t="n">
        <v>46075</v>
      </c>
      <c r="D1416" t="inlineStr">
        <is>
          <t>VÄSTERBOTTENS LÄN</t>
        </is>
      </c>
      <c r="E1416" t="inlineStr">
        <is>
          <t>NORDMALING</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15441-2022</t>
        </is>
      </c>
      <c r="B1417" s="1" t="n">
        <v>44659</v>
      </c>
      <c r="C1417" s="1" t="n">
        <v>46075</v>
      </c>
      <c r="D1417" t="inlineStr">
        <is>
          <t>VÄSTERBOTTENS LÄN</t>
        </is>
      </c>
      <c r="E1417" t="inlineStr">
        <is>
          <t>SKELLEFTEÅ</t>
        </is>
      </c>
      <c r="F1417" t="inlineStr">
        <is>
          <t>Sveaskog</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48772-2022</t>
        </is>
      </c>
      <c r="B1418" s="1" t="n">
        <v>44859</v>
      </c>
      <c r="C1418" s="1" t="n">
        <v>46075</v>
      </c>
      <c r="D1418" t="inlineStr">
        <is>
          <t>VÄSTERBOTTENS LÄN</t>
        </is>
      </c>
      <c r="E1418" t="inlineStr">
        <is>
          <t>ÅSELE</t>
        </is>
      </c>
      <c r="F1418" t="inlineStr">
        <is>
          <t>Sveaskog</t>
        </is>
      </c>
      <c r="G1418" t="n">
        <v>26.9</v>
      </c>
      <c r="H1418" t="n">
        <v>0</v>
      </c>
      <c r="I1418" t="n">
        <v>0</v>
      </c>
      <c r="J1418" t="n">
        <v>0</v>
      </c>
      <c r="K1418" t="n">
        <v>0</v>
      </c>
      <c r="L1418" t="n">
        <v>0</v>
      </c>
      <c r="M1418" t="n">
        <v>0</v>
      </c>
      <c r="N1418" t="n">
        <v>0</v>
      </c>
      <c r="O1418" t="n">
        <v>0</v>
      </c>
      <c r="P1418" t="n">
        <v>0</v>
      </c>
      <c r="Q1418" t="n">
        <v>0</v>
      </c>
      <c r="R1418" s="2" t="inlineStr"/>
    </row>
    <row r="1419" ht="15" customHeight="1">
      <c r="A1419" t="inlineStr">
        <is>
          <t>A 36023-2021</t>
        </is>
      </c>
      <c r="B1419" s="1" t="n">
        <v>44386</v>
      </c>
      <c r="C1419" s="1" t="n">
        <v>46075</v>
      </c>
      <c r="D1419" t="inlineStr">
        <is>
          <t>VÄSTERBOTTENS LÄN</t>
        </is>
      </c>
      <c r="E1419" t="inlineStr">
        <is>
          <t>ROBERTSFORS</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46923-2022</t>
        </is>
      </c>
      <c r="B1420" s="1" t="n">
        <v>44851.68325231481</v>
      </c>
      <c r="C1420" s="1" t="n">
        <v>46075</v>
      </c>
      <c r="D1420" t="inlineStr">
        <is>
          <t>VÄSTERBOTTENS LÄN</t>
        </is>
      </c>
      <c r="E1420" t="inlineStr">
        <is>
          <t>NORDMALING</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49594-2021</t>
        </is>
      </c>
      <c r="B1421" s="1" t="n">
        <v>44455</v>
      </c>
      <c r="C1421" s="1" t="n">
        <v>46075</v>
      </c>
      <c r="D1421" t="inlineStr">
        <is>
          <t>VÄSTERBOTTENS LÄN</t>
        </is>
      </c>
      <c r="E1421" t="inlineStr">
        <is>
          <t>ROBERTSFORS</t>
        </is>
      </c>
      <c r="F1421" t="inlineStr">
        <is>
          <t>Holmen skog AB</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32663-2022</t>
        </is>
      </c>
      <c r="B1422" s="1" t="n">
        <v>44783.5321875</v>
      </c>
      <c r="C1422" s="1" t="n">
        <v>46075</v>
      </c>
      <c r="D1422" t="inlineStr">
        <is>
          <t>VÄSTERBOTTENS LÄN</t>
        </is>
      </c>
      <c r="E1422" t="inlineStr">
        <is>
          <t>LYCKSELE</t>
        </is>
      </c>
      <c r="F1422" t="inlineStr">
        <is>
          <t>Sveaskog</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18497-2022</t>
        </is>
      </c>
      <c r="B1423" s="1" t="n">
        <v>44686</v>
      </c>
      <c r="C1423" s="1" t="n">
        <v>46075</v>
      </c>
      <c r="D1423" t="inlineStr">
        <is>
          <t>VÄSTERBOTTENS LÄN</t>
        </is>
      </c>
      <c r="E1423" t="inlineStr">
        <is>
          <t>VILHELMINA</t>
        </is>
      </c>
      <c r="F1423" t="inlineStr">
        <is>
          <t>Övriga statliga verk och myndigheter</t>
        </is>
      </c>
      <c r="G1423" t="n">
        <v>64.7</v>
      </c>
      <c r="H1423" t="n">
        <v>0</v>
      </c>
      <c r="I1423" t="n">
        <v>0</v>
      </c>
      <c r="J1423" t="n">
        <v>0</v>
      </c>
      <c r="K1423" t="n">
        <v>0</v>
      </c>
      <c r="L1423" t="n">
        <v>0</v>
      </c>
      <c r="M1423" t="n">
        <v>0</v>
      </c>
      <c r="N1423" t="n">
        <v>0</v>
      </c>
      <c r="O1423" t="n">
        <v>0</v>
      </c>
      <c r="P1423" t="n">
        <v>0</v>
      </c>
      <c r="Q1423" t="n">
        <v>0</v>
      </c>
      <c r="R1423" s="2" t="inlineStr"/>
    </row>
    <row r="1424" ht="15" customHeight="1">
      <c r="A1424" t="inlineStr">
        <is>
          <t>A 46628-2021</t>
        </is>
      </c>
      <c r="B1424" s="1" t="n">
        <v>44445</v>
      </c>
      <c r="C1424" s="1" t="n">
        <v>46075</v>
      </c>
      <c r="D1424" t="inlineStr">
        <is>
          <t>VÄSTERBOTTENS LÄN</t>
        </is>
      </c>
      <c r="E1424" t="inlineStr">
        <is>
          <t>SKELLEFTEÅ</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18576-2022</t>
        </is>
      </c>
      <c r="B1425" s="1" t="n">
        <v>44687.29710648148</v>
      </c>
      <c r="C1425" s="1" t="n">
        <v>46075</v>
      </c>
      <c r="D1425" t="inlineStr">
        <is>
          <t>VÄSTERBOTTENS LÄN</t>
        </is>
      </c>
      <c r="E1425" t="inlineStr">
        <is>
          <t>ÅSELE</t>
        </is>
      </c>
      <c r="F1425" t="inlineStr">
        <is>
          <t>Holmen skog AB</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47708-2021</t>
        </is>
      </c>
      <c r="B1426" s="1" t="n">
        <v>44448.48563657407</v>
      </c>
      <c r="C1426" s="1" t="n">
        <v>46075</v>
      </c>
      <c r="D1426" t="inlineStr">
        <is>
          <t>VÄSTERBOTTENS LÄN</t>
        </is>
      </c>
      <c r="E1426" t="inlineStr">
        <is>
          <t>LYCKSELE</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64087-2021</t>
        </is>
      </c>
      <c r="B1427" s="1" t="n">
        <v>44509</v>
      </c>
      <c r="C1427" s="1" t="n">
        <v>46075</v>
      </c>
      <c r="D1427" t="inlineStr">
        <is>
          <t>VÄSTERBOTTENS LÄN</t>
        </is>
      </c>
      <c r="E1427" t="inlineStr">
        <is>
          <t>SKELLEFTEÅ</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13565-2021</t>
        </is>
      </c>
      <c r="B1428" s="1" t="n">
        <v>44273</v>
      </c>
      <c r="C1428" s="1" t="n">
        <v>46075</v>
      </c>
      <c r="D1428" t="inlineStr">
        <is>
          <t>VÄSTERBOTTENS LÄN</t>
        </is>
      </c>
      <c r="E1428" t="inlineStr">
        <is>
          <t>STORUMAN</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23042-2022</t>
        </is>
      </c>
      <c r="B1429" s="1" t="n">
        <v>44719</v>
      </c>
      <c r="C1429" s="1" t="n">
        <v>46075</v>
      </c>
      <c r="D1429" t="inlineStr">
        <is>
          <t>VÄSTERBOTTENS LÄN</t>
        </is>
      </c>
      <c r="E1429" t="inlineStr">
        <is>
          <t>SKELLEFTEÅ</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47285-2022</t>
        </is>
      </c>
      <c r="B1430" s="1" t="n">
        <v>44852.95126157408</v>
      </c>
      <c r="C1430" s="1" t="n">
        <v>46075</v>
      </c>
      <c r="D1430" t="inlineStr">
        <is>
          <t>VÄSTERBOTTENS LÄN</t>
        </is>
      </c>
      <c r="E1430" t="inlineStr">
        <is>
          <t>VILHELMINA</t>
        </is>
      </c>
      <c r="F1430" t="inlineStr">
        <is>
          <t>SCA</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22325-2022</t>
        </is>
      </c>
      <c r="B1431" s="1" t="n">
        <v>44712</v>
      </c>
      <c r="C1431" s="1" t="n">
        <v>46075</v>
      </c>
      <c r="D1431" t="inlineStr">
        <is>
          <t>VÄSTERBOTTENS LÄN</t>
        </is>
      </c>
      <c r="E1431" t="inlineStr">
        <is>
          <t>VILHELMINA</t>
        </is>
      </c>
      <c r="F1431" t="inlineStr">
        <is>
          <t>SCA</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36054-2022</t>
        </is>
      </c>
      <c r="B1432" s="1" t="n">
        <v>44802.7690625</v>
      </c>
      <c r="C1432" s="1" t="n">
        <v>46075</v>
      </c>
      <c r="D1432" t="inlineStr">
        <is>
          <t>VÄSTERBOTTENS LÄN</t>
        </is>
      </c>
      <c r="E1432" t="inlineStr">
        <is>
          <t>LYCKSELE</t>
        </is>
      </c>
      <c r="F1432" t="inlineStr">
        <is>
          <t>Holmen skog AB</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49876-2022</t>
        </is>
      </c>
      <c r="B1433" s="1" t="n">
        <v>44863.95594907407</v>
      </c>
      <c r="C1433" s="1" t="n">
        <v>46075</v>
      </c>
      <c r="D1433" t="inlineStr">
        <is>
          <t>VÄSTERBOTTENS LÄN</t>
        </is>
      </c>
      <c r="E1433" t="inlineStr">
        <is>
          <t>SKELLEFTEÅ</t>
        </is>
      </c>
      <c r="F1433" t="inlineStr">
        <is>
          <t>SCA</t>
        </is>
      </c>
      <c r="G1433" t="n">
        <v>7.6</v>
      </c>
      <c r="H1433" t="n">
        <v>0</v>
      </c>
      <c r="I1433" t="n">
        <v>0</v>
      </c>
      <c r="J1433" t="n">
        <v>0</v>
      </c>
      <c r="K1433" t="n">
        <v>0</v>
      </c>
      <c r="L1433" t="n">
        <v>0</v>
      </c>
      <c r="M1433" t="n">
        <v>0</v>
      </c>
      <c r="N1433" t="n">
        <v>0</v>
      </c>
      <c r="O1433" t="n">
        <v>0</v>
      </c>
      <c r="P1433" t="n">
        <v>0</v>
      </c>
      <c r="Q1433" t="n">
        <v>0</v>
      </c>
      <c r="R1433" s="2" t="inlineStr"/>
    </row>
    <row r="1434" ht="15" customHeight="1">
      <c r="A1434" t="inlineStr">
        <is>
          <t>A 60844-2021</t>
        </is>
      </c>
      <c r="B1434" s="1" t="n">
        <v>44497</v>
      </c>
      <c r="C1434" s="1" t="n">
        <v>46075</v>
      </c>
      <c r="D1434" t="inlineStr">
        <is>
          <t>VÄSTERBOTTENS LÄN</t>
        </is>
      </c>
      <c r="E1434" t="inlineStr">
        <is>
          <t>ROBERTSFORS</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22076-2022</t>
        </is>
      </c>
      <c r="B1435" s="1" t="n">
        <v>44711</v>
      </c>
      <c r="C1435" s="1" t="n">
        <v>46075</v>
      </c>
      <c r="D1435" t="inlineStr">
        <is>
          <t>VÄSTERBOTTENS LÄN</t>
        </is>
      </c>
      <c r="E1435" t="inlineStr">
        <is>
          <t>LYCKSELE</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14199-2022</t>
        </is>
      </c>
      <c r="B1436" s="1" t="n">
        <v>44651</v>
      </c>
      <c r="C1436" s="1" t="n">
        <v>46075</v>
      </c>
      <c r="D1436" t="inlineStr">
        <is>
          <t>VÄSTERBOTTENS LÄN</t>
        </is>
      </c>
      <c r="E1436" t="inlineStr">
        <is>
          <t>NORDMALING</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50206-2022</t>
        </is>
      </c>
      <c r="B1437" s="1" t="n">
        <v>44865</v>
      </c>
      <c r="C1437" s="1" t="n">
        <v>46075</v>
      </c>
      <c r="D1437" t="inlineStr">
        <is>
          <t>VÄSTERBOTTENS LÄN</t>
        </is>
      </c>
      <c r="E1437" t="inlineStr">
        <is>
          <t>UMEÅ</t>
        </is>
      </c>
      <c r="F1437" t="inlineStr">
        <is>
          <t>Holmen skog AB</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20194-2022</t>
        </is>
      </c>
      <c r="B1438" s="1" t="n">
        <v>44698.55778935185</v>
      </c>
      <c r="C1438" s="1" t="n">
        <v>46075</v>
      </c>
      <c r="D1438" t="inlineStr">
        <is>
          <t>VÄSTERBOTTENS LÄN</t>
        </is>
      </c>
      <c r="E1438" t="inlineStr">
        <is>
          <t>STORUMAN</t>
        </is>
      </c>
      <c r="F1438" t="inlineStr">
        <is>
          <t>Sveaskog</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32434-2022</t>
        </is>
      </c>
      <c r="B1439" s="1" t="n">
        <v>44782</v>
      </c>
      <c r="C1439" s="1" t="n">
        <v>46075</v>
      </c>
      <c r="D1439" t="inlineStr">
        <is>
          <t>VÄSTERBOTTENS LÄN</t>
        </is>
      </c>
      <c r="E1439" t="inlineStr">
        <is>
          <t>SKELLEFTEÅ</t>
        </is>
      </c>
      <c r="G1439" t="n">
        <v>12.3</v>
      </c>
      <c r="H1439" t="n">
        <v>0</v>
      </c>
      <c r="I1439" t="n">
        <v>0</v>
      </c>
      <c r="J1439" t="n">
        <v>0</v>
      </c>
      <c r="K1439" t="n">
        <v>0</v>
      </c>
      <c r="L1439" t="n">
        <v>0</v>
      </c>
      <c r="M1439" t="n">
        <v>0</v>
      </c>
      <c r="N1439" t="n">
        <v>0</v>
      </c>
      <c r="O1439" t="n">
        <v>0</v>
      </c>
      <c r="P1439" t="n">
        <v>0</v>
      </c>
      <c r="Q1439" t="n">
        <v>0</v>
      </c>
      <c r="R1439" s="2" t="inlineStr"/>
    </row>
    <row r="1440" ht="15" customHeight="1">
      <c r="A1440" t="inlineStr">
        <is>
          <t>A 52086-2021</t>
        </is>
      </c>
      <c r="B1440" s="1" t="n">
        <v>44463</v>
      </c>
      <c r="C1440" s="1" t="n">
        <v>46075</v>
      </c>
      <c r="D1440" t="inlineStr">
        <is>
          <t>VÄSTERBOTTENS LÄN</t>
        </is>
      </c>
      <c r="E1440" t="inlineStr">
        <is>
          <t>SKELLEFTEÅ</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55565-2021</t>
        </is>
      </c>
      <c r="B1441" s="1" t="n">
        <v>44475</v>
      </c>
      <c r="C1441" s="1" t="n">
        <v>46075</v>
      </c>
      <c r="D1441" t="inlineStr">
        <is>
          <t>VÄSTERBOTTENS LÄN</t>
        </is>
      </c>
      <c r="E1441" t="inlineStr">
        <is>
          <t>LYCKSELE</t>
        </is>
      </c>
      <c r="F1441" t="inlineStr">
        <is>
          <t>Holmen skog AB</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70177-2021</t>
        </is>
      </c>
      <c r="B1442" s="1" t="n">
        <v>44533</v>
      </c>
      <c r="C1442" s="1" t="n">
        <v>46075</v>
      </c>
      <c r="D1442" t="inlineStr">
        <is>
          <t>VÄSTERBOTTENS LÄN</t>
        </is>
      </c>
      <c r="E1442" t="inlineStr">
        <is>
          <t>SORSELE</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32661-2021</t>
        </is>
      </c>
      <c r="B1443" s="1" t="n">
        <v>44375</v>
      </c>
      <c r="C1443" s="1" t="n">
        <v>46075</v>
      </c>
      <c r="D1443" t="inlineStr">
        <is>
          <t>VÄSTERBOTTENS LÄN</t>
        </is>
      </c>
      <c r="E1443" t="inlineStr">
        <is>
          <t>NORSJÖ</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24183-2022</t>
        </is>
      </c>
      <c r="B1444" s="1" t="n">
        <v>44725</v>
      </c>
      <c r="C1444" s="1" t="n">
        <v>46075</v>
      </c>
      <c r="D1444" t="inlineStr">
        <is>
          <t>VÄSTERBOTTENS LÄN</t>
        </is>
      </c>
      <c r="E1444" t="inlineStr">
        <is>
          <t>DOROTEA</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51356-2022</t>
        </is>
      </c>
      <c r="B1445" s="1" t="n">
        <v>44866</v>
      </c>
      <c r="C1445" s="1" t="n">
        <v>46075</v>
      </c>
      <c r="D1445" t="inlineStr">
        <is>
          <t>VÄSTERBOTTENS LÄN</t>
        </is>
      </c>
      <c r="E1445" t="inlineStr">
        <is>
          <t>NORDMALING</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45417-2022</t>
        </is>
      </c>
      <c r="B1446" s="1" t="n">
        <v>44844</v>
      </c>
      <c r="C1446" s="1" t="n">
        <v>46075</v>
      </c>
      <c r="D1446" t="inlineStr">
        <is>
          <t>VÄSTERBOTTENS LÄN</t>
        </is>
      </c>
      <c r="E1446" t="inlineStr">
        <is>
          <t>BJURHOLM</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51005-2022</t>
        </is>
      </c>
      <c r="B1447" s="1" t="n">
        <v>44867.94863425926</v>
      </c>
      <c r="C1447" s="1" t="n">
        <v>46075</v>
      </c>
      <c r="D1447" t="inlineStr">
        <is>
          <t>VÄSTERBOTTENS LÄN</t>
        </is>
      </c>
      <c r="E1447" t="inlineStr">
        <is>
          <t>NORDMALING</t>
        </is>
      </c>
      <c r="F1447" t="inlineStr">
        <is>
          <t>SCA</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51008-2022</t>
        </is>
      </c>
      <c r="B1448" s="1" t="n">
        <v>44867.94878472222</v>
      </c>
      <c r="C1448" s="1" t="n">
        <v>46075</v>
      </c>
      <c r="D1448" t="inlineStr">
        <is>
          <t>VÄSTERBOTTENS LÄN</t>
        </is>
      </c>
      <c r="E1448" t="inlineStr">
        <is>
          <t>NORDMALING</t>
        </is>
      </c>
      <c r="F1448" t="inlineStr">
        <is>
          <t>SCA</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72093-2021</t>
        </is>
      </c>
      <c r="B1449" s="1" t="n">
        <v>44543</v>
      </c>
      <c r="C1449" s="1" t="n">
        <v>46075</v>
      </c>
      <c r="D1449" t="inlineStr">
        <is>
          <t>VÄSTERBOTTENS LÄN</t>
        </is>
      </c>
      <c r="E1449" t="inlineStr">
        <is>
          <t>STORUMAN</t>
        </is>
      </c>
      <c r="G1449" t="n">
        <v>6.4</v>
      </c>
      <c r="H1449" t="n">
        <v>0</v>
      </c>
      <c r="I1449" t="n">
        <v>0</v>
      </c>
      <c r="J1449" t="n">
        <v>0</v>
      </c>
      <c r="K1449" t="n">
        <v>0</v>
      </c>
      <c r="L1449" t="n">
        <v>0</v>
      </c>
      <c r="M1449" t="n">
        <v>0</v>
      </c>
      <c r="N1449" t="n">
        <v>0</v>
      </c>
      <c r="O1449" t="n">
        <v>0</v>
      </c>
      <c r="P1449" t="n">
        <v>0</v>
      </c>
      <c r="Q1449" t="n">
        <v>0</v>
      </c>
      <c r="R1449" s="2" t="inlineStr"/>
    </row>
    <row r="1450" ht="15" customHeight="1">
      <c r="A1450" t="inlineStr">
        <is>
          <t>A 57573-2021</t>
        </is>
      </c>
      <c r="B1450" s="1" t="n">
        <v>44482</v>
      </c>
      <c r="C1450" s="1" t="n">
        <v>46075</v>
      </c>
      <c r="D1450" t="inlineStr">
        <is>
          <t>VÄSTERBOTTENS LÄN</t>
        </is>
      </c>
      <c r="E1450" t="inlineStr">
        <is>
          <t>DOROTEA</t>
        </is>
      </c>
      <c r="F1450" t="inlineStr">
        <is>
          <t>Övriga statliga verk och myndigheter</t>
        </is>
      </c>
      <c r="G1450" t="n">
        <v>12.3</v>
      </c>
      <c r="H1450" t="n">
        <v>0</v>
      </c>
      <c r="I1450" t="n">
        <v>0</v>
      </c>
      <c r="J1450" t="n">
        <v>0</v>
      </c>
      <c r="K1450" t="n">
        <v>0</v>
      </c>
      <c r="L1450" t="n">
        <v>0</v>
      </c>
      <c r="M1450" t="n">
        <v>0</v>
      </c>
      <c r="N1450" t="n">
        <v>0</v>
      </c>
      <c r="O1450" t="n">
        <v>0</v>
      </c>
      <c r="P1450" t="n">
        <v>0</v>
      </c>
      <c r="Q1450" t="n">
        <v>0</v>
      </c>
      <c r="R1450" s="2" t="inlineStr"/>
    </row>
    <row r="1451" ht="15" customHeight="1">
      <c r="A1451" t="inlineStr">
        <is>
          <t>A 6249-2022</t>
        </is>
      </c>
      <c r="B1451" s="1" t="n">
        <v>44600</v>
      </c>
      <c r="C1451" s="1" t="n">
        <v>46075</v>
      </c>
      <c r="D1451" t="inlineStr">
        <is>
          <t>VÄSTERBOTTENS LÄN</t>
        </is>
      </c>
      <c r="E1451" t="inlineStr">
        <is>
          <t>VINDELN</t>
        </is>
      </c>
      <c r="G1451" t="n">
        <v>7.4</v>
      </c>
      <c r="H1451" t="n">
        <v>0</v>
      </c>
      <c r="I1451" t="n">
        <v>0</v>
      </c>
      <c r="J1451" t="n">
        <v>0</v>
      </c>
      <c r="K1451" t="n">
        <v>0</v>
      </c>
      <c r="L1451" t="n">
        <v>0</v>
      </c>
      <c r="M1451" t="n">
        <v>0</v>
      </c>
      <c r="N1451" t="n">
        <v>0</v>
      </c>
      <c r="O1451" t="n">
        <v>0</v>
      </c>
      <c r="P1451" t="n">
        <v>0</v>
      </c>
      <c r="Q1451" t="n">
        <v>0</v>
      </c>
      <c r="R1451" s="2" t="inlineStr"/>
    </row>
    <row r="1452" ht="15" customHeight="1">
      <c r="A1452" t="inlineStr">
        <is>
          <t>A 60440-2021</t>
        </is>
      </c>
      <c r="B1452" s="1" t="n">
        <v>44496.42803240741</v>
      </c>
      <c r="C1452" s="1" t="n">
        <v>46075</v>
      </c>
      <c r="D1452" t="inlineStr">
        <is>
          <t>VÄSTERBOTTENS LÄN</t>
        </is>
      </c>
      <c r="E1452" t="inlineStr">
        <is>
          <t>LYCKSELE</t>
        </is>
      </c>
      <c r="F1452" t="inlineStr">
        <is>
          <t>Sveaskog</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51068-2022</t>
        </is>
      </c>
      <c r="B1453" s="1" t="n">
        <v>44865</v>
      </c>
      <c r="C1453" s="1" t="n">
        <v>46075</v>
      </c>
      <c r="D1453" t="inlineStr">
        <is>
          <t>VÄSTERBOTTENS LÄN</t>
        </is>
      </c>
      <c r="E1453" t="inlineStr">
        <is>
          <t>BJURHOLM</t>
        </is>
      </c>
      <c r="G1453" t="n">
        <v>3.8</v>
      </c>
      <c r="H1453" t="n">
        <v>0</v>
      </c>
      <c r="I1453" t="n">
        <v>0</v>
      </c>
      <c r="J1453" t="n">
        <v>0</v>
      </c>
      <c r="K1453" t="n">
        <v>0</v>
      </c>
      <c r="L1453" t="n">
        <v>0</v>
      </c>
      <c r="M1453" t="n">
        <v>0</v>
      </c>
      <c r="N1453" t="n">
        <v>0</v>
      </c>
      <c r="O1453" t="n">
        <v>0</v>
      </c>
      <c r="P1453" t="n">
        <v>0</v>
      </c>
      <c r="Q1453" t="n">
        <v>0</v>
      </c>
      <c r="R1453" s="2" t="inlineStr"/>
    </row>
    <row r="1454" ht="15" customHeight="1">
      <c r="A1454" t="inlineStr">
        <is>
          <t>A 60862-2023</t>
        </is>
      </c>
      <c r="B1454" s="1" t="n">
        <v>45260.96586805556</v>
      </c>
      <c r="C1454" s="1" t="n">
        <v>46075</v>
      </c>
      <c r="D1454" t="inlineStr">
        <is>
          <t>VÄSTERBOTTENS LÄN</t>
        </is>
      </c>
      <c r="E1454" t="inlineStr">
        <is>
          <t>BJURHOLM</t>
        </is>
      </c>
      <c r="F1454" t="inlineStr">
        <is>
          <t>SCA</t>
        </is>
      </c>
      <c r="G1454" t="n">
        <v>4.9</v>
      </c>
      <c r="H1454" t="n">
        <v>0</v>
      </c>
      <c r="I1454" t="n">
        <v>0</v>
      </c>
      <c r="J1454" t="n">
        <v>0</v>
      </c>
      <c r="K1454" t="n">
        <v>0</v>
      </c>
      <c r="L1454" t="n">
        <v>0</v>
      </c>
      <c r="M1454" t="n">
        <v>0</v>
      </c>
      <c r="N1454" t="n">
        <v>0</v>
      </c>
      <c r="O1454" t="n">
        <v>0</v>
      </c>
      <c r="P1454" t="n">
        <v>0</v>
      </c>
      <c r="Q1454" t="n">
        <v>0</v>
      </c>
      <c r="R1454" s="2" t="inlineStr"/>
    </row>
    <row r="1455" ht="15" customHeight="1">
      <c r="A1455" t="inlineStr">
        <is>
          <t>A 23505-2022</t>
        </is>
      </c>
      <c r="B1455" s="1" t="n">
        <v>44721</v>
      </c>
      <c r="C1455" s="1" t="n">
        <v>46075</v>
      </c>
      <c r="D1455" t="inlineStr">
        <is>
          <t>VÄSTERBOTTENS LÄN</t>
        </is>
      </c>
      <c r="E1455" t="inlineStr">
        <is>
          <t>ROBERTSFORS</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8983-2022</t>
        </is>
      </c>
      <c r="B1456" s="1" t="n">
        <v>44614</v>
      </c>
      <c r="C1456" s="1" t="n">
        <v>46075</v>
      </c>
      <c r="D1456" t="inlineStr">
        <is>
          <t>VÄSTERBOTTENS LÄN</t>
        </is>
      </c>
      <c r="E1456" t="inlineStr">
        <is>
          <t>DOROTEA</t>
        </is>
      </c>
      <c r="F1456" t="inlineStr">
        <is>
          <t>SCA</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7383-2022</t>
        </is>
      </c>
      <c r="B1457" s="1" t="n">
        <v>44606.62075231481</v>
      </c>
      <c r="C1457" s="1" t="n">
        <v>46075</v>
      </c>
      <c r="D1457" t="inlineStr">
        <is>
          <t>VÄSTERBOTTENS LÄN</t>
        </is>
      </c>
      <c r="E1457" t="inlineStr">
        <is>
          <t>UMEÅ</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15111-2022</t>
        </is>
      </c>
      <c r="B1458" s="1" t="n">
        <v>44658</v>
      </c>
      <c r="C1458" s="1" t="n">
        <v>46075</v>
      </c>
      <c r="D1458" t="inlineStr">
        <is>
          <t>VÄSTERBOTTENS LÄN</t>
        </is>
      </c>
      <c r="E1458" t="inlineStr">
        <is>
          <t>ROBERTSFORS</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52685-2022</t>
        </is>
      </c>
      <c r="B1459" s="1" t="n">
        <v>44874.87652777778</v>
      </c>
      <c r="C1459" s="1" t="n">
        <v>46075</v>
      </c>
      <c r="D1459" t="inlineStr">
        <is>
          <t>VÄSTERBOTTENS LÄN</t>
        </is>
      </c>
      <c r="E1459" t="inlineStr">
        <is>
          <t>VINDELN</t>
        </is>
      </c>
      <c r="F1459" t="inlineStr">
        <is>
          <t>Sveaskog</t>
        </is>
      </c>
      <c r="G1459" t="n">
        <v>3.8</v>
      </c>
      <c r="H1459" t="n">
        <v>0</v>
      </c>
      <c r="I1459" t="n">
        <v>0</v>
      </c>
      <c r="J1459" t="n">
        <v>0</v>
      </c>
      <c r="K1459" t="n">
        <v>0</v>
      </c>
      <c r="L1459" t="n">
        <v>0</v>
      </c>
      <c r="M1459" t="n">
        <v>0</v>
      </c>
      <c r="N1459" t="n">
        <v>0</v>
      </c>
      <c r="O1459" t="n">
        <v>0</v>
      </c>
      <c r="P1459" t="n">
        <v>0</v>
      </c>
      <c r="Q1459" t="n">
        <v>0</v>
      </c>
      <c r="R1459" s="2" t="inlineStr"/>
    </row>
    <row r="1460" ht="15" customHeight="1">
      <c r="A1460" t="inlineStr">
        <is>
          <t>A 8457-2022</t>
        </is>
      </c>
      <c r="B1460" s="1" t="n">
        <v>44612.92134259259</v>
      </c>
      <c r="C1460" s="1" t="n">
        <v>46075</v>
      </c>
      <c r="D1460" t="inlineStr">
        <is>
          <t>VÄSTERBOTTENS LÄN</t>
        </is>
      </c>
      <c r="E1460" t="inlineStr">
        <is>
          <t>ROBERTSFORS</t>
        </is>
      </c>
      <c r="G1460" t="n">
        <v>3.9</v>
      </c>
      <c r="H1460" t="n">
        <v>0</v>
      </c>
      <c r="I1460" t="n">
        <v>0</v>
      </c>
      <c r="J1460" t="n">
        <v>0</v>
      </c>
      <c r="K1460" t="n">
        <v>0</v>
      </c>
      <c r="L1460" t="n">
        <v>0</v>
      </c>
      <c r="M1460" t="n">
        <v>0</v>
      </c>
      <c r="N1460" t="n">
        <v>0</v>
      </c>
      <c r="O1460" t="n">
        <v>0</v>
      </c>
      <c r="P1460" t="n">
        <v>0</v>
      </c>
      <c r="Q1460" t="n">
        <v>0</v>
      </c>
      <c r="R1460" s="2" t="inlineStr"/>
    </row>
    <row r="1461" ht="15" customHeight="1">
      <c r="A1461" t="inlineStr">
        <is>
          <t>A 25068-2022</t>
        </is>
      </c>
      <c r="B1461" s="1" t="n">
        <v>44729</v>
      </c>
      <c r="C1461" s="1" t="n">
        <v>46075</v>
      </c>
      <c r="D1461" t="inlineStr">
        <is>
          <t>VÄSTERBOTTENS LÄN</t>
        </is>
      </c>
      <c r="E1461" t="inlineStr">
        <is>
          <t>UMEÅ</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33373-2021</t>
        </is>
      </c>
      <c r="B1462" s="1" t="n">
        <v>44377.5328125</v>
      </c>
      <c r="C1462" s="1" t="n">
        <v>46075</v>
      </c>
      <c r="D1462" t="inlineStr">
        <is>
          <t>VÄSTERBOTTENS LÄN</t>
        </is>
      </c>
      <c r="E1462" t="inlineStr">
        <is>
          <t>SKELLEFTEÅ</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8459-2022</t>
        </is>
      </c>
      <c r="B1463" s="1" t="n">
        <v>44612.92251157408</v>
      </c>
      <c r="C1463" s="1" t="n">
        <v>46075</v>
      </c>
      <c r="D1463" t="inlineStr">
        <is>
          <t>VÄSTERBOTTENS LÄN</t>
        </is>
      </c>
      <c r="E1463" t="inlineStr">
        <is>
          <t>ROBERTSFORS</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23188-2022</t>
        </is>
      </c>
      <c r="B1464" s="1" t="n">
        <v>44719.92506944444</v>
      </c>
      <c r="C1464" s="1" t="n">
        <v>46075</v>
      </c>
      <c r="D1464" t="inlineStr">
        <is>
          <t>VÄSTERBOTTENS LÄN</t>
        </is>
      </c>
      <c r="E1464" t="inlineStr">
        <is>
          <t>STORUMAN</t>
        </is>
      </c>
      <c r="F1464" t="inlineStr">
        <is>
          <t>Sveaskog</t>
        </is>
      </c>
      <c r="G1464" t="n">
        <v>12.7</v>
      </c>
      <c r="H1464" t="n">
        <v>0</v>
      </c>
      <c r="I1464" t="n">
        <v>0</v>
      </c>
      <c r="J1464" t="n">
        <v>0</v>
      </c>
      <c r="K1464" t="n">
        <v>0</v>
      </c>
      <c r="L1464" t="n">
        <v>0</v>
      </c>
      <c r="M1464" t="n">
        <v>0</v>
      </c>
      <c r="N1464" t="n">
        <v>0</v>
      </c>
      <c r="O1464" t="n">
        <v>0</v>
      </c>
      <c r="P1464" t="n">
        <v>0</v>
      </c>
      <c r="Q1464" t="n">
        <v>0</v>
      </c>
      <c r="R1464" s="2" t="inlineStr"/>
    </row>
    <row r="1465" ht="15" customHeight="1">
      <c r="A1465" t="inlineStr">
        <is>
          <t>A 20046-2021</t>
        </is>
      </c>
      <c r="B1465" s="1" t="n">
        <v>44313</v>
      </c>
      <c r="C1465" s="1" t="n">
        <v>46075</v>
      </c>
      <c r="D1465" t="inlineStr">
        <is>
          <t>VÄSTERBOTTENS LÄN</t>
        </is>
      </c>
      <c r="E1465" t="inlineStr">
        <is>
          <t>SKELLEFTEÅ</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32998-2022</t>
        </is>
      </c>
      <c r="B1466" s="1" t="n">
        <v>44784</v>
      </c>
      <c r="C1466" s="1" t="n">
        <v>46075</v>
      </c>
      <c r="D1466" t="inlineStr">
        <is>
          <t>VÄSTERBOTTENS LÄN</t>
        </is>
      </c>
      <c r="E1466" t="inlineStr">
        <is>
          <t>LYCKSELE</t>
        </is>
      </c>
      <c r="F1466" t="inlineStr">
        <is>
          <t>SCA</t>
        </is>
      </c>
      <c r="G1466" t="n">
        <v>10.4</v>
      </c>
      <c r="H1466" t="n">
        <v>0</v>
      </c>
      <c r="I1466" t="n">
        <v>0</v>
      </c>
      <c r="J1466" t="n">
        <v>0</v>
      </c>
      <c r="K1466" t="n">
        <v>0</v>
      </c>
      <c r="L1466" t="n">
        <v>0</v>
      </c>
      <c r="M1466" t="n">
        <v>0</v>
      </c>
      <c r="N1466" t="n">
        <v>0</v>
      </c>
      <c r="O1466" t="n">
        <v>0</v>
      </c>
      <c r="P1466" t="n">
        <v>0</v>
      </c>
      <c r="Q1466" t="n">
        <v>0</v>
      </c>
      <c r="R1466" s="2" t="inlineStr"/>
    </row>
    <row r="1467" ht="15" customHeight="1">
      <c r="A1467" t="inlineStr">
        <is>
          <t>A 14222-2022</t>
        </is>
      </c>
      <c r="B1467" s="1" t="n">
        <v>44651</v>
      </c>
      <c r="C1467" s="1" t="n">
        <v>46075</v>
      </c>
      <c r="D1467" t="inlineStr">
        <is>
          <t>VÄSTERBOTTENS LÄN</t>
        </is>
      </c>
      <c r="E1467" t="inlineStr">
        <is>
          <t>VÄNNÄS</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45761-2022</t>
        </is>
      </c>
      <c r="B1468" s="1" t="n">
        <v>44846.3721875</v>
      </c>
      <c r="C1468" s="1" t="n">
        <v>46075</v>
      </c>
      <c r="D1468" t="inlineStr">
        <is>
          <t>VÄSTERBOTTENS LÄN</t>
        </is>
      </c>
      <c r="E1468" t="inlineStr">
        <is>
          <t>STORUMAN</t>
        </is>
      </c>
      <c r="F1468" t="inlineStr">
        <is>
          <t>Sveaskog</t>
        </is>
      </c>
      <c r="G1468" t="n">
        <v>12.5</v>
      </c>
      <c r="H1468" t="n">
        <v>0</v>
      </c>
      <c r="I1468" t="n">
        <v>0</v>
      </c>
      <c r="J1468" t="n">
        <v>0</v>
      </c>
      <c r="K1468" t="n">
        <v>0</v>
      </c>
      <c r="L1468" t="n">
        <v>0</v>
      </c>
      <c r="M1468" t="n">
        <v>0</v>
      </c>
      <c r="N1468" t="n">
        <v>0</v>
      </c>
      <c r="O1468" t="n">
        <v>0</v>
      </c>
      <c r="P1468" t="n">
        <v>0</v>
      </c>
      <c r="Q1468" t="n">
        <v>0</v>
      </c>
      <c r="R1468" s="2" t="inlineStr"/>
    </row>
    <row r="1469" ht="15" customHeight="1">
      <c r="A1469" t="inlineStr">
        <is>
          <t>A 35227-2022</t>
        </is>
      </c>
      <c r="B1469" s="1" t="n">
        <v>44797.94505787037</v>
      </c>
      <c r="C1469" s="1" t="n">
        <v>46075</v>
      </c>
      <c r="D1469" t="inlineStr">
        <is>
          <t>VÄSTERBOTTENS LÄN</t>
        </is>
      </c>
      <c r="E1469" t="inlineStr">
        <is>
          <t>ÅSELE</t>
        </is>
      </c>
      <c r="F1469" t="inlineStr">
        <is>
          <t>SCA</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33354-2022</t>
        </is>
      </c>
      <c r="B1470" s="1" t="n">
        <v>44788</v>
      </c>
      <c r="C1470" s="1" t="n">
        <v>46075</v>
      </c>
      <c r="D1470" t="inlineStr">
        <is>
          <t>VÄSTERBOTTENS LÄN</t>
        </is>
      </c>
      <c r="E1470" t="inlineStr">
        <is>
          <t>VINDELN</t>
        </is>
      </c>
      <c r="F1470" t="inlineStr">
        <is>
          <t>Naturvårdsverket</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3876-2022</t>
        </is>
      </c>
      <c r="B1471" s="1" t="n">
        <v>44587</v>
      </c>
      <c r="C1471" s="1" t="n">
        <v>46075</v>
      </c>
      <c r="D1471" t="inlineStr">
        <is>
          <t>VÄSTERBOTTENS LÄN</t>
        </is>
      </c>
      <c r="E1471" t="inlineStr">
        <is>
          <t>SKELLEFTEÅ</t>
        </is>
      </c>
      <c r="G1471" t="n">
        <v>6.3</v>
      </c>
      <c r="H1471" t="n">
        <v>0</v>
      </c>
      <c r="I1471" t="n">
        <v>0</v>
      </c>
      <c r="J1471" t="n">
        <v>0</v>
      </c>
      <c r="K1471" t="n">
        <v>0</v>
      </c>
      <c r="L1471" t="n">
        <v>0</v>
      </c>
      <c r="M1471" t="n">
        <v>0</v>
      </c>
      <c r="N1471" t="n">
        <v>0</v>
      </c>
      <c r="O1471" t="n">
        <v>0</v>
      </c>
      <c r="P1471" t="n">
        <v>0</v>
      </c>
      <c r="Q1471" t="n">
        <v>0</v>
      </c>
      <c r="R1471" s="2" t="inlineStr"/>
    </row>
    <row r="1472" ht="15" customHeight="1">
      <c r="A1472" t="inlineStr">
        <is>
          <t>A 73081-2021</t>
        </is>
      </c>
      <c r="B1472" s="1" t="n">
        <v>44546</v>
      </c>
      <c r="C1472" s="1" t="n">
        <v>46075</v>
      </c>
      <c r="D1472" t="inlineStr">
        <is>
          <t>VÄSTERBOTTENS LÄN</t>
        </is>
      </c>
      <c r="E1472" t="inlineStr">
        <is>
          <t>VINDELN</t>
        </is>
      </c>
      <c r="G1472" t="n">
        <v>19.9</v>
      </c>
      <c r="H1472" t="n">
        <v>0</v>
      </c>
      <c r="I1472" t="n">
        <v>0</v>
      </c>
      <c r="J1472" t="n">
        <v>0</v>
      </c>
      <c r="K1472" t="n">
        <v>0</v>
      </c>
      <c r="L1472" t="n">
        <v>0</v>
      </c>
      <c r="M1472" t="n">
        <v>0</v>
      </c>
      <c r="N1472" t="n">
        <v>0</v>
      </c>
      <c r="O1472" t="n">
        <v>0</v>
      </c>
      <c r="P1472" t="n">
        <v>0</v>
      </c>
      <c r="Q1472" t="n">
        <v>0</v>
      </c>
      <c r="R1472" s="2" t="inlineStr"/>
    </row>
    <row r="1473" ht="15" customHeight="1">
      <c r="A1473" t="inlineStr">
        <is>
          <t>A 3963-2022</t>
        </is>
      </c>
      <c r="B1473" s="1" t="n">
        <v>44587.60012731481</v>
      </c>
      <c r="C1473" s="1" t="n">
        <v>46075</v>
      </c>
      <c r="D1473" t="inlineStr">
        <is>
          <t>VÄSTERBOTTENS LÄN</t>
        </is>
      </c>
      <c r="E1473" t="inlineStr">
        <is>
          <t>SKELLEFTEÅ</t>
        </is>
      </c>
      <c r="G1473" t="n">
        <v>7</v>
      </c>
      <c r="H1473" t="n">
        <v>0</v>
      </c>
      <c r="I1473" t="n">
        <v>0</v>
      </c>
      <c r="J1473" t="n">
        <v>0</v>
      </c>
      <c r="K1473" t="n">
        <v>0</v>
      </c>
      <c r="L1473" t="n">
        <v>0</v>
      </c>
      <c r="M1473" t="n">
        <v>0</v>
      </c>
      <c r="N1473" t="n">
        <v>0</v>
      </c>
      <c r="O1473" t="n">
        <v>0</v>
      </c>
      <c r="P1473" t="n">
        <v>0</v>
      </c>
      <c r="Q1473" t="n">
        <v>0</v>
      </c>
      <c r="R1473" s="2" t="inlineStr"/>
    </row>
    <row r="1474" ht="15" customHeight="1">
      <c r="A1474" t="inlineStr">
        <is>
          <t>A 8456-2022</t>
        </is>
      </c>
      <c r="B1474" s="1" t="n">
        <v>44612.92121527778</v>
      </c>
      <c r="C1474" s="1" t="n">
        <v>46075</v>
      </c>
      <c r="D1474" t="inlineStr">
        <is>
          <t>VÄSTERBOTTENS LÄN</t>
        </is>
      </c>
      <c r="E1474" t="inlineStr">
        <is>
          <t>SKELLEFTEÅ</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45890-2022</t>
        </is>
      </c>
      <c r="B1475" s="1" t="n">
        <v>44844</v>
      </c>
      <c r="C1475" s="1" t="n">
        <v>46075</v>
      </c>
      <c r="D1475" t="inlineStr">
        <is>
          <t>VÄSTERBOTTENS LÄN</t>
        </is>
      </c>
      <c r="E1475" t="inlineStr">
        <is>
          <t>SKELLEFTEÅ</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32415-2022</t>
        </is>
      </c>
      <c r="B1476" s="1" t="n">
        <v>44782</v>
      </c>
      <c r="C1476" s="1" t="n">
        <v>46075</v>
      </c>
      <c r="D1476" t="inlineStr">
        <is>
          <t>VÄSTERBOTTENS LÄN</t>
        </is>
      </c>
      <c r="E1476" t="inlineStr">
        <is>
          <t>SKELLEFTEÅ</t>
        </is>
      </c>
      <c r="F1476" t="inlineStr">
        <is>
          <t>Kommuner</t>
        </is>
      </c>
      <c r="G1476" t="n">
        <v>4.5</v>
      </c>
      <c r="H1476" t="n">
        <v>0</v>
      </c>
      <c r="I1476" t="n">
        <v>0</v>
      </c>
      <c r="J1476" t="n">
        <v>0</v>
      </c>
      <c r="K1476" t="n">
        <v>0</v>
      </c>
      <c r="L1476" t="n">
        <v>0</v>
      </c>
      <c r="M1476" t="n">
        <v>0</v>
      </c>
      <c r="N1476" t="n">
        <v>0</v>
      </c>
      <c r="O1476" t="n">
        <v>0</v>
      </c>
      <c r="P1476" t="n">
        <v>0</v>
      </c>
      <c r="Q1476" t="n">
        <v>0</v>
      </c>
      <c r="R1476" s="2" t="inlineStr"/>
    </row>
    <row r="1477" ht="15" customHeight="1">
      <c r="A1477" t="inlineStr">
        <is>
          <t>A 45418-2022</t>
        </is>
      </c>
      <c r="B1477" s="1" t="n">
        <v>44844.92738425926</v>
      </c>
      <c r="C1477" s="1" t="n">
        <v>46075</v>
      </c>
      <c r="D1477" t="inlineStr">
        <is>
          <t>VÄSTERBOTTENS LÄN</t>
        </is>
      </c>
      <c r="E1477" t="inlineStr">
        <is>
          <t>BJURHOLM</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14851-2021</t>
        </is>
      </c>
      <c r="B1478" s="1" t="n">
        <v>44280.93606481481</v>
      </c>
      <c r="C1478" s="1" t="n">
        <v>46075</v>
      </c>
      <c r="D1478" t="inlineStr">
        <is>
          <t>VÄSTERBOTTENS LÄN</t>
        </is>
      </c>
      <c r="E1478" t="inlineStr">
        <is>
          <t>SKELLEFTEÅ</t>
        </is>
      </c>
      <c r="F1478" t="inlineStr">
        <is>
          <t>SCA</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6834-2022</t>
        </is>
      </c>
      <c r="B1479" s="1" t="n">
        <v>44602</v>
      </c>
      <c r="C1479" s="1" t="n">
        <v>46075</v>
      </c>
      <c r="D1479" t="inlineStr">
        <is>
          <t>VÄSTERBOTTENS LÄN</t>
        </is>
      </c>
      <c r="E1479" t="inlineStr">
        <is>
          <t>SKELLEFTEÅ</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30434-2021</t>
        </is>
      </c>
      <c r="B1480" s="1" t="n">
        <v>44364</v>
      </c>
      <c r="C1480" s="1" t="n">
        <v>46075</v>
      </c>
      <c r="D1480" t="inlineStr">
        <is>
          <t>VÄSTERBOTTENS LÄN</t>
        </is>
      </c>
      <c r="E1480" t="inlineStr">
        <is>
          <t>STORUMAN</t>
        </is>
      </c>
      <c r="F1480" t="inlineStr">
        <is>
          <t>Sveaskog</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12622-2022</t>
        </is>
      </c>
      <c r="B1481" s="1" t="n">
        <v>44641</v>
      </c>
      <c r="C1481" s="1" t="n">
        <v>46075</v>
      </c>
      <c r="D1481" t="inlineStr">
        <is>
          <t>VÄSTERBOTTENS LÄN</t>
        </is>
      </c>
      <c r="E1481" t="inlineStr">
        <is>
          <t>ROBERTSFORS</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30938-2022</t>
        </is>
      </c>
      <c r="B1482" s="1" t="n">
        <v>44767.94136574074</v>
      </c>
      <c r="C1482" s="1" t="n">
        <v>46075</v>
      </c>
      <c r="D1482" t="inlineStr">
        <is>
          <t>VÄSTERBOTTENS LÄN</t>
        </is>
      </c>
      <c r="E1482" t="inlineStr">
        <is>
          <t>ÅSELE</t>
        </is>
      </c>
      <c r="F1482" t="inlineStr">
        <is>
          <t>SCA</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31596-2022</t>
        </is>
      </c>
      <c r="B1483" s="1" t="n">
        <v>44775</v>
      </c>
      <c r="C1483" s="1" t="n">
        <v>46075</v>
      </c>
      <c r="D1483" t="inlineStr">
        <is>
          <t>VÄSTERBOTTENS LÄN</t>
        </is>
      </c>
      <c r="E1483" t="inlineStr">
        <is>
          <t>ROBERTSFORS</t>
        </is>
      </c>
      <c r="F1483" t="inlineStr">
        <is>
          <t>Holmen skog AB</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22778-2022</t>
        </is>
      </c>
      <c r="B1484" s="1" t="n">
        <v>44714.94216435185</v>
      </c>
      <c r="C1484" s="1" t="n">
        <v>46075</v>
      </c>
      <c r="D1484" t="inlineStr">
        <is>
          <t>VÄSTERBOTTENS LÄN</t>
        </is>
      </c>
      <c r="E1484" t="inlineStr">
        <is>
          <t>VINDELN</t>
        </is>
      </c>
      <c r="F1484" t="inlineStr">
        <is>
          <t>SCA</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10302-2022</t>
        </is>
      </c>
      <c r="B1485" s="1" t="n">
        <v>44622.92310185185</v>
      </c>
      <c r="C1485" s="1" t="n">
        <v>46075</v>
      </c>
      <c r="D1485" t="inlineStr">
        <is>
          <t>VÄSTERBOTTENS LÄN</t>
        </is>
      </c>
      <c r="E1485" t="inlineStr">
        <is>
          <t>LYCKSELE</t>
        </is>
      </c>
      <c r="G1485" t="n">
        <v>13.8</v>
      </c>
      <c r="H1485" t="n">
        <v>0</v>
      </c>
      <c r="I1485" t="n">
        <v>0</v>
      </c>
      <c r="J1485" t="n">
        <v>0</v>
      </c>
      <c r="K1485" t="n">
        <v>0</v>
      </c>
      <c r="L1485" t="n">
        <v>0</v>
      </c>
      <c r="M1485" t="n">
        <v>0</v>
      </c>
      <c r="N1485" t="n">
        <v>0</v>
      </c>
      <c r="O1485" t="n">
        <v>0</v>
      </c>
      <c r="P1485" t="n">
        <v>0</v>
      </c>
      <c r="Q1485" t="n">
        <v>0</v>
      </c>
      <c r="R1485" s="2" t="inlineStr"/>
    </row>
    <row r="1486" ht="15" customHeight="1">
      <c r="A1486" t="inlineStr">
        <is>
          <t>A 48935-2022</t>
        </is>
      </c>
      <c r="B1486" s="1" t="n">
        <v>44859</v>
      </c>
      <c r="C1486" s="1" t="n">
        <v>46075</v>
      </c>
      <c r="D1486" t="inlineStr">
        <is>
          <t>VÄSTERBOTTENS LÄN</t>
        </is>
      </c>
      <c r="E1486" t="inlineStr">
        <is>
          <t>DOROTEA</t>
        </is>
      </c>
      <c r="F1486" t="inlineStr">
        <is>
          <t>SCA</t>
        </is>
      </c>
      <c r="G1486" t="n">
        <v>7.7</v>
      </c>
      <c r="H1486" t="n">
        <v>0</v>
      </c>
      <c r="I1486" t="n">
        <v>0</v>
      </c>
      <c r="J1486" t="n">
        <v>0</v>
      </c>
      <c r="K1486" t="n">
        <v>0</v>
      </c>
      <c r="L1486" t="n">
        <v>0</v>
      </c>
      <c r="M1486" t="n">
        <v>0</v>
      </c>
      <c r="N1486" t="n">
        <v>0</v>
      </c>
      <c r="O1486" t="n">
        <v>0</v>
      </c>
      <c r="P1486" t="n">
        <v>0</v>
      </c>
      <c r="Q1486" t="n">
        <v>0</v>
      </c>
      <c r="R1486" s="2" t="inlineStr"/>
    </row>
    <row r="1487" ht="15" customHeight="1">
      <c r="A1487" t="inlineStr">
        <is>
          <t>A 48941-2022</t>
        </is>
      </c>
      <c r="B1487" s="1" t="n">
        <v>44859.95730324074</v>
      </c>
      <c r="C1487" s="1" t="n">
        <v>46075</v>
      </c>
      <c r="D1487" t="inlineStr">
        <is>
          <t>VÄSTERBOTTENS LÄN</t>
        </is>
      </c>
      <c r="E1487" t="inlineStr">
        <is>
          <t>NORDMALING</t>
        </is>
      </c>
      <c r="F1487" t="inlineStr">
        <is>
          <t>SCA</t>
        </is>
      </c>
      <c r="G1487" t="n">
        <v>3.2</v>
      </c>
      <c r="H1487" t="n">
        <v>0</v>
      </c>
      <c r="I1487" t="n">
        <v>0</v>
      </c>
      <c r="J1487" t="n">
        <v>0</v>
      </c>
      <c r="K1487" t="n">
        <v>0</v>
      </c>
      <c r="L1487" t="n">
        <v>0</v>
      </c>
      <c r="M1487" t="n">
        <v>0</v>
      </c>
      <c r="N1487" t="n">
        <v>0</v>
      </c>
      <c r="O1487" t="n">
        <v>0</v>
      </c>
      <c r="P1487" t="n">
        <v>0</v>
      </c>
      <c r="Q1487" t="n">
        <v>0</v>
      </c>
      <c r="R1487" s="2" t="inlineStr"/>
    </row>
    <row r="1488" ht="15" customHeight="1">
      <c r="A1488" t="inlineStr">
        <is>
          <t>A 38391-2021</t>
        </is>
      </c>
      <c r="B1488" s="1" t="n">
        <v>44406</v>
      </c>
      <c r="C1488" s="1" t="n">
        <v>46075</v>
      </c>
      <c r="D1488" t="inlineStr">
        <is>
          <t>VÄSTERBOTTENS LÄN</t>
        </is>
      </c>
      <c r="E1488" t="inlineStr">
        <is>
          <t>UMEÅ</t>
        </is>
      </c>
      <c r="F1488" t="inlineStr">
        <is>
          <t>Kommuner</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38721-2021</t>
        </is>
      </c>
      <c r="B1489" s="1" t="n">
        <v>44410</v>
      </c>
      <c r="C1489" s="1" t="n">
        <v>46075</v>
      </c>
      <c r="D1489" t="inlineStr">
        <is>
          <t>VÄSTERBOTTENS LÄN</t>
        </is>
      </c>
      <c r="E1489" t="inlineStr">
        <is>
          <t>UMEÅ</t>
        </is>
      </c>
      <c r="F1489" t="inlineStr">
        <is>
          <t>Kommuner</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72551-2021</t>
        </is>
      </c>
      <c r="B1490" s="1" t="n">
        <v>44545</v>
      </c>
      <c r="C1490" s="1" t="n">
        <v>46075</v>
      </c>
      <c r="D1490" t="inlineStr">
        <is>
          <t>VÄSTERBOTTENS LÄN</t>
        </is>
      </c>
      <c r="E1490" t="inlineStr">
        <is>
          <t>VINDELN</t>
        </is>
      </c>
      <c r="G1490" t="n">
        <v>5.2</v>
      </c>
      <c r="H1490" t="n">
        <v>0</v>
      </c>
      <c r="I1490" t="n">
        <v>0</v>
      </c>
      <c r="J1490" t="n">
        <v>0</v>
      </c>
      <c r="K1490" t="n">
        <v>0</v>
      </c>
      <c r="L1490" t="n">
        <v>0</v>
      </c>
      <c r="M1490" t="n">
        <v>0</v>
      </c>
      <c r="N1490" t="n">
        <v>0</v>
      </c>
      <c r="O1490" t="n">
        <v>0</v>
      </c>
      <c r="P1490" t="n">
        <v>0</v>
      </c>
      <c r="Q1490" t="n">
        <v>0</v>
      </c>
      <c r="R1490" s="2" t="inlineStr"/>
    </row>
    <row r="1491" ht="15" customHeight="1">
      <c r="A1491" t="inlineStr">
        <is>
          <t>A 48144-2022</t>
        </is>
      </c>
      <c r="B1491" s="1" t="n">
        <v>44858</v>
      </c>
      <c r="C1491" s="1" t="n">
        <v>46075</v>
      </c>
      <c r="D1491" t="inlineStr">
        <is>
          <t>VÄSTERBOTTENS LÄN</t>
        </is>
      </c>
      <c r="E1491" t="inlineStr">
        <is>
          <t>MALÅ</t>
        </is>
      </c>
      <c r="F1491" t="inlineStr">
        <is>
          <t>Sveaskog</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38812-2022</t>
        </is>
      </c>
      <c r="B1492" s="1" t="n">
        <v>44816.46444444444</v>
      </c>
      <c r="C1492" s="1" t="n">
        <v>46075</v>
      </c>
      <c r="D1492" t="inlineStr">
        <is>
          <t>VÄSTERBOTTENS LÄN</t>
        </is>
      </c>
      <c r="E1492" t="inlineStr">
        <is>
          <t>UMEÅ</t>
        </is>
      </c>
      <c r="F1492" t="inlineStr">
        <is>
          <t>Holmen skog AB</t>
        </is>
      </c>
      <c r="G1492" t="n">
        <v>6.3</v>
      </c>
      <c r="H1492" t="n">
        <v>0</v>
      </c>
      <c r="I1492" t="n">
        <v>0</v>
      </c>
      <c r="J1492" t="n">
        <v>0</v>
      </c>
      <c r="K1492" t="n">
        <v>0</v>
      </c>
      <c r="L1492" t="n">
        <v>0</v>
      </c>
      <c r="M1492" t="n">
        <v>0</v>
      </c>
      <c r="N1492" t="n">
        <v>0</v>
      </c>
      <c r="O1492" t="n">
        <v>0</v>
      </c>
      <c r="P1492" t="n">
        <v>0</v>
      </c>
      <c r="Q1492" t="n">
        <v>0</v>
      </c>
      <c r="R1492" s="2" t="inlineStr"/>
    </row>
    <row r="1493" ht="15" customHeight="1">
      <c r="A1493" t="inlineStr">
        <is>
          <t>A 33161-2021</t>
        </is>
      </c>
      <c r="B1493" s="1" t="n">
        <v>44376.69396990741</v>
      </c>
      <c r="C1493" s="1" t="n">
        <v>46075</v>
      </c>
      <c r="D1493" t="inlineStr">
        <is>
          <t>VÄSTERBOTTENS LÄN</t>
        </is>
      </c>
      <c r="E1493" t="inlineStr">
        <is>
          <t>LYCKSELE</t>
        </is>
      </c>
      <c r="F1493" t="inlineStr">
        <is>
          <t>Holmen skog AB</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38544-2021</t>
        </is>
      </c>
      <c r="B1494" s="1" t="n">
        <v>44407</v>
      </c>
      <c r="C1494" s="1" t="n">
        <v>46075</v>
      </c>
      <c r="D1494" t="inlineStr">
        <is>
          <t>VÄSTERBOTTENS LÄN</t>
        </is>
      </c>
      <c r="E1494" t="inlineStr">
        <is>
          <t>LYCKSELE</t>
        </is>
      </c>
      <c r="F1494" t="inlineStr">
        <is>
          <t>Sveaskog</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38679-2021</t>
        </is>
      </c>
      <c r="B1495" s="1" t="n">
        <v>44407</v>
      </c>
      <c r="C1495" s="1" t="n">
        <v>46075</v>
      </c>
      <c r="D1495" t="inlineStr">
        <is>
          <t>VÄSTERBOTTENS LÄN</t>
        </is>
      </c>
      <c r="E1495" t="inlineStr">
        <is>
          <t>UMEÅ</t>
        </is>
      </c>
      <c r="F1495" t="inlineStr">
        <is>
          <t>Kommuner</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38690-2021</t>
        </is>
      </c>
      <c r="B1496" s="1" t="n">
        <v>44407</v>
      </c>
      <c r="C1496" s="1" t="n">
        <v>46075</v>
      </c>
      <c r="D1496" t="inlineStr">
        <is>
          <t>VÄSTERBOTTENS LÄN</t>
        </is>
      </c>
      <c r="E1496" t="inlineStr">
        <is>
          <t>UMEÅ</t>
        </is>
      </c>
      <c r="F1496" t="inlineStr">
        <is>
          <t>Kommuner</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38712-2021</t>
        </is>
      </c>
      <c r="B1497" s="1" t="n">
        <v>44405</v>
      </c>
      <c r="C1497" s="1" t="n">
        <v>46075</v>
      </c>
      <c r="D1497" t="inlineStr">
        <is>
          <t>VÄSTERBOTTENS LÄN</t>
        </is>
      </c>
      <c r="E1497" t="inlineStr">
        <is>
          <t>LYCKSELE</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42682-2022</t>
        </is>
      </c>
      <c r="B1498" s="1" t="n">
        <v>44831</v>
      </c>
      <c r="C1498" s="1" t="n">
        <v>46075</v>
      </c>
      <c r="D1498" t="inlineStr">
        <is>
          <t>VÄSTERBOTTENS LÄN</t>
        </is>
      </c>
      <c r="E1498" t="inlineStr">
        <is>
          <t>SKELLEFTEÅ</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26807-2022</t>
        </is>
      </c>
      <c r="B1499" s="1" t="n">
        <v>44740.4341087963</v>
      </c>
      <c r="C1499" s="1" t="n">
        <v>46075</v>
      </c>
      <c r="D1499" t="inlineStr">
        <is>
          <t>VÄSTERBOTTENS LÄN</t>
        </is>
      </c>
      <c r="E1499" t="inlineStr">
        <is>
          <t>SKELLEFTEÅ</t>
        </is>
      </c>
      <c r="F1499" t="inlineStr">
        <is>
          <t>Holmen skog AB</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29029-2022</t>
        </is>
      </c>
      <c r="B1500" s="1" t="n">
        <v>44749</v>
      </c>
      <c r="C1500" s="1" t="n">
        <v>46075</v>
      </c>
      <c r="D1500" t="inlineStr">
        <is>
          <t>VÄSTERBOTTENS LÄN</t>
        </is>
      </c>
      <c r="E1500" t="inlineStr">
        <is>
          <t>SKELLEFTEÅ</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9781-2022</t>
        </is>
      </c>
      <c r="B1501" s="1" t="n">
        <v>44619</v>
      </c>
      <c r="C1501" s="1" t="n">
        <v>46075</v>
      </c>
      <c r="D1501" t="inlineStr">
        <is>
          <t>VÄSTERBOTTENS LÄN</t>
        </is>
      </c>
      <c r="E1501" t="inlineStr">
        <is>
          <t>VILHELMINA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13456-2021</t>
        </is>
      </c>
      <c r="B1502" s="1" t="n">
        <v>44273.59601851852</v>
      </c>
      <c r="C1502" s="1" t="n">
        <v>46075</v>
      </c>
      <c r="D1502" t="inlineStr">
        <is>
          <t>VÄSTERBOTTENS LÄN</t>
        </is>
      </c>
      <c r="E1502" t="inlineStr">
        <is>
          <t>ROBERTSFORS</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427-2022</t>
        </is>
      </c>
      <c r="B1503" s="1" t="n">
        <v>44565.92820601852</v>
      </c>
      <c r="C1503" s="1" t="n">
        <v>46075</v>
      </c>
      <c r="D1503" t="inlineStr">
        <is>
          <t>VÄSTERBOTTENS LÄN</t>
        </is>
      </c>
      <c r="E1503" t="inlineStr">
        <is>
          <t>VÄNNÄS</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13469-2021</t>
        </is>
      </c>
      <c r="B1504" s="1" t="n">
        <v>44273.61895833333</v>
      </c>
      <c r="C1504" s="1" t="n">
        <v>46075</v>
      </c>
      <c r="D1504" t="inlineStr">
        <is>
          <t>VÄSTERBOTTENS LÄN</t>
        </is>
      </c>
      <c r="E1504" t="inlineStr">
        <is>
          <t>ROBERTSFORS</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47642-2022</t>
        </is>
      </c>
      <c r="B1505" s="1" t="n">
        <v>44854.43480324074</v>
      </c>
      <c r="C1505" s="1" t="n">
        <v>46075</v>
      </c>
      <c r="D1505" t="inlineStr">
        <is>
          <t>VÄSTERBOTTENS LÄN</t>
        </is>
      </c>
      <c r="E1505" t="inlineStr">
        <is>
          <t>UMEÅ</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11114-2021</t>
        </is>
      </c>
      <c r="B1506" s="1" t="n">
        <v>44260</v>
      </c>
      <c r="C1506" s="1" t="n">
        <v>46075</v>
      </c>
      <c r="D1506" t="inlineStr">
        <is>
          <t>VÄSTERBOTTENS LÄN</t>
        </is>
      </c>
      <c r="E1506" t="inlineStr">
        <is>
          <t>STORUMAN</t>
        </is>
      </c>
      <c r="G1506" t="n">
        <v>3.3</v>
      </c>
      <c r="H1506" t="n">
        <v>0</v>
      </c>
      <c r="I1506" t="n">
        <v>0</v>
      </c>
      <c r="J1506" t="n">
        <v>0</v>
      </c>
      <c r="K1506" t="n">
        <v>0</v>
      </c>
      <c r="L1506" t="n">
        <v>0</v>
      </c>
      <c r="M1506" t="n">
        <v>0</v>
      </c>
      <c r="N1506" t="n">
        <v>0</v>
      </c>
      <c r="O1506" t="n">
        <v>0</v>
      </c>
      <c r="P1506" t="n">
        <v>0</v>
      </c>
      <c r="Q1506" t="n">
        <v>0</v>
      </c>
      <c r="R1506" s="2" t="inlineStr"/>
    </row>
    <row r="1507" ht="15" customHeight="1">
      <c r="A1507" t="inlineStr">
        <is>
          <t>A 18788-2022</t>
        </is>
      </c>
      <c r="B1507" s="1" t="n">
        <v>44687</v>
      </c>
      <c r="C1507" s="1" t="n">
        <v>46075</v>
      </c>
      <c r="D1507" t="inlineStr">
        <is>
          <t>VÄSTERBOTTENS LÄN</t>
        </is>
      </c>
      <c r="E1507" t="inlineStr">
        <is>
          <t>UMEÅ</t>
        </is>
      </c>
      <c r="F1507" t="inlineStr">
        <is>
          <t>Kommuner</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42859-2021</t>
        </is>
      </c>
      <c r="B1508" s="1" t="n">
        <v>44430.8487962963</v>
      </c>
      <c r="C1508" s="1" t="n">
        <v>46075</v>
      </c>
      <c r="D1508" t="inlineStr">
        <is>
          <t>VÄSTERBOTTENS LÄN</t>
        </is>
      </c>
      <c r="E1508" t="inlineStr">
        <is>
          <t>NORDMALING</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28989-2022</t>
        </is>
      </c>
      <c r="B1509" s="1" t="n">
        <v>44749.66362268518</v>
      </c>
      <c r="C1509" s="1" t="n">
        <v>46075</v>
      </c>
      <c r="D1509" t="inlineStr">
        <is>
          <t>VÄSTERBOTTENS LÄN</t>
        </is>
      </c>
      <c r="E1509" t="inlineStr">
        <is>
          <t>LYCKSELE</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46422-2022</t>
        </is>
      </c>
      <c r="B1510" s="1" t="n">
        <v>44848.44364583334</v>
      </c>
      <c r="C1510" s="1" t="n">
        <v>46075</v>
      </c>
      <c r="D1510" t="inlineStr">
        <is>
          <t>VÄSTERBOTTENS LÄN</t>
        </is>
      </c>
      <c r="E1510" t="inlineStr">
        <is>
          <t>VINDELN</t>
        </is>
      </c>
      <c r="F1510" t="inlineStr">
        <is>
          <t>Holmen skog AB</t>
        </is>
      </c>
      <c r="G1510" t="n">
        <v>7.6</v>
      </c>
      <c r="H1510" t="n">
        <v>0</v>
      </c>
      <c r="I1510" t="n">
        <v>0</v>
      </c>
      <c r="J1510" t="n">
        <v>0</v>
      </c>
      <c r="K1510" t="n">
        <v>0</v>
      </c>
      <c r="L1510" t="n">
        <v>0</v>
      </c>
      <c r="M1510" t="n">
        <v>0</v>
      </c>
      <c r="N1510" t="n">
        <v>0</v>
      </c>
      <c r="O1510" t="n">
        <v>0</v>
      </c>
      <c r="P1510" t="n">
        <v>0</v>
      </c>
      <c r="Q1510" t="n">
        <v>0</v>
      </c>
      <c r="R1510" s="2" t="inlineStr"/>
    </row>
    <row r="1511" ht="15" customHeight="1">
      <c r="A1511" t="inlineStr">
        <is>
          <t>A 53597-2022</t>
        </is>
      </c>
      <c r="B1511" s="1" t="n">
        <v>44879</v>
      </c>
      <c r="C1511" s="1" t="n">
        <v>46075</v>
      </c>
      <c r="D1511" t="inlineStr">
        <is>
          <t>VÄSTERBOTTENS LÄN</t>
        </is>
      </c>
      <c r="E1511" t="inlineStr">
        <is>
          <t>VINDELN</t>
        </is>
      </c>
      <c r="F1511" t="inlineStr">
        <is>
          <t>Sveaskog</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34786-2022</t>
        </is>
      </c>
      <c r="B1512" s="1" t="n">
        <v>44795.94395833334</v>
      </c>
      <c r="C1512" s="1" t="n">
        <v>46075</v>
      </c>
      <c r="D1512" t="inlineStr">
        <is>
          <t>VÄSTERBOTTENS LÄN</t>
        </is>
      </c>
      <c r="E1512" t="inlineStr">
        <is>
          <t>ÅSELE</t>
        </is>
      </c>
      <c r="F1512" t="inlineStr">
        <is>
          <t>SCA</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24663-2022</t>
        </is>
      </c>
      <c r="B1513" s="1" t="n">
        <v>44728</v>
      </c>
      <c r="C1513" s="1" t="n">
        <v>46075</v>
      </c>
      <c r="D1513" t="inlineStr">
        <is>
          <t>VÄSTERBOTTENS LÄN</t>
        </is>
      </c>
      <c r="E1513" t="inlineStr">
        <is>
          <t>SKELLEFTEÅ</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27976-2022</t>
        </is>
      </c>
      <c r="B1514" s="1" t="n">
        <v>44744.94275462963</v>
      </c>
      <c r="C1514" s="1" t="n">
        <v>46075</v>
      </c>
      <c r="D1514" t="inlineStr">
        <is>
          <t>VÄSTERBOTTENS LÄN</t>
        </is>
      </c>
      <c r="E1514" t="inlineStr">
        <is>
          <t>NORDMALING</t>
        </is>
      </c>
      <c r="F1514" t="inlineStr">
        <is>
          <t>SCA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67495-2021</t>
        </is>
      </c>
      <c r="B1515" s="1" t="n">
        <v>44524</v>
      </c>
      <c r="C1515" s="1" t="n">
        <v>46075</v>
      </c>
      <c r="D1515" t="inlineStr">
        <is>
          <t>VÄSTERBOTTENS LÄN</t>
        </is>
      </c>
      <c r="E1515" t="inlineStr">
        <is>
          <t>UMEÅ</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11989-2021</t>
        </is>
      </c>
      <c r="B1516" s="1" t="n">
        <v>44265</v>
      </c>
      <c r="C1516" s="1" t="n">
        <v>46075</v>
      </c>
      <c r="D1516" t="inlineStr">
        <is>
          <t>VÄSTERBOTTENS LÄN</t>
        </is>
      </c>
      <c r="E1516" t="inlineStr">
        <is>
          <t>VÄNNÄS</t>
        </is>
      </c>
      <c r="G1516" t="n">
        <v>9.800000000000001</v>
      </c>
      <c r="H1516" t="n">
        <v>0</v>
      </c>
      <c r="I1516" t="n">
        <v>0</v>
      </c>
      <c r="J1516" t="n">
        <v>0</v>
      </c>
      <c r="K1516" t="n">
        <v>0</v>
      </c>
      <c r="L1516" t="n">
        <v>0</v>
      </c>
      <c r="M1516" t="n">
        <v>0</v>
      </c>
      <c r="N1516" t="n">
        <v>0</v>
      </c>
      <c r="O1516" t="n">
        <v>0</v>
      </c>
      <c r="P1516" t="n">
        <v>0</v>
      </c>
      <c r="Q1516" t="n">
        <v>0</v>
      </c>
      <c r="R1516" s="2" t="inlineStr"/>
    </row>
    <row r="1517" ht="15" customHeight="1">
      <c r="A1517" t="inlineStr">
        <is>
          <t>A 61511-2021</t>
        </is>
      </c>
      <c r="B1517" s="1" t="n">
        <v>44501.35502314815</v>
      </c>
      <c r="C1517" s="1" t="n">
        <v>46075</v>
      </c>
      <c r="D1517" t="inlineStr">
        <is>
          <t>VÄSTERBOTTENS LÄN</t>
        </is>
      </c>
      <c r="E1517" t="inlineStr">
        <is>
          <t>LYCKSELE</t>
        </is>
      </c>
      <c r="F1517" t="inlineStr">
        <is>
          <t>Sveaskog</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39509-2021</t>
        </is>
      </c>
      <c r="B1518" s="1" t="n">
        <v>44414.93936342592</v>
      </c>
      <c r="C1518" s="1" t="n">
        <v>46075</v>
      </c>
      <c r="D1518" t="inlineStr">
        <is>
          <t>VÄSTERBOTTENS LÄN</t>
        </is>
      </c>
      <c r="E1518" t="inlineStr">
        <is>
          <t>VINDELN</t>
        </is>
      </c>
      <c r="F1518" t="inlineStr">
        <is>
          <t>SCA</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1897-2022</t>
        </is>
      </c>
      <c r="B1519" s="1" t="n">
        <v>44575</v>
      </c>
      <c r="C1519" s="1" t="n">
        <v>46075</v>
      </c>
      <c r="D1519" t="inlineStr">
        <is>
          <t>VÄSTERBOTTENS LÄN</t>
        </is>
      </c>
      <c r="E1519" t="inlineStr">
        <is>
          <t>ROBERTSFORS</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59445-2021</t>
        </is>
      </c>
      <c r="B1520" s="1" t="n">
        <v>44490</v>
      </c>
      <c r="C1520" s="1" t="n">
        <v>46075</v>
      </c>
      <c r="D1520" t="inlineStr">
        <is>
          <t>VÄSTERBOTTENS LÄN</t>
        </is>
      </c>
      <c r="E1520" t="inlineStr">
        <is>
          <t>LYCKSELE</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31163-2021</t>
        </is>
      </c>
      <c r="B1521" s="1" t="n">
        <v>44368.57520833334</v>
      </c>
      <c r="C1521" s="1" t="n">
        <v>46075</v>
      </c>
      <c r="D1521" t="inlineStr">
        <is>
          <t>VÄSTERBOTTENS LÄN</t>
        </is>
      </c>
      <c r="E1521" t="inlineStr">
        <is>
          <t>VINDELN</t>
        </is>
      </c>
      <c r="F1521" t="inlineStr">
        <is>
          <t>Holmen skog AB</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68105-2021</t>
        </is>
      </c>
      <c r="B1522" s="1" t="n">
        <v>44526.36642361111</v>
      </c>
      <c r="C1522" s="1" t="n">
        <v>46075</v>
      </c>
      <c r="D1522" t="inlineStr">
        <is>
          <t>VÄSTERBOTTENS LÄN</t>
        </is>
      </c>
      <c r="E1522" t="inlineStr">
        <is>
          <t>ÅSELE</t>
        </is>
      </c>
      <c r="F1522" t="inlineStr">
        <is>
          <t>Holmen skog AB</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27620-2022</t>
        </is>
      </c>
      <c r="B1523" s="1" t="n">
        <v>44742</v>
      </c>
      <c r="C1523" s="1" t="n">
        <v>46075</v>
      </c>
      <c r="D1523" t="inlineStr">
        <is>
          <t>VÄSTERBOTTENS LÄN</t>
        </is>
      </c>
      <c r="E1523" t="inlineStr">
        <is>
          <t>UMEÅ</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54792-2021</t>
        </is>
      </c>
      <c r="B1524" s="1" t="n">
        <v>44473.94219907407</v>
      </c>
      <c r="C1524" s="1" t="n">
        <v>46075</v>
      </c>
      <c r="D1524" t="inlineStr">
        <is>
          <t>VÄSTERBOTTENS LÄN</t>
        </is>
      </c>
      <c r="E1524" t="inlineStr">
        <is>
          <t>STORUMAN</t>
        </is>
      </c>
      <c r="F1524" t="inlineStr">
        <is>
          <t>SCA</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69945-2021</t>
        </is>
      </c>
      <c r="B1525" s="1" t="n">
        <v>44532</v>
      </c>
      <c r="C1525" s="1" t="n">
        <v>46075</v>
      </c>
      <c r="D1525" t="inlineStr">
        <is>
          <t>VÄSTERBOTTENS LÄN</t>
        </is>
      </c>
      <c r="E1525" t="inlineStr">
        <is>
          <t>NORDMALING</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34587-2022</t>
        </is>
      </c>
      <c r="B1526" s="1" t="n">
        <v>44795</v>
      </c>
      <c r="C1526" s="1" t="n">
        <v>46075</v>
      </c>
      <c r="D1526" t="inlineStr">
        <is>
          <t>VÄSTERBOTTENS LÄN</t>
        </is>
      </c>
      <c r="E1526" t="inlineStr">
        <is>
          <t>ROBERTSFORS</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26231-2022</t>
        </is>
      </c>
      <c r="B1527" s="1" t="n">
        <v>44735</v>
      </c>
      <c r="C1527" s="1" t="n">
        <v>46075</v>
      </c>
      <c r="D1527" t="inlineStr">
        <is>
          <t>VÄSTERBOTTENS LÄN</t>
        </is>
      </c>
      <c r="E1527" t="inlineStr">
        <is>
          <t>ROBERTSFORS</t>
        </is>
      </c>
      <c r="G1527" t="n">
        <v>0.2</v>
      </c>
      <c r="H1527" t="n">
        <v>0</v>
      </c>
      <c r="I1527" t="n">
        <v>0</v>
      </c>
      <c r="J1527" t="n">
        <v>0</v>
      </c>
      <c r="K1527" t="n">
        <v>0</v>
      </c>
      <c r="L1527" t="n">
        <v>0</v>
      </c>
      <c r="M1527" t="n">
        <v>0</v>
      </c>
      <c r="N1527" t="n">
        <v>0</v>
      </c>
      <c r="O1527" t="n">
        <v>0</v>
      </c>
      <c r="P1527" t="n">
        <v>0</v>
      </c>
      <c r="Q1527" t="n">
        <v>0</v>
      </c>
      <c r="R1527" s="2" t="inlineStr"/>
    </row>
    <row r="1528" ht="15" customHeight="1">
      <c r="A1528" t="inlineStr">
        <is>
          <t>A 37332-2021</t>
        </is>
      </c>
      <c r="B1528" s="1" t="n">
        <v>44397</v>
      </c>
      <c r="C1528" s="1" t="n">
        <v>46075</v>
      </c>
      <c r="D1528" t="inlineStr">
        <is>
          <t>VÄSTERBOTTENS LÄN</t>
        </is>
      </c>
      <c r="E1528" t="inlineStr">
        <is>
          <t>BJURHOLM</t>
        </is>
      </c>
      <c r="G1528" t="n">
        <v>0.1</v>
      </c>
      <c r="H1528" t="n">
        <v>0</v>
      </c>
      <c r="I1528" t="n">
        <v>0</v>
      </c>
      <c r="J1528" t="n">
        <v>0</v>
      </c>
      <c r="K1528" t="n">
        <v>0</v>
      </c>
      <c r="L1528" t="n">
        <v>0</v>
      </c>
      <c r="M1528" t="n">
        <v>0</v>
      </c>
      <c r="N1528" t="n">
        <v>0</v>
      </c>
      <c r="O1528" t="n">
        <v>0</v>
      </c>
      <c r="P1528" t="n">
        <v>0</v>
      </c>
      <c r="Q1528" t="n">
        <v>0</v>
      </c>
      <c r="R1528" s="2" t="inlineStr"/>
    </row>
    <row r="1529" ht="15" customHeight="1">
      <c r="A1529" t="inlineStr">
        <is>
          <t>A 18971-2021</t>
        </is>
      </c>
      <c r="B1529" s="1" t="n">
        <v>44307</v>
      </c>
      <c r="C1529" s="1" t="n">
        <v>46075</v>
      </c>
      <c r="D1529" t="inlineStr">
        <is>
          <t>VÄSTERBOTTENS LÄN</t>
        </is>
      </c>
      <c r="E1529" t="inlineStr">
        <is>
          <t>VILHELMINA</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44830-2022</t>
        </is>
      </c>
      <c r="B1530" s="1" t="n">
        <v>44841</v>
      </c>
      <c r="C1530" s="1" t="n">
        <v>46075</v>
      </c>
      <c r="D1530" t="inlineStr">
        <is>
          <t>VÄSTERBOTTENS LÄN</t>
        </is>
      </c>
      <c r="E1530" t="inlineStr">
        <is>
          <t>UMEÅ</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42348-2022</t>
        </is>
      </c>
      <c r="B1531" s="1" t="n">
        <v>44827</v>
      </c>
      <c r="C1531" s="1" t="n">
        <v>46075</v>
      </c>
      <c r="D1531" t="inlineStr">
        <is>
          <t>VÄSTERBOTTENS LÄN</t>
        </is>
      </c>
      <c r="E1531" t="inlineStr">
        <is>
          <t>SKELLEFTEÅ</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49027-2022</t>
        </is>
      </c>
      <c r="B1532" s="1" t="n">
        <v>44860</v>
      </c>
      <c r="C1532" s="1" t="n">
        <v>46075</v>
      </c>
      <c r="D1532" t="inlineStr">
        <is>
          <t>VÄSTERBOTTENS LÄN</t>
        </is>
      </c>
      <c r="E1532" t="inlineStr">
        <is>
          <t>UMEÅ</t>
        </is>
      </c>
      <c r="G1532" t="n">
        <v>0.2</v>
      </c>
      <c r="H1532" t="n">
        <v>0</v>
      </c>
      <c r="I1532" t="n">
        <v>0</v>
      </c>
      <c r="J1532" t="n">
        <v>0</v>
      </c>
      <c r="K1532" t="n">
        <v>0</v>
      </c>
      <c r="L1532" t="n">
        <v>0</v>
      </c>
      <c r="M1532" t="n">
        <v>0</v>
      </c>
      <c r="N1532" t="n">
        <v>0</v>
      </c>
      <c r="O1532" t="n">
        <v>0</v>
      </c>
      <c r="P1532" t="n">
        <v>0</v>
      </c>
      <c r="Q1532" t="n">
        <v>0</v>
      </c>
      <c r="R1532" s="2" t="inlineStr"/>
    </row>
    <row r="1533" ht="15" customHeight="1">
      <c r="A1533" t="inlineStr">
        <is>
          <t>A 43714-2022</t>
        </is>
      </c>
      <c r="B1533" s="1" t="n">
        <v>44837.66417824074</v>
      </c>
      <c r="C1533" s="1" t="n">
        <v>46075</v>
      </c>
      <c r="D1533" t="inlineStr">
        <is>
          <t>VÄSTERBOTTENS LÄN</t>
        </is>
      </c>
      <c r="E1533" t="inlineStr">
        <is>
          <t>VILHELMINA</t>
        </is>
      </c>
      <c r="G1533" t="n">
        <v>8.9</v>
      </c>
      <c r="H1533" t="n">
        <v>0</v>
      </c>
      <c r="I1533" t="n">
        <v>0</v>
      </c>
      <c r="J1533" t="n">
        <v>0</v>
      </c>
      <c r="K1533" t="n">
        <v>0</v>
      </c>
      <c r="L1533" t="n">
        <v>0</v>
      </c>
      <c r="M1533" t="n">
        <v>0</v>
      </c>
      <c r="N1533" t="n">
        <v>0</v>
      </c>
      <c r="O1533" t="n">
        <v>0</v>
      </c>
      <c r="P1533" t="n">
        <v>0</v>
      </c>
      <c r="Q1533" t="n">
        <v>0</v>
      </c>
      <c r="R1533" s="2" t="inlineStr"/>
    </row>
    <row r="1534" ht="15" customHeight="1">
      <c r="A1534" t="inlineStr">
        <is>
          <t>A 54911-2021</t>
        </is>
      </c>
      <c r="B1534" s="1" t="n">
        <v>44474</v>
      </c>
      <c r="C1534" s="1" t="n">
        <v>46075</v>
      </c>
      <c r="D1534" t="inlineStr">
        <is>
          <t>VÄSTERBOTTENS LÄN</t>
        </is>
      </c>
      <c r="E1534" t="inlineStr">
        <is>
          <t>ÅSELE</t>
        </is>
      </c>
      <c r="F1534" t="inlineStr">
        <is>
          <t>Holmen skog AB</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8461-2022</t>
        </is>
      </c>
      <c r="B1535" s="1" t="n">
        <v>44612.92259259259</v>
      </c>
      <c r="C1535" s="1" t="n">
        <v>46075</v>
      </c>
      <c r="D1535" t="inlineStr">
        <is>
          <t>VÄSTERBOTTENS LÄN</t>
        </is>
      </c>
      <c r="E1535" t="inlineStr">
        <is>
          <t>ROBERTSFORS</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44097-2022</t>
        </is>
      </c>
      <c r="B1536" s="1" t="n">
        <v>44839</v>
      </c>
      <c r="C1536" s="1" t="n">
        <v>46075</v>
      </c>
      <c r="D1536" t="inlineStr">
        <is>
          <t>VÄSTERBOTTENS LÄN</t>
        </is>
      </c>
      <c r="E1536" t="inlineStr">
        <is>
          <t>LYCKSELE</t>
        </is>
      </c>
      <c r="F1536" t="inlineStr">
        <is>
          <t>Holmen skog AB</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48024-2022</t>
        </is>
      </c>
      <c r="B1537" s="1" t="n">
        <v>44855</v>
      </c>
      <c r="C1537" s="1" t="n">
        <v>46075</v>
      </c>
      <c r="D1537" t="inlineStr">
        <is>
          <t>VÄSTERBOTTENS LÄN</t>
        </is>
      </c>
      <c r="E1537" t="inlineStr">
        <is>
          <t>ROBERTSFORS</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27509-2021</t>
        </is>
      </c>
      <c r="B1538" s="1" t="n">
        <v>44351</v>
      </c>
      <c r="C1538" s="1" t="n">
        <v>46075</v>
      </c>
      <c r="D1538" t="inlineStr">
        <is>
          <t>VÄSTERBOTTENS LÄN</t>
        </is>
      </c>
      <c r="E1538" t="inlineStr">
        <is>
          <t>DOROTEA</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47266-2022</t>
        </is>
      </c>
      <c r="B1539" s="1" t="n">
        <v>44852</v>
      </c>
      <c r="C1539" s="1" t="n">
        <v>46075</v>
      </c>
      <c r="D1539" t="inlineStr">
        <is>
          <t>VÄSTERBOTTENS LÄN</t>
        </is>
      </c>
      <c r="E1539" t="inlineStr">
        <is>
          <t>DOROTEA</t>
        </is>
      </c>
      <c r="F1539" t="inlineStr">
        <is>
          <t>SCA</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52740-2021</t>
        </is>
      </c>
      <c r="B1540" s="1" t="n">
        <v>44467</v>
      </c>
      <c r="C1540" s="1" t="n">
        <v>46075</v>
      </c>
      <c r="D1540" t="inlineStr">
        <is>
          <t>VÄSTERBOTTENS LÄN</t>
        </is>
      </c>
      <c r="E1540" t="inlineStr">
        <is>
          <t>UMEÅ</t>
        </is>
      </c>
      <c r="F1540" t="inlineStr">
        <is>
          <t>Sveaskog</t>
        </is>
      </c>
      <c r="G1540" t="n">
        <v>5.8</v>
      </c>
      <c r="H1540" t="n">
        <v>0</v>
      </c>
      <c r="I1540" t="n">
        <v>0</v>
      </c>
      <c r="J1540" t="n">
        <v>0</v>
      </c>
      <c r="K1540" t="n">
        <v>0</v>
      </c>
      <c r="L1540" t="n">
        <v>0</v>
      </c>
      <c r="M1540" t="n">
        <v>0</v>
      </c>
      <c r="N1540" t="n">
        <v>0</v>
      </c>
      <c r="O1540" t="n">
        <v>0</v>
      </c>
      <c r="P1540" t="n">
        <v>0</v>
      </c>
      <c r="Q1540" t="n">
        <v>0</v>
      </c>
      <c r="R1540" s="2" t="inlineStr"/>
    </row>
    <row r="1541" ht="15" customHeight="1">
      <c r="A1541" t="inlineStr">
        <is>
          <t>A 42391-2022</t>
        </is>
      </c>
      <c r="B1541" s="1" t="n">
        <v>44831.42108796296</v>
      </c>
      <c r="C1541" s="1" t="n">
        <v>46075</v>
      </c>
      <c r="D1541" t="inlineStr">
        <is>
          <t>VÄSTERBOTTENS LÄN</t>
        </is>
      </c>
      <c r="E1541" t="inlineStr">
        <is>
          <t>BJURHOLM</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46163-2022</t>
        </is>
      </c>
      <c r="B1542" s="1" t="n">
        <v>44845</v>
      </c>
      <c r="C1542" s="1" t="n">
        <v>46075</v>
      </c>
      <c r="D1542" t="inlineStr">
        <is>
          <t>VÄSTERBOTTENS LÄN</t>
        </is>
      </c>
      <c r="E1542" t="inlineStr">
        <is>
          <t>DOROTEA</t>
        </is>
      </c>
      <c r="G1542" t="n">
        <v>4.5</v>
      </c>
      <c r="H1542" t="n">
        <v>0</v>
      </c>
      <c r="I1542" t="n">
        <v>0</v>
      </c>
      <c r="J1542" t="n">
        <v>0</v>
      </c>
      <c r="K1542" t="n">
        <v>0</v>
      </c>
      <c r="L1542" t="n">
        <v>0</v>
      </c>
      <c r="M1542" t="n">
        <v>0</v>
      </c>
      <c r="N1542" t="n">
        <v>0</v>
      </c>
      <c r="O1542" t="n">
        <v>0</v>
      </c>
      <c r="P1542" t="n">
        <v>0</v>
      </c>
      <c r="Q1542" t="n">
        <v>0</v>
      </c>
      <c r="R1542" s="2" t="inlineStr"/>
    </row>
    <row r="1543" ht="15" customHeight="1">
      <c r="A1543" t="inlineStr">
        <is>
          <t>A 46846-2022</t>
        </is>
      </c>
      <c r="B1543" s="1" t="n">
        <v>44851</v>
      </c>
      <c r="C1543" s="1" t="n">
        <v>46075</v>
      </c>
      <c r="D1543" t="inlineStr">
        <is>
          <t>VÄSTERBOTTENS LÄN</t>
        </is>
      </c>
      <c r="E1543" t="inlineStr">
        <is>
          <t>SORSELE</t>
        </is>
      </c>
      <c r="F1543" t="inlineStr">
        <is>
          <t>Sveaskog</t>
        </is>
      </c>
      <c r="G1543" t="n">
        <v>9.699999999999999</v>
      </c>
      <c r="H1543" t="n">
        <v>0</v>
      </c>
      <c r="I1543" t="n">
        <v>0</v>
      </c>
      <c r="J1543" t="n">
        <v>0</v>
      </c>
      <c r="K1543" t="n">
        <v>0</v>
      </c>
      <c r="L1543" t="n">
        <v>0</v>
      </c>
      <c r="M1543" t="n">
        <v>0</v>
      </c>
      <c r="N1543" t="n">
        <v>0</v>
      </c>
      <c r="O1543" t="n">
        <v>0</v>
      </c>
      <c r="P1543" t="n">
        <v>0</v>
      </c>
      <c r="Q1543" t="n">
        <v>0</v>
      </c>
      <c r="R1543" s="2" t="inlineStr"/>
    </row>
    <row r="1544" ht="15" customHeight="1">
      <c r="A1544" t="inlineStr">
        <is>
          <t>A 63502-2021</t>
        </is>
      </c>
      <c r="B1544" s="1" t="n">
        <v>44508</v>
      </c>
      <c r="C1544" s="1" t="n">
        <v>46075</v>
      </c>
      <c r="D1544" t="inlineStr">
        <is>
          <t>VÄSTERBOTTENS LÄN</t>
        </is>
      </c>
      <c r="E1544" t="inlineStr">
        <is>
          <t>SKELLEFTEÅ</t>
        </is>
      </c>
      <c r="G1544" t="n">
        <v>10.1</v>
      </c>
      <c r="H1544" t="n">
        <v>0</v>
      </c>
      <c r="I1544" t="n">
        <v>0</v>
      </c>
      <c r="J1544" t="n">
        <v>0</v>
      </c>
      <c r="K1544" t="n">
        <v>0</v>
      </c>
      <c r="L1544" t="n">
        <v>0</v>
      </c>
      <c r="M1544" t="n">
        <v>0</v>
      </c>
      <c r="N1544" t="n">
        <v>0</v>
      </c>
      <c r="O1544" t="n">
        <v>0</v>
      </c>
      <c r="P1544" t="n">
        <v>0</v>
      </c>
      <c r="Q1544" t="n">
        <v>0</v>
      </c>
      <c r="R1544" s="2" t="inlineStr"/>
    </row>
    <row r="1545" ht="15" customHeight="1">
      <c r="A1545" t="inlineStr">
        <is>
          <t>A 48942-2022</t>
        </is>
      </c>
      <c r="B1545" s="1" t="n">
        <v>44859.95736111111</v>
      </c>
      <c r="C1545" s="1" t="n">
        <v>46075</v>
      </c>
      <c r="D1545" t="inlineStr">
        <is>
          <t>VÄSTERBOTTENS LÄN</t>
        </is>
      </c>
      <c r="E1545" t="inlineStr">
        <is>
          <t>NORDMALING</t>
        </is>
      </c>
      <c r="F1545" t="inlineStr">
        <is>
          <t>SCA</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48944-2022</t>
        </is>
      </c>
      <c r="B1546" s="1" t="n">
        <v>44859.95748842593</v>
      </c>
      <c r="C1546" s="1" t="n">
        <v>46075</v>
      </c>
      <c r="D1546" t="inlineStr">
        <is>
          <t>VÄSTERBOTTENS LÄN</t>
        </is>
      </c>
      <c r="E1546" t="inlineStr">
        <is>
          <t>NORDMALING</t>
        </is>
      </c>
      <c r="F1546" t="inlineStr">
        <is>
          <t>SCA</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69362-2021</t>
        </is>
      </c>
      <c r="B1547" s="1" t="n">
        <v>44531</v>
      </c>
      <c r="C1547" s="1" t="n">
        <v>46075</v>
      </c>
      <c r="D1547" t="inlineStr">
        <is>
          <t>VÄSTERBOTTENS LÄN</t>
        </is>
      </c>
      <c r="E1547" t="inlineStr">
        <is>
          <t>VILHELMINA</t>
        </is>
      </c>
      <c r="F1547" t="inlineStr">
        <is>
          <t>Sveaskog</t>
        </is>
      </c>
      <c r="G1547" t="n">
        <v>5.8</v>
      </c>
      <c r="H1547" t="n">
        <v>0</v>
      </c>
      <c r="I1547" t="n">
        <v>0</v>
      </c>
      <c r="J1547" t="n">
        <v>0</v>
      </c>
      <c r="K1547" t="n">
        <v>0</v>
      </c>
      <c r="L1547" t="n">
        <v>0</v>
      </c>
      <c r="M1547" t="n">
        <v>0</v>
      </c>
      <c r="N1547" t="n">
        <v>0</v>
      </c>
      <c r="O1547" t="n">
        <v>0</v>
      </c>
      <c r="P1547" t="n">
        <v>0</v>
      </c>
      <c r="Q1547" t="n">
        <v>0</v>
      </c>
      <c r="R1547" s="2" t="inlineStr"/>
    </row>
    <row r="1548" ht="15" customHeight="1">
      <c r="A1548" t="inlineStr">
        <is>
          <t>A 69848-2021</t>
        </is>
      </c>
      <c r="B1548" s="1" t="n">
        <v>44532</v>
      </c>
      <c r="C1548" s="1" t="n">
        <v>46075</v>
      </c>
      <c r="D1548" t="inlineStr">
        <is>
          <t>VÄSTERBOTTENS LÄN</t>
        </is>
      </c>
      <c r="E1548" t="inlineStr">
        <is>
          <t>VILHELMINA</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35201-2022</t>
        </is>
      </c>
      <c r="B1549" s="1" t="n">
        <v>44797</v>
      </c>
      <c r="C1549" s="1" t="n">
        <v>46075</v>
      </c>
      <c r="D1549" t="inlineStr">
        <is>
          <t>VÄSTERBOTTENS LÄN</t>
        </is>
      </c>
      <c r="E1549" t="inlineStr">
        <is>
          <t>VINDELN</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38646-2022</t>
        </is>
      </c>
      <c r="B1550" s="1" t="n">
        <v>44813</v>
      </c>
      <c r="C1550" s="1" t="n">
        <v>46075</v>
      </c>
      <c r="D1550" t="inlineStr">
        <is>
          <t>VÄSTERBOTTENS LÄN</t>
        </is>
      </c>
      <c r="E1550" t="inlineStr">
        <is>
          <t>UMEÅ</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31913-2022</t>
        </is>
      </c>
      <c r="B1551" s="1" t="n">
        <v>44777</v>
      </c>
      <c r="C1551" s="1" t="n">
        <v>46075</v>
      </c>
      <c r="D1551" t="inlineStr">
        <is>
          <t>VÄSTERBOTTENS LÄN</t>
        </is>
      </c>
      <c r="E1551" t="inlineStr">
        <is>
          <t>LYCKSELE</t>
        </is>
      </c>
      <c r="G1551" t="n">
        <v>9.300000000000001</v>
      </c>
      <c r="H1551" t="n">
        <v>0</v>
      </c>
      <c r="I1551" t="n">
        <v>0</v>
      </c>
      <c r="J1551" t="n">
        <v>0</v>
      </c>
      <c r="K1551" t="n">
        <v>0</v>
      </c>
      <c r="L1551" t="n">
        <v>0</v>
      </c>
      <c r="M1551" t="n">
        <v>0</v>
      </c>
      <c r="N1551" t="n">
        <v>0</v>
      </c>
      <c r="O1551" t="n">
        <v>0</v>
      </c>
      <c r="P1551" t="n">
        <v>0</v>
      </c>
      <c r="Q1551" t="n">
        <v>0</v>
      </c>
      <c r="R1551" s="2" t="inlineStr"/>
    </row>
    <row r="1552" ht="15" customHeight="1">
      <c r="A1552" t="inlineStr">
        <is>
          <t>A 39389-2022</t>
        </is>
      </c>
      <c r="B1552" s="1" t="n">
        <v>44817</v>
      </c>
      <c r="C1552" s="1" t="n">
        <v>46075</v>
      </c>
      <c r="D1552" t="inlineStr">
        <is>
          <t>VÄSTERBOTTENS LÄN</t>
        </is>
      </c>
      <c r="E1552" t="inlineStr">
        <is>
          <t>VILHELMINA</t>
        </is>
      </c>
      <c r="F1552" t="inlineStr">
        <is>
          <t>SCA</t>
        </is>
      </c>
      <c r="G1552" t="n">
        <v>5.3</v>
      </c>
      <c r="H1552" t="n">
        <v>0</v>
      </c>
      <c r="I1552" t="n">
        <v>0</v>
      </c>
      <c r="J1552" t="n">
        <v>0</v>
      </c>
      <c r="K1552" t="n">
        <v>0</v>
      </c>
      <c r="L1552" t="n">
        <v>0</v>
      </c>
      <c r="M1552" t="n">
        <v>0</v>
      </c>
      <c r="N1552" t="n">
        <v>0</v>
      </c>
      <c r="O1552" t="n">
        <v>0</v>
      </c>
      <c r="P1552" t="n">
        <v>0</v>
      </c>
      <c r="Q1552" t="n">
        <v>0</v>
      </c>
      <c r="R1552" s="2" t="inlineStr"/>
    </row>
    <row r="1553" ht="15" customHeight="1">
      <c r="A1553" t="inlineStr">
        <is>
          <t>A 39400-2022</t>
        </is>
      </c>
      <c r="B1553" s="1" t="n">
        <v>44817.94888888889</v>
      </c>
      <c r="C1553" s="1" t="n">
        <v>46075</v>
      </c>
      <c r="D1553" t="inlineStr">
        <is>
          <t>VÄSTERBOTTENS LÄN</t>
        </is>
      </c>
      <c r="E1553" t="inlineStr">
        <is>
          <t>ÅSELE</t>
        </is>
      </c>
      <c r="F1553" t="inlineStr">
        <is>
          <t>SCA</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25513-2021</t>
        </is>
      </c>
      <c r="B1554" s="1" t="n">
        <v>44342.94737268519</v>
      </c>
      <c r="C1554" s="1" t="n">
        <v>46075</v>
      </c>
      <c r="D1554" t="inlineStr">
        <is>
          <t>VÄSTERBOTTENS LÄN</t>
        </is>
      </c>
      <c r="E1554" t="inlineStr">
        <is>
          <t>SKELLEFTEÅ</t>
        </is>
      </c>
      <c r="F1554" t="inlineStr">
        <is>
          <t>SCA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36819-2022</t>
        </is>
      </c>
      <c r="B1555" s="1" t="n">
        <v>44805</v>
      </c>
      <c r="C1555" s="1" t="n">
        <v>46075</v>
      </c>
      <c r="D1555" t="inlineStr">
        <is>
          <t>VÄSTERBOTTENS LÄN</t>
        </is>
      </c>
      <c r="E1555" t="inlineStr">
        <is>
          <t>LYCKSELE</t>
        </is>
      </c>
      <c r="F1555" t="inlineStr">
        <is>
          <t>Holmen skog AB</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30474-2022</t>
        </is>
      </c>
      <c r="B1556" s="1" t="n">
        <v>44761</v>
      </c>
      <c r="C1556" s="1" t="n">
        <v>46075</v>
      </c>
      <c r="D1556" t="inlineStr">
        <is>
          <t>VÄSTERBOTTENS LÄN</t>
        </is>
      </c>
      <c r="E1556" t="inlineStr">
        <is>
          <t>LYCKSELE</t>
        </is>
      </c>
      <c r="F1556" t="inlineStr">
        <is>
          <t>SCA</t>
        </is>
      </c>
      <c r="G1556" t="n">
        <v>14.9</v>
      </c>
      <c r="H1556" t="n">
        <v>0</v>
      </c>
      <c r="I1556" t="n">
        <v>0</v>
      </c>
      <c r="J1556" t="n">
        <v>0</v>
      </c>
      <c r="K1556" t="n">
        <v>0</v>
      </c>
      <c r="L1556" t="n">
        <v>0</v>
      </c>
      <c r="M1556" t="n">
        <v>0</v>
      </c>
      <c r="N1556" t="n">
        <v>0</v>
      </c>
      <c r="O1556" t="n">
        <v>0</v>
      </c>
      <c r="P1556" t="n">
        <v>0</v>
      </c>
      <c r="Q1556" t="n">
        <v>0</v>
      </c>
      <c r="R1556" s="2" t="inlineStr"/>
    </row>
    <row r="1557" ht="15" customHeight="1">
      <c r="A1557" t="inlineStr">
        <is>
          <t>A 62658-2021</t>
        </is>
      </c>
      <c r="B1557" s="1" t="n">
        <v>44503</v>
      </c>
      <c r="C1557" s="1" t="n">
        <v>46075</v>
      </c>
      <c r="D1557" t="inlineStr">
        <is>
          <t>VÄSTERBOTTENS LÄN</t>
        </is>
      </c>
      <c r="E1557" t="inlineStr">
        <is>
          <t>VILHELMINA</t>
        </is>
      </c>
      <c r="F1557" t="inlineStr">
        <is>
          <t>SCA</t>
        </is>
      </c>
      <c r="G1557" t="n">
        <v>13.4</v>
      </c>
      <c r="H1557" t="n">
        <v>0</v>
      </c>
      <c r="I1557" t="n">
        <v>0</v>
      </c>
      <c r="J1557" t="n">
        <v>0</v>
      </c>
      <c r="K1557" t="n">
        <v>0</v>
      </c>
      <c r="L1557" t="n">
        <v>0</v>
      </c>
      <c r="M1557" t="n">
        <v>0</v>
      </c>
      <c r="N1557" t="n">
        <v>0</v>
      </c>
      <c r="O1557" t="n">
        <v>0</v>
      </c>
      <c r="P1557" t="n">
        <v>0</v>
      </c>
      <c r="Q1557" t="n">
        <v>0</v>
      </c>
      <c r="R1557" s="2" t="inlineStr"/>
    </row>
    <row r="1558" ht="15" customHeight="1">
      <c r="A1558" t="inlineStr">
        <is>
          <t>A 24942-2021</t>
        </is>
      </c>
      <c r="B1558" s="1" t="n">
        <v>44341</v>
      </c>
      <c r="C1558" s="1" t="n">
        <v>46075</v>
      </c>
      <c r="D1558" t="inlineStr">
        <is>
          <t>VÄSTERBOTTENS LÄN</t>
        </is>
      </c>
      <c r="E1558" t="inlineStr">
        <is>
          <t>UMEÅ</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54288-2022</t>
        </is>
      </c>
      <c r="B1559" s="1" t="n">
        <v>44882.3720949074</v>
      </c>
      <c r="C1559" s="1" t="n">
        <v>46075</v>
      </c>
      <c r="D1559" t="inlineStr">
        <is>
          <t>VÄSTERBOTTENS LÄN</t>
        </is>
      </c>
      <c r="E1559" t="inlineStr">
        <is>
          <t>LYCKSELE</t>
        </is>
      </c>
      <c r="F1559" t="inlineStr">
        <is>
          <t>Holmen skog AB</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22125-2021</t>
        </is>
      </c>
      <c r="B1560" s="1" t="n">
        <v>44323</v>
      </c>
      <c r="C1560" s="1" t="n">
        <v>46075</v>
      </c>
      <c r="D1560" t="inlineStr">
        <is>
          <t>VÄSTERBOTTENS LÄN</t>
        </is>
      </c>
      <c r="E1560" t="inlineStr">
        <is>
          <t>VINDELN</t>
        </is>
      </c>
      <c r="G1560" t="n">
        <v>6.4</v>
      </c>
      <c r="H1560" t="n">
        <v>0</v>
      </c>
      <c r="I1560" t="n">
        <v>0</v>
      </c>
      <c r="J1560" t="n">
        <v>0</v>
      </c>
      <c r="K1560" t="n">
        <v>0</v>
      </c>
      <c r="L1560" t="n">
        <v>0</v>
      </c>
      <c r="M1560" t="n">
        <v>0</v>
      </c>
      <c r="N1560" t="n">
        <v>0</v>
      </c>
      <c r="O1560" t="n">
        <v>0</v>
      </c>
      <c r="P1560" t="n">
        <v>0</v>
      </c>
      <c r="Q1560" t="n">
        <v>0</v>
      </c>
      <c r="R1560" s="2" t="inlineStr"/>
    </row>
    <row r="1561" ht="15" customHeight="1">
      <c r="A1561" t="inlineStr">
        <is>
          <t>A 67534-2021</t>
        </is>
      </c>
      <c r="B1561" s="1" t="n">
        <v>44524.54244212963</v>
      </c>
      <c r="C1561" s="1" t="n">
        <v>46075</v>
      </c>
      <c r="D1561" t="inlineStr">
        <is>
          <t>VÄSTERBOTTENS LÄN</t>
        </is>
      </c>
      <c r="E1561" t="inlineStr">
        <is>
          <t>VÄNNÄS</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27998-2021</t>
        </is>
      </c>
      <c r="B1562" s="1" t="n">
        <v>44354</v>
      </c>
      <c r="C1562" s="1" t="n">
        <v>46075</v>
      </c>
      <c r="D1562" t="inlineStr">
        <is>
          <t>VÄSTERBOTTENS LÄN</t>
        </is>
      </c>
      <c r="E1562" t="inlineStr">
        <is>
          <t>UMEÅ</t>
        </is>
      </c>
      <c r="G1562" t="n">
        <v>5.1</v>
      </c>
      <c r="H1562" t="n">
        <v>0</v>
      </c>
      <c r="I1562" t="n">
        <v>0</v>
      </c>
      <c r="J1562" t="n">
        <v>0</v>
      </c>
      <c r="K1562" t="n">
        <v>0</v>
      </c>
      <c r="L1562" t="n">
        <v>0</v>
      </c>
      <c r="M1562" t="n">
        <v>0</v>
      </c>
      <c r="N1562" t="n">
        <v>0</v>
      </c>
      <c r="O1562" t="n">
        <v>0</v>
      </c>
      <c r="P1562" t="n">
        <v>0</v>
      </c>
      <c r="Q1562" t="n">
        <v>0</v>
      </c>
      <c r="R1562" s="2" t="inlineStr"/>
    </row>
    <row r="1563" ht="15" customHeight="1">
      <c r="A1563" t="inlineStr">
        <is>
          <t>A 52883-2022</t>
        </is>
      </c>
      <c r="B1563" s="1" t="n">
        <v>44875</v>
      </c>
      <c r="C1563" s="1" t="n">
        <v>46075</v>
      </c>
      <c r="D1563" t="inlineStr">
        <is>
          <t>VÄSTERBOTTENS LÄN</t>
        </is>
      </c>
      <c r="E1563" t="inlineStr">
        <is>
          <t>VINDELN</t>
        </is>
      </c>
      <c r="F1563" t="inlineStr">
        <is>
          <t>Sveaskog</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47410-2022</t>
        </is>
      </c>
      <c r="B1564" s="1" t="n">
        <v>44853.53674768518</v>
      </c>
      <c r="C1564" s="1" t="n">
        <v>46075</v>
      </c>
      <c r="D1564" t="inlineStr">
        <is>
          <t>VÄSTERBOTTENS LÄN</t>
        </is>
      </c>
      <c r="E1564" t="inlineStr">
        <is>
          <t>SKELLEFTEÅ</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46982-2022</t>
        </is>
      </c>
      <c r="B1565" s="1" t="n">
        <v>44851</v>
      </c>
      <c r="C1565" s="1" t="n">
        <v>46075</v>
      </c>
      <c r="D1565" t="inlineStr">
        <is>
          <t>VÄSTERBOTTENS LÄN</t>
        </is>
      </c>
      <c r="E1565" t="inlineStr">
        <is>
          <t>DOROTEA</t>
        </is>
      </c>
      <c r="F1565" t="inlineStr">
        <is>
          <t>SCA</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45907-2022</t>
        </is>
      </c>
      <c r="B1566" s="1" t="n">
        <v>44846</v>
      </c>
      <c r="C1566" s="1" t="n">
        <v>46075</v>
      </c>
      <c r="D1566" t="inlineStr">
        <is>
          <t>VÄSTERBOTTENS LÄN</t>
        </is>
      </c>
      <c r="E1566" t="inlineStr">
        <is>
          <t>UMEÅ</t>
        </is>
      </c>
      <c r="G1566" t="n">
        <v>0.2</v>
      </c>
      <c r="H1566" t="n">
        <v>0</v>
      </c>
      <c r="I1566" t="n">
        <v>0</v>
      </c>
      <c r="J1566" t="n">
        <v>0</v>
      </c>
      <c r="K1566" t="n">
        <v>0</v>
      </c>
      <c r="L1566" t="n">
        <v>0</v>
      </c>
      <c r="M1566" t="n">
        <v>0</v>
      </c>
      <c r="N1566" t="n">
        <v>0</v>
      </c>
      <c r="O1566" t="n">
        <v>0</v>
      </c>
      <c r="P1566" t="n">
        <v>0</v>
      </c>
      <c r="Q1566" t="n">
        <v>0</v>
      </c>
      <c r="R1566" s="2" t="inlineStr"/>
    </row>
    <row r="1567" ht="15" customHeight="1">
      <c r="A1567" t="inlineStr">
        <is>
          <t>A 34547-2022</t>
        </is>
      </c>
      <c r="B1567" s="1" t="n">
        <v>44793.9403587963</v>
      </c>
      <c r="C1567" s="1" t="n">
        <v>46075</v>
      </c>
      <c r="D1567" t="inlineStr">
        <is>
          <t>VÄSTERBOTTENS LÄN</t>
        </is>
      </c>
      <c r="E1567" t="inlineStr">
        <is>
          <t>SKELLEFTEÅ</t>
        </is>
      </c>
      <c r="F1567" t="inlineStr">
        <is>
          <t>SCA</t>
        </is>
      </c>
      <c r="G1567" t="n">
        <v>6.8</v>
      </c>
      <c r="H1567" t="n">
        <v>0</v>
      </c>
      <c r="I1567" t="n">
        <v>0</v>
      </c>
      <c r="J1567" t="n">
        <v>0</v>
      </c>
      <c r="K1567" t="n">
        <v>0</v>
      </c>
      <c r="L1567" t="n">
        <v>0</v>
      </c>
      <c r="M1567" t="n">
        <v>0</v>
      </c>
      <c r="N1567" t="n">
        <v>0</v>
      </c>
      <c r="O1567" t="n">
        <v>0</v>
      </c>
      <c r="P1567" t="n">
        <v>0</v>
      </c>
      <c r="Q1567" t="n">
        <v>0</v>
      </c>
      <c r="R1567" s="2" t="inlineStr"/>
    </row>
    <row r="1568" ht="15" customHeight="1">
      <c r="A1568" t="inlineStr">
        <is>
          <t>A 20824-2021</t>
        </is>
      </c>
      <c r="B1568" s="1" t="n">
        <v>44317</v>
      </c>
      <c r="C1568" s="1" t="n">
        <v>46075</v>
      </c>
      <c r="D1568" t="inlineStr">
        <is>
          <t>VÄSTERBOTTENS LÄN</t>
        </is>
      </c>
      <c r="E1568" t="inlineStr">
        <is>
          <t>SORSELE</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43069-2022</t>
        </is>
      </c>
      <c r="B1569" s="1" t="n">
        <v>44833.63614583333</v>
      </c>
      <c r="C1569" s="1" t="n">
        <v>46075</v>
      </c>
      <c r="D1569" t="inlineStr">
        <is>
          <t>VÄSTERBOTTENS LÄN</t>
        </is>
      </c>
      <c r="E1569" t="inlineStr">
        <is>
          <t>SKELLEFTEÅ</t>
        </is>
      </c>
      <c r="F1569" t="inlineStr">
        <is>
          <t>Sveaskog</t>
        </is>
      </c>
      <c r="G1569" t="n">
        <v>19.6</v>
      </c>
      <c r="H1569" t="n">
        <v>0</v>
      </c>
      <c r="I1569" t="n">
        <v>0</v>
      </c>
      <c r="J1569" t="n">
        <v>0</v>
      </c>
      <c r="K1569" t="n">
        <v>0</v>
      </c>
      <c r="L1569" t="n">
        <v>0</v>
      </c>
      <c r="M1569" t="n">
        <v>0</v>
      </c>
      <c r="N1569" t="n">
        <v>0</v>
      </c>
      <c r="O1569" t="n">
        <v>0</v>
      </c>
      <c r="P1569" t="n">
        <v>0</v>
      </c>
      <c r="Q1569" t="n">
        <v>0</v>
      </c>
      <c r="R1569" s="2" t="inlineStr"/>
    </row>
    <row r="1570" ht="15" customHeight="1">
      <c r="A1570" t="inlineStr">
        <is>
          <t>A 10560-2021</t>
        </is>
      </c>
      <c r="B1570" s="1" t="n">
        <v>44258</v>
      </c>
      <c r="C1570" s="1" t="n">
        <v>46075</v>
      </c>
      <c r="D1570" t="inlineStr">
        <is>
          <t>VÄSTERBOTTENS LÄN</t>
        </is>
      </c>
      <c r="E1570" t="inlineStr">
        <is>
          <t>VINDELN</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43139-2022</t>
        </is>
      </c>
      <c r="B1571" s="1" t="n">
        <v>44833.94997685185</v>
      </c>
      <c r="C1571" s="1" t="n">
        <v>46075</v>
      </c>
      <c r="D1571" t="inlineStr">
        <is>
          <t>VÄSTERBOTTENS LÄN</t>
        </is>
      </c>
      <c r="E1571" t="inlineStr">
        <is>
          <t>NORDMALING</t>
        </is>
      </c>
      <c r="F1571" t="inlineStr">
        <is>
          <t>SCA</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49887-2022</t>
        </is>
      </c>
      <c r="B1572" s="1" t="n">
        <v>44864.69234953704</v>
      </c>
      <c r="C1572" s="1" t="n">
        <v>46075</v>
      </c>
      <c r="D1572" t="inlineStr">
        <is>
          <t>VÄSTERBOTTENS LÄN</t>
        </is>
      </c>
      <c r="E1572" t="inlineStr">
        <is>
          <t>BJURHOLM</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32672-2021</t>
        </is>
      </c>
      <c r="B1573" s="1" t="n">
        <v>44371</v>
      </c>
      <c r="C1573" s="1" t="n">
        <v>46075</v>
      </c>
      <c r="D1573" t="inlineStr">
        <is>
          <t>VÄSTERBOTTENS LÄN</t>
        </is>
      </c>
      <c r="E1573" t="inlineStr">
        <is>
          <t>VILHELMINA</t>
        </is>
      </c>
      <c r="G1573" t="n">
        <v>4.5</v>
      </c>
      <c r="H1573" t="n">
        <v>0</v>
      </c>
      <c r="I1573" t="n">
        <v>0</v>
      </c>
      <c r="J1573" t="n">
        <v>0</v>
      </c>
      <c r="K1573" t="n">
        <v>0</v>
      </c>
      <c r="L1573" t="n">
        <v>0</v>
      </c>
      <c r="M1573" t="n">
        <v>0</v>
      </c>
      <c r="N1573" t="n">
        <v>0</v>
      </c>
      <c r="O1573" t="n">
        <v>0</v>
      </c>
      <c r="P1573" t="n">
        <v>0</v>
      </c>
      <c r="Q1573" t="n">
        <v>0</v>
      </c>
      <c r="R1573" s="2" t="inlineStr"/>
    </row>
    <row r="1574" ht="15" customHeight="1">
      <c r="A1574" t="inlineStr">
        <is>
          <t>A 13729-2021</t>
        </is>
      </c>
      <c r="B1574" s="1" t="n">
        <v>44274</v>
      </c>
      <c r="C1574" s="1" t="n">
        <v>46075</v>
      </c>
      <c r="D1574" t="inlineStr">
        <is>
          <t>VÄSTERBOTTENS LÄN</t>
        </is>
      </c>
      <c r="E1574" t="inlineStr">
        <is>
          <t>SKELLEFTEÅ</t>
        </is>
      </c>
      <c r="G1574" t="n">
        <v>7.6</v>
      </c>
      <c r="H1574" t="n">
        <v>0</v>
      </c>
      <c r="I1574" t="n">
        <v>0</v>
      </c>
      <c r="J1574" t="n">
        <v>0</v>
      </c>
      <c r="K1574" t="n">
        <v>0</v>
      </c>
      <c r="L1574" t="n">
        <v>0</v>
      </c>
      <c r="M1574" t="n">
        <v>0</v>
      </c>
      <c r="N1574" t="n">
        <v>0</v>
      </c>
      <c r="O1574" t="n">
        <v>0</v>
      </c>
      <c r="P1574" t="n">
        <v>0</v>
      </c>
      <c r="Q1574" t="n">
        <v>0</v>
      </c>
      <c r="R1574" s="2" t="inlineStr"/>
    </row>
    <row r="1575" ht="15" customHeight="1">
      <c r="A1575" t="inlineStr">
        <is>
          <t>A 325-2022</t>
        </is>
      </c>
      <c r="B1575" s="1" t="n">
        <v>44564</v>
      </c>
      <c r="C1575" s="1" t="n">
        <v>46075</v>
      </c>
      <c r="D1575" t="inlineStr">
        <is>
          <t>VÄSTERBOTTENS LÄN</t>
        </is>
      </c>
      <c r="E1575" t="inlineStr">
        <is>
          <t>LYCKSELE</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10075-2021</t>
        </is>
      </c>
      <c r="B1576" s="1" t="n">
        <v>44253</v>
      </c>
      <c r="C1576" s="1" t="n">
        <v>46075</v>
      </c>
      <c r="D1576" t="inlineStr">
        <is>
          <t>VÄSTERBOTTENS LÄN</t>
        </is>
      </c>
      <c r="E1576" t="inlineStr">
        <is>
          <t>VILHELMINA</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29923-2021</t>
        </is>
      </c>
      <c r="B1577" s="1" t="n">
        <v>44362</v>
      </c>
      <c r="C1577" s="1" t="n">
        <v>46075</v>
      </c>
      <c r="D1577" t="inlineStr">
        <is>
          <t>VÄSTERBOTTENS LÄN</t>
        </is>
      </c>
      <c r="E1577" t="inlineStr">
        <is>
          <t>NORSJÖ</t>
        </is>
      </c>
      <c r="F1577" t="inlineStr">
        <is>
          <t>SCA</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16750-2022</t>
        </is>
      </c>
      <c r="B1578" s="1" t="n">
        <v>44673</v>
      </c>
      <c r="C1578" s="1" t="n">
        <v>46075</v>
      </c>
      <c r="D1578" t="inlineStr">
        <is>
          <t>VÄSTERBOTTENS LÄN</t>
        </is>
      </c>
      <c r="E1578" t="inlineStr">
        <is>
          <t>SKELLEFTEÅ</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16782-2022</t>
        </is>
      </c>
      <c r="B1579" s="1" t="n">
        <v>44673</v>
      </c>
      <c r="C1579" s="1" t="n">
        <v>46075</v>
      </c>
      <c r="D1579" t="inlineStr">
        <is>
          <t>VÄSTERBOTTENS LÄN</t>
        </is>
      </c>
      <c r="E1579" t="inlineStr">
        <is>
          <t>STORUMAN</t>
        </is>
      </c>
      <c r="F1579" t="inlineStr">
        <is>
          <t>Sveaskog</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50398-2021</t>
        </is>
      </c>
      <c r="B1580" s="1" t="n">
        <v>44459.474375</v>
      </c>
      <c r="C1580" s="1" t="n">
        <v>46075</v>
      </c>
      <c r="D1580" t="inlineStr">
        <is>
          <t>VÄSTERBOTTENS LÄN</t>
        </is>
      </c>
      <c r="E1580" t="inlineStr">
        <is>
          <t>VINDELN</t>
        </is>
      </c>
      <c r="F1580" t="inlineStr">
        <is>
          <t>Holmen skog AB</t>
        </is>
      </c>
      <c r="G1580" t="n">
        <v>6.8</v>
      </c>
      <c r="H1580" t="n">
        <v>0</v>
      </c>
      <c r="I1580" t="n">
        <v>0</v>
      </c>
      <c r="J1580" t="n">
        <v>0</v>
      </c>
      <c r="K1580" t="n">
        <v>0</v>
      </c>
      <c r="L1580" t="n">
        <v>0</v>
      </c>
      <c r="M1580" t="n">
        <v>0</v>
      </c>
      <c r="N1580" t="n">
        <v>0</v>
      </c>
      <c r="O1580" t="n">
        <v>0</v>
      </c>
      <c r="P1580" t="n">
        <v>0</v>
      </c>
      <c r="Q1580" t="n">
        <v>0</v>
      </c>
      <c r="R1580" s="2" t="inlineStr"/>
    </row>
    <row r="1581" ht="15" customHeight="1">
      <c r="A1581" t="inlineStr">
        <is>
          <t>A 9308-2021</t>
        </is>
      </c>
      <c r="B1581" s="1" t="n">
        <v>44249</v>
      </c>
      <c r="C1581" s="1" t="n">
        <v>46075</v>
      </c>
      <c r="D1581" t="inlineStr">
        <is>
          <t>VÄSTERBOTTENS LÄN</t>
        </is>
      </c>
      <c r="E1581" t="inlineStr">
        <is>
          <t>UMEÅ</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34471-2021</t>
        </is>
      </c>
      <c r="B1582" s="1" t="n">
        <v>44381</v>
      </c>
      <c r="C1582" s="1" t="n">
        <v>46075</v>
      </c>
      <c r="D1582" t="inlineStr">
        <is>
          <t>VÄSTERBOTTENS LÄN</t>
        </is>
      </c>
      <c r="E1582" t="inlineStr">
        <is>
          <t>ÅSELE</t>
        </is>
      </c>
      <c r="G1582" t="n">
        <v>8.1</v>
      </c>
      <c r="H1582" t="n">
        <v>0</v>
      </c>
      <c r="I1582" t="n">
        <v>0</v>
      </c>
      <c r="J1582" t="n">
        <v>0</v>
      </c>
      <c r="K1582" t="n">
        <v>0</v>
      </c>
      <c r="L1582" t="n">
        <v>0</v>
      </c>
      <c r="M1582" t="n">
        <v>0</v>
      </c>
      <c r="N1582" t="n">
        <v>0</v>
      </c>
      <c r="O1582" t="n">
        <v>0</v>
      </c>
      <c r="P1582" t="n">
        <v>0</v>
      </c>
      <c r="Q1582" t="n">
        <v>0</v>
      </c>
      <c r="R1582" s="2" t="inlineStr"/>
    </row>
    <row r="1583" ht="15" customHeight="1">
      <c r="A1583" t="inlineStr">
        <is>
          <t>A 45270-2021</t>
        </is>
      </c>
      <c r="B1583" s="1" t="n">
        <v>44439</v>
      </c>
      <c r="C1583" s="1" t="n">
        <v>46075</v>
      </c>
      <c r="D1583" t="inlineStr">
        <is>
          <t>VÄSTERBOTTENS LÄN</t>
        </is>
      </c>
      <c r="E1583" t="inlineStr">
        <is>
          <t>LYCKSELE</t>
        </is>
      </c>
      <c r="F1583" t="inlineStr">
        <is>
          <t>Sveaskog</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18996-2022</t>
        </is>
      </c>
      <c r="B1584" s="1" t="n">
        <v>44690</v>
      </c>
      <c r="C1584" s="1" t="n">
        <v>46075</v>
      </c>
      <c r="D1584" t="inlineStr">
        <is>
          <t>VÄSTERBOTTENS LÄN</t>
        </is>
      </c>
      <c r="E1584" t="inlineStr">
        <is>
          <t>VILHELMINA</t>
        </is>
      </c>
      <c r="F1584" t="inlineStr">
        <is>
          <t>SCA</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35040-2021</t>
        </is>
      </c>
      <c r="B1585" s="1" t="n">
        <v>44383</v>
      </c>
      <c r="C1585" s="1" t="n">
        <v>46075</v>
      </c>
      <c r="D1585" t="inlineStr">
        <is>
          <t>VÄSTERBOTTENS LÄN</t>
        </is>
      </c>
      <c r="E1585" t="inlineStr">
        <is>
          <t>DOROTEA</t>
        </is>
      </c>
      <c r="G1585" t="n">
        <v>0.2</v>
      </c>
      <c r="H1585" t="n">
        <v>0</v>
      </c>
      <c r="I1585" t="n">
        <v>0</v>
      </c>
      <c r="J1585" t="n">
        <v>0</v>
      </c>
      <c r="K1585" t="n">
        <v>0</v>
      </c>
      <c r="L1585" t="n">
        <v>0</v>
      </c>
      <c r="M1585" t="n">
        <v>0</v>
      </c>
      <c r="N1585" t="n">
        <v>0</v>
      </c>
      <c r="O1585" t="n">
        <v>0</v>
      </c>
      <c r="P1585" t="n">
        <v>0</v>
      </c>
      <c r="Q1585" t="n">
        <v>0</v>
      </c>
      <c r="R1585" s="2" t="inlineStr"/>
    </row>
    <row r="1586" ht="15" customHeight="1">
      <c r="A1586" t="inlineStr">
        <is>
          <t>A 51361-2021</t>
        </is>
      </c>
      <c r="B1586" s="1" t="n">
        <v>44461</v>
      </c>
      <c r="C1586" s="1" t="n">
        <v>46075</v>
      </c>
      <c r="D1586" t="inlineStr">
        <is>
          <t>VÄSTERBOTTENS LÄN</t>
        </is>
      </c>
      <c r="E1586" t="inlineStr">
        <is>
          <t>BJURHOLM</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51368-2021</t>
        </is>
      </c>
      <c r="B1587" s="1" t="n">
        <v>44461</v>
      </c>
      <c r="C1587" s="1" t="n">
        <v>46075</v>
      </c>
      <c r="D1587" t="inlineStr">
        <is>
          <t>VÄSTERBOTTENS LÄN</t>
        </is>
      </c>
      <c r="E1587" t="inlineStr">
        <is>
          <t>BJURHOLM</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24206-2021</t>
        </is>
      </c>
      <c r="B1588" s="1" t="n">
        <v>44336</v>
      </c>
      <c r="C1588" s="1" t="n">
        <v>46075</v>
      </c>
      <c r="D1588" t="inlineStr">
        <is>
          <t>VÄSTERBOTTENS LÄN</t>
        </is>
      </c>
      <c r="E1588" t="inlineStr">
        <is>
          <t>DOROTEA</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27548-2022</t>
        </is>
      </c>
      <c r="B1589" s="1" t="n">
        <v>44742</v>
      </c>
      <c r="C1589" s="1" t="n">
        <v>46075</v>
      </c>
      <c r="D1589" t="inlineStr">
        <is>
          <t>VÄSTERBOTTENS LÄN</t>
        </is>
      </c>
      <c r="E1589" t="inlineStr">
        <is>
          <t>LYCKSELE</t>
        </is>
      </c>
      <c r="F1589" t="inlineStr">
        <is>
          <t>Holmen skog AB</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24869-2021</t>
        </is>
      </c>
      <c r="B1590" s="1" t="n">
        <v>44340</v>
      </c>
      <c r="C1590" s="1" t="n">
        <v>46075</v>
      </c>
      <c r="D1590" t="inlineStr">
        <is>
          <t>VÄSTERBOTTENS LÄN</t>
        </is>
      </c>
      <c r="E1590" t="inlineStr">
        <is>
          <t>VINDELN</t>
        </is>
      </c>
      <c r="G1590" t="n">
        <v>17.1</v>
      </c>
      <c r="H1590" t="n">
        <v>0</v>
      </c>
      <c r="I1590" t="n">
        <v>0</v>
      </c>
      <c r="J1590" t="n">
        <v>0</v>
      </c>
      <c r="K1590" t="n">
        <v>0</v>
      </c>
      <c r="L1590" t="n">
        <v>0</v>
      </c>
      <c r="M1590" t="n">
        <v>0</v>
      </c>
      <c r="N1590" t="n">
        <v>0</v>
      </c>
      <c r="O1590" t="n">
        <v>0</v>
      </c>
      <c r="P1590" t="n">
        <v>0</v>
      </c>
      <c r="Q1590" t="n">
        <v>0</v>
      </c>
      <c r="R1590" s="2" t="inlineStr"/>
    </row>
    <row r="1591" ht="15" customHeight="1">
      <c r="A1591" t="inlineStr">
        <is>
          <t>A 24875-2021</t>
        </is>
      </c>
      <c r="B1591" s="1" t="n">
        <v>44340</v>
      </c>
      <c r="C1591" s="1" t="n">
        <v>46075</v>
      </c>
      <c r="D1591" t="inlineStr">
        <is>
          <t>VÄSTERBOTTENS LÄN</t>
        </is>
      </c>
      <c r="E1591" t="inlineStr">
        <is>
          <t>VINDELN</t>
        </is>
      </c>
      <c r="G1591" t="n">
        <v>7.1</v>
      </c>
      <c r="H1591" t="n">
        <v>0</v>
      </c>
      <c r="I1591" t="n">
        <v>0</v>
      </c>
      <c r="J1591" t="n">
        <v>0</v>
      </c>
      <c r="K1591" t="n">
        <v>0</v>
      </c>
      <c r="L1591" t="n">
        <v>0</v>
      </c>
      <c r="M1591" t="n">
        <v>0</v>
      </c>
      <c r="N1591" t="n">
        <v>0</v>
      </c>
      <c r="O1591" t="n">
        <v>0</v>
      </c>
      <c r="P1591" t="n">
        <v>0</v>
      </c>
      <c r="Q1591" t="n">
        <v>0</v>
      </c>
      <c r="R1591" s="2" t="inlineStr"/>
    </row>
    <row r="1592" ht="15" customHeight="1">
      <c r="A1592" t="inlineStr">
        <is>
          <t>A 61430-2021</t>
        </is>
      </c>
      <c r="B1592" s="1" t="n">
        <v>44500</v>
      </c>
      <c r="C1592" s="1" t="n">
        <v>46075</v>
      </c>
      <c r="D1592" t="inlineStr">
        <is>
          <t>VÄSTERBOTTENS LÄN</t>
        </is>
      </c>
      <c r="E1592" t="inlineStr">
        <is>
          <t>VINDELN</t>
        </is>
      </c>
      <c r="G1592" t="n">
        <v>5.1</v>
      </c>
      <c r="H1592" t="n">
        <v>0</v>
      </c>
      <c r="I1592" t="n">
        <v>0</v>
      </c>
      <c r="J1592" t="n">
        <v>0</v>
      </c>
      <c r="K1592" t="n">
        <v>0</v>
      </c>
      <c r="L1592" t="n">
        <v>0</v>
      </c>
      <c r="M1592" t="n">
        <v>0</v>
      </c>
      <c r="N1592" t="n">
        <v>0</v>
      </c>
      <c r="O1592" t="n">
        <v>0</v>
      </c>
      <c r="P1592" t="n">
        <v>0</v>
      </c>
      <c r="Q1592" t="n">
        <v>0</v>
      </c>
      <c r="R1592" s="2" t="inlineStr"/>
    </row>
    <row r="1593" ht="15" customHeight="1">
      <c r="A1593" t="inlineStr">
        <is>
          <t>A 39324-2021</t>
        </is>
      </c>
      <c r="B1593" s="1" t="n">
        <v>44413</v>
      </c>
      <c r="C1593" s="1" t="n">
        <v>46075</v>
      </c>
      <c r="D1593" t="inlineStr">
        <is>
          <t>VÄSTERBOTTENS LÄN</t>
        </is>
      </c>
      <c r="E1593" t="inlineStr">
        <is>
          <t>ROBERTSFORS</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35938-2021</t>
        </is>
      </c>
      <c r="B1594" s="1" t="n">
        <v>44388.58075231482</v>
      </c>
      <c r="C1594" s="1" t="n">
        <v>46075</v>
      </c>
      <c r="D1594" t="inlineStr">
        <is>
          <t>VÄSTERBOTTENS LÄN</t>
        </is>
      </c>
      <c r="E1594" t="inlineStr">
        <is>
          <t>LYCKSELE</t>
        </is>
      </c>
      <c r="F1594" t="inlineStr">
        <is>
          <t>Sveaskog</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22259-2021</t>
        </is>
      </c>
      <c r="B1595" s="1" t="n">
        <v>44323</v>
      </c>
      <c r="C1595" s="1" t="n">
        <v>46075</v>
      </c>
      <c r="D1595" t="inlineStr">
        <is>
          <t>VÄSTERBOTTENS LÄN</t>
        </is>
      </c>
      <c r="E1595" t="inlineStr">
        <is>
          <t>VINDELN</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52111-2021</t>
        </is>
      </c>
      <c r="B1596" s="1" t="n">
        <v>44462</v>
      </c>
      <c r="C1596" s="1" t="n">
        <v>46075</v>
      </c>
      <c r="D1596" t="inlineStr">
        <is>
          <t>VÄSTERBOTTENS LÄN</t>
        </is>
      </c>
      <c r="E1596" t="inlineStr">
        <is>
          <t>BJURHOLM</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71019-2021</t>
        </is>
      </c>
      <c r="B1597" s="1" t="n">
        <v>44538.64574074074</v>
      </c>
      <c r="C1597" s="1" t="n">
        <v>46075</v>
      </c>
      <c r="D1597" t="inlineStr">
        <is>
          <t>VÄSTERBOTTENS LÄN</t>
        </is>
      </c>
      <c r="E1597" t="inlineStr">
        <is>
          <t>SKELLEFTEÅ</t>
        </is>
      </c>
      <c r="G1597" t="n">
        <v>7.3</v>
      </c>
      <c r="H1597" t="n">
        <v>0</v>
      </c>
      <c r="I1597" t="n">
        <v>0</v>
      </c>
      <c r="J1597" t="n">
        <v>0</v>
      </c>
      <c r="K1597" t="n">
        <v>0</v>
      </c>
      <c r="L1597" t="n">
        <v>0</v>
      </c>
      <c r="M1597" t="n">
        <v>0</v>
      </c>
      <c r="N1597" t="n">
        <v>0</v>
      </c>
      <c r="O1597" t="n">
        <v>0</v>
      </c>
      <c r="P1597" t="n">
        <v>0</v>
      </c>
      <c r="Q1597" t="n">
        <v>0</v>
      </c>
      <c r="R1597" s="2" t="inlineStr"/>
    </row>
    <row r="1598" ht="15" customHeight="1">
      <c r="A1598" t="inlineStr">
        <is>
          <t>A 32657-2022</t>
        </is>
      </c>
      <c r="B1598" s="1" t="n">
        <v>44783.51591435185</v>
      </c>
      <c r="C1598" s="1" t="n">
        <v>46075</v>
      </c>
      <c r="D1598" t="inlineStr">
        <is>
          <t>VÄSTERBOTTENS LÄN</t>
        </is>
      </c>
      <c r="E1598" t="inlineStr">
        <is>
          <t>SKELLEFTEÅ</t>
        </is>
      </c>
      <c r="F1598" t="inlineStr">
        <is>
          <t>Sveaskog</t>
        </is>
      </c>
      <c r="G1598" t="n">
        <v>7.5</v>
      </c>
      <c r="H1598" t="n">
        <v>0</v>
      </c>
      <c r="I1598" t="n">
        <v>0</v>
      </c>
      <c r="J1598" t="n">
        <v>0</v>
      </c>
      <c r="K1598" t="n">
        <v>0</v>
      </c>
      <c r="L1598" t="n">
        <v>0</v>
      </c>
      <c r="M1598" t="n">
        <v>0</v>
      </c>
      <c r="N1598" t="n">
        <v>0</v>
      </c>
      <c r="O1598" t="n">
        <v>0</v>
      </c>
      <c r="P1598" t="n">
        <v>0</v>
      </c>
      <c r="Q1598" t="n">
        <v>0</v>
      </c>
      <c r="R1598" s="2" t="inlineStr"/>
    </row>
    <row r="1599" ht="15" customHeight="1">
      <c r="A1599" t="inlineStr">
        <is>
          <t>A 52329-2022</t>
        </is>
      </c>
      <c r="B1599" s="1" t="n">
        <v>44873.92929398148</v>
      </c>
      <c r="C1599" s="1" t="n">
        <v>46075</v>
      </c>
      <c r="D1599" t="inlineStr">
        <is>
          <t>VÄSTERBOTTENS LÄN</t>
        </is>
      </c>
      <c r="E1599" t="inlineStr">
        <is>
          <t>NORSJÖ</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52330-2022</t>
        </is>
      </c>
      <c r="B1600" s="1" t="n">
        <v>44873</v>
      </c>
      <c r="C1600" s="1" t="n">
        <v>46075</v>
      </c>
      <c r="D1600" t="inlineStr">
        <is>
          <t>VÄSTERBOTTENS LÄN</t>
        </is>
      </c>
      <c r="E1600" t="inlineStr">
        <is>
          <t>NORSJÖ</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18183-2021</t>
        </is>
      </c>
      <c r="B1601" s="1" t="n">
        <v>44302</v>
      </c>
      <c r="C1601" s="1" t="n">
        <v>46075</v>
      </c>
      <c r="D1601" t="inlineStr">
        <is>
          <t>VÄSTERBOTTENS LÄN</t>
        </is>
      </c>
      <c r="E1601" t="inlineStr">
        <is>
          <t>SKELLEFTEÅ</t>
        </is>
      </c>
      <c r="G1601" t="n">
        <v>7.4</v>
      </c>
      <c r="H1601" t="n">
        <v>0</v>
      </c>
      <c r="I1601" t="n">
        <v>0</v>
      </c>
      <c r="J1601" t="n">
        <v>0</v>
      </c>
      <c r="K1601" t="n">
        <v>0</v>
      </c>
      <c r="L1601" t="n">
        <v>0</v>
      </c>
      <c r="M1601" t="n">
        <v>0</v>
      </c>
      <c r="N1601" t="n">
        <v>0</v>
      </c>
      <c r="O1601" t="n">
        <v>0</v>
      </c>
      <c r="P1601" t="n">
        <v>0</v>
      </c>
      <c r="Q1601" t="n">
        <v>0</v>
      </c>
      <c r="R1601" s="2" t="inlineStr"/>
    </row>
    <row r="1602" ht="15" customHeight="1">
      <c r="A1602" t="inlineStr">
        <is>
          <t>A 22075-2022</t>
        </is>
      </c>
      <c r="B1602" s="1" t="n">
        <v>44711</v>
      </c>
      <c r="C1602" s="1" t="n">
        <v>46075</v>
      </c>
      <c r="D1602" t="inlineStr">
        <is>
          <t>VÄSTERBOTTENS LÄN</t>
        </is>
      </c>
      <c r="E1602" t="inlineStr">
        <is>
          <t>LYCKSELE</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36058-2022</t>
        </is>
      </c>
      <c r="B1603" s="1" t="n">
        <v>44802.80567129629</v>
      </c>
      <c r="C1603" s="1" t="n">
        <v>46075</v>
      </c>
      <c r="D1603" t="inlineStr">
        <is>
          <t>VÄSTERBOTTENS LÄN</t>
        </is>
      </c>
      <c r="E1603" t="inlineStr">
        <is>
          <t>VINDELN</t>
        </is>
      </c>
      <c r="F1603" t="inlineStr">
        <is>
          <t>Holmen skog AB</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26673-2021</t>
        </is>
      </c>
      <c r="B1604" s="1" t="n">
        <v>44348.93670138889</v>
      </c>
      <c r="C1604" s="1" t="n">
        <v>46075</v>
      </c>
      <c r="D1604" t="inlineStr">
        <is>
          <t>VÄSTERBOTTENS LÄN</t>
        </is>
      </c>
      <c r="E1604" t="inlineStr">
        <is>
          <t>LYCKSELE</t>
        </is>
      </c>
      <c r="F1604" t="inlineStr">
        <is>
          <t>SCA</t>
        </is>
      </c>
      <c r="G1604" t="n">
        <v>10</v>
      </c>
      <c r="H1604" t="n">
        <v>0</v>
      </c>
      <c r="I1604" t="n">
        <v>0</v>
      </c>
      <c r="J1604" t="n">
        <v>0</v>
      </c>
      <c r="K1604" t="n">
        <v>0</v>
      </c>
      <c r="L1604" t="n">
        <v>0</v>
      </c>
      <c r="M1604" t="n">
        <v>0</v>
      </c>
      <c r="N1604" t="n">
        <v>0</v>
      </c>
      <c r="O1604" t="n">
        <v>0</v>
      </c>
      <c r="P1604" t="n">
        <v>0</v>
      </c>
      <c r="Q1604" t="n">
        <v>0</v>
      </c>
      <c r="R1604" s="2" t="inlineStr"/>
    </row>
    <row r="1605" ht="15" customHeight="1">
      <c r="A1605" t="inlineStr">
        <is>
          <t>A 64075-2021</t>
        </is>
      </c>
      <c r="B1605" s="1" t="n">
        <v>44510</v>
      </c>
      <c r="C1605" s="1" t="n">
        <v>46075</v>
      </c>
      <c r="D1605" t="inlineStr">
        <is>
          <t>VÄSTERBOTTENS LÄN</t>
        </is>
      </c>
      <c r="E1605" t="inlineStr">
        <is>
          <t>ÅSELE</t>
        </is>
      </c>
      <c r="F1605" t="inlineStr">
        <is>
          <t>Holmen skog AB</t>
        </is>
      </c>
      <c r="G1605" t="n">
        <v>6.1</v>
      </c>
      <c r="H1605" t="n">
        <v>0</v>
      </c>
      <c r="I1605" t="n">
        <v>0</v>
      </c>
      <c r="J1605" t="n">
        <v>0</v>
      </c>
      <c r="K1605" t="n">
        <v>0</v>
      </c>
      <c r="L1605" t="n">
        <v>0</v>
      </c>
      <c r="M1605" t="n">
        <v>0</v>
      </c>
      <c r="N1605" t="n">
        <v>0</v>
      </c>
      <c r="O1605" t="n">
        <v>0</v>
      </c>
      <c r="P1605" t="n">
        <v>0</v>
      </c>
      <c r="Q1605" t="n">
        <v>0</v>
      </c>
      <c r="R1605" s="2" t="inlineStr"/>
    </row>
    <row r="1606" ht="15" customHeight="1">
      <c r="A1606" t="inlineStr">
        <is>
          <t>A 52095-2021</t>
        </is>
      </c>
      <c r="B1606" s="1" t="n">
        <v>44463</v>
      </c>
      <c r="C1606" s="1" t="n">
        <v>46075</v>
      </c>
      <c r="D1606" t="inlineStr">
        <is>
          <t>VÄSTERBOTTENS LÄN</t>
        </is>
      </c>
      <c r="E1606" t="inlineStr">
        <is>
          <t>VINDELN</t>
        </is>
      </c>
      <c r="F1606" t="inlineStr">
        <is>
          <t>Naturvårdsverket</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52589-2022</t>
        </is>
      </c>
      <c r="B1607" s="1" t="n">
        <v>44874.63079861111</v>
      </c>
      <c r="C1607" s="1" t="n">
        <v>46075</v>
      </c>
      <c r="D1607" t="inlineStr">
        <is>
          <t>VÄSTERBOTTENS LÄN</t>
        </is>
      </c>
      <c r="E1607" t="inlineStr">
        <is>
          <t>SKELLEFTEÅ</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56060-2021</t>
        </is>
      </c>
      <c r="B1608" s="1" t="n">
        <v>44477.49746527777</v>
      </c>
      <c r="C1608" s="1" t="n">
        <v>46075</v>
      </c>
      <c r="D1608" t="inlineStr">
        <is>
          <t>VÄSTERBOTTENS LÄN</t>
        </is>
      </c>
      <c r="E1608" t="inlineStr">
        <is>
          <t>ÅSELE</t>
        </is>
      </c>
      <c r="F1608" t="inlineStr">
        <is>
          <t>Holmen skog AB</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25397-2022</t>
        </is>
      </c>
      <c r="B1609" s="1" t="n">
        <v>44732</v>
      </c>
      <c r="C1609" s="1" t="n">
        <v>46075</v>
      </c>
      <c r="D1609" t="inlineStr">
        <is>
          <t>VÄSTERBOTTENS LÄN</t>
        </is>
      </c>
      <c r="E1609" t="inlineStr">
        <is>
          <t>STORUMAN</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24203-2021</t>
        </is>
      </c>
      <c r="B1610" s="1" t="n">
        <v>44336</v>
      </c>
      <c r="C1610" s="1" t="n">
        <v>46075</v>
      </c>
      <c r="D1610" t="inlineStr">
        <is>
          <t>VÄSTERBOTTENS LÄN</t>
        </is>
      </c>
      <c r="E1610" t="inlineStr">
        <is>
          <t>DOROTEA</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32344-2022</t>
        </is>
      </c>
      <c r="B1611" s="1" t="n">
        <v>44781.88997685185</v>
      </c>
      <c r="C1611" s="1" t="n">
        <v>46075</v>
      </c>
      <c r="D1611" t="inlineStr">
        <is>
          <t>VÄSTERBOTTENS LÄN</t>
        </is>
      </c>
      <c r="E1611" t="inlineStr">
        <is>
          <t>SKELLEFTEÅ</t>
        </is>
      </c>
      <c r="F1611" t="inlineStr">
        <is>
          <t>Sveaskog</t>
        </is>
      </c>
      <c r="G1611" t="n">
        <v>8.1</v>
      </c>
      <c r="H1611" t="n">
        <v>0</v>
      </c>
      <c r="I1611" t="n">
        <v>0</v>
      </c>
      <c r="J1611" t="n">
        <v>0</v>
      </c>
      <c r="K1611" t="n">
        <v>0</v>
      </c>
      <c r="L1611" t="n">
        <v>0</v>
      </c>
      <c r="M1611" t="n">
        <v>0</v>
      </c>
      <c r="N1611" t="n">
        <v>0</v>
      </c>
      <c r="O1611" t="n">
        <v>0</v>
      </c>
      <c r="P1611" t="n">
        <v>0</v>
      </c>
      <c r="Q1611" t="n">
        <v>0</v>
      </c>
      <c r="R1611" s="2" t="inlineStr"/>
    </row>
    <row r="1612" ht="15" customHeight="1">
      <c r="A1612" t="inlineStr">
        <is>
          <t>A 62807-2021</t>
        </is>
      </c>
      <c r="B1612" s="1" t="n">
        <v>44504.48643518519</v>
      </c>
      <c r="C1612" s="1" t="n">
        <v>46075</v>
      </c>
      <c r="D1612" t="inlineStr">
        <is>
          <t>VÄSTERBOTTENS LÄN</t>
        </is>
      </c>
      <c r="E1612" t="inlineStr">
        <is>
          <t>BJURHOLM</t>
        </is>
      </c>
      <c r="F1612" t="inlineStr">
        <is>
          <t>Holmen skog AB</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34353-2021</t>
        </is>
      </c>
      <c r="B1613" s="1" t="n">
        <v>44379</v>
      </c>
      <c r="C1613" s="1" t="n">
        <v>46075</v>
      </c>
      <c r="D1613" t="inlineStr">
        <is>
          <t>VÄSTERBOTTENS LÄN</t>
        </is>
      </c>
      <c r="E1613" t="inlineStr">
        <is>
          <t>ROBERTSFORS</t>
        </is>
      </c>
      <c r="G1613" t="n">
        <v>5.1</v>
      </c>
      <c r="H1613" t="n">
        <v>0</v>
      </c>
      <c r="I1613" t="n">
        <v>0</v>
      </c>
      <c r="J1613" t="n">
        <v>0</v>
      </c>
      <c r="K1613" t="n">
        <v>0</v>
      </c>
      <c r="L1613" t="n">
        <v>0</v>
      </c>
      <c r="M1613" t="n">
        <v>0</v>
      </c>
      <c r="N1613" t="n">
        <v>0</v>
      </c>
      <c r="O1613" t="n">
        <v>0</v>
      </c>
      <c r="P1613" t="n">
        <v>0</v>
      </c>
      <c r="Q1613" t="n">
        <v>0</v>
      </c>
      <c r="R1613" s="2" t="inlineStr"/>
    </row>
    <row r="1614" ht="15" customHeight="1">
      <c r="A1614" t="inlineStr">
        <is>
          <t>A 72203-2021</t>
        </is>
      </c>
      <c r="B1614" s="1" t="n">
        <v>44543</v>
      </c>
      <c r="C1614" s="1" t="n">
        <v>46075</v>
      </c>
      <c r="D1614" t="inlineStr">
        <is>
          <t>VÄSTERBOTTENS LÄN</t>
        </is>
      </c>
      <c r="E1614" t="inlineStr">
        <is>
          <t>SKELLEFTEÅ</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26599-2021</t>
        </is>
      </c>
      <c r="B1615" s="1" t="n">
        <v>44348</v>
      </c>
      <c r="C1615" s="1" t="n">
        <v>46075</v>
      </c>
      <c r="D1615" t="inlineStr">
        <is>
          <t>VÄSTERBOTTENS LÄN</t>
        </is>
      </c>
      <c r="E1615" t="inlineStr">
        <is>
          <t>SKELLEFTEÅ</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22948-2022</t>
        </is>
      </c>
      <c r="B1616" s="1" t="n">
        <v>44715.92450231482</v>
      </c>
      <c r="C1616" s="1" t="n">
        <v>46075</v>
      </c>
      <c r="D1616" t="inlineStr">
        <is>
          <t>VÄSTERBOTTENS LÄN</t>
        </is>
      </c>
      <c r="E1616" t="inlineStr">
        <is>
          <t>VINDELN</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34470-2021</t>
        </is>
      </c>
      <c r="B1617" s="1" t="n">
        <v>44381.91863425926</v>
      </c>
      <c r="C1617" s="1" t="n">
        <v>46075</v>
      </c>
      <c r="D1617" t="inlineStr">
        <is>
          <t>VÄSTERBOTTENS LÄN</t>
        </is>
      </c>
      <c r="E1617" t="inlineStr">
        <is>
          <t>ÅSELE</t>
        </is>
      </c>
      <c r="G1617" t="n">
        <v>5.7</v>
      </c>
      <c r="H1617" t="n">
        <v>0</v>
      </c>
      <c r="I1617" t="n">
        <v>0</v>
      </c>
      <c r="J1617" t="n">
        <v>0</v>
      </c>
      <c r="K1617" t="n">
        <v>0</v>
      </c>
      <c r="L1617" t="n">
        <v>0</v>
      </c>
      <c r="M1617" t="n">
        <v>0</v>
      </c>
      <c r="N1617" t="n">
        <v>0</v>
      </c>
      <c r="O1617" t="n">
        <v>0</v>
      </c>
      <c r="P1617" t="n">
        <v>0</v>
      </c>
      <c r="Q1617" t="n">
        <v>0</v>
      </c>
      <c r="R1617" s="2" t="inlineStr"/>
    </row>
    <row r="1618" ht="15" customHeight="1">
      <c r="A1618" t="inlineStr">
        <is>
          <t>A 23006-2022</t>
        </is>
      </c>
      <c r="B1618" s="1" t="n">
        <v>44715</v>
      </c>
      <c r="C1618" s="1" t="n">
        <v>46075</v>
      </c>
      <c r="D1618" t="inlineStr">
        <is>
          <t>VÄSTERBOTTENS LÄN</t>
        </is>
      </c>
      <c r="E1618" t="inlineStr">
        <is>
          <t>UMEÅ</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36869-2022</t>
        </is>
      </c>
      <c r="B1619" s="1" t="n">
        <v>44805</v>
      </c>
      <c r="C1619" s="1" t="n">
        <v>46075</v>
      </c>
      <c r="D1619" t="inlineStr">
        <is>
          <t>VÄSTERBOTTENS LÄN</t>
        </is>
      </c>
      <c r="E1619" t="inlineStr">
        <is>
          <t>LYCKSELE</t>
        </is>
      </c>
      <c r="F1619" t="inlineStr">
        <is>
          <t>Holmen skog AB</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39386-2022</t>
        </is>
      </c>
      <c r="B1620" s="1" t="n">
        <v>44817.94775462963</v>
      </c>
      <c r="C1620" s="1" t="n">
        <v>46075</v>
      </c>
      <c r="D1620" t="inlineStr">
        <is>
          <t>VÄSTERBOTTENS LÄN</t>
        </is>
      </c>
      <c r="E1620" t="inlineStr">
        <is>
          <t>ÅSELE</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27860-2021</t>
        </is>
      </c>
      <c r="B1621" s="1" t="n">
        <v>44354</v>
      </c>
      <c r="C1621" s="1" t="n">
        <v>46075</v>
      </c>
      <c r="D1621" t="inlineStr">
        <is>
          <t>VÄSTERBOTTENS LÄN</t>
        </is>
      </c>
      <c r="E1621" t="inlineStr">
        <is>
          <t>NORDMALING</t>
        </is>
      </c>
      <c r="F1621" t="inlineStr">
        <is>
          <t>Kyrkan</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39827-2021</t>
        </is>
      </c>
      <c r="B1622" s="1" t="n">
        <v>44417</v>
      </c>
      <c r="C1622" s="1" t="n">
        <v>46075</v>
      </c>
      <c r="D1622" t="inlineStr">
        <is>
          <t>VÄSTERBOTTENS LÄN</t>
        </is>
      </c>
      <c r="E1622" t="inlineStr">
        <is>
          <t>SKELLEFTEÅ</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30437-2021</t>
        </is>
      </c>
      <c r="B1623" s="1" t="n">
        <v>44364</v>
      </c>
      <c r="C1623" s="1" t="n">
        <v>46075</v>
      </c>
      <c r="D1623" t="inlineStr">
        <is>
          <t>VÄSTERBOTTENS LÄN</t>
        </is>
      </c>
      <c r="E1623" t="inlineStr">
        <is>
          <t>STORUMAN</t>
        </is>
      </c>
      <c r="F1623" t="inlineStr">
        <is>
          <t>Sveaskog</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72590-2021</t>
        </is>
      </c>
      <c r="B1624" s="1" t="n">
        <v>44546.4796875</v>
      </c>
      <c r="C1624" s="1" t="n">
        <v>46075</v>
      </c>
      <c r="D1624" t="inlineStr">
        <is>
          <t>VÄSTERBOTTENS LÄN</t>
        </is>
      </c>
      <c r="E1624" t="inlineStr">
        <is>
          <t>NORSJÖ</t>
        </is>
      </c>
      <c r="F1624" t="inlineStr">
        <is>
          <t>Holmen skog AB</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59171-2021</t>
        </is>
      </c>
      <c r="B1625" s="1" t="n">
        <v>44489</v>
      </c>
      <c r="C1625" s="1" t="n">
        <v>46075</v>
      </c>
      <c r="D1625" t="inlineStr">
        <is>
          <t>VÄSTERBOTTENS LÄN</t>
        </is>
      </c>
      <c r="E1625" t="inlineStr">
        <is>
          <t>SKELLEFTEÅ</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34633-2021</t>
        </is>
      </c>
      <c r="B1626" s="1" t="n">
        <v>44382</v>
      </c>
      <c r="C1626" s="1" t="n">
        <v>46075</v>
      </c>
      <c r="D1626" t="inlineStr">
        <is>
          <t>VÄSTERBOTTENS LÄN</t>
        </is>
      </c>
      <c r="E1626" t="inlineStr">
        <is>
          <t>SKELLEFTEÅ</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48779-2022</t>
        </is>
      </c>
      <c r="B1627" s="1" t="n">
        <v>44859.60186342592</v>
      </c>
      <c r="C1627" s="1" t="n">
        <v>46075</v>
      </c>
      <c r="D1627" t="inlineStr">
        <is>
          <t>VÄSTERBOTTENS LÄN</t>
        </is>
      </c>
      <c r="E1627" t="inlineStr">
        <is>
          <t>UMEÅ</t>
        </is>
      </c>
      <c r="F1627" t="inlineStr">
        <is>
          <t>Holmen skog AB</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32665-2021</t>
        </is>
      </c>
      <c r="B1628" s="1" t="n">
        <v>44371</v>
      </c>
      <c r="C1628" s="1" t="n">
        <v>46075</v>
      </c>
      <c r="D1628" t="inlineStr">
        <is>
          <t>VÄSTERBOTTENS LÄN</t>
        </is>
      </c>
      <c r="E1628" t="inlineStr">
        <is>
          <t>VILHELMINA</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71577-2021</t>
        </is>
      </c>
      <c r="B1629" s="1" t="n">
        <v>44540.92355324074</v>
      </c>
      <c r="C1629" s="1" t="n">
        <v>46075</v>
      </c>
      <c r="D1629" t="inlineStr">
        <is>
          <t>VÄSTERBOTTENS LÄN</t>
        </is>
      </c>
      <c r="E1629" t="inlineStr">
        <is>
          <t>VINDELN</t>
        </is>
      </c>
      <c r="G1629" t="n">
        <v>10.1</v>
      </c>
      <c r="H1629" t="n">
        <v>0</v>
      </c>
      <c r="I1629" t="n">
        <v>0</v>
      </c>
      <c r="J1629" t="n">
        <v>0</v>
      </c>
      <c r="K1629" t="n">
        <v>0</v>
      </c>
      <c r="L1629" t="n">
        <v>0</v>
      </c>
      <c r="M1629" t="n">
        <v>0</v>
      </c>
      <c r="N1629" t="n">
        <v>0</v>
      </c>
      <c r="O1629" t="n">
        <v>0</v>
      </c>
      <c r="P1629" t="n">
        <v>0</v>
      </c>
      <c r="Q1629" t="n">
        <v>0</v>
      </c>
      <c r="R1629" s="2" t="inlineStr"/>
    </row>
    <row r="1630" ht="15" customHeight="1">
      <c r="A1630" t="inlineStr">
        <is>
          <t>A 44136-2021</t>
        </is>
      </c>
      <c r="B1630" s="1" t="n">
        <v>44434</v>
      </c>
      <c r="C1630" s="1" t="n">
        <v>46075</v>
      </c>
      <c r="D1630" t="inlineStr">
        <is>
          <t>VÄSTERBOTTENS LÄN</t>
        </is>
      </c>
      <c r="E1630" t="inlineStr">
        <is>
          <t>VILHELMINA</t>
        </is>
      </c>
      <c r="F1630" t="inlineStr">
        <is>
          <t>Sveaskog</t>
        </is>
      </c>
      <c r="G1630" t="n">
        <v>11.2</v>
      </c>
      <c r="H1630" t="n">
        <v>0</v>
      </c>
      <c r="I1630" t="n">
        <v>0</v>
      </c>
      <c r="J1630" t="n">
        <v>0</v>
      </c>
      <c r="K1630" t="n">
        <v>0</v>
      </c>
      <c r="L1630" t="n">
        <v>0</v>
      </c>
      <c r="M1630" t="n">
        <v>0</v>
      </c>
      <c r="N1630" t="n">
        <v>0</v>
      </c>
      <c r="O1630" t="n">
        <v>0</v>
      </c>
      <c r="P1630" t="n">
        <v>0</v>
      </c>
      <c r="Q1630" t="n">
        <v>0</v>
      </c>
      <c r="R1630" s="2" t="inlineStr"/>
    </row>
    <row r="1631" ht="15" customHeight="1">
      <c r="A1631" t="inlineStr">
        <is>
          <t>A 30449-2021</t>
        </is>
      </c>
      <c r="B1631" s="1" t="n">
        <v>44364</v>
      </c>
      <c r="C1631" s="1" t="n">
        <v>46075</v>
      </c>
      <c r="D1631" t="inlineStr">
        <is>
          <t>VÄSTERBOTTENS LÄN</t>
        </is>
      </c>
      <c r="E1631" t="inlineStr">
        <is>
          <t>SKELLEFTEÅ</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11759-2021</t>
        </is>
      </c>
      <c r="B1632" s="1" t="n">
        <v>44265</v>
      </c>
      <c r="C1632" s="1" t="n">
        <v>46075</v>
      </c>
      <c r="D1632" t="inlineStr">
        <is>
          <t>VÄSTERBOTTENS LÄN</t>
        </is>
      </c>
      <c r="E1632" t="inlineStr">
        <is>
          <t>NORDMALING</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38920-2021</t>
        </is>
      </c>
      <c r="B1633" s="1" t="n">
        <v>44410</v>
      </c>
      <c r="C1633" s="1" t="n">
        <v>46075</v>
      </c>
      <c r="D1633" t="inlineStr">
        <is>
          <t>VÄSTERBOTTENS LÄN</t>
        </is>
      </c>
      <c r="E1633" t="inlineStr">
        <is>
          <t>UMEÅ</t>
        </is>
      </c>
      <c r="F1633" t="inlineStr">
        <is>
          <t>Övriga statliga verk och myndigheter</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38924-2021</t>
        </is>
      </c>
      <c r="B1634" s="1" t="n">
        <v>44410</v>
      </c>
      <c r="C1634" s="1" t="n">
        <v>46075</v>
      </c>
      <c r="D1634" t="inlineStr">
        <is>
          <t>VÄSTERBOTTENS LÄN</t>
        </is>
      </c>
      <c r="E1634" t="inlineStr">
        <is>
          <t>UMEÅ</t>
        </is>
      </c>
      <c r="F1634" t="inlineStr">
        <is>
          <t>Övriga statliga verk och myndigheter</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37937-2021</t>
        </is>
      </c>
      <c r="B1635" s="1" t="n">
        <v>44403</v>
      </c>
      <c r="C1635" s="1" t="n">
        <v>46075</v>
      </c>
      <c r="D1635" t="inlineStr">
        <is>
          <t>VÄSTERBOTTENS LÄN</t>
        </is>
      </c>
      <c r="E1635" t="inlineStr">
        <is>
          <t>SKELLEFTEÅ</t>
        </is>
      </c>
      <c r="G1635" t="n">
        <v>8.300000000000001</v>
      </c>
      <c r="H1635" t="n">
        <v>0</v>
      </c>
      <c r="I1635" t="n">
        <v>0</v>
      </c>
      <c r="J1635" t="n">
        <v>0</v>
      </c>
      <c r="K1635" t="n">
        <v>0</v>
      </c>
      <c r="L1635" t="n">
        <v>0</v>
      </c>
      <c r="M1635" t="n">
        <v>0</v>
      </c>
      <c r="N1635" t="n">
        <v>0</v>
      </c>
      <c r="O1635" t="n">
        <v>0</v>
      </c>
      <c r="P1635" t="n">
        <v>0</v>
      </c>
      <c r="Q1635" t="n">
        <v>0</v>
      </c>
      <c r="R1635" s="2" t="inlineStr"/>
    </row>
    <row r="1636" ht="15" customHeight="1">
      <c r="A1636" t="inlineStr">
        <is>
          <t>A 36564-2021</t>
        </is>
      </c>
      <c r="B1636" s="1" t="n">
        <v>44391</v>
      </c>
      <c r="C1636" s="1" t="n">
        <v>46075</v>
      </c>
      <c r="D1636" t="inlineStr">
        <is>
          <t>VÄSTERBOTTENS LÄN</t>
        </is>
      </c>
      <c r="E1636" t="inlineStr">
        <is>
          <t>SKELLEFTEÅ</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439-2022</t>
        </is>
      </c>
      <c r="B1637" s="1" t="n">
        <v>44565.96545138889</v>
      </c>
      <c r="C1637" s="1" t="n">
        <v>46075</v>
      </c>
      <c r="D1637" t="inlineStr">
        <is>
          <t>VÄSTERBOTTENS LÄN</t>
        </is>
      </c>
      <c r="E1637" t="inlineStr">
        <is>
          <t>NORDMALING</t>
        </is>
      </c>
      <c r="F1637" t="inlineStr">
        <is>
          <t>SCA</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5969-2022</t>
        </is>
      </c>
      <c r="B1638" s="1" t="n">
        <v>44599</v>
      </c>
      <c r="C1638" s="1" t="n">
        <v>46075</v>
      </c>
      <c r="D1638" t="inlineStr">
        <is>
          <t>VÄSTERBOTTENS LÄN</t>
        </is>
      </c>
      <c r="E1638" t="inlineStr">
        <is>
          <t>UMEÅ</t>
        </is>
      </c>
      <c r="G1638" t="n">
        <v>9.300000000000001</v>
      </c>
      <c r="H1638" t="n">
        <v>0</v>
      </c>
      <c r="I1638" t="n">
        <v>0</v>
      </c>
      <c r="J1638" t="n">
        <v>0</v>
      </c>
      <c r="K1638" t="n">
        <v>0</v>
      </c>
      <c r="L1638" t="n">
        <v>0</v>
      </c>
      <c r="M1638" t="n">
        <v>0</v>
      </c>
      <c r="N1638" t="n">
        <v>0</v>
      </c>
      <c r="O1638" t="n">
        <v>0</v>
      </c>
      <c r="P1638" t="n">
        <v>0</v>
      </c>
      <c r="Q1638" t="n">
        <v>0</v>
      </c>
      <c r="R1638" s="2" t="inlineStr"/>
    </row>
    <row r="1639" ht="15" customHeight="1">
      <c r="A1639" t="inlineStr">
        <is>
          <t>A 57866-2021</t>
        </is>
      </c>
      <c r="B1639" s="1" t="n">
        <v>44484.98724537037</v>
      </c>
      <c r="C1639" s="1" t="n">
        <v>46075</v>
      </c>
      <c r="D1639" t="inlineStr">
        <is>
          <t>VÄSTERBOTTENS LÄN</t>
        </is>
      </c>
      <c r="E1639" t="inlineStr">
        <is>
          <t>BJURHOLM</t>
        </is>
      </c>
      <c r="F1639" t="inlineStr">
        <is>
          <t>SCA</t>
        </is>
      </c>
      <c r="G1639" t="n">
        <v>6</v>
      </c>
      <c r="H1639" t="n">
        <v>0</v>
      </c>
      <c r="I1639" t="n">
        <v>0</v>
      </c>
      <c r="J1639" t="n">
        <v>0</v>
      </c>
      <c r="K1639" t="n">
        <v>0</v>
      </c>
      <c r="L1639" t="n">
        <v>0</v>
      </c>
      <c r="M1639" t="n">
        <v>0</v>
      </c>
      <c r="N1639" t="n">
        <v>0</v>
      </c>
      <c r="O1639" t="n">
        <v>0</v>
      </c>
      <c r="P1639" t="n">
        <v>0</v>
      </c>
      <c r="Q1639" t="n">
        <v>0</v>
      </c>
      <c r="R1639" s="2" t="inlineStr"/>
    </row>
    <row r="1640" ht="15" customHeight="1">
      <c r="A1640" t="inlineStr">
        <is>
          <t>A 53152-2021</t>
        </is>
      </c>
      <c r="B1640" s="1" t="n">
        <v>44468.3399537037</v>
      </c>
      <c r="C1640" s="1" t="n">
        <v>46075</v>
      </c>
      <c r="D1640" t="inlineStr">
        <is>
          <t>VÄSTERBOTTENS LÄN</t>
        </is>
      </c>
      <c r="E1640" t="inlineStr">
        <is>
          <t>SKELLEFTEÅ</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50424-2021</t>
        </is>
      </c>
      <c r="B1641" s="1" t="n">
        <v>44459</v>
      </c>
      <c r="C1641" s="1" t="n">
        <v>46075</v>
      </c>
      <c r="D1641" t="inlineStr">
        <is>
          <t>VÄSTERBOTTENS LÄN</t>
        </is>
      </c>
      <c r="E1641" t="inlineStr">
        <is>
          <t>ÅSELE</t>
        </is>
      </c>
      <c r="F1641" t="inlineStr">
        <is>
          <t>Holmen skog AB</t>
        </is>
      </c>
      <c r="G1641" t="n">
        <v>3.9</v>
      </c>
      <c r="H1641" t="n">
        <v>0</v>
      </c>
      <c r="I1641" t="n">
        <v>0</v>
      </c>
      <c r="J1641" t="n">
        <v>0</v>
      </c>
      <c r="K1641" t="n">
        <v>0</v>
      </c>
      <c r="L1641" t="n">
        <v>0</v>
      </c>
      <c r="M1641" t="n">
        <v>0</v>
      </c>
      <c r="N1641" t="n">
        <v>0</v>
      </c>
      <c r="O1641" t="n">
        <v>0</v>
      </c>
      <c r="P1641" t="n">
        <v>0</v>
      </c>
      <c r="Q1641" t="n">
        <v>0</v>
      </c>
      <c r="R1641" s="2" t="inlineStr"/>
    </row>
    <row r="1642" ht="15" customHeight="1">
      <c r="A1642" t="inlineStr">
        <is>
          <t>A 38932-2022</t>
        </is>
      </c>
      <c r="B1642" s="1" t="n">
        <v>44816</v>
      </c>
      <c r="C1642" s="1" t="n">
        <v>46075</v>
      </c>
      <c r="D1642" t="inlineStr">
        <is>
          <t>VÄSTERBOTTENS LÄN</t>
        </is>
      </c>
      <c r="E1642" t="inlineStr">
        <is>
          <t>SKELLEFTEÅ</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8030-2022</t>
        </is>
      </c>
      <c r="B1643" s="1" t="n">
        <v>44606</v>
      </c>
      <c r="C1643" s="1" t="n">
        <v>46075</v>
      </c>
      <c r="D1643" t="inlineStr">
        <is>
          <t>VÄSTERBOTTENS LÄN</t>
        </is>
      </c>
      <c r="E1643" t="inlineStr">
        <is>
          <t>SORSELE</t>
        </is>
      </c>
      <c r="G1643" t="n">
        <v>116.5</v>
      </c>
      <c r="H1643" t="n">
        <v>0</v>
      </c>
      <c r="I1643" t="n">
        <v>0</v>
      </c>
      <c r="J1643" t="n">
        <v>0</v>
      </c>
      <c r="K1643" t="n">
        <v>0</v>
      </c>
      <c r="L1643" t="n">
        <v>0</v>
      </c>
      <c r="M1643" t="n">
        <v>0</v>
      </c>
      <c r="N1643" t="n">
        <v>0</v>
      </c>
      <c r="O1643" t="n">
        <v>0</v>
      </c>
      <c r="P1643" t="n">
        <v>0</v>
      </c>
      <c r="Q1643" t="n">
        <v>0</v>
      </c>
      <c r="R1643" s="2" t="inlineStr"/>
    </row>
    <row r="1644" ht="15" customHeight="1">
      <c r="A1644" t="inlineStr">
        <is>
          <t>A 54502-2021</t>
        </is>
      </c>
      <c r="B1644" s="1" t="n">
        <v>44473</v>
      </c>
      <c r="C1644" s="1" t="n">
        <v>46075</v>
      </c>
      <c r="D1644" t="inlineStr">
        <is>
          <t>VÄSTERBOTTENS LÄN</t>
        </is>
      </c>
      <c r="E1644" t="inlineStr">
        <is>
          <t>ROBERTSFORS</t>
        </is>
      </c>
      <c r="F1644" t="inlineStr">
        <is>
          <t>Sveaskog</t>
        </is>
      </c>
      <c r="G1644" t="n">
        <v>5.3</v>
      </c>
      <c r="H1644" t="n">
        <v>0</v>
      </c>
      <c r="I1644" t="n">
        <v>0</v>
      </c>
      <c r="J1644" t="n">
        <v>0</v>
      </c>
      <c r="K1644" t="n">
        <v>0</v>
      </c>
      <c r="L1644" t="n">
        <v>0</v>
      </c>
      <c r="M1644" t="n">
        <v>0</v>
      </c>
      <c r="N1644" t="n">
        <v>0</v>
      </c>
      <c r="O1644" t="n">
        <v>0</v>
      </c>
      <c r="P1644" t="n">
        <v>0</v>
      </c>
      <c r="Q1644" t="n">
        <v>0</v>
      </c>
      <c r="R1644" s="2" t="inlineStr"/>
    </row>
    <row r="1645" ht="15" customHeight="1">
      <c r="A1645" t="inlineStr">
        <is>
          <t>A 36043-2021</t>
        </is>
      </c>
      <c r="B1645" s="1" t="n">
        <v>44389</v>
      </c>
      <c r="C1645" s="1" t="n">
        <v>46075</v>
      </c>
      <c r="D1645" t="inlineStr">
        <is>
          <t>VÄSTERBOTTENS LÄN</t>
        </is>
      </c>
      <c r="E1645" t="inlineStr">
        <is>
          <t>MALÅ</t>
        </is>
      </c>
      <c r="F1645" t="inlineStr">
        <is>
          <t>Sveaskog</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61900-2021</t>
        </is>
      </c>
      <c r="B1646" s="1" t="n">
        <v>44502.33094907407</v>
      </c>
      <c r="C1646" s="1" t="n">
        <v>46075</v>
      </c>
      <c r="D1646" t="inlineStr">
        <is>
          <t>VÄSTERBOTTENS LÄN</t>
        </is>
      </c>
      <c r="E1646" t="inlineStr">
        <is>
          <t>LYCKSELE</t>
        </is>
      </c>
      <c r="F1646" t="inlineStr">
        <is>
          <t>Sveaskog</t>
        </is>
      </c>
      <c r="G1646" t="n">
        <v>11.5</v>
      </c>
      <c r="H1646" t="n">
        <v>0</v>
      </c>
      <c r="I1646" t="n">
        <v>0</v>
      </c>
      <c r="J1646" t="n">
        <v>0</v>
      </c>
      <c r="K1646" t="n">
        <v>0</v>
      </c>
      <c r="L1646" t="n">
        <v>0</v>
      </c>
      <c r="M1646" t="n">
        <v>0</v>
      </c>
      <c r="N1646" t="n">
        <v>0</v>
      </c>
      <c r="O1646" t="n">
        <v>0</v>
      </c>
      <c r="P1646" t="n">
        <v>0</v>
      </c>
      <c r="Q1646" t="n">
        <v>0</v>
      </c>
      <c r="R1646" s="2" t="inlineStr"/>
    </row>
    <row r="1647" ht="15" customHeight="1">
      <c r="A1647" t="inlineStr">
        <is>
          <t>A 61907-2021</t>
        </is>
      </c>
      <c r="B1647" s="1" t="n">
        <v>44502.34732638889</v>
      </c>
      <c r="C1647" s="1" t="n">
        <v>46075</v>
      </c>
      <c r="D1647" t="inlineStr">
        <is>
          <t>VÄSTERBOTTENS LÄN</t>
        </is>
      </c>
      <c r="E1647" t="inlineStr">
        <is>
          <t>LYCKSELE</t>
        </is>
      </c>
      <c r="F1647" t="inlineStr">
        <is>
          <t>Sveaskog</t>
        </is>
      </c>
      <c r="G1647" t="n">
        <v>4.2</v>
      </c>
      <c r="H1647" t="n">
        <v>0</v>
      </c>
      <c r="I1647" t="n">
        <v>0</v>
      </c>
      <c r="J1647" t="n">
        <v>0</v>
      </c>
      <c r="K1647" t="n">
        <v>0</v>
      </c>
      <c r="L1647" t="n">
        <v>0</v>
      </c>
      <c r="M1647" t="n">
        <v>0</v>
      </c>
      <c r="N1647" t="n">
        <v>0</v>
      </c>
      <c r="O1647" t="n">
        <v>0</v>
      </c>
      <c r="P1647" t="n">
        <v>0</v>
      </c>
      <c r="Q1647" t="n">
        <v>0</v>
      </c>
      <c r="R1647" s="2" t="inlineStr"/>
    </row>
    <row r="1648" ht="15" customHeight="1">
      <c r="A1648" t="inlineStr">
        <is>
          <t>A 48527-2022</t>
        </is>
      </c>
      <c r="B1648" s="1" t="n">
        <v>44858.95158564814</v>
      </c>
      <c r="C1648" s="1" t="n">
        <v>46075</v>
      </c>
      <c r="D1648" t="inlineStr">
        <is>
          <t>VÄSTERBOTTENS LÄN</t>
        </is>
      </c>
      <c r="E1648" t="inlineStr">
        <is>
          <t>VILHELMINA</t>
        </is>
      </c>
      <c r="F1648" t="inlineStr">
        <is>
          <t>SCA</t>
        </is>
      </c>
      <c r="G1648" t="n">
        <v>4.2</v>
      </c>
      <c r="H1648" t="n">
        <v>0</v>
      </c>
      <c r="I1648" t="n">
        <v>0</v>
      </c>
      <c r="J1648" t="n">
        <v>0</v>
      </c>
      <c r="K1648" t="n">
        <v>0</v>
      </c>
      <c r="L1648" t="n">
        <v>0</v>
      </c>
      <c r="M1648" t="n">
        <v>0</v>
      </c>
      <c r="N1648" t="n">
        <v>0</v>
      </c>
      <c r="O1648" t="n">
        <v>0</v>
      </c>
      <c r="P1648" t="n">
        <v>0</v>
      </c>
      <c r="Q1648" t="n">
        <v>0</v>
      </c>
      <c r="R1648" s="2" t="inlineStr"/>
    </row>
    <row r="1649" ht="15" customHeight="1">
      <c r="A1649" t="inlineStr">
        <is>
          <t>A 36139-2021</t>
        </is>
      </c>
      <c r="B1649" s="1" t="n">
        <v>44389.5819675926</v>
      </c>
      <c r="C1649" s="1" t="n">
        <v>46075</v>
      </c>
      <c r="D1649" t="inlineStr">
        <is>
          <t>VÄSTERBOTTENS LÄN</t>
        </is>
      </c>
      <c r="E1649" t="inlineStr">
        <is>
          <t>VILHELMINA</t>
        </is>
      </c>
      <c r="F1649" t="inlineStr">
        <is>
          <t>Sveaskog</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48613-2021</t>
        </is>
      </c>
      <c r="B1650" s="1" t="n">
        <v>44452</v>
      </c>
      <c r="C1650" s="1" t="n">
        <v>46075</v>
      </c>
      <c r="D1650" t="inlineStr">
        <is>
          <t>VÄSTERBOTTENS LÄN</t>
        </is>
      </c>
      <c r="E1650" t="inlineStr">
        <is>
          <t>UMEÅ</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45043-2021</t>
        </is>
      </c>
      <c r="B1651" s="1" t="n">
        <v>44438</v>
      </c>
      <c r="C1651" s="1" t="n">
        <v>46075</v>
      </c>
      <c r="D1651" t="inlineStr">
        <is>
          <t>VÄSTERBOTTENS LÄN</t>
        </is>
      </c>
      <c r="E1651" t="inlineStr">
        <is>
          <t>SKELLEFTEÅ</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24364-2021</t>
        </is>
      </c>
      <c r="B1652" s="1" t="n">
        <v>44337</v>
      </c>
      <c r="C1652" s="1" t="n">
        <v>46075</v>
      </c>
      <c r="D1652" t="inlineStr">
        <is>
          <t>VÄSTERBOTTENS LÄN</t>
        </is>
      </c>
      <c r="E1652" t="inlineStr">
        <is>
          <t>DOROTEA</t>
        </is>
      </c>
      <c r="F1652" t="inlineStr">
        <is>
          <t>SCA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47220-2021</t>
        </is>
      </c>
      <c r="B1653" s="1" t="n">
        <v>44447.35380787037</v>
      </c>
      <c r="C1653" s="1" t="n">
        <v>46075</v>
      </c>
      <c r="D1653" t="inlineStr">
        <is>
          <t>VÄSTERBOTTENS LÄN</t>
        </is>
      </c>
      <c r="E1653" t="inlineStr">
        <is>
          <t>ROBERTSFORS</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47225-2021</t>
        </is>
      </c>
      <c r="B1654" s="1" t="n">
        <v>44447.36201388889</v>
      </c>
      <c r="C1654" s="1" t="n">
        <v>46075</v>
      </c>
      <c r="D1654" t="inlineStr">
        <is>
          <t>VÄSTERBOTTENS LÄN</t>
        </is>
      </c>
      <c r="E1654" t="inlineStr">
        <is>
          <t>ROBERTSFORS</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11707-2021</t>
        </is>
      </c>
      <c r="B1655" s="1" t="n">
        <v>44264.94361111111</v>
      </c>
      <c r="C1655" s="1" t="n">
        <v>46075</v>
      </c>
      <c r="D1655" t="inlineStr">
        <is>
          <t>VÄSTERBOTTENS LÄN</t>
        </is>
      </c>
      <c r="E1655" t="inlineStr">
        <is>
          <t>DOROTEA</t>
        </is>
      </c>
      <c r="F1655" t="inlineStr">
        <is>
          <t>SCA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35754-2021</t>
        </is>
      </c>
      <c r="B1656" s="1" t="n">
        <v>44386</v>
      </c>
      <c r="C1656" s="1" t="n">
        <v>46075</v>
      </c>
      <c r="D1656" t="inlineStr">
        <is>
          <t>VÄSTERBOTTENS LÄN</t>
        </is>
      </c>
      <c r="E1656" t="inlineStr">
        <is>
          <t>ÅSELE</t>
        </is>
      </c>
      <c r="F1656" t="inlineStr">
        <is>
          <t>Holmen skog AB</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7910-2022</t>
        </is>
      </c>
      <c r="B1657" s="1" t="n">
        <v>44608.67099537037</v>
      </c>
      <c r="C1657" s="1" t="n">
        <v>46075</v>
      </c>
      <c r="D1657" t="inlineStr">
        <is>
          <t>VÄSTERBOTTENS LÄN</t>
        </is>
      </c>
      <c r="E1657" t="inlineStr">
        <is>
          <t>BJURHOLM</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30194-2021</t>
        </is>
      </c>
      <c r="B1658" s="1" t="n">
        <v>44363</v>
      </c>
      <c r="C1658" s="1" t="n">
        <v>46075</v>
      </c>
      <c r="D1658" t="inlineStr">
        <is>
          <t>VÄSTERBOTTENS LÄN</t>
        </is>
      </c>
      <c r="E1658" t="inlineStr">
        <is>
          <t>SKELLEFTEÅ</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61573-2021</t>
        </is>
      </c>
      <c r="B1659" s="1" t="n">
        <v>44501.4425462963</v>
      </c>
      <c r="C1659" s="1" t="n">
        <v>46075</v>
      </c>
      <c r="D1659" t="inlineStr">
        <is>
          <t>VÄSTERBOTTENS LÄN</t>
        </is>
      </c>
      <c r="E1659" t="inlineStr">
        <is>
          <t>LYCKSELE</t>
        </is>
      </c>
      <c r="F1659" t="inlineStr">
        <is>
          <t>Sveaskog</t>
        </is>
      </c>
      <c r="G1659" t="n">
        <v>7.5</v>
      </c>
      <c r="H1659" t="n">
        <v>0</v>
      </c>
      <c r="I1659" t="n">
        <v>0</v>
      </c>
      <c r="J1659" t="n">
        <v>0</v>
      </c>
      <c r="K1659" t="n">
        <v>0</v>
      </c>
      <c r="L1659" t="n">
        <v>0</v>
      </c>
      <c r="M1659" t="n">
        <v>0</v>
      </c>
      <c r="N1659" t="n">
        <v>0</v>
      </c>
      <c r="O1659" t="n">
        <v>0</v>
      </c>
      <c r="P1659" t="n">
        <v>0</v>
      </c>
      <c r="Q1659" t="n">
        <v>0</v>
      </c>
      <c r="R1659" s="2" t="inlineStr"/>
    </row>
    <row r="1660" ht="15" customHeight="1">
      <c r="A1660" t="inlineStr">
        <is>
          <t>A 58252-2021</t>
        </is>
      </c>
      <c r="B1660" s="1" t="n">
        <v>44487</v>
      </c>
      <c r="C1660" s="1" t="n">
        <v>46075</v>
      </c>
      <c r="D1660" t="inlineStr">
        <is>
          <t>VÄSTERBOTTENS LÄN</t>
        </is>
      </c>
      <c r="E1660" t="inlineStr">
        <is>
          <t>MALÅ</t>
        </is>
      </c>
      <c r="G1660" t="n">
        <v>3.8</v>
      </c>
      <c r="H1660" t="n">
        <v>0</v>
      </c>
      <c r="I1660" t="n">
        <v>0</v>
      </c>
      <c r="J1660" t="n">
        <v>0</v>
      </c>
      <c r="K1660" t="n">
        <v>0</v>
      </c>
      <c r="L1660" t="n">
        <v>0</v>
      </c>
      <c r="M1660" t="n">
        <v>0</v>
      </c>
      <c r="N1660" t="n">
        <v>0</v>
      </c>
      <c r="O1660" t="n">
        <v>0</v>
      </c>
      <c r="P1660" t="n">
        <v>0</v>
      </c>
      <c r="Q1660" t="n">
        <v>0</v>
      </c>
      <c r="R1660" s="2" t="inlineStr"/>
    </row>
    <row r="1661" ht="15" customHeight="1">
      <c r="A1661" t="inlineStr">
        <is>
          <t>A 48823-2021</t>
        </is>
      </c>
      <c r="B1661" s="1" t="n">
        <v>44452.91890046297</v>
      </c>
      <c r="C1661" s="1" t="n">
        <v>46075</v>
      </c>
      <c r="D1661" t="inlineStr">
        <is>
          <t>VÄSTERBOTTENS LÄN</t>
        </is>
      </c>
      <c r="E1661" t="inlineStr">
        <is>
          <t>ROBERTSFORS</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45756-2022</t>
        </is>
      </c>
      <c r="B1662" s="1" t="n">
        <v>44846</v>
      </c>
      <c r="C1662" s="1" t="n">
        <v>46075</v>
      </c>
      <c r="D1662" t="inlineStr">
        <is>
          <t>VÄSTERBOTTENS LÄN</t>
        </is>
      </c>
      <c r="E1662" t="inlineStr">
        <is>
          <t>STORUMAN</t>
        </is>
      </c>
      <c r="F1662" t="inlineStr">
        <is>
          <t>Sveaskog</t>
        </is>
      </c>
      <c r="G1662" t="n">
        <v>5.5</v>
      </c>
      <c r="H1662" t="n">
        <v>0</v>
      </c>
      <c r="I1662" t="n">
        <v>0</v>
      </c>
      <c r="J1662" t="n">
        <v>0</v>
      </c>
      <c r="K1662" t="n">
        <v>0</v>
      </c>
      <c r="L1662" t="n">
        <v>0</v>
      </c>
      <c r="M1662" t="n">
        <v>0</v>
      </c>
      <c r="N1662" t="n">
        <v>0</v>
      </c>
      <c r="O1662" t="n">
        <v>0</v>
      </c>
      <c r="P1662" t="n">
        <v>0</v>
      </c>
      <c r="Q1662" t="n">
        <v>0</v>
      </c>
      <c r="R1662" s="2" t="inlineStr"/>
    </row>
    <row r="1663" ht="15" customHeight="1">
      <c r="A1663" t="inlineStr">
        <is>
          <t>A 59748-2021</t>
        </is>
      </c>
      <c r="B1663" s="1" t="n">
        <v>44494.44873842593</v>
      </c>
      <c r="C1663" s="1" t="n">
        <v>46075</v>
      </c>
      <c r="D1663" t="inlineStr">
        <is>
          <t>VÄSTERBOTTENS LÄN</t>
        </is>
      </c>
      <c r="E1663" t="inlineStr">
        <is>
          <t>SKELLEFTEÅ</t>
        </is>
      </c>
      <c r="F1663" t="inlineStr">
        <is>
          <t>Sveaskog</t>
        </is>
      </c>
      <c r="G1663" t="n">
        <v>6.9</v>
      </c>
      <c r="H1663" t="n">
        <v>0</v>
      </c>
      <c r="I1663" t="n">
        <v>0</v>
      </c>
      <c r="J1663" t="n">
        <v>0</v>
      </c>
      <c r="K1663" t="n">
        <v>0</v>
      </c>
      <c r="L1663" t="n">
        <v>0</v>
      </c>
      <c r="M1663" t="n">
        <v>0</v>
      </c>
      <c r="N1663" t="n">
        <v>0</v>
      </c>
      <c r="O1663" t="n">
        <v>0</v>
      </c>
      <c r="P1663" t="n">
        <v>0</v>
      </c>
      <c r="Q1663" t="n">
        <v>0</v>
      </c>
      <c r="R1663" s="2" t="inlineStr"/>
    </row>
    <row r="1664" ht="15" customHeight="1">
      <c r="A1664" t="inlineStr">
        <is>
          <t>A 41464-2021</t>
        </is>
      </c>
      <c r="B1664" s="1" t="n">
        <v>44424.87716435185</v>
      </c>
      <c r="C1664" s="1" t="n">
        <v>46075</v>
      </c>
      <c r="D1664" t="inlineStr">
        <is>
          <t>VÄSTERBOTTENS LÄN</t>
        </is>
      </c>
      <c r="E1664" t="inlineStr">
        <is>
          <t>SKELLEFTEÅ</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52922-2021</t>
        </is>
      </c>
      <c r="B1665" s="1" t="n">
        <v>44466</v>
      </c>
      <c r="C1665" s="1" t="n">
        <v>46075</v>
      </c>
      <c r="D1665" t="inlineStr">
        <is>
          <t>VÄSTERBOTTENS LÄN</t>
        </is>
      </c>
      <c r="E1665" t="inlineStr">
        <is>
          <t>STORUMAN</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47974-2021</t>
        </is>
      </c>
      <c r="B1666" s="1" t="n">
        <v>44448</v>
      </c>
      <c r="C1666" s="1" t="n">
        <v>46075</v>
      </c>
      <c r="D1666" t="inlineStr">
        <is>
          <t>VÄSTERBOTTENS LÄN</t>
        </is>
      </c>
      <c r="E1666" t="inlineStr">
        <is>
          <t>SKELLEFTEÅ</t>
        </is>
      </c>
      <c r="G1666" t="n">
        <v>5.9</v>
      </c>
      <c r="H1666" t="n">
        <v>0</v>
      </c>
      <c r="I1666" t="n">
        <v>0</v>
      </c>
      <c r="J1666" t="n">
        <v>0</v>
      </c>
      <c r="K1666" t="n">
        <v>0</v>
      </c>
      <c r="L1666" t="n">
        <v>0</v>
      </c>
      <c r="M1666" t="n">
        <v>0</v>
      </c>
      <c r="N1666" t="n">
        <v>0</v>
      </c>
      <c r="O1666" t="n">
        <v>0</v>
      </c>
      <c r="P1666" t="n">
        <v>0</v>
      </c>
      <c r="Q1666" t="n">
        <v>0</v>
      </c>
      <c r="R1666" s="2" t="inlineStr"/>
    </row>
    <row r="1667" ht="15" customHeight="1">
      <c r="A1667" t="inlineStr">
        <is>
          <t>A 52881-2022</t>
        </is>
      </c>
      <c r="B1667" s="1" t="n">
        <v>44872</v>
      </c>
      <c r="C1667" s="1" t="n">
        <v>46075</v>
      </c>
      <c r="D1667" t="inlineStr">
        <is>
          <t>VÄSTERBOTTENS LÄN</t>
        </is>
      </c>
      <c r="E1667" t="inlineStr">
        <is>
          <t>UMEÅ</t>
        </is>
      </c>
      <c r="G1667" t="n">
        <v>5.3</v>
      </c>
      <c r="H1667" t="n">
        <v>0</v>
      </c>
      <c r="I1667" t="n">
        <v>0</v>
      </c>
      <c r="J1667" t="n">
        <v>0</v>
      </c>
      <c r="K1667" t="n">
        <v>0</v>
      </c>
      <c r="L1667" t="n">
        <v>0</v>
      </c>
      <c r="M1667" t="n">
        <v>0</v>
      </c>
      <c r="N1667" t="n">
        <v>0</v>
      </c>
      <c r="O1667" t="n">
        <v>0</v>
      </c>
      <c r="P1667" t="n">
        <v>0</v>
      </c>
      <c r="Q1667" t="n">
        <v>0</v>
      </c>
      <c r="R1667" s="2" t="inlineStr"/>
    </row>
    <row r="1668" ht="15" customHeight="1">
      <c r="A1668" t="inlineStr">
        <is>
          <t>A 52888-2022</t>
        </is>
      </c>
      <c r="B1668" s="1" t="n">
        <v>44872</v>
      </c>
      <c r="C1668" s="1" t="n">
        <v>46075</v>
      </c>
      <c r="D1668" t="inlineStr">
        <is>
          <t>VÄSTERBOTTENS LÄN</t>
        </is>
      </c>
      <c r="E1668" t="inlineStr">
        <is>
          <t>VINDELN</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65487-2021</t>
        </is>
      </c>
      <c r="B1669" s="1" t="n">
        <v>44515</v>
      </c>
      <c r="C1669" s="1" t="n">
        <v>46075</v>
      </c>
      <c r="D1669" t="inlineStr">
        <is>
          <t>VÄSTERBOTTENS LÄN</t>
        </is>
      </c>
      <c r="E1669" t="inlineStr">
        <is>
          <t>LYCKSELE</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4019-2022</t>
        </is>
      </c>
      <c r="B1670" s="1" t="n">
        <v>44587</v>
      </c>
      <c r="C1670" s="1" t="n">
        <v>46075</v>
      </c>
      <c r="D1670" t="inlineStr">
        <is>
          <t>VÄSTERBOTTENS LÄN</t>
        </is>
      </c>
      <c r="E1670" t="inlineStr">
        <is>
          <t>DOROTEA</t>
        </is>
      </c>
      <c r="F1670" t="inlineStr">
        <is>
          <t>SCA</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25129-2021</t>
        </is>
      </c>
      <c r="B1671" s="1" t="n">
        <v>44341</v>
      </c>
      <c r="C1671" s="1" t="n">
        <v>46075</v>
      </c>
      <c r="D1671" t="inlineStr">
        <is>
          <t>VÄSTERBOTTENS LÄN</t>
        </is>
      </c>
      <c r="E1671" t="inlineStr">
        <is>
          <t>ÅSELE</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52552-2021</t>
        </is>
      </c>
      <c r="B1672" s="1" t="n">
        <v>44466</v>
      </c>
      <c r="C1672" s="1" t="n">
        <v>46075</v>
      </c>
      <c r="D1672" t="inlineStr">
        <is>
          <t>VÄSTERBOTTENS LÄN</t>
        </is>
      </c>
      <c r="E1672" t="inlineStr">
        <is>
          <t>NORSJÖ</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70753-2021</t>
        </is>
      </c>
      <c r="B1673" s="1" t="n">
        <v>44536</v>
      </c>
      <c r="C1673" s="1" t="n">
        <v>46075</v>
      </c>
      <c r="D1673" t="inlineStr">
        <is>
          <t>VÄSTERBOTTENS LÄN</t>
        </is>
      </c>
      <c r="E1673" t="inlineStr">
        <is>
          <t>VINDELN</t>
        </is>
      </c>
      <c r="G1673" t="n">
        <v>7.1</v>
      </c>
      <c r="H1673" t="n">
        <v>0</v>
      </c>
      <c r="I1673" t="n">
        <v>0</v>
      </c>
      <c r="J1673" t="n">
        <v>0</v>
      </c>
      <c r="K1673" t="n">
        <v>0</v>
      </c>
      <c r="L1673" t="n">
        <v>0</v>
      </c>
      <c r="M1673" t="n">
        <v>0</v>
      </c>
      <c r="N1673" t="n">
        <v>0</v>
      </c>
      <c r="O1673" t="n">
        <v>0</v>
      </c>
      <c r="P1673" t="n">
        <v>0</v>
      </c>
      <c r="Q1673" t="n">
        <v>0</v>
      </c>
      <c r="R1673" s="2" t="inlineStr"/>
    </row>
    <row r="1674" ht="15" customHeight="1">
      <c r="A1674" t="inlineStr">
        <is>
          <t>A 43202-2021</t>
        </is>
      </c>
      <c r="B1674" s="1" t="n">
        <v>44431</v>
      </c>
      <c r="C1674" s="1" t="n">
        <v>46075</v>
      </c>
      <c r="D1674" t="inlineStr">
        <is>
          <t>VÄSTERBOTTENS LÄN</t>
        </is>
      </c>
      <c r="E1674" t="inlineStr">
        <is>
          <t>STORUMAN</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58034-2021</t>
        </is>
      </c>
      <c r="B1675" s="1" t="n">
        <v>44487</v>
      </c>
      <c r="C1675" s="1" t="n">
        <v>46075</v>
      </c>
      <c r="D1675" t="inlineStr">
        <is>
          <t>VÄSTERBOTTENS LÄN</t>
        </is>
      </c>
      <c r="E1675" t="inlineStr">
        <is>
          <t>NORDMALING</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29922-2021</t>
        </is>
      </c>
      <c r="B1676" s="1" t="n">
        <v>44362</v>
      </c>
      <c r="C1676" s="1" t="n">
        <v>46075</v>
      </c>
      <c r="D1676" t="inlineStr">
        <is>
          <t>VÄSTERBOTTENS LÄN</t>
        </is>
      </c>
      <c r="E1676" t="inlineStr">
        <is>
          <t>NORSJÖ</t>
        </is>
      </c>
      <c r="F1676" t="inlineStr">
        <is>
          <t>SCA</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20830-2022</t>
        </is>
      </c>
      <c r="B1677" s="1" t="n">
        <v>44701.45046296297</v>
      </c>
      <c r="C1677" s="1" t="n">
        <v>46075</v>
      </c>
      <c r="D1677" t="inlineStr">
        <is>
          <t>VÄSTERBOTTENS LÄN</t>
        </is>
      </c>
      <c r="E1677" t="inlineStr">
        <is>
          <t>BJURHOLM</t>
        </is>
      </c>
      <c r="F1677" t="inlineStr">
        <is>
          <t>Holmen skog AB</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73665-2021</t>
        </is>
      </c>
      <c r="B1678" s="1" t="n">
        <v>44551</v>
      </c>
      <c r="C1678" s="1" t="n">
        <v>46075</v>
      </c>
      <c r="D1678" t="inlineStr">
        <is>
          <t>VÄSTERBOTTENS LÄN</t>
        </is>
      </c>
      <c r="E1678" t="inlineStr">
        <is>
          <t>BJURHOLM</t>
        </is>
      </c>
      <c r="G1678" t="n">
        <v>11.7</v>
      </c>
      <c r="H1678" t="n">
        <v>0</v>
      </c>
      <c r="I1678" t="n">
        <v>0</v>
      </c>
      <c r="J1678" t="n">
        <v>0</v>
      </c>
      <c r="K1678" t="n">
        <v>0</v>
      </c>
      <c r="L1678" t="n">
        <v>0</v>
      </c>
      <c r="M1678" t="n">
        <v>0</v>
      </c>
      <c r="N1678" t="n">
        <v>0</v>
      </c>
      <c r="O1678" t="n">
        <v>0</v>
      </c>
      <c r="P1678" t="n">
        <v>0</v>
      </c>
      <c r="Q1678" t="n">
        <v>0</v>
      </c>
      <c r="R1678" s="2" t="inlineStr"/>
    </row>
    <row r="1679" ht="15" customHeight="1">
      <c r="A1679" t="inlineStr">
        <is>
          <t>A 28109-2021</t>
        </is>
      </c>
      <c r="B1679" s="1" t="n">
        <v>44355</v>
      </c>
      <c r="C1679" s="1" t="n">
        <v>46075</v>
      </c>
      <c r="D1679" t="inlineStr">
        <is>
          <t>VÄSTERBOTTENS LÄN</t>
        </is>
      </c>
      <c r="E1679" t="inlineStr">
        <is>
          <t>UMEÅ</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59206-2021</t>
        </is>
      </c>
      <c r="B1680" s="1" t="n">
        <v>44490.60037037037</v>
      </c>
      <c r="C1680" s="1" t="n">
        <v>46075</v>
      </c>
      <c r="D1680" t="inlineStr">
        <is>
          <t>VÄSTERBOTTENS LÄN</t>
        </is>
      </c>
      <c r="E1680" t="inlineStr">
        <is>
          <t>ÅSELE</t>
        </is>
      </c>
      <c r="F1680" t="inlineStr">
        <is>
          <t>Holmen skog AB</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61651-2021</t>
        </is>
      </c>
      <c r="B1681" s="1" t="n">
        <v>44501.53170138889</v>
      </c>
      <c r="C1681" s="1" t="n">
        <v>46075</v>
      </c>
      <c r="D1681" t="inlineStr">
        <is>
          <t>VÄSTERBOTTENS LÄN</t>
        </is>
      </c>
      <c r="E1681" t="inlineStr">
        <is>
          <t>LYCKSELE</t>
        </is>
      </c>
      <c r="F1681" t="inlineStr">
        <is>
          <t>Sveaskog</t>
        </is>
      </c>
      <c r="G1681" t="n">
        <v>10.7</v>
      </c>
      <c r="H1681" t="n">
        <v>0</v>
      </c>
      <c r="I1681" t="n">
        <v>0</v>
      </c>
      <c r="J1681" t="n">
        <v>0</v>
      </c>
      <c r="K1681" t="n">
        <v>0</v>
      </c>
      <c r="L1681" t="n">
        <v>0</v>
      </c>
      <c r="M1681" t="n">
        <v>0</v>
      </c>
      <c r="N1681" t="n">
        <v>0</v>
      </c>
      <c r="O1681" t="n">
        <v>0</v>
      </c>
      <c r="P1681" t="n">
        <v>0</v>
      </c>
      <c r="Q1681" t="n">
        <v>0</v>
      </c>
      <c r="R1681" s="2" t="inlineStr"/>
    </row>
    <row r="1682" ht="15" customHeight="1">
      <c r="A1682" t="inlineStr">
        <is>
          <t>A 37328-2021</t>
        </is>
      </c>
      <c r="B1682" s="1" t="n">
        <v>44397.55902777778</v>
      </c>
      <c r="C1682" s="1" t="n">
        <v>46075</v>
      </c>
      <c r="D1682" t="inlineStr">
        <is>
          <t>VÄSTERBOTTENS LÄN</t>
        </is>
      </c>
      <c r="E1682" t="inlineStr">
        <is>
          <t>BJURHOLM</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54794-2021</t>
        </is>
      </c>
      <c r="B1683" s="1" t="n">
        <v>44473.94274305556</v>
      </c>
      <c r="C1683" s="1" t="n">
        <v>46075</v>
      </c>
      <c r="D1683" t="inlineStr">
        <is>
          <t>VÄSTERBOTTENS LÄN</t>
        </is>
      </c>
      <c r="E1683" t="inlineStr">
        <is>
          <t>LYCKSELE</t>
        </is>
      </c>
      <c r="F1683" t="inlineStr">
        <is>
          <t>SCA</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36711-2021</t>
        </is>
      </c>
      <c r="B1684" s="1" t="n">
        <v>44392</v>
      </c>
      <c r="C1684" s="1" t="n">
        <v>46075</v>
      </c>
      <c r="D1684" t="inlineStr">
        <is>
          <t>VÄSTERBOTTENS LÄN</t>
        </is>
      </c>
      <c r="E1684" t="inlineStr">
        <is>
          <t>STORUMAN</t>
        </is>
      </c>
      <c r="G1684" t="n">
        <v>24.7</v>
      </c>
      <c r="H1684" t="n">
        <v>0</v>
      </c>
      <c r="I1684" t="n">
        <v>0</v>
      </c>
      <c r="J1684" t="n">
        <v>0</v>
      </c>
      <c r="K1684" t="n">
        <v>0</v>
      </c>
      <c r="L1684" t="n">
        <v>0</v>
      </c>
      <c r="M1684" t="n">
        <v>0</v>
      </c>
      <c r="N1684" t="n">
        <v>0</v>
      </c>
      <c r="O1684" t="n">
        <v>0</v>
      </c>
      <c r="P1684" t="n">
        <v>0</v>
      </c>
      <c r="Q1684" t="n">
        <v>0</v>
      </c>
      <c r="R1684" s="2" t="inlineStr"/>
    </row>
    <row r="1685" ht="15" customHeight="1">
      <c r="A1685" t="inlineStr">
        <is>
          <t>A 41845-2021</t>
        </is>
      </c>
      <c r="B1685" s="1" t="n">
        <v>44425.93820601852</v>
      </c>
      <c r="C1685" s="1" t="n">
        <v>46075</v>
      </c>
      <c r="D1685" t="inlineStr">
        <is>
          <t>VÄSTERBOTTENS LÄN</t>
        </is>
      </c>
      <c r="E1685" t="inlineStr">
        <is>
          <t>VINDELN</t>
        </is>
      </c>
      <c r="F1685" t="inlineStr">
        <is>
          <t>SCA</t>
        </is>
      </c>
      <c r="G1685" t="n">
        <v>8.9</v>
      </c>
      <c r="H1685" t="n">
        <v>0</v>
      </c>
      <c r="I1685" t="n">
        <v>0</v>
      </c>
      <c r="J1685" t="n">
        <v>0</v>
      </c>
      <c r="K1685" t="n">
        <v>0</v>
      </c>
      <c r="L1685" t="n">
        <v>0</v>
      </c>
      <c r="M1685" t="n">
        <v>0</v>
      </c>
      <c r="N1685" t="n">
        <v>0</v>
      </c>
      <c r="O1685" t="n">
        <v>0</v>
      </c>
      <c r="P1685" t="n">
        <v>0</v>
      </c>
      <c r="Q1685" t="n">
        <v>0</v>
      </c>
      <c r="R1685" s="2" t="inlineStr"/>
    </row>
    <row r="1686" ht="15" customHeight="1">
      <c r="A1686" t="inlineStr">
        <is>
          <t>A 55921-2021</t>
        </is>
      </c>
      <c r="B1686" s="1" t="n">
        <v>44476</v>
      </c>
      <c r="C1686" s="1" t="n">
        <v>46075</v>
      </c>
      <c r="D1686" t="inlineStr">
        <is>
          <t>VÄSTERBOTTENS LÄN</t>
        </is>
      </c>
      <c r="E1686" t="inlineStr">
        <is>
          <t>ÅSELE</t>
        </is>
      </c>
      <c r="F1686" t="inlineStr">
        <is>
          <t>SCA</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66503-2021</t>
        </is>
      </c>
      <c r="B1687" s="1" t="n">
        <v>44519.32098379629</v>
      </c>
      <c r="C1687" s="1" t="n">
        <v>46075</v>
      </c>
      <c r="D1687" t="inlineStr">
        <is>
          <t>VÄSTERBOTTENS LÄN</t>
        </is>
      </c>
      <c r="E1687" t="inlineStr">
        <is>
          <t>ROBERTSFORS</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38503-2021</t>
        </is>
      </c>
      <c r="B1688" s="1" t="n">
        <v>44407</v>
      </c>
      <c r="C1688" s="1" t="n">
        <v>46075</v>
      </c>
      <c r="D1688" t="inlineStr">
        <is>
          <t>VÄSTERBOTTENS LÄN</t>
        </is>
      </c>
      <c r="E1688" t="inlineStr">
        <is>
          <t>UMEÅ</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38523-2021</t>
        </is>
      </c>
      <c r="B1689" s="1" t="n">
        <v>44407</v>
      </c>
      <c r="C1689" s="1" t="n">
        <v>46075</v>
      </c>
      <c r="D1689" t="inlineStr">
        <is>
          <t>VÄSTERBOTTENS LÄN</t>
        </is>
      </c>
      <c r="E1689" t="inlineStr">
        <is>
          <t>UMEÅ</t>
        </is>
      </c>
      <c r="F1689" t="inlineStr">
        <is>
          <t>Kommuner</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2604-2022</t>
        </is>
      </c>
      <c r="B1690" s="1" t="n">
        <v>44571</v>
      </c>
      <c r="C1690" s="1" t="n">
        <v>46075</v>
      </c>
      <c r="D1690" t="inlineStr">
        <is>
          <t>VÄSTERBOTTENS LÄN</t>
        </is>
      </c>
      <c r="E1690" t="inlineStr">
        <is>
          <t>ROBERTSFORS</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32114-2021</t>
        </is>
      </c>
      <c r="B1691" s="1" t="n">
        <v>44371.30479166667</v>
      </c>
      <c r="C1691" s="1" t="n">
        <v>46075</v>
      </c>
      <c r="D1691" t="inlineStr">
        <is>
          <t>VÄSTERBOTTENS LÄN</t>
        </is>
      </c>
      <c r="E1691" t="inlineStr">
        <is>
          <t>SKELLEFTEÅ</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14207-2022</t>
        </is>
      </c>
      <c r="B1692" s="1" t="n">
        <v>44651</v>
      </c>
      <c r="C1692" s="1" t="n">
        <v>46075</v>
      </c>
      <c r="D1692" t="inlineStr">
        <is>
          <t>VÄSTERBOTTENS LÄN</t>
        </is>
      </c>
      <c r="E1692" t="inlineStr">
        <is>
          <t>NORDMALING</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38517-2021</t>
        </is>
      </c>
      <c r="B1693" s="1" t="n">
        <v>44407</v>
      </c>
      <c r="C1693" s="1" t="n">
        <v>46075</v>
      </c>
      <c r="D1693" t="inlineStr">
        <is>
          <t>VÄSTERBOTTENS LÄN</t>
        </is>
      </c>
      <c r="E1693" t="inlineStr">
        <is>
          <t>UMEÅ</t>
        </is>
      </c>
      <c r="F1693" t="inlineStr">
        <is>
          <t>Kommuner</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38524-2021</t>
        </is>
      </c>
      <c r="B1694" s="1" t="n">
        <v>44407</v>
      </c>
      <c r="C1694" s="1" t="n">
        <v>46075</v>
      </c>
      <c r="D1694" t="inlineStr">
        <is>
          <t>VÄSTERBOTTENS LÄN</t>
        </is>
      </c>
      <c r="E1694" t="inlineStr">
        <is>
          <t>UMEÅ</t>
        </is>
      </c>
      <c r="F1694" t="inlineStr">
        <is>
          <t>Kommuner</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38537-2021</t>
        </is>
      </c>
      <c r="B1695" s="1" t="n">
        <v>44407</v>
      </c>
      <c r="C1695" s="1" t="n">
        <v>46075</v>
      </c>
      <c r="D1695" t="inlineStr">
        <is>
          <t>VÄSTERBOTTENS LÄN</t>
        </is>
      </c>
      <c r="E1695" t="inlineStr">
        <is>
          <t>UMEÅ</t>
        </is>
      </c>
      <c r="F1695" t="inlineStr">
        <is>
          <t>Kommuner</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32668-2022</t>
        </is>
      </c>
      <c r="B1696" s="1" t="n">
        <v>44783.53452546296</v>
      </c>
      <c r="C1696" s="1" t="n">
        <v>46075</v>
      </c>
      <c r="D1696" t="inlineStr">
        <is>
          <t>VÄSTERBOTTENS LÄN</t>
        </is>
      </c>
      <c r="E1696" t="inlineStr">
        <is>
          <t>LYCKSELE</t>
        </is>
      </c>
      <c r="F1696" t="inlineStr">
        <is>
          <t>Sveaskog</t>
        </is>
      </c>
      <c r="G1696" t="n">
        <v>5.4</v>
      </c>
      <c r="H1696" t="n">
        <v>0</v>
      </c>
      <c r="I1696" t="n">
        <v>0</v>
      </c>
      <c r="J1696" t="n">
        <v>0</v>
      </c>
      <c r="K1696" t="n">
        <v>0</v>
      </c>
      <c r="L1696" t="n">
        <v>0</v>
      </c>
      <c r="M1696" t="n">
        <v>0</v>
      </c>
      <c r="N1696" t="n">
        <v>0</v>
      </c>
      <c r="O1696" t="n">
        <v>0</v>
      </c>
      <c r="P1696" t="n">
        <v>0</v>
      </c>
      <c r="Q1696" t="n">
        <v>0</v>
      </c>
      <c r="R1696" s="2" t="inlineStr"/>
    </row>
    <row r="1697" ht="15" customHeight="1">
      <c r="A1697" t="inlineStr">
        <is>
          <t>A 35878-2022</t>
        </is>
      </c>
      <c r="B1697" s="1" t="n">
        <v>44802</v>
      </c>
      <c r="C1697" s="1" t="n">
        <v>46075</v>
      </c>
      <c r="D1697" t="inlineStr">
        <is>
          <t>VÄSTERBOTTENS LÄN</t>
        </is>
      </c>
      <c r="E1697" t="inlineStr">
        <is>
          <t>UMEÅ</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9579-2022</t>
        </is>
      </c>
      <c r="B1698" s="1" t="n">
        <v>44617</v>
      </c>
      <c r="C1698" s="1" t="n">
        <v>46075</v>
      </c>
      <c r="D1698" t="inlineStr">
        <is>
          <t>VÄSTERBOTTENS LÄN</t>
        </is>
      </c>
      <c r="E1698" t="inlineStr">
        <is>
          <t>SKELLEFTEÅ</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14395-2022</t>
        </is>
      </c>
      <c r="B1699" s="1" t="n">
        <v>44652</v>
      </c>
      <c r="C1699" s="1" t="n">
        <v>46075</v>
      </c>
      <c r="D1699" t="inlineStr">
        <is>
          <t>VÄSTERBOTTENS LÄN</t>
        </is>
      </c>
      <c r="E1699" t="inlineStr">
        <is>
          <t>STORUMAN</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65463-2021</t>
        </is>
      </c>
      <c r="B1700" s="1" t="n">
        <v>44515</v>
      </c>
      <c r="C1700" s="1" t="n">
        <v>46075</v>
      </c>
      <c r="D1700" t="inlineStr">
        <is>
          <t>VÄSTERBOTTENS LÄN</t>
        </is>
      </c>
      <c r="E1700" t="inlineStr">
        <is>
          <t>STORUMAN</t>
        </is>
      </c>
      <c r="G1700" t="n">
        <v>14.6</v>
      </c>
      <c r="H1700" t="n">
        <v>0</v>
      </c>
      <c r="I1700" t="n">
        <v>0</v>
      </c>
      <c r="J1700" t="n">
        <v>0</v>
      </c>
      <c r="K1700" t="n">
        <v>0</v>
      </c>
      <c r="L1700" t="n">
        <v>0</v>
      </c>
      <c r="M1700" t="n">
        <v>0</v>
      </c>
      <c r="N1700" t="n">
        <v>0</v>
      </c>
      <c r="O1700" t="n">
        <v>0</v>
      </c>
      <c r="P1700" t="n">
        <v>0</v>
      </c>
      <c r="Q1700" t="n">
        <v>0</v>
      </c>
      <c r="R1700" s="2" t="inlineStr"/>
    </row>
    <row r="1701" ht="15" customHeight="1">
      <c r="A1701" t="inlineStr">
        <is>
          <t>A 19870-2022</t>
        </is>
      </c>
      <c r="B1701" s="1" t="n">
        <v>44694</v>
      </c>
      <c r="C1701" s="1" t="n">
        <v>46075</v>
      </c>
      <c r="D1701" t="inlineStr">
        <is>
          <t>VÄSTERBOTTENS LÄN</t>
        </is>
      </c>
      <c r="E1701" t="inlineStr">
        <is>
          <t>SKELLEFTEÅ</t>
        </is>
      </c>
      <c r="G1701" t="n">
        <v>5.5</v>
      </c>
      <c r="H1701" t="n">
        <v>0</v>
      </c>
      <c r="I1701" t="n">
        <v>0</v>
      </c>
      <c r="J1701" t="n">
        <v>0</v>
      </c>
      <c r="K1701" t="n">
        <v>0</v>
      </c>
      <c r="L1701" t="n">
        <v>0</v>
      </c>
      <c r="M1701" t="n">
        <v>0</v>
      </c>
      <c r="N1701" t="n">
        <v>0</v>
      </c>
      <c r="O1701" t="n">
        <v>0</v>
      </c>
      <c r="P1701" t="n">
        <v>0</v>
      </c>
      <c r="Q1701" t="n">
        <v>0</v>
      </c>
      <c r="R1701" s="2" t="inlineStr"/>
    </row>
    <row r="1702" ht="15" customHeight="1">
      <c r="A1702" t="inlineStr">
        <is>
          <t>A 39623-2021</t>
        </is>
      </c>
      <c r="B1702" s="1" t="n">
        <v>44413</v>
      </c>
      <c r="C1702" s="1" t="n">
        <v>46075</v>
      </c>
      <c r="D1702" t="inlineStr">
        <is>
          <t>VÄSTERBOTTENS LÄN</t>
        </is>
      </c>
      <c r="E1702" t="inlineStr">
        <is>
          <t>SKELLEFTEÅ</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50279-2021</t>
        </is>
      </c>
      <c r="B1703" s="1" t="n">
        <v>44459</v>
      </c>
      <c r="C1703" s="1" t="n">
        <v>46075</v>
      </c>
      <c r="D1703" t="inlineStr">
        <is>
          <t>VÄSTERBOTTENS LÄN</t>
        </is>
      </c>
      <c r="E1703" t="inlineStr">
        <is>
          <t>LYCKSELE</t>
        </is>
      </c>
      <c r="F1703" t="inlineStr">
        <is>
          <t>Sveaskog</t>
        </is>
      </c>
      <c r="G1703" t="n">
        <v>10.9</v>
      </c>
      <c r="H1703" t="n">
        <v>0</v>
      </c>
      <c r="I1703" t="n">
        <v>0</v>
      </c>
      <c r="J1703" t="n">
        <v>0</v>
      </c>
      <c r="K1703" t="n">
        <v>0</v>
      </c>
      <c r="L1703" t="n">
        <v>0</v>
      </c>
      <c r="M1703" t="n">
        <v>0</v>
      </c>
      <c r="N1703" t="n">
        <v>0</v>
      </c>
      <c r="O1703" t="n">
        <v>0</v>
      </c>
      <c r="P1703" t="n">
        <v>0</v>
      </c>
      <c r="Q1703" t="n">
        <v>0</v>
      </c>
      <c r="R1703" s="2" t="inlineStr"/>
    </row>
    <row r="1704" ht="15" customHeight="1">
      <c r="A1704" t="inlineStr">
        <is>
          <t>A 39505-2021</t>
        </is>
      </c>
      <c r="B1704" s="1" t="n">
        <v>44414</v>
      </c>
      <c r="C1704" s="1" t="n">
        <v>46075</v>
      </c>
      <c r="D1704" t="inlineStr">
        <is>
          <t>VÄSTERBOTTENS LÄN</t>
        </is>
      </c>
      <c r="E1704" t="inlineStr">
        <is>
          <t>VINDELN</t>
        </is>
      </c>
      <c r="F1704" t="inlineStr">
        <is>
          <t>SCA</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15003-2022</t>
        </is>
      </c>
      <c r="B1705" s="1" t="n">
        <v>44657</v>
      </c>
      <c r="C1705" s="1" t="n">
        <v>46075</v>
      </c>
      <c r="D1705" t="inlineStr">
        <is>
          <t>VÄSTERBOTTENS LÄN</t>
        </is>
      </c>
      <c r="E1705" t="inlineStr">
        <is>
          <t>NORDMALING</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9928-2022</t>
        </is>
      </c>
      <c r="B1706" s="1" t="n">
        <v>44620</v>
      </c>
      <c r="C1706" s="1" t="n">
        <v>46075</v>
      </c>
      <c r="D1706" t="inlineStr">
        <is>
          <t>VÄSTERBOTTENS LÄN</t>
        </is>
      </c>
      <c r="E1706" t="inlineStr">
        <is>
          <t>BJURHOLM</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18641-2022</t>
        </is>
      </c>
      <c r="B1707" s="1" t="n">
        <v>44687</v>
      </c>
      <c r="C1707" s="1" t="n">
        <v>46075</v>
      </c>
      <c r="D1707" t="inlineStr">
        <is>
          <t>VÄSTERBOTTENS LÄN</t>
        </is>
      </c>
      <c r="E1707" t="inlineStr">
        <is>
          <t>NORDMALING</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3882-2022</t>
        </is>
      </c>
      <c r="B1708" s="1" t="n">
        <v>44587.45986111111</v>
      </c>
      <c r="C1708" s="1" t="n">
        <v>46075</v>
      </c>
      <c r="D1708" t="inlineStr">
        <is>
          <t>VÄSTERBOTTENS LÄN</t>
        </is>
      </c>
      <c r="E1708" t="inlineStr">
        <is>
          <t>SKELLEFTEÅ</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37752-2021</t>
        </is>
      </c>
      <c r="B1709" s="1" t="n">
        <v>44400</v>
      </c>
      <c r="C1709" s="1" t="n">
        <v>46075</v>
      </c>
      <c r="D1709" t="inlineStr">
        <is>
          <t>VÄSTERBOTTENS LÄN</t>
        </is>
      </c>
      <c r="E1709" t="inlineStr">
        <is>
          <t>VINDELN</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33395-2021</t>
        </is>
      </c>
      <c r="B1710" s="1" t="n">
        <v>44377</v>
      </c>
      <c r="C1710" s="1" t="n">
        <v>46075</v>
      </c>
      <c r="D1710" t="inlineStr">
        <is>
          <t>VÄSTERBOTTENS LÄN</t>
        </is>
      </c>
      <c r="E1710" t="inlineStr">
        <is>
          <t>SORSELE</t>
        </is>
      </c>
      <c r="G1710" t="n">
        <v>20</v>
      </c>
      <c r="H1710" t="n">
        <v>0</v>
      </c>
      <c r="I1710" t="n">
        <v>0</v>
      </c>
      <c r="J1710" t="n">
        <v>0</v>
      </c>
      <c r="K1710" t="n">
        <v>0</v>
      </c>
      <c r="L1710" t="n">
        <v>0</v>
      </c>
      <c r="M1710" t="n">
        <v>0</v>
      </c>
      <c r="N1710" t="n">
        <v>0</v>
      </c>
      <c r="O1710" t="n">
        <v>0</v>
      </c>
      <c r="P1710" t="n">
        <v>0</v>
      </c>
      <c r="Q1710" t="n">
        <v>0</v>
      </c>
      <c r="R1710" s="2" t="inlineStr"/>
    </row>
    <row r="1711" ht="15" customHeight="1">
      <c r="A1711" t="inlineStr">
        <is>
          <t>A 36111-2022</t>
        </is>
      </c>
      <c r="B1711" s="1" t="n">
        <v>44802</v>
      </c>
      <c r="C1711" s="1" t="n">
        <v>46075</v>
      </c>
      <c r="D1711" t="inlineStr">
        <is>
          <t>VÄSTERBOTTENS LÄN</t>
        </is>
      </c>
      <c r="E1711" t="inlineStr">
        <is>
          <t>VINDELN</t>
        </is>
      </c>
      <c r="F1711" t="inlineStr">
        <is>
          <t>SCA</t>
        </is>
      </c>
      <c r="G1711" t="n">
        <v>3.5</v>
      </c>
      <c r="H1711" t="n">
        <v>0</v>
      </c>
      <c r="I1711" t="n">
        <v>0</v>
      </c>
      <c r="J1711" t="n">
        <v>0</v>
      </c>
      <c r="K1711" t="n">
        <v>0</v>
      </c>
      <c r="L1711" t="n">
        <v>0</v>
      </c>
      <c r="M1711" t="n">
        <v>0</v>
      </c>
      <c r="N1711" t="n">
        <v>0</v>
      </c>
      <c r="O1711" t="n">
        <v>0</v>
      </c>
      <c r="P1711" t="n">
        <v>0</v>
      </c>
      <c r="Q1711" t="n">
        <v>0</v>
      </c>
      <c r="R1711" s="2" t="inlineStr"/>
    </row>
    <row r="1712" ht="15" customHeight="1">
      <c r="A1712" t="inlineStr">
        <is>
          <t>A 73427-2021</t>
        </is>
      </c>
      <c r="B1712" s="1" t="n">
        <v>44550</v>
      </c>
      <c r="C1712" s="1" t="n">
        <v>46075</v>
      </c>
      <c r="D1712" t="inlineStr">
        <is>
          <t>VÄSTERBOTTENS LÄN</t>
        </is>
      </c>
      <c r="E1712" t="inlineStr">
        <is>
          <t>SORSELE</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46950-2021</t>
        </is>
      </c>
      <c r="B1713" s="1" t="n">
        <v>44446</v>
      </c>
      <c r="C1713" s="1" t="n">
        <v>46075</v>
      </c>
      <c r="D1713" t="inlineStr">
        <is>
          <t>VÄSTERBOTTENS LÄN</t>
        </is>
      </c>
      <c r="E1713" t="inlineStr">
        <is>
          <t>VÄNNÄS</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39035-2021</t>
        </is>
      </c>
      <c r="B1714" s="1" t="n">
        <v>44411</v>
      </c>
      <c r="C1714" s="1" t="n">
        <v>46075</v>
      </c>
      <c r="D1714" t="inlineStr">
        <is>
          <t>VÄSTERBOTTENS LÄN</t>
        </is>
      </c>
      <c r="E1714" t="inlineStr">
        <is>
          <t>SKELLEFTEÅ</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24606-2021</t>
        </is>
      </c>
      <c r="B1715" s="1" t="n">
        <v>44319</v>
      </c>
      <c r="C1715" s="1" t="n">
        <v>46075</v>
      </c>
      <c r="D1715" t="inlineStr">
        <is>
          <t>VÄSTERBOTTENS LÄN</t>
        </is>
      </c>
      <c r="E1715" t="inlineStr">
        <is>
          <t>SKELLEFTEÅ</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54403-2021</t>
        </is>
      </c>
      <c r="B1716" s="1" t="n">
        <v>44473</v>
      </c>
      <c r="C1716" s="1" t="n">
        <v>46075</v>
      </c>
      <c r="D1716" t="inlineStr">
        <is>
          <t>VÄSTERBOTTENS LÄN</t>
        </is>
      </c>
      <c r="E1716" t="inlineStr">
        <is>
          <t>ROBERTSFORS</t>
        </is>
      </c>
      <c r="G1716" t="n">
        <v>5.9</v>
      </c>
      <c r="H1716" t="n">
        <v>0</v>
      </c>
      <c r="I1716" t="n">
        <v>0</v>
      </c>
      <c r="J1716" t="n">
        <v>0</v>
      </c>
      <c r="K1716" t="n">
        <v>0</v>
      </c>
      <c r="L1716" t="n">
        <v>0</v>
      </c>
      <c r="M1716" t="n">
        <v>0</v>
      </c>
      <c r="N1716" t="n">
        <v>0</v>
      </c>
      <c r="O1716" t="n">
        <v>0</v>
      </c>
      <c r="P1716" t="n">
        <v>0</v>
      </c>
      <c r="Q1716" t="n">
        <v>0</v>
      </c>
      <c r="R1716" s="2" t="inlineStr"/>
    </row>
    <row r="1717" ht="15" customHeight="1">
      <c r="A1717" t="inlineStr">
        <is>
          <t>A 40708-2022</t>
        </is>
      </c>
      <c r="B1717" s="1" t="n">
        <v>44824.4777662037</v>
      </c>
      <c r="C1717" s="1" t="n">
        <v>46075</v>
      </c>
      <c r="D1717" t="inlineStr">
        <is>
          <t>VÄSTERBOTTENS LÄN</t>
        </is>
      </c>
      <c r="E1717" t="inlineStr">
        <is>
          <t>VINDELN</t>
        </is>
      </c>
      <c r="F1717" t="inlineStr">
        <is>
          <t>Holmen skog AB</t>
        </is>
      </c>
      <c r="G1717" t="n">
        <v>8.4</v>
      </c>
      <c r="H1717" t="n">
        <v>0</v>
      </c>
      <c r="I1717" t="n">
        <v>0</v>
      </c>
      <c r="J1717" t="n">
        <v>0</v>
      </c>
      <c r="K1717" t="n">
        <v>0</v>
      </c>
      <c r="L1717" t="n">
        <v>0</v>
      </c>
      <c r="M1717" t="n">
        <v>0</v>
      </c>
      <c r="N1717" t="n">
        <v>0</v>
      </c>
      <c r="O1717" t="n">
        <v>0</v>
      </c>
      <c r="P1717" t="n">
        <v>0</v>
      </c>
      <c r="Q1717" t="n">
        <v>0</v>
      </c>
      <c r="R1717" s="2" t="inlineStr"/>
    </row>
    <row r="1718" ht="15" customHeight="1">
      <c r="A1718" t="inlineStr">
        <is>
          <t>A 49906-2022</t>
        </is>
      </c>
      <c r="B1718" s="1" t="n">
        <v>44864</v>
      </c>
      <c r="C1718" s="1" t="n">
        <v>46075</v>
      </c>
      <c r="D1718" t="inlineStr">
        <is>
          <t>VÄSTERBOTTENS LÄN</t>
        </is>
      </c>
      <c r="E1718" t="inlineStr">
        <is>
          <t>SKELLEFTEÅ</t>
        </is>
      </c>
      <c r="F1718" t="inlineStr">
        <is>
          <t>SCA</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30276-2022</t>
        </is>
      </c>
      <c r="B1719" s="1" t="n">
        <v>44759</v>
      </c>
      <c r="C1719" s="1" t="n">
        <v>46075</v>
      </c>
      <c r="D1719" t="inlineStr">
        <is>
          <t>VÄSTERBOTTENS LÄN</t>
        </is>
      </c>
      <c r="E1719" t="inlineStr">
        <is>
          <t>NORDMALING</t>
        </is>
      </c>
      <c r="F1719" t="inlineStr">
        <is>
          <t>SCA</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27563-2022</t>
        </is>
      </c>
      <c r="B1720" s="1" t="n">
        <v>44742.92701388889</v>
      </c>
      <c r="C1720" s="1" t="n">
        <v>46075</v>
      </c>
      <c r="D1720" t="inlineStr">
        <is>
          <t>VÄSTERBOTTENS LÄN</t>
        </is>
      </c>
      <c r="E1720" t="inlineStr">
        <is>
          <t>NORSJÖ</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56898-2021</t>
        </is>
      </c>
      <c r="B1721" s="1" t="n">
        <v>44481</v>
      </c>
      <c r="C1721" s="1" t="n">
        <v>46075</v>
      </c>
      <c r="D1721" t="inlineStr">
        <is>
          <t>VÄSTERBOTTENS LÄN</t>
        </is>
      </c>
      <c r="E1721" t="inlineStr">
        <is>
          <t>LYCKSELE</t>
        </is>
      </c>
      <c r="F1721" t="inlineStr">
        <is>
          <t>Naturvårdsverket</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69805-2021</t>
        </is>
      </c>
      <c r="B1722" s="1" t="n">
        <v>44532</v>
      </c>
      <c r="C1722" s="1" t="n">
        <v>46075</v>
      </c>
      <c r="D1722" t="inlineStr">
        <is>
          <t>VÄSTERBOTTENS LÄN</t>
        </is>
      </c>
      <c r="E1722" t="inlineStr">
        <is>
          <t>ROBERTSFORS</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38873-2022</t>
        </is>
      </c>
      <c r="B1723" s="1" t="n">
        <v>44816</v>
      </c>
      <c r="C1723" s="1" t="n">
        <v>46075</v>
      </c>
      <c r="D1723" t="inlineStr">
        <is>
          <t>VÄSTERBOTTENS LÄN</t>
        </is>
      </c>
      <c r="E1723" t="inlineStr">
        <is>
          <t>SKELLEFTEÅ</t>
        </is>
      </c>
      <c r="G1723" t="n">
        <v>0.2</v>
      </c>
      <c r="H1723" t="n">
        <v>0</v>
      </c>
      <c r="I1723" t="n">
        <v>0</v>
      </c>
      <c r="J1723" t="n">
        <v>0</v>
      </c>
      <c r="K1723" t="n">
        <v>0</v>
      </c>
      <c r="L1723" t="n">
        <v>0</v>
      </c>
      <c r="M1723" t="n">
        <v>0</v>
      </c>
      <c r="N1723" t="n">
        <v>0</v>
      </c>
      <c r="O1723" t="n">
        <v>0</v>
      </c>
      <c r="P1723" t="n">
        <v>0</v>
      </c>
      <c r="Q1723" t="n">
        <v>0</v>
      </c>
      <c r="R1723" s="2" t="inlineStr"/>
    </row>
    <row r="1724" ht="15" customHeight="1">
      <c r="A1724" t="inlineStr">
        <is>
          <t>A 38876-2022</t>
        </is>
      </c>
      <c r="B1724" s="1" t="n">
        <v>44816</v>
      </c>
      <c r="C1724" s="1" t="n">
        <v>46075</v>
      </c>
      <c r="D1724" t="inlineStr">
        <is>
          <t>VÄSTERBOTTENS LÄN</t>
        </is>
      </c>
      <c r="E1724" t="inlineStr">
        <is>
          <t>SKELLEFTEÅ</t>
        </is>
      </c>
      <c r="G1724" t="n">
        <v>0.3</v>
      </c>
      <c r="H1724" t="n">
        <v>0</v>
      </c>
      <c r="I1724" t="n">
        <v>0</v>
      </c>
      <c r="J1724" t="n">
        <v>0</v>
      </c>
      <c r="K1724" t="n">
        <v>0</v>
      </c>
      <c r="L1724" t="n">
        <v>0</v>
      </c>
      <c r="M1724" t="n">
        <v>0</v>
      </c>
      <c r="N1724" t="n">
        <v>0</v>
      </c>
      <c r="O1724" t="n">
        <v>0</v>
      </c>
      <c r="P1724" t="n">
        <v>0</v>
      </c>
      <c r="Q1724" t="n">
        <v>0</v>
      </c>
      <c r="R1724" s="2" t="inlineStr"/>
    </row>
    <row r="1725" ht="15" customHeight="1">
      <c r="A1725" t="inlineStr">
        <is>
          <t>A 37823-2022</t>
        </is>
      </c>
      <c r="B1725" s="1" t="n">
        <v>44810.92642361111</v>
      </c>
      <c r="C1725" s="1" t="n">
        <v>46075</v>
      </c>
      <c r="D1725" t="inlineStr">
        <is>
          <t>VÄSTERBOTTENS LÄN</t>
        </is>
      </c>
      <c r="E1725" t="inlineStr">
        <is>
          <t>SKELLEFTEÅ</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19701-2022</t>
        </is>
      </c>
      <c r="B1726" s="1" t="n">
        <v>44694</v>
      </c>
      <c r="C1726" s="1" t="n">
        <v>46075</v>
      </c>
      <c r="D1726" t="inlineStr">
        <is>
          <t>VÄSTERBOTTENS LÄN</t>
        </is>
      </c>
      <c r="E1726" t="inlineStr">
        <is>
          <t>ÅSELE</t>
        </is>
      </c>
      <c r="F1726" t="inlineStr">
        <is>
          <t>Holmen skog AB</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24203-2021</t>
        </is>
      </c>
      <c r="B1727" s="1" t="n">
        <v>44336</v>
      </c>
      <c r="C1727" s="1" t="n">
        <v>46075</v>
      </c>
      <c r="D1727" t="inlineStr">
        <is>
          <t>VÄSTERBOTTENS LÄN</t>
        </is>
      </c>
      <c r="E1727" t="inlineStr">
        <is>
          <t>DOROTEA</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19705-2022</t>
        </is>
      </c>
      <c r="B1728" s="1" t="n">
        <v>44694.53769675926</v>
      </c>
      <c r="C1728" s="1" t="n">
        <v>46075</v>
      </c>
      <c r="D1728" t="inlineStr">
        <is>
          <t>VÄSTERBOTTENS LÄN</t>
        </is>
      </c>
      <c r="E1728" t="inlineStr">
        <is>
          <t>ÅSELE</t>
        </is>
      </c>
      <c r="F1728" t="inlineStr">
        <is>
          <t>Naturvårdsverket</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8223-2022</t>
        </is>
      </c>
      <c r="B1729" s="1" t="n">
        <v>44609</v>
      </c>
      <c r="C1729" s="1" t="n">
        <v>46075</v>
      </c>
      <c r="D1729" t="inlineStr">
        <is>
          <t>VÄSTERBOTTENS LÄN</t>
        </is>
      </c>
      <c r="E1729" t="inlineStr">
        <is>
          <t>UMEÅ</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27879-2022</t>
        </is>
      </c>
      <c r="B1730" s="1" t="n">
        <v>44743</v>
      </c>
      <c r="C1730" s="1" t="n">
        <v>46075</v>
      </c>
      <c r="D1730" t="inlineStr">
        <is>
          <t>VÄSTERBOTTENS LÄN</t>
        </is>
      </c>
      <c r="E1730" t="inlineStr">
        <is>
          <t>VILHELMINA</t>
        </is>
      </c>
      <c r="F1730" t="inlineStr">
        <is>
          <t>Sveaskog</t>
        </is>
      </c>
      <c r="G1730" t="n">
        <v>4.9</v>
      </c>
      <c r="H1730" t="n">
        <v>0</v>
      </c>
      <c r="I1730" t="n">
        <v>0</v>
      </c>
      <c r="J1730" t="n">
        <v>0</v>
      </c>
      <c r="K1730" t="n">
        <v>0</v>
      </c>
      <c r="L1730" t="n">
        <v>0</v>
      </c>
      <c r="M1730" t="n">
        <v>0</v>
      </c>
      <c r="N1730" t="n">
        <v>0</v>
      </c>
      <c r="O1730" t="n">
        <v>0</v>
      </c>
      <c r="P1730" t="n">
        <v>0</v>
      </c>
      <c r="Q1730" t="n">
        <v>0</v>
      </c>
      <c r="R1730" s="2" t="inlineStr"/>
    </row>
    <row r="1731" ht="15" customHeight="1">
      <c r="A1731" t="inlineStr">
        <is>
          <t>A 27935-2022</t>
        </is>
      </c>
      <c r="B1731" s="1" t="n">
        <v>44743.94269675926</v>
      </c>
      <c r="C1731" s="1" t="n">
        <v>46075</v>
      </c>
      <c r="D1731" t="inlineStr">
        <is>
          <t>VÄSTERBOTTENS LÄN</t>
        </is>
      </c>
      <c r="E1731" t="inlineStr">
        <is>
          <t>VILHELMINA</t>
        </is>
      </c>
      <c r="F1731" t="inlineStr">
        <is>
          <t>SCA</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31177-2022</t>
        </is>
      </c>
      <c r="B1732" s="1" t="n">
        <v>44770</v>
      </c>
      <c r="C1732" s="1" t="n">
        <v>46075</v>
      </c>
      <c r="D1732" t="inlineStr">
        <is>
          <t>VÄSTERBOTTENS LÄN</t>
        </is>
      </c>
      <c r="E1732" t="inlineStr">
        <is>
          <t>BJURHOLM</t>
        </is>
      </c>
      <c r="F1732" t="inlineStr">
        <is>
          <t>Holmen skog AB</t>
        </is>
      </c>
      <c r="G1732" t="n">
        <v>6.9</v>
      </c>
      <c r="H1732" t="n">
        <v>0</v>
      </c>
      <c r="I1732" t="n">
        <v>0</v>
      </c>
      <c r="J1732" t="n">
        <v>0</v>
      </c>
      <c r="K1732" t="n">
        <v>0</v>
      </c>
      <c r="L1732" t="n">
        <v>0</v>
      </c>
      <c r="M1732" t="n">
        <v>0</v>
      </c>
      <c r="N1732" t="n">
        <v>0</v>
      </c>
      <c r="O1732" t="n">
        <v>0</v>
      </c>
      <c r="P1732" t="n">
        <v>0</v>
      </c>
      <c r="Q1732" t="n">
        <v>0</v>
      </c>
      <c r="R1732" s="2" t="inlineStr"/>
    </row>
    <row r="1733" ht="15" customHeight="1">
      <c r="A1733" t="inlineStr">
        <is>
          <t>A 73596-2021</t>
        </is>
      </c>
      <c r="B1733" s="1" t="n">
        <v>44551</v>
      </c>
      <c r="C1733" s="1" t="n">
        <v>46075</v>
      </c>
      <c r="D1733" t="inlineStr">
        <is>
          <t>VÄSTERBOTTENS LÄN</t>
        </is>
      </c>
      <c r="E1733" t="inlineStr">
        <is>
          <t>LYCKSELE</t>
        </is>
      </c>
      <c r="G1733" t="n">
        <v>20.6</v>
      </c>
      <c r="H1733" t="n">
        <v>0</v>
      </c>
      <c r="I1733" t="n">
        <v>0</v>
      </c>
      <c r="J1733" t="n">
        <v>0</v>
      </c>
      <c r="K1733" t="n">
        <v>0</v>
      </c>
      <c r="L1733" t="n">
        <v>0</v>
      </c>
      <c r="M1733" t="n">
        <v>0</v>
      </c>
      <c r="N1733" t="n">
        <v>0</v>
      </c>
      <c r="O1733" t="n">
        <v>0</v>
      </c>
      <c r="P1733" t="n">
        <v>0</v>
      </c>
      <c r="Q1733" t="n">
        <v>0</v>
      </c>
      <c r="R1733" s="2" t="inlineStr"/>
    </row>
    <row r="1734" ht="15" customHeight="1">
      <c r="A1734" t="inlineStr">
        <is>
          <t>A 56179-2022</t>
        </is>
      </c>
      <c r="B1734" s="1" t="n">
        <v>44889.94913194444</v>
      </c>
      <c r="C1734" s="1" t="n">
        <v>46075</v>
      </c>
      <c r="D1734" t="inlineStr">
        <is>
          <t>VÄSTERBOTTENS LÄN</t>
        </is>
      </c>
      <c r="E1734" t="inlineStr">
        <is>
          <t>VILHELMINA</t>
        </is>
      </c>
      <c r="F1734" t="inlineStr">
        <is>
          <t>SCA</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22425-2021</t>
        </is>
      </c>
      <c r="B1735" s="1" t="n">
        <v>44326</v>
      </c>
      <c r="C1735" s="1" t="n">
        <v>46075</v>
      </c>
      <c r="D1735" t="inlineStr">
        <is>
          <t>VÄSTERBOTTENS LÄN</t>
        </is>
      </c>
      <c r="E1735" t="inlineStr">
        <is>
          <t>SORSELE</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44722-2022</t>
        </is>
      </c>
      <c r="B1736" s="1" t="n">
        <v>44840.90104166666</v>
      </c>
      <c r="C1736" s="1" t="n">
        <v>46075</v>
      </c>
      <c r="D1736" t="inlineStr">
        <is>
          <t>VÄSTERBOTTENS LÄN</t>
        </is>
      </c>
      <c r="E1736" t="inlineStr">
        <is>
          <t>SKELLEFTEÅ</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45191-2022</t>
        </is>
      </c>
      <c r="B1737" s="1" t="n">
        <v>44844</v>
      </c>
      <c r="C1737" s="1" t="n">
        <v>46075</v>
      </c>
      <c r="D1737" t="inlineStr">
        <is>
          <t>VÄSTERBOTTENS LÄN</t>
        </is>
      </c>
      <c r="E1737" t="inlineStr">
        <is>
          <t>ROBERTSFORS</t>
        </is>
      </c>
      <c r="F1737" t="inlineStr">
        <is>
          <t>Holmen skog AB</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51616-2022</t>
        </is>
      </c>
      <c r="B1738" s="1" t="n">
        <v>44871</v>
      </c>
      <c r="C1738" s="1" t="n">
        <v>46075</v>
      </c>
      <c r="D1738" t="inlineStr">
        <is>
          <t>VÄSTERBOTTENS LÄN</t>
        </is>
      </c>
      <c r="E1738" t="inlineStr">
        <is>
          <t>VINDELN</t>
        </is>
      </c>
      <c r="F1738" t="inlineStr">
        <is>
          <t>SCA</t>
        </is>
      </c>
      <c r="G1738" t="n">
        <v>4.4</v>
      </c>
      <c r="H1738" t="n">
        <v>0</v>
      </c>
      <c r="I1738" t="n">
        <v>0</v>
      </c>
      <c r="J1738" t="n">
        <v>0</v>
      </c>
      <c r="K1738" t="n">
        <v>0</v>
      </c>
      <c r="L1738" t="n">
        <v>0</v>
      </c>
      <c r="M1738" t="n">
        <v>0</v>
      </c>
      <c r="N1738" t="n">
        <v>0</v>
      </c>
      <c r="O1738" t="n">
        <v>0</v>
      </c>
      <c r="P1738" t="n">
        <v>0</v>
      </c>
      <c r="Q1738" t="n">
        <v>0</v>
      </c>
      <c r="R1738" s="2" t="inlineStr"/>
    </row>
    <row r="1739" ht="15" customHeight="1">
      <c r="A1739" t="inlineStr">
        <is>
          <t>A 51632-2022</t>
        </is>
      </c>
      <c r="B1739" s="1" t="n">
        <v>44872.36848379629</v>
      </c>
      <c r="C1739" s="1" t="n">
        <v>46075</v>
      </c>
      <c r="D1739" t="inlineStr">
        <is>
          <t>VÄSTERBOTTENS LÄN</t>
        </is>
      </c>
      <c r="E1739" t="inlineStr">
        <is>
          <t>VINDELN</t>
        </is>
      </c>
      <c r="F1739" t="inlineStr">
        <is>
          <t>Sveaskog</t>
        </is>
      </c>
      <c r="G1739" t="n">
        <v>6.5</v>
      </c>
      <c r="H1739" t="n">
        <v>0</v>
      </c>
      <c r="I1739" t="n">
        <v>0</v>
      </c>
      <c r="J1739" t="n">
        <v>0</v>
      </c>
      <c r="K1739" t="n">
        <v>0</v>
      </c>
      <c r="L1739" t="n">
        <v>0</v>
      </c>
      <c r="M1739" t="n">
        <v>0</v>
      </c>
      <c r="N1739" t="n">
        <v>0</v>
      </c>
      <c r="O1739" t="n">
        <v>0</v>
      </c>
      <c r="P1739" t="n">
        <v>0</v>
      </c>
      <c r="Q1739" t="n">
        <v>0</v>
      </c>
      <c r="R1739" s="2" t="inlineStr"/>
    </row>
    <row r="1740" ht="15" customHeight="1">
      <c r="A1740" t="inlineStr">
        <is>
          <t>A 57189-2021</t>
        </is>
      </c>
      <c r="B1740" s="1" t="n">
        <v>44482.92244212963</v>
      </c>
      <c r="C1740" s="1" t="n">
        <v>46075</v>
      </c>
      <c r="D1740" t="inlineStr">
        <is>
          <t>VÄSTERBOTTENS LÄN</t>
        </is>
      </c>
      <c r="E1740" t="inlineStr">
        <is>
          <t>ROBERTSFORS</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52911-2021</t>
        </is>
      </c>
      <c r="B1741" s="1" t="n">
        <v>44466</v>
      </c>
      <c r="C1741" s="1" t="n">
        <v>46075</v>
      </c>
      <c r="D1741" t="inlineStr">
        <is>
          <t>VÄSTERBOTTENS LÄN</t>
        </is>
      </c>
      <c r="E1741" t="inlineStr">
        <is>
          <t>STORUMAN</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50779-2022</t>
        </is>
      </c>
      <c r="B1742" s="1" t="n">
        <v>44867.43387731481</v>
      </c>
      <c r="C1742" s="1" t="n">
        <v>46075</v>
      </c>
      <c r="D1742" t="inlineStr">
        <is>
          <t>VÄSTERBOTTENS LÄN</t>
        </is>
      </c>
      <c r="E1742" t="inlineStr">
        <is>
          <t>LYCKSELE</t>
        </is>
      </c>
      <c r="F1742" t="inlineStr">
        <is>
          <t>Sveaskog</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50895-2022</t>
        </is>
      </c>
      <c r="B1743" s="1" t="n">
        <v>44867</v>
      </c>
      <c r="C1743" s="1" t="n">
        <v>46075</v>
      </c>
      <c r="D1743" t="inlineStr">
        <is>
          <t>VÄSTERBOTTENS LÄN</t>
        </is>
      </c>
      <c r="E1743" t="inlineStr">
        <is>
          <t>SORSELE</t>
        </is>
      </c>
      <c r="F1743" t="inlineStr">
        <is>
          <t>Sveaskog</t>
        </is>
      </c>
      <c r="G1743" t="n">
        <v>3.9</v>
      </c>
      <c r="H1743" t="n">
        <v>0</v>
      </c>
      <c r="I1743" t="n">
        <v>0</v>
      </c>
      <c r="J1743" t="n">
        <v>0</v>
      </c>
      <c r="K1743" t="n">
        <v>0</v>
      </c>
      <c r="L1743" t="n">
        <v>0</v>
      </c>
      <c r="M1743" t="n">
        <v>0</v>
      </c>
      <c r="N1743" t="n">
        <v>0</v>
      </c>
      <c r="O1743" t="n">
        <v>0</v>
      </c>
      <c r="P1743" t="n">
        <v>0</v>
      </c>
      <c r="Q1743" t="n">
        <v>0</v>
      </c>
      <c r="R1743" s="2" t="inlineStr"/>
    </row>
    <row r="1744" ht="15" customHeight="1">
      <c r="A1744" t="inlineStr">
        <is>
          <t>A 50901-2022</t>
        </is>
      </c>
      <c r="B1744" s="1" t="n">
        <v>44867</v>
      </c>
      <c r="C1744" s="1" t="n">
        <v>46075</v>
      </c>
      <c r="D1744" t="inlineStr">
        <is>
          <t>VÄSTERBOTTENS LÄN</t>
        </is>
      </c>
      <c r="E1744" t="inlineStr">
        <is>
          <t>SORSELE</t>
        </is>
      </c>
      <c r="F1744" t="inlineStr">
        <is>
          <t>Sveaskog</t>
        </is>
      </c>
      <c r="G1744" t="n">
        <v>8.800000000000001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18073-2021</t>
        </is>
      </c>
      <c r="B1745" s="1" t="n">
        <v>44302.44858796296</v>
      </c>
      <c r="C1745" s="1" t="n">
        <v>46075</v>
      </c>
      <c r="D1745" t="inlineStr">
        <is>
          <t>VÄSTERBOTTENS LÄN</t>
        </is>
      </c>
      <c r="E1745" t="inlineStr">
        <is>
          <t>SKELLEFTEÅ</t>
        </is>
      </c>
      <c r="G1745" t="n">
        <v>9.199999999999999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18094-2021</t>
        </is>
      </c>
      <c r="B1746" s="1" t="n">
        <v>44302</v>
      </c>
      <c r="C1746" s="1" t="n">
        <v>46075</v>
      </c>
      <c r="D1746" t="inlineStr">
        <is>
          <t>VÄSTERBOTTENS LÄN</t>
        </is>
      </c>
      <c r="E1746" t="inlineStr">
        <is>
          <t>VINDELN</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18182-2021</t>
        </is>
      </c>
      <c r="B1747" s="1" t="n">
        <v>44302</v>
      </c>
      <c r="C1747" s="1" t="n">
        <v>46075</v>
      </c>
      <c r="D1747" t="inlineStr">
        <is>
          <t>VÄSTERBOTTENS LÄN</t>
        </is>
      </c>
      <c r="E1747" t="inlineStr">
        <is>
          <t>SKELLEFTEÅ</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54507-2021</t>
        </is>
      </c>
      <c r="B1748" s="1" t="n">
        <v>44473.51453703704</v>
      </c>
      <c r="C1748" s="1" t="n">
        <v>46075</v>
      </c>
      <c r="D1748" t="inlineStr">
        <is>
          <t>VÄSTERBOTTENS LÄN</t>
        </is>
      </c>
      <c r="E1748" t="inlineStr">
        <is>
          <t>VINDELN</t>
        </is>
      </c>
      <c r="F1748" t="inlineStr">
        <is>
          <t>Holmen skog AB</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8458-2022</t>
        </is>
      </c>
      <c r="B1749" s="1" t="n">
        <v>44612.92157407408</v>
      </c>
      <c r="C1749" s="1" t="n">
        <v>46075</v>
      </c>
      <c r="D1749" t="inlineStr">
        <is>
          <t>VÄSTERBOTTENS LÄN</t>
        </is>
      </c>
      <c r="E1749" t="inlineStr">
        <is>
          <t>ROBERTSFORS</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8460-2022</t>
        </is>
      </c>
      <c r="B1750" s="1" t="n">
        <v>44612</v>
      </c>
      <c r="C1750" s="1" t="n">
        <v>46075</v>
      </c>
      <c r="D1750" t="inlineStr">
        <is>
          <t>VÄSTERBOTTENS LÄN</t>
        </is>
      </c>
      <c r="E1750" t="inlineStr">
        <is>
          <t>ROBERTSFORS</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28097-2021</t>
        </is>
      </c>
      <c r="B1751" s="1" t="n">
        <v>44355</v>
      </c>
      <c r="C1751" s="1" t="n">
        <v>46075</v>
      </c>
      <c r="D1751" t="inlineStr">
        <is>
          <t>VÄSTERBOTTENS LÄN</t>
        </is>
      </c>
      <c r="E1751" t="inlineStr">
        <is>
          <t>SORSELE</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51491-2022</t>
        </is>
      </c>
      <c r="B1752" s="1" t="n">
        <v>44869</v>
      </c>
      <c r="C1752" s="1" t="n">
        <v>46075</v>
      </c>
      <c r="D1752" t="inlineStr">
        <is>
          <t>VÄSTERBOTTENS LÄN</t>
        </is>
      </c>
      <c r="E1752" t="inlineStr">
        <is>
          <t>NORSJÖ</t>
        </is>
      </c>
      <c r="F1752" t="inlineStr">
        <is>
          <t>Sveaskog</t>
        </is>
      </c>
      <c r="G1752" t="n">
        <v>9.5</v>
      </c>
      <c r="H1752" t="n">
        <v>0</v>
      </c>
      <c r="I1752" t="n">
        <v>0</v>
      </c>
      <c r="J1752" t="n">
        <v>0</v>
      </c>
      <c r="K1752" t="n">
        <v>0</v>
      </c>
      <c r="L1752" t="n">
        <v>0</v>
      </c>
      <c r="M1752" t="n">
        <v>0</v>
      </c>
      <c r="N1752" t="n">
        <v>0</v>
      </c>
      <c r="O1752" t="n">
        <v>0</v>
      </c>
      <c r="P1752" t="n">
        <v>0</v>
      </c>
      <c r="Q1752" t="n">
        <v>0</v>
      </c>
      <c r="R1752" s="2" t="inlineStr"/>
    </row>
    <row r="1753" ht="15" customHeight="1">
      <c r="A1753" t="inlineStr">
        <is>
          <t>A 24572-2021</t>
        </is>
      </c>
      <c r="B1753" s="1" t="n">
        <v>44339</v>
      </c>
      <c r="C1753" s="1" t="n">
        <v>46075</v>
      </c>
      <c r="D1753" t="inlineStr">
        <is>
          <t>VÄSTERBOTTENS LÄN</t>
        </is>
      </c>
      <c r="E1753" t="inlineStr">
        <is>
          <t>ROBERTSFORS</t>
        </is>
      </c>
      <c r="G1753" t="n">
        <v>4.4</v>
      </c>
      <c r="H1753" t="n">
        <v>0</v>
      </c>
      <c r="I1753" t="n">
        <v>0</v>
      </c>
      <c r="J1753" t="n">
        <v>0</v>
      </c>
      <c r="K1753" t="n">
        <v>0</v>
      </c>
      <c r="L1753" t="n">
        <v>0</v>
      </c>
      <c r="M1753" t="n">
        <v>0</v>
      </c>
      <c r="N1753" t="n">
        <v>0</v>
      </c>
      <c r="O1753" t="n">
        <v>0</v>
      </c>
      <c r="P1753" t="n">
        <v>0</v>
      </c>
      <c r="Q1753" t="n">
        <v>0</v>
      </c>
      <c r="R1753" s="2" t="inlineStr"/>
    </row>
    <row r="1754" ht="15" customHeight="1">
      <c r="A1754" t="inlineStr">
        <is>
          <t>A 58808-2021</t>
        </is>
      </c>
      <c r="B1754" s="1" t="n">
        <v>44489</v>
      </c>
      <c r="C1754" s="1" t="n">
        <v>46075</v>
      </c>
      <c r="D1754" t="inlineStr">
        <is>
          <t>VÄSTERBOTTENS LÄN</t>
        </is>
      </c>
      <c r="E1754" t="inlineStr">
        <is>
          <t>SKELLEFTEÅ</t>
        </is>
      </c>
      <c r="F1754" t="inlineStr">
        <is>
          <t>Sveaskog</t>
        </is>
      </c>
      <c r="G1754" t="n">
        <v>15.5</v>
      </c>
      <c r="H1754" t="n">
        <v>0</v>
      </c>
      <c r="I1754" t="n">
        <v>0</v>
      </c>
      <c r="J1754" t="n">
        <v>0</v>
      </c>
      <c r="K1754" t="n">
        <v>0</v>
      </c>
      <c r="L1754" t="n">
        <v>0</v>
      </c>
      <c r="M1754" t="n">
        <v>0</v>
      </c>
      <c r="N1754" t="n">
        <v>0</v>
      </c>
      <c r="O1754" t="n">
        <v>0</v>
      </c>
      <c r="P1754" t="n">
        <v>0</v>
      </c>
      <c r="Q1754" t="n">
        <v>0</v>
      </c>
      <c r="R1754" s="2" t="inlineStr"/>
    </row>
    <row r="1755" ht="15" customHeight="1">
      <c r="A1755" t="inlineStr">
        <is>
          <t>A 34386-2021</t>
        </is>
      </c>
      <c r="B1755" s="1" t="n">
        <v>44379</v>
      </c>
      <c r="C1755" s="1" t="n">
        <v>46075</v>
      </c>
      <c r="D1755" t="inlineStr">
        <is>
          <t>VÄSTERBOTTENS LÄN</t>
        </is>
      </c>
      <c r="E1755" t="inlineStr">
        <is>
          <t>VINDELN</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16946-2021</t>
        </is>
      </c>
      <c r="B1756" s="1" t="n">
        <v>44295</v>
      </c>
      <c r="C1756" s="1" t="n">
        <v>46075</v>
      </c>
      <c r="D1756" t="inlineStr">
        <is>
          <t>VÄSTERBOTTENS LÄN</t>
        </is>
      </c>
      <c r="E1756" t="inlineStr">
        <is>
          <t>SORSELE</t>
        </is>
      </c>
      <c r="F1756" t="inlineStr">
        <is>
          <t>Övriga statliga verk och myndigheter</t>
        </is>
      </c>
      <c r="G1756" t="n">
        <v>20.4</v>
      </c>
      <c r="H1756" t="n">
        <v>0</v>
      </c>
      <c r="I1756" t="n">
        <v>0</v>
      </c>
      <c r="J1756" t="n">
        <v>0</v>
      </c>
      <c r="K1756" t="n">
        <v>0</v>
      </c>
      <c r="L1756" t="n">
        <v>0</v>
      </c>
      <c r="M1756" t="n">
        <v>0</v>
      </c>
      <c r="N1756" t="n">
        <v>0</v>
      </c>
      <c r="O1756" t="n">
        <v>0</v>
      </c>
      <c r="P1756" t="n">
        <v>0</v>
      </c>
      <c r="Q1756" t="n">
        <v>0</v>
      </c>
      <c r="R1756" s="2" t="inlineStr"/>
    </row>
    <row r="1757" ht="15" customHeight="1">
      <c r="A1757" t="inlineStr">
        <is>
          <t>A 36194-2022</t>
        </is>
      </c>
      <c r="B1757" s="1" t="n">
        <v>44803</v>
      </c>
      <c r="C1757" s="1" t="n">
        <v>46075</v>
      </c>
      <c r="D1757" t="inlineStr">
        <is>
          <t>VÄSTERBOTTENS LÄN</t>
        </is>
      </c>
      <c r="E1757" t="inlineStr">
        <is>
          <t>ÅSELE</t>
        </is>
      </c>
      <c r="F1757" t="inlineStr">
        <is>
          <t>Sveaskog</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58811-2021</t>
        </is>
      </c>
      <c r="B1758" s="1" t="n">
        <v>44489</v>
      </c>
      <c r="C1758" s="1" t="n">
        <v>46075</v>
      </c>
      <c r="D1758" t="inlineStr">
        <is>
          <t>VÄSTERBOTTENS LÄN</t>
        </is>
      </c>
      <c r="E1758" t="inlineStr">
        <is>
          <t>SKELLEFTEÅ</t>
        </is>
      </c>
      <c r="F1758" t="inlineStr">
        <is>
          <t>Holmen skog AB</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22828-2022</t>
        </is>
      </c>
      <c r="B1759" s="1" t="n">
        <v>44714</v>
      </c>
      <c r="C1759" s="1" t="n">
        <v>46075</v>
      </c>
      <c r="D1759" t="inlineStr">
        <is>
          <t>VÄSTERBOTTENS LÄN</t>
        </is>
      </c>
      <c r="E1759" t="inlineStr">
        <is>
          <t>SKELLEFTEÅ</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23513-2022</t>
        </is>
      </c>
      <c r="B1760" s="1" t="n">
        <v>44721.39010416667</v>
      </c>
      <c r="C1760" s="1" t="n">
        <v>46075</v>
      </c>
      <c r="D1760" t="inlineStr">
        <is>
          <t>VÄSTERBOTTENS LÄN</t>
        </is>
      </c>
      <c r="E1760" t="inlineStr">
        <is>
          <t>SKELLEFTEÅ</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12674-2022</t>
        </is>
      </c>
      <c r="B1761" s="1" t="n">
        <v>44641</v>
      </c>
      <c r="C1761" s="1" t="n">
        <v>46075</v>
      </c>
      <c r="D1761" t="inlineStr">
        <is>
          <t>VÄSTERBOTTENS LÄN</t>
        </is>
      </c>
      <c r="E1761" t="inlineStr">
        <is>
          <t>MALÅ</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45554-2022</t>
        </is>
      </c>
      <c r="B1762" s="1" t="n">
        <v>44845</v>
      </c>
      <c r="C1762" s="1" t="n">
        <v>46075</v>
      </c>
      <c r="D1762" t="inlineStr">
        <is>
          <t>VÄSTERBOTTENS LÄN</t>
        </is>
      </c>
      <c r="E1762" t="inlineStr">
        <is>
          <t>SKELLEFTEÅ</t>
        </is>
      </c>
      <c r="F1762" t="inlineStr">
        <is>
          <t>Holmen skog AB</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34883-2021</t>
        </is>
      </c>
      <c r="B1763" s="1" t="n">
        <v>44382</v>
      </c>
      <c r="C1763" s="1" t="n">
        <v>46075</v>
      </c>
      <c r="D1763" t="inlineStr">
        <is>
          <t>VÄSTERBOTTENS LÄN</t>
        </is>
      </c>
      <c r="E1763" t="inlineStr">
        <is>
          <t>NORSJÖ</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16777-2021</t>
        </is>
      </c>
      <c r="B1764" s="1" t="n">
        <v>44294</v>
      </c>
      <c r="C1764" s="1" t="n">
        <v>46075</v>
      </c>
      <c r="D1764" t="inlineStr">
        <is>
          <t>VÄSTERBOTTENS LÄN</t>
        </is>
      </c>
      <c r="E1764" t="inlineStr">
        <is>
          <t>DOROTEA</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9508-2021</t>
        </is>
      </c>
      <c r="B1765" s="1" t="n">
        <v>44251</v>
      </c>
      <c r="C1765" s="1" t="n">
        <v>46075</v>
      </c>
      <c r="D1765" t="inlineStr">
        <is>
          <t>VÄSTERBOTTENS LÄN</t>
        </is>
      </c>
      <c r="E1765" t="inlineStr">
        <is>
          <t>SORSELE</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30298-2022</t>
        </is>
      </c>
      <c r="B1766" s="1" t="n">
        <v>44760</v>
      </c>
      <c r="C1766" s="1" t="n">
        <v>46075</v>
      </c>
      <c r="D1766" t="inlineStr">
        <is>
          <t>VÄSTERBOTTENS LÄN</t>
        </is>
      </c>
      <c r="E1766" t="inlineStr">
        <is>
          <t>LYCKSELE</t>
        </is>
      </c>
      <c r="F1766" t="inlineStr">
        <is>
          <t>Sveaskog</t>
        </is>
      </c>
      <c r="G1766" t="n">
        <v>5.6</v>
      </c>
      <c r="H1766" t="n">
        <v>0</v>
      </c>
      <c r="I1766" t="n">
        <v>0</v>
      </c>
      <c r="J1766" t="n">
        <v>0</v>
      </c>
      <c r="K1766" t="n">
        <v>0</v>
      </c>
      <c r="L1766" t="n">
        <v>0</v>
      </c>
      <c r="M1766" t="n">
        <v>0</v>
      </c>
      <c r="N1766" t="n">
        <v>0</v>
      </c>
      <c r="O1766" t="n">
        <v>0</v>
      </c>
      <c r="P1766" t="n">
        <v>0</v>
      </c>
      <c r="Q1766" t="n">
        <v>0</v>
      </c>
      <c r="R1766" s="2" t="inlineStr"/>
    </row>
    <row r="1767" ht="15" customHeight="1">
      <c r="A1767" t="inlineStr">
        <is>
          <t>A 39932-2022</t>
        </is>
      </c>
      <c r="B1767" s="1" t="n">
        <v>44819</v>
      </c>
      <c r="C1767" s="1" t="n">
        <v>46075</v>
      </c>
      <c r="D1767" t="inlineStr">
        <is>
          <t>VÄSTERBOTTENS LÄN</t>
        </is>
      </c>
      <c r="E1767" t="inlineStr">
        <is>
          <t>NORDMALING</t>
        </is>
      </c>
      <c r="F1767" t="inlineStr">
        <is>
          <t>SCA</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40471-2021</t>
        </is>
      </c>
      <c r="B1768" s="1" t="n">
        <v>44419.94237268518</v>
      </c>
      <c r="C1768" s="1" t="n">
        <v>46075</v>
      </c>
      <c r="D1768" t="inlineStr">
        <is>
          <t>VÄSTERBOTTENS LÄN</t>
        </is>
      </c>
      <c r="E1768" t="inlineStr">
        <is>
          <t>VILHELMINA</t>
        </is>
      </c>
      <c r="F1768" t="inlineStr">
        <is>
          <t>SCA</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40476-2021</t>
        </is>
      </c>
      <c r="B1769" s="1" t="n">
        <v>44419.94289351852</v>
      </c>
      <c r="C1769" s="1" t="n">
        <v>46075</v>
      </c>
      <c r="D1769" t="inlineStr">
        <is>
          <t>VÄSTERBOTTENS LÄN</t>
        </is>
      </c>
      <c r="E1769" t="inlineStr">
        <is>
          <t>VILHELMINA</t>
        </is>
      </c>
      <c r="F1769" t="inlineStr">
        <is>
          <t>SCA</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40477-2021</t>
        </is>
      </c>
      <c r="B1770" s="1" t="n">
        <v>44419.94302083334</v>
      </c>
      <c r="C1770" s="1" t="n">
        <v>46075</v>
      </c>
      <c r="D1770" t="inlineStr">
        <is>
          <t>VÄSTERBOTTENS LÄN</t>
        </is>
      </c>
      <c r="E1770" t="inlineStr">
        <is>
          <t>VILHELMINA</t>
        </is>
      </c>
      <c r="F1770" t="inlineStr">
        <is>
          <t>SCA</t>
        </is>
      </c>
      <c r="G1770" t="n">
        <v>5.7</v>
      </c>
      <c r="H1770" t="n">
        <v>0</v>
      </c>
      <c r="I1770" t="n">
        <v>0</v>
      </c>
      <c r="J1770" t="n">
        <v>0</v>
      </c>
      <c r="K1770" t="n">
        <v>0</v>
      </c>
      <c r="L1770" t="n">
        <v>0</v>
      </c>
      <c r="M1770" t="n">
        <v>0</v>
      </c>
      <c r="N1770" t="n">
        <v>0</v>
      </c>
      <c r="O1770" t="n">
        <v>0</v>
      </c>
      <c r="P1770" t="n">
        <v>0</v>
      </c>
      <c r="Q1770" t="n">
        <v>0</v>
      </c>
      <c r="R1770" s="2" t="inlineStr"/>
    </row>
    <row r="1771" ht="15" customHeight="1">
      <c r="A1771" t="inlineStr">
        <is>
          <t>A 48948-2022</t>
        </is>
      </c>
      <c r="B1771" s="1" t="n">
        <v>44859.95777777778</v>
      </c>
      <c r="C1771" s="1" t="n">
        <v>46075</v>
      </c>
      <c r="D1771" t="inlineStr">
        <is>
          <t>VÄSTERBOTTENS LÄN</t>
        </is>
      </c>
      <c r="E1771" t="inlineStr">
        <is>
          <t>NORDMALING</t>
        </is>
      </c>
      <c r="F1771" t="inlineStr">
        <is>
          <t>SCA</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30018-2022</t>
        </is>
      </c>
      <c r="B1772" s="1" t="n">
        <v>44756</v>
      </c>
      <c r="C1772" s="1" t="n">
        <v>46075</v>
      </c>
      <c r="D1772" t="inlineStr">
        <is>
          <t>VÄSTERBOTTENS LÄN</t>
        </is>
      </c>
      <c r="E1772" t="inlineStr">
        <is>
          <t>VILHELMINA</t>
        </is>
      </c>
      <c r="F1772" t="inlineStr">
        <is>
          <t>SCA</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25308-2022</t>
        </is>
      </c>
      <c r="B1773" s="1" t="n">
        <v>44731.46202546296</v>
      </c>
      <c r="C1773" s="1" t="n">
        <v>46075</v>
      </c>
      <c r="D1773" t="inlineStr">
        <is>
          <t>VÄSTERBOTTENS LÄN</t>
        </is>
      </c>
      <c r="E1773" t="inlineStr">
        <is>
          <t>LYCKSELE</t>
        </is>
      </c>
      <c r="F1773" t="inlineStr">
        <is>
          <t>Holmen skog AB</t>
        </is>
      </c>
      <c r="G1773" t="n">
        <v>4.7</v>
      </c>
      <c r="H1773" t="n">
        <v>0</v>
      </c>
      <c r="I1773" t="n">
        <v>0</v>
      </c>
      <c r="J1773" t="n">
        <v>0</v>
      </c>
      <c r="K1773" t="n">
        <v>0</v>
      </c>
      <c r="L1773" t="n">
        <v>0</v>
      </c>
      <c r="M1773" t="n">
        <v>0</v>
      </c>
      <c r="N1773" t="n">
        <v>0</v>
      </c>
      <c r="O1773" t="n">
        <v>0</v>
      </c>
      <c r="P1773" t="n">
        <v>0</v>
      </c>
      <c r="Q1773" t="n">
        <v>0</v>
      </c>
      <c r="R1773" s="2" t="inlineStr"/>
    </row>
    <row r="1774" ht="15" customHeight="1">
      <c r="A1774" t="inlineStr">
        <is>
          <t>A 39985-2022</t>
        </is>
      </c>
      <c r="B1774" s="1" t="n">
        <v>44820.34109953704</v>
      </c>
      <c r="C1774" s="1" t="n">
        <v>46075</v>
      </c>
      <c r="D1774" t="inlineStr">
        <is>
          <t>VÄSTERBOTTENS LÄN</t>
        </is>
      </c>
      <c r="E1774" t="inlineStr">
        <is>
          <t>SKELLEFTEÅ</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44030-2022</t>
        </is>
      </c>
      <c r="B1775" s="1" t="n">
        <v>44838.92716435185</v>
      </c>
      <c r="C1775" s="1" t="n">
        <v>46075</v>
      </c>
      <c r="D1775" t="inlineStr">
        <is>
          <t>VÄSTERBOTTENS LÄN</t>
        </is>
      </c>
      <c r="E1775" t="inlineStr">
        <is>
          <t>NORSJÖ</t>
        </is>
      </c>
      <c r="G1775" t="n">
        <v>0.3</v>
      </c>
      <c r="H1775" t="n">
        <v>0</v>
      </c>
      <c r="I1775" t="n">
        <v>0</v>
      </c>
      <c r="J1775" t="n">
        <v>0</v>
      </c>
      <c r="K1775" t="n">
        <v>0</v>
      </c>
      <c r="L1775" t="n">
        <v>0</v>
      </c>
      <c r="M1775" t="n">
        <v>0</v>
      </c>
      <c r="N1775" t="n">
        <v>0</v>
      </c>
      <c r="O1775" t="n">
        <v>0</v>
      </c>
      <c r="P1775" t="n">
        <v>0</v>
      </c>
      <c r="Q1775" t="n">
        <v>0</v>
      </c>
      <c r="R1775" s="2" t="inlineStr"/>
    </row>
    <row r="1776" ht="15" customHeight="1">
      <c r="A1776" t="inlineStr">
        <is>
          <t>A 63670-2021</t>
        </is>
      </c>
      <c r="B1776" s="1" t="n">
        <v>44509.3734375</v>
      </c>
      <c r="C1776" s="1" t="n">
        <v>46075</v>
      </c>
      <c r="D1776" t="inlineStr">
        <is>
          <t>VÄSTERBOTTENS LÄN</t>
        </is>
      </c>
      <c r="E1776" t="inlineStr">
        <is>
          <t>VINDELN</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38892-2021</t>
        </is>
      </c>
      <c r="B1777" s="1" t="n">
        <v>44410</v>
      </c>
      <c r="C1777" s="1" t="n">
        <v>46075</v>
      </c>
      <c r="D1777" t="inlineStr">
        <is>
          <t>VÄSTERBOTTENS LÄN</t>
        </is>
      </c>
      <c r="E1777" t="inlineStr">
        <is>
          <t>UMEÅ</t>
        </is>
      </c>
      <c r="F1777" t="inlineStr">
        <is>
          <t>Övriga statliga verk och myndigheter</t>
        </is>
      </c>
      <c r="G1777" t="n">
        <v>0.2</v>
      </c>
      <c r="H1777" t="n">
        <v>0</v>
      </c>
      <c r="I1777" t="n">
        <v>0</v>
      </c>
      <c r="J1777" t="n">
        <v>0</v>
      </c>
      <c r="K1777" t="n">
        <v>0</v>
      </c>
      <c r="L1777" t="n">
        <v>0</v>
      </c>
      <c r="M1777" t="n">
        <v>0</v>
      </c>
      <c r="N1777" t="n">
        <v>0</v>
      </c>
      <c r="O1777" t="n">
        <v>0</v>
      </c>
      <c r="P1777" t="n">
        <v>0</v>
      </c>
      <c r="Q1777" t="n">
        <v>0</v>
      </c>
      <c r="R1777" s="2" t="inlineStr"/>
    </row>
    <row r="1778" ht="15" customHeight="1">
      <c r="A1778" t="inlineStr">
        <is>
          <t>A 9061-2022</t>
        </is>
      </c>
      <c r="B1778" s="1" t="n">
        <v>44615</v>
      </c>
      <c r="C1778" s="1" t="n">
        <v>46075</v>
      </c>
      <c r="D1778" t="inlineStr">
        <is>
          <t>VÄSTERBOTTENS LÄN</t>
        </is>
      </c>
      <c r="E1778" t="inlineStr">
        <is>
          <t>NORSJÖ</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37498-2021</t>
        </is>
      </c>
      <c r="B1779" s="1" t="n">
        <v>44399</v>
      </c>
      <c r="C1779" s="1" t="n">
        <v>46075</v>
      </c>
      <c r="D1779" t="inlineStr">
        <is>
          <t>VÄSTERBOTTENS LÄN</t>
        </is>
      </c>
      <c r="E1779" t="inlineStr">
        <is>
          <t>SKELLEFTEÅ</t>
        </is>
      </c>
      <c r="G1779" t="n">
        <v>12.8</v>
      </c>
      <c r="H1779" t="n">
        <v>0</v>
      </c>
      <c r="I1779" t="n">
        <v>0</v>
      </c>
      <c r="J1779" t="n">
        <v>0</v>
      </c>
      <c r="K1779" t="n">
        <v>0</v>
      </c>
      <c r="L1779" t="n">
        <v>0</v>
      </c>
      <c r="M1779" t="n">
        <v>0</v>
      </c>
      <c r="N1779" t="n">
        <v>0</v>
      </c>
      <c r="O1779" t="n">
        <v>0</v>
      </c>
      <c r="P1779" t="n">
        <v>0</v>
      </c>
      <c r="Q1779" t="n">
        <v>0</v>
      </c>
      <c r="R1779" s="2" t="inlineStr"/>
    </row>
    <row r="1780" ht="15" customHeight="1">
      <c r="A1780" t="inlineStr">
        <is>
          <t>A 10471-2021</t>
        </is>
      </c>
      <c r="B1780" s="1" t="n">
        <v>44257</v>
      </c>
      <c r="C1780" s="1" t="n">
        <v>46075</v>
      </c>
      <c r="D1780" t="inlineStr">
        <is>
          <t>VÄSTERBOTTENS LÄN</t>
        </is>
      </c>
      <c r="E1780" t="inlineStr">
        <is>
          <t>SKELLEFTEÅ</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4218-2022</t>
        </is>
      </c>
      <c r="B1781" s="1" t="n">
        <v>44588</v>
      </c>
      <c r="C1781" s="1" t="n">
        <v>46075</v>
      </c>
      <c r="D1781" t="inlineStr">
        <is>
          <t>VÄSTERBOTTENS LÄN</t>
        </is>
      </c>
      <c r="E1781" t="inlineStr">
        <is>
          <t>STORUMAN</t>
        </is>
      </c>
      <c r="G1781" t="n">
        <v>18.6</v>
      </c>
      <c r="H1781" t="n">
        <v>0</v>
      </c>
      <c r="I1781" t="n">
        <v>0</v>
      </c>
      <c r="J1781" t="n">
        <v>0</v>
      </c>
      <c r="K1781" t="n">
        <v>0</v>
      </c>
      <c r="L1781" t="n">
        <v>0</v>
      </c>
      <c r="M1781" t="n">
        <v>0</v>
      </c>
      <c r="N1781" t="n">
        <v>0</v>
      </c>
      <c r="O1781" t="n">
        <v>0</v>
      </c>
      <c r="P1781" t="n">
        <v>0</v>
      </c>
      <c r="Q1781" t="n">
        <v>0</v>
      </c>
      <c r="R1781" s="2" t="inlineStr"/>
    </row>
    <row r="1782" ht="15" customHeight="1">
      <c r="A1782" t="inlineStr">
        <is>
          <t>A 25674-2022</t>
        </is>
      </c>
      <c r="B1782" s="1" t="n">
        <v>44732</v>
      </c>
      <c r="C1782" s="1" t="n">
        <v>46075</v>
      </c>
      <c r="D1782" t="inlineStr">
        <is>
          <t>VÄSTERBOTTENS LÄN</t>
        </is>
      </c>
      <c r="E1782" t="inlineStr">
        <is>
          <t>SKELLEFTEÅ</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43755-2021</t>
        </is>
      </c>
      <c r="B1783" s="1" t="n">
        <v>44433</v>
      </c>
      <c r="C1783" s="1" t="n">
        <v>46075</v>
      </c>
      <c r="D1783" t="inlineStr">
        <is>
          <t>VÄSTERBOTTENS LÄN</t>
        </is>
      </c>
      <c r="E1783" t="inlineStr">
        <is>
          <t>VILHELMINA</t>
        </is>
      </c>
      <c r="F1783" t="inlineStr">
        <is>
          <t>Sveaskog</t>
        </is>
      </c>
      <c r="G1783" t="n">
        <v>10.4</v>
      </c>
      <c r="H1783" t="n">
        <v>0</v>
      </c>
      <c r="I1783" t="n">
        <v>0</v>
      </c>
      <c r="J1783" t="n">
        <v>0</v>
      </c>
      <c r="K1783" t="n">
        <v>0</v>
      </c>
      <c r="L1783" t="n">
        <v>0</v>
      </c>
      <c r="M1783" t="n">
        <v>0</v>
      </c>
      <c r="N1783" t="n">
        <v>0</v>
      </c>
      <c r="O1783" t="n">
        <v>0</v>
      </c>
      <c r="P1783" t="n">
        <v>0</v>
      </c>
      <c r="Q1783" t="n">
        <v>0</v>
      </c>
      <c r="R1783" s="2" t="inlineStr"/>
    </row>
    <row r="1784" ht="15" customHeight="1">
      <c r="A1784" t="inlineStr">
        <is>
          <t>A 47124-2022</t>
        </is>
      </c>
      <c r="B1784" s="1" t="n">
        <v>44851</v>
      </c>
      <c r="C1784" s="1" t="n">
        <v>46075</v>
      </c>
      <c r="D1784" t="inlineStr">
        <is>
          <t>VÄSTERBOTTENS LÄN</t>
        </is>
      </c>
      <c r="E1784" t="inlineStr">
        <is>
          <t>UMEÅ</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3469-2022</t>
        </is>
      </c>
      <c r="B1785" s="1" t="n">
        <v>44585</v>
      </c>
      <c r="C1785" s="1" t="n">
        <v>46075</v>
      </c>
      <c r="D1785" t="inlineStr">
        <is>
          <t>VÄSTERBOTTENS LÄN</t>
        </is>
      </c>
      <c r="E1785" t="inlineStr">
        <is>
          <t>ÅSELE</t>
        </is>
      </c>
      <c r="F1785" t="inlineStr">
        <is>
          <t>Holmen skog AB</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11515-2022</t>
        </is>
      </c>
      <c r="B1786" s="1" t="n">
        <v>44631</v>
      </c>
      <c r="C1786" s="1" t="n">
        <v>46075</v>
      </c>
      <c r="D1786" t="inlineStr">
        <is>
          <t>VÄSTERBOTTENS LÄN</t>
        </is>
      </c>
      <c r="E1786" t="inlineStr">
        <is>
          <t>UMEÅ</t>
        </is>
      </c>
      <c r="F1786" t="inlineStr">
        <is>
          <t>Kommuner</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7915-2022</t>
        </is>
      </c>
      <c r="B1787" s="1" t="n">
        <v>44608</v>
      </c>
      <c r="C1787" s="1" t="n">
        <v>46075</v>
      </c>
      <c r="D1787" t="inlineStr">
        <is>
          <t>VÄSTERBOTTENS LÄN</t>
        </is>
      </c>
      <c r="E1787" t="inlineStr">
        <is>
          <t>BJURHOLM</t>
        </is>
      </c>
      <c r="G1787" t="n">
        <v>8.9</v>
      </c>
      <c r="H1787" t="n">
        <v>0</v>
      </c>
      <c r="I1787" t="n">
        <v>0</v>
      </c>
      <c r="J1787" t="n">
        <v>0</v>
      </c>
      <c r="K1787" t="n">
        <v>0</v>
      </c>
      <c r="L1787" t="n">
        <v>0</v>
      </c>
      <c r="M1787" t="n">
        <v>0</v>
      </c>
      <c r="N1787" t="n">
        <v>0</v>
      </c>
      <c r="O1787" t="n">
        <v>0</v>
      </c>
      <c r="P1787" t="n">
        <v>0</v>
      </c>
      <c r="Q1787" t="n">
        <v>0</v>
      </c>
      <c r="R1787" s="2" t="inlineStr"/>
    </row>
    <row r="1788" ht="15" customHeight="1">
      <c r="A1788" t="inlineStr">
        <is>
          <t>A 35551-2021</t>
        </is>
      </c>
      <c r="B1788" s="1" t="n">
        <v>44385.82789351852</v>
      </c>
      <c r="C1788" s="1" t="n">
        <v>46075</v>
      </c>
      <c r="D1788" t="inlineStr">
        <is>
          <t>VÄSTERBOTTENS LÄN</t>
        </is>
      </c>
      <c r="E1788" t="inlineStr">
        <is>
          <t>ROBERTSFORS</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29555-2022</t>
        </is>
      </c>
      <c r="B1789" s="1" t="n">
        <v>44754</v>
      </c>
      <c r="C1789" s="1" t="n">
        <v>46075</v>
      </c>
      <c r="D1789" t="inlineStr">
        <is>
          <t>VÄSTERBOTTENS LÄN</t>
        </is>
      </c>
      <c r="E1789" t="inlineStr">
        <is>
          <t>VILHELMINA</t>
        </is>
      </c>
      <c r="F1789" t="inlineStr">
        <is>
          <t>Övriga Aktiebolag</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46375-2021</t>
        </is>
      </c>
      <c r="B1790" s="1" t="n">
        <v>44442</v>
      </c>
      <c r="C1790" s="1" t="n">
        <v>46075</v>
      </c>
      <c r="D1790" t="inlineStr">
        <is>
          <t>VÄSTERBOTTENS LÄN</t>
        </is>
      </c>
      <c r="E1790" t="inlineStr">
        <is>
          <t>VILHELMINA</t>
        </is>
      </c>
      <c r="F1790" t="inlineStr">
        <is>
          <t>SCA</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46410-2022</t>
        </is>
      </c>
      <c r="B1791" s="1" t="n">
        <v>44846</v>
      </c>
      <c r="C1791" s="1" t="n">
        <v>46075</v>
      </c>
      <c r="D1791" t="inlineStr">
        <is>
          <t>VÄSTERBOTTENS LÄN</t>
        </is>
      </c>
      <c r="E1791" t="inlineStr">
        <is>
          <t>UMEÅ</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8973-2022</t>
        </is>
      </c>
      <c r="B1792" s="1" t="n">
        <v>44614.92071759259</v>
      </c>
      <c r="C1792" s="1" t="n">
        <v>46075</v>
      </c>
      <c r="D1792" t="inlineStr">
        <is>
          <t>VÄSTERBOTTENS LÄN</t>
        </is>
      </c>
      <c r="E1792" t="inlineStr">
        <is>
          <t>VINDELN</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1834-2022</t>
        </is>
      </c>
      <c r="B1793" s="1" t="n">
        <v>44574.67953703704</v>
      </c>
      <c r="C1793" s="1" t="n">
        <v>46075</v>
      </c>
      <c r="D1793" t="inlineStr">
        <is>
          <t>VÄSTERBOTTENS LÄN</t>
        </is>
      </c>
      <c r="E1793" t="inlineStr">
        <is>
          <t>SKELLEFTEÅ</t>
        </is>
      </c>
      <c r="G1793" t="n">
        <v>9.9</v>
      </c>
      <c r="H1793" t="n">
        <v>0</v>
      </c>
      <c r="I1793" t="n">
        <v>0</v>
      </c>
      <c r="J1793" t="n">
        <v>0</v>
      </c>
      <c r="K1793" t="n">
        <v>0</v>
      </c>
      <c r="L1793" t="n">
        <v>0</v>
      </c>
      <c r="M1793" t="n">
        <v>0</v>
      </c>
      <c r="N1793" t="n">
        <v>0</v>
      </c>
      <c r="O1793" t="n">
        <v>0</v>
      </c>
      <c r="P1793" t="n">
        <v>0</v>
      </c>
      <c r="Q1793" t="n">
        <v>0</v>
      </c>
      <c r="R1793" s="2" t="inlineStr"/>
    </row>
    <row r="1794" ht="15" customHeight="1">
      <c r="A1794" t="inlineStr">
        <is>
          <t>A 2607-2022</t>
        </is>
      </c>
      <c r="B1794" s="1" t="n">
        <v>44580</v>
      </c>
      <c r="C1794" s="1" t="n">
        <v>46075</v>
      </c>
      <c r="D1794" t="inlineStr">
        <is>
          <t>VÄSTERBOTTENS LÄN</t>
        </is>
      </c>
      <c r="E1794" t="inlineStr">
        <is>
          <t>SKELLEFTEÅ</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2706-2022</t>
        </is>
      </c>
      <c r="B1795" s="1" t="n">
        <v>44580</v>
      </c>
      <c r="C1795" s="1" t="n">
        <v>46075</v>
      </c>
      <c r="D1795" t="inlineStr">
        <is>
          <t>VÄSTERBOTTENS LÄN</t>
        </is>
      </c>
      <c r="E1795" t="inlineStr">
        <is>
          <t>BJURHOLM</t>
        </is>
      </c>
      <c r="F1795" t="inlineStr">
        <is>
          <t>Kommuner</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38746-2021</t>
        </is>
      </c>
      <c r="B1796" s="1" t="n">
        <v>44410</v>
      </c>
      <c r="C1796" s="1" t="n">
        <v>46075</v>
      </c>
      <c r="D1796" t="inlineStr">
        <is>
          <t>VÄSTERBOTTENS LÄN</t>
        </is>
      </c>
      <c r="E1796" t="inlineStr">
        <is>
          <t>UMEÅ</t>
        </is>
      </c>
      <c r="F1796" t="inlineStr">
        <is>
          <t>Övriga statliga verk och myndigheter</t>
        </is>
      </c>
      <c r="G1796" t="n">
        <v>0.3</v>
      </c>
      <c r="H1796" t="n">
        <v>0</v>
      </c>
      <c r="I1796" t="n">
        <v>0</v>
      </c>
      <c r="J1796" t="n">
        <v>0</v>
      </c>
      <c r="K1796" t="n">
        <v>0</v>
      </c>
      <c r="L1796" t="n">
        <v>0</v>
      </c>
      <c r="M1796" t="n">
        <v>0</v>
      </c>
      <c r="N1796" t="n">
        <v>0</v>
      </c>
      <c r="O1796" t="n">
        <v>0</v>
      </c>
      <c r="P1796" t="n">
        <v>0</v>
      </c>
      <c r="Q1796" t="n">
        <v>0</v>
      </c>
      <c r="R1796" s="2" t="inlineStr"/>
    </row>
    <row r="1797" ht="15" customHeight="1">
      <c r="A1797" t="inlineStr">
        <is>
          <t>A 37423-2022</t>
        </is>
      </c>
      <c r="B1797" s="1" t="n">
        <v>44809</v>
      </c>
      <c r="C1797" s="1" t="n">
        <v>46075</v>
      </c>
      <c r="D1797" t="inlineStr">
        <is>
          <t>VÄSTERBOTTENS LÄN</t>
        </is>
      </c>
      <c r="E1797" t="inlineStr">
        <is>
          <t>LYCKSELE</t>
        </is>
      </c>
      <c r="F1797" t="inlineStr">
        <is>
          <t>SCA</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49757-2022</t>
        </is>
      </c>
      <c r="B1798" s="1" t="n">
        <v>44862.59038194444</v>
      </c>
      <c r="C1798" s="1" t="n">
        <v>46075</v>
      </c>
      <c r="D1798" t="inlineStr">
        <is>
          <t>VÄSTERBOTTENS LÄN</t>
        </is>
      </c>
      <c r="E1798" t="inlineStr">
        <is>
          <t>SKELLEFTEÅ</t>
        </is>
      </c>
      <c r="F1798" t="inlineStr">
        <is>
          <t>Holmen skog AB</t>
        </is>
      </c>
      <c r="G1798" t="n">
        <v>4.1</v>
      </c>
      <c r="H1798" t="n">
        <v>0</v>
      </c>
      <c r="I1798" t="n">
        <v>0</v>
      </c>
      <c r="J1798" t="n">
        <v>0</v>
      </c>
      <c r="K1798" t="n">
        <v>0</v>
      </c>
      <c r="L1798" t="n">
        <v>0</v>
      </c>
      <c r="M1798" t="n">
        <v>0</v>
      </c>
      <c r="N1798" t="n">
        <v>0</v>
      </c>
      <c r="O1798" t="n">
        <v>0</v>
      </c>
      <c r="P1798" t="n">
        <v>0</v>
      </c>
      <c r="Q1798" t="n">
        <v>0</v>
      </c>
      <c r="R1798" s="2" t="inlineStr"/>
    </row>
    <row r="1799" ht="15" customHeight="1">
      <c r="A1799" t="inlineStr">
        <is>
          <t>A 38398-2021</t>
        </is>
      </c>
      <c r="B1799" s="1" t="n">
        <v>44406</v>
      </c>
      <c r="C1799" s="1" t="n">
        <v>46075</v>
      </c>
      <c r="D1799" t="inlineStr">
        <is>
          <t>VÄSTERBOTTENS LÄN</t>
        </is>
      </c>
      <c r="E1799" t="inlineStr">
        <is>
          <t>UMEÅ</t>
        </is>
      </c>
      <c r="F1799" t="inlineStr">
        <is>
          <t>Kommuner</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38399-2021</t>
        </is>
      </c>
      <c r="B1800" s="1" t="n">
        <v>44406</v>
      </c>
      <c r="C1800" s="1" t="n">
        <v>46075</v>
      </c>
      <c r="D1800" t="inlineStr">
        <is>
          <t>VÄSTERBOTTENS LÄN</t>
        </is>
      </c>
      <c r="E1800" t="inlineStr">
        <is>
          <t>UMEÅ</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46731-2022</t>
        </is>
      </c>
      <c r="B1801" s="1" t="n">
        <v>44851.43311342593</v>
      </c>
      <c r="C1801" s="1" t="n">
        <v>46075</v>
      </c>
      <c r="D1801" t="inlineStr">
        <is>
          <t>VÄSTERBOTTENS LÄN</t>
        </is>
      </c>
      <c r="E1801" t="inlineStr">
        <is>
          <t>ROBERTSFORS</t>
        </is>
      </c>
      <c r="F1801" t="inlineStr">
        <is>
          <t>Holmen skog AB</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38541-2021</t>
        </is>
      </c>
      <c r="B1802" s="1" t="n">
        <v>44407</v>
      </c>
      <c r="C1802" s="1" t="n">
        <v>46075</v>
      </c>
      <c r="D1802" t="inlineStr">
        <is>
          <t>VÄSTERBOTTENS LÄN</t>
        </is>
      </c>
      <c r="E1802" t="inlineStr">
        <is>
          <t>UMEÅ</t>
        </is>
      </c>
      <c r="F1802" t="inlineStr">
        <is>
          <t>Kommuner</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16210-2022</t>
        </is>
      </c>
      <c r="B1803" s="1" t="n">
        <v>44670.33633101852</v>
      </c>
      <c r="C1803" s="1" t="n">
        <v>46075</v>
      </c>
      <c r="D1803" t="inlineStr">
        <is>
          <t>VÄSTERBOTTENS LÄN</t>
        </is>
      </c>
      <c r="E1803" t="inlineStr">
        <is>
          <t>UMEÅ</t>
        </is>
      </c>
      <c r="F1803" t="inlineStr">
        <is>
          <t>Kommuner</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38449-2021</t>
        </is>
      </c>
      <c r="B1804" s="1" t="n">
        <v>44406</v>
      </c>
      <c r="C1804" s="1" t="n">
        <v>46075</v>
      </c>
      <c r="D1804" t="inlineStr">
        <is>
          <t>VÄSTERBOTTENS LÄN</t>
        </is>
      </c>
      <c r="E1804" t="inlineStr">
        <is>
          <t>UMEÅ</t>
        </is>
      </c>
      <c r="F1804" t="inlineStr">
        <is>
          <t>Kommuner</t>
        </is>
      </c>
      <c r="G1804" t="n">
        <v>0.1</v>
      </c>
      <c r="H1804" t="n">
        <v>0</v>
      </c>
      <c r="I1804" t="n">
        <v>0</v>
      </c>
      <c r="J1804" t="n">
        <v>0</v>
      </c>
      <c r="K1804" t="n">
        <v>0</v>
      </c>
      <c r="L1804" t="n">
        <v>0</v>
      </c>
      <c r="M1804" t="n">
        <v>0</v>
      </c>
      <c r="N1804" t="n">
        <v>0</v>
      </c>
      <c r="O1804" t="n">
        <v>0</v>
      </c>
      <c r="P1804" t="n">
        <v>0</v>
      </c>
      <c r="Q1804" t="n">
        <v>0</v>
      </c>
      <c r="R1804" s="2" t="inlineStr"/>
    </row>
    <row r="1805" ht="15" customHeight="1">
      <c r="A1805" t="inlineStr">
        <is>
          <t>A 38514-2021</t>
        </is>
      </c>
      <c r="B1805" s="1" t="n">
        <v>44407</v>
      </c>
      <c r="C1805" s="1" t="n">
        <v>46075</v>
      </c>
      <c r="D1805" t="inlineStr">
        <is>
          <t>VÄSTERBOTTENS LÄN</t>
        </is>
      </c>
      <c r="E1805" t="inlineStr">
        <is>
          <t>UMEÅ</t>
        </is>
      </c>
      <c r="F1805" t="inlineStr">
        <is>
          <t>Kommuner</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42818-2021</t>
        </is>
      </c>
      <c r="B1806" s="1" t="n">
        <v>44429</v>
      </c>
      <c r="C1806" s="1" t="n">
        <v>46075</v>
      </c>
      <c r="D1806" t="inlineStr">
        <is>
          <t>VÄSTERBOTTENS LÄN</t>
        </is>
      </c>
      <c r="E1806" t="inlineStr">
        <is>
          <t>LYCKSELE</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38923-2021</t>
        </is>
      </c>
      <c r="B1807" s="1" t="n">
        <v>44410</v>
      </c>
      <c r="C1807" s="1" t="n">
        <v>46075</v>
      </c>
      <c r="D1807" t="inlineStr">
        <is>
          <t>VÄSTERBOTTENS LÄN</t>
        </is>
      </c>
      <c r="E1807" t="inlineStr">
        <is>
          <t>UMEÅ</t>
        </is>
      </c>
      <c r="F1807" t="inlineStr">
        <is>
          <t>Övriga statliga verk och myndigheter</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54796-2021</t>
        </is>
      </c>
      <c r="B1808" s="1" t="n">
        <v>44473.94251157407</v>
      </c>
      <c r="C1808" s="1" t="n">
        <v>46075</v>
      </c>
      <c r="D1808" t="inlineStr">
        <is>
          <t>VÄSTERBOTTENS LÄN</t>
        </is>
      </c>
      <c r="E1808" t="inlineStr">
        <is>
          <t>STORUMAN</t>
        </is>
      </c>
      <c r="F1808" t="inlineStr">
        <is>
          <t>SCA</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38717-2021</t>
        </is>
      </c>
      <c r="B1809" s="1" t="n">
        <v>44410</v>
      </c>
      <c r="C1809" s="1" t="n">
        <v>46075</v>
      </c>
      <c r="D1809" t="inlineStr">
        <is>
          <t>VÄSTERBOTTENS LÄN</t>
        </is>
      </c>
      <c r="E1809" t="inlineStr">
        <is>
          <t>UMEÅ</t>
        </is>
      </c>
      <c r="F1809" t="inlineStr">
        <is>
          <t>Kommuner</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38720-2021</t>
        </is>
      </c>
      <c r="B1810" s="1" t="n">
        <v>44410</v>
      </c>
      <c r="C1810" s="1" t="n">
        <v>46075</v>
      </c>
      <c r="D1810" t="inlineStr">
        <is>
          <t>VÄSTERBOTTENS LÄN</t>
        </is>
      </c>
      <c r="E1810" t="inlineStr">
        <is>
          <t>UMEÅ</t>
        </is>
      </c>
      <c r="F1810" t="inlineStr">
        <is>
          <t>Kommuner</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38729-2021</t>
        </is>
      </c>
      <c r="B1811" s="1" t="n">
        <v>44410</v>
      </c>
      <c r="C1811" s="1" t="n">
        <v>46075</v>
      </c>
      <c r="D1811" t="inlineStr">
        <is>
          <t>VÄSTERBOTTENS LÄN</t>
        </is>
      </c>
      <c r="E1811" t="inlineStr">
        <is>
          <t>UMEÅ</t>
        </is>
      </c>
      <c r="F1811" t="inlineStr">
        <is>
          <t>Kommuner</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43326-2022</t>
        </is>
      </c>
      <c r="B1812" s="1" t="n">
        <v>44834.58712962963</v>
      </c>
      <c r="C1812" s="1" t="n">
        <v>46075</v>
      </c>
      <c r="D1812" t="inlineStr">
        <is>
          <t>VÄSTERBOTTENS LÄN</t>
        </is>
      </c>
      <c r="E1812" t="inlineStr">
        <is>
          <t>BJURHOLM</t>
        </is>
      </c>
      <c r="F1812" t="inlineStr">
        <is>
          <t>Holmen skog AB</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59659-2021</t>
        </is>
      </c>
      <c r="B1813" s="1" t="n">
        <v>44491</v>
      </c>
      <c r="C1813" s="1" t="n">
        <v>46075</v>
      </c>
      <c r="D1813" t="inlineStr">
        <is>
          <t>VÄSTERBOTTENS LÄN</t>
        </is>
      </c>
      <c r="E1813" t="inlineStr">
        <is>
          <t>SKELLEFTEÅ</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20327-2022</t>
        </is>
      </c>
      <c r="B1814" s="1" t="n">
        <v>44698</v>
      </c>
      <c r="C1814" s="1" t="n">
        <v>46075</v>
      </c>
      <c r="D1814" t="inlineStr">
        <is>
          <t>VÄSTERBOTTENS LÄN</t>
        </is>
      </c>
      <c r="E1814" t="inlineStr">
        <is>
          <t>VINDELN</t>
        </is>
      </c>
      <c r="G1814" t="n">
        <v>5.5</v>
      </c>
      <c r="H1814" t="n">
        <v>0</v>
      </c>
      <c r="I1814" t="n">
        <v>0</v>
      </c>
      <c r="J1814" t="n">
        <v>0</v>
      </c>
      <c r="K1814" t="n">
        <v>0</v>
      </c>
      <c r="L1814" t="n">
        <v>0</v>
      </c>
      <c r="M1814" t="n">
        <v>0</v>
      </c>
      <c r="N1814" t="n">
        <v>0</v>
      </c>
      <c r="O1814" t="n">
        <v>0</v>
      </c>
      <c r="P1814" t="n">
        <v>0</v>
      </c>
      <c r="Q1814" t="n">
        <v>0</v>
      </c>
      <c r="R1814" s="2" t="inlineStr"/>
    </row>
    <row r="1815" ht="15" customHeight="1">
      <c r="A1815" t="inlineStr">
        <is>
          <t>A 9770-2022</t>
        </is>
      </c>
      <c r="B1815" s="1" t="n">
        <v>44619.72355324074</v>
      </c>
      <c r="C1815" s="1" t="n">
        <v>46075</v>
      </c>
      <c r="D1815" t="inlineStr">
        <is>
          <t>VÄSTERBOTTENS LÄN</t>
        </is>
      </c>
      <c r="E1815" t="inlineStr">
        <is>
          <t>UMEÅ</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9780-2022</t>
        </is>
      </c>
      <c r="B1816" s="1" t="n">
        <v>44619.88071759259</v>
      </c>
      <c r="C1816" s="1" t="n">
        <v>46075</v>
      </c>
      <c r="D1816" t="inlineStr">
        <is>
          <t>VÄSTERBOTTENS LÄN</t>
        </is>
      </c>
      <c r="E1816" t="inlineStr">
        <is>
          <t>VILHELMINA</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53974-2021</t>
        </is>
      </c>
      <c r="B1817" s="1" t="n">
        <v>44469</v>
      </c>
      <c r="C1817" s="1" t="n">
        <v>46075</v>
      </c>
      <c r="D1817" t="inlineStr">
        <is>
          <t>VÄSTERBOTTENS LÄN</t>
        </is>
      </c>
      <c r="E1817" t="inlineStr">
        <is>
          <t>LYCKSELE</t>
        </is>
      </c>
      <c r="G1817" t="n">
        <v>3.2</v>
      </c>
      <c r="H1817" t="n">
        <v>0</v>
      </c>
      <c r="I1817" t="n">
        <v>0</v>
      </c>
      <c r="J1817" t="n">
        <v>0</v>
      </c>
      <c r="K1817" t="n">
        <v>0</v>
      </c>
      <c r="L1817" t="n">
        <v>0</v>
      </c>
      <c r="M1817" t="n">
        <v>0</v>
      </c>
      <c r="N1817" t="n">
        <v>0</v>
      </c>
      <c r="O1817" t="n">
        <v>0</v>
      </c>
      <c r="P1817" t="n">
        <v>0</v>
      </c>
      <c r="Q1817" t="n">
        <v>0</v>
      </c>
      <c r="R1817" s="2" t="inlineStr"/>
    </row>
    <row r="1818" ht="15" customHeight="1">
      <c r="A1818" t="inlineStr">
        <is>
          <t>A 9501-2022</t>
        </is>
      </c>
      <c r="B1818" s="1" t="n">
        <v>44616.93883101852</v>
      </c>
      <c r="C1818" s="1" t="n">
        <v>46075</v>
      </c>
      <c r="D1818" t="inlineStr">
        <is>
          <t>VÄSTERBOTTENS LÄN</t>
        </is>
      </c>
      <c r="E1818" t="inlineStr">
        <is>
          <t>VILHELMINA</t>
        </is>
      </c>
      <c r="F1818" t="inlineStr">
        <is>
          <t>SCA</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43579-2021</t>
        </is>
      </c>
      <c r="B1819" s="1" t="n">
        <v>44433</v>
      </c>
      <c r="C1819" s="1" t="n">
        <v>46075</v>
      </c>
      <c r="D1819" t="inlineStr">
        <is>
          <t>VÄSTERBOTTENS LÄN</t>
        </is>
      </c>
      <c r="E1819" t="inlineStr">
        <is>
          <t>LYCKSELE</t>
        </is>
      </c>
      <c r="G1819" t="n">
        <v>7.7</v>
      </c>
      <c r="H1819" t="n">
        <v>0</v>
      </c>
      <c r="I1819" t="n">
        <v>0</v>
      </c>
      <c r="J1819" t="n">
        <v>0</v>
      </c>
      <c r="K1819" t="n">
        <v>0</v>
      </c>
      <c r="L1819" t="n">
        <v>0</v>
      </c>
      <c r="M1819" t="n">
        <v>0</v>
      </c>
      <c r="N1819" t="n">
        <v>0</v>
      </c>
      <c r="O1819" t="n">
        <v>0</v>
      </c>
      <c r="P1819" t="n">
        <v>0</v>
      </c>
      <c r="Q1819" t="n">
        <v>0</v>
      </c>
      <c r="R1819" s="2" t="inlineStr"/>
    </row>
    <row r="1820" ht="15" customHeight="1">
      <c r="A1820" t="inlineStr">
        <is>
          <t>A 48207-2021</t>
        </is>
      </c>
      <c r="B1820" s="1" t="n">
        <v>44449.60212962963</v>
      </c>
      <c r="C1820" s="1" t="n">
        <v>46075</v>
      </c>
      <c r="D1820" t="inlineStr">
        <is>
          <t>VÄSTERBOTTENS LÄN</t>
        </is>
      </c>
      <c r="E1820" t="inlineStr">
        <is>
          <t>VINDELN</t>
        </is>
      </c>
      <c r="F1820" t="inlineStr">
        <is>
          <t>Holmen skog AB</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55741-2021</t>
        </is>
      </c>
      <c r="B1821" s="1" t="n">
        <v>44476.49274305555</v>
      </c>
      <c r="C1821" s="1" t="n">
        <v>46075</v>
      </c>
      <c r="D1821" t="inlineStr">
        <is>
          <t>VÄSTERBOTTENS LÄN</t>
        </is>
      </c>
      <c r="E1821" t="inlineStr">
        <is>
          <t>NORSJÖ</t>
        </is>
      </c>
      <c r="F1821" t="inlineStr">
        <is>
          <t>Sveaskog</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55814-2021</t>
        </is>
      </c>
      <c r="B1822" s="1" t="n">
        <v>44476.59821759259</v>
      </c>
      <c r="C1822" s="1" t="n">
        <v>46075</v>
      </c>
      <c r="D1822" t="inlineStr">
        <is>
          <t>VÄSTERBOTTENS LÄN</t>
        </is>
      </c>
      <c r="E1822" t="inlineStr">
        <is>
          <t>SKELLEFTEÅ</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48145-2022</t>
        </is>
      </c>
      <c r="B1823" s="1" t="n">
        <v>44858</v>
      </c>
      <c r="C1823" s="1" t="n">
        <v>46075</v>
      </c>
      <c r="D1823" t="inlineStr">
        <is>
          <t>VÄSTERBOTTENS LÄN</t>
        </is>
      </c>
      <c r="E1823" t="inlineStr">
        <is>
          <t>MALÅ</t>
        </is>
      </c>
      <c r="F1823" t="inlineStr">
        <is>
          <t>Sveaskog</t>
        </is>
      </c>
      <c r="G1823" t="n">
        <v>4.2</v>
      </c>
      <c r="H1823" t="n">
        <v>0</v>
      </c>
      <c r="I1823" t="n">
        <v>0</v>
      </c>
      <c r="J1823" t="n">
        <v>0</v>
      </c>
      <c r="K1823" t="n">
        <v>0</v>
      </c>
      <c r="L1823" t="n">
        <v>0</v>
      </c>
      <c r="M1823" t="n">
        <v>0</v>
      </c>
      <c r="N1823" t="n">
        <v>0</v>
      </c>
      <c r="O1823" t="n">
        <v>0</v>
      </c>
      <c r="P1823" t="n">
        <v>0</v>
      </c>
      <c r="Q1823" t="n">
        <v>0</v>
      </c>
      <c r="R1823" s="2" t="inlineStr"/>
    </row>
    <row r="1824" ht="15" customHeight="1">
      <c r="A1824" t="inlineStr">
        <is>
          <t>A 46090-2022</t>
        </is>
      </c>
      <c r="B1824" s="1" t="n">
        <v>44844</v>
      </c>
      <c r="C1824" s="1" t="n">
        <v>46075</v>
      </c>
      <c r="D1824" t="inlineStr">
        <is>
          <t>VÄSTERBOTTENS LÄN</t>
        </is>
      </c>
      <c r="E1824" t="inlineStr">
        <is>
          <t>NORSJÖ</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17255-2022</t>
        </is>
      </c>
      <c r="B1825" s="1" t="n">
        <v>44678</v>
      </c>
      <c r="C1825" s="1" t="n">
        <v>46075</v>
      </c>
      <c r="D1825" t="inlineStr">
        <is>
          <t>VÄSTERBOTTENS LÄN</t>
        </is>
      </c>
      <c r="E1825" t="inlineStr">
        <is>
          <t>ÅSELE</t>
        </is>
      </c>
      <c r="F1825" t="inlineStr">
        <is>
          <t>Allmännings- och besparingsskogar</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55922-2021</t>
        </is>
      </c>
      <c r="B1826" s="1" t="n">
        <v>44476</v>
      </c>
      <c r="C1826" s="1" t="n">
        <v>46075</v>
      </c>
      <c r="D1826" t="inlineStr">
        <is>
          <t>VÄSTERBOTTENS LÄN</t>
        </is>
      </c>
      <c r="E1826" t="inlineStr">
        <is>
          <t>ÅSELE</t>
        </is>
      </c>
      <c r="F1826" t="inlineStr">
        <is>
          <t>SCA</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21581-2021</t>
        </is>
      </c>
      <c r="B1827" s="1" t="n">
        <v>44321</v>
      </c>
      <c r="C1827" s="1" t="n">
        <v>46075</v>
      </c>
      <c r="D1827" t="inlineStr">
        <is>
          <t>VÄSTERBOTTENS LÄN</t>
        </is>
      </c>
      <c r="E1827" t="inlineStr">
        <is>
          <t>UMEÅ</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63827-2021</t>
        </is>
      </c>
      <c r="B1828" s="1" t="n">
        <v>44509</v>
      </c>
      <c r="C1828" s="1" t="n">
        <v>46075</v>
      </c>
      <c r="D1828" t="inlineStr">
        <is>
          <t>VÄSTERBOTTENS LÄN</t>
        </is>
      </c>
      <c r="E1828" t="inlineStr">
        <is>
          <t>LYCKSELE</t>
        </is>
      </c>
      <c r="F1828" t="inlineStr">
        <is>
          <t>Sveaskog</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13955-2021</t>
        </is>
      </c>
      <c r="B1829" s="1" t="n">
        <v>44277</v>
      </c>
      <c r="C1829" s="1" t="n">
        <v>46075</v>
      </c>
      <c r="D1829" t="inlineStr">
        <is>
          <t>VÄSTERBOTTENS LÄN</t>
        </is>
      </c>
      <c r="E1829" t="inlineStr">
        <is>
          <t>LYCKSELE</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16845-2022</t>
        </is>
      </c>
      <c r="B1830" s="1" t="n">
        <v>44673</v>
      </c>
      <c r="C1830" s="1" t="n">
        <v>46075</v>
      </c>
      <c r="D1830" t="inlineStr">
        <is>
          <t>VÄSTERBOTTENS LÄN</t>
        </is>
      </c>
      <c r="E1830" t="inlineStr">
        <is>
          <t>LYCKSELE</t>
        </is>
      </c>
      <c r="F1830" t="inlineStr">
        <is>
          <t>SCA</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29276-2021</t>
        </is>
      </c>
      <c r="B1831" s="1" t="n">
        <v>44361</v>
      </c>
      <c r="C1831" s="1" t="n">
        <v>46075</v>
      </c>
      <c r="D1831" t="inlineStr">
        <is>
          <t>VÄSTERBOTTENS LÄN</t>
        </is>
      </c>
      <c r="E1831" t="inlineStr">
        <is>
          <t>SKELLEFTEÅ</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48949-2022</t>
        </is>
      </c>
      <c r="B1832" s="1" t="n">
        <v>44859.95784722222</v>
      </c>
      <c r="C1832" s="1" t="n">
        <v>46075</v>
      </c>
      <c r="D1832" t="inlineStr">
        <is>
          <t>VÄSTERBOTTENS LÄN</t>
        </is>
      </c>
      <c r="E1832" t="inlineStr">
        <is>
          <t>NORDMALING</t>
        </is>
      </c>
      <c r="F1832" t="inlineStr">
        <is>
          <t>SCA</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57086-2021</t>
        </is>
      </c>
      <c r="B1833" s="1" t="n">
        <v>44482</v>
      </c>
      <c r="C1833" s="1" t="n">
        <v>46075</v>
      </c>
      <c r="D1833" t="inlineStr">
        <is>
          <t>VÄSTERBOTTENS LÄN</t>
        </is>
      </c>
      <c r="E1833" t="inlineStr">
        <is>
          <t>VILHELMINA</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29773-2022</t>
        </is>
      </c>
      <c r="B1834" s="1" t="n">
        <v>44755.62866898148</v>
      </c>
      <c r="C1834" s="1" t="n">
        <v>46075</v>
      </c>
      <c r="D1834" t="inlineStr">
        <is>
          <t>VÄSTERBOTTENS LÄN</t>
        </is>
      </c>
      <c r="E1834" t="inlineStr">
        <is>
          <t>VILHELMINA</t>
        </is>
      </c>
      <c r="F1834" t="inlineStr">
        <is>
          <t>Sveaskog</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29776-2022</t>
        </is>
      </c>
      <c r="B1835" s="1" t="n">
        <v>44755</v>
      </c>
      <c r="C1835" s="1" t="n">
        <v>46075</v>
      </c>
      <c r="D1835" t="inlineStr">
        <is>
          <t>VÄSTERBOTTENS LÄN</t>
        </is>
      </c>
      <c r="E1835" t="inlineStr">
        <is>
          <t>ÅSELE</t>
        </is>
      </c>
      <c r="F1835" t="inlineStr">
        <is>
          <t>Sveaskog</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59257-2021</t>
        </is>
      </c>
      <c r="B1836" s="1" t="n">
        <v>44490.66326388889</v>
      </c>
      <c r="C1836" s="1" t="n">
        <v>46075</v>
      </c>
      <c r="D1836" t="inlineStr">
        <is>
          <t>VÄSTERBOTTENS LÄN</t>
        </is>
      </c>
      <c r="E1836" t="inlineStr">
        <is>
          <t>BJURHOLM</t>
        </is>
      </c>
      <c r="F1836" t="inlineStr">
        <is>
          <t>Holmen skog AB</t>
        </is>
      </c>
      <c r="G1836" t="n">
        <v>5.5</v>
      </c>
      <c r="H1836" t="n">
        <v>0</v>
      </c>
      <c r="I1836" t="n">
        <v>0</v>
      </c>
      <c r="J1836" t="n">
        <v>0</v>
      </c>
      <c r="K1836" t="n">
        <v>0</v>
      </c>
      <c r="L1836" t="n">
        <v>0</v>
      </c>
      <c r="M1836" t="n">
        <v>0</v>
      </c>
      <c r="N1836" t="n">
        <v>0</v>
      </c>
      <c r="O1836" t="n">
        <v>0</v>
      </c>
      <c r="P1836" t="n">
        <v>0</v>
      </c>
      <c r="Q1836" t="n">
        <v>0</v>
      </c>
      <c r="R1836" s="2" t="inlineStr"/>
    </row>
    <row r="1837" ht="15" customHeight="1">
      <c r="A1837" t="inlineStr">
        <is>
          <t>A 27503-2021</t>
        </is>
      </c>
      <c r="B1837" s="1" t="n">
        <v>44351</v>
      </c>
      <c r="C1837" s="1" t="n">
        <v>46075</v>
      </c>
      <c r="D1837" t="inlineStr">
        <is>
          <t>VÄSTERBOTTENS LÄN</t>
        </is>
      </c>
      <c r="E1837" t="inlineStr">
        <is>
          <t>DOROTEA</t>
        </is>
      </c>
      <c r="F1837" t="inlineStr">
        <is>
          <t>Kommuner</t>
        </is>
      </c>
      <c r="G1837" t="n">
        <v>0.2</v>
      </c>
      <c r="H1837" t="n">
        <v>0</v>
      </c>
      <c r="I1837" t="n">
        <v>0</v>
      </c>
      <c r="J1837" t="n">
        <v>0</v>
      </c>
      <c r="K1837" t="n">
        <v>0</v>
      </c>
      <c r="L1837" t="n">
        <v>0</v>
      </c>
      <c r="M1837" t="n">
        <v>0</v>
      </c>
      <c r="N1837" t="n">
        <v>0</v>
      </c>
      <c r="O1837" t="n">
        <v>0</v>
      </c>
      <c r="P1837" t="n">
        <v>0</v>
      </c>
      <c r="Q1837" t="n">
        <v>0</v>
      </c>
      <c r="R1837" s="2" t="inlineStr"/>
    </row>
    <row r="1838" ht="15" customHeight="1">
      <c r="A1838" t="inlineStr">
        <is>
          <t>A 25216-2022</t>
        </is>
      </c>
      <c r="B1838" s="1" t="n">
        <v>44729.68305555556</v>
      </c>
      <c r="C1838" s="1" t="n">
        <v>46075</v>
      </c>
      <c r="D1838" t="inlineStr">
        <is>
          <t>VÄSTERBOTTENS LÄN</t>
        </is>
      </c>
      <c r="E1838" t="inlineStr">
        <is>
          <t>ROBERTSFORS</t>
        </is>
      </c>
      <c r="G1838" t="n">
        <v>9.1</v>
      </c>
      <c r="H1838" t="n">
        <v>0</v>
      </c>
      <c r="I1838" t="n">
        <v>0</v>
      </c>
      <c r="J1838" t="n">
        <v>0</v>
      </c>
      <c r="K1838" t="n">
        <v>0</v>
      </c>
      <c r="L1838" t="n">
        <v>0</v>
      </c>
      <c r="M1838" t="n">
        <v>0</v>
      </c>
      <c r="N1838" t="n">
        <v>0</v>
      </c>
      <c r="O1838" t="n">
        <v>0</v>
      </c>
      <c r="P1838" t="n">
        <v>0</v>
      </c>
      <c r="Q1838" t="n">
        <v>0</v>
      </c>
      <c r="R1838" s="2" t="inlineStr"/>
    </row>
    <row r="1839" ht="15" customHeight="1">
      <c r="A1839" t="inlineStr">
        <is>
          <t>A 229-2022</t>
        </is>
      </c>
      <c r="B1839" s="1" t="n">
        <v>44564.92136574074</v>
      </c>
      <c r="C1839" s="1" t="n">
        <v>46075</v>
      </c>
      <c r="D1839" t="inlineStr">
        <is>
          <t>VÄSTERBOTTENS LÄN</t>
        </is>
      </c>
      <c r="E1839" t="inlineStr">
        <is>
          <t>LYCKSELE</t>
        </is>
      </c>
      <c r="G1839" t="n">
        <v>5.6</v>
      </c>
      <c r="H1839" t="n">
        <v>0</v>
      </c>
      <c r="I1839" t="n">
        <v>0</v>
      </c>
      <c r="J1839" t="n">
        <v>0</v>
      </c>
      <c r="K1839" t="n">
        <v>0</v>
      </c>
      <c r="L1839" t="n">
        <v>0</v>
      </c>
      <c r="M1839" t="n">
        <v>0</v>
      </c>
      <c r="N1839" t="n">
        <v>0</v>
      </c>
      <c r="O1839" t="n">
        <v>0</v>
      </c>
      <c r="P1839" t="n">
        <v>0</v>
      </c>
      <c r="Q1839" t="n">
        <v>0</v>
      </c>
      <c r="R1839" s="2" t="inlineStr"/>
    </row>
    <row r="1840" ht="15" customHeight="1">
      <c r="A1840" t="inlineStr">
        <is>
          <t>A 73956-2021</t>
        </is>
      </c>
      <c r="B1840" s="1" t="n">
        <v>44553</v>
      </c>
      <c r="C1840" s="1" t="n">
        <v>46075</v>
      </c>
      <c r="D1840" t="inlineStr">
        <is>
          <t>VÄSTERBOTTENS LÄN</t>
        </is>
      </c>
      <c r="E1840" t="inlineStr">
        <is>
          <t>SKELLEFTEÅ</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52309-2021</t>
        </is>
      </c>
      <c r="B1841" s="1" t="n">
        <v>44463</v>
      </c>
      <c r="C1841" s="1" t="n">
        <v>46075</v>
      </c>
      <c r="D1841" t="inlineStr">
        <is>
          <t>VÄSTERBOTTENS LÄN</t>
        </is>
      </c>
      <c r="E1841" t="inlineStr">
        <is>
          <t>UMEÅ</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35888-2022</t>
        </is>
      </c>
      <c r="B1842" s="1" t="n">
        <v>44803</v>
      </c>
      <c r="C1842" s="1" t="n">
        <v>46075</v>
      </c>
      <c r="D1842" t="inlineStr">
        <is>
          <t>VÄSTERBOTTENS LÄN</t>
        </is>
      </c>
      <c r="E1842" t="inlineStr">
        <is>
          <t>SKELLEFTEÅ</t>
        </is>
      </c>
      <c r="G1842" t="n">
        <v>4.7</v>
      </c>
      <c r="H1842" t="n">
        <v>0</v>
      </c>
      <c r="I1842" t="n">
        <v>0</v>
      </c>
      <c r="J1842" t="n">
        <v>0</v>
      </c>
      <c r="K1842" t="n">
        <v>0</v>
      </c>
      <c r="L1842" t="n">
        <v>0</v>
      </c>
      <c r="M1842" t="n">
        <v>0</v>
      </c>
      <c r="N1842" t="n">
        <v>0</v>
      </c>
      <c r="O1842" t="n">
        <v>0</v>
      </c>
      <c r="P1842" t="n">
        <v>0</v>
      </c>
      <c r="Q1842" t="n">
        <v>0</v>
      </c>
      <c r="R1842" s="2" t="inlineStr"/>
    </row>
    <row r="1843" ht="15" customHeight="1">
      <c r="A1843" t="inlineStr">
        <is>
          <t>A 10481-2021</t>
        </is>
      </c>
      <c r="B1843" s="1" t="n">
        <v>44257</v>
      </c>
      <c r="C1843" s="1" t="n">
        <v>46075</v>
      </c>
      <c r="D1843" t="inlineStr">
        <is>
          <t>VÄSTERBOTTENS LÄN</t>
        </is>
      </c>
      <c r="E1843" t="inlineStr">
        <is>
          <t>STORUMAN</t>
        </is>
      </c>
      <c r="G1843" t="n">
        <v>19.7</v>
      </c>
      <c r="H1843" t="n">
        <v>0</v>
      </c>
      <c r="I1843" t="n">
        <v>0</v>
      </c>
      <c r="J1843" t="n">
        <v>0</v>
      </c>
      <c r="K1843" t="n">
        <v>0</v>
      </c>
      <c r="L1843" t="n">
        <v>0</v>
      </c>
      <c r="M1843" t="n">
        <v>0</v>
      </c>
      <c r="N1843" t="n">
        <v>0</v>
      </c>
      <c r="O1843" t="n">
        <v>0</v>
      </c>
      <c r="P1843" t="n">
        <v>0</v>
      </c>
      <c r="Q1843" t="n">
        <v>0</v>
      </c>
      <c r="R1843" s="2" t="inlineStr"/>
    </row>
    <row r="1844" ht="15" customHeight="1">
      <c r="A1844" t="inlineStr">
        <is>
          <t>A 25403-2021</t>
        </is>
      </c>
      <c r="B1844" s="1" t="n">
        <v>44342</v>
      </c>
      <c r="C1844" s="1" t="n">
        <v>46075</v>
      </c>
      <c r="D1844" t="inlineStr">
        <is>
          <t>VÄSTERBOTTENS LÄN</t>
        </is>
      </c>
      <c r="E1844" t="inlineStr">
        <is>
          <t>NORDMALING</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72332-2021</t>
        </is>
      </c>
      <c r="B1845" s="1" t="n">
        <v>44545</v>
      </c>
      <c r="C1845" s="1" t="n">
        <v>46075</v>
      </c>
      <c r="D1845" t="inlineStr">
        <is>
          <t>VÄSTERBOTTENS LÄN</t>
        </is>
      </c>
      <c r="E1845" t="inlineStr">
        <is>
          <t>LYCKSELE</t>
        </is>
      </c>
      <c r="F1845" t="inlineStr">
        <is>
          <t>Sveaskog</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70854-2021</t>
        </is>
      </c>
      <c r="B1846" s="1" t="n">
        <v>44532</v>
      </c>
      <c r="C1846" s="1" t="n">
        <v>46075</v>
      </c>
      <c r="D1846" t="inlineStr">
        <is>
          <t>VÄSTERBOTTENS LÄN</t>
        </is>
      </c>
      <c r="E1846" t="inlineStr">
        <is>
          <t>VILHELMINA</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70881-2021</t>
        </is>
      </c>
      <c r="B1847" s="1" t="n">
        <v>44537</v>
      </c>
      <c r="C1847" s="1" t="n">
        <v>46075</v>
      </c>
      <c r="D1847" t="inlineStr">
        <is>
          <t>VÄSTERBOTTENS LÄN</t>
        </is>
      </c>
      <c r="E1847" t="inlineStr">
        <is>
          <t>VINDELN</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34787-2022</t>
        </is>
      </c>
      <c r="B1848" s="1" t="n">
        <v>44795</v>
      </c>
      <c r="C1848" s="1" t="n">
        <v>46075</v>
      </c>
      <c r="D1848" t="inlineStr">
        <is>
          <t>VÄSTERBOTTENS LÄN</t>
        </is>
      </c>
      <c r="E1848" t="inlineStr">
        <is>
          <t>ÅSELE</t>
        </is>
      </c>
      <c r="F1848" t="inlineStr">
        <is>
          <t>SCA</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703-2022</t>
        </is>
      </c>
      <c r="B1849" s="1" t="n">
        <v>44566</v>
      </c>
      <c r="C1849" s="1" t="n">
        <v>46075</v>
      </c>
      <c r="D1849" t="inlineStr">
        <is>
          <t>VÄSTERBOTTENS LÄN</t>
        </is>
      </c>
      <c r="E1849" t="inlineStr">
        <is>
          <t>UMEÅ</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6169-2022</t>
        </is>
      </c>
      <c r="B1850" s="1" t="n">
        <v>44599.93688657408</v>
      </c>
      <c r="C1850" s="1" t="n">
        <v>46075</v>
      </c>
      <c r="D1850" t="inlineStr">
        <is>
          <t>VÄSTERBOTTENS LÄN</t>
        </is>
      </c>
      <c r="E1850" t="inlineStr">
        <is>
          <t>UMEÅ</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18861-2021</t>
        </is>
      </c>
      <c r="B1851" s="1" t="n">
        <v>44307.91818287037</v>
      </c>
      <c r="C1851" s="1" t="n">
        <v>46075</v>
      </c>
      <c r="D1851" t="inlineStr">
        <is>
          <t>VÄSTERBOTTENS LÄN</t>
        </is>
      </c>
      <c r="E1851" t="inlineStr">
        <is>
          <t>NORSJÖ</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15889-2021</t>
        </is>
      </c>
      <c r="B1852" s="1" t="n">
        <v>44286.92057870371</v>
      </c>
      <c r="C1852" s="1" t="n">
        <v>46075</v>
      </c>
      <c r="D1852" t="inlineStr">
        <is>
          <t>VÄSTERBOTTENS LÄN</t>
        </is>
      </c>
      <c r="E1852" t="inlineStr">
        <is>
          <t>NORSJÖ</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28620-2021</t>
        </is>
      </c>
      <c r="B1853" s="1" t="n">
        <v>44356.93547453704</v>
      </c>
      <c r="C1853" s="1" t="n">
        <v>46075</v>
      </c>
      <c r="D1853" t="inlineStr">
        <is>
          <t>VÄSTERBOTTENS LÄN</t>
        </is>
      </c>
      <c r="E1853" t="inlineStr">
        <is>
          <t>LYCKSELE</t>
        </is>
      </c>
      <c r="F1853" t="inlineStr">
        <is>
          <t>SCA</t>
        </is>
      </c>
      <c r="G1853" t="n">
        <v>14.5</v>
      </c>
      <c r="H1853" t="n">
        <v>0</v>
      </c>
      <c r="I1853" t="n">
        <v>0</v>
      </c>
      <c r="J1853" t="n">
        <v>0</v>
      </c>
      <c r="K1853" t="n">
        <v>0</v>
      </c>
      <c r="L1853" t="n">
        <v>0</v>
      </c>
      <c r="M1853" t="n">
        <v>0</v>
      </c>
      <c r="N1853" t="n">
        <v>0</v>
      </c>
      <c r="O1853" t="n">
        <v>0</v>
      </c>
      <c r="P1853" t="n">
        <v>0</v>
      </c>
      <c r="Q1853" t="n">
        <v>0</v>
      </c>
      <c r="R1853" s="2" t="inlineStr"/>
    </row>
    <row r="1854" ht="15" customHeight="1">
      <c r="A1854" t="inlineStr">
        <is>
          <t>A 39325-2021</t>
        </is>
      </c>
      <c r="B1854" s="1" t="n">
        <v>44413.91990740741</v>
      </c>
      <c r="C1854" s="1" t="n">
        <v>46075</v>
      </c>
      <c r="D1854" t="inlineStr">
        <is>
          <t>VÄSTERBOTTENS LÄN</t>
        </is>
      </c>
      <c r="E1854" t="inlineStr">
        <is>
          <t>ROBERTSFORS</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58251-2021</t>
        </is>
      </c>
      <c r="B1855" s="1" t="n">
        <v>44487</v>
      </c>
      <c r="C1855" s="1" t="n">
        <v>46075</v>
      </c>
      <c r="D1855" t="inlineStr">
        <is>
          <t>VÄSTERBOTTENS LÄN</t>
        </is>
      </c>
      <c r="E1855" t="inlineStr">
        <is>
          <t>MALÅ</t>
        </is>
      </c>
      <c r="G1855" t="n">
        <v>8.5</v>
      </c>
      <c r="H1855" t="n">
        <v>0</v>
      </c>
      <c r="I1855" t="n">
        <v>0</v>
      </c>
      <c r="J1855" t="n">
        <v>0</v>
      </c>
      <c r="K1855" t="n">
        <v>0</v>
      </c>
      <c r="L1855" t="n">
        <v>0</v>
      </c>
      <c r="M1855" t="n">
        <v>0</v>
      </c>
      <c r="N1855" t="n">
        <v>0</v>
      </c>
      <c r="O1855" t="n">
        <v>0</v>
      </c>
      <c r="P1855" t="n">
        <v>0</v>
      </c>
      <c r="Q1855" t="n">
        <v>0</v>
      </c>
      <c r="R1855" s="2" t="inlineStr"/>
    </row>
    <row r="1856" ht="15" customHeight="1">
      <c r="A1856" t="inlineStr">
        <is>
          <t>A 39938-2021</t>
        </is>
      </c>
      <c r="B1856" s="1" t="n">
        <v>44417</v>
      </c>
      <c r="C1856" s="1" t="n">
        <v>46075</v>
      </c>
      <c r="D1856" t="inlineStr">
        <is>
          <t>VÄSTERBOTTENS LÄN</t>
        </is>
      </c>
      <c r="E1856" t="inlineStr">
        <is>
          <t>ÅSELE</t>
        </is>
      </c>
      <c r="F1856" t="inlineStr">
        <is>
          <t>SCA</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17609-2022</t>
        </is>
      </c>
      <c r="B1857" s="1" t="n">
        <v>44680</v>
      </c>
      <c r="C1857" s="1" t="n">
        <v>46075</v>
      </c>
      <c r="D1857" t="inlineStr">
        <is>
          <t>VÄSTERBOTTENS LÄN</t>
        </is>
      </c>
      <c r="E1857" t="inlineStr">
        <is>
          <t>BJURHOLM</t>
        </is>
      </c>
      <c r="G1857" t="n">
        <v>10.2</v>
      </c>
      <c r="H1857" t="n">
        <v>0</v>
      </c>
      <c r="I1857" t="n">
        <v>0</v>
      </c>
      <c r="J1857" t="n">
        <v>0</v>
      </c>
      <c r="K1857" t="n">
        <v>0</v>
      </c>
      <c r="L1857" t="n">
        <v>0</v>
      </c>
      <c r="M1857" t="n">
        <v>0</v>
      </c>
      <c r="N1857" t="n">
        <v>0</v>
      </c>
      <c r="O1857" t="n">
        <v>0</v>
      </c>
      <c r="P1857" t="n">
        <v>0</v>
      </c>
      <c r="Q1857" t="n">
        <v>0</v>
      </c>
      <c r="R1857" s="2" t="inlineStr"/>
    </row>
    <row r="1858" ht="15" customHeight="1">
      <c r="A1858" t="inlineStr">
        <is>
          <t>A 66557-2021</t>
        </is>
      </c>
      <c r="B1858" s="1" t="n">
        <v>44519.41366898148</v>
      </c>
      <c r="C1858" s="1" t="n">
        <v>46075</v>
      </c>
      <c r="D1858" t="inlineStr">
        <is>
          <t>VÄSTERBOTTENS LÄN</t>
        </is>
      </c>
      <c r="E1858" t="inlineStr">
        <is>
          <t>ÅSELE</t>
        </is>
      </c>
      <c r="F1858" t="inlineStr">
        <is>
          <t>Holmen skog AB</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36021-2022</t>
        </is>
      </c>
      <c r="B1859" s="1" t="n">
        <v>44802.65265046297</v>
      </c>
      <c r="C1859" s="1" t="n">
        <v>46075</v>
      </c>
      <c r="D1859" t="inlineStr">
        <is>
          <t>VÄSTERBOTTENS LÄN</t>
        </is>
      </c>
      <c r="E1859" t="inlineStr">
        <is>
          <t>BJURHOLM</t>
        </is>
      </c>
      <c r="F1859" t="inlineStr">
        <is>
          <t>Holmen skog AB</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62486-2021</t>
        </is>
      </c>
      <c r="B1860" s="1" t="n">
        <v>44503</v>
      </c>
      <c r="C1860" s="1" t="n">
        <v>46075</v>
      </c>
      <c r="D1860" t="inlineStr">
        <is>
          <t>VÄSTERBOTTENS LÄN</t>
        </is>
      </c>
      <c r="E1860" t="inlineStr">
        <is>
          <t>SKELLEFTEÅ</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39255-2022</t>
        </is>
      </c>
      <c r="B1861" s="1" t="n">
        <v>44817</v>
      </c>
      <c r="C1861" s="1" t="n">
        <v>46075</v>
      </c>
      <c r="D1861" t="inlineStr">
        <is>
          <t>VÄSTERBOTTENS LÄN</t>
        </is>
      </c>
      <c r="E1861" t="inlineStr">
        <is>
          <t>VINDELN</t>
        </is>
      </c>
      <c r="F1861" t="inlineStr">
        <is>
          <t>Sveaskog</t>
        </is>
      </c>
      <c r="G1861" t="n">
        <v>9.199999999999999</v>
      </c>
      <c r="H1861" t="n">
        <v>0</v>
      </c>
      <c r="I1861" t="n">
        <v>0</v>
      </c>
      <c r="J1861" t="n">
        <v>0</v>
      </c>
      <c r="K1861" t="n">
        <v>0</v>
      </c>
      <c r="L1861" t="n">
        <v>0</v>
      </c>
      <c r="M1861" t="n">
        <v>0</v>
      </c>
      <c r="N1861" t="n">
        <v>0</v>
      </c>
      <c r="O1861" t="n">
        <v>0</v>
      </c>
      <c r="P1861" t="n">
        <v>0</v>
      </c>
      <c r="Q1861" t="n">
        <v>0</v>
      </c>
      <c r="R1861" s="2" t="inlineStr"/>
    </row>
    <row r="1862" ht="15" customHeight="1">
      <c r="A1862" t="inlineStr">
        <is>
          <t>A 46474-2022</t>
        </is>
      </c>
      <c r="B1862" s="1" t="n">
        <v>44846</v>
      </c>
      <c r="C1862" s="1" t="n">
        <v>46075</v>
      </c>
      <c r="D1862" t="inlineStr">
        <is>
          <t>VÄSTERBOTTENS LÄN</t>
        </is>
      </c>
      <c r="E1862" t="inlineStr">
        <is>
          <t>LYCKSELE</t>
        </is>
      </c>
      <c r="G1862" t="n">
        <v>7.2</v>
      </c>
      <c r="H1862" t="n">
        <v>0</v>
      </c>
      <c r="I1862" t="n">
        <v>0</v>
      </c>
      <c r="J1862" t="n">
        <v>0</v>
      </c>
      <c r="K1862" t="n">
        <v>0</v>
      </c>
      <c r="L1862" t="n">
        <v>0</v>
      </c>
      <c r="M1862" t="n">
        <v>0</v>
      </c>
      <c r="N1862" t="n">
        <v>0</v>
      </c>
      <c r="O1862" t="n">
        <v>0</v>
      </c>
      <c r="P1862" t="n">
        <v>0</v>
      </c>
      <c r="Q1862" t="n">
        <v>0</v>
      </c>
      <c r="R1862" s="2" t="inlineStr"/>
    </row>
    <row r="1863" ht="15" customHeight="1">
      <c r="A1863" t="inlineStr">
        <is>
          <t>A 42043-2022</t>
        </is>
      </c>
      <c r="B1863" s="1" t="n">
        <v>44830</v>
      </c>
      <c r="C1863" s="1" t="n">
        <v>46075</v>
      </c>
      <c r="D1863" t="inlineStr">
        <is>
          <t>VÄSTERBOTTENS LÄN</t>
        </is>
      </c>
      <c r="E1863" t="inlineStr">
        <is>
          <t>UMEÅ</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27874-2022</t>
        </is>
      </c>
      <c r="B1864" s="1" t="n">
        <v>44743</v>
      </c>
      <c r="C1864" s="1" t="n">
        <v>46075</v>
      </c>
      <c r="D1864" t="inlineStr">
        <is>
          <t>VÄSTERBOTTENS LÄN</t>
        </is>
      </c>
      <c r="E1864" t="inlineStr">
        <is>
          <t>VILHELMINA</t>
        </is>
      </c>
      <c r="F1864" t="inlineStr">
        <is>
          <t>Sveaskog</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27880-2022</t>
        </is>
      </c>
      <c r="B1865" s="1" t="n">
        <v>44743</v>
      </c>
      <c r="C1865" s="1" t="n">
        <v>46075</v>
      </c>
      <c r="D1865" t="inlineStr">
        <is>
          <t>VÄSTERBOTTENS LÄN</t>
        </is>
      </c>
      <c r="E1865" t="inlineStr">
        <is>
          <t>VILHELMINA</t>
        </is>
      </c>
      <c r="F1865" t="inlineStr">
        <is>
          <t>Sveaskog</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47287-2022</t>
        </is>
      </c>
      <c r="B1866" s="1" t="n">
        <v>44852.95145833334</v>
      </c>
      <c r="C1866" s="1" t="n">
        <v>46075</v>
      </c>
      <c r="D1866" t="inlineStr">
        <is>
          <t>VÄSTERBOTTENS LÄN</t>
        </is>
      </c>
      <c r="E1866" t="inlineStr">
        <is>
          <t>VILHELMINA</t>
        </is>
      </c>
      <c r="F1866" t="inlineStr">
        <is>
          <t>SCA</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25859-2021</t>
        </is>
      </c>
      <c r="B1867" s="1" t="n">
        <v>44343</v>
      </c>
      <c r="C1867" s="1" t="n">
        <v>46075</v>
      </c>
      <c r="D1867" t="inlineStr">
        <is>
          <t>VÄSTERBOTTENS LÄN</t>
        </is>
      </c>
      <c r="E1867" t="inlineStr">
        <is>
          <t>UMEÅ</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22568-2021</t>
        </is>
      </c>
      <c r="B1868" s="1" t="n">
        <v>44322</v>
      </c>
      <c r="C1868" s="1" t="n">
        <v>46075</v>
      </c>
      <c r="D1868" t="inlineStr">
        <is>
          <t>VÄSTERBOTTENS LÄN</t>
        </is>
      </c>
      <c r="E1868" t="inlineStr">
        <is>
          <t>SKELLEFTEÅ</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71410-2021</t>
        </is>
      </c>
      <c r="B1869" s="1" t="n">
        <v>44540.36674768518</v>
      </c>
      <c r="C1869" s="1" t="n">
        <v>46075</v>
      </c>
      <c r="D1869" t="inlineStr">
        <is>
          <t>VÄSTERBOTTENS LÄN</t>
        </is>
      </c>
      <c r="E1869" t="inlineStr">
        <is>
          <t>SKELLEFTEÅ</t>
        </is>
      </c>
      <c r="F1869" t="inlineStr">
        <is>
          <t>Sveaskog</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47288-2022</t>
        </is>
      </c>
      <c r="B1870" s="1" t="n">
        <v>44852</v>
      </c>
      <c r="C1870" s="1" t="n">
        <v>46075</v>
      </c>
      <c r="D1870" t="inlineStr">
        <is>
          <t>VÄSTERBOTTENS LÄN</t>
        </is>
      </c>
      <c r="E1870" t="inlineStr">
        <is>
          <t>VILHELMINA</t>
        </is>
      </c>
      <c r="F1870" t="inlineStr">
        <is>
          <t>SCA</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39732-2022</t>
        </is>
      </c>
      <c r="B1871" s="1" t="n">
        <v>44819.34829861111</v>
      </c>
      <c r="C1871" s="1" t="n">
        <v>46075</v>
      </c>
      <c r="D1871" t="inlineStr">
        <is>
          <t>VÄSTERBOTTENS LÄN</t>
        </is>
      </c>
      <c r="E1871" t="inlineStr">
        <is>
          <t>SKELLEFTEÅ</t>
        </is>
      </c>
      <c r="F1871" t="inlineStr">
        <is>
          <t>Holmen skog AB</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9045-2021</t>
        </is>
      </c>
      <c r="B1872" s="1" t="n">
        <v>44249</v>
      </c>
      <c r="C1872" s="1" t="n">
        <v>46075</v>
      </c>
      <c r="D1872" t="inlineStr">
        <is>
          <t>VÄSTERBOTTENS LÄN</t>
        </is>
      </c>
      <c r="E1872" t="inlineStr">
        <is>
          <t>SKELLEFTEÅ</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17581-2022</t>
        </is>
      </c>
      <c r="B1873" s="1" t="n">
        <v>44679.92644675926</v>
      </c>
      <c r="C1873" s="1" t="n">
        <v>46075</v>
      </c>
      <c r="D1873" t="inlineStr">
        <is>
          <t>VÄSTERBOTTENS LÄN</t>
        </is>
      </c>
      <c r="E1873" t="inlineStr">
        <is>
          <t>VINDELN</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32436-2022</t>
        </is>
      </c>
      <c r="B1874" s="1" t="n">
        <v>44782</v>
      </c>
      <c r="C1874" s="1" t="n">
        <v>46075</v>
      </c>
      <c r="D1874" t="inlineStr">
        <is>
          <t>VÄSTERBOTTENS LÄN</t>
        </is>
      </c>
      <c r="E1874" t="inlineStr">
        <is>
          <t>SKELLEFTEÅ</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45964-2022</t>
        </is>
      </c>
      <c r="B1875" s="1" t="n">
        <v>44846</v>
      </c>
      <c r="C1875" s="1" t="n">
        <v>46075</v>
      </c>
      <c r="D1875" t="inlineStr">
        <is>
          <t>VÄSTERBOTTENS LÄN</t>
        </is>
      </c>
      <c r="E1875" t="inlineStr">
        <is>
          <t>LYCKSELE</t>
        </is>
      </c>
      <c r="F1875" t="inlineStr">
        <is>
          <t>Holmen skog AB</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45985-2022</t>
        </is>
      </c>
      <c r="B1876" s="1" t="n">
        <v>44844</v>
      </c>
      <c r="C1876" s="1" t="n">
        <v>46075</v>
      </c>
      <c r="D1876" t="inlineStr">
        <is>
          <t>VÄSTERBOTTENS LÄN</t>
        </is>
      </c>
      <c r="E1876" t="inlineStr">
        <is>
          <t>SKELLEFTEÅ</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48283-2022</t>
        </is>
      </c>
      <c r="B1877" s="1" t="n">
        <v>44858</v>
      </c>
      <c r="C1877" s="1" t="n">
        <v>46075</v>
      </c>
      <c r="D1877" t="inlineStr">
        <is>
          <t>VÄSTERBOTTENS LÄN</t>
        </is>
      </c>
      <c r="E1877" t="inlineStr">
        <is>
          <t>ÅSELE</t>
        </is>
      </c>
      <c r="F1877" t="inlineStr">
        <is>
          <t>Sveaskog</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4084-2022</t>
        </is>
      </c>
      <c r="B1878" s="1" t="n">
        <v>44588.39104166667</v>
      </c>
      <c r="C1878" s="1" t="n">
        <v>46075</v>
      </c>
      <c r="D1878" t="inlineStr">
        <is>
          <t>VÄSTERBOTTENS LÄN</t>
        </is>
      </c>
      <c r="E1878" t="inlineStr">
        <is>
          <t>UMEÅ</t>
        </is>
      </c>
      <c r="F1878" t="inlineStr">
        <is>
          <t>Holmen skog AB</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43591-2021</t>
        </is>
      </c>
      <c r="B1879" s="1" t="n">
        <v>44433</v>
      </c>
      <c r="C1879" s="1" t="n">
        <v>46075</v>
      </c>
      <c r="D1879" t="inlineStr">
        <is>
          <t>VÄSTERBOTTENS LÄN</t>
        </is>
      </c>
      <c r="E1879" t="inlineStr">
        <is>
          <t>UMEÅ</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69627-2021</t>
        </is>
      </c>
      <c r="B1880" s="1" t="n">
        <v>44532.41537037037</v>
      </c>
      <c r="C1880" s="1" t="n">
        <v>46075</v>
      </c>
      <c r="D1880" t="inlineStr">
        <is>
          <t>VÄSTERBOTTENS LÄN</t>
        </is>
      </c>
      <c r="E1880" t="inlineStr">
        <is>
          <t>LYCKSELE</t>
        </is>
      </c>
      <c r="F1880" t="inlineStr">
        <is>
          <t>Sveaskog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39019-2022</t>
        </is>
      </c>
      <c r="B1881" s="1" t="n">
        <v>44817</v>
      </c>
      <c r="C1881" s="1" t="n">
        <v>46075</v>
      </c>
      <c r="D1881" t="inlineStr">
        <is>
          <t>VÄSTERBOTTENS LÄN</t>
        </is>
      </c>
      <c r="E1881" t="inlineStr">
        <is>
          <t>SKELLEFTEÅ</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47748-2022</t>
        </is>
      </c>
      <c r="B1882" s="1" t="n">
        <v>44854.65578703704</v>
      </c>
      <c r="C1882" s="1" t="n">
        <v>46075</v>
      </c>
      <c r="D1882" t="inlineStr">
        <is>
          <t>VÄSTERBOTTENS LÄN</t>
        </is>
      </c>
      <c r="E1882" t="inlineStr">
        <is>
          <t>NORDMALING</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17149-2022</t>
        </is>
      </c>
      <c r="B1883" s="1" t="n">
        <v>44677</v>
      </c>
      <c r="C1883" s="1" t="n">
        <v>46075</v>
      </c>
      <c r="D1883" t="inlineStr">
        <is>
          <t>VÄSTERBOTTENS LÄN</t>
        </is>
      </c>
      <c r="E1883" t="inlineStr">
        <is>
          <t>STORUMAN</t>
        </is>
      </c>
      <c r="F1883" t="inlineStr">
        <is>
          <t>Sveaskog</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39836-2022</t>
        </is>
      </c>
      <c r="B1884" s="1" t="n">
        <v>44819.5896875</v>
      </c>
      <c r="C1884" s="1" t="n">
        <v>46075</v>
      </c>
      <c r="D1884" t="inlineStr">
        <is>
          <t>VÄSTERBOTTENS LÄN</t>
        </is>
      </c>
      <c r="E1884" t="inlineStr">
        <is>
          <t>ROBERTSFORS</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40219-2022</t>
        </is>
      </c>
      <c r="B1885" s="1" t="n">
        <v>44820</v>
      </c>
      <c r="C1885" s="1" t="n">
        <v>46075</v>
      </c>
      <c r="D1885" t="inlineStr">
        <is>
          <t>VÄSTERBOTTENS LÄN</t>
        </is>
      </c>
      <c r="E1885" t="inlineStr">
        <is>
          <t>SKELLEFTEÅ</t>
        </is>
      </c>
      <c r="F1885" t="inlineStr">
        <is>
          <t>Sveaskog</t>
        </is>
      </c>
      <c r="G1885" t="n">
        <v>12.7</v>
      </c>
      <c r="H1885" t="n">
        <v>0</v>
      </c>
      <c r="I1885" t="n">
        <v>0</v>
      </c>
      <c r="J1885" t="n">
        <v>0</v>
      </c>
      <c r="K1885" t="n">
        <v>0</v>
      </c>
      <c r="L1885" t="n">
        <v>0</v>
      </c>
      <c r="M1885" t="n">
        <v>0</v>
      </c>
      <c r="N1885" t="n">
        <v>0</v>
      </c>
      <c r="O1885" t="n">
        <v>0</v>
      </c>
      <c r="P1885" t="n">
        <v>0</v>
      </c>
      <c r="Q1885" t="n">
        <v>0</v>
      </c>
      <c r="R1885" s="2" t="inlineStr"/>
    </row>
    <row r="1886" ht="15" customHeight="1">
      <c r="A1886" t="inlineStr">
        <is>
          <t>A 17197-2022</t>
        </is>
      </c>
      <c r="B1886" s="1" t="n">
        <v>44677.75340277778</v>
      </c>
      <c r="C1886" s="1" t="n">
        <v>46075</v>
      </c>
      <c r="D1886" t="inlineStr">
        <is>
          <t>VÄSTERBOTTENS LÄN</t>
        </is>
      </c>
      <c r="E1886" t="inlineStr">
        <is>
          <t>SKELLEFTEÅ</t>
        </is>
      </c>
      <c r="G1886" t="n">
        <v>5.8</v>
      </c>
      <c r="H1886" t="n">
        <v>0</v>
      </c>
      <c r="I1886" t="n">
        <v>0</v>
      </c>
      <c r="J1886" t="n">
        <v>0</v>
      </c>
      <c r="K1886" t="n">
        <v>0</v>
      </c>
      <c r="L1886" t="n">
        <v>0</v>
      </c>
      <c r="M1886" t="n">
        <v>0</v>
      </c>
      <c r="N1886" t="n">
        <v>0</v>
      </c>
      <c r="O1886" t="n">
        <v>0</v>
      </c>
      <c r="P1886" t="n">
        <v>0</v>
      </c>
      <c r="Q1886" t="n">
        <v>0</v>
      </c>
      <c r="R1886" s="2" t="inlineStr"/>
    </row>
    <row r="1887" ht="15" customHeight="1">
      <c r="A1887" t="inlineStr">
        <is>
          <t>A 72377-2021</t>
        </is>
      </c>
      <c r="B1887" s="1" t="n">
        <v>44544</v>
      </c>
      <c r="C1887" s="1" t="n">
        <v>46075</v>
      </c>
      <c r="D1887" t="inlineStr">
        <is>
          <t>VÄSTERBOTTENS LÄN</t>
        </is>
      </c>
      <c r="E1887" t="inlineStr">
        <is>
          <t>LYCKSELE</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44185-2022</t>
        </is>
      </c>
      <c r="B1888" s="1" t="n">
        <v>44839.46023148148</v>
      </c>
      <c r="C1888" s="1" t="n">
        <v>46075</v>
      </c>
      <c r="D1888" t="inlineStr">
        <is>
          <t>VÄSTERBOTTENS LÄN</t>
        </is>
      </c>
      <c r="E1888" t="inlineStr">
        <is>
          <t>UMEÅ</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51093-2022</t>
        </is>
      </c>
      <c r="B1889" s="1" t="n">
        <v>44865</v>
      </c>
      <c r="C1889" s="1" t="n">
        <v>46075</v>
      </c>
      <c r="D1889" t="inlineStr">
        <is>
          <t>VÄSTERBOTTENS LÄN</t>
        </is>
      </c>
      <c r="E1889" t="inlineStr">
        <is>
          <t>VINDELN</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28381-2022</t>
        </is>
      </c>
      <c r="B1890" s="1" t="n">
        <v>44747</v>
      </c>
      <c r="C1890" s="1" t="n">
        <v>46075</v>
      </c>
      <c r="D1890" t="inlineStr">
        <is>
          <t>VÄSTERBOTTENS LÄN</t>
        </is>
      </c>
      <c r="E1890" t="inlineStr">
        <is>
          <t>ÅSELE</t>
        </is>
      </c>
      <c r="F1890" t="inlineStr">
        <is>
          <t>Sveaskog</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49527-2022</t>
        </is>
      </c>
      <c r="B1891" s="1" t="n">
        <v>44861.95710648148</v>
      </c>
      <c r="C1891" s="1" t="n">
        <v>46075</v>
      </c>
      <c r="D1891" t="inlineStr">
        <is>
          <t>VÄSTERBOTTENS LÄN</t>
        </is>
      </c>
      <c r="E1891" t="inlineStr">
        <is>
          <t>ÅSELE</t>
        </is>
      </c>
      <c r="F1891" t="inlineStr">
        <is>
          <t>SCA</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27637-2022</t>
        </is>
      </c>
      <c r="B1892" s="1" t="n">
        <v>44743</v>
      </c>
      <c r="C1892" s="1" t="n">
        <v>46075</v>
      </c>
      <c r="D1892" t="inlineStr">
        <is>
          <t>VÄSTERBOTTENS LÄN</t>
        </is>
      </c>
      <c r="E1892" t="inlineStr">
        <is>
          <t>SKELLEFTEÅ</t>
        </is>
      </c>
      <c r="G1892" t="n">
        <v>5.4</v>
      </c>
      <c r="H1892" t="n">
        <v>0</v>
      </c>
      <c r="I1892" t="n">
        <v>0</v>
      </c>
      <c r="J1892" t="n">
        <v>0</v>
      </c>
      <c r="K1892" t="n">
        <v>0</v>
      </c>
      <c r="L1892" t="n">
        <v>0</v>
      </c>
      <c r="M1892" t="n">
        <v>0</v>
      </c>
      <c r="N1892" t="n">
        <v>0</v>
      </c>
      <c r="O1892" t="n">
        <v>0</v>
      </c>
      <c r="P1892" t="n">
        <v>0</v>
      </c>
      <c r="Q1892" t="n">
        <v>0</v>
      </c>
      <c r="R1892" s="2" t="inlineStr"/>
    </row>
    <row r="1893" ht="15" customHeight="1">
      <c r="A1893" t="inlineStr">
        <is>
          <t>A 15644-2022</t>
        </is>
      </c>
      <c r="B1893" s="1" t="n">
        <v>44662.92425925926</v>
      </c>
      <c r="C1893" s="1" t="n">
        <v>46075</v>
      </c>
      <c r="D1893" t="inlineStr">
        <is>
          <t>VÄSTERBOTTENS LÄN</t>
        </is>
      </c>
      <c r="E1893" t="inlineStr">
        <is>
          <t>ROBERTSFORS</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27844-2022</t>
        </is>
      </c>
      <c r="B1894" s="1" t="n">
        <v>44743.620625</v>
      </c>
      <c r="C1894" s="1" t="n">
        <v>46075</v>
      </c>
      <c r="D1894" t="inlineStr">
        <is>
          <t>VÄSTERBOTTENS LÄN</t>
        </is>
      </c>
      <c r="E1894" t="inlineStr">
        <is>
          <t>VILHELMINA</t>
        </is>
      </c>
      <c r="F1894" t="inlineStr">
        <is>
          <t>Sveaskog</t>
        </is>
      </c>
      <c r="G1894" t="n">
        <v>4.3</v>
      </c>
      <c r="H1894" t="n">
        <v>0</v>
      </c>
      <c r="I1894" t="n">
        <v>0</v>
      </c>
      <c r="J1894" t="n">
        <v>0</v>
      </c>
      <c r="K1894" t="n">
        <v>0</v>
      </c>
      <c r="L1894" t="n">
        <v>0</v>
      </c>
      <c r="M1894" t="n">
        <v>0</v>
      </c>
      <c r="N1894" t="n">
        <v>0</v>
      </c>
      <c r="O1894" t="n">
        <v>0</v>
      </c>
      <c r="P1894" t="n">
        <v>0</v>
      </c>
      <c r="Q1894" t="n">
        <v>0</v>
      </c>
      <c r="R1894" s="2" t="inlineStr"/>
    </row>
    <row r="1895" ht="15" customHeight="1">
      <c r="A1895" t="inlineStr">
        <is>
          <t>A 47109-2021</t>
        </is>
      </c>
      <c r="B1895" s="1" t="n">
        <v>44446</v>
      </c>
      <c r="C1895" s="1" t="n">
        <v>46075</v>
      </c>
      <c r="D1895" t="inlineStr">
        <is>
          <t>VÄSTERBOTTENS LÄN</t>
        </is>
      </c>
      <c r="E1895" t="inlineStr">
        <is>
          <t>VINDELN</t>
        </is>
      </c>
      <c r="F1895" t="inlineStr">
        <is>
          <t>Sveaskog</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44730-2022</t>
        </is>
      </c>
      <c r="B1896" s="1" t="n">
        <v>44840</v>
      </c>
      <c r="C1896" s="1" t="n">
        <v>46075</v>
      </c>
      <c r="D1896" t="inlineStr">
        <is>
          <t>VÄSTERBOTTENS LÄN</t>
        </is>
      </c>
      <c r="E1896" t="inlineStr">
        <is>
          <t>UMEÅ</t>
        </is>
      </c>
      <c r="G1896" t="n">
        <v>3</v>
      </c>
      <c r="H1896" t="n">
        <v>0</v>
      </c>
      <c r="I1896" t="n">
        <v>0</v>
      </c>
      <c r="J1896" t="n">
        <v>0</v>
      </c>
      <c r="K1896" t="n">
        <v>0</v>
      </c>
      <c r="L1896" t="n">
        <v>0</v>
      </c>
      <c r="M1896" t="n">
        <v>0</v>
      </c>
      <c r="N1896" t="n">
        <v>0</v>
      </c>
      <c r="O1896" t="n">
        <v>0</v>
      </c>
      <c r="P1896" t="n">
        <v>0</v>
      </c>
      <c r="Q1896" t="n">
        <v>0</v>
      </c>
      <c r="R1896" s="2" t="inlineStr"/>
    </row>
    <row r="1897" ht="15" customHeight="1">
      <c r="A1897" t="inlineStr">
        <is>
          <t>A 47100-2021</t>
        </is>
      </c>
      <c r="B1897" s="1" t="n">
        <v>44446.67491898148</v>
      </c>
      <c r="C1897" s="1" t="n">
        <v>46075</v>
      </c>
      <c r="D1897" t="inlineStr">
        <is>
          <t>VÄSTERBOTTENS LÄN</t>
        </is>
      </c>
      <c r="E1897" t="inlineStr">
        <is>
          <t>VINDELN</t>
        </is>
      </c>
      <c r="F1897" t="inlineStr">
        <is>
          <t>Sveaskog</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29150-2021</t>
        </is>
      </c>
      <c r="B1898" s="1" t="n">
        <v>44358</v>
      </c>
      <c r="C1898" s="1" t="n">
        <v>46075</v>
      </c>
      <c r="D1898" t="inlineStr">
        <is>
          <t>VÄSTERBOTTENS LÄN</t>
        </is>
      </c>
      <c r="E1898" t="inlineStr">
        <is>
          <t>LYCKSELE</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51935-2021</t>
        </is>
      </c>
      <c r="B1899" s="1" t="n">
        <v>44462</v>
      </c>
      <c r="C1899" s="1" t="n">
        <v>46075</v>
      </c>
      <c r="D1899" t="inlineStr">
        <is>
          <t>VÄSTERBOTTENS LÄN</t>
        </is>
      </c>
      <c r="E1899" t="inlineStr">
        <is>
          <t>VILHELMINA</t>
        </is>
      </c>
      <c r="F1899" t="inlineStr">
        <is>
          <t>SCA</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33229-2021</t>
        </is>
      </c>
      <c r="B1900" s="1" t="n">
        <v>44376</v>
      </c>
      <c r="C1900" s="1" t="n">
        <v>46075</v>
      </c>
      <c r="D1900" t="inlineStr">
        <is>
          <t>VÄSTERBOTTENS LÄN</t>
        </is>
      </c>
      <c r="E1900" t="inlineStr">
        <is>
          <t>UMEÅ</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33234-2021</t>
        </is>
      </c>
      <c r="B1901" s="1" t="n">
        <v>44376</v>
      </c>
      <c r="C1901" s="1" t="n">
        <v>46075</v>
      </c>
      <c r="D1901" t="inlineStr">
        <is>
          <t>VÄSTERBOTTENS LÄN</t>
        </is>
      </c>
      <c r="E1901" t="inlineStr">
        <is>
          <t>SORSELE</t>
        </is>
      </c>
      <c r="G1901" t="n">
        <v>5.6</v>
      </c>
      <c r="H1901" t="n">
        <v>0</v>
      </c>
      <c r="I1901" t="n">
        <v>0</v>
      </c>
      <c r="J1901" t="n">
        <v>0</v>
      </c>
      <c r="K1901" t="n">
        <v>0</v>
      </c>
      <c r="L1901" t="n">
        <v>0</v>
      </c>
      <c r="M1901" t="n">
        <v>0</v>
      </c>
      <c r="N1901" t="n">
        <v>0</v>
      </c>
      <c r="O1901" t="n">
        <v>0</v>
      </c>
      <c r="P1901" t="n">
        <v>0</v>
      </c>
      <c r="Q1901" t="n">
        <v>0</v>
      </c>
      <c r="R1901" s="2" t="inlineStr"/>
    </row>
    <row r="1902" ht="15" customHeight="1">
      <c r="A1902" t="inlineStr">
        <is>
          <t>A 21814-2022</t>
        </is>
      </c>
      <c r="B1902" s="1" t="n">
        <v>44708</v>
      </c>
      <c r="C1902" s="1" t="n">
        <v>46075</v>
      </c>
      <c r="D1902" t="inlineStr">
        <is>
          <t>VÄSTERBOTTENS LÄN</t>
        </is>
      </c>
      <c r="E1902" t="inlineStr">
        <is>
          <t>VILHELMINA</t>
        </is>
      </c>
      <c r="F1902" t="inlineStr">
        <is>
          <t>SCA</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27104-2022</t>
        </is>
      </c>
      <c r="B1903" s="1" t="n">
        <v>44741</v>
      </c>
      <c r="C1903" s="1" t="n">
        <v>46075</v>
      </c>
      <c r="D1903" t="inlineStr">
        <is>
          <t>VÄSTERBOTTENS LÄN</t>
        </is>
      </c>
      <c r="E1903" t="inlineStr">
        <is>
          <t>UMEÅ</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66250-2021</t>
        </is>
      </c>
      <c r="B1904" s="1" t="n">
        <v>44518.42975694445</v>
      </c>
      <c r="C1904" s="1" t="n">
        <v>46075</v>
      </c>
      <c r="D1904" t="inlineStr">
        <is>
          <t>VÄSTERBOTTENS LÄN</t>
        </is>
      </c>
      <c r="E1904" t="inlineStr">
        <is>
          <t>SKELLEFTEÅ</t>
        </is>
      </c>
      <c r="F1904" t="inlineStr">
        <is>
          <t>Holmen skog AB</t>
        </is>
      </c>
      <c r="G1904" t="n">
        <v>5.2</v>
      </c>
      <c r="H1904" t="n">
        <v>0</v>
      </c>
      <c r="I1904" t="n">
        <v>0</v>
      </c>
      <c r="J1904" t="n">
        <v>0</v>
      </c>
      <c r="K1904" t="n">
        <v>0</v>
      </c>
      <c r="L1904" t="n">
        <v>0</v>
      </c>
      <c r="M1904" t="n">
        <v>0</v>
      </c>
      <c r="N1904" t="n">
        <v>0</v>
      </c>
      <c r="O1904" t="n">
        <v>0</v>
      </c>
      <c r="P1904" t="n">
        <v>0</v>
      </c>
      <c r="Q1904" t="n">
        <v>0</v>
      </c>
      <c r="R1904" s="2" t="inlineStr"/>
    </row>
    <row r="1905" ht="15" customHeight="1">
      <c r="A1905" t="inlineStr">
        <is>
          <t>A 7907-2022</t>
        </is>
      </c>
      <c r="B1905" s="1" t="n">
        <v>44608.6668287037</v>
      </c>
      <c r="C1905" s="1" t="n">
        <v>46075</v>
      </c>
      <c r="D1905" t="inlineStr">
        <is>
          <t>VÄSTERBOTTENS LÄN</t>
        </is>
      </c>
      <c r="E1905" t="inlineStr">
        <is>
          <t>BJURHOLM</t>
        </is>
      </c>
      <c r="G1905" t="n">
        <v>3.4</v>
      </c>
      <c r="H1905" t="n">
        <v>0</v>
      </c>
      <c r="I1905" t="n">
        <v>0</v>
      </c>
      <c r="J1905" t="n">
        <v>0</v>
      </c>
      <c r="K1905" t="n">
        <v>0</v>
      </c>
      <c r="L1905" t="n">
        <v>0</v>
      </c>
      <c r="M1905" t="n">
        <v>0</v>
      </c>
      <c r="N1905" t="n">
        <v>0</v>
      </c>
      <c r="O1905" t="n">
        <v>0</v>
      </c>
      <c r="P1905" t="n">
        <v>0</v>
      </c>
      <c r="Q1905" t="n">
        <v>0</v>
      </c>
      <c r="R1905" s="2" t="inlineStr"/>
    </row>
    <row r="1906" ht="15" customHeight="1">
      <c r="A1906" t="inlineStr">
        <is>
          <t>A 31722-2021</t>
        </is>
      </c>
      <c r="B1906" s="1" t="n">
        <v>44369.91984953704</v>
      </c>
      <c r="C1906" s="1" t="n">
        <v>46075</v>
      </c>
      <c r="D1906" t="inlineStr">
        <is>
          <t>VÄSTERBOTTENS LÄN</t>
        </is>
      </c>
      <c r="E1906" t="inlineStr">
        <is>
          <t>VILHELMINA</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39186-2021</t>
        </is>
      </c>
      <c r="B1907" s="1" t="n">
        <v>44412</v>
      </c>
      <c r="C1907" s="1" t="n">
        <v>46075</v>
      </c>
      <c r="D1907" t="inlineStr">
        <is>
          <t>VÄSTERBOTTENS LÄN</t>
        </is>
      </c>
      <c r="E1907" t="inlineStr">
        <is>
          <t>VILHELMINA</t>
        </is>
      </c>
      <c r="G1907" t="n">
        <v>0.3</v>
      </c>
      <c r="H1907" t="n">
        <v>0</v>
      </c>
      <c r="I1907" t="n">
        <v>0</v>
      </c>
      <c r="J1907" t="n">
        <v>0</v>
      </c>
      <c r="K1907" t="n">
        <v>0</v>
      </c>
      <c r="L1907" t="n">
        <v>0</v>
      </c>
      <c r="M1907" t="n">
        <v>0</v>
      </c>
      <c r="N1907" t="n">
        <v>0</v>
      </c>
      <c r="O1907" t="n">
        <v>0</v>
      </c>
      <c r="P1907" t="n">
        <v>0</v>
      </c>
      <c r="Q1907" t="n">
        <v>0</v>
      </c>
      <c r="R1907" s="2" t="inlineStr"/>
    </row>
    <row r="1908" ht="15" customHeight="1">
      <c r="A1908" t="inlineStr">
        <is>
          <t>A 28994-2022</t>
        </is>
      </c>
      <c r="B1908" s="1" t="n">
        <v>44749</v>
      </c>
      <c r="C1908" s="1" t="n">
        <v>46075</v>
      </c>
      <c r="D1908" t="inlineStr">
        <is>
          <t>VÄSTERBOTTENS LÄN</t>
        </is>
      </c>
      <c r="E1908" t="inlineStr">
        <is>
          <t>LYCKSELE</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57848-2021</t>
        </is>
      </c>
      <c r="B1909" s="1" t="n">
        <v>44484</v>
      </c>
      <c r="C1909" s="1" t="n">
        <v>46075</v>
      </c>
      <c r="D1909" t="inlineStr">
        <is>
          <t>VÄSTERBOTTENS LÄN</t>
        </is>
      </c>
      <c r="E1909" t="inlineStr">
        <is>
          <t>LYCKSELE</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48082-2022</t>
        </is>
      </c>
      <c r="B1910" s="1" t="n">
        <v>44855.94578703704</v>
      </c>
      <c r="C1910" s="1" t="n">
        <v>46075</v>
      </c>
      <c r="D1910" t="inlineStr">
        <is>
          <t>VÄSTERBOTTENS LÄN</t>
        </is>
      </c>
      <c r="E1910" t="inlineStr">
        <is>
          <t>SKELLEFTEÅ</t>
        </is>
      </c>
      <c r="F1910" t="inlineStr">
        <is>
          <t>SCA</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26833-2022</t>
        </is>
      </c>
      <c r="B1911" s="1" t="n">
        <v>44740.47321759259</v>
      </c>
      <c r="C1911" s="1" t="n">
        <v>46075</v>
      </c>
      <c r="D1911" t="inlineStr">
        <is>
          <t>VÄSTERBOTTENS LÄN</t>
        </is>
      </c>
      <c r="E1911" t="inlineStr">
        <is>
          <t>BJURHOLM</t>
        </is>
      </c>
      <c r="F1911" t="inlineStr">
        <is>
          <t>Holmen skog AB</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69850-2021</t>
        </is>
      </c>
      <c r="B1912" s="1" t="n">
        <v>44532</v>
      </c>
      <c r="C1912" s="1" t="n">
        <v>46075</v>
      </c>
      <c r="D1912" t="inlineStr">
        <is>
          <t>VÄSTERBOTTENS LÄN</t>
        </is>
      </c>
      <c r="E1912" t="inlineStr">
        <is>
          <t>VILHELMINA</t>
        </is>
      </c>
      <c r="G1912" t="n">
        <v>6.8</v>
      </c>
      <c r="H1912" t="n">
        <v>0</v>
      </c>
      <c r="I1912" t="n">
        <v>0</v>
      </c>
      <c r="J1912" t="n">
        <v>0</v>
      </c>
      <c r="K1912" t="n">
        <v>0</v>
      </c>
      <c r="L1912" t="n">
        <v>0</v>
      </c>
      <c r="M1912" t="n">
        <v>0</v>
      </c>
      <c r="N1912" t="n">
        <v>0</v>
      </c>
      <c r="O1912" t="n">
        <v>0</v>
      </c>
      <c r="P1912" t="n">
        <v>0</v>
      </c>
      <c r="Q1912" t="n">
        <v>0</v>
      </c>
      <c r="R1912" s="2" t="inlineStr"/>
    </row>
    <row r="1913" ht="15" customHeight="1">
      <c r="A1913" t="inlineStr">
        <is>
          <t>A 29092-2022</t>
        </is>
      </c>
      <c r="B1913" s="1" t="n">
        <v>44750</v>
      </c>
      <c r="C1913" s="1" t="n">
        <v>46075</v>
      </c>
      <c r="D1913" t="inlineStr">
        <is>
          <t>VÄSTERBOTTENS LÄN</t>
        </is>
      </c>
      <c r="E1913" t="inlineStr">
        <is>
          <t>SKELLEFTEÅ</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51982-2022</t>
        </is>
      </c>
      <c r="B1914" s="1" t="n">
        <v>44872.82622685185</v>
      </c>
      <c r="C1914" s="1" t="n">
        <v>46075</v>
      </c>
      <c r="D1914" t="inlineStr">
        <is>
          <t>VÄSTERBOTTENS LÄN</t>
        </is>
      </c>
      <c r="E1914" t="inlineStr">
        <is>
          <t>SKELLEFTEÅ</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39988-2022</t>
        </is>
      </c>
      <c r="B1915" s="1" t="n">
        <v>44820</v>
      </c>
      <c r="C1915" s="1" t="n">
        <v>46075</v>
      </c>
      <c r="D1915" t="inlineStr">
        <is>
          <t>VÄSTERBOTTENS LÄN</t>
        </is>
      </c>
      <c r="E1915" t="inlineStr">
        <is>
          <t>NORSJÖ</t>
        </is>
      </c>
      <c r="G1915" t="n">
        <v>7.5</v>
      </c>
      <c r="H1915" t="n">
        <v>0</v>
      </c>
      <c r="I1915" t="n">
        <v>0</v>
      </c>
      <c r="J1915" t="n">
        <v>0</v>
      </c>
      <c r="K1915" t="n">
        <v>0</v>
      </c>
      <c r="L1915" t="n">
        <v>0</v>
      </c>
      <c r="M1915" t="n">
        <v>0</v>
      </c>
      <c r="N1915" t="n">
        <v>0</v>
      </c>
      <c r="O1915" t="n">
        <v>0</v>
      </c>
      <c r="P1915" t="n">
        <v>0</v>
      </c>
      <c r="Q1915" t="n">
        <v>0</v>
      </c>
      <c r="R1915" s="2" t="inlineStr"/>
    </row>
    <row r="1916" ht="15" customHeight="1">
      <c r="A1916" t="inlineStr">
        <is>
          <t>A 35195-2022</t>
        </is>
      </c>
      <c r="B1916" s="1" t="n">
        <v>44797</v>
      </c>
      <c r="C1916" s="1" t="n">
        <v>46075</v>
      </c>
      <c r="D1916" t="inlineStr">
        <is>
          <t>VÄSTERBOTTENS LÄN</t>
        </is>
      </c>
      <c r="E1916" t="inlineStr">
        <is>
          <t>VINDELN</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19962-2022</t>
        </is>
      </c>
      <c r="B1917" s="1" t="n">
        <v>44697</v>
      </c>
      <c r="C1917" s="1" t="n">
        <v>46075</v>
      </c>
      <c r="D1917" t="inlineStr">
        <is>
          <t>VÄSTERBOTTENS LÄN</t>
        </is>
      </c>
      <c r="E1917" t="inlineStr">
        <is>
          <t>ROBERTSFORS</t>
        </is>
      </c>
      <c r="F1917" t="inlineStr">
        <is>
          <t>Holmen skog AB</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2902-2022</t>
        </is>
      </c>
      <c r="B1918" s="1" t="n">
        <v>44581</v>
      </c>
      <c r="C1918" s="1" t="n">
        <v>46075</v>
      </c>
      <c r="D1918" t="inlineStr">
        <is>
          <t>VÄSTERBOTTENS LÄN</t>
        </is>
      </c>
      <c r="E1918" t="inlineStr">
        <is>
          <t>VINDELN</t>
        </is>
      </c>
      <c r="G1918" t="n">
        <v>4</v>
      </c>
      <c r="H1918" t="n">
        <v>0</v>
      </c>
      <c r="I1918" t="n">
        <v>0</v>
      </c>
      <c r="J1918" t="n">
        <v>0</v>
      </c>
      <c r="K1918" t="n">
        <v>0</v>
      </c>
      <c r="L1918" t="n">
        <v>0</v>
      </c>
      <c r="M1918" t="n">
        <v>0</v>
      </c>
      <c r="N1918" t="n">
        <v>0</v>
      </c>
      <c r="O1918" t="n">
        <v>0</v>
      </c>
      <c r="P1918" t="n">
        <v>0</v>
      </c>
      <c r="Q1918" t="n">
        <v>0</v>
      </c>
      <c r="R1918" s="2" t="inlineStr"/>
    </row>
    <row r="1919" ht="15" customHeight="1">
      <c r="A1919" t="inlineStr">
        <is>
          <t>A 18399-2022</t>
        </is>
      </c>
      <c r="B1919" s="1" t="n">
        <v>44685</v>
      </c>
      <c r="C1919" s="1" t="n">
        <v>46075</v>
      </c>
      <c r="D1919" t="inlineStr">
        <is>
          <t>VÄSTERBOTTENS LÄN</t>
        </is>
      </c>
      <c r="E1919" t="inlineStr">
        <is>
          <t>VINDELN</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43273-2021</t>
        </is>
      </c>
      <c r="B1920" s="1" t="n">
        <v>44432</v>
      </c>
      <c r="C1920" s="1" t="n">
        <v>46075</v>
      </c>
      <c r="D1920" t="inlineStr">
        <is>
          <t>VÄSTERBOTTENS LÄN</t>
        </is>
      </c>
      <c r="E1920" t="inlineStr">
        <is>
          <t>VINDELN</t>
        </is>
      </c>
      <c r="F1920" t="inlineStr">
        <is>
          <t>Sveaskog</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32459-2022</t>
        </is>
      </c>
      <c r="B1921" s="1" t="n">
        <v>44782</v>
      </c>
      <c r="C1921" s="1" t="n">
        <v>46075</v>
      </c>
      <c r="D1921" t="inlineStr">
        <is>
          <t>VÄSTERBOTTENS LÄN</t>
        </is>
      </c>
      <c r="E1921" t="inlineStr">
        <is>
          <t>STORUMAN</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43556-2022</t>
        </is>
      </c>
      <c r="B1922" s="1" t="n">
        <v>44837</v>
      </c>
      <c r="C1922" s="1" t="n">
        <v>46075</v>
      </c>
      <c r="D1922" t="inlineStr">
        <is>
          <t>VÄSTERBOTTENS LÄN</t>
        </is>
      </c>
      <c r="E1922" t="inlineStr">
        <is>
          <t>LYCKSELE</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22550-2022</t>
        </is>
      </c>
      <c r="B1923" s="1" t="n">
        <v>44713</v>
      </c>
      <c r="C1923" s="1" t="n">
        <v>46075</v>
      </c>
      <c r="D1923" t="inlineStr">
        <is>
          <t>VÄSTERBOTTENS LÄN</t>
        </is>
      </c>
      <c r="E1923" t="inlineStr">
        <is>
          <t>ÅSELE</t>
        </is>
      </c>
      <c r="F1923" t="inlineStr">
        <is>
          <t>SCA</t>
        </is>
      </c>
      <c r="G1923" t="n">
        <v>7.9</v>
      </c>
      <c r="H1923" t="n">
        <v>0</v>
      </c>
      <c r="I1923" t="n">
        <v>0</v>
      </c>
      <c r="J1923" t="n">
        <v>0</v>
      </c>
      <c r="K1923" t="n">
        <v>0</v>
      </c>
      <c r="L1923" t="n">
        <v>0</v>
      </c>
      <c r="M1923" t="n">
        <v>0</v>
      </c>
      <c r="N1923" t="n">
        <v>0</v>
      </c>
      <c r="O1923" t="n">
        <v>0</v>
      </c>
      <c r="P1923" t="n">
        <v>0</v>
      </c>
      <c r="Q1923" t="n">
        <v>0</v>
      </c>
      <c r="R1923" s="2" t="inlineStr"/>
    </row>
    <row r="1924" ht="15" customHeight="1">
      <c r="A1924" t="inlineStr">
        <is>
          <t>A 47772-2022</t>
        </is>
      </c>
      <c r="B1924" s="1" t="n">
        <v>44854.92494212963</v>
      </c>
      <c r="C1924" s="1" t="n">
        <v>46075</v>
      </c>
      <c r="D1924" t="inlineStr">
        <is>
          <t>VÄSTERBOTTENS LÄN</t>
        </is>
      </c>
      <c r="E1924" t="inlineStr">
        <is>
          <t>VÄNNÄS</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61431-2021</t>
        </is>
      </c>
      <c r="B1925" s="1" t="n">
        <v>44500</v>
      </c>
      <c r="C1925" s="1" t="n">
        <v>46075</v>
      </c>
      <c r="D1925" t="inlineStr">
        <is>
          <t>VÄSTERBOTTENS LÄN</t>
        </is>
      </c>
      <c r="E1925" t="inlineStr">
        <is>
          <t>STORUMAN</t>
        </is>
      </c>
      <c r="F1925" t="inlineStr">
        <is>
          <t>SCA</t>
        </is>
      </c>
      <c r="G1925" t="n">
        <v>0.2</v>
      </c>
      <c r="H1925" t="n">
        <v>0</v>
      </c>
      <c r="I1925" t="n">
        <v>0</v>
      </c>
      <c r="J1925" t="n">
        <v>0</v>
      </c>
      <c r="K1925" t="n">
        <v>0</v>
      </c>
      <c r="L1925" t="n">
        <v>0</v>
      </c>
      <c r="M1925" t="n">
        <v>0</v>
      </c>
      <c r="N1925" t="n">
        <v>0</v>
      </c>
      <c r="O1925" t="n">
        <v>0</v>
      </c>
      <c r="P1925" t="n">
        <v>0</v>
      </c>
      <c r="Q1925" t="n">
        <v>0</v>
      </c>
      <c r="R1925" s="2" t="inlineStr"/>
    </row>
    <row r="1926" ht="15" customHeight="1">
      <c r="A1926" t="inlineStr">
        <is>
          <t>A 27951-2022</t>
        </is>
      </c>
      <c r="B1926" s="1" t="n">
        <v>44743.94396990741</v>
      </c>
      <c r="C1926" s="1" t="n">
        <v>46075</v>
      </c>
      <c r="D1926" t="inlineStr">
        <is>
          <t>VÄSTERBOTTENS LÄN</t>
        </is>
      </c>
      <c r="E1926" t="inlineStr">
        <is>
          <t>BJURHOLM</t>
        </is>
      </c>
      <c r="F1926" t="inlineStr">
        <is>
          <t>SCA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42905-2022</t>
        </is>
      </c>
      <c r="B1927" s="1" t="n">
        <v>44832.9546875</v>
      </c>
      <c r="C1927" s="1" t="n">
        <v>46075</v>
      </c>
      <c r="D1927" t="inlineStr">
        <is>
          <t>VÄSTERBOTTENS LÄN</t>
        </is>
      </c>
      <c r="E1927" t="inlineStr">
        <is>
          <t>NORDMALING</t>
        </is>
      </c>
      <c r="F1927" t="inlineStr">
        <is>
          <t>SCA</t>
        </is>
      </c>
      <c r="G1927" t="n">
        <v>5.8</v>
      </c>
      <c r="H1927" t="n">
        <v>0</v>
      </c>
      <c r="I1927" t="n">
        <v>0</v>
      </c>
      <c r="J1927" t="n">
        <v>0</v>
      </c>
      <c r="K1927" t="n">
        <v>0</v>
      </c>
      <c r="L1927" t="n">
        <v>0</v>
      </c>
      <c r="M1927" t="n">
        <v>0</v>
      </c>
      <c r="N1927" t="n">
        <v>0</v>
      </c>
      <c r="O1927" t="n">
        <v>0</v>
      </c>
      <c r="P1927" t="n">
        <v>0</v>
      </c>
      <c r="Q1927" t="n">
        <v>0</v>
      </c>
      <c r="R1927" s="2" t="inlineStr"/>
    </row>
    <row r="1928" ht="15" customHeight="1">
      <c r="A1928" t="inlineStr">
        <is>
          <t>A 38187-2022</t>
        </is>
      </c>
      <c r="B1928" s="1" t="n">
        <v>44812</v>
      </c>
      <c r="C1928" s="1" t="n">
        <v>46075</v>
      </c>
      <c r="D1928" t="inlineStr">
        <is>
          <t>VÄSTERBOTTENS LÄN</t>
        </is>
      </c>
      <c r="E1928" t="inlineStr">
        <is>
          <t>ROBERTSFORS</t>
        </is>
      </c>
      <c r="F1928" t="inlineStr">
        <is>
          <t>Holmen skog AB</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43917-2022</t>
        </is>
      </c>
      <c r="B1929" s="1" t="n">
        <v>44838.51583333333</v>
      </c>
      <c r="C1929" s="1" t="n">
        <v>46075</v>
      </c>
      <c r="D1929" t="inlineStr">
        <is>
          <t>VÄSTERBOTTENS LÄN</t>
        </is>
      </c>
      <c r="E1929" t="inlineStr">
        <is>
          <t>SKELLEFTEÅ</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36931-2022</t>
        </is>
      </c>
      <c r="B1930" s="1" t="n">
        <v>44805</v>
      </c>
      <c r="C1930" s="1" t="n">
        <v>46075</v>
      </c>
      <c r="D1930" t="inlineStr">
        <is>
          <t>VÄSTERBOTTENS LÄN</t>
        </is>
      </c>
      <c r="E1930" t="inlineStr">
        <is>
          <t>VILHELMINA</t>
        </is>
      </c>
      <c r="F1930" t="inlineStr">
        <is>
          <t>SCA</t>
        </is>
      </c>
      <c r="G1930" t="n">
        <v>3.9</v>
      </c>
      <c r="H1930" t="n">
        <v>0</v>
      </c>
      <c r="I1930" t="n">
        <v>0</v>
      </c>
      <c r="J1930" t="n">
        <v>0</v>
      </c>
      <c r="K1930" t="n">
        <v>0</v>
      </c>
      <c r="L1930" t="n">
        <v>0</v>
      </c>
      <c r="M1930" t="n">
        <v>0</v>
      </c>
      <c r="N1930" t="n">
        <v>0</v>
      </c>
      <c r="O1930" t="n">
        <v>0</v>
      </c>
      <c r="P1930" t="n">
        <v>0</v>
      </c>
      <c r="Q1930" t="n">
        <v>0</v>
      </c>
      <c r="R1930" s="2" t="inlineStr"/>
    </row>
    <row r="1931" ht="15" customHeight="1">
      <c r="A1931" t="inlineStr">
        <is>
          <t>A 17251-2022</t>
        </is>
      </c>
      <c r="B1931" s="1" t="n">
        <v>44678</v>
      </c>
      <c r="C1931" s="1" t="n">
        <v>46075</v>
      </c>
      <c r="D1931" t="inlineStr">
        <is>
          <t>VÄSTERBOTTENS LÄN</t>
        </is>
      </c>
      <c r="E1931" t="inlineStr">
        <is>
          <t>SKELLEFTEÅ</t>
        </is>
      </c>
      <c r="G1931" t="n">
        <v>5.4</v>
      </c>
      <c r="H1931" t="n">
        <v>0</v>
      </c>
      <c r="I1931" t="n">
        <v>0</v>
      </c>
      <c r="J1931" t="n">
        <v>0</v>
      </c>
      <c r="K1931" t="n">
        <v>0</v>
      </c>
      <c r="L1931" t="n">
        <v>0</v>
      </c>
      <c r="M1931" t="n">
        <v>0</v>
      </c>
      <c r="N1931" t="n">
        <v>0</v>
      </c>
      <c r="O1931" t="n">
        <v>0</v>
      </c>
      <c r="P1931" t="n">
        <v>0</v>
      </c>
      <c r="Q1931" t="n">
        <v>0</v>
      </c>
      <c r="R1931" s="2" t="inlineStr"/>
    </row>
    <row r="1932" ht="15" customHeight="1">
      <c r="A1932" t="inlineStr">
        <is>
          <t>A 53027-2022</t>
        </is>
      </c>
      <c r="B1932" s="1" t="n">
        <v>44875</v>
      </c>
      <c r="C1932" s="1" t="n">
        <v>46075</v>
      </c>
      <c r="D1932" t="inlineStr">
        <is>
          <t>VÄSTERBOTTENS LÄN</t>
        </is>
      </c>
      <c r="E1932" t="inlineStr">
        <is>
          <t>LYCKSELE</t>
        </is>
      </c>
      <c r="F1932" t="inlineStr">
        <is>
          <t>SCA</t>
        </is>
      </c>
      <c r="G1932" t="n">
        <v>4.5</v>
      </c>
      <c r="H1932" t="n">
        <v>0</v>
      </c>
      <c r="I1932" t="n">
        <v>0</v>
      </c>
      <c r="J1932" t="n">
        <v>0</v>
      </c>
      <c r="K1932" t="n">
        <v>0</v>
      </c>
      <c r="L1932" t="n">
        <v>0</v>
      </c>
      <c r="M1932" t="n">
        <v>0</v>
      </c>
      <c r="N1932" t="n">
        <v>0</v>
      </c>
      <c r="O1932" t="n">
        <v>0</v>
      </c>
      <c r="P1932" t="n">
        <v>0</v>
      </c>
      <c r="Q1932" t="n">
        <v>0</v>
      </c>
      <c r="R1932" s="2" t="inlineStr"/>
    </row>
    <row r="1933" ht="15" customHeight="1">
      <c r="A1933" t="inlineStr">
        <is>
          <t>A 53658-2022</t>
        </is>
      </c>
      <c r="B1933" s="1" t="n">
        <v>44879</v>
      </c>
      <c r="C1933" s="1" t="n">
        <v>46075</v>
      </c>
      <c r="D1933" t="inlineStr">
        <is>
          <t>VÄSTERBOTTENS LÄN</t>
        </is>
      </c>
      <c r="E1933" t="inlineStr">
        <is>
          <t>VILHELMINA</t>
        </is>
      </c>
      <c r="F1933" t="inlineStr">
        <is>
          <t>SCA</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44384-2022</t>
        </is>
      </c>
      <c r="B1934" s="1" t="n">
        <v>44839</v>
      </c>
      <c r="C1934" s="1" t="n">
        <v>46075</v>
      </c>
      <c r="D1934" t="inlineStr">
        <is>
          <t>VÄSTERBOTTENS LÄN</t>
        </is>
      </c>
      <c r="E1934" t="inlineStr">
        <is>
          <t>VINDELN</t>
        </is>
      </c>
      <c r="F1934" t="inlineStr">
        <is>
          <t>Holmen skog AB</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69226-2021</t>
        </is>
      </c>
      <c r="B1935" s="1" t="n">
        <v>44531</v>
      </c>
      <c r="C1935" s="1" t="n">
        <v>46075</v>
      </c>
      <c r="D1935" t="inlineStr">
        <is>
          <t>VÄSTERBOTTENS LÄN</t>
        </is>
      </c>
      <c r="E1935" t="inlineStr">
        <is>
          <t>LYCKSELE</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429-2022</t>
        </is>
      </c>
      <c r="B1936" s="1" t="n">
        <v>44565</v>
      </c>
      <c r="C1936" s="1" t="n">
        <v>46075</v>
      </c>
      <c r="D1936" t="inlineStr">
        <is>
          <t>VÄSTERBOTTENS LÄN</t>
        </is>
      </c>
      <c r="E1936" t="inlineStr">
        <is>
          <t>VÄNNÄS</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41645-2022</t>
        </is>
      </c>
      <c r="B1937" s="1" t="n">
        <v>44827.50721064815</v>
      </c>
      <c r="C1937" s="1" t="n">
        <v>46075</v>
      </c>
      <c r="D1937" t="inlineStr">
        <is>
          <t>VÄSTERBOTTENS LÄN</t>
        </is>
      </c>
      <c r="E1937" t="inlineStr">
        <is>
          <t>ROBERTSFORS</t>
        </is>
      </c>
      <c r="F1937" t="inlineStr">
        <is>
          <t>Holmen skog AB</t>
        </is>
      </c>
      <c r="G1937" t="n">
        <v>4.5</v>
      </c>
      <c r="H1937" t="n">
        <v>0</v>
      </c>
      <c r="I1937" t="n">
        <v>0</v>
      </c>
      <c r="J1937" t="n">
        <v>0</v>
      </c>
      <c r="K1937" t="n">
        <v>0</v>
      </c>
      <c r="L1937" t="n">
        <v>0</v>
      </c>
      <c r="M1937" t="n">
        <v>0</v>
      </c>
      <c r="N1937" t="n">
        <v>0</v>
      </c>
      <c r="O1937" t="n">
        <v>0</v>
      </c>
      <c r="P1937" t="n">
        <v>0</v>
      </c>
      <c r="Q1937" t="n">
        <v>0</v>
      </c>
      <c r="R1937" s="2" t="inlineStr"/>
    </row>
    <row r="1938" ht="15" customHeight="1">
      <c r="A1938" t="inlineStr">
        <is>
          <t>A 55156-2022</t>
        </is>
      </c>
      <c r="B1938" s="1" t="n">
        <v>44886.6896412037</v>
      </c>
      <c r="C1938" s="1" t="n">
        <v>46075</v>
      </c>
      <c r="D1938" t="inlineStr">
        <is>
          <t>VÄSTERBOTTENS LÄN</t>
        </is>
      </c>
      <c r="E1938" t="inlineStr">
        <is>
          <t>STORUMAN</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7376-2022</t>
        </is>
      </c>
      <c r="B1939" s="1" t="n">
        <v>44606</v>
      </c>
      <c r="C1939" s="1" t="n">
        <v>46075</v>
      </c>
      <c r="D1939" t="inlineStr">
        <is>
          <t>VÄSTERBOTTENS LÄN</t>
        </is>
      </c>
      <c r="E1939" t="inlineStr">
        <is>
          <t>UMEÅ</t>
        </is>
      </c>
      <c r="G1939" t="n">
        <v>16.1</v>
      </c>
      <c r="H1939" t="n">
        <v>0</v>
      </c>
      <c r="I1939" t="n">
        <v>0</v>
      </c>
      <c r="J1939" t="n">
        <v>0</v>
      </c>
      <c r="K1939" t="n">
        <v>0</v>
      </c>
      <c r="L1939" t="n">
        <v>0</v>
      </c>
      <c r="M1939" t="n">
        <v>0</v>
      </c>
      <c r="N1939" t="n">
        <v>0</v>
      </c>
      <c r="O1939" t="n">
        <v>0</v>
      </c>
      <c r="P1939" t="n">
        <v>0</v>
      </c>
      <c r="Q1939" t="n">
        <v>0</v>
      </c>
      <c r="R1939" s="2" t="inlineStr"/>
    </row>
    <row r="1940" ht="15" customHeight="1">
      <c r="A1940" t="inlineStr">
        <is>
          <t>A 15112-2021</t>
        </is>
      </c>
      <c r="B1940" s="1" t="n">
        <v>44282</v>
      </c>
      <c r="C1940" s="1" t="n">
        <v>46075</v>
      </c>
      <c r="D1940" t="inlineStr">
        <is>
          <t>VÄSTERBOTTENS LÄN</t>
        </is>
      </c>
      <c r="E1940" t="inlineStr">
        <is>
          <t>LYCKSELE</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15113-2021</t>
        </is>
      </c>
      <c r="B1941" s="1" t="n">
        <v>44282.3640625</v>
      </c>
      <c r="C1941" s="1" t="n">
        <v>46075</v>
      </c>
      <c r="D1941" t="inlineStr">
        <is>
          <t>VÄSTERBOTTENS LÄN</t>
        </is>
      </c>
      <c r="E1941" t="inlineStr">
        <is>
          <t>LYCKSELE</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3362-2022</t>
        </is>
      </c>
      <c r="B1942" s="1" t="n">
        <v>44585</v>
      </c>
      <c r="C1942" s="1" t="n">
        <v>46075</v>
      </c>
      <c r="D1942" t="inlineStr">
        <is>
          <t>VÄSTERBOTTENS LÄN</t>
        </is>
      </c>
      <c r="E1942" t="inlineStr">
        <is>
          <t>SKELLEFTEÅ</t>
        </is>
      </c>
      <c r="G1942" t="n">
        <v>0.2</v>
      </c>
      <c r="H1942" t="n">
        <v>0</v>
      </c>
      <c r="I1942" t="n">
        <v>0</v>
      </c>
      <c r="J1942" t="n">
        <v>0</v>
      </c>
      <c r="K1942" t="n">
        <v>0</v>
      </c>
      <c r="L1942" t="n">
        <v>0</v>
      </c>
      <c r="M1942" t="n">
        <v>0</v>
      </c>
      <c r="N1942" t="n">
        <v>0</v>
      </c>
      <c r="O1942" t="n">
        <v>0</v>
      </c>
      <c r="P1942" t="n">
        <v>0</v>
      </c>
      <c r="Q1942" t="n">
        <v>0</v>
      </c>
      <c r="R1942" s="2" t="inlineStr"/>
    </row>
    <row r="1943" ht="15" customHeight="1">
      <c r="A1943" t="inlineStr">
        <is>
          <t>A 46439-2022</t>
        </is>
      </c>
      <c r="B1943" s="1" t="n">
        <v>44848</v>
      </c>
      <c r="C1943" s="1" t="n">
        <v>46075</v>
      </c>
      <c r="D1943" t="inlineStr">
        <is>
          <t>VÄSTERBOTTENS LÄN</t>
        </is>
      </c>
      <c r="E1943" t="inlineStr">
        <is>
          <t>UMEÅ</t>
        </is>
      </c>
      <c r="F1943" t="inlineStr">
        <is>
          <t>Holmen skog AB</t>
        </is>
      </c>
      <c r="G1943" t="n">
        <v>5.4</v>
      </c>
      <c r="H1943" t="n">
        <v>0</v>
      </c>
      <c r="I1943" t="n">
        <v>0</v>
      </c>
      <c r="J1943" t="n">
        <v>0</v>
      </c>
      <c r="K1943" t="n">
        <v>0</v>
      </c>
      <c r="L1943" t="n">
        <v>0</v>
      </c>
      <c r="M1943" t="n">
        <v>0</v>
      </c>
      <c r="N1943" t="n">
        <v>0</v>
      </c>
      <c r="O1943" t="n">
        <v>0</v>
      </c>
      <c r="P1943" t="n">
        <v>0</v>
      </c>
      <c r="Q1943" t="n">
        <v>0</v>
      </c>
      <c r="R1943" s="2" t="inlineStr"/>
    </row>
    <row r="1944" ht="15" customHeight="1">
      <c r="A1944" t="inlineStr">
        <is>
          <t>A 70699-2021</t>
        </is>
      </c>
      <c r="B1944" s="1" t="n">
        <v>44536</v>
      </c>
      <c r="C1944" s="1" t="n">
        <v>46075</v>
      </c>
      <c r="D1944" t="inlineStr">
        <is>
          <t>VÄSTERBOTTENS LÄN</t>
        </is>
      </c>
      <c r="E1944" t="inlineStr">
        <is>
          <t>VINDELN</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70703-2021</t>
        </is>
      </c>
      <c r="B1945" s="1" t="n">
        <v>44536</v>
      </c>
      <c r="C1945" s="1" t="n">
        <v>46075</v>
      </c>
      <c r="D1945" t="inlineStr">
        <is>
          <t>VÄSTERBOTTENS LÄN</t>
        </is>
      </c>
      <c r="E1945" t="inlineStr">
        <is>
          <t>SKELLEFTEÅ</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35686-2022</t>
        </is>
      </c>
      <c r="B1946" s="1" t="n">
        <v>44799</v>
      </c>
      <c r="C1946" s="1" t="n">
        <v>46075</v>
      </c>
      <c r="D1946" t="inlineStr">
        <is>
          <t>VÄSTERBOTTENS LÄN</t>
        </is>
      </c>
      <c r="E1946" t="inlineStr">
        <is>
          <t>VILHELMINA</t>
        </is>
      </c>
      <c r="F1946" t="inlineStr">
        <is>
          <t>Övriga statliga verk och myndigheter</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6658-2022</t>
        </is>
      </c>
      <c r="B1947" s="1" t="n">
        <v>44602</v>
      </c>
      <c r="C1947" s="1" t="n">
        <v>46075</v>
      </c>
      <c r="D1947" t="inlineStr">
        <is>
          <t>VÄSTERBOTTENS LÄN</t>
        </is>
      </c>
      <c r="E1947" t="inlineStr">
        <is>
          <t>BJURHOLM</t>
        </is>
      </c>
      <c r="F1947" t="inlineStr">
        <is>
          <t>Holmen skog AB</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44822-2022</t>
        </is>
      </c>
      <c r="B1948" s="1" t="n">
        <v>44841.41417824074</v>
      </c>
      <c r="C1948" s="1" t="n">
        <v>46075</v>
      </c>
      <c r="D1948" t="inlineStr">
        <is>
          <t>VÄSTERBOTTENS LÄN</t>
        </is>
      </c>
      <c r="E1948" t="inlineStr">
        <is>
          <t>ROBERTSFORS</t>
        </is>
      </c>
      <c r="F1948" t="inlineStr">
        <is>
          <t>Holmen skog AB</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6666-2022</t>
        </is>
      </c>
      <c r="B1949" s="1" t="n">
        <v>44602.37965277778</v>
      </c>
      <c r="C1949" s="1" t="n">
        <v>46075</v>
      </c>
      <c r="D1949" t="inlineStr">
        <is>
          <t>VÄSTERBOTTENS LÄN</t>
        </is>
      </c>
      <c r="E1949" t="inlineStr">
        <is>
          <t>SKELLEFTEÅ</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7694-2022</t>
        </is>
      </c>
      <c r="B1950" s="1" t="n">
        <v>44607.94155092593</v>
      </c>
      <c r="C1950" s="1" t="n">
        <v>46075</v>
      </c>
      <c r="D1950" t="inlineStr">
        <is>
          <t>VÄSTERBOTTENS LÄN</t>
        </is>
      </c>
      <c r="E1950" t="inlineStr">
        <is>
          <t>ÅSELE</t>
        </is>
      </c>
      <c r="F1950" t="inlineStr">
        <is>
          <t>SCA</t>
        </is>
      </c>
      <c r="G1950" t="n">
        <v>3.8</v>
      </c>
      <c r="H1950" t="n">
        <v>0</v>
      </c>
      <c r="I1950" t="n">
        <v>0</v>
      </c>
      <c r="J1950" t="n">
        <v>0</v>
      </c>
      <c r="K1950" t="n">
        <v>0</v>
      </c>
      <c r="L1950" t="n">
        <v>0</v>
      </c>
      <c r="M1950" t="n">
        <v>0</v>
      </c>
      <c r="N1950" t="n">
        <v>0</v>
      </c>
      <c r="O1950" t="n">
        <v>0</v>
      </c>
      <c r="P1950" t="n">
        <v>0</v>
      </c>
      <c r="Q1950" t="n">
        <v>0</v>
      </c>
      <c r="R1950" s="2" t="inlineStr"/>
    </row>
    <row r="1951" ht="15" customHeight="1">
      <c r="A1951" t="inlineStr">
        <is>
          <t>A 41388-2022</t>
        </is>
      </c>
      <c r="B1951" s="1" t="n">
        <v>44826</v>
      </c>
      <c r="C1951" s="1" t="n">
        <v>46075</v>
      </c>
      <c r="D1951" t="inlineStr">
        <is>
          <t>VÄSTERBOTTENS LÄN</t>
        </is>
      </c>
      <c r="E1951" t="inlineStr">
        <is>
          <t>BJURHOLM</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21942-2022</t>
        </is>
      </c>
      <c r="B1952" s="1" t="n">
        <v>44711</v>
      </c>
      <c r="C1952" s="1" t="n">
        <v>46075</v>
      </c>
      <c r="D1952" t="inlineStr">
        <is>
          <t>VÄSTERBOTTENS LÄN</t>
        </is>
      </c>
      <c r="E1952" t="inlineStr">
        <is>
          <t>VINDELN</t>
        </is>
      </c>
      <c r="G1952" t="n">
        <v>11.2</v>
      </c>
      <c r="H1952" t="n">
        <v>0</v>
      </c>
      <c r="I1952" t="n">
        <v>0</v>
      </c>
      <c r="J1952" t="n">
        <v>0</v>
      </c>
      <c r="K1952" t="n">
        <v>0</v>
      </c>
      <c r="L1952" t="n">
        <v>0</v>
      </c>
      <c r="M1952" t="n">
        <v>0</v>
      </c>
      <c r="N1952" t="n">
        <v>0</v>
      </c>
      <c r="O1952" t="n">
        <v>0</v>
      </c>
      <c r="P1952" t="n">
        <v>0</v>
      </c>
      <c r="Q1952" t="n">
        <v>0</v>
      </c>
      <c r="R1952" s="2" t="inlineStr"/>
    </row>
    <row r="1953" ht="15" customHeight="1">
      <c r="A1953" t="inlineStr">
        <is>
          <t>A 15559-2022</t>
        </is>
      </c>
      <c r="B1953" s="1" t="n">
        <v>44662</v>
      </c>
      <c r="C1953" s="1" t="n">
        <v>46075</v>
      </c>
      <c r="D1953" t="inlineStr">
        <is>
          <t>VÄSTERBOTTENS LÄN</t>
        </is>
      </c>
      <c r="E1953" t="inlineStr">
        <is>
          <t>ÅSELE</t>
        </is>
      </c>
      <c r="G1953" t="n">
        <v>6.4</v>
      </c>
      <c r="H1953" t="n">
        <v>0</v>
      </c>
      <c r="I1953" t="n">
        <v>0</v>
      </c>
      <c r="J1953" t="n">
        <v>0</v>
      </c>
      <c r="K1953" t="n">
        <v>0</v>
      </c>
      <c r="L1953" t="n">
        <v>0</v>
      </c>
      <c r="M1953" t="n">
        <v>0</v>
      </c>
      <c r="N1953" t="n">
        <v>0</v>
      </c>
      <c r="O1953" t="n">
        <v>0</v>
      </c>
      <c r="P1953" t="n">
        <v>0</v>
      </c>
      <c r="Q1953" t="n">
        <v>0</v>
      </c>
      <c r="R1953" s="2" t="inlineStr"/>
    </row>
    <row r="1954" ht="15" customHeight="1">
      <c r="A1954" t="inlineStr">
        <is>
          <t>A 22343-2021</t>
        </is>
      </c>
      <c r="B1954" s="1" t="n">
        <v>44281</v>
      </c>
      <c r="C1954" s="1" t="n">
        <v>46075</v>
      </c>
      <c r="D1954" t="inlineStr">
        <is>
          <t>VÄSTERBOTTENS LÄN</t>
        </is>
      </c>
      <c r="E1954" t="inlineStr">
        <is>
          <t>VINDELN</t>
        </is>
      </c>
      <c r="G1954" t="n">
        <v>8.699999999999999</v>
      </c>
      <c r="H1954" t="n">
        <v>0</v>
      </c>
      <c r="I1954" t="n">
        <v>0</v>
      </c>
      <c r="J1954" t="n">
        <v>0</v>
      </c>
      <c r="K1954" t="n">
        <v>0</v>
      </c>
      <c r="L1954" t="n">
        <v>0</v>
      </c>
      <c r="M1954" t="n">
        <v>0</v>
      </c>
      <c r="N1954" t="n">
        <v>0</v>
      </c>
      <c r="O1954" t="n">
        <v>0</v>
      </c>
      <c r="P1954" t="n">
        <v>0</v>
      </c>
      <c r="Q1954" t="n">
        <v>0</v>
      </c>
      <c r="R1954" s="2" t="inlineStr"/>
    </row>
    <row r="1955" ht="15" customHeight="1">
      <c r="A1955" t="inlineStr">
        <is>
          <t>A 45754-2022</t>
        </is>
      </c>
      <c r="B1955" s="1" t="n">
        <v>44846.36170138889</v>
      </c>
      <c r="C1955" s="1" t="n">
        <v>46075</v>
      </c>
      <c r="D1955" t="inlineStr">
        <is>
          <t>VÄSTERBOTTENS LÄN</t>
        </is>
      </c>
      <c r="E1955" t="inlineStr">
        <is>
          <t>STORUMAN</t>
        </is>
      </c>
      <c r="F1955" t="inlineStr">
        <is>
          <t>Sveaskog</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51323-2022</t>
        </is>
      </c>
      <c r="B1956" s="1" t="n">
        <v>44868.95143518518</v>
      </c>
      <c r="C1956" s="1" t="n">
        <v>46075</v>
      </c>
      <c r="D1956" t="inlineStr">
        <is>
          <t>VÄSTERBOTTENS LÄN</t>
        </is>
      </c>
      <c r="E1956" t="inlineStr">
        <is>
          <t>NORDMALING</t>
        </is>
      </c>
      <c r="F1956" t="inlineStr">
        <is>
          <t>SCA</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42292-2022</t>
        </is>
      </c>
      <c r="B1957" s="1" t="n">
        <v>44830.95403935185</v>
      </c>
      <c r="C1957" s="1" t="n">
        <v>46075</v>
      </c>
      <c r="D1957" t="inlineStr">
        <is>
          <t>VÄSTERBOTTENS LÄN</t>
        </is>
      </c>
      <c r="E1957" t="inlineStr">
        <is>
          <t>NORDMALING</t>
        </is>
      </c>
      <c r="F1957" t="inlineStr">
        <is>
          <t>SCA</t>
        </is>
      </c>
      <c r="G1957" t="n">
        <v>6.7</v>
      </c>
      <c r="H1957" t="n">
        <v>0</v>
      </c>
      <c r="I1957" t="n">
        <v>0</v>
      </c>
      <c r="J1957" t="n">
        <v>0</v>
      </c>
      <c r="K1957" t="n">
        <v>0</v>
      </c>
      <c r="L1957" t="n">
        <v>0</v>
      </c>
      <c r="M1957" t="n">
        <v>0</v>
      </c>
      <c r="N1957" t="n">
        <v>0</v>
      </c>
      <c r="O1957" t="n">
        <v>0</v>
      </c>
      <c r="P1957" t="n">
        <v>0</v>
      </c>
      <c r="Q1957" t="n">
        <v>0</v>
      </c>
      <c r="R1957" s="2" t="inlineStr"/>
    </row>
    <row r="1958" ht="15" customHeight="1">
      <c r="A1958" t="inlineStr">
        <is>
          <t>A 46408-2022</t>
        </is>
      </c>
      <c r="B1958" s="1" t="n">
        <v>44846</v>
      </c>
      <c r="C1958" s="1" t="n">
        <v>46075</v>
      </c>
      <c r="D1958" t="inlineStr">
        <is>
          <t>VÄSTERBOTTENS LÄN</t>
        </is>
      </c>
      <c r="E1958" t="inlineStr">
        <is>
          <t>UMEÅ</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24242-2022</t>
        </is>
      </c>
      <c r="B1959" s="1" t="n">
        <v>44725.66059027778</v>
      </c>
      <c r="C1959" s="1" t="n">
        <v>46075</v>
      </c>
      <c r="D1959" t="inlineStr">
        <is>
          <t>VÄSTERBOTTENS LÄN</t>
        </is>
      </c>
      <c r="E1959" t="inlineStr">
        <is>
          <t>SKELLEFTEÅ</t>
        </is>
      </c>
      <c r="F1959" t="inlineStr">
        <is>
          <t>Övriga Aktiebolag</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51919-2022</t>
        </is>
      </c>
      <c r="B1960" s="1" t="n">
        <v>44872.63363425926</v>
      </c>
      <c r="C1960" s="1" t="n">
        <v>46075</v>
      </c>
      <c r="D1960" t="inlineStr">
        <is>
          <t>VÄSTERBOTTENS LÄN</t>
        </is>
      </c>
      <c r="E1960" t="inlineStr">
        <is>
          <t>SKELLEFTEÅ</t>
        </is>
      </c>
      <c r="F1960" t="inlineStr">
        <is>
          <t>Holmen skog AB</t>
        </is>
      </c>
      <c r="G1960" t="n">
        <v>5.2</v>
      </c>
      <c r="H1960" t="n">
        <v>0</v>
      </c>
      <c r="I1960" t="n">
        <v>0</v>
      </c>
      <c r="J1960" t="n">
        <v>0</v>
      </c>
      <c r="K1960" t="n">
        <v>0</v>
      </c>
      <c r="L1960" t="n">
        <v>0</v>
      </c>
      <c r="M1960" t="n">
        <v>0</v>
      </c>
      <c r="N1960" t="n">
        <v>0</v>
      </c>
      <c r="O1960" t="n">
        <v>0</v>
      </c>
      <c r="P1960" t="n">
        <v>0</v>
      </c>
      <c r="Q1960" t="n">
        <v>0</v>
      </c>
      <c r="R1960" s="2" t="inlineStr"/>
    </row>
    <row r="1961" ht="15" customHeight="1">
      <c r="A1961" t="inlineStr">
        <is>
          <t>A 22609-2022</t>
        </is>
      </c>
      <c r="B1961" s="1" t="n">
        <v>44714</v>
      </c>
      <c r="C1961" s="1" t="n">
        <v>46075</v>
      </c>
      <c r="D1961" t="inlineStr">
        <is>
          <t>VÄSTERBOTTENS LÄN</t>
        </is>
      </c>
      <c r="E1961" t="inlineStr">
        <is>
          <t>UMEÅ</t>
        </is>
      </c>
      <c r="G1961" t="n">
        <v>4.3</v>
      </c>
      <c r="H1961" t="n">
        <v>0</v>
      </c>
      <c r="I1961" t="n">
        <v>0</v>
      </c>
      <c r="J1961" t="n">
        <v>0</v>
      </c>
      <c r="K1961" t="n">
        <v>0</v>
      </c>
      <c r="L1961" t="n">
        <v>0</v>
      </c>
      <c r="M1961" t="n">
        <v>0</v>
      </c>
      <c r="N1961" t="n">
        <v>0</v>
      </c>
      <c r="O1961" t="n">
        <v>0</v>
      </c>
      <c r="P1961" t="n">
        <v>0</v>
      </c>
      <c r="Q1961" t="n">
        <v>0</v>
      </c>
      <c r="R1961" s="2" t="inlineStr"/>
    </row>
    <row r="1962" ht="15" customHeight="1">
      <c r="A1962" t="inlineStr">
        <is>
          <t>A 31197-2021</t>
        </is>
      </c>
      <c r="B1962" s="1" t="n">
        <v>44368</v>
      </c>
      <c r="C1962" s="1" t="n">
        <v>46075</v>
      </c>
      <c r="D1962" t="inlineStr">
        <is>
          <t>VÄSTERBOTTENS LÄN</t>
        </is>
      </c>
      <c r="E1962" t="inlineStr">
        <is>
          <t>SKELLEFTEÅ</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22661-2022</t>
        </is>
      </c>
      <c r="B1963" s="1" t="n">
        <v>44714</v>
      </c>
      <c r="C1963" s="1" t="n">
        <v>46075</v>
      </c>
      <c r="D1963" t="inlineStr">
        <is>
          <t>VÄSTERBOTTENS LÄN</t>
        </is>
      </c>
      <c r="E1963" t="inlineStr">
        <is>
          <t>SKELLEFTEÅ</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23143-2021</t>
        </is>
      </c>
      <c r="B1964" s="1" t="n">
        <v>44331</v>
      </c>
      <c r="C1964" s="1" t="n">
        <v>46075</v>
      </c>
      <c r="D1964" t="inlineStr">
        <is>
          <t>VÄSTERBOTTENS LÄN</t>
        </is>
      </c>
      <c r="E1964" t="inlineStr">
        <is>
          <t>ROBERTSFORS</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21843-2022</t>
        </is>
      </c>
      <c r="B1965" s="1" t="n">
        <v>44711</v>
      </c>
      <c r="C1965" s="1" t="n">
        <v>46075</v>
      </c>
      <c r="D1965" t="inlineStr">
        <is>
          <t>VÄSTERBOTTENS LÄN</t>
        </is>
      </c>
      <c r="E1965" t="inlineStr">
        <is>
          <t>SKELLEFTEÅ</t>
        </is>
      </c>
      <c r="G1965" t="n">
        <v>4.7</v>
      </c>
      <c r="H1965" t="n">
        <v>0</v>
      </c>
      <c r="I1965" t="n">
        <v>0</v>
      </c>
      <c r="J1965" t="n">
        <v>0</v>
      </c>
      <c r="K1965" t="n">
        <v>0</v>
      </c>
      <c r="L1965" t="n">
        <v>0</v>
      </c>
      <c r="M1965" t="n">
        <v>0</v>
      </c>
      <c r="N1965" t="n">
        <v>0</v>
      </c>
      <c r="O1965" t="n">
        <v>0</v>
      </c>
      <c r="P1965" t="n">
        <v>0</v>
      </c>
      <c r="Q1965" t="n">
        <v>0</v>
      </c>
      <c r="R1965" s="2" t="inlineStr"/>
    </row>
    <row r="1966" ht="15" customHeight="1">
      <c r="A1966" t="inlineStr">
        <is>
          <t>A 31323-2021</t>
        </is>
      </c>
      <c r="B1966" s="1" t="n">
        <v>44368</v>
      </c>
      <c r="C1966" s="1" t="n">
        <v>46075</v>
      </c>
      <c r="D1966" t="inlineStr">
        <is>
          <t>VÄSTERBOTTENS LÄN</t>
        </is>
      </c>
      <c r="E1966" t="inlineStr">
        <is>
          <t>VINDELN</t>
        </is>
      </c>
      <c r="G1966" t="n">
        <v>8</v>
      </c>
      <c r="H1966" t="n">
        <v>0</v>
      </c>
      <c r="I1966" t="n">
        <v>0</v>
      </c>
      <c r="J1966" t="n">
        <v>0</v>
      </c>
      <c r="K1966" t="n">
        <v>0</v>
      </c>
      <c r="L1966" t="n">
        <v>0</v>
      </c>
      <c r="M1966" t="n">
        <v>0</v>
      </c>
      <c r="N1966" t="n">
        <v>0</v>
      </c>
      <c r="O1966" t="n">
        <v>0</v>
      </c>
      <c r="P1966" t="n">
        <v>0</v>
      </c>
      <c r="Q1966" t="n">
        <v>0</v>
      </c>
      <c r="R1966" s="2" t="inlineStr"/>
    </row>
    <row r="1967" ht="15" customHeight="1">
      <c r="A1967" t="inlineStr">
        <is>
          <t>A 32438-2021</t>
        </is>
      </c>
      <c r="B1967" s="1" t="n">
        <v>44371</v>
      </c>
      <c r="C1967" s="1" t="n">
        <v>46075</v>
      </c>
      <c r="D1967" t="inlineStr">
        <is>
          <t>VÄSTERBOTTENS LÄN</t>
        </is>
      </c>
      <c r="E1967" t="inlineStr">
        <is>
          <t>SKELLEFTEÅ</t>
        </is>
      </c>
      <c r="G1967" t="n">
        <v>4.7</v>
      </c>
      <c r="H1967" t="n">
        <v>0</v>
      </c>
      <c r="I1967" t="n">
        <v>0</v>
      </c>
      <c r="J1967" t="n">
        <v>0</v>
      </c>
      <c r="K1967" t="n">
        <v>0</v>
      </c>
      <c r="L1967" t="n">
        <v>0</v>
      </c>
      <c r="M1967" t="n">
        <v>0</v>
      </c>
      <c r="N1967" t="n">
        <v>0</v>
      </c>
      <c r="O1967" t="n">
        <v>0</v>
      </c>
      <c r="P1967" t="n">
        <v>0</v>
      </c>
      <c r="Q1967" t="n">
        <v>0</v>
      </c>
      <c r="R1967" s="2" t="inlineStr"/>
    </row>
    <row r="1968" ht="15" customHeight="1">
      <c r="A1968" t="inlineStr">
        <is>
          <t>A 46844-2022</t>
        </is>
      </c>
      <c r="B1968" s="1" t="n">
        <v>44851</v>
      </c>
      <c r="C1968" s="1" t="n">
        <v>46075</v>
      </c>
      <c r="D1968" t="inlineStr">
        <is>
          <t>VÄSTERBOTTENS LÄN</t>
        </is>
      </c>
      <c r="E1968" t="inlineStr">
        <is>
          <t>STORUMAN</t>
        </is>
      </c>
      <c r="F1968" t="inlineStr">
        <is>
          <t>Sveaskog</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6053-2022</t>
        </is>
      </c>
      <c r="B1969" s="1" t="n">
        <v>44599</v>
      </c>
      <c r="C1969" s="1" t="n">
        <v>46075</v>
      </c>
      <c r="D1969" t="inlineStr">
        <is>
          <t>VÄSTERBOTTENS LÄN</t>
        </is>
      </c>
      <c r="E1969" t="inlineStr">
        <is>
          <t>BJURHOLM</t>
        </is>
      </c>
      <c r="G1969" t="n">
        <v>5</v>
      </c>
      <c r="H1969" t="n">
        <v>0</v>
      </c>
      <c r="I1969" t="n">
        <v>0</v>
      </c>
      <c r="J1969" t="n">
        <v>0</v>
      </c>
      <c r="K1969" t="n">
        <v>0</v>
      </c>
      <c r="L1969" t="n">
        <v>0</v>
      </c>
      <c r="M1969" t="n">
        <v>0</v>
      </c>
      <c r="N1969" t="n">
        <v>0</v>
      </c>
      <c r="O1969" t="n">
        <v>0</v>
      </c>
      <c r="P1969" t="n">
        <v>0</v>
      </c>
      <c r="Q1969" t="n">
        <v>0</v>
      </c>
      <c r="R1969" s="2" t="inlineStr"/>
    </row>
    <row r="1970" ht="15" customHeight="1">
      <c r="A1970" t="inlineStr">
        <is>
          <t>A 50086-2022</t>
        </is>
      </c>
      <c r="B1970" s="1" t="n">
        <v>44860</v>
      </c>
      <c r="C1970" s="1" t="n">
        <v>46075</v>
      </c>
      <c r="D1970" t="inlineStr">
        <is>
          <t>VÄSTERBOTTENS LÄN</t>
        </is>
      </c>
      <c r="E1970" t="inlineStr">
        <is>
          <t>VINDELN</t>
        </is>
      </c>
      <c r="G1970" t="n">
        <v>3.7</v>
      </c>
      <c r="H1970" t="n">
        <v>0</v>
      </c>
      <c r="I1970" t="n">
        <v>0</v>
      </c>
      <c r="J1970" t="n">
        <v>0</v>
      </c>
      <c r="K1970" t="n">
        <v>0</v>
      </c>
      <c r="L1970" t="n">
        <v>0</v>
      </c>
      <c r="M1970" t="n">
        <v>0</v>
      </c>
      <c r="N1970" t="n">
        <v>0</v>
      </c>
      <c r="O1970" t="n">
        <v>0</v>
      </c>
      <c r="P1970" t="n">
        <v>0</v>
      </c>
      <c r="Q1970" t="n">
        <v>0</v>
      </c>
      <c r="R1970" s="2" t="inlineStr"/>
    </row>
    <row r="1971" ht="15" customHeight="1">
      <c r="A1971" t="inlineStr">
        <is>
          <t>A 8030-2022</t>
        </is>
      </c>
      <c r="B1971" s="1" t="n">
        <v>44606</v>
      </c>
      <c r="C1971" s="1" t="n">
        <v>46075</v>
      </c>
      <c r="D1971" t="inlineStr">
        <is>
          <t>VÄSTERBOTTENS LÄN</t>
        </is>
      </c>
      <c r="E1971" t="inlineStr">
        <is>
          <t>SORSELE</t>
        </is>
      </c>
      <c r="F1971" t="inlineStr">
        <is>
          <t>Övriga statliga verk och myndigheter</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52025-2022</t>
        </is>
      </c>
      <c r="B1972" s="1" t="n">
        <v>44872.95690972222</v>
      </c>
      <c r="C1972" s="1" t="n">
        <v>46075</v>
      </c>
      <c r="D1972" t="inlineStr">
        <is>
          <t>VÄSTERBOTTENS LÄN</t>
        </is>
      </c>
      <c r="E1972" t="inlineStr">
        <is>
          <t>ÅSELE</t>
        </is>
      </c>
      <c r="F1972" t="inlineStr">
        <is>
          <t>SCA</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12811-2021</t>
        </is>
      </c>
      <c r="B1973" s="1" t="n">
        <v>44270</v>
      </c>
      <c r="C1973" s="1" t="n">
        <v>46075</v>
      </c>
      <c r="D1973" t="inlineStr">
        <is>
          <t>VÄSTERBOTTENS LÄN</t>
        </is>
      </c>
      <c r="E1973" t="inlineStr">
        <is>
          <t>VINDELN</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50055-2022</t>
        </is>
      </c>
      <c r="B1974" s="1" t="n">
        <v>44865.47516203704</v>
      </c>
      <c r="C1974" s="1" t="n">
        <v>46075</v>
      </c>
      <c r="D1974" t="inlineStr">
        <is>
          <t>VÄSTERBOTTENS LÄN</t>
        </is>
      </c>
      <c r="E1974" t="inlineStr">
        <is>
          <t>SKELLEFTEÅ</t>
        </is>
      </c>
      <c r="F1974" t="inlineStr">
        <is>
          <t>Holmen skog AB</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30754-2021</t>
        </is>
      </c>
      <c r="B1975" s="1" t="n">
        <v>44365.46270833333</v>
      </c>
      <c r="C1975" s="1" t="n">
        <v>46075</v>
      </c>
      <c r="D1975" t="inlineStr">
        <is>
          <t>VÄSTERBOTTENS LÄN</t>
        </is>
      </c>
      <c r="E1975" t="inlineStr">
        <is>
          <t>SKELLEFTEÅ</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65455-2021</t>
        </is>
      </c>
      <c r="B1976" s="1" t="n">
        <v>44516.28991898148</v>
      </c>
      <c r="C1976" s="1" t="n">
        <v>46075</v>
      </c>
      <c r="D1976" t="inlineStr">
        <is>
          <t>VÄSTERBOTTENS LÄN</t>
        </is>
      </c>
      <c r="E1976" t="inlineStr">
        <is>
          <t>SKELLEFTEÅ</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69370-2021</t>
        </is>
      </c>
      <c r="B1977" s="1" t="n">
        <v>44531</v>
      </c>
      <c r="C1977" s="1" t="n">
        <v>46075</v>
      </c>
      <c r="D1977" t="inlineStr">
        <is>
          <t>VÄSTERBOTTENS LÄN</t>
        </is>
      </c>
      <c r="E1977" t="inlineStr">
        <is>
          <t>ÅSELE</t>
        </is>
      </c>
      <c r="F1977" t="inlineStr">
        <is>
          <t>Sveaskog</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65231-2021</t>
        </is>
      </c>
      <c r="B1978" s="1" t="n">
        <v>44513</v>
      </c>
      <c r="C1978" s="1" t="n">
        <v>46075</v>
      </c>
      <c r="D1978" t="inlineStr">
        <is>
          <t>VÄSTERBOTTENS LÄN</t>
        </is>
      </c>
      <c r="E1978" t="inlineStr">
        <is>
          <t>LYCKSELE</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73614-2021</t>
        </is>
      </c>
      <c r="B1979" s="1" t="n">
        <v>44551</v>
      </c>
      <c r="C1979" s="1" t="n">
        <v>46075</v>
      </c>
      <c r="D1979" t="inlineStr">
        <is>
          <t>VÄSTERBOTTENS LÄN</t>
        </is>
      </c>
      <c r="E1979" t="inlineStr">
        <is>
          <t>SKELLEFTEÅ</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43737-2021</t>
        </is>
      </c>
      <c r="B1980" s="1" t="n">
        <v>44433.64141203704</v>
      </c>
      <c r="C1980" s="1" t="n">
        <v>46075</v>
      </c>
      <c r="D1980" t="inlineStr">
        <is>
          <t>VÄSTERBOTTENS LÄN</t>
        </is>
      </c>
      <c r="E1980" t="inlineStr">
        <is>
          <t>ÅSELE</t>
        </is>
      </c>
      <c r="F1980" t="inlineStr">
        <is>
          <t>Naturvårdsverket</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49084-2022</t>
        </is>
      </c>
      <c r="B1981" s="1" t="n">
        <v>44860</v>
      </c>
      <c r="C1981" s="1" t="n">
        <v>46075</v>
      </c>
      <c r="D1981" t="inlineStr">
        <is>
          <t>VÄSTERBOTTENS LÄN</t>
        </is>
      </c>
      <c r="E1981" t="inlineStr">
        <is>
          <t>STORUMAN</t>
        </is>
      </c>
      <c r="F1981" t="inlineStr">
        <is>
          <t>Sveaskog</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18568-2022</t>
        </is>
      </c>
      <c r="B1982" s="1" t="n">
        <v>44686.94269675926</v>
      </c>
      <c r="C1982" s="1" t="n">
        <v>46075</v>
      </c>
      <c r="D1982" t="inlineStr">
        <is>
          <t>VÄSTERBOTTENS LÄN</t>
        </is>
      </c>
      <c r="E1982" t="inlineStr">
        <is>
          <t>ÅSELE</t>
        </is>
      </c>
      <c r="F1982" t="inlineStr">
        <is>
          <t>SCA</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51995-2022</t>
        </is>
      </c>
      <c r="B1983" s="1" t="n">
        <v>44872.92878472222</v>
      </c>
      <c r="C1983" s="1" t="n">
        <v>46075</v>
      </c>
      <c r="D1983" t="inlineStr">
        <is>
          <t>VÄSTERBOTTENS LÄN</t>
        </is>
      </c>
      <c r="E1983" t="inlineStr">
        <is>
          <t>NORSJÖ</t>
        </is>
      </c>
      <c r="G1983" t="n">
        <v>5.6</v>
      </c>
      <c r="H1983" t="n">
        <v>0</v>
      </c>
      <c r="I1983" t="n">
        <v>0</v>
      </c>
      <c r="J1983" t="n">
        <v>0</v>
      </c>
      <c r="K1983" t="n">
        <v>0</v>
      </c>
      <c r="L1983" t="n">
        <v>0</v>
      </c>
      <c r="M1983" t="n">
        <v>0</v>
      </c>
      <c r="N1983" t="n">
        <v>0</v>
      </c>
      <c r="O1983" t="n">
        <v>0</v>
      </c>
      <c r="P1983" t="n">
        <v>0</v>
      </c>
      <c r="Q1983" t="n">
        <v>0</v>
      </c>
      <c r="R1983" s="2" t="inlineStr"/>
    </row>
    <row r="1984" ht="15" customHeight="1">
      <c r="A1984" t="inlineStr">
        <is>
          <t>A 52019-2022</t>
        </is>
      </c>
      <c r="B1984" s="1" t="n">
        <v>44872</v>
      </c>
      <c r="C1984" s="1" t="n">
        <v>46075</v>
      </c>
      <c r="D1984" t="inlineStr">
        <is>
          <t>VÄSTERBOTTENS LÄN</t>
        </is>
      </c>
      <c r="E1984" t="inlineStr">
        <is>
          <t>VINDELN</t>
        </is>
      </c>
      <c r="F1984" t="inlineStr">
        <is>
          <t>SCA</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49648-2022</t>
        </is>
      </c>
      <c r="B1985" s="1" t="n">
        <v>44862.44689814815</v>
      </c>
      <c r="C1985" s="1" t="n">
        <v>46075</v>
      </c>
      <c r="D1985" t="inlineStr">
        <is>
          <t>VÄSTERBOTTENS LÄN</t>
        </is>
      </c>
      <c r="E1985" t="inlineStr">
        <is>
          <t>BJURHOLM</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41047-2022</t>
        </is>
      </c>
      <c r="B1986" s="1" t="n">
        <v>44824</v>
      </c>
      <c r="C1986" s="1" t="n">
        <v>46075</v>
      </c>
      <c r="D1986" t="inlineStr">
        <is>
          <t>VÄSTERBOTTENS LÄN</t>
        </is>
      </c>
      <c r="E1986" t="inlineStr">
        <is>
          <t>ROBERTSFORS</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7356-2022</t>
        </is>
      </c>
      <c r="B1987" s="1" t="n">
        <v>44606</v>
      </c>
      <c r="C1987" s="1" t="n">
        <v>46075</v>
      </c>
      <c r="D1987" t="inlineStr">
        <is>
          <t>VÄSTERBOTTENS LÄN</t>
        </is>
      </c>
      <c r="E1987" t="inlineStr">
        <is>
          <t>UMEÅ</t>
        </is>
      </c>
      <c r="G1987" t="n">
        <v>7.3</v>
      </c>
      <c r="H1987" t="n">
        <v>0</v>
      </c>
      <c r="I1987" t="n">
        <v>0</v>
      </c>
      <c r="J1987" t="n">
        <v>0</v>
      </c>
      <c r="K1987" t="n">
        <v>0</v>
      </c>
      <c r="L1987" t="n">
        <v>0</v>
      </c>
      <c r="M1987" t="n">
        <v>0</v>
      </c>
      <c r="N1987" t="n">
        <v>0</v>
      </c>
      <c r="O1987" t="n">
        <v>0</v>
      </c>
      <c r="P1987" t="n">
        <v>0</v>
      </c>
      <c r="Q1987" t="n">
        <v>0</v>
      </c>
      <c r="R1987" s="2" t="inlineStr"/>
    </row>
    <row r="1988" ht="15" customHeight="1">
      <c r="A1988" t="inlineStr">
        <is>
          <t>A 27665-2022</t>
        </is>
      </c>
      <c r="B1988" s="1" t="n">
        <v>44743</v>
      </c>
      <c r="C1988" s="1" t="n">
        <v>46075</v>
      </c>
      <c r="D1988" t="inlineStr">
        <is>
          <t>VÄSTERBOTTENS LÄN</t>
        </is>
      </c>
      <c r="E1988" t="inlineStr">
        <is>
          <t>VINDELN</t>
        </is>
      </c>
      <c r="F1988" t="inlineStr">
        <is>
          <t>Holmen skog AB</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62268-2021</t>
        </is>
      </c>
      <c r="B1989" s="1" t="n">
        <v>44503</v>
      </c>
      <c r="C1989" s="1" t="n">
        <v>46075</v>
      </c>
      <c r="D1989" t="inlineStr">
        <is>
          <t>VÄSTERBOTTENS LÄN</t>
        </is>
      </c>
      <c r="E1989" t="inlineStr">
        <is>
          <t>ÅSELE</t>
        </is>
      </c>
      <c r="F1989" t="inlineStr">
        <is>
          <t>Holmen skog AB</t>
        </is>
      </c>
      <c r="G1989" t="n">
        <v>6.5</v>
      </c>
      <c r="H1989" t="n">
        <v>0</v>
      </c>
      <c r="I1989" t="n">
        <v>0</v>
      </c>
      <c r="J1989" t="n">
        <v>0</v>
      </c>
      <c r="K1989" t="n">
        <v>0</v>
      </c>
      <c r="L1989" t="n">
        <v>0</v>
      </c>
      <c r="M1989" t="n">
        <v>0</v>
      </c>
      <c r="N1989" t="n">
        <v>0</v>
      </c>
      <c r="O1989" t="n">
        <v>0</v>
      </c>
      <c r="P1989" t="n">
        <v>0</v>
      </c>
      <c r="Q1989" t="n">
        <v>0</v>
      </c>
      <c r="R1989" s="2" t="inlineStr"/>
    </row>
    <row r="1990" ht="15" customHeight="1">
      <c r="A1990" t="inlineStr">
        <is>
          <t>A 35379-2021</t>
        </is>
      </c>
      <c r="B1990" s="1" t="n">
        <v>44384</v>
      </c>
      <c r="C1990" s="1" t="n">
        <v>46075</v>
      </c>
      <c r="D1990" t="inlineStr">
        <is>
          <t>VÄSTERBOTTENS LÄN</t>
        </is>
      </c>
      <c r="E1990" t="inlineStr">
        <is>
          <t>VINDELN</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31656-2021</t>
        </is>
      </c>
      <c r="B1991" s="1" t="n">
        <v>44377</v>
      </c>
      <c r="C1991" s="1" t="n">
        <v>46075</v>
      </c>
      <c r="D1991" t="inlineStr">
        <is>
          <t>VÄSTERBOTTENS LÄN</t>
        </is>
      </c>
      <c r="E1991" t="inlineStr">
        <is>
          <t>VILHELMINA</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35561-2021</t>
        </is>
      </c>
      <c r="B1992" s="1" t="n">
        <v>44385.93583333334</v>
      </c>
      <c r="C1992" s="1" t="n">
        <v>46075</v>
      </c>
      <c r="D1992" t="inlineStr">
        <is>
          <t>VÄSTERBOTTENS LÄN</t>
        </is>
      </c>
      <c r="E1992" t="inlineStr">
        <is>
          <t>ÅSELE</t>
        </is>
      </c>
      <c r="F1992" t="inlineStr">
        <is>
          <t>SCA</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38220-2021</t>
        </is>
      </c>
      <c r="B1993" s="1" t="n">
        <v>44407</v>
      </c>
      <c r="C1993" s="1" t="n">
        <v>46075</v>
      </c>
      <c r="D1993" t="inlineStr">
        <is>
          <t>VÄSTERBOTTENS LÄN</t>
        </is>
      </c>
      <c r="E1993" t="inlineStr">
        <is>
          <t>UMEÅ</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40851-2022</t>
        </is>
      </c>
      <c r="B1994" s="1" t="n">
        <v>44825.26050925926</v>
      </c>
      <c r="C1994" s="1" t="n">
        <v>46075</v>
      </c>
      <c r="D1994" t="inlineStr">
        <is>
          <t>VÄSTERBOTTENS LÄN</t>
        </is>
      </c>
      <c r="E1994" t="inlineStr">
        <is>
          <t>SKELLEFTEÅ</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53624-2022</t>
        </is>
      </c>
      <c r="B1995" s="1" t="n">
        <v>44879.82162037037</v>
      </c>
      <c r="C1995" s="1" t="n">
        <v>46075</v>
      </c>
      <c r="D1995" t="inlineStr">
        <is>
          <t>VÄSTERBOTTENS LÄN</t>
        </is>
      </c>
      <c r="E1995" t="inlineStr">
        <is>
          <t>NORSJÖ</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51671-2021</t>
        </is>
      </c>
      <c r="B1996" s="1" t="n">
        <v>44462.52583333333</v>
      </c>
      <c r="C1996" s="1" t="n">
        <v>46075</v>
      </c>
      <c r="D1996" t="inlineStr">
        <is>
          <t>VÄSTERBOTTENS LÄN</t>
        </is>
      </c>
      <c r="E1996" t="inlineStr">
        <is>
          <t>SORSELE</t>
        </is>
      </c>
      <c r="F1996" t="inlineStr">
        <is>
          <t>Sveaskog</t>
        </is>
      </c>
      <c r="G1996" t="n">
        <v>4.2</v>
      </c>
      <c r="H1996" t="n">
        <v>0</v>
      </c>
      <c r="I1996" t="n">
        <v>0</v>
      </c>
      <c r="J1996" t="n">
        <v>0</v>
      </c>
      <c r="K1996" t="n">
        <v>0</v>
      </c>
      <c r="L1996" t="n">
        <v>0</v>
      </c>
      <c r="M1996" t="n">
        <v>0</v>
      </c>
      <c r="N1996" t="n">
        <v>0</v>
      </c>
      <c r="O1996" t="n">
        <v>0</v>
      </c>
      <c r="P1996" t="n">
        <v>0</v>
      </c>
      <c r="Q1996" t="n">
        <v>0</v>
      </c>
      <c r="R1996" s="2" t="inlineStr"/>
    </row>
    <row r="1997" ht="15" customHeight="1">
      <c r="A1997" t="inlineStr">
        <is>
          <t>A 11102-2021</t>
        </is>
      </c>
      <c r="B1997" s="1" t="n">
        <v>44259</v>
      </c>
      <c r="C1997" s="1" t="n">
        <v>46075</v>
      </c>
      <c r="D1997" t="inlineStr">
        <is>
          <t>VÄSTERBOTTENS LÄN</t>
        </is>
      </c>
      <c r="E1997" t="inlineStr">
        <is>
          <t>SKELLEFTEÅ</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42609-2021</t>
        </is>
      </c>
      <c r="B1998" s="1" t="n">
        <v>44428.39925925926</v>
      </c>
      <c r="C1998" s="1" t="n">
        <v>46075</v>
      </c>
      <c r="D1998" t="inlineStr">
        <is>
          <t>VÄSTERBOTTENS LÄN</t>
        </is>
      </c>
      <c r="E1998" t="inlineStr">
        <is>
          <t>SKELLEFTEÅ</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27301-2021</t>
        </is>
      </c>
      <c r="B1999" s="1" t="n">
        <v>44350</v>
      </c>
      <c r="C1999" s="1" t="n">
        <v>46075</v>
      </c>
      <c r="D1999" t="inlineStr">
        <is>
          <t>VÄSTERBOTTENS LÄN</t>
        </is>
      </c>
      <c r="E1999" t="inlineStr">
        <is>
          <t>ÅSELE</t>
        </is>
      </c>
      <c r="F1999" t="inlineStr">
        <is>
          <t>Övriga Aktiebolag</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52361-2021</t>
        </is>
      </c>
      <c r="B2000" s="1" t="n">
        <v>44465</v>
      </c>
      <c r="C2000" s="1" t="n">
        <v>46075</v>
      </c>
      <c r="D2000" t="inlineStr">
        <is>
          <t>VÄSTERBOTTENS LÄN</t>
        </is>
      </c>
      <c r="E2000" t="inlineStr">
        <is>
          <t>DOROTEA</t>
        </is>
      </c>
      <c r="G2000" t="n">
        <v>9</v>
      </c>
      <c r="H2000" t="n">
        <v>0</v>
      </c>
      <c r="I2000" t="n">
        <v>0</v>
      </c>
      <c r="J2000" t="n">
        <v>0</v>
      </c>
      <c r="K2000" t="n">
        <v>0</v>
      </c>
      <c r="L2000" t="n">
        <v>0</v>
      </c>
      <c r="M2000" t="n">
        <v>0</v>
      </c>
      <c r="N2000" t="n">
        <v>0</v>
      </c>
      <c r="O2000" t="n">
        <v>0</v>
      </c>
      <c r="P2000" t="n">
        <v>0</v>
      </c>
      <c r="Q2000" t="n">
        <v>0</v>
      </c>
      <c r="R2000" s="2" t="inlineStr"/>
    </row>
    <row r="2001" ht="15" customHeight="1">
      <c r="A2001" t="inlineStr">
        <is>
          <t>A 52362-2021</t>
        </is>
      </c>
      <c r="B2001" s="1" t="n">
        <v>44465.40667824074</v>
      </c>
      <c r="C2001" s="1" t="n">
        <v>46075</v>
      </c>
      <c r="D2001" t="inlineStr">
        <is>
          <t>VÄSTERBOTTENS LÄN</t>
        </is>
      </c>
      <c r="E2001" t="inlineStr">
        <is>
          <t>DOROTEA</t>
        </is>
      </c>
      <c r="G2001" t="n">
        <v>4.2</v>
      </c>
      <c r="H2001" t="n">
        <v>0</v>
      </c>
      <c r="I2001" t="n">
        <v>0</v>
      </c>
      <c r="J2001" t="n">
        <v>0</v>
      </c>
      <c r="K2001" t="n">
        <v>0</v>
      </c>
      <c r="L2001" t="n">
        <v>0</v>
      </c>
      <c r="M2001" t="n">
        <v>0</v>
      </c>
      <c r="N2001" t="n">
        <v>0</v>
      </c>
      <c r="O2001" t="n">
        <v>0</v>
      </c>
      <c r="P2001" t="n">
        <v>0</v>
      </c>
      <c r="Q2001" t="n">
        <v>0</v>
      </c>
      <c r="R2001" s="2" t="inlineStr"/>
    </row>
    <row r="2002" ht="15" customHeight="1">
      <c r="A2002" t="inlineStr">
        <is>
          <t>A 48600-2021</t>
        </is>
      </c>
      <c r="B2002" s="1" t="n">
        <v>44452</v>
      </c>
      <c r="C2002" s="1" t="n">
        <v>46075</v>
      </c>
      <c r="D2002" t="inlineStr">
        <is>
          <t>VÄSTERBOTTENS LÄN</t>
        </is>
      </c>
      <c r="E2002" t="inlineStr">
        <is>
          <t>VILHELMINA</t>
        </is>
      </c>
      <c r="F2002" t="inlineStr">
        <is>
          <t>Allmännings- och besparingsskogar</t>
        </is>
      </c>
      <c r="G2002" t="n">
        <v>48.6</v>
      </c>
      <c r="H2002" t="n">
        <v>0</v>
      </c>
      <c r="I2002" t="n">
        <v>0</v>
      </c>
      <c r="J2002" t="n">
        <v>0</v>
      </c>
      <c r="K2002" t="n">
        <v>0</v>
      </c>
      <c r="L2002" t="n">
        <v>0</v>
      </c>
      <c r="M2002" t="n">
        <v>0</v>
      </c>
      <c r="N2002" t="n">
        <v>0</v>
      </c>
      <c r="O2002" t="n">
        <v>0</v>
      </c>
      <c r="P2002" t="n">
        <v>0</v>
      </c>
      <c r="Q2002" t="n">
        <v>0</v>
      </c>
      <c r="R2002" s="2" t="inlineStr"/>
    </row>
    <row r="2003" ht="15" customHeight="1">
      <c r="A2003" t="inlineStr">
        <is>
          <t>A 55484-2021</t>
        </is>
      </c>
      <c r="B2003" s="1" t="n">
        <v>44475</v>
      </c>
      <c r="C2003" s="1" t="n">
        <v>46075</v>
      </c>
      <c r="D2003" t="inlineStr">
        <is>
          <t>VÄSTERBOTTENS LÄN</t>
        </is>
      </c>
      <c r="E2003" t="inlineStr">
        <is>
          <t>ROBERTSFORS</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49803-2021</t>
        </is>
      </c>
      <c r="B2004" s="1" t="n">
        <v>44455.60459490741</v>
      </c>
      <c r="C2004" s="1" t="n">
        <v>46075</v>
      </c>
      <c r="D2004" t="inlineStr">
        <is>
          <t>VÄSTERBOTTENS LÄN</t>
        </is>
      </c>
      <c r="E2004" t="inlineStr">
        <is>
          <t>ÅSELE</t>
        </is>
      </c>
      <c r="F2004" t="inlineStr">
        <is>
          <t>Holmen skog AB</t>
        </is>
      </c>
      <c r="G2004" t="n">
        <v>13.7</v>
      </c>
      <c r="H2004" t="n">
        <v>0</v>
      </c>
      <c r="I2004" t="n">
        <v>0</v>
      </c>
      <c r="J2004" t="n">
        <v>0</v>
      </c>
      <c r="K2004" t="n">
        <v>0</v>
      </c>
      <c r="L2004" t="n">
        <v>0</v>
      </c>
      <c r="M2004" t="n">
        <v>0</v>
      </c>
      <c r="N2004" t="n">
        <v>0</v>
      </c>
      <c r="O2004" t="n">
        <v>0</v>
      </c>
      <c r="P2004" t="n">
        <v>0</v>
      </c>
      <c r="Q2004" t="n">
        <v>0</v>
      </c>
      <c r="R2004" s="2" t="inlineStr"/>
    </row>
    <row r="2005" ht="15" customHeight="1">
      <c r="A2005" t="inlineStr">
        <is>
          <t>A 13924-2021</t>
        </is>
      </c>
      <c r="B2005" s="1" t="n">
        <v>44277</v>
      </c>
      <c r="C2005" s="1" t="n">
        <v>46075</v>
      </c>
      <c r="D2005" t="inlineStr">
        <is>
          <t>VÄSTERBOTTENS LÄN</t>
        </is>
      </c>
      <c r="E2005" t="inlineStr">
        <is>
          <t>LYCKSELE</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54872-2021</t>
        </is>
      </c>
      <c r="B2006" s="1" t="n">
        <v>44473</v>
      </c>
      <c r="C2006" s="1" t="n">
        <v>46075</v>
      </c>
      <c r="D2006" t="inlineStr">
        <is>
          <t>VÄSTERBOTTENS LÄN</t>
        </is>
      </c>
      <c r="E2006" t="inlineStr">
        <is>
          <t>NORDMALING</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54807-2021</t>
        </is>
      </c>
      <c r="B2007" s="1" t="n">
        <v>44473.94260416667</v>
      </c>
      <c r="C2007" s="1" t="n">
        <v>46075</v>
      </c>
      <c r="D2007" t="inlineStr">
        <is>
          <t>VÄSTERBOTTENS LÄN</t>
        </is>
      </c>
      <c r="E2007" t="inlineStr">
        <is>
          <t>STORUMAN</t>
        </is>
      </c>
      <c r="F2007" t="inlineStr">
        <is>
          <t>SCA</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24599-2021</t>
        </is>
      </c>
      <c r="B2008" s="1" t="n">
        <v>44341</v>
      </c>
      <c r="C2008" s="1" t="n">
        <v>46075</v>
      </c>
      <c r="D2008" t="inlineStr">
        <is>
          <t>VÄSTERBOTTENS LÄN</t>
        </is>
      </c>
      <c r="E2008" t="inlineStr">
        <is>
          <t>VILHELMINA</t>
        </is>
      </c>
      <c r="G2008" t="n">
        <v>14.5</v>
      </c>
      <c r="H2008" t="n">
        <v>0</v>
      </c>
      <c r="I2008" t="n">
        <v>0</v>
      </c>
      <c r="J2008" t="n">
        <v>0</v>
      </c>
      <c r="K2008" t="n">
        <v>0</v>
      </c>
      <c r="L2008" t="n">
        <v>0</v>
      </c>
      <c r="M2008" t="n">
        <v>0</v>
      </c>
      <c r="N2008" t="n">
        <v>0</v>
      </c>
      <c r="O2008" t="n">
        <v>0</v>
      </c>
      <c r="P2008" t="n">
        <v>0</v>
      </c>
      <c r="Q2008" t="n">
        <v>0</v>
      </c>
      <c r="R2008" s="2" t="inlineStr"/>
    </row>
    <row r="2009" ht="15" customHeight="1">
      <c r="A2009" t="inlineStr">
        <is>
          <t>A 19679-2021</t>
        </is>
      </c>
      <c r="B2009" s="1" t="n">
        <v>44312</v>
      </c>
      <c r="C2009" s="1" t="n">
        <v>46075</v>
      </c>
      <c r="D2009" t="inlineStr">
        <is>
          <t>VÄSTERBOTTENS LÄN</t>
        </is>
      </c>
      <c r="E2009" t="inlineStr">
        <is>
          <t>SKELLEFTEÅ</t>
        </is>
      </c>
      <c r="F2009" t="inlineStr">
        <is>
          <t>Holmen skog AB</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58847-2021</t>
        </is>
      </c>
      <c r="B2010" s="1" t="n">
        <v>44489.62116898148</v>
      </c>
      <c r="C2010" s="1" t="n">
        <v>46075</v>
      </c>
      <c r="D2010" t="inlineStr">
        <is>
          <t>VÄSTERBOTTENS LÄN</t>
        </is>
      </c>
      <c r="E2010" t="inlineStr">
        <is>
          <t>SKELLEFTEÅ</t>
        </is>
      </c>
      <c r="F2010" t="inlineStr">
        <is>
          <t>Sveaskog</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27172-2021</t>
        </is>
      </c>
      <c r="B2011" s="1" t="n">
        <v>44350</v>
      </c>
      <c r="C2011" s="1" t="n">
        <v>46075</v>
      </c>
      <c r="D2011" t="inlineStr">
        <is>
          <t>VÄSTERBOTTENS LÄN</t>
        </is>
      </c>
      <c r="E2011" t="inlineStr">
        <is>
          <t>UMEÅ</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71445-2021</t>
        </is>
      </c>
      <c r="B2012" s="1" t="n">
        <v>44540.45789351852</v>
      </c>
      <c r="C2012" s="1" t="n">
        <v>46075</v>
      </c>
      <c r="D2012" t="inlineStr">
        <is>
          <t>VÄSTERBOTTENS LÄN</t>
        </is>
      </c>
      <c r="E2012" t="inlineStr">
        <is>
          <t>SKELLEFTEÅ</t>
        </is>
      </c>
      <c r="F2012" t="inlineStr">
        <is>
          <t>Sveaskog</t>
        </is>
      </c>
      <c r="G2012" t="n">
        <v>3.7</v>
      </c>
      <c r="H2012" t="n">
        <v>0</v>
      </c>
      <c r="I2012" t="n">
        <v>0</v>
      </c>
      <c r="J2012" t="n">
        <v>0</v>
      </c>
      <c r="K2012" t="n">
        <v>0</v>
      </c>
      <c r="L2012" t="n">
        <v>0</v>
      </c>
      <c r="M2012" t="n">
        <v>0</v>
      </c>
      <c r="N2012" t="n">
        <v>0</v>
      </c>
      <c r="O2012" t="n">
        <v>0</v>
      </c>
      <c r="P2012" t="n">
        <v>0</v>
      </c>
      <c r="Q2012" t="n">
        <v>0</v>
      </c>
      <c r="R2012" s="2" t="inlineStr"/>
    </row>
    <row r="2013" ht="15" customHeight="1">
      <c r="A2013" t="inlineStr">
        <is>
          <t>A 22534-2021</t>
        </is>
      </c>
      <c r="B2013" s="1" t="n">
        <v>44326</v>
      </c>
      <c r="C2013" s="1" t="n">
        <v>46075</v>
      </c>
      <c r="D2013" t="inlineStr">
        <is>
          <t>VÄSTERBOTTENS LÄN</t>
        </is>
      </c>
      <c r="E2013" t="inlineStr">
        <is>
          <t>SORSELE</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71581-2021</t>
        </is>
      </c>
      <c r="B2014" s="1" t="n">
        <v>44540</v>
      </c>
      <c r="C2014" s="1" t="n">
        <v>46075</v>
      </c>
      <c r="D2014" t="inlineStr">
        <is>
          <t>VÄSTERBOTTENS LÄN</t>
        </is>
      </c>
      <c r="E2014" t="inlineStr">
        <is>
          <t>VINDELN</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53736-2021</t>
        </is>
      </c>
      <c r="B2015" s="1" t="n">
        <v>44469.5366087963</v>
      </c>
      <c r="C2015" s="1" t="n">
        <v>46075</v>
      </c>
      <c r="D2015" t="inlineStr">
        <is>
          <t>VÄSTERBOTTENS LÄN</t>
        </is>
      </c>
      <c r="E2015" t="inlineStr">
        <is>
          <t>NORDMALING</t>
        </is>
      </c>
      <c r="G2015" t="n">
        <v>7.1</v>
      </c>
      <c r="H2015" t="n">
        <v>0</v>
      </c>
      <c r="I2015" t="n">
        <v>0</v>
      </c>
      <c r="J2015" t="n">
        <v>0</v>
      </c>
      <c r="K2015" t="n">
        <v>0</v>
      </c>
      <c r="L2015" t="n">
        <v>0</v>
      </c>
      <c r="M2015" t="n">
        <v>0</v>
      </c>
      <c r="N2015" t="n">
        <v>0</v>
      </c>
      <c r="O2015" t="n">
        <v>0</v>
      </c>
      <c r="P2015" t="n">
        <v>0</v>
      </c>
      <c r="Q2015" t="n">
        <v>0</v>
      </c>
      <c r="R2015" s="2" t="inlineStr"/>
    </row>
    <row r="2016" ht="15" customHeight="1">
      <c r="A2016" t="inlineStr">
        <is>
          <t>A 71434-2021</t>
        </is>
      </c>
      <c r="B2016" s="1" t="n">
        <v>44540.44325231481</v>
      </c>
      <c r="C2016" s="1" t="n">
        <v>46075</v>
      </c>
      <c r="D2016" t="inlineStr">
        <is>
          <t>VÄSTERBOTTENS LÄN</t>
        </is>
      </c>
      <c r="E2016" t="inlineStr">
        <is>
          <t>SKELLEFTEÅ</t>
        </is>
      </c>
      <c r="F2016" t="inlineStr">
        <is>
          <t>Sveaskog</t>
        </is>
      </c>
      <c r="G2016" t="n">
        <v>13.2</v>
      </c>
      <c r="H2016" t="n">
        <v>0</v>
      </c>
      <c r="I2016" t="n">
        <v>0</v>
      </c>
      <c r="J2016" t="n">
        <v>0</v>
      </c>
      <c r="K2016" t="n">
        <v>0</v>
      </c>
      <c r="L2016" t="n">
        <v>0</v>
      </c>
      <c r="M2016" t="n">
        <v>0</v>
      </c>
      <c r="N2016" t="n">
        <v>0</v>
      </c>
      <c r="O2016" t="n">
        <v>0</v>
      </c>
      <c r="P2016" t="n">
        <v>0</v>
      </c>
      <c r="Q2016" t="n">
        <v>0</v>
      </c>
      <c r="R2016" s="2" t="inlineStr"/>
    </row>
    <row r="2017" ht="15" customHeight="1">
      <c r="A2017" t="inlineStr">
        <is>
          <t>A 33541-2021</t>
        </is>
      </c>
      <c r="B2017" s="1" t="n">
        <v>44377</v>
      </c>
      <c r="C2017" s="1" t="n">
        <v>46075</v>
      </c>
      <c r="D2017" t="inlineStr">
        <is>
          <t>VÄSTERBOTTENS LÄN</t>
        </is>
      </c>
      <c r="E2017" t="inlineStr">
        <is>
          <t>NORDMALING</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31251-2021</t>
        </is>
      </c>
      <c r="B2018" s="1" t="n">
        <v>44368</v>
      </c>
      <c r="C2018" s="1" t="n">
        <v>46075</v>
      </c>
      <c r="D2018" t="inlineStr">
        <is>
          <t>VÄSTERBOTTENS LÄN</t>
        </is>
      </c>
      <c r="E2018" t="inlineStr">
        <is>
          <t>SKELLEFTEÅ</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12013-2022</t>
        </is>
      </c>
      <c r="B2019" s="1" t="n">
        <v>44635.92523148148</v>
      </c>
      <c r="C2019" s="1" t="n">
        <v>46075</v>
      </c>
      <c r="D2019" t="inlineStr">
        <is>
          <t>VÄSTERBOTTENS LÄN</t>
        </is>
      </c>
      <c r="E2019" t="inlineStr">
        <is>
          <t>ROBERTSFORS</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64735-2021</t>
        </is>
      </c>
      <c r="B2020" s="1" t="n">
        <v>44511</v>
      </c>
      <c r="C2020" s="1" t="n">
        <v>46075</v>
      </c>
      <c r="D2020" t="inlineStr">
        <is>
          <t>VÄSTERBOTTENS LÄN</t>
        </is>
      </c>
      <c r="E2020" t="inlineStr">
        <is>
          <t>VINDELN</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9858-2022</t>
        </is>
      </c>
      <c r="B2021" s="1" t="n">
        <v>44620</v>
      </c>
      <c r="C2021" s="1" t="n">
        <v>46075</v>
      </c>
      <c r="D2021" t="inlineStr">
        <is>
          <t>VÄSTERBOTTENS LÄN</t>
        </is>
      </c>
      <c r="E2021" t="inlineStr">
        <is>
          <t>NORDMALING</t>
        </is>
      </c>
      <c r="G2021" t="n">
        <v>7.2</v>
      </c>
      <c r="H2021" t="n">
        <v>0</v>
      </c>
      <c r="I2021" t="n">
        <v>0</v>
      </c>
      <c r="J2021" t="n">
        <v>0</v>
      </c>
      <c r="K2021" t="n">
        <v>0</v>
      </c>
      <c r="L2021" t="n">
        <v>0</v>
      </c>
      <c r="M2021" t="n">
        <v>0</v>
      </c>
      <c r="N2021" t="n">
        <v>0</v>
      </c>
      <c r="O2021" t="n">
        <v>0</v>
      </c>
      <c r="P2021" t="n">
        <v>0</v>
      </c>
      <c r="Q2021" t="n">
        <v>0</v>
      </c>
      <c r="R2021" s="2" t="inlineStr"/>
    </row>
    <row r="2022" ht="15" customHeight="1">
      <c r="A2022" t="inlineStr">
        <is>
          <t>A 9926-2022</t>
        </is>
      </c>
      <c r="B2022" s="1" t="n">
        <v>44620</v>
      </c>
      <c r="C2022" s="1" t="n">
        <v>46075</v>
      </c>
      <c r="D2022" t="inlineStr">
        <is>
          <t>VÄSTERBOTTENS LÄN</t>
        </is>
      </c>
      <c r="E2022" t="inlineStr">
        <is>
          <t>BJURHOLM</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9927-2022</t>
        </is>
      </c>
      <c r="B2023" s="1" t="n">
        <v>44620</v>
      </c>
      <c r="C2023" s="1" t="n">
        <v>46075</v>
      </c>
      <c r="D2023" t="inlineStr">
        <is>
          <t>VÄSTERBOTTENS LÄN</t>
        </is>
      </c>
      <c r="E2023" t="inlineStr">
        <is>
          <t>BJURHOLM</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26574-2021</t>
        </is>
      </c>
      <c r="B2024" s="1" t="n">
        <v>44348</v>
      </c>
      <c r="C2024" s="1" t="n">
        <v>46075</v>
      </c>
      <c r="D2024" t="inlineStr">
        <is>
          <t>VÄSTERBOTTENS LÄN</t>
        </is>
      </c>
      <c r="E2024" t="inlineStr">
        <is>
          <t>VINDELN</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9732-2022</t>
        </is>
      </c>
      <c r="B2025" s="1" t="n">
        <v>44617.9343287037</v>
      </c>
      <c r="C2025" s="1" t="n">
        <v>46075</v>
      </c>
      <c r="D2025" t="inlineStr">
        <is>
          <t>VÄSTERBOTTENS LÄN</t>
        </is>
      </c>
      <c r="E2025" t="inlineStr">
        <is>
          <t>VILHELMINA</t>
        </is>
      </c>
      <c r="F2025" t="inlineStr">
        <is>
          <t>SCA</t>
        </is>
      </c>
      <c r="G2025" t="n">
        <v>6.9</v>
      </c>
      <c r="H2025" t="n">
        <v>0</v>
      </c>
      <c r="I2025" t="n">
        <v>0</v>
      </c>
      <c r="J2025" t="n">
        <v>0</v>
      </c>
      <c r="K2025" t="n">
        <v>0</v>
      </c>
      <c r="L2025" t="n">
        <v>0</v>
      </c>
      <c r="M2025" t="n">
        <v>0</v>
      </c>
      <c r="N2025" t="n">
        <v>0</v>
      </c>
      <c r="O2025" t="n">
        <v>0</v>
      </c>
      <c r="P2025" t="n">
        <v>0</v>
      </c>
      <c r="Q2025" t="n">
        <v>0</v>
      </c>
      <c r="R2025" s="2" t="inlineStr"/>
    </row>
    <row r="2026" ht="15" customHeight="1">
      <c r="A2026" t="inlineStr">
        <is>
          <t>A 11087-2021</t>
        </is>
      </c>
      <c r="B2026" s="1" t="n">
        <v>44259</v>
      </c>
      <c r="C2026" s="1" t="n">
        <v>46075</v>
      </c>
      <c r="D2026" t="inlineStr">
        <is>
          <t>VÄSTERBOTTENS LÄN</t>
        </is>
      </c>
      <c r="E2026" t="inlineStr">
        <is>
          <t>SKELLEFTEÅ</t>
        </is>
      </c>
      <c r="G2026" t="n">
        <v>4.6</v>
      </c>
      <c r="H2026" t="n">
        <v>0</v>
      </c>
      <c r="I2026" t="n">
        <v>0</v>
      </c>
      <c r="J2026" t="n">
        <v>0</v>
      </c>
      <c r="K2026" t="n">
        <v>0</v>
      </c>
      <c r="L2026" t="n">
        <v>0</v>
      </c>
      <c r="M2026" t="n">
        <v>0</v>
      </c>
      <c r="N2026" t="n">
        <v>0</v>
      </c>
      <c r="O2026" t="n">
        <v>0</v>
      </c>
      <c r="P2026" t="n">
        <v>0</v>
      </c>
      <c r="Q2026" t="n">
        <v>0</v>
      </c>
      <c r="R2026" s="2" t="inlineStr"/>
    </row>
    <row r="2027" ht="15" customHeight="1">
      <c r="A2027" t="inlineStr">
        <is>
          <t>A 23885-2021</t>
        </is>
      </c>
      <c r="B2027" s="1" t="n">
        <v>44335</v>
      </c>
      <c r="C2027" s="1" t="n">
        <v>46075</v>
      </c>
      <c r="D2027" t="inlineStr">
        <is>
          <t>VÄSTERBOTTENS LÄN</t>
        </is>
      </c>
      <c r="E2027" t="inlineStr">
        <is>
          <t>SKELLEFTEÅ</t>
        </is>
      </c>
      <c r="F2027" t="inlineStr">
        <is>
          <t>Holmen skog AB</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67775-2021</t>
        </is>
      </c>
      <c r="B2028" s="1" t="n">
        <v>44524</v>
      </c>
      <c r="C2028" s="1" t="n">
        <v>46075</v>
      </c>
      <c r="D2028" t="inlineStr">
        <is>
          <t>VÄSTERBOTTENS LÄN</t>
        </is>
      </c>
      <c r="E2028" t="inlineStr">
        <is>
          <t>BJURHOLM</t>
        </is>
      </c>
      <c r="G2028" t="n">
        <v>5.2</v>
      </c>
      <c r="H2028" t="n">
        <v>0</v>
      </c>
      <c r="I2028" t="n">
        <v>0</v>
      </c>
      <c r="J2028" t="n">
        <v>0</v>
      </c>
      <c r="K2028" t="n">
        <v>0</v>
      </c>
      <c r="L2028" t="n">
        <v>0</v>
      </c>
      <c r="M2028" t="n">
        <v>0</v>
      </c>
      <c r="N2028" t="n">
        <v>0</v>
      </c>
      <c r="O2028" t="n">
        <v>0</v>
      </c>
      <c r="P2028" t="n">
        <v>0</v>
      </c>
      <c r="Q2028" t="n">
        <v>0</v>
      </c>
      <c r="R2028" s="2" t="inlineStr"/>
    </row>
    <row r="2029" ht="15" customHeight="1">
      <c r="A2029" t="inlineStr">
        <is>
          <t>A 38731-2021</t>
        </is>
      </c>
      <c r="B2029" s="1" t="n">
        <v>44410</v>
      </c>
      <c r="C2029" s="1" t="n">
        <v>46075</v>
      </c>
      <c r="D2029" t="inlineStr">
        <is>
          <t>VÄSTERBOTTENS LÄN</t>
        </is>
      </c>
      <c r="E2029" t="inlineStr">
        <is>
          <t>UMEÅ</t>
        </is>
      </c>
      <c r="F2029" t="inlineStr">
        <is>
          <t>Kommuner</t>
        </is>
      </c>
      <c r="G2029" t="n">
        <v>5.2</v>
      </c>
      <c r="H2029" t="n">
        <v>0</v>
      </c>
      <c r="I2029" t="n">
        <v>0</v>
      </c>
      <c r="J2029" t="n">
        <v>0</v>
      </c>
      <c r="K2029" t="n">
        <v>0</v>
      </c>
      <c r="L2029" t="n">
        <v>0</v>
      </c>
      <c r="M2029" t="n">
        <v>0</v>
      </c>
      <c r="N2029" t="n">
        <v>0</v>
      </c>
      <c r="O2029" t="n">
        <v>0</v>
      </c>
      <c r="P2029" t="n">
        <v>0</v>
      </c>
      <c r="Q2029" t="n">
        <v>0</v>
      </c>
      <c r="R2029" s="2" t="inlineStr"/>
    </row>
    <row r="2030" ht="15" customHeight="1">
      <c r="A2030" t="inlineStr">
        <is>
          <t>A 38912-2021</t>
        </is>
      </c>
      <c r="B2030" s="1" t="n">
        <v>44410</v>
      </c>
      <c r="C2030" s="1" t="n">
        <v>46075</v>
      </c>
      <c r="D2030" t="inlineStr">
        <is>
          <t>VÄSTERBOTTENS LÄN</t>
        </is>
      </c>
      <c r="E2030" t="inlineStr">
        <is>
          <t>UMEÅ</t>
        </is>
      </c>
      <c r="F2030" t="inlineStr">
        <is>
          <t>Övriga statliga verk och myndigheter</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45266-2021</t>
        </is>
      </c>
      <c r="B2031" s="1" t="n">
        <v>44439</v>
      </c>
      <c r="C2031" s="1" t="n">
        <v>46075</v>
      </c>
      <c r="D2031" t="inlineStr">
        <is>
          <t>VÄSTERBOTTENS LÄN</t>
        </is>
      </c>
      <c r="E2031" t="inlineStr">
        <is>
          <t>LYCKSELE</t>
        </is>
      </c>
      <c r="F2031" t="inlineStr">
        <is>
          <t>Sveaskog</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35852-2021</t>
        </is>
      </c>
      <c r="B2032" s="1" t="n">
        <v>44386</v>
      </c>
      <c r="C2032" s="1" t="n">
        <v>46075</v>
      </c>
      <c r="D2032" t="inlineStr">
        <is>
          <t>VÄSTERBOTTENS LÄN</t>
        </is>
      </c>
      <c r="E2032" t="inlineStr">
        <is>
          <t>ROBERTSFORS</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23801-2021</t>
        </is>
      </c>
      <c r="B2033" s="1" t="n">
        <v>44334</v>
      </c>
      <c r="C2033" s="1" t="n">
        <v>46075</v>
      </c>
      <c r="D2033" t="inlineStr">
        <is>
          <t>VÄSTERBOTTENS LÄN</t>
        </is>
      </c>
      <c r="E2033" t="inlineStr">
        <is>
          <t>SKELLEFTEÅ</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8399-2022</t>
        </is>
      </c>
      <c r="B2034" s="1" t="n">
        <v>44610</v>
      </c>
      <c r="C2034" s="1" t="n">
        <v>46075</v>
      </c>
      <c r="D2034" t="inlineStr">
        <is>
          <t>VÄSTERBOTTENS LÄN</t>
        </is>
      </c>
      <c r="E2034" t="inlineStr">
        <is>
          <t>VÄNNÄS</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61554-2021</t>
        </is>
      </c>
      <c r="B2035" s="1" t="n">
        <v>44501.41797453703</v>
      </c>
      <c r="C2035" s="1" t="n">
        <v>46075</v>
      </c>
      <c r="D2035" t="inlineStr">
        <is>
          <t>VÄSTERBOTTENS LÄN</t>
        </is>
      </c>
      <c r="E2035" t="inlineStr">
        <is>
          <t>LYCKSELE</t>
        </is>
      </c>
      <c r="F2035" t="inlineStr">
        <is>
          <t>Sveaskog</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19538-2021</t>
        </is>
      </c>
      <c r="B2036" s="1" t="n">
        <v>44309</v>
      </c>
      <c r="C2036" s="1" t="n">
        <v>46075</v>
      </c>
      <c r="D2036" t="inlineStr">
        <is>
          <t>VÄSTERBOTTENS LÄN</t>
        </is>
      </c>
      <c r="E2036" t="inlineStr">
        <is>
          <t>SKELLEFTEÅ</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26130-2021</t>
        </is>
      </c>
      <c r="B2037" s="1" t="n">
        <v>44345.93436342593</v>
      </c>
      <c r="C2037" s="1" t="n">
        <v>46075</v>
      </c>
      <c r="D2037" t="inlineStr">
        <is>
          <t>VÄSTERBOTTENS LÄN</t>
        </is>
      </c>
      <c r="E2037" t="inlineStr">
        <is>
          <t>SKELLEFTEÅ</t>
        </is>
      </c>
      <c r="F2037" t="inlineStr">
        <is>
          <t>SCA</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44632-2021</t>
        </is>
      </c>
      <c r="B2038" s="1" t="n">
        <v>44437.3965625</v>
      </c>
      <c r="C2038" s="1" t="n">
        <v>46075</v>
      </c>
      <c r="D2038" t="inlineStr">
        <is>
          <t>VÄSTERBOTTENS LÄN</t>
        </is>
      </c>
      <c r="E2038" t="inlineStr">
        <is>
          <t>LYCKSELE</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24207-2021</t>
        </is>
      </c>
      <c r="B2039" s="1" t="n">
        <v>44336</v>
      </c>
      <c r="C2039" s="1" t="n">
        <v>46075</v>
      </c>
      <c r="D2039" t="inlineStr">
        <is>
          <t>VÄSTERBOTTENS LÄN</t>
        </is>
      </c>
      <c r="E2039" t="inlineStr">
        <is>
          <t>DOROTEA</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12942-2022</t>
        </is>
      </c>
      <c r="B2040" s="1" t="n">
        <v>44642.92290509259</v>
      </c>
      <c r="C2040" s="1" t="n">
        <v>46075</v>
      </c>
      <c r="D2040" t="inlineStr">
        <is>
          <t>VÄSTERBOTTENS LÄN</t>
        </is>
      </c>
      <c r="E2040" t="inlineStr">
        <is>
          <t>UMEÅ</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37901-2021</t>
        </is>
      </c>
      <c r="B2041" s="1" t="n">
        <v>44403</v>
      </c>
      <c r="C2041" s="1" t="n">
        <v>46075</v>
      </c>
      <c r="D2041" t="inlineStr">
        <is>
          <t>VÄSTERBOTTENS LÄN</t>
        </is>
      </c>
      <c r="E2041" t="inlineStr">
        <is>
          <t>NORDMALING</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70817-2021</t>
        </is>
      </c>
      <c r="B2042" s="1" t="n">
        <v>44537</v>
      </c>
      <c r="C2042" s="1" t="n">
        <v>46075</v>
      </c>
      <c r="D2042" t="inlineStr">
        <is>
          <t>VÄSTERBOTTENS LÄN</t>
        </is>
      </c>
      <c r="E2042" t="inlineStr">
        <is>
          <t>LYCKSELE</t>
        </is>
      </c>
      <c r="F2042" t="inlineStr">
        <is>
          <t>Naturvårdsverket</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13693-2022</t>
        </is>
      </c>
      <c r="B2043" s="1" t="n">
        <v>44648</v>
      </c>
      <c r="C2043" s="1" t="n">
        <v>46075</v>
      </c>
      <c r="D2043" t="inlineStr">
        <is>
          <t>VÄSTERBOTTENS LÄN</t>
        </is>
      </c>
      <c r="E2043" t="inlineStr">
        <is>
          <t>SKELLEFTEÅ</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39192-2021</t>
        </is>
      </c>
      <c r="B2044" s="1" t="n">
        <v>44413.34373842592</v>
      </c>
      <c r="C2044" s="1" t="n">
        <v>46075</v>
      </c>
      <c r="D2044" t="inlineStr">
        <is>
          <t>VÄSTERBOTTENS LÄN</t>
        </is>
      </c>
      <c r="E2044" t="inlineStr">
        <is>
          <t>SKELLEFTEÅ</t>
        </is>
      </c>
      <c r="F2044" t="inlineStr">
        <is>
          <t>Holmen skog AB</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2590-2022</t>
        </is>
      </c>
      <c r="B2045" s="1" t="n">
        <v>44580</v>
      </c>
      <c r="C2045" s="1" t="n">
        <v>46075</v>
      </c>
      <c r="D2045" t="inlineStr">
        <is>
          <t>VÄSTERBOTTENS LÄN</t>
        </is>
      </c>
      <c r="E2045" t="inlineStr">
        <is>
          <t>ROBERTSFORS</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17471-2022</t>
        </is>
      </c>
      <c r="B2046" s="1" t="n">
        <v>44679</v>
      </c>
      <c r="C2046" s="1" t="n">
        <v>46075</v>
      </c>
      <c r="D2046" t="inlineStr">
        <is>
          <t>VÄSTERBOTTENS LÄN</t>
        </is>
      </c>
      <c r="E2046" t="inlineStr">
        <is>
          <t>STORUMAN</t>
        </is>
      </c>
      <c r="G2046" t="n">
        <v>59.1</v>
      </c>
      <c r="H2046" t="n">
        <v>0</v>
      </c>
      <c r="I2046" t="n">
        <v>0</v>
      </c>
      <c r="J2046" t="n">
        <v>0</v>
      </c>
      <c r="K2046" t="n">
        <v>0</v>
      </c>
      <c r="L2046" t="n">
        <v>0</v>
      </c>
      <c r="M2046" t="n">
        <v>0</v>
      </c>
      <c r="N2046" t="n">
        <v>0</v>
      </c>
      <c r="O2046" t="n">
        <v>0</v>
      </c>
      <c r="P2046" t="n">
        <v>0</v>
      </c>
      <c r="Q2046" t="n">
        <v>0</v>
      </c>
      <c r="R2046" s="2" t="inlineStr"/>
    </row>
    <row r="2047" ht="15" customHeight="1">
      <c r="A2047" t="inlineStr">
        <is>
          <t>A 72488-2021</t>
        </is>
      </c>
      <c r="B2047" s="1" t="n">
        <v>44545.9203587963</v>
      </c>
      <c r="C2047" s="1" t="n">
        <v>46075</v>
      </c>
      <c r="D2047" t="inlineStr">
        <is>
          <t>VÄSTERBOTTENS LÄN</t>
        </is>
      </c>
      <c r="E2047" t="inlineStr">
        <is>
          <t>VILHELMINA</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72493-2021</t>
        </is>
      </c>
      <c r="B2048" s="1" t="n">
        <v>44545</v>
      </c>
      <c r="C2048" s="1" t="n">
        <v>46075</v>
      </c>
      <c r="D2048" t="inlineStr">
        <is>
          <t>VÄSTERBOTTENS LÄN</t>
        </is>
      </c>
      <c r="E2048" t="inlineStr">
        <is>
          <t>VILHELMINA</t>
        </is>
      </c>
      <c r="G2048" t="n">
        <v>4.2</v>
      </c>
      <c r="H2048" t="n">
        <v>0</v>
      </c>
      <c r="I2048" t="n">
        <v>0</v>
      </c>
      <c r="J2048" t="n">
        <v>0</v>
      </c>
      <c r="K2048" t="n">
        <v>0</v>
      </c>
      <c r="L2048" t="n">
        <v>0</v>
      </c>
      <c r="M2048" t="n">
        <v>0</v>
      </c>
      <c r="N2048" t="n">
        <v>0</v>
      </c>
      <c r="O2048" t="n">
        <v>0</v>
      </c>
      <c r="P2048" t="n">
        <v>0</v>
      </c>
      <c r="Q2048" t="n">
        <v>0</v>
      </c>
      <c r="R2048" s="2" t="inlineStr"/>
    </row>
    <row r="2049" ht="15" customHeight="1">
      <c r="A2049" t="inlineStr">
        <is>
          <t>A 38559-2021</t>
        </is>
      </c>
      <c r="B2049" s="1" t="n">
        <v>44407</v>
      </c>
      <c r="C2049" s="1" t="n">
        <v>46075</v>
      </c>
      <c r="D2049" t="inlineStr">
        <is>
          <t>VÄSTERBOTTENS LÄN</t>
        </is>
      </c>
      <c r="E2049" t="inlineStr">
        <is>
          <t>UMEÅ</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38560-2021</t>
        </is>
      </c>
      <c r="B2050" s="1" t="n">
        <v>44407</v>
      </c>
      <c r="C2050" s="1" t="n">
        <v>46075</v>
      </c>
      <c r="D2050" t="inlineStr">
        <is>
          <t>VÄSTERBOTTENS LÄN</t>
        </is>
      </c>
      <c r="E2050" t="inlineStr">
        <is>
          <t>UMEÅ</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62038-2021</t>
        </is>
      </c>
      <c r="B2051" s="1" t="n">
        <v>44501</v>
      </c>
      <c r="C2051" s="1" t="n">
        <v>46075</v>
      </c>
      <c r="D2051" t="inlineStr">
        <is>
          <t>VÄSTERBOTTENS LÄN</t>
        </is>
      </c>
      <c r="E2051" t="inlineStr">
        <is>
          <t>SORSELE</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28001-2022</t>
        </is>
      </c>
      <c r="B2052" s="1" t="n">
        <v>44743</v>
      </c>
      <c r="C2052" s="1" t="n">
        <v>46075</v>
      </c>
      <c r="D2052" t="inlineStr">
        <is>
          <t>VÄSTERBOTTENS LÄN</t>
        </is>
      </c>
      <c r="E2052" t="inlineStr">
        <is>
          <t>STORUMAN</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12065-2022</t>
        </is>
      </c>
      <c r="B2053" s="1" t="n">
        <v>44637</v>
      </c>
      <c r="C2053" s="1" t="n">
        <v>46075</v>
      </c>
      <c r="D2053" t="inlineStr">
        <is>
          <t>VÄSTERBOTTENS LÄN</t>
        </is>
      </c>
      <c r="E2053" t="inlineStr">
        <is>
          <t>VILHELMINA</t>
        </is>
      </c>
      <c r="G2053" t="n">
        <v>27.7</v>
      </c>
      <c r="H2053" t="n">
        <v>0</v>
      </c>
      <c r="I2053" t="n">
        <v>0</v>
      </c>
      <c r="J2053" t="n">
        <v>0</v>
      </c>
      <c r="K2053" t="n">
        <v>0</v>
      </c>
      <c r="L2053" t="n">
        <v>0</v>
      </c>
      <c r="M2053" t="n">
        <v>0</v>
      </c>
      <c r="N2053" t="n">
        <v>0</v>
      </c>
      <c r="O2053" t="n">
        <v>0</v>
      </c>
      <c r="P2053" t="n">
        <v>0</v>
      </c>
      <c r="Q2053" t="n">
        <v>0</v>
      </c>
      <c r="R2053" s="2" t="inlineStr"/>
    </row>
    <row r="2054" ht="15" customHeight="1">
      <c r="A2054" t="inlineStr">
        <is>
          <t>A 32359-2022</t>
        </is>
      </c>
      <c r="B2054" s="1" t="n">
        <v>44781</v>
      </c>
      <c r="C2054" s="1" t="n">
        <v>46075</v>
      </c>
      <c r="D2054" t="inlineStr">
        <is>
          <t>VÄSTERBOTTENS LÄN</t>
        </is>
      </c>
      <c r="E2054" t="inlineStr">
        <is>
          <t>ÅSELE</t>
        </is>
      </c>
      <c r="F2054" t="inlineStr">
        <is>
          <t>SCA</t>
        </is>
      </c>
      <c r="G2054" t="n">
        <v>11.8</v>
      </c>
      <c r="H2054" t="n">
        <v>0</v>
      </c>
      <c r="I2054" t="n">
        <v>0</v>
      </c>
      <c r="J2054" t="n">
        <v>0</v>
      </c>
      <c r="K2054" t="n">
        <v>0</v>
      </c>
      <c r="L2054" t="n">
        <v>0</v>
      </c>
      <c r="M2054" t="n">
        <v>0</v>
      </c>
      <c r="N2054" t="n">
        <v>0</v>
      </c>
      <c r="O2054" t="n">
        <v>0</v>
      </c>
      <c r="P2054" t="n">
        <v>0</v>
      </c>
      <c r="Q2054" t="n">
        <v>0</v>
      </c>
      <c r="R2054" s="2" t="inlineStr"/>
    </row>
    <row r="2055" ht="15" customHeight="1">
      <c r="A2055" t="inlineStr">
        <is>
          <t>A 52080-2021</t>
        </is>
      </c>
      <c r="B2055" s="1" t="n">
        <v>44463</v>
      </c>
      <c r="C2055" s="1" t="n">
        <v>46075</v>
      </c>
      <c r="D2055" t="inlineStr">
        <is>
          <t>VÄSTERBOTTENS LÄN</t>
        </is>
      </c>
      <c r="E2055" t="inlineStr">
        <is>
          <t>SKELLEFTEÅ</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44375-2022</t>
        </is>
      </c>
      <c r="B2056" s="1" t="n">
        <v>44838</v>
      </c>
      <c r="C2056" s="1" t="n">
        <v>46075</v>
      </c>
      <c r="D2056" t="inlineStr">
        <is>
          <t>VÄSTERBOTTENS LÄN</t>
        </is>
      </c>
      <c r="E2056" t="inlineStr">
        <is>
          <t>UMEÅ</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35745-2021</t>
        </is>
      </c>
      <c r="B2057" s="1" t="n">
        <v>44386.56488425926</v>
      </c>
      <c r="C2057" s="1" t="n">
        <v>46075</v>
      </c>
      <c r="D2057" t="inlineStr">
        <is>
          <t>VÄSTERBOTTENS LÄN</t>
        </is>
      </c>
      <c r="E2057" t="inlineStr">
        <is>
          <t>ÅSELE</t>
        </is>
      </c>
      <c r="F2057" t="inlineStr">
        <is>
          <t>Holmen skog AB</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60317-2021</t>
        </is>
      </c>
      <c r="B2058" s="1" t="n">
        <v>44495.94003472223</v>
      </c>
      <c r="C2058" s="1" t="n">
        <v>46075</v>
      </c>
      <c r="D2058" t="inlineStr">
        <is>
          <t>VÄSTERBOTTENS LÄN</t>
        </is>
      </c>
      <c r="E2058" t="inlineStr">
        <is>
          <t>VILHELMINA</t>
        </is>
      </c>
      <c r="F2058" t="inlineStr">
        <is>
          <t>SCA</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60413-2021</t>
        </is>
      </c>
      <c r="B2059" s="1" t="n">
        <v>44496.39971064815</v>
      </c>
      <c r="C2059" s="1" t="n">
        <v>46075</v>
      </c>
      <c r="D2059" t="inlineStr">
        <is>
          <t>VÄSTERBOTTENS LÄN</t>
        </is>
      </c>
      <c r="E2059" t="inlineStr">
        <is>
          <t>ÅSELE</t>
        </is>
      </c>
      <c r="F2059" t="inlineStr">
        <is>
          <t>Holmen skog AB</t>
        </is>
      </c>
      <c r="G2059" t="n">
        <v>4</v>
      </c>
      <c r="H2059" t="n">
        <v>0</v>
      </c>
      <c r="I2059" t="n">
        <v>0</v>
      </c>
      <c r="J2059" t="n">
        <v>0</v>
      </c>
      <c r="K2059" t="n">
        <v>0</v>
      </c>
      <c r="L2059" t="n">
        <v>0</v>
      </c>
      <c r="M2059" t="n">
        <v>0</v>
      </c>
      <c r="N2059" t="n">
        <v>0</v>
      </c>
      <c r="O2059" t="n">
        <v>0</v>
      </c>
      <c r="P2059" t="n">
        <v>0</v>
      </c>
      <c r="Q2059" t="n">
        <v>0</v>
      </c>
      <c r="R2059" s="2" t="inlineStr"/>
    </row>
    <row r="2060" ht="15" customHeight="1">
      <c r="A2060" t="inlineStr">
        <is>
          <t>A 40123-2022</t>
        </is>
      </c>
      <c r="B2060" s="1" t="n">
        <v>44820</v>
      </c>
      <c r="C2060" s="1" t="n">
        <v>46075</v>
      </c>
      <c r="D2060" t="inlineStr">
        <is>
          <t>VÄSTERBOTTENS LÄN</t>
        </is>
      </c>
      <c r="E2060" t="inlineStr">
        <is>
          <t>VINDELN</t>
        </is>
      </c>
      <c r="F2060" t="inlineStr">
        <is>
          <t>Sveaskog</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12629-2022</t>
        </is>
      </c>
      <c r="B2061" s="1" t="n">
        <v>44641</v>
      </c>
      <c r="C2061" s="1" t="n">
        <v>46075</v>
      </c>
      <c r="D2061" t="inlineStr">
        <is>
          <t>VÄSTERBOTTENS LÄN</t>
        </is>
      </c>
      <c r="E2061" t="inlineStr">
        <is>
          <t>ROBERTSFORS</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41250-2021</t>
        </is>
      </c>
      <c r="B2062" s="1" t="n">
        <v>44424</v>
      </c>
      <c r="C2062" s="1" t="n">
        <v>46075</v>
      </c>
      <c r="D2062" t="inlineStr">
        <is>
          <t>VÄSTERBOTTENS LÄN</t>
        </is>
      </c>
      <c r="E2062" t="inlineStr">
        <is>
          <t>NORSJÖ</t>
        </is>
      </c>
      <c r="F2062" t="inlineStr">
        <is>
          <t>Kommuner</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21058-2022</t>
        </is>
      </c>
      <c r="B2063" s="1" t="n">
        <v>44704</v>
      </c>
      <c r="C2063" s="1" t="n">
        <v>46075</v>
      </c>
      <c r="D2063" t="inlineStr">
        <is>
          <t>VÄSTERBOTTENS LÄN</t>
        </is>
      </c>
      <c r="E2063" t="inlineStr">
        <is>
          <t>LYCKSELE</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1671-2022</t>
        </is>
      </c>
      <c r="B2064" s="1" t="n">
        <v>44574</v>
      </c>
      <c r="C2064" s="1" t="n">
        <v>46075</v>
      </c>
      <c r="D2064" t="inlineStr">
        <is>
          <t>VÄSTERBOTTENS LÄN</t>
        </is>
      </c>
      <c r="E2064" t="inlineStr">
        <is>
          <t>ROBERTSFORS</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35465-2021</t>
        </is>
      </c>
      <c r="B2065" s="1" t="n">
        <v>44385</v>
      </c>
      <c r="C2065" s="1" t="n">
        <v>46075</v>
      </c>
      <c r="D2065" t="inlineStr">
        <is>
          <t>VÄSTERBOTTENS LÄN</t>
        </is>
      </c>
      <c r="E2065" t="inlineStr">
        <is>
          <t>UMEÅ</t>
        </is>
      </c>
      <c r="F2065" t="inlineStr">
        <is>
          <t>Sveaskog</t>
        </is>
      </c>
      <c r="G2065" t="n">
        <v>5.8</v>
      </c>
      <c r="H2065" t="n">
        <v>0</v>
      </c>
      <c r="I2065" t="n">
        <v>0</v>
      </c>
      <c r="J2065" t="n">
        <v>0</v>
      </c>
      <c r="K2065" t="n">
        <v>0</v>
      </c>
      <c r="L2065" t="n">
        <v>0</v>
      </c>
      <c r="M2065" t="n">
        <v>0</v>
      </c>
      <c r="N2065" t="n">
        <v>0</v>
      </c>
      <c r="O2065" t="n">
        <v>0</v>
      </c>
      <c r="P2065" t="n">
        <v>0</v>
      </c>
      <c r="Q2065" t="n">
        <v>0</v>
      </c>
      <c r="R2065" s="2" t="inlineStr"/>
    </row>
    <row r="2066" ht="15" customHeight="1">
      <c r="A2066" t="inlineStr">
        <is>
          <t>A 31954-2022</t>
        </is>
      </c>
      <c r="B2066" s="1" t="n">
        <v>44777.92450231482</v>
      </c>
      <c r="C2066" s="1" t="n">
        <v>46075</v>
      </c>
      <c r="D2066" t="inlineStr">
        <is>
          <t>VÄSTERBOTTENS LÄN</t>
        </is>
      </c>
      <c r="E2066" t="inlineStr">
        <is>
          <t>SKELLEFTEÅ</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7210-2022</t>
        </is>
      </c>
      <c r="B2067" s="1" t="n">
        <v>44606</v>
      </c>
      <c r="C2067" s="1" t="n">
        <v>46075</v>
      </c>
      <c r="D2067" t="inlineStr">
        <is>
          <t>VÄSTERBOTTENS LÄN</t>
        </is>
      </c>
      <c r="E2067" t="inlineStr">
        <is>
          <t>UMEÅ</t>
        </is>
      </c>
      <c r="G2067" t="n">
        <v>6.6</v>
      </c>
      <c r="H2067" t="n">
        <v>0</v>
      </c>
      <c r="I2067" t="n">
        <v>0</v>
      </c>
      <c r="J2067" t="n">
        <v>0</v>
      </c>
      <c r="K2067" t="n">
        <v>0</v>
      </c>
      <c r="L2067" t="n">
        <v>0</v>
      </c>
      <c r="M2067" t="n">
        <v>0</v>
      </c>
      <c r="N2067" t="n">
        <v>0</v>
      </c>
      <c r="O2067" t="n">
        <v>0</v>
      </c>
      <c r="P2067" t="n">
        <v>0</v>
      </c>
      <c r="Q2067" t="n">
        <v>0</v>
      </c>
      <c r="R2067" s="2" t="inlineStr"/>
    </row>
    <row r="2068" ht="15" customHeight="1">
      <c r="A2068" t="inlineStr">
        <is>
          <t>A 24478-2022</t>
        </is>
      </c>
      <c r="B2068" s="1" t="n">
        <v>44726</v>
      </c>
      <c r="C2068" s="1" t="n">
        <v>46075</v>
      </c>
      <c r="D2068" t="inlineStr">
        <is>
          <t>VÄSTERBOTTENS LÄN</t>
        </is>
      </c>
      <c r="E2068" t="inlineStr">
        <is>
          <t>LYCKSELE</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37475-2021</t>
        </is>
      </c>
      <c r="B2069" s="1" t="n">
        <v>44398.90005787037</v>
      </c>
      <c r="C2069" s="1" t="n">
        <v>46075</v>
      </c>
      <c r="D2069" t="inlineStr">
        <is>
          <t>VÄSTERBOTTENS LÄN</t>
        </is>
      </c>
      <c r="E2069" t="inlineStr">
        <is>
          <t>VINDELN</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38684-2021</t>
        </is>
      </c>
      <c r="B2070" s="1" t="n">
        <v>44407</v>
      </c>
      <c r="C2070" s="1" t="n">
        <v>46075</v>
      </c>
      <c r="D2070" t="inlineStr">
        <is>
          <t>VÄSTERBOTTENS LÄN</t>
        </is>
      </c>
      <c r="E2070" t="inlineStr">
        <is>
          <t>UMEÅ</t>
        </is>
      </c>
      <c r="F2070" t="inlineStr">
        <is>
          <t>Kommuner</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6516-2022</t>
        </is>
      </c>
      <c r="B2071" s="1" t="n">
        <v>44600</v>
      </c>
      <c r="C2071" s="1" t="n">
        <v>46075</v>
      </c>
      <c r="D2071" t="inlineStr">
        <is>
          <t>VÄSTERBOTTENS LÄN</t>
        </is>
      </c>
      <c r="E2071" t="inlineStr">
        <is>
          <t>VINDELN</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4844-2022</t>
        </is>
      </c>
      <c r="B2072" s="1" t="n">
        <v>44592</v>
      </c>
      <c r="C2072" s="1" t="n">
        <v>46075</v>
      </c>
      <c r="D2072" t="inlineStr">
        <is>
          <t>VÄSTERBOTTENS LÄN</t>
        </is>
      </c>
      <c r="E2072" t="inlineStr">
        <is>
          <t>SKELLEFTEÅ</t>
        </is>
      </c>
      <c r="G2072" t="n">
        <v>0.3</v>
      </c>
      <c r="H2072" t="n">
        <v>0</v>
      </c>
      <c r="I2072" t="n">
        <v>0</v>
      </c>
      <c r="J2072" t="n">
        <v>0</v>
      </c>
      <c r="K2072" t="n">
        <v>0</v>
      </c>
      <c r="L2072" t="n">
        <v>0</v>
      </c>
      <c r="M2072" t="n">
        <v>0</v>
      </c>
      <c r="N2072" t="n">
        <v>0</v>
      </c>
      <c r="O2072" t="n">
        <v>0</v>
      </c>
      <c r="P2072" t="n">
        <v>0</v>
      </c>
      <c r="Q2072" t="n">
        <v>0</v>
      </c>
      <c r="R2072" s="2" t="inlineStr"/>
    </row>
    <row r="2073" ht="15" customHeight="1">
      <c r="A2073" t="inlineStr">
        <is>
          <t>A 48574-2021</t>
        </is>
      </c>
      <c r="B2073" s="1" t="n">
        <v>44452</v>
      </c>
      <c r="C2073" s="1" t="n">
        <v>46075</v>
      </c>
      <c r="D2073" t="inlineStr">
        <is>
          <t>VÄSTERBOTTENS LÄN</t>
        </is>
      </c>
      <c r="E2073" t="inlineStr">
        <is>
          <t>VILHELMINA</t>
        </is>
      </c>
      <c r="F2073" t="inlineStr">
        <is>
          <t>Allmännings- och besparingsskogar</t>
        </is>
      </c>
      <c r="G2073" t="n">
        <v>85.09999999999999</v>
      </c>
      <c r="H2073" t="n">
        <v>0</v>
      </c>
      <c r="I2073" t="n">
        <v>0</v>
      </c>
      <c r="J2073" t="n">
        <v>0</v>
      </c>
      <c r="K2073" t="n">
        <v>0</v>
      </c>
      <c r="L2073" t="n">
        <v>0</v>
      </c>
      <c r="M2073" t="n">
        <v>0</v>
      </c>
      <c r="N2073" t="n">
        <v>0</v>
      </c>
      <c r="O2073" t="n">
        <v>0</v>
      </c>
      <c r="P2073" t="n">
        <v>0</v>
      </c>
      <c r="Q2073" t="n">
        <v>0</v>
      </c>
      <c r="R2073" s="2" t="inlineStr"/>
    </row>
    <row r="2074" ht="15" customHeight="1">
      <c r="A2074" t="inlineStr">
        <is>
          <t>A 67762-2021</t>
        </is>
      </c>
      <c r="B2074" s="1" t="n">
        <v>44524</v>
      </c>
      <c r="C2074" s="1" t="n">
        <v>46075</v>
      </c>
      <c r="D2074" t="inlineStr">
        <is>
          <t>VÄSTERBOTTENS LÄN</t>
        </is>
      </c>
      <c r="E2074" t="inlineStr">
        <is>
          <t>BJURHOLM</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14389-2021</t>
        </is>
      </c>
      <c r="B2075" s="1" t="n">
        <v>44279</v>
      </c>
      <c r="C2075" s="1" t="n">
        <v>46075</v>
      </c>
      <c r="D2075" t="inlineStr">
        <is>
          <t>VÄSTERBOTTENS LÄN</t>
        </is>
      </c>
      <c r="E2075" t="inlineStr">
        <is>
          <t>STORUMAN</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22553-2022</t>
        </is>
      </c>
      <c r="B2076" s="1" t="n">
        <v>44713.93777777778</v>
      </c>
      <c r="C2076" s="1" t="n">
        <v>46075</v>
      </c>
      <c r="D2076" t="inlineStr">
        <is>
          <t>VÄSTERBOTTENS LÄN</t>
        </is>
      </c>
      <c r="E2076" t="inlineStr">
        <is>
          <t>VINDELN</t>
        </is>
      </c>
      <c r="F2076" t="inlineStr">
        <is>
          <t>SCA</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55568-2021</t>
        </is>
      </c>
      <c r="B2077" s="1" t="n">
        <v>44475.72190972222</v>
      </c>
      <c r="C2077" s="1" t="n">
        <v>46075</v>
      </c>
      <c r="D2077" t="inlineStr">
        <is>
          <t>VÄSTERBOTTENS LÄN</t>
        </is>
      </c>
      <c r="E2077" t="inlineStr">
        <is>
          <t>SKELLEFTEÅ</t>
        </is>
      </c>
      <c r="F2077" t="inlineStr">
        <is>
          <t>Sveaskog</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55590-2021</t>
        </is>
      </c>
      <c r="B2078" s="1" t="n">
        <v>44475.92033564814</v>
      </c>
      <c r="C2078" s="1" t="n">
        <v>46075</v>
      </c>
      <c r="D2078" t="inlineStr">
        <is>
          <t>VÄSTERBOTTENS LÄN</t>
        </is>
      </c>
      <c r="E2078" t="inlineStr">
        <is>
          <t>UMEÅ</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49816-2021</t>
        </is>
      </c>
      <c r="B2079" s="1" t="n">
        <v>44454</v>
      </c>
      <c r="C2079" s="1" t="n">
        <v>46075</v>
      </c>
      <c r="D2079" t="inlineStr">
        <is>
          <t>VÄSTERBOTTENS LÄN</t>
        </is>
      </c>
      <c r="E2079" t="inlineStr">
        <is>
          <t>LYCKSELE</t>
        </is>
      </c>
      <c r="G2079" t="n">
        <v>4.5</v>
      </c>
      <c r="H2079" t="n">
        <v>0</v>
      </c>
      <c r="I2079" t="n">
        <v>0</v>
      </c>
      <c r="J2079" t="n">
        <v>0</v>
      </c>
      <c r="K2079" t="n">
        <v>0</v>
      </c>
      <c r="L2079" t="n">
        <v>0</v>
      </c>
      <c r="M2079" t="n">
        <v>0</v>
      </c>
      <c r="N2079" t="n">
        <v>0</v>
      </c>
      <c r="O2079" t="n">
        <v>0</v>
      </c>
      <c r="P2079" t="n">
        <v>0</v>
      </c>
      <c r="Q2079" t="n">
        <v>0</v>
      </c>
      <c r="R2079" s="2" t="inlineStr"/>
    </row>
    <row r="2080" ht="15" customHeight="1">
      <c r="A2080" t="inlineStr">
        <is>
          <t>A 31381-2022</t>
        </is>
      </c>
      <c r="B2080" s="1" t="n">
        <v>44774</v>
      </c>
      <c r="C2080" s="1" t="n">
        <v>46075</v>
      </c>
      <c r="D2080" t="inlineStr">
        <is>
          <t>VÄSTERBOTTENS LÄN</t>
        </is>
      </c>
      <c r="E2080" t="inlineStr">
        <is>
          <t>BJURHOLM</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61289-2021</t>
        </is>
      </c>
      <c r="B2081" s="1" t="n">
        <v>44498.61892361111</v>
      </c>
      <c r="C2081" s="1" t="n">
        <v>46075</v>
      </c>
      <c r="D2081" t="inlineStr">
        <is>
          <t>VÄSTERBOTTENS LÄN</t>
        </is>
      </c>
      <c r="E2081" t="inlineStr">
        <is>
          <t>ÅSELE</t>
        </is>
      </c>
      <c r="F2081" t="inlineStr">
        <is>
          <t>Sveaskog</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35608-2022</t>
        </is>
      </c>
      <c r="B2082" s="1" t="n">
        <v>44799</v>
      </c>
      <c r="C2082" s="1" t="n">
        <v>46075</v>
      </c>
      <c r="D2082" t="inlineStr">
        <is>
          <t>VÄSTERBOTTENS LÄN</t>
        </is>
      </c>
      <c r="E2082" t="inlineStr">
        <is>
          <t>SKELLEFTEÅ</t>
        </is>
      </c>
      <c r="F2082" t="inlineStr">
        <is>
          <t>Sveaskog</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30990-2021</t>
        </is>
      </c>
      <c r="B2083" s="1" t="n">
        <v>44365</v>
      </c>
      <c r="C2083" s="1" t="n">
        <v>46075</v>
      </c>
      <c r="D2083" t="inlineStr">
        <is>
          <t>VÄSTERBOTTENS LÄN</t>
        </is>
      </c>
      <c r="E2083" t="inlineStr">
        <is>
          <t>VINDELN</t>
        </is>
      </c>
      <c r="F2083" t="inlineStr">
        <is>
          <t>SCA</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58005-2021</t>
        </is>
      </c>
      <c r="B2084" s="1" t="n">
        <v>44487.42274305555</v>
      </c>
      <c r="C2084" s="1" t="n">
        <v>46075</v>
      </c>
      <c r="D2084" t="inlineStr">
        <is>
          <t>VÄSTERBOTTENS LÄN</t>
        </is>
      </c>
      <c r="E2084" t="inlineStr">
        <is>
          <t>NORSJÖ</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37938-2021</t>
        </is>
      </c>
      <c r="B2085" s="1" t="n">
        <v>44403</v>
      </c>
      <c r="C2085" s="1" t="n">
        <v>46075</v>
      </c>
      <c r="D2085" t="inlineStr">
        <is>
          <t>VÄSTERBOTTENS LÄN</t>
        </is>
      </c>
      <c r="E2085" t="inlineStr">
        <is>
          <t>SKELLEFTEÅ</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60437-2021</t>
        </is>
      </c>
      <c r="B2086" s="1" t="n">
        <v>44496</v>
      </c>
      <c r="C2086" s="1" t="n">
        <v>46075</v>
      </c>
      <c r="D2086" t="inlineStr">
        <is>
          <t>VÄSTERBOTTENS LÄN</t>
        </is>
      </c>
      <c r="E2086" t="inlineStr">
        <is>
          <t>LYCKSELE</t>
        </is>
      </c>
      <c r="F2086" t="inlineStr">
        <is>
          <t>Sveaskog</t>
        </is>
      </c>
      <c r="G2086" t="n">
        <v>4.9</v>
      </c>
      <c r="H2086" t="n">
        <v>0</v>
      </c>
      <c r="I2086" t="n">
        <v>0</v>
      </c>
      <c r="J2086" t="n">
        <v>0</v>
      </c>
      <c r="K2086" t="n">
        <v>0</v>
      </c>
      <c r="L2086" t="n">
        <v>0</v>
      </c>
      <c r="M2086" t="n">
        <v>0</v>
      </c>
      <c r="N2086" t="n">
        <v>0</v>
      </c>
      <c r="O2086" t="n">
        <v>0</v>
      </c>
      <c r="P2086" t="n">
        <v>0</v>
      </c>
      <c r="Q2086" t="n">
        <v>0</v>
      </c>
      <c r="R2086" s="2" t="inlineStr"/>
    </row>
    <row r="2087" ht="15" customHeight="1">
      <c r="A2087" t="inlineStr">
        <is>
          <t>A 22364-2022</t>
        </is>
      </c>
      <c r="B2087" s="1" t="n">
        <v>44713</v>
      </c>
      <c r="C2087" s="1" t="n">
        <v>46075</v>
      </c>
      <c r="D2087" t="inlineStr">
        <is>
          <t>VÄSTERBOTTENS LÄN</t>
        </is>
      </c>
      <c r="E2087" t="inlineStr">
        <is>
          <t>SKELLEFTEÅ</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35442-2021</t>
        </is>
      </c>
      <c r="B2088" s="1" t="n">
        <v>44384</v>
      </c>
      <c r="C2088" s="1" t="n">
        <v>46075</v>
      </c>
      <c r="D2088" t="inlineStr">
        <is>
          <t>VÄSTERBOTTENS LÄN</t>
        </is>
      </c>
      <c r="E2088" t="inlineStr">
        <is>
          <t>SKELLEFTEÅ</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60524-2021</t>
        </is>
      </c>
      <c r="B2089" s="1" t="n">
        <v>44496</v>
      </c>
      <c r="C2089" s="1" t="n">
        <v>46075</v>
      </c>
      <c r="D2089" t="inlineStr">
        <is>
          <t>VÄSTERBOTTENS LÄN</t>
        </is>
      </c>
      <c r="E2089" t="inlineStr">
        <is>
          <t>ÅSELE</t>
        </is>
      </c>
      <c r="F2089" t="inlineStr">
        <is>
          <t>Holmen skog AB</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59178-2021</t>
        </is>
      </c>
      <c r="B2090" s="1" t="n">
        <v>44490</v>
      </c>
      <c r="C2090" s="1" t="n">
        <v>46075</v>
      </c>
      <c r="D2090" t="inlineStr">
        <is>
          <t>VÄSTERBOTTENS LÄN</t>
        </is>
      </c>
      <c r="E2090" t="inlineStr">
        <is>
          <t>BJURHOLM</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13329-2022</t>
        </is>
      </c>
      <c r="B2091" s="1" t="n">
        <v>44644</v>
      </c>
      <c r="C2091" s="1" t="n">
        <v>46075</v>
      </c>
      <c r="D2091" t="inlineStr">
        <is>
          <t>VÄSTERBOTTENS LÄN</t>
        </is>
      </c>
      <c r="E2091" t="inlineStr">
        <is>
          <t>ROBERTSFORS</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13983-2021</t>
        </is>
      </c>
      <c r="B2092" s="1" t="n">
        <v>44277</v>
      </c>
      <c r="C2092" s="1" t="n">
        <v>46075</v>
      </c>
      <c r="D2092" t="inlineStr">
        <is>
          <t>VÄSTERBOTTENS LÄN</t>
        </is>
      </c>
      <c r="E2092" t="inlineStr">
        <is>
          <t>ROBERTSFORS</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23680-2022</t>
        </is>
      </c>
      <c r="B2093" s="1" t="n">
        <v>44721</v>
      </c>
      <c r="C2093" s="1" t="n">
        <v>46075</v>
      </c>
      <c r="D2093" t="inlineStr">
        <is>
          <t>VÄSTERBOTTENS LÄN</t>
        </is>
      </c>
      <c r="E2093" t="inlineStr">
        <is>
          <t>VINDELN</t>
        </is>
      </c>
      <c r="F2093" t="inlineStr">
        <is>
          <t>SCA</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54388-2021</t>
        </is>
      </c>
      <c r="B2094" s="1" t="n">
        <v>44470</v>
      </c>
      <c r="C2094" s="1" t="n">
        <v>46075</v>
      </c>
      <c r="D2094" t="inlineStr">
        <is>
          <t>VÄSTERBOTTENS LÄN</t>
        </is>
      </c>
      <c r="E2094" t="inlineStr">
        <is>
          <t>NORSJÖ</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54432-2021</t>
        </is>
      </c>
      <c r="B2095" s="1" t="n">
        <v>44472</v>
      </c>
      <c r="C2095" s="1" t="n">
        <v>46075</v>
      </c>
      <c r="D2095" t="inlineStr">
        <is>
          <t>VÄSTERBOTTENS LÄN</t>
        </is>
      </c>
      <c r="E2095" t="inlineStr">
        <is>
          <t>ÅSELE</t>
        </is>
      </c>
      <c r="G2095" t="n">
        <v>5.2</v>
      </c>
      <c r="H2095" t="n">
        <v>0</v>
      </c>
      <c r="I2095" t="n">
        <v>0</v>
      </c>
      <c r="J2095" t="n">
        <v>0</v>
      </c>
      <c r="K2095" t="n">
        <v>0</v>
      </c>
      <c r="L2095" t="n">
        <v>0</v>
      </c>
      <c r="M2095" t="n">
        <v>0</v>
      </c>
      <c r="N2095" t="n">
        <v>0</v>
      </c>
      <c r="O2095" t="n">
        <v>0</v>
      </c>
      <c r="P2095" t="n">
        <v>0</v>
      </c>
      <c r="Q2095" t="n">
        <v>0</v>
      </c>
      <c r="R2095" s="2" t="inlineStr"/>
    </row>
    <row r="2096" ht="15" customHeight="1">
      <c r="A2096" t="inlineStr">
        <is>
          <t>A 3266-2022</t>
        </is>
      </c>
      <c r="B2096" s="1" t="n">
        <v>44583.87421296296</v>
      </c>
      <c r="C2096" s="1" t="n">
        <v>46075</v>
      </c>
      <c r="D2096" t="inlineStr">
        <is>
          <t>VÄSTERBOTTENS LÄN</t>
        </is>
      </c>
      <c r="E2096" t="inlineStr">
        <is>
          <t>SKELLEFTEÅ</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72487-2021</t>
        </is>
      </c>
      <c r="B2097" s="1" t="n">
        <v>44545.92033564814</v>
      </c>
      <c r="C2097" s="1" t="n">
        <v>46075</v>
      </c>
      <c r="D2097" t="inlineStr">
        <is>
          <t>VÄSTERBOTTENS LÄN</t>
        </is>
      </c>
      <c r="E2097" t="inlineStr">
        <is>
          <t>VILHELMINA</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57370-2021</t>
        </is>
      </c>
      <c r="B2098" s="1" t="n">
        <v>44483</v>
      </c>
      <c r="C2098" s="1" t="n">
        <v>46075</v>
      </c>
      <c r="D2098" t="inlineStr">
        <is>
          <t>VÄSTERBOTTENS LÄN</t>
        </is>
      </c>
      <c r="E2098" t="inlineStr">
        <is>
          <t>SKELLEFTEÅ</t>
        </is>
      </c>
      <c r="F2098" t="inlineStr">
        <is>
          <t>Holmen skog AB</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60088-2021</t>
        </is>
      </c>
      <c r="B2099" s="1" t="n">
        <v>44495</v>
      </c>
      <c r="C2099" s="1" t="n">
        <v>46075</v>
      </c>
      <c r="D2099" t="inlineStr">
        <is>
          <t>VÄSTERBOTTENS LÄN</t>
        </is>
      </c>
      <c r="E2099" t="inlineStr">
        <is>
          <t>UMEÅ</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49525-2022</t>
        </is>
      </c>
      <c r="B2100" s="1" t="n">
        <v>44861.95695601852</v>
      </c>
      <c r="C2100" s="1" t="n">
        <v>46075</v>
      </c>
      <c r="D2100" t="inlineStr">
        <is>
          <t>VÄSTERBOTTENS LÄN</t>
        </is>
      </c>
      <c r="E2100" t="inlineStr">
        <is>
          <t>NORDMALING</t>
        </is>
      </c>
      <c r="F2100" t="inlineStr">
        <is>
          <t>SCA</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57666-2021</t>
        </is>
      </c>
      <c r="B2101" s="1" t="n">
        <v>44484</v>
      </c>
      <c r="C2101" s="1" t="n">
        <v>46075</v>
      </c>
      <c r="D2101" t="inlineStr">
        <is>
          <t>VÄSTERBOTTENS LÄN</t>
        </is>
      </c>
      <c r="E2101" t="inlineStr">
        <is>
          <t>LYCKSELE</t>
        </is>
      </c>
      <c r="F2101" t="inlineStr">
        <is>
          <t>Sveaskog</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39283-2022</t>
        </is>
      </c>
      <c r="B2102" s="1" t="n">
        <v>44817</v>
      </c>
      <c r="C2102" s="1" t="n">
        <v>46075</v>
      </c>
      <c r="D2102" t="inlineStr">
        <is>
          <t>VÄSTERBOTTENS LÄN</t>
        </is>
      </c>
      <c r="E2102" t="inlineStr">
        <is>
          <t>ROBERTSFORS</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57580-2021</t>
        </is>
      </c>
      <c r="B2103" s="1" t="n">
        <v>44482</v>
      </c>
      <c r="C2103" s="1" t="n">
        <v>46075</v>
      </c>
      <c r="D2103" t="inlineStr">
        <is>
          <t>VÄSTERBOTTENS LÄN</t>
        </is>
      </c>
      <c r="E2103" t="inlineStr">
        <is>
          <t>DOROTEA</t>
        </is>
      </c>
      <c r="F2103" t="inlineStr">
        <is>
          <t>Övriga statliga verk och myndigheter</t>
        </is>
      </c>
      <c r="G2103" t="n">
        <v>7.5</v>
      </c>
      <c r="H2103" t="n">
        <v>0</v>
      </c>
      <c r="I2103" t="n">
        <v>0</v>
      </c>
      <c r="J2103" t="n">
        <v>0</v>
      </c>
      <c r="K2103" t="n">
        <v>0</v>
      </c>
      <c r="L2103" t="n">
        <v>0</v>
      </c>
      <c r="M2103" t="n">
        <v>0</v>
      </c>
      <c r="N2103" t="n">
        <v>0</v>
      </c>
      <c r="O2103" t="n">
        <v>0</v>
      </c>
      <c r="P2103" t="n">
        <v>0</v>
      </c>
      <c r="Q2103" t="n">
        <v>0</v>
      </c>
      <c r="R2103" s="2" t="inlineStr"/>
    </row>
    <row r="2104" ht="15" customHeight="1">
      <c r="A2104" t="inlineStr">
        <is>
          <t>A 70168-2021</t>
        </is>
      </c>
      <c r="B2104" s="1" t="n">
        <v>44533.82237268519</v>
      </c>
      <c r="C2104" s="1" t="n">
        <v>46075</v>
      </c>
      <c r="D2104" t="inlineStr">
        <is>
          <t>VÄSTERBOTTENS LÄN</t>
        </is>
      </c>
      <c r="E2104" t="inlineStr">
        <is>
          <t>SKELLEFTEÅ</t>
        </is>
      </c>
      <c r="F2104" t="inlineStr">
        <is>
          <t>Sveaskog</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72553-2021</t>
        </is>
      </c>
      <c r="B2105" s="1" t="n">
        <v>44545</v>
      </c>
      <c r="C2105" s="1" t="n">
        <v>46075</v>
      </c>
      <c r="D2105" t="inlineStr">
        <is>
          <t>VÄSTERBOTTENS LÄN</t>
        </is>
      </c>
      <c r="E2105" t="inlineStr">
        <is>
          <t>VINDELN</t>
        </is>
      </c>
      <c r="G2105" t="n">
        <v>4.9</v>
      </c>
      <c r="H2105" t="n">
        <v>0</v>
      </c>
      <c r="I2105" t="n">
        <v>0</v>
      </c>
      <c r="J2105" t="n">
        <v>0</v>
      </c>
      <c r="K2105" t="n">
        <v>0</v>
      </c>
      <c r="L2105" t="n">
        <v>0</v>
      </c>
      <c r="M2105" t="n">
        <v>0</v>
      </c>
      <c r="N2105" t="n">
        <v>0</v>
      </c>
      <c r="O2105" t="n">
        <v>0</v>
      </c>
      <c r="P2105" t="n">
        <v>0</v>
      </c>
      <c r="Q2105" t="n">
        <v>0</v>
      </c>
      <c r="R2105" s="2" t="inlineStr"/>
    </row>
    <row r="2106" ht="15" customHeight="1">
      <c r="A2106" t="inlineStr">
        <is>
          <t>A 14627-2022</t>
        </is>
      </c>
      <c r="B2106" s="1" t="n">
        <v>44655.64009259259</v>
      </c>
      <c r="C2106" s="1" t="n">
        <v>46075</v>
      </c>
      <c r="D2106" t="inlineStr">
        <is>
          <t>VÄSTERBOTTENS LÄN</t>
        </is>
      </c>
      <c r="E2106" t="inlineStr">
        <is>
          <t>SKELLEFTEÅ</t>
        </is>
      </c>
      <c r="G2106" t="n">
        <v>5.9</v>
      </c>
      <c r="H2106" t="n">
        <v>0</v>
      </c>
      <c r="I2106" t="n">
        <v>0</v>
      </c>
      <c r="J2106" t="n">
        <v>0</v>
      </c>
      <c r="K2106" t="n">
        <v>0</v>
      </c>
      <c r="L2106" t="n">
        <v>0</v>
      </c>
      <c r="M2106" t="n">
        <v>0</v>
      </c>
      <c r="N2106" t="n">
        <v>0</v>
      </c>
      <c r="O2106" t="n">
        <v>0</v>
      </c>
      <c r="P2106" t="n">
        <v>0</v>
      </c>
      <c r="Q2106" t="n">
        <v>0</v>
      </c>
      <c r="R2106" s="2" t="inlineStr"/>
    </row>
    <row r="2107" ht="15" customHeight="1">
      <c r="A2107" t="inlineStr">
        <is>
          <t>A 69996-2021</t>
        </is>
      </c>
      <c r="B2107" s="1" t="n">
        <v>44533</v>
      </c>
      <c r="C2107" s="1" t="n">
        <v>46075</v>
      </c>
      <c r="D2107" t="inlineStr">
        <is>
          <t>VÄSTERBOTTENS LÄN</t>
        </is>
      </c>
      <c r="E2107" t="inlineStr">
        <is>
          <t>SKELLEFTEÅ</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5972-2022</t>
        </is>
      </c>
      <c r="B2108" s="1" t="n">
        <v>44599.3759375</v>
      </c>
      <c r="C2108" s="1" t="n">
        <v>46075</v>
      </c>
      <c r="D2108" t="inlineStr">
        <is>
          <t>VÄSTERBOTTENS LÄN</t>
        </is>
      </c>
      <c r="E2108" t="inlineStr">
        <is>
          <t>SKELLEFTEÅ</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61299-2021</t>
        </is>
      </c>
      <c r="B2109" s="1" t="n">
        <v>44498.62789351852</v>
      </c>
      <c r="C2109" s="1" t="n">
        <v>46075</v>
      </c>
      <c r="D2109" t="inlineStr">
        <is>
          <t>VÄSTERBOTTENS LÄN</t>
        </is>
      </c>
      <c r="E2109" t="inlineStr">
        <is>
          <t>ÅSELE</t>
        </is>
      </c>
      <c r="F2109" t="inlineStr">
        <is>
          <t>Sveaskog</t>
        </is>
      </c>
      <c r="G2109" t="n">
        <v>5.8</v>
      </c>
      <c r="H2109" t="n">
        <v>0</v>
      </c>
      <c r="I2109" t="n">
        <v>0</v>
      </c>
      <c r="J2109" t="n">
        <v>0</v>
      </c>
      <c r="K2109" t="n">
        <v>0</v>
      </c>
      <c r="L2109" t="n">
        <v>0</v>
      </c>
      <c r="M2109" t="n">
        <v>0</v>
      </c>
      <c r="N2109" t="n">
        <v>0</v>
      </c>
      <c r="O2109" t="n">
        <v>0</v>
      </c>
      <c r="P2109" t="n">
        <v>0</v>
      </c>
      <c r="Q2109" t="n">
        <v>0</v>
      </c>
      <c r="R2109" s="2" t="inlineStr"/>
    </row>
    <row r="2110" ht="15" customHeight="1">
      <c r="A2110" t="inlineStr">
        <is>
          <t>A 14759-2022</t>
        </is>
      </c>
      <c r="B2110" s="1" t="n">
        <v>44656</v>
      </c>
      <c r="C2110" s="1" t="n">
        <v>46075</v>
      </c>
      <c r="D2110" t="inlineStr">
        <is>
          <t>VÄSTERBOTTENS LÄN</t>
        </is>
      </c>
      <c r="E2110" t="inlineStr">
        <is>
          <t>SKELLEFTEÅ</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2788-2022</t>
        </is>
      </c>
      <c r="B2111" s="1" t="n">
        <v>44580</v>
      </c>
      <c r="C2111" s="1" t="n">
        <v>46075</v>
      </c>
      <c r="D2111" t="inlineStr">
        <is>
          <t>VÄSTERBOTTENS LÄN</t>
        </is>
      </c>
      <c r="E2111" t="inlineStr">
        <is>
          <t>STORUMAN</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11538-2022</t>
        </is>
      </c>
      <c r="B2112" s="1" t="n">
        <v>44631</v>
      </c>
      <c r="C2112" s="1" t="n">
        <v>46075</v>
      </c>
      <c r="D2112" t="inlineStr">
        <is>
          <t>VÄSTERBOTTENS LÄN</t>
        </is>
      </c>
      <c r="E2112" t="inlineStr">
        <is>
          <t>UMEÅ</t>
        </is>
      </c>
      <c r="F2112" t="inlineStr">
        <is>
          <t>Kommuner</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9993-2022</t>
        </is>
      </c>
      <c r="B2113" s="1" t="n">
        <v>44621</v>
      </c>
      <c r="C2113" s="1" t="n">
        <v>46075</v>
      </c>
      <c r="D2113" t="inlineStr">
        <is>
          <t>VÄSTERBOTTENS LÄN</t>
        </is>
      </c>
      <c r="E2113" t="inlineStr">
        <is>
          <t>NORDMALING</t>
        </is>
      </c>
      <c r="G2113" t="n">
        <v>6.4</v>
      </c>
      <c r="H2113" t="n">
        <v>0</v>
      </c>
      <c r="I2113" t="n">
        <v>0</v>
      </c>
      <c r="J2113" t="n">
        <v>0</v>
      </c>
      <c r="K2113" t="n">
        <v>0</v>
      </c>
      <c r="L2113" t="n">
        <v>0</v>
      </c>
      <c r="M2113" t="n">
        <v>0</v>
      </c>
      <c r="N2113" t="n">
        <v>0</v>
      </c>
      <c r="O2113" t="n">
        <v>0</v>
      </c>
      <c r="P2113" t="n">
        <v>0</v>
      </c>
      <c r="Q2113" t="n">
        <v>0</v>
      </c>
      <c r="R2113" s="2" t="inlineStr"/>
    </row>
    <row r="2114" ht="15" customHeight="1">
      <c r="A2114" t="inlineStr">
        <is>
          <t>A 28895-2021</t>
        </is>
      </c>
      <c r="B2114" s="1" t="n">
        <v>44357</v>
      </c>
      <c r="C2114" s="1" t="n">
        <v>46075</v>
      </c>
      <c r="D2114" t="inlineStr">
        <is>
          <t>VÄSTERBOTTENS LÄN</t>
        </is>
      </c>
      <c r="E2114" t="inlineStr">
        <is>
          <t>VILHELMINA</t>
        </is>
      </c>
      <c r="F2114" t="inlineStr">
        <is>
          <t>SCA</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9192-2022</t>
        </is>
      </c>
      <c r="B2115" s="1" t="n">
        <v>44615.9247800926</v>
      </c>
      <c r="C2115" s="1" t="n">
        <v>46075</v>
      </c>
      <c r="D2115" t="inlineStr">
        <is>
          <t>VÄSTERBOTTENS LÄN</t>
        </is>
      </c>
      <c r="E2115" t="inlineStr">
        <is>
          <t>ROBERTSFORS</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3354-2022</t>
        </is>
      </c>
      <c r="B2116" s="1" t="n">
        <v>44585</v>
      </c>
      <c r="C2116" s="1" t="n">
        <v>46075</v>
      </c>
      <c r="D2116" t="inlineStr">
        <is>
          <t>VÄSTERBOTTENS LÄN</t>
        </is>
      </c>
      <c r="E2116" t="inlineStr">
        <is>
          <t>STORUMAN</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17257-2022</t>
        </is>
      </c>
      <c r="B2117" s="1" t="n">
        <v>44678.3941550926</v>
      </c>
      <c r="C2117" s="1" t="n">
        <v>46075</v>
      </c>
      <c r="D2117" t="inlineStr">
        <is>
          <t>VÄSTERBOTTENS LÄN</t>
        </is>
      </c>
      <c r="E2117" t="inlineStr">
        <is>
          <t>SKELLEFTEÅ</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58466-2021</t>
        </is>
      </c>
      <c r="B2118" s="1" t="n">
        <v>44488</v>
      </c>
      <c r="C2118" s="1" t="n">
        <v>46075</v>
      </c>
      <c r="D2118" t="inlineStr">
        <is>
          <t>VÄSTERBOTTENS LÄN</t>
        </is>
      </c>
      <c r="E2118" t="inlineStr">
        <is>
          <t>VINDELN</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22011-2022</t>
        </is>
      </c>
      <c r="B2119" s="1" t="n">
        <v>44711</v>
      </c>
      <c r="C2119" s="1" t="n">
        <v>46075</v>
      </c>
      <c r="D2119" t="inlineStr">
        <is>
          <t>VÄSTERBOTTENS LÄN</t>
        </is>
      </c>
      <c r="E2119" t="inlineStr">
        <is>
          <t>ÅSELE</t>
        </is>
      </c>
      <c r="G2119" t="n">
        <v>9.199999999999999</v>
      </c>
      <c r="H2119" t="n">
        <v>0</v>
      </c>
      <c r="I2119" t="n">
        <v>0</v>
      </c>
      <c r="J2119" t="n">
        <v>0</v>
      </c>
      <c r="K2119" t="n">
        <v>0</v>
      </c>
      <c r="L2119" t="n">
        <v>0</v>
      </c>
      <c r="M2119" t="n">
        <v>0</v>
      </c>
      <c r="N2119" t="n">
        <v>0</v>
      </c>
      <c r="O2119" t="n">
        <v>0</v>
      </c>
      <c r="P2119" t="n">
        <v>0</v>
      </c>
      <c r="Q2119" t="n">
        <v>0</v>
      </c>
      <c r="R2119" s="2" t="inlineStr"/>
    </row>
    <row r="2120" ht="15" customHeight="1">
      <c r="A2120" t="inlineStr">
        <is>
          <t>A 20610-2022</t>
        </is>
      </c>
      <c r="B2120" s="1" t="n">
        <v>44700</v>
      </c>
      <c r="C2120" s="1" t="n">
        <v>46075</v>
      </c>
      <c r="D2120" t="inlineStr">
        <is>
          <t>VÄSTERBOTTENS LÄN</t>
        </is>
      </c>
      <c r="E2120" t="inlineStr">
        <is>
          <t>SKELLEFTEÅ</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14540-2022</t>
        </is>
      </c>
      <c r="B2121" s="1" t="n">
        <v>44655</v>
      </c>
      <c r="C2121" s="1" t="n">
        <v>46075</v>
      </c>
      <c r="D2121" t="inlineStr">
        <is>
          <t>VÄSTERBOTTENS LÄN</t>
        </is>
      </c>
      <c r="E2121" t="inlineStr">
        <is>
          <t>NORDMALING</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38979-2022</t>
        </is>
      </c>
      <c r="B2122" s="1" t="n">
        <v>44816</v>
      </c>
      <c r="C2122" s="1" t="n">
        <v>46075</v>
      </c>
      <c r="D2122" t="inlineStr">
        <is>
          <t>VÄSTERBOTTENS LÄN</t>
        </is>
      </c>
      <c r="E2122" t="inlineStr">
        <is>
          <t>ÅSELE</t>
        </is>
      </c>
      <c r="F2122" t="inlineStr">
        <is>
          <t>Sveaskog</t>
        </is>
      </c>
      <c r="G2122" t="n">
        <v>11.1</v>
      </c>
      <c r="H2122" t="n">
        <v>0</v>
      </c>
      <c r="I2122" t="n">
        <v>0</v>
      </c>
      <c r="J2122" t="n">
        <v>0</v>
      </c>
      <c r="K2122" t="n">
        <v>0</v>
      </c>
      <c r="L2122" t="n">
        <v>0</v>
      </c>
      <c r="M2122" t="n">
        <v>0</v>
      </c>
      <c r="N2122" t="n">
        <v>0</v>
      </c>
      <c r="O2122" t="n">
        <v>0</v>
      </c>
      <c r="P2122" t="n">
        <v>0</v>
      </c>
      <c r="Q2122" t="n">
        <v>0</v>
      </c>
      <c r="R2122" s="2" t="inlineStr"/>
    </row>
    <row r="2123" ht="15" customHeight="1">
      <c r="A2123" t="inlineStr">
        <is>
          <t>A 14952-2022</t>
        </is>
      </c>
      <c r="B2123" s="1" t="n">
        <v>44657</v>
      </c>
      <c r="C2123" s="1" t="n">
        <v>46075</v>
      </c>
      <c r="D2123" t="inlineStr">
        <is>
          <t>VÄSTERBOTTENS LÄN</t>
        </is>
      </c>
      <c r="E2123" t="inlineStr">
        <is>
          <t>SKELLEFTEÅ</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24797-2021</t>
        </is>
      </c>
      <c r="B2124" s="1" t="n">
        <v>44340</v>
      </c>
      <c r="C2124" s="1" t="n">
        <v>46075</v>
      </c>
      <c r="D2124" t="inlineStr">
        <is>
          <t>VÄSTERBOTTENS LÄN</t>
        </is>
      </c>
      <c r="E2124" t="inlineStr">
        <is>
          <t>ROBERTSFORS</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10500-2021</t>
        </is>
      </c>
      <c r="B2125" s="1" t="n">
        <v>44257</v>
      </c>
      <c r="C2125" s="1" t="n">
        <v>46075</v>
      </c>
      <c r="D2125" t="inlineStr">
        <is>
          <t>VÄSTERBOTTENS LÄN</t>
        </is>
      </c>
      <c r="E2125" t="inlineStr">
        <is>
          <t>STORUMAN</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24983-2021</t>
        </is>
      </c>
      <c r="B2126" s="1" t="n">
        <v>44341</v>
      </c>
      <c r="C2126" s="1" t="n">
        <v>46075</v>
      </c>
      <c r="D2126" t="inlineStr">
        <is>
          <t>VÄSTERBOTTENS LÄN</t>
        </is>
      </c>
      <c r="E2126" t="inlineStr">
        <is>
          <t>VILHELMINA</t>
        </is>
      </c>
      <c r="G2126" t="n">
        <v>12.9</v>
      </c>
      <c r="H2126" t="n">
        <v>0</v>
      </c>
      <c r="I2126" t="n">
        <v>0</v>
      </c>
      <c r="J2126" t="n">
        <v>0</v>
      </c>
      <c r="K2126" t="n">
        <v>0</v>
      </c>
      <c r="L2126" t="n">
        <v>0</v>
      </c>
      <c r="M2126" t="n">
        <v>0</v>
      </c>
      <c r="N2126" t="n">
        <v>0</v>
      </c>
      <c r="O2126" t="n">
        <v>0</v>
      </c>
      <c r="P2126" t="n">
        <v>0</v>
      </c>
      <c r="Q2126" t="n">
        <v>0</v>
      </c>
      <c r="R2126" s="2" t="inlineStr"/>
    </row>
    <row r="2127" ht="15" customHeight="1">
      <c r="A2127" t="inlineStr">
        <is>
          <t>A 47067-2021</t>
        </is>
      </c>
      <c r="B2127" s="1" t="n">
        <v>44446.6496412037</v>
      </c>
      <c r="C2127" s="1" t="n">
        <v>46075</v>
      </c>
      <c r="D2127" t="inlineStr">
        <is>
          <t>VÄSTERBOTTENS LÄN</t>
        </is>
      </c>
      <c r="E2127" t="inlineStr">
        <is>
          <t>LYCKSELE</t>
        </is>
      </c>
      <c r="G2127" t="n">
        <v>5.5</v>
      </c>
      <c r="H2127" t="n">
        <v>0</v>
      </c>
      <c r="I2127" t="n">
        <v>0</v>
      </c>
      <c r="J2127" t="n">
        <v>0</v>
      </c>
      <c r="K2127" t="n">
        <v>0</v>
      </c>
      <c r="L2127" t="n">
        <v>0</v>
      </c>
      <c r="M2127" t="n">
        <v>0</v>
      </c>
      <c r="N2127" t="n">
        <v>0</v>
      </c>
      <c r="O2127" t="n">
        <v>0</v>
      </c>
      <c r="P2127" t="n">
        <v>0</v>
      </c>
      <c r="Q2127" t="n">
        <v>0</v>
      </c>
      <c r="R2127" s="2" t="inlineStr"/>
    </row>
    <row r="2128" ht="15" customHeight="1">
      <c r="A2128" t="inlineStr">
        <is>
          <t>A 12077-2021</t>
        </is>
      </c>
      <c r="B2128" s="1" t="n">
        <v>44266</v>
      </c>
      <c r="C2128" s="1" t="n">
        <v>46075</v>
      </c>
      <c r="D2128" t="inlineStr">
        <is>
          <t>VÄSTERBOTTENS LÄN</t>
        </is>
      </c>
      <c r="E2128" t="inlineStr">
        <is>
          <t>NORDMALING</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33249-2021</t>
        </is>
      </c>
      <c r="B2129" s="1" t="n">
        <v>44376</v>
      </c>
      <c r="C2129" s="1" t="n">
        <v>46075</v>
      </c>
      <c r="D2129" t="inlineStr">
        <is>
          <t>VÄSTERBOTTENS LÄN</t>
        </is>
      </c>
      <c r="E2129" t="inlineStr">
        <is>
          <t>NORSJÖ</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51789-2021</t>
        </is>
      </c>
      <c r="B2130" s="1" t="n">
        <v>44461</v>
      </c>
      <c r="C2130" s="1" t="n">
        <v>46075</v>
      </c>
      <c r="D2130" t="inlineStr">
        <is>
          <t>VÄSTERBOTTENS LÄN</t>
        </is>
      </c>
      <c r="E2130" t="inlineStr">
        <is>
          <t>SKELLEFTEÅ</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35435-2021</t>
        </is>
      </c>
      <c r="B2131" s="1" t="n">
        <v>44385</v>
      </c>
      <c r="C2131" s="1" t="n">
        <v>46075</v>
      </c>
      <c r="D2131" t="inlineStr">
        <is>
          <t>VÄSTERBOTTENS LÄN</t>
        </is>
      </c>
      <c r="E2131" t="inlineStr">
        <is>
          <t>SKELLEFTEÅ</t>
        </is>
      </c>
      <c r="F2131" t="inlineStr">
        <is>
          <t>Holmen skog AB</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52363-2021</t>
        </is>
      </c>
      <c r="B2132" s="1" t="n">
        <v>44465.4134375</v>
      </c>
      <c r="C2132" s="1" t="n">
        <v>46075</v>
      </c>
      <c r="D2132" t="inlineStr">
        <is>
          <t>VÄSTERBOTTENS LÄN</t>
        </is>
      </c>
      <c r="E2132" t="inlineStr">
        <is>
          <t>DOROTEA</t>
        </is>
      </c>
      <c r="G2132" t="n">
        <v>7.7</v>
      </c>
      <c r="H2132" t="n">
        <v>0</v>
      </c>
      <c r="I2132" t="n">
        <v>0</v>
      </c>
      <c r="J2132" t="n">
        <v>0</v>
      </c>
      <c r="K2132" t="n">
        <v>0</v>
      </c>
      <c r="L2132" t="n">
        <v>0</v>
      </c>
      <c r="M2132" t="n">
        <v>0</v>
      </c>
      <c r="N2132" t="n">
        <v>0</v>
      </c>
      <c r="O2132" t="n">
        <v>0</v>
      </c>
      <c r="P2132" t="n">
        <v>0</v>
      </c>
      <c r="Q2132" t="n">
        <v>0</v>
      </c>
      <c r="R2132" s="2" t="inlineStr"/>
    </row>
    <row r="2133" ht="15" customHeight="1">
      <c r="A2133" t="inlineStr">
        <is>
          <t>A 70068-2021</t>
        </is>
      </c>
      <c r="B2133" s="1" t="n">
        <v>44533</v>
      </c>
      <c r="C2133" s="1" t="n">
        <v>46075</v>
      </c>
      <c r="D2133" t="inlineStr">
        <is>
          <t>VÄSTERBOTTENS LÄN</t>
        </is>
      </c>
      <c r="E2133" t="inlineStr">
        <is>
          <t>UMEÅ</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49173-2021</t>
        </is>
      </c>
      <c r="B2134" s="1" t="n">
        <v>44453</v>
      </c>
      <c r="C2134" s="1" t="n">
        <v>46075</v>
      </c>
      <c r="D2134" t="inlineStr">
        <is>
          <t>VÄSTERBOTTENS LÄN</t>
        </is>
      </c>
      <c r="E2134" t="inlineStr">
        <is>
          <t>NORSJÖ</t>
        </is>
      </c>
      <c r="G2134" t="n">
        <v>4</v>
      </c>
      <c r="H2134" t="n">
        <v>0</v>
      </c>
      <c r="I2134" t="n">
        <v>0</v>
      </c>
      <c r="J2134" t="n">
        <v>0</v>
      </c>
      <c r="K2134" t="n">
        <v>0</v>
      </c>
      <c r="L2134" t="n">
        <v>0</v>
      </c>
      <c r="M2134" t="n">
        <v>0</v>
      </c>
      <c r="N2134" t="n">
        <v>0</v>
      </c>
      <c r="O2134" t="n">
        <v>0</v>
      </c>
      <c r="P2134" t="n">
        <v>0</v>
      </c>
      <c r="Q2134" t="n">
        <v>0</v>
      </c>
      <c r="R2134" s="2" t="inlineStr"/>
    </row>
    <row r="2135" ht="15" customHeight="1">
      <c r="A2135" t="inlineStr">
        <is>
          <t>A 38543-2021</t>
        </is>
      </c>
      <c r="B2135" s="1" t="n">
        <v>44407</v>
      </c>
      <c r="C2135" s="1" t="n">
        <v>46075</v>
      </c>
      <c r="D2135" t="inlineStr">
        <is>
          <t>VÄSTERBOTTENS LÄN</t>
        </is>
      </c>
      <c r="E2135" t="inlineStr">
        <is>
          <t>UMEÅ</t>
        </is>
      </c>
      <c r="F2135" t="inlineStr">
        <is>
          <t>Kommuner</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38547-2021</t>
        </is>
      </c>
      <c r="B2136" s="1" t="n">
        <v>44407</v>
      </c>
      <c r="C2136" s="1" t="n">
        <v>46075</v>
      </c>
      <c r="D2136" t="inlineStr">
        <is>
          <t>VÄSTERBOTTENS LÄN</t>
        </is>
      </c>
      <c r="E2136" t="inlineStr">
        <is>
          <t>UMEÅ</t>
        </is>
      </c>
      <c r="F2136" t="inlineStr">
        <is>
          <t>Kommuner</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21117-2022</t>
        </is>
      </c>
      <c r="B2137" s="1" t="n">
        <v>44704.59678240741</v>
      </c>
      <c r="C2137" s="1" t="n">
        <v>46075</v>
      </c>
      <c r="D2137" t="inlineStr">
        <is>
          <t>VÄSTERBOTTENS LÄN</t>
        </is>
      </c>
      <c r="E2137" t="inlineStr">
        <is>
          <t>ÅSELE</t>
        </is>
      </c>
      <c r="F2137" t="inlineStr">
        <is>
          <t>Holmen skog AB</t>
        </is>
      </c>
      <c r="G2137" t="n">
        <v>9.4</v>
      </c>
      <c r="H2137" t="n">
        <v>0</v>
      </c>
      <c r="I2137" t="n">
        <v>0</v>
      </c>
      <c r="J2137" t="n">
        <v>0</v>
      </c>
      <c r="K2137" t="n">
        <v>0</v>
      </c>
      <c r="L2137" t="n">
        <v>0</v>
      </c>
      <c r="M2137" t="n">
        <v>0</v>
      </c>
      <c r="N2137" t="n">
        <v>0</v>
      </c>
      <c r="O2137" t="n">
        <v>0</v>
      </c>
      <c r="P2137" t="n">
        <v>0</v>
      </c>
      <c r="Q2137" t="n">
        <v>0</v>
      </c>
      <c r="R2137" s="2" t="inlineStr"/>
    </row>
    <row r="2138" ht="15" customHeight="1">
      <c r="A2138" t="inlineStr">
        <is>
          <t>A 21131-2022</t>
        </is>
      </c>
      <c r="B2138" s="1" t="n">
        <v>44704.6177662037</v>
      </c>
      <c r="C2138" s="1" t="n">
        <v>46075</v>
      </c>
      <c r="D2138" t="inlineStr">
        <is>
          <t>VÄSTERBOTTENS LÄN</t>
        </is>
      </c>
      <c r="E2138" t="inlineStr">
        <is>
          <t>ÅSELE</t>
        </is>
      </c>
      <c r="F2138" t="inlineStr">
        <is>
          <t>Holmen skog AB</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46818-2021</t>
        </is>
      </c>
      <c r="B2139" s="1" t="n">
        <v>44446</v>
      </c>
      <c r="C2139" s="1" t="n">
        <v>46075</v>
      </c>
      <c r="D2139" t="inlineStr">
        <is>
          <t>VÄSTERBOTTENS LÄN</t>
        </is>
      </c>
      <c r="E2139" t="inlineStr">
        <is>
          <t>MALÅ</t>
        </is>
      </c>
      <c r="F2139" t="inlineStr">
        <is>
          <t>Sveaskog</t>
        </is>
      </c>
      <c r="G2139" t="n">
        <v>18.9</v>
      </c>
      <c r="H2139" t="n">
        <v>0</v>
      </c>
      <c r="I2139" t="n">
        <v>0</v>
      </c>
      <c r="J2139" t="n">
        <v>0</v>
      </c>
      <c r="K2139" t="n">
        <v>0</v>
      </c>
      <c r="L2139" t="n">
        <v>0</v>
      </c>
      <c r="M2139" t="n">
        <v>0</v>
      </c>
      <c r="N2139" t="n">
        <v>0</v>
      </c>
      <c r="O2139" t="n">
        <v>0</v>
      </c>
      <c r="P2139" t="n">
        <v>0</v>
      </c>
      <c r="Q2139" t="n">
        <v>0</v>
      </c>
      <c r="R2139" s="2" t="inlineStr"/>
    </row>
    <row r="2140" ht="15" customHeight="1">
      <c r="A2140" t="inlineStr">
        <is>
          <t>A 58631-2021</t>
        </is>
      </c>
      <c r="B2140" s="1" t="n">
        <v>44488</v>
      </c>
      <c r="C2140" s="1" t="n">
        <v>46075</v>
      </c>
      <c r="D2140" t="inlineStr">
        <is>
          <t>VÄSTERBOTTENS LÄN</t>
        </is>
      </c>
      <c r="E2140" t="inlineStr">
        <is>
          <t>ROBERTSFORS</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41959-2021</t>
        </is>
      </c>
      <c r="B2141" s="1" t="n">
        <v>44426</v>
      </c>
      <c r="C2141" s="1" t="n">
        <v>46075</v>
      </c>
      <c r="D2141" t="inlineStr">
        <is>
          <t>VÄSTERBOTTENS LÄN</t>
        </is>
      </c>
      <c r="E2141" t="inlineStr">
        <is>
          <t>VINDELN</t>
        </is>
      </c>
      <c r="F2141" t="inlineStr">
        <is>
          <t>Holmen skog AB</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44386-2022</t>
        </is>
      </c>
      <c r="B2142" s="1" t="n">
        <v>44838</v>
      </c>
      <c r="C2142" s="1" t="n">
        <v>46075</v>
      </c>
      <c r="D2142" t="inlineStr">
        <is>
          <t>VÄSTERBOTTENS LÄN</t>
        </is>
      </c>
      <c r="E2142" t="inlineStr">
        <is>
          <t>DOROTEA</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28822-2021</t>
        </is>
      </c>
      <c r="B2143" s="1" t="n">
        <v>44357.62862268519</v>
      </c>
      <c r="C2143" s="1" t="n">
        <v>46075</v>
      </c>
      <c r="D2143" t="inlineStr">
        <is>
          <t>VÄSTERBOTTENS LÄN</t>
        </is>
      </c>
      <c r="E2143" t="inlineStr">
        <is>
          <t>SKELLEFTEÅ</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4077-2022</t>
        </is>
      </c>
      <c r="B2144" s="1" t="n">
        <v>44587</v>
      </c>
      <c r="C2144" s="1" t="n">
        <v>46075</v>
      </c>
      <c r="D2144" t="inlineStr">
        <is>
          <t>VÄSTERBOTTENS LÄN</t>
        </is>
      </c>
      <c r="E2144" t="inlineStr">
        <is>
          <t>MALÅ</t>
        </is>
      </c>
      <c r="G2144" t="n">
        <v>10.4</v>
      </c>
      <c r="H2144" t="n">
        <v>0</v>
      </c>
      <c r="I2144" t="n">
        <v>0</v>
      </c>
      <c r="J2144" t="n">
        <v>0</v>
      </c>
      <c r="K2144" t="n">
        <v>0</v>
      </c>
      <c r="L2144" t="n">
        <v>0</v>
      </c>
      <c r="M2144" t="n">
        <v>0</v>
      </c>
      <c r="N2144" t="n">
        <v>0</v>
      </c>
      <c r="O2144" t="n">
        <v>0</v>
      </c>
      <c r="P2144" t="n">
        <v>0</v>
      </c>
      <c r="Q2144" t="n">
        <v>0</v>
      </c>
      <c r="R2144" s="2" t="inlineStr"/>
    </row>
    <row r="2145" ht="15" customHeight="1">
      <c r="A2145" t="inlineStr">
        <is>
          <t>A 10906-2022</t>
        </is>
      </c>
      <c r="B2145" s="1" t="n">
        <v>44627.92642361111</v>
      </c>
      <c r="C2145" s="1" t="n">
        <v>46075</v>
      </c>
      <c r="D2145" t="inlineStr">
        <is>
          <t>VÄSTERBOTTENS LÄN</t>
        </is>
      </c>
      <c r="E2145" t="inlineStr">
        <is>
          <t>ROBERTSFORS</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10907-2022</t>
        </is>
      </c>
      <c r="B2146" s="1" t="n">
        <v>44627.9264699074</v>
      </c>
      <c r="C2146" s="1" t="n">
        <v>46075</v>
      </c>
      <c r="D2146" t="inlineStr">
        <is>
          <t>VÄSTERBOTTENS LÄN</t>
        </is>
      </c>
      <c r="E2146" t="inlineStr">
        <is>
          <t>ROBERTSFORS</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42026-2021</t>
        </is>
      </c>
      <c r="B2147" s="1" t="n">
        <v>44426.5275925926</v>
      </c>
      <c r="C2147" s="1" t="n">
        <v>46075</v>
      </c>
      <c r="D2147" t="inlineStr">
        <is>
          <t>VÄSTERBOTTENS LÄN</t>
        </is>
      </c>
      <c r="E2147" t="inlineStr">
        <is>
          <t>SKELLEFTEÅ</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63171-2021</t>
        </is>
      </c>
      <c r="B2148" s="1" t="n">
        <v>44506</v>
      </c>
      <c r="C2148" s="1" t="n">
        <v>46075</v>
      </c>
      <c r="D2148" t="inlineStr">
        <is>
          <t>VÄSTERBOTTENS LÄN</t>
        </is>
      </c>
      <c r="E2148" t="inlineStr">
        <is>
          <t>SKELLEFTEÅ</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43741-2022</t>
        </is>
      </c>
      <c r="B2149" s="1" t="n">
        <v>44837</v>
      </c>
      <c r="C2149" s="1" t="n">
        <v>46075</v>
      </c>
      <c r="D2149" t="inlineStr">
        <is>
          <t>VÄSTERBOTTENS LÄN</t>
        </is>
      </c>
      <c r="E2149" t="inlineStr">
        <is>
          <t>VILHELMINA</t>
        </is>
      </c>
      <c r="G2149" t="n">
        <v>54.2</v>
      </c>
      <c r="H2149" t="n">
        <v>0</v>
      </c>
      <c r="I2149" t="n">
        <v>0</v>
      </c>
      <c r="J2149" t="n">
        <v>0</v>
      </c>
      <c r="K2149" t="n">
        <v>0</v>
      </c>
      <c r="L2149" t="n">
        <v>0</v>
      </c>
      <c r="M2149" t="n">
        <v>0</v>
      </c>
      <c r="N2149" t="n">
        <v>0</v>
      </c>
      <c r="O2149" t="n">
        <v>0</v>
      </c>
      <c r="P2149" t="n">
        <v>0</v>
      </c>
      <c r="Q2149" t="n">
        <v>0</v>
      </c>
      <c r="R2149" s="2" t="inlineStr"/>
    </row>
    <row r="2150" ht="15" customHeight="1">
      <c r="A2150" t="inlineStr">
        <is>
          <t>A 18172-2022</t>
        </is>
      </c>
      <c r="B2150" s="1" t="n">
        <v>44684.64351851852</v>
      </c>
      <c r="C2150" s="1" t="n">
        <v>46075</v>
      </c>
      <c r="D2150" t="inlineStr">
        <is>
          <t>VÄSTERBOTTENS LÄN</t>
        </is>
      </c>
      <c r="E2150" t="inlineStr">
        <is>
          <t>VINDELN</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42099-2022</t>
        </is>
      </c>
      <c r="B2151" s="1" t="n">
        <v>44827</v>
      </c>
      <c r="C2151" s="1" t="n">
        <v>46075</v>
      </c>
      <c r="D2151" t="inlineStr">
        <is>
          <t>VÄSTERBOTTENS LÄN</t>
        </is>
      </c>
      <c r="E2151" t="inlineStr">
        <is>
          <t>SKELLEFTEÅ</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35485-2022</t>
        </is>
      </c>
      <c r="B2152" s="1" t="n">
        <v>44798.92728009259</v>
      </c>
      <c r="C2152" s="1" t="n">
        <v>46075</v>
      </c>
      <c r="D2152" t="inlineStr">
        <is>
          <t>VÄSTERBOTTENS LÄN</t>
        </is>
      </c>
      <c r="E2152" t="inlineStr">
        <is>
          <t>LYCKSELE</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33584-2022</t>
        </is>
      </c>
      <c r="B2153" s="1" t="n">
        <v>44789</v>
      </c>
      <c r="C2153" s="1" t="n">
        <v>46075</v>
      </c>
      <c r="D2153" t="inlineStr">
        <is>
          <t>VÄSTERBOTTENS LÄN</t>
        </is>
      </c>
      <c r="E2153" t="inlineStr">
        <is>
          <t>ROBERTSFORS</t>
        </is>
      </c>
      <c r="G2153" t="n">
        <v>4.2</v>
      </c>
      <c r="H2153" t="n">
        <v>0</v>
      </c>
      <c r="I2153" t="n">
        <v>0</v>
      </c>
      <c r="J2153" t="n">
        <v>0</v>
      </c>
      <c r="K2153" t="n">
        <v>0</v>
      </c>
      <c r="L2153" t="n">
        <v>0</v>
      </c>
      <c r="M2153" t="n">
        <v>0</v>
      </c>
      <c r="N2153" t="n">
        <v>0</v>
      </c>
      <c r="O2153" t="n">
        <v>0</v>
      </c>
      <c r="P2153" t="n">
        <v>0</v>
      </c>
      <c r="Q2153" t="n">
        <v>0</v>
      </c>
      <c r="R2153" s="2" t="inlineStr"/>
    </row>
    <row r="2154" ht="15" customHeight="1">
      <c r="A2154" t="inlineStr">
        <is>
          <t>A 40013-2022</t>
        </is>
      </c>
      <c r="B2154" s="1" t="n">
        <v>44820.3971875</v>
      </c>
      <c r="C2154" s="1" t="n">
        <v>46075</v>
      </c>
      <c r="D2154" t="inlineStr">
        <is>
          <t>VÄSTERBOTTENS LÄN</t>
        </is>
      </c>
      <c r="E2154" t="inlineStr">
        <is>
          <t>SKELLEFTEÅ</t>
        </is>
      </c>
      <c r="G2154" t="n">
        <v>4.8</v>
      </c>
      <c r="H2154" t="n">
        <v>0</v>
      </c>
      <c r="I2154" t="n">
        <v>0</v>
      </c>
      <c r="J2154" t="n">
        <v>0</v>
      </c>
      <c r="K2154" t="n">
        <v>0</v>
      </c>
      <c r="L2154" t="n">
        <v>0</v>
      </c>
      <c r="M2154" t="n">
        <v>0</v>
      </c>
      <c r="N2154" t="n">
        <v>0</v>
      </c>
      <c r="O2154" t="n">
        <v>0</v>
      </c>
      <c r="P2154" t="n">
        <v>0</v>
      </c>
      <c r="Q2154" t="n">
        <v>0</v>
      </c>
      <c r="R2154" s="2" t="inlineStr"/>
    </row>
    <row r="2155" ht="15" customHeight="1">
      <c r="A2155" t="inlineStr">
        <is>
          <t>A 36385-2022</t>
        </is>
      </c>
      <c r="B2155" s="1" t="n">
        <v>44803</v>
      </c>
      <c r="C2155" s="1" t="n">
        <v>46075</v>
      </c>
      <c r="D2155" t="inlineStr">
        <is>
          <t>VÄSTERBOTTENS LÄN</t>
        </is>
      </c>
      <c r="E2155" t="inlineStr">
        <is>
          <t>VINDELN</t>
        </is>
      </c>
      <c r="F2155" t="inlineStr">
        <is>
          <t>SCA</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51493-2022</t>
        </is>
      </c>
      <c r="B2156" s="1" t="n">
        <v>44869</v>
      </c>
      <c r="C2156" s="1" t="n">
        <v>46075</v>
      </c>
      <c r="D2156" t="inlineStr">
        <is>
          <t>VÄSTERBOTTENS LÄN</t>
        </is>
      </c>
      <c r="E2156" t="inlineStr">
        <is>
          <t>NORSJÖ</t>
        </is>
      </c>
      <c r="F2156" t="inlineStr">
        <is>
          <t>Sveaskog</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46205-2021</t>
        </is>
      </c>
      <c r="B2157" s="1" t="n">
        <v>44441</v>
      </c>
      <c r="C2157" s="1" t="n">
        <v>46075</v>
      </c>
      <c r="D2157" t="inlineStr">
        <is>
          <t>VÄSTERBOTTENS LÄN</t>
        </is>
      </c>
      <c r="E2157" t="inlineStr">
        <is>
          <t>NORDMALING</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48573-2022</t>
        </is>
      </c>
      <c r="B2158" s="1" t="n">
        <v>44854</v>
      </c>
      <c r="C2158" s="1" t="n">
        <v>46075</v>
      </c>
      <c r="D2158" t="inlineStr">
        <is>
          <t>VÄSTERBOTTENS LÄN</t>
        </is>
      </c>
      <c r="E2158" t="inlineStr">
        <is>
          <t>VINDELN</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27920-2022</t>
        </is>
      </c>
      <c r="B2159" s="1" t="n">
        <v>44743</v>
      </c>
      <c r="C2159" s="1" t="n">
        <v>46075</v>
      </c>
      <c r="D2159" t="inlineStr">
        <is>
          <t>VÄSTERBOTTENS LÄN</t>
        </is>
      </c>
      <c r="E2159" t="inlineStr">
        <is>
          <t>VILHELMINA</t>
        </is>
      </c>
      <c r="F2159" t="inlineStr">
        <is>
          <t>SCA</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57867-2021</t>
        </is>
      </c>
      <c r="B2160" s="1" t="n">
        <v>44484.98746527778</v>
      </c>
      <c r="C2160" s="1" t="n">
        <v>46075</v>
      </c>
      <c r="D2160" t="inlineStr">
        <is>
          <t>VÄSTERBOTTENS LÄN</t>
        </is>
      </c>
      <c r="E2160" t="inlineStr">
        <is>
          <t>BJURHOLM</t>
        </is>
      </c>
      <c r="F2160" t="inlineStr">
        <is>
          <t>SCA</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2857-2022</t>
        </is>
      </c>
      <c r="B2161" s="1" t="n">
        <v>44581.48346064815</v>
      </c>
      <c r="C2161" s="1" t="n">
        <v>46075</v>
      </c>
      <c r="D2161" t="inlineStr">
        <is>
          <t>VÄSTERBOTTENS LÄN</t>
        </is>
      </c>
      <c r="E2161" t="inlineStr">
        <is>
          <t>UMEÅ</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39558-2022</t>
        </is>
      </c>
      <c r="B2162" s="1" t="n">
        <v>44818.56847222222</v>
      </c>
      <c r="C2162" s="1" t="n">
        <v>46075</v>
      </c>
      <c r="D2162" t="inlineStr">
        <is>
          <t>VÄSTERBOTTENS LÄN</t>
        </is>
      </c>
      <c r="E2162" t="inlineStr">
        <is>
          <t>NORSJÖ</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36539-2022</t>
        </is>
      </c>
      <c r="B2163" s="1" t="n">
        <v>44804</v>
      </c>
      <c r="C2163" s="1" t="n">
        <v>46075</v>
      </c>
      <c r="D2163" t="inlineStr">
        <is>
          <t>VÄSTERBOTTENS LÄN</t>
        </is>
      </c>
      <c r="E2163" t="inlineStr">
        <is>
          <t>SKELLEFTEÅ</t>
        </is>
      </c>
      <c r="F2163" t="inlineStr">
        <is>
          <t>Kommuner</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67514-2021</t>
        </is>
      </c>
      <c r="B2164" s="1" t="n">
        <v>44524.5028587963</v>
      </c>
      <c r="C2164" s="1" t="n">
        <v>46075</v>
      </c>
      <c r="D2164" t="inlineStr">
        <is>
          <t>VÄSTERBOTTENS LÄN</t>
        </is>
      </c>
      <c r="E2164" t="inlineStr">
        <is>
          <t>VÄNNÄS</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48939-2022</t>
        </is>
      </c>
      <c r="B2165" s="1" t="n">
        <v>44859.95717592593</v>
      </c>
      <c r="C2165" s="1" t="n">
        <v>46075</v>
      </c>
      <c r="D2165" t="inlineStr">
        <is>
          <t>VÄSTERBOTTENS LÄN</t>
        </is>
      </c>
      <c r="E2165" t="inlineStr">
        <is>
          <t>NORDMALING</t>
        </is>
      </c>
      <c r="F2165" t="inlineStr">
        <is>
          <t>SCA</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13507-2025</t>
        </is>
      </c>
      <c r="B2166" s="1" t="n">
        <v>45736.46914351852</v>
      </c>
      <c r="C2166" s="1" t="n">
        <v>46075</v>
      </c>
      <c r="D2166" t="inlineStr">
        <is>
          <t>VÄSTERBOTTENS LÄN</t>
        </is>
      </c>
      <c r="E2166" t="inlineStr">
        <is>
          <t>NORDMALING</t>
        </is>
      </c>
      <c r="G2166" t="n">
        <v>3.3</v>
      </c>
      <c r="H2166" t="n">
        <v>0</v>
      </c>
      <c r="I2166" t="n">
        <v>0</v>
      </c>
      <c r="J2166" t="n">
        <v>0</v>
      </c>
      <c r="K2166" t="n">
        <v>0</v>
      </c>
      <c r="L2166" t="n">
        <v>0</v>
      </c>
      <c r="M2166" t="n">
        <v>0</v>
      </c>
      <c r="N2166" t="n">
        <v>0</v>
      </c>
      <c r="O2166" t="n">
        <v>0</v>
      </c>
      <c r="P2166" t="n">
        <v>0</v>
      </c>
      <c r="Q2166" t="n">
        <v>0</v>
      </c>
      <c r="R2166" s="2" t="inlineStr"/>
    </row>
    <row r="2167" ht="15" customHeight="1">
      <c r="A2167" t="inlineStr">
        <is>
          <t>A 46776-2021</t>
        </is>
      </c>
      <c r="B2167" s="1" t="n">
        <v>44445.92101851852</v>
      </c>
      <c r="C2167" s="1" t="n">
        <v>46075</v>
      </c>
      <c r="D2167" t="inlineStr">
        <is>
          <t>VÄSTERBOTTENS LÄN</t>
        </is>
      </c>
      <c r="E2167" t="inlineStr">
        <is>
          <t>NORSJÖ</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67893-2021</t>
        </is>
      </c>
      <c r="B2168" s="1" t="n">
        <v>44525</v>
      </c>
      <c r="C2168" s="1" t="n">
        <v>46075</v>
      </c>
      <c r="D2168" t="inlineStr">
        <is>
          <t>VÄSTERBOTTENS LÄN</t>
        </is>
      </c>
      <c r="E2168" t="inlineStr">
        <is>
          <t>SKELLEFTEÅ</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19413-2024</t>
        </is>
      </c>
      <c r="B2169" s="1" t="n">
        <v>45429</v>
      </c>
      <c r="C2169" s="1" t="n">
        <v>46075</v>
      </c>
      <c r="D2169" t="inlineStr">
        <is>
          <t>VÄSTERBOTTENS LÄN</t>
        </is>
      </c>
      <c r="E2169" t="inlineStr">
        <is>
          <t>STORUMAN</t>
        </is>
      </c>
      <c r="G2169" t="n">
        <v>16.9</v>
      </c>
      <c r="H2169" t="n">
        <v>0</v>
      </c>
      <c r="I2169" t="n">
        <v>0</v>
      </c>
      <c r="J2169" t="n">
        <v>0</v>
      </c>
      <c r="K2169" t="n">
        <v>0</v>
      </c>
      <c r="L2169" t="n">
        <v>0</v>
      </c>
      <c r="M2169" t="n">
        <v>0</v>
      </c>
      <c r="N2169" t="n">
        <v>0</v>
      </c>
      <c r="O2169" t="n">
        <v>0</v>
      </c>
      <c r="P2169" t="n">
        <v>0</v>
      </c>
      <c r="Q2169" t="n">
        <v>0</v>
      </c>
      <c r="R2169" s="2" t="inlineStr"/>
    </row>
    <row r="2170" ht="15" customHeight="1">
      <c r="A2170" t="inlineStr">
        <is>
          <t>A 58440-2022</t>
        </is>
      </c>
      <c r="B2170" s="1" t="n">
        <v>44901</v>
      </c>
      <c r="C2170" s="1" t="n">
        <v>46075</v>
      </c>
      <c r="D2170" t="inlineStr">
        <is>
          <t>VÄSTERBOTTENS LÄN</t>
        </is>
      </c>
      <c r="E2170" t="inlineStr">
        <is>
          <t>LYCKSELE</t>
        </is>
      </c>
      <c r="F2170" t="inlineStr">
        <is>
          <t>SCA</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2409-2024</t>
        </is>
      </c>
      <c r="B2171" s="1" t="n">
        <v>45308</v>
      </c>
      <c r="C2171" s="1" t="n">
        <v>46075</v>
      </c>
      <c r="D2171" t="inlineStr">
        <is>
          <t>VÄSTERBOTTENS LÄN</t>
        </is>
      </c>
      <c r="E2171" t="inlineStr">
        <is>
          <t>STORUMAN</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13402-2025</t>
        </is>
      </c>
      <c r="B2172" s="1" t="n">
        <v>45735</v>
      </c>
      <c r="C2172" s="1" t="n">
        <v>46075</v>
      </c>
      <c r="D2172" t="inlineStr">
        <is>
          <t>VÄSTERBOTTENS LÄN</t>
        </is>
      </c>
      <c r="E2172" t="inlineStr">
        <is>
          <t>ÅSELE</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6723-2024</t>
        </is>
      </c>
      <c r="B2173" s="1" t="n">
        <v>45342.37591435185</v>
      </c>
      <c r="C2173" s="1" t="n">
        <v>46075</v>
      </c>
      <c r="D2173" t="inlineStr">
        <is>
          <t>VÄSTERBOTTENS LÄN</t>
        </is>
      </c>
      <c r="E2173" t="inlineStr">
        <is>
          <t>SKELLEFTEÅ</t>
        </is>
      </c>
      <c r="F2173" t="inlineStr">
        <is>
          <t>Sveaskog</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13330-2024</t>
        </is>
      </c>
      <c r="B2174" s="1" t="n">
        <v>45386.89378472222</v>
      </c>
      <c r="C2174" s="1" t="n">
        <v>46075</v>
      </c>
      <c r="D2174" t="inlineStr">
        <is>
          <t>VÄSTERBOTTENS LÄN</t>
        </is>
      </c>
      <c r="E2174" t="inlineStr">
        <is>
          <t>SKELLEFTEÅ</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54793-2023</t>
        </is>
      </c>
      <c r="B2175" s="1" t="n">
        <v>45229</v>
      </c>
      <c r="C2175" s="1" t="n">
        <v>46075</v>
      </c>
      <c r="D2175" t="inlineStr">
        <is>
          <t>VÄSTERBOTTENS LÄN</t>
        </is>
      </c>
      <c r="E2175" t="inlineStr">
        <is>
          <t>VÄNNÄS</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54821-2023</t>
        </is>
      </c>
      <c r="B2176" s="1" t="n">
        <v>45236</v>
      </c>
      <c r="C2176" s="1" t="n">
        <v>46075</v>
      </c>
      <c r="D2176" t="inlineStr">
        <is>
          <t>VÄSTERBOTTENS LÄN</t>
        </is>
      </c>
      <c r="E2176" t="inlineStr">
        <is>
          <t>SKELLEFTEÅ</t>
        </is>
      </c>
      <c r="F2176" t="inlineStr">
        <is>
          <t>Kommuner</t>
        </is>
      </c>
      <c r="G2176" t="n">
        <v>8.9</v>
      </c>
      <c r="H2176" t="n">
        <v>0</v>
      </c>
      <c r="I2176" t="n">
        <v>0</v>
      </c>
      <c r="J2176" t="n">
        <v>0</v>
      </c>
      <c r="K2176" t="n">
        <v>0</v>
      </c>
      <c r="L2176" t="n">
        <v>0</v>
      </c>
      <c r="M2176" t="n">
        <v>0</v>
      </c>
      <c r="N2176" t="n">
        <v>0</v>
      </c>
      <c r="O2176" t="n">
        <v>0</v>
      </c>
      <c r="P2176" t="n">
        <v>0</v>
      </c>
      <c r="Q2176" t="n">
        <v>0</v>
      </c>
      <c r="R2176" s="2" t="inlineStr"/>
    </row>
    <row r="2177" ht="15" customHeight="1">
      <c r="A2177" t="inlineStr">
        <is>
          <t>A 46372-2021</t>
        </is>
      </c>
      <c r="B2177" s="1" t="n">
        <v>44442.94226851852</v>
      </c>
      <c r="C2177" s="1" t="n">
        <v>46075</v>
      </c>
      <c r="D2177" t="inlineStr">
        <is>
          <t>VÄSTERBOTTENS LÄN</t>
        </is>
      </c>
      <c r="E2177" t="inlineStr">
        <is>
          <t>VILHELMINA</t>
        </is>
      </c>
      <c r="F2177" t="inlineStr">
        <is>
          <t>SCA</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51934-2021</t>
        </is>
      </c>
      <c r="B2178" s="1" t="n">
        <v>44462.95502314815</v>
      </c>
      <c r="C2178" s="1" t="n">
        <v>46075</v>
      </c>
      <c r="D2178" t="inlineStr">
        <is>
          <t>VÄSTERBOTTENS LÄN</t>
        </is>
      </c>
      <c r="E2178" t="inlineStr">
        <is>
          <t>SORSELE</t>
        </is>
      </c>
      <c r="F2178" t="inlineStr">
        <is>
          <t>SCA</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61396-2022</t>
        </is>
      </c>
      <c r="B2179" s="1" t="n">
        <v>44915</v>
      </c>
      <c r="C2179" s="1" t="n">
        <v>46075</v>
      </c>
      <c r="D2179" t="inlineStr">
        <is>
          <t>VÄSTERBOTTENS LÄN</t>
        </is>
      </c>
      <c r="E2179" t="inlineStr">
        <is>
          <t>VINDELN</t>
        </is>
      </c>
      <c r="F2179" t="inlineStr">
        <is>
          <t>SCA</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54841-2023</t>
        </is>
      </c>
      <c r="B2180" s="1" t="n">
        <v>45236</v>
      </c>
      <c r="C2180" s="1" t="n">
        <v>46075</v>
      </c>
      <c r="D2180" t="inlineStr">
        <is>
          <t>VÄSTERBOTTENS LÄN</t>
        </is>
      </c>
      <c r="E2180" t="inlineStr">
        <is>
          <t>MALÅ</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22618-2024</t>
        </is>
      </c>
      <c r="B2181" s="1" t="n">
        <v>45447.65377314815</v>
      </c>
      <c r="C2181" s="1" t="n">
        <v>46075</v>
      </c>
      <c r="D2181" t="inlineStr">
        <is>
          <t>VÄSTERBOTTENS LÄN</t>
        </is>
      </c>
      <c r="E2181" t="inlineStr">
        <is>
          <t>NORDMALING</t>
        </is>
      </c>
      <c r="F2181" t="inlineStr">
        <is>
          <t>Holmen skog AB</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15899-2023</t>
        </is>
      </c>
      <c r="B2182" s="1" t="n">
        <v>45021</v>
      </c>
      <c r="C2182" s="1" t="n">
        <v>46075</v>
      </c>
      <c r="D2182" t="inlineStr">
        <is>
          <t>VÄSTERBOTTENS LÄN</t>
        </is>
      </c>
      <c r="E2182" t="inlineStr">
        <is>
          <t>SKELLEFTEÅ</t>
        </is>
      </c>
      <c r="G2182" t="n">
        <v>4</v>
      </c>
      <c r="H2182" t="n">
        <v>0</v>
      </c>
      <c r="I2182" t="n">
        <v>0</v>
      </c>
      <c r="J2182" t="n">
        <v>0</v>
      </c>
      <c r="K2182" t="n">
        <v>0</v>
      </c>
      <c r="L2182" t="n">
        <v>0</v>
      </c>
      <c r="M2182" t="n">
        <v>0</v>
      </c>
      <c r="N2182" t="n">
        <v>0</v>
      </c>
      <c r="O2182" t="n">
        <v>0</v>
      </c>
      <c r="P2182" t="n">
        <v>0</v>
      </c>
      <c r="Q2182" t="n">
        <v>0</v>
      </c>
      <c r="R2182" s="2" t="inlineStr"/>
    </row>
    <row r="2183" ht="15" customHeight="1">
      <c r="A2183" t="inlineStr">
        <is>
          <t>A 59160-2021</t>
        </is>
      </c>
      <c r="B2183" s="1" t="n">
        <v>44490</v>
      </c>
      <c r="C2183" s="1" t="n">
        <v>46075</v>
      </c>
      <c r="D2183" t="inlineStr">
        <is>
          <t>VÄSTERBOTTENS LÄN</t>
        </is>
      </c>
      <c r="E2183" t="inlineStr">
        <is>
          <t>VINDELN</t>
        </is>
      </c>
      <c r="G2183" t="n">
        <v>5.8</v>
      </c>
      <c r="H2183" t="n">
        <v>0</v>
      </c>
      <c r="I2183" t="n">
        <v>0</v>
      </c>
      <c r="J2183" t="n">
        <v>0</v>
      </c>
      <c r="K2183" t="n">
        <v>0</v>
      </c>
      <c r="L2183" t="n">
        <v>0</v>
      </c>
      <c r="M2183" t="n">
        <v>0</v>
      </c>
      <c r="N2183" t="n">
        <v>0</v>
      </c>
      <c r="O2183" t="n">
        <v>0</v>
      </c>
      <c r="P2183" t="n">
        <v>0</v>
      </c>
      <c r="Q2183" t="n">
        <v>0</v>
      </c>
      <c r="R2183" s="2" t="inlineStr"/>
    </row>
    <row r="2184" ht="15" customHeight="1">
      <c r="A2184" t="inlineStr">
        <is>
          <t>A 17632-2024</t>
        </is>
      </c>
      <c r="B2184" s="1" t="n">
        <v>45418</v>
      </c>
      <c r="C2184" s="1" t="n">
        <v>46075</v>
      </c>
      <c r="D2184" t="inlineStr">
        <is>
          <t>VÄSTERBOTTENS LÄN</t>
        </is>
      </c>
      <c r="E2184" t="inlineStr">
        <is>
          <t>UMEÅ</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60871-2024</t>
        </is>
      </c>
      <c r="B2185" s="1" t="n">
        <v>45644.70871527777</v>
      </c>
      <c r="C2185" s="1" t="n">
        <v>46075</v>
      </c>
      <c r="D2185" t="inlineStr">
        <is>
          <t>VÄSTERBOTTENS LÄN</t>
        </is>
      </c>
      <c r="E2185" t="inlineStr">
        <is>
          <t>VINDELN</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23471-2024</t>
        </is>
      </c>
      <c r="B2186" s="1" t="n">
        <v>45453</v>
      </c>
      <c r="C2186" s="1" t="n">
        <v>46075</v>
      </c>
      <c r="D2186" t="inlineStr">
        <is>
          <t>VÄSTERBOTTENS LÄN</t>
        </is>
      </c>
      <c r="E2186" t="inlineStr">
        <is>
          <t>VINDELN</t>
        </is>
      </c>
      <c r="F2186" t="inlineStr">
        <is>
          <t>Holmen skog AB</t>
        </is>
      </c>
      <c r="G2186" t="n">
        <v>8.9</v>
      </c>
      <c r="H2186" t="n">
        <v>0</v>
      </c>
      <c r="I2186" t="n">
        <v>0</v>
      </c>
      <c r="J2186" t="n">
        <v>0</v>
      </c>
      <c r="K2186" t="n">
        <v>0</v>
      </c>
      <c r="L2186" t="n">
        <v>0</v>
      </c>
      <c r="M2186" t="n">
        <v>0</v>
      </c>
      <c r="N2186" t="n">
        <v>0</v>
      </c>
      <c r="O2186" t="n">
        <v>0</v>
      </c>
      <c r="P2186" t="n">
        <v>0</v>
      </c>
      <c r="Q2186" t="n">
        <v>0</v>
      </c>
      <c r="R2186" s="2" t="inlineStr"/>
    </row>
    <row r="2187" ht="15" customHeight="1">
      <c r="A2187" t="inlineStr">
        <is>
          <t>A 62159-2022</t>
        </is>
      </c>
      <c r="B2187" s="1" t="n">
        <v>44922.43946759259</v>
      </c>
      <c r="C2187" s="1" t="n">
        <v>46075</v>
      </c>
      <c r="D2187" t="inlineStr">
        <is>
          <t>VÄSTERBOTTENS LÄN</t>
        </is>
      </c>
      <c r="E2187" t="inlineStr">
        <is>
          <t>NORDMALING</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27370-2023</t>
        </is>
      </c>
      <c r="B2188" s="1" t="n">
        <v>45096.93837962963</v>
      </c>
      <c r="C2188" s="1" t="n">
        <v>46075</v>
      </c>
      <c r="D2188" t="inlineStr">
        <is>
          <t>VÄSTERBOTTENS LÄN</t>
        </is>
      </c>
      <c r="E2188" t="inlineStr">
        <is>
          <t>NORDMALING</t>
        </is>
      </c>
      <c r="F2188" t="inlineStr">
        <is>
          <t>SCA</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26459-2024</t>
        </is>
      </c>
      <c r="B2189" s="1" t="n">
        <v>45469</v>
      </c>
      <c r="C2189" s="1" t="n">
        <v>46075</v>
      </c>
      <c r="D2189" t="inlineStr">
        <is>
          <t>VÄSTERBOTTENS LÄN</t>
        </is>
      </c>
      <c r="E2189" t="inlineStr">
        <is>
          <t>BJURHOLM</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40798-2024</t>
        </is>
      </c>
      <c r="B2190" s="1" t="n">
        <v>45558.52645833333</v>
      </c>
      <c r="C2190" s="1" t="n">
        <v>46075</v>
      </c>
      <c r="D2190" t="inlineStr">
        <is>
          <t>VÄSTERBOTTENS LÄN</t>
        </is>
      </c>
      <c r="E2190" t="inlineStr">
        <is>
          <t>SKELLEFTEÅ</t>
        </is>
      </c>
      <c r="G2190" t="n">
        <v>0.3</v>
      </c>
      <c r="H2190" t="n">
        <v>0</v>
      </c>
      <c r="I2190" t="n">
        <v>0</v>
      </c>
      <c r="J2190" t="n">
        <v>0</v>
      </c>
      <c r="K2190" t="n">
        <v>0</v>
      </c>
      <c r="L2190" t="n">
        <v>0</v>
      </c>
      <c r="M2190" t="n">
        <v>0</v>
      </c>
      <c r="N2190" t="n">
        <v>0</v>
      </c>
      <c r="O2190" t="n">
        <v>0</v>
      </c>
      <c r="P2190" t="n">
        <v>0</v>
      </c>
      <c r="Q2190" t="n">
        <v>0</v>
      </c>
      <c r="R2190" s="2" t="inlineStr"/>
    </row>
    <row r="2191" ht="15" customHeight="1">
      <c r="A2191" t="inlineStr">
        <is>
          <t>A 54024-2023</t>
        </is>
      </c>
      <c r="B2191" s="1" t="n">
        <v>45231</v>
      </c>
      <c r="C2191" s="1" t="n">
        <v>46075</v>
      </c>
      <c r="D2191" t="inlineStr">
        <is>
          <t>VÄSTERBOTTENS LÄN</t>
        </is>
      </c>
      <c r="E2191" t="inlineStr">
        <is>
          <t>SKELLEFTEÅ</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16274-2022</t>
        </is>
      </c>
      <c r="B2192" s="1" t="n">
        <v>44670</v>
      </c>
      <c r="C2192" s="1" t="n">
        <v>46075</v>
      </c>
      <c r="D2192" t="inlineStr">
        <is>
          <t>VÄSTERBOTTENS LÄN</t>
        </is>
      </c>
      <c r="E2192" t="inlineStr">
        <is>
          <t>LYCKSELE</t>
        </is>
      </c>
      <c r="G2192" t="n">
        <v>4</v>
      </c>
      <c r="H2192" t="n">
        <v>0</v>
      </c>
      <c r="I2192" t="n">
        <v>0</v>
      </c>
      <c r="J2192" t="n">
        <v>0</v>
      </c>
      <c r="K2192" t="n">
        <v>0</v>
      </c>
      <c r="L2192" t="n">
        <v>0</v>
      </c>
      <c r="M2192" t="n">
        <v>0</v>
      </c>
      <c r="N2192" t="n">
        <v>0</v>
      </c>
      <c r="O2192" t="n">
        <v>0</v>
      </c>
      <c r="P2192" t="n">
        <v>0</v>
      </c>
      <c r="Q2192" t="n">
        <v>0</v>
      </c>
      <c r="R2192" s="2" t="inlineStr"/>
    </row>
    <row r="2193" ht="15" customHeight="1">
      <c r="A2193" t="inlineStr">
        <is>
          <t>A 16977-2024</t>
        </is>
      </c>
      <c r="B2193" s="1" t="n">
        <v>45412.02377314815</v>
      </c>
      <c r="C2193" s="1" t="n">
        <v>46075</v>
      </c>
      <c r="D2193" t="inlineStr">
        <is>
          <t>VÄSTERBOTTENS LÄN</t>
        </is>
      </c>
      <c r="E2193" t="inlineStr">
        <is>
          <t>SKELLEFTEÅ</t>
        </is>
      </c>
      <c r="F2193" t="inlineStr">
        <is>
          <t>SCA</t>
        </is>
      </c>
      <c r="G2193" t="n">
        <v>16.8</v>
      </c>
      <c r="H2193" t="n">
        <v>0</v>
      </c>
      <c r="I2193" t="n">
        <v>0</v>
      </c>
      <c r="J2193" t="n">
        <v>0</v>
      </c>
      <c r="K2193" t="n">
        <v>0</v>
      </c>
      <c r="L2193" t="n">
        <v>0</v>
      </c>
      <c r="M2193" t="n">
        <v>0</v>
      </c>
      <c r="N2193" t="n">
        <v>0</v>
      </c>
      <c r="O2193" t="n">
        <v>0</v>
      </c>
      <c r="P2193" t="n">
        <v>0</v>
      </c>
      <c r="Q2193" t="n">
        <v>0</v>
      </c>
      <c r="R2193" s="2" t="inlineStr"/>
    </row>
    <row r="2194" ht="15" customHeight="1">
      <c r="A2194" t="inlineStr">
        <is>
          <t>A 8908-2023</t>
        </is>
      </c>
      <c r="B2194" s="1" t="n">
        <v>44972</v>
      </c>
      <c r="C2194" s="1" t="n">
        <v>46075</v>
      </c>
      <c r="D2194" t="inlineStr">
        <is>
          <t>VÄSTERBOTTENS LÄN</t>
        </is>
      </c>
      <c r="E2194" t="inlineStr">
        <is>
          <t>VILHELMINA</t>
        </is>
      </c>
      <c r="F2194" t="inlineStr">
        <is>
          <t>Allmännings- och besparingsskogar</t>
        </is>
      </c>
      <c r="G2194" t="n">
        <v>22.3</v>
      </c>
      <c r="H2194" t="n">
        <v>0</v>
      </c>
      <c r="I2194" t="n">
        <v>0</v>
      </c>
      <c r="J2194" t="n">
        <v>0</v>
      </c>
      <c r="K2194" t="n">
        <v>0</v>
      </c>
      <c r="L2194" t="n">
        <v>0</v>
      </c>
      <c r="M2194" t="n">
        <v>0</v>
      </c>
      <c r="N2194" t="n">
        <v>0</v>
      </c>
      <c r="O2194" t="n">
        <v>0</v>
      </c>
      <c r="P2194" t="n">
        <v>0</v>
      </c>
      <c r="Q2194" t="n">
        <v>0</v>
      </c>
      <c r="R2194" s="2" t="inlineStr"/>
    </row>
    <row r="2195" ht="15" customHeight="1">
      <c r="A2195" t="inlineStr">
        <is>
          <t>A 58340-2024</t>
        </is>
      </c>
      <c r="B2195" s="1" t="n">
        <v>45632.6391087963</v>
      </c>
      <c r="C2195" s="1" t="n">
        <v>46075</v>
      </c>
      <c r="D2195" t="inlineStr">
        <is>
          <t>VÄSTERBOTTENS LÄN</t>
        </is>
      </c>
      <c r="E2195" t="inlineStr">
        <is>
          <t>VÄNNÄS</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12037-2025</t>
        </is>
      </c>
      <c r="B2196" s="1" t="n">
        <v>45728.65577546296</v>
      </c>
      <c r="C2196" s="1" t="n">
        <v>46075</v>
      </c>
      <c r="D2196" t="inlineStr">
        <is>
          <t>VÄSTERBOTTENS LÄN</t>
        </is>
      </c>
      <c r="E2196" t="inlineStr">
        <is>
          <t>VINDELN</t>
        </is>
      </c>
      <c r="G2196" t="n">
        <v>12.6</v>
      </c>
      <c r="H2196" t="n">
        <v>0</v>
      </c>
      <c r="I2196" t="n">
        <v>0</v>
      </c>
      <c r="J2196" t="n">
        <v>0</v>
      </c>
      <c r="K2196" t="n">
        <v>0</v>
      </c>
      <c r="L2196" t="n">
        <v>0</v>
      </c>
      <c r="M2196" t="n">
        <v>0</v>
      </c>
      <c r="N2196" t="n">
        <v>0</v>
      </c>
      <c r="O2196" t="n">
        <v>0</v>
      </c>
      <c r="P2196" t="n">
        <v>0</v>
      </c>
      <c r="Q2196" t="n">
        <v>0</v>
      </c>
      <c r="R2196" s="2" t="inlineStr"/>
    </row>
    <row r="2197" ht="15" customHeight="1">
      <c r="A2197" t="inlineStr">
        <is>
          <t>A 14846-2025</t>
        </is>
      </c>
      <c r="B2197" s="1" t="n">
        <v>45743.38820601852</v>
      </c>
      <c r="C2197" s="1" t="n">
        <v>46075</v>
      </c>
      <c r="D2197" t="inlineStr">
        <is>
          <t>VÄSTERBOTTENS LÄN</t>
        </is>
      </c>
      <c r="E2197" t="inlineStr">
        <is>
          <t>SKELLEFTEÅ</t>
        </is>
      </c>
      <c r="F2197" t="inlineStr">
        <is>
          <t>Sveaskog</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24361-2024</t>
        </is>
      </c>
      <c r="B2198" s="1" t="n">
        <v>45457.60049768518</v>
      </c>
      <c r="C2198" s="1" t="n">
        <v>46075</v>
      </c>
      <c r="D2198" t="inlineStr">
        <is>
          <t>VÄSTERBOTTENS LÄN</t>
        </is>
      </c>
      <c r="E2198" t="inlineStr">
        <is>
          <t>LYCKSELE</t>
        </is>
      </c>
      <c r="F2198" t="inlineStr">
        <is>
          <t>Sveaskog</t>
        </is>
      </c>
      <c r="G2198" t="n">
        <v>7.3</v>
      </c>
      <c r="H2198" t="n">
        <v>0</v>
      </c>
      <c r="I2198" t="n">
        <v>0</v>
      </c>
      <c r="J2198" t="n">
        <v>0</v>
      </c>
      <c r="K2198" t="n">
        <v>0</v>
      </c>
      <c r="L2198" t="n">
        <v>0</v>
      </c>
      <c r="M2198" t="n">
        <v>0</v>
      </c>
      <c r="N2198" t="n">
        <v>0</v>
      </c>
      <c r="O2198" t="n">
        <v>0</v>
      </c>
      <c r="P2198" t="n">
        <v>0</v>
      </c>
      <c r="Q2198" t="n">
        <v>0</v>
      </c>
      <c r="R2198" s="2" t="inlineStr"/>
    </row>
    <row r="2199" ht="15" customHeight="1">
      <c r="A2199" t="inlineStr">
        <is>
          <t>A 4944-2023</t>
        </is>
      </c>
      <c r="B2199" s="1" t="n">
        <v>44958</v>
      </c>
      <c r="C2199" s="1" t="n">
        <v>46075</v>
      </c>
      <c r="D2199" t="inlineStr">
        <is>
          <t>VÄSTERBOTTENS LÄN</t>
        </is>
      </c>
      <c r="E2199" t="inlineStr">
        <is>
          <t>SORSELE</t>
        </is>
      </c>
      <c r="G2199" t="n">
        <v>29.8</v>
      </c>
      <c r="H2199" t="n">
        <v>0</v>
      </c>
      <c r="I2199" t="n">
        <v>0</v>
      </c>
      <c r="J2199" t="n">
        <v>0</v>
      </c>
      <c r="K2199" t="n">
        <v>0</v>
      </c>
      <c r="L2199" t="n">
        <v>0</v>
      </c>
      <c r="M2199" t="n">
        <v>0</v>
      </c>
      <c r="N2199" t="n">
        <v>0</v>
      </c>
      <c r="O2199" t="n">
        <v>0</v>
      </c>
      <c r="P2199" t="n">
        <v>0</v>
      </c>
      <c r="Q2199" t="n">
        <v>0</v>
      </c>
      <c r="R2199" s="2" t="inlineStr"/>
    </row>
    <row r="2200" ht="15" customHeight="1">
      <c r="A2200" t="inlineStr">
        <is>
          <t>A 4611-2025</t>
        </is>
      </c>
      <c r="B2200" s="1" t="n">
        <v>45687</v>
      </c>
      <c r="C2200" s="1" t="n">
        <v>46075</v>
      </c>
      <c r="D2200" t="inlineStr">
        <is>
          <t>VÄSTERBOTTENS LÄN</t>
        </is>
      </c>
      <c r="E2200" t="inlineStr">
        <is>
          <t>ROBERTSFORS</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44968-2022</t>
        </is>
      </c>
      <c r="B2201" s="1" t="n">
        <v>44840</v>
      </c>
      <c r="C2201" s="1" t="n">
        <v>46075</v>
      </c>
      <c r="D2201" t="inlineStr">
        <is>
          <t>VÄSTERBOTTENS LÄN</t>
        </is>
      </c>
      <c r="E2201" t="inlineStr">
        <is>
          <t>UMEÅ</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4645-2025</t>
        </is>
      </c>
      <c r="B2202" s="1" t="n">
        <v>45687</v>
      </c>
      <c r="C2202" s="1" t="n">
        <v>46075</v>
      </c>
      <c r="D2202" t="inlineStr">
        <is>
          <t>VÄSTERBOTTENS LÄN</t>
        </is>
      </c>
      <c r="E2202" t="inlineStr">
        <is>
          <t>SKELLEFTEÅ</t>
        </is>
      </c>
      <c r="G2202" t="n">
        <v>6.7</v>
      </c>
      <c r="H2202" t="n">
        <v>0</v>
      </c>
      <c r="I2202" t="n">
        <v>0</v>
      </c>
      <c r="J2202" t="n">
        <v>0</v>
      </c>
      <c r="K2202" t="n">
        <v>0</v>
      </c>
      <c r="L2202" t="n">
        <v>0</v>
      </c>
      <c r="M2202" t="n">
        <v>0</v>
      </c>
      <c r="N2202" t="n">
        <v>0</v>
      </c>
      <c r="O2202" t="n">
        <v>0</v>
      </c>
      <c r="P2202" t="n">
        <v>0</v>
      </c>
      <c r="Q2202" t="n">
        <v>0</v>
      </c>
      <c r="R2202" s="2" t="inlineStr"/>
    </row>
    <row r="2203" ht="15" customHeight="1">
      <c r="A2203" t="inlineStr">
        <is>
          <t>A 17460-2024</t>
        </is>
      </c>
      <c r="B2203" s="1" t="n">
        <v>45415</v>
      </c>
      <c r="C2203" s="1" t="n">
        <v>46075</v>
      </c>
      <c r="D2203" t="inlineStr">
        <is>
          <t>VÄSTERBOTTENS LÄN</t>
        </is>
      </c>
      <c r="E2203" t="inlineStr">
        <is>
          <t>LYCKSELE</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17924-2023</t>
        </is>
      </c>
      <c r="B2204" s="1" t="n">
        <v>45037</v>
      </c>
      <c r="C2204" s="1" t="n">
        <v>46075</v>
      </c>
      <c r="D2204" t="inlineStr">
        <is>
          <t>VÄSTERBOTTENS LÄN</t>
        </is>
      </c>
      <c r="E2204" t="inlineStr">
        <is>
          <t>UMEÅ</t>
        </is>
      </c>
      <c r="F2204" t="inlineStr">
        <is>
          <t>Kommuner</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27194-2024</t>
        </is>
      </c>
      <c r="B2205" s="1" t="n">
        <v>45471</v>
      </c>
      <c r="C2205" s="1" t="n">
        <v>46075</v>
      </c>
      <c r="D2205" t="inlineStr">
        <is>
          <t>VÄSTERBOTTENS LÄN</t>
        </is>
      </c>
      <c r="E2205" t="inlineStr">
        <is>
          <t>VILHELMINA</t>
        </is>
      </c>
      <c r="G2205" t="n">
        <v>8.5</v>
      </c>
      <c r="H2205" t="n">
        <v>0</v>
      </c>
      <c r="I2205" t="n">
        <v>0</v>
      </c>
      <c r="J2205" t="n">
        <v>0</v>
      </c>
      <c r="K2205" t="n">
        <v>0</v>
      </c>
      <c r="L2205" t="n">
        <v>0</v>
      </c>
      <c r="M2205" t="n">
        <v>0</v>
      </c>
      <c r="N2205" t="n">
        <v>0</v>
      </c>
      <c r="O2205" t="n">
        <v>0</v>
      </c>
      <c r="P2205" t="n">
        <v>0</v>
      </c>
      <c r="Q2205" t="n">
        <v>0</v>
      </c>
      <c r="R2205" s="2" t="inlineStr"/>
    </row>
    <row r="2206" ht="15" customHeight="1">
      <c r="A2206" t="inlineStr">
        <is>
          <t>A 23973-2024</t>
        </is>
      </c>
      <c r="B2206" s="1" t="n">
        <v>45455.9684837963</v>
      </c>
      <c r="C2206" s="1" t="n">
        <v>46075</v>
      </c>
      <c r="D2206" t="inlineStr">
        <is>
          <t>VÄSTERBOTTENS LÄN</t>
        </is>
      </c>
      <c r="E2206" t="inlineStr">
        <is>
          <t>LYCKSELE</t>
        </is>
      </c>
      <c r="F2206" t="inlineStr">
        <is>
          <t>SCA</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3616-2022</t>
        </is>
      </c>
      <c r="B2207" s="1" t="n">
        <v>44586</v>
      </c>
      <c r="C2207" s="1" t="n">
        <v>46075</v>
      </c>
      <c r="D2207" t="inlineStr">
        <is>
          <t>VÄSTERBOTTENS LÄN</t>
        </is>
      </c>
      <c r="E2207" t="inlineStr">
        <is>
          <t>SKELLEFTEÅ</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16995-2023</t>
        </is>
      </c>
      <c r="B2208" s="1" t="n">
        <v>45033.92592592593</v>
      </c>
      <c r="C2208" s="1" t="n">
        <v>46075</v>
      </c>
      <c r="D2208" t="inlineStr">
        <is>
          <t>VÄSTERBOTTENS LÄN</t>
        </is>
      </c>
      <c r="E2208" t="inlineStr">
        <is>
          <t>ROBERTSFORS</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6224-2023</t>
        </is>
      </c>
      <c r="B2209" s="1" t="n">
        <v>44964.87626157407</v>
      </c>
      <c r="C2209" s="1" t="n">
        <v>46075</v>
      </c>
      <c r="D2209" t="inlineStr">
        <is>
          <t>VÄSTERBOTTENS LÄN</t>
        </is>
      </c>
      <c r="E2209" t="inlineStr">
        <is>
          <t>NORDMALING</t>
        </is>
      </c>
      <c r="G2209" t="n">
        <v>3.7</v>
      </c>
      <c r="H2209" t="n">
        <v>0</v>
      </c>
      <c r="I2209" t="n">
        <v>0</v>
      </c>
      <c r="J2209" t="n">
        <v>0</v>
      </c>
      <c r="K2209" t="n">
        <v>0</v>
      </c>
      <c r="L2209" t="n">
        <v>0</v>
      </c>
      <c r="M2209" t="n">
        <v>0</v>
      </c>
      <c r="N2209" t="n">
        <v>0</v>
      </c>
      <c r="O2209" t="n">
        <v>0</v>
      </c>
      <c r="P2209" t="n">
        <v>0</v>
      </c>
      <c r="Q2209" t="n">
        <v>0</v>
      </c>
      <c r="R2209" s="2" t="inlineStr"/>
    </row>
    <row r="2210" ht="15" customHeight="1">
      <c r="A2210" t="inlineStr">
        <is>
          <t>A 45549-2021</t>
        </is>
      </c>
      <c r="B2210" s="1" t="n">
        <v>44440</v>
      </c>
      <c r="C2210" s="1" t="n">
        <v>46075</v>
      </c>
      <c r="D2210" t="inlineStr">
        <is>
          <t>VÄSTERBOTTENS LÄN</t>
        </is>
      </c>
      <c r="E2210" t="inlineStr">
        <is>
          <t>MALÅ</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502-2025</t>
        </is>
      </c>
      <c r="B2211" s="1" t="n">
        <v>45664</v>
      </c>
      <c r="C2211" s="1" t="n">
        <v>46075</v>
      </c>
      <c r="D2211" t="inlineStr">
        <is>
          <t>VÄSTERBOTTENS LÄN</t>
        </is>
      </c>
      <c r="E2211" t="inlineStr">
        <is>
          <t>NORDMALING</t>
        </is>
      </c>
      <c r="F2211" t="inlineStr">
        <is>
          <t>SCA</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20455-2025</t>
        </is>
      </c>
      <c r="B2212" s="1" t="n">
        <v>45775</v>
      </c>
      <c r="C2212" s="1" t="n">
        <v>46075</v>
      </c>
      <c r="D2212" t="inlineStr">
        <is>
          <t>VÄSTERBOTTENS LÄN</t>
        </is>
      </c>
      <c r="E2212" t="inlineStr">
        <is>
          <t>ÅSELE</t>
        </is>
      </c>
      <c r="F2212" t="inlineStr">
        <is>
          <t>SCA</t>
        </is>
      </c>
      <c r="G2212" t="n">
        <v>18.4</v>
      </c>
      <c r="H2212" t="n">
        <v>0</v>
      </c>
      <c r="I2212" t="n">
        <v>0</v>
      </c>
      <c r="J2212" t="n">
        <v>0</v>
      </c>
      <c r="K2212" t="n">
        <v>0</v>
      </c>
      <c r="L2212" t="n">
        <v>0</v>
      </c>
      <c r="M2212" t="n">
        <v>0</v>
      </c>
      <c r="N2212" t="n">
        <v>0</v>
      </c>
      <c r="O2212" t="n">
        <v>0</v>
      </c>
      <c r="P2212" t="n">
        <v>0</v>
      </c>
      <c r="Q2212" t="n">
        <v>0</v>
      </c>
      <c r="R2212" s="2" t="inlineStr"/>
    </row>
    <row r="2213" ht="15" customHeight="1">
      <c r="A2213" t="inlineStr">
        <is>
          <t>A 20476-2025</t>
        </is>
      </c>
      <c r="B2213" s="1" t="n">
        <v>45775.54994212963</v>
      </c>
      <c r="C2213" s="1" t="n">
        <v>46075</v>
      </c>
      <c r="D2213" t="inlineStr">
        <is>
          <t>VÄSTERBOTTENS LÄN</t>
        </is>
      </c>
      <c r="E2213" t="inlineStr">
        <is>
          <t>NORDMALING</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50635-2021</t>
        </is>
      </c>
      <c r="B2214" s="1" t="n">
        <v>44459.71978009259</v>
      </c>
      <c r="C2214" s="1" t="n">
        <v>46075</v>
      </c>
      <c r="D2214" t="inlineStr">
        <is>
          <t>VÄSTERBOTTENS LÄN</t>
        </is>
      </c>
      <c r="E2214" t="inlineStr">
        <is>
          <t>VILHELMINA</t>
        </is>
      </c>
      <c r="F2214" t="inlineStr">
        <is>
          <t>Kommuner</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61815-2024</t>
        </is>
      </c>
      <c r="B2215" s="1" t="n">
        <v>45649</v>
      </c>
      <c r="C2215" s="1" t="n">
        <v>46075</v>
      </c>
      <c r="D2215" t="inlineStr">
        <is>
          <t>VÄSTERBOTTENS LÄN</t>
        </is>
      </c>
      <c r="E2215" t="inlineStr">
        <is>
          <t>BJURHOLM</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62648-2021</t>
        </is>
      </c>
      <c r="B2216" s="1" t="n">
        <v>44503</v>
      </c>
      <c r="C2216" s="1" t="n">
        <v>46075</v>
      </c>
      <c r="D2216" t="inlineStr">
        <is>
          <t>VÄSTERBOTTENS LÄN</t>
        </is>
      </c>
      <c r="E2216" t="inlineStr">
        <is>
          <t>UMEÅ</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45559-2022</t>
        </is>
      </c>
      <c r="B2217" s="1" t="n">
        <v>44845.48649305556</v>
      </c>
      <c r="C2217" s="1" t="n">
        <v>46075</v>
      </c>
      <c r="D2217" t="inlineStr">
        <is>
          <t>VÄSTERBOTTENS LÄN</t>
        </is>
      </c>
      <c r="E2217" t="inlineStr">
        <is>
          <t>LYCKSELE</t>
        </is>
      </c>
      <c r="G2217" t="n">
        <v>17.8</v>
      </c>
      <c r="H2217" t="n">
        <v>0</v>
      </c>
      <c r="I2217" t="n">
        <v>0</v>
      </c>
      <c r="J2217" t="n">
        <v>0</v>
      </c>
      <c r="K2217" t="n">
        <v>0</v>
      </c>
      <c r="L2217" t="n">
        <v>0</v>
      </c>
      <c r="M2217" t="n">
        <v>0</v>
      </c>
      <c r="N2217" t="n">
        <v>0</v>
      </c>
      <c r="O2217" t="n">
        <v>0</v>
      </c>
      <c r="P2217" t="n">
        <v>0</v>
      </c>
      <c r="Q2217" t="n">
        <v>0</v>
      </c>
      <c r="R2217" s="2" t="inlineStr"/>
    </row>
    <row r="2218" ht="15" customHeight="1">
      <c r="A2218" t="inlineStr">
        <is>
          <t>A 16261-2025</t>
        </is>
      </c>
      <c r="B2218" s="1" t="n">
        <v>45750.74388888889</v>
      </c>
      <c r="C2218" s="1" t="n">
        <v>46075</v>
      </c>
      <c r="D2218" t="inlineStr">
        <is>
          <t>VÄSTERBOTTENS LÄN</t>
        </is>
      </c>
      <c r="E2218" t="inlineStr">
        <is>
          <t>SKELLEFTEÅ</t>
        </is>
      </c>
      <c r="G2218" t="n">
        <v>5.3</v>
      </c>
      <c r="H2218" t="n">
        <v>0</v>
      </c>
      <c r="I2218" t="n">
        <v>0</v>
      </c>
      <c r="J2218" t="n">
        <v>0</v>
      </c>
      <c r="K2218" t="n">
        <v>0</v>
      </c>
      <c r="L2218" t="n">
        <v>0</v>
      </c>
      <c r="M2218" t="n">
        <v>0</v>
      </c>
      <c r="N2218" t="n">
        <v>0</v>
      </c>
      <c r="O2218" t="n">
        <v>0</v>
      </c>
      <c r="P2218" t="n">
        <v>0</v>
      </c>
      <c r="Q2218" t="n">
        <v>0</v>
      </c>
      <c r="R2218" s="2" t="inlineStr"/>
    </row>
    <row r="2219" ht="15" customHeight="1">
      <c r="A2219" t="inlineStr">
        <is>
          <t>A 25569-2023</t>
        </is>
      </c>
      <c r="B2219" s="1" t="n">
        <v>45089</v>
      </c>
      <c r="C2219" s="1" t="n">
        <v>46075</v>
      </c>
      <c r="D2219" t="inlineStr">
        <is>
          <t>VÄSTERBOTTENS LÄN</t>
        </is>
      </c>
      <c r="E2219" t="inlineStr">
        <is>
          <t>ROBERTSFORS</t>
        </is>
      </c>
      <c r="F2219" t="inlineStr">
        <is>
          <t>Holmen skog AB</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29104-2024</t>
        </is>
      </c>
      <c r="B2220" s="1" t="n">
        <v>45481.95178240741</v>
      </c>
      <c r="C2220" s="1" t="n">
        <v>46075</v>
      </c>
      <c r="D2220" t="inlineStr">
        <is>
          <t>VÄSTERBOTTENS LÄN</t>
        </is>
      </c>
      <c r="E2220" t="inlineStr">
        <is>
          <t>VILHELMINA</t>
        </is>
      </c>
      <c r="F2220" t="inlineStr">
        <is>
          <t>SCA</t>
        </is>
      </c>
      <c r="G2220" t="n">
        <v>5.1</v>
      </c>
      <c r="H2220" t="n">
        <v>0</v>
      </c>
      <c r="I2220" t="n">
        <v>0</v>
      </c>
      <c r="J2220" t="n">
        <v>0</v>
      </c>
      <c r="K2220" t="n">
        <v>0</v>
      </c>
      <c r="L2220" t="n">
        <v>0</v>
      </c>
      <c r="M2220" t="n">
        <v>0</v>
      </c>
      <c r="N2220" t="n">
        <v>0</v>
      </c>
      <c r="O2220" t="n">
        <v>0</v>
      </c>
      <c r="P2220" t="n">
        <v>0</v>
      </c>
      <c r="Q2220" t="n">
        <v>0</v>
      </c>
      <c r="R2220" s="2" t="inlineStr"/>
    </row>
    <row r="2221" ht="15" customHeight="1">
      <c r="A2221" t="inlineStr">
        <is>
          <t>A 29125-2024</t>
        </is>
      </c>
      <c r="B2221" s="1" t="n">
        <v>45481</v>
      </c>
      <c r="C2221" s="1" t="n">
        <v>46075</v>
      </c>
      <c r="D2221" t="inlineStr">
        <is>
          <t>VÄSTERBOTTENS LÄN</t>
        </is>
      </c>
      <c r="E2221" t="inlineStr">
        <is>
          <t>SKELLEFTEÅ</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53725-2024</t>
        </is>
      </c>
      <c r="B2222" s="1" t="n">
        <v>45615.45043981481</v>
      </c>
      <c r="C2222" s="1" t="n">
        <v>46075</v>
      </c>
      <c r="D2222" t="inlineStr">
        <is>
          <t>VÄSTERBOTTENS LÄN</t>
        </is>
      </c>
      <c r="E2222" t="inlineStr">
        <is>
          <t>SKELLEFTEÅ</t>
        </is>
      </c>
      <c r="G2222" t="n">
        <v>6</v>
      </c>
      <c r="H2222" t="n">
        <v>0</v>
      </c>
      <c r="I2222" t="n">
        <v>0</v>
      </c>
      <c r="J2222" t="n">
        <v>0</v>
      </c>
      <c r="K2222" t="n">
        <v>0</v>
      </c>
      <c r="L2222" t="n">
        <v>0</v>
      </c>
      <c r="M2222" t="n">
        <v>0</v>
      </c>
      <c r="N2222" t="n">
        <v>0</v>
      </c>
      <c r="O2222" t="n">
        <v>0</v>
      </c>
      <c r="P2222" t="n">
        <v>0</v>
      </c>
      <c r="Q2222" t="n">
        <v>0</v>
      </c>
      <c r="R2222" s="2" t="inlineStr"/>
    </row>
    <row r="2223" ht="15" customHeight="1">
      <c r="A2223" t="inlineStr">
        <is>
          <t>A 24295-2023</t>
        </is>
      </c>
      <c r="B2223" s="1" t="n">
        <v>45079</v>
      </c>
      <c r="C2223" s="1" t="n">
        <v>46075</v>
      </c>
      <c r="D2223" t="inlineStr">
        <is>
          <t>VÄSTERBOTTENS LÄN</t>
        </is>
      </c>
      <c r="E2223" t="inlineStr">
        <is>
          <t>ROBERTSFORS</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26690-2023</t>
        </is>
      </c>
      <c r="B2224" s="1" t="n">
        <v>45093</v>
      </c>
      <c r="C2224" s="1" t="n">
        <v>46075</v>
      </c>
      <c r="D2224" t="inlineStr">
        <is>
          <t>VÄSTERBOTTENS LÄN</t>
        </is>
      </c>
      <c r="E2224" t="inlineStr">
        <is>
          <t>SKELLEFTEÅ</t>
        </is>
      </c>
      <c r="F2224" t="inlineStr">
        <is>
          <t>Kyrkan</t>
        </is>
      </c>
      <c r="G2224" t="n">
        <v>7.5</v>
      </c>
      <c r="H2224" t="n">
        <v>0</v>
      </c>
      <c r="I2224" t="n">
        <v>0</v>
      </c>
      <c r="J2224" t="n">
        <v>0</v>
      </c>
      <c r="K2224" t="n">
        <v>0</v>
      </c>
      <c r="L2224" t="n">
        <v>0</v>
      </c>
      <c r="M2224" t="n">
        <v>0</v>
      </c>
      <c r="N2224" t="n">
        <v>0</v>
      </c>
      <c r="O2224" t="n">
        <v>0</v>
      </c>
      <c r="P2224" t="n">
        <v>0</v>
      </c>
      <c r="Q2224" t="n">
        <v>0</v>
      </c>
      <c r="R2224" s="2" t="inlineStr"/>
    </row>
    <row r="2225" ht="15" customHeight="1">
      <c r="A2225" t="inlineStr">
        <is>
          <t>A 44012-2023</t>
        </is>
      </c>
      <c r="B2225" s="1" t="n">
        <v>45182</v>
      </c>
      <c r="C2225" s="1" t="n">
        <v>46075</v>
      </c>
      <c r="D2225" t="inlineStr">
        <is>
          <t>VÄSTERBOTTENS LÄN</t>
        </is>
      </c>
      <c r="E2225" t="inlineStr">
        <is>
          <t>NORDMALING</t>
        </is>
      </c>
      <c r="G2225" t="n">
        <v>20.1</v>
      </c>
      <c r="H2225" t="n">
        <v>0</v>
      </c>
      <c r="I2225" t="n">
        <v>0</v>
      </c>
      <c r="J2225" t="n">
        <v>0</v>
      </c>
      <c r="K2225" t="n">
        <v>0</v>
      </c>
      <c r="L2225" t="n">
        <v>0</v>
      </c>
      <c r="M2225" t="n">
        <v>0</v>
      </c>
      <c r="N2225" t="n">
        <v>0</v>
      </c>
      <c r="O2225" t="n">
        <v>0</v>
      </c>
      <c r="P2225" t="n">
        <v>0</v>
      </c>
      <c r="Q2225" t="n">
        <v>0</v>
      </c>
      <c r="R2225" s="2" t="inlineStr"/>
    </row>
    <row r="2226" ht="15" customHeight="1">
      <c r="A2226" t="inlineStr">
        <is>
          <t>A 23427-2024</t>
        </is>
      </c>
      <c r="B2226" s="1" t="n">
        <v>45453</v>
      </c>
      <c r="C2226" s="1" t="n">
        <v>46075</v>
      </c>
      <c r="D2226" t="inlineStr">
        <is>
          <t>VÄSTERBOTTENS LÄN</t>
        </is>
      </c>
      <c r="E2226" t="inlineStr">
        <is>
          <t>VINDELN</t>
        </is>
      </c>
      <c r="F2226" t="inlineStr">
        <is>
          <t>Sveaskog</t>
        </is>
      </c>
      <c r="G2226" t="n">
        <v>4</v>
      </c>
      <c r="H2226" t="n">
        <v>0</v>
      </c>
      <c r="I2226" t="n">
        <v>0</v>
      </c>
      <c r="J2226" t="n">
        <v>0</v>
      </c>
      <c r="K2226" t="n">
        <v>0</v>
      </c>
      <c r="L2226" t="n">
        <v>0</v>
      </c>
      <c r="M2226" t="n">
        <v>0</v>
      </c>
      <c r="N2226" t="n">
        <v>0</v>
      </c>
      <c r="O2226" t="n">
        <v>0</v>
      </c>
      <c r="P2226" t="n">
        <v>0</v>
      </c>
      <c r="Q2226" t="n">
        <v>0</v>
      </c>
      <c r="R2226" s="2" t="inlineStr"/>
    </row>
    <row r="2227" ht="15" customHeight="1">
      <c r="A2227" t="inlineStr">
        <is>
          <t>A 23446-2024</t>
        </is>
      </c>
      <c r="B2227" s="1" t="n">
        <v>45453</v>
      </c>
      <c r="C2227" s="1" t="n">
        <v>46075</v>
      </c>
      <c r="D2227" t="inlineStr">
        <is>
          <t>VÄSTERBOTTENS LÄN</t>
        </is>
      </c>
      <c r="E2227" t="inlineStr">
        <is>
          <t>VINDELN</t>
        </is>
      </c>
      <c r="F2227" t="inlineStr">
        <is>
          <t>Holmen skog AB</t>
        </is>
      </c>
      <c r="G2227" t="n">
        <v>3.9</v>
      </c>
      <c r="H2227" t="n">
        <v>0</v>
      </c>
      <c r="I2227" t="n">
        <v>0</v>
      </c>
      <c r="J2227" t="n">
        <v>0</v>
      </c>
      <c r="K2227" t="n">
        <v>0</v>
      </c>
      <c r="L2227" t="n">
        <v>0</v>
      </c>
      <c r="M2227" t="n">
        <v>0</v>
      </c>
      <c r="N2227" t="n">
        <v>0</v>
      </c>
      <c r="O2227" t="n">
        <v>0</v>
      </c>
      <c r="P2227" t="n">
        <v>0</v>
      </c>
      <c r="Q2227" t="n">
        <v>0</v>
      </c>
      <c r="R2227" s="2" t="inlineStr"/>
    </row>
    <row r="2228" ht="15" customHeight="1">
      <c r="A2228" t="inlineStr">
        <is>
          <t>A 44025-2023</t>
        </is>
      </c>
      <c r="B2228" s="1" t="n">
        <v>45182</v>
      </c>
      <c r="C2228" s="1" t="n">
        <v>46075</v>
      </c>
      <c r="D2228" t="inlineStr">
        <is>
          <t>VÄSTERBOTTENS LÄN</t>
        </is>
      </c>
      <c r="E2228" t="inlineStr">
        <is>
          <t>SKELLEFTEÅ</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50441-2024</t>
        </is>
      </c>
      <c r="B2229" s="1" t="n">
        <v>45601.41592592592</v>
      </c>
      <c r="C2229" s="1" t="n">
        <v>46075</v>
      </c>
      <c r="D2229" t="inlineStr">
        <is>
          <t>VÄSTERBOTTENS LÄN</t>
        </is>
      </c>
      <c r="E2229" t="inlineStr">
        <is>
          <t>BJURHOLM</t>
        </is>
      </c>
      <c r="F2229" t="inlineStr">
        <is>
          <t>Sveaskog</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13248-2023</t>
        </is>
      </c>
      <c r="B2230" s="1" t="n">
        <v>45002</v>
      </c>
      <c r="C2230" s="1" t="n">
        <v>46075</v>
      </c>
      <c r="D2230" t="inlineStr">
        <is>
          <t>VÄSTERBOTTENS LÄN</t>
        </is>
      </c>
      <c r="E2230" t="inlineStr">
        <is>
          <t>SORSELE</t>
        </is>
      </c>
      <c r="G2230" t="n">
        <v>7.3</v>
      </c>
      <c r="H2230" t="n">
        <v>0</v>
      </c>
      <c r="I2230" t="n">
        <v>0</v>
      </c>
      <c r="J2230" t="n">
        <v>0</v>
      </c>
      <c r="K2230" t="n">
        <v>0</v>
      </c>
      <c r="L2230" t="n">
        <v>0</v>
      </c>
      <c r="M2230" t="n">
        <v>0</v>
      </c>
      <c r="N2230" t="n">
        <v>0</v>
      </c>
      <c r="O2230" t="n">
        <v>0</v>
      </c>
      <c r="P2230" t="n">
        <v>0</v>
      </c>
      <c r="Q2230" t="n">
        <v>0</v>
      </c>
      <c r="R2230" s="2" t="inlineStr"/>
    </row>
    <row r="2231" ht="15" customHeight="1">
      <c r="A2231" t="inlineStr">
        <is>
          <t>A 40462-2024</t>
        </is>
      </c>
      <c r="B2231" s="1" t="n">
        <v>45555.51084490741</v>
      </c>
      <c r="C2231" s="1" t="n">
        <v>46075</v>
      </c>
      <c r="D2231" t="inlineStr">
        <is>
          <t>VÄSTERBOTTENS LÄN</t>
        </is>
      </c>
      <c r="E2231" t="inlineStr">
        <is>
          <t>VILHELMINA</t>
        </is>
      </c>
      <c r="F2231" t="inlineStr">
        <is>
          <t>SCA</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50730-2022</t>
        </is>
      </c>
      <c r="B2232" s="1" t="n">
        <v>44867</v>
      </c>
      <c r="C2232" s="1" t="n">
        <v>46075</v>
      </c>
      <c r="D2232" t="inlineStr">
        <is>
          <t>VÄSTERBOTTENS LÄN</t>
        </is>
      </c>
      <c r="E2232" t="inlineStr">
        <is>
          <t>NORSJÖ</t>
        </is>
      </c>
      <c r="F2232" t="inlineStr">
        <is>
          <t>Holmen skog AB</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55672-2023</t>
        </is>
      </c>
      <c r="B2233" s="1" t="n">
        <v>45238</v>
      </c>
      <c r="C2233" s="1" t="n">
        <v>46075</v>
      </c>
      <c r="D2233" t="inlineStr">
        <is>
          <t>VÄSTERBOTTENS LÄN</t>
        </is>
      </c>
      <c r="E2233" t="inlineStr">
        <is>
          <t>MALÅ</t>
        </is>
      </c>
      <c r="F2233" t="inlineStr">
        <is>
          <t>SCA</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51926-2022</t>
        </is>
      </c>
      <c r="B2234" s="1" t="n">
        <v>44872</v>
      </c>
      <c r="C2234" s="1" t="n">
        <v>46075</v>
      </c>
      <c r="D2234" t="inlineStr">
        <is>
          <t>VÄSTERBOTTENS LÄN</t>
        </is>
      </c>
      <c r="E2234" t="inlineStr">
        <is>
          <t>NORSJÖ</t>
        </is>
      </c>
      <c r="F2234" t="inlineStr">
        <is>
          <t>Holmen skog AB</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53127-2024</t>
        </is>
      </c>
      <c r="B2235" s="1" t="n">
        <v>45611</v>
      </c>
      <c r="C2235" s="1" t="n">
        <v>46075</v>
      </c>
      <c r="D2235" t="inlineStr">
        <is>
          <t>VÄSTERBOTTENS LÄN</t>
        </is>
      </c>
      <c r="E2235" t="inlineStr">
        <is>
          <t>BJURHOLM</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41644-2024</t>
        </is>
      </c>
      <c r="B2236" s="1" t="n">
        <v>45560</v>
      </c>
      <c r="C2236" s="1" t="n">
        <v>46075</v>
      </c>
      <c r="D2236" t="inlineStr">
        <is>
          <t>VÄSTERBOTTENS LÄN</t>
        </is>
      </c>
      <c r="E2236" t="inlineStr">
        <is>
          <t>VILHELMINA</t>
        </is>
      </c>
      <c r="F2236" t="inlineStr">
        <is>
          <t>SCA</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41662-2024</t>
        </is>
      </c>
      <c r="B2237" s="1" t="n">
        <v>45560.64682870371</v>
      </c>
      <c r="C2237" s="1" t="n">
        <v>46075</v>
      </c>
      <c r="D2237" t="inlineStr">
        <is>
          <t>VÄSTERBOTTENS LÄN</t>
        </is>
      </c>
      <c r="E2237" t="inlineStr">
        <is>
          <t>VINDELN</t>
        </is>
      </c>
      <c r="F2237" t="inlineStr">
        <is>
          <t>Sveaskog</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60356-2022</t>
        </is>
      </c>
      <c r="B2238" s="1" t="n">
        <v>44904</v>
      </c>
      <c r="C2238" s="1" t="n">
        <v>46075</v>
      </c>
      <c r="D2238" t="inlineStr">
        <is>
          <t>VÄSTERBOTTENS LÄN</t>
        </is>
      </c>
      <c r="E2238" t="inlineStr">
        <is>
          <t>SKELLEFTEÅ</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15857-2023</t>
        </is>
      </c>
      <c r="B2239" s="1" t="n">
        <v>45022</v>
      </c>
      <c r="C2239" s="1" t="n">
        <v>46075</v>
      </c>
      <c r="D2239" t="inlineStr">
        <is>
          <t>VÄSTERBOTTENS LÄN</t>
        </is>
      </c>
      <c r="E2239" t="inlineStr">
        <is>
          <t>MALÅ</t>
        </is>
      </c>
      <c r="G2239" t="n">
        <v>5.6</v>
      </c>
      <c r="H2239" t="n">
        <v>0</v>
      </c>
      <c r="I2239" t="n">
        <v>0</v>
      </c>
      <c r="J2239" t="n">
        <v>0</v>
      </c>
      <c r="K2239" t="n">
        <v>0</v>
      </c>
      <c r="L2239" t="n">
        <v>0</v>
      </c>
      <c r="M2239" t="n">
        <v>0</v>
      </c>
      <c r="N2239" t="n">
        <v>0</v>
      </c>
      <c r="O2239" t="n">
        <v>0</v>
      </c>
      <c r="P2239" t="n">
        <v>0</v>
      </c>
      <c r="Q2239" t="n">
        <v>0</v>
      </c>
      <c r="R2239" s="2" t="inlineStr"/>
    </row>
    <row r="2240" ht="15" customHeight="1">
      <c r="A2240" t="inlineStr">
        <is>
          <t>A 23448-2024</t>
        </is>
      </c>
      <c r="B2240" s="1" t="n">
        <v>45453</v>
      </c>
      <c r="C2240" s="1" t="n">
        <v>46075</v>
      </c>
      <c r="D2240" t="inlineStr">
        <is>
          <t>VÄSTERBOTTENS LÄN</t>
        </is>
      </c>
      <c r="E2240" t="inlineStr">
        <is>
          <t>VINDELN</t>
        </is>
      </c>
      <c r="F2240" t="inlineStr">
        <is>
          <t>Holmen skog AB</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56498-2024</t>
        </is>
      </c>
      <c r="B2241" s="1" t="n">
        <v>45625.49637731481</v>
      </c>
      <c r="C2241" s="1" t="n">
        <v>46075</v>
      </c>
      <c r="D2241" t="inlineStr">
        <is>
          <t>VÄSTERBOTTENS LÄN</t>
        </is>
      </c>
      <c r="E2241" t="inlineStr">
        <is>
          <t>NORSJÖ</t>
        </is>
      </c>
      <c r="F2241" t="inlineStr">
        <is>
          <t>Holmen skog AB</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56502-2024</t>
        </is>
      </c>
      <c r="B2242" s="1" t="n">
        <v>45625.50078703704</v>
      </c>
      <c r="C2242" s="1" t="n">
        <v>46075</v>
      </c>
      <c r="D2242" t="inlineStr">
        <is>
          <t>VÄSTERBOTTENS LÄN</t>
        </is>
      </c>
      <c r="E2242" t="inlineStr">
        <is>
          <t>ROBERTSFORS</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61390-2022</t>
        </is>
      </c>
      <c r="B2243" s="1" t="n">
        <v>44915</v>
      </c>
      <c r="C2243" s="1" t="n">
        <v>46075</v>
      </c>
      <c r="D2243" t="inlineStr">
        <is>
          <t>VÄSTERBOTTENS LÄN</t>
        </is>
      </c>
      <c r="E2243" t="inlineStr">
        <is>
          <t>LYCKSELE</t>
        </is>
      </c>
      <c r="F2243" t="inlineStr">
        <is>
          <t>SCA</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61397-2022</t>
        </is>
      </c>
      <c r="B2244" s="1" t="n">
        <v>44915.94381944444</v>
      </c>
      <c r="C2244" s="1" t="n">
        <v>46075</v>
      </c>
      <c r="D2244" t="inlineStr">
        <is>
          <t>VÄSTERBOTTENS LÄN</t>
        </is>
      </c>
      <c r="E2244" t="inlineStr">
        <is>
          <t>ÅSELE</t>
        </is>
      </c>
      <c r="F2244" t="inlineStr">
        <is>
          <t>SCA</t>
        </is>
      </c>
      <c r="G2244" t="n">
        <v>3.2</v>
      </c>
      <c r="H2244" t="n">
        <v>0</v>
      </c>
      <c r="I2244" t="n">
        <v>0</v>
      </c>
      <c r="J2244" t="n">
        <v>0</v>
      </c>
      <c r="K2244" t="n">
        <v>0</v>
      </c>
      <c r="L2244" t="n">
        <v>0</v>
      </c>
      <c r="M2244" t="n">
        <v>0</v>
      </c>
      <c r="N2244" t="n">
        <v>0</v>
      </c>
      <c r="O2244" t="n">
        <v>0</v>
      </c>
      <c r="P2244" t="n">
        <v>0</v>
      </c>
      <c r="Q2244" t="n">
        <v>0</v>
      </c>
      <c r="R2244" s="2" t="inlineStr"/>
    </row>
    <row r="2245" ht="15" customHeight="1">
      <c r="A2245" t="inlineStr">
        <is>
          <t>A 61398-2022</t>
        </is>
      </c>
      <c r="B2245" s="1" t="n">
        <v>44915.94388888889</v>
      </c>
      <c r="C2245" s="1" t="n">
        <v>46075</v>
      </c>
      <c r="D2245" t="inlineStr">
        <is>
          <t>VÄSTERBOTTENS LÄN</t>
        </is>
      </c>
      <c r="E2245" t="inlineStr">
        <is>
          <t>ÅSELE</t>
        </is>
      </c>
      <c r="F2245" t="inlineStr">
        <is>
          <t>SCA</t>
        </is>
      </c>
      <c r="G2245" t="n">
        <v>7.2</v>
      </c>
      <c r="H2245" t="n">
        <v>0</v>
      </c>
      <c r="I2245" t="n">
        <v>0</v>
      </c>
      <c r="J2245" t="n">
        <v>0</v>
      </c>
      <c r="K2245" t="n">
        <v>0</v>
      </c>
      <c r="L2245" t="n">
        <v>0</v>
      </c>
      <c r="M2245" t="n">
        <v>0</v>
      </c>
      <c r="N2245" t="n">
        <v>0</v>
      </c>
      <c r="O2245" t="n">
        <v>0</v>
      </c>
      <c r="P2245" t="n">
        <v>0</v>
      </c>
      <c r="Q2245" t="n">
        <v>0</v>
      </c>
      <c r="R2245" s="2" t="inlineStr"/>
    </row>
    <row r="2246" ht="15" customHeight="1">
      <c r="A2246" t="inlineStr">
        <is>
          <t>A 29967-2024</t>
        </is>
      </c>
      <c r="B2246" s="1" t="n">
        <v>45488.4725925926</v>
      </c>
      <c r="C2246" s="1" t="n">
        <v>46075</v>
      </c>
      <c r="D2246" t="inlineStr">
        <is>
          <t>VÄSTERBOTTENS LÄN</t>
        </is>
      </c>
      <c r="E2246" t="inlineStr">
        <is>
          <t>ÅSELE</t>
        </is>
      </c>
      <c r="G2246" t="n">
        <v>5.8</v>
      </c>
      <c r="H2246" t="n">
        <v>0</v>
      </c>
      <c r="I2246" t="n">
        <v>0</v>
      </c>
      <c r="J2246" t="n">
        <v>0</v>
      </c>
      <c r="K2246" t="n">
        <v>0</v>
      </c>
      <c r="L2246" t="n">
        <v>0</v>
      </c>
      <c r="M2246" t="n">
        <v>0</v>
      </c>
      <c r="N2246" t="n">
        <v>0</v>
      </c>
      <c r="O2246" t="n">
        <v>0</v>
      </c>
      <c r="P2246" t="n">
        <v>0</v>
      </c>
      <c r="Q2246" t="n">
        <v>0</v>
      </c>
      <c r="R2246" s="2" t="inlineStr"/>
    </row>
    <row r="2247" ht="15" customHeight="1">
      <c r="A2247" t="inlineStr">
        <is>
          <t>A 21238-2023</t>
        </is>
      </c>
      <c r="B2247" s="1" t="n">
        <v>45058</v>
      </c>
      <c r="C2247" s="1" t="n">
        <v>46075</v>
      </c>
      <c r="D2247" t="inlineStr">
        <is>
          <t>VÄSTERBOTTENS LÄN</t>
        </is>
      </c>
      <c r="E2247" t="inlineStr">
        <is>
          <t>SKELLEFTEÅ</t>
        </is>
      </c>
      <c r="G2247" t="n">
        <v>6</v>
      </c>
      <c r="H2247" t="n">
        <v>0</v>
      </c>
      <c r="I2247" t="n">
        <v>0</v>
      </c>
      <c r="J2247" t="n">
        <v>0</v>
      </c>
      <c r="K2247" t="n">
        <v>0</v>
      </c>
      <c r="L2247" t="n">
        <v>0</v>
      </c>
      <c r="M2247" t="n">
        <v>0</v>
      </c>
      <c r="N2247" t="n">
        <v>0</v>
      </c>
      <c r="O2247" t="n">
        <v>0</v>
      </c>
      <c r="P2247" t="n">
        <v>0</v>
      </c>
      <c r="Q2247" t="n">
        <v>0</v>
      </c>
      <c r="R2247" s="2" t="inlineStr"/>
    </row>
    <row r="2248" ht="15" customHeight="1">
      <c r="A2248" t="inlineStr">
        <is>
          <t>A 22002-2023</t>
        </is>
      </c>
      <c r="B2248" s="1" t="n">
        <v>45068.92707175926</v>
      </c>
      <c r="C2248" s="1" t="n">
        <v>46075</v>
      </c>
      <c r="D2248" t="inlineStr">
        <is>
          <t>VÄSTERBOTTENS LÄN</t>
        </is>
      </c>
      <c r="E2248" t="inlineStr">
        <is>
          <t>VÄNNÄS</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6758-2023</t>
        </is>
      </c>
      <c r="B2249" s="1" t="n">
        <v>44966</v>
      </c>
      <c r="C2249" s="1" t="n">
        <v>46075</v>
      </c>
      <c r="D2249" t="inlineStr">
        <is>
          <t>VÄSTERBOTTENS LÄN</t>
        </is>
      </c>
      <c r="E2249" t="inlineStr">
        <is>
          <t>STORUMAN</t>
        </is>
      </c>
      <c r="F2249" t="inlineStr">
        <is>
          <t>Sveaskog</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52497-2022</t>
        </is>
      </c>
      <c r="B2250" s="1" t="n">
        <v>44869</v>
      </c>
      <c r="C2250" s="1" t="n">
        <v>46075</v>
      </c>
      <c r="D2250" t="inlineStr">
        <is>
          <t>VÄSTERBOTTENS LÄN</t>
        </is>
      </c>
      <c r="E2250" t="inlineStr">
        <is>
          <t>SKELLEFTEÅ</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15409-2021</t>
        </is>
      </c>
      <c r="B2251" s="1" t="n">
        <v>44285</v>
      </c>
      <c r="C2251" s="1" t="n">
        <v>46075</v>
      </c>
      <c r="D2251" t="inlineStr">
        <is>
          <t>VÄSTERBOTTENS LÄN</t>
        </is>
      </c>
      <c r="E2251" t="inlineStr">
        <is>
          <t>VÄNNÄS</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7112-2023</t>
        </is>
      </c>
      <c r="B2252" s="1" t="n">
        <v>44965</v>
      </c>
      <c r="C2252" s="1" t="n">
        <v>46075</v>
      </c>
      <c r="D2252" t="inlineStr">
        <is>
          <t>VÄSTERBOTTENS LÄN</t>
        </is>
      </c>
      <c r="E2252" t="inlineStr">
        <is>
          <t>VINDELN</t>
        </is>
      </c>
      <c r="G2252" t="n">
        <v>8.9</v>
      </c>
      <c r="H2252" t="n">
        <v>0</v>
      </c>
      <c r="I2252" t="n">
        <v>0</v>
      </c>
      <c r="J2252" t="n">
        <v>0</v>
      </c>
      <c r="K2252" t="n">
        <v>0</v>
      </c>
      <c r="L2252" t="n">
        <v>0</v>
      </c>
      <c r="M2252" t="n">
        <v>0</v>
      </c>
      <c r="N2252" t="n">
        <v>0</v>
      </c>
      <c r="O2252" t="n">
        <v>0</v>
      </c>
      <c r="P2252" t="n">
        <v>0</v>
      </c>
      <c r="Q2252" t="n">
        <v>0</v>
      </c>
      <c r="R2252" s="2" t="inlineStr"/>
    </row>
    <row r="2253" ht="15" customHeight="1">
      <c r="A2253" t="inlineStr">
        <is>
          <t>A 34901-2023</t>
        </is>
      </c>
      <c r="B2253" s="1" t="n">
        <v>45141</v>
      </c>
      <c r="C2253" s="1" t="n">
        <v>46075</v>
      </c>
      <c r="D2253" t="inlineStr">
        <is>
          <t>VÄSTERBOTTENS LÄN</t>
        </is>
      </c>
      <c r="E2253" t="inlineStr">
        <is>
          <t>NORDMALING</t>
        </is>
      </c>
      <c r="G2253" t="n">
        <v>4</v>
      </c>
      <c r="H2253" t="n">
        <v>0</v>
      </c>
      <c r="I2253" t="n">
        <v>0</v>
      </c>
      <c r="J2253" t="n">
        <v>0</v>
      </c>
      <c r="K2253" t="n">
        <v>0</v>
      </c>
      <c r="L2253" t="n">
        <v>0</v>
      </c>
      <c r="M2253" t="n">
        <v>0</v>
      </c>
      <c r="N2253" t="n">
        <v>0</v>
      </c>
      <c r="O2253" t="n">
        <v>0</v>
      </c>
      <c r="P2253" t="n">
        <v>0</v>
      </c>
      <c r="Q2253" t="n">
        <v>0</v>
      </c>
      <c r="R2253" s="2" t="inlineStr"/>
    </row>
    <row r="2254" ht="15" customHeight="1">
      <c r="A2254" t="inlineStr">
        <is>
          <t>A 34905-2023</t>
        </is>
      </c>
      <c r="B2254" s="1" t="n">
        <v>45141</v>
      </c>
      <c r="C2254" s="1" t="n">
        <v>46075</v>
      </c>
      <c r="D2254" t="inlineStr">
        <is>
          <t>VÄSTERBOTTENS LÄN</t>
        </is>
      </c>
      <c r="E2254" t="inlineStr">
        <is>
          <t>NORDMALING</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2632-2023</t>
        </is>
      </c>
      <c r="B2255" s="1" t="n">
        <v>44944</v>
      </c>
      <c r="C2255" s="1" t="n">
        <v>46075</v>
      </c>
      <c r="D2255" t="inlineStr">
        <is>
          <t>VÄSTERBOTTENS LÄN</t>
        </is>
      </c>
      <c r="E2255" t="inlineStr">
        <is>
          <t>UMEÅ</t>
        </is>
      </c>
      <c r="G2255" t="n">
        <v>0.3</v>
      </c>
      <c r="H2255" t="n">
        <v>0</v>
      </c>
      <c r="I2255" t="n">
        <v>0</v>
      </c>
      <c r="J2255" t="n">
        <v>0</v>
      </c>
      <c r="K2255" t="n">
        <v>0</v>
      </c>
      <c r="L2255" t="n">
        <v>0</v>
      </c>
      <c r="M2255" t="n">
        <v>0</v>
      </c>
      <c r="N2255" t="n">
        <v>0</v>
      </c>
      <c r="O2255" t="n">
        <v>0</v>
      </c>
      <c r="P2255" t="n">
        <v>0</v>
      </c>
      <c r="Q2255" t="n">
        <v>0</v>
      </c>
      <c r="R2255" s="2" t="inlineStr"/>
    </row>
    <row r="2256" ht="15" customHeight="1">
      <c r="A2256" t="inlineStr">
        <is>
          <t>A 2634-2023</t>
        </is>
      </c>
      <c r="B2256" s="1" t="n">
        <v>44944.4013425926</v>
      </c>
      <c r="C2256" s="1" t="n">
        <v>46075</v>
      </c>
      <c r="D2256" t="inlineStr">
        <is>
          <t>VÄSTERBOTTENS LÄN</t>
        </is>
      </c>
      <c r="E2256" t="inlineStr">
        <is>
          <t>UMEÅ</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48702-2023</t>
        </is>
      </c>
      <c r="B2257" s="1" t="n">
        <v>45208</v>
      </c>
      <c r="C2257" s="1" t="n">
        <v>46075</v>
      </c>
      <c r="D2257" t="inlineStr">
        <is>
          <t>VÄSTERBOTTENS LÄN</t>
        </is>
      </c>
      <c r="E2257" t="inlineStr">
        <is>
          <t>VINDELN</t>
        </is>
      </c>
      <c r="G2257" t="n">
        <v>6.6</v>
      </c>
      <c r="H2257" t="n">
        <v>0</v>
      </c>
      <c r="I2257" t="n">
        <v>0</v>
      </c>
      <c r="J2257" t="n">
        <v>0</v>
      </c>
      <c r="K2257" t="n">
        <v>0</v>
      </c>
      <c r="L2257" t="n">
        <v>0</v>
      </c>
      <c r="M2257" t="n">
        <v>0</v>
      </c>
      <c r="N2257" t="n">
        <v>0</v>
      </c>
      <c r="O2257" t="n">
        <v>0</v>
      </c>
      <c r="P2257" t="n">
        <v>0</v>
      </c>
      <c r="Q2257" t="n">
        <v>0</v>
      </c>
      <c r="R2257" s="2" t="inlineStr"/>
    </row>
    <row r="2258" ht="15" customHeight="1">
      <c r="A2258" t="inlineStr">
        <is>
          <t>A 35631-2024</t>
        </is>
      </c>
      <c r="B2258" s="1" t="n">
        <v>45531.74990740741</v>
      </c>
      <c r="C2258" s="1" t="n">
        <v>46075</v>
      </c>
      <c r="D2258" t="inlineStr">
        <is>
          <t>VÄSTERBOTTENS LÄN</t>
        </is>
      </c>
      <c r="E2258" t="inlineStr">
        <is>
          <t>UMEÅ</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47677-2024</t>
        </is>
      </c>
      <c r="B2259" s="1" t="n">
        <v>45588</v>
      </c>
      <c r="C2259" s="1" t="n">
        <v>46075</v>
      </c>
      <c r="D2259" t="inlineStr">
        <is>
          <t>VÄSTERBOTTENS LÄN</t>
        </is>
      </c>
      <c r="E2259" t="inlineStr">
        <is>
          <t>MALÅ</t>
        </is>
      </c>
      <c r="G2259" t="n">
        <v>5.8</v>
      </c>
      <c r="H2259" t="n">
        <v>0</v>
      </c>
      <c r="I2259" t="n">
        <v>0</v>
      </c>
      <c r="J2259" t="n">
        <v>0</v>
      </c>
      <c r="K2259" t="n">
        <v>0</v>
      </c>
      <c r="L2259" t="n">
        <v>0</v>
      </c>
      <c r="M2259" t="n">
        <v>0</v>
      </c>
      <c r="N2259" t="n">
        <v>0</v>
      </c>
      <c r="O2259" t="n">
        <v>0</v>
      </c>
      <c r="P2259" t="n">
        <v>0</v>
      </c>
      <c r="Q2259" t="n">
        <v>0</v>
      </c>
      <c r="R2259" s="2" t="inlineStr"/>
    </row>
    <row r="2260" ht="15" customHeight="1">
      <c r="A2260" t="inlineStr">
        <is>
          <t>A 33701-2023</t>
        </is>
      </c>
      <c r="B2260" s="1" t="n">
        <v>45132</v>
      </c>
      <c r="C2260" s="1" t="n">
        <v>46075</v>
      </c>
      <c r="D2260" t="inlineStr">
        <is>
          <t>VÄSTERBOTTENS LÄN</t>
        </is>
      </c>
      <c r="E2260" t="inlineStr">
        <is>
          <t>VINDELN</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15806-2023</t>
        </is>
      </c>
      <c r="B2261" s="1" t="n">
        <v>45021</v>
      </c>
      <c r="C2261" s="1" t="n">
        <v>46075</v>
      </c>
      <c r="D2261" t="inlineStr">
        <is>
          <t>VÄSTERBOTTENS LÄN</t>
        </is>
      </c>
      <c r="E2261" t="inlineStr">
        <is>
          <t>SKELLEFTEÅ</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45807-2023</t>
        </is>
      </c>
      <c r="B2262" s="1" t="n">
        <v>45189</v>
      </c>
      <c r="C2262" s="1" t="n">
        <v>46075</v>
      </c>
      <c r="D2262" t="inlineStr">
        <is>
          <t>VÄSTERBOTTENS LÄN</t>
        </is>
      </c>
      <c r="E2262" t="inlineStr">
        <is>
          <t>MALÅ</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20084-2025</t>
        </is>
      </c>
      <c r="B2263" s="1" t="n">
        <v>45772.45416666667</v>
      </c>
      <c r="C2263" s="1" t="n">
        <v>46075</v>
      </c>
      <c r="D2263" t="inlineStr">
        <is>
          <t>VÄSTERBOTTENS LÄN</t>
        </is>
      </c>
      <c r="E2263" t="inlineStr">
        <is>
          <t>SKELLEFTEÅ</t>
        </is>
      </c>
      <c r="F2263" t="inlineStr">
        <is>
          <t>Holmen skog AB</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72494-2021</t>
        </is>
      </c>
      <c r="B2264" s="1" t="n">
        <v>44545.92059027778</v>
      </c>
      <c r="C2264" s="1" t="n">
        <v>46075</v>
      </c>
      <c r="D2264" t="inlineStr">
        <is>
          <t>VÄSTERBOTTENS LÄN</t>
        </is>
      </c>
      <c r="E2264" t="inlineStr">
        <is>
          <t>VILHELMINA</t>
        </is>
      </c>
      <c r="G2264" t="n">
        <v>4.2</v>
      </c>
      <c r="H2264" t="n">
        <v>0</v>
      </c>
      <c r="I2264" t="n">
        <v>0</v>
      </c>
      <c r="J2264" t="n">
        <v>0</v>
      </c>
      <c r="K2264" t="n">
        <v>0</v>
      </c>
      <c r="L2264" t="n">
        <v>0</v>
      </c>
      <c r="M2264" t="n">
        <v>0</v>
      </c>
      <c r="N2264" t="n">
        <v>0</v>
      </c>
      <c r="O2264" t="n">
        <v>0</v>
      </c>
      <c r="P2264" t="n">
        <v>0</v>
      </c>
      <c r="Q2264" t="n">
        <v>0</v>
      </c>
      <c r="R2264" s="2" t="inlineStr"/>
    </row>
    <row r="2265" ht="15" customHeight="1">
      <c r="A2265" t="inlineStr">
        <is>
          <t>A 48234-2024</t>
        </is>
      </c>
      <c r="B2265" s="1" t="n">
        <v>45590.38300925926</v>
      </c>
      <c r="C2265" s="1" t="n">
        <v>46075</v>
      </c>
      <c r="D2265" t="inlineStr">
        <is>
          <t>VÄSTERBOTTENS LÄN</t>
        </is>
      </c>
      <c r="E2265" t="inlineStr">
        <is>
          <t>NORDMALING</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52869-2022</t>
        </is>
      </c>
      <c r="B2266" s="1" t="n">
        <v>44875</v>
      </c>
      <c r="C2266" s="1" t="n">
        <v>46075</v>
      </c>
      <c r="D2266" t="inlineStr">
        <is>
          <t>VÄSTERBOTTENS LÄN</t>
        </is>
      </c>
      <c r="E2266" t="inlineStr">
        <is>
          <t>SKELLEFTEÅ</t>
        </is>
      </c>
      <c r="G2266" t="n">
        <v>4.6</v>
      </c>
      <c r="H2266" t="n">
        <v>0</v>
      </c>
      <c r="I2266" t="n">
        <v>0</v>
      </c>
      <c r="J2266" t="n">
        <v>0</v>
      </c>
      <c r="K2266" t="n">
        <v>0</v>
      </c>
      <c r="L2266" t="n">
        <v>0</v>
      </c>
      <c r="M2266" t="n">
        <v>0</v>
      </c>
      <c r="N2266" t="n">
        <v>0</v>
      </c>
      <c r="O2266" t="n">
        <v>0</v>
      </c>
      <c r="P2266" t="n">
        <v>0</v>
      </c>
      <c r="Q2266" t="n">
        <v>0</v>
      </c>
      <c r="R2266" s="2" t="inlineStr"/>
    </row>
    <row r="2267" ht="15" customHeight="1">
      <c r="A2267" t="inlineStr">
        <is>
          <t>A 54430-2024</t>
        </is>
      </c>
      <c r="B2267" s="1" t="n">
        <v>45617.49107638889</v>
      </c>
      <c r="C2267" s="1" t="n">
        <v>46075</v>
      </c>
      <c r="D2267" t="inlineStr">
        <is>
          <t>VÄSTERBOTTENS LÄN</t>
        </is>
      </c>
      <c r="E2267" t="inlineStr">
        <is>
          <t>VILHELMINA</t>
        </is>
      </c>
      <c r="F2267" t="inlineStr">
        <is>
          <t>SCA</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53116-2024</t>
        </is>
      </c>
      <c r="B2268" s="1" t="n">
        <v>45611.58083333333</v>
      </c>
      <c r="C2268" s="1" t="n">
        <v>46075</v>
      </c>
      <c r="D2268" t="inlineStr">
        <is>
          <t>VÄSTERBOTTENS LÄN</t>
        </is>
      </c>
      <c r="E2268" t="inlineStr">
        <is>
          <t>LYCKSELE</t>
        </is>
      </c>
      <c r="F2268" t="inlineStr">
        <is>
          <t>Sveaskog</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53117-2024</t>
        </is>
      </c>
      <c r="B2269" s="1" t="n">
        <v>45611.58105324074</v>
      </c>
      <c r="C2269" s="1" t="n">
        <v>46075</v>
      </c>
      <c r="D2269" t="inlineStr">
        <is>
          <t>VÄSTERBOTTENS LÄN</t>
        </is>
      </c>
      <c r="E2269" t="inlineStr">
        <is>
          <t>SKELLEFTEÅ</t>
        </is>
      </c>
      <c r="F2269" t="inlineStr">
        <is>
          <t>Kommuner</t>
        </is>
      </c>
      <c r="G2269" t="n">
        <v>7.4</v>
      </c>
      <c r="H2269" t="n">
        <v>0</v>
      </c>
      <c r="I2269" t="n">
        <v>0</v>
      </c>
      <c r="J2269" t="n">
        <v>0</v>
      </c>
      <c r="K2269" t="n">
        <v>0</v>
      </c>
      <c r="L2269" t="n">
        <v>0</v>
      </c>
      <c r="M2269" t="n">
        <v>0</v>
      </c>
      <c r="N2269" t="n">
        <v>0</v>
      </c>
      <c r="O2269" t="n">
        <v>0</v>
      </c>
      <c r="P2269" t="n">
        <v>0</v>
      </c>
      <c r="Q2269" t="n">
        <v>0</v>
      </c>
      <c r="R2269" s="2" t="inlineStr"/>
    </row>
    <row r="2270" ht="15" customHeight="1">
      <c r="A2270" t="inlineStr">
        <is>
          <t>A 60493-2024</t>
        </is>
      </c>
      <c r="B2270" s="1" t="n">
        <v>45643.65672453704</v>
      </c>
      <c r="C2270" s="1" t="n">
        <v>46075</v>
      </c>
      <c r="D2270" t="inlineStr">
        <is>
          <t>VÄSTERBOTTENS LÄN</t>
        </is>
      </c>
      <c r="E2270" t="inlineStr">
        <is>
          <t>ÅSELE</t>
        </is>
      </c>
      <c r="F2270" t="inlineStr">
        <is>
          <t>SCA</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24256-2024</t>
        </is>
      </c>
      <c r="B2271" s="1" t="n">
        <v>45457</v>
      </c>
      <c r="C2271" s="1" t="n">
        <v>46075</v>
      </c>
      <c r="D2271" t="inlineStr">
        <is>
          <t>VÄSTERBOTTENS LÄN</t>
        </is>
      </c>
      <c r="E2271" t="inlineStr">
        <is>
          <t>VINDELN</t>
        </is>
      </c>
      <c r="F2271" t="inlineStr">
        <is>
          <t>Holmen skog AB</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24257-2024</t>
        </is>
      </c>
      <c r="B2272" s="1" t="n">
        <v>45457</v>
      </c>
      <c r="C2272" s="1" t="n">
        <v>46075</v>
      </c>
      <c r="D2272" t="inlineStr">
        <is>
          <t>VÄSTERBOTTENS LÄN</t>
        </is>
      </c>
      <c r="E2272" t="inlineStr">
        <is>
          <t>LYCKSELE</t>
        </is>
      </c>
      <c r="F2272" t="inlineStr">
        <is>
          <t>Sveaskog</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61048-2022</t>
        </is>
      </c>
      <c r="B2273" s="1" t="n">
        <v>44914</v>
      </c>
      <c r="C2273" s="1" t="n">
        <v>46075</v>
      </c>
      <c r="D2273" t="inlineStr">
        <is>
          <t>VÄSTERBOTTENS LÄN</t>
        </is>
      </c>
      <c r="E2273" t="inlineStr">
        <is>
          <t>VILHELMINA</t>
        </is>
      </c>
      <c r="F2273" t="inlineStr">
        <is>
          <t>SCA</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31031-2024</t>
        </is>
      </c>
      <c r="B2274" s="1" t="n">
        <v>45501.40922453703</v>
      </c>
      <c r="C2274" s="1" t="n">
        <v>46075</v>
      </c>
      <c r="D2274" t="inlineStr">
        <is>
          <t>VÄSTERBOTTENS LÄN</t>
        </is>
      </c>
      <c r="E2274" t="inlineStr">
        <is>
          <t>UMEÅ</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39319-2024</t>
        </is>
      </c>
      <c r="B2275" s="1" t="n">
        <v>45551.41037037037</v>
      </c>
      <c r="C2275" s="1" t="n">
        <v>46075</v>
      </c>
      <c r="D2275" t="inlineStr">
        <is>
          <t>VÄSTERBOTTENS LÄN</t>
        </is>
      </c>
      <c r="E2275" t="inlineStr">
        <is>
          <t>VINDELN</t>
        </is>
      </c>
      <c r="G2275" t="n">
        <v>9.6</v>
      </c>
      <c r="H2275" t="n">
        <v>0</v>
      </c>
      <c r="I2275" t="n">
        <v>0</v>
      </c>
      <c r="J2275" t="n">
        <v>0</v>
      </c>
      <c r="K2275" t="n">
        <v>0</v>
      </c>
      <c r="L2275" t="n">
        <v>0</v>
      </c>
      <c r="M2275" t="n">
        <v>0</v>
      </c>
      <c r="N2275" t="n">
        <v>0</v>
      </c>
      <c r="O2275" t="n">
        <v>0</v>
      </c>
      <c r="P2275" t="n">
        <v>0</v>
      </c>
      <c r="Q2275" t="n">
        <v>0</v>
      </c>
      <c r="R2275" s="2" t="inlineStr"/>
    </row>
    <row r="2276" ht="15" customHeight="1">
      <c r="A2276" t="inlineStr">
        <is>
          <t>A 62708-2023</t>
        </is>
      </c>
      <c r="B2276" s="1" t="n">
        <v>45271.55337962963</v>
      </c>
      <c r="C2276" s="1" t="n">
        <v>46075</v>
      </c>
      <c r="D2276" t="inlineStr">
        <is>
          <t>VÄSTERBOTTENS LÄN</t>
        </is>
      </c>
      <c r="E2276" t="inlineStr">
        <is>
          <t>SKELLEFTEÅ</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41980-2024</t>
        </is>
      </c>
      <c r="B2277" s="1" t="n">
        <v>45561.63130787037</v>
      </c>
      <c r="C2277" s="1" t="n">
        <v>46075</v>
      </c>
      <c r="D2277" t="inlineStr">
        <is>
          <t>VÄSTERBOTTENS LÄN</t>
        </is>
      </c>
      <c r="E2277" t="inlineStr">
        <is>
          <t>LYCKSELE</t>
        </is>
      </c>
      <c r="F2277" t="inlineStr">
        <is>
          <t>Sveaskog</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53235-2024</t>
        </is>
      </c>
      <c r="B2278" s="1" t="n">
        <v>45613.77569444444</v>
      </c>
      <c r="C2278" s="1" t="n">
        <v>46075</v>
      </c>
      <c r="D2278" t="inlineStr">
        <is>
          <t>VÄSTERBOTTENS LÄN</t>
        </is>
      </c>
      <c r="E2278" t="inlineStr">
        <is>
          <t>LYCKSELE</t>
        </is>
      </c>
      <c r="F2278" t="inlineStr">
        <is>
          <t>Sveaskog</t>
        </is>
      </c>
      <c r="G2278" t="n">
        <v>4.5</v>
      </c>
      <c r="H2278" t="n">
        <v>0</v>
      </c>
      <c r="I2278" t="n">
        <v>0</v>
      </c>
      <c r="J2278" t="n">
        <v>0</v>
      </c>
      <c r="K2278" t="n">
        <v>0</v>
      </c>
      <c r="L2278" t="n">
        <v>0</v>
      </c>
      <c r="M2278" t="n">
        <v>0</v>
      </c>
      <c r="N2278" t="n">
        <v>0</v>
      </c>
      <c r="O2278" t="n">
        <v>0</v>
      </c>
      <c r="P2278" t="n">
        <v>0</v>
      </c>
      <c r="Q2278" t="n">
        <v>0</v>
      </c>
      <c r="R2278" s="2" t="inlineStr"/>
    </row>
    <row r="2279" ht="15" customHeight="1">
      <c r="A2279" t="inlineStr">
        <is>
          <t>A 72281-2021</t>
        </is>
      </c>
      <c r="B2279" s="1" t="n">
        <v>44543</v>
      </c>
      <c r="C2279" s="1" t="n">
        <v>46075</v>
      </c>
      <c r="D2279" t="inlineStr">
        <is>
          <t>VÄSTERBOTTENS LÄN</t>
        </is>
      </c>
      <c r="E2279" t="inlineStr">
        <is>
          <t>STORUMAN</t>
        </is>
      </c>
      <c r="G2279" t="n">
        <v>18.5</v>
      </c>
      <c r="H2279" t="n">
        <v>0</v>
      </c>
      <c r="I2279" t="n">
        <v>0</v>
      </c>
      <c r="J2279" t="n">
        <v>0</v>
      </c>
      <c r="K2279" t="n">
        <v>0</v>
      </c>
      <c r="L2279" t="n">
        <v>0</v>
      </c>
      <c r="M2279" t="n">
        <v>0</v>
      </c>
      <c r="N2279" t="n">
        <v>0</v>
      </c>
      <c r="O2279" t="n">
        <v>0</v>
      </c>
      <c r="P2279" t="n">
        <v>0</v>
      </c>
      <c r="Q2279" t="n">
        <v>0</v>
      </c>
      <c r="R2279" s="2" t="inlineStr"/>
    </row>
    <row r="2280" ht="15" customHeight="1">
      <c r="A2280" t="inlineStr">
        <is>
          <t>A 33040-2024</t>
        </is>
      </c>
      <c r="B2280" s="1" t="n">
        <v>45517.61046296296</v>
      </c>
      <c r="C2280" s="1" t="n">
        <v>46075</v>
      </c>
      <c r="D2280" t="inlineStr">
        <is>
          <t>VÄSTERBOTTENS LÄN</t>
        </is>
      </c>
      <c r="E2280" t="inlineStr">
        <is>
          <t>VINDELN</t>
        </is>
      </c>
      <c r="F2280" t="inlineStr">
        <is>
          <t>Sveaskog</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27586-2024</t>
        </is>
      </c>
      <c r="B2281" s="1" t="n">
        <v>45474.66497685185</v>
      </c>
      <c r="C2281" s="1" t="n">
        <v>46075</v>
      </c>
      <c r="D2281" t="inlineStr">
        <is>
          <t>VÄSTERBOTTENS LÄN</t>
        </is>
      </c>
      <c r="E2281" t="inlineStr">
        <is>
          <t>ROBERTSFORS</t>
        </is>
      </c>
      <c r="F2281" t="inlineStr">
        <is>
          <t>Holmen skog AB</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64384-2023</t>
        </is>
      </c>
      <c r="B2282" s="1" t="n">
        <v>45280</v>
      </c>
      <c r="C2282" s="1" t="n">
        <v>46075</v>
      </c>
      <c r="D2282" t="inlineStr">
        <is>
          <t>VÄSTERBOTTENS LÄN</t>
        </is>
      </c>
      <c r="E2282" t="inlineStr">
        <is>
          <t>SORSELE</t>
        </is>
      </c>
      <c r="G2282" t="n">
        <v>30.3</v>
      </c>
      <c r="H2282" t="n">
        <v>0</v>
      </c>
      <c r="I2282" t="n">
        <v>0</v>
      </c>
      <c r="J2282" t="n">
        <v>0</v>
      </c>
      <c r="K2282" t="n">
        <v>0</v>
      </c>
      <c r="L2282" t="n">
        <v>0</v>
      </c>
      <c r="M2282" t="n">
        <v>0</v>
      </c>
      <c r="N2282" t="n">
        <v>0</v>
      </c>
      <c r="O2282" t="n">
        <v>0</v>
      </c>
      <c r="P2282" t="n">
        <v>0</v>
      </c>
      <c r="Q2282" t="n">
        <v>0</v>
      </c>
      <c r="R2282" s="2" t="inlineStr"/>
    </row>
    <row r="2283" ht="15" customHeight="1">
      <c r="A2283" t="inlineStr">
        <is>
          <t>A 33753-2024</t>
        </is>
      </c>
      <c r="B2283" s="1" t="n">
        <v>45520</v>
      </c>
      <c r="C2283" s="1" t="n">
        <v>46075</v>
      </c>
      <c r="D2283" t="inlineStr">
        <is>
          <t>VÄSTERBOTTENS LÄN</t>
        </is>
      </c>
      <c r="E2283" t="inlineStr">
        <is>
          <t>VINDELN</t>
        </is>
      </c>
      <c r="F2283" t="inlineStr">
        <is>
          <t>Sveaskog</t>
        </is>
      </c>
      <c r="G2283" t="n">
        <v>14.1</v>
      </c>
      <c r="H2283" t="n">
        <v>0</v>
      </c>
      <c r="I2283" t="n">
        <v>0</v>
      </c>
      <c r="J2283" t="n">
        <v>0</v>
      </c>
      <c r="K2283" t="n">
        <v>0</v>
      </c>
      <c r="L2283" t="n">
        <v>0</v>
      </c>
      <c r="M2283" t="n">
        <v>0</v>
      </c>
      <c r="N2283" t="n">
        <v>0</v>
      </c>
      <c r="O2283" t="n">
        <v>0</v>
      </c>
      <c r="P2283" t="n">
        <v>0</v>
      </c>
      <c r="Q2283" t="n">
        <v>0</v>
      </c>
      <c r="R2283" s="2" t="inlineStr"/>
    </row>
    <row r="2284" ht="15" customHeight="1">
      <c r="A2284" t="inlineStr">
        <is>
          <t>A 6549-2023</t>
        </is>
      </c>
      <c r="B2284" s="1" t="n">
        <v>44966</v>
      </c>
      <c r="C2284" s="1" t="n">
        <v>46075</v>
      </c>
      <c r="D2284" t="inlineStr">
        <is>
          <t>VÄSTERBOTTENS LÄN</t>
        </is>
      </c>
      <c r="E2284" t="inlineStr">
        <is>
          <t>STORUMAN</t>
        </is>
      </c>
      <c r="G2284" t="n">
        <v>7.3</v>
      </c>
      <c r="H2284" t="n">
        <v>0</v>
      </c>
      <c r="I2284" t="n">
        <v>0</v>
      </c>
      <c r="J2284" t="n">
        <v>0</v>
      </c>
      <c r="K2284" t="n">
        <v>0</v>
      </c>
      <c r="L2284" t="n">
        <v>0</v>
      </c>
      <c r="M2284" t="n">
        <v>0</v>
      </c>
      <c r="N2284" t="n">
        <v>0</v>
      </c>
      <c r="O2284" t="n">
        <v>0</v>
      </c>
      <c r="P2284" t="n">
        <v>0</v>
      </c>
      <c r="Q2284" t="n">
        <v>0</v>
      </c>
      <c r="R2284" s="2" t="inlineStr"/>
    </row>
    <row r="2285" ht="15" customHeight="1">
      <c r="A2285" t="inlineStr">
        <is>
          <t>A 35737-2024</t>
        </is>
      </c>
      <c r="B2285" s="1" t="n">
        <v>45532</v>
      </c>
      <c r="C2285" s="1" t="n">
        <v>46075</v>
      </c>
      <c r="D2285" t="inlineStr">
        <is>
          <t>VÄSTERBOTTENS LÄN</t>
        </is>
      </c>
      <c r="E2285" t="inlineStr">
        <is>
          <t>VÄNNÄS</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5603-2024</t>
        </is>
      </c>
      <c r="B2286" s="1" t="n">
        <v>45334</v>
      </c>
      <c r="C2286" s="1" t="n">
        <v>46075</v>
      </c>
      <c r="D2286" t="inlineStr">
        <is>
          <t>VÄSTERBOTTENS LÄN</t>
        </is>
      </c>
      <c r="E2286" t="inlineStr">
        <is>
          <t>SKELLEFTEÅ</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35771-2024</t>
        </is>
      </c>
      <c r="B2287" s="1" t="n">
        <v>45532</v>
      </c>
      <c r="C2287" s="1" t="n">
        <v>46075</v>
      </c>
      <c r="D2287" t="inlineStr">
        <is>
          <t>VÄSTERBOTTENS LÄN</t>
        </is>
      </c>
      <c r="E2287" t="inlineStr">
        <is>
          <t>VÄNNÄS</t>
        </is>
      </c>
      <c r="G2287" t="n">
        <v>4</v>
      </c>
      <c r="H2287" t="n">
        <v>0</v>
      </c>
      <c r="I2287" t="n">
        <v>0</v>
      </c>
      <c r="J2287" t="n">
        <v>0</v>
      </c>
      <c r="K2287" t="n">
        <v>0</v>
      </c>
      <c r="L2287" t="n">
        <v>0</v>
      </c>
      <c r="M2287" t="n">
        <v>0</v>
      </c>
      <c r="N2287" t="n">
        <v>0</v>
      </c>
      <c r="O2287" t="n">
        <v>0</v>
      </c>
      <c r="P2287" t="n">
        <v>0</v>
      </c>
      <c r="Q2287" t="n">
        <v>0</v>
      </c>
      <c r="R2287" s="2" t="inlineStr"/>
    </row>
    <row r="2288" ht="15" customHeight="1">
      <c r="A2288" t="inlineStr">
        <is>
          <t>A 47444-2022</t>
        </is>
      </c>
      <c r="B2288" s="1" t="n">
        <v>44851</v>
      </c>
      <c r="C2288" s="1" t="n">
        <v>46075</v>
      </c>
      <c r="D2288" t="inlineStr">
        <is>
          <t>VÄSTERBOTTENS LÄN</t>
        </is>
      </c>
      <c r="E2288" t="inlineStr">
        <is>
          <t>VINDELN</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17688-2025</t>
        </is>
      </c>
      <c r="B2289" s="1" t="n">
        <v>45758.39929398148</v>
      </c>
      <c r="C2289" s="1" t="n">
        <v>46075</v>
      </c>
      <c r="D2289" t="inlineStr">
        <is>
          <t>VÄSTERBOTTENS LÄN</t>
        </is>
      </c>
      <c r="E2289" t="inlineStr">
        <is>
          <t>LYCKSELE</t>
        </is>
      </c>
      <c r="F2289" t="inlineStr">
        <is>
          <t>Sveaskog</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30786-2023</t>
        </is>
      </c>
      <c r="B2290" s="1" t="n">
        <v>45112</v>
      </c>
      <c r="C2290" s="1" t="n">
        <v>46075</v>
      </c>
      <c r="D2290" t="inlineStr">
        <is>
          <t>VÄSTERBOTTENS LÄN</t>
        </is>
      </c>
      <c r="E2290" t="inlineStr">
        <is>
          <t>SKELLEFTEÅ</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57278-2024</t>
        </is>
      </c>
      <c r="B2291" s="1" t="n">
        <v>45629</v>
      </c>
      <c r="C2291" s="1" t="n">
        <v>46075</v>
      </c>
      <c r="D2291" t="inlineStr">
        <is>
          <t>VÄSTERBOTTENS LÄN</t>
        </is>
      </c>
      <c r="E2291" t="inlineStr">
        <is>
          <t>SKELLEFTEÅ</t>
        </is>
      </c>
      <c r="F2291" t="inlineStr">
        <is>
          <t>Holmen skog AB</t>
        </is>
      </c>
      <c r="G2291" t="n">
        <v>4.5</v>
      </c>
      <c r="H2291" t="n">
        <v>0</v>
      </c>
      <c r="I2291" t="n">
        <v>0</v>
      </c>
      <c r="J2291" t="n">
        <v>0</v>
      </c>
      <c r="K2291" t="n">
        <v>0</v>
      </c>
      <c r="L2291" t="n">
        <v>0</v>
      </c>
      <c r="M2291" t="n">
        <v>0</v>
      </c>
      <c r="N2291" t="n">
        <v>0</v>
      </c>
      <c r="O2291" t="n">
        <v>0</v>
      </c>
      <c r="P2291" t="n">
        <v>0</v>
      </c>
      <c r="Q2291" t="n">
        <v>0</v>
      </c>
      <c r="R2291" s="2" t="inlineStr"/>
    </row>
    <row r="2292" ht="15" customHeight="1">
      <c r="A2292" t="inlineStr">
        <is>
          <t>A 58565-2023</t>
        </is>
      </c>
      <c r="B2292" s="1" t="n">
        <v>45246</v>
      </c>
      <c r="C2292" s="1" t="n">
        <v>46075</v>
      </c>
      <c r="D2292" t="inlineStr">
        <is>
          <t>VÄSTERBOTTENS LÄN</t>
        </is>
      </c>
      <c r="E2292" t="inlineStr">
        <is>
          <t>ROBERTSFORS</t>
        </is>
      </c>
      <c r="G2292" t="n">
        <v>6.7</v>
      </c>
      <c r="H2292" t="n">
        <v>0</v>
      </c>
      <c r="I2292" t="n">
        <v>0</v>
      </c>
      <c r="J2292" t="n">
        <v>0</v>
      </c>
      <c r="K2292" t="n">
        <v>0</v>
      </c>
      <c r="L2292" t="n">
        <v>0</v>
      </c>
      <c r="M2292" t="n">
        <v>0</v>
      </c>
      <c r="N2292" t="n">
        <v>0</v>
      </c>
      <c r="O2292" t="n">
        <v>0</v>
      </c>
      <c r="P2292" t="n">
        <v>0</v>
      </c>
      <c r="Q2292" t="n">
        <v>0</v>
      </c>
      <c r="R2292" s="2" t="inlineStr"/>
    </row>
    <row r="2293" ht="15" customHeight="1">
      <c r="A2293" t="inlineStr">
        <is>
          <t>A 20574-2023</t>
        </is>
      </c>
      <c r="B2293" s="1" t="n">
        <v>45057</v>
      </c>
      <c r="C2293" s="1" t="n">
        <v>46075</v>
      </c>
      <c r="D2293" t="inlineStr">
        <is>
          <t>VÄSTERBOTTENS LÄN</t>
        </is>
      </c>
      <c r="E2293" t="inlineStr">
        <is>
          <t>VINDELN</t>
        </is>
      </c>
      <c r="G2293" t="n">
        <v>5.1</v>
      </c>
      <c r="H2293" t="n">
        <v>0</v>
      </c>
      <c r="I2293" t="n">
        <v>0</v>
      </c>
      <c r="J2293" t="n">
        <v>0</v>
      </c>
      <c r="K2293" t="n">
        <v>0</v>
      </c>
      <c r="L2293" t="n">
        <v>0</v>
      </c>
      <c r="M2293" t="n">
        <v>0</v>
      </c>
      <c r="N2293" t="n">
        <v>0</v>
      </c>
      <c r="O2293" t="n">
        <v>0</v>
      </c>
      <c r="P2293" t="n">
        <v>0</v>
      </c>
      <c r="Q2293" t="n">
        <v>0</v>
      </c>
      <c r="R2293" s="2" t="inlineStr"/>
    </row>
    <row r="2294" ht="15" customHeight="1">
      <c r="A2294" t="inlineStr">
        <is>
          <t>A 38408-2023</t>
        </is>
      </c>
      <c r="B2294" s="1" t="n">
        <v>45160</v>
      </c>
      <c r="C2294" s="1" t="n">
        <v>46075</v>
      </c>
      <c r="D2294" t="inlineStr">
        <is>
          <t>VÄSTERBOTTENS LÄN</t>
        </is>
      </c>
      <c r="E2294" t="inlineStr">
        <is>
          <t>SORSELE</t>
        </is>
      </c>
      <c r="F2294" t="inlineStr">
        <is>
          <t>Kommuner</t>
        </is>
      </c>
      <c r="G2294" t="n">
        <v>7</v>
      </c>
      <c r="H2294" t="n">
        <v>0</v>
      </c>
      <c r="I2294" t="n">
        <v>0</v>
      </c>
      <c r="J2294" t="n">
        <v>0</v>
      </c>
      <c r="K2294" t="n">
        <v>0</v>
      </c>
      <c r="L2294" t="n">
        <v>0</v>
      </c>
      <c r="M2294" t="n">
        <v>0</v>
      </c>
      <c r="N2294" t="n">
        <v>0</v>
      </c>
      <c r="O2294" t="n">
        <v>0</v>
      </c>
      <c r="P2294" t="n">
        <v>0</v>
      </c>
      <c r="Q2294" t="n">
        <v>0</v>
      </c>
      <c r="R2294" s="2" t="inlineStr"/>
    </row>
    <row r="2295" ht="15" customHeight="1">
      <c r="A2295" t="inlineStr">
        <is>
          <t>A 34995-2023</t>
        </is>
      </c>
      <c r="B2295" s="1" t="n">
        <v>45142.92372685186</v>
      </c>
      <c r="C2295" s="1" t="n">
        <v>46075</v>
      </c>
      <c r="D2295" t="inlineStr">
        <is>
          <t>VÄSTERBOTTENS LÄN</t>
        </is>
      </c>
      <c r="E2295" t="inlineStr">
        <is>
          <t>DOROTEA</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48932-2023</t>
        </is>
      </c>
      <c r="B2296" s="1" t="n">
        <v>45204</v>
      </c>
      <c r="C2296" s="1" t="n">
        <v>46075</v>
      </c>
      <c r="D2296" t="inlineStr">
        <is>
          <t>VÄSTERBOTTENS LÄN</t>
        </is>
      </c>
      <c r="E2296" t="inlineStr">
        <is>
          <t>NORDMALING</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52364-2024</t>
        </is>
      </c>
      <c r="B2297" s="1" t="n">
        <v>45609.38349537037</v>
      </c>
      <c r="C2297" s="1" t="n">
        <v>46075</v>
      </c>
      <c r="D2297" t="inlineStr">
        <is>
          <t>VÄSTERBOTTENS LÄN</t>
        </is>
      </c>
      <c r="E2297" t="inlineStr">
        <is>
          <t>UMEÅ</t>
        </is>
      </c>
      <c r="F2297" t="inlineStr">
        <is>
          <t>Holmen skog AB</t>
        </is>
      </c>
      <c r="G2297" t="n">
        <v>5.1</v>
      </c>
      <c r="H2297" t="n">
        <v>0</v>
      </c>
      <c r="I2297" t="n">
        <v>0</v>
      </c>
      <c r="J2297" t="n">
        <v>0</v>
      </c>
      <c r="K2297" t="n">
        <v>0</v>
      </c>
      <c r="L2297" t="n">
        <v>0</v>
      </c>
      <c r="M2297" t="n">
        <v>0</v>
      </c>
      <c r="N2297" t="n">
        <v>0</v>
      </c>
      <c r="O2297" t="n">
        <v>0</v>
      </c>
      <c r="P2297" t="n">
        <v>0</v>
      </c>
      <c r="Q2297" t="n">
        <v>0</v>
      </c>
      <c r="R2297" s="2" t="inlineStr"/>
    </row>
    <row r="2298" ht="15" customHeight="1">
      <c r="A2298" t="inlineStr">
        <is>
          <t>A 18497-2025</t>
        </is>
      </c>
      <c r="B2298" s="1" t="n">
        <v>45763.35385416666</v>
      </c>
      <c r="C2298" s="1" t="n">
        <v>46075</v>
      </c>
      <c r="D2298" t="inlineStr">
        <is>
          <t>VÄSTERBOTTENS LÄN</t>
        </is>
      </c>
      <c r="E2298" t="inlineStr">
        <is>
          <t>SKELLEFTEÅ</t>
        </is>
      </c>
      <c r="G2298" t="n">
        <v>4.8</v>
      </c>
      <c r="H2298" t="n">
        <v>0</v>
      </c>
      <c r="I2298" t="n">
        <v>0</v>
      </c>
      <c r="J2298" t="n">
        <v>0</v>
      </c>
      <c r="K2298" t="n">
        <v>0</v>
      </c>
      <c r="L2298" t="n">
        <v>0</v>
      </c>
      <c r="M2298" t="n">
        <v>0</v>
      </c>
      <c r="N2298" t="n">
        <v>0</v>
      </c>
      <c r="O2298" t="n">
        <v>0</v>
      </c>
      <c r="P2298" t="n">
        <v>0</v>
      </c>
      <c r="Q2298" t="n">
        <v>0</v>
      </c>
      <c r="R2298" s="2" t="inlineStr"/>
    </row>
    <row r="2299" ht="15" customHeight="1">
      <c r="A2299" t="inlineStr">
        <is>
          <t>A 8092-2023</t>
        </is>
      </c>
      <c r="B2299" s="1" t="n">
        <v>44974.38387731482</v>
      </c>
      <c r="C2299" s="1" t="n">
        <v>46075</v>
      </c>
      <c r="D2299" t="inlineStr">
        <is>
          <t>VÄSTERBOTTENS LÄN</t>
        </is>
      </c>
      <c r="E2299" t="inlineStr">
        <is>
          <t>DOROTEA</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29847-2023</t>
        </is>
      </c>
      <c r="B2300" s="1" t="n">
        <v>45107</v>
      </c>
      <c r="C2300" s="1" t="n">
        <v>46075</v>
      </c>
      <c r="D2300" t="inlineStr">
        <is>
          <t>VÄSTERBOTTENS LÄN</t>
        </is>
      </c>
      <c r="E2300" t="inlineStr">
        <is>
          <t>SORSELE</t>
        </is>
      </c>
      <c r="F2300" t="inlineStr">
        <is>
          <t>Sveaskog</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55032-2021</t>
        </is>
      </c>
      <c r="B2301" s="1" t="n">
        <v>44474.5962037037</v>
      </c>
      <c r="C2301" s="1" t="n">
        <v>46075</v>
      </c>
      <c r="D2301" t="inlineStr">
        <is>
          <t>VÄSTERBOTTENS LÄN</t>
        </is>
      </c>
      <c r="E2301" t="inlineStr">
        <is>
          <t>SKELLEFTEÅ</t>
        </is>
      </c>
      <c r="G2301" t="n">
        <v>5.2</v>
      </c>
      <c r="H2301" t="n">
        <v>0</v>
      </c>
      <c r="I2301" t="n">
        <v>0</v>
      </c>
      <c r="J2301" t="n">
        <v>0</v>
      </c>
      <c r="K2301" t="n">
        <v>0</v>
      </c>
      <c r="L2301" t="n">
        <v>0</v>
      </c>
      <c r="M2301" t="n">
        <v>0</v>
      </c>
      <c r="N2301" t="n">
        <v>0</v>
      </c>
      <c r="O2301" t="n">
        <v>0</v>
      </c>
      <c r="P2301" t="n">
        <v>0</v>
      </c>
      <c r="Q2301" t="n">
        <v>0</v>
      </c>
      <c r="R2301" s="2" t="inlineStr"/>
    </row>
    <row r="2302" ht="15" customHeight="1">
      <c r="A2302" t="inlineStr">
        <is>
          <t>A 33523-2021</t>
        </is>
      </c>
      <c r="B2302" s="1" t="n">
        <v>44377.76381944444</v>
      </c>
      <c r="C2302" s="1" t="n">
        <v>46075</v>
      </c>
      <c r="D2302" t="inlineStr">
        <is>
          <t>VÄSTERBOTTENS LÄN</t>
        </is>
      </c>
      <c r="E2302" t="inlineStr">
        <is>
          <t>ÅSELE</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248-2025</t>
        </is>
      </c>
      <c r="B2303" s="1" t="n">
        <v>45660.419375</v>
      </c>
      <c r="C2303" s="1" t="n">
        <v>46075</v>
      </c>
      <c r="D2303" t="inlineStr">
        <is>
          <t>VÄSTERBOTTENS LÄN</t>
        </is>
      </c>
      <c r="E2303" t="inlineStr">
        <is>
          <t>VILHELMINA</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16782-2024</t>
        </is>
      </c>
      <c r="B2304" s="1" t="n">
        <v>45411</v>
      </c>
      <c r="C2304" s="1" t="n">
        <v>46075</v>
      </c>
      <c r="D2304" t="inlineStr">
        <is>
          <t>VÄSTERBOTTENS LÄN</t>
        </is>
      </c>
      <c r="E2304" t="inlineStr">
        <is>
          <t>VÄNNÄS</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10570-2023</t>
        </is>
      </c>
      <c r="B2305" s="1" t="n">
        <v>44981</v>
      </c>
      <c r="C2305" s="1" t="n">
        <v>46075</v>
      </c>
      <c r="D2305" t="inlineStr">
        <is>
          <t>VÄSTERBOTTENS LÄN</t>
        </is>
      </c>
      <c r="E2305" t="inlineStr">
        <is>
          <t>SKELLEFTEÅ</t>
        </is>
      </c>
      <c r="G2305" t="n">
        <v>3.5</v>
      </c>
      <c r="H2305" t="n">
        <v>0</v>
      </c>
      <c r="I2305" t="n">
        <v>0</v>
      </c>
      <c r="J2305" t="n">
        <v>0</v>
      </c>
      <c r="K2305" t="n">
        <v>0</v>
      </c>
      <c r="L2305" t="n">
        <v>0</v>
      </c>
      <c r="M2305" t="n">
        <v>0</v>
      </c>
      <c r="N2305" t="n">
        <v>0</v>
      </c>
      <c r="O2305" t="n">
        <v>0</v>
      </c>
      <c r="P2305" t="n">
        <v>0</v>
      </c>
      <c r="Q2305" t="n">
        <v>0</v>
      </c>
      <c r="R2305" s="2" t="inlineStr"/>
    </row>
    <row r="2306" ht="15" customHeight="1">
      <c r="A2306" t="inlineStr">
        <is>
          <t>A 34320-2024</t>
        </is>
      </c>
      <c r="B2306" s="1" t="n">
        <v>45524</v>
      </c>
      <c r="C2306" s="1" t="n">
        <v>46075</v>
      </c>
      <c r="D2306" t="inlineStr">
        <is>
          <t>VÄSTERBOTTENS LÄN</t>
        </is>
      </c>
      <c r="E2306" t="inlineStr">
        <is>
          <t>UMEÅ</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9466-2024</t>
        </is>
      </c>
      <c r="B2307" s="1" t="n">
        <v>45359</v>
      </c>
      <c r="C2307" s="1" t="n">
        <v>46075</v>
      </c>
      <c r="D2307" t="inlineStr">
        <is>
          <t>VÄSTERBOTTENS LÄN</t>
        </is>
      </c>
      <c r="E2307" t="inlineStr">
        <is>
          <t>SKELLEFTEÅ</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21622-2023</t>
        </is>
      </c>
      <c r="B2308" s="1" t="n">
        <v>45062</v>
      </c>
      <c r="C2308" s="1" t="n">
        <v>46075</v>
      </c>
      <c r="D2308" t="inlineStr">
        <is>
          <t>VÄSTERBOTTENS LÄN</t>
        </is>
      </c>
      <c r="E2308" t="inlineStr">
        <is>
          <t>NORDMALING</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26947-2024</t>
        </is>
      </c>
      <c r="B2309" s="1" t="n">
        <v>45470.9693287037</v>
      </c>
      <c r="C2309" s="1" t="n">
        <v>46075</v>
      </c>
      <c r="D2309" t="inlineStr">
        <is>
          <t>VÄSTERBOTTENS LÄN</t>
        </is>
      </c>
      <c r="E2309" t="inlineStr">
        <is>
          <t>VILHELMINA</t>
        </is>
      </c>
      <c r="F2309" t="inlineStr">
        <is>
          <t>SCA</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48924-2024</t>
        </is>
      </c>
      <c r="B2310" s="1" t="n">
        <v>45594.37393518518</v>
      </c>
      <c r="C2310" s="1" t="n">
        <v>46075</v>
      </c>
      <c r="D2310" t="inlineStr">
        <is>
          <t>VÄSTERBOTTENS LÄN</t>
        </is>
      </c>
      <c r="E2310" t="inlineStr">
        <is>
          <t>SORSELE</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48946-2023</t>
        </is>
      </c>
      <c r="B2311" s="1" t="n">
        <v>45204</v>
      </c>
      <c r="C2311" s="1" t="n">
        <v>46075</v>
      </c>
      <c r="D2311" t="inlineStr">
        <is>
          <t>VÄSTERBOTTENS LÄN</t>
        </is>
      </c>
      <c r="E2311" t="inlineStr">
        <is>
          <t>NORDMALING</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58824-2023</t>
        </is>
      </c>
      <c r="B2312" s="1" t="n">
        <v>45247</v>
      </c>
      <c r="C2312" s="1" t="n">
        <v>46075</v>
      </c>
      <c r="D2312" t="inlineStr">
        <is>
          <t>VÄSTERBOTTENS LÄN</t>
        </is>
      </c>
      <c r="E2312" t="inlineStr">
        <is>
          <t>SORSELE</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25656-2024</t>
        </is>
      </c>
      <c r="B2313" s="1" t="n">
        <v>45463.68541666667</v>
      </c>
      <c r="C2313" s="1" t="n">
        <v>46075</v>
      </c>
      <c r="D2313" t="inlineStr">
        <is>
          <t>VÄSTERBOTTENS LÄN</t>
        </is>
      </c>
      <c r="E2313" t="inlineStr">
        <is>
          <t>VINDELN</t>
        </is>
      </c>
      <c r="F2313" t="inlineStr">
        <is>
          <t>Holmen skog AB</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31975-2024</t>
        </is>
      </c>
      <c r="B2314" s="1" t="n">
        <v>45510.56052083334</v>
      </c>
      <c r="C2314" s="1" t="n">
        <v>46075</v>
      </c>
      <c r="D2314" t="inlineStr">
        <is>
          <t>VÄSTERBOTTENS LÄN</t>
        </is>
      </c>
      <c r="E2314" t="inlineStr">
        <is>
          <t>SKELLEFTEÅ</t>
        </is>
      </c>
      <c r="F2314" t="inlineStr">
        <is>
          <t>Holmen skog AB</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53657-2023</t>
        </is>
      </c>
      <c r="B2315" s="1" t="n">
        <v>45230</v>
      </c>
      <c r="C2315" s="1" t="n">
        <v>46075</v>
      </c>
      <c r="D2315" t="inlineStr">
        <is>
          <t>VÄSTERBOTTENS LÄN</t>
        </is>
      </c>
      <c r="E2315" t="inlineStr">
        <is>
          <t>MALÅ</t>
        </is>
      </c>
      <c r="F2315" t="inlineStr">
        <is>
          <t>Sveaskog</t>
        </is>
      </c>
      <c r="G2315" t="n">
        <v>11.3</v>
      </c>
      <c r="H2315" t="n">
        <v>0</v>
      </c>
      <c r="I2315" t="n">
        <v>0</v>
      </c>
      <c r="J2315" t="n">
        <v>0</v>
      </c>
      <c r="K2315" t="n">
        <v>0</v>
      </c>
      <c r="L2315" t="n">
        <v>0</v>
      </c>
      <c r="M2315" t="n">
        <v>0</v>
      </c>
      <c r="N2315" t="n">
        <v>0</v>
      </c>
      <c r="O2315" t="n">
        <v>0</v>
      </c>
      <c r="P2315" t="n">
        <v>0</v>
      </c>
      <c r="Q2315" t="n">
        <v>0</v>
      </c>
      <c r="R2315" s="2" t="inlineStr"/>
    </row>
    <row r="2316" ht="15" customHeight="1">
      <c r="A2316" t="inlineStr">
        <is>
          <t>A 57510-2024</t>
        </is>
      </c>
      <c r="B2316" s="1" t="n">
        <v>45630.3946875</v>
      </c>
      <c r="C2316" s="1" t="n">
        <v>46075</v>
      </c>
      <c r="D2316" t="inlineStr">
        <is>
          <t>VÄSTERBOTTENS LÄN</t>
        </is>
      </c>
      <c r="E2316" t="inlineStr">
        <is>
          <t>UMEÅ</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64346-2023</t>
        </is>
      </c>
      <c r="B2317" s="1" t="n">
        <v>45279</v>
      </c>
      <c r="C2317" s="1" t="n">
        <v>46075</v>
      </c>
      <c r="D2317" t="inlineStr">
        <is>
          <t>VÄSTERBOTTENS LÄN</t>
        </is>
      </c>
      <c r="E2317" t="inlineStr">
        <is>
          <t>LYCKSELE</t>
        </is>
      </c>
      <c r="G2317" t="n">
        <v>5.8</v>
      </c>
      <c r="H2317" t="n">
        <v>0</v>
      </c>
      <c r="I2317" t="n">
        <v>0</v>
      </c>
      <c r="J2317" t="n">
        <v>0</v>
      </c>
      <c r="K2317" t="n">
        <v>0</v>
      </c>
      <c r="L2317" t="n">
        <v>0</v>
      </c>
      <c r="M2317" t="n">
        <v>0</v>
      </c>
      <c r="N2317" t="n">
        <v>0</v>
      </c>
      <c r="O2317" t="n">
        <v>0</v>
      </c>
      <c r="P2317" t="n">
        <v>0</v>
      </c>
      <c r="Q2317" t="n">
        <v>0</v>
      </c>
      <c r="R2317" s="2" t="inlineStr"/>
    </row>
    <row r="2318" ht="15" customHeight="1">
      <c r="A2318" t="inlineStr">
        <is>
          <t>A 57057-2022</t>
        </is>
      </c>
      <c r="B2318" s="1" t="n">
        <v>44895</v>
      </c>
      <c r="C2318" s="1" t="n">
        <v>46075</v>
      </c>
      <c r="D2318" t="inlineStr">
        <is>
          <t>VÄSTERBOTTENS LÄN</t>
        </is>
      </c>
      <c r="E2318" t="inlineStr">
        <is>
          <t>SKELLEFTEÅ</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57581-2024</t>
        </is>
      </c>
      <c r="B2319" s="1" t="n">
        <v>45630</v>
      </c>
      <c r="C2319" s="1" t="n">
        <v>46075</v>
      </c>
      <c r="D2319" t="inlineStr">
        <is>
          <t>VÄSTERBOTTENS LÄN</t>
        </is>
      </c>
      <c r="E2319" t="inlineStr">
        <is>
          <t>DOROTEA</t>
        </is>
      </c>
      <c r="G2319" t="n">
        <v>9.1</v>
      </c>
      <c r="H2319" t="n">
        <v>0</v>
      </c>
      <c r="I2319" t="n">
        <v>0</v>
      </c>
      <c r="J2319" t="n">
        <v>0</v>
      </c>
      <c r="K2319" t="n">
        <v>0</v>
      </c>
      <c r="L2319" t="n">
        <v>0</v>
      </c>
      <c r="M2319" t="n">
        <v>0</v>
      </c>
      <c r="N2319" t="n">
        <v>0</v>
      </c>
      <c r="O2319" t="n">
        <v>0</v>
      </c>
      <c r="P2319" t="n">
        <v>0</v>
      </c>
      <c r="Q2319" t="n">
        <v>0</v>
      </c>
      <c r="R2319" s="2" t="inlineStr"/>
    </row>
    <row r="2320" ht="15" customHeight="1">
      <c r="A2320" t="inlineStr">
        <is>
          <t>A 2043-2023</t>
        </is>
      </c>
      <c r="B2320" s="1" t="n">
        <v>44939</v>
      </c>
      <c r="C2320" s="1" t="n">
        <v>46075</v>
      </c>
      <c r="D2320" t="inlineStr">
        <is>
          <t>VÄSTERBOTTENS LÄN</t>
        </is>
      </c>
      <c r="E2320" t="inlineStr">
        <is>
          <t>VILHELMINA</t>
        </is>
      </c>
      <c r="F2320" t="inlineStr">
        <is>
          <t>Sveaskog</t>
        </is>
      </c>
      <c r="G2320" t="n">
        <v>10.5</v>
      </c>
      <c r="H2320" t="n">
        <v>0</v>
      </c>
      <c r="I2320" t="n">
        <v>0</v>
      </c>
      <c r="J2320" t="n">
        <v>0</v>
      </c>
      <c r="K2320" t="n">
        <v>0</v>
      </c>
      <c r="L2320" t="n">
        <v>0</v>
      </c>
      <c r="M2320" t="n">
        <v>0</v>
      </c>
      <c r="N2320" t="n">
        <v>0</v>
      </c>
      <c r="O2320" t="n">
        <v>0</v>
      </c>
      <c r="P2320" t="n">
        <v>0</v>
      </c>
      <c r="Q2320" t="n">
        <v>0</v>
      </c>
      <c r="R2320" s="2" t="inlineStr"/>
    </row>
    <row r="2321" ht="15" customHeight="1">
      <c r="A2321" t="inlineStr">
        <is>
          <t>A 27297-2024</t>
        </is>
      </c>
      <c r="B2321" s="1" t="n">
        <v>45471.9431712963</v>
      </c>
      <c r="C2321" s="1" t="n">
        <v>46075</v>
      </c>
      <c r="D2321" t="inlineStr">
        <is>
          <t>VÄSTERBOTTENS LÄN</t>
        </is>
      </c>
      <c r="E2321" t="inlineStr">
        <is>
          <t>BJURHOLM</t>
        </is>
      </c>
      <c r="F2321" t="inlineStr">
        <is>
          <t>SCA</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51361-2022</t>
        </is>
      </c>
      <c r="B2322" s="1" t="n">
        <v>44866</v>
      </c>
      <c r="C2322" s="1" t="n">
        <v>46075</v>
      </c>
      <c r="D2322" t="inlineStr">
        <is>
          <t>VÄSTERBOTTENS LÄN</t>
        </is>
      </c>
      <c r="E2322" t="inlineStr">
        <is>
          <t>SORSELE</t>
        </is>
      </c>
      <c r="G2322" t="n">
        <v>4</v>
      </c>
      <c r="H2322" t="n">
        <v>0</v>
      </c>
      <c r="I2322" t="n">
        <v>0</v>
      </c>
      <c r="J2322" t="n">
        <v>0</v>
      </c>
      <c r="K2322" t="n">
        <v>0</v>
      </c>
      <c r="L2322" t="n">
        <v>0</v>
      </c>
      <c r="M2322" t="n">
        <v>0</v>
      </c>
      <c r="N2322" t="n">
        <v>0</v>
      </c>
      <c r="O2322" t="n">
        <v>0</v>
      </c>
      <c r="P2322" t="n">
        <v>0</v>
      </c>
      <c r="Q2322" t="n">
        <v>0</v>
      </c>
      <c r="R2322" s="2" t="inlineStr"/>
    </row>
    <row r="2323" ht="15" customHeight="1">
      <c r="A2323" t="inlineStr">
        <is>
          <t>A 8669-2025</t>
        </is>
      </c>
      <c r="B2323" s="1" t="n">
        <v>45712.41598379629</v>
      </c>
      <c r="C2323" s="1" t="n">
        <v>46075</v>
      </c>
      <c r="D2323" t="inlineStr">
        <is>
          <t>VÄSTERBOTTENS LÄN</t>
        </is>
      </c>
      <c r="E2323" t="inlineStr">
        <is>
          <t>SKELLEFTEÅ</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4251-2025</t>
        </is>
      </c>
      <c r="B2324" s="1" t="n">
        <v>45685.60450231482</v>
      </c>
      <c r="C2324" s="1" t="n">
        <v>46075</v>
      </c>
      <c r="D2324" t="inlineStr">
        <is>
          <t>VÄSTERBOTTENS LÄN</t>
        </is>
      </c>
      <c r="E2324" t="inlineStr">
        <is>
          <t>UMEÅ</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63779-2023</t>
        </is>
      </c>
      <c r="B2325" s="1" t="n">
        <v>45275</v>
      </c>
      <c r="C2325" s="1" t="n">
        <v>46075</v>
      </c>
      <c r="D2325" t="inlineStr">
        <is>
          <t>VÄSTERBOTTENS LÄN</t>
        </is>
      </c>
      <c r="E2325" t="inlineStr">
        <is>
          <t>NORDMALING</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41100-2023</t>
        </is>
      </c>
      <c r="B2326" s="1" t="n">
        <v>45173.69394675926</v>
      </c>
      <c r="C2326" s="1" t="n">
        <v>46075</v>
      </c>
      <c r="D2326" t="inlineStr">
        <is>
          <t>VÄSTERBOTTENS LÄN</t>
        </is>
      </c>
      <c r="E2326" t="inlineStr">
        <is>
          <t>NORSJÖ</t>
        </is>
      </c>
      <c r="F2326" t="inlineStr">
        <is>
          <t>Holmen skog AB</t>
        </is>
      </c>
      <c r="G2326" t="n">
        <v>4</v>
      </c>
      <c r="H2326" t="n">
        <v>0</v>
      </c>
      <c r="I2326" t="n">
        <v>0</v>
      </c>
      <c r="J2326" t="n">
        <v>0</v>
      </c>
      <c r="K2326" t="n">
        <v>0</v>
      </c>
      <c r="L2326" t="n">
        <v>0</v>
      </c>
      <c r="M2326" t="n">
        <v>0</v>
      </c>
      <c r="N2326" t="n">
        <v>0</v>
      </c>
      <c r="O2326" t="n">
        <v>0</v>
      </c>
      <c r="P2326" t="n">
        <v>0</v>
      </c>
      <c r="Q2326" t="n">
        <v>0</v>
      </c>
      <c r="R2326" s="2" t="inlineStr"/>
    </row>
    <row r="2327" ht="15" customHeight="1">
      <c r="A2327" t="inlineStr">
        <is>
          <t>A 20390-2025</t>
        </is>
      </c>
      <c r="B2327" s="1" t="n">
        <v>45775.44846064815</v>
      </c>
      <c r="C2327" s="1" t="n">
        <v>46075</v>
      </c>
      <c r="D2327" t="inlineStr">
        <is>
          <t>VÄSTERBOTTENS LÄN</t>
        </is>
      </c>
      <c r="E2327" t="inlineStr">
        <is>
          <t>VINDELN</t>
        </is>
      </c>
      <c r="F2327" t="inlineStr">
        <is>
          <t>SCA</t>
        </is>
      </c>
      <c r="G2327" t="n">
        <v>8.300000000000001</v>
      </c>
      <c r="H2327" t="n">
        <v>0</v>
      </c>
      <c r="I2327" t="n">
        <v>0</v>
      </c>
      <c r="J2327" t="n">
        <v>0</v>
      </c>
      <c r="K2327" t="n">
        <v>0</v>
      </c>
      <c r="L2327" t="n">
        <v>0</v>
      </c>
      <c r="M2327" t="n">
        <v>0</v>
      </c>
      <c r="N2327" t="n">
        <v>0</v>
      </c>
      <c r="O2327" t="n">
        <v>0</v>
      </c>
      <c r="P2327" t="n">
        <v>0</v>
      </c>
      <c r="Q2327" t="n">
        <v>0</v>
      </c>
      <c r="R2327" s="2" t="inlineStr"/>
    </row>
    <row r="2328" ht="15" customHeight="1">
      <c r="A2328" t="inlineStr">
        <is>
          <t>A 15717-2023</t>
        </is>
      </c>
      <c r="B2328" s="1" t="n">
        <v>45020</v>
      </c>
      <c r="C2328" s="1" t="n">
        <v>46075</v>
      </c>
      <c r="D2328" t="inlineStr">
        <is>
          <t>VÄSTERBOTTENS LÄN</t>
        </is>
      </c>
      <c r="E2328" t="inlineStr">
        <is>
          <t>SKELLEFTEÅ</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41419-2022</t>
        </is>
      </c>
      <c r="B2329" s="1" t="n">
        <v>44826</v>
      </c>
      <c r="C2329" s="1" t="n">
        <v>46075</v>
      </c>
      <c r="D2329" t="inlineStr">
        <is>
          <t>VÄSTERBOTTENS LÄN</t>
        </is>
      </c>
      <c r="E2329" t="inlineStr">
        <is>
          <t>LYCKSELE</t>
        </is>
      </c>
      <c r="F2329" t="inlineStr">
        <is>
          <t>Naturvårdsverket</t>
        </is>
      </c>
      <c r="G2329" t="n">
        <v>32.1</v>
      </c>
      <c r="H2329" t="n">
        <v>0</v>
      </c>
      <c r="I2329" t="n">
        <v>0</v>
      </c>
      <c r="J2329" t="n">
        <v>0</v>
      </c>
      <c r="K2329" t="n">
        <v>0</v>
      </c>
      <c r="L2329" t="n">
        <v>0</v>
      </c>
      <c r="M2329" t="n">
        <v>0</v>
      </c>
      <c r="N2329" t="n">
        <v>0</v>
      </c>
      <c r="O2329" t="n">
        <v>0</v>
      </c>
      <c r="P2329" t="n">
        <v>0</v>
      </c>
      <c r="Q2329" t="n">
        <v>0</v>
      </c>
      <c r="R2329" s="2" t="inlineStr"/>
    </row>
    <row r="2330" ht="15" customHeight="1">
      <c r="A2330" t="inlineStr">
        <is>
          <t>A 41104-2023</t>
        </is>
      </c>
      <c r="B2330" s="1" t="n">
        <v>45170</v>
      </c>
      <c r="C2330" s="1" t="n">
        <v>46075</v>
      </c>
      <c r="D2330" t="inlineStr">
        <is>
          <t>VÄSTERBOTTENS LÄN</t>
        </is>
      </c>
      <c r="E2330" t="inlineStr">
        <is>
          <t>DOROTEA</t>
        </is>
      </c>
      <c r="G2330" t="n">
        <v>6.1</v>
      </c>
      <c r="H2330" t="n">
        <v>0</v>
      </c>
      <c r="I2330" t="n">
        <v>0</v>
      </c>
      <c r="J2330" t="n">
        <v>0</v>
      </c>
      <c r="K2330" t="n">
        <v>0</v>
      </c>
      <c r="L2330" t="n">
        <v>0</v>
      </c>
      <c r="M2330" t="n">
        <v>0</v>
      </c>
      <c r="N2330" t="n">
        <v>0</v>
      </c>
      <c r="O2330" t="n">
        <v>0</v>
      </c>
      <c r="P2330" t="n">
        <v>0</v>
      </c>
      <c r="Q2330" t="n">
        <v>0</v>
      </c>
      <c r="R2330" s="2" t="inlineStr"/>
    </row>
    <row r="2331" ht="15" customHeight="1">
      <c r="A2331" t="inlineStr">
        <is>
          <t>A 6344-2025</t>
        </is>
      </c>
      <c r="B2331" s="1" t="n">
        <v>45699.3434837963</v>
      </c>
      <c r="C2331" s="1" t="n">
        <v>46075</v>
      </c>
      <c r="D2331" t="inlineStr">
        <is>
          <t>VÄSTERBOTTENS LÄN</t>
        </is>
      </c>
      <c r="E2331" t="inlineStr">
        <is>
          <t>NORSJÖ</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26861-2024</t>
        </is>
      </c>
      <c r="B2332" s="1" t="n">
        <v>45470</v>
      </c>
      <c r="C2332" s="1" t="n">
        <v>46075</v>
      </c>
      <c r="D2332" t="inlineStr">
        <is>
          <t>VÄSTERBOTTENS LÄN</t>
        </is>
      </c>
      <c r="E2332" t="inlineStr">
        <is>
          <t>UMEÅ</t>
        </is>
      </c>
      <c r="G2332" t="n">
        <v>0.3</v>
      </c>
      <c r="H2332" t="n">
        <v>0</v>
      </c>
      <c r="I2332" t="n">
        <v>0</v>
      </c>
      <c r="J2332" t="n">
        <v>0</v>
      </c>
      <c r="K2332" t="n">
        <v>0</v>
      </c>
      <c r="L2332" t="n">
        <v>0</v>
      </c>
      <c r="M2332" t="n">
        <v>0</v>
      </c>
      <c r="N2332" t="n">
        <v>0</v>
      </c>
      <c r="O2332" t="n">
        <v>0</v>
      </c>
      <c r="P2332" t="n">
        <v>0</v>
      </c>
      <c r="Q2332" t="n">
        <v>0</v>
      </c>
      <c r="R2332" s="2" t="inlineStr"/>
    </row>
    <row r="2333" ht="15" customHeight="1">
      <c r="A2333" t="inlineStr">
        <is>
          <t>A 18240-2025</t>
        </is>
      </c>
      <c r="B2333" s="1" t="n">
        <v>45762.29850694445</v>
      </c>
      <c r="C2333" s="1" t="n">
        <v>46075</v>
      </c>
      <c r="D2333" t="inlineStr">
        <is>
          <t>VÄSTERBOTTENS LÄN</t>
        </is>
      </c>
      <c r="E2333" t="inlineStr">
        <is>
          <t>SKELLEFTEÅ</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2891-2025</t>
        </is>
      </c>
      <c r="B2334" s="1" t="n">
        <v>45677</v>
      </c>
      <c r="C2334" s="1" t="n">
        <v>46075</v>
      </c>
      <c r="D2334" t="inlineStr">
        <is>
          <t>VÄSTERBOTTENS LÄN</t>
        </is>
      </c>
      <c r="E2334" t="inlineStr">
        <is>
          <t>ÅSELE</t>
        </is>
      </c>
      <c r="G2334" t="n">
        <v>4.2</v>
      </c>
      <c r="H2334" t="n">
        <v>0</v>
      </c>
      <c r="I2334" t="n">
        <v>0</v>
      </c>
      <c r="J2334" t="n">
        <v>0</v>
      </c>
      <c r="K2334" t="n">
        <v>0</v>
      </c>
      <c r="L2334" t="n">
        <v>0</v>
      </c>
      <c r="M2334" t="n">
        <v>0</v>
      </c>
      <c r="N2334" t="n">
        <v>0</v>
      </c>
      <c r="O2334" t="n">
        <v>0</v>
      </c>
      <c r="P2334" t="n">
        <v>0</v>
      </c>
      <c r="Q2334" t="n">
        <v>0</v>
      </c>
      <c r="R2334" s="2" t="inlineStr"/>
    </row>
    <row r="2335" ht="15" customHeight="1">
      <c r="A2335" t="inlineStr">
        <is>
          <t>A 39816-2023</t>
        </is>
      </c>
      <c r="B2335" s="1" t="n">
        <v>45167.95972222222</v>
      </c>
      <c r="C2335" s="1" t="n">
        <v>46075</v>
      </c>
      <c r="D2335" t="inlineStr">
        <is>
          <t>VÄSTERBOTTENS LÄN</t>
        </is>
      </c>
      <c r="E2335" t="inlineStr">
        <is>
          <t>NORDMALING</t>
        </is>
      </c>
      <c r="F2335" t="inlineStr">
        <is>
          <t>SCA</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61700-2022</t>
        </is>
      </c>
      <c r="B2336" s="1" t="n">
        <v>44911</v>
      </c>
      <c r="C2336" s="1" t="n">
        <v>46075</v>
      </c>
      <c r="D2336" t="inlineStr">
        <is>
          <t>VÄSTERBOTTENS LÄN</t>
        </is>
      </c>
      <c r="E2336" t="inlineStr">
        <is>
          <t>SKELLEFTEÅ</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60377-2024</t>
        </is>
      </c>
      <c r="B2337" s="1" t="n">
        <v>45643</v>
      </c>
      <c r="C2337" s="1" t="n">
        <v>46075</v>
      </c>
      <c r="D2337" t="inlineStr">
        <is>
          <t>VÄSTERBOTTENS LÄN</t>
        </is>
      </c>
      <c r="E2337" t="inlineStr">
        <is>
          <t>VILHELMINA</t>
        </is>
      </c>
      <c r="F2337" t="inlineStr">
        <is>
          <t>SCA</t>
        </is>
      </c>
      <c r="G2337" t="n">
        <v>16.2</v>
      </c>
      <c r="H2337" t="n">
        <v>0</v>
      </c>
      <c r="I2337" t="n">
        <v>0</v>
      </c>
      <c r="J2337" t="n">
        <v>0</v>
      </c>
      <c r="K2337" t="n">
        <v>0</v>
      </c>
      <c r="L2337" t="n">
        <v>0</v>
      </c>
      <c r="M2337" t="n">
        <v>0</v>
      </c>
      <c r="N2337" t="n">
        <v>0</v>
      </c>
      <c r="O2337" t="n">
        <v>0</v>
      </c>
      <c r="P2337" t="n">
        <v>0</v>
      </c>
      <c r="Q2337" t="n">
        <v>0</v>
      </c>
      <c r="R2337" s="2" t="inlineStr"/>
    </row>
    <row r="2338" ht="15" customHeight="1">
      <c r="A2338" t="inlineStr">
        <is>
          <t>A 4869-2023</t>
        </is>
      </c>
      <c r="B2338" s="1" t="n">
        <v>44957</v>
      </c>
      <c r="C2338" s="1" t="n">
        <v>46075</v>
      </c>
      <c r="D2338" t="inlineStr">
        <is>
          <t>VÄSTERBOTTENS LÄN</t>
        </is>
      </c>
      <c r="E2338" t="inlineStr">
        <is>
          <t>VILHELMINA</t>
        </is>
      </c>
      <c r="G2338" t="n">
        <v>5.7</v>
      </c>
      <c r="H2338" t="n">
        <v>0</v>
      </c>
      <c r="I2338" t="n">
        <v>0</v>
      </c>
      <c r="J2338" t="n">
        <v>0</v>
      </c>
      <c r="K2338" t="n">
        <v>0</v>
      </c>
      <c r="L2338" t="n">
        <v>0</v>
      </c>
      <c r="M2338" t="n">
        <v>0</v>
      </c>
      <c r="N2338" t="n">
        <v>0</v>
      </c>
      <c r="O2338" t="n">
        <v>0</v>
      </c>
      <c r="P2338" t="n">
        <v>0</v>
      </c>
      <c r="Q2338" t="n">
        <v>0</v>
      </c>
      <c r="R2338" s="2" t="inlineStr"/>
    </row>
    <row r="2339" ht="15" customHeight="1">
      <c r="A2339" t="inlineStr">
        <is>
          <t>A 8919-2024</t>
        </is>
      </c>
      <c r="B2339" s="1" t="n">
        <v>45357</v>
      </c>
      <c r="C2339" s="1" t="n">
        <v>46075</v>
      </c>
      <c r="D2339" t="inlineStr">
        <is>
          <t>VÄSTERBOTTENS LÄN</t>
        </is>
      </c>
      <c r="E2339" t="inlineStr">
        <is>
          <t>SKELLEFTEÅ</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7048-2023</t>
        </is>
      </c>
      <c r="B2340" s="1" t="n">
        <v>44968</v>
      </c>
      <c r="C2340" s="1" t="n">
        <v>46075</v>
      </c>
      <c r="D2340" t="inlineStr">
        <is>
          <t>VÄSTERBOTTENS LÄN</t>
        </is>
      </c>
      <c r="E2340" t="inlineStr">
        <is>
          <t>NORDMALING</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7979-2022</t>
        </is>
      </c>
      <c r="B2341" s="1" t="n">
        <v>44608</v>
      </c>
      <c r="C2341" s="1" t="n">
        <v>46075</v>
      </c>
      <c r="D2341" t="inlineStr">
        <is>
          <t>VÄSTERBOTTENS LÄN</t>
        </is>
      </c>
      <c r="E2341" t="inlineStr">
        <is>
          <t>NORSJÖ</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50413-2024</t>
        </is>
      </c>
      <c r="B2342" s="1" t="n">
        <v>45601.37128472222</v>
      </c>
      <c r="C2342" s="1" t="n">
        <v>46075</v>
      </c>
      <c r="D2342" t="inlineStr">
        <is>
          <t>VÄSTERBOTTENS LÄN</t>
        </is>
      </c>
      <c r="E2342" t="inlineStr">
        <is>
          <t>VÄNNÄS</t>
        </is>
      </c>
      <c r="F2342" t="inlineStr">
        <is>
          <t>Holmen skog AB</t>
        </is>
      </c>
      <c r="G2342" t="n">
        <v>23.4</v>
      </c>
      <c r="H2342" t="n">
        <v>0</v>
      </c>
      <c r="I2342" t="n">
        <v>0</v>
      </c>
      <c r="J2342" t="n">
        <v>0</v>
      </c>
      <c r="K2342" t="n">
        <v>0</v>
      </c>
      <c r="L2342" t="n">
        <v>0</v>
      </c>
      <c r="M2342" t="n">
        <v>0</v>
      </c>
      <c r="N2342" t="n">
        <v>0</v>
      </c>
      <c r="O2342" t="n">
        <v>0</v>
      </c>
      <c r="P2342" t="n">
        <v>0</v>
      </c>
      <c r="Q2342" t="n">
        <v>0</v>
      </c>
      <c r="R2342" s="2" t="inlineStr"/>
    </row>
    <row r="2343" ht="15" customHeight="1">
      <c r="A2343" t="inlineStr">
        <is>
          <t>A 36449-2024</t>
        </is>
      </c>
      <c r="B2343" s="1" t="n">
        <v>45537</v>
      </c>
      <c r="C2343" s="1" t="n">
        <v>46075</v>
      </c>
      <c r="D2343" t="inlineStr">
        <is>
          <t>VÄSTERBOTTENS LÄN</t>
        </is>
      </c>
      <c r="E2343" t="inlineStr">
        <is>
          <t>ROBERTSFORS</t>
        </is>
      </c>
      <c r="F2343" t="inlineStr">
        <is>
          <t>Holmen skog AB</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36473-2024</t>
        </is>
      </c>
      <c r="B2344" s="1" t="n">
        <v>45537.36001157408</v>
      </c>
      <c r="C2344" s="1" t="n">
        <v>46075</v>
      </c>
      <c r="D2344" t="inlineStr">
        <is>
          <t>VÄSTERBOTTENS LÄN</t>
        </is>
      </c>
      <c r="E2344" t="inlineStr">
        <is>
          <t>NORSJÖ</t>
        </is>
      </c>
      <c r="G2344" t="n">
        <v>5.1</v>
      </c>
      <c r="H2344" t="n">
        <v>0</v>
      </c>
      <c r="I2344" t="n">
        <v>0</v>
      </c>
      <c r="J2344" t="n">
        <v>0</v>
      </c>
      <c r="K2344" t="n">
        <v>0</v>
      </c>
      <c r="L2344" t="n">
        <v>0</v>
      </c>
      <c r="M2344" t="n">
        <v>0</v>
      </c>
      <c r="N2344" t="n">
        <v>0</v>
      </c>
      <c r="O2344" t="n">
        <v>0</v>
      </c>
      <c r="P2344" t="n">
        <v>0</v>
      </c>
      <c r="Q2344" t="n">
        <v>0</v>
      </c>
      <c r="R2344" s="2" t="inlineStr"/>
    </row>
    <row r="2345" ht="15" customHeight="1">
      <c r="A2345" t="inlineStr">
        <is>
          <t>A 53753-2022</t>
        </is>
      </c>
      <c r="B2345" s="1" t="n">
        <v>44872</v>
      </c>
      <c r="C2345" s="1" t="n">
        <v>46075</v>
      </c>
      <c r="D2345" t="inlineStr">
        <is>
          <t>VÄSTERBOTTENS LÄN</t>
        </is>
      </c>
      <c r="E2345" t="inlineStr">
        <is>
          <t>SKELLEFTEÅ</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36477-2024</t>
        </is>
      </c>
      <c r="B2346" s="1" t="n">
        <v>45537.36497685185</v>
      </c>
      <c r="C2346" s="1" t="n">
        <v>46075</v>
      </c>
      <c r="D2346" t="inlineStr">
        <is>
          <t>VÄSTERBOTTENS LÄN</t>
        </is>
      </c>
      <c r="E2346" t="inlineStr">
        <is>
          <t>ROBERTSFORS</t>
        </is>
      </c>
      <c r="F2346" t="inlineStr">
        <is>
          <t>Holmen skog AB</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36480-2024</t>
        </is>
      </c>
      <c r="B2347" s="1" t="n">
        <v>45537</v>
      </c>
      <c r="C2347" s="1" t="n">
        <v>46075</v>
      </c>
      <c r="D2347" t="inlineStr">
        <is>
          <t>VÄSTERBOTTENS LÄN</t>
        </is>
      </c>
      <c r="E2347" t="inlineStr">
        <is>
          <t>BJURHOLM</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43124-2024</t>
        </is>
      </c>
      <c r="B2348" s="1" t="n">
        <v>45567</v>
      </c>
      <c r="C2348" s="1" t="n">
        <v>46075</v>
      </c>
      <c r="D2348" t="inlineStr">
        <is>
          <t>VÄSTERBOTTENS LÄN</t>
        </is>
      </c>
      <c r="E2348" t="inlineStr">
        <is>
          <t>UMEÅ</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43204-2024</t>
        </is>
      </c>
      <c r="B2349" s="1" t="n">
        <v>45567</v>
      </c>
      <c r="C2349" s="1" t="n">
        <v>46075</v>
      </c>
      <c r="D2349" t="inlineStr">
        <is>
          <t>VÄSTERBOTTENS LÄN</t>
        </is>
      </c>
      <c r="E2349" t="inlineStr">
        <is>
          <t>SKELLEFTEÅ</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55549-2024</t>
        </is>
      </c>
      <c r="B2350" s="1" t="n">
        <v>45622</v>
      </c>
      <c r="C2350" s="1" t="n">
        <v>46075</v>
      </c>
      <c r="D2350" t="inlineStr">
        <is>
          <t>VÄSTERBOTTENS LÄN</t>
        </is>
      </c>
      <c r="E2350" t="inlineStr">
        <is>
          <t>DOROTEA</t>
        </is>
      </c>
      <c r="F2350" t="inlineStr">
        <is>
          <t>SCA</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34799-2023</t>
        </is>
      </c>
      <c r="B2351" s="1" t="n">
        <v>45140</v>
      </c>
      <c r="C2351" s="1" t="n">
        <v>46075</v>
      </c>
      <c r="D2351" t="inlineStr">
        <is>
          <t>VÄSTERBOTTENS LÄN</t>
        </is>
      </c>
      <c r="E2351" t="inlineStr">
        <is>
          <t>VILHELMINA</t>
        </is>
      </c>
      <c r="G2351" t="n">
        <v>17.4</v>
      </c>
      <c r="H2351" t="n">
        <v>0</v>
      </c>
      <c r="I2351" t="n">
        <v>0</v>
      </c>
      <c r="J2351" t="n">
        <v>0</v>
      </c>
      <c r="K2351" t="n">
        <v>0</v>
      </c>
      <c r="L2351" t="n">
        <v>0</v>
      </c>
      <c r="M2351" t="n">
        <v>0</v>
      </c>
      <c r="N2351" t="n">
        <v>0</v>
      </c>
      <c r="O2351" t="n">
        <v>0</v>
      </c>
      <c r="P2351" t="n">
        <v>0</v>
      </c>
      <c r="Q2351" t="n">
        <v>0</v>
      </c>
      <c r="R2351" s="2" t="inlineStr"/>
    </row>
    <row r="2352" ht="15" customHeight="1">
      <c r="A2352" t="inlineStr">
        <is>
          <t>A 3088-2024</t>
        </is>
      </c>
      <c r="B2352" s="1" t="n">
        <v>45316</v>
      </c>
      <c r="C2352" s="1" t="n">
        <v>46075</v>
      </c>
      <c r="D2352" t="inlineStr">
        <is>
          <t>VÄSTERBOTTENS LÄN</t>
        </is>
      </c>
      <c r="E2352" t="inlineStr">
        <is>
          <t>ÅSELE</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61044-2022</t>
        </is>
      </c>
      <c r="B2353" s="1" t="n">
        <v>44914.97001157407</v>
      </c>
      <c r="C2353" s="1" t="n">
        <v>46075</v>
      </c>
      <c r="D2353" t="inlineStr">
        <is>
          <t>VÄSTERBOTTENS LÄN</t>
        </is>
      </c>
      <c r="E2353" t="inlineStr">
        <is>
          <t>BJURHOLM</t>
        </is>
      </c>
      <c r="F2353" t="inlineStr">
        <is>
          <t>SCA</t>
        </is>
      </c>
      <c r="G2353" t="n">
        <v>3.9</v>
      </c>
      <c r="H2353" t="n">
        <v>0</v>
      </c>
      <c r="I2353" t="n">
        <v>0</v>
      </c>
      <c r="J2353" t="n">
        <v>0</v>
      </c>
      <c r="K2353" t="n">
        <v>0</v>
      </c>
      <c r="L2353" t="n">
        <v>0</v>
      </c>
      <c r="M2353" t="n">
        <v>0</v>
      </c>
      <c r="N2353" t="n">
        <v>0</v>
      </c>
      <c r="O2353" t="n">
        <v>0</v>
      </c>
      <c r="P2353" t="n">
        <v>0</v>
      </c>
      <c r="Q2353" t="n">
        <v>0</v>
      </c>
      <c r="R2353" s="2" t="inlineStr"/>
    </row>
    <row r="2354" ht="15" customHeight="1">
      <c r="A2354" t="inlineStr">
        <is>
          <t>A 6123-2025</t>
        </is>
      </c>
      <c r="B2354" s="1" t="n">
        <v>45698.34989583334</v>
      </c>
      <c r="C2354" s="1" t="n">
        <v>46075</v>
      </c>
      <c r="D2354" t="inlineStr">
        <is>
          <t>VÄSTERBOTTENS LÄN</t>
        </is>
      </c>
      <c r="E2354" t="inlineStr">
        <is>
          <t>LYCKSELE</t>
        </is>
      </c>
      <c r="G2354" t="n">
        <v>10.5</v>
      </c>
      <c r="H2354" t="n">
        <v>0</v>
      </c>
      <c r="I2354" t="n">
        <v>0</v>
      </c>
      <c r="J2354" t="n">
        <v>0</v>
      </c>
      <c r="K2354" t="n">
        <v>0</v>
      </c>
      <c r="L2354" t="n">
        <v>0</v>
      </c>
      <c r="M2354" t="n">
        <v>0</v>
      </c>
      <c r="N2354" t="n">
        <v>0</v>
      </c>
      <c r="O2354" t="n">
        <v>0</v>
      </c>
      <c r="P2354" t="n">
        <v>0</v>
      </c>
      <c r="Q2354" t="n">
        <v>0</v>
      </c>
      <c r="R2354" s="2" t="inlineStr"/>
    </row>
    <row r="2355" ht="15" customHeight="1">
      <c r="A2355" t="inlineStr">
        <is>
          <t>A 50861-2023</t>
        </is>
      </c>
      <c r="B2355" s="1" t="n">
        <v>45218.34753472222</v>
      </c>
      <c r="C2355" s="1" t="n">
        <v>46075</v>
      </c>
      <c r="D2355" t="inlineStr">
        <is>
          <t>VÄSTERBOTTENS LÄN</t>
        </is>
      </c>
      <c r="E2355" t="inlineStr">
        <is>
          <t>ÅSELE</t>
        </is>
      </c>
      <c r="G2355" t="n">
        <v>6.5</v>
      </c>
      <c r="H2355" t="n">
        <v>0</v>
      </c>
      <c r="I2355" t="n">
        <v>0</v>
      </c>
      <c r="J2355" t="n">
        <v>0</v>
      </c>
      <c r="K2355" t="n">
        <v>0</v>
      </c>
      <c r="L2355" t="n">
        <v>0</v>
      </c>
      <c r="M2355" t="n">
        <v>0</v>
      </c>
      <c r="N2355" t="n">
        <v>0</v>
      </c>
      <c r="O2355" t="n">
        <v>0</v>
      </c>
      <c r="P2355" t="n">
        <v>0</v>
      </c>
      <c r="Q2355" t="n">
        <v>0</v>
      </c>
      <c r="R2355" s="2" t="inlineStr"/>
    </row>
    <row r="2356" ht="15" customHeight="1">
      <c r="A2356" t="inlineStr">
        <is>
          <t>A 50879-2023</t>
        </is>
      </c>
      <c r="B2356" s="1" t="n">
        <v>45211</v>
      </c>
      <c r="C2356" s="1" t="n">
        <v>46075</v>
      </c>
      <c r="D2356" t="inlineStr">
        <is>
          <t>VÄSTERBOTTENS LÄN</t>
        </is>
      </c>
      <c r="E2356" t="inlineStr">
        <is>
          <t>UMEÅ</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878-2025</t>
        </is>
      </c>
      <c r="B2357" s="1" t="n">
        <v>45665.63706018519</v>
      </c>
      <c r="C2357" s="1" t="n">
        <v>46075</v>
      </c>
      <c r="D2357" t="inlineStr">
        <is>
          <t>VÄSTERBOTTENS LÄN</t>
        </is>
      </c>
      <c r="E2357" t="inlineStr">
        <is>
          <t>NORDMALING</t>
        </is>
      </c>
      <c r="G2357" t="n">
        <v>4.1</v>
      </c>
      <c r="H2357" t="n">
        <v>0</v>
      </c>
      <c r="I2357" t="n">
        <v>0</v>
      </c>
      <c r="J2357" t="n">
        <v>0</v>
      </c>
      <c r="K2357" t="n">
        <v>0</v>
      </c>
      <c r="L2357" t="n">
        <v>0</v>
      </c>
      <c r="M2357" t="n">
        <v>0</v>
      </c>
      <c r="N2357" t="n">
        <v>0</v>
      </c>
      <c r="O2357" t="n">
        <v>0</v>
      </c>
      <c r="P2357" t="n">
        <v>0</v>
      </c>
      <c r="Q2357" t="n">
        <v>0</v>
      </c>
      <c r="R2357" s="2" t="inlineStr"/>
    </row>
    <row r="2358" ht="15" customHeight="1">
      <c r="A2358" t="inlineStr">
        <is>
          <t>A 22109-2024</t>
        </is>
      </c>
      <c r="B2358" s="1" t="n">
        <v>45443</v>
      </c>
      <c r="C2358" s="1" t="n">
        <v>46075</v>
      </c>
      <c r="D2358" t="inlineStr">
        <is>
          <t>VÄSTERBOTTENS LÄN</t>
        </is>
      </c>
      <c r="E2358" t="inlineStr">
        <is>
          <t>VILHELMINA</t>
        </is>
      </c>
      <c r="F2358" t="inlineStr">
        <is>
          <t>SCA</t>
        </is>
      </c>
      <c r="G2358" t="n">
        <v>8.800000000000001</v>
      </c>
      <c r="H2358" t="n">
        <v>0</v>
      </c>
      <c r="I2358" t="n">
        <v>0</v>
      </c>
      <c r="J2358" t="n">
        <v>0</v>
      </c>
      <c r="K2358" t="n">
        <v>0</v>
      </c>
      <c r="L2358" t="n">
        <v>0</v>
      </c>
      <c r="M2358" t="n">
        <v>0</v>
      </c>
      <c r="N2358" t="n">
        <v>0</v>
      </c>
      <c r="O2358" t="n">
        <v>0</v>
      </c>
      <c r="P2358" t="n">
        <v>0</v>
      </c>
      <c r="Q2358" t="n">
        <v>0</v>
      </c>
      <c r="R2358" s="2" t="inlineStr"/>
    </row>
    <row r="2359" ht="15" customHeight="1">
      <c r="A2359" t="inlineStr">
        <is>
          <t>A 22112-2024</t>
        </is>
      </c>
      <c r="B2359" s="1" t="n">
        <v>45443</v>
      </c>
      <c r="C2359" s="1" t="n">
        <v>46075</v>
      </c>
      <c r="D2359" t="inlineStr">
        <is>
          <t>VÄSTERBOTTENS LÄN</t>
        </is>
      </c>
      <c r="E2359" t="inlineStr">
        <is>
          <t>ÅSELE</t>
        </is>
      </c>
      <c r="F2359" t="inlineStr">
        <is>
          <t>SCA</t>
        </is>
      </c>
      <c r="G2359" t="n">
        <v>25.9</v>
      </c>
      <c r="H2359" t="n">
        <v>0</v>
      </c>
      <c r="I2359" t="n">
        <v>0</v>
      </c>
      <c r="J2359" t="n">
        <v>0</v>
      </c>
      <c r="K2359" t="n">
        <v>0</v>
      </c>
      <c r="L2359" t="n">
        <v>0</v>
      </c>
      <c r="M2359" t="n">
        <v>0</v>
      </c>
      <c r="N2359" t="n">
        <v>0</v>
      </c>
      <c r="O2359" t="n">
        <v>0</v>
      </c>
      <c r="P2359" t="n">
        <v>0</v>
      </c>
      <c r="Q2359" t="n">
        <v>0</v>
      </c>
      <c r="R2359" s="2" t="inlineStr"/>
    </row>
    <row r="2360" ht="15" customHeight="1">
      <c r="A2360" t="inlineStr">
        <is>
          <t>A 33694-2024</t>
        </is>
      </c>
      <c r="B2360" s="1" t="n">
        <v>45520.51614583333</v>
      </c>
      <c r="C2360" s="1" t="n">
        <v>46075</v>
      </c>
      <c r="D2360" t="inlineStr">
        <is>
          <t>VÄSTERBOTTENS LÄN</t>
        </is>
      </c>
      <c r="E2360" t="inlineStr">
        <is>
          <t>MALÅ</t>
        </is>
      </c>
      <c r="F2360" t="inlineStr">
        <is>
          <t>Sveaskog</t>
        </is>
      </c>
      <c r="G2360" t="n">
        <v>9</v>
      </c>
      <c r="H2360" t="n">
        <v>0</v>
      </c>
      <c r="I2360" t="n">
        <v>0</v>
      </c>
      <c r="J2360" t="n">
        <v>0</v>
      </c>
      <c r="K2360" t="n">
        <v>0</v>
      </c>
      <c r="L2360" t="n">
        <v>0</v>
      </c>
      <c r="M2360" t="n">
        <v>0</v>
      </c>
      <c r="N2360" t="n">
        <v>0</v>
      </c>
      <c r="O2360" t="n">
        <v>0</v>
      </c>
      <c r="P2360" t="n">
        <v>0</v>
      </c>
      <c r="Q2360" t="n">
        <v>0</v>
      </c>
      <c r="R2360" s="2" t="inlineStr"/>
    </row>
    <row r="2361" ht="15" customHeight="1">
      <c r="A2361" t="inlineStr">
        <is>
          <t>A 33706-2024</t>
        </is>
      </c>
      <c r="B2361" s="1" t="n">
        <v>45520.52563657407</v>
      </c>
      <c r="C2361" s="1" t="n">
        <v>46075</v>
      </c>
      <c r="D2361" t="inlineStr">
        <is>
          <t>VÄSTERBOTTENS LÄN</t>
        </is>
      </c>
      <c r="E2361" t="inlineStr">
        <is>
          <t>LYCKSELE</t>
        </is>
      </c>
      <c r="F2361" t="inlineStr">
        <is>
          <t>Sveaskog</t>
        </is>
      </c>
      <c r="G2361" t="n">
        <v>6.5</v>
      </c>
      <c r="H2361" t="n">
        <v>0</v>
      </c>
      <c r="I2361" t="n">
        <v>0</v>
      </c>
      <c r="J2361" t="n">
        <v>0</v>
      </c>
      <c r="K2361" t="n">
        <v>0</v>
      </c>
      <c r="L2361" t="n">
        <v>0</v>
      </c>
      <c r="M2361" t="n">
        <v>0</v>
      </c>
      <c r="N2361" t="n">
        <v>0</v>
      </c>
      <c r="O2361" t="n">
        <v>0</v>
      </c>
      <c r="P2361" t="n">
        <v>0</v>
      </c>
      <c r="Q2361" t="n">
        <v>0</v>
      </c>
      <c r="R2361" s="2" t="inlineStr"/>
    </row>
    <row r="2362" ht="15" customHeight="1">
      <c r="A2362" t="inlineStr">
        <is>
          <t>A 24195-2024</t>
        </is>
      </c>
      <c r="B2362" s="1" t="n">
        <v>45456</v>
      </c>
      <c r="C2362" s="1" t="n">
        <v>46075</v>
      </c>
      <c r="D2362" t="inlineStr">
        <is>
          <t>VÄSTERBOTTENS LÄN</t>
        </is>
      </c>
      <c r="E2362" t="inlineStr">
        <is>
          <t>SKELLEFTEÅ</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48045-2024</t>
        </is>
      </c>
      <c r="B2363" s="1" t="n">
        <v>45589</v>
      </c>
      <c r="C2363" s="1" t="n">
        <v>46075</v>
      </c>
      <c r="D2363" t="inlineStr">
        <is>
          <t>VÄSTERBOTTENS LÄN</t>
        </is>
      </c>
      <c r="E2363" t="inlineStr">
        <is>
          <t>SORSELE</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52144-2024</t>
        </is>
      </c>
      <c r="B2364" s="1" t="n">
        <v>45608.51774305556</v>
      </c>
      <c r="C2364" s="1" t="n">
        <v>46075</v>
      </c>
      <c r="D2364" t="inlineStr">
        <is>
          <t>VÄSTERBOTTENS LÄN</t>
        </is>
      </c>
      <c r="E2364" t="inlineStr">
        <is>
          <t>LYCKSELE</t>
        </is>
      </c>
      <c r="G2364" t="n">
        <v>5</v>
      </c>
      <c r="H2364" t="n">
        <v>0</v>
      </c>
      <c r="I2364" t="n">
        <v>0</v>
      </c>
      <c r="J2364" t="n">
        <v>0</v>
      </c>
      <c r="K2364" t="n">
        <v>0</v>
      </c>
      <c r="L2364" t="n">
        <v>0</v>
      </c>
      <c r="M2364" t="n">
        <v>0</v>
      </c>
      <c r="N2364" t="n">
        <v>0</v>
      </c>
      <c r="O2364" t="n">
        <v>0</v>
      </c>
      <c r="P2364" t="n">
        <v>0</v>
      </c>
      <c r="Q2364" t="n">
        <v>0</v>
      </c>
      <c r="R2364" s="2" t="inlineStr"/>
    </row>
    <row r="2365" ht="15" customHeight="1">
      <c r="A2365" t="inlineStr">
        <is>
          <t>A 3828-2025</t>
        </is>
      </c>
      <c r="B2365" s="1" t="n">
        <v>45681.82818287037</v>
      </c>
      <c r="C2365" s="1" t="n">
        <v>46075</v>
      </c>
      <c r="D2365" t="inlineStr">
        <is>
          <t>VÄSTERBOTTENS LÄN</t>
        </is>
      </c>
      <c r="E2365" t="inlineStr">
        <is>
          <t>UMEÅ</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3829-2025</t>
        </is>
      </c>
      <c r="B2366" s="1" t="n">
        <v>45681.83350694444</v>
      </c>
      <c r="C2366" s="1" t="n">
        <v>46075</v>
      </c>
      <c r="D2366" t="inlineStr">
        <is>
          <t>VÄSTERBOTTENS LÄN</t>
        </is>
      </c>
      <c r="E2366" t="inlineStr">
        <is>
          <t>UMEÅ</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19397-2023</t>
        </is>
      </c>
      <c r="B2367" s="1" t="n">
        <v>45048</v>
      </c>
      <c r="C2367" s="1" t="n">
        <v>46075</v>
      </c>
      <c r="D2367" t="inlineStr">
        <is>
          <t>VÄSTERBOTTENS LÄN</t>
        </is>
      </c>
      <c r="E2367" t="inlineStr">
        <is>
          <t>VILHELMINA</t>
        </is>
      </c>
      <c r="G2367" t="n">
        <v>12.8</v>
      </c>
      <c r="H2367" t="n">
        <v>0</v>
      </c>
      <c r="I2367" t="n">
        <v>0</v>
      </c>
      <c r="J2367" t="n">
        <v>0</v>
      </c>
      <c r="K2367" t="n">
        <v>0</v>
      </c>
      <c r="L2367" t="n">
        <v>0</v>
      </c>
      <c r="M2367" t="n">
        <v>0</v>
      </c>
      <c r="N2367" t="n">
        <v>0</v>
      </c>
      <c r="O2367" t="n">
        <v>0</v>
      </c>
      <c r="P2367" t="n">
        <v>0</v>
      </c>
      <c r="Q2367" t="n">
        <v>0</v>
      </c>
      <c r="R2367" s="2" t="inlineStr"/>
    </row>
    <row r="2368" ht="15" customHeight="1">
      <c r="A2368" t="inlineStr">
        <is>
          <t>A 51418-2023</t>
        </is>
      </c>
      <c r="B2368" s="1" t="n">
        <v>45219</v>
      </c>
      <c r="C2368" s="1" t="n">
        <v>46075</v>
      </c>
      <c r="D2368" t="inlineStr">
        <is>
          <t>VÄSTERBOTTENS LÄN</t>
        </is>
      </c>
      <c r="E2368" t="inlineStr">
        <is>
          <t>SKELLEFTEÅ</t>
        </is>
      </c>
      <c r="G2368" t="n">
        <v>0.1</v>
      </c>
      <c r="H2368" t="n">
        <v>0</v>
      </c>
      <c r="I2368" t="n">
        <v>0</v>
      </c>
      <c r="J2368" t="n">
        <v>0</v>
      </c>
      <c r="K2368" t="n">
        <v>0</v>
      </c>
      <c r="L2368" t="n">
        <v>0</v>
      </c>
      <c r="M2368" t="n">
        <v>0</v>
      </c>
      <c r="N2368" t="n">
        <v>0</v>
      </c>
      <c r="O2368" t="n">
        <v>0</v>
      </c>
      <c r="P2368" t="n">
        <v>0</v>
      </c>
      <c r="Q2368" t="n">
        <v>0</v>
      </c>
      <c r="R2368" s="2" t="inlineStr"/>
    </row>
    <row r="2369" ht="15" customHeight="1">
      <c r="A2369" t="inlineStr">
        <is>
          <t>A 17945-2023</t>
        </is>
      </c>
      <c r="B2369" s="1" t="n">
        <v>45037</v>
      </c>
      <c r="C2369" s="1" t="n">
        <v>46075</v>
      </c>
      <c r="D2369" t="inlineStr">
        <is>
          <t>VÄSTERBOTTENS LÄN</t>
        </is>
      </c>
      <c r="E2369" t="inlineStr">
        <is>
          <t>UMEÅ</t>
        </is>
      </c>
      <c r="F2369" t="inlineStr">
        <is>
          <t>Kommuner</t>
        </is>
      </c>
      <c r="G2369" t="n">
        <v>5.7</v>
      </c>
      <c r="H2369" t="n">
        <v>0</v>
      </c>
      <c r="I2369" t="n">
        <v>0</v>
      </c>
      <c r="J2369" t="n">
        <v>0</v>
      </c>
      <c r="K2369" t="n">
        <v>0</v>
      </c>
      <c r="L2369" t="n">
        <v>0</v>
      </c>
      <c r="M2369" t="n">
        <v>0</v>
      </c>
      <c r="N2369" t="n">
        <v>0</v>
      </c>
      <c r="O2369" t="n">
        <v>0</v>
      </c>
      <c r="P2369" t="n">
        <v>0</v>
      </c>
      <c r="Q2369" t="n">
        <v>0</v>
      </c>
      <c r="R2369" s="2" t="inlineStr"/>
    </row>
    <row r="2370" ht="15" customHeight="1">
      <c r="A2370" t="inlineStr">
        <is>
          <t>A 53740-2022</t>
        </is>
      </c>
      <c r="B2370" s="1" t="n">
        <v>44880</v>
      </c>
      <c r="C2370" s="1" t="n">
        <v>46075</v>
      </c>
      <c r="D2370" t="inlineStr">
        <is>
          <t>VÄSTERBOTTENS LÄN</t>
        </is>
      </c>
      <c r="E2370" t="inlineStr">
        <is>
          <t>LYCKSELE</t>
        </is>
      </c>
      <c r="G2370" t="n">
        <v>10.5</v>
      </c>
      <c r="H2370" t="n">
        <v>0</v>
      </c>
      <c r="I2370" t="n">
        <v>0</v>
      </c>
      <c r="J2370" t="n">
        <v>0</v>
      </c>
      <c r="K2370" t="n">
        <v>0</v>
      </c>
      <c r="L2370" t="n">
        <v>0</v>
      </c>
      <c r="M2370" t="n">
        <v>0</v>
      </c>
      <c r="N2370" t="n">
        <v>0</v>
      </c>
      <c r="O2370" t="n">
        <v>0</v>
      </c>
      <c r="P2370" t="n">
        <v>0</v>
      </c>
      <c r="Q2370" t="n">
        <v>0</v>
      </c>
      <c r="R2370" s="2" t="inlineStr"/>
    </row>
    <row r="2371" ht="15" customHeight="1">
      <c r="A2371" t="inlineStr">
        <is>
          <t>A 53420-2024</t>
        </is>
      </c>
      <c r="B2371" s="1" t="n">
        <v>45614.51158564815</v>
      </c>
      <c r="C2371" s="1" t="n">
        <v>46075</v>
      </c>
      <c r="D2371" t="inlineStr">
        <is>
          <t>VÄSTERBOTTENS LÄN</t>
        </is>
      </c>
      <c r="E2371" t="inlineStr">
        <is>
          <t>SKELLEFTEÅ</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29617-2023</t>
        </is>
      </c>
      <c r="B2372" s="1" t="n">
        <v>45106.94461805555</v>
      </c>
      <c r="C2372" s="1" t="n">
        <v>46075</v>
      </c>
      <c r="D2372" t="inlineStr">
        <is>
          <t>VÄSTERBOTTENS LÄN</t>
        </is>
      </c>
      <c r="E2372" t="inlineStr">
        <is>
          <t>ÅSELE</t>
        </is>
      </c>
      <c r="F2372" t="inlineStr">
        <is>
          <t>SCA</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35021-2021</t>
        </is>
      </c>
      <c r="B2373" s="1" t="n">
        <v>44383</v>
      </c>
      <c r="C2373" s="1" t="n">
        <v>46075</v>
      </c>
      <c r="D2373" t="inlineStr">
        <is>
          <t>VÄSTERBOTTENS LÄN</t>
        </is>
      </c>
      <c r="E2373" t="inlineStr">
        <is>
          <t>LYCKSELE</t>
        </is>
      </c>
      <c r="F2373" t="inlineStr">
        <is>
          <t>Holmen skog AB</t>
        </is>
      </c>
      <c r="G2373" t="n">
        <v>3.8</v>
      </c>
      <c r="H2373" t="n">
        <v>0</v>
      </c>
      <c r="I2373" t="n">
        <v>0</v>
      </c>
      <c r="J2373" t="n">
        <v>0</v>
      </c>
      <c r="K2373" t="n">
        <v>0</v>
      </c>
      <c r="L2373" t="n">
        <v>0</v>
      </c>
      <c r="M2373" t="n">
        <v>0</v>
      </c>
      <c r="N2373" t="n">
        <v>0</v>
      </c>
      <c r="O2373" t="n">
        <v>0</v>
      </c>
      <c r="P2373" t="n">
        <v>0</v>
      </c>
      <c r="Q2373" t="n">
        <v>0</v>
      </c>
      <c r="R2373" s="2" t="inlineStr"/>
    </row>
    <row r="2374" ht="15" customHeight="1">
      <c r="A2374" t="inlineStr">
        <is>
          <t>A 846-2022</t>
        </is>
      </c>
      <c r="B2374" s="1" t="n">
        <v>44571</v>
      </c>
      <c r="C2374" s="1" t="n">
        <v>46075</v>
      </c>
      <c r="D2374" t="inlineStr">
        <is>
          <t>VÄSTERBOTTENS LÄN</t>
        </is>
      </c>
      <c r="E2374" t="inlineStr">
        <is>
          <t>VÄNNÄS</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29652-2024</t>
        </is>
      </c>
      <c r="B2375" s="1" t="n">
        <v>45484.92328703704</v>
      </c>
      <c r="C2375" s="1" t="n">
        <v>46075</v>
      </c>
      <c r="D2375" t="inlineStr">
        <is>
          <t>VÄSTERBOTTENS LÄN</t>
        </is>
      </c>
      <c r="E2375" t="inlineStr">
        <is>
          <t>UMEÅ</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30009-2022</t>
        </is>
      </c>
      <c r="B2376" s="1" t="n">
        <v>44756.94358796296</v>
      </c>
      <c r="C2376" s="1" t="n">
        <v>46075</v>
      </c>
      <c r="D2376" t="inlineStr">
        <is>
          <t>VÄSTERBOTTENS LÄN</t>
        </is>
      </c>
      <c r="E2376" t="inlineStr">
        <is>
          <t>NORDMALING</t>
        </is>
      </c>
      <c r="F2376" t="inlineStr">
        <is>
          <t>SCA</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13126-2025</t>
        </is>
      </c>
      <c r="B2377" s="1" t="n">
        <v>45734.86883101852</v>
      </c>
      <c r="C2377" s="1" t="n">
        <v>46075</v>
      </c>
      <c r="D2377" t="inlineStr">
        <is>
          <t>VÄSTERBOTTENS LÄN</t>
        </is>
      </c>
      <c r="E2377" t="inlineStr">
        <is>
          <t>SKELLEFTEÅ</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42798-2022</t>
        </is>
      </c>
      <c r="B2378" s="1" t="n">
        <v>44832</v>
      </c>
      <c r="C2378" s="1" t="n">
        <v>46075</v>
      </c>
      <c r="D2378" t="inlineStr">
        <is>
          <t>VÄSTERBOTTENS LÄN</t>
        </is>
      </c>
      <c r="E2378" t="inlineStr">
        <is>
          <t>SKELLEFTEÅ</t>
        </is>
      </c>
      <c r="G2378" t="n">
        <v>4.5</v>
      </c>
      <c r="H2378" t="n">
        <v>0</v>
      </c>
      <c r="I2378" t="n">
        <v>0</v>
      </c>
      <c r="J2378" t="n">
        <v>0</v>
      </c>
      <c r="K2378" t="n">
        <v>0</v>
      </c>
      <c r="L2378" t="n">
        <v>0</v>
      </c>
      <c r="M2378" t="n">
        <v>0</v>
      </c>
      <c r="N2378" t="n">
        <v>0</v>
      </c>
      <c r="O2378" t="n">
        <v>0</v>
      </c>
      <c r="P2378" t="n">
        <v>0</v>
      </c>
      <c r="Q2378" t="n">
        <v>0</v>
      </c>
      <c r="R2378" s="2" t="inlineStr"/>
    </row>
    <row r="2379" ht="15" customHeight="1">
      <c r="A2379" t="inlineStr">
        <is>
          <t>A 46388-2023</t>
        </is>
      </c>
      <c r="B2379" s="1" t="n">
        <v>45197.47825231482</v>
      </c>
      <c r="C2379" s="1" t="n">
        <v>46075</v>
      </c>
      <c r="D2379" t="inlineStr">
        <is>
          <t>VÄSTERBOTTENS LÄN</t>
        </is>
      </c>
      <c r="E2379" t="inlineStr">
        <is>
          <t>ROBERTSFORS</t>
        </is>
      </c>
      <c r="F2379" t="inlineStr">
        <is>
          <t>Holmen skog AB</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49888-2024</t>
        </is>
      </c>
      <c r="B2380" s="1" t="n">
        <v>45597.5109837963</v>
      </c>
      <c r="C2380" s="1" t="n">
        <v>46075</v>
      </c>
      <c r="D2380" t="inlineStr">
        <is>
          <t>VÄSTERBOTTENS LÄN</t>
        </is>
      </c>
      <c r="E2380" t="inlineStr">
        <is>
          <t>VILHELMINA</t>
        </is>
      </c>
      <c r="F2380" t="inlineStr">
        <is>
          <t>SCA</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33321-2024</t>
        </is>
      </c>
      <c r="B2381" s="1" t="n">
        <v>45518.97256944444</v>
      </c>
      <c r="C2381" s="1" t="n">
        <v>46075</v>
      </c>
      <c r="D2381" t="inlineStr">
        <is>
          <t>VÄSTERBOTTENS LÄN</t>
        </is>
      </c>
      <c r="E2381" t="inlineStr">
        <is>
          <t>VILHELMINA</t>
        </is>
      </c>
      <c r="F2381" t="inlineStr">
        <is>
          <t>SCA</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44584-2021</t>
        </is>
      </c>
      <c r="B2382" s="1" t="n">
        <v>44435</v>
      </c>
      <c r="C2382" s="1" t="n">
        <v>46075</v>
      </c>
      <c r="D2382" t="inlineStr">
        <is>
          <t>VÄSTERBOTTENS LÄN</t>
        </is>
      </c>
      <c r="E2382" t="inlineStr">
        <is>
          <t>NORSJÖ</t>
        </is>
      </c>
      <c r="G2382" t="n">
        <v>3.1</v>
      </c>
      <c r="H2382" t="n">
        <v>0</v>
      </c>
      <c r="I2382" t="n">
        <v>0</v>
      </c>
      <c r="J2382" t="n">
        <v>0</v>
      </c>
      <c r="K2382" t="n">
        <v>0</v>
      </c>
      <c r="L2382" t="n">
        <v>0</v>
      </c>
      <c r="M2382" t="n">
        <v>0</v>
      </c>
      <c r="N2382" t="n">
        <v>0</v>
      </c>
      <c r="O2382" t="n">
        <v>0</v>
      </c>
      <c r="P2382" t="n">
        <v>0</v>
      </c>
      <c r="Q2382" t="n">
        <v>0</v>
      </c>
      <c r="R2382" s="2" t="inlineStr"/>
    </row>
    <row r="2383" ht="15" customHeight="1">
      <c r="A2383" t="inlineStr">
        <is>
          <t>A 14961-2022</t>
        </is>
      </c>
      <c r="B2383" s="1" t="n">
        <v>44657</v>
      </c>
      <c r="C2383" s="1" t="n">
        <v>46075</v>
      </c>
      <c r="D2383" t="inlineStr">
        <is>
          <t>VÄSTERBOTTENS LÄN</t>
        </is>
      </c>
      <c r="E2383" t="inlineStr">
        <is>
          <t>VILHELMINA</t>
        </is>
      </c>
      <c r="G2383" t="n">
        <v>19.9</v>
      </c>
      <c r="H2383" t="n">
        <v>0</v>
      </c>
      <c r="I2383" t="n">
        <v>0</v>
      </c>
      <c r="J2383" t="n">
        <v>0</v>
      </c>
      <c r="K2383" t="n">
        <v>0</v>
      </c>
      <c r="L2383" t="n">
        <v>0</v>
      </c>
      <c r="M2383" t="n">
        <v>0</v>
      </c>
      <c r="N2383" t="n">
        <v>0</v>
      </c>
      <c r="O2383" t="n">
        <v>0</v>
      </c>
      <c r="P2383" t="n">
        <v>0</v>
      </c>
      <c r="Q2383" t="n">
        <v>0</v>
      </c>
      <c r="R2383" s="2" t="inlineStr"/>
    </row>
    <row r="2384" ht="15" customHeight="1">
      <c r="A2384" t="inlineStr">
        <is>
          <t>A 73833-2021</t>
        </is>
      </c>
      <c r="B2384" s="1" t="n">
        <v>44552.92071759259</v>
      </c>
      <c r="C2384" s="1" t="n">
        <v>46075</v>
      </c>
      <c r="D2384" t="inlineStr">
        <is>
          <t>VÄSTERBOTTENS LÄN</t>
        </is>
      </c>
      <c r="E2384" t="inlineStr">
        <is>
          <t>SKELLEFTEÅ</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11975-2025</t>
        </is>
      </c>
      <c r="B2385" s="1" t="n">
        <v>45728.59210648148</v>
      </c>
      <c r="C2385" s="1" t="n">
        <v>46075</v>
      </c>
      <c r="D2385" t="inlineStr">
        <is>
          <t>VÄSTERBOTTENS LÄN</t>
        </is>
      </c>
      <c r="E2385" t="inlineStr">
        <is>
          <t>SORSELE</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57908-2022</t>
        </is>
      </c>
      <c r="B2386" s="1" t="n">
        <v>44900.35597222222</v>
      </c>
      <c r="C2386" s="1" t="n">
        <v>46075</v>
      </c>
      <c r="D2386" t="inlineStr">
        <is>
          <t>VÄSTERBOTTENS LÄN</t>
        </is>
      </c>
      <c r="E2386" t="inlineStr">
        <is>
          <t>SKELLEFTEÅ</t>
        </is>
      </c>
      <c r="G2386" t="n">
        <v>3.3</v>
      </c>
      <c r="H2386" t="n">
        <v>0</v>
      </c>
      <c r="I2386" t="n">
        <v>0</v>
      </c>
      <c r="J2386" t="n">
        <v>0</v>
      </c>
      <c r="K2386" t="n">
        <v>0</v>
      </c>
      <c r="L2386" t="n">
        <v>0</v>
      </c>
      <c r="M2386" t="n">
        <v>0</v>
      </c>
      <c r="N2386" t="n">
        <v>0</v>
      </c>
      <c r="O2386" t="n">
        <v>0</v>
      </c>
      <c r="P2386" t="n">
        <v>0</v>
      </c>
      <c r="Q2386" t="n">
        <v>0</v>
      </c>
      <c r="R2386" s="2" t="inlineStr"/>
    </row>
    <row r="2387" ht="15" customHeight="1">
      <c r="A2387" t="inlineStr">
        <is>
          <t>A 1508-2025</t>
        </is>
      </c>
      <c r="B2387" s="1" t="n">
        <v>45670.4403587963</v>
      </c>
      <c r="C2387" s="1" t="n">
        <v>46075</v>
      </c>
      <c r="D2387" t="inlineStr">
        <is>
          <t>VÄSTERBOTTENS LÄN</t>
        </is>
      </c>
      <c r="E2387" t="inlineStr">
        <is>
          <t>UMEÅ</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19160-2023</t>
        </is>
      </c>
      <c r="B2388" s="1" t="n">
        <v>45048</v>
      </c>
      <c r="C2388" s="1" t="n">
        <v>46075</v>
      </c>
      <c r="D2388" t="inlineStr">
        <is>
          <t>VÄSTERBOTTENS LÄN</t>
        </is>
      </c>
      <c r="E2388" t="inlineStr">
        <is>
          <t>ROBERTSFORS</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31133-2023</t>
        </is>
      </c>
      <c r="B2389" s="1" t="n">
        <v>45103</v>
      </c>
      <c r="C2389" s="1" t="n">
        <v>46075</v>
      </c>
      <c r="D2389" t="inlineStr">
        <is>
          <t>VÄSTERBOTTENS LÄN</t>
        </is>
      </c>
      <c r="E2389" t="inlineStr">
        <is>
          <t>VÄNNÄS</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47155-2023</t>
        </is>
      </c>
      <c r="B2390" s="1" t="n">
        <v>45201.92517361111</v>
      </c>
      <c r="C2390" s="1" t="n">
        <v>46075</v>
      </c>
      <c r="D2390" t="inlineStr">
        <is>
          <t>VÄSTERBOTTENS LÄN</t>
        </is>
      </c>
      <c r="E2390" t="inlineStr">
        <is>
          <t>SKELLEFTEÅ</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59242-2023</t>
        </is>
      </c>
      <c r="B2391" s="1" t="n">
        <v>45252</v>
      </c>
      <c r="C2391" s="1" t="n">
        <v>46075</v>
      </c>
      <c r="D2391" t="inlineStr">
        <is>
          <t>VÄSTERBOTTENS LÄN</t>
        </is>
      </c>
      <c r="E2391" t="inlineStr">
        <is>
          <t>SKELLEFTEÅ</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59289-2023</t>
        </is>
      </c>
      <c r="B2392" s="1" t="n">
        <v>45252</v>
      </c>
      <c r="C2392" s="1" t="n">
        <v>46075</v>
      </c>
      <c r="D2392" t="inlineStr">
        <is>
          <t>VÄSTERBOTTENS LÄN</t>
        </is>
      </c>
      <c r="E2392" t="inlineStr">
        <is>
          <t>UMEÅ</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37483-2021</t>
        </is>
      </c>
      <c r="B2393" s="1" t="n">
        <v>44398.93342592593</v>
      </c>
      <c r="C2393" s="1" t="n">
        <v>46075</v>
      </c>
      <c r="D2393" t="inlineStr">
        <is>
          <t>VÄSTERBOTTENS LÄN</t>
        </is>
      </c>
      <c r="E2393" t="inlineStr">
        <is>
          <t>ÅSELE</t>
        </is>
      </c>
      <c r="F2393" t="inlineStr">
        <is>
          <t>SCA</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4509-2025</t>
        </is>
      </c>
      <c r="B2394" s="1" t="n">
        <v>45686</v>
      </c>
      <c r="C2394" s="1" t="n">
        <v>46075</v>
      </c>
      <c r="D2394" t="inlineStr">
        <is>
          <t>VÄSTERBOTTENS LÄN</t>
        </is>
      </c>
      <c r="E2394" t="inlineStr">
        <is>
          <t>SKELLEFTEÅ</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41842-2024</t>
        </is>
      </c>
      <c r="B2395" s="1" t="n">
        <v>45561.42701388889</v>
      </c>
      <c r="C2395" s="1" t="n">
        <v>46075</v>
      </c>
      <c r="D2395" t="inlineStr">
        <is>
          <t>VÄSTERBOTTENS LÄN</t>
        </is>
      </c>
      <c r="E2395" t="inlineStr">
        <is>
          <t>STORUMAN</t>
        </is>
      </c>
      <c r="F2395" t="inlineStr">
        <is>
          <t>Sveaskog</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573-2025</t>
        </is>
      </c>
      <c r="B2396" s="1" t="n">
        <v>45660</v>
      </c>
      <c r="C2396" s="1" t="n">
        <v>46075</v>
      </c>
      <c r="D2396" t="inlineStr">
        <is>
          <t>VÄSTERBOTTENS LÄN</t>
        </is>
      </c>
      <c r="E2396" t="inlineStr">
        <is>
          <t>SKELLEFTEÅ</t>
        </is>
      </c>
      <c r="G2396" t="n">
        <v>8.6</v>
      </c>
      <c r="H2396" t="n">
        <v>0</v>
      </c>
      <c r="I2396" t="n">
        <v>0</v>
      </c>
      <c r="J2396" t="n">
        <v>0</v>
      </c>
      <c r="K2396" t="n">
        <v>0</v>
      </c>
      <c r="L2396" t="n">
        <v>0</v>
      </c>
      <c r="M2396" t="n">
        <v>0</v>
      </c>
      <c r="N2396" t="n">
        <v>0</v>
      </c>
      <c r="O2396" t="n">
        <v>0</v>
      </c>
      <c r="P2396" t="n">
        <v>0</v>
      </c>
      <c r="Q2396" t="n">
        <v>0</v>
      </c>
      <c r="R2396" s="2" t="inlineStr"/>
    </row>
    <row r="2397" ht="15" customHeight="1">
      <c r="A2397" t="inlineStr">
        <is>
          <t>A 49874-2023</t>
        </is>
      </c>
      <c r="B2397" s="1" t="n">
        <v>45212.95622685185</v>
      </c>
      <c r="C2397" s="1" t="n">
        <v>46075</v>
      </c>
      <c r="D2397" t="inlineStr">
        <is>
          <t>VÄSTERBOTTENS LÄN</t>
        </is>
      </c>
      <c r="E2397" t="inlineStr">
        <is>
          <t>VINDELN</t>
        </is>
      </c>
      <c r="F2397" t="inlineStr">
        <is>
          <t>SCA</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42023-2024</t>
        </is>
      </c>
      <c r="B2398" s="1" t="n">
        <v>45561</v>
      </c>
      <c r="C2398" s="1" t="n">
        <v>46075</v>
      </c>
      <c r="D2398" t="inlineStr">
        <is>
          <t>VÄSTERBOTTENS LÄN</t>
        </is>
      </c>
      <c r="E2398" t="inlineStr">
        <is>
          <t>LYCKSELE</t>
        </is>
      </c>
      <c r="F2398" t="inlineStr">
        <is>
          <t>Sveaskog</t>
        </is>
      </c>
      <c r="G2398" t="n">
        <v>7.2</v>
      </c>
      <c r="H2398" t="n">
        <v>0</v>
      </c>
      <c r="I2398" t="n">
        <v>0</v>
      </c>
      <c r="J2398" t="n">
        <v>0</v>
      </c>
      <c r="K2398" t="n">
        <v>0</v>
      </c>
      <c r="L2398" t="n">
        <v>0</v>
      </c>
      <c r="M2398" t="n">
        <v>0</v>
      </c>
      <c r="N2398" t="n">
        <v>0</v>
      </c>
      <c r="O2398" t="n">
        <v>0</v>
      </c>
      <c r="P2398" t="n">
        <v>0</v>
      </c>
      <c r="Q2398" t="n">
        <v>0</v>
      </c>
      <c r="R2398" s="2" t="inlineStr"/>
    </row>
    <row r="2399" ht="15" customHeight="1">
      <c r="A2399" t="inlineStr">
        <is>
          <t>A 580-2025</t>
        </is>
      </c>
      <c r="B2399" s="1" t="n">
        <v>45660</v>
      </c>
      <c r="C2399" s="1" t="n">
        <v>46075</v>
      </c>
      <c r="D2399" t="inlineStr">
        <is>
          <t>VÄSTERBOTTENS LÄN</t>
        </is>
      </c>
      <c r="E2399" t="inlineStr">
        <is>
          <t>SKELLEFTEÅ</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914-2023</t>
        </is>
      </c>
      <c r="B2400" s="1" t="n">
        <v>44931.92650462963</v>
      </c>
      <c r="C2400" s="1" t="n">
        <v>46075</v>
      </c>
      <c r="D2400" t="inlineStr">
        <is>
          <t>VÄSTERBOTTENS LÄN</t>
        </is>
      </c>
      <c r="E2400" t="inlineStr">
        <is>
          <t>DOROTEA</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14088-2022</t>
        </is>
      </c>
      <c r="B2401" s="1" t="n">
        <v>44650</v>
      </c>
      <c r="C2401" s="1" t="n">
        <v>46075</v>
      </c>
      <c r="D2401" t="inlineStr">
        <is>
          <t>VÄSTERBOTTENS LÄN</t>
        </is>
      </c>
      <c r="E2401" t="inlineStr">
        <is>
          <t>SKELLEFTEÅ</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8928-2024</t>
        </is>
      </c>
      <c r="B2402" s="1" t="n">
        <v>45357.39643518518</v>
      </c>
      <c r="C2402" s="1" t="n">
        <v>46075</v>
      </c>
      <c r="D2402" t="inlineStr">
        <is>
          <t>VÄSTERBOTTENS LÄN</t>
        </is>
      </c>
      <c r="E2402" t="inlineStr">
        <is>
          <t>SKELLEFTEÅ</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40599-2024</t>
        </is>
      </c>
      <c r="B2403" s="1" t="n">
        <v>45556.34417824074</v>
      </c>
      <c r="C2403" s="1" t="n">
        <v>46075</v>
      </c>
      <c r="D2403" t="inlineStr">
        <is>
          <t>VÄSTERBOTTENS LÄN</t>
        </is>
      </c>
      <c r="E2403" t="inlineStr">
        <is>
          <t>DOROTEA</t>
        </is>
      </c>
      <c r="G2403" t="n">
        <v>5.8</v>
      </c>
      <c r="H2403" t="n">
        <v>0</v>
      </c>
      <c r="I2403" t="n">
        <v>0</v>
      </c>
      <c r="J2403" t="n">
        <v>0</v>
      </c>
      <c r="K2403" t="n">
        <v>0</v>
      </c>
      <c r="L2403" t="n">
        <v>0</v>
      </c>
      <c r="M2403" t="n">
        <v>0</v>
      </c>
      <c r="N2403" t="n">
        <v>0</v>
      </c>
      <c r="O2403" t="n">
        <v>0</v>
      </c>
      <c r="P2403" t="n">
        <v>0</v>
      </c>
      <c r="Q2403" t="n">
        <v>0</v>
      </c>
      <c r="R2403" s="2" t="inlineStr"/>
    </row>
    <row r="2404" ht="15" customHeight="1">
      <c r="A2404" t="inlineStr">
        <is>
          <t>A 4482-2024</t>
        </is>
      </c>
      <c r="B2404" s="1" t="n">
        <v>45327</v>
      </c>
      <c r="C2404" s="1" t="n">
        <v>46075</v>
      </c>
      <c r="D2404" t="inlineStr">
        <is>
          <t>VÄSTERBOTTENS LÄN</t>
        </is>
      </c>
      <c r="E2404" t="inlineStr">
        <is>
          <t>NORSJÖ</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20508-2025</t>
        </is>
      </c>
      <c r="B2405" s="1" t="n">
        <v>45775</v>
      </c>
      <c r="C2405" s="1" t="n">
        <v>46075</v>
      </c>
      <c r="D2405" t="inlineStr">
        <is>
          <t>VÄSTERBOTTENS LÄN</t>
        </is>
      </c>
      <c r="E2405" t="inlineStr">
        <is>
          <t>LYCKSELE</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38946-2024</t>
        </is>
      </c>
      <c r="B2406" s="1" t="n">
        <v>45548.34542824074</v>
      </c>
      <c r="C2406" s="1" t="n">
        <v>46075</v>
      </c>
      <c r="D2406" t="inlineStr">
        <is>
          <t>VÄSTERBOTTENS LÄN</t>
        </is>
      </c>
      <c r="E2406" t="inlineStr">
        <is>
          <t>SORSELE</t>
        </is>
      </c>
      <c r="F2406" t="inlineStr">
        <is>
          <t>SCA</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38951-2024</t>
        </is>
      </c>
      <c r="B2407" s="1" t="n">
        <v>45548</v>
      </c>
      <c r="C2407" s="1" t="n">
        <v>46075</v>
      </c>
      <c r="D2407" t="inlineStr">
        <is>
          <t>VÄSTERBOTTENS LÄN</t>
        </is>
      </c>
      <c r="E2407" t="inlineStr">
        <is>
          <t>ROBERTSFORS</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38957-2024</t>
        </is>
      </c>
      <c r="B2408" s="1" t="n">
        <v>45548.35662037037</v>
      </c>
      <c r="C2408" s="1" t="n">
        <v>46075</v>
      </c>
      <c r="D2408" t="inlineStr">
        <is>
          <t>VÄSTERBOTTENS LÄN</t>
        </is>
      </c>
      <c r="E2408" t="inlineStr">
        <is>
          <t>SKELLEFTEÅ</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60854-2023</t>
        </is>
      </c>
      <c r="B2409" s="1" t="n">
        <v>45260.9266087963</v>
      </c>
      <c r="C2409" s="1" t="n">
        <v>46075</v>
      </c>
      <c r="D2409" t="inlineStr">
        <is>
          <t>VÄSTERBOTTENS LÄN</t>
        </is>
      </c>
      <c r="E2409" t="inlineStr">
        <is>
          <t>STORUMAN</t>
        </is>
      </c>
      <c r="G2409" t="n">
        <v>8.1</v>
      </c>
      <c r="H2409" t="n">
        <v>0</v>
      </c>
      <c r="I2409" t="n">
        <v>0</v>
      </c>
      <c r="J2409" t="n">
        <v>0</v>
      </c>
      <c r="K2409" t="n">
        <v>0</v>
      </c>
      <c r="L2409" t="n">
        <v>0</v>
      </c>
      <c r="M2409" t="n">
        <v>0</v>
      </c>
      <c r="N2409" t="n">
        <v>0</v>
      </c>
      <c r="O2409" t="n">
        <v>0</v>
      </c>
      <c r="P2409" t="n">
        <v>0</v>
      </c>
      <c r="Q2409" t="n">
        <v>0</v>
      </c>
      <c r="R2409" s="2" t="inlineStr"/>
    </row>
    <row r="2410" ht="15" customHeight="1">
      <c r="A2410" t="inlineStr">
        <is>
          <t>A 9183-2025</t>
        </is>
      </c>
      <c r="B2410" s="1" t="n">
        <v>45714</v>
      </c>
      <c r="C2410" s="1" t="n">
        <v>46075</v>
      </c>
      <c r="D2410" t="inlineStr">
        <is>
          <t>VÄSTERBOTTENS LÄN</t>
        </is>
      </c>
      <c r="E2410" t="inlineStr">
        <is>
          <t>SKELLEFTEÅ</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33241-2023</t>
        </is>
      </c>
      <c r="B2411" s="1" t="n">
        <v>45114</v>
      </c>
      <c r="C2411" s="1" t="n">
        <v>46075</v>
      </c>
      <c r="D2411" t="inlineStr">
        <is>
          <t>VÄSTERBOTTENS LÄN</t>
        </is>
      </c>
      <c r="E2411" t="inlineStr">
        <is>
          <t>ÅSELE</t>
        </is>
      </c>
      <c r="G2411" t="n">
        <v>22.8</v>
      </c>
      <c r="H2411" t="n">
        <v>0</v>
      </c>
      <c r="I2411" t="n">
        <v>0</v>
      </c>
      <c r="J2411" t="n">
        <v>0</v>
      </c>
      <c r="K2411" t="n">
        <v>0</v>
      </c>
      <c r="L2411" t="n">
        <v>0</v>
      </c>
      <c r="M2411" t="n">
        <v>0</v>
      </c>
      <c r="N2411" t="n">
        <v>0</v>
      </c>
      <c r="O2411" t="n">
        <v>0</v>
      </c>
      <c r="P2411" t="n">
        <v>0</v>
      </c>
      <c r="Q2411" t="n">
        <v>0</v>
      </c>
      <c r="R2411" s="2" t="inlineStr"/>
    </row>
    <row r="2412" ht="15" customHeight="1">
      <c r="A2412" t="inlineStr">
        <is>
          <t>A 60071-2024</t>
        </is>
      </c>
      <c r="B2412" s="1" t="n">
        <v>45642.52351851852</v>
      </c>
      <c r="C2412" s="1" t="n">
        <v>46075</v>
      </c>
      <c r="D2412" t="inlineStr">
        <is>
          <t>VÄSTERBOTTENS LÄN</t>
        </is>
      </c>
      <c r="E2412" t="inlineStr">
        <is>
          <t>VINDELN</t>
        </is>
      </c>
      <c r="G2412" t="n">
        <v>8.699999999999999</v>
      </c>
      <c r="H2412" t="n">
        <v>0</v>
      </c>
      <c r="I2412" t="n">
        <v>0</v>
      </c>
      <c r="J2412" t="n">
        <v>0</v>
      </c>
      <c r="K2412" t="n">
        <v>0</v>
      </c>
      <c r="L2412" t="n">
        <v>0</v>
      </c>
      <c r="M2412" t="n">
        <v>0</v>
      </c>
      <c r="N2412" t="n">
        <v>0</v>
      </c>
      <c r="O2412" t="n">
        <v>0</v>
      </c>
      <c r="P2412" t="n">
        <v>0</v>
      </c>
      <c r="Q2412" t="n">
        <v>0</v>
      </c>
      <c r="R2412" s="2" t="inlineStr"/>
    </row>
    <row r="2413" ht="15" customHeight="1">
      <c r="A2413" t="inlineStr">
        <is>
          <t>A 16994-2023</t>
        </is>
      </c>
      <c r="B2413" s="1" t="n">
        <v>45033</v>
      </c>
      <c r="C2413" s="1" t="n">
        <v>46075</v>
      </c>
      <c r="D2413" t="inlineStr">
        <is>
          <t>VÄSTERBOTTENS LÄN</t>
        </is>
      </c>
      <c r="E2413" t="inlineStr">
        <is>
          <t>ROBERTSFORS</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6326-2025</t>
        </is>
      </c>
      <c r="B2414" s="1" t="n">
        <v>45698.85268518519</v>
      </c>
      <c r="C2414" s="1" t="n">
        <v>46075</v>
      </c>
      <c r="D2414" t="inlineStr">
        <is>
          <t>VÄSTERBOTTENS LÄN</t>
        </is>
      </c>
      <c r="E2414" t="inlineStr">
        <is>
          <t>ÅSELE</t>
        </is>
      </c>
      <c r="G2414" t="n">
        <v>4.4</v>
      </c>
      <c r="H2414" t="n">
        <v>0</v>
      </c>
      <c r="I2414" t="n">
        <v>0</v>
      </c>
      <c r="J2414" t="n">
        <v>0</v>
      </c>
      <c r="K2414" t="n">
        <v>0</v>
      </c>
      <c r="L2414" t="n">
        <v>0</v>
      </c>
      <c r="M2414" t="n">
        <v>0</v>
      </c>
      <c r="N2414" t="n">
        <v>0</v>
      </c>
      <c r="O2414" t="n">
        <v>0</v>
      </c>
      <c r="P2414" t="n">
        <v>0</v>
      </c>
      <c r="Q2414" t="n">
        <v>0</v>
      </c>
      <c r="R2414" s="2" t="inlineStr"/>
    </row>
    <row r="2415" ht="15" customHeight="1">
      <c r="A2415" t="inlineStr">
        <is>
          <t>A 10422-2025</t>
        </is>
      </c>
      <c r="B2415" s="1" t="n">
        <v>45720.64917824074</v>
      </c>
      <c r="C2415" s="1" t="n">
        <v>46075</v>
      </c>
      <c r="D2415" t="inlineStr">
        <is>
          <t>VÄSTERBOTTENS LÄN</t>
        </is>
      </c>
      <c r="E2415" t="inlineStr">
        <is>
          <t>UMEÅ</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38671-2023</t>
        </is>
      </c>
      <c r="B2416" s="1" t="n">
        <v>45162</v>
      </c>
      <c r="C2416" s="1" t="n">
        <v>46075</v>
      </c>
      <c r="D2416" t="inlineStr">
        <is>
          <t>VÄSTERBOTTENS LÄN</t>
        </is>
      </c>
      <c r="E2416" t="inlineStr">
        <is>
          <t>NORSJÖ</t>
        </is>
      </c>
      <c r="G2416" t="n">
        <v>4.5</v>
      </c>
      <c r="H2416" t="n">
        <v>0</v>
      </c>
      <c r="I2416" t="n">
        <v>0</v>
      </c>
      <c r="J2416" t="n">
        <v>0</v>
      </c>
      <c r="K2416" t="n">
        <v>0</v>
      </c>
      <c r="L2416" t="n">
        <v>0</v>
      </c>
      <c r="M2416" t="n">
        <v>0</v>
      </c>
      <c r="N2416" t="n">
        <v>0</v>
      </c>
      <c r="O2416" t="n">
        <v>0</v>
      </c>
      <c r="P2416" t="n">
        <v>0</v>
      </c>
      <c r="Q2416" t="n">
        <v>0</v>
      </c>
      <c r="R2416" s="2" t="inlineStr"/>
    </row>
    <row r="2417" ht="15" customHeight="1">
      <c r="A2417" t="inlineStr">
        <is>
          <t>A 38674-2023</t>
        </is>
      </c>
      <c r="B2417" s="1" t="n">
        <v>45162.94335648148</v>
      </c>
      <c r="C2417" s="1" t="n">
        <v>46075</v>
      </c>
      <c r="D2417" t="inlineStr">
        <is>
          <t>VÄSTERBOTTENS LÄN</t>
        </is>
      </c>
      <c r="E2417" t="inlineStr">
        <is>
          <t>VILHELMINA</t>
        </is>
      </c>
      <c r="F2417" t="inlineStr">
        <is>
          <t>SCA</t>
        </is>
      </c>
      <c r="G2417" t="n">
        <v>4.7</v>
      </c>
      <c r="H2417" t="n">
        <v>0</v>
      </c>
      <c r="I2417" t="n">
        <v>0</v>
      </c>
      <c r="J2417" t="n">
        <v>0</v>
      </c>
      <c r="K2417" t="n">
        <v>0</v>
      </c>
      <c r="L2417" t="n">
        <v>0</v>
      </c>
      <c r="M2417" t="n">
        <v>0</v>
      </c>
      <c r="N2417" t="n">
        <v>0</v>
      </c>
      <c r="O2417" t="n">
        <v>0</v>
      </c>
      <c r="P2417" t="n">
        <v>0</v>
      </c>
      <c r="Q2417" t="n">
        <v>0</v>
      </c>
      <c r="R2417" s="2" t="inlineStr"/>
    </row>
    <row r="2418" ht="15" customHeight="1">
      <c r="A2418" t="inlineStr">
        <is>
          <t>A 61188-2023</t>
        </is>
      </c>
      <c r="B2418" s="1" t="n">
        <v>45264</v>
      </c>
      <c r="C2418" s="1" t="n">
        <v>46075</v>
      </c>
      <c r="D2418" t="inlineStr">
        <is>
          <t>VÄSTERBOTTENS LÄN</t>
        </is>
      </c>
      <c r="E2418" t="inlineStr">
        <is>
          <t>SKELLEFTEÅ</t>
        </is>
      </c>
      <c r="F2418" t="inlineStr">
        <is>
          <t>Sveaskog</t>
        </is>
      </c>
      <c r="G2418" t="n">
        <v>7.3</v>
      </c>
      <c r="H2418" t="n">
        <v>0</v>
      </c>
      <c r="I2418" t="n">
        <v>0</v>
      </c>
      <c r="J2418" t="n">
        <v>0</v>
      </c>
      <c r="K2418" t="n">
        <v>0</v>
      </c>
      <c r="L2418" t="n">
        <v>0</v>
      </c>
      <c r="M2418" t="n">
        <v>0</v>
      </c>
      <c r="N2418" t="n">
        <v>0</v>
      </c>
      <c r="O2418" t="n">
        <v>0</v>
      </c>
      <c r="P2418" t="n">
        <v>0</v>
      </c>
      <c r="Q2418" t="n">
        <v>0</v>
      </c>
      <c r="R2418" s="2" t="inlineStr"/>
    </row>
    <row r="2419" ht="15" customHeight="1">
      <c r="A2419" t="inlineStr">
        <is>
          <t>A 55717-2024</t>
        </is>
      </c>
      <c r="B2419" s="1" t="n">
        <v>45622</v>
      </c>
      <c r="C2419" s="1" t="n">
        <v>46075</v>
      </c>
      <c r="D2419" t="inlineStr">
        <is>
          <t>VÄSTERBOTTENS LÄN</t>
        </is>
      </c>
      <c r="E2419" t="inlineStr">
        <is>
          <t>ROBERTSFORS</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10898-2025</t>
        </is>
      </c>
      <c r="B2420" s="1" t="n">
        <v>45722</v>
      </c>
      <c r="C2420" s="1" t="n">
        <v>46075</v>
      </c>
      <c r="D2420" t="inlineStr">
        <is>
          <t>VÄSTERBOTTENS LÄN</t>
        </is>
      </c>
      <c r="E2420" t="inlineStr">
        <is>
          <t>UMEÅ</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35213-2024</t>
        </is>
      </c>
      <c r="B2421" s="1" t="n">
        <v>45530</v>
      </c>
      <c r="C2421" s="1" t="n">
        <v>46075</v>
      </c>
      <c r="D2421" t="inlineStr">
        <is>
          <t>VÄSTERBOTTENS LÄN</t>
        </is>
      </c>
      <c r="E2421" t="inlineStr">
        <is>
          <t>SKELLEFTEÅ</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13601-2025</t>
        </is>
      </c>
      <c r="B2422" s="1" t="n">
        <v>45736</v>
      </c>
      <c r="C2422" s="1" t="n">
        <v>46075</v>
      </c>
      <c r="D2422" t="inlineStr">
        <is>
          <t>VÄSTERBOTTENS LÄN</t>
        </is>
      </c>
      <c r="E2422" t="inlineStr">
        <is>
          <t>BJURHOLM</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60168-2024</t>
        </is>
      </c>
      <c r="B2423" s="1" t="n">
        <v>45639</v>
      </c>
      <c r="C2423" s="1" t="n">
        <v>46075</v>
      </c>
      <c r="D2423" t="inlineStr">
        <is>
          <t>VÄSTERBOTTENS LÄN</t>
        </is>
      </c>
      <c r="E2423" t="inlineStr">
        <is>
          <t>MALÅ</t>
        </is>
      </c>
      <c r="G2423" t="n">
        <v>5</v>
      </c>
      <c r="H2423" t="n">
        <v>0</v>
      </c>
      <c r="I2423" t="n">
        <v>0</v>
      </c>
      <c r="J2423" t="n">
        <v>0</v>
      </c>
      <c r="K2423" t="n">
        <v>0</v>
      </c>
      <c r="L2423" t="n">
        <v>0</v>
      </c>
      <c r="M2423" t="n">
        <v>0</v>
      </c>
      <c r="N2423" t="n">
        <v>0</v>
      </c>
      <c r="O2423" t="n">
        <v>0</v>
      </c>
      <c r="P2423" t="n">
        <v>0</v>
      </c>
      <c r="Q2423" t="n">
        <v>0</v>
      </c>
      <c r="R2423" s="2" t="inlineStr"/>
    </row>
    <row r="2424" ht="15" customHeight="1">
      <c r="A2424" t="inlineStr">
        <is>
          <t>A 512-2025</t>
        </is>
      </c>
      <c r="B2424" s="1" t="n">
        <v>45660</v>
      </c>
      <c r="C2424" s="1" t="n">
        <v>46075</v>
      </c>
      <c r="D2424" t="inlineStr">
        <is>
          <t>VÄSTERBOTTENS LÄN</t>
        </is>
      </c>
      <c r="E2424" t="inlineStr">
        <is>
          <t>STORUMAN</t>
        </is>
      </c>
      <c r="G2424" t="n">
        <v>18.5</v>
      </c>
      <c r="H2424" t="n">
        <v>0</v>
      </c>
      <c r="I2424" t="n">
        <v>0</v>
      </c>
      <c r="J2424" t="n">
        <v>0</v>
      </c>
      <c r="K2424" t="n">
        <v>0</v>
      </c>
      <c r="L2424" t="n">
        <v>0</v>
      </c>
      <c r="M2424" t="n">
        <v>0</v>
      </c>
      <c r="N2424" t="n">
        <v>0</v>
      </c>
      <c r="O2424" t="n">
        <v>0</v>
      </c>
      <c r="P2424" t="n">
        <v>0</v>
      </c>
      <c r="Q2424" t="n">
        <v>0</v>
      </c>
      <c r="R2424" s="2" t="inlineStr"/>
    </row>
    <row r="2425" ht="15" customHeight="1">
      <c r="A2425" t="inlineStr">
        <is>
          <t>A 560-2025</t>
        </is>
      </c>
      <c r="B2425" s="1" t="n">
        <v>45660</v>
      </c>
      <c r="C2425" s="1" t="n">
        <v>46075</v>
      </c>
      <c r="D2425" t="inlineStr">
        <is>
          <t>VÄSTERBOTTENS LÄN</t>
        </is>
      </c>
      <c r="E2425" t="inlineStr">
        <is>
          <t>SKELLEFTEÅ</t>
        </is>
      </c>
      <c r="G2425" t="n">
        <v>5</v>
      </c>
      <c r="H2425" t="n">
        <v>0</v>
      </c>
      <c r="I2425" t="n">
        <v>0</v>
      </c>
      <c r="J2425" t="n">
        <v>0</v>
      </c>
      <c r="K2425" t="n">
        <v>0</v>
      </c>
      <c r="L2425" t="n">
        <v>0</v>
      </c>
      <c r="M2425" t="n">
        <v>0</v>
      </c>
      <c r="N2425" t="n">
        <v>0</v>
      </c>
      <c r="O2425" t="n">
        <v>0</v>
      </c>
      <c r="P2425" t="n">
        <v>0</v>
      </c>
      <c r="Q2425" t="n">
        <v>0</v>
      </c>
      <c r="R2425" s="2" t="inlineStr"/>
    </row>
    <row r="2426" ht="15" customHeight="1">
      <c r="A2426" t="inlineStr">
        <is>
          <t>A 39561-2022</t>
        </is>
      </c>
      <c r="B2426" s="1" t="n">
        <v>44818.57295138889</v>
      </c>
      <c r="C2426" s="1" t="n">
        <v>46075</v>
      </c>
      <c r="D2426" t="inlineStr">
        <is>
          <t>VÄSTERBOTTENS LÄN</t>
        </is>
      </c>
      <c r="E2426" t="inlineStr">
        <is>
          <t>UMEÅ</t>
        </is>
      </c>
      <c r="G2426" t="n">
        <v>3.2</v>
      </c>
      <c r="H2426" t="n">
        <v>0</v>
      </c>
      <c r="I2426" t="n">
        <v>0</v>
      </c>
      <c r="J2426" t="n">
        <v>0</v>
      </c>
      <c r="K2426" t="n">
        <v>0</v>
      </c>
      <c r="L2426" t="n">
        <v>0</v>
      </c>
      <c r="M2426" t="n">
        <v>0</v>
      </c>
      <c r="N2426" t="n">
        <v>0</v>
      </c>
      <c r="O2426" t="n">
        <v>0</v>
      </c>
      <c r="P2426" t="n">
        <v>0</v>
      </c>
      <c r="Q2426" t="n">
        <v>0</v>
      </c>
      <c r="R2426" s="2" t="inlineStr"/>
    </row>
    <row r="2427" ht="15" customHeight="1">
      <c r="A2427" t="inlineStr">
        <is>
          <t>A 11053-2023</t>
        </is>
      </c>
      <c r="B2427" s="1" t="n">
        <v>44991</v>
      </c>
      <c r="C2427" s="1" t="n">
        <v>46075</v>
      </c>
      <c r="D2427" t="inlineStr">
        <is>
          <t>VÄSTERBOTTENS LÄN</t>
        </is>
      </c>
      <c r="E2427" t="inlineStr">
        <is>
          <t>NORDMALING</t>
        </is>
      </c>
      <c r="F2427" t="inlineStr">
        <is>
          <t>SCA</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23954-2024</t>
        </is>
      </c>
      <c r="B2428" s="1" t="n">
        <v>45455</v>
      </c>
      <c r="C2428" s="1" t="n">
        <v>46075</v>
      </c>
      <c r="D2428" t="inlineStr">
        <is>
          <t>VÄSTERBOTTENS LÄN</t>
        </is>
      </c>
      <c r="E2428" t="inlineStr">
        <is>
          <t>VINDELN</t>
        </is>
      </c>
      <c r="F2428" t="inlineStr">
        <is>
          <t>SCA</t>
        </is>
      </c>
      <c r="G2428" t="n">
        <v>5</v>
      </c>
      <c r="H2428" t="n">
        <v>0</v>
      </c>
      <c r="I2428" t="n">
        <v>0</v>
      </c>
      <c r="J2428" t="n">
        <v>0</v>
      </c>
      <c r="K2428" t="n">
        <v>0</v>
      </c>
      <c r="L2428" t="n">
        <v>0</v>
      </c>
      <c r="M2428" t="n">
        <v>0</v>
      </c>
      <c r="N2428" t="n">
        <v>0</v>
      </c>
      <c r="O2428" t="n">
        <v>0</v>
      </c>
      <c r="P2428" t="n">
        <v>0</v>
      </c>
      <c r="Q2428" t="n">
        <v>0</v>
      </c>
      <c r="R2428" s="2" t="inlineStr"/>
    </row>
    <row r="2429" ht="15" customHeight="1">
      <c r="A2429" t="inlineStr">
        <is>
          <t>A 23955-2024</t>
        </is>
      </c>
      <c r="B2429" s="1" t="n">
        <v>45455</v>
      </c>
      <c r="C2429" s="1" t="n">
        <v>46075</v>
      </c>
      <c r="D2429" t="inlineStr">
        <is>
          <t>VÄSTERBOTTENS LÄN</t>
        </is>
      </c>
      <c r="E2429" t="inlineStr">
        <is>
          <t>VINDELN</t>
        </is>
      </c>
      <c r="F2429" t="inlineStr">
        <is>
          <t>SCA</t>
        </is>
      </c>
      <c r="G2429" t="n">
        <v>6.6</v>
      </c>
      <c r="H2429" t="n">
        <v>0</v>
      </c>
      <c r="I2429" t="n">
        <v>0</v>
      </c>
      <c r="J2429" t="n">
        <v>0</v>
      </c>
      <c r="K2429" t="n">
        <v>0</v>
      </c>
      <c r="L2429" t="n">
        <v>0</v>
      </c>
      <c r="M2429" t="n">
        <v>0</v>
      </c>
      <c r="N2429" t="n">
        <v>0</v>
      </c>
      <c r="O2429" t="n">
        <v>0</v>
      </c>
      <c r="P2429" t="n">
        <v>0</v>
      </c>
      <c r="Q2429" t="n">
        <v>0</v>
      </c>
      <c r="R2429" s="2" t="inlineStr"/>
    </row>
    <row r="2430" ht="15" customHeight="1">
      <c r="A2430" t="inlineStr">
        <is>
          <t>A 55066-2024</t>
        </is>
      </c>
      <c r="B2430" s="1" t="n">
        <v>45621.41215277778</v>
      </c>
      <c r="C2430" s="1" t="n">
        <v>46075</v>
      </c>
      <c r="D2430" t="inlineStr">
        <is>
          <t>VÄSTERBOTTENS LÄN</t>
        </is>
      </c>
      <c r="E2430" t="inlineStr">
        <is>
          <t>MALÅ</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10080-2023</t>
        </is>
      </c>
      <c r="B2431" s="1" t="n">
        <v>44985.94431712963</v>
      </c>
      <c r="C2431" s="1" t="n">
        <v>46075</v>
      </c>
      <c r="D2431" t="inlineStr">
        <is>
          <t>VÄSTERBOTTENS LÄN</t>
        </is>
      </c>
      <c r="E2431" t="inlineStr">
        <is>
          <t>ÅSELE</t>
        </is>
      </c>
      <c r="F2431" t="inlineStr">
        <is>
          <t>SCA</t>
        </is>
      </c>
      <c r="G2431" t="n">
        <v>6.6</v>
      </c>
      <c r="H2431" t="n">
        <v>0</v>
      </c>
      <c r="I2431" t="n">
        <v>0</v>
      </c>
      <c r="J2431" t="n">
        <v>0</v>
      </c>
      <c r="K2431" t="n">
        <v>0</v>
      </c>
      <c r="L2431" t="n">
        <v>0</v>
      </c>
      <c r="M2431" t="n">
        <v>0</v>
      </c>
      <c r="N2431" t="n">
        <v>0</v>
      </c>
      <c r="O2431" t="n">
        <v>0</v>
      </c>
      <c r="P2431" t="n">
        <v>0</v>
      </c>
      <c r="Q2431" t="n">
        <v>0</v>
      </c>
      <c r="R2431" s="2" t="inlineStr"/>
    </row>
    <row r="2432" ht="15" customHeight="1">
      <c r="A2432" t="inlineStr">
        <is>
          <t>A 10082-2023</t>
        </is>
      </c>
      <c r="B2432" s="1" t="n">
        <v>44985</v>
      </c>
      <c r="C2432" s="1" t="n">
        <v>46075</v>
      </c>
      <c r="D2432" t="inlineStr">
        <is>
          <t>VÄSTERBOTTENS LÄN</t>
        </is>
      </c>
      <c r="E2432" t="inlineStr">
        <is>
          <t>ÅSELE</t>
        </is>
      </c>
      <c r="F2432" t="inlineStr">
        <is>
          <t>SCA</t>
        </is>
      </c>
      <c r="G2432" t="n">
        <v>8.199999999999999</v>
      </c>
      <c r="H2432" t="n">
        <v>0</v>
      </c>
      <c r="I2432" t="n">
        <v>0</v>
      </c>
      <c r="J2432" t="n">
        <v>0</v>
      </c>
      <c r="K2432" t="n">
        <v>0</v>
      </c>
      <c r="L2432" t="n">
        <v>0</v>
      </c>
      <c r="M2432" t="n">
        <v>0</v>
      </c>
      <c r="N2432" t="n">
        <v>0</v>
      </c>
      <c r="O2432" t="n">
        <v>0</v>
      </c>
      <c r="P2432" t="n">
        <v>0</v>
      </c>
      <c r="Q2432" t="n">
        <v>0</v>
      </c>
      <c r="R2432" s="2" t="inlineStr"/>
    </row>
    <row r="2433" ht="15" customHeight="1">
      <c r="A2433" t="inlineStr">
        <is>
          <t>A 37038-2023</t>
        </is>
      </c>
      <c r="B2433" s="1" t="n">
        <v>45155</v>
      </c>
      <c r="C2433" s="1" t="n">
        <v>46075</v>
      </c>
      <c r="D2433" t="inlineStr">
        <is>
          <t>VÄSTERBOTTENS LÄN</t>
        </is>
      </c>
      <c r="E2433" t="inlineStr">
        <is>
          <t>SORSELE</t>
        </is>
      </c>
      <c r="F2433" t="inlineStr">
        <is>
          <t>Kyrkan</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5251-2024</t>
        </is>
      </c>
      <c r="B2434" s="1" t="n">
        <v>45330</v>
      </c>
      <c r="C2434" s="1" t="n">
        <v>46075</v>
      </c>
      <c r="D2434" t="inlineStr">
        <is>
          <t>VÄSTERBOTTENS LÄN</t>
        </is>
      </c>
      <c r="E2434" t="inlineStr">
        <is>
          <t>DOROTEA</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40348-2021</t>
        </is>
      </c>
      <c r="B2435" s="1" t="n">
        <v>44419.57832175926</v>
      </c>
      <c r="C2435" s="1" t="n">
        <v>46075</v>
      </c>
      <c r="D2435" t="inlineStr">
        <is>
          <t>VÄSTERBOTTENS LÄN</t>
        </is>
      </c>
      <c r="E2435" t="inlineStr">
        <is>
          <t>UMEÅ</t>
        </is>
      </c>
      <c r="F2435" t="inlineStr">
        <is>
          <t>Kommuner</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25352-2024</t>
        </is>
      </c>
      <c r="B2436" s="1" t="n">
        <v>45462</v>
      </c>
      <c r="C2436" s="1" t="n">
        <v>46075</v>
      </c>
      <c r="D2436" t="inlineStr">
        <is>
          <t>VÄSTERBOTTENS LÄN</t>
        </is>
      </c>
      <c r="E2436" t="inlineStr">
        <is>
          <t>NORSJÖ</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6279-2025</t>
        </is>
      </c>
      <c r="B2437" s="1" t="n">
        <v>45698.62097222222</v>
      </c>
      <c r="C2437" s="1" t="n">
        <v>46075</v>
      </c>
      <c r="D2437" t="inlineStr">
        <is>
          <t>VÄSTERBOTTENS LÄN</t>
        </is>
      </c>
      <c r="E2437" t="inlineStr">
        <is>
          <t>UMEÅ</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43435-2023</t>
        </is>
      </c>
      <c r="B2438" s="1" t="n">
        <v>45184.32165509259</v>
      </c>
      <c r="C2438" s="1" t="n">
        <v>46075</v>
      </c>
      <c r="D2438" t="inlineStr">
        <is>
          <t>VÄSTERBOTTENS LÄN</t>
        </is>
      </c>
      <c r="E2438" t="inlineStr">
        <is>
          <t>SKELLEFTEÅ</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37535-2023</t>
        </is>
      </c>
      <c r="B2439" s="1" t="n">
        <v>45158</v>
      </c>
      <c r="C2439" s="1" t="n">
        <v>46075</v>
      </c>
      <c r="D2439" t="inlineStr">
        <is>
          <t>VÄSTERBOTTENS LÄN</t>
        </is>
      </c>
      <c r="E2439" t="inlineStr">
        <is>
          <t>MALÅ</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37539-2023</t>
        </is>
      </c>
      <c r="B2440" s="1" t="n">
        <v>45158.94190972222</v>
      </c>
      <c r="C2440" s="1" t="n">
        <v>46075</v>
      </c>
      <c r="D2440" t="inlineStr">
        <is>
          <t>VÄSTERBOTTENS LÄN</t>
        </is>
      </c>
      <c r="E2440" t="inlineStr">
        <is>
          <t>DOROTEA</t>
        </is>
      </c>
      <c r="F2440" t="inlineStr">
        <is>
          <t>SCA</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37548-2023</t>
        </is>
      </c>
      <c r="B2441" s="1" t="n">
        <v>45158.97362268518</v>
      </c>
      <c r="C2441" s="1" t="n">
        <v>46075</v>
      </c>
      <c r="D2441" t="inlineStr">
        <is>
          <t>VÄSTERBOTTENS LÄN</t>
        </is>
      </c>
      <c r="E2441" t="inlineStr">
        <is>
          <t>NORDMALING</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10649-2025</t>
        </is>
      </c>
      <c r="B2442" s="1" t="n">
        <v>45721</v>
      </c>
      <c r="C2442" s="1" t="n">
        <v>46075</v>
      </c>
      <c r="D2442" t="inlineStr">
        <is>
          <t>VÄSTERBOTTENS LÄN</t>
        </is>
      </c>
      <c r="E2442" t="inlineStr">
        <is>
          <t>DOROTEA</t>
        </is>
      </c>
      <c r="F2442" t="inlineStr">
        <is>
          <t>SCA</t>
        </is>
      </c>
      <c r="G2442" t="n">
        <v>12.2</v>
      </c>
      <c r="H2442" t="n">
        <v>0</v>
      </c>
      <c r="I2442" t="n">
        <v>0</v>
      </c>
      <c r="J2442" t="n">
        <v>0</v>
      </c>
      <c r="K2442" t="n">
        <v>0</v>
      </c>
      <c r="L2442" t="n">
        <v>0</v>
      </c>
      <c r="M2442" t="n">
        <v>0</v>
      </c>
      <c r="N2442" t="n">
        <v>0</v>
      </c>
      <c r="O2442" t="n">
        <v>0</v>
      </c>
      <c r="P2442" t="n">
        <v>0</v>
      </c>
      <c r="Q2442" t="n">
        <v>0</v>
      </c>
      <c r="R2442" s="2" t="inlineStr"/>
    </row>
    <row r="2443" ht="15" customHeight="1">
      <c r="A2443" t="inlineStr">
        <is>
          <t>A 6636-2022</t>
        </is>
      </c>
      <c r="B2443" s="1" t="n">
        <v>44601</v>
      </c>
      <c r="C2443" s="1" t="n">
        <v>46075</v>
      </c>
      <c r="D2443" t="inlineStr">
        <is>
          <t>VÄSTERBOTTENS LÄN</t>
        </is>
      </c>
      <c r="E2443" t="inlineStr">
        <is>
          <t>STORUMAN</t>
        </is>
      </c>
      <c r="G2443" t="n">
        <v>23.5</v>
      </c>
      <c r="H2443" t="n">
        <v>0</v>
      </c>
      <c r="I2443" t="n">
        <v>0</v>
      </c>
      <c r="J2443" t="n">
        <v>0</v>
      </c>
      <c r="K2443" t="n">
        <v>0</v>
      </c>
      <c r="L2443" t="n">
        <v>0</v>
      </c>
      <c r="M2443" t="n">
        <v>0</v>
      </c>
      <c r="N2443" t="n">
        <v>0</v>
      </c>
      <c r="O2443" t="n">
        <v>0</v>
      </c>
      <c r="P2443" t="n">
        <v>0</v>
      </c>
      <c r="Q2443" t="n">
        <v>0</v>
      </c>
      <c r="R2443" s="2" t="inlineStr"/>
    </row>
    <row r="2444" ht="15" customHeight="1">
      <c r="A2444" t="inlineStr">
        <is>
          <t>A 43976-2024</t>
        </is>
      </c>
      <c r="B2444" s="1" t="n">
        <v>45572</v>
      </c>
      <c r="C2444" s="1" t="n">
        <v>46075</v>
      </c>
      <c r="D2444" t="inlineStr">
        <is>
          <t>VÄSTERBOTTENS LÄN</t>
        </is>
      </c>
      <c r="E2444" t="inlineStr">
        <is>
          <t>UMEÅ</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43977-2024</t>
        </is>
      </c>
      <c r="B2445" s="1" t="n">
        <v>45572.49082175926</v>
      </c>
      <c r="C2445" s="1" t="n">
        <v>46075</v>
      </c>
      <c r="D2445" t="inlineStr">
        <is>
          <t>VÄSTERBOTTENS LÄN</t>
        </is>
      </c>
      <c r="E2445" t="inlineStr">
        <is>
          <t>UMEÅ</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43945-2024</t>
        </is>
      </c>
      <c r="B2446" s="1" t="n">
        <v>45572.47104166666</v>
      </c>
      <c r="C2446" s="1" t="n">
        <v>46075</v>
      </c>
      <c r="D2446" t="inlineStr">
        <is>
          <t>VÄSTERBOTTENS LÄN</t>
        </is>
      </c>
      <c r="E2446" t="inlineStr">
        <is>
          <t>UMEÅ</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7910-2024</t>
        </is>
      </c>
      <c r="B2447" s="1" t="n">
        <v>45349</v>
      </c>
      <c r="C2447" s="1" t="n">
        <v>46075</v>
      </c>
      <c r="D2447" t="inlineStr">
        <is>
          <t>VÄSTERBOTTENS LÄN</t>
        </is>
      </c>
      <c r="E2447" t="inlineStr">
        <is>
          <t>UMEÅ</t>
        </is>
      </c>
      <c r="G2447" t="n">
        <v>8.699999999999999</v>
      </c>
      <c r="H2447" t="n">
        <v>0</v>
      </c>
      <c r="I2447" t="n">
        <v>0</v>
      </c>
      <c r="J2447" t="n">
        <v>0</v>
      </c>
      <c r="K2447" t="n">
        <v>0</v>
      </c>
      <c r="L2447" t="n">
        <v>0</v>
      </c>
      <c r="M2447" t="n">
        <v>0</v>
      </c>
      <c r="N2447" t="n">
        <v>0</v>
      </c>
      <c r="O2447" t="n">
        <v>0</v>
      </c>
      <c r="P2447" t="n">
        <v>0</v>
      </c>
      <c r="Q2447" t="n">
        <v>0</v>
      </c>
      <c r="R2447" s="2" t="inlineStr"/>
    </row>
    <row r="2448" ht="15" customHeight="1">
      <c r="A2448" t="inlineStr">
        <is>
          <t>A 61033-2023</t>
        </is>
      </c>
      <c r="B2448" s="1" t="n">
        <v>45261</v>
      </c>
      <c r="C2448" s="1" t="n">
        <v>46075</v>
      </c>
      <c r="D2448" t="inlineStr">
        <is>
          <t>VÄSTERBOTTENS LÄN</t>
        </is>
      </c>
      <c r="E2448" t="inlineStr">
        <is>
          <t>SKELLEFTEÅ</t>
        </is>
      </c>
      <c r="F2448" t="inlineStr">
        <is>
          <t>Sveaskog</t>
        </is>
      </c>
      <c r="G2448" t="n">
        <v>16.4</v>
      </c>
      <c r="H2448" t="n">
        <v>0</v>
      </c>
      <c r="I2448" t="n">
        <v>0</v>
      </c>
      <c r="J2448" t="n">
        <v>0</v>
      </c>
      <c r="K2448" t="n">
        <v>0</v>
      </c>
      <c r="L2448" t="n">
        <v>0</v>
      </c>
      <c r="M2448" t="n">
        <v>0</v>
      </c>
      <c r="N2448" t="n">
        <v>0</v>
      </c>
      <c r="O2448" t="n">
        <v>0</v>
      </c>
      <c r="P2448" t="n">
        <v>0</v>
      </c>
      <c r="Q2448" t="n">
        <v>0</v>
      </c>
      <c r="R2448" s="2" t="inlineStr"/>
    </row>
    <row r="2449" ht="15" customHeight="1">
      <c r="A2449" t="inlineStr">
        <is>
          <t>A 59309-2024</t>
        </is>
      </c>
      <c r="B2449" s="1" t="n">
        <v>45637.67839120371</v>
      </c>
      <c r="C2449" s="1" t="n">
        <v>46075</v>
      </c>
      <c r="D2449" t="inlineStr">
        <is>
          <t>VÄSTERBOTTENS LÄN</t>
        </is>
      </c>
      <c r="E2449" t="inlineStr">
        <is>
          <t>MALÅ</t>
        </is>
      </c>
      <c r="G2449" t="n">
        <v>5.4</v>
      </c>
      <c r="H2449" t="n">
        <v>0</v>
      </c>
      <c r="I2449" t="n">
        <v>0</v>
      </c>
      <c r="J2449" t="n">
        <v>0</v>
      </c>
      <c r="K2449" t="n">
        <v>0</v>
      </c>
      <c r="L2449" t="n">
        <v>0</v>
      </c>
      <c r="M2449" t="n">
        <v>0</v>
      </c>
      <c r="N2449" t="n">
        <v>0</v>
      </c>
      <c r="O2449" t="n">
        <v>0</v>
      </c>
      <c r="P2449" t="n">
        <v>0</v>
      </c>
      <c r="Q2449" t="n">
        <v>0</v>
      </c>
      <c r="R2449" s="2" t="inlineStr"/>
    </row>
    <row r="2450" ht="15" customHeight="1">
      <c r="A2450" t="inlineStr">
        <is>
          <t>A 59310-2024</t>
        </is>
      </c>
      <c r="B2450" s="1" t="n">
        <v>45637.67841435185</v>
      </c>
      <c r="C2450" s="1" t="n">
        <v>46075</v>
      </c>
      <c r="D2450" t="inlineStr">
        <is>
          <t>VÄSTERBOTTENS LÄN</t>
        </is>
      </c>
      <c r="E2450" t="inlineStr">
        <is>
          <t>MALÅ</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58750-2023</t>
        </is>
      </c>
      <c r="B2451" s="1" t="n">
        <v>45251.92957175926</v>
      </c>
      <c r="C2451" s="1" t="n">
        <v>46075</v>
      </c>
      <c r="D2451" t="inlineStr">
        <is>
          <t>VÄSTERBOTTENS LÄN</t>
        </is>
      </c>
      <c r="E2451" t="inlineStr">
        <is>
          <t>SKELLEFTEÅ</t>
        </is>
      </c>
      <c r="G2451" t="n">
        <v>3.6</v>
      </c>
      <c r="H2451" t="n">
        <v>0</v>
      </c>
      <c r="I2451" t="n">
        <v>0</v>
      </c>
      <c r="J2451" t="n">
        <v>0</v>
      </c>
      <c r="K2451" t="n">
        <v>0</v>
      </c>
      <c r="L2451" t="n">
        <v>0</v>
      </c>
      <c r="M2451" t="n">
        <v>0</v>
      </c>
      <c r="N2451" t="n">
        <v>0</v>
      </c>
      <c r="O2451" t="n">
        <v>0</v>
      </c>
      <c r="P2451" t="n">
        <v>0</v>
      </c>
      <c r="Q2451" t="n">
        <v>0</v>
      </c>
      <c r="R2451" s="2" t="inlineStr"/>
    </row>
    <row r="2452" ht="15" customHeight="1">
      <c r="A2452" t="inlineStr">
        <is>
          <t>A 12724-2025</t>
        </is>
      </c>
      <c r="B2452" s="1" t="n">
        <v>45733</v>
      </c>
      <c r="C2452" s="1" t="n">
        <v>46075</v>
      </c>
      <c r="D2452" t="inlineStr">
        <is>
          <t>VÄSTERBOTTENS LÄN</t>
        </is>
      </c>
      <c r="E2452" t="inlineStr">
        <is>
          <t>MALÅ</t>
        </is>
      </c>
      <c r="G2452" t="n">
        <v>32.3</v>
      </c>
      <c r="H2452" t="n">
        <v>0</v>
      </c>
      <c r="I2452" t="n">
        <v>0</v>
      </c>
      <c r="J2452" t="n">
        <v>0</v>
      </c>
      <c r="K2452" t="n">
        <v>0</v>
      </c>
      <c r="L2452" t="n">
        <v>0</v>
      </c>
      <c r="M2452" t="n">
        <v>0</v>
      </c>
      <c r="N2452" t="n">
        <v>0</v>
      </c>
      <c r="O2452" t="n">
        <v>0</v>
      </c>
      <c r="P2452" t="n">
        <v>0</v>
      </c>
      <c r="Q2452" t="n">
        <v>0</v>
      </c>
      <c r="R2452" s="2" t="inlineStr"/>
    </row>
    <row r="2453" ht="15" customHeight="1">
      <c r="A2453" t="inlineStr">
        <is>
          <t>A 13432-2025</t>
        </is>
      </c>
      <c r="B2453" s="1" t="n">
        <v>45736.33638888889</v>
      </c>
      <c r="C2453" s="1" t="n">
        <v>46075</v>
      </c>
      <c r="D2453" t="inlineStr">
        <is>
          <t>VÄSTERBOTTENS LÄN</t>
        </is>
      </c>
      <c r="E2453" t="inlineStr">
        <is>
          <t>MALÅ</t>
        </is>
      </c>
      <c r="G2453" t="n">
        <v>6.2</v>
      </c>
      <c r="H2453" t="n">
        <v>0</v>
      </c>
      <c r="I2453" t="n">
        <v>0</v>
      </c>
      <c r="J2453" t="n">
        <v>0</v>
      </c>
      <c r="K2453" t="n">
        <v>0</v>
      </c>
      <c r="L2453" t="n">
        <v>0</v>
      </c>
      <c r="M2453" t="n">
        <v>0</v>
      </c>
      <c r="N2453" t="n">
        <v>0</v>
      </c>
      <c r="O2453" t="n">
        <v>0</v>
      </c>
      <c r="P2453" t="n">
        <v>0</v>
      </c>
      <c r="Q2453" t="n">
        <v>0</v>
      </c>
      <c r="R2453" s="2" t="inlineStr"/>
    </row>
    <row r="2454" ht="15" customHeight="1">
      <c r="A2454" t="inlineStr">
        <is>
          <t>A 56973-2022</t>
        </is>
      </c>
      <c r="B2454" s="1" t="n">
        <v>44894</v>
      </c>
      <c r="C2454" s="1" t="n">
        <v>46075</v>
      </c>
      <c r="D2454" t="inlineStr">
        <is>
          <t>VÄSTERBOTTENS LÄN</t>
        </is>
      </c>
      <c r="E2454" t="inlineStr">
        <is>
          <t>LYCKSELE</t>
        </is>
      </c>
      <c r="F2454" t="inlineStr">
        <is>
          <t>Holmen skog AB</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46048-2024</t>
        </is>
      </c>
      <c r="B2455" s="1" t="n">
        <v>45580.85511574074</v>
      </c>
      <c r="C2455" s="1" t="n">
        <v>46075</v>
      </c>
      <c r="D2455" t="inlineStr">
        <is>
          <t>VÄSTERBOTTENS LÄN</t>
        </is>
      </c>
      <c r="E2455" t="inlineStr">
        <is>
          <t>SKELLEFTEÅ</t>
        </is>
      </c>
      <c r="F2455" t="inlineStr">
        <is>
          <t>Sveaskog</t>
        </is>
      </c>
      <c r="G2455" t="n">
        <v>4.1</v>
      </c>
      <c r="H2455" t="n">
        <v>0</v>
      </c>
      <c r="I2455" t="n">
        <v>0</v>
      </c>
      <c r="J2455" t="n">
        <v>0</v>
      </c>
      <c r="K2455" t="n">
        <v>0</v>
      </c>
      <c r="L2455" t="n">
        <v>0</v>
      </c>
      <c r="M2455" t="n">
        <v>0</v>
      </c>
      <c r="N2455" t="n">
        <v>0</v>
      </c>
      <c r="O2455" t="n">
        <v>0</v>
      </c>
      <c r="P2455" t="n">
        <v>0</v>
      </c>
      <c r="Q2455" t="n">
        <v>0</v>
      </c>
      <c r="R2455" s="2" t="inlineStr"/>
    </row>
    <row r="2456" ht="15" customHeight="1">
      <c r="A2456" t="inlineStr">
        <is>
          <t>A 16292-2025</t>
        </is>
      </c>
      <c r="B2456" s="1" t="n">
        <v>45751.33399305555</v>
      </c>
      <c r="C2456" s="1" t="n">
        <v>46075</v>
      </c>
      <c r="D2456" t="inlineStr">
        <is>
          <t>VÄSTERBOTTENS LÄN</t>
        </is>
      </c>
      <c r="E2456" t="inlineStr">
        <is>
          <t>LYCKSELE</t>
        </is>
      </c>
      <c r="F2456" t="inlineStr">
        <is>
          <t>Holmen skog AB</t>
        </is>
      </c>
      <c r="G2456" t="n">
        <v>7</v>
      </c>
      <c r="H2456" t="n">
        <v>0</v>
      </c>
      <c r="I2456" t="n">
        <v>0</v>
      </c>
      <c r="J2456" t="n">
        <v>0</v>
      </c>
      <c r="K2456" t="n">
        <v>0</v>
      </c>
      <c r="L2456" t="n">
        <v>0</v>
      </c>
      <c r="M2456" t="n">
        <v>0</v>
      </c>
      <c r="N2456" t="n">
        <v>0</v>
      </c>
      <c r="O2456" t="n">
        <v>0</v>
      </c>
      <c r="P2456" t="n">
        <v>0</v>
      </c>
      <c r="Q2456" t="n">
        <v>0</v>
      </c>
      <c r="R2456" s="2" t="inlineStr"/>
    </row>
    <row r="2457" ht="15" customHeight="1">
      <c r="A2457" t="inlineStr">
        <is>
          <t>A 29954-2023</t>
        </is>
      </c>
      <c r="B2457" s="1" t="n">
        <v>45107</v>
      </c>
      <c r="C2457" s="1" t="n">
        <v>46075</v>
      </c>
      <c r="D2457" t="inlineStr">
        <is>
          <t>VÄSTERBOTTENS LÄN</t>
        </is>
      </c>
      <c r="E2457" t="inlineStr">
        <is>
          <t>VILHELMINA</t>
        </is>
      </c>
      <c r="F2457" t="inlineStr">
        <is>
          <t>SCA</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61749-2023</t>
        </is>
      </c>
      <c r="B2458" s="1" t="n">
        <v>45264</v>
      </c>
      <c r="C2458" s="1" t="n">
        <v>46075</v>
      </c>
      <c r="D2458" t="inlineStr">
        <is>
          <t>VÄSTERBOTTENS LÄN</t>
        </is>
      </c>
      <c r="E2458" t="inlineStr">
        <is>
          <t>UMEÅ</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33716-2024</t>
        </is>
      </c>
      <c r="B2459" s="1" t="n">
        <v>45520.53516203703</v>
      </c>
      <c r="C2459" s="1" t="n">
        <v>46075</v>
      </c>
      <c r="D2459" t="inlineStr">
        <is>
          <t>VÄSTERBOTTENS LÄN</t>
        </is>
      </c>
      <c r="E2459" t="inlineStr">
        <is>
          <t>LYCKSELE</t>
        </is>
      </c>
      <c r="F2459" t="inlineStr">
        <is>
          <t>Sveaskog</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33717-2024</t>
        </is>
      </c>
      <c r="B2460" s="1" t="n">
        <v>45520.53523148148</v>
      </c>
      <c r="C2460" s="1" t="n">
        <v>46075</v>
      </c>
      <c r="D2460" t="inlineStr">
        <is>
          <t>VÄSTERBOTTENS LÄN</t>
        </is>
      </c>
      <c r="E2460" t="inlineStr">
        <is>
          <t>LYCKSELE</t>
        </is>
      </c>
      <c r="F2460" t="inlineStr">
        <is>
          <t>Sveaskog</t>
        </is>
      </c>
      <c r="G2460" t="n">
        <v>13.6</v>
      </c>
      <c r="H2460" t="n">
        <v>0</v>
      </c>
      <c r="I2460" t="n">
        <v>0</v>
      </c>
      <c r="J2460" t="n">
        <v>0</v>
      </c>
      <c r="K2460" t="n">
        <v>0</v>
      </c>
      <c r="L2460" t="n">
        <v>0</v>
      </c>
      <c r="M2460" t="n">
        <v>0</v>
      </c>
      <c r="N2460" t="n">
        <v>0</v>
      </c>
      <c r="O2460" t="n">
        <v>0</v>
      </c>
      <c r="P2460" t="n">
        <v>0</v>
      </c>
      <c r="Q2460" t="n">
        <v>0</v>
      </c>
      <c r="R2460" s="2" t="inlineStr"/>
    </row>
    <row r="2461" ht="15" customHeight="1">
      <c r="A2461" t="inlineStr">
        <is>
          <t>A 33724-2024</t>
        </is>
      </c>
      <c r="B2461" s="1" t="n">
        <v>45520.54362268518</v>
      </c>
      <c r="C2461" s="1" t="n">
        <v>46075</v>
      </c>
      <c r="D2461" t="inlineStr">
        <is>
          <t>VÄSTERBOTTENS LÄN</t>
        </is>
      </c>
      <c r="E2461" t="inlineStr">
        <is>
          <t>VINDELN</t>
        </is>
      </c>
      <c r="F2461" t="inlineStr">
        <is>
          <t>Sveaskog</t>
        </is>
      </c>
      <c r="G2461" t="n">
        <v>13.2</v>
      </c>
      <c r="H2461" t="n">
        <v>0</v>
      </c>
      <c r="I2461" t="n">
        <v>0</v>
      </c>
      <c r="J2461" t="n">
        <v>0</v>
      </c>
      <c r="K2461" t="n">
        <v>0</v>
      </c>
      <c r="L2461" t="n">
        <v>0</v>
      </c>
      <c r="M2461" t="n">
        <v>0</v>
      </c>
      <c r="N2461" t="n">
        <v>0</v>
      </c>
      <c r="O2461" t="n">
        <v>0</v>
      </c>
      <c r="P2461" t="n">
        <v>0</v>
      </c>
      <c r="Q2461" t="n">
        <v>0</v>
      </c>
      <c r="R2461" s="2" t="inlineStr"/>
    </row>
    <row r="2462" ht="15" customHeight="1">
      <c r="A2462" t="inlineStr">
        <is>
          <t>A 16785-2025</t>
        </is>
      </c>
      <c r="B2462" s="1" t="n">
        <v>45754</v>
      </c>
      <c r="C2462" s="1" t="n">
        <v>46075</v>
      </c>
      <c r="D2462" t="inlineStr">
        <is>
          <t>VÄSTERBOTTENS LÄN</t>
        </is>
      </c>
      <c r="E2462" t="inlineStr">
        <is>
          <t>ÅSELE</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33319-2023</t>
        </is>
      </c>
      <c r="B2463" s="1" t="n">
        <v>45127.88890046296</v>
      </c>
      <c r="C2463" s="1" t="n">
        <v>46075</v>
      </c>
      <c r="D2463" t="inlineStr">
        <is>
          <t>VÄSTERBOTTENS LÄN</t>
        </is>
      </c>
      <c r="E2463" t="inlineStr">
        <is>
          <t>VÄNNÄS</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62082-2022</t>
        </is>
      </c>
      <c r="B2464" s="1" t="n">
        <v>44918</v>
      </c>
      <c r="C2464" s="1" t="n">
        <v>46075</v>
      </c>
      <c r="D2464" t="inlineStr">
        <is>
          <t>VÄSTERBOTTENS LÄN</t>
        </is>
      </c>
      <c r="E2464" t="inlineStr">
        <is>
          <t>BJURHOLM</t>
        </is>
      </c>
      <c r="F2464" t="inlineStr">
        <is>
          <t>SCA</t>
        </is>
      </c>
      <c r="G2464" t="n">
        <v>3.8</v>
      </c>
      <c r="H2464" t="n">
        <v>0</v>
      </c>
      <c r="I2464" t="n">
        <v>0</v>
      </c>
      <c r="J2464" t="n">
        <v>0</v>
      </c>
      <c r="K2464" t="n">
        <v>0</v>
      </c>
      <c r="L2464" t="n">
        <v>0</v>
      </c>
      <c r="M2464" t="n">
        <v>0</v>
      </c>
      <c r="N2464" t="n">
        <v>0</v>
      </c>
      <c r="O2464" t="n">
        <v>0</v>
      </c>
      <c r="P2464" t="n">
        <v>0</v>
      </c>
      <c r="Q2464" t="n">
        <v>0</v>
      </c>
      <c r="R2464" s="2" t="inlineStr"/>
    </row>
    <row r="2465" ht="15" customHeight="1">
      <c r="A2465" t="inlineStr">
        <is>
          <t>A 15884-2025</t>
        </is>
      </c>
      <c r="B2465" s="1" t="n">
        <v>45749</v>
      </c>
      <c r="C2465" s="1" t="n">
        <v>46075</v>
      </c>
      <c r="D2465" t="inlineStr">
        <is>
          <t>VÄSTERBOTTENS LÄN</t>
        </is>
      </c>
      <c r="E2465" t="inlineStr">
        <is>
          <t>VILHELMINA</t>
        </is>
      </c>
      <c r="F2465" t="inlineStr">
        <is>
          <t>SCA</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45447-2024</t>
        </is>
      </c>
      <c r="B2466" s="1" t="n">
        <v>45576.64849537037</v>
      </c>
      <c r="C2466" s="1" t="n">
        <v>46075</v>
      </c>
      <c r="D2466" t="inlineStr">
        <is>
          <t>VÄSTERBOTTENS LÄN</t>
        </is>
      </c>
      <c r="E2466" t="inlineStr">
        <is>
          <t>LYCKSELE</t>
        </is>
      </c>
      <c r="F2466" t="inlineStr">
        <is>
          <t>Naturvårdsverket</t>
        </is>
      </c>
      <c r="G2466" t="n">
        <v>6</v>
      </c>
      <c r="H2466" t="n">
        <v>0</v>
      </c>
      <c r="I2466" t="n">
        <v>0</v>
      </c>
      <c r="J2466" t="n">
        <v>0</v>
      </c>
      <c r="K2466" t="n">
        <v>0</v>
      </c>
      <c r="L2466" t="n">
        <v>0</v>
      </c>
      <c r="M2466" t="n">
        <v>0</v>
      </c>
      <c r="N2466" t="n">
        <v>0</v>
      </c>
      <c r="O2466" t="n">
        <v>0</v>
      </c>
      <c r="P2466" t="n">
        <v>0</v>
      </c>
      <c r="Q2466" t="n">
        <v>0</v>
      </c>
      <c r="R2466" s="2" t="inlineStr"/>
    </row>
    <row r="2467" ht="15" customHeight="1">
      <c r="A2467" t="inlineStr">
        <is>
          <t>A 35032-2023</t>
        </is>
      </c>
      <c r="B2467" s="1" t="n">
        <v>45145</v>
      </c>
      <c r="C2467" s="1" t="n">
        <v>46075</v>
      </c>
      <c r="D2467" t="inlineStr">
        <is>
          <t>VÄSTERBOTTENS LÄN</t>
        </is>
      </c>
      <c r="E2467" t="inlineStr">
        <is>
          <t>SKELLEFTEÅ</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55427-2023</t>
        </is>
      </c>
      <c r="B2468" s="1" t="n">
        <v>45238.42410879629</v>
      </c>
      <c r="C2468" s="1" t="n">
        <v>46075</v>
      </c>
      <c r="D2468" t="inlineStr">
        <is>
          <t>VÄSTERBOTTENS LÄN</t>
        </is>
      </c>
      <c r="E2468" t="inlineStr">
        <is>
          <t>VINDELN</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57020-2024</t>
        </is>
      </c>
      <c r="B2469" s="1" t="n">
        <v>45626</v>
      </c>
      <c r="C2469" s="1" t="n">
        <v>46075</v>
      </c>
      <c r="D2469" t="inlineStr">
        <is>
          <t>VÄSTERBOTTENS LÄN</t>
        </is>
      </c>
      <c r="E2469" t="inlineStr">
        <is>
          <t>SORSELE</t>
        </is>
      </c>
      <c r="G2469" t="n">
        <v>4</v>
      </c>
      <c r="H2469" t="n">
        <v>0</v>
      </c>
      <c r="I2469" t="n">
        <v>0</v>
      </c>
      <c r="J2469" t="n">
        <v>0</v>
      </c>
      <c r="K2469" t="n">
        <v>0</v>
      </c>
      <c r="L2469" t="n">
        <v>0</v>
      </c>
      <c r="M2469" t="n">
        <v>0</v>
      </c>
      <c r="N2469" t="n">
        <v>0</v>
      </c>
      <c r="O2469" t="n">
        <v>0</v>
      </c>
      <c r="P2469" t="n">
        <v>0</v>
      </c>
      <c r="Q2469" t="n">
        <v>0</v>
      </c>
      <c r="R2469" s="2" t="inlineStr"/>
    </row>
    <row r="2470" ht="15" customHeight="1">
      <c r="A2470" t="inlineStr">
        <is>
          <t>A 60892-2022</t>
        </is>
      </c>
      <c r="B2470" s="1" t="n">
        <v>44908</v>
      </c>
      <c r="C2470" s="1" t="n">
        <v>46075</v>
      </c>
      <c r="D2470" t="inlineStr">
        <is>
          <t>VÄSTERBOTTENS LÄN</t>
        </is>
      </c>
      <c r="E2470" t="inlineStr">
        <is>
          <t>SORSELE</t>
        </is>
      </c>
      <c r="G2470" t="n">
        <v>4.9</v>
      </c>
      <c r="H2470" t="n">
        <v>0</v>
      </c>
      <c r="I2470" t="n">
        <v>0</v>
      </c>
      <c r="J2470" t="n">
        <v>0</v>
      </c>
      <c r="K2470" t="n">
        <v>0</v>
      </c>
      <c r="L2470" t="n">
        <v>0</v>
      </c>
      <c r="M2470" t="n">
        <v>0</v>
      </c>
      <c r="N2470" t="n">
        <v>0</v>
      </c>
      <c r="O2470" t="n">
        <v>0</v>
      </c>
      <c r="P2470" t="n">
        <v>0</v>
      </c>
      <c r="Q2470" t="n">
        <v>0</v>
      </c>
      <c r="R2470" s="2" t="inlineStr"/>
    </row>
    <row r="2471" ht="15" customHeight="1">
      <c r="A2471" t="inlineStr">
        <is>
          <t>A 59736-2021</t>
        </is>
      </c>
      <c r="B2471" s="1" t="n">
        <v>44494.44145833333</v>
      </c>
      <c r="C2471" s="1" t="n">
        <v>46075</v>
      </c>
      <c r="D2471" t="inlineStr">
        <is>
          <t>VÄSTERBOTTENS LÄN</t>
        </is>
      </c>
      <c r="E2471" t="inlineStr">
        <is>
          <t>SKELLEFTEÅ</t>
        </is>
      </c>
      <c r="F2471" t="inlineStr">
        <is>
          <t>Sveaskog</t>
        </is>
      </c>
      <c r="G2471" t="n">
        <v>13.1</v>
      </c>
      <c r="H2471" t="n">
        <v>0</v>
      </c>
      <c r="I2471" t="n">
        <v>0</v>
      </c>
      <c r="J2471" t="n">
        <v>0</v>
      </c>
      <c r="K2471" t="n">
        <v>0</v>
      </c>
      <c r="L2471" t="n">
        <v>0</v>
      </c>
      <c r="M2471" t="n">
        <v>0</v>
      </c>
      <c r="N2471" t="n">
        <v>0</v>
      </c>
      <c r="O2471" t="n">
        <v>0</v>
      </c>
      <c r="P2471" t="n">
        <v>0</v>
      </c>
      <c r="Q2471" t="n">
        <v>0</v>
      </c>
      <c r="R2471" s="2" t="inlineStr"/>
    </row>
    <row r="2472" ht="15" customHeight="1">
      <c r="A2472" t="inlineStr">
        <is>
          <t>A 2767-2025</t>
        </is>
      </c>
      <c r="B2472" s="1" t="n">
        <v>45677</v>
      </c>
      <c r="C2472" s="1" t="n">
        <v>46075</v>
      </c>
      <c r="D2472" t="inlineStr">
        <is>
          <t>VÄSTERBOTTENS LÄN</t>
        </is>
      </c>
      <c r="E2472" t="inlineStr">
        <is>
          <t>UMEÅ</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6725-2025</t>
        </is>
      </c>
      <c r="B2473" s="1" t="n">
        <v>45700</v>
      </c>
      <c r="C2473" s="1" t="n">
        <v>46075</v>
      </c>
      <c r="D2473" t="inlineStr">
        <is>
          <t>VÄSTERBOTTENS LÄN</t>
        </is>
      </c>
      <c r="E2473" t="inlineStr">
        <is>
          <t>ROBERTSFORS</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41960-2024</t>
        </is>
      </c>
      <c r="B2474" s="1" t="n">
        <v>45561</v>
      </c>
      <c r="C2474" s="1" t="n">
        <v>46075</v>
      </c>
      <c r="D2474" t="inlineStr">
        <is>
          <t>VÄSTERBOTTENS LÄN</t>
        </is>
      </c>
      <c r="E2474" t="inlineStr">
        <is>
          <t>ÅSELE</t>
        </is>
      </c>
      <c r="F2474" t="inlineStr">
        <is>
          <t>Holmen skog AB</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41977-2024</t>
        </is>
      </c>
      <c r="B2475" s="1" t="n">
        <v>45561.62664351852</v>
      </c>
      <c r="C2475" s="1" t="n">
        <v>46075</v>
      </c>
      <c r="D2475" t="inlineStr">
        <is>
          <t>VÄSTERBOTTENS LÄN</t>
        </is>
      </c>
      <c r="E2475" t="inlineStr">
        <is>
          <t>LYCKSELE</t>
        </is>
      </c>
      <c r="F2475" t="inlineStr">
        <is>
          <t>Sveaskog</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41982-2024</t>
        </is>
      </c>
      <c r="B2476" s="1" t="n">
        <v>45561.63295138889</v>
      </c>
      <c r="C2476" s="1" t="n">
        <v>46075</v>
      </c>
      <c r="D2476" t="inlineStr">
        <is>
          <t>VÄSTERBOTTENS LÄN</t>
        </is>
      </c>
      <c r="E2476" t="inlineStr">
        <is>
          <t>LYCKSELE</t>
        </is>
      </c>
      <c r="F2476" t="inlineStr">
        <is>
          <t>Sveaskog</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8328-2023</t>
        </is>
      </c>
      <c r="B2477" s="1" t="n">
        <v>44974.84518518519</v>
      </c>
      <c r="C2477" s="1" t="n">
        <v>46075</v>
      </c>
      <c r="D2477" t="inlineStr">
        <is>
          <t>VÄSTERBOTTENS LÄN</t>
        </is>
      </c>
      <c r="E2477" t="inlineStr">
        <is>
          <t>SKELLEFTEÅ</t>
        </is>
      </c>
      <c r="G2477" t="n">
        <v>18.5</v>
      </c>
      <c r="H2477" t="n">
        <v>0</v>
      </c>
      <c r="I2477" t="n">
        <v>0</v>
      </c>
      <c r="J2477" t="n">
        <v>0</v>
      </c>
      <c r="K2477" t="n">
        <v>0</v>
      </c>
      <c r="L2477" t="n">
        <v>0</v>
      </c>
      <c r="M2477" t="n">
        <v>0</v>
      </c>
      <c r="N2477" t="n">
        <v>0</v>
      </c>
      <c r="O2477" t="n">
        <v>0</v>
      </c>
      <c r="P2477" t="n">
        <v>0</v>
      </c>
      <c r="Q2477" t="n">
        <v>0</v>
      </c>
      <c r="R2477" s="2" t="inlineStr"/>
    </row>
    <row r="2478" ht="15" customHeight="1">
      <c r="A2478" t="inlineStr">
        <is>
          <t>A 31946-2024</t>
        </is>
      </c>
      <c r="B2478" s="1" t="n">
        <v>45510</v>
      </c>
      <c r="C2478" s="1" t="n">
        <v>46075</v>
      </c>
      <c r="D2478" t="inlineStr">
        <is>
          <t>VÄSTERBOTTENS LÄN</t>
        </is>
      </c>
      <c r="E2478" t="inlineStr">
        <is>
          <t>VINDELN</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32891-2024</t>
        </is>
      </c>
      <c r="B2479" s="1" t="n">
        <v>45516.83846064815</v>
      </c>
      <c r="C2479" s="1" t="n">
        <v>46075</v>
      </c>
      <c r="D2479" t="inlineStr">
        <is>
          <t>VÄSTERBOTTENS LÄN</t>
        </is>
      </c>
      <c r="E2479" t="inlineStr">
        <is>
          <t>NORSJÖ</t>
        </is>
      </c>
      <c r="F2479" t="inlineStr">
        <is>
          <t>Holmen skog AB</t>
        </is>
      </c>
      <c r="G2479" t="n">
        <v>13.9</v>
      </c>
      <c r="H2479" t="n">
        <v>0</v>
      </c>
      <c r="I2479" t="n">
        <v>0</v>
      </c>
      <c r="J2479" t="n">
        <v>0</v>
      </c>
      <c r="K2479" t="n">
        <v>0</v>
      </c>
      <c r="L2479" t="n">
        <v>0</v>
      </c>
      <c r="M2479" t="n">
        <v>0</v>
      </c>
      <c r="N2479" t="n">
        <v>0</v>
      </c>
      <c r="O2479" t="n">
        <v>0</v>
      </c>
      <c r="P2479" t="n">
        <v>0</v>
      </c>
      <c r="Q2479" t="n">
        <v>0</v>
      </c>
      <c r="R2479" s="2" t="inlineStr"/>
    </row>
    <row r="2480" ht="15" customHeight="1">
      <c r="A2480" t="inlineStr">
        <is>
          <t>A 13181-2022</t>
        </is>
      </c>
      <c r="B2480" s="1" t="n">
        <v>44644.47650462963</v>
      </c>
      <c r="C2480" s="1" t="n">
        <v>46075</v>
      </c>
      <c r="D2480" t="inlineStr">
        <is>
          <t>VÄSTERBOTTENS LÄN</t>
        </is>
      </c>
      <c r="E2480" t="inlineStr">
        <is>
          <t>UMEÅ</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31966-2024</t>
        </is>
      </c>
      <c r="B2481" s="1" t="n">
        <v>45510.53748842593</v>
      </c>
      <c r="C2481" s="1" t="n">
        <v>46075</v>
      </c>
      <c r="D2481" t="inlineStr">
        <is>
          <t>VÄSTERBOTTENS LÄN</t>
        </is>
      </c>
      <c r="E2481" t="inlineStr">
        <is>
          <t>SKELLEFTEÅ</t>
        </is>
      </c>
      <c r="F2481" t="inlineStr">
        <is>
          <t>Holmen skog AB</t>
        </is>
      </c>
      <c r="G2481" t="n">
        <v>6.5</v>
      </c>
      <c r="H2481" t="n">
        <v>0</v>
      </c>
      <c r="I2481" t="n">
        <v>0</v>
      </c>
      <c r="J2481" t="n">
        <v>0</v>
      </c>
      <c r="K2481" t="n">
        <v>0</v>
      </c>
      <c r="L2481" t="n">
        <v>0</v>
      </c>
      <c r="M2481" t="n">
        <v>0</v>
      </c>
      <c r="N2481" t="n">
        <v>0</v>
      </c>
      <c r="O2481" t="n">
        <v>0</v>
      </c>
      <c r="P2481" t="n">
        <v>0</v>
      </c>
      <c r="Q2481" t="n">
        <v>0</v>
      </c>
      <c r="R2481" s="2" t="inlineStr"/>
    </row>
    <row r="2482" ht="15" customHeight="1">
      <c r="A2482" t="inlineStr">
        <is>
          <t>A 51134-2024</t>
        </is>
      </c>
      <c r="B2482" s="1" t="n">
        <v>45603</v>
      </c>
      <c r="C2482" s="1" t="n">
        <v>46075</v>
      </c>
      <c r="D2482" t="inlineStr">
        <is>
          <t>VÄSTERBOTTENS LÄN</t>
        </is>
      </c>
      <c r="E2482" t="inlineStr">
        <is>
          <t>VILHELMINA</t>
        </is>
      </c>
      <c r="F2482" t="inlineStr">
        <is>
          <t>SCA</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8409-2022</t>
        </is>
      </c>
      <c r="B2483" s="1" t="n">
        <v>44610.92238425926</v>
      </c>
      <c r="C2483" s="1" t="n">
        <v>46075</v>
      </c>
      <c r="D2483" t="inlineStr">
        <is>
          <t>VÄSTERBOTTENS LÄN</t>
        </is>
      </c>
      <c r="E2483" t="inlineStr">
        <is>
          <t>UMEÅ</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54619-2024</t>
        </is>
      </c>
      <c r="B2484" s="1" t="n">
        <v>45617.73600694445</v>
      </c>
      <c r="C2484" s="1" t="n">
        <v>46075</v>
      </c>
      <c r="D2484" t="inlineStr">
        <is>
          <t>VÄSTERBOTTENS LÄN</t>
        </is>
      </c>
      <c r="E2484" t="inlineStr">
        <is>
          <t>LYCKSELE</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28808-2024</t>
        </is>
      </c>
      <c r="B2485" s="1" t="n">
        <v>45478</v>
      </c>
      <c r="C2485" s="1" t="n">
        <v>46075</v>
      </c>
      <c r="D2485" t="inlineStr">
        <is>
          <t>VÄSTERBOTTENS LÄN</t>
        </is>
      </c>
      <c r="E2485" t="inlineStr">
        <is>
          <t>NORSJÖ</t>
        </is>
      </c>
      <c r="G2485" t="n">
        <v>8.699999999999999</v>
      </c>
      <c r="H2485" t="n">
        <v>0</v>
      </c>
      <c r="I2485" t="n">
        <v>0</v>
      </c>
      <c r="J2485" t="n">
        <v>0</v>
      </c>
      <c r="K2485" t="n">
        <v>0</v>
      </c>
      <c r="L2485" t="n">
        <v>0</v>
      </c>
      <c r="M2485" t="n">
        <v>0</v>
      </c>
      <c r="N2485" t="n">
        <v>0</v>
      </c>
      <c r="O2485" t="n">
        <v>0</v>
      </c>
      <c r="P2485" t="n">
        <v>0</v>
      </c>
      <c r="Q2485" t="n">
        <v>0</v>
      </c>
      <c r="R2485" s="2" t="inlineStr"/>
    </row>
    <row r="2486" ht="15" customHeight="1">
      <c r="A2486" t="inlineStr">
        <is>
          <t>A 43592-2024</t>
        </is>
      </c>
      <c r="B2486" s="1" t="n">
        <v>45569.44123842593</v>
      </c>
      <c r="C2486" s="1" t="n">
        <v>46075</v>
      </c>
      <c r="D2486" t="inlineStr">
        <is>
          <t>VÄSTERBOTTENS LÄN</t>
        </is>
      </c>
      <c r="E2486" t="inlineStr">
        <is>
          <t>NORSJÖ</t>
        </is>
      </c>
      <c r="F2486" t="inlineStr">
        <is>
          <t>Holmen skog AB</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19189-2024</t>
        </is>
      </c>
      <c r="B2487" s="1" t="n">
        <v>45428</v>
      </c>
      <c r="C2487" s="1" t="n">
        <v>46075</v>
      </c>
      <c r="D2487" t="inlineStr">
        <is>
          <t>VÄSTERBOTTENS LÄN</t>
        </is>
      </c>
      <c r="E2487" t="inlineStr">
        <is>
          <t>UMEÅ</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31738-2023</t>
        </is>
      </c>
      <c r="B2488" s="1" t="n">
        <v>45117.95247685185</v>
      </c>
      <c r="C2488" s="1" t="n">
        <v>46075</v>
      </c>
      <c r="D2488" t="inlineStr">
        <is>
          <t>VÄSTERBOTTENS LÄN</t>
        </is>
      </c>
      <c r="E2488" t="inlineStr">
        <is>
          <t>BJURHOLM</t>
        </is>
      </c>
      <c r="F2488" t="inlineStr">
        <is>
          <t>SCA</t>
        </is>
      </c>
      <c r="G2488" t="n">
        <v>4.8</v>
      </c>
      <c r="H2488" t="n">
        <v>0</v>
      </c>
      <c r="I2488" t="n">
        <v>0</v>
      </c>
      <c r="J2488" t="n">
        <v>0</v>
      </c>
      <c r="K2488" t="n">
        <v>0</v>
      </c>
      <c r="L2488" t="n">
        <v>0</v>
      </c>
      <c r="M2488" t="n">
        <v>0</v>
      </c>
      <c r="N2488" t="n">
        <v>0</v>
      </c>
      <c r="O2488" t="n">
        <v>0</v>
      </c>
      <c r="P2488" t="n">
        <v>0</v>
      </c>
      <c r="Q2488" t="n">
        <v>0</v>
      </c>
      <c r="R2488" s="2" t="inlineStr"/>
    </row>
    <row r="2489" ht="15" customHeight="1">
      <c r="A2489" t="inlineStr">
        <is>
          <t>A 46063-2023</t>
        </is>
      </c>
      <c r="B2489" s="1" t="n">
        <v>45196</v>
      </c>
      <c r="C2489" s="1" t="n">
        <v>46075</v>
      </c>
      <c r="D2489" t="inlineStr">
        <is>
          <t>VÄSTERBOTTENS LÄN</t>
        </is>
      </c>
      <c r="E2489" t="inlineStr">
        <is>
          <t>MALÅ</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45924-2024</t>
        </is>
      </c>
      <c r="B2490" s="1" t="n">
        <v>45580.47027777778</v>
      </c>
      <c r="C2490" s="1" t="n">
        <v>46075</v>
      </c>
      <c r="D2490" t="inlineStr">
        <is>
          <t>VÄSTERBOTTENS LÄN</t>
        </is>
      </c>
      <c r="E2490" t="inlineStr">
        <is>
          <t>ROBERTSFORS</t>
        </is>
      </c>
      <c r="F2490" t="inlineStr">
        <is>
          <t>Holmen skog AB</t>
        </is>
      </c>
      <c r="G2490" t="n">
        <v>5.2</v>
      </c>
      <c r="H2490" t="n">
        <v>0</v>
      </c>
      <c r="I2490" t="n">
        <v>0</v>
      </c>
      <c r="J2490" t="n">
        <v>0</v>
      </c>
      <c r="K2490" t="n">
        <v>0</v>
      </c>
      <c r="L2490" t="n">
        <v>0</v>
      </c>
      <c r="M2490" t="n">
        <v>0</v>
      </c>
      <c r="N2490" t="n">
        <v>0</v>
      </c>
      <c r="O2490" t="n">
        <v>0</v>
      </c>
      <c r="P2490" t="n">
        <v>0</v>
      </c>
      <c r="Q2490" t="n">
        <v>0</v>
      </c>
      <c r="R2490" s="2" t="inlineStr"/>
    </row>
    <row r="2491" ht="15" customHeight="1">
      <c r="A2491" t="inlineStr">
        <is>
          <t>A 62119-2022</t>
        </is>
      </c>
      <c r="B2491" s="1" t="n">
        <v>44921.69261574074</v>
      </c>
      <c r="C2491" s="1" t="n">
        <v>46075</v>
      </c>
      <c r="D2491" t="inlineStr">
        <is>
          <t>VÄSTERBOTTENS LÄN</t>
        </is>
      </c>
      <c r="E2491" t="inlineStr">
        <is>
          <t>NORDMALING</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38060-2023</t>
        </is>
      </c>
      <c r="B2492" s="1" t="n">
        <v>45159</v>
      </c>
      <c r="C2492" s="1" t="n">
        <v>46075</v>
      </c>
      <c r="D2492" t="inlineStr">
        <is>
          <t>VÄSTERBOTTENS LÄN</t>
        </is>
      </c>
      <c r="E2492" t="inlineStr">
        <is>
          <t>VINDELN</t>
        </is>
      </c>
      <c r="G2492" t="n">
        <v>6.4</v>
      </c>
      <c r="H2492" t="n">
        <v>0</v>
      </c>
      <c r="I2492" t="n">
        <v>0</v>
      </c>
      <c r="J2492" t="n">
        <v>0</v>
      </c>
      <c r="K2492" t="n">
        <v>0</v>
      </c>
      <c r="L2492" t="n">
        <v>0</v>
      </c>
      <c r="M2492" t="n">
        <v>0</v>
      </c>
      <c r="N2492" t="n">
        <v>0</v>
      </c>
      <c r="O2492" t="n">
        <v>0</v>
      </c>
      <c r="P2492" t="n">
        <v>0</v>
      </c>
      <c r="Q2492" t="n">
        <v>0</v>
      </c>
      <c r="R2492" s="2" t="inlineStr"/>
    </row>
    <row r="2493" ht="15" customHeight="1">
      <c r="A2493" t="inlineStr">
        <is>
          <t>A 46743-2023</t>
        </is>
      </c>
      <c r="B2493" s="1" t="n">
        <v>45195</v>
      </c>
      <c r="C2493" s="1" t="n">
        <v>46075</v>
      </c>
      <c r="D2493" t="inlineStr">
        <is>
          <t>VÄSTERBOTTENS LÄN</t>
        </is>
      </c>
      <c r="E2493" t="inlineStr">
        <is>
          <t>BJURHOLM</t>
        </is>
      </c>
      <c r="G2493" t="n">
        <v>12.9</v>
      </c>
      <c r="H2493" t="n">
        <v>0</v>
      </c>
      <c r="I2493" t="n">
        <v>0</v>
      </c>
      <c r="J2493" t="n">
        <v>0</v>
      </c>
      <c r="K2493" t="n">
        <v>0</v>
      </c>
      <c r="L2493" t="n">
        <v>0</v>
      </c>
      <c r="M2493" t="n">
        <v>0</v>
      </c>
      <c r="N2493" t="n">
        <v>0</v>
      </c>
      <c r="O2493" t="n">
        <v>0</v>
      </c>
      <c r="P2493" t="n">
        <v>0</v>
      </c>
      <c r="Q2493" t="n">
        <v>0</v>
      </c>
      <c r="R2493" s="2" t="inlineStr"/>
    </row>
    <row r="2494" ht="15" customHeight="1">
      <c r="A2494" t="inlineStr">
        <is>
          <t>A 31421-2023</t>
        </is>
      </c>
      <c r="B2494" s="1" t="n">
        <v>45114.60027777778</v>
      </c>
      <c r="C2494" s="1" t="n">
        <v>46075</v>
      </c>
      <c r="D2494" t="inlineStr">
        <is>
          <t>VÄSTERBOTTENS LÄN</t>
        </is>
      </c>
      <c r="E2494" t="inlineStr">
        <is>
          <t>VÄNNÄS</t>
        </is>
      </c>
      <c r="F2494" t="inlineStr">
        <is>
          <t>Holmen skog AB</t>
        </is>
      </c>
      <c r="G2494" t="n">
        <v>5.8</v>
      </c>
      <c r="H2494" t="n">
        <v>0</v>
      </c>
      <c r="I2494" t="n">
        <v>0</v>
      </c>
      <c r="J2494" t="n">
        <v>0</v>
      </c>
      <c r="K2494" t="n">
        <v>0</v>
      </c>
      <c r="L2494" t="n">
        <v>0</v>
      </c>
      <c r="M2494" t="n">
        <v>0</v>
      </c>
      <c r="N2494" t="n">
        <v>0</v>
      </c>
      <c r="O2494" t="n">
        <v>0</v>
      </c>
      <c r="P2494" t="n">
        <v>0</v>
      </c>
      <c r="Q2494" t="n">
        <v>0</v>
      </c>
      <c r="R2494" s="2" t="inlineStr"/>
    </row>
    <row r="2495" ht="15" customHeight="1">
      <c r="A2495" t="inlineStr">
        <is>
          <t>A 16455-2024</t>
        </is>
      </c>
      <c r="B2495" s="1" t="n">
        <v>45407</v>
      </c>
      <c r="C2495" s="1" t="n">
        <v>46075</v>
      </c>
      <c r="D2495" t="inlineStr">
        <is>
          <t>VÄSTERBOTTENS LÄN</t>
        </is>
      </c>
      <c r="E2495" t="inlineStr">
        <is>
          <t>NORDMALING</t>
        </is>
      </c>
      <c r="G2495" t="n">
        <v>3.5</v>
      </c>
      <c r="H2495" t="n">
        <v>0</v>
      </c>
      <c r="I2495" t="n">
        <v>0</v>
      </c>
      <c r="J2495" t="n">
        <v>0</v>
      </c>
      <c r="K2495" t="n">
        <v>0</v>
      </c>
      <c r="L2495" t="n">
        <v>0</v>
      </c>
      <c r="M2495" t="n">
        <v>0</v>
      </c>
      <c r="N2495" t="n">
        <v>0</v>
      </c>
      <c r="O2495" t="n">
        <v>0</v>
      </c>
      <c r="P2495" t="n">
        <v>0</v>
      </c>
      <c r="Q2495" t="n">
        <v>0</v>
      </c>
      <c r="R2495" s="2" t="inlineStr"/>
    </row>
    <row r="2496" ht="15" customHeight="1">
      <c r="A2496" t="inlineStr">
        <is>
          <t>A 60015-2023</t>
        </is>
      </c>
      <c r="B2496" s="1" t="n">
        <v>45257.97371527777</v>
      </c>
      <c r="C2496" s="1" t="n">
        <v>46075</v>
      </c>
      <c r="D2496" t="inlineStr">
        <is>
          <t>VÄSTERBOTTENS LÄN</t>
        </is>
      </c>
      <c r="E2496" t="inlineStr">
        <is>
          <t>DOROTEA</t>
        </is>
      </c>
      <c r="F2496" t="inlineStr">
        <is>
          <t>SCA</t>
        </is>
      </c>
      <c r="G2496" t="n">
        <v>3.8</v>
      </c>
      <c r="H2496" t="n">
        <v>0</v>
      </c>
      <c r="I2496" t="n">
        <v>0</v>
      </c>
      <c r="J2496" t="n">
        <v>0</v>
      </c>
      <c r="K2496" t="n">
        <v>0</v>
      </c>
      <c r="L2496" t="n">
        <v>0</v>
      </c>
      <c r="M2496" t="n">
        <v>0</v>
      </c>
      <c r="N2496" t="n">
        <v>0</v>
      </c>
      <c r="O2496" t="n">
        <v>0</v>
      </c>
      <c r="P2496" t="n">
        <v>0</v>
      </c>
      <c r="Q2496" t="n">
        <v>0</v>
      </c>
      <c r="R2496" s="2" t="inlineStr"/>
    </row>
    <row r="2497" ht="15" customHeight="1">
      <c r="A2497" t="inlineStr">
        <is>
          <t>A 34035-2023</t>
        </is>
      </c>
      <c r="B2497" s="1" t="n">
        <v>45135.41648148148</v>
      </c>
      <c r="C2497" s="1" t="n">
        <v>46075</v>
      </c>
      <c r="D2497" t="inlineStr">
        <is>
          <t>VÄSTERBOTTENS LÄN</t>
        </is>
      </c>
      <c r="E2497" t="inlineStr">
        <is>
          <t>SKELLEFTEÅ</t>
        </is>
      </c>
      <c r="F2497" t="inlineStr">
        <is>
          <t>Holmen skog AB</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34043-2023</t>
        </is>
      </c>
      <c r="B2498" s="1" t="n">
        <v>45135</v>
      </c>
      <c r="C2498" s="1" t="n">
        <v>46075</v>
      </c>
      <c r="D2498" t="inlineStr">
        <is>
          <t>VÄSTERBOTTENS LÄN</t>
        </is>
      </c>
      <c r="E2498" t="inlineStr">
        <is>
          <t>LYCKSELE</t>
        </is>
      </c>
      <c r="F2498" t="inlineStr">
        <is>
          <t>Holmen skog AB</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60035-2023</t>
        </is>
      </c>
      <c r="B2499" s="1" t="n">
        <v>45254</v>
      </c>
      <c r="C2499" s="1" t="n">
        <v>46075</v>
      </c>
      <c r="D2499" t="inlineStr">
        <is>
          <t>VÄSTERBOTTENS LÄN</t>
        </is>
      </c>
      <c r="E2499" t="inlineStr">
        <is>
          <t>VILHELMINA</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49433-2022</t>
        </is>
      </c>
      <c r="B2500" s="1" t="n">
        <v>44859</v>
      </c>
      <c r="C2500" s="1" t="n">
        <v>46075</v>
      </c>
      <c r="D2500" t="inlineStr">
        <is>
          <t>VÄSTERBOTTENS LÄN</t>
        </is>
      </c>
      <c r="E2500" t="inlineStr">
        <is>
          <t>SKELLEFTEÅ</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28337-2022</t>
        </is>
      </c>
      <c r="B2501" s="1" t="n">
        <v>44747.42982638889</v>
      </c>
      <c r="C2501" s="1" t="n">
        <v>46075</v>
      </c>
      <c r="D2501" t="inlineStr">
        <is>
          <t>VÄSTERBOTTENS LÄN</t>
        </is>
      </c>
      <c r="E2501" t="inlineStr">
        <is>
          <t>VÄNNÄS</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54725-2022</t>
        </is>
      </c>
      <c r="B2502" s="1" t="n">
        <v>44883.55074074074</v>
      </c>
      <c r="C2502" s="1" t="n">
        <v>46075</v>
      </c>
      <c r="D2502" t="inlineStr">
        <is>
          <t>VÄSTERBOTTENS LÄN</t>
        </is>
      </c>
      <c r="E2502" t="inlineStr">
        <is>
          <t>VINDELN</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23168-2024</t>
        </is>
      </c>
      <c r="B2503" s="1" t="n">
        <v>45450</v>
      </c>
      <c r="C2503" s="1" t="n">
        <v>46075</v>
      </c>
      <c r="D2503" t="inlineStr">
        <is>
          <t>VÄSTERBOTTENS LÄN</t>
        </is>
      </c>
      <c r="E2503" t="inlineStr">
        <is>
          <t>SKELLEFTEÅ</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37714-2024</t>
        </is>
      </c>
      <c r="B2504" s="1" t="n">
        <v>45541.63569444444</v>
      </c>
      <c r="C2504" s="1" t="n">
        <v>46075</v>
      </c>
      <c r="D2504" t="inlineStr">
        <is>
          <t>VÄSTERBOTTENS LÄN</t>
        </is>
      </c>
      <c r="E2504" t="inlineStr">
        <is>
          <t>VILHELMINA</t>
        </is>
      </c>
      <c r="F2504" t="inlineStr">
        <is>
          <t>SCA</t>
        </is>
      </c>
      <c r="G2504" t="n">
        <v>4.4</v>
      </c>
      <c r="H2504" t="n">
        <v>0</v>
      </c>
      <c r="I2504" t="n">
        <v>0</v>
      </c>
      <c r="J2504" t="n">
        <v>0</v>
      </c>
      <c r="K2504" t="n">
        <v>0</v>
      </c>
      <c r="L2504" t="n">
        <v>0</v>
      </c>
      <c r="M2504" t="n">
        <v>0</v>
      </c>
      <c r="N2504" t="n">
        <v>0</v>
      </c>
      <c r="O2504" t="n">
        <v>0</v>
      </c>
      <c r="P2504" t="n">
        <v>0</v>
      </c>
      <c r="Q2504" t="n">
        <v>0</v>
      </c>
      <c r="R2504" s="2" t="inlineStr"/>
    </row>
    <row r="2505" ht="15" customHeight="1">
      <c r="A2505" t="inlineStr">
        <is>
          <t>A 37715-2024</t>
        </is>
      </c>
      <c r="B2505" s="1" t="n">
        <v>45541.63581018519</v>
      </c>
      <c r="C2505" s="1" t="n">
        <v>46075</v>
      </c>
      <c r="D2505" t="inlineStr">
        <is>
          <t>VÄSTERBOTTENS LÄN</t>
        </is>
      </c>
      <c r="E2505" t="inlineStr">
        <is>
          <t>VILHELMINA</t>
        </is>
      </c>
      <c r="F2505" t="inlineStr">
        <is>
          <t>SCA</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14407-2023</t>
        </is>
      </c>
      <c r="B2506" s="1" t="n">
        <v>45012.50180555556</v>
      </c>
      <c r="C2506" s="1" t="n">
        <v>46075</v>
      </c>
      <c r="D2506" t="inlineStr">
        <is>
          <t>VÄSTERBOTTENS LÄN</t>
        </is>
      </c>
      <c r="E2506" t="inlineStr">
        <is>
          <t>UMEÅ</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23205-2024</t>
        </is>
      </c>
      <c r="B2507" s="1" t="n">
        <v>45451</v>
      </c>
      <c r="C2507" s="1" t="n">
        <v>46075</v>
      </c>
      <c r="D2507" t="inlineStr">
        <is>
          <t>VÄSTERBOTTENS LÄN</t>
        </is>
      </c>
      <c r="E2507" t="inlineStr">
        <is>
          <t>BJURHOLM</t>
        </is>
      </c>
      <c r="F2507" t="inlineStr">
        <is>
          <t>SCA</t>
        </is>
      </c>
      <c r="G2507" t="n">
        <v>3.7</v>
      </c>
      <c r="H2507" t="n">
        <v>0</v>
      </c>
      <c r="I2507" t="n">
        <v>0</v>
      </c>
      <c r="J2507" t="n">
        <v>0</v>
      </c>
      <c r="K2507" t="n">
        <v>0</v>
      </c>
      <c r="L2507" t="n">
        <v>0</v>
      </c>
      <c r="M2507" t="n">
        <v>0</v>
      </c>
      <c r="N2507" t="n">
        <v>0</v>
      </c>
      <c r="O2507" t="n">
        <v>0</v>
      </c>
      <c r="P2507" t="n">
        <v>0</v>
      </c>
      <c r="Q2507" t="n">
        <v>0</v>
      </c>
      <c r="R2507" s="2" t="inlineStr"/>
    </row>
    <row r="2508" ht="15" customHeight="1">
      <c r="A2508" t="inlineStr">
        <is>
          <t>A 59549-2023</t>
        </is>
      </c>
      <c r="B2508" s="1" t="n">
        <v>45253</v>
      </c>
      <c r="C2508" s="1" t="n">
        <v>46075</v>
      </c>
      <c r="D2508" t="inlineStr">
        <is>
          <t>VÄSTERBOTTENS LÄN</t>
        </is>
      </c>
      <c r="E2508" t="inlineStr">
        <is>
          <t>ROBERTSFORS</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36416-2024</t>
        </is>
      </c>
      <c r="B2509" s="1" t="n">
        <v>45536</v>
      </c>
      <c r="C2509" s="1" t="n">
        <v>46075</v>
      </c>
      <c r="D2509" t="inlineStr">
        <is>
          <t>VÄSTERBOTTENS LÄN</t>
        </is>
      </c>
      <c r="E2509" t="inlineStr">
        <is>
          <t>BJURHOLM</t>
        </is>
      </c>
      <c r="G2509" t="n">
        <v>0</v>
      </c>
      <c r="H2509" t="n">
        <v>0</v>
      </c>
      <c r="I2509" t="n">
        <v>0</v>
      </c>
      <c r="J2509" t="n">
        <v>0</v>
      </c>
      <c r="K2509" t="n">
        <v>0</v>
      </c>
      <c r="L2509" t="n">
        <v>0</v>
      </c>
      <c r="M2509" t="n">
        <v>0</v>
      </c>
      <c r="N2509" t="n">
        <v>0</v>
      </c>
      <c r="O2509" t="n">
        <v>0</v>
      </c>
      <c r="P2509" t="n">
        <v>0</v>
      </c>
      <c r="Q2509" t="n">
        <v>0</v>
      </c>
      <c r="R2509" s="2" t="inlineStr"/>
    </row>
    <row r="2510" ht="15" customHeight="1">
      <c r="A2510" t="inlineStr">
        <is>
          <t>A 48572-2023</t>
        </is>
      </c>
      <c r="B2510" s="1" t="n">
        <v>45202</v>
      </c>
      <c r="C2510" s="1" t="n">
        <v>46075</v>
      </c>
      <c r="D2510" t="inlineStr">
        <is>
          <t>VÄSTERBOTTENS LÄN</t>
        </is>
      </c>
      <c r="E2510" t="inlineStr">
        <is>
          <t>MALÅ</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14653-2024</t>
        </is>
      </c>
      <c r="B2511" s="1" t="n">
        <v>45397.4034375</v>
      </c>
      <c r="C2511" s="1" t="n">
        <v>46075</v>
      </c>
      <c r="D2511" t="inlineStr">
        <is>
          <t>VÄSTERBOTTENS LÄN</t>
        </is>
      </c>
      <c r="E2511" t="inlineStr">
        <is>
          <t>SKELLEFTEÅ</t>
        </is>
      </c>
      <c r="G2511" t="n">
        <v>5.1</v>
      </c>
      <c r="H2511" t="n">
        <v>0</v>
      </c>
      <c r="I2511" t="n">
        <v>0</v>
      </c>
      <c r="J2511" t="n">
        <v>0</v>
      </c>
      <c r="K2511" t="n">
        <v>0</v>
      </c>
      <c r="L2511" t="n">
        <v>0</v>
      </c>
      <c r="M2511" t="n">
        <v>0</v>
      </c>
      <c r="N2511" t="n">
        <v>0</v>
      </c>
      <c r="O2511" t="n">
        <v>0</v>
      </c>
      <c r="P2511" t="n">
        <v>0</v>
      </c>
      <c r="Q2511" t="n">
        <v>0</v>
      </c>
      <c r="R2511" s="2" t="inlineStr"/>
    </row>
    <row r="2512" ht="15" customHeight="1">
      <c r="A2512" t="inlineStr">
        <is>
          <t>A 49275-2024</t>
        </is>
      </c>
      <c r="B2512" s="1" t="n">
        <v>45595.50810185185</v>
      </c>
      <c r="C2512" s="1" t="n">
        <v>46075</v>
      </c>
      <c r="D2512" t="inlineStr">
        <is>
          <t>VÄSTERBOTTENS LÄN</t>
        </is>
      </c>
      <c r="E2512" t="inlineStr">
        <is>
          <t>MALÅ</t>
        </is>
      </c>
      <c r="G2512" t="n">
        <v>5.3</v>
      </c>
      <c r="H2512" t="n">
        <v>0</v>
      </c>
      <c r="I2512" t="n">
        <v>0</v>
      </c>
      <c r="J2512" t="n">
        <v>0</v>
      </c>
      <c r="K2512" t="n">
        <v>0</v>
      </c>
      <c r="L2512" t="n">
        <v>0</v>
      </c>
      <c r="M2512" t="n">
        <v>0</v>
      </c>
      <c r="N2512" t="n">
        <v>0</v>
      </c>
      <c r="O2512" t="n">
        <v>0</v>
      </c>
      <c r="P2512" t="n">
        <v>0</v>
      </c>
      <c r="Q2512" t="n">
        <v>0</v>
      </c>
      <c r="R2512" s="2" t="inlineStr"/>
    </row>
    <row r="2513" ht="15" customHeight="1">
      <c r="A2513" t="inlineStr">
        <is>
          <t>A 49279-2024</t>
        </is>
      </c>
      <c r="B2513" s="1" t="n">
        <v>45595.50831018519</v>
      </c>
      <c r="C2513" s="1" t="n">
        <v>46075</v>
      </c>
      <c r="D2513" t="inlineStr">
        <is>
          <t>VÄSTERBOTTENS LÄN</t>
        </is>
      </c>
      <c r="E2513" t="inlineStr">
        <is>
          <t>SKELLEFTEÅ</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43855-2024</t>
        </is>
      </c>
      <c r="B2514" s="1" t="n">
        <v>45572.35674768518</v>
      </c>
      <c r="C2514" s="1" t="n">
        <v>46075</v>
      </c>
      <c r="D2514" t="inlineStr">
        <is>
          <t>VÄSTERBOTTENS LÄN</t>
        </is>
      </c>
      <c r="E2514" t="inlineStr">
        <is>
          <t>STORUMAN</t>
        </is>
      </c>
      <c r="G2514" t="n">
        <v>10.5</v>
      </c>
      <c r="H2514" t="n">
        <v>0</v>
      </c>
      <c r="I2514" t="n">
        <v>0</v>
      </c>
      <c r="J2514" t="n">
        <v>0</v>
      </c>
      <c r="K2514" t="n">
        <v>0</v>
      </c>
      <c r="L2514" t="n">
        <v>0</v>
      </c>
      <c r="M2514" t="n">
        <v>0</v>
      </c>
      <c r="N2514" t="n">
        <v>0</v>
      </c>
      <c r="O2514" t="n">
        <v>0</v>
      </c>
      <c r="P2514" t="n">
        <v>0</v>
      </c>
      <c r="Q2514" t="n">
        <v>0</v>
      </c>
      <c r="R2514" s="2" t="inlineStr"/>
    </row>
    <row r="2515" ht="15" customHeight="1">
      <c r="A2515" t="inlineStr">
        <is>
          <t>A 1639-2023</t>
        </is>
      </c>
      <c r="B2515" s="1" t="n">
        <v>44937</v>
      </c>
      <c r="C2515" s="1" t="n">
        <v>46075</v>
      </c>
      <c r="D2515" t="inlineStr">
        <is>
          <t>VÄSTERBOTTENS LÄN</t>
        </is>
      </c>
      <c r="E2515" t="inlineStr">
        <is>
          <t>SKELLEFTEÅ</t>
        </is>
      </c>
      <c r="G2515" t="n">
        <v>6</v>
      </c>
      <c r="H2515" t="n">
        <v>0</v>
      </c>
      <c r="I2515" t="n">
        <v>0</v>
      </c>
      <c r="J2515" t="n">
        <v>0</v>
      </c>
      <c r="K2515" t="n">
        <v>0</v>
      </c>
      <c r="L2515" t="n">
        <v>0</v>
      </c>
      <c r="M2515" t="n">
        <v>0</v>
      </c>
      <c r="N2515" t="n">
        <v>0</v>
      </c>
      <c r="O2515" t="n">
        <v>0</v>
      </c>
      <c r="P2515" t="n">
        <v>0</v>
      </c>
      <c r="Q2515" t="n">
        <v>0</v>
      </c>
      <c r="R2515" s="2" t="inlineStr"/>
    </row>
    <row r="2516" ht="15" customHeight="1">
      <c r="A2516" t="inlineStr">
        <is>
          <t>A 28094-2021</t>
        </is>
      </c>
      <c r="B2516" s="1" t="n">
        <v>44355</v>
      </c>
      <c r="C2516" s="1" t="n">
        <v>46075</v>
      </c>
      <c r="D2516" t="inlineStr">
        <is>
          <t>VÄSTERBOTTENS LÄN</t>
        </is>
      </c>
      <c r="E2516" t="inlineStr">
        <is>
          <t>SORSELE</t>
        </is>
      </c>
      <c r="G2516" t="n">
        <v>3.9</v>
      </c>
      <c r="H2516" t="n">
        <v>0</v>
      </c>
      <c r="I2516" t="n">
        <v>0</v>
      </c>
      <c r="J2516" t="n">
        <v>0</v>
      </c>
      <c r="K2516" t="n">
        <v>0</v>
      </c>
      <c r="L2516" t="n">
        <v>0</v>
      </c>
      <c r="M2516" t="n">
        <v>0</v>
      </c>
      <c r="N2516" t="n">
        <v>0</v>
      </c>
      <c r="O2516" t="n">
        <v>0</v>
      </c>
      <c r="P2516" t="n">
        <v>0</v>
      </c>
      <c r="Q2516" t="n">
        <v>0</v>
      </c>
      <c r="R2516" s="2" t="inlineStr"/>
    </row>
    <row r="2517" ht="15" customHeight="1">
      <c r="A2517" t="inlineStr">
        <is>
          <t>A 46164-2023</t>
        </is>
      </c>
      <c r="B2517" s="1" t="n">
        <v>45190</v>
      </c>
      <c r="C2517" s="1" t="n">
        <v>46075</v>
      </c>
      <c r="D2517" t="inlineStr">
        <is>
          <t>VÄSTERBOTTENS LÄN</t>
        </is>
      </c>
      <c r="E2517" t="inlineStr">
        <is>
          <t>VILHELMINA</t>
        </is>
      </c>
      <c r="G2517" t="n">
        <v>6.3</v>
      </c>
      <c r="H2517" t="n">
        <v>0</v>
      </c>
      <c r="I2517" t="n">
        <v>0</v>
      </c>
      <c r="J2517" t="n">
        <v>0</v>
      </c>
      <c r="K2517" t="n">
        <v>0</v>
      </c>
      <c r="L2517" t="n">
        <v>0</v>
      </c>
      <c r="M2517" t="n">
        <v>0</v>
      </c>
      <c r="N2517" t="n">
        <v>0</v>
      </c>
      <c r="O2517" t="n">
        <v>0</v>
      </c>
      <c r="P2517" t="n">
        <v>0</v>
      </c>
      <c r="Q2517" t="n">
        <v>0</v>
      </c>
      <c r="R2517" s="2" t="inlineStr"/>
    </row>
    <row r="2518" ht="15" customHeight="1">
      <c r="A2518" t="inlineStr">
        <is>
          <t>A 14332-2023</t>
        </is>
      </c>
      <c r="B2518" s="1" t="n">
        <v>45009</v>
      </c>
      <c r="C2518" s="1" t="n">
        <v>46075</v>
      </c>
      <c r="D2518" t="inlineStr">
        <is>
          <t>VÄSTERBOTTENS LÄN</t>
        </is>
      </c>
      <c r="E2518" t="inlineStr">
        <is>
          <t>SKELLEFTEÅ</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48248-2024</t>
        </is>
      </c>
      <c r="B2519" s="1" t="n">
        <v>45590.40659722222</v>
      </c>
      <c r="C2519" s="1" t="n">
        <v>46075</v>
      </c>
      <c r="D2519" t="inlineStr">
        <is>
          <t>VÄSTERBOTTENS LÄN</t>
        </is>
      </c>
      <c r="E2519" t="inlineStr">
        <is>
          <t>ÅSELE</t>
        </is>
      </c>
      <c r="F2519" t="inlineStr">
        <is>
          <t>SCA</t>
        </is>
      </c>
      <c r="G2519" t="n">
        <v>4</v>
      </c>
      <c r="H2519" t="n">
        <v>0</v>
      </c>
      <c r="I2519" t="n">
        <v>0</v>
      </c>
      <c r="J2519" t="n">
        <v>0</v>
      </c>
      <c r="K2519" t="n">
        <v>0</v>
      </c>
      <c r="L2519" t="n">
        <v>0</v>
      </c>
      <c r="M2519" t="n">
        <v>0</v>
      </c>
      <c r="N2519" t="n">
        <v>0</v>
      </c>
      <c r="O2519" t="n">
        <v>0</v>
      </c>
      <c r="P2519" t="n">
        <v>0</v>
      </c>
      <c r="Q2519" t="n">
        <v>0</v>
      </c>
      <c r="R2519" s="2" t="inlineStr"/>
    </row>
    <row r="2520" ht="15" customHeight="1">
      <c r="A2520" t="inlineStr">
        <is>
          <t>A 24759-2024</t>
        </is>
      </c>
      <c r="B2520" s="1" t="n">
        <v>45460.67993055555</v>
      </c>
      <c r="C2520" s="1" t="n">
        <v>46075</v>
      </c>
      <c r="D2520" t="inlineStr">
        <is>
          <t>VÄSTERBOTTENS LÄN</t>
        </is>
      </c>
      <c r="E2520" t="inlineStr">
        <is>
          <t>VINDELN</t>
        </is>
      </c>
      <c r="F2520" t="inlineStr">
        <is>
          <t>Holmen skog AB</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50726-2024</t>
        </is>
      </c>
      <c r="B2521" s="1" t="n">
        <v>45602.3874537037</v>
      </c>
      <c r="C2521" s="1" t="n">
        <v>46075</v>
      </c>
      <c r="D2521" t="inlineStr">
        <is>
          <t>VÄSTERBOTTENS LÄN</t>
        </is>
      </c>
      <c r="E2521" t="inlineStr">
        <is>
          <t>BJURHOLM</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562-2025</t>
        </is>
      </c>
      <c r="B2522" s="1" t="n">
        <v>45660</v>
      </c>
      <c r="C2522" s="1" t="n">
        <v>46075</v>
      </c>
      <c r="D2522" t="inlineStr">
        <is>
          <t>VÄSTERBOTTENS LÄN</t>
        </is>
      </c>
      <c r="E2522" t="inlineStr">
        <is>
          <t>SORSELE</t>
        </is>
      </c>
      <c r="G2522" t="n">
        <v>3.2</v>
      </c>
      <c r="H2522" t="n">
        <v>0</v>
      </c>
      <c r="I2522" t="n">
        <v>0</v>
      </c>
      <c r="J2522" t="n">
        <v>0</v>
      </c>
      <c r="K2522" t="n">
        <v>0</v>
      </c>
      <c r="L2522" t="n">
        <v>0</v>
      </c>
      <c r="M2522" t="n">
        <v>0</v>
      </c>
      <c r="N2522" t="n">
        <v>0</v>
      </c>
      <c r="O2522" t="n">
        <v>0</v>
      </c>
      <c r="P2522" t="n">
        <v>0</v>
      </c>
      <c r="Q2522" t="n">
        <v>0</v>
      </c>
      <c r="R2522" s="2" t="inlineStr"/>
    </row>
    <row r="2523" ht="15" customHeight="1">
      <c r="A2523" t="inlineStr">
        <is>
          <t>A 51332-2024</t>
        </is>
      </c>
      <c r="B2523" s="1" t="n">
        <v>45604.34377314815</v>
      </c>
      <c r="C2523" s="1" t="n">
        <v>46075</v>
      </c>
      <c r="D2523" t="inlineStr">
        <is>
          <t>VÄSTERBOTTENS LÄN</t>
        </is>
      </c>
      <c r="E2523" t="inlineStr">
        <is>
          <t>SKELLEFTEÅ</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21996-2023</t>
        </is>
      </c>
      <c r="B2524" s="1" t="n">
        <v>45068.92681712963</v>
      </c>
      <c r="C2524" s="1" t="n">
        <v>46075</v>
      </c>
      <c r="D2524" t="inlineStr">
        <is>
          <t>VÄSTERBOTTENS LÄN</t>
        </is>
      </c>
      <c r="E2524" t="inlineStr">
        <is>
          <t>NORSJÖ</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22000-2023</t>
        </is>
      </c>
      <c r="B2525" s="1" t="n">
        <v>45068.92700231481</v>
      </c>
      <c r="C2525" s="1" t="n">
        <v>46075</v>
      </c>
      <c r="D2525" t="inlineStr">
        <is>
          <t>VÄSTERBOTTENS LÄN</t>
        </is>
      </c>
      <c r="E2525" t="inlineStr">
        <is>
          <t>UMEÅ</t>
        </is>
      </c>
      <c r="G2525" t="n">
        <v>4.4</v>
      </c>
      <c r="H2525" t="n">
        <v>0</v>
      </c>
      <c r="I2525" t="n">
        <v>0</v>
      </c>
      <c r="J2525" t="n">
        <v>0</v>
      </c>
      <c r="K2525" t="n">
        <v>0</v>
      </c>
      <c r="L2525" t="n">
        <v>0</v>
      </c>
      <c r="M2525" t="n">
        <v>0</v>
      </c>
      <c r="N2525" t="n">
        <v>0</v>
      </c>
      <c r="O2525" t="n">
        <v>0</v>
      </c>
      <c r="P2525" t="n">
        <v>0</v>
      </c>
      <c r="Q2525" t="n">
        <v>0</v>
      </c>
      <c r="R2525" s="2" t="inlineStr"/>
    </row>
    <row r="2526" ht="15" customHeight="1">
      <c r="A2526" t="inlineStr">
        <is>
          <t>A 56415-2022</t>
        </is>
      </c>
      <c r="B2526" s="1" t="n">
        <v>44890</v>
      </c>
      <c r="C2526" s="1" t="n">
        <v>46075</v>
      </c>
      <c r="D2526" t="inlineStr">
        <is>
          <t>VÄSTERBOTTENS LÄN</t>
        </is>
      </c>
      <c r="E2526" t="inlineStr">
        <is>
          <t>SORSELE</t>
        </is>
      </c>
      <c r="F2526" t="inlineStr">
        <is>
          <t>SCA</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52045-2024</t>
        </is>
      </c>
      <c r="B2527" s="1" t="n">
        <v>45604</v>
      </c>
      <c r="C2527" s="1" t="n">
        <v>46075</v>
      </c>
      <c r="D2527" t="inlineStr">
        <is>
          <t>VÄSTERBOTTENS LÄN</t>
        </is>
      </c>
      <c r="E2527" t="inlineStr">
        <is>
          <t>NORSJÖ</t>
        </is>
      </c>
      <c r="G2527" t="n">
        <v>5.3</v>
      </c>
      <c r="H2527" t="n">
        <v>0</v>
      </c>
      <c r="I2527" t="n">
        <v>0</v>
      </c>
      <c r="J2527" t="n">
        <v>0</v>
      </c>
      <c r="K2527" t="n">
        <v>0</v>
      </c>
      <c r="L2527" t="n">
        <v>0</v>
      </c>
      <c r="M2527" t="n">
        <v>0</v>
      </c>
      <c r="N2527" t="n">
        <v>0</v>
      </c>
      <c r="O2527" t="n">
        <v>0</v>
      </c>
      <c r="P2527" t="n">
        <v>0</v>
      </c>
      <c r="Q2527" t="n">
        <v>0</v>
      </c>
      <c r="R2527" s="2" t="inlineStr"/>
    </row>
    <row r="2528" ht="15" customHeight="1">
      <c r="A2528" t="inlineStr">
        <is>
          <t>A 29239-2024</t>
        </is>
      </c>
      <c r="B2528" s="1" t="n">
        <v>45482.92789351852</v>
      </c>
      <c r="C2528" s="1" t="n">
        <v>46075</v>
      </c>
      <c r="D2528" t="inlineStr">
        <is>
          <t>VÄSTERBOTTENS LÄN</t>
        </is>
      </c>
      <c r="E2528" t="inlineStr">
        <is>
          <t>DOROTEA</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29835-2023</t>
        </is>
      </c>
      <c r="B2529" s="1" t="n">
        <v>45107</v>
      </c>
      <c r="C2529" s="1" t="n">
        <v>46075</v>
      </c>
      <c r="D2529" t="inlineStr">
        <is>
          <t>VÄSTERBOTTENS LÄN</t>
        </is>
      </c>
      <c r="E2529" t="inlineStr">
        <is>
          <t>LYCKSELE</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29861-2023</t>
        </is>
      </c>
      <c r="B2530" s="1" t="n">
        <v>45107</v>
      </c>
      <c r="C2530" s="1" t="n">
        <v>46075</v>
      </c>
      <c r="D2530" t="inlineStr">
        <is>
          <t>VÄSTERBOTTENS LÄN</t>
        </is>
      </c>
      <c r="E2530" t="inlineStr">
        <is>
          <t>LYCKSELE</t>
        </is>
      </c>
      <c r="G2530" t="n">
        <v>10</v>
      </c>
      <c r="H2530" t="n">
        <v>0</v>
      </c>
      <c r="I2530" t="n">
        <v>0</v>
      </c>
      <c r="J2530" t="n">
        <v>0</v>
      </c>
      <c r="K2530" t="n">
        <v>0</v>
      </c>
      <c r="L2530" t="n">
        <v>0</v>
      </c>
      <c r="M2530" t="n">
        <v>0</v>
      </c>
      <c r="N2530" t="n">
        <v>0</v>
      </c>
      <c r="O2530" t="n">
        <v>0</v>
      </c>
      <c r="P2530" t="n">
        <v>0</v>
      </c>
      <c r="Q2530" t="n">
        <v>0</v>
      </c>
      <c r="R2530" s="2" t="inlineStr"/>
    </row>
    <row r="2531" ht="15" customHeight="1">
      <c r="A2531" t="inlineStr">
        <is>
          <t>A 14343-2024</t>
        </is>
      </c>
      <c r="B2531" s="1" t="n">
        <v>45393</v>
      </c>
      <c r="C2531" s="1" t="n">
        <v>46075</v>
      </c>
      <c r="D2531" t="inlineStr">
        <is>
          <t>VÄSTERBOTTENS LÄN</t>
        </is>
      </c>
      <c r="E2531" t="inlineStr">
        <is>
          <t>LYCKSELE</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15593-2023</t>
        </is>
      </c>
      <c r="B2532" s="1" t="n">
        <v>45019</v>
      </c>
      <c r="C2532" s="1" t="n">
        <v>46075</v>
      </c>
      <c r="D2532" t="inlineStr">
        <is>
          <t>VÄSTERBOTTENS LÄN</t>
        </is>
      </c>
      <c r="E2532" t="inlineStr">
        <is>
          <t>SKELLEFTEÅ</t>
        </is>
      </c>
      <c r="G2532" t="n">
        <v>6.3</v>
      </c>
      <c r="H2532" t="n">
        <v>0</v>
      </c>
      <c r="I2532" t="n">
        <v>0</v>
      </c>
      <c r="J2532" t="n">
        <v>0</v>
      </c>
      <c r="K2532" t="n">
        <v>0</v>
      </c>
      <c r="L2532" t="n">
        <v>0</v>
      </c>
      <c r="M2532" t="n">
        <v>0</v>
      </c>
      <c r="N2532" t="n">
        <v>0</v>
      </c>
      <c r="O2532" t="n">
        <v>0</v>
      </c>
      <c r="P2532" t="n">
        <v>0</v>
      </c>
      <c r="Q2532" t="n">
        <v>0</v>
      </c>
      <c r="R2532" s="2" t="inlineStr"/>
    </row>
    <row r="2533" ht="15" customHeight="1">
      <c r="A2533" t="inlineStr">
        <is>
          <t>A 44771-2024</t>
        </is>
      </c>
      <c r="B2533" s="1" t="n">
        <v>45574</v>
      </c>
      <c r="C2533" s="1" t="n">
        <v>46075</v>
      </c>
      <c r="D2533" t="inlineStr">
        <is>
          <t>VÄSTERBOTTENS LÄN</t>
        </is>
      </c>
      <c r="E2533" t="inlineStr">
        <is>
          <t>NORSJÖ</t>
        </is>
      </c>
      <c r="G2533" t="n">
        <v>7.8</v>
      </c>
      <c r="H2533" t="n">
        <v>0</v>
      </c>
      <c r="I2533" t="n">
        <v>0</v>
      </c>
      <c r="J2533" t="n">
        <v>0</v>
      </c>
      <c r="K2533" t="n">
        <v>0</v>
      </c>
      <c r="L2533" t="n">
        <v>0</v>
      </c>
      <c r="M2533" t="n">
        <v>0</v>
      </c>
      <c r="N2533" t="n">
        <v>0</v>
      </c>
      <c r="O2533" t="n">
        <v>0</v>
      </c>
      <c r="P2533" t="n">
        <v>0</v>
      </c>
      <c r="Q2533" t="n">
        <v>0</v>
      </c>
      <c r="R2533" s="2" t="inlineStr"/>
    </row>
    <row r="2534" ht="15" customHeight="1">
      <c r="A2534" t="inlineStr">
        <is>
          <t>A 15198-2023</t>
        </is>
      </c>
      <c r="B2534" s="1" t="n">
        <v>45016</v>
      </c>
      <c r="C2534" s="1" t="n">
        <v>46075</v>
      </c>
      <c r="D2534" t="inlineStr">
        <is>
          <t>VÄSTERBOTTENS LÄN</t>
        </is>
      </c>
      <c r="E2534" t="inlineStr">
        <is>
          <t>NORSJÖ</t>
        </is>
      </c>
      <c r="G2534" t="n">
        <v>0.2</v>
      </c>
      <c r="H2534" t="n">
        <v>0</v>
      </c>
      <c r="I2534" t="n">
        <v>0</v>
      </c>
      <c r="J2534" t="n">
        <v>0</v>
      </c>
      <c r="K2534" t="n">
        <v>0</v>
      </c>
      <c r="L2534" t="n">
        <v>0</v>
      </c>
      <c r="M2534" t="n">
        <v>0</v>
      </c>
      <c r="N2534" t="n">
        <v>0</v>
      </c>
      <c r="O2534" t="n">
        <v>0</v>
      </c>
      <c r="P2534" t="n">
        <v>0</v>
      </c>
      <c r="Q2534" t="n">
        <v>0</v>
      </c>
      <c r="R2534" s="2" t="inlineStr"/>
    </row>
    <row r="2535" ht="15" customHeight="1">
      <c r="A2535" t="inlineStr">
        <is>
          <t>A 61479-2024</t>
        </is>
      </c>
      <c r="B2535" s="1" t="n">
        <v>45646.52488425926</v>
      </c>
      <c r="C2535" s="1" t="n">
        <v>46075</v>
      </c>
      <c r="D2535" t="inlineStr">
        <is>
          <t>VÄSTERBOTTENS LÄN</t>
        </is>
      </c>
      <c r="E2535" t="inlineStr">
        <is>
          <t>SKELLEFTEÅ</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15294-2023</t>
        </is>
      </c>
      <c r="B2536" s="1" t="n">
        <v>45019</v>
      </c>
      <c r="C2536" s="1" t="n">
        <v>46075</v>
      </c>
      <c r="D2536" t="inlineStr">
        <is>
          <t>VÄSTERBOTTENS LÄN</t>
        </is>
      </c>
      <c r="E2536" t="inlineStr">
        <is>
          <t>ROBERTSFORS</t>
        </is>
      </c>
      <c r="G2536" t="n">
        <v>9.9</v>
      </c>
      <c r="H2536" t="n">
        <v>0</v>
      </c>
      <c r="I2536" t="n">
        <v>0</v>
      </c>
      <c r="J2536" t="n">
        <v>0</v>
      </c>
      <c r="K2536" t="n">
        <v>0</v>
      </c>
      <c r="L2536" t="n">
        <v>0</v>
      </c>
      <c r="M2536" t="n">
        <v>0</v>
      </c>
      <c r="N2536" t="n">
        <v>0</v>
      </c>
      <c r="O2536" t="n">
        <v>0</v>
      </c>
      <c r="P2536" t="n">
        <v>0</v>
      </c>
      <c r="Q2536" t="n">
        <v>0</v>
      </c>
      <c r="R2536" s="2" t="inlineStr"/>
    </row>
    <row r="2537" ht="15" customHeight="1">
      <c r="A2537" t="inlineStr">
        <is>
          <t>A 536-2024</t>
        </is>
      </c>
      <c r="B2537" s="1" t="n">
        <v>45299</v>
      </c>
      <c r="C2537" s="1" t="n">
        <v>46075</v>
      </c>
      <c r="D2537" t="inlineStr">
        <is>
          <t>VÄSTERBOTTENS LÄN</t>
        </is>
      </c>
      <c r="E2537" t="inlineStr">
        <is>
          <t>VINDELN</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57470-2024</t>
        </is>
      </c>
      <c r="B2538" s="1" t="n">
        <v>45630</v>
      </c>
      <c r="C2538" s="1" t="n">
        <v>46075</v>
      </c>
      <c r="D2538" t="inlineStr">
        <is>
          <t>VÄSTERBOTTENS LÄN</t>
        </is>
      </c>
      <c r="E2538" t="inlineStr">
        <is>
          <t>VILHELMINA</t>
        </is>
      </c>
      <c r="F2538" t="inlineStr">
        <is>
          <t>SCA</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20245-2025</t>
        </is>
      </c>
      <c r="B2539" s="1" t="n">
        <v>45772</v>
      </c>
      <c r="C2539" s="1" t="n">
        <v>46075</v>
      </c>
      <c r="D2539" t="inlineStr">
        <is>
          <t>VÄSTERBOTTENS LÄN</t>
        </is>
      </c>
      <c r="E2539" t="inlineStr">
        <is>
          <t>SKELLEFTEÅ</t>
        </is>
      </c>
      <c r="G2539" t="n">
        <v>14.1</v>
      </c>
      <c r="H2539" t="n">
        <v>0</v>
      </c>
      <c r="I2539" t="n">
        <v>0</v>
      </c>
      <c r="J2539" t="n">
        <v>0</v>
      </c>
      <c r="K2539" t="n">
        <v>0</v>
      </c>
      <c r="L2539" t="n">
        <v>0</v>
      </c>
      <c r="M2539" t="n">
        <v>0</v>
      </c>
      <c r="N2539" t="n">
        <v>0</v>
      </c>
      <c r="O2539" t="n">
        <v>0</v>
      </c>
      <c r="P2539" t="n">
        <v>0</v>
      </c>
      <c r="Q2539" t="n">
        <v>0</v>
      </c>
      <c r="R2539" s="2" t="inlineStr"/>
    </row>
    <row r="2540" ht="15" customHeight="1">
      <c r="A2540" t="inlineStr">
        <is>
          <t>A 34903-2023</t>
        </is>
      </c>
      <c r="B2540" s="1" t="n">
        <v>45142</v>
      </c>
      <c r="C2540" s="1" t="n">
        <v>46075</v>
      </c>
      <c r="D2540" t="inlineStr">
        <is>
          <t>VÄSTERBOTTENS LÄN</t>
        </is>
      </c>
      <c r="E2540" t="inlineStr">
        <is>
          <t>LYCKSELE</t>
        </is>
      </c>
      <c r="F2540" t="inlineStr">
        <is>
          <t>Holmen skog AB</t>
        </is>
      </c>
      <c r="G2540" t="n">
        <v>2.9</v>
      </c>
      <c r="H2540" t="n">
        <v>0</v>
      </c>
      <c r="I2540" t="n">
        <v>0</v>
      </c>
      <c r="J2540" t="n">
        <v>0</v>
      </c>
      <c r="K2540" t="n">
        <v>0</v>
      </c>
      <c r="L2540" t="n">
        <v>0</v>
      </c>
      <c r="M2540" t="n">
        <v>0</v>
      </c>
      <c r="N2540" t="n">
        <v>0</v>
      </c>
      <c r="O2540" t="n">
        <v>0</v>
      </c>
      <c r="P2540" t="n">
        <v>0</v>
      </c>
      <c r="Q2540" t="n">
        <v>0</v>
      </c>
      <c r="R2540" s="2" t="inlineStr"/>
    </row>
    <row r="2541" ht="15" customHeight="1">
      <c r="A2541" t="inlineStr">
        <is>
          <t>A 57562-2024</t>
        </is>
      </c>
      <c r="B2541" s="1" t="n">
        <v>45630</v>
      </c>
      <c r="C2541" s="1" t="n">
        <v>46075</v>
      </c>
      <c r="D2541" t="inlineStr">
        <is>
          <t>VÄSTERBOTTENS LÄN</t>
        </is>
      </c>
      <c r="E2541" t="inlineStr">
        <is>
          <t>BJURHOLM</t>
        </is>
      </c>
      <c r="F2541" t="inlineStr">
        <is>
          <t>Sveaskog</t>
        </is>
      </c>
      <c r="G2541" t="n">
        <v>5</v>
      </c>
      <c r="H2541" t="n">
        <v>0</v>
      </c>
      <c r="I2541" t="n">
        <v>0</v>
      </c>
      <c r="J2541" t="n">
        <v>0</v>
      </c>
      <c r="K2541" t="n">
        <v>0</v>
      </c>
      <c r="L2541" t="n">
        <v>0</v>
      </c>
      <c r="M2541" t="n">
        <v>0</v>
      </c>
      <c r="N2541" t="n">
        <v>0</v>
      </c>
      <c r="O2541" t="n">
        <v>0</v>
      </c>
      <c r="P2541" t="n">
        <v>0</v>
      </c>
      <c r="Q2541" t="n">
        <v>0</v>
      </c>
      <c r="R2541" s="2" t="inlineStr"/>
    </row>
    <row r="2542" ht="15" customHeight="1">
      <c r="A2542" t="inlineStr">
        <is>
          <t>A 15577-2023</t>
        </is>
      </c>
      <c r="B2542" s="1" t="n">
        <v>45019</v>
      </c>
      <c r="C2542" s="1" t="n">
        <v>46075</v>
      </c>
      <c r="D2542" t="inlineStr">
        <is>
          <t>VÄSTERBOTTENS LÄN</t>
        </is>
      </c>
      <c r="E2542" t="inlineStr">
        <is>
          <t>VINDELN</t>
        </is>
      </c>
      <c r="G2542" t="n">
        <v>6.5</v>
      </c>
      <c r="H2542" t="n">
        <v>0</v>
      </c>
      <c r="I2542" t="n">
        <v>0</v>
      </c>
      <c r="J2542" t="n">
        <v>0</v>
      </c>
      <c r="K2542" t="n">
        <v>0</v>
      </c>
      <c r="L2542" t="n">
        <v>0</v>
      </c>
      <c r="M2542" t="n">
        <v>0</v>
      </c>
      <c r="N2542" t="n">
        <v>0</v>
      </c>
      <c r="O2542" t="n">
        <v>0</v>
      </c>
      <c r="P2542" t="n">
        <v>0</v>
      </c>
      <c r="Q2542" t="n">
        <v>0</v>
      </c>
      <c r="R2542" s="2" t="inlineStr"/>
    </row>
    <row r="2543" ht="15" customHeight="1">
      <c r="A2543" t="inlineStr">
        <is>
          <t>A 2579-2024</t>
        </is>
      </c>
      <c r="B2543" s="1" t="n">
        <v>45313.64712962963</v>
      </c>
      <c r="C2543" s="1" t="n">
        <v>46075</v>
      </c>
      <c r="D2543" t="inlineStr">
        <is>
          <t>VÄSTERBOTTENS LÄN</t>
        </is>
      </c>
      <c r="E2543" t="inlineStr">
        <is>
          <t>SKELLEFTEÅ</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49086-2023</t>
        </is>
      </c>
      <c r="B2544" s="1" t="n">
        <v>45210</v>
      </c>
      <c r="C2544" s="1" t="n">
        <v>46075</v>
      </c>
      <c r="D2544" t="inlineStr">
        <is>
          <t>VÄSTERBOTTENS LÄN</t>
        </is>
      </c>
      <c r="E2544" t="inlineStr">
        <is>
          <t>ROBERTSFORS</t>
        </is>
      </c>
      <c r="F2544" t="inlineStr">
        <is>
          <t>Holmen skog AB</t>
        </is>
      </c>
      <c r="G2544" t="n">
        <v>8.300000000000001</v>
      </c>
      <c r="H2544" t="n">
        <v>0</v>
      </c>
      <c r="I2544" t="n">
        <v>0</v>
      </c>
      <c r="J2544" t="n">
        <v>0</v>
      </c>
      <c r="K2544" t="n">
        <v>0</v>
      </c>
      <c r="L2544" t="n">
        <v>0</v>
      </c>
      <c r="M2544" t="n">
        <v>0</v>
      </c>
      <c r="N2544" t="n">
        <v>0</v>
      </c>
      <c r="O2544" t="n">
        <v>0</v>
      </c>
      <c r="P2544" t="n">
        <v>0</v>
      </c>
      <c r="Q2544" t="n">
        <v>0</v>
      </c>
      <c r="R2544" s="2" t="inlineStr"/>
    </row>
    <row r="2545" ht="15" customHeight="1">
      <c r="A2545" t="inlineStr">
        <is>
          <t>A 41037-2024</t>
        </is>
      </c>
      <c r="B2545" s="1" t="n">
        <v>45559.35982638889</v>
      </c>
      <c r="C2545" s="1" t="n">
        <v>46075</v>
      </c>
      <c r="D2545" t="inlineStr">
        <is>
          <t>VÄSTERBOTTENS LÄN</t>
        </is>
      </c>
      <c r="E2545" t="inlineStr">
        <is>
          <t>SKELLEFTEÅ</t>
        </is>
      </c>
      <c r="F2545" t="inlineStr">
        <is>
          <t>Sveaskog</t>
        </is>
      </c>
      <c r="G2545" t="n">
        <v>22.5</v>
      </c>
      <c r="H2545" t="n">
        <v>0</v>
      </c>
      <c r="I2545" t="n">
        <v>0</v>
      </c>
      <c r="J2545" t="n">
        <v>0</v>
      </c>
      <c r="K2545" t="n">
        <v>0</v>
      </c>
      <c r="L2545" t="n">
        <v>0</v>
      </c>
      <c r="M2545" t="n">
        <v>0</v>
      </c>
      <c r="N2545" t="n">
        <v>0</v>
      </c>
      <c r="O2545" t="n">
        <v>0</v>
      </c>
      <c r="P2545" t="n">
        <v>0</v>
      </c>
      <c r="Q2545" t="n">
        <v>0</v>
      </c>
      <c r="R2545" s="2" t="inlineStr"/>
    </row>
    <row r="2546" ht="15" customHeight="1">
      <c r="A2546" t="inlineStr">
        <is>
          <t>A 12784-2023</t>
        </is>
      </c>
      <c r="B2546" s="1" t="n">
        <v>45000</v>
      </c>
      <c r="C2546" s="1" t="n">
        <v>46075</v>
      </c>
      <c r="D2546" t="inlineStr">
        <is>
          <t>VÄSTERBOTTENS LÄN</t>
        </is>
      </c>
      <c r="E2546" t="inlineStr">
        <is>
          <t>VILHELMINA</t>
        </is>
      </c>
      <c r="G2546" t="n">
        <v>18.6</v>
      </c>
      <c r="H2546" t="n">
        <v>0</v>
      </c>
      <c r="I2546" t="n">
        <v>0</v>
      </c>
      <c r="J2546" t="n">
        <v>0</v>
      </c>
      <c r="K2546" t="n">
        <v>0</v>
      </c>
      <c r="L2546" t="n">
        <v>0</v>
      </c>
      <c r="M2546" t="n">
        <v>0</v>
      </c>
      <c r="N2546" t="n">
        <v>0</v>
      </c>
      <c r="O2546" t="n">
        <v>0</v>
      </c>
      <c r="P2546" t="n">
        <v>0</v>
      </c>
      <c r="Q2546" t="n">
        <v>0</v>
      </c>
      <c r="R2546" s="2" t="inlineStr"/>
    </row>
    <row r="2547" ht="15" customHeight="1">
      <c r="A2547" t="inlineStr">
        <is>
          <t>A 12789-2023</t>
        </is>
      </c>
      <c r="B2547" s="1" t="n">
        <v>45000</v>
      </c>
      <c r="C2547" s="1" t="n">
        <v>46075</v>
      </c>
      <c r="D2547" t="inlineStr">
        <is>
          <t>VÄSTERBOTTENS LÄN</t>
        </is>
      </c>
      <c r="E2547" t="inlineStr">
        <is>
          <t>MALÅ</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35809-2022</t>
        </is>
      </c>
      <c r="B2548" s="1" t="n">
        <v>44802</v>
      </c>
      <c r="C2548" s="1" t="n">
        <v>46075</v>
      </c>
      <c r="D2548" t="inlineStr">
        <is>
          <t>VÄSTERBOTTENS LÄN</t>
        </is>
      </c>
      <c r="E2548" t="inlineStr">
        <is>
          <t>SKELLEFTEÅ</t>
        </is>
      </c>
      <c r="G2548" t="n">
        <v>4.2</v>
      </c>
      <c r="H2548" t="n">
        <v>0</v>
      </c>
      <c r="I2548" t="n">
        <v>0</v>
      </c>
      <c r="J2548" t="n">
        <v>0</v>
      </c>
      <c r="K2548" t="n">
        <v>0</v>
      </c>
      <c r="L2548" t="n">
        <v>0</v>
      </c>
      <c r="M2548" t="n">
        <v>0</v>
      </c>
      <c r="N2548" t="n">
        <v>0</v>
      </c>
      <c r="O2548" t="n">
        <v>0</v>
      </c>
      <c r="P2548" t="n">
        <v>0</v>
      </c>
      <c r="Q2548" t="n">
        <v>0</v>
      </c>
      <c r="R2548" s="2" t="inlineStr"/>
    </row>
    <row r="2549" ht="15" customHeight="1">
      <c r="A2549" t="inlineStr">
        <is>
          <t>A 14623-2025</t>
        </is>
      </c>
      <c r="B2549" s="1" t="n">
        <v>45742.41636574074</v>
      </c>
      <c r="C2549" s="1" t="n">
        <v>46075</v>
      </c>
      <c r="D2549" t="inlineStr">
        <is>
          <t>VÄSTERBOTTENS LÄN</t>
        </is>
      </c>
      <c r="E2549" t="inlineStr">
        <is>
          <t>LYCKSELE</t>
        </is>
      </c>
      <c r="F2549" t="inlineStr">
        <is>
          <t>Naturvårdsverket</t>
        </is>
      </c>
      <c r="G2549" t="n">
        <v>10.4</v>
      </c>
      <c r="H2549" t="n">
        <v>0</v>
      </c>
      <c r="I2549" t="n">
        <v>0</v>
      </c>
      <c r="J2549" t="n">
        <v>0</v>
      </c>
      <c r="K2549" t="n">
        <v>0</v>
      </c>
      <c r="L2549" t="n">
        <v>0</v>
      </c>
      <c r="M2549" t="n">
        <v>0</v>
      </c>
      <c r="N2549" t="n">
        <v>0</v>
      </c>
      <c r="O2549" t="n">
        <v>0</v>
      </c>
      <c r="P2549" t="n">
        <v>0</v>
      </c>
      <c r="Q2549" t="n">
        <v>0</v>
      </c>
      <c r="R2549" s="2" t="inlineStr"/>
    </row>
    <row r="2550" ht="15" customHeight="1">
      <c r="A2550" t="inlineStr">
        <is>
          <t>A 58700-2022</t>
        </is>
      </c>
      <c r="B2550" s="1" t="n">
        <v>44902.74778935185</v>
      </c>
      <c r="C2550" s="1" t="n">
        <v>46075</v>
      </c>
      <c r="D2550" t="inlineStr">
        <is>
          <t>VÄSTERBOTTENS LÄN</t>
        </is>
      </c>
      <c r="E2550" t="inlineStr">
        <is>
          <t>VINDELN</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15888-2024</t>
        </is>
      </c>
      <c r="B2551" s="1" t="n">
        <v>45405</v>
      </c>
      <c r="C2551" s="1" t="n">
        <v>46075</v>
      </c>
      <c r="D2551" t="inlineStr">
        <is>
          <t>VÄSTERBOTTENS LÄN</t>
        </is>
      </c>
      <c r="E2551" t="inlineStr">
        <is>
          <t>ROBERTSFORS</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29937-2024</t>
        </is>
      </c>
      <c r="B2552" s="1" t="n">
        <v>45488.41469907408</v>
      </c>
      <c r="C2552" s="1" t="n">
        <v>46075</v>
      </c>
      <c r="D2552" t="inlineStr">
        <is>
          <t>VÄSTERBOTTENS LÄN</t>
        </is>
      </c>
      <c r="E2552" t="inlineStr">
        <is>
          <t>LYCKSELE</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37211-2024</t>
        </is>
      </c>
      <c r="B2553" s="1" t="n">
        <v>45539</v>
      </c>
      <c r="C2553" s="1" t="n">
        <v>46075</v>
      </c>
      <c r="D2553" t="inlineStr">
        <is>
          <t>VÄSTERBOTTENS LÄN</t>
        </is>
      </c>
      <c r="E2553" t="inlineStr">
        <is>
          <t>VINDELN</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3791-2025</t>
        </is>
      </c>
      <c r="B2554" s="1" t="n">
        <v>45681</v>
      </c>
      <c r="C2554" s="1" t="n">
        <v>46075</v>
      </c>
      <c r="D2554" t="inlineStr">
        <is>
          <t>VÄSTERBOTTENS LÄN</t>
        </is>
      </c>
      <c r="E2554" t="inlineStr">
        <is>
          <t>LYCKSELE</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39214-2023</t>
        </is>
      </c>
      <c r="B2555" s="1" t="n">
        <v>45166</v>
      </c>
      <c r="C2555" s="1" t="n">
        <v>46075</v>
      </c>
      <c r="D2555" t="inlineStr">
        <is>
          <t>VÄSTERBOTTENS LÄN</t>
        </is>
      </c>
      <c r="E2555" t="inlineStr">
        <is>
          <t>MALÅ</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46280-2023</t>
        </is>
      </c>
      <c r="B2556" s="1" t="n">
        <v>45195</v>
      </c>
      <c r="C2556" s="1" t="n">
        <v>46075</v>
      </c>
      <c r="D2556" t="inlineStr">
        <is>
          <t>VÄSTERBOTTENS LÄN</t>
        </is>
      </c>
      <c r="E2556" t="inlineStr">
        <is>
          <t>MALÅ</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6225-2023</t>
        </is>
      </c>
      <c r="B2557" s="1" t="n">
        <v>44964.87805555556</v>
      </c>
      <c r="C2557" s="1" t="n">
        <v>46075</v>
      </c>
      <c r="D2557" t="inlineStr">
        <is>
          <t>VÄSTERBOTTENS LÄN</t>
        </is>
      </c>
      <c r="E2557" t="inlineStr">
        <is>
          <t>NORDMALING</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6076-2024</t>
        </is>
      </c>
      <c r="B2558" s="1" t="n">
        <v>45336.93773148148</v>
      </c>
      <c r="C2558" s="1" t="n">
        <v>46075</v>
      </c>
      <c r="D2558" t="inlineStr">
        <is>
          <t>VÄSTERBOTTENS LÄN</t>
        </is>
      </c>
      <c r="E2558" t="inlineStr">
        <is>
          <t>NORSJÖ</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42329-2023</t>
        </is>
      </c>
      <c r="B2559" s="1" t="n">
        <v>45175</v>
      </c>
      <c r="C2559" s="1" t="n">
        <v>46075</v>
      </c>
      <c r="D2559" t="inlineStr">
        <is>
          <t>VÄSTERBOTTENS LÄN</t>
        </is>
      </c>
      <c r="E2559" t="inlineStr">
        <is>
          <t>SKELLEFTEÅ</t>
        </is>
      </c>
      <c r="F2559" t="inlineStr">
        <is>
          <t>Kyrkan</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6079-2024</t>
        </is>
      </c>
      <c r="B2560" s="1" t="n">
        <v>45336.93798611111</v>
      </c>
      <c r="C2560" s="1" t="n">
        <v>46075</v>
      </c>
      <c r="D2560" t="inlineStr">
        <is>
          <t>VÄSTERBOTTENS LÄN</t>
        </is>
      </c>
      <c r="E2560" t="inlineStr">
        <is>
          <t>NORSJÖ</t>
        </is>
      </c>
      <c r="G2560" t="n">
        <v>5.6</v>
      </c>
      <c r="H2560" t="n">
        <v>0</v>
      </c>
      <c r="I2560" t="n">
        <v>0</v>
      </c>
      <c r="J2560" t="n">
        <v>0</v>
      </c>
      <c r="K2560" t="n">
        <v>0</v>
      </c>
      <c r="L2560" t="n">
        <v>0</v>
      </c>
      <c r="M2560" t="n">
        <v>0</v>
      </c>
      <c r="N2560" t="n">
        <v>0</v>
      </c>
      <c r="O2560" t="n">
        <v>0</v>
      </c>
      <c r="P2560" t="n">
        <v>0</v>
      </c>
      <c r="Q2560" t="n">
        <v>0</v>
      </c>
      <c r="R2560" s="2" t="inlineStr"/>
    </row>
    <row r="2561" ht="15" customHeight="1">
      <c r="A2561" t="inlineStr">
        <is>
          <t>A 42004-2022</t>
        </is>
      </c>
      <c r="B2561" s="1" t="n">
        <v>44827</v>
      </c>
      <c r="C2561" s="1" t="n">
        <v>46075</v>
      </c>
      <c r="D2561" t="inlineStr">
        <is>
          <t>VÄSTERBOTTENS LÄN</t>
        </is>
      </c>
      <c r="E2561" t="inlineStr">
        <is>
          <t>BJURHOLM</t>
        </is>
      </c>
      <c r="G2561" t="n">
        <v>5.9</v>
      </c>
      <c r="H2561" t="n">
        <v>0</v>
      </c>
      <c r="I2561" t="n">
        <v>0</v>
      </c>
      <c r="J2561" t="n">
        <v>0</v>
      </c>
      <c r="K2561" t="n">
        <v>0</v>
      </c>
      <c r="L2561" t="n">
        <v>0</v>
      </c>
      <c r="M2561" t="n">
        <v>0</v>
      </c>
      <c r="N2561" t="n">
        <v>0</v>
      </c>
      <c r="O2561" t="n">
        <v>0</v>
      </c>
      <c r="P2561" t="n">
        <v>0</v>
      </c>
      <c r="Q2561" t="n">
        <v>0</v>
      </c>
      <c r="R2561" s="2" t="inlineStr"/>
    </row>
    <row r="2562" ht="15" customHeight="1">
      <c r="A2562" t="inlineStr">
        <is>
          <t>A 15756-2023</t>
        </is>
      </c>
      <c r="B2562" s="1" t="n">
        <v>45021.62100694444</v>
      </c>
      <c r="C2562" s="1" t="n">
        <v>46075</v>
      </c>
      <c r="D2562" t="inlineStr">
        <is>
          <t>VÄSTERBOTTENS LÄN</t>
        </is>
      </c>
      <c r="E2562" t="inlineStr">
        <is>
          <t>NORDMALING</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13835-2024</t>
        </is>
      </c>
      <c r="B2563" s="1" t="n">
        <v>45390</v>
      </c>
      <c r="C2563" s="1" t="n">
        <v>46075</v>
      </c>
      <c r="D2563" t="inlineStr">
        <is>
          <t>VÄSTERBOTTENS LÄN</t>
        </is>
      </c>
      <c r="E2563" t="inlineStr">
        <is>
          <t>VINDELN</t>
        </is>
      </c>
      <c r="G2563" t="n">
        <v>5.9</v>
      </c>
      <c r="H2563" t="n">
        <v>0</v>
      </c>
      <c r="I2563" t="n">
        <v>0</v>
      </c>
      <c r="J2563" t="n">
        <v>0</v>
      </c>
      <c r="K2563" t="n">
        <v>0</v>
      </c>
      <c r="L2563" t="n">
        <v>0</v>
      </c>
      <c r="M2563" t="n">
        <v>0</v>
      </c>
      <c r="N2563" t="n">
        <v>0</v>
      </c>
      <c r="O2563" t="n">
        <v>0</v>
      </c>
      <c r="P2563" t="n">
        <v>0</v>
      </c>
      <c r="Q2563" t="n">
        <v>0</v>
      </c>
      <c r="R2563" s="2" t="inlineStr"/>
    </row>
    <row r="2564" ht="15" customHeight="1">
      <c r="A2564" t="inlineStr">
        <is>
          <t>A 54366-2024</t>
        </is>
      </c>
      <c r="B2564" s="1" t="n">
        <v>45617</v>
      </c>
      <c r="C2564" s="1" t="n">
        <v>46075</v>
      </c>
      <c r="D2564" t="inlineStr">
        <is>
          <t>VÄSTERBOTTENS LÄN</t>
        </is>
      </c>
      <c r="E2564" t="inlineStr">
        <is>
          <t>ROBERTSFORS</t>
        </is>
      </c>
      <c r="G2564" t="n">
        <v>0.3</v>
      </c>
      <c r="H2564" t="n">
        <v>0</v>
      </c>
      <c r="I2564" t="n">
        <v>0</v>
      </c>
      <c r="J2564" t="n">
        <v>0</v>
      </c>
      <c r="K2564" t="n">
        <v>0</v>
      </c>
      <c r="L2564" t="n">
        <v>0</v>
      </c>
      <c r="M2564" t="n">
        <v>0</v>
      </c>
      <c r="N2564" t="n">
        <v>0</v>
      </c>
      <c r="O2564" t="n">
        <v>0</v>
      </c>
      <c r="P2564" t="n">
        <v>0</v>
      </c>
      <c r="Q2564" t="n">
        <v>0</v>
      </c>
      <c r="R2564" s="2" t="inlineStr"/>
    </row>
    <row r="2565" ht="15" customHeight="1">
      <c r="A2565" t="inlineStr">
        <is>
          <t>A 59080-2022</t>
        </is>
      </c>
      <c r="B2565" s="1" t="n">
        <v>44904</v>
      </c>
      <c r="C2565" s="1" t="n">
        <v>46075</v>
      </c>
      <c r="D2565" t="inlineStr">
        <is>
          <t>VÄSTERBOTTENS LÄN</t>
        </is>
      </c>
      <c r="E2565" t="inlineStr">
        <is>
          <t>UMEÅ</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59082-2022</t>
        </is>
      </c>
      <c r="B2566" s="1" t="n">
        <v>44897</v>
      </c>
      <c r="C2566" s="1" t="n">
        <v>46075</v>
      </c>
      <c r="D2566" t="inlineStr">
        <is>
          <t>VÄSTERBOTTENS LÄN</t>
        </is>
      </c>
      <c r="E2566" t="inlineStr">
        <is>
          <t>SORSELE</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20228-2023</t>
        </is>
      </c>
      <c r="B2567" s="1" t="n">
        <v>45055</v>
      </c>
      <c r="C2567" s="1" t="n">
        <v>46075</v>
      </c>
      <c r="D2567" t="inlineStr">
        <is>
          <t>VÄSTERBOTTENS LÄN</t>
        </is>
      </c>
      <c r="E2567" t="inlineStr">
        <is>
          <t>VÄNNÄS</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72276-2021</t>
        </is>
      </c>
      <c r="B2568" s="1" t="n">
        <v>44543</v>
      </c>
      <c r="C2568" s="1" t="n">
        <v>46075</v>
      </c>
      <c r="D2568" t="inlineStr">
        <is>
          <t>VÄSTERBOTTENS LÄN</t>
        </is>
      </c>
      <c r="E2568" t="inlineStr">
        <is>
          <t>STORUMAN</t>
        </is>
      </c>
      <c r="G2568" t="n">
        <v>19.8</v>
      </c>
      <c r="H2568" t="n">
        <v>0</v>
      </c>
      <c r="I2568" t="n">
        <v>0</v>
      </c>
      <c r="J2568" t="n">
        <v>0</v>
      </c>
      <c r="K2568" t="n">
        <v>0</v>
      </c>
      <c r="L2568" t="n">
        <v>0</v>
      </c>
      <c r="M2568" t="n">
        <v>0</v>
      </c>
      <c r="N2568" t="n">
        <v>0</v>
      </c>
      <c r="O2568" t="n">
        <v>0</v>
      </c>
      <c r="P2568" t="n">
        <v>0</v>
      </c>
      <c r="Q2568" t="n">
        <v>0</v>
      </c>
      <c r="R2568" s="2" t="inlineStr"/>
    </row>
    <row r="2569" ht="15" customHeight="1">
      <c r="A2569" t="inlineStr">
        <is>
          <t>A 26197-2022</t>
        </is>
      </c>
      <c r="B2569" s="1" t="n">
        <v>44735</v>
      </c>
      <c r="C2569" s="1" t="n">
        <v>46075</v>
      </c>
      <c r="D2569" t="inlineStr">
        <is>
          <t>VÄSTERBOTTENS LÄN</t>
        </is>
      </c>
      <c r="E2569" t="inlineStr">
        <is>
          <t>NORDMALING</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69703-2021</t>
        </is>
      </c>
      <c r="B2570" s="1" t="n">
        <v>44532</v>
      </c>
      <c r="C2570" s="1" t="n">
        <v>46075</v>
      </c>
      <c r="D2570" t="inlineStr">
        <is>
          <t>VÄSTERBOTTENS LÄN</t>
        </is>
      </c>
      <c r="E2570" t="inlineStr">
        <is>
          <t>SORSELE</t>
        </is>
      </c>
      <c r="G2570" t="n">
        <v>11.2</v>
      </c>
      <c r="H2570" t="n">
        <v>0</v>
      </c>
      <c r="I2570" t="n">
        <v>0</v>
      </c>
      <c r="J2570" t="n">
        <v>0</v>
      </c>
      <c r="K2570" t="n">
        <v>0</v>
      </c>
      <c r="L2570" t="n">
        <v>0</v>
      </c>
      <c r="M2570" t="n">
        <v>0</v>
      </c>
      <c r="N2570" t="n">
        <v>0</v>
      </c>
      <c r="O2570" t="n">
        <v>0</v>
      </c>
      <c r="P2570" t="n">
        <v>0</v>
      </c>
      <c r="Q2570" t="n">
        <v>0</v>
      </c>
      <c r="R2570" s="2" t="inlineStr"/>
    </row>
    <row r="2571" ht="15" customHeight="1">
      <c r="A2571" t="inlineStr">
        <is>
          <t>A 44651-2023</t>
        </is>
      </c>
      <c r="B2571" s="1" t="n">
        <v>45184</v>
      </c>
      <c r="C2571" s="1" t="n">
        <v>46075</v>
      </c>
      <c r="D2571" t="inlineStr">
        <is>
          <t>VÄSTERBOTTENS LÄN</t>
        </is>
      </c>
      <c r="E2571" t="inlineStr">
        <is>
          <t>ROBERTSFORS</t>
        </is>
      </c>
      <c r="G2571" t="n">
        <v>3.3</v>
      </c>
      <c r="H2571" t="n">
        <v>0</v>
      </c>
      <c r="I2571" t="n">
        <v>0</v>
      </c>
      <c r="J2571" t="n">
        <v>0</v>
      </c>
      <c r="K2571" t="n">
        <v>0</v>
      </c>
      <c r="L2571" t="n">
        <v>0</v>
      </c>
      <c r="M2571" t="n">
        <v>0</v>
      </c>
      <c r="N2571" t="n">
        <v>0</v>
      </c>
      <c r="O2571" t="n">
        <v>0</v>
      </c>
      <c r="P2571" t="n">
        <v>0</v>
      </c>
      <c r="Q2571" t="n">
        <v>0</v>
      </c>
      <c r="R2571" s="2" t="inlineStr"/>
    </row>
    <row r="2572" ht="15" customHeight="1">
      <c r="A2572" t="inlineStr">
        <is>
          <t>A 14039-2024</t>
        </is>
      </c>
      <c r="B2572" s="1" t="n">
        <v>45392</v>
      </c>
      <c r="C2572" s="1" t="n">
        <v>46075</v>
      </c>
      <c r="D2572" t="inlineStr">
        <is>
          <t>VÄSTERBOTTENS LÄN</t>
        </is>
      </c>
      <c r="E2572" t="inlineStr">
        <is>
          <t>UMEÅ</t>
        </is>
      </c>
      <c r="G2572" t="n">
        <v>6.1</v>
      </c>
      <c r="H2572" t="n">
        <v>0</v>
      </c>
      <c r="I2572" t="n">
        <v>0</v>
      </c>
      <c r="J2572" t="n">
        <v>0</v>
      </c>
      <c r="K2572" t="n">
        <v>0</v>
      </c>
      <c r="L2572" t="n">
        <v>0</v>
      </c>
      <c r="M2572" t="n">
        <v>0</v>
      </c>
      <c r="N2572" t="n">
        <v>0</v>
      </c>
      <c r="O2572" t="n">
        <v>0</v>
      </c>
      <c r="P2572" t="n">
        <v>0</v>
      </c>
      <c r="Q2572" t="n">
        <v>0</v>
      </c>
      <c r="R2572" s="2" t="inlineStr"/>
    </row>
    <row r="2573" ht="15" customHeight="1">
      <c r="A2573" t="inlineStr">
        <is>
          <t>A 60558-2022</t>
        </is>
      </c>
      <c r="B2573" s="1" t="n">
        <v>44904</v>
      </c>
      <c r="C2573" s="1" t="n">
        <v>46075</v>
      </c>
      <c r="D2573" t="inlineStr">
        <is>
          <t>VÄSTERBOTTENS LÄN</t>
        </is>
      </c>
      <c r="E2573" t="inlineStr">
        <is>
          <t>SKELLEFTEÅ</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21863-2024</t>
        </is>
      </c>
      <c r="B2574" s="1" t="n">
        <v>45443</v>
      </c>
      <c r="C2574" s="1" t="n">
        <v>46075</v>
      </c>
      <c r="D2574" t="inlineStr">
        <is>
          <t>VÄSTERBOTTENS LÄN</t>
        </is>
      </c>
      <c r="E2574" t="inlineStr">
        <is>
          <t>NORDMALING</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32658-2021</t>
        </is>
      </c>
      <c r="B2575" s="1" t="n">
        <v>44371</v>
      </c>
      <c r="C2575" s="1" t="n">
        <v>46075</v>
      </c>
      <c r="D2575" t="inlineStr">
        <is>
          <t>VÄSTERBOTTENS LÄN</t>
        </is>
      </c>
      <c r="E2575" t="inlineStr">
        <is>
          <t>VILHELMINA</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30470-2022</t>
        </is>
      </c>
      <c r="B2576" s="1" t="n">
        <v>44761</v>
      </c>
      <c r="C2576" s="1" t="n">
        <v>46075</v>
      </c>
      <c r="D2576" t="inlineStr">
        <is>
          <t>VÄSTERBOTTENS LÄN</t>
        </is>
      </c>
      <c r="E2576" t="inlineStr">
        <is>
          <t>LYCKSELE</t>
        </is>
      </c>
      <c r="G2576" t="n">
        <v>11.9</v>
      </c>
      <c r="H2576" t="n">
        <v>0</v>
      </c>
      <c r="I2576" t="n">
        <v>0</v>
      </c>
      <c r="J2576" t="n">
        <v>0</v>
      </c>
      <c r="K2576" t="n">
        <v>0</v>
      </c>
      <c r="L2576" t="n">
        <v>0</v>
      </c>
      <c r="M2576" t="n">
        <v>0</v>
      </c>
      <c r="N2576" t="n">
        <v>0</v>
      </c>
      <c r="O2576" t="n">
        <v>0</v>
      </c>
      <c r="P2576" t="n">
        <v>0</v>
      </c>
      <c r="Q2576" t="n">
        <v>0</v>
      </c>
      <c r="R2576" s="2" t="inlineStr"/>
    </row>
    <row r="2577" ht="15" customHeight="1">
      <c r="A2577" t="inlineStr">
        <is>
          <t>A 11511-2022</t>
        </is>
      </c>
      <c r="B2577" s="1" t="n">
        <v>44631.33300925926</v>
      </c>
      <c r="C2577" s="1" t="n">
        <v>46075</v>
      </c>
      <c r="D2577" t="inlineStr">
        <is>
          <t>VÄSTERBOTTENS LÄN</t>
        </is>
      </c>
      <c r="E2577" t="inlineStr">
        <is>
          <t>UMEÅ</t>
        </is>
      </c>
      <c r="F2577" t="inlineStr">
        <is>
          <t>Kommuner</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30491-2022</t>
        </is>
      </c>
      <c r="B2578" s="1" t="n">
        <v>44761</v>
      </c>
      <c r="C2578" s="1" t="n">
        <v>46075</v>
      </c>
      <c r="D2578" t="inlineStr">
        <is>
          <t>VÄSTERBOTTENS LÄN</t>
        </is>
      </c>
      <c r="E2578" t="inlineStr">
        <is>
          <t>ÅSELE</t>
        </is>
      </c>
      <c r="F2578" t="inlineStr">
        <is>
          <t>SCA</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50084-2021</t>
        </is>
      </c>
      <c r="B2579" s="1" t="n">
        <v>44456.59263888889</v>
      </c>
      <c r="C2579" s="1" t="n">
        <v>46075</v>
      </c>
      <c r="D2579" t="inlineStr">
        <is>
          <t>VÄSTERBOTTENS LÄN</t>
        </is>
      </c>
      <c r="E2579" t="inlineStr">
        <is>
          <t>UMEÅ</t>
        </is>
      </c>
      <c r="G2579" t="n">
        <v>10.7</v>
      </c>
      <c r="H2579" t="n">
        <v>0</v>
      </c>
      <c r="I2579" t="n">
        <v>0</v>
      </c>
      <c r="J2579" t="n">
        <v>0</v>
      </c>
      <c r="K2579" t="n">
        <v>0</v>
      </c>
      <c r="L2579" t="n">
        <v>0</v>
      </c>
      <c r="M2579" t="n">
        <v>0</v>
      </c>
      <c r="N2579" t="n">
        <v>0</v>
      </c>
      <c r="O2579" t="n">
        <v>0</v>
      </c>
      <c r="P2579" t="n">
        <v>0</v>
      </c>
      <c r="Q2579" t="n">
        <v>0</v>
      </c>
      <c r="R2579" s="2" t="inlineStr"/>
    </row>
    <row r="2580" ht="15" customHeight="1">
      <c r="A2580" t="inlineStr">
        <is>
          <t>A 33379-2021</t>
        </is>
      </c>
      <c r="B2580" s="1" t="n">
        <v>44377</v>
      </c>
      <c r="C2580" s="1" t="n">
        <v>46075</v>
      </c>
      <c r="D2580" t="inlineStr">
        <is>
          <t>VÄSTERBOTTENS LÄN</t>
        </is>
      </c>
      <c r="E2580" t="inlineStr">
        <is>
          <t>ROBERTSFORS</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17658-2023</t>
        </is>
      </c>
      <c r="B2581" s="1" t="n">
        <v>45036.89533564815</v>
      </c>
      <c r="C2581" s="1" t="n">
        <v>46075</v>
      </c>
      <c r="D2581" t="inlineStr">
        <is>
          <t>VÄSTERBOTTENS LÄN</t>
        </is>
      </c>
      <c r="E2581" t="inlineStr">
        <is>
          <t>DOROTEA</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17672-2023</t>
        </is>
      </c>
      <c r="B2582" s="1" t="n">
        <v>45036</v>
      </c>
      <c r="C2582" s="1" t="n">
        <v>46075</v>
      </c>
      <c r="D2582" t="inlineStr">
        <is>
          <t>VÄSTERBOTTENS LÄN</t>
        </is>
      </c>
      <c r="E2582" t="inlineStr">
        <is>
          <t>ÅSELE</t>
        </is>
      </c>
      <c r="F2582" t="inlineStr">
        <is>
          <t>SCA</t>
        </is>
      </c>
      <c r="G2582" t="n">
        <v>3.7</v>
      </c>
      <c r="H2582" t="n">
        <v>0</v>
      </c>
      <c r="I2582" t="n">
        <v>0</v>
      </c>
      <c r="J2582" t="n">
        <v>0</v>
      </c>
      <c r="K2582" t="n">
        <v>0</v>
      </c>
      <c r="L2582" t="n">
        <v>0</v>
      </c>
      <c r="M2582" t="n">
        <v>0</v>
      </c>
      <c r="N2582" t="n">
        <v>0</v>
      </c>
      <c r="O2582" t="n">
        <v>0</v>
      </c>
      <c r="P2582" t="n">
        <v>0</v>
      </c>
      <c r="Q2582" t="n">
        <v>0</v>
      </c>
      <c r="R2582" s="2" t="inlineStr"/>
    </row>
    <row r="2583" ht="15" customHeight="1">
      <c r="A2583" t="inlineStr">
        <is>
          <t>A 53795-2022</t>
        </is>
      </c>
      <c r="B2583" s="1" t="n">
        <v>44876</v>
      </c>
      <c r="C2583" s="1" t="n">
        <v>46075</v>
      </c>
      <c r="D2583" t="inlineStr">
        <is>
          <t>VÄSTERBOTTENS LÄN</t>
        </is>
      </c>
      <c r="E2583" t="inlineStr">
        <is>
          <t>DOROTEA</t>
        </is>
      </c>
      <c r="G2583" t="n">
        <v>12.3</v>
      </c>
      <c r="H2583" t="n">
        <v>0</v>
      </c>
      <c r="I2583" t="n">
        <v>0</v>
      </c>
      <c r="J2583" t="n">
        <v>0</v>
      </c>
      <c r="K2583" t="n">
        <v>0</v>
      </c>
      <c r="L2583" t="n">
        <v>0</v>
      </c>
      <c r="M2583" t="n">
        <v>0</v>
      </c>
      <c r="N2583" t="n">
        <v>0</v>
      </c>
      <c r="O2583" t="n">
        <v>0</v>
      </c>
      <c r="P2583" t="n">
        <v>0</v>
      </c>
      <c r="Q2583" t="n">
        <v>0</v>
      </c>
      <c r="R2583" s="2" t="inlineStr"/>
    </row>
    <row r="2584" ht="15" customHeight="1">
      <c r="A2584" t="inlineStr">
        <is>
          <t>A 57324-2022</t>
        </is>
      </c>
      <c r="B2584" s="1" t="n">
        <v>44889</v>
      </c>
      <c r="C2584" s="1" t="n">
        <v>46075</v>
      </c>
      <c r="D2584" t="inlineStr">
        <is>
          <t>VÄSTERBOTTENS LÄN</t>
        </is>
      </c>
      <c r="E2584" t="inlineStr">
        <is>
          <t>VILHELMINA</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43701-2024</t>
        </is>
      </c>
      <c r="B2585" s="1" t="n">
        <v>45569</v>
      </c>
      <c r="C2585" s="1" t="n">
        <v>46075</v>
      </c>
      <c r="D2585" t="inlineStr">
        <is>
          <t>VÄSTERBOTTENS LÄN</t>
        </is>
      </c>
      <c r="E2585" t="inlineStr">
        <is>
          <t>SKELLEFTEÅ</t>
        </is>
      </c>
      <c r="F2585" t="inlineStr">
        <is>
          <t>Kommuner</t>
        </is>
      </c>
      <c r="G2585" t="n">
        <v>2.8</v>
      </c>
      <c r="H2585" t="n">
        <v>0</v>
      </c>
      <c r="I2585" t="n">
        <v>0</v>
      </c>
      <c r="J2585" t="n">
        <v>0</v>
      </c>
      <c r="K2585" t="n">
        <v>0</v>
      </c>
      <c r="L2585" t="n">
        <v>0</v>
      </c>
      <c r="M2585" t="n">
        <v>0</v>
      </c>
      <c r="N2585" t="n">
        <v>0</v>
      </c>
      <c r="O2585" t="n">
        <v>0</v>
      </c>
      <c r="P2585" t="n">
        <v>0</v>
      </c>
      <c r="Q2585" t="n">
        <v>0</v>
      </c>
      <c r="R2585" s="2" t="inlineStr"/>
    </row>
    <row r="2586" ht="15" customHeight="1">
      <c r="A2586" t="inlineStr">
        <is>
          <t>A 49879-2024</t>
        </is>
      </c>
      <c r="B2586" s="1" t="n">
        <v>45597.49931712963</v>
      </c>
      <c r="C2586" s="1" t="n">
        <v>46075</v>
      </c>
      <c r="D2586" t="inlineStr">
        <is>
          <t>VÄSTERBOTTENS LÄN</t>
        </is>
      </c>
      <c r="E2586" t="inlineStr">
        <is>
          <t>ÅSELE</t>
        </is>
      </c>
      <c r="F2586" t="inlineStr">
        <is>
          <t>Sveaskog</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55701-2024</t>
        </is>
      </c>
      <c r="B2587" s="1" t="n">
        <v>45622.69039351852</v>
      </c>
      <c r="C2587" s="1" t="n">
        <v>46075</v>
      </c>
      <c r="D2587" t="inlineStr">
        <is>
          <t>VÄSTERBOTTENS LÄN</t>
        </is>
      </c>
      <c r="E2587" t="inlineStr">
        <is>
          <t>NORDMALING</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45312-2024</t>
        </is>
      </c>
      <c r="B2588" s="1" t="n">
        <v>45576.4328587963</v>
      </c>
      <c r="C2588" s="1" t="n">
        <v>46075</v>
      </c>
      <c r="D2588" t="inlineStr">
        <is>
          <t>VÄSTERBOTTENS LÄN</t>
        </is>
      </c>
      <c r="E2588" t="inlineStr">
        <is>
          <t>LYCKSELE</t>
        </is>
      </c>
      <c r="F2588" t="inlineStr">
        <is>
          <t>Sveaskog</t>
        </is>
      </c>
      <c r="G2588" t="n">
        <v>10.8</v>
      </c>
      <c r="H2588" t="n">
        <v>0</v>
      </c>
      <c r="I2588" t="n">
        <v>0</v>
      </c>
      <c r="J2588" t="n">
        <v>0</v>
      </c>
      <c r="K2588" t="n">
        <v>0</v>
      </c>
      <c r="L2588" t="n">
        <v>0</v>
      </c>
      <c r="M2588" t="n">
        <v>0</v>
      </c>
      <c r="N2588" t="n">
        <v>0</v>
      </c>
      <c r="O2588" t="n">
        <v>0</v>
      </c>
      <c r="P2588" t="n">
        <v>0</v>
      </c>
      <c r="Q2588" t="n">
        <v>0</v>
      </c>
      <c r="R2588" s="2" t="inlineStr"/>
    </row>
    <row r="2589" ht="15" customHeight="1">
      <c r="A2589" t="inlineStr">
        <is>
          <t>A 15709-2023</t>
        </is>
      </c>
      <c r="B2589" s="1" t="n">
        <v>45020</v>
      </c>
      <c r="C2589" s="1" t="n">
        <v>46075</v>
      </c>
      <c r="D2589" t="inlineStr">
        <is>
          <t>VÄSTERBOTTENS LÄN</t>
        </is>
      </c>
      <c r="E2589" t="inlineStr">
        <is>
          <t>SKELLEFTEÅ</t>
        </is>
      </c>
      <c r="G2589" t="n">
        <v>4.4</v>
      </c>
      <c r="H2589" t="n">
        <v>0</v>
      </c>
      <c r="I2589" t="n">
        <v>0</v>
      </c>
      <c r="J2589" t="n">
        <v>0</v>
      </c>
      <c r="K2589" t="n">
        <v>0</v>
      </c>
      <c r="L2589" t="n">
        <v>0</v>
      </c>
      <c r="M2589" t="n">
        <v>0</v>
      </c>
      <c r="N2589" t="n">
        <v>0</v>
      </c>
      <c r="O2589" t="n">
        <v>0</v>
      </c>
      <c r="P2589" t="n">
        <v>0</v>
      </c>
      <c r="Q2589" t="n">
        <v>0</v>
      </c>
      <c r="R2589" s="2" t="inlineStr"/>
    </row>
    <row r="2590" ht="15" customHeight="1">
      <c r="A2590" t="inlineStr">
        <is>
          <t>A 58439-2022</t>
        </is>
      </c>
      <c r="B2590" s="1" t="n">
        <v>44901</v>
      </c>
      <c r="C2590" s="1" t="n">
        <v>46075</v>
      </c>
      <c r="D2590" t="inlineStr">
        <is>
          <t>VÄSTERBOTTENS LÄN</t>
        </is>
      </c>
      <c r="E2590" t="inlineStr">
        <is>
          <t>LYCKSELE</t>
        </is>
      </c>
      <c r="F2590" t="inlineStr">
        <is>
          <t>SCA</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17698-2023</t>
        </is>
      </c>
      <c r="B2591" s="1" t="n">
        <v>45035</v>
      </c>
      <c r="C2591" s="1" t="n">
        <v>46075</v>
      </c>
      <c r="D2591" t="inlineStr">
        <is>
          <t>VÄSTERBOTTENS LÄN</t>
        </is>
      </c>
      <c r="E2591" t="inlineStr">
        <is>
          <t>ÅSELE</t>
        </is>
      </c>
      <c r="G2591" t="n">
        <v>7</v>
      </c>
      <c r="H2591" t="n">
        <v>0</v>
      </c>
      <c r="I2591" t="n">
        <v>0</v>
      </c>
      <c r="J2591" t="n">
        <v>0</v>
      </c>
      <c r="K2591" t="n">
        <v>0</v>
      </c>
      <c r="L2591" t="n">
        <v>0</v>
      </c>
      <c r="M2591" t="n">
        <v>0</v>
      </c>
      <c r="N2591" t="n">
        <v>0</v>
      </c>
      <c r="O2591" t="n">
        <v>0</v>
      </c>
      <c r="P2591" t="n">
        <v>0</v>
      </c>
      <c r="Q2591" t="n">
        <v>0</v>
      </c>
      <c r="R2591" s="2" t="inlineStr"/>
    </row>
    <row r="2592" ht="15" customHeight="1">
      <c r="A2592" t="inlineStr">
        <is>
          <t>A 48348-2023</t>
        </is>
      </c>
      <c r="B2592" s="1" t="n">
        <v>45201</v>
      </c>
      <c r="C2592" s="1" t="n">
        <v>46075</v>
      </c>
      <c r="D2592" t="inlineStr">
        <is>
          <t>VÄSTERBOTTENS LÄN</t>
        </is>
      </c>
      <c r="E2592" t="inlineStr">
        <is>
          <t>MALÅ</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49844-2024</t>
        </is>
      </c>
      <c r="B2593" s="1" t="n">
        <v>45597</v>
      </c>
      <c r="C2593" s="1" t="n">
        <v>46075</v>
      </c>
      <c r="D2593" t="inlineStr">
        <is>
          <t>VÄSTERBOTTENS LÄN</t>
        </is>
      </c>
      <c r="E2593" t="inlineStr">
        <is>
          <t>SKELLEFTEÅ</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2552-2024</t>
        </is>
      </c>
      <c r="B2594" s="1" t="n">
        <v>45313</v>
      </c>
      <c r="C2594" s="1" t="n">
        <v>46075</v>
      </c>
      <c r="D2594" t="inlineStr">
        <is>
          <t>VÄSTERBOTTENS LÄN</t>
        </is>
      </c>
      <c r="E2594" t="inlineStr">
        <is>
          <t>LYCKSELE</t>
        </is>
      </c>
      <c r="F2594" t="inlineStr">
        <is>
          <t>Naturvårdsverket</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35734-2024</t>
        </is>
      </c>
      <c r="B2595" s="1" t="n">
        <v>45532</v>
      </c>
      <c r="C2595" s="1" t="n">
        <v>46075</v>
      </c>
      <c r="D2595" t="inlineStr">
        <is>
          <t>VÄSTERBOTTENS LÄN</t>
        </is>
      </c>
      <c r="E2595" t="inlineStr">
        <is>
          <t>VÄNNÄS</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30437-2023</t>
        </is>
      </c>
      <c r="B2596" s="1" t="n">
        <v>45099</v>
      </c>
      <c r="C2596" s="1" t="n">
        <v>46075</v>
      </c>
      <c r="D2596" t="inlineStr">
        <is>
          <t>VÄSTERBOTTENS LÄN</t>
        </is>
      </c>
      <c r="E2596" t="inlineStr">
        <is>
          <t>SKELLEFTEÅ</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17845-2025</t>
        </is>
      </c>
      <c r="B2597" s="1" t="n">
        <v>45758.59927083334</v>
      </c>
      <c r="C2597" s="1" t="n">
        <v>46075</v>
      </c>
      <c r="D2597" t="inlineStr">
        <is>
          <t>VÄSTERBOTTENS LÄN</t>
        </is>
      </c>
      <c r="E2597" t="inlineStr">
        <is>
          <t>VINDELN</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21961-2021</t>
        </is>
      </c>
      <c r="B2598" s="1" t="n">
        <v>44323</v>
      </c>
      <c r="C2598" s="1" t="n">
        <v>46075</v>
      </c>
      <c r="D2598" t="inlineStr">
        <is>
          <t>VÄSTERBOTTENS LÄN</t>
        </is>
      </c>
      <c r="E2598" t="inlineStr">
        <is>
          <t>LYCKSELE</t>
        </is>
      </c>
      <c r="G2598" t="n">
        <v>11.1</v>
      </c>
      <c r="H2598" t="n">
        <v>0</v>
      </c>
      <c r="I2598" t="n">
        <v>0</v>
      </c>
      <c r="J2598" t="n">
        <v>0</v>
      </c>
      <c r="K2598" t="n">
        <v>0</v>
      </c>
      <c r="L2598" t="n">
        <v>0</v>
      </c>
      <c r="M2598" t="n">
        <v>0</v>
      </c>
      <c r="N2598" t="n">
        <v>0</v>
      </c>
      <c r="O2598" t="n">
        <v>0</v>
      </c>
      <c r="P2598" t="n">
        <v>0</v>
      </c>
      <c r="Q2598" t="n">
        <v>0</v>
      </c>
      <c r="R2598" s="2" t="inlineStr"/>
    </row>
    <row r="2599" ht="15" customHeight="1">
      <c r="A2599" t="inlineStr">
        <is>
          <t>A 60646-2024</t>
        </is>
      </c>
      <c r="B2599" s="1" t="n">
        <v>45644.4325462963</v>
      </c>
      <c r="C2599" s="1" t="n">
        <v>46075</v>
      </c>
      <c r="D2599" t="inlineStr">
        <is>
          <t>VÄSTERBOTTENS LÄN</t>
        </is>
      </c>
      <c r="E2599" t="inlineStr">
        <is>
          <t>VÄNNÄS</t>
        </is>
      </c>
      <c r="F2599" t="inlineStr">
        <is>
          <t>Holmen skog AB</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27552-2024</t>
        </is>
      </c>
      <c r="B2600" s="1" t="n">
        <v>45474.61884259259</v>
      </c>
      <c r="C2600" s="1" t="n">
        <v>46075</v>
      </c>
      <c r="D2600" t="inlineStr">
        <is>
          <t>VÄSTERBOTTENS LÄN</t>
        </is>
      </c>
      <c r="E2600" t="inlineStr">
        <is>
          <t>STORUMAN</t>
        </is>
      </c>
      <c r="F2600" t="inlineStr">
        <is>
          <t>Sveaskog</t>
        </is>
      </c>
      <c r="G2600" t="n">
        <v>8</v>
      </c>
      <c r="H2600" t="n">
        <v>0</v>
      </c>
      <c r="I2600" t="n">
        <v>0</v>
      </c>
      <c r="J2600" t="n">
        <v>0</v>
      </c>
      <c r="K2600" t="n">
        <v>0</v>
      </c>
      <c r="L2600" t="n">
        <v>0</v>
      </c>
      <c r="M2600" t="n">
        <v>0</v>
      </c>
      <c r="N2600" t="n">
        <v>0</v>
      </c>
      <c r="O2600" t="n">
        <v>0</v>
      </c>
      <c r="P2600" t="n">
        <v>0</v>
      </c>
      <c r="Q2600" t="n">
        <v>0</v>
      </c>
      <c r="R2600" s="2" t="inlineStr"/>
    </row>
    <row r="2601" ht="15" customHeight="1">
      <c r="A2601" t="inlineStr">
        <is>
          <t>A 27553-2024</t>
        </is>
      </c>
      <c r="B2601" s="1" t="n">
        <v>45474.61927083333</v>
      </c>
      <c r="C2601" s="1" t="n">
        <v>46075</v>
      </c>
      <c r="D2601" t="inlineStr">
        <is>
          <t>VÄSTERBOTTENS LÄN</t>
        </is>
      </c>
      <c r="E2601" t="inlineStr">
        <is>
          <t>LYCKSELE</t>
        </is>
      </c>
      <c r="F2601" t="inlineStr">
        <is>
          <t>Sveaskog</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47131-2024</t>
        </is>
      </c>
      <c r="B2602" s="1" t="n">
        <v>45586.57693287037</v>
      </c>
      <c r="C2602" s="1" t="n">
        <v>46075</v>
      </c>
      <c r="D2602" t="inlineStr">
        <is>
          <t>VÄSTERBOTTENS LÄN</t>
        </is>
      </c>
      <c r="E2602" t="inlineStr">
        <is>
          <t>LYCKSELE</t>
        </is>
      </c>
      <c r="F2602" t="inlineStr">
        <is>
          <t>Sveaskog</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37969-2024</t>
        </is>
      </c>
      <c r="B2603" s="1" t="n">
        <v>45544.55925925926</v>
      </c>
      <c r="C2603" s="1" t="n">
        <v>46075</v>
      </c>
      <c r="D2603" t="inlineStr">
        <is>
          <t>VÄSTERBOTTENS LÄN</t>
        </is>
      </c>
      <c r="E2603" t="inlineStr">
        <is>
          <t>LYCKSELE</t>
        </is>
      </c>
      <c r="F2603" t="inlineStr">
        <is>
          <t>Sveaskog</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17502-2025</t>
        </is>
      </c>
      <c r="B2604" s="1" t="n">
        <v>45757</v>
      </c>
      <c r="C2604" s="1" t="n">
        <v>46075</v>
      </c>
      <c r="D2604" t="inlineStr">
        <is>
          <t>VÄSTERBOTTENS LÄN</t>
        </is>
      </c>
      <c r="E2604" t="inlineStr">
        <is>
          <t>NORDMALING</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8718-2025</t>
        </is>
      </c>
      <c r="B2605" s="1" t="n">
        <v>45712</v>
      </c>
      <c r="C2605" s="1" t="n">
        <v>46075</v>
      </c>
      <c r="D2605" t="inlineStr">
        <is>
          <t>VÄSTERBOTTENS LÄN</t>
        </is>
      </c>
      <c r="E2605" t="inlineStr">
        <is>
          <t>VILHELMINA</t>
        </is>
      </c>
      <c r="G2605" t="n">
        <v>21.3</v>
      </c>
      <c r="H2605" t="n">
        <v>0</v>
      </c>
      <c r="I2605" t="n">
        <v>0</v>
      </c>
      <c r="J2605" t="n">
        <v>0</v>
      </c>
      <c r="K2605" t="n">
        <v>0</v>
      </c>
      <c r="L2605" t="n">
        <v>0</v>
      </c>
      <c r="M2605" t="n">
        <v>0</v>
      </c>
      <c r="N2605" t="n">
        <v>0</v>
      </c>
      <c r="O2605" t="n">
        <v>0</v>
      </c>
      <c r="P2605" t="n">
        <v>0</v>
      </c>
      <c r="Q2605" t="n">
        <v>0</v>
      </c>
      <c r="R2605" s="2" t="inlineStr"/>
    </row>
    <row r="2606" ht="15" customHeight="1">
      <c r="A2606" t="inlineStr">
        <is>
          <t>A 55326-2023</t>
        </is>
      </c>
      <c r="B2606" s="1" t="n">
        <v>45237.97364583334</v>
      </c>
      <c r="C2606" s="1" t="n">
        <v>46075</v>
      </c>
      <c r="D2606" t="inlineStr">
        <is>
          <t>VÄSTERBOTTENS LÄN</t>
        </is>
      </c>
      <c r="E2606" t="inlineStr">
        <is>
          <t>VILHELMINA</t>
        </is>
      </c>
      <c r="F2606" t="inlineStr">
        <is>
          <t>SCA</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46858-2024</t>
        </is>
      </c>
      <c r="B2607" s="1" t="n">
        <v>45583</v>
      </c>
      <c r="C2607" s="1" t="n">
        <v>46075</v>
      </c>
      <c r="D2607" t="inlineStr">
        <is>
          <t>VÄSTERBOTTENS LÄN</t>
        </is>
      </c>
      <c r="E2607" t="inlineStr">
        <is>
          <t>SKELLEFTEÅ</t>
        </is>
      </c>
      <c r="G2607" t="n">
        <v>8.800000000000001</v>
      </c>
      <c r="H2607" t="n">
        <v>0</v>
      </c>
      <c r="I2607" t="n">
        <v>0</v>
      </c>
      <c r="J2607" t="n">
        <v>0</v>
      </c>
      <c r="K2607" t="n">
        <v>0</v>
      </c>
      <c r="L2607" t="n">
        <v>0</v>
      </c>
      <c r="M2607" t="n">
        <v>0</v>
      </c>
      <c r="N2607" t="n">
        <v>0</v>
      </c>
      <c r="O2607" t="n">
        <v>0</v>
      </c>
      <c r="P2607" t="n">
        <v>0</v>
      </c>
      <c r="Q2607" t="n">
        <v>0</v>
      </c>
      <c r="R2607" s="2" t="inlineStr"/>
    </row>
    <row r="2608" ht="15" customHeight="1">
      <c r="A2608" t="inlineStr">
        <is>
          <t>A 16504-2025</t>
        </is>
      </c>
      <c r="B2608" s="1" t="n">
        <v>45751</v>
      </c>
      <c r="C2608" s="1" t="n">
        <v>46075</v>
      </c>
      <c r="D2608" t="inlineStr">
        <is>
          <t>VÄSTERBOTTENS LÄN</t>
        </is>
      </c>
      <c r="E2608" t="inlineStr">
        <is>
          <t>LYCKSELE</t>
        </is>
      </c>
      <c r="F2608" t="inlineStr">
        <is>
          <t>Holmen skog AB</t>
        </is>
      </c>
      <c r="G2608" t="n">
        <v>3.2</v>
      </c>
      <c r="H2608" t="n">
        <v>0</v>
      </c>
      <c r="I2608" t="n">
        <v>0</v>
      </c>
      <c r="J2608" t="n">
        <v>0</v>
      </c>
      <c r="K2608" t="n">
        <v>0</v>
      </c>
      <c r="L2608" t="n">
        <v>0</v>
      </c>
      <c r="M2608" t="n">
        <v>0</v>
      </c>
      <c r="N2608" t="n">
        <v>0</v>
      </c>
      <c r="O2608" t="n">
        <v>0</v>
      </c>
      <c r="P2608" t="n">
        <v>0</v>
      </c>
      <c r="Q2608" t="n">
        <v>0</v>
      </c>
      <c r="R2608" s="2" t="inlineStr"/>
    </row>
    <row r="2609" ht="15" customHeight="1">
      <c r="A2609" t="inlineStr">
        <is>
          <t>A 27322-2023</t>
        </is>
      </c>
      <c r="B2609" s="1" t="n">
        <v>45096</v>
      </c>
      <c r="C2609" s="1" t="n">
        <v>46075</v>
      </c>
      <c r="D2609" t="inlineStr">
        <is>
          <t>VÄSTERBOTTENS LÄN</t>
        </is>
      </c>
      <c r="E2609" t="inlineStr">
        <is>
          <t>SKELLEFTEÅ</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66440-2021</t>
        </is>
      </c>
      <c r="B2610" s="1" t="n">
        <v>44518</v>
      </c>
      <c r="C2610" s="1" t="n">
        <v>46075</v>
      </c>
      <c r="D2610" t="inlineStr">
        <is>
          <t>VÄSTERBOTTENS LÄN</t>
        </is>
      </c>
      <c r="E2610" t="inlineStr">
        <is>
          <t>SORSELE</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7430-2022</t>
        </is>
      </c>
      <c r="B2611" s="1" t="n">
        <v>44606.933125</v>
      </c>
      <c r="C2611" s="1" t="n">
        <v>46075</v>
      </c>
      <c r="D2611" t="inlineStr">
        <is>
          <t>VÄSTERBOTTENS LÄN</t>
        </is>
      </c>
      <c r="E2611" t="inlineStr">
        <is>
          <t>UMEÅ</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30722-2024</t>
        </is>
      </c>
      <c r="B2612" s="1" t="n">
        <v>45496</v>
      </c>
      <c r="C2612" s="1" t="n">
        <v>46075</v>
      </c>
      <c r="D2612" t="inlineStr">
        <is>
          <t>VÄSTERBOTTENS LÄN</t>
        </is>
      </c>
      <c r="E2612" t="inlineStr">
        <is>
          <t>ROBERTSFORS</t>
        </is>
      </c>
      <c r="F2612" t="inlineStr">
        <is>
          <t>Holmen skog AB</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57883-2023</t>
        </is>
      </c>
      <c r="B2613" s="1" t="n">
        <v>45247.47055555556</v>
      </c>
      <c r="C2613" s="1" t="n">
        <v>46075</v>
      </c>
      <c r="D2613" t="inlineStr">
        <is>
          <t>VÄSTERBOTTENS LÄN</t>
        </is>
      </c>
      <c r="E2613" t="inlineStr">
        <is>
          <t>UMEÅ</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57886-2023</t>
        </is>
      </c>
      <c r="B2614" s="1" t="n">
        <v>45247.47538194444</v>
      </c>
      <c r="C2614" s="1" t="n">
        <v>46075</v>
      </c>
      <c r="D2614" t="inlineStr">
        <is>
          <t>VÄSTERBOTTENS LÄN</t>
        </is>
      </c>
      <c r="E2614" t="inlineStr">
        <is>
          <t>BJURHOLM</t>
        </is>
      </c>
      <c r="G2614" t="n">
        <v>0.3</v>
      </c>
      <c r="H2614" t="n">
        <v>0</v>
      </c>
      <c r="I2614" t="n">
        <v>0</v>
      </c>
      <c r="J2614" t="n">
        <v>0</v>
      </c>
      <c r="K2614" t="n">
        <v>0</v>
      </c>
      <c r="L2614" t="n">
        <v>0</v>
      </c>
      <c r="M2614" t="n">
        <v>0</v>
      </c>
      <c r="N2614" t="n">
        <v>0</v>
      </c>
      <c r="O2614" t="n">
        <v>0</v>
      </c>
      <c r="P2614" t="n">
        <v>0</v>
      </c>
      <c r="Q2614" t="n">
        <v>0</v>
      </c>
      <c r="R2614" s="2" t="inlineStr"/>
    </row>
    <row r="2615" ht="15" customHeight="1">
      <c r="A2615" t="inlineStr">
        <is>
          <t>A 28846-2023</t>
        </is>
      </c>
      <c r="B2615" s="1" t="n">
        <v>45104.42267361111</v>
      </c>
      <c r="C2615" s="1" t="n">
        <v>46075</v>
      </c>
      <c r="D2615" t="inlineStr">
        <is>
          <t>VÄSTERBOTTENS LÄN</t>
        </is>
      </c>
      <c r="E2615" t="inlineStr">
        <is>
          <t>VINDELN</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15904-2025</t>
        </is>
      </c>
      <c r="B2616" s="1" t="n">
        <v>45749.43325231481</v>
      </c>
      <c r="C2616" s="1" t="n">
        <v>46075</v>
      </c>
      <c r="D2616" t="inlineStr">
        <is>
          <t>VÄSTERBOTTENS LÄN</t>
        </is>
      </c>
      <c r="E2616" t="inlineStr">
        <is>
          <t>UMEÅ</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16106-2025</t>
        </is>
      </c>
      <c r="B2617" s="1" t="n">
        <v>45750.33010416666</v>
      </c>
      <c r="C2617" s="1" t="n">
        <v>46075</v>
      </c>
      <c r="D2617" t="inlineStr">
        <is>
          <t>VÄSTERBOTTENS LÄN</t>
        </is>
      </c>
      <c r="E2617" t="inlineStr">
        <is>
          <t>ROBERTSFORS</t>
        </is>
      </c>
      <c r="G2617" t="n">
        <v>3.5</v>
      </c>
      <c r="H2617" t="n">
        <v>0</v>
      </c>
      <c r="I2617" t="n">
        <v>0</v>
      </c>
      <c r="J2617" t="n">
        <v>0</v>
      </c>
      <c r="K2617" t="n">
        <v>0</v>
      </c>
      <c r="L2617" t="n">
        <v>0</v>
      </c>
      <c r="M2617" t="n">
        <v>0</v>
      </c>
      <c r="N2617" t="n">
        <v>0</v>
      </c>
      <c r="O2617" t="n">
        <v>0</v>
      </c>
      <c r="P2617" t="n">
        <v>0</v>
      </c>
      <c r="Q2617" t="n">
        <v>0</v>
      </c>
      <c r="R2617" s="2" t="inlineStr"/>
    </row>
    <row r="2618" ht="15" customHeight="1">
      <c r="A2618" t="inlineStr">
        <is>
          <t>A 55988-2023</t>
        </is>
      </c>
      <c r="B2618" s="1" t="n">
        <v>45240</v>
      </c>
      <c r="C2618" s="1" t="n">
        <v>46075</v>
      </c>
      <c r="D2618" t="inlineStr">
        <is>
          <t>VÄSTERBOTTENS LÄN</t>
        </is>
      </c>
      <c r="E2618" t="inlineStr">
        <is>
          <t>VINDELN</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43952-2023</t>
        </is>
      </c>
      <c r="B2619" s="1" t="n">
        <v>45187</v>
      </c>
      <c r="C2619" s="1" t="n">
        <v>46075</v>
      </c>
      <c r="D2619" t="inlineStr">
        <is>
          <t>VÄSTERBOTTENS LÄN</t>
        </is>
      </c>
      <c r="E2619" t="inlineStr">
        <is>
          <t>MALÅ</t>
        </is>
      </c>
      <c r="F2619" t="inlineStr">
        <is>
          <t>SCA</t>
        </is>
      </c>
      <c r="G2619" t="n">
        <v>11.5</v>
      </c>
      <c r="H2619" t="n">
        <v>0</v>
      </c>
      <c r="I2619" t="n">
        <v>0</v>
      </c>
      <c r="J2619" t="n">
        <v>0</v>
      </c>
      <c r="K2619" t="n">
        <v>0</v>
      </c>
      <c r="L2619" t="n">
        <v>0</v>
      </c>
      <c r="M2619" t="n">
        <v>0</v>
      </c>
      <c r="N2619" t="n">
        <v>0</v>
      </c>
      <c r="O2619" t="n">
        <v>0</v>
      </c>
      <c r="P2619" t="n">
        <v>0</v>
      </c>
      <c r="Q2619" t="n">
        <v>0</v>
      </c>
      <c r="R2619" s="2" t="inlineStr"/>
    </row>
    <row r="2620" ht="15" customHeight="1">
      <c r="A2620" t="inlineStr">
        <is>
          <t>A 7418-2024</t>
        </is>
      </c>
      <c r="B2620" s="1" t="n">
        <v>45345</v>
      </c>
      <c r="C2620" s="1" t="n">
        <v>46075</v>
      </c>
      <c r="D2620" t="inlineStr">
        <is>
          <t>VÄSTERBOTTENS LÄN</t>
        </is>
      </c>
      <c r="E2620" t="inlineStr">
        <is>
          <t>BJURHOLM</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56847-2023</t>
        </is>
      </c>
      <c r="B2621" s="1" t="n">
        <v>45238</v>
      </c>
      <c r="C2621" s="1" t="n">
        <v>46075</v>
      </c>
      <c r="D2621" t="inlineStr">
        <is>
          <t>VÄSTERBOTTENS LÄN</t>
        </is>
      </c>
      <c r="E2621" t="inlineStr">
        <is>
          <t>VILHELMINA</t>
        </is>
      </c>
      <c r="F2621" t="inlineStr">
        <is>
          <t>Allmännings- och besparingsskogar</t>
        </is>
      </c>
      <c r="G2621" t="n">
        <v>41</v>
      </c>
      <c r="H2621" t="n">
        <v>0</v>
      </c>
      <c r="I2621" t="n">
        <v>0</v>
      </c>
      <c r="J2621" t="n">
        <v>0</v>
      </c>
      <c r="K2621" t="n">
        <v>0</v>
      </c>
      <c r="L2621" t="n">
        <v>0</v>
      </c>
      <c r="M2621" t="n">
        <v>0</v>
      </c>
      <c r="N2621" t="n">
        <v>0</v>
      </c>
      <c r="O2621" t="n">
        <v>0</v>
      </c>
      <c r="P2621" t="n">
        <v>0</v>
      </c>
      <c r="Q2621" t="n">
        <v>0</v>
      </c>
      <c r="R2621" s="2" t="inlineStr"/>
    </row>
    <row r="2622" ht="15" customHeight="1">
      <c r="A2622" t="inlineStr">
        <is>
          <t>A 7440-2024</t>
        </is>
      </c>
      <c r="B2622" s="1" t="n">
        <v>45345</v>
      </c>
      <c r="C2622" s="1" t="n">
        <v>46075</v>
      </c>
      <c r="D2622" t="inlineStr">
        <is>
          <t>VÄSTERBOTTENS LÄN</t>
        </is>
      </c>
      <c r="E2622" t="inlineStr">
        <is>
          <t>UMEÅ</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12780-2025</t>
        </is>
      </c>
      <c r="B2623" s="1" t="n">
        <v>45733.59627314815</v>
      </c>
      <c r="C2623" s="1" t="n">
        <v>46075</v>
      </c>
      <c r="D2623" t="inlineStr">
        <is>
          <t>VÄSTERBOTTENS LÄN</t>
        </is>
      </c>
      <c r="E2623" t="inlineStr">
        <is>
          <t>UMEÅ</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38114-2024</t>
        </is>
      </c>
      <c r="B2624" s="1" t="n">
        <v>45545</v>
      </c>
      <c r="C2624" s="1" t="n">
        <v>46075</v>
      </c>
      <c r="D2624" t="inlineStr">
        <is>
          <t>VÄSTERBOTTENS LÄN</t>
        </is>
      </c>
      <c r="E2624" t="inlineStr">
        <is>
          <t>LYCKSELE</t>
        </is>
      </c>
      <c r="F2624" t="inlineStr">
        <is>
          <t>SCA</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38135-2024</t>
        </is>
      </c>
      <c r="B2625" s="1" t="n">
        <v>45545.41424768518</v>
      </c>
      <c r="C2625" s="1" t="n">
        <v>46075</v>
      </c>
      <c r="D2625" t="inlineStr">
        <is>
          <t>VÄSTERBOTTENS LÄN</t>
        </is>
      </c>
      <c r="E2625" t="inlineStr">
        <is>
          <t>UMEÅ</t>
        </is>
      </c>
      <c r="G2625" t="n">
        <v>8.6</v>
      </c>
      <c r="H2625" t="n">
        <v>0</v>
      </c>
      <c r="I2625" t="n">
        <v>0</v>
      </c>
      <c r="J2625" t="n">
        <v>0</v>
      </c>
      <c r="K2625" t="n">
        <v>0</v>
      </c>
      <c r="L2625" t="n">
        <v>0</v>
      </c>
      <c r="M2625" t="n">
        <v>0</v>
      </c>
      <c r="N2625" t="n">
        <v>0</v>
      </c>
      <c r="O2625" t="n">
        <v>0</v>
      </c>
      <c r="P2625" t="n">
        <v>0</v>
      </c>
      <c r="Q2625" t="n">
        <v>0</v>
      </c>
      <c r="R2625" s="2" t="inlineStr"/>
    </row>
    <row r="2626" ht="15" customHeight="1">
      <c r="A2626" t="inlineStr">
        <is>
          <t>A 29622-2024</t>
        </is>
      </c>
      <c r="B2626" s="1" t="n">
        <v>45484.65622685185</v>
      </c>
      <c r="C2626" s="1" t="n">
        <v>46075</v>
      </c>
      <c r="D2626" t="inlineStr">
        <is>
          <t>VÄSTERBOTTENS LÄN</t>
        </is>
      </c>
      <c r="E2626" t="inlineStr">
        <is>
          <t>ROBERTSFORS</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10833-2022</t>
        </is>
      </c>
      <c r="B2627" s="1" t="n">
        <v>44627</v>
      </c>
      <c r="C2627" s="1" t="n">
        <v>46075</v>
      </c>
      <c r="D2627" t="inlineStr">
        <is>
          <t>VÄSTERBOTTENS LÄN</t>
        </is>
      </c>
      <c r="E2627" t="inlineStr">
        <is>
          <t>VILHELMINA</t>
        </is>
      </c>
      <c r="G2627" t="n">
        <v>5.4</v>
      </c>
      <c r="H2627" t="n">
        <v>0</v>
      </c>
      <c r="I2627" t="n">
        <v>0</v>
      </c>
      <c r="J2627" t="n">
        <v>0</v>
      </c>
      <c r="K2627" t="n">
        <v>0</v>
      </c>
      <c r="L2627" t="n">
        <v>0</v>
      </c>
      <c r="M2627" t="n">
        <v>0</v>
      </c>
      <c r="N2627" t="n">
        <v>0</v>
      </c>
      <c r="O2627" t="n">
        <v>0</v>
      </c>
      <c r="P2627" t="n">
        <v>0</v>
      </c>
      <c r="Q2627" t="n">
        <v>0</v>
      </c>
      <c r="R2627" s="2" t="inlineStr"/>
    </row>
    <row r="2628" ht="15" customHeight="1">
      <c r="A2628" t="inlineStr">
        <is>
          <t>A 10569-2021</t>
        </is>
      </c>
      <c r="B2628" s="1" t="n">
        <v>44258</v>
      </c>
      <c r="C2628" s="1" t="n">
        <v>46075</v>
      </c>
      <c r="D2628" t="inlineStr">
        <is>
          <t>VÄSTERBOTTENS LÄN</t>
        </is>
      </c>
      <c r="E2628" t="inlineStr">
        <is>
          <t>SORSELE</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27477-2023</t>
        </is>
      </c>
      <c r="B2629" s="1" t="n">
        <v>45097</v>
      </c>
      <c r="C2629" s="1" t="n">
        <v>46075</v>
      </c>
      <c r="D2629" t="inlineStr">
        <is>
          <t>VÄSTERBOTTENS LÄN</t>
        </is>
      </c>
      <c r="E2629" t="inlineStr">
        <is>
          <t>DOROTEA</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27508-2023</t>
        </is>
      </c>
      <c r="B2630" s="1" t="n">
        <v>45097</v>
      </c>
      <c r="C2630" s="1" t="n">
        <v>46075</v>
      </c>
      <c r="D2630" t="inlineStr">
        <is>
          <t>VÄSTERBOTTENS LÄN</t>
        </is>
      </c>
      <c r="E2630" t="inlineStr">
        <is>
          <t>SKELLEFTEÅ</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3559-2024</t>
        </is>
      </c>
      <c r="B2631" s="1" t="n">
        <v>45320</v>
      </c>
      <c r="C2631" s="1" t="n">
        <v>46075</v>
      </c>
      <c r="D2631" t="inlineStr">
        <is>
          <t>VÄSTERBOTTENS LÄN</t>
        </is>
      </c>
      <c r="E2631" t="inlineStr">
        <is>
          <t>ÅSELE</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32942-2024</t>
        </is>
      </c>
      <c r="B2632" s="1" t="n">
        <v>45517</v>
      </c>
      <c r="C2632" s="1" t="n">
        <v>46075</v>
      </c>
      <c r="D2632" t="inlineStr">
        <is>
          <t>VÄSTERBOTTENS LÄN</t>
        </is>
      </c>
      <c r="E2632" t="inlineStr">
        <is>
          <t>ÅSELE</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58207-2022</t>
        </is>
      </c>
      <c r="B2633" s="1" t="n">
        <v>44901</v>
      </c>
      <c r="C2633" s="1" t="n">
        <v>46075</v>
      </c>
      <c r="D2633" t="inlineStr">
        <is>
          <t>VÄSTERBOTTENS LÄN</t>
        </is>
      </c>
      <c r="E2633" t="inlineStr">
        <is>
          <t>VILHELMINA</t>
        </is>
      </c>
      <c r="G2633" t="n">
        <v>143.2</v>
      </c>
      <c r="H2633" t="n">
        <v>0</v>
      </c>
      <c r="I2633" t="n">
        <v>0</v>
      </c>
      <c r="J2633" t="n">
        <v>0</v>
      </c>
      <c r="K2633" t="n">
        <v>0</v>
      </c>
      <c r="L2633" t="n">
        <v>0</v>
      </c>
      <c r="M2633" t="n">
        <v>0</v>
      </c>
      <c r="N2633" t="n">
        <v>0</v>
      </c>
      <c r="O2633" t="n">
        <v>0</v>
      </c>
      <c r="P2633" t="n">
        <v>0</v>
      </c>
      <c r="Q2633" t="n">
        <v>0</v>
      </c>
      <c r="R2633" s="2" t="inlineStr"/>
    </row>
    <row r="2634" ht="15" customHeight="1">
      <c r="A2634" t="inlineStr">
        <is>
          <t>A 37760-2024</t>
        </is>
      </c>
      <c r="B2634" s="1" t="n">
        <v>45541.784375</v>
      </c>
      <c r="C2634" s="1" t="n">
        <v>46075</v>
      </c>
      <c r="D2634" t="inlineStr">
        <is>
          <t>VÄSTERBOTTENS LÄN</t>
        </is>
      </c>
      <c r="E2634" t="inlineStr">
        <is>
          <t>SKELLEFTEÅ</t>
        </is>
      </c>
      <c r="F2634" t="inlineStr">
        <is>
          <t>Sveaskog</t>
        </is>
      </c>
      <c r="G2634" t="n">
        <v>27.6</v>
      </c>
      <c r="H2634" t="n">
        <v>0</v>
      </c>
      <c r="I2634" t="n">
        <v>0</v>
      </c>
      <c r="J2634" t="n">
        <v>0</v>
      </c>
      <c r="K2634" t="n">
        <v>0</v>
      </c>
      <c r="L2634" t="n">
        <v>0</v>
      </c>
      <c r="M2634" t="n">
        <v>0</v>
      </c>
      <c r="N2634" t="n">
        <v>0</v>
      </c>
      <c r="O2634" t="n">
        <v>0</v>
      </c>
      <c r="P2634" t="n">
        <v>0</v>
      </c>
      <c r="Q2634" t="n">
        <v>0</v>
      </c>
      <c r="R2634" s="2" t="inlineStr"/>
    </row>
    <row r="2635" ht="15" customHeight="1">
      <c r="A2635" t="inlineStr">
        <is>
          <t>A 43651-2024</t>
        </is>
      </c>
      <c r="B2635" s="1" t="n">
        <v>45569.53740740741</v>
      </c>
      <c r="C2635" s="1" t="n">
        <v>46075</v>
      </c>
      <c r="D2635" t="inlineStr">
        <is>
          <t>VÄSTERBOTTENS LÄN</t>
        </is>
      </c>
      <c r="E2635" t="inlineStr">
        <is>
          <t>NORSJÖ</t>
        </is>
      </c>
      <c r="F2635" t="inlineStr">
        <is>
          <t>Holmen skog AB</t>
        </is>
      </c>
      <c r="G2635" t="n">
        <v>3.2</v>
      </c>
      <c r="H2635" t="n">
        <v>0</v>
      </c>
      <c r="I2635" t="n">
        <v>0</v>
      </c>
      <c r="J2635" t="n">
        <v>0</v>
      </c>
      <c r="K2635" t="n">
        <v>0</v>
      </c>
      <c r="L2635" t="n">
        <v>0</v>
      </c>
      <c r="M2635" t="n">
        <v>0</v>
      </c>
      <c r="N2635" t="n">
        <v>0</v>
      </c>
      <c r="O2635" t="n">
        <v>0</v>
      </c>
      <c r="P2635" t="n">
        <v>0</v>
      </c>
      <c r="Q2635" t="n">
        <v>0</v>
      </c>
      <c r="R2635" s="2" t="inlineStr"/>
    </row>
    <row r="2636" ht="15" customHeight="1">
      <c r="A2636" t="inlineStr">
        <is>
          <t>A 28656-2024</t>
        </is>
      </c>
      <c r="B2636" s="1" t="n">
        <v>45478</v>
      </c>
      <c r="C2636" s="1" t="n">
        <v>46075</v>
      </c>
      <c r="D2636" t="inlineStr">
        <is>
          <t>VÄSTERBOTTENS LÄN</t>
        </is>
      </c>
      <c r="E2636" t="inlineStr">
        <is>
          <t>VILHELMINA</t>
        </is>
      </c>
      <c r="F2636" t="inlineStr">
        <is>
          <t>Allmännings- och besparingsskogar</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44244-2024</t>
        </is>
      </c>
      <c r="B2637" s="1" t="n">
        <v>45573.42783564814</v>
      </c>
      <c r="C2637" s="1" t="n">
        <v>46075</v>
      </c>
      <c r="D2637" t="inlineStr">
        <is>
          <t>VÄSTERBOTTENS LÄN</t>
        </is>
      </c>
      <c r="E2637" t="inlineStr">
        <is>
          <t>UMEÅ</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856-2025</t>
        </is>
      </c>
      <c r="B2638" s="1" t="n">
        <v>45665</v>
      </c>
      <c r="C2638" s="1" t="n">
        <v>46075</v>
      </c>
      <c r="D2638" t="inlineStr">
        <is>
          <t>VÄSTERBOTTENS LÄN</t>
        </is>
      </c>
      <c r="E2638" t="inlineStr">
        <is>
          <t>VINDELN</t>
        </is>
      </c>
      <c r="F2638" t="inlineStr">
        <is>
          <t>Naturvårdsverket</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28279-2023</t>
        </is>
      </c>
      <c r="B2639" s="1" t="n">
        <v>45099.62826388889</v>
      </c>
      <c r="C2639" s="1" t="n">
        <v>46075</v>
      </c>
      <c r="D2639" t="inlineStr">
        <is>
          <t>VÄSTERBOTTENS LÄN</t>
        </is>
      </c>
      <c r="E2639" t="inlineStr">
        <is>
          <t>ÅSELE</t>
        </is>
      </c>
      <c r="F2639" t="inlineStr">
        <is>
          <t>Sveaskog</t>
        </is>
      </c>
      <c r="G2639" t="n">
        <v>16.6</v>
      </c>
      <c r="H2639" t="n">
        <v>0</v>
      </c>
      <c r="I2639" t="n">
        <v>0</v>
      </c>
      <c r="J2639" t="n">
        <v>0</v>
      </c>
      <c r="K2639" t="n">
        <v>0</v>
      </c>
      <c r="L2639" t="n">
        <v>0</v>
      </c>
      <c r="M2639" t="n">
        <v>0</v>
      </c>
      <c r="N2639" t="n">
        <v>0</v>
      </c>
      <c r="O2639" t="n">
        <v>0</v>
      </c>
      <c r="P2639" t="n">
        <v>0</v>
      </c>
      <c r="Q2639" t="n">
        <v>0</v>
      </c>
      <c r="R2639" s="2" t="inlineStr"/>
    </row>
    <row r="2640" ht="15" customHeight="1">
      <c r="A2640" t="inlineStr">
        <is>
          <t>A 39789-2024</t>
        </is>
      </c>
      <c r="B2640" s="1" t="n">
        <v>45553</v>
      </c>
      <c r="C2640" s="1" t="n">
        <v>46075</v>
      </c>
      <c r="D2640" t="inlineStr">
        <is>
          <t>VÄSTERBOTTENS LÄN</t>
        </is>
      </c>
      <c r="E2640" t="inlineStr">
        <is>
          <t>ROBERTSFORS</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2454-2025</t>
        </is>
      </c>
      <c r="B2641" s="1" t="n">
        <v>45673</v>
      </c>
      <c r="C2641" s="1" t="n">
        <v>46075</v>
      </c>
      <c r="D2641" t="inlineStr">
        <is>
          <t>VÄSTERBOTTENS LÄN</t>
        </is>
      </c>
      <c r="E2641" t="inlineStr">
        <is>
          <t>SKELLEFTEÅ</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12335-2024</t>
        </is>
      </c>
      <c r="B2642" s="1" t="n">
        <v>45378.71258101852</v>
      </c>
      <c r="C2642" s="1" t="n">
        <v>46075</v>
      </c>
      <c r="D2642" t="inlineStr">
        <is>
          <t>VÄSTERBOTTENS LÄN</t>
        </is>
      </c>
      <c r="E2642" t="inlineStr">
        <is>
          <t>LYCKSELE</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42976-2024</t>
        </is>
      </c>
      <c r="B2643" s="1" t="n">
        <v>45567.37387731481</v>
      </c>
      <c r="C2643" s="1" t="n">
        <v>46075</v>
      </c>
      <c r="D2643" t="inlineStr">
        <is>
          <t>VÄSTERBOTTENS LÄN</t>
        </is>
      </c>
      <c r="E2643" t="inlineStr">
        <is>
          <t>VILHELMINA</t>
        </is>
      </c>
      <c r="F2643" t="inlineStr">
        <is>
          <t>SCA</t>
        </is>
      </c>
      <c r="G2643" t="n">
        <v>20.6</v>
      </c>
      <c r="H2643" t="n">
        <v>0</v>
      </c>
      <c r="I2643" t="n">
        <v>0</v>
      </c>
      <c r="J2643" t="n">
        <v>0</v>
      </c>
      <c r="K2643" t="n">
        <v>0</v>
      </c>
      <c r="L2643" t="n">
        <v>0</v>
      </c>
      <c r="M2643" t="n">
        <v>0</v>
      </c>
      <c r="N2643" t="n">
        <v>0</v>
      </c>
      <c r="O2643" t="n">
        <v>0</v>
      </c>
      <c r="P2643" t="n">
        <v>0</v>
      </c>
      <c r="Q2643" t="n">
        <v>0</v>
      </c>
      <c r="R2643" s="2" t="inlineStr"/>
    </row>
    <row r="2644" ht="15" customHeight="1">
      <c r="A2644" t="inlineStr">
        <is>
          <t>A 39809-2023</t>
        </is>
      </c>
      <c r="B2644" s="1" t="n">
        <v>45167</v>
      </c>
      <c r="C2644" s="1" t="n">
        <v>46075</v>
      </c>
      <c r="D2644" t="inlineStr">
        <is>
          <t>VÄSTERBOTTENS LÄN</t>
        </is>
      </c>
      <c r="E2644" t="inlineStr">
        <is>
          <t>VINDELN</t>
        </is>
      </c>
      <c r="F2644" t="inlineStr">
        <is>
          <t>SCA</t>
        </is>
      </c>
      <c r="G2644" t="n">
        <v>9</v>
      </c>
      <c r="H2644" t="n">
        <v>0</v>
      </c>
      <c r="I2644" t="n">
        <v>0</v>
      </c>
      <c r="J2644" t="n">
        <v>0</v>
      </c>
      <c r="K2644" t="n">
        <v>0</v>
      </c>
      <c r="L2644" t="n">
        <v>0</v>
      </c>
      <c r="M2644" t="n">
        <v>0</v>
      </c>
      <c r="N2644" t="n">
        <v>0</v>
      </c>
      <c r="O2644" t="n">
        <v>0</v>
      </c>
      <c r="P2644" t="n">
        <v>0</v>
      </c>
      <c r="Q2644" t="n">
        <v>0</v>
      </c>
      <c r="R2644" s="2" t="inlineStr"/>
    </row>
    <row r="2645" ht="15" customHeight="1">
      <c r="A2645" t="inlineStr">
        <is>
          <t>A 51197-2023</t>
        </is>
      </c>
      <c r="B2645" s="1" t="n">
        <v>45219.41938657407</v>
      </c>
      <c r="C2645" s="1" t="n">
        <v>46075</v>
      </c>
      <c r="D2645" t="inlineStr">
        <is>
          <t>VÄSTERBOTTENS LÄN</t>
        </is>
      </c>
      <c r="E2645" t="inlineStr">
        <is>
          <t>NORSJÖ</t>
        </is>
      </c>
      <c r="F2645" t="inlineStr">
        <is>
          <t>Holmen skog AB</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25027-2023</t>
        </is>
      </c>
      <c r="B2646" s="1" t="n">
        <v>45085.92733796296</v>
      </c>
      <c r="C2646" s="1" t="n">
        <v>46075</v>
      </c>
      <c r="D2646" t="inlineStr">
        <is>
          <t>VÄSTERBOTTENS LÄN</t>
        </is>
      </c>
      <c r="E2646" t="inlineStr">
        <is>
          <t>NORSJÖ</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53369-2022</t>
        </is>
      </c>
      <c r="B2647" s="1" t="n">
        <v>44874</v>
      </c>
      <c r="C2647" s="1" t="n">
        <v>46075</v>
      </c>
      <c r="D2647" t="inlineStr">
        <is>
          <t>VÄSTERBOTTENS LÄN</t>
        </is>
      </c>
      <c r="E2647" t="inlineStr">
        <is>
          <t>LYCKSELE</t>
        </is>
      </c>
      <c r="G2647" t="n">
        <v>9.1</v>
      </c>
      <c r="H2647" t="n">
        <v>0</v>
      </c>
      <c r="I2647" t="n">
        <v>0</v>
      </c>
      <c r="J2647" t="n">
        <v>0</v>
      </c>
      <c r="K2647" t="n">
        <v>0</v>
      </c>
      <c r="L2647" t="n">
        <v>0</v>
      </c>
      <c r="M2647" t="n">
        <v>0</v>
      </c>
      <c r="N2647" t="n">
        <v>0</v>
      </c>
      <c r="O2647" t="n">
        <v>0</v>
      </c>
      <c r="P2647" t="n">
        <v>0</v>
      </c>
      <c r="Q2647" t="n">
        <v>0</v>
      </c>
      <c r="R2647" s="2" t="inlineStr"/>
    </row>
    <row r="2648" ht="15" customHeight="1">
      <c r="A2648" t="inlineStr">
        <is>
          <t>A 2091-2024</t>
        </is>
      </c>
      <c r="B2648" s="1" t="n">
        <v>45309</v>
      </c>
      <c r="C2648" s="1" t="n">
        <v>46075</v>
      </c>
      <c r="D2648" t="inlineStr">
        <is>
          <t>VÄSTERBOTTENS LÄN</t>
        </is>
      </c>
      <c r="E2648" t="inlineStr">
        <is>
          <t>ÅSELE</t>
        </is>
      </c>
      <c r="F2648" t="inlineStr">
        <is>
          <t>Sveaskog</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25028-2023</t>
        </is>
      </c>
      <c r="B2649" s="1" t="n">
        <v>45085.92752314815</v>
      </c>
      <c r="C2649" s="1" t="n">
        <v>46075</v>
      </c>
      <c r="D2649" t="inlineStr">
        <is>
          <t>VÄSTERBOTTENS LÄN</t>
        </is>
      </c>
      <c r="E2649" t="inlineStr">
        <is>
          <t>NORSJÖ</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57076-2022</t>
        </is>
      </c>
      <c r="B2650" s="1" t="n">
        <v>44889</v>
      </c>
      <c r="C2650" s="1" t="n">
        <v>46075</v>
      </c>
      <c r="D2650" t="inlineStr">
        <is>
          <t>VÄSTERBOTTENS LÄN</t>
        </is>
      </c>
      <c r="E2650" t="inlineStr">
        <is>
          <t>VINDELN</t>
        </is>
      </c>
      <c r="G2650" t="n">
        <v>8.300000000000001</v>
      </c>
      <c r="H2650" t="n">
        <v>0</v>
      </c>
      <c r="I2650" t="n">
        <v>0</v>
      </c>
      <c r="J2650" t="n">
        <v>0</v>
      </c>
      <c r="K2650" t="n">
        <v>0</v>
      </c>
      <c r="L2650" t="n">
        <v>0</v>
      </c>
      <c r="M2650" t="n">
        <v>0</v>
      </c>
      <c r="N2650" t="n">
        <v>0</v>
      </c>
      <c r="O2650" t="n">
        <v>0</v>
      </c>
      <c r="P2650" t="n">
        <v>0</v>
      </c>
      <c r="Q2650" t="n">
        <v>0</v>
      </c>
      <c r="R2650" s="2" t="inlineStr"/>
    </row>
    <row r="2651" ht="15" customHeight="1">
      <c r="A2651" t="inlineStr">
        <is>
          <t>A 8510-2025</t>
        </is>
      </c>
      <c r="B2651" s="1" t="n">
        <v>45709.53822916667</v>
      </c>
      <c r="C2651" s="1" t="n">
        <v>46075</v>
      </c>
      <c r="D2651" t="inlineStr">
        <is>
          <t>VÄSTERBOTTENS LÄN</t>
        </is>
      </c>
      <c r="E2651" t="inlineStr">
        <is>
          <t>VINDELN</t>
        </is>
      </c>
      <c r="G2651" t="n">
        <v>11.2</v>
      </c>
      <c r="H2651" t="n">
        <v>0</v>
      </c>
      <c r="I2651" t="n">
        <v>0</v>
      </c>
      <c r="J2651" t="n">
        <v>0</v>
      </c>
      <c r="K2651" t="n">
        <v>0</v>
      </c>
      <c r="L2651" t="n">
        <v>0</v>
      </c>
      <c r="M2651" t="n">
        <v>0</v>
      </c>
      <c r="N2651" t="n">
        <v>0</v>
      </c>
      <c r="O2651" t="n">
        <v>0</v>
      </c>
      <c r="P2651" t="n">
        <v>0</v>
      </c>
      <c r="Q2651" t="n">
        <v>0</v>
      </c>
      <c r="R2651" s="2" t="inlineStr"/>
    </row>
    <row r="2652" ht="15" customHeight="1">
      <c r="A2652" t="inlineStr">
        <is>
          <t>A 955-2024</t>
        </is>
      </c>
      <c r="B2652" s="1" t="n">
        <v>45301</v>
      </c>
      <c r="C2652" s="1" t="n">
        <v>46075</v>
      </c>
      <c r="D2652" t="inlineStr">
        <is>
          <t>VÄSTERBOTTENS LÄN</t>
        </is>
      </c>
      <c r="E2652" t="inlineStr">
        <is>
          <t>UMEÅ</t>
        </is>
      </c>
      <c r="G2652" t="n">
        <v>3.7</v>
      </c>
      <c r="H2652" t="n">
        <v>0</v>
      </c>
      <c r="I2652" t="n">
        <v>0</v>
      </c>
      <c r="J2652" t="n">
        <v>0</v>
      </c>
      <c r="K2652" t="n">
        <v>0</v>
      </c>
      <c r="L2652" t="n">
        <v>0</v>
      </c>
      <c r="M2652" t="n">
        <v>0</v>
      </c>
      <c r="N2652" t="n">
        <v>0</v>
      </c>
      <c r="O2652" t="n">
        <v>0</v>
      </c>
      <c r="P2652" t="n">
        <v>0</v>
      </c>
      <c r="Q2652" t="n">
        <v>0</v>
      </c>
      <c r="R2652" s="2" t="inlineStr"/>
    </row>
    <row r="2653" ht="15" customHeight="1">
      <c r="A2653" t="inlineStr">
        <is>
          <t>A 14342-2024</t>
        </is>
      </c>
      <c r="B2653" s="1" t="n">
        <v>45393.73072916667</v>
      </c>
      <c r="C2653" s="1" t="n">
        <v>46075</v>
      </c>
      <c r="D2653" t="inlineStr">
        <is>
          <t>VÄSTERBOTTENS LÄN</t>
        </is>
      </c>
      <c r="E2653" t="inlineStr">
        <is>
          <t>SKELLEFTEÅ</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16893-2021</t>
        </is>
      </c>
      <c r="B2654" s="1" t="n">
        <v>44295</v>
      </c>
      <c r="C2654" s="1" t="n">
        <v>46075</v>
      </c>
      <c r="D2654" t="inlineStr">
        <is>
          <t>VÄSTERBOTTENS LÄN</t>
        </is>
      </c>
      <c r="E2654" t="inlineStr">
        <is>
          <t>SORSELE</t>
        </is>
      </c>
      <c r="G2654" t="n">
        <v>14.7</v>
      </c>
      <c r="H2654" t="n">
        <v>0</v>
      </c>
      <c r="I2654" t="n">
        <v>0</v>
      </c>
      <c r="J2654" t="n">
        <v>0</v>
      </c>
      <c r="K2654" t="n">
        <v>0</v>
      </c>
      <c r="L2654" t="n">
        <v>0</v>
      </c>
      <c r="M2654" t="n">
        <v>0</v>
      </c>
      <c r="N2654" t="n">
        <v>0</v>
      </c>
      <c r="O2654" t="n">
        <v>0</v>
      </c>
      <c r="P2654" t="n">
        <v>0</v>
      </c>
      <c r="Q2654" t="n">
        <v>0</v>
      </c>
      <c r="R2654" s="2" t="inlineStr"/>
    </row>
    <row r="2655" ht="15" customHeight="1">
      <c r="A2655" t="inlineStr">
        <is>
          <t>A 16909-2021</t>
        </is>
      </c>
      <c r="B2655" s="1" t="n">
        <v>44294</v>
      </c>
      <c r="C2655" s="1" t="n">
        <v>46075</v>
      </c>
      <c r="D2655" t="inlineStr">
        <is>
          <t>VÄSTERBOTTENS LÄN</t>
        </is>
      </c>
      <c r="E2655" t="inlineStr">
        <is>
          <t>UMEÅ</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61136-2024</t>
        </is>
      </c>
      <c r="B2656" s="1" t="n">
        <v>45645.58386574074</v>
      </c>
      <c r="C2656" s="1" t="n">
        <v>46075</v>
      </c>
      <c r="D2656" t="inlineStr">
        <is>
          <t>VÄSTERBOTTENS LÄN</t>
        </is>
      </c>
      <c r="E2656" t="inlineStr">
        <is>
          <t>NORDMALING</t>
        </is>
      </c>
      <c r="G2656" t="n">
        <v>4.6</v>
      </c>
      <c r="H2656" t="n">
        <v>0</v>
      </c>
      <c r="I2656" t="n">
        <v>0</v>
      </c>
      <c r="J2656" t="n">
        <v>0</v>
      </c>
      <c r="K2656" t="n">
        <v>0</v>
      </c>
      <c r="L2656" t="n">
        <v>0</v>
      </c>
      <c r="M2656" t="n">
        <v>0</v>
      </c>
      <c r="N2656" t="n">
        <v>0</v>
      </c>
      <c r="O2656" t="n">
        <v>0</v>
      </c>
      <c r="P2656" t="n">
        <v>0</v>
      </c>
      <c r="Q2656" t="n">
        <v>0</v>
      </c>
      <c r="R2656" s="2" t="inlineStr"/>
    </row>
    <row r="2657" ht="15" customHeight="1">
      <c r="A2657" t="inlineStr">
        <is>
          <t>A 45757-2024</t>
        </is>
      </c>
      <c r="B2657" s="1" t="n">
        <v>45579.63565972223</v>
      </c>
      <c r="C2657" s="1" t="n">
        <v>46075</v>
      </c>
      <c r="D2657" t="inlineStr">
        <is>
          <t>VÄSTERBOTTENS LÄN</t>
        </is>
      </c>
      <c r="E2657" t="inlineStr">
        <is>
          <t>SKELLEFTEÅ</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402-2023</t>
        </is>
      </c>
      <c r="B2658" s="1" t="n">
        <v>44923</v>
      </c>
      <c r="C2658" s="1" t="n">
        <v>46075</v>
      </c>
      <c r="D2658" t="inlineStr">
        <is>
          <t>VÄSTERBOTTENS LÄN</t>
        </is>
      </c>
      <c r="E2658" t="inlineStr">
        <is>
          <t>VILHELMINA</t>
        </is>
      </c>
      <c r="G2658" t="n">
        <v>14.7</v>
      </c>
      <c r="H2658" t="n">
        <v>0</v>
      </c>
      <c r="I2658" t="n">
        <v>0</v>
      </c>
      <c r="J2658" t="n">
        <v>0</v>
      </c>
      <c r="K2658" t="n">
        <v>0</v>
      </c>
      <c r="L2658" t="n">
        <v>0</v>
      </c>
      <c r="M2658" t="n">
        <v>0</v>
      </c>
      <c r="N2658" t="n">
        <v>0</v>
      </c>
      <c r="O2658" t="n">
        <v>0</v>
      </c>
      <c r="P2658" t="n">
        <v>0</v>
      </c>
      <c r="Q2658" t="n">
        <v>0</v>
      </c>
      <c r="R2658" s="2" t="inlineStr"/>
    </row>
    <row r="2659" ht="15" customHeight="1">
      <c r="A2659" t="inlineStr">
        <is>
          <t>A 2382-2023</t>
        </is>
      </c>
      <c r="B2659" s="1" t="n">
        <v>44942</v>
      </c>
      <c r="C2659" s="1" t="n">
        <v>46075</v>
      </c>
      <c r="D2659" t="inlineStr">
        <is>
          <t>VÄSTERBOTTENS LÄN</t>
        </is>
      </c>
      <c r="E2659" t="inlineStr">
        <is>
          <t>VILHELMINA</t>
        </is>
      </c>
      <c r="G2659" t="n">
        <v>29.7</v>
      </c>
      <c r="H2659" t="n">
        <v>0</v>
      </c>
      <c r="I2659" t="n">
        <v>0</v>
      </c>
      <c r="J2659" t="n">
        <v>0</v>
      </c>
      <c r="K2659" t="n">
        <v>0</v>
      </c>
      <c r="L2659" t="n">
        <v>0</v>
      </c>
      <c r="M2659" t="n">
        <v>0</v>
      </c>
      <c r="N2659" t="n">
        <v>0</v>
      </c>
      <c r="O2659" t="n">
        <v>0</v>
      </c>
      <c r="P2659" t="n">
        <v>0</v>
      </c>
      <c r="Q2659" t="n">
        <v>0</v>
      </c>
      <c r="R2659" s="2" t="inlineStr"/>
    </row>
    <row r="2660" ht="15" customHeight="1">
      <c r="A2660" t="inlineStr">
        <is>
          <t>A 57770-2022</t>
        </is>
      </c>
      <c r="B2660" s="1" t="n">
        <v>44897</v>
      </c>
      <c r="C2660" s="1" t="n">
        <v>46075</v>
      </c>
      <c r="D2660" t="inlineStr">
        <is>
          <t>VÄSTERBOTTENS LÄN</t>
        </is>
      </c>
      <c r="E2660" t="inlineStr">
        <is>
          <t>SKELLEFTEÅ</t>
        </is>
      </c>
      <c r="F2660" t="inlineStr">
        <is>
          <t>Sveaskog</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26627-2024</t>
        </is>
      </c>
      <c r="B2661" s="1" t="n">
        <v>45469</v>
      </c>
      <c r="C2661" s="1" t="n">
        <v>46075</v>
      </c>
      <c r="D2661" t="inlineStr">
        <is>
          <t>VÄSTERBOTTENS LÄN</t>
        </is>
      </c>
      <c r="E2661" t="inlineStr">
        <is>
          <t>NORDMALING</t>
        </is>
      </c>
      <c r="G2661" t="n">
        <v>5.8</v>
      </c>
      <c r="H2661" t="n">
        <v>0</v>
      </c>
      <c r="I2661" t="n">
        <v>0</v>
      </c>
      <c r="J2661" t="n">
        <v>0</v>
      </c>
      <c r="K2661" t="n">
        <v>0</v>
      </c>
      <c r="L2661" t="n">
        <v>0</v>
      </c>
      <c r="M2661" t="n">
        <v>0</v>
      </c>
      <c r="N2661" t="n">
        <v>0</v>
      </c>
      <c r="O2661" t="n">
        <v>0</v>
      </c>
      <c r="P2661" t="n">
        <v>0</v>
      </c>
      <c r="Q2661" t="n">
        <v>0</v>
      </c>
      <c r="R2661" s="2" t="inlineStr"/>
    </row>
    <row r="2662" ht="15" customHeight="1">
      <c r="A2662" t="inlineStr">
        <is>
          <t>A 52434-2023</t>
        </is>
      </c>
      <c r="B2662" s="1" t="n">
        <v>45225.33805555556</v>
      </c>
      <c r="C2662" s="1" t="n">
        <v>46075</v>
      </c>
      <c r="D2662" t="inlineStr">
        <is>
          <t>VÄSTERBOTTENS LÄN</t>
        </is>
      </c>
      <c r="E2662" t="inlineStr">
        <is>
          <t>ROBERTSFORS</t>
        </is>
      </c>
      <c r="G2662" t="n">
        <v>5</v>
      </c>
      <c r="H2662" t="n">
        <v>0</v>
      </c>
      <c r="I2662" t="n">
        <v>0</v>
      </c>
      <c r="J2662" t="n">
        <v>0</v>
      </c>
      <c r="K2662" t="n">
        <v>0</v>
      </c>
      <c r="L2662" t="n">
        <v>0</v>
      </c>
      <c r="M2662" t="n">
        <v>0</v>
      </c>
      <c r="N2662" t="n">
        <v>0</v>
      </c>
      <c r="O2662" t="n">
        <v>0</v>
      </c>
      <c r="P2662" t="n">
        <v>0</v>
      </c>
      <c r="Q2662" t="n">
        <v>0</v>
      </c>
      <c r="R2662" s="2" t="inlineStr"/>
    </row>
    <row r="2663" ht="15" customHeight="1">
      <c r="A2663" t="inlineStr">
        <is>
          <t>A 43946-2024</t>
        </is>
      </c>
      <c r="B2663" s="1" t="n">
        <v>45572</v>
      </c>
      <c r="C2663" s="1" t="n">
        <v>46075</v>
      </c>
      <c r="D2663" t="inlineStr">
        <is>
          <t>VÄSTERBOTTENS LÄN</t>
        </is>
      </c>
      <c r="E2663" t="inlineStr">
        <is>
          <t>ROBERTSFORS</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47016-2022</t>
        </is>
      </c>
      <c r="B2664" s="1" t="n">
        <v>44851</v>
      </c>
      <c r="C2664" s="1" t="n">
        <v>46075</v>
      </c>
      <c r="D2664" t="inlineStr">
        <is>
          <t>VÄSTERBOTTENS LÄN</t>
        </is>
      </c>
      <c r="E2664" t="inlineStr">
        <is>
          <t>LYCKSELE</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56518-2023</t>
        </is>
      </c>
      <c r="B2665" s="1" t="n">
        <v>45238</v>
      </c>
      <c r="C2665" s="1" t="n">
        <v>46075</v>
      </c>
      <c r="D2665" t="inlineStr">
        <is>
          <t>VÄSTERBOTTENS LÄN</t>
        </is>
      </c>
      <c r="E2665" t="inlineStr">
        <is>
          <t>LYCKSELE</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55613-2023</t>
        </is>
      </c>
      <c r="B2666" s="1" t="n">
        <v>45238.74128472222</v>
      </c>
      <c r="C2666" s="1" t="n">
        <v>46075</v>
      </c>
      <c r="D2666" t="inlineStr">
        <is>
          <t>VÄSTERBOTTENS LÄN</t>
        </is>
      </c>
      <c r="E2666" t="inlineStr">
        <is>
          <t>SKELLEFTEÅ</t>
        </is>
      </c>
      <c r="F2666" t="inlineStr">
        <is>
          <t>Sveaskog</t>
        </is>
      </c>
      <c r="G2666" t="n">
        <v>9.699999999999999</v>
      </c>
      <c r="H2666" t="n">
        <v>0</v>
      </c>
      <c r="I2666" t="n">
        <v>0</v>
      </c>
      <c r="J2666" t="n">
        <v>0</v>
      </c>
      <c r="K2666" t="n">
        <v>0</v>
      </c>
      <c r="L2666" t="n">
        <v>0</v>
      </c>
      <c r="M2666" t="n">
        <v>0</v>
      </c>
      <c r="N2666" t="n">
        <v>0</v>
      </c>
      <c r="O2666" t="n">
        <v>0</v>
      </c>
      <c r="P2666" t="n">
        <v>0</v>
      </c>
      <c r="Q2666" t="n">
        <v>0</v>
      </c>
      <c r="R2666" s="2" t="inlineStr"/>
    </row>
    <row r="2667" ht="15" customHeight="1">
      <c r="A2667" t="inlineStr">
        <is>
          <t>A 43791-2024</t>
        </is>
      </c>
      <c r="B2667" s="1" t="n">
        <v>45571</v>
      </c>
      <c r="C2667" s="1" t="n">
        <v>46075</v>
      </c>
      <c r="D2667" t="inlineStr">
        <is>
          <t>VÄSTERBOTTENS LÄN</t>
        </is>
      </c>
      <c r="E2667" t="inlineStr">
        <is>
          <t>VILHELMINA</t>
        </is>
      </c>
      <c r="G2667" t="n">
        <v>30.3</v>
      </c>
      <c r="H2667" t="n">
        <v>0</v>
      </c>
      <c r="I2667" t="n">
        <v>0</v>
      </c>
      <c r="J2667" t="n">
        <v>0</v>
      </c>
      <c r="K2667" t="n">
        <v>0</v>
      </c>
      <c r="L2667" t="n">
        <v>0</v>
      </c>
      <c r="M2667" t="n">
        <v>0</v>
      </c>
      <c r="N2667" t="n">
        <v>0</v>
      </c>
      <c r="O2667" t="n">
        <v>0</v>
      </c>
      <c r="P2667" t="n">
        <v>0</v>
      </c>
      <c r="Q2667" t="n">
        <v>0</v>
      </c>
      <c r="R2667" s="2" t="inlineStr"/>
    </row>
    <row r="2668" ht="15" customHeight="1">
      <c r="A2668" t="inlineStr">
        <is>
          <t>A 17409-2025</t>
        </is>
      </c>
      <c r="B2668" s="1" t="n">
        <v>45757.36844907407</v>
      </c>
      <c r="C2668" s="1" t="n">
        <v>46075</v>
      </c>
      <c r="D2668" t="inlineStr">
        <is>
          <t>VÄSTERBOTTENS LÄN</t>
        </is>
      </c>
      <c r="E2668" t="inlineStr">
        <is>
          <t>VÄNNÄS</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17414-2025</t>
        </is>
      </c>
      <c r="B2669" s="1" t="n">
        <v>45757</v>
      </c>
      <c r="C2669" s="1" t="n">
        <v>46075</v>
      </c>
      <c r="D2669" t="inlineStr">
        <is>
          <t>VÄSTERBOTTENS LÄN</t>
        </is>
      </c>
      <c r="E2669" t="inlineStr">
        <is>
          <t>VÄNNÄS</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15430-2024</t>
        </is>
      </c>
      <c r="B2670" s="1" t="n">
        <v>45401</v>
      </c>
      <c r="C2670" s="1" t="n">
        <v>46075</v>
      </c>
      <c r="D2670" t="inlineStr">
        <is>
          <t>VÄSTERBOTTENS LÄN</t>
        </is>
      </c>
      <c r="E2670" t="inlineStr">
        <is>
          <t>UMEÅ</t>
        </is>
      </c>
      <c r="F2670" t="inlineStr">
        <is>
          <t>Holmen skog AB</t>
        </is>
      </c>
      <c r="G2670" t="n">
        <v>37.4</v>
      </c>
      <c r="H2670" t="n">
        <v>0</v>
      </c>
      <c r="I2670" t="n">
        <v>0</v>
      </c>
      <c r="J2670" t="n">
        <v>0</v>
      </c>
      <c r="K2670" t="n">
        <v>0</v>
      </c>
      <c r="L2670" t="n">
        <v>0</v>
      </c>
      <c r="M2670" t="n">
        <v>0</v>
      </c>
      <c r="N2670" t="n">
        <v>0</v>
      </c>
      <c r="O2670" t="n">
        <v>0</v>
      </c>
      <c r="P2670" t="n">
        <v>0</v>
      </c>
      <c r="Q2670" t="n">
        <v>0</v>
      </c>
      <c r="R2670" s="2" t="inlineStr"/>
    </row>
    <row r="2671" ht="15" customHeight="1">
      <c r="A2671" t="inlineStr">
        <is>
          <t>A 40548-2024</t>
        </is>
      </c>
      <c r="B2671" s="1" t="n">
        <v>45555.64177083333</v>
      </c>
      <c r="C2671" s="1" t="n">
        <v>46075</v>
      </c>
      <c r="D2671" t="inlineStr">
        <is>
          <t>VÄSTERBOTTENS LÄN</t>
        </is>
      </c>
      <c r="E2671" t="inlineStr">
        <is>
          <t>LYCKSELE</t>
        </is>
      </c>
      <c r="F2671" t="inlineStr">
        <is>
          <t>Holmen skog AB</t>
        </is>
      </c>
      <c r="G2671" t="n">
        <v>6.6</v>
      </c>
      <c r="H2671" t="n">
        <v>0</v>
      </c>
      <c r="I2671" t="n">
        <v>0</v>
      </c>
      <c r="J2671" t="n">
        <v>0</v>
      </c>
      <c r="K2671" t="n">
        <v>0</v>
      </c>
      <c r="L2671" t="n">
        <v>0</v>
      </c>
      <c r="M2671" t="n">
        <v>0</v>
      </c>
      <c r="N2671" t="n">
        <v>0</v>
      </c>
      <c r="O2671" t="n">
        <v>0</v>
      </c>
      <c r="P2671" t="n">
        <v>0</v>
      </c>
      <c r="Q2671" t="n">
        <v>0</v>
      </c>
      <c r="R2671" s="2" t="inlineStr"/>
    </row>
    <row r="2672" ht="15" customHeight="1">
      <c r="A2672" t="inlineStr">
        <is>
          <t>A 41269-2024</t>
        </is>
      </c>
      <c r="B2672" s="1" t="n">
        <v>45559</v>
      </c>
      <c r="C2672" s="1" t="n">
        <v>46075</v>
      </c>
      <c r="D2672" t="inlineStr">
        <is>
          <t>VÄSTERBOTTENS LÄN</t>
        </is>
      </c>
      <c r="E2672" t="inlineStr">
        <is>
          <t>ROBERTSFORS</t>
        </is>
      </c>
      <c r="F2672" t="inlineStr">
        <is>
          <t>Sveaskog</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35861-2023</t>
        </is>
      </c>
      <c r="B2673" s="1" t="n">
        <v>45147</v>
      </c>
      <c r="C2673" s="1" t="n">
        <v>46075</v>
      </c>
      <c r="D2673" t="inlineStr">
        <is>
          <t>VÄSTERBOTTENS LÄN</t>
        </is>
      </c>
      <c r="E2673" t="inlineStr">
        <is>
          <t>ÅSELE</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56453-2024</t>
        </is>
      </c>
      <c r="B2674" s="1" t="n">
        <v>45625.44270833334</v>
      </c>
      <c r="C2674" s="1" t="n">
        <v>46075</v>
      </c>
      <c r="D2674" t="inlineStr">
        <is>
          <t>VÄSTERBOTTENS LÄN</t>
        </is>
      </c>
      <c r="E2674" t="inlineStr">
        <is>
          <t>SKELLEFTEÅ</t>
        </is>
      </c>
      <c r="G2674" t="n">
        <v>3.7</v>
      </c>
      <c r="H2674" t="n">
        <v>0</v>
      </c>
      <c r="I2674" t="n">
        <v>0</v>
      </c>
      <c r="J2674" t="n">
        <v>0</v>
      </c>
      <c r="K2674" t="n">
        <v>0</v>
      </c>
      <c r="L2674" t="n">
        <v>0</v>
      </c>
      <c r="M2674" t="n">
        <v>0</v>
      </c>
      <c r="N2674" t="n">
        <v>0</v>
      </c>
      <c r="O2674" t="n">
        <v>0</v>
      </c>
      <c r="P2674" t="n">
        <v>0</v>
      </c>
      <c r="Q2674" t="n">
        <v>0</v>
      </c>
      <c r="R2674" s="2" t="inlineStr"/>
    </row>
    <row r="2675" ht="15" customHeight="1">
      <c r="A2675" t="inlineStr">
        <is>
          <t>A 41299-2024</t>
        </is>
      </c>
      <c r="B2675" s="1" t="n">
        <v>45559.61635416667</v>
      </c>
      <c r="C2675" s="1" t="n">
        <v>46075</v>
      </c>
      <c r="D2675" t="inlineStr">
        <is>
          <t>VÄSTERBOTTENS LÄN</t>
        </is>
      </c>
      <c r="E2675" t="inlineStr">
        <is>
          <t>ROBERTSFORS</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46714-2024</t>
        </is>
      </c>
      <c r="B2676" s="1" t="n">
        <v>45583.4488425926</v>
      </c>
      <c r="C2676" s="1" t="n">
        <v>46075</v>
      </c>
      <c r="D2676" t="inlineStr">
        <is>
          <t>VÄSTERBOTTENS LÄN</t>
        </is>
      </c>
      <c r="E2676" t="inlineStr">
        <is>
          <t>VINDELN</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41300-2024</t>
        </is>
      </c>
      <c r="B2677" s="1" t="n">
        <v>45559.61655092592</v>
      </c>
      <c r="C2677" s="1" t="n">
        <v>46075</v>
      </c>
      <c r="D2677" t="inlineStr">
        <is>
          <t>VÄSTERBOTTENS LÄN</t>
        </is>
      </c>
      <c r="E2677" t="inlineStr">
        <is>
          <t>ÅSELE</t>
        </is>
      </c>
      <c r="F2677" t="inlineStr">
        <is>
          <t>Naturvårdsverket</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745-2025</t>
        </is>
      </c>
      <c r="B2678" s="1" t="n">
        <v>45665.43612268518</v>
      </c>
      <c r="C2678" s="1" t="n">
        <v>46075</v>
      </c>
      <c r="D2678" t="inlineStr">
        <is>
          <t>VÄSTERBOTTENS LÄN</t>
        </is>
      </c>
      <c r="E2678" t="inlineStr">
        <is>
          <t>VINDELN</t>
        </is>
      </c>
      <c r="G2678" t="n">
        <v>4.6</v>
      </c>
      <c r="H2678" t="n">
        <v>0</v>
      </c>
      <c r="I2678" t="n">
        <v>0</v>
      </c>
      <c r="J2678" t="n">
        <v>0</v>
      </c>
      <c r="K2678" t="n">
        <v>0</v>
      </c>
      <c r="L2678" t="n">
        <v>0</v>
      </c>
      <c r="M2678" t="n">
        <v>0</v>
      </c>
      <c r="N2678" t="n">
        <v>0</v>
      </c>
      <c r="O2678" t="n">
        <v>0</v>
      </c>
      <c r="P2678" t="n">
        <v>0</v>
      </c>
      <c r="Q2678" t="n">
        <v>0</v>
      </c>
      <c r="R2678" s="2" t="inlineStr"/>
    </row>
    <row r="2679" ht="15" customHeight="1">
      <c r="A2679" t="inlineStr">
        <is>
          <t>A 47499-2024</t>
        </is>
      </c>
      <c r="B2679" s="1" t="n">
        <v>45587.59827546297</v>
      </c>
      <c r="C2679" s="1" t="n">
        <v>46075</v>
      </c>
      <c r="D2679" t="inlineStr">
        <is>
          <t>VÄSTERBOTTENS LÄN</t>
        </is>
      </c>
      <c r="E2679" t="inlineStr">
        <is>
          <t>BJURHOLM</t>
        </is>
      </c>
      <c r="G2679" t="n">
        <v>4.3</v>
      </c>
      <c r="H2679" t="n">
        <v>0</v>
      </c>
      <c r="I2679" t="n">
        <v>0</v>
      </c>
      <c r="J2679" t="n">
        <v>0</v>
      </c>
      <c r="K2679" t="n">
        <v>0</v>
      </c>
      <c r="L2679" t="n">
        <v>0</v>
      </c>
      <c r="M2679" t="n">
        <v>0</v>
      </c>
      <c r="N2679" t="n">
        <v>0</v>
      </c>
      <c r="O2679" t="n">
        <v>0</v>
      </c>
      <c r="P2679" t="n">
        <v>0</v>
      </c>
      <c r="Q2679" t="n">
        <v>0</v>
      </c>
      <c r="R2679" s="2" t="inlineStr"/>
    </row>
    <row r="2680" ht="15" customHeight="1">
      <c r="A2680" t="inlineStr">
        <is>
          <t>A 47519-2024</t>
        </is>
      </c>
      <c r="B2680" s="1" t="n">
        <v>45587</v>
      </c>
      <c r="C2680" s="1" t="n">
        <v>46075</v>
      </c>
      <c r="D2680" t="inlineStr">
        <is>
          <t>VÄSTERBOTTENS LÄN</t>
        </is>
      </c>
      <c r="E2680" t="inlineStr">
        <is>
          <t>SKELLEFTEÅ</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35921-2023</t>
        </is>
      </c>
      <c r="B2681" s="1" t="n">
        <v>45148</v>
      </c>
      <c r="C2681" s="1" t="n">
        <v>46075</v>
      </c>
      <c r="D2681" t="inlineStr">
        <is>
          <t>VÄSTERBOTTENS LÄN</t>
        </is>
      </c>
      <c r="E2681" t="inlineStr">
        <is>
          <t>VINDELN</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43434-2024</t>
        </is>
      </c>
      <c r="B2682" s="1" t="n">
        <v>45568.64591435185</v>
      </c>
      <c r="C2682" s="1" t="n">
        <v>46075</v>
      </c>
      <c r="D2682" t="inlineStr">
        <is>
          <t>VÄSTERBOTTENS LÄN</t>
        </is>
      </c>
      <c r="E2682" t="inlineStr">
        <is>
          <t>SKELLEFTEÅ</t>
        </is>
      </c>
      <c r="F2682" t="inlineStr">
        <is>
          <t>Holmen skog AB</t>
        </is>
      </c>
      <c r="G2682" t="n">
        <v>4.3</v>
      </c>
      <c r="H2682" t="n">
        <v>0</v>
      </c>
      <c r="I2682" t="n">
        <v>0</v>
      </c>
      <c r="J2682" t="n">
        <v>0</v>
      </c>
      <c r="K2682" t="n">
        <v>0</v>
      </c>
      <c r="L2682" t="n">
        <v>0</v>
      </c>
      <c r="M2682" t="n">
        <v>0</v>
      </c>
      <c r="N2682" t="n">
        <v>0</v>
      </c>
      <c r="O2682" t="n">
        <v>0</v>
      </c>
      <c r="P2682" t="n">
        <v>0</v>
      </c>
      <c r="Q2682" t="n">
        <v>0</v>
      </c>
      <c r="R2682" s="2" t="inlineStr"/>
    </row>
    <row r="2683" ht="15" customHeight="1">
      <c r="A2683" t="inlineStr">
        <is>
          <t>A 34578-2024</t>
        </is>
      </c>
      <c r="B2683" s="1" t="n">
        <v>45526.36461805556</v>
      </c>
      <c r="C2683" s="1" t="n">
        <v>46075</v>
      </c>
      <c r="D2683" t="inlineStr">
        <is>
          <t>VÄSTERBOTTENS LÄN</t>
        </is>
      </c>
      <c r="E2683" t="inlineStr">
        <is>
          <t>ÅSELE</t>
        </is>
      </c>
      <c r="F2683" t="inlineStr">
        <is>
          <t>SCA</t>
        </is>
      </c>
      <c r="G2683" t="n">
        <v>0.3</v>
      </c>
      <c r="H2683" t="n">
        <v>0</v>
      </c>
      <c r="I2683" t="n">
        <v>0</v>
      </c>
      <c r="J2683" t="n">
        <v>0</v>
      </c>
      <c r="K2683" t="n">
        <v>0</v>
      </c>
      <c r="L2683" t="n">
        <v>0</v>
      </c>
      <c r="M2683" t="n">
        <v>0</v>
      </c>
      <c r="N2683" t="n">
        <v>0</v>
      </c>
      <c r="O2683" t="n">
        <v>0</v>
      </c>
      <c r="P2683" t="n">
        <v>0</v>
      </c>
      <c r="Q2683" t="n">
        <v>0</v>
      </c>
      <c r="R2683" s="2" t="inlineStr"/>
    </row>
    <row r="2684" ht="15" customHeight="1">
      <c r="A2684" t="inlineStr">
        <is>
          <t>A 34580-2024</t>
        </is>
      </c>
      <c r="B2684" s="1" t="n">
        <v>45526</v>
      </c>
      <c r="C2684" s="1" t="n">
        <v>46075</v>
      </c>
      <c r="D2684" t="inlineStr">
        <is>
          <t>VÄSTERBOTTENS LÄN</t>
        </is>
      </c>
      <c r="E2684" t="inlineStr">
        <is>
          <t>SKELLEFTEÅ</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13003-2023</t>
        </is>
      </c>
      <c r="B2685" s="1" t="n">
        <v>45002</v>
      </c>
      <c r="C2685" s="1" t="n">
        <v>46075</v>
      </c>
      <c r="D2685" t="inlineStr">
        <is>
          <t>VÄSTERBOTTENS LÄN</t>
        </is>
      </c>
      <c r="E2685" t="inlineStr">
        <is>
          <t>MALÅ</t>
        </is>
      </c>
      <c r="F2685" t="inlineStr">
        <is>
          <t>SCA</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34587-2024</t>
        </is>
      </c>
      <c r="B2686" s="1" t="n">
        <v>45526</v>
      </c>
      <c r="C2686" s="1" t="n">
        <v>46075</v>
      </c>
      <c r="D2686" t="inlineStr">
        <is>
          <t>VÄSTERBOTTENS LÄN</t>
        </is>
      </c>
      <c r="E2686" t="inlineStr">
        <is>
          <t>SKELLEFTEÅ</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8575-2025</t>
        </is>
      </c>
      <c r="B2687" s="1" t="n">
        <v>45709.66362268518</v>
      </c>
      <c r="C2687" s="1" t="n">
        <v>46075</v>
      </c>
      <c r="D2687" t="inlineStr">
        <is>
          <t>VÄSTERBOTTENS LÄN</t>
        </is>
      </c>
      <c r="E2687" t="inlineStr">
        <is>
          <t>UMEÅ</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8578-2025</t>
        </is>
      </c>
      <c r="B2688" s="1" t="n">
        <v>45709</v>
      </c>
      <c r="C2688" s="1" t="n">
        <v>46075</v>
      </c>
      <c r="D2688" t="inlineStr">
        <is>
          <t>VÄSTERBOTTENS LÄN</t>
        </is>
      </c>
      <c r="E2688" t="inlineStr">
        <is>
          <t>VILHELMINA</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19272-2025</t>
        </is>
      </c>
      <c r="B2689" s="1" t="n">
        <v>45769.52287037037</v>
      </c>
      <c r="C2689" s="1" t="n">
        <v>46075</v>
      </c>
      <c r="D2689" t="inlineStr">
        <is>
          <t>VÄSTERBOTTENS LÄN</t>
        </is>
      </c>
      <c r="E2689" t="inlineStr">
        <is>
          <t>UMEÅ</t>
        </is>
      </c>
      <c r="F2689" t="inlineStr">
        <is>
          <t>Holmen skog AB</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19012-2025</t>
        </is>
      </c>
      <c r="B2690" s="1" t="n">
        <v>45764.59451388889</v>
      </c>
      <c r="C2690" s="1" t="n">
        <v>46075</v>
      </c>
      <c r="D2690" t="inlineStr">
        <is>
          <t>VÄSTERBOTTENS LÄN</t>
        </is>
      </c>
      <c r="E2690" t="inlineStr">
        <is>
          <t>DOROTEA</t>
        </is>
      </c>
      <c r="F2690" t="inlineStr">
        <is>
          <t>SCA</t>
        </is>
      </c>
      <c r="G2690" t="n">
        <v>4</v>
      </c>
      <c r="H2690" t="n">
        <v>0</v>
      </c>
      <c r="I2690" t="n">
        <v>0</v>
      </c>
      <c r="J2690" t="n">
        <v>0</v>
      </c>
      <c r="K2690" t="n">
        <v>0</v>
      </c>
      <c r="L2690" t="n">
        <v>0</v>
      </c>
      <c r="M2690" t="n">
        <v>0</v>
      </c>
      <c r="N2690" t="n">
        <v>0</v>
      </c>
      <c r="O2690" t="n">
        <v>0</v>
      </c>
      <c r="P2690" t="n">
        <v>0</v>
      </c>
      <c r="Q2690" t="n">
        <v>0</v>
      </c>
      <c r="R2690" s="2" t="inlineStr"/>
    </row>
    <row r="2691" ht="15" customHeight="1">
      <c r="A2691" t="inlineStr">
        <is>
          <t>A 4700-2025</t>
        </is>
      </c>
      <c r="B2691" s="1" t="n">
        <v>45688</v>
      </c>
      <c r="C2691" s="1" t="n">
        <v>46075</v>
      </c>
      <c r="D2691" t="inlineStr">
        <is>
          <t>VÄSTERBOTTENS LÄN</t>
        </is>
      </c>
      <c r="E2691" t="inlineStr">
        <is>
          <t>SKELLEFTEÅ</t>
        </is>
      </c>
      <c r="G2691" t="n">
        <v>3.4</v>
      </c>
      <c r="H2691" t="n">
        <v>0</v>
      </c>
      <c r="I2691" t="n">
        <v>0</v>
      </c>
      <c r="J2691" t="n">
        <v>0</v>
      </c>
      <c r="K2691" t="n">
        <v>0</v>
      </c>
      <c r="L2691" t="n">
        <v>0</v>
      </c>
      <c r="M2691" t="n">
        <v>0</v>
      </c>
      <c r="N2691" t="n">
        <v>0</v>
      </c>
      <c r="O2691" t="n">
        <v>0</v>
      </c>
      <c r="P2691" t="n">
        <v>0</v>
      </c>
      <c r="Q2691" t="n">
        <v>0</v>
      </c>
      <c r="R2691" s="2" t="inlineStr"/>
    </row>
    <row r="2692" ht="15" customHeight="1">
      <c r="A2692" t="inlineStr">
        <is>
          <t>A 35068-2024</t>
        </is>
      </c>
      <c r="B2692" s="1" t="n">
        <v>45527.66186342593</v>
      </c>
      <c r="C2692" s="1" t="n">
        <v>46075</v>
      </c>
      <c r="D2692" t="inlineStr">
        <is>
          <t>VÄSTERBOTTENS LÄN</t>
        </is>
      </c>
      <c r="E2692" t="inlineStr">
        <is>
          <t>VINDELN</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45535-2022</t>
        </is>
      </c>
      <c r="B2693" s="1" t="n">
        <v>44841</v>
      </c>
      <c r="C2693" s="1" t="n">
        <v>46075</v>
      </c>
      <c r="D2693" t="inlineStr">
        <is>
          <t>VÄSTERBOTTENS LÄN</t>
        </is>
      </c>
      <c r="E2693" t="inlineStr">
        <is>
          <t>SORSELE</t>
        </is>
      </c>
      <c r="G2693" t="n">
        <v>82.3</v>
      </c>
      <c r="H2693" t="n">
        <v>0</v>
      </c>
      <c r="I2693" t="n">
        <v>0</v>
      </c>
      <c r="J2693" t="n">
        <v>0</v>
      </c>
      <c r="K2693" t="n">
        <v>0</v>
      </c>
      <c r="L2693" t="n">
        <v>0</v>
      </c>
      <c r="M2693" t="n">
        <v>0</v>
      </c>
      <c r="N2693" t="n">
        <v>0</v>
      </c>
      <c r="O2693" t="n">
        <v>0</v>
      </c>
      <c r="P2693" t="n">
        <v>0</v>
      </c>
      <c r="Q2693" t="n">
        <v>0</v>
      </c>
      <c r="R2693" s="2" t="inlineStr"/>
    </row>
    <row r="2694" ht="15" customHeight="1">
      <c r="A2694" t="inlineStr">
        <is>
          <t>A 61025-2024</t>
        </is>
      </c>
      <c r="B2694" s="1" t="n">
        <v>45644</v>
      </c>
      <c r="C2694" s="1" t="n">
        <v>46075</v>
      </c>
      <c r="D2694" t="inlineStr">
        <is>
          <t>VÄSTERBOTTENS LÄN</t>
        </is>
      </c>
      <c r="E2694" t="inlineStr">
        <is>
          <t>NORSJÖ</t>
        </is>
      </c>
      <c r="F2694" t="inlineStr">
        <is>
          <t>Kommuner</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58579-2022</t>
        </is>
      </c>
      <c r="B2695" s="1" t="n">
        <v>44902</v>
      </c>
      <c r="C2695" s="1" t="n">
        <v>46075</v>
      </c>
      <c r="D2695" t="inlineStr">
        <is>
          <t>VÄSTERBOTTENS LÄN</t>
        </is>
      </c>
      <c r="E2695" t="inlineStr">
        <is>
          <t>VINDELN</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2073-2024</t>
        </is>
      </c>
      <c r="B2696" s="1" t="n">
        <v>45309</v>
      </c>
      <c r="C2696" s="1" t="n">
        <v>46075</v>
      </c>
      <c r="D2696" t="inlineStr">
        <is>
          <t>VÄSTERBOTTENS LÄN</t>
        </is>
      </c>
      <c r="E2696" t="inlineStr">
        <is>
          <t>UMEÅ</t>
        </is>
      </c>
      <c r="F2696" t="inlineStr">
        <is>
          <t>Sveaskog</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2100-2024</t>
        </is>
      </c>
      <c r="B2697" s="1" t="n">
        <v>45309.44717592592</v>
      </c>
      <c r="C2697" s="1" t="n">
        <v>46075</v>
      </c>
      <c r="D2697" t="inlineStr">
        <is>
          <t>VÄSTERBOTTENS LÄN</t>
        </is>
      </c>
      <c r="E2697" t="inlineStr">
        <is>
          <t>VINDELN</t>
        </is>
      </c>
      <c r="F2697" t="inlineStr">
        <is>
          <t>Sveaskog</t>
        </is>
      </c>
      <c r="G2697" t="n">
        <v>9.5</v>
      </c>
      <c r="H2697" t="n">
        <v>0</v>
      </c>
      <c r="I2697" t="n">
        <v>0</v>
      </c>
      <c r="J2697" t="n">
        <v>0</v>
      </c>
      <c r="K2697" t="n">
        <v>0</v>
      </c>
      <c r="L2697" t="n">
        <v>0</v>
      </c>
      <c r="M2697" t="n">
        <v>0</v>
      </c>
      <c r="N2697" t="n">
        <v>0</v>
      </c>
      <c r="O2697" t="n">
        <v>0</v>
      </c>
      <c r="P2697" t="n">
        <v>0</v>
      </c>
      <c r="Q2697" t="n">
        <v>0</v>
      </c>
      <c r="R2697" s="2" t="inlineStr"/>
    </row>
    <row r="2698" ht="15" customHeight="1">
      <c r="A2698" t="inlineStr">
        <is>
          <t>A 45102-2023</t>
        </is>
      </c>
      <c r="B2698" s="1" t="n">
        <v>45190</v>
      </c>
      <c r="C2698" s="1" t="n">
        <v>46075</v>
      </c>
      <c r="D2698" t="inlineStr">
        <is>
          <t>VÄSTERBOTTENS LÄN</t>
        </is>
      </c>
      <c r="E2698" t="inlineStr">
        <is>
          <t>MALÅ</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2170-2024</t>
        </is>
      </c>
      <c r="B2699" s="1" t="n">
        <v>45309.62446759259</v>
      </c>
      <c r="C2699" s="1" t="n">
        <v>46075</v>
      </c>
      <c r="D2699" t="inlineStr">
        <is>
          <t>VÄSTERBOTTENS LÄN</t>
        </is>
      </c>
      <c r="E2699" t="inlineStr">
        <is>
          <t>SKELLEFTEÅ</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19195-2025</t>
        </is>
      </c>
      <c r="B2700" s="1" t="n">
        <v>45769.425625</v>
      </c>
      <c r="C2700" s="1" t="n">
        <v>46075</v>
      </c>
      <c r="D2700" t="inlineStr">
        <is>
          <t>VÄSTERBOTTENS LÄN</t>
        </is>
      </c>
      <c r="E2700" t="inlineStr">
        <is>
          <t>UMEÅ</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13557-2024</t>
        </is>
      </c>
      <c r="B2701" s="1" t="n">
        <v>45388</v>
      </c>
      <c r="C2701" s="1" t="n">
        <v>46075</v>
      </c>
      <c r="D2701" t="inlineStr">
        <is>
          <t>VÄSTERBOTTENS LÄN</t>
        </is>
      </c>
      <c r="E2701" t="inlineStr">
        <is>
          <t>VILHELMINA</t>
        </is>
      </c>
      <c r="G2701" t="n">
        <v>11.2</v>
      </c>
      <c r="H2701" t="n">
        <v>0</v>
      </c>
      <c r="I2701" t="n">
        <v>0</v>
      </c>
      <c r="J2701" t="n">
        <v>0</v>
      </c>
      <c r="K2701" t="n">
        <v>0</v>
      </c>
      <c r="L2701" t="n">
        <v>0</v>
      </c>
      <c r="M2701" t="n">
        <v>0</v>
      </c>
      <c r="N2701" t="n">
        <v>0</v>
      </c>
      <c r="O2701" t="n">
        <v>0</v>
      </c>
      <c r="P2701" t="n">
        <v>0</v>
      </c>
      <c r="Q2701" t="n">
        <v>0</v>
      </c>
      <c r="R2701" s="2" t="inlineStr"/>
    </row>
    <row r="2702" ht="15" customHeight="1">
      <c r="A2702" t="inlineStr">
        <is>
          <t>A 31372-2024</t>
        </is>
      </c>
      <c r="B2702" s="1" t="n">
        <v>45503</v>
      </c>
      <c r="C2702" s="1" t="n">
        <v>46075</v>
      </c>
      <c r="D2702" t="inlineStr">
        <is>
          <t>VÄSTERBOTTENS LÄN</t>
        </is>
      </c>
      <c r="E2702" t="inlineStr">
        <is>
          <t>LYCKSELE</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5575-2025</t>
        </is>
      </c>
      <c r="B2703" s="1" t="n">
        <v>45693.53200231482</v>
      </c>
      <c r="C2703" s="1" t="n">
        <v>46075</v>
      </c>
      <c r="D2703" t="inlineStr">
        <is>
          <t>VÄSTERBOTTENS LÄN</t>
        </is>
      </c>
      <c r="E2703" t="inlineStr">
        <is>
          <t>VILHELMINA</t>
        </is>
      </c>
      <c r="F2703" t="inlineStr">
        <is>
          <t>SCA</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11994-2025</t>
        </is>
      </c>
      <c r="B2704" s="1" t="n">
        <v>45728</v>
      </c>
      <c r="C2704" s="1" t="n">
        <v>46075</v>
      </c>
      <c r="D2704" t="inlineStr">
        <is>
          <t>VÄSTERBOTTENS LÄN</t>
        </is>
      </c>
      <c r="E2704" t="inlineStr">
        <is>
          <t>SKELLEFTEÅ</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52157-2024</t>
        </is>
      </c>
      <c r="B2705" s="1" t="n">
        <v>45608.52555555556</v>
      </c>
      <c r="C2705" s="1" t="n">
        <v>46075</v>
      </c>
      <c r="D2705" t="inlineStr">
        <is>
          <t>VÄSTERBOTTENS LÄN</t>
        </is>
      </c>
      <c r="E2705" t="inlineStr">
        <is>
          <t>SKELLEFTEÅ</t>
        </is>
      </c>
      <c r="F2705" t="inlineStr">
        <is>
          <t>Holmen skog AB</t>
        </is>
      </c>
      <c r="G2705" t="n">
        <v>10.3</v>
      </c>
      <c r="H2705" t="n">
        <v>0</v>
      </c>
      <c r="I2705" t="n">
        <v>0</v>
      </c>
      <c r="J2705" t="n">
        <v>0</v>
      </c>
      <c r="K2705" t="n">
        <v>0</v>
      </c>
      <c r="L2705" t="n">
        <v>0</v>
      </c>
      <c r="M2705" t="n">
        <v>0</v>
      </c>
      <c r="N2705" t="n">
        <v>0</v>
      </c>
      <c r="O2705" t="n">
        <v>0</v>
      </c>
      <c r="P2705" t="n">
        <v>0</v>
      </c>
      <c r="Q2705" t="n">
        <v>0</v>
      </c>
      <c r="R2705" s="2" t="inlineStr"/>
    </row>
    <row r="2706" ht="15" customHeight="1">
      <c r="A2706" t="inlineStr">
        <is>
          <t>A 34353-2022</t>
        </is>
      </c>
      <c r="B2706" s="1" t="n">
        <v>44792</v>
      </c>
      <c r="C2706" s="1" t="n">
        <v>46075</v>
      </c>
      <c r="D2706" t="inlineStr">
        <is>
          <t>VÄSTERBOTTENS LÄN</t>
        </is>
      </c>
      <c r="E2706" t="inlineStr">
        <is>
          <t>MALÅ</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2410-2023</t>
        </is>
      </c>
      <c r="B2707" s="1" t="n">
        <v>44942</v>
      </c>
      <c r="C2707" s="1" t="n">
        <v>46075</v>
      </c>
      <c r="D2707" t="inlineStr">
        <is>
          <t>VÄSTERBOTTENS LÄN</t>
        </is>
      </c>
      <c r="E2707" t="inlineStr">
        <is>
          <t>VINDELN</t>
        </is>
      </c>
      <c r="F2707" t="inlineStr">
        <is>
          <t>SCA</t>
        </is>
      </c>
      <c r="G2707" t="n">
        <v>4.4</v>
      </c>
      <c r="H2707" t="n">
        <v>0</v>
      </c>
      <c r="I2707" t="n">
        <v>0</v>
      </c>
      <c r="J2707" t="n">
        <v>0</v>
      </c>
      <c r="K2707" t="n">
        <v>0</v>
      </c>
      <c r="L2707" t="n">
        <v>0</v>
      </c>
      <c r="M2707" t="n">
        <v>0</v>
      </c>
      <c r="N2707" t="n">
        <v>0</v>
      </c>
      <c r="O2707" t="n">
        <v>0</v>
      </c>
      <c r="P2707" t="n">
        <v>0</v>
      </c>
      <c r="Q2707" t="n">
        <v>0</v>
      </c>
      <c r="R2707" s="2" t="inlineStr"/>
    </row>
    <row r="2708" ht="15" customHeight="1">
      <c r="A2708" t="inlineStr">
        <is>
          <t>A 29095-2024</t>
        </is>
      </c>
      <c r="B2708" s="1" t="n">
        <v>45481</v>
      </c>
      <c r="C2708" s="1" t="n">
        <v>46075</v>
      </c>
      <c r="D2708" t="inlineStr">
        <is>
          <t>VÄSTERBOTTENS LÄN</t>
        </is>
      </c>
      <c r="E2708" t="inlineStr">
        <is>
          <t>BJURHOLM</t>
        </is>
      </c>
      <c r="F2708" t="inlineStr">
        <is>
          <t>SCA</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849-2022</t>
        </is>
      </c>
      <c r="B2709" s="1" t="n">
        <v>44571.42083333333</v>
      </c>
      <c r="C2709" s="1" t="n">
        <v>46075</v>
      </c>
      <c r="D2709" t="inlineStr">
        <is>
          <t>VÄSTERBOTTENS LÄN</t>
        </is>
      </c>
      <c r="E2709" t="inlineStr">
        <is>
          <t>LYCKSELE</t>
        </is>
      </c>
      <c r="F2709" t="inlineStr">
        <is>
          <t>Sveaskog</t>
        </is>
      </c>
      <c r="G2709" t="n">
        <v>6</v>
      </c>
      <c r="H2709" t="n">
        <v>0</v>
      </c>
      <c r="I2709" t="n">
        <v>0</v>
      </c>
      <c r="J2709" t="n">
        <v>0</v>
      </c>
      <c r="K2709" t="n">
        <v>0</v>
      </c>
      <c r="L2709" t="n">
        <v>0</v>
      </c>
      <c r="M2709" t="n">
        <v>0</v>
      </c>
      <c r="N2709" t="n">
        <v>0</v>
      </c>
      <c r="O2709" t="n">
        <v>0</v>
      </c>
      <c r="P2709" t="n">
        <v>0</v>
      </c>
      <c r="Q2709" t="n">
        <v>0</v>
      </c>
      <c r="R2709" s="2" t="inlineStr"/>
    </row>
    <row r="2710" ht="15" customHeight="1">
      <c r="A2710" t="inlineStr">
        <is>
          <t>A 25327-2024</t>
        </is>
      </c>
      <c r="B2710" s="1" t="n">
        <v>45462.81574074074</v>
      </c>
      <c r="C2710" s="1" t="n">
        <v>46075</v>
      </c>
      <c r="D2710" t="inlineStr">
        <is>
          <t>VÄSTERBOTTENS LÄN</t>
        </is>
      </c>
      <c r="E2710" t="inlineStr">
        <is>
          <t>LYCKSELE</t>
        </is>
      </c>
      <c r="F2710" t="inlineStr">
        <is>
          <t>Sveaskog</t>
        </is>
      </c>
      <c r="G2710" t="n">
        <v>3.5</v>
      </c>
      <c r="H2710" t="n">
        <v>0</v>
      </c>
      <c r="I2710" t="n">
        <v>0</v>
      </c>
      <c r="J2710" t="n">
        <v>0</v>
      </c>
      <c r="K2710" t="n">
        <v>0</v>
      </c>
      <c r="L2710" t="n">
        <v>0</v>
      </c>
      <c r="M2710" t="n">
        <v>0</v>
      </c>
      <c r="N2710" t="n">
        <v>0</v>
      </c>
      <c r="O2710" t="n">
        <v>0</v>
      </c>
      <c r="P2710" t="n">
        <v>0</v>
      </c>
      <c r="Q2710" t="n">
        <v>0</v>
      </c>
      <c r="R2710" s="2" t="inlineStr"/>
    </row>
    <row r="2711" ht="15" customHeight="1">
      <c r="A2711" t="inlineStr">
        <is>
          <t>A 31095-2024</t>
        </is>
      </c>
      <c r="B2711" s="1" t="n">
        <v>45502</v>
      </c>
      <c r="C2711" s="1" t="n">
        <v>46075</v>
      </c>
      <c r="D2711" t="inlineStr">
        <is>
          <t>VÄSTERBOTTENS LÄN</t>
        </is>
      </c>
      <c r="E2711" t="inlineStr">
        <is>
          <t>VILHELMINA</t>
        </is>
      </c>
      <c r="G2711" t="n">
        <v>4.7</v>
      </c>
      <c r="H2711" t="n">
        <v>0</v>
      </c>
      <c r="I2711" t="n">
        <v>0</v>
      </c>
      <c r="J2711" t="n">
        <v>0</v>
      </c>
      <c r="K2711" t="n">
        <v>0</v>
      </c>
      <c r="L2711" t="n">
        <v>0</v>
      </c>
      <c r="M2711" t="n">
        <v>0</v>
      </c>
      <c r="N2711" t="n">
        <v>0</v>
      </c>
      <c r="O2711" t="n">
        <v>0</v>
      </c>
      <c r="P2711" t="n">
        <v>0</v>
      </c>
      <c r="Q2711" t="n">
        <v>0</v>
      </c>
      <c r="R2711" s="2" t="inlineStr"/>
    </row>
    <row r="2712" ht="15" customHeight="1">
      <c r="A2712" t="inlineStr">
        <is>
          <t>A 5078-2025</t>
        </is>
      </c>
      <c r="B2712" s="1" t="n">
        <v>45691.50020833333</v>
      </c>
      <c r="C2712" s="1" t="n">
        <v>46075</v>
      </c>
      <c r="D2712" t="inlineStr">
        <is>
          <t>VÄSTERBOTTENS LÄN</t>
        </is>
      </c>
      <c r="E2712" t="inlineStr">
        <is>
          <t>UMEÅ</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10659-2024</t>
        </is>
      </c>
      <c r="B2713" s="1" t="n">
        <v>45369.30447916667</v>
      </c>
      <c r="C2713" s="1" t="n">
        <v>46075</v>
      </c>
      <c r="D2713" t="inlineStr">
        <is>
          <t>VÄSTERBOTTENS LÄN</t>
        </is>
      </c>
      <c r="E2713" t="inlineStr">
        <is>
          <t>SKELLEFTEÅ</t>
        </is>
      </c>
      <c r="G2713" t="n">
        <v>3.4</v>
      </c>
      <c r="H2713" t="n">
        <v>0</v>
      </c>
      <c r="I2713" t="n">
        <v>0</v>
      </c>
      <c r="J2713" t="n">
        <v>0</v>
      </c>
      <c r="K2713" t="n">
        <v>0</v>
      </c>
      <c r="L2713" t="n">
        <v>0</v>
      </c>
      <c r="M2713" t="n">
        <v>0</v>
      </c>
      <c r="N2713" t="n">
        <v>0</v>
      </c>
      <c r="O2713" t="n">
        <v>0</v>
      </c>
      <c r="P2713" t="n">
        <v>0</v>
      </c>
      <c r="Q2713" t="n">
        <v>0</v>
      </c>
      <c r="R2713" s="2" t="inlineStr"/>
    </row>
    <row r="2714" ht="15" customHeight="1">
      <c r="A2714" t="inlineStr">
        <is>
          <t>A 27436-2023</t>
        </is>
      </c>
      <c r="B2714" s="1" t="n">
        <v>45092</v>
      </c>
      <c r="C2714" s="1" t="n">
        <v>46075</v>
      </c>
      <c r="D2714" t="inlineStr">
        <is>
          <t>VÄSTERBOTTENS LÄN</t>
        </is>
      </c>
      <c r="E2714" t="inlineStr">
        <is>
          <t>ÅSELE</t>
        </is>
      </c>
      <c r="F2714" t="inlineStr">
        <is>
          <t>Övriga Aktiebolag</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17561-2025</t>
        </is>
      </c>
      <c r="B2715" s="1" t="n">
        <v>45757.63712962963</v>
      </c>
      <c r="C2715" s="1" t="n">
        <v>46075</v>
      </c>
      <c r="D2715" t="inlineStr">
        <is>
          <t>VÄSTERBOTTENS LÄN</t>
        </is>
      </c>
      <c r="E2715" t="inlineStr">
        <is>
          <t>SKELLEFTEÅ</t>
        </is>
      </c>
      <c r="G2715" t="n">
        <v>8.6</v>
      </c>
      <c r="H2715" t="n">
        <v>0</v>
      </c>
      <c r="I2715" t="n">
        <v>0</v>
      </c>
      <c r="J2715" t="n">
        <v>0</v>
      </c>
      <c r="K2715" t="n">
        <v>0</v>
      </c>
      <c r="L2715" t="n">
        <v>0</v>
      </c>
      <c r="M2715" t="n">
        <v>0</v>
      </c>
      <c r="N2715" t="n">
        <v>0</v>
      </c>
      <c r="O2715" t="n">
        <v>0</v>
      </c>
      <c r="P2715" t="n">
        <v>0</v>
      </c>
      <c r="Q2715" t="n">
        <v>0</v>
      </c>
      <c r="R2715" s="2" t="inlineStr"/>
    </row>
    <row r="2716" ht="15" customHeight="1">
      <c r="A2716" t="inlineStr">
        <is>
          <t>A 10340-2024</t>
        </is>
      </c>
      <c r="B2716" s="1" t="n">
        <v>45365</v>
      </c>
      <c r="C2716" s="1" t="n">
        <v>46075</v>
      </c>
      <c r="D2716" t="inlineStr">
        <is>
          <t>VÄSTERBOTTENS LÄN</t>
        </is>
      </c>
      <c r="E2716" t="inlineStr">
        <is>
          <t>SKELLEFTEÅ</t>
        </is>
      </c>
      <c r="G2716" t="n">
        <v>6.9</v>
      </c>
      <c r="H2716" t="n">
        <v>0</v>
      </c>
      <c r="I2716" t="n">
        <v>0</v>
      </c>
      <c r="J2716" t="n">
        <v>0</v>
      </c>
      <c r="K2716" t="n">
        <v>0</v>
      </c>
      <c r="L2716" t="n">
        <v>0</v>
      </c>
      <c r="M2716" t="n">
        <v>0</v>
      </c>
      <c r="N2716" t="n">
        <v>0</v>
      </c>
      <c r="O2716" t="n">
        <v>0</v>
      </c>
      <c r="P2716" t="n">
        <v>0</v>
      </c>
      <c r="Q2716" t="n">
        <v>0</v>
      </c>
      <c r="R2716" s="2" t="inlineStr"/>
    </row>
    <row r="2717" ht="15" customHeight="1">
      <c r="A2717" t="inlineStr">
        <is>
          <t>A 45990-2024</t>
        </is>
      </c>
      <c r="B2717" s="1" t="n">
        <v>45580.62873842593</v>
      </c>
      <c r="C2717" s="1" t="n">
        <v>46075</v>
      </c>
      <c r="D2717" t="inlineStr">
        <is>
          <t>VÄSTERBOTTENS LÄN</t>
        </is>
      </c>
      <c r="E2717" t="inlineStr">
        <is>
          <t>NORSJÖ</t>
        </is>
      </c>
      <c r="F2717" t="inlineStr">
        <is>
          <t>Holmen skog AB</t>
        </is>
      </c>
      <c r="G2717" t="n">
        <v>4.4</v>
      </c>
      <c r="H2717" t="n">
        <v>0</v>
      </c>
      <c r="I2717" t="n">
        <v>0</v>
      </c>
      <c r="J2717" t="n">
        <v>0</v>
      </c>
      <c r="K2717" t="n">
        <v>0</v>
      </c>
      <c r="L2717" t="n">
        <v>0</v>
      </c>
      <c r="M2717" t="n">
        <v>0</v>
      </c>
      <c r="N2717" t="n">
        <v>0</v>
      </c>
      <c r="O2717" t="n">
        <v>0</v>
      </c>
      <c r="P2717" t="n">
        <v>0</v>
      </c>
      <c r="Q2717" t="n">
        <v>0</v>
      </c>
      <c r="R2717" s="2" t="inlineStr"/>
    </row>
    <row r="2718" ht="15" customHeight="1">
      <c r="A2718" t="inlineStr">
        <is>
          <t>A 62980-2023</t>
        </is>
      </c>
      <c r="B2718" s="1" t="n">
        <v>45272</v>
      </c>
      <c r="C2718" s="1" t="n">
        <v>46075</v>
      </c>
      <c r="D2718" t="inlineStr">
        <is>
          <t>VÄSTERBOTTENS LÄN</t>
        </is>
      </c>
      <c r="E2718" t="inlineStr">
        <is>
          <t>ROBERTSFORS</t>
        </is>
      </c>
      <c r="G2718" t="n">
        <v>6.2</v>
      </c>
      <c r="H2718" t="n">
        <v>0</v>
      </c>
      <c r="I2718" t="n">
        <v>0</v>
      </c>
      <c r="J2718" t="n">
        <v>0</v>
      </c>
      <c r="K2718" t="n">
        <v>0</v>
      </c>
      <c r="L2718" t="n">
        <v>0</v>
      </c>
      <c r="M2718" t="n">
        <v>0</v>
      </c>
      <c r="N2718" t="n">
        <v>0</v>
      </c>
      <c r="O2718" t="n">
        <v>0</v>
      </c>
      <c r="P2718" t="n">
        <v>0</v>
      </c>
      <c r="Q2718" t="n">
        <v>0</v>
      </c>
      <c r="R2718" s="2" t="inlineStr"/>
    </row>
    <row r="2719" ht="15" customHeight="1">
      <c r="A2719" t="inlineStr">
        <is>
          <t>A 15728-2024</t>
        </is>
      </c>
      <c r="B2719" s="1" t="n">
        <v>45404</v>
      </c>
      <c r="C2719" s="1" t="n">
        <v>46075</v>
      </c>
      <c r="D2719" t="inlineStr">
        <is>
          <t>VÄSTERBOTTENS LÄN</t>
        </is>
      </c>
      <c r="E2719" t="inlineStr">
        <is>
          <t>SKELLEFTEÅ</t>
        </is>
      </c>
      <c r="G2719" t="n">
        <v>8.199999999999999</v>
      </c>
      <c r="H2719" t="n">
        <v>0</v>
      </c>
      <c r="I2719" t="n">
        <v>0</v>
      </c>
      <c r="J2719" t="n">
        <v>0</v>
      </c>
      <c r="K2719" t="n">
        <v>0</v>
      </c>
      <c r="L2719" t="n">
        <v>0</v>
      </c>
      <c r="M2719" t="n">
        <v>0</v>
      </c>
      <c r="N2719" t="n">
        <v>0</v>
      </c>
      <c r="O2719" t="n">
        <v>0</v>
      </c>
      <c r="P2719" t="n">
        <v>0</v>
      </c>
      <c r="Q2719" t="n">
        <v>0</v>
      </c>
      <c r="R2719" s="2" t="inlineStr"/>
    </row>
    <row r="2720" ht="15" customHeight="1">
      <c r="A2720" t="inlineStr">
        <is>
          <t>A 16060-2021</t>
        </is>
      </c>
      <c r="B2720" s="1" t="n">
        <v>44287</v>
      </c>
      <c r="C2720" s="1" t="n">
        <v>46075</v>
      </c>
      <c r="D2720" t="inlineStr">
        <is>
          <t>VÄSTERBOTTENS LÄN</t>
        </is>
      </c>
      <c r="E2720" t="inlineStr">
        <is>
          <t>SORSELE</t>
        </is>
      </c>
      <c r="F2720" t="inlineStr">
        <is>
          <t>Övriga Aktiebolag</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58920-2022</t>
        </is>
      </c>
      <c r="B2721" s="1" t="n">
        <v>44896</v>
      </c>
      <c r="C2721" s="1" t="n">
        <v>46075</v>
      </c>
      <c r="D2721" t="inlineStr">
        <is>
          <t>VÄSTERBOTTENS LÄN</t>
        </is>
      </c>
      <c r="E2721" t="inlineStr">
        <is>
          <t>LYCKSELE</t>
        </is>
      </c>
      <c r="G2721" t="n">
        <v>20.5</v>
      </c>
      <c r="H2721" t="n">
        <v>0</v>
      </c>
      <c r="I2721" t="n">
        <v>0</v>
      </c>
      <c r="J2721" t="n">
        <v>0</v>
      </c>
      <c r="K2721" t="n">
        <v>0</v>
      </c>
      <c r="L2721" t="n">
        <v>0</v>
      </c>
      <c r="M2721" t="n">
        <v>0</v>
      </c>
      <c r="N2721" t="n">
        <v>0</v>
      </c>
      <c r="O2721" t="n">
        <v>0</v>
      </c>
      <c r="P2721" t="n">
        <v>0</v>
      </c>
      <c r="Q2721" t="n">
        <v>0</v>
      </c>
      <c r="R2721" s="2" t="inlineStr"/>
    </row>
    <row r="2722" ht="15" customHeight="1">
      <c r="A2722" t="inlineStr">
        <is>
          <t>A 22450-2024</t>
        </is>
      </c>
      <c r="B2722" s="1" t="n">
        <v>45446.94887731481</v>
      </c>
      <c r="C2722" s="1" t="n">
        <v>46075</v>
      </c>
      <c r="D2722" t="inlineStr">
        <is>
          <t>VÄSTERBOTTENS LÄN</t>
        </is>
      </c>
      <c r="E2722" t="inlineStr">
        <is>
          <t>DOROTEA</t>
        </is>
      </c>
      <c r="F2722" t="inlineStr">
        <is>
          <t>SCA</t>
        </is>
      </c>
      <c r="G2722" t="n">
        <v>4.9</v>
      </c>
      <c r="H2722" t="n">
        <v>0</v>
      </c>
      <c r="I2722" t="n">
        <v>0</v>
      </c>
      <c r="J2722" t="n">
        <v>0</v>
      </c>
      <c r="K2722" t="n">
        <v>0</v>
      </c>
      <c r="L2722" t="n">
        <v>0</v>
      </c>
      <c r="M2722" t="n">
        <v>0</v>
      </c>
      <c r="N2722" t="n">
        <v>0</v>
      </c>
      <c r="O2722" t="n">
        <v>0</v>
      </c>
      <c r="P2722" t="n">
        <v>0</v>
      </c>
      <c r="Q2722" t="n">
        <v>0</v>
      </c>
      <c r="R2722" s="2" t="inlineStr"/>
    </row>
    <row r="2723" ht="15" customHeight="1">
      <c r="A2723" t="inlineStr">
        <is>
          <t>A 11644-2025</t>
        </is>
      </c>
      <c r="B2723" s="1" t="n">
        <v>45727.47341435185</v>
      </c>
      <c r="C2723" s="1" t="n">
        <v>46075</v>
      </c>
      <c r="D2723" t="inlineStr">
        <is>
          <t>VÄSTERBOTTENS LÄN</t>
        </is>
      </c>
      <c r="E2723" t="inlineStr">
        <is>
          <t>SKELLEFTEÅ</t>
        </is>
      </c>
      <c r="G2723" t="n">
        <v>3.2</v>
      </c>
      <c r="H2723" t="n">
        <v>0</v>
      </c>
      <c r="I2723" t="n">
        <v>0</v>
      </c>
      <c r="J2723" t="n">
        <v>0</v>
      </c>
      <c r="K2723" t="n">
        <v>0</v>
      </c>
      <c r="L2723" t="n">
        <v>0</v>
      </c>
      <c r="M2723" t="n">
        <v>0</v>
      </c>
      <c r="N2723" t="n">
        <v>0</v>
      </c>
      <c r="O2723" t="n">
        <v>0</v>
      </c>
      <c r="P2723" t="n">
        <v>0</v>
      </c>
      <c r="Q2723" t="n">
        <v>0</v>
      </c>
      <c r="R2723" s="2" t="inlineStr"/>
    </row>
    <row r="2724" ht="15" customHeight="1">
      <c r="A2724" t="inlineStr">
        <is>
          <t>A 39260-2022</t>
        </is>
      </c>
      <c r="B2724" s="1" t="n">
        <v>44817</v>
      </c>
      <c r="C2724" s="1" t="n">
        <v>46075</v>
      </c>
      <c r="D2724" t="inlineStr">
        <is>
          <t>VÄSTERBOTTENS LÄN</t>
        </is>
      </c>
      <c r="E2724" t="inlineStr">
        <is>
          <t>STORUMAN</t>
        </is>
      </c>
      <c r="F2724" t="inlineStr">
        <is>
          <t>Sveaskog</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53018-2024</t>
        </is>
      </c>
      <c r="B2725" s="1" t="n">
        <v>45611</v>
      </c>
      <c r="C2725" s="1" t="n">
        <v>46075</v>
      </c>
      <c r="D2725" t="inlineStr">
        <is>
          <t>VÄSTERBOTTENS LÄN</t>
        </is>
      </c>
      <c r="E2725" t="inlineStr">
        <is>
          <t>ÅSELE</t>
        </is>
      </c>
      <c r="F2725" t="inlineStr">
        <is>
          <t>SCA</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16330-2023</t>
        </is>
      </c>
      <c r="B2726" s="1" t="n">
        <v>45028</v>
      </c>
      <c r="C2726" s="1" t="n">
        <v>46075</v>
      </c>
      <c r="D2726" t="inlineStr">
        <is>
          <t>VÄSTERBOTTENS LÄN</t>
        </is>
      </c>
      <c r="E2726" t="inlineStr">
        <is>
          <t>UMEÅ</t>
        </is>
      </c>
      <c r="F2726" t="inlineStr">
        <is>
          <t>Holmen skog AB</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53874-2024</t>
        </is>
      </c>
      <c r="B2727" s="1" t="n">
        <v>45615.65667824074</v>
      </c>
      <c r="C2727" s="1" t="n">
        <v>46075</v>
      </c>
      <c r="D2727" t="inlineStr">
        <is>
          <t>VÄSTERBOTTENS LÄN</t>
        </is>
      </c>
      <c r="E2727" t="inlineStr">
        <is>
          <t>LYCKSELE</t>
        </is>
      </c>
      <c r="F2727" t="inlineStr">
        <is>
          <t>SCA</t>
        </is>
      </c>
      <c r="G2727" t="n">
        <v>7.1</v>
      </c>
      <c r="H2727" t="n">
        <v>0</v>
      </c>
      <c r="I2727" t="n">
        <v>0</v>
      </c>
      <c r="J2727" t="n">
        <v>0</v>
      </c>
      <c r="K2727" t="n">
        <v>0</v>
      </c>
      <c r="L2727" t="n">
        <v>0</v>
      </c>
      <c r="M2727" t="n">
        <v>0</v>
      </c>
      <c r="N2727" t="n">
        <v>0</v>
      </c>
      <c r="O2727" t="n">
        <v>0</v>
      </c>
      <c r="P2727" t="n">
        <v>0</v>
      </c>
      <c r="Q2727" t="n">
        <v>0</v>
      </c>
      <c r="R2727" s="2" t="inlineStr"/>
    </row>
    <row r="2728" ht="15" customHeight="1">
      <c r="A2728" t="inlineStr">
        <is>
          <t>A 53900-2024</t>
        </is>
      </c>
      <c r="B2728" s="1" t="n">
        <v>45615</v>
      </c>
      <c r="C2728" s="1" t="n">
        <v>46075</v>
      </c>
      <c r="D2728" t="inlineStr">
        <is>
          <t>VÄSTERBOTTENS LÄN</t>
        </is>
      </c>
      <c r="E2728" t="inlineStr">
        <is>
          <t>BJURHOLM</t>
        </is>
      </c>
      <c r="G2728" t="n">
        <v>7.7</v>
      </c>
      <c r="H2728" t="n">
        <v>0</v>
      </c>
      <c r="I2728" t="n">
        <v>0</v>
      </c>
      <c r="J2728" t="n">
        <v>0</v>
      </c>
      <c r="K2728" t="n">
        <v>0</v>
      </c>
      <c r="L2728" t="n">
        <v>0</v>
      </c>
      <c r="M2728" t="n">
        <v>0</v>
      </c>
      <c r="N2728" t="n">
        <v>0</v>
      </c>
      <c r="O2728" t="n">
        <v>0</v>
      </c>
      <c r="P2728" t="n">
        <v>0</v>
      </c>
      <c r="Q2728" t="n">
        <v>0</v>
      </c>
      <c r="R2728" s="2" t="inlineStr"/>
    </row>
    <row r="2729" ht="15" customHeight="1">
      <c r="A2729" t="inlineStr">
        <is>
          <t>A 34101-2023</t>
        </is>
      </c>
      <c r="B2729" s="1" t="n">
        <v>45125</v>
      </c>
      <c r="C2729" s="1" t="n">
        <v>46075</v>
      </c>
      <c r="D2729" t="inlineStr">
        <is>
          <t>VÄSTERBOTTENS LÄN</t>
        </is>
      </c>
      <c r="E2729" t="inlineStr">
        <is>
          <t>DOROTEA</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36032-2024</t>
        </is>
      </c>
      <c r="B2730" s="1" t="n">
        <v>45533</v>
      </c>
      <c r="C2730" s="1" t="n">
        <v>46075</v>
      </c>
      <c r="D2730" t="inlineStr">
        <is>
          <t>VÄSTERBOTTENS LÄN</t>
        </is>
      </c>
      <c r="E2730" t="inlineStr">
        <is>
          <t>VINDELN</t>
        </is>
      </c>
      <c r="F2730" t="inlineStr">
        <is>
          <t>Holmen skog AB</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13708-2022</t>
        </is>
      </c>
      <c r="B2731" s="1" t="n">
        <v>44648.92366898148</v>
      </c>
      <c r="C2731" s="1" t="n">
        <v>46075</v>
      </c>
      <c r="D2731" t="inlineStr">
        <is>
          <t>VÄSTERBOTTENS LÄN</t>
        </is>
      </c>
      <c r="E2731" t="inlineStr">
        <is>
          <t>STORUMAN</t>
        </is>
      </c>
      <c r="G2731" t="n">
        <v>17.1</v>
      </c>
      <c r="H2731" t="n">
        <v>0</v>
      </c>
      <c r="I2731" t="n">
        <v>0</v>
      </c>
      <c r="J2731" t="n">
        <v>0</v>
      </c>
      <c r="K2731" t="n">
        <v>0</v>
      </c>
      <c r="L2731" t="n">
        <v>0</v>
      </c>
      <c r="M2731" t="n">
        <v>0</v>
      </c>
      <c r="N2731" t="n">
        <v>0</v>
      </c>
      <c r="O2731" t="n">
        <v>0</v>
      </c>
      <c r="P2731" t="n">
        <v>0</v>
      </c>
      <c r="Q2731" t="n">
        <v>0</v>
      </c>
      <c r="R2731" s="2" t="inlineStr"/>
    </row>
    <row r="2732" ht="15" customHeight="1">
      <c r="A2732" t="inlineStr">
        <is>
          <t>A 59330-2022</t>
        </is>
      </c>
      <c r="B2732" s="1" t="n">
        <v>44904.64789351852</v>
      </c>
      <c r="C2732" s="1" t="n">
        <v>46075</v>
      </c>
      <c r="D2732" t="inlineStr">
        <is>
          <t>VÄSTERBOTTENS LÄN</t>
        </is>
      </c>
      <c r="E2732" t="inlineStr">
        <is>
          <t>LYCKSELE</t>
        </is>
      </c>
      <c r="F2732" t="inlineStr">
        <is>
          <t>Sveaskog</t>
        </is>
      </c>
      <c r="G2732" t="n">
        <v>4.4</v>
      </c>
      <c r="H2732" t="n">
        <v>0</v>
      </c>
      <c r="I2732" t="n">
        <v>0</v>
      </c>
      <c r="J2732" t="n">
        <v>0</v>
      </c>
      <c r="K2732" t="n">
        <v>0</v>
      </c>
      <c r="L2732" t="n">
        <v>0</v>
      </c>
      <c r="M2732" t="n">
        <v>0</v>
      </c>
      <c r="N2732" t="n">
        <v>0</v>
      </c>
      <c r="O2732" t="n">
        <v>0</v>
      </c>
      <c r="P2732" t="n">
        <v>0</v>
      </c>
      <c r="Q2732" t="n">
        <v>0</v>
      </c>
      <c r="R2732" s="2" t="inlineStr"/>
    </row>
    <row r="2733" ht="15" customHeight="1">
      <c r="A2733" t="inlineStr">
        <is>
          <t>A 43792-2024</t>
        </is>
      </c>
      <c r="B2733" s="1" t="n">
        <v>45571</v>
      </c>
      <c r="C2733" s="1" t="n">
        <v>46075</v>
      </c>
      <c r="D2733" t="inlineStr">
        <is>
          <t>VÄSTERBOTTENS LÄN</t>
        </is>
      </c>
      <c r="E2733" t="inlineStr">
        <is>
          <t>VILHELMINA</t>
        </is>
      </c>
      <c r="G2733" t="n">
        <v>25.3</v>
      </c>
      <c r="H2733" t="n">
        <v>0</v>
      </c>
      <c r="I2733" t="n">
        <v>0</v>
      </c>
      <c r="J2733" t="n">
        <v>0</v>
      </c>
      <c r="K2733" t="n">
        <v>0</v>
      </c>
      <c r="L2733" t="n">
        <v>0</v>
      </c>
      <c r="M2733" t="n">
        <v>0</v>
      </c>
      <c r="N2733" t="n">
        <v>0</v>
      </c>
      <c r="O2733" t="n">
        <v>0</v>
      </c>
      <c r="P2733" t="n">
        <v>0</v>
      </c>
      <c r="Q2733" t="n">
        <v>0</v>
      </c>
      <c r="R2733" s="2" t="inlineStr"/>
    </row>
    <row r="2734" ht="15" customHeight="1">
      <c r="A2734" t="inlineStr">
        <is>
          <t>A 43793-2024</t>
        </is>
      </c>
      <c r="B2734" s="1" t="n">
        <v>45571.49777777777</v>
      </c>
      <c r="C2734" s="1" t="n">
        <v>46075</v>
      </c>
      <c r="D2734" t="inlineStr">
        <is>
          <t>VÄSTERBOTTENS LÄN</t>
        </is>
      </c>
      <c r="E2734" t="inlineStr">
        <is>
          <t>SKELLEFTEÅ</t>
        </is>
      </c>
      <c r="F2734" t="inlineStr">
        <is>
          <t>Sveaskog</t>
        </is>
      </c>
      <c r="G2734" t="n">
        <v>14.1</v>
      </c>
      <c r="H2734" t="n">
        <v>0</v>
      </c>
      <c r="I2734" t="n">
        <v>0</v>
      </c>
      <c r="J2734" t="n">
        <v>0</v>
      </c>
      <c r="K2734" t="n">
        <v>0</v>
      </c>
      <c r="L2734" t="n">
        <v>0</v>
      </c>
      <c r="M2734" t="n">
        <v>0</v>
      </c>
      <c r="N2734" t="n">
        <v>0</v>
      </c>
      <c r="O2734" t="n">
        <v>0</v>
      </c>
      <c r="P2734" t="n">
        <v>0</v>
      </c>
      <c r="Q2734" t="n">
        <v>0</v>
      </c>
      <c r="R2734" s="2" t="inlineStr"/>
    </row>
    <row r="2735" ht="15" customHeight="1">
      <c r="A2735" t="inlineStr">
        <is>
          <t>A 24399-2024</t>
        </is>
      </c>
      <c r="B2735" s="1" t="n">
        <v>45457.65552083333</v>
      </c>
      <c r="C2735" s="1" t="n">
        <v>46075</v>
      </c>
      <c r="D2735" t="inlineStr">
        <is>
          <t>VÄSTERBOTTENS LÄN</t>
        </is>
      </c>
      <c r="E2735" t="inlineStr">
        <is>
          <t>NORSJÖ</t>
        </is>
      </c>
      <c r="F2735" t="inlineStr">
        <is>
          <t>Holmen skog AB</t>
        </is>
      </c>
      <c r="G2735" t="n">
        <v>6.1</v>
      </c>
      <c r="H2735" t="n">
        <v>0</v>
      </c>
      <c r="I2735" t="n">
        <v>0</v>
      </c>
      <c r="J2735" t="n">
        <v>0</v>
      </c>
      <c r="K2735" t="n">
        <v>0</v>
      </c>
      <c r="L2735" t="n">
        <v>0</v>
      </c>
      <c r="M2735" t="n">
        <v>0</v>
      </c>
      <c r="N2735" t="n">
        <v>0</v>
      </c>
      <c r="O2735" t="n">
        <v>0</v>
      </c>
      <c r="P2735" t="n">
        <v>0</v>
      </c>
      <c r="Q2735" t="n">
        <v>0</v>
      </c>
      <c r="R2735" s="2" t="inlineStr"/>
    </row>
    <row r="2736" ht="15" customHeight="1">
      <c r="A2736" t="inlineStr">
        <is>
          <t>A 45672-2023</t>
        </is>
      </c>
      <c r="B2736" s="1" t="n">
        <v>45194</v>
      </c>
      <c r="C2736" s="1" t="n">
        <v>46075</v>
      </c>
      <c r="D2736" t="inlineStr">
        <is>
          <t>VÄSTERBOTTENS LÄN</t>
        </is>
      </c>
      <c r="E2736" t="inlineStr">
        <is>
          <t>VILHELMINA</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65478-2021</t>
        </is>
      </c>
      <c r="B2737" s="1" t="n">
        <v>44516.34648148148</v>
      </c>
      <c r="C2737" s="1" t="n">
        <v>46075</v>
      </c>
      <c r="D2737" t="inlineStr">
        <is>
          <t>VÄSTERBOTTENS LÄN</t>
        </is>
      </c>
      <c r="E2737" t="inlineStr">
        <is>
          <t>ÅSELE</t>
        </is>
      </c>
      <c r="F2737" t="inlineStr">
        <is>
          <t>Holmen skog AB</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22632-2024</t>
        </is>
      </c>
      <c r="B2738" s="1" t="n">
        <v>45447.67429398148</v>
      </c>
      <c r="C2738" s="1" t="n">
        <v>46075</v>
      </c>
      <c r="D2738" t="inlineStr">
        <is>
          <t>VÄSTERBOTTENS LÄN</t>
        </is>
      </c>
      <c r="E2738" t="inlineStr">
        <is>
          <t>UMEÅ</t>
        </is>
      </c>
      <c r="F2738" t="inlineStr">
        <is>
          <t>Holmen skog AB</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47976-2022</t>
        </is>
      </c>
      <c r="B2739" s="1" t="n">
        <v>44853</v>
      </c>
      <c r="C2739" s="1" t="n">
        <v>46075</v>
      </c>
      <c r="D2739" t="inlineStr">
        <is>
          <t>VÄSTERBOTTENS LÄN</t>
        </is>
      </c>
      <c r="E2739" t="inlineStr">
        <is>
          <t>VÄNNÄS</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59531-2024</t>
        </is>
      </c>
      <c r="B2740" s="1" t="n">
        <v>45638.59567129629</v>
      </c>
      <c r="C2740" s="1" t="n">
        <v>46075</v>
      </c>
      <c r="D2740" t="inlineStr">
        <is>
          <t>VÄSTERBOTTENS LÄN</t>
        </is>
      </c>
      <c r="E2740" t="inlineStr">
        <is>
          <t>NORDMALING</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26397-2022</t>
        </is>
      </c>
      <c r="B2741" s="1" t="n">
        <v>44735</v>
      </c>
      <c r="C2741" s="1" t="n">
        <v>46075</v>
      </c>
      <c r="D2741" t="inlineStr">
        <is>
          <t>VÄSTERBOTTENS LÄN</t>
        </is>
      </c>
      <c r="E2741" t="inlineStr">
        <is>
          <t>LYCKSELE</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8801-2025</t>
        </is>
      </c>
      <c r="B2742" s="1" t="n">
        <v>45712.65678240741</v>
      </c>
      <c r="C2742" s="1" t="n">
        <v>46075</v>
      </c>
      <c r="D2742" t="inlineStr">
        <is>
          <t>VÄSTERBOTTENS LÄN</t>
        </is>
      </c>
      <c r="E2742" t="inlineStr">
        <is>
          <t>SKELLEFTEÅ</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54365-2024</t>
        </is>
      </c>
      <c r="B2743" s="1" t="n">
        <v>45617.41984953704</v>
      </c>
      <c r="C2743" s="1" t="n">
        <v>46075</v>
      </c>
      <c r="D2743" t="inlineStr">
        <is>
          <t>VÄSTERBOTTENS LÄN</t>
        </is>
      </c>
      <c r="E2743" t="inlineStr">
        <is>
          <t>ROBERTSFORS</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4956-2025</t>
        </is>
      </c>
      <c r="B2744" s="1" t="n">
        <v>45689.57166666666</v>
      </c>
      <c r="C2744" s="1" t="n">
        <v>46075</v>
      </c>
      <c r="D2744" t="inlineStr">
        <is>
          <t>VÄSTERBOTTENS LÄN</t>
        </is>
      </c>
      <c r="E2744" t="inlineStr">
        <is>
          <t>SKELLEFTEÅ</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54024-2024</t>
        </is>
      </c>
      <c r="B2745" s="1" t="n">
        <v>45616.38949074074</v>
      </c>
      <c r="C2745" s="1" t="n">
        <v>46075</v>
      </c>
      <c r="D2745" t="inlineStr">
        <is>
          <t>VÄSTERBOTTENS LÄN</t>
        </is>
      </c>
      <c r="E2745" t="inlineStr">
        <is>
          <t>VINDELN</t>
        </is>
      </c>
      <c r="F2745" t="inlineStr">
        <is>
          <t>Sveaskog</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15886-2023</t>
        </is>
      </c>
      <c r="B2746" s="1" t="n">
        <v>45022</v>
      </c>
      <c r="C2746" s="1" t="n">
        <v>46075</v>
      </c>
      <c r="D2746" t="inlineStr">
        <is>
          <t>VÄSTERBOTTENS LÄN</t>
        </is>
      </c>
      <c r="E2746" t="inlineStr">
        <is>
          <t>UMEÅ</t>
        </is>
      </c>
      <c r="F2746" t="inlineStr">
        <is>
          <t>Holmen skog AB</t>
        </is>
      </c>
      <c r="G2746" t="n">
        <v>0.4</v>
      </c>
      <c r="H2746" t="n">
        <v>0</v>
      </c>
      <c r="I2746" t="n">
        <v>0</v>
      </c>
      <c r="J2746" t="n">
        <v>0</v>
      </c>
      <c r="K2746" t="n">
        <v>0</v>
      </c>
      <c r="L2746" t="n">
        <v>0</v>
      </c>
      <c r="M2746" t="n">
        <v>0</v>
      </c>
      <c r="N2746" t="n">
        <v>0</v>
      </c>
      <c r="O2746" t="n">
        <v>0</v>
      </c>
      <c r="P2746" t="n">
        <v>0</v>
      </c>
      <c r="Q2746" t="n">
        <v>0</v>
      </c>
      <c r="R2746" s="2" t="inlineStr"/>
    </row>
    <row r="2747" ht="15" customHeight="1">
      <c r="A2747" t="inlineStr">
        <is>
          <t>A 37669-2022</t>
        </is>
      </c>
      <c r="B2747" s="1" t="n">
        <v>44810</v>
      </c>
      <c r="C2747" s="1" t="n">
        <v>46075</v>
      </c>
      <c r="D2747" t="inlineStr">
        <is>
          <t>VÄSTERBOTTENS LÄN</t>
        </is>
      </c>
      <c r="E2747" t="inlineStr">
        <is>
          <t>SKELLEFTEÅ</t>
        </is>
      </c>
      <c r="G2747" t="n">
        <v>10.9</v>
      </c>
      <c r="H2747" t="n">
        <v>0</v>
      </c>
      <c r="I2747" t="n">
        <v>0</v>
      </c>
      <c r="J2747" t="n">
        <v>0</v>
      </c>
      <c r="K2747" t="n">
        <v>0</v>
      </c>
      <c r="L2747" t="n">
        <v>0</v>
      </c>
      <c r="M2747" t="n">
        <v>0</v>
      </c>
      <c r="N2747" t="n">
        <v>0</v>
      </c>
      <c r="O2747" t="n">
        <v>0</v>
      </c>
      <c r="P2747" t="n">
        <v>0</v>
      </c>
      <c r="Q2747" t="n">
        <v>0</v>
      </c>
      <c r="R2747" s="2" t="inlineStr"/>
    </row>
    <row r="2748" ht="15" customHeight="1">
      <c r="A2748" t="inlineStr">
        <is>
          <t>A 42848-2024</t>
        </is>
      </c>
      <c r="B2748" s="1" t="n">
        <v>45566.63563657407</v>
      </c>
      <c r="C2748" s="1" t="n">
        <v>46075</v>
      </c>
      <c r="D2748" t="inlineStr">
        <is>
          <t>VÄSTERBOTTENS LÄN</t>
        </is>
      </c>
      <c r="E2748" t="inlineStr">
        <is>
          <t>SKELLEFTEÅ</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42852-2024</t>
        </is>
      </c>
      <c r="B2749" s="1" t="n">
        <v>45566.64449074074</v>
      </c>
      <c r="C2749" s="1" t="n">
        <v>46075</v>
      </c>
      <c r="D2749" t="inlineStr">
        <is>
          <t>VÄSTERBOTTENS LÄN</t>
        </is>
      </c>
      <c r="E2749" t="inlineStr">
        <is>
          <t>SKELLEFTEÅ</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31197-2024</t>
        </is>
      </c>
      <c r="B2750" s="1" t="n">
        <v>45503.51806712963</v>
      </c>
      <c r="C2750" s="1" t="n">
        <v>46075</v>
      </c>
      <c r="D2750" t="inlineStr">
        <is>
          <t>VÄSTERBOTTENS LÄN</t>
        </is>
      </c>
      <c r="E2750" t="inlineStr">
        <is>
          <t>SKELLEFTEÅ</t>
        </is>
      </c>
      <c r="F2750" t="inlineStr">
        <is>
          <t>Holmen skog AB</t>
        </is>
      </c>
      <c r="G2750" t="n">
        <v>4.1</v>
      </c>
      <c r="H2750" t="n">
        <v>0</v>
      </c>
      <c r="I2750" t="n">
        <v>0</v>
      </c>
      <c r="J2750" t="n">
        <v>0</v>
      </c>
      <c r="K2750" t="n">
        <v>0</v>
      </c>
      <c r="L2750" t="n">
        <v>0</v>
      </c>
      <c r="M2750" t="n">
        <v>0</v>
      </c>
      <c r="N2750" t="n">
        <v>0</v>
      </c>
      <c r="O2750" t="n">
        <v>0</v>
      </c>
      <c r="P2750" t="n">
        <v>0</v>
      </c>
      <c r="Q2750" t="n">
        <v>0</v>
      </c>
      <c r="R2750" s="2" t="inlineStr"/>
    </row>
    <row r="2751" ht="15" customHeight="1">
      <c r="A2751" t="inlineStr">
        <is>
          <t>A 19100-2022</t>
        </is>
      </c>
      <c r="B2751" s="1" t="n">
        <v>44691.52804398148</v>
      </c>
      <c r="C2751" s="1" t="n">
        <v>46075</v>
      </c>
      <c r="D2751" t="inlineStr">
        <is>
          <t>VÄSTERBOTTENS LÄN</t>
        </is>
      </c>
      <c r="E2751" t="inlineStr">
        <is>
          <t>VÄNNÄS</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31264-2024</t>
        </is>
      </c>
      <c r="B2752" s="1" t="n">
        <v>45503.96868055555</v>
      </c>
      <c r="C2752" s="1" t="n">
        <v>46075</v>
      </c>
      <c r="D2752" t="inlineStr">
        <is>
          <t>VÄSTERBOTTENS LÄN</t>
        </is>
      </c>
      <c r="E2752" t="inlineStr">
        <is>
          <t>VÄNNÄS</t>
        </is>
      </c>
      <c r="F2752" t="inlineStr">
        <is>
          <t>Holmen skog AB</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31277-2024</t>
        </is>
      </c>
      <c r="B2753" s="1" t="n">
        <v>45504.39555555556</v>
      </c>
      <c r="C2753" s="1" t="n">
        <v>46075</v>
      </c>
      <c r="D2753" t="inlineStr">
        <is>
          <t>VÄSTERBOTTENS LÄN</t>
        </is>
      </c>
      <c r="E2753" t="inlineStr">
        <is>
          <t>VÄNNÄS</t>
        </is>
      </c>
      <c r="F2753" t="inlineStr">
        <is>
          <t>Holmen skog AB</t>
        </is>
      </c>
      <c r="G2753" t="n">
        <v>5.2</v>
      </c>
      <c r="H2753" t="n">
        <v>0</v>
      </c>
      <c r="I2753" t="n">
        <v>0</v>
      </c>
      <c r="J2753" t="n">
        <v>0</v>
      </c>
      <c r="K2753" t="n">
        <v>0</v>
      </c>
      <c r="L2753" t="n">
        <v>0</v>
      </c>
      <c r="M2753" t="n">
        <v>0</v>
      </c>
      <c r="N2753" t="n">
        <v>0</v>
      </c>
      <c r="O2753" t="n">
        <v>0</v>
      </c>
      <c r="P2753" t="n">
        <v>0</v>
      </c>
      <c r="Q2753" t="n">
        <v>0</v>
      </c>
      <c r="R2753" s="2" t="inlineStr"/>
    </row>
    <row r="2754" ht="15" customHeight="1">
      <c r="A2754" t="inlineStr">
        <is>
          <t>A 41950-2024</t>
        </is>
      </c>
      <c r="B2754" s="1" t="n">
        <v>45561.58484953704</v>
      </c>
      <c r="C2754" s="1" t="n">
        <v>46075</v>
      </c>
      <c r="D2754" t="inlineStr">
        <is>
          <t>VÄSTERBOTTENS LÄN</t>
        </is>
      </c>
      <c r="E2754" t="inlineStr">
        <is>
          <t>LYCKSELE</t>
        </is>
      </c>
      <c r="F2754" t="inlineStr">
        <is>
          <t>Sveaskog</t>
        </is>
      </c>
      <c r="G2754" t="n">
        <v>11.8</v>
      </c>
      <c r="H2754" t="n">
        <v>0</v>
      </c>
      <c r="I2754" t="n">
        <v>0</v>
      </c>
      <c r="J2754" t="n">
        <v>0</v>
      </c>
      <c r="K2754" t="n">
        <v>0</v>
      </c>
      <c r="L2754" t="n">
        <v>0</v>
      </c>
      <c r="M2754" t="n">
        <v>0</v>
      </c>
      <c r="N2754" t="n">
        <v>0</v>
      </c>
      <c r="O2754" t="n">
        <v>0</v>
      </c>
      <c r="P2754" t="n">
        <v>0</v>
      </c>
      <c r="Q2754" t="n">
        <v>0</v>
      </c>
      <c r="R2754" s="2" t="inlineStr"/>
    </row>
    <row r="2755" ht="15" customHeight="1">
      <c r="A2755" t="inlineStr">
        <is>
          <t>A 47253-2022</t>
        </is>
      </c>
      <c r="B2755" s="1" t="n">
        <v>44852</v>
      </c>
      <c r="C2755" s="1" t="n">
        <v>46075</v>
      </c>
      <c r="D2755" t="inlineStr">
        <is>
          <t>VÄSTERBOTTENS LÄN</t>
        </is>
      </c>
      <c r="E2755" t="inlineStr">
        <is>
          <t>VILHELMINA</t>
        </is>
      </c>
      <c r="F2755" t="inlineStr">
        <is>
          <t>SCA</t>
        </is>
      </c>
      <c r="G2755" t="n">
        <v>0.3</v>
      </c>
      <c r="H2755" t="n">
        <v>0</v>
      </c>
      <c r="I2755" t="n">
        <v>0</v>
      </c>
      <c r="J2755" t="n">
        <v>0</v>
      </c>
      <c r="K2755" t="n">
        <v>0</v>
      </c>
      <c r="L2755" t="n">
        <v>0</v>
      </c>
      <c r="M2755" t="n">
        <v>0</v>
      </c>
      <c r="N2755" t="n">
        <v>0</v>
      </c>
      <c r="O2755" t="n">
        <v>0</v>
      </c>
      <c r="P2755" t="n">
        <v>0</v>
      </c>
      <c r="Q2755" t="n">
        <v>0</v>
      </c>
      <c r="R2755" s="2" t="inlineStr"/>
    </row>
    <row r="2756" ht="15" customHeight="1">
      <c r="A2756" t="inlineStr">
        <is>
          <t>A 40846-2024</t>
        </is>
      </c>
      <c r="B2756" s="1" t="n">
        <v>45558.57508101852</v>
      </c>
      <c r="C2756" s="1" t="n">
        <v>46075</v>
      </c>
      <c r="D2756" t="inlineStr">
        <is>
          <t>VÄSTERBOTTENS LÄN</t>
        </is>
      </c>
      <c r="E2756" t="inlineStr">
        <is>
          <t>NORSJÖ</t>
        </is>
      </c>
      <c r="F2756" t="inlineStr">
        <is>
          <t>Holmen skog AB</t>
        </is>
      </c>
      <c r="G2756" t="n">
        <v>49.4</v>
      </c>
      <c r="H2756" t="n">
        <v>0</v>
      </c>
      <c r="I2756" t="n">
        <v>0</v>
      </c>
      <c r="J2756" t="n">
        <v>0</v>
      </c>
      <c r="K2756" t="n">
        <v>0</v>
      </c>
      <c r="L2756" t="n">
        <v>0</v>
      </c>
      <c r="M2756" t="n">
        <v>0</v>
      </c>
      <c r="N2756" t="n">
        <v>0</v>
      </c>
      <c r="O2756" t="n">
        <v>0</v>
      </c>
      <c r="P2756" t="n">
        <v>0</v>
      </c>
      <c r="Q2756" t="n">
        <v>0</v>
      </c>
      <c r="R2756" s="2" t="inlineStr"/>
    </row>
    <row r="2757" ht="15" customHeight="1">
      <c r="A2757" t="inlineStr">
        <is>
          <t>A 42849-2024</t>
        </is>
      </c>
      <c r="B2757" s="1" t="n">
        <v>45566.64021990741</v>
      </c>
      <c r="C2757" s="1" t="n">
        <v>46075</v>
      </c>
      <c r="D2757" t="inlineStr">
        <is>
          <t>VÄSTERBOTTENS LÄN</t>
        </is>
      </c>
      <c r="E2757" t="inlineStr">
        <is>
          <t>SKELLEFTEÅ</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66917-2021</t>
        </is>
      </c>
      <c r="B2758" s="1" t="n">
        <v>44522</v>
      </c>
      <c r="C2758" s="1" t="n">
        <v>46075</v>
      </c>
      <c r="D2758" t="inlineStr">
        <is>
          <t>VÄSTERBOTTENS LÄN</t>
        </is>
      </c>
      <c r="E2758" t="inlineStr">
        <is>
          <t>VILHELMINA</t>
        </is>
      </c>
      <c r="F2758" t="inlineStr">
        <is>
          <t>Allmännings- och besparingsskogar</t>
        </is>
      </c>
      <c r="G2758" t="n">
        <v>11.7</v>
      </c>
      <c r="H2758" t="n">
        <v>0</v>
      </c>
      <c r="I2758" t="n">
        <v>0</v>
      </c>
      <c r="J2758" t="n">
        <v>0</v>
      </c>
      <c r="K2758" t="n">
        <v>0</v>
      </c>
      <c r="L2758" t="n">
        <v>0</v>
      </c>
      <c r="M2758" t="n">
        <v>0</v>
      </c>
      <c r="N2758" t="n">
        <v>0</v>
      </c>
      <c r="O2758" t="n">
        <v>0</v>
      </c>
      <c r="P2758" t="n">
        <v>0</v>
      </c>
      <c r="Q2758" t="n">
        <v>0</v>
      </c>
      <c r="R2758" s="2" t="inlineStr"/>
    </row>
    <row r="2759" ht="15" customHeight="1">
      <c r="A2759" t="inlineStr">
        <is>
          <t>A 54408-2023</t>
        </is>
      </c>
      <c r="B2759" s="1" t="n">
        <v>45226</v>
      </c>
      <c r="C2759" s="1" t="n">
        <v>46075</v>
      </c>
      <c r="D2759" t="inlineStr">
        <is>
          <t>VÄSTERBOTTENS LÄN</t>
        </is>
      </c>
      <c r="E2759" t="inlineStr">
        <is>
          <t>SORSELE</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54411-2023</t>
        </is>
      </c>
      <c r="B2760" s="1" t="n">
        <v>45226</v>
      </c>
      <c r="C2760" s="1" t="n">
        <v>46075</v>
      </c>
      <c r="D2760" t="inlineStr">
        <is>
          <t>VÄSTERBOTTENS LÄN</t>
        </is>
      </c>
      <c r="E2760" t="inlineStr">
        <is>
          <t>SKELLEFTEÅ</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15807-2025</t>
        </is>
      </c>
      <c r="B2761" s="1" t="n">
        <v>45748.65944444444</v>
      </c>
      <c r="C2761" s="1" t="n">
        <v>46075</v>
      </c>
      <c r="D2761" t="inlineStr">
        <is>
          <t>VÄSTERBOTTENS LÄN</t>
        </is>
      </c>
      <c r="E2761" t="inlineStr">
        <is>
          <t>NORSJÖ</t>
        </is>
      </c>
      <c r="G2761" t="n">
        <v>3.9</v>
      </c>
      <c r="H2761" t="n">
        <v>0</v>
      </c>
      <c r="I2761" t="n">
        <v>0</v>
      </c>
      <c r="J2761" t="n">
        <v>0</v>
      </c>
      <c r="K2761" t="n">
        <v>0</v>
      </c>
      <c r="L2761" t="n">
        <v>0</v>
      </c>
      <c r="M2761" t="n">
        <v>0</v>
      </c>
      <c r="N2761" t="n">
        <v>0</v>
      </c>
      <c r="O2761" t="n">
        <v>0</v>
      </c>
      <c r="P2761" t="n">
        <v>0</v>
      </c>
      <c r="Q2761" t="n">
        <v>0</v>
      </c>
      <c r="R2761" s="2" t="inlineStr"/>
    </row>
    <row r="2762" ht="15" customHeight="1">
      <c r="A2762" t="inlineStr">
        <is>
          <t>A 14903-2025</t>
        </is>
      </c>
      <c r="B2762" s="1" t="n">
        <v>45743.48991898148</v>
      </c>
      <c r="C2762" s="1" t="n">
        <v>46075</v>
      </c>
      <c r="D2762" t="inlineStr">
        <is>
          <t>VÄSTERBOTTENS LÄN</t>
        </is>
      </c>
      <c r="E2762" t="inlineStr">
        <is>
          <t>ROBERTSFORS</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68036-2021</t>
        </is>
      </c>
      <c r="B2763" s="1" t="n">
        <v>44525</v>
      </c>
      <c r="C2763" s="1" t="n">
        <v>46075</v>
      </c>
      <c r="D2763" t="inlineStr">
        <is>
          <t>VÄSTERBOTTENS LÄN</t>
        </is>
      </c>
      <c r="E2763" t="inlineStr">
        <is>
          <t>MALÅ</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51478-2023</t>
        </is>
      </c>
      <c r="B2764" s="1" t="n">
        <v>45221.89737268518</v>
      </c>
      <c r="C2764" s="1" t="n">
        <v>46075</v>
      </c>
      <c r="D2764" t="inlineStr">
        <is>
          <t>VÄSTERBOTTENS LÄN</t>
        </is>
      </c>
      <c r="E2764" t="inlineStr">
        <is>
          <t>SKELLEFTEÅ</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29726-2023</t>
        </is>
      </c>
      <c r="B2765" s="1" t="n">
        <v>45107.44431712963</v>
      </c>
      <c r="C2765" s="1" t="n">
        <v>46075</v>
      </c>
      <c r="D2765" t="inlineStr">
        <is>
          <t>VÄSTERBOTTENS LÄN</t>
        </is>
      </c>
      <c r="E2765" t="inlineStr">
        <is>
          <t>ÅSELE</t>
        </is>
      </c>
      <c r="F2765" t="inlineStr">
        <is>
          <t>Holmen skog AB</t>
        </is>
      </c>
      <c r="G2765" t="n">
        <v>3.3</v>
      </c>
      <c r="H2765" t="n">
        <v>0</v>
      </c>
      <c r="I2765" t="n">
        <v>0</v>
      </c>
      <c r="J2765" t="n">
        <v>0</v>
      </c>
      <c r="K2765" t="n">
        <v>0</v>
      </c>
      <c r="L2765" t="n">
        <v>0</v>
      </c>
      <c r="M2765" t="n">
        <v>0</v>
      </c>
      <c r="N2765" t="n">
        <v>0</v>
      </c>
      <c r="O2765" t="n">
        <v>0</v>
      </c>
      <c r="P2765" t="n">
        <v>0</v>
      </c>
      <c r="Q2765" t="n">
        <v>0</v>
      </c>
      <c r="R2765" s="2" t="inlineStr"/>
    </row>
    <row r="2766" ht="15" customHeight="1">
      <c r="A2766" t="inlineStr">
        <is>
          <t>A 44983-2022</t>
        </is>
      </c>
      <c r="B2766" s="1" t="n">
        <v>44841</v>
      </c>
      <c r="C2766" s="1" t="n">
        <v>46075</v>
      </c>
      <c r="D2766" t="inlineStr">
        <is>
          <t>VÄSTERBOTTENS LÄN</t>
        </is>
      </c>
      <c r="E2766" t="inlineStr">
        <is>
          <t>UMEÅ</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12314-2021</t>
        </is>
      </c>
      <c r="B2767" s="1" t="n">
        <v>44266</v>
      </c>
      <c r="C2767" s="1" t="n">
        <v>46075</v>
      </c>
      <c r="D2767" t="inlineStr">
        <is>
          <t>VÄSTERBOTTENS LÄN</t>
        </is>
      </c>
      <c r="E2767" t="inlineStr">
        <is>
          <t>STORUMAN</t>
        </is>
      </c>
      <c r="G2767" t="n">
        <v>5.6</v>
      </c>
      <c r="H2767" t="n">
        <v>0</v>
      </c>
      <c r="I2767" t="n">
        <v>0</v>
      </c>
      <c r="J2767" t="n">
        <v>0</v>
      </c>
      <c r="K2767" t="n">
        <v>0</v>
      </c>
      <c r="L2767" t="n">
        <v>0</v>
      </c>
      <c r="M2767" t="n">
        <v>0</v>
      </c>
      <c r="N2767" t="n">
        <v>0</v>
      </c>
      <c r="O2767" t="n">
        <v>0</v>
      </c>
      <c r="P2767" t="n">
        <v>0</v>
      </c>
      <c r="Q2767" t="n">
        <v>0</v>
      </c>
      <c r="R2767" s="2" t="inlineStr"/>
    </row>
    <row r="2768" ht="15" customHeight="1">
      <c r="A2768" t="inlineStr">
        <is>
          <t>A 33883-2024</t>
        </is>
      </c>
      <c r="B2768" s="1" t="n">
        <v>45522.81311342592</v>
      </c>
      <c r="C2768" s="1" t="n">
        <v>46075</v>
      </c>
      <c r="D2768" t="inlineStr">
        <is>
          <t>VÄSTERBOTTENS LÄN</t>
        </is>
      </c>
      <c r="E2768" t="inlineStr">
        <is>
          <t>UMEÅ</t>
        </is>
      </c>
      <c r="F2768" t="inlineStr">
        <is>
          <t>Holmen skog AB</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44959-2022</t>
        </is>
      </c>
      <c r="B2769" s="1" t="n">
        <v>44839</v>
      </c>
      <c r="C2769" s="1" t="n">
        <v>46075</v>
      </c>
      <c r="D2769" t="inlineStr">
        <is>
          <t>VÄSTERBOTTENS LÄN</t>
        </is>
      </c>
      <c r="E2769" t="inlineStr">
        <is>
          <t>SKELLEFTEÅ</t>
        </is>
      </c>
      <c r="G2769" t="n">
        <v>17.3</v>
      </c>
      <c r="H2769" t="n">
        <v>0</v>
      </c>
      <c r="I2769" t="n">
        <v>0</v>
      </c>
      <c r="J2769" t="n">
        <v>0</v>
      </c>
      <c r="K2769" t="n">
        <v>0</v>
      </c>
      <c r="L2769" t="n">
        <v>0</v>
      </c>
      <c r="M2769" t="n">
        <v>0</v>
      </c>
      <c r="N2769" t="n">
        <v>0</v>
      </c>
      <c r="O2769" t="n">
        <v>0</v>
      </c>
      <c r="P2769" t="n">
        <v>0</v>
      </c>
      <c r="Q2769" t="n">
        <v>0</v>
      </c>
      <c r="R2769" s="2" t="inlineStr"/>
    </row>
    <row r="2770" ht="15" customHeight="1">
      <c r="A2770" t="inlineStr">
        <is>
          <t>A 2119-2025</t>
        </is>
      </c>
      <c r="B2770" s="1" t="n">
        <v>45672.64280092593</v>
      </c>
      <c r="C2770" s="1" t="n">
        <v>46075</v>
      </c>
      <c r="D2770" t="inlineStr">
        <is>
          <t>VÄSTERBOTTENS LÄN</t>
        </is>
      </c>
      <c r="E2770" t="inlineStr">
        <is>
          <t>NORSJÖ</t>
        </is>
      </c>
      <c r="G2770" t="n">
        <v>4.3</v>
      </c>
      <c r="H2770" t="n">
        <v>0</v>
      </c>
      <c r="I2770" t="n">
        <v>0</v>
      </c>
      <c r="J2770" t="n">
        <v>0</v>
      </c>
      <c r="K2770" t="n">
        <v>0</v>
      </c>
      <c r="L2770" t="n">
        <v>0</v>
      </c>
      <c r="M2770" t="n">
        <v>0</v>
      </c>
      <c r="N2770" t="n">
        <v>0</v>
      </c>
      <c r="O2770" t="n">
        <v>0</v>
      </c>
      <c r="P2770" t="n">
        <v>0</v>
      </c>
      <c r="Q2770" t="n">
        <v>0</v>
      </c>
      <c r="R2770" s="2" t="inlineStr"/>
    </row>
    <row r="2771" ht="15" customHeight="1">
      <c r="A2771" t="inlineStr">
        <is>
          <t>A 22739-2023</t>
        </is>
      </c>
      <c r="B2771" s="1" t="n">
        <v>45071.92619212963</v>
      </c>
      <c r="C2771" s="1" t="n">
        <v>46075</v>
      </c>
      <c r="D2771" t="inlineStr">
        <is>
          <t>VÄSTERBOTTENS LÄN</t>
        </is>
      </c>
      <c r="E2771" t="inlineStr">
        <is>
          <t>ÅSELE</t>
        </is>
      </c>
      <c r="G2771" t="n">
        <v>4.1</v>
      </c>
      <c r="H2771" t="n">
        <v>0</v>
      </c>
      <c r="I2771" t="n">
        <v>0</v>
      </c>
      <c r="J2771" t="n">
        <v>0</v>
      </c>
      <c r="K2771" t="n">
        <v>0</v>
      </c>
      <c r="L2771" t="n">
        <v>0</v>
      </c>
      <c r="M2771" t="n">
        <v>0</v>
      </c>
      <c r="N2771" t="n">
        <v>0</v>
      </c>
      <c r="O2771" t="n">
        <v>0</v>
      </c>
      <c r="P2771" t="n">
        <v>0</v>
      </c>
      <c r="Q2771" t="n">
        <v>0</v>
      </c>
      <c r="R2771" s="2" t="inlineStr"/>
    </row>
    <row r="2772" ht="15" customHeight="1">
      <c r="A2772" t="inlineStr">
        <is>
          <t>A 65133-2021</t>
        </is>
      </c>
      <c r="B2772" s="1" t="n">
        <v>44515</v>
      </c>
      <c r="C2772" s="1" t="n">
        <v>46075</v>
      </c>
      <c r="D2772" t="inlineStr">
        <is>
          <t>VÄSTERBOTTENS LÄN</t>
        </is>
      </c>
      <c r="E2772" t="inlineStr">
        <is>
          <t>VILHELMINA</t>
        </is>
      </c>
      <c r="G2772" t="n">
        <v>16.4</v>
      </c>
      <c r="H2772" t="n">
        <v>0</v>
      </c>
      <c r="I2772" t="n">
        <v>0</v>
      </c>
      <c r="J2772" t="n">
        <v>0</v>
      </c>
      <c r="K2772" t="n">
        <v>0</v>
      </c>
      <c r="L2772" t="n">
        <v>0</v>
      </c>
      <c r="M2772" t="n">
        <v>0</v>
      </c>
      <c r="N2772" t="n">
        <v>0</v>
      </c>
      <c r="O2772" t="n">
        <v>0</v>
      </c>
      <c r="P2772" t="n">
        <v>0</v>
      </c>
      <c r="Q2772" t="n">
        <v>0</v>
      </c>
      <c r="R2772" s="2" t="inlineStr"/>
    </row>
    <row r="2773" ht="15" customHeight="1">
      <c r="A2773" t="inlineStr">
        <is>
          <t>A 53035-2023</t>
        </is>
      </c>
      <c r="B2773" s="1" t="n">
        <v>45226.96270833333</v>
      </c>
      <c r="C2773" s="1" t="n">
        <v>46075</v>
      </c>
      <c r="D2773" t="inlineStr">
        <is>
          <t>VÄSTERBOTTENS LÄN</t>
        </is>
      </c>
      <c r="E2773" t="inlineStr">
        <is>
          <t>LYCKSELE</t>
        </is>
      </c>
      <c r="F2773" t="inlineStr">
        <is>
          <t>SCA</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14983-2025</t>
        </is>
      </c>
      <c r="B2774" s="1" t="n">
        <v>45743</v>
      </c>
      <c r="C2774" s="1" t="n">
        <v>46075</v>
      </c>
      <c r="D2774" t="inlineStr">
        <is>
          <t>VÄSTERBOTTENS LÄN</t>
        </is>
      </c>
      <c r="E2774" t="inlineStr">
        <is>
          <t>NORSJÖ</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20140-2022</t>
        </is>
      </c>
      <c r="B2775" s="1" t="n">
        <v>44698</v>
      </c>
      <c r="C2775" s="1" t="n">
        <v>46075</v>
      </c>
      <c r="D2775" t="inlineStr">
        <is>
          <t>VÄSTERBOTTENS LÄN</t>
        </is>
      </c>
      <c r="E2775" t="inlineStr">
        <is>
          <t>ÅSELE</t>
        </is>
      </c>
      <c r="F2775" t="inlineStr">
        <is>
          <t>Holmen skog AB</t>
        </is>
      </c>
      <c r="G2775" t="n">
        <v>8.300000000000001</v>
      </c>
      <c r="H2775" t="n">
        <v>0</v>
      </c>
      <c r="I2775" t="n">
        <v>0</v>
      </c>
      <c r="J2775" t="n">
        <v>0</v>
      </c>
      <c r="K2775" t="n">
        <v>0</v>
      </c>
      <c r="L2775" t="n">
        <v>0</v>
      </c>
      <c r="M2775" t="n">
        <v>0</v>
      </c>
      <c r="N2775" t="n">
        <v>0</v>
      </c>
      <c r="O2775" t="n">
        <v>0</v>
      </c>
      <c r="P2775" t="n">
        <v>0</v>
      </c>
      <c r="Q2775" t="n">
        <v>0</v>
      </c>
      <c r="R2775" s="2" t="inlineStr"/>
    </row>
    <row r="2776" ht="15" customHeight="1">
      <c r="A2776" t="inlineStr">
        <is>
          <t>A 36297-2024</t>
        </is>
      </c>
      <c r="B2776" s="1" t="n">
        <v>45534.6054050926</v>
      </c>
      <c r="C2776" s="1" t="n">
        <v>46075</v>
      </c>
      <c r="D2776" t="inlineStr">
        <is>
          <t>VÄSTERBOTTENS LÄN</t>
        </is>
      </c>
      <c r="E2776" t="inlineStr">
        <is>
          <t>SKELLEFTEÅ</t>
        </is>
      </c>
      <c r="F2776" t="inlineStr">
        <is>
          <t>Sveaskog</t>
        </is>
      </c>
      <c r="G2776" t="n">
        <v>20.9</v>
      </c>
      <c r="H2776" t="n">
        <v>0</v>
      </c>
      <c r="I2776" t="n">
        <v>0</v>
      </c>
      <c r="J2776" t="n">
        <v>0</v>
      </c>
      <c r="K2776" t="n">
        <v>0</v>
      </c>
      <c r="L2776" t="n">
        <v>0</v>
      </c>
      <c r="M2776" t="n">
        <v>0</v>
      </c>
      <c r="N2776" t="n">
        <v>0</v>
      </c>
      <c r="O2776" t="n">
        <v>0</v>
      </c>
      <c r="P2776" t="n">
        <v>0</v>
      </c>
      <c r="Q2776" t="n">
        <v>0</v>
      </c>
      <c r="R2776" s="2" t="inlineStr"/>
    </row>
    <row r="2777" ht="15" customHeight="1">
      <c r="A2777" t="inlineStr">
        <is>
          <t>A 10253-2024</t>
        </is>
      </c>
      <c r="B2777" s="1" t="n">
        <v>45365.3941550926</v>
      </c>
      <c r="C2777" s="1" t="n">
        <v>46075</v>
      </c>
      <c r="D2777" t="inlineStr">
        <is>
          <t>VÄSTERBOTTENS LÄN</t>
        </is>
      </c>
      <c r="E2777" t="inlineStr">
        <is>
          <t>LYCKSELE</t>
        </is>
      </c>
      <c r="G2777" t="n">
        <v>6.4</v>
      </c>
      <c r="H2777" t="n">
        <v>0</v>
      </c>
      <c r="I2777" t="n">
        <v>0</v>
      </c>
      <c r="J2777" t="n">
        <v>0</v>
      </c>
      <c r="K2777" t="n">
        <v>0</v>
      </c>
      <c r="L2777" t="n">
        <v>0</v>
      </c>
      <c r="M2777" t="n">
        <v>0</v>
      </c>
      <c r="N2777" t="n">
        <v>0</v>
      </c>
      <c r="O2777" t="n">
        <v>0</v>
      </c>
      <c r="P2777" t="n">
        <v>0</v>
      </c>
      <c r="Q2777" t="n">
        <v>0</v>
      </c>
      <c r="R2777" s="2" t="inlineStr"/>
    </row>
    <row r="2778" ht="15" customHeight="1">
      <c r="A2778" t="inlineStr">
        <is>
          <t>A 16045-2021</t>
        </is>
      </c>
      <c r="B2778" s="1" t="n">
        <v>44287.61318287037</v>
      </c>
      <c r="C2778" s="1" t="n">
        <v>46075</v>
      </c>
      <c r="D2778" t="inlineStr">
        <is>
          <t>VÄSTERBOTTENS LÄN</t>
        </is>
      </c>
      <c r="E2778" t="inlineStr">
        <is>
          <t>UMEÅ</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24338-2024</t>
        </is>
      </c>
      <c r="B2779" s="1" t="n">
        <v>45457</v>
      </c>
      <c r="C2779" s="1" t="n">
        <v>46075</v>
      </c>
      <c r="D2779" t="inlineStr">
        <is>
          <t>VÄSTERBOTTENS LÄN</t>
        </is>
      </c>
      <c r="E2779" t="inlineStr">
        <is>
          <t>LYCKSELE</t>
        </is>
      </c>
      <c r="F2779" t="inlineStr">
        <is>
          <t>Holmen skog AB</t>
        </is>
      </c>
      <c r="G2779" t="n">
        <v>4.6</v>
      </c>
      <c r="H2779" t="n">
        <v>0</v>
      </c>
      <c r="I2779" t="n">
        <v>0</v>
      </c>
      <c r="J2779" t="n">
        <v>0</v>
      </c>
      <c r="K2779" t="n">
        <v>0</v>
      </c>
      <c r="L2779" t="n">
        <v>0</v>
      </c>
      <c r="M2779" t="n">
        <v>0</v>
      </c>
      <c r="N2779" t="n">
        <v>0</v>
      </c>
      <c r="O2779" t="n">
        <v>0</v>
      </c>
      <c r="P2779" t="n">
        <v>0</v>
      </c>
      <c r="Q2779" t="n">
        <v>0</v>
      </c>
      <c r="R2779" s="2" t="inlineStr"/>
    </row>
    <row r="2780" ht="15" customHeight="1">
      <c r="A2780" t="inlineStr">
        <is>
          <t>A 24340-2024</t>
        </is>
      </c>
      <c r="B2780" s="1" t="n">
        <v>45457.57278935185</v>
      </c>
      <c r="C2780" s="1" t="n">
        <v>46075</v>
      </c>
      <c r="D2780" t="inlineStr">
        <is>
          <t>VÄSTERBOTTENS LÄN</t>
        </is>
      </c>
      <c r="E2780" t="inlineStr">
        <is>
          <t>LYCKSELE</t>
        </is>
      </c>
      <c r="F2780" t="inlineStr">
        <is>
          <t>Sveaskog</t>
        </is>
      </c>
      <c r="G2780" t="n">
        <v>12.3</v>
      </c>
      <c r="H2780" t="n">
        <v>0</v>
      </c>
      <c r="I2780" t="n">
        <v>0</v>
      </c>
      <c r="J2780" t="n">
        <v>0</v>
      </c>
      <c r="K2780" t="n">
        <v>0</v>
      </c>
      <c r="L2780" t="n">
        <v>0</v>
      </c>
      <c r="M2780" t="n">
        <v>0</v>
      </c>
      <c r="N2780" t="n">
        <v>0</v>
      </c>
      <c r="O2780" t="n">
        <v>0</v>
      </c>
      <c r="P2780" t="n">
        <v>0</v>
      </c>
      <c r="Q2780" t="n">
        <v>0</v>
      </c>
      <c r="R2780" s="2" t="inlineStr"/>
    </row>
    <row r="2781" ht="15" customHeight="1">
      <c r="A2781" t="inlineStr">
        <is>
          <t>A 31006-2023</t>
        </is>
      </c>
      <c r="B2781" s="1" t="n">
        <v>45103</v>
      </c>
      <c r="C2781" s="1" t="n">
        <v>46075</v>
      </c>
      <c r="D2781" t="inlineStr">
        <is>
          <t>VÄSTERBOTTENS LÄN</t>
        </is>
      </c>
      <c r="E2781" t="inlineStr">
        <is>
          <t>SKELLEFTEÅ</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33636-2021</t>
        </is>
      </c>
      <c r="B2782" s="1" t="n">
        <v>44378</v>
      </c>
      <c r="C2782" s="1" t="n">
        <v>46075</v>
      </c>
      <c r="D2782" t="inlineStr">
        <is>
          <t>VÄSTERBOTTENS LÄN</t>
        </is>
      </c>
      <c r="E2782" t="inlineStr">
        <is>
          <t>VILHELMINA</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1228-2023</t>
        </is>
      </c>
      <c r="B2783" s="1" t="n">
        <v>44935.97217592593</v>
      </c>
      <c r="C2783" s="1" t="n">
        <v>46075</v>
      </c>
      <c r="D2783" t="inlineStr">
        <is>
          <t>VÄSTERBOTTENS LÄN</t>
        </is>
      </c>
      <c r="E2783" t="inlineStr">
        <is>
          <t>ÅSELE</t>
        </is>
      </c>
      <c r="F2783" t="inlineStr">
        <is>
          <t>SCA</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1231-2023</t>
        </is>
      </c>
      <c r="B2784" s="1" t="n">
        <v>44935</v>
      </c>
      <c r="C2784" s="1" t="n">
        <v>46075</v>
      </c>
      <c r="D2784" t="inlineStr">
        <is>
          <t>VÄSTERBOTTENS LÄN</t>
        </is>
      </c>
      <c r="E2784" t="inlineStr">
        <is>
          <t>VINDELN</t>
        </is>
      </c>
      <c r="F2784" t="inlineStr">
        <is>
          <t>SCA</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1232-2023</t>
        </is>
      </c>
      <c r="B2785" s="1" t="n">
        <v>44935</v>
      </c>
      <c r="C2785" s="1" t="n">
        <v>46075</v>
      </c>
      <c r="D2785" t="inlineStr">
        <is>
          <t>VÄSTERBOTTENS LÄN</t>
        </is>
      </c>
      <c r="E2785" t="inlineStr">
        <is>
          <t>VINDELN</t>
        </is>
      </c>
      <c r="F2785" t="inlineStr">
        <is>
          <t>SCA</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1233-2023</t>
        </is>
      </c>
      <c r="B2786" s="1" t="n">
        <v>44935</v>
      </c>
      <c r="C2786" s="1" t="n">
        <v>46075</v>
      </c>
      <c r="D2786" t="inlineStr">
        <is>
          <t>VÄSTERBOTTENS LÄN</t>
        </is>
      </c>
      <c r="E2786" t="inlineStr">
        <is>
          <t>VINDELN</t>
        </is>
      </c>
      <c r="F2786" t="inlineStr">
        <is>
          <t>SCA</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32809-2024</t>
        </is>
      </c>
      <c r="B2787" s="1" t="n">
        <v>45516.57067129629</v>
      </c>
      <c r="C2787" s="1" t="n">
        <v>46075</v>
      </c>
      <c r="D2787" t="inlineStr">
        <is>
          <t>VÄSTERBOTTENS LÄN</t>
        </is>
      </c>
      <c r="E2787" t="inlineStr">
        <is>
          <t>VÄNNÄS</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23261-2021</t>
        </is>
      </c>
      <c r="B2788" s="1" t="n">
        <v>44330</v>
      </c>
      <c r="C2788" s="1" t="n">
        <v>46075</v>
      </c>
      <c r="D2788" t="inlineStr">
        <is>
          <t>VÄSTERBOTTENS LÄN</t>
        </is>
      </c>
      <c r="E2788" t="inlineStr">
        <is>
          <t>VILHELMINA</t>
        </is>
      </c>
      <c r="G2788" t="n">
        <v>4.5</v>
      </c>
      <c r="H2788" t="n">
        <v>0</v>
      </c>
      <c r="I2788" t="n">
        <v>0</v>
      </c>
      <c r="J2788" t="n">
        <v>0</v>
      </c>
      <c r="K2788" t="n">
        <v>0</v>
      </c>
      <c r="L2788" t="n">
        <v>0</v>
      </c>
      <c r="M2788" t="n">
        <v>0</v>
      </c>
      <c r="N2788" t="n">
        <v>0</v>
      </c>
      <c r="O2788" t="n">
        <v>0</v>
      </c>
      <c r="P2788" t="n">
        <v>0</v>
      </c>
      <c r="Q2788" t="n">
        <v>0</v>
      </c>
      <c r="R2788" s="2" t="inlineStr"/>
    </row>
    <row r="2789" ht="15" customHeight="1">
      <c r="A2789" t="inlineStr">
        <is>
          <t>A 36900-2023</t>
        </is>
      </c>
      <c r="B2789" s="1" t="n">
        <v>45154.64055555555</v>
      </c>
      <c r="C2789" s="1" t="n">
        <v>46075</v>
      </c>
      <c r="D2789" t="inlineStr">
        <is>
          <t>VÄSTERBOTTENS LÄN</t>
        </is>
      </c>
      <c r="E2789" t="inlineStr">
        <is>
          <t>LYCKSELE</t>
        </is>
      </c>
      <c r="F2789" t="inlineStr">
        <is>
          <t>Holmen skog AB</t>
        </is>
      </c>
      <c r="G2789" t="n">
        <v>3.9</v>
      </c>
      <c r="H2789" t="n">
        <v>0</v>
      </c>
      <c r="I2789" t="n">
        <v>0</v>
      </c>
      <c r="J2789" t="n">
        <v>0</v>
      </c>
      <c r="K2789" t="n">
        <v>0</v>
      </c>
      <c r="L2789" t="n">
        <v>0</v>
      </c>
      <c r="M2789" t="n">
        <v>0</v>
      </c>
      <c r="N2789" t="n">
        <v>0</v>
      </c>
      <c r="O2789" t="n">
        <v>0</v>
      </c>
      <c r="P2789" t="n">
        <v>0</v>
      </c>
      <c r="Q2789" t="n">
        <v>0</v>
      </c>
      <c r="R2789" s="2" t="inlineStr"/>
    </row>
    <row r="2790" ht="15" customHeight="1">
      <c r="A2790" t="inlineStr">
        <is>
          <t>A 36910-2023</t>
        </is>
      </c>
      <c r="B2790" s="1" t="n">
        <v>45154</v>
      </c>
      <c r="C2790" s="1" t="n">
        <v>46075</v>
      </c>
      <c r="D2790" t="inlineStr">
        <is>
          <t>VÄSTERBOTTENS LÄN</t>
        </is>
      </c>
      <c r="E2790" t="inlineStr">
        <is>
          <t>VINDELN</t>
        </is>
      </c>
      <c r="F2790" t="inlineStr">
        <is>
          <t>Naturvårdsverket</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9233-2024</t>
        </is>
      </c>
      <c r="B2791" s="1" t="n">
        <v>45358</v>
      </c>
      <c r="C2791" s="1" t="n">
        <v>46075</v>
      </c>
      <c r="D2791" t="inlineStr">
        <is>
          <t>VÄSTERBOTTENS LÄN</t>
        </is>
      </c>
      <c r="E2791" t="inlineStr">
        <is>
          <t>SKELLEFTEÅ</t>
        </is>
      </c>
      <c r="G2791" t="n">
        <v>3.6</v>
      </c>
      <c r="H2791" t="n">
        <v>0</v>
      </c>
      <c r="I2791" t="n">
        <v>0</v>
      </c>
      <c r="J2791" t="n">
        <v>0</v>
      </c>
      <c r="K2791" t="n">
        <v>0</v>
      </c>
      <c r="L2791" t="n">
        <v>0</v>
      </c>
      <c r="M2791" t="n">
        <v>0</v>
      </c>
      <c r="N2791" t="n">
        <v>0</v>
      </c>
      <c r="O2791" t="n">
        <v>0</v>
      </c>
      <c r="P2791" t="n">
        <v>0</v>
      </c>
      <c r="Q2791" t="n">
        <v>0</v>
      </c>
      <c r="R2791" s="2" t="inlineStr"/>
    </row>
    <row r="2792" ht="15" customHeight="1">
      <c r="A2792" t="inlineStr">
        <is>
          <t>A 7943-2024</t>
        </is>
      </c>
      <c r="B2792" s="1" t="n">
        <v>45350.53173611111</v>
      </c>
      <c r="C2792" s="1" t="n">
        <v>46075</v>
      </c>
      <c r="D2792" t="inlineStr">
        <is>
          <t>VÄSTERBOTTENS LÄN</t>
        </is>
      </c>
      <c r="E2792" t="inlineStr">
        <is>
          <t>SKELLEFTEÅ</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58604-2022</t>
        </is>
      </c>
      <c r="B2793" s="1" t="n">
        <v>44894</v>
      </c>
      <c r="C2793" s="1" t="n">
        <v>46075</v>
      </c>
      <c r="D2793" t="inlineStr">
        <is>
          <t>VÄSTERBOTTENS LÄN</t>
        </is>
      </c>
      <c r="E2793" t="inlineStr">
        <is>
          <t>ROBERTSFORS</t>
        </is>
      </c>
      <c r="G2793" t="n">
        <v>8.9</v>
      </c>
      <c r="H2793" t="n">
        <v>0</v>
      </c>
      <c r="I2793" t="n">
        <v>0</v>
      </c>
      <c r="J2793" t="n">
        <v>0</v>
      </c>
      <c r="K2793" t="n">
        <v>0</v>
      </c>
      <c r="L2793" t="n">
        <v>0</v>
      </c>
      <c r="M2793" t="n">
        <v>0</v>
      </c>
      <c r="N2793" t="n">
        <v>0</v>
      </c>
      <c r="O2793" t="n">
        <v>0</v>
      </c>
      <c r="P2793" t="n">
        <v>0</v>
      </c>
      <c r="Q2793" t="n">
        <v>0</v>
      </c>
      <c r="R2793" s="2" t="inlineStr"/>
    </row>
    <row r="2794" ht="15" customHeight="1">
      <c r="A2794" t="inlineStr">
        <is>
          <t>A 58605-2022</t>
        </is>
      </c>
      <c r="B2794" s="1" t="n">
        <v>44902.57146990741</v>
      </c>
      <c r="C2794" s="1" t="n">
        <v>46075</v>
      </c>
      <c r="D2794" t="inlineStr">
        <is>
          <t>VÄSTERBOTTENS LÄN</t>
        </is>
      </c>
      <c r="E2794" t="inlineStr">
        <is>
          <t>UMEÅ</t>
        </is>
      </c>
      <c r="F2794" t="inlineStr">
        <is>
          <t>Holmen skog AB</t>
        </is>
      </c>
      <c r="G2794" t="n">
        <v>3.2</v>
      </c>
      <c r="H2794" t="n">
        <v>0</v>
      </c>
      <c r="I2794" t="n">
        <v>0</v>
      </c>
      <c r="J2794" t="n">
        <v>0</v>
      </c>
      <c r="K2794" t="n">
        <v>0</v>
      </c>
      <c r="L2794" t="n">
        <v>0</v>
      </c>
      <c r="M2794" t="n">
        <v>0</v>
      </c>
      <c r="N2794" t="n">
        <v>0</v>
      </c>
      <c r="O2794" t="n">
        <v>0</v>
      </c>
      <c r="P2794" t="n">
        <v>0</v>
      </c>
      <c r="Q2794" t="n">
        <v>0</v>
      </c>
      <c r="R2794" s="2" t="inlineStr"/>
    </row>
    <row r="2795" ht="15" customHeight="1">
      <c r="A2795" t="inlineStr">
        <is>
          <t>A 33204-2021</t>
        </is>
      </c>
      <c r="B2795" s="1" t="n">
        <v>44376.93355324074</v>
      </c>
      <c r="C2795" s="1" t="n">
        <v>46075</v>
      </c>
      <c r="D2795" t="inlineStr">
        <is>
          <t>VÄSTERBOTTENS LÄN</t>
        </is>
      </c>
      <c r="E2795" t="inlineStr">
        <is>
          <t>ÅSELE</t>
        </is>
      </c>
      <c r="F2795" t="inlineStr">
        <is>
          <t>SCA</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6717-2025</t>
        </is>
      </c>
      <c r="B2796" s="1" t="n">
        <v>45700.5734837963</v>
      </c>
      <c r="C2796" s="1" t="n">
        <v>46075</v>
      </c>
      <c r="D2796" t="inlineStr">
        <is>
          <t>VÄSTERBOTTENS LÄN</t>
        </is>
      </c>
      <c r="E2796" t="inlineStr">
        <is>
          <t>DOROTEA</t>
        </is>
      </c>
      <c r="F2796" t="inlineStr">
        <is>
          <t>SCA</t>
        </is>
      </c>
      <c r="G2796" t="n">
        <v>5.9</v>
      </c>
      <c r="H2796" t="n">
        <v>0</v>
      </c>
      <c r="I2796" t="n">
        <v>0</v>
      </c>
      <c r="J2796" t="n">
        <v>0</v>
      </c>
      <c r="K2796" t="n">
        <v>0</v>
      </c>
      <c r="L2796" t="n">
        <v>0</v>
      </c>
      <c r="M2796" t="n">
        <v>0</v>
      </c>
      <c r="N2796" t="n">
        <v>0</v>
      </c>
      <c r="O2796" t="n">
        <v>0</v>
      </c>
      <c r="P2796" t="n">
        <v>0</v>
      </c>
      <c r="Q2796" t="n">
        <v>0</v>
      </c>
      <c r="R2796" s="2" t="inlineStr"/>
    </row>
    <row r="2797" ht="15" customHeight="1">
      <c r="A2797" t="inlineStr">
        <is>
          <t>A 7007-2024</t>
        </is>
      </c>
      <c r="B2797" s="1" t="n">
        <v>45343</v>
      </c>
      <c r="C2797" s="1" t="n">
        <v>46075</v>
      </c>
      <c r="D2797" t="inlineStr">
        <is>
          <t>VÄSTERBOTTENS LÄN</t>
        </is>
      </c>
      <c r="E2797" t="inlineStr">
        <is>
          <t>NORDMALING</t>
        </is>
      </c>
      <c r="F2797" t="inlineStr">
        <is>
          <t>Kommuner</t>
        </is>
      </c>
      <c r="G2797" t="n">
        <v>6.2</v>
      </c>
      <c r="H2797" t="n">
        <v>0</v>
      </c>
      <c r="I2797" t="n">
        <v>0</v>
      </c>
      <c r="J2797" t="n">
        <v>0</v>
      </c>
      <c r="K2797" t="n">
        <v>0</v>
      </c>
      <c r="L2797" t="n">
        <v>0</v>
      </c>
      <c r="M2797" t="n">
        <v>0</v>
      </c>
      <c r="N2797" t="n">
        <v>0</v>
      </c>
      <c r="O2797" t="n">
        <v>0</v>
      </c>
      <c r="P2797" t="n">
        <v>0</v>
      </c>
      <c r="Q2797" t="n">
        <v>0</v>
      </c>
      <c r="R2797" s="2" t="inlineStr"/>
    </row>
    <row r="2798" ht="15" customHeight="1">
      <c r="A2798" t="inlineStr">
        <is>
          <t>A 44622-2023</t>
        </is>
      </c>
      <c r="B2798" s="1" t="n">
        <v>45184</v>
      </c>
      <c r="C2798" s="1" t="n">
        <v>46075</v>
      </c>
      <c r="D2798" t="inlineStr">
        <is>
          <t>VÄSTERBOTTENS LÄN</t>
        </is>
      </c>
      <c r="E2798" t="inlineStr">
        <is>
          <t>NORSJÖ</t>
        </is>
      </c>
      <c r="G2798" t="n">
        <v>3.8</v>
      </c>
      <c r="H2798" t="n">
        <v>0</v>
      </c>
      <c r="I2798" t="n">
        <v>0</v>
      </c>
      <c r="J2798" t="n">
        <v>0</v>
      </c>
      <c r="K2798" t="n">
        <v>0</v>
      </c>
      <c r="L2798" t="n">
        <v>0</v>
      </c>
      <c r="M2798" t="n">
        <v>0</v>
      </c>
      <c r="N2798" t="n">
        <v>0</v>
      </c>
      <c r="O2798" t="n">
        <v>0</v>
      </c>
      <c r="P2798" t="n">
        <v>0</v>
      </c>
      <c r="Q2798" t="n">
        <v>0</v>
      </c>
      <c r="R2798" s="2" t="inlineStr"/>
    </row>
    <row r="2799" ht="15" customHeight="1">
      <c r="A2799" t="inlineStr">
        <is>
          <t>A 15301-2025</t>
        </is>
      </c>
      <c r="B2799" s="1" t="n">
        <v>45746.47777777778</v>
      </c>
      <c r="C2799" s="1" t="n">
        <v>46075</v>
      </c>
      <c r="D2799" t="inlineStr">
        <is>
          <t>VÄSTERBOTTENS LÄN</t>
        </is>
      </c>
      <c r="E2799" t="inlineStr">
        <is>
          <t>SKELLEFTEÅ</t>
        </is>
      </c>
      <c r="G2799" t="n">
        <v>4.1</v>
      </c>
      <c r="H2799" t="n">
        <v>0</v>
      </c>
      <c r="I2799" t="n">
        <v>0</v>
      </c>
      <c r="J2799" t="n">
        <v>0</v>
      </c>
      <c r="K2799" t="n">
        <v>0</v>
      </c>
      <c r="L2799" t="n">
        <v>0</v>
      </c>
      <c r="M2799" t="n">
        <v>0</v>
      </c>
      <c r="N2799" t="n">
        <v>0</v>
      </c>
      <c r="O2799" t="n">
        <v>0</v>
      </c>
      <c r="P2799" t="n">
        <v>0</v>
      </c>
      <c r="Q2799" t="n">
        <v>0</v>
      </c>
      <c r="R2799" s="2" t="inlineStr"/>
    </row>
    <row r="2800" ht="15" customHeight="1">
      <c r="A2800" t="inlineStr">
        <is>
          <t>A 44629-2023</t>
        </is>
      </c>
      <c r="B2800" s="1" t="n">
        <v>45189</v>
      </c>
      <c r="C2800" s="1" t="n">
        <v>46075</v>
      </c>
      <c r="D2800" t="inlineStr">
        <is>
          <t>VÄSTERBOTTENS LÄN</t>
        </is>
      </c>
      <c r="E2800" t="inlineStr">
        <is>
          <t>BJURHOLM</t>
        </is>
      </c>
      <c r="G2800" t="n">
        <v>15.6</v>
      </c>
      <c r="H2800" t="n">
        <v>0</v>
      </c>
      <c r="I2800" t="n">
        <v>0</v>
      </c>
      <c r="J2800" t="n">
        <v>0</v>
      </c>
      <c r="K2800" t="n">
        <v>0</v>
      </c>
      <c r="L2800" t="n">
        <v>0</v>
      </c>
      <c r="M2800" t="n">
        <v>0</v>
      </c>
      <c r="N2800" t="n">
        <v>0</v>
      </c>
      <c r="O2800" t="n">
        <v>0</v>
      </c>
      <c r="P2800" t="n">
        <v>0</v>
      </c>
      <c r="Q2800" t="n">
        <v>0</v>
      </c>
      <c r="R2800" s="2" t="inlineStr"/>
    </row>
    <row r="2801" ht="15" customHeight="1">
      <c r="A2801" t="inlineStr">
        <is>
          <t>A 16183-2025</t>
        </is>
      </c>
      <c r="B2801" s="1" t="n">
        <v>45750.57883101852</v>
      </c>
      <c r="C2801" s="1" t="n">
        <v>46075</v>
      </c>
      <c r="D2801" t="inlineStr">
        <is>
          <t>VÄSTERBOTTENS LÄN</t>
        </is>
      </c>
      <c r="E2801" t="inlineStr">
        <is>
          <t>LYCKSELE</t>
        </is>
      </c>
      <c r="F2801" t="inlineStr">
        <is>
          <t>Sveaskog</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4292-2024</t>
        </is>
      </c>
      <c r="B2802" s="1" t="n">
        <v>45324.6081712963</v>
      </c>
      <c r="C2802" s="1" t="n">
        <v>46075</v>
      </c>
      <c r="D2802" t="inlineStr">
        <is>
          <t>VÄSTERBOTTENS LÄN</t>
        </is>
      </c>
      <c r="E2802" t="inlineStr">
        <is>
          <t>SKELLEFTEÅ</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36320-2024</t>
        </is>
      </c>
      <c r="B2803" s="1" t="n">
        <v>45534.63586805556</v>
      </c>
      <c r="C2803" s="1" t="n">
        <v>46075</v>
      </c>
      <c r="D2803" t="inlineStr">
        <is>
          <t>VÄSTERBOTTENS LÄN</t>
        </is>
      </c>
      <c r="E2803" t="inlineStr">
        <is>
          <t>VILHELMINA</t>
        </is>
      </c>
      <c r="F2803" t="inlineStr">
        <is>
          <t>SCA</t>
        </is>
      </c>
      <c r="G2803" t="n">
        <v>3.1</v>
      </c>
      <c r="H2803" t="n">
        <v>0</v>
      </c>
      <c r="I2803" t="n">
        <v>0</v>
      </c>
      <c r="J2803" t="n">
        <v>0</v>
      </c>
      <c r="K2803" t="n">
        <v>0</v>
      </c>
      <c r="L2803" t="n">
        <v>0</v>
      </c>
      <c r="M2803" t="n">
        <v>0</v>
      </c>
      <c r="N2803" t="n">
        <v>0</v>
      </c>
      <c r="O2803" t="n">
        <v>0</v>
      </c>
      <c r="P2803" t="n">
        <v>0</v>
      </c>
      <c r="Q2803" t="n">
        <v>0</v>
      </c>
      <c r="R2803" s="2" t="inlineStr"/>
    </row>
    <row r="2804" ht="15" customHeight="1">
      <c r="A2804" t="inlineStr">
        <is>
          <t>A 36324-2024</t>
        </is>
      </c>
      <c r="B2804" s="1" t="n">
        <v>45534.6363425926</v>
      </c>
      <c r="C2804" s="1" t="n">
        <v>46075</v>
      </c>
      <c r="D2804" t="inlineStr">
        <is>
          <t>VÄSTERBOTTENS LÄN</t>
        </is>
      </c>
      <c r="E2804" t="inlineStr">
        <is>
          <t>LYCKSELE</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18023-2025</t>
        </is>
      </c>
      <c r="B2805" s="1" t="n">
        <v>45761.44642361111</v>
      </c>
      <c r="C2805" s="1" t="n">
        <v>46075</v>
      </c>
      <c r="D2805" t="inlineStr">
        <is>
          <t>VÄSTERBOTTENS LÄN</t>
        </is>
      </c>
      <c r="E2805" t="inlineStr">
        <is>
          <t>SKELLEFTEÅ</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18026-2025</t>
        </is>
      </c>
      <c r="B2806" s="1" t="n">
        <v>45761</v>
      </c>
      <c r="C2806" s="1" t="n">
        <v>46075</v>
      </c>
      <c r="D2806" t="inlineStr">
        <is>
          <t>VÄSTERBOTTENS LÄN</t>
        </is>
      </c>
      <c r="E2806" t="inlineStr">
        <is>
          <t>UMEÅ</t>
        </is>
      </c>
      <c r="G2806" t="n">
        <v>6.3</v>
      </c>
      <c r="H2806" t="n">
        <v>0</v>
      </c>
      <c r="I2806" t="n">
        <v>0</v>
      </c>
      <c r="J2806" t="n">
        <v>0</v>
      </c>
      <c r="K2806" t="n">
        <v>0</v>
      </c>
      <c r="L2806" t="n">
        <v>0</v>
      </c>
      <c r="M2806" t="n">
        <v>0</v>
      </c>
      <c r="N2806" t="n">
        <v>0</v>
      </c>
      <c r="O2806" t="n">
        <v>0</v>
      </c>
      <c r="P2806" t="n">
        <v>0</v>
      </c>
      <c r="Q2806" t="n">
        <v>0</v>
      </c>
      <c r="R2806" s="2" t="inlineStr"/>
    </row>
    <row r="2807" ht="15" customHeight="1">
      <c r="A2807" t="inlineStr">
        <is>
          <t>A 30959-2021</t>
        </is>
      </c>
      <c r="B2807" s="1" t="n">
        <v>44365.71322916666</v>
      </c>
      <c r="C2807" s="1" t="n">
        <v>46075</v>
      </c>
      <c r="D2807" t="inlineStr">
        <is>
          <t>VÄSTERBOTTENS LÄN</t>
        </is>
      </c>
      <c r="E2807" t="inlineStr">
        <is>
          <t>SKELLEFTEÅ</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2840-2024</t>
        </is>
      </c>
      <c r="B2808" s="1" t="n">
        <v>45315</v>
      </c>
      <c r="C2808" s="1" t="n">
        <v>46075</v>
      </c>
      <c r="D2808" t="inlineStr">
        <is>
          <t>VÄSTERBOTTENS LÄN</t>
        </is>
      </c>
      <c r="E2808" t="inlineStr">
        <is>
          <t>SKELLEFTEÅ</t>
        </is>
      </c>
      <c r="F2808" t="inlineStr">
        <is>
          <t>Sveaskog</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2709-2025</t>
        </is>
      </c>
      <c r="B2809" s="1" t="n">
        <v>45674</v>
      </c>
      <c r="C2809" s="1" t="n">
        <v>46075</v>
      </c>
      <c r="D2809" t="inlineStr">
        <is>
          <t>VÄSTERBOTTENS LÄN</t>
        </is>
      </c>
      <c r="E2809" t="inlineStr">
        <is>
          <t>ROBERTSFORS</t>
        </is>
      </c>
      <c r="G2809" t="n">
        <v>3.6</v>
      </c>
      <c r="H2809" t="n">
        <v>0</v>
      </c>
      <c r="I2809" t="n">
        <v>0</v>
      </c>
      <c r="J2809" t="n">
        <v>0</v>
      </c>
      <c r="K2809" t="n">
        <v>0</v>
      </c>
      <c r="L2809" t="n">
        <v>0</v>
      </c>
      <c r="M2809" t="n">
        <v>0</v>
      </c>
      <c r="N2809" t="n">
        <v>0</v>
      </c>
      <c r="O2809" t="n">
        <v>0</v>
      </c>
      <c r="P2809" t="n">
        <v>0</v>
      </c>
      <c r="Q2809" t="n">
        <v>0</v>
      </c>
      <c r="R2809" s="2" t="inlineStr"/>
    </row>
    <row r="2810" ht="15" customHeight="1">
      <c r="A2810" t="inlineStr">
        <is>
          <t>A 18031-2025</t>
        </is>
      </c>
      <c r="B2810" s="1" t="n">
        <v>45761</v>
      </c>
      <c r="C2810" s="1" t="n">
        <v>46075</v>
      </c>
      <c r="D2810" t="inlineStr">
        <is>
          <t>VÄSTERBOTTENS LÄN</t>
        </is>
      </c>
      <c r="E2810" t="inlineStr">
        <is>
          <t>ÅSELE</t>
        </is>
      </c>
      <c r="G2810" t="n">
        <v>7.6</v>
      </c>
      <c r="H2810" t="n">
        <v>0</v>
      </c>
      <c r="I2810" t="n">
        <v>0</v>
      </c>
      <c r="J2810" t="n">
        <v>0</v>
      </c>
      <c r="K2810" t="n">
        <v>0</v>
      </c>
      <c r="L2810" t="n">
        <v>0</v>
      </c>
      <c r="M2810" t="n">
        <v>0</v>
      </c>
      <c r="N2810" t="n">
        <v>0</v>
      </c>
      <c r="O2810" t="n">
        <v>0</v>
      </c>
      <c r="P2810" t="n">
        <v>0</v>
      </c>
      <c r="Q2810" t="n">
        <v>0</v>
      </c>
      <c r="R2810" s="2" t="inlineStr"/>
    </row>
    <row r="2811" ht="15" customHeight="1">
      <c r="A2811" t="inlineStr">
        <is>
          <t>A 30715-2022</t>
        </is>
      </c>
      <c r="B2811" s="1" t="n">
        <v>44763</v>
      </c>
      <c r="C2811" s="1" t="n">
        <v>46075</v>
      </c>
      <c r="D2811" t="inlineStr">
        <is>
          <t>VÄSTERBOTTENS LÄN</t>
        </is>
      </c>
      <c r="E2811" t="inlineStr">
        <is>
          <t>NORDMALING</t>
        </is>
      </c>
      <c r="F2811" t="inlineStr">
        <is>
          <t>SCA</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57245-2024</t>
        </is>
      </c>
      <c r="B2812" s="1" t="n">
        <v>45629.55153935185</v>
      </c>
      <c r="C2812" s="1" t="n">
        <v>46075</v>
      </c>
      <c r="D2812" t="inlineStr">
        <is>
          <t>VÄSTERBOTTENS LÄN</t>
        </is>
      </c>
      <c r="E2812" t="inlineStr">
        <is>
          <t>SKELLEFTEÅ</t>
        </is>
      </c>
      <c r="F2812" t="inlineStr">
        <is>
          <t>Sveaskog</t>
        </is>
      </c>
      <c r="G2812" t="n">
        <v>15.6</v>
      </c>
      <c r="H2812" t="n">
        <v>0</v>
      </c>
      <c r="I2812" t="n">
        <v>0</v>
      </c>
      <c r="J2812" t="n">
        <v>0</v>
      </c>
      <c r="K2812" t="n">
        <v>0</v>
      </c>
      <c r="L2812" t="n">
        <v>0</v>
      </c>
      <c r="M2812" t="n">
        <v>0</v>
      </c>
      <c r="N2812" t="n">
        <v>0</v>
      </c>
      <c r="O2812" t="n">
        <v>0</v>
      </c>
      <c r="P2812" t="n">
        <v>0</v>
      </c>
      <c r="Q2812" t="n">
        <v>0</v>
      </c>
      <c r="R2812" s="2" t="inlineStr"/>
    </row>
    <row r="2813" ht="15" customHeight="1">
      <c r="A2813" t="inlineStr">
        <is>
          <t>A 3947-2023</t>
        </is>
      </c>
      <c r="B2813" s="1" t="n">
        <v>44952</v>
      </c>
      <c r="C2813" s="1" t="n">
        <v>46075</v>
      </c>
      <c r="D2813" t="inlineStr">
        <is>
          <t>VÄSTERBOTTENS LÄN</t>
        </is>
      </c>
      <c r="E2813" t="inlineStr">
        <is>
          <t>LYCKSELE</t>
        </is>
      </c>
      <c r="F2813" t="inlineStr">
        <is>
          <t>Sveaskog</t>
        </is>
      </c>
      <c r="G2813" t="n">
        <v>4.5</v>
      </c>
      <c r="H2813" t="n">
        <v>0</v>
      </c>
      <c r="I2813" t="n">
        <v>0</v>
      </c>
      <c r="J2813" t="n">
        <v>0</v>
      </c>
      <c r="K2813" t="n">
        <v>0</v>
      </c>
      <c r="L2813" t="n">
        <v>0</v>
      </c>
      <c r="M2813" t="n">
        <v>0</v>
      </c>
      <c r="N2813" t="n">
        <v>0</v>
      </c>
      <c r="O2813" t="n">
        <v>0</v>
      </c>
      <c r="P2813" t="n">
        <v>0</v>
      </c>
      <c r="Q2813" t="n">
        <v>0</v>
      </c>
      <c r="R2813" s="2" t="inlineStr"/>
    </row>
    <row r="2814" ht="15" customHeight="1">
      <c r="A2814" t="inlineStr">
        <is>
          <t>A 57263-2024</t>
        </is>
      </c>
      <c r="B2814" s="1" t="n">
        <v>45629.56875</v>
      </c>
      <c r="C2814" s="1" t="n">
        <v>46075</v>
      </c>
      <c r="D2814" t="inlineStr">
        <is>
          <t>VÄSTERBOTTENS LÄN</t>
        </is>
      </c>
      <c r="E2814" t="inlineStr">
        <is>
          <t>LYCKSELE</t>
        </is>
      </c>
      <c r="F2814" t="inlineStr">
        <is>
          <t>Sveaskog</t>
        </is>
      </c>
      <c r="G2814" t="n">
        <v>3</v>
      </c>
      <c r="H2814" t="n">
        <v>0</v>
      </c>
      <c r="I2814" t="n">
        <v>0</v>
      </c>
      <c r="J2814" t="n">
        <v>0</v>
      </c>
      <c r="K2814" t="n">
        <v>0</v>
      </c>
      <c r="L2814" t="n">
        <v>0</v>
      </c>
      <c r="M2814" t="n">
        <v>0</v>
      </c>
      <c r="N2814" t="n">
        <v>0</v>
      </c>
      <c r="O2814" t="n">
        <v>0</v>
      </c>
      <c r="P2814" t="n">
        <v>0</v>
      </c>
      <c r="Q2814" t="n">
        <v>0</v>
      </c>
      <c r="R2814" s="2" t="inlineStr"/>
    </row>
    <row r="2815" ht="15" customHeight="1">
      <c r="A2815" t="inlineStr">
        <is>
          <t>A 58472-2024</t>
        </is>
      </c>
      <c r="B2815" s="1" t="n">
        <v>45635</v>
      </c>
      <c r="C2815" s="1" t="n">
        <v>46075</v>
      </c>
      <c r="D2815" t="inlineStr">
        <is>
          <t>VÄSTERBOTTENS LÄN</t>
        </is>
      </c>
      <c r="E2815" t="inlineStr">
        <is>
          <t>ÅSELE</t>
        </is>
      </c>
      <c r="G2815" t="n">
        <v>6.3</v>
      </c>
      <c r="H2815" t="n">
        <v>0</v>
      </c>
      <c r="I2815" t="n">
        <v>0</v>
      </c>
      <c r="J2815" t="n">
        <v>0</v>
      </c>
      <c r="K2815" t="n">
        <v>0</v>
      </c>
      <c r="L2815" t="n">
        <v>0</v>
      </c>
      <c r="M2815" t="n">
        <v>0</v>
      </c>
      <c r="N2815" t="n">
        <v>0</v>
      </c>
      <c r="O2815" t="n">
        <v>0</v>
      </c>
      <c r="P2815" t="n">
        <v>0</v>
      </c>
      <c r="Q2815" t="n">
        <v>0</v>
      </c>
      <c r="R2815" s="2" t="inlineStr"/>
    </row>
    <row r="2816" ht="15" customHeight="1">
      <c r="A2816" t="inlineStr">
        <is>
          <t>A 35409-2024</t>
        </is>
      </c>
      <c r="B2816" s="1" t="n">
        <v>45531</v>
      </c>
      <c r="C2816" s="1" t="n">
        <v>46075</v>
      </c>
      <c r="D2816" t="inlineStr">
        <is>
          <t>VÄSTERBOTTENS LÄN</t>
        </is>
      </c>
      <c r="E2816" t="inlineStr">
        <is>
          <t>VILHELMINA</t>
        </is>
      </c>
      <c r="F2816" t="inlineStr">
        <is>
          <t>SCA</t>
        </is>
      </c>
      <c r="G2816" t="n">
        <v>13.1</v>
      </c>
      <c r="H2816" t="n">
        <v>0</v>
      </c>
      <c r="I2816" t="n">
        <v>0</v>
      </c>
      <c r="J2816" t="n">
        <v>0</v>
      </c>
      <c r="K2816" t="n">
        <v>0</v>
      </c>
      <c r="L2816" t="n">
        <v>0</v>
      </c>
      <c r="M2816" t="n">
        <v>0</v>
      </c>
      <c r="N2816" t="n">
        <v>0</v>
      </c>
      <c r="O2816" t="n">
        <v>0</v>
      </c>
      <c r="P2816" t="n">
        <v>0</v>
      </c>
      <c r="Q2816" t="n">
        <v>0</v>
      </c>
      <c r="R2816" s="2" t="inlineStr"/>
    </row>
    <row r="2817" ht="15" customHeight="1">
      <c r="A2817" t="inlineStr">
        <is>
          <t>A 57590-2022</t>
        </is>
      </c>
      <c r="B2817" s="1" t="n">
        <v>44896.97822916666</v>
      </c>
      <c r="C2817" s="1" t="n">
        <v>46075</v>
      </c>
      <c r="D2817" t="inlineStr">
        <is>
          <t>VÄSTERBOTTENS LÄN</t>
        </is>
      </c>
      <c r="E2817" t="inlineStr">
        <is>
          <t>NORDMALING</t>
        </is>
      </c>
      <c r="F2817" t="inlineStr">
        <is>
          <t>SCA</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28854-2023</t>
        </is>
      </c>
      <c r="B2818" s="1" t="n">
        <v>45104</v>
      </c>
      <c r="C2818" s="1" t="n">
        <v>46075</v>
      </c>
      <c r="D2818" t="inlineStr">
        <is>
          <t>VÄSTERBOTTENS LÄN</t>
        </is>
      </c>
      <c r="E2818" t="inlineStr">
        <is>
          <t>ÅSELE</t>
        </is>
      </c>
      <c r="F2818" t="inlineStr">
        <is>
          <t>Naturvårdsverket</t>
        </is>
      </c>
      <c r="G2818" t="n">
        <v>15.8</v>
      </c>
      <c r="H2818" t="n">
        <v>0</v>
      </c>
      <c r="I2818" t="n">
        <v>0</v>
      </c>
      <c r="J2818" t="n">
        <v>0</v>
      </c>
      <c r="K2818" t="n">
        <v>0</v>
      </c>
      <c r="L2818" t="n">
        <v>0</v>
      </c>
      <c r="M2818" t="n">
        <v>0</v>
      </c>
      <c r="N2818" t="n">
        <v>0</v>
      </c>
      <c r="O2818" t="n">
        <v>0</v>
      </c>
      <c r="P2818" t="n">
        <v>0</v>
      </c>
      <c r="Q2818" t="n">
        <v>0</v>
      </c>
      <c r="R2818" s="2" t="inlineStr"/>
    </row>
    <row r="2819" ht="15" customHeight="1">
      <c r="A2819" t="inlineStr">
        <is>
          <t>A 58538-2021</t>
        </is>
      </c>
      <c r="B2819" s="1" t="n">
        <v>44488.6871875</v>
      </c>
      <c r="C2819" s="1" t="n">
        <v>46075</v>
      </c>
      <c r="D2819" t="inlineStr">
        <is>
          <t>VÄSTERBOTTENS LÄN</t>
        </is>
      </c>
      <c r="E2819" t="inlineStr">
        <is>
          <t>UMEÅ</t>
        </is>
      </c>
      <c r="F2819" t="inlineStr">
        <is>
          <t>Sveaskog</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40982-2024</t>
        </is>
      </c>
      <c r="B2820" s="1" t="n">
        <v>45558.69835648148</v>
      </c>
      <c r="C2820" s="1" t="n">
        <v>46075</v>
      </c>
      <c r="D2820" t="inlineStr">
        <is>
          <t>VÄSTERBOTTENS LÄN</t>
        </is>
      </c>
      <c r="E2820" t="inlineStr">
        <is>
          <t>SORSELE</t>
        </is>
      </c>
      <c r="F2820" t="inlineStr">
        <is>
          <t>SCA</t>
        </is>
      </c>
      <c r="G2820" t="n">
        <v>15.7</v>
      </c>
      <c r="H2820" t="n">
        <v>0</v>
      </c>
      <c r="I2820" t="n">
        <v>0</v>
      </c>
      <c r="J2820" t="n">
        <v>0</v>
      </c>
      <c r="K2820" t="n">
        <v>0</v>
      </c>
      <c r="L2820" t="n">
        <v>0</v>
      </c>
      <c r="M2820" t="n">
        <v>0</v>
      </c>
      <c r="N2820" t="n">
        <v>0</v>
      </c>
      <c r="O2820" t="n">
        <v>0</v>
      </c>
      <c r="P2820" t="n">
        <v>0</v>
      </c>
      <c r="Q2820" t="n">
        <v>0</v>
      </c>
      <c r="R2820" s="2" t="inlineStr"/>
    </row>
    <row r="2821" ht="15" customHeight="1">
      <c r="A2821" t="inlineStr">
        <is>
          <t>A 52684-2022</t>
        </is>
      </c>
      <c r="B2821" s="1" t="n">
        <v>44874</v>
      </c>
      <c r="C2821" s="1" t="n">
        <v>46075</v>
      </c>
      <c r="D2821" t="inlineStr">
        <is>
          <t>VÄSTERBOTTENS LÄN</t>
        </is>
      </c>
      <c r="E2821" t="inlineStr">
        <is>
          <t>VINDELN</t>
        </is>
      </c>
      <c r="F2821" t="inlineStr">
        <is>
          <t>Sveaskog</t>
        </is>
      </c>
      <c r="G2821" t="n">
        <v>11.7</v>
      </c>
      <c r="H2821" t="n">
        <v>0</v>
      </c>
      <c r="I2821" t="n">
        <v>0</v>
      </c>
      <c r="J2821" t="n">
        <v>0</v>
      </c>
      <c r="K2821" t="n">
        <v>0</v>
      </c>
      <c r="L2821" t="n">
        <v>0</v>
      </c>
      <c r="M2821" t="n">
        <v>0</v>
      </c>
      <c r="N2821" t="n">
        <v>0</v>
      </c>
      <c r="O2821" t="n">
        <v>0</v>
      </c>
      <c r="P2821" t="n">
        <v>0</v>
      </c>
      <c r="Q2821" t="n">
        <v>0</v>
      </c>
      <c r="R2821" s="2" t="inlineStr"/>
    </row>
    <row r="2822" ht="15" customHeight="1">
      <c r="A2822" t="inlineStr">
        <is>
          <t>A 10587-2023</t>
        </is>
      </c>
      <c r="B2822" s="1" t="n">
        <v>44984</v>
      </c>
      <c r="C2822" s="1" t="n">
        <v>46075</v>
      </c>
      <c r="D2822" t="inlineStr">
        <is>
          <t>VÄSTERBOTTENS LÄN</t>
        </is>
      </c>
      <c r="E2822" t="inlineStr">
        <is>
          <t>UMEÅ</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39208-2023</t>
        </is>
      </c>
      <c r="B2823" s="1" t="n">
        <v>45166.41417824074</v>
      </c>
      <c r="C2823" s="1" t="n">
        <v>46075</v>
      </c>
      <c r="D2823" t="inlineStr">
        <is>
          <t>VÄSTERBOTTENS LÄN</t>
        </is>
      </c>
      <c r="E2823" t="inlineStr">
        <is>
          <t>VINDELN</t>
        </is>
      </c>
      <c r="F2823" t="inlineStr">
        <is>
          <t>Sveaskog</t>
        </is>
      </c>
      <c r="G2823" t="n">
        <v>13.8</v>
      </c>
      <c r="H2823" t="n">
        <v>0</v>
      </c>
      <c r="I2823" t="n">
        <v>0</v>
      </c>
      <c r="J2823" t="n">
        <v>0</v>
      </c>
      <c r="K2823" t="n">
        <v>0</v>
      </c>
      <c r="L2823" t="n">
        <v>0</v>
      </c>
      <c r="M2823" t="n">
        <v>0</v>
      </c>
      <c r="N2823" t="n">
        <v>0</v>
      </c>
      <c r="O2823" t="n">
        <v>0</v>
      </c>
      <c r="P2823" t="n">
        <v>0</v>
      </c>
      <c r="Q2823" t="n">
        <v>0</v>
      </c>
      <c r="R2823" s="2" t="inlineStr"/>
    </row>
    <row r="2824" ht="15" customHeight="1">
      <c r="A2824" t="inlineStr">
        <is>
          <t>A 43501-2023</t>
        </is>
      </c>
      <c r="B2824" s="1" t="n">
        <v>45184</v>
      </c>
      <c r="C2824" s="1" t="n">
        <v>46075</v>
      </c>
      <c r="D2824" t="inlineStr">
        <is>
          <t>VÄSTERBOTTENS LÄN</t>
        </is>
      </c>
      <c r="E2824" t="inlineStr">
        <is>
          <t>MALÅ</t>
        </is>
      </c>
      <c r="F2824" t="inlineStr">
        <is>
          <t>Sveaskog</t>
        </is>
      </c>
      <c r="G2824" t="n">
        <v>3.8</v>
      </c>
      <c r="H2824" t="n">
        <v>0</v>
      </c>
      <c r="I2824" t="n">
        <v>0</v>
      </c>
      <c r="J2824" t="n">
        <v>0</v>
      </c>
      <c r="K2824" t="n">
        <v>0</v>
      </c>
      <c r="L2824" t="n">
        <v>0</v>
      </c>
      <c r="M2824" t="n">
        <v>0</v>
      </c>
      <c r="N2824" t="n">
        <v>0</v>
      </c>
      <c r="O2824" t="n">
        <v>0</v>
      </c>
      <c r="P2824" t="n">
        <v>0</v>
      </c>
      <c r="Q2824" t="n">
        <v>0</v>
      </c>
      <c r="R2824" s="2" t="inlineStr"/>
    </row>
    <row r="2825" ht="15" customHeight="1">
      <c r="A2825" t="inlineStr">
        <is>
          <t>A 57246-2024</t>
        </is>
      </c>
      <c r="B2825" s="1" t="n">
        <v>45629.55165509259</v>
      </c>
      <c r="C2825" s="1" t="n">
        <v>46075</v>
      </c>
      <c r="D2825" t="inlineStr">
        <is>
          <t>VÄSTERBOTTENS LÄN</t>
        </is>
      </c>
      <c r="E2825" t="inlineStr">
        <is>
          <t>LYCKSELE</t>
        </is>
      </c>
      <c r="F2825" t="inlineStr">
        <is>
          <t>Sveaskog</t>
        </is>
      </c>
      <c r="G2825" t="n">
        <v>6.3</v>
      </c>
      <c r="H2825" t="n">
        <v>0</v>
      </c>
      <c r="I2825" t="n">
        <v>0</v>
      </c>
      <c r="J2825" t="n">
        <v>0</v>
      </c>
      <c r="K2825" t="n">
        <v>0</v>
      </c>
      <c r="L2825" t="n">
        <v>0</v>
      </c>
      <c r="M2825" t="n">
        <v>0</v>
      </c>
      <c r="N2825" t="n">
        <v>0</v>
      </c>
      <c r="O2825" t="n">
        <v>0</v>
      </c>
      <c r="P2825" t="n">
        <v>0</v>
      </c>
      <c r="Q2825" t="n">
        <v>0</v>
      </c>
      <c r="R2825" s="2" t="inlineStr"/>
    </row>
    <row r="2826" ht="15" customHeight="1">
      <c r="A2826" t="inlineStr">
        <is>
          <t>A 35614-2024</t>
        </is>
      </c>
      <c r="B2826" s="1" t="n">
        <v>45531.69734953704</v>
      </c>
      <c r="C2826" s="1" t="n">
        <v>46075</v>
      </c>
      <c r="D2826" t="inlineStr">
        <is>
          <t>VÄSTERBOTTENS LÄN</t>
        </is>
      </c>
      <c r="E2826" t="inlineStr">
        <is>
          <t>BJURHOLM</t>
        </is>
      </c>
      <c r="G2826" t="n">
        <v>6</v>
      </c>
      <c r="H2826" t="n">
        <v>0</v>
      </c>
      <c r="I2826" t="n">
        <v>0</v>
      </c>
      <c r="J2826" t="n">
        <v>0</v>
      </c>
      <c r="K2826" t="n">
        <v>0</v>
      </c>
      <c r="L2826" t="n">
        <v>0</v>
      </c>
      <c r="M2826" t="n">
        <v>0</v>
      </c>
      <c r="N2826" t="n">
        <v>0</v>
      </c>
      <c r="O2826" t="n">
        <v>0</v>
      </c>
      <c r="P2826" t="n">
        <v>0</v>
      </c>
      <c r="Q2826" t="n">
        <v>0</v>
      </c>
      <c r="R2826" s="2" t="inlineStr"/>
    </row>
    <row r="2827" ht="15" customHeight="1">
      <c r="A2827" t="inlineStr">
        <is>
          <t>A 8273-2023</t>
        </is>
      </c>
      <c r="B2827" s="1" t="n">
        <v>44971</v>
      </c>
      <c r="C2827" s="1" t="n">
        <v>46075</v>
      </c>
      <c r="D2827" t="inlineStr">
        <is>
          <t>VÄSTERBOTTENS LÄN</t>
        </is>
      </c>
      <c r="E2827" t="inlineStr">
        <is>
          <t>VINDELN</t>
        </is>
      </c>
      <c r="G2827" t="n">
        <v>6.3</v>
      </c>
      <c r="H2827" t="n">
        <v>0</v>
      </c>
      <c r="I2827" t="n">
        <v>0</v>
      </c>
      <c r="J2827" t="n">
        <v>0</v>
      </c>
      <c r="K2827" t="n">
        <v>0</v>
      </c>
      <c r="L2827" t="n">
        <v>0</v>
      </c>
      <c r="M2827" t="n">
        <v>0</v>
      </c>
      <c r="N2827" t="n">
        <v>0</v>
      </c>
      <c r="O2827" t="n">
        <v>0</v>
      </c>
      <c r="P2827" t="n">
        <v>0</v>
      </c>
      <c r="Q2827" t="n">
        <v>0</v>
      </c>
      <c r="R2827" s="2" t="inlineStr"/>
    </row>
    <row r="2828" ht="15" customHeight="1">
      <c r="A2828" t="inlineStr">
        <is>
          <t>A 41749-2024</t>
        </is>
      </c>
      <c r="B2828" s="1" t="n">
        <v>45561.3359375</v>
      </c>
      <c r="C2828" s="1" t="n">
        <v>46075</v>
      </c>
      <c r="D2828" t="inlineStr">
        <is>
          <t>VÄSTERBOTTENS LÄN</t>
        </is>
      </c>
      <c r="E2828" t="inlineStr">
        <is>
          <t>LYCKSELE</t>
        </is>
      </c>
      <c r="F2828" t="inlineStr">
        <is>
          <t>Sveaskog</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46625-2024</t>
        </is>
      </c>
      <c r="B2829" s="1" t="n">
        <v>45583.3296875</v>
      </c>
      <c r="C2829" s="1" t="n">
        <v>46075</v>
      </c>
      <c r="D2829" t="inlineStr">
        <is>
          <t>VÄSTERBOTTENS LÄN</t>
        </is>
      </c>
      <c r="E2829" t="inlineStr">
        <is>
          <t>NORDMALING</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46643-2024</t>
        </is>
      </c>
      <c r="B2830" s="1" t="n">
        <v>45583.34958333334</v>
      </c>
      <c r="C2830" s="1" t="n">
        <v>46075</v>
      </c>
      <c r="D2830" t="inlineStr">
        <is>
          <t>VÄSTERBOTTENS LÄN</t>
        </is>
      </c>
      <c r="E2830" t="inlineStr">
        <is>
          <t>NORSJÖ</t>
        </is>
      </c>
      <c r="F2830" t="inlineStr">
        <is>
          <t>Holmen skog AB</t>
        </is>
      </c>
      <c r="G2830" t="n">
        <v>4.3</v>
      </c>
      <c r="H2830" t="n">
        <v>0</v>
      </c>
      <c r="I2830" t="n">
        <v>0</v>
      </c>
      <c r="J2830" t="n">
        <v>0</v>
      </c>
      <c r="K2830" t="n">
        <v>0</v>
      </c>
      <c r="L2830" t="n">
        <v>0</v>
      </c>
      <c r="M2830" t="n">
        <v>0</v>
      </c>
      <c r="N2830" t="n">
        <v>0</v>
      </c>
      <c r="O2830" t="n">
        <v>0</v>
      </c>
      <c r="P2830" t="n">
        <v>0</v>
      </c>
      <c r="Q2830" t="n">
        <v>0</v>
      </c>
      <c r="R2830" s="2" t="inlineStr"/>
    </row>
    <row r="2831" ht="15" customHeight="1">
      <c r="A2831" t="inlineStr">
        <is>
          <t>A 470-2023</t>
        </is>
      </c>
      <c r="B2831" s="1" t="n">
        <v>44929.92520833333</v>
      </c>
      <c r="C2831" s="1" t="n">
        <v>46075</v>
      </c>
      <c r="D2831" t="inlineStr">
        <is>
          <t>VÄSTERBOTTENS LÄN</t>
        </is>
      </c>
      <c r="E2831" t="inlineStr">
        <is>
          <t>NORSJÖ</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156-2025</t>
        </is>
      </c>
      <c r="B2832" s="1" t="n">
        <v>45659</v>
      </c>
      <c r="C2832" s="1" t="n">
        <v>46075</v>
      </c>
      <c r="D2832" t="inlineStr">
        <is>
          <t>VÄSTERBOTTENS LÄN</t>
        </is>
      </c>
      <c r="E2832" t="inlineStr">
        <is>
          <t>ROBERTSFORS</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160-2025</t>
        </is>
      </c>
      <c r="B2833" s="1" t="n">
        <v>45649</v>
      </c>
      <c r="C2833" s="1" t="n">
        <v>46075</v>
      </c>
      <c r="D2833" t="inlineStr">
        <is>
          <t>VÄSTERBOTTENS LÄN</t>
        </is>
      </c>
      <c r="E2833" t="inlineStr">
        <is>
          <t>SKELLEFTEÅ</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175-2025</t>
        </is>
      </c>
      <c r="B2834" s="1" t="n">
        <v>45659</v>
      </c>
      <c r="C2834" s="1" t="n">
        <v>46075</v>
      </c>
      <c r="D2834" t="inlineStr">
        <is>
          <t>VÄSTERBOTTENS LÄN</t>
        </is>
      </c>
      <c r="E2834" t="inlineStr">
        <is>
          <t>ROBERTSFORS</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39914-2023</t>
        </is>
      </c>
      <c r="B2835" s="1" t="n">
        <v>45166</v>
      </c>
      <c r="C2835" s="1" t="n">
        <v>46075</v>
      </c>
      <c r="D2835" t="inlineStr">
        <is>
          <t>VÄSTERBOTTENS LÄN</t>
        </is>
      </c>
      <c r="E2835" t="inlineStr">
        <is>
          <t>VILHELMINA</t>
        </is>
      </c>
      <c r="G2835" t="n">
        <v>27.5</v>
      </c>
      <c r="H2835" t="n">
        <v>0</v>
      </c>
      <c r="I2835" t="n">
        <v>0</v>
      </c>
      <c r="J2835" t="n">
        <v>0</v>
      </c>
      <c r="K2835" t="n">
        <v>0</v>
      </c>
      <c r="L2835" t="n">
        <v>0</v>
      </c>
      <c r="M2835" t="n">
        <v>0</v>
      </c>
      <c r="N2835" t="n">
        <v>0</v>
      </c>
      <c r="O2835" t="n">
        <v>0</v>
      </c>
      <c r="P2835" t="n">
        <v>0</v>
      </c>
      <c r="Q2835" t="n">
        <v>0</v>
      </c>
      <c r="R2835" s="2" t="inlineStr"/>
    </row>
    <row r="2836" ht="15" customHeight="1">
      <c r="A2836" t="inlineStr">
        <is>
          <t>A 44214-2024</t>
        </is>
      </c>
      <c r="B2836" s="1" t="n">
        <v>45573.37309027778</v>
      </c>
      <c r="C2836" s="1" t="n">
        <v>46075</v>
      </c>
      <c r="D2836" t="inlineStr">
        <is>
          <t>VÄSTERBOTTENS LÄN</t>
        </is>
      </c>
      <c r="E2836" t="inlineStr">
        <is>
          <t>NORSJÖ</t>
        </is>
      </c>
      <c r="F2836" t="inlineStr">
        <is>
          <t>Holmen skog AB</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31306-2024</t>
        </is>
      </c>
      <c r="B2837" s="1" t="n">
        <v>45504</v>
      </c>
      <c r="C2837" s="1" t="n">
        <v>46075</v>
      </c>
      <c r="D2837" t="inlineStr">
        <is>
          <t>VÄSTERBOTTENS LÄN</t>
        </is>
      </c>
      <c r="E2837" t="inlineStr">
        <is>
          <t>STORUMAN</t>
        </is>
      </c>
      <c r="F2837" t="inlineStr">
        <is>
          <t>Allmännings- och besparingsskogar</t>
        </is>
      </c>
      <c r="G2837" t="n">
        <v>35.8</v>
      </c>
      <c r="H2837" t="n">
        <v>0</v>
      </c>
      <c r="I2837" t="n">
        <v>0</v>
      </c>
      <c r="J2837" t="n">
        <v>0</v>
      </c>
      <c r="K2837" t="n">
        <v>0</v>
      </c>
      <c r="L2837" t="n">
        <v>0</v>
      </c>
      <c r="M2837" t="n">
        <v>0</v>
      </c>
      <c r="N2837" t="n">
        <v>0</v>
      </c>
      <c r="O2837" t="n">
        <v>0</v>
      </c>
      <c r="P2837" t="n">
        <v>0</v>
      </c>
      <c r="Q2837" t="n">
        <v>0</v>
      </c>
      <c r="R2837" s="2" t="inlineStr"/>
    </row>
    <row r="2838" ht="15" customHeight="1">
      <c r="A2838" t="inlineStr">
        <is>
          <t>A 59561-2024</t>
        </is>
      </c>
      <c r="B2838" s="1" t="n">
        <v>45638.63717592593</v>
      </c>
      <c r="C2838" s="1" t="n">
        <v>46075</v>
      </c>
      <c r="D2838" t="inlineStr">
        <is>
          <t>VÄSTERBOTTENS LÄN</t>
        </is>
      </c>
      <c r="E2838" t="inlineStr">
        <is>
          <t>MALÅ</t>
        </is>
      </c>
      <c r="G2838" t="n">
        <v>11.4</v>
      </c>
      <c r="H2838" t="n">
        <v>0</v>
      </c>
      <c r="I2838" t="n">
        <v>0</v>
      </c>
      <c r="J2838" t="n">
        <v>0</v>
      </c>
      <c r="K2838" t="n">
        <v>0</v>
      </c>
      <c r="L2838" t="n">
        <v>0</v>
      </c>
      <c r="M2838" t="n">
        <v>0</v>
      </c>
      <c r="N2838" t="n">
        <v>0</v>
      </c>
      <c r="O2838" t="n">
        <v>0</v>
      </c>
      <c r="P2838" t="n">
        <v>0</v>
      </c>
      <c r="Q2838" t="n">
        <v>0</v>
      </c>
      <c r="R2838" s="2" t="inlineStr"/>
    </row>
    <row r="2839" ht="15" customHeight="1">
      <c r="A2839" t="inlineStr">
        <is>
          <t>A 57200-2024</t>
        </is>
      </c>
      <c r="B2839" s="1" t="n">
        <v>45629.47841435186</v>
      </c>
      <c r="C2839" s="1" t="n">
        <v>46075</v>
      </c>
      <c r="D2839" t="inlineStr">
        <is>
          <t>VÄSTERBOTTENS LÄN</t>
        </is>
      </c>
      <c r="E2839" t="inlineStr">
        <is>
          <t>MALÅ</t>
        </is>
      </c>
      <c r="F2839" t="inlineStr">
        <is>
          <t>Sveaskog</t>
        </is>
      </c>
      <c r="G2839" t="n">
        <v>7.8</v>
      </c>
      <c r="H2839" t="n">
        <v>0</v>
      </c>
      <c r="I2839" t="n">
        <v>0</v>
      </c>
      <c r="J2839" t="n">
        <v>0</v>
      </c>
      <c r="K2839" t="n">
        <v>0</v>
      </c>
      <c r="L2839" t="n">
        <v>0</v>
      </c>
      <c r="M2839" t="n">
        <v>0</v>
      </c>
      <c r="N2839" t="n">
        <v>0</v>
      </c>
      <c r="O2839" t="n">
        <v>0</v>
      </c>
      <c r="P2839" t="n">
        <v>0</v>
      </c>
      <c r="Q2839" t="n">
        <v>0</v>
      </c>
      <c r="R2839" s="2" t="inlineStr"/>
    </row>
    <row r="2840" ht="15" customHeight="1">
      <c r="A2840" t="inlineStr">
        <is>
          <t>A 32308-2023</t>
        </is>
      </c>
      <c r="B2840" s="1" t="n">
        <v>45120.43883101852</v>
      </c>
      <c r="C2840" s="1" t="n">
        <v>46075</v>
      </c>
      <c r="D2840" t="inlineStr">
        <is>
          <t>VÄSTERBOTTENS LÄN</t>
        </is>
      </c>
      <c r="E2840" t="inlineStr">
        <is>
          <t>ÅSELE</t>
        </is>
      </c>
      <c r="F2840" t="inlineStr">
        <is>
          <t>Sveaskog</t>
        </is>
      </c>
      <c r="G2840" t="n">
        <v>22.9</v>
      </c>
      <c r="H2840" t="n">
        <v>0</v>
      </c>
      <c r="I2840" t="n">
        <v>0</v>
      </c>
      <c r="J2840" t="n">
        <v>0</v>
      </c>
      <c r="K2840" t="n">
        <v>0</v>
      </c>
      <c r="L2840" t="n">
        <v>0</v>
      </c>
      <c r="M2840" t="n">
        <v>0</v>
      </c>
      <c r="N2840" t="n">
        <v>0</v>
      </c>
      <c r="O2840" t="n">
        <v>0</v>
      </c>
      <c r="P2840" t="n">
        <v>0</v>
      </c>
      <c r="Q2840" t="n">
        <v>0</v>
      </c>
      <c r="R2840" s="2" t="inlineStr"/>
    </row>
    <row r="2841" ht="15" customHeight="1">
      <c r="A2841" t="inlineStr">
        <is>
          <t>A 4612-2022</t>
        </is>
      </c>
      <c r="B2841" s="1" t="n">
        <v>44592.37475694445</v>
      </c>
      <c r="C2841" s="1" t="n">
        <v>46075</v>
      </c>
      <c r="D2841" t="inlineStr">
        <is>
          <t>VÄSTERBOTTENS LÄN</t>
        </is>
      </c>
      <c r="E2841" t="inlineStr">
        <is>
          <t>ÅSELE</t>
        </is>
      </c>
      <c r="G2841" t="n">
        <v>3.7</v>
      </c>
      <c r="H2841" t="n">
        <v>0</v>
      </c>
      <c r="I2841" t="n">
        <v>0</v>
      </c>
      <c r="J2841" t="n">
        <v>0</v>
      </c>
      <c r="K2841" t="n">
        <v>0</v>
      </c>
      <c r="L2841" t="n">
        <v>0</v>
      </c>
      <c r="M2841" t="n">
        <v>0</v>
      </c>
      <c r="N2841" t="n">
        <v>0</v>
      </c>
      <c r="O2841" t="n">
        <v>0</v>
      </c>
      <c r="P2841" t="n">
        <v>0</v>
      </c>
      <c r="Q2841" t="n">
        <v>0</v>
      </c>
      <c r="R2841" s="2" t="inlineStr"/>
    </row>
    <row r="2842" ht="15" customHeight="1">
      <c r="A2842" t="inlineStr">
        <is>
          <t>A 32679-2024</t>
        </is>
      </c>
      <c r="B2842" s="1" t="n">
        <v>45514.96258101852</v>
      </c>
      <c r="C2842" s="1" t="n">
        <v>46075</v>
      </c>
      <c r="D2842" t="inlineStr">
        <is>
          <t>VÄSTERBOTTENS LÄN</t>
        </is>
      </c>
      <c r="E2842" t="inlineStr">
        <is>
          <t>VINDELN</t>
        </is>
      </c>
      <c r="F2842" t="inlineStr">
        <is>
          <t>SCA</t>
        </is>
      </c>
      <c r="G2842" t="n">
        <v>3</v>
      </c>
      <c r="H2842" t="n">
        <v>0</v>
      </c>
      <c r="I2842" t="n">
        <v>0</v>
      </c>
      <c r="J2842" t="n">
        <v>0</v>
      </c>
      <c r="K2842" t="n">
        <v>0</v>
      </c>
      <c r="L2842" t="n">
        <v>0</v>
      </c>
      <c r="M2842" t="n">
        <v>0</v>
      </c>
      <c r="N2842" t="n">
        <v>0</v>
      </c>
      <c r="O2842" t="n">
        <v>0</v>
      </c>
      <c r="P2842" t="n">
        <v>0</v>
      </c>
      <c r="Q2842" t="n">
        <v>0</v>
      </c>
      <c r="R2842" s="2" t="inlineStr"/>
    </row>
    <row r="2843" ht="15" customHeight="1">
      <c r="A2843" t="inlineStr">
        <is>
          <t>A 32680-2024</t>
        </is>
      </c>
      <c r="B2843" s="1" t="n">
        <v>45514.96278935186</v>
      </c>
      <c r="C2843" s="1" t="n">
        <v>46075</v>
      </c>
      <c r="D2843" t="inlineStr">
        <is>
          <t>VÄSTERBOTTENS LÄN</t>
        </is>
      </c>
      <c r="E2843" t="inlineStr">
        <is>
          <t>VINDELN</t>
        </is>
      </c>
      <c r="F2843" t="inlineStr">
        <is>
          <t>SCA</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35249-2023</t>
        </is>
      </c>
      <c r="B2844" s="1" t="n">
        <v>45145.92299768519</v>
      </c>
      <c r="C2844" s="1" t="n">
        <v>46075</v>
      </c>
      <c r="D2844" t="inlineStr">
        <is>
          <t>VÄSTERBOTTENS LÄN</t>
        </is>
      </c>
      <c r="E2844" t="inlineStr">
        <is>
          <t>BJURHOLM</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35251-2023</t>
        </is>
      </c>
      <c r="B2845" s="1" t="n">
        <v>45145.92325231482</v>
      </c>
      <c r="C2845" s="1" t="n">
        <v>46075</v>
      </c>
      <c r="D2845" t="inlineStr">
        <is>
          <t>VÄSTERBOTTENS LÄN</t>
        </is>
      </c>
      <c r="E2845" t="inlineStr">
        <is>
          <t>BJURHOLM</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64336-2023</t>
        </is>
      </c>
      <c r="B2846" s="1" t="n">
        <v>45279</v>
      </c>
      <c r="C2846" s="1" t="n">
        <v>46075</v>
      </c>
      <c r="D2846" t="inlineStr">
        <is>
          <t>VÄSTERBOTTENS LÄN</t>
        </is>
      </c>
      <c r="E2846" t="inlineStr">
        <is>
          <t>LYCKSELE</t>
        </is>
      </c>
      <c r="G2846" t="n">
        <v>6.4</v>
      </c>
      <c r="H2846" t="n">
        <v>0</v>
      </c>
      <c r="I2846" t="n">
        <v>0</v>
      </c>
      <c r="J2846" t="n">
        <v>0</v>
      </c>
      <c r="K2846" t="n">
        <v>0</v>
      </c>
      <c r="L2846" t="n">
        <v>0</v>
      </c>
      <c r="M2846" t="n">
        <v>0</v>
      </c>
      <c r="N2846" t="n">
        <v>0</v>
      </c>
      <c r="O2846" t="n">
        <v>0</v>
      </c>
      <c r="P2846" t="n">
        <v>0</v>
      </c>
      <c r="Q2846" t="n">
        <v>0</v>
      </c>
      <c r="R2846" s="2" t="inlineStr"/>
    </row>
    <row r="2847" ht="15" customHeight="1">
      <c r="A2847" t="inlineStr">
        <is>
          <t>A 60758-2022</t>
        </is>
      </c>
      <c r="B2847" s="1" t="n">
        <v>44907</v>
      </c>
      <c r="C2847" s="1" t="n">
        <v>46075</v>
      </c>
      <c r="D2847" t="inlineStr">
        <is>
          <t>VÄSTERBOTTENS LÄN</t>
        </is>
      </c>
      <c r="E2847" t="inlineStr">
        <is>
          <t>SORSELE</t>
        </is>
      </c>
      <c r="G2847" t="n">
        <v>9.199999999999999</v>
      </c>
      <c r="H2847" t="n">
        <v>0</v>
      </c>
      <c r="I2847" t="n">
        <v>0</v>
      </c>
      <c r="J2847" t="n">
        <v>0</v>
      </c>
      <c r="K2847" t="n">
        <v>0</v>
      </c>
      <c r="L2847" t="n">
        <v>0</v>
      </c>
      <c r="M2847" t="n">
        <v>0</v>
      </c>
      <c r="N2847" t="n">
        <v>0</v>
      </c>
      <c r="O2847" t="n">
        <v>0</v>
      </c>
      <c r="P2847" t="n">
        <v>0</v>
      </c>
      <c r="Q2847" t="n">
        <v>0</v>
      </c>
      <c r="R2847" s="2" t="inlineStr"/>
    </row>
    <row r="2848" ht="15" customHeight="1">
      <c r="A2848" t="inlineStr">
        <is>
          <t>A 64361-2023</t>
        </is>
      </c>
      <c r="B2848" s="1" t="n">
        <v>45280</v>
      </c>
      <c r="C2848" s="1" t="n">
        <v>46075</v>
      </c>
      <c r="D2848" t="inlineStr">
        <is>
          <t>VÄSTERBOTTENS LÄN</t>
        </is>
      </c>
      <c r="E2848" t="inlineStr">
        <is>
          <t>SORSELE</t>
        </is>
      </c>
      <c r="G2848" t="n">
        <v>99.59999999999999</v>
      </c>
      <c r="H2848" t="n">
        <v>0</v>
      </c>
      <c r="I2848" t="n">
        <v>0</v>
      </c>
      <c r="J2848" t="n">
        <v>0</v>
      </c>
      <c r="K2848" t="n">
        <v>0</v>
      </c>
      <c r="L2848" t="n">
        <v>0</v>
      </c>
      <c r="M2848" t="n">
        <v>0</v>
      </c>
      <c r="N2848" t="n">
        <v>0</v>
      </c>
      <c r="O2848" t="n">
        <v>0</v>
      </c>
      <c r="P2848" t="n">
        <v>0</v>
      </c>
      <c r="Q2848" t="n">
        <v>0</v>
      </c>
      <c r="R2848" s="2" t="inlineStr"/>
    </row>
    <row r="2849" ht="15" customHeight="1">
      <c r="A2849" t="inlineStr">
        <is>
          <t>A 12765-2025</t>
        </is>
      </c>
      <c r="B2849" s="1" t="n">
        <v>45733</v>
      </c>
      <c r="C2849" s="1" t="n">
        <v>46075</v>
      </c>
      <c r="D2849" t="inlineStr">
        <is>
          <t>VÄSTERBOTTENS LÄN</t>
        </is>
      </c>
      <c r="E2849" t="inlineStr">
        <is>
          <t>VILHELMINA</t>
        </is>
      </c>
      <c r="F2849" t="inlineStr">
        <is>
          <t>SCA</t>
        </is>
      </c>
      <c r="G2849" t="n">
        <v>4</v>
      </c>
      <c r="H2849" t="n">
        <v>0</v>
      </c>
      <c r="I2849" t="n">
        <v>0</v>
      </c>
      <c r="J2849" t="n">
        <v>0</v>
      </c>
      <c r="K2849" t="n">
        <v>0</v>
      </c>
      <c r="L2849" t="n">
        <v>0</v>
      </c>
      <c r="M2849" t="n">
        <v>0</v>
      </c>
      <c r="N2849" t="n">
        <v>0</v>
      </c>
      <c r="O2849" t="n">
        <v>0</v>
      </c>
      <c r="P2849" t="n">
        <v>0</v>
      </c>
      <c r="Q2849" t="n">
        <v>0</v>
      </c>
      <c r="R2849" s="2" t="inlineStr"/>
    </row>
    <row r="2850" ht="15" customHeight="1">
      <c r="A2850" t="inlineStr">
        <is>
          <t>A 61497-2022</t>
        </is>
      </c>
      <c r="B2850" s="1" t="n">
        <v>44910</v>
      </c>
      <c r="C2850" s="1" t="n">
        <v>46075</v>
      </c>
      <c r="D2850" t="inlineStr">
        <is>
          <t>VÄSTERBOTTENS LÄN</t>
        </is>
      </c>
      <c r="E2850" t="inlineStr">
        <is>
          <t>VINDELN</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61523-2022</t>
        </is>
      </c>
      <c r="B2851" s="1" t="n">
        <v>44916</v>
      </c>
      <c r="C2851" s="1" t="n">
        <v>46075</v>
      </c>
      <c r="D2851" t="inlineStr">
        <is>
          <t>VÄSTERBOTTENS LÄN</t>
        </is>
      </c>
      <c r="E2851" t="inlineStr">
        <is>
          <t>VINDELN</t>
        </is>
      </c>
      <c r="F2851" t="inlineStr">
        <is>
          <t>Holmen skog AB</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62109-2023</t>
        </is>
      </c>
      <c r="B2852" s="1" t="n">
        <v>45266.95105324074</v>
      </c>
      <c r="C2852" s="1" t="n">
        <v>46075</v>
      </c>
      <c r="D2852" t="inlineStr">
        <is>
          <t>VÄSTERBOTTENS LÄN</t>
        </is>
      </c>
      <c r="E2852" t="inlineStr">
        <is>
          <t>ÅSELE</t>
        </is>
      </c>
      <c r="F2852" t="inlineStr">
        <is>
          <t>SCA</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27941-2024</t>
        </is>
      </c>
      <c r="B2853" s="1" t="n">
        <v>45475</v>
      </c>
      <c r="C2853" s="1" t="n">
        <v>46075</v>
      </c>
      <c r="D2853" t="inlineStr">
        <is>
          <t>VÄSTERBOTTENS LÄN</t>
        </is>
      </c>
      <c r="E2853" t="inlineStr">
        <is>
          <t>UMEÅ</t>
        </is>
      </c>
      <c r="G2853" t="n">
        <v>7.2</v>
      </c>
      <c r="H2853" t="n">
        <v>0</v>
      </c>
      <c r="I2853" t="n">
        <v>0</v>
      </c>
      <c r="J2853" t="n">
        <v>0</v>
      </c>
      <c r="K2853" t="n">
        <v>0</v>
      </c>
      <c r="L2853" t="n">
        <v>0</v>
      </c>
      <c r="M2853" t="n">
        <v>0</v>
      </c>
      <c r="N2853" t="n">
        <v>0</v>
      </c>
      <c r="O2853" t="n">
        <v>0</v>
      </c>
      <c r="P2853" t="n">
        <v>0</v>
      </c>
      <c r="Q2853" t="n">
        <v>0</v>
      </c>
      <c r="R2853" s="2" t="inlineStr"/>
    </row>
    <row r="2854" ht="15" customHeight="1">
      <c r="A2854" t="inlineStr">
        <is>
          <t>A 5687-2025</t>
        </is>
      </c>
      <c r="B2854" s="1" t="n">
        <v>45694</v>
      </c>
      <c r="C2854" s="1" t="n">
        <v>46075</v>
      </c>
      <c r="D2854" t="inlineStr">
        <is>
          <t>VÄSTERBOTTENS LÄN</t>
        </is>
      </c>
      <c r="E2854" t="inlineStr">
        <is>
          <t>LYCKSELE</t>
        </is>
      </c>
      <c r="G2854" t="n">
        <v>3.4</v>
      </c>
      <c r="H2854" t="n">
        <v>0</v>
      </c>
      <c r="I2854" t="n">
        <v>0</v>
      </c>
      <c r="J2854" t="n">
        <v>0</v>
      </c>
      <c r="K2854" t="n">
        <v>0</v>
      </c>
      <c r="L2854" t="n">
        <v>0</v>
      </c>
      <c r="M2854" t="n">
        <v>0</v>
      </c>
      <c r="N2854" t="n">
        <v>0</v>
      </c>
      <c r="O2854" t="n">
        <v>0</v>
      </c>
      <c r="P2854" t="n">
        <v>0</v>
      </c>
      <c r="Q2854" t="n">
        <v>0</v>
      </c>
      <c r="R2854" s="2" t="inlineStr"/>
    </row>
    <row r="2855" ht="15" customHeight="1">
      <c r="A2855" t="inlineStr">
        <is>
          <t>A 46156-2024</t>
        </is>
      </c>
      <c r="B2855" s="1" t="n">
        <v>45581.45914351852</v>
      </c>
      <c r="C2855" s="1" t="n">
        <v>46075</v>
      </c>
      <c r="D2855" t="inlineStr">
        <is>
          <t>VÄSTERBOTTENS LÄN</t>
        </is>
      </c>
      <c r="E2855" t="inlineStr">
        <is>
          <t>ROBERTSFORS</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47483-2023</t>
        </is>
      </c>
      <c r="B2856" s="1" t="n">
        <v>45202.9413425926</v>
      </c>
      <c r="C2856" s="1" t="n">
        <v>46075</v>
      </c>
      <c r="D2856" t="inlineStr">
        <is>
          <t>VÄSTERBOTTENS LÄN</t>
        </is>
      </c>
      <c r="E2856" t="inlineStr">
        <is>
          <t>VILHELMINA</t>
        </is>
      </c>
      <c r="F2856" t="inlineStr">
        <is>
          <t>SCA</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46842-2023</t>
        </is>
      </c>
      <c r="B2857" s="1" t="n">
        <v>45199.72377314815</v>
      </c>
      <c r="C2857" s="1" t="n">
        <v>46075</v>
      </c>
      <c r="D2857" t="inlineStr">
        <is>
          <t>VÄSTERBOTTENS LÄN</t>
        </is>
      </c>
      <c r="E2857" t="inlineStr">
        <is>
          <t>ROBERTSFORS</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35757-2023</t>
        </is>
      </c>
      <c r="B2858" s="1" t="n">
        <v>45147.95444444445</v>
      </c>
      <c r="C2858" s="1" t="n">
        <v>46075</v>
      </c>
      <c r="D2858" t="inlineStr">
        <is>
          <t>VÄSTERBOTTENS LÄN</t>
        </is>
      </c>
      <c r="E2858" t="inlineStr">
        <is>
          <t>VILHELMINA</t>
        </is>
      </c>
      <c r="F2858" t="inlineStr">
        <is>
          <t>SCA</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35765-2023</t>
        </is>
      </c>
      <c r="B2859" s="1" t="n">
        <v>45147.95506944445</v>
      </c>
      <c r="C2859" s="1" t="n">
        <v>46075</v>
      </c>
      <c r="D2859" t="inlineStr">
        <is>
          <t>VÄSTERBOTTENS LÄN</t>
        </is>
      </c>
      <c r="E2859" t="inlineStr">
        <is>
          <t>LYCKSELE</t>
        </is>
      </c>
      <c r="F2859" t="inlineStr">
        <is>
          <t>SCA</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57362-2022</t>
        </is>
      </c>
      <c r="B2860" s="1" t="n">
        <v>44896.43010416667</v>
      </c>
      <c r="C2860" s="1" t="n">
        <v>46075</v>
      </c>
      <c r="D2860" t="inlineStr">
        <is>
          <t>VÄSTERBOTTENS LÄN</t>
        </is>
      </c>
      <c r="E2860" t="inlineStr">
        <is>
          <t>SKELLEFTEÅ</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51669-2024</t>
        </is>
      </c>
      <c r="B2861" s="1" t="n">
        <v>45606.8803587963</v>
      </c>
      <c r="C2861" s="1" t="n">
        <v>46075</v>
      </c>
      <c r="D2861" t="inlineStr">
        <is>
          <t>VÄSTERBOTTENS LÄN</t>
        </is>
      </c>
      <c r="E2861" t="inlineStr">
        <is>
          <t>LYCKSELE</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30719-2021</t>
        </is>
      </c>
      <c r="B2862" s="1" t="n">
        <v>44365.43997685185</v>
      </c>
      <c r="C2862" s="1" t="n">
        <v>46075</v>
      </c>
      <c r="D2862" t="inlineStr">
        <is>
          <t>VÄSTERBOTTENS LÄN</t>
        </is>
      </c>
      <c r="E2862" t="inlineStr">
        <is>
          <t>SKELLEFTEÅ</t>
        </is>
      </c>
      <c r="G2862" t="n">
        <v>9.699999999999999</v>
      </c>
      <c r="H2862" t="n">
        <v>0</v>
      </c>
      <c r="I2862" t="n">
        <v>0</v>
      </c>
      <c r="J2862" t="n">
        <v>0</v>
      </c>
      <c r="K2862" t="n">
        <v>0</v>
      </c>
      <c r="L2862" t="n">
        <v>0</v>
      </c>
      <c r="M2862" t="n">
        <v>0</v>
      </c>
      <c r="N2862" t="n">
        <v>0</v>
      </c>
      <c r="O2862" t="n">
        <v>0</v>
      </c>
      <c r="P2862" t="n">
        <v>0</v>
      </c>
      <c r="Q2862" t="n">
        <v>0</v>
      </c>
      <c r="R2862" s="2" t="inlineStr"/>
    </row>
    <row r="2863" ht="15" customHeight="1">
      <c r="A2863" t="inlineStr">
        <is>
          <t>A 57406-2022</t>
        </is>
      </c>
      <c r="B2863" s="1" t="n">
        <v>44893</v>
      </c>
      <c r="C2863" s="1" t="n">
        <v>46075</v>
      </c>
      <c r="D2863" t="inlineStr">
        <is>
          <t>VÄSTERBOTTENS LÄN</t>
        </is>
      </c>
      <c r="E2863" t="inlineStr">
        <is>
          <t>SKELLEFTEÅ</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53181-2021</t>
        </is>
      </c>
      <c r="B2864" s="1" t="n">
        <v>44467</v>
      </c>
      <c r="C2864" s="1" t="n">
        <v>46075</v>
      </c>
      <c r="D2864" t="inlineStr">
        <is>
          <t>VÄSTERBOTTENS LÄN</t>
        </is>
      </c>
      <c r="E2864" t="inlineStr">
        <is>
          <t>UMEÅ</t>
        </is>
      </c>
      <c r="G2864" t="n">
        <v>3.1</v>
      </c>
      <c r="H2864" t="n">
        <v>0</v>
      </c>
      <c r="I2864" t="n">
        <v>0</v>
      </c>
      <c r="J2864" t="n">
        <v>0</v>
      </c>
      <c r="K2864" t="n">
        <v>0</v>
      </c>
      <c r="L2864" t="n">
        <v>0</v>
      </c>
      <c r="M2864" t="n">
        <v>0</v>
      </c>
      <c r="N2864" t="n">
        <v>0</v>
      </c>
      <c r="O2864" t="n">
        <v>0</v>
      </c>
      <c r="P2864" t="n">
        <v>0</v>
      </c>
      <c r="Q2864" t="n">
        <v>0</v>
      </c>
      <c r="R2864" s="2" t="inlineStr"/>
    </row>
    <row r="2865" ht="15" customHeight="1">
      <c r="A2865" t="inlineStr">
        <is>
          <t>A 7025-2025</t>
        </is>
      </c>
      <c r="B2865" s="1" t="n">
        <v>45701.62719907407</v>
      </c>
      <c r="C2865" s="1" t="n">
        <v>46075</v>
      </c>
      <c r="D2865" t="inlineStr">
        <is>
          <t>VÄSTERBOTTENS LÄN</t>
        </is>
      </c>
      <c r="E2865" t="inlineStr">
        <is>
          <t>SKELLEFTEÅ</t>
        </is>
      </c>
      <c r="G2865" t="n">
        <v>4.1</v>
      </c>
      <c r="H2865" t="n">
        <v>0</v>
      </c>
      <c r="I2865" t="n">
        <v>0</v>
      </c>
      <c r="J2865" t="n">
        <v>0</v>
      </c>
      <c r="K2865" t="n">
        <v>0</v>
      </c>
      <c r="L2865" t="n">
        <v>0</v>
      </c>
      <c r="M2865" t="n">
        <v>0</v>
      </c>
      <c r="N2865" t="n">
        <v>0</v>
      </c>
      <c r="O2865" t="n">
        <v>0</v>
      </c>
      <c r="P2865" t="n">
        <v>0</v>
      </c>
      <c r="Q2865" t="n">
        <v>0</v>
      </c>
      <c r="R2865" s="2" t="inlineStr"/>
    </row>
    <row r="2866" ht="15" customHeight="1">
      <c r="A2866" t="inlineStr">
        <is>
          <t>A 14998-2024</t>
        </is>
      </c>
      <c r="B2866" s="1" t="n">
        <v>45399.41329861111</v>
      </c>
      <c r="C2866" s="1" t="n">
        <v>46075</v>
      </c>
      <c r="D2866" t="inlineStr">
        <is>
          <t>VÄSTERBOTTENS LÄN</t>
        </is>
      </c>
      <c r="E2866" t="inlineStr">
        <is>
          <t>NORSJÖ</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51390-2024</t>
        </is>
      </c>
      <c r="B2867" s="1" t="n">
        <v>45604.40876157407</v>
      </c>
      <c r="C2867" s="1" t="n">
        <v>46075</v>
      </c>
      <c r="D2867" t="inlineStr">
        <is>
          <t>VÄSTERBOTTENS LÄN</t>
        </is>
      </c>
      <c r="E2867" t="inlineStr">
        <is>
          <t>UMEÅ</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18070-2022</t>
        </is>
      </c>
      <c r="B2868" s="1" t="n">
        <v>44684</v>
      </c>
      <c r="C2868" s="1" t="n">
        <v>46075</v>
      </c>
      <c r="D2868" t="inlineStr">
        <is>
          <t>VÄSTERBOTTENS LÄN</t>
        </is>
      </c>
      <c r="E2868" t="inlineStr">
        <is>
          <t>SKELLEFTEÅ</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31496-2023</t>
        </is>
      </c>
      <c r="B2869" s="1" t="n">
        <v>45114.94138888889</v>
      </c>
      <c r="C2869" s="1" t="n">
        <v>46075</v>
      </c>
      <c r="D2869" t="inlineStr">
        <is>
          <t>VÄSTERBOTTENS LÄN</t>
        </is>
      </c>
      <c r="E2869" t="inlineStr">
        <is>
          <t>VILHELMINA</t>
        </is>
      </c>
      <c r="F2869" t="inlineStr">
        <is>
          <t>SCA</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59712-2023</t>
        </is>
      </c>
      <c r="B2870" s="1" t="n">
        <v>45257</v>
      </c>
      <c r="C2870" s="1" t="n">
        <v>46075</v>
      </c>
      <c r="D2870" t="inlineStr">
        <is>
          <t>VÄSTERBOTTENS LÄN</t>
        </is>
      </c>
      <c r="E2870" t="inlineStr">
        <is>
          <t>BJURHOLM</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48361-2023</t>
        </is>
      </c>
      <c r="B2871" s="1" t="n">
        <v>45205.64600694444</v>
      </c>
      <c r="C2871" s="1" t="n">
        <v>46075</v>
      </c>
      <c r="D2871" t="inlineStr">
        <is>
          <t>VÄSTERBOTTENS LÄN</t>
        </is>
      </c>
      <c r="E2871" t="inlineStr">
        <is>
          <t>SKELLEFTEÅ</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2331-2025</t>
        </is>
      </c>
      <c r="B2872" s="1" t="n">
        <v>45673.64859953704</v>
      </c>
      <c r="C2872" s="1" t="n">
        <v>46075</v>
      </c>
      <c r="D2872" t="inlineStr">
        <is>
          <t>VÄSTERBOTTENS LÄN</t>
        </is>
      </c>
      <c r="E2872" t="inlineStr">
        <is>
          <t>NORSJÖ</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2354-2025</t>
        </is>
      </c>
      <c r="B2873" s="1" t="n">
        <v>45673</v>
      </c>
      <c r="C2873" s="1" t="n">
        <v>46075</v>
      </c>
      <c r="D2873" t="inlineStr">
        <is>
          <t>VÄSTERBOTTENS LÄN</t>
        </is>
      </c>
      <c r="E2873" t="inlineStr">
        <is>
          <t>SKELLEFTEÅ</t>
        </is>
      </c>
      <c r="G2873" t="n">
        <v>6.7</v>
      </c>
      <c r="H2873" t="n">
        <v>0</v>
      </c>
      <c r="I2873" t="n">
        <v>0</v>
      </c>
      <c r="J2873" t="n">
        <v>0</v>
      </c>
      <c r="K2873" t="n">
        <v>0</v>
      </c>
      <c r="L2873" t="n">
        <v>0</v>
      </c>
      <c r="M2873" t="n">
        <v>0</v>
      </c>
      <c r="N2873" t="n">
        <v>0</v>
      </c>
      <c r="O2873" t="n">
        <v>0</v>
      </c>
      <c r="P2873" t="n">
        <v>0</v>
      </c>
      <c r="Q2873" t="n">
        <v>0</v>
      </c>
      <c r="R2873" s="2" t="inlineStr"/>
    </row>
    <row r="2874" ht="15" customHeight="1">
      <c r="A2874" t="inlineStr">
        <is>
          <t>A 12308-2025</t>
        </is>
      </c>
      <c r="B2874" s="1" t="n">
        <v>45729.78074074074</v>
      </c>
      <c r="C2874" s="1" t="n">
        <v>46075</v>
      </c>
      <c r="D2874" t="inlineStr">
        <is>
          <t>VÄSTERBOTTENS LÄN</t>
        </is>
      </c>
      <c r="E2874" t="inlineStr">
        <is>
          <t>VINDELN</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281-2023</t>
        </is>
      </c>
      <c r="B2875" s="1" t="n">
        <v>44928</v>
      </c>
      <c r="C2875" s="1" t="n">
        <v>46075</v>
      </c>
      <c r="D2875" t="inlineStr">
        <is>
          <t>VÄSTERBOTTENS LÄN</t>
        </is>
      </c>
      <c r="E2875" t="inlineStr">
        <is>
          <t>MALÅ</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14649-2025</t>
        </is>
      </c>
      <c r="B2876" s="1" t="n">
        <v>45742.48995370371</v>
      </c>
      <c r="C2876" s="1" t="n">
        <v>46075</v>
      </c>
      <c r="D2876" t="inlineStr">
        <is>
          <t>VÄSTERBOTTENS LÄN</t>
        </is>
      </c>
      <c r="E2876" t="inlineStr">
        <is>
          <t>DOROTEA</t>
        </is>
      </c>
      <c r="F2876" t="inlineStr">
        <is>
          <t>SCA</t>
        </is>
      </c>
      <c r="G2876" t="n">
        <v>5.2</v>
      </c>
      <c r="H2876" t="n">
        <v>0</v>
      </c>
      <c r="I2876" t="n">
        <v>0</v>
      </c>
      <c r="J2876" t="n">
        <v>0</v>
      </c>
      <c r="K2876" t="n">
        <v>0</v>
      </c>
      <c r="L2876" t="n">
        <v>0</v>
      </c>
      <c r="M2876" t="n">
        <v>0</v>
      </c>
      <c r="N2876" t="n">
        <v>0</v>
      </c>
      <c r="O2876" t="n">
        <v>0</v>
      </c>
      <c r="P2876" t="n">
        <v>0</v>
      </c>
      <c r="Q2876" t="n">
        <v>0</v>
      </c>
      <c r="R2876" s="2" t="inlineStr"/>
    </row>
    <row r="2877" ht="15" customHeight="1">
      <c r="A2877" t="inlineStr">
        <is>
          <t>A 20454-2024</t>
        </is>
      </c>
      <c r="B2877" s="1" t="n">
        <v>45435</v>
      </c>
      <c r="C2877" s="1" t="n">
        <v>46075</v>
      </c>
      <c r="D2877" t="inlineStr">
        <is>
          <t>VÄSTERBOTTENS LÄN</t>
        </is>
      </c>
      <c r="E2877" t="inlineStr">
        <is>
          <t>SKELLEFTEÅ</t>
        </is>
      </c>
      <c r="F2877" t="inlineStr">
        <is>
          <t>Holmen skog AB</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20497-2024</t>
        </is>
      </c>
      <c r="B2878" s="1" t="n">
        <v>45435</v>
      </c>
      <c r="C2878" s="1" t="n">
        <v>46075</v>
      </c>
      <c r="D2878" t="inlineStr">
        <is>
          <t>VÄSTERBOTTENS LÄN</t>
        </is>
      </c>
      <c r="E2878" t="inlineStr">
        <is>
          <t>SKELLEFTEÅ</t>
        </is>
      </c>
      <c r="G2878" t="n">
        <v>4.8</v>
      </c>
      <c r="H2878" t="n">
        <v>0</v>
      </c>
      <c r="I2878" t="n">
        <v>0</v>
      </c>
      <c r="J2878" t="n">
        <v>0</v>
      </c>
      <c r="K2878" t="n">
        <v>0</v>
      </c>
      <c r="L2878" t="n">
        <v>0</v>
      </c>
      <c r="M2878" t="n">
        <v>0</v>
      </c>
      <c r="N2878" t="n">
        <v>0</v>
      </c>
      <c r="O2878" t="n">
        <v>0</v>
      </c>
      <c r="P2878" t="n">
        <v>0</v>
      </c>
      <c r="Q2878" t="n">
        <v>0</v>
      </c>
      <c r="R2878" s="2" t="inlineStr"/>
    </row>
    <row r="2879" ht="15" customHeight="1">
      <c r="A2879" t="inlineStr">
        <is>
          <t>A 28722-2022</t>
        </is>
      </c>
      <c r="B2879" s="1" t="n">
        <v>44748</v>
      </c>
      <c r="C2879" s="1" t="n">
        <v>46075</v>
      </c>
      <c r="D2879" t="inlineStr">
        <is>
          <t>VÄSTERBOTTENS LÄN</t>
        </is>
      </c>
      <c r="E2879" t="inlineStr">
        <is>
          <t>VILHELMINA</t>
        </is>
      </c>
      <c r="F2879" t="inlineStr">
        <is>
          <t>SCA</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45036-2021</t>
        </is>
      </c>
      <c r="B2880" s="1" t="n">
        <v>44438</v>
      </c>
      <c r="C2880" s="1" t="n">
        <v>46075</v>
      </c>
      <c r="D2880" t="inlineStr">
        <is>
          <t>VÄSTERBOTTENS LÄN</t>
        </is>
      </c>
      <c r="E2880" t="inlineStr">
        <is>
          <t>SKELLEFTEÅ</t>
        </is>
      </c>
      <c r="G2880" t="n">
        <v>5.1</v>
      </c>
      <c r="H2880" t="n">
        <v>0</v>
      </c>
      <c r="I2880" t="n">
        <v>0</v>
      </c>
      <c r="J2880" t="n">
        <v>0</v>
      </c>
      <c r="K2880" t="n">
        <v>0</v>
      </c>
      <c r="L2880" t="n">
        <v>0</v>
      </c>
      <c r="M2880" t="n">
        <v>0</v>
      </c>
      <c r="N2880" t="n">
        <v>0</v>
      </c>
      <c r="O2880" t="n">
        <v>0</v>
      </c>
      <c r="P2880" t="n">
        <v>0</v>
      </c>
      <c r="Q2880" t="n">
        <v>0</v>
      </c>
      <c r="R2880" s="2" t="inlineStr"/>
    </row>
    <row r="2881" ht="15" customHeight="1">
      <c r="A2881" t="inlineStr">
        <is>
          <t>A 56717-2022</t>
        </is>
      </c>
      <c r="B2881" s="1" t="n">
        <v>44893.92833333334</v>
      </c>
      <c r="C2881" s="1" t="n">
        <v>46075</v>
      </c>
      <c r="D2881" t="inlineStr">
        <is>
          <t>VÄSTERBOTTENS LÄN</t>
        </is>
      </c>
      <c r="E2881" t="inlineStr">
        <is>
          <t>NORSJÖ</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15214-2025</t>
        </is>
      </c>
      <c r="B2882" s="1" t="n">
        <v>45744.57880787037</v>
      </c>
      <c r="C2882" s="1" t="n">
        <v>46075</v>
      </c>
      <c r="D2882" t="inlineStr">
        <is>
          <t>VÄSTERBOTTENS LÄN</t>
        </is>
      </c>
      <c r="E2882" t="inlineStr">
        <is>
          <t>BJURHOLM</t>
        </is>
      </c>
      <c r="G2882" t="n">
        <v>3.3</v>
      </c>
      <c r="H2882" t="n">
        <v>0</v>
      </c>
      <c r="I2882" t="n">
        <v>0</v>
      </c>
      <c r="J2882" t="n">
        <v>0</v>
      </c>
      <c r="K2882" t="n">
        <v>0</v>
      </c>
      <c r="L2882" t="n">
        <v>0</v>
      </c>
      <c r="M2882" t="n">
        <v>0</v>
      </c>
      <c r="N2882" t="n">
        <v>0</v>
      </c>
      <c r="O2882" t="n">
        <v>0</v>
      </c>
      <c r="P2882" t="n">
        <v>0</v>
      </c>
      <c r="Q2882" t="n">
        <v>0</v>
      </c>
      <c r="R2882" s="2" t="inlineStr"/>
    </row>
    <row r="2883" ht="15" customHeight="1">
      <c r="A2883" t="inlineStr">
        <is>
          <t>A 44274-2023</t>
        </is>
      </c>
      <c r="B2883" s="1" t="n">
        <v>45188.61318287037</v>
      </c>
      <c r="C2883" s="1" t="n">
        <v>46075</v>
      </c>
      <c r="D2883" t="inlineStr">
        <is>
          <t>VÄSTERBOTTENS LÄN</t>
        </is>
      </c>
      <c r="E2883" t="inlineStr">
        <is>
          <t>BJURHOLM</t>
        </is>
      </c>
      <c r="F2883" t="inlineStr">
        <is>
          <t>Holmen skog AB</t>
        </is>
      </c>
      <c r="G2883" t="n">
        <v>6.6</v>
      </c>
      <c r="H2883" t="n">
        <v>0</v>
      </c>
      <c r="I2883" t="n">
        <v>0</v>
      </c>
      <c r="J2883" t="n">
        <v>0</v>
      </c>
      <c r="K2883" t="n">
        <v>0</v>
      </c>
      <c r="L2883" t="n">
        <v>0</v>
      </c>
      <c r="M2883" t="n">
        <v>0</v>
      </c>
      <c r="N2883" t="n">
        <v>0</v>
      </c>
      <c r="O2883" t="n">
        <v>0</v>
      </c>
      <c r="P2883" t="n">
        <v>0</v>
      </c>
      <c r="Q2883" t="n">
        <v>0</v>
      </c>
      <c r="R2883" s="2" t="inlineStr"/>
    </row>
    <row r="2884" ht="15" customHeight="1">
      <c r="A2884" t="inlineStr">
        <is>
          <t>A 43354-2024</t>
        </is>
      </c>
      <c r="B2884" s="1" t="n">
        <v>45568.56800925926</v>
      </c>
      <c r="C2884" s="1" t="n">
        <v>46075</v>
      </c>
      <c r="D2884" t="inlineStr">
        <is>
          <t>VÄSTERBOTTENS LÄN</t>
        </is>
      </c>
      <c r="E2884" t="inlineStr">
        <is>
          <t>ROBERTSFORS</t>
        </is>
      </c>
      <c r="G2884" t="n">
        <v>10</v>
      </c>
      <c r="H2884" t="n">
        <v>0</v>
      </c>
      <c r="I2884" t="n">
        <v>0</v>
      </c>
      <c r="J2884" t="n">
        <v>0</v>
      </c>
      <c r="K2884" t="n">
        <v>0</v>
      </c>
      <c r="L2884" t="n">
        <v>0</v>
      </c>
      <c r="M2884" t="n">
        <v>0</v>
      </c>
      <c r="N2884" t="n">
        <v>0</v>
      </c>
      <c r="O2884" t="n">
        <v>0</v>
      </c>
      <c r="P2884" t="n">
        <v>0</v>
      </c>
      <c r="Q2884" t="n">
        <v>0</v>
      </c>
      <c r="R2884" s="2" t="inlineStr"/>
    </row>
    <row r="2885" ht="15" customHeight="1">
      <c r="A2885" t="inlineStr">
        <is>
          <t>A 19724-2023</t>
        </is>
      </c>
      <c r="B2885" s="1" t="n">
        <v>45051</v>
      </c>
      <c r="C2885" s="1" t="n">
        <v>46075</v>
      </c>
      <c r="D2885" t="inlineStr">
        <is>
          <t>VÄSTERBOTTENS LÄN</t>
        </is>
      </c>
      <c r="E2885" t="inlineStr">
        <is>
          <t>ROBERTSFORS</t>
        </is>
      </c>
      <c r="G2885" t="n">
        <v>6.1</v>
      </c>
      <c r="H2885" t="n">
        <v>0</v>
      </c>
      <c r="I2885" t="n">
        <v>0</v>
      </c>
      <c r="J2885" t="n">
        <v>0</v>
      </c>
      <c r="K2885" t="n">
        <v>0</v>
      </c>
      <c r="L2885" t="n">
        <v>0</v>
      </c>
      <c r="M2885" t="n">
        <v>0</v>
      </c>
      <c r="N2885" t="n">
        <v>0</v>
      </c>
      <c r="O2885" t="n">
        <v>0</v>
      </c>
      <c r="P2885" t="n">
        <v>0</v>
      </c>
      <c r="Q2885" t="n">
        <v>0</v>
      </c>
      <c r="R2885" s="2" t="inlineStr"/>
    </row>
    <row r="2886" ht="15" customHeight="1">
      <c r="A2886" t="inlineStr">
        <is>
          <t>A 66463-2021</t>
        </is>
      </c>
      <c r="B2886" s="1" t="n">
        <v>44518</v>
      </c>
      <c r="C2886" s="1" t="n">
        <v>46075</v>
      </c>
      <c r="D2886" t="inlineStr">
        <is>
          <t>VÄSTERBOTTENS LÄN</t>
        </is>
      </c>
      <c r="E2886" t="inlineStr">
        <is>
          <t>SKELLEFTEÅ</t>
        </is>
      </c>
      <c r="G2886" t="n">
        <v>3.9</v>
      </c>
      <c r="H2886" t="n">
        <v>0</v>
      </c>
      <c r="I2886" t="n">
        <v>0</v>
      </c>
      <c r="J2886" t="n">
        <v>0</v>
      </c>
      <c r="K2886" t="n">
        <v>0</v>
      </c>
      <c r="L2886" t="n">
        <v>0</v>
      </c>
      <c r="M2886" t="n">
        <v>0</v>
      </c>
      <c r="N2886" t="n">
        <v>0</v>
      </c>
      <c r="O2886" t="n">
        <v>0</v>
      </c>
      <c r="P2886" t="n">
        <v>0</v>
      </c>
      <c r="Q2886" t="n">
        <v>0</v>
      </c>
      <c r="R2886" s="2" t="inlineStr"/>
    </row>
    <row r="2887" ht="15" customHeight="1">
      <c r="A2887" t="inlineStr">
        <is>
          <t>A 34107-2023</t>
        </is>
      </c>
      <c r="B2887" s="1" t="n">
        <v>45125</v>
      </c>
      <c r="C2887" s="1" t="n">
        <v>46075</v>
      </c>
      <c r="D2887" t="inlineStr">
        <is>
          <t>VÄSTERBOTTENS LÄN</t>
        </is>
      </c>
      <c r="E2887" t="inlineStr">
        <is>
          <t>DOROTEA</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18792-2024</t>
        </is>
      </c>
      <c r="B2888" s="1" t="n">
        <v>45426</v>
      </c>
      <c r="C2888" s="1" t="n">
        <v>46075</v>
      </c>
      <c r="D2888" t="inlineStr">
        <is>
          <t>VÄSTERBOTTENS LÄN</t>
        </is>
      </c>
      <c r="E2888" t="inlineStr">
        <is>
          <t>ÅSELE</t>
        </is>
      </c>
      <c r="G2888" t="n">
        <v>7.2</v>
      </c>
      <c r="H2888" t="n">
        <v>0</v>
      </c>
      <c r="I2888" t="n">
        <v>0</v>
      </c>
      <c r="J2888" t="n">
        <v>0</v>
      </c>
      <c r="K2888" t="n">
        <v>0</v>
      </c>
      <c r="L2888" t="n">
        <v>0</v>
      </c>
      <c r="M2888" t="n">
        <v>0</v>
      </c>
      <c r="N2888" t="n">
        <v>0</v>
      </c>
      <c r="O2888" t="n">
        <v>0</v>
      </c>
      <c r="P2888" t="n">
        <v>0</v>
      </c>
      <c r="Q2888" t="n">
        <v>0</v>
      </c>
      <c r="R2888" s="2" t="inlineStr"/>
    </row>
    <row r="2889" ht="15" customHeight="1">
      <c r="A2889" t="inlineStr">
        <is>
          <t>A 4926-2025</t>
        </is>
      </c>
      <c r="B2889" s="1" t="n">
        <v>45688.68453703704</v>
      </c>
      <c r="C2889" s="1" t="n">
        <v>46075</v>
      </c>
      <c r="D2889" t="inlineStr">
        <is>
          <t>VÄSTERBOTTENS LÄN</t>
        </is>
      </c>
      <c r="E2889" t="inlineStr">
        <is>
          <t>MALÅ</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43875-2023</t>
        </is>
      </c>
      <c r="B2890" s="1" t="n">
        <v>45187.64328703703</v>
      </c>
      <c r="C2890" s="1" t="n">
        <v>46075</v>
      </c>
      <c r="D2890" t="inlineStr">
        <is>
          <t>VÄSTERBOTTENS LÄN</t>
        </is>
      </c>
      <c r="E2890" t="inlineStr">
        <is>
          <t>LYCKSELE</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72289-2021</t>
        </is>
      </c>
      <c r="B2891" s="1" t="n">
        <v>44543</v>
      </c>
      <c r="C2891" s="1" t="n">
        <v>46075</v>
      </c>
      <c r="D2891" t="inlineStr">
        <is>
          <t>VÄSTERBOTTENS LÄN</t>
        </is>
      </c>
      <c r="E2891" t="inlineStr">
        <is>
          <t>STORUMAN</t>
        </is>
      </c>
      <c r="G2891" t="n">
        <v>19.7</v>
      </c>
      <c r="H2891" t="n">
        <v>0</v>
      </c>
      <c r="I2891" t="n">
        <v>0</v>
      </c>
      <c r="J2891" t="n">
        <v>0</v>
      </c>
      <c r="K2891" t="n">
        <v>0</v>
      </c>
      <c r="L2891" t="n">
        <v>0</v>
      </c>
      <c r="M2891" t="n">
        <v>0</v>
      </c>
      <c r="N2891" t="n">
        <v>0</v>
      </c>
      <c r="O2891" t="n">
        <v>0</v>
      </c>
      <c r="P2891" t="n">
        <v>0</v>
      </c>
      <c r="Q2891" t="n">
        <v>0</v>
      </c>
      <c r="R2891" s="2" t="inlineStr"/>
    </row>
    <row r="2892" ht="15" customHeight="1">
      <c r="A2892" t="inlineStr">
        <is>
          <t>A 28688-2023</t>
        </is>
      </c>
      <c r="B2892" s="1" t="n">
        <v>45103</v>
      </c>
      <c r="C2892" s="1" t="n">
        <v>46075</v>
      </c>
      <c r="D2892" t="inlineStr">
        <is>
          <t>VÄSTERBOTTENS LÄN</t>
        </is>
      </c>
      <c r="E2892" t="inlineStr">
        <is>
          <t>SORSELE</t>
        </is>
      </c>
      <c r="F2892" t="inlineStr">
        <is>
          <t>Sveaskog</t>
        </is>
      </c>
      <c r="G2892" t="n">
        <v>0.3</v>
      </c>
      <c r="H2892" t="n">
        <v>0</v>
      </c>
      <c r="I2892" t="n">
        <v>0</v>
      </c>
      <c r="J2892" t="n">
        <v>0</v>
      </c>
      <c r="K2892" t="n">
        <v>0</v>
      </c>
      <c r="L2892" t="n">
        <v>0</v>
      </c>
      <c r="M2892" t="n">
        <v>0</v>
      </c>
      <c r="N2892" t="n">
        <v>0</v>
      </c>
      <c r="O2892" t="n">
        <v>0</v>
      </c>
      <c r="P2892" t="n">
        <v>0</v>
      </c>
      <c r="Q2892" t="n">
        <v>0</v>
      </c>
      <c r="R2892" s="2" t="inlineStr"/>
    </row>
    <row r="2893" ht="15" customHeight="1">
      <c r="A2893" t="inlineStr">
        <is>
          <t>A 57376-2022</t>
        </is>
      </c>
      <c r="B2893" s="1" t="n">
        <v>44889</v>
      </c>
      <c r="C2893" s="1" t="n">
        <v>46075</v>
      </c>
      <c r="D2893" t="inlineStr">
        <is>
          <t>VÄSTERBOTTENS LÄN</t>
        </is>
      </c>
      <c r="E2893" t="inlineStr">
        <is>
          <t>DOROTEA</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24899-2024</t>
        </is>
      </c>
      <c r="B2894" s="1" t="n">
        <v>45461.58384259259</v>
      </c>
      <c r="C2894" s="1" t="n">
        <v>46075</v>
      </c>
      <c r="D2894" t="inlineStr">
        <is>
          <t>VÄSTERBOTTENS LÄN</t>
        </is>
      </c>
      <c r="E2894" t="inlineStr">
        <is>
          <t>ROBERTSFORS</t>
        </is>
      </c>
      <c r="G2894" t="n">
        <v>14.3</v>
      </c>
      <c r="H2894" t="n">
        <v>0</v>
      </c>
      <c r="I2894" t="n">
        <v>0</v>
      </c>
      <c r="J2894" t="n">
        <v>0</v>
      </c>
      <c r="K2894" t="n">
        <v>0</v>
      </c>
      <c r="L2894" t="n">
        <v>0</v>
      </c>
      <c r="M2894" t="n">
        <v>0</v>
      </c>
      <c r="N2894" t="n">
        <v>0</v>
      </c>
      <c r="O2894" t="n">
        <v>0</v>
      </c>
      <c r="P2894" t="n">
        <v>0</v>
      </c>
      <c r="Q2894" t="n">
        <v>0</v>
      </c>
      <c r="R2894" s="2" t="inlineStr"/>
    </row>
    <row r="2895" ht="15" customHeight="1">
      <c r="A2895" t="inlineStr">
        <is>
          <t>A 11875-2024</t>
        </is>
      </c>
      <c r="B2895" s="1" t="n">
        <v>45376</v>
      </c>
      <c r="C2895" s="1" t="n">
        <v>46075</v>
      </c>
      <c r="D2895" t="inlineStr">
        <is>
          <t>VÄSTERBOTTENS LÄN</t>
        </is>
      </c>
      <c r="E2895" t="inlineStr">
        <is>
          <t>SKELLEFTEÅ</t>
        </is>
      </c>
      <c r="G2895" t="n">
        <v>4.4</v>
      </c>
      <c r="H2895" t="n">
        <v>0</v>
      </c>
      <c r="I2895" t="n">
        <v>0</v>
      </c>
      <c r="J2895" t="n">
        <v>0</v>
      </c>
      <c r="K2895" t="n">
        <v>0</v>
      </c>
      <c r="L2895" t="n">
        <v>0</v>
      </c>
      <c r="M2895" t="n">
        <v>0</v>
      </c>
      <c r="N2895" t="n">
        <v>0</v>
      </c>
      <c r="O2895" t="n">
        <v>0</v>
      </c>
      <c r="P2895" t="n">
        <v>0</v>
      </c>
      <c r="Q2895" t="n">
        <v>0</v>
      </c>
      <c r="R2895" s="2" t="inlineStr"/>
    </row>
    <row r="2896" ht="15" customHeight="1">
      <c r="A2896" t="inlineStr">
        <is>
          <t>A 35354-2023</t>
        </is>
      </c>
      <c r="B2896" s="1" t="n">
        <v>45146</v>
      </c>
      <c r="C2896" s="1" t="n">
        <v>46075</v>
      </c>
      <c r="D2896" t="inlineStr">
        <is>
          <t>VÄSTERBOTTENS LÄN</t>
        </is>
      </c>
      <c r="E2896" t="inlineStr">
        <is>
          <t>VÄNNÄS</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19931-2024</t>
        </is>
      </c>
      <c r="B2897" s="1" t="n">
        <v>45433.59936342593</v>
      </c>
      <c r="C2897" s="1" t="n">
        <v>46075</v>
      </c>
      <c r="D2897" t="inlineStr">
        <is>
          <t>VÄSTERBOTTENS LÄN</t>
        </is>
      </c>
      <c r="E2897" t="inlineStr">
        <is>
          <t>VINDELN</t>
        </is>
      </c>
      <c r="F2897" t="inlineStr">
        <is>
          <t>Holmen skog AB</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53092-2022</t>
        </is>
      </c>
      <c r="B2898" s="1" t="n">
        <v>44876.4028125</v>
      </c>
      <c r="C2898" s="1" t="n">
        <v>46075</v>
      </c>
      <c r="D2898" t="inlineStr">
        <is>
          <t>VÄSTERBOTTENS LÄN</t>
        </is>
      </c>
      <c r="E2898" t="inlineStr">
        <is>
          <t>SKELLEFTEÅ</t>
        </is>
      </c>
      <c r="G2898" t="n">
        <v>3.9</v>
      </c>
      <c r="H2898" t="n">
        <v>0</v>
      </c>
      <c r="I2898" t="n">
        <v>0</v>
      </c>
      <c r="J2898" t="n">
        <v>0</v>
      </c>
      <c r="K2898" t="n">
        <v>0</v>
      </c>
      <c r="L2898" t="n">
        <v>0</v>
      </c>
      <c r="M2898" t="n">
        <v>0</v>
      </c>
      <c r="N2898" t="n">
        <v>0</v>
      </c>
      <c r="O2898" t="n">
        <v>0</v>
      </c>
      <c r="P2898" t="n">
        <v>0</v>
      </c>
      <c r="Q2898" t="n">
        <v>0</v>
      </c>
      <c r="R2898" s="2" t="inlineStr"/>
    </row>
    <row r="2899" ht="15" customHeight="1">
      <c r="A2899" t="inlineStr">
        <is>
          <t>A 41226-2024</t>
        </is>
      </c>
      <c r="B2899" s="1" t="n">
        <v>45559.55829861111</v>
      </c>
      <c r="C2899" s="1" t="n">
        <v>46075</v>
      </c>
      <c r="D2899" t="inlineStr">
        <is>
          <t>VÄSTERBOTTENS LÄN</t>
        </is>
      </c>
      <c r="E2899" t="inlineStr">
        <is>
          <t>SKELLEFTEÅ</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38968-2023</t>
        </is>
      </c>
      <c r="B2900" s="1" t="n">
        <v>45163.63506944444</v>
      </c>
      <c r="C2900" s="1" t="n">
        <v>46075</v>
      </c>
      <c r="D2900" t="inlineStr">
        <is>
          <t>VÄSTERBOTTENS LÄN</t>
        </is>
      </c>
      <c r="E2900" t="inlineStr">
        <is>
          <t>VINDELN</t>
        </is>
      </c>
      <c r="F2900" t="inlineStr">
        <is>
          <t>Holmen skog AB</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29543-2023</t>
        </is>
      </c>
      <c r="B2901" s="1" t="n">
        <v>45106.64143518519</v>
      </c>
      <c r="C2901" s="1" t="n">
        <v>46075</v>
      </c>
      <c r="D2901" t="inlineStr">
        <is>
          <t>VÄSTERBOTTENS LÄN</t>
        </is>
      </c>
      <c r="E2901" t="inlineStr">
        <is>
          <t>LYCKSELE</t>
        </is>
      </c>
      <c r="G2901" t="n">
        <v>4</v>
      </c>
      <c r="H2901" t="n">
        <v>0</v>
      </c>
      <c r="I2901" t="n">
        <v>0</v>
      </c>
      <c r="J2901" t="n">
        <v>0</v>
      </c>
      <c r="K2901" t="n">
        <v>0</v>
      </c>
      <c r="L2901" t="n">
        <v>0</v>
      </c>
      <c r="M2901" t="n">
        <v>0</v>
      </c>
      <c r="N2901" t="n">
        <v>0</v>
      </c>
      <c r="O2901" t="n">
        <v>0</v>
      </c>
      <c r="P2901" t="n">
        <v>0</v>
      </c>
      <c r="Q2901" t="n">
        <v>0</v>
      </c>
      <c r="R2901" s="2" t="inlineStr"/>
    </row>
    <row r="2902" ht="15" customHeight="1">
      <c r="A2902" t="inlineStr">
        <is>
          <t>A 15327-2023</t>
        </is>
      </c>
      <c r="B2902" s="1" t="n">
        <v>45016</v>
      </c>
      <c r="C2902" s="1" t="n">
        <v>46075</v>
      </c>
      <c r="D2902" t="inlineStr">
        <is>
          <t>VÄSTERBOTTENS LÄN</t>
        </is>
      </c>
      <c r="E2902" t="inlineStr">
        <is>
          <t>SKELLEFTEÅ</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38219-2024</t>
        </is>
      </c>
      <c r="B2903" s="1" t="n">
        <v>45545.53160879629</v>
      </c>
      <c r="C2903" s="1" t="n">
        <v>46075</v>
      </c>
      <c r="D2903" t="inlineStr">
        <is>
          <t>VÄSTERBOTTENS LÄN</t>
        </is>
      </c>
      <c r="E2903" t="inlineStr">
        <is>
          <t>SORSELE</t>
        </is>
      </c>
      <c r="G2903" t="n">
        <v>6.1</v>
      </c>
      <c r="H2903" t="n">
        <v>0</v>
      </c>
      <c r="I2903" t="n">
        <v>0</v>
      </c>
      <c r="J2903" t="n">
        <v>0</v>
      </c>
      <c r="K2903" t="n">
        <v>0</v>
      </c>
      <c r="L2903" t="n">
        <v>0</v>
      </c>
      <c r="M2903" t="n">
        <v>0</v>
      </c>
      <c r="N2903" t="n">
        <v>0</v>
      </c>
      <c r="O2903" t="n">
        <v>0</v>
      </c>
      <c r="P2903" t="n">
        <v>0</v>
      </c>
      <c r="Q2903" t="n">
        <v>0</v>
      </c>
      <c r="R2903" s="2" t="inlineStr"/>
    </row>
    <row r="2904" ht="15" customHeight="1">
      <c r="A2904" t="inlineStr">
        <is>
          <t>A 29575-2023</t>
        </is>
      </c>
      <c r="B2904" s="1" t="n">
        <v>45106</v>
      </c>
      <c r="C2904" s="1" t="n">
        <v>46075</v>
      </c>
      <c r="D2904" t="inlineStr">
        <is>
          <t>VÄSTERBOTTENS LÄN</t>
        </is>
      </c>
      <c r="E2904" t="inlineStr">
        <is>
          <t>STORUMAN</t>
        </is>
      </c>
      <c r="F2904" t="inlineStr">
        <is>
          <t>Sveaskog</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47-2025</t>
        </is>
      </c>
      <c r="B2905" s="1" t="n">
        <v>45659</v>
      </c>
      <c r="C2905" s="1" t="n">
        <v>46075</v>
      </c>
      <c r="D2905" t="inlineStr">
        <is>
          <t>VÄSTERBOTTENS LÄN</t>
        </is>
      </c>
      <c r="E2905" t="inlineStr">
        <is>
          <t>VÄNNÄS</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67-2025</t>
        </is>
      </c>
      <c r="B2906" s="1" t="n">
        <v>45659</v>
      </c>
      <c r="C2906" s="1" t="n">
        <v>46075</v>
      </c>
      <c r="D2906" t="inlineStr">
        <is>
          <t>VÄSTERBOTTENS LÄN</t>
        </is>
      </c>
      <c r="E2906" t="inlineStr">
        <is>
          <t>DOROTEA</t>
        </is>
      </c>
      <c r="F2906" t="inlineStr">
        <is>
          <t>SCA</t>
        </is>
      </c>
      <c r="G2906" t="n">
        <v>11.5</v>
      </c>
      <c r="H2906" t="n">
        <v>0</v>
      </c>
      <c r="I2906" t="n">
        <v>0</v>
      </c>
      <c r="J2906" t="n">
        <v>0</v>
      </c>
      <c r="K2906" t="n">
        <v>0</v>
      </c>
      <c r="L2906" t="n">
        <v>0</v>
      </c>
      <c r="M2906" t="n">
        <v>0</v>
      </c>
      <c r="N2906" t="n">
        <v>0</v>
      </c>
      <c r="O2906" t="n">
        <v>0</v>
      </c>
      <c r="P2906" t="n">
        <v>0</v>
      </c>
      <c r="Q2906" t="n">
        <v>0</v>
      </c>
      <c r="R2906" s="2" t="inlineStr"/>
    </row>
    <row r="2907" ht="15" customHeight="1">
      <c r="A2907" t="inlineStr">
        <is>
          <t>A 16021-2025</t>
        </is>
      </c>
      <c r="B2907" s="1" t="n">
        <v>45749</v>
      </c>
      <c r="C2907" s="1" t="n">
        <v>46075</v>
      </c>
      <c r="D2907" t="inlineStr">
        <is>
          <t>VÄSTERBOTTENS LÄN</t>
        </is>
      </c>
      <c r="E2907" t="inlineStr">
        <is>
          <t>UMEÅ</t>
        </is>
      </c>
      <c r="G2907" t="n">
        <v>4.5</v>
      </c>
      <c r="H2907" t="n">
        <v>0</v>
      </c>
      <c r="I2907" t="n">
        <v>0</v>
      </c>
      <c r="J2907" t="n">
        <v>0</v>
      </c>
      <c r="K2907" t="n">
        <v>0</v>
      </c>
      <c r="L2907" t="n">
        <v>0</v>
      </c>
      <c r="M2907" t="n">
        <v>0</v>
      </c>
      <c r="N2907" t="n">
        <v>0</v>
      </c>
      <c r="O2907" t="n">
        <v>0</v>
      </c>
      <c r="P2907" t="n">
        <v>0</v>
      </c>
      <c r="Q2907" t="n">
        <v>0</v>
      </c>
      <c r="R2907" s="2" t="inlineStr"/>
    </row>
    <row r="2908" ht="15" customHeight="1">
      <c r="A2908" t="inlineStr">
        <is>
          <t>A 16036-2025</t>
        </is>
      </c>
      <c r="B2908" s="1" t="n">
        <v>45748</v>
      </c>
      <c r="C2908" s="1" t="n">
        <v>46075</v>
      </c>
      <c r="D2908" t="inlineStr">
        <is>
          <t>VÄSTERBOTTENS LÄN</t>
        </is>
      </c>
      <c r="E2908" t="inlineStr">
        <is>
          <t>NORSJÖ</t>
        </is>
      </c>
      <c r="G2908" t="n">
        <v>6.7</v>
      </c>
      <c r="H2908" t="n">
        <v>0</v>
      </c>
      <c r="I2908" t="n">
        <v>0</v>
      </c>
      <c r="J2908" t="n">
        <v>0</v>
      </c>
      <c r="K2908" t="n">
        <v>0</v>
      </c>
      <c r="L2908" t="n">
        <v>0</v>
      </c>
      <c r="M2908" t="n">
        <v>0</v>
      </c>
      <c r="N2908" t="n">
        <v>0</v>
      </c>
      <c r="O2908" t="n">
        <v>0</v>
      </c>
      <c r="P2908" t="n">
        <v>0</v>
      </c>
      <c r="Q2908" t="n">
        <v>0</v>
      </c>
      <c r="R2908" s="2" t="inlineStr"/>
    </row>
    <row r="2909" ht="15" customHeight="1">
      <c r="A2909" t="inlineStr">
        <is>
          <t>A 33841-2021</t>
        </is>
      </c>
      <c r="B2909" s="1" t="n">
        <v>44378</v>
      </c>
      <c r="C2909" s="1" t="n">
        <v>46075</v>
      </c>
      <c r="D2909" t="inlineStr">
        <is>
          <t>VÄSTERBOTTENS LÄN</t>
        </is>
      </c>
      <c r="E2909" t="inlineStr">
        <is>
          <t>SKELLEFTEÅ</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64006-2023</t>
        </is>
      </c>
      <c r="B2910" s="1" t="n">
        <v>45278</v>
      </c>
      <c r="C2910" s="1" t="n">
        <v>46075</v>
      </c>
      <c r="D2910" t="inlineStr">
        <is>
          <t>VÄSTERBOTTENS LÄN</t>
        </is>
      </c>
      <c r="E2910" t="inlineStr">
        <is>
          <t>SKELLEFTEÅ</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28550-2023</t>
        </is>
      </c>
      <c r="B2911" s="1" t="n">
        <v>45103.50481481481</v>
      </c>
      <c r="C2911" s="1" t="n">
        <v>46075</v>
      </c>
      <c r="D2911" t="inlineStr">
        <is>
          <t>VÄSTERBOTTENS LÄN</t>
        </is>
      </c>
      <c r="E2911" t="inlineStr">
        <is>
          <t>LYCKSELE</t>
        </is>
      </c>
      <c r="F2911" t="inlineStr">
        <is>
          <t>Sveaskog</t>
        </is>
      </c>
      <c r="G2911" t="n">
        <v>8.300000000000001</v>
      </c>
      <c r="H2911" t="n">
        <v>0</v>
      </c>
      <c r="I2911" t="n">
        <v>0</v>
      </c>
      <c r="J2911" t="n">
        <v>0</v>
      </c>
      <c r="K2911" t="n">
        <v>0</v>
      </c>
      <c r="L2911" t="n">
        <v>0</v>
      </c>
      <c r="M2911" t="n">
        <v>0</v>
      </c>
      <c r="N2911" t="n">
        <v>0</v>
      </c>
      <c r="O2911" t="n">
        <v>0</v>
      </c>
      <c r="P2911" t="n">
        <v>0</v>
      </c>
      <c r="Q2911" t="n">
        <v>0</v>
      </c>
      <c r="R2911" s="2" t="inlineStr"/>
    </row>
    <row r="2912" ht="15" customHeight="1">
      <c r="A2912" t="inlineStr">
        <is>
          <t>A 57440-2023</t>
        </is>
      </c>
      <c r="B2912" s="1" t="n">
        <v>45240</v>
      </c>
      <c r="C2912" s="1" t="n">
        <v>46075</v>
      </c>
      <c r="D2912" t="inlineStr">
        <is>
          <t>VÄSTERBOTTENS LÄN</t>
        </is>
      </c>
      <c r="E2912" t="inlineStr">
        <is>
          <t>SKELLEFTEÅ</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31486-2024</t>
        </is>
      </c>
      <c r="B2913" s="1" t="n">
        <v>45505.95335648148</v>
      </c>
      <c r="C2913" s="1" t="n">
        <v>46075</v>
      </c>
      <c r="D2913" t="inlineStr">
        <is>
          <t>VÄSTERBOTTENS LÄN</t>
        </is>
      </c>
      <c r="E2913" t="inlineStr">
        <is>
          <t>NORDMALING</t>
        </is>
      </c>
      <c r="F2913" t="inlineStr">
        <is>
          <t>SCA</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59249-2022</t>
        </is>
      </c>
      <c r="B2914" s="1" t="n">
        <v>44904.57640046296</v>
      </c>
      <c r="C2914" s="1" t="n">
        <v>46075</v>
      </c>
      <c r="D2914" t="inlineStr">
        <is>
          <t>VÄSTERBOTTENS LÄN</t>
        </is>
      </c>
      <c r="E2914" t="inlineStr">
        <is>
          <t>STORUMAN</t>
        </is>
      </c>
      <c r="F2914" t="inlineStr">
        <is>
          <t>Sveaskog</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59256-2022</t>
        </is>
      </c>
      <c r="B2915" s="1" t="n">
        <v>44904.57989583333</v>
      </c>
      <c r="C2915" s="1" t="n">
        <v>46075</v>
      </c>
      <c r="D2915" t="inlineStr">
        <is>
          <t>VÄSTERBOTTENS LÄN</t>
        </is>
      </c>
      <c r="E2915" t="inlineStr">
        <is>
          <t>ROBERTSFORS</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34702-2023</t>
        </is>
      </c>
      <c r="B2916" s="1" t="n">
        <v>45140</v>
      </c>
      <c r="C2916" s="1" t="n">
        <v>46075</v>
      </c>
      <c r="D2916" t="inlineStr">
        <is>
          <t>VÄSTERBOTTENS LÄN</t>
        </is>
      </c>
      <c r="E2916" t="inlineStr">
        <is>
          <t>DOROTEA</t>
        </is>
      </c>
      <c r="F2916" t="inlineStr">
        <is>
          <t>SCA</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55327-2023</t>
        </is>
      </c>
      <c r="B2917" s="1" t="n">
        <v>45237.97375</v>
      </c>
      <c r="C2917" s="1" t="n">
        <v>46075</v>
      </c>
      <c r="D2917" t="inlineStr">
        <is>
          <t>VÄSTERBOTTENS LÄN</t>
        </is>
      </c>
      <c r="E2917" t="inlineStr">
        <is>
          <t>VILHELMINA</t>
        </is>
      </c>
      <c r="F2917" t="inlineStr">
        <is>
          <t>SCA</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56401-2021</t>
        </is>
      </c>
      <c r="B2918" s="1" t="n">
        <v>44477</v>
      </c>
      <c r="C2918" s="1" t="n">
        <v>46075</v>
      </c>
      <c r="D2918" t="inlineStr">
        <is>
          <t>VÄSTERBOTTENS LÄN</t>
        </is>
      </c>
      <c r="E2918" t="inlineStr">
        <is>
          <t>LYCKSELE</t>
        </is>
      </c>
      <c r="G2918" t="n">
        <v>11.5</v>
      </c>
      <c r="H2918" t="n">
        <v>0</v>
      </c>
      <c r="I2918" t="n">
        <v>0</v>
      </c>
      <c r="J2918" t="n">
        <v>0</v>
      </c>
      <c r="K2918" t="n">
        <v>0</v>
      </c>
      <c r="L2918" t="n">
        <v>0</v>
      </c>
      <c r="M2918" t="n">
        <v>0</v>
      </c>
      <c r="N2918" t="n">
        <v>0</v>
      </c>
      <c r="O2918" t="n">
        <v>0</v>
      </c>
      <c r="P2918" t="n">
        <v>0</v>
      </c>
      <c r="Q2918" t="n">
        <v>0</v>
      </c>
      <c r="R2918" s="2" t="inlineStr"/>
    </row>
    <row r="2919" ht="15" customHeight="1">
      <c r="A2919" t="inlineStr">
        <is>
          <t>A 34638-2023</t>
        </is>
      </c>
      <c r="B2919" s="1" t="n">
        <v>45140.65803240741</v>
      </c>
      <c r="C2919" s="1" t="n">
        <v>46075</v>
      </c>
      <c r="D2919" t="inlineStr">
        <is>
          <t>VÄSTERBOTTENS LÄN</t>
        </is>
      </c>
      <c r="E2919" t="inlineStr">
        <is>
          <t>SKELLEFTEÅ</t>
        </is>
      </c>
      <c r="F2919" t="inlineStr">
        <is>
          <t>Holmen skog AB</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34669-2023</t>
        </is>
      </c>
      <c r="B2920" s="1" t="n">
        <v>45140.83063657407</v>
      </c>
      <c r="C2920" s="1" t="n">
        <v>46075</v>
      </c>
      <c r="D2920" t="inlineStr">
        <is>
          <t>VÄSTERBOTTENS LÄN</t>
        </is>
      </c>
      <c r="E2920" t="inlineStr">
        <is>
          <t>SKELLEFTEÅ</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932-2022</t>
        </is>
      </c>
      <c r="B2921" s="1" t="n">
        <v>44571</v>
      </c>
      <c r="C2921" s="1" t="n">
        <v>46075</v>
      </c>
      <c r="D2921" t="inlineStr">
        <is>
          <t>VÄSTERBOTTENS LÄN</t>
        </is>
      </c>
      <c r="E2921" t="inlineStr">
        <is>
          <t>LYCKSELE</t>
        </is>
      </c>
      <c r="F2921" t="inlineStr">
        <is>
          <t>Sveaskog</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50840-2024</t>
        </is>
      </c>
      <c r="B2922" s="1" t="n">
        <v>45602.6030787037</v>
      </c>
      <c r="C2922" s="1" t="n">
        <v>46075</v>
      </c>
      <c r="D2922" t="inlineStr">
        <is>
          <t>VÄSTERBOTTENS LÄN</t>
        </is>
      </c>
      <c r="E2922" t="inlineStr">
        <is>
          <t>VINDELN</t>
        </is>
      </c>
      <c r="G2922" t="n">
        <v>5</v>
      </c>
      <c r="H2922" t="n">
        <v>0</v>
      </c>
      <c r="I2922" t="n">
        <v>0</v>
      </c>
      <c r="J2922" t="n">
        <v>0</v>
      </c>
      <c r="K2922" t="n">
        <v>0</v>
      </c>
      <c r="L2922" t="n">
        <v>0</v>
      </c>
      <c r="M2922" t="n">
        <v>0</v>
      </c>
      <c r="N2922" t="n">
        <v>0</v>
      </c>
      <c r="O2922" t="n">
        <v>0</v>
      </c>
      <c r="P2922" t="n">
        <v>0</v>
      </c>
      <c r="Q2922" t="n">
        <v>0</v>
      </c>
      <c r="R2922" s="2" t="inlineStr"/>
    </row>
    <row r="2923" ht="15" customHeight="1">
      <c r="A2923" t="inlineStr">
        <is>
          <t>A 37599-2024</t>
        </is>
      </c>
      <c r="B2923" s="1" t="n">
        <v>45541</v>
      </c>
      <c r="C2923" s="1" t="n">
        <v>46075</v>
      </c>
      <c r="D2923" t="inlineStr">
        <is>
          <t>VÄSTERBOTTENS LÄN</t>
        </is>
      </c>
      <c r="E2923" t="inlineStr">
        <is>
          <t>LYCKSELE</t>
        </is>
      </c>
      <c r="F2923" t="inlineStr">
        <is>
          <t>Holmen skog AB</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50862-2024</t>
        </is>
      </c>
      <c r="B2924" s="1" t="n">
        <v>45602.6346412037</v>
      </c>
      <c r="C2924" s="1" t="n">
        <v>46075</v>
      </c>
      <c r="D2924" t="inlineStr">
        <is>
          <t>VÄSTERBOTTENS LÄN</t>
        </is>
      </c>
      <c r="E2924" t="inlineStr">
        <is>
          <t>SKELLEFTEÅ</t>
        </is>
      </c>
      <c r="F2924" t="inlineStr">
        <is>
          <t>Holmen skog AB</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50368-2023</t>
        </is>
      </c>
      <c r="B2925" s="1" t="n">
        <v>45209</v>
      </c>
      <c r="C2925" s="1" t="n">
        <v>46075</v>
      </c>
      <c r="D2925" t="inlineStr">
        <is>
          <t>VÄSTERBOTTENS LÄN</t>
        </is>
      </c>
      <c r="E2925" t="inlineStr">
        <is>
          <t>NORSJÖ</t>
        </is>
      </c>
      <c r="G2925" t="n">
        <v>4.1</v>
      </c>
      <c r="H2925" t="n">
        <v>0</v>
      </c>
      <c r="I2925" t="n">
        <v>0</v>
      </c>
      <c r="J2925" t="n">
        <v>0</v>
      </c>
      <c r="K2925" t="n">
        <v>0</v>
      </c>
      <c r="L2925" t="n">
        <v>0</v>
      </c>
      <c r="M2925" t="n">
        <v>0</v>
      </c>
      <c r="N2925" t="n">
        <v>0</v>
      </c>
      <c r="O2925" t="n">
        <v>0</v>
      </c>
      <c r="P2925" t="n">
        <v>0</v>
      </c>
      <c r="Q2925" t="n">
        <v>0</v>
      </c>
      <c r="R2925" s="2" t="inlineStr"/>
    </row>
    <row r="2926" ht="15" customHeight="1">
      <c r="A2926" t="inlineStr">
        <is>
          <t>A 56974-2024</t>
        </is>
      </c>
      <c r="B2926" s="1" t="n">
        <v>45628.67204861111</v>
      </c>
      <c r="C2926" s="1" t="n">
        <v>46075</v>
      </c>
      <c r="D2926" t="inlineStr">
        <is>
          <t>VÄSTERBOTTENS LÄN</t>
        </is>
      </c>
      <c r="E2926" t="inlineStr">
        <is>
          <t>SKELLEFTEÅ</t>
        </is>
      </c>
      <c r="F2926" t="inlineStr">
        <is>
          <t>Holmen skog AB</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57849-2022</t>
        </is>
      </c>
      <c r="B2927" s="1" t="n">
        <v>44898.00163194445</v>
      </c>
      <c r="C2927" s="1" t="n">
        <v>46075</v>
      </c>
      <c r="D2927" t="inlineStr">
        <is>
          <t>VÄSTERBOTTENS LÄN</t>
        </is>
      </c>
      <c r="E2927" t="inlineStr">
        <is>
          <t>SKELLEFTEÅ</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30686-2023</t>
        </is>
      </c>
      <c r="B2928" s="1" t="n">
        <v>45112</v>
      </c>
      <c r="C2928" s="1" t="n">
        <v>46075</v>
      </c>
      <c r="D2928" t="inlineStr">
        <is>
          <t>VÄSTERBOTTENS LÄN</t>
        </is>
      </c>
      <c r="E2928" t="inlineStr">
        <is>
          <t>SKELLEFTEÅ</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35119-2022</t>
        </is>
      </c>
      <c r="B2929" s="1" t="n">
        <v>44797</v>
      </c>
      <c r="C2929" s="1" t="n">
        <v>46075</v>
      </c>
      <c r="D2929" t="inlineStr">
        <is>
          <t>VÄSTERBOTTENS LÄN</t>
        </is>
      </c>
      <c r="E2929" t="inlineStr">
        <is>
          <t>SKELLEFTEÅ</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61275-2022</t>
        </is>
      </c>
      <c r="B2930" s="1" t="n">
        <v>44909</v>
      </c>
      <c r="C2930" s="1" t="n">
        <v>46075</v>
      </c>
      <c r="D2930" t="inlineStr">
        <is>
          <t>VÄSTERBOTTENS LÄN</t>
        </is>
      </c>
      <c r="E2930" t="inlineStr">
        <is>
          <t>SKELLEFTEÅ</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5371-2022</t>
        </is>
      </c>
      <c r="B2931" s="1" t="n">
        <v>44594</v>
      </c>
      <c r="C2931" s="1" t="n">
        <v>46075</v>
      </c>
      <c r="D2931" t="inlineStr">
        <is>
          <t>VÄSTERBOTTENS LÄN</t>
        </is>
      </c>
      <c r="E2931" t="inlineStr">
        <is>
          <t>NORSJÖ</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15239-2025</t>
        </is>
      </c>
      <c r="B2932" s="1" t="n">
        <v>45744.61188657407</v>
      </c>
      <c r="C2932" s="1" t="n">
        <v>46075</v>
      </c>
      <c r="D2932" t="inlineStr">
        <is>
          <t>VÄSTERBOTTENS LÄN</t>
        </is>
      </c>
      <c r="E2932" t="inlineStr">
        <is>
          <t>LYCKSELE</t>
        </is>
      </c>
      <c r="F2932" t="inlineStr">
        <is>
          <t>Holmen skog AB</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12657-2023</t>
        </is>
      </c>
      <c r="B2933" s="1" t="n">
        <v>44999</v>
      </c>
      <c r="C2933" s="1" t="n">
        <v>46075</v>
      </c>
      <c r="D2933" t="inlineStr">
        <is>
          <t>VÄSTERBOTTENS LÄN</t>
        </is>
      </c>
      <c r="E2933" t="inlineStr">
        <is>
          <t>NORSJÖ</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52270-2023</t>
        </is>
      </c>
      <c r="B2934" s="1" t="n">
        <v>45217</v>
      </c>
      <c r="C2934" s="1" t="n">
        <v>46075</v>
      </c>
      <c r="D2934" t="inlineStr">
        <is>
          <t>VÄSTERBOTTENS LÄN</t>
        </is>
      </c>
      <c r="E2934" t="inlineStr">
        <is>
          <t>MALÅ</t>
        </is>
      </c>
      <c r="G2934" t="n">
        <v>4</v>
      </c>
      <c r="H2934" t="n">
        <v>0</v>
      </c>
      <c r="I2934" t="n">
        <v>0</v>
      </c>
      <c r="J2934" t="n">
        <v>0</v>
      </c>
      <c r="K2934" t="n">
        <v>0</v>
      </c>
      <c r="L2934" t="n">
        <v>0</v>
      </c>
      <c r="M2934" t="n">
        <v>0</v>
      </c>
      <c r="N2934" t="n">
        <v>0</v>
      </c>
      <c r="O2934" t="n">
        <v>0</v>
      </c>
      <c r="P2934" t="n">
        <v>0</v>
      </c>
      <c r="Q2934" t="n">
        <v>0</v>
      </c>
      <c r="R2934" s="2" t="inlineStr"/>
    </row>
    <row r="2935" ht="15" customHeight="1">
      <c r="A2935" t="inlineStr">
        <is>
          <t>A 32222-2024</t>
        </is>
      </c>
      <c r="B2935" s="1" t="n">
        <v>45511.92803240741</v>
      </c>
      <c r="C2935" s="1" t="n">
        <v>46075</v>
      </c>
      <c r="D2935" t="inlineStr">
        <is>
          <t>VÄSTERBOTTENS LÄN</t>
        </is>
      </c>
      <c r="E2935" t="inlineStr">
        <is>
          <t>VINDELN</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32230-2024</t>
        </is>
      </c>
      <c r="B2936" s="1" t="n">
        <v>45511.92854166667</v>
      </c>
      <c r="C2936" s="1" t="n">
        <v>46075</v>
      </c>
      <c r="D2936" t="inlineStr">
        <is>
          <t>VÄSTERBOTTENS LÄN</t>
        </is>
      </c>
      <c r="E2936" t="inlineStr">
        <is>
          <t>NORSJÖ</t>
        </is>
      </c>
      <c r="G2936" t="n">
        <v>4.2</v>
      </c>
      <c r="H2936" t="n">
        <v>0</v>
      </c>
      <c r="I2936" t="n">
        <v>0</v>
      </c>
      <c r="J2936" t="n">
        <v>0</v>
      </c>
      <c r="K2936" t="n">
        <v>0</v>
      </c>
      <c r="L2936" t="n">
        <v>0</v>
      </c>
      <c r="M2936" t="n">
        <v>0</v>
      </c>
      <c r="N2936" t="n">
        <v>0</v>
      </c>
      <c r="O2936" t="n">
        <v>0</v>
      </c>
      <c r="P2936" t="n">
        <v>0</v>
      </c>
      <c r="Q2936" t="n">
        <v>0</v>
      </c>
      <c r="R2936" s="2" t="inlineStr"/>
    </row>
    <row r="2937" ht="15" customHeight="1">
      <c r="A2937" t="inlineStr">
        <is>
          <t>A 32232-2024</t>
        </is>
      </c>
      <c r="B2937" s="1" t="n">
        <v>45511</v>
      </c>
      <c r="C2937" s="1" t="n">
        <v>46075</v>
      </c>
      <c r="D2937" t="inlineStr">
        <is>
          <t>VÄSTERBOTTENS LÄN</t>
        </is>
      </c>
      <c r="E2937" t="inlineStr">
        <is>
          <t>VINDELN</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39198-2022</t>
        </is>
      </c>
      <c r="B2938" s="1" t="n">
        <v>44816</v>
      </c>
      <c r="C2938" s="1" t="n">
        <v>46075</v>
      </c>
      <c r="D2938" t="inlineStr">
        <is>
          <t>VÄSTERBOTTENS LÄN</t>
        </is>
      </c>
      <c r="E2938" t="inlineStr">
        <is>
          <t>NORDMALING</t>
        </is>
      </c>
      <c r="G2938" t="n">
        <v>6.3</v>
      </c>
      <c r="H2938" t="n">
        <v>0</v>
      </c>
      <c r="I2938" t="n">
        <v>0</v>
      </c>
      <c r="J2938" t="n">
        <v>0</v>
      </c>
      <c r="K2938" t="n">
        <v>0</v>
      </c>
      <c r="L2938" t="n">
        <v>0</v>
      </c>
      <c r="M2938" t="n">
        <v>0</v>
      </c>
      <c r="N2938" t="n">
        <v>0</v>
      </c>
      <c r="O2938" t="n">
        <v>0</v>
      </c>
      <c r="P2938" t="n">
        <v>0</v>
      </c>
      <c r="Q2938" t="n">
        <v>0</v>
      </c>
      <c r="R2938" s="2" t="inlineStr"/>
    </row>
    <row r="2939" ht="15" customHeight="1">
      <c r="A2939" t="inlineStr">
        <is>
          <t>A 37856-2024</t>
        </is>
      </c>
      <c r="B2939" s="1" t="n">
        <v>45544</v>
      </c>
      <c r="C2939" s="1" t="n">
        <v>46075</v>
      </c>
      <c r="D2939" t="inlineStr">
        <is>
          <t>VÄSTERBOTTENS LÄN</t>
        </is>
      </c>
      <c r="E2939" t="inlineStr">
        <is>
          <t>UMEÅ</t>
        </is>
      </c>
      <c r="G2939" t="n">
        <v>5.4</v>
      </c>
      <c r="H2939" t="n">
        <v>0</v>
      </c>
      <c r="I2939" t="n">
        <v>0</v>
      </c>
      <c r="J2939" t="n">
        <v>0</v>
      </c>
      <c r="K2939" t="n">
        <v>0</v>
      </c>
      <c r="L2939" t="n">
        <v>0</v>
      </c>
      <c r="M2939" t="n">
        <v>0</v>
      </c>
      <c r="N2939" t="n">
        <v>0</v>
      </c>
      <c r="O2939" t="n">
        <v>0</v>
      </c>
      <c r="P2939" t="n">
        <v>0</v>
      </c>
      <c r="Q2939" t="n">
        <v>0</v>
      </c>
      <c r="R2939" s="2" t="inlineStr"/>
    </row>
    <row r="2940" ht="15" customHeight="1">
      <c r="A2940" t="inlineStr">
        <is>
          <t>A 53323-2021</t>
        </is>
      </c>
      <c r="B2940" s="1" t="n">
        <v>44468.56100694444</v>
      </c>
      <c r="C2940" s="1" t="n">
        <v>46075</v>
      </c>
      <c r="D2940" t="inlineStr">
        <is>
          <t>VÄSTERBOTTENS LÄN</t>
        </is>
      </c>
      <c r="E2940" t="inlineStr">
        <is>
          <t>LYCKSELE</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26372-2024</t>
        </is>
      </c>
      <c r="B2941" s="1" t="n">
        <v>45468</v>
      </c>
      <c r="C2941" s="1" t="n">
        <v>46075</v>
      </c>
      <c r="D2941" t="inlineStr">
        <is>
          <t>VÄSTERBOTTENS LÄN</t>
        </is>
      </c>
      <c r="E2941" t="inlineStr">
        <is>
          <t>ROBERTSFORS</t>
        </is>
      </c>
      <c r="G2941" t="n">
        <v>0.3</v>
      </c>
      <c r="H2941" t="n">
        <v>0</v>
      </c>
      <c r="I2941" t="n">
        <v>0</v>
      </c>
      <c r="J2941" t="n">
        <v>0</v>
      </c>
      <c r="K2941" t="n">
        <v>0</v>
      </c>
      <c r="L2941" t="n">
        <v>0</v>
      </c>
      <c r="M2941" t="n">
        <v>0</v>
      </c>
      <c r="N2941" t="n">
        <v>0</v>
      </c>
      <c r="O2941" t="n">
        <v>0</v>
      </c>
      <c r="P2941" t="n">
        <v>0</v>
      </c>
      <c r="Q2941" t="n">
        <v>0</v>
      </c>
      <c r="R2941" s="2" t="inlineStr"/>
    </row>
    <row r="2942" ht="15" customHeight="1">
      <c r="A2942" t="inlineStr">
        <is>
          <t>A 155-2025</t>
        </is>
      </c>
      <c r="B2942" s="1" t="n">
        <v>45659.61873842592</v>
      </c>
      <c r="C2942" s="1" t="n">
        <v>46075</v>
      </c>
      <c r="D2942" t="inlineStr">
        <is>
          <t>VÄSTERBOTTENS LÄN</t>
        </is>
      </c>
      <c r="E2942" t="inlineStr">
        <is>
          <t>ROBERTSFORS</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54138-2023</t>
        </is>
      </c>
      <c r="B2943" s="1" t="n">
        <v>45232</v>
      </c>
      <c r="C2943" s="1" t="n">
        <v>46075</v>
      </c>
      <c r="D2943" t="inlineStr">
        <is>
          <t>VÄSTERBOTTENS LÄN</t>
        </is>
      </c>
      <c r="E2943" t="inlineStr">
        <is>
          <t>NORDMALING</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61283-2023</t>
        </is>
      </c>
      <c r="B2944" s="1" t="n">
        <v>45264</v>
      </c>
      <c r="C2944" s="1" t="n">
        <v>46075</v>
      </c>
      <c r="D2944" t="inlineStr">
        <is>
          <t>VÄSTERBOTTENS LÄN</t>
        </is>
      </c>
      <c r="E2944" t="inlineStr">
        <is>
          <t>NORDMALING</t>
        </is>
      </c>
      <c r="F2944" t="inlineStr">
        <is>
          <t>Sveaskog</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5252-2024</t>
        </is>
      </c>
      <c r="B2945" s="1" t="n">
        <v>45330.93219907407</v>
      </c>
      <c r="C2945" s="1" t="n">
        <v>46075</v>
      </c>
      <c r="D2945" t="inlineStr">
        <is>
          <t>VÄSTERBOTTENS LÄN</t>
        </is>
      </c>
      <c r="E2945" t="inlineStr">
        <is>
          <t>SKELLEFTEÅ</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12187-2025</t>
        </is>
      </c>
      <c r="B2946" s="1" t="n">
        <v>45729.46915509259</v>
      </c>
      <c r="C2946" s="1" t="n">
        <v>46075</v>
      </c>
      <c r="D2946" t="inlineStr">
        <is>
          <t>VÄSTERBOTTENS LÄN</t>
        </is>
      </c>
      <c r="E2946" t="inlineStr">
        <is>
          <t>SORSELE</t>
        </is>
      </c>
      <c r="F2946" t="inlineStr">
        <is>
          <t>SCA</t>
        </is>
      </c>
      <c r="G2946" t="n">
        <v>8.9</v>
      </c>
      <c r="H2946" t="n">
        <v>0</v>
      </c>
      <c r="I2946" t="n">
        <v>0</v>
      </c>
      <c r="J2946" t="n">
        <v>0</v>
      </c>
      <c r="K2946" t="n">
        <v>0</v>
      </c>
      <c r="L2946" t="n">
        <v>0</v>
      </c>
      <c r="M2946" t="n">
        <v>0</v>
      </c>
      <c r="N2946" t="n">
        <v>0</v>
      </c>
      <c r="O2946" t="n">
        <v>0</v>
      </c>
      <c r="P2946" t="n">
        <v>0</v>
      </c>
      <c r="Q2946" t="n">
        <v>0</v>
      </c>
      <c r="R2946" s="2" t="inlineStr"/>
    </row>
    <row r="2947" ht="15" customHeight="1">
      <c r="A2947" t="inlineStr">
        <is>
          <t>A 51981-2021</t>
        </is>
      </c>
      <c r="B2947" s="1" t="n">
        <v>44462</v>
      </c>
      <c r="C2947" s="1" t="n">
        <v>46075</v>
      </c>
      <c r="D2947" t="inlineStr">
        <is>
          <t>VÄSTERBOTTENS LÄN</t>
        </is>
      </c>
      <c r="E2947" t="inlineStr">
        <is>
          <t>STORUMAN</t>
        </is>
      </c>
      <c r="G2947" t="n">
        <v>20.9</v>
      </c>
      <c r="H2947" t="n">
        <v>0</v>
      </c>
      <c r="I2947" t="n">
        <v>0</v>
      </c>
      <c r="J2947" t="n">
        <v>0</v>
      </c>
      <c r="K2947" t="n">
        <v>0</v>
      </c>
      <c r="L2947" t="n">
        <v>0</v>
      </c>
      <c r="M2947" t="n">
        <v>0</v>
      </c>
      <c r="N2947" t="n">
        <v>0</v>
      </c>
      <c r="O2947" t="n">
        <v>0</v>
      </c>
      <c r="P2947" t="n">
        <v>0</v>
      </c>
      <c r="Q2947" t="n">
        <v>0</v>
      </c>
      <c r="R2947" s="2" t="inlineStr"/>
    </row>
    <row r="2948" ht="15" customHeight="1">
      <c r="A2948" t="inlineStr">
        <is>
          <t>A 18009-2025</t>
        </is>
      </c>
      <c r="B2948" s="1" t="n">
        <v>45761</v>
      </c>
      <c r="C2948" s="1" t="n">
        <v>46075</v>
      </c>
      <c r="D2948" t="inlineStr">
        <is>
          <t>VÄSTERBOTTENS LÄN</t>
        </is>
      </c>
      <c r="E2948" t="inlineStr">
        <is>
          <t>ÅSELE</t>
        </is>
      </c>
      <c r="G2948" t="n">
        <v>9.199999999999999</v>
      </c>
      <c r="H2948" t="n">
        <v>0</v>
      </c>
      <c r="I2948" t="n">
        <v>0</v>
      </c>
      <c r="J2948" t="n">
        <v>0</v>
      </c>
      <c r="K2948" t="n">
        <v>0</v>
      </c>
      <c r="L2948" t="n">
        <v>0</v>
      </c>
      <c r="M2948" t="n">
        <v>0</v>
      </c>
      <c r="N2948" t="n">
        <v>0</v>
      </c>
      <c r="O2948" t="n">
        <v>0</v>
      </c>
      <c r="P2948" t="n">
        <v>0</v>
      </c>
      <c r="Q2948" t="n">
        <v>0</v>
      </c>
      <c r="R2948" s="2" t="inlineStr"/>
    </row>
    <row r="2949" ht="15" customHeight="1">
      <c r="A2949" t="inlineStr">
        <is>
          <t>A 8436-2022</t>
        </is>
      </c>
      <c r="B2949" s="1" t="n">
        <v>44612.63918981481</v>
      </c>
      <c r="C2949" s="1" t="n">
        <v>46075</v>
      </c>
      <c r="D2949" t="inlineStr">
        <is>
          <t>VÄSTERBOTTENS LÄN</t>
        </is>
      </c>
      <c r="E2949" t="inlineStr">
        <is>
          <t>SKELLEFTEÅ</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41109-2023</t>
        </is>
      </c>
      <c r="B2950" s="1" t="n">
        <v>45170</v>
      </c>
      <c r="C2950" s="1" t="n">
        <v>46075</v>
      </c>
      <c r="D2950" t="inlineStr">
        <is>
          <t>VÄSTERBOTTENS LÄN</t>
        </is>
      </c>
      <c r="E2950" t="inlineStr">
        <is>
          <t>SKELLEFTEÅ</t>
        </is>
      </c>
      <c r="G2950" t="n">
        <v>5.9</v>
      </c>
      <c r="H2950" t="n">
        <v>0</v>
      </c>
      <c r="I2950" t="n">
        <v>0</v>
      </c>
      <c r="J2950" t="n">
        <v>0</v>
      </c>
      <c r="K2950" t="n">
        <v>0</v>
      </c>
      <c r="L2950" t="n">
        <v>0</v>
      </c>
      <c r="M2950" t="n">
        <v>0</v>
      </c>
      <c r="N2950" t="n">
        <v>0</v>
      </c>
      <c r="O2950" t="n">
        <v>0</v>
      </c>
      <c r="P2950" t="n">
        <v>0</v>
      </c>
      <c r="Q2950" t="n">
        <v>0</v>
      </c>
      <c r="R2950" s="2" t="inlineStr"/>
    </row>
    <row r="2951" ht="15" customHeight="1">
      <c r="A2951" t="inlineStr">
        <is>
          <t>A 22408-2024</t>
        </is>
      </c>
      <c r="B2951" s="1" t="n">
        <v>45446.6784837963</v>
      </c>
      <c r="C2951" s="1" t="n">
        <v>46075</v>
      </c>
      <c r="D2951" t="inlineStr">
        <is>
          <t>VÄSTERBOTTENS LÄN</t>
        </is>
      </c>
      <c r="E2951" t="inlineStr">
        <is>
          <t>BJURHOLM</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20425-2025</t>
        </is>
      </c>
      <c r="B2952" s="1" t="n">
        <v>45775</v>
      </c>
      <c r="C2952" s="1" t="n">
        <v>46075</v>
      </c>
      <c r="D2952" t="inlineStr">
        <is>
          <t>VÄSTERBOTTENS LÄN</t>
        </is>
      </c>
      <c r="E2952" t="inlineStr">
        <is>
          <t>UMEÅ</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9541-2023</t>
        </is>
      </c>
      <c r="B2953" s="1" t="n">
        <v>44981</v>
      </c>
      <c r="C2953" s="1" t="n">
        <v>46075</v>
      </c>
      <c r="D2953" t="inlineStr">
        <is>
          <t>VÄSTERBOTTENS LÄN</t>
        </is>
      </c>
      <c r="E2953" t="inlineStr">
        <is>
          <t>NORDMALING</t>
        </is>
      </c>
      <c r="G2953" t="n">
        <v>2.8</v>
      </c>
      <c r="H2953" t="n">
        <v>0</v>
      </c>
      <c r="I2953" t="n">
        <v>0</v>
      </c>
      <c r="J2953" t="n">
        <v>0</v>
      </c>
      <c r="K2953" t="n">
        <v>0</v>
      </c>
      <c r="L2953" t="n">
        <v>0</v>
      </c>
      <c r="M2953" t="n">
        <v>0</v>
      </c>
      <c r="N2953" t="n">
        <v>0</v>
      </c>
      <c r="O2953" t="n">
        <v>0</v>
      </c>
      <c r="P2953" t="n">
        <v>0</v>
      </c>
      <c r="Q2953" t="n">
        <v>0</v>
      </c>
      <c r="R2953" s="2" t="inlineStr"/>
    </row>
    <row r="2954" ht="15" customHeight="1">
      <c r="A2954" t="inlineStr">
        <is>
          <t>A 15054-2024</t>
        </is>
      </c>
      <c r="B2954" s="1" t="n">
        <v>45399</v>
      </c>
      <c r="C2954" s="1" t="n">
        <v>46075</v>
      </c>
      <c r="D2954" t="inlineStr">
        <is>
          <t>VÄSTERBOTTENS LÄN</t>
        </is>
      </c>
      <c r="E2954" t="inlineStr">
        <is>
          <t>BJURHOLM</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9172-2025</t>
        </is>
      </c>
      <c r="B2955" s="1" t="n">
        <v>45714.40652777778</v>
      </c>
      <c r="C2955" s="1" t="n">
        <v>46075</v>
      </c>
      <c r="D2955" t="inlineStr">
        <is>
          <t>VÄSTERBOTTENS LÄN</t>
        </is>
      </c>
      <c r="E2955" t="inlineStr">
        <is>
          <t>DOROTEA</t>
        </is>
      </c>
      <c r="F2955" t="inlineStr">
        <is>
          <t>SCA</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9191-2025</t>
        </is>
      </c>
      <c r="B2956" s="1" t="n">
        <v>45714.45914351852</v>
      </c>
      <c r="C2956" s="1" t="n">
        <v>46075</v>
      </c>
      <c r="D2956" t="inlineStr">
        <is>
          <t>VÄSTERBOTTENS LÄN</t>
        </is>
      </c>
      <c r="E2956" t="inlineStr">
        <is>
          <t>MALÅ</t>
        </is>
      </c>
      <c r="F2956" t="inlineStr">
        <is>
          <t>Sveaskog</t>
        </is>
      </c>
      <c r="G2956" t="n">
        <v>18.7</v>
      </c>
      <c r="H2956" t="n">
        <v>0</v>
      </c>
      <c r="I2956" t="n">
        <v>0</v>
      </c>
      <c r="J2956" t="n">
        <v>0</v>
      </c>
      <c r="K2956" t="n">
        <v>0</v>
      </c>
      <c r="L2956" t="n">
        <v>0</v>
      </c>
      <c r="M2956" t="n">
        <v>0</v>
      </c>
      <c r="N2956" t="n">
        <v>0</v>
      </c>
      <c r="O2956" t="n">
        <v>0</v>
      </c>
      <c r="P2956" t="n">
        <v>0</v>
      </c>
      <c r="Q2956" t="n">
        <v>0</v>
      </c>
      <c r="R2956" s="2" t="inlineStr"/>
    </row>
    <row r="2957" ht="15" customHeight="1">
      <c r="A2957" t="inlineStr">
        <is>
          <t>A 32455-2024</t>
        </is>
      </c>
      <c r="B2957" s="1" t="n">
        <v>45512.95870370371</v>
      </c>
      <c r="C2957" s="1" t="n">
        <v>46075</v>
      </c>
      <c r="D2957" t="inlineStr">
        <is>
          <t>VÄSTERBOTTENS LÄN</t>
        </is>
      </c>
      <c r="E2957" t="inlineStr">
        <is>
          <t>VILHELMINA</t>
        </is>
      </c>
      <c r="F2957" t="inlineStr">
        <is>
          <t>SCA</t>
        </is>
      </c>
      <c r="G2957" t="n">
        <v>9.800000000000001</v>
      </c>
      <c r="H2957" t="n">
        <v>0</v>
      </c>
      <c r="I2957" t="n">
        <v>0</v>
      </c>
      <c r="J2957" t="n">
        <v>0</v>
      </c>
      <c r="K2957" t="n">
        <v>0</v>
      </c>
      <c r="L2957" t="n">
        <v>0</v>
      </c>
      <c r="M2957" t="n">
        <v>0</v>
      </c>
      <c r="N2957" t="n">
        <v>0</v>
      </c>
      <c r="O2957" t="n">
        <v>0</v>
      </c>
      <c r="P2957" t="n">
        <v>0</v>
      </c>
      <c r="Q2957" t="n">
        <v>0</v>
      </c>
      <c r="R2957" s="2" t="inlineStr"/>
    </row>
    <row r="2958" ht="15" customHeight="1">
      <c r="A2958" t="inlineStr">
        <is>
          <t>A 2761-2025</t>
        </is>
      </c>
      <c r="B2958" s="1" t="n">
        <v>45677.48184027777</v>
      </c>
      <c r="C2958" s="1" t="n">
        <v>46075</v>
      </c>
      <c r="D2958" t="inlineStr">
        <is>
          <t>VÄSTERBOTTENS LÄN</t>
        </is>
      </c>
      <c r="E2958" t="inlineStr">
        <is>
          <t>LYCKSELE</t>
        </is>
      </c>
      <c r="G2958" t="n">
        <v>7.8</v>
      </c>
      <c r="H2958" t="n">
        <v>0</v>
      </c>
      <c r="I2958" t="n">
        <v>0</v>
      </c>
      <c r="J2958" t="n">
        <v>0</v>
      </c>
      <c r="K2958" t="n">
        <v>0</v>
      </c>
      <c r="L2958" t="n">
        <v>0</v>
      </c>
      <c r="M2958" t="n">
        <v>0</v>
      </c>
      <c r="N2958" t="n">
        <v>0</v>
      </c>
      <c r="O2958" t="n">
        <v>0</v>
      </c>
      <c r="P2958" t="n">
        <v>0</v>
      </c>
      <c r="Q2958" t="n">
        <v>0</v>
      </c>
      <c r="R2958" s="2" t="inlineStr"/>
    </row>
    <row r="2959" ht="15" customHeight="1">
      <c r="A2959" t="inlineStr">
        <is>
          <t>A 2766-2025</t>
        </is>
      </c>
      <c r="B2959" s="1" t="n">
        <v>45677.49140046296</v>
      </c>
      <c r="C2959" s="1" t="n">
        <v>46075</v>
      </c>
      <c r="D2959" t="inlineStr">
        <is>
          <t>VÄSTERBOTTENS LÄN</t>
        </is>
      </c>
      <c r="E2959" t="inlineStr">
        <is>
          <t>UMEÅ</t>
        </is>
      </c>
      <c r="G2959" t="n">
        <v>6.7</v>
      </c>
      <c r="H2959" t="n">
        <v>0</v>
      </c>
      <c r="I2959" t="n">
        <v>0</v>
      </c>
      <c r="J2959" t="n">
        <v>0</v>
      </c>
      <c r="K2959" t="n">
        <v>0</v>
      </c>
      <c r="L2959" t="n">
        <v>0</v>
      </c>
      <c r="M2959" t="n">
        <v>0</v>
      </c>
      <c r="N2959" t="n">
        <v>0</v>
      </c>
      <c r="O2959" t="n">
        <v>0</v>
      </c>
      <c r="P2959" t="n">
        <v>0</v>
      </c>
      <c r="Q2959" t="n">
        <v>0</v>
      </c>
      <c r="R2959" s="2" t="inlineStr"/>
    </row>
    <row r="2960" ht="15" customHeight="1">
      <c r="A2960" t="inlineStr">
        <is>
          <t>A 16527-2022</t>
        </is>
      </c>
      <c r="B2960" s="1" t="n">
        <v>44671.94822916666</v>
      </c>
      <c r="C2960" s="1" t="n">
        <v>46075</v>
      </c>
      <c r="D2960" t="inlineStr">
        <is>
          <t>VÄSTERBOTTENS LÄN</t>
        </is>
      </c>
      <c r="E2960" t="inlineStr">
        <is>
          <t>ÅSELE</t>
        </is>
      </c>
      <c r="G2960" t="n">
        <v>6.6</v>
      </c>
      <c r="H2960" t="n">
        <v>0</v>
      </c>
      <c r="I2960" t="n">
        <v>0</v>
      </c>
      <c r="J2960" t="n">
        <v>0</v>
      </c>
      <c r="K2960" t="n">
        <v>0</v>
      </c>
      <c r="L2960" t="n">
        <v>0</v>
      </c>
      <c r="M2960" t="n">
        <v>0</v>
      </c>
      <c r="N2960" t="n">
        <v>0</v>
      </c>
      <c r="O2960" t="n">
        <v>0</v>
      </c>
      <c r="P2960" t="n">
        <v>0</v>
      </c>
      <c r="Q2960" t="n">
        <v>0</v>
      </c>
      <c r="R2960" s="2" t="inlineStr"/>
    </row>
    <row r="2961" ht="15" customHeight="1">
      <c r="A2961" t="inlineStr">
        <is>
          <t>A 5248-2025</t>
        </is>
      </c>
      <c r="B2961" s="1" t="n">
        <v>45692.34452546296</v>
      </c>
      <c r="C2961" s="1" t="n">
        <v>46075</v>
      </c>
      <c r="D2961" t="inlineStr">
        <is>
          <t>VÄSTERBOTTENS LÄN</t>
        </is>
      </c>
      <c r="E2961" t="inlineStr">
        <is>
          <t>DOROTEA</t>
        </is>
      </c>
      <c r="F2961" t="inlineStr">
        <is>
          <t>SCA</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2794-2025</t>
        </is>
      </c>
      <c r="B2962" s="1" t="n">
        <v>45677.56866898148</v>
      </c>
      <c r="C2962" s="1" t="n">
        <v>46075</v>
      </c>
      <c r="D2962" t="inlineStr">
        <is>
          <t>VÄSTERBOTTENS LÄN</t>
        </is>
      </c>
      <c r="E2962" t="inlineStr">
        <is>
          <t>LYCKSELE</t>
        </is>
      </c>
      <c r="F2962" t="inlineStr">
        <is>
          <t>Sveaskog</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2813-2025</t>
        </is>
      </c>
      <c r="B2963" s="1" t="n">
        <v>45677.59814814815</v>
      </c>
      <c r="C2963" s="1" t="n">
        <v>46075</v>
      </c>
      <c r="D2963" t="inlineStr">
        <is>
          <t>VÄSTERBOTTENS LÄN</t>
        </is>
      </c>
      <c r="E2963" t="inlineStr">
        <is>
          <t>DOROTEA</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40633-2023</t>
        </is>
      </c>
      <c r="B2964" s="1" t="n">
        <v>45170</v>
      </c>
      <c r="C2964" s="1" t="n">
        <v>46075</v>
      </c>
      <c r="D2964" t="inlineStr">
        <is>
          <t>VÄSTERBOTTENS LÄN</t>
        </is>
      </c>
      <c r="E2964" t="inlineStr">
        <is>
          <t>ROBERTSFORS</t>
        </is>
      </c>
      <c r="F2964" t="inlineStr">
        <is>
          <t>Sveaskog</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19706-2025</t>
        </is>
      </c>
      <c r="B2965" s="1" t="n">
        <v>45771.34158564815</v>
      </c>
      <c r="C2965" s="1" t="n">
        <v>46075</v>
      </c>
      <c r="D2965" t="inlineStr">
        <is>
          <t>VÄSTERBOTTENS LÄN</t>
        </is>
      </c>
      <c r="E2965" t="inlineStr">
        <is>
          <t>VINDELN</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9463-2025</t>
        </is>
      </c>
      <c r="B2966" s="1" t="n">
        <v>45715.45984953704</v>
      </c>
      <c r="C2966" s="1" t="n">
        <v>46075</v>
      </c>
      <c r="D2966" t="inlineStr">
        <is>
          <t>VÄSTERBOTTENS LÄN</t>
        </is>
      </c>
      <c r="E2966" t="inlineStr">
        <is>
          <t>ROBERTSFORS</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28615-2023</t>
        </is>
      </c>
      <c r="B2967" s="1" t="n">
        <v>45103.59210648148</v>
      </c>
      <c r="C2967" s="1" t="n">
        <v>46075</v>
      </c>
      <c r="D2967" t="inlineStr">
        <is>
          <t>VÄSTERBOTTENS LÄN</t>
        </is>
      </c>
      <c r="E2967" t="inlineStr">
        <is>
          <t>VÄNNÄS</t>
        </is>
      </c>
      <c r="G2967" t="n">
        <v>5.2</v>
      </c>
      <c r="H2967" t="n">
        <v>0</v>
      </c>
      <c r="I2967" t="n">
        <v>0</v>
      </c>
      <c r="J2967" t="n">
        <v>0</v>
      </c>
      <c r="K2967" t="n">
        <v>0</v>
      </c>
      <c r="L2967" t="n">
        <v>0</v>
      </c>
      <c r="M2967" t="n">
        <v>0</v>
      </c>
      <c r="N2967" t="n">
        <v>0</v>
      </c>
      <c r="O2967" t="n">
        <v>0</v>
      </c>
      <c r="P2967" t="n">
        <v>0</v>
      </c>
      <c r="Q2967" t="n">
        <v>0</v>
      </c>
      <c r="R2967" s="2" t="inlineStr"/>
    </row>
    <row r="2968" ht="15" customHeight="1">
      <c r="A2968" t="inlineStr">
        <is>
          <t>A 10618-2025</t>
        </is>
      </c>
      <c r="B2968" s="1" t="n">
        <v>45721</v>
      </c>
      <c r="C2968" s="1" t="n">
        <v>46075</v>
      </c>
      <c r="D2968" t="inlineStr">
        <is>
          <t>VÄSTERBOTTENS LÄN</t>
        </is>
      </c>
      <c r="E2968" t="inlineStr">
        <is>
          <t>VINDELN</t>
        </is>
      </c>
      <c r="G2968" t="n">
        <v>7.1</v>
      </c>
      <c r="H2968" t="n">
        <v>0</v>
      </c>
      <c r="I2968" t="n">
        <v>0</v>
      </c>
      <c r="J2968" t="n">
        <v>0</v>
      </c>
      <c r="K2968" t="n">
        <v>0</v>
      </c>
      <c r="L2968" t="n">
        <v>0</v>
      </c>
      <c r="M2968" t="n">
        <v>0</v>
      </c>
      <c r="N2968" t="n">
        <v>0</v>
      </c>
      <c r="O2968" t="n">
        <v>0</v>
      </c>
      <c r="P2968" t="n">
        <v>0</v>
      </c>
      <c r="Q2968" t="n">
        <v>0</v>
      </c>
      <c r="R2968" s="2" t="inlineStr"/>
    </row>
    <row r="2969" ht="15" customHeight="1">
      <c r="A2969" t="inlineStr">
        <is>
          <t>A 16219-2024</t>
        </is>
      </c>
      <c r="B2969" s="1" t="n">
        <v>45406.96375</v>
      </c>
      <c r="C2969" s="1" t="n">
        <v>46075</v>
      </c>
      <c r="D2969" t="inlineStr">
        <is>
          <t>VÄSTERBOTTENS LÄN</t>
        </is>
      </c>
      <c r="E2969" t="inlineStr">
        <is>
          <t>LYCKSELE</t>
        </is>
      </c>
      <c r="G2969" t="n">
        <v>4.9</v>
      </c>
      <c r="H2969" t="n">
        <v>0</v>
      </c>
      <c r="I2969" t="n">
        <v>0</v>
      </c>
      <c r="J2969" t="n">
        <v>0</v>
      </c>
      <c r="K2969" t="n">
        <v>0</v>
      </c>
      <c r="L2969" t="n">
        <v>0</v>
      </c>
      <c r="M2969" t="n">
        <v>0</v>
      </c>
      <c r="N2969" t="n">
        <v>0</v>
      </c>
      <c r="O2969" t="n">
        <v>0</v>
      </c>
      <c r="P2969" t="n">
        <v>0</v>
      </c>
      <c r="Q2969" t="n">
        <v>0</v>
      </c>
      <c r="R2969" s="2" t="inlineStr"/>
    </row>
    <row r="2970" ht="15" customHeight="1">
      <c r="A2970" t="inlineStr">
        <is>
          <t>A 46492-2023</t>
        </is>
      </c>
      <c r="B2970" s="1" t="n">
        <v>45194</v>
      </c>
      <c r="C2970" s="1" t="n">
        <v>46075</v>
      </c>
      <c r="D2970" t="inlineStr">
        <is>
          <t>VÄSTERBOTTENS LÄN</t>
        </is>
      </c>
      <c r="E2970" t="inlineStr">
        <is>
          <t>SKELLEFTEÅ</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14003-2021</t>
        </is>
      </c>
      <c r="B2971" s="1" t="n">
        <v>44277</v>
      </c>
      <c r="C2971" s="1" t="n">
        <v>46075</v>
      </c>
      <c r="D2971" t="inlineStr">
        <is>
          <t>VÄSTERBOTTENS LÄN</t>
        </is>
      </c>
      <c r="E2971" t="inlineStr">
        <is>
          <t>SORSELE</t>
        </is>
      </c>
      <c r="G2971" t="n">
        <v>6.5</v>
      </c>
      <c r="H2971" t="n">
        <v>0</v>
      </c>
      <c r="I2971" t="n">
        <v>0</v>
      </c>
      <c r="J2971" t="n">
        <v>0</v>
      </c>
      <c r="K2971" t="n">
        <v>0</v>
      </c>
      <c r="L2971" t="n">
        <v>0</v>
      </c>
      <c r="M2971" t="n">
        <v>0</v>
      </c>
      <c r="N2971" t="n">
        <v>0</v>
      </c>
      <c r="O2971" t="n">
        <v>0</v>
      </c>
      <c r="P2971" t="n">
        <v>0</v>
      </c>
      <c r="Q2971" t="n">
        <v>0</v>
      </c>
      <c r="R2971" s="2" t="inlineStr"/>
    </row>
    <row r="2972" ht="15" customHeight="1">
      <c r="A2972" t="inlineStr">
        <is>
          <t>A 43396-2023</t>
        </is>
      </c>
      <c r="B2972" s="1" t="n">
        <v>45183.92153935185</v>
      </c>
      <c r="C2972" s="1" t="n">
        <v>46075</v>
      </c>
      <c r="D2972" t="inlineStr">
        <is>
          <t>VÄSTERBOTTENS LÄN</t>
        </is>
      </c>
      <c r="E2972" t="inlineStr">
        <is>
          <t>NORSJÖ</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61378-2024</t>
        </is>
      </c>
      <c r="B2973" s="1" t="n">
        <v>45645</v>
      </c>
      <c r="C2973" s="1" t="n">
        <v>46075</v>
      </c>
      <c r="D2973" t="inlineStr">
        <is>
          <t>VÄSTERBOTTENS LÄN</t>
        </is>
      </c>
      <c r="E2973" t="inlineStr">
        <is>
          <t>SKELLEFTEÅ</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61380-2024</t>
        </is>
      </c>
      <c r="B2974" s="1" t="n">
        <v>45646.40557870371</v>
      </c>
      <c r="C2974" s="1" t="n">
        <v>46075</v>
      </c>
      <c r="D2974" t="inlineStr">
        <is>
          <t>VÄSTERBOTTENS LÄN</t>
        </is>
      </c>
      <c r="E2974" t="inlineStr">
        <is>
          <t>ROBERTSFORS</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61401-2024</t>
        </is>
      </c>
      <c r="B2975" s="1" t="n">
        <v>45646.42950231482</v>
      </c>
      <c r="C2975" s="1" t="n">
        <v>46075</v>
      </c>
      <c r="D2975" t="inlineStr">
        <is>
          <t>VÄSTERBOTTENS LÄN</t>
        </is>
      </c>
      <c r="E2975" t="inlineStr">
        <is>
          <t>LYCKSELE</t>
        </is>
      </c>
      <c r="G2975" t="n">
        <v>5.7</v>
      </c>
      <c r="H2975" t="n">
        <v>0</v>
      </c>
      <c r="I2975" t="n">
        <v>0</v>
      </c>
      <c r="J2975" t="n">
        <v>0</v>
      </c>
      <c r="K2975" t="n">
        <v>0</v>
      </c>
      <c r="L2975" t="n">
        <v>0</v>
      </c>
      <c r="M2975" t="n">
        <v>0</v>
      </c>
      <c r="N2975" t="n">
        <v>0</v>
      </c>
      <c r="O2975" t="n">
        <v>0</v>
      </c>
      <c r="P2975" t="n">
        <v>0</v>
      </c>
      <c r="Q2975" t="n">
        <v>0</v>
      </c>
      <c r="R2975" s="2" t="inlineStr"/>
    </row>
    <row r="2976" ht="15" customHeight="1">
      <c r="A2976" t="inlineStr">
        <is>
          <t>A 16136-2022</t>
        </is>
      </c>
      <c r="B2976" s="1" t="n">
        <v>44665</v>
      </c>
      <c r="C2976" s="1" t="n">
        <v>46075</v>
      </c>
      <c r="D2976" t="inlineStr">
        <is>
          <t>VÄSTERBOTTENS LÄN</t>
        </is>
      </c>
      <c r="E2976" t="inlineStr">
        <is>
          <t>STORUMAN</t>
        </is>
      </c>
      <c r="F2976" t="inlineStr">
        <is>
          <t>Övriga statliga verk och myndigheter</t>
        </is>
      </c>
      <c r="G2976" t="n">
        <v>8.9</v>
      </c>
      <c r="H2976" t="n">
        <v>0</v>
      </c>
      <c r="I2976" t="n">
        <v>0</v>
      </c>
      <c r="J2976" t="n">
        <v>0</v>
      </c>
      <c r="K2976" t="n">
        <v>0</v>
      </c>
      <c r="L2976" t="n">
        <v>0</v>
      </c>
      <c r="M2976" t="n">
        <v>0</v>
      </c>
      <c r="N2976" t="n">
        <v>0</v>
      </c>
      <c r="O2976" t="n">
        <v>0</v>
      </c>
      <c r="P2976" t="n">
        <v>0</v>
      </c>
      <c r="Q2976" t="n">
        <v>0</v>
      </c>
      <c r="R2976" s="2" t="inlineStr"/>
    </row>
    <row r="2977" ht="15" customHeight="1">
      <c r="A2977" t="inlineStr">
        <is>
          <t>A 35558-2022</t>
        </is>
      </c>
      <c r="B2977" s="1" t="n">
        <v>44799.38560185185</v>
      </c>
      <c r="C2977" s="1" t="n">
        <v>46075</v>
      </c>
      <c r="D2977" t="inlineStr">
        <is>
          <t>VÄSTERBOTTENS LÄN</t>
        </is>
      </c>
      <c r="E2977" t="inlineStr">
        <is>
          <t>SKELLEFTEÅ</t>
        </is>
      </c>
      <c r="F2977" t="inlineStr">
        <is>
          <t>Sveaskog</t>
        </is>
      </c>
      <c r="G2977" t="n">
        <v>21.8</v>
      </c>
      <c r="H2977" t="n">
        <v>0</v>
      </c>
      <c r="I2977" t="n">
        <v>0</v>
      </c>
      <c r="J2977" t="n">
        <v>0</v>
      </c>
      <c r="K2977" t="n">
        <v>0</v>
      </c>
      <c r="L2977" t="n">
        <v>0</v>
      </c>
      <c r="M2977" t="n">
        <v>0</v>
      </c>
      <c r="N2977" t="n">
        <v>0</v>
      </c>
      <c r="O2977" t="n">
        <v>0</v>
      </c>
      <c r="P2977" t="n">
        <v>0</v>
      </c>
      <c r="Q2977" t="n">
        <v>0</v>
      </c>
      <c r="R2977" s="2" t="inlineStr"/>
    </row>
    <row r="2978" ht="15" customHeight="1">
      <c r="A2978" t="inlineStr">
        <is>
          <t>A 54384-2021</t>
        </is>
      </c>
      <c r="B2978" s="1" t="n">
        <v>44473</v>
      </c>
      <c r="C2978" s="1" t="n">
        <v>46075</v>
      </c>
      <c r="D2978" t="inlineStr">
        <is>
          <t>VÄSTERBOTTENS LÄN</t>
        </is>
      </c>
      <c r="E2978" t="inlineStr">
        <is>
          <t>SKELLEFTEÅ</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38187-2024</t>
        </is>
      </c>
      <c r="B2979" s="1" t="n">
        <v>45545.49028935185</v>
      </c>
      <c r="C2979" s="1" t="n">
        <v>46075</v>
      </c>
      <c r="D2979" t="inlineStr">
        <is>
          <t>VÄSTERBOTTENS LÄN</t>
        </is>
      </c>
      <c r="E2979" t="inlineStr">
        <is>
          <t>VILHELMINA</t>
        </is>
      </c>
      <c r="F2979" t="inlineStr">
        <is>
          <t>SCA</t>
        </is>
      </c>
      <c r="G2979" t="n">
        <v>6.1</v>
      </c>
      <c r="H2979" t="n">
        <v>0</v>
      </c>
      <c r="I2979" t="n">
        <v>0</v>
      </c>
      <c r="J2979" t="n">
        <v>0</v>
      </c>
      <c r="K2979" t="n">
        <v>0</v>
      </c>
      <c r="L2979" t="n">
        <v>0</v>
      </c>
      <c r="M2979" t="n">
        <v>0</v>
      </c>
      <c r="N2979" t="n">
        <v>0</v>
      </c>
      <c r="O2979" t="n">
        <v>0</v>
      </c>
      <c r="P2979" t="n">
        <v>0</v>
      </c>
      <c r="Q2979" t="n">
        <v>0</v>
      </c>
      <c r="R2979" s="2" t="inlineStr"/>
    </row>
    <row r="2980" ht="15" customHeight="1">
      <c r="A2980" t="inlineStr">
        <is>
          <t>A 40505-2024</t>
        </is>
      </c>
      <c r="B2980" s="1" t="n">
        <v>45555.57373842593</v>
      </c>
      <c r="C2980" s="1" t="n">
        <v>46075</v>
      </c>
      <c r="D2980" t="inlineStr">
        <is>
          <t>VÄSTERBOTTENS LÄN</t>
        </is>
      </c>
      <c r="E2980" t="inlineStr">
        <is>
          <t>VILHELMINA</t>
        </is>
      </c>
      <c r="G2980" t="n">
        <v>0.3</v>
      </c>
      <c r="H2980" t="n">
        <v>0</v>
      </c>
      <c r="I2980" t="n">
        <v>0</v>
      </c>
      <c r="J2980" t="n">
        <v>0</v>
      </c>
      <c r="K2980" t="n">
        <v>0</v>
      </c>
      <c r="L2980" t="n">
        <v>0</v>
      </c>
      <c r="M2980" t="n">
        <v>0</v>
      </c>
      <c r="N2980" t="n">
        <v>0</v>
      </c>
      <c r="O2980" t="n">
        <v>0</v>
      </c>
      <c r="P2980" t="n">
        <v>0</v>
      </c>
      <c r="Q2980" t="n">
        <v>0</v>
      </c>
      <c r="R2980" s="2" t="inlineStr"/>
    </row>
    <row r="2981" ht="15" customHeight="1">
      <c r="A2981" t="inlineStr">
        <is>
          <t>A 38809-2023</t>
        </is>
      </c>
      <c r="B2981" s="1" t="n">
        <v>45161</v>
      </c>
      <c r="C2981" s="1" t="n">
        <v>46075</v>
      </c>
      <c r="D2981" t="inlineStr">
        <is>
          <t>VÄSTERBOTTENS LÄN</t>
        </is>
      </c>
      <c r="E2981" t="inlineStr">
        <is>
          <t>SKELLEFTEÅ</t>
        </is>
      </c>
      <c r="G2981" t="n">
        <v>4</v>
      </c>
      <c r="H2981" t="n">
        <v>0</v>
      </c>
      <c r="I2981" t="n">
        <v>0</v>
      </c>
      <c r="J2981" t="n">
        <v>0</v>
      </c>
      <c r="K2981" t="n">
        <v>0</v>
      </c>
      <c r="L2981" t="n">
        <v>0</v>
      </c>
      <c r="M2981" t="n">
        <v>0</v>
      </c>
      <c r="N2981" t="n">
        <v>0</v>
      </c>
      <c r="O2981" t="n">
        <v>0</v>
      </c>
      <c r="P2981" t="n">
        <v>0</v>
      </c>
      <c r="Q2981" t="n">
        <v>0</v>
      </c>
      <c r="R2981" s="2" t="inlineStr"/>
    </row>
    <row r="2982" ht="15" customHeight="1">
      <c r="A2982" t="inlineStr">
        <is>
          <t>A 58040-2023</t>
        </is>
      </c>
      <c r="B2982" s="1" t="n">
        <v>45247.67944444445</v>
      </c>
      <c r="C2982" s="1" t="n">
        <v>46075</v>
      </c>
      <c r="D2982" t="inlineStr">
        <is>
          <t>VÄSTERBOTTENS LÄN</t>
        </is>
      </c>
      <c r="E2982" t="inlineStr">
        <is>
          <t>LYCKSELE</t>
        </is>
      </c>
      <c r="F2982" t="inlineStr">
        <is>
          <t>Sveaskog</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17345-2025</t>
        </is>
      </c>
      <c r="B2983" s="1" t="n">
        <v>45756.67292824074</v>
      </c>
      <c r="C2983" s="1" t="n">
        <v>46075</v>
      </c>
      <c r="D2983" t="inlineStr">
        <is>
          <t>VÄSTERBOTTENS LÄN</t>
        </is>
      </c>
      <c r="E2983" t="inlineStr">
        <is>
          <t>UMEÅ</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33132-2024</t>
        </is>
      </c>
      <c r="B2984" s="1" t="n">
        <v>45518.31344907408</v>
      </c>
      <c r="C2984" s="1" t="n">
        <v>46075</v>
      </c>
      <c r="D2984" t="inlineStr">
        <is>
          <t>VÄSTERBOTTENS LÄN</t>
        </is>
      </c>
      <c r="E2984" t="inlineStr">
        <is>
          <t>VINDELN</t>
        </is>
      </c>
      <c r="G2984" t="n">
        <v>3.2</v>
      </c>
      <c r="H2984" t="n">
        <v>0</v>
      </c>
      <c r="I2984" t="n">
        <v>0</v>
      </c>
      <c r="J2984" t="n">
        <v>0</v>
      </c>
      <c r="K2984" t="n">
        <v>0</v>
      </c>
      <c r="L2984" t="n">
        <v>0</v>
      </c>
      <c r="M2984" t="n">
        <v>0</v>
      </c>
      <c r="N2984" t="n">
        <v>0</v>
      </c>
      <c r="O2984" t="n">
        <v>0</v>
      </c>
      <c r="P2984" t="n">
        <v>0</v>
      </c>
      <c r="Q2984" t="n">
        <v>0</v>
      </c>
      <c r="R2984" s="2" t="inlineStr"/>
    </row>
    <row r="2985" ht="15" customHeight="1">
      <c r="A2985" t="inlineStr">
        <is>
          <t>A 751-2023</t>
        </is>
      </c>
      <c r="B2985" s="1" t="n">
        <v>44931.3587962963</v>
      </c>
      <c r="C2985" s="1" t="n">
        <v>46075</v>
      </c>
      <c r="D2985" t="inlineStr">
        <is>
          <t>VÄSTERBOTTENS LÄN</t>
        </is>
      </c>
      <c r="E2985" t="inlineStr">
        <is>
          <t>UMEÅ</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10647-2023</t>
        </is>
      </c>
      <c r="B2986" s="1" t="n">
        <v>44984</v>
      </c>
      <c r="C2986" s="1" t="n">
        <v>46075</v>
      </c>
      <c r="D2986" t="inlineStr">
        <is>
          <t>VÄSTERBOTTENS LÄN</t>
        </is>
      </c>
      <c r="E2986" t="inlineStr">
        <is>
          <t>SKELLEFTEÅ</t>
        </is>
      </c>
      <c r="G2986" t="n">
        <v>2.9</v>
      </c>
      <c r="H2986" t="n">
        <v>0</v>
      </c>
      <c r="I2986" t="n">
        <v>0</v>
      </c>
      <c r="J2986" t="n">
        <v>0</v>
      </c>
      <c r="K2986" t="n">
        <v>0</v>
      </c>
      <c r="L2986" t="n">
        <v>0</v>
      </c>
      <c r="M2986" t="n">
        <v>0</v>
      </c>
      <c r="N2986" t="n">
        <v>0</v>
      </c>
      <c r="O2986" t="n">
        <v>0</v>
      </c>
      <c r="P2986" t="n">
        <v>0</v>
      </c>
      <c r="Q2986" t="n">
        <v>0</v>
      </c>
      <c r="R2986" s="2" t="inlineStr"/>
    </row>
    <row r="2987" ht="15" customHeight="1">
      <c r="A2987" t="inlineStr">
        <is>
          <t>A 912-2023</t>
        </is>
      </c>
      <c r="B2987" s="1" t="n">
        <v>44931.92638888889</v>
      </c>
      <c r="C2987" s="1" t="n">
        <v>46075</v>
      </c>
      <c r="D2987" t="inlineStr">
        <is>
          <t>VÄSTERBOTTENS LÄN</t>
        </is>
      </c>
      <c r="E2987" t="inlineStr">
        <is>
          <t>DOROTEA</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19764-2025</t>
        </is>
      </c>
      <c r="B2988" s="1" t="n">
        <v>45771.4071412037</v>
      </c>
      <c r="C2988" s="1" t="n">
        <v>46075</v>
      </c>
      <c r="D2988" t="inlineStr">
        <is>
          <t>VÄSTERBOTTENS LÄN</t>
        </is>
      </c>
      <c r="E2988" t="inlineStr">
        <is>
          <t>SKELLEFTEÅ</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21660-2023</t>
        </is>
      </c>
      <c r="B2989" s="1" t="n">
        <v>45063</v>
      </c>
      <c r="C2989" s="1" t="n">
        <v>46075</v>
      </c>
      <c r="D2989" t="inlineStr">
        <is>
          <t>VÄSTERBOTTENS LÄN</t>
        </is>
      </c>
      <c r="E2989" t="inlineStr">
        <is>
          <t>LYCKSELE</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39605-2024</t>
        </is>
      </c>
      <c r="B2990" s="1" t="n">
        <v>45552.38758101852</v>
      </c>
      <c r="C2990" s="1" t="n">
        <v>46075</v>
      </c>
      <c r="D2990" t="inlineStr">
        <is>
          <t>VÄSTERBOTTENS LÄN</t>
        </is>
      </c>
      <c r="E2990" t="inlineStr">
        <is>
          <t>LYCKSELE</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22339-2024</t>
        </is>
      </c>
      <c r="B2991" s="1" t="n">
        <v>45446</v>
      </c>
      <c r="C2991" s="1" t="n">
        <v>46075</v>
      </c>
      <c r="D2991" t="inlineStr">
        <is>
          <t>VÄSTERBOTTENS LÄN</t>
        </is>
      </c>
      <c r="E2991" t="inlineStr">
        <is>
          <t>ROBERTSFORS</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22405-2024</t>
        </is>
      </c>
      <c r="B2992" s="1" t="n">
        <v>45446</v>
      </c>
      <c r="C2992" s="1" t="n">
        <v>46075</v>
      </c>
      <c r="D2992" t="inlineStr">
        <is>
          <t>VÄSTERBOTTENS LÄN</t>
        </is>
      </c>
      <c r="E2992" t="inlineStr">
        <is>
          <t>VINDELN</t>
        </is>
      </c>
      <c r="G2992" t="n">
        <v>10.5</v>
      </c>
      <c r="H2992" t="n">
        <v>0</v>
      </c>
      <c r="I2992" t="n">
        <v>0</v>
      </c>
      <c r="J2992" t="n">
        <v>0</v>
      </c>
      <c r="K2992" t="n">
        <v>0</v>
      </c>
      <c r="L2992" t="n">
        <v>0</v>
      </c>
      <c r="M2992" t="n">
        <v>0</v>
      </c>
      <c r="N2992" t="n">
        <v>0</v>
      </c>
      <c r="O2992" t="n">
        <v>0</v>
      </c>
      <c r="P2992" t="n">
        <v>0</v>
      </c>
      <c r="Q2992" t="n">
        <v>0</v>
      </c>
      <c r="R2992" s="2" t="inlineStr"/>
    </row>
    <row r="2993" ht="15" customHeight="1">
      <c r="A2993" t="inlineStr">
        <is>
          <t>A 18578-2022</t>
        </is>
      </c>
      <c r="B2993" s="1" t="n">
        <v>44687.30193287037</v>
      </c>
      <c r="C2993" s="1" t="n">
        <v>46075</v>
      </c>
      <c r="D2993" t="inlineStr">
        <is>
          <t>VÄSTERBOTTENS LÄN</t>
        </is>
      </c>
      <c r="E2993" t="inlineStr">
        <is>
          <t>ÅSELE</t>
        </is>
      </c>
      <c r="F2993" t="inlineStr">
        <is>
          <t>Holmen skog AB</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39353-2023</t>
        </is>
      </c>
      <c r="B2994" s="1" t="n">
        <v>45166</v>
      </c>
      <c r="C2994" s="1" t="n">
        <v>46075</v>
      </c>
      <c r="D2994" t="inlineStr">
        <is>
          <t>VÄSTERBOTTENS LÄN</t>
        </is>
      </c>
      <c r="E2994" t="inlineStr">
        <is>
          <t>NORSJÖ</t>
        </is>
      </c>
      <c r="G2994" t="n">
        <v>2.8</v>
      </c>
      <c r="H2994" t="n">
        <v>0</v>
      </c>
      <c r="I2994" t="n">
        <v>0</v>
      </c>
      <c r="J2994" t="n">
        <v>0</v>
      </c>
      <c r="K2994" t="n">
        <v>0</v>
      </c>
      <c r="L2994" t="n">
        <v>0</v>
      </c>
      <c r="M2994" t="n">
        <v>0</v>
      </c>
      <c r="N2994" t="n">
        <v>0</v>
      </c>
      <c r="O2994" t="n">
        <v>0</v>
      </c>
      <c r="P2994" t="n">
        <v>0</v>
      </c>
      <c r="Q2994" t="n">
        <v>0</v>
      </c>
      <c r="R2994" s="2" t="inlineStr"/>
    </row>
    <row r="2995" ht="15" customHeight="1">
      <c r="A2995" t="inlineStr">
        <is>
          <t>A 52141-2022</t>
        </is>
      </c>
      <c r="B2995" s="1" t="n">
        <v>44868</v>
      </c>
      <c r="C2995" s="1" t="n">
        <v>46075</v>
      </c>
      <c r="D2995" t="inlineStr">
        <is>
          <t>VÄSTERBOTTENS LÄN</t>
        </is>
      </c>
      <c r="E2995" t="inlineStr">
        <is>
          <t>SKELLEFTEÅ</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29115-2021</t>
        </is>
      </c>
      <c r="B2996" s="1" t="n">
        <v>44358</v>
      </c>
      <c r="C2996" s="1" t="n">
        <v>46075</v>
      </c>
      <c r="D2996" t="inlineStr">
        <is>
          <t>VÄSTERBOTTENS LÄN</t>
        </is>
      </c>
      <c r="E2996" t="inlineStr">
        <is>
          <t>SKELLEFTEÅ</t>
        </is>
      </c>
      <c r="G2996" t="n">
        <v>4.4</v>
      </c>
      <c r="H2996" t="n">
        <v>0</v>
      </c>
      <c r="I2996" t="n">
        <v>0</v>
      </c>
      <c r="J2996" t="n">
        <v>0</v>
      </c>
      <c r="K2996" t="n">
        <v>0</v>
      </c>
      <c r="L2996" t="n">
        <v>0</v>
      </c>
      <c r="M2996" t="n">
        <v>0</v>
      </c>
      <c r="N2996" t="n">
        <v>0</v>
      </c>
      <c r="O2996" t="n">
        <v>0</v>
      </c>
      <c r="P2996" t="n">
        <v>0</v>
      </c>
      <c r="Q2996" t="n">
        <v>0</v>
      </c>
      <c r="R2996" s="2" t="inlineStr"/>
    </row>
    <row r="2997" ht="15" customHeight="1">
      <c r="A2997" t="inlineStr">
        <is>
          <t>A 32129-2024</t>
        </is>
      </c>
      <c r="B2997" s="1" t="n">
        <v>45511</v>
      </c>
      <c r="C2997" s="1" t="n">
        <v>46075</v>
      </c>
      <c r="D2997" t="inlineStr">
        <is>
          <t>VÄSTERBOTTENS LÄN</t>
        </is>
      </c>
      <c r="E2997" t="inlineStr">
        <is>
          <t>BJURHOLM</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23435-2024</t>
        </is>
      </c>
      <c r="B2998" s="1" t="n">
        <v>45453</v>
      </c>
      <c r="C2998" s="1" t="n">
        <v>46075</v>
      </c>
      <c r="D2998" t="inlineStr">
        <is>
          <t>VÄSTERBOTTENS LÄN</t>
        </is>
      </c>
      <c r="E2998" t="inlineStr">
        <is>
          <t>VINDELN</t>
        </is>
      </c>
      <c r="F2998" t="inlineStr">
        <is>
          <t>Sveaskog</t>
        </is>
      </c>
      <c r="G2998" t="n">
        <v>5.3</v>
      </c>
      <c r="H2998" t="n">
        <v>0</v>
      </c>
      <c r="I2998" t="n">
        <v>0</v>
      </c>
      <c r="J2998" t="n">
        <v>0</v>
      </c>
      <c r="K2998" t="n">
        <v>0</v>
      </c>
      <c r="L2998" t="n">
        <v>0</v>
      </c>
      <c r="M2998" t="n">
        <v>0</v>
      </c>
      <c r="N2998" t="n">
        <v>0</v>
      </c>
      <c r="O2998" t="n">
        <v>0</v>
      </c>
      <c r="P2998" t="n">
        <v>0</v>
      </c>
      <c r="Q2998" t="n">
        <v>0</v>
      </c>
      <c r="R2998" s="2" t="inlineStr"/>
    </row>
    <row r="2999" ht="15" customHeight="1">
      <c r="A2999" t="inlineStr">
        <is>
          <t>A 23438-2024</t>
        </is>
      </c>
      <c r="B2999" s="1" t="n">
        <v>45453.63103009259</v>
      </c>
      <c r="C2999" s="1" t="n">
        <v>46075</v>
      </c>
      <c r="D2999" t="inlineStr">
        <is>
          <t>VÄSTERBOTTENS LÄN</t>
        </is>
      </c>
      <c r="E2999" t="inlineStr">
        <is>
          <t>VINDELN</t>
        </is>
      </c>
      <c r="F2999" t="inlineStr">
        <is>
          <t>Sveaskog</t>
        </is>
      </c>
      <c r="G2999" t="n">
        <v>36.8</v>
      </c>
      <c r="H2999" t="n">
        <v>0</v>
      </c>
      <c r="I2999" t="n">
        <v>0</v>
      </c>
      <c r="J2999" t="n">
        <v>0</v>
      </c>
      <c r="K2999" t="n">
        <v>0</v>
      </c>
      <c r="L2999" t="n">
        <v>0</v>
      </c>
      <c r="M2999" t="n">
        <v>0</v>
      </c>
      <c r="N2999" t="n">
        <v>0</v>
      </c>
      <c r="O2999" t="n">
        <v>0</v>
      </c>
      <c r="P2999" t="n">
        <v>0</v>
      </c>
      <c r="Q2999" t="n">
        <v>0</v>
      </c>
      <c r="R2999" s="2" t="inlineStr"/>
    </row>
    <row r="3000" ht="15" customHeight="1">
      <c r="A3000" t="inlineStr">
        <is>
          <t>A 60656-2024</t>
        </is>
      </c>
      <c r="B3000" s="1" t="n">
        <v>45642</v>
      </c>
      <c r="C3000" s="1" t="n">
        <v>46075</v>
      </c>
      <c r="D3000" t="inlineStr">
        <is>
          <t>VÄSTERBOTTENS LÄN</t>
        </is>
      </c>
      <c r="E3000" t="inlineStr">
        <is>
          <t>STORUMAN</t>
        </is>
      </c>
      <c r="G3000" t="n">
        <v>5.5</v>
      </c>
      <c r="H3000" t="n">
        <v>0</v>
      </c>
      <c r="I3000" t="n">
        <v>0</v>
      </c>
      <c r="J3000" t="n">
        <v>0</v>
      </c>
      <c r="K3000" t="n">
        <v>0</v>
      </c>
      <c r="L3000" t="n">
        <v>0</v>
      </c>
      <c r="M3000" t="n">
        <v>0</v>
      </c>
      <c r="N3000" t="n">
        <v>0</v>
      </c>
      <c r="O3000" t="n">
        <v>0</v>
      </c>
      <c r="P3000" t="n">
        <v>0</v>
      </c>
      <c r="Q3000" t="n">
        <v>0</v>
      </c>
      <c r="R3000" s="2" t="inlineStr"/>
    </row>
    <row r="3001" ht="15" customHeight="1">
      <c r="A3001" t="inlineStr">
        <is>
          <t>A 39304-2023</t>
        </is>
      </c>
      <c r="B3001" s="1" t="n">
        <v>45166</v>
      </c>
      <c r="C3001" s="1" t="n">
        <v>46075</v>
      </c>
      <c r="D3001" t="inlineStr">
        <is>
          <t>VÄSTERBOTTENS LÄN</t>
        </is>
      </c>
      <c r="E3001" t="inlineStr">
        <is>
          <t>MALÅ</t>
        </is>
      </c>
      <c r="F3001" t="inlineStr">
        <is>
          <t>Kyrkan</t>
        </is>
      </c>
      <c r="G3001" t="n">
        <v>27.3</v>
      </c>
      <c r="H3001" t="n">
        <v>0</v>
      </c>
      <c r="I3001" t="n">
        <v>0</v>
      </c>
      <c r="J3001" t="n">
        <v>0</v>
      </c>
      <c r="K3001" t="n">
        <v>0</v>
      </c>
      <c r="L3001" t="n">
        <v>0</v>
      </c>
      <c r="M3001" t="n">
        <v>0</v>
      </c>
      <c r="N3001" t="n">
        <v>0</v>
      </c>
      <c r="O3001" t="n">
        <v>0</v>
      </c>
      <c r="P3001" t="n">
        <v>0</v>
      </c>
      <c r="Q3001" t="n">
        <v>0</v>
      </c>
      <c r="R3001" s="2" t="inlineStr"/>
    </row>
    <row r="3002" ht="15" customHeight="1">
      <c r="A3002" t="inlineStr">
        <is>
          <t>A 23445-2024</t>
        </is>
      </c>
      <c r="B3002" s="1" t="n">
        <v>45453</v>
      </c>
      <c r="C3002" s="1" t="n">
        <v>46075</v>
      </c>
      <c r="D3002" t="inlineStr">
        <is>
          <t>VÄSTERBOTTENS LÄN</t>
        </is>
      </c>
      <c r="E3002" t="inlineStr">
        <is>
          <t>SKELLEFTEÅ</t>
        </is>
      </c>
      <c r="F3002" t="inlineStr">
        <is>
          <t>Sveaskog</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25902-2022</t>
        </is>
      </c>
      <c r="B3003" s="1" t="n">
        <v>44733</v>
      </c>
      <c r="C3003" s="1" t="n">
        <v>46075</v>
      </c>
      <c r="D3003" t="inlineStr">
        <is>
          <t>VÄSTERBOTTENS LÄN</t>
        </is>
      </c>
      <c r="E3003" t="inlineStr">
        <is>
          <t>LYCKSELE</t>
        </is>
      </c>
      <c r="G3003" t="n">
        <v>8.199999999999999</v>
      </c>
      <c r="H3003" t="n">
        <v>0</v>
      </c>
      <c r="I3003" t="n">
        <v>0</v>
      </c>
      <c r="J3003" t="n">
        <v>0</v>
      </c>
      <c r="K3003" t="n">
        <v>0</v>
      </c>
      <c r="L3003" t="n">
        <v>0</v>
      </c>
      <c r="M3003" t="n">
        <v>0</v>
      </c>
      <c r="N3003" t="n">
        <v>0</v>
      </c>
      <c r="O3003" t="n">
        <v>0</v>
      </c>
      <c r="P3003" t="n">
        <v>0</v>
      </c>
      <c r="Q3003" t="n">
        <v>0</v>
      </c>
      <c r="R3003" s="2" t="inlineStr"/>
    </row>
    <row r="3004" ht="15" customHeight="1">
      <c r="A3004" t="inlineStr">
        <is>
          <t>A 25904-2022</t>
        </is>
      </c>
      <c r="B3004" s="1" t="n">
        <v>44733.92600694444</v>
      </c>
      <c r="C3004" s="1" t="n">
        <v>46075</v>
      </c>
      <c r="D3004" t="inlineStr">
        <is>
          <t>VÄSTERBOTTENS LÄN</t>
        </is>
      </c>
      <c r="E3004" t="inlineStr">
        <is>
          <t>ROBERTSFORS</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25945-2022</t>
        </is>
      </c>
      <c r="B3005" s="1" t="n">
        <v>44734</v>
      </c>
      <c r="C3005" s="1" t="n">
        <v>46075</v>
      </c>
      <c r="D3005" t="inlineStr">
        <is>
          <t>VÄSTERBOTTENS LÄN</t>
        </is>
      </c>
      <c r="E3005" t="inlineStr">
        <is>
          <t>SORSELE</t>
        </is>
      </c>
      <c r="G3005" t="n">
        <v>7.7</v>
      </c>
      <c r="H3005" t="n">
        <v>0</v>
      </c>
      <c r="I3005" t="n">
        <v>0</v>
      </c>
      <c r="J3005" t="n">
        <v>0</v>
      </c>
      <c r="K3005" t="n">
        <v>0</v>
      </c>
      <c r="L3005" t="n">
        <v>0</v>
      </c>
      <c r="M3005" t="n">
        <v>0</v>
      </c>
      <c r="N3005" t="n">
        <v>0</v>
      </c>
      <c r="O3005" t="n">
        <v>0</v>
      </c>
      <c r="P3005" t="n">
        <v>0</v>
      </c>
      <c r="Q3005" t="n">
        <v>0</v>
      </c>
      <c r="R3005" s="2" t="inlineStr"/>
    </row>
    <row r="3006" ht="15" customHeight="1">
      <c r="A3006" t="inlineStr">
        <is>
          <t>A 25966-2022</t>
        </is>
      </c>
      <c r="B3006" s="1" t="n">
        <v>44734</v>
      </c>
      <c r="C3006" s="1" t="n">
        <v>46075</v>
      </c>
      <c r="D3006" t="inlineStr">
        <is>
          <t>VÄSTERBOTTENS LÄN</t>
        </is>
      </c>
      <c r="E3006" t="inlineStr">
        <is>
          <t>UMEÅ</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33530-2024</t>
        </is>
      </c>
      <c r="B3007" s="1" t="n">
        <v>45519.67211805555</v>
      </c>
      <c r="C3007" s="1" t="n">
        <v>46075</v>
      </c>
      <c r="D3007" t="inlineStr">
        <is>
          <t>VÄSTERBOTTENS LÄN</t>
        </is>
      </c>
      <c r="E3007" t="inlineStr">
        <is>
          <t>SKELLEFTEÅ</t>
        </is>
      </c>
      <c r="G3007" t="n">
        <v>5</v>
      </c>
      <c r="H3007" t="n">
        <v>0</v>
      </c>
      <c r="I3007" t="n">
        <v>0</v>
      </c>
      <c r="J3007" t="n">
        <v>0</v>
      </c>
      <c r="K3007" t="n">
        <v>0</v>
      </c>
      <c r="L3007" t="n">
        <v>0</v>
      </c>
      <c r="M3007" t="n">
        <v>0</v>
      </c>
      <c r="N3007" t="n">
        <v>0</v>
      </c>
      <c r="O3007" t="n">
        <v>0</v>
      </c>
      <c r="P3007" t="n">
        <v>0</v>
      </c>
      <c r="Q3007" t="n">
        <v>0</v>
      </c>
      <c r="R3007" s="2" t="inlineStr"/>
    </row>
    <row r="3008" ht="15" customHeight="1">
      <c r="A3008" t="inlineStr">
        <is>
          <t>A 40445-2024</t>
        </is>
      </c>
      <c r="B3008" s="1" t="n">
        <v>45555</v>
      </c>
      <c r="C3008" s="1" t="n">
        <v>46075</v>
      </c>
      <c r="D3008" t="inlineStr">
        <is>
          <t>VÄSTERBOTTENS LÄN</t>
        </is>
      </c>
      <c r="E3008" t="inlineStr">
        <is>
          <t>LYCKSELE</t>
        </is>
      </c>
      <c r="G3008" t="n">
        <v>3.6</v>
      </c>
      <c r="H3008" t="n">
        <v>0</v>
      </c>
      <c r="I3008" t="n">
        <v>0</v>
      </c>
      <c r="J3008" t="n">
        <v>0</v>
      </c>
      <c r="K3008" t="n">
        <v>0</v>
      </c>
      <c r="L3008" t="n">
        <v>0</v>
      </c>
      <c r="M3008" t="n">
        <v>0</v>
      </c>
      <c r="N3008" t="n">
        <v>0</v>
      </c>
      <c r="O3008" t="n">
        <v>0</v>
      </c>
      <c r="P3008" t="n">
        <v>0</v>
      </c>
      <c r="Q3008" t="n">
        <v>0</v>
      </c>
      <c r="R3008" s="2" t="inlineStr"/>
    </row>
    <row r="3009" ht="15" customHeight="1">
      <c r="A3009" t="inlineStr">
        <is>
          <t>A 51544-2023</t>
        </is>
      </c>
      <c r="B3009" s="1" t="n">
        <v>45222.41521990741</v>
      </c>
      <c r="C3009" s="1" t="n">
        <v>46075</v>
      </c>
      <c r="D3009" t="inlineStr">
        <is>
          <t>VÄSTERBOTTENS LÄN</t>
        </is>
      </c>
      <c r="E3009" t="inlineStr">
        <is>
          <t>UMEÅ</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40471-2024</t>
        </is>
      </c>
      <c r="B3010" s="1" t="n">
        <v>45555</v>
      </c>
      <c r="C3010" s="1" t="n">
        <v>46075</v>
      </c>
      <c r="D3010" t="inlineStr">
        <is>
          <t>VÄSTERBOTTENS LÄN</t>
        </is>
      </c>
      <c r="E3010" t="inlineStr">
        <is>
          <t>SORSELE</t>
        </is>
      </c>
      <c r="F3010" t="inlineStr">
        <is>
          <t>SCA</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55907-2024</t>
        </is>
      </c>
      <c r="B3011" s="1" t="n">
        <v>45623.58414351852</v>
      </c>
      <c r="C3011" s="1" t="n">
        <v>46075</v>
      </c>
      <c r="D3011" t="inlineStr">
        <is>
          <t>VÄSTERBOTTENS LÄN</t>
        </is>
      </c>
      <c r="E3011" t="inlineStr">
        <is>
          <t>SKELLEFTEÅ</t>
        </is>
      </c>
      <c r="F3011" t="inlineStr">
        <is>
          <t>Holmen skog AB</t>
        </is>
      </c>
      <c r="G3011" t="n">
        <v>4.9</v>
      </c>
      <c r="H3011" t="n">
        <v>0</v>
      </c>
      <c r="I3011" t="n">
        <v>0</v>
      </c>
      <c r="J3011" t="n">
        <v>0</v>
      </c>
      <c r="K3011" t="n">
        <v>0</v>
      </c>
      <c r="L3011" t="n">
        <v>0</v>
      </c>
      <c r="M3011" t="n">
        <v>0</v>
      </c>
      <c r="N3011" t="n">
        <v>0</v>
      </c>
      <c r="O3011" t="n">
        <v>0</v>
      </c>
      <c r="P3011" t="n">
        <v>0</v>
      </c>
      <c r="Q3011" t="n">
        <v>0</v>
      </c>
      <c r="R3011" s="2" t="inlineStr"/>
    </row>
    <row r="3012" ht="15" customHeight="1">
      <c r="A3012" t="inlineStr">
        <is>
          <t>A 40485-2024</t>
        </is>
      </c>
      <c r="B3012" s="1" t="n">
        <v>45555.55734953703</v>
      </c>
      <c r="C3012" s="1" t="n">
        <v>46075</v>
      </c>
      <c r="D3012" t="inlineStr">
        <is>
          <t>VÄSTERBOTTENS LÄN</t>
        </is>
      </c>
      <c r="E3012" t="inlineStr">
        <is>
          <t>VINDELN</t>
        </is>
      </c>
      <c r="F3012" t="inlineStr">
        <is>
          <t>Holmen skog AB</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40488-2024</t>
        </is>
      </c>
      <c r="B3013" s="1" t="n">
        <v>45555.55739583333</v>
      </c>
      <c r="C3013" s="1" t="n">
        <v>46075</v>
      </c>
      <c r="D3013" t="inlineStr">
        <is>
          <t>VÄSTERBOTTENS LÄN</t>
        </is>
      </c>
      <c r="E3013" t="inlineStr">
        <is>
          <t>LYCKSELE</t>
        </is>
      </c>
      <c r="F3013" t="inlineStr">
        <is>
          <t>Sveaskog</t>
        </is>
      </c>
      <c r="G3013" t="n">
        <v>6.8</v>
      </c>
      <c r="H3013" t="n">
        <v>0</v>
      </c>
      <c r="I3013" t="n">
        <v>0</v>
      </c>
      <c r="J3013" t="n">
        <v>0</v>
      </c>
      <c r="K3013" t="n">
        <v>0</v>
      </c>
      <c r="L3013" t="n">
        <v>0</v>
      </c>
      <c r="M3013" t="n">
        <v>0</v>
      </c>
      <c r="N3013" t="n">
        <v>0</v>
      </c>
      <c r="O3013" t="n">
        <v>0</v>
      </c>
      <c r="P3013" t="n">
        <v>0</v>
      </c>
      <c r="Q3013" t="n">
        <v>0</v>
      </c>
      <c r="R3013" s="2" t="inlineStr"/>
    </row>
    <row r="3014" ht="15" customHeight="1">
      <c r="A3014" t="inlineStr">
        <is>
          <t>A 2509-2025</t>
        </is>
      </c>
      <c r="B3014" s="1" t="n">
        <v>45674.57372685185</v>
      </c>
      <c r="C3014" s="1" t="n">
        <v>46075</v>
      </c>
      <c r="D3014" t="inlineStr">
        <is>
          <t>VÄSTERBOTTENS LÄN</t>
        </is>
      </c>
      <c r="E3014" t="inlineStr">
        <is>
          <t>DOROTEA</t>
        </is>
      </c>
      <c r="F3014" t="inlineStr">
        <is>
          <t>SCA</t>
        </is>
      </c>
      <c r="G3014" t="n">
        <v>7.3</v>
      </c>
      <c r="H3014" t="n">
        <v>0</v>
      </c>
      <c r="I3014" t="n">
        <v>0</v>
      </c>
      <c r="J3014" t="n">
        <v>0</v>
      </c>
      <c r="K3014" t="n">
        <v>0</v>
      </c>
      <c r="L3014" t="n">
        <v>0</v>
      </c>
      <c r="M3014" t="n">
        <v>0</v>
      </c>
      <c r="N3014" t="n">
        <v>0</v>
      </c>
      <c r="O3014" t="n">
        <v>0</v>
      </c>
      <c r="P3014" t="n">
        <v>0</v>
      </c>
      <c r="Q3014" t="n">
        <v>0</v>
      </c>
      <c r="R3014" s="2" t="inlineStr"/>
    </row>
    <row r="3015" ht="15" customHeight="1">
      <c r="A3015" t="inlineStr">
        <is>
          <t>A 47441-2024</t>
        </is>
      </c>
      <c r="B3015" s="1" t="n">
        <v>45587</v>
      </c>
      <c r="C3015" s="1" t="n">
        <v>46075</v>
      </c>
      <c r="D3015" t="inlineStr">
        <is>
          <t>VÄSTERBOTTENS LÄN</t>
        </is>
      </c>
      <c r="E3015" t="inlineStr">
        <is>
          <t>ÅSELE</t>
        </is>
      </c>
      <c r="F3015" t="inlineStr">
        <is>
          <t>SCA</t>
        </is>
      </c>
      <c r="G3015" t="n">
        <v>3.7</v>
      </c>
      <c r="H3015" t="n">
        <v>0</v>
      </c>
      <c r="I3015" t="n">
        <v>0</v>
      </c>
      <c r="J3015" t="n">
        <v>0</v>
      </c>
      <c r="K3015" t="n">
        <v>0</v>
      </c>
      <c r="L3015" t="n">
        <v>0</v>
      </c>
      <c r="M3015" t="n">
        <v>0</v>
      </c>
      <c r="N3015" t="n">
        <v>0</v>
      </c>
      <c r="O3015" t="n">
        <v>0</v>
      </c>
      <c r="P3015" t="n">
        <v>0</v>
      </c>
      <c r="Q3015" t="n">
        <v>0</v>
      </c>
      <c r="R3015" s="2" t="inlineStr"/>
    </row>
    <row r="3016" ht="15" customHeight="1">
      <c r="A3016" t="inlineStr">
        <is>
          <t>A 55978-2024</t>
        </is>
      </c>
      <c r="B3016" s="1" t="n">
        <v>45623</v>
      </c>
      <c r="C3016" s="1" t="n">
        <v>46075</v>
      </c>
      <c r="D3016" t="inlineStr">
        <is>
          <t>VÄSTERBOTTENS LÄN</t>
        </is>
      </c>
      <c r="E3016" t="inlineStr">
        <is>
          <t>VILHELMINA</t>
        </is>
      </c>
      <c r="F3016" t="inlineStr">
        <is>
          <t>SCA</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34317-2024</t>
        </is>
      </c>
      <c r="B3017" s="1" t="n">
        <v>45524.70659722222</v>
      </c>
      <c r="C3017" s="1" t="n">
        <v>46075</v>
      </c>
      <c r="D3017" t="inlineStr">
        <is>
          <t>VÄSTERBOTTENS LÄN</t>
        </is>
      </c>
      <c r="E3017" t="inlineStr">
        <is>
          <t>NORSJÖ</t>
        </is>
      </c>
      <c r="F3017" t="inlineStr">
        <is>
          <t>Holmen skog AB</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38035-2023</t>
        </is>
      </c>
      <c r="B3018" s="1" t="n">
        <v>45159</v>
      </c>
      <c r="C3018" s="1" t="n">
        <v>46075</v>
      </c>
      <c r="D3018" t="inlineStr">
        <is>
          <t>VÄSTERBOTTENS LÄN</t>
        </is>
      </c>
      <c r="E3018" t="inlineStr">
        <is>
          <t>VINDELN</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34332-2024</t>
        </is>
      </c>
      <c r="B3019" s="1" t="n">
        <v>45524.89719907408</v>
      </c>
      <c r="C3019" s="1" t="n">
        <v>46075</v>
      </c>
      <c r="D3019" t="inlineStr">
        <is>
          <t>VÄSTERBOTTENS LÄN</t>
        </is>
      </c>
      <c r="E3019" t="inlineStr">
        <is>
          <t>SKELLEFTEÅ</t>
        </is>
      </c>
      <c r="F3019" t="inlineStr">
        <is>
          <t>Sveaskog</t>
        </is>
      </c>
      <c r="G3019" t="n">
        <v>9.5</v>
      </c>
      <c r="H3019" t="n">
        <v>0</v>
      </c>
      <c r="I3019" t="n">
        <v>0</v>
      </c>
      <c r="J3019" t="n">
        <v>0</v>
      </c>
      <c r="K3019" t="n">
        <v>0</v>
      </c>
      <c r="L3019" t="n">
        <v>0</v>
      </c>
      <c r="M3019" t="n">
        <v>0</v>
      </c>
      <c r="N3019" t="n">
        <v>0</v>
      </c>
      <c r="O3019" t="n">
        <v>0</v>
      </c>
      <c r="P3019" t="n">
        <v>0</v>
      </c>
      <c r="Q3019" t="n">
        <v>0</v>
      </c>
      <c r="R3019" s="2" t="inlineStr"/>
    </row>
    <row r="3020" ht="15" customHeight="1">
      <c r="A3020" t="inlineStr">
        <is>
          <t>A 56182-2023</t>
        </is>
      </c>
      <c r="B3020" s="1" t="n">
        <v>45240.63961805555</v>
      </c>
      <c r="C3020" s="1" t="n">
        <v>46075</v>
      </c>
      <c r="D3020" t="inlineStr">
        <is>
          <t>VÄSTERBOTTENS LÄN</t>
        </is>
      </c>
      <c r="E3020" t="inlineStr">
        <is>
          <t>VINDELN</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35412-2024</t>
        </is>
      </c>
      <c r="B3021" s="1" t="n">
        <v>45531.4075</v>
      </c>
      <c r="C3021" s="1" t="n">
        <v>46075</v>
      </c>
      <c r="D3021" t="inlineStr">
        <is>
          <t>VÄSTERBOTTENS LÄN</t>
        </is>
      </c>
      <c r="E3021" t="inlineStr">
        <is>
          <t>VILHELMINA</t>
        </is>
      </c>
      <c r="F3021" t="inlineStr">
        <is>
          <t>SCA</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4629-2022</t>
        </is>
      </c>
      <c r="B3022" s="1" t="n">
        <v>44592.40050925926</v>
      </c>
      <c r="C3022" s="1" t="n">
        <v>46075</v>
      </c>
      <c r="D3022" t="inlineStr">
        <is>
          <t>VÄSTERBOTTENS LÄN</t>
        </is>
      </c>
      <c r="E3022" t="inlineStr">
        <is>
          <t>UMEÅ</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56891-2023</t>
        </is>
      </c>
      <c r="B3023" s="1" t="n">
        <v>45239</v>
      </c>
      <c r="C3023" s="1" t="n">
        <v>46075</v>
      </c>
      <c r="D3023" t="inlineStr">
        <is>
          <t>VÄSTERBOTTENS LÄN</t>
        </is>
      </c>
      <c r="E3023" t="inlineStr">
        <is>
          <t>VILHELMINA</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19795-2025</t>
        </is>
      </c>
      <c r="B3024" s="1" t="n">
        <v>45771.44666666666</v>
      </c>
      <c r="C3024" s="1" t="n">
        <v>46075</v>
      </c>
      <c r="D3024" t="inlineStr">
        <is>
          <t>VÄSTERBOTTENS LÄN</t>
        </is>
      </c>
      <c r="E3024" t="inlineStr">
        <is>
          <t>SKELLEFTEÅ</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30421-2024</t>
        </is>
      </c>
      <c r="B3025" s="1" t="n">
        <v>45491.66295138889</v>
      </c>
      <c r="C3025" s="1" t="n">
        <v>46075</v>
      </c>
      <c r="D3025" t="inlineStr">
        <is>
          <t>VÄSTERBOTTENS LÄN</t>
        </is>
      </c>
      <c r="E3025" t="inlineStr">
        <is>
          <t>LYCKSELE</t>
        </is>
      </c>
      <c r="F3025" t="inlineStr">
        <is>
          <t>Sveaskog</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30438-2024</t>
        </is>
      </c>
      <c r="B3026" s="1" t="n">
        <v>45491</v>
      </c>
      <c r="C3026" s="1" t="n">
        <v>46075</v>
      </c>
      <c r="D3026" t="inlineStr">
        <is>
          <t>VÄSTERBOTTENS LÄN</t>
        </is>
      </c>
      <c r="E3026" t="inlineStr">
        <is>
          <t>NORDMALING</t>
        </is>
      </c>
      <c r="G3026" t="n">
        <v>5.4</v>
      </c>
      <c r="H3026" t="n">
        <v>0</v>
      </c>
      <c r="I3026" t="n">
        <v>0</v>
      </c>
      <c r="J3026" t="n">
        <v>0</v>
      </c>
      <c r="K3026" t="n">
        <v>0</v>
      </c>
      <c r="L3026" t="n">
        <v>0</v>
      </c>
      <c r="M3026" t="n">
        <v>0</v>
      </c>
      <c r="N3026" t="n">
        <v>0</v>
      </c>
      <c r="O3026" t="n">
        <v>0</v>
      </c>
      <c r="P3026" t="n">
        <v>0</v>
      </c>
      <c r="Q3026" t="n">
        <v>0</v>
      </c>
      <c r="R3026" s="2" t="inlineStr"/>
    </row>
    <row r="3027" ht="15" customHeight="1">
      <c r="A3027" t="inlineStr">
        <is>
          <t>A 12034-2025</t>
        </is>
      </c>
      <c r="B3027" s="1" t="n">
        <v>45728.64752314815</v>
      </c>
      <c r="C3027" s="1" t="n">
        <v>46075</v>
      </c>
      <c r="D3027" t="inlineStr">
        <is>
          <t>VÄSTERBOTTENS LÄN</t>
        </is>
      </c>
      <c r="E3027" t="inlineStr">
        <is>
          <t>ROBERTSFORS</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6969-2024</t>
        </is>
      </c>
      <c r="B3028" s="1" t="n">
        <v>45343</v>
      </c>
      <c r="C3028" s="1" t="n">
        <v>46075</v>
      </c>
      <c r="D3028" t="inlineStr">
        <is>
          <t>VÄSTERBOTTENS LÄN</t>
        </is>
      </c>
      <c r="E3028" t="inlineStr">
        <is>
          <t>NORDMALING</t>
        </is>
      </c>
      <c r="G3028" t="n">
        <v>5.2</v>
      </c>
      <c r="H3028" t="n">
        <v>0</v>
      </c>
      <c r="I3028" t="n">
        <v>0</v>
      </c>
      <c r="J3028" t="n">
        <v>0</v>
      </c>
      <c r="K3028" t="n">
        <v>0</v>
      </c>
      <c r="L3028" t="n">
        <v>0</v>
      </c>
      <c r="M3028" t="n">
        <v>0</v>
      </c>
      <c r="N3028" t="n">
        <v>0</v>
      </c>
      <c r="O3028" t="n">
        <v>0</v>
      </c>
      <c r="P3028" t="n">
        <v>0</v>
      </c>
      <c r="Q3028" t="n">
        <v>0</v>
      </c>
      <c r="R3028" s="2" t="inlineStr"/>
    </row>
    <row r="3029" ht="15" customHeight="1">
      <c r="A3029" t="inlineStr">
        <is>
          <t>A 6998-2024</t>
        </is>
      </c>
      <c r="B3029" s="1" t="n">
        <v>45343</v>
      </c>
      <c r="C3029" s="1" t="n">
        <v>46075</v>
      </c>
      <c r="D3029" t="inlineStr">
        <is>
          <t>VÄSTERBOTTENS LÄN</t>
        </is>
      </c>
      <c r="E3029" t="inlineStr">
        <is>
          <t>UMEÅ</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30901-2024</t>
        </is>
      </c>
      <c r="B3030" s="1" t="n">
        <v>45498</v>
      </c>
      <c r="C3030" s="1" t="n">
        <v>46075</v>
      </c>
      <c r="D3030" t="inlineStr">
        <is>
          <t>VÄSTERBOTTENS LÄN</t>
        </is>
      </c>
      <c r="E3030" t="inlineStr">
        <is>
          <t>SKELLEFTEÅ</t>
        </is>
      </c>
      <c r="G3030" t="n">
        <v>4</v>
      </c>
      <c r="H3030" t="n">
        <v>0</v>
      </c>
      <c r="I3030" t="n">
        <v>0</v>
      </c>
      <c r="J3030" t="n">
        <v>0</v>
      </c>
      <c r="K3030" t="n">
        <v>0</v>
      </c>
      <c r="L3030" t="n">
        <v>0</v>
      </c>
      <c r="M3030" t="n">
        <v>0</v>
      </c>
      <c r="N3030" t="n">
        <v>0</v>
      </c>
      <c r="O3030" t="n">
        <v>0</v>
      </c>
      <c r="P3030" t="n">
        <v>0</v>
      </c>
      <c r="Q3030" t="n">
        <v>0</v>
      </c>
      <c r="R3030" s="2" t="inlineStr"/>
    </row>
    <row r="3031" ht="15" customHeight="1">
      <c r="A3031" t="inlineStr">
        <is>
          <t>A 46028-2024</t>
        </is>
      </c>
      <c r="B3031" s="1" t="n">
        <v>45580.70097222222</v>
      </c>
      <c r="C3031" s="1" t="n">
        <v>46075</v>
      </c>
      <c r="D3031" t="inlineStr">
        <is>
          <t>VÄSTERBOTTENS LÄN</t>
        </is>
      </c>
      <c r="E3031" t="inlineStr">
        <is>
          <t>UMEÅ</t>
        </is>
      </c>
      <c r="G3031" t="n">
        <v>3.4</v>
      </c>
      <c r="H3031" t="n">
        <v>0</v>
      </c>
      <c r="I3031" t="n">
        <v>0</v>
      </c>
      <c r="J3031" t="n">
        <v>0</v>
      </c>
      <c r="K3031" t="n">
        <v>0</v>
      </c>
      <c r="L3031" t="n">
        <v>0</v>
      </c>
      <c r="M3031" t="n">
        <v>0</v>
      </c>
      <c r="N3031" t="n">
        <v>0</v>
      </c>
      <c r="O3031" t="n">
        <v>0</v>
      </c>
      <c r="P3031" t="n">
        <v>0</v>
      </c>
      <c r="Q3031" t="n">
        <v>0</v>
      </c>
      <c r="R3031" s="2" t="inlineStr"/>
    </row>
    <row r="3032" ht="15" customHeight="1">
      <c r="A3032" t="inlineStr">
        <is>
          <t>A 43860-2024</t>
        </is>
      </c>
      <c r="B3032" s="1" t="n">
        <v>45572.36284722222</v>
      </c>
      <c r="C3032" s="1" t="n">
        <v>46075</v>
      </c>
      <c r="D3032" t="inlineStr">
        <is>
          <t>VÄSTERBOTTENS LÄN</t>
        </is>
      </c>
      <c r="E3032" t="inlineStr">
        <is>
          <t>MALÅ</t>
        </is>
      </c>
      <c r="F3032" t="inlineStr">
        <is>
          <t>Kommuner</t>
        </is>
      </c>
      <c r="G3032" t="n">
        <v>5</v>
      </c>
      <c r="H3032" t="n">
        <v>0</v>
      </c>
      <c r="I3032" t="n">
        <v>0</v>
      </c>
      <c r="J3032" t="n">
        <v>0</v>
      </c>
      <c r="K3032" t="n">
        <v>0</v>
      </c>
      <c r="L3032" t="n">
        <v>0</v>
      </c>
      <c r="M3032" t="n">
        <v>0</v>
      </c>
      <c r="N3032" t="n">
        <v>0</v>
      </c>
      <c r="O3032" t="n">
        <v>0</v>
      </c>
      <c r="P3032" t="n">
        <v>0</v>
      </c>
      <c r="Q3032" t="n">
        <v>0</v>
      </c>
      <c r="R3032" s="2" t="inlineStr"/>
    </row>
    <row r="3033" ht="15" customHeight="1">
      <c r="A3033" t="inlineStr">
        <is>
          <t>A 10718-2025</t>
        </is>
      </c>
      <c r="B3033" s="1" t="n">
        <v>45722.37076388889</v>
      </c>
      <c r="C3033" s="1" t="n">
        <v>46075</v>
      </c>
      <c r="D3033" t="inlineStr">
        <is>
          <t>VÄSTERBOTTENS LÄN</t>
        </is>
      </c>
      <c r="E3033" t="inlineStr">
        <is>
          <t>UMEÅ</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38818-2023</t>
        </is>
      </c>
      <c r="B3034" s="1" t="n">
        <v>45161</v>
      </c>
      <c r="C3034" s="1" t="n">
        <v>46075</v>
      </c>
      <c r="D3034" t="inlineStr">
        <is>
          <t>VÄSTERBOTTENS LÄN</t>
        </is>
      </c>
      <c r="E3034" t="inlineStr">
        <is>
          <t>SKELLEFTEÅ</t>
        </is>
      </c>
      <c r="G3034" t="n">
        <v>2.8</v>
      </c>
      <c r="H3034" t="n">
        <v>0</v>
      </c>
      <c r="I3034" t="n">
        <v>0</v>
      </c>
      <c r="J3034" t="n">
        <v>0</v>
      </c>
      <c r="K3034" t="n">
        <v>0</v>
      </c>
      <c r="L3034" t="n">
        <v>0</v>
      </c>
      <c r="M3034" t="n">
        <v>0</v>
      </c>
      <c r="N3034" t="n">
        <v>0</v>
      </c>
      <c r="O3034" t="n">
        <v>0</v>
      </c>
      <c r="P3034" t="n">
        <v>0</v>
      </c>
      <c r="Q3034" t="n">
        <v>0</v>
      </c>
      <c r="R3034" s="2" t="inlineStr"/>
    </row>
    <row r="3035" ht="15" customHeight="1">
      <c r="A3035" t="inlineStr">
        <is>
          <t>A 57777-2023</t>
        </is>
      </c>
      <c r="B3035" s="1" t="n">
        <v>45246</v>
      </c>
      <c r="C3035" s="1" t="n">
        <v>46075</v>
      </c>
      <c r="D3035" t="inlineStr">
        <is>
          <t>VÄSTERBOTTENS LÄN</t>
        </is>
      </c>
      <c r="E3035" t="inlineStr">
        <is>
          <t>VÄNNÄS</t>
        </is>
      </c>
      <c r="G3035" t="n">
        <v>4.9</v>
      </c>
      <c r="H3035" t="n">
        <v>0</v>
      </c>
      <c r="I3035" t="n">
        <v>0</v>
      </c>
      <c r="J3035" t="n">
        <v>0</v>
      </c>
      <c r="K3035" t="n">
        <v>0</v>
      </c>
      <c r="L3035" t="n">
        <v>0</v>
      </c>
      <c r="M3035" t="n">
        <v>0</v>
      </c>
      <c r="N3035" t="n">
        <v>0</v>
      </c>
      <c r="O3035" t="n">
        <v>0</v>
      </c>
      <c r="P3035" t="n">
        <v>0</v>
      </c>
      <c r="Q3035" t="n">
        <v>0</v>
      </c>
      <c r="R3035" s="2" t="inlineStr"/>
    </row>
    <row r="3036" ht="15" customHeight="1">
      <c r="A3036" t="inlineStr">
        <is>
          <t>A 36082-2022</t>
        </is>
      </c>
      <c r="B3036" s="1" t="n">
        <v>44802</v>
      </c>
      <c r="C3036" s="1" t="n">
        <v>46075</v>
      </c>
      <c r="D3036" t="inlineStr">
        <is>
          <t>VÄSTERBOTTENS LÄN</t>
        </is>
      </c>
      <c r="E3036" t="inlineStr">
        <is>
          <t>VILHELMINA</t>
        </is>
      </c>
      <c r="F3036" t="inlineStr">
        <is>
          <t>SCA</t>
        </is>
      </c>
      <c r="G3036" t="n">
        <v>6.2</v>
      </c>
      <c r="H3036" t="n">
        <v>0</v>
      </c>
      <c r="I3036" t="n">
        <v>0</v>
      </c>
      <c r="J3036" t="n">
        <v>0</v>
      </c>
      <c r="K3036" t="n">
        <v>0</v>
      </c>
      <c r="L3036" t="n">
        <v>0</v>
      </c>
      <c r="M3036" t="n">
        <v>0</v>
      </c>
      <c r="N3036" t="n">
        <v>0</v>
      </c>
      <c r="O3036" t="n">
        <v>0</v>
      </c>
      <c r="P3036" t="n">
        <v>0</v>
      </c>
      <c r="Q3036" t="n">
        <v>0</v>
      </c>
      <c r="R3036" s="2" t="inlineStr"/>
    </row>
    <row r="3037" ht="15" customHeight="1">
      <c r="A3037" t="inlineStr">
        <is>
          <t>A 10795-2023</t>
        </is>
      </c>
      <c r="B3037" s="1" t="n">
        <v>44989.42253472222</v>
      </c>
      <c r="C3037" s="1" t="n">
        <v>46075</v>
      </c>
      <c r="D3037" t="inlineStr">
        <is>
          <t>VÄSTERBOTTENS LÄN</t>
        </is>
      </c>
      <c r="E3037" t="inlineStr">
        <is>
          <t>SORSELE</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22509-2023</t>
        </is>
      </c>
      <c r="B3038" s="1" t="n">
        <v>45069</v>
      </c>
      <c r="C3038" s="1" t="n">
        <v>46075</v>
      </c>
      <c r="D3038" t="inlineStr">
        <is>
          <t>VÄSTERBOTTENS LÄN</t>
        </is>
      </c>
      <c r="E3038" t="inlineStr">
        <is>
          <t>VINDELN</t>
        </is>
      </c>
      <c r="G3038" t="n">
        <v>0.4</v>
      </c>
      <c r="H3038" t="n">
        <v>0</v>
      </c>
      <c r="I3038" t="n">
        <v>0</v>
      </c>
      <c r="J3038" t="n">
        <v>0</v>
      </c>
      <c r="K3038" t="n">
        <v>0</v>
      </c>
      <c r="L3038" t="n">
        <v>0</v>
      </c>
      <c r="M3038" t="n">
        <v>0</v>
      </c>
      <c r="N3038" t="n">
        <v>0</v>
      </c>
      <c r="O3038" t="n">
        <v>0</v>
      </c>
      <c r="P3038" t="n">
        <v>0</v>
      </c>
      <c r="Q3038" t="n">
        <v>0</v>
      </c>
      <c r="R3038" s="2" t="inlineStr"/>
    </row>
    <row r="3039" ht="15" customHeight="1">
      <c r="A3039" t="inlineStr">
        <is>
          <t>A 17740-2024</t>
        </is>
      </c>
      <c r="B3039" s="1" t="n">
        <v>45418</v>
      </c>
      <c r="C3039" s="1" t="n">
        <v>46075</v>
      </c>
      <c r="D3039" t="inlineStr">
        <is>
          <t>VÄSTERBOTTENS LÄN</t>
        </is>
      </c>
      <c r="E3039" t="inlineStr">
        <is>
          <t>BJURHOLM</t>
        </is>
      </c>
      <c r="F3039" t="inlineStr">
        <is>
          <t>Holmen skog AB</t>
        </is>
      </c>
      <c r="G3039" t="n">
        <v>3.1</v>
      </c>
      <c r="H3039" t="n">
        <v>0</v>
      </c>
      <c r="I3039" t="n">
        <v>0</v>
      </c>
      <c r="J3039" t="n">
        <v>0</v>
      </c>
      <c r="K3039" t="n">
        <v>0</v>
      </c>
      <c r="L3039" t="n">
        <v>0</v>
      </c>
      <c r="M3039" t="n">
        <v>0</v>
      </c>
      <c r="N3039" t="n">
        <v>0</v>
      </c>
      <c r="O3039" t="n">
        <v>0</v>
      </c>
      <c r="P3039" t="n">
        <v>0</v>
      </c>
      <c r="Q3039" t="n">
        <v>0</v>
      </c>
      <c r="R3039" s="2" t="inlineStr"/>
    </row>
    <row r="3040" ht="15" customHeight="1">
      <c r="A3040" t="inlineStr">
        <is>
          <t>A 49839-2023</t>
        </is>
      </c>
      <c r="B3040" s="1" t="n">
        <v>45210</v>
      </c>
      <c r="C3040" s="1" t="n">
        <v>46075</v>
      </c>
      <c r="D3040" t="inlineStr">
        <is>
          <t>VÄSTERBOTTENS LÄN</t>
        </is>
      </c>
      <c r="E3040" t="inlineStr">
        <is>
          <t>MALÅ</t>
        </is>
      </c>
      <c r="G3040" t="n">
        <v>8</v>
      </c>
      <c r="H3040" t="n">
        <v>0</v>
      </c>
      <c r="I3040" t="n">
        <v>0</v>
      </c>
      <c r="J3040" t="n">
        <v>0</v>
      </c>
      <c r="K3040" t="n">
        <v>0</v>
      </c>
      <c r="L3040" t="n">
        <v>0</v>
      </c>
      <c r="M3040" t="n">
        <v>0</v>
      </c>
      <c r="N3040" t="n">
        <v>0</v>
      </c>
      <c r="O3040" t="n">
        <v>0</v>
      </c>
      <c r="P3040" t="n">
        <v>0</v>
      </c>
      <c r="Q3040" t="n">
        <v>0</v>
      </c>
      <c r="R3040" s="2" t="inlineStr"/>
    </row>
    <row r="3041" ht="15" customHeight="1">
      <c r="A3041" t="inlineStr">
        <is>
          <t>A 49840-2023</t>
        </is>
      </c>
      <c r="B3041" s="1" t="n">
        <v>45210</v>
      </c>
      <c r="C3041" s="1" t="n">
        <v>46075</v>
      </c>
      <c r="D3041" t="inlineStr">
        <is>
          <t>VÄSTERBOTTENS LÄN</t>
        </is>
      </c>
      <c r="E3041" t="inlineStr">
        <is>
          <t>MALÅ</t>
        </is>
      </c>
      <c r="G3041" t="n">
        <v>3.4</v>
      </c>
      <c r="H3041" t="n">
        <v>0</v>
      </c>
      <c r="I3041" t="n">
        <v>0</v>
      </c>
      <c r="J3041" t="n">
        <v>0</v>
      </c>
      <c r="K3041" t="n">
        <v>0</v>
      </c>
      <c r="L3041" t="n">
        <v>0</v>
      </c>
      <c r="M3041" t="n">
        <v>0</v>
      </c>
      <c r="N3041" t="n">
        <v>0</v>
      </c>
      <c r="O3041" t="n">
        <v>0</v>
      </c>
      <c r="P3041" t="n">
        <v>0</v>
      </c>
      <c r="Q3041" t="n">
        <v>0</v>
      </c>
      <c r="R3041" s="2" t="inlineStr"/>
    </row>
    <row r="3042" ht="15" customHeight="1">
      <c r="A3042" t="inlineStr">
        <is>
          <t>A 19972-2025</t>
        </is>
      </c>
      <c r="B3042" s="1" t="n">
        <v>45771.68980324074</v>
      </c>
      <c r="C3042" s="1" t="n">
        <v>46075</v>
      </c>
      <c r="D3042" t="inlineStr">
        <is>
          <t>VÄSTERBOTTENS LÄN</t>
        </is>
      </c>
      <c r="E3042" t="inlineStr">
        <is>
          <t>UMEÅ</t>
        </is>
      </c>
      <c r="G3042" t="n">
        <v>4.3</v>
      </c>
      <c r="H3042" t="n">
        <v>0</v>
      </c>
      <c r="I3042" t="n">
        <v>0</v>
      </c>
      <c r="J3042" t="n">
        <v>0</v>
      </c>
      <c r="K3042" t="n">
        <v>0</v>
      </c>
      <c r="L3042" t="n">
        <v>0</v>
      </c>
      <c r="M3042" t="n">
        <v>0</v>
      </c>
      <c r="N3042" t="n">
        <v>0</v>
      </c>
      <c r="O3042" t="n">
        <v>0</v>
      </c>
      <c r="P3042" t="n">
        <v>0</v>
      </c>
      <c r="Q3042" t="n">
        <v>0</v>
      </c>
      <c r="R3042" s="2" t="inlineStr"/>
    </row>
    <row r="3043" ht="15" customHeight="1">
      <c r="A3043" t="inlineStr">
        <is>
          <t>A 35114-2024</t>
        </is>
      </c>
      <c r="B3043" s="1" t="n">
        <v>45529.92038194444</v>
      </c>
      <c r="C3043" s="1" t="n">
        <v>46075</v>
      </c>
      <c r="D3043" t="inlineStr">
        <is>
          <t>VÄSTERBOTTENS LÄN</t>
        </is>
      </c>
      <c r="E3043" t="inlineStr">
        <is>
          <t>SKELLEFTEÅ</t>
        </is>
      </c>
      <c r="F3043" t="inlineStr">
        <is>
          <t>Sveaskog</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50913-2022</t>
        </is>
      </c>
      <c r="B3044" s="1" t="n">
        <v>44867</v>
      </c>
      <c r="C3044" s="1" t="n">
        <v>46075</v>
      </c>
      <c r="D3044" t="inlineStr">
        <is>
          <t>VÄSTERBOTTENS LÄN</t>
        </is>
      </c>
      <c r="E3044" t="inlineStr">
        <is>
          <t>STORUMAN</t>
        </is>
      </c>
      <c r="F3044" t="inlineStr">
        <is>
          <t>Sveaskog</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62259-2022</t>
        </is>
      </c>
      <c r="B3045" s="1" t="n">
        <v>44922.94351851852</v>
      </c>
      <c r="C3045" s="1" t="n">
        <v>46075</v>
      </c>
      <c r="D3045" t="inlineStr">
        <is>
          <t>VÄSTERBOTTENS LÄN</t>
        </is>
      </c>
      <c r="E3045" t="inlineStr">
        <is>
          <t>ÅSELE</t>
        </is>
      </c>
      <c r="F3045" t="inlineStr">
        <is>
          <t>SCA</t>
        </is>
      </c>
      <c r="G3045" t="n">
        <v>5.4</v>
      </c>
      <c r="H3045" t="n">
        <v>0</v>
      </c>
      <c r="I3045" t="n">
        <v>0</v>
      </c>
      <c r="J3045" t="n">
        <v>0</v>
      </c>
      <c r="K3045" t="n">
        <v>0</v>
      </c>
      <c r="L3045" t="n">
        <v>0</v>
      </c>
      <c r="M3045" t="n">
        <v>0</v>
      </c>
      <c r="N3045" t="n">
        <v>0</v>
      </c>
      <c r="O3045" t="n">
        <v>0</v>
      </c>
      <c r="P3045" t="n">
        <v>0</v>
      </c>
      <c r="Q3045" t="n">
        <v>0</v>
      </c>
      <c r="R3045" s="2" t="inlineStr"/>
    </row>
    <row r="3046" ht="15" customHeight="1">
      <c r="A3046" t="inlineStr">
        <is>
          <t>A 5690-2023</t>
        </is>
      </c>
      <c r="B3046" s="1" t="n">
        <v>44960</v>
      </c>
      <c r="C3046" s="1" t="n">
        <v>46075</v>
      </c>
      <c r="D3046" t="inlineStr">
        <is>
          <t>VÄSTERBOTTENS LÄN</t>
        </is>
      </c>
      <c r="E3046" t="inlineStr">
        <is>
          <t>ROBERTSFORS</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5691-2023</t>
        </is>
      </c>
      <c r="B3047" s="1" t="n">
        <v>44960</v>
      </c>
      <c r="C3047" s="1" t="n">
        <v>46075</v>
      </c>
      <c r="D3047" t="inlineStr">
        <is>
          <t>VÄSTERBOTTENS LÄN</t>
        </is>
      </c>
      <c r="E3047" t="inlineStr">
        <is>
          <t>ROBERTSFORS</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17484-2022</t>
        </is>
      </c>
      <c r="B3048" s="1" t="n">
        <v>44679</v>
      </c>
      <c r="C3048" s="1" t="n">
        <v>46075</v>
      </c>
      <c r="D3048" t="inlineStr">
        <is>
          <t>VÄSTERBOTTENS LÄN</t>
        </is>
      </c>
      <c r="E3048" t="inlineStr">
        <is>
          <t>UMEÅ</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5582-2025</t>
        </is>
      </c>
      <c r="B3049" s="1" t="n">
        <v>45693.55229166667</v>
      </c>
      <c r="C3049" s="1" t="n">
        <v>46075</v>
      </c>
      <c r="D3049" t="inlineStr">
        <is>
          <t>VÄSTERBOTTENS LÄN</t>
        </is>
      </c>
      <c r="E3049" t="inlineStr">
        <is>
          <t>BJURHOLM</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24238-2021</t>
        </is>
      </c>
      <c r="B3050" s="1" t="n">
        <v>44336.9187962963</v>
      </c>
      <c r="C3050" s="1" t="n">
        <v>46075</v>
      </c>
      <c r="D3050" t="inlineStr">
        <is>
          <t>VÄSTERBOTTENS LÄN</t>
        </is>
      </c>
      <c r="E3050" t="inlineStr">
        <is>
          <t>SKELLEFTEÅ</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47516-2024</t>
        </is>
      </c>
      <c r="B3051" s="1" t="n">
        <v>45587</v>
      </c>
      <c r="C3051" s="1" t="n">
        <v>46075</v>
      </c>
      <c r="D3051" t="inlineStr">
        <is>
          <t>VÄSTERBOTTENS LÄN</t>
        </is>
      </c>
      <c r="E3051" t="inlineStr">
        <is>
          <t>NORDMALING</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18098-2025</t>
        </is>
      </c>
      <c r="B3052" s="1" t="n">
        <v>45761.5509375</v>
      </c>
      <c r="C3052" s="1" t="n">
        <v>46075</v>
      </c>
      <c r="D3052" t="inlineStr">
        <is>
          <t>VÄSTERBOTTENS LÄN</t>
        </is>
      </c>
      <c r="E3052" t="inlineStr">
        <is>
          <t>SKELLEFTEÅ</t>
        </is>
      </c>
      <c r="G3052" t="n">
        <v>4.8</v>
      </c>
      <c r="H3052" t="n">
        <v>0</v>
      </c>
      <c r="I3052" t="n">
        <v>0</v>
      </c>
      <c r="J3052" t="n">
        <v>0</v>
      </c>
      <c r="K3052" t="n">
        <v>0</v>
      </c>
      <c r="L3052" t="n">
        <v>0</v>
      </c>
      <c r="M3052" t="n">
        <v>0</v>
      </c>
      <c r="N3052" t="n">
        <v>0</v>
      </c>
      <c r="O3052" t="n">
        <v>0</v>
      </c>
      <c r="P3052" t="n">
        <v>0</v>
      </c>
      <c r="Q3052" t="n">
        <v>0</v>
      </c>
      <c r="R3052" s="2" t="inlineStr"/>
    </row>
    <row r="3053" ht="15" customHeight="1">
      <c r="A3053" t="inlineStr">
        <is>
          <t>A 33395-2023</t>
        </is>
      </c>
      <c r="B3053" s="1" t="n">
        <v>45128.62215277777</v>
      </c>
      <c r="C3053" s="1" t="n">
        <v>46075</v>
      </c>
      <c r="D3053" t="inlineStr">
        <is>
          <t>VÄSTERBOTTENS LÄN</t>
        </is>
      </c>
      <c r="E3053" t="inlineStr">
        <is>
          <t>BJURHOLM</t>
        </is>
      </c>
      <c r="F3053" t="inlineStr">
        <is>
          <t>Holmen skog AB</t>
        </is>
      </c>
      <c r="G3053" t="n">
        <v>5.8</v>
      </c>
      <c r="H3053" t="n">
        <v>0</v>
      </c>
      <c r="I3053" t="n">
        <v>0</v>
      </c>
      <c r="J3053" t="n">
        <v>0</v>
      </c>
      <c r="K3053" t="n">
        <v>0</v>
      </c>
      <c r="L3053" t="n">
        <v>0</v>
      </c>
      <c r="M3053" t="n">
        <v>0</v>
      </c>
      <c r="N3053" t="n">
        <v>0</v>
      </c>
      <c r="O3053" t="n">
        <v>0</v>
      </c>
      <c r="P3053" t="n">
        <v>0</v>
      </c>
      <c r="Q3053" t="n">
        <v>0</v>
      </c>
      <c r="R3053" s="2" t="inlineStr"/>
    </row>
    <row r="3054" ht="15" customHeight="1">
      <c r="A3054" t="inlineStr">
        <is>
          <t>A 20234-2023</t>
        </is>
      </c>
      <c r="B3054" s="1" t="n">
        <v>45054</v>
      </c>
      <c r="C3054" s="1" t="n">
        <v>46075</v>
      </c>
      <c r="D3054" t="inlineStr">
        <is>
          <t>VÄSTERBOTTENS LÄN</t>
        </is>
      </c>
      <c r="E3054" t="inlineStr">
        <is>
          <t>MALÅ</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48501-2023</t>
        </is>
      </c>
      <c r="B3055" s="1" t="n">
        <v>45207.82268518519</v>
      </c>
      <c r="C3055" s="1" t="n">
        <v>46075</v>
      </c>
      <c r="D3055" t="inlineStr">
        <is>
          <t>VÄSTERBOTTENS LÄN</t>
        </is>
      </c>
      <c r="E3055" t="inlineStr">
        <is>
          <t>SKELLEFTEÅ</t>
        </is>
      </c>
      <c r="G3055" t="n">
        <v>0.2</v>
      </c>
      <c r="H3055" t="n">
        <v>0</v>
      </c>
      <c r="I3055" t="n">
        <v>0</v>
      </c>
      <c r="J3055" t="n">
        <v>0</v>
      </c>
      <c r="K3055" t="n">
        <v>0</v>
      </c>
      <c r="L3055" t="n">
        <v>0</v>
      </c>
      <c r="M3055" t="n">
        <v>0</v>
      </c>
      <c r="N3055" t="n">
        <v>0</v>
      </c>
      <c r="O3055" t="n">
        <v>0</v>
      </c>
      <c r="P3055" t="n">
        <v>0</v>
      </c>
      <c r="Q3055" t="n">
        <v>0</v>
      </c>
      <c r="R3055" s="2" t="inlineStr"/>
    </row>
    <row r="3056" ht="15" customHeight="1">
      <c r="A3056" t="inlineStr">
        <is>
          <t>A 48516-2023</t>
        </is>
      </c>
      <c r="B3056" s="1" t="n">
        <v>45208.32671296296</v>
      </c>
      <c r="C3056" s="1" t="n">
        <v>46075</v>
      </c>
      <c r="D3056" t="inlineStr">
        <is>
          <t>VÄSTERBOTTENS LÄN</t>
        </is>
      </c>
      <c r="E3056" t="inlineStr">
        <is>
          <t>SKELLEFTEÅ</t>
        </is>
      </c>
      <c r="G3056" t="n">
        <v>4.8</v>
      </c>
      <c r="H3056" t="n">
        <v>0</v>
      </c>
      <c r="I3056" t="n">
        <v>0</v>
      </c>
      <c r="J3056" t="n">
        <v>0</v>
      </c>
      <c r="K3056" t="n">
        <v>0</v>
      </c>
      <c r="L3056" t="n">
        <v>0</v>
      </c>
      <c r="M3056" t="n">
        <v>0</v>
      </c>
      <c r="N3056" t="n">
        <v>0</v>
      </c>
      <c r="O3056" t="n">
        <v>0</v>
      </c>
      <c r="P3056" t="n">
        <v>0</v>
      </c>
      <c r="Q3056" t="n">
        <v>0</v>
      </c>
      <c r="R3056" s="2" t="inlineStr"/>
    </row>
    <row r="3057" ht="15" customHeight="1">
      <c r="A3057" t="inlineStr">
        <is>
          <t>A 48542-2023</t>
        </is>
      </c>
      <c r="B3057" s="1" t="n">
        <v>45208.3863425926</v>
      </c>
      <c r="C3057" s="1" t="n">
        <v>46075</v>
      </c>
      <c r="D3057" t="inlineStr">
        <is>
          <t>VÄSTERBOTTENS LÄN</t>
        </is>
      </c>
      <c r="E3057" t="inlineStr">
        <is>
          <t>LYCKSELE</t>
        </is>
      </c>
      <c r="G3057" t="n">
        <v>5.5</v>
      </c>
      <c r="H3057" t="n">
        <v>0</v>
      </c>
      <c r="I3057" t="n">
        <v>0</v>
      </c>
      <c r="J3057" t="n">
        <v>0</v>
      </c>
      <c r="K3057" t="n">
        <v>0</v>
      </c>
      <c r="L3057" t="n">
        <v>0</v>
      </c>
      <c r="M3057" t="n">
        <v>0</v>
      </c>
      <c r="N3057" t="n">
        <v>0</v>
      </c>
      <c r="O3057" t="n">
        <v>0</v>
      </c>
      <c r="P3057" t="n">
        <v>0</v>
      </c>
      <c r="Q3057" t="n">
        <v>0</v>
      </c>
      <c r="R3057" s="2" t="inlineStr"/>
    </row>
    <row r="3058" ht="15" customHeight="1">
      <c r="A3058" t="inlineStr">
        <is>
          <t>A 56446-2024</t>
        </is>
      </c>
      <c r="B3058" s="1" t="n">
        <v>45625.42743055556</v>
      </c>
      <c r="C3058" s="1" t="n">
        <v>46075</v>
      </c>
      <c r="D3058" t="inlineStr">
        <is>
          <t>VÄSTERBOTTENS LÄN</t>
        </is>
      </c>
      <c r="E3058" t="inlineStr">
        <is>
          <t>ÅSELE</t>
        </is>
      </c>
      <c r="F3058" t="inlineStr">
        <is>
          <t>SCA</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59253-2024</t>
        </is>
      </c>
      <c r="B3059" s="1" t="n">
        <v>45637.59724537037</v>
      </c>
      <c r="C3059" s="1" t="n">
        <v>46075</v>
      </c>
      <c r="D3059" t="inlineStr">
        <is>
          <t>VÄSTERBOTTENS LÄN</t>
        </is>
      </c>
      <c r="E3059" t="inlineStr">
        <is>
          <t>VÄNNÄS</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29027-2022</t>
        </is>
      </c>
      <c r="B3060" s="1" t="n">
        <v>44749.9266087963</v>
      </c>
      <c r="C3060" s="1" t="n">
        <v>46075</v>
      </c>
      <c r="D3060" t="inlineStr">
        <is>
          <t>VÄSTERBOTTENS LÄN</t>
        </is>
      </c>
      <c r="E3060" t="inlineStr">
        <is>
          <t>UMEÅ</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62088-2022</t>
        </is>
      </c>
      <c r="B3061" s="1" t="n">
        <v>44919</v>
      </c>
      <c r="C3061" s="1" t="n">
        <v>46075</v>
      </c>
      <c r="D3061" t="inlineStr">
        <is>
          <t>VÄSTERBOTTENS LÄN</t>
        </is>
      </c>
      <c r="E3061" t="inlineStr">
        <is>
          <t>BJURHOLM</t>
        </is>
      </c>
      <c r="G3061" t="n">
        <v>4.8</v>
      </c>
      <c r="H3061" t="n">
        <v>0</v>
      </c>
      <c r="I3061" t="n">
        <v>0</v>
      </c>
      <c r="J3061" t="n">
        <v>0</v>
      </c>
      <c r="K3061" t="n">
        <v>0</v>
      </c>
      <c r="L3061" t="n">
        <v>0</v>
      </c>
      <c r="M3061" t="n">
        <v>0</v>
      </c>
      <c r="N3061" t="n">
        <v>0</v>
      </c>
      <c r="O3061" t="n">
        <v>0</v>
      </c>
      <c r="P3061" t="n">
        <v>0</v>
      </c>
      <c r="Q3061" t="n">
        <v>0</v>
      </c>
      <c r="R3061" s="2" t="inlineStr"/>
    </row>
    <row r="3062" ht="15" customHeight="1">
      <c r="A3062" t="inlineStr">
        <is>
          <t>A 47980-2024</t>
        </is>
      </c>
      <c r="B3062" s="1" t="n">
        <v>45589</v>
      </c>
      <c r="C3062" s="1" t="n">
        <v>46075</v>
      </c>
      <c r="D3062" t="inlineStr">
        <is>
          <t>VÄSTERBOTTENS LÄN</t>
        </is>
      </c>
      <c r="E3062" t="inlineStr">
        <is>
          <t>SORSELE</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38558-2024</t>
        </is>
      </c>
      <c r="B3063" s="1" t="n">
        <v>45546.62606481482</v>
      </c>
      <c r="C3063" s="1" t="n">
        <v>46075</v>
      </c>
      <c r="D3063" t="inlineStr">
        <is>
          <t>VÄSTERBOTTENS LÄN</t>
        </is>
      </c>
      <c r="E3063" t="inlineStr">
        <is>
          <t>SKELLEFTEÅ</t>
        </is>
      </c>
      <c r="F3063" t="inlineStr">
        <is>
          <t>Sveaskog</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38568-2024</t>
        </is>
      </c>
      <c r="B3064" s="1" t="n">
        <v>45546.63684027778</v>
      </c>
      <c r="C3064" s="1" t="n">
        <v>46075</v>
      </c>
      <c r="D3064" t="inlineStr">
        <is>
          <t>VÄSTERBOTTENS LÄN</t>
        </is>
      </c>
      <c r="E3064" t="inlineStr">
        <is>
          <t>SKELLEFTEÅ</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38569-2024</t>
        </is>
      </c>
      <c r="B3065" s="1" t="n">
        <v>45546.63689814815</v>
      </c>
      <c r="C3065" s="1" t="n">
        <v>46075</v>
      </c>
      <c r="D3065" t="inlineStr">
        <is>
          <t>VÄSTERBOTTENS LÄN</t>
        </is>
      </c>
      <c r="E3065" t="inlineStr">
        <is>
          <t>VILHELMINA</t>
        </is>
      </c>
      <c r="G3065" t="n">
        <v>31.5</v>
      </c>
      <c r="H3065" t="n">
        <v>0</v>
      </c>
      <c r="I3065" t="n">
        <v>0</v>
      </c>
      <c r="J3065" t="n">
        <v>0</v>
      </c>
      <c r="K3065" t="n">
        <v>0</v>
      </c>
      <c r="L3065" t="n">
        <v>0</v>
      </c>
      <c r="M3065" t="n">
        <v>0</v>
      </c>
      <c r="N3065" t="n">
        <v>0</v>
      </c>
      <c r="O3065" t="n">
        <v>0</v>
      </c>
      <c r="P3065" t="n">
        <v>0</v>
      </c>
      <c r="Q3065" t="n">
        <v>0</v>
      </c>
      <c r="R3065" s="2" t="inlineStr"/>
    </row>
    <row r="3066" ht="15" customHeight="1">
      <c r="A3066" t="inlineStr">
        <is>
          <t>A 31942-2022</t>
        </is>
      </c>
      <c r="B3066" s="1" t="n">
        <v>44777</v>
      </c>
      <c r="C3066" s="1" t="n">
        <v>46075</v>
      </c>
      <c r="D3066" t="inlineStr">
        <is>
          <t>VÄSTERBOTTENS LÄN</t>
        </is>
      </c>
      <c r="E3066" t="inlineStr">
        <is>
          <t>VINDELN</t>
        </is>
      </c>
      <c r="F3066" t="inlineStr">
        <is>
          <t>Naturvårdsverket</t>
        </is>
      </c>
      <c r="G3066" t="n">
        <v>8.800000000000001</v>
      </c>
      <c r="H3066" t="n">
        <v>0</v>
      </c>
      <c r="I3066" t="n">
        <v>0</v>
      </c>
      <c r="J3066" t="n">
        <v>0</v>
      </c>
      <c r="K3066" t="n">
        <v>0</v>
      </c>
      <c r="L3066" t="n">
        <v>0</v>
      </c>
      <c r="M3066" t="n">
        <v>0</v>
      </c>
      <c r="N3066" t="n">
        <v>0</v>
      </c>
      <c r="O3066" t="n">
        <v>0</v>
      </c>
      <c r="P3066" t="n">
        <v>0</v>
      </c>
      <c r="Q3066" t="n">
        <v>0</v>
      </c>
      <c r="R3066" s="2" t="inlineStr"/>
    </row>
    <row r="3067" ht="15" customHeight="1">
      <c r="A3067" t="inlineStr">
        <is>
          <t>A 38623-2024</t>
        </is>
      </c>
      <c r="B3067" s="1" t="n">
        <v>45546.73186342593</v>
      </c>
      <c r="C3067" s="1" t="n">
        <v>46075</v>
      </c>
      <c r="D3067" t="inlineStr">
        <is>
          <t>VÄSTERBOTTENS LÄN</t>
        </is>
      </c>
      <c r="E3067" t="inlineStr">
        <is>
          <t>LYCKSELE</t>
        </is>
      </c>
      <c r="G3067" t="n">
        <v>5.9</v>
      </c>
      <c r="H3067" t="n">
        <v>0</v>
      </c>
      <c r="I3067" t="n">
        <v>0</v>
      </c>
      <c r="J3067" t="n">
        <v>0</v>
      </c>
      <c r="K3067" t="n">
        <v>0</v>
      </c>
      <c r="L3067" t="n">
        <v>0</v>
      </c>
      <c r="M3067" t="n">
        <v>0</v>
      </c>
      <c r="N3067" t="n">
        <v>0</v>
      </c>
      <c r="O3067" t="n">
        <v>0</v>
      </c>
      <c r="P3067" t="n">
        <v>0</v>
      </c>
      <c r="Q3067" t="n">
        <v>0</v>
      </c>
      <c r="R3067" s="2" t="inlineStr"/>
    </row>
    <row r="3068" ht="15" customHeight="1">
      <c r="A3068" t="inlineStr">
        <is>
          <t>A 24956-2024</t>
        </is>
      </c>
      <c r="B3068" s="1" t="n">
        <v>45461</v>
      </c>
      <c r="C3068" s="1" t="n">
        <v>46075</v>
      </c>
      <c r="D3068" t="inlineStr">
        <is>
          <t>VÄSTERBOTTENS LÄN</t>
        </is>
      </c>
      <c r="E3068" t="inlineStr">
        <is>
          <t>STORUMAN</t>
        </is>
      </c>
      <c r="G3068" t="n">
        <v>3.4</v>
      </c>
      <c r="H3068" t="n">
        <v>0</v>
      </c>
      <c r="I3068" t="n">
        <v>0</v>
      </c>
      <c r="J3068" t="n">
        <v>0</v>
      </c>
      <c r="K3068" t="n">
        <v>0</v>
      </c>
      <c r="L3068" t="n">
        <v>0</v>
      </c>
      <c r="M3068" t="n">
        <v>0</v>
      </c>
      <c r="N3068" t="n">
        <v>0</v>
      </c>
      <c r="O3068" t="n">
        <v>0</v>
      </c>
      <c r="P3068" t="n">
        <v>0</v>
      </c>
      <c r="Q3068" t="n">
        <v>0</v>
      </c>
      <c r="R3068" s="2" t="inlineStr"/>
    </row>
    <row r="3069" ht="15" customHeight="1">
      <c r="A3069" t="inlineStr">
        <is>
          <t>A 5741-2023</t>
        </is>
      </c>
      <c r="B3069" s="1" t="n">
        <v>44962</v>
      </c>
      <c r="C3069" s="1" t="n">
        <v>46075</v>
      </c>
      <c r="D3069" t="inlineStr">
        <is>
          <t>VÄSTERBOTTENS LÄN</t>
        </is>
      </c>
      <c r="E3069" t="inlineStr">
        <is>
          <t>VINDELN</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35630-2023</t>
        </is>
      </c>
      <c r="B3070" s="1" t="n">
        <v>45147</v>
      </c>
      <c r="C3070" s="1" t="n">
        <v>46075</v>
      </c>
      <c r="D3070" t="inlineStr">
        <is>
          <t>VÄSTERBOTTENS LÄN</t>
        </is>
      </c>
      <c r="E3070" t="inlineStr">
        <is>
          <t>NORSJÖ</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10204-2024</t>
        </is>
      </c>
      <c r="B3071" s="1" t="n">
        <v>45364</v>
      </c>
      <c r="C3071" s="1" t="n">
        <v>46075</v>
      </c>
      <c r="D3071" t="inlineStr">
        <is>
          <t>VÄSTERBOTTENS LÄN</t>
        </is>
      </c>
      <c r="E3071" t="inlineStr">
        <is>
          <t>STORUMAN</t>
        </is>
      </c>
      <c r="G3071" t="n">
        <v>12.3</v>
      </c>
      <c r="H3071" t="n">
        <v>0</v>
      </c>
      <c r="I3071" t="n">
        <v>0</v>
      </c>
      <c r="J3071" t="n">
        <v>0</v>
      </c>
      <c r="K3071" t="n">
        <v>0</v>
      </c>
      <c r="L3071" t="n">
        <v>0</v>
      </c>
      <c r="M3071" t="n">
        <v>0</v>
      </c>
      <c r="N3071" t="n">
        <v>0</v>
      </c>
      <c r="O3071" t="n">
        <v>0</v>
      </c>
      <c r="P3071" t="n">
        <v>0</v>
      </c>
      <c r="Q3071" t="n">
        <v>0</v>
      </c>
      <c r="R3071" s="2" t="inlineStr"/>
    </row>
    <row r="3072" ht="15" customHeight="1">
      <c r="A3072" t="inlineStr">
        <is>
          <t>A 32863-2023</t>
        </is>
      </c>
      <c r="B3072" s="1" t="n">
        <v>45124</v>
      </c>
      <c r="C3072" s="1" t="n">
        <v>46075</v>
      </c>
      <c r="D3072" t="inlineStr">
        <is>
          <t>VÄSTERBOTTENS LÄN</t>
        </is>
      </c>
      <c r="E3072" t="inlineStr">
        <is>
          <t>LYCKSELE</t>
        </is>
      </c>
      <c r="F3072" t="inlineStr">
        <is>
          <t>Sveaskog</t>
        </is>
      </c>
      <c r="G3072" t="n">
        <v>5.2</v>
      </c>
      <c r="H3072" t="n">
        <v>0</v>
      </c>
      <c r="I3072" t="n">
        <v>0</v>
      </c>
      <c r="J3072" t="n">
        <v>0</v>
      </c>
      <c r="K3072" t="n">
        <v>0</v>
      </c>
      <c r="L3072" t="n">
        <v>0</v>
      </c>
      <c r="M3072" t="n">
        <v>0</v>
      </c>
      <c r="N3072" t="n">
        <v>0</v>
      </c>
      <c r="O3072" t="n">
        <v>0</v>
      </c>
      <c r="P3072" t="n">
        <v>0</v>
      </c>
      <c r="Q3072" t="n">
        <v>0</v>
      </c>
      <c r="R3072" s="2" t="inlineStr"/>
    </row>
    <row r="3073" ht="15" customHeight="1">
      <c r="A3073" t="inlineStr">
        <is>
          <t>A 26617-2024</t>
        </is>
      </c>
      <c r="B3073" s="1" t="n">
        <v>45469.73981481481</v>
      </c>
      <c r="C3073" s="1" t="n">
        <v>46075</v>
      </c>
      <c r="D3073" t="inlineStr">
        <is>
          <t>VÄSTERBOTTENS LÄN</t>
        </is>
      </c>
      <c r="E3073" t="inlineStr">
        <is>
          <t>UMEÅ</t>
        </is>
      </c>
      <c r="F3073" t="inlineStr">
        <is>
          <t>Holmen skog AB</t>
        </is>
      </c>
      <c r="G3073" t="n">
        <v>6.2</v>
      </c>
      <c r="H3073" t="n">
        <v>0</v>
      </c>
      <c r="I3073" t="n">
        <v>0</v>
      </c>
      <c r="J3073" t="n">
        <v>0</v>
      </c>
      <c r="K3073" t="n">
        <v>0</v>
      </c>
      <c r="L3073" t="n">
        <v>0</v>
      </c>
      <c r="M3073" t="n">
        <v>0</v>
      </c>
      <c r="N3073" t="n">
        <v>0</v>
      </c>
      <c r="O3073" t="n">
        <v>0</v>
      </c>
      <c r="P3073" t="n">
        <v>0</v>
      </c>
      <c r="Q3073" t="n">
        <v>0</v>
      </c>
      <c r="R3073" s="2" t="inlineStr"/>
    </row>
    <row r="3074" ht="15" customHeight="1">
      <c r="A3074" t="inlineStr">
        <is>
          <t>A 38272-2023</t>
        </is>
      </c>
      <c r="B3074" s="1" t="n">
        <v>45161</v>
      </c>
      <c r="C3074" s="1" t="n">
        <v>46075</v>
      </c>
      <c r="D3074" t="inlineStr">
        <is>
          <t>VÄSTERBOTTENS LÄN</t>
        </is>
      </c>
      <c r="E3074" t="inlineStr">
        <is>
          <t>NORSJÖ</t>
        </is>
      </c>
      <c r="G3074" t="n">
        <v>3.4</v>
      </c>
      <c r="H3074" t="n">
        <v>0</v>
      </c>
      <c r="I3074" t="n">
        <v>0</v>
      </c>
      <c r="J3074" t="n">
        <v>0</v>
      </c>
      <c r="K3074" t="n">
        <v>0</v>
      </c>
      <c r="L3074" t="n">
        <v>0</v>
      </c>
      <c r="M3074" t="n">
        <v>0</v>
      </c>
      <c r="N3074" t="n">
        <v>0</v>
      </c>
      <c r="O3074" t="n">
        <v>0</v>
      </c>
      <c r="P3074" t="n">
        <v>0</v>
      </c>
      <c r="Q3074" t="n">
        <v>0</v>
      </c>
      <c r="R3074" s="2" t="inlineStr"/>
    </row>
    <row r="3075" ht="15" customHeight="1">
      <c r="A3075" t="inlineStr">
        <is>
          <t>A 55096-2022</t>
        </is>
      </c>
      <c r="B3075" s="1" t="n">
        <v>44882</v>
      </c>
      <c r="C3075" s="1" t="n">
        <v>46075</v>
      </c>
      <c r="D3075" t="inlineStr">
        <is>
          <t>VÄSTERBOTTENS LÄN</t>
        </is>
      </c>
      <c r="E3075" t="inlineStr">
        <is>
          <t>VINDELN</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15656-2023</t>
        </is>
      </c>
      <c r="B3076" s="1" t="n">
        <v>45019</v>
      </c>
      <c r="C3076" s="1" t="n">
        <v>46075</v>
      </c>
      <c r="D3076" t="inlineStr">
        <is>
          <t>VÄSTERBOTTENS LÄN</t>
        </is>
      </c>
      <c r="E3076" t="inlineStr">
        <is>
          <t>UMEÅ</t>
        </is>
      </c>
      <c r="F3076" t="inlineStr">
        <is>
          <t>Kommuner</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15706-2023</t>
        </is>
      </c>
      <c r="B3077" s="1" t="n">
        <v>45020</v>
      </c>
      <c r="C3077" s="1" t="n">
        <v>46075</v>
      </c>
      <c r="D3077" t="inlineStr">
        <is>
          <t>VÄSTERBOTTENS LÄN</t>
        </is>
      </c>
      <c r="E3077" t="inlineStr">
        <is>
          <t>SKELLEFTEÅ</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13628-2025</t>
        </is>
      </c>
      <c r="B3078" s="1" t="n">
        <v>45736</v>
      </c>
      <c r="C3078" s="1" t="n">
        <v>46075</v>
      </c>
      <c r="D3078" t="inlineStr">
        <is>
          <t>VÄSTERBOTTENS LÄN</t>
        </is>
      </c>
      <c r="E3078" t="inlineStr">
        <is>
          <t>NORSJÖ</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47141-2021</t>
        </is>
      </c>
      <c r="B3079" s="1" t="n">
        <v>44446.91958333334</v>
      </c>
      <c r="C3079" s="1" t="n">
        <v>46075</v>
      </c>
      <c r="D3079" t="inlineStr">
        <is>
          <t>VÄSTERBOTTENS LÄN</t>
        </is>
      </c>
      <c r="E3079" t="inlineStr">
        <is>
          <t>UMEÅ</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28881-2024</t>
        </is>
      </c>
      <c r="B3080" s="1" t="n">
        <v>45479</v>
      </c>
      <c r="C3080" s="1" t="n">
        <v>46075</v>
      </c>
      <c r="D3080" t="inlineStr">
        <is>
          <t>VÄSTERBOTTENS LÄN</t>
        </is>
      </c>
      <c r="E3080" t="inlineStr">
        <is>
          <t>ÅSELE</t>
        </is>
      </c>
      <c r="G3080" t="n">
        <v>3.6</v>
      </c>
      <c r="H3080" t="n">
        <v>0</v>
      </c>
      <c r="I3080" t="n">
        <v>0</v>
      </c>
      <c r="J3080" t="n">
        <v>0</v>
      </c>
      <c r="K3080" t="n">
        <v>0</v>
      </c>
      <c r="L3080" t="n">
        <v>0</v>
      </c>
      <c r="M3080" t="n">
        <v>0</v>
      </c>
      <c r="N3080" t="n">
        <v>0</v>
      </c>
      <c r="O3080" t="n">
        <v>0</v>
      </c>
      <c r="P3080" t="n">
        <v>0</v>
      </c>
      <c r="Q3080" t="n">
        <v>0</v>
      </c>
      <c r="R3080" s="2" t="inlineStr"/>
    </row>
    <row r="3081" ht="15" customHeight="1">
      <c r="A3081" t="inlineStr">
        <is>
          <t>A 528-2022</t>
        </is>
      </c>
      <c r="B3081" s="1" t="n">
        <v>44566.59707175926</v>
      </c>
      <c r="C3081" s="1" t="n">
        <v>46075</v>
      </c>
      <c r="D3081" t="inlineStr">
        <is>
          <t>VÄSTERBOTTENS LÄN</t>
        </is>
      </c>
      <c r="E3081" t="inlineStr">
        <is>
          <t>SKELLEFTEÅ</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28936-2024</t>
        </is>
      </c>
      <c r="B3082" s="1" t="n">
        <v>45481</v>
      </c>
      <c r="C3082" s="1" t="n">
        <v>46075</v>
      </c>
      <c r="D3082" t="inlineStr">
        <is>
          <t>VÄSTERBOTTENS LÄN</t>
        </is>
      </c>
      <c r="E3082" t="inlineStr">
        <is>
          <t>ÅSELE</t>
        </is>
      </c>
      <c r="F3082" t="inlineStr">
        <is>
          <t>Sveaskog</t>
        </is>
      </c>
      <c r="G3082" t="n">
        <v>5</v>
      </c>
      <c r="H3082" t="n">
        <v>0</v>
      </c>
      <c r="I3082" t="n">
        <v>0</v>
      </c>
      <c r="J3082" t="n">
        <v>0</v>
      </c>
      <c r="K3082" t="n">
        <v>0</v>
      </c>
      <c r="L3082" t="n">
        <v>0</v>
      </c>
      <c r="M3082" t="n">
        <v>0</v>
      </c>
      <c r="N3082" t="n">
        <v>0</v>
      </c>
      <c r="O3082" t="n">
        <v>0</v>
      </c>
      <c r="P3082" t="n">
        <v>0</v>
      </c>
      <c r="Q3082" t="n">
        <v>0</v>
      </c>
      <c r="R3082" s="2" t="inlineStr"/>
    </row>
    <row r="3083" ht="15" customHeight="1">
      <c r="A3083" t="inlineStr">
        <is>
          <t>A 60723-2022</t>
        </is>
      </c>
      <c r="B3083" s="1" t="n">
        <v>44913.44049768519</v>
      </c>
      <c r="C3083" s="1" t="n">
        <v>46075</v>
      </c>
      <c r="D3083" t="inlineStr">
        <is>
          <t>VÄSTERBOTTENS LÄN</t>
        </is>
      </c>
      <c r="E3083" t="inlineStr">
        <is>
          <t>LYCKSELE</t>
        </is>
      </c>
      <c r="G3083" t="n">
        <v>14.9</v>
      </c>
      <c r="H3083" t="n">
        <v>0</v>
      </c>
      <c r="I3083" t="n">
        <v>0</v>
      </c>
      <c r="J3083" t="n">
        <v>0</v>
      </c>
      <c r="K3083" t="n">
        <v>0</v>
      </c>
      <c r="L3083" t="n">
        <v>0</v>
      </c>
      <c r="M3083" t="n">
        <v>0</v>
      </c>
      <c r="N3083" t="n">
        <v>0</v>
      </c>
      <c r="O3083" t="n">
        <v>0</v>
      </c>
      <c r="P3083" t="n">
        <v>0</v>
      </c>
      <c r="Q3083" t="n">
        <v>0</v>
      </c>
      <c r="R3083" s="2" t="inlineStr"/>
    </row>
    <row r="3084" ht="15" customHeight="1">
      <c r="A3084" t="inlineStr">
        <is>
          <t>A 50531-2022</t>
        </is>
      </c>
      <c r="B3084" s="1" t="n">
        <v>44866.57714120371</v>
      </c>
      <c r="C3084" s="1" t="n">
        <v>46075</v>
      </c>
      <c r="D3084" t="inlineStr">
        <is>
          <t>VÄSTERBOTTENS LÄN</t>
        </is>
      </c>
      <c r="E3084" t="inlineStr">
        <is>
          <t>SKELLEFTEÅ</t>
        </is>
      </c>
      <c r="G3084" t="n">
        <v>8.1</v>
      </c>
      <c r="H3084" t="n">
        <v>0</v>
      </c>
      <c r="I3084" t="n">
        <v>0</v>
      </c>
      <c r="J3084" t="n">
        <v>0</v>
      </c>
      <c r="K3084" t="n">
        <v>0</v>
      </c>
      <c r="L3084" t="n">
        <v>0</v>
      </c>
      <c r="M3084" t="n">
        <v>0</v>
      </c>
      <c r="N3084" t="n">
        <v>0</v>
      </c>
      <c r="O3084" t="n">
        <v>0</v>
      </c>
      <c r="P3084" t="n">
        <v>0</v>
      </c>
      <c r="Q3084" t="n">
        <v>0</v>
      </c>
      <c r="R3084" s="2" t="inlineStr"/>
    </row>
    <row r="3085" ht="15" customHeight="1">
      <c r="A3085" t="inlineStr">
        <is>
          <t>A 60738-2022</t>
        </is>
      </c>
      <c r="B3085" s="1" t="n">
        <v>44913.89579861111</v>
      </c>
      <c r="C3085" s="1" t="n">
        <v>46075</v>
      </c>
      <c r="D3085" t="inlineStr">
        <is>
          <t>VÄSTERBOTTENS LÄN</t>
        </is>
      </c>
      <c r="E3085" t="inlineStr">
        <is>
          <t>ROBERTSFORS</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8641-2023</t>
        </is>
      </c>
      <c r="B3086" s="1" t="n">
        <v>44977.98305555555</v>
      </c>
      <c r="C3086" s="1" t="n">
        <v>46075</v>
      </c>
      <c r="D3086" t="inlineStr">
        <is>
          <t>VÄSTERBOTTENS LÄN</t>
        </is>
      </c>
      <c r="E3086" t="inlineStr">
        <is>
          <t>NORDMALING</t>
        </is>
      </c>
      <c r="F3086" t="inlineStr">
        <is>
          <t>SCA</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55405-2024</t>
        </is>
      </c>
      <c r="B3087" s="1" t="n">
        <v>45621</v>
      </c>
      <c r="C3087" s="1" t="n">
        <v>46075</v>
      </c>
      <c r="D3087" t="inlineStr">
        <is>
          <t>VÄSTERBOTTENS LÄN</t>
        </is>
      </c>
      <c r="E3087" t="inlineStr">
        <is>
          <t>NORSJÖ</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6286-2025</t>
        </is>
      </c>
      <c r="B3088" s="1" t="n">
        <v>45698</v>
      </c>
      <c r="C3088" s="1" t="n">
        <v>46075</v>
      </c>
      <c r="D3088" t="inlineStr">
        <is>
          <t>VÄSTERBOTTENS LÄN</t>
        </is>
      </c>
      <c r="E3088" t="inlineStr">
        <is>
          <t>SKELLEFTEÅ</t>
        </is>
      </c>
      <c r="G3088" t="n">
        <v>3.9</v>
      </c>
      <c r="H3088" t="n">
        <v>0</v>
      </c>
      <c r="I3088" t="n">
        <v>0</v>
      </c>
      <c r="J3088" t="n">
        <v>0</v>
      </c>
      <c r="K3088" t="n">
        <v>0</v>
      </c>
      <c r="L3088" t="n">
        <v>0</v>
      </c>
      <c r="M3088" t="n">
        <v>0</v>
      </c>
      <c r="N3088" t="n">
        <v>0</v>
      </c>
      <c r="O3088" t="n">
        <v>0</v>
      </c>
      <c r="P3088" t="n">
        <v>0</v>
      </c>
      <c r="Q3088" t="n">
        <v>0</v>
      </c>
      <c r="R3088" s="2" t="inlineStr"/>
    </row>
    <row r="3089" ht="15" customHeight="1">
      <c r="A3089" t="inlineStr">
        <is>
          <t>A 61806-2024</t>
        </is>
      </c>
      <c r="B3089" s="1" t="n">
        <v>45649.57627314814</v>
      </c>
      <c r="C3089" s="1" t="n">
        <v>46075</v>
      </c>
      <c r="D3089" t="inlineStr">
        <is>
          <t>VÄSTERBOTTENS LÄN</t>
        </is>
      </c>
      <c r="E3089" t="inlineStr">
        <is>
          <t>BJURHOLM</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16453-2024</t>
        </is>
      </c>
      <c r="B3090" s="1" t="n">
        <v>45407</v>
      </c>
      <c r="C3090" s="1" t="n">
        <v>46075</v>
      </c>
      <c r="D3090" t="inlineStr">
        <is>
          <t>VÄSTERBOTTENS LÄN</t>
        </is>
      </c>
      <c r="E3090" t="inlineStr">
        <is>
          <t>UMEÅ</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8035-2024</t>
        </is>
      </c>
      <c r="B3091" s="1" t="n">
        <v>45350.95329861111</v>
      </c>
      <c r="C3091" s="1" t="n">
        <v>46075</v>
      </c>
      <c r="D3091" t="inlineStr">
        <is>
          <t>VÄSTERBOTTENS LÄN</t>
        </is>
      </c>
      <c r="E3091" t="inlineStr">
        <is>
          <t>LYCKSELE</t>
        </is>
      </c>
      <c r="F3091" t="inlineStr">
        <is>
          <t>SCA</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43302-2024</t>
        </is>
      </c>
      <c r="B3092" s="1" t="n">
        <v>45568.43364583333</v>
      </c>
      <c r="C3092" s="1" t="n">
        <v>46075</v>
      </c>
      <c r="D3092" t="inlineStr">
        <is>
          <t>VÄSTERBOTTENS LÄN</t>
        </is>
      </c>
      <c r="E3092" t="inlineStr">
        <is>
          <t>LYCKSELE</t>
        </is>
      </c>
      <c r="F3092" t="inlineStr">
        <is>
          <t>Sveaskog</t>
        </is>
      </c>
      <c r="G3092" t="n">
        <v>58.3</v>
      </c>
      <c r="H3092" t="n">
        <v>0</v>
      </c>
      <c r="I3092" t="n">
        <v>0</v>
      </c>
      <c r="J3092" t="n">
        <v>0</v>
      </c>
      <c r="K3092" t="n">
        <v>0</v>
      </c>
      <c r="L3092" t="n">
        <v>0</v>
      </c>
      <c r="M3092" t="n">
        <v>0</v>
      </c>
      <c r="N3092" t="n">
        <v>0</v>
      </c>
      <c r="O3092" t="n">
        <v>0</v>
      </c>
      <c r="P3092" t="n">
        <v>0</v>
      </c>
      <c r="Q3092" t="n">
        <v>0</v>
      </c>
      <c r="R3092" s="2" t="inlineStr"/>
    </row>
    <row r="3093" ht="15" customHeight="1">
      <c r="A3093" t="inlineStr">
        <is>
          <t>A 56838-2024</t>
        </is>
      </c>
      <c r="B3093" s="1" t="n">
        <v>45628.50866898148</v>
      </c>
      <c r="C3093" s="1" t="n">
        <v>46075</v>
      </c>
      <c r="D3093" t="inlineStr">
        <is>
          <t>VÄSTERBOTTENS LÄN</t>
        </is>
      </c>
      <c r="E3093" t="inlineStr">
        <is>
          <t>SKELLEFTEÅ</t>
        </is>
      </c>
      <c r="F3093" t="inlineStr">
        <is>
          <t>Holmen skog AB</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43321-2024</t>
        </is>
      </c>
      <c r="B3094" s="1" t="n">
        <v>45568</v>
      </c>
      <c r="C3094" s="1" t="n">
        <v>46075</v>
      </c>
      <c r="D3094" t="inlineStr">
        <is>
          <t>VÄSTERBOTTENS LÄN</t>
        </is>
      </c>
      <c r="E3094" t="inlineStr">
        <is>
          <t>BJURHOLM</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61891-2024</t>
        </is>
      </c>
      <c r="B3095" s="1" t="n">
        <v>45652.73207175926</v>
      </c>
      <c r="C3095" s="1" t="n">
        <v>46075</v>
      </c>
      <c r="D3095" t="inlineStr">
        <is>
          <t>VÄSTERBOTTENS LÄN</t>
        </is>
      </c>
      <c r="E3095" t="inlineStr">
        <is>
          <t>LYCKSELE</t>
        </is>
      </c>
      <c r="G3095" t="n">
        <v>9</v>
      </c>
      <c r="H3095" t="n">
        <v>0</v>
      </c>
      <c r="I3095" t="n">
        <v>0</v>
      </c>
      <c r="J3095" t="n">
        <v>0</v>
      </c>
      <c r="K3095" t="n">
        <v>0</v>
      </c>
      <c r="L3095" t="n">
        <v>0</v>
      </c>
      <c r="M3095" t="n">
        <v>0</v>
      </c>
      <c r="N3095" t="n">
        <v>0</v>
      </c>
      <c r="O3095" t="n">
        <v>0</v>
      </c>
      <c r="P3095" t="n">
        <v>0</v>
      </c>
      <c r="Q3095" t="n">
        <v>0</v>
      </c>
      <c r="R3095" s="2" t="inlineStr"/>
    </row>
    <row r="3096" ht="15" customHeight="1">
      <c r="A3096" t="inlineStr">
        <is>
          <t>A 21803-2024</t>
        </is>
      </c>
      <c r="B3096" s="1" t="n">
        <v>45442</v>
      </c>
      <c r="C3096" s="1" t="n">
        <v>46075</v>
      </c>
      <c r="D3096" t="inlineStr">
        <is>
          <t>VÄSTERBOTTENS LÄN</t>
        </is>
      </c>
      <c r="E3096" t="inlineStr">
        <is>
          <t>LYCKSELE</t>
        </is>
      </c>
      <c r="F3096" t="inlineStr">
        <is>
          <t>Holmen skog AB</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23842-2024</t>
        </is>
      </c>
      <c r="B3097" s="1" t="n">
        <v>45455.52168981481</v>
      </c>
      <c r="C3097" s="1" t="n">
        <v>46075</v>
      </c>
      <c r="D3097" t="inlineStr">
        <is>
          <t>VÄSTERBOTTENS LÄN</t>
        </is>
      </c>
      <c r="E3097" t="inlineStr">
        <is>
          <t>UMEÅ</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12547-2025</t>
        </is>
      </c>
      <c r="B3098" s="1" t="n">
        <v>45730.89319444444</v>
      </c>
      <c r="C3098" s="1" t="n">
        <v>46075</v>
      </c>
      <c r="D3098" t="inlineStr">
        <is>
          <t>VÄSTERBOTTENS LÄN</t>
        </is>
      </c>
      <c r="E3098" t="inlineStr">
        <is>
          <t>SKELLEFTEÅ</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44285-2024</t>
        </is>
      </c>
      <c r="B3099" s="1" t="n">
        <v>45573</v>
      </c>
      <c r="C3099" s="1" t="n">
        <v>46075</v>
      </c>
      <c r="D3099" t="inlineStr">
        <is>
          <t>VÄSTERBOTTENS LÄN</t>
        </is>
      </c>
      <c r="E3099" t="inlineStr">
        <is>
          <t>VILHELMINA</t>
        </is>
      </c>
      <c r="G3099" t="n">
        <v>30.9</v>
      </c>
      <c r="H3099" t="n">
        <v>0</v>
      </c>
      <c r="I3099" t="n">
        <v>0</v>
      </c>
      <c r="J3099" t="n">
        <v>0</v>
      </c>
      <c r="K3099" t="n">
        <v>0</v>
      </c>
      <c r="L3099" t="n">
        <v>0</v>
      </c>
      <c r="M3099" t="n">
        <v>0</v>
      </c>
      <c r="N3099" t="n">
        <v>0</v>
      </c>
      <c r="O3099" t="n">
        <v>0</v>
      </c>
      <c r="P3099" t="n">
        <v>0</v>
      </c>
      <c r="Q3099" t="n">
        <v>0</v>
      </c>
      <c r="R3099" s="2" t="inlineStr"/>
    </row>
    <row r="3100" ht="15" customHeight="1">
      <c r="A3100" t="inlineStr">
        <is>
          <t>A 46072-2022</t>
        </is>
      </c>
      <c r="B3100" s="1" t="n">
        <v>44844</v>
      </c>
      <c r="C3100" s="1" t="n">
        <v>46075</v>
      </c>
      <c r="D3100" t="inlineStr">
        <is>
          <t>VÄSTERBOTTENS LÄN</t>
        </is>
      </c>
      <c r="E3100" t="inlineStr">
        <is>
          <t>STORUMAN</t>
        </is>
      </c>
      <c r="G3100" t="n">
        <v>8.4</v>
      </c>
      <c r="H3100" t="n">
        <v>0</v>
      </c>
      <c r="I3100" t="n">
        <v>0</v>
      </c>
      <c r="J3100" t="n">
        <v>0</v>
      </c>
      <c r="K3100" t="n">
        <v>0</v>
      </c>
      <c r="L3100" t="n">
        <v>0</v>
      </c>
      <c r="M3100" t="n">
        <v>0</v>
      </c>
      <c r="N3100" t="n">
        <v>0</v>
      </c>
      <c r="O3100" t="n">
        <v>0</v>
      </c>
      <c r="P3100" t="n">
        <v>0</v>
      </c>
      <c r="Q3100" t="n">
        <v>0</v>
      </c>
      <c r="R3100" s="2" t="inlineStr"/>
    </row>
    <row r="3101" ht="15" customHeight="1">
      <c r="A3101" t="inlineStr">
        <is>
          <t>A 10360-2025</t>
        </is>
      </c>
      <c r="B3101" s="1" t="n">
        <v>45720</v>
      </c>
      <c r="C3101" s="1" t="n">
        <v>46075</v>
      </c>
      <c r="D3101" t="inlineStr">
        <is>
          <t>VÄSTERBOTTENS LÄN</t>
        </is>
      </c>
      <c r="E3101" t="inlineStr">
        <is>
          <t>ÅSELE</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22257-2023</t>
        </is>
      </c>
      <c r="B3102" s="1" t="n">
        <v>45070</v>
      </c>
      <c r="C3102" s="1" t="n">
        <v>46075</v>
      </c>
      <c r="D3102" t="inlineStr">
        <is>
          <t>VÄSTERBOTTENS LÄN</t>
        </is>
      </c>
      <c r="E3102" t="inlineStr">
        <is>
          <t>ROBERTSFORS</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29733-2024</t>
        </is>
      </c>
      <c r="B3103" s="1" t="n">
        <v>45485.37736111111</v>
      </c>
      <c r="C3103" s="1" t="n">
        <v>46075</v>
      </c>
      <c r="D3103" t="inlineStr">
        <is>
          <t>VÄSTERBOTTENS LÄN</t>
        </is>
      </c>
      <c r="E3103" t="inlineStr">
        <is>
          <t>NORSJÖ</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29738-2024</t>
        </is>
      </c>
      <c r="B3104" s="1" t="n">
        <v>45485.39127314815</v>
      </c>
      <c r="C3104" s="1" t="n">
        <v>46075</v>
      </c>
      <c r="D3104" t="inlineStr">
        <is>
          <t>VÄSTERBOTTENS LÄN</t>
        </is>
      </c>
      <c r="E3104" t="inlineStr">
        <is>
          <t>ÅSELE</t>
        </is>
      </c>
      <c r="G3104" t="n">
        <v>0.2</v>
      </c>
      <c r="H3104" t="n">
        <v>0</v>
      </c>
      <c r="I3104" t="n">
        <v>0</v>
      </c>
      <c r="J3104" t="n">
        <v>0</v>
      </c>
      <c r="K3104" t="n">
        <v>0</v>
      </c>
      <c r="L3104" t="n">
        <v>0</v>
      </c>
      <c r="M3104" t="n">
        <v>0</v>
      </c>
      <c r="N3104" t="n">
        <v>0</v>
      </c>
      <c r="O3104" t="n">
        <v>0</v>
      </c>
      <c r="P3104" t="n">
        <v>0</v>
      </c>
      <c r="Q3104" t="n">
        <v>0</v>
      </c>
      <c r="R3104" s="2" t="inlineStr"/>
    </row>
    <row r="3105" ht="15" customHeight="1">
      <c r="A3105" t="inlineStr">
        <is>
          <t>A 25557-2024</t>
        </is>
      </c>
      <c r="B3105" s="1" t="n">
        <v>45463.58333333334</v>
      </c>
      <c r="C3105" s="1" t="n">
        <v>46075</v>
      </c>
      <c r="D3105" t="inlineStr">
        <is>
          <t>VÄSTERBOTTENS LÄN</t>
        </is>
      </c>
      <c r="E3105" t="inlineStr">
        <is>
          <t>ÅSELE</t>
        </is>
      </c>
      <c r="F3105" t="inlineStr">
        <is>
          <t>Sveaskog</t>
        </is>
      </c>
      <c r="G3105" t="n">
        <v>11.2</v>
      </c>
      <c r="H3105" t="n">
        <v>0</v>
      </c>
      <c r="I3105" t="n">
        <v>0</v>
      </c>
      <c r="J3105" t="n">
        <v>0</v>
      </c>
      <c r="K3105" t="n">
        <v>0</v>
      </c>
      <c r="L3105" t="n">
        <v>0</v>
      </c>
      <c r="M3105" t="n">
        <v>0</v>
      </c>
      <c r="N3105" t="n">
        <v>0</v>
      </c>
      <c r="O3105" t="n">
        <v>0</v>
      </c>
      <c r="P3105" t="n">
        <v>0</v>
      </c>
      <c r="Q3105" t="n">
        <v>0</v>
      </c>
      <c r="R3105" s="2" t="inlineStr"/>
    </row>
    <row r="3106" ht="15" customHeight="1">
      <c r="A3106" t="inlineStr">
        <is>
          <t>A 12368-2025</t>
        </is>
      </c>
      <c r="B3106" s="1" t="n">
        <v>45730.37633101852</v>
      </c>
      <c r="C3106" s="1" t="n">
        <v>46075</v>
      </c>
      <c r="D3106" t="inlineStr">
        <is>
          <t>VÄSTERBOTTENS LÄN</t>
        </is>
      </c>
      <c r="E3106" t="inlineStr">
        <is>
          <t>VILHELMINA</t>
        </is>
      </c>
      <c r="F3106" t="inlineStr">
        <is>
          <t>Övriga statliga verk och myndigheter</t>
        </is>
      </c>
      <c r="G3106" t="n">
        <v>14.8</v>
      </c>
      <c r="H3106" t="n">
        <v>0</v>
      </c>
      <c r="I3106" t="n">
        <v>0</v>
      </c>
      <c r="J3106" t="n">
        <v>0</v>
      </c>
      <c r="K3106" t="n">
        <v>0</v>
      </c>
      <c r="L3106" t="n">
        <v>0</v>
      </c>
      <c r="M3106" t="n">
        <v>0</v>
      </c>
      <c r="N3106" t="n">
        <v>0</v>
      </c>
      <c r="O3106" t="n">
        <v>0</v>
      </c>
      <c r="P3106" t="n">
        <v>0</v>
      </c>
      <c r="Q3106" t="n">
        <v>0</v>
      </c>
      <c r="R3106" s="2" t="inlineStr"/>
    </row>
    <row r="3107" ht="15" customHeight="1">
      <c r="A3107" t="inlineStr">
        <is>
          <t>A 25569-2024</t>
        </is>
      </c>
      <c r="B3107" s="1" t="n">
        <v>45463.58702546296</v>
      </c>
      <c r="C3107" s="1" t="n">
        <v>46075</v>
      </c>
      <c r="D3107" t="inlineStr">
        <is>
          <t>VÄSTERBOTTENS LÄN</t>
        </is>
      </c>
      <c r="E3107" t="inlineStr">
        <is>
          <t>ÅSELE</t>
        </is>
      </c>
      <c r="F3107" t="inlineStr">
        <is>
          <t>Sveaskog</t>
        </is>
      </c>
      <c r="G3107" t="n">
        <v>28.7</v>
      </c>
      <c r="H3107" t="n">
        <v>0</v>
      </c>
      <c r="I3107" t="n">
        <v>0</v>
      </c>
      <c r="J3107" t="n">
        <v>0</v>
      </c>
      <c r="K3107" t="n">
        <v>0</v>
      </c>
      <c r="L3107" t="n">
        <v>0</v>
      </c>
      <c r="M3107" t="n">
        <v>0</v>
      </c>
      <c r="N3107" t="n">
        <v>0</v>
      </c>
      <c r="O3107" t="n">
        <v>0</v>
      </c>
      <c r="P3107" t="n">
        <v>0</v>
      </c>
      <c r="Q3107" t="n">
        <v>0</v>
      </c>
      <c r="R3107" s="2" t="inlineStr"/>
    </row>
    <row r="3108" ht="15" customHeight="1">
      <c r="A3108" t="inlineStr">
        <is>
          <t>A 12373-2025</t>
        </is>
      </c>
      <c r="B3108" s="1" t="n">
        <v>45730</v>
      </c>
      <c r="C3108" s="1" t="n">
        <v>46075</v>
      </c>
      <c r="D3108" t="inlineStr">
        <is>
          <t>VÄSTERBOTTENS LÄN</t>
        </is>
      </c>
      <c r="E3108" t="inlineStr">
        <is>
          <t>VILHELMINA</t>
        </is>
      </c>
      <c r="F3108" t="inlineStr">
        <is>
          <t>Övriga statliga verk och myndigheter</t>
        </is>
      </c>
      <c r="G3108" t="n">
        <v>25.5</v>
      </c>
      <c r="H3108" t="n">
        <v>0</v>
      </c>
      <c r="I3108" t="n">
        <v>0</v>
      </c>
      <c r="J3108" t="n">
        <v>0</v>
      </c>
      <c r="K3108" t="n">
        <v>0</v>
      </c>
      <c r="L3108" t="n">
        <v>0</v>
      </c>
      <c r="M3108" t="n">
        <v>0</v>
      </c>
      <c r="N3108" t="n">
        <v>0</v>
      </c>
      <c r="O3108" t="n">
        <v>0</v>
      </c>
      <c r="P3108" t="n">
        <v>0</v>
      </c>
      <c r="Q3108" t="n">
        <v>0</v>
      </c>
      <c r="R3108" s="2" t="inlineStr"/>
    </row>
    <row r="3109" ht="15" customHeight="1">
      <c r="A3109" t="inlineStr">
        <is>
          <t>A 43599-2024</t>
        </is>
      </c>
      <c r="B3109" s="1" t="n">
        <v>45569</v>
      </c>
      <c r="C3109" s="1" t="n">
        <v>46075</v>
      </c>
      <c r="D3109" t="inlineStr">
        <is>
          <t>VÄSTERBOTTENS LÄN</t>
        </is>
      </c>
      <c r="E3109" t="inlineStr">
        <is>
          <t>SKELLEFTEÅ</t>
        </is>
      </c>
      <c r="G3109" t="n">
        <v>5.5</v>
      </c>
      <c r="H3109" t="n">
        <v>0</v>
      </c>
      <c r="I3109" t="n">
        <v>0</v>
      </c>
      <c r="J3109" t="n">
        <v>0</v>
      </c>
      <c r="K3109" t="n">
        <v>0</v>
      </c>
      <c r="L3109" t="n">
        <v>0</v>
      </c>
      <c r="M3109" t="n">
        <v>0</v>
      </c>
      <c r="N3109" t="n">
        <v>0</v>
      </c>
      <c r="O3109" t="n">
        <v>0</v>
      </c>
      <c r="P3109" t="n">
        <v>0</v>
      </c>
      <c r="Q3109" t="n">
        <v>0</v>
      </c>
      <c r="R3109" s="2" t="inlineStr"/>
    </row>
    <row r="3110" ht="15" customHeight="1">
      <c r="A3110" t="inlineStr">
        <is>
          <t>A 34777-2021</t>
        </is>
      </c>
      <c r="B3110" s="1" t="n">
        <v>44382</v>
      </c>
      <c r="C3110" s="1" t="n">
        <v>46075</v>
      </c>
      <c r="D3110" t="inlineStr">
        <is>
          <t>VÄSTERBOTTENS LÄN</t>
        </is>
      </c>
      <c r="E3110" t="inlineStr">
        <is>
          <t>UMEÅ</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64668-2023</t>
        </is>
      </c>
      <c r="B3111" s="1" t="n">
        <v>45281</v>
      </c>
      <c r="C3111" s="1" t="n">
        <v>46075</v>
      </c>
      <c r="D3111" t="inlineStr">
        <is>
          <t>VÄSTERBOTTENS LÄN</t>
        </is>
      </c>
      <c r="E3111" t="inlineStr">
        <is>
          <t>LYCKSELE</t>
        </is>
      </c>
      <c r="G3111" t="n">
        <v>5.5</v>
      </c>
      <c r="H3111" t="n">
        <v>0</v>
      </c>
      <c r="I3111" t="n">
        <v>0</v>
      </c>
      <c r="J3111" t="n">
        <v>0</v>
      </c>
      <c r="K3111" t="n">
        <v>0</v>
      </c>
      <c r="L3111" t="n">
        <v>0</v>
      </c>
      <c r="M3111" t="n">
        <v>0</v>
      </c>
      <c r="N3111" t="n">
        <v>0</v>
      </c>
      <c r="O3111" t="n">
        <v>0</v>
      </c>
      <c r="P3111" t="n">
        <v>0</v>
      </c>
      <c r="Q3111" t="n">
        <v>0</v>
      </c>
      <c r="R3111" s="2" t="inlineStr"/>
    </row>
    <row r="3112" ht="15" customHeight="1">
      <c r="A3112" t="inlineStr">
        <is>
          <t>A 42015-2023</t>
        </is>
      </c>
      <c r="B3112" s="1" t="n">
        <v>45174</v>
      </c>
      <c r="C3112" s="1" t="n">
        <v>46075</v>
      </c>
      <c r="D3112" t="inlineStr">
        <is>
          <t>VÄSTERBOTTENS LÄN</t>
        </is>
      </c>
      <c r="E3112" t="inlineStr">
        <is>
          <t>VINDELN</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42037-2023</t>
        </is>
      </c>
      <c r="B3113" s="1" t="n">
        <v>45177.50853009259</v>
      </c>
      <c r="C3113" s="1" t="n">
        <v>46075</v>
      </c>
      <c r="D3113" t="inlineStr">
        <is>
          <t>VÄSTERBOTTENS LÄN</t>
        </is>
      </c>
      <c r="E3113" t="inlineStr">
        <is>
          <t>ÅSELE</t>
        </is>
      </c>
      <c r="F3113" t="inlineStr">
        <is>
          <t>Holmen skog AB</t>
        </is>
      </c>
      <c r="G3113" t="n">
        <v>4.7</v>
      </c>
      <c r="H3113" t="n">
        <v>0</v>
      </c>
      <c r="I3113" t="n">
        <v>0</v>
      </c>
      <c r="J3113" t="n">
        <v>0</v>
      </c>
      <c r="K3113" t="n">
        <v>0</v>
      </c>
      <c r="L3113" t="n">
        <v>0</v>
      </c>
      <c r="M3113" t="n">
        <v>0</v>
      </c>
      <c r="N3113" t="n">
        <v>0</v>
      </c>
      <c r="O3113" t="n">
        <v>0</v>
      </c>
      <c r="P3113" t="n">
        <v>0</v>
      </c>
      <c r="Q3113" t="n">
        <v>0</v>
      </c>
      <c r="R3113" s="2" t="inlineStr"/>
    </row>
    <row r="3114" ht="15" customHeight="1">
      <c r="A3114" t="inlineStr">
        <is>
          <t>A 35925-2023</t>
        </is>
      </c>
      <c r="B3114" s="1" t="n">
        <v>45148</v>
      </c>
      <c r="C3114" s="1" t="n">
        <v>46075</v>
      </c>
      <c r="D3114" t="inlineStr">
        <is>
          <t>VÄSTERBOTTENS LÄN</t>
        </is>
      </c>
      <c r="E3114" t="inlineStr">
        <is>
          <t>VINDELN</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10595-2021</t>
        </is>
      </c>
      <c r="B3115" s="1" t="n">
        <v>44258</v>
      </c>
      <c r="C3115" s="1" t="n">
        <v>46075</v>
      </c>
      <c r="D3115" t="inlineStr">
        <is>
          <t>VÄSTERBOTTENS LÄN</t>
        </is>
      </c>
      <c r="E3115" t="inlineStr">
        <is>
          <t>NORDMALING</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35950-2023</t>
        </is>
      </c>
      <c r="B3116" s="1" t="n">
        <v>45148</v>
      </c>
      <c r="C3116" s="1" t="n">
        <v>46075</v>
      </c>
      <c r="D3116" t="inlineStr">
        <is>
          <t>VÄSTERBOTTENS LÄN</t>
        </is>
      </c>
      <c r="E3116" t="inlineStr">
        <is>
          <t>ÅSELE</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14286-2025</t>
        </is>
      </c>
      <c r="B3117" s="1" t="n">
        <v>45740.66287037037</v>
      </c>
      <c r="C3117" s="1" t="n">
        <v>46075</v>
      </c>
      <c r="D3117" t="inlineStr">
        <is>
          <t>VÄSTERBOTTENS LÄN</t>
        </is>
      </c>
      <c r="E3117" t="inlineStr">
        <is>
          <t>UMEÅ</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42501-2023</t>
        </is>
      </c>
      <c r="B3118" s="1" t="n">
        <v>45180.95841435185</v>
      </c>
      <c r="C3118" s="1" t="n">
        <v>46075</v>
      </c>
      <c r="D3118" t="inlineStr">
        <is>
          <t>VÄSTERBOTTENS LÄN</t>
        </is>
      </c>
      <c r="E3118" t="inlineStr">
        <is>
          <t>NORDMALING</t>
        </is>
      </c>
      <c r="F3118" t="inlineStr">
        <is>
          <t>SCA</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10636-2021</t>
        </is>
      </c>
      <c r="B3119" s="1" t="n">
        <v>44258</v>
      </c>
      <c r="C3119" s="1" t="n">
        <v>46075</v>
      </c>
      <c r="D3119" t="inlineStr">
        <is>
          <t>VÄSTERBOTTENS LÄN</t>
        </is>
      </c>
      <c r="E3119" t="inlineStr">
        <is>
          <t>STORUMAN</t>
        </is>
      </c>
      <c r="G3119" t="n">
        <v>0.3</v>
      </c>
      <c r="H3119" t="n">
        <v>0</v>
      </c>
      <c r="I3119" t="n">
        <v>0</v>
      </c>
      <c r="J3119" t="n">
        <v>0</v>
      </c>
      <c r="K3119" t="n">
        <v>0</v>
      </c>
      <c r="L3119" t="n">
        <v>0</v>
      </c>
      <c r="M3119" t="n">
        <v>0</v>
      </c>
      <c r="N3119" t="n">
        <v>0</v>
      </c>
      <c r="O3119" t="n">
        <v>0</v>
      </c>
      <c r="P3119" t="n">
        <v>0</v>
      </c>
      <c r="Q3119" t="n">
        <v>0</v>
      </c>
      <c r="R3119" s="2" t="inlineStr"/>
    </row>
    <row r="3120" ht="15" customHeight="1">
      <c r="A3120" t="inlineStr">
        <is>
          <t>A 7205-2025</t>
        </is>
      </c>
      <c r="B3120" s="1" t="n">
        <v>45702.46836805555</v>
      </c>
      <c r="C3120" s="1" t="n">
        <v>46075</v>
      </c>
      <c r="D3120" t="inlineStr">
        <is>
          <t>VÄSTERBOTTENS LÄN</t>
        </is>
      </c>
      <c r="E3120" t="inlineStr">
        <is>
          <t>UMEÅ</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7213-2025</t>
        </is>
      </c>
      <c r="B3121" s="1" t="n">
        <v>45702.47341435185</v>
      </c>
      <c r="C3121" s="1" t="n">
        <v>46075</v>
      </c>
      <c r="D3121" t="inlineStr">
        <is>
          <t>VÄSTERBOTTENS LÄN</t>
        </is>
      </c>
      <c r="E3121" t="inlineStr">
        <is>
          <t>UMEÅ</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57569-2022</t>
        </is>
      </c>
      <c r="B3122" s="1" t="n">
        <v>44896.92769675926</v>
      </c>
      <c r="C3122" s="1" t="n">
        <v>46075</v>
      </c>
      <c r="D3122" t="inlineStr">
        <is>
          <t>VÄSTERBOTTENS LÄN</t>
        </is>
      </c>
      <c r="E3122" t="inlineStr">
        <is>
          <t>SKELLEFTEÅ</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7256-2025</t>
        </is>
      </c>
      <c r="B3123" s="1" t="n">
        <v>45702</v>
      </c>
      <c r="C3123" s="1" t="n">
        <v>46075</v>
      </c>
      <c r="D3123" t="inlineStr">
        <is>
          <t>VÄSTERBOTTENS LÄN</t>
        </is>
      </c>
      <c r="E3123" t="inlineStr">
        <is>
          <t>SORSELE</t>
        </is>
      </c>
      <c r="F3123" t="inlineStr">
        <is>
          <t>SCA</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57577-2022</t>
        </is>
      </c>
      <c r="B3124" s="1" t="n">
        <v>44896.92947916667</v>
      </c>
      <c r="C3124" s="1" t="n">
        <v>46075</v>
      </c>
      <c r="D3124" t="inlineStr">
        <is>
          <t>VÄSTERBOTTENS LÄN</t>
        </is>
      </c>
      <c r="E3124" t="inlineStr">
        <is>
          <t>SKELLEFTEÅ</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15617-2024</t>
        </is>
      </c>
      <c r="B3125" s="1" t="n">
        <v>45401.94358796296</v>
      </c>
      <c r="C3125" s="1" t="n">
        <v>46075</v>
      </c>
      <c r="D3125" t="inlineStr">
        <is>
          <t>VÄSTERBOTTENS LÄN</t>
        </is>
      </c>
      <c r="E3125" t="inlineStr">
        <is>
          <t>VILHELMINA</t>
        </is>
      </c>
      <c r="F3125" t="inlineStr">
        <is>
          <t>SCA</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14111-2025</t>
        </is>
      </c>
      <c r="B3126" s="1" t="n">
        <v>45740.45887731481</v>
      </c>
      <c r="C3126" s="1" t="n">
        <v>46075</v>
      </c>
      <c r="D3126" t="inlineStr">
        <is>
          <t>VÄSTERBOTTENS LÄN</t>
        </is>
      </c>
      <c r="E3126" t="inlineStr">
        <is>
          <t>VINDELN</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58699-2022</t>
        </is>
      </c>
      <c r="B3127" s="1" t="n">
        <v>44902</v>
      </c>
      <c r="C3127" s="1" t="n">
        <v>46075</v>
      </c>
      <c r="D3127" t="inlineStr">
        <is>
          <t>VÄSTERBOTTENS LÄN</t>
        </is>
      </c>
      <c r="E3127" t="inlineStr">
        <is>
          <t>VINDELN</t>
        </is>
      </c>
      <c r="G3127" t="n">
        <v>14.2</v>
      </c>
      <c r="H3127" t="n">
        <v>0</v>
      </c>
      <c r="I3127" t="n">
        <v>0</v>
      </c>
      <c r="J3127" t="n">
        <v>0</v>
      </c>
      <c r="K3127" t="n">
        <v>0</v>
      </c>
      <c r="L3127" t="n">
        <v>0</v>
      </c>
      <c r="M3127" t="n">
        <v>0</v>
      </c>
      <c r="N3127" t="n">
        <v>0</v>
      </c>
      <c r="O3127" t="n">
        <v>0</v>
      </c>
      <c r="P3127" t="n">
        <v>0</v>
      </c>
      <c r="Q3127" t="n">
        <v>0</v>
      </c>
      <c r="R3127" s="2" t="inlineStr"/>
    </row>
    <row r="3128" ht="15" customHeight="1">
      <c r="A3128" t="inlineStr">
        <is>
          <t>A 58715-2022</t>
        </is>
      </c>
      <c r="B3128" s="1" t="n">
        <v>44902.92510416666</v>
      </c>
      <c r="C3128" s="1" t="n">
        <v>46075</v>
      </c>
      <c r="D3128" t="inlineStr">
        <is>
          <t>VÄSTERBOTTENS LÄN</t>
        </is>
      </c>
      <c r="E3128" t="inlineStr">
        <is>
          <t>ROBERTSFORS</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526-2022</t>
        </is>
      </c>
      <c r="B3129" s="1" t="n">
        <v>44566</v>
      </c>
      <c r="C3129" s="1" t="n">
        <v>46075</v>
      </c>
      <c r="D3129" t="inlineStr">
        <is>
          <t>VÄSTERBOTTENS LÄN</t>
        </is>
      </c>
      <c r="E3129" t="inlineStr">
        <is>
          <t>LYCKSELE</t>
        </is>
      </c>
      <c r="G3129" t="n">
        <v>5.5</v>
      </c>
      <c r="H3129" t="n">
        <v>0</v>
      </c>
      <c r="I3129" t="n">
        <v>0</v>
      </c>
      <c r="J3129" t="n">
        <v>0</v>
      </c>
      <c r="K3129" t="n">
        <v>0</v>
      </c>
      <c r="L3129" t="n">
        <v>0</v>
      </c>
      <c r="M3129" t="n">
        <v>0</v>
      </c>
      <c r="N3129" t="n">
        <v>0</v>
      </c>
      <c r="O3129" t="n">
        <v>0</v>
      </c>
      <c r="P3129" t="n">
        <v>0</v>
      </c>
      <c r="Q3129" t="n">
        <v>0</v>
      </c>
      <c r="R3129" s="2" t="inlineStr"/>
    </row>
    <row r="3130" ht="15" customHeight="1">
      <c r="A3130" t="inlineStr">
        <is>
          <t>A 26546-2024</t>
        </is>
      </c>
      <c r="B3130" s="1" t="n">
        <v>45469.61939814815</v>
      </c>
      <c r="C3130" s="1" t="n">
        <v>46075</v>
      </c>
      <c r="D3130" t="inlineStr">
        <is>
          <t>VÄSTERBOTTENS LÄN</t>
        </is>
      </c>
      <c r="E3130" t="inlineStr">
        <is>
          <t>SKELLEFTEÅ</t>
        </is>
      </c>
      <c r="F3130" t="inlineStr">
        <is>
          <t>Sveaskog</t>
        </is>
      </c>
      <c r="G3130" t="n">
        <v>6.6</v>
      </c>
      <c r="H3130" t="n">
        <v>0</v>
      </c>
      <c r="I3130" t="n">
        <v>0</v>
      </c>
      <c r="J3130" t="n">
        <v>0</v>
      </c>
      <c r="K3130" t="n">
        <v>0</v>
      </c>
      <c r="L3130" t="n">
        <v>0</v>
      </c>
      <c r="M3130" t="n">
        <v>0</v>
      </c>
      <c r="N3130" t="n">
        <v>0</v>
      </c>
      <c r="O3130" t="n">
        <v>0</v>
      </c>
      <c r="P3130" t="n">
        <v>0</v>
      </c>
      <c r="Q3130" t="n">
        <v>0</v>
      </c>
      <c r="R3130" s="2" t="inlineStr"/>
    </row>
    <row r="3131" ht="15" customHeight="1">
      <c r="A3131" t="inlineStr">
        <is>
          <t>A 10582-2023</t>
        </is>
      </c>
      <c r="B3131" s="1" t="n">
        <v>44984</v>
      </c>
      <c r="C3131" s="1" t="n">
        <v>46075</v>
      </c>
      <c r="D3131" t="inlineStr">
        <is>
          <t>VÄSTERBOTTENS LÄN</t>
        </is>
      </c>
      <c r="E3131" t="inlineStr">
        <is>
          <t>ÅSELE</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33080-2024</t>
        </is>
      </c>
      <c r="B3132" s="1" t="n">
        <v>45517.67284722222</v>
      </c>
      <c r="C3132" s="1" t="n">
        <v>46075</v>
      </c>
      <c r="D3132" t="inlineStr">
        <is>
          <t>VÄSTERBOTTENS LÄN</t>
        </is>
      </c>
      <c r="E3132" t="inlineStr">
        <is>
          <t>NORSJÖ</t>
        </is>
      </c>
      <c r="F3132" t="inlineStr">
        <is>
          <t>Holmen skog AB</t>
        </is>
      </c>
      <c r="G3132" t="n">
        <v>25.2</v>
      </c>
      <c r="H3132" t="n">
        <v>0</v>
      </c>
      <c r="I3132" t="n">
        <v>0</v>
      </c>
      <c r="J3132" t="n">
        <v>0</v>
      </c>
      <c r="K3132" t="n">
        <v>0</v>
      </c>
      <c r="L3132" t="n">
        <v>0</v>
      </c>
      <c r="M3132" t="n">
        <v>0</v>
      </c>
      <c r="N3132" t="n">
        <v>0</v>
      </c>
      <c r="O3132" t="n">
        <v>0</v>
      </c>
      <c r="P3132" t="n">
        <v>0</v>
      </c>
      <c r="Q3132" t="n">
        <v>0</v>
      </c>
      <c r="R3132" s="2" t="inlineStr"/>
    </row>
    <row r="3133" ht="15" customHeight="1">
      <c r="A3133" t="inlineStr">
        <is>
          <t>A 61225-2024</t>
        </is>
      </c>
      <c r="B3133" s="1" t="n">
        <v>45645.66707175926</v>
      </c>
      <c r="C3133" s="1" t="n">
        <v>46075</v>
      </c>
      <c r="D3133" t="inlineStr">
        <is>
          <t>VÄSTERBOTTENS LÄN</t>
        </is>
      </c>
      <c r="E3133" t="inlineStr">
        <is>
          <t>UMEÅ</t>
        </is>
      </c>
      <c r="F3133" t="inlineStr">
        <is>
          <t>Holmen skog AB</t>
        </is>
      </c>
      <c r="G3133" t="n">
        <v>4.1</v>
      </c>
      <c r="H3133" t="n">
        <v>0</v>
      </c>
      <c r="I3133" t="n">
        <v>0</v>
      </c>
      <c r="J3133" t="n">
        <v>0</v>
      </c>
      <c r="K3133" t="n">
        <v>0</v>
      </c>
      <c r="L3133" t="n">
        <v>0</v>
      </c>
      <c r="M3133" t="n">
        <v>0</v>
      </c>
      <c r="N3133" t="n">
        <v>0</v>
      </c>
      <c r="O3133" t="n">
        <v>0</v>
      </c>
      <c r="P3133" t="n">
        <v>0</v>
      </c>
      <c r="Q3133" t="n">
        <v>0</v>
      </c>
      <c r="R3133" s="2" t="inlineStr"/>
    </row>
    <row r="3134" ht="15" customHeight="1">
      <c r="A3134" t="inlineStr">
        <is>
          <t>A 61229-2024</t>
        </is>
      </c>
      <c r="B3134" s="1" t="n">
        <v>45645.66908564815</v>
      </c>
      <c r="C3134" s="1" t="n">
        <v>46075</v>
      </c>
      <c r="D3134" t="inlineStr">
        <is>
          <t>VÄSTERBOTTENS LÄN</t>
        </is>
      </c>
      <c r="E3134" t="inlineStr">
        <is>
          <t>BJURHOLM</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25687-2024</t>
        </is>
      </c>
      <c r="B3135" s="1" t="n">
        <v>45463</v>
      </c>
      <c r="C3135" s="1" t="n">
        <v>46075</v>
      </c>
      <c r="D3135" t="inlineStr">
        <is>
          <t>VÄSTERBOTTENS LÄN</t>
        </is>
      </c>
      <c r="E3135" t="inlineStr">
        <is>
          <t>UMEÅ</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48620-2024</t>
        </is>
      </c>
      <c r="B3136" s="1" t="n">
        <v>45593</v>
      </c>
      <c r="C3136" s="1" t="n">
        <v>46075</v>
      </c>
      <c r="D3136" t="inlineStr">
        <is>
          <t>VÄSTERBOTTENS LÄN</t>
        </is>
      </c>
      <c r="E3136" t="inlineStr">
        <is>
          <t>SKELLEFTEÅ</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42000-2024</t>
        </is>
      </c>
      <c r="B3137" s="1" t="n">
        <v>45561.65799768519</v>
      </c>
      <c r="C3137" s="1" t="n">
        <v>46075</v>
      </c>
      <c r="D3137" t="inlineStr">
        <is>
          <t>VÄSTERBOTTENS LÄN</t>
        </is>
      </c>
      <c r="E3137" t="inlineStr">
        <is>
          <t>UMEÅ</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10357-2023</t>
        </is>
      </c>
      <c r="B3138" s="1" t="n">
        <v>44980</v>
      </c>
      <c r="C3138" s="1" t="n">
        <v>46075</v>
      </c>
      <c r="D3138" t="inlineStr">
        <is>
          <t>VÄSTERBOTTENS LÄN</t>
        </is>
      </c>
      <c r="E3138" t="inlineStr">
        <is>
          <t>UMEÅ</t>
        </is>
      </c>
      <c r="F3138" t="inlineStr">
        <is>
          <t>Kommuner</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59135-2022</t>
        </is>
      </c>
      <c r="B3139" s="1" t="n">
        <v>44904.44421296296</v>
      </c>
      <c r="C3139" s="1" t="n">
        <v>46075</v>
      </c>
      <c r="D3139" t="inlineStr">
        <is>
          <t>VÄSTERBOTTENS LÄN</t>
        </is>
      </c>
      <c r="E3139" t="inlineStr">
        <is>
          <t>NORSJÖ</t>
        </is>
      </c>
      <c r="F3139" t="inlineStr">
        <is>
          <t>Sveaskog</t>
        </is>
      </c>
      <c r="G3139" t="n">
        <v>10.7</v>
      </c>
      <c r="H3139" t="n">
        <v>0</v>
      </c>
      <c r="I3139" t="n">
        <v>0</v>
      </c>
      <c r="J3139" t="n">
        <v>0</v>
      </c>
      <c r="K3139" t="n">
        <v>0</v>
      </c>
      <c r="L3139" t="n">
        <v>0</v>
      </c>
      <c r="M3139" t="n">
        <v>0</v>
      </c>
      <c r="N3139" t="n">
        <v>0</v>
      </c>
      <c r="O3139" t="n">
        <v>0</v>
      </c>
      <c r="P3139" t="n">
        <v>0</v>
      </c>
      <c r="Q3139" t="n">
        <v>0</v>
      </c>
      <c r="R3139" s="2" t="inlineStr"/>
    </row>
    <row r="3140" ht="15" customHeight="1">
      <c r="A3140" t="inlineStr">
        <is>
          <t>A 46319-2023</t>
        </is>
      </c>
      <c r="B3140" s="1" t="n">
        <v>45191</v>
      </c>
      <c r="C3140" s="1" t="n">
        <v>46075</v>
      </c>
      <c r="D3140" t="inlineStr">
        <is>
          <t>VÄSTERBOTTENS LÄN</t>
        </is>
      </c>
      <c r="E3140" t="inlineStr">
        <is>
          <t>SORSELE</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46331-2023</t>
        </is>
      </c>
      <c r="B3141" s="1" t="n">
        <v>45197.38826388889</v>
      </c>
      <c r="C3141" s="1" t="n">
        <v>46075</v>
      </c>
      <c r="D3141" t="inlineStr">
        <is>
          <t>VÄSTERBOTTENS LÄN</t>
        </is>
      </c>
      <c r="E3141" t="inlineStr">
        <is>
          <t>ROBERTSFORS</t>
        </is>
      </c>
      <c r="F3141" t="inlineStr">
        <is>
          <t>Holmen skog AB</t>
        </is>
      </c>
      <c r="G3141" t="n">
        <v>5</v>
      </c>
      <c r="H3141" t="n">
        <v>0</v>
      </c>
      <c r="I3141" t="n">
        <v>0</v>
      </c>
      <c r="J3141" t="n">
        <v>0</v>
      </c>
      <c r="K3141" t="n">
        <v>0</v>
      </c>
      <c r="L3141" t="n">
        <v>0</v>
      </c>
      <c r="M3141" t="n">
        <v>0</v>
      </c>
      <c r="N3141" t="n">
        <v>0</v>
      </c>
      <c r="O3141" t="n">
        <v>0</v>
      </c>
      <c r="P3141" t="n">
        <v>0</v>
      </c>
      <c r="Q3141" t="n">
        <v>0</v>
      </c>
      <c r="R3141" s="2" t="inlineStr"/>
    </row>
    <row r="3142" ht="15" customHeight="1">
      <c r="A3142" t="inlineStr">
        <is>
          <t>A 38700-2024</t>
        </is>
      </c>
      <c r="B3142" s="1" t="n">
        <v>45547</v>
      </c>
      <c r="C3142" s="1" t="n">
        <v>46075</v>
      </c>
      <c r="D3142" t="inlineStr">
        <is>
          <t>VÄSTERBOTTENS LÄN</t>
        </is>
      </c>
      <c r="E3142" t="inlineStr">
        <is>
          <t>DOROTEA</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28337-2025</t>
        </is>
      </c>
      <c r="B3143" s="1" t="n">
        <v>45817</v>
      </c>
      <c r="C3143" s="1" t="n">
        <v>46075</v>
      </c>
      <c r="D3143" t="inlineStr">
        <is>
          <t>VÄSTERBOTTENS LÄN</t>
        </is>
      </c>
      <c r="E3143" t="inlineStr">
        <is>
          <t>SKELLEFTEÅ</t>
        </is>
      </c>
      <c r="G3143" t="n">
        <v>16.4</v>
      </c>
      <c r="H3143" t="n">
        <v>0</v>
      </c>
      <c r="I3143" t="n">
        <v>0</v>
      </c>
      <c r="J3143" t="n">
        <v>0</v>
      </c>
      <c r="K3143" t="n">
        <v>0</v>
      </c>
      <c r="L3143" t="n">
        <v>0</v>
      </c>
      <c r="M3143" t="n">
        <v>0</v>
      </c>
      <c r="N3143" t="n">
        <v>0</v>
      </c>
      <c r="O3143" t="n">
        <v>0</v>
      </c>
      <c r="P3143" t="n">
        <v>0</v>
      </c>
      <c r="Q3143" t="n">
        <v>0</v>
      </c>
      <c r="R3143" s="2" t="inlineStr"/>
    </row>
    <row r="3144" ht="15" customHeight="1">
      <c r="A3144" t="inlineStr">
        <is>
          <t>A 61874-2023</t>
        </is>
      </c>
      <c r="B3144" s="1" t="n">
        <v>45266</v>
      </c>
      <c r="C3144" s="1" t="n">
        <v>46075</v>
      </c>
      <c r="D3144" t="inlineStr">
        <is>
          <t>VÄSTERBOTTENS LÄN</t>
        </is>
      </c>
      <c r="E3144" t="inlineStr">
        <is>
          <t>ÅSELE</t>
        </is>
      </c>
      <c r="F3144" t="inlineStr">
        <is>
          <t>Sveaskog</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59211-2023</t>
        </is>
      </c>
      <c r="B3145" s="1" t="n">
        <v>45251</v>
      </c>
      <c r="C3145" s="1" t="n">
        <v>46075</v>
      </c>
      <c r="D3145" t="inlineStr">
        <is>
          <t>VÄSTERBOTTENS LÄN</t>
        </is>
      </c>
      <c r="E3145" t="inlineStr">
        <is>
          <t>ROBERTSFORS</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13001-2023</t>
        </is>
      </c>
      <c r="B3146" s="1" t="n">
        <v>45002</v>
      </c>
      <c r="C3146" s="1" t="n">
        <v>46075</v>
      </c>
      <c r="D3146" t="inlineStr">
        <is>
          <t>VÄSTERBOTTENS LÄN</t>
        </is>
      </c>
      <c r="E3146" t="inlineStr">
        <is>
          <t>MALÅ</t>
        </is>
      </c>
      <c r="F3146" t="inlineStr">
        <is>
          <t>SCA</t>
        </is>
      </c>
      <c r="G3146" t="n">
        <v>3.3</v>
      </c>
      <c r="H3146" t="n">
        <v>0</v>
      </c>
      <c r="I3146" t="n">
        <v>0</v>
      </c>
      <c r="J3146" t="n">
        <v>0</v>
      </c>
      <c r="K3146" t="n">
        <v>0</v>
      </c>
      <c r="L3146" t="n">
        <v>0</v>
      </c>
      <c r="M3146" t="n">
        <v>0</v>
      </c>
      <c r="N3146" t="n">
        <v>0</v>
      </c>
      <c r="O3146" t="n">
        <v>0</v>
      </c>
      <c r="P3146" t="n">
        <v>0</v>
      </c>
      <c r="Q3146" t="n">
        <v>0</v>
      </c>
      <c r="R3146" s="2" t="inlineStr"/>
    </row>
    <row r="3147" ht="15" customHeight="1">
      <c r="A3147" t="inlineStr">
        <is>
          <t>A 18156-2023</t>
        </is>
      </c>
      <c r="B3147" s="1" t="n">
        <v>45040</v>
      </c>
      <c r="C3147" s="1" t="n">
        <v>46075</v>
      </c>
      <c r="D3147" t="inlineStr">
        <is>
          <t>VÄSTERBOTTENS LÄN</t>
        </is>
      </c>
      <c r="E3147" t="inlineStr">
        <is>
          <t>LYCKSELE</t>
        </is>
      </c>
      <c r="F3147" t="inlineStr">
        <is>
          <t>SCA</t>
        </is>
      </c>
      <c r="G3147" t="n">
        <v>22.9</v>
      </c>
      <c r="H3147" t="n">
        <v>0</v>
      </c>
      <c r="I3147" t="n">
        <v>0</v>
      </c>
      <c r="J3147" t="n">
        <v>0</v>
      </c>
      <c r="K3147" t="n">
        <v>0</v>
      </c>
      <c r="L3147" t="n">
        <v>0</v>
      </c>
      <c r="M3147" t="n">
        <v>0</v>
      </c>
      <c r="N3147" t="n">
        <v>0</v>
      </c>
      <c r="O3147" t="n">
        <v>0</v>
      </c>
      <c r="P3147" t="n">
        <v>0</v>
      </c>
      <c r="Q3147" t="n">
        <v>0</v>
      </c>
      <c r="R3147" s="2" t="inlineStr"/>
    </row>
    <row r="3148" ht="15" customHeight="1">
      <c r="A3148" t="inlineStr">
        <is>
          <t>A 22114-2024</t>
        </is>
      </c>
      <c r="B3148" s="1" t="n">
        <v>45443</v>
      </c>
      <c r="C3148" s="1" t="n">
        <v>46075</v>
      </c>
      <c r="D3148" t="inlineStr">
        <is>
          <t>VÄSTERBOTTENS LÄN</t>
        </is>
      </c>
      <c r="E3148" t="inlineStr">
        <is>
          <t>ÅSELE</t>
        </is>
      </c>
      <c r="F3148" t="inlineStr">
        <is>
          <t>SCA</t>
        </is>
      </c>
      <c r="G3148" t="n">
        <v>30.2</v>
      </c>
      <c r="H3148" t="n">
        <v>0</v>
      </c>
      <c r="I3148" t="n">
        <v>0</v>
      </c>
      <c r="J3148" t="n">
        <v>0</v>
      </c>
      <c r="K3148" t="n">
        <v>0</v>
      </c>
      <c r="L3148" t="n">
        <v>0</v>
      </c>
      <c r="M3148" t="n">
        <v>0</v>
      </c>
      <c r="N3148" t="n">
        <v>0</v>
      </c>
      <c r="O3148" t="n">
        <v>0</v>
      </c>
      <c r="P3148" t="n">
        <v>0</v>
      </c>
      <c r="Q3148" t="n">
        <v>0</v>
      </c>
      <c r="R3148" s="2" t="inlineStr"/>
    </row>
    <row r="3149" ht="15" customHeight="1">
      <c r="A3149" t="inlineStr">
        <is>
          <t>A 27671-2024</t>
        </is>
      </c>
      <c r="B3149" s="1" t="n">
        <v>45474.95578703703</v>
      </c>
      <c r="C3149" s="1" t="n">
        <v>46075</v>
      </c>
      <c r="D3149" t="inlineStr">
        <is>
          <t>VÄSTERBOTTENS LÄN</t>
        </is>
      </c>
      <c r="E3149" t="inlineStr">
        <is>
          <t>LYCKSELE</t>
        </is>
      </c>
      <c r="F3149" t="inlineStr">
        <is>
          <t>Naturvårdsverket</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55512-2021</t>
        </is>
      </c>
      <c r="B3150" s="1" t="n">
        <v>44475.63670138889</v>
      </c>
      <c r="C3150" s="1" t="n">
        <v>46075</v>
      </c>
      <c r="D3150" t="inlineStr">
        <is>
          <t>VÄSTERBOTTENS LÄN</t>
        </is>
      </c>
      <c r="E3150" t="inlineStr">
        <is>
          <t>BJURHOLM</t>
        </is>
      </c>
      <c r="F3150" t="inlineStr">
        <is>
          <t>Holmen skog AB</t>
        </is>
      </c>
      <c r="G3150" t="n">
        <v>28.3</v>
      </c>
      <c r="H3150" t="n">
        <v>0</v>
      </c>
      <c r="I3150" t="n">
        <v>0</v>
      </c>
      <c r="J3150" t="n">
        <v>0</v>
      </c>
      <c r="K3150" t="n">
        <v>0</v>
      </c>
      <c r="L3150" t="n">
        <v>0</v>
      </c>
      <c r="M3150" t="n">
        <v>0</v>
      </c>
      <c r="N3150" t="n">
        <v>0</v>
      </c>
      <c r="O3150" t="n">
        <v>0</v>
      </c>
      <c r="P3150" t="n">
        <v>0</v>
      </c>
      <c r="Q3150" t="n">
        <v>0</v>
      </c>
      <c r="R3150" s="2" t="inlineStr"/>
    </row>
    <row r="3151" ht="15" customHeight="1">
      <c r="A3151" t="inlineStr">
        <is>
          <t>A 8215-2023</t>
        </is>
      </c>
      <c r="B3151" s="1" t="n">
        <v>44971</v>
      </c>
      <c r="C3151" s="1" t="n">
        <v>46075</v>
      </c>
      <c r="D3151" t="inlineStr">
        <is>
          <t>VÄSTERBOTTENS LÄN</t>
        </is>
      </c>
      <c r="E3151" t="inlineStr">
        <is>
          <t>VILHELMINA</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18850-2024</t>
        </is>
      </c>
      <c r="B3152" s="1" t="n">
        <v>45426</v>
      </c>
      <c r="C3152" s="1" t="n">
        <v>46075</v>
      </c>
      <c r="D3152" t="inlineStr">
        <is>
          <t>VÄSTERBOTTENS LÄN</t>
        </is>
      </c>
      <c r="E3152" t="inlineStr">
        <is>
          <t>NORSJÖ</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13364-2025</t>
        </is>
      </c>
      <c r="B3153" s="1" t="n">
        <v>45735</v>
      </c>
      <c r="C3153" s="1" t="n">
        <v>46075</v>
      </c>
      <c r="D3153" t="inlineStr">
        <is>
          <t>VÄSTERBOTTENS LÄN</t>
        </is>
      </c>
      <c r="E3153" t="inlineStr">
        <is>
          <t>DOROTEA</t>
        </is>
      </c>
      <c r="F3153" t="inlineStr">
        <is>
          <t>SCA</t>
        </is>
      </c>
      <c r="G3153" t="n">
        <v>7.3</v>
      </c>
      <c r="H3153" t="n">
        <v>0</v>
      </c>
      <c r="I3153" t="n">
        <v>0</v>
      </c>
      <c r="J3153" t="n">
        <v>0</v>
      </c>
      <c r="K3153" t="n">
        <v>0</v>
      </c>
      <c r="L3153" t="n">
        <v>0</v>
      </c>
      <c r="M3153" t="n">
        <v>0</v>
      </c>
      <c r="N3153" t="n">
        <v>0</v>
      </c>
      <c r="O3153" t="n">
        <v>0</v>
      </c>
      <c r="P3153" t="n">
        <v>0</v>
      </c>
      <c r="Q3153" t="n">
        <v>0</v>
      </c>
      <c r="R3153" s="2" t="inlineStr"/>
    </row>
    <row r="3154" ht="15" customHeight="1">
      <c r="A3154" t="inlineStr">
        <is>
          <t>A 2925-2025</t>
        </is>
      </c>
      <c r="B3154" s="1" t="n">
        <v>45678.32653935185</v>
      </c>
      <c r="C3154" s="1" t="n">
        <v>46075</v>
      </c>
      <c r="D3154" t="inlineStr">
        <is>
          <t>VÄSTERBOTTENS LÄN</t>
        </is>
      </c>
      <c r="E3154" t="inlineStr">
        <is>
          <t>NORDMALING</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56997-2023</t>
        </is>
      </c>
      <c r="B3155" s="1" t="n">
        <v>45244</v>
      </c>
      <c r="C3155" s="1" t="n">
        <v>46075</v>
      </c>
      <c r="D3155" t="inlineStr">
        <is>
          <t>VÄSTERBOTTENS LÄN</t>
        </is>
      </c>
      <c r="E3155" t="inlineStr">
        <is>
          <t>MALÅ</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3250-2025</t>
        </is>
      </c>
      <c r="B3156" s="1" t="n">
        <v>45679</v>
      </c>
      <c r="C3156" s="1" t="n">
        <v>46075</v>
      </c>
      <c r="D3156" t="inlineStr">
        <is>
          <t>VÄSTERBOTTENS LÄN</t>
        </is>
      </c>
      <c r="E3156" t="inlineStr">
        <is>
          <t>ÅSELE</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8245-2024</t>
        </is>
      </c>
      <c r="B3157" s="1" t="n">
        <v>45351.98571759259</v>
      </c>
      <c r="C3157" s="1" t="n">
        <v>46075</v>
      </c>
      <c r="D3157" t="inlineStr">
        <is>
          <t>VÄSTERBOTTENS LÄN</t>
        </is>
      </c>
      <c r="E3157" t="inlineStr">
        <is>
          <t>DOROTEA</t>
        </is>
      </c>
      <c r="F3157" t="inlineStr">
        <is>
          <t>SCA</t>
        </is>
      </c>
      <c r="G3157" t="n">
        <v>6.5</v>
      </c>
      <c r="H3157" t="n">
        <v>0</v>
      </c>
      <c r="I3157" t="n">
        <v>0</v>
      </c>
      <c r="J3157" t="n">
        <v>0</v>
      </c>
      <c r="K3157" t="n">
        <v>0</v>
      </c>
      <c r="L3157" t="n">
        <v>0</v>
      </c>
      <c r="M3157" t="n">
        <v>0</v>
      </c>
      <c r="N3157" t="n">
        <v>0</v>
      </c>
      <c r="O3157" t="n">
        <v>0</v>
      </c>
      <c r="P3157" t="n">
        <v>0</v>
      </c>
      <c r="Q3157" t="n">
        <v>0</v>
      </c>
      <c r="R3157" s="2" t="inlineStr"/>
    </row>
    <row r="3158" ht="15" customHeight="1">
      <c r="A3158" t="inlineStr">
        <is>
          <t>A 27869-2025</t>
        </is>
      </c>
      <c r="B3158" s="1" t="n">
        <v>45817.42847222222</v>
      </c>
      <c r="C3158" s="1" t="n">
        <v>46075</v>
      </c>
      <c r="D3158" t="inlineStr">
        <is>
          <t>VÄSTERBOTTENS LÄN</t>
        </is>
      </c>
      <c r="E3158" t="inlineStr">
        <is>
          <t>SKELLEFTEÅ</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6120-2025</t>
        </is>
      </c>
      <c r="B3159" s="1" t="n">
        <v>45698.34443287037</v>
      </c>
      <c r="C3159" s="1" t="n">
        <v>46075</v>
      </c>
      <c r="D3159" t="inlineStr">
        <is>
          <t>VÄSTERBOTTENS LÄN</t>
        </is>
      </c>
      <c r="E3159" t="inlineStr">
        <is>
          <t>UMEÅ</t>
        </is>
      </c>
      <c r="G3159" t="n">
        <v>5.8</v>
      </c>
      <c r="H3159" t="n">
        <v>0</v>
      </c>
      <c r="I3159" t="n">
        <v>0</v>
      </c>
      <c r="J3159" t="n">
        <v>0</v>
      </c>
      <c r="K3159" t="n">
        <v>0</v>
      </c>
      <c r="L3159" t="n">
        <v>0</v>
      </c>
      <c r="M3159" t="n">
        <v>0</v>
      </c>
      <c r="N3159" t="n">
        <v>0</v>
      </c>
      <c r="O3159" t="n">
        <v>0</v>
      </c>
      <c r="P3159" t="n">
        <v>0</v>
      </c>
      <c r="Q3159" t="n">
        <v>0</v>
      </c>
      <c r="R3159" s="2" t="inlineStr"/>
    </row>
    <row r="3160" ht="15" customHeight="1">
      <c r="A3160" t="inlineStr">
        <is>
          <t>A 37817-2024</t>
        </is>
      </c>
      <c r="B3160" s="1" t="n">
        <v>45544</v>
      </c>
      <c r="C3160" s="1" t="n">
        <v>46075</v>
      </c>
      <c r="D3160" t="inlineStr">
        <is>
          <t>VÄSTERBOTTENS LÄN</t>
        </is>
      </c>
      <c r="E3160" t="inlineStr">
        <is>
          <t>LYCKSELE</t>
        </is>
      </c>
      <c r="G3160" t="n">
        <v>12.3</v>
      </c>
      <c r="H3160" t="n">
        <v>0</v>
      </c>
      <c r="I3160" t="n">
        <v>0</v>
      </c>
      <c r="J3160" t="n">
        <v>0</v>
      </c>
      <c r="K3160" t="n">
        <v>0</v>
      </c>
      <c r="L3160" t="n">
        <v>0</v>
      </c>
      <c r="M3160" t="n">
        <v>0</v>
      </c>
      <c r="N3160" t="n">
        <v>0</v>
      </c>
      <c r="O3160" t="n">
        <v>0</v>
      </c>
      <c r="P3160" t="n">
        <v>0</v>
      </c>
      <c r="Q3160" t="n">
        <v>0</v>
      </c>
      <c r="R3160" s="2" t="inlineStr"/>
    </row>
    <row r="3161" ht="15" customHeight="1">
      <c r="A3161" t="inlineStr">
        <is>
          <t>A 27720-2025</t>
        </is>
      </c>
      <c r="B3161" s="1" t="n">
        <v>45814</v>
      </c>
      <c r="C3161" s="1" t="n">
        <v>46075</v>
      </c>
      <c r="D3161" t="inlineStr">
        <is>
          <t>VÄSTERBOTTENS LÄN</t>
        </is>
      </c>
      <c r="E3161" t="inlineStr">
        <is>
          <t>ÅSELE</t>
        </is>
      </c>
      <c r="G3161" t="n">
        <v>4.7</v>
      </c>
      <c r="H3161" t="n">
        <v>0</v>
      </c>
      <c r="I3161" t="n">
        <v>0</v>
      </c>
      <c r="J3161" t="n">
        <v>0</v>
      </c>
      <c r="K3161" t="n">
        <v>0</v>
      </c>
      <c r="L3161" t="n">
        <v>0</v>
      </c>
      <c r="M3161" t="n">
        <v>0</v>
      </c>
      <c r="N3161" t="n">
        <v>0</v>
      </c>
      <c r="O3161" t="n">
        <v>0</v>
      </c>
      <c r="P3161" t="n">
        <v>0</v>
      </c>
      <c r="Q3161" t="n">
        <v>0</v>
      </c>
      <c r="R3161" s="2" t="inlineStr"/>
    </row>
    <row r="3162" ht="15" customHeight="1">
      <c r="A3162" t="inlineStr">
        <is>
          <t>A 27746-2025</t>
        </is>
      </c>
      <c r="B3162" s="1" t="n">
        <v>45815.64054398148</v>
      </c>
      <c r="C3162" s="1" t="n">
        <v>46075</v>
      </c>
      <c r="D3162" t="inlineStr">
        <is>
          <t>VÄSTERBOTTENS LÄN</t>
        </is>
      </c>
      <c r="E3162" t="inlineStr">
        <is>
          <t>SORSELE</t>
        </is>
      </c>
      <c r="G3162" t="n">
        <v>4.1</v>
      </c>
      <c r="H3162" t="n">
        <v>0</v>
      </c>
      <c r="I3162" t="n">
        <v>0</v>
      </c>
      <c r="J3162" t="n">
        <v>0</v>
      </c>
      <c r="K3162" t="n">
        <v>0</v>
      </c>
      <c r="L3162" t="n">
        <v>0</v>
      </c>
      <c r="M3162" t="n">
        <v>0</v>
      </c>
      <c r="N3162" t="n">
        <v>0</v>
      </c>
      <c r="O3162" t="n">
        <v>0</v>
      </c>
      <c r="P3162" t="n">
        <v>0</v>
      </c>
      <c r="Q3162" t="n">
        <v>0</v>
      </c>
      <c r="R3162" s="2" t="inlineStr"/>
    </row>
    <row r="3163" ht="15" customHeight="1">
      <c r="A3163" t="inlineStr">
        <is>
          <t>A 25670-2024</t>
        </is>
      </c>
      <c r="B3163" s="1" t="n">
        <v>45463</v>
      </c>
      <c r="C3163" s="1" t="n">
        <v>46075</v>
      </c>
      <c r="D3163" t="inlineStr">
        <is>
          <t>VÄSTERBOTTENS LÄN</t>
        </is>
      </c>
      <c r="E3163" t="inlineStr">
        <is>
          <t>VINDELN</t>
        </is>
      </c>
      <c r="G3163" t="n">
        <v>0.3</v>
      </c>
      <c r="H3163" t="n">
        <v>0</v>
      </c>
      <c r="I3163" t="n">
        <v>0</v>
      </c>
      <c r="J3163" t="n">
        <v>0</v>
      </c>
      <c r="K3163" t="n">
        <v>0</v>
      </c>
      <c r="L3163" t="n">
        <v>0</v>
      </c>
      <c r="M3163" t="n">
        <v>0</v>
      </c>
      <c r="N3163" t="n">
        <v>0</v>
      </c>
      <c r="O3163" t="n">
        <v>0</v>
      </c>
      <c r="P3163" t="n">
        <v>0</v>
      </c>
      <c r="Q3163" t="n">
        <v>0</v>
      </c>
      <c r="R3163" s="2" t="inlineStr"/>
    </row>
    <row r="3164" ht="15" customHeight="1">
      <c r="A3164" t="inlineStr">
        <is>
          <t>A 21965-2025</t>
        </is>
      </c>
      <c r="B3164" s="1" t="n">
        <v>45784</v>
      </c>
      <c r="C3164" s="1" t="n">
        <v>46075</v>
      </c>
      <c r="D3164" t="inlineStr">
        <is>
          <t>VÄSTERBOTTENS LÄN</t>
        </is>
      </c>
      <c r="E3164" t="inlineStr">
        <is>
          <t>VILHELMINA</t>
        </is>
      </c>
      <c r="G3164" t="n">
        <v>7.4</v>
      </c>
      <c r="H3164" t="n">
        <v>0</v>
      </c>
      <c r="I3164" t="n">
        <v>0</v>
      </c>
      <c r="J3164" t="n">
        <v>0</v>
      </c>
      <c r="K3164" t="n">
        <v>0</v>
      </c>
      <c r="L3164" t="n">
        <v>0</v>
      </c>
      <c r="M3164" t="n">
        <v>0</v>
      </c>
      <c r="N3164" t="n">
        <v>0</v>
      </c>
      <c r="O3164" t="n">
        <v>0</v>
      </c>
      <c r="P3164" t="n">
        <v>0</v>
      </c>
      <c r="Q3164" t="n">
        <v>0</v>
      </c>
      <c r="R3164" s="2" t="inlineStr"/>
    </row>
    <row r="3165" ht="15" customHeight="1">
      <c r="A3165" t="inlineStr">
        <is>
          <t>A 58555-2023</t>
        </is>
      </c>
      <c r="B3165" s="1" t="n">
        <v>45251.43552083334</v>
      </c>
      <c r="C3165" s="1" t="n">
        <v>46075</v>
      </c>
      <c r="D3165" t="inlineStr">
        <is>
          <t>VÄSTERBOTTENS LÄN</t>
        </is>
      </c>
      <c r="E3165" t="inlineStr">
        <is>
          <t>SKELLEFTEÅ</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37950-2024</t>
        </is>
      </c>
      <c r="B3166" s="1" t="n">
        <v>45544.51636574074</v>
      </c>
      <c r="C3166" s="1" t="n">
        <v>46075</v>
      </c>
      <c r="D3166" t="inlineStr">
        <is>
          <t>VÄSTERBOTTENS LÄN</t>
        </is>
      </c>
      <c r="E3166" t="inlineStr">
        <is>
          <t>LYCKSELE</t>
        </is>
      </c>
      <c r="F3166" t="inlineStr">
        <is>
          <t>Sveaskog</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27715-2025</t>
        </is>
      </c>
      <c r="B3167" s="1" t="n">
        <v>45813.92237268519</v>
      </c>
      <c r="C3167" s="1" t="n">
        <v>46075</v>
      </c>
      <c r="D3167" t="inlineStr">
        <is>
          <t>VÄSTERBOTTENS LÄN</t>
        </is>
      </c>
      <c r="E3167" t="inlineStr">
        <is>
          <t>SKELLEFTEÅ</t>
        </is>
      </c>
      <c r="F3167" t="inlineStr">
        <is>
          <t>Sveaskog</t>
        </is>
      </c>
      <c r="G3167" t="n">
        <v>3.5</v>
      </c>
      <c r="H3167" t="n">
        <v>0</v>
      </c>
      <c r="I3167" t="n">
        <v>0</v>
      </c>
      <c r="J3167" t="n">
        <v>0</v>
      </c>
      <c r="K3167" t="n">
        <v>0</v>
      </c>
      <c r="L3167" t="n">
        <v>0</v>
      </c>
      <c r="M3167" t="n">
        <v>0</v>
      </c>
      <c r="N3167" t="n">
        <v>0</v>
      </c>
      <c r="O3167" t="n">
        <v>0</v>
      </c>
      <c r="P3167" t="n">
        <v>0</v>
      </c>
      <c r="Q3167" t="n">
        <v>0</v>
      </c>
      <c r="R3167" s="2" t="inlineStr"/>
    </row>
    <row r="3168" ht="15" customHeight="1">
      <c r="A3168" t="inlineStr">
        <is>
          <t>A 19614-2025</t>
        </is>
      </c>
      <c r="B3168" s="1" t="n">
        <v>45770.61505787037</v>
      </c>
      <c r="C3168" s="1" t="n">
        <v>46075</v>
      </c>
      <c r="D3168" t="inlineStr">
        <is>
          <t>VÄSTERBOTTENS LÄN</t>
        </is>
      </c>
      <c r="E3168" t="inlineStr">
        <is>
          <t>ÅSELE</t>
        </is>
      </c>
      <c r="F3168" t="inlineStr">
        <is>
          <t>SCA</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16212-2025</t>
        </is>
      </c>
      <c r="B3169" s="1" t="n">
        <v>45750.62734953704</v>
      </c>
      <c r="C3169" s="1" t="n">
        <v>46075</v>
      </c>
      <c r="D3169" t="inlineStr">
        <is>
          <t>VÄSTERBOTTENS LÄN</t>
        </is>
      </c>
      <c r="E3169" t="inlineStr">
        <is>
          <t>MALÅ</t>
        </is>
      </c>
      <c r="G3169" t="n">
        <v>6.1</v>
      </c>
      <c r="H3169" t="n">
        <v>0</v>
      </c>
      <c r="I3169" t="n">
        <v>0</v>
      </c>
      <c r="J3169" t="n">
        <v>0</v>
      </c>
      <c r="K3169" t="n">
        <v>0</v>
      </c>
      <c r="L3169" t="n">
        <v>0</v>
      </c>
      <c r="M3169" t="n">
        <v>0</v>
      </c>
      <c r="N3169" t="n">
        <v>0</v>
      </c>
      <c r="O3169" t="n">
        <v>0</v>
      </c>
      <c r="P3169" t="n">
        <v>0</v>
      </c>
      <c r="Q3169" t="n">
        <v>0</v>
      </c>
      <c r="R3169" s="2" t="inlineStr"/>
    </row>
    <row r="3170" ht="15" customHeight="1">
      <c r="A3170" t="inlineStr">
        <is>
          <t>A 16219-2025</t>
        </is>
      </c>
      <c r="B3170" s="1" t="n">
        <v>45750</v>
      </c>
      <c r="C3170" s="1" t="n">
        <v>46075</v>
      </c>
      <c r="D3170" t="inlineStr">
        <is>
          <t>VÄSTERBOTTENS LÄN</t>
        </is>
      </c>
      <c r="E3170" t="inlineStr">
        <is>
          <t>SKELLEFTEÅ</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38434-2021</t>
        </is>
      </c>
      <c r="B3171" s="1" t="n">
        <v>44406</v>
      </c>
      <c r="C3171" s="1" t="n">
        <v>46075</v>
      </c>
      <c r="D3171" t="inlineStr">
        <is>
          <t>VÄSTERBOTTENS LÄN</t>
        </is>
      </c>
      <c r="E3171" t="inlineStr">
        <is>
          <t>UMEÅ</t>
        </is>
      </c>
      <c r="F3171" t="inlineStr">
        <is>
          <t>Kommuner</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19731-2025</t>
        </is>
      </c>
      <c r="B3172" s="1" t="n">
        <v>45771.36564814814</v>
      </c>
      <c r="C3172" s="1" t="n">
        <v>46075</v>
      </c>
      <c r="D3172" t="inlineStr">
        <is>
          <t>VÄSTERBOTTENS LÄN</t>
        </is>
      </c>
      <c r="E3172" t="inlineStr">
        <is>
          <t>SKELLEFTEÅ</t>
        </is>
      </c>
      <c r="G3172" t="n">
        <v>6.1</v>
      </c>
      <c r="H3172" t="n">
        <v>0</v>
      </c>
      <c r="I3172" t="n">
        <v>0</v>
      </c>
      <c r="J3172" t="n">
        <v>0</v>
      </c>
      <c r="K3172" t="n">
        <v>0</v>
      </c>
      <c r="L3172" t="n">
        <v>0</v>
      </c>
      <c r="M3172" t="n">
        <v>0</v>
      </c>
      <c r="N3172" t="n">
        <v>0</v>
      </c>
      <c r="O3172" t="n">
        <v>0</v>
      </c>
      <c r="P3172" t="n">
        <v>0</v>
      </c>
      <c r="Q3172" t="n">
        <v>0</v>
      </c>
      <c r="R3172" s="2" t="inlineStr"/>
    </row>
    <row r="3173" ht="15" customHeight="1">
      <c r="A3173" t="inlineStr">
        <is>
          <t>A 28072-2025</t>
        </is>
      </c>
      <c r="B3173" s="1" t="n">
        <v>45817.6778587963</v>
      </c>
      <c r="C3173" s="1" t="n">
        <v>46075</v>
      </c>
      <c r="D3173" t="inlineStr">
        <is>
          <t>VÄSTERBOTTENS LÄN</t>
        </is>
      </c>
      <c r="E3173" t="inlineStr">
        <is>
          <t>DOROTEA</t>
        </is>
      </c>
      <c r="F3173" t="inlineStr">
        <is>
          <t>SCA</t>
        </is>
      </c>
      <c r="G3173" t="n">
        <v>17.7</v>
      </c>
      <c r="H3173" t="n">
        <v>0</v>
      </c>
      <c r="I3173" t="n">
        <v>0</v>
      </c>
      <c r="J3173" t="n">
        <v>0</v>
      </c>
      <c r="K3173" t="n">
        <v>0</v>
      </c>
      <c r="L3173" t="n">
        <v>0</v>
      </c>
      <c r="M3173" t="n">
        <v>0</v>
      </c>
      <c r="N3173" t="n">
        <v>0</v>
      </c>
      <c r="O3173" t="n">
        <v>0</v>
      </c>
      <c r="P3173" t="n">
        <v>0</v>
      </c>
      <c r="Q3173" t="n">
        <v>0</v>
      </c>
      <c r="R3173" s="2" t="inlineStr"/>
    </row>
    <row r="3174" ht="15" customHeight="1">
      <c r="A3174" t="inlineStr">
        <is>
          <t>A 17863-2025</t>
        </is>
      </c>
      <c r="B3174" s="1" t="n">
        <v>45758.6283912037</v>
      </c>
      <c r="C3174" s="1" t="n">
        <v>46075</v>
      </c>
      <c r="D3174" t="inlineStr">
        <is>
          <t>VÄSTERBOTTENS LÄN</t>
        </is>
      </c>
      <c r="E3174" t="inlineStr">
        <is>
          <t>SORSELE</t>
        </is>
      </c>
      <c r="G3174" t="n">
        <v>4</v>
      </c>
      <c r="H3174" t="n">
        <v>0</v>
      </c>
      <c r="I3174" t="n">
        <v>0</v>
      </c>
      <c r="J3174" t="n">
        <v>0</v>
      </c>
      <c r="K3174" t="n">
        <v>0</v>
      </c>
      <c r="L3174" t="n">
        <v>0</v>
      </c>
      <c r="M3174" t="n">
        <v>0</v>
      </c>
      <c r="N3174" t="n">
        <v>0</v>
      </c>
      <c r="O3174" t="n">
        <v>0</v>
      </c>
      <c r="P3174" t="n">
        <v>0</v>
      </c>
      <c r="Q3174" t="n">
        <v>0</v>
      </c>
      <c r="R3174" s="2" t="inlineStr"/>
    </row>
    <row r="3175" ht="15" customHeight="1">
      <c r="A3175" t="inlineStr">
        <is>
          <t>A 8556-2025</t>
        </is>
      </c>
      <c r="B3175" s="1" t="n">
        <v>45709</v>
      </c>
      <c r="C3175" s="1" t="n">
        <v>46075</v>
      </c>
      <c r="D3175" t="inlineStr">
        <is>
          <t>VÄSTERBOTTENS LÄN</t>
        </is>
      </c>
      <c r="E3175" t="inlineStr">
        <is>
          <t>VILHELMINA</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27721-2025</t>
        </is>
      </c>
      <c r="B3176" s="1" t="n">
        <v>45814</v>
      </c>
      <c r="C3176" s="1" t="n">
        <v>46075</v>
      </c>
      <c r="D3176" t="inlineStr">
        <is>
          <t>VÄSTERBOTTENS LÄN</t>
        </is>
      </c>
      <c r="E3176" t="inlineStr">
        <is>
          <t>ÅSELE</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27723-2025</t>
        </is>
      </c>
      <c r="B3177" s="1" t="n">
        <v>45814.39700231481</v>
      </c>
      <c r="C3177" s="1" t="n">
        <v>46075</v>
      </c>
      <c r="D3177" t="inlineStr">
        <is>
          <t>VÄSTERBOTTENS LÄN</t>
        </is>
      </c>
      <c r="E3177" t="inlineStr">
        <is>
          <t>ÅSELE</t>
        </is>
      </c>
      <c r="G3177" t="n">
        <v>3.6</v>
      </c>
      <c r="H3177" t="n">
        <v>0</v>
      </c>
      <c r="I3177" t="n">
        <v>0</v>
      </c>
      <c r="J3177" t="n">
        <v>0</v>
      </c>
      <c r="K3177" t="n">
        <v>0</v>
      </c>
      <c r="L3177" t="n">
        <v>0</v>
      </c>
      <c r="M3177" t="n">
        <v>0</v>
      </c>
      <c r="N3177" t="n">
        <v>0</v>
      </c>
      <c r="O3177" t="n">
        <v>0</v>
      </c>
      <c r="P3177" t="n">
        <v>0</v>
      </c>
      <c r="Q3177" t="n">
        <v>0</v>
      </c>
      <c r="R3177" s="2" t="inlineStr"/>
    </row>
    <row r="3178" ht="15" customHeight="1">
      <c r="A3178" t="inlineStr">
        <is>
          <t>A 26483-2024</t>
        </is>
      </c>
      <c r="B3178" s="1" t="n">
        <v>45469.55527777778</v>
      </c>
      <c r="C3178" s="1" t="n">
        <v>46075</v>
      </c>
      <c r="D3178" t="inlineStr">
        <is>
          <t>VÄSTERBOTTENS LÄN</t>
        </is>
      </c>
      <c r="E3178" t="inlineStr">
        <is>
          <t>LYCKSELE</t>
        </is>
      </c>
      <c r="F3178" t="inlineStr">
        <is>
          <t>Sveaskog</t>
        </is>
      </c>
      <c r="G3178" t="n">
        <v>0.2</v>
      </c>
      <c r="H3178" t="n">
        <v>0</v>
      </c>
      <c r="I3178" t="n">
        <v>0</v>
      </c>
      <c r="J3178" t="n">
        <v>0</v>
      </c>
      <c r="K3178" t="n">
        <v>0</v>
      </c>
      <c r="L3178" t="n">
        <v>0</v>
      </c>
      <c r="M3178" t="n">
        <v>0</v>
      </c>
      <c r="N3178" t="n">
        <v>0</v>
      </c>
      <c r="O3178" t="n">
        <v>0</v>
      </c>
      <c r="P3178" t="n">
        <v>0</v>
      </c>
      <c r="Q3178" t="n">
        <v>0</v>
      </c>
      <c r="R3178" s="2" t="inlineStr"/>
    </row>
    <row r="3179" ht="15" customHeight="1">
      <c r="A3179" t="inlineStr">
        <is>
          <t>A 26499-2024</t>
        </is>
      </c>
      <c r="B3179" s="1" t="n">
        <v>45469</v>
      </c>
      <c r="C3179" s="1" t="n">
        <v>46075</v>
      </c>
      <c r="D3179" t="inlineStr">
        <is>
          <t>VÄSTERBOTTENS LÄN</t>
        </is>
      </c>
      <c r="E3179" t="inlineStr">
        <is>
          <t>VILHELMINA</t>
        </is>
      </c>
      <c r="F3179" t="inlineStr">
        <is>
          <t>Sveaskog</t>
        </is>
      </c>
      <c r="G3179" t="n">
        <v>5.1</v>
      </c>
      <c r="H3179" t="n">
        <v>0</v>
      </c>
      <c r="I3179" t="n">
        <v>0</v>
      </c>
      <c r="J3179" t="n">
        <v>0</v>
      </c>
      <c r="K3179" t="n">
        <v>0</v>
      </c>
      <c r="L3179" t="n">
        <v>0</v>
      </c>
      <c r="M3179" t="n">
        <v>0</v>
      </c>
      <c r="N3179" t="n">
        <v>0</v>
      </c>
      <c r="O3179" t="n">
        <v>0</v>
      </c>
      <c r="P3179" t="n">
        <v>0</v>
      </c>
      <c r="Q3179" t="n">
        <v>0</v>
      </c>
      <c r="R3179" s="2" t="inlineStr"/>
    </row>
    <row r="3180" ht="15" customHeight="1">
      <c r="A3180" t="inlineStr">
        <is>
          <t>A 27876-2025</t>
        </is>
      </c>
      <c r="B3180" s="1" t="n">
        <v>45817.43787037037</v>
      </c>
      <c r="C3180" s="1" t="n">
        <v>46075</v>
      </c>
      <c r="D3180" t="inlineStr">
        <is>
          <t>VÄSTERBOTTENS LÄN</t>
        </is>
      </c>
      <c r="E3180" t="inlineStr">
        <is>
          <t>SKELLEFTEÅ</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48093-2024</t>
        </is>
      </c>
      <c r="B3181" s="1" t="n">
        <v>45589.60805555555</v>
      </c>
      <c r="C3181" s="1" t="n">
        <v>46075</v>
      </c>
      <c r="D3181" t="inlineStr">
        <is>
          <t>VÄSTERBOTTENS LÄN</t>
        </is>
      </c>
      <c r="E3181" t="inlineStr">
        <is>
          <t>SKELLEFTEÅ</t>
        </is>
      </c>
      <c r="F3181" t="inlineStr">
        <is>
          <t>Holmen skog AB</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16653-2023</t>
        </is>
      </c>
      <c r="B3182" s="1" t="n">
        <v>45030.5209375</v>
      </c>
      <c r="C3182" s="1" t="n">
        <v>46075</v>
      </c>
      <c r="D3182" t="inlineStr">
        <is>
          <t>VÄSTERBOTTENS LÄN</t>
        </is>
      </c>
      <c r="E3182" t="inlineStr">
        <is>
          <t>ROBERTSFORS</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3544-2025</t>
        </is>
      </c>
      <c r="B3183" s="1" t="n">
        <v>45680.64877314815</v>
      </c>
      <c r="C3183" s="1" t="n">
        <v>46075</v>
      </c>
      <c r="D3183" t="inlineStr">
        <is>
          <t>VÄSTERBOTTENS LÄN</t>
        </is>
      </c>
      <c r="E3183" t="inlineStr">
        <is>
          <t>STORUMAN</t>
        </is>
      </c>
      <c r="G3183" t="n">
        <v>19.3</v>
      </c>
      <c r="H3183" t="n">
        <v>0</v>
      </c>
      <c r="I3183" t="n">
        <v>0</v>
      </c>
      <c r="J3183" t="n">
        <v>0</v>
      </c>
      <c r="K3183" t="n">
        <v>0</v>
      </c>
      <c r="L3183" t="n">
        <v>0</v>
      </c>
      <c r="M3183" t="n">
        <v>0</v>
      </c>
      <c r="N3183" t="n">
        <v>0</v>
      </c>
      <c r="O3183" t="n">
        <v>0</v>
      </c>
      <c r="P3183" t="n">
        <v>0</v>
      </c>
      <c r="Q3183" t="n">
        <v>0</v>
      </c>
      <c r="R3183" s="2" t="inlineStr"/>
    </row>
    <row r="3184" ht="15" customHeight="1">
      <c r="A3184" t="inlineStr">
        <is>
          <t>A 4915-2024</t>
        </is>
      </c>
      <c r="B3184" s="1" t="n">
        <v>45329</v>
      </c>
      <c r="C3184" s="1" t="n">
        <v>46075</v>
      </c>
      <c r="D3184" t="inlineStr">
        <is>
          <t>VÄSTERBOTTENS LÄN</t>
        </is>
      </c>
      <c r="E3184" t="inlineStr">
        <is>
          <t>ÅSELE</t>
        </is>
      </c>
      <c r="F3184" t="inlineStr">
        <is>
          <t>Övriga Aktiebolag</t>
        </is>
      </c>
      <c r="G3184" t="n">
        <v>7.5</v>
      </c>
      <c r="H3184" t="n">
        <v>0</v>
      </c>
      <c r="I3184" t="n">
        <v>0</v>
      </c>
      <c r="J3184" t="n">
        <v>0</v>
      </c>
      <c r="K3184" t="n">
        <v>0</v>
      </c>
      <c r="L3184" t="n">
        <v>0</v>
      </c>
      <c r="M3184" t="n">
        <v>0</v>
      </c>
      <c r="N3184" t="n">
        <v>0</v>
      </c>
      <c r="O3184" t="n">
        <v>0</v>
      </c>
      <c r="P3184" t="n">
        <v>0</v>
      </c>
      <c r="Q3184" t="n">
        <v>0</v>
      </c>
      <c r="R3184" s="2" t="inlineStr"/>
    </row>
    <row r="3185" ht="15" customHeight="1">
      <c r="A3185" t="inlineStr">
        <is>
          <t>A 5022-2024</t>
        </is>
      </c>
      <c r="B3185" s="1" t="n">
        <v>45329</v>
      </c>
      <c r="C3185" s="1" t="n">
        <v>46075</v>
      </c>
      <c r="D3185" t="inlineStr">
        <is>
          <t>VÄSTERBOTTENS LÄN</t>
        </is>
      </c>
      <c r="E3185" t="inlineStr">
        <is>
          <t>ÅSELE</t>
        </is>
      </c>
      <c r="F3185" t="inlineStr">
        <is>
          <t>Övriga Aktiebolag</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53256-2023</t>
        </is>
      </c>
      <c r="B3186" s="1" t="n">
        <v>45229</v>
      </c>
      <c r="C3186" s="1" t="n">
        <v>46075</v>
      </c>
      <c r="D3186" t="inlineStr">
        <is>
          <t>VÄSTERBOTTENS LÄN</t>
        </is>
      </c>
      <c r="E3186" t="inlineStr">
        <is>
          <t>MALÅ</t>
        </is>
      </c>
      <c r="G3186" t="n">
        <v>4.6</v>
      </c>
      <c r="H3186" t="n">
        <v>0</v>
      </c>
      <c r="I3186" t="n">
        <v>0</v>
      </c>
      <c r="J3186" t="n">
        <v>0</v>
      </c>
      <c r="K3186" t="n">
        <v>0</v>
      </c>
      <c r="L3186" t="n">
        <v>0</v>
      </c>
      <c r="M3186" t="n">
        <v>0</v>
      </c>
      <c r="N3186" t="n">
        <v>0</v>
      </c>
      <c r="O3186" t="n">
        <v>0</v>
      </c>
      <c r="P3186" t="n">
        <v>0</v>
      </c>
      <c r="Q3186" t="n">
        <v>0</v>
      </c>
      <c r="R3186" s="2" t="inlineStr"/>
    </row>
    <row r="3187" ht="15" customHeight="1">
      <c r="A3187" t="inlineStr">
        <is>
          <t>A 37134-2023</t>
        </is>
      </c>
      <c r="B3187" s="1" t="n">
        <v>45155.57627314814</v>
      </c>
      <c r="C3187" s="1" t="n">
        <v>46075</v>
      </c>
      <c r="D3187" t="inlineStr">
        <is>
          <t>VÄSTERBOTTENS LÄN</t>
        </is>
      </c>
      <c r="E3187" t="inlineStr">
        <is>
          <t>SKELLEFTEÅ</t>
        </is>
      </c>
      <c r="F3187" t="inlineStr">
        <is>
          <t>Holmen skog AB</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16201-2025</t>
        </is>
      </c>
      <c r="B3188" s="1" t="n">
        <v>45750</v>
      </c>
      <c r="C3188" s="1" t="n">
        <v>46075</v>
      </c>
      <c r="D3188" t="inlineStr">
        <is>
          <t>VÄSTERBOTTENS LÄN</t>
        </is>
      </c>
      <c r="E3188" t="inlineStr">
        <is>
          <t>SKELLEFTEÅ</t>
        </is>
      </c>
      <c r="G3188" t="n">
        <v>4.3</v>
      </c>
      <c r="H3188" t="n">
        <v>0</v>
      </c>
      <c r="I3188" t="n">
        <v>0</v>
      </c>
      <c r="J3188" t="n">
        <v>0</v>
      </c>
      <c r="K3188" t="n">
        <v>0</v>
      </c>
      <c r="L3188" t="n">
        <v>0</v>
      </c>
      <c r="M3188" t="n">
        <v>0</v>
      </c>
      <c r="N3188" t="n">
        <v>0</v>
      </c>
      <c r="O3188" t="n">
        <v>0</v>
      </c>
      <c r="P3188" t="n">
        <v>0</v>
      </c>
      <c r="Q3188" t="n">
        <v>0</v>
      </c>
      <c r="R3188" s="2" t="inlineStr"/>
    </row>
    <row r="3189" ht="15" customHeight="1">
      <c r="A3189" t="inlineStr">
        <is>
          <t>A 16208-2025</t>
        </is>
      </c>
      <c r="B3189" s="1" t="n">
        <v>45750.62423611111</v>
      </c>
      <c r="C3189" s="1" t="n">
        <v>46075</v>
      </c>
      <c r="D3189" t="inlineStr">
        <is>
          <t>VÄSTERBOTTENS LÄN</t>
        </is>
      </c>
      <c r="E3189" t="inlineStr">
        <is>
          <t>MALÅ</t>
        </is>
      </c>
      <c r="G3189" t="n">
        <v>11.1</v>
      </c>
      <c r="H3189" t="n">
        <v>0</v>
      </c>
      <c r="I3189" t="n">
        <v>0</v>
      </c>
      <c r="J3189" t="n">
        <v>0</v>
      </c>
      <c r="K3189" t="n">
        <v>0</v>
      </c>
      <c r="L3189" t="n">
        <v>0</v>
      </c>
      <c r="M3189" t="n">
        <v>0</v>
      </c>
      <c r="N3189" t="n">
        <v>0</v>
      </c>
      <c r="O3189" t="n">
        <v>0</v>
      </c>
      <c r="P3189" t="n">
        <v>0</v>
      </c>
      <c r="Q3189" t="n">
        <v>0</v>
      </c>
      <c r="R3189" s="2" t="inlineStr"/>
    </row>
    <row r="3190" ht="15" customHeight="1">
      <c r="A3190" t="inlineStr">
        <is>
          <t>A 34751-2022</t>
        </is>
      </c>
      <c r="B3190" s="1" t="n">
        <v>44795</v>
      </c>
      <c r="C3190" s="1" t="n">
        <v>46075</v>
      </c>
      <c r="D3190" t="inlineStr">
        <is>
          <t>VÄSTERBOTTENS LÄN</t>
        </is>
      </c>
      <c r="E3190" t="inlineStr">
        <is>
          <t>BJURHOLM</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44829-2024</t>
        </is>
      </c>
      <c r="B3191" s="1" t="n">
        <v>45574.67832175926</v>
      </c>
      <c r="C3191" s="1" t="n">
        <v>46075</v>
      </c>
      <c r="D3191" t="inlineStr">
        <is>
          <t>VÄSTERBOTTENS LÄN</t>
        </is>
      </c>
      <c r="E3191" t="inlineStr">
        <is>
          <t>SKELLEFTEÅ</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8313-2025</t>
        </is>
      </c>
      <c r="B3192" s="1" t="n">
        <v>45708.61552083334</v>
      </c>
      <c r="C3192" s="1" t="n">
        <v>46075</v>
      </c>
      <c r="D3192" t="inlineStr">
        <is>
          <t>VÄSTERBOTTENS LÄN</t>
        </is>
      </c>
      <c r="E3192" t="inlineStr">
        <is>
          <t>LYCKSELE</t>
        </is>
      </c>
      <c r="F3192" t="inlineStr">
        <is>
          <t>SCA</t>
        </is>
      </c>
      <c r="G3192" t="n">
        <v>4.6</v>
      </c>
      <c r="H3192" t="n">
        <v>0</v>
      </c>
      <c r="I3192" t="n">
        <v>0</v>
      </c>
      <c r="J3192" t="n">
        <v>0</v>
      </c>
      <c r="K3192" t="n">
        <v>0</v>
      </c>
      <c r="L3192" t="n">
        <v>0</v>
      </c>
      <c r="M3192" t="n">
        <v>0</v>
      </c>
      <c r="N3192" t="n">
        <v>0</v>
      </c>
      <c r="O3192" t="n">
        <v>0</v>
      </c>
      <c r="P3192" t="n">
        <v>0</v>
      </c>
      <c r="Q3192" t="n">
        <v>0</v>
      </c>
      <c r="R3192" s="2" t="inlineStr"/>
    </row>
    <row r="3193" ht="15" customHeight="1">
      <c r="A3193" t="inlineStr">
        <is>
          <t>A 38669-2025</t>
        </is>
      </c>
      <c r="B3193" s="1" t="n">
        <v>45884.62400462963</v>
      </c>
      <c r="C3193" s="1" t="n">
        <v>46075</v>
      </c>
      <c r="D3193" t="inlineStr">
        <is>
          <t>VÄSTERBOTTENS LÄN</t>
        </is>
      </c>
      <c r="E3193" t="inlineStr">
        <is>
          <t>UMEÅ</t>
        </is>
      </c>
      <c r="G3193" t="n">
        <v>4.9</v>
      </c>
      <c r="H3193" t="n">
        <v>0</v>
      </c>
      <c r="I3193" t="n">
        <v>0</v>
      </c>
      <c r="J3193" t="n">
        <v>0</v>
      </c>
      <c r="K3193" t="n">
        <v>0</v>
      </c>
      <c r="L3193" t="n">
        <v>0</v>
      </c>
      <c r="M3193" t="n">
        <v>0</v>
      </c>
      <c r="N3193" t="n">
        <v>0</v>
      </c>
      <c r="O3193" t="n">
        <v>0</v>
      </c>
      <c r="P3193" t="n">
        <v>0</v>
      </c>
      <c r="Q3193" t="n">
        <v>0</v>
      </c>
      <c r="R3193" s="2" t="inlineStr"/>
    </row>
    <row r="3194" ht="15" customHeight="1">
      <c r="A3194" t="inlineStr">
        <is>
          <t>A 33661-2023</t>
        </is>
      </c>
      <c r="B3194" s="1" t="n">
        <v>45119</v>
      </c>
      <c r="C3194" s="1" t="n">
        <v>46075</v>
      </c>
      <c r="D3194" t="inlineStr">
        <is>
          <t>VÄSTERBOTTENS LÄN</t>
        </is>
      </c>
      <c r="E3194" t="inlineStr">
        <is>
          <t>VILHELMINA</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38694-2025</t>
        </is>
      </c>
      <c r="B3195" s="1" t="n">
        <v>45884.71439814815</v>
      </c>
      <c r="C3195" s="1" t="n">
        <v>46075</v>
      </c>
      <c r="D3195" t="inlineStr">
        <is>
          <t>VÄSTERBOTTENS LÄN</t>
        </is>
      </c>
      <c r="E3195" t="inlineStr">
        <is>
          <t>SKELLEFTEÅ</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28186-2025</t>
        </is>
      </c>
      <c r="B3196" s="1" t="n">
        <v>45818</v>
      </c>
      <c r="C3196" s="1" t="n">
        <v>46075</v>
      </c>
      <c r="D3196" t="inlineStr">
        <is>
          <t>VÄSTERBOTTENS LÄN</t>
        </is>
      </c>
      <c r="E3196" t="inlineStr">
        <is>
          <t>SORSELE</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16233-2025</t>
        </is>
      </c>
      <c r="B3197" s="1" t="n">
        <v>45750.65672453704</v>
      </c>
      <c r="C3197" s="1" t="n">
        <v>46075</v>
      </c>
      <c r="D3197" t="inlineStr">
        <is>
          <t>VÄSTERBOTTENS LÄN</t>
        </is>
      </c>
      <c r="E3197" t="inlineStr">
        <is>
          <t>NORSJÖ</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28221-2025</t>
        </is>
      </c>
      <c r="B3198" s="1" t="n">
        <v>45818</v>
      </c>
      <c r="C3198" s="1" t="n">
        <v>46075</v>
      </c>
      <c r="D3198" t="inlineStr">
        <is>
          <t>VÄSTERBOTTENS LÄN</t>
        </is>
      </c>
      <c r="E3198" t="inlineStr">
        <is>
          <t>SKELLEFTEÅ</t>
        </is>
      </c>
      <c r="F3198" t="inlineStr">
        <is>
          <t>Holmen skog AB</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55714-2023</t>
        </is>
      </c>
      <c r="B3199" s="1" t="n">
        <v>45232</v>
      </c>
      <c r="C3199" s="1" t="n">
        <v>46075</v>
      </c>
      <c r="D3199" t="inlineStr">
        <is>
          <t>VÄSTERBOTTENS LÄN</t>
        </is>
      </c>
      <c r="E3199" t="inlineStr">
        <is>
          <t>VILHELMINA</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55739-2023</t>
        </is>
      </c>
      <c r="B3200" s="1" t="n">
        <v>45239</v>
      </c>
      <c r="C3200" s="1" t="n">
        <v>46075</v>
      </c>
      <c r="D3200" t="inlineStr">
        <is>
          <t>VÄSTERBOTTENS LÄN</t>
        </is>
      </c>
      <c r="E3200" t="inlineStr">
        <is>
          <t>SKELLEFTEÅ</t>
        </is>
      </c>
      <c r="G3200" t="n">
        <v>8.800000000000001</v>
      </c>
      <c r="H3200" t="n">
        <v>0</v>
      </c>
      <c r="I3200" t="n">
        <v>0</v>
      </c>
      <c r="J3200" t="n">
        <v>0</v>
      </c>
      <c r="K3200" t="n">
        <v>0</v>
      </c>
      <c r="L3200" t="n">
        <v>0</v>
      </c>
      <c r="M3200" t="n">
        <v>0</v>
      </c>
      <c r="N3200" t="n">
        <v>0</v>
      </c>
      <c r="O3200" t="n">
        <v>0</v>
      </c>
      <c r="P3200" t="n">
        <v>0</v>
      </c>
      <c r="Q3200" t="n">
        <v>0</v>
      </c>
      <c r="R3200" s="2" t="inlineStr"/>
    </row>
    <row r="3201" ht="15" customHeight="1">
      <c r="A3201" t="inlineStr">
        <is>
          <t>A 55744-2023</t>
        </is>
      </c>
      <c r="B3201" s="1" t="n">
        <v>45239.4444212963</v>
      </c>
      <c r="C3201" s="1" t="n">
        <v>46075</v>
      </c>
      <c r="D3201" t="inlineStr">
        <is>
          <t>VÄSTERBOTTENS LÄN</t>
        </is>
      </c>
      <c r="E3201" t="inlineStr">
        <is>
          <t>SKELLEFTEÅ</t>
        </is>
      </c>
      <c r="G3201" t="n">
        <v>12.4</v>
      </c>
      <c r="H3201" t="n">
        <v>0</v>
      </c>
      <c r="I3201" t="n">
        <v>0</v>
      </c>
      <c r="J3201" t="n">
        <v>0</v>
      </c>
      <c r="K3201" t="n">
        <v>0</v>
      </c>
      <c r="L3201" t="n">
        <v>0</v>
      </c>
      <c r="M3201" t="n">
        <v>0</v>
      </c>
      <c r="N3201" t="n">
        <v>0</v>
      </c>
      <c r="O3201" t="n">
        <v>0</v>
      </c>
      <c r="P3201" t="n">
        <v>0</v>
      </c>
      <c r="Q3201" t="n">
        <v>0</v>
      </c>
      <c r="R3201" s="2" t="inlineStr"/>
    </row>
    <row r="3202" ht="15" customHeight="1">
      <c r="A3202" t="inlineStr">
        <is>
          <t>A 59945-2023</t>
        </is>
      </c>
      <c r="B3202" s="1" t="n">
        <v>45254</v>
      </c>
      <c r="C3202" s="1" t="n">
        <v>46075</v>
      </c>
      <c r="D3202" t="inlineStr">
        <is>
          <t>VÄSTERBOTTENS LÄN</t>
        </is>
      </c>
      <c r="E3202" t="inlineStr">
        <is>
          <t>SKELLEFTEÅ</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57578-2022</t>
        </is>
      </c>
      <c r="B3203" s="1" t="n">
        <v>44896.93035879629</v>
      </c>
      <c r="C3203" s="1" t="n">
        <v>46075</v>
      </c>
      <c r="D3203" t="inlineStr">
        <is>
          <t>VÄSTERBOTTENS LÄN</t>
        </is>
      </c>
      <c r="E3203" t="inlineStr">
        <is>
          <t>SKELLEFTEÅ</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57583-2022</t>
        </is>
      </c>
      <c r="B3204" s="1" t="n">
        <v>44896.9309375</v>
      </c>
      <c r="C3204" s="1" t="n">
        <v>46075</v>
      </c>
      <c r="D3204" t="inlineStr">
        <is>
          <t>VÄSTERBOTTENS LÄN</t>
        </is>
      </c>
      <c r="E3204" t="inlineStr">
        <is>
          <t>SKELLEFTEÅ</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27864-2025</t>
        </is>
      </c>
      <c r="B3205" s="1" t="n">
        <v>45817.42127314815</v>
      </c>
      <c r="C3205" s="1" t="n">
        <v>46075</v>
      </c>
      <c r="D3205" t="inlineStr">
        <is>
          <t>VÄSTERBOTTENS LÄN</t>
        </is>
      </c>
      <c r="E3205" t="inlineStr">
        <is>
          <t>SKELLEFTEÅ</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38774-2025</t>
        </is>
      </c>
      <c r="B3206" s="1" t="n">
        <v>45887.42543981481</v>
      </c>
      <c r="C3206" s="1" t="n">
        <v>46075</v>
      </c>
      <c r="D3206" t="inlineStr">
        <is>
          <t>VÄSTERBOTTENS LÄN</t>
        </is>
      </c>
      <c r="E3206" t="inlineStr">
        <is>
          <t>LYCKSELE</t>
        </is>
      </c>
      <c r="F3206" t="inlineStr">
        <is>
          <t>Sveaskog</t>
        </is>
      </c>
      <c r="G3206" t="n">
        <v>10.7</v>
      </c>
      <c r="H3206" t="n">
        <v>0</v>
      </c>
      <c r="I3206" t="n">
        <v>0</v>
      </c>
      <c r="J3206" t="n">
        <v>0</v>
      </c>
      <c r="K3206" t="n">
        <v>0</v>
      </c>
      <c r="L3206" t="n">
        <v>0</v>
      </c>
      <c r="M3206" t="n">
        <v>0</v>
      </c>
      <c r="N3206" t="n">
        <v>0</v>
      </c>
      <c r="O3206" t="n">
        <v>0</v>
      </c>
      <c r="P3206" t="n">
        <v>0</v>
      </c>
      <c r="Q3206" t="n">
        <v>0</v>
      </c>
      <c r="R3206" s="2" t="inlineStr"/>
    </row>
    <row r="3207" ht="15" customHeight="1">
      <c r="A3207" t="inlineStr">
        <is>
          <t>A 47317-2024</t>
        </is>
      </c>
      <c r="B3207" s="1" t="n">
        <v>45587.37518518518</v>
      </c>
      <c r="C3207" s="1" t="n">
        <v>46075</v>
      </c>
      <c r="D3207" t="inlineStr">
        <is>
          <t>VÄSTERBOTTENS LÄN</t>
        </is>
      </c>
      <c r="E3207" t="inlineStr">
        <is>
          <t>NORSJÖ</t>
        </is>
      </c>
      <c r="F3207" t="inlineStr">
        <is>
          <t>Sveaskog</t>
        </is>
      </c>
      <c r="G3207" t="n">
        <v>13.4</v>
      </c>
      <c r="H3207" t="n">
        <v>0</v>
      </c>
      <c r="I3207" t="n">
        <v>0</v>
      </c>
      <c r="J3207" t="n">
        <v>0</v>
      </c>
      <c r="K3207" t="n">
        <v>0</v>
      </c>
      <c r="L3207" t="n">
        <v>0</v>
      </c>
      <c r="M3207" t="n">
        <v>0</v>
      </c>
      <c r="N3207" t="n">
        <v>0</v>
      </c>
      <c r="O3207" t="n">
        <v>0</v>
      </c>
      <c r="P3207" t="n">
        <v>0</v>
      </c>
      <c r="Q3207" t="n">
        <v>0</v>
      </c>
      <c r="R3207" s="2" t="inlineStr"/>
    </row>
    <row r="3208" ht="15" customHeight="1">
      <c r="A3208" t="inlineStr">
        <is>
          <t>A 38620-2025</t>
        </is>
      </c>
      <c r="B3208" s="1" t="n">
        <v>45884.55297453704</v>
      </c>
      <c r="C3208" s="1" t="n">
        <v>46075</v>
      </c>
      <c r="D3208" t="inlineStr">
        <is>
          <t>VÄSTERBOTTENS LÄN</t>
        </is>
      </c>
      <c r="E3208" t="inlineStr">
        <is>
          <t>VILHELMINA</t>
        </is>
      </c>
      <c r="F3208" t="inlineStr">
        <is>
          <t>SCA</t>
        </is>
      </c>
      <c r="G3208" t="n">
        <v>4.3</v>
      </c>
      <c r="H3208" t="n">
        <v>0</v>
      </c>
      <c r="I3208" t="n">
        <v>0</v>
      </c>
      <c r="J3208" t="n">
        <v>0</v>
      </c>
      <c r="K3208" t="n">
        <v>0</v>
      </c>
      <c r="L3208" t="n">
        <v>0</v>
      </c>
      <c r="M3208" t="n">
        <v>0</v>
      </c>
      <c r="N3208" t="n">
        <v>0</v>
      </c>
      <c r="O3208" t="n">
        <v>0</v>
      </c>
      <c r="P3208" t="n">
        <v>0</v>
      </c>
      <c r="Q3208" t="n">
        <v>0</v>
      </c>
      <c r="R3208" s="2" t="inlineStr"/>
    </row>
    <row r="3209" ht="15" customHeight="1">
      <c r="A3209" t="inlineStr">
        <is>
          <t>A 14161-2023</t>
        </is>
      </c>
      <c r="B3209" s="1" t="n">
        <v>45008</v>
      </c>
      <c r="C3209" s="1" t="n">
        <v>46075</v>
      </c>
      <c r="D3209" t="inlineStr">
        <is>
          <t>VÄSTERBOTTENS LÄN</t>
        </is>
      </c>
      <c r="E3209" t="inlineStr">
        <is>
          <t>SORSELE</t>
        </is>
      </c>
      <c r="F3209" t="inlineStr">
        <is>
          <t>Sveaskog</t>
        </is>
      </c>
      <c r="G3209" t="n">
        <v>2.9</v>
      </c>
      <c r="H3209" t="n">
        <v>0</v>
      </c>
      <c r="I3209" t="n">
        <v>0</v>
      </c>
      <c r="J3209" t="n">
        <v>0</v>
      </c>
      <c r="K3209" t="n">
        <v>0</v>
      </c>
      <c r="L3209" t="n">
        <v>0</v>
      </c>
      <c r="M3209" t="n">
        <v>0</v>
      </c>
      <c r="N3209" t="n">
        <v>0</v>
      </c>
      <c r="O3209" t="n">
        <v>0</v>
      </c>
      <c r="P3209" t="n">
        <v>0</v>
      </c>
      <c r="Q3209" t="n">
        <v>0</v>
      </c>
      <c r="R3209" s="2" t="inlineStr"/>
    </row>
    <row r="3210" ht="15" customHeight="1">
      <c r="A3210" t="inlineStr">
        <is>
          <t>A 28495-2025</t>
        </is>
      </c>
      <c r="B3210" s="1" t="n">
        <v>45818</v>
      </c>
      <c r="C3210" s="1" t="n">
        <v>46075</v>
      </c>
      <c r="D3210" t="inlineStr">
        <is>
          <t>VÄSTERBOTTENS LÄN</t>
        </is>
      </c>
      <c r="E3210" t="inlineStr">
        <is>
          <t>ÅSELE</t>
        </is>
      </c>
      <c r="G3210" t="n">
        <v>37.6</v>
      </c>
      <c r="H3210" t="n">
        <v>0</v>
      </c>
      <c r="I3210" t="n">
        <v>0</v>
      </c>
      <c r="J3210" t="n">
        <v>0</v>
      </c>
      <c r="K3210" t="n">
        <v>0</v>
      </c>
      <c r="L3210" t="n">
        <v>0</v>
      </c>
      <c r="M3210" t="n">
        <v>0</v>
      </c>
      <c r="N3210" t="n">
        <v>0</v>
      </c>
      <c r="O3210" t="n">
        <v>0</v>
      </c>
      <c r="P3210" t="n">
        <v>0</v>
      </c>
      <c r="Q3210" t="n">
        <v>0</v>
      </c>
      <c r="R3210" s="2" t="inlineStr"/>
    </row>
    <row r="3211" ht="15" customHeight="1">
      <c r="A3211" t="inlineStr">
        <is>
          <t>A 28306-2025</t>
        </is>
      </c>
      <c r="B3211" s="1" t="n">
        <v>45818.61637731481</v>
      </c>
      <c r="C3211" s="1" t="n">
        <v>46075</v>
      </c>
      <c r="D3211" t="inlineStr">
        <is>
          <t>VÄSTERBOTTENS LÄN</t>
        </is>
      </c>
      <c r="E3211" t="inlineStr">
        <is>
          <t>LYCKSELE</t>
        </is>
      </c>
      <c r="F3211" t="inlineStr">
        <is>
          <t>Sveaskog</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6130-2025</t>
        </is>
      </c>
      <c r="B3212" s="1" t="n">
        <v>45698.36478009259</v>
      </c>
      <c r="C3212" s="1" t="n">
        <v>46075</v>
      </c>
      <c r="D3212" t="inlineStr">
        <is>
          <t>VÄSTERBOTTENS LÄN</t>
        </is>
      </c>
      <c r="E3212" t="inlineStr">
        <is>
          <t>UMEÅ</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6231-2025</t>
        </is>
      </c>
      <c r="B3213" s="1" t="n">
        <v>45697</v>
      </c>
      <c r="C3213" s="1" t="n">
        <v>46075</v>
      </c>
      <c r="D3213" t="inlineStr">
        <is>
          <t>VÄSTERBOTTENS LÄN</t>
        </is>
      </c>
      <c r="E3213" t="inlineStr">
        <is>
          <t>SORSELE</t>
        </is>
      </c>
      <c r="G3213" t="n">
        <v>5.2</v>
      </c>
      <c r="H3213" t="n">
        <v>0</v>
      </c>
      <c r="I3213" t="n">
        <v>0</v>
      </c>
      <c r="J3213" t="n">
        <v>0</v>
      </c>
      <c r="K3213" t="n">
        <v>0</v>
      </c>
      <c r="L3213" t="n">
        <v>0</v>
      </c>
      <c r="M3213" t="n">
        <v>0</v>
      </c>
      <c r="N3213" t="n">
        <v>0</v>
      </c>
      <c r="O3213" t="n">
        <v>0</v>
      </c>
      <c r="P3213" t="n">
        <v>0</v>
      </c>
      <c r="Q3213" t="n">
        <v>0</v>
      </c>
      <c r="R3213" s="2" t="inlineStr"/>
    </row>
    <row r="3214" ht="15" customHeight="1">
      <c r="A3214" t="inlineStr">
        <is>
          <t>A 11299-2025</t>
        </is>
      </c>
      <c r="B3214" s="1" t="n">
        <v>45726.44050925926</v>
      </c>
      <c r="C3214" s="1" t="n">
        <v>46075</v>
      </c>
      <c r="D3214" t="inlineStr">
        <is>
          <t>VÄSTERBOTTENS LÄN</t>
        </is>
      </c>
      <c r="E3214" t="inlineStr">
        <is>
          <t>MALÅ</t>
        </is>
      </c>
      <c r="F3214" t="inlineStr">
        <is>
          <t>Sveaskog</t>
        </is>
      </c>
      <c r="G3214" t="n">
        <v>37.2</v>
      </c>
      <c r="H3214" t="n">
        <v>0</v>
      </c>
      <c r="I3214" t="n">
        <v>0</v>
      </c>
      <c r="J3214" t="n">
        <v>0</v>
      </c>
      <c r="K3214" t="n">
        <v>0</v>
      </c>
      <c r="L3214" t="n">
        <v>0</v>
      </c>
      <c r="M3214" t="n">
        <v>0</v>
      </c>
      <c r="N3214" t="n">
        <v>0</v>
      </c>
      <c r="O3214" t="n">
        <v>0</v>
      </c>
      <c r="P3214" t="n">
        <v>0</v>
      </c>
      <c r="Q3214" t="n">
        <v>0</v>
      </c>
      <c r="R3214" s="2" t="inlineStr"/>
    </row>
    <row r="3215" ht="15" customHeight="1">
      <c r="A3215" t="inlineStr">
        <is>
          <t>A 11956-2025</t>
        </is>
      </c>
      <c r="B3215" s="1" t="n">
        <v>45728.56809027777</v>
      </c>
      <c r="C3215" s="1" t="n">
        <v>46075</v>
      </c>
      <c r="D3215" t="inlineStr">
        <is>
          <t>VÄSTERBOTTENS LÄN</t>
        </is>
      </c>
      <c r="E3215" t="inlineStr">
        <is>
          <t>SKELLEFTEÅ</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1821-2022</t>
        </is>
      </c>
      <c r="B3216" s="1" t="n">
        <v>44574.65519675926</v>
      </c>
      <c r="C3216" s="1" t="n">
        <v>46075</v>
      </c>
      <c r="D3216" t="inlineStr">
        <is>
          <t>VÄSTERBOTTENS LÄN</t>
        </is>
      </c>
      <c r="E3216" t="inlineStr">
        <is>
          <t>UMEÅ</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38700-2025</t>
        </is>
      </c>
      <c r="B3217" s="1" t="n">
        <v>45884.85496527778</v>
      </c>
      <c r="C3217" s="1" t="n">
        <v>46075</v>
      </c>
      <c r="D3217" t="inlineStr">
        <is>
          <t>VÄSTERBOTTENS LÄN</t>
        </is>
      </c>
      <c r="E3217" t="inlineStr">
        <is>
          <t>STORUMAN</t>
        </is>
      </c>
      <c r="F3217" t="inlineStr">
        <is>
          <t>Sveaskog</t>
        </is>
      </c>
      <c r="G3217" t="n">
        <v>5.5</v>
      </c>
      <c r="H3217" t="n">
        <v>0</v>
      </c>
      <c r="I3217" t="n">
        <v>0</v>
      </c>
      <c r="J3217" t="n">
        <v>0</v>
      </c>
      <c r="K3217" t="n">
        <v>0</v>
      </c>
      <c r="L3217" t="n">
        <v>0</v>
      </c>
      <c r="M3217" t="n">
        <v>0</v>
      </c>
      <c r="N3217" t="n">
        <v>0</v>
      </c>
      <c r="O3217" t="n">
        <v>0</v>
      </c>
      <c r="P3217" t="n">
        <v>0</v>
      </c>
      <c r="Q3217" t="n">
        <v>0</v>
      </c>
      <c r="R3217" s="2" t="inlineStr"/>
    </row>
    <row r="3218" ht="15" customHeight="1">
      <c r="A3218" t="inlineStr">
        <is>
          <t>A 11638-2023</t>
        </is>
      </c>
      <c r="B3218" s="1" t="n">
        <v>44994.44827546296</v>
      </c>
      <c r="C3218" s="1" t="n">
        <v>46075</v>
      </c>
      <c r="D3218" t="inlineStr">
        <is>
          <t>VÄSTERBOTTENS LÄN</t>
        </is>
      </c>
      <c r="E3218" t="inlineStr">
        <is>
          <t>SKELLEFTEÅ</t>
        </is>
      </c>
      <c r="G3218" t="n">
        <v>19.8</v>
      </c>
      <c r="H3218" t="n">
        <v>0</v>
      </c>
      <c r="I3218" t="n">
        <v>0</v>
      </c>
      <c r="J3218" t="n">
        <v>0</v>
      </c>
      <c r="K3218" t="n">
        <v>0</v>
      </c>
      <c r="L3218" t="n">
        <v>0</v>
      </c>
      <c r="M3218" t="n">
        <v>0</v>
      </c>
      <c r="N3218" t="n">
        <v>0</v>
      </c>
      <c r="O3218" t="n">
        <v>0</v>
      </c>
      <c r="P3218" t="n">
        <v>0</v>
      </c>
      <c r="Q3218" t="n">
        <v>0</v>
      </c>
      <c r="R3218" s="2" t="inlineStr"/>
    </row>
    <row r="3219" ht="15" customHeight="1">
      <c r="A3219" t="inlineStr">
        <is>
          <t>A 41732-2023</t>
        </is>
      </c>
      <c r="B3219" s="1" t="n">
        <v>45176</v>
      </c>
      <c r="C3219" s="1" t="n">
        <v>46075</v>
      </c>
      <c r="D3219" t="inlineStr">
        <is>
          <t>VÄSTERBOTTENS LÄN</t>
        </is>
      </c>
      <c r="E3219" t="inlineStr">
        <is>
          <t>UMEÅ</t>
        </is>
      </c>
      <c r="F3219" t="inlineStr">
        <is>
          <t>Holmen skog AB</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34060-2023</t>
        </is>
      </c>
      <c r="B3220" s="1" t="n">
        <v>45135</v>
      </c>
      <c r="C3220" s="1" t="n">
        <v>46075</v>
      </c>
      <c r="D3220" t="inlineStr">
        <is>
          <t>VÄSTERBOTTENS LÄN</t>
        </is>
      </c>
      <c r="E3220" t="inlineStr">
        <is>
          <t>LYCKSELE</t>
        </is>
      </c>
      <c r="F3220" t="inlineStr">
        <is>
          <t>Holmen skog AB</t>
        </is>
      </c>
      <c r="G3220" t="n">
        <v>5.5</v>
      </c>
      <c r="H3220" t="n">
        <v>0</v>
      </c>
      <c r="I3220" t="n">
        <v>0</v>
      </c>
      <c r="J3220" t="n">
        <v>0</v>
      </c>
      <c r="K3220" t="n">
        <v>0</v>
      </c>
      <c r="L3220" t="n">
        <v>0</v>
      </c>
      <c r="M3220" t="n">
        <v>0</v>
      </c>
      <c r="N3220" t="n">
        <v>0</v>
      </c>
      <c r="O3220" t="n">
        <v>0</v>
      </c>
      <c r="P3220" t="n">
        <v>0</v>
      </c>
      <c r="Q3220" t="n">
        <v>0</v>
      </c>
      <c r="R3220" s="2" t="inlineStr"/>
    </row>
    <row r="3221" ht="15" customHeight="1">
      <c r="A3221" t="inlineStr">
        <is>
          <t>A 34763-2024</t>
        </is>
      </c>
      <c r="B3221" s="1" t="n">
        <v>45526.61646990741</v>
      </c>
      <c r="C3221" s="1" t="n">
        <v>46075</v>
      </c>
      <c r="D3221" t="inlineStr">
        <is>
          <t>VÄSTERBOTTENS LÄN</t>
        </is>
      </c>
      <c r="E3221" t="inlineStr">
        <is>
          <t>VILHELMINA</t>
        </is>
      </c>
      <c r="F3221" t="inlineStr">
        <is>
          <t>SCA</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34764-2024</t>
        </is>
      </c>
      <c r="B3222" s="1" t="n">
        <v>45526.61664351852</v>
      </c>
      <c r="C3222" s="1" t="n">
        <v>46075</v>
      </c>
      <c r="D3222" t="inlineStr">
        <is>
          <t>VÄSTERBOTTENS LÄN</t>
        </is>
      </c>
      <c r="E3222" t="inlineStr">
        <is>
          <t>VILHELMINA</t>
        </is>
      </c>
      <c r="F3222" t="inlineStr">
        <is>
          <t>SCA</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12002-2022</t>
        </is>
      </c>
      <c r="B3223" s="1" t="n">
        <v>44635</v>
      </c>
      <c r="C3223" s="1" t="n">
        <v>46075</v>
      </c>
      <c r="D3223" t="inlineStr">
        <is>
          <t>VÄSTERBOTTENS LÄN</t>
        </is>
      </c>
      <c r="E3223" t="inlineStr">
        <is>
          <t>STORUMAN</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12009-2022</t>
        </is>
      </c>
      <c r="B3224" s="1" t="n">
        <v>44635</v>
      </c>
      <c r="C3224" s="1" t="n">
        <v>46075</v>
      </c>
      <c r="D3224" t="inlineStr">
        <is>
          <t>VÄSTERBOTTENS LÄN</t>
        </is>
      </c>
      <c r="E3224" t="inlineStr">
        <is>
          <t>SKELLEFTEÅ</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64723-2023</t>
        </is>
      </c>
      <c r="B3225" s="1" t="n">
        <v>45281</v>
      </c>
      <c r="C3225" s="1" t="n">
        <v>46075</v>
      </c>
      <c r="D3225" t="inlineStr">
        <is>
          <t>VÄSTERBOTTENS LÄN</t>
        </is>
      </c>
      <c r="E3225" t="inlineStr">
        <is>
          <t>SKELLEFTEÅ</t>
        </is>
      </c>
      <c r="G3225" t="n">
        <v>0.1</v>
      </c>
      <c r="H3225" t="n">
        <v>0</v>
      </c>
      <c r="I3225" t="n">
        <v>0</v>
      </c>
      <c r="J3225" t="n">
        <v>0</v>
      </c>
      <c r="K3225" t="n">
        <v>0</v>
      </c>
      <c r="L3225" t="n">
        <v>0</v>
      </c>
      <c r="M3225" t="n">
        <v>0</v>
      </c>
      <c r="N3225" t="n">
        <v>0</v>
      </c>
      <c r="O3225" t="n">
        <v>0</v>
      </c>
      <c r="P3225" t="n">
        <v>0</v>
      </c>
      <c r="Q3225" t="n">
        <v>0</v>
      </c>
      <c r="R3225" s="2" t="inlineStr"/>
    </row>
    <row r="3226" ht="15" customHeight="1">
      <c r="A3226" t="inlineStr">
        <is>
          <t>A 8247-2023</t>
        </is>
      </c>
      <c r="B3226" s="1" t="n">
        <v>44971</v>
      </c>
      <c r="C3226" s="1" t="n">
        <v>46075</v>
      </c>
      <c r="D3226" t="inlineStr">
        <is>
          <t>VÄSTERBOTTENS LÄN</t>
        </is>
      </c>
      <c r="E3226" t="inlineStr">
        <is>
          <t>ÅSELE</t>
        </is>
      </c>
      <c r="G3226" t="n">
        <v>4.9</v>
      </c>
      <c r="H3226" t="n">
        <v>0</v>
      </c>
      <c r="I3226" t="n">
        <v>0</v>
      </c>
      <c r="J3226" t="n">
        <v>0</v>
      </c>
      <c r="K3226" t="n">
        <v>0</v>
      </c>
      <c r="L3226" t="n">
        <v>0</v>
      </c>
      <c r="M3226" t="n">
        <v>0</v>
      </c>
      <c r="N3226" t="n">
        <v>0</v>
      </c>
      <c r="O3226" t="n">
        <v>0</v>
      </c>
      <c r="P3226" t="n">
        <v>0</v>
      </c>
      <c r="Q3226" t="n">
        <v>0</v>
      </c>
      <c r="R3226" s="2" t="inlineStr"/>
    </row>
    <row r="3227" ht="15" customHeight="1">
      <c r="A3227" t="inlineStr">
        <is>
          <t>A 49077-2022</t>
        </is>
      </c>
      <c r="B3227" s="1" t="n">
        <v>44860</v>
      </c>
      <c r="C3227" s="1" t="n">
        <v>46075</v>
      </c>
      <c r="D3227" t="inlineStr">
        <is>
          <t>VÄSTERBOTTENS LÄN</t>
        </is>
      </c>
      <c r="E3227" t="inlineStr">
        <is>
          <t>DOROTEA</t>
        </is>
      </c>
      <c r="F3227" t="inlineStr">
        <is>
          <t>Sveaskog</t>
        </is>
      </c>
      <c r="G3227" t="n">
        <v>3.2</v>
      </c>
      <c r="H3227" t="n">
        <v>0</v>
      </c>
      <c r="I3227" t="n">
        <v>0</v>
      </c>
      <c r="J3227" t="n">
        <v>0</v>
      </c>
      <c r="K3227" t="n">
        <v>0</v>
      </c>
      <c r="L3227" t="n">
        <v>0</v>
      </c>
      <c r="M3227" t="n">
        <v>0</v>
      </c>
      <c r="N3227" t="n">
        <v>0</v>
      </c>
      <c r="O3227" t="n">
        <v>0</v>
      </c>
      <c r="P3227" t="n">
        <v>0</v>
      </c>
      <c r="Q3227" t="n">
        <v>0</v>
      </c>
      <c r="R3227" s="2" t="inlineStr"/>
    </row>
    <row r="3228" ht="15" customHeight="1">
      <c r="A3228" t="inlineStr">
        <is>
          <t>A 4215-2025</t>
        </is>
      </c>
      <c r="B3228" s="1" t="n">
        <v>45685.49891203704</v>
      </c>
      <c r="C3228" s="1" t="n">
        <v>46075</v>
      </c>
      <c r="D3228" t="inlineStr">
        <is>
          <t>VÄSTERBOTTENS LÄN</t>
        </is>
      </c>
      <c r="E3228" t="inlineStr">
        <is>
          <t>LYCKSELE</t>
        </is>
      </c>
      <c r="F3228" t="inlineStr">
        <is>
          <t>Sveaskog</t>
        </is>
      </c>
      <c r="G3228" t="n">
        <v>4.8</v>
      </c>
      <c r="H3228" t="n">
        <v>0</v>
      </c>
      <c r="I3228" t="n">
        <v>0</v>
      </c>
      <c r="J3228" t="n">
        <v>0</v>
      </c>
      <c r="K3228" t="n">
        <v>0</v>
      </c>
      <c r="L3228" t="n">
        <v>0</v>
      </c>
      <c r="M3228" t="n">
        <v>0</v>
      </c>
      <c r="N3228" t="n">
        <v>0</v>
      </c>
      <c r="O3228" t="n">
        <v>0</v>
      </c>
      <c r="P3228" t="n">
        <v>0</v>
      </c>
      <c r="Q3228" t="n">
        <v>0</v>
      </c>
      <c r="R3228" s="2" t="inlineStr"/>
    </row>
    <row r="3229" ht="15" customHeight="1">
      <c r="A3229" t="inlineStr">
        <is>
          <t>A 49146-2022</t>
        </is>
      </c>
      <c r="B3229" s="1" t="n">
        <v>44860</v>
      </c>
      <c r="C3229" s="1" t="n">
        <v>46075</v>
      </c>
      <c r="D3229" t="inlineStr">
        <is>
          <t>VÄSTERBOTTENS LÄN</t>
        </is>
      </c>
      <c r="E3229" t="inlineStr">
        <is>
          <t>ROBERTSFORS</t>
        </is>
      </c>
      <c r="G3229" t="n">
        <v>7.8</v>
      </c>
      <c r="H3229" t="n">
        <v>0</v>
      </c>
      <c r="I3229" t="n">
        <v>0</v>
      </c>
      <c r="J3229" t="n">
        <v>0</v>
      </c>
      <c r="K3229" t="n">
        <v>0</v>
      </c>
      <c r="L3229" t="n">
        <v>0</v>
      </c>
      <c r="M3229" t="n">
        <v>0</v>
      </c>
      <c r="N3229" t="n">
        <v>0</v>
      </c>
      <c r="O3229" t="n">
        <v>0</v>
      </c>
      <c r="P3229" t="n">
        <v>0</v>
      </c>
      <c r="Q3229" t="n">
        <v>0</v>
      </c>
      <c r="R3229" s="2" t="inlineStr"/>
    </row>
    <row r="3230" ht="15" customHeight="1">
      <c r="A3230" t="inlineStr">
        <is>
          <t>A 28311-2025</t>
        </is>
      </c>
      <c r="B3230" s="1" t="n">
        <v>45818.62216435185</v>
      </c>
      <c r="C3230" s="1" t="n">
        <v>46075</v>
      </c>
      <c r="D3230" t="inlineStr">
        <is>
          <t>VÄSTERBOTTENS LÄN</t>
        </is>
      </c>
      <c r="E3230" t="inlineStr">
        <is>
          <t>SKELLEFTEÅ</t>
        </is>
      </c>
      <c r="G3230" t="n">
        <v>4.1</v>
      </c>
      <c r="H3230" t="n">
        <v>0</v>
      </c>
      <c r="I3230" t="n">
        <v>0</v>
      </c>
      <c r="J3230" t="n">
        <v>0</v>
      </c>
      <c r="K3230" t="n">
        <v>0</v>
      </c>
      <c r="L3230" t="n">
        <v>0</v>
      </c>
      <c r="M3230" t="n">
        <v>0</v>
      </c>
      <c r="N3230" t="n">
        <v>0</v>
      </c>
      <c r="O3230" t="n">
        <v>0</v>
      </c>
      <c r="P3230" t="n">
        <v>0</v>
      </c>
      <c r="Q3230" t="n">
        <v>0</v>
      </c>
      <c r="R3230" s="2" t="inlineStr"/>
    </row>
    <row r="3231" ht="15" customHeight="1">
      <c r="A3231" t="inlineStr">
        <is>
          <t>A 28316-2025</t>
        </is>
      </c>
      <c r="B3231" s="1" t="n">
        <v>45818.62799768519</v>
      </c>
      <c r="C3231" s="1" t="n">
        <v>46075</v>
      </c>
      <c r="D3231" t="inlineStr">
        <is>
          <t>VÄSTERBOTTENS LÄN</t>
        </is>
      </c>
      <c r="E3231" t="inlineStr">
        <is>
          <t>SKELLEFTEÅ</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28360-2025</t>
        </is>
      </c>
      <c r="B3232" s="1" t="n">
        <v>45818.80997685185</v>
      </c>
      <c r="C3232" s="1" t="n">
        <v>46075</v>
      </c>
      <c r="D3232" t="inlineStr">
        <is>
          <t>VÄSTERBOTTENS LÄN</t>
        </is>
      </c>
      <c r="E3232" t="inlineStr">
        <is>
          <t>SKELLEFTEÅ</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25018-2024</t>
        </is>
      </c>
      <c r="B3233" s="1" t="n">
        <v>45461.92976851852</v>
      </c>
      <c r="C3233" s="1" t="n">
        <v>46075</v>
      </c>
      <c r="D3233" t="inlineStr">
        <is>
          <t>VÄSTERBOTTENS LÄN</t>
        </is>
      </c>
      <c r="E3233" t="inlineStr">
        <is>
          <t>STORUMAN</t>
        </is>
      </c>
      <c r="G3233" t="n">
        <v>3.1</v>
      </c>
      <c r="H3233" t="n">
        <v>0</v>
      </c>
      <c r="I3233" t="n">
        <v>0</v>
      </c>
      <c r="J3233" t="n">
        <v>0</v>
      </c>
      <c r="K3233" t="n">
        <v>0</v>
      </c>
      <c r="L3233" t="n">
        <v>0</v>
      </c>
      <c r="M3233" t="n">
        <v>0</v>
      </c>
      <c r="N3233" t="n">
        <v>0</v>
      </c>
      <c r="O3233" t="n">
        <v>0</v>
      </c>
      <c r="P3233" t="n">
        <v>0</v>
      </c>
      <c r="Q3233" t="n">
        <v>0</v>
      </c>
      <c r="R3233" s="2" t="inlineStr"/>
    </row>
    <row r="3234" ht="15" customHeight="1">
      <c r="A3234" t="inlineStr">
        <is>
          <t>A 25020-2024</t>
        </is>
      </c>
      <c r="B3234" s="1" t="n">
        <v>45461.9625</v>
      </c>
      <c r="C3234" s="1" t="n">
        <v>46075</v>
      </c>
      <c r="D3234" t="inlineStr">
        <is>
          <t>VÄSTERBOTTENS LÄN</t>
        </is>
      </c>
      <c r="E3234" t="inlineStr">
        <is>
          <t>LYCKSELE</t>
        </is>
      </c>
      <c r="F3234" t="inlineStr">
        <is>
          <t>SCA</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25028-2024</t>
        </is>
      </c>
      <c r="B3235" s="1" t="n">
        <v>45461</v>
      </c>
      <c r="C3235" s="1" t="n">
        <v>46075</v>
      </c>
      <c r="D3235" t="inlineStr">
        <is>
          <t>VÄSTERBOTTENS LÄN</t>
        </is>
      </c>
      <c r="E3235" t="inlineStr">
        <is>
          <t>DOROTEA</t>
        </is>
      </c>
      <c r="F3235" t="inlineStr">
        <is>
          <t>SCA</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58624-2023</t>
        </is>
      </c>
      <c r="B3236" s="1" t="n">
        <v>45251</v>
      </c>
      <c r="C3236" s="1" t="n">
        <v>46075</v>
      </c>
      <c r="D3236" t="inlineStr">
        <is>
          <t>VÄSTERBOTTENS LÄN</t>
        </is>
      </c>
      <c r="E3236" t="inlineStr">
        <is>
          <t>ROBERTSFORS</t>
        </is>
      </c>
      <c r="F3236" t="inlineStr">
        <is>
          <t>Holmen skog AB</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10852-2023</t>
        </is>
      </c>
      <c r="B3237" s="1" t="n">
        <v>44985</v>
      </c>
      <c r="C3237" s="1" t="n">
        <v>46075</v>
      </c>
      <c r="D3237" t="inlineStr">
        <is>
          <t>VÄSTERBOTTENS LÄN</t>
        </is>
      </c>
      <c r="E3237" t="inlineStr">
        <is>
          <t>SKELLEFTEÅ</t>
        </is>
      </c>
      <c r="G3237" t="n">
        <v>7.5</v>
      </c>
      <c r="H3237" t="n">
        <v>0</v>
      </c>
      <c r="I3237" t="n">
        <v>0</v>
      </c>
      <c r="J3237" t="n">
        <v>0</v>
      </c>
      <c r="K3237" t="n">
        <v>0</v>
      </c>
      <c r="L3237" t="n">
        <v>0</v>
      </c>
      <c r="M3237" t="n">
        <v>0</v>
      </c>
      <c r="N3237" t="n">
        <v>0</v>
      </c>
      <c r="O3237" t="n">
        <v>0</v>
      </c>
      <c r="P3237" t="n">
        <v>0</v>
      </c>
      <c r="Q3237" t="n">
        <v>0</v>
      </c>
      <c r="R3237" s="2" t="inlineStr"/>
    </row>
    <row r="3238" ht="15" customHeight="1">
      <c r="A3238" t="inlineStr">
        <is>
          <t>A 15847-2023</t>
        </is>
      </c>
      <c r="B3238" s="1" t="n">
        <v>45022</v>
      </c>
      <c r="C3238" s="1" t="n">
        <v>46075</v>
      </c>
      <c r="D3238" t="inlineStr">
        <is>
          <t>VÄSTERBOTTENS LÄN</t>
        </is>
      </c>
      <c r="E3238" t="inlineStr">
        <is>
          <t>MALÅ</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15850-2023</t>
        </is>
      </c>
      <c r="B3239" s="1" t="n">
        <v>45022</v>
      </c>
      <c r="C3239" s="1" t="n">
        <v>46075</v>
      </c>
      <c r="D3239" t="inlineStr">
        <is>
          <t>VÄSTERBOTTENS LÄN</t>
        </is>
      </c>
      <c r="E3239" t="inlineStr">
        <is>
          <t>MALÅ</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28348-2025</t>
        </is>
      </c>
      <c r="B3240" s="1" t="n">
        <v>45818.71905092592</v>
      </c>
      <c r="C3240" s="1" t="n">
        <v>46075</v>
      </c>
      <c r="D3240" t="inlineStr">
        <is>
          <t>VÄSTERBOTTENS LÄN</t>
        </is>
      </c>
      <c r="E3240" t="inlineStr">
        <is>
          <t>DOROTEA</t>
        </is>
      </c>
      <c r="G3240" t="n">
        <v>14.3</v>
      </c>
      <c r="H3240" t="n">
        <v>0</v>
      </c>
      <c r="I3240" t="n">
        <v>0</v>
      </c>
      <c r="J3240" t="n">
        <v>0</v>
      </c>
      <c r="K3240" t="n">
        <v>0</v>
      </c>
      <c r="L3240" t="n">
        <v>0</v>
      </c>
      <c r="M3240" t="n">
        <v>0</v>
      </c>
      <c r="N3240" t="n">
        <v>0</v>
      </c>
      <c r="O3240" t="n">
        <v>0</v>
      </c>
      <c r="P3240" t="n">
        <v>0</v>
      </c>
      <c r="Q3240" t="n">
        <v>0</v>
      </c>
      <c r="R3240" s="2" t="inlineStr"/>
    </row>
    <row r="3241" ht="15" customHeight="1">
      <c r="A3241" t="inlineStr">
        <is>
          <t>A 17787-2023</t>
        </is>
      </c>
      <c r="B3241" s="1" t="n">
        <v>45036</v>
      </c>
      <c r="C3241" s="1" t="n">
        <v>46075</v>
      </c>
      <c r="D3241" t="inlineStr">
        <is>
          <t>VÄSTERBOTTENS LÄN</t>
        </is>
      </c>
      <c r="E3241" t="inlineStr">
        <is>
          <t>DOROTEA</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17842-2023</t>
        </is>
      </c>
      <c r="B3242" s="1" t="n">
        <v>45037.65628472222</v>
      </c>
      <c r="C3242" s="1" t="n">
        <v>46075</v>
      </c>
      <c r="D3242" t="inlineStr">
        <is>
          <t>VÄSTERBOTTENS LÄN</t>
        </is>
      </c>
      <c r="E3242" t="inlineStr">
        <is>
          <t>SKELLEFTEÅ</t>
        </is>
      </c>
      <c r="F3242" t="inlineStr">
        <is>
          <t>Holmen skog AB</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36882-2025</t>
        </is>
      </c>
      <c r="B3243" s="1" t="n">
        <v>45874</v>
      </c>
      <c r="C3243" s="1" t="n">
        <v>46075</v>
      </c>
      <c r="D3243" t="inlineStr">
        <is>
          <t>VÄSTERBOTTENS LÄN</t>
        </is>
      </c>
      <c r="E3243" t="inlineStr">
        <is>
          <t>SKELLEFTEÅ</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51407-2024</t>
        </is>
      </c>
      <c r="B3244" s="1" t="n">
        <v>45604.42872685185</v>
      </c>
      <c r="C3244" s="1" t="n">
        <v>46075</v>
      </c>
      <c r="D3244" t="inlineStr">
        <is>
          <t>VÄSTERBOTTENS LÄN</t>
        </is>
      </c>
      <c r="E3244" t="inlineStr">
        <is>
          <t>NORSJÖ</t>
        </is>
      </c>
      <c r="F3244" t="inlineStr">
        <is>
          <t>Holmen skog AB</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28330-2025</t>
        </is>
      </c>
      <c r="B3245" s="1" t="n">
        <v>45818.65878472223</v>
      </c>
      <c r="C3245" s="1" t="n">
        <v>46075</v>
      </c>
      <c r="D3245" t="inlineStr">
        <is>
          <t>VÄSTERBOTTENS LÄN</t>
        </is>
      </c>
      <c r="E3245" t="inlineStr">
        <is>
          <t>ROBERTSFORS</t>
        </is>
      </c>
      <c r="G3245" t="n">
        <v>0.4</v>
      </c>
      <c r="H3245" t="n">
        <v>0</v>
      </c>
      <c r="I3245" t="n">
        <v>0</v>
      </c>
      <c r="J3245" t="n">
        <v>0</v>
      </c>
      <c r="K3245" t="n">
        <v>0</v>
      </c>
      <c r="L3245" t="n">
        <v>0</v>
      </c>
      <c r="M3245" t="n">
        <v>0</v>
      </c>
      <c r="N3245" t="n">
        <v>0</v>
      </c>
      <c r="O3245" t="n">
        <v>0</v>
      </c>
      <c r="P3245" t="n">
        <v>0</v>
      </c>
      <c r="Q3245" t="n">
        <v>0</v>
      </c>
      <c r="R3245" s="2" t="inlineStr"/>
    </row>
    <row r="3246" ht="15" customHeight="1">
      <c r="A3246" t="inlineStr">
        <is>
          <t>A 29277-2023</t>
        </is>
      </c>
      <c r="B3246" s="1" t="n">
        <v>45105.70230324074</v>
      </c>
      <c r="C3246" s="1" t="n">
        <v>46075</v>
      </c>
      <c r="D3246" t="inlineStr">
        <is>
          <t>VÄSTERBOTTENS LÄN</t>
        </is>
      </c>
      <c r="E3246" t="inlineStr">
        <is>
          <t>LYCKSELE</t>
        </is>
      </c>
      <c r="F3246" t="inlineStr">
        <is>
          <t>Naturvårdsverket</t>
        </is>
      </c>
      <c r="G3246" t="n">
        <v>6.4</v>
      </c>
      <c r="H3246" t="n">
        <v>0</v>
      </c>
      <c r="I3246" t="n">
        <v>0</v>
      </c>
      <c r="J3246" t="n">
        <v>0</v>
      </c>
      <c r="K3246" t="n">
        <v>0</v>
      </c>
      <c r="L3246" t="n">
        <v>0</v>
      </c>
      <c r="M3246" t="n">
        <v>0</v>
      </c>
      <c r="N3246" t="n">
        <v>0</v>
      </c>
      <c r="O3246" t="n">
        <v>0</v>
      </c>
      <c r="P3246" t="n">
        <v>0</v>
      </c>
      <c r="Q3246" t="n">
        <v>0</v>
      </c>
      <c r="R3246" s="2" t="inlineStr"/>
    </row>
    <row r="3247" ht="15" customHeight="1">
      <c r="A3247" t="inlineStr">
        <is>
          <t>A 52679-2022</t>
        </is>
      </c>
      <c r="B3247" s="1" t="n">
        <v>44874</v>
      </c>
      <c r="C3247" s="1" t="n">
        <v>46075</v>
      </c>
      <c r="D3247" t="inlineStr">
        <is>
          <t>VÄSTERBOTTENS LÄN</t>
        </is>
      </c>
      <c r="E3247" t="inlineStr">
        <is>
          <t>UMEÅ</t>
        </is>
      </c>
      <c r="F3247" t="inlineStr">
        <is>
          <t>Sveaskog</t>
        </is>
      </c>
      <c r="G3247" t="n">
        <v>4.2</v>
      </c>
      <c r="H3247" t="n">
        <v>0</v>
      </c>
      <c r="I3247" t="n">
        <v>0</v>
      </c>
      <c r="J3247" t="n">
        <v>0</v>
      </c>
      <c r="K3247" t="n">
        <v>0</v>
      </c>
      <c r="L3247" t="n">
        <v>0</v>
      </c>
      <c r="M3247" t="n">
        <v>0</v>
      </c>
      <c r="N3247" t="n">
        <v>0</v>
      </c>
      <c r="O3247" t="n">
        <v>0</v>
      </c>
      <c r="P3247" t="n">
        <v>0</v>
      </c>
      <c r="Q3247" t="n">
        <v>0</v>
      </c>
      <c r="R3247" s="2" t="inlineStr"/>
    </row>
    <row r="3248" ht="15" customHeight="1">
      <c r="A3248" t="inlineStr">
        <is>
          <t>A 41519-2024</t>
        </is>
      </c>
      <c r="B3248" s="1" t="n">
        <v>45560.47798611111</v>
      </c>
      <c r="C3248" s="1" t="n">
        <v>46075</v>
      </c>
      <c r="D3248" t="inlineStr">
        <is>
          <t>VÄSTERBOTTENS LÄN</t>
        </is>
      </c>
      <c r="E3248" t="inlineStr">
        <is>
          <t>VINDELN</t>
        </is>
      </c>
      <c r="F3248" t="inlineStr">
        <is>
          <t>Holmen skog AB</t>
        </is>
      </c>
      <c r="G3248" t="n">
        <v>3</v>
      </c>
      <c r="H3248" t="n">
        <v>0</v>
      </c>
      <c r="I3248" t="n">
        <v>0</v>
      </c>
      <c r="J3248" t="n">
        <v>0</v>
      </c>
      <c r="K3248" t="n">
        <v>0</v>
      </c>
      <c r="L3248" t="n">
        <v>0</v>
      </c>
      <c r="M3248" t="n">
        <v>0</v>
      </c>
      <c r="N3248" t="n">
        <v>0</v>
      </c>
      <c r="O3248" t="n">
        <v>0</v>
      </c>
      <c r="P3248" t="n">
        <v>0</v>
      </c>
      <c r="Q3248" t="n">
        <v>0</v>
      </c>
      <c r="R3248" s="2" t="inlineStr"/>
    </row>
    <row r="3249" ht="15" customHeight="1">
      <c r="A3249" t="inlineStr">
        <is>
          <t>A 14631-2025</t>
        </is>
      </c>
      <c r="B3249" s="1" t="n">
        <v>45742.42782407408</v>
      </c>
      <c r="C3249" s="1" t="n">
        <v>46075</v>
      </c>
      <c r="D3249" t="inlineStr">
        <is>
          <t>VÄSTERBOTTENS LÄN</t>
        </is>
      </c>
      <c r="E3249" t="inlineStr">
        <is>
          <t>DOROTEA</t>
        </is>
      </c>
      <c r="F3249" t="inlineStr">
        <is>
          <t>SCA</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44734-2022</t>
        </is>
      </c>
      <c r="B3250" s="1" t="n">
        <v>44840</v>
      </c>
      <c r="C3250" s="1" t="n">
        <v>46075</v>
      </c>
      <c r="D3250" t="inlineStr">
        <is>
          <t>VÄSTERBOTTENS LÄN</t>
        </is>
      </c>
      <c r="E3250" t="inlineStr">
        <is>
          <t>VINDELN</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47182-2024</t>
        </is>
      </c>
      <c r="B3251" s="1" t="n">
        <v>45586</v>
      </c>
      <c r="C3251" s="1" t="n">
        <v>46075</v>
      </c>
      <c r="D3251" t="inlineStr">
        <is>
          <t>VÄSTERBOTTENS LÄN</t>
        </is>
      </c>
      <c r="E3251" t="inlineStr">
        <is>
          <t>LYCKSELE</t>
        </is>
      </c>
      <c r="F3251" t="inlineStr">
        <is>
          <t>Sveaskog</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45366-2024</t>
        </is>
      </c>
      <c r="B3252" s="1" t="n">
        <v>45576.48979166667</v>
      </c>
      <c r="C3252" s="1" t="n">
        <v>46075</v>
      </c>
      <c r="D3252" t="inlineStr">
        <is>
          <t>VÄSTERBOTTENS LÄN</t>
        </is>
      </c>
      <c r="E3252" t="inlineStr">
        <is>
          <t>LYCKSELE</t>
        </is>
      </c>
      <c r="F3252" t="inlineStr">
        <is>
          <t>Sveaskog</t>
        </is>
      </c>
      <c r="G3252" t="n">
        <v>3.9</v>
      </c>
      <c r="H3252" t="n">
        <v>0</v>
      </c>
      <c r="I3252" t="n">
        <v>0</v>
      </c>
      <c r="J3252" t="n">
        <v>0</v>
      </c>
      <c r="K3252" t="n">
        <v>0</v>
      </c>
      <c r="L3252" t="n">
        <v>0</v>
      </c>
      <c r="M3252" t="n">
        <v>0</v>
      </c>
      <c r="N3252" t="n">
        <v>0</v>
      </c>
      <c r="O3252" t="n">
        <v>0</v>
      </c>
      <c r="P3252" t="n">
        <v>0</v>
      </c>
      <c r="Q3252" t="n">
        <v>0</v>
      </c>
      <c r="R3252" s="2" t="inlineStr"/>
    </row>
    <row r="3253" ht="15" customHeight="1">
      <c r="A3253" t="inlineStr">
        <is>
          <t>A 62101-2024</t>
        </is>
      </c>
      <c r="B3253" s="1" t="n">
        <v>45656.51119212963</v>
      </c>
      <c r="C3253" s="1" t="n">
        <v>46075</v>
      </c>
      <c r="D3253" t="inlineStr">
        <is>
          <t>VÄSTERBOTTENS LÄN</t>
        </is>
      </c>
      <c r="E3253" t="inlineStr">
        <is>
          <t>VILHELMINA</t>
        </is>
      </c>
      <c r="F3253" t="inlineStr">
        <is>
          <t>SCA</t>
        </is>
      </c>
      <c r="G3253" t="n">
        <v>2.8</v>
      </c>
      <c r="H3253" t="n">
        <v>0</v>
      </c>
      <c r="I3253" t="n">
        <v>0</v>
      </c>
      <c r="J3253" t="n">
        <v>0</v>
      </c>
      <c r="K3253" t="n">
        <v>0</v>
      </c>
      <c r="L3253" t="n">
        <v>0</v>
      </c>
      <c r="M3253" t="n">
        <v>0</v>
      </c>
      <c r="N3253" t="n">
        <v>0</v>
      </c>
      <c r="O3253" t="n">
        <v>0</v>
      </c>
      <c r="P3253" t="n">
        <v>0</v>
      </c>
      <c r="Q3253" t="n">
        <v>0</v>
      </c>
      <c r="R3253" s="2" t="inlineStr"/>
    </row>
    <row r="3254" ht="15" customHeight="1">
      <c r="A3254" t="inlineStr">
        <is>
          <t>A 62126-2024</t>
        </is>
      </c>
      <c r="B3254" s="1" t="n">
        <v>45646</v>
      </c>
      <c r="C3254" s="1" t="n">
        <v>46075</v>
      </c>
      <c r="D3254" t="inlineStr">
        <is>
          <t>VÄSTERBOTTENS LÄN</t>
        </is>
      </c>
      <c r="E3254" t="inlineStr">
        <is>
          <t>VINDELN</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45421-2024</t>
        </is>
      </c>
      <c r="B3255" s="1" t="n">
        <v>45576.60200231482</v>
      </c>
      <c r="C3255" s="1" t="n">
        <v>46075</v>
      </c>
      <c r="D3255" t="inlineStr">
        <is>
          <t>VÄSTERBOTTENS LÄN</t>
        </is>
      </c>
      <c r="E3255" t="inlineStr">
        <is>
          <t>SKELLEFTEÅ</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16883-2023</t>
        </is>
      </c>
      <c r="B3256" s="1" t="n">
        <v>45029</v>
      </c>
      <c r="C3256" s="1" t="n">
        <v>46075</v>
      </c>
      <c r="D3256" t="inlineStr">
        <is>
          <t>VÄSTERBOTTENS LÄN</t>
        </is>
      </c>
      <c r="E3256" t="inlineStr">
        <is>
          <t>SORSELE</t>
        </is>
      </c>
      <c r="G3256" t="n">
        <v>5</v>
      </c>
      <c r="H3256" t="n">
        <v>0</v>
      </c>
      <c r="I3256" t="n">
        <v>0</v>
      </c>
      <c r="J3256" t="n">
        <v>0</v>
      </c>
      <c r="K3256" t="n">
        <v>0</v>
      </c>
      <c r="L3256" t="n">
        <v>0</v>
      </c>
      <c r="M3256" t="n">
        <v>0</v>
      </c>
      <c r="N3256" t="n">
        <v>0</v>
      </c>
      <c r="O3256" t="n">
        <v>0</v>
      </c>
      <c r="P3256" t="n">
        <v>0</v>
      </c>
      <c r="Q3256" t="n">
        <v>0</v>
      </c>
      <c r="R3256" s="2" t="inlineStr"/>
    </row>
    <row r="3257" ht="15" customHeight="1">
      <c r="A3257" t="inlineStr">
        <is>
          <t>A 43987-2024</t>
        </is>
      </c>
      <c r="B3257" s="1" t="n">
        <v>45572.51092592593</v>
      </c>
      <c r="C3257" s="1" t="n">
        <v>46075</v>
      </c>
      <c r="D3257" t="inlineStr">
        <is>
          <t>VÄSTERBOTTENS LÄN</t>
        </is>
      </c>
      <c r="E3257" t="inlineStr">
        <is>
          <t>VILHELMINA</t>
        </is>
      </c>
      <c r="F3257" t="inlineStr">
        <is>
          <t>SCA</t>
        </is>
      </c>
      <c r="G3257" t="n">
        <v>5.3</v>
      </c>
      <c r="H3257" t="n">
        <v>0</v>
      </c>
      <c r="I3257" t="n">
        <v>0</v>
      </c>
      <c r="J3257" t="n">
        <v>0</v>
      </c>
      <c r="K3257" t="n">
        <v>0</v>
      </c>
      <c r="L3257" t="n">
        <v>0</v>
      </c>
      <c r="M3257" t="n">
        <v>0</v>
      </c>
      <c r="N3257" t="n">
        <v>0</v>
      </c>
      <c r="O3257" t="n">
        <v>0</v>
      </c>
      <c r="P3257" t="n">
        <v>0</v>
      </c>
      <c r="Q3257" t="n">
        <v>0</v>
      </c>
      <c r="R3257" s="2" t="inlineStr"/>
    </row>
    <row r="3258" ht="15" customHeight="1">
      <c r="A3258" t="inlineStr">
        <is>
          <t>A 56530-2021</t>
        </is>
      </c>
      <c r="B3258" s="1" t="n">
        <v>44480</v>
      </c>
      <c r="C3258" s="1" t="n">
        <v>46075</v>
      </c>
      <c r="D3258" t="inlineStr">
        <is>
          <t>VÄSTERBOTTENS LÄN</t>
        </is>
      </c>
      <c r="E3258" t="inlineStr">
        <is>
          <t>STORUMAN</t>
        </is>
      </c>
      <c r="G3258" t="n">
        <v>32</v>
      </c>
      <c r="H3258" t="n">
        <v>0</v>
      </c>
      <c r="I3258" t="n">
        <v>0</v>
      </c>
      <c r="J3258" t="n">
        <v>0</v>
      </c>
      <c r="K3258" t="n">
        <v>0</v>
      </c>
      <c r="L3258" t="n">
        <v>0</v>
      </c>
      <c r="M3258" t="n">
        <v>0</v>
      </c>
      <c r="N3258" t="n">
        <v>0</v>
      </c>
      <c r="O3258" t="n">
        <v>0</v>
      </c>
      <c r="P3258" t="n">
        <v>0</v>
      </c>
      <c r="Q3258" t="n">
        <v>0</v>
      </c>
      <c r="R3258" s="2" t="inlineStr"/>
    </row>
    <row r="3259" ht="15" customHeight="1">
      <c r="A3259" t="inlineStr">
        <is>
          <t>A 30216-2023</t>
        </is>
      </c>
      <c r="B3259" s="1" t="n">
        <v>45110.63961805555</v>
      </c>
      <c r="C3259" s="1" t="n">
        <v>46075</v>
      </c>
      <c r="D3259" t="inlineStr">
        <is>
          <t>VÄSTERBOTTENS LÄN</t>
        </is>
      </c>
      <c r="E3259" t="inlineStr">
        <is>
          <t>UMEÅ</t>
        </is>
      </c>
      <c r="F3259" t="inlineStr">
        <is>
          <t>Holmen skog AB</t>
        </is>
      </c>
      <c r="G3259" t="n">
        <v>3.4</v>
      </c>
      <c r="H3259" t="n">
        <v>0</v>
      </c>
      <c r="I3259" t="n">
        <v>0</v>
      </c>
      <c r="J3259" t="n">
        <v>0</v>
      </c>
      <c r="K3259" t="n">
        <v>0</v>
      </c>
      <c r="L3259" t="n">
        <v>0</v>
      </c>
      <c r="M3259" t="n">
        <v>0</v>
      </c>
      <c r="N3259" t="n">
        <v>0</v>
      </c>
      <c r="O3259" t="n">
        <v>0</v>
      </c>
      <c r="P3259" t="n">
        <v>0</v>
      </c>
      <c r="Q3259" t="n">
        <v>0</v>
      </c>
      <c r="R3259" s="2" t="inlineStr"/>
    </row>
    <row r="3260" ht="15" customHeight="1">
      <c r="A3260" t="inlineStr">
        <is>
          <t>A 30258-2023</t>
        </is>
      </c>
      <c r="B3260" s="1" t="n">
        <v>45110.70980324074</v>
      </c>
      <c r="C3260" s="1" t="n">
        <v>46075</v>
      </c>
      <c r="D3260" t="inlineStr">
        <is>
          <t>VÄSTERBOTTENS LÄN</t>
        </is>
      </c>
      <c r="E3260" t="inlineStr">
        <is>
          <t>UMEÅ</t>
        </is>
      </c>
      <c r="F3260" t="inlineStr">
        <is>
          <t>Holmen skog AB</t>
        </is>
      </c>
      <c r="G3260" t="n">
        <v>3</v>
      </c>
      <c r="H3260" t="n">
        <v>0</v>
      </c>
      <c r="I3260" t="n">
        <v>0</v>
      </c>
      <c r="J3260" t="n">
        <v>0</v>
      </c>
      <c r="K3260" t="n">
        <v>0</v>
      </c>
      <c r="L3260" t="n">
        <v>0</v>
      </c>
      <c r="M3260" t="n">
        <v>0</v>
      </c>
      <c r="N3260" t="n">
        <v>0</v>
      </c>
      <c r="O3260" t="n">
        <v>0</v>
      </c>
      <c r="P3260" t="n">
        <v>0</v>
      </c>
      <c r="Q3260" t="n">
        <v>0</v>
      </c>
      <c r="R3260" s="2" t="inlineStr"/>
    </row>
    <row r="3261" ht="15" customHeight="1">
      <c r="A3261" t="inlineStr">
        <is>
          <t>A 38612-2025</t>
        </is>
      </c>
      <c r="B3261" s="1" t="n">
        <v>45884.5409375</v>
      </c>
      <c r="C3261" s="1" t="n">
        <v>46075</v>
      </c>
      <c r="D3261" t="inlineStr">
        <is>
          <t>VÄSTERBOTTENS LÄN</t>
        </is>
      </c>
      <c r="E3261" t="inlineStr">
        <is>
          <t>ÅSELE</t>
        </is>
      </c>
      <c r="G3261" t="n">
        <v>4.1</v>
      </c>
      <c r="H3261" t="n">
        <v>0</v>
      </c>
      <c r="I3261" t="n">
        <v>0</v>
      </c>
      <c r="J3261" t="n">
        <v>0</v>
      </c>
      <c r="K3261" t="n">
        <v>0</v>
      </c>
      <c r="L3261" t="n">
        <v>0</v>
      </c>
      <c r="M3261" t="n">
        <v>0</v>
      </c>
      <c r="N3261" t="n">
        <v>0</v>
      </c>
      <c r="O3261" t="n">
        <v>0</v>
      </c>
      <c r="P3261" t="n">
        <v>0</v>
      </c>
      <c r="Q3261" t="n">
        <v>0</v>
      </c>
      <c r="R3261" s="2" t="inlineStr"/>
    </row>
    <row r="3262" ht="15" customHeight="1">
      <c r="A3262" t="inlineStr">
        <is>
          <t>A 38828-2025</t>
        </is>
      </c>
      <c r="B3262" s="1" t="n">
        <v>45887.51891203703</v>
      </c>
      <c r="C3262" s="1" t="n">
        <v>46075</v>
      </c>
      <c r="D3262" t="inlineStr">
        <is>
          <t>VÄSTERBOTTENS LÄN</t>
        </is>
      </c>
      <c r="E3262" t="inlineStr">
        <is>
          <t>SORSELE</t>
        </is>
      </c>
      <c r="G3262" t="n">
        <v>4.1</v>
      </c>
      <c r="H3262" t="n">
        <v>0</v>
      </c>
      <c r="I3262" t="n">
        <v>0</v>
      </c>
      <c r="J3262" t="n">
        <v>0</v>
      </c>
      <c r="K3262" t="n">
        <v>0</v>
      </c>
      <c r="L3262" t="n">
        <v>0</v>
      </c>
      <c r="M3262" t="n">
        <v>0</v>
      </c>
      <c r="N3262" t="n">
        <v>0</v>
      </c>
      <c r="O3262" t="n">
        <v>0</v>
      </c>
      <c r="P3262" t="n">
        <v>0</v>
      </c>
      <c r="Q3262" t="n">
        <v>0</v>
      </c>
      <c r="R3262" s="2" t="inlineStr"/>
    </row>
    <row r="3263" ht="15" customHeight="1">
      <c r="A3263" t="inlineStr">
        <is>
          <t>A 38832-2025</t>
        </is>
      </c>
      <c r="B3263" s="1" t="n">
        <v>45887.52810185185</v>
      </c>
      <c r="C3263" s="1" t="n">
        <v>46075</v>
      </c>
      <c r="D3263" t="inlineStr">
        <is>
          <t>VÄSTERBOTTENS LÄN</t>
        </is>
      </c>
      <c r="E3263" t="inlineStr">
        <is>
          <t>VINDELN</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38864-2025</t>
        </is>
      </c>
      <c r="B3264" s="1" t="n">
        <v>45887.56605324074</v>
      </c>
      <c r="C3264" s="1" t="n">
        <v>46075</v>
      </c>
      <c r="D3264" t="inlineStr">
        <is>
          <t>VÄSTERBOTTENS LÄN</t>
        </is>
      </c>
      <c r="E3264" t="inlineStr">
        <is>
          <t>NORDMALING</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38870-2025</t>
        </is>
      </c>
      <c r="B3265" s="1" t="n">
        <v>45887.57328703703</v>
      </c>
      <c r="C3265" s="1" t="n">
        <v>46075</v>
      </c>
      <c r="D3265" t="inlineStr">
        <is>
          <t>VÄSTERBOTTENS LÄN</t>
        </is>
      </c>
      <c r="E3265" t="inlineStr">
        <is>
          <t>NORDMALING</t>
        </is>
      </c>
      <c r="G3265" t="n">
        <v>4.9</v>
      </c>
      <c r="H3265" t="n">
        <v>0</v>
      </c>
      <c r="I3265" t="n">
        <v>0</v>
      </c>
      <c r="J3265" t="n">
        <v>0</v>
      </c>
      <c r="K3265" t="n">
        <v>0</v>
      </c>
      <c r="L3265" t="n">
        <v>0</v>
      </c>
      <c r="M3265" t="n">
        <v>0</v>
      </c>
      <c r="N3265" t="n">
        <v>0</v>
      </c>
      <c r="O3265" t="n">
        <v>0</v>
      </c>
      <c r="P3265" t="n">
        <v>0</v>
      </c>
      <c r="Q3265" t="n">
        <v>0</v>
      </c>
      <c r="R3265" s="2" t="inlineStr"/>
    </row>
    <row r="3266" ht="15" customHeight="1">
      <c r="A3266" t="inlineStr">
        <is>
          <t>A 9827-2023</t>
        </is>
      </c>
      <c r="B3266" s="1" t="n">
        <v>44978</v>
      </c>
      <c r="C3266" s="1" t="n">
        <v>46075</v>
      </c>
      <c r="D3266" t="inlineStr">
        <is>
          <t>VÄSTERBOTTENS LÄN</t>
        </is>
      </c>
      <c r="E3266" t="inlineStr">
        <is>
          <t>SORSELE</t>
        </is>
      </c>
      <c r="G3266" t="n">
        <v>4.2</v>
      </c>
      <c r="H3266" t="n">
        <v>0</v>
      </c>
      <c r="I3266" t="n">
        <v>0</v>
      </c>
      <c r="J3266" t="n">
        <v>0</v>
      </c>
      <c r="K3266" t="n">
        <v>0</v>
      </c>
      <c r="L3266" t="n">
        <v>0</v>
      </c>
      <c r="M3266" t="n">
        <v>0</v>
      </c>
      <c r="N3266" t="n">
        <v>0</v>
      </c>
      <c r="O3266" t="n">
        <v>0</v>
      </c>
      <c r="P3266" t="n">
        <v>0</v>
      </c>
      <c r="Q3266" t="n">
        <v>0</v>
      </c>
      <c r="R3266" s="2" t="inlineStr"/>
    </row>
    <row r="3267" ht="15" customHeight="1">
      <c r="A3267" t="inlineStr">
        <is>
          <t>A 59282-2024</t>
        </is>
      </c>
      <c r="B3267" s="1" t="n">
        <v>45637</v>
      </c>
      <c r="C3267" s="1" t="n">
        <v>46075</v>
      </c>
      <c r="D3267" t="inlineStr">
        <is>
          <t>VÄSTERBOTTENS LÄN</t>
        </is>
      </c>
      <c r="E3267" t="inlineStr">
        <is>
          <t>ÅSELE</t>
        </is>
      </c>
      <c r="G3267" t="n">
        <v>6.9</v>
      </c>
      <c r="H3267" t="n">
        <v>0</v>
      </c>
      <c r="I3267" t="n">
        <v>0</v>
      </c>
      <c r="J3267" t="n">
        <v>0</v>
      </c>
      <c r="K3267" t="n">
        <v>0</v>
      </c>
      <c r="L3267" t="n">
        <v>0</v>
      </c>
      <c r="M3267" t="n">
        <v>0</v>
      </c>
      <c r="N3267" t="n">
        <v>0</v>
      </c>
      <c r="O3267" t="n">
        <v>0</v>
      </c>
      <c r="P3267" t="n">
        <v>0</v>
      </c>
      <c r="Q3267" t="n">
        <v>0</v>
      </c>
      <c r="R3267" s="2" t="inlineStr"/>
    </row>
    <row r="3268" ht="15" customHeight="1">
      <c r="A3268" t="inlineStr">
        <is>
          <t>A 45618-2021</t>
        </is>
      </c>
      <c r="B3268" s="1" t="n">
        <v>44440.9255324074</v>
      </c>
      <c r="C3268" s="1" t="n">
        <v>46075</v>
      </c>
      <c r="D3268" t="inlineStr">
        <is>
          <t>VÄSTERBOTTENS LÄN</t>
        </is>
      </c>
      <c r="E3268" t="inlineStr">
        <is>
          <t>NORSJÖ</t>
        </is>
      </c>
      <c r="G3268" t="n">
        <v>3.1</v>
      </c>
      <c r="H3268" t="n">
        <v>0</v>
      </c>
      <c r="I3268" t="n">
        <v>0</v>
      </c>
      <c r="J3268" t="n">
        <v>0</v>
      </c>
      <c r="K3268" t="n">
        <v>0</v>
      </c>
      <c r="L3268" t="n">
        <v>0</v>
      </c>
      <c r="M3268" t="n">
        <v>0</v>
      </c>
      <c r="N3268" t="n">
        <v>0</v>
      </c>
      <c r="O3268" t="n">
        <v>0</v>
      </c>
      <c r="P3268" t="n">
        <v>0</v>
      </c>
      <c r="Q3268" t="n">
        <v>0</v>
      </c>
      <c r="R3268" s="2" t="inlineStr"/>
    </row>
    <row r="3269" ht="15" customHeight="1">
      <c r="A3269" t="inlineStr">
        <is>
          <t>A 28778-2025</t>
        </is>
      </c>
      <c r="B3269" s="1" t="n">
        <v>45820.44819444444</v>
      </c>
      <c r="C3269" s="1" t="n">
        <v>46075</v>
      </c>
      <c r="D3269" t="inlineStr">
        <is>
          <t>VÄSTERBOTTENS LÄN</t>
        </is>
      </c>
      <c r="E3269" t="inlineStr">
        <is>
          <t>SKELLEFTEÅ</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28359-2025</t>
        </is>
      </c>
      <c r="B3270" s="1" t="n">
        <v>45818.79951388889</v>
      </c>
      <c r="C3270" s="1" t="n">
        <v>46075</v>
      </c>
      <c r="D3270" t="inlineStr">
        <is>
          <t>VÄSTERBOTTENS LÄN</t>
        </is>
      </c>
      <c r="E3270" t="inlineStr">
        <is>
          <t>SKELLEFTEÅ</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28486-2025</t>
        </is>
      </c>
      <c r="B3271" s="1" t="n">
        <v>45819</v>
      </c>
      <c r="C3271" s="1" t="n">
        <v>46075</v>
      </c>
      <c r="D3271" t="inlineStr">
        <is>
          <t>VÄSTERBOTTENS LÄN</t>
        </is>
      </c>
      <c r="E3271" t="inlineStr">
        <is>
          <t>LYCKSELE</t>
        </is>
      </c>
      <c r="F3271" t="inlineStr">
        <is>
          <t>Holmen skog AB</t>
        </is>
      </c>
      <c r="G3271" t="n">
        <v>3.5</v>
      </c>
      <c r="H3271" t="n">
        <v>0</v>
      </c>
      <c r="I3271" t="n">
        <v>0</v>
      </c>
      <c r="J3271" t="n">
        <v>0</v>
      </c>
      <c r="K3271" t="n">
        <v>0</v>
      </c>
      <c r="L3271" t="n">
        <v>0</v>
      </c>
      <c r="M3271" t="n">
        <v>0</v>
      </c>
      <c r="N3271" t="n">
        <v>0</v>
      </c>
      <c r="O3271" t="n">
        <v>0</v>
      </c>
      <c r="P3271" t="n">
        <v>0</v>
      </c>
      <c r="Q3271" t="n">
        <v>0</v>
      </c>
      <c r="R3271" s="2" t="inlineStr"/>
    </row>
    <row r="3272" ht="15" customHeight="1">
      <c r="A3272" t="inlineStr">
        <is>
          <t>A 28577-2025</t>
        </is>
      </c>
      <c r="B3272" s="1" t="n">
        <v>45819</v>
      </c>
      <c r="C3272" s="1" t="n">
        <v>46075</v>
      </c>
      <c r="D3272" t="inlineStr">
        <is>
          <t>VÄSTERBOTTENS LÄN</t>
        </is>
      </c>
      <c r="E3272" t="inlineStr">
        <is>
          <t>SKELLEFTEÅ</t>
        </is>
      </c>
      <c r="G3272" t="n">
        <v>4.4</v>
      </c>
      <c r="H3272" t="n">
        <v>0</v>
      </c>
      <c r="I3272" t="n">
        <v>0</v>
      </c>
      <c r="J3272" t="n">
        <v>0</v>
      </c>
      <c r="K3272" t="n">
        <v>0</v>
      </c>
      <c r="L3272" t="n">
        <v>0</v>
      </c>
      <c r="M3272" t="n">
        <v>0</v>
      </c>
      <c r="N3272" t="n">
        <v>0</v>
      </c>
      <c r="O3272" t="n">
        <v>0</v>
      </c>
      <c r="P3272" t="n">
        <v>0</v>
      </c>
      <c r="Q3272" t="n">
        <v>0</v>
      </c>
      <c r="R3272" s="2" t="inlineStr"/>
    </row>
    <row r="3273" ht="15" customHeight="1">
      <c r="A3273" t="inlineStr">
        <is>
          <t>A 28114-2025</t>
        </is>
      </c>
      <c r="B3273" s="1" t="n">
        <v>45817.96760416667</v>
      </c>
      <c r="C3273" s="1" t="n">
        <v>46075</v>
      </c>
      <c r="D3273" t="inlineStr">
        <is>
          <t>VÄSTERBOTTENS LÄN</t>
        </is>
      </c>
      <c r="E3273" t="inlineStr">
        <is>
          <t>SKELLEFTEÅ</t>
        </is>
      </c>
      <c r="F3273" t="inlineStr">
        <is>
          <t>Sveaskog</t>
        </is>
      </c>
      <c r="G3273" t="n">
        <v>4.6</v>
      </c>
      <c r="H3273" t="n">
        <v>0</v>
      </c>
      <c r="I3273" t="n">
        <v>0</v>
      </c>
      <c r="J3273" t="n">
        <v>0</v>
      </c>
      <c r="K3273" t="n">
        <v>0</v>
      </c>
      <c r="L3273" t="n">
        <v>0</v>
      </c>
      <c r="M3273" t="n">
        <v>0</v>
      </c>
      <c r="N3273" t="n">
        <v>0</v>
      </c>
      <c r="O3273" t="n">
        <v>0</v>
      </c>
      <c r="P3273" t="n">
        <v>0</v>
      </c>
      <c r="Q3273" t="n">
        <v>0</v>
      </c>
      <c r="R3273" s="2" t="inlineStr"/>
    </row>
    <row r="3274" ht="15" customHeight="1">
      <c r="A3274" t="inlineStr">
        <is>
          <t>A 544-2025</t>
        </is>
      </c>
      <c r="B3274" s="1" t="n">
        <v>45660</v>
      </c>
      <c r="C3274" s="1" t="n">
        <v>46075</v>
      </c>
      <c r="D3274" t="inlineStr">
        <is>
          <t>VÄSTERBOTTENS LÄN</t>
        </is>
      </c>
      <c r="E3274" t="inlineStr">
        <is>
          <t>SKELLEFTEÅ</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3944-2022</t>
        </is>
      </c>
      <c r="B3275" s="1" t="n">
        <v>44587</v>
      </c>
      <c r="C3275" s="1" t="n">
        <v>46075</v>
      </c>
      <c r="D3275" t="inlineStr">
        <is>
          <t>VÄSTERBOTTENS LÄN</t>
        </is>
      </c>
      <c r="E3275" t="inlineStr">
        <is>
          <t>SKELLEFTEÅ</t>
        </is>
      </c>
      <c r="F3275" t="inlineStr">
        <is>
          <t>Kommuner</t>
        </is>
      </c>
      <c r="G3275" t="n">
        <v>6.6</v>
      </c>
      <c r="H3275" t="n">
        <v>0</v>
      </c>
      <c r="I3275" t="n">
        <v>0</v>
      </c>
      <c r="J3275" t="n">
        <v>0</v>
      </c>
      <c r="K3275" t="n">
        <v>0</v>
      </c>
      <c r="L3275" t="n">
        <v>0</v>
      </c>
      <c r="M3275" t="n">
        <v>0</v>
      </c>
      <c r="N3275" t="n">
        <v>0</v>
      </c>
      <c r="O3275" t="n">
        <v>0</v>
      </c>
      <c r="P3275" t="n">
        <v>0</v>
      </c>
      <c r="Q3275" t="n">
        <v>0</v>
      </c>
      <c r="R3275" s="2" t="inlineStr"/>
    </row>
    <row r="3276" ht="15" customHeight="1">
      <c r="A3276" t="inlineStr">
        <is>
          <t>A 28156-2025</t>
        </is>
      </c>
      <c r="B3276" s="1" t="n">
        <v>45818.36496527777</v>
      </c>
      <c r="C3276" s="1" t="n">
        <v>46075</v>
      </c>
      <c r="D3276" t="inlineStr">
        <is>
          <t>VÄSTERBOTTENS LÄN</t>
        </is>
      </c>
      <c r="E3276" t="inlineStr">
        <is>
          <t>DOROTEA</t>
        </is>
      </c>
      <c r="F3276" t="inlineStr">
        <is>
          <t>SCA</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566-2025</t>
        </is>
      </c>
      <c r="B3277" s="1" t="n">
        <v>45660</v>
      </c>
      <c r="C3277" s="1" t="n">
        <v>46075</v>
      </c>
      <c r="D3277" t="inlineStr">
        <is>
          <t>VÄSTERBOTTENS LÄN</t>
        </is>
      </c>
      <c r="E3277" t="inlineStr">
        <is>
          <t>SORSELE</t>
        </is>
      </c>
      <c r="G3277" t="n">
        <v>6.7</v>
      </c>
      <c r="H3277" t="n">
        <v>0</v>
      </c>
      <c r="I3277" t="n">
        <v>0</v>
      </c>
      <c r="J3277" t="n">
        <v>0</v>
      </c>
      <c r="K3277" t="n">
        <v>0</v>
      </c>
      <c r="L3277" t="n">
        <v>0</v>
      </c>
      <c r="M3277" t="n">
        <v>0</v>
      </c>
      <c r="N3277" t="n">
        <v>0</v>
      </c>
      <c r="O3277" t="n">
        <v>0</v>
      </c>
      <c r="P3277" t="n">
        <v>0</v>
      </c>
      <c r="Q3277" t="n">
        <v>0</v>
      </c>
      <c r="R3277" s="2" t="inlineStr"/>
    </row>
    <row r="3278" ht="15" customHeight="1">
      <c r="A3278" t="inlineStr">
        <is>
          <t>A 38818-2025</t>
        </is>
      </c>
      <c r="B3278" s="1" t="n">
        <v>45887.49842592593</v>
      </c>
      <c r="C3278" s="1" t="n">
        <v>46075</v>
      </c>
      <c r="D3278" t="inlineStr">
        <is>
          <t>VÄSTERBOTTENS LÄN</t>
        </is>
      </c>
      <c r="E3278" t="inlineStr">
        <is>
          <t>BJURHOLM</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8246-2024</t>
        </is>
      </c>
      <c r="B3279" s="1" t="n">
        <v>45351.98583333333</v>
      </c>
      <c r="C3279" s="1" t="n">
        <v>46075</v>
      </c>
      <c r="D3279" t="inlineStr">
        <is>
          <t>VÄSTERBOTTENS LÄN</t>
        </is>
      </c>
      <c r="E3279" t="inlineStr">
        <is>
          <t>DOROTEA</t>
        </is>
      </c>
      <c r="F3279" t="inlineStr">
        <is>
          <t>SCA</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30161-2024</t>
        </is>
      </c>
      <c r="B3280" s="1" t="n">
        <v>45488</v>
      </c>
      <c r="C3280" s="1" t="n">
        <v>46075</v>
      </c>
      <c r="D3280" t="inlineStr">
        <is>
          <t>VÄSTERBOTTENS LÄN</t>
        </is>
      </c>
      <c r="E3280" t="inlineStr">
        <is>
          <t>LYCKSELE</t>
        </is>
      </c>
      <c r="F3280" t="inlineStr">
        <is>
          <t>Sveaskog</t>
        </is>
      </c>
      <c r="G3280" t="n">
        <v>16.1</v>
      </c>
      <c r="H3280" t="n">
        <v>0</v>
      </c>
      <c r="I3280" t="n">
        <v>0</v>
      </c>
      <c r="J3280" t="n">
        <v>0</v>
      </c>
      <c r="K3280" t="n">
        <v>0</v>
      </c>
      <c r="L3280" t="n">
        <v>0</v>
      </c>
      <c r="M3280" t="n">
        <v>0</v>
      </c>
      <c r="N3280" t="n">
        <v>0</v>
      </c>
      <c r="O3280" t="n">
        <v>0</v>
      </c>
      <c r="P3280" t="n">
        <v>0</v>
      </c>
      <c r="Q3280" t="n">
        <v>0</v>
      </c>
      <c r="R3280" s="2" t="inlineStr"/>
    </row>
    <row r="3281" ht="15" customHeight="1">
      <c r="A3281" t="inlineStr">
        <is>
          <t>A 28373-2025</t>
        </is>
      </c>
      <c r="B3281" s="1" t="n">
        <v>45819</v>
      </c>
      <c r="C3281" s="1" t="n">
        <v>46075</v>
      </c>
      <c r="D3281" t="inlineStr">
        <is>
          <t>VÄSTERBOTTENS LÄN</t>
        </is>
      </c>
      <c r="E3281" t="inlineStr">
        <is>
          <t>SKELLEFTEÅ</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59180-2021</t>
        </is>
      </c>
      <c r="B3282" s="1" t="n">
        <v>44489</v>
      </c>
      <c r="C3282" s="1" t="n">
        <v>46075</v>
      </c>
      <c r="D3282" t="inlineStr">
        <is>
          <t>VÄSTERBOTTENS LÄN</t>
        </is>
      </c>
      <c r="E3282" t="inlineStr">
        <is>
          <t>SKELLEFTEÅ</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10167-2021</t>
        </is>
      </c>
      <c r="B3283" s="1" t="n">
        <v>44256</v>
      </c>
      <c r="C3283" s="1" t="n">
        <v>46075</v>
      </c>
      <c r="D3283" t="inlineStr">
        <is>
          <t>VÄSTERBOTTENS LÄN</t>
        </is>
      </c>
      <c r="E3283" t="inlineStr">
        <is>
          <t>VINDELN</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23579-2024</t>
        </is>
      </c>
      <c r="B3284" s="1" t="n">
        <v>45454</v>
      </c>
      <c r="C3284" s="1" t="n">
        <v>46075</v>
      </c>
      <c r="D3284" t="inlineStr">
        <is>
          <t>VÄSTERBOTTENS LÄN</t>
        </is>
      </c>
      <c r="E3284" t="inlineStr">
        <is>
          <t>ROBERTSFORS</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38543-2025</t>
        </is>
      </c>
      <c r="B3285" s="1" t="n">
        <v>45884.42813657408</v>
      </c>
      <c r="C3285" s="1" t="n">
        <v>46075</v>
      </c>
      <c r="D3285" t="inlineStr">
        <is>
          <t>VÄSTERBOTTENS LÄN</t>
        </is>
      </c>
      <c r="E3285" t="inlineStr">
        <is>
          <t>VILHELMINA</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38556-2025</t>
        </is>
      </c>
      <c r="B3286" s="1" t="n">
        <v>45884.44443287037</v>
      </c>
      <c r="C3286" s="1" t="n">
        <v>46075</v>
      </c>
      <c r="D3286" t="inlineStr">
        <is>
          <t>VÄSTERBOTTENS LÄN</t>
        </is>
      </c>
      <c r="E3286" t="inlineStr">
        <is>
          <t>NORSJÖ</t>
        </is>
      </c>
      <c r="G3286" t="n">
        <v>3.4</v>
      </c>
      <c r="H3286" t="n">
        <v>0</v>
      </c>
      <c r="I3286" t="n">
        <v>0</v>
      </c>
      <c r="J3286" t="n">
        <v>0</v>
      </c>
      <c r="K3286" t="n">
        <v>0</v>
      </c>
      <c r="L3286" t="n">
        <v>0</v>
      </c>
      <c r="M3286" t="n">
        <v>0</v>
      </c>
      <c r="N3286" t="n">
        <v>0</v>
      </c>
      <c r="O3286" t="n">
        <v>0</v>
      </c>
      <c r="P3286" t="n">
        <v>0</v>
      </c>
      <c r="Q3286" t="n">
        <v>0</v>
      </c>
      <c r="R3286" s="2" t="inlineStr"/>
    </row>
    <row r="3287" ht="15" customHeight="1">
      <c r="A3287" t="inlineStr">
        <is>
          <t>A 38616-2025</t>
        </is>
      </c>
      <c r="B3287" s="1" t="n">
        <v>45884.54922453704</v>
      </c>
      <c r="C3287" s="1" t="n">
        <v>46075</v>
      </c>
      <c r="D3287" t="inlineStr">
        <is>
          <t>VÄSTERBOTTENS LÄN</t>
        </is>
      </c>
      <c r="E3287" t="inlineStr">
        <is>
          <t>ÅSELE</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664-2022</t>
        </is>
      </c>
      <c r="B3288" s="1" t="n">
        <v>44568</v>
      </c>
      <c r="C3288" s="1" t="n">
        <v>46075</v>
      </c>
      <c r="D3288" t="inlineStr">
        <is>
          <t>VÄSTERBOTTENS LÄN</t>
        </is>
      </c>
      <c r="E3288" t="inlineStr">
        <is>
          <t>VILHELMINA</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16780-2022</t>
        </is>
      </c>
      <c r="B3289" s="1" t="n">
        <v>44673</v>
      </c>
      <c r="C3289" s="1" t="n">
        <v>46075</v>
      </c>
      <c r="D3289" t="inlineStr">
        <is>
          <t>VÄSTERBOTTENS LÄN</t>
        </is>
      </c>
      <c r="E3289" t="inlineStr">
        <is>
          <t>VINDELN</t>
        </is>
      </c>
      <c r="G3289" t="n">
        <v>3</v>
      </c>
      <c r="H3289" t="n">
        <v>0</v>
      </c>
      <c r="I3289" t="n">
        <v>0</v>
      </c>
      <c r="J3289" t="n">
        <v>0</v>
      </c>
      <c r="K3289" t="n">
        <v>0</v>
      </c>
      <c r="L3289" t="n">
        <v>0</v>
      </c>
      <c r="M3289" t="n">
        <v>0</v>
      </c>
      <c r="N3289" t="n">
        <v>0</v>
      </c>
      <c r="O3289" t="n">
        <v>0</v>
      </c>
      <c r="P3289" t="n">
        <v>0</v>
      </c>
      <c r="Q3289" t="n">
        <v>0</v>
      </c>
      <c r="R3289" s="2" t="inlineStr"/>
    </row>
    <row r="3290" ht="15" customHeight="1">
      <c r="A3290" t="inlineStr">
        <is>
          <t>A 21081-2024</t>
        </is>
      </c>
      <c r="B3290" s="1" t="n">
        <v>45439</v>
      </c>
      <c r="C3290" s="1" t="n">
        <v>46075</v>
      </c>
      <c r="D3290" t="inlineStr">
        <is>
          <t>VÄSTERBOTTENS LÄN</t>
        </is>
      </c>
      <c r="E3290" t="inlineStr">
        <is>
          <t>UMEÅ</t>
        </is>
      </c>
      <c r="G3290" t="n">
        <v>3</v>
      </c>
      <c r="H3290" t="n">
        <v>0</v>
      </c>
      <c r="I3290" t="n">
        <v>0</v>
      </c>
      <c r="J3290" t="n">
        <v>0</v>
      </c>
      <c r="K3290" t="n">
        <v>0</v>
      </c>
      <c r="L3290" t="n">
        <v>0</v>
      </c>
      <c r="M3290" t="n">
        <v>0</v>
      </c>
      <c r="N3290" t="n">
        <v>0</v>
      </c>
      <c r="O3290" t="n">
        <v>0</v>
      </c>
      <c r="P3290" t="n">
        <v>0</v>
      </c>
      <c r="Q3290" t="n">
        <v>0</v>
      </c>
      <c r="R3290" s="2" t="inlineStr"/>
    </row>
    <row r="3291" ht="15" customHeight="1">
      <c r="A3291" t="inlineStr">
        <is>
          <t>A 28528-2025</t>
        </is>
      </c>
      <c r="B3291" s="1" t="n">
        <v>45819.49827546296</v>
      </c>
      <c r="C3291" s="1" t="n">
        <v>46075</v>
      </c>
      <c r="D3291" t="inlineStr">
        <is>
          <t>VÄSTERBOTTENS LÄN</t>
        </is>
      </c>
      <c r="E3291" t="inlineStr">
        <is>
          <t>VINDELN</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38833-2025</t>
        </is>
      </c>
      <c r="B3292" s="1" t="n">
        <v>45887.53068287037</v>
      </c>
      <c r="C3292" s="1" t="n">
        <v>46075</v>
      </c>
      <c r="D3292" t="inlineStr">
        <is>
          <t>VÄSTERBOTTENS LÄN</t>
        </is>
      </c>
      <c r="E3292" t="inlineStr">
        <is>
          <t>VINDELN</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38836-2025</t>
        </is>
      </c>
      <c r="B3293" s="1" t="n">
        <v>45887.53207175926</v>
      </c>
      <c r="C3293" s="1" t="n">
        <v>46075</v>
      </c>
      <c r="D3293" t="inlineStr">
        <is>
          <t>VÄSTERBOTTENS LÄN</t>
        </is>
      </c>
      <c r="E3293" t="inlineStr">
        <is>
          <t>MALÅ</t>
        </is>
      </c>
      <c r="G3293" t="n">
        <v>6.4</v>
      </c>
      <c r="H3293" t="n">
        <v>0</v>
      </c>
      <c r="I3293" t="n">
        <v>0</v>
      </c>
      <c r="J3293" t="n">
        <v>0</v>
      </c>
      <c r="K3293" t="n">
        <v>0</v>
      </c>
      <c r="L3293" t="n">
        <v>0</v>
      </c>
      <c r="M3293" t="n">
        <v>0</v>
      </c>
      <c r="N3293" t="n">
        <v>0</v>
      </c>
      <c r="O3293" t="n">
        <v>0</v>
      </c>
      <c r="P3293" t="n">
        <v>0</v>
      </c>
      <c r="Q3293" t="n">
        <v>0</v>
      </c>
      <c r="R3293" s="2" t="inlineStr"/>
    </row>
    <row r="3294" ht="15" customHeight="1">
      <c r="A3294" t="inlineStr">
        <is>
          <t>A 22159-2025</t>
        </is>
      </c>
      <c r="B3294" s="1" t="n">
        <v>45785.58716435185</v>
      </c>
      <c r="C3294" s="1" t="n">
        <v>46075</v>
      </c>
      <c r="D3294" t="inlineStr">
        <is>
          <t>VÄSTERBOTTENS LÄN</t>
        </is>
      </c>
      <c r="E3294" t="inlineStr">
        <is>
          <t>UMEÅ</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28377-2025</t>
        </is>
      </c>
      <c r="B3295" s="1" t="n">
        <v>45819</v>
      </c>
      <c r="C3295" s="1" t="n">
        <v>46075</v>
      </c>
      <c r="D3295" t="inlineStr">
        <is>
          <t>VÄSTERBOTTENS LÄN</t>
        </is>
      </c>
      <c r="E3295" t="inlineStr">
        <is>
          <t>SKELLEFTEÅ</t>
        </is>
      </c>
      <c r="G3295" t="n">
        <v>3.5</v>
      </c>
      <c r="H3295" t="n">
        <v>0</v>
      </c>
      <c r="I3295" t="n">
        <v>0</v>
      </c>
      <c r="J3295" t="n">
        <v>0</v>
      </c>
      <c r="K3295" t="n">
        <v>0</v>
      </c>
      <c r="L3295" t="n">
        <v>0</v>
      </c>
      <c r="M3295" t="n">
        <v>0</v>
      </c>
      <c r="N3295" t="n">
        <v>0</v>
      </c>
      <c r="O3295" t="n">
        <v>0</v>
      </c>
      <c r="P3295" t="n">
        <v>0</v>
      </c>
      <c r="Q3295" t="n">
        <v>0</v>
      </c>
      <c r="R3295" s="2" t="inlineStr"/>
    </row>
    <row r="3296" ht="15" customHeight="1">
      <c r="A3296" t="inlineStr">
        <is>
          <t>A 28148-2023</t>
        </is>
      </c>
      <c r="B3296" s="1" t="n">
        <v>45099.48684027778</v>
      </c>
      <c r="C3296" s="1" t="n">
        <v>46075</v>
      </c>
      <c r="D3296" t="inlineStr">
        <is>
          <t>VÄSTERBOTTENS LÄN</t>
        </is>
      </c>
      <c r="E3296" t="inlineStr">
        <is>
          <t>SKELLEFTEÅ</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28408-2025</t>
        </is>
      </c>
      <c r="B3297" s="1" t="n">
        <v>45819.34600694444</v>
      </c>
      <c r="C3297" s="1" t="n">
        <v>46075</v>
      </c>
      <c r="D3297" t="inlineStr">
        <is>
          <t>VÄSTERBOTTENS LÄN</t>
        </is>
      </c>
      <c r="E3297" t="inlineStr">
        <is>
          <t>SKELLEFTEÅ</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28354-2025</t>
        </is>
      </c>
      <c r="B3298" s="1" t="n">
        <v>45818.77484953704</v>
      </c>
      <c r="C3298" s="1" t="n">
        <v>46075</v>
      </c>
      <c r="D3298" t="inlineStr">
        <is>
          <t>VÄSTERBOTTENS LÄN</t>
        </is>
      </c>
      <c r="E3298" t="inlineStr">
        <is>
          <t>SKELLEFTEÅ</t>
        </is>
      </c>
      <c r="G3298" t="n">
        <v>3.2</v>
      </c>
      <c r="H3298" t="n">
        <v>0</v>
      </c>
      <c r="I3298" t="n">
        <v>0</v>
      </c>
      <c r="J3298" t="n">
        <v>0</v>
      </c>
      <c r="K3298" t="n">
        <v>0</v>
      </c>
      <c r="L3298" t="n">
        <v>0</v>
      </c>
      <c r="M3298" t="n">
        <v>0</v>
      </c>
      <c r="N3298" t="n">
        <v>0</v>
      </c>
      <c r="O3298" t="n">
        <v>0</v>
      </c>
      <c r="P3298" t="n">
        <v>0</v>
      </c>
      <c r="Q3298" t="n">
        <v>0</v>
      </c>
      <c r="R3298" s="2" t="inlineStr"/>
    </row>
    <row r="3299" ht="15" customHeight="1">
      <c r="A3299" t="inlineStr">
        <is>
          <t>A 28358-2025</t>
        </is>
      </c>
      <c r="B3299" s="1" t="n">
        <v>45818.79246527778</v>
      </c>
      <c r="C3299" s="1" t="n">
        <v>46075</v>
      </c>
      <c r="D3299" t="inlineStr">
        <is>
          <t>VÄSTERBOTTENS LÄN</t>
        </is>
      </c>
      <c r="E3299" t="inlineStr">
        <is>
          <t>SKELLEFTEÅ</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54880-2024</t>
        </is>
      </c>
      <c r="B3300" s="1" t="n">
        <v>45618.61046296296</v>
      </c>
      <c r="C3300" s="1" t="n">
        <v>46075</v>
      </c>
      <c r="D3300" t="inlineStr">
        <is>
          <t>VÄSTERBOTTENS LÄN</t>
        </is>
      </c>
      <c r="E3300" t="inlineStr">
        <is>
          <t>SKELLEFTEÅ</t>
        </is>
      </c>
      <c r="F3300" t="inlineStr">
        <is>
          <t>Sveaskog</t>
        </is>
      </c>
      <c r="G3300" t="n">
        <v>4.3</v>
      </c>
      <c r="H3300" t="n">
        <v>0</v>
      </c>
      <c r="I3300" t="n">
        <v>0</v>
      </c>
      <c r="J3300" t="n">
        <v>0</v>
      </c>
      <c r="K3300" t="n">
        <v>0</v>
      </c>
      <c r="L3300" t="n">
        <v>0</v>
      </c>
      <c r="M3300" t="n">
        <v>0</v>
      </c>
      <c r="N3300" t="n">
        <v>0</v>
      </c>
      <c r="O3300" t="n">
        <v>0</v>
      </c>
      <c r="P3300" t="n">
        <v>0</v>
      </c>
      <c r="Q3300" t="n">
        <v>0</v>
      </c>
      <c r="R3300" s="2" t="inlineStr"/>
    </row>
    <row r="3301" ht="15" customHeight="1">
      <c r="A3301" t="inlineStr">
        <is>
          <t>A 28171-2023</t>
        </is>
      </c>
      <c r="B3301" s="1" t="n">
        <v>45096</v>
      </c>
      <c r="C3301" s="1" t="n">
        <v>46075</v>
      </c>
      <c r="D3301" t="inlineStr">
        <is>
          <t>VÄSTERBOTTENS LÄN</t>
        </is>
      </c>
      <c r="E3301" t="inlineStr">
        <is>
          <t>SKELLEFTEÅ</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43945-2023</t>
        </is>
      </c>
      <c r="B3302" s="1" t="n">
        <v>45187</v>
      </c>
      <c r="C3302" s="1" t="n">
        <v>46075</v>
      </c>
      <c r="D3302" t="inlineStr">
        <is>
          <t>VÄSTERBOTTENS LÄN</t>
        </is>
      </c>
      <c r="E3302" t="inlineStr">
        <is>
          <t>VINDELN</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15235-2024</t>
        </is>
      </c>
      <c r="B3303" s="1" t="n">
        <v>45400</v>
      </c>
      <c r="C3303" s="1" t="n">
        <v>46075</v>
      </c>
      <c r="D3303" t="inlineStr">
        <is>
          <t>VÄSTERBOTTENS LÄN</t>
        </is>
      </c>
      <c r="E3303" t="inlineStr">
        <is>
          <t>SORSELE</t>
        </is>
      </c>
      <c r="G3303" t="n">
        <v>6.6</v>
      </c>
      <c r="H3303" t="n">
        <v>0</v>
      </c>
      <c r="I3303" t="n">
        <v>0</v>
      </c>
      <c r="J3303" t="n">
        <v>0</v>
      </c>
      <c r="K3303" t="n">
        <v>0</v>
      </c>
      <c r="L3303" t="n">
        <v>0</v>
      </c>
      <c r="M3303" t="n">
        <v>0</v>
      </c>
      <c r="N3303" t="n">
        <v>0</v>
      </c>
      <c r="O3303" t="n">
        <v>0</v>
      </c>
      <c r="P3303" t="n">
        <v>0</v>
      </c>
      <c r="Q3303" t="n">
        <v>0</v>
      </c>
      <c r="R3303" s="2" t="inlineStr"/>
    </row>
    <row r="3304" ht="15" customHeight="1">
      <c r="A3304" t="inlineStr">
        <is>
          <t>A 6369-2024</t>
        </is>
      </c>
      <c r="B3304" s="1" t="n">
        <v>45338</v>
      </c>
      <c r="C3304" s="1" t="n">
        <v>46075</v>
      </c>
      <c r="D3304" t="inlineStr">
        <is>
          <t>VÄSTERBOTTENS LÄN</t>
        </is>
      </c>
      <c r="E3304" t="inlineStr">
        <is>
          <t>VILHELMINA</t>
        </is>
      </c>
      <c r="G3304" t="n">
        <v>3.6</v>
      </c>
      <c r="H3304" t="n">
        <v>0</v>
      </c>
      <c r="I3304" t="n">
        <v>0</v>
      </c>
      <c r="J3304" t="n">
        <v>0</v>
      </c>
      <c r="K3304" t="n">
        <v>0</v>
      </c>
      <c r="L3304" t="n">
        <v>0</v>
      </c>
      <c r="M3304" t="n">
        <v>0</v>
      </c>
      <c r="N3304" t="n">
        <v>0</v>
      </c>
      <c r="O3304" t="n">
        <v>0</v>
      </c>
      <c r="P3304" t="n">
        <v>0</v>
      </c>
      <c r="Q3304" t="n">
        <v>0</v>
      </c>
      <c r="R3304" s="2" t="inlineStr"/>
    </row>
    <row r="3305" ht="15" customHeight="1">
      <c r="A3305" t="inlineStr">
        <is>
          <t>A 43992-2023</t>
        </is>
      </c>
      <c r="B3305" s="1" t="n">
        <v>45187</v>
      </c>
      <c r="C3305" s="1" t="n">
        <v>46075</v>
      </c>
      <c r="D3305" t="inlineStr">
        <is>
          <t>VÄSTERBOTTENS LÄN</t>
        </is>
      </c>
      <c r="E3305" t="inlineStr">
        <is>
          <t>BJURHOLM</t>
        </is>
      </c>
      <c r="F3305" t="inlineStr">
        <is>
          <t>SCA</t>
        </is>
      </c>
      <c r="G3305" t="n">
        <v>10.9</v>
      </c>
      <c r="H3305" t="n">
        <v>0</v>
      </c>
      <c r="I3305" t="n">
        <v>0</v>
      </c>
      <c r="J3305" t="n">
        <v>0</v>
      </c>
      <c r="K3305" t="n">
        <v>0</v>
      </c>
      <c r="L3305" t="n">
        <v>0</v>
      </c>
      <c r="M3305" t="n">
        <v>0</v>
      </c>
      <c r="N3305" t="n">
        <v>0</v>
      </c>
      <c r="O3305" t="n">
        <v>0</v>
      </c>
      <c r="P3305" t="n">
        <v>0</v>
      </c>
      <c r="Q3305" t="n">
        <v>0</v>
      </c>
      <c r="R3305" s="2" t="inlineStr"/>
    </row>
    <row r="3306" ht="15" customHeight="1">
      <c r="A3306" t="inlineStr">
        <is>
          <t>A 51957-2023</t>
        </is>
      </c>
      <c r="B3306" s="1" t="n">
        <v>45223</v>
      </c>
      <c r="C3306" s="1" t="n">
        <v>46075</v>
      </c>
      <c r="D3306" t="inlineStr">
        <is>
          <t>VÄSTERBOTTENS LÄN</t>
        </is>
      </c>
      <c r="E3306" t="inlineStr">
        <is>
          <t>LYCKSELE</t>
        </is>
      </c>
      <c r="F3306" t="inlineStr">
        <is>
          <t>Sveaskog</t>
        </is>
      </c>
      <c r="G3306" t="n">
        <v>3.2</v>
      </c>
      <c r="H3306" t="n">
        <v>0</v>
      </c>
      <c r="I3306" t="n">
        <v>0</v>
      </c>
      <c r="J3306" t="n">
        <v>0</v>
      </c>
      <c r="K3306" t="n">
        <v>0</v>
      </c>
      <c r="L3306" t="n">
        <v>0</v>
      </c>
      <c r="M3306" t="n">
        <v>0</v>
      </c>
      <c r="N3306" t="n">
        <v>0</v>
      </c>
      <c r="O3306" t="n">
        <v>0</v>
      </c>
      <c r="P3306" t="n">
        <v>0</v>
      </c>
      <c r="Q3306" t="n">
        <v>0</v>
      </c>
      <c r="R3306" s="2" t="inlineStr"/>
    </row>
    <row r="3307" ht="15" customHeight="1">
      <c r="A3307" t="inlineStr">
        <is>
          <t>A 52062-2023</t>
        </is>
      </c>
      <c r="B3307" s="1" t="n">
        <v>45216</v>
      </c>
      <c r="C3307" s="1" t="n">
        <v>46075</v>
      </c>
      <c r="D3307" t="inlineStr">
        <is>
          <t>VÄSTERBOTTENS LÄN</t>
        </is>
      </c>
      <c r="E3307" t="inlineStr">
        <is>
          <t>SKELLEFTEÅ</t>
        </is>
      </c>
      <c r="G3307" t="n">
        <v>3.6</v>
      </c>
      <c r="H3307" t="n">
        <v>0</v>
      </c>
      <c r="I3307" t="n">
        <v>0</v>
      </c>
      <c r="J3307" t="n">
        <v>0</v>
      </c>
      <c r="K3307" t="n">
        <v>0</v>
      </c>
      <c r="L3307" t="n">
        <v>0</v>
      </c>
      <c r="M3307" t="n">
        <v>0</v>
      </c>
      <c r="N3307" t="n">
        <v>0</v>
      </c>
      <c r="O3307" t="n">
        <v>0</v>
      </c>
      <c r="P3307" t="n">
        <v>0</v>
      </c>
      <c r="Q3307" t="n">
        <v>0</v>
      </c>
      <c r="R3307" s="2" t="inlineStr"/>
    </row>
    <row r="3308" ht="15" customHeight="1">
      <c r="A3308" t="inlineStr">
        <is>
          <t>A 56090-2023</t>
        </is>
      </c>
      <c r="B3308" s="1" t="n">
        <v>45240</v>
      </c>
      <c r="C3308" s="1" t="n">
        <v>46075</v>
      </c>
      <c r="D3308" t="inlineStr">
        <is>
          <t>VÄSTERBOTTENS LÄN</t>
        </is>
      </c>
      <c r="E3308" t="inlineStr">
        <is>
          <t>NORSJÖ</t>
        </is>
      </c>
      <c r="F3308" t="inlineStr">
        <is>
          <t>Sveaskog</t>
        </is>
      </c>
      <c r="G3308" t="n">
        <v>5.3</v>
      </c>
      <c r="H3308" t="n">
        <v>0</v>
      </c>
      <c r="I3308" t="n">
        <v>0</v>
      </c>
      <c r="J3308" t="n">
        <v>0</v>
      </c>
      <c r="K3308" t="n">
        <v>0</v>
      </c>
      <c r="L3308" t="n">
        <v>0</v>
      </c>
      <c r="M3308" t="n">
        <v>0</v>
      </c>
      <c r="N3308" t="n">
        <v>0</v>
      </c>
      <c r="O3308" t="n">
        <v>0</v>
      </c>
      <c r="P3308" t="n">
        <v>0</v>
      </c>
      <c r="Q3308" t="n">
        <v>0</v>
      </c>
      <c r="R3308" s="2" t="inlineStr"/>
    </row>
    <row r="3309" ht="15" customHeight="1">
      <c r="A3309" t="inlineStr">
        <is>
          <t>A 38862-2025</t>
        </is>
      </c>
      <c r="B3309" s="1" t="n">
        <v>45887.56513888889</v>
      </c>
      <c r="C3309" s="1" t="n">
        <v>46075</v>
      </c>
      <c r="D3309" t="inlineStr">
        <is>
          <t>VÄSTERBOTTENS LÄN</t>
        </is>
      </c>
      <c r="E3309" t="inlineStr">
        <is>
          <t>NORSJÖ</t>
        </is>
      </c>
      <c r="F3309" t="inlineStr">
        <is>
          <t>Holmen skog AB</t>
        </is>
      </c>
      <c r="G3309" t="n">
        <v>4.8</v>
      </c>
      <c r="H3309" t="n">
        <v>0</v>
      </c>
      <c r="I3309" t="n">
        <v>0</v>
      </c>
      <c r="J3309" t="n">
        <v>0</v>
      </c>
      <c r="K3309" t="n">
        <v>0</v>
      </c>
      <c r="L3309" t="n">
        <v>0</v>
      </c>
      <c r="M3309" t="n">
        <v>0</v>
      </c>
      <c r="N3309" t="n">
        <v>0</v>
      </c>
      <c r="O3309" t="n">
        <v>0</v>
      </c>
      <c r="P3309" t="n">
        <v>0</v>
      </c>
      <c r="Q3309" t="n">
        <v>0</v>
      </c>
      <c r="R3309" s="2" t="inlineStr"/>
    </row>
    <row r="3310" ht="15" customHeight="1">
      <c r="A3310" t="inlineStr">
        <is>
          <t>A 53068-2023</t>
        </is>
      </c>
      <c r="B3310" s="1" t="n">
        <v>45227</v>
      </c>
      <c r="C3310" s="1" t="n">
        <v>46075</v>
      </c>
      <c r="D3310" t="inlineStr">
        <is>
          <t>VÄSTERBOTTENS LÄN</t>
        </is>
      </c>
      <c r="E3310" t="inlineStr">
        <is>
          <t>MALÅ</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34805-2023</t>
        </is>
      </c>
      <c r="B3311" s="1" t="n">
        <v>45140</v>
      </c>
      <c r="C3311" s="1" t="n">
        <v>46075</v>
      </c>
      <c r="D3311" t="inlineStr">
        <is>
          <t>VÄSTERBOTTENS LÄN</t>
        </is>
      </c>
      <c r="E3311" t="inlineStr">
        <is>
          <t>VILHELMINA</t>
        </is>
      </c>
      <c r="G3311" t="n">
        <v>4.3</v>
      </c>
      <c r="H3311" t="n">
        <v>0</v>
      </c>
      <c r="I3311" t="n">
        <v>0</v>
      </c>
      <c r="J3311" t="n">
        <v>0</v>
      </c>
      <c r="K3311" t="n">
        <v>0</v>
      </c>
      <c r="L3311" t="n">
        <v>0</v>
      </c>
      <c r="M3311" t="n">
        <v>0</v>
      </c>
      <c r="N3311" t="n">
        <v>0</v>
      </c>
      <c r="O3311" t="n">
        <v>0</v>
      </c>
      <c r="P3311" t="n">
        <v>0</v>
      </c>
      <c r="Q3311" t="n">
        <v>0</v>
      </c>
      <c r="R3311" s="2" t="inlineStr"/>
    </row>
    <row r="3312" ht="15" customHeight="1">
      <c r="A3312" t="inlineStr">
        <is>
          <t>A 22896-2024</t>
        </is>
      </c>
      <c r="B3312" s="1" t="n">
        <v>45448</v>
      </c>
      <c r="C3312" s="1" t="n">
        <v>46075</v>
      </c>
      <c r="D3312" t="inlineStr">
        <is>
          <t>VÄSTERBOTTENS LÄN</t>
        </is>
      </c>
      <c r="E3312" t="inlineStr">
        <is>
          <t>VINDELN</t>
        </is>
      </c>
      <c r="F3312" t="inlineStr">
        <is>
          <t>Holmen skog AB</t>
        </is>
      </c>
      <c r="G3312" t="n">
        <v>7.3</v>
      </c>
      <c r="H3312" t="n">
        <v>0</v>
      </c>
      <c r="I3312" t="n">
        <v>0</v>
      </c>
      <c r="J3312" t="n">
        <v>0</v>
      </c>
      <c r="K3312" t="n">
        <v>0</v>
      </c>
      <c r="L3312" t="n">
        <v>0</v>
      </c>
      <c r="M3312" t="n">
        <v>0</v>
      </c>
      <c r="N3312" t="n">
        <v>0</v>
      </c>
      <c r="O3312" t="n">
        <v>0</v>
      </c>
      <c r="P3312" t="n">
        <v>0</v>
      </c>
      <c r="Q3312" t="n">
        <v>0</v>
      </c>
      <c r="R3312" s="2" t="inlineStr"/>
    </row>
    <row r="3313" ht="15" customHeight="1">
      <c r="A3313" t="inlineStr">
        <is>
          <t>A 61145-2023</t>
        </is>
      </c>
      <c r="B3313" s="1" t="n">
        <v>45261.96739583334</v>
      </c>
      <c r="C3313" s="1" t="n">
        <v>46075</v>
      </c>
      <c r="D3313" t="inlineStr">
        <is>
          <t>VÄSTERBOTTENS LÄN</t>
        </is>
      </c>
      <c r="E3313" t="inlineStr">
        <is>
          <t>SKELLEFTEÅ</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15408-2023</t>
        </is>
      </c>
      <c r="B3314" s="1" t="n">
        <v>45019.66755787037</v>
      </c>
      <c r="C3314" s="1" t="n">
        <v>46075</v>
      </c>
      <c r="D3314" t="inlineStr">
        <is>
          <t>VÄSTERBOTTENS LÄN</t>
        </is>
      </c>
      <c r="E3314" t="inlineStr">
        <is>
          <t>VINDELN</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27052-2024</t>
        </is>
      </c>
      <c r="B3315" s="1" t="n">
        <v>45471</v>
      </c>
      <c r="C3315" s="1" t="n">
        <v>46075</v>
      </c>
      <c r="D3315" t="inlineStr">
        <is>
          <t>VÄSTERBOTTENS LÄN</t>
        </is>
      </c>
      <c r="E3315" t="inlineStr">
        <is>
          <t>UMEÅ</t>
        </is>
      </c>
      <c r="F3315" t="inlineStr">
        <is>
          <t>Holmen skog AB</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38597-2025</t>
        </is>
      </c>
      <c r="B3316" s="1" t="n">
        <v>45884.49061342593</v>
      </c>
      <c r="C3316" s="1" t="n">
        <v>46075</v>
      </c>
      <c r="D3316" t="inlineStr">
        <is>
          <t>VÄSTERBOTTENS LÄN</t>
        </is>
      </c>
      <c r="E3316" t="inlineStr">
        <is>
          <t>VILHELMINA</t>
        </is>
      </c>
      <c r="F3316" t="inlineStr">
        <is>
          <t>SCA</t>
        </is>
      </c>
      <c r="G3316" t="n">
        <v>7.5</v>
      </c>
      <c r="H3316" t="n">
        <v>0</v>
      </c>
      <c r="I3316" t="n">
        <v>0</v>
      </c>
      <c r="J3316" t="n">
        <v>0</v>
      </c>
      <c r="K3316" t="n">
        <v>0</v>
      </c>
      <c r="L3316" t="n">
        <v>0</v>
      </c>
      <c r="M3316" t="n">
        <v>0</v>
      </c>
      <c r="N3316" t="n">
        <v>0</v>
      </c>
      <c r="O3316" t="n">
        <v>0</v>
      </c>
      <c r="P3316" t="n">
        <v>0</v>
      </c>
      <c r="Q3316" t="n">
        <v>0</v>
      </c>
      <c r="R3316" s="2" t="inlineStr"/>
    </row>
    <row r="3317" ht="15" customHeight="1">
      <c r="A3317" t="inlineStr">
        <is>
          <t>A 38661-2025</t>
        </is>
      </c>
      <c r="B3317" s="1" t="n">
        <v>45884.61168981482</v>
      </c>
      <c r="C3317" s="1" t="n">
        <v>46075</v>
      </c>
      <c r="D3317" t="inlineStr">
        <is>
          <t>VÄSTERBOTTENS LÄN</t>
        </is>
      </c>
      <c r="E3317" t="inlineStr">
        <is>
          <t>SKELLEFTEÅ</t>
        </is>
      </c>
      <c r="F3317" t="inlineStr">
        <is>
          <t>Holmen skog AB</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21925-2021</t>
        </is>
      </c>
      <c r="B3318" s="1" t="n">
        <v>44322.91846064815</v>
      </c>
      <c r="C3318" s="1" t="n">
        <v>46075</v>
      </c>
      <c r="D3318" t="inlineStr">
        <is>
          <t>VÄSTERBOTTENS LÄN</t>
        </is>
      </c>
      <c r="E3318" t="inlineStr">
        <is>
          <t>ROBERTSFORS</t>
        </is>
      </c>
      <c r="G3318" t="n">
        <v>5.1</v>
      </c>
      <c r="H3318" t="n">
        <v>0</v>
      </c>
      <c r="I3318" t="n">
        <v>0</v>
      </c>
      <c r="J3318" t="n">
        <v>0</v>
      </c>
      <c r="K3318" t="n">
        <v>0</v>
      </c>
      <c r="L3318" t="n">
        <v>0</v>
      </c>
      <c r="M3318" t="n">
        <v>0</v>
      </c>
      <c r="N3318" t="n">
        <v>0</v>
      </c>
      <c r="O3318" t="n">
        <v>0</v>
      </c>
      <c r="P3318" t="n">
        <v>0</v>
      </c>
      <c r="Q3318" t="n">
        <v>0</v>
      </c>
      <c r="R3318" s="2" t="inlineStr"/>
    </row>
    <row r="3319" ht="15" customHeight="1">
      <c r="A3319" t="inlineStr">
        <is>
          <t>A 25515-2021</t>
        </is>
      </c>
      <c r="B3319" s="1" t="n">
        <v>44342.94759259259</v>
      </c>
      <c r="C3319" s="1" t="n">
        <v>46075</v>
      </c>
      <c r="D3319" t="inlineStr">
        <is>
          <t>VÄSTERBOTTENS LÄN</t>
        </is>
      </c>
      <c r="E3319" t="inlineStr">
        <is>
          <t>SKELLEFTEÅ</t>
        </is>
      </c>
      <c r="F3319" t="inlineStr">
        <is>
          <t>SCA</t>
        </is>
      </c>
      <c r="G3319" t="n">
        <v>5.7</v>
      </c>
      <c r="H3319" t="n">
        <v>0</v>
      </c>
      <c r="I3319" t="n">
        <v>0</v>
      </c>
      <c r="J3319" t="n">
        <v>0</v>
      </c>
      <c r="K3319" t="n">
        <v>0</v>
      </c>
      <c r="L3319" t="n">
        <v>0</v>
      </c>
      <c r="M3319" t="n">
        <v>0</v>
      </c>
      <c r="N3319" t="n">
        <v>0</v>
      </c>
      <c r="O3319" t="n">
        <v>0</v>
      </c>
      <c r="P3319" t="n">
        <v>0</v>
      </c>
      <c r="Q3319" t="n">
        <v>0</v>
      </c>
      <c r="R3319" s="2" t="inlineStr"/>
    </row>
    <row r="3320" ht="15" customHeight="1">
      <c r="A3320" t="inlineStr">
        <is>
          <t>A 70740-2021</t>
        </is>
      </c>
      <c r="B3320" s="1" t="n">
        <v>44536</v>
      </c>
      <c r="C3320" s="1" t="n">
        <v>46075</v>
      </c>
      <c r="D3320" t="inlineStr">
        <is>
          <t>VÄSTERBOTTENS LÄN</t>
        </is>
      </c>
      <c r="E3320" t="inlineStr">
        <is>
          <t>BJURHOLM</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70748-2021</t>
        </is>
      </c>
      <c r="B3321" s="1" t="n">
        <v>44537.63729166667</v>
      </c>
      <c r="C3321" s="1" t="n">
        <v>46075</v>
      </c>
      <c r="D3321" t="inlineStr">
        <is>
          <t>VÄSTERBOTTENS LÄN</t>
        </is>
      </c>
      <c r="E3321" t="inlineStr">
        <is>
          <t>SKELLEFTEÅ</t>
        </is>
      </c>
      <c r="G3321" t="n">
        <v>3.4</v>
      </c>
      <c r="H3321" t="n">
        <v>0</v>
      </c>
      <c r="I3321" t="n">
        <v>0</v>
      </c>
      <c r="J3321" t="n">
        <v>0</v>
      </c>
      <c r="K3321" t="n">
        <v>0</v>
      </c>
      <c r="L3321" t="n">
        <v>0</v>
      </c>
      <c r="M3321" t="n">
        <v>0</v>
      </c>
      <c r="N3321" t="n">
        <v>0</v>
      </c>
      <c r="O3321" t="n">
        <v>0</v>
      </c>
      <c r="P3321" t="n">
        <v>0</v>
      </c>
      <c r="Q3321" t="n">
        <v>0</v>
      </c>
      <c r="R3321" s="2" t="inlineStr"/>
    </row>
    <row r="3322" ht="15" customHeight="1">
      <c r="A3322" t="inlineStr">
        <is>
          <t>A 17438-2021</t>
        </is>
      </c>
      <c r="B3322" s="1" t="n">
        <v>44299</v>
      </c>
      <c r="C3322" s="1" t="n">
        <v>46075</v>
      </c>
      <c r="D3322" t="inlineStr">
        <is>
          <t>VÄSTERBOTTENS LÄN</t>
        </is>
      </c>
      <c r="E3322" t="inlineStr">
        <is>
          <t>UMEÅ</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17441-2021</t>
        </is>
      </c>
      <c r="B3323" s="1" t="n">
        <v>44298</v>
      </c>
      <c r="C3323" s="1" t="n">
        <v>46075</v>
      </c>
      <c r="D3323" t="inlineStr">
        <is>
          <t>VÄSTERBOTTENS LÄN</t>
        </is>
      </c>
      <c r="E3323" t="inlineStr">
        <is>
          <t>SORSELE</t>
        </is>
      </c>
      <c r="G3323" t="n">
        <v>109.9</v>
      </c>
      <c r="H3323" t="n">
        <v>0</v>
      </c>
      <c r="I3323" t="n">
        <v>0</v>
      </c>
      <c r="J3323" t="n">
        <v>0</v>
      </c>
      <c r="K3323" t="n">
        <v>0</v>
      </c>
      <c r="L3323" t="n">
        <v>0</v>
      </c>
      <c r="M3323" t="n">
        <v>0</v>
      </c>
      <c r="N3323" t="n">
        <v>0</v>
      </c>
      <c r="O3323" t="n">
        <v>0</v>
      </c>
      <c r="P3323" t="n">
        <v>0</v>
      </c>
      <c r="Q3323" t="n">
        <v>0</v>
      </c>
      <c r="R3323" s="2" t="inlineStr"/>
    </row>
    <row r="3324" ht="15" customHeight="1">
      <c r="A3324" t="inlineStr">
        <is>
          <t>A 28291-2021</t>
        </is>
      </c>
      <c r="B3324" s="1" t="n">
        <v>44356.27717592593</v>
      </c>
      <c r="C3324" s="1" t="n">
        <v>46075</v>
      </c>
      <c r="D3324" t="inlineStr">
        <is>
          <t>VÄSTERBOTTENS LÄN</t>
        </is>
      </c>
      <c r="E3324" t="inlineStr">
        <is>
          <t>SKELLEFTEÅ</t>
        </is>
      </c>
      <c r="G3324" t="n">
        <v>10.1</v>
      </c>
      <c r="H3324" t="n">
        <v>0</v>
      </c>
      <c r="I3324" t="n">
        <v>0</v>
      </c>
      <c r="J3324" t="n">
        <v>0</v>
      </c>
      <c r="K3324" t="n">
        <v>0</v>
      </c>
      <c r="L3324" t="n">
        <v>0</v>
      </c>
      <c r="M3324" t="n">
        <v>0</v>
      </c>
      <c r="N3324" t="n">
        <v>0</v>
      </c>
      <c r="O3324" t="n">
        <v>0</v>
      </c>
      <c r="P3324" t="n">
        <v>0</v>
      </c>
      <c r="Q3324" t="n">
        <v>0</v>
      </c>
      <c r="R3324" s="2" t="inlineStr"/>
    </row>
    <row r="3325" ht="15" customHeight="1">
      <c r="A3325" t="inlineStr">
        <is>
          <t>A 35338-2023</t>
        </is>
      </c>
      <c r="B3325" s="1" t="n">
        <v>45145</v>
      </c>
      <c r="C3325" s="1" t="n">
        <v>46075</v>
      </c>
      <c r="D3325" t="inlineStr">
        <is>
          <t>VÄSTERBOTTENS LÄN</t>
        </is>
      </c>
      <c r="E3325" t="inlineStr">
        <is>
          <t>SKELLEFTEÅ</t>
        </is>
      </c>
      <c r="G3325" t="n">
        <v>4.1</v>
      </c>
      <c r="H3325" t="n">
        <v>0</v>
      </c>
      <c r="I3325" t="n">
        <v>0</v>
      </c>
      <c r="J3325" t="n">
        <v>0</v>
      </c>
      <c r="K3325" t="n">
        <v>0</v>
      </c>
      <c r="L3325" t="n">
        <v>0</v>
      </c>
      <c r="M3325" t="n">
        <v>0</v>
      </c>
      <c r="N3325" t="n">
        <v>0</v>
      </c>
      <c r="O3325" t="n">
        <v>0</v>
      </c>
      <c r="P3325" t="n">
        <v>0</v>
      </c>
      <c r="Q3325" t="n">
        <v>0</v>
      </c>
      <c r="R3325" s="2" t="inlineStr"/>
    </row>
    <row r="3326" ht="15" customHeight="1">
      <c r="A3326" t="inlineStr">
        <is>
          <t>A 51075-2024</t>
        </is>
      </c>
      <c r="B3326" s="1" t="n">
        <v>45603</v>
      </c>
      <c r="C3326" s="1" t="n">
        <v>46075</v>
      </c>
      <c r="D3326" t="inlineStr">
        <is>
          <t>VÄSTERBOTTENS LÄN</t>
        </is>
      </c>
      <c r="E3326" t="inlineStr">
        <is>
          <t>NORSJÖ</t>
        </is>
      </c>
      <c r="G3326" t="n">
        <v>10.3</v>
      </c>
      <c r="H3326" t="n">
        <v>0</v>
      </c>
      <c r="I3326" t="n">
        <v>0</v>
      </c>
      <c r="J3326" t="n">
        <v>0</v>
      </c>
      <c r="K3326" t="n">
        <v>0</v>
      </c>
      <c r="L3326" t="n">
        <v>0</v>
      </c>
      <c r="M3326" t="n">
        <v>0</v>
      </c>
      <c r="N3326" t="n">
        <v>0</v>
      </c>
      <c r="O3326" t="n">
        <v>0</v>
      </c>
      <c r="P3326" t="n">
        <v>0</v>
      </c>
      <c r="Q3326" t="n">
        <v>0</v>
      </c>
      <c r="R3326" s="2" t="inlineStr"/>
    </row>
    <row r="3327" ht="15" customHeight="1">
      <c r="A3327" t="inlineStr">
        <is>
          <t>A 28220-2025</t>
        </is>
      </c>
      <c r="B3327" s="1" t="n">
        <v>45818.47373842593</v>
      </c>
      <c r="C3327" s="1" t="n">
        <v>46075</v>
      </c>
      <c r="D3327" t="inlineStr">
        <is>
          <t>VÄSTERBOTTENS LÄN</t>
        </is>
      </c>
      <c r="E3327" t="inlineStr">
        <is>
          <t>SKELLEFTEÅ</t>
        </is>
      </c>
      <c r="G3327" t="n">
        <v>4.2</v>
      </c>
      <c r="H3327" t="n">
        <v>0</v>
      </c>
      <c r="I3327" t="n">
        <v>0</v>
      </c>
      <c r="J3327" t="n">
        <v>0</v>
      </c>
      <c r="K3327" t="n">
        <v>0</v>
      </c>
      <c r="L3327" t="n">
        <v>0</v>
      </c>
      <c r="M3327" t="n">
        <v>0</v>
      </c>
      <c r="N3327" t="n">
        <v>0</v>
      </c>
      <c r="O3327" t="n">
        <v>0</v>
      </c>
      <c r="P3327" t="n">
        <v>0</v>
      </c>
      <c r="Q3327" t="n">
        <v>0</v>
      </c>
      <c r="R3327" s="2" t="inlineStr"/>
    </row>
    <row r="3328" ht="15" customHeight="1">
      <c r="A3328" t="inlineStr">
        <is>
          <t>A 17957-2024</t>
        </is>
      </c>
      <c r="B3328" s="1" t="n">
        <v>45419</v>
      </c>
      <c r="C3328" s="1" t="n">
        <v>46075</v>
      </c>
      <c r="D3328" t="inlineStr">
        <is>
          <t>VÄSTERBOTTENS LÄN</t>
        </is>
      </c>
      <c r="E3328" t="inlineStr">
        <is>
          <t>STORUMAN</t>
        </is>
      </c>
      <c r="F3328" t="inlineStr">
        <is>
          <t>Allmännings- och besparingsskogar</t>
        </is>
      </c>
      <c r="G3328" t="n">
        <v>16.8</v>
      </c>
      <c r="H3328" t="n">
        <v>0</v>
      </c>
      <c r="I3328" t="n">
        <v>0</v>
      </c>
      <c r="J3328" t="n">
        <v>0</v>
      </c>
      <c r="K3328" t="n">
        <v>0</v>
      </c>
      <c r="L3328" t="n">
        <v>0</v>
      </c>
      <c r="M3328" t="n">
        <v>0</v>
      </c>
      <c r="N3328" t="n">
        <v>0</v>
      </c>
      <c r="O3328" t="n">
        <v>0</v>
      </c>
      <c r="P3328" t="n">
        <v>0</v>
      </c>
      <c r="Q3328" t="n">
        <v>0</v>
      </c>
      <c r="R3328" s="2" t="inlineStr"/>
    </row>
    <row r="3329" ht="15" customHeight="1">
      <c r="A3329" t="inlineStr">
        <is>
          <t>A 41792-2023</t>
        </is>
      </c>
      <c r="B3329" s="1" t="n">
        <v>45176</v>
      </c>
      <c r="C3329" s="1" t="n">
        <v>46075</v>
      </c>
      <c r="D3329" t="inlineStr">
        <is>
          <t>VÄSTERBOTTENS LÄN</t>
        </is>
      </c>
      <c r="E3329" t="inlineStr">
        <is>
          <t>MALÅ</t>
        </is>
      </c>
      <c r="F3329" t="inlineStr">
        <is>
          <t>Sveaskog</t>
        </is>
      </c>
      <c r="G3329" t="n">
        <v>10.7</v>
      </c>
      <c r="H3329" t="n">
        <v>0</v>
      </c>
      <c r="I3329" t="n">
        <v>0</v>
      </c>
      <c r="J3329" t="n">
        <v>0</v>
      </c>
      <c r="K3329" t="n">
        <v>0</v>
      </c>
      <c r="L3329" t="n">
        <v>0</v>
      </c>
      <c r="M3329" t="n">
        <v>0</v>
      </c>
      <c r="N3329" t="n">
        <v>0</v>
      </c>
      <c r="O3329" t="n">
        <v>0</v>
      </c>
      <c r="P3329" t="n">
        <v>0</v>
      </c>
      <c r="Q3329" t="n">
        <v>0</v>
      </c>
      <c r="R3329" s="2" t="inlineStr"/>
    </row>
    <row r="3330" ht="15" customHeight="1">
      <c r="A3330" t="inlineStr">
        <is>
          <t>A 41852-2023</t>
        </is>
      </c>
      <c r="B3330" s="1" t="n">
        <v>45174</v>
      </c>
      <c r="C3330" s="1" t="n">
        <v>46075</v>
      </c>
      <c r="D3330" t="inlineStr">
        <is>
          <t>VÄSTERBOTTENS LÄN</t>
        </is>
      </c>
      <c r="E3330" t="inlineStr">
        <is>
          <t>MALÅ</t>
        </is>
      </c>
      <c r="G3330" t="n">
        <v>3.5</v>
      </c>
      <c r="H3330" t="n">
        <v>0</v>
      </c>
      <c r="I3330" t="n">
        <v>0</v>
      </c>
      <c r="J3330" t="n">
        <v>0</v>
      </c>
      <c r="K3330" t="n">
        <v>0</v>
      </c>
      <c r="L3330" t="n">
        <v>0</v>
      </c>
      <c r="M3330" t="n">
        <v>0</v>
      </c>
      <c r="N3330" t="n">
        <v>0</v>
      </c>
      <c r="O3330" t="n">
        <v>0</v>
      </c>
      <c r="P3330" t="n">
        <v>0</v>
      </c>
      <c r="Q3330" t="n">
        <v>0</v>
      </c>
      <c r="R3330" s="2" t="inlineStr"/>
    </row>
    <row r="3331" ht="15" customHeight="1">
      <c r="A3331" t="inlineStr">
        <is>
          <t>A 5937-2025</t>
        </is>
      </c>
      <c r="B3331" s="1" t="n">
        <v>45695.45655092593</v>
      </c>
      <c r="C3331" s="1" t="n">
        <v>46075</v>
      </c>
      <c r="D3331" t="inlineStr">
        <is>
          <t>VÄSTERBOTTENS LÄN</t>
        </is>
      </c>
      <c r="E3331" t="inlineStr">
        <is>
          <t>ROBERTSFORS</t>
        </is>
      </c>
      <c r="G3331" t="n">
        <v>6.8</v>
      </c>
      <c r="H3331" t="n">
        <v>0</v>
      </c>
      <c r="I3331" t="n">
        <v>0</v>
      </c>
      <c r="J3331" t="n">
        <v>0</v>
      </c>
      <c r="K3331" t="n">
        <v>0</v>
      </c>
      <c r="L3331" t="n">
        <v>0</v>
      </c>
      <c r="M3331" t="n">
        <v>0</v>
      </c>
      <c r="N3331" t="n">
        <v>0</v>
      </c>
      <c r="O3331" t="n">
        <v>0</v>
      </c>
      <c r="P3331" t="n">
        <v>0</v>
      </c>
      <c r="Q3331" t="n">
        <v>0</v>
      </c>
      <c r="R3331" s="2" t="inlineStr"/>
    </row>
    <row r="3332" ht="15" customHeight="1">
      <c r="A3332" t="inlineStr">
        <is>
          <t>A 44957-2022</t>
        </is>
      </c>
      <c r="B3332" s="1" t="n">
        <v>44840</v>
      </c>
      <c r="C3332" s="1" t="n">
        <v>46075</v>
      </c>
      <c r="D3332" t="inlineStr">
        <is>
          <t>VÄSTERBOTTENS LÄN</t>
        </is>
      </c>
      <c r="E3332" t="inlineStr">
        <is>
          <t>UMEÅ</t>
        </is>
      </c>
      <c r="G3332" t="n">
        <v>5.6</v>
      </c>
      <c r="H3332" t="n">
        <v>0</v>
      </c>
      <c r="I3332" t="n">
        <v>0</v>
      </c>
      <c r="J3332" t="n">
        <v>0</v>
      </c>
      <c r="K3332" t="n">
        <v>0</v>
      </c>
      <c r="L3332" t="n">
        <v>0</v>
      </c>
      <c r="M3332" t="n">
        <v>0</v>
      </c>
      <c r="N3332" t="n">
        <v>0</v>
      </c>
      <c r="O3332" t="n">
        <v>0</v>
      </c>
      <c r="P3332" t="n">
        <v>0</v>
      </c>
      <c r="Q3332" t="n">
        <v>0</v>
      </c>
      <c r="R3332" s="2" t="inlineStr"/>
    </row>
    <row r="3333" ht="15" customHeight="1">
      <c r="A3333" t="inlineStr">
        <is>
          <t>A 29134-2025</t>
        </is>
      </c>
      <c r="B3333" s="1" t="n">
        <v>45821.60568287037</v>
      </c>
      <c r="C3333" s="1" t="n">
        <v>46075</v>
      </c>
      <c r="D3333" t="inlineStr">
        <is>
          <t>VÄSTERBOTTENS LÄN</t>
        </is>
      </c>
      <c r="E3333" t="inlineStr">
        <is>
          <t>SKELLEFTEÅ</t>
        </is>
      </c>
      <c r="F3333" t="inlineStr">
        <is>
          <t>Holmen skog AB</t>
        </is>
      </c>
      <c r="G3333" t="n">
        <v>10.5</v>
      </c>
      <c r="H3333" t="n">
        <v>0</v>
      </c>
      <c r="I3333" t="n">
        <v>0</v>
      </c>
      <c r="J3333" t="n">
        <v>0</v>
      </c>
      <c r="K3333" t="n">
        <v>0</v>
      </c>
      <c r="L3333" t="n">
        <v>0</v>
      </c>
      <c r="M3333" t="n">
        <v>0</v>
      </c>
      <c r="N3333" t="n">
        <v>0</v>
      </c>
      <c r="O3333" t="n">
        <v>0</v>
      </c>
      <c r="P3333" t="n">
        <v>0</v>
      </c>
      <c r="Q3333" t="n">
        <v>0</v>
      </c>
      <c r="R3333" s="2" t="inlineStr"/>
    </row>
    <row r="3334" ht="15" customHeight="1">
      <c r="A3334" t="inlineStr">
        <is>
          <t>A 28897-2025</t>
        </is>
      </c>
      <c r="B3334" s="1" t="n">
        <v>45820.6360300926</v>
      </c>
      <c r="C3334" s="1" t="n">
        <v>46075</v>
      </c>
      <c r="D3334" t="inlineStr">
        <is>
          <t>VÄSTERBOTTENS LÄN</t>
        </is>
      </c>
      <c r="E3334" t="inlineStr">
        <is>
          <t>VILHELMINA</t>
        </is>
      </c>
      <c r="F3334" t="inlineStr">
        <is>
          <t>SCA</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29096-2025</t>
        </is>
      </c>
      <c r="B3335" s="1" t="n">
        <v>45821.56319444445</v>
      </c>
      <c r="C3335" s="1" t="n">
        <v>46075</v>
      </c>
      <c r="D3335" t="inlineStr">
        <is>
          <t>VÄSTERBOTTENS LÄN</t>
        </is>
      </c>
      <c r="E3335" t="inlineStr">
        <is>
          <t>UMEÅ</t>
        </is>
      </c>
      <c r="G3335" t="n">
        <v>5.6</v>
      </c>
      <c r="H3335" t="n">
        <v>0</v>
      </c>
      <c r="I3335" t="n">
        <v>0</v>
      </c>
      <c r="J3335" t="n">
        <v>0</v>
      </c>
      <c r="K3335" t="n">
        <v>0</v>
      </c>
      <c r="L3335" t="n">
        <v>0</v>
      </c>
      <c r="M3335" t="n">
        <v>0</v>
      </c>
      <c r="N3335" t="n">
        <v>0</v>
      </c>
      <c r="O3335" t="n">
        <v>0</v>
      </c>
      <c r="P3335" t="n">
        <v>0</v>
      </c>
      <c r="Q3335" t="n">
        <v>0</v>
      </c>
      <c r="R3335" s="2" t="inlineStr"/>
    </row>
    <row r="3336" ht="15" customHeight="1">
      <c r="A3336" t="inlineStr">
        <is>
          <t>A 21370-2024</t>
        </is>
      </c>
      <c r="B3336" s="1" t="n">
        <v>45440.95310185185</v>
      </c>
      <c r="C3336" s="1" t="n">
        <v>46075</v>
      </c>
      <c r="D3336" t="inlineStr">
        <is>
          <t>VÄSTERBOTTENS LÄN</t>
        </is>
      </c>
      <c r="E3336" t="inlineStr">
        <is>
          <t>VILHELMINA</t>
        </is>
      </c>
      <c r="F3336" t="inlineStr">
        <is>
          <t>SCA</t>
        </is>
      </c>
      <c r="G3336" t="n">
        <v>5.2</v>
      </c>
      <c r="H3336" t="n">
        <v>0</v>
      </c>
      <c r="I3336" t="n">
        <v>0</v>
      </c>
      <c r="J3336" t="n">
        <v>0</v>
      </c>
      <c r="K3336" t="n">
        <v>0</v>
      </c>
      <c r="L3336" t="n">
        <v>0</v>
      </c>
      <c r="M3336" t="n">
        <v>0</v>
      </c>
      <c r="N3336" t="n">
        <v>0</v>
      </c>
      <c r="O3336" t="n">
        <v>0</v>
      </c>
      <c r="P3336" t="n">
        <v>0</v>
      </c>
      <c r="Q3336" t="n">
        <v>0</v>
      </c>
      <c r="R3336" s="2" t="inlineStr"/>
    </row>
    <row r="3337" ht="15" customHeight="1">
      <c r="A3337" t="inlineStr">
        <is>
          <t>A 29088-2025</t>
        </is>
      </c>
      <c r="B3337" s="1" t="n">
        <v>45821.54648148148</v>
      </c>
      <c r="C3337" s="1" t="n">
        <v>46075</v>
      </c>
      <c r="D3337" t="inlineStr">
        <is>
          <t>VÄSTERBOTTENS LÄN</t>
        </is>
      </c>
      <c r="E3337" t="inlineStr">
        <is>
          <t>LYCKSELE</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28832-2025</t>
        </is>
      </c>
      <c r="B3338" s="1" t="n">
        <v>45820.55613425926</v>
      </c>
      <c r="C3338" s="1" t="n">
        <v>46075</v>
      </c>
      <c r="D3338" t="inlineStr">
        <is>
          <t>VÄSTERBOTTENS LÄN</t>
        </is>
      </c>
      <c r="E3338" t="inlineStr">
        <is>
          <t>UMEÅ</t>
        </is>
      </c>
      <c r="G3338" t="n">
        <v>4.6</v>
      </c>
      <c r="H3338" t="n">
        <v>0</v>
      </c>
      <c r="I3338" t="n">
        <v>0</v>
      </c>
      <c r="J3338" t="n">
        <v>0</v>
      </c>
      <c r="K3338" t="n">
        <v>0</v>
      </c>
      <c r="L3338" t="n">
        <v>0</v>
      </c>
      <c r="M3338" t="n">
        <v>0</v>
      </c>
      <c r="N3338" t="n">
        <v>0</v>
      </c>
      <c r="O3338" t="n">
        <v>0</v>
      </c>
      <c r="P3338" t="n">
        <v>0</v>
      </c>
      <c r="Q3338" t="n">
        <v>0</v>
      </c>
      <c r="R3338" s="2" t="inlineStr"/>
    </row>
    <row r="3339" ht="15" customHeight="1">
      <c r="A3339" t="inlineStr">
        <is>
          <t>A 28833-2025</t>
        </is>
      </c>
      <c r="B3339" s="1" t="n">
        <v>45820.55636574074</v>
      </c>
      <c r="C3339" s="1" t="n">
        <v>46075</v>
      </c>
      <c r="D3339" t="inlineStr">
        <is>
          <t>VÄSTERBOTTENS LÄN</t>
        </is>
      </c>
      <c r="E3339" t="inlineStr">
        <is>
          <t>LYCKSELE</t>
        </is>
      </c>
      <c r="F3339" t="inlineStr">
        <is>
          <t>Sveaskog</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28908-2025</t>
        </is>
      </c>
      <c r="B3340" s="1" t="n">
        <v>45820.65319444444</v>
      </c>
      <c r="C3340" s="1" t="n">
        <v>46075</v>
      </c>
      <c r="D3340" t="inlineStr">
        <is>
          <t>VÄSTERBOTTENS LÄN</t>
        </is>
      </c>
      <c r="E3340" t="inlineStr">
        <is>
          <t>NORSJÖ</t>
        </is>
      </c>
      <c r="F3340" t="inlineStr">
        <is>
          <t>Holmen skog AB</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45972-2023</t>
        </is>
      </c>
      <c r="B3341" s="1" t="n">
        <v>45195</v>
      </c>
      <c r="C3341" s="1" t="n">
        <v>46075</v>
      </c>
      <c r="D3341" t="inlineStr">
        <is>
          <t>VÄSTERBOTTENS LÄN</t>
        </is>
      </c>
      <c r="E3341" t="inlineStr">
        <is>
          <t>VILHELMINA</t>
        </is>
      </c>
      <c r="F3341" t="inlineStr">
        <is>
          <t>SCA</t>
        </is>
      </c>
      <c r="G3341" t="n">
        <v>9.300000000000001</v>
      </c>
      <c r="H3341" t="n">
        <v>0</v>
      </c>
      <c r="I3341" t="n">
        <v>0</v>
      </c>
      <c r="J3341" t="n">
        <v>0</v>
      </c>
      <c r="K3341" t="n">
        <v>0</v>
      </c>
      <c r="L3341" t="n">
        <v>0</v>
      </c>
      <c r="M3341" t="n">
        <v>0</v>
      </c>
      <c r="N3341" t="n">
        <v>0</v>
      </c>
      <c r="O3341" t="n">
        <v>0</v>
      </c>
      <c r="P3341" t="n">
        <v>0</v>
      </c>
      <c r="Q3341" t="n">
        <v>0</v>
      </c>
      <c r="R3341" s="2" t="inlineStr"/>
    </row>
    <row r="3342" ht="15" customHeight="1">
      <c r="A3342" t="inlineStr">
        <is>
          <t>A 46268-2024</t>
        </is>
      </c>
      <c r="B3342" s="1" t="n">
        <v>45581</v>
      </c>
      <c r="C3342" s="1" t="n">
        <v>46075</v>
      </c>
      <c r="D3342" t="inlineStr">
        <is>
          <t>VÄSTERBOTTENS LÄN</t>
        </is>
      </c>
      <c r="E3342" t="inlineStr">
        <is>
          <t>SKELLEFTEÅ</t>
        </is>
      </c>
      <c r="F3342" t="inlineStr">
        <is>
          <t>Holmen skog AB</t>
        </is>
      </c>
      <c r="G3342" t="n">
        <v>0.3</v>
      </c>
      <c r="H3342" t="n">
        <v>0</v>
      </c>
      <c r="I3342" t="n">
        <v>0</v>
      </c>
      <c r="J3342" t="n">
        <v>0</v>
      </c>
      <c r="K3342" t="n">
        <v>0</v>
      </c>
      <c r="L3342" t="n">
        <v>0</v>
      </c>
      <c r="M3342" t="n">
        <v>0</v>
      </c>
      <c r="N3342" t="n">
        <v>0</v>
      </c>
      <c r="O3342" t="n">
        <v>0</v>
      </c>
      <c r="P3342" t="n">
        <v>0</v>
      </c>
      <c r="Q3342" t="n">
        <v>0</v>
      </c>
      <c r="R3342" s="2" t="inlineStr"/>
    </row>
    <row r="3343" ht="15" customHeight="1">
      <c r="A3343" t="inlineStr">
        <is>
          <t>A 46377-2024</t>
        </is>
      </c>
      <c r="B3343" s="1" t="n">
        <v>45582</v>
      </c>
      <c r="C3343" s="1" t="n">
        <v>46075</v>
      </c>
      <c r="D3343" t="inlineStr">
        <is>
          <t>VÄSTERBOTTENS LÄN</t>
        </is>
      </c>
      <c r="E3343" t="inlineStr">
        <is>
          <t>SKELLEFTEÅ</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28787-2025</t>
        </is>
      </c>
      <c r="B3344" s="1" t="n">
        <v>45820.46806712963</v>
      </c>
      <c r="C3344" s="1" t="n">
        <v>46075</v>
      </c>
      <c r="D3344" t="inlineStr">
        <is>
          <t>VÄSTERBOTTENS LÄN</t>
        </is>
      </c>
      <c r="E3344" t="inlineStr">
        <is>
          <t>SKELLEFTEÅ</t>
        </is>
      </c>
      <c r="F3344" t="inlineStr">
        <is>
          <t>Holmen skog AB</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35437-2023</t>
        </is>
      </c>
      <c r="B3345" s="1" t="n">
        <v>45146</v>
      </c>
      <c r="C3345" s="1" t="n">
        <v>46075</v>
      </c>
      <c r="D3345" t="inlineStr">
        <is>
          <t>VÄSTERBOTTENS LÄN</t>
        </is>
      </c>
      <c r="E3345" t="inlineStr">
        <is>
          <t>SKELLEFTEÅ</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28823-2025</t>
        </is>
      </c>
      <c r="B3346" s="1" t="n">
        <v>45820</v>
      </c>
      <c r="C3346" s="1" t="n">
        <v>46075</v>
      </c>
      <c r="D3346" t="inlineStr">
        <is>
          <t>VÄSTERBOTTENS LÄN</t>
        </is>
      </c>
      <c r="E3346" t="inlineStr">
        <is>
          <t>NORSJÖ</t>
        </is>
      </c>
      <c r="G3346" t="n">
        <v>14.1</v>
      </c>
      <c r="H3346" t="n">
        <v>0</v>
      </c>
      <c r="I3346" t="n">
        <v>0</v>
      </c>
      <c r="J3346" t="n">
        <v>0</v>
      </c>
      <c r="K3346" t="n">
        <v>0</v>
      </c>
      <c r="L3346" t="n">
        <v>0</v>
      </c>
      <c r="M3346" t="n">
        <v>0</v>
      </c>
      <c r="N3346" t="n">
        <v>0</v>
      </c>
      <c r="O3346" t="n">
        <v>0</v>
      </c>
      <c r="P3346" t="n">
        <v>0</v>
      </c>
      <c r="Q3346" t="n">
        <v>0</v>
      </c>
      <c r="R3346" s="2" t="inlineStr"/>
    </row>
    <row r="3347" ht="15" customHeight="1">
      <c r="A3347" t="inlineStr">
        <is>
          <t>A 28827-2025</t>
        </is>
      </c>
      <c r="B3347" s="1" t="n">
        <v>45820.55162037037</v>
      </c>
      <c r="C3347" s="1" t="n">
        <v>46075</v>
      </c>
      <c r="D3347" t="inlineStr">
        <is>
          <t>VÄSTERBOTTENS LÄN</t>
        </is>
      </c>
      <c r="E3347" t="inlineStr">
        <is>
          <t>UMEÅ</t>
        </is>
      </c>
      <c r="G3347" t="n">
        <v>3.1</v>
      </c>
      <c r="H3347" t="n">
        <v>0</v>
      </c>
      <c r="I3347" t="n">
        <v>0</v>
      </c>
      <c r="J3347" t="n">
        <v>0</v>
      </c>
      <c r="K3347" t="n">
        <v>0</v>
      </c>
      <c r="L3347" t="n">
        <v>0</v>
      </c>
      <c r="M3347" t="n">
        <v>0</v>
      </c>
      <c r="N3347" t="n">
        <v>0</v>
      </c>
      <c r="O3347" t="n">
        <v>0</v>
      </c>
      <c r="P3347" t="n">
        <v>0</v>
      </c>
      <c r="Q3347" t="n">
        <v>0</v>
      </c>
      <c r="R3347" s="2" t="inlineStr"/>
    </row>
    <row r="3348" ht="15" customHeight="1">
      <c r="A3348" t="inlineStr">
        <is>
          <t>A 28706-2025</t>
        </is>
      </c>
      <c r="B3348" s="1" t="n">
        <v>45820.31462962963</v>
      </c>
      <c r="C3348" s="1" t="n">
        <v>46075</v>
      </c>
      <c r="D3348" t="inlineStr">
        <is>
          <t>VÄSTERBOTTENS LÄN</t>
        </is>
      </c>
      <c r="E3348" t="inlineStr">
        <is>
          <t>VINDELN</t>
        </is>
      </c>
      <c r="F3348" t="inlineStr">
        <is>
          <t>Holmen skog AB</t>
        </is>
      </c>
      <c r="G3348" t="n">
        <v>6.1</v>
      </c>
      <c r="H3348" t="n">
        <v>0</v>
      </c>
      <c r="I3348" t="n">
        <v>0</v>
      </c>
      <c r="J3348" t="n">
        <v>0</v>
      </c>
      <c r="K3348" t="n">
        <v>0</v>
      </c>
      <c r="L3348" t="n">
        <v>0</v>
      </c>
      <c r="M3348" t="n">
        <v>0</v>
      </c>
      <c r="N3348" t="n">
        <v>0</v>
      </c>
      <c r="O3348" t="n">
        <v>0</v>
      </c>
      <c r="P3348" t="n">
        <v>0</v>
      </c>
      <c r="Q3348" t="n">
        <v>0</v>
      </c>
      <c r="R3348" s="2" t="inlineStr"/>
    </row>
    <row r="3349" ht="15" customHeight="1">
      <c r="A3349" t="inlineStr">
        <is>
          <t>A 56823-2023</t>
        </is>
      </c>
      <c r="B3349" s="1" t="n">
        <v>45238</v>
      </c>
      <c r="C3349" s="1" t="n">
        <v>46075</v>
      </c>
      <c r="D3349" t="inlineStr">
        <is>
          <t>VÄSTERBOTTENS LÄN</t>
        </is>
      </c>
      <c r="E3349" t="inlineStr">
        <is>
          <t>VILHELMINA</t>
        </is>
      </c>
      <c r="F3349" t="inlineStr">
        <is>
          <t>Allmännings- och besparingsskogar</t>
        </is>
      </c>
      <c r="G3349" t="n">
        <v>82</v>
      </c>
      <c r="H3349" t="n">
        <v>0</v>
      </c>
      <c r="I3349" t="n">
        <v>0</v>
      </c>
      <c r="J3349" t="n">
        <v>0</v>
      </c>
      <c r="K3349" t="n">
        <v>0</v>
      </c>
      <c r="L3349" t="n">
        <v>0</v>
      </c>
      <c r="M3349" t="n">
        <v>0</v>
      </c>
      <c r="N3349" t="n">
        <v>0</v>
      </c>
      <c r="O3349" t="n">
        <v>0</v>
      </c>
      <c r="P3349" t="n">
        <v>0</v>
      </c>
      <c r="Q3349" t="n">
        <v>0</v>
      </c>
      <c r="R3349" s="2" t="inlineStr"/>
    </row>
    <row r="3350" ht="15" customHeight="1">
      <c r="A3350" t="inlineStr">
        <is>
          <t>A 56830-2023</t>
        </is>
      </c>
      <c r="B3350" s="1" t="n">
        <v>45238</v>
      </c>
      <c r="C3350" s="1" t="n">
        <v>46075</v>
      </c>
      <c r="D3350" t="inlineStr">
        <is>
          <t>VÄSTERBOTTENS LÄN</t>
        </is>
      </c>
      <c r="E3350" t="inlineStr">
        <is>
          <t>VILHELMINA</t>
        </is>
      </c>
      <c r="F3350" t="inlineStr">
        <is>
          <t>Allmännings- och besparingsskogar</t>
        </is>
      </c>
      <c r="G3350" t="n">
        <v>66</v>
      </c>
      <c r="H3350" t="n">
        <v>0</v>
      </c>
      <c r="I3350" t="n">
        <v>0</v>
      </c>
      <c r="J3350" t="n">
        <v>0</v>
      </c>
      <c r="K3350" t="n">
        <v>0</v>
      </c>
      <c r="L3350" t="n">
        <v>0</v>
      </c>
      <c r="M3350" t="n">
        <v>0</v>
      </c>
      <c r="N3350" t="n">
        <v>0</v>
      </c>
      <c r="O3350" t="n">
        <v>0</v>
      </c>
      <c r="P3350" t="n">
        <v>0</v>
      </c>
      <c r="Q3350" t="n">
        <v>0</v>
      </c>
      <c r="R3350" s="2" t="inlineStr"/>
    </row>
    <row r="3351" ht="15" customHeight="1">
      <c r="A3351" t="inlineStr">
        <is>
          <t>A 3584-2025</t>
        </is>
      </c>
      <c r="B3351" s="1" t="n">
        <v>45680.78527777778</v>
      </c>
      <c r="C3351" s="1" t="n">
        <v>46075</v>
      </c>
      <c r="D3351" t="inlineStr">
        <is>
          <t>VÄSTERBOTTENS LÄN</t>
        </is>
      </c>
      <c r="E3351" t="inlineStr">
        <is>
          <t>VÄNNÄS</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38679-2025</t>
        </is>
      </c>
      <c r="B3352" s="1" t="n">
        <v>45884.64471064815</v>
      </c>
      <c r="C3352" s="1" t="n">
        <v>46075</v>
      </c>
      <c r="D3352" t="inlineStr">
        <is>
          <t>VÄSTERBOTTENS LÄN</t>
        </is>
      </c>
      <c r="E3352" t="inlineStr">
        <is>
          <t>VINDELN</t>
        </is>
      </c>
      <c r="F3352" t="inlineStr">
        <is>
          <t>Naturvårdsverket</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28818-2025</t>
        </is>
      </c>
      <c r="B3353" s="1" t="n">
        <v>45820.53545138889</v>
      </c>
      <c r="C3353" s="1" t="n">
        <v>46075</v>
      </c>
      <c r="D3353" t="inlineStr">
        <is>
          <t>VÄSTERBOTTENS LÄN</t>
        </is>
      </c>
      <c r="E3353" t="inlineStr">
        <is>
          <t>NORDMALING</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38566-2025</t>
        </is>
      </c>
      <c r="B3354" s="1" t="n">
        <v>45884.45541666666</v>
      </c>
      <c r="C3354" s="1" t="n">
        <v>46075</v>
      </c>
      <c r="D3354" t="inlineStr">
        <is>
          <t>VÄSTERBOTTENS LÄN</t>
        </is>
      </c>
      <c r="E3354" t="inlineStr">
        <is>
          <t>VÄNNÄS</t>
        </is>
      </c>
      <c r="G3354" t="n">
        <v>5.5</v>
      </c>
      <c r="H3354" t="n">
        <v>0</v>
      </c>
      <c r="I3354" t="n">
        <v>0</v>
      </c>
      <c r="J3354" t="n">
        <v>0</v>
      </c>
      <c r="K3354" t="n">
        <v>0</v>
      </c>
      <c r="L3354" t="n">
        <v>0</v>
      </c>
      <c r="M3354" t="n">
        <v>0</v>
      </c>
      <c r="N3354" t="n">
        <v>0</v>
      </c>
      <c r="O3354" t="n">
        <v>0</v>
      </c>
      <c r="P3354" t="n">
        <v>0</v>
      </c>
      <c r="Q3354" t="n">
        <v>0</v>
      </c>
      <c r="R3354" s="2" t="inlineStr"/>
    </row>
    <row r="3355" ht="15" customHeight="1">
      <c r="A3355" t="inlineStr">
        <is>
          <t>A 38837-2025</t>
        </is>
      </c>
      <c r="B3355" s="1" t="n">
        <v>45887.53356481482</v>
      </c>
      <c r="C3355" s="1" t="n">
        <v>46075</v>
      </c>
      <c r="D3355" t="inlineStr">
        <is>
          <t>VÄSTERBOTTENS LÄN</t>
        </is>
      </c>
      <c r="E3355" t="inlineStr">
        <is>
          <t>VINDELN</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38887-2025</t>
        </is>
      </c>
      <c r="B3356" s="1" t="n">
        <v>45887.58591435185</v>
      </c>
      <c r="C3356" s="1" t="n">
        <v>46075</v>
      </c>
      <c r="D3356" t="inlineStr">
        <is>
          <t>VÄSTERBOTTENS LÄN</t>
        </is>
      </c>
      <c r="E3356" t="inlineStr">
        <is>
          <t>UMEÅ</t>
        </is>
      </c>
      <c r="G3356" t="n">
        <v>9.300000000000001</v>
      </c>
      <c r="H3356" t="n">
        <v>0</v>
      </c>
      <c r="I3356" t="n">
        <v>0</v>
      </c>
      <c r="J3356" t="n">
        <v>0</v>
      </c>
      <c r="K3356" t="n">
        <v>0</v>
      </c>
      <c r="L3356" t="n">
        <v>0</v>
      </c>
      <c r="M3356" t="n">
        <v>0</v>
      </c>
      <c r="N3356" t="n">
        <v>0</v>
      </c>
      <c r="O3356" t="n">
        <v>0</v>
      </c>
      <c r="P3356" t="n">
        <v>0</v>
      </c>
      <c r="Q3356" t="n">
        <v>0</v>
      </c>
      <c r="R3356" s="2" t="inlineStr"/>
    </row>
    <row r="3357" ht="15" customHeight="1">
      <c r="A3357" t="inlineStr">
        <is>
          <t>A 28777-2025</t>
        </is>
      </c>
      <c r="B3357" s="1" t="n">
        <v>45820.44814814815</v>
      </c>
      <c r="C3357" s="1" t="n">
        <v>46075</v>
      </c>
      <c r="D3357" t="inlineStr">
        <is>
          <t>VÄSTERBOTTENS LÄN</t>
        </is>
      </c>
      <c r="E3357" t="inlineStr">
        <is>
          <t>SKELLEFTEÅ</t>
        </is>
      </c>
      <c r="G3357" t="n">
        <v>12.4</v>
      </c>
      <c r="H3357" t="n">
        <v>0</v>
      </c>
      <c r="I3357" t="n">
        <v>0</v>
      </c>
      <c r="J3357" t="n">
        <v>0</v>
      </c>
      <c r="K3357" t="n">
        <v>0</v>
      </c>
      <c r="L3357" t="n">
        <v>0</v>
      </c>
      <c r="M3357" t="n">
        <v>0</v>
      </c>
      <c r="N3357" t="n">
        <v>0</v>
      </c>
      <c r="O3357" t="n">
        <v>0</v>
      </c>
      <c r="P3357" t="n">
        <v>0</v>
      </c>
      <c r="Q3357" t="n">
        <v>0</v>
      </c>
      <c r="R3357" s="2" t="inlineStr"/>
    </row>
    <row r="3358" ht="15" customHeight="1">
      <c r="A3358" t="inlineStr">
        <is>
          <t>A 16993-2023</t>
        </is>
      </c>
      <c r="B3358" s="1" t="n">
        <v>45033.92583333333</v>
      </c>
      <c r="C3358" s="1" t="n">
        <v>46075</v>
      </c>
      <c r="D3358" t="inlineStr">
        <is>
          <t>VÄSTERBOTTENS LÄN</t>
        </is>
      </c>
      <c r="E3358" t="inlineStr">
        <is>
          <t>ROBERTSFORS</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57603-2021</t>
        </is>
      </c>
      <c r="B3359" s="1" t="n">
        <v>44483</v>
      </c>
      <c r="C3359" s="1" t="n">
        <v>46075</v>
      </c>
      <c r="D3359" t="inlineStr">
        <is>
          <t>VÄSTERBOTTENS LÄN</t>
        </is>
      </c>
      <c r="E3359" t="inlineStr">
        <is>
          <t>UMEÅ</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12510-2021</t>
        </is>
      </c>
      <c r="B3360" s="1" t="n">
        <v>44268</v>
      </c>
      <c r="C3360" s="1" t="n">
        <v>46075</v>
      </c>
      <c r="D3360" t="inlineStr">
        <is>
          <t>VÄSTERBOTTENS LÄN</t>
        </is>
      </c>
      <c r="E3360" t="inlineStr">
        <is>
          <t>STORUMAN</t>
        </is>
      </c>
      <c r="G3360" t="n">
        <v>11.4</v>
      </c>
      <c r="H3360" t="n">
        <v>0</v>
      </c>
      <c r="I3360" t="n">
        <v>0</v>
      </c>
      <c r="J3360" t="n">
        <v>0</v>
      </c>
      <c r="K3360" t="n">
        <v>0</v>
      </c>
      <c r="L3360" t="n">
        <v>0</v>
      </c>
      <c r="M3360" t="n">
        <v>0</v>
      </c>
      <c r="N3360" t="n">
        <v>0</v>
      </c>
      <c r="O3360" t="n">
        <v>0</v>
      </c>
      <c r="P3360" t="n">
        <v>0</v>
      </c>
      <c r="Q3360" t="n">
        <v>0</v>
      </c>
      <c r="R3360" s="2" t="inlineStr"/>
    </row>
    <row r="3361" ht="15" customHeight="1">
      <c r="A3361" t="inlineStr">
        <is>
          <t>A 58350-2023</t>
        </is>
      </c>
      <c r="B3361" s="1" t="n">
        <v>45250.62596064815</v>
      </c>
      <c r="C3361" s="1" t="n">
        <v>46075</v>
      </c>
      <c r="D3361" t="inlineStr">
        <is>
          <t>VÄSTERBOTTENS LÄN</t>
        </is>
      </c>
      <c r="E3361" t="inlineStr">
        <is>
          <t>VINDELN</t>
        </is>
      </c>
      <c r="G3361" t="n">
        <v>5.5</v>
      </c>
      <c r="H3361" t="n">
        <v>0</v>
      </c>
      <c r="I3361" t="n">
        <v>0</v>
      </c>
      <c r="J3361" t="n">
        <v>0</v>
      </c>
      <c r="K3361" t="n">
        <v>0</v>
      </c>
      <c r="L3361" t="n">
        <v>0</v>
      </c>
      <c r="M3361" t="n">
        <v>0</v>
      </c>
      <c r="N3361" t="n">
        <v>0</v>
      </c>
      <c r="O3361" t="n">
        <v>0</v>
      </c>
      <c r="P3361" t="n">
        <v>0</v>
      </c>
      <c r="Q3361" t="n">
        <v>0</v>
      </c>
      <c r="R3361" s="2" t="inlineStr"/>
    </row>
    <row r="3362" ht="15" customHeight="1">
      <c r="A3362" t="inlineStr">
        <is>
          <t>A 28749-2025</t>
        </is>
      </c>
      <c r="B3362" s="1" t="n">
        <v>45820.39708333334</v>
      </c>
      <c r="C3362" s="1" t="n">
        <v>46075</v>
      </c>
      <c r="D3362" t="inlineStr">
        <is>
          <t>VÄSTERBOTTENS LÄN</t>
        </is>
      </c>
      <c r="E3362" t="inlineStr">
        <is>
          <t>VINDELN</t>
        </is>
      </c>
      <c r="F3362" t="inlineStr">
        <is>
          <t>Naturvårdsverket</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38481-2025</t>
        </is>
      </c>
      <c r="B3363" s="1" t="n">
        <v>45884.33145833333</v>
      </c>
      <c r="C3363" s="1" t="n">
        <v>46075</v>
      </c>
      <c r="D3363" t="inlineStr">
        <is>
          <t>VÄSTERBOTTENS LÄN</t>
        </is>
      </c>
      <c r="E3363" t="inlineStr">
        <is>
          <t>SKELLEFTEÅ</t>
        </is>
      </c>
      <c r="F3363" t="inlineStr">
        <is>
          <t>Holmen skog AB</t>
        </is>
      </c>
      <c r="G3363" t="n">
        <v>4.2</v>
      </c>
      <c r="H3363" t="n">
        <v>0</v>
      </c>
      <c r="I3363" t="n">
        <v>0</v>
      </c>
      <c r="J3363" t="n">
        <v>0</v>
      </c>
      <c r="K3363" t="n">
        <v>0</v>
      </c>
      <c r="L3363" t="n">
        <v>0</v>
      </c>
      <c r="M3363" t="n">
        <v>0</v>
      </c>
      <c r="N3363" t="n">
        <v>0</v>
      </c>
      <c r="O3363" t="n">
        <v>0</v>
      </c>
      <c r="P3363" t="n">
        <v>0</v>
      </c>
      <c r="Q3363" t="n">
        <v>0</v>
      </c>
      <c r="R3363" s="2" t="inlineStr"/>
    </row>
    <row r="3364" ht="15" customHeight="1">
      <c r="A3364" t="inlineStr">
        <is>
          <t>A 28989-2025</t>
        </is>
      </c>
      <c r="B3364" s="1" t="n">
        <v>45821.37027777778</v>
      </c>
      <c r="C3364" s="1" t="n">
        <v>46075</v>
      </c>
      <c r="D3364" t="inlineStr">
        <is>
          <t>VÄSTERBOTTENS LÄN</t>
        </is>
      </c>
      <c r="E3364" t="inlineStr">
        <is>
          <t>SKELLEFTEÅ</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28999-2025</t>
        </is>
      </c>
      <c r="B3365" s="1" t="n">
        <v>45821.38677083333</v>
      </c>
      <c r="C3365" s="1" t="n">
        <v>46075</v>
      </c>
      <c r="D3365" t="inlineStr">
        <is>
          <t>VÄSTERBOTTENS LÄN</t>
        </is>
      </c>
      <c r="E3365" t="inlineStr">
        <is>
          <t>NORSJÖ</t>
        </is>
      </c>
      <c r="F3365" t="inlineStr">
        <is>
          <t>Holmen skog AB</t>
        </is>
      </c>
      <c r="G3365" t="n">
        <v>9.800000000000001</v>
      </c>
      <c r="H3365" t="n">
        <v>0</v>
      </c>
      <c r="I3365" t="n">
        <v>0</v>
      </c>
      <c r="J3365" t="n">
        <v>0</v>
      </c>
      <c r="K3365" t="n">
        <v>0</v>
      </c>
      <c r="L3365" t="n">
        <v>0</v>
      </c>
      <c r="M3365" t="n">
        <v>0</v>
      </c>
      <c r="N3365" t="n">
        <v>0</v>
      </c>
      <c r="O3365" t="n">
        <v>0</v>
      </c>
      <c r="P3365" t="n">
        <v>0</v>
      </c>
      <c r="Q3365" t="n">
        <v>0</v>
      </c>
      <c r="R3365" s="2" t="inlineStr"/>
    </row>
    <row r="3366" ht="15" customHeight="1">
      <c r="A3366" t="inlineStr">
        <is>
          <t>A 36771-2022</t>
        </is>
      </c>
      <c r="B3366" s="1" t="n">
        <v>44805</v>
      </c>
      <c r="C3366" s="1" t="n">
        <v>46075</v>
      </c>
      <c r="D3366" t="inlineStr">
        <is>
          <t>VÄSTERBOTTENS LÄN</t>
        </is>
      </c>
      <c r="E3366" t="inlineStr">
        <is>
          <t>ROBERTSFORS</t>
        </is>
      </c>
      <c r="G3366" t="n">
        <v>2.9</v>
      </c>
      <c r="H3366" t="n">
        <v>0</v>
      </c>
      <c r="I3366" t="n">
        <v>0</v>
      </c>
      <c r="J3366" t="n">
        <v>0</v>
      </c>
      <c r="K3366" t="n">
        <v>0</v>
      </c>
      <c r="L3366" t="n">
        <v>0</v>
      </c>
      <c r="M3366" t="n">
        <v>0</v>
      </c>
      <c r="N3366" t="n">
        <v>0</v>
      </c>
      <c r="O3366" t="n">
        <v>0</v>
      </c>
      <c r="P3366" t="n">
        <v>0</v>
      </c>
      <c r="Q3366" t="n">
        <v>0</v>
      </c>
      <c r="R3366" s="2" t="inlineStr"/>
    </row>
    <row r="3367" ht="15" customHeight="1">
      <c r="A3367" t="inlineStr">
        <is>
          <t>A 52834-2024</t>
        </is>
      </c>
      <c r="B3367" s="1" t="n">
        <v>45610.59465277778</v>
      </c>
      <c r="C3367" s="1" t="n">
        <v>46075</v>
      </c>
      <c r="D3367" t="inlineStr">
        <is>
          <t>VÄSTERBOTTENS LÄN</t>
        </is>
      </c>
      <c r="E3367" t="inlineStr">
        <is>
          <t>ROBERTSFORS</t>
        </is>
      </c>
      <c r="F3367" t="inlineStr">
        <is>
          <t>SCA</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29095-2025</t>
        </is>
      </c>
      <c r="B3368" s="1" t="n">
        <v>45821.56167824074</v>
      </c>
      <c r="C3368" s="1" t="n">
        <v>46075</v>
      </c>
      <c r="D3368" t="inlineStr">
        <is>
          <t>VÄSTERBOTTENS LÄN</t>
        </is>
      </c>
      <c r="E3368" t="inlineStr">
        <is>
          <t>LYCKSELE</t>
        </is>
      </c>
      <c r="F3368" t="inlineStr">
        <is>
          <t>Holmen skog AB</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28929-2025</t>
        </is>
      </c>
      <c r="B3369" s="1" t="n">
        <v>45820.6775</v>
      </c>
      <c r="C3369" s="1" t="n">
        <v>46075</v>
      </c>
      <c r="D3369" t="inlineStr">
        <is>
          <t>VÄSTERBOTTENS LÄN</t>
        </is>
      </c>
      <c r="E3369" t="inlineStr">
        <is>
          <t>ÅSELE</t>
        </is>
      </c>
      <c r="F3369" t="inlineStr">
        <is>
          <t>SCA</t>
        </is>
      </c>
      <c r="G3369" t="n">
        <v>11.4</v>
      </c>
      <c r="H3369" t="n">
        <v>0</v>
      </c>
      <c r="I3369" t="n">
        <v>0</v>
      </c>
      <c r="J3369" t="n">
        <v>0</v>
      </c>
      <c r="K3369" t="n">
        <v>0</v>
      </c>
      <c r="L3369" t="n">
        <v>0</v>
      </c>
      <c r="M3369" t="n">
        <v>0</v>
      </c>
      <c r="N3369" t="n">
        <v>0</v>
      </c>
      <c r="O3369" t="n">
        <v>0</v>
      </c>
      <c r="P3369" t="n">
        <v>0</v>
      </c>
      <c r="Q3369" t="n">
        <v>0</v>
      </c>
      <c r="R3369" s="2" t="inlineStr"/>
    </row>
    <row r="3370" ht="15" customHeight="1">
      <c r="A3370" t="inlineStr">
        <is>
          <t>A 28984-2025</t>
        </is>
      </c>
      <c r="B3370" s="1" t="n">
        <v>45821.36861111111</v>
      </c>
      <c r="C3370" s="1" t="n">
        <v>46075</v>
      </c>
      <c r="D3370" t="inlineStr">
        <is>
          <t>VÄSTERBOTTENS LÄN</t>
        </is>
      </c>
      <c r="E3370" t="inlineStr">
        <is>
          <t>SKELLEFTEÅ</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44942-2023</t>
        </is>
      </c>
      <c r="B3371" s="1" t="n">
        <v>45187</v>
      </c>
      <c r="C3371" s="1" t="n">
        <v>46075</v>
      </c>
      <c r="D3371" t="inlineStr">
        <is>
          <t>VÄSTERBOTTENS LÄN</t>
        </is>
      </c>
      <c r="E3371" t="inlineStr">
        <is>
          <t>NORDMALING</t>
        </is>
      </c>
      <c r="G3371" t="n">
        <v>0.3</v>
      </c>
      <c r="H3371" t="n">
        <v>0</v>
      </c>
      <c r="I3371" t="n">
        <v>0</v>
      </c>
      <c r="J3371" t="n">
        <v>0</v>
      </c>
      <c r="K3371" t="n">
        <v>0</v>
      </c>
      <c r="L3371" t="n">
        <v>0</v>
      </c>
      <c r="M3371" t="n">
        <v>0</v>
      </c>
      <c r="N3371" t="n">
        <v>0</v>
      </c>
      <c r="O3371" t="n">
        <v>0</v>
      </c>
      <c r="P3371" t="n">
        <v>0</v>
      </c>
      <c r="Q3371" t="n">
        <v>0</v>
      </c>
      <c r="R3371" s="2" t="inlineStr"/>
    </row>
    <row r="3372" ht="15" customHeight="1">
      <c r="A3372" t="inlineStr">
        <is>
          <t>A 29034-2025</t>
        </is>
      </c>
      <c r="B3372" s="1" t="n">
        <v>45821.44274305556</v>
      </c>
      <c r="C3372" s="1" t="n">
        <v>46075</v>
      </c>
      <c r="D3372" t="inlineStr">
        <is>
          <t>VÄSTERBOTTENS LÄN</t>
        </is>
      </c>
      <c r="E3372" t="inlineStr">
        <is>
          <t>LYCKSELE</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29123-2025</t>
        </is>
      </c>
      <c r="B3373" s="1" t="n">
        <v>45821.59451388889</v>
      </c>
      <c r="C3373" s="1" t="n">
        <v>46075</v>
      </c>
      <c r="D3373" t="inlineStr">
        <is>
          <t>VÄSTERBOTTENS LÄN</t>
        </is>
      </c>
      <c r="E3373" t="inlineStr">
        <is>
          <t>LYCKSELE</t>
        </is>
      </c>
      <c r="G3373" t="n">
        <v>5.2</v>
      </c>
      <c r="H3373" t="n">
        <v>0</v>
      </c>
      <c r="I3373" t="n">
        <v>0</v>
      </c>
      <c r="J3373" t="n">
        <v>0</v>
      </c>
      <c r="K3373" t="n">
        <v>0</v>
      </c>
      <c r="L3373" t="n">
        <v>0</v>
      </c>
      <c r="M3373" t="n">
        <v>0</v>
      </c>
      <c r="N3373" t="n">
        <v>0</v>
      </c>
      <c r="O3373" t="n">
        <v>0</v>
      </c>
      <c r="P3373" t="n">
        <v>0</v>
      </c>
      <c r="Q3373" t="n">
        <v>0</v>
      </c>
      <c r="R3373" s="2" t="inlineStr"/>
    </row>
    <row r="3374" ht="15" customHeight="1">
      <c r="A3374" t="inlineStr">
        <is>
          <t>A 53642-2022</t>
        </is>
      </c>
      <c r="B3374" s="1" t="n">
        <v>44879</v>
      </c>
      <c r="C3374" s="1" t="n">
        <v>46075</v>
      </c>
      <c r="D3374" t="inlineStr">
        <is>
          <t>VÄSTERBOTTENS LÄN</t>
        </is>
      </c>
      <c r="E3374" t="inlineStr">
        <is>
          <t>SKELLEFTEÅ</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22516-2023</t>
        </is>
      </c>
      <c r="B3375" s="1" t="n">
        <v>45069</v>
      </c>
      <c r="C3375" s="1" t="n">
        <v>46075</v>
      </c>
      <c r="D3375" t="inlineStr">
        <is>
          <t>VÄSTERBOTTENS LÄN</t>
        </is>
      </c>
      <c r="E3375" t="inlineStr">
        <is>
          <t>SKELLEFTEÅ</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44882-2024</t>
        </is>
      </c>
      <c r="B3376" s="1" t="n">
        <v>45575</v>
      </c>
      <c r="C3376" s="1" t="n">
        <v>46075</v>
      </c>
      <c r="D3376" t="inlineStr">
        <is>
          <t>VÄSTERBOTTENS LÄN</t>
        </is>
      </c>
      <c r="E3376" t="inlineStr">
        <is>
          <t>MALÅ</t>
        </is>
      </c>
      <c r="F3376" t="inlineStr">
        <is>
          <t>Kommuner</t>
        </is>
      </c>
      <c r="G3376" t="n">
        <v>8</v>
      </c>
      <c r="H3376" t="n">
        <v>0</v>
      </c>
      <c r="I3376" t="n">
        <v>0</v>
      </c>
      <c r="J3376" t="n">
        <v>0</v>
      </c>
      <c r="K3376" t="n">
        <v>0</v>
      </c>
      <c r="L3376" t="n">
        <v>0</v>
      </c>
      <c r="M3376" t="n">
        <v>0</v>
      </c>
      <c r="N3376" t="n">
        <v>0</v>
      </c>
      <c r="O3376" t="n">
        <v>0</v>
      </c>
      <c r="P3376" t="n">
        <v>0</v>
      </c>
      <c r="Q3376" t="n">
        <v>0</v>
      </c>
      <c r="R3376" s="2" t="inlineStr"/>
    </row>
    <row r="3377" ht="15" customHeight="1">
      <c r="A3377" t="inlineStr">
        <is>
          <t>A 28581-2025</t>
        </is>
      </c>
      <c r="B3377" s="1" t="n">
        <v>45819</v>
      </c>
      <c r="C3377" s="1" t="n">
        <v>46075</v>
      </c>
      <c r="D3377" t="inlineStr">
        <is>
          <t>VÄSTERBOTTENS LÄN</t>
        </is>
      </c>
      <c r="E3377" t="inlineStr">
        <is>
          <t>ÅSELE</t>
        </is>
      </c>
      <c r="G3377" t="n">
        <v>3.9</v>
      </c>
      <c r="H3377" t="n">
        <v>0</v>
      </c>
      <c r="I3377" t="n">
        <v>0</v>
      </c>
      <c r="J3377" t="n">
        <v>0</v>
      </c>
      <c r="K3377" t="n">
        <v>0</v>
      </c>
      <c r="L3377" t="n">
        <v>0</v>
      </c>
      <c r="M3377" t="n">
        <v>0</v>
      </c>
      <c r="N3377" t="n">
        <v>0</v>
      </c>
      <c r="O3377" t="n">
        <v>0</v>
      </c>
      <c r="P3377" t="n">
        <v>0</v>
      </c>
      <c r="Q3377" t="n">
        <v>0</v>
      </c>
      <c r="R3377" s="2" t="inlineStr"/>
    </row>
    <row r="3378" ht="15" customHeight="1">
      <c r="A3378" t="inlineStr">
        <is>
          <t>A 29120-2025</t>
        </is>
      </c>
      <c r="B3378" s="1" t="n">
        <v>45821</v>
      </c>
      <c r="C3378" s="1" t="n">
        <v>46075</v>
      </c>
      <c r="D3378" t="inlineStr">
        <is>
          <t>VÄSTERBOTTENS LÄN</t>
        </is>
      </c>
      <c r="E3378" t="inlineStr">
        <is>
          <t>VILHELMINA</t>
        </is>
      </c>
      <c r="F3378" t="inlineStr">
        <is>
          <t>SCA</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29045-2025</t>
        </is>
      </c>
      <c r="B3379" s="1" t="n">
        <v>45821.45783564815</v>
      </c>
      <c r="C3379" s="1" t="n">
        <v>46075</v>
      </c>
      <c r="D3379" t="inlineStr">
        <is>
          <t>VÄSTERBOTTENS LÄN</t>
        </is>
      </c>
      <c r="E3379" t="inlineStr">
        <is>
          <t>LYCKSELE</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44894-2024</t>
        </is>
      </c>
      <c r="B3380" s="1" t="n">
        <v>45575.36512731481</v>
      </c>
      <c r="C3380" s="1" t="n">
        <v>46075</v>
      </c>
      <c r="D3380" t="inlineStr">
        <is>
          <t>VÄSTERBOTTENS LÄN</t>
        </is>
      </c>
      <c r="E3380" t="inlineStr">
        <is>
          <t>ÅSELE</t>
        </is>
      </c>
      <c r="F3380" t="inlineStr">
        <is>
          <t>SCA</t>
        </is>
      </c>
      <c r="G3380" t="n">
        <v>4.3</v>
      </c>
      <c r="H3380" t="n">
        <v>0</v>
      </c>
      <c r="I3380" t="n">
        <v>0</v>
      </c>
      <c r="J3380" t="n">
        <v>0</v>
      </c>
      <c r="K3380" t="n">
        <v>0</v>
      </c>
      <c r="L3380" t="n">
        <v>0</v>
      </c>
      <c r="M3380" t="n">
        <v>0</v>
      </c>
      <c r="N3380" t="n">
        <v>0</v>
      </c>
      <c r="O3380" t="n">
        <v>0</v>
      </c>
      <c r="P3380" t="n">
        <v>0</v>
      </c>
      <c r="Q3380" t="n">
        <v>0</v>
      </c>
      <c r="R3380" s="2" t="inlineStr"/>
    </row>
    <row r="3381" ht="15" customHeight="1">
      <c r="A3381" t="inlineStr">
        <is>
          <t>A 28804-2025</t>
        </is>
      </c>
      <c r="B3381" s="1" t="n">
        <v>45820.50423611111</v>
      </c>
      <c r="C3381" s="1" t="n">
        <v>46075</v>
      </c>
      <c r="D3381" t="inlineStr">
        <is>
          <t>VÄSTERBOTTENS LÄN</t>
        </is>
      </c>
      <c r="E3381" t="inlineStr">
        <is>
          <t>SKELLEFTEÅ</t>
        </is>
      </c>
      <c r="F3381" t="inlineStr">
        <is>
          <t>Holmen skog AB</t>
        </is>
      </c>
      <c r="G3381" t="n">
        <v>10.5</v>
      </c>
      <c r="H3381" t="n">
        <v>0</v>
      </c>
      <c r="I3381" t="n">
        <v>0</v>
      </c>
      <c r="J3381" t="n">
        <v>0</v>
      </c>
      <c r="K3381" t="n">
        <v>0</v>
      </c>
      <c r="L3381" t="n">
        <v>0</v>
      </c>
      <c r="M3381" t="n">
        <v>0</v>
      </c>
      <c r="N3381" t="n">
        <v>0</v>
      </c>
      <c r="O3381" t="n">
        <v>0</v>
      </c>
      <c r="P3381" t="n">
        <v>0</v>
      </c>
      <c r="Q3381" t="n">
        <v>0</v>
      </c>
      <c r="R3381" s="2" t="inlineStr"/>
    </row>
    <row r="3382" ht="15" customHeight="1">
      <c r="A3382" t="inlineStr">
        <is>
          <t>A 28726-2025</t>
        </is>
      </c>
      <c r="B3382" s="1" t="n">
        <v>45820</v>
      </c>
      <c r="C3382" s="1" t="n">
        <v>46075</v>
      </c>
      <c r="D3382" t="inlineStr">
        <is>
          <t>VÄSTERBOTTENS LÄN</t>
        </is>
      </c>
      <c r="E3382" t="inlineStr">
        <is>
          <t>LYCKSELE</t>
        </is>
      </c>
      <c r="F3382" t="inlineStr">
        <is>
          <t>SCA</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38906-2025</t>
        </is>
      </c>
      <c r="B3383" s="1" t="n">
        <v>45887.60821759259</v>
      </c>
      <c r="C3383" s="1" t="n">
        <v>46075</v>
      </c>
      <c r="D3383" t="inlineStr">
        <is>
          <t>VÄSTERBOTTENS LÄN</t>
        </is>
      </c>
      <c r="E3383" t="inlineStr">
        <is>
          <t>SKELLEFTEÅ</t>
        </is>
      </c>
      <c r="F3383" t="inlineStr">
        <is>
          <t>Holmen skog AB</t>
        </is>
      </c>
      <c r="G3383" t="n">
        <v>5.2</v>
      </c>
      <c r="H3383" t="n">
        <v>0</v>
      </c>
      <c r="I3383" t="n">
        <v>0</v>
      </c>
      <c r="J3383" t="n">
        <v>0</v>
      </c>
      <c r="K3383" t="n">
        <v>0</v>
      </c>
      <c r="L3383" t="n">
        <v>0</v>
      </c>
      <c r="M3383" t="n">
        <v>0</v>
      </c>
      <c r="N3383" t="n">
        <v>0</v>
      </c>
      <c r="O3383" t="n">
        <v>0</v>
      </c>
      <c r="P3383" t="n">
        <v>0</v>
      </c>
      <c r="Q3383" t="n">
        <v>0</v>
      </c>
      <c r="R3383" s="2" t="inlineStr"/>
    </row>
    <row r="3384" ht="15" customHeight="1">
      <c r="A3384" t="inlineStr">
        <is>
          <t>A 28694-2025</t>
        </is>
      </c>
      <c r="B3384" s="1" t="n">
        <v>45819.88594907407</v>
      </c>
      <c r="C3384" s="1" t="n">
        <v>46075</v>
      </c>
      <c r="D3384" t="inlineStr">
        <is>
          <t>VÄSTERBOTTENS LÄN</t>
        </is>
      </c>
      <c r="E3384" t="inlineStr">
        <is>
          <t>VÄNNÄS</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49221-2024</t>
        </is>
      </c>
      <c r="B3385" s="1" t="n">
        <v>45595.41166666667</v>
      </c>
      <c r="C3385" s="1" t="n">
        <v>46075</v>
      </c>
      <c r="D3385" t="inlineStr">
        <is>
          <t>VÄSTERBOTTENS LÄN</t>
        </is>
      </c>
      <c r="E3385" t="inlineStr">
        <is>
          <t>VILHELMINA</t>
        </is>
      </c>
      <c r="G3385" t="n">
        <v>11.4</v>
      </c>
      <c r="H3385" t="n">
        <v>0</v>
      </c>
      <c r="I3385" t="n">
        <v>0</v>
      </c>
      <c r="J3385" t="n">
        <v>0</v>
      </c>
      <c r="K3385" t="n">
        <v>0</v>
      </c>
      <c r="L3385" t="n">
        <v>0</v>
      </c>
      <c r="M3385" t="n">
        <v>0</v>
      </c>
      <c r="N3385" t="n">
        <v>0</v>
      </c>
      <c r="O3385" t="n">
        <v>0</v>
      </c>
      <c r="P3385" t="n">
        <v>0</v>
      </c>
      <c r="Q3385" t="n">
        <v>0</v>
      </c>
      <c r="R3385" s="2" t="inlineStr"/>
    </row>
    <row r="3386" ht="15" customHeight="1">
      <c r="A3386" t="inlineStr">
        <is>
          <t>A 52480-2023</t>
        </is>
      </c>
      <c r="B3386" s="1" t="n">
        <v>45225</v>
      </c>
      <c r="C3386" s="1" t="n">
        <v>46075</v>
      </c>
      <c r="D3386" t="inlineStr">
        <is>
          <t>VÄSTERBOTTENS LÄN</t>
        </is>
      </c>
      <c r="E3386" t="inlineStr">
        <is>
          <t>MALÅ</t>
        </is>
      </c>
      <c r="G3386" t="n">
        <v>3.2</v>
      </c>
      <c r="H3386" t="n">
        <v>0</v>
      </c>
      <c r="I3386" t="n">
        <v>0</v>
      </c>
      <c r="J3386" t="n">
        <v>0</v>
      </c>
      <c r="K3386" t="n">
        <v>0</v>
      </c>
      <c r="L3386" t="n">
        <v>0</v>
      </c>
      <c r="M3386" t="n">
        <v>0</v>
      </c>
      <c r="N3386" t="n">
        <v>0</v>
      </c>
      <c r="O3386" t="n">
        <v>0</v>
      </c>
      <c r="P3386" t="n">
        <v>0</v>
      </c>
      <c r="Q3386" t="n">
        <v>0</v>
      </c>
      <c r="R3386" s="2" t="inlineStr"/>
    </row>
    <row r="3387" ht="15" customHeight="1">
      <c r="A3387" t="inlineStr">
        <is>
          <t>A 28816-2025</t>
        </is>
      </c>
      <c r="B3387" s="1" t="n">
        <v>45820.5315625</v>
      </c>
      <c r="C3387" s="1" t="n">
        <v>46075</v>
      </c>
      <c r="D3387" t="inlineStr">
        <is>
          <t>VÄSTERBOTTENS LÄN</t>
        </is>
      </c>
      <c r="E3387" t="inlineStr">
        <is>
          <t>VINDELN</t>
        </is>
      </c>
      <c r="F3387" t="inlineStr">
        <is>
          <t>SCA</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28822-2025</t>
        </is>
      </c>
      <c r="B3388" s="1" t="n">
        <v>45820</v>
      </c>
      <c r="C3388" s="1" t="n">
        <v>46075</v>
      </c>
      <c r="D3388" t="inlineStr">
        <is>
          <t>VÄSTERBOTTENS LÄN</t>
        </is>
      </c>
      <c r="E3388" t="inlineStr">
        <is>
          <t>NORSJÖ</t>
        </is>
      </c>
      <c r="G3388" t="n">
        <v>4.2</v>
      </c>
      <c r="H3388" t="n">
        <v>0</v>
      </c>
      <c r="I3388" t="n">
        <v>0</v>
      </c>
      <c r="J3388" t="n">
        <v>0</v>
      </c>
      <c r="K3388" t="n">
        <v>0</v>
      </c>
      <c r="L3388" t="n">
        <v>0</v>
      </c>
      <c r="M3388" t="n">
        <v>0</v>
      </c>
      <c r="N3388" t="n">
        <v>0</v>
      </c>
      <c r="O3388" t="n">
        <v>0</v>
      </c>
      <c r="P3388" t="n">
        <v>0</v>
      </c>
      <c r="Q3388" t="n">
        <v>0</v>
      </c>
      <c r="R3388" s="2" t="inlineStr"/>
    </row>
    <row r="3389" ht="15" customHeight="1">
      <c r="A3389" t="inlineStr">
        <is>
          <t>A 28825-2025</t>
        </is>
      </c>
      <c r="B3389" s="1" t="n">
        <v>45820.54582175926</v>
      </c>
      <c r="C3389" s="1" t="n">
        <v>46075</v>
      </c>
      <c r="D3389" t="inlineStr">
        <is>
          <t>VÄSTERBOTTENS LÄN</t>
        </is>
      </c>
      <c r="E3389" t="inlineStr">
        <is>
          <t>LYCKSELE</t>
        </is>
      </c>
      <c r="F3389" t="inlineStr">
        <is>
          <t>Sveaskog</t>
        </is>
      </c>
      <c r="G3389" t="n">
        <v>11.9</v>
      </c>
      <c r="H3389" t="n">
        <v>0</v>
      </c>
      <c r="I3389" t="n">
        <v>0</v>
      </c>
      <c r="J3389" t="n">
        <v>0</v>
      </c>
      <c r="K3389" t="n">
        <v>0</v>
      </c>
      <c r="L3389" t="n">
        <v>0</v>
      </c>
      <c r="M3389" t="n">
        <v>0</v>
      </c>
      <c r="N3389" t="n">
        <v>0</v>
      </c>
      <c r="O3389" t="n">
        <v>0</v>
      </c>
      <c r="P3389" t="n">
        <v>0</v>
      </c>
      <c r="Q3389" t="n">
        <v>0</v>
      </c>
      <c r="R3389" s="2" t="inlineStr"/>
    </row>
    <row r="3390" ht="15" customHeight="1">
      <c r="A3390" t="inlineStr">
        <is>
          <t>A 28826-2025</t>
        </is>
      </c>
      <c r="B3390" s="1" t="n">
        <v>45820.54883101852</v>
      </c>
      <c r="C3390" s="1" t="n">
        <v>46075</v>
      </c>
      <c r="D3390" t="inlineStr">
        <is>
          <t>VÄSTERBOTTENS LÄN</t>
        </is>
      </c>
      <c r="E3390" t="inlineStr">
        <is>
          <t>LYCKSELE</t>
        </is>
      </c>
      <c r="F3390" t="inlineStr">
        <is>
          <t>Sveaskog</t>
        </is>
      </c>
      <c r="G3390" t="n">
        <v>5.7</v>
      </c>
      <c r="H3390" t="n">
        <v>0</v>
      </c>
      <c r="I3390" t="n">
        <v>0</v>
      </c>
      <c r="J3390" t="n">
        <v>0</v>
      </c>
      <c r="K3390" t="n">
        <v>0</v>
      </c>
      <c r="L3390" t="n">
        <v>0</v>
      </c>
      <c r="M3390" t="n">
        <v>0</v>
      </c>
      <c r="N3390" t="n">
        <v>0</v>
      </c>
      <c r="O3390" t="n">
        <v>0</v>
      </c>
      <c r="P3390" t="n">
        <v>0</v>
      </c>
      <c r="Q3390" t="n">
        <v>0</v>
      </c>
      <c r="R3390" s="2" t="inlineStr"/>
    </row>
    <row r="3391" ht="15" customHeight="1">
      <c r="A3391" t="inlineStr">
        <is>
          <t>A 16539-2025</t>
        </is>
      </c>
      <c r="B3391" s="1" t="n">
        <v>45751.66283564815</v>
      </c>
      <c r="C3391" s="1" t="n">
        <v>46075</v>
      </c>
      <c r="D3391" t="inlineStr">
        <is>
          <t>VÄSTERBOTTENS LÄN</t>
        </is>
      </c>
      <c r="E3391" t="inlineStr">
        <is>
          <t>SKELLEFTEÅ</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28836-2025</t>
        </is>
      </c>
      <c r="B3392" s="1" t="n">
        <v>45820.55875</v>
      </c>
      <c r="C3392" s="1" t="n">
        <v>46075</v>
      </c>
      <c r="D3392" t="inlineStr">
        <is>
          <t>VÄSTERBOTTENS LÄN</t>
        </is>
      </c>
      <c r="E3392" t="inlineStr">
        <is>
          <t>UMEÅ</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29277-2025</t>
        </is>
      </c>
      <c r="B3393" s="1" t="n">
        <v>45824.41894675926</v>
      </c>
      <c r="C3393" s="1" t="n">
        <v>46075</v>
      </c>
      <c r="D3393" t="inlineStr">
        <is>
          <t>VÄSTERBOTTENS LÄN</t>
        </is>
      </c>
      <c r="E3393" t="inlineStr">
        <is>
          <t>SKELLEFTEÅ</t>
        </is>
      </c>
      <c r="G3393" t="n">
        <v>9.199999999999999</v>
      </c>
      <c r="H3393" t="n">
        <v>0</v>
      </c>
      <c r="I3393" t="n">
        <v>0</v>
      </c>
      <c r="J3393" t="n">
        <v>0</v>
      </c>
      <c r="K3393" t="n">
        <v>0</v>
      </c>
      <c r="L3393" t="n">
        <v>0</v>
      </c>
      <c r="M3393" t="n">
        <v>0</v>
      </c>
      <c r="N3393" t="n">
        <v>0</v>
      </c>
      <c r="O3393" t="n">
        <v>0</v>
      </c>
      <c r="P3393" t="n">
        <v>0</v>
      </c>
      <c r="Q3393" t="n">
        <v>0</v>
      </c>
      <c r="R3393" s="2" t="inlineStr"/>
    </row>
    <row r="3394" ht="15" customHeight="1">
      <c r="A3394" t="inlineStr">
        <is>
          <t>A 62540-2022</t>
        </is>
      </c>
      <c r="B3394" s="1" t="n">
        <v>44917</v>
      </c>
      <c r="C3394" s="1" t="n">
        <v>46075</v>
      </c>
      <c r="D3394" t="inlineStr">
        <is>
          <t>VÄSTERBOTTENS LÄN</t>
        </is>
      </c>
      <c r="E3394" t="inlineStr">
        <is>
          <t>UMEÅ</t>
        </is>
      </c>
      <c r="G3394" t="n">
        <v>6.8</v>
      </c>
      <c r="H3394" t="n">
        <v>0</v>
      </c>
      <c r="I3394" t="n">
        <v>0</v>
      </c>
      <c r="J3394" t="n">
        <v>0</v>
      </c>
      <c r="K3394" t="n">
        <v>0</v>
      </c>
      <c r="L3394" t="n">
        <v>0</v>
      </c>
      <c r="M3394" t="n">
        <v>0</v>
      </c>
      <c r="N3394" t="n">
        <v>0</v>
      </c>
      <c r="O3394" t="n">
        <v>0</v>
      </c>
      <c r="P3394" t="n">
        <v>0</v>
      </c>
      <c r="Q3394" t="n">
        <v>0</v>
      </c>
      <c r="R3394" s="2" t="inlineStr"/>
    </row>
    <row r="3395" ht="15" customHeight="1">
      <c r="A3395" t="inlineStr">
        <is>
          <t>A 29327-2025</t>
        </is>
      </c>
      <c r="B3395" s="1" t="n">
        <v>45824.48300925926</v>
      </c>
      <c r="C3395" s="1" t="n">
        <v>46075</v>
      </c>
      <c r="D3395" t="inlineStr">
        <is>
          <t>VÄSTERBOTTENS LÄN</t>
        </is>
      </c>
      <c r="E3395" t="inlineStr">
        <is>
          <t>UMEÅ</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20824-2025</t>
        </is>
      </c>
      <c r="B3396" s="1" t="n">
        <v>45776</v>
      </c>
      <c r="C3396" s="1" t="n">
        <v>46075</v>
      </c>
      <c r="D3396" t="inlineStr">
        <is>
          <t>VÄSTERBOTTENS LÄN</t>
        </is>
      </c>
      <c r="E3396" t="inlineStr">
        <is>
          <t>SKELLEFTEÅ</t>
        </is>
      </c>
      <c r="G3396" t="n">
        <v>6.8</v>
      </c>
      <c r="H3396" t="n">
        <v>0</v>
      </c>
      <c r="I3396" t="n">
        <v>0</v>
      </c>
      <c r="J3396" t="n">
        <v>0</v>
      </c>
      <c r="K3396" t="n">
        <v>0</v>
      </c>
      <c r="L3396" t="n">
        <v>0</v>
      </c>
      <c r="M3396" t="n">
        <v>0</v>
      </c>
      <c r="N3396" t="n">
        <v>0</v>
      </c>
      <c r="O3396" t="n">
        <v>0</v>
      </c>
      <c r="P3396" t="n">
        <v>0</v>
      </c>
      <c r="Q3396" t="n">
        <v>0</v>
      </c>
      <c r="R3396" s="2" t="inlineStr"/>
    </row>
    <row r="3397" ht="15" customHeight="1">
      <c r="A3397" t="inlineStr">
        <is>
          <t>A 48358-2022</t>
        </is>
      </c>
      <c r="B3397" s="1" t="n">
        <v>44858</v>
      </c>
      <c r="C3397" s="1" t="n">
        <v>46075</v>
      </c>
      <c r="D3397" t="inlineStr">
        <is>
          <t>VÄSTERBOTTENS LÄN</t>
        </is>
      </c>
      <c r="E3397" t="inlineStr">
        <is>
          <t>STORUMAN</t>
        </is>
      </c>
      <c r="F3397" t="inlineStr">
        <is>
          <t>Sveaskog</t>
        </is>
      </c>
      <c r="G3397" t="n">
        <v>5.1</v>
      </c>
      <c r="H3397" t="n">
        <v>0</v>
      </c>
      <c r="I3397" t="n">
        <v>0</v>
      </c>
      <c r="J3397" t="n">
        <v>0</v>
      </c>
      <c r="K3397" t="n">
        <v>0</v>
      </c>
      <c r="L3397" t="n">
        <v>0</v>
      </c>
      <c r="M3397" t="n">
        <v>0</v>
      </c>
      <c r="N3397" t="n">
        <v>0</v>
      </c>
      <c r="O3397" t="n">
        <v>0</v>
      </c>
      <c r="P3397" t="n">
        <v>0</v>
      </c>
      <c r="Q3397" t="n">
        <v>0</v>
      </c>
      <c r="R3397" s="2" t="inlineStr"/>
    </row>
    <row r="3398" ht="15" customHeight="1">
      <c r="A3398" t="inlineStr">
        <is>
          <t>A 53716-2024</t>
        </is>
      </c>
      <c r="B3398" s="1" t="n">
        <v>45615.43059027778</v>
      </c>
      <c r="C3398" s="1" t="n">
        <v>46075</v>
      </c>
      <c r="D3398" t="inlineStr">
        <is>
          <t>VÄSTERBOTTENS LÄN</t>
        </is>
      </c>
      <c r="E3398" t="inlineStr">
        <is>
          <t>SKELLEFTEÅ</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32131-2025</t>
        </is>
      </c>
      <c r="B3399" s="1" t="n">
        <v>45835.50796296296</v>
      </c>
      <c r="C3399" s="1" t="n">
        <v>46075</v>
      </c>
      <c r="D3399" t="inlineStr">
        <is>
          <t>VÄSTERBOTTENS LÄN</t>
        </is>
      </c>
      <c r="E3399" t="inlineStr">
        <is>
          <t>BJURHOLM</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37855-2023</t>
        </is>
      </c>
      <c r="B3400" s="1" t="n">
        <v>45160.40148148148</v>
      </c>
      <c r="C3400" s="1" t="n">
        <v>46075</v>
      </c>
      <c r="D3400" t="inlineStr">
        <is>
          <t>VÄSTERBOTTENS LÄN</t>
        </is>
      </c>
      <c r="E3400" t="inlineStr">
        <is>
          <t>SKELLEFTEÅ</t>
        </is>
      </c>
      <c r="F3400" t="inlineStr">
        <is>
          <t>Holmen skog AB</t>
        </is>
      </c>
      <c r="G3400" t="n">
        <v>12.3</v>
      </c>
      <c r="H3400" t="n">
        <v>0</v>
      </c>
      <c r="I3400" t="n">
        <v>0</v>
      </c>
      <c r="J3400" t="n">
        <v>0</v>
      </c>
      <c r="K3400" t="n">
        <v>0</v>
      </c>
      <c r="L3400" t="n">
        <v>0</v>
      </c>
      <c r="M3400" t="n">
        <v>0</v>
      </c>
      <c r="N3400" t="n">
        <v>0</v>
      </c>
      <c r="O3400" t="n">
        <v>0</v>
      </c>
      <c r="P3400" t="n">
        <v>0</v>
      </c>
      <c r="Q3400" t="n">
        <v>0</v>
      </c>
      <c r="R3400" s="2" t="inlineStr"/>
    </row>
    <row r="3401" ht="15" customHeight="1">
      <c r="A3401" t="inlineStr">
        <is>
          <t>A 29455-2025</t>
        </is>
      </c>
      <c r="B3401" s="1" t="n">
        <v>45824.68148148148</v>
      </c>
      <c r="C3401" s="1" t="n">
        <v>46075</v>
      </c>
      <c r="D3401" t="inlineStr">
        <is>
          <t>VÄSTERBOTTENS LÄN</t>
        </is>
      </c>
      <c r="E3401" t="inlineStr">
        <is>
          <t>SKELLEFTEÅ</t>
        </is>
      </c>
      <c r="F3401" t="inlineStr">
        <is>
          <t>Holmen skog AB</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29801-2025</t>
        </is>
      </c>
      <c r="B3402" s="1" t="n">
        <v>45825.69819444444</v>
      </c>
      <c r="C3402" s="1" t="n">
        <v>46075</v>
      </c>
      <c r="D3402" t="inlineStr">
        <is>
          <t>VÄSTERBOTTENS LÄN</t>
        </is>
      </c>
      <c r="E3402" t="inlineStr">
        <is>
          <t>STORUMAN</t>
        </is>
      </c>
      <c r="G3402" t="n">
        <v>21.2</v>
      </c>
      <c r="H3402" t="n">
        <v>0</v>
      </c>
      <c r="I3402" t="n">
        <v>0</v>
      </c>
      <c r="J3402" t="n">
        <v>0</v>
      </c>
      <c r="K3402" t="n">
        <v>0</v>
      </c>
      <c r="L3402" t="n">
        <v>0</v>
      </c>
      <c r="M3402" t="n">
        <v>0</v>
      </c>
      <c r="N3402" t="n">
        <v>0</v>
      </c>
      <c r="O3402" t="n">
        <v>0</v>
      </c>
      <c r="P3402" t="n">
        <v>0</v>
      </c>
      <c r="Q3402" t="n">
        <v>0</v>
      </c>
      <c r="R3402" s="2" t="inlineStr"/>
    </row>
    <row r="3403" ht="15" customHeight="1">
      <c r="A3403" t="inlineStr">
        <is>
          <t>A 39437-2025</t>
        </is>
      </c>
      <c r="B3403" s="1" t="n">
        <v>45889.67877314815</v>
      </c>
      <c r="C3403" s="1" t="n">
        <v>46075</v>
      </c>
      <c r="D3403" t="inlineStr">
        <is>
          <t>VÄSTERBOTTENS LÄN</t>
        </is>
      </c>
      <c r="E3403" t="inlineStr">
        <is>
          <t>ÅSELE</t>
        </is>
      </c>
      <c r="F3403" t="inlineStr">
        <is>
          <t>SCA</t>
        </is>
      </c>
      <c r="G3403" t="n">
        <v>4.6</v>
      </c>
      <c r="H3403" t="n">
        <v>0</v>
      </c>
      <c r="I3403" t="n">
        <v>0</v>
      </c>
      <c r="J3403" t="n">
        <v>0</v>
      </c>
      <c r="K3403" t="n">
        <v>0</v>
      </c>
      <c r="L3403" t="n">
        <v>0</v>
      </c>
      <c r="M3403" t="n">
        <v>0</v>
      </c>
      <c r="N3403" t="n">
        <v>0</v>
      </c>
      <c r="O3403" t="n">
        <v>0</v>
      </c>
      <c r="P3403" t="n">
        <v>0</v>
      </c>
      <c r="Q3403" t="n">
        <v>0</v>
      </c>
      <c r="R3403" s="2" t="inlineStr"/>
    </row>
    <row r="3404" ht="15" customHeight="1">
      <c r="A3404" t="inlineStr">
        <is>
          <t>A 29517-2025</t>
        </is>
      </c>
      <c r="B3404" s="1" t="n">
        <v>45825</v>
      </c>
      <c r="C3404" s="1" t="n">
        <v>46075</v>
      </c>
      <c r="D3404" t="inlineStr">
        <is>
          <t>VÄSTERBOTTENS LÄN</t>
        </is>
      </c>
      <c r="E3404" t="inlineStr">
        <is>
          <t>VINDELN</t>
        </is>
      </c>
      <c r="G3404" t="n">
        <v>5.3</v>
      </c>
      <c r="H3404" t="n">
        <v>0</v>
      </c>
      <c r="I3404" t="n">
        <v>0</v>
      </c>
      <c r="J3404" t="n">
        <v>0</v>
      </c>
      <c r="K3404" t="n">
        <v>0</v>
      </c>
      <c r="L3404" t="n">
        <v>0</v>
      </c>
      <c r="M3404" t="n">
        <v>0</v>
      </c>
      <c r="N3404" t="n">
        <v>0</v>
      </c>
      <c r="O3404" t="n">
        <v>0</v>
      </c>
      <c r="P3404" t="n">
        <v>0</v>
      </c>
      <c r="Q3404" t="n">
        <v>0</v>
      </c>
      <c r="R3404" s="2" t="inlineStr"/>
    </row>
    <row r="3405" ht="15" customHeight="1">
      <c r="A3405" t="inlineStr">
        <is>
          <t>A 29547-2022</t>
        </is>
      </c>
      <c r="B3405" s="1" t="n">
        <v>44753.94399305555</v>
      </c>
      <c r="C3405" s="1" t="n">
        <v>46075</v>
      </c>
      <c r="D3405" t="inlineStr">
        <is>
          <t>VÄSTERBOTTENS LÄN</t>
        </is>
      </c>
      <c r="E3405" t="inlineStr">
        <is>
          <t>NORDMALING</t>
        </is>
      </c>
      <c r="F3405" t="inlineStr">
        <is>
          <t>SCA</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39024-2025</t>
        </is>
      </c>
      <c r="B3406" s="1" t="n">
        <v>45888.3791550926</v>
      </c>
      <c r="C3406" s="1" t="n">
        <v>46075</v>
      </c>
      <c r="D3406" t="inlineStr">
        <is>
          <t>VÄSTERBOTTENS LÄN</t>
        </is>
      </c>
      <c r="E3406" t="inlineStr">
        <is>
          <t>SKELLEFTEÅ</t>
        </is>
      </c>
      <c r="G3406" t="n">
        <v>3.8</v>
      </c>
      <c r="H3406" t="n">
        <v>0</v>
      </c>
      <c r="I3406" t="n">
        <v>0</v>
      </c>
      <c r="J3406" t="n">
        <v>0</v>
      </c>
      <c r="K3406" t="n">
        <v>0</v>
      </c>
      <c r="L3406" t="n">
        <v>0</v>
      </c>
      <c r="M3406" t="n">
        <v>0</v>
      </c>
      <c r="N3406" t="n">
        <v>0</v>
      </c>
      <c r="O3406" t="n">
        <v>0</v>
      </c>
      <c r="P3406" t="n">
        <v>0</v>
      </c>
      <c r="Q3406" t="n">
        <v>0</v>
      </c>
      <c r="R3406" s="2" t="inlineStr"/>
    </row>
    <row r="3407" ht="15" customHeight="1">
      <c r="A3407" t="inlineStr">
        <is>
          <t>A 29101-2025</t>
        </is>
      </c>
      <c r="B3407" s="1" t="n">
        <v>45821.56797453704</v>
      </c>
      <c r="C3407" s="1" t="n">
        <v>46075</v>
      </c>
      <c r="D3407" t="inlineStr">
        <is>
          <t>VÄSTERBOTTENS LÄN</t>
        </is>
      </c>
      <c r="E3407" t="inlineStr">
        <is>
          <t>SKELLEFTEÅ</t>
        </is>
      </c>
      <c r="F3407" t="inlineStr">
        <is>
          <t>Holmen skog AB</t>
        </is>
      </c>
      <c r="G3407" t="n">
        <v>4.5</v>
      </c>
      <c r="H3407" t="n">
        <v>0</v>
      </c>
      <c r="I3407" t="n">
        <v>0</v>
      </c>
      <c r="J3407" t="n">
        <v>0</v>
      </c>
      <c r="K3407" t="n">
        <v>0</v>
      </c>
      <c r="L3407" t="n">
        <v>0</v>
      </c>
      <c r="M3407" t="n">
        <v>0</v>
      </c>
      <c r="N3407" t="n">
        <v>0</v>
      </c>
      <c r="O3407" t="n">
        <v>0</v>
      </c>
      <c r="P3407" t="n">
        <v>0</v>
      </c>
      <c r="Q3407" t="n">
        <v>0</v>
      </c>
      <c r="R3407" s="2" t="inlineStr"/>
    </row>
    <row r="3408" ht="15" customHeight="1">
      <c r="A3408" t="inlineStr">
        <is>
          <t>A 39445-2025</t>
        </is>
      </c>
      <c r="B3408" s="1" t="n">
        <v>45889.7028125</v>
      </c>
      <c r="C3408" s="1" t="n">
        <v>46075</v>
      </c>
      <c r="D3408" t="inlineStr">
        <is>
          <t>VÄSTERBOTTENS LÄN</t>
        </is>
      </c>
      <c r="E3408" t="inlineStr">
        <is>
          <t>SKELLEFTEÅ</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29569-2025</t>
        </is>
      </c>
      <c r="B3409" s="1" t="n">
        <v>45825.36783564815</v>
      </c>
      <c r="C3409" s="1" t="n">
        <v>46075</v>
      </c>
      <c r="D3409" t="inlineStr">
        <is>
          <t>VÄSTERBOTTENS LÄN</t>
        </is>
      </c>
      <c r="E3409" t="inlineStr">
        <is>
          <t>NORDMALING</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29583-2025</t>
        </is>
      </c>
      <c r="B3410" s="1" t="n">
        <v>45825.38503472223</v>
      </c>
      <c r="C3410" s="1" t="n">
        <v>46075</v>
      </c>
      <c r="D3410" t="inlineStr">
        <is>
          <t>VÄSTERBOTTENS LÄN</t>
        </is>
      </c>
      <c r="E3410" t="inlineStr">
        <is>
          <t>UMEÅ</t>
        </is>
      </c>
      <c r="F3410" t="inlineStr">
        <is>
          <t>Holmen skog AB</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31965-2025</t>
        </is>
      </c>
      <c r="B3411" s="1" t="n">
        <v>45835.34505787037</v>
      </c>
      <c r="C3411" s="1" t="n">
        <v>46075</v>
      </c>
      <c r="D3411" t="inlineStr">
        <is>
          <t>VÄSTERBOTTENS LÄN</t>
        </is>
      </c>
      <c r="E3411" t="inlineStr">
        <is>
          <t>LYCKSELE</t>
        </is>
      </c>
      <c r="G3411" t="n">
        <v>4.3</v>
      </c>
      <c r="H3411" t="n">
        <v>0</v>
      </c>
      <c r="I3411" t="n">
        <v>0</v>
      </c>
      <c r="J3411" t="n">
        <v>0</v>
      </c>
      <c r="K3411" t="n">
        <v>0</v>
      </c>
      <c r="L3411" t="n">
        <v>0</v>
      </c>
      <c r="M3411" t="n">
        <v>0</v>
      </c>
      <c r="N3411" t="n">
        <v>0</v>
      </c>
      <c r="O3411" t="n">
        <v>0</v>
      </c>
      <c r="P3411" t="n">
        <v>0</v>
      </c>
      <c r="Q3411" t="n">
        <v>0</v>
      </c>
      <c r="R3411" s="2" t="inlineStr"/>
    </row>
    <row r="3412" ht="15" customHeight="1">
      <c r="A3412" t="inlineStr">
        <is>
          <t>A 29506-2025</t>
        </is>
      </c>
      <c r="B3412" s="1" t="n">
        <v>45825</v>
      </c>
      <c r="C3412" s="1" t="n">
        <v>46075</v>
      </c>
      <c r="D3412" t="inlineStr">
        <is>
          <t>VÄSTERBOTTENS LÄN</t>
        </is>
      </c>
      <c r="E3412" t="inlineStr">
        <is>
          <t>VINDELN</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39123-2025</t>
        </is>
      </c>
      <c r="B3413" s="1" t="n">
        <v>45888.57267361111</v>
      </c>
      <c r="C3413" s="1" t="n">
        <v>46075</v>
      </c>
      <c r="D3413" t="inlineStr">
        <is>
          <t>VÄSTERBOTTENS LÄN</t>
        </is>
      </c>
      <c r="E3413" t="inlineStr">
        <is>
          <t>SKELLEFTEÅ</t>
        </is>
      </c>
      <c r="F3413" t="inlineStr">
        <is>
          <t>Holmen skog AB</t>
        </is>
      </c>
      <c r="G3413" t="n">
        <v>4.5</v>
      </c>
      <c r="H3413" t="n">
        <v>0</v>
      </c>
      <c r="I3413" t="n">
        <v>0</v>
      </c>
      <c r="J3413" t="n">
        <v>0</v>
      </c>
      <c r="K3413" t="n">
        <v>0</v>
      </c>
      <c r="L3413" t="n">
        <v>0</v>
      </c>
      <c r="M3413" t="n">
        <v>0</v>
      </c>
      <c r="N3413" t="n">
        <v>0</v>
      </c>
      <c r="O3413" t="n">
        <v>0</v>
      </c>
      <c r="P3413" t="n">
        <v>0</v>
      </c>
      <c r="Q3413" t="n">
        <v>0</v>
      </c>
      <c r="R3413" s="2" t="inlineStr"/>
    </row>
    <row r="3414" ht="15" customHeight="1">
      <c r="A3414" t="inlineStr">
        <is>
          <t>A 39162-2025</t>
        </is>
      </c>
      <c r="B3414" s="1" t="n">
        <v>45888.63608796296</v>
      </c>
      <c r="C3414" s="1" t="n">
        <v>46075</v>
      </c>
      <c r="D3414" t="inlineStr">
        <is>
          <t>VÄSTERBOTTENS LÄN</t>
        </is>
      </c>
      <c r="E3414" t="inlineStr">
        <is>
          <t>LYCKSELE</t>
        </is>
      </c>
      <c r="F3414" t="inlineStr">
        <is>
          <t>SCA</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39163-2025</t>
        </is>
      </c>
      <c r="B3415" s="1" t="n">
        <v>45888.63672453703</v>
      </c>
      <c r="C3415" s="1" t="n">
        <v>46075</v>
      </c>
      <c r="D3415" t="inlineStr">
        <is>
          <t>VÄSTERBOTTENS LÄN</t>
        </is>
      </c>
      <c r="E3415" t="inlineStr">
        <is>
          <t>NORSJÖ</t>
        </is>
      </c>
      <c r="F3415" t="inlineStr">
        <is>
          <t>SCA</t>
        </is>
      </c>
      <c r="G3415" t="n">
        <v>3.2</v>
      </c>
      <c r="H3415" t="n">
        <v>0</v>
      </c>
      <c r="I3415" t="n">
        <v>0</v>
      </c>
      <c r="J3415" t="n">
        <v>0</v>
      </c>
      <c r="K3415" t="n">
        <v>0</v>
      </c>
      <c r="L3415" t="n">
        <v>0</v>
      </c>
      <c r="M3415" t="n">
        <v>0</v>
      </c>
      <c r="N3415" t="n">
        <v>0</v>
      </c>
      <c r="O3415" t="n">
        <v>0</v>
      </c>
      <c r="P3415" t="n">
        <v>0</v>
      </c>
      <c r="Q3415" t="n">
        <v>0</v>
      </c>
      <c r="R3415" s="2" t="inlineStr"/>
    </row>
    <row r="3416" ht="15" customHeight="1">
      <c r="A3416" t="inlineStr">
        <is>
          <t>A 29784-2025</t>
        </is>
      </c>
      <c r="B3416" s="1" t="n">
        <v>45825.65462962963</v>
      </c>
      <c r="C3416" s="1" t="n">
        <v>46075</v>
      </c>
      <c r="D3416" t="inlineStr">
        <is>
          <t>VÄSTERBOTTENS LÄN</t>
        </is>
      </c>
      <c r="E3416" t="inlineStr">
        <is>
          <t>LYCKSELE</t>
        </is>
      </c>
      <c r="F3416" t="inlineStr">
        <is>
          <t>Holmen skog AB</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49886-2024</t>
        </is>
      </c>
      <c r="B3417" s="1" t="n">
        <v>45597</v>
      </c>
      <c r="C3417" s="1" t="n">
        <v>46075</v>
      </c>
      <c r="D3417" t="inlineStr">
        <is>
          <t>VÄSTERBOTTENS LÄN</t>
        </is>
      </c>
      <c r="E3417" t="inlineStr">
        <is>
          <t>VILHELMINA</t>
        </is>
      </c>
      <c r="F3417" t="inlineStr">
        <is>
          <t>SCA</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29413-2025</t>
        </is>
      </c>
      <c r="B3418" s="1" t="n">
        <v>45824.62412037037</v>
      </c>
      <c r="C3418" s="1" t="n">
        <v>46075</v>
      </c>
      <c r="D3418" t="inlineStr">
        <is>
          <t>VÄSTERBOTTENS LÄN</t>
        </is>
      </c>
      <c r="E3418" t="inlineStr">
        <is>
          <t>SKELLEFTEÅ</t>
        </is>
      </c>
      <c r="F3418" t="inlineStr">
        <is>
          <t>Holmen skog AB</t>
        </is>
      </c>
      <c r="G3418" t="n">
        <v>13.2</v>
      </c>
      <c r="H3418" t="n">
        <v>0</v>
      </c>
      <c r="I3418" t="n">
        <v>0</v>
      </c>
      <c r="J3418" t="n">
        <v>0</v>
      </c>
      <c r="K3418" t="n">
        <v>0</v>
      </c>
      <c r="L3418" t="n">
        <v>0</v>
      </c>
      <c r="M3418" t="n">
        <v>0</v>
      </c>
      <c r="N3418" t="n">
        <v>0</v>
      </c>
      <c r="O3418" t="n">
        <v>0</v>
      </c>
      <c r="P3418" t="n">
        <v>0</v>
      </c>
      <c r="Q3418" t="n">
        <v>0</v>
      </c>
      <c r="R3418" s="2" t="inlineStr"/>
    </row>
    <row r="3419" ht="15" customHeight="1">
      <c r="A3419" t="inlineStr">
        <is>
          <t>A 50646-2024</t>
        </is>
      </c>
      <c r="B3419" s="1" t="n">
        <v>45601.69196759259</v>
      </c>
      <c r="C3419" s="1" t="n">
        <v>46075</v>
      </c>
      <c r="D3419" t="inlineStr">
        <is>
          <t>VÄSTERBOTTENS LÄN</t>
        </is>
      </c>
      <c r="E3419" t="inlineStr">
        <is>
          <t>VINDELN</t>
        </is>
      </c>
      <c r="G3419" t="n">
        <v>8.300000000000001</v>
      </c>
      <c r="H3419" t="n">
        <v>0</v>
      </c>
      <c r="I3419" t="n">
        <v>0</v>
      </c>
      <c r="J3419" t="n">
        <v>0</v>
      </c>
      <c r="K3419" t="n">
        <v>0</v>
      </c>
      <c r="L3419" t="n">
        <v>0</v>
      </c>
      <c r="M3419" t="n">
        <v>0</v>
      </c>
      <c r="N3419" t="n">
        <v>0</v>
      </c>
      <c r="O3419" t="n">
        <v>0</v>
      </c>
      <c r="P3419" t="n">
        <v>0</v>
      </c>
      <c r="Q3419" t="n">
        <v>0</v>
      </c>
      <c r="R3419" s="2" t="inlineStr"/>
    </row>
    <row r="3420" ht="15" customHeight="1">
      <c r="A3420" t="inlineStr">
        <is>
          <t>A 27560-2022</t>
        </is>
      </c>
      <c r="B3420" s="1" t="n">
        <v>44742.9269212963</v>
      </c>
      <c r="C3420" s="1" t="n">
        <v>46075</v>
      </c>
      <c r="D3420" t="inlineStr">
        <is>
          <t>VÄSTERBOTTENS LÄN</t>
        </is>
      </c>
      <c r="E3420" t="inlineStr">
        <is>
          <t>SKELLEFTEÅ</t>
        </is>
      </c>
      <c r="G3420" t="n">
        <v>3.8</v>
      </c>
      <c r="H3420" t="n">
        <v>0</v>
      </c>
      <c r="I3420" t="n">
        <v>0</v>
      </c>
      <c r="J3420" t="n">
        <v>0</v>
      </c>
      <c r="K3420" t="n">
        <v>0</v>
      </c>
      <c r="L3420" t="n">
        <v>0</v>
      </c>
      <c r="M3420" t="n">
        <v>0</v>
      </c>
      <c r="N3420" t="n">
        <v>0</v>
      </c>
      <c r="O3420" t="n">
        <v>0</v>
      </c>
      <c r="P3420" t="n">
        <v>0</v>
      </c>
      <c r="Q3420" t="n">
        <v>0</v>
      </c>
      <c r="R3420" s="2" t="inlineStr"/>
    </row>
    <row r="3421" ht="15" customHeight="1">
      <c r="A3421" t="inlineStr">
        <is>
          <t>A 16179-2023</t>
        </is>
      </c>
      <c r="B3421" s="1" t="n">
        <v>45027.92476851852</v>
      </c>
      <c r="C3421" s="1" t="n">
        <v>46075</v>
      </c>
      <c r="D3421" t="inlineStr">
        <is>
          <t>VÄSTERBOTTENS LÄN</t>
        </is>
      </c>
      <c r="E3421" t="inlineStr">
        <is>
          <t>VINDELN</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43515-2022</t>
        </is>
      </c>
      <c r="B3422" s="1" t="n">
        <v>44837.3690162037</v>
      </c>
      <c r="C3422" s="1" t="n">
        <v>46075</v>
      </c>
      <c r="D3422" t="inlineStr">
        <is>
          <t>VÄSTERBOTTENS LÄN</t>
        </is>
      </c>
      <c r="E3422" t="inlineStr">
        <is>
          <t>SKELLEFTEÅ</t>
        </is>
      </c>
      <c r="F3422" t="inlineStr">
        <is>
          <t>Holmen skog AB</t>
        </is>
      </c>
      <c r="G3422" t="n">
        <v>3.6</v>
      </c>
      <c r="H3422" t="n">
        <v>0</v>
      </c>
      <c r="I3422" t="n">
        <v>0</v>
      </c>
      <c r="J3422" t="n">
        <v>0</v>
      </c>
      <c r="K3422" t="n">
        <v>0</v>
      </c>
      <c r="L3422" t="n">
        <v>0</v>
      </c>
      <c r="M3422" t="n">
        <v>0</v>
      </c>
      <c r="N3422" t="n">
        <v>0</v>
      </c>
      <c r="O3422" t="n">
        <v>0</v>
      </c>
      <c r="P3422" t="n">
        <v>0</v>
      </c>
      <c r="Q3422" t="n">
        <v>0</v>
      </c>
      <c r="R3422" s="2" t="inlineStr"/>
    </row>
    <row r="3423" ht="15" customHeight="1">
      <c r="A3423" t="inlineStr">
        <is>
          <t>A 39432-2025</t>
        </is>
      </c>
      <c r="B3423" s="1" t="n">
        <v>45889.67777777778</v>
      </c>
      <c r="C3423" s="1" t="n">
        <v>46075</v>
      </c>
      <c r="D3423" t="inlineStr">
        <is>
          <t>VÄSTERBOTTENS LÄN</t>
        </is>
      </c>
      <c r="E3423" t="inlineStr">
        <is>
          <t>LYCKSELE</t>
        </is>
      </c>
      <c r="F3423" t="inlineStr">
        <is>
          <t>SCA</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39436-2025</t>
        </is>
      </c>
      <c r="B3424" s="1" t="n">
        <v>45889.67865740741</v>
      </c>
      <c r="C3424" s="1" t="n">
        <v>46075</v>
      </c>
      <c r="D3424" t="inlineStr">
        <is>
          <t>VÄSTERBOTTENS LÄN</t>
        </is>
      </c>
      <c r="E3424" t="inlineStr">
        <is>
          <t>LYCKSELE</t>
        </is>
      </c>
      <c r="F3424" t="inlineStr">
        <is>
          <t>SCA</t>
        </is>
      </c>
      <c r="G3424" t="n">
        <v>13.5</v>
      </c>
      <c r="H3424" t="n">
        <v>0</v>
      </c>
      <c r="I3424" t="n">
        <v>0</v>
      </c>
      <c r="J3424" t="n">
        <v>0</v>
      </c>
      <c r="K3424" t="n">
        <v>0</v>
      </c>
      <c r="L3424" t="n">
        <v>0</v>
      </c>
      <c r="M3424" t="n">
        <v>0</v>
      </c>
      <c r="N3424" t="n">
        <v>0</v>
      </c>
      <c r="O3424" t="n">
        <v>0</v>
      </c>
      <c r="P3424" t="n">
        <v>0</v>
      </c>
      <c r="Q3424" t="n">
        <v>0</v>
      </c>
      <c r="R3424" s="2" t="inlineStr"/>
    </row>
    <row r="3425" ht="15" customHeight="1">
      <c r="A3425" t="inlineStr">
        <is>
          <t>A 29502-2025</t>
        </is>
      </c>
      <c r="B3425" s="1" t="n">
        <v>45825.29293981481</v>
      </c>
      <c r="C3425" s="1" t="n">
        <v>46075</v>
      </c>
      <c r="D3425" t="inlineStr">
        <is>
          <t>VÄSTERBOTTENS LÄN</t>
        </is>
      </c>
      <c r="E3425" t="inlineStr">
        <is>
          <t>UMEÅ</t>
        </is>
      </c>
      <c r="F3425" t="inlineStr">
        <is>
          <t>Holmen skog AB</t>
        </is>
      </c>
      <c r="G3425" t="n">
        <v>5.8</v>
      </c>
      <c r="H3425" t="n">
        <v>0</v>
      </c>
      <c r="I3425" t="n">
        <v>0</v>
      </c>
      <c r="J3425" t="n">
        <v>0</v>
      </c>
      <c r="K3425" t="n">
        <v>0</v>
      </c>
      <c r="L3425" t="n">
        <v>0</v>
      </c>
      <c r="M3425" t="n">
        <v>0</v>
      </c>
      <c r="N3425" t="n">
        <v>0</v>
      </c>
      <c r="O3425" t="n">
        <v>0</v>
      </c>
      <c r="P3425" t="n">
        <v>0</v>
      </c>
      <c r="Q3425" t="n">
        <v>0</v>
      </c>
      <c r="R3425" s="2" t="inlineStr"/>
    </row>
    <row r="3426" ht="15" customHeight="1">
      <c r="A3426" t="inlineStr">
        <is>
          <t>A 29531-2025</t>
        </is>
      </c>
      <c r="B3426" s="1" t="n">
        <v>45825.34444444445</v>
      </c>
      <c r="C3426" s="1" t="n">
        <v>46075</v>
      </c>
      <c r="D3426" t="inlineStr">
        <is>
          <t>VÄSTERBOTTENS LÄN</t>
        </is>
      </c>
      <c r="E3426" t="inlineStr">
        <is>
          <t>ÅSELE</t>
        </is>
      </c>
      <c r="F3426" t="inlineStr">
        <is>
          <t>SCA</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39447-2025</t>
        </is>
      </c>
      <c r="B3427" s="1" t="n">
        <v>45889.70673611111</v>
      </c>
      <c r="C3427" s="1" t="n">
        <v>46075</v>
      </c>
      <c r="D3427" t="inlineStr">
        <is>
          <t>VÄSTERBOTTENS LÄN</t>
        </is>
      </c>
      <c r="E3427" t="inlineStr">
        <is>
          <t>SKELLEFTEÅ</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38995-2022</t>
        </is>
      </c>
      <c r="B3428" s="1" t="n">
        <v>44816</v>
      </c>
      <c r="C3428" s="1" t="n">
        <v>46075</v>
      </c>
      <c r="D3428" t="inlineStr">
        <is>
          <t>VÄSTERBOTTENS LÄN</t>
        </is>
      </c>
      <c r="E3428" t="inlineStr">
        <is>
          <t>SKELLEFTEÅ</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2485-2023</t>
        </is>
      </c>
      <c r="B3429" s="1" t="n">
        <v>44943.50074074074</v>
      </c>
      <c r="C3429" s="1" t="n">
        <v>46075</v>
      </c>
      <c r="D3429" t="inlineStr">
        <is>
          <t>VÄSTERBOTTENS LÄN</t>
        </is>
      </c>
      <c r="E3429" t="inlineStr">
        <is>
          <t>ÅSELE</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29573-2025</t>
        </is>
      </c>
      <c r="B3430" s="1" t="n">
        <v>45825.37140046297</v>
      </c>
      <c r="C3430" s="1" t="n">
        <v>46075</v>
      </c>
      <c r="D3430" t="inlineStr">
        <is>
          <t>VÄSTERBOTTENS LÄN</t>
        </is>
      </c>
      <c r="E3430" t="inlineStr">
        <is>
          <t>NORDMALING</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43680-2024</t>
        </is>
      </c>
      <c r="B3431" s="1" t="n">
        <v>45569.57216435186</v>
      </c>
      <c r="C3431" s="1" t="n">
        <v>46075</v>
      </c>
      <c r="D3431" t="inlineStr">
        <is>
          <t>VÄSTERBOTTENS LÄN</t>
        </is>
      </c>
      <c r="E3431" t="inlineStr">
        <is>
          <t>STORUMAN</t>
        </is>
      </c>
      <c r="F3431" t="inlineStr">
        <is>
          <t>Holmen skog AB</t>
        </is>
      </c>
      <c r="G3431" t="n">
        <v>11.8</v>
      </c>
      <c r="H3431" t="n">
        <v>0</v>
      </c>
      <c r="I3431" t="n">
        <v>0</v>
      </c>
      <c r="J3431" t="n">
        <v>0</v>
      </c>
      <c r="K3431" t="n">
        <v>0</v>
      </c>
      <c r="L3431" t="n">
        <v>0</v>
      </c>
      <c r="M3431" t="n">
        <v>0</v>
      </c>
      <c r="N3431" t="n">
        <v>0</v>
      </c>
      <c r="O3431" t="n">
        <v>0</v>
      </c>
      <c r="P3431" t="n">
        <v>0</v>
      </c>
      <c r="Q3431" t="n">
        <v>0</v>
      </c>
      <c r="R3431" s="2" t="inlineStr"/>
    </row>
    <row r="3432" ht="15" customHeight="1">
      <c r="A3432" t="inlineStr">
        <is>
          <t>A 54813-2023</t>
        </is>
      </c>
      <c r="B3432" s="1" t="n">
        <v>45236</v>
      </c>
      <c r="C3432" s="1" t="n">
        <v>46075</v>
      </c>
      <c r="D3432" t="inlineStr">
        <is>
          <t>VÄSTERBOTTENS LÄN</t>
        </is>
      </c>
      <c r="E3432" t="inlineStr">
        <is>
          <t>SKELLEFTEÅ</t>
        </is>
      </c>
      <c r="F3432" t="inlineStr">
        <is>
          <t>Sveaskog</t>
        </is>
      </c>
      <c r="G3432" t="n">
        <v>3.5</v>
      </c>
      <c r="H3432" t="n">
        <v>0</v>
      </c>
      <c r="I3432" t="n">
        <v>0</v>
      </c>
      <c r="J3432" t="n">
        <v>0</v>
      </c>
      <c r="K3432" t="n">
        <v>0</v>
      </c>
      <c r="L3432" t="n">
        <v>0</v>
      </c>
      <c r="M3432" t="n">
        <v>0</v>
      </c>
      <c r="N3432" t="n">
        <v>0</v>
      </c>
      <c r="O3432" t="n">
        <v>0</v>
      </c>
      <c r="P3432" t="n">
        <v>0</v>
      </c>
      <c r="Q3432" t="n">
        <v>0</v>
      </c>
      <c r="R3432" s="2" t="inlineStr"/>
    </row>
    <row r="3433" ht="15" customHeight="1">
      <c r="A3433" t="inlineStr">
        <is>
          <t>A 26540-2022</t>
        </is>
      </c>
      <c r="B3433" s="1" t="n">
        <v>44739</v>
      </c>
      <c r="C3433" s="1" t="n">
        <v>46075</v>
      </c>
      <c r="D3433" t="inlineStr">
        <is>
          <t>VÄSTERBOTTENS LÄN</t>
        </is>
      </c>
      <c r="E3433" t="inlineStr">
        <is>
          <t>ÅSELE</t>
        </is>
      </c>
      <c r="G3433" t="n">
        <v>10.8</v>
      </c>
      <c r="H3433" t="n">
        <v>0</v>
      </c>
      <c r="I3433" t="n">
        <v>0</v>
      </c>
      <c r="J3433" t="n">
        <v>0</v>
      </c>
      <c r="K3433" t="n">
        <v>0</v>
      </c>
      <c r="L3433" t="n">
        <v>0</v>
      </c>
      <c r="M3433" t="n">
        <v>0</v>
      </c>
      <c r="N3433" t="n">
        <v>0</v>
      </c>
      <c r="O3433" t="n">
        <v>0</v>
      </c>
      <c r="P3433" t="n">
        <v>0</v>
      </c>
      <c r="Q3433" t="n">
        <v>0</v>
      </c>
      <c r="R3433" s="2" t="inlineStr"/>
    </row>
    <row r="3434" ht="15" customHeight="1">
      <c r="A3434" t="inlineStr">
        <is>
          <t>A 47254-2022</t>
        </is>
      </c>
      <c r="B3434" s="1" t="n">
        <v>44852.94685185186</v>
      </c>
      <c r="C3434" s="1" t="n">
        <v>46075</v>
      </c>
      <c r="D3434" t="inlineStr">
        <is>
          <t>VÄSTERBOTTENS LÄN</t>
        </is>
      </c>
      <c r="E3434" t="inlineStr">
        <is>
          <t>VILHELMINA</t>
        </is>
      </c>
      <c r="F3434" t="inlineStr">
        <is>
          <t>SCA</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29379-2025</t>
        </is>
      </c>
      <c r="B3435" s="1" t="n">
        <v>45824.58925925926</v>
      </c>
      <c r="C3435" s="1" t="n">
        <v>46075</v>
      </c>
      <c r="D3435" t="inlineStr">
        <is>
          <t>VÄSTERBOTTENS LÄN</t>
        </is>
      </c>
      <c r="E3435" t="inlineStr">
        <is>
          <t>NORSJÖ</t>
        </is>
      </c>
      <c r="F3435" t="inlineStr">
        <is>
          <t>Holmen skog AB</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29262-2025</t>
        </is>
      </c>
      <c r="B3436" s="1" t="n">
        <v>45824.39509259259</v>
      </c>
      <c r="C3436" s="1" t="n">
        <v>46075</v>
      </c>
      <c r="D3436" t="inlineStr">
        <is>
          <t>VÄSTERBOTTENS LÄN</t>
        </is>
      </c>
      <c r="E3436" t="inlineStr">
        <is>
          <t>ROBERTSFORS</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29438-2025</t>
        </is>
      </c>
      <c r="B3437" s="1" t="n">
        <v>45824.65788194445</v>
      </c>
      <c r="C3437" s="1" t="n">
        <v>46075</v>
      </c>
      <c r="D3437" t="inlineStr">
        <is>
          <t>VÄSTERBOTTENS LÄN</t>
        </is>
      </c>
      <c r="E3437" t="inlineStr">
        <is>
          <t>LYCKSELE</t>
        </is>
      </c>
      <c r="G3437" t="n">
        <v>4.5</v>
      </c>
      <c r="H3437" t="n">
        <v>0</v>
      </c>
      <c r="I3437" t="n">
        <v>0</v>
      </c>
      <c r="J3437" t="n">
        <v>0</v>
      </c>
      <c r="K3437" t="n">
        <v>0</v>
      </c>
      <c r="L3437" t="n">
        <v>0</v>
      </c>
      <c r="M3437" t="n">
        <v>0</v>
      </c>
      <c r="N3437" t="n">
        <v>0</v>
      </c>
      <c r="O3437" t="n">
        <v>0</v>
      </c>
      <c r="P3437" t="n">
        <v>0</v>
      </c>
      <c r="Q3437" t="n">
        <v>0</v>
      </c>
      <c r="R3437" s="2" t="inlineStr"/>
    </row>
    <row r="3438" ht="15" customHeight="1">
      <c r="A3438" t="inlineStr">
        <is>
          <t>A 39196-2025</t>
        </is>
      </c>
      <c r="B3438" s="1" t="n">
        <v>45888.69388888889</v>
      </c>
      <c r="C3438" s="1" t="n">
        <v>46075</v>
      </c>
      <c r="D3438" t="inlineStr">
        <is>
          <t>VÄSTERBOTTENS LÄN</t>
        </is>
      </c>
      <c r="E3438" t="inlineStr">
        <is>
          <t>ÅSELE</t>
        </is>
      </c>
      <c r="F3438" t="inlineStr">
        <is>
          <t>Holmen skog AB</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29466-2025</t>
        </is>
      </c>
      <c r="B3439" s="1" t="n">
        <v>45824.69865740741</v>
      </c>
      <c r="C3439" s="1" t="n">
        <v>46075</v>
      </c>
      <c r="D3439" t="inlineStr">
        <is>
          <t>VÄSTERBOTTENS LÄN</t>
        </is>
      </c>
      <c r="E3439" t="inlineStr">
        <is>
          <t>VILHELMINA</t>
        </is>
      </c>
      <c r="F3439" t="inlineStr">
        <is>
          <t>SCA</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29395-2025</t>
        </is>
      </c>
      <c r="B3440" s="1" t="n">
        <v>45824.60665509259</v>
      </c>
      <c r="C3440" s="1" t="n">
        <v>46075</v>
      </c>
      <c r="D3440" t="inlineStr">
        <is>
          <t>VÄSTERBOTTENS LÄN</t>
        </is>
      </c>
      <c r="E3440" t="inlineStr">
        <is>
          <t>NORSJÖ</t>
        </is>
      </c>
      <c r="F3440" t="inlineStr">
        <is>
          <t>Holmen skog AB</t>
        </is>
      </c>
      <c r="G3440" t="n">
        <v>4.8</v>
      </c>
      <c r="H3440" t="n">
        <v>0</v>
      </c>
      <c r="I3440" t="n">
        <v>0</v>
      </c>
      <c r="J3440" t="n">
        <v>0</v>
      </c>
      <c r="K3440" t="n">
        <v>0</v>
      </c>
      <c r="L3440" t="n">
        <v>0</v>
      </c>
      <c r="M3440" t="n">
        <v>0</v>
      </c>
      <c r="N3440" t="n">
        <v>0</v>
      </c>
      <c r="O3440" t="n">
        <v>0</v>
      </c>
      <c r="P3440" t="n">
        <v>0</v>
      </c>
      <c r="Q3440" t="n">
        <v>0</v>
      </c>
      <c r="R3440" s="2" t="inlineStr"/>
    </row>
    <row r="3441" ht="15" customHeight="1">
      <c r="A3441" t="inlineStr">
        <is>
          <t>A 17478-2023</t>
        </is>
      </c>
      <c r="B3441" s="1" t="n">
        <v>45034</v>
      </c>
      <c r="C3441" s="1" t="n">
        <v>46075</v>
      </c>
      <c r="D3441" t="inlineStr">
        <is>
          <t>VÄSTERBOTTENS LÄN</t>
        </is>
      </c>
      <c r="E3441" t="inlineStr">
        <is>
          <t>SKELLEFTEÅ</t>
        </is>
      </c>
      <c r="G3441" t="n">
        <v>6.3</v>
      </c>
      <c r="H3441" t="n">
        <v>0</v>
      </c>
      <c r="I3441" t="n">
        <v>0</v>
      </c>
      <c r="J3441" t="n">
        <v>0</v>
      </c>
      <c r="K3441" t="n">
        <v>0</v>
      </c>
      <c r="L3441" t="n">
        <v>0</v>
      </c>
      <c r="M3441" t="n">
        <v>0</v>
      </c>
      <c r="N3441" t="n">
        <v>0</v>
      </c>
      <c r="O3441" t="n">
        <v>0</v>
      </c>
      <c r="P3441" t="n">
        <v>0</v>
      </c>
      <c r="Q3441" t="n">
        <v>0</v>
      </c>
      <c r="R3441" s="2" t="inlineStr"/>
    </row>
    <row r="3442" ht="15" customHeight="1">
      <c r="A3442" t="inlineStr">
        <is>
          <t>A 29347-2025</t>
        </is>
      </c>
      <c r="B3442" s="1" t="n">
        <v>45824.51351851852</v>
      </c>
      <c r="C3442" s="1" t="n">
        <v>46075</v>
      </c>
      <c r="D3442" t="inlineStr">
        <is>
          <t>VÄSTERBOTTENS LÄN</t>
        </is>
      </c>
      <c r="E3442" t="inlineStr">
        <is>
          <t>NORSJÖ</t>
        </is>
      </c>
      <c r="G3442" t="n">
        <v>3.3</v>
      </c>
      <c r="H3442" t="n">
        <v>0</v>
      </c>
      <c r="I3442" t="n">
        <v>0</v>
      </c>
      <c r="J3442" t="n">
        <v>0</v>
      </c>
      <c r="K3442" t="n">
        <v>0</v>
      </c>
      <c r="L3442" t="n">
        <v>0</v>
      </c>
      <c r="M3442" t="n">
        <v>0</v>
      </c>
      <c r="N3442" t="n">
        <v>0</v>
      </c>
      <c r="O3442" t="n">
        <v>0</v>
      </c>
      <c r="P3442" t="n">
        <v>0</v>
      </c>
      <c r="Q3442" t="n">
        <v>0</v>
      </c>
      <c r="R3442" s="2" t="inlineStr"/>
    </row>
    <row r="3443" ht="15" customHeight="1">
      <c r="A3443" t="inlineStr">
        <is>
          <t>A 16598-2025</t>
        </is>
      </c>
      <c r="B3443" s="1" t="n">
        <v>45753.47692129629</v>
      </c>
      <c r="C3443" s="1" t="n">
        <v>46075</v>
      </c>
      <c r="D3443" t="inlineStr">
        <is>
          <t>VÄSTERBOTTENS LÄN</t>
        </is>
      </c>
      <c r="E3443" t="inlineStr">
        <is>
          <t>VINDELN</t>
        </is>
      </c>
      <c r="G3443" t="n">
        <v>3.7</v>
      </c>
      <c r="H3443" t="n">
        <v>0</v>
      </c>
      <c r="I3443" t="n">
        <v>0</v>
      </c>
      <c r="J3443" t="n">
        <v>0</v>
      </c>
      <c r="K3443" t="n">
        <v>0</v>
      </c>
      <c r="L3443" t="n">
        <v>0</v>
      </c>
      <c r="M3443" t="n">
        <v>0</v>
      </c>
      <c r="N3443" t="n">
        <v>0</v>
      </c>
      <c r="O3443" t="n">
        <v>0</v>
      </c>
      <c r="P3443" t="n">
        <v>0</v>
      </c>
      <c r="Q3443" t="n">
        <v>0</v>
      </c>
      <c r="R3443" s="2" t="inlineStr"/>
    </row>
    <row r="3444" ht="15" customHeight="1">
      <c r="A3444" t="inlineStr">
        <is>
          <t>A 16602-2025</t>
        </is>
      </c>
      <c r="B3444" s="1" t="n">
        <v>45753.53373842593</v>
      </c>
      <c r="C3444" s="1" t="n">
        <v>46075</v>
      </c>
      <c r="D3444" t="inlineStr">
        <is>
          <t>VÄSTERBOTTENS LÄN</t>
        </is>
      </c>
      <c r="E3444" t="inlineStr">
        <is>
          <t>SKELLEFTEÅ</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7220-2025</t>
        </is>
      </c>
      <c r="B3445" s="1" t="n">
        <v>45702.48326388889</v>
      </c>
      <c r="C3445" s="1" t="n">
        <v>46075</v>
      </c>
      <c r="D3445" t="inlineStr">
        <is>
          <t>VÄSTERBOTTENS LÄN</t>
        </is>
      </c>
      <c r="E3445" t="inlineStr">
        <is>
          <t>NORDMALING</t>
        </is>
      </c>
      <c r="G3445" t="n">
        <v>4.2</v>
      </c>
      <c r="H3445" t="n">
        <v>0</v>
      </c>
      <c r="I3445" t="n">
        <v>0</v>
      </c>
      <c r="J3445" t="n">
        <v>0</v>
      </c>
      <c r="K3445" t="n">
        <v>0</v>
      </c>
      <c r="L3445" t="n">
        <v>0</v>
      </c>
      <c r="M3445" t="n">
        <v>0</v>
      </c>
      <c r="N3445" t="n">
        <v>0</v>
      </c>
      <c r="O3445" t="n">
        <v>0</v>
      </c>
      <c r="P3445" t="n">
        <v>0</v>
      </c>
      <c r="Q3445" t="n">
        <v>0</v>
      </c>
      <c r="R3445" s="2" t="inlineStr"/>
    </row>
    <row r="3446" ht="15" customHeight="1">
      <c r="A3446" t="inlineStr">
        <is>
          <t>A 29442-2025</t>
        </is>
      </c>
      <c r="B3446" s="1" t="n">
        <v>45824.66078703704</v>
      </c>
      <c r="C3446" s="1" t="n">
        <v>46075</v>
      </c>
      <c r="D3446" t="inlineStr">
        <is>
          <t>VÄSTERBOTTENS LÄN</t>
        </is>
      </c>
      <c r="E3446" t="inlineStr">
        <is>
          <t>SKELLEFTEÅ</t>
        </is>
      </c>
      <c r="F3446" t="inlineStr">
        <is>
          <t>Holmen skog AB</t>
        </is>
      </c>
      <c r="G3446" t="n">
        <v>4.1</v>
      </c>
      <c r="H3446" t="n">
        <v>0</v>
      </c>
      <c r="I3446" t="n">
        <v>0</v>
      </c>
      <c r="J3446" t="n">
        <v>0</v>
      </c>
      <c r="K3446" t="n">
        <v>0</v>
      </c>
      <c r="L3446" t="n">
        <v>0</v>
      </c>
      <c r="M3446" t="n">
        <v>0</v>
      </c>
      <c r="N3446" t="n">
        <v>0</v>
      </c>
      <c r="O3446" t="n">
        <v>0</v>
      </c>
      <c r="P3446" t="n">
        <v>0</v>
      </c>
      <c r="Q3446" t="n">
        <v>0</v>
      </c>
      <c r="R3446" s="2" t="inlineStr"/>
    </row>
    <row r="3447" ht="15" customHeight="1">
      <c r="A3447" t="inlineStr">
        <is>
          <t>A 8596-2025</t>
        </is>
      </c>
      <c r="B3447" s="1" t="n">
        <v>45709.73266203704</v>
      </c>
      <c r="C3447" s="1" t="n">
        <v>46075</v>
      </c>
      <c r="D3447" t="inlineStr">
        <is>
          <t>VÄSTERBOTTENS LÄN</t>
        </is>
      </c>
      <c r="E3447" t="inlineStr">
        <is>
          <t>LYCKSELE</t>
        </is>
      </c>
      <c r="G3447" t="n">
        <v>10.5</v>
      </c>
      <c r="H3447" t="n">
        <v>0</v>
      </c>
      <c r="I3447" t="n">
        <v>0</v>
      </c>
      <c r="J3447" t="n">
        <v>0</v>
      </c>
      <c r="K3447" t="n">
        <v>0</v>
      </c>
      <c r="L3447" t="n">
        <v>0</v>
      </c>
      <c r="M3447" t="n">
        <v>0</v>
      </c>
      <c r="N3447" t="n">
        <v>0</v>
      </c>
      <c r="O3447" t="n">
        <v>0</v>
      </c>
      <c r="P3447" t="n">
        <v>0</v>
      </c>
      <c r="Q3447" t="n">
        <v>0</v>
      </c>
      <c r="R3447" s="2" t="inlineStr"/>
    </row>
    <row r="3448" ht="15" customHeight="1">
      <c r="A3448" t="inlineStr">
        <is>
          <t>A 29195-2025</t>
        </is>
      </c>
      <c r="B3448" s="1" t="n">
        <v>45822.96603009259</v>
      </c>
      <c r="C3448" s="1" t="n">
        <v>46075</v>
      </c>
      <c r="D3448" t="inlineStr">
        <is>
          <t>VÄSTERBOTTENS LÄN</t>
        </is>
      </c>
      <c r="E3448" t="inlineStr">
        <is>
          <t>LYCKSELE</t>
        </is>
      </c>
      <c r="G3448" t="n">
        <v>5.3</v>
      </c>
      <c r="H3448" t="n">
        <v>0</v>
      </c>
      <c r="I3448" t="n">
        <v>0</v>
      </c>
      <c r="J3448" t="n">
        <v>0</v>
      </c>
      <c r="K3448" t="n">
        <v>0</v>
      </c>
      <c r="L3448" t="n">
        <v>0</v>
      </c>
      <c r="M3448" t="n">
        <v>0</v>
      </c>
      <c r="N3448" t="n">
        <v>0</v>
      </c>
      <c r="O3448" t="n">
        <v>0</v>
      </c>
      <c r="P3448" t="n">
        <v>0</v>
      </c>
      <c r="Q3448" t="n">
        <v>0</v>
      </c>
      <c r="R3448" s="2" t="inlineStr"/>
    </row>
    <row r="3449" ht="15" customHeight="1">
      <c r="A3449" t="inlineStr">
        <is>
          <t>A 39379-2025</t>
        </is>
      </c>
      <c r="B3449" s="1" t="n">
        <v>45889.59917824074</v>
      </c>
      <c r="C3449" s="1" t="n">
        <v>46075</v>
      </c>
      <c r="D3449" t="inlineStr">
        <is>
          <t>VÄSTERBOTTENS LÄN</t>
        </is>
      </c>
      <c r="E3449" t="inlineStr">
        <is>
          <t>SKELLEFTEÅ</t>
        </is>
      </c>
      <c r="F3449" t="inlineStr">
        <is>
          <t>Holmen skog AB</t>
        </is>
      </c>
      <c r="G3449" t="n">
        <v>5.2</v>
      </c>
      <c r="H3449" t="n">
        <v>0</v>
      </c>
      <c r="I3449" t="n">
        <v>0</v>
      </c>
      <c r="J3449" t="n">
        <v>0</v>
      </c>
      <c r="K3449" t="n">
        <v>0</v>
      </c>
      <c r="L3449" t="n">
        <v>0</v>
      </c>
      <c r="M3449" t="n">
        <v>0</v>
      </c>
      <c r="N3449" t="n">
        <v>0</v>
      </c>
      <c r="O3449" t="n">
        <v>0</v>
      </c>
      <c r="P3449" t="n">
        <v>0</v>
      </c>
      <c r="Q3449" t="n">
        <v>0</v>
      </c>
      <c r="R3449" s="2" t="inlineStr"/>
    </row>
    <row r="3450" ht="15" customHeight="1">
      <c r="A3450" t="inlineStr">
        <is>
          <t>A 39435-2025</t>
        </is>
      </c>
      <c r="B3450" s="1" t="n">
        <v>45889.67834490741</v>
      </c>
      <c r="C3450" s="1" t="n">
        <v>46075</v>
      </c>
      <c r="D3450" t="inlineStr">
        <is>
          <t>VÄSTERBOTTENS LÄN</t>
        </is>
      </c>
      <c r="E3450" t="inlineStr">
        <is>
          <t>LYCKSELE</t>
        </is>
      </c>
      <c r="F3450" t="inlineStr">
        <is>
          <t>SCA</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39431-2025</t>
        </is>
      </c>
      <c r="B3451" s="1" t="n">
        <v>45889</v>
      </c>
      <c r="C3451" s="1" t="n">
        <v>46075</v>
      </c>
      <c r="D3451" t="inlineStr">
        <is>
          <t>VÄSTERBOTTENS LÄN</t>
        </is>
      </c>
      <c r="E3451" t="inlineStr">
        <is>
          <t>ÅSELE</t>
        </is>
      </c>
      <c r="F3451" t="inlineStr">
        <is>
          <t>SCA</t>
        </is>
      </c>
      <c r="G3451" t="n">
        <v>14.4</v>
      </c>
      <c r="H3451" t="n">
        <v>0</v>
      </c>
      <c r="I3451" t="n">
        <v>0</v>
      </c>
      <c r="J3451" t="n">
        <v>0</v>
      </c>
      <c r="K3451" t="n">
        <v>0</v>
      </c>
      <c r="L3451" t="n">
        <v>0</v>
      </c>
      <c r="M3451" t="n">
        <v>0</v>
      </c>
      <c r="N3451" t="n">
        <v>0</v>
      </c>
      <c r="O3451" t="n">
        <v>0</v>
      </c>
      <c r="P3451" t="n">
        <v>0</v>
      </c>
      <c r="Q3451" t="n">
        <v>0</v>
      </c>
      <c r="R3451" s="2" t="inlineStr"/>
    </row>
    <row r="3452" ht="15" customHeight="1">
      <c r="A3452" t="inlineStr">
        <is>
          <t>A 17344-2025</t>
        </is>
      </c>
      <c r="B3452" s="1" t="n">
        <v>45756.67138888889</v>
      </c>
      <c r="C3452" s="1" t="n">
        <v>46075</v>
      </c>
      <c r="D3452" t="inlineStr">
        <is>
          <t>VÄSTERBOTTENS LÄN</t>
        </is>
      </c>
      <c r="E3452" t="inlineStr">
        <is>
          <t>UMEÅ</t>
        </is>
      </c>
      <c r="G3452" t="n">
        <v>3.3</v>
      </c>
      <c r="H3452" t="n">
        <v>0</v>
      </c>
      <c r="I3452" t="n">
        <v>0</v>
      </c>
      <c r="J3452" t="n">
        <v>0</v>
      </c>
      <c r="K3452" t="n">
        <v>0</v>
      </c>
      <c r="L3452" t="n">
        <v>0</v>
      </c>
      <c r="M3452" t="n">
        <v>0</v>
      </c>
      <c r="N3452" t="n">
        <v>0</v>
      </c>
      <c r="O3452" t="n">
        <v>0</v>
      </c>
      <c r="P3452" t="n">
        <v>0</v>
      </c>
      <c r="Q3452" t="n">
        <v>0</v>
      </c>
      <c r="R3452" s="2" t="inlineStr"/>
    </row>
    <row r="3453" ht="15" customHeight="1">
      <c r="A3453" t="inlineStr">
        <is>
          <t>A 27038-2025</t>
        </is>
      </c>
      <c r="B3453" s="1" t="n">
        <v>45811.60011574074</v>
      </c>
      <c r="C3453" s="1" t="n">
        <v>46075</v>
      </c>
      <c r="D3453" t="inlineStr">
        <is>
          <t>VÄSTERBOTTENS LÄN</t>
        </is>
      </c>
      <c r="E3453" t="inlineStr">
        <is>
          <t>VINDELN</t>
        </is>
      </c>
      <c r="F3453" t="inlineStr">
        <is>
          <t>Sveaskog</t>
        </is>
      </c>
      <c r="G3453" t="n">
        <v>16.8</v>
      </c>
      <c r="H3453" t="n">
        <v>0</v>
      </c>
      <c r="I3453" t="n">
        <v>0</v>
      </c>
      <c r="J3453" t="n">
        <v>0</v>
      </c>
      <c r="K3453" t="n">
        <v>0</v>
      </c>
      <c r="L3453" t="n">
        <v>0</v>
      </c>
      <c r="M3453" t="n">
        <v>0</v>
      </c>
      <c r="N3453" t="n">
        <v>0</v>
      </c>
      <c r="O3453" t="n">
        <v>0</v>
      </c>
      <c r="P3453" t="n">
        <v>0</v>
      </c>
      <c r="Q3453" t="n">
        <v>0</v>
      </c>
      <c r="R3453" s="2" t="inlineStr"/>
    </row>
    <row r="3454" ht="15" customHeight="1">
      <c r="A3454" t="inlineStr">
        <is>
          <t>A 29932-2023</t>
        </is>
      </c>
      <c r="B3454" s="1" t="n">
        <v>45107</v>
      </c>
      <c r="C3454" s="1" t="n">
        <v>46075</v>
      </c>
      <c r="D3454" t="inlineStr">
        <is>
          <t>VÄSTERBOTTENS LÄN</t>
        </is>
      </c>
      <c r="E3454" t="inlineStr">
        <is>
          <t>SKELLEFTEÅ</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29682-2025</t>
        </is>
      </c>
      <c r="B3455" s="1" t="n">
        <v>45825.51212962963</v>
      </c>
      <c r="C3455" s="1" t="n">
        <v>46075</v>
      </c>
      <c r="D3455" t="inlineStr">
        <is>
          <t>VÄSTERBOTTENS LÄN</t>
        </is>
      </c>
      <c r="E3455" t="inlineStr">
        <is>
          <t>NORSJÖ</t>
        </is>
      </c>
      <c r="G3455" t="n">
        <v>9.300000000000001</v>
      </c>
      <c r="H3455" t="n">
        <v>0</v>
      </c>
      <c r="I3455" t="n">
        <v>0</v>
      </c>
      <c r="J3455" t="n">
        <v>0</v>
      </c>
      <c r="K3455" t="n">
        <v>0</v>
      </c>
      <c r="L3455" t="n">
        <v>0</v>
      </c>
      <c r="M3455" t="n">
        <v>0</v>
      </c>
      <c r="N3455" t="n">
        <v>0</v>
      </c>
      <c r="O3455" t="n">
        <v>0</v>
      </c>
      <c r="P3455" t="n">
        <v>0</v>
      </c>
      <c r="Q3455" t="n">
        <v>0</v>
      </c>
      <c r="R3455" s="2" t="inlineStr"/>
    </row>
    <row r="3456" ht="15" customHeight="1">
      <c r="A3456" t="inlineStr">
        <is>
          <t>A 3885-2025</t>
        </is>
      </c>
      <c r="B3456" s="1" t="n">
        <v>45684.36349537037</v>
      </c>
      <c r="C3456" s="1" t="n">
        <v>46075</v>
      </c>
      <c r="D3456" t="inlineStr">
        <is>
          <t>VÄSTERBOTTENS LÄN</t>
        </is>
      </c>
      <c r="E3456" t="inlineStr">
        <is>
          <t>VINDELN</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4618-2025</t>
        </is>
      </c>
      <c r="B3457" s="1" t="n">
        <v>45687.60042824074</v>
      </c>
      <c r="C3457" s="1" t="n">
        <v>46075</v>
      </c>
      <c r="D3457" t="inlineStr">
        <is>
          <t>VÄSTERBOTTENS LÄN</t>
        </is>
      </c>
      <c r="E3457" t="inlineStr">
        <is>
          <t>ROBERTSFORS</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29194-2025</t>
        </is>
      </c>
      <c r="B3458" s="1" t="n">
        <v>45822</v>
      </c>
      <c r="C3458" s="1" t="n">
        <v>46075</v>
      </c>
      <c r="D3458" t="inlineStr">
        <is>
          <t>VÄSTERBOTTENS LÄN</t>
        </is>
      </c>
      <c r="E3458" t="inlineStr">
        <is>
          <t>SKELLEFTEÅ</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39267-2025</t>
        </is>
      </c>
      <c r="B3459" s="1" t="n">
        <v>45889.37619212963</v>
      </c>
      <c r="C3459" s="1" t="n">
        <v>46075</v>
      </c>
      <c r="D3459" t="inlineStr">
        <is>
          <t>VÄSTERBOTTENS LÄN</t>
        </is>
      </c>
      <c r="E3459" t="inlineStr">
        <is>
          <t>BJURHOLM</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7991-2025</t>
        </is>
      </c>
      <c r="B3460" s="1" t="n">
        <v>45707.48981481481</v>
      </c>
      <c r="C3460" s="1" t="n">
        <v>46075</v>
      </c>
      <c r="D3460" t="inlineStr">
        <is>
          <t>VÄSTERBOTTENS LÄN</t>
        </is>
      </c>
      <c r="E3460" t="inlineStr">
        <is>
          <t>SKELLEFTEÅ</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20498-2021</t>
        </is>
      </c>
      <c r="B3461" s="1" t="n">
        <v>44313</v>
      </c>
      <c r="C3461" s="1" t="n">
        <v>46075</v>
      </c>
      <c r="D3461" t="inlineStr">
        <is>
          <t>VÄSTERBOTTENS LÄN</t>
        </is>
      </c>
      <c r="E3461" t="inlineStr">
        <is>
          <t>UMEÅ</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37320-2021</t>
        </is>
      </c>
      <c r="B3462" s="1" t="n">
        <v>44397</v>
      </c>
      <c r="C3462" s="1" t="n">
        <v>46075</v>
      </c>
      <c r="D3462" t="inlineStr">
        <is>
          <t>VÄSTERBOTTENS LÄN</t>
        </is>
      </c>
      <c r="E3462" t="inlineStr">
        <is>
          <t>VILHELMINA</t>
        </is>
      </c>
      <c r="F3462" t="inlineStr">
        <is>
          <t>Kommuner</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29258-2025</t>
        </is>
      </c>
      <c r="B3463" s="1" t="n">
        <v>45824.38880787037</v>
      </c>
      <c r="C3463" s="1" t="n">
        <v>46075</v>
      </c>
      <c r="D3463" t="inlineStr">
        <is>
          <t>VÄSTERBOTTENS LÄN</t>
        </is>
      </c>
      <c r="E3463" t="inlineStr">
        <is>
          <t>DOROTEA</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3175-2025</t>
        </is>
      </c>
      <c r="B3464" s="1" t="n">
        <v>45679.39025462963</v>
      </c>
      <c r="C3464" s="1" t="n">
        <v>46075</v>
      </c>
      <c r="D3464" t="inlineStr">
        <is>
          <t>VÄSTERBOTTENS LÄN</t>
        </is>
      </c>
      <c r="E3464" t="inlineStr">
        <is>
          <t>SORSELE</t>
        </is>
      </c>
      <c r="G3464" t="n">
        <v>8.800000000000001</v>
      </c>
      <c r="H3464" t="n">
        <v>0</v>
      </c>
      <c r="I3464" t="n">
        <v>0</v>
      </c>
      <c r="J3464" t="n">
        <v>0</v>
      </c>
      <c r="K3464" t="n">
        <v>0</v>
      </c>
      <c r="L3464" t="n">
        <v>0</v>
      </c>
      <c r="M3464" t="n">
        <v>0</v>
      </c>
      <c r="N3464" t="n">
        <v>0</v>
      </c>
      <c r="O3464" t="n">
        <v>0</v>
      </c>
      <c r="P3464" t="n">
        <v>0</v>
      </c>
      <c r="Q3464" t="n">
        <v>0</v>
      </c>
      <c r="R3464" s="2" t="inlineStr"/>
    </row>
    <row r="3465" ht="15" customHeight="1">
      <c r="A3465" t="inlineStr">
        <is>
          <t>A 18637-2025</t>
        </is>
      </c>
      <c r="B3465" s="1" t="n">
        <v>45763.56527777778</v>
      </c>
      <c r="C3465" s="1" t="n">
        <v>46075</v>
      </c>
      <c r="D3465" t="inlineStr">
        <is>
          <t>VÄSTERBOTTENS LÄN</t>
        </is>
      </c>
      <c r="E3465" t="inlineStr">
        <is>
          <t>SKELLEFTEÅ</t>
        </is>
      </c>
      <c r="G3465" t="n">
        <v>8.300000000000001</v>
      </c>
      <c r="H3465" t="n">
        <v>0</v>
      </c>
      <c r="I3465" t="n">
        <v>0</v>
      </c>
      <c r="J3465" t="n">
        <v>0</v>
      </c>
      <c r="K3465" t="n">
        <v>0</v>
      </c>
      <c r="L3465" t="n">
        <v>0</v>
      </c>
      <c r="M3465" t="n">
        <v>0</v>
      </c>
      <c r="N3465" t="n">
        <v>0</v>
      </c>
      <c r="O3465" t="n">
        <v>0</v>
      </c>
      <c r="P3465" t="n">
        <v>0</v>
      </c>
      <c r="Q3465" t="n">
        <v>0</v>
      </c>
      <c r="R3465" s="2" t="inlineStr"/>
    </row>
    <row r="3466" ht="15" customHeight="1">
      <c r="A3466" t="inlineStr">
        <is>
          <t>A 29475-2025</t>
        </is>
      </c>
      <c r="B3466" s="1" t="n">
        <v>45824.7070949074</v>
      </c>
      <c r="C3466" s="1" t="n">
        <v>46075</v>
      </c>
      <c r="D3466" t="inlineStr">
        <is>
          <t>VÄSTERBOTTENS LÄN</t>
        </is>
      </c>
      <c r="E3466" t="inlineStr">
        <is>
          <t>NORSJÖ</t>
        </is>
      </c>
      <c r="F3466" t="inlineStr">
        <is>
          <t>Holmen skog AB</t>
        </is>
      </c>
      <c r="G3466" t="n">
        <v>6.3</v>
      </c>
      <c r="H3466" t="n">
        <v>0</v>
      </c>
      <c r="I3466" t="n">
        <v>0</v>
      </c>
      <c r="J3466" t="n">
        <v>0</v>
      </c>
      <c r="K3466" t="n">
        <v>0</v>
      </c>
      <c r="L3466" t="n">
        <v>0</v>
      </c>
      <c r="M3466" t="n">
        <v>0</v>
      </c>
      <c r="N3466" t="n">
        <v>0</v>
      </c>
      <c r="O3466" t="n">
        <v>0</v>
      </c>
      <c r="P3466" t="n">
        <v>0</v>
      </c>
      <c r="Q3466" t="n">
        <v>0</v>
      </c>
      <c r="R3466" s="2" t="inlineStr"/>
    </row>
    <row r="3467" ht="15" customHeight="1">
      <c r="A3467" t="inlineStr">
        <is>
          <t>A 39320-2025</t>
        </is>
      </c>
      <c r="B3467" s="1" t="n">
        <v>45889.46940972222</v>
      </c>
      <c r="C3467" s="1" t="n">
        <v>46075</v>
      </c>
      <c r="D3467" t="inlineStr">
        <is>
          <t>VÄSTERBOTTENS LÄN</t>
        </is>
      </c>
      <c r="E3467" t="inlineStr">
        <is>
          <t>VILHELMINA</t>
        </is>
      </c>
      <c r="F3467" t="inlineStr">
        <is>
          <t>SCA</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39328-2025</t>
        </is>
      </c>
      <c r="B3468" s="1" t="n">
        <v>45889</v>
      </c>
      <c r="C3468" s="1" t="n">
        <v>46075</v>
      </c>
      <c r="D3468" t="inlineStr">
        <is>
          <t>VÄSTERBOTTENS LÄN</t>
        </is>
      </c>
      <c r="E3468" t="inlineStr">
        <is>
          <t>SKELLEFTEÅ</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29694-2025</t>
        </is>
      </c>
      <c r="B3469" s="1" t="n">
        <v>45825.54637731481</v>
      </c>
      <c r="C3469" s="1" t="n">
        <v>46075</v>
      </c>
      <c r="D3469" t="inlineStr">
        <is>
          <t>VÄSTERBOTTENS LÄN</t>
        </is>
      </c>
      <c r="E3469" t="inlineStr">
        <is>
          <t>SKELLEFTEÅ</t>
        </is>
      </c>
      <c r="G3469" t="n">
        <v>5</v>
      </c>
      <c r="H3469" t="n">
        <v>0</v>
      </c>
      <c r="I3469" t="n">
        <v>0</v>
      </c>
      <c r="J3469" t="n">
        <v>0</v>
      </c>
      <c r="K3469" t="n">
        <v>0</v>
      </c>
      <c r="L3469" t="n">
        <v>0</v>
      </c>
      <c r="M3469" t="n">
        <v>0</v>
      </c>
      <c r="N3469" t="n">
        <v>0</v>
      </c>
      <c r="O3469" t="n">
        <v>0</v>
      </c>
      <c r="P3469" t="n">
        <v>0</v>
      </c>
      <c r="Q3469" t="n">
        <v>0</v>
      </c>
      <c r="R3469" s="2" t="inlineStr"/>
    </row>
    <row r="3470" ht="15" customHeight="1">
      <c r="A3470" t="inlineStr">
        <is>
          <t>A 29704-2025</t>
        </is>
      </c>
      <c r="B3470" s="1" t="n">
        <v>45825.55847222222</v>
      </c>
      <c r="C3470" s="1" t="n">
        <v>46075</v>
      </c>
      <c r="D3470" t="inlineStr">
        <is>
          <t>VÄSTERBOTTENS LÄN</t>
        </is>
      </c>
      <c r="E3470" t="inlineStr">
        <is>
          <t>UMEÅ</t>
        </is>
      </c>
      <c r="F3470" t="inlineStr">
        <is>
          <t>Holmen skog AB</t>
        </is>
      </c>
      <c r="G3470" t="n">
        <v>35.1</v>
      </c>
      <c r="H3470" t="n">
        <v>0</v>
      </c>
      <c r="I3470" t="n">
        <v>0</v>
      </c>
      <c r="J3470" t="n">
        <v>0</v>
      </c>
      <c r="K3470" t="n">
        <v>0</v>
      </c>
      <c r="L3470" t="n">
        <v>0</v>
      </c>
      <c r="M3470" t="n">
        <v>0</v>
      </c>
      <c r="N3470" t="n">
        <v>0</v>
      </c>
      <c r="O3470" t="n">
        <v>0</v>
      </c>
      <c r="P3470" t="n">
        <v>0</v>
      </c>
      <c r="Q3470" t="n">
        <v>0</v>
      </c>
      <c r="R3470" s="2" t="inlineStr"/>
    </row>
    <row r="3471" ht="15" customHeight="1">
      <c r="A3471" t="inlineStr">
        <is>
          <t>A 64391-2021</t>
        </is>
      </c>
      <c r="B3471" s="1" t="n">
        <v>44511</v>
      </c>
      <c r="C3471" s="1" t="n">
        <v>46075</v>
      </c>
      <c r="D3471" t="inlineStr">
        <is>
          <t>VÄSTERBOTTENS LÄN</t>
        </is>
      </c>
      <c r="E3471" t="inlineStr">
        <is>
          <t>SKELLEFTEÅ</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57246-2023</t>
        </is>
      </c>
      <c r="B3472" s="1" t="n">
        <v>45239</v>
      </c>
      <c r="C3472" s="1" t="n">
        <v>46075</v>
      </c>
      <c r="D3472" t="inlineStr">
        <is>
          <t>VÄSTERBOTTENS LÄN</t>
        </is>
      </c>
      <c r="E3472" t="inlineStr">
        <is>
          <t>VILHELMINA</t>
        </is>
      </c>
      <c r="G3472" t="n">
        <v>15.3</v>
      </c>
      <c r="H3472" t="n">
        <v>0</v>
      </c>
      <c r="I3472" t="n">
        <v>0</v>
      </c>
      <c r="J3472" t="n">
        <v>0</v>
      </c>
      <c r="K3472" t="n">
        <v>0</v>
      </c>
      <c r="L3472" t="n">
        <v>0</v>
      </c>
      <c r="M3472" t="n">
        <v>0</v>
      </c>
      <c r="N3472" t="n">
        <v>0</v>
      </c>
      <c r="O3472" t="n">
        <v>0</v>
      </c>
      <c r="P3472" t="n">
        <v>0</v>
      </c>
      <c r="Q3472" t="n">
        <v>0</v>
      </c>
      <c r="R3472" s="2" t="inlineStr"/>
    </row>
    <row r="3473" ht="15" customHeight="1">
      <c r="A3473" t="inlineStr">
        <is>
          <t>A 57251-2023</t>
        </is>
      </c>
      <c r="B3473" s="1" t="n">
        <v>45245.56866898148</v>
      </c>
      <c r="C3473" s="1" t="n">
        <v>46075</v>
      </c>
      <c r="D3473" t="inlineStr">
        <is>
          <t>VÄSTERBOTTENS LÄN</t>
        </is>
      </c>
      <c r="E3473" t="inlineStr">
        <is>
          <t>NORDMALING</t>
        </is>
      </c>
      <c r="G3473" t="n">
        <v>6.5</v>
      </c>
      <c r="H3473" t="n">
        <v>0</v>
      </c>
      <c r="I3473" t="n">
        <v>0</v>
      </c>
      <c r="J3473" t="n">
        <v>0</v>
      </c>
      <c r="K3473" t="n">
        <v>0</v>
      </c>
      <c r="L3473" t="n">
        <v>0</v>
      </c>
      <c r="M3473" t="n">
        <v>0</v>
      </c>
      <c r="N3473" t="n">
        <v>0</v>
      </c>
      <c r="O3473" t="n">
        <v>0</v>
      </c>
      <c r="P3473" t="n">
        <v>0</v>
      </c>
      <c r="Q3473" t="n">
        <v>0</v>
      </c>
      <c r="R3473" s="2" t="inlineStr"/>
    </row>
    <row r="3474" ht="15" customHeight="1">
      <c r="A3474" t="inlineStr">
        <is>
          <t>A 37250-2023</t>
        </is>
      </c>
      <c r="B3474" s="1" t="n">
        <v>45155</v>
      </c>
      <c r="C3474" s="1" t="n">
        <v>46075</v>
      </c>
      <c r="D3474" t="inlineStr">
        <is>
          <t>VÄSTERBOTTENS LÄN</t>
        </is>
      </c>
      <c r="E3474" t="inlineStr">
        <is>
          <t>VINDELN</t>
        </is>
      </c>
      <c r="F3474" t="inlineStr">
        <is>
          <t>SCA</t>
        </is>
      </c>
      <c r="G3474" t="n">
        <v>4</v>
      </c>
      <c r="H3474" t="n">
        <v>0</v>
      </c>
      <c r="I3474" t="n">
        <v>0</v>
      </c>
      <c r="J3474" t="n">
        <v>0</v>
      </c>
      <c r="K3474" t="n">
        <v>0</v>
      </c>
      <c r="L3474" t="n">
        <v>0</v>
      </c>
      <c r="M3474" t="n">
        <v>0</v>
      </c>
      <c r="N3474" t="n">
        <v>0</v>
      </c>
      <c r="O3474" t="n">
        <v>0</v>
      </c>
      <c r="P3474" t="n">
        <v>0</v>
      </c>
      <c r="Q3474" t="n">
        <v>0</v>
      </c>
      <c r="R3474" s="2" t="inlineStr"/>
    </row>
    <row r="3475" ht="15" customHeight="1">
      <c r="A3475" t="inlineStr">
        <is>
          <t>A 18936-2025</t>
        </is>
      </c>
      <c r="B3475" s="1" t="n">
        <v>45764.48995370371</v>
      </c>
      <c r="C3475" s="1" t="n">
        <v>46075</v>
      </c>
      <c r="D3475" t="inlineStr">
        <is>
          <t>VÄSTERBOTTENS LÄN</t>
        </is>
      </c>
      <c r="E3475" t="inlineStr">
        <is>
          <t>ÅSELE</t>
        </is>
      </c>
      <c r="F3475" t="inlineStr">
        <is>
          <t>SCA</t>
        </is>
      </c>
      <c r="G3475" t="n">
        <v>6.1</v>
      </c>
      <c r="H3475" t="n">
        <v>0</v>
      </c>
      <c r="I3475" t="n">
        <v>0</v>
      </c>
      <c r="J3475" t="n">
        <v>0</v>
      </c>
      <c r="K3475" t="n">
        <v>0</v>
      </c>
      <c r="L3475" t="n">
        <v>0</v>
      </c>
      <c r="M3475" t="n">
        <v>0</v>
      </c>
      <c r="N3475" t="n">
        <v>0</v>
      </c>
      <c r="O3475" t="n">
        <v>0</v>
      </c>
      <c r="P3475" t="n">
        <v>0</v>
      </c>
      <c r="Q3475" t="n">
        <v>0</v>
      </c>
      <c r="R3475" s="2" t="inlineStr"/>
    </row>
    <row r="3476" ht="15" customHeight="1">
      <c r="A3476" t="inlineStr">
        <is>
          <t>A 26106-2025</t>
        </is>
      </c>
      <c r="B3476" s="1" t="n">
        <v>45805</v>
      </c>
      <c r="C3476" s="1" t="n">
        <v>46075</v>
      </c>
      <c r="D3476" t="inlineStr">
        <is>
          <t>VÄSTERBOTTENS LÄN</t>
        </is>
      </c>
      <c r="E3476" t="inlineStr">
        <is>
          <t>STORUMAN</t>
        </is>
      </c>
      <c r="F3476" t="inlineStr">
        <is>
          <t>Allmännings- och besparingsskogar</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29750-2025</t>
        </is>
      </c>
      <c r="B3477" s="1" t="n">
        <v>45825.60854166667</v>
      </c>
      <c r="C3477" s="1" t="n">
        <v>46075</v>
      </c>
      <c r="D3477" t="inlineStr">
        <is>
          <t>VÄSTERBOTTENS LÄN</t>
        </is>
      </c>
      <c r="E3477" t="inlineStr">
        <is>
          <t>SKELLEFTEÅ</t>
        </is>
      </c>
      <c r="F3477" t="inlineStr">
        <is>
          <t>Holmen skog AB</t>
        </is>
      </c>
      <c r="G3477" t="n">
        <v>5.1</v>
      </c>
      <c r="H3477" t="n">
        <v>0</v>
      </c>
      <c r="I3477" t="n">
        <v>0</v>
      </c>
      <c r="J3477" t="n">
        <v>0</v>
      </c>
      <c r="K3477" t="n">
        <v>0</v>
      </c>
      <c r="L3477" t="n">
        <v>0</v>
      </c>
      <c r="M3477" t="n">
        <v>0</v>
      </c>
      <c r="N3477" t="n">
        <v>0</v>
      </c>
      <c r="O3477" t="n">
        <v>0</v>
      </c>
      <c r="P3477" t="n">
        <v>0</v>
      </c>
      <c r="Q3477" t="n">
        <v>0</v>
      </c>
      <c r="R3477" s="2" t="inlineStr"/>
    </row>
    <row r="3478" ht="15" customHeight="1">
      <c r="A3478" t="inlineStr">
        <is>
          <t>A 29757-2025</t>
        </is>
      </c>
      <c r="B3478" s="1" t="n">
        <v>45825.61582175926</v>
      </c>
      <c r="C3478" s="1" t="n">
        <v>46075</v>
      </c>
      <c r="D3478" t="inlineStr">
        <is>
          <t>VÄSTERBOTTENS LÄN</t>
        </is>
      </c>
      <c r="E3478" t="inlineStr">
        <is>
          <t>SKELLEFTEÅ</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39135-2025</t>
        </is>
      </c>
      <c r="B3479" s="1" t="n">
        <v>45888.59356481482</v>
      </c>
      <c r="C3479" s="1" t="n">
        <v>46075</v>
      </c>
      <c r="D3479" t="inlineStr">
        <is>
          <t>VÄSTERBOTTENS LÄN</t>
        </is>
      </c>
      <c r="E3479" t="inlineStr">
        <is>
          <t>LYCKSELE</t>
        </is>
      </c>
      <c r="F3479" t="inlineStr">
        <is>
          <t>Sveaskog</t>
        </is>
      </c>
      <c r="G3479" t="n">
        <v>12.7</v>
      </c>
      <c r="H3479" t="n">
        <v>0</v>
      </c>
      <c r="I3479" t="n">
        <v>0</v>
      </c>
      <c r="J3479" t="n">
        <v>0</v>
      </c>
      <c r="K3479" t="n">
        <v>0</v>
      </c>
      <c r="L3479" t="n">
        <v>0</v>
      </c>
      <c r="M3479" t="n">
        <v>0</v>
      </c>
      <c r="N3479" t="n">
        <v>0</v>
      </c>
      <c r="O3479" t="n">
        <v>0</v>
      </c>
      <c r="P3479" t="n">
        <v>0</v>
      </c>
      <c r="Q3479" t="n">
        <v>0</v>
      </c>
      <c r="R3479" s="2" t="inlineStr"/>
    </row>
    <row r="3480" ht="15" customHeight="1">
      <c r="A3480" t="inlineStr">
        <is>
          <t>A 64663-2023</t>
        </is>
      </c>
      <c r="B3480" s="1" t="n">
        <v>45281</v>
      </c>
      <c r="C3480" s="1" t="n">
        <v>46075</v>
      </c>
      <c r="D3480" t="inlineStr">
        <is>
          <t>VÄSTERBOTTENS LÄN</t>
        </is>
      </c>
      <c r="E3480" t="inlineStr">
        <is>
          <t>LYCKSELE</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8941-2025</t>
        </is>
      </c>
      <c r="B3481" s="1" t="n">
        <v>45713.44863425926</v>
      </c>
      <c r="C3481" s="1" t="n">
        <v>46075</v>
      </c>
      <c r="D3481" t="inlineStr">
        <is>
          <t>VÄSTERBOTTENS LÄN</t>
        </is>
      </c>
      <c r="E3481" t="inlineStr">
        <is>
          <t>LYCKSELE</t>
        </is>
      </c>
      <c r="G3481" t="n">
        <v>3.7</v>
      </c>
      <c r="H3481" t="n">
        <v>0</v>
      </c>
      <c r="I3481" t="n">
        <v>0</v>
      </c>
      <c r="J3481" t="n">
        <v>0</v>
      </c>
      <c r="K3481" t="n">
        <v>0</v>
      </c>
      <c r="L3481" t="n">
        <v>0</v>
      </c>
      <c r="M3481" t="n">
        <v>0</v>
      </c>
      <c r="N3481" t="n">
        <v>0</v>
      </c>
      <c r="O3481" t="n">
        <v>0</v>
      </c>
      <c r="P3481" t="n">
        <v>0</v>
      </c>
      <c r="Q3481" t="n">
        <v>0</v>
      </c>
      <c r="R3481" s="2" t="inlineStr"/>
    </row>
    <row r="3482" ht="15" customHeight="1">
      <c r="A3482" t="inlineStr">
        <is>
          <t>A 29203-2025</t>
        </is>
      </c>
      <c r="B3482" s="1" t="n">
        <v>45823</v>
      </c>
      <c r="C3482" s="1" t="n">
        <v>46075</v>
      </c>
      <c r="D3482" t="inlineStr">
        <is>
          <t>VÄSTERBOTTENS LÄN</t>
        </is>
      </c>
      <c r="E3482" t="inlineStr">
        <is>
          <t>VILHELMINA</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29283-2025</t>
        </is>
      </c>
      <c r="B3483" s="1" t="n">
        <v>45824.43114583333</v>
      </c>
      <c r="C3483" s="1" t="n">
        <v>46075</v>
      </c>
      <c r="D3483" t="inlineStr">
        <is>
          <t>VÄSTERBOTTENS LÄN</t>
        </is>
      </c>
      <c r="E3483" t="inlineStr">
        <is>
          <t>UMEÅ</t>
        </is>
      </c>
      <c r="G3483" t="n">
        <v>3</v>
      </c>
      <c r="H3483" t="n">
        <v>0</v>
      </c>
      <c r="I3483" t="n">
        <v>0</v>
      </c>
      <c r="J3483" t="n">
        <v>0</v>
      </c>
      <c r="K3483" t="n">
        <v>0</v>
      </c>
      <c r="L3483" t="n">
        <v>0</v>
      </c>
      <c r="M3483" t="n">
        <v>0</v>
      </c>
      <c r="N3483" t="n">
        <v>0</v>
      </c>
      <c r="O3483" t="n">
        <v>0</v>
      </c>
      <c r="P3483" t="n">
        <v>0</v>
      </c>
      <c r="Q3483" t="n">
        <v>0</v>
      </c>
      <c r="R3483" s="2" t="inlineStr"/>
    </row>
    <row r="3484" ht="15" customHeight="1">
      <c r="A3484" t="inlineStr">
        <is>
          <t>A 2892-2025</t>
        </is>
      </c>
      <c r="B3484" s="1" t="n">
        <v>45677</v>
      </c>
      <c r="C3484" s="1" t="n">
        <v>46075</v>
      </c>
      <c r="D3484" t="inlineStr">
        <is>
          <t>VÄSTERBOTTENS LÄN</t>
        </is>
      </c>
      <c r="E3484" t="inlineStr">
        <is>
          <t>ÅSELE</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38991-2025</t>
        </is>
      </c>
      <c r="B3485" s="1" t="n">
        <v>45888.32443287037</v>
      </c>
      <c r="C3485" s="1" t="n">
        <v>46075</v>
      </c>
      <c r="D3485" t="inlineStr">
        <is>
          <t>VÄSTERBOTTENS LÄN</t>
        </is>
      </c>
      <c r="E3485" t="inlineStr">
        <is>
          <t>NORDMALING</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6667-2024</t>
        </is>
      </c>
      <c r="B3486" s="1" t="n">
        <v>45341</v>
      </c>
      <c r="C3486" s="1" t="n">
        <v>46075</v>
      </c>
      <c r="D3486" t="inlineStr">
        <is>
          <t>VÄSTERBOTTENS LÄN</t>
        </is>
      </c>
      <c r="E3486" t="inlineStr">
        <is>
          <t>NORSJÖ</t>
        </is>
      </c>
      <c r="F3486" t="inlineStr">
        <is>
          <t>Holmen skog AB</t>
        </is>
      </c>
      <c r="G3486" t="n">
        <v>10.8</v>
      </c>
      <c r="H3486" t="n">
        <v>0</v>
      </c>
      <c r="I3486" t="n">
        <v>0</v>
      </c>
      <c r="J3486" t="n">
        <v>0</v>
      </c>
      <c r="K3486" t="n">
        <v>0</v>
      </c>
      <c r="L3486" t="n">
        <v>0</v>
      </c>
      <c r="M3486" t="n">
        <v>0</v>
      </c>
      <c r="N3486" t="n">
        <v>0</v>
      </c>
      <c r="O3486" t="n">
        <v>0</v>
      </c>
      <c r="P3486" t="n">
        <v>0</v>
      </c>
      <c r="Q3486" t="n">
        <v>0</v>
      </c>
      <c r="R3486" s="2" t="inlineStr"/>
    </row>
    <row r="3487" ht="15" customHeight="1">
      <c r="A3487" t="inlineStr">
        <is>
          <t>A 43163-2023</t>
        </is>
      </c>
      <c r="B3487" s="1" t="n">
        <v>45183</v>
      </c>
      <c r="C3487" s="1" t="n">
        <v>46075</v>
      </c>
      <c r="D3487" t="inlineStr">
        <is>
          <t>VÄSTERBOTTENS LÄN</t>
        </is>
      </c>
      <c r="E3487" t="inlineStr">
        <is>
          <t>UMEÅ</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21638-2023</t>
        </is>
      </c>
      <c r="B3488" s="1" t="n">
        <v>45063</v>
      </c>
      <c r="C3488" s="1" t="n">
        <v>46075</v>
      </c>
      <c r="D3488" t="inlineStr">
        <is>
          <t>VÄSTERBOTTENS LÄN</t>
        </is>
      </c>
      <c r="E3488" t="inlineStr">
        <is>
          <t>VINDELN</t>
        </is>
      </c>
      <c r="G3488" t="n">
        <v>10</v>
      </c>
      <c r="H3488" t="n">
        <v>0</v>
      </c>
      <c r="I3488" t="n">
        <v>0</v>
      </c>
      <c r="J3488" t="n">
        <v>0</v>
      </c>
      <c r="K3488" t="n">
        <v>0</v>
      </c>
      <c r="L3488" t="n">
        <v>0</v>
      </c>
      <c r="M3488" t="n">
        <v>0</v>
      </c>
      <c r="N3488" t="n">
        <v>0</v>
      </c>
      <c r="O3488" t="n">
        <v>0</v>
      </c>
      <c r="P3488" t="n">
        <v>0</v>
      </c>
      <c r="Q3488" t="n">
        <v>0</v>
      </c>
      <c r="R3488" s="2" t="inlineStr"/>
    </row>
    <row r="3489" ht="15" customHeight="1">
      <c r="A3489" t="inlineStr">
        <is>
          <t>A 39136-2025</t>
        </is>
      </c>
      <c r="B3489" s="1" t="n">
        <v>45888.59417824074</v>
      </c>
      <c r="C3489" s="1" t="n">
        <v>46075</v>
      </c>
      <c r="D3489" t="inlineStr">
        <is>
          <t>VÄSTERBOTTENS LÄN</t>
        </is>
      </c>
      <c r="E3489" t="inlineStr">
        <is>
          <t>BJURHOLM</t>
        </is>
      </c>
      <c r="F3489" t="inlineStr">
        <is>
          <t>SCA</t>
        </is>
      </c>
      <c r="G3489" t="n">
        <v>17.8</v>
      </c>
      <c r="H3489" t="n">
        <v>0</v>
      </c>
      <c r="I3489" t="n">
        <v>0</v>
      </c>
      <c r="J3489" t="n">
        <v>0</v>
      </c>
      <c r="K3489" t="n">
        <v>0</v>
      </c>
      <c r="L3489" t="n">
        <v>0</v>
      </c>
      <c r="M3489" t="n">
        <v>0</v>
      </c>
      <c r="N3489" t="n">
        <v>0</v>
      </c>
      <c r="O3489" t="n">
        <v>0</v>
      </c>
      <c r="P3489" t="n">
        <v>0</v>
      </c>
      <c r="Q3489" t="n">
        <v>0</v>
      </c>
      <c r="R3489" s="2" t="inlineStr"/>
    </row>
    <row r="3490" ht="15" customHeight="1">
      <c r="A3490" t="inlineStr">
        <is>
          <t>A 39164-2025</t>
        </is>
      </c>
      <c r="B3490" s="1" t="n">
        <v>45888.63680555556</v>
      </c>
      <c r="C3490" s="1" t="n">
        <v>46075</v>
      </c>
      <c r="D3490" t="inlineStr">
        <is>
          <t>VÄSTERBOTTENS LÄN</t>
        </is>
      </c>
      <c r="E3490" t="inlineStr">
        <is>
          <t>NORSJÖ</t>
        </is>
      </c>
      <c r="F3490" t="inlineStr">
        <is>
          <t>SCA</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39166-2025</t>
        </is>
      </c>
      <c r="B3491" s="1" t="n">
        <v>45888.63756944444</v>
      </c>
      <c r="C3491" s="1" t="n">
        <v>46075</v>
      </c>
      <c r="D3491" t="inlineStr">
        <is>
          <t>VÄSTERBOTTENS LÄN</t>
        </is>
      </c>
      <c r="E3491" t="inlineStr">
        <is>
          <t>SKELLEFTEÅ</t>
        </is>
      </c>
      <c r="F3491" t="inlineStr">
        <is>
          <t>Holmen skog AB</t>
        </is>
      </c>
      <c r="G3491" t="n">
        <v>3.1</v>
      </c>
      <c r="H3491" t="n">
        <v>0</v>
      </c>
      <c r="I3491" t="n">
        <v>0</v>
      </c>
      <c r="J3491" t="n">
        <v>0</v>
      </c>
      <c r="K3491" t="n">
        <v>0</v>
      </c>
      <c r="L3491" t="n">
        <v>0</v>
      </c>
      <c r="M3491" t="n">
        <v>0</v>
      </c>
      <c r="N3491" t="n">
        <v>0</v>
      </c>
      <c r="O3491" t="n">
        <v>0</v>
      </c>
      <c r="P3491" t="n">
        <v>0</v>
      </c>
      <c r="Q3491" t="n">
        <v>0</v>
      </c>
      <c r="R3491" s="2" t="inlineStr"/>
    </row>
    <row r="3492" ht="15" customHeight="1">
      <c r="A3492" t="inlineStr">
        <is>
          <t>A 53183-2023</t>
        </is>
      </c>
      <c r="B3492" s="1" t="n">
        <v>45229.41625</v>
      </c>
      <c r="C3492" s="1" t="n">
        <v>46075</v>
      </c>
      <c r="D3492" t="inlineStr">
        <is>
          <t>VÄSTERBOTTENS LÄN</t>
        </is>
      </c>
      <c r="E3492" t="inlineStr">
        <is>
          <t>SKELLEFTEÅ</t>
        </is>
      </c>
      <c r="F3492" t="inlineStr">
        <is>
          <t>Sveaskog</t>
        </is>
      </c>
      <c r="G3492" t="n">
        <v>10.5</v>
      </c>
      <c r="H3492" t="n">
        <v>0</v>
      </c>
      <c r="I3492" t="n">
        <v>0</v>
      </c>
      <c r="J3492" t="n">
        <v>0</v>
      </c>
      <c r="K3492" t="n">
        <v>0</v>
      </c>
      <c r="L3492" t="n">
        <v>0</v>
      </c>
      <c r="M3492" t="n">
        <v>0</v>
      </c>
      <c r="N3492" t="n">
        <v>0</v>
      </c>
      <c r="O3492" t="n">
        <v>0</v>
      </c>
      <c r="P3492" t="n">
        <v>0</v>
      </c>
      <c r="Q3492" t="n">
        <v>0</v>
      </c>
      <c r="R3492" s="2" t="inlineStr"/>
    </row>
    <row r="3493" ht="15" customHeight="1">
      <c r="A3493" t="inlineStr">
        <is>
          <t>A 29576-2025</t>
        </is>
      </c>
      <c r="B3493" s="1" t="n">
        <v>45825.37471064815</v>
      </c>
      <c r="C3493" s="1" t="n">
        <v>46075</v>
      </c>
      <c r="D3493" t="inlineStr">
        <is>
          <t>VÄSTERBOTTENS LÄN</t>
        </is>
      </c>
      <c r="E3493" t="inlineStr">
        <is>
          <t>NORDMALING</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39138-2025</t>
        </is>
      </c>
      <c r="B3494" s="1" t="n">
        <v>45888.59435185185</v>
      </c>
      <c r="C3494" s="1" t="n">
        <v>46075</v>
      </c>
      <c r="D3494" t="inlineStr">
        <is>
          <t>VÄSTERBOTTENS LÄN</t>
        </is>
      </c>
      <c r="E3494" t="inlineStr">
        <is>
          <t>VILHELMINA</t>
        </is>
      </c>
      <c r="G3494" t="n">
        <v>6.7</v>
      </c>
      <c r="H3494" t="n">
        <v>0</v>
      </c>
      <c r="I3494" t="n">
        <v>0</v>
      </c>
      <c r="J3494" t="n">
        <v>0</v>
      </c>
      <c r="K3494" t="n">
        <v>0</v>
      </c>
      <c r="L3494" t="n">
        <v>0</v>
      </c>
      <c r="M3494" t="n">
        <v>0</v>
      </c>
      <c r="N3494" t="n">
        <v>0</v>
      </c>
      <c r="O3494" t="n">
        <v>0</v>
      </c>
      <c r="P3494" t="n">
        <v>0</v>
      </c>
      <c r="Q3494" t="n">
        <v>0</v>
      </c>
      <c r="R3494" s="2" t="inlineStr"/>
    </row>
    <row r="3495" ht="15" customHeight="1">
      <c r="A3495" t="inlineStr">
        <is>
          <t>A 39242-2025</t>
        </is>
      </c>
      <c r="B3495" s="1" t="n">
        <v>45889.34109953704</v>
      </c>
      <c r="C3495" s="1" t="n">
        <v>46075</v>
      </c>
      <c r="D3495" t="inlineStr">
        <is>
          <t>VÄSTERBOTTENS LÄN</t>
        </is>
      </c>
      <c r="E3495" t="inlineStr">
        <is>
          <t>LYCKSELE</t>
        </is>
      </c>
      <c r="F3495" t="inlineStr">
        <is>
          <t>Sveaskog</t>
        </is>
      </c>
      <c r="G3495" t="n">
        <v>5.7</v>
      </c>
      <c r="H3495" t="n">
        <v>0</v>
      </c>
      <c r="I3495" t="n">
        <v>0</v>
      </c>
      <c r="J3495" t="n">
        <v>0</v>
      </c>
      <c r="K3495" t="n">
        <v>0</v>
      </c>
      <c r="L3495" t="n">
        <v>0</v>
      </c>
      <c r="M3495" t="n">
        <v>0</v>
      </c>
      <c r="N3495" t="n">
        <v>0</v>
      </c>
      <c r="O3495" t="n">
        <v>0</v>
      </c>
      <c r="P3495" t="n">
        <v>0</v>
      </c>
      <c r="Q3495" t="n">
        <v>0</v>
      </c>
      <c r="R3495" s="2" t="inlineStr"/>
    </row>
    <row r="3496" ht="15" customHeight="1">
      <c r="A3496" t="inlineStr">
        <is>
          <t>A 27943-2024</t>
        </is>
      </c>
      <c r="B3496" s="1" t="n">
        <v>45476.31515046296</v>
      </c>
      <c r="C3496" s="1" t="n">
        <v>46075</v>
      </c>
      <c r="D3496" t="inlineStr">
        <is>
          <t>VÄSTERBOTTENS LÄN</t>
        </is>
      </c>
      <c r="E3496" t="inlineStr">
        <is>
          <t>ÅSELE</t>
        </is>
      </c>
      <c r="F3496" t="inlineStr">
        <is>
          <t>Sveaskog</t>
        </is>
      </c>
      <c r="G3496" t="n">
        <v>5.1</v>
      </c>
      <c r="H3496" t="n">
        <v>0</v>
      </c>
      <c r="I3496" t="n">
        <v>0</v>
      </c>
      <c r="J3496" t="n">
        <v>0</v>
      </c>
      <c r="K3496" t="n">
        <v>0</v>
      </c>
      <c r="L3496" t="n">
        <v>0</v>
      </c>
      <c r="M3496" t="n">
        <v>0</v>
      </c>
      <c r="N3496" t="n">
        <v>0</v>
      </c>
      <c r="O3496" t="n">
        <v>0</v>
      </c>
      <c r="P3496" t="n">
        <v>0</v>
      </c>
      <c r="Q3496" t="n">
        <v>0</v>
      </c>
      <c r="R3496" s="2" t="inlineStr"/>
    </row>
    <row r="3497" ht="15" customHeight="1">
      <c r="A3497" t="inlineStr">
        <is>
          <t>A 27946-2024</t>
        </is>
      </c>
      <c r="B3497" s="1" t="n">
        <v>45476.31981481481</v>
      </c>
      <c r="C3497" s="1" t="n">
        <v>46075</v>
      </c>
      <c r="D3497" t="inlineStr">
        <is>
          <t>VÄSTERBOTTENS LÄN</t>
        </is>
      </c>
      <c r="E3497" t="inlineStr">
        <is>
          <t>ÅSELE</t>
        </is>
      </c>
      <c r="F3497" t="inlineStr">
        <is>
          <t>Sveaskog</t>
        </is>
      </c>
      <c r="G3497" t="n">
        <v>7.5</v>
      </c>
      <c r="H3497" t="n">
        <v>0</v>
      </c>
      <c r="I3497" t="n">
        <v>0</v>
      </c>
      <c r="J3497" t="n">
        <v>0</v>
      </c>
      <c r="K3497" t="n">
        <v>0</v>
      </c>
      <c r="L3497" t="n">
        <v>0</v>
      </c>
      <c r="M3497" t="n">
        <v>0</v>
      </c>
      <c r="N3497" t="n">
        <v>0</v>
      </c>
      <c r="O3497" t="n">
        <v>0</v>
      </c>
      <c r="P3497" t="n">
        <v>0</v>
      </c>
      <c r="Q3497" t="n">
        <v>0</v>
      </c>
      <c r="R3497" s="2" t="inlineStr"/>
    </row>
    <row r="3498" ht="15" customHeight="1">
      <c r="A3498" t="inlineStr">
        <is>
          <t>A 26318-2025</t>
        </is>
      </c>
      <c r="B3498" s="1" t="n">
        <v>45805.65717592592</v>
      </c>
      <c r="C3498" s="1" t="n">
        <v>46075</v>
      </c>
      <c r="D3498" t="inlineStr">
        <is>
          <t>VÄSTERBOTTENS LÄN</t>
        </is>
      </c>
      <c r="E3498" t="inlineStr">
        <is>
          <t>SKELLEFTEÅ</t>
        </is>
      </c>
      <c r="G3498" t="n">
        <v>8.6</v>
      </c>
      <c r="H3498" t="n">
        <v>0</v>
      </c>
      <c r="I3498" t="n">
        <v>0</v>
      </c>
      <c r="J3498" t="n">
        <v>0</v>
      </c>
      <c r="K3498" t="n">
        <v>0</v>
      </c>
      <c r="L3498" t="n">
        <v>0</v>
      </c>
      <c r="M3498" t="n">
        <v>0</v>
      </c>
      <c r="N3498" t="n">
        <v>0</v>
      </c>
      <c r="O3498" t="n">
        <v>0</v>
      </c>
      <c r="P3498" t="n">
        <v>0</v>
      </c>
      <c r="Q3498" t="n">
        <v>0</v>
      </c>
      <c r="R3498" s="2" t="inlineStr"/>
    </row>
    <row r="3499" ht="15" customHeight="1">
      <c r="A3499" t="inlineStr">
        <is>
          <t>A 29752-2025</t>
        </is>
      </c>
      <c r="B3499" s="1" t="n">
        <v>45825.60962962963</v>
      </c>
      <c r="C3499" s="1" t="n">
        <v>46075</v>
      </c>
      <c r="D3499" t="inlineStr">
        <is>
          <t>VÄSTERBOTTENS LÄN</t>
        </is>
      </c>
      <c r="E3499" t="inlineStr">
        <is>
          <t>VINDELN</t>
        </is>
      </c>
      <c r="F3499" t="inlineStr">
        <is>
          <t>Holmen skog AB</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39239-2025</t>
        </is>
      </c>
      <c r="B3500" s="1" t="n">
        <v>45889.33643518519</v>
      </c>
      <c r="C3500" s="1" t="n">
        <v>46075</v>
      </c>
      <c r="D3500" t="inlineStr">
        <is>
          <t>VÄSTERBOTTENS LÄN</t>
        </is>
      </c>
      <c r="E3500" t="inlineStr">
        <is>
          <t>LYCKSELE</t>
        </is>
      </c>
      <c r="F3500" t="inlineStr">
        <is>
          <t>Sveaskog</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39248-2025</t>
        </is>
      </c>
      <c r="B3501" s="1" t="n">
        <v>45889.3547800926</v>
      </c>
      <c r="C3501" s="1" t="n">
        <v>46075</v>
      </c>
      <c r="D3501" t="inlineStr">
        <is>
          <t>VÄSTERBOTTENS LÄN</t>
        </is>
      </c>
      <c r="E3501" t="inlineStr">
        <is>
          <t>ÅSELE</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39252-2025</t>
        </is>
      </c>
      <c r="B3502" s="1" t="n">
        <v>45889.36288194444</v>
      </c>
      <c r="C3502" s="1" t="n">
        <v>46075</v>
      </c>
      <c r="D3502" t="inlineStr">
        <is>
          <t>VÄSTERBOTTENS LÄN</t>
        </is>
      </c>
      <c r="E3502" t="inlineStr">
        <is>
          <t>BJURHOLM</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39259-2025</t>
        </is>
      </c>
      <c r="B3503" s="1" t="n">
        <v>45889.37043981482</v>
      </c>
      <c r="C3503" s="1" t="n">
        <v>46075</v>
      </c>
      <c r="D3503" t="inlineStr">
        <is>
          <t>VÄSTERBOTTENS LÄN</t>
        </is>
      </c>
      <c r="E3503" t="inlineStr">
        <is>
          <t>SKELLEFTEÅ</t>
        </is>
      </c>
      <c r="G3503" t="n">
        <v>5.9</v>
      </c>
      <c r="H3503" t="n">
        <v>0</v>
      </c>
      <c r="I3503" t="n">
        <v>0</v>
      </c>
      <c r="J3503" t="n">
        <v>0</v>
      </c>
      <c r="K3503" t="n">
        <v>0</v>
      </c>
      <c r="L3503" t="n">
        <v>0</v>
      </c>
      <c r="M3503" t="n">
        <v>0</v>
      </c>
      <c r="N3503" t="n">
        <v>0</v>
      </c>
      <c r="O3503" t="n">
        <v>0</v>
      </c>
      <c r="P3503" t="n">
        <v>0</v>
      </c>
      <c r="Q3503" t="n">
        <v>0</v>
      </c>
      <c r="R3503" s="2" t="inlineStr"/>
    </row>
    <row r="3504" ht="15" customHeight="1">
      <c r="A3504" t="inlineStr">
        <is>
          <t>A 29606-2025</t>
        </is>
      </c>
      <c r="B3504" s="1" t="n">
        <v>45825</v>
      </c>
      <c r="C3504" s="1" t="n">
        <v>46075</v>
      </c>
      <c r="D3504" t="inlineStr">
        <is>
          <t>VÄSTERBOTTENS LÄN</t>
        </is>
      </c>
      <c r="E3504" t="inlineStr">
        <is>
          <t>NORDMALING</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2260-2025</t>
        </is>
      </c>
      <c r="B3505" s="1" t="n">
        <v>45673.51790509259</v>
      </c>
      <c r="C3505" s="1" t="n">
        <v>46075</v>
      </c>
      <c r="D3505" t="inlineStr">
        <is>
          <t>VÄSTERBOTTENS LÄN</t>
        </is>
      </c>
      <c r="E3505" t="inlineStr">
        <is>
          <t>NORDMALING</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54746-2023</t>
        </is>
      </c>
      <c r="B3506" s="1" t="n">
        <v>45236.4175</v>
      </c>
      <c r="C3506" s="1" t="n">
        <v>46075</v>
      </c>
      <c r="D3506" t="inlineStr">
        <is>
          <t>VÄSTERBOTTENS LÄN</t>
        </is>
      </c>
      <c r="E3506" t="inlineStr">
        <is>
          <t>ÅSELE</t>
        </is>
      </c>
      <c r="F3506" t="inlineStr">
        <is>
          <t>Sveaskog</t>
        </is>
      </c>
      <c r="G3506" t="n">
        <v>4.1</v>
      </c>
      <c r="H3506" t="n">
        <v>0</v>
      </c>
      <c r="I3506" t="n">
        <v>0</v>
      </c>
      <c r="J3506" t="n">
        <v>0</v>
      </c>
      <c r="K3506" t="n">
        <v>0</v>
      </c>
      <c r="L3506" t="n">
        <v>0</v>
      </c>
      <c r="M3506" t="n">
        <v>0</v>
      </c>
      <c r="N3506" t="n">
        <v>0</v>
      </c>
      <c r="O3506" t="n">
        <v>0</v>
      </c>
      <c r="P3506" t="n">
        <v>0</v>
      </c>
      <c r="Q3506" t="n">
        <v>0</v>
      </c>
      <c r="R3506" s="2" t="inlineStr"/>
    </row>
    <row r="3507" ht="15" customHeight="1">
      <c r="A3507" t="inlineStr">
        <is>
          <t>A 29616-2025</t>
        </is>
      </c>
      <c r="B3507" s="1" t="n">
        <v>45825.43400462963</v>
      </c>
      <c r="C3507" s="1" t="n">
        <v>46075</v>
      </c>
      <c r="D3507" t="inlineStr">
        <is>
          <t>VÄSTERBOTTENS LÄN</t>
        </is>
      </c>
      <c r="E3507" t="inlineStr">
        <is>
          <t>ROBERTSFORS</t>
        </is>
      </c>
      <c r="F3507" t="inlineStr">
        <is>
          <t>Holmen skog AB</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29617-2025</t>
        </is>
      </c>
      <c r="B3508" s="1" t="n">
        <v>45825.43520833334</v>
      </c>
      <c r="C3508" s="1" t="n">
        <v>46075</v>
      </c>
      <c r="D3508" t="inlineStr">
        <is>
          <t>VÄSTERBOTTENS LÄN</t>
        </is>
      </c>
      <c r="E3508" t="inlineStr">
        <is>
          <t>VINDELN</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62023-2024</t>
        </is>
      </c>
      <c r="B3509" s="1" t="n">
        <v>45656.06716435185</v>
      </c>
      <c r="C3509" s="1" t="n">
        <v>46075</v>
      </c>
      <c r="D3509" t="inlineStr">
        <is>
          <t>VÄSTERBOTTENS LÄN</t>
        </is>
      </c>
      <c r="E3509" t="inlineStr">
        <is>
          <t>SKELLEFTEÅ</t>
        </is>
      </c>
      <c r="G3509" t="n">
        <v>4.2</v>
      </c>
      <c r="H3509" t="n">
        <v>0</v>
      </c>
      <c r="I3509" t="n">
        <v>0</v>
      </c>
      <c r="J3509" t="n">
        <v>0</v>
      </c>
      <c r="K3509" t="n">
        <v>0</v>
      </c>
      <c r="L3509" t="n">
        <v>0</v>
      </c>
      <c r="M3509" t="n">
        <v>0</v>
      </c>
      <c r="N3509" t="n">
        <v>0</v>
      </c>
      <c r="O3509" t="n">
        <v>0</v>
      </c>
      <c r="P3509" t="n">
        <v>0</v>
      </c>
      <c r="Q3509" t="n">
        <v>0</v>
      </c>
      <c r="R3509" s="2" t="inlineStr"/>
    </row>
    <row r="3510" ht="15" customHeight="1">
      <c r="A3510" t="inlineStr">
        <is>
          <t>A 2286-2025</t>
        </is>
      </c>
      <c r="B3510" s="1" t="n">
        <v>45673</v>
      </c>
      <c r="C3510" s="1" t="n">
        <v>46075</v>
      </c>
      <c r="D3510" t="inlineStr">
        <is>
          <t>VÄSTERBOTTENS LÄN</t>
        </is>
      </c>
      <c r="E3510" t="inlineStr">
        <is>
          <t>VÄNNÄS</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29507-2025</t>
        </is>
      </c>
      <c r="B3511" s="1" t="n">
        <v>45825</v>
      </c>
      <c r="C3511" s="1" t="n">
        <v>46075</v>
      </c>
      <c r="D3511" t="inlineStr">
        <is>
          <t>VÄSTERBOTTENS LÄN</t>
        </is>
      </c>
      <c r="E3511" t="inlineStr">
        <is>
          <t>VINDELN</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7816-2025</t>
        </is>
      </c>
      <c r="B3512" s="1" t="n">
        <v>45706.63597222222</v>
      </c>
      <c r="C3512" s="1" t="n">
        <v>46075</v>
      </c>
      <c r="D3512" t="inlineStr">
        <is>
          <t>VÄSTERBOTTENS LÄN</t>
        </is>
      </c>
      <c r="E3512" t="inlineStr">
        <is>
          <t>SKELLEFTEÅ</t>
        </is>
      </c>
      <c r="G3512" t="n">
        <v>4</v>
      </c>
      <c r="H3512" t="n">
        <v>0</v>
      </c>
      <c r="I3512" t="n">
        <v>0</v>
      </c>
      <c r="J3512" t="n">
        <v>0</v>
      </c>
      <c r="K3512" t="n">
        <v>0</v>
      </c>
      <c r="L3512" t="n">
        <v>0</v>
      </c>
      <c r="M3512" t="n">
        <v>0</v>
      </c>
      <c r="N3512" t="n">
        <v>0</v>
      </c>
      <c r="O3512" t="n">
        <v>0</v>
      </c>
      <c r="P3512" t="n">
        <v>0</v>
      </c>
      <c r="Q3512" t="n">
        <v>0</v>
      </c>
      <c r="R3512" s="2" t="inlineStr"/>
    </row>
    <row r="3513" ht="15" customHeight="1">
      <c r="A3513" t="inlineStr">
        <is>
          <t>A 39111-2025</t>
        </is>
      </c>
      <c r="B3513" s="1" t="n">
        <v>45888.54513888889</v>
      </c>
      <c r="C3513" s="1" t="n">
        <v>46075</v>
      </c>
      <c r="D3513" t="inlineStr">
        <is>
          <t>VÄSTERBOTTENS LÄN</t>
        </is>
      </c>
      <c r="E3513" t="inlineStr">
        <is>
          <t>ÅSELE</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39143-2025</t>
        </is>
      </c>
      <c r="B3514" s="1" t="n">
        <v>45888.59829861111</v>
      </c>
      <c r="C3514" s="1" t="n">
        <v>46075</v>
      </c>
      <c r="D3514" t="inlineStr">
        <is>
          <t>VÄSTERBOTTENS LÄN</t>
        </is>
      </c>
      <c r="E3514" t="inlineStr">
        <is>
          <t>LYCKSELE</t>
        </is>
      </c>
      <c r="F3514" t="inlineStr">
        <is>
          <t>Sveaskog</t>
        </is>
      </c>
      <c r="G3514" t="n">
        <v>3.6</v>
      </c>
      <c r="H3514" t="n">
        <v>0</v>
      </c>
      <c r="I3514" t="n">
        <v>0</v>
      </c>
      <c r="J3514" t="n">
        <v>0</v>
      </c>
      <c r="K3514" t="n">
        <v>0</v>
      </c>
      <c r="L3514" t="n">
        <v>0</v>
      </c>
      <c r="M3514" t="n">
        <v>0</v>
      </c>
      <c r="N3514" t="n">
        <v>0</v>
      </c>
      <c r="O3514" t="n">
        <v>0</v>
      </c>
      <c r="P3514" t="n">
        <v>0</v>
      </c>
      <c r="Q3514" t="n">
        <v>0</v>
      </c>
      <c r="R3514" s="2" t="inlineStr"/>
    </row>
    <row r="3515" ht="15" customHeight="1">
      <c r="A3515" t="inlineStr">
        <is>
          <t>A 29224-2025</t>
        </is>
      </c>
      <c r="B3515" s="1" t="n">
        <v>45824.33494212963</v>
      </c>
      <c r="C3515" s="1" t="n">
        <v>46075</v>
      </c>
      <c r="D3515" t="inlineStr">
        <is>
          <t>VÄSTERBOTTENS LÄN</t>
        </is>
      </c>
      <c r="E3515" t="inlineStr">
        <is>
          <t>ROBERTSFORS</t>
        </is>
      </c>
      <c r="F3515" t="inlineStr">
        <is>
          <t>Holmen skog AB</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29234-2025</t>
        </is>
      </c>
      <c r="B3516" s="1" t="n">
        <v>45824.34478009259</v>
      </c>
      <c r="C3516" s="1" t="n">
        <v>46075</v>
      </c>
      <c r="D3516" t="inlineStr">
        <is>
          <t>VÄSTERBOTTENS LÄN</t>
        </is>
      </c>
      <c r="E3516" t="inlineStr">
        <is>
          <t>VILHELMINA</t>
        </is>
      </c>
      <c r="F3516" t="inlineStr">
        <is>
          <t>SCA</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29236-2025</t>
        </is>
      </c>
      <c r="B3517" s="1" t="n">
        <v>45824.34488425926</v>
      </c>
      <c r="C3517" s="1" t="n">
        <v>46075</v>
      </c>
      <c r="D3517" t="inlineStr">
        <is>
          <t>VÄSTERBOTTENS LÄN</t>
        </is>
      </c>
      <c r="E3517" t="inlineStr">
        <is>
          <t>LYCKSELE</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54765-2023</t>
        </is>
      </c>
      <c r="B3518" s="1" t="n">
        <v>45236.45083333334</v>
      </c>
      <c r="C3518" s="1" t="n">
        <v>46075</v>
      </c>
      <c r="D3518" t="inlineStr">
        <is>
          <t>VÄSTERBOTTENS LÄN</t>
        </is>
      </c>
      <c r="E3518" t="inlineStr">
        <is>
          <t>ÅSELE</t>
        </is>
      </c>
      <c r="F3518" t="inlineStr">
        <is>
          <t>Sveaskog</t>
        </is>
      </c>
      <c r="G3518" t="n">
        <v>18.9</v>
      </c>
      <c r="H3518" t="n">
        <v>0</v>
      </c>
      <c r="I3518" t="n">
        <v>0</v>
      </c>
      <c r="J3518" t="n">
        <v>0</v>
      </c>
      <c r="K3518" t="n">
        <v>0</v>
      </c>
      <c r="L3518" t="n">
        <v>0</v>
      </c>
      <c r="M3518" t="n">
        <v>0</v>
      </c>
      <c r="N3518" t="n">
        <v>0</v>
      </c>
      <c r="O3518" t="n">
        <v>0</v>
      </c>
      <c r="P3518" t="n">
        <v>0</v>
      </c>
      <c r="Q3518" t="n">
        <v>0</v>
      </c>
      <c r="R3518" s="2" t="inlineStr"/>
    </row>
    <row r="3519" ht="15" customHeight="1">
      <c r="A3519" t="inlineStr">
        <is>
          <t>A 29272-2025</t>
        </is>
      </c>
      <c r="B3519" s="1" t="n">
        <v>45824.41008101852</v>
      </c>
      <c r="C3519" s="1" t="n">
        <v>46075</v>
      </c>
      <c r="D3519" t="inlineStr">
        <is>
          <t>VÄSTERBOTTENS LÄN</t>
        </is>
      </c>
      <c r="E3519" t="inlineStr">
        <is>
          <t>ROBERTSFORS</t>
        </is>
      </c>
      <c r="G3519" t="n">
        <v>4.6</v>
      </c>
      <c r="H3519" t="n">
        <v>0</v>
      </c>
      <c r="I3519" t="n">
        <v>0</v>
      </c>
      <c r="J3519" t="n">
        <v>0</v>
      </c>
      <c r="K3519" t="n">
        <v>0</v>
      </c>
      <c r="L3519" t="n">
        <v>0</v>
      </c>
      <c r="M3519" t="n">
        <v>0</v>
      </c>
      <c r="N3519" t="n">
        <v>0</v>
      </c>
      <c r="O3519" t="n">
        <v>0</v>
      </c>
      <c r="P3519" t="n">
        <v>0</v>
      </c>
      <c r="Q3519" t="n">
        <v>0</v>
      </c>
      <c r="R3519" s="2" t="inlineStr"/>
    </row>
    <row r="3520" ht="15" customHeight="1">
      <c r="A3520" t="inlineStr">
        <is>
          <t>A 29219-2025</t>
        </is>
      </c>
      <c r="B3520" s="1" t="n">
        <v>45824.31930555555</v>
      </c>
      <c r="C3520" s="1" t="n">
        <v>46075</v>
      </c>
      <c r="D3520" t="inlineStr">
        <is>
          <t>VÄSTERBOTTENS LÄN</t>
        </is>
      </c>
      <c r="E3520" t="inlineStr">
        <is>
          <t>UMEÅ</t>
        </is>
      </c>
      <c r="F3520" t="inlineStr">
        <is>
          <t>Holmen skog AB</t>
        </is>
      </c>
      <c r="G3520" t="n">
        <v>12.1</v>
      </c>
      <c r="H3520" t="n">
        <v>0</v>
      </c>
      <c r="I3520" t="n">
        <v>0</v>
      </c>
      <c r="J3520" t="n">
        <v>0</v>
      </c>
      <c r="K3520" t="n">
        <v>0</v>
      </c>
      <c r="L3520" t="n">
        <v>0</v>
      </c>
      <c r="M3520" t="n">
        <v>0</v>
      </c>
      <c r="N3520" t="n">
        <v>0</v>
      </c>
      <c r="O3520" t="n">
        <v>0</v>
      </c>
      <c r="P3520" t="n">
        <v>0</v>
      </c>
      <c r="Q3520" t="n">
        <v>0</v>
      </c>
      <c r="R3520" s="2" t="inlineStr"/>
    </row>
    <row r="3521" ht="15" customHeight="1">
      <c r="A3521" t="inlineStr">
        <is>
          <t>A 28961-2025</t>
        </is>
      </c>
      <c r="B3521" s="1" t="n">
        <v>45821.32046296296</v>
      </c>
      <c r="C3521" s="1" t="n">
        <v>46075</v>
      </c>
      <c r="D3521" t="inlineStr">
        <is>
          <t>VÄSTERBOTTENS LÄN</t>
        </is>
      </c>
      <c r="E3521" t="inlineStr">
        <is>
          <t>SKELLEFTEÅ</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43840-2024</t>
        </is>
      </c>
      <c r="B3522" s="1" t="n">
        <v>45572.34314814815</v>
      </c>
      <c r="C3522" s="1" t="n">
        <v>46075</v>
      </c>
      <c r="D3522" t="inlineStr">
        <is>
          <t>VÄSTERBOTTENS LÄN</t>
        </is>
      </c>
      <c r="E3522" t="inlineStr">
        <is>
          <t>STORUMAN</t>
        </is>
      </c>
      <c r="G3522" t="n">
        <v>7.2</v>
      </c>
      <c r="H3522" t="n">
        <v>0</v>
      </c>
      <c r="I3522" t="n">
        <v>0</v>
      </c>
      <c r="J3522" t="n">
        <v>0</v>
      </c>
      <c r="K3522" t="n">
        <v>0</v>
      </c>
      <c r="L3522" t="n">
        <v>0</v>
      </c>
      <c r="M3522" t="n">
        <v>0</v>
      </c>
      <c r="N3522" t="n">
        <v>0</v>
      </c>
      <c r="O3522" t="n">
        <v>0</v>
      </c>
      <c r="P3522" t="n">
        <v>0</v>
      </c>
      <c r="Q3522" t="n">
        <v>0</v>
      </c>
      <c r="R3522" s="2" t="inlineStr"/>
    </row>
    <row r="3523" ht="15" customHeight="1">
      <c r="A3523" t="inlineStr">
        <is>
          <t>A 39378-2025</t>
        </is>
      </c>
      <c r="B3523" s="1" t="n">
        <v>45889.59453703704</v>
      </c>
      <c r="C3523" s="1" t="n">
        <v>46075</v>
      </c>
      <c r="D3523" t="inlineStr">
        <is>
          <t>VÄSTERBOTTENS LÄN</t>
        </is>
      </c>
      <c r="E3523" t="inlineStr">
        <is>
          <t>VILHELMINA</t>
        </is>
      </c>
      <c r="F3523" t="inlineStr">
        <is>
          <t>SCA</t>
        </is>
      </c>
      <c r="G3523" t="n">
        <v>3.1</v>
      </c>
      <c r="H3523" t="n">
        <v>0</v>
      </c>
      <c r="I3523" t="n">
        <v>0</v>
      </c>
      <c r="J3523" t="n">
        <v>0</v>
      </c>
      <c r="K3523" t="n">
        <v>0</v>
      </c>
      <c r="L3523" t="n">
        <v>0</v>
      </c>
      <c r="M3523" t="n">
        <v>0</v>
      </c>
      <c r="N3523" t="n">
        <v>0</v>
      </c>
      <c r="O3523" t="n">
        <v>0</v>
      </c>
      <c r="P3523" t="n">
        <v>0</v>
      </c>
      <c r="Q3523" t="n">
        <v>0</v>
      </c>
      <c r="R3523" s="2" t="inlineStr"/>
    </row>
    <row r="3524" ht="15" customHeight="1">
      <c r="A3524" t="inlineStr">
        <is>
          <t>A 39221-2025</t>
        </is>
      </c>
      <c r="B3524" s="1" t="n">
        <v>45888.93040509259</v>
      </c>
      <c r="C3524" s="1" t="n">
        <v>46075</v>
      </c>
      <c r="D3524" t="inlineStr">
        <is>
          <t>VÄSTERBOTTENS LÄN</t>
        </is>
      </c>
      <c r="E3524" t="inlineStr">
        <is>
          <t>ROBERTSFORS</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39222-2025</t>
        </is>
      </c>
      <c r="B3525" s="1" t="n">
        <v>45888.93484953704</v>
      </c>
      <c r="C3525" s="1" t="n">
        <v>46075</v>
      </c>
      <c r="D3525" t="inlineStr">
        <is>
          <t>VÄSTERBOTTENS LÄN</t>
        </is>
      </c>
      <c r="E3525" t="inlineStr">
        <is>
          <t>ROBERTSFORS</t>
        </is>
      </c>
      <c r="G3525" t="n">
        <v>4</v>
      </c>
      <c r="H3525" t="n">
        <v>0</v>
      </c>
      <c r="I3525" t="n">
        <v>0</v>
      </c>
      <c r="J3525" t="n">
        <v>0</v>
      </c>
      <c r="K3525" t="n">
        <v>0</v>
      </c>
      <c r="L3525" t="n">
        <v>0</v>
      </c>
      <c r="M3525" t="n">
        <v>0</v>
      </c>
      <c r="N3525" t="n">
        <v>0</v>
      </c>
      <c r="O3525" t="n">
        <v>0</v>
      </c>
      <c r="P3525" t="n">
        <v>0</v>
      </c>
      <c r="Q3525" t="n">
        <v>0</v>
      </c>
      <c r="R3525" s="2" t="inlineStr"/>
    </row>
    <row r="3526" ht="15" customHeight="1">
      <c r="A3526" t="inlineStr">
        <is>
          <t>A 39373-2025</t>
        </is>
      </c>
      <c r="B3526" s="1" t="n">
        <v>45889.58655092592</v>
      </c>
      <c r="C3526" s="1" t="n">
        <v>46075</v>
      </c>
      <c r="D3526" t="inlineStr">
        <is>
          <t>VÄSTERBOTTENS LÄN</t>
        </is>
      </c>
      <c r="E3526" t="inlineStr">
        <is>
          <t>UMEÅ</t>
        </is>
      </c>
      <c r="G3526" t="n">
        <v>7.3</v>
      </c>
      <c r="H3526" t="n">
        <v>0</v>
      </c>
      <c r="I3526" t="n">
        <v>0</v>
      </c>
      <c r="J3526" t="n">
        <v>0</v>
      </c>
      <c r="K3526" t="n">
        <v>0</v>
      </c>
      <c r="L3526" t="n">
        <v>0</v>
      </c>
      <c r="M3526" t="n">
        <v>0</v>
      </c>
      <c r="N3526" t="n">
        <v>0</v>
      </c>
      <c r="O3526" t="n">
        <v>0</v>
      </c>
      <c r="P3526" t="n">
        <v>0</v>
      </c>
      <c r="Q3526" t="n">
        <v>0</v>
      </c>
      <c r="R3526" s="2" t="inlineStr"/>
    </row>
    <row r="3527" ht="15" customHeight="1">
      <c r="A3527" t="inlineStr">
        <is>
          <t>A 29229-2025</t>
        </is>
      </c>
      <c r="B3527" s="1" t="n">
        <v>45822</v>
      </c>
      <c r="C3527" s="1" t="n">
        <v>46075</v>
      </c>
      <c r="D3527" t="inlineStr">
        <is>
          <t>VÄSTERBOTTENS LÄN</t>
        </is>
      </c>
      <c r="E3527" t="inlineStr">
        <is>
          <t>SORSELE</t>
        </is>
      </c>
      <c r="G3527" t="n">
        <v>7.8</v>
      </c>
      <c r="H3527" t="n">
        <v>0</v>
      </c>
      <c r="I3527" t="n">
        <v>0</v>
      </c>
      <c r="J3527" t="n">
        <v>0</v>
      </c>
      <c r="K3527" t="n">
        <v>0</v>
      </c>
      <c r="L3527" t="n">
        <v>0</v>
      </c>
      <c r="M3527" t="n">
        <v>0</v>
      </c>
      <c r="N3527" t="n">
        <v>0</v>
      </c>
      <c r="O3527" t="n">
        <v>0</v>
      </c>
      <c r="P3527" t="n">
        <v>0</v>
      </c>
      <c r="Q3527" t="n">
        <v>0</v>
      </c>
      <c r="R3527" s="2" t="inlineStr"/>
    </row>
    <row r="3528" ht="15" customHeight="1">
      <c r="A3528" t="inlineStr">
        <is>
          <t>A 29235-2025</t>
        </is>
      </c>
      <c r="B3528" s="1" t="n">
        <v>45824.34488425926</v>
      </c>
      <c r="C3528" s="1" t="n">
        <v>46075</v>
      </c>
      <c r="D3528" t="inlineStr">
        <is>
          <t>VÄSTERBOTTENS LÄN</t>
        </is>
      </c>
      <c r="E3528" t="inlineStr">
        <is>
          <t>LYCKSELE</t>
        </is>
      </c>
      <c r="G3528" t="n">
        <v>3.3</v>
      </c>
      <c r="H3528" t="n">
        <v>0</v>
      </c>
      <c r="I3528" t="n">
        <v>0</v>
      </c>
      <c r="J3528" t="n">
        <v>0</v>
      </c>
      <c r="K3528" t="n">
        <v>0</v>
      </c>
      <c r="L3528" t="n">
        <v>0</v>
      </c>
      <c r="M3528" t="n">
        <v>0</v>
      </c>
      <c r="N3528" t="n">
        <v>0</v>
      </c>
      <c r="O3528" t="n">
        <v>0</v>
      </c>
      <c r="P3528" t="n">
        <v>0</v>
      </c>
      <c r="Q3528" t="n">
        <v>0</v>
      </c>
      <c r="R3528" s="2" t="inlineStr"/>
    </row>
    <row r="3529" ht="15" customHeight="1">
      <c r="A3529" t="inlineStr">
        <is>
          <t>A 29765-2025</t>
        </is>
      </c>
      <c r="B3529" s="1" t="n">
        <v>45825.61898148148</v>
      </c>
      <c r="C3529" s="1" t="n">
        <v>46075</v>
      </c>
      <c r="D3529" t="inlineStr">
        <is>
          <t>VÄSTERBOTTENS LÄN</t>
        </is>
      </c>
      <c r="E3529" t="inlineStr">
        <is>
          <t>SKELLEFTEÅ</t>
        </is>
      </c>
      <c r="G3529" t="n">
        <v>6.6</v>
      </c>
      <c r="H3529" t="n">
        <v>0</v>
      </c>
      <c r="I3529" t="n">
        <v>0</v>
      </c>
      <c r="J3529" t="n">
        <v>0</v>
      </c>
      <c r="K3529" t="n">
        <v>0</v>
      </c>
      <c r="L3529" t="n">
        <v>0</v>
      </c>
      <c r="M3529" t="n">
        <v>0</v>
      </c>
      <c r="N3529" t="n">
        <v>0</v>
      </c>
      <c r="O3529" t="n">
        <v>0</v>
      </c>
      <c r="P3529" t="n">
        <v>0</v>
      </c>
      <c r="Q3529" t="n">
        <v>0</v>
      </c>
      <c r="R3529" s="2" t="inlineStr"/>
    </row>
    <row r="3530" ht="15" customHeight="1">
      <c r="A3530" t="inlineStr">
        <is>
          <t>A 48006-2023</t>
        </is>
      </c>
      <c r="B3530" s="1" t="n">
        <v>45198</v>
      </c>
      <c r="C3530" s="1" t="n">
        <v>46075</v>
      </c>
      <c r="D3530" t="inlineStr">
        <is>
          <t>VÄSTERBOTTENS LÄN</t>
        </is>
      </c>
      <c r="E3530" t="inlineStr">
        <is>
          <t>DOROTEA</t>
        </is>
      </c>
      <c r="F3530" t="inlineStr">
        <is>
          <t>Övriga statliga verk och myndigheter</t>
        </is>
      </c>
      <c r="G3530" t="n">
        <v>6</v>
      </c>
      <c r="H3530" t="n">
        <v>0</v>
      </c>
      <c r="I3530" t="n">
        <v>0</v>
      </c>
      <c r="J3530" t="n">
        <v>0</v>
      </c>
      <c r="K3530" t="n">
        <v>0</v>
      </c>
      <c r="L3530" t="n">
        <v>0</v>
      </c>
      <c r="M3530" t="n">
        <v>0</v>
      </c>
      <c r="N3530" t="n">
        <v>0</v>
      </c>
      <c r="O3530" t="n">
        <v>0</v>
      </c>
      <c r="P3530" t="n">
        <v>0</v>
      </c>
      <c r="Q3530" t="n">
        <v>0</v>
      </c>
      <c r="R3530" s="2" t="inlineStr"/>
    </row>
    <row r="3531" ht="15" customHeight="1">
      <c r="A3531" t="inlineStr">
        <is>
          <t>A 29774-2025</t>
        </is>
      </c>
      <c r="B3531" s="1" t="n">
        <v>45825.63641203703</v>
      </c>
      <c r="C3531" s="1" t="n">
        <v>46075</v>
      </c>
      <c r="D3531" t="inlineStr">
        <is>
          <t>VÄSTERBOTTENS LÄN</t>
        </is>
      </c>
      <c r="E3531" t="inlineStr">
        <is>
          <t>UMEÅ</t>
        </is>
      </c>
      <c r="G3531" t="n">
        <v>9.800000000000001</v>
      </c>
      <c r="H3531" t="n">
        <v>0</v>
      </c>
      <c r="I3531" t="n">
        <v>0</v>
      </c>
      <c r="J3531" t="n">
        <v>0</v>
      </c>
      <c r="K3531" t="n">
        <v>0</v>
      </c>
      <c r="L3531" t="n">
        <v>0</v>
      </c>
      <c r="M3531" t="n">
        <v>0</v>
      </c>
      <c r="N3531" t="n">
        <v>0</v>
      </c>
      <c r="O3531" t="n">
        <v>0</v>
      </c>
      <c r="P3531" t="n">
        <v>0</v>
      </c>
      <c r="Q3531" t="n">
        <v>0</v>
      </c>
      <c r="R3531" s="2" t="inlineStr"/>
    </row>
    <row r="3532" ht="15" customHeight="1">
      <c r="A3532" t="inlineStr">
        <is>
          <t>A 39263-2025</t>
        </is>
      </c>
      <c r="B3532" s="1" t="n">
        <v>45889.37246527777</v>
      </c>
      <c r="C3532" s="1" t="n">
        <v>46075</v>
      </c>
      <c r="D3532" t="inlineStr">
        <is>
          <t>VÄSTERBOTTENS LÄN</t>
        </is>
      </c>
      <c r="E3532" t="inlineStr">
        <is>
          <t>BJURHOLM</t>
        </is>
      </c>
      <c r="G3532" t="n">
        <v>3.7</v>
      </c>
      <c r="H3532" t="n">
        <v>0</v>
      </c>
      <c r="I3532" t="n">
        <v>0</v>
      </c>
      <c r="J3532" t="n">
        <v>0</v>
      </c>
      <c r="K3532" t="n">
        <v>0</v>
      </c>
      <c r="L3532" t="n">
        <v>0</v>
      </c>
      <c r="M3532" t="n">
        <v>0</v>
      </c>
      <c r="N3532" t="n">
        <v>0</v>
      </c>
      <c r="O3532" t="n">
        <v>0</v>
      </c>
      <c r="P3532" t="n">
        <v>0</v>
      </c>
      <c r="Q3532" t="n">
        <v>0</v>
      </c>
      <c r="R3532" s="2" t="inlineStr"/>
    </row>
    <row r="3533" ht="15" customHeight="1">
      <c r="A3533" t="inlineStr">
        <is>
          <t>A 29712-2025</t>
        </is>
      </c>
      <c r="B3533" s="1" t="n">
        <v>45825.56524305556</v>
      </c>
      <c r="C3533" s="1" t="n">
        <v>46075</v>
      </c>
      <c r="D3533" t="inlineStr">
        <is>
          <t>VÄSTERBOTTENS LÄN</t>
        </is>
      </c>
      <c r="E3533" t="inlineStr">
        <is>
          <t>BJURHOLM</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39315-2025</t>
        </is>
      </c>
      <c r="B3534" s="1" t="n">
        <v>45889</v>
      </c>
      <c r="C3534" s="1" t="n">
        <v>46075</v>
      </c>
      <c r="D3534" t="inlineStr">
        <is>
          <t>VÄSTERBOTTENS LÄN</t>
        </is>
      </c>
      <c r="E3534" t="inlineStr">
        <is>
          <t>ROBERTSFORS</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29663-2025</t>
        </is>
      </c>
      <c r="B3535" s="1" t="n">
        <v>45825.48967592593</v>
      </c>
      <c r="C3535" s="1" t="n">
        <v>46075</v>
      </c>
      <c r="D3535" t="inlineStr">
        <is>
          <t>VÄSTERBOTTENS LÄN</t>
        </is>
      </c>
      <c r="E3535" t="inlineStr">
        <is>
          <t>SKELLEFTEÅ</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29465-2025</t>
        </is>
      </c>
      <c r="B3536" s="1" t="n">
        <v>45824</v>
      </c>
      <c r="C3536" s="1" t="n">
        <v>46075</v>
      </c>
      <c r="D3536" t="inlineStr">
        <is>
          <t>VÄSTERBOTTENS LÄN</t>
        </is>
      </c>
      <c r="E3536" t="inlineStr">
        <is>
          <t>DOROTEA</t>
        </is>
      </c>
      <c r="F3536" t="inlineStr">
        <is>
          <t>SCA</t>
        </is>
      </c>
      <c r="G3536" t="n">
        <v>14.2</v>
      </c>
      <c r="H3536" t="n">
        <v>0</v>
      </c>
      <c r="I3536" t="n">
        <v>0</v>
      </c>
      <c r="J3536" t="n">
        <v>0</v>
      </c>
      <c r="K3536" t="n">
        <v>0</v>
      </c>
      <c r="L3536" t="n">
        <v>0</v>
      </c>
      <c r="M3536" t="n">
        <v>0</v>
      </c>
      <c r="N3536" t="n">
        <v>0</v>
      </c>
      <c r="O3536" t="n">
        <v>0</v>
      </c>
      <c r="P3536" t="n">
        <v>0</v>
      </c>
      <c r="Q3536" t="n">
        <v>0</v>
      </c>
      <c r="R3536" s="2" t="inlineStr"/>
    </row>
    <row r="3537" ht="15" customHeight="1">
      <c r="A3537" t="inlineStr">
        <is>
          <t>A 30791-2025</t>
        </is>
      </c>
      <c r="B3537" s="1" t="n">
        <v>45831.63576388889</v>
      </c>
      <c r="C3537" s="1" t="n">
        <v>46075</v>
      </c>
      <c r="D3537" t="inlineStr">
        <is>
          <t>VÄSTERBOTTENS LÄN</t>
        </is>
      </c>
      <c r="E3537" t="inlineStr">
        <is>
          <t>SKELLEFTEÅ</t>
        </is>
      </c>
      <c r="G3537" t="n">
        <v>3.1</v>
      </c>
      <c r="H3537" t="n">
        <v>0</v>
      </c>
      <c r="I3537" t="n">
        <v>0</v>
      </c>
      <c r="J3537" t="n">
        <v>0</v>
      </c>
      <c r="K3537" t="n">
        <v>0</v>
      </c>
      <c r="L3537" t="n">
        <v>0</v>
      </c>
      <c r="M3537" t="n">
        <v>0</v>
      </c>
      <c r="N3537" t="n">
        <v>0</v>
      </c>
      <c r="O3537" t="n">
        <v>0</v>
      </c>
      <c r="P3537" t="n">
        <v>0</v>
      </c>
      <c r="Q3537" t="n">
        <v>0</v>
      </c>
      <c r="R3537" s="2" t="inlineStr"/>
    </row>
    <row r="3538" ht="15" customHeight="1">
      <c r="A3538" t="inlineStr">
        <is>
          <t>A 38988-2025</t>
        </is>
      </c>
      <c r="B3538" s="1" t="n">
        <v>45888.31405092592</v>
      </c>
      <c r="C3538" s="1" t="n">
        <v>46075</v>
      </c>
      <c r="D3538" t="inlineStr">
        <is>
          <t>VÄSTERBOTTENS LÄN</t>
        </is>
      </c>
      <c r="E3538" t="inlineStr">
        <is>
          <t>LYCKSELE</t>
        </is>
      </c>
      <c r="F3538" t="inlineStr">
        <is>
          <t>Sveaskog</t>
        </is>
      </c>
      <c r="G3538" t="n">
        <v>5.4</v>
      </c>
      <c r="H3538" t="n">
        <v>0</v>
      </c>
      <c r="I3538" t="n">
        <v>0</v>
      </c>
      <c r="J3538" t="n">
        <v>0</v>
      </c>
      <c r="K3538" t="n">
        <v>0</v>
      </c>
      <c r="L3538" t="n">
        <v>0</v>
      </c>
      <c r="M3538" t="n">
        <v>0</v>
      </c>
      <c r="N3538" t="n">
        <v>0</v>
      </c>
      <c r="O3538" t="n">
        <v>0</v>
      </c>
      <c r="P3538" t="n">
        <v>0</v>
      </c>
      <c r="Q3538" t="n">
        <v>0</v>
      </c>
      <c r="R3538" s="2" t="inlineStr"/>
    </row>
    <row r="3539" ht="15" customHeight="1">
      <c r="A3539" t="inlineStr">
        <is>
          <t>A 39104-2025</t>
        </is>
      </c>
      <c r="B3539" s="1" t="n">
        <v>45888.52721064815</v>
      </c>
      <c r="C3539" s="1" t="n">
        <v>46075</v>
      </c>
      <c r="D3539" t="inlineStr">
        <is>
          <t>VÄSTERBOTTENS LÄN</t>
        </is>
      </c>
      <c r="E3539" t="inlineStr">
        <is>
          <t>STORUMAN</t>
        </is>
      </c>
      <c r="G3539" t="n">
        <v>4</v>
      </c>
      <c r="H3539" t="n">
        <v>0</v>
      </c>
      <c r="I3539" t="n">
        <v>0</v>
      </c>
      <c r="J3539" t="n">
        <v>0</v>
      </c>
      <c r="K3539" t="n">
        <v>0</v>
      </c>
      <c r="L3539" t="n">
        <v>0</v>
      </c>
      <c r="M3539" t="n">
        <v>0</v>
      </c>
      <c r="N3539" t="n">
        <v>0</v>
      </c>
      <c r="O3539" t="n">
        <v>0</v>
      </c>
      <c r="P3539" t="n">
        <v>0</v>
      </c>
      <c r="Q3539" t="n">
        <v>0</v>
      </c>
      <c r="R3539" s="2" t="inlineStr"/>
    </row>
    <row r="3540" ht="15" customHeight="1">
      <c r="A3540" t="inlineStr">
        <is>
          <t>A 39109-2025</t>
        </is>
      </c>
      <c r="B3540" s="1" t="n">
        <v>45888.53960648148</v>
      </c>
      <c r="C3540" s="1" t="n">
        <v>46075</v>
      </c>
      <c r="D3540" t="inlineStr">
        <is>
          <t>VÄSTERBOTTENS LÄN</t>
        </is>
      </c>
      <c r="E3540" t="inlineStr">
        <is>
          <t>ÅSELE</t>
        </is>
      </c>
      <c r="G3540" t="n">
        <v>7.1</v>
      </c>
      <c r="H3540" t="n">
        <v>0</v>
      </c>
      <c r="I3540" t="n">
        <v>0</v>
      </c>
      <c r="J3540" t="n">
        <v>0</v>
      </c>
      <c r="K3540" t="n">
        <v>0</v>
      </c>
      <c r="L3540" t="n">
        <v>0</v>
      </c>
      <c r="M3540" t="n">
        <v>0</v>
      </c>
      <c r="N3540" t="n">
        <v>0</v>
      </c>
      <c r="O3540" t="n">
        <v>0</v>
      </c>
      <c r="P3540" t="n">
        <v>0</v>
      </c>
      <c r="Q3540" t="n">
        <v>0</v>
      </c>
      <c r="R3540" s="2" t="inlineStr"/>
    </row>
    <row r="3541" ht="15" customHeight="1">
      <c r="A3541" t="inlineStr">
        <is>
          <t>A 26991-2025</t>
        </is>
      </c>
      <c r="B3541" s="1" t="n">
        <v>45811.52162037037</v>
      </c>
      <c r="C3541" s="1" t="n">
        <v>46075</v>
      </c>
      <c r="D3541" t="inlineStr">
        <is>
          <t>VÄSTERBOTTENS LÄN</t>
        </is>
      </c>
      <c r="E3541" t="inlineStr">
        <is>
          <t>ROBERTSFORS</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27558-2025</t>
        </is>
      </c>
      <c r="B3542" s="1" t="n">
        <v>45813</v>
      </c>
      <c r="C3542" s="1" t="n">
        <v>46075</v>
      </c>
      <c r="D3542" t="inlineStr">
        <is>
          <t>VÄSTERBOTTENS LÄN</t>
        </is>
      </c>
      <c r="E3542" t="inlineStr">
        <is>
          <t>DOROTEA</t>
        </is>
      </c>
      <c r="F3542" t="inlineStr">
        <is>
          <t>SCA</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29468-2025</t>
        </is>
      </c>
      <c r="B3543" s="1" t="n">
        <v>45824.69888888889</v>
      </c>
      <c r="C3543" s="1" t="n">
        <v>46075</v>
      </c>
      <c r="D3543" t="inlineStr">
        <is>
          <t>VÄSTERBOTTENS LÄN</t>
        </is>
      </c>
      <c r="E3543" t="inlineStr">
        <is>
          <t>VILHELMINA</t>
        </is>
      </c>
      <c r="F3543" t="inlineStr">
        <is>
          <t>SCA</t>
        </is>
      </c>
      <c r="G3543" t="n">
        <v>4.5</v>
      </c>
      <c r="H3543" t="n">
        <v>0</v>
      </c>
      <c r="I3543" t="n">
        <v>0</v>
      </c>
      <c r="J3543" t="n">
        <v>0</v>
      </c>
      <c r="K3543" t="n">
        <v>0</v>
      </c>
      <c r="L3543" t="n">
        <v>0</v>
      </c>
      <c r="M3543" t="n">
        <v>0</v>
      </c>
      <c r="N3543" t="n">
        <v>0</v>
      </c>
      <c r="O3543" t="n">
        <v>0</v>
      </c>
      <c r="P3543" t="n">
        <v>0</v>
      </c>
      <c r="Q3543" t="n">
        <v>0</v>
      </c>
      <c r="R3543" s="2" t="inlineStr"/>
    </row>
    <row r="3544" ht="15" customHeight="1">
      <c r="A3544" t="inlineStr">
        <is>
          <t>A 48133-2022</t>
        </is>
      </c>
      <c r="B3544" s="1" t="n">
        <v>44857</v>
      </c>
      <c r="C3544" s="1" t="n">
        <v>46075</v>
      </c>
      <c r="D3544" t="inlineStr">
        <is>
          <t>VÄSTERBOTTENS LÄN</t>
        </is>
      </c>
      <c r="E3544" t="inlineStr">
        <is>
          <t>SKELLEFTEÅ</t>
        </is>
      </c>
      <c r="F3544" t="inlineStr">
        <is>
          <t>Sveaskog</t>
        </is>
      </c>
      <c r="G3544" t="n">
        <v>18.3</v>
      </c>
      <c r="H3544" t="n">
        <v>0</v>
      </c>
      <c r="I3544" t="n">
        <v>0</v>
      </c>
      <c r="J3544" t="n">
        <v>0</v>
      </c>
      <c r="K3544" t="n">
        <v>0</v>
      </c>
      <c r="L3544" t="n">
        <v>0</v>
      </c>
      <c r="M3544" t="n">
        <v>0</v>
      </c>
      <c r="N3544" t="n">
        <v>0</v>
      </c>
      <c r="O3544" t="n">
        <v>0</v>
      </c>
      <c r="P3544" t="n">
        <v>0</v>
      </c>
      <c r="Q3544" t="n">
        <v>0</v>
      </c>
      <c r="R3544" s="2" t="inlineStr"/>
    </row>
    <row r="3545" ht="15" customHeight="1">
      <c r="A3545" t="inlineStr">
        <is>
          <t>A 39151-2025</t>
        </is>
      </c>
      <c r="B3545" s="1" t="n">
        <v>45888.60806712963</v>
      </c>
      <c r="C3545" s="1" t="n">
        <v>46075</v>
      </c>
      <c r="D3545" t="inlineStr">
        <is>
          <t>VÄSTERBOTTENS LÄN</t>
        </is>
      </c>
      <c r="E3545" t="inlineStr">
        <is>
          <t>LYCKSELE</t>
        </is>
      </c>
      <c r="F3545" t="inlineStr">
        <is>
          <t>Sveaskog</t>
        </is>
      </c>
      <c r="G3545" t="n">
        <v>9.300000000000001</v>
      </c>
      <c r="H3545" t="n">
        <v>0</v>
      </c>
      <c r="I3545" t="n">
        <v>0</v>
      </c>
      <c r="J3545" t="n">
        <v>0</v>
      </c>
      <c r="K3545" t="n">
        <v>0</v>
      </c>
      <c r="L3545" t="n">
        <v>0</v>
      </c>
      <c r="M3545" t="n">
        <v>0</v>
      </c>
      <c r="N3545" t="n">
        <v>0</v>
      </c>
      <c r="O3545" t="n">
        <v>0</v>
      </c>
      <c r="P3545" t="n">
        <v>0</v>
      </c>
      <c r="Q3545" t="n">
        <v>0</v>
      </c>
      <c r="R3545" s="2" t="inlineStr"/>
    </row>
    <row r="3546" ht="15" customHeight="1">
      <c r="A3546" t="inlineStr">
        <is>
          <t>A 30221-2023</t>
        </is>
      </c>
      <c r="B3546" s="1" t="n">
        <v>45099</v>
      </c>
      <c r="C3546" s="1" t="n">
        <v>46075</v>
      </c>
      <c r="D3546" t="inlineStr">
        <is>
          <t>VÄSTERBOTTENS LÄN</t>
        </is>
      </c>
      <c r="E3546" t="inlineStr">
        <is>
          <t>VÄNNÄS</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12873-2025</t>
        </is>
      </c>
      <c r="B3547" s="1" t="n">
        <v>45733</v>
      </c>
      <c r="C3547" s="1" t="n">
        <v>46075</v>
      </c>
      <c r="D3547" t="inlineStr">
        <is>
          <t>VÄSTERBOTTENS LÄN</t>
        </is>
      </c>
      <c r="E3547" t="inlineStr">
        <is>
          <t>SKELLEFTEÅ</t>
        </is>
      </c>
      <c r="G3547" t="n">
        <v>0.3</v>
      </c>
      <c r="H3547" t="n">
        <v>0</v>
      </c>
      <c r="I3547" t="n">
        <v>0</v>
      </c>
      <c r="J3547" t="n">
        <v>0</v>
      </c>
      <c r="K3547" t="n">
        <v>0</v>
      </c>
      <c r="L3547" t="n">
        <v>0</v>
      </c>
      <c r="M3547" t="n">
        <v>0</v>
      </c>
      <c r="N3547" t="n">
        <v>0</v>
      </c>
      <c r="O3547" t="n">
        <v>0</v>
      </c>
      <c r="P3547" t="n">
        <v>0</v>
      </c>
      <c r="Q3547" t="n">
        <v>0</v>
      </c>
      <c r="R3547" s="2" t="inlineStr"/>
    </row>
    <row r="3548" ht="15" customHeight="1">
      <c r="A3548" t="inlineStr">
        <is>
          <t>A 29732-2023</t>
        </is>
      </c>
      <c r="B3548" s="1" t="n">
        <v>45107.45042824074</v>
      </c>
      <c r="C3548" s="1" t="n">
        <v>46075</v>
      </c>
      <c r="D3548" t="inlineStr">
        <is>
          <t>VÄSTERBOTTENS LÄN</t>
        </is>
      </c>
      <c r="E3548" t="inlineStr">
        <is>
          <t>SORSELE</t>
        </is>
      </c>
      <c r="G3548" t="n">
        <v>6.7</v>
      </c>
      <c r="H3548" t="n">
        <v>0</v>
      </c>
      <c r="I3548" t="n">
        <v>0</v>
      </c>
      <c r="J3548" t="n">
        <v>0</v>
      </c>
      <c r="K3548" t="n">
        <v>0</v>
      </c>
      <c r="L3548" t="n">
        <v>0</v>
      </c>
      <c r="M3548" t="n">
        <v>0</v>
      </c>
      <c r="N3548" t="n">
        <v>0</v>
      </c>
      <c r="O3548" t="n">
        <v>0</v>
      </c>
      <c r="P3548" t="n">
        <v>0</v>
      </c>
      <c r="Q3548" t="n">
        <v>0</v>
      </c>
      <c r="R3548" s="2" t="inlineStr"/>
    </row>
    <row r="3549" ht="15" customHeight="1">
      <c r="A3549" t="inlineStr">
        <is>
          <t>A 7312-2024</t>
        </is>
      </c>
      <c r="B3549" s="1" t="n">
        <v>45345.34260416667</v>
      </c>
      <c r="C3549" s="1" t="n">
        <v>46075</v>
      </c>
      <c r="D3549" t="inlineStr">
        <is>
          <t>VÄSTERBOTTENS LÄN</t>
        </is>
      </c>
      <c r="E3549" t="inlineStr">
        <is>
          <t>BJURHOLM</t>
        </is>
      </c>
      <c r="G3549" t="n">
        <v>4.4</v>
      </c>
      <c r="H3549" t="n">
        <v>0</v>
      </c>
      <c r="I3549" t="n">
        <v>0</v>
      </c>
      <c r="J3549" t="n">
        <v>0</v>
      </c>
      <c r="K3549" t="n">
        <v>0</v>
      </c>
      <c r="L3549" t="n">
        <v>0</v>
      </c>
      <c r="M3549" t="n">
        <v>0</v>
      </c>
      <c r="N3549" t="n">
        <v>0</v>
      </c>
      <c r="O3549" t="n">
        <v>0</v>
      </c>
      <c r="P3549" t="n">
        <v>0</v>
      </c>
      <c r="Q3549" t="n">
        <v>0</v>
      </c>
      <c r="R3549" s="2" t="inlineStr"/>
    </row>
    <row r="3550" ht="15" customHeight="1">
      <c r="A3550" t="inlineStr">
        <is>
          <t>A 29352-2025</t>
        </is>
      </c>
      <c r="B3550" s="1" t="n">
        <v>45824.54091435186</v>
      </c>
      <c r="C3550" s="1" t="n">
        <v>46075</v>
      </c>
      <c r="D3550" t="inlineStr">
        <is>
          <t>VÄSTERBOTTENS LÄN</t>
        </is>
      </c>
      <c r="E3550" t="inlineStr">
        <is>
          <t>UMEÅ</t>
        </is>
      </c>
      <c r="F3550" t="inlineStr">
        <is>
          <t>Holmen skog AB</t>
        </is>
      </c>
      <c r="G3550" t="n">
        <v>10.8</v>
      </c>
      <c r="H3550" t="n">
        <v>0</v>
      </c>
      <c r="I3550" t="n">
        <v>0</v>
      </c>
      <c r="J3550" t="n">
        <v>0</v>
      </c>
      <c r="K3550" t="n">
        <v>0</v>
      </c>
      <c r="L3550" t="n">
        <v>0</v>
      </c>
      <c r="M3550" t="n">
        <v>0</v>
      </c>
      <c r="N3550" t="n">
        <v>0</v>
      </c>
      <c r="O3550" t="n">
        <v>0</v>
      </c>
      <c r="P3550" t="n">
        <v>0</v>
      </c>
      <c r="Q3550" t="n">
        <v>0</v>
      </c>
      <c r="R3550" s="2" t="inlineStr"/>
    </row>
    <row r="3551" ht="15" customHeight="1">
      <c r="A3551" t="inlineStr">
        <is>
          <t>A 39345-2025</t>
        </is>
      </c>
      <c r="B3551" s="1" t="n">
        <v>45889.53192129629</v>
      </c>
      <c r="C3551" s="1" t="n">
        <v>46075</v>
      </c>
      <c r="D3551" t="inlineStr">
        <is>
          <t>VÄSTERBOTTENS LÄN</t>
        </is>
      </c>
      <c r="E3551" t="inlineStr">
        <is>
          <t>DOROTEA</t>
        </is>
      </c>
      <c r="F3551" t="inlineStr">
        <is>
          <t>SCA</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39349-2025</t>
        </is>
      </c>
      <c r="B3552" s="1" t="n">
        <v>45889.5431712963</v>
      </c>
      <c r="C3552" s="1" t="n">
        <v>46075</v>
      </c>
      <c r="D3552" t="inlineStr">
        <is>
          <t>VÄSTERBOTTENS LÄN</t>
        </is>
      </c>
      <c r="E3552" t="inlineStr">
        <is>
          <t>SKELLEFTEÅ</t>
        </is>
      </c>
      <c r="F3552" t="inlineStr">
        <is>
          <t>Kommuner</t>
        </is>
      </c>
      <c r="G3552" t="n">
        <v>5.2</v>
      </c>
      <c r="H3552" t="n">
        <v>0</v>
      </c>
      <c r="I3552" t="n">
        <v>0</v>
      </c>
      <c r="J3552" t="n">
        <v>0</v>
      </c>
      <c r="K3552" t="n">
        <v>0</v>
      </c>
      <c r="L3552" t="n">
        <v>0</v>
      </c>
      <c r="M3552" t="n">
        <v>0</v>
      </c>
      <c r="N3552" t="n">
        <v>0</v>
      </c>
      <c r="O3552" t="n">
        <v>0</v>
      </c>
      <c r="P3552" t="n">
        <v>0</v>
      </c>
      <c r="Q3552" t="n">
        <v>0</v>
      </c>
      <c r="R3552" s="2" t="inlineStr"/>
    </row>
    <row r="3553" ht="15" customHeight="1">
      <c r="A3553" t="inlineStr">
        <is>
          <t>A 31475-2024</t>
        </is>
      </c>
      <c r="B3553" s="1" t="n">
        <v>45505.95209490741</v>
      </c>
      <c r="C3553" s="1" t="n">
        <v>46075</v>
      </c>
      <c r="D3553" t="inlineStr">
        <is>
          <t>VÄSTERBOTTENS LÄN</t>
        </is>
      </c>
      <c r="E3553" t="inlineStr">
        <is>
          <t>ÅSELE</t>
        </is>
      </c>
      <c r="F3553" t="inlineStr">
        <is>
          <t>SCA</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31497-2024</t>
        </is>
      </c>
      <c r="B3554" s="1" t="n">
        <v>45505.95497685186</v>
      </c>
      <c r="C3554" s="1" t="n">
        <v>46075</v>
      </c>
      <c r="D3554" t="inlineStr">
        <is>
          <t>VÄSTERBOTTENS LÄN</t>
        </is>
      </c>
      <c r="E3554" t="inlineStr">
        <is>
          <t>DOROTEA</t>
        </is>
      </c>
      <c r="F3554" t="inlineStr">
        <is>
          <t>SCA</t>
        </is>
      </c>
      <c r="G3554" t="n">
        <v>4.6</v>
      </c>
      <c r="H3554" t="n">
        <v>0</v>
      </c>
      <c r="I3554" t="n">
        <v>0</v>
      </c>
      <c r="J3554" t="n">
        <v>0</v>
      </c>
      <c r="K3554" t="n">
        <v>0</v>
      </c>
      <c r="L3554" t="n">
        <v>0</v>
      </c>
      <c r="M3554" t="n">
        <v>0</v>
      </c>
      <c r="N3554" t="n">
        <v>0</v>
      </c>
      <c r="O3554" t="n">
        <v>0</v>
      </c>
      <c r="P3554" t="n">
        <v>0</v>
      </c>
      <c r="Q3554" t="n">
        <v>0</v>
      </c>
      <c r="R3554" s="2" t="inlineStr"/>
    </row>
    <row r="3555" ht="15" customHeight="1">
      <c r="A3555" t="inlineStr">
        <is>
          <t>A 42214-2023</t>
        </is>
      </c>
      <c r="B3555" s="1" t="n">
        <v>45179</v>
      </c>
      <c r="C3555" s="1" t="n">
        <v>46075</v>
      </c>
      <c r="D3555" t="inlineStr">
        <is>
          <t>VÄSTERBOTTENS LÄN</t>
        </is>
      </c>
      <c r="E3555" t="inlineStr">
        <is>
          <t>MALÅ</t>
        </is>
      </c>
      <c r="G3555" t="n">
        <v>4.6</v>
      </c>
      <c r="H3555" t="n">
        <v>0</v>
      </c>
      <c r="I3555" t="n">
        <v>0</v>
      </c>
      <c r="J3555" t="n">
        <v>0</v>
      </c>
      <c r="K3555" t="n">
        <v>0</v>
      </c>
      <c r="L3555" t="n">
        <v>0</v>
      </c>
      <c r="M3555" t="n">
        <v>0</v>
      </c>
      <c r="N3555" t="n">
        <v>0</v>
      </c>
      <c r="O3555" t="n">
        <v>0</v>
      </c>
      <c r="P3555" t="n">
        <v>0</v>
      </c>
      <c r="Q3555" t="n">
        <v>0</v>
      </c>
      <c r="R3555" s="2" t="inlineStr"/>
    </row>
    <row r="3556" ht="15" customHeight="1">
      <c r="A3556" t="inlineStr">
        <is>
          <t>A 14352-2025</t>
        </is>
      </c>
      <c r="B3556" s="1" t="n">
        <v>45741.36424768518</v>
      </c>
      <c r="C3556" s="1" t="n">
        <v>46075</v>
      </c>
      <c r="D3556" t="inlineStr">
        <is>
          <t>VÄSTERBOTTENS LÄN</t>
        </is>
      </c>
      <c r="E3556" t="inlineStr">
        <is>
          <t>VINDELN</t>
        </is>
      </c>
      <c r="G3556" t="n">
        <v>9.800000000000001</v>
      </c>
      <c r="H3556" t="n">
        <v>0</v>
      </c>
      <c r="I3556" t="n">
        <v>0</v>
      </c>
      <c r="J3556" t="n">
        <v>0</v>
      </c>
      <c r="K3556" t="n">
        <v>0</v>
      </c>
      <c r="L3556" t="n">
        <v>0</v>
      </c>
      <c r="M3556" t="n">
        <v>0</v>
      </c>
      <c r="N3556" t="n">
        <v>0</v>
      </c>
      <c r="O3556" t="n">
        <v>0</v>
      </c>
      <c r="P3556" t="n">
        <v>0</v>
      </c>
      <c r="Q3556" t="n">
        <v>0</v>
      </c>
      <c r="R3556" s="2" t="inlineStr"/>
    </row>
    <row r="3557" ht="15" customHeight="1">
      <c r="A3557" t="inlineStr">
        <is>
          <t>A 29330-2025</t>
        </is>
      </c>
      <c r="B3557" s="1" t="n">
        <v>45824.48680555556</v>
      </c>
      <c r="C3557" s="1" t="n">
        <v>46075</v>
      </c>
      <c r="D3557" t="inlineStr">
        <is>
          <t>VÄSTERBOTTENS LÄN</t>
        </is>
      </c>
      <c r="E3557" t="inlineStr">
        <is>
          <t>UMEÅ</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29344-2025</t>
        </is>
      </c>
      <c r="B3558" s="1" t="n">
        <v>45824.50795138889</v>
      </c>
      <c r="C3558" s="1" t="n">
        <v>46075</v>
      </c>
      <c r="D3558" t="inlineStr">
        <is>
          <t>VÄSTERBOTTENS LÄN</t>
        </is>
      </c>
      <c r="E3558" t="inlineStr">
        <is>
          <t>UMEÅ</t>
        </is>
      </c>
      <c r="G3558" t="n">
        <v>8</v>
      </c>
      <c r="H3558" t="n">
        <v>0</v>
      </c>
      <c r="I3558" t="n">
        <v>0</v>
      </c>
      <c r="J3558" t="n">
        <v>0</v>
      </c>
      <c r="K3558" t="n">
        <v>0</v>
      </c>
      <c r="L3558" t="n">
        <v>0</v>
      </c>
      <c r="M3558" t="n">
        <v>0</v>
      </c>
      <c r="N3558" t="n">
        <v>0</v>
      </c>
      <c r="O3558" t="n">
        <v>0</v>
      </c>
      <c r="P3558" t="n">
        <v>0</v>
      </c>
      <c r="Q3558" t="n">
        <v>0</v>
      </c>
      <c r="R3558" s="2" t="inlineStr"/>
    </row>
    <row r="3559" ht="15" customHeight="1">
      <c r="A3559" t="inlineStr">
        <is>
          <t>A 17464-2025</t>
        </is>
      </c>
      <c r="B3559" s="1" t="n">
        <v>45757.45982638889</v>
      </c>
      <c r="C3559" s="1" t="n">
        <v>46075</v>
      </c>
      <c r="D3559" t="inlineStr">
        <is>
          <t>VÄSTERBOTTENS LÄN</t>
        </is>
      </c>
      <c r="E3559" t="inlineStr">
        <is>
          <t>ROBERTSFORS</t>
        </is>
      </c>
      <c r="G3559" t="n">
        <v>6.6</v>
      </c>
      <c r="H3559" t="n">
        <v>0</v>
      </c>
      <c r="I3559" t="n">
        <v>0</v>
      </c>
      <c r="J3559" t="n">
        <v>0</v>
      </c>
      <c r="K3559" t="n">
        <v>0</v>
      </c>
      <c r="L3559" t="n">
        <v>0</v>
      </c>
      <c r="M3559" t="n">
        <v>0</v>
      </c>
      <c r="N3559" t="n">
        <v>0</v>
      </c>
      <c r="O3559" t="n">
        <v>0</v>
      </c>
      <c r="P3559" t="n">
        <v>0</v>
      </c>
      <c r="Q3559" t="n">
        <v>0</v>
      </c>
      <c r="R3559" s="2" t="inlineStr"/>
    </row>
    <row r="3560" ht="15" customHeight="1">
      <c r="A3560" t="inlineStr">
        <is>
          <t>A 39251-2025</t>
        </is>
      </c>
      <c r="B3560" s="1" t="n">
        <v>45889.36145833333</v>
      </c>
      <c r="C3560" s="1" t="n">
        <v>46075</v>
      </c>
      <c r="D3560" t="inlineStr">
        <is>
          <t>VÄSTERBOTTENS LÄN</t>
        </is>
      </c>
      <c r="E3560" t="inlineStr">
        <is>
          <t>ÅSELE</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39254-2025</t>
        </is>
      </c>
      <c r="B3561" s="1" t="n">
        <v>45889.36454861111</v>
      </c>
      <c r="C3561" s="1" t="n">
        <v>46075</v>
      </c>
      <c r="D3561" t="inlineStr">
        <is>
          <t>VÄSTERBOTTENS LÄN</t>
        </is>
      </c>
      <c r="E3561" t="inlineStr">
        <is>
          <t>SKELLEFTEÅ</t>
        </is>
      </c>
      <c r="G3561" t="n">
        <v>3.8</v>
      </c>
      <c r="H3561" t="n">
        <v>0</v>
      </c>
      <c r="I3561" t="n">
        <v>0</v>
      </c>
      <c r="J3561" t="n">
        <v>0</v>
      </c>
      <c r="K3561" t="n">
        <v>0</v>
      </c>
      <c r="L3561" t="n">
        <v>0</v>
      </c>
      <c r="M3561" t="n">
        <v>0</v>
      </c>
      <c r="N3561" t="n">
        <v>0</v>
      </c>
      <c r="O3561" t="n">
        <v>0</v>
      </c>
      <c r="P3561" t="n">
        <v>0</v>
      </c>
      <c r="Q3561" t="n">
        <v>0</v>
      </c>
      <c r="R3561" s="2" t="inlineStr"/>
    </row>
    <row r="3562" ht="15" customHeight="1">
      <c r="A3562" t="inlineStr">
        <is>
          <t>A 39255-2025</t>
        </is>
      </c>
      <c r="B3562" s="1" t="n">
        <v>45889.36472222222</v>
      </c>
      <c r="C3562" s="1" t="n">
        <v>46075</v>
      </c>
      <c r="D3562" t="inlineStr">
        <is>
          <t>VÄSTERBOTTENS LÄN</t>
        </is>
      </c>
      <c r="E3562" t="inlineStr">
        <is>
          <t>BJURHOLM</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39257-2025</t>
        </is>
      </c>
      <c r="B3563" s="1" t="n">
        <v>45889.36733796296</v>
      </c>
      <c r="C3563" s="1" t="n">
        <v>46075</v>
      </c>
      <c r="D3563" t="inlineStr">
        <is>
          <t>VÄSTERBOTTENS LÄN</t>
        </is>
      </c>
      <c r="E3563" t="inlineStr">
        <is>
          <t>BJURHOLM</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52679-2022</t>
        </is>
      </c>
      <c r="B3564" s="1" t="n">
        <v>44874</v>
      </c>
      <c r="C3564" s="1" t="n">
        <v>46075</v>
      </c>
      <c r="D3564" t="inlineStr">
        <is>
          <t>VÄSTERBOTTENS LÄN</t>
        </is>
      </c>
      <c r="E3564" t="inlineStr">
        <is>
          <t>UMEÅ</t>
        </is>
      </c>
      <c r="F3564" t="inlineStr">
        <is>
          <t>Sveaskog</t>
        </is>
      </c>
      <c r="G3564" t="n">
        <v>4.2</v>
      </c>
      <c r="H3564" t="n">
        <v>0</v>
      </c>
      <c r="I3564" t="n">
        <v>0</v>
      </c>
      <c r="J3564" t="n">
        <v>0</v>
      </c>
      <c r="K3564" t="n">
        <v>0</v>
      </c>
      <c r="L3564" t="n">
        <v>0</v>
      </c>
      <c r="M3564" t="n">
        <v>0</v>
      </c>
      <c r="N3564" t="n">
        <v>0</v>
      </c>
      <c r="O3564" t="n">
        <v>0</v>
      </c>
      <c r="P3564" t="n">
        <v>0</v>
      </c>
      <c r="Q3564" t="n">
        <v>0</v>
      </c>
      <c r="R3564" s="2" t="inlineStr"/>
    </row>
    <row r="3565" ht="15" customHeight="1">
      <c r="A3565" t="inlineStr">
        <is>
          <t>A 58557-2024</t>
        </is>
      </c>
      <c r="B3565" s="1" t="n">
        <v>45635.46780092592</v>
      </c>
      <c r="C3565" s="1" t="n">
        <v>46075</v>
      </c>
      <c r="D3565" t="inlineStr">
        <is>
          <t>VÄSTERBOTTENS LÄN</t>
        </is>
      </c>
      <c r="E3565" t="inlineStr">
        <is>
          <t>SKELLEFTEÅ</t>
        </is>
      </c>
      <c r="G3565" t="n">
        <v>5.6</v>
      </c>
      <c r="H3565" t="n">
        <v>0</v>
      </c>
      <c r="I3565" t="n">
        <v>0</v>
      </c>
      <c r="J3565" t="n">
        <v>0</v>
      </c>
      <c r="K3565" t="n">
        <v>0</v>
      </c>
      <c r="L3565" t="n">
        <v>0</v>
      </c>
      <c r="M3565" t="n">
        <v>0</v>
      </c>
      <c r="N3565" t="n">
        <v>0</v>
      </c>
      <c r="O3565" t="n">
        <v>0</v>
      </c>
      <c r="P3565" t="n">
        <v>0</v>
      </c>
      <c r="Q3565" t="n">
        <v>0</v>
      </c>
      <c r="R3565" s="2" t="inlineStr"/>
    </row>
    <row r="3566" ht="15" customHeight="1">
      <c r="A3566" t="inlineStr">
        <is>
          <t>A 37133-2022</t>
        </is>
      </c>
      <c r="B3566" s="1" t="n">
        <v>44806</v>
      </c>
      <c r="C3566" s="1" t="n">
        <v>46075</v>
      </c>
      <c r="D3566" t="inlineStr">
        <is>
          <t>VÄSTERBOTTENS LÄN</t>
        </is>
      </c>
      <c r="E3566" t="inlineStr">
        <is>
          <t>NORDMALING</t>
        </is>
      </c>
      <c r="G3566" t="n">
        <v>17.3</v>
      </c>
      <c r="H3566" t="n">
        <v>0</v>
      </c>
      <c r="I3566" t="n">
        <v>0</v>
      </c>
      <c r="J3566" t="n">
        <v>0</v>
      </c>
      <c r="K3566" t="n">
        <v>0</v>
      </c>
      <c r="L3566" t="n">
        <v>0</v>
      </c>
      <c r="M3566" t="n">
        <v>0</v>
      </c>
      <c r="N3566" t="n">
        <v>0</v>
      </c>
      <c r="O3566" t="n">
        <v>0</v>
      </c>
      <c r="P3566" t="n">
        <v>0</v>
      </c>
      <c r="Q3566" t="n">
        <v>0</v>
      </c>
      <c r="R3566" s="2" t="inlineStr"/>
    </row>
    <row r="3567" ht="15" customHeight="1">
      <c r="A3567" t="inlineStr">
        <is>
          <t>A 30167-2025</t>
        </is>
      </c>
      <c r="B3567" s="1" t="n">
        <v>45827</v>
      </c>
      <c r="C3567" s="1" t="n">
        <v>46075</v>
      </c>
      <c r="D3567" t="inlineStr">
        <is>
          <t>VÄSTERBOTTENS LÄN</t>
        </is>
      </c>
      <c r="E3567" t="inlineStr">
        <is>
          <t>ÅSELE</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38583-2022</t>
        </is>
      </c>
      <c r="B3568" s="1" t="n">
        <v>44813.48686342593</v>
      </c>
      <c r="C3568" s="1" t="n">
        <v>46075</v>
      </c>
      <c r="D3568" t="inlineStr">
        <is>
          <t>VÄSTERBOTTENS LÄN</t>
        </is>
      </c>
      <c r="E3568" t="inlineStr">
        <is>
          <t>VINDELN</t>
        </is>
      </c>
      <c r="F3568" t="inlineStr">
        <is>
          <t>Holmen skog AB</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45374-2021</t>
        </is>
      </c>
      <c r="B3569" s="1" t="n">
        <v>44439</v>
      </c>
      <c r="C3569" s="1" t="n">
        <v>46075</v>
      </c>
      <c r="D3569" t="inlineStr">
        <is>
          <t>VÄSTERBOTTENS LÄN</t>
        </is>
      </c>
      <c r="E3569" t="inlineStr">
        <is>
          <t>SORSELE</t>
        </is>
      </c>
      <c r="G3569" t="n">
        <v>7.1</v>
      </c>
      <c r="H3569" t="n">
        <v>0</v>
      </c>
      <c r="I3569" t="n">
        <v>0</v>
      </c>
      <c r="J3569" t="n">
        <v>0</v>
      </c>
      <c r="K3569" t="n">
        <v>0</v>
      </c>
      <c r="L3569" t="n">
        <v>0</v>
      </c>
      <c r="M3569" t="n">
        <v>0</v>
      </c>
      <c r="N3569" t="n">
        <v>0</v>
      </c>
      <c r="O3569" t="n">
        <v>0</v>
      </c>
      <c r="P3569" t="n">
        <v>0</v>
      </c>
      <c r="Q3569" t="n">
        <v>0</v>
      </c>
      <c r="R3569" s="2" t="inlineStr"/>
    </row>
    <row r="3570" ht="15" customHeight="1">
      <c r="A3570" t="inlineStr">
        <is>
          <t>A 56716-2022</t>
        </is>
      </c>
      <c r="B3570" s="1" t="n">
        <v>44893.92828703704</v>
      </c>
      <c r="C3570" s="1" t="n">
        <v>46075</v>
      </c>
      <c r="D3570" t="inlineStr">
        <is>
          <t>VÄSTERBOTTENS LÄN</t>
        </is>
      </c>
      <c r="E3570" t="inlineStr">
        <is>
          <t>NORSJÖ</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45384-2021</t>
        </is>
      </c>
      <c r="B3571" s="1" t="n">
        <v>44440.3184375</v>
      </c>
      <c r="C3571" s="1" t="n">
        <v>46075</v>
      </c>
      <c r="D3571" t="inlineStr">
        <is>
          <t>VÄSTERBOTTENS LÄN</t>
        </is>
      </c>
      <c r="E3571" t="inlineStr">
        <is>
          <t>SKELLEFTEÅ</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42808-2022</t>
        </is>
      </c>
      <c r="B3572" s="1" t="n">
        <v>44832</v>
      </c>
      <c r="C3572" s="1" t="n">
        <v>46075</v>
      </c>
      <c r="D3572" t="inlineStr">
        <is>
          <t>VÄSTERBOTTENS LÄN</t>
        </is>
      </c>
      <c r="E3572" t="inlineStr">
        <is>
          <t>SKELLEFTEÅ</t>
        </is>
      </c>
      <c r="G3572" t="n">
        <v>4.8</v>
      </c>
      <c r="H3572" t="n">
        <v>0</v>
      </c>
      <c r="I3572" t="n">
        <v>0</v>
      </c>
      <c r="J3572" t="n">
        <v>0</v>
      </c>
      <c r="K3572" t="n">
        <v>0</v>
      </c>
      <c r="L3572" t="n">
        <v>0</v>
      </c>
      <c r="M3572" t="n">
        <v>0</v>
      </c>
      <c r="N3572" t="n">
        <v>0</v>
      </c>
      <c r="O3572" t="n">
        <v>0</v>
      </c>
      <c r="P3572" t="n">
        <v>0</v>
      </c>
      <c r="Q3572" t="n">
        <v>0</v>
      </c>
      <c r="R3572" s="2" t="inlineStr"/>
    </row>
    <row r="3573" ht="15" customHeight="1">
      <c r="A3573" t="inlineStr">
        <is>
          <t>A 23633-2024</t>
        </is>
      </c>
      <c r="B3573" s="1" t="n">
        <v>45454</v>
      </c>
      <c r="C3573" s="1" t="n">
        <v>46075</v>
      </c>
      <c r="D3573" t="inlineStr">
        <is>
          <t>VÄSTERBOTTENS LÄN</t>
        </is>
      </c>
      <c r="E3573" t="inlineStr">
        <is>
          <t>MALÅ</t>
        </is>
      </c>
      <c r="G3573" t="n">
        <v>11.8</v>
      </c>
      <c r="H3573" t="n">
        <v>0</v>
      </c>
      <c r="I3573" t="n">
        <v>0</v>
      </c>
      <c r="J3573" t="n">
        <v>0</v>
      </c>
      <c r="K3573" t="n">
        <v>0</v>
      </c>
      <c r="L3573" t="n">
        <v>0</v>
      </c>
      <c r="M3573" t="n">
        <v>0</v>
      </c>
      <c r="N3573" t="n">
        <v>0</v>
      </c>
      <c r="O3573" t="n">
        <v>0</v>
      </c>
      <c r="P3573" t="n">
        <v>0</v>
      </c>
      <c r="Q3573" t="n">
        <v>0</v>
      </c>
      <c r="R3573" s="2" t="inlineStr"/>
    </row>
    <row r="3574" ht="15" customHeight="1">
      <c r="A3574" t="inlineStr">
        <is>
          <t>A 29665-2025</t>
        </is>
      </c>
      <c r="B3574" s="1" t="n">
        <v>45825.49140046296</v>
      </c>
      <c r="C3574" s="1" t="n">
        <v>46075</v>
      </c>
      <c r="D3574" t="inlineStr">
        <is>
          <t>VÄSTERBOTTENS LÄN</t>
        </is>
      </c>
      <c r="E3574" t="inlineStr">
        <is>
          <t>SKELLEFTEÅ</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29604-2025</t>
        </is>
      </c>
      <c r="B3575" s="1" t="n">
        <v>45825.4179050926</v>
      </c>
      <c r="C3575" s="1" t="n">
        <v>46075</v>
      </c>
      <c r="D3575" t="inlineStr">
        <is>
          <t>VÄSTERBOTTENS LÄN</t>
        </is>
      </c>
      <c r="E3575" t="inlineStr">
        <is>
          <t>VINDELN</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39342-2025</t>
        </is>
      </c>
      <c r="B3576" s="1" t="n">
        <v>45889.52583333333</v>
      </c>
      <c r="C3576" s="1" t="n">
        <v>46075</v>
      </c>
      <c r="D3576" t="inlineStr">
        <is>
          <t>VÄSTERBOTTENS LÄN</t>
        </is>
      </c>
      <c r="E3576" t="inlineStr">
        <is>
          <t>LYCKSELE</t>
        </is>
      </c>
      <c r="F3576" t="inlineStr">
        <is>
          <t>Sveaskog</t>
        </is>
      </c>
      <c r="G3576" t="n">
        <v>7.9</v>
      </c>
      <c r="H3576" t="n">
        <v>0</v>
      </c>
      <c r="I3576" t="n">
        <v>0</v>
      </c>
      <c r="J3576" t="n">
        <v>0</v>
      </c>
      <c r="K3576" t="n">
        <v>0</v>
      </c>
      <c r="L3576" t="n">
        <v>0</v>
      </c>
      <c r="M3576" t="n">
        <v>0</v>
      </c>
      <c r="N3576" t="n">
        <v>0</v>
      </c>
      <c r="O3576" t="n">
        <v>0</v>
      </c>
      <c r="P3576" t="n">
        <v>0</v>
      </c>
      <c r="Q3576" t="n">
        <v>0</v>
      </c>
      <c r="R3576" s="2" t="inlineStr"/>
    </row>
    <row r="3577" ht="15" customHeight="1">
      <c r="A3577" t="inlineStr">
        <is>
          <t>A 59290-2024</t>
        </is>
      </c>
      <c r="B3577" s="1" t="n">
        <v>45637.65096064815</v>
      </c>
      <c r="C3577" s="1" t="n">
        <v>46075</v>
      </c>
      <c r="D3577" t="inlineStr">
        <is>
          <t>VÄSTERBOTTENS LÄN</t>
        </is>
      </c>
      <c r="E3577" t="inlineStr">
        <is>
          <t>MALÅ</t>
        </is>
      </c>
      <c r="G3577" t="n">
        <v>10.2</v>
      </c>
      <c r="H3577" t="n">
        <v>0</v>
      </c>
      <c r="I3577" t="n">
        <v>0</v>
      </c>
      <c r="J3577" t="n">
        <v>0</v>
      </c>
      <c r="K3577" t="n">
        <v>0</v>
      </c>
      <c r="L3577" t="n">
        <v>0</v>
      </c>
      <c r="M3577" t="n">
        <v>0</v>
      </c>
      <c r="N3577" t="n">
        <v>0</v>
      </c>
      <c r="O3577" t="n">
        <v>0</v>
      </c>
      <c r="P3577" t="n">
        <v>0</v>
      </c>
      <c r="Q3577" t="n">
        <v>0</v>
      </c>
      <c r="R3577" s="2" t="inlineStr"/>
    </row>
    <row r="3578" ht="15" customHeight="1">
      <c r="A3578" t="inlineStr">
        <is>
          <t>A 39410-2025</t>
        </is>
      </c>
      <c r="B3578" s="1" t="n">
        <v>45889.65439814814</v>
      </c>
      <c r="C3578" s="1" t="n">
        <v>46075</v>
      </c>
      <c r="D3578" t="inlineStr">
        <is>
          <t>VÄSTERBOTTENS LÄN</t>
        </is>
      </c>
      <c r="E3578" t="inlineStr">
        <is>
          <t>BJURHOLM</t>
        </is>
      </c>
      <c r="F3578" t="inlineStr">
        <is>
          <t>Holmen skog AB</t>
        </is>
      </c>
      <c r="G3578" t="n">
        <v>3.8</v>
      </c>
      <c r="H3578" t="n">
        <v>0</v>
      </c>
      <c r="I3578" t="n">
        <v>0</v>
      </c>
      <c r="J3578" t="n">
        <v>0</v>
      </c>
      <c r="K3578" t="n">
        <v>0</v>
      </c>
      <c r="L3578" t="n">
        <v>0</v>
      </c>
      <c r="M3578" t="n">
        <v>0</v>
      </c>
      <c r="N3578" t="n">
        <v>0</v>
      </c>
      <c r="O3578" t="n">
        <v>0</v>
      </c>
      <c r="P3578" t="n">
        <v>0</v>
      </c>
      <c r="Q3578" t="n">
        <v>0</v>
      </c>
      <c r="R3578" s="2" t="inlineStr"/>
    </row>
    <row r="3579" ht="15" customHeight="1">
      <c r="A3579" t="inlineStr">
        <is>
          <t>A 51949-2024</t>
        </is>
      </c>
      <c r="B3579" s="1" t="n">
        <v>45607.63787037037</v>
      </c>
      <c r="C3579" s="1" t="n">
        <v>46075</v>
      </c>
      <c r="D3579" t="inlineStr">
        <is>
          <t>VÄSTERBOTTENS LÄN</t>
        </is>
      </c>
      <c r="E3579" t="inlineStr">
        <is>
          <t>ROBERTSFORS</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59324-2024</t>
        </is>
      </c>
      <c r="B3580" s="1" t="n">
        <v>45637.72047453704</v>
      </c>
      <c r="C3580" s="1" t="n">
        <v>46075</v>
      </c>
      <c r="D3580" t="inlineStr">
        <is>
          <t>VÄSTERBOTTENS LÄN</t>
        </is>
      </c>
      <c r="E3580" t="inlineStr">
        <is>
          <t>SKELLEFTEÅ</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29613-2025</t>
        </is>
      </c>
      <c r="B3581" s="1" t="n">
        <v>45825</v>
      </c>
      <c r="C3581" s="1" t="n">
        <v>46075</v>
      </c>
      <c r="D3581" t="inlineStr">
        <is>
          <t>VÄSTERBOTTENS LÄN</t>
        </is>
      </c>
      <c r="E3581" t="inlineStr">
        <is>
          <t>SKELLEFTEÅ</t>
        </is>
      </c>
      <c r="G3581" t="n">
        <v>0.1</v>
      </c>
      <c r="H3581" t="n">
        <v>0</v>
      </c>
      <c r="I3581" t="n">
        <v>0</v>
      </c>
      <c r="J3581" t="n">
        <v>0</v>
      </c>
      <c r="K3581" t="n">
        <v>0</v>
      </c>
      <c r="L3581" t="n">
        <v>0</v>
      </c>
      <c r="M3581" t="n">
        <v>0</v>
      </c>
      <c r="N3581" t="n">
        <v>0</v>
      </c>
      <c r="O3581" t="n">
        <v>0</v>
      </c>
      <c r="P3581" t="n">
        <v>0</v>
      </c>
      <c r="Q3581" t="n">
        <v>0</v>
      </c>
      <c r="R3581" s="2" t="inlineStr"/>
    </row>
    <row r="3582" ht="15" customHeight="1">
      <c r="A3582" t="inlineStr">
        <is>
          <t>A 11651-2025</t>
        </is>
      </c>
      <c r="B3582" s="1" t="n">
        <v>45727.4807175926</v>
      </c>
      <c r="C3582" s="1" t="n">
        <v>46075</v>
      </c>
      <c r="D3582" t="inlineStr">
        <is>
          <t>VÄSTERBOTTENS LÄN</t>
        </is>
      </c>
      <c r="E3582" t="inlineStr">
        <is>
          <t>NORDMALING</t>
        </is>
      </c>
      <c r="G3582" t="n">
        <v>7.5</v>
      </c>
      <c r="H3582" t="n">
        <v>0</v>
      </c>
      <c r="I3582" t="n">
        <v>0</v>
      </c>
      <c r="J3582" t="n">
        <v>0</v>
      </c>
      <c r="K3582" t="n">
        <v>0</v>
      </c>
      <c r="L3582" t="n">
        <v>0</v>
      </c>
      <c r="M3582" t="n">
        <v>0</v>
      </c>
      <c r="N3582" t="n">
        <v>0</v>
      </c>
      <c r="O3582" t="n">
        <v>0</v>
      </c>
      <c r="P3582" t="n">
        <v>0</v>
      </c>
      <c r="Q3582" t="n">
        <v>0</v>
      </c>
      <c r="R3582" s="2" t="inlineStr"/>
    </row>
    <row r="3583" ht="15" customHeight="1">
      <c r="A3583" t="inlineStr">
        <is>
          <t>A 24825-2025</t>
        </is>
      </c>
      <c r="B3583" s="1" t="n">
        <v>45799.45575231482</v>
      </c>
      <c r="C3583" s="1" t="n">
        <v>46075</v>
      </c>
      <c r="D3583" t="inlineStr">
        <is>
          <t>VÄSTERBOTTENS LÄN</t>
        </is>
      </c>
      <c r="E3583" t="inlineStr">
        <is>
          <t>SKELLEFTEÅ</t>
        </is>
      </c>
      <c r="G3583" t="n">
        <v>10.2</v>
      </c>
      <c r="H3583" t="n">
        <v>0</v>
      </c>
      <c r="I3583" t="n">
        <v>0</v>
      </c>
      <c r="J3583" t="n">
        <v>0</v>
      </c>
      <c r="K3583" t="n">
        <v>0</v>
      </c>
      <c r="L3583" t="n">
        <v>0</v>
      </c>
      <c r="M3583" t="n">
        <v>0</v>
      </c>
      <c r="N3583" t="n">
        <v>0</v>
      </c>
      <c r="O3583" t="n">
        <v>0</v>
      </c>
      <c r="P3583" t="n">
        <v>0</v>
      </c>
      <c r="Q3583" t="n">
        <v>0</v>
      </c>
      <c r="R3583" s="2" t="inlineStr"/>
    </row>
    <row r="3584" ht="15" customHeight="1">
      <c r="A3584" t="inlineStr">
        <is>
          <t>A 2258-2025</t>
        </is>
      </c>
      <c r="B3584" s="1" t="n">
        <v>45673.51619212963</v>
      </c>
      <c r="C3584" s="1" t="n">
        <v>46075</v>
      </c>
      <c r="D3584" t="inlineStr">
        <is>
          <t>VÄSTERBOTTENS LÄN</t>
        </is>
      </c>
      <c r="E3584" t="inlineStr">
        <is>
          <t>UMEÅ</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29579-2025</t>
        </is>
      </c>
      <c r="B3585" s="1" t="n">
        <v>45825.37862268519</v>
      </c>
      <c r="C3585" s="1" t="n">
        <v>46075</v>
      </c>
      <c r="D3585" t="inlineStr">
        <is>
          <t>VÄSTERBOTTENS LÄN</t>
        </is>
      </c>
      <c r="E3585" t="inlineStr">
        <is>
          <t>NORDMALING</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39343-2025</t>
        </is>
      </c>
      <c r="B3586" s="1" t="n">
        <v>45889.53162037037</v>
      </c>
      <c r="C3586" s="1" t="n">
        <v>46075</v>
      </c>
      <c r="D3586" t="inlineStr">
        <is>
          <t>VÄSTERBOTTENS LÄN</t>
        </is>
      </c>
      <c r="E3586" t="inlineStr">
        <is>
          <t>DOROTEA</t>
        </is>
      </c>
      <c r="F3586" t="inlineStr">
        <is>
          <t>SCA</t>
        </is>
      </c>
      <c r="G3586" t="n">
        <v>3.8</v>
      </c>
      <c r="H3586" t="n">
        <v>0</v>
      </c>
      <c r="I3586" t="n">
        <v>0</v>
      </c>
      <c r="J3586" t="n">
        <v>0</v>
      </c>
      <c r="K3586" t="n">
        <v>0</v>
      </c>
      <c r="L3586" t="n">
        <v>0</v>
      </c>
      <c r="M3586" t="n">
        <v>0</v>
      </c>
      <c r="N3586" t="n">
        <v>0</v>
      </c>
      <c r="O3586" t="n">
        <v>0</v>
      </c>
      <c r="P3586" t="n">
        <v>0</v>
      </c>
      <c r="Q3586" t="n">
        <v>0</v>
      </c>
      <c r="R3586" s="2" t="inlineStr"/>
    </row>
    <row r="3587" ht="15" customHeight="1">
      <c r="A3587" t="inlineStr">
        <is>
          <t>A 39064-2025</t>
        </is>
      </c>
      <c r="B3587" s="1" t="n">
        <v>45888.46336805556</v>
      </c>
      <c r="C3587" s="1" t="n">
        <v>46075</v>
      </c>
      <c r="D3587" t="inlineStr">
        <is>
          <t>VÄSTERBOTTENS LÄN</t>
        </is>
      </c>
      <c r="E3587" t="inlineStr">
        <is>
          <t>SKELLEFTEÅ</t>
        </is>
      </c>
      <c r="F3587" t="inlineStr">
        <is>
          <t>Holmen skog AB</t>
        </is>
      </c>
      <c r="G3587" t="n">
        <v>10</v>
      </c>
      <c r="H3587" t="n">
        <v>0</v>
      </c>
      <c r="I3587" t="n">
        <v>0</v>
      </c>
      <c r="J3587" t="n">
        <v>0</v>
      </c>
      <c r="K3587" t="n">
        <v>0</v>
      </c>
      <c r="L3587" t="n">
        <v>0</v>
      </c>
      <c r="M3587" t="n">
        <v>0</v>
      </c>
      <c r="N3587" t="n">
        <v>0</v>
      </c>
      <c r="O3587" t="n">
        <v>0</v>
      </c>
      <c r="P3587" t="n">
        <v>0</v>
      </c>
      <c r="Q3587" t="n">
        <v>0</v>
      </c>
      <c r="R3587" s="2" t="inlineStr"/>
    </row>
    <row r="3588" ht="15" customHeight="1">
      <c r="A3588" t="inlineStr">
        <is>
          <t>A 55233-2024</t>
        </is>
      </c>
      <c r="B3588" s="1" t="n">
        <v>45620</v>
      </c>
      <c r="C3588" s="1" t="n">
        <v>46075</v>
      </c>
      <c r="D3588" t="inlineStr">
        <is>
          <t>VÄSTERBOTTENS LÄN</t>
        </is>
      </c>
      <c r="E3588" t="inlineStr">
        <is>
          <t>SKELLEFTEÅ</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55253-2024</t>
        </is>
      </c>
      <c r="B3589" s="1" t="n">
        <v>45620</v>
      </c>
      <c r="C3589" s="1" t="n">
        <v>46075</v>
      </c>
      <c r="D3589" t="inlineStr">
        <is>
          <t>VÄSTERBOTTENS LÄN</t>
        </is>
      </c>
      <c r="E3589" t="inlineStr">
        <is>
          <t>SKELLEFTEÅ</t>
        </is>
      </c>
      <c r="G3589" t="n">
        <v>3.5</v>
      </c>
      <c r="H3589" t="n">
        <v>0</v>
      </c>
      <c r="I3589" t="n">
        <v>0</v>
      </c>
      <c r="J3589" t="n">
        <v>0</v>
      </c>
      <c r="K3589" t="n">
        <v>0</v>
      </c>
      <c r="L3589" t="n">
        <v>0</v>
      </c>
      <c r="M3589" t="n">
        <v>0</v>
      </c>
      <c r="N3589" t="n">
        <v>0</v>
      </c>
      <c r="O3589" t="n">
        <v>0</v>
      </c>
      <c r="P3589" t="n">
        <v>0</v>
      </c>
      <c r="Q3589" t="n">
        <v>0</v>
      </c>
      <c r="R3589" s="2" t="inlineStr"/>
    </row>
    <row r="3590" ht="15" customHeight="1">
      <c r="A3590" t="inlineStr">
        <is>
          <t>A 39105-2025</t>
        </is>
      </c>
      <c r="B3590" s="1" t="n">
        <v>45888.52792824074</v>
      </c>
      <c r="C3590" s="1" t="n">
        <v>46075</v>
      </c>
      <c r="D3590" t="inlineStr">
        <is>
          <t>VÄSTERBOTTENS LÄN</t>
        </is>
      </c>
      <c r="E3590" t="inlineStr">
        <is>
          <t>SKELLEFTEÅ</t>
        </is>
      </c>
      <c r="F3590" t="inlineStr">
        <is>
          <t>Holmen skog AB</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50945-2024</t>
        </is>
      </c>
      <c r="B3591" s="1" t="n">
        <v>45602</v>
      </c>
      <c r="C3591" s="1" t="n">
        <v>46075</v>
      </c>
      <c r="D3591" t="inlineStr">
        <is>
          <t>VÄSTERBOTTENS LÄN</t>
        </is>
      </c>
      <c r="E3591" t="inlineStr">
        <is>
          <t>SORSELE</t>
        </is>
      </c>
      <c r="G3591" t="n">
        <v>12.7</v>
      </c>
      <c r="H3591" t="n">
        <v>0</v>
      </c>
      <c r="I3591" t="n">
        <v>0</v>
      </c>
      <c r="J3591" t="n">
        <v>0</v>
      </c>
      <c r="K3591" t="n">
        <v>0</v>
      </c>
      <c r="L3591" t="n">
        <v>0</v>
      </c>
      <c r="M3591" t="n">
        <v>0</v>
      </c>
      <c r="N3591" t="n">
        <v>0</v>
      </c>
      <c r="O3591" t="n">
        <v>0</v>
      </c>
      <c r="P3591" t="n">
        <v>0</v>
      </c>
      <c r="Q3591" t="n">
        <v>0</v>
      </c>
      <c r="R3591" s="2" t="inlineStr"/>
    </row>
    <row r="3592" ht="15" customHeight="1">
      <c r="A3592" t="inlineStr">
        <is>
          <t>A 39890-2025</t>
        </is>
      </c>
      <c r="B3592" s="1" t="n">
        <v>45891.62754629629</v>
      </c>
      <c r="C3592" s="1" t="n">
        <v>46075</v>
      </c>
      <c r="D3592" t="inlineStr">
        <is>
          <t>VÄSTERBOTTENS LÄN</t>
        </is>
      </c>
      <c r="E3592" t="inlineStr">
        <is>
          <t>SKELLEFTEÅ</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39900-2025</t>
        </is>
      </c>
      <c r="B3593" s="1" t="n">
        <v>45891.63541666666</v>
      </c>
      <c r="C3593" s="1" t="n">
        <v>46075</v>
      </c>
      <c r="D3593" t="inlineStr">
        <is>
          <t>VÄSTERBOTTENS LÄN</t>
        </is>
      </c>
      <c r="E3593" t="inlineStr">
        <is>
          <t>BJURHOLM</t>
        </is>
      </c>
      <c r="F3593" t="inlineStr">
        <is>
          <t>Holmen skog AB</t>
        </is>
      </c>
      <c r="G3593" t="n">
        <v>18.1</v>
      </c>
      <c r="H3593" t="n">
        <v>0</v>
      </c>
      <c r="I3593" t="n">
        <v>0</v>
      </c>
      <c r="J3593" t="n">
        <v>0</v>
      </c>
      <c r="K3593" t="n">
        <v>0</v>
      </c>
      <c r="L3593" t="n">
        <v>0</v>
      </c>
      <c r="M3593" t="n">
        <v>0</v>
      </c>
      <c r="N3593" t="n">
        <v>0</v>
      </c>
      <c r="O3593" t="n">
        <v>0</v>
      </c>
      <c r="P3593" t="n">
        <v>0</v>
      </c>
      <c r="Q3593" t="n">
        <v>0</v>
      </c>
      <c r="R3593" s="2" t="inlineStr"/>
    </row>
    <row r="3594" ht="15" customHeight="1">
      <c r="A3594" t="inlineStr">
        <is>
          <t>A 39649-2025</t>
        </is>
      </c>
      <c r="B3594" s="1" t="n">
        <v>45890.61537037037</v>
      </c>
      <c r="C3594" s="1" t="n">
        <v>46075</v>
      </c>
      <c r="D3594" t="inlineStr">
        <is>
          <t>VÄSTERBOTTENS LÄN</t>
        </is>
      </c>
      <c r="E3594" t="inlineStr">
        <is>
          <t>NORDMALING</t>
        </is>
      </c>
      <c r="F3594" t="inlineStr">
        <is>
          <t>SCA</t>
        </is>
      </c>
      <c r="G3594" t="n">
        <v>19.5</v>
      </c>
      <c r="H3594" t="n">
        <v>0</v>
      </c>
      <c r="I3594" t="n">
        <v>0</v>
      </c>
      <c r="J3594" t="n">
        <v>0</v>
      </c>
      <c r="K3594" t="n">
        <v>0</v>
      </c>
      <c r="L3594" t="n">
        <v>0</v>
      </c>
      <c r="M3594" t="n">
        <v>0</v>
      </c>
      <c r="N3594" t="n">
        <v>0</v>
      </c>
      <c r="O3594" t="n">
        <v>0</v>
      </c>
      <c r="P3594" t="n">
        <v>0</v>
      </c>
      <c r="Q3594" t="n">
        <v>0</v>
      </c>
      <c r="R3594" s="2" t="inlineStr"/>
    </row>
    <row r="3595" ht="15" customHeight="1">
      <c r="A3595" t="inlineStr">
        <is>
          <t>A 39989-2025</t>
        </is>
      </c>
      <c r="B3595" s="1" t="n">
        <v>45891</v>
      </c>
      <c r="C3595" s="1" t="n">
        <v>46075</v>
      </c>
      <c r="D3595" t="inlineStr">
        <is>
          <t>VÄSTERBOTTENS LÄN</t>
        </is>
      </c>
      <c r="E3595" t="inlineStr">
        <is>
          <t>NORSJÖ</t>
        </is>
      </c>
      <c r="G3595" t="n">
        <v>48.2</v>
      </c>
      <c r="H3595" t="n">
        <v>0</v>
      </c>
      <c r="I3595" t="n">
        <v>0</v>
      </c>
      <c r="J3595" t="n">
        <v>0</v>
      </c>
      <c r="K3595" t="n">
        <v>0</v>
      </c>
      <c r="L3595" t="n">
        <v>0</v>
      </c>
      <c r="M3595" t="n">
        <v>0</v>
      </c>
      <c r="N3595" t="n">
        <v>0</v>
      </c>
      <c r="O3595" t="n">
        <v>0</v>
      </c>
      <c r="P3595" t="n">
        <v>0</v>
      </c>
      <c r="Q3595" t="n">
        <v>0</v>
      </c>
      <c r="R3595" s="2" t="inlineStr"/>
    </row>
    <row r="3596" ht="15" customHeight="1">
      <c r="A3596" t="inlineStr">
        <is>
          <t>A 38590-2021</t>
        </is>
      </c>
      <c r="B3596" s="1" t="n">
        <v>44407</v>
      </c>
      <c r="C3596" s="1" t="n">
        <v>46075</v>
      </c>
      <c r="D3596" t="inlineStr">
        <is>
          <t>VÄSTERBOTTENS LÄN</t>
        </is>
      </c>
      <c r="E3596" t="inlineStr">
        <is>
          <t>ÅSELE</t>
        </is>
      </c>
      <c r="F3596" t="inlineStr">
        <is>
          <t>SCA</t>
        </is>
      </c>
      <c r="G3596" t="n">
        <v>107.3</v>
      </c>
      <c r="H3596" t="n">
        <v>0</v>
      </c>
      <c r="I3596" t="n">
        <v>0</v>
      </c>
      <c r="J3596" t="n">
        <v>0</v>
      </c>
      <c r="K3596" t="n">
        <v>0</v>
      </c>
      <c r="L3596" t="n">
        <v>0</v>
      </c>
      <c r="M3596" t="n">
        <v>0</v>
      </c>
      <c r="N3596" t="n">
        <v>0</v>
      </c>
      <c r="O3596" t="n">
        <v>0</v>
      </c>
      <c r="P3596" t="n">
        <v>0</v>
      </c>
      <c r="Q3596" t="n">
        <v>0</v>
      </c>
      <c r="R3596" s="2" t="inlineStr"/>
    </row>
    <row r="3597" ht="15" customHeight="1">
      <c r="A3597" t="inlineStr">
        <is>
          <t>A 40510-2024</t>
        </is>
      </c>
      <c r="B3597" s="1" t="n">
        <v>45555.58457175926</v>
      </c>
      <c r="C3597" s="1" t="n">
        <v>46075</v>
      </c>
      <c r="D3597" t="inlineStr">
        <is>
          <t>VÄSTERBOTTENS LÄN</t>
        </is>
      </c>
      <c r="E3597" t="inlineStr">
        <is>
          <t>VINDELN</t>
        </is>
      </c>
      <c r="F3597" t="inlineStr">
        <is>
          <t>Naturvårdsverket</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39677-2025</t>
        </is>
      </c>
      <c r="B3598" s="1" t="n">
        <v>45890.65048611111</v>
      </c>
      <c r="C3598" s="1" t="n">
        <v>46075</v>
      </c>
      <c r="D3598" t="inlineStr">
        <is>
          <t>VÄSTERBOTTENS LÄN</t>
        </is>
      </c>
      <c r="E3598" t="inlineStr">
        <is>
          <t>ROBERTSFORS</t>
        </is>
      </c>
      <c r="F3598" t="inlineStr">
        <is>
          <t>Holmen skog AB</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39705-2025</t>
        </is>
      </c>
      <c r="B3599" s="1" t="n">
        <v>45890.73013888889</v>
      </c>
      <c r="C3599" s="1" t="n">
        <v>46075</v>
      </c>
      <c r="D3599" t="inlineStr">
        <is>
          <t>VÄSTERBOTTENS LÄN</t>
        </is>
      </c>
      <c r="E3599" t="inlineStr">
        <is>
          <t>SKELLEFTEÅ</t>
        </is>
      </c>
      <c r="F3599" t="inlineStr">
        <is>
          <t>Sveaskog</t>
        </is>
      </c>
      <c r="G3599" t="n">
        <v>4.8</v>
      </c>
      <c r="H3599" t="n">
        <v>0</v>
      </c>
      <c r="I3599" t="n">
        <v>0</v>
      </c>
      <c r="J3599" t="n">
        <v>0</v>
      </c>
      <c r="K3599" t="n">
        <v>0</v>
      </c>
      <c r="L3599" t="n">
        <v>0</v>
      </c>
      <c r="M3599" t="n">
        <v>0</v>
      </c>
      <c r="N3599" t="n">
        <v>0</v>
      </c>
      <c r="O3599" t="n">
        <v>0</v>
      </c>
      <c r="P3599" t="n">
        <v>0</v>
      </c>
      <c r="Q3599" t="n">
        <v>0</v>
      </c>
      <c r="R3599" s="2" t="inlineStr"/>
    </row>
    <row r="3600" ht="15" customHeight="1">
      <c r="A3600" t="inlineStr">
        <is>
          <t>A 1964-2025</t>
        </is>
      </c>
      <c r="B3600" s="1" t="n">
        <v>45672.37693287037</v>
      </c>
      <c r="C3600" s="1" t="n">
        <v>46075</v>
      </c>
      <c r="D3600" t="inlineStr">
        <is>
          <t>VÄSTERBOTTENS LÄN</t>
        </is>
      </c>
      <c r="E3600" t="inlineStr">
        <is>
          <t>SKELLEFTEÅ</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1980-2025</t>
        </is>
      </c>
      <c r="B3601" s="1" t="n">
        <v>45671</v>
      </c>
      <c r="C3601" s="1" t="n">
        <v>46075</v>
      </c>
      <c r="D3601" t="inlineStr">
        <is>
          <t>VÄSTERBOTTENS LÄN</t>
        </is>
      </c>
      <c r="E3601" t="inlineStr">
        <is>
          <t>SKELLEFTEÅ</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10770-2024</t>
        </is>
      </c>
      <c r="B3602" s="1" t="n">
        <v>45369</v>
      </c>
      <c r="C3602" s="1" t="n">
        <v>46075</v>
      </c>
      <c r="D3602" t="inlineStr">
        <is>
          <t>VÄSTERBOTTENS LÄN</t>
        </is>
      </c>
      <c r="E3602" t="inlineStr">
        <is>
          <t>ÅSELE</t>
        </is>
      </c>
      <c r="F3602" t="inlineStr">
        <is>
          <t>Holmen skog AB</t>
        </is>
      </c>
      <c r="G3602" t="n">
        <v>4.2</v>
      </c>
      <c r="H3602" t="n">
        <v>0</v>
      </c>
      <c r="I3602" t="n">
        <v>0</v>
      </c>
      <c r="J3602" t="n">
        <v>0</v>
      </c>
      <c r="K3602" t="n">
        <v>0</v>
      </c>
      <c r="L3602" t="n">
        <v>0</v>
      </c>
      <c r="M3602" t="n">
        <v>0</v>
      </c>
      <c r="N3602" t="n">
        <v>0</v>
      </c>
      <c r="O3602" t="n">
        <v>0</v>
      </c>
      <c r="P3602" t="n">
        <v>0</v>
      </c>
      <c r="Q3602" t="n">
        <v>0</v>
      </c>
      <c r="R3602" s="2" t="inlineStr"/>
    </row>
    <row r="3603" ht="15" customHeight="1">
      <c r="A3603" t="inlineStr">
        <is>
          <t>A 39521-2025</t>
        </is>
      </c>
      <c r="B3603" s="1" t="n">
        <v>45890.43667824074</v>
      </c>
      <c r="C3603" s="1" t="n">
        <v>46075</v>
      </c>
      <c r="D3603" t="inlineStr">
        <is>
          <t>VÄSTERBOTTENS LÄN</t>
        </is>
      </c>
      <c r="E3603" t="inlineStr">
        <is>
          <t>LYCKSELE</t>
        </is>
      </c>
      <c r="F3603" t="inlineStr">
        <is>
          <t>Sveaskog</t>
        </is>
      </c>
      <c r="G3603" t="n">
        <v>20.2</v>
      </c>
      <c r="H3603" t="n">
        <v>0</v>
      </c>
      <c r="I3603" t="n">
        <v>0</v>
      </c>
      <c r="J3603" t="n">
        <v>0</v>
      </c>
      <c r="K3603" t="n">
        <v>0</v>
      </c>
      <c r="L3603" t="n">
        <v>0</v>
      </c>
      <c r="M3603" t="n">
        <v>0</v>
      </c>
      <c r="N3603" t="n">
        <v>0</v>
      </c>
      <c r="O3603" t="n">
        <v>0</v>
      </c>
      <c r="P3603" t="n">
        <v>0</v>
      </c>
      <c r="Q3603" t="n">
        <v>0</v>
      </c>
      <c r="R3603" s="2" t="inlineStr"/>
    </row>
    <row r="3604" ht="15" customHeight="1">
      <c r="A3604" t="inlineStr">
        <is>
          <t>A 71850-2021</t>
        </is>
      </c>
      <c r="B3604" s="1" t="n">
        <v>44543.64056712963</v>
      </c>
      <c r="C3604" s="1" t="n">
        <v>46075</v>
      </c>
      <c r="D3604" t="inlineStr">
        <is>
          <t>VÄSTERBOTTENS LÄN</t>
        </is>
      </c>
      <c r="E3604" t="inlineStr">
        <is>
          <t>STORUMAN</t>
        </is>
      </c>
      <c r="F3604" t="inlineStr">
        <is>
          <t>Holmen skog AB</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39556-2025</t>
        </is>
      </c>
      <c r="B3605" s="1" t="n">
        <v>45890</v>
      </c>
      <c r="C3605" s="1" t="n">
        <v>46075</v>
      </c>
      <c r="D3605" t="inlineStr">
        <is>
          <t>VÄSTERBOTTENS LÄN</t>
        </is>
      </c>
      <c r="E3605" t="inlineStr">
        <is>
          <t>ÅSELE</t>
        </is>
      </c>
      <c r="F3605" t="inlineStr">
        <is>
          <t>SCA</t>
        </is>
      </c>
      <c r="G3605" t="n">
        <v>5.7</v>
      </c>
      <c r="H3605" t="n">
        <v>0</v>
      </c>
      <c r="I3605" t="n">
        <v>0</v>
      </c>
      <c r="J3605" t="n">
        <v>0</v>
      </c>
      <c r="K3605" t="n">
        <v>0</v>
      </c>
      <c r="L3605" t="n">
        <v>0</v>
      </c>
      <c r="M3605" t="n">
        <v>0</v>
      </c>
      <c r="N3605" t="n">
        <v>0</v>
      </c>
      <c r="O3605" t="n">
        <v>0</v>
      </c>
      <c r="P3605" t="n">
        <v>0</v>
      </c>
      <c r="Q3605" t="n">
        <v>0</v>
      </c>
      <c r="R3605" s="2" t="inlineStr"/>
    </row>
    <row r="3606" ht="15" customHeight="1">
      <c r="A3606" t="inlineStr">
        <is>
          <t>A 39562-2025</t>
        </is>
      </c>
      <c r="B3606" s="1" t="n">
        <v>45890.47592592592</v>
      </c>
      <c r="C3606" s="1" t="n">
        <v>46075</v>
      </c>
      <c r="D3606" t="inlineStr">
        <is>
          <t>VÄSTERBOTTENS LÄN</t>
        </is>
      </c>
      <c r="E3606" t="inlineStr">
        <is>
          <t>LYCKSELE</t>
        </is>
      </c>
      <c r="F3606" t="inlineStr">
        <is>
          <t>Sveaskog</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39589-2025</t>
        </is>
      </c>
      <c r="B3607" s="1" t="n">
        <v>45890.5162037037</v>
      </c>
      <c r="C3607" s="1" t="n">
        <v>46075</v>
      </c>
      <c r="D3607" t="inlineStr">
        <is>
          <t>VÄSTERBOTTENS LÄN</t>
        </is>
      </c>
      <c r="E3607" t="inlineStr">
        <is>
          <t>SKELLEFTEÅ</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35189-2022</t>
        </is>
      </c>
      <c r="B3608" s="1" t="n">
        <v>44797</v>
      </c>
      <c r="C3608" s="1" t="n">
        <v>46075</v>
      </c>
      <c r="D3608" t="inlineStr">
        <is>
          <t>VÄSTERBOTTENS LÄN</t>
        </is>
      </c>
      <c r="E3608" t="inlineStr">
        <is>
          <t>SKELLEFTEÅ</t>
        </is>
      </c>
      <c r="F3608" t="inlineStr">
        <is>
          <t>Holmen skog AB</t>
        </is>
      </c>
      <c r="G3608" t="n">
        <v>3.5</v>
      </c>
      <c r="H3608" t="n">
        <v>0</v>
      </c>
      <c r="I3608" t="n">
        <v>0</v>
      </c>
      <c r="J3608" t="n">
        <v>0</v>
      </c>
      <c r="K3608" t="n">
        <v>0</v>
      </c>
      <c r="L3608" t="n">
        <v>0</v>
      </c>
      <c r="M3608" t="n">
        <v>0</v>
      </c>
      <c r="N3608" t="n">
        <v>0</v>
      </c>
      <c r="O3608" t="n">
        <v>0</v>
      </c>
      <c r="P3608" t="n">
        <v>0</v>
      </c>
      <c r="Q3608" t="n">
        <v>0</v>
      </c>
      <c r="R3608" s="2" t="inlineStr"/>
    </row>
    <row r="3609" ht="15" customHeight="1">
      <c r="A3609" t="inlineStr">
        <is>
          <t>A 30101-2025</t>
        </is>
      </c>
      <c r="B3609" s="1" t="n">
        <v>45826.68275462963</v>
      </c>
      <c r="C3609" s="1" t="n">
        <v>46075</v>
      </c>
      <c r="D3609" t="inlineStr">
        <is>
          <t>VÄSTERBOTTENS LÄN</t>
        </is>
      </c>
      <c r="E3609" t="inlineStr">
        <is>
          <t>LYCKSELE</t>
        </is>
      </c>
      <c r="F3609" t="inlineStr">
        <is>
          <t>Holmen skog AB</t>
        </is>
      </c>
      <c r="G3609" t="n">
        <v>8.1</v>
      </c>
      <c r="H3609" t="n">
        <v>0</v>
      </c>
      <c r="I3609" t="n">
        <v>0</v>
      </c>
      <c r="J3609" t="n">
        <v>0</v>
      </c>
      <c r="K3609" t="n">
        <v>0</v>
      </c>
      <c r="L3609" t="n">
        <v>0</v>
      </c>
      <c r="M3609" t="n">
        <v>0</v>
      </c>
      <c r="N3609" t="n">
        <v>0</v>
      </c>
      <c r="O3609" t="n">
        <v>0</v>
      </c>
      <c r="P3609" t="n">
        <v>0</v>
      </c>
      <c r="Q3609" t="n">
        <v>0</v>
      </c>
      <c r="R3609" s="2" t="inlineStr"/>
    </row>
    <row r="3610" ht="15" customHeight="1">
      <c r="A3610" t="inlineStr">
        <is>
          <t>A 39647-2025</t>
        </is>
      </c>
      <c r="B3610" s="1" t="n">
        <v>45890</v>
      </c>
      <c r="C3610" s="1" t="n">
        <v>46075</v>
      </c>
      <c r="D3610" t="inlineStr">
        <is>
          <t>VÄSTERBOTTENS LÄN</t>
        </is>
      </c>
      <c r="E3610" t="inlineStr">
        <is>
          <t>ÅSELE</t>
        </is>
      </c>
      <c r="F3610" t="inlineStr">
        <is>
          <t>SCA</t>
        </is>
      </c>
      <c r="G3610" t="n">
        <v>11.4</v>
      </c>
      <c r="H3610" t="n">
        <v>0</v>
      </c>
      <c r="I3610" t="n">
        <v>0</v>
      </c>
      <c r="J3610" t="n">
        <v>0</v>
      </c>
      <c r="K3610" t="n">
        <v>0</v>
      </c>
      <c r="L3610" t="n">
        <v>0</v>
      </c>
      <c r="M3610" t="n">
        <v>0</v>
      </c>
      <c r="N3610" t="n">
        <v>0</v>
      </c>
      <c r="O3610" t="n">
        <v>0</v>
      </c>
      <c r="P3610" t="n">
        <v>0</v>
      </c>
      <c r="Q3610" t="n">
        <v>0</v>
      </c>
      <c r="R3610" s="2" t="inlineStr"/>
    </row>
    <row r="3611" ht="15" customHeight="1">
      <c r="A3611" t="inlineStr">
        <is>
          <t>A 39566-2025</t>
        </is>
      </c>
      <c r="B3611" s="1" t="n">
        <v>45890.4875925926</v>
      </c>
      <c r="C3611" s="1" t="n">
        <v>46075</v>
      </c>
      <c r="D3611" t="inlineStr">
        <is>
          <t>VÄSTERBOTTENS LÄN</t>
        </is>
      </c>
      <c r="E3611" t="inlineStr">
        <is>
          <t>VINDELN</t>
        </is>
      </c>
      <c r="G3611" t="n">
        <v>5.5</v>
      </c>
      <c r="H3611" t="n">
        <v>0</v>
      </c>
      <c r="I3611" t="n">
        <v>0</v>
      </c>
      <c r="J3611" t="n">
        <v>0</v>
      </c>
      <c r="K3611" t="n">
        <v>0</v>
      </c>
      <c r="L3611" t="n">
        <v>0</v>
      </c>
      <c r="M3611" t="n">
        <v>0</v>
      </c>
      <c r="N3611" t="n">
        <v>0</v>
      </c>
      <c r="O3611" t="n">
        <v>0</v>
      </c>
      <c r="P3611" t="n">
        <v>0</v>
      </c>
      <c r="Q3611" t="n">
        <v>0</v>
      </c>
      <c r="R3611" s="2" t="inlineStr"/>
    </row>
    <row r="3612" ht="15" customHeight="1">
      <c r="A3612" t="inlineStr">
        <is>
          <t>A 32464-2023</t>
        </is>
      </c>
      <c r="B3612" s="1" t="n">
        <v>45120.92650462963</v>
      </c>
      <c r="C3612" s="1" t="n">
        <v>46075</v>
      </c>
      <c r="D3612" t="inlineStr">
        <is>
          <t>VÄSTERBOTTENS LÄN</t>
        </is>
      </c>
      <c r="E3612" t="inlineStr">
        <is>
          <t>UMEÅ</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39571-2025</t>
        </is>
      </c>
      <c r="B3613" s="1" t="n">
        <v>45890.49021990741</v>
      </c>
      <c r="C3613" s="1" t="n">
        <v>46075</v>
      </c>
      <c r="D3613" t="inlineStr">
        <is>
          <t>VÄSTERBOTTENS LÄN</t>
        </is>
      </c>
      <c r="E3613" t="inlineStr">
        <is>
          <t>VILHELMINA</t>
        </is>
      </c>
      <c r="F3613" t="inlineStr">
        <is>
          <t>SCA</t>
        </is>
      </c>
      <c r="G3613" t="n">
        <v>3.7</v>
      </c>
      <c r="H3613" t="n">
        <v>0</v>
      </c>
      <c r="I3613" t="n">
        <v>0</v>
      </c>
      <c r="J3613" t="n">
        <v>0</v>
      </c>
      <c r="K3613" t="n">
        <v>0</v>
      </c>
      <c r="L3613" t="n">
        <v>0</v>
      </c>
      <c r="M3613" t="n">
        <v>0</v>
      </c>
      <c r="N3613" t="n">
        <v>0</v>
      </c>
      <c r="O3613" t="n">
        <v>0</v>
      </c>
      <c r="P3613" t="n">
        <v>0</v>
      </c>
      <c r="Q3613" t="n">
        <v>0</v>
      </c>
      <c r="R3613" s="2" t="inlineStr"/>
    </row>
    <row r="3614" ht="15" customHeight="1">
      <c r="A3614" t="inlineStr">
        <is>
          <t>A 29925-2025</t>
        </is>
      </c>
      <c r="B3614" s="1" t="n">
        <v>45826.42918981481</v>
      </c>
      <c r="C3614" s="1" t="n">
        <v>46075</v>
      </c>
      <c r="D3614" t="inlineStr">
        <is>
          <t>VÄSTERBOTTENS LÄN</t>
        </is>
      </c>
      <c r="E3614" t="inlineStr">
        <is>
          <t>UMEÅ</t>
        </is>
      </c>
      <c r="G3614" t="n">
        <v>8.4</v>
      </c>
      <c r="H3614" t="n">
        <v>0</v>
      </c>
      <c r="I3614" t="n">
        <v>0</v>
      </c>
      <c r="J3614" t="n">
        <v>0</v>
      </c>
      <c r="K3614" t="n">
        <v>0</v>
      </c>
      <c r="L3614" t="n">
        <v>0</v>
      </c>
      <c r="M3614" t="n">
        <v>0</v>
      </c>
      <c r="N3614" t="n">
        <v>0</v>
      </c>
      <c r="O3614" t="n">
        <v>0</v>
      </c>
      <c r="P3614" t="n">
        <v>0</v>
      </c>
      <c r="Q3614" t="n">
        <v>0</v>
      </c>
      <c r="R3614" s="2" t="inlineStr"/>
    </row>
    <row r="3615" ht="15" customHeight="1">
      <c r="A3615" t="inlineStr">
        <is>
          <t>A 39936-2025</t>
        </is>
      </c>
      <c r="B3615" s="1" t="n">
        <v>45891</v>
      </c>
      <c r="C3615" s="1" t="n">
        <v>46075</v>
      </c>
      <c r="D3615" t="inlineStr">
        <is>
          <t>VÄSTERBOTTENS LÄN</t>
        </is>
      </c>
      <c r="E3615" t="inlineStr">
        <is>
          <t>LYCKSELE</t>
        </is>
      </c>
      <c r="G3615" t="n">
        <v>9</v>
      </c>
      <c r="H3615" t="n">
        <v>0</v>
      </c>
      <c r="I3615" t="n">
        <v>0</v>
      </c>
      <c r="J3615" t="n">
        <v>0</v>
      </c>
      <c r="K3615" t="n">
        <v>0</v>
      </c>
      <c r="L3615" t="n">
        <v>0</v>
      </c>
      <c r="M3615" t="n">
        <v>0</v>
      </c>
      <c r="N3615" t="n">
        <v>0</v>
      </c>
      <c r="O3615" t="n">
        <v>0</v>
      </c>
      <c r="P3615" t="n">
        <v>0</v>
      </c>
      <c r="Q3615" t="n">
        <v>0</v>
      </c>
      <c r="R3615" s="2" t="inlineStr"/>
    </row>
    <row r="3616" ht="15" customHeight="1">
      <c r="A3616" t="inlineStr">
        <is>
          <t>A 20751-2025</t>
        </is>
      </c>
      <c r="B3616" s="1" t="n">
        <v>45776</v>
      </c>
      <c r="C3616" s="1" t="n">
        <v>46075</v>
      </c>
      <c r="D3616" t="inlineStr">
        <is>
          <t>VÄSTERBOTTENS LÄN</t>
        </is>
      </c>
      <c r="E3616" t="inlineStr">
        <is>
          <t>ROBERTSFORS</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29947-2025</t>
        </is>
      </c>
      <c r="B3617" s="1" t="n">
        <v>45826</v>
      </c>
      <c r="C3617" s="1" t="n">
        <v>46075</v>
      </c>
      <c r="D3617" t="inlineStr">
        <is>
          <t>VÄSTERBOTTENS LÄN</t>
        </is>
      </c>
      <c r="E3617" t="inlineStr">
        <is>
          <t>ÅSELE</t>
        </is>
      </c>
      <c r="F3617" t="inlineStr">
        <is>
          <t>Sveaskog</t>
        </is>
      </c>
      <c r="G3617" t="n">
        <v>15.4</v>
      </c>
      <c r="H3617" t="n">
        <v>0</v>
      </c>
      <c r="I3617" t="n">
        <v>0</v>
      </c>
      <c r="J3617" t="n">
        <v>0</v>
      </c>
      <c r="K3617" t="n">
        <v>0</v>
      </c>
      <c r="L3617" t="n">
        <v>0</v>
      </c>
      <c r="M3617" t="n">
        <v>0</v>
      </c>
      <c r="N3617" t="n">
        <v>0</v>
      </c>
      <c r="O3617" t="n">
        <v>0</v>
      </c>
      <c r="P3617" t="n">
        <v>0</v>
      </c>
      <c r="Q3617" t="n">
        <v>0</v>
      </c>
      <c r="R3617" s="2" t="inlineStr"/>
    </row>
    <row r="3618" ht="15" customHeight="1">
      <c r="A3618" t="inlineStr">
        <is>
          <t>A 39472-2025</t>
        </is>
      </c>
      <c r="B3618" s="1" t="n">
        <v>45890.34418981482</v>
      </c>
      <c r="C3618" s="1" t="n">
        <v>46075</v>
      </c>
      <c r="D3618" t="inlineStr">
        <is>
          <t>VÄSTERBOTTENS LÄN</t>
        </is>
      </c>
      <c r="E3618" t="inlineStr">
        <is>
          <t>ÅSELE</t>
        </is>
      </c>
      <c r="F3618" t="inlineStr">
        <is>
          <t>SCA</t>
        </is>
      </c>
      <c r="G3618" t="n">
        <v>8.6</v>
      </c>
      <c r="H3618" t="n">
        <v>0</v>
      </c>
      <c r="I3618" t="n">
        <v>0</v>
      </c>
      <c r="J3618" t="n">
        <v>0</v>
      </c>
      <c r="K3618" t="n">
        <v>0</v>
      </c>
      <c r="L3618" t="n">
        <v>0</v>
      </c>
      <c r="M3618" t="n">
        <v>0</v>
      </c>
      <c r="N3618" t="n">
        <v>0</v>
      </c>
      <c r="O3618" t="n">
        <v>0</v>
      </c>
      <c r="P3618" t="n">
        <v>0</v>
      </c>
      <c r="Q3618" t="n">
        <v>0</v>
      </c>
      <c r="R3618" s="2" t="inlineStr"/>
    </row>
    <row r="3619" ht="15" customHeight="1">
      <c r="A3619" t="inlineStr">
        <is>
          <t>A 39477-2025</t>
        </is>
      </c>
      <c r="B3619" s="1" t="n">
        <v>45890.34474537037</v>
      </c>
      <c r="C3619" s="1" t="n">
        <v>46075</v>
      </c>
      <c r="D3619" t="inlineStr">
        <is>
          <t>VÄSTERBOTTENS LÄN</t>
        </is>
      </c>
      <c r="E3619" t="inlineStr">
        <is>
          <t>SKELLEFTEÅ</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39491-2025</t>
        </is>
      </c>
      <c r="B3620" s="1" t="n">
        <v>45890.37449074074</v>
      </c>
      <c r="C3620" s="1" t="n">
        <v>46075</v>
      </c>
      <c r="D3620" t="inlineStr">
        <is>
          <t>VÄSTERBOTTENS LÄN</t>
        </is>
      </c>
      <c r="E3620" t="inlineStr">
        <is>
          <t>BJURHOLM</t>
        </is>
      </c>
      <c r="F3620" t="inlineStr">
        <is>
          <t>Holmen skog AB</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39573-2025</t>
        </is>
      </c>
      <c r="B3621" s="1" t="n">
        <v>45890.49130787037</v>
      </c>
      <c r="C3621" s="1" t="n">
        <v>46075</v>
      </c>
      <c r="D3621" t="inlineStr">
        <is>
          <t>VÄSTERBOTTENS LÄN</t>
        </is>
      </c>
      <c r="E3621" t="inlineStr">
        <is>
          <t>NORDMALING</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39591-2025</t>
        </is>
      </c>
      <c r="B3622" s="1" t="n">
        <v>45890</v>
      </c>
      <c r="C3622" s="1" t="n">
        <v>46075</v>
      </c>
      <c r="D3622" t="inlineStr">
        <is>
          <t>VÄSTERBOTTENS LÄN</t>
        </is>
      </c>
      <c r="E3622" t="inlineStr">
        <is>
          <t>ÅSELE</t>
        </is>
      </c>
      <c r="F3622" t="inlineStr">
        <is>
          <t>SCA</t>
        </is>
      </c>
      <c r="G3622" t="n">
        <v>13.5</v>
      </c>
      <c r="H3622" t="n">
        <v>0</v>
      </c>
      <c r="I3622" t="n">
        <v>0</v>
      </c>
      <c r="J3622" t="n">
        <v>0</v>
      </c>
      <c r="K3622" t="n">
        <v>0</v>
      </c>
      <c r="L3622" t="n">
        <v>0</v>
      </c>
      <c r="M3622" t="n">
        <v>0</v>
      </c>
      <c r="N3622" t="n">
        <v>0</v>
      </c>
      <c r="O3622" t="n">
        <v>0</v>
      </c>
      <c r="P3622" t="n">
        <v>0</v>
      </c>
      <c r="Q3622" t="n">
        <v>0</v>
      </c>
      <c r="R3622" s="2" t="inlineStr"/>
    </row>
    <row r="3623" ht="15" customHeight="1">
      <c r="A3623" t="inlineStr">
        <is>
          <t>A 39476-2025</t>
        </is>
      </c>
      <c r="B3623" s="1" t="n">
        <v>45890.3446412037</v>
      </c>
      <c r="C3623" s="1" t="n">
        <v>46075</v>
      </c>
      <c r="D3623" t="inlineStr">
        <is>
          <t>VÄSTERBOTTENS LÄN</t>
        </is>
      </c>
      <c r="E3623" t="inlineStr">
        <is>
          <t>VINDELN</t>
        </is>
      </c>
      <c r="F3623" t="inlineStr">
        <is>
          <t>SCA</t>
        </is>
      </c>
      <c r="G3623" t="n">
        <v>3.9</v>
      </c>
      <c r="H3623" t="n">
        <v>0</v>
      </c>
      <c r="I3623" t="n">
        <v>0</v>
      </c>
      <c r="J3623" t="n">
        <v>0</v>
      </c>
      <c r="K3623" t="n">
        <v>0</v>
      </c>
      <c r="L3623" t="n">
        <v>0</v>
      </c>
      <c r="M3623" t="n">
        <v>0</v>
      </c>
      <c r="N3623" t="n">
        <v>0</v>
      </c>
      <c r="O3623" t="n">
        <v>0</v>
      </c>
      <c r="P3623" t="n">
        <v>0</v>
      </c>
      <c r="Q3623" t="n">
        <v>0</v>
      </c>
      <c r="R3623" s="2" t="inlineStr"/>
    </row>
    <row r="3624" ht="15" customHeight="1">
      <c r="A3624" t="inlineStr">
        <is>
          <t>A 39500-2025</t>
        </is>
      </c>
      <c r="B3624" s="1" t="n">
        <v>45890</v>
      </c>
      <c r="C3624" s="1" t="n">
        <v>46075</v>
      </c>
      <c r="D3624" t="inlineStr">
        <is>
          <t>VÄSTERBOTTENS LÄN</t>
        </is>
      </c>
      <c r="E3624" t="inlineStr">
        <is>
          <t>LYCKSELE</t>
        </is>
      </c>
      <c r="G3624" t="n">
        <v>22.6</v>
      </c>
      <c r="H3624" t="n">
        <v>0</v>
      </c>
      <c r="I3624" t="n">
        <v>0</v>
      </c>
      <c r="J3624" t="n">
        <v>0</v>
      </c>
      <c r="K3624" t="n">
        <v>0</v>
      </c>
      <c r="L3624" t="n">
        <v>0</v>
      </c>
      <c r="M3624" t="n">
        <v>0</v>
      </c>
      <c r="N3624" t="n">
        <v>0</v>
      </c>
      <c r="O3624" t="n">
        <v>0</v>
      </c>
      <c r="P3624" t="n">
        <v>0</v>
      </c>
      <c r="Q3624" t="n">
        <v>0</v>
      </c>
      <c r="R3624" s="2" t="inlineStr"/>
    </row>
    <row r="3625" ht="15" customHeight="1">
      <c r="A3625" t="inlineStr">
        <is>
          <t>A 39517-2025</t>
        </is>
      </c>
      <c r="B3625" s="1" t="n">
        <v>45890.42685185185</v>
      </c>
      <c r="C3625" s="1" t="n">
        <v>46075</v>
      </c>
      <c r="D3625" t="inlineStr">
        <is>
          <t>VÄSTERBOTTENS LÄN</t>
        </is>
      </c>
      <c r="E3625" t="inlineStr">
        <is>
          <t>LYCKSELE</t>
        </is>
      </c>
      <c r="F3625" t="inlineStr">
        <is>
          <t>Sveaskog</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39522-2025</t>
        </is>
      </c>
      <c r="B3626" s="1" t="n">
        <v>45890.43673611111</v>
      </c>
      <c r="C3626" s="1" t="n">
        <v>46075</v>
      </c>
      <c r="D3626" t="inlineStr">
        <is>
          <t>VÄSTERBOTTENS LÄN</t>
        </is>
      </c>
      <c r="E3626" t="inlineStr">
        <is>
          <t>SKELLEFTEÅ</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39523-2025</t>
        </is>
      </c>
      <c r="B3627" s="1" t="n">
        <v>45890.43826388889</v>
      </c>
      <c r="C3627" s="1" t="n">
        <v>46075</v>
      </c>
      <c r="D3627" t="inlineStr">
        <is>
          <t>VÄSTERBOTTENS LÄN</t>
        </is>
      </c>
      <c r="E3627" t="inlineStr">
        <is>
          <t>UMEÅ</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38578-2022</t>
        </is>
      </c>
      <c r="B3628" s="1" t="n">
        <v>44813.48444444445</v>
      </c>
      <c r="C3628" s="1" t="n">
        <v>46075</v>
      </c>
      <c r="D3628" t="inlineStr">
        <is>
          <t>VÄSTERBOTTENS LÄN</t>
        </is>
      </c>
      <c r="E3628" t="inlineStr">
        <is>
          <t>SKELLEFTEÅ</t>
        </is>
      </c>
      <c r="F3628" t="inlineStr">
        <is>
          <t>Holmen skog AB</t>
        </is>
      </c>
      <c r="G3628" t="n">
        <v>8.199999999999999</v>
      </c>
      <c r="H3628" t="n">
        <v>0</v>
      </c>
      <c r="I3628" t="n">
        <v>0</v>
      </c>
      <c r="J3628" t="n">
        <v>0</v>
      </c>
      <c r="K3628" t="n">
        <v>0</v>
      </c>
      <c r="L3628" t="n">
        <v>0</v>
      </c>
      <c r="M3628" t="n">
        <v>0</v>
      </c>
      <c r="N3628" t="n">
        <v>0</v>
      </c>
      <c r="O3628" t="n">
        <v>0</v>
      </c>
      <c r="P3628" t="n">
        <v>0</v>
      </c>
      <c r="Q3628" t="n">
        <v>0</v>
      </c>
      <c r="R3628" s="2" t="inlineStr"/>
    </row>
    <row r="3629" ht="15" customHeight="1">
      <c r="A3629" t="inlineStr">
        <is>
          <t>A 39711-2025</t>
        </is>
      </c>
      <c r="B3629" s="1" t="n">
        <v>45890.85729166667</v>
      </c>
      <c r="C3629" s="1" t="n">
        <v>46075</v>
      </c>
      <c r="D3629" t="inlineStr">
        <is>
          <t>VÄSTERBOTTENS LÄN</t>
        </is>
      </c>
      <c r="E3629" t="inlineStr">
        <is>
          <t>STORUMAN</t>
        </is>
      </c>
      <c r="G3629" t="n">
        <v>9.6</v>
      </c>
      <c r="H3629" t="n">
        <v>0</v>
      </c>
      <c r="I3629" t="n">
        <v>0</v>
      </c>
      <c r="J3629" t="n">
        <v>0</v>
      </c>
      <c r="K3629" t="n">
        <v>0</v>
      </c>
      <c r="L3629" t="n">
        <v>0</v>
      </c>
      <c r="M3629" t="n">
        <v>0</v>
      </c>
      <c r="N3629" t="n">
        <v>0</v>
      </c>
      <c r="O3629" t="n">
        <v>0</v>
      </c>
      <c r="P3629" t="n">
        <v>0</v>
      </c>
      <c r="Q3629" t="n">
        <v>0</v>
      </c>
      <c r="R3629" s="2" t="inlineStr"/>
    </row>
    <row r="3630" ht="15" customHeight="1">
      <c r="A3630" t="inlineStr">
        <is>
          <t>A 39722-2025</t>
        </is>
      </c>
      <c r="B3630" s="1" t="n">
        <v>45891.33292824074</v>
      </c>
      <c r="C3630" s="1" t="n">
        <v>46075</v>
      </c>
      <c r="D3630" t="inlineStr">
        <is>
          <t>VÄSTERBOTTENS LÄN</t>
        </is>
      </c>
      <c r="E3630" t="inlineStr">
        <is>
          <t>NORSJÖ</t>
        </is>
      </c>
      <c r="F3630" t="inlineStr">
        <is>
          <t>Holmen skog AB</t>
        </is>
      </c>
      <c r="G3630" t="n">
        <v>15.9</v>
      </c>
      <c r="H3630" t="n">
        <v>0</v>
      </c>
      <c r="I3630" t="n">
        <v>0</v>
      </c>
      <c r="J3630" t="n">
        <v>0</v>
      </c>
      <c r="K3630" t="n">
        <v>0</v>
      </c>
      <c r="L3630" t="n">
        <v>0</v>
      </c>
      <c r="M3630" t="n">
        <v>0</v>
      </c>
      <c r="N3630" t="n">
        <v>0</v>
      </c>
      <c r="O3630" t="n">
        <v>0</v>
      </c>
      <c r="P3630" t="n">
        <v>0</v>
      </c>
      <c r="Q3630" t="n">
        <v>0</v>
      </c>
      <c r="R3630" s="2" t="inlineStr"/>
    </row>
    <row r="3631" ht="15" customHeight="1">
      <c r="A3631" t="inlineStr">
        <is>
          <t>A 39730-2025</t>
        </is>
      </c>
      <c r="B3631" s="1" t="n">
        <v>45891.34827546297</v>
      </c>
      <c r="C3631" s="1" t="n">
        <v>46075</v>
      </c>
      <c r="D3631" t="inlineStr">
        <is>
          <t>VÄSTERBOTTENS LÄN</t>
        </is>
      </c>
      <c r="E3631" t="inlineStr">
        <is>
          <t>ROBERTSFORS</t>
        </is>
      </c>
      <c r="G3631" t="n">
        <v>3.3</v>
      </c>
      <c r="H3631" t="n">
        <v>0</v>
      </c>
      <c r="I3631" t="n">
        <v>0</v>
      </c>
      <c r="J3631" t="n">
        <v>0</v>
      </c>
      <c r="K3631" t="n">
        <v>0</v>
      </c>
      <c r="L3631" t="n">
        <v>0</v>
      </c>
      <c r="M3631" t="n">
        <v>0</v>
      </c>
      <c r="N3631" t="n">
        <v>0</v>
      </c>
      <c r="O3631" t="n">
        <v>0</v>
      </c>
      <c r="P3631" t="n">
        <v>0</v>
      </c>
      <c r="Q3631" t="n">
        <v>0</v>
      </c>
      <c r="R3631" s="2" t="inlineStr"/>
    </row>
    <row r="3632" ht="15" customHeight="1">
      <c r="A3632" t="inlineStr">
        <is>
          <t>A 39733-2025</t>
        </is>
      </c>
      <c r="B3632" s="1" t="n">
        <v>45891.36577546296</v>
      </c>
      <c r="C3632" s="1" t="n">
        <v>46075</v>
      </c>
      <c r="D3632" t="inlineStr">
        <is>
          <t>VÄSTERBOTTENS LÄN</t>
        </is>
      </c>
      <c r="E3632" t="inlineStr">
        <is>
          <t>SKELLEFTEÅ</t>
        </is>
      </c>
      <c r="G3632" t="n">
        <v>4.9</v>
      </c>
      <c r="H3632" t="n">
        <v>0</v>
      </c>
      <c r="I3632" t="n">
        <v>0</v>
      </c>
      <c r="J3632" t="n">
        <v>0</v>
      </c>
      <c r="K3632" t="n">
        <v>0</v>
      </c>
      <c r="L3632" t="n">
        <v>0</v>
      </c>
      <c r="M3632" t="n">
        <v>0</v>
      </c>
      <c r="N3632" t="n">
        <v>0</v>
      </c>
      <c r="O3632" t="n">
        <v>0</v>
      </c>
      <c r="P3632" t="n">
        <v>0</v>
      </c>
      <c r="Q3632" t="n">
        <v>0</v>
      </c>
      <c r="R3632" s="2" t="inlineStr"/>
    </row>
    <row r="3633" ht="15" customHeight="1">
      <c r="A3633" t="inlineStr">
        <is>
          <t>A 39822-2025</t>
        </is>
      </c>
      <c r="B3633" s="1" t="n">
        <v>45891.53695601852</v>
      </c>
      <c r="C3633" s="1" t="n">
        <v>46075</v>
      </c>
      <c r="D3633" t="inlineStr">
        <is>
          <t>VÄSTERBOTTENS LÄN</t>
        </is>
      </c>
      <c r="E3633" t="inlineStr">
        <is>
          <t>ROBERTSFORS</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39622-2025</t>
        </is>
      </c>
      <c r="B3634" s="1" t="n">
        <v>45890.57387731481</v>
      </c>
      <c r="C3634" s="1" t="n">
        <v>46075</v>
      </c>
      <c r="D3634" t="inlineStr">
        <is>
          <t>VÄSTERBOTTENS LÄN</t>
        </is>
      </c>
      <c r="E3634" t="inlineStr">
        <is>
          <t>MALÅ</t>
        </is>
      </c>
      <c r="F3634" t="inlineStr">
        <is>
          <t>Sveaskog</t>
        </is>
      </c>
      <c r="G3634" t="n">
        <v>14.3</v>
      </c>
      <c r="H3634" t="n">
        <v>0</v>
      </c>
      <c r="I3634" t="n">
        <v>0</v>
      </c>
      <c r="J3634" t="n">
        <v>0</v>
      </c>
      <c r="K3634" t="n">
        <v>0</v>
      </c>
      <c r="L3634" t="n">
        <v>0</v>
      </c>
      <c r="M3634" t="n">
        <v>0</v>
      </c>
      <c r="N3634" t="n">
        <v>0</v>
      </c>
      <c r="O3634" t="n">
        <v>0</v>
      </c>
      <c r="P3634" t="n">
        <v>0</v>
      </c>
      <c r="Q3634" t="n">
        <v>0</v>
      </c>
      <c r="R3634" s="2" t="inlineStr"/>
    </row>
    <row r="3635" ht="15" customHeight="1">
      <c r="A3635" t="inlineStr">
        <is>
          <t>A 39642-2025</t>
        </is>
      </c>
      <c r="B3635" s="1" t="n">
        <v>45890</v>
      </c>
      <c r="C3635" s="1" t="n">
        <v>46075</v>
      </c>
      <c r="D3635" t="inlineStr">
        <is>
          <t>VÄSTERBOTTENS LÄN</t>
        </is>
      </c>
      <c r="E3635" t="inlineStr">
        <is>
          <t>ROBERTSFORS</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26030-2021</t>
        </is>
      </c>
      <c r="B3636" s="1" t="n">
        <v>44344</v>
      </c>
      <c r="C3636" s="1" t="n">
        <v>46075</v>
      </c>
      <c r="D3636" t="inlineStr">
        <is>
          <t>VÄSTERBOTTENS LÄN</t>
        </is>
      </c>
      <c r="E3636" t="inlineStr">
        <is>
          <t>ÅSELE</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39458-2025</t>
        </is>
      </c>
      <c r="B3637" s="1" t="n">
        <v>45889.82722222222</v>
      </c>
      <c r="C3637" s="1" t="n">
        <v>46075</v>
      </c>
      <c r="D3637" t="inlineStr">
        <is>
          <t>VÄSTERBOTTENS LÄN</t>
        </is>
      </c>
      <c r="E3637" t="inlineStr">
        <is>
          <t>LYCKSELE</t>
        </is>
      </c>
      <c r="F3637" t="inlineStr">
        <is>
          <t>Sveaskog</t>
        </is>
      </c>
      <c r="G3637" t="n">
        <v>7.8</v>
      </c>
      <c r="H3637" t="n">
        <v>0</v>
      </c>
      <c r="I3637" t="n">
        <v>0</v>
      </c>
      <c r="J3637" t="n">
        <v>0</v>
      </c>
      <c r="K3637" t="n">
        <v>0</v>
      </c>
      <c r="L3637" t="n">
        <v>0</v>
      </c>
      <c r="M3637" t="n">
        <v>0</v>
      </c>
      <c r="N3637" t="n">
        <v>0</v>
      </c>
      <c r="O3637" t="n">
        <v>0</v>
      </c>
      <c r="P3637" t="n">
        <v>0</v>
      </c>
      <c r="Q3637" t="n">
        <v>0</v>
      </c>
      <c r="R3637" s="2" t="inlineStr"/>
    </row>
    <row r="3638" ht="15" customHeight="1">
      <c r="A3638" t="inlineStr">
        <is>
          <t>A 22291-2023</t>
        </is>
      </c>
      <c r="B3638" s="1" t="n">
        <v>45070</v>
      </c>
      <c r="C3638" s="1" t="n">
        <v>46075</v>
      </c>
      <c r="D3638" t="inlineStr">
        <is>
          <t>VÄSTERBOTTENS LÄN</t>
        </is>
      </c>
      <c r="E3638" t="inlineStr">
        <is>
          <t>UMEÅ</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59209-2024</t>
        </is>
      </c>
      <c r="B3639" s="1" t="n">
        <v>45637.55984953704</v>
      </c>
      <c r="C3639" s="1" t="n">
        <v>46075</v>
      </c>
      <c r="D3639" t="inlineStr">
        <is>
          <t>VÄSTERBOTTENS LÄN</t>
        </is>
      </c>
      <c r="E3639" t="inlineStr">
        <is>
          <t>LYCKSELE</t>
        </is>
      </c>
      <c r="F3639" t="inlineStr">
        <is>
          <t>Sveaskog</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39558-2025</t>
        </is>
      </c>
      <c r="B3640" s="1" t="n">
        <v>45890.46978009259</v>
      </c>
      <c r="C3640" s="1" t="n">
        <v>46075</v>
      </c>
      <c r="D3640" t="inlineStr">
        <is>
          <t>VÄSTERBOTTENS LÄN</t>
        </is>
      </c>
      <c r="E3640" t="inlineStr">
        <is>
          <t>VILHELMINA</t>
        </is>
      </c>
      <c r="F3640" t="inlineStr">
        <is>
          <t>SCA</t>
        </is>
      </c>
      <c r="G3640" t="n">
        <v>3.5</v>
      </c>
      <c r="H3640" t="n">
        <v>0</v>
      </c>
      <c r="I3640" t="n">
        <v>0</v>
      </c>
      <c r="J3640" t="n">
        <v>0</v>
      </c>
      <c r="K3640" t="n">
        <v>0</v>
      </c>
      <c r="L3640" t="n">
        <v>0</v>
      </c>
      <c r="M3640" t="n">
        <v>0</v>
      </c>
      <c r="N3640" t="n">
        <v>0</v>
      </c>
      <c r="O3640" t="n">
        <v>0</v>
      </c>
      <c r="P3640" t="n">
        <v>0</v>
      </c>
      <c r="Q3640" t="n">
        <v>0</v>
      </c>
      <c r="R3640" s="2" t="inlineStr"/>
    </row>
    <row r="3641" ht="15" customHeight="1">
      <c r="A3641" t="inlineStr">
        <is>
          <t>A 59225-2024</t>
        </is>
      </c>
      <c r="B3641" s="1" t="n">
        <v>45637.57925925926</v>
      </c>
      <c r="C3641" s="1" t="n">
        <v>46075</v>
      </c>
      <c r="D3641" t="inlineStr">
        <is>
          <t>VÄSTERBOTTENS LÄN</t>
        </is>
      </c>
      <c r="E3641" t="inlineStr">
        <is>
          <t>NORDMALING</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30258-2025</t>
        </is>
      </c>
      <c r="B3642" s="1" t="n">
        <v>45827.42743055556</v>
      </c>
      <c r="C3642" s="1" t="n">
        <v>46075</v>
      </c>
      <c r="D3642" t="inlineStr">
        <is>
          <t>VÄSTERBOTTENS LÄN</t>
        </is>
      </c>
      <c r="E3642" t="inlineStr">
        <is>
          <t>LYCKSELE</t>
        </is>
      </c>
      <c r="F3642" t="inlineStr">
        <is>
          <t>Holmen skog AB</t>
        </is>
      </c>
      <c r="G3642" t="n">
        <v>19.5</v>
      </c>
      <c r="H3642" t="n">
        <v>0</v>
      </c>
      <c r="I3642" t="n">
        <v>0</v>
      </c>
      <c r="J3642" t="n">
        <v>0</v>
      </c>
      <c r="K3642" t="n">
        <v>0</v>
      </c>
      <c r="L3642" t="n">
        <v>0</v>
      </c>
      <c r="M3642" t="n">
        <v>0</v>
      </c>
      <c r="N3642" t="n">
        <v>0</v>
      </c>
      <c r="O3642" t="n">
        <v>0</v>
      </c>
      <c r="P3642" t="n">
        <v>0</v>
      </c>
      <c r="Q3642" t="n">
        <v>0</v>
      </c>
      <c r="R3642" s="2" t="inlineStr"/>
    </row>
    <row r="3643" ht="15" customHeight="1">
      <c r="A3643" t="inlineStr">
        <is>
          <t>A 39614-2025</t>
        </is>
      </c>
      <c r="B3643" s="1" t="n">
        <v>45890.56412037037</v>
      </c>
      <c r="C3643" s="1" t="n">
        <v>46075</v>
      </c>
      <c r="D3643" t="inlineStr">
        <is>
          <t>VÄSTERBOTTENS LÄN</t>
        </is>
      </c>
      <c r="E3643" t="inlineStr">
        <is>
          <t>MALÅ</t>
        </is>
      </c>
      <c r="F3643" t="inlineStr">
        <is>
          <t>Sveaskog</t>
        </is>
      </c>
      <c r="G3643" t="n">
        <v>7.4</v>
      </c>
      <c r="H3643" t="n">
        <v>0</v>
      </c>
      <c r="I3643" t="n">
        <v>0</v>
      </c>
      <c r="J3643" t="n">
        <v>0</v>
      </c>
      <c r="K3643" t="n">
        <v>0</v>
      </c>
      <c r="L3643" t="n">
        <v>0</v>
      </c>
      <c r="M3643" t="n">
        <v>0</v>
      </c>
      <c r="N3643" t="n">
        <v>0</v>
      </c>
      <c r="O3643" t="n">
        <v>0</v>
      </c>
      <c r="P3643" t="n">
        <v>0</v>
      </c>
      <c r="Q3643" t="n">
        <v>0</v>
      </c>
      <c r="R3643" s="2" t="inlineStr"/>
    </row>
    <row r="3644" ht="15" customHeight="1">
      <c r="A3644" t="inlineStr">
        <is>
          <t>A 39627-2025</t>
        </is>
      </c>
      <c r="B3644" s="1" t="n">
        <v>45890.5809837963</v>
      </c>
      <c r="C3644" s="1" t="n">
        <v>46075</v>
      </c>
      <c r="D3644" t="inlineStr">
        <is>
          <t>VÄSTERBOTTENS LÄN</t>
        </is>
      </c>
      <c r="E3644" t="inlineStr">
        <is>
          <t>MALÅ</t>
        </is>
      </c>
      <c r="F3644" t="inlineStr">
        <is>
          <t>Sveaskog</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3493-2023</t>
        </is>
      </c>
      <c r="B3645" s="1" t="n">
        <v>44949</v>
      </c>
      <c r="C3645" s="1" t="n">
        <v>46075</v>
      </c>
      <c r="D3645" t="inlineStr">
        <is>
          <t>VÄSTERBOTTENS LÄN</t>
        </is>
      </c>
      <c r="E3645" t="inlineStr">
        <is>
          <t>BJURHOLM</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30263-2025</t>
        </is>
      </c>
      <c r="B3646" s="1" t="n">
        <v>45827.43445601852</v>
      </c>
      <c r="C3646" s="1" t="n">
        <v>46075</v>
      </c>
      <c r="D3646" t="inlineStr">
        <is>
          <t>VÄSTERBOTTENS LÄN</t>
        </is>
      </c>
      <c r="E3646" t="inlineStr">
        <is>
          <t>UMEÅ</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30081-2025</t>
        </is>
      </c>
      <c r="B3647" s="1" t="n">
        <v>45826.65171296296</v>
      </c>
      <c r="C3647" s="1" t="n">
        <v>46075</v>
      </c>
      <c r="D3647" t="inlineStr">
        <is>
          <t>VÄSTERBOTTENS LÄN</t>
        </is>
      </c>
      <c r="E3647" t="inlineStr">
        <is>
          <t>SKELLEFTEÅ</t>
        </is>
      </c>
      <c r="G3647" t="n">
        <v>0.4</v>
      </c>
      <c r="H3647" t="n">
        <v>0</v>
      </c>
      <c r="I3647" t="n">
        <v>0</v>
      </c>
      <c r="J3647" t="n">
        <v>0</v>
      </c>
      <c r="K3647" t="n">
        <v>0</v>
      </c>
      <c r="L3647" t="n">
        <v>0</v>
      </c>
      <c r="M3647" t="n">
        <v>0</v>
      </c>
      <c r="N3647" t="n">
        <v>0</v>
      </c>
      <c r="O3647" t="n">
        <v>0</v>
      </c>
      <c r="P3647" t="n">
        <v>0</v>
      </c>
      <c r="Q3647" t="n">
        <v>0</v>
      </c>
      <c r="R3647" s="2" t="inlineStr"/>
    </row>
    <row r="3648" ht="15" customHeight="1">
      <c r="A3648" t="inlineStr">
        <is>
          <t>A 39629-2025</t>
        </is>
      </c>
      <c r="B3648" s="1" t="n">
        <v>45890.58671296296</v>
      </c>
      <c r="C3648" s="1" t="n">
        <v>46075</v>
      </c>
      <c r="D3648" t="inlineStr">
        <is>
          <t>VÄSTERBOTTENS LÄN</t>
        </is>
      </c>
      <c r="E3648" t="inlineStr">
        <is>
          <t>SORSELE</t>
        </is>
      </c>
      <c r="F3648" t="inlineStr">
        <is>
          <t>Sveaskog</t>
        </is>
      </c>
      <c r="G3648" t="n">
        <v>5.9</v>
      </c>
      <c r="H3648" t="n">
        <v>0</v>
      </c>
      <c r="I3648" t="n">
        <v>0</v>
      </c>
      <c r="J3648" t="n">
        <v>0</v>
      </c>
      <c r="K3648" t="n">
        <v>0</v>
      </c>
      <c r="L3648" t="n">
        <v>0</v>
      </c>
      <c r="M3648" t="n">
        <v>0</v>
      </c>
      <c r="N3648" t="n">
        <v>0</v>
      </c>
      <c r="O3648" t="n">
        <v>0</v>
      </c>
      <c r="P3648" t="n">
        <v>0</v>
      </c>
      <c r="Q3648" t="n">
        <v>0</v>
      </c>
      <c r="R3648" s="2" t="inlineStr"/>
    </row>
    <row r="3649" ht="15" customHeight="1">
      <c r="A3649" t="inlineStr">
        <is>
          <t>A 57191-2023</t>
        </is>
      </c>
      <c r="B3649" s="1" t="n">
        <v>45245</v>
      </c>
      <c r="C3649" s="1" t="n">
        <v>46075</v>
      </c>
      <c r="D3649" t="inlineStr">
        <is>
          <t>VÄSTERBOTTENS LÄN</t>
        </is>
      </c>
      <c r="E3649" t="inlineStr">
        <is>
          <t>SKELLEFTEÅ</t>
        </is>
      </c>
      <c r="F3649" t="inlineStr">
        <is>
          <t>Sveaskog</t>
        </is>
      </c>
      <c r="G3649" t="n">
        <v>11.3</v>
      </c>
      <c r="H3649" t="n">
        <v>0</v>
      </c>
      <c r="I3649" t="n">
        <v>0</v>
      </c>
      <c r="J3649" t="n">
        <v>0</v>
      </c>
      <c r="K3649" t="n">
        <v>0</v>
      </c>
      <c r="L3649" t="n">
        <v>0</v>
      </c>
      <c r="M3649" t="n">
        <v>0</v>
      </c>
      <c r="N3649" t="n">
        <v>0</v>
      </c>
      <c r="O3649" t="n">
        <v>0</v>
      </c>
      <c r="P3649" t="n">
        <v>0</v>
      </c>
      <c r="Q3649" t="n">
        <v>0</v>
      </c>
      <c r="R3649" s="2" t="inlineStr"/>
    </row>
    <row r="3650" ht="15" customHeight="1">
      <c r="A3650" t="inlineStr">
        <is>
          <t>A 29983-2025</t>
        </is>
      </c>
      <c r="B3650" s="1" t="n">
        <v>45826.49555555556</v>
      </c>
      <c r="C3650" s="1" t="n">
        <v>46075</v>
      </c>
      <c r="D3650" t="inlineStr">
        <is>
          <t>VÄSTERBOTTENS LÄN</t>
        </is>
      </c>
      <c r="E3650" t="inlineStr">
        <is>
          <t>ÅSELE</t>
        </is>
      </c>
      <c r="F3650" t="inlineStr">
        <is>
          <t>Sveaskog</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39681-2025</t>
        </is>
      </c>
      <c r="B3651" s="1" t="n">
        <v>45890.65736111111</v>
      </c>
      <c r="C3651" s="1" t="n">
        <v>46075</v>
      </c>
      <c r="D3651" t="inlineStr">
        <is>
          <t>VÄSTERBOTTENS LÄN</t>
        </is>
      </c>
      <c r="E3651" t="inlineStr">
        <is>
          <t>SKELLEFTEÅ</t>
        </is>
      </c>
      <c r="F3651" t="inlineStr">
        <is>
          <t>Holmen skog AB</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30344-2025</t>
        </is>
      </c>
      <c r="B3652" s="1" t="n">
        <v>45827</v>
      </c>
      <c r="C3652" s="1" t="n">
        <v>46075</v>
      </c>
      <c r="D3652" t="inlineStr">
        <is>
          <t>VÄSTERBOTTENS LÄN</t>
        </is>
      </c>
      <c r="E3652" t="inlineStr">
        <is>
          <t>ROBERTSFORS</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24963-2023</t>
        </is>
      </c>
      <c r="B3653" s="1" t="n">
        <v>45085</v>
      </c>
      <c r="C3653" s="1" t="n">
        <v>46075</v>
      </c>
      <c r="D3653" t="inlineStr">
        <is>
          <t>VÄSTERBOTTENS LÄN</t>
        </is>
      </c>
      <c r="E3653" t="inlineStr">
        <is>
          <t>SKELLEFTEÅ</t>
        </is>
      </c>
      <c r="G3653" t="n">
        <v>0.4</v>
      </c>
      <c r="H3653" t="n">
        <v>0</v>
      </c>
      <c r="I3653" t="n">
        <v>0</v>
      </c>
      <c r="J3653" t="n">
        <v>0</v>
      </c>
      <c r="K3653" t="n">
        <v>0</v>
      </c>
      <c r="L3653" t="n">
        <v>0</v>
      </c>
      <c r="M3653" t="n">
        <v>0</v>
      </c>
      <c r="N3653" t="n">
        <v>0</v>
      </c>
      <c r="O3653" t="n">
        <v>0</v>
      </c>
      <c r="P3653" t="n">
        <v>0</v>
      </c>
      <c r="Q3653" t="n">
        <v>0</v>
      </c>
      <c r="R3653" s="2" t="inlineStr"/>
    </row>
    <row r="3654" ht="15" customHeight="1">
      <c r="A3654" t="inlineStr">
        <is>
          <t>A 26797-2023</t>
        </is>
      </c>
      <c r="B3654" s="1" t="n">
        <v>45090</v>
      </c>
      <c r="C3654" s="1" t="n">
        <v>46075</v>
      </c>
      <c r="D3654" t="inlineStr">
        <is>
          <t>VÄSTERBOTTENS LÄN</t>
        </is>
      </c>
      <c r="E3654" t="inlineStr">
        <is>
          <t>ROBERTSFORS</t>
        </is>
      </c>
      <c r="G3654" t="n">
        <v>2.9</v>
      </c>
      <c r="H3654" t="n">
        <v>0</v>
      </c>
      <c r="I3654" t="n">
        <v>0</v>
      </c>
      <c r="J3654" t="n">
        <v>0</v>
      </c>
      <c r="K3654" t="n">
        <v>0</v>
      </c>
      <c r="L3654" t="n">
        <v>0</v>
      </c>
      <c r="M3654" t="n">
        <v>0</v>
      </c>
      <c r="N3654" t="n">
        <v>0</v>
      </c>
      <c r="O3654" t="n">
        <v>0</v>
      </c>
      <c r="P3654" t="n">
        <v>0</v>
      </c>
      <c r="Q3654" t="n">
        <v>0</v>
      </c>
      <c r="R3654" s="2" t="inlineStr"/>
    </row>
    <row r="3655" ht="15" customHeight="1">
      <c r="A3655" t="inlineStr">
        <is>
          <t>A 59067-2023</t>
        </is>
      </c>
      <c r="B3655" s="1" t="n">
        <v>45252</v>
      </c>
      <c r="C3655" s="1" t="n">
        <v>46075</v>
      </c>
      <c r="D3655" t="inlineStr">
        <is>
          <t>VÄSTERBOTTENS LÄN</t>
        </is>
      </c>
      <c r="E3655" t="inlineStr">
        <is>
          <t>MALÅ</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39655-2025</t>
        </is>
      </c>
      <c r="B3656" s="1" t="n">
        <v>45890.62754629629</v>
      </c>
      <c r="C3656" s="1" t="n">
        <v>46075</v>
      </c>
      <c r="D3656" t="inlineStr">
        <is>
          <t>VÄSTERBOTTENS LÄN</t>
        </is>
      </c>
      <c r="E3656" t="inlineStr">
        <is>
          <t>ROBERTSFORS</t>
        </is>
      </c>
      <c r="F3656" t="inlineStr">
        <is>
          <t>Holmen skog AB</t>
        </is>
      </c>
      <c r="G3656" t="n">
        <v>3.2</v>
      </c>
      <c r="H3656" t="n">
        <v>0</v>
      </c>
      <c r="I3656" t="n">
        <v>0</v>
      </c>
      <c r="J3656" t="n">
        <v>0</v>
      </c>
      <c r="K3656" t="n">
        <v>0</v>
      </c>
      <c r="L3656" t="n">
        <v>0</v>
      </c>
      <c r="M3656" t="n">
        <v>0</v>
      </c>
      <c r="N3656" t="n">
        <v>0</v>
      </c>
      <c r="O3656" t="n">
        <v>0</v>
      </c>
      <c r="P3656" t="n">
        <v>0</v>
      </c>
      <c r="Q3656" t="n">
        <v>0</v>
      </c>
      <c r="R3656" s="2" t="inlineStr"/>
    </row>
    <row r="3657" ht="15" customHeight="1">
      <c r="A3657" t="inlineStr">
        <is>
          <t>A 40969-2024</t>
        </is>
      </c>
      <c r="B3657" s="1" t="n">
        <v>45558</v>
      </c>
      <c r="C3657" s="1" t="n">
        <v>46075</v>
      </c>
      <c r="D3657" t="inlineStr">
        <is>
          <t>VÄSTERBOTTENS LÄN</t>
        </is>
      </c>
      <c r="E3657" t="inlineStr">
        <is>
          <t>ÅSELE</t>
        </is>
      </c>
      <c r="F3657" t="inlineStr">
        <is>
          <t>Sveaskog</t>
        </is>
      </c>
      <c r="G3657" t="n">
        <v>14.2</v>
      </c>
      <c r="H3657" t="n">
        <v>0</v>
      </c>
      <c r="I3657" t="n">
        <v>0</v>
      </c>
      <c r="J3657" t="n">
        <v>0</v>
      </c>
      <c r="K3657" t="n">
        <v>0</v>
      </c>
      <c r="L3657" t="n">
        <v>0</v>
      </c>
      <c r="M3657" t="n">
        <v>0</v>
      </c>
      <c r="N3657" t="n">
        <v>0</v>
      </c>
      <c r="O3657" t="n">
        <v>0</v>
      </c>
      <c r="P3657" t="n">
        <v>0</v>
      </c>
      <c r="Q3657" t="n">
        <v>0</v>
      </c>
      <c r="R3657" s="2" t="inlineStr"/>
    </row>
    <row r="3658" ht="15" customHeight="1">
      <c r="A3658" t="inlineStr">
        <is>
          <t>A 426-2022</t>
        </is>
      </c>
      <c r="B3658" s="1" t="n">
        <v>44565</v>
      </c>
      <c r="C3658" s="1" t="n">
        <v>46075</v>
      </c>
      <c r="D3658" t="inlineStr">
        <is>
          <t>VÄSTERBOTTENS LÄN</t>
        </is>
      </c>
      <c r="E3658" t="inlineStr">
        <is>
          <t>VÄNNÄS</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39530-2025</t>
        </is>
      </c>
      <c r="B3659" s="1" t="n">
        <v>45890.44736111111</v>
      </c>
      <c r="C3659" s="1" t="n">
        <v>46075</v>
      </c>
      <c r="D3659" t="inlineStr">
        <is>
          <t>VÄSTERBOTTENS LÄN</t>
        </is>
      </c>
      <c r="E3659" t="inlineStr">
        <is>
          <t>SKELLEFTEÅ</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4510-2025</t>
        </is>
      </c>
      <c r="B3660" s="1" t="n">
        <v>45686</v>
      </c>
      <c r="C3660" s="1" t="n">
        <v>46075</v>
      </c>
      <c r="D3660" t="inlineStr">
        <is>
          <t>VÄSTERBOTTENS LÄN</t>
        </is>
      </c>
      <c r="E3660" t="inlineStr">
        <is>
          <t>SKELLEFTEÅ</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1220-2024</t>
        </is>
      </c>
      <c r="B3661" s="1" t="n">
        <v>45302</v>
      </c>
      <c r="C3661" s="1" t="n">
        <v>46075</v>
      </c>
      <c r="D3661" t="inlineStr">
        <is>
          <t>VÄSTERBOTTENS LÄN</t>
        </is>
      </c>
      <c r="E3661" t="inlineStr">
        <is>
          <t>STORUMAN</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39820-2025</t>
        </is>
      </c>
      <c r="B3662" s="1" t="n">
        <v>45891.53517361111</v>
      </c>
      <c r="C3662" s="1" t="n">
        <v>46075</v>
      </c>
      <c r="D3662" t="inlineStr">
        <is>
          <t>VÄSTERBOTTENS LÄN</t>
        </is>
      </c>
      <c r="E3662" t="inlineStr">
        <is>
          <t>UMEÅ</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72-2025</t>
        </is>
      </c>
      <c r="B3663" s="1" t="n">
        <v>45659</v>
      </c>
      <c r="C3663" s="1" t="n">
        <v>46075</v>
      </c>
      <c r="D3663" t="inlineStr">
        <is>
          <t>VÄSTERBOTTENS LÄN</t>
        </is>
      </c>
      <c r="E3663" t="inlineStr">
        <is>
          <t>VILHELMINA</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37629-2024</t>
        </is>
      </c>
      <c r="B3664" s="1" t="n">
        <v>45541.53135416667</v>
      </c>
      <c r="C3664" s="1" t="n">
        <v>46075</v>
      </c>
      <c r="D3664" t="inlineStr">
        <is>
          <t>VÄSTERBOTTENS LÄN</t>
        </is>
      </c>
      <c r="E3664" t="inlineStr">
        <is>
          <t>UMEÅ</t>
        </is>
      </c>
      <c r="F3664" t="inlineStr">
        <is>
          <t>Holmen skog AB</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39859-2025</t>
        </is>
      </c>
      <c r="B3665" s="1" t="n">
        <v>45891.59393518518</v>
      </c>
      <c r="C3665" s="1" t="n">
        <v>46075</v>
      </c>
      <c r="D3665" t="inlineStr">
        <is>
          <t>VÄSTERBOTTENS LÄN</t>
        </is>
      </c>
      <c r="E3665" t="inlineStr">
        <is>
          <t>ROBERTSFORS</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30426-2025</t>
        </is>
      </c>
      <c r="B3666" s="1" t="n">
        <v>45827.61538194444</v>
      </c>
      <c r="C3666" s="1" t="n">
        <v>46075</v>
      </c>
      <c r="D3666" t="inlineStr">
        <is>
          <t>VÄSTERBOTTENS LÄN</t>
        </is>
      </c>
      <c r="E3666" t="inlineStr">
        <is>
          <t>LYCKSELE</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54697-2024</t>
        </is>
      </c>
      <c r="B3667" s="1" t="n">
        <v>45618.40399305556</v>
      </c>
      <c r="C3667" s="1" t="n">
        <v>46075</v>
      </c>
      <c r="D3667" t="inlineStr">
        <is>
          <t>VÄSTERBOTTENS LÄN</t>
        </is>
      </c>
      <c r="E3667" t="inlineStr">
        <is>
          <t>LYCKSELE</t>
        </is>
      </c>
      <c r="F3667" t="inlineStr">
        <is>
          <t>Sveaskog</t>
        </is>
      </c>
      <c r="G3667" t="n">
        <v>5</v>
      </c>
      <c r="H3667" t="n">
        <v>0</v>
      </c>
      <c r="I3667" t="n">
        <v>0</v>
      </c>
      <c r="J3667" t="n">
        <v>0</v>
      </c>
      <c r="K3667" t="n">
        <v>0</v>
      </c>
      <c r="L3667" t="n">
        <v>0</v>
      </c>
      <c r="M3667" t="n">
        <v>0</v>
      </c>
      <c r="N3667" t="n">
        <v>0</v>
      </c>
      <c r="O3667" t="n">
        <v>0</v>
      </c>
      <c r="P3667" t="n">
        <v>0</v>
      </c>
      <c r="Q3667" t="n">
        <v>0</v>
      </c>
      <c r="R3667" s="2" t="inlineStr"/>
    </row>
    <row r="3668" ht="15" customHeight="1">
      <c r="A3668" t="inlineStr">
        <is>
          <t>A 38012-2024</t>
        </is>
      </c>
      <c r="B3668" s="1" t="n">
        <v>45544.62537037037</v>
      </c>
      <c r="C3668" s="1" t="n">
        <v>46075</v>
      </c>
      <c r="D3668" t="inlineStr">
        <is>
          <t>VÄSTERBOTTENS LÄN</t>
        </is>
      </c>
      <c r="E3668" t="inlineStr">
        <is>
          <t>NORSJÖ</t>
        </is>
      </c>
      <c r="F3668" t="inlineStr">
        <is>
          <t>Naturvårdsverket</t>
        </is>
      </c>
      <c r="G3668" t="n">
        <v>7.2</v>
      </c>
      <c r="H3668" t="n">
        <v>0</v>
      </c>
      <c r="I3668" t="n">
        <v>0</v>
      </c>
      <c r="J3668" t="n">
        <v>0</v>
      </c>
      <c r="K3668" t="n">
        <v>0</v>
      </c>
      <c r="L3668" t="n">
        <v>0</v>
      </c>
      <c r="M3668" t="n">
        <v>0</v>
      </c>
      <c r="N3668" t="n">
        <v>0</v>
      </c>
      <c r="O3668" t="n">
        <v>0</v>
      </c>
      <c r="P3668" t="n">
        <v>0</v>
      </c>
      <c r="Q3668" t="n">
        <v>0</v>
      </c>
      <c r="R3668" s="2" t="inlineStr"/>
    </row>
    <row r="3669" ht="15" customHeight="1">
      <c r="A3669" t="inlineStr">
        <is>
          <t>A 51415-2024</t>
        </is>
      </c>
      <c r="B3669" s="1" t="n">
        <v>45604</v>
      </c>
      <c r="C3669" s="1" t="n">
        <v>46075</v>
      </c>
      <c r="D3669" t="inlineStr">
        <is>
          <t>VÄSTERBOTTENS LÄN</t>
        </is>
      </c>
      <c r="E3669" t="inlineStr">
        <is>
          <t>UMEÅ</t>
        </is>
      </c>
      <c r="G3669" t="n">
        <v>3.4</v>
      </c>
      <c r="H3669" t="n">
        <v>0</v>
      </c>
      <c r="I3669" t="n">
        <v>0</v>
      </c>
      <c r="J3669" t="n">
        <v>0</v>
      </c>
      <c r="K3669" t="n">
        <v>0</v>
      </c>
      <c r="L3669" t="n">
        <v>0</v>
      </c>
      <c r="M3669" t="n">
        <v>0</v>
      </c>
      <c r="N3669" t="n">
        <v>0</v>
      </c>
      <c r="O3669" t="n">
        <v>0</v>
      </c>
      <c r="P3669" t="n">
        <v>0</v>
      </c>
      <c r="Q3669" t="n">
        <v>0</v>
      </c>
      <c r="R3669" s="2" t="inlineStr"/>
    </row>
    <row r="3670" ht="15" customHeight="1">
      <c r="A3670" t="inlineStr">
        <is>
          <t>A 39665-2025</t>
        </is>
      </c>
      <c r="B3670" s="1" t="n">
        <v>45890.63614583333</v>
      </c>
      <c r="C3670" s="1" t="n">
        <v>46075</v>
      </c>
      <c r="D3670" t="inlineStr">
        <is>
          <t>VÄSTERBOTTENS LÄN</t>
        </is>
      </c>
      <c r="E3670" t="inlineStr">
        <is>
          <t>DOROTEA</t>
        </is>
      </c>
      <c r="F3670" t="inlineStr">
        <is>
          <t>SCA</t>
        </is>
      </c>
      <c r="G3670" t="n">
        <v>7.7</v>
      </c>
      <c r="H3670" t="n">
        <v>0</v>
      </c>
      <c r="I3670" t="n">
        <v>0</v>
      </c>
      <c r="J3670" t="n">
        <v>0</v>
      </c>
      <c r="K3670" t="n">
        <v>0</v>
      </c>
      <c r="L3670" t="n">
        <v>0</v>
      </c>
      <c r="M3670" t="n">
        <v>0</v>
      </c>
      <c r="N3670" t="n">
        <v>0</v>
      </c>
      <c r="O3670" t="n">
        <v>0</v>
      </c>
      <c r="P3670" t="n">
        <v>0</v>
      </c>
      <c r="Q3670" t="n">
        <v>0</v>
      </c>
      <c r="R3670" s="2" t="inlineStr"/>
    </row>
    <row r="3671" ht="15" customHeight="1">
      <c r="A3671" t="inlineStr">
        <is>
          <t>A 30043-2025</t>
        </is>
      </c>
      <c r="B3671" s="1" t="n">
        <v>45826</v>
      </c>
      <c r="C3671" s="1" t="n">
        <v>46075</v>
      </c>
      <c r="D3671" t="inlineStr">
        <is>
          <t>VÄSTERBOTTENS LÄN</t>
        </is>
      </c>
      <c r="E3671" t="inlineStr">
        <is>
          <t>ÅSELE</t>
        </is>
      </c>
      <c r="F3671" t="inlineStr">
        <is>
          <t>Sveaskog</t>
        </is>
      </c>
      <c r="G3671" t="n">
        <v>4</v>
      </c>
      <c r="H3671" t="n">
        <v>0</v>
      </c>
      <c r="I3671" t="n">
        <v>0</v>
      </c>
      <c r="J3671" t="n">
        <v>0</v>
      </c>
      <c r="K3671" t="n">
        <v>0</v>
      </c>
      <c r="L3671" t="n">
        <v>0</v>
      </c>
      <c r="M3671" t="n">
        <v>0</v>
      </c>
      <c r="N3671" t="n">
        <v>0</v>
      </c>
      <c r="O3671" t="n">
        <v>0</v>
      </c>
      <c r="P3671" t="n">
        <v>0</v>
      </c>
      <c r="Q3671" t="n">
        <v>0</v>
      </c>
      <c r="R3671" s="2" t="inlineStr"/>
    </row>
    <row r="3672" ht="15" customHeight="1">
      <c r="A3672" t="inlineStr">
        <is>
          <t>A 39696-2025</t>
        </is>
      </c>
      <c r="B3672" s="1" t="n">
        <v>45890.68950231482</v>
      </c>
      <c r="C3672" s="1" t="n">
        <v>46075</v>
      </c>
      <c r="D3672" t="inlineStr">
        <is>
          <t>VÄSTERBOTTENS LÄN</t>
        </is>
      </c>
      <c r="E3672" t="inlineStr">
        <is>
          <t>NORSJÖ</t>
        </is>
      </c>
      <c r="F3672" t="inlineStr">
        <is>
          <t>Sveaskog</t>
        </is>
      </c>
      <c r="G3672" t="n">
        <v>16.6</v>
      </c>
      <c r="H3672" t="n">
        <v>0</v>
      </c>
      <c r="I3672" t="n">
        <v>0</v>
      </c>
      <c r="J3672" t="n">
        <v>0</v>
      </c>
      <c r="K3672" t="n">
        <v>0</v>
      </c>
      <c r="L3672" t="n">
        <v>0</v>
      </c>
      <c r="M3672" t="n">
        <v>0</v>
      </c>
      <c r="N3672" t="n">
        <v>0</v>
      </c>
      <c r="O3672" t="n">
        <v>0</v>
      </c>
      <c r="P3672" t="n">
        <v>0</v>
      </c>
      <c r="Q3672" t="n">
        <v>0</v>
      </c>
      <c r="R3672" s="2" t="inlineStr"/>
    </row>
    <row r="3673" ht="15" customHeight="1">
      <c r="A3673" t="inlineStr">
        <is>
          <t>A 39482-2025</t>
        </is>
      </c>
      <c r="B3673" s="1" t="n">
        <v>45890.35861111111</v>
      </c>
      <c r="C3673" s="1" t="n">
        <v>46075</v>
      </c>
      <c r="D3673" t="inlineStr">
        <is>
          <t>VÄSTERBOTTENS LÄN</t>
        </is>
      </c>
      <c r="E3673" t="inlineStr">
        <is>
          <t>LYCKSELE</t>
        </is>
      </c>
      <c r="F3673" t="inlineStr">
        <is>
          <t>Sveaskog</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36267-2023</t>
        </is>
      </c>
      <c r="B3674" s="1" t="n">
        <v>45151.94417824074</v>
      </c>
      <c r="C3674" s="1" t="n">
        <v>46075</v>
      </c>
      <c r="D3674" t="inlineStr">
        <is>
          <t>VÄSTERBOTTENS LÄN</t>
        </is>
      </c>
      <c r="E3674" t="inlineStr">
        <is>
          <t>LYCKSELE</t>
        </is>
      </c>
      <c r="F3674" t="inlineStr">
        <is>
          <t>SCA</t>
        </is>
      </c>
      <c r="G3674" t="n">
        <v>3.5</v>
      </c>
      <c r="H3674" t="n">
        <v>0</v>
      </c>
      <c r="I3674" t="n">
        <v>0</v>
      </c>
      <c r="J3674" t="n">
        <v>0</v>
      </c>
      <c r="K3674" t="n">
        <v>0</v>
      </c>
      <c r="L3674" t="n">
        <v>0</v>
      </c>
      <c r="M3674" t="n">
        <v>0</v>
      </c>
      <c r="N3674" t="n">
        <v>0</v>
      </c>
      <c r="O3674" t="n">
        <v>0</v>
      </c>
      <c r="P3674" t="n">
        <v>0</v>
      </c>
      <c r="Q3674" t="n">
        <v>0</v>
      </c>
      <c r="R3674" s="2" t="inlineStr"/>
    </row>
    <row r="3675" ht="15" customHeight="1">
      <c r="A3675" t="inlineStr">
        <is>
          <t>A 29812-2025</t>
        </is>
      </c>
      <c r="B3675" s="1" t="n">
        <v>45825.77450231482</v>
      </c>
      <c r="C3675" s="1" t="n">
        <v>46075</v>
      </c>
      <c r="D3675" t="inlineStr">
        <is>
          <t>VÄSTERBOTTENS LÄN</t>
        </is>
      </c>
      <c r="E3675" t="inlineStr">
        <is>
          <t>VINDELN</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31904-2024</t>
        </is>
      </c>
      <c r="B3676" s="1" t="n">
        <v>45510</v>
      </c>
      <c r="C3676" s="1" t="n">
        <v>46075</v>
      </c>
      <c r="D3676" t="inlineStr">
        <is>
          <t>VÄSTERBOTTENS LÄN</t>
        </is>
      </c>
      <c r="E3676" t="inlineStr">
        <is>
          <t>VINDELN</t>
        </is>
      </c>
      <c r="F3676" t="inlineStr">
        <is>
          <t>Holmen skog AB</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30438-2025</t>
        </is>
      </c>
      <c r="B3677" s="1" t="n">
        <v>45827.64153935185</v>
      </c>
      <c r="C3677" s="1" t="n">
        <v>46075</v>
      </c>
      <c r="D3677" t="inlineStr">
        <is>
          <t>VÄSTERBOTTENS LÄN</t>
        </is>
      </c>
      <c r="E3677" t="inlineStr">
        <is>
          <t>SKELLEFTEÅ</t>
        </is>
      </c>
      <c r="G3677" t="n">
        <v>4.2</v>
      </c>
      <c r="H3677" t="n">
        <v>0</v>
      </c>
      <c r="I3677" t="n">
        <v>0</v>
      </c>
      <c r="J3677" t="n">
        <v>0</v>
      </c>
      <c r="K3677" t="n">
        <v>0</v>
      </c>
      <c r="L3677" t="n">
        <v>0</v>
      </c>
      <c r="M3677" t="n">
        <v>0</v>
      </c>
      <c r="N3677" t="n">
        <v>0</v>
      </c>
      <c r="O3677" t="n">
        <v>0</v>
      </c>
      <c r="P3677" t="n">
        <v>0</v>
      </c>
      <c r="Q3677" t="n">
        <v>0</v>
      </c>
      <c r="R3677" s="2" t="inlineStr"/>
    </row>
    <row r="3678" ht="15" customHeight="1">
      <c r="A3678" t="inlineStr">
        <is>
          <t>A 39552-2025</t>
        </is>
      </c>
      <c r="B3678" s="1" t="n">
        <v>45890.46518518519</v>
      </c>
      <c r="C3678" s="1" t="n">
        <v>46075</v>
      </c>
      <c r="D3678" t="inlineStr">
        <is>
          <t>VÄSTERBOTTENS LÄN</t>
        </is>
      </c>
      <c r="E3678" t="inlineStr">
        <is>
          <t>LYCKSELE</t>
        </is>
      </c>
      <c r="F3678" t="inlineStr">
        <is>
          <t>Sveaskog</t>
        </is>
      </c>
      <c r="G3678" t="n">
        <v>3.7</v>
      </c>
      <c r="H3678" t="n">
        <v>0</v>
      </c>
      <c r="I3678" t="n">
        <v>0</v>
      </c>
      <c r="J3678" t="n">
        <v>0</v>
      </c>
      <c r="K3678" t="n">
        <v>0</v>
      </c>
      <c r="L3678" t="n">
        <v>0</v>
      </c>
      <c r="M3678" t="n">
        <v>0</v>
      </c>
      <c r="N3678" t="n">
        <v>0</v>
      </c>
      <c r="O3678" t="n">
        <v>0</v>
      </c>
      <c r="P3678" t="n">
        <v>0</v>
      </c>
      <c r="Q3678" t="n">
        <v>0</v>
      </c>
      <c r="R3678" s="2" t="inlineStr"/>
    </row>
    <row r="3679" ht="15" customHeight="1">
      <c r="A3679" t="inlineStr">
        <is>
          <t>A 39921-2025</t>
        </is>
      </c>
      <c r="B3679" s="1" t="n">
        <v>45891.66770833333</v>
      </c>
      <c r="C3679" s="1" t="n">
        <v>46075</v>
      </c>
      <c r="D3679" t="inlineStr">
        <is>
          <t>VÄSTERBOTTENS LÄN</t>
        </is>
      </c>
      <c r="E3679" t="inlineStr">
        <is>
          <t>SKELLEFTEÅ</t>
        </is>
      </c>
      <c r="F3679" t="inlineStr">
        <is>
          <t>Holmen skog AB</t>
        </is>
      </c>
      <c r="G3679" t="n">
        <v>3.2</v>
      </c>
      <c r="H3679" t="n">
        <v>0</v>
      </c>
      <c r="I3679" t="n">
        <v>0</v>
      </c>
      <c r="J3679" t="n">
        <v>0</v>
      </c>
      <c r="K3679" t="n">
        <v>0</v>
      </c>
      <c r="L3679" t="n">
        <v>0</v>
      </c>
      <c r="M3679" t="n">
        <v>0</v>
      </c>
      <c r="N3679" t="n">
        <v>0</v>
      </c>
      <c r="O3679" t="n">
        <v>0</v>
      </c>
      <c r="P3679" t="n">
        <v>0</v>
      </c>
      <c r="Q3679" t="n">
        <v>0</v>
      </c>
      <c r="R3679" s="2" t="inlineStr"/>
    </row>
    <row r="3680" ht="15" customHeight="1">
      <c r="A3680" t="inlineStr">
        <is>
          <t>A 29939-2025</t>
        </is>
      </c>
      <c r="B3680" s="1" t="n">
        <v>45826.45071759259</v>
      </c>
      <c r="C3680" s="1" t="n">
        <v>46075</v>
      </c>
      <c r="D3680" t="inlineStr">
        <is>
          <t>VÄSTERBOTTENS LÄN</t>
        </is>
      </c>
      <c r="E3680" t="inlineStr">
        <is>
          <t>ROBERTSFORS</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39836-2025</t>
        </is>
      </c>
      <c r="B3681" s="1" t="n">
        <v>45891.56422453704</v>
      </c>
      <c r="C3681" s="1" t="n">
        <v>46075</v>
      </c>
      <c r="D3681" t="inlineStr">
        <is>
          <t>VÄSTERBOTTENS LÄN</t>
        </is>
      </c>
      <c r="E3681" t="inlineStr">
        <is>
          <t>UMEÅ</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29974-2025</t>
        </is>
      </c>
      <c r="B3682" s="1" t="n">
        <v>45826.49050925926</v>
      </c>
      <c r="C3682" s="1" t="n">
        <v>46075</v>
      </c>
      <c r="D3682" t="inlineStr">
        <is>
          <t>VÄSTERBOTTENS LÄN</t>
        </is>
      </c>
      <c r="E3682" t="inlineStr">
        <is>
          <t>VINDELN</t>
        </is>
      </c>
      <c r="G3682" t="n">
        <v>5.6</v>
      </c>
      <c r="H3682" t="n">
        <v>0</v>
      </c>
      <c r="I3682" t="n">
        <v>0</v>
      </c>
      <c r="J3682" t="n">
        <v>0</v>
      </c>
      <c r="K3682" t="n">
        <v>0</v>
      </c>
      <c r="L3682" t="n">
        <v>0</v>
      </c>
      <c r="M3682" t="n">
        <v>0</v>
      </c>
      <c r="N3682" t="n">
        <v>0</v>
      </c>
      <c r="O3682" t="n">
        <v>0</v>
      </c>
      <c r="P3682" t="n">
        <v>0</v>
      </c>
      <c r="Q3682" t="n">
        <v>0</v>
      </c>
      <c r="R3682" s="2" t="inlineStr"/>
    </row>
    <row r="3683" ht="15" customHeight="1">
      <c r="A3683" t="inlineStr">
        <is>
          <t>A 59744-2022</t>
        </is>
      </c>
      <c r="B3683" s="1" t="n">
        <v>44908</v>
      </c>
      <c r="C3683" s="1" t="n">
        <v>46075</v>
      </c>
      <c r="D3683" t="inlineStr">
        <is>
          <t>VÄSTERBOTTENS LÄN</t>
        </is>
      </c>
      <c r="E3683" t="inlineStr">
        <is>
          <t>SKELLEFTEÅ</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39867-2025</t>
        </is>
      </c>
      <c r="B3684" s="1" t="n">
        <v>45891.60611111111</v>
      </c>
      <c r="C3684" s="1" t="n">
        <v>46075</v>
      </c>
      <c r="D3684" t="inlineStr">
        <is>
          <t>VÄSTERBOTTENS LÄN</t>
        </is>
      </c>
      <c r="E3684" t="inlineStr">
        <is>
          <t>VINDELN</t>
        </is>
      </c>
      <c r="F3684" t="inlineStr">
        <is>
          <t>Naturvårdsverket</t>
        </is>
      </c>
      <c r="G3684" t="n">
        <v>38.7</v>
      </c>
      <c r="H3684" t="n">
        <v>0</v>
      </c>
      <c r="I3684" t="n">
        <v>0</v>
      </c>
      <c r="J3684" t="n">
        <v>0</v>
      </c>
      <c r="K3684" t="n">
        <v>0</v>
      </c>
      <c r="L3684" t="n">
        <v>0</v>
      </c>
      <c r="M3684" t="n">
        <v>0</v>
      </c>
      <c r="N3684" t="n">
        <v>0</v>
      </c>
      <c r="O3684" t="n">
        <v>0</v>
      </c>
      <c r="P3684" t="n">
        <v>0</v>
      </c>
      <c r="Q3684" t="n">
        <v>0</v>
      </c>
      <c r="R3684" s="2" t="inlineStr"/>
    </row>
    <row r="3685" ht="15" customHeight="1">
      <c r="A3685" t="inlineStr">
        <is>
          <t>A 39749-2025</t>
        </is>
      </c>
      <c r="B3685" s="1" t="n">
        <v>45891.4024537037</v>
      </c>
      <c r="C3685" s="1" t="n">
        <v>46075</v>
      </c>
      <c r="D3685" t="inlineStr">
        <is>
          <t>VÄSTERBOTTENS LÄN</t>
        </is>
      </c>
      <c r="E3685" t="inlineStr">
        <is>
          <t>NORSJÖ</t>
        </is>
      </c>
      <c r="F3685" t="inlineStr">
        <is>
          <t>Holmen skog AB</t>
        </is>
      </c>
      <c r="G3685" t="n">
        <v>10</v>
      </c>
      <c r="H3685" t="n">
        <v>0</v>
      </c>
      <c r="I3685" t="n">
        <v>0</v>
      </c>
      <c r="J3685" t="n">
        <v>0</v>
      </c>
      <c r="K3685" t="n">
        <v>0</v>
      </c>
      <c r="L3685" t="n">
        <v>0</v>
      </c>
      <c r="M3685" t="n">
        <v>0</v>
      </c>
      <c r="N3685" t="n">
        <v>0</v>
      </c>
      <c r="O3685" t="n">
        <v>0</v>
      </c>
      <c r="P3685" t="n">
        <v>0</v>
      </c>
      <c r="Q3685" t="n">
        <v>0</v>
      </c>
      <c r="R3685" s="2" t="inlineStr"/>
    </row>
    <row r="3686" ht="15" customHeight="1">
      <c r="A3686" t="inlineStr">
        <is>
          <t>A 8839-2025</t>
        </is>
      </c>
      <c r="B3686" s="1" t="n">
        <v>45713</v>
      </c>
      <c r="C3686" s="1" t="n">
        <v>46075</v>
      </c>
      <c r="D3686" t="inlineStr">
        <is>
          <t>VÄSTERBOTTENS LÄN</t>
        </is>
      </c>
      <c r="E3686" t="inlineStr">
        <is>
          <t>SKELLEFTEÅ</t>
        </is>
      </c>
      <c r="G3686" t="n">
        <v>0.3</v>
      </c>
      <c r="H3686" t="n">
        <v>0</v>
      </c>
      <c r="I3686" t="n">
        <v>0</v>
      </c>
      <c r="J3686" t="n">
        <v>0</v>
      </c>
      <c r="K3686" t="n">
        <v>0</v>
      </c>
      <c r="L3686" t="n">
        <v>0</v>
      </c>
      <c r="M3686" t="n">
        <v>0</v>
      </c>
      <c r="N3686" t="n">
        <v>0</v>
      </c>
      <c r="O3686" t="n">
        <v>0</v>
      </c>
      <c r="P3686" t="n">
        <v>0</v>
      </c>
      <c r="Q3686" t="n">
        <v>0</v>
      </c>
      <c r="R3686" s="2" t="inlineStr"/>
    </row>
    <row r="3687" ht="15" customHeight="1">
      <c r="A3687" t="inlineStr">
        <is>
          <t>A 8840-2025</t>
        </is>
      </c>
      <c r="B3687" s="1" t="n">
        <v>45713.30810185185</v>
      </c>
      <c r="C3687" s="1" t="n">
        <v>46075</v>
      </c>
      <c r="D3687" t="inlineStr">
        <is>
          <t>VÄSTERBOTTENS LÄN</t>
        </is>
      </c>
      <c r="E3687" t="inlineStr">
        <is>
          <t>SKELLEFTEÅ</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30172-2025</t>
        </is>
      </c>
      <c r="B3688" s="1" t="n">
        <v>45827</v>
      </c>
      <c r="C3688" s="1" t="n">
        <v>46075</v>
      </c>
      <c r="D3688" t="inlineStr">
        <is>
          <t>VÄSTERBOTTENS LÄN</t>
        </is>
      </c>
      <c r="E3688" t="inlineStr">
        <is>
          <t>SKELLEFTEÅ</t>
        </is>
      </c>
      <c r="F3688" t="inlineStr">
        <is>
          <t>Kyrkan</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39706-2025</t>
        </is>
      </c>
      <c r="B3689" s="1" t="n">
        <v>45890.80981481481</v>
      </c>
      <c r="C3689" s="1" t="n">
        <v>46075</v>
      </c>
      <c r="D3689" t="inlineStr">
        <is>
          <t>VÄSTERBOTTENS LÄN</t>
        </is>
      </c>
      <c r="E3689" t="inlineStr">
        <is>
          <t>NORDMALING</t>
        </is>
      </c>
      <c r="G3689" t="n">
        <v>6.2</v>
      </c>
      <c r="H3689" t="n">
        <v>0</v>
      </c>
      <c r="I3689" t="n">
        <v>0</v>
      </c>
      <c r="J3689" t="n">
        <v>0</v>
      </c>
      <c r="K3689" t="n">
        <v>0</v>
      </c>
      <c r="L3689" t="n">
        <v>0</v>
      </c>
      <c r="M3689" t="n">
        <v>0</v>
      </c>
      <c r="N3689" t="n">
        <v>0</v>
      </c>
      <c r="O3689" t="n">
        <v>0</v>
      </c>
      <c r="P3689" t="n">
        <v>0</v>
      </c>
      <c r="Q3689" t="n">
        <v>0</v>
      </c>
      <c r="R3689" s="2" t="inlineStr"/>
    </row>
    <row r="3690" ht="15" customHeight="1">
      <c r="A3690" t="inlineStr">
        <is>
          <t>A 3449-2023</t>
        </is>
      </c>
      <c r="B3690" s="1" t="n">
        <v>44949.61246527778</v>
      </c>
      <c r="C3690" s="1" t="n">
        <v>46075</v>
      </c>
      <c r="D3690" t="inlineStr">
        <is>
          <t>VÄSTERBOTTENS LÄN</t>
        </is>
      </c>
      <c r="E3690" t="inlineStr">
        <is>
          <t>NORDMALING</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10729-2025</t>
        </is>
      </c>
      <c r="B3691" s="1" t="n">
        <v>45722</v>
      </c>
      <c r="C3691" s="1" t="n">
        <v>46075</v>
      </c>
      <c r="D3691" t="inlineStr">
        <is>
          <t>VÄSTERBOTTENS LÄN</t>
        </is>
      </c>
      <c r="E3691" t="inlineStr">
        <is>
          <t>UMEÅ</t>
        </is>
      </c>
      <c r="G3691" t="n">
        <v>6.4</v>
      </c>
      <c r="H3691" t="n">
        <v>0</v>
      </c>
      <c r="I3691" t="n">
        <v>0</v>
      </c>
      <c r="J3691" t="n">
        <v>0</v>
      </c>
      <c r="K3691" t="n">
        <v>0</v>
      </c>
      <c r="L3691" t="n">
        <v>0</v>
      </c>
      <c r="M3691" t="n">
        <v>0</v>
      </c>
      <c r="N3691" t="n">
        <v>0</v>
      </c>
      <c r="O3691" t="n">
        <v>0</v>
      </c>
      <c r="P3691" t="n">
        <v>0</v>
      </c>
      <c r="Q3691" t="n">
        <v>0</v>
      </c>
      <c r="R3691" s="2" t="inlineStr"/>
    </row>
    <row r="3692" ht="15" customHeight="1">
      <c r="A3692" t="inlineStr">
        <is>
          <t>A 39631-2025</t>
        </is>
      </c>
      <c r="B3692" s="1" t="n">
        <v>45890.58930555556</v>
      </c>
      <c r="C3692" s="1" t="n">
        <v>46075</v>
      </c>
      <c r="D3692" t="inlineStr">
        <is>
          <t>VÄSTERBOTTENS LÄN</t>
        </is>
      </c>
      <c r="E3692" t="inlineStr">
        <is>
          <t>SORSELE</t>
        </is>
      </c>
      <c r="F3692" t="inlineStr">
        <is>
          <t>Sveaskog</t>
        </is>
      </c>
      <c r="G3692" t="n">
        <v>25.5</v>
      </c>
      <c r="H3692" t="n">
        <v>0</v>
      </c>
      <c r="I3692" t="n">
        <v>0</v>
      </c>
      <c r="J3692" t="n">
        <v>0</v>
      </c>
      <c r="K3692" t="n">
        <v>0</v>
      </c>
      <c r="L3692" t="n">
        <v>0</v>
      </c>
      <c r="M3692" t="n">
        <v>0</v>
      </c>
      <c r="N3692" t="n">
        <v>0</v>
      </c>
      <c r="O3692" t="n">
        <v>0</v>
      </c>
      <c r="P3692" t="n">
        <v>0</v>
      </c>
      <c r="Q3692" t="n">
        <v>0</v>
      </c>
      <c r="R3692" s="2" t="inlineStr"/>
    </row>
    <row r="3693" ht="15" customHeight="1">
      <c r="A3693" t="inlineStr">
        <is>
          <t>A 10978-2025</t>
        </is>
      </c>
      <c r="B3693" s="1" t="n">
        <v>45723</v>
      </c>
      <c r="C3693" s="1" t="n">
        <v>46075</v>
      </c>
      <c r="D3693" t="inlineStr">
        <is>
          <t>VÄSTERBOTTENS LÄN</t>
        </is>
      </c>
      <c r="E3693" t="inlineStr">
        <is>
          <t>SKELLEFTEÅ</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10980-2025</t>
        </is>
      </c>
      <c r="B3694" s="1" t="n">
        <v>45723</v>
      </c>
      <c r="C3694" s="1" t="n">
        <v>46075</v>
      </c>
      <c r="D3694" t="inlineStr">
        <is>
          <t>VÄSTERBOTTENS LÄN</t>
        </is>
      </c>
      <c r="E3694" t="inlineStr">
        <is>
          <t>SKELLEFTEÅ</t>
        </is>
      </c>
      <c r="G3694" t="n">
        <v>0.2</v>
      </c>
      <c r="H3694" t="n">
        <v>0</v>
      </c>
      <c r="I3694" t="n">
        <v>0</v>
      </c>
      <c r="J3694" t="n">
        <v>0</v>
      </c>
      <c r="K3694" t="n">
        <v>0</v>
      </c>
      <c r="L3694" t="n">
        <v>0</v>
      </c>
      <c r="M3694" t="n">
        <v>0</v>
      </c>
      <c r="N3694" t="n">
        <v>0</v>
      </c>
      <c r="O3694" t="n">
        <v>0</v>
      </c>
      <c r="P3694" t="n">
        <v>0</v>
      </c>
      <c r="Q3694" t="n">
        <v>0</v>
      </c>
      <c r="R3694" s="2" t="inlineStr"/>
    </row>
    <row r="3695" ht="15" customHeight="1">
      <c r="A3695" t="inlineStr">
        <is>
          <t>A 24352-2024</t>
        </is>
      </c>
      <c r="B3695" s="1" t="n">
        <v>45457.59247685185</v>
      </c>
      <c r="C3695" s="1" t="n">
        <v>46075</v>
      </c>
      <c r="D3695" t="inlineStr">
        <is>
          <t>VÄSTERBOTTENS LÄN</t>
        </is>
      </c>
      <c r="E3695" t="inlineStr">
        <is>
          <t>SKELLEFTEÅ</t>
        </is>
      </c>
      <c r="G3695" t="n">
        <v>5.4</v>
      </c>
      <c r="H3695" t="n">
        <v>0</v>
      </c>
      <c r="I3695" t="n">
        <v>0</v>
      </c>
      <c r="J3695" t="n">
        <v>0</v>
      </c>
      <c r="K3695" t="n">
        <v>0</v>
      </c>
      <c r="L3695" t="n">
        <v>0</v>
      </c>
      <c r="M3695" t="n">
        <v>0</v>
      </c>
      <c r="N3695" t="n">
        <v>0</v>
      </c>
      <c r="O3695" t="n">
        <v>0</v>
      </c>
      <c r="P3695" t="n">
        <v>0</v>
      </c>
      <c r="Q3695" t="n">
        <v>0</v>
      </c>
      <c r="R3695" s="2" t="inlineStr"/>
    </row>
    <row r="3696" ht="15" customHeight="1">
      <c r="A3696" t="inlineStr">
        <is>
          <t>A 29978-2025</t>
        </is>
      </c>
      <c r="B3696" s="1" t="n">
        <v>45826.49273148148</v>
      </c>
      <c r="C3696" s="1" t="n">
        <v>46075</v>
      </c>
      <c r="D3696" t="inlineStr">
        <is>
          <t>VÄSTERBOTTENS LÄN</t>
        </is>
      </c>
      <c r="E3696" t="inlineStr">
        <is>
          <t>ÅSELE</t>
        </is>
      </c>
      <c r="F3696" t="inlineStr">
        <is>
          <t>Sveaskog</t>
        </is>
      </c>
      <c r="G3696" t="n">
        <v>4.9</v>
      </c>
      <c r="H3696" t="n">
        <v>0</v>
      </c>
      <c r="I3696" t="n">
        <v>0</v>
      </c>
      <c r="J3696" t="n">
        <v>0</v>
      </c>
      <c r="K3696" t="n">
        <v>0</v>
      </c>
      <c r="L3696" t="n">
        <v>0</v>
      </c>
      <c r="M3696" t="n">
        <v>0</v>
      </c>
      <c r="N3696" t="n">
        <v>0</v>
      </c>
      <c r="O3696" t="n">
        <v>0</v>
      </c>
      <c r="P3696" t="n">
        <v>0</v>
      </c>
      <c r="Q3696" t="n">
        <v>0</v>
      </c>
      <c r="R3696" s="2" t="inlineStr"/>
    </row>
    <row r="3697" ht="15" customHeight="1">
      <c r="A3697" t="inlineStr">
        <is>
          <t>A 29998-2025</t>
        </is>
      </c>
      <c r="B3697" s="1" t="n">
        <v>45826</v>
      </c>
      <c r="C3697" s="1" t="n">
        <v>46075</v>
      </c>
      <c r="D3697" t="inlineStr">
        <is>
          <t>VÄSTERBOTTENS LÄN</t>
        </is>
      </c>
      <c r="E3697" t="inlineStr">
        <is>
          <t>ÅSELE</t>
        </is>
      </c>
      <c r="F3697" t="inlineStr">
        <is>
          <t>Sveaskog</t>
        </is>
      </c>
      <c r="G3697" t="n">
        <v>4.3</v>
      </c>
      <c r="H3697" t="n">
        <v>0</v>
      </c>
      <c r="I3697" t="n">
        <v>0</v>
      </c>
      <c r="J3697" t="n">
        <v>0</v>
      </c>
      <c r="K3697" t="n">
        <v>0</v>
      </c>
      <c r="L3697" t="n">
        <v>0</v>
      </c>
      <c r="M3697" t="n">
        <v>0</v>
      </c>
      <c r="N3697" t="n">
        <v>0</v>
      </c>
      <c r="O3697" t="n">
        <v>0</v>
      </c>
      <c r="P3697" t="n">
        <v>0</v>
      </c>
      <c r="Q3697" t="n">
        <v>0</v>
      </c>
      <c r="R3697" s="2" t="inlineStr"/>
    </row>
    <row r="3698" ht="15" customHeight="1">
      <c r="A3698" t="inlineStr">
        <is>
          <t>A 30336-2025</t>
        </is>
      </c>
      <c r="B3698" s="1" t="n">
        <v>45827.51121527778</v>
      </c>
      <c r="C3698" s="1" t="n">
        <v>46075</v>
      </c>
      <c r="D3698" t="inlineStr">
        <is>
          <t>VÄSTERBOTTENS LÄN</t>
        </is>
      </c>
      <c r="E3698" t="inlineStr">
        <is>
          <t>LYCKSELE</t>
        </is>
      </c>
      <c r="F3698" t="inlineStr">
        <is>
          <t>SCA</t>
        </is>
      </c>
      <c r="G3698" t="n">
        <v>5.2</v>
      </c>
      <c r="H3698" t="n">
        <v>0</v>
      </c>
      <c r="I3698" t="n">
        <v>0</v>
      </c>
      <c r="J3698" t="n">
        <v>0</v>
      </c>
      <c r="K3698" t="n">
        <v>0</v>
      </c>
      <c r="L3698" t="n">
        <v>0</v>
      </c>
      <c r="M3698" t="n">
        <v>0</v>
      </c>
      <c r="N3698" t="n">
        <v>0</v>
      </c>
      <c r="O3698" t="n">
        <v>0</v>
      </c>
      <c r="P3698" t="n">
        <v>0</v>
      </c>
      <c r="Q3698" t="n">
        <v>0</v>
      </c>
      <c r="R3698" s="2" t="inlineStr"/>
    </row>
    <row r="3699" ht="15" customHeight="1">
      <c r="A3699" t="inlineStr">
        <is>
          <t>A 39543-2025</t>
        </is>
      </c>
      <c r="B3699" s="1" t="n">
        <v>45890.45545138889</v>
      </c>
      <c r="C3699" s="1" t="n">
        <v>46075</v>
      </c>
      <c r="D3699" t="inlineStr">
        <is>
          <t>VÄSTERBOTTENS LÄN</t>
        </is>
      </c>
      <c r="E3699" t="inlineStr">
        <is>
          <t>LYCKSELE</t>
        </is>
      </c>
      <c r="F3699" t="inlineStr">
        <is>
          <t>Sveaskog</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39871-2025</t>
        </is>
      </c>
      <c r="B3700" s="1" t="n">
        <v>45891.61135416666</v>
      </c>
      <c r="C3700" s="1" t="n">
        <v>46075</v>
      </c>
      <c r="D3700" t="inlineStr">
        <is>
          <t>VÄSTERBOTTENS LÄN</t>
        </is>
      </c>
      <c r="E3700" t="inlineStr">
        <is>
          <t>SKELLEFTEÅ</t>
        </is>
      </c>
      <c r="G3700" t="n">
        <v>6.7</v>
      </c>
      <c r="H3700" t="n">
        <v>0</v>
      </c>
      <c r="I3700" t="n">
        <v>0</v>
      </c>
      <c r="J3700" t="n">
        <v>0</v>
      </c>
      <c r="K3700" t="n">
        <v>0</v>
      </c>
      <c r="L3700" t="n">
        <v>0</v>
      </c>
      <c r="M3700" t="n">
        <v>0</v>
      </c>
      <c r="N3700" t="n">
        <v>0</v>
      </c>
      <c r="O3700" t="n">
        <v>0</v>
      </c>
      <c r="P3700" t="n">
        <v>0</v>
      </c>
      <c r="Q3700" t="n">
        <v>0</v>
      </c>
      <c r="R3700" s="2" t="inlineStr"/>
    </row>
    <row r="3701" ht="15" customHeight="1">
      <c r="A3701" t="inlineStr">
        <is>
          <t>A 17683-2025</t>
        </is>
      </c>
      <c r="B3701" s="1" t="n">
        <v>45758.3859375</v>
      </c>
      <c r="C3701" s="1" t="n">
        <v>46075</v>
      </c>
      <c r="D3701" t="inlineStr">
        <is>
          <t>VÄSTERBOTTENS LÄN</t>
        </is>
      </c>
      <c r="E3701" t="inlineStr">
        <is>
          <t>ÅSELE</t>
        </is>
      </c>
      <c r="F3701" t="inlineStr">
        <is>
          <t>SCA</t>
        </is>
      </c>
      <c r="G3701" t="n">
        <v>8.1</v>
      </c>
      <c r="H3701" t="n">
        <v>0</v>
      </c>
      <c r="I3701" t="n">
        <v>0</v>
      </c>
      <c r="J3701" t="n">
        <v>0</v>
      </c>
      <c r="K3701" t="n">
        <v>0</v>
      </c>
      <c r="L3701" t="n">
        <v>0</v>
      </c>
      <c r="M3701" t="n">
        <v>0</v>
      </c>
      <c r="N3701" t="n">
        <v>0</v>
      </c>
      <c r="O3701" t="n">
        <v>0</v>
      </c>
      <c r="P3701" t="n">
        <v>0</v>
      </c>
      <c r="Q3701" t="n">
        <v>0</v>
      </c>
      <c r="R3701" s="2" t="inlineStr"/>
    </row>
    <row r="3702" ht="15" customHeight="1">
      <c r="A3702" t="inlineStr">
        <is>
          <t>A 17702-2025</t>
        </is>
      </c>
      <c r="B3702" s="1" t="n">
        <v>45758.42686342593</v>
      </c>
      <c r="C3702" s="1" t="n">
        <v>46075</v>
      </c>
      <c r="D3702" t="inlineStr">
        <is>
          <t>VÄSTERBOTTENS LÄN</t>
        </is>
      </c>
      <c r="E3702" t="inlineStr">
        <is>
          <t>VINDELN</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39874-2025</t>
        </is>
      </c>
      <c r="B3703" s="1" t="n">
        <v>45891.6150462963</v>
      </c>
      <c r="C3703" s="1" t="n">
        <v>46075</v>
      </c>
      <c r="D3703" t="inlineStr">
        <is>
          <t>VÄSTERBOTTENS LÄN</t>
        </is>
      </c>
      <c r="E3703" t="inlineStr">
        <is>
          <t>NORDMALING</t>
        </is>
      </c>
      <c r="F3703" t="inlineStr">
        <is>
          <t>SCA</t>
        </is>
      </c>
      <c r="G3703" t="n">
        <v>5.2</v>
      </c>
      <c r="H3703" t="n">
        <v>0</v>
      </c>
      <c r="I3703" t="n">
        <v>0</v>
      </c>
      <c r="J3703" t="n">
        <v>0</v>
      </c>
      <c r="K3703" t="n">
        <v>0</v>
      </c>
      <c r="L3703" t="n">
        <v>0</v>
      </c>
      <c r="M3703" t="n">
        <v>0</v>
      </c>
      <c r="N3703" t="n">
        <v>0</v>
      </c>
      <c r="O3703" t="n">
        <v>0</v>
      </c>
      <c r="P3703" t="n">
        <v>0</v>
      </c>
      <c r="Q3703" t="n">
        <v>0</v>
      </c>
      <c r="R3703" s="2" t="inlineStr"/>
    </row>
    <row r="3704" ht="15" customHeight="1">
      <c r="A3704" t="inlineStr">
        <is>
          <t>A 30385-2025</t>
        </is>
      </c>
      <c r="B3704" s="1" t="n">
        <v>45827.5730787037</v>
      </c>
      <c r="C3704" s="1" t="n">
        <v>46075</v>
      </c>
      <c r="D3704" t="inlineStr">
        <is>
          <t>VÄSTERBOTTENS LÄN</t>
        </is>
      </c>
      <c r="E3704" t="inlineStr">
        <is>
          <t>LYCKSELE</t>
        </is>
      </c>
      <c r="F3704" t="inlineStr">
        <is>
          <t>Sveaskog</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30449-2025</t>
        </is>
      </c>
      <c r="B3705" s="1" t="n">
        <v>45827.66090277778</v>
      </c>
      <c r="C3705" s="1" t="n">
        <v>46075</v>
      </c>
      <c r="D3705" t="inlineStr">
        <is>
          <t>VÄSTERBOTTENS LÄN</t>
        </is>
      </c>
      <c r="E3705" t="inlineStr">
        <is>
          <t>VINDELN</t>
        </is>
      </c>
      <c r="F3705" t="inlineStr">
        <is>
          <t>Holmen skog AB</t>
        </is>
      </c>
      <c r="G3705" t="n">
        <v>7.8</v>
      </c>
      <c r="H3705" t="n">
        <v>0</v>
      </c>
      <c r="I3705" t="n">
        <v>0</v>
      </c>
      <c r="J3705" t="n">
        <v>0</v>
      </c>
      <c r="K3705" t="n">
        <v>0</v>
      </c>
      <c r="L3705" t="n">
        <v>0</v>
      </c>
      <c r="M3705" t="n">
        <v>0</v>
      </c>
      <c r="N3705" t="n">
        <v>0</v>
      </c>
      <c r="O3705" t="n">
        <v>0</v>
      </c>
      <c r="P3705" t="n">
        <v>0</v>
      </c>
      <c r="Q3705" t="n">
        <v>0</v>
      </c>
      <c r="R3705" s="2" t="inlineStr"/>
    </row>
    <row r="3706" ht="15" customHeight="1">
      <c r="A3706" t="inlineStr">
        <is>
          <t>A 29822-2025</t>
        </is>
      </c>
      <c r="B3706" s="1" t="n">
        <v>45825.85033564815</v>
      </c>
      <c r="C3706" s="1" t="n">
        <v>46075</v>
      </c>
      <c r="D3706" t="inlineStr">
        <is>
          <t>VÄSTERBOTTENS LÄN</t>
        </is>
      </c>
      <c r="E3706" t="inlineStr">
        <is>
          <t>NORDMALING</t>
        </is>
      </c>
      <c r="G3706" t="n">
        <v>3</v>
      </c>
      <c r="H3706" t="n">
        <v>0</v>
      </c>
      <c r="I3706" t="n">
        <v>0</v>
      </c>
      <c r="J3706" t="n">
        <v>0</v>
      </c>
      <c r="K3706" t="n">
        <v>0</v>
      </c>
      <c r="L3706" t="n">
        <v>0</v>
      </c>
      <c r="M3706" t="n">
        <v>0</v>
      </c>
      <c r="N3706" t="n">
        <v>0</v>
      </c>
      <c r="O3706" t="n">
        <v>0</v>
      </c>
      <c r="P3706" t="n">
        <v>0</v>
      </c>
      <c r="Q3706" t="n">
        <v>0</v>
      </c>
      <c r="R3706" s="2" t="inlineStr"/>
    </row>
    <row r="3707" ht="15" customHeight="1">
      <c r="A3707" t="inlineStr">
        <is>
          <t>A 30037-2025</t>
        </is>
      </c>
      <c r="B3707" s="1" t="n">
        <v>45826.57112268519</v>
      </c>
      <c r="C3707" s="1" t="n">
        <v>46075</v>
      </c>
      <c r="D3707" t="inlineStr">
        <is>
          <t>VÄSTERBOTTENS LÄN</t>
        </is>
      </c>
      <c r="E3707" t="inlineStr">
        <is>
          <t>ÅSELE</t>
        </is>
      </c>
      <c r="F3707" t="inlineStr">
        <is>
          <t>Sveaskog</t>
        </is>
      </c>
      <c r="G3707" t="n">
        <v>8.9</v>
      </c>
      <c r="H3707" t="n">
        <v>0</v>
      </c>
      <c r="I3707" t="n">
        <v>0</v>
      </c>
      <c r="J3707" t="n">
        <v>0</v>
      </c>
      <c r="K3707" t="n">
        <v>0</v>
      </c>
      <c r="L3707" t="n">
        <v>0</v>
      </c>
      <c r="M3707" t="n">
        <v>0</v>
      </c>
      <c r="N3707" t="n">
        <v>0</v>
      </c>
      <c r="O3707" t="n">
        <v>0</v>
      </c>
      <c r="P3707" t="n">
        <v>0</v>
      </c>
      <c r="Q3707" t="n">
        <v>0</v>
      </c>
      <c r="R3707" s="2" t="inlineStr"/>
    </row>
    <row r="3708" ht="15" customHeight="1">
      <c r="A3708" t="inlineStr">
        <is>
          <t>A 2350-2025</t>
        </is>
      </c>
      <c r="B3708" s="1" t="n">
        <v>45673.67822916667</v>
      </c>
      <c r="C3708" s="1" t="n">
        <v>46075</v>
      </c>
      <c r="D3708" t="inlineStr">
        <is>
          <t>VÄSTERBOTTENS LÄN</t>
        </is>
      </c>
      <c r="E3708" t="inlineStr">
        <is>
          <t>DOROTEA</t>
        </is>
      </c>
      <c r="F3708" t="inlineStr">
        <is>
          <t>SCA</t>
        </is>
      </c>
      <c r="G3708" t="n">
        <v>15.8</v>
      </c>
      <c r="H3708" t="n">
        <v>0</v>
      </c>
      <c r="I3708" t="n">
        <v>0</v>
      </c>
      <c r="J3708" t="n">
        <v>0</v>
      </c>
      <c r="K3708" t="n">
        <v>0</v>
      </c>
      <c r="L3708" t="n">
        <v>0</v>
      </c>
      <c r="M3708" t="n">
        <v>0</v>
      </c>
      <c r="N3708" t="n">
        <v>0</v>
      </c>
      <c r="O3708" t="n">
        <v>0</v>
      </c>
      <c r="P3708" t="n">
        <v>0</v>
      </c>
      <c r="Q3708" t="n">
        <v>0</v>
      </c>
      <c r="R3708" s="2" t="inlineStr"/>
    </row>
    <row r="3709" ht="15" customHeight="1">
      <c r="A3709" t="inlineStr">
        <is>
          <t>A 30154-2025</t>
        </is>
      </c>
      <c r="B3709" s="1" t="n">
        <v>45827.31850694444</v>
      </c>
      <c r="C3709" s="1" t="n">
        <v>46075</v>
      </c>
      <c r="D3709" t="inlineStr">
        <is>
          <t>VÄSTERBOTTENS LÄN</t>
        </is>
      </c>
      <c r="E3709" t="inlineStr">
        <is>
          <t>LYCKSELE</t>
        </is>
      </c>
      <c r="G3709" t="n">
        <v>3.7</v>
      </c>
      <c r="H3709" t="n">
        <v>0</v>
      </c>
      <c r="I3709" t="n">
        <v>0</v>
      </c>
      <c r="J3709" t="n">
        <v>0</v>
      </c>
      <c r="K3709" t="n">
        <v>0</v>
      </c>
      <c r="L3709" t="n">
        <v>0</v>
      </c>
      <c r="M3709" t="n">
        <v>0</v>
      </c>
      <c r="N3709" t="n">
        <v>0</v>
      </c>
      <c r="O3709" t="n">
        <v>0</v>
      </c>
      <c r="P3709" t="n">
        <v>0</v>
      </c>
      <c r="Q3709" t="n">
        <v>0</v>
      </c>
      <c r="R3709" s="2" t="inlineStr"/>
    </row>
    <row r="3710" ht="15" customHeight="1">
      <c r="A3710" t="inlineStr">
        <is>
          <t>A 40559-2024</t>
        </is>
      </c>
      <c r="B3710" s="1" t="n">
        <v>45555.6578125</v>
      </c>
      <c r="C3710" s="1" t="n">
        <v>46075</v>
      </c>
      <c r="D3710" t="inlineStr">
        <is>
          <t>VÄSTERBOTTENS LÄN</t>
        </is>
      </c>
      <c r="E3710" t="inlineStr">
        <is>
          <t>VINDELN</t>
        </is>
      </c>
      <c r="F3710" t="inlineStr">
        <is>
          <t>Naturvårdsverket</t>
        </is>
      </c>
      <c r="G3710" t="n">
        <v>4</v>
      </c>
      <c r="H3710" t="n">
        <v>0</v>
      </c>
      <c r="I3710" t="n">
        <v>0</v>
      </c>
      <c r="J3710" t="n">
        <v>0</v>
      </c>
      <c r="K3710" t="n">
        <v>0</v>
      </c>
      <c r="L3710" t="n">
        <v>0</v>
      </c>
      <c r="M3710" t="n">
        <v>0</v>
      </c>
      <c r="N3710" t="n">
        <v>0</v>
      </c>
      <c r="O3710" t="n">
        <v>0</v>
      </c>
      <c r="P3710" t="n">
        <v>0</v>
      </c>
      <c r="Q3710" t="n">
        <v>0</v>
      </c>
      <c r="R3710" s="2" t="inlineStr"/>
    </row>
    <row r="3711" ht="15" customHeight="1">
      <c r="A3711" t="inlineStr">
        <is>
          <t>A 39533-2025</t>
        </is>
      </c>
      <c r="B3711" s="1" t="n">
        <v>45890.44863425926</v>
      </c>
      <c r="C3711" s="1" t="n">
        <v>46075</v>
      </c>
      <c r="D3711" t="inlineStr">
        <is>
          <t>VÄSTERBOTTENS LÄN</t>
        </is>
      </c>
      <c r="E3711" t="inlineStr">
        <is>
          <t>VILHELMINA</t>
        </is>
      </c>
      <c r="F3711" t="inlineStr">
        <is>
          <t>SCA</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30163-2025</t>
        </is>
      </c>
      <c r="B3712" s="1" t="n">
        <v>45827.32722222222</v>
      </c>
      <c r="C3712" s="1" t="n">
        <v>46075</v>
      </c>
      <c r="D3712" t="inlineStr">
        <is>
          <t>VÄSTERBOTTENS LÄN</t>
        </is>
      </c>
      <c r="E3712" t="inlineStr">
        <is>
          <t>VÄNNÄS</t>
        </is>
      </c>
      <c r="G3712" t="n">
        <v>0.3</v>
      </c>
      <c r="H3712" t="n">
        <v>0</v>
      </c>
      <c r="I3712" t="n">
        <v>0</v>
      </c>
      <c r="J3712" t="n">
        <v>0</v>
      </c>
      <c r="K3712" t="n">
        <v>0</v>
      </c>
      <c r="L3712" t="n">
        <v>0</v>
      </c>
      <c r="M3712" t="n">
        <v>0</v>
      </c>
      <c r="N3712" t="n">
        <v>0</v>
      </c>
      <c r="O3712" t="n">
        <v>0</v>
      </c>
      <c r="P3712" t="n">
        <v>0</v>
      </c>
      <c r="Q3712" t="n">
        <v>0</v>
      </c>
      <c r="R3712" s="2" t="inlineStr"/>
    </row>
    <row r="3713" ht="15" customHeight="1">
      <c r="A3713" t="inlineStr">
        <is>
          <t>A 39778-2025</t>
        </is>
      </c>
      <c r="B3713" s="1" t="n">
        <v>45891.46913194445</v>
      </c>
      <c r="C3713" s="1" t="n">
        <v>46075</v>
      </c>
      <c r="D3713" t="inlineStr">
        <is>
          <t>VÄSTERBOTTENS LÄN</t>
        </is>
      </c>
      <c r="E3713" t="inlineStr">
        <is>
          <t>DOROTEA</t>
        </is>
      </c>
      <c r="F3713" t="inlineStr">
        <is>
          <t>SCA</t>
        </is>
      </c>
      <c r="G3713" t="n">
        <v>6.6</v>
      </c>
      <c r="H3713" t="n">
        <v>0</v>
      </c>
      <c r="I3713" t="n">
        <v>0</v>
      </c>
      <c r="J3713" t="n">
        <v>0</v>
      </c>
      <c r="K3713" t="n">
        <v>0</v>
      </c>
      <c r="L3713" t="n">
        <v>0</v>
      </c>
      <c r="M3713" t="n">
        <v>0</v>
      </c>
      <c r="N3713" t="n">
        <v>0</v>
      </c>
      <c r="O3713" t="n">
        <v>0</v>
      </c>
      <c r="P3713" t="n">
        <v>0</v>
      </c>
      <c r="Q3713" t="n">
        <v>0</v>
      </c>
      <c r="R3713" s="2" t="inlineStr"/>
    </row>
    <row r="3714" ht="15" customHeight="1">
      <c r="A3714" t="inlineStr">
        <is>
          <t>A 18368-2024</t>
        </is>
      </c>
      <c r="B3714" s="1" t="n">
        <v>45422</v>
      </c>
      <c r="C3714" s="1" t="n">
        <v>46075</v>
      </c>
      <c r="D3714" t="inlineStr">
        <is>
          <t>VÄSTERBOTTENS LÄN</t>
        </is>
      </c>
      <c r="E3714" t="inlineStr">
        <is>
          <t>SKELLEFTEÅ</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39613-2025</t>
        </is>
      </c>
      <c r="B3715" s="1" t="n">
        <v>45890.56368055556</v>
      </c>
      <c r="C3715" s="1" t="n">
        <v>46075</v>
      </c>
      <c r="D3715" t="inlineStr">
        <is>
          <t>VÄSTERBOTTENS LÄN</t>
        </is>
      </c>
      <c r="E3715" t="inlineStr">
        <is>
          <t>SKELLEFTEÅ</t>
        </is>
      </c>
      <c r="F3715" t="inlineStr">
        <is>
          <t>Holmen skog AB</t>
        </is>
      </c>
      <c r="G3715" t="n">
        <v>12.8</v>
      </c>
      <c r="H3715" t="n">
        <v>0</v>
      </c>
      <c r="I3715" t="n">
        <v>0</v>
      </c>
      <c r="J3715" t="n">
        <v>0</v>
      </c>
      <c r="K3715" t="n">
        <v>0</v>
      </c>
      <c r="L3715" t="n">
        <v>0</v>
      </c>
      <c r="M3715" t="n">
        <v>0</v>
      </c>
      <c r="N3715" t="n">
        <v>0</v>
      </c>
      <c r="O3715" t="n">
        <v>0</v>
      </c>
      <c r="P3715" t="n">
        <v>0</v>
      </c>
      <c r="Q3715" t="n">
        <v>0</v>
      </c>
      <c r="R3715" s="2" t="inlineStr"/>
    </row>
    <row r="3716" ht="15" customHeight="1">
      <c r="A3716" t="inlineStr">
        <is>
          <t>A 39648-2025</t>
        </is>
      </c>
      <c r="B3716" s="1" t="n">
        <v>45890.61520833334</v>
      </c>
      <c r="C3716" s="1" t="n">
        <v>46075</v>
      </c>
      <c r="D3716" t="inlineStr">
        <is>
          <t>VÄSTERBOTTENS LÄN</t>
        </is>
      </c>
      <c r="E3716" t="inlineStr">
        <is>
          <t>LYCKSELE</t>
        </is>
      </c>
      <c r="F3716" t="inlineStr">
        <is>
          <t>SCA</t>
        </is>
      </c>
      <c r="G3716" t="n">
        <v>19.3</v>
      </c>
      <c r="H3716" t="n">
        <v>0</v>
      </c>
      <c r="I3716" t="n">
        <v>0</v>
      </c>
      <c r="J3716" t="n">
        <v>0</v>
      </c>
      <c r="K3716" t="n">
        <v>0</v>
      </c>
      <c r="L3716" t="n">
        <v>0</v>
      </c>
      <c r="M3716" t="n">
        <v>0</v>
      </c>
      <c r="N3716" t="n">
        <v>0</v>
      </c>
      <c r="O3716" t="n">
        <v>0</v>
      </c>
      <c r="P3716" t="n">
        <v>0</v>
      </c>
      <c r="Q3716" t="n">
        <v>0</v>
      </c>
      <c r="R3716" s="2" t="inlineStr"/>
    </row>
    <row r="3717" ht="15" customHeight="1">
      <c r="A3717" t="inlineStr">
        <is>
          <t>A 30183-2025</t>
        </is>
      </c>
      <c r="B3717" s="1" t="n">
        <v>45827.34677083333</v>
      </c>
      <c r="C3717" s="1" t="n">
        <v>46075</v>
      </c>
      <c r="D3717" t="inlineStr">
        <is>
          <t>VÄSTERBOTTENS LÄN</t>
        </is>
      </c>
      <c r="E3717" t="inlineStr">
        <is>
          <t>ÅSELE</t>
        </is>
      </c>
      <c r="F3717" t="inlineStr">
        <is>
          <t>SCA</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39527-2025</t>
        </is>
      </c>
      <c r="B3718" s="1" t="n">
        <v>45890</v>
      </c>
      <c r="C3718" s="1" t="n">
        <v>46075</v>
      </c>
      <c r="D3718" t="inlineStr">
        <is>
          <t>VÄSTERBOTTENS LÄN</t>
        </is>
      </c>
      <c r="E3718" t="inlineStr">
        <is>
          <t>LYCKSELE</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39534-2025</t>
        </is>
      </c>
      <c r="B3719" s="1" t="n">
        <v>45890.44875</v>
      </c>
      <c r="C3719" s="1" t="n">
        <v>46075</v>
      </c>
      <c r="D3719" t="inlineStr">
        <is>
          <t>VÄSTERBOTTENS LÄN</t>
        </is>
      </c>
      <c r="E3719" t="inlineStr">
        <is>
          <t>VILHELMINA</t>
        </is>
      </c>
      <c r="F3719" t="inlineStr">
        <is>
          <t>SCA</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39557-2025</t>
        </is>
      </c>
      <c r="B3720" s="1" t="n">
        <v>45890</v>
      </c>
      <c r="C3720" s="1" t="n">
        <v>46075</v>
      </c>
      <c r="D3720" t="inlineStr">
        <is>
          <t>VÄSTERBOTTENS LÄN</t>
        </is>
      </c>
      <c r="E3720" t="inlineStr">
        <is>
          <t>ÅSELE</t>
        </is>
      </c>
      <c r="F3720" t="inlineStr">
        <is>
          <t>SCA</t>
        </is>
      </c>
      <c r="G3720" t="n">
        <v>5.8</v>
      </c>
      <c r="H3720" t="n">
        <v>0</v>
      </c>
      <c r="I3720" t="n">
        <v>0</v>
      </c>
      <c r="J3720" t="n">
        <v>0</v>
      </c>
      <c r="K3720" t="n">
        <v>0</v>
      </c>
      <c r="L3720" t="n">
        <v>0</v>
      </c>
      <c r="M3720" t="n">
        <v>0</v>
      </c>
      <c r="N3720" t="n">
        <v>0</v>
      </c>
      <c r="O3720" t="n">
        <v>0</v>
      </c>
      <c r="P3720" t="n">
        <v>0</v>
      </c>
      <c r="Q3720" t="n">
        <v>0</v>
      </c>
      <c r="R3720" s="2" t="inlineStr"/>
    </row>
    <row r="3721" ht="15" customHeight="1">
      <c r="A3721" t="inlineStr">
        <is>
          <t>A 39870-2025</t>
        </is>
      </c>
      <c r="B3721" s="1" t="n">
        <v>45891</v>
      </c>
      <c r="C3721" s="1" t="n">
        <v>46075</v>
      </c>
      <c r="D3721" t="inlineStr">
        <is>
          <t>VÄSTERBOTTENS LÄN</t>
        </is>
      </c>
      <c r="E3721" t="inlineStr">
        <is>
          <t>SKELLEFTEÅ</t>
        </is>
      </c>
      <c r="G3721" t="n">
        <v>4.3</v>
      </c>
      <c r="H3721" t="n">
        <v>0</v>
      </c>
      <c r="I3721" t="n">
        <v>0</v>
      </c>
      <c r="J3721" t="n">
        <v>0</v>
      </c>
      <c r="K3721" t="n">
        <v>0</v>
      </c>
      <c r="L3721" t="n">
        <v>0</v>
      </c>
      <c r="M3721" t="n">
        <v>0</v>
      </c>
      <c r="N3721" t="n">
        <v>0</v>
      </c>
      <c r="O3721" t="n">
        <v>0</v>
      </c>
      <c r="P3721" t="n">
        <v>0</v>
      </c>
      <c r="Q3721" t="n">
        <v>0</v>
      </c>
      <c r="R3721" s="2" t="inlineStr"/>
    </row>
    <row r="3722" ht="15" customHeight="1">
      <c r="A3722" t="inlineStr">
        <is>
          <t>A 39875-2025</t>
        </is>
      </c>
      <c r="B3722" s="1" t="n">
        <v>45891.61512731481</v>
      </c>
      <c r="C3722" s="1" t="n">
        <v>46075</v>
      </c>
      <c r="D3722" t="inlineStr">
        <is>
          <t>VÄSTERBOTTENS LÄN</t>
        </is>
      </c>
      <c r="E3722" t="inlineStr">
        <is>
          <t>SKELLEFTEÅ</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28724-2023</t>
        </is>
      </c>
      <c r="B3723" s="1" t="n">
        <v>45103</v>
      </c>
      <c r="C3723" s="1" t="n">
        <v>46075</v>
      </c>
      <c r="D3723" t="inlineStr">
        <is>
          <t>VÄSTERBOTTENS LÄN</t>
        </is>
      </c>
      <c r="E3723" t="inlineStr">
        <is>
          <t>ÅSELE</t>
        </is>
      </c>
      <c r="F3723" t="inlineStr">
        <is>
          <t>Sveaskog</t>
        </is>
      </c>
      <c r="G3723" t="n">
        <v>9.199999999999999</v>
      </c>
      <c r="H3723" t="n">
        <v>0</v>
      </c>
      <c r="I3723" t="n">
        <v>0</v>
      </c>
      <c r="J3723" t="n">
        <v>0</v>
      </c>
      <c r="K3723" t="n">
        <v>0</v>
      </c>
      <c r="L3723" t="n">
        <v>0</v>
      </c>
      <c r="M3723" t="n">
        <v>0</v>
      </c>
      <c r="N3723" t="n">
        <v>0</v>
      </c>
      <c r="O3723" t="n">
        <v>0</v>
      </c>
      <c r="P3723" t="n">
        <v>0</v>
      </c>
      <c r="Q3723" t="n">
        <v>0</v>
      </c>
      <c r="R3723" s="2" t="inlineStr"/>
    </row>
    <row r="3724" ht="15" customHeight="1">
      <c r="A3724" t="inlineStr">
        <is>
          <t>A 28739-2023</t>
        </is>
      </c>
      <c r="B3724" s="1" t="n">
        <v>45103</v>
      </c>
      <c r="C3724" s="1" t="n">
        <v>46075</v>
      </c>
      <c r="D3724" t="inlineStr">
        <is>
          <t>VÄSTERBOTTENS LÄN</t>
        </is>
      </c>
      <c r="E3724" t="inlineStr">
        <is>
          <t>VINDELN</t>
        </is>
      </c>
      <c r="G3724" t="n">
        <v>3.9</v>
      </c>
      <c r="H3724" t="n">
        <v>0</v>
      </c>
      <c r="I3724" t="n">
        <v>0</v>
      </c>
      <c r="J3724" t="n">
        <v>0</v>
      </c>
      <c r="K3724" t="n">
        <v>0</v>
      </c>
      <c r="L3724" t="n">
        <v>0</v>
      </c>
      <c r="M3724" t="n">
        <v>0</v>
      </c>
      <c r="N3724" t="n">
        <v>0</v>
      </c>
      <c r="O3724" t="n">
        <v>0</v>
      </c>
      <c r="P3724" t="n">
        <v>0</v>
      </c>
      <c r="Q3724" t="n">
        <v>0</v>
      </c>
      <c r="R3724" s="2" t="inlineStr"/>
    </row>
    <row r="3725" ht="15" customHeight="1">
      <c r="A3725" t="inlineStr">
        <is>
          <t>A 39888-2025</t>
        </is>
      </c>
      <c r="B3725" s="1" t="n">
        <v>45891</v>
      </c>
      <c r="C3725" s="1" t="n">
        <v>46075</v>
      </c>
      <c r="D3725" t="inlineStr">
        <is>
          <t>VÄSTERBOTTENS LÄN</t>
        </is>
      </c>
      <c r="E3725" t="inlineStr">
        <is>
          <t>SKELLEFTEÅ</t>
        </is>
      </c>
      <c r="G3725" t="n">
        <v>11.5</v>
      </c>
      <c r="H3725" t="n">
        <v>0</v>
      </c>
      <c r="I3725" t="n">
        <v>0</v>
      </c>
      <c r="J3725" t="n">
        <v>0</v>
      </c>
      <c r="K3725" t="n">
        <v>0</v>
      </c>
      <c r="L3725" t="n">
        <v>0</v>
      </c>
      <c r="M3725" t="n">
        <v>0</v>
      </c>
      <c r="N3725" t="n">
        <v>0</v>
      </c>
      <c r="O3725" t="n">
        <v>0</v>
      </c>
      <c r="P3725" t="n">
        <v>0</v>
      </c>
      <c r="Q3725" t="n">
        <v>0</v>
      </c>
      <c r="R3725" s="2" t="inlineStr"/>
    </row>
    <row r="3726" ht="15" customHeight="1">
      <c r="A3726" t="inlineStr">
        <is>
          <t>A 28781-2023</t>
        </is>
      </c>
      <c r="B3726" s="1" t="n">
        <v>45104</v>
      </c>
      <c r="C3726" s="1" t="n">
        <v>46075</v>
      </c>
      <c r="D3726" t="inlineStr">
        <is>
          <t>VÄSTERBOTTENS LÄN</t>
        </is>
      </c>
      <c r="E3726" t="inlineStr">
        <is>
          <t>VINDELN</t>
        </is>
      </c>
      <c r="F3726" t="inlineStr">
        <is>
          <t>Holmen skog AB</t>
        </is>
      </c>
      <c r="G3726" t="n">
        <v>8.5</v>
      </c>
      <c r="H3726" t="n">
        <v>0</v>
      </c>
      <c r="I3726" t="n">
        <v>0</v>
      </c>
      <c r="J3726" t="n">
        <v>0</v>
      </c>
      <c r="K3726" t="n">
        <v>0</v>
      </c>
      <c r="L3726" t="n">
        <v>0</v>
      </c>
      <c r="M3726" t="n">
        <v>0</v>
      </c>
      <c r="N3726" t="n">
        <v>0</v>
      </c>
      <c r="O3726" t="n">
        <v>0</v>
      </c>
      <c r="P3726" t="n">
        <v>0</v>
      </c>
      <c r="Q3726" t="n">
        <v>0</v>
      </c>
      <c r="R3726" s="2" t="inlineStr"/>
    </row>
    <row r="3727" ht="15" customHeight="1">
      <c r="A3727" t="inlineStr">
        <is>
          <t>A 15620-2025</t>
        </is>
      </c>
      <c r="B3727" s="1" t="n">
        <v>45747</v>
      </c>
      <c r="C3727" s="1" t="n">
        <v>46075</v>
      </c>
      <c r="D3727" t="inlineStr">
        <is>
          <t>VÄSTERBOTTENS LÄN</t>
        </is>
      </c>
      <c r="E3727" t="inlineStr">
        <is>
          <t>STORUMAN</t>
        </is>
      </c>
      <c r="G3727" t="n">
        <v>15.2</v>
      </c>
      <c r="H3727" t="n">
        <v>0</v>
      </c>
      <c r="I3727" t="n">
        <v>0</v>
      </c>
      <c r="J3727" t="n">
        <v>0</v>
      </c>
      <c r="K3727" t="n">
        <v>0</v>
      </c>
      <c r="L3727" t="n">
        <v>0</v>
      </c>
      <c r="M3727" t="n">
        <v>0</v>
      </c>
      <c r="N3727" t="n">
        <v>0</v>
      </c>
      <c r="O3727" t="n">
        <v>0</v>
      </c>
      <c r="P3727" t="n">
        <v>0</v>
      </c>
      <c r="Q3727" t="n">
        <v>0</v>
      </c>
      <c r="R3727" s="2" t="inlineStr"/>
    </row>
    <row r="3728" ht="15" customHeight="1">
      <c r="A3728" t="inlineStr">
        <is>
          <t>A 40220-2025</t>
        </is>
      </c>
      <c r="B3728" s="1" t="n">
        <v>45894</v>
      </c>
      <c r="C3728" s="1" t="n">
        <v>46075</v>
      </c>
      <c r="D3728" t="inlineStr">
        <is>
          <t>VÄSTERBOTTENS LÄN</t>
        </is>
      </c>
      <c r="E3728" t="inlineStr">
        <is>
          <t>VILHELMINA</t>
        </is>
      </c>
      <c r="G3728" t="n">
        <v>4.6</v>
      </c>
      <c r="H3728" t="n">
        <v>0</v>
      </c>
      <c r="I3728" t="n">
        <v>0</v>
      </c>
      <c r="J3728" t="n">
        <v>0</v>
      </c>
      <c r="K3728" t="n">
        <v>0</v>
      </c>
      <c r="L3728" t="n">
        <v>0</v>
      </c>
      <c r="M3728" t="n">
        <v>0</v>
      </c>
      <c r="N3728" t="n">
        <v>0</v>
      </c>
      <c r="O3728" t="n">
        <v>0</v>
      </c>
      <c r="P3728" t="n">
        <v>0</v>
      </c>
      <c r="Q3728" t="n">
        <v>0</v>
      </c>
      <c r="R3728" s="2" t="inlineStr"/>
    </row>
    <row r="3729" ht="15" customHeight="1">
      <c r="A3729" t="inlineStr">
        <is>
          <t>A 40390-2025</t>
        </is>
      </c>
      <c r="B3729" s="1" t="n">
        <v>45895.55496527778</v>
      </c>
      <c r="C3729" s="1" t="n">
        <v>46075</v>
      </c>
      <c r="D3729" t="inlineStr">
        <is>
          <t>VÄSTERBOTTENS LÄN</t>
        </is>
      </c>
      <c r="E3729" t="inlineStr">
        <is>
          <t>VINDELN</t>
        </is>
      </c>
      <c r="F3729" t="inlineStr">
        <is>
          <t>Naturvårdsverket</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20459-2021</t>
        </is>
      </c>
      <c r="B3730" s="1" t="n">
        <v>44314</v>
      </c>
      <c r="C3730" s="1" t="n">
        <v>46075</v>
      </c>
      <c r="D3730" t="inlineStr">
        <is>
          <t>VÄSTERBOTTENS LÄN</t>
        </is>
      </c>
      <c r="E3730" t="inlineStr">
        <is>
          <t>UMEÅ</t>
        </is>
      </c>
      <c r="G3730" t="n">
        <v>0.3</v>
      </c>
      <c r="H3730" t="n">
        <v>0</v>
      </c>
      <c r="I3730" t="n">
        <v>0</v>
      </c>
      <c r="J3730" t="n">
        <v>0</v>
      </c>
      <c r="K3730" t="n">
        <v>0</v>
      </c>
      <c r="L3730" t="n">
        <v>0</v>
      </c>
      <c r="M3730" t="n">
        <v>0</v>
      </c>
      <c r="N3730" t="n">
        <v>0</v>
      </c>
      <c r="O3730" t="n">
        <v>0</v>
      </c>
      <c r="P3730" t="n">
        <v>0</v>
      </c>
      <c r="Q3730" t="n">
        <v>0</v>
      </c>
      <c r="R3730" s="2" t="inlineStr"/>
    </row>
    <row r="3731" ht="15" customHeight="1">
      <c r="A3731" t="inlineStr">
        <is>
          <t>A 59181-2023</t>
        </is>
      </c>
      <c r="B3731" s="1" t="n">
        <v>45251</v>
      </c>
      <c r="C3731" s="1" t="n">
        <v>46075</v>
      </c>
      <c r="D3731" t="inlineStr">
        <is>
          <t>VÄSTERBOTTENS LÄN</t>
        </is>
      </c>
      <c r="E3731" t="inlineStr">
        <is>
          <t>BJURHOLM</t>
        </is>
      </c>
      <c r="G3731" t="n">
        <v>3.7</v>
      </c>
      <c r="H3731" t="n">
        <v>0</v>
      </c>
      <c r="I3731" t="n">
        <v>0</v>
      </c>
      <c r="J3731" t="n">
        <v>0</v>
      </c>
      <c r="K3731" t="n">
        <v>0</v>
      </c>
      <c r="L3731" t="n">
        <v>0</v>
      </c>
      <c r="M3731" t="n">
        <v>0</v>
      </c>
      <c r="N3731" t="n">
        <v>0</v>
      </c>
      <c r="O3731" t="n">
        <v>0</v>
      </c>
      <c r="P3731" t="n">
        <v>0</v>
      </c>
      <c r="Q3731" t="n">
        <v>0</v>
      </c>
      <c r="R3731" s="2" t="inlineStr"/>
    </row>
    <row r="3732" ht="15" customHeight="1">
      <c r="A3732" t="inlineStr">
        <is>
          <t>A 23525-2021</t>
        </is>
      </c>
      <c r="B3732" s="1" t="n">
        <v>44334.33274305556</v>
      </c>
      <c r="C3732" s="1" t="n">
        <v>46075</v>
      </c>
      <c r="D3732" t="inlineStr">
        <is>
          <t>VÄSTERBOTTENS LÄN</t>
        </is>
      </c>
      <c r="E3732" t="inlineStr">
        <is>
          <t>VINDELN</t>
        </is>
      </c>
      <c r="G3732" t="n">
        <v>2.9</v>
      </c>
      <c r="H3732" t="n">
        <v>0</v>
      </c>
      <c r="I3732" t="n">
        <v>0</v>
      </c>
      <c r="J3732" t="n">
        <v>0</v>
      </c>
      <c r="K3732" t="n">
        <v>0</v>
      </c>
      <c r="L3732" t="n">
        <v>0</v>
      </c>
      <c r="M3732" t="n">
        <v>0</v>
      </c>
      <c r="N3732" t="n">
        <v>0</v>
      </c>
      <c r="O3732" t="n">
        <v>0</v>
      </c>
      <c r="P3732" t="n">
        <v>0</v>
      </c>
      <c r="Q3732" t="n">
        <v>0</v>
      </c>
      <c r="R3732" s="2" t="inlineStr"/>
    </row>
    <row r="3733" ht="15" customHeight="1">
      <c r="A3733" t="inlineStr">
        <is>
          <t>A 40263-2025</t>
        </is>
      </c>
      <c r="B3733" s="1" t="n">
        <v>45895.34429398148</v>
      </c>
      <c r="C3733" s="1" t="n">
        <v>46075</v>
      </c>
      <c r="D3733" t="inlineStr">
        <is>
          <t>VÄSTERBOTTENS LÄN</t>
        </is>
      </c>
      <c r="E3733" t="inlineStr">
        <is>
          <t>VINDELN</t>
        </is>
      </c>
      <c r="F3733" t="inlineStr">
        <is>
          <t>SCA</t>
        </is>
      </c>
      <c r="G3733" t="n">
        <v>5.6</v>
      </c>
      <c r="H3733" t="n">
        <v>0</v>
      </c>
      <c r="I3733" t="n">
        <v>0</v>
      </c>
      <c r="J3733" t="n">
        <v>0</v>
      </c>
      <c r="K3733" t="n">
        <v>0</v>
      </c>
      <c r="L3733" t="n">
        <v>0</v>
      </c>
      <c r="M3733" t="n">
        <v>0</v>
      </c>
      <c r="N3733" t="n">
        <v>0</v>
      </c>
      <c r="O3733" t="n">
        <v>0</v>
      </c>
      <c r="P3733" t="n">
        <v>0</v>
      </c>
      <c r="Q3733" t="n">
        <v>0</v>
      </c>
      <c r="R3733" s="2" t="inlineStr"/>
    </row>
    <row r="3734" ht="15" customHeight="1">
      <c r="A3734" t="inlineStr">
        <is>
          <t>A 48547-2023</t>
        </is>
      </c>
      <c r="B3734" s="1" t="n">
        <v>45202</v>
      </c>
      <c r="C3734" s="1" t="n">
        <v>46075</v>
      </c>
      <c r="D3734" t="inlineStr">
        <is>
          <t>VÄSTERBOTTENS LÄN</t>
        </is>
      </c>
      <c r="E3734" t="inlineStr">
        <is>
          <t>ROBERTSFORS</t>
        </is>
      </c>
      <c r="G3734" t="n">
        <v>2.9</v>
      </c>
      <c r="H3734" t="n">
        <v>0</v>
      </c>
      <c r="I3734" t="n">
        <v>0</v>
      </c>
      <c r="J3734" t="n">
        <v>0</v>
      </c>
      <c r="K3734" t="n">
        <v>0</v>
      </c>
      <c r="L3734" t="n">
        <v>0</v>
      </c>
      <c r="M3734" t="n">
        <v>0</v>
      </c>
      <c r="N3734" t="n">
        <v>0</v>
      </c>
      <c r="O3734" t="n">
        <v>0</v>
      </c>
      <c r="P3734" t="n">
        <v>0</v>
      </c>
      <c r="Q3734" t="n">
        <v>0</v>
      </c>
      <c r="R3734" s="2" t="inlineStr"/>
    </row>
    <row r="3735" ht="15" customHeight="1">
      <c r="A3735" t="inlineStr">
        <is>
          <t>A 48549-2023</t>
        </is>
      </c>
      <c r="B3735" s="1" t="n">
        <v>45208</v>
      </c>
      <c r="C3735" s="1" t="n">
        <v>46075</v>
      </c>
      <c r="D3735" t="inlineStr">
        <is>
          <t>VÄSTERBOTTENS LÄN</t>
        </is>
      </c>
      <c r="E3735" t="inlineStr">
        <is>
          <t>NORSJÖ</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31088-2024</t>
        </is>
      </c>
      <c r="B3736" s="1" t="n">
        <v>45502</v>
      </c>
      <c r="C3736" s="1" t="n">
        <v>46075</v>
      </c>
      <c r="D3736" t="inlineStr">
        <is>
          <t>VÄSTERBOTTENS LÄN</t>
        </is>
      </c>
      <c r="E3736" t="inlineStr">
        <is>
          <t>MALÅ</t>
        </is>
      </c>
      <c r="G3736" t="n">
        <v>7.3</v>
      </c>
      <c r="H3736" t="n">
        <v>0</v>
      </c>
      <c r="I3736" t="n">
        <v>0</v>
      </c>
      <c r="J3736" t="n">
        <v>0</v>
      </c>
      <c r="K3736" t="n">
        <v>0</v>
      </c>
      <c r="L3736" t="n">
        <v>0</v>
      </c>
      <c r="M3736" t="n">
        <v>0</v>
      </c>
      <c r="N3736" t="n">
        <v>0</v>
      </c>
      <c r="O3736" t="n">
        <v>0</v>
      </c>
      <c r="P3736" t="n">
        <v>0</v>
      </c>
      <c r="Q3736" t="n">
        <v>0</v>
      </c>
      <c r="R3736" s="2" t="inlineStr"/>
    </row>
    <row r="3737" ht="15" customHeight="1">
      <c r="A3737" t="inlineStr">
        <is>
          <t>A 40479-2025</t>
        </is>
      </c>
      <c r="B3737" s="1" t="n">
        <v>45895.72991898148</v>
      </c>
      <c r="C3737" s="1" t="n">
        <v>46075</v>
      </c>
      <c r="D3737" t="inlineStr">
        <is>
          <t>VÄSTERBOTTENS LÄN</t>
        </is>
      </c>
      <c r="E3737" t="inlineStr">
        <is>
          <t>ÅSELE</t>
        </is>
      </c>
      <c r="F3737" t="inlineStr">
        <is>
          <t>Naturvårdsverket</t>
        </is>
      </c>
      <c r="G3737" t="n">
        <v>4.4</v>
      </c>
      <c r="H3737" t="n">
        <v>0</v>
      </c>
      <c r="I3737" t="n">
        <v>0</v>
      </c>
      <c r="J3737" t="n">
        <v>0</v>
      </c>
      <c r="K3737" t="n">
        <v>0</v>
      </c>
      <c r="L3737" t="n">
        <v>0</v>
      </c>
      <c r="M3737" t="n">
        <v>0</v>
      </c>
      <c r="N3737" t="n">
        <v>0</v>
      </c>
      <c r="O3737" t="n">
        <v>0</v>
      </c>
      <c r="P3737" t="n">
        <v>0</v>
      </c>
      <c r="Q3737" t="n">
        <v>0</v>
      </c>
      <c r="R3737" s="2" t="inlineStr"/>
    </row>
    <row r="3738" ht="15" customHeight="1">
      <c r="A3738" t="inlineStr">
        <is>
          <t>A 29940-2025</t>
        </is>
      </c>
      <c r="B3738" s="1" t="n">
        <v>45826.45104166667</v>
      </c>
      <c r="C3738" s="1" t="n">
        <v>46075</v>
      </c>
      <c r="D3738" t="inlineStr">
        <is>
          <t>VÄSTERBOTTENS LÄN</t>
        </is>
      </c>
      <c r="E3738" t="inlineStr">
        <is>
          <t>VILHELMINA</t>
        </is>
      </c>
      <c r="F3738" t="inlineStr">
        <is>
          <t>Sveaskog</t>
        </is>
      </c>
      <c r="G3738" t="n">
        <v>11.6</v>
      </c>
      <c r="H3738" t="n">
        <v>0</v>
      </c>
      <c r="I3738" t="n">
        <v>0</v>
      </c>
      <c r="J3738" t="n">
        <v>0</v>
      </c>
      <c r="K3738" t="n">
        <v>0</v>
      </c>
      <c r="L3738" t="n">
        <v>0</v>
      </c>
      <c r="M3738" t="n">
        <v>0</v>
      </c>
      <c r="N3738" t="n">
        <v>0</v>
      </c>
      <c r="O3738" t="n">
        <v>0</v>
      </c>
      <c r="P3738" t="n">
        <v>0</v>
      </c>
      <c r="Q3738" t="n">
        <v>0</v>
      </c>
      <c r="R3738" s="2" t="inlineStr"/>
    </row>
    <row r="3739" ht="15" customHeight="1">
      <c r="A3739" t="inlineStr">
        <is>
          <t>A 29942-2025</t>
        </is>
      </c>
      <c r="B3739" s="1" t="n">
        <v>45826.45702546297</v>
      </c>
      <c r="C3739" s="1" t="n">
        <v>46075</v>
      </c>
      <c r="D3739" t="inlineStr">
        <is>
          <t>VÄSTERBOTTENS LÄN</t>
        </is>
      </c>
      <c r="E3739" t="inlineStr">
        <is>
          <t>VILHELMINA</t>
        </is>
      </c>
      <c r="F3739" t="inlineStr">
        <is>
          <t>Sveaskog</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53117-2023</t>
        </is>
      </c>
      <c r="B3740" s="1" t="n">
        <v>45228</v>
      </c>
      <c r="C3740" s="1" t="n">
        <v>46075</v>
      </c>
      <c r="D3740" t="inlineStr">
        <is>
          <t>VÄSTERBOTTENS LÄN</t>
        </is>
      </c>
      <c r="E3740" t="inlineStr">
        <is>
          <t>DOROTEA</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53118-2023</t>
        </is>
      </c>
      <c r="B3741" s="1" t="n">
        <v>45228</v>
      </c>
      <c r="C3741" s="1" t="n">
        <v>46075</v>
      </c>
      <c r="D3741" t="inlineStr">
        <is>
          <t>VÄSTERBOTTENS LÄN</t>
        </is>
      </c>
      <c r="E3741" t="inlineStr">
        <is>
          <t>DOROTEA</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49033-2024</t>
        </is>
      </c>
      <c r="B3742" s="1" t="n">
        <v>45594</v>
      </c>
      <c r="C3742" s="1" t="n">
        <v>46075</v>
      </c>
      <c r="D3742" t="inlineStr">
        <is>
          <t>VÄSTERBOTTENS LÄN</t>
        </is>
      </c>
      <c r="E3742" t="inlineStr">
        <is>
          <t>NORSJÖ</t>
        </is>
      </c>
      <c r="G3742" t="n">
        <v>6.5</v>
      </c>
      <c r="H3742" t="n">
        <v>0</v>
      </c>
      <c r="I3742" t="n">
        <v>0</v>
      </c>
      <c r="J3742" t="n">
        <v>0</v>
      </c>
      <c r="K3742" t="n">
        <v>0</v>
      </c>
      <c r="L3742" t="n">
        <v>0</v>
      </c>
      <c r="M3742" t="n">
        <v>0</v>
      </c>
      <c r="N3742" t="n">
        <v>0</v>
      </c>
      <c r="O3742" t="n">
        <v>0</v>
      </c>
      <c r="P3742" t="n">
        <v>0</v>
      </c>
      <c r="Q3742" t="n">
        <v>0</v>
      </c>
      <c r="R3742" s="2" t="inlineStr"/>
    </row>
    <row r="3743" ht="15" customHeight="1">
      <c r="A3743" t="inlineStr">
        <is>
          <t>A 40282-2025</t>
        </is>
      </c>
      <c r="B3743" s="1" t="n">
        <v>45895.36784722222</v>
      </c>
      <c r="C3743" s="1" t="n">
        <v>46075</v>
      </c>
      <c r="D3743" t="inlineStr">
        <is>
          <t>VÄSTERBOTTENS LÄN</t>
        </is>
      </c>
      <c r="E3743" t="inlineStr">
        <is>
          <t>NORSJÖ</t>
        </is>
      </c>
      <c r="F3743" t="inlineStr">
        <is>
          <t>Holmen skog AB</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40324-2025</t>
        </is>
      </c>
      <c r="B3744" s="1" t="n">
        <v>45895.44799768519</v>
      </c>
      <c r="C3744" s="1" t="n">
        <v>46075</v>
      </c>
      <c r="D3744" t="inlineStr">
        <is>
          <t>VÄSTERBOTTENS LÄN</t>
        </is>
      </c>
      <c r="E3744" t="inlineStr">
        <is>
          <t>NORSJÖ</t>
        </is>
      </c>
      <c r="F3744" t="inlineStr">
        <is>
          <t>Holmen skog AB</t>
        </is>
      </c>
      <c r="G3744" t="n">
        <v>4.8</v>
      </c>
      <c r="H3744" t="n">
        <v>0</v>
      </c>
      <c r="I3744" t="n">
        <v>0</v>
      </c>
      <c r="J3744" t="n">
        <v>0</v>
      </c>
      <c r="K3744" t="n">
        <v>0</v>
      </c>
      <c r="L3744" t="n">
        <v>0</v>
      </c>
      <c r="M3744" t="n">
        <v>0</v>
      </c>
      <c r="N3744" t="n">
        <v>0</v>
      </c>
      <c r="O3744" t="n">
        <v>0</v>
      </c>
      <c r="P3744" t="n">
        <v>0</v>
      </c>
      <c r="Q3744" t="n">
        <v>0</v>
      </c>
      <c r="R3744" s="2" t="inlineStr"/>
    </row>
    <row r="3745" ht="15" customHeight="1">
      <c r="A3745" t="inlineStr">
        <is>
          <t>A 25704-2025</t>
        </is>
      </c>
      <c r="B3745" s="1" t="n">
        <v>45803.6743287037</v>
      </c>
      <c r="C3745" s="1" t="n">
        <v>46075</v>
      </c>
      <c r="D3745" t="inlineStr">
        <is>
          <t>VÄSTERBOTTENS LÄN</t>
        </is>
      </c>
      <c r="E3745" t="inlineStr">
        <is>
          <t>VINDELN</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40342-2025</t>
        </is>
      </c>
      <c r="B3746" s="1" t="n">
        <v>45895.46971064815</v>
      </c>
      <c r="C3746" s="1" t="n">
        <v>46075</v>
      </c>
      <c r="D3746" t="inlineStr">
        <is>
          <t>VÄSTERBOTTENS LÄN</t>
        </is>
      </c>
      <c r="E3746" t="inlineStr">
        <is>
          <t>LYCKSELE</t>
        </is>
      </c>
      <c r="F3746" t="inlineStr">
        <is>
          <t>Holmen skog AB</t>
        </is>
      </c>
      <c r="G3746" t="n">
        <v>3.1</v>
      </c>
      <c r="H3746" t="n">
        <v>0</v>
      </c>
      <c r="I3746" t="n">
        <v>0</v>
      </c>
      <c r="J3746" t="n">
        <v>0</v>
      </c>
      <c r="K3746" t="n">
        <v>0</v>
      </c>
      <c r="L3746" t="n">
        <v>0</v>
      </c>
      <c r="M3746" t="n">
        <v>0</v>
      </c>
      <c r="N3746" t="n">
        <v>0</v>
      </c>
      <c r="O3746" t="n">
        <v>0</v>
      </c>
      <c r="P3746" t="n">
        <v>0</v>
      </c>
      <c r="Q3746" t="n">
        <v>0</v>
      </c>
      <c r="R3746" s="2" t="inlineStr"/>
    </row>
    <row r="3747" ht="15" customHeight="1">
      <c r="A3747" t="inlineStr">
        <is>
          <t>A 40375-2025</t>
        </is>
      </c>
      <c r="B3747" s="1" t="n">
        <v>45895.52715277778</v>
      </c>
      <c r="C3747" s="1" t="n">
        <v>46075</v>
      </c>
      <c r="D3747" t="inlineStr">
        <is>
          <t>VÄSTERBOTTENS LÄN</t>
        </is>
      </c>
      <c r="E3747" t="inlineStr">
        <is>
          <t>ROBERTSFORS</t>
        </is>
      </c>
      <c r="G3747" t="n">
        <v>8.199999999999999</v>
      </c>
      <c r="H3747" t="n">
        <v>0</v>
      </c>
      <c r="I3747" t="n">
        <v>0</v>
      </c>
      <c r="J3747" t="n">
        <v>0</v>
      </c>
      <c r="K3747" t="n">
        <v>0</v>
      </c>
      <c r="L3747" t="n">
        <v>0</v>
      </c>
      <c r="M3747" t="n">
        <v>0</v>
      </c>
      <c r="N3747" t="n">
        <v>0</v>
      </c>
      <c r="O3747" t="n">
        <v>0</v>
      </c>
      <c r="P3747" t="n">
        <v>0</v>
      </c>
      <c r="Q3747" t="n">
        <v>0</v>
      </c>
      <c r="R3747" s="2" t="inlineStr"/>
    </row>
    <row r="3748" ht="15" customHeight="1">
      <c r="A3748" t="inlineStr">
        <is>
          <t>A 29877-2025</t>
        </is>
      </c>
      <c r="B3748" s="1" t="n">
        <v>45826.36219907407</v>
      </c>
      <c r="C3748" s="1" t="n">
        <v>46075</v>
      </c>
      <c r="D3748" t="inlineStr">
        <is>
          <t>VÄSTERBOTTENS LÄN</t>
        </is>
      </c>
      <c r="E3748" t="inlineStr">
        <is>
          <t>VINDELN</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29849-2025</t>
        </is>
      </c>
      <c r="B3749" s="1" t="n">
        <v>45826.32945601852</v>
      </c>
      <c r="C3749" s="1" t="n">
        <v>46075</v>
      </c>
      <c r="D3749" t="inlineStr">
        <is>
          <t>VÄSTERBOTTENS LÄN</t>
        </is>
      </c>
      <c r="E3749" t="inlineStr">
        <is>
          <t>ÅSELE</t>
        </is>
      </c>
      <c r="F3749" t="inlineStr">
        <is>
          <t>Sveaskog</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17889-2024</t>
        </is>
      </c>
      <c r="B3750" s="1" t="n">
        <v>45419.47402777777</v>
      </c>
      <c r="C3750" s="1" t="n">
        <v>46075</v>
      </c>
      <c r="D3750" t="inlineStr">
        <is>
          <t>VÄSTERBOTTENS LÄN</t>
        </is>
      </c>
      <c r="E3750" t="inlineStr">
        <is>
          <t>NORDMALING</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41390-2023</t>
        </is>
      </c>
      <c r="B3751" s="1" t="n">
        <v>45174.92260416667</v>
      </c>
      <c r="C3751" s="1" t="n">
        <v>46075</v>
      </c>
      <c r="D3751" t="inlineStr">
        <is>
          <t>VÄSTERBOTTENS LÄN</t>
        </is>
      </c>
      <c r="E3751" t="inlineStr">
        <is>
          <t>NORSJÖ</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4227-2023</t>
        </is>
      </c>
      <c r="B3752" s="1" t="n">
        <v>44953.47570601852</v>
      </c>
      <c r="C3752" s="1" t="n">
        <v>46075</v>
      </c>
      <c r="D3752" t="inlineStr">
        <is>
          <t>VÄSTERBOTTENS LÄN</t>
        </is>
      </c>
      <c r="E3752" t="inlineStr">
        <is>
          <t>ROBERTSFORS</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41399-2023</t>
        </is>
      </c>
      <c r="B3753" s="1" t="n">
        <v>45174.93857638889</v>
      </c>
      <c r="C3753" s="1" t="n">
        <v>46075</v>
      </c>
      <c r="D3753" t="inlineStr">
        <is>
          <t>VÄSTERBOTTENS LÄN</t>
        </is>
      </c>
      <c r="E3753" t="inlineStr">
        <is>
          <t>ÅSELE</t>
        </is>
      </c>
      <c r="F3753" t="inlineStr">
        <is>
          <t>SCA</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42383-2023</t>
        </is>
      </c>
      <c r="B3754" s="1" t="n">
        <v>45180</v>
      </c>
      <c r="C3754" s="1" t="n">
        <v>46075</v>
      </c>
      <c r="D3754" t="inlineStr">
        <is>
          <t>VÄSTERBOTTENS LÄN</t>
        </is>
      </c>
      <c r="E3754" t="inlineStr">
        <is>
          <t>MALÅ</t>
        </is>
      </c>
      <c r="G3754" t="n">
        <v>3.5</v>
      </c>
      <c r="H3754" t="n">
        <v>0</v>
      </c>
      <c r="I3754" t="n">
        <v>0</v>
      </c>
      <c r="J3754" t="n">
        <v>0</v>
      </c>
      <c r="K3754" t="n">
        <v>0</v>
      </c>
      <c r="L3754" t="n">
        <v>0</v>
      </c>
      <c r="M3754" t="n">
        <v>0</v>
      </c>
      <c r="N3754" t="n">
        <v>0</v>
      </c>
      <c r="O3754" t="n">
        <v>0</v>
      </c>
      <c r="P3754" t="n">
        <v>0</v>
      </c>
      <c r="Q3754" t="n">
        <v>0</v>
      </c>
      <c r="R3754" s="2" t="inlineStr"/>
    </row>
    <row r="3755" ht="15" customHeight="1">
      <c r="A3755" t="inlineStr">
        <is>
          <t>A 40035-2025</t>
        </is>
      </c>
      <c r="B3755" s="1" t="n">
        <v>45894.38201388889</v>
      </c>
      <c r="C3755" s="1" t="n">
        <v>46075</v>
      </c>
      <c r="D3755" t="inlineStr">
        <is>
          <t>VÄSTERBOTTENS LÄN</t>
        </is>
      </c>
      <c r="E3755" t="inlineStr">
        <is>
          <t>ÅSELE</t>
        </is>
      </c>
      <c r="G3755" t="n">
        <v>3.3</v>
      </c>
      <c r="H3755" t="n">
        <v>0</v>
      </c>
      <c r="I3755" t="n">
        <v>0</v>
      </c>
      <c r="J3755" t="n">
        <v>0</v>
      </c>
      <c r="K3755" t="n">
        <v>0</v>
      </c>
      <c r="L3755" t="n">
        <v>0</v>
      </c>
      <c r="M3755" t="n">
        <v>0</v>
      </c>
      <c r="N3755" t="n">
        <v>0</v>
      </c>
      <c r="O3755" t="n">
        <v>0</v>
      </c>
      <c r="P3755" t="n">
        <v>0</v>
      </c>
      <c r="Q3755" t="n">
        <v>0</v>
      </c>
      <c r="R3755" s="2" t="inlineStr"/>
    </row>
    <row r="3756" ht="15" customHeight="1">
      <c r="A3756" t="inlineStr">
        <is>
          <t>A 7982-2025</t>
        </is>
      </c>
      <c r="B3756" s="1" t="n">
        <v>45707.46905092592</v>
      </c>
      <c r="C3756" s="1" t="n">
        <v>46075</v>
      </c>
      <c r="D3756" t="inlineStr">
        <is>
          <t>VÄSTERBOTTENS LÄN</t>
        </is>
      </c>
      <c r="E3756" t="inlineStr">
        <is>
          <t>VILHELMINA</t>
        </is>
      </c>
      <c r="G3756" t="n">
        <v>6</v>
      </c>
      <c r="H3756" t="n">
        <v>0</v>
      </c>
      <c r="I3756" t="n">
        <v>0</v>
      </c>
      <c r="J3756" t="n">
        <v>0</v>
      </c>
      <c r="K3756" t="n">
        <v>0</v>
      </c>
      <c r="L3756" t="n">
        <v>0</v>
      </c>
      <c r="M3756" t="n">
        <v>0</v>
      </c>
      <c r="N3756" t="n">
        <v>0</v>
      </c>
      <c r="O3756" t="n">
        <v>0</v>
      </c>
      <c r="P3756" t="n">
        <v>0</v>
      </c>
      <c r="Q3756" t="n">
        <v>0</v>
      </c>
      <c r="R3756" s="2" t="inlineStr"/>
    </row>
    <row r="3757" ht="15" customHeight="1">
      <c r="A3757" t="inlineStr">
        <is>
          <t>A 39971-2025</t>
        </is>
      </c>
      <c r="B3757" s="1" t="n">
        <v>45892.69835648148</v>
      </c>
      <c r="C3757" s="1" t="n">
        <v>46075</v>
      </c>
      <c r="D3757" t="inlineStr">
        <is>
          <t>VÄSTERBOTTENS LÄN</t>
        </is>
      </c>
      <c r="E3757" t="inlineStr">
        <is>
          <t>ÅSELE</t>
        </is>
      </c>
      <c r="F3757" t="inlineStr">
        <is>
          <t>SCA</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16148-2025</t>
        </is>
      </c>
      <c r="B3758" s="1" t="n">
        <v>45750.46479166667</v>
      </c>
      <c r="C3758" s="1" t="n">
        <v>46075</v>
      </c>
      <c r="D3758" t="inlineStr">
        <is>
          <t>VÄSTERBOTTENS LÄN</t>
        </is>
      </c>
      <c r="E3758" t="inlineStr">
        <is>
          <t>BJURHOLM</t>
        </is>
      </c>
      <c r="F3758" t="inlineStr">
        <is>
          <t>Sveaskog</t>
        </is>
      </c>
      <c r="G3758" t="n">
        <v>10.6</v>
      </c>
      <c r="H3758" t="n">
        <v>0</v>
      </c>
      <c r="I3758" t="n">
        <v>0</v>
      </c>
      <c r="J3758" t="n">
        <v>0</v>
      </c>
      <c r="K3758" t="n">
        <v>0</v>
      </c>
      <c r="L3758" t="n">
        <v>0</v>
      </c>
      <c r="M3758" t="n">
        <v>0</v>
      </c>
      <c r="N3758" t="n">
        <v>0</v>
      </c>
      <c r="O3758" t="n">
        <v>0</v>
      </c>
      <c r="P3758" t="n">
        <v>0</v>
      </c>
      <c r="Q3758" t="n">
        <v>0</v>
      </c>
      <c r="R3758" s="2" t="inlineStr"/>
    </row>
    <row r="3759" ht="15" customHeight="1">
      <c r="A3759" t="inlineStr">
        <is>
          <t>A 40349-2025</t>
        </is>
      </c>
      <c r="B3759" s="1" t="n">
        <v>45895.48251157408</v>
      </c>
      <c r="C3759" s="1" t="n">
        <v>46075</v>
      </c>
      <c r="D3759" t="inlineStr">
        <is>
          <t>VÄSTERBOTTENS LÄN</t>
        </is>
      </c>
      <c r="E3759" t="inlineStr">
        <is>
          <t>ÅSELE</t>
        </is>
      </c>
      <c r="F3759" t="inlineStr">
        <is>
          <t>Sveaskog</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30195-2025</t>
        </is>
      </c>
      <c r="B3760" s="1" t="n">
        <v>45827.35383101852</v>
      </c>
      <c r="C3760" s="1" t="n">
        <v>46075</v>
      </c>
      <c r="D3760" t="inlineStr">
        <is>
          <t>VÄSTERBOTTENS LÄN</t>
        </is>
      </c>
      <c r="E3760" t="inlineStr">
        <is>
          <t>SKELLEFTEÅ</t>
        </is>
      </c>
      <c r="G3760" t="n">
        <v>3.8</v>
      </c>
      <c r="H3760" t="n">
        <v>0</v>
      </c>
      <c r="I3760" t="n">
        <v>0</v>
      </c>
      <c r="J3760" t="n">
        <v>0</v>
      </c>
      <c r="K3760" t="n">
        <v>0</v>
      </c>
      <c r="L3760" t="n">
        <v>0</v>
      </c>
      <c r="M3760" t="n">
        <v>0</v>
      </c>
      <c r="N3760" t="n">
        <v>0</v>
      </c>
      <c r="O3760" t="n">
        <v>0</v>
      </c>
      <c r="P3760" t="n">
        <v>0</v>
      </c>
      <c r="Q3760" t="n">
        <v>0</v>
      </c>
      <c r="R3760" s="2" t="inlineStr"/>
    </row>
    <row r="3761" ht="15" customHeight="1">
      <c r="A3761" t="inlineStr">
        <is>
          <t>A 28888-2024</t>
        </is>
      </c>
      <c r="B3761" s="1" t="n">
        <v>45479</v>
      </c>
      <c r="C3761" s="1" t="n">
        <v>46075</v>
      </c>
      <c r="D3761" t="inlineStr">
        <is>
          <t>VÄSTERBOTTENS LÄN</t>
        </is>
      </c>
      <c r="E3761" t="inlineStr">
        <is>
          <t>BJURHOLM</t>
        </is>
      </c>
      <c r="F3761" t="inlineStr">
        <is>
          <t>SCA</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40191-2025</t>
        </is>
      </c>
      <c r="B3762" s="1" t="n">
        <v>45894.65684027778</v>
      </c>
      <c r="C3762" s="1" t="n">
        <v>46075</v>
      </c>
      <c r="D3762" t="inlineStr">
        <is>
          <t>VÄSTERBOTTENS LÄN</t>
        </is>
      </c>
      <c r="E3762" t="inlineStr">
        <is>
          <t>BJURHOLM</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40454-2025</t>
        </is>
      </c>
      <c r="B3763" s="1" t="n">
        <v>45895.63664351852</v>
      </c>
      <c r="C3763" s="1" t="n">
        <v>46075</v>
      </c>
      <c r="D3763" t="inlineStr">
        <is>
          <t>VÄSTERBOTTENS LÄN</t>
        </is>
      </c>
      <c r="E3763" t="inlineStr">
        <is>
          <t>ÅSELE</t>
        </is>
      </c>
      <c r="F3763" t="inlineStr">
        <is>
          <t>Sveaskog</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29843-2025</t>
        </is>
      </c>
      <c r="B3764" s="1" t="n">
        <v>45826.31524305556</v>
      </c>
      <c r="C3764" s="1" t="n">
        <v>46075</v>
      </c>
      <c r="D3764" t="inlineStr">
        <is>
          <t>VÄSTERBOTTENS LÄN</t>
        </is>
      </c>
      <c r="E3764" t="inlineStr">
        <is>
          <t>ÅSELE</t>
        </is>
      </c>
      <c r="F3764" t="inlineStr">
        <is>
          <t>Sveaskog</t>
        </is>
      </c>
      <c r="G3764" t="n">
        <v>4.5</v>
      </c>
      <c r="H3764" t="n">
        <v>0</v>
      </c>
      <c r="I3764" t="n">
        <v>0</v>
      </c>
      <c r="J3764" t="n">
        <v>0</v>
      </c>
      <c r="K3764" t="n">
        <v>0</v>
      </c>
      <c r="L3764" t="n">
        <v>0</v>
      </c>
      <c r="M3764" t="n">
        <v>0</v>
      </c>
      <c r="N3764" t="n">
        <v>0</v>
      </c>
      <c r="O3764" t="n">
        <v>0</v>
      </c>
      <c r="P3764" t="n">
        <v>0</v>
      </c>
      <c r="Q3764" t="n">
        <v>0</v>
      </c>
      <c r="R3764" s="2" t="inlineStr"/>
    </row>
    <row r="3765" ht="15" customHeight="1">
      <c r="A3765" t="inlineStr">
        <is>
          <t>A 29776-2023</t>
        </is>
      </c>
      <c r="B3765" s="1" t="n">
        <v>45107</v>
      </c>
      <c r="C3765" s="1" t="n">
        <v>46075</v>
      </c>
      <c r="D3765" t="inlineStr">
        <is>
          <t>VÄSTERBOTTENS LÄN</t>
        </is>
      </c>
      <c r="E3765" t="inlineStr">
        <is>
          <t>NORSJÖ</t>
        </is>
      </c>
      <c r="F3765" t="inlineStr">
        <is>
          <t>Sveaskog</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40196-2025</t>
        </is>
      </c>
      <c r="B3766" s="1" t="n">
        <v>45894.65951388889</v>
      </c>
      <c r="C3766" s="1" t="n">
        <v>46075</v>
      </c>
      <c r="D3766" t="inlineStr">
        <is>
          <t>VÄSTERBOTTENS LÄN</t>
        </is>
      </c>
      <c r="E3766" t="inlineStr">
        <is>
          <t>VILHELMINA</t>
        </is>
      </c>
      <c r="G3766" t="n">
        <v>23.3</v>
      </c>
      <c r="H3766" t="n">
        <v>0</v>
      </c>
      <c r="I3766" t="n">
        <v>0</v>
      </c>
      <c r="J3766" t="n">
        <v>0</v>
      </c>
      <c r="K3766" t="n">
        <v>0</v>
      </c>
      <c r="L3766" t="n">
        <v>0</v>
      </c>
      <c r="M3766" t="n">
        <v>0</v>
      </c>
      <c r="N3766" t="n">
        <v>0</v>
      </c>
      <c r="O3766" t="n">
        <v>0</v>
      </c>
      <c r="P3766" t="n">
        <v>0</v>
      </c>
      <c r="Q3766" t="n">
        <v>0</v>
      </c>
      <c r="R3766" s="2" t="inlineStr"/>
    </row>
    <row r="3767" ht="15" customHeight="1">
      <c r="A3767" t="inlineStr">
        <is>
          <t>A 29850-2025</t>
        </is>
      </c>
      <c r="B3767" s="1" t="n">
        <v>45826</v>
      </c>
      <c r="C3767" s="1" t="n">
        <v>46075</v>
      </c>
      <c r="D3767" t="inlineStr">
        <is>
          <t>VÄSTERBOTTENS LÄN</t>
        </is>
      </c>
      <c r="E3767" t="inlineStr">
        <is>
          <t>ÅSELE</t>
        </is>
      </c>
      <c r="F3767" t="inlineStr">
        <is>
          <t>Sveaskog</t>
        </is>
      </c>
      <c r="G3767" t="n">
        <v>7.1</v>
      </c>
      <c r="H3767" t="n">
        <v>0</v>
      </c>
      <c r="I3767" t="n">
        <v>0</v>
      </c>
      <c r="J3767" t="n">
        <v>0</v>
      </c>
      <c r="K3767" t="n">
        <v>0</v>
      </c>
      <c r="L3767" t="n">
        <v>0</v>
      </c>
      <c r="M3767" t="n">
        <v>0</v>
      </c>
      <c r="N3767" t="n">
        <v>0</v>
      </c>
      <c r="O3767" t="n">
        <v>0</v>
      </c>
      <c r="P3767" t="n">
        <v>0</v>
      </c>
      <c r="Q3767" t="n">
        <v>0</v>
      </c>
      <c r="R3767" s="2" t="inlineStr"/>
    </row>
    <row r="3768" ht="15" customHeight="1">
      <c r="A3768" t="inlineStr">
        <is>
          <t>A 29866-2025</t>
        </is>
      </c>
      <c r="B3768" s="1" t="n">
        <v>45826.35212962963</v>
      </c>
      <c r="C3768" s="1" t="n">
        <v>46075</v>
      </c>
      <c r="D3768" t="inlineStr">
        <is>
          <t>VÄSTERBOTTENS LÄN</t>
        </is>
      </c>
      <c r="E3768" t="inlineStr">
        <is>
          <t>LYCKSELE</t>
        </is>
      </c>
      <c r="F3768" t="inlineStr">
        <is>
          <t>Holmen skog AB</t>
        </is>
      </c>
      <c r="G3768" t="n">
        <v>6.7</v>
      </c>
      <c r="H3768" t="n">
        <v>0</v>
      </c>
      <c r="I3768" t="n">
        <v>0</v>
      </c>
      <c r="J3768" t="n">
        <v>0</v>
      </c>
      <c r="K3768" t="n">
        <v>0</v>
      </c>
      <c r="L3768" t="n">
        <v>0</v>
      </c>
      <c r="M3768" t="n">
        <v>0</v>
      </c>
      <c r="N3768" t="n">
        <v>0</v>
      </c>
      <c r="O3768" t="n">
        <v>0</v>
      </c>
      <c r="P3768" t="n">
        <v>0</v>
      </c>
      <c r="Q3768" t="n">
        <v>0</v>
      </c>
      <c r="R3768" s="2" t="inlineStr"/>
    </row>
    <row r="3769" ht="15" customHeight="1">
      <c r="A3769" t="inlineStr">
        <is>
          <t>A 29894-2025</t>
        </is>
      </c>
      <c r="B3769" s="1" t="n">
        <v>45826</v>
      </c>
      <c r="C3769" s="1" t="n">
        <v>46075</v>
      </c>
      <c r="D3769" t="inlineStr">
        <is>
          <t>VÄSTERBOTTENS LÄN</t>
        </is>
      </c>
      <c r="E3769" t="inlineStr">
        <is>
          <t>VINDELN</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40197-2025</t>
        </is>
      </c>
      <c r="B3770" s="1" t="n">
        <v>45894.66121527777</v>
      </c>
      <c r="C3770" s="1" t="n">
        <v>46075</v>
      </c>
      <c r="D3770" t="inlineStr">
        <is>
          <t>VÄSTERBOTTENS LÄN</t>
        </is>
      </c>
      <c r="E3770" t="inlineStr">
        <is>
          <t>BJURHOLM</t>
        </is>
      </c>
      <c r="F3770" t="inlineStr">
        <is>
          <t>Holmen skog AB</t>
        </is>
      </c>
      <c r="G3770" t="n">
        <v>4.9</v>
      </c>
      <c r="H3770" t="n">
        <v>0</v>
      </c>
      <c r="I3770" t="n">
        <v>0</v>
      </c>
      <c r="J3770" t="n">
        <v>0</v>
      </c>
      <c r="K3770" t="n">
        <v>0</v>
      </c>
      <c r="L3770" t="n">
        <v>0</v>
      </c>
      <c r="M3770" t="n">
        <v>0</v>
      </c>
      <c r="N3770" t="n">
        <v>0</v>
      </c>
      <c r="O3770" t="n">
        <v>0</v>
      </c>
      <c r="P3770" t="n">
        <v>0</v>
      </c>
      <c r="Q3770" t="n">
        <v>0</v>
      </c>
      <c r="R3770" s="2" t="inlineStr"/>
    </row>
    <row r="3771" ht="15" customHeight="1">
      <c r="A3771" t="inlineStr">
        <is>
          <t>A 29847-2025</t>
        </is>
      </c>
      <c r="B3771" s="1" t="n">
        <v>45826.32677083334</v>
      </c>
      <c r="C3771" s="1" t="n">
        <v>46075</v>
      </c>
      <c r="D3771" t="inlineStr">
        <is>
          <t>VÄSTERBOTTENS LÄN</t>
        </is>
      </c>
      <c r="E3771" t="inlineStr">
        <is>
          <t>ROBERTSFORS</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29912-2025</t>
        </is>
      </c>
      <c r="B3772" s="1" t="n">
        <v>45826.40885416666</v>
      </c>
      <c r="C3772" s="1" t="n">
        <v>46075</v>
      </c>
      <c r="D3772" t="inlineStr">
        <is>
          <t>VÄSTERBOTTENS LÄN</t>
        </is>
      </c>
      <c r="E3772" t="inlineStr">
        <is>
          <t>VÄNNÄS</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29963-2025</t>
        </is>
      </c>
      <c r="B3773" s="1" t="n">
        <v>45826.48354166667</v>
      </c>
      <c r="C3773" s="1" t="n">
        <v>46075</v>
      </c>
      <c r="D3773" t="inlineStr">
        <is>
          <t>VÄSTERBOTTENS LÄN</t>
        </is>
      </c>
      <c r="E3773" t="inlineStr">
        <is>
          <t>ÅSELE</t>
        </is>
      </c>
      <c r="F3773" t="inlineStr">
        <is>
          <t>Sveaskog</t>
        </is>
      </c>
      <c r="G3773" t="n">
        <v>2.8</v>
      </c>
      <c r="H3773" t="n">
        <v>0</v>
      </c>
      <c r="I3773" t="n">
        <v>0</v>
      </c>
      <c r="J3773" t="n">
        <v>0</v>
      </c>
      <c r="K3773" t="n">
        <v>0</v>
      </c>
      <c r="L3773" t="n">
        <v>0</v>
      </c>
      <c r="M3773" t="n">
        <v>0</v>
      </c>
      <c r="N3773" t="n">
        <v>0</v>
      </c>
      <c r="O3773" t="n">
        <v>0</v>
      </c>
      <c r="P3773" t="n">
        <v>0</v>
      </c>
      <c r="Q3773" t="n">
        <v>0</v>
      </c>
      <c r="R3773" s="2" t="inlineStr"/>
    </row>
    <row r="3774" ht="15" customHeight="1">
      <c r="A3774" t="inlineStr">
        <is>
          <t>A 40253-2025</t>
        </is>
      </c>
      <c r="B3774" s="1" t="n">
        <v>45895.32173611111</v>
      </c>
      <c r="C3774" s="1" t="n">
        <v>46075</v>
      </c>
      <c r="D3774" t="inlineStr">
        <is>
          <t>VÄSTERBOTTENS LÄN</t>
        </is>
      </c>
      <c r="E3774" t="inlineStr">
        <is>
          <t>SORSELE</t>
        </is>
      </c>
      <c r="F3774" t="inlineStr">
        <is>
          <t>Allmännings- och besparingsskogar</t>
        </is>
      </c>
      <c r="G3774" t="n">
        <v>32.5</v>
      </c>
      <c r="H3774" t="n">
        <v>0</v>
      </c>
      <c r="I3774" t="n">
        <v>0</v>
      </c>
      <c r="J3774" t="n">
        <v>0</v>
      </c>
      <c r="K3774" t="n">
        <v>0</v>
      </c>
      <c r="L3774" t="n">
        <v>0</v>
      </c>
      <c r="M3774" t="n">
        <v>0</v>
      </c>
      <c r="N3774" t="n">
        <v>0</v>
      </c>
      <c r="O3774" t="n">
        <v>0</v>
      </c>
      <c r="P3774" t="n">
        <v>0</v>
      </c>
      <c r="Q3774" t="n">
        <v>0</v>
      </c>
      <c r="R3774" s="2" t="inlineStr"/>
    </row>
    <row r="3775" ht="15" customHeight="1">
      <c r="A3775" t="inlineStr">
        <is>
          <t>A 40271-2025</t>
        </is>
      </c>
      <c r="B3775" s="1" t="n">
        <v>45895.345625</v>
      </c>
      <c r="C3775" s="1" t="n">
        <v>46075</v>
      </c>
      <c r="D3775" t="inlineStr">
        <is>
          <t>VÄSTERBOTTENS LÄN</t>
        </is>
      </c>
      <c r="E3775" t="inlineStr">
        <is>
          <t>SKELLEFTEÅ</t>
        </is>
      </c>
      <c r="G3775" t="n">
        <v>12.1</v>
      </c>
      <c r="H3775" t="n">
        <v>0</v>
      </c>
      <c r="I3775" t="n">
        <v>0</v>
      </c>
      <c r="J3775" t="n">
        <v>0</v>
      </c>
      <c r="K3775" t="n">
        <v>0</v>
      </c>
      <c r="L3775" t="n">
        <v>0</v>
      </c>
      <c r="M3775" t="n">
        <v>0</v>
      </c>
      <c r="N3775" t="n">
        <v>0</v>
      </c>
      <c r="O3775" t="n">
        <v>0</v>
      </c>
      <c r="P3775" t="n">
        <v>0</v>
      </c>
      <c r="Q3775" t="n">
        <v>0</v>
      </c>
      <c r="R3775" s="2" t="inlineStr"/>
    </row>
    <row r="3776" ht="15" customHeight="1">
      <c r="A3776" t="inlineStr">
        <is>
          <t>A 40269-2025</t>
        </is>
      </c>
      <c r="B3776" s="1" t="n">
        <v>45895.34538194445</v>
      </c>
      <c r="C3776" s="1" t="n">
        <v>46075</v>
      </c>
      <c r="D3776" t="inlineStr">
        <is>
          <t>VÄSTERBOTTENS LÄN</t>
        </is>
      </c>
      <c r="E3776" t="inlineStr">
        <is>
          <t>BJURHOLM</t>
        </is>
      </c>
      <c r="G3776" t="n">
        <v>9.1</v>
      </c>
      <c r="H3776" t="n">
        <v>0</v>
      </c>
      <c r="I3776" t="n">
        <v>0</v>
      </c>
      <c r="J3776" t="n">
        <v>0</v>
      </c>
      <c r="K3776" t="n">
        <v>0</v>
      </c>
      <c r="L3776" t="n">
        <v>0</v>
      </c>
      <c r="M3776" t="n">
        <v>0</v>
      </c>
      <c r="N3776" t="n">
        <v>0</v>
      </c>
      <c r="O3776" t="n">
        <v>0</v>
      </c>
      <c r="P3776" t="n">
        <v>0</v>
      </c>
      <c r="Q3776" t="n">
        <v>0</v>
      </c>
      <c r="R3776" s="2" t="inlineStr"/>
    </row>
    <row r="3777" ht="15" customHeight="1">
      <c r="A3777" t="inlineStr">
        <is>
          <t>A 15159-2025</t>
        </is>
      </c>
      <c r="B3777" s="1" t="n">
        <v>45744.47206018519</v>
      </c>
      <c r="C3777" s="1" t="n">
        <v>46075</v>
      </c>
      <c r="D3777" t="inlineStr">
        <is>
          <t>VÄSTERBOTTENS LÄN</t>
        </is>
      </c>
      <c r="E3777" t="inlineStr">
        <is>
          <t>ROBERTSFORS</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40295-2025</t>
        </is>
      </c>
      <c r="B3778" s="1" t="n">
        <v>45895.38805555556</v>
      </c>
      <c r="C3778" s="1" t="n">
        <v>46075</v>
      </c>
      <c r="D3778" t="inlineStr">
        <is>
          <t>VÄSTERBOTTENS LÄN</t>
        </is>
      </c>
      <c r="E3778" t="inlineStr">
        <is>
          <t>SKELLEFTEÅ</t>
        </is>
      </c>
      <c r="F3778" t="inlineStr">
        <is>
          <t>Sveaskog</t>
        </is>
      </c>
      <c r="G3778" t="n">
        <v>5.5</v>
      </c>
      <c r="H3778" t="n">
        <v>0</v>
      </c>
      <c r="I3778" t="n">
        <v>0</v>
      </c>
      <c r="J3778" t="n">
        <v>0</v>
      </c>
      <c r="K3778" t="n">
        <v>0</v>
      </c>
      <c r="L3778" t="n">
        <v>0</v>
      </c>
      <c r="M3778" t="n">
        <v>0</v>
      </c>
      <c r="N3778" t="n">
        <v>0</v>
      </c>
      <c r="O3778" t="n">
        <v>0</v>
      </c>
      <c r="P3778" t="n">
        <v>0</v>
      </c>
      <c r="Q3778" t="n">
        <v>0</v>
      </c>
      <c r="R3778" s="2" t="inlineStr"/>
    </row>
    <row r="3779" ht="15" customHeight="1">
      <c r="A3779" t="inlineStr">
        <is>
          <t>A 23297-2023</t>
        </is>
      </c>
      <c r="B3779" s="1" t="n">
        <v>45075</v>
      </c>
      <c r="C3779" s="1" t="n">
        <v>46075</v>
      </c>
      <c r="D3779" t="inlineStr">
        <is>
          <t>VÄSTERBOTTENS LÄN</t>
        </is>
      </c>
      <c r="E3779" t="inlineStr">
        <is>
          <t>LYCKSELE</t>
        </is>
      </c>
      <c r="F3779" t="inlineStr">
        <is>
          <t>SCA</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59381-2023</t>
        </is>
      </c>
      <c r="B3780" s="1" t="n">
        <v>45253.8090162037</v>
      </c>
      <c r="C3780" s="1" t="n">
        <v>46075</v>
      </c>
      <c r="D3780" t="inlineStr">
        <is>
          <t>VÄSTERBOTTENS LÄN</t>
        </is>
      </c>
      <c r="E3780" t="inlineStr">
        <is>
          <t>BJURHOLM</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29932-2025</t>
        </is>
      </c>
      <c r="B3781" s="1" t="n">
        <v>45826.43984953704</v>
      </c>
      <c r="C3781" s="1" t="n">
        <v>46075</v>
      </c>
      <c r="D3781" t="inlineStr">
        <is>
          <t>VÄSTERBOTTENS LÄN</t>
        </is>
      </c>
      <c r="E3781" t="inlineStr">
        <is>
          <t>UMEÅ</t>
        </is>
      </c>
      <c r="G3781" t="n">
        <v>2.9</v>
      </c>
      <c r="H3781" t="n">
        <v>0</v>
      </c>
      <c r="I3781" t="n">
        <v>0</v>
      </c>
      <c r="J3781" t="n">
        <v>0</v>
      </c>
      <c r="K3781" t="n">
        <v>0</v>
      </c>
      <c r="L3781" t="n">
        <v>0</v>
      </c>
      <c r="M3781" t="n">
        <v>0</v>
      </c>
      <c r="N3781" t="n">
        <v>0</v>
      </c>
      <c r="O3781" t="n">
        <v>0</v>
      </c>
      <c r="P3781" t="n">
        <v>0</v>
      </c>
      <c r="Q3781" t="n">
        <v>0</v>
      </c>
      <c r="R3781" s="2" t="inlineStr"/>
    </row>
    <row r="3782" ht="15" customHeight="1">
      <c r="A3782" t="inlineStr">
        <is>
          <t>A 30624-2025</t>
        </is>
      </c>
      <c r="B3782" s="1" t="n">
        <v>45831.4724074074</v>
      </c>
      <c r="C3782" s="1" t="n">
        <v>46075</v>
      </c>
      <c r="D3782" t="inlineStr">
        <is>
          <t>VÄSTERBOTTENS LÄN</t>
        </is>
      </c>
      <c r="E3782" t="inlineStr">
        <is>
          <t>LYCKSELE</t>
        </is>
      </c>
      <c r="F3782" t="inlineStr">
        <is>
          <t>Holmen skog AB</t>
        </is>
      </c>
      <c r="G3782" t="n">
        <v>9.5</v>
      </c>
      <c r="H3782" t="n">
        <v>0</v>
      </c>
      <c r="I3782" t="n">
        <v>0</v>
      </c>
      <c r="J3782" t="n">
        <v>0</v>
      </c>
      <c r="K3782" t="n">
        <v>0</v>
      </c>
      <c r="L3782" t="n">
        <v>0</v>
      </c>
      <c r="M3782" t="n">
        <v>0</v>
      </c>
      <c r="N3782" t="n">
        <v>0</v>
      </c>
      <c r="O3782" t="n">
        <v>0</v>
      </c>
      <c r="P3782" t="n">
        <v>0</v>
      </c>
      <c r="Q3782" t="n">
        <v>0</v>
      </c>
      <c r="R3782" s="2" t="inlineStr"/>
    </row>
    <row r="3783" ht="15" customHeight="1">
      <c r="A3783" t="inlineStr">
        <is>
          <t>A 30215-2025</t>
        </is>
      </c>
      <c r="B3783" s="1" t="n">
        <v>45827.36939814815</v>
      </c>
      <c r="C3783" s="1" t="n">
        <v>46075</v>
      </c>
      <c r="D3783" t="inlineStr">
        <is>
          <t>VÄSTERBOTTENS LÄN</t>
        </is>
      </c>
      <c r="E3783" t="inlineStr">
        <is>
          <t>UMEÅ</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58655-2023</t>
        </is>
      </c>
      <c r="B3784" s="1" t="n">
        <v>45247</v>
      </c>
      <c r="C3784" s="1" t="n">
        <v>46075</v>
      </c>
      <c r="D3784" t="inlineStr">
        <is>
          <t>VÄSTERBOTTENS LÄN</t>
        </is>
      </c>
      <c r="E3784" t="inlineStr">
        <is>
          <t>NORDMALING</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58660-2023</t>
        </is>
      </c>
      <c r="B3785" s="1" t="n">
        <v>45251</v>
      </c>
      <c r="C3785" s="1" t="n">
        <v>46075</v>
      </c>
      <c r="D3785" t="inlineStr">
        <is>
          <t>VÄSTERBOTTENS LÄN</t>
        </is>
      </c>
      <c r="E3785" t="inlineStr">
        <is>
          <t>VINDELN</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30656-2025</t>
        </is>
      </c>
      <c r="B3786" s="1" t="n">
        <v>45831.50633101852</v>
      </c>
      <c r="C3786" s="1" t="n">
        <v>46075</v>
      </c>
      <c r="D3786" t="inlineStr">
        <is>
          <t>VÄSTERBOTTENS LÄN</t>
        </is>
      </c>
      <c r="E3786" t="inlineStr">
        <is>
          <t>LYCKSELE</t>
        </is>
      </c>
      <c r="F3786" t="inlineStr">
        <is>
          <t>Sveaskog</t>
        </is>
      </c>
      <c r="G3786" t="n">
        <v>5.9</v>
      </c>
      <c r="H3786" t="n">
        <v>0</v>
      </c>
      <c r="I3786" t="n">
        <v>0</v>
      </c>
      <c r="J3786" t="n">
        <v>0</v>
      </c>
      <c r="K3786" t="n">
        <v>0</v>
      </c>
      <c r="L3786" t="n">
        <v>0</v>
      </c>
      <c r="M3786" t="n">
        <v>0</v>
      </c>
      <c r="N3786" t="n">
        <v>0</v>
      </c>
      <c r="O3786" t="n">
        <v>0</v>
      </c>
      <c r="P3786" t="n">
        <v>0</v>
      </c>
      <c r="Q3786" t="n">
        <v>0</v>
      </c>
      <c r="R3786" s="2" t="inlineStr"/>
    </row>
    <row r="3787" ht="15" customHeight="1">
      <c r="A3787" t="inlineStr">
        <is>
          <t>A 30558-2025</t>
        </is>
      </c>
      <c r="B3787" s="1" t="n">
        <v>45831.39336805556</v>
      </c>
      <c r="C3787" s="1" t="n">
        <v>46075</v>
      </c>
      <c r="D3787" t="inlineStr">
        <is>
          <t>VÄSTERBOTTENS LÄN</t>
        </is>
      </c>
      <c r="E3787" t="inlineStr">
        <is>
          <t>SORSELE</t>
        </is>
      </c>
      <c r="G3787" t="n">
        <v>8.1</v>
      </c>
      <c r="H3787" t="n">
        <v>0</v>
      </c>
      <c r="I3787" t="n">
        <v>0</v>
      </c>
      <c r="J3787" t="n">
        <v>0</v>
      </c>
      <c r="K3787" t="n">
        <v>0</v>
      </c>
      <c r="L3787" t="n">
        <v>0</v>
      </c>
      <c r="M3787" t="n">
        <v>0</v>
      </c>
      <c r="N3787" t="n">
        <v>0</v>
      </c>
      <c r="O3787" t="n">
        <v>0</v>
      </c>
      <c r="P3787" t="n">
        <v>0</v>
      </c>
      <c r="Q3787" t="n">
        <v>0</v>
      </c>
      <c r="R3787" s="2" t="inlineStr"/>
    </row>
    <row r="3788" ht="15" customHeight="1">
      <c r="A3788" t="inlineStr">
        <is>
          <t>A 30580-2025</t>
        </is>
      </c>
      <c r="B3788" s="1" t="n">
        <v>45831.42009259259</v>
      </c>
      <c r="C3788" s="1" t="n">
        <v>46075</v>
      </c>
      <c r="D3788" t="inlineStr">
        <is>
          <t>VÄSTERBOTTENS LÄN</t>
        </is>
      </c>
      <c r="E3788" t="inlineStr">
        <is>
          <t>VINDELN</t>
        </is>
      </c>
      <c r="F3788" t="inlineStr">
        <is>
          <t>Holmen skog AB</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40024-2025</t>
        </is>
      </c>
      <c r="B3789" s="1" t="n">
        <v>45894.36554398148</v>
      </c>
      <c r="C3789" s="1" t="n">
        <v>46075</v>
      </c>
      <c r="D3789" t="inlineStr">
        <is>
          <t>VÄSTERBOTTENS LÄN</t>
        </is>
      </c>
      <c r="E3789" t="inlineStr">
        <is>
          <t>VINDELN</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40062-2025</t>
        </is>
      </c>
      <c r="B3790" s="1" t="n">
        <v>45894.42775462963</v>
      </c>
      <c r="C3790" s="1" t="n">
        <v>46075</v>
      </c>
      <c r="D3790" t="inlineStr">
        <is>
          <t>VÄSTERBOTTENS LÄN</t>
        </is>
      </c>
      <c r="E3790" t="inlineStr">
        <is>
          <t>NORDMALING</t>
        </is>
      </c>
      <c r="G3790" t="n">
        <v>4.3</v>
      </c>
      <c r="H3790" t="n">
        <v>0</v>
      </c>
      <c r="I3790" t="n">
        <v>0</v>
      </c>
      <c r="J3790" t="n">
        <v>0</v>
      </c>
      <c r="K3790" t="n">
        <v>0</v>
      </c>
      <c r="L3790" t="n">
        <v>0</v>
      </c>
      <c r="M3790" t="n">
        <v>0</v>
      </c>
      <c r="N3790" t="n">
        <v>0</v>
      </c>
      <c r="O3790" t="n">
        <v>0</v>
      </c>
      <c r="P3790" t="n">
        <v>0</v>
      </c>
      <c r="Q3790" t="n">
        <v>0</v>
      </c>
      <c r="R3790" s="2" t="inlineStr"/>
    </row>
    <row r="3791" ht="15" customHeight="1">
      <c r="A3791" t="inlineStr">
        <is>
          <t>A 30623-2025</t>
        </is>
      </c>
      <c r="B3791" s="1" t="n">
        <v>45831.47189814815</v>
      </c>
      <c r="C3791" s="1" t="n">
        <v>46075</v>
      </c>
      <c r="D3791" t="inlineStr">
        <is>
          <t>VÄSTERBOTTENS LÄN</t>
        </is>
      </c>
      <c r="E3791" t="inlineStr">
        <is>
          <t>LYCKSELE</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40020-2025</t>
        </is>
      </c>
      <c r="B3792" s="1" t="n">
        <v>45894.35414351852</v>
      </c>
      <c r="C3792" s="1" t="n">
        <v>46075</v>
      </c>
      <c r="D3792" t="inlineStr">
        <is>
          <t>VÄSTERBOTTENS LÄN</t>
        </is>
      </c>
      <c r="E3792" t="inlineStr">
        <is>
          <t>SKELLEFTEÅ</t>
        </is>
      </c>
      <c r="F3792" t="inlineStr">
        <is>
          <t>Holmen skog AB</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40028-2025</t>
        </is>
      </c>
      <c r="B3793" s="1" t="n">
        <v>45894.37039351852</v>
      </c>
      <c r="C3793" s="1" t="n">
        <v>46075</v>
      </c>
      <c r="D3793" t="inlineStr">
        <is>
          <t>VÄSTERBOTTENS LÄN</t>
        </is>
      </c>
      <c r="E3793" t="inlineStr">
        <is>
          <t>ÅSELE</t>
        </is>
      </c>
      <c r="G3793" t="n">
        <v>5.3</v>
      </c>
      <c r="H3793" t="n">
        <v>0</v>
      </c>
      <c r="I3793" t="n">
        <v>0</v>
      </c>
      <c r="J3793" t="n">
        <v>0</v>
      </c>
      <c r="K3793" t="n">
        <v>0</v>
      </c>
      <c r="L3793" t="n">
        <v>0</v>
      </c>
      <c r="M3793" t="n">
        <v>0</v>
      </c>
      <c r="N3793" t="n">
        <v>0</v>
      </c>
      <c r="O3793" t="n">
        <v>0</v>
      </c>
      <c r="P3793" t="n">
        <v>0</v>
      </c>
      <c r="Q3793" t="n">
        <v>0</v>
      </c>
      <c r="R3793" s="2" t="inlineStr"/>
    </row>
    <row r="3794" ht="15" customHeight="1">
      <c r="A3794" t="inlineStr">
        <is>
          <t>A 40039-2025</t>
        </is>
      </c>
      <c r="B3794" s="1" t="n">
        <v>45894.39484953704</v>
      </c>
      <c r="C3794" s="1" t="n">
        <v>46075</v>
      </c>
      <c r="D3794" t="inlineStr">
        <is>
          <t>VÄSTERBOTTENS LÄN</t>
        </is>
      </c>
      <c r="E3794" t="inlineStr">
        <is>
          <t>UMEÅ</t>
        </is>
      </c>
      <c r="G3794" t="n">
        <v>4.5</v>
      </c>
      <c r="H3794" t="n">
        <v>0</v>
      </c>
      <c r="I3794" t="n">
        <v>0</v>
      </c>
      <c r="J3794" t="n">
        <v>0</v>
      </c>
      <c r="K3794" t="n">
        <v>0</v>
      </c>
      <c r="L3794" t="n">
        <v>0</v>
      </c>
      <c r="M3794" t="n">
        <v>0</v>
      </c>
      <c r="N3794" t="n">
        <v>0</v>
      </c>
      <c r="O3794" t="n">
        <v>0</v>
      </c>
      <c r="P3794" t="n">
        <v>0</v>
      </c>
      <c r="Q3794" t="n">
        <v>0</v>
      </c>
      <c r="R3794" s="2" t="inlineStr"/>
    </row>
    <row r="3795" ht="15" customHeight="1">
      <c r="A3795" t="inlineStr">
        <is>
          <t>A 40040-2025</t>
        </is>
      </c>
      <c r="B3795" s="1" t="n">
        <v>45894.39736111111</v>
      </c>
      <c r="C3795" s="1" t="n">
        <v>46075</v>
      </c>
      <c r="D3795" t="inlineStr">
        <is>
          <t>VÄSTERBOTTENS LÄN</t>
        </is>
      </c>
      <c r="E3795" t="inlineStr">
        <is>
          <t>UMEÅ</t>
        </is>
      </c>
      <c r="G3795" t="n">
        <v>6.5</v>
      </c>
      <c r="H3795" t="n">
        <v>0</v>
      </c>
      <c r="I3795" t="n">
        <v>0</v>
      </c>
      <c r="J3795" t="n">
        <v>0</v>
      </c>
      <c r="K3795" t="n">
        <v>0</v>
      </c>
      <c r="L3795" t="n">
        <v>0</v>
      </c>
      <c r="M3795" t="n">
        <v>0</v>
      </c>
      <c r="N3795" t="n">
        <v>0</v>
      </c>
      <c r="O3795" t="n">
        <v>0</v>
      </c>
      <c r="P3795" t="n">
        <v>0</v>
      </c>
      <c r="Q3795" t="n">
        <v>0</v>
      </c>
      <c r="R3795" s="2" t="inlineStr"/>
    </row>
    <row r="3796" ht="15" customHeight="1">
      <c r="A3796" t="inlineStr">
        <is>
          <t>A 39978-2025</t>
        </is>
      </c>
      <c r="B3796" s="1" t="n">
        <v>45893.69837962963</v>
      </c>
      <c r="C3796" s="1" t="n">
        <v>46075</v>
      </c>
      <c r="D3796" t="inlineStr">
        <is>
          <t>VÄSTERBOTTENS LÄN</t>
        </is>
      </c>
      <c r="E3796" t="inlineStr">
        <is>
          <t>ÅSELE</t>
        </is>
      </c>
      <c r="F3796" t="inlineStr">
        <is>
          <t>SCA</t>
        </is>
      </c>
      <c r="G3796" t="n">
        <v>5.2</v>
      </c>
      <c r="H3796" t="n">
        <v>0</v>
      </c>
      <c r="I3796" t="n">
        <v>0</v>
      </c>
      <c r="J3796" t="n">
        <v>0</v>
      </c>
      <c r="K3796" t="n">
        <v>0</v>
      </c>
      <c r="L3796" t="n">
        <v>0</v>
      </c>
      <c r="M3796" t="n">
        <v>0</v>
      </c>
      <c r="N3796" t="n">
        <v>0</v>
      </c>
      <c r="O3796" t="n">
        <v>0</v>
      </c>
      <c r="P3796" t="n">
        <v>0</v>
      </c>
      <c r="Q3796" t="n">
        <v>0</v>
      </c>
      <c r="R3796" s="2" t="inlineStr"/>
    </row>
    <row r="3797" ht="15" customHeight="1">
      <c r="A3797" t="inlineStr">
        <is>
          <t>A 43426-2023</t>
        </is>
      </c>
      <c r="B3797" s="1" t="n">
        <v>45183</v>
      </c>
      <c r="C3797" s="1" t="n">
        <v>46075</v>
      </c>
      <c r="D3797" t="inlineStr">
        <is>
          <t>VÄSTERBOTTENS LÄN</t>
        </is>
      </c>
      <c r="E3797" t="inlineStr">
        <is>
          <t>NORDMALING</t>
        </is>
      </c>
      <c r="F3797" t="inlineStr">
        <is>
          <t>SCA</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39982-2025</t>
        </is>
      </c>
      <c r="B3798" s="1" t="n">
        <v>45893</v>
      </c>
      <c r="C3798" s="1" t="n">
        <v>46075</v>
      </c>
      <c r="D3798" t="inlineStr">
        <is>
          <t>VÄSTERBOTTENS LÄN</t>
        </is>
      </c>
      <c r="E3798" t="inlineStr">
        <is>
          <t>ROBERTSFORS</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40260-2025</t>
        </is>
      </c>
      <c r="B3799" s="1" t="n">
        <v>45895.3334837963</v>
      </c>
      <c r="C3799" s="1" t="n">
        <v>46075</v>
      </c>
      <c r="D3799" t="inlineStr">
        <is>
          <t>VÄSTERBOTTENS LÄN</t>
        </is>
      </c>
      <c r="E3799" t="inlineStr">
        <is>
          <t>ROBERTSFORS</t>
        </is>
      </c>
      <c r="G3799" t="n">
        <v>8.1</v>
      </c>
      <c r="H3799" t="n">
        <v>0</v>
      </c>
      <c r="I3799" t="n">
        <v>0</v>
      </c>
      <c r="J3799" t="n">
        <v>0</v>
      </c>
      <c r="K3799" t="n">
        <v>0</v>
      </c>
      <c r="L3799" t="n">
        <v>0</v>
      </c>
      <c r="M3799" t="n">
        <v>0</v>
      </c>
      <c r="N3799" t="n">
        <v>0</v>
      </c>
      <c r="O3799" t="n">
        <v>0</v>
      </c>
      <c r="P3799" t="n">
        <v>0</v>
      </c>
      <c r="Q3799" t="n">
        <v>0</v>
      </c>
      <c r="R3799" s="2" t="inlineStr"/>
    </row>
    <row r="3800" ht="15" customHeight="1">
      <c r="A3800" t="inlineStr">
        <is>
          <t>A 40262-2025</t>
        </is>
      </c>
      <c r="B3800" s="1" t="n">
        <v>45895.33680555555</v>
      </c>
      <c r="C3800" s="1" t="n">
        <v>46075</v>
      </c>
      <c r="D3800" t="inlineStr">
        <is>
          <t>VÄSTERBOTTENS LÄN</t>
        </is>
      </c>
      <c r="E3800" t="inlineStr">
        <is>
          <t>NORSJÖ</t>
        </is>
      </c>
      <c r="F3800" t="inlineStr">
        <is>
          <t>Holmen skog AB</t>
        </is>
      </c>
      <c r="G3800" t="n">
        <v>5.6</v>
      </c>
      <c r="H3800" t="n">
        <v>0</v>
      </c>
      <c r="I3800" t="n">
        <v>0</v>
      </c>
      <c r="J3800" t="n">
        <v>0</v>
      </c>
      <c r="K3800" t="n">
        <v>0</v>
      </c>
      <c r="L3800" t="n">
        <v>0</v>
      </c>
      <c r="M3800" t="n">
        <v>0</v>
      </c>
      <c r="N3800" t="n">
        <v>0</v>
      </c>
      <c r="O3800" t="n">
        <v>0</v>
      </c>
      <c r="P3800" t="n">
        <v>0</v>
      </c>
      <c r="Q3800" t="n">
        <v>0</v>
      </c>
      <c r="R3800" s="2" t="inlineStr"/>
    </row>
    <row r="3801" ht="15" customHeight="1">
      <c r="A3801" t="inlineStr">
        <is>
          <t>A 31077-2025</t>
        </is>
      </c>
      <c r="B3801" s="1" t="n">
        <v>45831</v>
      </c>
      <c r="C3801" s="1" t="n">
        <v>46075</v>
      </c>
      <c r="D3801" t="inlineStr">
        <is>
          <t>VÄSTERBOTTENS LÄN</t>
        </is>
      </c>
      <c r="E3801" t="inlineStr">
        <is>
          <t>SKELLEFTEÅ</t>
        </is>
      </c>
      <c r="G3801" t="n">
        <v>4.3</v>
      </c>
      <c r="H3801" t="n">
        <v>0</v>
      </c>
      <c r="I3801" t="n">
        <v>0</v>
      </c>
      <c r="J3801" t="n">
        <v>0</v>
      </c>
      <c r="K3801" t="n">
        <v>0</v>
      </c>
      <c r="L3801" t="n">
        <v>0</v>
      </c>
      <c r="M3801" t="n">
        <v>0</v>
      </c>
      <c r="N3801" t="n">
        <v>0</v>
      </c>
      <c r="O3801" t="n">
        <v>0</v>
      </c>
      <c r="P3801" t="n">
        <v>0</v>
      </c>
      <c r="Q3801" t="n">
        <v>0</v>
      </c>
      <c r="R3801" s="2" t="inlineStr"/>
    </row>
    <row r="3802" ht="15" customHeight="1">
      <c r="A3802" t="inlineStr">
        <is>
          <t>A 30553-2025</t>
        </is>
      </c>
      <c r="B3802" s="1" t="n">
        <v>45831.38579861111</v>
      </c>
      <c r="C3802" s="1" t="n">
        <v>46075</v>
      </c>
      <c r="D3802" t="inlineStr">
        <is>
          <t>VÄSTERBOTTENS LÄN</t>
        </is>
      </c>
      <c r="E3802" t="inlineStr">
        <is>
          <t>VILHELMINA</t>
        </is>
      </c>
      <c r="F3802" t="inlineStr">
        <is>
          <t>SCA</t>
        </is>
      </c>
      <c r="G3802" t="n">
        <v>5</v>
      </c>
      <c r="H3802" t="n">
        <v>0</v>
      </c>
      <c r="I3802" t="n">
        <v>0</v>
      </c>
      <c r="J3802" t="n">
        <v>0</v>
      </c>
      <c r="K3802" t="n">
        <v>0</v>
      </c>
      <c r="L3802" t="n">
        <v>0</v>
      </c>
      <c r="M3802" t="n">
        <v>0</v>
      </c>
      <c r="N3802" t="n">
        <v>0</v>
      </c>
      <c r="O3802" t="n">
        <v>0</v>
      </c>
      <c r="P3802" t="n">
        <v>0</v>
      </c>
      <c r="Q3802" t="n">
        <v>0</v>
      </c>
      <c r="R3802" s="2" t="inlineStr"/>
    </row>
    <row r="3803" ht="15" customHeight="1">
      <c r="A3803" t="inlineStr">
        <is>
          <t>A 30573-2025</t>
        </is>
      </c>
      <c r="B3803" s="1" t="n">
        <v>45831.41046296297</v>
      </c>
      <c r="C3803" s="1" t="n">
        <v>46075</v>
      </c>
      <c r="D3803" t="inlineStr">
        <is>
          <t>VÄSTERBOTTENS LÄN</t>
        </is>
      </c>
      <c r="E3803" t="inlineStr">
        <is>
          <t>LYCKSELE</t>
        </is>
      </c>
      <c r="F3803" t="inlineStr">
        <is>
          <t>Sveaskog</t>
        </is>
      </c>
      <c r="G3803" t="n">
        <v>16.6</v>
      </c>
      <c r="H3803" t="n">
        <v>0</v>
      </c>
      <c r="I3803" t="n">
        <v>0</v>
      </c>
      <c r="J3803" t="n">
        <v>0</v>
      </c>
      <c r="K3803" t="n">
        <v>0</v>
      </c>
      <c r="L3803" t="n">
        <v>0</v>
      </c>
      <c r="M3803" t="n">
        <v>0</v>
      </c>
      <c r="N3803" t="n">
        <v>0</v>
      </c>
      <c r="O3803" t="n">
        <v>0</v>
      </c>
      <c r="P3803" t="n">
        <v>0</v>
      </c>
      <c r="Q3803" t="n">
        <v>0</v>
      </c>
      <c r="R3803" s="2" t="inlineStr"/>
    </row>
    <row r="3804" ht="15" customHeight="1">
      <c r="A3804" t="inlineStr">
        <is>
          <t>A 30790-2025</t>
        </is>
      </c>
      <c r="B3804" s="1" t="n">
        <v>45831.63315972222</v>
      </c>
      <c r="C3804" s="1" t="n">
        <v>46075</v>
      </c>
      <c r="D3804" t="inlineStr">
        <is>
          <t>VÄSTERBOTTENS LÄN</t>
        </is>
      </c>
      <c r="E3804" t="inlineStr">
        <is>
          <t>ROBERTSFORS</t>
        </is>
      </c>
      <c r="G3804" t="n">
        <v>8.800000000000001</v>
      </c>
      <c r="H3804" t="n">
        <v>0</v>
      </c>
      <c r="I3804" t="n">
        <v>0</v>
      </c>
      <c r="J3804" t="n">
        <v>0</v>
      </c>
      <c r="K3804" t="n">
        <v>0</v>
      </c>
      <c r="L3804" t="n">
        <v>0</v>
      </c>
      <c r="M3804" t="n">
        <v>0</v>
      </c>
      <c r="N3804" t="n">
        <v>0</v>
      </c>
      <c r="O3804" t="n">
        <v>0</v>
      </c>
      <c r="P3804" t="n">
        <v>0</v>
      </c>
      <c r="Q3804" t="n">
        <v>0</v>
      </c>
      <c r="R3804" s="2" t="inlineStr"/>
    </row>
    <row r="3805" ht="15" customHeight="1">
      <c r="A3805" t="inlineStr">
        <is>
          <t>A 40264-2025</t>
        </is>
      </c>
      <c r="B3805" s="1" t="n">
        <v>45895.34447916667</v>
      </c>
      <c r="C3805" s="1" t="n">
        <v>46075</v>
      </c>
      <c r="D3805" t="inlineStr">
        <is>
          <t>VÄSTERBOTTENS LÄN</t>
        </is>
      </c>
      <c r="E3805" t="inlineStr">
        <is>
          <t>VINDELN</t>
        </is>
      </c>
      <c r="F3805" t="inlineStr">
        <is>
          <t>SCA</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36064-2024</t>
        </is>
      </c>
      <c r="B3806" s="1" t="n">
        <v>45533.64309027778</v>
      </c>
      <c r="C3806" s="1" t="n">
        <v>46075</v>
      </c>
      <c r="D3806" t="inlineStr">
        <is>
          <t>VÄSTERBOTTENS LÄN</t>
        </is>
      </c>
      <c r="E3806" t="inlineStr">
        <is>
          <t>VINDELN</t>
        </is>
      </c>
      <c r="F3806" t="inlineStr">
        <is>
          <t>Holmen skog AB</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40079-2025</t>
        </is>
      </c>
      <c r="B3807" s="1" t="n">
        <v>45894.4565162037</v>
      </c>
      <c r="C3807" s="1" t="n">
        <v>46075</v>
      </c>
      <c r="D3807" t="inlineStr">
        <is>
          <t>VÄSTERBOTTENS LÄN</t>
        </is>
      </c>
      <c r="E3807" t="inlineStr">
        <is>
          <t>LYCKSELE</t>
        </is>
      </c>
      <c r="F3807" t="inlineStr">
        <is>
          <t>Sveaskog</t>
        </is>
      </c>
      <c r="G3807" t="n">
        <v>2.9</v>
      </c>
      <c r="H3807" t="n">
        <v>0</v>
      </c>
      <c r="I3807" t="n">
        <v>0</v>
      </c>
      <c r="J3807" t="n">
        <v>0</v>
      </c>
      <c r="K3807" t="n">
        <v>0</v>
      </c>
      <c r="L3807" t="n">
        <v>0</v>
      </c>
      <c r="M3807" t="n">
        <v>0</v>
      </c>
      <c r="N3807" t="n">
        <v>0</v>
      </c>
      <c r="O3807" t="n">
        <v>0</v>
      </c>
      <c r="P3807" t="n">
        <v>0</v>
      </c>
      <c r="Q3807" t="n">
        <v>0</v>
      </c>
      <c r="R3807" s="2" t="inlineStr"/>
    </row>
    <row r="3808" ht="15" customHeight="1">
      <c r="A3808" t="inlineStr">
        <is>
          <t>A 40124-2025</t>
        </is>
      </c>
      <c r="B3808" s="1" t="n">
        <v>45894.53172453704</v>
      </c>
      <c r="C3808" s="1" t="n">
        <v>46075</v>
      </c>
      <c r="D3808" t="inlineStr">
        <is>
          <t>VÄSTERBOTTENS LÄN</t>
        </is>
      </c>
      <c r="E3808" t="inlineStr">
        <is>
          <t>ÅSELE</t>
        </is>
      </c>
      <c r="F3808" t="inlineStr">
        <is>
          <t>SCA</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29462-2025</t>
        </is>
      </c>
      <c r="B3809" s="1" t="n">
        <v>45824.69697916666</v>
      </c>
      <c r="C3809" s="1" t="n">
        <v>46075</v>
      </c>
      <c r="D3809" t="inlineStr">
        <is>
          <t>VÄSTERBOTTENS LÄN</t>
        </is>
      </c>
      <c r="E3809" t="inlineStr">
        <is>
          <t>VÄNNÄS</t>
        </is>
      </c>
      <c r="G3809" t="n">
        <v>11.1</v>
      </c>
      <c r="H3809" t="n">
        <v>0</v>
      </c>
      <c r="I3809" t="n">
        <v>0</v>
      </c>
      <c r="J3809" t="n">
        <v>0</v>
      </c>
      <c r="K3809" t="n">
        <v>0</v>
      </c>
      <c r="L3809" t="n">
        <v>0</v>
      </c>
      <c r="M3809" t="n">
        <v>0</v>
      </c>
      <c r="N3809" t="n">
        <v>0</v>
      </c>
      <c r="O3809" t="n">
        <v>0</v>
      </c>
      <c r="P3809" t="n">
        <v>0</v>
      </c>
      <c r="Q3809" t="n">
        <v>0</v>
      </c>
      <c r="R3809" s="2" t="inlineStr"/>
    </row>
    <row r="3810" ht="15" customHeight="1">
      <c r="A3810" t="inlineStr">
        <is>
          <t>A 39977-2025</t>
        </is>
      </c>
      <c r="B3810" s="1" t="n">
        <v>45893.65675925926</v>
      </c>
      <c r="C3810" s="1" t="n">
        <v>46075</v>
      </c>
      <c r="D3810" t="inlineStr">
        <is>
          <t>VÄSTERBOTTENS LÄN</t>
        </is>
      </c>
      <c r="E3810" t="inlineStr">
        <is>
          <t>DOROTEA</t>
        </is>
      </c>
      <c r="F3810" t="inlineStr">
        <is>
          <t>SCA</t>
        </is>
      </c>
      <c r="G3810" t="n">
        <v>10.3</v>
      </c>
      <c r="H3810" t="n">
        <v>0</v>
      </c>
      <c r="I3810" t="n">
        <v>0</v>
      </c>
      <c r="J3810" t="n">
        <v>0</v>
      </c>
      <c r="K3810" t="n">
        <v>0</v>
      </c>
      <c r="L3810" t="n">
        <v>0</v>
      </c>
      <c r="M3810" t="n">
        <v>0</v>
      </c>
      <c r="N3810" t="n">
        <v>0</v>
      </c>
      <c r="O3810" t="n">
        <v>0</v>
      </c>
      <c r="P3810" t="n">
        <v>0</v>
      </c>
      <c r="Q3810" t="n">
        <v>0</v>
      </c>
      <c r="R3810" s="2" t="inlineStr"/>
    </row>
    <row r="3811" ht="15" customHeight="1">
      <c r="A3811" t="inlineStr">
        <is>
          <t>A 48178-2024</t>
        </is>
      </c>
      <c r="B3811" s="1" t="n">
        <v>45589</v>
      </c>
      <c r="C3811" s="1" t="n">
        <v>46075</v>
      </c>
      <c r="D3811" t="inlineStr">
        <is>
          <t>VÄSTERBOTTENS LÄN</t>
        </is>
      </c>
      <c r="E3811" t="inlineStr">
        <is>
          <t>NORDMALING</t>
        </is>
      </c>
      <c r="G3811" t="n">
        <v>9.699999999999999</v>
      </c>
      <c r="H3811" t="n">
        <v>0</v>
      </c>
      <c r="I3811" t="n">
        <v>0</v>
      </c>
      <c r="J3811" t="n">
        <v>0</v>
      </c>
      <c r="K3811" t="n">
        <v>0</v>
      </c>
      <c r="L3811" t="n">
        <v>0</v>
      </c>
      <c r="M3811" t="n">
        <v>0</v>
      </c>
      <c r="N3811" t="n">
        <v>0</v>
      </c>
      <c r="O3811" t="n">
        <v>0</v>
      </c>
      <c r="P3811" t="n">
        <v>0</v>
      </c>
      <c r="Q3811" t="n">
        <v>0</v>
      </c>
      <c r="R3811" s="2" t="inlineStr"/>
    </row>
    <row r="3812" ht="15" customHeight="1">
      <c r="A3812" t="inlineStr">
        <is>
          <t>A 40203-2025</t>
        </is>
      </c>
      <c r="B3812" s="1" t="n">
        <v>45894.67332175926</v>
      </c>
      <c r="C3812" s="1" t="n">
        <v>46075</v>
      </c>
      <c r="D3812" t="inlineStr">
        <is>
          <t>VÄSTERBOTTENS LÄN</t>
        </is>
      </c>
      <c r="E3812" t="inlineStr">
        <is>
          <t>ROBERTSFORS</t>
        </is>
      </c>
      <c r="G3812" t="n">
        <v>9.4</v>
      </c>
      <c r="H3812" t="n">
        <v>0</v>
      </c>
      <c r="I3812" t="n">
        <v>0</v>
      </c>
      <c r="J3812" t="n">
        <v>0</v>
      </c>
      <c r="K3812" t="n">
        <v>0</v>
      </c>
      <c r="L3812" t="n">
        <v>0</v>
      </c>
      <c r="M3812" t="n">
        <v>0</v>
      </c>
      <c r="N3812" t="n">
        <v>0</v>
      </c>
      <c r="O3812" t="n">
        <v>0</v>
      </c>
      <c r="P3812" t="n">
        <v>0</v>
      </c>
      <c r="Q3812" t="n">
        <v>0</v>
      </c>
      <c r="R3812" s="2" t="inlineStr"/>
    </row>
    <row r="3813" ht="15" customHeight="1">
      <c r="A3813" t="inlineStr">
        <is>
          <t>A 11092-2025</t>
        </is>
      </c>
      <c r="B3813" s="1" t="n">
        <v>45723.57417824074</v>
      </c>
      <c r="C3813" s="1" t="n">
        <v>46075</v>
      </c>
      <c r="D3813" t="inlineStr">
        <is>
          <t>VÄSTERBOTTENS LÄN</t>
        </is>
      </c>
      <c r="E3813" t="inlineStr">
        <is>
          <t>VINDELN</t>
        </is>
      </c>
      <c r="G3813" t="n">
        <v>2.6</v>
      </c>
      <c r="H3813" t="n">
        <v>0</v>
      </c>
      <c r="I3813" t="n">
        <v>0</v>
      </c>
      <c r="J3813" t="n">
        <v>0</v>
      </c>
      <c r="K3813" t="n">
        <v>0</v>
      </c>
      <c r="L3813" t="n">
        <v>0</v>
      </c>
      <c r="M3813" t="n">
        <v>0</v>
      </c>
      <c r="N3813" t="n">
        <v>0</v>
      </c>
      <c r="O3813" t="n">
        <v>0</v>
      </c>
      <c r="P3813" t="n">
        <v>0</v>
      </c>
      <c r="Q3813" t="n">
        <v>0</v>
      </c>
      <c r="R3813" s="2" t="inlineStr"/>
    </row>
    <row r="3814" ht="15" customHeight="1">
      <c r="A3814" t="inlineStr">
        <is>
          <t>A 40233-2025</t>
        </is>
      </c>
      <c r="B3814" s="1" t="n">
        <v>45894.71912037037</v>
      </c>
      <c r="C3814" s="1" t="n">
        <v>46075</v>
      </c>
      <c r="D3814" t="inlineStr">
        <is>
          <t>VÄSTERBOTTENS LÄN</t>
        </is>
      </c>
      <c r="E3814" t="inlineStr">
        <is>
          <t>DOROTEA</t>
        </is>
      </c>
      <c r="F3814" t="inlineStr">
        <is>
          <t>SCA</t>
        </is>
      </c>
      <c r="G3814" t="n">
        <v>4.1</v>
      </c>
      <c r="H3814" t="n">
        <v>0</v>
      </c>
      <c r="I3814" t="n">
        <v>0</v>
      </c>
      <c r="J3814" t="n">
        <v>0</v>
      </c>
      <c r="K3814" t="n">
        <v>0</v>
      </c>
      <c r="L3814" t="n">
        <v>0</v>
      </c>
      <c r="M3814" t="n">
        <v>0</v>
      </c>
      <c r="N3814" t="n">
        <v>0</v>
      </c>
      <c r="O3814" t="n">
        <v>0</v>
      </c>
      <c r="P3814" t="n">
        <v>0</v>
      </c>
      <c r="Q3814" t="n">
        <v>0</v>
      </c>
      <c r="R3814" s="2" t="inlineStr"/>
    </row>
    <row r="3815" ht="15" customHeight="1">
      <c r="A3815" t="inlineStr">
        <is>
          <t>A 30744-2025</t>
        </is>
      </c>
      <c r="B3815" s="1" t="n">
        <v>45831.57969907407</v>
      </c>
      <c r="C3815" s="1" t="n">
        <v>46075</v>
      </c>
      <c r="D3815" t="inlineStr">
        <is>
          <t>VÄSTERBOTTENS LÄN</t>
        </is>
      </c>
      <c r="E3815" t="inlineStr">
        <is>
          <t>VINDELN</t>
        </is>
      </c>
      <c r="G3815" t="n">
        <v>3.9</v>
      </c>
      <c r="H3815" t="n">
        <v>0</v>
      </c>
      <c r="I3815" t="n">
        <v>0</v>
      </c>
      <c r="J3815" t="n">
        <v>0</v>
      </c>
      <c r="K3815" t="n">
        <v>0</v>
      </c>
      <c r="L3815" t="n">
        <v>0</v>
      </c>
      <c r="M3815" t="n">
        <v>0</v>
      </c>
      <c r="N3815" t="n">
        <v>0</v>
      </c>
      <c r="O3815" t="n">
        <v>0</v>
      </c>
      <c r="P3815" t="n">
        <v>0</v>
      </c>
      <c r="Q3815" t="n">
        <v>0</v>
      </c>
      <c r="R3815" s="2" t="inlineStr"/>
    </row>
    <row r="3816" ht="15" customHeight="1">
      <c r="A3816" t="inlineStr">
        <is>
          <t>A 40238-2025</t>
        </is>
      </c>
      <c r="B3816" s="1" t="n">
        <v>45894</v>
      </c>
      <c r="C3816" s="1" t="n">
        <v>46075</v>
      </c>
      <c r="D3816" t="inlineStr">
        <is>
          <t>VÄSTERBOTTENS LÄN</t>
        </is>
      </c>
      <c r="E3816" t="inlineStr">
        <is>
          <t>LYCKSELE</t>
        </is>
      </c>
      <c r="G3816" t="n">
        <v>6.4</v>
      </c>
      <c r="H3816" t="n">
        <v>0</v>
      </c>
      <c r="I3816" t="n">
        <v>0</v>
      </c>
      <c r="J3816" t="n">
        <v>0</v>
      </c>
      <c r="K3816" t="n">
        <v>0</v>
      </c>
      <c r="L3816" t="n">
        <v>0</v>
      </c>
      <c r="M3816" t="n">
        <v>0</v>
      </c>
      <c r="N3816" t="n">
        <v>0</v>
      </c>
      <c r="O3816" t="n">
        <v>0</v>
      </c>
      <c r="P3816" t="n">
        <v>0</v>
      </c>
      <c r="Q3816" t="n">
        <v>0</v>
      </c>
      <c r="R3816" s="2" t="inlineStr"/>
    </row>
    <row r="3817" ht="15" customHeight="1">
      <c r="A3817" t="inlineStr">
        <is>
          <t>A 24037-2025</t>
        </is>
      </c>
      <c r="B3817" s="1" t="n">
        <v>45796.48409722222</v>
      </c>
      <c r="C3817" s="1" t="n">
        <v>46075</v>
      </c>
      <c r="D3817" t="inlineStr">
        <is>
          <t>VÄSTERBOTTENS LÄN</t>
        </is>
      </c>
      <c r="E3817" t="inlineStr">
        <is>
          <t>NORDMALING</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40268-2025</t>
        </is>
      </c>
      <c r="B3818" s="1" t="n">
        <v>45895.34515046296</v>
      </c>
      <c r="C3818" s="1" t="n">
        <v>46075</v>
      </c>
      <c r="D3818" t="inlineStr">
        <is>
          <t>VÄSTERBOTTENS LÄN</t>
        </is>
      </c>
      <c r="E3818" t="inlineStr">
        <is>
          <t>BJURHOLM</t>
        </is>
      </c>
      <c r="G3818" t="n">
        <v>20.9</v>
      </c>
      <c r="H3818" t="n">
        <v>0</v>
      </c>
      <c r="I3818" t="n">
        <v>0</v>
      </c>
      <c r="J3818" t="n">
        <v>0</v>
      </c>
      <c r="K3818" t="n">
        <v>0</v>
      </c>
      <c r="L3818" t="n">
        <v>0</v>
      </c>
      <c r="M3818" t="n">
        <v>0</v>
      </c>
      <c r="N3818" t="n">
        <v>0</v>
      </c>
      <c r="O3818" t="n">
        <v>0</v>
      </c>
      <c r="P3818" t="n">
        <v>0</v>
      </c>
      <c r="Q3818" t="n">
        <v>0</v>
      </c>
      <c r="R3818" s="2" t="inlineStr"/>
    </row>
    <row r="3819" ht="15" customHeight="1">
      <c r="A3819" t="inlineStr">
        <is>
          <t>A 40303-2025</t>
        </is>
      </c>
      <c r="B3819" s="1" t="n">
        <v>45895.40678240741</v>
      </c>
      <c r="C3819" s="1" t="n">
        <v>46075</v>
      </c>
      <c r="D3819" t="inlineStr">
        <is>
          <t>VÄSTERBOTTENS LÄN</t>
        </is>
      </c>
      <c r="E3819" t="inlineStr">
        <is>
          <t>BJURHOLM</t>
        </is>
      </c>
      <c r="F3819" t="inlineStr">
        <is>
          <t>SCA</t>
        </is>
      </c>
      <c r="G3819" t="n">
        <v>7.9</v>
      </c>
      <c r="H3819" t="n">
        <v>0</v>
      </c>
      <c r="I3819" t="n">
        <v>0</v>
      </c>
      <c r="J3819" t="n">
        <v>0</v>
      </c>
      <c r="K3819" t="n">
        <v>0</v>
      </c>
      <c r="L3819" t="n">
        <v>0</v>
      </c>
      <c r="M3819" t="n">
        <v>0</v>
      </c>
      <c r="N3819" t="n">
        <v>0</v>
      </c>
      <c r="O3819" t="n">
        <v>0</v>
      </c>
      <c r="P3819" t="n">
        <v>0</v>
      </c>
      <c r="Q3819" t="n">
        <v>0</v>
      </c>
      <c r="R3819" s="2" t="inlineStr"/>
    </row>
    <row r="3820" ht="15" customHeight="1">
      <c r="A3820" t="inlineStr">
        <is>
          <t>A 47771-2022</t>
        </is>
      </c>
      <c r="B3820" s="1" t="n">
        <v>44854</v>
      </c>
      <c r="C3820" s="1" t="n">
        <v>46075</v>
      </c>
      <c r="D3820" t="inlineStr">
        <is>
          <t>VÄSTERBOTTENS LÄN</t>
        </is>
      </c>
      <c r="E3820" t="inlineStr">
        <is>
          <t>VÄNNÄS</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30672-2025</t>
        </is>
      </c>
      <c r="B3821" s="1" t="n">
        <v>45831.51869212963</v>
      </c>
      <c r="C3821" s="1" t="n">
        <v>46075</v>
      </c>
      <c r="D3821" t="inlineStr">
        <is>
          <t>VÄSTERBOTTENS LÄN</t>
        </is>
      </c>
      <c r="E3821" t="inlineStr">
        <is>
          <t>BJURHOLM</t>
        </is>
      </c>
      <c r="F3821" t="inlineStr">
        <is>
          <t>Sveaskog</t>
        </is>
      </c>
      <c r="G3821" t="n">
        <v>20.4</v>
      </c>
      <c r="H3821" t="n">
        <v>0</v>
      </c>
      <c r="I3821" t="n">
        <v>0</v>
      </c>
      <c r="J3821" t="n">
        <v>0</v>
      </c>
      <c r="K3821" t="n">
        <v>0</v>
      </c>
      <c r="L3821" t="n">
        <v>0</v>
      </c>
      <c r="M3821" t="n">
        <v>0</v>
      </c>
      <c r="N3821" t="n">
        <v>0</v>
      </c>
      <c r="O3821" t="n">
        <v>0</v>
      </c>
      <c r="P3821" t="n">
        <v>0</v>
      </c>
      <c r="Q3821" t="n">
        <v>0</v>
      </c>
      <c r="R3821" s="2" t="inlineStr"/>
    </row>
    <row r="3822" ht="15" customHeight="1">
      <c r="A3822" t="inlineStr">
        <is>
          <t>A 5828-2022</t>
        </is>
      </c>
      <c r="B3822" s="1" t="n">
        <v>44596</v>
      </c>
      <c r="C3822" s="1" t="n">
        <v>46075</v>
      </c>
      <c r="D3822" t="inlineStr">
        <is>
          <t>VÄSTERBOTTENS LÄN</t>
        </is>
      </c>
      <c r="E3822" t="inlineStr">
        <is>
          <t>SKELLEFTEÅ</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30675-2025</t>
        </is>
      </c>
      <c r="B3823" s="1" t="n">
        <v>45831.52111111111</v>
      </c>
      <c r="C3823" s="1" t="n">
        <v>46075</v>
      </c>
      <c r="D3823" t="inlineStr">
        <is>
          <t>VÄSTERBOTTENS LÄN</t>
        </is>
      </c>
      <c r="E3823" t="inlineStr">
        <is>
          <t>BJURHOLM</t>
        </is>
      </c>
      <c r="F3823" t="inlineStr">
        <is>
          <t>Sveaskog</t>
        </is>
      </c>
      <c r="G3823" t="n">
        <v>18.7</v>
      </c>
      <c r="H3823" t="n">
        <v>0</v>
      </c>
      <c r="I3823" t="n">
        <v>0</v>
      </c>
      <c r="J3823" t="n">
        <v>0</v>
      </c>
      <c r="K3823" t="n">
        <v>0</v>
      </c>
      <c r="L3823" t="n">
        <v>0</v>
      </c>
      <c r="M3823" t="n">
        <v>0</v>
      </c>
      <c r="N3823" t="n">
        <v>0</v>
      </c>
      <c r="O3823" t="n">
        <v>0</v>
      </c>
      <c r="P3823" t="n">
        <v>0</v>
      </c>
      <c r="Q3823" t="n">
        <v>0</v>
      </c>
      <c r="R3823" s="2" t="inlineStr"/>
    </row>
    <row r="3824" ht="15" customHeight="1">
      <c r="A3824" t="inlineStr">
        <is>
          <t>A 31387-2025</t>
        </is>
      </c>
      <c r="B3824" s="1" t="n">
        <v>45833</v>
      </c>
      <c r="C3824" s="1" t="n">
        <v>46075</v>
      </c>
      <c r="D3824" t="inlineStr">
        <is>
          <t>VÄSTERBOTTENS LÄN</t>
        </is>
      </c>
      <c r="E3824" t="inlineStr">
        <is>
          <t>SKELLEFTEÅ</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40158-2025</t>
        </is>
      </c>
      <c r="B3825" s="1" t="n">
        <v>45894.60689814815</v>
      </c>
      <c r="C3825" s="1" t="n">
        <v>46075</v>
      </c>
      <c r="D3825" t="inlineStr">
        <is>
          <t>VÄSTERBOTTENS LÄN</t>
        </is>
      </c>
      <c r="E3825" t="inlineStr">
        <is>
          <t>UMEÅ</t>
        </is>
      </c>
      <c r="G3825" t="n">
        <v>7.2</v>
      </c>
      <c r="H3825" t="n">
        <v>0</v>
      </c>
      <c r="I3825" t="n">
        <v>0</v>
      </c>
      <c r="J3825" t="n">
        <v>0</v>
      </c>
      <c r="K3825" t="n">
        <v>0</v>
      </c>
      <c r="L3825" t="n">
        <v>0</v>
      </c>
      <c r="M3825" t="n">
        <v>0</v>
      </c>
      <c r="N3825" t="n">
        <v>0</v>
      </c>
      <c r="O3825" t="n">
        <v>0</v>
      </c>
      <c r="P3825" t="n">
        <v>0</v>
      </c>
      <c r="Q3825" t="n">
        <v>0</v>
      </c>
      <c r="R3825" s="2" t="inlineStr"/>
    </row>
    <row r="3826" ht="15" customHeight="1">
      <c r="A3826" t="inlineStr">
        <is>
          <t>A 24142-2025</t>
        </is>
      </c>
      <c r="B3826" s="1" t="n">
        <v>45796.64349537037</v>
      </c>
      <c r="C3826" s="1" t="n">
        <v>46075</v>
      </c>
      <c r="D3826" t="inlineStr">
        <is>
          <t>VÄSTERBOTTENS LÄN</t>
        </is>
      </c>
      <c r="E3826" t="inlineStr">
        <is>
          <t>SKELLEFTEÅ</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11538-2024</t>
        </is>
      </c>
      <c r="B3827" s="1" t="n">
        <v>45372</v>
      </c>
      <c r="C3827" s="1" t="n">
        <v>46075</v>
      </c>
      <c r="D3827" t="inlineStr">
        <is>
          <t>VÄSTERBOTTENS LÄN</t>
        </is>
      </c>
      <c r="E3827" t="inlineStr">
        <is>
          <t>VILHELMINA</t>
        </is>
      </c>
      <c r="F3827" t="inlineStr">
        <is>
          <t>SCA</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10051-2021</t>
        </is>
      </c>
      <c r="B3828" s="1" t="n">
        <v>44256</v>
      </c>
      <c r="C3828" s="1" t="n">
        <v>46075</v>
      </c>
      <c r="D3828" t="inlineStr">
        <is>
          <t>VÄSTERBOTTENS LÄN</t>
        </is>
      </c>
      <c r="E3828" t="inlineStr">
        <is>
          <t>SKELLEFTEÅ</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40223-2025</t>
        </is>
      </c>
      <c r="B3829" s="1" t="n">
        <v>45894.69829861111</v>
      </c>
      <c r="C3829" s="1" t="n">
        <v>46075</v>
      </c>
      <c r="D3829" t="inlineStr">
        <is>
          <t>VÄSTERBOTTENS LÄN</t>
        </is>
      </c>
      <c r="E3829" t="inlineStr">
        <is>
          <t>ÅSELE</t>
        </is>
      </c>
      <c r="F3829" t="inlineStr">
        <is>
          <t>SCA</t>
        </is>
      </c>
      <c r="G3829" t="n">
        <v>11.6</v>
      </c>
      <c r="H3829" t="n">
        <v>0</v>
      </c>
      <c r="I3829" t="n">
        <v>0</v>
      </c>
      <c r="J3829" t="n">
        <v>0</v>
      </c>
      <c r="K3829" t="n">
        <v>0</v>
      </c>
      <c r="L3829" t="n">
        <v>0</v>
      </c>
      <c r="M3829" t="n">
        <v>0</v>
      </c>
      <c r="N3829" t="n">
        <v>0</v>
      </c>
      <c r="O3829" t="n">
        <v>0</v>
      </c>
      <c r="P3829" t="n">
        <v>0</v>
      </c>
      <c r="Q3829" t="n">
        <v>0</v>
      </c>
      <c r="R3829" s="2" t="inlineStr"/>
    </row>
    <row r="3830" ht="15" customHeight="1">
      <c r="A3830" t="inlineStr">
        <is>
          <t>A 30758-2025</t>
        </is>
      </c>
      <c r="B3830" s="1" t="n">
        <v>45831.59677083333</v>
      </c>
      <c r="C3830" s="1" t="n">
        <v>46075</v>
      </c>
      <c r="D3830" t="inlineStr">
        <is>
          <t>VÄSTERBOTTENS LÄN</t>
        </is>
      </c>
      <c r="E3830" t="inlineStr">
        <is>
          <t>VINDELN</t>
        </is>
      </c>
      <c r="F3830" t="inlineStr">
        <is>
          <t>Holmen skog AB</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30824-2025</t>
        </is>
      </c>
      <c r="B3831" s="1" t="n">
        <v>45831.6749537037</v>
      </c>
      <c r="C3831" s="1" t="n">
        <v>46075</v>
      </c>
      <c r="D3831" t="inlineStr">
        <is>
          <t>VÄSTERBOTTENS LÄN</t>
        </is>
      </c>
      <c r="E3831" t="inlineStr">
        <is>
          <t>NORDMALING</t>
        </is>
      </c>
      <c r="G3831" t="n">
        <v>4</v>
      </c>
      <c r="H3831" t="n">
        <v>0</v>
      </c>
      <c r="I3831" t="n">
        <v>0</v>
      </c>
      <c r="J3831" t="n">
        <v>0</v>
      </c>
      <c r="K3831" t="n">
        <v>0</v>
      </c>
      <c r="L3831" t="n">
        <v>0</v>
      </c>
      <c r="M3831" t="n">
        <v>0</v>
      </c>
      <c r="N3831" t="n">
        <v>0</v>
      </c>
      <c r="O3831" t="n">
        <v>0</v>
      </c>
      <c r="P3831" t="n">
        <v>0</v>
      </c>
      <c r="Q3831" t="n">
        <v>0</v>
      </c>
      <c r="R3831" s="2" t="inlineStr"/>
    </row>
    <row r="3832" ht="15" customHeight="1">
      <c r="A3832" t="inlineStr">
        <is>
          <t>A 26872-2022</t>
        </is>
      </c>
      <c r="B3832" s="1" t="n">
        <v>44740</v>
      </c>
      <c r="C3832" s="1" t="n">
        <v>46075</v>
      </c>
      <c r="D3832" t="inlineStr">
        <is>
          <t>VÄSTERBOTTENS LÄN</t>
        </is>
      </c>
      <c r="E3832" t="inlineStr">
        <is>
          <t>UMEÅ</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37171-2023</t>
        </is>
      </c>
      <c r="B3833" s="1" t="n">
        <v>45154</v>
      </c>
      <c r="C3833" s="1" t="n">
        <v>46075</v>
      </c>
      <c r="D3833" t="inlineStr">
        <is>
          <t>VÄSTERBOTTENS LÄN</t>
        </is>
      </c>
      <c r="E3833" t="inlineStr">
        <is>
          <t>MALÅ</t>
        </is>
      </c>
      <c r="G3833" t="n">
        <v>8.9</v>
      </c>
      <c r="H3833" t="n">
        <v>0</v>
      </c>
      <c r="I3833" t="n">
        <v>0</v>
      </c>
      <c r="J3833" t="n">
        <v>0</v>
      </c>
      <c r="K3833" t="n">
        <v>0</v>
      </c>
      <c r="L3833" t="n">
        <v>0</v>
      </c>
      <c r="M3833" t="n">
        <v>0</v>
      </c>
      <c r="N3833" t="n">
        <v>0</v>
      </c>
      <c r="O3833" t="n">
        <v>0</v>
      </c>
      <c r="P3833" t="n">
        <v>0</v>
      </c>
      <c r="Q3833" t="n">
        <v>0</v>
      </c>
      <c r="R3833" s="2" t="inlineStr"/>
    </row>
    <row r="3834" ht="15" customHeight="1">
      <c r="A3834" t="inlineStr">
        <is>
          <t>A 32510-2025</t>
        </is>
      </c>
      <c r="B3834" s="1" t="n">
        <v>45838.47287037037</v>
      </c>
      <c r="C3834" s="1" t="n">
        <v>46075</v>
      </c>
      <c r="D3834" t="inlineStr">
        <is>
          <t>VÄSTERBOTTENS LÄN</t>
        </is>
      </c>
      <c r="E3834" t="inlineStr">
        <is>
          <t>UMEÅ</t>
        </is>
      </c>
      <c r="G3834" t="n">
        <v>7.1</v>
      </c>
      <c r="H3834" t="n">
        <v>0</v>
      </c>
      <c r="I3834" t="n">
        <v>0</v>
      </c>
      <c r="J3834" t="n">
        <v>0</v>
      </c>
      <c r="K3834" t="n">
        <v>0</v>
      </c>
      <c r="L3834" t="n">
        <v>0</v>
      </c>
      <c r="M3834" t="n">
        <v>0</v>
      </c>
      <c r="N3834" t="n">
        <v>0</v>
      </c>
      <c r="O3834" t="n">
        <v>0</v>
      </c>
      <c r="P3834" t="n">
        <v>0</v>
      </c>
      <c r="Q3834" t="n">
        <v>0</v>
      </c>
      <c r="R3834" s="2" t="inlineStr"/>
    </row>
    <row r="3835" ht="15" customHeight="1">
      <c r="A3835" t="inlineStr">
        <is>
          <t>A 36139-2023</t>
        </is>
      </c>
      <c r="B3835" s="1" t="n">
        <v>45149.5874537037</v>
      </c>
      <c r="C3835" s="1" t="n">
        <v>46075</v>
      </c>
      <c r="D3835" t="inlineStr">
        <is>
          <t>VÄSTERBOTTENS LÄN</t>
        </is>
      </c>
      <c r="E3835" t="inlineStr">
        <is>
          <t>ROBERTSFORS</t>
        </is>
      </c>
      <c r="F3835" t="inlineStr">
        <is>
          <t>Holmen skog AB</t>
        </is>
      </c>
      <c r="G3835" t="n">
        <v>3.9</v>
      </c>
      <c r="H3835" t="n">
        <v>0</v>
      </c>
      <c r="I3835" t="n">
        <v>0</v>
      </c>
      <c r="J3835" t="n">
        <v>0</v>
      </c>
      <c r="K3835" t="n">
        <v>0</v>
      </c>
      <c r="L3835" t="n">
        <v>0</v>
      </c>
      <c r="M3835" t="n">
        <v>0</v>
      </c>
      <c r="N3835" t="n">
        <v>0</v>
      </c>
      <c r="O3835" t="n">
        <v>0</v>
      </c>
      <c r="P3835" t="n">
        <v>0</v>
      </c>
      <c r="Q3835" t="n">
        <v>0</v>
      </c>
      <c r="R3835" s="2" t="inlineStr"/>
    </row>
    <row r="3836" ht="15" customHeight="1">
      <c r="A3836" t="inlineStr">
        <is>
          <t>A 40436-2025</t>
        </is>
      </c>
      <c r="B3836" s="1" t="n">
        <v>45895.61975694444</v>
      </c>
      <c r="C3836" s="1" t="n">
        <v>46075</v>
      </c>
      <c r="D3836" t="inlineStr">
        <is>
          <t>VÄSTERBOTTENS LÄN</t>
        </is>
      </c>
      <c r="E3836" t="inlineStr">
        <is>
          <t>NORSJÖ</t>
        </is>
      </c>
      <c r="G3836" t="n">
        <v>10.5</v>
      </c>
      <c r="H3836" t="n">
        <v>0</v>
      </c>
      <c r="I3836" t="n">
        <v>0</v>
      </c>
      <c r="J3836" t="n">
        <v>0</v>
      </c>
      <c r="K3836" t="n">
        <v>0</v>
      </c>
      <c r="L3836" t="n">
        <v>0</v>
      </c>
      <c r="M3836" t="n">
        <v>0</v>
      </c>
      <c r="N3836" t="n">
        <v>0</v>
      </c>
      <c r="O3836" t="n">
        <v>0</v>
      </c>
      <c r="P3836" t="n">
        <v>0</v>
      </c>
      <c r="Q3836" t="n">
        <v>0</v>
      </c>
      <c r="R3836" s="2" t="inlineStr"/>
    </row>
    <row r="3837" ht="15" customHeight="1">
      <c r="A3837" t="inlineStr">
        <is>
          <t>A 30779-2025</t>
        </is>
      </c>
      <c r="B3837" s="1" t="n">
        <v>45831.62219907407</v>
      </c>
      <c r="C3837" s="1" t="n">
        <v>46075</v>
      </c>
      <c r="D3837" t="inlineStr">
        <is>
          <t>VÄSTERBOTTENS LÄN</t>
        </is>
      </c>
      <c r="E3837" t="inlineStr">
        <is>
          <t>ÅSELE</t>
        </is>
      </c>
      <c r="F3837" t="inlineStr">
        <is>
          <t>Sveaskog</t>
        </is>
      </c>
      <c r="G3837" t="n">
        <v>21.6</v>
      </c>
      <c r="H3837" t="n">
        <v>0</v>
      </c>
      <c r="I3837" t="n">
        <v>0</v>
      </c>
      <c r="J3837" t="n">
        <v>0</v>
      </c>
      <c r="K3837" t="n">
        <v>0</v>
      </c>
      <c r="L3837" t="n">
        <v>0</v>
      </c>
      <c r="M3837" t="n">
        <v>0</v>
      </c>
      <c r="N3837" t="n">
        <v>0</v>
      </c>
      <c r="O3837" t="n">
        <v>0</v>
      </c>
      <c r="P3837" t="n">
        <v>0</v>
      </c>
      <c r="Q3837" t="n">
        <v>0</v>
      </c>
      <c r="R3837" s="2" t="inlineStr"/>
    </row>
    <row r="3838" ht="15" customHeight="1">
      <c r="A3838" t="inlineStr">
        <is>
          <t>A 30520-2025</t>
        </is>
      </c>
      <c r="B3838" s="1" t="n">
        <v>45831.34668981482</v>
      </c>
      <c r="C3838" s="1" t="n">
        <v>46075</v>
      </c>
      <c r="D3838" t="inlineStr">
        <is>
          <t>VÄSTERBOTTENS LÄN</t>
        </is>
      </c>
      <c r="E3838" t="inlineStr">
        <is>
          <t>SORSELE</t>
        </is>
      </c>
      <c r="G3838" t="n">
        <v>5.4</v>
      </c>
      <c r="H3838" t="n">
        <v>0</v>
      </c>
      <c r="I3838" t="n">
        <v>0</v>
      </c>
      <c r="J3838" t="n">
        <v>0</v>
      </c>
      <c r="K3838" t="n">
        <v>0</v>
      </c>
      <c r="L3838" t="n">
        <v>0</v>
      </c>
      <c r="M3838" t="n">
        <v>0</v>
      </c>
      <c r="N3838" t="n">
        <v>0</v>
      </c>
      <c r="O3838" t="n">
        <v>0</v>
      </c>
      <c r="P3838" t="n">
        <v>0</v>
      </c>
      <c r="Q3838" t="n">
        <v>0</v>
      </c>
      <c r="R3838" s="2" t="inlineStr"/>
    </row>
    <row r="3839" ht="15" customHeight="1">
      <c r="A3839" t="inlineStr">
        <is>
          <t>A 35559-2023</t>
        </is>
      </c>
      <c r="B3839" s="1" t="n">
        <v>45147</v>
      </c>
      <c r="C3839" s="1" t="n">
        <v>46075</v>
      </c>
      <c r="D3839" t="inlineStr">
        <is>
          <t>VÄSTERBOTTENS LÄN</t>
        </is>
      </c>
      <c r="E3839" t="inlineStr">
        <is>
          <t>LYCKSELE</t>
        </is>
      </c>
      <c r="G3839" t="n">
        <v>7</v>
      </c>
      <c r="H3839" t="n">
        <v>0</v>
      </c>
      <c r="I3839" t="n">
        <v>0</v>
      </c>
      <c r="J3839" t="n">
        <v>0</v>
      </c>
      <c r="K3839" t="n">
        <v>0</v>
      </c>
      <c r="L3839" t="n">
        <v>0</v>
      </c>
      <c r="M3839" t="n">
        <v>0</v>
      </c>
      <c r="N3839" t="n">
        <v>0</v>
      </c>
      <c r="O3839" t="n">
        <v>0</v>
      </c>
      <c r="P3839" t="n">
        <v>0</v>
      </c>
      <c r="Q3839" t="n">
        <v>0</v>
      </c>
      <c r="R3839" s="2" t="inlineStr"/>
    </row>
    <row r="3840" ht="15" customHeight="1">
      <c r="A3840" t="inlineStr">
        <is>
          <t>A 38570-2025</t>
        </is>
      </c>
      <c r="B3840" s="1" t="n">
        <v>45884</v>
      </c>
      <c r="C3840" s="1" t="n">
        <v>46075</v>
      </c>
      <c r="D3840" t="inlineStr">
        <is>
          <t>VÄSTERBOTTENS LÄN</t>
        </is>
      </c>
      <c r="E3840" t="inlineStr">
        <is>
          <t>SKELLEFTEÅ</t>
        </is>
      </c>
      <c r="G3840" t="n">
        <v>9.699999999999999</v>
      </c>
      <c r="H3840" t="n">
        <v>0</v>
      </c>
      <c r="I3840" t="n">
        <v>0</v>
      </c>
      <c r="J3840" t="n">
        <v>0</v>
      </c>
      <c r="K3840" t="n">
        <v>0</v>
      </c>
      <c r="L3840" t="n">
        <v>0</v>
      </c>
      <c r="M3840" t="n">
        <v>0</v>
      </c>
      <c r="N3840" t="n">
        <v>0</v>
      </c>
      <c r="O3840" t="n">
        <v>0</v>
      </c>
      <c r="P3840" t="n">
        <v>0</v>
      </c>
      <c r="Q3840" t="n">
        <v>0</v>
      </c>
      <c r="R3840" s="2" t="inlineStr"/>
    </row>
    <row r="3841" ht="15" customHeight="1">
      <c r="A3841" t="inlineStr">
        <is>
          <t>A 31080-2025</t>
        </is>
      </c>
      <c r="B3841" s="1" t="n">
        <v>45831</v>
      </c>
      <c r="C3841" s="1" t="n">
        <v>46075</v>
      </c>
      <c r="D3841" t="inlineStr">
        <is>
          <t>VÄSTERBOTTENS LÄN</t>
        </is>
      </c>
      <c r="E3841" t="inlineStr">
        <is>
          <t>ÅSELE</t>
        </is>
      </c>
      <c r="G3841" t="n">
        <v>4.9</v>
      </c>
      <c r="H3841" t="n">
        <v>0</v>
      </c>
      <c r="I3841" t="n">
        <v>0</v>
      </c>
      <c r="J3841" t="n">
        <v>0</v>
      </c>
      <c r="K3841" t="n">
        <v>0</v>
      </c>
      <c r="L3841" t="n">
        <v>0</v>
      </c>
      <c r="M3841" t="n">
        <v>0</v>
      </c>
      <c r="N3841" t="n">
        <v>0</v>
      </c>
      <c r="O3841" t="n">
        <v>0</v>
      </c>
      <c r="P3841" t="n">
        <v>0</v>
      </c>
      <c r="Q3841" t="n">
        <v>0</v>
      </c>
      <c r="R3841" s="2" t="inlineStr"/>
    </row>
    <row r="3842" ht="15" customHeight="1">
      <c r="A3842" t="inlineStr">
        <is>
          <t>A 40108-2025</t>
        </is>
      </c>
      <c r="B3842" s="1" t="n">
        <v>45894.49003472222</v>
      </c>
      <c r="C3842" s="1" t="n">
        <v>46075</v>
      </c>
      <c r="D3842" t="inlineStr">
        <is>
          <t>VÄSTERBOTTENS LÄN</t>
        </is>
      </c>
      <c r="E3842" t="inlineStr">
        <is>
          <t>NORSJÖ</t>
        </is>
      </c>
      <c r="G3842" t="n">
        <v>3.9</v>
      </c>
      <c r="H3842" t="n">
        <v>0</v>
      </c>
      <c r="I3842" t="n">
        <v>0</v>
      </c>
      <c r="J3842" t="n">
        <v>0</v>
      </c>
      <c r="K3842" t="n">
        <v>0</v>
      </c>
      <c r="L3842" t="n">
        <v>0</v>
      </c>
      <c r="M3842" t="n">
        <v>0</v>
      </c>
      <c r="N3842" t="n">
        <v>0</v>
      </c>
      <c r="O3842" t="n">
        <v>0</v>
      </c>
      <c r="P3842" t="n">
        <v>0</v>
      </c>
      <c r="Q3842" t="n">
        <v>0</v>
      </c>
      <c r="R3842" s="2" t="inlineStr"/>
    </row>
    <row r="3843" ht="15" customHeight="1">
      <c r="A3843" t="inlineStr">
        <is>
          <t>A 40125-2025</t>
        </is>
      </c>
      <c r="B3843" s="1" t="n">
        <v>45894.53178240741</v>
      </c>
      <c r="C3843" s="1" t="n">
        <v>46075</v>
      </c>
      <c r="D3843" t="inlineStr">
        <is>
          <t>VÄSTERBOTTENS LÄN</t>
        </is>
      </c>
      <c r="E3843" t="inlineStr">
        <is>
          <t>ÅSELE</t>
        </is>
      </c>
      <c r="F3843" t="inlineStr">
        <is>
          <t>SCA</t>
        </is>
      </c>
      <c r="G3843" t="n">
        <v>5.7</v>
      </c>
      <c r="H3843" t="n">
        <v>0</v>
      </c>
      <c r="I3843" t="n">
        <v>0</v>
      </c>
      <c r="J3843" t="n">
        <v>0</v>
      </c>
      <c r="K3843" t="n">
        <v>0</v>
      </c>
      <c r="L3843" t="n">
        <v>0</v>
      </c>
      <c r="M3843" t="n">
        <v>0</v>
      </c>
      <c r="N3843" t="n">
        <v>0</v>
      </c>
      <c r="O3843" t="n">
        <v>0</v>
      </c>
      <c r="P3843" t="n">
        <v>0</v>
      </c>
      <c r="Q3843" t="n">
        <v>0</v>
      </c>
      <c r="R3843" s="2" t="inlineStr"/>
    </row>
    <row r="3844" ht="15" customHeight="1">
      <c r="A3844" t="inlineStr">
        <is>
          <t>A 40144-2025</t>
        </is>
      </c>
      <c r="B3844" s="1" t="n">
        <v>45894.57322916666</v>
      </c>
      <c r="C3844" s="1" t="n">
        <v>46075</v>
      </c>
      <c r="D3844" t="inlineStr">
        <is>
          <t>VÄSTERBOTTENS LÄN</t>
        </is>
      </c>
      <c r="E3844" t="inlineStr">
        <is>
          <t>VILHELMINA</t>
        </is>
      </c>
      <c r="G3844" t="n">
        <v>6.3</v>
      </c>
      <c r="H3844" t="n">
        <v>0</v>
      </c>
      <c r="I3844" t="n">
        <v>0</v>
      </c>
      <c r="J3844" t="n">
        <v>0</v>
      </c>
      <c r="K3844" t="n">
        <v>0</v>
      </c>
      <c r="L3844" t="n">
        <v>0</v>
      </c>
      <c r="M3844" t="n">
        <v>0</v>
      </c>
      <c r="N3844" t="n">
        <v>0</v>
      </c>
      <c r="O3844" t="n">
        <v>0</v>
      </c>
      <c r="P3844" t="n">
        <v>0</v>
      </c>
      <c r="Q3844" t="n">
        <v>0</v>
      </c>
      <c r="R3844" s="2" t="inlineStr"/>
    </row>
    <row r="3845" ht="15" customHeight="1">
      <c r="A3845" t="inlineStr">
        <is>
          <t>A 30803-2025</t>
        </is>
      </c>
      <c r="B3845" s="1" t="n">
        <v>45831.65424768518</v>
      </c>
      <c r="C3845" s="1" t="n">
        <v>46075</v>
      </c>
      <c r="D3845" t="inlineStr">
        <is>
          <t>VÄSTERBOTTENS LÄN</t>
        </is>
      </c>
      <c r="E3845" t="inlineStr">
        <is>
          <t>UMEÅ</t>
        </is>
      </c>
      <c r="G3845" t="n">
        <v>6.3</v>
      </c>
      <c r="H3845" t="n">
        <v>0</v>
      </c>
      <c r="I3845" t="n">
        <v>0</v>
      </c>
      <c r="J3845" t="n">
        <v>0</v>
      </c>
      <c r="K3845" t="n">
        <v>0</v>
      </c>
      <c r="L3845" t="n">
        <v>0</v>
      </c>
      <c r="M3845" t="n">
        <v>0</v>
      </c>
      <c r="N3845" t="n">
        <v>0</v>
      </c>
      <c r="O3845" t="n">
        <v>0</v>
      </c>
      <c r="P3845" t="n">
        <v>0</v>
      </c>
      <c r="Q3845" t="n">
        <v>0</v>
      </c>
      <c r="R3845" s="2" t="inlineStr"/>
    </row>
    <row r="3846" ht="15" customHeight="1">
      <c r="A3846" t="inlineStr">
        <is>
          <t>A 40256-2025</t>
        </is>
      </c>
      <c r="B3846" s="1" t="n">
        <v>45895.32369212963</v>
      </c>
      <c r="C3846" s="1" t="n">
        <v>46075</v>
      </c>
      <c r="D3846" t="inlineStr">
        <is>
          <t>VÄSTERBOTTENS LÄN</t>
        </is>
      </c>
      <c r="E3846" t="inlineStr">
        <is>
          <t>SORSELE</t>
        </is>
      </c>
      <c r="F3846" t="inlineStr">
        <is>
          <t>Allmännings- och besparingsskogar</t>
        </is>
      </c>
      <c r="G3846" t="n">
        <v>23.1</v>
      </c>
      <c r="H3846" t="n">
        <v>0</v>
      </c>
      <c r="I3846" t="n">
        <v>0</v>
      </c>
      <c r="J3846" t="n">
        <v>0</v>
      </c>
      <c r="K3846" t="n">
        <v>0</v>
      </c>
      <c r="L3846" t="n">
        <v>0</v>
      </c>
      <c r="M3846" t="n">
        <v>0</v>
      </c>
      <c r="N3846" t="n">
        <v>0</v>
      </c>
      <c r="O3846" t="n">
        <v>0</v>
      </c>
      <c r="P3846" t="n">
        <v>0</v>
      </c>
      <c r="Q3846" t="n">
        <v>0</v>
      </c>
      <c r="R3846" s="2" t="inlineStr"/>
    </row>
    <row r="3847" ht="15" customHeight="1">
      <c r="A3847" t="inlineStr">
        <is>
          <t>A 60059-2024</t>
        </is>
      </c>
      <c r="B3847" s="1" t="n">
        <v>45642.49046296296</v>
      </c>
      <c r="C3847" s="1" t="n">
        <v>46075</v>
      </c>
      <c r="D3847" t="inlineStr">
        <is>
          <t>VÄSTERBOTTENS LÄN</t>
        </is>
      </c>
      <c r="E3847" t="inlineStr">
        <is>
          <t>VINDELN</t>
        </is>
      </c>
      <c r="F3847" t="inlineStr">
        <is>
          <t>SCA</t>
        </is>
      </c>
      <c r="G3847" t="n">
        <v>5.9</v>
      </c>
      <c r="H3847" t="n">
        <v>0</v>
      </c>
      <c r="I3847" t="n">
        <v>0</v>
      </c>
      <c r="J3847" t="n">
        <v>0</v>
      </c>
      <c r="K3847" t="n">
        <v>0</v>
      </c>
      <c r="L3847" t="n">
        <v>0</v>
      </c>
      <c r="M3847" t="n">
        <v>0</v>
      </c>
      <c r="N3847" t="n">
        <v>0</v>
      </c>
      <c r="O3847" t="n">
        <v>0</v>
      </c>
      <c r="P3847" t="n">
        <v>0</v>
      </c>
      <c r="Q3847" t="n">
        <v>0</v>
      </c>
      <c r="R3847" s="2" t="inlineStr"/>
    </row>
    <row r="3848" ht="15" customHeight="1">
      <c r="A3848" t="inlineStr">
        <is>
          <t>A 30487-2025</t>
        </is>
      </c>
      <c r="B3848" s="1" t="n">
        <v>45829.71057870371</v>
      </c>
      <c r="C3848" s="1" t="n">
        <v>46075</v>
      </c>
      <c r="D3848" t="inlineStr">
        <is>
          <t>VÄSTERBOTTENS LÄN</t>
        </is>
      </c>
      <c r="E3848" t="inlineStr">
        <is>
          <t>VINDELN</t>
        </is>
      </c>
      <c r="G3848" t="n">
        <v>3.4</v>
      </c>
      <c r="H3848" t="n">
        <v>0</v>
      </c>
      <c r="I3848" t="n">
        <v>0</v>
      </c>
      <c r="J3848" t="n">
        <v>0</v>
      </c>
      <c r="K3848" t="n">
        <v>0</v>
      </c>
      <c r="L3848" t="n">
        <v>0</v>
      </c>
      <c r="M3848" t="n">
        <v>0</v>
      </c>
      <c r="N3848" t="n">
        <v>0</v>
      </c>
      <c r="O3848" t="n">
        <v>0</v>
      </c>
      <c r="P3848" t="n">
        <v>0</v>
      </c>
      <c r="Q3848" t="n">
        <v>0</v>
      </c>
      <c r="R3848" s="2" t="inlineStr"/>
    </row>
    <row r="3849" ht="15" customHeight="1">
      <c r="A3849" t="inlineStr">
        <is>
          <t>A 40350-2025</t>
        </is>
      </c>
      <c r="B3849" s="1" t="n">
        <v>45895.48373842592</v>
      </c>
      <c r="C3849" s="1" t="n">
        <v>46075</v>
      </c>
      <c r="D3849" t="inlineStr">
        <is>
          <t>VÄSTERBOTTENS LÄN</t>
        </is>
      </c>
      <c r="E3849" t="inlineStr">
        <is>
          <t>ÅSELE</t>
        </is>
      </c>
      <c r="F3849" t="inlineStr">
        <is>
          <t>Sveaskog</t>
        </is>
      </c>
      <c r="G3849" t="n">
        <v>5.1</v>
      </c>
      <c r="H3849" t="n">
        <v>0</v>
      </c>
      <c r="I3849" t="n">
        <v>0</v>
      </c>
      <c r="J3849" t="n">
        <v>0</v>
      </c>
      <c r="K3849" t="n">
        <v>0</v>
      </c>
      <c r="L3849" t="n">
        <v>0</v>
      </c>
      <c r="M3849" t="n">
        <v>0</v>
      </c>
      <c r="N3849" t="n">
        <v>0</v>
      </c>
      <c r="O3849" t="n">
        <v>0</v>
      </c>
      <c r="P3849" t="n">
        <v>0</v>
      </c>
      <c r="Q3849" t="n">
        <v>0</v>
      </c>
      <c r="R3849" s="2" t="inlineStr"/>
    </row>
    <row r="3850" ht="15" customHeight="1">
      <c r="A3850" t="inlineStr">
        <is>
          <t>A 39431-2021</t>
        </is>
      </c>
      <c r="B3850" s="1" t="n">
        <v>44414.52152777778</v>
      </c>
      <c r="C3850" s="1" t="n">
        <v>46075</v>
      </c>
      <c r="D3850" t="inlineStr">
        <is>
          <t>VÄSTERBOTTENS LÄN</t>
        </is>
      </c>
      <c r="E3850" t="inlineStr">
        <is>
          <t>BJURHOLM</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30701-2025</t>
        </is>
      </c>
      <c r="B3851" s="1" t="n">
        <v>45831</v>
      </c>
      <c r="C3851" s="1" t="n">
        <v>46075</v>
      </c>
      <c r="D3851" t="inlineStr">
        <is>
          <t>VÄSTERBOTTENS LÄN</t>
        </is>
      </c>
      <c r="E3851" t="inlineStr">
        <is>
          <t>ÅSELE</t>
        </is>
      </c>
      <c r="F3851" t="inlineStr">
        <is>
          <t>Sveaskog</t>
        </is>
      </c>
      <c r="G3851" t="n">
        <v>14.2</v>
      </c>
      <c r="H3851" t="n">
        <v>0</v>
      </c>
      <c r="I3851" t="n">
        <v>0</v>
      </c>
      <c r="J3851" t="n">
        <v>0</v>
      </c>
      <c r="K3851" t="n">
        <v>0</v>
      </c>
      <c r="L3851" t="n">
        <v>0</v>
      </c>
      <c r="M3851" t="n">
        <v>0</v>
      </c>
      <c r="N3851" t="n">
        <v>0</v>
      </c>
      <c r="O3851" t="n">
        <v>0</v>
      </c>
      <c r="P3851" t="n">
        <v>0</v>
      </c>
      <c r="Q3851" t="n">
        <v>0</v>
      </c>
      <c r="R3851" s="2" t="inlineStr"/>
    </row>
    <row r="3852" ht="15" customHeight="1">
      <c r="A3852" t="inlineStr">
        <is>
          <t>A 40909-2025</t>
        </is>
      </c>
      <c r="B3852" s="1" t="n">
        <v>45897</v>
      </c>
      <c r="C3852" s="1" t="n">
        <v>46075</v>
      </c>
      <c r="D3852" t="inlineStr">
        <is>
          <t>VÄSTERBOTTENS LÄN</t>
        </is>
      </c>
      <c r="E3852" t="inlineStr">
        <is>
          <t>BJURHOLM</t>
        </is>
      </c>
      <c r="F3852" t="inlineStr">
        <is>
          <t>SCA</t>
        </is>
      </c>
      <c r="G3852" t="n">
        <v>12.8</v>
      </c>
      <c r="H3852" t="n">
        <v>0</v>
      </c>
      <c r="I3852" t="n">
        <v>0</v>
      </c>
      <c r="J3852" t="n">
        <v>0</v>
      </c>
      <c r="K3852" t="n">
        <v>0</v>
      </c>
      <c r="L3852" t="n">
        <v>0</v>
      </c>
      <c r="M3852" t="n">
        <v>0</v>
      </c>
      <c r="N3852" t="n">
        <v>0</v>
      </c>
      <c r="O3852" t="n">
        <v>0</v>
      </c>
      <c r="P3852" t="n">
        <v>0</v>
      </c>
      <c r="Q3852" t="n">
        <v>0</v>
      </c>
      <c r="R3852" s="2" t="inlineStr"/>
    </row>
    <row r="3853" ht="15" customHeight="1">
      <c r="A3853" t="inlineStr">
        <is>
          <t>A 40928-2025</t>
        </is>
      </c>
      <c r="B3853" s="1" t="n">
        <v>45897.6433912037</v>
      </c>
      <c r="C3853" s="1" t="n">
        <v>46075</v>
      </c>
      <c r="D3853" t="inlineStr">
        <is>
          <t>VÄSTERBOTTENS LÄN</t>
        </is>
      </c>
      <c r="E3853" t="inlineStr">
        <is>
          <t>UMEÅ</t>
        </is>
      </c>
      <c r="F3853" t="inlineStr">
        <is>
          <t>Holmen skog AB</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39603-2021</t>
        </is>
      </c>
      <c r="B3854" s="1" t="n">
        <v>44417</v>
      </c>
      <c r="C3854" s="1" t="n">
        <v>46075</v>
      </c>
      <c r="D3854" t="inlineStr">
        <is>
          <t>VÄSTERBOTTENS LÄN</t>
        </is>
      </c>
      <c r="E3854" t="inlineStr">
        <is>
          <t>DOROTEA</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31664-2023</t>
        </is>
      </c>
      <c r="B3855" s="1" t="n">
        <v>45105</v>
      </c>
      <c r="C3855" s="1" t="n">
        <v>46075</v>
      </c>
      <c r="D3855" t="inlineStr">
        <is>
          <t>VÄSTERBOTTENS LÄN</t>
        </is>
      </c>
      <c r="E3855" t="inlineStr">
        <is>
          <t>VINDELN</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39233-2025</t>
        </is>
      </c>
      <c r="B3856" s="1" t="n">
        <v>45889</v>
      </c>
      <c r="C3856" s="1" t="n">
        <v>46075</v>
      </c>
      <c r="D3856" t="inlineStr">
        <is>
          <t>VÄSTERBOTTENS LÄN</t>
        </is>
      </c>
      <c r="E3856" t="inlineStr">
        <is>
          <t>UMEÅ</t>
        </is>
      </c>
      <c r="G3856" t="n">
        <v>7.7</v>
      </c>
      <c r="H3856" t="n">
        <v>0</v>
      </c>
      <c r="I3856" t="n">
        <v>0</v>
      </c>
      <c r="J3856" t="n">
        <v>0</v>
      </c>
      <c r="K3856" t="n">
        <v>0</v>
      </c>
      <c r="L3856" t="n">
        <v>0</v>
      </c>
      <c r="M3856" t="n">
        <v>0</v>
      </c>
      <c r="N3856" t="n">
        <v>0</v>
      </c>
      <c r="O3856" t="n">
        <v>0</v>
      </c>
      <c r="P3856" t="n">
        <v>0</v>
      </c>
      <c r="Q3856" t="n">
        <v>0</v>
      </c>
      <c r="R3856" s="2" t="inlineStr"/>
    </row>
    <row r="3857" ht="15" customHeight="1">
      <c r="A3857" t="inlineStr">
        <is>
          <t>A 40730-2025</t>
        </is>
      </c>
      <c r="B3857" s="1" t="n">
        <v>45897.35766203704</v>
      </c>
      <c r="C3857" s="1" t="n">
        <v>46075</v>
      </c>
      <c r="D3857" t="inlineStr">
        <is>
          <t>VÄSTERBOTTENS LÄN</t>
        </is>
      </c>
      <c r="E3857" t="inlineStr">
        <is>
          <t>SKELLEFTEÅ</t>
        </is>
      </c>
      <c r="G3857" t="n">
        <v>3.2</v>
      </c>
      <c r="H3857" t="n">
        <v>0</v>
      </c>
      <c r="I3857" t="n">
        <v>0</v>
      </c>
      <c r="J3857" t="n">
        <v>0</v>
      </c>
      <c r="K3857" t="n">
        <v>0</v>
      </c>
      <c r="L3857" t="n">
        <v>0</v>
      </c>
      <c r="M3857" t="n">
        <v>0</v>
      </c>
      <c r="N3857" t="n">
        <v>0</v>
      </c>
      <c r="O3857" t="n">
        <v>0</v>
      </c>
      <c r="P3857" t="n">
        <v>0</v>
      </c>
      <c r="Q3857" t="n">
        <v>0</v>
      </c>
      <c r="R3857" s="2" t="inlineStr"/>
    </row>
    <row r="3858" ht="15" customHeight="1">
      <c r="A3858" t="inlineStr">
        <is>
          <t>A 40746-2025</t>
        </is>
      </c>
      <c r="B3858" s="1" t="n">
        <v>45897.37753472223</v>
      </c>
      <c r="C3858" s="1" t="n">
        <v>46075</v>
      </c>
      <c r="D3858" t="inlineStr">
        <is>
          <t>VÄSTERBOTTENS LÄN</t>
        </is>
      </c>
      <c r="E3858" t="inlineStr">
        <is>
          <t>LYCKSELE</t>
        </is>
      </c>
      <c r="G3858" t="n">
        <v>7.7</v>
      </c>
      <c r="H3858" t="n">
        <v>0</v>
      </c>
      <c r="I3858" t="n">
        <v>0</v>
      </c>
      <c r="J3858" t="n">
        <v>0</v>
      </c>
      <c r="K3858" t="n">
        <v>0</v>
      </c>
      <c r="L3858" t="n">
        <v>0</v>
      </c>
      <c r="M3858" t="n">
        <v>0</v>
      </c>
      <c r="N3858" t="n">
        <v>0</v>
      </c>
      <c r="O3858" t="n">
        <v>0</v>
      </c>
      <c r="P3858" t="n">
        <v>0</v>
      </c>
      <c r="Q3858" t="n">
        <v>0</v>
      </c>
      <c r="R3858" s="2" t="inlineStr"/>
    </row>
    <row r="3859" ht="15" customHeight="1">
      <c r="A3859" t="inlineStr">
        <is>
          <t>A 40751-2025</t>
        </is>
      </c>
      <c r="B3859" s="1" t="n">
        <v>45897.38390046296</v>
      </c>
      <c r="C3859" s="1" t="n">
        <v>46075</v>
      </c>
      <c r="D3859" t="inlineStr">
        <is>
          <t>VÄSTERBOTTENS LÄN</t>
        </is>
      </c>
      <c r="E3859" t="inlineStr">
        <is>
          <t>LYCKSELE</t>
        </is>
      </c>
      <c r="G3859" t="n">
        <v>11.8</v>
      </c>
      <c r="H3859" t="n">
        <v>0</v>
      </c>
      <c r="I3859" t="n">
        <v>0</v>
      </c>
      <c r="J3859" t="n">
        <v>0</v>
      </c>
      <c r="K3859" t="n">
        <v>0</v>
      </c>
      <c r="L3859" t="n">
        <v>0</v>
      </c>
      <c r="M3859" t="n">
        <v>0</v>
      </c>
      <c r="N3859" t="n">
        <v>0</v>
      </c>
      <c r="O3859" t="n">
        <v>0</v>
      </c>
      <c r="P3859" t="n">
        <v>0</v>
      </c>
      <c r="Q3859" t="n">
        <v>0</v>
      </c>
      <c r="R3859" s="2" t="inlineStr"/>
    </row>
    <row r="3860" ht="15" customHeight="1">
      <c r="A3860" t="inlineStr">
        <is>
          <t>A 30763-2025</t>
        </is>
      </c>
      <c r="B3860" s="1" t="n">
        <v>45831.60331018519</v>
      </c>
      <c r="C3860" s="1" t="n">
        <v>46075</v>
      </c>
      <c r="D3860" t="inlineStr">
        <is>
          <t>VÄSTERBOTTENS LÄN</t>
        </is>
      </c>
      <c r="E3860" t="inlineStr">
        <is>
          <t>ÅSELE</t>
        </is>
      </c>
      <c r="F3860" t="inlineStr">
        <is>
          <t>Sveaskog</t>
        </is>
      </c>
      <c r="G3860" t="n">
        <v>15.1</v>
      </c>
      <c r="H3860" t="n">
        <v>0</v>
      </c>
      <c r="I3860" t="n">
        <v>0</v>
      </c>
      <c r="J3860" t="n">
        <v>0</v>
      </c>
      <c r="K3860" t="n">
        <v>0</v>
      </c>
      <c r="L3860" t="n">
        <v>0</v>
      </c>
      <c r="M3860" t="n">
        <v>0</v>
      </c>
      <c r="N3860" t="n">
        <v>0</v>
      </c>
      <c r="O3860" t="n">
        <v>0</v>
      </c>
      <c r="P3860" t="n">
        <v>0</v>
      </c>
      <c r="Q3860" t="n">
        <v>0</v>
      </c>
      <c r="R3860" s="2" t="inlineStr"/>
    </row>
    <row r="3861" ht="15" customHeight="1">
      <c r="A3861" t="inlineStr">
        <is>
          <t>A 30773-2025</t>
        </is>
      </c>
      <c r="B3861" s="1" t="n">
        <v>45831.61457175926</v>
      </c>
      <c r="C3861" s="1" t="n">
        <v>46075</v>
      </c>
      <c r="D3861" t="inlineStr">
        <is>
          <t>VÄSTERBOTTENS LÄN</t>
        </is>
      </c>
      <c r="E3861" t="inlineStr">
        <is>
          <t>ÅSELE</t>
        </is>
      </c>
      <c r="F3861" t="inlineStr">
        <is>
          <t>Sveaskog</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40716-2025</t>
        </is>
      </c>
      <c r="B3862" s="1" t="n">
        <v>45897.34454861111</v>
      </c>
      <c r="C3862" s="1" t="n">
        <v>46075</v>
      </c>
      <c r="D3862" t="inlineStr">
        <is>
          <t>VÄSTERBOTTENS LÄN</t>
        </is>
      </c>
      <c r="E3862" t="inlineStr">
        <is>
          <t>BJURHOLM</t>
        </is>
      </c>
      <c r="F3862" t="inlineStr">
        <is>
          <t>SCA</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56-2025</t>
        </is>
      </c>
      <c r="B3863" s="1" t="n">
        <v>45659.39510416667</v>
      </c>
      <c r="C3863" s="1" t="n">
        <v>46075</v>
      </c>
      <c r="D3863" t="inlineStr">
        <is>
          <t>VÄSTERBOTTENS LÄN</t>
        </is>
      </c>
      <c r="E3863" t="inlineStr">
        <is>
          <t>BJURHOLM</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30578-2025</t>
        </is>
      </c>
      <c r="B3864" s="1" t="n">
        <v>45831.41945601852</v>
      </c>
      <c r="C3864" s="1" t="n">
        <v>46075</v>
      </c>
      <c r="D3864" t="inlineStr">
        <is>
          <t>VÄSTERBOTTENS LÄN</t>
        </is>
      </c>
      <c r="E3864" t="inlineStr">
        <is>
          <t>LYCKSELE</t>
        </is>
      </c>
      <c r="F3864" t="inlineStr">
        <is>
          <t>Sveaskog</t>
        </is>
      </c>
      <c r="G3864" t="n">
        <v>17.8</v>
      </c>
      <c r="H3864" t="n">
        <v>0</v>
      </c>
      <c r="I3864" t="n">
        <v>0</v>
      </c>
      <c r="J3864" t="n">
        <v>0</v>
      </c>
      <c r="K3864" t="n">
        <v>0</v>
      </c>
      <c r="L3864" t="n">
        <v>0</v>
      </c>
      <c r="M3864" t="n">
        <v>0</v>
      </c>
      <c r="N3864" t="n">
        <v>0</v>
      </c>
      <c r="O3864" t="n">
        <v>0</v>
      </c>
      <c r="P3864" t="n">
        <v>0</v>
      </c>
      <c r="Q3864" t="n">
        <v>0</v>
      </c>
      <c r="R3864" s="2" t="inlineStr"/>
    </row>
    <row r="3865" ht="15" customHeight="1">
      <c r="A3865" t="inlineStr">
        <is>
          <t>A 30588-2025</t>
        </is>
      </c>
      <c r="B3865" s="1" t="n">
        <v>45831.42825231481</v>
      </c>
      <c r="C3865" s="1" t="n">
        <v>46075</v>
      </c>
      <c r="D3865" t="inlineStr">
        <is>
          <t>VÄSTERBOTTENS LÄN</t>
        </is>
      </c>
      <c r="E3865" t="inlineStr">
        <is>
          <t>NORSJÖ</t>
        </is>
      </c>
      <c r="G3865" t="n">
        <v>3.2</v>
      </c>
      <c r="H3865" t="n">
        <v>0</v>
      </c>
      <c r="I3865" t="n">
        <v>0</v>
      </c>
      <c r="J3865" t="n">
        <v>0</v>
      </c>
      <c r="K3865" t="n">
        <v>0</v>
      </c>
      <c r="L3865" t="n">
        <v>0</v>
      </c>
      <c r="M3865" t="n">
        <v>0</v>
      </c>
      <c r="N3865" t="n">
        <v>0</v>
      </c>
      <c r="O3865" t="n">
        <v>0</v>
      </c>
      <c r="P3865" t="n">
        <v>0</v>
      </c>
      <c r="Q3865" t="n">
        <v>0</v>
      </c>
      <c r="R3865" s="2" t="inlineStr"/>
    </row>
    <row r="3866" ht="15" customHeight="1">
      <c r="A3866" t="inlineStr">
        <is>
          <t>A 30575-2025</t>
        </is>
      </c>
      <c r="B3866" s="1" t="n">
        <v>45831.41347222222</v>
      </c>
      <c r="C3866" s="1" t="n">
        <v>46075</v>
      </c>
      <c r="D3866" t="inlineStr">
        <is>
          <t>VÄSTERBOTTENS LÄN</t>
        </is>
      </c>
      <c r="E3866" t="inlineStr">
        <is>
          <t>NORSJÖ</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10337-2024</t>
        </is>
      </c>
      <c r="B3867" s="1" t="n">
        <v>45365</v>
      </c>
      <c r="C3867" s="1" t="n">
        <v>46075</v>
      </c>
      <c r="D3867" t="inlineStr">
        <is>
          <t>VÄSTERBOTTENS LÄN</t>
        </is>
      </c>
      <c r="E3867" t="inlineStr">
        <is>
          <t>ROBERTSFORS</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30645-2025</t>
        </is>
      </c>
      <c r="B3868" s="1" t="n">
        <v>45831.48987268518</v>
      </c>
      <c r="C3868" s="1" t="n">
        <v>46075</v>
      </c>
      <c r="D3868" t="inlineStr">
        <is>
          <t>VÄSTERBOTTENS LÄN</t>
        </is>
      </c>
      <c r="E3868" t="inlineStr">
        <is>
          <t>UMEÅ</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30679-2025</t>
        </is>
      </c>
      <c r="B3869" s="1" t="n">
        <v>45831.52672453703</v>
      </c>
      <c r="C3869" s="1" t="n">
        <v>46075</v>
      </c>
      <c r="D3869" t="inlineStr">
        <is>
          <t>VÄSTERBOTTENS LÄN</t>
        </is>
      </c>
      <c r="E3869" t="inlineStr">
        <is>
          <t>VINDELN</t>
        </is>
      </c>
      <c r="F3869" t="inlineStr">
        <is>
          <t>Sveaskog</t>
        </is>
      </c>
      <c r="G3869" t="n">
        <v>16.4</v>
      </c>
      <c r="H3869" t="n">
        <v>0</v>
      </c>
      <c r="I3869" t="n">
        <v>0</v>
      </c>
      <c r="J3869" t="n">
        <v>0</v>
      </c>
      <c r="K3869" t="n">
        <v>0</v>
      </c>
      <c r="L3869" t="n">
        <v>0</v>
      </c>
      <c r="M3869" t="n">
        <v>0</v>
      </c>
      <c r="N3869" t="n">
        <v>0</v>
      </c>
      <c r="O3869" t="n">
        <v>0</v>
      </c>
      <c r="P3869" t="n">
        <v>0</v>
      </c>
      <c r="Q3869" t="n">
        <v>0</v>
      </c>
      <c r="R3869" s="2" t="inlineStr"/>
    </row>
    <row r="3870" ht="15" customHeight="1">
      <c r="A3870" t="inlineStr">
        <is>
          <t>A 40666-2025</t>
        </is>
      </c>
      <c r="B3870" s="1" t="n">
        <v>45896.65674768519</v>
      </c>
      <c r="C3870" s="1" t="n">
        <v>46075</v>
      </c>
      <c r="D3870" t="inlineStr">
        <is>
          <t>VÄSTERBOTTENS LÄN</t>
        </is>
      </c>
      <c r="E3870" t="inlineStr">
        <is>
          <t>NORSJÖ</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30632-2025</t>
        </is>
      </c>
      <c r="B3871" s="1" t="n">
        <v>45831.4783912037</v>
      </c>
      <c r="C3871" s="1" t="n">
        <v>46075</v>
      </c>
      <c r="D3871" t="inlineStr">
        <is>
          <t>VÄSTERBOTTENS LÄN</t>
        </is>
      </c>
      <c r="E3871" t="inlineStr">
        <is>
          <t>LYCKSELE</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30945-2025</t>
        </is>
      </c>
      <c r="B3872" s="1" t="n">
        <v>45832.41233796296</v>
      </c>
      <c r="C3872" s="1" t="n">
        <v>46075</v>
      </c>
      <c r="D3872" t="inlineStr">
        <is>
          <t>VÄSTERBOTTENS LÄN</t>
        </is>
      </c>
      <c r="E3872" t="inlineStr">
        <is>
          <t>VINDELN</t>
        </is>
      </c>
      <c r="F3872" t="inlineStr">
        <is>
          <t>Holmen skog AB</t>
        </is>
      </c>
      <c r="G3872" t="n">
        <v>7.2</v>
      </c>
      <c r="H3872" t="n">
        <v>0</v>
      </c>
      <c r="I3872" t="n">
        <v>0</v>
      </c>
      <c r="J3872" t="n">
        <v>0</v>
      </c>
      <c r="K3872" t="n">
        <v>0</v>
      </c>
      <c r="L3872" t="n">
        <v>0</v>
      </c>
      <c r="M3872" t="n">
        <v>0</v>
      </c>
      <c r="N3872" t="n">
        <v>0</v>
      </c>
      <c r="O3872" t="n">
        <v>0</v>
      </c>
      <c r="P3872" t="n">
        <v>0</v>
      </c>
      <c r="Q3872" t="n">
        <v>0</v>
      </c>
      <c r="R3872" s="2" t="inlineStr"/>
    </row>
    <row r="3873" ht="15" customHeight="1">
      <c r="A3873" t="inlineStr">
        <is>
          <t>A 2022-2024</t>
        </is>
      </c>
      <c r="B3873" s="1" t="n">
        <v>45308</v>
      </c>
      <c r="C3873" s="1" t="n">
        <v>46075</v>
      </c>
      <c r="D3873" t="inlineStr">
        <is>
          <t>VÄSTERBOTTENS LÄN</t>
        </is>
      </c>
      <c r="E3873" t="inlineStr">
        <is>
          <t>VILHELMINA</t>
        </is>
      </c>
      <c r="G3873" t="n">
        <v>8.5</v>
      </c>
      <c r="H3873" t="n">
        <v>0</v>
      </c>
      <c r="I3873" t="n">
        <v>0</v>
      </c>
      <c r="J3873" t="n">
        <v>0</v>
      </c>
      <c r="K3873" t="n">
        <v>0</v>
      </c>
      <c r="L3873" t="n">
        <v>0</v>
      </c>
      <c r="M3873" t="n">
        <v>0</v>
      </c>
      <c r="N3873" t="n">
        <v>0</v>
      </c>
      <c r="O3873" t="n">
        <v>0</v>
      </c>
      <c r="P3873" t="n">
        <v>0</v>
      </c>
      <c r="Q3873" t="n">
        <v>0</v>
      </c>
      <c r="R3873" s="2" t="inlineStr"/>
    </row>
    <row r="3874" ht="15" customHeight="1">
      <c r="A3874" t="inlineStr">
        <is>
          <t>A 40924-2025</t>
        </is>
      </c>
      <c r="B3874" s="1" t="n">
        <v>45897.63927083334</v>
      </c>
      <c r="C3874" s="1" t="n">
        <v>46075</v>
      </c>
      <c r="D3874" t="inlineStr">
        <is>
          <t>VÄSTERBOTTENS LÄN</t>
        </is>
      </c>
      <c r="E3874" t="inlineStr">
        <is>
          <t>UMEÅ</t>
        </is>
      </c>
      <c r="F3874" t="inlineStr">
        <is>
          <t>Holmen skog AB</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31599-2025</t>
        </is>
      </c>
      <c r="B3875" s="1" t="n">
        <v>45833.72009259259</v>
      </c>
      <c r="C3875" s="1" t="n">
        <v>46075</v>
      </c>
      <c r="D3875" t="inlineStr">
        <is>
          <t>VÄSTERBOTTENS LÄN</t>
        </is>
      </c>
      <c r="E3875" t="inlineStr">
        <is>
          <t>UMEÅ</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32746-2023</t>
        </is>
      </c>
      <c r="B3876" s="1" t="n">
        <v>45122</v>
      </c>
      <c r="C3876" s="1" t="n">
        <v>46075</v>
      </c>
      <c r="D3876" t="inlineStr">
        <is>
          <t>VÄSTERBOTTENS LÄN</t>
        </is>
      </c>
      <c r="E3876" t="inlineStr">
        <is>
          <t>SKELLEFTEÅ</t>
        </is>
      </c>
      <c r="F3876" t="inlineStr">
        <is>
          <t>Holmen skog AB</t>
        </is>
      </c>
      <c r="G3876" t="n">
        <v>6.1</v>
      </c>
      <c r="H3876" t="n">
        <v>0</v>
      </c>
      <c r="I3876" t="n">
        <v>0</v>
      </c>
      <c r="J3876" t="n">
        <v>0</v>
      </c>
      <c r="K3876" t="n">
        <v>0</v>
      </c>
      <c r="L3876" t="n">
        <v>0</v>
      </c>
      <c r="M3876" t="n">
        <v>0</v>
      </c>
      <c r="N3876" t="n">
        <v>0</v>
      </c>
      <c r="O3876" t="n">
        <v>0</v>
      </c>
      <c r="P3876" t="n">
        <v>0</v>
      </c>
      <c r="Q3876" t="n">
        <v>0</v>
      </c>
      <c r="R3876" s="2" t="inlineStr"/>
    </row>
    <row r="3877" ht="15" customHeight="1">
      <c r="A3877" t="inlineStr">
        <is>
          <t>A 40911-2025</t>
        </is>
      </c>
      <c r="B3877" s="1" t="n">
        <v>45897</v>
      </c>
      <c r="C3877" s="1" t="n">
        <v>46075</v>
      </c>
      <c r="D3877" t="inlineStr">
        <is>
          <t>VÄSTERBOTTENS LÄN</t>
        </is>
      </c>
      <c r="E3877" t="inlineStr">
        <is>
          <t>BJURHOLM</t>
        </is>
      </c>
      <c r="F3877" t="inlineStr">
        <is>
          <t>SCA</t>
        </is>
      </c>
      <c r="G3877" t="n">
        <v>5.7</v>
      </c>
      <c r="H3877" t="n">
        <v>0</v>
      </c>
      <c r="I3877" t="n">
        <v>0</v>
      </c>
      <c r="J3877" t="n">
        <v>0</v>
      </c>
      <c r="K3877" t="n">
        <v>0</v>
      </c>
      <c r="L3877" t="n">
        <v>0</v>
      </c>
      <c r="M3877" t="n">
        <v>0</v>
      </c>
      <c r="N3877" t="n">
        <v>0</v>
      </c>
      <c r="O3877" t="n">
        <v>0</v>
      </c>
      <c r="P3877" t="n">
        <v>0</v>
      </c>
      <c r="Q3877" t="n">
        <v>0</v>
      </c>
      <c r="R3877" s="2" t="inlineStr"/>
    </row>
    <row r="3878" ht="15" customHeight="1">
      <c r="A3878" t="inlineStr">
        <is>
          <t>A 40912-2025</t>
        </is>
      </c>
      <c r="B3878" s="1" t="n">
        <v>45897</v>
      </c>
      <c r="C3878" s="1" t="n">
        <v>46075</v>
      </c>
      <c r="D3878" t="inlineStr">
        <is>
          <t>VÄSTERBOTTENS LÄN</t>
        </is>
      </c>
      <c r="E3878" t="inlineStr">
        <is>
          <t>BJURHOLM</t>
        </is>
      </c>
      <c r="F3878" t="inlineStr">
        <is>
          <t>SCA</t>
        </is>
      </c>
      <c r="G3878" t="n">
        <v>3.1</v>
      </c>
      <c r="H3878" t="n">
        <v>0</v>
      </c>
      <c r="I3878" t="n">
        <v>0</v>
      </c>
      <c r="J3878" t="n">
        <v>0</v>
      </c>
      <c r="K3878" t="n">
        <v>0</v>
      </c>
      <c r="L3878" t="n">
        <v>0</v>
      </c>
      <c r="M3878" t="n">
        <v>0</v>
      </c>
      <c r="N3878" t="n">
        <v>0</v>
      </c>
      <c r="O3878" t="n">
        <v>0</v>
      </c>
      <c r="P3878" t="n">
        <v>0</v>
      </c>
      <c r="Q3878" t="n">
        <v>0</v>
      </c>
      <c r="R3878" s="2" t="inlineStr"/>
    </row>
    <row r="3879" ht="15" customHeight="1">
      <c r="A3879" t="inlineStr">
        <is>
          <t>A 9821-2023</t>
        </is>
      </c>
      <c r="B3879" s="1" t="n">
        <v>44978</v>
      </c>
      <c r="C3879" s="1" t="n">
        <v>46075</v>
      </c>
      <c r="D3879" t="inlineStr">
        <is>
          <t>VÄSTERBOTTENS LÄN</t>
        </is>
      </c>
      <c r="E3879" t="inlineStr">
        <is>
          <t>SORSELE</t>
        </is>
      </c>
      <c r="G3879" t="n">
        <v>3.8</v>
      </c>
      <c r="H3879" t="n">
        <v>0</v>
      </c>
      <c r="I3879" t="n">
        <v>0</v>
      </c>
      <c r="J3879" t="n">
        <v>0</v>
      </c>
      <c r="K3879" t="n">
        <v>0</v>
      </c>
      <c r="L3879" t="n">
        <v>0</v>
      </c>
      <c r="M3879" t="n">
        <v>0</v>
      </c>
      <c r="N3879" t="n">
        <v>0</v>
      </c>
      <c r="O3879" t="n">
        <v>0</v>
      </c>
      <c r="P3879" t="n">
        <v>0</v>
      </c>
      <c r="Q3879" t="n">
        <v>0</v>
      </c>
      <c r="R3879" s="2" t="inlineStr"/>
    </row>
    <row r="3880" ht="15" customHeight="1">
      <c r="A3880" t="inlineStr">
        <is>
          <t>A 31168-2025</t>
        </is>
      </c>
      <c r="B3880" s="1" t="n">
        <v>45832.66167824074</v>
      </c>
      <c r="C3880" s="1" t="n">
        <v>46075</v>
      </c>
      <c r="D3880" t="inlineStr">
        <is>
          <t>VÄSTERBOTTENS LÄN</t>
        </is>
      </c>
      <c r="E3880" t="inlineStr">
        <is>
          <t>SKELLEFTEÅ</t>
        </is>
      </c>
      <c r="F3880" t="inlineStr">
        <is>
          <t>Holmen skog AB</t>
        </is>
      </c>
      <c r="G3880" t="n">
        <v>5.3</v>
      </c>
      <c r="H3880" t="n">
        <v>0</v>
      </c>
      <c r="I3880" t="n">
        <v>0</v>
      </c>
      <c r="J3880" t="n">
        <v>0</v>
      </c>
      <c r="K3880" t="n">
        <v>0</v>
      </c>
      <c r="L3880" t="n">
        <v>0</v>
      </c>
      <c r="M3880" t="n">
        <v>0</v>
      </c>
      <c r="N3880" t="n">
        <v>0</v>
      </c>
      <c r="O3880" t="n">
        <v>0</v>
      </c>
      <c r="P3880" t="n">
        <v>0</v>
      </c>
      <c r="Q3880" t="n">
        <v>0</v>
      </c>
      <c r="R3880" s="2" t="inlineStr"/>
    </row>
    <row r="3881" ht="15" customHeight="1">
      <c r="A3881" t="inlineStr">
        <is>
          <t>A 65334-2021</t>
        </is>
      </c>
      <c r="B3881" s="1" t="n">
        <v>44515</v>
      </c>
      <c r="C3881" s="1" t="n">
        <v>46075</v>
      </c>
      <c r="D3881" t="inlineStr">
        <is>
          <t>VÄSTERBOTTENS LÄN</t>
        </is>
      </c>
      <c r="E3881" t="inlineStr">
        <is>
          <t>NORDMALING</t>
        </is>
      </c>
      <c r="G3881" t="n">
        <v>4.4</v>
      </c>
      <c r="H3881" t="n">
        <v>0</v>
      </c>
      <c r="I3881" t="n">
        <v>0</v>
      </c>
      <c r="J3881" t="n">
        <v>0</v>
      </c>
      <c r="K3881" t="n">
        <v>0</v>
      </c>
      <c r="L3881" t="n">
        <v>0</v>
      </c>
      <c r="M3881" t="n">
        <v>0</v>
      </c>
      <c r="N3881" t="n">
        <v>0</v>
      </c>
      <c r="O3881" t="n">
        <v>0</v>
      </c>
      <c r="P3881" t="n">
        <v>0</v>
      </c>
      <c r="Q3881" t="n">
        <v>0</v>
      </c>
      <c r="R3881" s="2" t="inlineStr"/>
    </row>
    <row r="3882" ht="15" customHeight="1">
      <c r="A3882" t="inlineStr">
        <is>
          <t>A 10534-2023</t>
        </is>
      </c>
      <c r="B3882" s="1" t="n">
        <v>44987</v>
      </c>
      <c r="C3882" s="1" t="n">
        <v>46075</v>
      </c>
      <c r="D3882" t="inlineStr">
        <is>
          <t>VÄSTERBOTTENS LÄN</t>
        </is>
      </c>
      <c r="E3882" t="inlineStr">
        <is>
          <t>VINDELN</t>
        </is>
      </c>
      <c r="G3882" t="n">
        <v>6.8</v>
      </c>
      <c r="H3882" t="n">
        <v>0</v>
      </c>
      <c r="I3882" t="n">
        <v>0</v>
      </c>
      <c r="J3882" t="n">
        <v>0</v>
      </c>
      <c r="K3882" t="n">
        <v>0</v>
      </c>
      <c r="L3882" t="n">
        <v>0</v>
      </c>
      <c r="M3882" t="n">
        <v>0</v>
      </c>
      <c r="N3882" t="n">
        <v>0</v>
      </c>
      <c r="O3882" t="n">
        <v>0</v>
      </c>
      <c r="P3882" t="n">
        <v>0</v>
      </c>
      <c r="Q3882" t="n">
        <v>0</v>
      </c>
      <c r="R3882" s="2" t="inlineStr"/>
    </row>
    <row r="3883" ht="15" customHeight="1">
      <c r="A3883" t="inlineStr">
        <is>
          <t>A 58456-2023</t>
        </is>
      </c>
      <c r="B3883" s="1" t="n">
        <v>45250.96092592592</v>
      </c>
      <c r="C3883" s="1" t="n">
        <v>46075</v>
      </c>
      <c r="D3883" t="inlineStr">
        <is>
          <t>VÄSTERBOTTENS LÄN</t>
        </is>
      </c>
      <c r="E3883" t="inlineStr">
        <is>
          <t>VILHELMINA</t>
        </is>
      </c>
      <c r="F3883" t="inlineStr">
        <is>
          <t>SCA</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31278-2025</t>
        </is>
      </c>
      <c r="B3884" s="1" t="n">
        <v>45833.34509259259</v>
      </c>
      <c r="C3884" s="1" t="n">
        <v>46075</v>
      </c>
      <c r="D3884" t="inlineStr">
        <is>
          <t>VÄSTERBOTTENS LÄN</t>
        </is>
      </c>
      <c r="E3884" t="inlineStr">
        <is>
          <t>ÅSELE</t>
        </is>
      </c>
      <c r="F3884" t="inlineStr">
        <is>
          <t>SCA</t>
        </is>
      </c>
      <c r="G3884" t="n">
        <v>10.5</v>
      </c>
      <c r="H3884" t="n">
        <v>0</v>
      </c>
      <c r="I3884" t="n">
        <v>0</v>
      </c>
      <c r="J3884" t="n">
        <v>0</v>
      </c>
      <c r="K3884" t="n">
        <v>0</v>
      </c>
      <c r="L3884" t="n">
        <v>0</v>
      </c>
      <c r="M3884" t="n">
        <v>0</v>
      </c>
      <c r="N3884" t="n">
        <v>0</v>
      </c>
      <c r="O3884" t="n">
        <v>0</v>
      </c>
      <c r="P3884" t="n">
        <v>0</v>
      </c>
      <c r="Q3884" t="n">
        <v>0</v>
      </c>
      <c r="R3884" s="2" t="inlineStr"/>
    </row>
    <row r="3885" ht="15" customHeight="1">
      <c r="A3885" t="inlineStr">
        <is>
          <t>A 60782-2023</t>
        </is>
      </c>
      <c r="B3885" s="1" t="n">
        <v>45259</v>
      </c>
      <c r="C3885" s="1" t="n">
        <v>46075</v>
      </c>
      <c r="D3885" t="inlineStr">
        <is>
          <t>VÄSTERBOTTENS LÄN</t>
        </is>
      </c>
      <c r="E3885" t="inlineStr">
        <is>
          <t>VILHELMINA</t>
        </is>
      </c>
      <c r="G3885" t="n">
        <v>12.7</v>
      </c>
      <c r="H3885" t="n">
        <v>0</v>
      </c>
      <c r="I3885" t="n">
        <v>0</v>
      </c>
      <c r="J3885" t="n">
        <v>0</v>
      </c>
      <c r="K3885" t="n">
        <v>0</v>
      </c>
      <c r="L3885" t="n">
        <v>0</v>
      </c>
      <c r="M3885" t="n">
        <v>0</v>
      </c>
      <c r="N3885" t="n">
        <v>0</v>
      </c>
      <c r="O3885" t="n">
        <v>0</v>
      </c>
      <c r="P3885" t="n">
        <v>0</v>
      </c>
      <c r="Q3885" t="n">
        <v>0</v>
      </c>
      <c r="R3885" s="2" t="inlineStr"/>
    </row>
    <row r="3886" ht="15" customHeight="1">
      <c r="A3886" t="inlineStr">
        <is>
          <t>A 40786-2025</t>
        </is>
      </c>
      <c r="B3886" s="1" t="n">
        <v>45897</v>
      </c>
      <c r="C3886" s="1" t="n">
        <v>46075</v>
      </c>
      <c r="D3886" t="inlineStr">
        <is>
          <t>VÄSTERBOTTENS LÄN</t>
        </is>
      </c>
      <c r="E3886" t="inlineStr">
        <is>
          <t>VINDELN</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12359-2023</t>
        </is>
      </c>
      <c r="B3887" s="1" t="n">
        <v>44995</v>
      </c>
      <c r="C3887" s="1" t="n">
        <v>46075</v>
      </c>
      <c r="D3887" t="inlineStr">
        <is>
          <t>VÄSTERBOTTENS LÄN</t>
        </is>
      </c>
      <c r="E3887" t="inlineStr">
        <is>
          <t>STORUMAN</t>
        </is>
      </c>
      <c r="F3887" t="inlineStr">
        <is>
          <t>Allmännings- och besparingsskogar</t>
        </is>
      </c>
      <c r="G3887" t="n">
        <v>449.4</v>
      </c>
      <c r="H3887" t="n">
        <v>0</v>
      </c>
      <c r="I3887" t="n">
        <v>0</v>
      </c>
      <c r="J3887" t="n">
        <v>0</v>
      </c>
      <c r="K3887" t="n">
        <v>0</v>
      </c>
      <c r="L3887" t="n">
        <v>0</v>
      </c>
      <c r="M3887" t="n">
        <v>0</v>
      </c>
      <c r="N3887" t="n">
        <v>0</v>
      </c>
      <c r="O3887" t="n">
        <v>0</v>
      </c>
      <c r="P3887" t="n">
        <v>0</v>
      </c>
      <c r="Q3887" t="n">
        <v>0</v>
      </c>
      <c r="R3887" s="2" t="inlineStr"/>
    </row>
    <row r="3888" ht="15" customHeight="1">
      <c r="A3888" t="inlineStr">
        <is>
          <t>A 40531-2025</t>
        </is>
      </c>
      <c r="B3888" s="1" t="n">
        <v>45896.38892361111</v>
      </c>
      <c r="C3888" s="1" t="n">
        <v>46075</v>
      </c>
      <c r="D3888" t="inlineStr">
        <is>
          <t>VÄSTERBOTTENS LÄN</t>
        </is>
      </c>
      <c r="E3888" t="inlineStr">
        <is>
          <t>VINDELN</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30865-2025</t>
        </is>
      </c>
      <c r="B3889" s="1" t="n">
        <v>45832.3215162037</v>
      </c>
      <c r="C3889" s="1" t="n">
        <v>46075</v>
      </c>
      <c r="D3889" t="inlineStr">
        <is>
          <t>VÄSTERBOTTENS LÄN</t>
        </is>
      </c>
      <c r="E3889" t="inlineStr">
        <is>
          <t>LYCKSELE</t>
        </is>
      </c>
      <c r="F3889" t="inlineStr">
        <is>
          <t>Sveaskog</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40615-2025</t>
        </is>
      </c>
      <c r="B3890" s="1" t="n">
        <v>45896.57956018519</v>
      </c>
      <c r="C3890" s="1" t="n">
        <v>46075</v>
      </c>
      <c r="D3890" t="inlineStr">
        <is>
          <t>VÄSTERBOTTENS LÄN</t>
        </is>
      </c>
      <c r="E3890" t="inlineStr">
        <is>
          <t>SKELLEFTEÅ</t>
        </is>
      </c>
      <c r="F3890" t="inlineStr">
        <is>
          <t>Holmen skog AB</t>
        </is>
      </c>
      <c r="G3890" t="n">
        <v>6.5</v>
      </c>
      <c r="H3890" t="n">
        <v>0</v>
      </c>
      <c r="I3890" t="n">
        <v>0</v>
      </c>
      <c r="J3890" t="n">
        <v>0</v>
      </c>
      <c r="K3890" t="n">
        <v>0</v>
      </c>
      <c r="L3890" t="n">
        <v>0</v>
      </c>
      <c r="M3890" t="n">
        <v>0</v>
      </c>
      <c r="N3890" t="n">
        <v>0</v>
      </c>
      <c r="O3890" t="n">
        <v>0</v>
      </c>
      <c r="P3890" t="n">
        <v>0</v>
      </c>
      <c r="Q3890" t="n">
        <v>0</v>
      </c>
      <c r="R3890" s="2" t="inlineStr"/>
    </row>
    <row r="3891" ht="15" customHeight="1">
      <c r="A3891" t="inlineStr">
        <is>
          <t>A 30906-2025</t>
        </is>
      </c>
      <c r="B3891" s="1" t="n">
        <v>45832.36453703704</v>
      </c>
      <c r="C3891" s="1" t="n">
        <v>46075</v>
      </c>
      <c r="D3891" t="inlineStr">
        <is>
          <t>VÄSTERBOTTENS LÄN</t>
        </is>
      </c>
      <c r="E3891" t="inlineStr">
        <is>
          <t>LYCKSELE</t>
        </is>
      </c>
      <c r="F3891" t="inlineStr">
        <is>
          <t>Sveaskog</t>
        </is>
      </c>
      <c r="G3891" t="n">
        <v>20.1</v>
      </c>
      <c r="H3891" t="n">
        <v>0</v>
      </c>
      <c r="I3891" t="n">
        <v>0</v>
      </c>
      <c r="J3891" t="n">
        <v>0</v>
      </c>
      <c r="K3891" t="n">
        <v>0</v>
      </c>
      <c r="L3891" t="n">
        <v>0</v>
      </c>
      <c r="M3891" t="n">
        <v>0</v>
      </c>
      <c r="N3891" t="n">
        <v>0</v>
      </c>
      <c r="O3891" t="n">
        <v>0</v>
      </c>
      <c r="P3891" t="n">
        <v>0</v>
      </c>
      <c r="Q3891" t="n">
        <v>0</v>
      </c>
      <c r="R3891" s="2" t="inlineStr"/>
    </row>
    <row r="3892" ht="15" customHeight="1">
      <c r="A3892" t="inlineStr">
        <is>
          <t>A 30908-2025</t>
        </is>
      </c>
      <c r="B3892" s="1" t="n">
        <v>45832.36497685185</v>
      </c>
      <c r="C3892" s="1" t="n">
        <v>46075</v>
      </c>
      <c r="D3892" t="inlineStr">
        <is>
          <t>VÄSTERBOTTENS LÄN</t>
        </is>
      </c>
      <c r="E3892" t="inlineStr">
        <is>
          <t>VINDELN</t>
        </is>
      </c>
      <c r="G3892" t="n">
        <v>11.7</v>
      </c>
      <c r="H3892" t="n">
        <v>0</v>
      </c>
      <c r="I3892" t="n">
        <v>0</v>
      </c>
      <c r="J3892" t="n">
        <v>0</v>
      </c>
      <c r="K3892" t="n">
        <v>0</v>
      </c>
      <c r="L3892" t="n">
        <v>0</v>
      </c>
      <c r="M3892" t="n">
        <v>0</v>
      </c>
      <c r="N3892" t="n">
        <v>0</v>
      </c>
      <c r="O3892" t="n">
        <v>0</v>
      </c>
      <c r="P3892" t="n">
        <v>0</v>
      </c>
      <c r="Q3892" t="n">
        <v>0</v>
      </c>
      <c r="R3892" s="2" t="inlineStr"/>
    </row>
    <row r="3893" ht="15" customHeight="1">
      <c r="A3893" t="inlineStr">
        <is>
          <t>A 44426-2023</t>
        </is>
      </c>
      <c r="B3893" s="1" t="n">
        <v>45188</v>
      </c>
      <c r="C3893" s="1" t="n">
        <v>46075</v>
      </c>
      <c r="D3893" t="inlineStr">
        <is>
          <t>VÄSTERBOTTENS LÄN</t>
        </is>
      </c>
      <c r="E3893" t="inlineStr">
        <is>
          <t>MALÅ</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45298-2024</t>
        </is>
      </c>
      <c r="B3894" s="1" t="n">
        <v>45576</v>
      </c>
      <c r="C3894" s="1" t="n">
        <v>46075</v>
      </c>
      <c r="D3894" t="inlineStr">
        <is>
          <t>VÄSTERBOTTENS LÄN</t>
        </is>
      </c>
      <c r="E3894" t="inlineStr">
        <is>
          <t>ÅSELE</t>
        </is>
      </c>
      <c r="F3894" t="inlineStr">
        <is>
          <t>Sveaskog</t>
        </is>
      </c>
      <c r="G3894" t="n">
        <v>5.8</v>
      </c>
      <c r="H3894" t="n">
        <v>0</v>
      </c>
      <c r="I3894" t="n">
        <v>0</v>
      </c>
      <c r="J3894" t="n">
        <v>0</v>
      </c>
      <c r="K3894" t="n">
        <v>0</v>
      </c>
      <c r="L3894" t="n">
        <v>0</v>
      </c>
      <c r="M3894" t="n">
        <v>0</v>
      </c>
      <c r="N3894" t="n">
        <v>0</v>
      </c>
      <c r="O3894" t="n">
        <v>0</v>
      </c>
      <c r="P3894" t="n">
        <v>0</v>
      </c>
      <c r="Q3894" t="n">
        <v>0</v>
      </c>
      <c r="R3894" s="2" t="inlineStr"/>
    </row>
    <row r="3895" ht="15" customHeight="1">
      <c r="A3895" t="inlineStr">
        <is>
          <t>A 40893-2025</t>
        </is>
      </c>
      <c r="B3895" s="1" t="n">
        <v>45897</v>
      </c>
      <c r="C3895" s="1" t="n">
        <v>46075</v>
      </c>
      <c r="D3895" t="inlineStr">
        <is>
          <t>VÄSTERBOTTENS LÄN</t>
        </is>
      </c>
      <c r="E3895" t="inlineStr">
        <is>
          <t>DOROTEA</t>
        </is>
      </c>
      <c r="G3895" t="n">
        <v>6.7</v>
      </c>
      <c r="H3895" t="n">
        <v>0</v>
      </c>
      <c r="I3895" t="n">
        <v>0</v>
      </c>
      <c r="J3895" t="n">
        <v>0</v>
      </c>
      <c r="K3895" t="n">
        <v>0</v>
      </c>
      <c r="L3895" t="n">
        <v>0</v>
      </c>
      <c r="M3895" t="n">
        <v>0</v>
      </c>
      <c r="N3895" t="n">
        <v>0</v>
      </c>
      <c r="O3895" t="n">
        <v>0</v>
      </c>
      <c r="P3895" t="n">
        <v>0</v>
      </c>
      <c r="Q3895" t="n">
        <v>0</v>
      </c>
      <c r="R3895" s="2" t="inlineStr"/>
    </row>
    <row r="3896" ht="15" customHeight="1">
      <c r="A3896" t="inlineStr">
        <is>
          <t>A 59389-2022</t>
        </is>
      </c>
      <c r="B3896" s="1" t="n">
        <v>44905</v>
      </c>
      <c r="C3896" s="1" t="n">
        <v>46075</v>
      </c>
      <c r="D3896" t="inlineStr">
        <is>
          <t>VÄSTERBOTTENS LÄN</t>
        </is>
      </c>
      <c r="E3896" t="inlineStr">
        <is>
          <t>NORDMALING</t>
        </is>
      </c>
      <c r="F3896" t="inlineStr">
        <is>
          <t>SCA</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30913-2025</t>
        </is>
      </c>
      <c r="B3897" s="1" t="n">
        <v>45832.37649305556</v>
      </c>
      <c r="C3897" s="1" t="n">
        <v>46075</v>
      </c>
      <c r="D3897" t="inlineStr">
        <is>
          <t>VÄSTERBOTTENS LÄN</t>
        </is>
      </c>
      <c r="E3897" t="inlineStr">
        <is>
          <t>ROBERTSFORS</t>
        </is>
      </c>
      <c r="G3897" t="n">
        <v>6.1</v>
      </c>
      <c r="H3897" t="n">
        <v>0</v>
      </c>
      <c r="I3897" t="n">
        <v>0</v>
      </c>
      <c r="J3897" t="n">
        <v>0</v>
      </c>
      <c r="K3897" t="n">
        <v>0</v>
      </c>
      <c r="L3897" t="n">
        <v>0</v>
      </c>
      <c r="M3897" t="n">
        <v>0</v>
      </c>
      <c r="N3897" t="n">
        <v>0</v>
      </c>
      <c r="O3897" t="n">
        <v>0</v>
      </c>
      <c r="P3897" t="n">
        <v>0</v>
      </c>
      <c r="Q3897" t="n">
        <v>0</v>
      </c>
      <c r="R3897" s="2" t="inlineStr"/>
    </row>
    <row r="3898" ht="15" customHeight="1">
      <c r="A3898" t="inlineStr">
        <is>
          <t>A 30924-2025</t>
        </is>
      </c>
      <c r="B3898" s="1" t="n">
        <v>45832.3862037037</v>
      </c>
      <c r="C3898" s="1" t="n">
        <v>46075</v>
      </c>
      <c r="D3898" t="inlineStr">
        <is>
          <t>VÄSTERBOTTENS LÄN</t>
        </is>
      </c>
      <c r="E3898" t="inlineStr">
        <is>
          <t>VINDELN</t>
        </is>
      </c>
      <c r="G3898" t="n">
        <v>8.199999999999999</v>
      </c>
      <c r="H3898" t="n">
        <v>0</v>
      </c>
      <c r="I3898" t="n">
        <v>0</v>
      </c>
      <c r="J3898" t="n">
        <v>0</v>
      </c>
      <c r="K3898" t="n">
        <v>0</v>
      </c>
      <c r="L3898" t="n">
        <v>0</v>
      </c>
      <c r="M3898" t="n">
        <v>0</v>
      </c>
      <c r="N3898" t="n">
        <v>0</v>
      </c>
      <c r="O3898" t="n">
        <v>0</v>
      </c>
      <c r="P3898" t="n">
        <v>0</v>
      </c>
      <c r="Q3898" t="n">
        <v>0</v>
      </c>
      <c r="R3898" s="2" t="inlineStr"/>
    </row>
    <row r="3899" ht="15" customHeight="1">
      <c r="A3899" t="inlineStr">
        <is>
          <t>A 45345-2024</t>
        </is>
      </c>
      <c r="B3899" s="1" t="n">
        <v>45576.4734375</v>
      </c>
      <c r="C3899" s="1" t="n">
        <v>46075</v>
      </c>
      <c r="D3899" t="inlineStr">
        <is>
          <t>VÄSTERBOTTENS LÄN</t>
        </is>
      </c>
      <c r="E3899" t="inlineStr">
        <is>
          <t>VINDELN</t>
        </is>
      </c>
      <c r="F3899" t="inlineStr">
        <is>
          <t>Holmen skog AB</t>
        </is>
      </c>
      <c r="G3899" t="n">
        <v>5.1</v>
      </c>
      <c r="H3899" t="n">
        <v>0</v>
      </c>
      <c r="I3899" t="n">
        <v>0</v>
      </c>
      <c r="J3899" t="n">
        <v>0</v>
      </c>
      <c r="K3899" t="n">
        <v>0</v>
      </c>
      <c r="L3899" t="n">
        <v>0</v>
      </c>
      <c r="M3899" t="n">
        <v>0</v>
      </c>
      <c r="N3899" t="n">
        <v>0</v>
      </c>
      <c r="O3899" t="n">
        <v>0</v>
      </c>
      <c r="P3899" t="n">
        <v>0</v>
      </c>
      <c r="Q3899" t="n">
        <v>0</v>
      </c>
      <c r="R3899" s="2" t="inlineStr"/>
    </row>
    <row r="3900" ht="15" customHeight="1">
      <c r="A3900" t="inlineStr">
        <is>
          <t>A 45359-2024</t>
        </is>
      </c>
      <c r="B3900" s="1" t="n">
        <v>45576.48241898148</v>
      </c>
      <c r="C3900" s="1" t="n">
        <v>46075</v>
      </c>
      <c r="D3900" t="inlineStr">
        <is>
          <t>VÄSTERBOTTENS LÄN</t>
        </is>
      </c>
      <c r="E3900" t="inlineStr">
        <is>
          <t>UMEÅ</t>
        </is>
      </c>
      <c r="F3900" t="inlineStr">
        <is>
          <t>Holmen skog AB</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31178-2025</t>
        </is>
      </c>
      <c r="B3901" s="1" t="n">
        <v>45832.67209490741</v>
      </c>
      <c r="C3901" s="1" t="n">
        <v>46075</v>
      </c>
      <c r="D3901" t="inlineStr">
        <is>
          <t>VÄSTERBOTTENS LÄN</t>
        </is>
      </c>
      <c r="E3901" t="inlineStr">
        <is>
          <t>SKELLEFTEÅ</t>
        </is>
      </c>
      <c r="F3901" t="inlineStr">
        <is>
          <t>Holmen skog AB</t>
        </is>
      </c>
      <c r="G3901" t="n">
        <v>19.2</v>
      </c>
      <c r="H3901" t="n">
        <v>0</v>
      </c>
      <c r="I3901" t="n">
        <v>0</v>
      </c>
      <c r="J3901" t="n">
        <v>0</v>
      </c>
      <c r="K3901" t="n">
        <v>0</v>
      </c>
      <c r="L3901" t="n">
        <v>0</v>
      </c>
      <c r="M3901" t="n">
        <v>0</v>
      </c>
      <c r="N3901" t="n">
        <v>0</v>
      </c>
      <c r="O3901" t="n">
        <v>0</v>
      </c>
      <c r="P3901" t="n">
        <v>0</v>
      </c>
      <c r="Q3901" t="n">
        <v>0</v>
      </c>
      <c r="R3901" s="2" t="inlineStr"/>
    </row>
    <row r="3902" ht="15" customHeight="1">
      <c r="A3902" t="inlineStr">
        <is>
          <t>A 65151-2021</t>
        </is>
      </c>
      <c r="B3902" s="1" t="n">
        <v>44515</v>
      </c>
      <c r="C3902" s="1" t="n">
        <v>46075</v>
      </c>
      <c r="D3902" t="inlineStr">
        <is>
          <t>VÄSTERBOTTENS LÄN</t>
        </is>
      </c>
      <c r="E3902" t="inlineStr">
        <is>
          <t>VILHELMINA</t>
        </is>
      </c>
      <c r="G3902" t="n">
        <v>11.8</v>
      </c>
      <c r="H3902" t="n">
        <v>0</v>
      </c>
      <c r="I3902" t="n">
        <v>0</v>
      </c>
      <c r="J3902" t="n">
        <v>0</v>
      </c>
      <c r="K3902" t="n">
        <v>0</v>
      </c>
      <c r="L3902" t="n">
        <v>0</v>
      </c>
      <c r="M3902" t="n">
        <v>0</v>
      </c>
      <c r="N3902" t="n">
        <v>0</v>
      </c>
      <c r="O3902" t="n">
        <v>0</v>
      </c>
      <c r="P3902" t="n">
        <v>0</v>
      </c>
      <c r="Q3902" t="n">
        <v>0</v>
      </c>
      <c r="R3902" s="2" t="inlineStr"/>
    </row>
    <row r="3903" ht="15" customHeight="1">
      <c r="A3903" t="inlineStr">
        <is>
          <t>A 65159-2021</t>
        </is>
      </c>
      <c r="B3903" s="1" t="n">
        <v>44515</v>
      </c>
      <c r="C3903" s="1" t="n">
        <v>46075</v>
      </c>
      <c r="D3903" t="inlineStr">
        <is>
          <t>VÄSTERBOTTENS LÄN</t>
        </is>
      </c>
      <c r="E3903" t="inlineStr">
        <is>
          <t>VILHELMINA</t>
        </is>
      </c>
      <c r="G3903" t="n">
        <v>5</v>
      </c>
      <c r="H3903" t="n">
        <v>0</v>
      </c>
      <c r="I3903" t="n">
        <v>0</v>
      </c>
      <c r="J3903" t="n">
        <v>0</v>
      </c>
      <c r="K3903" t="n">
        <v>0</v>
      </c>
      <c r="L3903" t="n">
        <v>0</v>
      </c>
      <c r="M3903" t="n">
        <v>0</v>
      </c>
      <c r="N3903" t="n">
        <v>0</v>
      </c>
      <c r="O3903" t="n">
        <v>0</v>
      </c>
      <c r="P3903" t="n">
        <v>0</v>
      </c>
      <c r="Q3903" t="n">
        <v>0</v>
      </c>
      <c r="R3903" s="2" t="inlineStr"/>
    </row>
    <row r="3904" ht="15" customHeight="1">
      <c r="A3904" t="inlineStr">
        <is>
          <t>A 45593-2024</t>
        </is>
      </c>
      <c r="B3904" s="1" t="n">
        <v>45579</v>
      </c>
      <c r="C3904" s="1" t="n">
        <v>46075</v>
      </c>
      <c r="D3904" t="inlineStr">
        <is>
          <t>VÄSTERBOTTENS LÄN</t>
        </is>
      </c>
      <c r="E3904" t="inlineStr">
        <is>
          <t>VILHELMINA</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24444-2024</t>
        </is>
      </c>
      <c r="B3905" s="1" t="n">
        <v>45457.96425925926</v>
      </c>
      <c r="C3905" s="1" t="n">
        <v>46075</v>
      </c>
      <c r="D3905" t="inlineStr">
        <is>
          <t>VÄSTERBOTTENS LÄN</t>
        </is>
      </c>
      <c r="E3905" t="inlineStr">
        <is>
          <t>ÅSELE</t>
        </is>
      </c>
      <c r="F3905" t="inlineStr">
        <is>
          <t>SCA</t>
        </is>
      </c>
      <c r="G3905" t="n">
        <v>5.7</v>
      </c>
      <c r="H3905" t="n">
        <v>0</v>
      </c>
      <c r="I3905" t="n">
        <v>0</v>
      </c>
      <c r="J3905" t="n">
        <v>0</v>
      </c>
      <c r="K3905" t="n">
        <v>0</v>
      </c>
      <c r="L3905" t="n">
        <v>0</v>
      </c>
      <c r="M3905" t="n">
        <v>0</v>
      </c>
      <c r="N3905" t="n">
        <v>0</v>
      </c>
      <c r="O3905" t="n">
        <v>0</v>
      </c>
      <c r="P3905" t="n">
        <v>0</v>
      </c>
      <c r="Q3905" t="n">
        <v>0</v>
      </c>
      <c r="R3905" s="2" t="inlineStr"/>
    </row>
    <row r="3906" ht="15" customHeight="1">
      <c r="A3906" t="inlineStr">
        <is>
          <t>A 24466-2024</t>
        </is>
      </c>
      <c r="B3906" s="1" t="n">
        <v>45458</v>
      </c>
      <c r="C3906" s="1" t="n">
        <v>46075</v>
      </c>
      <c r="D3906" t="inlineStr">
        <is>
          <t>VÄSTERBOTTENS LÄN</t>
        </is>
      </c>
      <c r="E3906" t="inlineStr">
        <is>
          <t>ROBERTSFORS</t>
        </is>
      </c>
      <c r="G3906" t="n">
        <v>3.5</v>
      </c>
      <c r="H3906" t="n">
        <v>0</v>
      </c>
      <c r="I3906" t="n">
        <v>0</v>
      </c>
      <c r="J3906" t="n">
        <v>0</v>
      </c>
      <c r="K3906" t="n">
        <v>0</v>
      </c>
      <c r="L3906" t="n">
        <v>0</v>
      </c>
      <c r="M3906" t="n">
        <v>0</v>
      </c>
      <c r="N3906" t="n">
        <v>0</v>
      </c>
      <c r="O3906" t="n">
        <v>0</v>
      </c>
      <c r="P3906" t="n">
        <v>0</v>
      </c>
      <c r="Q3906" t="n">
        <v>0</v>
      </c>
      <c r="R3906" s="2" t="inlineStr"/>
    </row>
    <row r="3907" ht="15" customHeight="1">
      <c r="A3907" t="inlineStr">
        <is>
          <t>A 24469-2024</t>
        </is>
      </c>
      <c r="B3907" s="1" t="n">
        <v>45458</v>
      </c>
      <c r="C3907" s="1" t="n">
        <v>46075</v>
      </c>
      <c r="D3907" t="inlineStr">
        <is>
          <t>VÄSTERBOTTENS LÄN</t>
        </is>
      </c>
      <c r="E3907" t="inlineStr">
        <is>
          <t>ROBERTSFORS</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25170-2024</t>
        </is>
      </c>
      <c r="B3908" s="1" t="n">
        <v>45462</v>
      </c>
      <c r="C3908" s="1" t="n">
        <v>46075</v>
      </c>
      <c r="D3908" t="inlineStr">
        <is>
          <t>VÄSTERBOTTENS LÄN</t>
        </is>
      </c>
      <c r="E3908" t="inlineStr">
        <is>
          <t>LYCKSELE</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58429-2022</t>
        </is>
      </c>
      <c r="B3909" s="1" t="n">
        <v>44901</v>
      </c>
      <c r="C3909" s="1" t="n">
        <v>46075</v>
      </c>
      <c r="D3909" t="inlineStr">
        <is>
          <t>VÄSTERBOTTENS LÄN</t>
        </is>
      </c>
      <c r="E3909" t="inlineStr">
        <is>
          <t>SKELLEFTEÅ</t>
        </is>
      </c>
      <c r="F3909" t="inlineStr">
        <is>
          <t>SCA</t>
        </is>
      </c>
      <c r="G3909" t="n">
        <v>4.7</v>
      </c>
      <c r="H3909" t="n">
        <v>0</v>
      </c>
      <c r="I3909" t="n">
        <v>0</v>
      </c>
      <c r="J3909" t="n">
        <v>0</v>
      </c>
      <c r="K3909" t="n">
        <v>0</v>
      </c>
      <c r="L3909" t="n">
        <v>0</v>
      </c>
      <c r="M3909" t="n">
        <v>0</v>
      </c>
      <c r="N3909" t="n">
        <v>0</v>
      </c>
      <c r="O3909" t="n">
        <v>0</v>
      </c>
      <c r="P3909" t="n">
        <v>0</v>
      </c>
      <c r="Q3909" t="n">
        <v>0</v>
      </c>
      <c r="R3909" s="2" t="inlineStr"/>
    </row>
    <row r="3910" ht="15" customHeight="1">
      <c r="A3910" t="inlineStr">
        <is>
          <t>A 31110-2025</t>
        </is>
      </c>
      <c r="B3910" s="1" t="n">
        <v>45832.61085648148</v>
      </c>
      <c r="C3910" s="1" t="n">
        <v>46075</v>
      </c>
      <c r="D3910" t="inlineStr">
        <is>
          <t>VÄSTERBOTTENS LÄN</t>
        </is>
      </c>
      <c r="E3910" t="inlineStr">
        <is>
          <t>ROBERTSFORS</t>
        </is>
      </c>
      <c r="F3910" t="inlineStr">
        <is>
          <t>Holmen skog AB</t>
        </is>
      </c>
      <c r="G3910" t="n">
        <v>2.8</v>
      </c>
      <c r="H3910" t="n">
        <v>0</v>
      </c>
      <c r="I3910" t="n">
        <v>0</v>
      </c>
      <c r="J3910" t="n">
        <v>0</v>
      </c>
      <c r="K3910" t="n">
        <v>0</v>
      </c>
      <c r="L3910" t="n">
        <v>0</v>
      </c>
      <c r="M3910" t="n">
        <v>0</v>
      </c>
      <c r="N3910" t="n">
        <v>0</v>
      </c>
      <c r="O3910" t="n">
        <v>0</v>
      </c>
      <c r="P3910" t="n">
        <v>0</v>
      </c>
      <c r="Q3910" t="n">
        <v>0</v>
      </c>
      <c r="R3910" s="2" t="inlineStr"/>
    </row>
    <row r="3911" ht="15" customHeight="1">
      <c r="A3911" t="inlineStr">
        <is>
          <t>A 7438-2022</t>
        </is>
      </c>
      <c r="B3911" s="1" t="n">
        <v>44606.93429398148</v>
      </c>
      <c r="C3911" s="1" t="n">
        <v>46075</v>
      </c>
      <c r="D3911" t="inlineStr">
        <is>
          <t>VÄSTERBOTTENS LÄN</t>
        </is>
      </c>
      <c r="E3911" t="inlineStr">
        <is>
          <t>UMEÅ</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31445-2025</t>
        </is>
      </c>
      <c r="B3912" s="1" t="n">
        <v>45833.51791666666</v>
      </c>
      <c r="C3912" s="1" t="n">
        <v>46075</v>
      </c>
      <c r="D3912" t="inlineStr">
        <is>
          <t>VÄSTERBOTTENS LÄN</t>
        </is>
      </c>
      <c r="E3912" t="inlineStr">
        <is>
          <t>ÅSELE</t>
        </is>
      </c>
      <c r="F3912" t="inlineStr">
        <is>
          <t>Holmen skog AB</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31108-2025</t>
        </is>
      </c>
      <c r="B3913" s="1" t="n">
        <v>45832</v>
      </c>
      <c r="C3913" s="1" t="n">
        <v>46075</v>
      </c>
      <c r="D3913" t="inlineStr">
        <is>
          <t>VÄSTERBOTTENS LÄN</t>
        </is>
      </c>
      <c r="E3913" t="inlineStr">
        <is>
          <t>SKELLEFTEÅ</t>
        </is>
      </c>
      <c r="F3913" t="inlineStr">
        <is>
          <t>Holmen skog AB</t>
        </is>
      </c>
      <c r="G3913" t="n">
        <v>3.9</v>
      </c>
      <c r="H3913" t="n">
        <v>0</v>
      </c>
      <c r="I3913" t="n">
        <v>0</v>
      </c>
      <c r="J3913" t="n">
        <v>0</v>
      </c>
      <c r="K3913" t="n">
        <v>0</v>
      </c>
      <c r="L3913" t="n">
        <v>0</v>
      </c>
      <c r="M3913" t="n">
        <v>0</v>
      </c>
      <c r="N3913" t="n">
        <v>0</v>
      </c>
      <c r="O3913" t="n">
        <v>0</v>
      </c>
      <c r="P3913" t="n">
        <v>0</v>
      </c>
      <c r="Q3913" t="n">
        <v>0</v>
      </c>
      <c r="R3913" s="2" t="inlineStr"/>
    </row>
    <row r="3914" ht="15" customHeight="1">
      <c r="A3914" t="inlineStr">
        <is>
          <t>A 31116-2025</t>
        </is>
      </c>
      <c r="B3914" s="1" t="n">
        <v>45832.61597222222</v>
      </c>
      <c r="C3914" s="1" t="n">
        <v>46075</v>
      </c>
      <c r="D3914" t="inlineStr">
        <is>
          <t>VÄSTERBOTTENS LÄN</t>
        </is>
      </c>
      <c r="E3914" t="inlineStr">
        <is>
          <t>BJURHOLM</t>
        </is>
      </c>
      <c r="G3914" t="n">
        <v>33.5</v>
      </c>
      <c r="H3914" t="n">
        <v>0</v>
      </c>
      <c r="I3914" t="n">
        <v>0</v>
      </c>
      <c r="J3914" t="n">
        <v>0</v>
      </c>
      <c r="K3914" t="n">
        <v>0</v>
      </c>
      <c r="L3914" t="n">
        <v>0</v>
      </c>
      <c r="M3914" t="n">
        <v>0</v>
      </c>
      <c r="N3914" t="n">
        <v>0</v>
      </c>
      <c r="O3914" t="n">
        <v>0</v>
      </c>
      <c r="P3914" t="n">
        <v>0</v>
      </c>
      <c r="Q3914" t="n">
        <v>0</v>
      </c>
      <c r="R3914" s="2" t="inlineStr"/>
    </row>
    <row r="3915" ht="15" customHeight="1">
      <c r="A3915" t="inlineStr">
        <is>
          <t>A 33699-2024</t>
        </is>
      </c>
      <c r="B3915" s="1" t="n">
        <v>45520.52138888889</v>
      </c>
      <c r="C3915" s="1" t="n">
        <v>46075</v>
      </c>
      <c r="D3915" t="inlineStr">
        <is>
          <t>VÄSTERBOTTENS LÄN</t>
        </is>
      </c>
      <c r="E3915" t="inlineStr">
        <is>
          <t>LYCKSELE</t>
        </is>
      </c>
      <c r="F3915" t="inlineStr">
        <is>
          <t>Sveaskog</t>
        </is>
      </c>
      <c r="G3915" t="n">
        <v>16.3</v>
      </c>
      <c r="H3915" t="n">
        <v>0</v>
      </c>
      <c r="I3915" t="n">
        <v>0</v>
      </c>
      <c r="J3915" t="n">
        <v>0</v>
      </c>
      <c r="K3915" t="n">
        <v>0</v>
      </c>
      <c r="L3915" t="n">
        <v>0</v>
      </c>
      <c r="M3915" t="n">
        <v>0</v>
      </c>
      <c r="N3915" t="n">
        <v>0</v>
      </c>
      <c r="O3915" t="n">
        <v>0</v>
      </c>
      <c r="P3915" t="n">
        <v>0</v>
      </c>
      <c r="Q3915" t="n">
        <v>0</v>
      </c>
      <c r="R3915" s="2" t="inlineStr"/>
    </row>
    <row r="3916" ht="15" customHeight="1">
      <c r="A3916" t="inlineStr">
        <is>
          <t>A 31271-2025</t>
        </is>
      </c>
      <c r="B3916" s="1" t="n">
        <v>45833.33717592592</v>
      </c>
      <c r="C3916" s="1" t="n">
        <v>46075</v>
      </c>
      <c r="D3916" t="inlineStr">
        <is>
          <t>VÄSTERBOTTENS LÄN</t>
        </is>
      </c>
      <c r="E3916" t="inlineStr">
        <is>
          <t>SKELLEFTEÅ</t>
        </is>
      </c>
      <c r="G3916" t="n">
        <v>3.8</v>
      </c>
      <c r="H3916" t="n">
        <v>0</v>
      </c>
      <c r="I3916" t="n">
        <v>0</v>
      </c>
      <c r="J3916" t="n">
        <v>0</v>
      </c>
      <c r="K3916" t="n">
        <v>0</v>
      </c>
      <c r="L3916" t="n">
        <v>0</v>
      </c>
      <c r="M3916" t="n">
        <v>0</v>
      </c>
      <c r="N3916" t="n">
        <v>0</v>
      </c>
      <c r="O3916" t="n">
        <v>0</v>
      </c>
      <c r="P3916" t="n">
        <v>0</v>
      </c>
      <c r="Q3916" t="n">
        <v>0</v>
      </c>
      <c r="R3916" s="2" t="inlineStr"/>
    </row>
    <row r="3917" ht="15" customHeight="1">
      <c r="A3917" t="inlineStr">
        <is>
          <t>A 40916-2025</t>
        </is>
      </c>
      <c r="B3917" s="1" t="n">
        <v>45897</v>
      </c>
      <c r="C3917" s="1" t="n">
        <v>46075</v>
      </c>
      <c r="D3917" t="inlineStr">
        <is>
          <t>VÄSTERBOTTENS LÄN</t>
        </is>
      </c>
      <c r="E3917" t="inlineStr">
        <is>
          <t>BJURHOLM</t>
        </is>
      </c>
      <c r="F3917" t="inlineStr">
        <is>
          <t>SCA</t>
        </is>
      </c>
      <c r="G3917" t="n">
        <v>48.1</v>
      </c>
      <c r="H3917" t="n">
        <v>0</v>
      </c>
      <c r="I3917" t="n">
        <v>0</v>
      </c>
      <c r="J3917" t="n">
        <v>0</v>
      </c>
      <c r="K3917" t="n">
        <v>0</v>
      </c>
      <c r="L3917" t="n">
        <v>0</v>
      </c>
      <c r="M3917" t="n">
        <v>0</v>
      </c>
      <c r="N3917" t="n">
        <v>0</v>
      </c>
      <c r="O3917" t="n">
        <v>0</v>
      </c>
      <c r="P3917" t="n">
        <v>0</v>
      </c>
      <c r="Q3917" t="n">
        <v>0</v>
      </c>
      <c r="R3917" s="2" t="inlineStr"/>
    </row>
    <row r="3918" ht="15" customHeight="1">
      <c r="A3918" t="inlineStr">
        <is>
          <t>A 31512-2025</t>
        </is>
      </c>
      <c r="B3918" s="1" t="n">
        <v>45833.5987962963</v>
      </c>
      <c r="C3918" s="1" t="n">
        <v>46075</v>
      </c>
      <c r="D3918" t="inlineStr">
        <is>
          <t>VÄSTERBOTTENS LÄN</t>
        </is>
      </c>
      <c r="E3918" t="inlineStr">
        <is>
          <t>NORSJÖ</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40715-2025</t>
        </is>
      </c>
      <c r="B3919" s="1" t="n">
        <v>45897</v>
      </c>
      <c r="C3919" s="1" t="n">
        <v>46075</v>
      </c>
      <c r="D3919" t="inlineStr">
        <is>
          <t>VÄSTERBOTTENS LÄN</t>
        </is>
      </c>
      <c r="E3919" t="inlineStr">
        <is>
          <t>BJURHOLM</t>
        </is>
      </c>
      <c r="F3919" t="inlineStr">
        <is>
          <t>SCA</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40736-2025</t>
        </is>
      </c>
      <c r="B3920" s="1" t="n">
        <v>45897.36565972222</v>
      </c>
      <c r="C3920" s="1" t="n">
        <v>46075</v>
      </c>
      <c r="D3920" t="inlineStr">
        <is>
          <t>VÄSTERBOTTENS LÄN</t>
        </is>
      </c>
      <c r="E3920" t="inlineStr">
        <is>
          <t>UMEÅ</t>
        </is>
      </c>
      <c r="G3920" t="n">
        <v>4.5</v>
      </c>
      <c r="H3920" t="n">
        <v>0</v>
      </c>
      <c r="I3920" t="n">
        <v>0</v>
      </c>
      <c r="J3920" t="n">
        <v>0</v>
      </c>
      <c r="K3920" t="n">
        <v>0</v>
      </c>
      <c r="L3920" t="n">
        <v>0</v>
      </c>
      <c r="M3920" t="n">
        <v>0</v>
      </c>
      <c r="N3920" t="n">
        <v>0</v>
      </c>
      <c r="O3920" t="n">
        <v>0</v>
      </c>
      <c r="P3920" t="n">
        <v>0</v>
      </c>
      <c r="Q3920" t="n">
        <v>0</v>
      </c>
      <c r="R3920" s="2" t="inlineStr"/>
    </row>
    <row r="3921" ht="15" customHeight="1">
      <c r="A3921" t="inlineStr">
        <is>
          <t>A 31241-2025</t>
        </is>
      </c>
      <c r="B3921" s="1" t="n">
        <v>45832.86366898148</v>
      </c>
      <c r="C3921" s="1" t="n">
        <v>46075</v>
      </c>
      <c r="D3921" t="inlineStr">
        <is>
          <t>VÄSTERBOTTENS LÄN</t>
        </is>
      </c>
      <c r="E3921" t="inlineStr">
        <is>
          <t>UMEÅ</t>
        </is>
      </c>
      <c r="F3921" t="inlineStr">
        <is>
          <t>Holmen skog AB</t>
        </is>
      </c>
      <c r="G3921" t="n">
        <v>3.4</v>
      </c>
      <c r="H3921" t="n">
        <v>0</v>
      </c>
      <c r="I3921" t="n">
        <v>0</v>
      </c>
      <c r="J3921" t="n">
        <v>0</v>
      </c>
      <c r="K3921" t="n">
        <v>0</v>
      </c>
      <c r="L3921" t="n">
        <v>0</v>
      </c>
      <c r="M3921" t="n">
        <v>0</v>
      </c>
      <c r="N3921" t="n">
        <v>0</v>
      </c>
      <c r="O3921" t="n">
        <v>0</v>
      </c>
      <c r="P3921" t="n">
        <v>0</v>
      </c>
      <c r="Q3921" t="n">
        <v>0</v>
      </c>
      <c r="R3921" s="2" t="inlineStr"/>
    </row>
    <row r="3922" ht="15" customHeight="1">
      <c r="A3922" t="inlineStr">
        <is>
          <t>A 40635-2025</t>
        </is>
      </c>
      <c r="B3922" s="1" t="n">
        <v>45896.60385416666</v>
      </c>
      <c r="C3922" s="1" t="n">
        <v>46075</v>
      </c>
      <c r="D3922" t="inlineStr">
        <is>
          <t>VÄSTERBOTTENS LÄN</t>
        </is>
      </c>
      <c r="E3922" t="inlineStr">
        <is>
          <t>LYCKSELE</t>
        </is>
      </c>
      <c r="G3922" t="n">
        <v>6.7</v>
      </c>
      <c r="H3922" t="n">
        <v>0</v>
      </c>
      <c r="I3922" t="n">
        <v>0</v>
      </c>
      <c r="J3922" t="n">
        <v>0</v>
      </c>
      <c r="K3922" t="n">
        <v>0</v>
      </c>
      <c r="L3922" t="n">
        <v>0</v>
      </c>
      <c r="M3922" t="n">
        <v>0</v>
      </c>
      <c r="N3922" t="n">
        <v>0</v>
      </c>
      <c r="O3922" t="n">
        <v>0</v>
      </c>
      <c r="P3922" t="n">
        <v>0</v>
      </c>
      <c r="Q3922" t="n">
        <v>0</v>
      </c>
      <c r="R3922" s="2" t="inlineStr"/>
    </row>
    <row r="3923" ht="15" customHeight="1">
      <c r="A3923" t="inlineStr">
        <is>
          <t>A 19648-2021</t>
        </is>
      </c>
      <c r="B3923" s="1" t="n">
        <v>44312</v>
      </c>
      <c r="C3923" s="1" t="n">
        <v>46075</v>
      </c>
      <c r="D3923" t="inlineStr">
        <is>
          <t>VÄSTERBOTTENS LÄN</t>
        </is>
      </c>
      <c r="E3923" t="inlineStr">
        <is>
          <t>STORUMAN</t>
        </is>
      </c>
      <c r="G3923" t="n">
        <v>4.1</v>
      </c>
      <c r="H3923" t="n">
        <v>0</v>
      </c>
      <c r="I3923" t="n">
        <v>0</v>
      </c>
      <c r="J3923" t="n">
        <v>0</v>
      </c>
      <c r="K3923" t="n">
        <v>0</v>
      </c>
      <c r="L3923" t="n">
        <v>0</v>
      </c>
      <c r="M3923" t="n">
        <v>0</v>
      </c>
      <c r="N3923" t="n">
        <v>0</v>
      </c>
      <c r="O3923" t="n">
        <v>0</v>
      </c>
      <c r="P3923" t="n">
        <v>0</v>
      </c>
      <c r="Q3923" t="n">
        <v>0</v>
      </c>
      <c r="R3923" s="2" t="inlineStr"/>
    </row>
    <row r="3924" ht="15" customHeight="1">
      <c r="A3924" t="inlineStr">
        <is>
          <t>A 40600-2025</t>
        </is>
      </c>
      <c r="B3924" s="1" t="n">
        <v>45896.55915509259</v>
      </c>
      <c r="C3924" s="1" t="n">
        <v>46075</v>
      </c>
      <c r="D3924" t="inlineStr">
        <is>
          <t>VÄSTERBOTTENS LÄN</t>
        </is>
      </c>
      <c r="E3924" t="inlineStr">
        <is>
          <t>VINDELN</t>
        </is>
      </c>
      <c r="G3924" t="n">
        <v>4</v>
      </c>
      <c r="H3924" t="n">
        <v>0</v>
      </c>
      <c r="I3924" t="n">
        <v>0</v>
      </c>
      <c r="J3924" t="n">
        <v>0</v>
      </c>
      <c r="K3924" t="n">
        <v>0</v>
      </c>
      <c r="L3924" t="n">
        <v>0</v>
      </c>
      <c r="M3924" t="n">
        <v>0</v>
      </c>
      <c r="N3924" t="n">
        <v>0</v>
      </c>
      <c r="O3924" t="n">
        <v>0</v>
      </c>
      <c r="P3924" t="n">
        <v>0</v>
      </c>
      <c r="Q3924" t="n">
        <v>0</v>
      </c>
      <c r="R3924" s="2" t="inlineStr"/>
    </row>
    <row r="3925" ht="15" customHeight="1">
      <c r="A3925" t="inlineStr">
        <is>
          <t>A 40603-2025</t>
        </is>
      </c>
      <c r="B3925" s="1" t="n">
        <v>45896.56402777778</v>
      </c>
      <c r="C3925" s="1" t="n">
        <v>46075</v>
      </c>
      <c r="D3925" t="inlineStr">
        <is>
          <t>VÄSTERBOTTENS LÄN</t>
        </is>
      </c>
      <c r="E3925" t="inlineStr">
        <is>
          <t>VINDELN</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40874-2025</t>
        </is>
      </c>
      <c r="B3926" s="1" t="n">
        <v>45897.57534722222</v>
      </c>
      <c r="C3926" s="1" t="n">
        <v>46075</v>
      </c>
      <c r="D3926" t="inlineStr">
        <is>
          <t>VÄSTERBOTTENS LÄN</t>
        </is>
      </c>
      <c r="E3926" t="inlineStr">
        <is>
          <t>VINDELN</t>
        </is>
      </c>
      <c r="F3926" t="inlineStr">
        <is>
          <t>Holmen skog AB</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30743-2023</t>
        </is>
      </c>
      <c r="B3927" s="1" t="n">
        <v>45112.6362037037</v>
      </c>
      <c r="C3927" s="1" t="n">
        <v>46075</v>
      </c>
      <c r="D3927" t="inlineStr">
        <is>
          <t>VÄSTERBOTTENS LÄN</t>
        </is>
      </c>
      <c r="E3927" t="inlineStr">
        <is>
          <t>SKELLEFTEÅ</t>
        </is>
      </c>
      <c r="F3927" t="inlineStr">
        <is>
          <t>Sveaskog</t>
        </is>
      </c>
      <c r="G3927" t="n">
        <v>5.7</v>
      </c>
      <c r="H3927" t="n">
        <v>0</v>
      </c>
      <c r="I3927" t="n">
        <v>0</v>
      </c>
      <c r="J3927" t="n">
        <v>0</v>
      </c>
      <c r="K3927" t="n">
        <v>0</v>
      </c>
      <c r="L3927" t="n">
        <v>0</v>
      </c>
      <c r="M3927" t="n">
        <v>0</v>
      </c>
      <c r="N3927" t="n">
        <v>0</v>
      </c>
      <c r="O3927" t="n">
        <v>0</v>
      </c>
      <c r="P3927" t="n">
        <v>0</v>
      </c>
      <c r="Q3927" t="n">
        <v>0</v>
      </c>
      <c r="R3927" s="2" t="inlineStr"/>
    </row>
    <row r="3928" ht="15" customHeight="1">
      <c r="A3928" t="inlineStr">
        <is>
          <t>A 10655-2024</t>
        </is>
      </c>
      <c r="B3928" s="1" t="n">
        <v>45368</v>
      </c>
      <c r="C3928" s="1" t="n">
        <v>46075</v>
      </c>
      <c r="D3928" t="inlineStr">
        <is>
          <t>VÄSTERBOTTENS LÄN</t>
        </is>
      </c>
      <c r="E3928" t="inlineStr">
        <is>
          <t>SKELLEFTEÅ</t>
        </is>
      </c>
      <c r="G3928" t="n">
        <v>3.4</v>
      </c>
      <c r="H3928" t="n">
        <v>0</v>
      </c>
      <c r="I3928" t="n">
        <v>0</v>
      </c>
      <c r="J3928" t="n">
        <v>0</v>
      </c>
      <c r="K3928" t="n">
        <v>0</v>
      </c>
      <c r="L3928" t="n">
        <v>0</v>
      </c>
      <c r="M3928" t="n">
        <v>0</v>
      </c>
      <c r="N3928" t="n">
        <v>0</v>
      </c>
      <c r="O3928" t="n">
        <v>0</v>
      </c>
      <c r="P3928" t="n">
        <v>0</v>
      </c>
      <c r="Q3928" t="n">
        <v>0</v>
      </c>
      <c r="R3928" s="2" t="inlineStr"/>
    </row>
    <row r="3929" ht="15" customHeight="1">
      <c r="A3929" t="inlineStr">
        <is>
          <t>A 40532-2025</t>
        </is>
      </c>
      <c r="B3929" s="1" t="n">
        <v>45896.39108796296</v>
      </c>
      <c r="C3929" s="1" t="n">
        <v>46075</v>
      </c>
      <c r="D3929" t="inlineStr">
        <is>
          <t>VÄSTERBOTTENS LÄN</t>
        </is>
      </c>
      <c r="E3929" t="inlineStr">
        <is>
          <t>VINDELN</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17365-2024</t>
        </is>
      </c>
      <c r="B3930" s="1" t="n">
        <v>45414</v>
      </c>
      <c r="C3930" s="1" t="n">
        <v>46075</v>
      </c>
      <c r="D3930" t="inlineStr">
        <is>
          <t>VÄSTERBOTTENS LÄN</t>
        </is>
      </c>
      <c r="E3930" t="inlineStr">
        <is>
          <t>SORSELE</t>
        </is>
      </c>
      <c r="G3930" t="n">
        <v>61</v>
      </c>
      <c r="H3930" t="n">
        <v>0</v>
      </c>
      <c r="I3930" t="n">
        <v>0</v>
      </c>
      <c r="J3930" t="n">
        <v>0</v>
      </c>
      <c r="K3930" t="n">
        <v>0</v>
      </c>
      <c r="L3930" t="n">
        <v>0</v>
      </c>
      <c r="M3930" t="n">
        <v>0</v>
      </c>
      <c r="N3930" t="n">
        <v>0</v>
      </c>
      <c r="O3930" t="n">
        <v>0</v>
      </c>
      <c r="P3930" t="n">
        <v>0</v>
      </c>
      <c r="Q3930" t="n">
        <v>0</v>
      </c>
      <c r="R3930" s="2" t="inlineStr"/>
    </row>
    <row r="3931" ht="15" customHeight="1">
      <c r="A3931" t="inlineStr">
        <is>
          <t>A 17547-2025</t>
        </is>
      </c>
      <c r="B3931" s="1" t="n">
        <v>45757.60878472222</v>
      </c>
      <c r="C3931" s="1" t="n">
        <v>46075</v>
      </c>
      <c r="D3931" t="inlineStr">
        <is>
          <t>VÄSTERBOTTENS LÄN</t>
        </is>
      </c>
      <c r="E3931" t="inlineStr">
        <is>
          <t>ROBERTSFORS</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26437-2025</t>
        </is>
      </c>
      <c r="B3932" s="1" t="n">
        <v>45807.40113425926</v>
      </c>
      <c r="C3932" s="1" t="n">
        <v>46075</v>
      </c>
      <c r="D3932" t="inlineStr">
        <is>
          <t>VÄSTERBOTTENS LÄN</t>
        </is>
      </c>
      <c r="E3932" t="inlineStr">
        <is>
          <t>ROBERTSFORS</t>
        </is>
      </c>
      <c r="G3932" t="n">
        <v>6.1</v>
      </c>
      <c r="H3932" t="n">
        <v>0</v>
      </c>
      <c r="I3932" t="n">
        <v>0</v>
      </c>
      <c r="J3932" t="n">
        <v>0</v>
      </c>
      <c r="K3932" t="n">
        <v>0</v>
      </c>
      <c r="L3932" t="n">
        <v>0</v>
      </c>
      <c r="M3932" t="n">
        <v>0</v>
      </c>
      <c r="N3932" t="n">
        <v>0</v>
      </c>
      <c r="O3932" t="n">
        <v>0</v>
      </c>
      <c r="P3932" t="n">
        <v>0</v>
      </c>
      <c r="Q3932" t="n">
        <v>0</v>
      </c>
      <c r="R3932" s="2" t="inlineStr"/>
    </row>
    <row r="3933" ht="15" customHeight="1">
      <c r="A3933" t="inlineStr">
        <is>
          <t>A 9026-2024</t>
        </is>
      </c>
      <c r="B3933" s="1" t="n">
        <v>45356</v>
      </c>
      <c r="C3933" s="1" t="n">
        <v>46075</v>
      </c>
      <c r="D3933" t="inlineStr">
        <is>
          <t>VÄSTERBOTTENS LÄN</t>
        </is>
      </c>
      <c r="E3933" t="inlineStr">
        <is>
          <t>VÄNNÄS</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16355-2025</t>
        </is>
      </c>
      <c r="B3934" s="1" t="n">
        <v>45751.38821759259</v>
      </c>
      <c r="C3934" s="1" t="n">
        <v>46075</v>
      </c>
      <c r="D3934" t="inlineStr">
        <is>
          <t>VÄSTERBOTTENS LÄN</t>
        </is>
      </c>
      <c r="E3934" t="inlineStr">
        <is>
          <t>SKELLEFTEÅ</t>
        </is>
      </c>
      <c r="G3934" t="n">
        <v>3.1</v>
      </c>
      <c r="H3934" t="n">
        <v>0</v>
      </c>
      <c r="I3934" t="n">
        <v>0</v>
      </c>
      <c r="J3934" t="n">
        <v>0</v>
      </c>
      <c r="K3934" t="n">
        <v>0</v>
      </c>
      <c r="L3934" t="n">
        <v>0</v>
      </c>
      <c r="M3934" t="n">
        <v>0</v>
      </c>
      <c r="N3934" t="n">
        <v>0</v>
      </c>
      <c r="O3934" t="n">
        <v>0</v>
      </c>
      <c r="P3934" t="n">
        <v>0</v>
      </c>
      <c r="Q3934" t="n">
        <v>0</v>
      </c>
      <c r="R3934" s="2" t="inlineStr"/>
    </row>
    <row r="3935" ht="15" customHeight="1">
      <c r="A3935" t="inlineStr">
        <is>
          <t>A 30894-2025</t>
        </is>
      </c>
      <c r="B3935" s="1" t="n">
        <v>45832.3468287037</v>
      </c>
      <c r="C3935" s="1" t="n">
        <v>46075</v>
      </c>
      <c r="D3935" t="inlineStr">
        <is>
          <t>VÄSTERBOTTENS LÄN</t>
        </is>
      </c>
      <c r="E3935" t="inlineStr">
        <is>
          <t>NORSJÖ</t>
        </is>
      </c>
      <c r="G3935" t="n">
        <v>7.1</v>
      </c>
      <c r="H3935" t="n">
        <v>0</v>
      </c>
      <c r="I3935" t="n">
        <v>0</v>
      </c>
      <c r="J3935" t="n">
        <v>0</v>
      </c>
      <c r="K3935" t="n">
        <v>0</v>
      </c>
      <c r="L3935" t="n">
        <v>0</v>
      </c>
      <c r="M3935" t="n">
        <v>0</v>
      </c>
      <c r="N3935" t="n">
        <v>0</v>
      </c>
      <c r="O3935" t="n">
        <v>0</v>
      </c>
      <c r="P3935" t="n">
        <v>0</v>
      </c>
      <c r="Q3935" t="n">
        <v>0</v>
      </c>
      <c r="R3935" s="2" t="inlineStr"/>
    </row>
    <row r="3936" ht="15" customHeight="1">
      <c r="A3936" t="inlineStr">
        <is>
          <t>A 30900-2025</t>
        </is>
      </c>
      <c r="B3936" s="1" t="n">
        <v>45832.35804398148</v>
      </c>
      <c r="C3936" s="1" t="n">
        <v>46075</v>
      </c>
      <c r="D3936" t="inlineStr">
        <is>
          <t>VÄSTERBOTTENS LÄN</t>
        </is>
      </c>
      <c r="E3936" t="inlineStr">
        <is>
          <t>VINDELN</t>
        </is>
      </c>
      <c r="F3936" t="inlineStr">
        <is>
          <t>Holmen skog AB</t>
        </is>
      </c>
      <c r="G3936" t="n">
        <v>3.7</v>
      </c>
      <c r="H3936" t="n">
        <v>0</v>
      </c>
      <c r="I3936" t="n">
        <v>0</v>
      </c>
      <c r="J3936" t="n">
        <v>0</v>
      </c>
      <c r="K3936" t="n">
        <v>0</v>
      </c>
      <c r="L3936" t="n">
        <v>0</v>
      </c>
      <c r="M3936" t="n">
        <v>0</v>
      </c>
      <c r="N3936" t="n">
        <v>0</v>
      </c>
      <c r="O3936" t="n">
        <v>0</v>
      </c>
      <c r="P3936" t="n">
        <v>0</v>
      </c>
      <c r="Q3936" t="n">
        <v>0</v>
      </c>
      <c r="R3936" s="2" t="inlineStr"/>
    </row>
    <row r="3937" ht="15" customHeight="1">
      <c r="A3937" t="inlineStr">
        <is>
          <t>A 40922-2025</t>
        </is>
      </c>
      <c r="B3937" s="1" t="n">
        <v>45897.63563657407</v>
      </c>
      <c r="C3937" s="1" t="n">
        <v>46075</v>
      </c>
      <c r="D3937" t="inlineStr">
        <is>
          <t>VÄSTERBOTTENS LÄN</t>
        </is>
      </c>
      <c r="E3937" t="inlineStr">
        <is>
          <t>ÅSELE</t>
        </is>
      </c>
      <c r="F3937" t="inlineStr">
        <is>
          <t>Holmen skog AB</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6228-2025</t>
        </is>
      </c>
      <c r="B3938" s="1" t="n">
        <v>45697</v>
      </c>
      <c r="C3938" s="1" t="n">
        <v>46075</v>
      </c>
      <c r="D3938" t="inlineStr">
        <is>
          <t>VÄSTERBOTTENS LÄN</t>
        </is>
      </c>
      <c r="E3938" t="inlineStr">
        <is>
          <t>SORSELE</t>
        </is>
      </c>
      <c r="G3938" t="n">
        <v>5.8</v>
      </c>
      <c r="H3938" t="n">
        <v>0</v>
      </c>
      <c r="I3938" t="n">
        <v>0</v>
      </c>
      <c r="J3938" t="n">
        <v>0</v>
      </c>
      <c r="K3938" t="n">
        <v>0</v>
      </c>
      <c r="L3938" t="n">
        <v>0</v>
      </c>
      <c r="M3938" t="n">
        <v>0</v>
      </c>
      <c r="N3938" t="n">
        <v>0</v>
      </c>
      <c r="O3938" t="n">
        <v>0</v>
      </c>
      <c r="P3938" t="n">
        <v>0</v>
      </c>
      <c r="Q3938" t="n">
        <v>0</v>
      </c>
      <c r="R3938" s="2" t="inlineStr"/>
    </row>
    <row r="3939" ht="15" customHeight="1">
      <c r="A3939" t="inlineStr">
        <is>
          <t>A 37429-2022</t>
        </is>
      </c>
      <c r="B3939" s="1" t="n">
        <v>44809</v>
      </c>
      <c r="C3939" s="1" t="n">
        <v>46075</v>
      </c>
      <c r="D3939" t="inlineStr">
        <is>
          <t>VÄSTERBOTTENS LÄN</t>
        </is>
      </c>
      <c r="E3939" t="inlineStr">
        <is>
          <t>STORUMAN</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30940-2025</t>
        </is>
      </c>
      <c r="B3940" s="1" t="n">
        <v>45832</v>
      </c>
      <c r="C3940" s="1" t="n">
        <v>46075</v>
      </c>
      <c r="D3940" t="inlineStr">
        <is>
          <t>VÄSTERBOTTENS LÄN</t>
        </is>
      </c>
      <c r="E3940" t="inlineStr">
        <is>
          <t>ÅSELE</t>
        </is>
      </c>
      <c r="G3940" t="n">
        <v>10.1</v>
      </c>
      <c r="H3940" t="n">
        <v>0</v>
      </c>
      <c r="I3940" t="n">
        <v>0</v>
      </c>
      <c r="J3940" t="n">
        <v>0</v>
      </c>
      <c r="K3940" t="n">
        <v>0</v>
      </c>
      <c r="L3940" t="n">
        <v>0</v>
      </c>
      <c r="M3940" t="n">
        <v>0</v>
      </c>
      <c r="N3940" t="n">
        <v>0</v>
      </c>
      <c r="O3940" t="n">
        <v>0</v>
      </c>
      <c r="P3940" t="n">
        <v>0</v>
      </c>
      <c r="Q3940" t="n">
        <v>0</v>
      </c>
      <c r="R3940" s="2" t="inlineStr"/>
    </row>
    <row r="3941" ht="15" customHeight="1">
      <c r="A3941" t="inlineStr">
        <is>
          <t>A 31520-2025</t>
        </is>
      </c>
      <c r="B3941" s="1" t="n">
        <v>45833.60758101852</v>
      </c>
      <c r="C3941" s="1" t="n">
        <v>46075</v>
      </c>
      <c r="D3941" t="inlineStr">
        <is>
          <t>VÄSTERBOTTENS LÄN</t>
        </is>
      </c>
      <c r="E3941" t="inlineStr">
        <is>
          <t>SKELLEFTEÅ</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7475-2025</t>
        </is>
      </c>
      <c r="B3942" s="1" t="n">
        <v>45705.46724537037</v>
      </c>
      <c r="C3942" s="1" t="n">
        <v>46075</v>
      </c>
      <c r="D3942" t="inlineStr">
        <is>
          <t>VÄSTERBOTTENS LÄN</t>
        </is>
      </c>
      <c r="E3942" t="inlineStr">
        <is>
          <t>ÅSELE</t>
        </is>
      </c>
      <c r="G3942" t="n">
        <v>4.4</v>
      </c>
      <c r="H3942" t="n">
        <v>0</v>
      </c>
      <c r="I3942" t="n">
        <v>0</v>
      </c>
      <c r="J3942" t="n">
        <v>0</v>
      </c>
      <c r="K3942" t="n">
        <v>0</v>
      </c>
      <c r="L3942" t="n">
        <v>0</v>
      </c>
      <c r="M3942" t="n">
        <v>0</v>
      </c>
      <c r="N3942" t="n">
        <v>0</v>
      </c>
      <c r="O3942" t="n">
        <v>0</v>
      </c>
      <c r="P3942" t="n">
        <v>0</v>
      </c>
      <c r="Q3942" t="n">
        <v>0</v>
      </c>
      <c r="R3942" s="2" t="inlineStr"/>
    </row>
    <row r="3943" ht="15" customHeight="1">
      <c r="A3943" t="inlineStr">
        <is>
          <t>A 31219-2025</t>
        </is>
      </c>
      <c r="B3943" s="1" t="n">
        <v>45832</v>
      </c>
      <c r="C3943" s="1" t="n">
        <v>46075</v>
      </c>
      <c r="D3943" t="inlineStr">
        <is>
          <t>VÄSTERBOTTENS LÄN</t>
        </is>
      </c>
      <c r="E3943" t="inlineStr">
        <is>
          <t>ÅSELE</t>
        </is>
      </c>
      <c r="G3943" t="n">
        <v>3.1</v>
      </c>
      <c r="H3943" t="n">
        <v>0</v>
      </c>
      <c r="I3943" t="n">
        <v>0</v>
      </c>
      <c r="J3943" t="n">
        <v>0</v>
      </c>
      <c r="K3943" t="n">
        <v>0</v>
      </c>
      <c r="L3943" t="n">
        <v>0</v>
      </c>
      <c r="M3943" t="n">
        <v>0</v>
      </c>
      <c r="N3943" t="n">
        <v>0</v>
      </c>
      <c r="O3943" t="n">
        <v>0</v>
      </c>
      <c r="P3943" t="n">
        <v>0</v>
      </c>
      <c r="Q3943" t="n">
        <v>0</v>
      </c>
      <c r="R3943" s="2" t="inlineStr"/>
    </row>
    <row r="3944" ht="15" customHeight="1">
      <c r="A3944" t="inlineStr">
        <is>
          <t>A 31251-2025</t>
        </is>
      </c>
      <c r="B3944" s="1" t="n">
        <v>45832.98082175926</v>
      </c>
      <c r="C3944" s="1" t="n">
        <v>46075</v>
      </c>
      <c r="D3944" t="inlineStr">
        <is>
          <t>VÄSTERBOTTENS LÄN</t>
        </is>
      </c>
      <c r="E3944" t="inlineStr">
        <is>
          <t>NORDMALING</t>
        </is>
      </c>
      <c r="G3944" t="n">
        <v>5.3</v>
      </c>
      <c r="H3944" t="n">
        <v>0</v>
      </c>
      <c r="I3944" t="n">
        <v>0</v>
      </c>
      <c r="J3944" t="n">
        <v>0</v>
      </c>
      <c r="K3944" t="n">
        <v>0</v>
      </c>
      <c r="L3944" t="n">
        <v>0</v>
      </c>
      <c r="M3944" t="n">
        <v>0</v>
      </c>
      <c r="N3944" t="n">
        <v>0</v>
      </c>
      <c r="O3944" t="n">
        <v>0</v>
      </c>
      <c r="P3944" t="n">
        <v>0</v>
      </c>
      <c r="Q3944" t="n">
        <v>0</v>
      </c>
      <c r="R3944" s="2" t="inlineStr"/>
    </row>
    <row r="3945" ht="15" customHeight="1">
      <c r="A3945" t="inlineStr">
        <is>
          <t>A 31257-2025</t>
        </is>
      </c>
      <c r="B3945" s="1" t="n">
        <v>45833.32091435185</v>
      </c>
      <c r="C3945" s="1" t="n">
        <v>46075</v>
      </c>
      <c r="D3945" t="inlineStr">
        <is>
          <t>VÄSTERBOTTENS LÄN</t>
        </is>
      </c>
      <c r="E3945" t="inlineStr">
        <is>
          <t>SKELLEFTEÅ</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31287-2025</t>
        </is>
      </c>
      <c r="B3946" s="1" t="n">
        <v>45833.35861111111</v>
      </c>
      <c r="C3946" s="1" t="n">
        <v>46075</v>
      </c>
      <c r="D3946" t="inlineStr">
        <is>
          <t>VÄSTERBOTTENS LÄN</t>
        </is>
      </c>
      <c r="E3946" t="inlineStr">
        <is>
          <t>ROBERTSFORS</t>
        </is>
      </c>
      <c r="G3946" t="n">
        <v>3.1</v>
      </c>
      <c r="H3946" t="n">
        <v>0</v>
      </c>
      <c r="I3946" t="n">
        <v>0</v>
      </c>
      <c r="J3946" t="n">
        <v>0</v>
      </c>
      <c r="K3946" t="n">
        <v>0</v>
      </c>
      <c r="L3946" t="n">
        <v>0</v>
      </c>
      <c r="M3946" t="n">
        <v>0</v>
      </c>
      <c r="N3946" t="n">
        <v>0</v>
      </c>
      <c r="O3946" t="n">
        <v>0</v>
      </c>
      <c r="P3946" t="n">
        <v>0</v>
      </c>
      <c r="Q3946" t="n">
        <v>0</v>
      </c>
      <c r="R3946" s="2" t="inlineStr"/>
    </row>
    <row r="3947" ht="15" customHeight="1">
      <c r="A3947" t="inlineStr">
        <is>
          <t>A 40608-2025</t>
        </is>
      </c>
      <c r="B3947" s="1" t="n">
        <v>45896.57358796296</v>
      </c>
      <c r="C3947" s="1" t="n">
        <v>46075</v>
      </c>
      <c r="D3947" t="inlineStr">
        <is>
          <t>VÄSTERBOTTENS LÄN</t>
        </is>
      </c>
      <c r="E3947" t="inlineStr">
        <is>
          <t>NORDMALING</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41360-2023</t>
        </is>
      </c>
      <c r="B3948" s="1" t="n">
        <v>45174</v>
      </c>
      <c r="C3948" s="1" t="n">
        <v>46075</v>
      </c>
      <c r="D3948" t="inlineStr">
        <is>
          <t>VÄSTERBOTTENS LÄN</t>
        </is>
      </c>
      <c r="E3948" t="inlineStr">
        <is>
          <t>MALÅ</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41384-2023</t>
        </is>
      </c>
      <c r="B3949" s="1" t="n">
        <v>45174</v>
      </c>
      <c r="C3949" s="1" t="n">
        <v>46075</v>
      </c>
      <c r="D3949" t="inlineStr">
        <is>
          <t>VÄSTERBOTTENS LÄN</t>
        </is>
      </c>
      <c r="E3949" t="inlineStr">
        <is>
          <t>MALÅ</t>
        </is>
      </c>
      <c r="G3949" t="n">
        <v>3.9</v>
      </c>
      <c r="H3949" t="n">
        <v>0</v>
      </c>
      <c r="I3949" t="n">
        <v>0</v>
      </c>
      <c r="J3949" t="n">
        <v>0</v>
      </c>
      <c r="K3949" t="n">
        <v>0</v>
      </c>
      <c r="L3949" t="n">
        <v>0</v>
      </c>
      <c r="M3949" t="n">
        <v>0</v>
      </c>
      <c r="N3949" t="n">
        <v>0</v>
      </c>
      <c r="O3949" t="n">
        <v>0</v>
      </c>
      <c r="P3949" t="n">
        <v>0</v>
      </c>
      <c r="Q3949" t="n">
        <v>0</v>
      </c>
      <c r="R3949" s="2" t="inlineStr"/>
    </row>
    <row r="3950" ht="15" customHeight="1">
      <c r="A3950" t="inlineStr">
        <is>
          <t>A 41408-2023</t>
        </is>
      </c>
      <c r="B3950" s="1" t="n">
        <v>45174</v>
      </c>
      <c r="C3950" s="1" t="n">
        <v>46075</v>
      </c>
      <c r="D3950" t="inlineStr">
        <is>
          <t>VÄSTERBOTTENS LÄN</t>
        </is>
      </c>
      <c r="E3950" t="inlineStr">
        <is>
          <t>ÅSELE</t>
        </is>
      </c>
      <c r="F3950" t="inlineStr">
        <is>
          <t>SCA</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28955-2024</t>
        </is>
      </c>
      <c r="B3951" s="1" t="n">
        <v>45481</v>
      </c>
      <c r="C3951" s="1" t="n">
        <v>46075</v>
      </c>
      <c r="D3951" t="inlineStr">
        <is>
          <t>VÄSTERBOTTENS LÄN</t>
        </is>
      </c>
      <c r="E3951" t="inlineStr">
        <is>
          <t>ÅSELE</t>
        </is>
      </c>
      <c r="F3951" t="inlineStr">
        <is>
          <t>Sveaskog</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28960-2024</t>
        </is>
      </c>
      <c r="B3952" s="1" t="n">
        <v>45481</v>
      </c>
      <c r="C3952" s="1" t="n">
        <v>46075</v>
      </c>
      <c r="D3952" t="inlineStr">
        <is>
          <t>VÄSTERBOTTENS LÄN</t>
        </is>
      </c>
      <c r="E3952" t="inlineStr">
        <is>
          <t>ÅSELE</t>
        </is>
      </c>
      <c r="F3952" t="inlineStr">
        <is>
          <t>Sveaskog</t>
        </is>
      </c>
      <c r="G3952" t="n">
        <v>4.3</v>
      </c>
      <c r="H3952" t="n">
        <v>0</v>
      </c>
      <c r="I3952" t="n">
        <v>0</v>
      </c>
      <c r="J3952" t="n">
        <v>0</v>
      </c>
      <c r="K3952" t="n">
        <v>0</v>
      </c>
      <c r="L3952" t="n">
        <v>0</v>
      </c>
      <c r="M3952" t="n">
        <v>0</v>
      </c>
      <c r="N3952" t="n">
        <v>0</v>
      </c>
      <c r="O3952" t="n">
        <v>0</v>
      </c>
      <c r="P3952" t="n">
        <v>0</v>
      </c>
      <c r="Q3952" t="n">
        <v>0</v>
      </c>
      <c r="R3952" s="2" t="inlineStr"/>
    </row>
    <row r="3953" ht="15" customHeight="1">
      <c r="A3953" t="inlineStr">
        <is>
          <t>A 28961-2024</t>
        </is>
      </c>
      <c r="B3953" s="1" t="n">
        <v>45481</v>
      </c>
      <c r="C3953" s="1" t="n">
        <v>46075</v>
      </c>
      <c r="D3953" t="inlineStr">
        <is>
          <t>VÄSTERBOTTENS LÄN</t>
        </is>
      </c>
      <c r="E3953" t="inlineStr">
        <is>
          <t>ÅSELE</t>
        </is>
      </c>
      <c r="F3953" t="inlineStr">
        <is>
          <t>Sveaskog</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40638-2025</t>
        </is>
      </c>
      <c r="B3954" s="1" t="n">
        <v>45896.60637731481</v>
      </c>
      <c r="C3954" s="1" t="n">
        <v>46075</v>
      </c>
      <c r="D3954" t="inlineStr">
        <is>
          <t>VÄSTERBOTTENS LÄN</t>
        </is>
      </c>
      <c r="E3954" t="inlineStr">
        <is>
          <t>ROBERTSFORS</t>
        </is>
      </c>
      <c r="F3954" t="inlineStr">
        <is>
          <t>Holmen skog AB</t>
        </is>
      </c>
      <c r="G3954" t="n">
        <v>5.2</v>
      </c>
      <c r="H3954" t="n">
        <v>0</v>
      </c>
      <c r="I3954" t="n">
        <v>0</v>
      </c>
      <c r="J3954" t="n">
        <v>0</v>
      </c>
      <c r="K3954" t="n">
        <v>0</v>
      </c>
      <c r="L3954" t="n">
        <v>0</v>
      </c>
      <c r="M3954" t="n">
        <v>0</v>
      </c>
      <c r="N3954" t="n">
        <v>0</v>
      </c>
      <c r="O3954" t="n">
        <v>0</v>
      </c>
      <c r="P3954" t="n">
        <v>0</v>
      </c>
      <c r="Q3954" t="n">
        <v>0</v>
      </c>
      <c r="R3954" s="2" t="inlineStr"/>
    </row>
    <row r="3955" ht="15" customHeight="1">
      <c r="A3955" t="inlineStr">
        <is>
          <t>A 40657-2025</t>
        </is>
      </c>
      <c r="B3955" s="1" t="n">
        <v>45896.63950231481</v>
      </c>
      <c r="C3955" s="1" t="n">
        <v>46075</v>
      </c>
      <c r="D3955" t="inlineStr">
        <is>
          <t>VÄSTERBOTTENS LÄN</t>
        </is>
      </c>
      <c r="E3955" t="inlineStr">
        <is>
          <t>LYCKSELE</t>
        </is>
      </c>
      <c r="F3955" t="inlineStr">
        <is>
          <t>Sveaskog</t>
        </is>
      </c>
      <c r="G3955" t="n">
        <v>5.8</v>
      </c>
      <c r="H3955" t="n">
        <v>0</v>
      </c>
      <c r="I3955" t="n">
        <v>0</v>
      </c>
      <c r="J3955" t="n">
        <v>0</v>
      </c>
      <c r="K3955" t="n">
        <v>0</v>
      </c>
      <c r="L3955" t="n">
        <v>0</v>
      </c>
      <c r="M3955" t="n">
        <v>0</v>
      </c>
      <c r="N3955" t="n">
        <v>0</v>
      </c>
      <c r="O3955" t="n">
        <v>0</v>
      </c>
      <c r="P3955" t="n">
        <v>0</v>
      </c>
      <c r="Q3955" t="n">
        <v>0</v>
      </c>
      <c r="R3955" s="2" t="inlineStr"/>
    </row>
    <row r="3956" ht="15" customHeight="1">
      <c r="A3956" t="inlineStr">
        <is>
          <t>A 31154-2025</t>
        </is>
      </c>
      <c r="B3956" s="1" t="n">
        <v>45832.64778935185</v>
      </c>
      <c r="C3956" s="1" t="n">
        <v>46075</v>
      </c>
      <c r="D3956" t="inlineStr">
        <is>
          <t>VÄSTERBOTTENS LÄN</t>
        </is>
      </c>
      <c r="E3956" t="inlineStr">
        <is>
          <t>UMEÅ</t>
        </is>
      </c>
      <c r="F3956" t="inlineStr">
        <is>
          <t>Holmen skog AB</t>
        </is>
      </c>
      <c r="G3956" t="n">
        <v>28.5</v>
      </c>
      <c r="H3956" t="n">
        <v>0</v>
      </c>
      <c r="I3956" t="n">
        <v>0</v>
      </c>
      <c r="J3956" t="n">
        <v>0</v>
      </c>
      <c r="K3956" t="n">
        <v>0</v>
      </c>
      <c r="L3956" t="n">
        <v>0</v>
      </c>
      <c r="M3956" t="n">
        <v>0</v>
      </c>
      <c r="N3956" t="n">
        <v>0</v>
      </c>
      <c r="O3956" t="n">
        <v>0</v>
      </c>
      <c r="P3956" t="n">
        <v>0</v>
      </c>
      <c r="Q3956" t="n">
        <v>0</v>
      </c>
      <c r="R3956" s="2" t="inlineStr"/>
    </row>
    <row r="3957" ht="15" customHeight="1">
      <c r="A3957" t="inlineStr">
        <is>
          <t>A 22004-2024</t>
        </is>
      </c>
      <c r="B3957" s="1" t="n">
        <v>45443</v>
      </c>
      <c r="C3957" s="1" t="n">
        <v>46075</v>
      </c>
      <c r="D3957" t="inlineStr">
        <is>
          <t>VÄSTERBOTTENS LÄN</t>
        </is>
      </c>
      <c r="E3957" t="inlineStr">
        <is>
          <t>NORDMALING</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22044-2024</t>
        </is>
      </c>
      <c r="B3958" s="1" t="n">
        <v>45443</v>
      </c>
      <c r="C3958" s="1" t="n">
        <v>46075</v>
      </c>
      <c r="D3958" t="inlineStr">
        <is>
          <t>VÄSTERBOTTENS LÄN</t>
        </is>
      </c>
      <c r="E3958" t="inlineStr">
        <is>
          <t>SKELLEFTEÅ</t>
        </is>
      </c>
      <c r="F3958" t="inlineStr">
        <is>
          <t>Holmen skog AB</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31313-2025</t>
        </is>
      </c>
      <c r="B3959" s="1" t="n">
        <v>45833.39784722222</v>
      </c>
      <c r="C3959" s="1" t="n">
        <v>46075</v>
      </c>
      <c r="D3959" t="inlineStr">
        <is>
          <t>VÄSTERBOTTENS LÄN</t>
        </is>
      </c>
      <c r="E3959" t="inlineStr">
        <is>
          <t>ÅSELE</t>
        </is>
      </c>
      <c r="F3959" t="inlineStr">
        <is>
          <t>Holmen skog AB</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40656-2025</t>
        </is>
      </c>
      <c r="B3960" s="1" t="n">
        <v>45896.63652777778</v>
      </c>
      <c r="C3960" s="1" t="n">
        <v>46075</v>
      </c>
      <c r="D3960" t="inlineStr">
        <is>
          <t>VÄSTERBOTTENS LÄN</t>
        </is>
      </c>
      <c r="E3960" t="inlineStr">
        <is>
          <t>NORSJÖ</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31045-2025</t>
        </is>
      </c>
      <c r="B3961" s="1" t="n">
        <v>45832.55502314815</v>
      </c>
      <c r="C3961" s="1" t="n">
        <v>46075</v>
      </c>
      <c r="D3961" t="inlineStr">
        <is>
          <t>VÄSTERBOTTENS LÄN</t>
        </is>
      </c>
      <c r="E3961" t="inlineStr">
        <is>
          <t>ROBERTSFORS</t>
        </is>
      </c>
      <c r="F3961" t="inlineStr">
        <is>
          <t>Holmen skog AB</t>
        </is>
      </c>
      <c r="G3961" t="n">
        <v>11.5</v>
      </c>
      <c r="H3961" t="n">
        <v>0</v>
      </c>
      <c r="I3961" t="n">
        <v>0</v>
      </c>
      <c r="J3961" t="n">
        <v>0</v>
      </c>
      <c r="K3961" t="n">
        <v>0</v>
      </c>
      <c r="L3961" t="n">
        <v>0</v>
      </c>
      <c r="M3961" t="n">
        <v>0</v>
      </c>
      <c r="N3961" t="n">
        <v>0</v>
      </c>
      <c r="O3961" t="n">
        <v>0</v>
      </c>
      <c r="P3961" t="n">
        <v>0</v>
      </c>
      <c r="Q3961" t="n">
        <v>0</v>
      </c>
      <c r="R3961" s="2" t="inlineStr"/>
    </row>
    <row r="3962" ht="15" customHeight="1">
      <c r="A3962" t="inlineStr">
        <is>
          <t>A 30901-2025</t>
        </is>
      </c>
      <c r="B3962" s="1" t="n">
        <v>45832.35980324074</v>
      </c>
      <c r="C3962" s="1" t="n">
        <v>46075</v>
      </c>
      <c r="D3962" t="inlineStr">
        <is>
          <t>VÄSTERBOTTENS LÄN</t>
        </is>
      </c>
      <c r="E3962" t="inlineStr">
        <is>
          <t>LYCKSELE</t>
        </is>
      </c>
      <c r="F3962" t="inlineStr">
        <is>
          <t>Sveaskog</t>
        </is>
      </c>
      <c r="G3962" t="n">
        <v>8.6</v>
      </c>
      <c r="H3962" t="n">
        <v>0</v>
      </c>
      <c r="I3962" t="n">
        <v>0</v>
      </c>
      <c r="J3962" t="n">
        <v>0</v>
      </c>
      <c r="K3962" t="n">
        <v>0</v>
      </c>
      <c r="L3962" t="n">
        <v>0</v>
      </c>
      <c r="M3962" t="n">
        <v>0</v>
      </c>
      <c r="N3962" t="n">
        <v>0</v>
      </c>
      <c r="O3962" t="n">
        <v>0</v>
      </c>
      <c r="P3962" t="n">
        <v>0</v>
      </c>
      <c r="Q3962" t="n">
        <v>0</v>
      </c>
      <c r="R3962" s="2" t="inlineStr"/>
    </row>
    <row r="3963" ht="15" customHeight="1">
      <c r="A3963" t="inlineStr">
        <is>
          <t>A 40664-2025</t>
        </is>
      </c>
      <c r="B3963" s="1" t="n">
        <v>45896.65391203704</v>
      </c>
      <c r="C3963" s="1" t="n">
        <v>46075</v>
      </c>
      <c r="D3963" t="inlineStr">
        <is>
          <t>VÄSTERBOTTENS LÄN</t>
        </is>
      </c>
      <c r="E3963" t="inlineStr">
        <is>
          <t>STORUMAN</t>
        </is>
      </c>
      <c r="F3963" t="inlineStr">
        <is>
          <t>Holmen skog AB</t>
        </is>
      </c>
      <c r="G3963" t="n">
        <v>5</v>
      </c>
      <c r="H3963" t="n">
        <v>0</v>
      </c>
      <c r="I3963" t="n">
        <v>0</v>
      </c>
      <c r="J3963" t="n">
        <v>0</v>
      </c>
      <c r="K3963" t="n">
        <v>0</v>
      </c>
      <c r="L3963" t="n">
        <v>0</v>
      </c>
      <c r="M3963" t="n">
        <v>0</v>
      </c>
      <c r="N3963" t="n">
        <v>0</v>
      </c>
      <c r="O3963" t="n">
        <v>0</v>
      </c>
      <c r="P3963" t="n">
        <v>0</v>
      </c>
      <c r="Q3963" t="n">
        <v>0</v>
      </c>
      <c r="R3963" s="2" t="inlineStr"/>
    </row>
    <row r="3964" ht="15" customHeight="1">
      <c r="A3964" t="inlineStr">
        <is>
          <t>A 47592-2024</t>
        </is>
      </c>
      <c r="B3964" s="1" t="n">
        <v>45587.8405324074</v>
      </c>
      <c r="C3964" s="1" t="n">
        <v>46075</v>
      </c>
      <c r="D3964" t="inlineStr">
        <is>
          <t>VÄSTERBOTTENS LÄN</t>
        </is>
      </c>
      <c r="E3964" t="inlineStr">
        <is>
          <t>BJURHOLM</t>
        </is>
      </c>
      <c r="G3964" t="n">
        <v>2</v>
      </c>
      <c r="H3964" t="n">
        <v>0</v>
      </c>
      <c r="I3964" t="n">
        <v>0</v>
      </c>
      <c r="J3964" t="n">
        <v>0</v>
      </c>
      <c r="K3964" t="n">
        <v>0</v>
      </c>
      <c r="L3964" t="n">
        <v>0</v>
      </c>
      <c r="M3964" t="n">
        <v>0</v>
      </c>
      <c r="N3964" t="n">
        <v>0</v>
      </c>
      <c r="O3964" t="n">
        <v>0</v>
      </c>
      <c r="P3964" t="n">
        <v>0</v>
      </c>
      <c r="Q3964" t="n">
        <v>0</v>
      </c>
      <c r="R3964" s="2" t="inlineStr"/>
      <c r="U3964">
        <f>HYPERLINK("https://klasma.github.io/Logging_2403/knärot/A 47592-2024 karta knärot.png", "A 47592-2024")</f>
        <v/>
      </c>
      <c r="V3964">
        <f>HYPERLINK("https://klasma.github.io/Logging_2403/klagomål/A 47592-2024 FSC-klagomål.docx", "A 47592-2024")</f>
        <v/>
      </c>
      <c r="W3964">
        <f>HYPERLINK("https://klasma.github.io/Logging_2403/klagomålsmail/A 47592-2024 FSC-klagomål mail.docx", "A 47592-2024")</f>
        <v/>
      </c>
      <c r="X3964">
        <f>HYPERLINK("https://klasma.github.io/Logging_2403/tillsyn/A 47592-2024 tillsynsbegäran.docx", "A 47592-2024")</f>
        <v/>
      </c>
      <c r="Y3964">
        <f>HYPERLINK("https://klasma.github.io/Logging_2403/tillsynsmail/A 47592-2024 tillsynsbegäran mail.docx", "A 47592-2024")</f>
        <v/>
      </c>
    </row>
    <row r="3965" ht="15" customHeight="1">
      <c r="A3965" t="inlineStr">
        <is>
          <t>A 47593-2024</t>
        </is>
      </c>
      <c r="B3965" s="1" t="n">
        <v>45587.84275462963</v>
      </c>
      <c r="C3965" s="1" t="n">
        <v>46075</v>
      </c>
      <c r="D3965" t="inlineStr">
        <is>
          <t>VÄSTERBOTTENS LÄN</t>
        </is>
      </c>
      <c r="E3965" t="inlineStr">
        <is>
          <t>BJURHOLM</t>
        </is>
      </c>
      <c r="G3965" t="n">
        <v>12.3</v>
      </c>
      <c r="H3965" t="n">
        <v>0</v>
      </c>
      <c r="I3965" t="n">
        <v>0</v>
      </c>
      <c r="J3965" t="n">
        <v>0</v>
      </c>
      <c r="K3965" t="n">
        <v>0</v>
      </c>
      <c r="L3965" t="n">
        <v>0</v>
      </c>
      <c r="M3965" t="n">
        <v>0</v>
      </c>
      <c r="N3965" t="n">
        <v>0</v>
      </c>
      <c r="O3965" t="n">
        <v>0</v>
      </c>
      <c r="P3965" t="n">
        <v>0</v>
      </c>
      <c r="Q3965" t="n">
        <v>0</v>
      </c>
      <c r="R3965" s="2" t="inlineStr"/>
    </row>
    <row r="3966" ht="15" customHeight="1">
      <c r="A3966" t="inlineStr">
        <is>
          <t>A 31217-2025</t>
        </is>
      </c>
      <c r="B3966" s="1" t="n">
        <v>45832</v>
      </c>
      <c r="C3966" s="1" t="n">
        <v>46075</v>
      </c>
      <c r="D3966" t="inlineStr">
        <is>
          <t>VÄSTERBOTTENS LÄN</t>
        </is>
      </c>
      <c r="E3966" t="inlineStr">
        <is>
          <t>ÅSELE</t>
        </is>
      </c>
      <c r="G3966" t="n">
        <v>10.6</v>
      </c>
      <c r="H3966" t="n">
        <v>0</v>
      </c>
      <c r="I3966" t="n">
        <v>0</v>
      </c>
      <c r="J3966" t="n">
        <v>0</v>
      </c>
      <c r="K3966" t="n">
        <v>0</v>
      </c>
      <c r="L3966" t="n">
        <v>0</v>
      </c>
      <c r="M3966" t="n">
        <v>0</v>
      </c>
      <c r="N3966" t="n">
        <v>0</v>
      </c>
      <c r="O3966" t="n">
        <v>0</v>
      </c>
      <c r="P3966" t="n">
        <v>0</v>
      </c>
      <c r="Q3966" t="n">
        <v>0</v>
      </c>
      <c r="R3966" s="2" t="inlineStr"/>
    </row>
    <row r="3967" ht="15" customHeight="1">
      <c r="A3967" t="inlineStr">
        <is>
          <t>A 40949-2025</t>
        </is>
      </c>
      <c r="B3967" s="1" t="n">
        <v>45897.6609837963</v>
      </c>
      <c r="C3967" s="1" t="n">
        <v>46075</v>
      </c>
      <c r="D3967" t="inlineStr">
        <is>
          <t>VÄSTERBOTTENS LÄN</t>
        </is>
      </c>
      <c r="E3967" t="inlineStr">
        <is>
          <t>UMEÅ</t>
        </is>
      </c>
      <c r="F3967" t="inlineStr">
        <is>
          <t>Holmen skog AB</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47594-2024</t>
        </is>
      </c>
      <c r="B3968" s="1" t="n">
        <v>45587.848125</v>
      </c>
      <c r="C3968" s="1" t="n">
        <v>46075</v>
      </c>
      <c r="D3968" t="inlineStr">
        <is>
          <t>VÄSTERBOTTENS LÄN</t>
        </is>
      </c>
      <c r="E3968" t="inlineStr">
        <is>
          <t>BJURHOLM</t>
        </is>
      </c>
      <c r="G3968" t="n">
        <v>5</v>
      </c>
      <c r="H3968" t="n">
        <v>0</v>
      </c>
      <c r="I3968" t="n">
        <v>0</v>
      </c>
      <c r="J3968" t="n">
        <v>0</v>
      </c>
      <c r="K3968" t="n">
        <v>0</v>
      </c>
      <c r="L3968" t="n">
        <v>0</v>
      </c>
      <c r="M3968" t="n">
        <v>0</v>
      </c>
      <c r="N3968" t="n">
        <v>0</v>
      </c>
      <c r="O3968" t="n">
        <v>0</v>
      </c>
      <c r="P3968" t="n">
        <v>0</v>
      </c>
      <c r="Q3968" t="n">
        <v>0</v>
      </c>
      <c r="R3968" s="2" t="inlineStr"/>
    </row>
    <row r="3969" ht="15" customHeight="1">
      <c r="A3969" t="inlineStr">
        <is>
          <t>A 54081-2022</t>
        </is>
      </c>
      <c r="B3969" s="1" t="n">
        <v>44881</v>
      </c>
      <c r="C3969" s="1" t="n">
        <v>46075</v>
      </c>
      <c r="D3969" t="inlineStr">
        <is>
          <t>VÄSTERBOTTENS LÄN</t>
        </is>
      </c>
      <c r="E3969" t="inlineStr">
        <is>
          <t>SKELLEFTEÅ</t>
        </is>
      </c>
      <c r="G3969" t="n">
        <v>4.3</v>
      </c>
      <c r="H3969" t="n">
        <v>0</v>
      </c>
      <c r="I3969" t="n">
        <v>0</v>
      </c>
      <c r="J3969" t="n">
        <v>0</v>
      </c>
      <c r="K3969" t="n">
        <v>0</v>
      </c>
      <c r="L3969" t="n">
        <v>0</v>
      </c>
      <c r="M3969" t="n">
        <v>0</v>
      </c>
      <c r="N3969" t="n">
        <v>0</v>
      </c>
      <c r="O3969" t="n">
        <v>0</v>
      </c>
      <c r="P3969" t="n">
        <v>0</v>
      </c>
      <c r="Q3969" t="n">
        <v>0</v>
      </c>
      <c r="R3969" s="2" t="inlineStr"/>
    </row>
    <row r="3970" ht="15" customHeight="1">
      <c r="A3970" t="inlineStr">
        <is>
          <t>A 40767-2025</t>
        </is>
      </c>
      <c r="B3970" s="1" t="n">
        <v>45897</v>
      </c>
      <c r="C3970" s="1" t="n">
        <v>46075</v>
      </c>
      <c r="D3970" t="inlineStr">
        <is>
          <t>VÄSTERBOTTENS LÄN</t>
        </is>
      </c>
      <c r="E3970" t="inlineStr">
        <is>
          <t>VINDELN</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40771-2025</t>
        </is>
      </c>
      <c r="B3971" s="1" t="n">
        <v>45897.40736111111</v>
      </c>
      <c r="C3971" s="1" t="n">
        <v>46075</v>
      </c>
      <c r="D3971" t="inlineStr">
        <is>
          <t>VÄSTERBOTTENS LÄN</t>
        </is>
      </c>
      <c r="E3971" t="inlineStr">
        <is>
          <t>SKELLEFTEÅ</t>
        </is>
      </c>
      <c r="G3971" t="n">
        <v>5.1</v>
      </c>
      <c r="H3971" t="n">
        <v>0</v>
      </c>
      <c r="I3971" t="n">
        <v>0</v>
      </c>
      <c r="J3971" t="n">
        <v>0</v>
      </c>
      <c r="K3971" t="n">
        <v>0</v>
      </c>
      <c r="L3971" t="n">
        <v>0</v>
      </c>
      <c r="M3971" t="n">
        <v>0</v>
      </c>
      <c r="N3971" t="n">
        <v>0</v>
      </c>
      <c r="O3971" t="n">
        <v>0</v>
      </c>
      <c r="P3971" t="n">
        <v>0</v>
      </c>
      <c r="Q3971" t="n">
        <v>0</v>
      </c>
      <c r="R3971" s="2" t="inlineStr"/>
    </row>
    <row r="3972" ht="15" customHeight="1">
      <c r="A3972" t="inlineStr">
        <is>
          <t>A 41438-2025</t>
        </is>
      </c>
      <c r="B3972" s="1" t="n">
        <v>45901.40425925926</v>
      </c>
      <c r="C3972" s="1" t="n">
        <v>46075</v>
      </c>
      <c r="D3972" t="inlineStr">
        <is>
          <t>VÄSTERBOTTENS LÄN</t>
        </is>
      </c>
      <c r="E3972" t="inlineStr">
        <is>
          <t>NORSJÖ</t>
        </is>
      </c>
      <c r="F3972" t="inlineStr">
        <is>
          <t>Holmen skog AB</t>
        </is>
      </c>
      <c r="G3972" t="n">
        <v>3.5</v>
      </c>
      <c r="H3972" t="n">
        <v>0</v>
      </c>
      <c r="I3972" t="n">
        <v>0</v>
      </c>
      <c r="J3972" t="n">
        <v>0</v>
      </c>
      <c r="K3972" t="n">
        <v>0</v>
      </c>
      <c r="L3972" t="n">
        <v>0</v>
      </c>
      <c r="M3972" t="n">
        <v>0</v>
      </c>
      <c r="N3972" t="n">
        <v>0</v>
      </c>
      <c r="O3972" t="n">
        <v>0</v>
      </c>
      <c r="P3972" t="n">
        <v>0</v>
      </c>
      <c r="Q3972" t="n">
        <v>0</v>
      </c>
      <c r="R3972" s="2" t="inlineStr"/>
    </row>
    <row r="3973" ht="15" customHeight="1">
      <c r="A3973" t="inlineStr">
        <is>
          <t>A 41446-2025</t>
        </is>
      </c>
      <c r="B3973" s="1" t="n">
        <v>45901.42340277778</v>
      </c>
      <c r="C3973" s="1" t="n">
        <v>46075</v>
      </c>
      <c r="D3973" t="inlineStr">
        <is>
          <t>VÄSTERBOTTENS LÄN</t>
        </is>
      </c>
      <c r="E3973" t="inlineStr">
        <is>
          <t>VINDELN</t>
        </is>
      </c>
      <c r="F3973" t="inlineStr">
        <is>
          <t>Holmen skog AB</t>
        </is>
      </c>
      <c r="G3973" t="n">
        <v>5.3</v>
      </c>
      <c r="H3973" t="n">
        <v>0</v>
      </c>
      <c r="I3973" t="n">
        <v>0</v>
      </c>
      <c r="J3973" t="n">
        <v>0</v>
      </c>
      <c r="K3973" t="n">
        <v>0</v>
      </c>
      <c r="L3973" t="n">
        <v>0</v>
      </c>
      <c r="M3973" t="n">
        <v>0</v>
      </c>
      <c r="N3973" t="n">
        <v>0</v>
      </c>
      <c r="O3973" t="n">
        <v>0</v>
      </c>
      <c r="P3973" t="n">
        <v>0</v>
      </c>
      <c r="Q3973" t="n">
        <v>0</v>
      </c>
      <c r="R3973" s="2" t="inlineStr"/>
    </row>
    <row r="3974" ht="15" customHeight="1">
      <c r="A3974" t="inlineStr">
        <is>
          <t>A 41465-2025</t>
        </is>
      </c>
      <c r="B3974" s="1" t="n">
        <v>45899</v>
      </c>
      <c r="C3974" s="1" t="n">
        <v>46075</v>
      </c>
      <c r="D3974" t="inlineStr">
        <is>
          <t>VÄSTERBOTTENS LÄN</t>
        </is>
      </c>
      <c r="E3974" t="inlineStr">
        <is>
          <t>SORSELE</t>
        </is>
      </c>
      <c r="G3974" t="n">
        <v>9.199999999999999</v>
      </c>
      <c r="H3974" t="n">
        <v>0</v>
      </c>
      <c r="I3974" t="n">
        <v>0</v>
      </c>
      <c r="J3974" t="n">
        <v>0</v>
      </c>
      <c r="K3974" t="n">
        <v>0</v>
      </c>
      <c r="L3974" t="n">
        <v>0</v>
      </c>
      <c r="M3974" t="n">
        <v>0</v>
      </c>
      <c r="N3974" t="n">
        <v>0</v>
      </c>
      <c r="O3974" t="n">
        <v>0</v>
      </c>
      <c r="P3974" t="n">
        <v>0</v>
      </c>
      <c r="Q3974" t="n">
        <v>0</v>
      </c>
      <c r="R3974" s="2" t="inlineStr"/>
    </row>
    <row r="3975" ht="15" customHeight="1">
      <c r="A3975" t="inlineStr">
        <is>
          <t>A 41475-2025</t>
        </is>
      </c>
      <c r="B3975" s="1" t="n">
        <v>45901.46976851852</v>
      </c>
      <c r="C3975" s="1" t="n">
        <v>46075</v>
      </c>
      <c r="D3975" t="inlineStr">
        <is>
          <t>VÄSTERBOTTENS LÄN</t>
        </is>
      </c>
      <c r="E3975" t="inlineStr">
        <is>
          <t>MALÅ</t>
        </is>
      </c>
      <c r="G3975" t="n">
        <v>4.8</v>
      </c>
      <c r="H3975" t="n">
        <v>0</v>
      </c>
      <c r="I3975" t="n">
        <v>0</v>
      </c>
      <c r="J3975" t="n">
        <v>0</v>
      </c>
      <c r="K3975" t="n">
        <v>0</v>
      </c>
      <c r="L3975" t="n">
        <v>0</v>
      </c>
      <c r="M3975" t="n">
        <v>0</v>
      </c>
      <c r="N3975" t="n">
        <v>0</v>
      </c>
      <c r="O3975" t="n">
        <v>0</v>
      </c>
      <c r="P3975" t="n">
        <v>0</v>
      </c>
      <c r="Q3975" t="n">
        <v>0</v>
      </c>
      <c r="R3975" s="2" t="inlineStr"/>
    </row>
    <row r="3976" ht="15" customHeight="1">
      <c r="A3976" t="inlineStr">
        <is>
          <t>A 31224-2025</t>
        </is>
      </c>
      <c r="B3976" s="1" t="n">
        <v>45832</v>
      </c>
      <c r="C3976" s="1" t="n">
        <v>46075</v>
      </c>
      <c r="D3976" t="inlineStr">
        <is>
          <t>VÄSTERBOTTENS LÄN</t>
        </is>
      </c>
      <c r="E3976" t="inlineStr">
        <is>
          <t>ÅSELE</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56396-2022</t>
        </is>
      </c>
      <c r="B3977" s="1" t="n">
        <v>44890</v>
      </c>
      <c r="C3977" s="1" t="n">
        <v>46075</v>
      </c>
      <c r="D3977" t="inlineStr">
        <is>
          <t>VÄSTERBOTTENS LÄN</t>
        </is>
      </c>
      <c r="E3977" t="inlineStr">
        <is>
          <t>VILHELMINA</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31583-2025</t>
        </is>
      </c>
      <c r="B3978" s="1" t="n">
        <v>45833.68674768518</v>
      </c>
      <c r="C3978" s="1" t="n">
        <v>46075</v>
      </c>
      <c r="D3978" t="inlineStr">
        <is>
          <t>VÄSTERBOTTENS LÄN</t>
        </is>
      </c>
      <c r="E3978" t="inlineStr">
        <is>
          <t>NORSJÖ</t>
        </is>
      </c>
      <c r="F3978" t="inlineStr">
        <is>
          <t>Holmen skog AB</t>
        </is>
      </c>
      <c r="G3978" t="n">
        <v>2.7</v>
      </c>
      <c r="H3978" t="n">
        <v>0</v>
      </c>
      <c r="I3978" t="n">
        <v>0</v>
      </c>
      <c r="J3978" t="n">
        <v>0</v>
      </c>
      <c r="K3978" t="n">
        <v>0</v>
      </c>
      <c r="L3978" t="n">
        <v>0</v>
      </c>
      <c r="M3978" t="n">
        <v>0</v>
      </c>
      <c r="N3978" t="n">
        <v>0</v>
      </c>
      <c r="O3978" t="n">
        <v>0</v>
      </c>
      <c r="P3978" t="n">
        <v>0</v>
      </c>
      <c r="Q3978" t="n">
        <v>0</v>
      </c>
      <c r="R3978" s="2" t="inlineStr"/>
    </row>
    <row r="3979" ht="15" customHeight="1">
      <c r="A3979" t="inlineStr">
        <is>
          <t>A 41218-2025</t>
        </is>
      </c>
      <c r="B3979" s="1" t="n">
        <v>45898.58579861111</v>
      </c>
      <c r="C3979" s="1" t="n">
        <v>46075</v>
      </c>
      <c r="D3979" t="inlineStr">
        <is>
          <t>VÄSTERBOTTENS LÄN</t>
        </is>
      </c>
      <c r="E3979" t="inlineStr">
        <is>
          <t>NORSJÖ</t>
        </is>
      </c>
      <c r="F3979" t="inlineStr">
        <is>
          <t>Sveaskog</t>
        </is>
      </c>
      <c r="G3979" t="n">
        <v>8.6</v>
      </c>
      <c r="H3979" t="n">
        <v>0</v>
      </c>
      <c r="I3979" t="n">
        <v>0</v>
      </c>
      <c r="J3979" t="n">
        <v>0</v>
      </c>
      <c r="K3979" t="n">
        <v>0</v>
      </c>
      <c r="L3979" t="n">
        <v>0</v>
      </c>
      <c r="M3979" t="n">
        <v>0</v>
      </c>
      <c r="N3979" t="n">
        <v>0</v>
      </c>
      <c r="O3979" t="n">
        <v>0</v>
      </c>
      <c r="P3979" t="n">
        <v>0</v>
      </c>
      <c r="Q3979" t="n">
        <v>0</v>
      </c>
      <c r="R3979" s="2" t="inlineStr"/>
    </row>
    <row r="3980" ht="15" customHeight="1">
      <c r="A3980" t="inlineStr">
        <is>
          <t>A 31371-2025</t>
        </is>
      </c>
      <c r="B3980" s="1" t="n">
        <v>45832</v>
      </c>
      <c r="C3980" s="1" t="n">
        <v>46075</v>
      </c>
      <c r="D3980" t="inlineStr">
        <is>
          <t>VÄSTERBOTTENS LÄN</t>
        </is>
      </c>
      <c r="E3980" t="inlineStr">
        <is>
          <t>ÅSELE</t>
        </is>
      </c>
      <c r="G3980" t="n">
        <v>5.9</v>
      </c>
      <c r="H3980" t="n">
        <v>0</v>
      </c>
      <c r="I3980" t="n">
        <v>0</v>
      </c>
      <c r="J3980" t="n">
        <v>0</v>
      </c>
      <c r="K3980" t="n">
        <v>0</v>
      </c>
      <c r="L3980" t="n">
        <v>0</v>
      </c>
      <c r="M3980" t="n">
        <v>0</v>
      </c>
      <c r="N3980" t="n">
        <v>0</v>
      </c>
      <c r="O3980" t="n">
        <v>0</v>
      </c>
      <c r="P3980" t="n">
        <v>0</v>
      </c>
      <c r="Q3980" t="n">
        <v>0</v>
      </c>
      <c r="R3980" s="2" t="inlineStr"/>
    </row>
    <row r="3981" ht="15" customHeight="1">
      <c r="A3981" t="inlineStr">
        <is>
          <t>A 41213-2022</t>
        </is>
      </c>
      <c r="B3981" s="1" t="n">
        <v>44825</v>
      </c>
      <c r="C3981" s="1" t="n">
        <v>46075</v>
      </c>
      <c r="D3981" t="inlineStr">
        <is>
          <t>VÄSTERBOTTENS LÄN</t>
        </is>
      </c>
      <c r="E3981" t="inlineStr">
        <is>
          <t>UMEÅ</t>
        </is>
      </c>
      <c r="G3981" t="n">
        <v>3.7</v>
      </c>
      <c r="H3981" t="n">
        <v>0</v>
      </c>
      <c r="I3981" t="n">
        <v>0</v>
      </c>
      <c r="J3981" t="n">
        <v>0</v>
      </c>
      <c r="K3981" t="n">
        <v>0</v>
      </c>
      <c r="L3981" t="n">
        <v>0</v>
      </c>
      <c r="M3981" t="n">
        <v>0</v>
      </c>
      <c r="N3981" t="n">
        <v>0</v>
      </c>
      <c r="O3981" t="n">
        <v>0</v>
      </c>
      <c r="P3981" t="n">
        <v>0</v>
      </c>
      <c r="Q3981" t="n">
        <v>0</v>
      </c>
      <c r="R3981" s="2" t="inlineStr"/>
    </row>
    <row r="3982" ht="15" customHeight="1">
      <c r="A3982" t="inlineStr">
        <is>
          <t>A 41127-2025</t>
        </is>
      </c>
      <c r="B3982" s="1" t="n">
        <v>45898.47844907407</v>
      </c>
      <c r="C3982" s="1" t="n">
        <v>46075</v>
      </c>
      <c r="D3982" t="inlineStr">
        <is>
          <t>VÄSTERBOTTENS LÄN</t>
        </is>
      </c>
      <c r="E3982" t="inlineStr">
        <is>
          <t>STORUMAN</t>
        </is>
      </c>
      <c r="F3982" t="inlineStr">
        <is>
          <t>Sveaskog</t>
        </is>
      </c>
      <c r="G3982" t="n">
        <v>7.5</v>
      </c>
      <c r="H3982" t="n">
        <v>0</v>
      </c>
      <c r="I3982" t="n">
        <v>0</v>
      </c>
      <c r="J3982" t="n">
        <v>0</v>
      </c>
      <c r="K3982" t="n">
        <v>0</v>
      </c>
      <c r="L3982" t="n">
        <v>0</v>
      </c>
      <c r="M3982" t="n">
        <v>0</v>
      </c>
      <c r="N3982" t="n">
        <v>0</v>
      </c>
      <c r="O3982" t="n">
        <v>0</v>
      </c>
      <c r="P3982" t="n">
        <v>0</v>
      </c>
      <c r="Q3982" t="n">
        <v>0</v>
      </c>
      <c r="R3982" s="2" t="inlineStr"/>
    </row>
    <row r="3983" ht="15" customHeight="1">
      <c r="A3983" t="inlineStr">
        <is>
          <t>A 41138-2025</t>
        </is>
      </c>
      <c r="B3983" s="1" t="n">
        <v>45898.48869212963</v>
      </c>
      <c r="C3983" s="1" t="n">
        <v>46075</v>
      </c>
      <c r="D3983" t="inlineStr">
        <is>
          <t>VÄSTERBOTTENS LÄN</t>
        </is>
      </c>
      <c r="E3983" t="inlineStr">
        <is>
          <t>STORUMAN</t>
        </is>
      </c>
      <c r="F3983" t="inlineStr">
        <is>
          <t>Sveaskog</t>
        </is>
      </c>
      <c r="G3983" t="n">
        <v>4.6</v>
      </c>
      <c r="H3983" t="n">
        <v>0</v>
      </c>
      <c r="I3983" t="n">
        <v>0</v>
      </c>
      <c r="J3983" t="n">
        <v>0</v>
      </c>
      <c r="K3983" t="n">
        <v>0</v>
      </c>
      <c r="L3983" t="n">
        <v>0</v>
      </c>
      <c r="M3983" t="n">
        <v>0</v>
      </c>
      <c r="N3983" t="n">
        <v>0</v>
      </c>
      <c r="O3983" t="n">
        <v>0</v>
      </c>
      <c r="P3983" t="n">
        <v>0</v>
      </c>
      <c r="Q3983" t="n">
        <v>0</v>
      </c>
      <c r="R3983" s="2" t="inlineStr"/>
    </row>
    <row r="3984" ht="15" customHeight="1">
      <c r="A3984" t="inlineStr">
        <is>
          <t>A 58240-2022</t>
        </is>
      </c>
      <c r="B3984" s="1" t="n">
        <v>44893</v>
      </c>
      <c r="C3984" s="1" t="n">
        <v>46075</v>
      </c>
      <c r="D3984" t="inlineStr">
        <is>
          <t>VÄSTERBOTTENS LÄN</t>
        </is>
      </c>
      <c r="E3984" t="inlineStr">
        <is>
          <t>MALÅ</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38270-2024</t>
        </is>
      </c>
      <c r="B3985" s="1" t="n">
        <v>45545.60266203704</v>
      </c>
      <c r="C3985" s="1" t="n">
        <v>46075</v>
      </c>
      <c r="D3985" t="inlineStr">
        <is>
          <t>VÄSTERBOTTENS LÄN</t>
        </is>
      </c>
      <c r="E3985" t="inlineStr">
        <is>
          <t>SORSELE</t>
        </is>
      </c>
      <c r="G3985" t="n">
        <v>14.8</v>
      </c>
      <c r="H3985" t="n">
        <v>0</v>
      </c>
      <c r="I3985" t="n">
        <v>0</v>
      </c>
      <c r="J3985" t="n">
        <v>0</v>
      </c>
      <c r="K3985" t="n">
        <v>0</v>
      </c>
      <c r="L3985" t="n">
        <v>0</v>
      </c>
      <c r="M3985" t="n">
        <v>0</v>
      </c>
      <c r="N3985" t="n">
        <v>0</v>
      </c>
      <c r="O3985" t="n">
        <v>0</v>
      </c>
      <c r="P3985" t="n">
        <v>0</v>
      </c>
      <c r="Q3985" t="n">
        <v>0</v>
      </c>
      <c r="R3985" s="2" t="inlineStr"/>
    </row>
    <row r="3986" ht="15" customHeight="1">
      <c r="A3986" t="inlineStr">
        <is>
          <t>A 41149-2025</t>
        </is>
      </c>
      <c r="B3986" s="1" t="n">
        <v>45898.50357638889</v>
      </c>
      <c r="C3986" s="1" t="n">
        <v>46075</v>
      </c>
      <c r="D3986" t="inlineStr">
        <is>
          <t>VÄSTERBOTTENS LÄN</t>
        </is>
      </c>
      <c r="E3986" t="inlineStr">
        <is>
          <t>STORUMAN</t>
        </is>
      </c>
      <c r="F3986" t="inlineStr">
        <is>
          <t>Sveaskog</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41150-2025</t>
        </is>
      </c>
      <c r="B3987" s="1" t="n">
        <v>45898.50738425926</v>
      </c>
      <c r="C3987" s="1" t="n">
        <v>46075</v>
      </c>
      <c r="D3987" t="inlineStr">
        <is>
          <t>VÄSTERBOTTENS LÄN</t>
        </is>
      </c>
      <c r="E3987" t="inlineStr">
        <is>
          <t>SKELLEFTEÅ</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31389-2025</t>
        </is>
      </c>
      <c r="B3988" s="1" t="n">
        <v>45832</v>
      </c>
      <c r="C3988" s="1" t="n">
        <v>46075</v>
      </c>
      <c r="D3988" t="inlineStr">
        <is>
          <t>VÄSTERBOTTENS LÄN</t>
        </is>
      </c>
      <c r="E3988" t="inlineStr">
        <is>
          <t>VINDELN</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1955-2025</t>
        </is>
      </c>
      <c r="B3989" s="1" t="n">
        <v>45671</v>
      </c>
      <c r="C3989" s="1" t="n">
        <v>46075</v>
      </c>
      <c r="D3989" t="inlineStr">
        <is>
          <t>VÄSTERBOTTENS LÄN</t>
        </is>
      </c>
      <c r="E3989" t="inlineStr">
        <is>
          <t>SKELLEFTEÅ</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2008-2025</t>
        </is>
      </c>
      <c r="B3990" s="1" t="n">
        <v>45672.45302083333</v>
      </c>
      <c r="C3990" s="1" t="n">
        <v>46075</v>
      </c>
      <c r="D3990" t="inlineStr">
        <is>
          <t>VÄSTERBOTTENS LÄN</t>
        </is>
      </c>
      <c r="E3990" t="inlineStr">
        <is>
          <t>VILHELMINA</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11626-2024</t>
        </is>
      </c>
      <c r="B3991" s="1" t="n">
        <v>45373</v>
      </c>
      <c r="C3991" s="1" t="n">
        <v>46075</v>
      </c>
      <c r="D3991" t="inlineStr">
        <is>
          <t>VÄSTERBOTTENS LÄN</t>
        </is>
      </c>
      <c r="E3991" t="inlineStr">
        <is>
          <t>LYCKSELE</t>
        </is>
      </c>
      <c r="G3991" t="n">
        <v>0.1</v>
      </c>
      <c r="H3991" t="n">
        <v>0</v>
      </c>
      <c r="I3991" t="n">
        <v>0</v>
      </c>
      <c r="J3991" t="n">
        <v>0</v>
      </c>
      <c r="K3991" t="n">
        <v>0</v>
      </c>
      <c r="L3991" t="n">
        <v>0</v>
      </c>
      <c r="M3991" t="n">
        <v>0</v>
      </c>
      <c r="N3991" t="n">
        <v>0</v>
      </c>
      <c r="O3991" t="n">
        <v>0</v>
      </c>
      <c r="P3991" t="n">
        <v>0</v>
      </c>
      <c r="Q3991" t="n">
        <v>0</v>
      </c>
      <c r="R3991" s="2" t="inlineStr"/>
    </row>
    <row r="3992" ht="15" customHeight="1">
      <c r="A3992" t="inlineStr">
        <is>
          <t>A 41560-2025</t>
        </is>
      </c>
      <c r="B3992" s="1" t="n">
        <v>45901.59440972222</v>
      </c>
      <c r="C3992" s="1" t="n">
        <v>46075</v>
      </c>
      <c r="D3992" t="inlineStr">
        <is>
          <t>VÄSTERBOTTENS LÄN</t>
        </is>
      </c>
      <c r="E3992" t="inlineStr">
        <is>
          <t>MALÅ</t>
        </is>
      </c>
      <c r="G3992" t="n">
        <v>4.1</v>
      </c>
      <c r="H3992" t="n">
        <v>0</v>
      </c>
      <c r="I3992" t="n">
        <v>0</v>
      </c>
      <c r="J3992" t="n">
        <v>0</v>
      </c>
      <c r="K3992" t="n">
        <v>0</v>
      </c>
      <c r="L3992" t="n">
        <v>0</v>
      </c>
      <c r="M3992" t="n">
        <v>0</v>
      </c>
      <c r="N3992" t="n">
        <v>0</v>
      </c>
      <c r="O3992" t="n">
        <v>0</v>
      </c>
      <c r="P3992" t="n">
        <v>0</v>
      </c>
      <c r="Q3992" t="n">
        <v>0</v>
      </c>
      <c r="R3992" s="2" t="inlineStr"/>
    </row>
    <row r="3993" ht="15" customHeight="1">
      <c r="A3993" t="inlineStr">
        <is>
          <t>A 41573-2025</t>
        </is>
      </c>
      <c r="B3993" s="1" t="n">
        <v>45901.61489583334</v>
      </c>
      <c r="C3993" s="1" t="n">
        <v>46075</v>
      </c>
      <c r="D3993" t="inlineStr">
        <is>
          <t>VÄSTERBOTTENS LÄN</t>
        </is>
      </c>
      <c r="E3993" t="inlineStr">
        <is>
          <t>NORDMALING</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13348-2023</t>
        </is>
      </c>
      <c r="B3994" s="1" t="n">
        <v>45005</v>
      </c>
      <c r="C3994" s="1" t="n">
        <v>46075</v>
      </c>
      <c r="D3994" t="inlineStr">
        <is>
          <t>VÄSTERBOTTENS LÄN</t>
        </is>
      </c>
      <c r="E3994" t="inlineStr">
        <is>
          <t>ÅSELE</t>
        </is>
      </c>
      <c r="G3994" t="n">
        <v>4.5</v>
      </c>
      <c r="H3994" t="n">
        <v>0</v>
      </c>
      <c r="I3994" t="n">
        <v>0</v>
      </c>
      <c r="J3994" t="n">
        <v>0</v>
      </c>
      <c r="K3994" t="n">
        <v>0</v>
      </c>
      <c r="L3994" t="n">
        <v>0</v>
      </c>
      <c r="M3994" t="n">
        <v>0</v>
      </c>
      <c r="N3994" t="n">
        <v>0</v>
      </c>
      <c r="O3994" t="n">
        <v>0</v>
      </c>
      <c r="P3994" t="n">
        <v>0</v>
      </c>
      <c r="Q3994" t="n">
        <v>0</v>
      </c>
      <c r="R3994" s="2" t="inlineStr"/>
    </row>
    <row r="3995" ht="15" customHeight="1">
      <c r="A3995" t="inlineStr">
        <is>
          <t>A 41159-2025</t>
        </is>
      </c>
      <c r="B3995" s="1" t="n">
        <v>45898.53164351852</v>
      </c>
      <c r="C3995" s="1" t="n">
        <v>46075</v>
      </c>
      <c r="D3995" t="inlineStr">
        <is>
          <t>VÄSTERBOTTENS LÄN</t>
        </is>
      </c>
      <c r="E3995" t="inlineStr">
        <is>
          <t>DOROTEA</t>
        </is>
      </c>
      <c r="F3995" t="inlineStr">
        <is>
          <t>SCA</t>
        </is>
      </c>
      <c r="G3995" t="n">
        <v>2.8</v>
      </c>
      <c r="H3995" t="n">
        <v>0</v>
      </c>
      <c r="I3995" t="n">
        <v>0</v>
      </c>
      <c r="J3995" t="n">
        <v>0</v>
      </c>
      <c r="K3995" t="n">
        <v>0</v>
      </c>
      <c r="L3995" t="n">
        <v>0</v>
      </c>
      <c r="M3995" t="n">
        <v>0</v>
      </c>
      <c r="N3995" t="n">
        <v>0</v>
      </c>
      <c r="O3995" t="n">
        <v>0</v>
      </c>
      <c r="P3995" t="n">
        <v>0</v>
      </c>
      <c r="Q3995" t="n">
        <v>0</v>
      </c>
      <c r="R3995" s="2" t="inlineStr"/>
    </row>
    <row r="3996" ht="15" customHeight="1">
      <c r="A3996" t="inlineStr">
        <is>
          <t>A 41160-2025</t>
        </is>
      </c>
      <c r="B3996" s="1" t="n">
        <v>45898.53180555555</v>
      </c>
      <c r="C3996" s="1" t="n">
        <v>46075</v>
      </c>
      <c r="D3996" t="inlineStr">
        <is>
          <t>VÄSTERBOTTENS LÄN</t>
        </is>
      </c>
      <c r="E3996" t="inlineStr">
        <is>
          <t>ÅSELE</t>
        </is>
      </c>
      <c r="F3996" t="inlineStr">
        <is>
          <t>SCA</t>
        </is>
      </c>
      <c r="G3996" t="n">
        <v>8.699999999999999</v>
      </c>
      <c r="H3996" t="n">
        <v>0</v>
      </c>
      <c r="I3996" t="n">
        <v>0</v>
      </c>
      <c r="J3996" t="n">
        <v>0</v>
      </c>
      <c r="K3996" t="n">
        <v>0</v>
      </c>
      <c r="L3996" t="n">
        <v>0</v>
      </c>
      <c r="M3996" t="n">
        <v>0</v>
      </c>
      <c r="N3996" t="n">
        <v>0</v>
      </c>
      <c r="O3996" t="n">
        <v>0</v>
      </c>
      <c r="P3996" t="n">
        <v>0</v>
      </c>
      <c r="Q3996" t="n">
        <v>0</v>
      </c>
      <c r="R3996" s="2" t="inlineStr"/>
    </row>
    <row r="3997" ht="15" customHeight="1">
      <c r="A3997" t="inlineStr">
        <is>
          <t>A 41212-2025</t>
        </is>
      </c>
      <c r="B3997" s="1" t="n">
        <v>45898.57967592592</v>
      </c>
      <c r="C3997" s="1" t="n">
        <v>46075</v>
      </c>
      <c r="D3997" t="inlineStr">
        <is>
          <t>VÄSTERBOTTENS LÄN</t>
        </is>
      </c>
      <c r="E3997" t="inlineStr">
        <is>
          <t>MALÅ</t>
        </is>
      </c>
      <c r="F3997" t="inlineStr">
        <is>
          <t>Sveaskog</t>
        </is>
      </c>
      <c r="G3997" t="n">
        <v>17.6</v>
      </c>
      <c r="H3997" t="n">
        <v>0</v>
      </c>
      <c r="I3997" t="n">
        <v>0</v>
      </c>
      <c r="J3997" t="n">
        <v>0</v>
      </c>
      <c r="K3997" t="n">
        <v>0</v>
      </c>
      <c r="L3997" t="n">
        <v>0</v>
      </c>
      <c r="M3997" t="n">
        <v>0</v>
      </c>
      <c r="N3997" t="n">
        <v>0</v>
      </c>
      <c r="O3997" t="n">
        <v>0</v>
      </c>
      <c r="P3997" t="n">
        <v>0</v>
      </c>
      <c r="Q3997" t="n">
        <v>0</v>
      </c>
      <c r="R3997" s="2" t="inlineStr"/>
    </row>
    <row r="3998" ht="15" customHeight="1">
      <c r="A3998" t="inlineStr">
        <is>
          <t>A 25735-2023</t>
        </is>
      </c>
      <c r="B3998" s="1" t="n">
        <v>45090</v>
      </c>
      <c r="C3998" s="1" t="n">
        <v>46075</v>
      </c>
      <c r="D3998" t="inlineStr">
        <is>
          <t>VÄSTERBOTTENS LÄN</t>
        </is>
      </c>
      <c r="E3998" t="inlineStr">
        <is>
          <t>NORSJÖ</t>
        </is>
      </c>
      <c r="F3998" t="inlineStr">
        <is>
          <t>Holmen skog AB</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30960-2025</t>
        </is>
      </c>
      <c r="B3999" s="1" t="n">
        <v>45832.44204861111</v>
      </c>
      <c r="C3999" s="1" t="n">
        <v>46075</v>
      </c>
      <c r="D3999" t="inlineStr">
        <is>
          <t>VÄSTERBOTTENS LÄN</t>
        </is>
      </c>
      <c r="E3999" t="inlineStr">
        <is>
          <t>UMEÅ</t>
        </is>
      </c>
      <c r="G3999" t="n">
        <v>4</v>
      </c>
      <c r="H3999" t="n">
        <v>0</v>
      </c>
      <c r="I3999" t="n">
        <v>0</v>
      </c>
      <c r="J3999" t="n">
        <v>0</v>
      </c>
      <c r="K3999" t="n">
        <v>0</v>
      </c>
      <c r="L3999" t="n">
        <v>0</v>
      </c>
      <c r="M3999" t="n">
        <v>0</v>
      </c>
      <c r="N3999" t="n">
        <v>0</v>
      </c>
      <c r="O3999" t="n">
        <v>0</v>
      </c>
      <c r="P3999" t="n">
        <v>0</v>
      </c>
      <c r="Q3999" t="n">
        <v>0</v>
      </c>
      <c r="R3999" s="2" t="inlineStr"/>
    </row>
    <row r="4000" ht="15" customHeight="1">
      <c r="A4000" t="inlineStr">
        <is>
          <t>A 30864-2025</t>
        </is>
      </c>
      <c r="B4000" s="1" t="n">
        <v>45832.31803240741</v>
      </c>
      <c r="C4000" s="1" t="n">
        <v>46075</v>
      </c>
      <c r="D4000" t="inlineStr">
        <is>
          <t>VÄSTERBOTTENS LÄN</t>
        </is>
      </c>
      <c r="E4000" t="inlineStr">
        <is>
          <t>LYCKSELE</t>
        </is>
      </c>
      <c r="F4000" t="inlineStr">
        <is>
          <t>Sveaskog</t>
        </is>
      </c>
      <c r="G4000" t="n">
        <v>8.9</v>
      </c>
      <c r="H4000" t="n">
        <v>0</v>
      </c>
      <c r="I4000" t="n">
        <v>0</v>
      </c>
      <c r="J4000" t="n">
        <v>0</v>
      </c>
      <c r="K4000" t="n">
        <v>0</v>
      </c>
      <c r="L4000" t="n">
        <v>0</v>
      </c>
      <c r="M4000" t="n">
        <v>0</v>
      </c>
      <c r="N4000" t="n">
        <v>0</v>
      </c>
      <c r="O4000" t="n">
        <v>0</v>
      </c>
      <c r="P4000" t="n">
        <v>0</v>
      </c>
      <c r="Q4000" t="n">
        <v>0</v>
      </c>
      <c r="R4000" s="2" t="inlineStr"/>
    </row>
    <row r="4001" ht="15" customHeight="1">
      <c r="A4001" t="inlineStr">
        <is>
          <t>A 41364-2025</t>
        </is>
      </c>
      <c r="B4001" s="1" t="n">
        <v>45900.49313657408</v>
      </c>
      <c r="C4001" s="1" t="n">
        <v>46075</v>
      </c>
      <c r="D4001" t="inlineStr">
        <is>
          <t>VÄSTERBOTTENS LÄN</t>
        </is>
      </c>
      <c r="E4001" t="inlineStr">
        <is>
          <t>NORDMALING</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42141-2023</t>
        </is>
      </c>
      <c r="B4002" s="1" t="n">
        <v>45177</v>
      </c>
      <c r="C4002" s="1" t="n">
        <v>46075</v>
      </c>
      <c r="D4002" t="inlineStr">
        <is>
          <t>VÄSTERBOTTENS LÄN</t>
        </is>
      </c>
      <c r="E4002" t="inlineStr">
        <is>
          <t>VÄNNÄS</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41447-2025</t>
        </is>
      </c>
      <c r="B4003" s="1" t="n">
        <v>45901.42756944444</v>
      </c>
      <c r="C4003" s="1" t="n">
        <v>46075</v>
      </c>
      <c r="D4003" t="inlineStr">
        <is>
          <t>VÄSTERBOTTENS LÄN</t>
        </is>
      </c>
      <c r="E4003" t="inlineStr">
        <is>
          <t>SORSELE</t>
        </is>
      </c>
      <c r="F4003" t="inlineStr">
        <is>
          <t>SCA</t>
        </is>
      </c>
      <c r="G4003" t="n">
        <v>12.9</v>
      </c>
      <c r="H4003" t="n">
        <v>0</v>
      </c>
      <c r="I4003" t="n">
        <v>0</v>
      </c>
      <c r="J4003" t="n">
        <v>0</v>
      </c>
      <c r="K4003" t="n">
        <v>0</v>
      </c>
      <c r="L4003" t="n">
        <v>0</v>
      </c>
      <c r="M4003" t="n">
        <v>0</v>
      </c>
      <c r="N4003" t="n">
        <v>0</v>
      </c>
      <c r="O4003" t="n">
        <v>0</v>
      </c>
      <c r="P4003" t="n">
        <v>0</v>
      </c>
      <c r="Q4003" t="n">
        <v>0</v>
      </c>
      <c r="R4003" s="2" t="inlineStr"/>
    </row>
    <row r="4004" ht="15" customHeight="1">
      <c r="A4004" t="inlineStr">
        <is>
          <t>A 42183-2023</t>
        </is>
      </c>
      <c r="B4004" s="1" t="n">
        <v>45178</v>
      </c>
      <c r="C4004" s="1" t="n">
        <v>46075</v>
      </c>
      <c r="D4004" t="inlineStr">
        <is>
          <t>VÄSTERBOTTENS LÄN</t>
        </is>
      </c>
      <c r="E4004" t="inlineStr">
        <is>
          <t>MALÅ</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41529-2025</t>
        </is>
      </c>
      <c r="B4005" s="1" t="n">
        <v>45901</v>
      </c>
      <c r="C4005" s="1" t="n">
        <v>46075</v>
      </c>
      <c r="D4005" t="inlineStr">
        <is>
          <t>VÄSTERBOTTENS LÄN</t>
        </is>
      </c>
      <c r="E4005" t="inlineStr">
        <is>
          <t>ROBERTSFORS</t>
        </is>
      </c>
      <c r="F4005" t="inlineStr">
        <is>
          <t>Holmen skog AB</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41554-2025</t>
        </is>
      </c>
      <c r="B4006" s="1" t="n">
        <v>45901.59134259259</v>
      </c>
      <c r="C4006" s="1" t="n">
        <v>46075</v>
      </c>
      <c r="D4006" t="inlineStr">
        <is>
          <t>VÄSTERBOTTENS LÄN</t>
        </is>
      </c>
      <c r="E4006" t="inlineStr">
        <is>
          <t>SKELLEFTEÅ</t>
        </is>
      </c>
      <c r="F4006" t="inlineStr">
        <is>
          <t>Holmen skog AB</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41558-2025</t>
        </is>
      </c>
      <c r="B4007" s="1" t="n">
        <v>45901.59408564815</v>
      </c>
      <c r="C4007" s="1" t="n">
        <v>46075</v>
      </c>
      <c r="D4007" t="inlineStr">
        <is>
          <t>VÄSTERBOTTENS LÄN</t>
        </is>
      </c>
      <c r="E4007" t="inlineStr">
        <is>
          <t>MALÅ</t>
        </is>
      </c>
      <c r="G4007" t="n">
        <v>8.9</v>
      </c>
      <c r="H4007" t="n">
        <v>0</v>
      </c>
      <c r="I4007" t="n">
        <v>0</v>
      </c>
      <c r="J4007" t="n">
        <v>0</v>
      </c>
      <c r="K4007" t="n">
        <v>0</v>
      </c>
      <c r="L4007" t="n">
        <v>0</v>
      </c>
      <c r="M4007" t="n">
        <v>0</v>
      </c>
      <c r="N4007" t="n">
        <v>0</v>
      </c>
      <c r="O4007" t="n">
        <v>0</v>
      </c>
      <c r="P4007" t="n">
        <v>0</v>
      </c>
      <c r="Q4007" t="n">
        <v>0</v>
      </c>
      <c r="R4007" s="2" t="inlineStr"/>
    </row>
    <row r="4008" ht="15" customHeight="1">
      <c r="A4008" t="inlineStr">
        <is>
          <t>A 3240-2022</t>
        </is>
      </c>
      <c r="B4008" s="1" t="n">
        <v>44582.93300925926</v>
      </c>
      <c r="C4008" s="1" t="n">
        <v>46075</v>
      </c>
      <c r="D4008" t="inlineStr">
        <is>
          <t>VÄSTERBOTTENS LÄN</t>
        </is>
      </c>
      <c r="E4008" t="inlineStr">
        <is>
          <t>DOROTEA</t>
        </is>
      </c>
      <c r="F4008" t="inlineStr">
        <is>
          <t>SCA</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41574-2025</t>
        </is>
      </c>
      <c r="B4009" s="1" t="n">
        <v>45901</v>
      </c>
      <c r="C4009" s="1" t="n">
        <v>46075</v>
      </c>
      <c r="D4009" t="inlineStr">
        <is>
          <t>VÄSTERBOTTENS LÄN</t>
        </is>
      </c>
      <c r="E4009" t="inlineStr">
        <is>
          <t>SKELLEFTEÅ</t>
        </is>
      </c>
      <c r="G4009" t="n">
        <v>6.9</v>
      </c>
      <c r="H4009" t="n">
        <v>0</v>
      </c>
      <c r="I4009" t="n">
        <v>0</v>
      </c>
      <c r="J4009" t="n">
        <v>0</v>
      </c>
      <c r="K4009" t="n">
        <v>0</v>
      </c>
      <c r="L4009" t="n">
        <v>0</v>
      </c>
      <c r="M4009" t="n">
        <v>0</v>
      </c>
      <c r="N4009" t="n">
        <v>0</v>
      </c>
      <c r="O4009" t="n">
        <v>0</v>
      </c>
      <c r="P4009" t="n">
        <v>0</v>
      </c>
      <c r="Q4009" t="n">
        <v>0</v>
      </c>
      <c r="R4009" s="2" t="inlineStr"/>
    </row>
    <row r="4010" ht="15" customHeight="1">
      <c r="A4010" t="inlineStr">
        <is>
          <t>A 31307-2025</t>
        </is>
      </c>
      <c r="B4010" s="1" t="n">
        <v>45833</v>
      </c>
      <c r="C4010" s="1" t="n">
        <v>46075</v>
      </c>
      <c r="D4010" t="inlineStr">
        <is>
          <t>VÄSTERBOTTENS LÄN</t>
        </is>
      </c>
      <c r="E4010" t="inlineStr">
        <is>
          <t>VILHELMINA</t>
        </is>
      </c>
      <c r="G4010" t="n">
        <v>9.9</v>
      </c>
      <c r="H4010" t="n">
        <v>0</v>
      </c>
      <c r="I4010" t="n">
        <v>0</v>
      </c>
      <c r="J4010" t="n">
        <v>0</v>
      </c>
      <c r="K4010" t="n">
        <v>0</v>
      </c>
      <c r="L4010" t="n">
        <v>0</v>
      </c>
      <c r="M4010" t="n">
        <v>0</v>
      </c>
      <c r="N4010" t="n">
        <v>0</v>
      </c>
      <c r="O4010" t="n">
        <v>0</v>
      </c>
      <c r="P4010" t="n">
        <v>0</v>
      </c>
      <c r="Q4010" t="n">
        <v>0</v>
      </c>
      <c r="R4010" s="2" t="inlineStr"/>
    </row>
    <row r="4011" ht="15" customHeight="1">
      <c r="A4011" t="inlineStr">
        <is>
          <t>A 41559-2025</t>
        </is>
      </c>
      <c r="B4011" s="1" t="n">
        <v>45901.59436342592</v>
      </c>
      <c r="C4011" s="1" t="n">
        <v>46075</v>
      </c>
      <c r="D4011" t="inlineStr">
        <is>
          <t>VÄSTERBOTTENS LÄN</t>
        </is>
      </c>
      <c r="E4011" t="inlineStr">
        <is>
          <t>MALÅ</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41326-2025</t>
        </is>
      </c>
      <c r="B4012" s="1" t="n">
        <v>45899.28303240741</v>
      </c>
      <c r="C4012" s="1" t="n">
        <v>46075</v>
      </c>
      <c r="D4012" t="inlineStr">
        <is>
          <t>VÄSTERBOTTENS LÄN</t>
        </is>
      </c>
      <c r="E4012" t="inlineStr">
        <is>
          <t>SKELLEFTEÅ</t>
        </is>
      </c>
      <c r="F4012" t="inlineStr">
        <is>
          <t>Holmen skog AB</t>
        </is>
      </c>
      <c r="G4012" t="n">
        <v>21.6</v>
      </c>
      <c r="H4012" t="n">
        <v>0</v>
      </c>
      <c r="I4012" t="n">
        <v>0</v>
      </c>
      <c r="J4012" t="n">
        <v>0</v>
      </c>
      <c r="K4012" t="n">
        <v>0</v>
      </c>
      <c r="L4012" t="n">
        <v>0</v>
      </c>
      <c r="M4012" t="n">
        <v>0</v>
      </c>
      <c r="N4012" t="n">
        <v>0</v>
      </c>
      <c r="O4012" t="n">
        <v>0</v>
      </c>
      <c r="P4012" t="n">
        <v>0</v>
      </c>
      <c r="Q4012" t="n">
        <v>0</v>
      </c>
      <c r="R4012" s="2" t="inlineStr"/>
    </row>
    <row r="4013" ht="15" customHeight="1">
      <c r="A4013" t="inlineStr">
        <is>
          <t>A 41484-2022</t>
        </is>
      </c>
      <c r="B4013" s="1" t="n">
        <v>44826</v>
      </c>
      <c r="C4013" s="1" t="n">
        <v>46075</v>
      </c>
      <c r="D4013" t="inlineStr">
        <is>
          <t>VÄSTERBOTTENS LÄN</t>
        </is>
      </c>
      <c r="E4013" t="inlineStr">
        <is>
          <t>VILHELMINA</t>
        </is>
      </c>
      <c r="F4013" t="inlineStr">
        <is>
          <t>SCA</t>
        </is>
      </c>
      <c r="G4013" t="n">
        <v>18.1</v>
      </c>
      <c r="H4013" t="n">
        <v>0</v>
      </c>
      <c r="I4013" t="n">
        <v>0</v>
      </c>
      <c r="J4013" t="n">
        <v>0</v>
      </c>
      <c r="K4013" t="n">
        <v>0</v>
      </c>
      <c r="L4013" t="n">
        <v>0</v>
      </c>
      <c r="M4013" t="n">
        <v>0</v>
      </c>
      <c r="N4013" t="n">
        <v>0</v>
      </c>
      <c r="O4013" t="n">
        <v>0</v>
      </c>
      <c r="P4013" t="n">
        <v>0</v>
      </c>
      <c r="Q4013" t="n">
        <v>0</v>
      </c>
      <c r="R4013" s="2" t="inlineStr"/>
    </row>
    <row r="4014" ht="15" customHeight="1">
      <c r="A4014" t="inlineStr">
        <is>
          <t>A 17628-2025</t>
        </is>
      </c>
      <c r="B4014" s="1" t="n">
        <v>45757.97299768519</v>
      </c>
      <c r="C4014" s="1" t="n">
        <v>46075</v>
      </c>
      <c r="D4014" t="inlineStr">
        <is>
          <t>VÄSTERBOTTENS LÄN</t>
        </is>
      </c>
      <c r="E4014" t="inlineStr">
        <is>
          <t>SKELLEFTEÅ</t>
        </is>
      </c>
      <c r="G4014" t="n">
        <v>2.4</v>
      </c>
      <c r="H4014" t="n">
        <v>0</v>
      </c>
      <c r="I4014" t="n">
        <v>0</v>
      </c>
      <c r="J4014" t="n">
        <v>0</v>
      </c>
      <c r="K4014" t="n">
        <v>0</v>
      </c>
      <c r="L4014" t="n">
        <v>0</v>
      </c>
      <c r="M4014" t="n">
        <v>0</v>
      </c>
      <c r="N4014" t="n">
        <v>0</v>
      </c>
      <c r="O4014" t="n">
        <v>0</v>
      </c>
      <c r="P4014" t="n">
        <v>0</v>
      </c>
      <c r="Q4014" t="n">
        <v>0</v>
      </c>
      <c r="R4014" s="2" t="inlineStr"/>
    </row>
    <row r="4015" ht="15" customHeight="1">
      <c r="A4015" t="inlineStr">
        <is>
          <t>A 32312-2025</t>
        </is>
      </c>
      <c r="B4015" s="1" t="n">
        <v>45835.83712962963</v>
      </c>
      <c r="C4015" s="1" t="n">
        <v>46075</v>
      </c>
      <c r="D4015" t="inlineStr">
        <is>
          <t>VÄSTERBOTTENS LÄN</t>
        </is>
      </c>
      <c r="E4015" t="inlineStr">
        <is>
          <t>NORDMALING</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17982-2025</t>
        </is>
      </c>
      <c r="B4016" s="1" t="n">
        <v>45761.38211805555</v>
      </c>
      <c r="C4016" s="1" t="n">
        <v>46075</v>
      </c>
      <c r="D4016" t="inlineStr">
        <is>
          <t>VÄSTERBOTTENS LÄN</t>
        </is>
      </c>
      <c r="E4016" t="inlineStr">
        <is>
          <t>LYCKSELE</t>
        </is>
      </c>
      <c r="G4016" t="n">
        <v>4.8</v>
      </c>
      <c r="H4016" t="n">
        <v>0</v>
      </c>
      <c r="I4016" t="n">
        <v>0</v>
      </c>
      <c r="J4016" t="n">
        <v>0</v>
      </c>
      <c r="K4016" t="n">
        <v>0</v>
      </c>
      <c r="L4016" t="n">
        <v>0</v>
      </c>
      <c r="M4016" t="n">
        <v>0</v>
      </c>
      <c r="N4016" t="n">
        <v>0</v>
      </c>
      <c r="O4016" t="n">
        <v>0</v>
      </c>
      <c r="P4016" t="n">
        <v>0</v>
      </c>
      <c r="Q4016" t="n">
        <v>0</v>
      </c>
      <c r="R4016" s="2" t="inlineStr"/>
    </row>
    <row r="4017" ht="15" customHeight="1">
      <c r="A4017" t="inlineStr">
        <is>
          <t>A 18365-2023</t>
        </is>
      </c>
      <c r="B4017" s="1" t="n">
        <v>45041</v>
      </c>
      <c r="C4017" s="1" t="n">
        <v>46075</v>
      </c>
      <c r="D4017" t="inlineStr">
        <is>
          <t>VÄSTERBOTTENS LÄN</t>
        </is>
      </c>
      <c r="E4017" t="inlineStr">
        <is>
          <t>LYCKSELE</t>
        </is>
      </c>
      <c r="F4017" t="inlineStr">
        <is>
          <t>SCA</t>
        </is>
      </c>
      <c r="G4017" t="n">
        <v>22.4</v>
      </c>
      <c r="H4017" t="n">
        <v>0</v>
      </c>
      <c r="I4017" t="n">
        <v>0</v>
      </c>
      <c r="J4017" t="n">
        <v>0</v>
      </c>
      <c r="K4017" t="n">
        <v>0</v>
      </c>
      <c r="L4017" t="n">
        <v>0</v>
      </c>
      <c r="M4017" t="n">
        <v>0</v>
      </c>
      <c r="N4017" t="n">
        <v>0</v>
      </c>
      <c r="O4017" t="n">
        <v>0</v>
      </c>
      <c r="P4017" t="n">
        <v>0</v>
      </c>
      <c r="Q4017" t="n">
        <v>0</v>
      </c>
      <c r="R4017" s="2" t="inlineStr"/>
    </row>
    <row r="4018" ht="15" customHeight="1">
      <c r="A4018" t="inlineStr">
        <is>
          <t>A 20594-2023</t>
        </is>
      </c>
      <c r="B4018" s="1" t="n">
        <v>45057.9408912037</v>
      </c>
      <c r="C4018" s="1" t="n">
        <v>46075</v>
      </c>
      <c r="D4018" t="inlineStr">
        <is>
          <t>VÄSTERBOTTENS LÄN</t>
        </is>
      </c>
      <c r="E4018" t="inlineStr">
        <is>
          <t>BJURHOLM</t>
        </is>
      </c>
      <c r="F4018" t="inlineStr">
        <is>
          <t>SCA</t>
        </is>
      </c>
      <c r="G4018" t="n">
        <v>6</v>
      </c>
      <c r="H4018" t="n">
        <v>0</v>
      </c>
      <c r="I4018" t="n">
        <v>0</v>
      </c>
      <c r="J4018" t="n">
        <v>0</v>
      </c>
      <c r="K4018" t="n">
        <v>0</v>
      </c>
      <c r="L4018" t="n">
        <v>0</v>
      </c>
      <c r="M4018" t="n">
        <v>0</v>
      </c>
      <c r="N4018" t="n">
        <v>0</v>
      </c>
      <c r="O4018" t="n">
        <v>0</v>
      </c>
      <c r="P4018" t="n">
        <v>0</v>
      </c>
      <c r="Q4018" t="n">
        <v>0</v>
      </c>
      <c r="R4018" s="2" t="inlineStr"/>
    </row>
    <row r="4019" ht="15" customHeight="1">
      <c r="A4019" t="inlineStr">
        <is>
          <t>A 30879-2025</t>
        </is>
      </c>
      <c r="B4019" s="1" t="n">
        <v>45832.34510416666</v>
      </c>
      <c r="C4019" s="1" t="n">
        <v>46075</v>
      </c>
      <c r="D4019" t="inlineStr">
        <is>
          <t>VÄSTERBOTTENS LÄN</t>
        </is>
      </c>
      <c r="E4019" t="inlineStr">
        <is>
          <t>ÅSELE</t>
        </is>
      </c>
      <c r="F4019" t="inlineStr">
        <is>
          <t>SCA</t>
        </is>
      </c>
      <c r="G4019" t="n">
        <v>19.5</v>
      </c>
      <c r="H4019" t="n">
        <v>0</v>
      </c>
      <c r="I4019" t="n">
        <v>0</v>
      </c>
      <c r="J4019" t="n">
        <v>0</v>
      </c>
      <c r="K4019" t="n">
        <v>0</v>
      </c>
      <c r="L4019" t="n">
        <v>0</v>
      </c>
      <c r="M4019" t="n">
        <v>0</v>
      </c>
      <c r="N4019" t="n">
        <v>0</v>
      </c>
      <c r="O4019" t="n">
        <v>0</v>
      </c>
      <c r="P4019" t="n">
        <v>0</v>
      </c>
      <c r="Q4019" t="n">
        <v>0</v>
      </c>
      <c r="R4019" s="2" t="inlineStr"/>
    </row>
    <row r="4020" ht="15" customHeight="1">
      <c r="A4020" t="inlineStr">
        <is>
          <t>A 17384-2024</t>
        </is>
      </c>
      <c r="B4020" s="1" t="n">
        <v>45414</v>
      </c>
      <c r="C4020" s="1" t="n">
        <v>46075</v>
      </c>
      <c r="D4020" t="inlineStr">
        <is>
          <t>VÄSTERBOTTENS LÄN</t>
        </is>
      </c>
      <c r="E4020" t="inlineStr">
        <is>
          <t>SORSELE</t>
        </is>
      </c>
      <c r="G4020" t="n">
        <v>4.3</v>
      </c>
      <c r="H4020" t="n">
        <v>0</v>
      </c>
      <c r="I4020" t="n">
        <v>0</v>
      </c>
      <c r="J4020" t="n">
        <v>0</v>
      </c>
      <c r="K4020" t="n">
        <v>0</v>
      </c>
      <c r="L4020" t="n">
        <v>0</v>
      </c>
      <c r="M4020" t="n">
        <v>0</v>
      </c>
      <c r="N4020" t="n">
        <v>0</v>
      </c>
      <c r="O4020" t="n">
        <v>0</v>
      </c>
      <c r="P4020" t="n">
        <v>0</v>
      </c>
      <c r="Q4020" t="n">
        <v>0</v>
      </c>
      <c r="R4020" s="2" t="inlineStr"/>
    </row>
    <row r="4021" ht="15" customHeight="1">
      <c r="A4021" t="inlineStr">
        <is>
          <t>A 20384-2025</t>
        </is>
      </c>
      <c r="B4021" s="1" t="n">
        <v>45775.44128472222</v>
      </c>
      <c r="C4021" s="1" t="n">
        <v>46075</v>
      </c>
      <c r="D4021" t="inlineStr">
        <is>
          <t>VÄSTERBOTTENS LÄN</t>
        </is>
      </c>
      <c r="E4021" t="inlineStr">
        <is>
          <t>ÅSELE</t>
        </is>
      </c>
      <c r="G4021" t="n">
        <v>12.6</v>
      </c>
      <c r="H4021" t="n">
        <v>0</v>
      </c>
      <c r="I4021" t="n">
        <v>0</v>
      </c>
      <c r="J4021" t="n">
        <v>0</v>
      </c>
      <c r="K4021" t="n">
        <v>0</v>
      </c>
      <c r="L4021" t="n">
        <v>0</v>
      </c>
      <c r="M4021" t="n">
        <v>0</v>
      </c>
      <c r="N4021" t="n">
        <v>0</v>
      </c>
      <c r="O4021" t="n">
        <v>0</v>
      </c>
      <c r="P4021" t="n">
        <v>0</v>
      </c>
      <c r="Q4021" t="n">
        <v>0</v>
      </c>
      <c r="R4021" s="2" t="inlineStr"/>
    </row>
    <row r="4022" ht="15" customHeight="1">
      <c r="A4022" t="inlineStr">
        <is>
          <t>A 16669-2022</t>
        </is>
      </c>
      <c r="B4022" s="1" t="n">
        <v>44672.92575231481</v>
      </c>
      <c r="C4022" s="1" t="n">
        <v>46075</v>
      </c>
      <c r="D4022" t="inlineStr">
        <is>
          <t>VÄSTERBOTTENS LÄN</t>
        </is>
      </c>
      <c r="E4022" t="inlineStr">
        <is>
          <t>LYCKSELE</t>
        </is>
      </c>
      <c r="G4022" t="n">
        <v>12.8</v>
      </c>
      <c r="H4022" t="n">
        <v>0</v>
      </c>
      <c r="I4022" t="n">
        <v>0</v>
      </c>
      <c r="J4022" t="n">
        <v>0</v>
      </c>
      <c r="K4022" t="n">
        <v>0</v>
      </c>
      <c r="L4022" t="n">
        <v>0</v>
      </c>
      <c r="M4022" t="n">
        <v>0</v>
      </c>
      <c r="N4022" t="n">
        <v>0</v>
      </c>
      <c r="O4022" t="n">
        <v>0</v>
      </c>
      <c r="P4022" t="n">
        <v>0</v>
      </c>
      <c r="Q4022" t="n">
        <v>0</v>
      </c>
      <c r="R4022" s="2" t="inlineStr"/>
    </row>
    <row r="4023" ht="15" customHeight="1">
      <c r="A4023" t="inlineStr">
        <is>
          <t>A 41255-2025</t>
        </is>
      </c>
      <c r="B4023" s="1" t="n">
        <v>45898.60793981481</v>
      </c>
      <c r="C4023" s="1" t="n">
        <v>46075</v>
      </c>
      <c r="D4023" t="inlineStr">
        <is>
          <t>VÄSTERBOTTENS LÄN</t>
        </is>
      </c>
      <c r="E4023" t="inlineStr">
        <is>
          <t>BJURHOLM</t>
        </is>
      </c>
      <c r="F4023" t="inlineStr">
        <is>
          <t>Holmen skog AB</t>
        </is>
      </c>
      <c r="G4023" t="n">
        <v>8.800000000000001</v>
      </c>
      <c r="H4023" t="n">
        <v>0</v>
      </c>
      <c r="I4023" t="n">
        <v>0</v>
      </c>
      <c r="J4023" t="n">
        <v>0</v>
      </c>
      <c r="K4023" t="n">
        <v>0</v>
      </c>
      <c r="L4023" t="n">
        <v>0</v>
      </c>
      <c r="M4023" t="n">
        <v>0</v>
      </c>
      <c r="N4023" t="n">
        <v>0</v>
      </c>
      <c r="O4023" t="n">
        <v>0</v>
      </c>
      <c r="P4023" t="n">
        <v>0</v>
      </c>
      <c r="Q4023" t="n">
        <v>0</v>
      </c>
      <c r="R4023" s="2" t="inlineStr"/>
    </row>
    <row r="4024" ht="15" customHeight="1">
      <c r="A4024" t="inlineStr">
        <is>
          <t>A 25182-2025</t>
        </is>
      </c>
      <c r="B4024" s="1" t="n">
        <v>45800.44905092593</v>
      </c>
      <c r="C4024" s="1" t="n">
        <v>46075</v>
      </c>
      <c r="D4024" t="inlineStr">
        <is>
          <t>VÄSTERBOTTENS LÄN</t>
        </is>
      </c>
      <c r="E4024" t="inlineStr">
        <is>
          <t>SKELLEFTEÅ</t>
        </is>
      </c>
      <c r="G4024" t="n">
        <v>19.3</v>
      </c>
      <c r="H4024" t="n">
        <v>0</v>
      </c>
      <c r="I4024" t="n">
        <v>0</v>
      </c>
      <c r="J4024" t="n">
        <v>0</v>
      </c>
      <c r="K4024" t="n">
        <v>0</v>
      </c>
      <c r="L4024" t="n">
        <v>0</v>
      </c>
      <c r="M4024" t="n">
        <v>0</v>
      </c>
      <c r="N4024" t="n">
        <v>0</v>
      </c>
      <c r="O4024" t="n">
        <v>0</v>
      </c>
      <c r="P4024" t="n">
        <v>0</v>
      </c>
      <c r="Q4024" t="n">
        <v>0</v>
      </c>
      <c r="R4024" s="2" t="inlineStr"/>
    </row>
    <row r="4025" ht="15" customHeight="1">
      <c r="A4025" t="inlineStr">
        <is>
          <t>A 31501-2025</t>
        </is>
      </c>
      <c r="B4025" s="1" t="n">
        <v>45833.59173611111</v>
      </c>
      <c r="C4025" s="1" t="n">
        <v>46075</v>
      </c>
      <c r="D4025" t="inlineStr">
        <is>
          <t>VÄSTERBOTTENS LÄN</t>
        </is>
      </c>
      <c r="E4025" t="inlineStr">
        <is>
          <t>NORSJÖ</t>
        </is>
      </c>
      <c r="G4025" t="n">
        <v>7.8</v>
      </c>
      <c r="H4025" t="n">
        <v>0</v>
      </c>
      <c r="I4025" t="n">
        <v>0</v>
      </c>
      <c r="J4025" t="n">
        <v>0</v>
      </c>
      <c r="K4025" t="n">
        <v>0</v>
      </c>
      <c r="L4025" t="n">
        <v>0</v>
      </c>
      <c r="M4025" t="n">
        <v>0</v>
      </c>
      <c r="N4025" t="n">
        <v>0</v>
      </c>
      <c r="O4025" t="n">
        <v>0</v>
      </c>
      <c r="P4025" t="n">
        <v>0</v>
      </c>
      <c r="Q4025" t="n">
        <v>0</v>
      </c>
      <c r="R4025" s="2" t="inlineStr"/>
    </row>
    <row r="4026" ht="15" customHeight="1">
      <c r="A4026" t="inlineStr">
        <is>
          <t>A 28019-2023</t>
        </is>
      </c>
      <c r="B4026" s="1" t="n">
        <v>45098</v>
      </c>
      <c r="C4026" s="1" t="n">
        <v>46075</v>
      </c>
      <c r="D4026" t="inlineStr">
        <is>
          <t>VÄSTERBOTTENS LÄN</t>
        </is>
      </c>
      <c r="E4026" t="inlineStr">
        <is>
          <t>STORUMAN</t>
        </is>
      </c>
      <c r="G4026" t="n">
        <v>11.4</v>
      </c>
      <c r="H4026" t="n">
        <v>0</v>
      </c>
      <c r="I4026" t="n">
        <v>0</v>
      </c>
      <c r="J4026" t="n">
        <v>0</v>
      </c>
      <c r="K4026" t="n">
        <v>0</v>
      </c>
      <c r="L4026" t="n">
        <v>0</v>
      </c>
      <c r="M4026" t="n">
        <v>0</v>
      </c>
      <c r="N4026" t="n">
        <v>0</v>
      </c>
      <c r="O4026" t="n">
        <v>0</v>
      </c>
      <c r="P4026" t="n">
        <v>0</v>
      </c>
      <c r="Q4026" t="n">
        <v>0</v>
      </c>
      <c r="R4026" s="2" t="inlineStr"/>
    </row>
    <row r="4027" ht="15" customHeight="1">
      <c r="A4027" t="inlineStr">
        <is>
          <t>A 31044-2025</t>
        </is>
      </c>
      <c r="B4027" s="1" t="n">
        <v>45832.55402777778</v>
      </c>
      <c r="C4027" s="1" t="n">
        <v>46075</v>
      </c>
      <c r="D4027" t="inlineStr">
        <is>
          <t>VÄSTERBOTTENS LÄN</t>
        </is>
      </c>
      <c r="E4027" t="inlineStr">
        <is>
          <t>LYCKSELE</t>
        </is>
      </c>
      <c r="F4027" t="inlineStr">
        <is>
          <t>Sveaskog</t>
        </is>
      </c>
      <c r="G4027" t="n">
        <v>22.9</v>
      </c>
      <c r="H4027" t="n">
        <v>0</v>
      </c>
      <c r="I4027" t="n">
        <v>0</v>
      </c>
      <c r="J4027" t="n">
        <v>0</v>
      </c>
      <c r="K4027" t="n">
        <v>0</v>
      </c>
      <c r="L4027" t="n">
        <v>0</v>
      </c>
      <c r="M4027" t="n">
        <v>0</v>
      </c>
      <c r="N4027" t="n">
        <v>0</v>
      </c>
      <c r="O4027" t="n">
        <v>0</v>
      </c>
      <c r="P4027" t="n">
        <v>0</v>
      </c>
      <c r="Q4027" t="n">
        <v>0</v>
      </c>
      <c r="R4027" s="2" t="inlineStr"/>
    </row>
    <row r="4028" ht="15" customHeight="1">
      <c r="A4028" t="inlineStr">
        <is>
          <t>A 31532-2025</t>
        </is>
      </c>
      <c r="B4028" s="1" t="n">
        <v>45833.61688657408</v>
      </c>
      <c r="C4028" s="1" t="n">
        <v>46075</v>
      </c>
      <c r="D4028" t="inlineStr">
        <is>
          <t>VÄSTERBOTTENS LÄN</t>
        </is>
      </c>
      <c r="E4028" t="inlineStr">
        <is>
          <t>DOROTEA</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18584-2022</t>
        </is>
      </c>
      <c r="B4029" s="1" t="n">
        <v>44687</v>
      </c>
      <c r="C4029" s="1" t="n">
        <v>46075</v>
      </c>
      <c r="D4029" t="inlineStr">
        <is>
          <t>VÄSTERBOTTENS LÄN</t>
        </is>
      </c>
      <c r="E4029" t="inlineStr">
        <is>
          <t>SKELLEFTEÅ</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30991-2025</t>
        </is>
      </c>
      <c r="B4030" s="1" t="n">
        <v>45832.48483796296</v>
      </c>
      <c r="C4030" s="1" t="n">
        <v>46075</v>
      </c>
      <c r="D4030" t="inlineStr">
        <is>
          <t>VÄSTERBOTTENS LÄN</t>
        </is>
      </c>
      <c r="E4030" t="inlineStr">
        <is>
          <t>VINDELN</t>
        </is>
      </c>
      <c r="F4030" t="inlineStr">
        <is>
          <t>Holmen skog AB</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34333-2025</t>
        </is>
      </c>
      <c r="B4031" s="1" t="n">
        <v>45846.45019675926</v>
      </c>
      <c r="C4031" s="1" t="n">
        <v>46075</v>
      </c>
      <c r="D4031" t="inlineStr">
        <is>
          <t>VÄSTERBOTTENS LÄN</t>
        </is>
      </c>
      <c r="E4031" t="inlineStr">
        <is>
          <t>BJURHOLM</t>
        </is>
      </c>
      <c r="G4031" t="n">
        <v>2.9</v>
      </c>
      <c r="H4031" t="n">
        <v>0</v>
      </c>
      <c r="I4031" t="n">
        <v>0</v>
      </c>
      <c r="J4031" t="n">
        <v>0</v>
      </c>
      <c r="K4031" t="n">
        <v>0</v>
      </c>
      <c r="L4031" t="n">
        <v>0</v>
      </c>
      <c r="M4031" t="n">
        <v>0</v>
      </c>
      <c r="N4031" t="n">
        <v>0</v>
      </c>
      <c r="O4031" t="n">
        <v>0</v>
      </c>
      <c r="P4031" t="n">
        <v>0</v>
      </c>
      <c r="Q4031" t="n">
        <v>0</v>
      </c>
      <c r="R4031" s="2" t="inlineStr"/>
    </row>
    <row r="4032" ht="15" customHeight="1">
      <c r="A4032" t="inlineStr">
        <is>
          <t>A 31022-2025</t>
        </is>
      </c>
      <c r="B4032" s="1" t="n">
        <v>45832.51869212963</v>
      </c>
      <c r="C4032" s="1" t="n">
        <v>46075</v>
      </c>
      <c r="D4032" t="inlineStr">
        <is>
          <t>VÄSTERBOTTENS LÄN</t>
        </is>
      </c>
      <c r="E4032" t="inlineStr">
        <is>
          <t>LYCKSELE</t>
        </is>
      </c>
      <c r="F4032" t="inlineStr">
        <is>
          <t>Sveaskog</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31037-2025</t>
        </is>
      </c>
      <c r="B4033" s="1" t="n">
        <v>45832.54769675926</v>
      </c>
      <c r="C4033" s="1" t="n">
        <v>46075</v>
      </c>
      <c r="D4033" t="inlineStr">
        <is>
          <t>VÄSTERBOTTENS LÄN</t>
        </is>
      </c>
      <c r="E4033" t="inlineStr">
        <is>
          <t>UMEÅ</t>
        </is>
      </c>
      <c r="G4033" t="n">
        <v>5</v>
      </c>
      <c r="H4033" t="n">
        <v>0</v>
      </c>
      <c r="I4033" t="n">
        <v>0</v>
      </c>
      <c r="J4033" t="n">
        <v>0</v>
      </c>
      <c r="K4033" t="n">
        <v>0</v>
      </c>
      <c r="L4033" t="n">
        <v>0</v>
      </c>
      <c r="M4033" t="n">
        <v>0</v>
      </c>
      <c r="N4033" t="n">
        <v>0</v>
      </c>
      <c r="O4033" t="n">
        <v>0</v>
      </c>
      <c r="P4033" t="n">
        <v>0</v>
      </c>
      <c r="Q4033" t="n">
        <v>0</v>
      </c>
      <c r="R4033" s="2" t="inlineStr"/>
    </row>
    <row r="4034" ht="15" customHeight="1">
      <c r="A4034" t="inlineStr">
        <is>
          <t>A 31510-2025</t>
        </is>
      </c>
      <c r="B4034" s="1" t="n">
        <v>45833.59679398148</v>
      </c>
      <c r="C4034" s="1" t="n">
        <v>46075</v>
      </c>
      <c r="D4034" t="inlineStr">
        <is>
          <t>VÄSTERBOTTENS LÄN</t>
        </is>
      </c>
      <c r="E4034" t="inlineStr">
        <is>
          <t>DOROTEA</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40943-2025</t>
        </is>
      </c>
      <c r="B4035" s="1" t="n">
        <v>45897</v>
      </c>
      <c r="C4035" s="1" t="n">
        <v>46075</v>
      </c>
      <c r="D4035" t="inlineStr">
        <is>
          <t>VÄSTERBOTTENS LÄN</t>
        </is>
      </c>
      <c r="E4035" t="inlineStr">
        <is>
          <t>MALÅ</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63103-2021</t>
        </is>
      </c>
      <c r="B4036" s="1" t="n">
        <v>44505</v>
      </c>
      <c r="C4036" s="1" t="n">
        <v>46075</v>
      </c>
      <c r="D4036" t="inlineStr">
        <is>
          <t>VÄSTERBOTTENS LÄN</t>
        </is>
      </c>
      <c r="E4036" t="inlineStr">
        <is>
          <t>SORSELE</t>
        </is>
      </c>
      <c r="G4036" t="n">
        <v>13.9</v>
      </c>
      <c r="H4036" t="n">
        <v>0</v>
      </c>
      <c r="I4036" t="n">
        <v>0</v>
      </c>
      <c r="J4036" t="n">
        <v>0</v>
      </c>
      <c r="K4036" t="n">
        <v>0</v>
      </c>
      <c r="L4036" t="n">
        <v>0</v>
      </c>
      <c r="M4036" t="n">
        <v>0</v>
      </c>
      <c r="N4036" t="n">
        <v>0</v>
      </c>
      <c r="O4036" t="n">
        <v>0</v>
      </c>
      <c r="P4036" t="n">
        <v>0</v>
      </c>
      <c r="Q4036" t="n">
        <v>0</v>
      </c>
      <c r="R4036" s="2" t="inlineStr"/>
    </row>
    <row r="4037" ht="15" customHeight="1">
      <c r="A4037" t="inlineStr">
        <is>
          <t>A 50539-2022</t>
        </is>
      </c>
      <c r="B4037" s="1" t="n">
        <v>44866</v>
      </c>
      <c r="C4037" s="1" t="n">
        <v>46075</v>
      </c>
      <c r="D4037" t="inlineStr">
        <is>
          <t>VÄSTERBOTTENS LÄN</t>
        </is>
      </c>
      <c r="E4037" t="inlineStr">
        <is>
          <t>ÅSELE</t>
        </is>
      </c>
      <c r="F4037" t="inlineStr">
        <is>
          <t>Holmen skog AB</t>
        </is>
      </c>
      <c r="G4037" t="n">
        <v>4.9</v>
      </c>
      <c r="H4037" t="n">
        <v>0</v>
      </c>
      <c r="I4037" t="n">
        <v>0</v>
      </c>
      <c r="J4037" t="n">
        <v>0</v>
      </c>
      <c r="K4037" t="n">
        <v>0</v>
      </c>
      <c r="L4037" t="n">
        <v>0</v>
      </c>
      <c r="M4037" t="n">
        <v>0</v>
      </c>
      <c r="N4037" t="n">
        <v>0</v>
      </c>
      <c r="O4037" t="n">
        <v>0</v>
      </c>
      <c r="P4037" t="n">
        <v>0</v>
      </c>
      <c r="Q4037" t="n">
        <v>0</v>
      </c>
      <c r="R4037" s="2" t="inlineStr"/>
    </row>
    <row r="4038" ht="15" customHeight="1">
      <c r="A4038" t="inlineStr">
        <is>
          <t>A 41058-2025</t>
        </is>
      </c>
      <c r="B4038" s="1" t="n">
        <v>45898.40689814815</v>
      </c>
      <c r="C4038" s="1" t="n">
        <v>46075</v>
      </c>
      <c r="D4038" t="inlineStr">
        <is>
          <t>VÄSTERBOTTENS LÄN</t>
        </is>
      </c>
      <c r="E4038" t="inlineStr">
        <is>
          <t>SKELLEFTEÅ</t>
        </is>
      </c>
      <c r="F4038" t="inlineStr">
        <is>
          <t>SCA</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41101-2025</t>
        </is>
      </c>
      <c r="B4039" s="1" t="n">
        <v>45898</v>
      </c>
      <c r="C4039" s="1" t="n">
        <v>46075</v>
      </c>
      <c r="D4039" t="inlineStr">
        <is>
          <t>VÄSTERBOTTENS LÄN</t>
        </is>
      </c>
      <c r="E4039" t="inlineStr">
        <is>
          <t>VINDELN</t>
        </is>
      </c>
      <c r="G4039" t="n">
        <v>10.8</v>
      </c>
      <c r="H4039" t="n">
        <v>0</v>
      </c>
      <c r="I4039" t="n">
        <v>0</v>
      </c>
      <c r="J4039" t="n">
        <v>0</v>
      </c>
      <c r="K4039" t="n">
        <v>0</v>
      </c>
      <c r="L4039" t="n">
        <v>0</v>
      </c>
      <c r="M4039" t="n">
        <v>0</v>
      </c>
      <c r="N4039" t="n">
        <v>0</v>
      </c>
      <c r="O4039" t="n">
        <v>0</v>
      </c>
      <c r="P4039" t="n">
        <v>0</v>
      </c>
      <c r="Q4039" t="n">
        <v>0</v>
      </c>
      <c r="R4039" s="2" t="inlineStr"/>
    </row>
    <row r="4040" ht="15" customHeight="1">
      <c r="A4040" t="inlineStr">
        <is>
          <t>A 41102-2025</t>
        </is>
      </c>
      <c r="B4040" s="1" t="n">
        <v>45898.45258101852</v>
      </c>
      <c r="C4040" s="1" t="n">
        <v>46075</v>
      </c>
      <c r="D4040" t="inlineStr">
        <is>
          <t>VÄSTERBOTTENS LÄN</t>
        </is>
      </c>
      <c r="E4040" t="inlineStr">
        <is>
          <t>SKELLEFTEÅ</t>
        </is>
      </c>
      <c r="G4040" t="n">
        <v>6.3</v>
      </c>
      <c r="H4040" t="n">
        <v>0</v>
      </c>
      <c r="I4040" t="n">
        <v>0</v>
      </c>
      <c r="J4040" t="n">
        <v>0</v>
      </c>
      <c r="K4040" t="n">
        <v>0</v>
      </c>
      <c r="L4040" t="n">
        <v>0</v>
      </c>
      <c r="M4040" t="n">
        <v>0</v>
      </c>
      <c r="N4040" t="n">
        <v>0</v>
      </c>
      <c r="O4040" t="n">
        <v>0</v>
      </c>
      <c r="P4040" t="n">
        <v>0</v>
      </c>
      <c r="Q4040" t="n">
        <v>0</v>
      </c>
      <c r="R4040" s="2" t="inlineStr"/>
    </row>
    <row r="4041" ht="15" customHeight="1">
      <c r="A4041" t="inlineStr">
        <is>
          <t>A 31308-2025</t>
        </is>
      </c>
      <c r="B4041" s="1" t="n">
        <v>45833</v>
      </c>
      <c r="C4041" s="1" t="n">
        <v>46075</v>
      </c>
      <c r="D4041" t="inlineStr">
        <is>
          <t>VÄSTERBOTTENS LÄN</t>
        </is>
      </c>
      <c r="E4041" t="inlineStr">
        <is>
          <t>VILHELMINA</t>
        </is>
      </c>
      <c r="G4041" t="n">
        <v>3.2</v>
      </c>
      <c r="H4041" t="n">
        <v>0</v>
      </c>
      <c r="I4041" t="n">
        <v>0</v>
      </c>
      <c r="J4041" t="n">
        <v>0</v>
      </c>
      <c r="K4041" t="n">
        <v>0</v>
      </c>
      <c r="L4041" t="n">
        <v>0</v>
      </c>
      <c r="M4041" t="n">
        <v>0</v>
      </c>
      <c r="N4041" t="n">
        <v>0</v>
      </c>
      <c r="O4041" t="n">
        <v>0</v>
      </c>
      <c r="P4041" t="n">
        <v>0</v>
      </c>
      <c r="Q4041" t="n">
        <v>0</v>
      </c>
      <c r="R4041" s="2" t="inlineStr"/>
    </row>
    <row r="4042" ht="15" customHeight="1">
      <c r="A4042" t="inlineStr">
        <is>
          <t>A 41141-2025</t>
        </is>
      </c>
      <c r="B4042" s="1" t="n">
        <v>45898.49034722222</v>
      </c>
      <c r="C4042" s="1" t="n">
        <v>46075</v>
      </c>
      <c r="D4042" t="inlineStr">
        <is>
          <t>VÄSTERBOTTENS LÄN</t>
        </is>
      </c>
      <c r="E4042" t="inlineStr">
        <is>
          <t>STORUMAN</t>
        </is>
      </c>
      <c r="F4042" t="inlineStr">
        <is>
          <t>Sveaskog</t>
        </is>
      </c>
      <c r="G4042" t="n">
        <v>0.4</v>
      </c>
      <c r="H4042" t="n">
        <v>0</v>
      </c>
      <c r="I4042" t="n">
        <v>0</v>
      </c>
      <c r="J4042" t="n">
        <v>0</v>
      </c>
      <c r="K4042" t="n">
        <v>0</v>
      </c>
      <c r="L4042" t="n">
        <v>0</v>
      </c>
      <c r="M4042" t="n">
        <v>0</v>
      </c>
      <c r="N4042" t="n">
        <v>0</v>
      </c>
      <c r="O4042" t="n">
        <v>0</v>
      </c>
      <c r="P4042" t="n">
        <v>0</v>
      </c>
      <c r="Q4042" t="n">
        <v>0</v>
      </c>
      <c r="R4042" s="2" t="inlineStr"/>
    </row>
    <row r="4043" ht="15" customHeight="1">
      <c r="A4043" t="inlineStr">
        <is>
          <t>A 41176-2025</t>
        </is>
      </c>
      <c r="B4043" s="1" t="n">
        <v>45898</v>
      </c>
      <c r="C4043" s="1" t="n">
        <v>46075</v>
      </c>
      <c r="D4043" t="inlineStr">
        <is>
          <t>VÄSTERBOTTENS LÄN</t>
        </is>
      </c>
      <c r="E4043" t="inlineStr">
        <is>
          <t>UMEÅ</t>
        </is>
      </c>
      <c r="G4043" t="n">
        <v>4.3</v>
      </c>
      <c r="H4043" t="n">
        <v>0</v>
      </c>
      <c r="I4043" t="n">
        <v>0</v>
      </c>
      <c r="J4043" t="n">
        <v>0</v>
      </c>
      <c r="K4043" t="n">
        <v>0</v>
      </c>
      <c r="L4043" t="n">
        <v>0</v>
      </c>
      <c r="M4043" t="n">
        <v>0</v>
      </c>
      <c r="N4043" t="n">
        <v>0</v>
      </c>
      <c r="O4043" t="n">
        <v>0</v>
      </c>
      <c r="P4043" t="n">
        <v>0</v>
      </c>
      <c r="Q4043" t="n">
        <v>0</v>
      </c>
      <c r="R4043" s="2" t="inlineStr"/>
    </row>
    <row r="4044" ht="15" customHeight="1">
      <c r="A4044" t="inlineStr">
        <is>
          <t>A 44465-2022</t>
        </is>
      </c>
      <c r="B4044" s="1" t="n">
        <v>44840.30355324074</v>
      </c>
      <c r="C4044" s="1" t="n">
        <v>46075</v>
      </c>
      <c r="D4044" t="inlineStr">
        <is>
          <t>VÄSTERBOTTENS LÄN</t>
        </is>
      </c>
      <c r="E4044" t="inlineStr">
        <is>
          <t>LYCKSELE</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41198-2025</t>
        </is>
      </c>
      <c r="B4045" s="1" t="n">
        <v>45898.57359953703</v>
      </c>
      <c r="C4045" s="1" t="n">
        <v>46075</v>
      </c>
      <c r="D4045" t="inlineStr">
        <is>
          <t>VÄSTERBOTTENS LÄN</t>
        </is>
      </c>
      <c r="E4045" t="inlineStr">
        <is>
          <t>MALÅ</t>
        </is>
      </c>
      <c r="F4045" t="inlineStr">
        <is>
          <t>Sveaskog</t>
        </is>
      </c>
      <c r="G4045" t="n">
        <v>22.4</v>
      </c>
      <c r="H4045" t="n">
        <v>0</v>
      </c>
      <c r="I4045" t="n">
        <v>0</v>
      </c>
      <c r="J4045" t="n">
        <v>0</v>
      </c>
      <c r="K4045" t="n">
        <v>0</v>
      </c>
      <c r="L4045" t="n">
        <v>0</v>
      </c>
      <c r="M4045" t="n">
        <v>0</v>
      </c>
      <c r="N4045" t="n">
        <v>0</v>
      </c>
      <c r="O4045" t="n">
        <v>0</v>
      </c>
      <c r="P4045" t="n">
        <v>0</v>
      </c>
      <c r="Q4045" t="n">
        <v>0</v>
      </c>
      <c r="R4045" s="2" t="inlineStr"/>
    </row>
    <row r="4046" ht="15" customHeight="1">
      <c r="A4046" t="inlineStr">
        <is>
          <t>A 61800-2023</t>
        </is>
      </c>
      <c r="B4046" s="1" t="n">
        <v>45265.95873842593</v>
      </c>
      <c r="C4046" s="1" t="n">
        <v>46075</v>
      </c>
      <c r="D4046" t="inlineStr">
        <is>
          <t>VÄSTERBOTTENS LÄN</t>
        </is>
      </c>
      <c r="E4046" t="inlineStr">
        <is>
          <t>ÅSELE</t>
        </is>
      </c>
      <c r="F4046" t="inlineStr">
        <is>
          <t>SCA</t>
        </is>
      </c>
      <c r="G4046" t="n">
        <v>3.8</v>
      </c>
      <c r="H4046" t="n">
        <v>0</v>
      </c>
      <c r="I4046" t="n">
        <v>0</v>
      </c>
      <c r="J4046" t="n">
        <v>0</v>
      </c>
      <c r="K4046" t="n">
        <v>0</v>
      </c>
      <c r="L4046" t="n">
        <v>0</v>
      </c>
      <c r="M4046" t="n">
        <v>0</v>
      </c>
      <c r="N4046" t="n">
        <v>0</v>
      </c>
      <c r="O4046" t="n">
        <v>0</v>
      </c>
      <c r="P4046" t="n">
        <v>0</v>
      </c>
      <c r="Q4046" t="n">
        <v>0</v>
      </c>
      <c r="R4046" s="2" t="inlineStr"/>
    </row>
    <row r="4047" ht="15" customHeight="1">
      <c r="A4047" t="inlineStr">
        <is>
          <t>A 61801-2023</t>
        </is>
      </c>
      <c r="B4047" s="1" t="n">
        <v>45265.95881944444</v>
      </c>
      <c r="C4047" s="1" t="n">
        <v>46075</v>
      </c>
      <c r="D4047" t="inlineStr">
        <is>
          <t>VÄSTERBOTTENS LÄN</t>
        </is>
      </c>
      <c r="E4047" t="inlineStr">
        <is>
          <t>ÅSELE</t>
        </is>
      </c>
      <c r="F4047" t="inlineStr">
        <is>
          <t>SCA</t>
        </is>
      </c>
      <c r="G4047" t="n">
        <v>3.1</v>
      </c>
      <c r="H4047" t="n">
        <v>0</v>
      </c>
      <c r="I4047" t="n">
        <v>0</v>
      </c>
      <c r="J4047" t="n">
        <v>0</v>
      </c>
      <c r="K4047" t="n">
        <v>0</v>
      </c>
      <c r="L4047" t="n">
        <v>0</v>
      </c>
      <c r="M4047" t="n">
        <v>0</v>
      </c>
      <c r="N4047" t="n">
        <v>0</v>
      </c>
      <c r="O4047" t="n">
        <v>0</v>
      </c>
      <c r="P4047" t="n">
        <v>0</v>
      </c>
      <c r="Q4047" t="n">
        <v>0</v>
      </c>
      <c r="R4047" s="2" t="inlineStr"/>
    </row>
    <row r="4048" ht="15" customHeight="1">
      <c r="A4048" t="inlineStr">
        <is>
          <t>A 3562-2025</t>
        </is>
      </c>
      <c r="B4048" s="1" t="n">
        <v>45680</v>
      </c>
      <c r="C4048" s="1" t="n">
        <v>46075</v>
      </c>
      <c r="D4048" t="inlineStr">
        <is>
          <t>VÄSTERBOTTENS LÄN</t>
        </is>
      </c>
      <c r="E4048" t="inlineStr">
        <is>
          <t>DOROTEA</t>
        </is>
      </c>
      <c r="F4048" t="inlineStr">
        <is>
          <t>SCA</t>
        </is>
      </c>
      <c r="G4048" t="n">
        <v>12.5</v>
      </c>
      <c r="H4048" t="n">
        <v>0</v>
      </c>
      <c r="I4048" t="n">
        <v>0</v>
      </c>
      <c r="J4048" t="n">
        <v>0</v>
      </c>
      <c r="K4048" t="n">
        <v>0</v>
      </c>
      <c r="L4048" t="n">
        <v>0</v>
      </c>
      <c r="M4048" t="n">
        <v>0</v>
      </c>
      <c r="N4048" t="n">
        <v>0</v>
      </c>
      <c r="O4048" t="n">
        <v>0</v>
      </c>
      <c r="P4048" t="n">
        <v>0</v>
      </c>
      <c r="Q4048" t="n">
        <v>0</v>
      </c>
      <c r="R4048" s="2" t="inlineStr"/>
    </row>
    <row r="4049" ht="15" customHeight="1">
      <c r="A4049" t="inlineStr">
        <is>
          <t>A 31859-2025</t>
        </is>
      </c>
      <c r="B4049" s="1" t="n">
        <v>45834.6284375</v>
      </c>
      <c r="C4049" s="1" t="n">
        <v>46075</v>
      </c>
      <c r="D4049" t="inlineStr">
        <is>
          <t>VÄSTERBOTTENS LÄN</t>
        </is>
      </c>
      <c r="E4049" t="inlineStr">
        <is>
          <t>UMEÅ</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32163-2025</t>
        </is>
      </c>
      <c r="B4050" s="1" t="n">
        <v>45835</v>
      </c>
      <c r="C4050" s="1" t="n">
        <v>46075</v>
      </c>
      <c r="D4050" t="inlineStr">
        <is>
          <t>VÄSTERBOTTENS LÄN</t>
        </is>
      </c>
      <c r="E4050" t="inlineStr">
        <is>
          <t>ROBERTSFORS</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32170-2025</t>
        </is>
      </c>
      <c r="B4051" s="1" t="n">
        <v>45835</v>
      </c>
      <c r="C4051" s="1" t="n">
        <v>46075</v>
      </c>
      <c r="D4051" t="inlineStr">
        <is>
          <t>VÄSTERBOTTENS LÄN</t>
        </is>
      </c>
      <c r="E4051" t="inlineStr">
        <is>
          <t>ROBERTSFORS</t>
        </is>
      </c>
      <c r="G4051" t="n">
        <v>4.5</v>
      </c>
      <c r="H4051" t="n">
        <v>0</v>
      </c>
      <c r="I4051" t="n">
        <v>0</v>
      </c>
      <c r="J4051" t="n">
        <v>0</v>
      </c>
      <c r="K4051" t="n">
        <v>0</v>
      </c>
      <c r="L4051" t="n">
        <v>0</v>
      </c>
      <c r="M4051" t="n">
        <v>0</v>
      </c>
      <c r="N4051" t="n">
        <v>0</v>
      </c>
      <c r="O4051" t="n">
        <v>0</v>
      </c>
      <c r="P4051" t="n">
        <v>0</v>
      </c>
      <c r="Q4051" t="n">
        <v>0</v>
      </c>
      <c r="R4051" s="2" t="inlineStr"/>
    </row>
    <row r="4052" ht="15" customHeight="1">
      <c r="A4052" t="inlineStr">
        <is>
          <t>A 41365-2025</t>
        </is>
      </c>
      <c r="B4052" s="1" t="n">
        <v>45900.49813657408</v>
      </c>
      <c r="C4052" s="1" t="n">
        <v>46075</v>
      </c>
      <c r="D4052" t="inlineStr">
        <is>
          <t>VÄSTERBOTTENS LÄN</t>
        </is>
      </c>
      <c r="E4052" t="inlineStr">
        <is>
          <t>NORDMALING</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31730-2025</t>
        </is>
      </c>
      <c r="B4053" s="1" t="n">
        <v>45834</v>
      </c>
      <c r="C4053" s="1" t="n">
        <v>46075</v>
      </c>
      <c r="D4053" t="inlineStr">
        <is>
          <t>VÄSTERBOTTENS LÄN</t>
        </is>
      </c>
      <c r="E4053" t="inlineStr">
        <is>
          <t>VILHELMINA</t>
        </is>
      </c>
      <c r="F4053" t="inlineStr">
        <is>
          <t>SCA</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41163-2025</t>
        </is>
      </c>
      <c r="B4054" s="1" t="n">
        <v>45898.53366898148</v>
      </c>
      <c r="C4054" s="1" t="n">
        <v>46075</v>
      </c>
      <c r="D4054" t="inlineStr">
        <is>
          <t>VÄSTERBOTTENS LÄN</t>
        </is>
      </c>
      <c r="E4054" t="inlineStr">
        <is>
          <t>UMEÅ</t>
        </is>
      </c>
      <c r="F4054" t="inlineStr">
        <is>
          <t>Holmen skog AB</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41171-2025</t>
        </is>
      </c>
      <c r="B4055" s="1" t="n">
        <v>45898</v>
      </c>
      <c r="C4055" s="1" t="n">
        <v>46075</v>
      </c>
      <c r="D4055" t="inlineStr">
        <is>
          <t>VÄSTERBOTTENS LÄN</t>
        </is>
      </c>
      <c r="E4055" t="inlineStr">
        <is>
          <t>VILHELMINA</t>
        </is>
      </c>
      <c r="F4055" t="inlineStr">
        <is>
          <t>Övriga Aktiebolag</t>
        </is>
      </c>
      <c r="G4055" t="n">
        <v>5.6</v>
      </c>
      <c r="H4055" t="n">
        <v>0</v>
      </c>
      <c r="I4055" t="n">
        <v>0</v>
      </c>
      <c r="J4055" t="n">
        <v>0</v>
      </c>
      <c r="K4055" t="n">
        <v>0</v>
      </c>
      <c r="L4055" t="n">
        <v>0</v>
      </c>
      <c r="M4055" t="n">
        <v>0</v>
      </c>
      <c r="N4055" t="n">
        <v>0</v>
      </c>
      <c r="O4055" t="n">
        <v>0</v>
      </c>
      <c r="P4055" t="n">
        <v>0</v>
      </c>
      <c r="Q4055" t="n">
        <v>0</v>
      </c>
      <c r="R4055" s="2" t="inlineStr"/>
    </row>
    <row r="4056" ht="15" customHeight="1">
      <c r="A4056" t="inlineStr">
        <is>
          <t>A 32263-2025</t>
        </is>
      </c>
      <c r="B4056" s="1" t="n">
        <v>45835</v>
      </c>
      <c r="C4056" s="1" t="n">
        <v>46075</v>
      </c>
      <c r="D4056" t="inlineStr">
        <is>
          <t>VÄSTERBOTTENS LÄN</t>
        </is>
      </c>
      <c r="E4056" t="inlineStr">
        <is>
          <t>ROBERTSFORS</t>
        </is>
      </c>
      <c r="G4056" t="n">
        <v>5</v>
      </c>
      <c r="H4056" t="n">
        <v>0</v>
      </c>
      <c r="I4056" t="n">
        <v>0</v>
      </c>
      <c r="J4056" t="n">
        <v>0</v>
      </c>
      <c r="K4056" t="n">
        <v>0</v>
      </c>
      <c r="L4056" t="n">
        <v>0</v>
      </c>
      <c r="M4056" t="n">
        <v>0</v>
      </c>
      <c r="N4056" t="n">
        <v>0</v>
      </c>
      <c r="O4056" t="n">
        <v>0</v>
      </c>
      <c r="P4056" t="n">
        <v>0</v>
      </c>
      <c r="Q4056" t="n">
        <v>0</v>
      </c>
      <c r="R4056" s="2" t="inlineStr"/>
    </row>
    <row r="4057" ht="15" customHeight="1">
      <c r="A4057" t="inlineStr">
        <is>
          <t>A 48252-2023</t>
        </is>
      </c>
      <c r="B4057" s="1" t="n">
        <v>45205.5255787037</v>
      </c>
      <c r="C4057" s="1" t="n">
        <v>46075</v>
      </c>
      <c r="D4057" t="inlineStr">
        <is>
          <t>VÄSTERBOTTENS LÄN</t>
        </is>
      </c>
      <c r="E4057" t="inlineStr">
        <is>
          <t>ROBERTSFORS</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37819-2022</t>
        </is>
      </c>
      <c r="B4058" s="1" t="n">
        <v>44810</v>
      </c>
      <c r="C4058" s="1" t="n">
        <v>46075</v>
      </c>
      <c r="D4058" t="inlineStr">
        <is>
          <t>VÄSTERBOTTENS LÄN</t>
        </is>
      </c>
      <c r="E4058" t="inlineStr">
        <is>
          <t>SKELLEFTEÅ</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41031-2025</t>
        </is>
      </c>
      <c r="B4059" s="1" t="n">
        <v>45898.37825231482</v>
      </c>
      <c r="C4059" s="1" t="n">
        <v>46075</v>
      </c>
      <c r="D4059" t="inlineStr">
        <is>
          <t>VÄSTERBOTTENS LÄN</t>
        </is>
      </c>
      <c r="E4059" t="inlineStr">
        <is>
          <t>LYCKSELE</t>
        </is>
      </c>
      <c r="F4059" t="inlineStr">
        <is>
          <t>Holmen skog AB</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41604-2025</t>
        </is>
      </c>
      <c r="B4060" s="1" t="n">
        <v>45901.66380787037</v>
      </c>
      <c r="C4060" s="1" t="n">
        <v>46075</v>
      </c>
      <c r="D4060" t="inlineStr">
        <is>
          <t>VÄSTERBOTTENS LÄN</t>
        </is>
      </c>
      <c r="E4060" t="inlineStr">
        <is>
          <t>LYCKSELE</t>
        </is>
      </c>
      <c r="G4060" t="n">
        <v>16.6</v>
      </c>
      <c r="H4060" t="n">
        <v>0</v>
      </c>
      <c r="I4060" t="n">
        <v>0</v>
      </c>
      <c r="J4060" t="n">
        <v>0</v>
      </c>
      <c r="K4060" t="n">
        <v>0</v>
      </c>
      <c r="L4060" t="n">
        <v>0</v>
      </c>
      <c r="M4060" t="n">
        <v>0</v>
      </c>
      <c r="N4060" t="n">
        <v>0</v>
      </c>
      <c r="O4060" t="n">
        <v>0</v>
      </c>
      <c r="P4060" t="n">
        <v>0</v>
      </c>
      <c r="Q4060" t="n">
        <v>0</v>
      </c>
      <c r="R4060" s="2" t="inlineStr"/>
    </row>
    <row r="4061" ht="15" customHeight="1">
      <c r="A4061" t="inlineStr">
        <is>
          <t>A 31779-2025</t>
        </is>
      </c>
      <c r="B4061" s="1" t="n">
        <v>45834.52873842593</v>
      </c>
      <c r="C4061" s="1" t="n">
        <v>46075</v>
      </c>
      <c r="D4061" t="inlineStr">
        <is>
          <t>VÄSTERBOTTENS LÄN</t>
        </is>
      </c>
      <c r="E4061" t="inlineStr">
        <is>
          <t>SKELLEFTEÅ</t>
        </is>
      </c>
      <c r="F4061" t="inlineStr">
        <is>
          <t>Holmen skog AB</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46287-2022</t>
        </is>
      </c>
      <c r="B4062" s="1" t="n">
        <v>44847</v>
      </c>
      <c r="C4062" s="1" t="n">
        <v>46075</v>
      </c>
      <c r="D4062" t="inlineStr">
        <is>
          <t>VÄSTERBOTTENS LÄN</t>
        </is>
      </c>
      <c r="E4062" t="inlineStr">
        <is>
          <t>UMEÅ</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46316-2022</t>
        </is>
      </c>
      <c r="B4063" s="1" t="n">
        <v>44847</v>
      </c>
      <c r="C4063" s="1" t="n">
        <v>46075</v>
      </c>
      <c r="D4063" t="inlineStr">
        <is>
          <t>VÄSTERBOTTENS LÄN</t>
        </is>
      </c>
      <c r="E4063" t="inlineStr">
        <is>
          <t>VILHELMINA</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60520-2024</t>
        </is>
      </c>
      <c r="B4064" s="1" t="n">
        <v>45643.68678240741</v>
      </c>
      <c r="C4064" s="1" t="n">
        <v>46075</v>
      </c>
      <c r="D4064" t="inlineStr">
        <is>
          <t>VÄSTERBOTTENS LÄN</t>
        </is>
      </c>
      <c r="E4064" t="inlineStr">
        <is>
          <t>MALÅ</t>
        </is>
      </c>
      <c r="G4064" t="n">
        <v>5</v>
      </c>
      <c r="H4064" t="n">
        <v>0</v>
      </c>
      <c r="I4064" t="n">
        <v>0</v>
      </c>
      <c r="J4064" t="n">
        <v>0</v>
      </c>
      <c r="K4064" t="n">
        <v>0</v>
      </c>
      <c r="L4064" t="n">
        <v>0</v>
      </c>
      <c r="M4064" t="n">
        <v>0</v>
      </c>
      <c r="N4064" t="n">
        <v>0</v>
      </c>
      <c r="O4064" t="n">
        <v>0</v>
      </c>
      <c r="P4064" t="n">
        <v>0</v>
      </c>
      <c r="Q4064" t="n">
        <v>0</v>
      </c>
      <c r="R4064" s="2" t="inlineStr"/>
    </row>
    <row r="4065" ht="15" customHeight="1">
      <c r="A4065" t="inlineStr">
        <is>
          <t>A 31743-2025</t>
        </is>
      </c>
      <c r="B4065" s="1" t="n">
        <v>45834.47671296296</v>
      </c>
      <c r="C4065" s="1" t="n">
        <v>46075</v>
      </c>
      <c r="D4065" t="inlineStr">
        <is>
          <t>VÄSTERBOTTENS LÄN</t>
        </is>
      </c>
      <c r="E4065" t="inlineStr">
        <is>
          <t>SKELLEFTEÅ</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41534-2025</t>
        </is>
      </c>
      <c r="B4066" s="1" t="n">
        <v>45901.56</v>
      </c>
      <c r="C4066" s="1" t="n">
        <v>46075</v>
      </c>
      <c r="D4066" t="inlineStr">
        <is>
          <t>VÄSTERBOTTENS LÄN</t>
        </is>
      </c>
      <c r="E4066" t="inlineStr">
        <is>
          <t>SKELLEFTEÅ</t>
        </is>
      </c>
      <c r="G4066" t="n">
        <v>4.5</v>
      </c>
      <c r="H4066" t="n">
        <v>0</v>
      </c>
      <c r="I4066" t="n">
        <v>0</v>
      </c>
      <c r="J4066" t="n">
        <v>0</v>
      </c>
      <c r="K4066" t="n">
        <v>0</v>
      </c>
      <c r="L4066" t="n">
        <v>0</v>
      </c>
      <c r="M4066" t="n">
        <v>0</v>
      </c>
      <c r="N4066" t="n">
        <v>0</v>
      </c>
      <c r="O4066" t="n">
        <v>0</v>
      </c>
      <c r="P4066" t="n">
        <v>0</v>
      </c>
      <c r="Q4066" t="n">
        <v>0</v>
      </c>
      <c r="R4066" s="2" t="inlineStr"/>
    </row>
    <row r="4067" ht="15" customHeight="1">
      <c r="A4067" t="inlineStr">
        <is>
          <t>A 39686-2025</t>
        </is>
      </c>
      <c r="B4067" s="1" t="n">
        <v>45890</v>
      </c>
      <c r="C4067" s="1" t="n">
        <v>46075</v>
      </c>
      <c r="D4067" t="inlineStr">
        <is>
          <t>VÄSTERBOTTENS LÄN</t>
        </is>
      </c>
      <c r="E4067" t="inlineStr">
        <is>
          <t>DOROTEA</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41461-2025</t>
        </is>
      </c>
      <c r="B4068" s="1" t="n">
        <v>45901.44844907407</v>
      </c>
      <c r="C4068" s="1" t="n">
        <v>46075</v>
      </c>
      <c r="D4068" t="inlineStr">
        <is>
          <t>VÄSTERBOTTENS LÄN</t>
        </is>
      </c>
      <c r="E4068" t="inlineStr">
        <is>
          <t>MALÅ</t>
        </is>
      </c>
      <c r="G4068" t="n">
        <v>3.7</v>
      </c>
      <c r="H4068" t="n">
        <v>0</v>
      </c>
      <c r="I4068" t="n">
        <v>0</v>
      </c>
      <c r="J4068" t="n">
        <v>0</v>
      </c>
      <c r="K4068" t="n">
        <v>0</v>
      </c>
      <c r="L4068" t="n">
        <v>0</v>
      </c>
      <c r="M4068" t="n">
        <v>0</v>
      </c>
      <c r="N4068" t="n">
        <v>0</v>
      </c>
      <c r="O4068" t="n">
        <v>0</v>
      </c>
      <c r="P4068" t="n">
        <v>0</v>
      </c>
      <c r="Q4068" t="n">
        <v>0</v>
      </c>
      <c r="R4068" s="2" t="inlineStr"/>
    </row>
    <row r="4069" ht="15" customHeight="1">
      <c r="A4069" t="inlineStr">
        <is>
          <t>A 41523-2025</t>
        </is>
      </c>
      <c r="B4069" s="1" t="n">
        <v>45901.55246527777</v>
      </c>
      <c r="C4069" s="1" t="n">
        <v>46075</v>
      </c>
      <c r="D4069" t="inlineStr">
        <is>
          <t>VÄSTERBOTTENS LÄN</t>
        </is>
      </c>
      <c r="E4069" t="inlineStr">
        <is>
          <t>ÅSELE</t>
        </is>
      </c>
      <c r="F4069" t="inlineStr">
        <is>
          <t>SCA</t>
        </is>
      </c>
      <c r="G4069" t="n">
        <v>5.3</v>
      </c>
      <c r="H4069" t="n">
        <v>0</v>
      </c>
      <c r="I4069" t="n">
        <v>0</v>
      </c>
      <c r="J4069" t="n">
        <v>0</v>
      </c>
      <c r="K4069" t="n">
        <v>0</v>
      </c>
      <c r="L4069" t="n">
        <v>0</v>
      </c>
      <c r="M4069" t="n">
        <v>0</v>
      </c>
      <c r="N4069" t="n">
        <v>0</v>
      </c>
      <c r="O4069" t="n">
        <v>0</v>
      </c>
      <c r="P4069" t="n">
        <v>0</v>
      </c>
      <c r="Q4069" t="n">
        <v>0</v>
      </c>
      <c r="R4069" s="2" t="inlineStr"/>
    </row>
    <row r="4070" ht="15" customHeight="1">
      <c r="A4070" t="inlineStr">
        <is>
          <t>A 23704-2023</t>
        </is>
      </c>
      <c r="B4070" s="1" t="n">
        <v>45075</v>
      </c>
      <c r="C4070" s="1" t="n">
        <v>46075</v>
      </c>
      <c r="D4070" t="inlineStr">
        <is>
          <t>VÄSTERBOTTENS LÄN</t>
        </is>
      </c>
      <c r="E4070" t="inlineStr">
        <is>
          <t>SKELLEFTEÅ</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61678-2022</t>
        </is>
      </c>
      <c r="B4071" s="1" t="n">
        <v>44917</v>
      </c>
      <c r="C4071" s="1" t="n">
        <v>46075</v>
      </c>
      <c r="D4071" t="inlineStr">
        <is>
          <t>VÄSTERBOTTENS LÄN</t>
        </is>
      </c>
      <c r="E4071" t="inlineStr">
        <is>
          <t>SORSELE</t>
        </is>
      </c>
      <c r="F4071" t="inlineStr">
        <is>
          <t>Sveaskog</t>
        </is>
      </c>
      <c r="G4071" t="n">
        <v>5.4</v>
      </c>
      <c r="H4071" t="n">
        <v>0</v>
      </c>
      <c r="I4071" t="n">
        <v>0</v>
      </c>
      <c r="J4071" t="n">
        <v>0</v>
      </c>
      <c r="K4071" t="n">
        <v>0</v>
      </c>
      <c r="L4071" t="n">
        <v>0</v>
      </c>
      <c r="M4071" t="n">
        <v>0</v>
      </c>
      <c r="N4071" t="n">
        <v>0</v>
      </c>
      <c r="O4071" t="n">
        <v>0</v>
      </c>
      <c r="P4071" t="n">
        <v>0</v>
      </c>
      <c r="Q4071" t="n">
        <v>0</v>
      </c>
      <c r="R4071" s="2" t="inlineStr"/>
    </row>
    <row r="4072" ht="15" customHeight="1">
      <c r="A4072" t="inlineStr">
        <is>
          <t>A 26357-2023</t>
        </is>
      </c>
      <c r="B4072" s="1" t="n">
        <v>45091</v>
      </c>
      <c r="C4072" s="1" t="n">
        <v>46075</v>
      </c>
      <c r="D4072" t="inlineStr">
        <is>
          <t>VÄSTERBOTTENS LÄN</t>
        </is>
      </c>
      <c r="E4072" t="inlineStr">
        <is>
          <t>LYCKSELE</t>
        </is>
      </c>
      <c r="F4072" t="inlineStr">
        <is>
          <t>SCA</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16623-2023</t>
        </is>
      </c>
      <c r="B4073" s="1" t="n">
        <v>45027</v>
      </c>
      <c r="C4073" s="1" t="n">
        <v>46075</v>
      </c>
      <c r="D4073" t="inlineStr">
        <is>
          <t>VÄSTERBOTTENS LÄN</t>
        </is>
      </c>
      <c r="E4073" t="inlineStr">
        <is>
          <t>SORSELE</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62624-2023</t>
        </is>
      </c>
      <c r="B4074" s="1" t="n">
        <v>45271.37019675926</v>
      </c>
      <c r="C4074" s="1" t="n">
        <v>46075</v>
      </c>
      <c r="D4074" t="inlineStr">
        <is>
          <t>VÄSTERBOTTENS LÄN</t>
        </is>
      </c>
      <c r="E4074" t="inlineStr">
        <is>
          <t>STORUMAN</t>
        </is>
      </c>
      <c r="G4074" t="n">
        <v>7.7</v>
      </c>
      <c r="H4074" t="n">
        <v>0</v>
      </c>
      <c r="I4074" t="n">
        <v>0</v>
      </c>
      <c r="J4074" t="n">
        <v>0</v>
      </c>
      <c r="K4074" t="n">
        <v>0</v>
      </c>
      <c r="L4074" t="n">
        <v>0</v>
      </c>
      <c r="M4074" t="n">
        <v>0</v>
      </c>
      <c r="N4074" t="n">
        <v>0</v>
      </c>
      <c r="O4074" t="n">
        <v>0</v>
      </c>
      <c r="P4074" t="n">
        <v>0</v>
      </c>
      <c r="Q4074" t="n">
        <v>0</v>
      </c>
      <c r="R4074" s="2" t="inlineStr"/>
    </row>
    <row r="4075" ht="15" customHeight="1">
      <c r="A4075" t="inlineStr">
        <is>
          <t>A 41580-2025</t>
        </is>
      </c>
      <c r="B4075" s="1" t="n">
        <v>45901.62168981481</v>
      </c>
      <c r="C4075" s="1" t="n">
        <v>46075</v>
      </c>
      <c r="D4075" t="inlineStr">
        <is>
          <t>VÄSTERBOTTENS LÄN</t>
        </is>
      </c>
      <c r="E4075" t="inlineStr">
        <is>
          <t>UMEÅ</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51592-2024</t>
        </is>
      </c>
      <c r="B4076" s="1" t="n">
        <v>45604.64886574074</v>
      </c>
      <c r="C4076" s="1" t="n">
        <v>46075</v>
      </c>
      <c r="D4076" t="inlineStr">
        <is>
          <t>VÄSTERBOTTENS LÄN</t>
        </is>
      </c>
      <c r="E4076" t="inlineStr">
        <is>
          <t>SKELLEFTEÅ</t>
        </is>
      </c>
      <c r="F4076" t="inlineStr">
        <is>
          <t>Sveaskog</t>
        </is>
      </c>
      <c r="G4076" t="n">
        <v>15.1</v>
      </c>
      <c r="H4076" t="n">
        <v>0</v>
      </c>
      <c r="I4076" t="n">
        <v>0</v>
      </c>
      <c r="J4076" t="n">
        <v>0</v>
      </c>
      <c r="K4076" t="n">
        <v>0</v>
      </c>
      <c r="L4076" t="n">
        <v>0</v>
      </c>
      <c r="M4076" t="n">
        <v>0</v>
      </c>
      <c r="N4076" t="n">
        <v>0</v>
      </c>
      <c r="O4076" t="n">
        <v>0</v>
      </c>
      <c r="P4076" t="n">
        <v>0</v>
      </c>
      <c r="Q4076" t="n">
        <v>0</v>
      </c>
      <c r="R4076" s="2" t="inlineStr"/>
    </row>
    <row r="4077" ht="15" customHeight="1">
      <c r="A4077" t="inlineStr">
        <is>
          <t>A 74397-2021</t>
        </is>
      </c>
      <c r="B4077" s="1" t="n">
        <v>44559</v>
      </c>
      <c r="C4077" s="1" t="n">
        <v>46075</v>
      </c>
      <c r="D4077" t="inlineStr">
        <is>
          <t>VÄSTERBOTTENS LÄN</t>
        </is>
      </c>
      <c r="E4077" t="inlineStr">
        <is>
          <t>VINDELN</t>
        </is>
      </c>
      <c r="G4077" t="n">
        <v>4.1</v>
      </c>
      <c r="H4077" t="n">
        <v>0</v>
      </c>
      <c r="I4077" t="n">
        <v>0</v>
      </c>
      <c r="J4077" t="n">
        <v>0</v>
      </c>
      <c r="K4077" t="n">
        <v>0</v>
      </c>
      <c r="L4077" t="n">
        <v>0</v>
      </c>
      <c r="M4077" t="n">
        <v>0</v>
      </c>
      <c r="N4077" t="n">
        <v>0</v>
      </c>
      <c r="O4077" t="n">
        <v>0</v>
      </c>
      <c r="P4077" t="n">
        <v>0</v>
      </c>
      <c r="Q4077" t="n">
        <v>0</v>
      </c>
      <c r="R4077" s="2" t="inlineStr"/>
    </row>
    <row r="4078" ht="15" customHeight="1">
      <c r="A4078" t="inlineStr">
        <is>
          <t>A 8855-2025</t>
        </is>
      </c>
      <c r="B4078" s="1" t="n">
        <v>45713</v>
      </c>
      <c r="C4078" s="1" t="n">
        <v>46075</v>
      </c>
      <c r="D4078" t="inlineStr">
        <is>
          <t>VÄSTERBOTTENS LÄN</t>
        </is>
      </c>
      <c r="E4078" t="inlineStr">
        <is>
          <t>ÅSELE</t>
        </is>
      </c>
      <c r="G4078" t="n">
        <v>23.5</v>
      </c>
      <c r="H4078" t="n">
        <v>0</v>
      </c>
      <c r="I4078" t="n">
        <v>0</v>
      </c>
      <c r="J4078" t="n">
        <v>0</v>
      </c>
      <c r="K4078" t="n">
        <v>0</v>
      </c>
      <c r="L4078" t="n">
        <v>0</v>
      </c>
      <c r="M4078" t="n">
        <v>0</v>
      </c>
      <c r="N4078" t="n">
        <v>0</v>
      </c>
      <c r="O4078" t="n">
        <v>0</v>
      </c>
      <c r="P4078" t="n">
        <v>0</v>
      </c>
      <c r="Q4078" t="n">
        <v>0</v>
      </c>
      <c r="R4078" s="2" t="inlineStr"/>
    </row>
    <row r="4079" ht="15" customHeight="1">
      <c r="A4079" t="inlineStr">
        <is>
          <t>A 61604-2024</t>
        </is>
      </c>
      <c r="B4079" s="1" t="n">
        <v>45646.64148148148</v>
      </c>
      <c r="C4079" s="1" t="n">
        <v>46075</v>
      </c>
      <c r="D4079" t="inlineStr">
        <is>
          <t>VÄSTERBOTTENS LÄN</t>
        </is>
      </c>
      <c r="E4079" t="inlineStr">
        <is>
          <t>UMEÅ</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50773-2024</t>
        </is>
      </c>
      <c r="B4080" s="1" t="n">
        <v>45602.44862268519</v>
      </c>
      <c r="C4080" s="1" t="n">
        <v>46075</v>
      </c>
      <c r="D4080" t="inlineStr">
        <is>
          <t>VÄSTERBOTTENS LÄN</t>
        </is>
      </c>
      <c r="E4080" t="inlineStr">
        <is>
          <t>BJURHOLM</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31800-2025</t>
        </is>
      </c>
      <c r="B4081" s="1" t="n">
        <v>45834.55274305555</v>
      </c>
      <c r="C4081" s="1" t="n">
        <v>46075</v>
      </c>
      <c r="D4081" t="inlineStr">
        <is>
          <t>VÄSTERBOTTENS LÄN</t>
        </is>
      </c>
      <c r="E4081" t="inlineStr">
        <is>
          <t>LYCKSELE</t>
        </is>
      </c>
      <c r="F4081" t="inlineStr">
        <is>
          <t>SCA</t>
        </is>
      </c>
      <c r="G4081" t="n">
        <v>13.6</v>
      </c>
      <c r="H4081" t="n">
        <v>0</v>
      </c>
      <c r="I4081" t="n">
        <v>0</v>
      </c>
      <c r="J4081" t="n">
        <v>0</v>
      </c>
      <c r="K4081" t="n">
        <v>0</v>
      </c>
      <c r="L4081" t="n">
        <v>0</v>
      </c>
      <c r="M4081" t="n">
        <v>0</v>
      </c>
      <c r="N4081" t="n">
        <v>0</v>
      </c>
      <c r="O4081" t="n">
        <v>0</v>
      </c>
      <c r="P4081" t="n">
        <v>0</v>
      </c>
      <c r="Q4081" t="n">
        <v>0</v>
      </c>
      <c r="R4081" s="2" t="inlineStr"/>
    </row>
    <row r="4082" ht="15" customHeight="1">
      <c r="A4082" t="inlineStr">
        <is>
          <t>A 37946-2024</t>
        </is>
      </c>
      <c r="B4082" s="1" t="n">
        <v>45544.50325231482</v>
      </c>
      <c r="C4082" s="1" t="n">
        <v>46075</v>
      </c>
      <c r="D4082" t="inlineStr">
        <is>
          <t>VÄSTERBOTTENS LÄN</t>
        </is>
      </c>
      <c r="E4082" t="inlineStr">
        <is>
          <t>SKELLEFTEÅ</t>
        </is>
      </c>
      <c r="F4082" t="inlineStr">
        <is>
          <t>Holmen skog AB</t>
        </is>
      </c>
      <c r="G4082" t="n">
        <v>7.2</v>
      </c>
      <c r="H4082" t="n">
        <v>0</v>
      </c>
      <c r="I4082" t="n">
        <v>0</v>
      </c>
      <c r="J4082" t="n">
        <v>0</v>
      </c>
      <c r="K4082" t="n">
        <v>0</v>
      </c>
      <c r="L4082" t="n">
        <v>0</v>
      </c>
      <c r="M4082" t="n">
        <v>0</v>
      </c>
      <c r="N4082" t="n">
        <v>0</v>
      </c>
      <c r="O4082" t="n">
        <v>0</v>
      </c>
      <c r="P4082" t="n">
        <v>0</v>
      </c>
      <c r="Q4082" t="n">
        <v>0</v>
      </c>
      <c r="R4082" s="2" t="inlineStr"/>
    </row>
    <row r="4083" ht="15" customHeight="1">
      <c r="A4083" t="inlineStr">
        <is>
          <t>A 32232-2025</t>
        </is>
      </c>
      <c r="B4083" s="1" t="n">
        <v>45835.60241898148</v>
      </c>
      <c r="C4083" s="1" t="n">
        <v>46075</v>
      </c>
      <c r="D4083" t="inlineStr">
        <is>
          <t>VÄSTERBOTTENS LÄN</t>
        </is>
      </c>
      <c r="E4083" t="inlineStr">
        <is>
          <t>VINDELN</t>
        </is>
      </c>
      <c r="F4083" t="inlineStr">
        <is>
          <t>Sveaskog</t>
        </is>
      </c>
      <c r="G4083" t="n">
        <v>6.8</v>
      </c>
      <c r="H4083" t="n">
        <v>0</v>
      </c>
      <c r="I4083" t="n">
        <v>0</v>
      </c>
      <c r="J4083" t="n">
        <v>0</v>
      </c>
      <c r="K4083" t="n">
        <v>0</v>
      </c>
      <c r="L4083" t="n">
        <v>0</v>
      </c>
      <c r="M4083" t="n">
        <v>0</v>
      </c>
      <c r="N4083" t="n">
        <v>0</v>
      </c>
      <c r="O4083" t="n">
        <v>0</v>
      </c>
      <c r="P4083" t="n">
        <v>0</v>
      </c>
      <c r="Q4083" t="n">
        <v>0</v>
      </c>
      <c r="R4083" s="2" t="inlineStr"/>
    </row>
    <row r="4084" ht="15" customHeight="1">
      <c r="A4084" t="inlineStr">
        <is>
          <t>A 32262-2025</t>
        </is>
      </c>
      <c r="B4084" s="1" t="n">
        <v>45835.64796296296</v>
      </c>
      <c r="C4084" s="1" t="n">
        <v>46075</v>
      </c>
      <c r="D4084" t="inlineStr">
        <is>
          <t>VÄSTERBOTTENS LÄN</t>
        </is>
      </c>
      <c r="E4084" t="inlineStr">
        <is>
          <t>VINDELN</t>
        </is>
      </c>
      <c r="F4084" t="inlineStr">
        <is>
          <t>Sveaskog</t>
        </is>
      </c>
      <c r="G4084" t="n">
        <v>17.4</v>
      </c>
      <c r="H4084" t="n">
        <v>0</v>
      </c>
      <c r="I4084" t="n">
        <v>0</v>
      </c>
      <c r="J4084" t="n">
        <v>0</v>
      </c>
      <c r="K4084" t="n">
        <v>0</v>
      </c>
      <c r="L4084" t="n">
        <v>0</v>
      </c>
      <c r="M4084" t="n">
        <v>0</v>
      </c>
      <c r="N4084" t="n">
        <v>0</v>
      </c>
      <c r="O4084" t="n">
        <v>0</v>
      </c>
      <c r="P4084" t="n">
        <v>0</v>
      </c>
      <c r="Q4084" t="n">
        <v>0</v>
      </c>
      <c r="R4084" s="2" t="inlineStr"/>
    </row>
    <row r="4085" ht="15" customHeight="1">
      <c r="A4085" t="inlineStr">
        <is>
          <t>A 32289-2025</t>
        </is>
      </c>
      <c r="B4085" s="1" t="n">
        <v>45835.69831018519</v>
      </c>
      <c r="C4085" s="1" t="n">
        <v>46075</v>
      </c>
      <c r="D4085" t="inlineStr">
        <is>
          <t>VÄSTERBOTTENS LÄN</t>
        </is>
      </c>
      <c r="E4085" t="inlineStr">
        <is>
          <t>ÅSELE</t>
        </is>
      </c>
      <c r="F4085" t="inlineStr">
        <is>
          <t>SCA</t>
        </is>
      </c>
      <c r="G4085" t="n">
        <v>21.2</v>
      </c>
      <c r="H4085" t="n">
        <v>0</v>
      </c>
      <c r="I4085" t="n">
        <v>0</v>
      </c>
      <c r="J4085" t="n">
        <v>0</v>
      </c>
      <c r="K4085" t="n">
        <v>0</v>
      </c>
      <c r="L4085" t="n">
        <v>0</v>
      </c>
      <c r="M4085" t="n">
        <v>0</v>
      </c>
      <c r="N4085" t="n">
        <v>0</v>
      </c>
      <c r="O4085" t="n">
        <v>0</v>
      </c>
      <c r="P4085" t="n">
        <v>0</v>
      </c>
      <c r="Q4085" t="n">
        <v>0</v>
      </c>
      <c r="R4085" s="2" t="inlineStr"/>
    </row>
    <row r="4086" ht="15" customHeight="1">
      <c r="A4086" t="inlineStr">
        <is>
          <t>A 41177-2025</t>
        </is>
      </c>
      <c r="B4086" s="1" t="n">
        <v>45898.55245370371</v>
      </c>
      <c r="C4086" s="1" t="n">
        <v>46075</v>
      </c>
      <c r="D4086" t="inlineStr">
        <is>
          <t>VÄSTERBOTTENS LÄN</t>
        </is>
      </c>
      <c r="E4086" t="inlineStr">
        <is>
          <t>ÅSELE</t>
        </is>
      </c>
      <c r="F4086" t="inlineStr">
        <is>
          <t>SCA</t>
        </is>
      </c>
      <c r="G4086" t="n">
        <v>6.7</v>
      </c>
      <c r="H4086" t="n">
        <v>0</v>
      </c>
      <c r="I4086" t="n">
        <v>0</v>
      </c>
      <c r="J4086" t="n">
        <v>0</v>
      </c>
      <c r="K4086" t="n">
        <v>0</v>
      </c>
      <c r="L4086" t="n">
        <v>0</v>
      </c>
      <c r="M4086" t="n">
        <v>0</v>
      </c>
      <c r="N4086" t="n">
        <v>0</v>
      </c>
      <c r="O4086" t="n">
        <v>0</v>
      </c>
      <c r="P4086" t="n">
        <v>0</v>
      </c>
      <c r="Q4086" t="n">
        <v>0</v>
      </c>
      <c r="R4086" s="2" t="inlineStr"/>
    </row>
    <row r="4087" ht="15" customHeight="1">
      <c r="A4087" t="inlineStr">
        <is>
          <t>A 32292-2025</t>
        </is>
      </c>
      <c r="B4087" s="1" t="n">
        <v>45835.7030787037</v>
      </c>
      <c r="C4087" s="1" t="n">
        <v>46075</v>
      </c>
      <c r="D4087" t="inlineStr">
        <is>
          <t>VÄSTERBOTTENS LÄN</t>
        </is>
      </c>
      <c r="E4087" t="inlineStr">
        <is>
          <t>VINDELN</t>
        </is>
      </c>
      <c r="F4087" t="inlineStr">
        <is>
          <t>Holmen skog AB</t>
        </is>
      </c>
      <c r="G4087" t="n">
        <v>14.7</v>
      </c>
      <c r="H4087" t="n">
        <v>0</v>
      </c>
      <c r="I4087" t="n">
        <v>0</v>
      </c>
      <c r="J4087" t="n">
        <v>0</v>
      </c>
      <c r="K4087" t="n">
        <v>0</v>
      </c>
      <c r="L4087" t="n">
        <v>0</v>
      </c>
      <c r="M4087" t="n">
        <v>0</v>
      </c>
      <c r="N4087" t="n">
        <v>0</v>
      </c>
      <c r="O4087" t="n">
        <v>0</v>
      </c>
      <c r="P4087" t="n">
        <v>0</v>
      </c>
      <c r="Q4087" t="n">
        <v>0</v>
      </c>
      <c r="R4087" s="2" t="inlineStr"/>
    </row>
    <row r="4088" ht="15" customHeight="1">
      <c r="A4088" t="inlineStr">
        <is>
          <t>A 41191-2025</t>
        </is>
      </c>
      <c r="B4088" s="1" t="n">
        <v>45898.56827546296</v>
      </c>
      <c r="C4088" s="1" t="n">
        <v>46075</v>
      </c>
      <c r="D4088" t="inlineStr">
        <is>
          <t>VÄSTERBOTTENS LÄN</t>
        </is>
      </c>
      <c r="E4088" t="inlineStr">
        <is>
          <t>MALÅ</t>
        </is>
      </c>
      <c r="F4088" t="inlineStr">
        <is>
          <t>Sveaskog</t>
        </is>
      </c>
      <c r="G4088" t="n">
        <v>13.8</v>
      </c>
      <c r="H4088" t="n">
        <v>0</v>
      </c>
      <c r="I4088" t="n">
        <v>0</v>
      </c>
      <c r="J4088" t="n">
        <v>0</v>
      </c>
      <c r="K4088" t="n">
        <v>0</v>
      </c>
      <c r="L4088" t="n">
        <v>0</v>
      </c>
      <c r="M4088" t="n">
        <v>0</v>
      </c>
      <c r="N4088" t="n">
        <v>0</v>
      </c>
      <c r="O4088" t="n">
        <v>0</v>
      </c>
      <c r="P4088" t="n">
        <v>0</v>
      </c>
      <c r="Q4088" t="n">
        <v>0</v>
      </c>
      <c r="R4088" s="2" t="inlineStr"/>
    </row>
    <row r="4089" ht="15" customHeight="1">
      <c r="A4089" t="inlineStr">
        <is>
          <t>A 3705-2023</t>
        </is>
      </c>
      <c r="B4089" s="1" t="n">
        <v>44950.95469907407</v>
      </c>
      <c r="C4089" s="1" t="n">
        <v>46075</v>
      </c>
      <c r="D4089" t="inlineStr">
        <is>
          <t>VÄSTERBOTTENS LÄN</t>
        </is>
      </c>
      <c r="E4089" t="inlineStr">
        <is>
          <t>BJURHOLM</t>
        </is>
      </c>
      <c r="G4089" t="n">
        <v>3.7</v>
      </c>
      <c r="H4089" t="n">
        <v>0</v>
      </c>
      <c r="I4089" t="n">
        <v>0</v>
      </c>
      <c r="J4089" t="n">
        <v>0</v>
      </c>
      <c r="K4089" t="n">
        <v>0</v>
      </c>
      <c r="L4089" t="n">
        <v>0</v>
      </c>
      <c r="M4089" t="n">
        <v>0</v>
      </c>
      <c r="N4089" t="n">
        <v>0</v>
      </c>
      <c r="O4089" t="n">
        <v>0</v>
      </c>
      <c r="P4089" t="n">
        <v>0</v>
      </c>
      <c r="Q4089" t="n">
        <v>0</v>
      </c>
      <c r="R4089" s="2" t="inlineStr"/>
    </row>
    <row r="4090" ht="15" customHeight="1">
      <c r="A4090" t="inlineStr">
        <is>
          <t>A 32561-2023</t>
        </is>
      </c>
      <c r="B4090" s="1" t="n">
        <v>45121.45128472222</v>
      </c>
      <c r="C4090" s="1" t="n">
        <v>46075</v>
      </c>
      <c r="D4090" t="inlineStr">
        <is>
          <t>VÄSTERBOTTENS LÄN</t>
        </is>
      </c>
      <c r="E4090" t="inlineStr">
        <is>
          <t>ÅSELE</t>
        </is>
      </c>
      <c r="F4090" t="inlineStr">
        <is>
          <t>Naturvårdsverket</t>
        </is>
      </c>
      <c r="G4090" t="n">
        <v>2.5</v>
      </c>
      <c r="H4090" t="n">
        <v>0</v>
      </c>
      <c r="I4090" t="n">
        <v>0</v>
      </c>
      <c r="J4090" t="n">
        <v>0</v>
      </c>
      <c r="K4090" t="n">
        <v>0</v>
      </c>
      <c r="L4090" t="n">
        <v>0</v>
      </c>
      <c r="M4090" t="n">
        <v>0</v>
      </c>
      <c r="N4090" t="n">
        <v>0</v>
      </c>
      <c r="O4090" t="n">
        <v>0</v>
      </c>
      <c r="P4090" t="n">
        <v>0</v>
      </c>
      <c r="Q4090" t="n">
        <v>0</v>
      </c>
      <c r="R4090" s="2" t="inlineStr"/>
    </row>
    <row r="4091" ht="15" customHeight="1">
      <c r="A4091" t="inlineStr">
        <is>
          <t>A 41388-2025</t>
        </is>
      </c>
      <c r="B4091" s="1" t="n">
        <v>45899</v>
      </c>
      <c r="C4091" s="1" t="n">
        <v>46075</v>
      </c>
      <c r="D4091" t="inlineStr">
        <is>
          <t>VÄSTERBOTTENS LÄN</t>
        </is>
      </c>
      <c r="E4091" t="inlineStr">
        <is>
          <t>MALÅ</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41390-2025</t>
        </is>
      </c>
      <c r="B4092" s="1" t="n">
        <v>45899</v>
      </c>
      <c r="C4092" s="1" t="n">
        <v>46075</v>
      </c>
      <c r="D4092" t="inlineStr">
        <is>
          <t>VÄSTERBOTTENS LÄN</t>
        </is>
      </c>
      <c r="E4092" t="inlineStr">
        <is>
          <t>MALÅ</t>
        </is>
      </c>
      <c r="G4092" t="n">
        <v>12.6</v>
      </c>
      <c r="H4092" t="n">
        <v>0</v>
      </c>
      <c r="I4092" t="n">
        <v>0</v>
      </c>
      <c r="J4092" t="n">
        <v>0</v>
      </c>
      <c r="K4092" t="n">
        <v>0</v>
      </c>
      <c r="L4092" t="n">
        <v>0</v>
      </c>
      <c r="M4092" t="n">
        <v>0</v>
      </c>
      <c r="N4092" t="n">
        <v>0</v>
      </c>
      <c r="O4092" t="n">
        <v>0</v>
      </c>
      <c r="P4092" t="n">
        <v>0</v>
      </c>
      <c r="Q4092" t="n">
        <v>0</v>
      </c>
      <c r="R4092" s="2" t="inlineStr"/>
    </row>
    <row r="4093" ht="15" customHeight="1">
      <c r="A4093" t="inlineStr">
        <is>
          <t>A 41399-2025</t>
        </is>
      </c>
      <c r="B4093" s="1" t="n">
        <v>45899</v>
      </c>
      <c r="C4093" s="1" t="n">
        <v>46075</v>
      </c>
      <c r="D4093" t="inlineStr">
        <is>
          <t>VÄSTERBOTTENS LÄN</t>
        </is>
      </c>
      <c r="E4093" t="inlineStr">
        <is>
          <t>SORSELE</t>
        </is>
      </c>
      <c r="G4093" t="n">
        <v>19.1</v>
      </c>
      <c r="H4093" t="n">
        <v>0</v>
      </c>
      <c r="I4093" t="n">
        <v>0</v>
      </c>
      <c r="J4093" t="n">
        <v>0</v>
      </c>
      <c r="K4093" t="n">
        <v>0</v>
      </c>
      <c r="L4093" t="n">
        <v>0</v>
      </c>
      <c r="M4093" t="n">
        <v>0</v>
      </c>
      <c r="N4093" t="n">
        <v>0</v>
      </c>
      <c r="O4093" t="n">
        <v>0</v>
      </c>
      <c r="P4093" t="n">
        <v>0</v>
      </c>
      <c r="Q4093" t="n">
        <v>0</v>
      </c>
      <c r="R4093" s="2" t="inlineStr"/>
    </row>
    <row r="4094" ht="15" customHeight="1">
      <c r="A4094" t="inlineStr">
        <is>
          <t>A 32125-2025</t>
        </is>
      </c>
      <c r="B4094" s="1" t="n">
        <v>45835.49601851852</v>
      </c>
      <c r="C4094" s="1" t="n">
        <v>46075</v>
      </c>
      <c r="D4094" t="inlineStr">
        <is>
          <t>VÄSTERBOTTENS LÄN</t>
        </is>
      </c>
      <c r="E4094" t="inlineStr">
        <is>
          <t>UMEÅ</t>
        </is>
      </c>
      <c r="F4094" t="inlineStr">
        <is>
          <t>Holmen skog AB</t>
        </is>
      </c>
      <c r="G4094" t="n">
        <v>4.4</v>
      </c>
      <c r="H4094" t="n">
        <v>0</v>
      </c>
      <c r="I4094" t="n">
        <v>0</v>
      </c>
      <c r="J4094" t="n">
        <v>0</v>
      </c>
      <c r="K4094" t="n">
        <v>0</v>
      </c>
      <c r="L4094" t="n">
        <v>0</v>
      </c>
      <c r="M4094" t="n">
        <v>0</v>
      </c>
      <c r="N4094" t="n">
        <v>0</v>
      </c>
      <c r="O4094" t="n">
        <v>0</v>
      </c>
      <c r="P4094" t="n">
        <v>0</v>
      </c>
      <c r="Q4094" t="n">
        <v>0</v>
      </c>
      <c r="R4094" s="2" t="inlineStr"/>
    </row>
    <row r="4095" ht="15" customHeight="1">
      <c r="A4095" t="inlineStr">
        <is>
          <t>A 3265-2022</t>
        </is>
      </c>
      <c r="B4095" s="1" t="n">
        <v>44583.7693287037</v>
      </c>
      <c r="C4095" s="1" t="n">
        <v>46075</v>
      </c>
      <c r="D4095" t="inlineStr">
        <is>
          <t>VÄSTERBOTTENS LÄN</t>
        </is>
      </c>
      <c r="E4095" t="inlineStr">
        <is>
          <t>SKELLEFTEÅ</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21336-2023</t>
        </is>
      </c>
      <c r="B4096" s="1" t="n">
        <v>45062</v>
      </c>
      <c r="C4096" s="1" t="n">
        <v>46075</v>
      </c>
      <c r="D4096" t="inlineStr">
        <is>
          <t>VÄSTERBOTTENS LÄN</t>
        </is>
      </c>
      <c r="E4096" t="inlineStr">
        <is>
          <t>SKELLEFTEÅ</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48230-2023</t>
        </is>
      </c>
      <c r="B4097" s="1" t="n">
        <v>45205</v>
      </c>
      <c r="C4097" s="1" t="n">
        <v>46075</v>
      </c>
      <c r="D4097" t="inlineStr">
        <is>
          <t>VÄSTERBOTTENS LÄN</t>
        </is>
      </c>
      <c r="E4097" t="inlineStr">
        <is>
          <t>LYCKSELE</t>
        </is>
      </c>
      <c r="F4097" t="inlineStr">
        <is>
          <t>Holmen skog AB</t>
        </is>
      </c>
      <c r="G4097" t="n">
        <v>7.2</v>
      </c>
      <c r="H4097" t="n">
        <v>0</v>
      </c>
      <c r="I4097" t="n">
        <v>0</v>
      </c>
      <c r="J4097" t="n">
        <v>0</v>
      </c>
      <c r="K4097" t="n">
        <v>0</v>
      </c>
      <c r="L4097" t="n">
        <v>0</v>
      </c>
      <c r="M4097" t="n">
        <v>0</v>
      </c>
      <c r="N4097" t="n">
        <v>0</v>
      </c>
      <c r="O4097" t="n">
        <v>0</v>
      </c>
      <c r="P4097" t="n">
        <v>0</v>
      </c>
      <c r="Q4097" t="n">
        <v>0</v>
      </c>
      <c r="R4097" s="2" t="inlineStr"/>
    </row>
    <row r="4098" ht="15" customHeight="1">
      <c r="A4098" t="inlineStr">
        <is>
          <t>A 35771-2022</t>
        </is>
      </c>
      <c r="B4098" s="1" t="n">
        <v>44801</v>
      </c>
      <c r="C4098" s="1" t="n">
        <v>46075</v>
      </c>
      <c r="D4098" t="inlineStr">
        <is>
          <t>VÄSTERBOTTENS LÄN</t>
        </is>
      </c>
      <c r="E4098" t="inlineStr">
        <is>
          <t>SKELLEFTEÅ</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28567-2025</t>
        </is>
      </c>
      <c r="B4099" s="1" t="n">
        <v>45819</v>
      </c>
      <c r="C4099" s="1" t="n">
        <v>46075</v>
      </c>
      <c r="D4099" t="inlineStr">
        <is>
          <t>VÄSTERBOTTENS LÄN</t>
        </is>
      </c>
      <c r="E4099" t="inlineStr">
        <is>
          <t>SKELLEFTEÅ</t>
        </is>
      </c>
      <c r="G4099" t="n">
        <v>4.1</v>
      </c>
      <c r="H4099" t="n">
        <v>0</v>
      </c>
      <c r="I4099" t="n">
        <v>0</v>
      </c>
      <c r="J4099" t="n">
        <v>0</v>
      </c>
      <c r="K4099" t="n">
        <v>0</v>
      </c>
      <c r="L4099" t="n">
        <v>0</v>
      </c>
      <c r="M4099" t="n">
        <v>0</v>
      </c>
      <c r="N4099" t="n">
        <v>0</v>
      </c>
      <c r="O4099" t="n">
        <v>0</v>
      </c>
      <c r="P4099" t="n">
        <v>0</v>
      </c>
      <c r="Q4099" t="n">
        <v>0</v>
      </c>
      <c r="R4099" s="2" t="inlineStr"/>
    </row>
    <row r="4100" ht="15" customHeight="1">
      <c r="A4100" t="inlineStr">
        <is>
          <t>A 31628-2025</t>
        </is>
      </c>
      <c r="B4100" s="1" t="n">
        <v>45834.30734953703</v>
      </c>
      <c r="C4100" s="1" t="n">
        <v>46075</v>
      </c>
      <c r="D4100" t="inlineStr">
        <is>
          <t>VÄSTERBOTTENS LÄN</t>
        </is>
      </c>
      <c r="E4100" t="inlineStr">
        <is>
          <t>SKELLEFTEÅ</t>
        </is>
      </c>
      <c r="F4100" t="inlineStr">
        <is>
          <t>Holmen skog AB</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31637-2025</t>
        </is>
      </c>
      <c r="B4101" s="1" t="n">
        <v>45834.33939814815</v>
      </c>
      <c r="C4101" s="1" t="n">
        <v>46075</v>
      </c>
      <c r="D4101" t="inlineStr">
        <is>
          <t>VÄSTERBOTTENS LÄN</t>
        </is>
      </c>
      <c r="E4101" t="inlineStr">
        <is>
          <t>BJURHOLM</t>
        </is>
      </c>
      <c r="F4101" t="inlineStr">
        <is>
          <t>Holmen skog AB</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31663-2025</t>
        </is>
      </c>
      <c r="B4102" s="1" t="n">
        <v>45834.35773148148</v>
      </c>
      <c r="C4102" s="1" t="n">
        <v>46075</v>
      </c>
      <c r="D4102" t="inlineStr">
        <is>
          <t>VÄSTERBOTTENS LÄN</t>
        </is>
      </c>
      <c r="E4102" t="inlineStr">
        <is>
          <t>VINDELN</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41007-2025</t>
        </is>
      </c>
      <c r="B4103" s="1" t="n">
        <v>45898.34947916667</v>
      </c>
      <c r="C4103" s="1" t="n">
        <v>46075</v>
      </c>
      <c r="D4103" t="inlineStr">
        <is>
          <t>VÄSTERBOTTENS LÄN</t>
        </is>
      </c>
      <c r="E4103" t="inlineStr">
        <is>
          <t>VINDELN</t>
        </is>
      </c>
      <c r="F4103" t="inlineStr">
        <is>
          <t>Holmen skog AB</t>
        </is>
      </c>
      <c r="G4103" t="n">
        <v>3.9</v>
      </c>
      <c r="H4103" t="n">
        <v>0</v>
      </c>
      <c r="I4103" t="n">
        <v>0</v>
      </c>
      <c r="J4103" t="n">
        <v>0</v>
      </c>
      <c r="K4103" t="n">
        <v>0</v>
      </c>
      <c r="L4103" t="n">
        <v>0</v>
      </c>
      <c r="M4103" t="n">
        <v>0</v>
      </c>
      <c r="N4103" t="n">
        <v>0</v>
      </c>
      <c r="O4103" t="n">
        <v>0</v>
      </c>
      <c r="P4103" t="n">
        <v>0</v>
      </c>
      <c r="Q4103" t="n">
        <v>0</v>
      </c>
      <c r="R4103" s="2" t="inlineStr"/>
    </row>
    <row r="4104" ht="15" customHeight="1">
      <c r="A4104" t="inlineStr">
        <is>
          <t>A 31670-2025</t>
        </is>
      </c>
      <c r="B4104" s="1" t="n">
        <v>45834.36549768518</v>
      </c>
      <c r="C4104" s="1" t="n">
        <v>46075</v>
      </c>
      <c r="D4104" t="inlineStr">
        <is>
          <t>VÄSTERBOTTENS LÄN</t>
        </is>
      </c>
      <c r="E4104" t="inlineStr">
        <is>
          <t>SKELLEFTEÅ</t>
        </is>
      </c>
      <c r="G4104" t="n">
        <v>0.3</v>
      </c>
      <c r="H4104" t="n">
        <v>0</v>
      </c>
      <c r="I4104" t="n">
        <v>0</v>
      </c>
      <c r="J4104" t="n">
        <v>0</v>
      </c>
      <c r="K4104" t="n">
        <v>0</v>
      </c>
      <c r="L4104" t="n">
        <v>0</v>
      </c>
      <c r="M4104" t="n">
        <v>0</v>
      </c>
      <c r="N4104" t="n">
        <v>0</v>
      </c>
      <c r="O4104" t="n">
        <v>0</v>
      </c>
      <c r="P4104" t="n">
        <v>0</v>
      </c>
      <c r="Q4104" t="n">
        <v>0</v>
      </c>
      <c r="R4104" s="2" t="inlineStr"/>
    </row>
    <row r="4105" ht="15" customHeight="1">
      <c r="A4105" t="inlineStr">
        <is>
          <t>A 31693-2025</t>
        </is>
      </c>
      <c r="B4105" s="1" t="n">
        <v>45834.40671296296</v>
      </c>
      <c r="C4105" s="1" t="n">
        <v>46075</v>
      </c>
      <c r="D4105" t="inlineStr">
        <is>
          <t>VÄSTERBOTTENS LÄN</t>
        </is>
      </c>
      <c r="E4105" t="inlineStr">
        <is>
          <t>LYCKSELE</t>
        </is>
      </c>
      <c r="F4105" t="inlineStr">
        <is>
          <t>SCA</t>
        </is>
      </c>
      <c r="G4105" t="n">
        <v>18.9</v>
      </c>
      <c r="H4105" t="n">
        <v>0</v>
      </c>
      <c r="I4105" t="n">
        <v>0</v>
      </c>
      <c r="J4105" t="n">
        <v>0</v>
      </c>
      <c r="K4105" t="n">
        <v>0</v>
      </c>
      <c r="L4105" t="n">
        <v>0</v>
      </c>
      <c r="M4105" t="n">
        <v>0</v>
      </c>
      <c r="N4105" t="n">
        <v>0</v>
      </c>
      <c r="O4105" t="n">
        <v>0</v>
      </c>
      <c r="P4105" t="n">
        <v>0</v>
      </c>
      <c r="Q4105" t="n">
        <v>0</v>
      </c>
      <c r="R4105" s="2" t="inlineStr"/>
    </row>
    <row r="4106" ht="15" customHeight="1">
      <c r="A4106" t="inlineStr">
        <is>
          <t>A 41525-2025</t>
        </is>
      </c>
      <c r="B4106" s="1" t="n">
        <v>45901.55268518518</v>
      </c>
      <c r="C4106" s="1" t="n">
        <v>46075</v>
      </c>
      <c r="D4106" t="inlineStr">
        <is>
          <t>VÄSTERBOTTENS LÄN</t>
        </is>
      </c>
      <c r="E4106" t="inlineStr">
        <is>
          <t>ÅSELE</t>
        </is>
      </c>
      <c r="F4106" t="inlineStr">
        <is>
          <t>SCA</t>
        </is>
      </c>
      <c r="G4106" t="n">
        <v>5.4</v>
      </c>
      <c r="H4106" t="n">
        <v>0</v>
      </c>
      <c r="I4106" t="n">
        <v>0</v>
      </c>
      <c r="J4106" t="n">
        <v>0</v>
      </c>
      <c r="K4106" t="n">
        <v>0</v>
      </c>
      <c r="L4106" t="n">
        <v>0</v>
      </c>
      <c r="M4106" t="n">
        <v>0</v>
      </c>
      <c r="N4106" t="n">
        <v>0</v>
      </c>
      <c r="O4106" t="n">
        <v>0</v>
      </c>
      <c r="P4106" t="n">
        <v>0</v>
      </c>
      <c r="Q4106" t="n">
        <v>0</v>
      </c>
      <c r="R4106" s="2" t="inlineStr"/>
    </row>
    <row r="4107" ht="15" customHeight="1">
      <c r="A4107" t="inlineStr">
        <is>
          <t>A 41532-2025</t>
        </is>
      </c>
      <c r="B4107" s="1" t="n">
        <v>45901.55744212963</v>
      </c>
      <c r="C4107" s="1" t="n">
        <v>46075</v>
      </c>
      <c r="D4107" t="inlineStr">
        <is>
          <t>VÄSTERBOTTENS LÄN</t>
        </is>
      </c>
      <c r="E4107" t="inlineStr">
        <is>
          <t>SKELLEFTEÅ</t>
        </is>
      </c>
      <c r="F4107" t="inlineStr">
        <is>
          <t>Holmen skog AB</t>
        </is>
      </c>
      <c r="G4107" t="n">
        <v>7.1</v>
      </c>
      <c r="H4107" t="n">
        <v>0</v>
      </c>
      <c r="I4107" t="n">
        <v>0</v>
      </c>
      <c r="J4107" t="n">
        <v>0</v>
      </c>
      <c r="K4107" t="n">
        <v>0</v>
      </c>
      <c r="L4107" t="n">
        <v>0</v>
      </c>
      <c r="M4107" t="n">
        <v>0</v>
      </c>
      <c r="N4107" t="n">
        <v>0</v>
      </c>
      <c r="O4107" t="n">
        <v>0</v>
      </c>
      <c r="P4107" t="n">
        <v>0</v>
      </c>
      <c r="Q4107" t="n">
        <v>0</v>
      </c>
      <c r="R4107" s="2" t="inlineStr"/>
    </row>
    <row r="4108" ht="15" customHeight="1">
      <c r="A4108" t="inlineStr">
        <is>
          <t>A 9377-2025</t>
        </is>
      </c>
      <c r="B4108" s="1" t="n">
        <v>45715</v>
      </c>
      <c r="C4108" s="1" t="n">
        <v>46075</v>
      </c>
      <c r="D4108" t="inlineStr">
        <is>
          <t>VÄSTERBOTTENS LÄN</t>
        </is>
      </c>
      <c r="E4108" t="inlineStr">
        <is>
          <t>SORSELE</t>
        </is>
      </c>
      <c r="G4108" t="n">
        <v>23.5</v>
      </c>
      <c r="H4108" t="n">
        <v>0</v>
      </c>
      <c r="I4108" t="n">
        <v>0</v>
      </c>
      <c r="J4108" t="n">
        <v>0</v>
      </c>
      <c r="K4108" t="n">
        <v>0</v>
      </c>
      <c r="L4108" t="n">
        <v>0</v>
      </c>
      <c r="M4108" t="n">
        <v>0</v>
      </c>
      <c r="N4108" t="n">
        <v>0</v>
      </c>
      <c r="O4108" t="n">
        <v>0</v>
      </c>
      <c r="P4108" t="n">
        <v>0</v>
      </c>
      <c r="Q4108" t="n">
        <v>0</v>
      </c>
      <c r="R4108" s="2" t="inlineStr"/>
    </row>
    <row r="4109" ht="15" customHeight="1">
      <c r="A4109" t="inlineStr">
        <is>
          <t>A 32229-2025</t>
        </is>
      </c>
      <c r="B4109" s="1" t="n">
        <v>45835.59662037037</v>
      </c>
      <c r="C4109" s="1" t="n">
        <v>46075</v>
      </c>
      <c r="D4109" t="inlineStr">
        <is>
          <t>VÄSTERBOTTENS LÄN</t>
        </is>
      </c>
      <c r="E4109" t="inlineStr">
        <is>
          <t>LYCKSELE</t>
        </is>
      </c>
      <c r="F4109" t="inlineStr">
        <is>
          <t>Sveaskog</t>
        </is>
      </c>
      <c r="G4109" t="n">
        <v>4.6</v>
      </c>
      <c r="H4109" t="n">
        <v>0</v>
      </c>
      <c r="I4109" t="n">
        <v>0</v>
      </c>
      <c r="J4109" t="n">
        <v>0</v>
      </c>
      <c r="K4109" t="n">
        <v>0</v>
      </c>
      <c r="L4109" t="n">
        <v>0</v>
      </c>
      <c r="M4109" t="n">
        <v>0</v>
      </c>
      <c r="N4109" t="n">
        <v>0</v>
      </c>
      <c r="O4109" t="n">
        <v>0</v>
      </c>
      <c r="P4109" t="n">
        <v>0</v>
      </c>
      <c r="Q4109" t="n">
        <v>0</v>
      </c>
      <c r="R4109" s="2" t="inlineStr"/>
    </row>
    <row r="4110" ht="15" customHeight="1">
      <c r="A4110" t="inlineStr">
        <is>
          <t>A 52916-2023</t>
        </is>
      </c>
      <c r="B4110" s="1" t="n">
        <v>45226.52811342593</v>
      </c>
      <c r="C4110" s="1" t="n">
        <v>46075</v>
      </c>
      <c r="D4110" t="inlineStr">
        <is>
          <t>VÄSTERBOTTENS LÄN</t>
        </is>
      </c>
      <c r="E4110" t="inlineStr">
        <is>
          <t>VINDELN</t>
        </is>
      </c>
      <c r="F4110" t="inlineStr">
        <is>
          <t>Holmen skog AB</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31835-2025</t>
        </is>
      </c>
      <c r="B4111" s="1" t="n">
        <v>45834.59436342592</v>
      </c>
      <c r="C4111" s="1" t="n">
        <v>46075</v>
      </c>
      <c r="D4111" t="inlineStr">
        <is>
          <t>VÄSTERBOTTENS LÄN</t>
        </is>
      </c>
      <c r="E4111" t="inlineStr">
        <is>
          <t>DOROTEA</t>
        </is>
      </c>
      <c r="F4111" t="inlineStr">
        <is>
          <t>SCA</t>
        </is>
      </c>
      <c r="G4111" t="n">
        <v>10.9</v>
      </c>
      <c r="H4111" t="n">
        <v>0</v>
      </c>
      <c r="I4111" t="n">
        <v>0</v>
      </c>
      <c r="J4111" t="n">
        <v>0</v>
      </c>
      <c r="K4111" t="n">
        <v>0</v>
      </c>
      <c r="L4111" t="n">
        <v>0</v>
      </c>
      <c r="M4111" t="n">
        <v>0</v>
      </c>
      <c r="N4111" t="n">
        <v>0</v>
      </c>
      <c r="O4111" t="n">
        <v>0</v>
      </c>
      <c r="P4111" t="n">
        <v>0</v>
      </c>
      <c r="Q4111" t="n">
        <v>0</v>
      </c>
      <c r="R4111" s="2" t="inlineStr"/>
    </row>
    <row r="4112" ht="15" customHeight="1">
      <c r="A4112" t="inlineStr">
        <is>
          <t>A 30711-2025</t>
        </is>
      </c>
      <c r="B4112" s="1" t="n">
        <v>45831.55188657407</v>
      </c>
      <c r="C4112" s="1" t="n">
        <v>46075</v>
      </c>
      <c r="D4112" t="inlineStr">
        <is>
          <t>VÄSTERBOTTENS LÄN</t>
        </is>
      </c>
      <c r="E4112" t="inlineStr">
        <is>
          <t>SKELLEFTEÅ</t>
        </is>
      </c>
      <c r="F4112" t="inlineStr">
        <is>
          <t>Sveaskog</t>
        </is>
      </c>
      <c r="G4112" t="n">
        <v>21.5</v>
      </c>
      <c r="H4112" t="n">
        <v>0</v>
      </c>
      <c r="I4112" t="n">
        <v>0</v>
      </c>
      <c r="J4112" t="n">
        <v>0</v>
      </c>
      <c r="K4112" t="n">
        <v>0</v>
      </c>
      <c r="L4112" t="n">
        <v>0</v>
      </c>
      <c r="M4112" t="n">
        <v>0</v>
      </c>
      <c r="N4112" t="n">
        <v>0</v>
      </c>
      <c r="O4112" t="n">
        <v>0</v>
      </c>
      <c r="P4112" t="n">
        <v>0</v>
      </c>
      <c r="Q4112" t="n">
        <v>0</v>
      </c>
      <c r="R4112" s="2" t="inlineStr"/>
    </row>
    <row r="4113" ht="15" customHeight="1">
      <c r="A4113" t="inlineStr">
        <is>
          <t>A 31897-2025</t>
        </is>
      </c>
      <c r="B4113" s="1" t="n">
        <v>45834.67758101852</v>
      </c>
      <c r="C4113" s="1" t="n">
        <v>46075</v>
      </c>
      <c r="D4113" t="inlineStr">
        <is>
          <t>VÄSTERBOTTENS LÄN</t>
        </is>
      </c>
      <c r="E4113" t="inlineStr">
        <is>
          <t>LYCKSELE</t>
        </is>
      </c>
      <c r="F4113" t="inlineStr">
        <is>
          <t>Holmen skog AB</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31912-2025</t>
        </is>
      </c>
      <c r="B4114" s="1" t="n">
        <v>45834.70775462963</v>
      </c>
      <c r="C4114" s="1" t="n">
        <v>46075</v>
      </c>
      <c r="D4114" t="inlineStr">
        <is>
          <t>VÄSTERBOTTENS LÄN</t>
        </is>
      </c>
      <c r="E4114" t="inlineStr">
        <is>
          <t>ROBERTSFORS</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22078-2023</t>
        </is>
      </c>
      <c r="B4115" s="1" t="n">
        <v>45068</v>
      </c>
      <c r="C4115" s="1" t="n">
        <v>46075</v>
      </c>
      <c r="D4115" t="inlineStr">
        <is>
          <t>VÄSTERBOTTENS LÄN</t>
        </is>
      </c>
      <c r="E4115" t="inlineStr">
        <is>
          <t>ÅSELE</t>
        </is>
      </c>
      <c r="G4115" t="n">
        <v>2.7</v>
      </c>
      <c r="H4115" t="n">
        <v>0</v>
      </c>
      <c r="I4115" t="n">
        <v>0</v>
      </c>
      <c r="J4115" t="n">
        <v>0</v>
      </c>
      <c r="K4115" t="n">
        <v>0</v>
      </c>
      <c r="L4115" t="n">
        <v>0</v>
      </c>
      <c r="M4115" t="n">
        <v>0</v>
      </c>
      <c r="N4115" t="n">
        <v>0</v>
      </c>
      <c r="O4115" t="n">
        <v>0</v>
      </c>
      <c r="P4115" t="n">
        <v>0</v>
      </c>
      <c r="Q4115" t="n">
        <v>0</v>
      </c>
      <c r="R4115" s="2" t="inlineStr"/>
    </row>
    <row r="4116" ht="15" customHeight="1">
      <c r="A4116" t="inlineStr">
        <is>
          <t>A 22568-2023</t>
        </is>
      </c>
      <c r="B4116" s="1" t="n">
        <v>45069</v>
      </c>
      <c r="C4116" s="1" t="n">
        <v>46075</v>
      </c>
      <c r="D4116" t="inlineStr">
        <is>
          <t>VÄSTERBOTTENS LÄN</t>
        </is>
      </c>
      <c r="E4116" t="inlineStr">
        <is>
          <t>SORSELE</t>
        </is>
      </c>
      <c r="F4116" t="inlineStr">
        <is>
          <t>Sveaskog</t>
        </is>
      </c>
      <c r="G4116" t="n">
        <v>3.7</v>
      </c>
      <c r="H4116" t="n">
        <v>0</v>
      </c>
      <c r="I4116" t="n">
        <v>0</v>
      </c>
      <c r="J4116" t="n">
        <v>0</v>
      </c>
      <c r="K4116" t="n">
        <v>0</v>
      </c>
      <c r="L4116" t="n">
        <v>0</v>
      </c>
      <c r="M4116" t="n">
        <v>0</v>
      </c>
      <c r="N4116" t="n">
        <v>0</v>
      </c>
      <c r="O4116" t="n">
        <v>0</v>
      </c>
      <c r="P4116" t="n">
        <v>0</v>
      </c>
      <c r="Q4116" t="n">
        <v>0</v>
      </c>
      <c r="R4116" s="2" t="inlineStr"/>
    </row>
    <row r="4117" ht="15" customHeight="1">
      <c r="A4117" t="inlineStr">
        <is>
          <t>A 25551-2024</t>
        </is>
      </c>
      <c r="B4117" s="1" t="n">
        <v>45463</v>
      </c>
      <c r="C4117" s="1" t="n">
        <v>46075</v>
      </c>
      <c r="D4117" t="inlineStr">
        <is>
          <t>VÄSTERBOTTENS LÄN</t>
        </is>
      </c>
      <c r="E4117" t="inlineStr">
        <is>
          <t>VILHELMINA</t>
        </is>
      </c>
      <c r="F4117" t="inlineStr">
        <is>
          <t>Sveaskog</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41079-2025</t>
        </is>
      </c>
      <c r="B4118" s="1" t="n">
        <v>45898.42778935185</v>
      </c>
      <c r="C4118" s="1" t="n">
        <v>46075</v>
      </c>
      <c r="D4118" t="inlineStr">
        <is>
          <t>VÄSTERBOTTENS LÄN</t>
        </is>
      </c>
      <c r="E4118" t="inlineStr">
        <is>
          <t>DOROTEA</t>
        </is>
      </c>
      <c r="F4118" t="inlineStr">
        <is>
          <t>SCA</t>
        </is>
      </c>
      <c r="G4118" t="n">
        <v>3.3</v>
      </c>
      <c r="H4118" t="n">
        <v>0</v>
      </c>
      <c r="I4118" t="n">
        <v>0</v>
      </c>
      <c r="J4118" t="n">
        <v>0</v>
      </c>
      <c r="K4118" t="n">
        <v>0</v>
      </c>
      <c r="L4118" t="n">
        <v>0</v>
      </c>
      <c r="M4118" t="n">
        <v>0</v>
      </c>
      <c r="N4118" t="n">
        <v>0</v>
      </c>
      <c r="O4118" t="n">
        <v>0</v>
      </c>
      <c r="P4118" t="n">
        <v>0</v>
      </c>
      <c r="Q4118" t="n">
        <v>0</v>
      </c>
      <c r="R4118" s="2" t="inlineStr"/>
    </row>
    <row r="4119" ht="15" customHeight="1">
      <c r="A4119" t="inlineStr">
        <is>
          <t>A 25553-2024</t>
        </is>
      </c>
      <c r="B4119" s="1" t="n">
        <v>45463.57846064815</v>
      </c>
      <c r="C4119" s="1" t="n">
        <v>46075</v>
      </c>
      <c r="D4119" t="inlineStr">
        <is>
          <t>VÄSTERBOTTENS LÄN</t>
        </is>
      </c>
      <c r="E4119" t="inlineStr">
        <is>
          <t>ÅSELE</t>
        </is>
      </c>
      <c r="F4119" t="inlineStr">
        <is>
          <t>Sveaskog</t>
        </is>
      </c>
      <c r="G4119" t="n">
        <v>13.5</v>
      </c>
      <c r="H4119" t="n">
        <v>0</v>
      </c>
      <c r="I4119" t="n">
        <v>0</v>
      </c>
      <c r="J4119" t="n">
        <v>0</v>
      </c>
      <c r="K4119" t="n">
        <v>0</v>
      </c>
      <c r="L4119" t="n">
        <v>0</v>
      </c>
      <c r="M4119" t="n">
        <v>0</v>
      </c>
      <c r="N4119" t="n">
        <v>0</v>
      </c>
      <c r="O4119" t="n">
        <v>0</v>
      </c>
      <c r="P4119" t="n">
        <v>0</v>
      </c>
      <c r="Q4119" t="n">
        <v>0</v>
      </c>
      <c r="R4119" s="2" t="inlineStr"/>
    </row>
    <row r="4120" ht="15" customHeight="1">
      <c r="A4120" t="inlineStr">
        <is>
          <t>A 31355-2025</t>
        </is>
      </c>
      <c r="B4120" s="1" t="n">
        <v>45833.43050925926</v>
      </c>
      <c r="C4120" s="1" t="n">
        <v>46075</v>
      </c>
      <c r="D4120" t="inlineStr">
        <is>
          <t>VÄSTERBOTTENS LÄN</t>
        </is>
      </c>
      <c r="E4120" t="inlineStr">
        <is>
          <t>SKELLEFTEÅ</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31970-2025</t>
        </is>
      </c>
      <c r="B4121" s="1" t="n">
        <v>45835.34858796297</v>
      </c>
      <c r="C4121" s="1" t="n">
        <v>46075</v>
      </c>
      <c r="D4121" t="inlineStr">
        <is>
          <t>VÄSTERBOTTENS LÄN</t>
        </is>
      </c>
      <c r="E4121" t="inlineStr">
        <is>
          <t>LYCKSELE</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41397-2025</t>
        </is>
      </c>
      <c r="B4122" s="1" t="n">
        <v>45899</v>
      </c>
      <c r="C4122" s="1" t="n">
        <v>46075</v>
      </c>
      <c r="D4122" t="inlineStr">
        <is>
          <t>VÄSTERBOTTENS LÄN</t>
        </is>
      </c>
      <c r="E4122" t="inlineStr">
        <is>
          <t>SORSELE</t>
        </is>
      </c>
      <c r="G4122" t="n">
        <v>5.4</v>
      </c>
      <c r="H4122" t="n">
        <v>0</v>
      </c>
      <c r="I4122" t="n">
        <v>0</v>
      </c>
      <c r="J4122" t="n">
        <v>0</v>
      </c>
      <c r="K4122" t="n">
        <v>0</v>
      </c>
      <c r="L4122" t="n">
        <v>0</v>
      </c>
      <c r="M4122" t="n">
        <v>0</v>
      </c>
      <c r="N4122" t="n">
        <v>0</v>
      </c>
      <c r="O4122" t="n">
        <v>0</v>
      </c>
      <c r="P4122" t="n">
        <v>0</v>
      </c>
      <c r="Q4122" t="n">
        <v>0</v>
      </c>
      <c r="R4122" s="2" t="inlineStr"/>
    </row>
    <row r="4123" ht="15" customHeight="1">
      <c r="A4123" t="inlineStr">
        <is>
          <t>A 32047-2025</t>
        </is>
      </c>
      <c r="B4123" s="1" t="n">
        <v>45835.44034722223</v>
      </c>
      <c r="C4123" s="1" t="n">
        <v>46075</v>
      </c>
      <c r="D4123" t="inlineStr">
        <is>
          <t>VÄSTERBOTTENS LÄN</t>
        </is>
      </c>
      <c r="E4123" t="inlineStr">
        <is>
          <t>SKELLEFTEÅ</t>
        </is>
      </c>
      <c r="F4123" t="inlineStr">
        <is>
          <t>Holmen skog AB</t>
        </is>
      </c>
      <c r="G4123" t="n">
        <v>3.1</v>
      </c>
      <c r="H4123" t="n">
        <v>0</v>
      </c>
      <c r="I4123" t="n">
        <v>0</v>
      </c>
      <c r="J4123" t="n">
        <v>0</v>
      </c>
      <c r="K4123" t="n">
        <v>0</v>
      </c>
      <c r="L4123" t="n">
        <v>0</v>
      </c>
      <c r="M4123" t="n">
        <v>0</v>
      </c>
      <c r="N4123" t="n">
        <v>0</v>
      </c>
      <c r="O4123" t="n">
        <v>0</v>
      </c>
      <c r="P4123" t="n">
        <v>0</v>
      </c>
      <c r="Q4123" t="n">
        <v>0</v>
      </c>
      <c r="R4123" s="2" t="inlineStr"/>
    </row>
    <row r="4124" ht="15" customHeight="1">
      <c r="A4124" t="inlineStr">
        <is>
          <t>A 41126-2025</t>
        </is>
      </c>
      <c r="B4124" s="1" t="n">
        <v>45898.47530092593</v>
      </c>
      <c r="C4124" s="1" t="n">
        <v>46075</v>
      </c>
      <c r="D4124" t="inlineStr">
        <is>
          <t>VÄSTERBOTTENS LÄN</t>
        </is>
      </c>
      <c r="E4124" t="inlineStr">
        <is>
          <t>STORUMAN</t>
        </is>
      </c>
      <c r="F4124" t="inlineStr">
        <is>
          <t>Sveaskog</t>
        </is>
      </c>
      <c r="G4124" t="n">
        <v>4.7</v>
      </c>
      <c r="H4124" t="n">
        <v>0</v>
      </c>
      <c r="I4124" t="n">
        <v>0</v>
      </c>
      <c r="J4124" t="n">
        <v>0</v>
      </c>
      <c r="K4124" t="n">
        <v>0</v>
      </c>
      <c r="L4124" t="n">
        <v>0</v>
      </c>
      <c r="M4124" t="n">
        <v>0</v>
      </c>
      <c r="N4124" t="n">
        <v>0</v>
      </c>
      <c r="O4124" t="n">
        <v>0</v>
      </c>
      <c r="P4124" t="n">
        <v>0</v>
      </c>
      <c r="Q4124" t="n">
        <v>0</v>
      </c>
      <c r="R4124" s="2" t="inlineStr"/>
    </row>
    <row r="4125" ht="15" customHeight="1">
      <c r="A4125" t="inlineStr">
        <is>
          <t>A 41131-2025</t>
        </is>
      </c>
      <c r="B4125" s="1" t="n">
        <v>45898.48043981481</v>
      </c>
      <c r="C4125" s="1" t="n">
        <v>46075</v>
      </c>
      <c r="D4125" t="inlineStr">
        <is>
          <t>VÄSTERBOTTENS LÄN</t>
        </is>
      </c>
      <c r="E4125" t="inlineStr">
        <is>
          <t>NORDMALING</t>
        </is>
      </c>
      <c r="G4125" t="n">
        <v>12.5</v>
      </c>
      <c r="H4125" t="n">
        <v>0</v>
      </c>
      <c r="I4125" t="n">
        <v>0</v>
      </c>
      <c r="J4125" t="n">
        <v>0</v>
      </c>
      <c r="K4125" t="n">
        <v>0</v>
      </c>
      <c r="L4125" t="n">
        <v>0</v>
      </c>
      <c r="M4125" t="n">
        <v>0</v>
      </c>
      <c r="N4125" t="n">
        <v>0</v>
      </c>
      <c r="O4125" t="n">
        <v>0</v>
      </c>
      <c r="P4125" t="n">
        <v>0</v>
      </c>
      <c r="Q4125" t="n">
        <v>0</v>
      </c>
      <c r="R4125" s="2" t="inlineStr"/>
    </row>
    <row r="4126" ht="15" customHeight="1">
      <c r="A4126" t="inlineStr">
        <is>
          <t>A 46300-2024</t>
        </is>
      </c>
      <c r="B4126" s="1" t="n">
        <v>45581.67887731481</v>
      </c>
      <c r="C4126" s="1" t="n">
        <v>46075</v>
      </c>
      <c r="D4126" t="inlineStr">
        <is>
          <t>VÄSTERBOTTENS LÄN</t>
        </is>
      </c>
      <c r="E4126" t="inlineStr">
        <is>
          <t>ROBERTSFORS</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46304-2024</t>
        </is>
      </c>
      <c r="B4127" s="1" t="n">
        <v>45581</v>
      </c>
      <c r="C4127" s="1" t="n">
        <v>46075</v>
      </c>
      <c r="D4127" t="inlineStr">
        <is>
          <t>VÄSTERBOTTENS LÄN</t>
        </is>
      </c>
      <c r="E4127" t="inlineStr">
        <is>
          <t>SKELLEFTEÅ</t>
        </is>
      </c>
      <c r="F4127" t="inlineStr">
        <is>
          <t>Holmen skog AB</t>
        </is>
      </c>
      <c r="G4127" t="n">
        <v>0.3</v>
      </c>
      <c r="H4127" t="n">
        <v>0</v>
      </c>
      <c r="I4127" t="n">
        <v>0</v>
      </c>
      <c r="J4127" t="n">
        <v>0</v>
      </c>
      <c r="K4127" t="n">
        <v>0</v>
      </c>
      <c r="L4127" t="n">
        <v>0</v>
      </c>
      <c r="M4127" t="n">
        <v>0</v>
      </c>
      <c r="N4127" t="n">
        <v>0</v>
      </c>
      <c r="O4127" t="n">
        <v>0</v>
      </c>
      <c r="P4127" t="n">
        <v>0</v>
      </c>
      <c r="Q4127" t="n">
        <v>0</v>
      </c>
      <c r="R4127" s="2" t="inlineStr"/>
    </row>
    <row r="4128" ht="15" customHeight="1">
      <c r="A4128" t="inlineStr">
        <is>
          <t>A 32158-2025</t>
        </is>
      </c>
      <c r="B4128" s="1" t="n">
        <v>45835.53893518518</v>
      </c>
      <c r="C4128" s="1" t="n">
        <v>46075</v>
      </c>
      <c r="D4128" t="inlineStr">
        <is>
          <t>VÄSTERBOTTENS LÄN</t>
        </is>
      </c>
      <c r="E4128" t="inlineStr">
        <is>
          <t>ROBERTSFORS</t>
        </is>
      </c>
      <c r="F4128" t="inlineStr">
        <is>
          <t>Holmen skog AB</t>
        </is>
      </c>
      <c r="G4128" t="n">
        <v>3.2</v>
      </c>
      <c r="H4128" t="n">
        <v>0</v>
      </c>
      <c r="I4128" t="n">
        <v>0</v>
      </c>
      <c r="J4128" t="n">
        <v>0</v>
      </c>
      <c r="K4128" t="n">
        <v>0</v>
      </c>
      <c r="L4128" t="n">
        <v>0</v>
      </c>
      <c r="M4128" t="n">
        <v>0</v>
      </c>
      <c r="N4128" t="n">
        <v>0</v>
      </c>
      <c r="O4128" t="n">
        <v>0</v>
      </c>
      <c r="P4128" t="n">
        <v>0</v>
      </c>
      <c r="Q4128" t="n">
        <v>0</v>
      </c>
      <c r="R4128" s="2" t="inlineStr"/>
    </row>
    <row r="4129" ht="15" customHeight="1">
      <c r="A4129" t="inlineStr">
        <is>
          <t>A 12374-2025</t>
        </is>
      </c>
      <c r="B4129" s="1" t="n">
        <v>45730</v>
      </c>
      <c r="C4129" s="1" t="n">
        <v>46075</v>
      </c>
      <c r="D4129" t="inlineStr">
        <is>
          <t>VÄSTERBOTTENS LÄN</t>
        </is>
      </c>
      <c r="E4129" t="inlineStr">
        <is>
          <t>VILHELMINA</t>
        </is>
      </c>
      <c r="F4129" t="inlineStr">
        <is>
          <t>Övriga statliga verk och myndigheter</t>
        </is>
      </c>
      <c r="G4129" t="n">
        <v>18.7</v>
      </c>
      <c r="H4129" t="n">
        <v>0</v>
      </c>
      <c r="I4129" t="n">
        <v>0</v>
      </c>
      <c r="J4129" t="n">
        <v>0</v>
      </c>
      <c r="K4129" t="n">
        <v>0</v>
      </c>
      <c r="L4129" t="n">
        <v>0</v>
      </c>
      <c r="M4129" t="n">
        <v>0</v>
      </c>
      <c r="N4129" t="n">
        <v>0</v>
      </c>
      <c r="O4129" t="n">
        <v>0</v>
      </c>
      <c r="P4129" t="n">
        <v>0</v>
      </c>
      <c r="Q4129" t="n">
        <v>0</v>
      </c>
      <c r="R4129" s="2" t="inlineStr"/>
    </row>
    <row r="4130" ht="15" customHeight="1">
      <c r="A4130" t="inlineStr">
        <is>
          <t>A 32198-2025</t>
        </is>
      </c>
      <c r="B4130" s="1" t="n">
        <v>45835.57682870371</v>
      </c>
      <c r="C4130" s="1" t="n">
        <v>46075</v>
      </c>
      <c r="D4130" t="inlineStr">
        <is>
          <t>VÄSTERBOTTENS LÄN</t>
        </is>
      </c>
      <c r="E4130" t="inlineStr">
        <is>
          <t>VINDELN</t>
        </is>
      </c>
      <c r="F4130" t="inlineStr">
        <is>
          <t>Sveaskog</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12375-2025</t>
        </is>
      </c>
      <c r="B4131" s="1" t="n">
        <v>45730</v>
      </c>
      <c r="C4131" s="1" t="n">
        <v>46075</v>
      </c>
      <c r="D4131" t="inlineStr">
        <is>
          <t>VÄSTERBOTTENS LÄN</t>
        </is>
      </c>
      <c r="E4131" t="inlineStr">
        <is>
          <t>VILHELMINA</t>
        </is>
      </c>
      <c r="F4131" t="inlineStr">
        <is>
          <t>Övriga statliga verk och myndigheter</t>
        </is>
      </c>
      <c r="G4131" t="n">
        <v>22.3</v>
      </c>
      <c r="H4131" t="n">
        <v>0</v>
      </c>
      <c r="I4131" t="n">
        <v>0</v>
      </c>
      <c r="J4131" t="n">
        <v>0</v>
      </c>
      <c r="K4131" t="n">
        <v>0</v>
      </c>
      <c r="L4131" t="n">
        <v>0</v>
      </c>
      <c r="M4131" t="n">
        <v>0</v>
      </c>
      <c r="N4131" t="n">
        <v>0</v>
      </c>
      <c r="O4131" t="n">
        <v>0</v>
      </c>
      <c r="P4131" t="n">
        <v>0</v>
      </c>
      <c r="Q4131" t="n">
        <v>0</v>
      </c>
      <c r="R4131" s="2" t="inlineStr"/>
    </row>
    <row r="4132" ht="15" customHeight="1">
      <c r="A4132" t="inlineStr">
        <is>
          <t>A 12391-2025</t>
        </is>
      </c>
      <c r="B4132" s="1" t="n">
        <v>45730.39814814815</v>
      </c>
      <c r="C4132" s="1" t="n">
        <v>46075</v>
      </c>
      <c r="D4132" t="inlineStr">
        <is>
          <t>VÄSTERBOTTENS LÄN</t>
        </is>
      </c>
      <c r="E4132" t="inlineStr">
        <is>
          <t>BJURHOLM</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12445-2025</t>
        </is>
      </c>
      <c r="B4133" s="1" t="n">
        <v>45730.48341435185</v>
      </c>
      <c r="C4133" s="1" t="n">
        <v>46075</v>
      </c>
      <c r="D4133" t="inlineStr">
        <is>
          <t>VÄSTERBOTTENS LÄN</t>
        </is>
      </c>
      <c r="E4133" t="inlineStr">
        <is>
          <t>NORSJÖ</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58440-2024</t>
        </is>
      </c>
      <c r="B4134" s="1" t="n">
        <v>45635.31018518518</v>
      </c>
      <c r="C4134" s="1" t="n">
        <v>46075</v>
      </c>
      <c r="D4134" t="inlineStr">
        <is>
          <t>VÄSTERBOTTENS LÄN</t>
        </is>
      </c>
      <c r="E4134" t="inlineStr">
        <is>
          <t>UMEÅ</t>
        </is>
      </c>
      <c r="F4134" t="inlineStr">
        <is>
          <t>Holmen skog AB</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31627-2025</t>
        </is>
      </c>
      <c r="B4135" s="1" t="n">
        <v>45834.30527777778</v>
      </c>
      <c r="C4135" s="1" t="n">
        <v>46075</v>
      </c>
      <c r="D4135" t="inlineStr">
        <is>
          <t>VÄSTERBOTTENS LÄN</t>
        </is>
      </c>
      <c r="E4135" t="inlineStr">
        <is>
          <t>SKELLEFTEÅ</t>
        </is>
      </c>
      <c r="F4135" t="inlineStr">
        <is>
          <t>Holmen skog AB</t>
        </is>
      </c>
      <c r="G4135" t="n">
        <v>7.7</v>
      </c>
      <c r="H4135" t="n">
        <v>0</v>
      </c>
      <c r="I4135" t="n">
        <v>0</v>
      </c>
      <c r="J4135" t="n">
        <v>0</v>
      </c>
      <c r="K4135" t="n">
        <v>0</v>
      </c>
      <c r="L4135" t="n">
        <v>0</v>
      </c>
      <c r="M4135" t="n">
        <v>0</v>
      </c>
      <c r="N4135" t="n">
        <v>0</v>
      </c>
      <c r="O4135" t="n">
        <v>0</v>
      </c>
      <c r="P4135" t="n">
        <v>0</v>
      </c>
      <c r="Q4135" t="n">
        <v>0</v>
      </c>
      <c r="R4135" s="2" t="inlineStr"/>
    </row>
    <row r="4136" ht="15" customHeight="1">
      <c r="A4136" t="inlineStr">
        <is>
          <t>A 22796-2024</t>
        </is>
      </c>
      <c r="B4136" s="1" t="n">
        <v>45448</v>
      </c>
      <c r="C4136" s="1" t="n">
        <v>46075</v>
      </c>
      <c r="D4136" t="inlineStr">
        <is>
          <t>VÄSTERBOTTENS LÄN</t>
        </is>
      </c>
      <c r="E4136" t="inlineStr">
        <is>
          <t>SKELLEFTEÅ</t>
        </is>
      </c>
      <c r="F4136" t="inlineStr">
        <is>
          <t>Holmen skog AB</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18392-2022</t>
        </is>
      </c>
      <c r="B4137" s="1" t="n">
        <v>44685</v>
      </c>
      <c r="C4137" s="1" t="n">
        <v>46075</v>
      </c>
      <c r="D4137" t="inlineStr">
        <is>
          <t>VÄSTERBOTTENS LÄN</t>
        </is>
      </c>
      <c r="E4137" t="inlineStr">
        <is>
          <t>VINDELN</t>
        </is>
      </c>
      <c r="G4137" t="n">
        <v>7.5</v>
      </c>
      <c r="H4137" t="n">
        <v>0</v>
      </c>
      <c r="I4137" t="n">
        <v>0</v>
      </c>
      <c r="J4137" t="n">
        <v>0</v>
      </c>
      <c r="K4137" t="n">
        <v>0</v>
      </c>
      <c r="L4137" t="n">
        <v>0</v>
      </c>
      <c r="M4137" t="n">
        <v>0</v>
      </c>
      <c r="N4137" t="n">
        <v>0</v>
      </c>
      <c r="O4137" t="n">
        <v>0</v>
      </c>
      <c r="P4137" t="n">
        <v>0</v>
      </c>
      <c r="Q4137" t="n">
        <v>0</v>
      </c>
      <c r="R4137" s="2" t="inlineStr"/>
    </row>
    <row r="4138" ht="15" customHeight="1">
      <c r="A4138" t="inlineStr">
        <is>
          <t>A 56246-2023</t>
        </is>
      </c>
      <c r="B4138" s="1" t="n">
        <v>45240</v>
      </c>
      <c r="C4138" s="1" t="n">
        <v>46075</v>
      </c>
      <c r="D4138" t="inlineStr">
        <is>
          <t>VÄSTERBOTTENS LÄN</t>
        </is>
      </c>
      <c r="E4138" t="inlineStr">
        <is>
          <t>VILHELMINA</t>
        </is>
      </c>
      <c r="F4138" t="inlineStr">
        <is>
          <t>SCA</t>
        </is>
      </c>
      <c r="G4138" t="n">
        <v>3.9</v>
      </c>
      <c r="H4138" t="n">
        <v>0</v>
      </c>
      <c r="I4138" t="n">
        <v>0</v>
      </c>
      <c r="J4138" t="n">
        <v>0</v>
      </c>
      <c r="K4138" t="n">
        <v>0</v>
      </c>
      <c r="L4138" t="n">
        <v>0</v>
      </c>
      <c r="M4138" t="n">
        <v>0</v>
      </c>
      <c r="N4138" t="n">
        <v>0</v>
      </c>
      <c r="O4138" t="n">
        <v>0</v>
      </c>
      <c r="P4138" t="n">
        <v>0</v>
      </c>
      <c r="Q4138" t="n">
        <v>0</v>
      </c>
      <c r="R4138" s="2" t="inlineStr"/>
    </row>
    <row r="4139" ht="15" customHeight="1">
      <c r="A4139" t="inlineStr">
        <is>
          <t>A 2921-2025</t>
        </is>
      </c>
      <c r="B4139" s="1" t="n">
        <v>45678.321875</v>
      </c>
      <c r="C4139" s="1" t="n">
        <v>46075</v>
      </c>
      <c r="D4139" t="inlineStr">
        <is>
          <t>VÄSTERBOTTENS LÄN</t>
        </is>
      </c>
      <c r="E4139" t="inlineStr">
        <is>
          <t>NORDMALING</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35736-2023</t>
        </is>
      </c>
      <c r="B4140" s="1" t="n">
        <v>45147</v>
      </c>
      <c r="C4140" s="1" t="n">
        <v>46075</v>
      </c>
      <c r="D4140" t="inlineStr">
        <is>
          <t>VÄSTERBOTTENS LÄN</t>
        </is>
      </c>
      <c r="E4140" t="inlineStr">
        <is>
          <t>SKELLEFTEÅ</t>
        </is>
      </c>
      <c r="G4140" t="n">
        <v>5.3</v>
      </c>
      <c r="H4140" t="n">
        <v>0</v>
      </c>
      <c r="I4140" t="n">
        <v>0</v>
      </c>
      <c r="J4140" t="n">
        <v>0</v>
      </c>
      <c r="K4140" t="n">
        <v>0</v>
      </c>
      <c r="L4140" t="n">
        <v>0</v>
      </c>
      <c r="M4140" t="n">
        <v>0</v>
      </c>
      <c r="N4140" t="n">
        <v>0</v>
      </c>
      <c r="O4140" t="n">
        <v>0</v>
      </c>
      <c r="P4140" t="n">
        <v>0</v>
      </c>
      <c r="Q4140" t="n">
        <v>0</v>
      </c>
      <c r="R4140" s="2" t="inlineStr"/>
    </row>
    <row r="4141" ht="15" customHeight="1">
      <c r="A4141" t="inlineStr">
        <is>
          <t>A 41386-2025</t>
        </is>
      </c>
      <c r="B4141" s="1" t="n">
        <v>45899</v>
      </c>
      <c r="C4141" s="1" t="n">
        <v>46075</v>
      </c>
      <c r="D4141" t="inlineStr">
        <is>
          <t>VÄSTERBOTTENS LÄN</t>
        </is>
      </c>
      <c r="E4141" t="inlineStr">
        <is>
          <t>MALÅ</t>
        </is>
      </c>
      <c r="G4141" t="n">
        <v>2.9</v>
      </c>
      <c r="H4141" t="n">
        <v>0</v>
      </c>
      <c r="I4141" t="n">
        <v>0</v>
      </c>
      <c r="J4141" t="n">
        <v>0</v>
      </c>
      <c r="K4141" t="n">
        <v>0</v>
      </c>
      <c r="L4141" t="n">
        <v>0</v>
      </c>
      <c r="M4141" t="n">
        <v>0</v>
      </c>
      <c r="N4141" t="n">
        <v>0</v>
      </c>
      <c r="O4141" t="n">
        <v>0</v>
      </c>
      <c r="P4141" t="n">
        <v>0</v>
      </c>
      <c r="Q4141" t="n">
        <v>0</v>
      </c>
      <c r="R4141" s="2" t="inlineStr"/>
    </row>
    <row r="4142" ht="15" customHeight="1">
      <c r="A4142" t="inlineStr">
        <is>
          <t>A 17015-2025</t>
        </is>
      </c>
      <c r="B4142" s="1" t="n">
        <v>45755.55318287037</v>
      </c>
      <c r="C4142" s="1" t="n">
        <v>46075</v>
      </c>
      <c r="D4142" t="inlineStr">
        <is>
          <t>VÄSTERBOTTENS LÄN</t>
        </is>
      </c>
      <c r="E4142" t="inlineStr">
        <is>
          <t>SKELLEFTEÅ</t>
        </is>
      </c>
      <c r="G4142" t="n">
        <v>4.1</v>
      </c>
      <c r="H4142" t="n">
        <v>0</v>
      </c>
      <c r="I4142" t="n">
        <v>0</v>
      </c>
      <c r="J4142" t="n">
        <v>0</v>
      </c>
      <c r="K4142" t="n">
        <v>0</v>
      </c>
      <c r="L4142" t="n">
        <v>0</v>
      </c>
      <c r="M4142" t="n">
        <v>0</v>
      </c>
      <c r="N4142" t="n">
        <v>0</v>
      </c>
      <c r="O4142" t="n">
        <v>0</v>
      </c>
      <c r="P4142" t="n">
        <v>0</v>
      </c>
      <c r="Q4142" t="n">
        <v>0</v>
      </c>
      <c r="R4142" s="2" t="inlineStr"/>
    </row>
    <row r="4143" ht="15" customHeight="1">
      <c r="A4143" t="inlineStr">
        <is>
          <t>A 12928-2021</t>
        </is>
      </c>
      <c r="B4143" s="1" t="n">
        <v>44270</v>
      </c>
      <c r="C4143" s="1" t="n">
        <v>46075</v>
      </c>
      <c r="D4143" t="inlineStr">
        <is>
          <t>VÄSTERBOTTENS LÄN</t>
        </is>
      </c>
      <c r="E4143" t="inlineStr">
        <is>
          <t>SKELLEFTEÅ</t>
        </is>
      </c>
      <c r="G4143" t="n">
        <v>17.8</v>
      </c>
      <c r="H4143" t="n">
        <v>0</v>
      </c>
      <c r="I4143" t="n">
        <v>0</v>
      </c>
      <c r="J4143" t="n">
        <v>0</v>
      </c>
      <c r="K4143" t="n">
        <v>0</v>
      </c>
      <c r="L4143" t="n">
        <v>0</v>
      </c>
      <c r="M4143" t="n">
        <v>0</v>
      </c>
      <c r="N4143" t="n">
        <v>0</v>
      </c>
      <c r="O4143" t="n">
        <v>0</v>
      </c>
      <c r="P4143" t="n">
        <v>0</v>
      </c>
      <c r="Q4143" t="n">
        <v>0</v>
      </c>
      <c r="R4143" s="2" t="inlineStr"/>
    </row>
    <row r="4144" ht="15" customHeight="1">
      <c r="A4144" t="inlineStr">
        <is>
          <t>A 31717-2025</t>
        </is>
      </c>
      <c r="B4144" s="1" t="n">
        <v>45834.46008101852</v>
      </c>
      <c r="C4144" s="1" t="n">
        <v>46075</v>
      </c>
      <c r="D4144" t="inlineStr">
        <is>
          <t>VÄSTERBOTTENS LÄN</t>
        </is>
      </c>
      <c r="E4144" t="inlineStr">
        <is>
          <t>SKELLEFTEÅ</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41145-2025</t>
        </is>
      </c>
      <c r="B4145" s="1" t="n">
        <v>45898.49674768518</v>
      </c>
      <c r="C4145" s="1" t="n">
        <v>46075</v>
      </c>
      <c r="D4145" t="inlineStr">
        <is>
          <t>VÄSTERBOTTENS LÄN</t>
        </is>
      </c>
      <c r="E4145" t="inlineStr">
        <is>
          <t>STORUMAN</t>
        </is>
      </c>
      <c r="F4145" t="inlineStr">
        <is>
          <t>Sveaskog</t>
        </is>
      </c>
      <c r="G4145" t="n">
        <v>7.6</v>
      </c>
      <c r="H4145" t="n">
        <v>0</v>
      </c>
      <c r="I4145" t="n">
        <v>0</v>
      </c>
      <c r="J4145" t="n">
        <v>0</v>
      </c>
      <c r="K4145" t="n">
        <v>0</v>
      </c>
      <c r="L4145" t="n">
        <v>0</v>
      </c>
      <c r="M4145" t="n">
        <v>0</v>
      </c>
      <c r="N4145" t="n">
        <v>0</v>
      </c>
      <c r="O4145" t="n">
        <v>0</v>
      </c>
      <c r="P4145" t="n">
        <v>0</v>
      </c>
      <c r="Q4145" t="n">
        <v>0</v>
      </c>
      <c r="R4145" s="2" t="inlineStr"/>
    </row>
    <row r="4146" ht="15" customHeight="1">
      <c r="A4146" t="inlineStr">
        <is>
          <t>A 41427-2025</t>
        </is>
      </c>
      <c r="B4146" s="1" t="n">
        <v>45901.38766203704</v>
      </c>
      <c r="C4146" s="1" t="n">
        <v>46075</v>
      </c>
      <c r="D4146" t="inlineStr">
        <is>
          <t>VÄSTERBOTTENS LÄN</t>
        </is>
      </c>
      <c r="E4146" t="inlineStr">
        <is>
          <t>NORSJÖ</t>
        </is>
      </c>
      <c r="F4146" t="inlineStr">
        <is>
          <t>Holmen skog AB</t>
        </is>
      </c>
      <c r="G4146" t="n">
        <v>5.2</v>
      </c>
      <c r="H4146" t="n">
        <v>0</v>
      </c>
      <c r="I4146" t="n">
        <v>0</v>
      </c>
      <c r="J4146" t="n">
        <v>0</v>
      </c>
      <c r="K4146" t="n">
        <v>0</v>
      </c>
      <c r="L4146" t="n">
        <v>0</v>
      </c>
      <c r="M4146" t="n">
        <v>0</v>
      </c>
      <c r="N4146" t="n">
        <v>0</v>
      </c>
      <c r="O4146" t="n">
        <v>0</v>
      </c>
      <c r="P4146" t="n">
        <v>0</v>
      </c>
      <c r="Q4146" t="n">
        <v>0</v>
      </c>
      <c r="R4146" s="2" t="inlineStr"/>
    </row>
    <row r="4147" ht="15" customHeight="1">
      <c r="A4147" t="inlineStr">
        <is>
          <t>A 36703-2023</t>
        </is>
      </c>
      <c r="B4147" s="1" t="n">
        <v>45153</v>
      </c>
      <c r="C4147" s="1" t="n">
        <v>46075</v>
      </c>
      <c r="D4147" t="inlineStr">
        <is>
          <t>VÄSTERBOTTENS LÄN</t>
        </is>
      </c>
      <c r="E4147" t="inlineStr">
        <is>
          <t>ROBERTSFORS</t>
        </is>
      </c>
      <c r="G4147" t="n">
        <v>3.3</v>
      </c>
      <c r="H4147" t="n">
        <v>0</v>
      </c>
      <c r="I4147" t="n">
        <v>0</v>
      </c>
      <c r="J4147" t="n">
        <v>0</v>
      </c>
      <c r="K4147" t="n">
        <v>0</v>
      </c>
      <c r="L4147" t="n">
        <v>0</v>
      </c>
      <c r="M4147" t="n">
        <v>0</v>
      </c>
      <c r="N4147" t="n">
        <v>0</v>
      </c>
      <c r="O4147" t="n">
        <v>0</v>
      </c>
      <c r="P4147" t="n">
        <v>0</v>
      </c>
      <c r="Q4147" t="n">
        <v>0</v>
      </c>
      <c r="R4147" s="2" t="inlineStr"/>
    </row>
    <row r="4148" ht="15" customHeight="1">
      <c r="A4148" t="inlineStr">
        <is>
          <t>A 41459-2025</t>
        </is>
      </c>
      <c r="B4148" s="1" t="n">
        <v>45901</v>
      </c>
      <c r="C4148" s="1" t="n">
        <v>46075</v>
      </c>
      <c r="D4148" t="inlineStr">
        <is>
          <t>VÄSTERBOTTENS LÄN</t>
        </is>
      </c>
      <c r="E4148" t="inlineStr">
        <is>
          <t>VINDELN</t>
        </is>
      </c>
      <c r="G4148" t="n">
        <v>4.6</v>
      </c>
      <c r="H4148" t="n">
        <v>0</v>
      </c>
      <c r="I4148" t="n">
        <v>0</v>
      </c>
      <c r="J4148" t="n">
        <v>0</v>
      </c>
      <c r="K4148" t="n">
        <v>0</v>
      </c>
      <c r="L4148" t="n">
        <v>0</v>
      </c>
      <c r="M4148" t="n">
        <v>0</v>
      </c>
      <c r="N4148" t="n">
        <v>0</v>
      </c>
      <c r="O4148" t="n">
        <v>0</v>
      </c>
      <c r="P4148" t="n">
        <v>0</v>
      </c>
      <c r="Q4148" t="n">
        <v>0</v>
      </c>
      <c r="R4148" s="2" t="inlineStr"/>
    </row>
    <row r="4149" ht="15" customHeight="1">
      <c r="A4149" t="inlineStr">
        <is>
          <t>A 41460-2025</t>
        </is>
      </c>
      <c r="B4149" s="1" t="n">
        <v>45901.44833333333</v>
      </c>
      <c r="C4149" s="1" t="n">
        <v>46075</v>
      </c>
      <c r="D4149" t="inlineStr">
        <is>
          <t>VÄSTERBOTTENS LÄN</t>
        </is>
      </c>
      <c r="E4149" t="inlineStr">
        <is>
          <t>MALÅ</t>
        </is>
      </c>
      <c r="G4149" t="n">
        <v>4.9</v>
      </c>
      <c r="H4149" t="n">
        <v>0</v>
      </c>
      <c r="I4149" t="n">
        <v>0</v>
      </c>
      <c r="J4149" t="n">
        <v>0</v>
      </c>
      <c r="K4149" t="n">
        <v>0</v>
      </c>
      <c r="L4149" t="n">
        <v>0</v>
      </c>
      <c r="M4149" t="n">
        <v>0</v>
      </c>
      <c r="N4149" t="n">
        <v>0</v>
      </c>
      <c r="O4149" t="n">
        <v>0</v>
      </c>
      <c r="P4149" t="n">
        <v>0</v>
      </c>
      <c r="Q4149" t="n">
        <v>0</v>
      </c>
      <c r="R4149" s="2" t="inlineStr"/>
    </row>
    <row r="4150" ht="15" customHeight="1">
      <c r="A4150" t="inlineStr">
        <is>
          <t>A 41507-2025</t>
        </is>
      </c>
      <c r="B4150" s="1" t="n">
        <v>45901.52850694444</v>
      </c>
      <c r="C4150" s="1" t="n">
        <v>46075</v>
      </c>
      <c r="D4150" t="inlineStr">
        <is>
          <t>VÄSTERBOTTENS LÄN</t>
        </is>
      </c>
      <c r="E4150" t="inlineStr">
        <is>
          <t>SKELLEFTEÅ</t>
        </is>
      </c>
      <c r="F4150" t="inlineStr">
        <is>
          <t>Holmen skog AB</t>
        </is>
      </c>
      <c r="G4150" t="n">
        <v>4.4</v>
      </c>
      <c r="H4150" t="n">
        <v>0</v>
      </c>
      <c r="I4150" t="n">
        <v>0</v>
      </c>
      <c r="J4150" t="n">
        <v>0</v>
      </c>
      <c r="K4150" t="n">
        <v>0</v>
      </c>
      <c r="L4150" t="n">
        <v>0</v>
      </c>
      <c r="M4150" t="n">
        <v>0</v>
      </c>
      <c r="N4150" t="n">
        <v>0</v>
      </c>
      <c r="O4150" t="n">
        <v>0</v>
      </c>
      <c r="P4150" t="n">
        <v>0</v>
      </c>
      <c r="Q4150" t="n">
        <v>0</v>
      </c>
      <c r="R4150" s="2" t="inlineStr"/>
    </row>
    <row r="4151" ht="15" customHeight="1">
      <c r="A4151" t="inlineStr">
        <is>
          <t>A 41055-2025</t>
        </is>
      </c>
      <c r="B4151" s="1" t="n">
        <v>45898</v>
      </c>
      <c r="C4151" s="1" t="n">
        <v>46075</v>
      </c>
      <c r="D4151" t="inlineStr">
        <is>
          <t>VÄSTERBOTTENS LÄN</t>
        </is>
      </c>
      <c r="E4151" t="inlineStr">
        <is>
          <t>DOROTEA</t>
        </is>
      </c>
      <c r="F4151" t="inlineStr">
        <is>
          <t>SCA</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41087-2025</t>
        </is>
      </c>
      <c r="B4152" s="1" t="n">
        <v>45898.43600694444</v>
      </c>
      <c r="C4152" s="1" t="n">
        <v>46075</v>
      </c>
      <c r="D4152" t="inlineStr">
        <is>
          <t>VÄSTERBOTTENS LÄN</t>
        </is>
      </c>
      <c r="E4152" t="inlineStr">
        <is>
          <t>LYCKSELE</t>
        </is>
      </c>
      <c r="F4152" t="inlineStr">
        <is>
          <t>Holmen skog AB</t>
        </is>
      </c>
      <c r="G4152" t="n">
        <v>3.6</v>
      </c>
      <c r="H4152" t="n">
        <v>0</v>
      </c>
      <c r="I4152" t="n">
        <v>0</v>
      </c>
      <c r="J4152" t="n">
        <v>0</v>
      </c>
      <c r="K4152" t="n">
        <v>0</v>
      </c>
      <c r="L4152" t="n">
        <v>0</v>
      </c>
      <c r="M4152" t="n">
        <v>0</v>
      </c>
      <c r="N4152" t="n">
        <v>0</v>
      </c>
      <c r="O4152" t="n">
        <v>0</v>
      </c>
      <c r="P4152" t="n">
        <v>0</v>
      </c>
      <c r="Q4152" t="n">
        <v>0</v>
      </c>
      <c r="R4152" s="2" t="inlineStr"/>
    </row>
    <row r="4153" ht="15" customHeight="1">
      <c r="A4153" t="inlineStr">
        <is>
          <t>A 41466-2025</t>
        </is>
      </c>
      <c r="B4153" s="1" t="n">
        <v>45901</v>
      </c>
      <c r="C4153" s="1" t="n">
        <v>46075</v>
      </c>
      <c r="D4153" t="inlineStr">
        <is>
          <t>VÄSTERBOTTENS LÄN</t>
        </is>
      </c>
      <c r="E4153" t="inlineStr">
        <is>
          <t>UMEÅ</t>
        </is>
      </c>
      <c r="G4153" t="n">
        <v>0.3</v>
      </c>
      <c r="H4153" t="n">
        <v>0</v>
      </c>
      <c r="I4153" t="n">
        <v>0</v>
      </c>
      <c r="J4153" t="n">
        <v>0</v>
      </c>
      <c r="K4153" t="n">
        <v>0</v>
      </c>
      <c r="L4153" t="n">
        <v>0</v>
      </c>
      <c r="M4153" t="n">
        <v>0</v>
      </c>
      <c r="N4153" t="n">
        <v>0</v>
      </c>
      <c r="O4153" t="n">
        <v>0</v>
      </c>
      <c r="P4153" t="n">
        <v>0</v>
      </c>
      <c r="Q4153" t="n">
        <v>0</v>
      </c>
      <c r="R4153" s="2" t="inlineStr"/>
    </row>
    <row r="4154" ht="15" customHeight="1">
      <c r="A4154" t="inlineStr">
        <is>
          <t>A 2965-2025</t>
        </is>
      </c>
      <c r="B4154" s="1" t="n">
        <v>45678.45821759259</v>
      </c>
      <c r="C4154" s="1" t="n">
        <v>46075</v>
      </c>
      <c r="D4154" t="inlineStr">
        <is>
          <t>VÄSTERBOTTENS LÄN</t>
        </is>
      </c>
      <c r="E4154" t="inlineStr">
        <is>
          <t>NORSJÖ</t>
        </is>
      </c>
      <c r="G4154" t="n">
        <v>19.6</v>
      </c>
      <c r="H4154" t="n">
        <v>0</v>
      </c>
      <c r="I4154" t="n">
        <v>0</v>
      </c>
      <c r="J4154" t="n">
        <v>0</v>
      </c>
      <c r="K4154" t="n">
        <v>0</v>
      </c>
      <c r="L4154" t="n">
        <v>0</v>
      </c>
      <c r="M4154" t="n">
        <v>0</v>
      </c>
      <c r="N4154" t="n">
        <v>0</v>
      </c>
      <c r="O4154" t="n">
        <v>0</v>
      </c>
      <c r="P4154" t="n">
        <v>0</v>
      </c>
      <c r="Q4154" t="n">
        <v>0</v>
      </c>
      <c r="R4154" s="2" t="inlineStr"/>
    </row>
    <row r="4155" ht="15" customHeight="1">
      <c r="A4155" t="inlineStr">
        <is>
          <t>A 41142-2025</t>
        </is>
      </c>
      <c r="B4155" s="1" t="n">
        <v>45898.49275462963</v>
      </c>
      <c r="C4155" s="1" t="n">
        <v>46075</v>
      </c>
      <c r="D4155" t="inlineStr">
        <is>
          <t>VÄSTERBOTTENS LÄN</t>
        </is>
      </c>
      <c r="E4155" t="inlineStr">
        <is>
          <t>STORUMAN</t>
        </is>
      </c>
      <c r="F4155" t="inlineStr">
        <is>
          <t>Sveaskog</t>
        </is>
      </c>
      <c r="G4155" t="n">
        <v>2.7</v>
      </c>
      <c r="H4155" t="n">
        <v>0</v>
      </c>
      <c r="I4155" t="n">
        <v>0</v>
      </c>
      <c r="J4155" t="n">
        <v>0</v>
      </c>
      <c r="K4155" t="n">
        <v>0</v>
      </c>
      <c r="L4155" t="n">
        <v>0</v>
      </c>
      <c r="M4155" t="n">
        <v>0</v>
      </c>
      <c r="N4155" t="n">
        <v>0</v>
      </c>
      <c r="O4155" t="n">
        <v>0</v>
      </c>
      <c r="P4155" t="n">
        <v>0</v>
      </c>
      <c r="Q4155" t="n">
        <v>0</v>
      </c>
      <c r="R4155" s="2" t="inlineStr"/>
    </row>
    <row r="4156" ht="15" customHeight="1">
      <c r="A4156" t="inlineStr">
        <is>
          <t>A 31988-2025</t>
        </is>
      </c>
      <c r="B4156" s="1" t="n">
        <v>45835.363125</v>
      </c>
      <c r="C4156" s="1" t="n">
        <v>46075</v>
      </c>
      <c r="D4156" t="inlineStr">
        <is>
          <t>VÄSTERBOTTENS LÄN</t>
        </is>
      </c>
      <c r="E4156" t="inlineStr">
        <is>
          <t>SKELLEFTEÅ</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27817-2022</t>
        </is>
      </c>
      <c r="B4157" s="1" t="n">
        <v>44743</v>
      </c>
      <c r="C4157" s="1" t="n">
        <v>46075</v>
      </c>
      <c r="D4157" t="inlineStr">
        <is>
          <t>VÄSTERBOTTENS LÄN</t>
        </is>
      </c>
      <c r="E4157" t="inlineStr">
        <is>
          <t>SKELLEFTEÅ</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41911-2025</t>
        </is>
      </c>
      <c r="B4158" s="1" t="n">
        <v>45903.40899305556</v>
      </c>
      <c r="C4158" s="1" t="n">
        <v>46075</v>
      </c>
      <c r="D4158" t="inlineStr">
        <is>
          <t>VÄSTERBOTTENS LÄN</t>
        </is>
      </c>
      <c r="E4158" t="inlineStr">
        <is>
          <t>LYCKSELE</t>
        </is>
      </c>
      <c r="F4158" t="inlineStr">
        <is>
          <t>Sveaskog</t>
        </is>
      </c>
      <c r="G4158" t="n">
        <v>9.4</v>
      </c>
      <c r="H4158" t="n">
        <v>0</v>
      </c>
      <c r="I4158" t="n">
        <v>0</v>
      </c>
      <c r="J4158" t="n">
        <v>0</v>
      </c>
      <c r="K4158" t="n">
        <v>0</v>
      </c>
      <c r="L4158" t="n">
        <v>0</v>
      </c>
      <c r="M4158" t="n">
        <v>0</v>
      </c>
      <c r="N4158" t="n">
        <v>0</v>
      </c>
      <c r="O4158" t="n">
        <v>0</v>
      </c>
      <c r="P4158" t="n">
        <v>0</v>
      </c>
      <c r="Q4158" t="n">
        <v>0</v>
      </c>
      <c r="R4158" s="2" t="inlineStr"/>
    </row>
    <row r="4159" ht="15" customHeight="1">
      <c r="A4159" t="inlineStr">
        <is>
          <t>A 32305-2025</t>
        </is>
      </c>
      <c r="B4159" s="1" t="n">
        <v>45835.71929398148</v>
      </c>
      <c r="C4159" s="1" t="n">
        <v>46075</v>
      </c>
      <c r="D4159" t="inlineStr">
        <is>
          <t>VÄSTERBOTTENS LÄN</t>
        </is>
      </c>
      <c r="E4159" t="inlineStr">
        <is>
          <t>VINDELN</t>
        </is>
      </c>
      <c r="F4159" t="inlineStr">
        <is>
          <t>SCA</t>
        </is>
      </c>
      <c r="G4159" t="n">
        <v>15.2</v>
      </c>
      <c r="H4159" t="n">
        <v>0</v>
      </c>
      <c r="I4159" t="n">
        <v>0</v>
      </c>
      <c r="J4159" t="n">
        <v>0</v>
      </c>
      <c r="K4159" t="n">
        <v>0</v>
      </c>
      <c r="L4159" t="n">
        <v>0</v>
      </c>
      <c r="M4159" t="n">
        <v>0</v>
      </c>
      <c r="N4159" t="n">
        <v>0</v>
      </c>
      <c r="O4159" t="n">
        <v>0</v>
      </c>
      <c r="P4159" t="n">
        <v>0</v>
      </c>
      <c r="Q4159" t="n">
        <v>0</v>
      </c>
      <c r="R4159" s="2" t="inlineStr"/>
    </row>
    <row r="4160" ht="15" customHeight="1">
      <c r="A4160" t="inlineStr">
        <is>
          <t>A 28308-2025</t>
        </is>
      </c>
      <c r="B4160" s="1" t="n">
        <v>45818.61790509259</v>
      </c>
      <c r="C4160" s="1" t="n">
        <v>46075</v>
      </c>
      <c r="D4160" t="inlineStr">
        <is>
          <t>VÄSTERBOTTENS LÄN</t>
        </is>
      </c>
      <c r="E4160" t="inlineStr">
        <is>
          <t>NORDMALING</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31669-2025</t>
        </is>
      </c>
      <c r="B4161" s="1" t="n">
        <v>45834.36547453704</v>
      </c>
      <c r="C4161" s="1" t="n">
        <v>46075</v>
      </c>
      <c r="D4161" t="inlineStr">
        <is>
          <t>VÄSTERBOTTENS LÄN</t>
        </is>
      </c>
      <c r="E4161" t="inlineStr">
        <is>
          <t>SKELLEFTEÅ</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40409-2025</t>
        </is>
      </c>
      <c r="B4162" s="1" t="n">
        <v>45895</v>
      </c>
      <c r="C4162" s="1" t="n">
        <v>46075</v>
      </c>
      <c r="D4162" t="inlineStr">
        <is>
          <t>VÄSTERBOTTENS LÄN</t>
        </is>
      </c>
      <c r="E4162" t="inlineStr">
        <is>
          <t>SKELLEFTEÅ</t>
        </is>
      </c>
      <c r="G4162" t="n">
        <v>4.7</v>
      </c>
      <c r="H4162" t="n">
        <v>0</v>
      </c>
      <c r="I4162" t="n">
        <v>0</v>
      </c>
      <c r="J4162" t="n">
        <v>0</v>
      </c>
      <c r="K4162" t="n">
        <v>0</v>
      </c>
      <c r="L4162" t="n">
        <v>0</v>
      </c>
      <c r="M4162" t="n">
        <v>0</v>
      </c>
      <c r="N4162" t="n">
        <v>0</v>
      </c>
      <c r="O4162" t="n">
        <v>0</v>
      </c>
      <c r="P4162" t="n">
        <v>0</v>
      </c>
      <c r="Q4162" t="n">
        <v>0</v>
      </c>
      <c r="R4162" s="2" t="inlineStr"/>
    </row>
    <row r="4163" ht="15" customHeight="1">
      <c r="A4163" t="inlineStr">
        <is>
          <t>A 38457-2022</t>
        </is>
      </c>
      <c r="B4163" s="1" t="n">
        <v>44813</v>
      </c>
      <c r="C4163" s="1" t="n">
        <v>46075</v>
      </c>
      <c r="D4163" t="inlineStr">
        <is>
          <t>VÄSTERBOTTENS LÄN</t>
        </is>
      </c>
      <c r="E4163" t="inlineStr">
        <is>
          <t>SKELLEFTEÅ</t>
        </is>
      </c>
      <c r="F4163" t="inlineStr">
        <is>
          <t>Holmen skog AB</t>
        </is>
      </c>
      <c r="G4163" t="n">
        <v>6.7</v>
      </c>
      <c r="H4163" t="n">
        <v>0</v>
      </c>
      <c r="I4163" t="n">
        <v>0</v>
      </c>
      <c r="J4163" t="n">
        <v>0</v>
      </c>
      <c r="K4163" t="n">
        <v>0</v>
      </c>
      <c r="L4163" t="n">
        <v>0</v>
      </c>
      <c r="M4163" t="n">
        <v>0</v>
      </c>
      <c r="N4163" t="n">
        <v>0</v>
      </c>
      <c r="O4163" t="n">
        <v>0</v>
      </c>
      <c r="P4163" t="n">
        <v>0</v>
      </c>
      <c r="Q4163" t="n">
        <v>0</v>
      </c>
      <c r="R4163" s="2" t="inlineStr"/>
    </row>
    <row r="4164" ht="15" customHeight="1">
      <c r="A4164" t="inlineStr">
        <is>
          <t>A 28573-2025</t>
        </is>
      </c>
      <c r="B4164" s="1" t="n">
        <v>45819</v>
      </c>
      <c r="C4164" s="1" t="n">
        <v>46075</v>
      </c>
      <c r="D4164" t="inlineStr">
        <is>
          <t>VÄSTERBOTTENS LÄN</t>
        </is>
      </c>
      <c r="E4164" t="inlineStr">
        <is>
          <t>SKELLEFTEÅ</t>
        </is>
      </c>
      <c r="G4164" t="n">
        <v>4.9</v>
      </c>
      <c r="H4164" t="n">
        <v>0</v>
      </c>
      <c r="I4164" t="n">
        <v>0</v>
      </c>
      <c r="J4164" t="n">
        <v>0</v>
      </c>
      <c r="K4164" t="n">
        <v>0</v>
      </c>
      <c r="L4164" t="n">
        <v>0</v>
      </c>
      <c r="M4164" t="n">
        <v>0</v>
      </c>
      <c r="N4164" t="n">
        <v>0</v>
      </c>
      <c r="O4164" t="n">
        <v>0</v>
      </c>
      <c r="P4164" t="n">
        <v>0</v>
      </c>
      <c r="Q4164" t="n">
        <v>0</v>
      </c>
      <c r="R4164" s="2" t="inlineStr"/>
    </row>
    <row r="4165" ht="15" customHeight="1">
      <c r="A4165" t="inlineStr">
        <is>
          <t>A 22429-2025</t>
        </is>
      </c>
      <c r="B4165" s="1" t="n">
        <v>45786</v>
      </c>
      <c r="C4165" s="1" t="n">
        <v>46075</v>
      </c>
      <c r="D4165" t="inlineStr">
        <is>
          <t>VÄSTERBOTTENS LÄN</t>
        </is>
      </c>
      <c r="E4165" t="inlineStr">
        <is>
          <t>SKELLEFTEÅ</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41720-2025</t>
        </is>
      </c>
      <c r="B4166" s="1" t="n">
        <v>45902.4481712963</v>
      </c>
      <c r="C4166" s="1" t="n">
        <v>46075</v>
      </c>
      <c r="D4166" t="inlineStr">
        <is>
          <t>VÄSTERBOTTENS LÄN</t>
        </is>
      </c>
      <c r="E4166" t="inlineStr">
        <is>
          <t>SKELLEFTEÅ</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41749-2025</t>
        </is>
      </c>
      <c r="B4167" s="1" t="n">
        <v>45902.49125</v>
      </c>
      <c r="C4167" s="1" t="n">
        <v>46075</v>
      </c>
      <c r="D4167" t="inlineStr">
        <is>
          <t>VÄSTERBOTTENS LÄN</t>
        </is>
      </c>
      <c r="E4167" t="inlineStr">
        <is>
          <t>VINDELN</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41751-2025</t>
        </is>
      </c>
      <c r="B4168" s="1" t="n">
        <v>45902</v>
      </c>
      <c r="C4168" s="1" t="n">
        <v>46075</v>
      </c>
      <c r="D4168" t="inlineStr">
        <is>
          <t>VÄSTERBOTTENS LÄN</t>
        </is>
      </c>
      <c r="E4168" t="inlineStr">
        <is>
          <t>UMEÅ</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32108-2025</t>
        </is>
      </c>
      <c r="B4169" s="1" t="n">
        <v>45835.47898148148</v>
      </c>
      <c r="C4169" s="1" t="n">
        <v>46075</v>
      </c>
      <c r="D4169" t="inlineStr">
        <is>
          <t>VÄSTERBOTTENS LÄN</t>
        </is>
      </c>
      <c r="E4169" t="inlineStr">
        <is>
          <t>LYCKSELE</t>
        </is>
      </c>
      <c r="F4169" t="inlineStr">
        <is>
          <t>Holmen skog AB</t>
        </is>
      </c>
      <c r="G4169" t="n">
        <v>24.3</v>
      </c>
      <c r="H4169" t="n">
        <v>0</v>
      </c>
      <c r="I4169" t="n">
        <v>0</v>
      </c>
      <c r="J4169" t="n">
        <v>0</v>
      </c>
      <c r="K4169" t="n">
        <v>0</v>
      </c>
      <c r="L4169" t="n">
        <v>0</v>
      </c>
      <c r="M4169" t="n">
        <v>0</v>
      </c>
      <c r="N4169" t="n">
        <v>0</v>
      </c>
      <c r="O4169" t="n">
        <v>0</v>
      </c>
      <c r="P4169" t="n">
        <v>0</v>
      </c>
      <c r="Q4169" t="n">
        <v>0</v>
      </c>
      <c r="R4169" s="2" t="inlineStr"/>
    </row>
    <row r="4170" ht="15" customHeight="1">
      <c r="A4170" t="inlineStr">
        <is>
          <t>A 64205-2023</t>
        </is>
      </c>
      <c r="B4170" s="1" t="n">
        <v>45279</v>
      </c>
      <c r="C4170" s="1" t="n">
        <v>46075</v>
      </c>
      <c r="D4170" t="inlineStr">
        <is>
          <t>VÄSTERBOTTENS LÄN</t>
        </is>
      </c>
      <c r="E4170" t="inlineStr">
        <is>
          <t>VINDELN</t>
        </is>
      </c>
      <c r="F4170" t="inlineStr">
        <is>
          <t>Holmen skog AB</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15376-2025</t>
        </is>
      </c>
      <c r="B4171" s="1" t="n">
        <v>45747.40657407408</v>
      </c>
      <c r="C4171" s="1" t="n">
        <v>46075</v>
      </c>
      <c r="D4171" t="inlineStr">
        <is>
          <t>VÄSTERBOTTENS LÄN</t>
        </is>
      </c>
      <c r="E4171" t="inlineStr">
        <is>
          <t>UMEÅ</t>
        </is>
      </c>
      <c r="G4171" t="n">
        <v>4.1</v>
      </c>
      <c r="H4171" t="n">
        <v>0</v>
      </c>
      <c r="I4171" t="n">
        <v>0</v>
      </c>
      <c r="J4171" t="n">
        <v>0</v>
      </c>
      <c r="K4171" t="n">
        <v>0</v>
      </c>
      <c r="L4171" t="n">
        <v>0</v>
      </c>
      <c r="M4171" t="n">
        <v>0</v>
      </c>
      <c r="N4171" t="n">
        <v>0</v>
      </c>
      <c r="O4171" t="n">
        <v>0</v>
      </c>
      <c r="P4171" t="n">
        <v>0</v>
      </c>
      <c r="Q4171" t="n">
        <v>0</v>
      </c>
      <c r="R4171" s="2" t="inlineStr"/>
    </row>
    <row r="4172" ht="15" customHeight="1">
      <c r="A4172" t="inlineStr">
        <is>
          <t>A 32143-2025</t>
        </is>
      </c>
      <c r="B4172" s="1" t="n">
        <v>45835.52561342593</v>
      </c>
      <c r="C4172" s="1" t="n">
        <v>46075</v>
      </c>
      <c r="D4172" t="inlineStr">
        <is>
          <t>VÄSTERBOTTENS LÄN</t>
        </is>
      </c>
      <c r="E4172" t="inlineStr">
        <is>
          <t>ÅSELE</t>
        </is>
      </c>
      <c r="F4172" t="inlineStr">
        <is>
          <t>Holmen skog AB</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12141-2025</t>
        </is>
      </c>
      <c r="B4173" s="1" t="n">
        <v>45729.40373842593</v>
      </c>
      <c r="C4173" s="1" t="n">
        <v>46075</v>
      </c>
      <c r="D4173" t="inlineStr">
        <is>
          <t>VÄSTERBOTTENS LÄN</t>
        </is>
      </c>
      <c r="E4173" t="inlineStr">
        <is>
          <t>UMEÅ</t>
        </is>
      </c>
      <c r="G4173" t="n">
        <v>6.6</v>
      </c>
      <c r="H4173" t="n">
        <v>0</v>
      </c>
      <c r="I4173" t="n">
        <v>0</v>
      </c>
      <c r="J4173" t="n">
        <v>0</v>
      </c>
      <c r="K4173" t="n">
        <v>0</v>
      </c>
      <c r="L4173" t="n">
        <v>0</v>
      </c>
      <c r="M4173" t="n">
        <v>0</v>
      </c>
      <c r="N4173" t="n">
        <v>0</v>
      </c>
      <c r="O4173" t="n">
        <v>0</v>
      </c>
      <c r="P4173" t="n">
        <v>0</v>
      </c>
      <c r="Q4173" t="n">
        <v>0</v>
      </c>
      <c r="R4173" s="2" t="inlineStr"/>
    </row>
    <row r="4174" ht="15" customHeight="1">
      <c r="A4174" t="inlineStr">
        <is>
          <t>A 14394-2025</t>
        </is>
      </c>
      <c r="B4174" s="1" t="n">
        <v>45741</v>
      </c>
      <c r="C4174" s="1" t="n">
        <v>46075</v>
      </c>
      <c r="D4174" t="inlineStr">
        <is>
          <t>VÄSTERBOTTENS LÄN</t>
        </is>
      </c>
      <c r="E4174" t="inlineStr">
        <is>
          <t>SKELLEFTEÅ</t>
        </is>
      </c>
      <c r="G4174" t="n">
        <v>5.9</v>
      </c>
      <c r="H4174" t="n">
        <v>0</v>
      </c>
      <c r="I4174" t="n">
        <v>0</v>
      </c>
      <c r="J4174" t="n">
        <v>0</v>
      </c>
      <c r="K4174" t="n">
        <v>0</v>
      </c>
      <c r="L4174" t="n">
        <v>0</v>
      </c>
      <c r="M4174" t="n">
        <v>0</v>
      </c>
      <c r="N4174" t="n">
        <v>0</v>
      </c>
      <c r="O4174" t="n">
        <v>0</v>
      </c>
      <c r="P4174" t="n">
        <v>0</v>
      </c>
      <c r="Q4174" t="n">
        <v>0</v>
      </c>
      <c r="R4174" s="2" t="inlineStr"/>
    </row>
    <row r="4175" ht="15" customHeight="1">
      <c r="A4175" t="inlineStr">
        <is>
          <t>A 41670-2025</t>
        </is>
      </c>
      <c r="B4175" s="1" t="n">
        <v>45902.361875</v>
      </c>
      <c r="C4175" s="1" t="n">
        <v>46075</v>
      </c>
      <c r="D4175" t="inlineStr">
        <is>
          <t>VÄSTERBOTTENS LÄN</t>
        </is>
      </c>
      <c r="E4175" t="inlineStr">
        <is>
          <t>SKELLEFTEÅ</t>
        </is>
      </c>
      <c r="F4175" t="inlineStr">
        <is>
          <t>Holmen skog AB</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31688-2025</t>
        </is>
      </c>
      <c r="B4176" s="1" t="n">
        <v>45834.40149305556</v>
      </c>
      <c r="C4176" s="1" t="n">
        <v>46075</v>
      </c>
      <c r="D4176" t="inlineStr">
        <is>
          <t>VÄSTERBOTTENS LÄN</t>
        </is>
      </c>
      <c r="E4176" t="inlineStr">
        <is>
          <t>SKELLEFTEÅ</t>
        </is>
      </c>
      <c r="F4176" t="inlineStr">
        <is>
          <t>Holmen skog AB</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32202-2025</t>
        </is>
      </c>
      <c r="B4177" s="1" t="n">
        <v>45835.57872685185</v>
      </c>
      <c r="C4177" s="1" t="n">
        <v>46075</v>
      </c>
      <c r="D4177" t="inlineStr">
        <is>
          <t>VÄSTERBOTTENS LÄN</t>
        </is>
      </c>
      <c r="E4177" t="inlineStr">
        <is>
          <t>STORUMAN</t>
        </is>
      </c>
      <c r="F4177" t="inlineStr">
        <is>
          <t>Sveaskog</t>
        </is>
      </c>
      <c r="G4177" t="n">
        <v>8.1</v>
      </c>
      <c r="H4177" t="n">
        <v>0</v>
      </c>
      <c r="I4177" t="n">
        <v>0</v>
      </c>
      <c r="J4177" t="n">
        <v>0</v>
      </c>
      <c r="K4177" t="n">
        <v>0</v>
      </c>
      <c r="L4177" t="n">
        <v>0</v>
      </c>
      <c r="M4177" t="n">
        <v>0</v>
      </c>
      <c r="N4177" t="n">
        <v>0</v>
      </c>
      <c r="O4177" t="n">
        <v>0</v>
      </c>
      <c r="P4177" t="n">
        <v>0</v>
      </c>
      <c r="Q4177" t="n">
        <v>0</v>
      </c>
      <c r="R4177" s="2" t="inlineStr"/>
    </row>
    <row r="4178" ht="15" customHeight="1">
      <c r="A4178" t="inlineStr">
        <is>
          <t>A 35591-2024</t>
        </is>
      </c>
      <c r="B4178" s="1" t="n">
        <v>45531.6533912037</v>
      </c>
      <c r="C4178" s="1" t="n">
        <v>46075</v>
      </c>
      <c r="D4178" t="inlineStr">
        <is>
          <t>VÄSTERBOTTENS LÄN</t>
        </is>
      </c>
      <c r="E4178" t="inlineStr">
        <is>
          <t>VINDELN</t>
        </is>
      </c>
      <c r="F4178" t="inlineStr">
        <is>
          <t>Holmen skog AB</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41909-2025</t>
        </is>
      </c>
      <c r="B4179" s="1" t="n">
        <v>45903.4078125</v>
      </c>
      <c r="C4179" s="1" t="n">
        <v>46075</v>
      </c>
      <c r="D4179" t="inlineStr">
        <is>
          <t>VÄSTERBOTTENS LÄN</t>
        </is>
      </c>
      <c r="E4179" t="inlineStr">
        <is>
          <t>SKELLEFTEÅ</t>
        </is>
      </c>
      <c r="G4179" t="n">
        <v>4.4</v>
      </c>
      <c r="H4179" t="n">
        <v>0</v>
      </c>
      <c r="I4179" t="n">
        <v>0</v>
      </c>
      <c r="J4179" t="n">
        <v>0</v>
      </c>
      <c r="K4179" t="n">
        <v>0</v>
      </c>
      <c r="L4179" t="n">
        <v>0</v>
      </c>
      <c r="M4179" t="n">
        <v>0</v>
      </c>
      <c r="N4179" t="n">
        <v>0</v>
      </c>
      <c r="O4179" t="n">
        <v>0</v>
      </c>
      <c r="P4179" t="n">
        <v>0</v>
      </c>
      <c r="Q4179" t="n">
        <v>0</v>
      </c>
      <c r="R4179" s="2" t="inlineStr"/>
    </row>
    <row r="4180" ht="15" customHeight="1">
      <c r="A4180" t="inlineStr">
        <is>
          <t>A 41953-2025</t>
        </is>
      </c>
      <c r="B4180" s="1" t="n">
        <v>45903.45978009259</v>
      </c>
      <c r="C4180" s="1" t="n">
        <v>46075</v>
      </c>
      <c r="D4180" t="inlineStr">
        <is>
          <t>VÄSTERBOTTENS LÄN</t>
        </is>
      </c>
      <c r="E4180" t="inlineStr">
        <is>
          <t>SKELLEFTEÅ</t>
        </is>
      </c>
      <c r="F4180" t="inlineStr">
        <is>
          <t>Holmen skog AB</t>
        </is>
      </c>
      <c r="G4180" t="n">
        <v>3.9</v>
      </c>
      <c r="H4180" t="n">
        <v>0</v>
      </c>
      <c r="I4180" t="n">
        <v>0</v>
      </c>
      <c r="J4180" t="n">
        <v>0</v>
      </c>
      <c r="K4180" t="n">
        <v>0</v>
      </c>
      <c r="L4180" t="n">
        <v>0</v>
      </c>
      <c r="M4180" t="n">
        <v>0</v>
      </c>
      <c r="N4180" t="n">
        <v>0</v>
      </c>
      <c r="O4180" t="n">
        <v>0</v>
      </c>
      <c r="P4180" t="n">
        <v>0</v>
      </c>
      <c r="Q4180" t="n">
        <v>0</v>
      </c>
      <c r="R4180" s="2" t="inlineStr"/>
    </row>
    <row r="4181" ht="15" customHeight="1">
      <c r="A4181" t="inlineStr">
        <is>
          <t>A 41961-2025</t>
        </is>
      </c>
      <c r="B4181" s="1" t="n">
        <v>45903</v>
      </c>
      <c r="C4181" s="1" t="n">
        <v>46075</v>
      </c>
      <c r="D4181" t="inlineStr">
        <is>
          <t>VÄSTERBOTTENS LÄN</t>
        </is>
      </c>
      <c r="E4181" t="inlineStr">
        <is>
          <t>ÅSELE</t>
        </is>
      </c>
      <c r="F4181" t="inlineStr">
        <is>
          <t>SCA</t>
        </is>
      </c>
      <c r="G4181" t="n">
        <v>8.1</v>
      </c>
      <c r="H4181" t="n">
        <v>0</v>
      </c>
      <c r="I4181" t="n">
        <v>0</v>
      </c>
      <c r="J4181" t="n">
        <v>0</v>
      </c>
      <c r="K4181" t="n">
        <v>0</v>
      </c>
      <c r="L4181" t="n">
        <v>0</v>
      </c>
      <c r="M4181" t="n">
        <v>0</v>
      </c>
      <c r="N4181" t="n">
        <v>0</v>
      </c>
      <c r="O4181" t="n">
        <v>0</v>
      </c>
      <c r="P4181" t="n">
        <v>0</v>
      </c>
      <c r="Q4181" t="n">
        <v>0</v>
      </c>
      <c r="R4181" s="2" t="inlineStr"/>
    </row>
    <row r="4182" ht="15" customHeight="1">
      <c r="A4182" t="inlineStr">
        <is>
          <t>A 41983-2025</t>
        </is>
      </c>
      <c r="B4182" s="1" t="n">
        <v>45903.53185185185</v>
      </c>
      <c r="C4182" s="1" t="n">
        <v>46075</v>
      </c>
      <c r="D4182" t="inlineStr">
        <is>
          <t>VÄSTERBOTTENS LÄN</t>
        </is>
      </c>
      <c r="E4182" t="inlineStr">
        <is>
          <t>NORDMALING</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31724-2025</t>
        </is>
      </c>
      <c r="B4183" s="1" t="n">
        <v>45834</v>
      </c>
      <c r="C4183" s="1" t="n">
        <v>46075</v>
      </c>
      <c r="D4183" t="inlineStr">
        <is>
          <t>VÄSTERBOTTENS LÄN</t>
        </is>
      </c>
      <c r="E4183" t="inlineStr">
        <is>
          <t>VILHELMINA</t>
        </is>
      </c>
      <c r="G4183" t="n">
        <v>19.7</v>
      </c>
      <c r="H4183" t="n">
        <v>0</v>
      </c>
      <c r="I4183" t="n">
        <v>0</v>
      </c>
      <c r="J4183" t="n">
        <v>0</v>
      </c>
      <c r="K4183" t="n">
        <v>0</v>
      </c>
      <c r="L4183" t="n">
        <v>0</v>
      </c>
      <c r="M4183" t="n">
        <v>0</v>
      </c>
      <c r="N4183" t="n">
        <v>0</v>
      </c>
      <c r="O4183" t="n">
        <v>0</v>
      </c>
      <c r="P4183" t="n">
        <v>0</v>
      </c>
      <c r="Q4183" t="n">
        <v>0</v>
      </c>
      <c r="R4183" s="2" t="inlineStr"/>
    </row>
    <row r="4184" ht="15" customHeight="1">
      <c r="A4184" t="inlineStr">
        <is>
          <t>A 31727-2025</t>
        </is>
      </c>
      <c r="B4184" s="1" t="n">
        <v>45834.46859953704</v>
      </c>
      <c r="C4184" s="1" t="n">
        <v>46075</v>
      </c>
      <c r="D4184" t="inlineStr">
        <is>
          <t>VÄSTERBOTTENS LÄN</t>
        </is>
      </c>
      <c r="E4184" t="inlineStr">
        <is>
          <t>SKELLEFTEÅ</t>
        </is>
      </c>
      <c r="G4184" t="n">
        <v>4.5</v>
      </c>
      <c r="H4184" t="n">
        <v>0</v>
      </c>
      <c r="I4184" t="n">
        <v>0</v>
      </c>
      <c r="J4184" t="n">
        <v>0</v>
      </c>
      <c r="K4184" t="n">
        <v>0</v>
      </c>
      <c r="L4184" t="n">
        <v>0</v>
      </c>
      <c r="M4184" t="n">
        <v>0</v>
      </c>
      <c r="N4184" t="n">
        <v>0</v>
      </c>
      <c r="O4184" t="n">
        <v>0</v>
      </c>
      <c r="P4184" t="n">
        <v>0</v>
      </c>
      <c r="Q4184" t="n">
        <v>0</v>
      </c>
      <c r="R4184" s="2" t="inlineStr"/>
    </row>
    <row r="4185" ht="15" customHeight="1">
      <c r="A4185" t="inlineStr">
        <is>
          <t>A 37688-2024</t>
        </is>
      </c>
      <c r="B4185" s="1" t="n">
        <v>45541</v>
      </c>
      <c r="C4185" s="1" t="n">
        <v>46075</v>
      </c>
      <c r="D4185" t="inlineStr">
        <is>
          <t>VÄSTERBOTTENS LÄN</t>
        </is>
      </c>
      <c r="E4185" t="inlineStr">
        <is>
          <t>MALÅ</t>
        </is>
      </c>
      <c r="G4185" t="n">
        <v>13.3</v>
      </c>
      <c r="H4185" t="n">
        <v>0</v>
      </c>
      <c r="I4185" t="n">
        <v>0</v>
      </c>
      <c r="J4185" t="n">
        <v>0</v>
      </c>
      <c r="K4185" t="n">
        <v>0</v>
      </c>
      <c r="L4185" t="n">
        <v>0</v>
      </c>
      <c r="M4185" t="n">
        <v>0</v>
      </c>
      <c r="N4185" t="n">
        <v>0</v>
      </c>
      <c r="O4185" t="n">
        <v>0</v>
      </c>
      <c r="P4185" t="n">
        <v>0</v>
      </c>
      <c r="Q4185" t="n">
        <v>0</v>
      </c>
      <c r="R4185" s="2" t="inlineStr"/>
    </row>
    <row r="4186" ht="15" customHeight="1">
      <c r="A4186" t="inlineStr">
        <is>
          <t>A 17326-2024</t>
        </is>
      </c>
      <c r="B4186" s="1" t="n">
        <v>45414</v>
      </c>
      <c r="C4186" s="1" t="n">
        <v>46075</v>
      </c>
      <c r="D4186" t="inlineStr">
        <is>
          <t>VÄSTERBOTTENS LÄN</t>
        </is>
      </c>
      <c r="E4186" t="inlineStr">
        <is>
          <t>SORSELE</t>
        </is>
      </c>
      <c r="G4186" t="n">
        <v>18.2</v>
      </c>
      <c r="H4186" t="n">
        <v>0</v>
      </c>
      <c r="I4186" t="n">
        <v>0</v>
      </c>
      <c r="J4186" t="n">
        <v>0</v>
      </c>
      <c r="K4186" t="n">
        <v>0</v>
      </c>
      <c r="L4186" t="n">
        <v>0</v>
      </c>
      <c r="M4186" t="n">
        <v>0</v>
      </c>
      <c r="N4186" t="n">
        <v>0</v>
      </c>
      <c r="O4186" t="n">
        <v>0</v>
      </c>
      <c r="P4186" t="n">
        <v>0</v>
      </c>
      <c r="Q4186" t="n">
        <v>0</v>
      </c>
      <c r="R4186" s="2" t="inlineStr"/>
    </row>
    <row r="4187" ht="15" customHeight="1">
      <c r="A4187" t="inlineStr">
        <is>
          <t>A 17379-2024</t>
        </is>
      </c>
      <c r="B4187" s="1" t="n">
        <v>45414</v>
      </c>
      <c r="C4187" s="1" t="n">
        <v>46075</v>
      </c>
      <c r="D4187" t="inlineStr">
        <is>
          <t>VÄSTERBOTTENS LÄN</t>
        </is>
      </c>
      <c r="E4187" t="inlineStr">
        <is>
          <t>SORSELE</t>
        </is>
      </c>
      <c r="G4187" t="n">
        <v>48.8</v>
      </c>
      <c r="H4187" t="n">
        <v>0</v>
      </c>
      <c r="I4187" t="n">
        <v>0</v>
      </c>
      <c r="J4187" t="n">
        <v>0</v>
      </c>
      <c r="K4187" t="n">
        <v>0</v>
      </c>
      <c r="L4187" t="n">
        <v>0</v>
      </c>
      <c r="M4187" t="n">
        <v>0</v>
      </c>
      <c r="N4187" t="n">
        <v>0</v>
      </c>
      <c r="O4187" t="n">
        <v>0</v>
      </c>
      <c r="P4187" t="n">
        <v>0</v>
      </c>
      <c r="Q4187" t="n">
        <v>0</v>
      </c>
      <c r="R4187" s="2" t="inlineStr"/>
    </row>
    <row r="4188" ht="15" customHeight="1">
      <c r="A4188" t="inlineStr">
        <is>
          <t>A 59771-2023</t>
        </is>
      </c>
      <c r="B4188" s="1" t="n">
        <v>45257</v>
      </c>
      <c r="C4188" s="1" t="n">
        <v>46075</v>
      </c>
      <c r="D4188" t="inlineStr">
        <is>
          <t>VÄSTERBOTTENS LÄN</t>
        </is>
      </c>
      <c r="E4188" t="inlineStr">
        <is>
          <t>VÄNNÄS</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42007-2025</t>
        </is>
      </c>
      <c r="B4189" s="1" t="n">
        <v>45903.55988425926</v>
      </c>
      <c r="C4189" s="1" t="n">
        <v>46075</v>
      </c>
      <c r="D4189" t="inlineStr">
        <is>
          <t>VÄSTERBOTTENS LÄN</t>
        </is>
      </c>
      <c r="E4189" t="inlineStr">
        <is>
          <t>SKELLEFTEÅ</t>
        </is>
      </c>
      <c r="F4189" t="inlineStr">
        <is>
          <t>Holmen skog AB</t>
        </is>
      </c>
      <c r="G4189" t="n">
        <v>2.5</v>
      </c>
      <c r="H4189" t="n">
        <v>0</v>
      </c>
      <c r="I4189" t="n">
        <v>0</v>
      </c>
      <c r="J4189" t="n">
        <v>0</v>
      </c>
      <c r="K4189" t="n">
        <v>0</v>
      </c>
      <c r="L4189" t="n">
        <v>0</v>
      </c>
      <c r="M4189" t="n">
        <v>0</v>
      </c>
      <c r="N4189" t="n">
        <v>0</v>
      </c>
      <c r="O4189" t="n">
        <v>0</v>
      </c>
      <c r="P4189" t="n">
        <v>0</v>
      </c>
      <c r="Q4189" t="n">
        <v>0</v>
      </c>
      <c r="R4189" s="2" t="inlineStr"/>
    </row>
    <row r="4190" ht="15" customHeight="1">
      <c r="A4190" t="inlineStr">
        <is>
          <t>A 42019-2025</t>
        </is>
      </c>
      <c r="B4190" s="1" t="n">
        <v>45903.58563657408</v>
      </c>
      <c r="C4190" s="1" t="n">
        <v>46075</v>
      </c>
      <c r="D4190" t="inlineStr">
        <is>
          <t>VÄSTERBOTTENS LÄN</t>
        </is>
      </c>
      <c r="E4190" t="inlineStr">
        <is>
          <t>LYCKSELE</t>
        </is>
      </c>
      <c r="F4190" t="inlineStr">
        <is>
          <t>Holmen skog AB</t>
        </is>
      </c>
      <c r="G4190" t="n">
        <v>2.9</v>
      </c>
      <c r="H4190" t="n">
        <v>0</v>
      </c>
      <c r="I4190" t="n">
        <v>0</v>
      </c>
      <c r="J4190" t="n">
        <v>0</v>
      </c>
      <c r="K4190" t="n">
        <v>0</v>
      </c>
      <c r="L4190" t="n">
        <v>0</v>
      </c>
      <c r="M4190" t="n">
        <v>0</v>
      </c>
      <c r="N4190" t="n">
        <v>0</v>
      </c>
      <c r="O4190" t="n">
        <v>0</v>
      </c>
      <c r="P4190" t="n">
        <v>0</v>
      </c>
      <c r="Q4190" t="n">
        <v>0</v>
      </c>
      <c r="R4190" s="2" t="inlineStr"/>
    </row>
    <row r="4191" ht="15" customHeight="1">
      <c r="A4191" t="inlineStr">
        <is>
          <t>A 41820-2025</t>
        </is>
      </c>
      <c r="B4191" s="1" t="n">
        <v>45902.66180555556</v>
      </c>
      <c r="C4191" s="1" t="n">
        <v>46075</v>
      </c>
      <c r="D4191" t="inlineStr">
        <is>
          <t>VÄSTERBOTTENS LÄN</t>
        </is>
      </c>
      <c r="E4191" t="inlineStr">
        <is>
          <t>NORDMALING</t>
        </is>
      </c>
      <c r="F4191" t="inlineStr">
        <is>
          <t>Holmen skog AB</t>
        </is>
      </c>
      <c r="G4191" t="n">
        <v>5.2</v>
      </c>
      <c r="H4191" t="n">
        <v>0</v>
      </c>
      <c r="I4191" t="n">
        <v>0</v>
      </c>
      <c r="J4191" t="n">
        <v>0</v>
      </c>
      <c r="K4191" t="n">
        <v>0</v>
      </c>
      <c r="L4191" t="n">
        <v>0</v>
      </c>
      <c r="M4191" t="n">
        <v>0</v>
      </c>
      <c r="N4191" t="n">
        <v>0</v>
      </c>
      <c r="O4191" t="n">
        <v>0</v>
      </c>
      <c r="P4191" t="n">
        <v>0</v>
      </c>
      <c r="Q4191" t="n">
        <v>0</v>
      </c>
      <c r="R4191" s="2" t="inlineStr"/>
    </row>
    <row r="4192" ht="15" customHeight="1">
      <c r="A4192" t="inlineStr">
        <is>
          <t>A 42075-2025</t>
        </is>
      </c>
      <c r="B4192" s="1" t="n">
        <v>45902</v>
      </c>
      <c r="C4192" s="1" t="n">
        <v>46075</v>
      </c>
      <c r="D4192" t="inlineStr">
        <is>
          <t>VÄSTERBOTTENS LÄN</t>
        </is>
      </c>
      <c r="E4192" t="inlineStr">
        <is>
          <t>LYCKSELE</t>
        </is>
      </c>
      <c r="G4192" t="n">
        <v>4.5</v>
      </c>
      <c r="H4192" t="n">
        <v>0</v>
      </c>
      <c r="I4192" t="n">
        <v>0</v>
      </c>
      <c r="J4192" t="n">
        <v>0</v>
      </c>
      <c r="K4192" t="n">
        <v>0</v>
      </c>
      <c r="L4192" t="n">
        <v>0</v>
      </c>
      <c r="M4192" t="n">
        <v>0</v>
      </c>
      <c r="N4192" t="n">
        <v>0</v>
      </c>
      <c r="O4192" t="n">
        <v>0</v>
      </c>
      <c r="P4192" t="n">
        <v>0</v>
      </c>
      <c r="Q4192" t="n">
        <v>0</v>
      </c>
      <c r="R4192" s="2" t="inlineStr"/>
    </row>
    <row r="4193" ht="15" customHeight="1">
      <c r="A4193" t="inlineStr">
        <is>
          <t>A 41882-2025</t>
        </is>
      </c>
      <c r="B4193" s="1" t="n">
        <v>45903.36497685185</v>
      </c>
      <c r="C4193" s="1" t="n">
        <v>46075</v>
      </c>
      <c r="D4193" t="inlineStr">
        <is>
          <t>VÄSTERBOTTENS LÄN</t>
        </is>
      </c>
      <c r="E4193" t="inlineStr">
        <is>
          <t>DOROTEA</t>
        </is>
      </c>
      <c r="F4193" t="inlineStr">
        <is>
          <t>SCA</t>
        </is>
      </c>
      <c r="G4193" t="n">
        <v>6.7</v>
      </c>
      <c r="H4193" t="n">
        <v>0</v>
      </c>
      <c r="I4193" t="n">
        <v>0</v>
      </c>
      <c r="J4193" t="n">
        <v>0</v>
      </c>
      <c r="K4193" t="n">
        <v>0</v>
      </c>
      <c r="L4193" t="n">
        <v>0</v>
      </c>
      <c r="M4193" t="n">
        <v>0</v>
      </c>
      <c r="N4193" t="n">
        <v>0</v>
      </c>
      <c r="O4193" t="n">
        <v>0</v>
      </c>
      <c r="P4193" t="n">
        <v>0</v>
      </c>
      <c r="Q4193" t="n">
        <v>0</v>
      </c>
      <c r="R4193" s="2" t="inlineStr"/>
    </row>
    <row r="4194" ht="15" customHeight="1">
      <c r="A4194" t="inlineStr">
        <is>
          <t>A 42051-2025</t>
        </is>
      </c>
      <c r="B4194" s="1" t="n">
        <v>45903.63274305555</v>
      </c>
      <c r="C4194" s="1" t="n">
        <v>46075</v>
      </c>
      <c r="D4194" t="inlineStr">
        <is>
          <t>VÄSTERBOTTENS LÄN</t>
        </is>
      </c>
      <c r="E4194" t="inlineStr">
        <is>
          <t>LYCKSELE</t>
        </is>
      </c>
      <c r="G4194" t="n">
        <v>3.7</v>
      </c>
      <c r="H4194" t="n">
        <v>0</v>
      </c>
      <c r="I4194" t="n">
        <v>0</v>
      </c>
      <c r="J4194" t="n">
        <v>0</v>
      </c>
      <c r="K4194" t="n">
        <v>0</v>
      </c>
      <c r="L4194" t="n">
        <v>0</v>
      </c>
      <c r="M4194" t="n">
        <v>0</v>
      </c>
      <c r="N4194" t="n">
        <v>0</v>
      </c>
      <c r="O4194" t="n">
        <v>0</v>
      </c>
      <c r="P4194" t="n">
        <v>0</v>
      </c>
      <c r="Q4194" t="n">
        <v>0</v>
      </c>
      <c r="R4194" s="2" t="inlineStr"/>
    </row>
    <row r="4195" ht="15" customHeight="1">
      <c r="A4195" t="inlineStr">
        <is>
          <t>A 42066-2025</t>
        </is>
      </c>
      <c r="B4195" s="1" t="n">
        <v>45903.65673611111</v>
      </c>
      <c r="C4195" s="1" t="n">
        <v>46075</v>
      </c>
      <c r="D4195" t="inlineStr">
        <is>
          <t>VÄSTERBOTTENS LÄN</t>
        </is>
      </c>
      <c r="E4195" t="inlineStr">
        <is>
          <t>ÅSELE</t>
        </is>
      </c>
      <c r="F4195" t="inlineStr">
        <is>
          <t>SCA</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31240-2022</t>
        </is>
      </c>
      <c r="B4196" s="1" t="n">
        <v>44771</v>
      </c>
      <c r="C4196" s="1" t="n">
        <v>46075</v>
      </c>
      <c r="D4196" t="inlineStr">
        <is>
          <t>VÄSTERBOTTENS LÄN</t>
        </is>
      </c>
      <c r="E4196" t="inlineStr">
        <is>
          <t>VINDELN</t>
        </is>
      </c>
      <c r="F4196" t="inlineStr">
        <is>
          <t>Holmen skog AB</t>
        </is>
      </c>
      <c r="G4196" t="n">
        <v>7.8</v>
      </c>
      <c r="H4196" t="n">
        <v>0</v>
      </c>
      <c r="I4196" t="n">
        <v>0</v>
      </c>
      <c r="J4196" t="n">
        <v>0</v>
      </c>
      <c r="K4196" t="n">
        <v>0</v>
      </c>
      <c r="L4196" t="n">
        <v>0</v>
      </c>
      <c r="M4196" t="n">
        <v>0</v>
      </c>
      <c r="N4196" t="n">
        <v>0</v>
      </c>
      <c r="O4196" t="n">
        <v>0</v>
      </c>
      <c r="P4196" t="n">
        <v>0</v>
      </c>
      <c r="Q4196" t="n">
        <v>0</v>
      </c>
      <c r="R4196" s="2" t="inlineStr"/>
    </row>
    <row r="4197" ht="15" customHeight="1">
      <c r="A4197" t="inlineStr">
        <is>
          <t>A 48440-2023</t>
        </is>
      </c>
      <c r="B4197" s="1" t="n">
        <v>45205</v>
      </c>
      <c r="C4197" s="1" t="n">
        <v>46075</v>
      </c>
      <c r="D4197" t="inlineStr">
        <is>
          <t>VÄSTERBOTTENS LÄN</t>
        </is>
      </c>
      <c r="E4197" t="inlineStr">
        <is>
          <t>ÅSELE</t>
        </is>
      </c>
      <c r="F4197" t="inlineStr">
        <is>
          <t>SCA</t>
        </is>
      </c>
      <c r="G4197" t="n">
        <v>8.199999999999999</v>
      </c>
      <c r="H4197" t="n">
        <v>0</v>
      </c>
      <c r="I4197" t="n">
        <v>0</v>
      </c>
      <c r="J4197" t="n">
        <v>0</v>
      </c>
      <c r="K4197" t="n">
        <v>0</v>
      </c>
      <c r="L4197" t="n">
        <v>0</v>
      </c>
      <c r="M4197" t="n">
        <v>0</v>
      </c>
      <c r="N4197" t="n">
        <v>0</v>
      </c>
      <c r="O4197" t="n">
        <v>0</v>
      </c>
      <c r="P4197" t="n">
        <v>0</v>
      </c>
      <c r="Q4197" t="n">
        <v>0</v>
      </c>
      <c r="R4197" s="2" t="inlineStr"/>
    </row>
    <row r="4198" ht="15" customHeight="1">
      <c r="A4198" t="inlineStr">
        <is>
          <t>A 48470-2023</t>
        </is>
      </c>
      <c r="B4198" s="1" t="n">
        <v>45206.95747685185</v>
      </c>
      <c r="C4198" s="1" t="n">
        <v>46075</v>
      </c>
      <c r="D4198" t="inlineStr">
        <is>
          <t>VÄSTERBOTTENS LÄN</t>
        </is>
      </c>
      <c r="E4198" t="inlineStr">
        <is>
          <t>VILHELMINA</t>
        </is>
      </c>
      <c r="F4198" t="inlineStr">
        <is>
          <t>SCA</t>
        </is>
      </c>
      <c r="G4198" t="n">
        <v>3.5</v>
      </c>
      <c r="H4198" t="n">
        <v>0</v>
      </c>
      <c r="I4198" t="n">
        <v>0</v>
      </c>
      <c r="J4198" t="n">
        <v>0</v>
      </c>
      <c r="K4198" t="n">
        <v>0</v>
      </c>
      <c r="L4198" t="n">
        <v>0</v>
      </c>
      <c r="M4198" t="n">
        <v>0</v>
      </c>
      <c r="N4198" t="n">
        <v>0</v>
      </c>
      <c r="O4198" t="n">
        <v>0</v>
      </c>
      <c r="P4198" t="n">
        <v>0</v>
      </c>
      <c r="Q4198" t="n">
        <v>0</v>
      </c>
      <c r="R4198" s="2" t="inlineStr"/>
    </row>
    <row r="4199" ht="15" customHeight="1">
      <c r="A4199" t="inlineStr">
        <is>
          <t>A 41409-2022</t>
        </is>
      </c>
      <c r="B4199" s="1" t="n">
        <v>44826.63581018519</v>
      </c>
      <c r="C4199" s="1" t="n">
        <v>46075</v>
      </c>
      <c r="D4199" t="inlineStr">
        <is>
          <t>VÄSTERBOTTENS LÄN</t>
        </is>
      </c>
      <c r="E4199" t="inlineStr">
        <is>
          <t>SKELLEFTEÅ</t>
        </is>
      </c>
      <c r="G4199" t="n">
        <v>10.3</v>
      </c>
      <c r="H4199" t="n">
        <v>0</v>
      </c>
      <c r="I4199" t="n">
        <v>0</v>
      </c>
      <c r="J4199" t="n">
        <v>0</v>
      </c>
      <c r="K4199" t="n">
        <v>0</v>
      </c>
      <c r="L4199" t="n">
        <v>0</v>
      </c>
      <c r="M4199" t="n">
        <v>0</v>
      </c>
      <c r="N4199" t="n">
        <v>0</v>
      </c>
      <c r="O4199" t="n">
        <v>0</v>
      </c>
      <c r="P4199" t="n">
        <v>0</v>
      </c>
      <c r="Q4199" t="n">
        <v>0</v>
      </c>
      <c r="R4199" s="2" t="inlineStr"/>
    </row>
    <row r="4200" ht="15" customHeight="1">
      <c r="A4200" t="inlineStr">
        <is>
          <t>A 42020-2025</t>
        </is>
      </c>
      <c r="B4200" s="1" t="n">
        <v>45903.58728009259</v>
      </c>
      <c r="C4200" s="1" t="n">
        <v>46075</v>
      </c>
      <c r="D4200" t="inlineStr">
        <is>
          <t>VÄSTERBOTTENS LÄN</t>
        </is>
      </c>
      <c r="E4200" t="inlineStr">
        <is>
          <t>SKELLEFTEÅ</t>
        </is>
      </c>
      <c r="F4200" t="inlineStr">
        <is>
          <t>Holmen skog AB</t>
        </is>
      </c>
      <c r="G4200" t="n">
        <v>2.8</v>
      </c>
      <c r="H4200" t="n">
        <v>0</v>
      </c>
      <c r="I4200" t="n">
        <v>0</v>
      </c>
      <c r="J4200" t="n">
        <v>0</v>
      </c>
      <c r="K4200" t="n">
        <v>0</v>
      </c>
      <c r="L4200" t="n">
        <v>0</v>
      </c>
      <c r="M4200" t="n">
        <v>0</v>
      </c>
      <c r="N4200" t="n">
        <v>0</v>
      </c>
      <c r="O4200" t="n">
        <v>0</v>
      </c>
      <c r="P4200" t="n">
        <v>0</v>
      </c>
      <c r="Q4200" t="n">
        <v>0</v>
      </c>
      <c r="R4200" s="2" t="inlineStr"/>
    </row>
    <row r="4201" ht="15" customHeight="1">
      <c r="A4201" t="inlineStr">
        <is>
          <t>A 32239-2025</t>
        </is>
      </c>
      <c r="B4201" s="1" t="n">
        <v>45835.61503472222</v>
      </c>
      <c r="C4201" s="1" t="n">
        <v>46075</v>
      </c>
      <c r="D4201" t="inlineStr">
        <is>
          <t>VÄSTERBOTTENS LÄN</t>
        </is>
      </c>
      <c r="E4201" t="inlineStr">
        <is>
          <t>LYCKSELE</t>
        </is>
      </c>
      <c r="F4201" t="inlineStr">
        <is>
          <t>SCA</t>
        </is>
      </c>
      <c r="G4201" t="n">
        <v>3.2</v>
      </c>
      <c r="H4201" t="n">
        <v>0</v>
      </c>
      <c r="I4201" t="n">
        <v>0</v>
      </c>
      <c r="J4201" t="n">
        <v>0</v>
      </c>
      <c r="K4201" t="n">
        <v>0</v>
      </c>
      <c r="L4201" t="n">
        <v>0</v>
      </c>
      <c r="M4201" t="n">
        <v>0</v>
      </c>
      <c r="N4201" t="n">
        <v>0</v>
      </c>
      <c r="O4201" t="n">
        <v>0</v>
      </c>
      <c r="P4201" t="n">
        <v>0</v>
      </c>
      <c r="Q4201" t="n">
        <v>0</v>
      </c>
      <c r="R4201" s="2" t="inlineStr"/>
    </row>
    <row r="4202" ht="15" customHeight="1">
      <c r="A4202" t="inlineStr">
        <is>
          <t>A 32245-2025</t>
        </is>
      </c>
      <c r="B4202" s="1" t="n">
        <v>45835.61631944445</v>
      </c>
      <c r="C4202" s="1" t="n">
        <v>46075</v>
      </c>
      <c r="D4202" t="inlineStr">
        <is>
          <t>VÄSTERBOTTENS LÄN</t>
        </is>
      </c>
      <c r="E4202" t="inlineStr">
        <is>
          <t>VINDELN</t>
        </is>
      </c>
      <c r="F4202" t="inlineStr">
        <is>
          <t>Sveaskog</t>
        </is>
      </c>
      <c r="G4202" t="n">
        <v>8</v>
      </c>
      <c r="H4202" t="n">
        <v>0</v>
      </c>
      <c r="I4202" t="n">
        <v>0</v>
      </c>
      <c r="J4202" t="n">
        <v>0</v>
      </c>
      <c r="K4202" t="n">
        <v>0</v>
      </c>
      <c r="L4202" t="n">
        <v>0</v>
      </c>
      <c r="M4202" t="n">
        <v>0</v>
      </c>
      <c r="N4202" t="n">
        <v>0</v>
      </c>
      <c r="O4202" t="n">
        <v>0</v>
      </c>
      <c r="P4202" t="n">
        <v>0</v>
      </c>
      <c r="Q4202" t="n">
        <v>0</v>
      </c>
      <c r="R4202" s="2" t="inlineStr"/>
    </row>
    <row r="4203" ht="15" customHeight="1">
      <c r="A4203" t="inlineStr">
        <is>
          <t>A 36149-2025</t>
        </is>
      </c>
      <c r="B4203" s="1" t="n">
        <v>45866</v>
      </c>
      <c r="C4203" s="1" t="n">
        <v>46075</v>
      </c>
      <c r="D4203" t="inlineStr">
        <is>
          <t>VÄSTERBOTTENS LÄN</t>
        </is>
      </c>
      <c r="E4203" t="inlineStr">
        <is>
          <t>SKELLEFTEÅ</t>
        </is>
      </c>
      <c r="G4203" t="n">
        <v>4.4</v>
      </c>
      <c r="H4203" t="n">
        <v>0</v>
      </c>
      <c r="I4203" t="n">
        <v>0</v>
      </c>
      <c r="J4203" t="n">
        <v>0</v>
      </c>
      <c r="K4203" t="n">
        <v>0</v>
      </c>
      <c r="L4203" t="n">
        <v>0</v>
      </c>
      <c r="M4203" t="n">
        <v>0</v>
      </c>
      <c r="N4203" t="n">
        <v>0</v>
      </c>
      <c r="O4203" t="n">
        <v>0</v>
      </c>
      <c r="P4203" t="n">
        <v>0</v>
      </c>
      <c r="Q4203" t="n">
        <v>0</v>
      </c>
      <c r="R4203" s="2" t="inlineStr"/>
    </row>
    <row r="4204" ht="15" customHeight="1">
      <c r="A4204" t="inlineStr">
        <is>
          <t>A 28267-2021</t>
        </is>
      </c>
      <c r="B4204" s="1" t="n">
        <v>44355</v>
      </c>
      <c r="C4204" s="1" t="n">
        <v>46075</v>
      </c>
      <c r="D4204" t="inlineStr">
        <is>
          <t>VÄSTERBOTTENS LÄN</t>
        </is>
      </c>
      <c r="E4204" t="inlineStr">
        <is>
          <t>UMEÅ</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25689-2025</t>
        </is>
      </c>
      <c r="B4205" s="1" t="n">
        <v>45803.66111111111</v>
      </c>
      <c r="C4205" s="1" t="n">
        <v>46075</v>
      </c>
      <c r="D4205" t="inlineStr">
        <is>
          <t>VÄSTERBOTTENS LÄN</t>
        </is>
      </c>
      <c r="E4205" t="inlineStr">
        <is>
          <t>UMEÅ</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31780-2025</t>
        </is>
      </c>
      <c r="B4206" s="1" t="n">
        <v>45834.52940972222</v>
      </c>
      <c r="C4206" s="1" t="n">
        <v>46075</v>
      </c>
      <c r="D4206" t="inlineStr">
        <is>
          <t>VÄSTERBOTTENS LÄN</t>
        </is>
      </c>
      <c r="E4206" t="inlineStr">
        <is>
          <t>SKELLEFTEÅ</t>
        </is>
      </c>
      <c r="G4206" t="n">
        <v>7.8</v>
      </c>
      <c r="H4206" t="n">
        <v>0</v>
      </c>
      <c r="I4206" t="n">
        <v>0</v>
      </c>
      <c r="J4206" t="n">
        <v>0</v>
      </c>
      <c r="K4206" t="n">
        <v>0</v>
      </c>
      <c r="L4206" t="n">
        <v>0</v>
      </c>
      <c r="M4206" t="n">
        <v>0</v>
      </c>
      <c r="N4206" t="n">
        <v>0</v>
      </c>
      <c r="O4206" t="n">
        <v>0</v>
      </c>
      <c r="P4206" t="n">
        <v>0</v>
      </c>
      <c r="Q4206" t="n">
        <v>0</v>
      </c>
      <c r="R4206" s="2" t="inlineStr"/>
    </row>
    <row r="4207" ht="15" customHeight="1">
      <c r="A4207" t="inlineStr">
        <is>
          <t>A 20825-2025</t>
        </is>
      </c>
      <c r="B4207" s="1" t="n">
        <v>45776</v>
      </c>
      <c r="C4207" s="1" t="n">
        <v>46075</v>
      </c>
      <c r="D4207" t="inlineStr">
        <is>
          <t>VÄSTERBOTTENS LÄN</t>
        </is>
      </c>
      <c r="E4207" t="inlineStr">
        <is>
          <t>SKELLEFTEÅ</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54395-2024</t>
        </is>
      </c>
      <c r="B4208" s="1" t="n">
        <v>45617.4600462963</v>
      </c>
      <c r="C4208" s="1" t="n">
        <v>46075</v>
      </c>
      <c r="D4208" t="inlineStr">
        <is>
          <t>VÄSTERBOTTENS LÄN</t>
        </is>
      </c>
      <c r="E4208" t="inlineStr">
        <is>
          <t>ROBERTSFORS</t>
        </is>
      </c>
      <c r="F4208" t="inlineStr">
        <is>
          <t>Holmen skog AB</t>
        </is>
      </c>
      <c r="G4208" t="n">
        <v>0.4</v>
      </c>
      <c r="H4208" t="n">
        <v>0</v>
      </c>
      <c r="I4208" t="n">
        <v>0</v>
      </c>
      <c r="J4208" t="n">
        <v>0</v>
      </c>
      <c r="K4208" t="n">
        <v>0</v>
      </c>
      <c r="L4208" t="n">
        <v>0</v>
      </c>
      <c r="M4208" t="n">
        <v>0</v>
      </c>
      <c r="N4208" t="n">
        <v>0</v>
      </c>
      <c r="O4208" t="n">
        <v>0</v>
      </c>
      <c r="P4208" t="n">
        <v>0</v>
      </c>
      <c r="Q4208" t="n">
        <v>0</v>
      </c>
      <c r="R4208" s="2" t="inlineStr"/>
    </row>
    <row r="4209" ht="15" customHeight="1">
      <c r="A4209" t="inlineStr">
        <is>
          <t>A 31733-2025</t>
        </is>
      </c>
      <c r="B4209" s="1" t="n">
        <v>45834.47035879629</v>
      </c>
      <c r="C4209" s="1" t="n">
        <v>46075</v>
      </c>
      <c r="D4209" t="inlineStr">
        <is>
          <t>VÄSTERBOTTENS LÄN</t>
        </is>
      </c>
      <c r="E4209" t="inlineStr">
        <is>
          <t>VILHELMINA</t>
        </is>
      </c>
      <c r="F4209" t="inlineStr">
        <is>
          <t>SCA</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31739-2025</t>
        </is>
      </c>
      <c r="B4210" s="1" t="n">
        <v>45834.47350694444</v>
      </c>
      <c r="C4210" s="1" t="n">
        <v>46075</v>
      </c>
      <c r="D4210" t="inlineStr">
        <is>
          <t>VÄSTERBOTTENS LÄN</t>
        </is>
      </c>
      <c r="E4210" t="inlineStr">
        <is>
          <t>SKELLEFTEÅ</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362-2025</t>
        </is>
      </c>
      <c r="B4211" s="1" t="n">
        <v>45660.90559027778</v>
      </c>
      <c r="C4211" s="1" t="n">
        <v>46075</v>
      </c>
      <c r="D4211" t="inlineStr">
        <is>
          <t>VÄSTERBOTTENS LÄN</t>
        </is>
      </c>
      <c r="E4211" t="inlineStr">
        <is>
          <t>NORDMALING</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41898-2025</t>
        </is>
      </c>
      <c r="B4212" s="1" t="n">
        <v>45903</v>
      </c>
      <c r="C4212" s="1" t="n">
        <v>46075</v>
      </c>
      <c r="D4212" t="inlineStr">
        <is>
          <t>VÄSTERBOTTENS LÄN</t>
        </is>
      </c>
      <c r="E4212" t="inlineStr">
        <is>
          <t>ROBERTSFORS</t>
        </is>
      </c>
      <c r="G4212" t="n">
        <v>3.6</v>
      </c>
      <c r="H4212" t="n">
        <v>0</v>
      </c>
      <c r="I4212" t="n">
        <v>0</v>
      </c>
      <c r="J4212" t="n">
        <v>0</v>
      </c>
      <c r="K4212" t="n">
        <v>0</v>
      </c>
      <c r="L4212" t="n">
        <v>0</v>
      </c>
      <c r="M4212" t="n">
        <v>0</v>
      </c>
      <c r="N4212" t="n">
        <v>0</v>
      </c>
      <c r="O4212" t="n">
        <v>0</v>
      </c>
      <c r="P4212" t="n">
        <v>0</v>
      </c>
      <c r="Q4212" t="n">
        <v>0</v>
      </c>
      <c r="R4212" s="2" t="inlineStr"/>
    </row>
    <row r="4213" ht="15" customHeight="1">
      <c r="A4213" t="inlineStr">
        <is>
          <t>A 41908-2025</t>
        </is>
      </c>
      <c r="B4213" s="1" t="n">
        <v>45903.40730324074</v>
      </c>
      <c r="C4213" s="1" t="n">
        <v>46075</v>
      </c>
      <c r="D4213" t="inlineStr">
        <is>
          <t>VÄSTERBOTTENS LÄN</t>
        </is>
      </c>
      <c r="E4213" t="inlineStr">
        <is>
          <t>SKELLEFTEÅ</t>
        </is>
      </c>
      <c r="G4213" t="n">
        <v>8.300000000000001</v>
      </c>
      <c r="H4213" t="n">
        <v>0</v>
      </c>
      <c r="I4213" t="n">
        <v>0</v>
      </c>
      <c r="J4213" t="n">
        <v>0</v>
      </c>
      <c r="K4213" t="n">
        <v>0</v>
      </c>
      <c r="L4213" t="n">
        <v>0</v>
      </c>
      <c r="M4213" t="n">
        <v>0</v>
      </c>
      <c r="N4213" t="n">
        <v>0</v>
      </c>
      <c r="O4213" t="n">
        <v>0</v>
      </c>
      <c r="P4213" t="n">
        <v>0</v>
      </c>
      <c r="Q4213" t="n">
        <v>0</v>
      </c>
      <c r="R4213" s="2" t="inlineStr"/>
    </row>
    <row r="4214" ht="15" customHeight="1">
      <c r="A4214" t="inlineStr">
        <is>
          <t>A 31958-2025</t>
        </is>
      </c>
      <c r="B4214" s="1" t="n">
        <v>45835.34219907408</v>
      </c>
      <c r="C4214" s="1" t="n">
        <v>46075</v>
      </c>
      <c r="D4214" t="inlineStr">
        <is>
          <t>VÄSTERBOTTENS LÄN</t>
        </is>
      </c>
      <c r="E4214" t="inlineStr">
        <is>
          <t>SKELLEFTEÅ</t>
        </is>
      </c>
      <c r="F4214" t="inlineStr">
        <is>
          <t>Holmen skog AB</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31997-2025</t>
        </is>
      </c>
      <c r="B4215" s="1" t="n">
        <v>45835.37637731482</v>
      </c>
      <c r="C4215" s="1" t="n">
        <v>46075</v>
      </c>
      <c r="D4215" t="inlineStr">
        <is>
          <t>VÄSTERBOTTENS LÄN</t>
        </is>
      </c>
      <c r="E4215" t="inlineStr">
        <is>
          <t>SKELLEFTEÅ</t>
        </is>
      </c>
      <c r="F4215" t="inlineStr">
        <is>
          <t>Holmen skog AB</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41906-2025</t>
        </is>
      </c>
      <c r="B4216" s="1" t="n">
        <v>45903.40400462963</v>
      </c>
      <c r="C4216" s="1" t="n">
        <v>46075</v>
      </c>
      <c r="D4216" t="inlineStr">
        <is>
          <t>VÄSTERBOTTENS LÄN</t>
        </is>
      </c>
      <c r="E4216" t="inlineStr">
        <is>
          <t>LYCKSELE</t>
        </is>
      </c>
      <c r="F4216" t="inlineStr">
        <is>
          <t>Sveaskog</t>
        </is>
      </c>
      <c r="G4216" t="n">
        <v>10.9</v>
      </c>
      <c r="H4216" t="n">
        <v>0</v>
      </c>
      <c r="I4216" t="n">
        <v>0</v>
      </c>
      <c r="J4216" t="n">
        <v>0</v>
      </c>
      <c r="K4216" t="n">
        <v>0</v>
      </c>
      <c r="L4216" t="n">
        <v>0</v>
      </c>
      <c r="M4216" t="n">
        <v>0</v>
      </c>
      <c r="N4216" t="n">
        <v>0</v>
      </c>
      <c r="O4216" t="n">
        <v>0</v>
      </c>
      <c r="P4216" t="n">
        <v>0</v>
      </c>
      <c r="Q4216" t="n">
        <v>0</v>
      </c>
      <c r="R4216" s="2" t="inlineStr"/>
    </row>
    <row r="4217" ht="15" customHeight="1">
      <c r="A4217" t="inlineStr">
        <is>
          <t>A 41907-2025</t>
        </is>
      </c>
      <c r="B4217" s="1" t="n">
        <v>45903.40694444445</v>
      </c>
      <c r="C4217" s="1" t="n">
        <v>46075</v>
      </c>
      <c r="D4217" t="inlineStr">
        <is>
          <t>VÄSTERBOTTENS LÄN</t>
        </is>
      </c>
      <c r="E4217" t="inlineStr">
        <is>
          <t>DOROTEA</t>
        </is>
      </c>
      <c r="F4217" t="inlineStr">
        <is>
          <t>Övriga Aktiebolag</t>
        </is>
      </c>
      <c r="G4217" t="n">
        <v>6</v>
      </c>
      <c r="H4217" t="n">
        <v>0</v>
      </c>
      <c r="I4217" t="n">
        <v>0</v>
      </c>
      <c r="J4217" t="n">
        <v>0</v>
      </c>
      <c r="K4217" t="n">
        <v>0</v>
      </c>
      <c r="L4217" t="n">
        <v>0</v>
      </c>
      <c r="M4217" t="n">
        <v>0</v>
      </c>
      <c r="N4217" t="n">
        <v>0</v>
      </c>
      <c r="O4217" t="n">
        <v>0</v>
      </c>
      <c r="P4217" t="n">
        <v>0</v>
      </c>
      <c r="Q4217" t="n">
        <v>0</v>
      </c>
      <c r="R4217" s="2" t="inlineStr"/>
    </row>
    <row r="4218" ht="15" customHeight="1">
      <c r="A4218" t="inlineStr">
        <is>
          <t>A 41910-2025</t>
        </is>
      </c>
      <c r="B4218" s="1" t="n">
        <v>45903.40789351852</v>
      </c>
      <c r="C4218" s="1" t="n">
        <v>46075</v>
      </c>
      <c r="D4218" t="inlineStr">
        <is>
          <t>VÄSTERBOTTENS LÄN</t>
        </is>
      </c>
      <c r="E4218" t="inlineStr">
        <is>
          <t>SKELLEFTEÅ</t>
        </is>
      </c>
      <c r="G4218" t="n">
        <v>4</v>
      </c>
      <c r="H4218" t="n">
        <v>0</v>
      </c>
      <c r="I4218" t="n">
        <v>0</v>
      </c>
      <c r="J4218" t="n">
        <v>0</v>
      </c>
      <c r="K4218" t="n">
        <v>0</v>
      </c>
      <c r="L4218" t="n">
        <v>0</v>
      </c>
      <c r="M4218" t="n">
        <v>0</v>
      </c>
      <c r="N4218" t="n">
        <v>0</v>
      </c>
      <c r="O4218" t="n">
        <v>0</v>
      </c>
      <c r="P4218" t="n">
        <v>0</v>
      </c>
      <c r="Q4218" t="n">
        <v>0</v>
      </c>
      <c r="R4218" s="2" t="inlineStr"/>
    </row>
    <row r="4219" ht="15" customHeight="1">
      <c r="A4219" t="inlineStr">
        <is>
          <t>A 41917-2025</t>
        </is>
      </c>
      <c r="B4219" s="1" t="n">
        <v>45903.42202546296</v>
      </c>
      <c r="C4219" s="1" t="n">
        <v>46075</v>
      </c>
      <c r="D4219" t="inlineStr">
        <is>
          <t>VÄSTERBOTTENS LÄN</t>
        </is>
      </c>
      <c r="E4219" t="inlineStr">
        <is>
          <t>SKELLEFTEÅ</t>
        </is>
      </c>
      <c r="G4219" t="n">
        <v>4.3</v>
      </c>
      <c r="H4219" t="n">
        <v>0</v>
      </c>
      <c r="I4219" t="n">
        <v>0</v>
      </c>
      <c r="J4219" t="n">
        <v>0</v>
      </c>
      <c r="K4219" t="n">
        <v>0</v>
      </c>
      <c r="L4219" t="n">
        <v>0</v>
      </c>
      <c r="M4219" t="n">
        <v>0</v>
      </c>
      <c r="N4219" t="n">
        <v>0</v>
      </c>
      <c r="O4219" t="n">
        <v>0</v>
      </c>
      <c r="P4219" t="n">
        <v>0</v>
      </c>
      <c r="Q4219" t="n">
        <v>0</v>
      </c>
      <c r="R4219" s="2" t="inlineStr"/>
    </row>
    <row r="4220" ht="15" customHeight="1">
      <c r="A4220" t="inlineStr">
        <is>
          <t>A 52444-2023</t>
        </is>
      </c>
      <c r="B4220" s="1" t="n">
        <v>45225.37877314815</v>
      </c>
      <c r="C4220" s="1" t="n">
        <v>46075</v>
      </c>
      <c r="D4220" t="inlineStr">
        <is>
          <t>VÄSTERBOTTENS LÄN</t>
        </is>
      </c>
      <c r="E4220" t="inlineStr">
        <is>
          <t>SKELLEFTEÅ</t>
        </is>
      </c>
      <c r="F4220" t="inlineStr">
        <is>
          <t>Sveaskog</t>
        </is>
      </c>
      <c r="G4220" t="n">
        <v>28.5</v>
      </c>
      <c r="H4220" t="n">
        <v>0</v>
      </c>
      <c r="I4220" t="n">
        <v>0</v>
      </c>
      <c r="J4220" t="n">
        <v>0</v>
      </c>
      <c r="K4220" t="n">
        <v>0</v>
      </c>
      <c r="L4220" t="n">
        <v>0</v>
      </c>
      <c r="M4220" t="n">
        <v>0</v>
      </c>
      <c r="N4220" t="n">
        <v>0</v>
      </c>
      <c r="O4220" t="n">
        <v>0</v>
      </c>
      <c r="P4220" t="n">
        <v>0</v>
      </c>
      <c r="Q4220" t="n">
        <v>0</v>
      </c>
      <c r="R4220" s="2" t="inlineStr"/>
    </row>
    <row r="4221" ht="15" customHeight="1">
      <c r="A4221" t="inlineStr">
        <is>
          <t>A 41672-2025</t>
        </is>
      </c>
      <c r="B4221" s="1" t="n">
        <v>45902.36494212963</v>
      </c>
      <c r="C4221" s="1" t="n">
        <v>46075</v>
      </c>
      <c r="D4221" t="inlineStr">
        <is>
          <t>VÄSTERBOTTENS LÄN</t>
        </is>
      </c>
      <c r="E4221" t="inlineStr">
        <is>
          <t>MALÅ</t>
        </is>
      </c>
      <c r="G4221" t="n">
        <v>8.199999999999999</v>
      </c>
      <c r="H4221" t="n">
        <v>0</v>
      </c>
      <c r="I4221" t="n">
        <v>0</v>
      </c>
      <c r="J4221" t="n">
        <v>0</v>
      </c>
      <c r="K4221" t="n">
        <v>0</v>
      </c>
      <c r="L4221" t="n">
        <v>0</v>
      </c>
      <c r="M4221" t="n">
        <v>0</v>
      </c>
      <c r="N4221" t="n">
        <v>0</v>
      </c>
      <c r="O4221" t="n">
        <v>0</v>
      </c>
      <c r="P4221" t="n">
        <v>0</v>
      </c>
      <c r="Q4221" t="n">
        <v>0</v>
      </c>
      <c r="R4221" s="2" t="inlineStr"/>
    </row>
    <row r="4222" ht="15" customHeight="1">
      <c r="A4222" t="inlineStr">
        <is>
          <t>A 41721-2025</t>
        </is>
      </c>
      <c r="B4222" s="1" t="n">
        <v>45902.44825231482</v>
      </c>
      <c r="C4222" s="1" t="n">
        <v>46075</v>
      </c>
      <c r="D4222" t="inlineStr">
        <is>
          <t>VÄSTERBOTTENS LÄN</t>
        </is>
      </c>
      <c r="E4222" t="inlineStr">
        <is>
          <t>SKELLEFTEÅ</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42012-2025</t>
        </is>
      </c>
      <c r="B4223" s="1" t="n">
        <v>45903.57320601852</v>
      </c>
      <c r="C4223" s="1" t="n">
        <v>46075</v>
      </c>
      <c r="D4223" t="inlineStr">
        <is>
          <t>VÄSTERBOTTENS LÄN</t>
        </is>
      </c>
      <c r="E4223" t="inlineStr">
        <is>
          <t>STORUMAN</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27219-2025</t>
        </is>
      </c>
      <c r="B4224" s="1" t="n">
        <v>45812</v>
      </c>
      <c r="C4224" s="1" t="n">
        <v>46075</v>
      </c>
      <c r="D4224" t="inlineStr">
        <is>
          <t>VÄSTERBOTTENS LÄN</t>
        </is>
      </c>
      <c r="E4224" t="inlineStr">
        <is>
          <t>SKELLEFTEÅ</t>
        </is>
      </c>
      <c r="G4224" t="n">
        <v>5.1</v>
      </c>
      <c r="H4224" t="n">
        <v>0</v>
      </c>
      <c r="I4224" t="n">
        <v>0</v>
      </c>
      <c r="J4224" t="n">
        <v>0</v>
      </c>
      <c r="K4224" t="n">
        <v>0</v>
      </c>
      <c r="L4224" t="n">
        <v>0</v>
      </c>
      <c r="M4224" t="n">
        <v>0</v>
      </c>
      <c r="N4224" t="n">
        <v>0</v>
      </c>
      <c r="O4224" t="n">
        <v>0</v>
      </c>
      <c r="P4224" t="n">
        <v>0</v>
      </c>
      <c r="Q4224" t="n">
        <v>0</v>
      </c>
      <c r="R4224" s="2" t="inlineStr"/>
    </row>
    <row r="4225" ht="15" customHeight="1">
      <c r="A4225" t="inlineStr">
        <is>
          <t>A 56001-2024</t>
        </is>
      </c>
      <c r="B4225" s="1" t="n">
        <v>45623.70415509259</v>
      </c>
      <c r="C4225" s="1" t="n">
        <v>46075</v>
      </c>
      <c r="D4225" t="inlineStr">
        <is>
          <t>VÄSTERBOTTENS LÄN</t>
        </is>
      </c>
      <c r="E4225" t="inlineStr">
        <is>
          <t>VINDELN</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41256-2022</t>
        </is>
      </c>
      <c r="B4226" s="1" t="n">
        <v>44826</v>
      </c>
      <c r="C4226" s="1" t="n">
        <v>46075</v>
      </c>
      <c r="D4226" t="inlineStr">
        <is>
          <t>VÄSTERBOTTENS LÄN</t>
        </is>
      </c>
      <c r="E4226" t="inlineStr">
        <is>
          <t>LYCKSELE</t>
        </is>
      </c>
      <c r="G4226" t="n">
        <v>3.3</v>
      </c>
      <c r="H4226" t="n">
        <v>0</v>
      </c>
      <c r="I4226" t="n">
        <v>0</v>
      </c>
      <c r="J4226" t="n">
        <v>0</v>
      </c>
      <c r="K4226" t="n">
        <v>0</v>
      </c>
      <c r="L4226" t="n">
        <v>0</v>
      </c>
      <c r="M4226" t="n">
        <v>0</v>
      </c>
      <c r="N4226" t="n">
        <v>0</v>
      </c>
      <c r="O4226" t="n">
        <v>0</v>
      </c>
      <c r="P4226" t="n">
        <v>0</v>
      </c>
      <c r="Q4226" t="n">
        <v>0</v>
      </c>
      <c r="R4226" s="2" t="inlineStr"/>
    </row>
    <row r="4227" ht="15" customHeight="1">
      <c r="A4227" t="inlineStr">
        <is>
          <t>A 53577-2023</t>
        </is>
      </c>
      <c r="B4227" s="1" t="n">
        <v>45230</v>
      </c>
      <c r="C4227" s="1" t="n">
        <v>46075</v>
      </c>
      <c r="D4227" t="inlineStr">
        <is>
          <t>VÄSTERBOTTENS LÄN</t>
        </is>
      </c>
      <c r="E4227" t="inlineStr">
        <is>
          <t>VINDELN</t>
        </is>
      </c>
      <c r="F4227" t="inlineStr">
        <is>
          <t>Sveaskog</t>
        </is>
      </c>
      <c r="G4227" t="n">
        <v>4.7</v>
      </c>
      <c r="H4227" t="n">
        <v>0</v>
      </c>
      <c r="I4227" t="n">
        <v>0</v>
      </c>
      <c r="J4227" t="n">
        <v>0</v>
      </c>
      <c r="K4227" t="n">
        <v>0</v>
      </c>
      <c r="L4227" t="n">
        <v>0</v>
      </c>
      <c r="M4227" t="n">
        <v>0</v>
      </c>
      <c r="N4227" t="n">
        <v>0</v>
      </c>
      <c r="O4227" t="n">
        <v>0</v>
      </c>
      <c r="P4227" t="n">
        <v>0</v>
      </c>
      <c r="Q4227" t="n">
        <v>0</v>
      </c>
      <c r="R4227" s="2" t="inlineStr"/>
    </row>
    <row r="4228" ht="15" customHeight="1">
      <c r="A4228" t="inlineStr">
        <is>
          <t>A 32196-2025</t>
        </is>
      </c>
      <c r="B4228" s="1" t="n">
        <v>45835.57523148148</v>
      </c>
      <c r="C4228" s="1" t="n">
        <v>46075</v>
      </c>
      <c r="D4228" t="inlineStr">
        <is>
          <t>VÄSTERBOTTENS LÄN</t>
        </is>
      </c>
      <c r="E4228" t="inlineStr">
        <is>
          <t>STORUMAN</t>
        </is>
      </c>
      <c r="F4228" t="inlineStr">
        <is>
          <t>Sveaskog</t>
        </is>
      </c>
      <c r="G4228" t="n">
        <v>4.4</v>
      </c>
      <c r="H4228" t="n">
        <v>0</v>
      </c>
      <c r="I4228" t="n">
        <v>0</v>
      </c>
      <c r="J4228" t="n">
        <v>0</v>
      </c>
      <c r="K4228" t="n">
        <v>0</v>
      </c>
      <c r="L4228" t="n">
        <v>0</v>
      </c>
      <c r="M4228" t="n">
        <v>0</v>
      </c>
      <c r="N4228" t="n">
        <v>0</v>
      </c>
      <c r="O4228" t="n">
        <v>0</v>
      </c>
      <c r="P4228" t="n">
        <v>0</v>
      </c>
      <c r="Q4228" t="n">
        <v>0</v>
      </c>
      <c r="R4228" s="2" t="inlineStr"/>
    </row>
    <row r="4229" ht="15" customHeight="1">
      <c r="A4229" t="inlineStr">
        <is>
          <t>A 41924-2025</t>
        </is>
      </c>
      <c r="B4229" s="1" t="n">
        <v>45903.42737268518</v>
      </c>
      <c r="C4229" s="1" t="n">
        <v>46075</v>
      </c>
      <c r="D4229" t="inlineStr">
        <is>
          <t>VÄSTERBOTTENS LÄN</t>
        </is>
      </c>
      <c r="E4229" t="inlineStr">
        <is>
          <t>NORSJÖ</t>
        </is>
      </c>
      <c r="G4229" t="n">
        <v>3.9</v>
      </c>
      <c r="H4229" t="n">
        <v>0</v>
      </c>
      <c r="I4229" t="n">
        <v>0</v>
      </c>
      <c r="J4229" t="n">
        <v>0</v>
      </c>
      <c r="K4229" t="n">
        <v>0</v>
      </c>
      <c r="L4229" t="n">
        <v>0</v>
      </c>
      <c r="M4229" t="n">
        <v>0</v>
      </c>
      <c r="N4229" t="n">
        <v>0</v>
      </c>
      <c r="O4229" t="n">
        <v>0</v>
      </c>
      <c r="P4229" t="n">
        <v>0</v>
      </c>
      <c r="Q4229" t="n">
        <v>0</v>
      </c>
      <c r="R4229" s="2" t="inlineStr"/>
    </row>
    <row r="4230" ht="15" customHeight="1">
      <c r="A4230" t="inlineStr">
        <is>
          <t>A 42241-2025</t>
        </is>
      </c>
      <c r="B4230" s="1" t="n">
        <v>45903</v>
      </c>
      <c r="C4230" s="1" t="n">
        <v>46075</v>
      </c>
      <c r="D4230" t="inlineStr">
        <is>
          <t>VÄSTERBOTTENS LÄN</t>
        </is>
      </c>
      <c r="E4230" t="inlineStr">
        <is>
          <t>SKELLEFTEÅ</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31799-2025</t>
        </is>
      </c>
      <c r="B4231" s="1" t="n">
        <v>45834.55252314815</v>
      </c>
      <c r="C4231" s="1" t="n">
        <v>46075</v>
      </c>
      <c r="D4231" t="inlineStr">
        <is>
          <t>VÄSTERBOTTENS LÄN</t>
        </is>
      </c>
      <c r="E4231" t="inlineStr">
        <is>
          <t>DOROTEA</t>
        </is>
      </c>
      <c r="F4231" t="inlineStr">
        <is>
          <t>SCA</t>
        </is>
      </c>
      <c r="G4231" t="n">
        <v>7.5</v>
      </c>
      <c r="H4231" t="n">
        <v>0</v>
      </c>
      <c r="I4231" t="n">
        <v>0</v>
      </c>
      <c r="J4231" t="n">
        <v>0</v>
      </c>
      <c r="K4231" t="n">
        <v>0</v>
      </c>
      <c r="L4231" t="n">
        <v>0</v>
      </c>
      <c r="M4231" t="n">
        <v>0</v>
      </c>
      <c r="N4231" t="n">
        <v>0</v>
      </c>
      <c r="O4231" t="n">
        <v>0</v>
      </c>
      <c r="P4231" t="n">
        <v>0</v>
      </c>
      <c r="Q4231" t="n">
        <v>0</v>
      </c>
      <c r="R4231" s="2" t="inlineStr"/>
    </row>
    <row r="4232" ht="15" customHeight="1">
      <c r="A4232" t="inlineStr">
        <is>
          <t>A 42234-2025</t>
        </is>
      </c>
      <c r="B4232" s="1" t="n">
        <v>45903</v>
      </c>
      <c r="C4232" s="1" t="n">
        <v>46075</v>
      </c>
      <c r="D4232" t="inlineStr">
        <is>
          <t>VÄSTERBOTTENS LÄN</t>
        </is>
      </c>
      <c r="E4232" t="inlineStr">
        <is>
          <t>SKELLEFTEÅ</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31797-2025</t>
        </is>
      </c>
      <c r="B4233" s="1" t="n">
        <v>45834.55078703703</v>
      </c>
      <c r="C4233" s="1" t="n">
        <v>46075</v>
      </c>
      <c r="D4233" t="inlineStr">
        <is>
          <t>VÄSTERBOTTENS LÄN</t>
        </is>
      </c>
      <c r="E4233" t="inlineStr">
        <is>
          <t>SKELLEFTEÅ</t>
        </is>
      </c>
      <c r="G4233" t="n">
        <v>19.1</v>
      </c>
      <c r="H4233" t="n">
        <v>0</v>
      </c>
      <c r="I4233" t="n">
        <v>0</v>
      </c>
      <c r="J4233" t="n">
        <v>0</v>
      </c>
      <c r="K4233" t="n">
        <v>0</v>
      </c>
      <c r="L4233" t="n">
        <v>0</v>
      </c>
      <c r="M4233" t="n">
        <v>0</v>
      </c>
      <c r="N4233" t="n">
        <v>0</v>
      </c>
      <c r="O4233" t="n">
        <v>0</v>
      </c>
      <c r="P4233" t="n">
        <v>0</v>
      </c>
      <c r="Q4233" t="n">
        <v>0</v>
      </c>
      <c r="R4233" s="2" t="inlineStr"/>
    </row>
    <row r="4234" ht="15" customHeight="1">
      <c r="A4234" t="inlineStr">
        <is>
          <t>A 31938-2025</t>
        </is>
      </c>
      <c r="B4234" s="1" t="n">
        <v>45835.29355324074</v>
      </c>
      <c r="C4234" s="1" t="n">
        <v>46075</v>
      </c>
      <c r="D4234" t="inlineStr">
        <is>
          <t>VÄSTERBOTTENS LÄN</t>
        </is>
      </c>
      <c r="E4234" t="inlineStr">
        <is>
          <t>SKELLEFTEÅ</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41674-2025</t>
        </is>
      </c>
      <c r="B4235" s="1" t="n">
        <v>45902.36511574074</v>
      </c>
      <c r="C4235" s="1" t="n">
        <v>46075</v>
      </c>
      <c r="D4235" t="inlineStr">
        <is>
          <t>VÄSTERBOTTENS LÄN</t>
        </is>
      </c>
      <c r="E4235" t="inlineStr">
        <is>
          <t>NORSJÖ</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41677-2025</t>
        </is>
      </c>
      <c r="B4236" s="1" t="n">
        <v>45902.37362268518</v>
      </c>
      <c r="C4236" s="1" t="n">
        <v>46075</v>
      </c>
      <c r="D4236" t="inlineStr">
        <is>
          <t>VÄSTERBOTTENS LÄN</t>
        </is>
      </c>
      <c r="E4236" t="inlineStr">
        <is>
          <t>SKELLEFTEÅ</t>
        </is>
      </c>
      <c r="F4236" t="inlineStr">
        <is>
          <t>Holmen skog AB</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41701-2025</t>
        </is>
      </c>
      <c r="B4237" s="1" t="n">
        <v>45902.41085648148</v>
      </c>
      <c r="C4237" s="1" t="n">
        <v>46075</v>
      </c>
      <c r="D4237" t="inlineStr">
        <is>
          <t>VÄSTERBOTTENS LÄN</t>
        </is>
      </c>
      <c r="E4237" t="inlineStr">
        <is>
          <t>SKELLEFTEÅ</t>
        </is>
      </c>
      <c r="G4237" t="n">
        <v>6</v>
      </c>
      <c r="H4237" t="n">
        <v>0</v>
      </c>
      <c r="I4237" t="n">
        <v>0</v>
      </c>
      <c r="J4237" t="n">
        <v>0</v>
      </c>
      <c r="K4237" t="n">
        <v>0</v>
      </c>
      <c r="L4237" t="n">
        <v>0</v>
      </c>
      <c r="M4237" t="n">
        <v>0</v>
      </c>
      <c r="N4237" t="n">
        <v>0</v>
      </c>
      <c r="O4237" t="n">
        <v>0</v>
      </c>
      <c r="P4237" t="n">
        <v>0</v>
      </c>
      <c r="Q4237" t="n">
        <v>0</v>
      </c>
      <c r="R4237" s="2" t="inlineStr"/>
    </row>
    <row r="4238" ht="15" customHeight="1">
      <c r="A4238" t="inlineStr">
        <is>
          <t>A 41885-2025</t>
        </is>
      </c>
      <c r="B4238" s="1" t="n">
        <v>45903.36555555555</v>
      </c>
      <c r="C4238" s="1" t="n">
        <v>46075</v>
      </c>
      <c r="D4238" t="inlineStr">
        <is>
          <t>VÄSTERBOTTENS LÄN</t>
        </is>
      </c>
      <c r="E4238" t="inlineStr">
        <is>
          <t>DOROTEA</t>
        </is>
      </c>
      <c r="F4238" t="inlineStr">
        <is>
          <t>SCA</t>
        </is>
      </c>
      <c r="G4238" t="n">
        <v>2.2</v>
      </c>
      <c r="H4238" t="n">
        <v>0</v>
      </c>
      <c r="I4238" t="n">
        <v>0</v>
      </c>
      <c r="J4238" t="n">
        <v>0</v>
      </c>
      <c r="K4238" t="n">
        <v>0</v>
      </c>
      <c r="L4238" t="n">
        <v>0</v>
      </c>
      <c r="M4238" t="n">
        <v>0</v>
      </c>
      <c r="N4238" t="n">
        <v>0</v>
      </c>
      <c r="O4238" t="n">
        <v>0</v>
      </c>
      <c r="P4238" t="n">
        <v>0</v>
      </c>
      <c r="Q4238" t="n">
        <v>0</v>
      </c>
      <c r="R4238" s="2" t="inlineStr"/>
    </row>
    <row r="4239" ht="15" customHeight="1">
      <c r="A4239" t="inlineStr">
        <is>
          <t>A 63218-2021</t>
        </is>
      </c>
      <c r="B4239" s="1" t="n">
        <v>44505</v>
      </c>
      <c r="C4239" s="1" t="n">
        <v>46075</v>
      </c>
      <c r="D4239" t="inlineStr">
        <is>
          <t>VÄSTERBOTTENS LÄN</t>
        </is>
      </c>
      <c r="E4239" t="inlineStr">
        <is>
          <t>VILHELMINA</t>
        </is>
      </c>
      <c r="G4239" t="n">
        <v>6.8</v>
      </c>
      <c r="H4239" t="n">
        <v>0</v>
      </c>
      <c r="I4239" t="n">
        <v>0</v>
      </c>
      <c r="J4239" t="n">
        <v>0</v>
      </c>
      <c r="K4239" t="n">
        <v>0</v>
      </c>
      <c r="L4239" t="n">
        <v>0</v>
      </c>
      <c r="M4239" t="n">
        <v>0</v>
      </c>
      <c r="N4239" t="n">
        <v>0</v>
      </c>
      <c r="O4239" t="n">
        <v>0</v>
      </c>
      <c r="P4239" t="n">
        <v>0</v>
      </c>
      <c r="Q4239" t="n">
        <v>0</v>
      </c>
      <c r="R4239" s="2" t="inlineStr"/>
    </row>
    <row r="4240" ht="15" customHeight="1">
      <c r="A4240" t="inlineStr">
        <is>
          <t>A 31966-2025</t>
        </is>
      </c>
      <c r="B4240" s="1" t="n">
        <v>45835.34629629629</v>
      </c>
      <c r="C4240" s="1" t="n">
        <v>46075</v>
      </c>
      <c r="D4240" t="inlineStr">
        <is>
          <t>VÄSTERBOTTENS LÄN</t>
        </is>
      </c>
      <c r="E4240" t="inlineStr">
        <is>
          <t>NORDMALING</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32259-2025</t>
        </is>
      </c>
      <c r="B4241" s="1" t="n">
        <v>45835.64210648148</v>
      </c>
      <c r="C4241" s="1" t="n">
        <v>46075</v>
      </c>
      <c r="D4241" t="inlineStr">
        <is>
          <t>VÄSTERBOTTENS LÄN</t>
        </is>
      </c>
      <c r="E4241" t="inlineStr">
        <is>
          <t>ÅSELE</t>
        </is>
      </c>
      <c r="F4241" t="inlineStr">
        <is>
          <t>Naturvårdsverket</t>
        </is>
      </c>
      <c r="G4241" t="n">
        <v>63.9</v>
      </c>
      <c r="H4241" t="n">
        <v>0</v>
      </c>
      <c r="I4241" t="n">
        <v>0</v>
      </c>
      <c r="J4241" t="n">
        <v>0</v>
      </c>
      <c r="K4241" t="n">
        <v>0</v>
      </c>
      <c r="L4241" t="n">
        <v>0</v>
      </c>
      <c r="M4241" t="n">
        <v>0</v>
      </c>
      <c r="N4241" t="n">
        <v>0</v>
      </c>
      <c r="O4241" t="n">
        <v>0</v>
      </c>
      <c r="P4241" t="n">
        <v>0</v>
      </c>
      <c r="Q4241" t="n">
        <v>0</v>
      </c>
      <c r="R4241" s="2" t="inlineStr"/>
    </row>
    <row r="4242" ht="15" customHeight="1">
      <c r="A4242" t="inlineStr">
        <is>
          <t>A 52535-2024</t>
        </is>
      </c>
      <c r="B4242" s="1" t="n">
        <v>45609.61846064815</v>
      </c>
      <c r="C4242" s="1" t="n">
        <v>46075</v>
      </c>
      <c r="D4242" t="inlineStr">
        <is>
          <t>VÄSTERBOTTENS LÄN</t>
        </is>
      </c>
      <c r="E4242" t="inlineStr">
        <is>
          <t>BJURHOLM</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31725-2025</t>
        </is>
      </c>
      <c r="B4243" s="1" t="n">
        <v>45834</v>
      </c>
      <c r="C4243" s="1" t="n">
        <v>46075</v>
      </c>
      <c r="D4243" t="inlineStr">
        <is>
          <t>VÄSTERBOTTENS LÄN</t>
        </is>
      </c>
      <c r="E4243" t="inlineStr">
        <is>
          <t>NORSJÖ</t>
        </is>
      </c>
      <c r="F4243" t="inlineStr">
        <is>
          <t>Sveaskog</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42248-2025</t>
        </is>
      </c>
      <c r="B4244" s="1" t="n">
        <v>45903</v>
      </c>
      <c r="C4244" s="1" t="n">
        <v>46075</v>
      </c>
      <c r="D4244" t="inlineStr">
        <is>
          <t>VÄSTERBOTTENS LÄN</t>
        </is>
      </c>
      <c r="E4244" t="inlineStr">
        <is>
          <t>SKELLEFTEÅ</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42250-2025</t>
        </is>
      </c>
      <c r="B4245" s="1" t="n">
        <v>45903</v>
      </c>
      <c r="C4245" s="1" t="n">
        <v>46075</v>
      </c>
      <c r="D4245" t="inlineStr">
        <is>
          <t>VÄSTERBOTTENS LÄN</t>
        </is>
      </c>
      <c r="E4245" t="inlineStr">
        <is>
          <t>SKELLEFTEÅ</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65009-2023</t>
        </is>
      </c>
      <c r="B4246" s="1" t="n">
        <v>45287.37836805556</v>
      </c>
      <c r="C4246" s="1" t="n">
        <v>46075</v>
      </c>
      <c r="D4246" t="inlineStr">
        <is>
          <t>VÄSTERBOTTENS LÄN</t>
        </is>
      </c>
      <c r="E4246" t="inlineStr">
        <is>
          <t>SKELLEFTEÅ</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61657-2022</t>
        </is>
      </c>
      <c r="B4247" s="1" t="n">
        <v>44916</v>
      </c>
      <c r="C4247" s="1" t="n">
        <v>46075</v>
      </c>
      <c r="D4247" t="inlineStr">
        <is>
          <t>VÄSTERBOTTENS LÄN</t>
        </is>
      </c>
      <c r="E4247" t="inlineStr">
        <is>
          <t>NORDMALING</t>
        </is>
      </c>
      <c r="F4247" t="inlineStr">
        <is>
          <t>SCA</t>
        </is>
      </c>
      <c r="G4247" t="n">
        <v>3.2</v>
      </c>
      <c r="H4247" t="n">
        <v>0</v>
      </c>
      <c r="I4247" t="n">
        <v>0</v>
      </c>
      <c r="J4247" t="n">
        <v>0</v>
      </c>
      <c r="K4247" t="n">
        <v>0</v>
      </c>
      <c r="L4247" t="n">
        <v>0</v>
      </c>
      <c r="M4247" t="n">
        <v>0</v>
      </c>
      <c r="N4247" t="n">
        <v>0</v>
      </c>
      <c r="O4247" t="n">
        <v>0</v>
      </c>
      <c r="P4247" t="n">
        <v>0</v>
      </c>
      <c r="Q4247" t="n">
        <v>0</v>
      </c>
      <c r="R4247" s="2" t="inlineStr"/>
    </row>
    <row r="4248" ht="15" customHeight="1">
      <c r="A4248" t="inlineStr">
        <is>
          <t>A 10291-2023</t>
        </is>
      </c>
      <c r="B4248" s="1" t="n">
        <v>44986</v>
      </c>
      <c r="C4248" s="1" t="n">
        <v>46075</v>
      </c>
      <c r="D4248" t="inlineStr">
        <is>
          <t>VÄSTERBOTTENS LÄN</t>
        </is>
      </c>
      <c r="E4248" t="inlineStr">
        <is>
          <t>SKELLEFTEÅ</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32066-2025</t>
        </is>
      </c>
      <c r="B4249" s="1" t="n">
        <v>45835.44824074074</v>
      </c>
      <c r="C4249" s="1" t="n">
        <v>46075</v>
      </c>
      <c r="D4249" t="inlineStr">
        <is>
          <t>VÄSTERBOTTENS LÄN</t>
        </is>
      </c>
      <c r="E4249" t="inlineStr">
        <is>
          <t>SKELLEFTEÅ</t>
        </is>
      </c>
      <c r="F4249" t="inlineStr">
        <is>
          <t>Holmen skog AB</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31986-2025</t>
        </is>
      </c>
      <c r="B4250" s="1" t="n">
        <v>45835.36210648148</v>
      </c>
      <c r="C4250" s="1" t="n">
        <v>46075</v>
      </c>
      <c r="D4250" t="inlineStr">
        <is>
          <t>VÄSTERBOTTENS LÄN</t>
        </is>
      </c>
      <c r="E4250" t="inlineStr">
        <is>
          <t>VÄNNÄS</t>
        </is>
      </c>
      <c r="G4250" t="n">
        <v>2.8</v>
      </c>
      <c r="H4250" t="n">
        <v>0</v>
      </c>
      <c r="I4250" t="n">
        <v>0</v>
      </c>
      <c r="J4250" t="n">
        <v>0</v>
      </c>
      <c r="K4250" t="n">
        <v>0</v>
      </c>
      <c r="L4250" t="n">
        <v>0</v>
      </c>
      <c r="M4250" t="n">
        <v>0</v>
      </c>
      <c r="N4250" t="n">
        <v>0</v>
      </c>
      <c r="O4250" t="n">
        <v>0</v>
      </c>
      <c r="P4250" t="n">
        <v>0</v>
      </c>
      <c r="Q4250" t="n">
        <v>0</v>
      </c>
      <c r="R4250" s="2" t="inlineStr"/>
    </row>
    <row r="4251" ht="15" customHeight="1">
      <c r="A4251" t="inlineStr">
        <is>
          <t>A 42054-2025</t>
        </is>
      </c>
      <c r="B4251" s="1" t="n">
        <v>45903</v>
      </c>
      <c r="C4251" s="1" t="n">
        <v>46075</v>
      </c>
      <c r="D4251" t="inlineStr">
        <is>
          <t>VÄSTERBOTTENS LÄN</t>
        </is>
      </c>
      <c r="E4251" t="inlineStr">
        <is>
          <t>NORDMALING</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42059-2025</t>
        </is>
      </c>
      <c r="B4252" s="1" t="n">
        <v>45903</v>
      </c>
      <c r="C4252" s="1" t="n">
        <v>46075</v>
      </c>
      <c r="D4252" t="inlineStr">
        <is>
          <t>VÄSTERBOTTENS LÄN</t>
        </is>
      </c>
      <c r="E4252" t="inlineStr">
        <is>
          <t>SKELLEFTEÅ</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42068-2025</t>
        </is>
      </c>
      <c r="B4253" s="1" t="n">
        <v>45903</v>
      </c>
      <c r="C4253" s="1" t="n">
        <v>46075</v>
      </c>
      <c r="D4253" t="inlineStr">
        <is>
          <t>VÄSTERBOTTENS LÄN</t>
        </is>
      </c>
      <c r="E4253" t="inlineStr">
        <is>
          <t>ÅSELE</t>
        </is>
      </c>
      <c r="F4253" t="inlineStr">
        <is>
          <t>SCA</t>
        </is>
      </c>
      <c r="G4253" t="n">
        <v>13.5</v>
      </c>
      <c r="H4253" t="n">
        <v>0</v>
      </c>
      <c r="I4253" t="n">
        <v>0</v>
      </c>
      <c r="J4253" t="n">
        <v>0</v>
      </c>
      <c r="K4253" t="n">
        <v>0</v>
      </c>
      <c r="L4253" t="n">
        <v>0</v>
      </c>
      <c r="M4253" t="n">
        <v>0</v>
      </c>
      <c r="N4253" t="n">
        <v>0</v>
      </c>
      <c r="O4253" t="n">
        <v>0</v>
      </c>
      <c r="P4253" t="n">
        <v>0</v>
      </c>
      <c r="Q4253" t="n">
        <v>0</v>
      </c>
      <c r="R4253" s="2" t="inlineStr"/>
    </row>
    <row r="4254" ht="15" customHeight="1">
      <c r="A4254" t="inlineStr">
        <is>
          <t>A 32752-2025</t>
        </is>
      </c>
      <c r="B4254" s="1" t="n">
        <v>45839.42896990741</v>
      </c>
      <c r="C4254" s="1" t="n">
        <v>46075</v>
      </c>
      <c r="D4254" t="inlineStr">
        <is>
          <t>VÄSTERBOTTENS LÄN</t>
        </is>
      </c>
      <c r="E4254" t="inlineStr">
        <is>
          <t>LYCKSELE</t>
        </is>
      </c>
      <c r="G4254" t="n">
        <v>5.7</v>
      </c>
      <c r="H4254" t="n">
        <v>0</v>
      </c>
      <c r="I4254" t="n">
        <v>0</v>
      </c>
      <c r="J4254" t="n">
        <v>0</v>
      </c>
      <c r="K4254" t="n">
        <v>0</v>
      </c>
      <c r="L4254" t="n">
        <v>0</v>
      </c>
      <c r="M4254" t="n">
        <v>0</v>
      </c>
      <c r="N4254" t="n">
        <v>0</v>
      </c>
      <c r="O4254" t="n">
        <v>0</v>
      </c>
      <c r="P4254" t="n">
        <v>0</v>
      </c>
      <c r="Q4254" t="n">
        <v>0</v>
      </c>
      <c r="R4254" s="2" t="inlineStr"/>
    </row>
    <row r="4255" ht="15" customHeight="1">
      <c r="A4255" t="inlineStr">
        <is>
          <t>A 50727-2024</t>
        </is>
      </c>
      <c r="B4255" s="1" t="n">
        <v>45602.38761574074</v>
      </c>
      <c r="C4255" s="1" t="n">
        <v>46075</v>
      </c>
      <c r="D4255" t="inlineStr">
        <is>
          <t>VÄSTERBOTTENS LÄN</t>
        </is>
      </c>
      <c r="E4255" t="inlineStr">
        <is>
          <t>BJURHOLM</t>
        </is>
      </c>
      <c r="G4255" t="n">
        <v>0.2</v>
      </c>
      <c r="H4255" t="n">
        <v>0</v>
      </c>
      <c r="I4255" t="n">
        <v>0</v>
      </c>
      <c r="J4255" t="n">
        <v>0</v>
      </c>
      <c r="K4255" t="n">
        <v>0</v>
      </c>
      <c r="L4255" t="n">
        <v>0</v>
      </c>
      <c r="M4255" t="n">
        <v>0</v>
      </c>
      <c r="N4255" t="n">
        <v>0</v>
      </c>
      <c r="O4255" t="n">
        <v>0</v>
      </c>
      <c r="P4255" t="n">
        <v>0</v>
      </c>
      <c r="Q4255" t="n">
        <v>0</v>
      </c>
      <c r="R4255" s="2" t="inlineStr"/>
    </row>
    <row r="4256" ht="15" customHeight="1">
      <c r="A4256" t="inlineStr">
        <is>
          <t>A 50729-2024</t>
        </is>
      </c>
      <c r="B4256" s="1" t="n">
        <v>45602.38763888889</v>
      </c>
      <c r="C4256" s="1" t="n">
        <v>46075</v>
      </c>
      <c r="D4256" t="inlineStr">
        <is>
          <t>VÄSTERBOTTENS LÄN</t>
        </is>
      </c>
      <c r="E4256" t="inlineStr">
        <is>
          <t>BJURHOLM</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41704-2025</t>
        </is>
      </c>
      <c r="B4257" s="1" t="n">
        <v>45902</v>
      </c>
      <c r="C4257" s="1" t="n">
        <v>46075</v>
      </c>
      <c r="D4257" t="inlineStr">
        <is>
          <t>VÄSTERBOTTENS LÄN</t>
        </is>
      </c>
      <c r="E4257" t="inlineStr">
        <is>
          <t>VILHELMINA</t>
        </is>
      </c>
      <c r="G4257" t="n">
        <v>3.3</v>
      </c>
      <c r="H4257" t="n">
        <v>0</v>
      </c>
      <c r="I4257" t="n">
        <v>0</v>
      </c>
      <c r="J4257" t="n">
        <v>0</v>
      </c>
      <c r="K4257" t="n">
        <v>0</v>
      </c>
      <c r="L4257" t="n">
        <v>0</v>
      </c>
      <c r="M4257" t="n">
        <v>0</v>
      </c>
      <c r="N4257" t="n">
        <v>0</v>
      </c>
      <c r="O4257" t="n">
        <v>0</v>
      </c>
      <c r="P4257" t="n">
        <v>0</v>
      </c>
      <c r="Q4257" t="n">
        <v>0</v>
      </c>
      <c r="R4257" s="2" t="inlineStr"/>
    </row>
    <row r="4258" ht="15" customHeight="1">
      <c r="A4258" t="inlineStr">
        <is>
          <t>A 27990-2024</t>
        </is>
      </c>
      <c r="B4258" s="1" t="n">
        <v>45476.42824074074</v>
      </c>
      <c r="C4258" s="1" t="n">
        <v>46075</v>
      </c>
      <c r="D4258" t="inlineStr">
        <is>
          <t>VÄSTERBOTTENS LÄN</t>
        </is>
      </c>
      <c r="E4258" t="inlineStr">
        <is>
          <t>SKELLEFTEÅ</t>
        </is>
      </c>
      <c r="G4258" t="n">
        <v>4.6</v>
      </c>
      <c r="H4258" t="n">
        <v>0</v>
      </c>
      <c r="I4258" t="n">
        <v>0</v>
      </c>
      <c r="J4258" t="n">
        <v>0</v>
      </c>
      <c r="K4258" t="n">
        <v>0</v>
      </c>
      <c r="L4258" t="n">
        <v>0</v>
      </c>
      <c r="M4258" t="n">
        <v>0</v>
      </c>
      <c r="N4258" t="n">
        <v>0</v>
      </c>
      <c r="O4258" t="n">
        <v>0</v>
      </c>
      <c r="P4258" t="n">
        <v>0</v>
      </c>
      <c r="Q4258" t="n">
        <v>0</v>
      </c>
      <c r="R4258" s="2" t="inlineStr"/>
    </row>
    <row r="4259" ht="15" customHeight="1">
      <c r="A4259" t="inlineStr">
        <is>
          <t>A 41992-2025</t>
        </is>
      </c>
      <c r="B4259" s="1" t="n">
        <v>45903</v>
      </c>
      <c r="C4259" s="1" t="n">
        <v>46075</v>
      </c>
      <c r="D4259" t="inlineStr">
        <is>
          <t>VÄSTERBOTTENS LÄN</t>
        </is>
      </c>
      <c r="E4259" t="inlineStr">
        <is>
          <t>SKELLEFTEÅ</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32820-2025</t>
        </is>
      </c>
      <c r="B4260" s="1" t="n">
        <v>45839.53807870371</v>
      </c>
      <c r="C4260" s="1" t="n">
        <v>46075</v>
      </c>
      <c r="D4260" t="inlineStr">
        <is>
          <t>VÄSTERBOTTENS LÄN</t>
        </is>
      </c>
      <c r="E4260" t="inlineStr">
        <is>
          <t>ROBERTSFORS</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46434-2022</t>
        </is>
      </c>
      <c r="B4261" s="1" t="n">
        <v>44846</v>
      </c>
      <c r="C4261" s="1" t="n">
        <v>46075</v>
      </c>
      <c r="D4261" t="inlineStr">
        <is>
          <t>VÄSTERBOTTENS LÄN</t>
        </is>
      </c>
      <c r="E4261" t="inlineStr">
        <is>
          <t>VÄNNÄS</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18322-2023</t>
        </is>
      </c>
      <c r="B4262" s="1" t="n">
        <v>45041.61890046296</v>
      </c>
      <c r="C4262" s="1" t="n">
        <v>46075</v>
      </c>
      <c r="D4262" t="inlineStr">
        <is>
          <t>VÄSTERBOTTENS LÄN</t>
        </is>
      </c>
      <c r="E4262" t="inlineStr">
        <is>
          <t>UMEÅ</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42028-2025</t>
        </is>
      </c>
      <c r="B4263" s="1" t="n">
        <v>45903.59854166667</v>
      </c>
      <c r="C4263" s="1" t="n">
        <v>46075</v>
      </c>
      <c r="D4263" t="inlineStr">
        <is>
          <t>VÄSTERBOTTENS LÄN</t>
        </is>
      </c>
      <c r="E4263" t="inlineStr">
        <is>
          <t>LYCKSELE</t>
        </is>
      </c>
      <c r="G4263" t="n">
        <v>2.6</v>
      </c>
      <c r="H4263" t="n">
        <v>0</v>
      </c>
      <c r="I4263" t="n">
        <v>0</v>
      </c>
      <c r="J4263" t="n">
        <v>0</v>
      </c>
      <c r="K4263" t="n">
        <v>0</v>
      </c>
      <c r="L4263" t="n">
        <v>0</v>
      </c>
      <c r="M4263" t="n">
        <v>0</v>
      </c>
      <c r="N4263" t="n">
        <v>0</v>
      </c>
      <c r="O4263" t="n">
        <v>0</v>
      </c>
      <c r="P4263" t="n">
        <v>0</v>
      </c>
      <c r="Q4263" t="n">
        <v>0</v>
      </c>
      <c r="R4263" s="2" t="inlineStr"/>
    </row>
    <row r="4264" ht="15" customHeight="1">
      <c r="A4264" t="inlineStr">
        <is>
          <t>A 9369-2025</t>
        </is>
      </c>
      <c r="B4264" s="1" t="n">
        <v>45715.32680555555</v>
      </c>
      <c r="C4264" s="1" t="n">
        <v>46075</v>
      </c>
      <c r="D4264" t="inlineStr">
        <is>
          <t>VÄSTERBOTTENS LÄN</t>
        </is>
      </c>
      <c r="E4264" t="inlineStr">
        <is>
          <t>ROBERTSFORS</t>
        </is>
      </c>
      <c r="F4264" t="inlineStr">
        <is>
          <t>Holmen skog AB</t>
        </is>
      </c>
      <c r="G4264" t="n">
        <v>3.1</v>
      </c>
      <c r="H4264" t="n">
        <v>0</v>
      </c>
      <c r="I4264" t="n">
        <v>0</v>
      </c>
      <c r="J4264" t="n">
        <v>0</v>
      </c>
      <c r="K4264" t="n">
        <v>0</v>
      </c>
      <c r="L4264" t="n">
        <v>0</v>
      </c>
      <c r="M4264" t="n">
        <v>0</v>
      </c>
      <c r="N4264" t="n">
        <v>0</v>
      </c>
      <c r="O4264" t="n">
        <v>0</v>
      </c>
      <c r="P4264" t="n">
        <v>0</v>
      </c>
      <c r="Q4264" t="n">
        <v>0</v>
      </c>
      <c r="R4264" s="2" t="inlineStr"/>
    </row>
    <row r="4265" ht="15" customHeight="1">
      <c r="A4265" t="inlineStr">
        <is>
          <t>A 42057-2025</t>
        </is>
      </c>
      <c r="B4265" s="1" t="n">
        <v>45903.64262731482</v>
      </c>
      <c r="C4265" s="1" t="n">
        <v>46075</v>
      </c>
      <c r="D4265" t="inlineStr">
        <is>
          <t>VÄSTERBOTTENS LÄN</t>
        </is>
      </c>
      <c r="E4265" t="inlineStr">
        <is>
          <t>LYCKSELE</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43973-2024</t>
        </is>
      </c>
      <c r="B4266" s="1" t="n">
        <v>45572.49059027778</v>
      </c>
      <c r="C4266" s="1" t="n">
        <v>46075</v>
      </c>
      <c r="D4266" t="inlineStr">
        <is>
          <t>VÄSTERBOTTENS LÄN</t>
        </is>
      </c>
      <c r="E4266" t="inlineStr">
        <is>
          <t>UMEÅ</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13883-2025</t>
        </is>
      </c>
      <c r="B4267" s="1" t="n">
        <v>45737.6024537037</v>
      </c>
      <c r="C4267" s="1" t="n">
        <v>46075</v>
      </c>
      <c r="D4267" t="inlineStr">
        <is>
          <t>VÄSTERBOTTENS LÄN</t>
        </is>
      </c>
      <c r="E4267" t="inlineStr">
        <is>
          <t>LYCKSELE</t>
        </is>
      </c>
      <c r="F4267" t="inlineStr">
        <is>
          <t>Naturvårdsverket</t>
        </is>
      </c>
      <c r="G4267" t="n">
        <v>7</v>
      </c>
      <c r="H4267" t="n">
        <v>0</v>
      </c>
      <c r="I4267" t="n">
        <v>0</v>
      </c>
      <c r="J4267" t="n">
        <v>0</v>
      </c>
      <c r="K4267" t="n">
        <v>0</v>
      </c>
      <c r="L4267" t="n">
        <v>0</v>
      </c>
      <c r="M4267" t="n">
        <v>0</v>
      </c>
      <c r="N4267" t="n">
        <v>0</v>
      </c>
      <c r="O4267" t="n">
        <v>0</v>
      </c>
      <c r="P4267" t="n">
        <v>0</v>
      </c>
      <c r="Q4267" t="n">
        <v>0</v>
      </c>
      <c r="R4267" s="2" t="inlineStr"/>
    </row>
    <row r="4268" ht="15" customHeight="1">
      <c r="A4268" t="inlineStr">
        <is>
          <t>A 32648-2025</t>
        </is>
      </c>
      <c r="B4268" s="1" t="n">
        <v>45838.67253472222</v>
      </c>
      <c r="C4268" s="1" t="n">
        <v>46075</v>
      </c>
      <c r="D4268" t="inlineStr">
        <is>
          <t>VÄSTERBOTTENS LÄN</t>
        </is>
      </c>
      <c r="E4268" t="inlineStr">
        <is>
          <t>ÅSELE</t>
        </is>
      </c>
      <c r="F4268" t="inlineStr">
        <is>
          <t>Holmen skog AB</t>
        </is>
      </c>
      <c r="G4268" t="n">
        <v>20</v>
      </c>
      <c r="H4268" t="n">
        <v>0</v>
      </c>
      <c r="I4268" t="n">
        <v>0</v>
      </c>
      <c r="J4268" t="n">
        <v>0</v>
      </c>
      <c r="K4268" t="n">
        <v>0</v>
      </c>
      <c r="L4268" t="n">
        <v>0</v>
      </c>
      <c r="M4268" t="n">
        <v>0</v>
      </c>
      <c r="N4268" t="n">
        <v>0</v>
      </c>
      <c r="O4268" t="n">
        <v>0</v>
      </c>
      <c r="P4268" t="n">
        <v>0</v>
      </c>
      <c r="Q4268" t="n">
        <v>0</v>
      </c>
      <c r="R4268" s="2" t="inlineStr"/>
    </row>
    <row r="4269" ht="15" customHeight="1">
      <c r="A4269" t="inlineStr">
        <is>
          <t>A 61605-2024</t>
        </is>
      </c>
      <c r="B4269" s="1" t="n">
        <v>45645</v>
      </c>
      <c r="C4269" s="1" t="n">
        <v>46075</v>
      </c>
      <c r="D4269" t="inlineStr">
        <is>
          <t>VÄSTERBOTTENS LÄN</t>
        </is>
      </c>
      <c r="E4269" t="inlineStr">
        <is>
          <t>MALÅ</t>
        </is>
      </c>
      <c r="F4269" t="inlineStr">
        <is>
          <t>Sveaskog</t>
        </is>
      </c>
      <c r="G4269" t="n">
        <v>3.6</v>
      </c>
      <c r="H4269" t="n">
        <v>0</v>
      </c>
      <c r="I4269" t="n">
        <v>0</v>
      </c>
      <c r="J4269" t="n">
        <v>0</v>
      </c>
      <c r="K4269" t="n">
        <v>0</v>
      </c>
      <c r="L4269" t="n">
        <v>0</v>
      </c>
      <c r="M4269" t="n">
        <v>0</v>
      </c>
      <c r="N4269" t="n">
        <v>0</v>
      </c>
      <c r="O4269" t="n">
        <v>0</v>
      </c>
      <c r="P4269" t="n">
        <v>0</v>
      </c>
      <c r="Q4269" t="n">
        <v>0</v>
      </c>
      <c r="R4269" s="2" t="inlineStr"/>
    </row>
    <row r="4270" ht="15" customHeight="1">
      <c r="A4270" t="inlineStr">
        <is>
          <t>A 41743-2025</t>
        </is>
      </c>
      <c r="B4270" s="1" t="n">
        <v>45902.48045138889</v>
      </c>
      <c r="C4270" s="1" t="n">
        <v>46075</v>
      </c>
      <c r="D4270" t="inlineStr">
        <is>
          <t>VÄSTERBOTTENS LÄN</t>
        </is>
      </c>
      <c r="E4270" t="inlineStr">
        <is>
          <t>ROBERTSFORS</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32673-2025</t>
        </is>
      </c>
      <c r="B4271" s="1" t="n">
        <v>45838.70978009259</v>
      </c>
      <c r="C4271" s="1" t="n">
        <v>46075</v>
      </c>
      <c r="D4271" t="inlineStr">
        <is>
          <t>VÄSTERBOTTENS LÄN</t>
        </is>
      </c>
      <c r="E4271" t="inlineStr">
        <is>
          <t>ÅSELE</t>
        </is>
      </c>
      <c r="F4271" t="inlineStr">
        <is>
          <t>Holmen skog AB</t>
        </is>
      </c>
      <c r="G4271" t="n">
        <v>16.8</v>
      </c>
      <c r="H4271" t="n">
        <v>0</v>
      </c>
      <c r="I4271" t="n">
        <v>0</v>
      </c>
      <c r="J4271" t="n">
        <v>0</v>
      </c>
      <c r="K4271" t="n">
        <v>0</v>
      </c>
      <c r="L4271" t="n">
        <v>0</v>
      </c>
      <c r="M4271" t="n">
        <v>0</v>
      </c>
      <c r="N4271" t="n">
        <v>0</v>
      </c>
      <c r="O4271" t="n">
        <v>0</v>
      </c>
      <c r="P4271" t="n">
        <v>0</v>
      </c>
      <c r="Q4271" t="n">
        <v>0</v>
      </c>
      <c r="R4271" s="2" t="inlineStr"/>
    </row>
    <row r="4272" ht="15" customHeight="1">
      <c r="A4272" t="inlineStr">
        <is>
          <t>A 41871-2025</t>
        </is>
      </c>
      <c r="B4272" s="1" t="n">
        <v>45903.34480324074</v>
      </c>
      <c r="C4272" s="1" t="n">
        <v>46075</v>
      </c>
      <c r="D4272" t="inlineStr">
        <is>
          <t>VÄSTERBOTTENS LÄN</t>
        </is>
      </c>
      <c r="E4272" t="inlineStr">
        <is>
          <t>DOROTEA</t>
        </is>
      </c>
      <c r="F4272" t="inlineStr">
        <is>
          <t>SCA</t>
        </is>
      </c>
      <c r="G4272" t="n">
        <v>10</v>
      </c>
      <c r="H4272" t="n">
        <v>0</v>
      </c>
      <c r="I4272" t="n">
        <v>0</v>
      </c>
      <c r="J4272" t="n">
        <v>0</v>
      </c>
      <c r="K4272" t="n">
        <v>0</v>
      </c>
      <c r="L4272" t="n">
        <v>0</v>
      </c>
      <c r="M4272" t="n">
        <v>0</v>
      </c>
      <c r="N4272" t="n">
        <v>0</v>
      </c>
      <c r="O4272" t="n">
        <v>0</v>
      </c>
      <c r="P4272" t="n">
        <v>0</v>
      </c>
      <c r="Q4272" t="n">
        <v>0</v>
      </c>
      <c r="R4272" s="2" t="inlineStr"/>
    </row>
    <row r="4273" ht="15" customHeight="1">
      <c r="A4273" t="inlineStr">
        <is>
          <t>A 32780-2025</t>
        </is>
      </c>
      <c r="B4273" s="1" t="n">
        <v>45839.46975694445</v>
      </c>
      <c r="C4273" s="1" t="n">
        <v>46075</v>
      </c>
      <c r="D4273" t="inlineStr">
        <is>
          <t>VÄSTERBOTTENS LÄN</t>
        </is>
      </c>
      <c r="E4273" t="inlineStr">
        <is>
          <t>SKELLEFTEÅ</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27557-2024</t>
        </is>
      </c>
      <c r="B4274" s="1" t="n">
        <v>45474.62798611111</v>
      </c>
      <c r="C4274" s="1" t="n">
        <v>46075</v>
      </c>
      <c r="D4274" t="inlineStr">
        <is>
          <t>VÄSTERBOTTENS LÄN</t>
        </is>
      </c>
      <c r="E4274" t="inlineStr">
        <is>
          <t>ROBERTSFORS</t>
        </is>
      </c>
      <c r="F4274" t="inlineStr">
        <is>
          <t>Holmen skog AB</t>
        </is>
      </c>
      <c r="G4274" t="n">
        <v>4.9</v>
      </c>
      <c r="H4274" t="n">
        <v>0</v>
      </c>
      <c r="I4274" t="n">
        <v>0</v>
      </c>
      <c r="J4274" t="n">
        <v>0</v>
      </c>
      <c r="K4274" t="n">
        <v>0</v>
      </c>
      <c r="L4274" t="n">
        <v>0</v>
      </c>
      <c r="M4274" t="n">
        <v>0</v>
      </c>
      <c r="N4274" t="n">
        <v>0</v>
      </c>
      <c r="O4274" t="n">
        <v>0</v>
      </c>
      <c r="P4274" t="n">
        <v>0</v>
      </c>
      <c r="Q4274" t="n">
        <v>0</v>
      </c>
      <c r="R4274" s="2" t="inlineStr"/>
    </row>
    <row r="4275" ht="15" customHeight="1">
      <c r="A4275" t="inlineStr">
        <is>
          <t>A 32619-2025</t>
        </is>
      </c>
      <c r="B4275" s="1" t="n">
        <v>45838.64458333333</v>
      </c>
      <c r="C4275" s="1" t="n">
        <v>46075</v>
      </c>
      <c r="D4275" t="inlineStr">
        <is>
          <t>VÄSTERBOTTENS LÄN</t>
        </is>
      </c>
      <c r="E4275" t="inlineStr">
        <is>
          <t>LYCKSELE</t>
        </is>
      </c>
      <c r="G4275" t="n">
        <v>4.3</v>
      </c>
      <c r="H4275" t="n">
        <v>0</v>
      </c>
      <c r="I4275" t="n">
        <v>0</v>
      </c>
      <c r="J4275" t="n">
        <v>0</v>
      </c>
      <c r="K4275" t="n">
        <v>0</v>
      </c>
      <c r="L4275" t="n">
        <v>0</v>
      </c>
      <c r="M4275" t="n">
        <v>0</v>
      </c>
      <c r="N4275" t="n">
        <v>0</v>
      </c>
      <c r="O4275" t="n">
        <v>0</v>
      </c>
      <c r="P4275" t="n">
        <v>0</v>
      </c>
      <c r="Q4275" t="n">
        <v>0</v>
      </c>
      <c r="R4275" s="2" t="inlineStr"/>
    </row>
    <row r="4276" ht="15" customHeight="1">
      <c r="A4276" t="inlineStr">
        <is>
          <t>A 495-2024</t>
        </is>
      </c>
      <c r="B4276" s="1" t="n">
        <v>45299</v>
      </c>
      <c r="C4276" s="1" t="n">
        <v>46075</v>
      </c>
      <c r="D4276" t="inlineStr">
        <is>
          <t>VÄSTERBOTTENS LÄN</t>
        </is>
      </c>
      <c r="E4276" t="inlineStr">
        <is>
          <t>VINDELN</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41697-2025</t>
        </is>
      </c>
      <c r="B4277" s="1" t="n">
        <v>45902.4074537037</v>
      </c>
      <c r="C4277" s="1" t="n">
        <v>46075</v>
      </c>
      <c r="D4277" t="inlineStr">
        <is>
          <t>VÄSTERBOTTENS LÄN</t>
        </is>
      </c>
      <c r="E4277" t="inlineStr">
        <is>
          <t>SKELLEFTEÅ</t>
        </is>
      </c>
      <c r="G4277" t="n">
        <v>3.2</v>
      </c>
      <c r="H4277" t="n">
        <v>0</v>
      </c>
      <c r="I4277" t="n">
        <v>0</v>
      </c>
      <c r="J4277" t="n">
        <v>0</v>
      </c>
      <c r="K4277" t="n">
        <v>0</v>
      </c>
      <c r="L4277" t="n">
        <v>0</v>
      </c>
      <c r="M4277" t="n">
        <v>0</v>
      </c>
      <c r="N4277" t="n">
        <v>0</v>
      </c>
      <c r="O4277" t="n">
        <v>0</v>
      </c>
      <c r="P4277" t="n">
        <v>0</v>
      </c>
      <c r="Q4277" t="n">
        <v>0</v>
      </c>
      <c r="R4277" s="2" t="inlineStr"/>
    </row>
    <row r="4278" ht="15" customHeight="1">
      <c r="A4278" t="inlineStr">
        <is>
          <t>A 32450-2025</t>
        </is>
      </c>
      <c r="B4278" s="1" t="n">
        <v>45838.38953703704</v>
      </c>
      <c r="C4278" s="1" t="n">
        <v>46075</v>
      </c>
      <c r="D4278" t="inlineStr">
        <is>
          <t>VÄSTERBOTTENS LÄN</t>
        </is>
      </c>
      <c r="E4278" t="inlineStr">
        <is>
          <t>SKELLEFTEÅ</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32601-2025</t>
        </is>
      </c>
      <c r="B4279" s="1" t="n">
        <v>45838.62275462963</v>
      </c>
      <c r="C4279" s="1" t="n">
        <v>46075</v>
      </c>
      <c r="D4279" t="inlineStr">
        <is>
          <t>VÄSTERBOTTENS LÄN</t>
        </is>
      </c>
      <c r="E4279" t="inlineStr">
        <is>
          <t>SKELLEFTEÅ</t>
        </is>
      </c>
      <c r="F4279" t="inlineStr">
        <is>
          <t>Holmen skog AB</t>
        </is>
      </c>
      <c r="G4279" t="n">
        <v>4.1</v>
      </c>
      <c r="H4279" t="n">
        <v>0</v>
      </c>
      <c r="I4279" t="n">
        <v>0</v>
      </c>
      <c r="J4279" t="n">
        <v>0</v>
      </c>
      <c r="K4279" t="n">
        <v>0</v>
      </c>
      <c r="L4279" t="n">
        <v>0</v>
      </c>
      <c r="M4279" t="n">
        <v>0</v>
      </c>
      <c r="N4279" t="n">
        <v>0</v>
      </c>
      <c r="O4279" t="n">
        <v>0</v>
      </c>
      <c r="P4279" t="n">
        <v>0</v>
      </c>
      <c r="Q4279" t="n">
        <v>0</v>
      </c>
      <c r="R4279" s="2" t="inlineStr"/>
    </row>
    <row r="4280" ht="15" customHeight="1">
      <c r="A4280" t="inlineStr">
        <is>
          <t>A 32640-2025</t>
        </is>
      </c>
      <c r="B4280" s="1" t="n">
        <v>45838.65730324074</v>
      </c>
      <c r="C4280" s="1" t="n">
        <v>46075</v>
      </c>
      <c r="D4280" t="inlineStr">
        <is>
          <t>VÄSTERBOTTENS LÄN</t>
        </is>
      </c>
      <c r="E4280" t="inlineStr">
        <is>
          <t>SKELLEFTEÅ</t>
        </is>
      </c>
      <c r="G4280" t="n">
        <v>7.9</v>
      </c>
      <c r="H4280" t="n">
        <v>0</v>
      </c>
      <c r="I4280" t="n">
        <v>0</v>
      </c>
      <c r="J4280" t="n">
        <v>0</v>
      </c>
      <c r="K4280" t="n">
        <v>0</v>
      </c>
      <c r="L4280" t="n">
        <v>0</v>
      </c>
      <c r="M4280" t="n">
        <v>0</v>
      </c>
      <c r="N4280" t="n">
        <v>0</v>
      </c>
      <c r="O4280" t="n">
        <v>0</v>
      </c>
      <c r="P4280" t="n">
        <v>0</v>
      </c>
      <c r="Q4280" t="n">
        <v>0</v>
      </c>
      <c r="R4280" s="2" t="inlineStr"/>
    </row>
    <row r="4281" ht="15" customHeight="1">
      <c r="A4281" t="inlineStr">
        <is>
          <t>A 23360-2025</t>
        </is>
      </c>
      <c r="B4281" s="1" t="n">
        <v>45791</v>
      </c>
      <c r="C4281" s="1" t="n">
        <v>46075</v>
      </c>
      <c r="D4281" t="inlineStr">
        <is>
          <t>VÄSTERBOTTENS LÄN</t>
        </is>
      </c>
      <c r="E4281" t="inlineStr">
        <is>
          <t>VILHELMINA</t>
        </is>
      </c>
      <c r="F4281" t="inlineStr">
        <is>
          <t>SCA</t>
        </is>
      </c>
      <c r="G4281" t="n">
        <v>2.3</v>
      </c>
      <c r="H4281" t="n">
        <v>0</v>
      </c>
      <c r="I4281" t="n">
        <v>0</v>
      </c>
      <c r="J4281" t="n">
        <v>0</v>
      </c>
      <c r="K4281" t="n">
        <v>0</v>
      </c>
      <c r="L4281" t="n">
        <v>0</v>
      </c>
      <c r="M4281" t="n">
        <v>0</v>
      </c>
      <c r="N4281" t="n">
        <v>0</v>
      </c>
      <c r="O4281" t="n">
        <v>0</v>
      </c>
      <c r="P4281" t="n">
        <v>0</v>
      </c>
      <c r="Q4281" t="n">
        <v>0</v>
      </c>
      <c r="R4281" s="2" t="inlineStr"/>
    </row>
    <row r="4282" ht="15" customHeight="1">
      <c r="A4282" t="inlineStr">
        <is>
          <t>A 26925-2025</t>
        </is>
      </c>
      <c r="B4282" s="1" t="n">
        <v>45811.39081018518</v>
      </c>
      <c r="C4282" s="1" t="n">
        <v>46075</v>
      </c>
      <c r="D4282" t="inlineStr">
        <is>
          <t>VÄSTERBOTTENS LÄN</t>
        </is>
      </c>
      <c r="E4282" t="inlineStr">
        <is>
          <t>VINDELN</t>
        </is>
      </c>
      <c r="F4282" t="inlineStr">
        <is>
          <t>Sveaskog</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42086-2025</t>
        </is>
      </c>
      <c r="B4283" s="1" t="n">
        <v>45903.69359953704</v>
      </c>
      <c r="C4283" s="1" t="n">
        <v>46075</v>
      </c>
      <c r="D4283" t="inlineStr">
        <is>
          <t>VÄSTERBOTTENS LÄN</t>
        </is>
      </c>
      <c r="E4283" t="inlineStr">
        <is>
          <t>SKELLEFTEÅ</t>
        </is>
      </c>
      <c r="G4283" t="n">
        <v>5.5</v>
      </c>
      <c r="H4283" t="n">
        <v>0</v>
      </c>
      <c r="I4283" t="n">
        <v>0</v>
      </c>
      <c r="J4283" t="n">
        <v>0</v>
      </c>
      <c r="K4283" t="n">
        <v>0</v>
      </c>
      <c r="L4283" t="n">
        <v>0</v>
      </c>
      <c r="M4283" t="n">
        <v>0</v>
      </c>
      <c r="N4283" t="n">
        <v>0</v>
      </c>
      <c r="O4283" t="n">
        <v>0</v>
      </c>
      <c r="P4283" t="n">
        <v>0</v>
      </c>
      <c r="Q4283" t="n">
        <v>0</v>
      </c>
      <c r="R4283" s="2" t="inlineStr"/>
    </row>
    <row r="4284" ht="15" customHeight="1">
      <c r="A4284" t="inlineStr">
        <is>
          <t>A 32638-2025</t>
        </is>
      </c>
      <c r="B4284" s="1" t="n">
        <v>45838.65724537037</v>
      </c>
      <c r="C4284" s="1" t="n">
        <v>46075</v>
      </c>
      <c r="D4284" t="inlineStr">
        <is>
          <t>VÄSTERBOTTENS LÄN</t>
        </is>
      </c>
      <c r="E4284" t="inlineStr">
        <is>
          <t>SKELLEFTEÅ</t>
        </is>
      </c>
      <c r="G4284" t="n">
        <v>4.8</v>
      </c>
      <c r="H4284" t="n">
        <v>0</v>
      </c>
      <c r="I4284" t="n">
        <v>0</v>
      </c>
      <c r="J4284" t="n">
        <v>0</v>
      </c>
      <c r="K4284" t="n">
        <v>0</v>
      </c>
      <c r="L4284" t="n">
        <v>0</v>
      </c>
      <c r="M4284" t="n">
        <v>0</v>
      </c>
      <c r="N4284" t="n">
        <v>0</v>
      </c>
      <c r="O4284" t="n">
        <v>0</v>
      </c>
      <c r="P4284" t="n">
        <v>0</v>
      </c>
      <c r="Q4284" t="n">
        <v>0</v>
      </c>
      <c r="R4284" s="2" t="inlineStr"/>
    </row>
    <row r="4285" ht="15" customHeight="1">
      <c r="A4285" t="inlineStr">
        <is>
          <t>A 41973-2025</t>
        </is>
      </c>
      <c r="B4285" s="1" t="n">
        <v>45903.49407407407</v>
      </c>
      <c r="C4285" s="1" t="n">
        <v>46075</v>
      </c>
      <c r="D4285" t="inlineStr">
        <is>
          <t>VÄSTERBOTTENS LÄN</t>
        </is>
      </c>
      <c r="E4285" t="inlineStr">
        <is>
          <t>SKELLEFTEÅ</t>
        </is>
      </c>
      <c r="F4285" t="inlineStr">
        <is>
          <t>Holmen skog AB</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41123-2025</t>
        </is>
      </c>
      <c r="B4286" s="1" t="n">
        <v>45898</v>
      </c>
      <c r="C4286" s="1" t="n">
        <v>46075</v>
      </c>
      <c r="D4286" t="inlineStr">
        <is>
          <t>VÄSTERBOTTENS LÄN</t>
        </is>
      </c>
      <c r="E4286" t="inlineStr">
        <is>
          <t>NORSJÖ</t>
        </is>
      </c>
      <c r="G4286" t="n">
        <v>24.2</v>
      </c>
      <c r="H4286" t="n">
        <v>0</v>
      </c>
      <c r="I4286" t="n">
        <v>0</v>
      </c>
      <c r="J4286" t="n">
        <v>0</v>
      </c>
      <c r="K4286" t="n">
        <v>0</v>
      </c>
      <c r="L4286" t="n">
        <v>0</v>
      </c>
      <c r="M4286" t="n">
        <v>0</v>
      </c>
      <c r="N4286" t="n">
        <v>0</v>
      </c>
      <c r="O4286" t="n">
        <v>0</v>
      </c>
      <c r="P4286" t="n">
        <v>0</v>
      </c>
      <c r="Q4286" t="n">
        <v>0</v>
      </c>
      <c r="R4286" s="2" t="inlineStr"/>
    </row>
    <row r="4287" ht="15" customHeight="1">
      <c r="A4287" t="inlineStr">
        <is>
          <t>A 1691-2025</t>
        </is>
      </c>
      <c r="B4287" s="1" t="n">
        <v>45670</v>
      </c>
      <c r="C4287" s="1" t="n">
        <v>46075</v>
      </c>
      <c r="D4287" t="inlineStr">
        <is>
          <t>VÄSTERBOTTENS LÄN</t>
        </is>
      </c>
      <c r="E4287" t="inlineStr">
        <is>
          <t>ROBERTSFORS</t>
        </is>
      </c>
      <c r="G4287" t="n">
        <v>6.8</v>
      </c>
      <c r="H4287" t="n">
        <v>0</v>
      </c>
      <c r="I4287" t="n">
        <v>0</v>
      </c>
      <c r="J4287" t="n">
        <v>0</v>
      </c>
      <c r="K4287" t="n">
        <v>0</v>
      </c>
      <c r="L4287" t="n">
        <v>0</v>
      </c>
      <c r="M4287" t="n">
        <v>0</v>
      </c>
      <c r="N4287" t="n">
        <v>0</v>
      </c>
      <c r="O4287" t="n">
        <v>0</v>
      </c>
      <c r="P4287" t="n">
        <v>0</v>
      </c>
      <c r="Q4287" t="n">
        <v>0</v>
      </c>
      <c r="R4287" s="2" t="inlineStr"/>
    </row>
    <row r="4288" ht="15" customHeight="1">
      <c r="A4288" t="inlineStr">
        <is>
          <t>A 1693-2025</t>
        </is>
      </c>
      <c r="B4288" s="1" t="n">
        <v>45670</v>
      </c>
      <c r="C4288" s="1" t="n">
        <v>46075</v>
      </c>
      <c r="D4288" t="inlineStr">
        <is>
          <t>VÄSTERBOTTENS LÄN</t>
        </is>
      </c>
      <c r="E4288" t="inlineStr">
        <is>
          <t>ROBERTSFORS</t>
        </is>
      </c>
      <c r="G4288" t="n">
        <v>3.4</v>
      </c>
      <c r="H4288" t="n">
        <v>0</v>
      </c>
      <c r="I4288" t="n">
        <v>0</v>
      </c>
      <c r="J4288" t="n">
        <v>0</v>
      </c>
      <c r="K4288" t="n">
        <v>0</v>
      </c>
      <c r="L4288" t="n">
        <v>0</v>
      </c>
      <c r="M4288" t="n">
        <v>0</v>
      </c>
      <c r="N4288" t="n">
        <v>0</v>
      </c>
      <c r="O4288" t="n">
        <v>0</v>
      </c>
      <c r="P4288" t="n">
        <v>0</v>
      </c>
      <c r="Q4288" t="n">
        <v>0</v>
      </c>
      <c r="R4288" s="2" t="inlineStr"/>
    </row>
    <row r="4289" ht="15" customHeight="1">
      <c r="A4289" t="inlineStr">
        <is>
          <t>A 39995-2021</t>
        </is>
      </c>
      <c r="B4289" s="1" t="n">
        <v>44417</v>
      </c>
      <c r="C4289" s="1" t="n">
        <v>46075</v>
      </c>
      <c r="D4289" t="inlineStr">
        <is>
          <t>VÄSTERBOTTENS LÄN</t>
        </is>
      </c>
      <c r="E4289" t="inlineStr">
        <is>
          <t>NORSJÖ</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41955-2025</t>
        </is>
      </c>
      <c r="B4290" s="1" t="n">
        <v>45903</v>
      </c>
      <c r="C4290" s="1" t="n">
        <v>46075</v>
      </c>
      <c r="D4290" t="inlineStr">
        <is>
          <t>VÄSTERBOTTENS LÄN</t>
        </is>
      </c>
      <c r="E4290" t="inlineStr">
        <is>
          <t>ROBERTSFORS</t>
        </is>
      </c>
      <c r="F4290" t="inlineStr">
        <is>
          <t>Holmen skog AB</t>
        </is>
      </c>
      <c r="G4290" t="n">
        <v>3</v>
      </c>
      <c r="H4290" t="n">
        <v>0</v>
      </c>
      <c r="I4290" t="n">
        <v>0</v>
      </c>
      <c r="J4290" t="n">
        <v>0</v>
      </c>
      <c r="K4290" t="n">
        <v>0</v>
      </c>
      <c r="L4290" t="n">
        <v>0</v>
      </c>
      <c r="M4290" t="n">
        <v>0</v>
      </c>
      <c r="N4290" t="n">
        <v>0</v>
      </c>
      <c r="O4290" t="n">
        <v>0</v>
      </c>
      <c r="P4290" t="n">
        <v>0</v>
      </c>
      <c r="Q4290" t="n">
        <v>0</v>
      </c>
      <c r="R4290" s="2" t="inlineStr"/>
    </row>
    <row r="4291" ht="15" customHeight="1">
      <c r="A4291" t="inlineStr">
        <is>
          <t>A 47589-2025</t>
        </is>
      </c>
      <c r="B4291" s="1" t="n">
        <v>45931</v>
      </c>
      <c r="C4291" s="1" t="n">
        <v>46075</v>
      </c>
      <c r="D4291" t="inlineStr">
        <is>
          <t>VÄSTERBOTTENS LÄN</t>
        </is>
      </c>
      <c r="E4291" t="inlineStr">
        <is>
          <t>VILHELMINA</t>
        </is>
      </c>
      <c r="G4291" t="n">
        <v>24.8</v>
      </c>
      <c r="H4291" t="n">
        <v>0</v>
      </c>
      <c r="I4291" t="n">
        <v>0</v>
      </c>
      <c r="J4291" t="n">
        <v>0</v>
      </c>
      <c r="K4291" t="n">
        <v>0</v>
      </c>
      <c r="L4291" t="n">
        <v>0</v>
      </c>
      <c r="M4291" t="n">
        <v>0</v>
      </c>
      <c r="N4291" t="n">
        <v>0</v>
      </c>
      <c r="O4291" t="n">
        <v>0</v>
      </c>
      <c r="P4291" t="n">
        <v>0</v>
      </c>
      <c r="Q4291" t="n">
        <v>0</v>
      </c>
      <c r="R4291" s="2" t="inlineStr"/>
    </row>
    <row r="4292" ht="15" customHeight="1">
      <c r="A4292" t="inlineStr">
        <is>
          <t>A 11184-2024</t>
        </is>
      </c>
      <c r="B4292" s="1" t="n">
        <v>45371</v>
      </c>
      <c r="C4292" s="1" t="n">
        <v>46075</v>
      </c>
      <c r="D4292" t="inlineStr">
        <is>
          <t>VÄSTERBOTTENS LÄN</t>
        </is>
      </c>
      <c r="E4292" t="inlineStr">
        <is>
          <t>UMEÅ</t>
        </is>
      </c>
      <c r="F4292" t="inlineStr">
        <is>
          <t>Övriga statliga verk och myndigheter</t>
        </is>
      </c>
      <c r="G4292" t="n">
        <v>4.5</v>
      </c>
      <c r="H4292" t="n">
        <v>0</v>
      </c>
      <c r="I4292" t="n">
        <v>0</v>
      </c>
      <c r="J4292" t="n">
        <v>0</v>
      </c>
      <c r="K4292" t="n">
        <v>0</v>
      </c>
      <c r="L4292" t="n">
        <v>0</v>
      </c>
      <c r="M4292" t="n">
        <v>0</v>
      </c>
      <c r="N4292" t="n">
        <v>0</v>
      </c>
      <c r="O4292" t="n">
        <v>0</v>
      </c>
      <c r="P4292" t="n">
        <v>0</v>
      </c>
      <c r="Q4292" t="n">
        <v>0</v>
      </c>
      <c r="R4292" s="2" t="inlineStr"/>
    </row>
    <row r="4293" ht="15" customHeight="1">
      <c r="A4293" t="inlineStr">
        <is>
          <t>A 32828-2025</t>
        </is>
      </c>
      <c r="B4293" s="1" t="n">
        <v>45839.54767361111</v>
      </c>
      <c r="C4293" s="1" t="n">
        <v>46075</v>
      </c>
      <c r="D4293" t="inlineStr">
        <is>
          <t>VÄSTERBOTTENS LÄN</t>
        </is>
      </c>
      <c r="E4293" t="inlineStr">
        <is>
          <t>ROBERTSFORS</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41864-2025</t>
        </is>
      </c>
      <c r="B4294" s="1" t="n">
        <v>45903.33118055556</v>
      </c>
      <c r="C4294" s="1" t="n">
        <v>46075</v>
      </c>
      <c r="D4294" t="inlineStr">
        <is>
          <t>VÄSTERBOTTENS LÄN</t>
        </is>
      </c>
      <c r="E4294" t="inlineStr">
        <is>
          <t>STORUMAN</t>
        </is>
      </c>
      <c r="F4294" t="inlineStr">
        <is>
          <t>Allmännings- och besparingsskogar</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60549-2022</t>
        </is>
      </c>
      <c r="B4295" s="1" t="n">
        <v>44911.51318287037</v>
      </c>
      <c r="C4295" s="1" t="n">
        <v>46075</v>
      </c>
      <c r="D4295" t="inlineStr">
        <is>
          <t>VÄSTERBOTTENS LÄN</t>
        </is>
      </c>
      <c r="E4295" t="inlineStr">
        <is>
          <t>VILHELMINA</t>
        </is>
      </c>
      <c r="G4295" t="n">
        <v>3.8</v>
      </c>
      <c r="H4295" t="n">
        <v>0</v>
      </c>
      <c r="I4295" t="n">
        <v>0</v>
      </c>
      <c r="J4295" t="n">
        <v>0</v>
      </c>
      <c r="K4295" t="n">
        <v>0</v>
      </c>
      <c r="L4295" t="n">
        <v>0</v>
      </c>
      <c r="M4295" t="n">
        <v>0</v>
      </c>
      <c r="N4295" t="n">
        <v>0</v>
      </c>
      <c r="O4295" t="n">
        <v>0</v>
      </c>
      <c r="P4295" t="n">
        <v>0</v>
      </c>
      <c r="Q4295" t="n">
        <v>0</v>
      </c>
      <c r="R4295" s="2" t="inlineStr"/>
    </row>
    <row r="4296" ht="15" customHeight="1">
      <c r="A4296" t="inlineStr">
        <is>
          <t>A 41177-2024</t>
        </is>
      </c>
      <c r="B4296" s="1" t="n">
        <v>45559.49118055555</v>
      </c>
      <c r="C4296" s="1" t="n">
        <v>46075</v>
      </c>
      <c r="D4296" t="inlineStr">
        <is>
          <t>VÄSTERBOTTENS LÄN</t>
        </is>
      </c>
      <c r="E4296" t="inlineStr">
        <is>
          <t>UMEÅ</t>
        </is>
      </c>
      <c r="G4296" t="n">
        <v>9.6</v>
      </c>
      <c r="H4296" t="n">
        <v>0</v>
      </c>
      <c r="I4296" t="n">
        <v>0</v>
      </c>
      <c r="J4296" t="n">
        <v>0</v>
      </c>
      <c r="K4296" t="n">
        <v>0</v>
      </c>
      <c r="L4296" t="n">
        <v>0</v>
      </c>
      <c r="M4296" t="n">
        <v>0</v>
      </c>
      <c r="N4296" t="n">
        <v>0</v>
      </c>
      <c r="O4296" t="n">
        <v>0</v>
      </c>
      <c r="P4296" t="n">
        <v>0</v>
      </c>
      <c r="Q4296" t="n">
        <v>0</v>
      </c>
      <c r="R4296" s="2" t="inlineStr"/>
    </row>
    <row r="4297" ht="15" customHeight="1">
      <c r="A4297" t="inlineStr">
        <is>
          <t>A 32781-2025</t>
        </is>
      </c>
      <c r="B4297" s="1" t="n">
        <v>45839.47243055556</v>
      </c>
      <c r="C4297" s="1" t="n">
        <v>46075</v>
      </c>
      <c r="D4297" t="inlineStr">
        <is>
          <t>VÄSTERBOTTENS LÄN</t>
        </is>
      </c>
      <c r="E4297" t="inlineStr">
        <is>
          <t>SKELLEFTEÅ</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40368-2024</t>
        </is>
      </c>
      <c r="B4298" s="1" t="n">
        <v>45555.39041666667</v>
      </c>
      <c r="C4298" s="1" t="n">
        <v>46075</v>
      </c>
      <c r="D4298" t="inlineStr">
        <is>
          <t>VÄSTERBOTTENS LÄN</t>
        </is>
      </c>
      <c r="E4298" t="inlineStr">
        <is>
          <t>STORUMAN</t>
        </is>
      </c>
      <c r="G4298" t="n">
        <v>7.4</v>
      </c>
      <c r="H4298" t="n">
        <v>0</v>
      </c>
      <c r="I4298" t="n">
        <v>0</v>
      </c>
      <c r="J4298" t="n">
        <v>0</v>
      </c>
      <c r="K4298" t="n">
        <v>0</v>
      </c>
      <c r="L4298" t="n">
        <v>0</v>
      </c>
      <c r="M4298" t="n">
        <v>0</v>
      </c>
      <c r="N4298" t="n">
        <v>0</v>
      </c>
      <c r="O4298" t="n">
        <v>0</v>
      </c>
      <c r="P4298" t="n">
        <v>0</v>
      </c>
      <c r="Q4298" t="n">
        <v>0</v>
      </c>
      <c r="R4298" s="2" t="inlineStr"/>
    </row>
    <row r="4299" ht="15" customHeight="1">
      <c r="A4299" t="inlineStr">
        <is>
          <t>A 22436-2025</t>
        </is>
      </c>
      <c r="B4299" s="1" t="n">
        <v>45786.5847337963</v>
      </c>
      <c r="C4299" s="1" t="n">
        <v>46075</v>
      </c>
      <c r="D4299" t="inlineStr">
        <is>
          <t>VÄSTERBOTTENS LÄN</t>
        </is>
      </c>
      <c r="E4299" t="inlineStr">
        <is>
          <t>VINDELN</t>
        </is>
      </c>
      <c r="F4299" t="inlineStr">
        <is>
          <t>Holmen skog AB</t>
        </is>
      </c>
      <c r="G4299" t="n">
        <v>3.4</v>
      </c>
      <c r="H4299" t="n">
        <v>0</v>
      </c>
      <c r="I4299" t="n">
        <v>0</v>
      </c>
      <c r="J4299" t="n">
        <v>0</v>
      </c>
      <c r="K4299" t="n">
        <v>0</v>
      </c>
      <c r="L4299" t="n">
        <v>0</v>
      </c>
      <c r="M4299" t="n">
        <v>0</v>
      </c>
      <c r="N4299" t="n">
        <v>0</v>
      </c>
      <c r="O4299" t="n">
        <v>0</v>
      </c>
      <c r="P4299" t="n">
        <v>0</v>
      </c>
      <c r="Q4299" t="n">
        <v>0</v>
      </c>
      <c r="R4299" s="2" t="inlineStr"/>
    </row>
    <row r="4300" ht="15" customHeight="1">
      <c r="A4300" t="inlineStr">
        <is>
          <t>A 29655-2024</t>
        </is>
      </c>
      <c r="B4300" s="1" t="n">
        <v>45484</v>
      </c>
      <c r="C4300" s="1" t="n">
        <v>46075</v>
      </c>
      <c r="D4300" t="inlineStr">
        <is>
          <t>VÄSTERBOTTENS LÄN</t>
        </is>
      </c>
      <c r="E4300" t="inlineStr">
        <is>
          <t>UMEÅ</t>
        </is>
      </c>
      <c r="G4300" t="n">
        <v>4.7</v>
      </c>
      <c r="H4300" t="n">
        <v>0</v>
      </c>
      <c r="I4300" t="n">
        <v>0</v>
      </c>
      <c r="J4300" t="n">
        <v>0</v>
      </c>
      <c r="K4300" t="n">
        <v>0</v>
      </c>
      <c r="L4300" t="n">
        <v>0</v>
      </c>
      <c r="M4300" t="n">
        <v>0</v>
      </c>
      <c r="N4300" t="n">
        <v>0</v>
      </c>
      <c r="O4300" t="n">
        <v>0</v>
      </c>
      <c r="P4300" t="n">
        <v>0</v>
      </c>
      <c r="Q4300" t="n">
        <v>0</v>
      </c>
      <c r="R4300" s="2" t="inlineStr"/>
    </row>
    <row r="4301" ht="15" customHeight="1">
      <c r="A4301" t="inlineStr">
        <is>
          <t>A 32550-2025</t>
        </is>
      </c>
      <c r="B4301" s="1" t="n">
        <v>45838.54916666666</v>
      </c>
      <c r="C4301" s="1" t="n">
        <v>46075</v>
      </c>
      <c r="D4301" t="inlineStr">
        <is>
          <t>VÄSTERBOTTENS LÄN</t>
        </is>
      </c>
      <c r="E4301" t="inlineStr">
        <is>
          <t>SKELLEFTEÅ</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9769-2022</t>
        </is>
      </c>
      <c r="B4302" s="1" t="n">
        <v>44619.71880787037</v>
      </c>
      <c r="C4302" s="1" t="n">
        <v>46075</v>
      </c>
      <c r="D4302" t="inlineStr">
        <is>
          <t>VÄSTERBOTTENS LÄN</t>
        </is>
      </c>
      <c r="E4302" t="inlineStr">
        <is>
          <t>UMEÅ</t>
        </is>
      </c>
      <c r="G4302" t="n">
        <v>12.6</v>
      </c>
      <c r="H4302" t="n">
        <v>0</v>
      </c>
      <c r="I4302" t="n">
        <v>0</v>
      </c>
      <c r="J4302" t="n">
        <v>0</v>
      </c>
      <c r="K4302" t="n">
        <v>0</v>
      </c>
      <c r="L4302" t="n">
        <v>0</v>
      </c>
      <c r="M4302" t="n">
        <v>0</v>
      </c>
      <c r="N4302" t="n">
        <v>0</v>
      </c>
      <c r="O4302" t="n">
        <v>0</v>
      </c>
      <c r="P4302" t="n">
        <v>0</v>
      </c>
      <c r="Q4302" t="n">
        <v>0</v>
      </c>
      <c r="R4302" s="2" t="inlineStr"/>
    </row>
    <row r="4303" ht="15" customHeight="1">
      <c r="A4303" t="inlineStr">
        <is>
          <t>A 62534-2021</t>
        </is>
      </c>
      <c r="B4303" s="1" t="n">
        <v>44503</v>
      </c>
      <c r="C4303" s="1" t="n">
        <v>46075</v>
      </c>
      <c r="D4303" t="inlineStr">
        <is>
          <t>VÄSTERBOTTENS LÄN</t>
        </is>
      </c>
      <c r="E4303" t="inlineStr">
        <is>
          <t>ÅSELE</t>
        </is>
      </c>
      <c r="F4303" t="inlineStr">
        <is>
          <t>Holmen skog AB</t>
        </is>
      </c>
      <c r="G4303" t="n">
        <v>4.2</v>
      </c>
      <c r="H4303" t="n">
        <v>0</v>
      </c>
      <c r="I4303" t="n">
        <v>0</v>
      </c>
      <c r="J4303" t="n">
        <v>0</v>
      </c>
      <c r="K4303" t="n">
        <v>0</v>
      </c>
      <c r="L4303" t="n">
        <v>0</v>
      </c>
      <c r="M4303" t="n">
        <v>0</v>
      </c>
      <c r="N4303" t="n">
        <v>0</v>
      </c>
      <c r="O4303" t="n">
        <v>0</v>
      </c>
      <c r="P4303" t="n">
        <v>0</v>
      </c>
      <c r="Q4303" t="n">
        <v>0</v>
      </c>
      <c r="R4303" s="2" t="inlineStr"/>
    </row>
    <row r="4304" ht="15" customHeight="1">
      <c r="A4304" t="inlineStr">
        <is>
          <t>A 32931-2025</t>
        </is>
      </c>
      <c r="B4304" s="1" t="n">
        <v>45839.66858796297</v>
      </c>
      <c r="C4304" s="1" t="n">
        <v>46075</v>
      </c>
      <c r="D4304" t="inlineStr">
        <is>
          <t>VÄSTERBOTTENS LÄN</t>
        </is>
      </c>
      <c r="E4304" t="inlineStr">
        <is>
          <t>SKELLEFTEÅ</t>
        </is>
      </c>
      <c r="F4304" t="inlineStr">
        <is>
          <t>Holmen skog AB</t>
        </is>
      </c>
      <c r="G4304" t="n">
        <v>7.7</v>
      </c>
      <c r="H4304" t="n">
        <v>0</v>
      </c>
      <c r="I4304" t="n">
        <v>0</v>
      </c>
      <c r="J4304" t="n">
        <v>0</v>
      </c>
      <c r="K4304" t="n">
        <v>0</v>
      </c>
      <c r="L4304" t="n">
        <v>0</v>
      </c>
      <c r="M4304" t="n">
        <v>0</v>
      </c>
      <c r="N4304" t="n">
        <v>0</v>
      </c>
      <c r="O4304" t="n">
        <v>0</v>
      </c>
      <c r="P4304" t="n">
        <v>0</v>
      </c>
      <c r="Q4304" t="n">
        <v>0</v>
      </c>
      <c r="R4304" s="2" t="inlineStr"/>
    </row>
    <row r="4305" ht="15" customHeight="1">
      <c r="A4305" t="inlineStr">
        <is>
          <t>A 32941-2025</t>
        </is>
      </c>
      <c r="B4305" s="1" t="n">
        <v>45839.67783564814</v>
      </c>
      <c r="C4305" s="1" t="n">
        <v>46075</v>
      </c>
      <c r="D4305" t="inlineStr">
        <is>
          <t>VÄSTERBOTTENS LÄN</t>
        </is>
      </c>
      <c r="E4305" t="inlineStr">
        <is>
          <t>LYCKSELE</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42560-2025</t>
        </is>
      </c>
      <c r="B4306" s="1" t="n">
        <v>45905.59663194444</v>
      </c>
      <c r="C4306" s="1" t="n">
        <v>46075</v>
      </c>
      <c r="D4306" t="inlineStr">
        <is>
          <t>VÄSTERBOTTENS LÄN</t>
        </is>
      </c>
      <c r="E4306" t="inlineStr">
        <is>
          <t>ÅSELE</t>
        </is>
      </c>
      <c r="G4306" t="n">
        <v>6.3</v>
      </c>
      <c r="H4306" t="n">
        <v>0</v>
      </c>
      <c r="I4306" t="n">
        <v>0</v>
      </c>
      <c r="J4306" t="n">
        <v>0</v>
      </c>
      <c r="K4306" t="n">
        <v>0</v>
      </c>
      <c r="L4306" t="n">
        <v>0</v>
      </c>
      <c r="M4306" t="n">
        <v>0</v>
      </c>
      <c r="N4306" t="n">
        <v>0</v>
      </c>
      <c r="O4306" t="n">
        <v>0</v>
      </c>
      <c r="P4306" t="n">
        <v>0</v>
      </c>
      <c r="Q4306" t="n">
        <v>0</v>
      </c>
      <c r="R4306" s="2" t="inlineStr"/>
    </row>
    <row r="4307" ht="15" customHeight="1">
      <c r="A4307" t="inlineStr">
        <is>
          <t>A 32955-2025</t>
        </is>
      </c>
      <c r="B4307" s="1" t="n">
        <v>45839</v>
      </c>
      <c r="C4307" s="1" t="n">
        <v>46075</v>
      </c>
      <c r="D4307" t="inlineStr">
        <is>
          <t>VÄSTERBOTTENS LÄN</t>
        </is>
      </c>
      <c r="E4307" t="inlineStr">
        <is>
          <t>SKELLEFTEÅ</t>
        </is>
      </c>
      <c r="G4307" t="n">
        <v>5.9</v>
      </c>
      <c r="H4307" t="n">
        <v>0</v>
      </c>
      <c r="I4307" t="n">
        <v>0</v>
      </c>
      <c r="J4307" t="n">
        <v>0</v>
      </c>
      <c r="K4307" t="n">
        <v>0</v>
      </c>
      <c r="L4307" t="n">
        <v>0</v>
      </c>
      <c r="M4307" t="n">
        <v>0</v>
      </c>
      <c r="N4307" t="n">
        <v>0</v>
      </c>
      <c r="O4307" t="n">
        <v>0</v>
      </c>
      <c r="P4307" t="n">
        <v>0</v>
      </c>
      <c r="Q4307" t="n">
        <v>0</v>
      </c>
      <c r="R4307" s="2" t="inlineStr"/>
    </row>
    <row r="4308" ht="15" customHeight="1">
      <c r="A4308" t="inlineStr">
        <is>
          <t>A 65688-2021</t>
        </is>
      </c>
      <c r="B4308" s="1" t="n">
        <v>44515</v>
      </c>
      <c r="C4308" s="1" t="n">
        <v>46075</v>
      </c>
      <c r="D4308" t="inlineStr">
        <is>
          <t>VÄSTERBOTTENS LÄN</t>
        </is>
      </c>
      <c r="E4308" t="inlineStr">
        <is>
          <t>NORDMALING</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7382-2022</t>
        </is>
      </c>
      <c r="B4309" s="1" t="n">
        <v>44606.61752314815</v>
      </c>
      <c r="C4309" s="1" t="n">
        <v>46075</v>
      </c>
      <c r="D4309" t="inlineStr">
        <is>
          <t>VÄSTERBOTTENS LÄN</t>
        </is>
      </c>
      <c r="E4309" t="inlineStr">
        <is>
          <t>UMEÅ</t>
        </is>
      </c>
      <c r="G4309" t="n">
        <v>3.8</v>
      </c>
      <c r="H4309" t="n">
        <v>0</v>
      </c>
      <c r="I4309" t="n">
        <v>0</v>
      </c>
      <c r="J4309" t="n">
        <v>0</v>
      </c>
      <c r="K4309" t="n">
        <v>0</v>
      </c>
      <c r="L4309" t="n">
        <v>0</v>
      </c>
      <c r="M4309" t="n">
        <v>0</v>
      </c>
      <c r="N4309" t="n">
        <v>0</v>
      </c>
      <c r="O4309" t="n">
        <v>0</v>
      </c>
      <c r="P4309" t="n">
        <v>0</v>
      </c>
      <c r="Q4309" t="n">
        <v>0</v>
      </c>
      <c r="R4309" s="2" t="inlineStr"/>
    </row>
    <row r="4310" ht="15" customHeight="1">
      <c r="A4310" t="inlineStr">
        <is>
          <t>A 7462-2022</t>
        </is>
      </c>
      <c r="B4310" s="1" t="n">
        <v>44606</v>
      </c>
      <c r="C4310" s="1" t="n">
        <v>46075</v>
      </c>
      <c r="D4310" t="inlineStr">
        <is>
          <t>VÄSTERBOTTENS LÄN</t>
        </is>
      </c>
      <c r="E4310" t="inlineStr">
        <is>
          <t>SKELLEFTEÅ</t>
        </is>
      </c>
      <c r="G4310" t="n">
        <v>4.3</v>
      </c>
      <c r="H4310" t="n">
        <v>0</v>
      </c>
      <c r="I4310" t="n">
        <v>0</v>
      </c>
      <c r="J4310" t="n">
        <v>0</v>
      </c>
      <c r="K4310" t="n">
        <v>0</v>
      </c>
      <c r="L4310" t="n">
        <v>0</v>
      </c>
      <c r="M4310" t="n">
        <v>0</v>
      </c>
      <c r="N4310" t="n">
        <v>0</v>
      </c>
      <c r="O4310" t="n">
        <v>0</v>
      </c>
      <c r="P4310" t="n">
        <v>0</v>
      </c>
      <c r="Q4310" t="n">
        <v>0</v>
      </c>
      <c r="R4310" s="2" t="inlineStr"/>
    </row>
    <row r="4311" ht="15" customHeight="1">
      <c r="A4311" t="inlineStr">
        <is>
          <t>A 32455-2025</t>
        </is>
      </c>
      <c r="B4311" s="1" t="n">
        <v>45838.40053240741</v>
      </c>
      <c r="C4311" s="1" t="n">
        <v>46075</v>
      </c>
      <c r="D4311" t="inlineStr">
        <is>
          <t>VÄSTERBOTTENS LÄN</t>
        </is>
      </c>
      <c r="E4311" t="inlineStr">
        <is>
          <t>NORSJÖ</t>
        </is>
      </c>
      <c r="F4311" t="inlineStr">
        <is>
          <t>Holmen skog AB</t>
        </is>
      </c>
      <c r="G4311" t="n">
        <v>4.4</v>
      </c>
      <c r="H4311" t="n">
        <v>0</v>
      </c>
      <c r="I4311" t="n">
        <v>0</v>
      </c>
      <c r="J4311" t="n">
        <v>0</v>
      </c>
      <c r="K4311" t="n">
        <v>0</v>
      </c>
      <c r="L4311" t="n">
        <v>0</v>
      </c>
      <c r="M4311" t="n">
        <v>0</v>
      </c>
      <c r="N4311" t="n">
        <v>0</v>
      </c>
      <c r="O4311" t="n">
        <v>0</v>
      </c>
      <c r="P4311" t="n">
        <v>0</v>
      </c>
      <c r="Q4311" t="n">
        <v>0</v>
      </c>
      <c r="R4311" s="2" t="inlineStr"/>
    </row>
    <row r="4312" ht="15" customHeight="1">
      <c r="A4312" t="inlineStr">
        <is>
          <t>A 31782-2022</t>
        </is>
      </c>
      <c r="B4312" s="1" t="n">
        <v>44776</v>
      </c>
      <c r="C4312" s="1" t="n">
        <v>46075</v>
      </c>
      <c r="D4312" t="inlineStr">
        <is>
          <t>VÄSTERBOTTENS LÄN</t>
        </is>
      </c>
      <c r="E4312" t="inlineStr">
        <is>
          <t>BJURHOLM</t>
        </is>
      </c>
      <c r="F4312" t="inlineStr">
        <is>
          <t>Holmen skog AB</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42476-2025</t>
        </is>
      </c>
      <c r="B4313" s="1" t="n">
        <v>45904</v>
      </c>
      <c r="C4313" s="1" t="n">
        <v>46075</v>
      </c>
      <c r="D4313" t="inlineStr">
        <is>
          <t>VÄSTERBOTTENS LÄN</t>
        </is>
      </c>
      <c r="E4313" t="inlineStr">
        <is>
          <t>UMEÅ</t>
        </is>
      </c>
      <c r="G4313" t="n">
        <v>2.9</v>
      </c>
      <c r="H4313" t="n">
        <v>0</v>
      </c>
      <c r="I4313" t="n">
        <v>0</v>
      </c>
      <c r="J4313" t="n">
        <v>0</v>
      </c>
      <c r="K4313" t="n">
        <v>0</v>
      </c>
      <c r="L4313" t="n">
        <v>0</v>
      </c>
      <c r="M4313" t="n">
        <v>0</v>
      </c>
      <c r="N4313" t="n">
        <v>0</v>
      </c>
      <c r="O4313" t="n">
        <v>0</v>
      </c>
      <c r="P4313" t="n">
        <v>0</v>
      </c>
      <c r="Q4313" t="n">
        <v>0</v>
      </c>
      <c r="R4313" s="2" t="inlineStr"/>
    </row>
    <row r="4314" ht="15" customHeight="1">
      <c r="A4314" t="inlineStr">
        <is>
          <t>A 46965-2024</t>
        </is>
      </c>
      <c r="B4314" s="1" t="n">
        <v>45586.32023148148</v>
      </c>
      <c r="C4314" s="1" t="n">
        <v>46075</v>
      </c>
      <c r="D4314" t="inlineStr">
        <is>
          <t>VÄSTERBOTTENS LÄN</t>
        </is>
      </c>
      <c r="E4314" t="inlineStr">
        <is>
          <t>DOROTEA</t>
        </is>
      </c>
      <c r="F4314" t="inlineStr">
        <is>
          <t>Sveaskog</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32945-2025</t>
        </is>
      </c>
      <c r="B4315" s="1" t="n">
        <v>45839.68309027778</v>
      </c>
      <c r="C4315" s="1" t="n">
        <v>46075</v>
      </c>
      <c r="D4315" t="inlineStr">
        <is>
          <t>VÄSTERBOTTENS LÄN</t>
        </is>
      </c>
      <c r="E4315" t="inlineStr">
        <is>
          <t>ÅSELE</t>
        </is>
      </c>
      <c r="F4315" t="inlineStr">
        <is>
          <t>Holmen skog AB</t>
        </is>
      </c>
      <c r="G4315" t="n">
        <v>2.8</v>
      </c>
      <c r="H4315" t="n">
        <v>0</v>
      </c>
      <c r="I4315" t="n">
        <v>0</v>
      </c>
      <c r="J4315" t="n">
        <v>0</v>
      </c>
      <c r="K4315" t="n">
        <v>0</v>
      </c>
      <c r="L4315" t="n">
        <v>0</v>
      </c>
      <c r="M4315" t="n">
        <v>0</v>
      </c>
      <c r="N4315" t="n">
        <v>0</v>
      </c>
      <c r="O4315" t="n">
        <v>0</v>
      </c>
      <c r="P4315" t="n">
        <v>0</v>
      </c>
      <c r="Q4315" t="n">
        <v>0</v>
      </c>
      <c r="R4315" s="2" t="inlineStr"/>
    </row>
    <row r="4316" ht="15" customHeight="1">
      <c r="A4316" t="inlineStr">
        <is>
          <t>A 42500-2025</t>
        </is>
      </c>
      <c r="B4316" s="1" t="n">
        <v>45905.52245370371</v>
      </c>
      <c r="C4316" s="1" t="n">
        <v>46075</v>
      </c>
      <c r="D4316" t="inlineStr">
        <is>
          <t>VÄSTERBOTTENS LÄN</t>
        </is>
      </c>
      <c r="E4316" t="inlineStr">
        <is>
          <t>LYCKSELE</t>
        </is>
      </c>
      <c r="F4316" t="inlineStr">
        <is>
          <t>Sveaskog</t>
        </is>
      </c>
      <c r="G4316" t="n">
        <v>24.3</v>
      </c>
      <c r="H4316" t="n">
        <v>0</v>
      </c>
      <c r="I4316" t="n">
        <v>0</v>
      </c>
      <c r="J4316" t="n">
        <v>0</v>
      </c>
      <c r="K4316" t="n">
        <v>0</v>
      </c>
      <c r="L4316" t="n">
        <v>0</v>
      </c>
      <c r="M4316" t="n">
        <v>0</v>
      </c>
      <c r="N4316" t="n">
        <v>0</v>
      </c>
      <c r="O4316" t="n">
        <v>0</v>
      </c>
      <c r="P4316" t="n">
        <v>0</v>
      </c>
      <c r="Q4316" t="n">
        <v>0</v>
      </c>
      <c r="R4316" s="2" t="inlineStr"/>
    </row>
    <row r="4317" ht="15" customHeight="1">
      <c r="A4317" t="inlineStr">
        <is>
          <t>A 55063-2022</t>
        </is>
      </c>
      <c r="B4317" s="1" t="n">
        <v>44886</v>
      </c>
      <c r="C4317" s="1" t="n">
        <v>46075</v>
      </c>
      <c r="D4317" t="inlineStr">
        <is>
          <t>VÄSTERBOTTENS LÄN</t>
        </is>
      </c>
      <c r="E4317" t="inlineStr">
        <is>
          <t>SKELLEFTEÅ</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19678-2024</t>
        </is>
      </c>
      <c r="B4318" s="1" t="n">
        <v>45432.48533564815</v>
      </c>
      <c r="C4318" s="1" t="n">
        <v>46075</v>
      </c>
      <c r="D4318" t="inlineStr">
        <is>
          <t>VÄSTERBOTTENS LÄN</t>
        </is>
      </c>
      <c r="E4318" t="inlineStr">
        <is>
          <t>UMEÅ</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33872-2025</t>
        </is>
      </c>
      <c r="B4319" s="1" t="n">
        <v>45842.54907407407</v>
      </c>
      <c r="C4319" s="1" t="n">
        <v>46075</v>
      </c>
      <c r="D4319" t="inlineStr">
        <is>
          <t>VÄSTERBOTTENS LÄN</t>
        </is>
      </c>
      <c r="E4319" t="inlineStr">
        <is>
          <t>VINDELN</t>
        </is>
      </c>
      <c r="F4319" t="inlineStr">
        <is>
          <t>Sveaskog</t>
        </is>
      </c>
      <c r="G4319" t="n">
        <v>10.4</v>
      </c>
      <c r="H4319" t="n">
        <v>0</v>
      </c>
      <c r="I4319" t="n">
        <v>0</v>
      </c>
      <c r="J4319" t="n">
        <v>0</v>
      </c>
      <c r="K4319" t="n">
        <v>0</v>
      </c>
      <c r="L4319" t="n">
        <v>0</v>
      </c>
      <c r="M4319" t="n">
        <v>0</v>
      </c>
      <c r="N4319" t="n">
        <v>0</v>
      </c>
      <c r="O4319" t="n">
        <v>0</v>
      </c>
      <c r="P4319" t="n">
        <v>0</v>
      </c>
      <c r="Q4319" t="n">
        <v>0</v>
      </c>
      <c r="R4319" s="2" t="inlineStr"/>
    </row>
    <row r="4320" ht="15" customHeight="1">
      <c r="A4320" t="inlineStr">
        <is>
          <t>A 32454-2025</t>
        </is>
      </c>
      <c r="B4320" s="1" t="n">
        <v>45838.40033564815</v>
      </c>
      <c r="C4320" s="1" t="n">
        <v>46075</v>
      </c>
      <c r="D4320" t="inlineStr">
        <is>
          <t>VÄSTERBOTTENS LÄN</t>
        </is>
      </c>
      <c r="E4320" t="inlineStr">
        <is>
          <t>LYCKSELE</t>
        </is>
      </c>
      <c r="F4320" t="inlineStr">
        <is>
          <t>Holmen skog AB</t>
        </is>
      </c>
      <c r="G4320" t="n">
        <v>3.4</v>
      </c>
      <c r="H4320" t="n">
        <v>0</v>
      </c>
      <c r="I4320" t="n">
        <v>0</v>
      </c>
      <c r="J4320" t="n">
        <v>0</v>
      </c>
      <c r="K4320" t="n">
        <v>0</v>
      </c>
      <c r="L4320" t="n">
        <v>0</v>
      </c>
      <c r="M4320" t="n">
        <v>0</v>
      </c>
      <c r="N4320" t="n">
        <v>0</v>
      </c>
      <c r="O4320" t="n">
        <v>0</v>
      </c>
      <c r="P4320" t="n">
        <v>0</v>
      </c>
      <c r="Q4320" t="n">
        <v>0</v>
      </c>
      <c r="R4320" s="2" t="inlineStr"/>
    </row>
    <row r="4321" ht="15" customHeight="1">
      <c r="A4321" t="inlineStr">
        <is>
          <t>A 32773-2025</t>
        </is>
      </c>
      <c r="B4321" s="1" t="n">
        <v>45839.46233796296</v>
      </c>
      <c r="C4321" s="1" t="n">
        <v>46075</v>
      </c>
      <c r="D4321" t="inlineStr">
        <is>
          <t>VÄSTERBOTTENS LÄN</t>
        </is>
      </c>
      <c r="E4321" t="inlineStr">
        <is>
          <t>ROBERTSFORS</t>
        </is>
      </c>
      <c r="F4321" t="inlineStr">
        <is>
          <t>Holmen skog AB</t>
        </is>
      </c>
      <c r="G4321" t="n">
        <v>3</v>
      </c>
      <c r="H4321" t="n">
        <v>0</v>
      </c>
      <c r="I4321" t="n">
        <v>0</v>
      </c>
      <c r="J4321" t="n">
        <v>0</v>
      </c>
      <c r="K4321" t="n">
        <v>0</v>
      </c>
      <c r="L4321" t="n">
        <v>0</v>
      </c>
      <c r="M4321" t="n">
        <v>0</v>
      </c>
      <c r="N4321" t="n">
        <v>0</v>
      </c>
      <c r="O4321" t="n">
        <v>0</v>
      </c>
      <c r="P4321" t="n">
        <v>0</v>
      </c>
      <c r="Q4321" t="n">
        <v>0</v>
      </c>
      <c r="R4321" s="2" t="inlineStr"/>
    </row>
    <row r="4322" ht="15" customHeight="1">
      <c r="A4322" t="inlineStr">
        <is>
          <t>A 42276-2025</t>
        </is>
      </c>
      <c r="B4322" s="1" t="n">
        <v>45904.61506944444</v>
      </c>
      <c r="C4322" s="1" t="n">
        <v>46075</v>
      </c>
      <c r="D4322" t="inlineStr">
        <is>
          <t>VÄSTERBOTTENS LÄN</t>
        </is>
      </c>
      <c r="E4322" t="inlineStr">
        <is>
          <t>ÅSELE</t>
        </is>
      </c>
      <c r="F4322" t="inlineStr">
        <is>
          <t>SCA</t>
        </is>
      </c>
      <c r="G4322" t="n">
        <v>4.7</v>
      </c>
      <c r="H4322" t="n">
        <v>0</v>
      </c>
      <c r="I4322" t="n">
        <v>0</v>
      </c>
      <c r="J4322" t="n">
        <v>0</v>
      </c>
      <c r="K4322" t="n">
        <v>0</v>
      </c>
      <c r="L4322" t="n">
        <v>0</v>
      </c>
      <c r="M4322" t="n">
        <v>0</v>
      </c>
      <c r="N4322" t="n">
        <v>0</v>
      </c>
      <c r="O4322" t="n">
        <v>0</v>
      </c>
      <c r="P4322" t="n">
        <v>0</v>
      </c>
      <c r="Q4322" t="n">
        <v>0</v>
      </c>
      <c r="R4322" s="2" t="inlineStr"/>
    </row>
    <row r="4323" ht="15" customHeight="1">
      <c r="A4323" t="inlineStr">
        <is>
          <t>A 42302-2025</t>
        </is>
      </c>
      <c r="B4323" s="1" t="n">
        <v>45904.64270833333</v>
      </c>
      <c r="C4323" s="1" t="n">
        <v>46075</v>
      </c>
      <c r="D4323" t="inlineStr">
        <is>
          <t>VÄSTERBOTTENS LÄN</t>
        </is>
      </c>
      <c r="E4323" t="inlineStr">
        <is>
          <t>ROBERTSFORS</t>
        </is>
      </c>
      <c r="F4323" t="inlineStr">
        <is>
          <t>Holmen skog AB</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3063-2024</t>
        </is>
      </c>
      <c r="B4324" s="1" t="n">
        <v>45316</v>
      </c>
      <c r="C4324" s="1" t="n">
        <v>46075</v>
      </c>
      <c r="D4324" t="inlineStr">
        <is>
          <t>VÄSTERBOTTENS LÄN</t>
        </is>
      </c>
      <c r="E4324" t="inlineStr">
        <is>
          <t>ÅSELE</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20144-2024</t>
        </is>
      </c>
      <c r="B4325" s="1" t="n">
        <v>45434</v>
      </c>
      <c r="C4325" s="1" t="n">
        <v>46075</v>
      </c>
      <c r="D4325" t="inlineStr">
        <is>
          <t>VÄSTERBOTTENS LÄN</t>
        </is>
      </c>
      <c r="E4325" t="inlineStr">
        <is>
          <t>VINDELN</t>
        </is>
      </c>
      <c r="F4325" t="inlineStr">
        <is>
          <t>Holmen skog AB</t>
        </is>
      </c>
      <c r="G4325" t="n">
        <v>9.699999999999999</v>
      </c>
      <c r="H4325" t="n">
        <v>0</v>
      </c>
      <c r="I4325" t="n">
        <v>0</v>
      </c>
      <c r="J4325" t="n">
        <v>0</v>
      </c>
      <c r="K4325" t="n">
        <v>0</v>
      </c>
      <c r="L4325" t="n">
        <v>0</v>
      </c>
      <c r="M4325" t="n">
        <v>0</v>
      </c>
      <c r="N4325" t="n">
        <v>0</v>
      </c>
      <c r="O4325" t="n">
        <v>0</v>
      </c>
      <c r="P4325" t="n">
        <v>0</v>
      </c>
      <c r="Q4325" t="n">
        <v>0</v>
      </c>
      <c r="R4325" s="2" t="inlineStr"/>
    </row>
    <row r="4326" ht="15" customHeight="1">
      <c r="A4326" t="inlineStr">
        <is>
          <t>A 32614-2025</t>
        </is>
      </c>
      <c r="B4326" s="1" t="n">
        <v>45838.64195601852</v>
      </c>
      <c r="C4326" s="1" t="n">
        <v>46075</v>
      </c>
      <c r="D4326" t="inlineStr">
        <is>
          <t>VÄSTERBOTTENS LÄN</t>
        </is>
      </c>
      <c r="E4326" t="inlineStr">
        <is>
          <t>LYCKSELE</t>
        </is>
      </c>
      <c r="G4326" t="n">
        <v>10</v>
      </c>
      <c r="H4326" t="n">
        <v>0</v>
      </c>
      <c r="I4326" t="n">
        <v>0</v>
      </c>
      <c r="J4326" t="n">
        <v>0</v>
      </c>
      <c r="K4326" t="n">
        <v>0</v>
      </c>
      <c r="L4326" t="n">
        <v>0</v>
      </c>
      <c r="M4326" t="n">
        <v>0</v>
      </c>
      <c r="N4326" t="n">
        <v>0</v>
      </c>
      <c r="O4326" t="n">
        <v>0</v>
      </c>
      <c r="P4326" t="n">
        <v>0</v>
      </c>
      <c r="Q4326" t="n">
        <v>0</v>
      </c>
      <c r="R4326" s="2" t="inlineStr"/>
    </row>
    <row r="4327" ht="15" customHeight="1">
      <c r="A4327" t="inlineStr">
        <is>
          <t>A 32329-2025</t>
        </is>
      </c>
      <c r="B4327" s="1" t="n">
        <v>45836.48517361111</v>
      </c>
      <c r="C4327" s="1" t="n">
        <v>46075</v>
      </c>
      <c r="D4327" t="inlineStr">
        <is>
          <t>VÄSTERBOTTENS LÄN</t>
        </is>
      </c>
      <c r="E4327" t="inlineStr">
        <is>
          <t>SKELLEFTEÅ</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33218-2021</t>
        </is>
      </c>
      <c r="B4328" s="1" t="n">
        <v>44376.93447916667</v>
      </c>
      <c r="C4328" s="1" t="n">
        <v>46075</v>
      </c>
      <c r="D4328" t="inlineStr">
        <is>
          <t>VÄSTERBOTTENS LÄN</t>
        </is>
      </c>
      <c r="E4328" t="inlineStr">
        <is>
          <t>DOROTEA</t>
        </is>
      </c>
      <c r="F4328" t="inlineStr">
        <is>
          <t>SCA</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33219-2021</t>
        </is>
      </c>
      <c r="B4329" s="1" t="n">
        <v>44376.93453703704</v>
      </c>
      <c r="C4329" s="1" t="n">
        <v>46075</v>
      </c>
      <c r="D4329" t="inlineStr">
        <is>
          <t>VÄSTERBOTTENS LÄN</t>
        </is>
      </c>
      <c r="E4329" t="inlineStr">
        <is>
          <t>ÅSELE</t>
        </is>
      </c>
      <c r="F4329" t="inlineStr">
        <is>
          <t>SCA</t>
        </is>
      </c>
      <c r="G4329" t="n">
        <v>3.9</v>
      </c>
      <c r="H4329" t="n">
        <v>0</v>
      </c>
      <c r="I4329" t="n">
        <v>0</v>
      </c>
      <c r="J4329" t="n">
        <v>0</v>
      </c>
      <c r="K4329" t="n">
        <v>0</v>
      </c>
      <c r="L4329" t="n">
        <v>0</v>
      </c>
      <c r="M4329" t="n">
        <v>0</v>
      </c>
      <c r="N4329" t="n">
        <v>0</v>
      </c>
      <c r="O4329" t="n">
        <v>0</v>
      </c>
      <c r="P4329" t="n">
        <v>0</v>
      </c>
      <c r="Q4329" t="n">
        <v>0</v>
      </c>
      <c r="R4329" s="2" t="inlineStr"/>
    </row>
    <row r="4330" ht="15" customHeight="1">
      <c r="A4330" t="inlineStr">
        <is>
          <t>A 33226-2021</t>
        </is>
      </c>
      <c r="B4330" s="1" t="n">
        <v>44376</v>
      </c>
      <c r="C4330" s="1" t="n">
        <v>46075</v>
      </c>
      <c r="D4330" t="inlineStr">
        <is>
          <t>VÄSTERBOTTENS LÄN</t>
        </is>
      </c>
      <c r="E4330" t="inlineStr">
        <is>
          <t>VÄNNÄS</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33283-2021</t>
        </is>
      </c>
      <c r="B4331" s="1" t="n">
        <v>44377.38222222222</v>
      </c>
      <c r="C4331" s="1" t="n">
        <v>46075</v>
      </c>
      <c r="D4331" t="inlineStr">
        <is>
          <t>VÄSTERBOTTENS LÄN</t>
        </is>
      </c>
      <c r="E4331" t="inlineStr">
        <is>
          <t>SKELLEFTEÅ</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42584-2025</t>
        </is>
      </c>
      <c r="B4332" s="1" t="n">
        <v>45905.62662037037</v>
      </c>
      <c r="C4332" s="1" t="n">
        <v>46075</v>
      </c>
      <c r="D4332" t="inlineStr">
        <is>
          <t>VÄSTERBOTTENS LÄN</t>
        </is>
      </c>
      <c r="E4332" t="inlineStr">
        <is>
          <t>VÄNNÄS</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42118-2025</t>
        </is>
      </c>
      <c r="B4333" s="1" t="n">
        <v>45904.33653935185</v>
      </c>
      <c r="C4333" s="1" t="n">
        <v>46075</v>
      </c>
      <c r="D4333" t="inlineStr">
        <is>
          <t>VÄSTERBOTTENS LÄN</t>
        </is>
      </c>
      <c r="E4333" t="inlineStr">
        <is>
          <t>SKELLEFTEÅ</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32311-2025</t>
        </is>
      </c>
      <c r="B4334" s="1" t="n">
        <v>45835.8281712963</v>
      </c>
      <c r="C4334" s="1" t="n">
        <v>46075</v>
      </c>
      <c r="D4334" t="inlineStr">
        <is>
          <t>VÄSTERBOTTENS LÄN</t>
        </is>
      </c>
      <c r="E4334" t="inlineStr">
        <is>
          <t>BJURHOLM</t>
        </is>
      </c>
      <c r="F4334" t="inlineStr">
        <is>
          <t>Holmen skog AB</t>
        </is>
      </c>
      <c r="G4334" t="n">
        <v>8.1</v>
      </c>
      <c r="H4334" t="n">
        <v>0</v>
      </c>
      <c r="I4334" t="n">
        <v>0</v>
      </c>
      <c r="J4334" t="n">
        <v>0</v>
      </c>
      <c r="K4334" t="n">
        <v>0</v>
      </c>
      <c r="L4334" t="n">
        <v>0</v>
      </c>
      <c r="M4334" t="n">
        <v>0</v>
      </c>
      <c r="N4334" t="n">
        <v>0</v>
      </c>
      <c r="O4334" t="n">
        <v>0</v>
      </c>
      <c r="P4334" t="n">
        <v>0</v>
      </c>
      <c r="Q4334" t="n">
        <v>0</v>
      </c>
      <c r="R4334" s="2" t="inlineStr"/>
    </row>
    <row r="4335" ht="15" customHeight="1">
      <c r="A4335" t="inlineStr">
        <is>
          <t>A 32313-2025</t>
        </is>
      </c>
      <c r="B4335" s="1" t="n">
        <v>45835.86921296296</v>
      </c>
      <c r="C4335" s="1" t="n">
        <v>46075</v>
      </c>
      <c r="D4335" t="inlineStr">
        <is>
          <t>VÄSTERBOTTENS LÄN</t>
        </is>
      </c>
      <c r="E4335" t="inlineStr">
        <is>
          <t>NORDMALING</t>
        </is>
      </c>
      <c r="G4335" t="n">
        <v>13.8</v>
      </c>
      <c r="H4335" t="n">
        <v>0</v>
      </c>
      <c r="I4335" t="n">
        <v>0</v>
      </c>
      <c r="J4335" t="n">
        <v>0</v>
      </c>
      <c r="K4335" t="n">
        <v>0</v>
      </c>
      <c r="L4335" t="n">
        <v>0</v>
      </c>
      <c r="M4335" t="n">
        <v>0</v>
      </c>
      <c r="N4335" t="n">
        <v>0</v>
      </c>
      <c r="O4335" t="n">
        <v>0</v>
      </c>
      <c r="P4335" t="n">
        <v>0</v>
      </c>
      <c r="Q4335" t="n">
        <v>0</v>
      </c>
      <c r="R4335" s="2" t="inlineStr"/>
    </row>
    <row r="4336" ht="15" customHeight="1">
      <c r="A4336" t="inlineStr">
        <is>
          <t>A 32316-2025</t>
        </is>
      </c>
      <c r="B4336" s="1" t="n">
        <v>45835.88451388889</v>
      </c>
      <c r="C4336" s="1" t="n">
        <v>46075</v>
      </c>
      <c r="D4336" t="inlineStr">
        <is>
          <t>VÄSTERBOTTENS LÄN</t>
        </is>
      </c>
      <c r="E4336" t="inlineStr">
        <is>
          <t>NORDMALING</t>
        </is>
      </c>
      <c r="G4336" t="n">
        <v>3.2</v>
      </c>
      <c r="H4336" t="n">
        <v>0</v>
      </c>
      <c r="I4336" t="n">
        <v>0</v>
      </c>
      <c r="J4336" t="n">
        <v>0</v>
      </c>
      <c r="K4336" t="n">
        <v>0</v>
      </c>
      <c r="L4336" t="n">
        <v>0</v>
      </c>
      <c r="M4336" t="n">
        <v>0</v>
      </c>
      <c r="N4336" t="n">
        <v>0</v>
      </c>
      <c r="O4336" t="n">
        <v>0</v>
      </c>
      <c r="P4336" t="n">
        <v>0</v>
      </c>
      <c r="Q4336" t="n">
        <v>0</v>
      </c>
      <c r="R4336" s="2" t="inlineStr"/>
    </row>
    <row r="4337" ht="15" customHeight="1">
      <c r="A4337" t="inlineStr">
        <is>
          <t>A 15792-2025</t>
        </is>
      </c>
      <c r="B4337" s="1" t="n">
        <v>45748.63356481482</v>
      </c>
      <c r="C4337" s="1" t="n">
        <v>46075</v>
      </c>
      <c r="D4337" t="inlineStr">
        <is>
          <t>VÄSTERBOTTENS LÄN</t>
        </is>
      </c>
      <c r="E4337" t="inlineStr">
        <is>
          <t>VILHELMINA</t>
        </is>
      </c>
      <c r="G4337" t="n">
        <v>5.5</v>
      </c>
      <c r="H4337" t="n">
        <v>0</v>
      </c>
      <c r="I4337" t="n">
        <v>0</v>
      </c>
      <c r="J4337" t="n">
        <v>0</v>
      </c>
      <c r="K4337" t="n">
        <v>0</v>
      </c>
      <c r="L4337" t="n">
        <v>0</v>
      </c>
      <c r="M4337" t="n">
        <v>0</v>
      </c>
      <c r="N4337" t="n">
        <v>0</v>
      </c>
      <c r="O4337" t="n">
        <v>0</v>
      </c>
      <c r="P4337" t="n">
        <v>0</v>
      </c>
      <c r="Q4337" t="n">
        <v>0</v>
      </c>
      <c r="R4337" s="2" t="inlineStr"/>
    </row>
    <row r="4338" ht="15" customHeight="1">
      <c r="A4338" t="inlineStr">
        <is>
          <t>A 27157-2025</t>
        </is>
      </c>
      <c r="B4338" s="1" t="n">
        <v>45812.33298611111</v>
      </c>
      <c r="C4338" s="1" t="n">
        <v>46075</v>
      </c>
      <c r="D4338" t="inlineStr">
        <is>
          <t>VÄSTERBOTTENS LÄN</t>
        </is>
      </c>
      <c r="E4338" t="inlineStr">
        <is>
          <t>SKELLEFTEÅ</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41847-2024</t>
        </is>
      </c>
      <c r="B4339" s="1" t="n">
        <v>45561.43010416667</v>
      </c>
      <c r="C4339" s="1" t="n">
        <v>46075</v>
      </c>
      <c r="D4339" t="inlineStr">
        <is>
          <t>VÄSTERBOTTENS LÄN</t>
        </is>
      </c>
      <c r="E4339" t="inlineStr">
        <is>
          <t>STORUMAN</t>
        </is>
      </c>
      <c r="F4339" t="inlineStr">
        <is>
          <t>Sveaskog</t>
        </is>
      </c>
      <c r="G4339" t="n">
        <v>5</v>
      </c>
      <c r="H4339" t="n">
        <v>0</v>
      </c>
      <c r="I4339" t="n">
        <v>0</v>
      </c>
      <c r="J4339" t="n">
        <v>0</v>
      </c>
      <c r="K4339" t="n">
        <v>0</v>
      </c>
      <c r="L4339" t="n">
        <v>0</v>
      </c>
      <c r="M4339" t="n">
        <v>0</v>
      </c>
      <c r="N4339" t="n">
        <v>0</v>
      </c>
      <c r="O4339" t="n">
        <v>0</v>
      </c>
      <c r="P4339" t="n">
        <v>0</v>
      </c>
      <c r="Q4339" t="n">
        <v>0</v>
      </c>
      <c r="R4339" s="2" t="inlineStr"/>
    </row>
    <row r="4340" ht="15" customHeight="1">
      <c r="A4340" t="inlineStr">
        <is>
          <t>A 32551-2025</t>
        </is>
      </c>
      <c r="B4340" s="1" t="n">
        <v>45838.5503587963</v>
      </c>
      <c r="C4340" s="1" t="n">
        <v>46075</v>
      </c>
      <c r="D4340" t="inlineStr">
        <is>
          <t>VÄSTERBOTTENS LÄN</t>
        </is>
      </c>
      <c r="E4340" t="inlineStr">
        <is>
          <t>SKELLEFTEÅ</t>
        </is>
      </c>
      <c r="F4340" t="inlineStr">
        <is>
          <t>Holmen skog AB</t>
        </is>
      </c>
      <c r="G4340" t="n">
        <v>6.4</v>
      </c>
      <c r="H4340" t="n">
        <v>0</v>
      </c>
      <c r="I4340" t="n">
        <v>0</v>
      </c>
      <c r="J4340" t="n">
        <v>0</v>
      </c>
      <c r="K4340" t="n">
        <v>0</v>
      </c>
      <c r="L4340" t="n">
        <v>0</v>
      </c>
      <c r="M4340" t="n">
        <v>0</v>
      </c>
      <c r="N4340" t="n">
        <v>0</v>
      </c>
      <c r="O4340" t="n">
        <v>0</v>
      </c>
      <c r="P4340" t="n">
        <v>0</v>
      </c>
      <c r="Q4340" t="n">
        <v>0</v>
      </c>
      <c r="R4340" s="2" t="inlineStr"/>
    </row>
    <row r="4341" ht="15" customHeight="1">
      <c r="A4341" t="inlineStr">
        <is>
          <t>A 3143-2024</t>
        </is>
      </c>
      <c r="B4341" s="1" t="n">
        <v>45316.58484953704</v>
      </c>
      <c r="C4341" s="1" t="n">
        <v>46075</v>
      </c>
      <c r="D4341" t="inlineStr">
        <is>
          <t>VÄSTERBOTTENS LÄN</t>
        </is>
      </c>
      <c r="E4341" t="inlineStr">
        <is>
          <t>SKELLEFTEÅ</t>
        </is>
      </c>
      <c r="G4341" t="n">
        <v>3.6</v>
      </c>
      <c r="H4341" t="n">
        <v>0</v>
      </c>
      <c r="I4341" t="n">
        <v>0</v>
      </c>
      <c r="J4341" t="n">
        <v>0</v>
      </c>
      <c r="K4341" t="n">
        <v>0</v>
      </c>
      <c r="L4341" t="n">
        <v>0</v>
      </c>
      <c r="M4341" t="n">
        <v>0</v>
      </c>
      <c r="N4341" t="n">
        <v>0</v>
      </c>
      <c r="O4341" t="n">
        <v>0</v>
      </c>
      <c r="P4341" t="n">
        <v>0</v>
      </c>
      <c r="Q4341" t="n">
        <v>0</v>
      </c>
      <c r="R4341" s="2" t="inlineStr"/>
    </row>
    <row r="4342" ht="15" customHeight="1">
      <c r="A4342" t="inlineStr">
        <is>
          <t>A 42360-2025</t>
        </is>
      </c>
      <c r="B4342" s="1" t="n">
        <v>45904</v>
      </c>
      <c r="C4342" s="1" t="n">
        <v>46075</v>
      </c>
      <c r="D4342" t="inlineStr">
        <is>
          <t>VÄSTERBOTTENS LÄN</t>
        </is>
      </c>
      <c r="E4342" t="inlineStr">
        <is>
          <t>VILHELMINA</t>
        </is>
      </c>
      <c r="F4342" t="inlineStr">
        <is>
          <t>Övriga Aktiebolag</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24445-2024</t>
        </is>
      </c>
      <c r="B4343" s="1" t="n">
        <v>45457.96494212963</v>
      </c>
      <c r="C4343" s="1" t="n">
        <v>46075</v>
      </c>
      <c r="D4343" t="inlineStr">
        <is>
          <t>VÄSTERBOTTENS LÄN</t>
        </is>
      </c>
      <c r="E4343" t="inlineStr">
        <is>
          <t>DOROTEA</t>
        </is>
      </c>
      <c r="F4343" t="inlineStr">
        <is>
          <t>SCA</t>
        </is>
      </c>
      <c r="G4343" t="n">
        <v>3.8</v>
      </c>
      <c r="H4343" t="n">
        <v>0</v>
      </c>
      <c r="I4343" t="n">
        <v>0</v>
      </c>
      <c r="J4343" t="n">
        <v>0</v>
      </c>
      <c r="K4343" t="n">
        <v>0</v>
      </c>
      <c r="L4343" t="n">
        <v>0</v>
      </c>
      <c r="M4343" t="n">
        <v>0</v>
      </c>
      <c r="N4343" t="n">
        <v>0</v>
      </c>
      <c r="O4343" t="n">
        <v>0</v>
      </c>
      <c r="P4343" t="n">
        <v>0</v>
      </c>
      <c r="Q4343" t="n">
        <v>0</v>
      </c>
      <c r="R4343" s="2" t="inlineStr"/>
    </row>
    <row r="4344" ht="15" customHeight="1">
      <c r="A4344" t="inlineStr">
        <is>
          <t>A 24468-2024</t>
        </is>
      </c>
      <c r="B4344" s="1" t="n">
        <v>45458</v>
      </c>
      <c r="C4344" s="1" t="n">
        <v>46075</v>
      </c>
      <c r="D4344" t="inlineStr">
        <is>
          <t>VÄSTERBOTTENS LÄN</t>
        </is>
      </c>
      <c r="E4344" t="inlineStr">
        <is>
          <t>ROBERTSFORS</t>
        </is>
      </c>
      <c r="G4344" t="n">
        <v>7.3</v>
      </c>
      <c r="H4344" t="n">
        <v>0</v>
      </c>
      <c r="I4344" t="n">
        <v>0</v>
      </c>
      <c r="J4344" t="n">
        <v>0</v>
      </c>
      <c r="K4344" t="n">
        <v>0</v>
      </c>
      <c r="L4344" t="n">
        <v>0</v>
      </c>
      <c r="M4344" t="n">
        <v>0</v>
      </c>
      <c r="N4344" t="n">
        <v>0</v>
      </c>
      <c r="O4344" t="n">
        <v>0</v>
      </c>
      <c r="P4344" t="n">
        <v>0</v>
      </c>
      <c r="Q4344" t="n">
        <v>0</v>
      </c>
      <c r="R4344" s="2" t="inlineStr"/>
    </row>
    <row r="4345" ht="15" customHeight="1">
      <c r="A4345" t="inlineStr">
        <is>
          <t>A 25017-2024</t>
        </is>
      </c>
      <c r="B4345" s="1" t="n">
        <v>45461</v>
      </c>
      <c r="C4345" s="1" t="n">
        <v>46075</v>
      </c>
      <c r="D4345" t="inlineStr">
        <is>
          <t>VÄSTERBOTTENS LÄN</t>
        </is>
      </c>
      <c r="E4345" t="inlineStr">
        <is>
          <t>NORSJÖ</t>
        </is>
      </c>
      <c r="G4345" t="n">
        <v>0.3</v>
      </c>
      <c r="H4345" t="n">
        <v>0</v>
      </c>
      <c r="I4345" t="n">
        <v>0</v>
      </c>
      <c r="J4345" t="n">
        <v>0</v>
      </c>
      <c r="K4345" t="n">
        <v>0</v>
      </c>
      <c r="L4345" t="n">
        <v>0</v>
      </c>
      <c r="M4345" t="n">
        <v>0</v>
      </c>
      <c r="N4345" t="n">
        <v>0</v>
      </c>
      <c r="O4345" t="n">
        <v>0</v>
      </c>
      <c r="P4345" t="n">
        <v>0</v>
      </c>
      <c r="Q4345" t="n">
        <v>0</v>
      </c>
      <c r="R4345" s="2" t="inlineStr"/>
    </row>
    <row r="4346" ht="15" customHeight="1">
      <c r="A4346" t="inlineStr">
        <is>
          <t>A 32439-2025</t>
        </is>
      </c>
      <c r="B4346" s="1" t="n">
        <v>45838.3827662037</v>
      </c>
      <c r="C4346" s="1" t="n">
        <v>46075</v>
      </c>
      <c r="D4346" t="inlineStr">
        <is>
          <t>VÄSTERBOTTENS LÄN</t>
        </is>
      </c>
      <c r="E4346" t="inlineStr">
        <is>
          <t>NORSJÖ</t>
        </is>
      </c>
      <c r="F4346" t="inlineStr">
        <is>
          <t>Holmen skog AB</t>
        </is>
      </c>
      <c r="G4346" t="n">
        <v>5.6</v>
      </c>
      <c r="H4346" t="n">
        <v>0</v>
      </c>
      <c r="I4346" t="n">
        <v>0</v>
      </c>
      <c r="J4346" t="n">
        <v>0</v>
      </c>
      <c r="K4346" t="n">
        <v>0</v>
      </c>
      <c r="L4346" t="n">
        <v>0</v>
      </c>
      <c r="M4346" t="n">
        <v>0</v>
      </c>
      <c r="N4346" t="n">
        <v>0</v>
      </c>
      <c r="O4346" t="n">
        <v>0</v>
      </c>
      <c r="P4346" t="n">
        <v>0</v>
      </c>
      <c r="Q4346" t="n">
        <v>0</v>
      </c>
      <c r="R4346" s="2" t="inlineStr"/>
    </row>
    <row r="4347" ht="15" customHeight="1">
      <c r="A4347" t="inlineStr">
        <is>
          <t>A 32446-2025</t>
        </is>
      </c>
      <c r="B4347" s="1" t="n">
        <v>45838.38635416667</v>
      </c>
      <c r="C4347" s="1" t="n">
        <v>46075</v>
      </c>
      <c r="D4347" t="inlineStr">
        <is>
          <t>VÄSTERBOTTENS LÄN</t>
        </is>
      </c>
      <c r="E4347" t="inlineStr">
        <is>
          <t>VINDELN</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25714-2024</t>
        </is>
      </c>
      <c r="B4348" s="1" t="n">
        <v>45463.94417824074</v>
      </c>
      <c r="C4348" s="1" t="n">
        <v>46075</v>
      </c>
      <c r="D4348" t="inlineStr">
        <is>
          <t>VÄSTERBOTTENS LÄN</t>
        </is>
      </c>
      <c r="E4348" t="inlineStr">
        <is>
          <t>DOROTEA</t>
        </is>
      </c>
      <c r="F4348" t="inlineStr">
        <is>
          <t>SCA</t>
        </is>
      </c>
      <c r="G4348" t="n">
        <v>4.1</v>
      </c>
      <c r="H4348" t="n">
        <v>0</v>
      </c>
      <c r="I4348" t="n">
        <v>0</v>
      </c>
      <c r="J4348" t="n">
        <v>0</v>
      </c>
      <c r="K4348" t="n">
        <v>0</v>
      </c>
      <c r="L4348" t="n">
        <v>0</v>
      </c>
      <c r="M4348" t="n">
        <v>0</v>
      </c>
      <c r="N4348" t="n">
        <v>0</v>
      </c>
      <c r="O4348" t="n">
        <v>0</v>
      </c>
      <c r="P4348" t="n">
        <v>0</v>
      </c>
      <c r="Q4348" t="n">
        <v>0</v>
      </c>
      <c r="R4348" s="2" t="inlineStr"/>
    </row>
    <row r="4349" ht="15" customHeight="1">
      <c r="A4349" t="inlineStr">
        <is>
          <t>A 32814-2025</t>
        </is>
      </c>
      <c r="B4349" s="1" t="n">
        <v>45839.5271875</v>
      </c>
      <c r="C4349" s="1" t="n">
        <v>46075</v>
      </c>
      <c r="D4349" t="inlineStr">
        <is>
          <t>VÄSTERBOTTENS LÄN</t>
        </is>
      </c>
      <c r="E4349" t="inlineStr">
        <is>
          <t>ROBERTSFORS</t>
        </is>
      </c>
      <c r="G4349" t="n">
        <v>7.6</v>
      </c>
      <c r="H4349" t="n">
        <v>0</v>
      </c>
      <c r="I4349" t="n">
        <v>0</v>
      </c>
      <c r="J4349" t="n">
        <v>0</v>
      </c>
      <c r="K4349" t="n">
        <v>0</v>
      </c>
      <c r="L4349" t="n">
        <v>0</v>
      </c>
      <c r="M4349" t="n">
        <v>0</v>
      </c>
      <c r="N4349" t="n">
        <v>0</v>
      </c>
      <c r="O4349" t="n">
        <v>0</v>
      </c>
      <c r="P4349" t="n">
        <v>0</v>
      </c>
      <c r="Q4349" t="n">
        <v>0</v>
      </c>
      <c r="R4349" s="2" t="inlineStr"/>
    </row>
    <row r="4350" ht="15" customHeight="1">
      <c r="A4350" t="inlineStr">
        <is>
          <t>A 32843-2025</t>
        </is>
      </c>
      <c r="B4350" s="1" t="n">
        <v>45839.57009259259</v>
      </c>
      <c r="C4350" s="1" t="n">
        <v>46075</v>
      </c>
      <c r="D4350" t="inlineStr">
        <is>
          <t>VÄSTERBOTTENS LÄN</t>
        </is>
      </c>
      <c r="E4350" t="inlineStr">
        <is>
          <t>ROBERTSFORS</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62094-2023</t>
        </is>
      </c>
      <c r="B4351" s="1" t="n">
        <v>45266</v>
      </c>
      <c r="C4351" s="1" t="n">
        <v>46075</v>
      </c>
      <c r="D4351" t="inlineStr">
        <is>
          <t>VÄSTERBOTTENS LÄN</t>
        </is>
      </c>
      <c r="E4351" t="inlineStr">
        <is>
          <t>LYCKSELE</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32722-2025</t>
        </is>
      </c>
      <c r="B4352" s="1" t="n">
        <v>45839.38622685185</v>
      </c>
      <c r="C4352" s="1" t="n">
        <v>46075</v>
      </c>
      <c r="D4352" t="inlineStr">
        <is>
          <t>VÄSTERBOTTENS LÄN</t>
        </is>
      </c>
      <c r="E4352" t="inlineStr">
        <is>
          <t>LYCKSELE</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22908-2025</t>
        </is>
      </c>
      <c r="B4353" s="1" t="n">
        <v>45790</v>
      </c>
      <c r="C4353" s="1" t="n">
        <v>46075</v>
      </c>
      <c r="D4353" t="inlineStr">
        <is>
          <t>VÄSTERBOTTENS LÄN</t>
        </is>
      </c>
      <c r="E4353" t="inlineStr">
        <is>
          <t>ÅSELE</t>
        </is>
      </c>
      <c r="G4353" t="n">
        <v>7.3</v>
      </c>
      <c r="H4353" t="n">
        <v>0</v>
      </c>
      <c r="I4353" t="n">
        <v>0</v>
      </c>
      <c r="J4353" t="n">
        <v>0</v>
      </c>
      <c r="K4353" t="n">
        <v>0</v>
      </c>
      <c r="L4353" t="n">
        <v>0</v>
      </c>
      <c r="M4353" t="n">
        <v>0</v>
      </c>
      <c r="N4353" t="n">
        <v>0</v>
      </c>
      <c r="O4353" t="n">
        <v>0</v>
      </c>
      <c r="P4353" t="n">
        <v>0</v>
      </c>
      <c r="Q4353" t="n">
        <v>0</v>
      </c>
      <c r="R4353" s="2" t="inlineStr"/>
    </row>
    <row r="4354" ht="15" customHeight="1">
      <c r="A4354" t="inlineStr">
        <is>
          <t>A 19160-2025</t>
        </is>
      </c>
      <c r="B4354" s="1" t="n">
        <v>45769.36587962963</v>
      </c>
      <c r="C4354" s="1" t="n">
        <v>46075</v>
      </c>
      <c r="D4354" t="inlineStr">
        <is>
          <t>VÄSTERBOTTENS LÄN</t>
        </is>
      </c>
      <c r="E4354" t="inlineStr">
        <is>
          <t>SKELLEFTEÅ</t>
        </is>
      </c>
      <c r="G4354" t="n">
        <v>3.6</v>
      </c>
      <c r="H4354" t="n">
        <v>0</v>
      </c>
      <c r="I4354" t="n">
        <v>0</v>
      </c>
      <c r="J4354" t="n">
        <v>0</v>
      </c>
      <c r="K4354" t="n">
        <v>0</v>
      </c>
      <c r="L4354" t="n">
        <v>0</v>
      </c>
      <c r="M4354" t="n">
        <v>0</v>
      </c>
      <c r="N4354" t="n">
        <v>0</v>
      </c>
      <c r="O4354" t="n">
        <v>0</v>
      </c>
      <c r="P4354" t="n">
        <v>0</v>
      </c>
      <c r="Q4354" t="n">
        <v>0</v>
      </c>
      <c r="R4354" s="2" t="inlineStr"/>
    </row>
    <row r="4355" ht="15" customHeight="1">
      <c r="A4355" t="inlineStr">
        <is>
          <t>A 32823-2025</t>
        </is>
      </c>
      <c r="B4355" s="1" t="n">
        <v>45839.54072916666</v>
      </c>
      <c r="C4355" s="1" t="n">
        <v>46075</v>
      </c>
      <c r="D4355" t="inlineStr">
        <is>
          <t>VÄSTERBOTTENS LÄN</t>
        </is>
      </c>
      <c r="E4355" t="inlineStr">
        <is>
          <t>ROBERTSFORS</t>
        </is>
      </c>
      <c r="G4355" t="n">
        <v>2.8</v>
      </c>
      <c r="H4355" t="n">
        <v>0</v>
      </c>
      <c r="I4355" t="n">
        <v>0</v>
      </c>
      <c r="J4355" t="n">
        <v>0</v>
      </c>
      <c r="K4355" t="n">
        <v>0</v>
      </c>
      <c r="L4355" t="n">
        <v>0</v>
      </c>
      <c r="M4355" t="n">
        <v>0</v>
      </c>
      <c r="N4355" t="n">
        <v>0</v>
      </c>
      <c r="O4355" t="n">
        <v>0</v>
      </c>
      <c r="P4355" t="n">
        <v>0</v>
      </c>
      <c r="Q4355" t="n">
        <v>0</v>
      </c>
      <c r="R4355" s="2" t="inlineStr"/>
    </row>
    <row r="4356" ht="15" customHeight="1">
      <c r="A4356" t="inlineStr">
        <is>
          <t>A 32409-2025</t>
        </is>
      </c>
      <c r="B4356" s="1" t="n">
        <v>45838.33060185185</v>
      </c>
      <c r="C4356" s="1" t="n">
        <v>46075</v>
      </c>
      <c r="D4356" t="inlineStr">
        <is>
          <t>VÄSTERBOTTENS LÄN</t>
        </is>
      </c>
      <c r="E4356" t="inlineStr">
        <is>
          <t>LYCKSELE</t>
        </is>
      </c>
      <c r="F4356" t="inlineStr">
        <is>
          <t>Holmen skog AB</t>
        </is>
      </c>
      <c r="G4356" t="n">
        <v>3.2</v>
      </c>
      <c r="H4356" t="n">
        <v>0</v>
      </c>
      <c r="I4356" t="n">
        <v>0</v>
      </c>
      <c r="J4356" t="n">
        <v>0</v>
      </c>
      <c r="K4356" t="n">
        <v>0</v>
      </c>
      <c r="L4356" t="n">
        <v>0</v>
      </c>
      <c r="M4356" t="n">
        <v>0</v>
      </c>
      <c r="N4356" t="n">
        <v>0</v>
      </c>
      <c r="O4356" t="n">
        <v>0</v>
      </c>
      <c r="P4356" t="n">
        <v>0</v>
      </c>
      <c r="Q4356" t="n">
        <v>0</v>
      </c>
      <c r="R4356" s="2" t="inlineStr"/>
    </row>
    <row r="4357" ht="15" customHeight="1">
      <c r="A4357" t="inlineStr">
        <is>
          <t>A 32415-2025</t>
        </is>
      </c>
      <c r="B4357" s="1" t="n">
        <v>45838.34214120371</v>
      </c>
      <c r="C4357" s="1" t="n">
        <v>46075</v>
      </c>
      <c r="D4357" t="inlineStr">
        <is>
          <t>VÄSTERBOTTENS LÄN</t>
        </is>
      </c>
      <c r="E4357" t="inlineStr">
        <is>
          <t>VINDELN</t>
        </is>
      </c>
      <c r="G4357" t="n">
        <v>7.3</v>
      </c>
      <c r="H4357" t="n">
        <v>0</v>
      </c>
      <c r="I4357" t="n">
        <v>0</v>
      </c>
      <c r="J4357" t="n">
        <v>0</v>
      </c>
      <c r="K4357" t="n">
        <v>0</v>
      </c>
      <c r="L4357" t="n">
        <v>0</v>
      </c>
      <c r="M4357" t="n">
        <v>0</v>
      </c>
      <c r="N4357" t="n">
        <v>0</v>
      </c>
      <c r="O4357" t="n">
        <v>0</v>
      </c>
      <c r="P4357" t="n">
        <v>0</v>
      </c>
      <c r="Q4357" t="n">
        <v>0</v>
      </c>
      <c r="R4357" s="2" t="inlineStr"/>
    </row>
    <row r="4358" ht="15" customHeight="1">
      <c r="A4358" t="inlineStr">
        <is>
          <t>A 42265-2025</t>
        </is>
      </c>
      <c r="B4358" s="1" t="n">
        <v>45904.59950231481</v>
      </c>
      <c r="C4358" s="1" t="n">
        <v>46075</v>
      </c>
      <c r="D4358" t="inlineStr">
        <is>
          <t>VÄSTERBOTTENS LÄN</t>
        </is>
      </c>
      <c r="E4358" t="inlineStr">
        <is>
          <t>ROBERTSFORS</t>
        </is>
      </c>
      <c r="F4358" t="inlineStr">
        <is>
          <t>Holmen skog AB</t>
        </is>
      </c>
      <c r="G4358" t="n">
        <v>10.4</v>
      </c>
      <c r="H4358" t="n">
        <v>0</v>
      </c>
      <c r="I4358" t="n">
        <v>0</v>
      </c>
      <c r="J4358" t="n">
        <v>0</v>
      </c>
      <c r="K4358" t="n">
        <v>0</v>
      </c>
      <c r="L4358" t="n">
        <v>0</v>
      </c>
      <c r="M4358" t="n">
        <v>0</v>
      </c>
      <c r="N4358" t="n">
        <v>0</v>
      </c>
      <c r="O4358" t="n">
        <v>0</v>
      </c>
      <c r="P4358" t="n">
        <v>0</v>
      </c>
      <c r="Q4358" t="n">
        <v>0</v>
      </c>
      <c r="R4358" s="2" t="inlineStr"/>
    </row>
    <row r="4359" ht="15" customHeight="1">
      <c r="A4359" t="inlineStr">
        <is>
          <t>A 32485-2025</t>
        </is>
      </c>
      <c r="B4359" s="1" t="n">
        <v>45838.43662037037</v>
      </c>
      <c r="C4359" s="1" t="n">
        <v>46075</v>
      </c>
      <c r="D4359" t="inlineStr">
        <is>
          <t>VÄSTERBOTTENS LÄN</t>
        </is>
      </c>
      <c r="E4359" t="inlineStr">
        <is>
          <t>SKELLEFTEÅ</t>
        </is>
      </c>
      <c r="F4359" t="inlineStr">
        <is>
          <t>Holmen skog AB</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32486-2025</t>
        </is>
      </c>
      <c r="B4360" s="1" t="n">
        <v>45838.44112268519</v>
      </c>
      <c r="C4360" s="1" t="n">
        <v>46075</v>
      </c>
      <c r="D4360" t="inlineStr">
        <is>
          <t>VÄSTERBOTTENS LÄN</t>
        </is>
      </c>
      <c r="E4360" t="inlineStr">
        <is>
          <t>SKELLEFTEÅ</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32487-2025</t>
        </is>
      </c>
      <c r="B4361" s="1" t="n">
        <v>45838.44355324074</v>
      </c>
      <c r="C4361" s="1" t="n">
        <v>46075</v>
      </c>
      <c r="D4361" t="inlineStr">
        <is>
          <t>VÄSTERBOTTENS LÄN</t>
        </is>
      </c>
      <c r="E4361" t="inlineStr">
        <is>
          <t>LYCKSELE</t>
        </is>
      </c>
      <c r="F4361" t="inlineStr">
        <is>
          <t>Holmen skog AB</t>
        </is>
      </c>
      <c r="G4361" t="n">
        <v>3.3</v>
      </c>
      <c r="H4361" t="n">
        <v>0</v>
      </c>
      <c r="I4361" t="n">
        <v>0</v>
      </c>
      <c r="J4361" t="n">
        <v>0</v>
      </c>
      <c r="K4361" t="n">
        <v>0</v>
      </c>
      <c r="L4361" t="n">
        <v>0</v>
      </c>
      <c r="M4361" t="n">
        <v>0</v>
      </c>
      <c r="N4361" t="n">
        <v>0</v>
      </c>
      <c r="O4361" t="n">
        <v>0</v>
      </c>
      <c r="P4361" t="n">
        <v>0</v>
      </c>
      <c r="Q4361" t="n">
        <v>0</v>
      </c>
      <c r="R4361" s="2" t="inlineStr"/>
    </row>
    <row r="4362" ht="15" customHeight="1">
      <c r="A4362" t="inlineStr">
        <is>
          <t>A 34508-2023</t>
        </is>
      </c>
      <c r="B4362" s="1" t="n">
        <v>45133</v>
      </c>
      <c r="C4362" s="1" t="n">
        <v>46075</v>
      </c>
      <c r="D4362" t="inlineStr">
        <is>
          <t>VÄSTERBOTTENS LÄN</t>
        </is>
      </c>
      <c r="E4362" t="inlineStr">
        <is>
          <t>SKELLEFTEÅ</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32891-2025</t>
        </is>
      </c>
      <c r="B4363" s="1" t="n">
        <v>45839.60825231481</v>
      </c>
      <c r="C4363" s="1" t="n">
        <v>46075</v>
      </c>
      <c r="D4363" t="inlineStr">
        <is>
          <t>VÄSTERBOTTENS LÄN</t>
        </is>
      </c>
      <c r="E4363" t="inlineStr">
        <is>
          <t>ÅSELE</t>
        </is>
      </c>
      <c r="F4363" t="inlineStr">
        <is>
          <t>Holmen skog AB</t>
        </is>
      </c>
      <c r="G4363" t="n">
        <v>18.8</v>
      </c>
      <c r="H4363" t="n">
        <v>0</v>
      </c>
      <c r="I4363" t="n">
        <v>0</v>
      </c>
      <c r="J4363" t="n">
        <v>0</v>
      </c>
      <c r="K4363" t="n">
        <v>0</v>
      </c>
      <c r="L4363" t="n">
        <v>0</v>
      </c>
      <c r="M4363" t="n">
        <v>0</v>
      </c>
      <c r="N4363" t="n">
        <v>0</v>
      </c>
      <c r="O4363" t="n">
        <v>0</v>
      </c>
      <c r="P4363" t="n">
        <v>0</v>
      </c>
      <c r="Q4363" t="n">
        <v>0</v>
      </c>
      <c r="R4363" s="2" t="inlineStr"/>
    </row>
    <row r="4364" ht="15" customHeight="1">
      <c r="A4364" t="inlineStr">
        <is>
          <t>A 61985-2023</t>
        </is>
      </c>
      <c r="B4364" s="1" t="n">
        <v>45266.6125</v>
      </c>
      <c r="C4364" s="1" t="n">
        <v>46075</v>
      </c>
      <c r="D4364" t="inlineStr">
        <is>
          <t>VÄSTERBOTTENS LÄN</t>
        </is>
      </c>
      <c r="E4364" t="inlineStr">
        <is>
          <t>ÅSELE</t>
        </is>
      </c>
      <c r="F4364" t="inlineStr">
        <is>
          <t>Sveaskog</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46691-2023</t>
        </is>
      </c>
      <c r="B4365" s="1" t="n">
        <v>45198.52241898148</v>
      </c>
      <c r="C4365" s="1" t="n">
        <v>46075</v>
      </c>
      <c r="D4365" t="inlineStr">
        <is>
          <t>VÄSTERBOTTENS LÄN</t>
        </is>
      </c>
      <c r="E4365" t="inlineStr">
        <is>
          <t>ÅSELE</t>
        </is>
      </c>
      <c r="F4365" t="inlineStr">
        <is>
          <t>Sveaskog</t>
        </is>
      </c>
      <c r="G4365" t="n">
        <v>11.1</v>
      </c>
      <c r="H4365" t="n">
        <v>0</v>
      </c>
      <c r="I4365" t="n">
        <v>0</v>
      </c>
      <c r="J4365" t="n">
        <v>0</v>
      </c>
      <c r="K4365" t="n">
        <v>0</v>
      </c>
      <c r="L4365" t="n">
        <v>0</v>
      </c>
      <c r="M4365" t="n">
        <v>0</v>
      </c>
      <c r="N4365" t="n">
        <v>0</v>
      </c>
      <c r="O4365" t="n">
        <v>0</v>
      </c>
      <c r="P4365" t="n">
        <v>0</v>
      </c>
      <c r="Q4365" t="n">
        <v>0</v>
      </c>
      <c r="R4365" s="2" t="inlineStr"/>
    </row>
    <row r="4366" ht="15" customHeight="1">
      <c r="A4366" t="inlineStr">
        <is>
          <t>A 61778-2023</t>
        </is>
      </c>
      <c r="B4366" s="1" t="n">
        <v>45265.95667824074</v>
      </c>
      <c r="C4366" s="1" t="n">
        <v>46075</v>
      </c>
      <c r="D4366" t="inlineStr">
        <is>
          <t>VÄSTERBOTTENS LÄN</t>
        </is>
      </c>
      <c r="E4366" t="inlineStr">
        <is>
          <t>VILHELMINA</t>
        </is>
      </c>
      <c r="F4366" t="inlineStr">
        <is>
          <t>SCA</t>
        </is>
      </c>
      <c r="G4366" t="n">
        <v>3.9</v>
      </c>
      <c r="H4366" t="n">
        <v>0</v>
      </c>
      <c r="I4366" t="n">
        <v>0</v>
      </c>
      <c r="J4366" t="n">
        <v>0</v>
      </c>
      <c r="K4366" t="n">
        <v>0</v>
      </c>
      <c r="L4366" t="n">
        <v>0</v>
      </c>
      <c r="M4366" t="n">
        <v>0</v>
      </c>
      <c r="N4366" t="n">
        <v>0</v>
      </c>
      <c r="O4366" t="n">
        <v>0</v>
      </c>
      <c r="P4366" t="n">
        <v>0</v>
      </c>
      <c r="Q4366" t="n">
        <v>0</v>
      </c>
      <c r="R4366" s="2" t="inlineStr"/>
    </row>
    <row r="4367" ht="15" customHeight="1">
      <c r="A4367" t="inlineStr">
        <is>
          <t>A 42394-2025</t>
        </is>
      </c>
      <c r="B4367" s="1" t="n">
        <v>45904</v>
      </c>
      <c r="C4367" s="1" t="n">
        <v>46075</v>
      </c>
      <c r="D4367" t="inlineStr">
        <is>
          <t>VÄSTERBOTTENS LÄN</t>
        </is>
      </c>
      <c r="E4367" t="inlineStr">
        <is>
          <t>MALÅ</t>
        </is>
      </c>
      <c r="G4367" t="n">
        <v>7.6</v>
      </c>
      <c r="H4367" t="n">
        <v>0</v>
      </c>
      <c r="I4367" t="n">
        <v>0</v>
      </c>
      <c r="J4367" t="n">
        <v>0</v>
      </c>
      <c r="K4367" t="n">
        <v>0</v>
      </c>
      <c r="L4367" t="n">
        <v>0</v>
      </c>
      <c r="M4367" t="n">
        <v>0</v>
      </c>
      <c r="N4367" t="n">
        <v>0</v>
      </c>
      <c r="O4367" t="n">
        <v>0</v>
      </c>
      <c r="P4367" t="n">
        <v>0</v>
      </c>
      <c r="Q4367" t="n">
        <v>0</v>
      </c>
      <c r="R4367" s="2" t="inlineStr"/>
    </row>
    <row r="4368" ht="15" customHeight="1">
      <c r="A4368" t="inlineStr">
        <is>
          <t>A 42401-2025</t>
        </is>
      </c>
      <c r="B4368" s="1" t="n">
        <v>45905.37298611111</v>
      </c>
      <c r="C4368" s="1" t="n">
        <v>46075</v>
      </c>
      <c r="D4368" t="inlineStr">
        <is>
          <t>VÄSTERBOTTENS LÄN</t>
        </is>
      </c>
      <c r="E4368" t="inlineStr">
        <is>
          <t>SKELLEFTEÅ</t>
        </is>
      </c>
      <c r="F4368" t="inlineStr">
        <is>
          <t>Holmen skog AB</t>
        </is>
      </c>
      <c r="G4368" t="n">
        <v>11.9</v>
      </c>
      <c r="H4368" t="n">
        <v>0</v>
      </c>
      <c r="I4368" t="n">
        <v>0</v>
      </c>
      <c r="J4368" t="n">
        <v>0</v>
      </c>
      <c r="K4368" t="n">
        <v>0</v>
      </c>
      <c r="L4368" t="n">
        <v>0</v>
      </c>
      <c r="M4368" t="n">
        <v>0</v>
      </c>
      <c r="N4368" t="n">
        <v>0</v>
      </c>
      <c r="O4368" t="n">
        <v>0</v>
      </c>
      <c r="P4368" t="n">
        <v>0</v>
      </c>
      <c r="Q4368" t="n">
        <v>0</v>
      </c>
      <c r="R4368" s="2" t="inlineStr"/>
    </row>
    <row r="4369" ht="15" customHeight="1">
      <c r="A4369" t="inlineStr">
        <is>
          <t>A 32639-2025</t>
        </is>
      </c>
      <c r="B4369" s="1" t="n">
        <v>45838.65726851852</v>
      </c>
      <c r="C4369" s="1" t="n">
        <v>46075</v>
      </c>
      <c r="D4369" t="inlineStr">
        <is>
          <t>VÄSTERBOTTENS LÄN</t>
        </is>
      </c>
      <c r="E4369" t="inlineStr">
        <is>
          <t>SKELLEFTEÅ</t>
        </is>
      </c>
      <c r="G4369" t="n">
        <v>9.5</v>
      </c>
      <c r="H4369" t="n">
        <v>0</v>
      </c>
      <c r="I4369" t="n">
        <v>0</v>
      </c>
      <c r="J4369" t="n">
        <v>0</v>
      </c>
      <c r="K4369" t="n">
        <v>0</v>
      </c>
      <c r="L4369" t="n">
        <v>0</v>
      </c>
      <c r="M4369" t="n">
        <v>0</v>
      </c>
      <c r="N4369" t="n">
        <v>0</v>
      </c>
      <c r="O4369" t="n">
        <v>0</v>
      </c>
      <c r="P4369" t="n">
        <v>0</v>
      </c>
      <c r="Q4369" t="n">
        <v>0</v>
      </c>
      <c r="R4369" s="2" t="inlineStr"/>
    </row>
    <row r="4370" ht="15" customHeight="1">
      <c r="A4370" t="inlineStr">
        <is>
          <t>A 33049-2025</t>
        </is>
      </c>
      <c r="B4370" s="1" t="n">
        <v>45840.42099537037</v>
      </c>
      <c r="C4370" s="1" t="n">
        <v>46075</v>
      </c>
      <c r="D4370" t="inlineStr">
        <is>
          <t>VÄSTERBOTTENS LÄN</t>
        </is>
      </c>
      <c r="E4370" t="inlineStr">
        <is>
          <t>UMEÅ</t>
        </is>
      </c>
      <c r="G4370" t="n">
        <v>3.6</v>
      </c>
      <c r="H4370" t="n">
        <v>0</v>
      </c>
      <c r="I4370" t="n">
        <v>0</v>
      </c>
      <c r="J4370" t="n">
        <v>0</v>
      </c>
      <c r="K4370" t="n">
        <v>0</v>
      </c>
      <c r="L4370" t="n">
        <v>0</v>
      </c>
      <c r="M4370" t="n">
        <v>0</v>
      </c>
      <c r="N4370" t="n">
        <v>0</v>
      </c>
      <c r="O4370" t="n">
        <v>0</v>
      </c>
      <c r="P4370" t="n">
        <v>0</v>
      </c>
      <c r="Q4370" t="n">
        <v>0</v>
      </c>
      <c r="R4370" s="2" t="inlineStr"/>
    </row>
    <row r="4371" ht="15" customHeight="1">
      <c r="A4371" t="inlineStr">
        <is>
          <t>A 32947-2025</t>
        </is>
      </c>
      <c r="B4371" s="1" t="n">
        <v>45839</v>
      </c>
      <c r="C4371" s="1" t="n">
        <v>46075</v>
      </c>
      <c r="D4371" t="inlineStr">
        <is>
          <t>VÄSTERBOTTENS LÄN</t>
        </is>
      </c>
      <c r="E4371" t="inlineStr">
        <is>
          <t>VILHELMINA</t>
        </is>
      </c>
      <c r="G4371" t="n">
        <v>19.1</v>
      </c>
      <c r="H4371" t="n">
        <v>0</v>
      </c>
      <c r="I4371" t="n">
        <v>0</v>
      </c>
      <c r="J4371" t="n">
        <v>0</v>
      </c>
      <c r="K4371" t="n">
        <v>0</v>
      </c>
      <c r="L4371" t="n">
        <v>0</v>
      </c>
      <c r="M4371" t="n">
        <v>0</v>
      </c>
      <c r="N4371" t="n">
        <v>0</v>
      </c>
      <c r="O4371" t="n">
        <v>0</v>
      </c>
      <c r="P4371" t="n">
        <v>0</v>
      </c>
      <c r="Q4371" t="n">
        <v>0</v>
      </c>
      <c r="R4371" s="2" t="inlineStr"/>
    </row>
    <row r="4372" ht="15" customHeight="1">
      <c r="A4372" t="inlineStr">
        <is>
          <t>A 793-2024</t>
        </is>
      </c>
      <c r="B4372" s="1" t="n">
        <v>45300</v>
      </c>
      <c r="C4372" s="1" t="n">
        <v>46075</v>
      </c>
      <c r="D4372" t="inlineStr">
        <is>
          <t>VÄSTERBOTTENS LÄN</t>
        </is>
      </c>
      <c r="E4372" t="inlineStr">
        <is>
          <t>NORSJÖ</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41172-2024</t>
        </is>
      </c>
      <c r="B4373" s="1" t="n">
        <v>45559.48717592593</v>
      </c>
      <c r="C4373" s="1" t="n">
        <v>46075</v>
      </c>
      <c r="D4373" t="inlineStr">
        <is>
          <t>VÄSTERBOTTENS LÄN</t>
        </is>
      </c>
      <c r="E4373" t="inlineStr">
        <is>
          <t>VINDELN</t>
        </is>
      </c>
      <c r="F4373" t="inlineStr">
        <is>
          <t>Sveaskog</t>
        </is>
      </c>
      <c r="G4373" t="n">
        <v>10</v>
      </c>
      <c r="H4373" t="n">
        <v>0</v>
      </c>
      <c r="I4373" t="n">
        <v>0</v>
      </c>
      <c r="J4373" t="n">
        <v>0</v>
      </c>
      <c r="K4373" t="n">
        <v>0</v>
      </c>
      <c r="L4373" t="n">
        <v>0</v>
      </c>
      <c r="M4373" t="n">
        <v>0</v>
      </c>
      <c r="N4373" t="n">
        <v>0</v>
      </c>
      <c r="O4373" t="n">
        <v>0</v>
      </c>
      <c r="P4373" t="n">
        <v>0</v>
      </c>
      <c r="Q4373" t="n">
        <v>0</v>
      </c>
      <c r="R4373" s="2" t="inlineStr"/>
    </row>
    <row r="4374" ht="15" customHeight="1">
      <c r="A4374" t="inlineStr">
        <is>
          <t>A 19421-2023</t>
        </is>
      </c>
      <c r="B4374" s="1" t="n">
        <v>45049.92737268518</v>
      </c>
      <c r="C4374" s="1" t="n">
        <v>46075</v>
      </c>
      <c r="D4374" t="inlineStr">
        <is>
          <t>VÄSTERBOTTENS LÄN</t>
        </is>
      </c>
      <c r="E4374" t="inlineStr">
        <is>
          <t>NORSJÖ</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42382-2025</t>
        </is>
      </c>
      <c r="B4375" s="1" t="n">
        <v>45904</v>
      </c>
      <c r="C4375" s="1" t="n">
        <v>46075</v>
      </c>
      <c r="D4375" t="inlineStr">
        <is>
          <t>VÄSTERBOTTENS LÄN</t>
        </is>
      </c>
      <c r="E4375" t="inlineStr">
        <is>
          <t>VILHELMINA</t>
        </is>
      </c>
      <c r="F4375" t="inlineStr">
        <is>
          <t>Övriga Aktiebolag</t>
        </is>
      </c>
      <c r="G4375" t="n">
        <v>6.2</v>
      </c>
      <c r="H4375" t="n">
        <v>0</v>
      </c>
      <c r="I4375" t="n">
        <v>0</v>
      </c>
      <c r="J4375" t="n">
        <v>0</v>
      </c>
      <c r="K4375" t="n">
        <v>0</v>
      </c>
      <c r="L4375" t="n">
        <v>0</v>
      </c>
      <c r="M4375" t="n">
        <v>0</v>
      </c>
      <c r="N4375" t="n">
        <v>0</v>
      </c>
      <c r="O4375" t="n">
        <v>0</v>
      </c>
      <c r="P4375" t="n">
        <v>0</v>
      </c>
      <c r="Q4375" t="n">
        <v>0</v>
      </c>
      <c r="R4375" s="2" t="inlineStr"/>
    </row>
    <row r="4376" ht="15" customHeight="1">
      <c r="A4376" t="inlineStr">
        <is>
          <t>A 32451-2025</t>
        </is>
      </c>
      <c r="B4376" s="1" t="n">
        <v>45838.39283564815</v>
      </c>
      <c r="C4376" s="1" t="n">
        <v>46075</v>
      </c>
      <c r="D4376" t="inlineStr">
        <is>
          <t>VÄSTERBOTTENS LÄN</t>
        </is>
      </c>
      <c r="E4376" t="inlineStr">
        <is>
          <t>SKELLEFTEÅ</t>
        </is>
      </c>
      <c r="F4376" t="inlineStr">
        <is>
          <t>Holmen skog AB</t>
        </is>
      </c>
      <c r="G4376" t="n">
        <v>4</v>
      </c>
      <c r="H4376" t="n">
        <v>0</v>
      </c>
      <c r="I4376" t="n">
        <v>0</v>
      </c>
      <c r="J4376" t="n">
        <v>0</v>
      </c>
      <c r="K4376" t="n">
        <v>0</v>
      </c>
      <c r="L4376" t="n">
        <v>0</v>
      </c>
      <c r="M4376" t="n">
        <v>0</v>
      </c>
      <c r="N4376" t="n">
        <v>0</v>
      </c>
      <c r="O4376" t="n">
        <v>0</v>
      </c>
      <c r="P4376" t="n">
        <v>0</v>
      </c>
      <c r="Q4376" t="n">
        <v>0</v>
      </c>
      <c r="R4376" s="2" t="inlineStr"/>
    </row>
    <row r="4377" ht="15" customHeight="1">
      <c r="A4377" t="inlineStr">
        <is>
          <t>A 32479-2024</t>
        </is>
      </c>
      <c r="B4377" s="1" t="n">
        <v>45513</v>
      </c>
      <c r="C4377" s="1" t="n">
        <v>46075</v>
      </c>
      <c r="D4377" t="inlineStr">
        <is>
          <t>VÄSTERBOTTENS LÄN</t>
        </is>
      </c>
      <c r="E4377" t="inlineStr">
        <is>
          <t>VINDELN</t>
        </is>
      </c>
      <c r="F4377" t="inlineStr">
        <is>
          <t>Holmen skog AB</t>
        </is>
      </c>
      <c r="G4377" t="n">
        <v>9.9</v>
      </c>
      <c r="H4377" t="n">
        <v>0</v>
      </c>
      <c r="I4377" t="n">
        <v>0</v>
      </c>
      <c r="J4377" t="n">
        <v>0</v>
      </c>
      <c r="K4377" t="n">
        <v>0</v>
      </c>
      <c r="L4377" t="n">
        <v>0</v>
      </c>
      <c r="M4377" t="n">
        <v>0</v>
      </c>
      <c r="N4377" t="n">
        <v>0</v>
      </c>
      <c r="O4377" t="n">
        <v>0</v>
      </c>
      <c r="P4377" t="n">
        <v>0</v>
      </c>
      <c r="Q4377" t="n">
        <v>0</v>
      </c>
      <c r="R4377" s="2" t="inlineStr"/>
    </row>
    <row r="4378" ht="15" customHeight="1">
      <c r="A4378" t="inlineStr">
        <is>
          <t>A 29301-2025</t>
        </is>
      </c>
      <c r="B4378" s="1" t="n">
        <v>45824.45652777778</v>
      </c>
      <c r="C4378" s="1" t="n">
        <v>46075</v>
      </c>
      <c r="D4378" t="inlineStr">
        <is>
          <t>VÄSTERBOTTENS LÄN</t>
        </is>
      </c>
      <c r="E4378" t="inlineStr">
        <is>
          <t>BJURHOLM</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32585-2024</t>
        </is>
      </c>
      <c r="B4379" s="1" t="n">
        <v>45513.58017361111</v>
      </c>
      <c r="C4379" s="1" t="n">
        <v>46075</v>
      </c>
      <c r="D4379" t="inlineStr">
        <is>
          <t>VÄSTERBOTTENS LÄN</t>
        </is>
      </c>
      <c r="E4379" t="inlineStr">
        <is>
          <t>LYCKSELE</t>
        </is>
      </c>
      <c r="F4379" t="inlineStr">
        <is>
          <t>Naturvårdsverket</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14806-2023</t>
        </is>
      </c>
      <c r="B4380" s="1" t="n">
        <v>45013</v>
      </c>
      <c r="C4380" s="1" t="n">
        <v>46075</v>
      </c>
      <c r="D4380" t="inlineStr">
        <is>
          <t>VÄSTERBOTTENS LÄN</t>
        </is>
      </c>
      <c r="E4380" t="inlineStr">
        <is>
          <t>DOROTEA</t>
        </is>
      </c>
      <c r="G4380" t="n">
        <v>5.2</v>
      </c>
      <c r="H4380" t="n">
        <v>0</v>
      </c>
      <c r="I4380" t="n">
        <v>0</v>
      </c>
      <c r="J4380" t="n">
        <v>0</v>
      </c>
      <c r="K4380" t="n">
        <v>0</v>
      </c>
      <c r="L4380" t="n">
        <v>0</v>
      </c>
      <c r="M4380" t="n">
        <v>0</v>
      </c>
      <c r="N4380" t="n">
        <v>0</v>
      </c>
      <c r="O4380" t="n">
        <v>0</v>
      </c>
      <c r="P4380" t="n">
        <v>0</v>
      </c>
      <c r="Q4380" t="n">
        <v>0</v>
      </c>
      <c r="R4380" s="2" t="inlineStr"/>
    </row>
    <row r="4381" ht="15" customHeight="1">
      <c r="A4381" t="inlineStr">
        <is>
          <t>A 32431-2025</t>
        </is>
      </c>
      <c r="B4381" s="1" t="n">
        <v>45838.36606481481</v>
      </c>
      <c r="C4381" s="1" t="n">
        <v>46075</v>
      </c>
      <c r="D4381" t="inlineStr">
        <is>
          <t>VÄSTERBOTTENS LÄN</t>
        </is>
      </c>
      <c r="E4381" t="inlineStr">
        <is>
          <t>LYCKSELE</t>
        </is>
      </c>
      <c r="F4381" t="inlineStr">
        <is>
          <t>Holmen skog AB</t>
        </is>
      </c>
      <c r="G4381" t="n">
        <v>6.6</v>
      </c>
      <c r="H4381" t="n">
        <v>0</v>
      </c>
      <c r="I4381" t="n">
        <v>0</v>
      </c>
      <c r="J4381" t="n">
        <v>0</v>
      </c>
      <c r="K4381" t="n">
        <v>0</v>
      </c>
      <c r="L4381" t="n">
        <v>0</v>
      </c>
      <c r="M4381" t="n">
        <v>0</v>
      </c>
      <c r="N4381" t="n">
        <v>0</v>
      </c>
      <c r="O4381" t="n">
        <v>0</v>
      </c>
      <c r="P4381" t="n">
        <v>0</v>
      </c>
      <c r="Q4381" t="n">
        <v>0</v>
      </c>
      <c r="R4381" s="2" t="inlineStr"/>
    </row>
    <row r="4382" ht="15" customHeight="1">
      <c r="A4382" t="inlineStr">
        <is>
          <t>A 32522-2025</t>
        </is>
      </c>
      <c r="B4382" s="1" t="n">
        <v>45838.48564814815</v>
      </c>
      <c r="C4382" s="1" t="n">
        <v>46075</v>
      </c>
      <c r="D4382" t="inlineStr">
        <is>
          <t>VÄSTERBOTTENS LÄN</t>
        </is>
      </c>
      <c r="E4382" t="inlineStr">
        <is>
          <t>UMEÅ</t>
        </is>
      </c>
      <c r="G4382" t="n">
        <v>3.6</v>
      </c>
      <c r="H4382" t="n">
        <v>0</v>
      </c>
      <c r="I4382" t="n">
        <v>0</v>
      </c>
      <c r="J4382" t="n">
        <v>0</v>
      </c>
      <c r="K4382" t="n">
        <v>0</v>
      </c>
      <c r="L4382" t="n">
        <v>0</v>
      </c>
      <c r="M4382" t="n">
        <v>0</v>
      </c>
      <c r="N4382" t="n">
        <v>0</v>
      </c>
      <c r="O4382" t="n">
        <v>0</v>
      </c>
      <c r="P4382" t="n">
        <v>0</v>
      </c>
      <c r="Q4382" t="n">
        <v>0</v>
      </c>
      <c r="R4382" s="2" t="inlineStr"/>
    </row>
    <row r="4383" ht="15" customHeight="1">
      <c r="A4383" t="inlineStr">
        <is>
          <t>A 50872-2022</t>
        </is>
      </c>
      <c r="B4383" s="1" t="n">
        <v>44867</v>
      </c>
      <c r="C4383" s="1" t="n">
        <v>46075</v>
      </c>
      <c r="D4383" t="inlineStr">
        <is>
          <t>VÄSTERBOTTENS LÄN</t>
        </is>
      </c>
      <c r="E4383" t="inlineStr">
        <is>
          <t>SKELLEFTEÅ</t>
        </is>
      </c>
      <c r="F4383" t="inlineStr">
        <is>
          <t>Holmen skog AB</t>
        </is>
      </c>
      <c r="G4383" t="n">
        <v>3.1</v>
      </c>
      <c r="H4383" t="n">
        <v>0</v>
      </c>
      <c r="I4383" t="n">
        <v>0</v>
      </c>
      <c r="J4383" t="n">
        <v>0</v>
      </c>
      <c r="K4383" t="n">
        <v>0</v>
      </c>
      <c r="L4383" t="n">
        <v>0</v>
      </c>
      <c r="M4383" t="n">
        <v>0</v>
      </c>
      <c r="N4383" t="n">
        <v>0</v>
      </c>
      <c r="O4383" t="n">
        <v>0</v>
      </c>
      <c r="P4383" t="n">
        <v>0</v>
      </c>
      <c r="Q4383" t="n">
        <v>0</v>
      </c>
      <c r="R4383" s="2" t="inlineStr"/>
    </row>
    <row r="4384" ht="15" customHeight="1">
      <c r="A4384" t="inlineStr">
        <is>
          <t>A 32575-2025</t>
        </is>
      </c>
      <c r="B4384" s="1" t="n">
        <v>45838.585625</v>
      </c>
      <c r="C4384" s="1" t="n">
        <v>46075</v>
      </c>
      <c r="D4384" t="inlineStr">
        <is>
          <t>VÄSTERBOTTENS LÄN</t>
        </is>
      </c>
      <c r="E4384" t="inlineStr">
        <is>
          <t>NORDMALING</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42426-2025</t>
        </is>
      </c>
      <c r="B4385" s="1" t="n">
        <v>45904</v>
      </c>
      <c r="C4385" s="1" t="n">
        <v>46075</v>
      </c>
      <c r="D4385" t="inlineStr">
        <is>
          <t>VÄSTERBOTTENS LÄN</t>
        </is>
      </c>
      <c r="E4385" t="inlineStr">
        <is>
          <t>MALÅ</t>
        </is>
      </c>
      <c r="G4385" t="n">
        <v>11.5</v>
      </c>
      <c r="H4385" t="n">
        <v>0</v>
      </c>
      <c r="I4385" t="n">
        <v>0</v>
      </c>
      <c r="J4385" t="n">
        <v>0</v>
      </c>
      <c r="K4385" t="n">
        <v>0</v>
      </c>
      <c r="L4385" t="n">
        <v>0</v>
      </c>
      <c r="M4385" t="n">
        <v>0</v>
      </c>
      <c r="N4385" t="n">
        <v>0</v>
      </c>
      <c r="O4385" t="n">
        <v>0</v>
      </c>
      <c r="P4385" t="n">
        <v>0</v>
      </c>
      <c r="Q4385" t="n">
        <v>0</v>
      </c>
      <c r="R4385" s="2" t="inlineStr"/>
    </row>
    <row r="4386" ht="15" customHeight="1">
      <c r="A4386" t="inlineStr">
        <is>
          <t>A 42376-2025</t>
        </is>
      </c>
      <c r="B4386" s="1" t="n">
        <v>45905.33974537037</v>
      </c>
      <c r="C4386" s="1" t="n">
        <v>46075</v>
      </c>
      <c r="D4386" t="inlineStr">
        <is>
          <t>VÄSTERBOTTENS LÄN</t>
        </is>
      </c>
      <c r="E4386" t="inlineStr">
        <is>
          <t>NORSJÖ</t>
        </is>
      </c>
      <c r="F4386" t="inlineStr">
        <is>
          <t>Holmen skog AB</t>
        </is>
      </c>
      <c r="G4386" t="n">
        <v>8.699999999999999</v>
      </c>
      <c r="H4386" t="n">
        <v>0</v>
      </c>
      <c r="I4386" t="n">
        <v>0</v>
      </c>
      <c r="J4386" t="n">
        <v>0</v>
      </c>
      <c r="K4386" t="n">
        <v>0</v>
      </c>
      <c r="L4386" t="n">
        <v>0</v>
      </c>
      <c r="M4386" t="n">
        <v>0</v>
      </c>
      <c r="N4386" t="n">
        <v>0</v>
      </c>
      <c r="O4386" t="n">
        <v>0</v>
      </c>
      <c r="P4386" t="n">
        <v>0</v>
      </c>
      <c r="Q4386" t="n">
        <v>0</v>
      </c>
      <c r="R4386" s="2" t="inlineStr"/>
    </row>
    <row r="4387" ht="15" customHeight="1">
      <c r="A4387" t="inlineStr">
        <is>
          <t>A 32578-2025</t>
        </is>
      </c>
      <c r="B4387" s="1" t="n">
        <v>45838.59311342592</v>
      </c>
      <c r="C4387" s="1" t="n">
        <v>46075</v>
      </c>
      <c r="D4387" t="inlineStr">
        <is>
          <t>VÄSTERBOTTENS LÄN</t>
        </is>
      </c>
      <c r="E4387" t="inlineStr">
        <is>
          <t>SKELLEFTEÅ</t>
        </is>
      </c>
      <c r="F4387" t="inlineStr">
        <is>
          <t>Holmen skog AB</t>
        </is>
      </c>
      <c r="G4387" t="n">
        <v>12.3</v>
      </c>
      <c r="H4387" t="n">
        <v>0</v>
      </c>
      <c r="I4387" t="n">
        <v>0</v>
      </c>
      <c r="J4387" t="n">
        <v>0</v>
      </c>
      <c r="K4387" t="n">
        <v>0</v>
      </c>
      <c r="L4387" t="n">
        <v>0</v>
      </c>
      <c r="M4387" t="n">
        <v>0</v>
      </c>
      <c r="N4387" t="n">
        <v>0</v>
      </c>
      <c r="O4387" t="n">
        <v>0</v>
      </c>
      <c r="P4387" t="n">
        <v>0</v>
      </c>
      <c r="Q4387" t="n">
        <v>0</v>
      </c>
      <c r="R4387" s="2" t="inlineStr"/>
    </row>
    <row r="4388" ht="15" customHeight="1">
      <c r="A4388" t="inlineStr">
        <is>
          <t>A 31955-2025</t>
        </is>
      </c>
      <c r="B4388" s="1" t="n">
        <v>45835</v>
      </c>
      <c r="C4388" s="1" t="n">
        <v>46075</v>
      </c>
      <c r="D4388" t="inlineStr">
        <is>
          <t>VÄSTERBOTTENS LÄN</t>
        </is>
      </c>
      <c r="E4388" t="inlineStr">
        <is>
          <t>SKELLEFTEÅ</t>
        </is>
      </c>
      <c r="G4388" t="n">
        <v>5.1</v>
      </c>
      <c r="H4388" t="n">
        <v>0</v>
      </c>
      <c r="I4388" t="n">
        <v>0</v>
      </c>
      <c r="J4388" t="n">
        <v>0</v>
      </c>
      <c r="K4388" t="n">
        <v>0</v>
      </c>
      <c r="L4388" t="n">
        <v>0</v>
      </c>
      <c r="M4388" t="n">
        <v>0</v>
      </c>
      <c r="N4388" t="n">
        <v>0</v>
      </c>
      <c r="O4388" t="n">
        <v>0</v>
      </c>
      <c r="P4388" t="n">
        <v>0</v>
      </c>
      <c r="Q4388" t="n">
        <v>0</v>
      </c>
      <c r="R4388" s="2" t="inlineStr"/>
    </row>
    <row r="4389" ht="15" customHeight="1">
      <c r="A4389" t="inlineStr">
        <is>
          <t>A 32714-2025</t>
        </is>
      </c>
      <c r="B4389" s="1" t="n">
        <v>45839.37024305556</v>
      </c>
      <c r="C4389" s="1" t="n">
        <v>46075</v>
      </c>
      <c r="D4389" t="inlineStr">
        <is>
          <t>VÄSTERBOTTENS LÄN</t>
        </is>
      </c>
      <c r="E4389" t="inlineStr">
        <is>
          <t>ÅSELE</t>
        </is>
      </c>
      <c r="G4389" t="n">
        <v>19.1</v>
      </c>
      <c r="H4389" t="n">
        <v>0</v>
      </c>
      <c r="I4389" t="n">
        <v>0</v>
      </c>
      <c r="J4389" t="n">
        <v>0</v>
      </c>
      <c r="K4389" t="n">
        <v>0</v>
      </c>
      <c r="L4389" t="n">
        <v>0</v>
      </c>
      <c r="M4389" t="n">
        <v>0</v>
      </c>
      <c r="N4389" t="n">
        <v>0</v>
      </c>
      <c r="O4389" t="n">
        <v>0</v>
      </c>
      <c r="P4389" t="n">
        <v>0</v>
      </c>
      <c r="Q4389" t="n">
        <v>0</v>
      </c>
      <c r="R4389" s="2" t="inlineStr"/>
    </row>
    <row r="4390" ht="15" customHeight="1">
      <c r="A4390" t="inlineStr">
        <is>
          <t>A 42405-2025</t>
        </is>
      </c>
      <c r="B4390" s="1" t="n">
        <v>45905.37756944444</v>
      </c>
      <c r="C4390" s="1" t="n">
        <v>46075</v>
      </c>
      <c r="D4390" t="inlineStr">
        <is>
          <t>VÄSTERBOTTENS LÄN</t>
        </is>
      </c>
      <c r="E4390" t="inlineStr">
        <is>
          <t>LYCKSELE</t>
        </is>
      </c>
      <c r="F4390" t="inlineStr">
        <is>
          <t>Sveaskog</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46264-2024</t>
        </is>
      </c>
      <c r="B4391" s="1" t="n">
        <v>45581.615</v>
      </c>
      <c r="C4391" s="1" t="n">
        <v>46075</v>
      </c>
      <c r="D4391" t="inlineStr">
        <is>
          <t>VÄSTERBOTTENS LÄN</t>
        </is>
      </c>
      <c r="E4391" t="inlineStr">
        <is>
          <t>VINDELN</t>
        </is>
      </c>
      <c r="F4391" t="inlineStr">
        <is>
          <t>SCA</t>
        </is>
      </c>
      <c r="G4391" t="n">
        <v>5.2</v>
      </c>
      <c r="H4391" t="n">
        <v>0</v>
      </c>
      <c r="I4391" t="n">
        <v>0</v>
      </c>
      <c r="J4391" t="n">
        <v>0</v>
      </c>
      <c r="K4391" t="n">
        <v>0</v>
      </c>
      <c r="L4391" t="n">
        <v>0</v>
      </c>
      <c r="M4391" t="n">
        <v>0</v>
      </c>
      <c r="N4391" t="n">
        <v>0</v>
      </c>
      <c r="O4391" t="n">
        <v>0</v>
      </c>
      <c r="P4391" t="n">
        <v>0</v>
      </c>
      <c r="Q4391" t="n">
        <v>0</v>
      </c>
      <c r="R4391" s="2" t="inlineStr"/>
    </row>
    <row r="4392" ht="15" customHeight="1">
      <c r="A4392" t="inlineStr">
        <is>
          <t>A 42517-2025</t>
        </is>
      </c>
      <c r="B4392" s="1" t="n">
        <v>45905.54627314815</v>
      </c>
      <c r="C4392" s="1" t="n">
        <v>46075</v>
      </c>
      <c r="D4392" t="inlineStr">
        <is>
          <t>VÄSTERBOTTENS LÄN</t>
        </is>
      </c>
      <c r="E4392" t="inlineStr">
        <is>
          <t>NORSJÖ</t>
        </is>
      </c>
      <c r="F4392" t="inlineStr">
        <is>
          <t>Sveaskog</t>
        </is>
      </c>
      <c r="G4392" t="n">
        <v>8.300000000000001</v>
      </c>
      <c r="H4392" t="n">
        <v>0</v>
      </c>
      <c r="I4392" t="n">
        <v>0</v>
      </c>
      <c r="J4392" t="n">
        <v>0</v>
      </c>
      <c r="K4392" t="n">
        <v>0</v>
      </c>
      <c r="L4392" t="n">
        <v>0</v>
      </c>
      <c r="M4392" t="n">
        <v>0</v>
      </c>
      <c r="N4392" t="n">
        <v>0</v>
      </c>
      <c r="O4392" t="n">
        <v>0</v>
      </c>
      <c r="P4392" t="n">
        <v>0</v>
      </c>
      <c r="Q4392" t="n">
        <v>0</v>
      </c>
      <c r="R4392" s="2" t="inlineStr"/>
    </row>
    <row r="4393" ht="15" customHeight="1">
      <c r="A4393" t="inlineStr">
        <is>
          <t>A 58824-2024</t>
        </is>
      </c>
      <c r="B4393" s="1" t="n">
        <v>45636.36488425926</v>
      </c>
      <c r="C4393" s="1" t="n">
        <v>46075</v>
      </c>
      <c r="D4393" t="inlineStr">
        <is>
          <t>VÄSTERBOTTENS LÄN</t>
        </is>
      </c>
      <c r="E4393" t="inlineStr">
        <is>
          <t>VILHELMINA</t>
        </is>
      </c>
      <c r="F4393" t="inlineStr">
        <is>
          <t>SCA</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46379-2024</t>
        </is>
      </c>
      <c r="B4394" s="1" t="n">
        <v>45582.38579861111</v>
      </c>
      <c r="C4394" s="1" t="n">
        <v>46075</v>
      </c>
      <c r="D4394" t="inlineStr">
        <is>
          <t>VÄSTERBOTTENS LÄN</t>
        </is>
      </c>
      <c r="E4394" t="inlineStr">
        <is>
          <t>DOROTEA</t>
        </is>
      </c>
      <c r="F4394" t="inlineStr">
        <is>
          <t>SCA</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51383-2023</t>
        </is>
      </c>
      <c r="B4395" s="1" t="n">
        <v>45219</v>
      </c>
      <c r="C4395" s="1" t="n">
        <v>46075</v>
      </c>
      <c r="D4395" t="inlineStr">
        <is>
          <t>VÄSTERBOTTENS LÄN</t>
        </is>
      </c>
      <c r="E4395" t="inlineStr">
        <is>
          <t>MALÅ</t>
        </is>
      </c>
      <c r="F4395" t="inlineStr">
        <is>
          <t>Sveaskog</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40493-2023</t>
        </is>
      </c>
      <c r="B4396" s="1" t="n">
        <v>45170</v>
      </c>
      <c r="C4396" s="1" t="n">
        <v>46075</v>
      </c>
      <c r="D4396" t="inlineStr">
        <is>
          <t>VÄSTERBOTTENS LÄN</t>
        </is>
      </c>
      <c r="E4396" t="inlineStr">
        <is>
          <t>NORSJÖ</t>
        </is>
      </c>
      <c r="G4396" t="n">
        <v>4.9</v>
      </c>
      <c r="H4396" t="n">
        <v>0</v>
      </c>
      <c r="I4396" t="n">
        <v>0</v>
      </c>
      <c r="J4396" t="n">
        <v>0</v>
      </c>
      <c r="K4396" t="n">
        <v>0</v>
      </c>
      <c r="L4396" t="n">
        <v>0</v>
      </c>
      <c r="M4396" t="n">
        <v>0</v>
      </c>
      <c r="N4396" t="n">
        <v>0</v>
      </c>
      <c r="O4396" t="n">
        <v>0</v>
      </c>
      <c r="P4396" t="n">
        <v>0</v>
      </c>
      <c r="Q4396" t="n">
        <v>0</v>
      </c>
      <c r="R4396" s="2" t="inlineStr"/>
    </row>
    <row r="4397" ht="15" customHeight="1">
      <c r="A4397" t="inlineStr">
        <is>
          <t>A 42564-2025</t>
        </is>
      </c>
      <c r="B4397" s="1" t="n">
        <v>45905</v>
      </c>
      <c r="C4397" s="1" t="n">
        <v>46075</v>
      </c>
      <c r="D4397" t="inlineStr">
        <is>
          <t>VÄSTERBOTTENS LÄN</t>
        </is>
      </c>
      <c r="E4397" t="inlineStr">
        <is>
          <t>VINDELN</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12545-2025</t>
        </is>
      </c>
      <c r="B4398" s="1" t="n">
        <v>45730.86586805555</v>
      </c>
      <c r="C4398" s="1" t="n">
        <v>46075</v>
      </c>
      <c r="D4398" t="inlineStr">
        <is>
          <t>VÄSTERBOTTENS LÄN</t>
        </is>
      </c>
      <c r="E4398" t="inlineStr">
        <is>
          <t>SKELLEFTEÅ</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42176-2025</t>
        </is>
      </c>
      <c r="B4399" s="1" t="n">
        <v>45904.44513888889</v>
      </c>
      <c r="C4399" s="1" t="n">
        <v>46075</v>
      </c>
      <c r="D4399" t="inlineStr">
        <is>
          <t>VÄSTERBOTTENS LÄN</t>
        </is>
      </c>
      <c r="E4399" t="inlineStr">
        <is>
          <t>UMEÅ</t>
        </is>
      </c>
      <c r="F4399" t="inlineStr">
        <is>
          <t>Holmen skog AB</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8141-2025</t>
        </is>
      </c>
      <c r="B4400" s="1" t="n">
        <v>45708.27729166667</v>
      </c>
      <c r="C4400" s="1" t="n">
        <v>46075</v>
      </c>
      <c r="D4400" t="inlineStr">
        <is>
          <t>VÄSTERBOTTENS LÄN</t>
        </is>
      </c>
      <c r="E4400" t="inlineStr">
        <is>
          <t>SKELLEFTEÅ</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42616-2025</t>
        </is>
      </c>
      <c r="B4401" s="1" t="n">
        <v>45905.71912037037</v>
      </c>
      <c r="C4401" s="1" t="n">
        <v>46075</v>
      </c>
      <c r="D4401" t="inlineStr">
        <is>
          <t>VÄSTERBOTTENS LÄN</t>
        </is>
      </c>
      <c r="E4401" t="inlineStr">
        <is>
          <t>LYCKSELE</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42617-2025</t>
        </is>
      </c>
      <c r="B4402" s="1" t="n">
        <v>45905.71921296296</v>
      </c>
      <c r="C4402" s="1" t="n">
        <v>46075</v>
      </c>
      <c r="D4402" t="inlineStr">
        <is>
          <t>VÄSTERBOTTENS LÄN</t>
        </is>
      </c>
      <c r="E4402" t="inlineStr">
        <is>
          <t>UMEÅ</t>
        </is>
      </c>
      <c r="G4402" t="n">
        <v>9.800000000000001</v>
      </c>
      <c r="H4402" t="n">
        <v>0</v>
      </c>
      <c r="I4402" t="n">
        <v>0</v>
      </c>
      <c r="J4402" t="n">
        <v>0</v>
      </c>
      <c r="K4402" t="n">
        <v>0</v>
      </c>
      <c r="L4402" t="n">
        <v>0</v>
      </c>
      <c r="M4402" t="n">
        <v>0</v>
      </c>
      <c r="N4402" t="n">
        <v>0</v>
      </c>
      <c r="O4402" t="n">
        <v>0</v>
      </c>
      <c r="P4402" t="n">
        <v>0</v>
      </c>
      <c r="Q4402" t="n">
        <v>0</v>
      </c>
      <c r="R4402" s="2" t="inlineStr"/>
    </row>
    <row r="4403" ht="15" customHeight="1">
      <c r="A4403" t="inlineStr">
        <is>
          <t>A 31805-2025</t>
        </is>
      </c>
      <c r="B4403" s="1" t="n">
        <v>45834.55314814814</v>
      </c>
      <c r="C4403" s="1" t="n">
        <v>46075</v>
      </c>
      <c r="D4403" t="inlineStr">
        <is>
          <t>VÄSTERBOTTENS LÄN</t>
        </is>
      </c>
      <c r="E4403" t="inlineStr">
        <is>
          <t>UMEÅ</t>
        </is>
      </c>
      <c r="G4403" t="n">
        <v>3.5</v>
      </c>
      <c r="H4403" t="n">
        <v>0</v>
      </c>
      <c r="I4403" t="n">
        <v>0</v>
      </c>
      <c r="J4403" t="n">
        <v>0</v>
      </c>
      <c r="K4403" t="n">
        <v>0</v>
      </c>
      <c r="L4403" t="n">
        <v>0</v>
      </c>
      <c r="M4403" t="n">
        <v>0</v>
      </c>
      <c r="N4403" t="n">
        <v>0</v>
      </c>
      <c r="O4403" t="n">
        <v>0</v>
      </c>
      <c r="P4403" t="n">
        <v>0</v>
      </c>
      <c r="Q4403" t="n">
        <v>0</v>
      </c>
      <c r="R4403" s="2" t="inlineStr"/>
    </row>
    <row r="4404" ht="15" customHeight="1">
      <c r="A4404" t="inlineStr">
        <is>
          <t>A 42133-2025</t>
        </is>
      </c>
      <c r="B4404" s="1" t="n">
        <v>45904.34597222223</v>
      </c>
      <c r="C4404" s="1" t="n">
        <v>46075</v>
      </c>
      <c r="D4404" t="inlineStr">
        <is>
          <t>VÄSTERBOTTENS LÄN</t>
        </is>
      </c>
      <c r="E4404" t="inlineStr">
        <is>
          <t>SKELLEFTEÅ</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42535-2025</t>
        </is>
      </c>
      <c r="B4405" s="1" t="n">
        <v>45905.56924768518</v>
      </c>
      <c r="C4405" s="1" t="n">
        <v>46075</v>
      </c>
      <c r="D4405" t="inlineStr">
        <is>
          <t>VÄSTERBOTTENS LÄN</t>
        </is>
      </c>
      <c r="E4405" t="inlineStr">
        <is>
          <t>NORSJÖ</t>
        </is>
      </c>
      <c r="G4405" t="n">
        <v>14.2</v>
      </c>
      <c r="H4405" t="n">
        <v>0</v>
      </c>
      <c r="I4405" t="n">
        <v>0</v>
      </c>
      <c r="J4405" t="n">
        <v>0</v>
      </c>
      <c r="K4405" t="n">
        <v>0</v>
      </c>
      <c r="L4405" t="n">
        <v>0</v>
      </c>
      <c r="M4405" t="n">
        <v>0</v>
      </c>
      <c r="N4405" t="n">
        <v>0</v>
      </c>
      <c r="O4405" t="n">
        <v>0</v>
      </c>
      <c r="P4405" t="n">
        <v>0</v>
      </c>
      <c r="Q4405" t="n">
        <v>0</v>
      </c>
      <c r="R4405" s="2" t="inlineStr"/>
    </row>
    <row r="4406" ht="15" customHeight="1">
      <c r="A4406" t="inlineStr">
        <is>
          <t>A 52403-2024</t>
        </is>
      </c>
      <c r="B4406" s="1" t="n">
        <v>45609</v>
      </c>
      <c r="C4406" s="1" t="n">
        <v>46075</v>
      </c>
      <c r="D4406" t="inlineStr">
        <is>
          <t>VÄSTERBOTTENS LÄN</t>
        </is>
      </c>
      <c r="E4406" t="inlineStr">
        <is>
          <t>VINDELN</t>
        </is>
      </c>
      <c r="F4406" t="inlineStr">
        <is>
          <t>SCA</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42553-2025</t>
        </is>
      </c>
      <c r="B4407" s="1" t="n">
        <v>45905.59423611111</v>
      </c>
      <c r="C4407" s="1" t="n">
        <v>46075</v>
      </c>
      <c r="D4407" t="inlineStr">
        <is>
          <t>VÄSTERBOTTENS LÄN</t>
        </is>
      </c>
      <c r="E4407" t="inlineStr">
        <is>
          <t>DOROTEA</t>
        </is>
      </c>
      <c r="F4407" t="inlineStr">
        <is>
          <t>SCA</t>
        </is>
      </c>
      <c r="G4407" t="n">
        <v>7.3</v>
      </c>
      <c r="H4407" t="n">
        <v>0</v>
      </c>
      <c r="I4407" t="n">
        <v>0</v>
      </c>
      <c r="J4407" t="n">
        <v>0</v>
      </c>
      <c r="K4407" t="n">
        <v>0</v>
      </c>
      <c r="L4407" t="n">
        <v>0</v>
      </c>
      <c r="M4407" t="n">
        <v>0</v>
      </c>
      <c r="N4407" t="n">
        <v>0</v>
      </c>
      <c r="O4407" t="n">
        <v>0</v>
      </c>
      <c r="P4407" t="n">
        <v>0</v>
      </c>
      <c r="Q4407" t="n">
        <v>0</v>
      </c>
      <c r="R4407" s="2" t="inlineStr"/>
    </row>
    <row r="4408" ht="15" customHeight="1">
      <c r="A4408" t="inlineStr">
        <is>
          <t>A 41966-2024</t>
        </is>
      </c>
      <c r="B4408" s="1" t="n">
        <v>45561.59516203704</v>
      </c>
      <c r="C4408" s="1" t="n">
        <v>46075</v>
      </c>
      <c r="D4408" t="inlineStr">
        <is>
          <t>VÄSTERBOTTENS LÄN</t>
        </is>
      </c>
      <c r="E4408" t="inlineStr">
        <is>
          <t>NORSJÖ</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37109-2025</t>
        </is>
      </c>
      <c r="B4409" s="1" t="n">
        <v>45875.49266203704</v>
      </c>
      <c r="C4409" s="1" t="n">
        <v>46075</v>
      </c>
      <c r="D4409" t="inlineStr">
        <is>
          <t>VÄSTERBOTTENS LÄN</t>
        </is>
      </c>
      <c r="E4409" t="inlineStr">
        <is>
          <t>VINDELN</t>
        </is>
      </c>
      <c r="F4409" t="inlineStr">
        <is>
          <t>Sveaskog</t>
        </is>
      </c>
      <c r="G4409" t="n">
        <v>9.6</v>
      </c>
      <c r="H4409" t="n">
        <v>0</v>
      </c>
      <c r="I4409" t="n">
        <v>0</v>
      </c>
      <c r="J4409" t="n">
        <v>0</v>
      </c>
      <c r="K4409" t="n">
        <v>0</v>
      </c>
      <c r="L4409" t="n">
        <v>0</v>
      </c>
      <c r="M4409" t="n">
        <v>0</v>
      </c>
      <c r="N4409" t="n">
        <v>0</v>
      </c>
      <c r="O4409" t="n">
        <v>0</v>
      </c>
      <c r="P4409" t="n">
        <v>0</v>
      </c>
      <c r="Q4409" t="n">
        <v>0</v>
      </c>
      <c r="R4409" s="2" t="inlineStr"/>
    </row>
    <row r="4410" ht="15" customHeight="1">
      <c r="A4410" t="inlineStr">
        <is>
          <t>A 58674-2024</t>
        </is>
      </c>
      <c r="B4410" s="1" t="n">
        <v>45635</v>
      </c>
      <c r="C4410" s="1" t="n">
        <v>46075</v>
      </c>
      <c r="D4410" t="inlineStr">
        <is>
          <t>VÄSTERBOTTENS LÄN</t>
        </is>
      </c>
      <c r="E4410" t="inlineStr">
        <is>
          <t>SORSELE</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58679-2024</t>
        </is>
      </c>
      <c r="B4411" s="1" t="n">
        <v>45635.61375</v>
      </c>
      <c r="C4411" s="1" t="n">
        <v>46075</v>
      </c>
      <c r="D4411" t="inlineStr">
        <is>
          <t>VÄSTERBOTTENS LÄN</t>
        </is>
      </c>
      <c r="E4411" t="inlineStr">
        <is>
          <t>ROBERTSFORS</t>
        </is>
      </c>
      <c r="G4411" t="n">
        <v>7.3</v>
      </c>
      <c r="H4411" t="n">
        <v>0</v>
      </c>
      <c r="I4411" t="n">
        <v>0</v>
      </c>
      <c r="J4411" t="n">
        <v>0</v>
      </c>
      <c r="K4411" t="n">
        <v>0</v>
      </c>
      <c r="L4411" t="n">
        <v>0</v>
      </c>
      <c r="M4411" t="n">
        <v>0</v>
      </c>
      <c r="N4411" t="n">
        <v>0</v>
      </c>
      <c r="O4411" t="n">
        <v>0</v>
      </c>
      <c r="P4411" t="n">
        <v>0</v>
      </c>
      <c r="Q4411" t="n">
        <v>0</v>
      </c>
      <c r="R4411" s="2" t="inlineStr"/>
    </row>
    <row r="4412" ht="15" customHeight="1">
      <c r="A4412" t="inlineStr">
        <is>
          <t>A 42198-2025</t>
        </is>
      </c>
      <c r="B4412" s="1" t="n">
        <v>45904.48623842592</v>
      </c>
      <c r="C4412" s="1" t="n">
        <v>46075</v>
      </c>
      <c r="D4412" t="inlineStr">
        <is>
          <t>VÄSTERBOTTENS LÄN</t>
        </is>
      </c>
      <c r="E4412" t="inlineStr">
        <is>
          <t>UMEÅ</t>
        </is>
      </c>
      <c r="F4412" t="inlineStr">
        <is>
          <t>Holmen skog AB</t>
        </is>
      </c>
      <c r="G4412" t="n">
        <v>3.2</v>
      </c>
      <c r="H4412" t="n">
        <v>0</v>
      </c>
      <c r="I4412" t="n">
        <v>0</v>
      </c>
      <c r="J4412" t="n">
        <v>0</v>
      </c>
      <c r="K4412" t="n">
        <v>0</v>
      </c>
      <c r="L4412" t="n">
        <v>0</v>
      </c>
      <c r="M4412" t="n">
        <v>0</v>
      </c>
      <c r="N4412" t="n">
        <v>0</v>
      </c>
      <c r="O4412" t="n">
        <v>0</v>
      </c>
      <c r="P4412" t="n">
        <v>0</v>
      </c>
      <c r="Q4412" t="n">
        <v>0</v>
      </c>
      <c r="R4412" s="2" t="inlineStr"/>
    </row>
    <row r="4413" ht="15" customHeight="1">
      <c r="A4413" t="inlineStr">
        <is>
          <t>A 42242-2025</t>
        </is>
      </c>
      <c r="B4413" s="1" t="n">
        <v>45904.57342592593</v>
      </c>
      <c r="C4413" s="1" t="n">
        <v>46075</v>
      </c>
      <c r="D4413" t="inlineStr">
        <is>
          <t>VÄSTERBOTTENS LÄN</t>
        </is>
      </c>
      <c r="E4413" t="inlineStr">
        <is>
          <t>SORSELE</t>
        </is>
      </c>
      <c r="F4413" t="inlineStr">
        <is>
          <t>SCA</t>
        </is>
      </c>
      <c r="G4413" t="n">
        <v>4.6</v>
      </c>
      <c r="H4413" t="n">
        <v>0</v>
      </c>
      <c r="I4413" t="n">
        <v>0</v>
      </c>
      <c r="J4413" t="n">
        <v>0</v>
      </c>
      <c r="K4413" t="n">
        <v>0</v>
      </c>
      <c r="L4413" t="n">
        <v>0</v>
      </c>
      <c r="M4413" t="n">
        <v>0</v>
      </c>
      <c r="N4413" t="n">
        <v>0</v>
      </c>
      <c r="O4413" t="n">
        <v>0</v>
      </c>
      <c r="P4413" t="n">
        <v>0</v>
      </c>
      <c r="Q4413" t="n">
        <v>0</v>
      </c>
      <c r="R4413" s="2" t="inlineStr"/>
    </row>
    <row r="4414" ht="15" customHeight="1">
      <c r="A4414" t="inlineStr">
        <is>
          <t>A 42204-2025</t>
        </is>
      </c>
      <c r="B4414" s="1" t="n">
        <v>45904.49043981481</v>
      </c>
      <c r="C4414" s="1" t="n">
        <v>46075</v>
      </c>
      <c r="D4414" t="inlineStr">
        <is>
          <t>VÄSTERBOTTENS LÄN</t>
        </is>
      </c>
      <c r="E4414" t="inlineStr">
        <is>
          <t>UMEÅ</t>
        </is>
      </c>
      <c r="F4414" t="inlineStr">
        <is>
          <t>Holmen skog AB</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42114-2025</t>
        </is>
      </c>
      <c r="B4415" s="1" t="n">
        <v>45904.33050925926</v>
      </c>
      <c r="C4415" s="1" t="n">
        <v>46075</v>
      </c>
      <c r="D4415" t="inlineStr">
        <is>
          <t>VÄSTERBOTTENS LÄN</t>
        </is>
      </c>
      <c r="E4415" t="inlineStr">
        <is>
          <t>SKELLEFTEÅ</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42136-2025</t>
        </is>
      </c>
      <c r="B4416" s="1" t="n">
        <v>45904</v>
      </c>
      <c r="C4416" s="1" t="n">
        <v>46075</v>
      </c>
      <c r="D4416" t="inlineStr">
        <is>
          <t>VÄSTERBOTTENS LÄN</t>
        </is>
      </c>
      <c r="E4416" t="inlineStr">
        <is>
          <t>SKELLEFTEÅ</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31129-2025</t>
        </is>
      </c>
      <c r="B4417" s="1" t="n">
        <v>45831</v>
      </c>
      <c r="C4417" s="1" t="n">
        <v>46075</v>
      </c>
      <c r="D4417" t="inlineStr">
        <is>
          <t>VÄSTERBOTTENS LÄN</t>
        </is>
      </c>
      <c r="E4417" t="inlineStr">
        <is>
          <t>SORSELE</t>
        </is>
      </c>
      <c r="G4417" t="n">
        <v>47.3</v>
      </c>
      <c r="H4417" t="n">
        <v>0</v>
      </c>
      <c r="I4417" t="n">
        <v>0</v>
      </c>
      <c r="J4417" t="n">
        <v>0</v>
      </c>
      <c r="K4417" t="n">
        <v>0</v>
      </c>
      <c r="L4417" t="n">
        <v>0</v>
      </c>
      <c r="M4417" t="n">
        <v>0</v>
      </c>
      <c r="N4417" t="n">
        <v>0</v>
      </c>
      <c r="O4417" t="n">
        <v>0</v>
      </c>
      <c r="P4417" t="n">
        <v>0</v>
      </c>
      <c r="Q4417" t="n">
        <v>0</v>
      </c>
      <c r="R4417" s="2" t="inlineStr"/>
    </row>
    <row r="4418" ht="15" customHeight="1">
      <c r="A4418" t="inlineStr">
        <is>
          <t>A 33866-2025</t>
        </is>
      </c>
      <c r="B4418" s="1" t="n">
        <v>45842.53322916666</v>
      </c>
      <c r="C4418" s="1" t="n">
        <v>46075</v>
      </c>
      <c r="D4418" t="inlineStr">
        <is>
          <t>VÄSTERBOTTENS LÄN</t>
        </is>
      </c>
      <c r="E4418" t="inlineStr">
        <is>
          <t>VINDELN</t>
        </is>
      </c>
      <c r="F4418" t="inlineStr">
        <is>
          <t>Sveaskog</t>
        </is>
      </c>
      <c r="G4418" t="n">
        <v>9.800000000000001</v>
      </c>
      <c r="H4418" t="n">
        <v>0</v>
      </c>
      <c r="I4418" t="n">
        <v>0</v>
      </c>
      <c r="J4418" t="n">
        <v>0</v>
      </c>
      <c r="K4418" t="n">
        <v>0</v>
      </c>
      <c r="L4418" t="n">
        <v>0</v>
      </c>
      <c r="M4418" t="n">
        <v>0</v>
      </c>
      <c r="N4418" t="n">
        <v>0</v>
      </c>
      <c r="O4418" t="n">
        <v>0</v>
      </c>
      <c r="P4418" t="n">
        <v>0</v>
      </c>
      <c r="Q4418" t="n">
        <v>0</v>
      </c>
      <c r="R4418" s="2" t="inlineStr"/>
    </row>
    <row r="4419" ht="15" customHeight="1">
      <c r="A4419" t="inlineStr">
        <is>
          <t>A 58776-2024</t>
        </is>
      </c>
      <c r="B4419" s="1" t="n">
        <v>45635.80726851852</v>
      </c>
      <c r="C4419" s="1" t="n">
        <v>46075</v>
      </c>
      <c r="D4419" t="inlineStr">
        <is>
          <t>VÄSTERBOTTENS LÄN</t>
        </is>
      </c>
      <c r="E4419" t="inlineStr">
        <is>
          <t>SKELLEFTEÅ</t>
        </is>
      </c>
      <c r="F4419" t="inlineStr">
        <is>
          <t>Sveaskog</t>
        </is>
      </c>
      <c r="G4419" t="n">
        <v>4.4</v>
      </c>
      <c r="H4419" t="n">
        <v>0</v>
      </c>
      <c r="I4419" t="n">
        <v>0</v>
      </c>
      <c r="J4419" t="n">
        <v>0</v>
      </c>
      <c r="K4419" t="n">
        <v>0</v>
      </c>
      <c r="L4419" t="n">
        <v>0</v>
      </c>
      <c r="M4419" t="n">
        <v>0</v>
      </c>
      <c r="N4419" t="n">
        <v>0</v>
      </c>
      <c r="O4419" t="n">
        <v>0</v>
      </c>
      <c r="P4419" t="n">
        <v>0</v>
      </c>
      <c r="Q4419" t="n">
        <v>0</v>
      </c>
      <c r="R4419" s="2" t="inlineStr"/>
    </row>
    <row r="4420" ht="15" customHeight="1">
      <c r="A4420" t="inlineStr">
        <is>
          <t>A 35202-2025</t>
        </is>
      </c>
      <c r="B4420" s="1" t="n">
        <v>45852</v>
      </c>
      <c r="C4420" s="1" t="n">
        <v>46075</v>
      </c>
      <c r="D4420" t="inlineStr">
        <is>
          <t>VÄSTERBOTTENS LÄN</t>
        </is>
      </c>
      <c r="E4420" t="inlineStr">
        <is>
          <t>DOROTEA</t>
        </is>
      </c>
      <c r="F4420" t="inlineStr">
        <is>
          <t>Allmännings- och besparingsskogar</t>
        </is>
      </c>
      <c r="G4420" t="n">
        <v>22.1</v>
      </c>
      <c r="H4420" t="n">
        <v>0</v>
      </c>
      <c r="I4420" t="n">
        <v>0</v>
      </c>
      <c r="J4420" t="n">
        <v>0</v>
      </c>
      <c r="K4420" t="n">
        <v>0</v>
      </c>
      <c r="L4420" t="n">
        <v>0</v>
      </c>
      <c r="M4420" t="n">
        <v>0</v>
      </c>
      <c r="N4420" t="n">
        <v>0</v>
      </c>
      <c r="O4420" t="n">
        <v>0</v>
      </c>
      <c r="P4420" t="n">
        <v>0</v>
      </c>
      <c r="Q4420" t="n">
        <v>0</v>
      </c>
      <c r="R4420" s="2" t="inlineStr"/>
    </row>
    <row r="4421" ht="15" customHeight="1">
      <c r="A4421" t="inlineStr">
        <is>
          <t>A 35203-2025</t>
        </is>
      </c>
      <c r="B4421" s="1" t="n">
        <v>45852</v>
      </c>
      <c r="C4421" s="1" t="n">
        <v>46075</v>
      </c>
      <c r="D4421" t="inlineStr">
        <is>
          <t>VÄSTERBOTTENS LÄN</t>
        </is>
      </c>
      <c r="E4421" t="inlineStr">
        <is>
          <t>DOROTEA</t>
        </is>
      </c>
      <c r="F4421" t="inlineStr">
        <is>
          <t>Allmännings- och besparingsskogar</t>
        </is>
      </c>
      <c r="G4421" t="n">
        <v>20.3</v>
      </c>
      <c r="H4421" t="n">
        <v>0</v>
      </c>
      <c r="I4421" t="n">
        <v>0</v>
      </c>
      <c r="J4421" t="n">
        <v>0</v>
      </c>
      <c r="K4421" t="n">
        <v>0</v>
      </c>
      <c r="L4421" t="n">
        <v>0</v>
      </c>
      <c r="M4421" t="n">
        <v>0</v>
      </c>
      <c r="N4421" t="n">
        <v>0</v>
      </c>
      <c r="O4421" t="n">
        <v>0</v>
      </c>
      <c r="P4421" t="n">
        <v>0</v>
      </c>
      <c r="Q4421" t="n">
        <v>0</v>
      </c>
      <c r="R4421" s="2" t="inlineStr"/>
    </row>
    <row r="4422" ht="15" customHeight="1">
      <c r="A4422" t="inlineStr">
        <is>
          <t>A 42137-2025</t>
        </is>
      </c>
      <c r="B4422" s="1" t="n">
        <v>45904.35496527778</v>
      </c>
      <c r="C4422" s="1" t="n">
        <v>46075</v>
      </c>
      <c r="D4422" t="inlineStr">
        <is>
          <t>VÄSTERBOTTENS LÄN</t>
        </is>
      </c>
      <c r="E4422" t="inlineStr">
        <is>
          <t>SKELLEFTEÅ</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12362-2025</t>
        </is>
      </c>
      <c r="B4423" s="1" t="n">
        <v>45730</v>
      </c>
      <c r="C4423" s="1" t="n">
        <v>46075</v>
      </c>
      <c r="D4423" t="inlineStr">
        <is>
          <t>VÄSTERBOTTENS LÄN</t>
        </is>
      </c>
      <c r="E4423" t="inlineStr">
        <is>
          <t>VILHELMINA</t>
        </is>
      </c>
      <c r="F4423" t="inlineStr">
        <is>
          <t>Övriga statliga verk och myndigheter</t>
        </is>
      </c>
      <c r="G4423" t="n">
        <v>6.1</v>
      </c>
      <c r="H4423" t="n">
        <v>0</v>
      </c>
      <c r="I4423" t="n">
        <v>0</v>
      </c>
      <c r="J4423" t="n">
        <v>0</v>
      </c>
      <c r="K4423" t="n">
        <v>0</v>
      </c>
      <c r="L4423" t="n">
        <v>0</v>
      </c>
      <c r="M4423" t="n">
        <v>0</v>
      </c>
      <c r="N4423" t="n">
        <v>0</v>
      </c>
      <c r="O4423" t="n">
        <v>0</v>
      </c>
      <c r="P4423" t="n">
        <v>0</v>
      </c>
      <c r="Q4423" t="n">
        <v>0</v>
      </c>
      <c r="R4423" s="2" t="inlineStr"/>
    </row>
    <row r="4424" ht="15" customHeight="1">
      <c r="A4424" t="inlineStr">
        <is>
          <t>A 12364-2025</t>
        </is>
      </c>
      <c r="B4424" s="1" t="n">
        <v>45730.37515046296</v>
      </c>
      <c r="C4424" s="1" t="n">
        <v>46075</v>
      </c>
      <c r="D4424" t="inlineStr">
        <is>
          <t>VÄSTERBOTTENS LÄN</t>
        </is>
      </c>
      <c r="E4424" t="inlineStr">
        <is>
          <t>VILHELMINA</t>
        </is>
      </c>
      <c r="F4424" t="inlineStr">
        <is>
          <t>Övriga statliga verk och myndigheter</t>
        </is>
      </c>
      <c r="G4424" t="n">
        <v>8.199999999999999</v>
      </c>
      <c r="H4424" t="n">
        <v>0</v>
      </c>
      <c r="I4424" t="n">
        <v>0</v>
      </c>
      <c r="J4424" t="n">
        <v>0</v>
      </c>
      <c r="K4424" t="n">
        <v>0</v>
      </c>
      <c r="L4424" t="n">
        <v>0</v>
      </c>
      <c r="M4424" t="n">
        <v>0</v>
      </c>
      <c r="N4424" t="n">
        <v>0</v>
      </c>
      <c r="O4424" t="n">
        <v>0</v>
      </c>
      <c r="P4424" t="n">
        <v>0</v>
      </c>
      <c r="Q4424" t="n">
        <v>0</v>
      </c>
      <c r="R4424" s="2" t="inlineStr"/>
    </row>
    <row r="4425" ht="15" customHeight="1">
      <c r="A4425" t="inlineStr">
        <is>
          <t>A 12377-2025</t>
        </is>
      </c>
      <c r="B4425" s="1" t="n">
        <v>45730</v>
      </c>
      <c r="C4425" s="1" t="n">
        <v>46075</v>
      </c>
      <c r="D4425" t="inlineStr">
        <is>
          <t>VÄSTERBOTTENS LÄN</t>
        </is>
      </c>
      <c r="E4425" t="inlineStr">
        <is>
          <t>VILHELMINA</t>
        </is>
      </c>
      <c r="F4425" t="inlineStr">
        <is>
          <t>Övriga statliga verk och myndigheter</t>
        </is>
      </c>
      <c r="G4425" t="n">
        <v>37.1</v>
      </c>
      <c r="H4425" t="n">
        <v>0</v>
      </c>
      <c r="I4425" t="n">
        <v>0</v>
      </c>
      <c r="J4425" t="n">
        <v>0</v>
      </c>
      <c r="K4425" t="n">
        <v>0</v>
      </c>
      <c r="L4425" t="n">
        <v>0</v>
      </c>
      <c r="M4425" t="n">
        <v>0</v>
      </c>
      <c r="N4425" t="n">
        <v>0</v>
      </c>
      <c r="O4425" t="n">
        <v>0</v>
      </c>
      <c r="P4425" t="n">
        <v>0</v>
      </c>
      <c r="Q4425" t="n">
        <v>0</v>
      </c>
      <c r="R4425" s="2" t="inlineStr"/>
    </row>
    <row r="4426" ht="15" customHeight="1">
      <c r="A4426" t="inlineStr">
        <is>
          <t>A 46547-2023</t>
        </is>
      </c>
      <c r="B4426" s="1" t="n">
        <v>45197.94158564815</v>
      </c>
      <c r="C4426" s="1" t="n">
        <v>46075</v>
      </c>
      <c r="D4426" t="inlineStr">
        <is>
          <t>VÄSTERBOTTENS LÄN</t>
        </is>
      </c>
      <c r="E4426" t="inlineStr">
        <is>
          <t>VILHELMINA</t>
        </is>
      </c>
      <c r="F4426" t="inlineStr">
        <is>
          <t>SCA</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46614-2023</t>
        </is>
      </c>
      <c r="B4427" s="1" t="n">
        <v>45198.40074074074</v>
      </c>
      <c r="C4427" s="1" t="n">
        <v>46075</v>
      </c>
      <c r="D4427" t="inlineStr">
        <is>
          <t>VÄSTERBOTTENS LÄN</t>
        </is>
      </c>
      <c r="E4427" t="inlineStr">
        <is>
          <t>BJURHOLM</t>
        </is>
      </c>
      <c r="F4427" t="inlineStr">
        <is>
          <t>Holmen skog AB</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52149-2024</t>
        </is>
      </c>
      <c r="B4428" s="1" t="n">
        <v>45608.52366898148</v>
      </c>
      <c r="C4428" s="1" t="n">
        <v>46075</v>
      </c>
      <c r="D4428" t="inlineStr">
        <is>
          <t>VÄSTERBOTTENS LÄN</t>
        </is>
      </c>
      <c r="E4428" t="inlineStr">
        <is>
          <t>NORDMALING</t>
        </is>
      </c>
      <c r="F4428" t="inlineStr">
        <is>
          <t>SCA</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39152-2023</t>
        </is>
      </c>
      <c r="B4429" s="1" t="n">
        <v>45166</v>
      </c>
      <c r="C4429" s="1" t="n">
        <v>46075</v>
      </c>
      <c r="D4429" t="inlineStr">
        <is>
          <t>VÄSTERBOTTENS LÄN</t>
        </is>
      </c>
      <c r="E4429" t="inlineStr">
        <is>
          <t>MALÅ</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39153-2023</t>
        </is>
      </c>
      <c r="B4430" s="1" t="n">
        <v>45166</v>
      </c>
      <c r="C4430" s="1" t="n">
        <v>46075</v>
      </c>
      <c r="D4430" t="inlineStr">
        <is>
          <t>VÄSTERBOTTENS LÄN</t>
        </is>
      </c>
      <c r="E4430" t="inlineStr">
        <is>
          <t>MALÅ</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48631-2023</t>
        </is>
      </c>
      <c r="B4431" s="1" t="n">
        <v>45202</v>
      </c>
      <c r="C4431" s="1" t="n">
        <v>46075</v>
      </c>
      <c r="D4431" t="inlineStr">
        <is>
          <t>VÄSTERBOTTENS LÄN</t>
        </is>
      </c>
      <c r="E4431" t="inlineStr">
        <is>
          <t>UMEÅ</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42205-2025</t>
        </is>
      </c>
      <c r="B4432" s="1" t="n">
        <v>45904.49059027778</v>
      </c>
      <c r="C4432" s="1" t="n">
        <v>46075</v>
      </c>
      <c r="D4432" t="inlineStr">
        <is>
          <t>VÄSTERBOTTENS LÄN</t>
        </is>
      </c>
      <c r="E4432" t="inlineStr">
        <is>
          <t>MALÅ</t>
        </is>
      </c>
      <c r="G4432" t="n">
        <v>16.1</v>
      </c>
      <c r="H4432" t="n">
        <v>0</v>
      </c>
      <c r="I4432" t="n">
        <v>0</v>
      </c>
      <c r="J4432" t="n">
        <v>0</v>
      </c>
      <c r="K4432" t="n">
        <v>0</v>
      </c>
      <c r="L4432" t="n">
        <v>0</v>
      </c>
      <c r="M4432" t="n">
        <v>0</v>
      </c>
      <c r="N4432" t="n">
        <v>0</v>
      </c>
      <c r="O4432" t="n">
        <v>0</v>
      </c>
      <c r="P4432" t="n">
        <v>0</v>
      </c>
      <c r="Q4432" t="n">
        <v>0</v>
      </c>
      <c r="R4432" s="2" t="inlineStr"/>
    </row>
    <row r="4433" ht="15" customHeight="1">
      <c r="A4433" t="inlineStr">
        <is>
          <t>A 42279-2025</t>
        </is>
      </c>
      <c r="B4433" s="1" t="n">
        <v>45904.61569444444</v>
      </c>
      <c r="C4433" s="1" t="n">
        <v>46075</v>
      </c>
      <c r="D4433" t="inlineStr">
        <is>
          <t>VÄSTERBOTTENS LÄN</t>
        </is>
      </c>
      <c r="E4433" t="inlineStr">
        <is>
          <t>DOROTEA</t>
        </is>
      </c>
      <c r="F4433" t="inlineStr">
        <is>
          <t>SCA</t>
        </is>
      </c>
      <c r="G4433" t="n">
        <v>5.2</v>
      </c>
      <c r="H4433" t="n">
        <v>0</v>
      </c>
      <c r="I4433" t="n">
        <v>0</v>
      </c>
      <c r="J4433" t="n">
        <v>0</v>
      </c>
      <c r="K4433" t="n">
        <v>0</v>
      </c>
      <c r="L4433" t="n">
        <v>0</v>
      </c>
      <c r="M4433" t="n">
        <v>0</v>
      </c>
      <c r="N4433" t="n">
        <v>0</v>
      </c>
      <c r="O4433" t="n">
        <v>0</v>
      </c>
      <c r="P4433" t="n">
        <v>0</v>
      </c>
      <c r="Q4433" t="n">
        <v>0</v>
      </c>
      <c r="R4433" s="2" t="inlineStr"/>
    </row>
    <row r="4434" ht="15" customHeight="1">
      <c r="A4434" t="inlineStr">
        <is>
          <t>A 42278-2025</t>
        </is>
      </c>
      <c r="B4434" s="1" t="n">
        <v>45904.61540509259</v>
      </c>
      <c r="C4434" s="1" t="n">
        <v>46075</v>
      </c>
      <c r="D4434" t="inlineStr">
        <is>
          <t>VÄSTERBOTTENS LÄN</t>
        </is>
      </c>
      <c r="E4434" t="inlineStr">
        <is>
          <t>DOROTEA</t>
        </is>
      </c>
      <c r="F4434" t="inlineStr">
        <is>
          <t>SCA</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42107-2025</t>
        </is>
      </c>
      <c r="B4435" s="1" t="n">
        <v>45903.90503472222</v>
      </c>
      <c r="C4435" s="1" t="n">
        <v>46075</v>
      </c>
      <c r="D4435" t="inlineStr">
        <is>
          <t>VÄSTERBOTTENS LÄN</t>
        </is>
      </c>
      <c r="E4435" t="inlineStr">
        <is>
          <t>SKELLEFTEÅ</t>
        </is>
      </c>
      <c r="G4435" t="n">
        <v>8.1</v>
      </c>
      <c r="H4435" t="n">
        <v>0</v>
      </c>
      <c r="I4435" t="n">
        <v>0</v>
      </c>
      <c r="J4435" t="n">
        <v>0</v>
      </c>
      <c r="K4435" t="n">
        <v>0</v>
      </c>
      <c r="L4435" t="n">
        <v>0</v>
      </c>
      <c r="M4435" t="n">
        <v>0</v>
      </c>
      <c r="N4435" t="n">
        <v>0</v>
      </c>
      <c r="O4435" t="n">
        <v>0</v>
      </c>
      <c r="P4435" t="n">
        <v>0</v>
      </c>
      <c r="Q4435" t="n">
        <v>0</v>
      </c>
      <c r="R4435" s="2" t="inlineStr"/>
    </row>
    <row r="4436" ht="15" customHeight="1">
      <c r="A4436" t="inlineStr">
        <is>
          <t>A 42116-2025</t>
        </is>
      </c>
      <c r="B4436" s="1" t="n">
        <v>45904.33420138889</v>
      </c>
      <c r="C4436" s="1" t="n">
        <v>46075</v>
      </c>
      <c r="D4436" t="inlineStr">
        <is>
          <t>VÄSTERBOTTENS LÄN</t>
        </is>
      </c>
      <c r="E4436" t="inlineStr">
        <is>
          <t>SKELLEFTEÅ</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42121-2025</t>
        </is>
      </c>
      <c r="B4437" s="1" t="n">
        <v>45904.34252314815</v>
      </c>
      <c r="C4437" s="1" t="n">
        <v>46075</v>
      </c>
      <c r="D4437" t="inlineStr">
        <is>
          <t>VÄSTERBOTTENS LÄN</t>
        </is>
      </c>
      <c r="E4437" t="inlineStr">
        <is>
          <t>SKELLEFTEÅ</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42125-2025</t>
        </is>
      </c>
      <c r="B4438" s="1" t="n">
        <v>45904.34472222222</v>
      </c>
      <c r="C4438" s="1" t="n">
        <v>46075</v>
      </c>
      <c r="D4438" t="inlineStr">
        <is>
          <t>VÄSTERBOTTENS LÄN</t>
        </is>
      </c>
      <c r="E4438" t="inlineStr">
        <is>
          <t>DOROTEA</t>
        </is>
      </c>
      <c r="F4438" t="inlineStr">
        <is>
          <t>Övriga Aktiebolag</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39791-2023</t>
        </is>
      </c>
      <c r="B4439" s="1" t="n">
        <v>45167</v>
      </c>
      <c r="C4439" s="1" t="n">
        <v>46075</v>
      </c>
      <c r="D4439" t="inlineStr">
        <is>
          <t>VÄSTERBOTTENS LÄN</t>
        </is>
      </c>
      <c r="E4439" t="inlineStr">
        <is>
          <t>MALÅ</t>
        </is>
      </c>
      <c r="G4439" t="n">
        <v>10</v>
      </c>
      <c r="H4439" t="n">
        <v>0</v>
      </c>
      <c r="I4439" t="n">
        <v>0</v>
      </c>
      <c r="J4439" t="n">
        <v>0</v>
      </c>
      <c r="K4439" t="n">
        <v>0</v>
      </c>
      <c r="L4439" t="n">
        <v>0</v>
      </c>
      <c r="M4439" t="n">
        <v>0</v>
      </c>
      <c r="N4439" t="n">
        <v>0</v>
      </c>
      <c r="O4439" t="n">
        <v>0</v>
      </c>
      <c r="P4439" t="n">
        <v>0</v>
      </c>
      <c r="Q4439" t="n">
        <v>0</v>
      </c>
      <c r="R4439" s="2" t="inlineStr"/>
    </row>
    <row r="4440" ht="15" customHeight="1">
      <c r="A4440" t="inlineStr">
        <is>
          <t>A 42763-2025</t>
        </is>
      </c>
      <c r="B4440" s="1" t="n">
        <v>45908.46921296296</v>
      </c>
      <c r="C4440" s="1" t="n">
        <v>46075</v>
      </c>
      <c r="D4440" t="inlineStr">
        <is>
          <t>VÄSTERBOTTENS LÄN</t>
        </is>
      </c>
      <c r="E4440" t="inlineStr">
        <is>
          <t>STORUMAN</t>
        </is>
      </c>
      <c r="F4440" t="inlineStr">
        <is>
          <t>SCA</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59554-2022</t>
        </is>
      </c>
      <c r="B4441" s="1" t="n">
        <v>44900</v>
      </c>
      <c r="C4441" s="1" t="n">
        <v>46075</v>
      </c>
      <c r="D4441" t="inlineStr">
        <is>
          <t>VÄSTERBOTTENS LÄN</t>
        </is>
      </c>
      <c r="E4441" t="inlineStr">
        <is>
          <t>LYCKSELE</t>
        </is>
      </c>
      <c r="G4441" t="n">
        <v>6</v>
      </c>
      <c r="H4441" t="n">
        <v>0</v>
      </c>
      <c r="I4441" t="n">
        <v>0</v>
      </c>
      <c r="J4441" t="n">
        <v>0</v>
      </c>
      <c r="K4441" t="n">
        <v>0</v>
      </c>
      <c r="L4441" t="n">
        <v>0</v>
      </c>
      <c r="M4441" t="n">
        <v>0</v>
      </c>
      <c r="N4441" t="n">
        <v>0</v>
      </c>
      <c r="O4441" t="n">
        <v>0</v>
      </c>
      <c r="P4441" t="n">
        <v>0</v>
      </c>
      <c r="Q4441" t="n">
        <v>0</v>
      </c>
      <c r="R4441" s="2" t="inlineStr"/>
    </row>
    <row r="4442" ht="15" customHeight="1">
      <c r="A4442" t="inlineStr">
        <is>
          <t>A 30746-2025</t>
        </is>
      </c>
      <c r="B4442" s="1" t="n">
        <v>45831.58256944444</v>
      </c>
      <c r="C4442" s="1" t="n">
        <v>46075</v>
      </c>
      <c r="D4442" t="inlineStr">
        <is>
          <t>VÄSTERBOTTENS LÄN</t>
        </is>
      </c>
      <c r="E4442" t="inlineStr">
        <is>
          <t>VILHELMINA</t>
        </is>
      </c>
      <c r="G4442" t="n">
        <v>5.7</v>
      </c>
      <c r="H4442" t="n">
        <v>0</v>
      </c>
      <c r="I4442" t="n">
        <v>0</v>
      </c>
      <c r="J4442" t="n">
        <v>0</v>
      </c>
      <c r="K4442" t="n">
        <v>0</v>
      </c>
      <c r="L4442" t="n">
        <v>0</v>
      </c>
      <c r="M4442" t="n">
        <v>0</v>
      </c>
      <c r="N4442" t="n">
        <v>0</v>
      </c>
      <c r="O4442" t="n">
        <v>0</v>
      </c>
      <c r="P4442" t="n">
        <v>0</v>
      </c>
      <c r="Q4442" t="n">
        <v>0</v>
      </c>
      <c r="R4442" s="2" t="inlineStr"/>
    </row>
    <row r="4443" ht="15" customHeight="1">
      <c r="A4443" t="inlineStr">
        <is>
          <t>A 38301-2023</t>
        </is>
      </c>
      <c r="B4443" s="1" t="n">
        <v>45160</v>
      </c>
      <c r="C4443" s="1" t="n">
        <v>46075</v>
      </c>
      <c r="D4443" t="inlineStr">
        <is>
          <t>VÄSTERBOTTENS LÄN</t>
        </is>
      </c>
      <c r="E4443" t="inlineStr">
        <is>
          <t>SKELLEFTEÅ</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28170-2025</t>
        </is>
      </c>
      <c r="B4444" s="1" t="n">
        <v>45818.37524305555</v>
      </c>
      <c r="C4444" s="1" t="n">
        <v>46075</v>
      </c>
      <c r="D4444" t="inlineStr">
        <is>
          <t>VÄSTERBOTTENS LÄN</t>
        </is>
      </c>
      <c r="E4444" t="inlineStr">
        <is>
          <t>LYCKSELE</t>
        </is>
      </c>
      <c r="F4444" t="inlineStr">
        <is>
          <t>Sveaskog</t>
        </is>
      </c>
      <c r="G4444" t="n">
        <v>12.6</v>
      </c>
      <c r="H4444" t="n">
        <v>0</v>
      </c>
      <c r="I4444" t="n">
        <v>0</v>
      </c>
      <c r="J4444" t="n">
        <v>0</v>
      </c>
      <c r="K4444" t="n">
        <v>0</v>
      </c>
      <c r="L4444" t="n">
        <v>0</v>
      </c>
      <c r="M4444" t="n">
        <v>0</v>
      </c>
      <c r="N4444" t="n">
        <v>0</v>
      </c>
      <c r="O4444" t="n">
        <v>0</v>
      </c>
      <c r="P4444" t="n">
        <v>0</v>
      </c>
      <c r="Q4444" t="n">
        <v>0</v>
      </c>
      <c r="R4444" s="2" t="inlineStr"/>
    </row>
    <row r="4445" ht="15" customHeight="1">
      <c r="A4445" t="inlineStr">
        <is>
          <t>A 42796-2025</t>
        </is>
      </c>
      <c r="B4445" s="1" t="n">
        <v>45908.52939814814</v>
      </c>
      <c r="C4445" s="1" t="n">
        <v>46075</v>
      </c>
      <c r="D4445" t="inlineStr">
        <is>
          <t>VÄSTERBOTTENS LÄN</t>
        </is>
      </c>
      <c r="E4445" t="inlineStr">
        <is>
          <t>SKELLEFTEÅ</t>
        </is>
      </c>
      <c r="G4445" t="n">
        <v>2.9</v>
      </c>
      <c r="H4445" t="n">
        <v>0</v>
      </c>
      <c r="I4445" t="n">
        <v>0</v>
      </c>
      <c r="J4445" t="n">
        <v>0</v>
      </c>
      <c r="K4445" t="n">
        <v>0</v>
      </c>
      <c r="L4445" t="n">
        <v>0</v>
      </c>
      <c r="M4445" t="n">
        <v>0</v>
      </c>
      <c r="N4445" t="n">
        <v>0</v>
      </c>
      <c r="O4445" t="n">
        <v>0</v>
      </c>
      <c r="P4445" t="n">
        <v>0</v>
      </c>
      <c r="Q4445" t="n">
        <v>0</v>
      </c>
      <c r="R4445" s="2" t="inlineStr"/>
    </row>
    <row r="4446" ht="15" customHeight="1">
      <c r="A4446" t="inlineStr">
        <is>
          <t>A 42800-2025</t>
        </is>
      </c>
      <c r="B4446" s="1" t="n">
        <v>45908.53167824074</v>
      </c>
      <c r="C4446" s="1" t="n">
        <v>46075</v>
      </c>
      <c r="D4446" t="inlineStr">
        <is>
          <t>VÄSTERBOTTENS LÄN</t>
        </is>
      </c>
      <c r="E4446" t="inlineStr">
        <is>
          <t>DOROTEA</t>
        </is>
      </c>
      <c r="F4446" t="inlineStr">
        <is>
          <t>SCA</t>
        </is>
      </c>
      <c r="G4446" t="n">
        <v>3.7</v>
      </c>
      <c r="H4446" t="n">
        <v>0</v>
      </c>
      <c r="I4446" t="n">
        <v>0</v>
      </c>
      <c r="J4446" t="n">
        <v>0</v>
      </c>
      <c r="K4446" t="n">
        <v>0</v>
      </c>
      <c r="L4446" t="n">
        <v>0</v>
      </c>
      <c r="M4446" t="n">
        <v>0</v>
      </c>
      <c r="N4446" t="n">
        <v>0</v>
      </c>
      <c r="O4446" t="n">
        <v>0</v>
      </c>
      <c r="P4446" t="n">
        <v>0</v>
      </c>
      <c r="Q4446" t="n">
        <v>0</v>
      </c>
      <c r="R4446" s="2" t="inlineStr"/>
    </row>
    <row r="4447" ht="15" customHeight="1">
      <c r="A4447" t="inlineStr">
        <is>
          <t>A 42902-2025</t>
        </is>
      </c>
      <c r="B4447" s="1" t="n">
        <v>45908.67744212963</v>
      </c>
      <c r="C4447" s="1" t="n">
        <v>46075</v>
      </c>
      <c r="D4447" t="inlineStr">
        <is>
          <t>VÄSTERBOTTENS LÄN</t>
        </is>
      </c>
      <c r="E4447" t="inlineStr">
        <is>
          <t>VÄNNÄS</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17196-2025</t>
        </is>
      </c>
      <c r="B4448" s="1" t="n">
        <v>45756.4102199074</v>
      </c>
      <c r="C4448" s="1" t="n">
        <v>46075</v>
      </c>
      <c r="D4448" t="inlineStr">
        <is>
          <t>VÄSTERBOTTENS LÄN</t>
        </is>
      </c>
      <c r="E4448" t="inlineStr">
        <is>
          <t>BJURHOLM</t>
        </is>
      </c>
      <c r="G4448" t="n">
        <v>10.3</v>
      </c>
      <c r="H4448" t="n">
        <v>0</v>
      </c>
      <c r="I4448" t="n">
        <v>0</v>
      </c>
      <c r="J4448" t="n">
        <v>0</v>
      </c>
      <c r="K4448" t="n">
        <v>0</v>
      </c>
      <c r="L4448" t="n">
        <v>0</v>
      </c>
      <c r="M4448" t="n">
        <v>0</v>
      </c>
      <c r="N4448" t="n">
        <v>0</v>
      </c>
      <c r="O4448" t="n">
        <v>0</v>
      </c>
      <c r="P4448" t="n">
        <v>0</v>
      </c>
      <c r="Q4448" t="n">
        <v>0</v>
      </c>
      <c r="R4448" s="2" t="inlineStr"/>
    </row>
    <row r="4449" ht="15" customHeight="1">
      <c r="A4449" t="inlineStr">
        <is>
          <t>A 29823-2025</t>
        </is>
      </c>
      <c r="B4449" s="1" t="n">
        <v>45825.85599537037</v>
      </c>
      <c r="C4449" s="1" t="n">
        <v>46075</v>
      </c>
      <c r="D4449" t="inlineStr">
        <is>
          <t>VÄSTERBOTTENS LÄN</t>
        </is>
      </c>
      <c r="E4449" t="inlineStr">
        <is>
          <t>VÄNNÄS</t>
        </is>
      </c>
      <c r="G4449" t="n">
        <v>7.2</v>
      </c>
      <c r="H4449" t="n">
        <v>0</v>
      </c>
      <c r="I4449" t="n">
        <v>0</v>
      </c>
      <c r="J4449" t="n">
        <v>0</v>
      </c>
      <c r="K4449" t="n">
        <v>0</v>
      </c>
      <c r="L4449" t="n">
        <v>0</v>
      </c>
      <c r="M4449" t="n">
        <v>0</v>
      </c>
      <c r="N4449" t="n">
        <v>0</v>
      </c>
      <c r="O4449" t="n">
        <v>0</v>
      </c>
      <c r="P4449" t="n">
        <v>0</v>
      </c>
      <c r="Q4449" t="n">
        <v>0</v>
      </c>
      <c r="R4449" s="2" t="inlineStr"/>
    </row>
    <row r="4450" ht="15" customHeight="1">
      <c r="A4450" t="inlineStr">
        <is>
          <t>A 752-2025</t>
        </is>
      </c>
      <c r="B4450" s="1" t="n">
        <v>45665</v>
      </c>
      <c r="C4450" s="1" t="n">
        <v>46075</v>
      </c>
      <c r="D4450" t="inlineStr">
        <is>
          <t>VÄSTERBOTTENS LÄN</t>
        </is>
      </c>
      <c r="E4450" t="inlineStr">
        <is>
          <t>VINDELN</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47011-2024</t>
        </is>
      </c>
      <c r="B4451" s="1" t="n">
        <v>45586.38592592593</v>
      </c>
      <c r="C4451" s="1" t="n">
        <v>46075</v>
      </c>
      <c r="D4451" t="inlineStr">
        <is>
          <t>VÄSTERBOTTENS LÄN</t>
        </is>
      </c>
      <c r="E4451" t="inlineStr">
        <is>
          <t>VILHELMINA</t>
        </is>
      </c>
      <c r="F4451" t="inlineStr">
        <is>
          <t>SCA</t>
        </is>
      </c>
      <c r="G4451" t="n">
        <v>4.2</v>
      </c>
      <c r="H4451" t="n">
        <v>0</v>
      </c>
      <c r="I4451" t="n">
        <v>0</v>
      </c>
      <c r="J4451" t="n">
        <v>0</v>
      </c>
      <c r="K4451" t="n">
        <v>0</v>
      </c>
      <c r="L4451" t="n">
        <v>0</v>
      </c>
      <c r="M4451" t="n">
        <v>0</v>
      </c>
      <c r="N4451" t="n">
        <v>0</v>
      </c>
      <c r="O4451" t="n">
        <v>0</v>
      </c>
      <c r="P4451" t="n">
        <v>0</v>
      </c>
      <c r="Q4451" t="n">
        <v>0</v>
      </c>
      <c r="R4451" s="2" t="inlineStr"/>
    </row>
    <row r="4452" ht="15" customHeight="1">
      <c r="A4452" t="inlineStr">
        <is>
          <t>A 42774-2025</t>
        </is>
      </c>
      <c r="B4452" s="1" t="n">
        <v>45908</v>
      </c>
      <c r="C4452" s="1" t="n">
        <v>46075</v>
      </c>
      <c r="D4452" t="inlineStr">
        <is>
          <t>VÄSTERBOTTENS LÄN</t>
        </is>
      </c>
      <c r="E4452" t="inlineStr">
        <is>
          <t>NORDMALING</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9924-2022</t>
        </is>
      </c>
      <c r="B4453" s="1" t="n">
        <v>44620.92203703704</v>
      </c>
      <c r="C4453" s="1" t="n">
        <v>46075</v>
      </c>
      <c r="D4453" t="inlineStr">
        <is>
          <t>VÄSTERBOTTENS LÄN</t>
        </is>
      </c>
      <c r="E4453" t="inlineStr">
        <is>
          <t>UMEÅ</t>
        </is>
      </c>
      <c r="G4453" t="n">
        <v>2.8</v>
      </c>
      <c r="H4453" t="n">
        <v>0</v>
      </c>
      <c r="I4453" t="n">
        <v>0</v>
      </c>
      <c r="J4453" t="n">
        <v>0</v>
      </c>
      <c r="K4453" t="n">
        <v>0</v>
      </c>
      <c r="L4453" t="n">
        <v>0</v>
      </c>
      <c r="M4453" t="n">
        <v>0</v>
      </c>
      <c r="N4453" t="n">
        <v>0</v>
      </c>
      <c r="O4453" t="n">
        <v>0</v>
      </c>
      <c r="P4453" t="n">
        <v>0</v>
      </c>
      <c r="Q4453" t="n">
        <v>0</v>
      </c>
      <c r="R4453" s="2" t="inlineStr"/>
    </row>
    <row r="4454" ht="15" customHeight="1">
      <c r="A4454" t="inlineStr">
        <is>
          <t>A 42855-2025</t>
        </is>
      </c>
      <c r="B4454" s="1" t="n">
        <v>45908</v>
      </c>
      <c r="C4454" s="1" t="n">
        <v>46075</v>
      </c>
      <c r="D4454" t="inlineStr">
        <is>
          <t>VÄSTERBOTTENS LÄN</t>
        </is>
      </c>
      <c r="E4454" t="inlineStr">
        <is>
          <t>UMEÅ</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9981-2022</t>
        </is>
      </c>
      <c r="B4455" s="1" t="n">
        <v>44606</v>
      </c>
      <c r="C4455" s="1" t="n">
        <v>46075</v>
      </c>
      <c r="D4455" t="inlineStr">
        <is>
          <t>VÄSTERBOTTENS LÄN</t>
        </is>
      </c>
      <c r="E4455" t="inlineStr">
        <is>
          <t>SORSELE</t>
        </is>
      </c>
      <c r="G4455" t="n">
        <v>18.4</v>
      </c>
      <c r="H4455" t="n">
        <v>0</v>
      </c>
      <c r="I4455" t="n">
        <v>0</v>
      </c>
      <c r="J4455" t="n">
        <v>0</v>
      </c>
      <c r="K4455" t="n">
        <v>0</v>
      </c>
      <c r="L4455" t="n">
        <v>0</v>
      </c>
      <c r="M4455" t="n">
        <v>0</v>
      </c>
      <c r="N4455" t="n">
        <v>0</v>
      </c>
      <c r="O4455" t="n">
        <v>0</v>
      </c>
      <c r="P4455" t="n">
        <v>0</v>
      </c>
      <c r="Q4455" t="n">
        <v>0</v>
      </c>
      <c r="R4455" s="2" t="inlineStr"/>
    </row>
    <row r="4456" ht="15" customHeight="1">
      <c r="A4456" t="inlineStr">
        <is>
          <t>A 25943-2024</t>
        </is>
      </c>
      <c r="B4456" s="1" t="n">
        <v>45467</v>
      </c>
      <c r="C4456" s="1" t="n">
        <v>46075</v>
      </c>
      <c r="D4456" t="inlineStr">
        <is>
          <t>VÄSTERBOTTENS LÄN</t>
        </is>
      </c>
      <c r="E4456" t="inlineStr">
        <is>
          <t>SKELLEFTEÅ</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32489-2024</t>
        </is>
      </c>
      <c r="B4457" s="1" t="n">
        <v>45513.38631944444</v>
      </c>
      <c r="C4457" s="1" t="n">
        <v>46075</v>
      </c>
      <c r="D4457" t="inlineStr">
        <is>
          <t>VÄSTERBOTTENS LÄN</t>
        </is>
      </c>
      <c r="E4457" t="inlineStr">
        <is>
          <t>VINDELN</t>
        </is>
      </c>
      <c r="F4457" t="inlineStr">
        <is>
          <t>Holmen skog AB</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21143-2025</t>
        </is>
      </c>
      <c r="B4458" s="1" t="n">
        <v>45779</v>
      </c>
      <c r="C4458" s="1" t="n">
        <v>46075</v>
      </c>
      <c r="D4458" t="inlineStr">
        <is>
          <t>VÄSTERBOTTENS LÄN</t>
        </is>
      </c>
      <c r="E4458" t="inlineStr">
        <is>
          <t>ROBERTSFORS</t>
        </is>
      </c>
      <c r="G4458" t="n">
        <v>5</v>
      </c>
      <c r="H4458" t="n">
        <v>0</v>
      </c>
      <c r="I4458" t="n">
        <v>0</v>
      </c>
      <c r="J4458" t="n">
        <v>0</v>
      </c>
      <c r="K4458" t="n">
        <v>0</v>
      </c>
      <c r="L4458" t="n">
        <v>0</v>
      </c>
      <c r="M4458" t="n">
        <v>0</v>
      </c>
      <c r="N4458" t="n">
        <v>0</v>
      </c>
      <c r="O4458" t="n">
        <v>0</v>
      </c>
      <c r="P4458" t="n">
        <v>0</v>
      </c>
      <c r="Q4458" t="n">
        <v>0</v>
      </c>
      <c r="R4458" s="2" t="inlineStr"/>
    </row>
    <row r="4459" ht="15" customHeight="1">
      <c r="A4459" t="inlineStr">
        <is>
          <t>A 32927-2025</t>
        </is>
      </c>
      <c r="B4459" s="1" t="n">
        <v>45839.66170138889</v>
      </c>
      <c r="C4459" s="1" t="n">
        <v>46075</v>
      </c>
      <c r="D4459" t="inlineStr">
        <is>
          <t>VÄSTERBOTTENS LÄN</t>
        </is>
      </c>
      <c r="E4459" t="inlineStr">
        <is>
          <t>STORUMAN</t>
        </is>
      </c>
      <c r="F4459" t="inlineStr">
        <is>
          <t>Sveaskog</t>
        </is>
      </c>
      <c r="G4459" t="n">
        <v>5.2</v>
      </c>
      <c r="H4459" t="n">
        <v>0</v>
      </c>
      <c r="I4459" t="n">
        <v>0</v>
      </c>
      <c r="J4459" t="n">
        <v>0</v>
      </c>
      <c r="K4459" t="n">
        <v>0</v>
      </c>
      <c r="L4459" t="n">
        <v>0</v>
      </c>
      <c r="M4459" t="n">
        <v>0</v>
      </c>
      <c r="N4459" t="n">
        <v>0</v>
      </c>
      <c r="O4459" t="n">
        <v>0</v>
      </c>
      <c r="P4459" t="n">
        <v>0</v>
      </c>
      <c r="Q4459" t="n">
        <v>0</v>
      </c>
      <c r="R4459" s="2" t="inlineStr"/>
    </row>
    <row r="4460" ht="15" customHeight="1">
      <c r="A4460" t="inlineStr">
        <is>
          <t>A 32783-2025</t>
        </is>
      </c>
      <c r="B4460" s="1" t="n">
        <v>45839.47989583333</v>
      </c>
      <c r="C4460" s="1" t="n">
        <v>46075</v>
      </c>
      <c r="D4460" t="inlineStr">
        <is>
          <t>VÄSTERBOTTENS LÄN</t>
        </is>
      </c>
      <c r="E4460" t="inlineStr">
        <is>
          <t>LYCKSELE</t>
        </is>
      </c>
      <c r="G4460" t="n">
        <v>4.5</v>
      </c>
      <c r="H4460" t="n">
        <v>0</v>
      </c>
      <c r="I4460" t="n">
        <v>0</v>
      </c>
      <c r="J4460" t="n">
        <v>0</v>
      </c>
      <c r="K4460" t="n">
        <v>0</v>
      </c>
      <c r="L4460" t="n">
        <v>0</v>
      </c>
      <c r="M4460" t="n">
        <v>0</v>
      </c>
      <c r="N4460" t="n">
        <v>0</v>
      </c>
      <c r="O4460" t="n">
        <v>0</v>
      </c>
      <c r="P4460" t="n">
        <v>0</v>
      </c>
      <c r="Q4460" t="n">
        <v>0</v>
      </c>
      <c r="R4460" s="2" t="inlineStr"/>
    </row>
    <row r="4461" ht="15" customHeight="1">
      <c r="A4461" t="inlineStr">
        <is>
          <t>A 42761-2025</t>
        </is>
      </c>
      <c r="B4461" s="1" t="n">
        <v>45908.46253472222</v>
      </c>
      <c r="C4461" s="1" t="n">
        <v>46075</v>
      </c>
      <c r="D4461" t="inlineStr">
        <is>
          <t>VÄSTERBOTTENS LÄN</t>
        </is>
      </c>
      <c r="E4461" t="inlineStr">
        <is>
          <t>NORSJÖ</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42779-2025</t>
        </is>
      </c>
      <c r="B4462" s="1" t="n">
        <v>45908.49655092593</v>
      </c>
      <c r="C4462" s="1" t="n">
        <v>46075</v>
      </c>
      <c r="D4462" t="inlineStr">
        <is>
          <t>VÄSTERBOTTENS LÄN</t>
        </is>
      </c>
      <c r="E4462" t="inlineStr">
        <is>
          <t>BJURHOLM</t>
        </is>
      </c>
      <c r="G4462" t="n">
        <v>6.4</v>
      </c>
      <c r="H4462" t="n">
        <v>0</v>
      </c>
      <c r="I4462" t="n">
        <v>0</v>
      </c>
      <c r="J4462" t="n">
        <v>0</v>
      </c>
      <c r="K4462" t="n">
        <v>0</v>
      </c>
      <c r="L4462" t="n">
        <v>0</v>
      </c>
      <c r="M4462" t="n">
        <v>0</v>
      </c>
      <c r="N4462" t="n">
        <v>0</v>
      </c>
      <c r="O4462" t="n">
        <v>0</v>
      </c>
      <c r="P4462" t="n">
        <v>0</v>
      </c>
      <c r="Q4462" t="n">
        <v>0</v>
      </c>
      <c r="R4462" s="2" t="inlineStr"/>
    </row>
    <row r="4463" ht="15" customHeight="1">
      <c r="A4463" t="inlineStr">
        <is>
          <t>A 32801-2025</t>
        </is>
      </c>
      <c r="B4463" s="1" t="n">
        <v>45839.49627314815</v>
      </c>
      <c r="C4463" s="1" t="n">
        <v>46075</v>
      </c>
      <c r="D4463" t="inlineStr">
        <is>
          <t>VÄSTERBOTTENS LÄN</t>
        </is>
      </c>
      <c r="E4463" t="inlineStr">
        <is>
          <t>ROBERTSFORS</t>
        </is>
      </c>
      <c r="F4463" t="inlineStr">
        <is>
          <t>Holmen skog AB</t>
        </is>
      </c>
      <c r="G4463" t="n">
        <v>7.1</v>
      </c>
      <c r="H4463" t="n">
        <v>0</v>
      </c>
      <c r="I4463" t="n">
        <v>0</v>
      </c>
      <c r="J4463" t="n">
        <v>0</v>
      </c>
      <c r="K4463" t="n">
        <v>0</v>
      </c>
      <c r="L4463" t="n">
        <v>0</v>
      </c>
      <c r="M4463" t="n">
        <v>0</v>
      </c>
      <c r="N4463" t="n">
        <v>0</v>
      </c>
      <c r="O4463" t="n">
        <v>0</v>
      </c>
      <c r="P4463" t="n">
        <v>0</v>
      </c>
      <c r="Q4463" t="n">
        <v>0</v>
      </c>
      <c r="R4463" s="2" t="inlineStr"/>
    </row>
    <row r="4464" ht="15" customHeight="1">
      <c r="A4464" t="inlineStr">
        <is>
          <t>A 32584-2025</t>
        </is>
      </c>
      <c r="B4464" s="1" t="n">
        <v>45838.59995370371</v>
      </c>
      <c r="C4464" s="1" t="n">
        <v>46075</v>
      </c>
      <c r="D4464" t="inlineStr">
        <is>
          <t>VÄSTERBOTTENS LÄN</t>
        </is>
      </c>
      <c r="E4464" t="inlineStr">
        <is>
          <t>BJURHOLM</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32933-2025</t>
        </is>
      </c>
      <c r="B4465" s="1" t="n">
        <v>45839.67144675926</v>
      </c>
      <c r="C4465" s="1" t="n">
        <v>46075</v>
      </c>
      <c r="D4465" t="inlineStr">
        <is>
          <t>VÄSTERBOTTENS LÄN</t>
        </is>
      </c>
      <c r="E4465" t="inlineStr">
        <is>
          <t>SKELLEFTEÅ</t>
        </is>
      </c>
      <c r="F4465" t="inlineStr">
        <is>
          <t>Holmen skog AB</t>
        </is>
      </c>
      <c r="G4465" t="n">
        <v>11.9</v>
      </c>
      <c r="H4465" t="n">
        <v>0</v>
      </c>
      <c r="I4465" t="n">
        <v>0</v>
      </c>
      <c r="J4465" t="n">
        <v>0</v>
      </c>
      <c r="K4465" t="n">
        <v>0</v>
      </c>
      <c r="L4465" t="n">
        <v>0</v>
      </c>
      <c r="M4465" t="n">
        <v>0</v>
      </c>
      <c r="N4465" t="n">
        <v>0</v>
      </c>
      <c r="O4465" t="n">
        <v>0</v>
      </c>
      <c r="P4465" t="n">
        <v>0</v>
      </c>
      <c r="Q4465" t="n">
        <v>0</v>
      </c>
      <c r="R4465" s="2" t="inlineStr"/>
    </row>
    <row r="4466" ht="15" customHeight="1">
      <c r="A4466" t="inlineStr">
        <is>
          <t>A 9470-2024</t>
        </is>
      </c>
      <c r="B4466" s="1" t="n">
        <v>45359.55322916667</v>
      </c>
      <c r="C4466" s="1" t="n">
        <v>46075</v>
      </c>
      <c r="D4466" t="inlineStr">
        <is>
          <t>VÄSTERBOTTENS LÄN</t>
        </is>
      </c>
      <c r="E4466" t="inlineStr">
        <is>
          <t>SKELLEFTEÅ</t>
        </is>
      </c>
      <c r="G4466" t="n">
        <v>4.7</v>
      </c>
      <c r="H4466" t="n">
        <v>0</v>
      </c>
      <c r="I4466" t="n">
        <v>0</v>
      </c>
      <c r="J4466" t="n">
        <v>0</v>
      </c>
      <c r="K4466" t="n">
        <v>0</v>
      </c>
      <c r="L4466" t="n">
        <v>0</v>
      </c>
      <c r="M4466" t="n">
        <v>0</v>
      </c>
      <c r="N4466" t="n">
        <v>0</v>
      </c>
      <c r="O4466" t="n">
        <v>0</v>
      </c>
      <c r="P4466" t="n">
        <v>0</v>
      </c>
      <c r="Q4466" t="n">
        <v>0</v>
      </c>
      <c r="R4466" s="2" t="inlineStr"/>
    </row>
    <row r="4467" ht="15" customHeight="1">
      <c r="A4467" t="inlineStr">
        <is>
          <t>A 42968-2025</t>
        </is>
      </c>
      <c r="B4467" s="1" t="n">
        <v>45909</v>
      </c>
      <c r="C4467" s="1" t="n">
        <v>46075</v>
      </c>
      <c r="D4467" t="inlineStr">
        <is>
          <t>VÄSTERBOTTENS LÄN</t>
        </is>
      </c>
      <c r="E4467" t="inlineStr">
        <is>
          <t>VINDELN</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42979-2025</t>
        </is>
      </c>
      <c r="B4468" s="1" t="n">
        <v>45909</v>
      </c>
      <c r="C4468" s="1" t="n">
        <v>46075</v>
      </c>
      <c r="D4468" t="inlineStr">
        <is>
          <t>VÄSTERBOTTENS LÄN</t>
        </is>
      </c>
      <c r="E4468" t="inlineStr">
        <is>
          <t>VINDELN</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24988-2025</t>
        </is>
      </c>
      <c r="B4469" s="1" t="n">
        <v>45799</v>
      </c>
      <c r="C4469" s="1" t="n">
        <v>46075</v>
      </c>
      <c r="D4469" t="inlineStr">
        <is>
          <t>VÄSTERBOTTENS LÄN</t>
        </is>
      </c>
      <c r="E4469" t="inlineStr">
        <is>
          <t>VILHELMINA</t>
        </is>
      </c>
      <c r="G4469" t="n">
        <v>8.9</v>
      </c>
      <c r="H4469" t="n">
        <v>0</v>
      </c>
      <c r="I4469" t="n">
        <v>0</v>
      </c>
      <c r="J4469" t="n">
        <v>0</v>
      </c>
      <c r="K4469" t="n">
        <v>0</v>
      </c>
      <c r="L4469" t="n">
        <v>0</v>
      </c>
      <c r="M4469" t="n">
        <v>0</v>
      </c>
      <c r="N4469" t="n">
        <v>0</v>
      </c>
      <c r="O4469" t="n">
        <v>0</v>
      </c>
      <c r="P4469" t="n">
        <v>0</v>
      </c>
      <c r="Q4469" t="n">
        <v>0</v>
      </c>
      <c r="R4469" s="2" t="inlineStr"/>
    </row>
    <row r="4470" ht="15" customHeight="1">
      <c r="A4470" t="inlineStr">
        <is>
          <t>A 20559-2024</t>
        </is>
      </c>
      <c r="B4470" s="1" t="n">
        <v>45436</v>
      </c>
      <c r="C4470" s="1" t="n">
        <v>46075</v>
      </c>
      <c r="D4470" t="inlineStr">
        <is>
          <t>VÄSTERBOTTENS LÄN</t>
        </is>
      </c>
      <c r="E4470" t="inlineStr">
        <is>
          <t>SKELLEFTEÅ</t>
        </is>
      </c>
      <c r="F4470" t="inlineStr">
        <is>
          <t>Sveaskog</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20600-2024</t>
        </is>
      </c>
      <c r="B4471" s="1" t="n">
        <v>45436</v>
      </c>
      <c r="C4471" s="1" t="n">
        <v>46075</v>
      </c>
      <c r="D4471" t="inlineStr">
        <is>
          <t>VÄSTERBOTTENS LÄN</t>
        </is>
      </c>
      <c r="E4471" t="inlineStr">
        <is>
          <t>VINDELN</t>
        </is>
      </c>
      <c r="F4471" t="inlineStr">
        <is>
          <t>Sveaskog</t>
        </is>
      </c>
      <c r="G4471" t="n">
        <v>14.6</v>
      </c>
      <c r="H4471" t="n">
        <v>0</v>
      </c>
      <c r="I4471" t="n">
        <v>0</v>
      </c>
      <c r="J4471" t="n">
        <v>0</v>
      </c>
      <c r="K4471" t="n">
        <v>0</v>
      </c>
      <c r="L4471" t="n">
        <v>0</v>
      </c>
      <c r="M4471" t="n">
        <v>0</v>
      </c>
      <c r="N4471" t="n">
        <v>0</v>
      </c>
      <c r="O4471" t="n">
        <v>0</v>
      </c>
      <c r="P4471" t="n">
        <v>0</v>
      </c>
      <c r="Q4471" t="n">
        <v>0</v>
      </c>
      <c r="R4471" s="2" t="inlineStr"/>
    </row>
    <row r="4472" ht="15" customHeight="1">
      <c r="A4472" t="inlineStr">
        <is>
          <t>A 32826-2025</t>
        </is>
      </c>
      <c r="B4472" s="1" t="n">
        <v>45839.54482638889</v>
      </c>
      <c r="C4472" s="1" t="n">
        <v>46075</v>
      </c>
      <c r="D4472" t="inlineStr">
        <is>
          <t>VÄSTERBOTTENS LÄN</t>
        </is>
      </c>
      <c r="E4472" t="inlineStr">
        <is>
          <t>ROBERTSFORS</t>
        </is>
      </c>
      <c r="G4472" t="n">
        <v>4</v>
      </c>
      <c r="H4472" t="n">
        <v>0</v>
      </c>
      <c r="I4472" t="n">
        <v>0</v>
      </c>
      <c r="J4472" t="n">
        <v>0</v>
      </c>
      <c r="K4472" t="n">
        <v>0</v>
      </c>
      <c r="L4472" t="n">
        <v>0</v>
      </c>
      <c r="M4472" t="n">
        <v>0</v>
      </c>
      <c r="N4472" t="n">
        <v>0</v>
      </c>
      <c r="O4472" t="n">
        <v>0</v>
      </c>
      <c r="P4472" t="n">
        <v>0</v>
      </c>
      <c r="Q4472" t="n">
        <v>0</v>
      </c>
      <c r="R4472" s="2" t="inlineStr"/>
    </row>
    <row r="4473" ht="15" customHeight="1">
      <c r="A4473" t="inlineStr">
        <is>
          <t>A 37482-2024</t>
        </is>
      </c>
      <c r="B4473" s="1" t="n">
        <v>45541.33385416667</v>
      </c>
      <c r="C4473" s="1" t="n">
        <v>46075</v>
      </c>
      <c r="D4473" t="inlineStr">
        <is>
          <t>VÄSTERBOTTENS LÄN</t>
        </is>
      </c>
      <c r="E4473" t="inlineStr">
        <is>
          <t>ROBERTSFORS</t>
        </is>
      </c>
      <c r="F4473" t="inlineStr">
        <is>
          <t>Holmen skog AB</t>
        </is>
      </c>
      <c r="G4473" t="n">
        <v>2.7</v>
      </c>
      <c r="H4473" t="n">
        <v>0</v>
      </c>
      <c r="I4473" t="n">
        <v>0</v>
      </c>
      <c r="J4473" t="n">
        <v>0</v>
      </c>
      <c r="K4473" t="n">
        <v>0</v>
      </c>
      <c r="L4473" t="n">
        <v>0</v>
      </c>
      <c r="M4473" t="n">
        <v>0</v>
      </c>
      <c r="N4473" t="n">
        <v>0</v>
      </c>
      <c r="O4473" t="n">
        <v>0</v>
      </c>
      <c r="P4473" t="n">
        <v>0</v>
      </c>
      <c r="Q4473" t="n">
        <v>0</v>
      </c>
      <c r="R4473" s="2" t="inlineStr"/>
    </row>
    <row r="4474" ht="15" customHeight="1">
      <c r="A4474" t="inlineStr">
        <is>
          <t>A 32314-2025</t>
        </is>
      </c>
      <c r="B4474" s="1" t="n">
        <v>45835.87006944444</v>
      </c>
      <c r="C4474" s="1" t="n">
        <v>46075</v>
      </c>
      <c r="D4474" t="inlineStr">
        <is>
          <t>VÄSTERBOTTENS LÄN</t>
        </is>
      </c>
      <c r="E4474" t="inlineStr">
        <is>
          <t>BJURHOLM</t>
        </is>
      </c>
      <c r="F4474" t="inlineStr">
        <is>
          <t>Holmen skog AB</t>
        </is>
      </c>
      <c r="G4474" t="n">
        <v>5.4</v>
      </c>
      <c r="H4474" t="n">
        <v>0</v>
      </c>
      <c r="I4474" t="n">
        <v>0</v>
      </c>
      <c r="J4474" t="n">
        <v>0</v>
      </c>
      <c r="K4474" t="n">
        <v>0</v>
      </c>
      <c r="L4474" t="n">
        <v>0</v>
      </c>
      <c r="M4474" t="n">
        <v>0</v>
      </c>
      <c r="N4474" t="n">
        <v>0</v>
      </c>
      <c r="O4474" t="n">
        <v>0</v>
      </c>
      <c r="P4474" t="n">
        <v>0</v>
      </c>
      <c r="Q4474" t="n">
        <v>0</v>
      </c>
      <c r="R4474" s="2" t="inlineStr"/>
    </row>
    <row r="4475" ht="15" customHeight="1">
      <c r="A4475" t="inlineStr">
        <is>
          <t>A 32315-2025</t>
        </is>
      </c>
      <c r="B4475" s="1" t="n">
        <v>45835.878125</v>
      </c>
      <c r="C4475" s="1" t="n">
        <v>46075</v>
      </c>
      <c r="D4475" t="inlineStr">
        <is>
          <t>VÄSTERBOTTENS LÄN</t>
        </is>
      </c>
      <c r="E4475" t="inlineStr">
        <is>
          <t>NORDMALING</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32919-2024</t>
        </is>
      </c>
      <c r="B4476" s="1" t="n">
        <v>45516.95201388889</v>
      </c>
      <c r="C4476" s="1" t="n">
        <v>46075</v>
      </c>
      <c r="D4476" t="inlineStr">
        <is>
          <t>VÄSTERBOTTENS LÄN</t>
        </is>
      </c>
      <c r="E4476" t="inlineStr">
        <is>
          <t>SKELLEFTEÅ</t>
        </is>
      </c>
      <c r="F4476" t="inlineStr">
        <is>
          <t>SCA</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32810-2025</t>
        </is>
      </c>
      <c r="B4477" s="1" t="n">
        <v>45839.51207175926</v>
      </c>
      <c r="C4477" s="1" t="n">
        <v>46075</v>
      </c>
      <c r="D4477" t="inlineStr">
        <is>
          <t>VÄSTERBOTTENS LÄN</t>
        </is>
      </c>
      <c r="E4477" t="inlineStr">
        <is>
          <t>ÅSELE</t>
        </is>
      </c>
      <c r="F4477" t="inlineStr">
        <is>
          <t>Holmen skog AB</t>
        </is>
      </c>
      <c r="G4477" t="n">
        <v>3.7</v>
      </c>
      <c r="H4477" t="n">
        <v>0</v>
      </c>
      <c r="I4477" t="n">
        <v>0</v>
      </c>
      <c r="J4477" t="n">
        <v>0</v>
      </c>
      <c r="K4477" t="n">
        <v>0</v>
      </c>
      <c r="L4477" t="n">
        <v>0</v>
      </c>
      <c r="M4477" t="n">
        <v>0</v>
      </c>
      <c r="N4477" t="n">
        <v>0</v>
      </c>
      <c r="O4477" t="n">
        <v>0</v>
      </c>
      <c r="P4477" t="n">
        <v>0</v>
      </c>
      <c r="Q4477" t="n">
        <v>0</v>
      </c>
      <c r="R4477" s="2" t="inlineStr"/>
    </row>
    <row r="4478" ht="15" customHeight="1">
      <c r="A4478" t="inlineStr">
        <is>
          <t>A 32499-2025</t>
        </is>
      </c>
      <c r="B4478" s="1" t="n">
        <v>45838.45792824074</v>
      </c>
      <c r="C4478" s="1" t="n">
        <v>46075</v>
      </c>
      <c r="D4478" t="inlineStr">
        <is>
          <t>VÄSTERBOTTENS LÄN</t>
        </is>
      </c>
      <c r="E4478" t="inlineStr">
        <is>
          <t>ROBERTSFORS</t>
        </is>
      </c>
      <c r="G4478" t="n">
        <v>4.3</v>
      </c>
      <c r="H4478" t="n">
        <v>0</v>
      </c>
      <c r="I4478" t="n">
        <v>0</v>
      </c>
      <c r="J4478" t="n">
        <v>0</v>
      </c>
      <c r="K4478" t="n">
        <v>0</v>
      </c>
      <c r="L4478" t="n">
        <v>0</v>
      </c>
      <c r="M4478" t="n">
        <v>0</v>
      </c>
      <c r="N4478" t="n">
        <v>0</v>
      </c>
      <c r="O4478" t="n">
        <v>0</v>
      </c>
      <c r="P4478" t="n">
        <v>0</v>
      </c>
      <c r="Q4478" t="n">
        <v>0</v>
      </c>
      <c r="R4478" s="2" t="inlineStr"/>
    </row>
    <row r="4479" ht="15" customHeight="1">
      <c r="A4479" t="inlineStr">
        <is>
          <t>A 23596-2024</t>
        </is>
      </c>
      <c r="B4479" s="1" t="n">
        <v>45454.38533564815</v>
      </c>
      <c r="C4479" s="1" t="n">
        <v>46075</v>
      </c>
      <c r="D4479" t="inlineStr">
        <is>
          <t>VÄSTERBOTTENS LÄN</t>
        </is>
      </c>
      <c r="E4479" t="inlineStr">
        <is>
          <t>LYCKSELE</t>
        </is>
      </c>
      <c r="G4479" t="n">
        <v>8.800000000000001</v>
      </c>
      <c r="H4479" t="n">
        <v>0</v>
      </c>
      <c r="I4479" t="n">
        <v>0</v>
      </c>
      <c r="J4479" t="n">
        <v>0</v>
      </c>
      <c r="K4479" t="n">
        <v>0</v>
      </c>
      <c r="L4479" t="n">
        <v>0</v>
      </c>
      <c r="M4479" t="n">
        <v>0</v>
      </c>
      <c r="N4479" t="n">
        <v>0</v>
      </c>
      <c r="O4479" t="n">
        <v>0</v>
      </c>
      <c r="P4479" t="n">
        <v>0</v>
      </c>
      <c r="Q4479" t="n">
        <v>0</v>
      </c>
      <c r="R4479" s="2" t="inlineStr"/>
    </row>
    <row r="4480" ht="15" customHeight="1">
      <c r="A4480" t="inlineStr">
        <is>
          <t>A 42986-2025</t>
        </is>
      </c>
      <c r="B4480" s="1" t="n">
        <v>45909.44497685185</v>
      </c>
      <c r="C4480" s="1" t="n">
        <v>46075</v>
      </c>
      <c r="D4480" t="inlineStr">
        <is>
          <t>VÄSTERBOTTENS LÄN</t>
        </is>
      </c>
      <c r="E4480" t="inlineStr">
        <is>
          <t>LYCKSELE</t>
        </is>
      </c>
      <c r="G4480" t="n">
        <v>6.5</v>
      </c>
      <c r="H4480" t="n">
        <v>0</v>
      </c>
      <c r="I4480" t="n">
        <v>0</v>
      </c>
      <c r="J4480" t="n">
        <v>0</v>
      </c>
      <c r="K4480" t="n">
        <v>0</v>
      </c>
      <c r="L4480" t="n">
        <v>0</v>
      </c>
      <c r="M4480" t="n">
        <v>0</v>
      </c>
      <c r="N4480" t="n">
        <v>0</v>
      </c>
      <c r="O4480" t="n">
        <v>0</v>
      </c>
      <c r="P4480" t="n">
        <v>0</v>
      </c>
      <c r="Q4480" t="n">
        <v>0</v>
      </c>
      <c r="R4480" s="2" t="inlineStr"/>
    </row>
    <row r="4481" ht="15" customHeight="1">
      <c r="A4481" t="inlineStr">
        <is>
          <t>A 42752-2025</t>
        </is>
      </c>
      <c r="B4481" s="1" t="n">
        <v>45908.44136574074</v>
      </c>
      <c r="C4481" s="1" t="n">
        <v>46075</v>
      </c>
      <c r="D4481" t="inlineStr">
        <is>
          <t>VÄSTERBOTTENS LÄN</t>
        </is>
      </c>
      <c r="E4481" t="inlineStr">
        <is>
          <t>NORSJÖ</t>
        </is>
      </c>
      <c r="F4481" t="inlineStr">
        <is>
          <t>Holmen skog AB</t>
        </is>
      </c>
      <c r="G4481" t="n">
        <v>5.9</v>
      </c>
      <c r="H4481" t="n">
        <v>0</v>
      </c>
      <c r="I4481" t="n">
        <v>0</v>
      </c>
      <c r="J4481" t="n">
        <v>0</v>
      </c>
      <c r="K4481" t="n">
        <v>0</v>
      </c>
      <c r="L4481" t="n">
        <v>0</v>
      </c>
      <c r="M4481" t="n">
        <v>0</v>
      </c>
      <c r="N4481" t="n">
        <v>0</v>
      </c>
      <c r="O4481" t="n">
        <v>0</v>
      </c>
      <c r="P4481" t="n">
        <v>0</v>
      </c>
      <c r="Q4481" t="n">
        <v>0</v>
      </c>
      <c r="R4481" s="2" t="inlineStr"/>
    </row>
    <row r="4482" ht="15" customHeight="1">
      <c r="A4482" t="inlineStr">
        <is>
          <t>A 48488-2023</t>
        </is>
      </c>
      <c r="B4482" s="1" t="n">
        <v>45206</v>
      </c>
      <c r="C4482" s="1" t="n">
        <v>46075</v>
      </c>
      <c r="D4482" t="inlineStr">
        <is>
          <t>VÄSTERBOTTENS LÄN</t>
        </is>
      </c>
      <c r="E4482" t="inlineStr">
        <is>
          <t>ÅSELE</t>
        </is>
      </c>
      <c r="F4482" t="inlineStr">
        <is>
          <t>SCA</t>
        </is>
      </c>
      <c r="G4482" t="n">
        <v>8.199999999999999</v>
      </c>
      <c r="H4482" t="n">
        <v>0</v>
      </c>
      <c r="I4482" t="n">
        <v>0</v>
      </c>
      <c r="J4482" t="n">
        <v>0</v>
      </c>
      <c r="K4482" t="n">
        <v>0</v>
      </c>
      <c r="L4482" t="n">
        <v>0</v>
      </c>
      <c r="M4482" t="n">
        <v>0</v>
      </c>
      <c r="N4482" t="n">
        <v>0</v>
      </c>
      <c r="O4482" t="n">
        <v>0</v>
      </c>
      <c r="P4482" t="n">
        <v>0</v>
      </c>
      <c r="Q4482" t="n">
        <v>0</v>
      </c>
      <c r="R4482" s="2" t="inlineStr"/>
    </row>
    <row r="4483" ht="15" customHeight="1">
      <c r="A4483" t="inlineStr">
        <is>
          <t>A 33213-2025</t>
        </is>
      </c>
      <c r="B4483" s="1" t="n">
        <v>45840.62851851852</v>
      </c>
      <c r="C4483" s="1" t="n">
        <v>46075</v>
      </c>
      <c r="D4483" t="inlineStr">
        <is>
          <t>VÄSTERBOTTENS LÄN</t>
        </is>
      </c>
      <c r="E4483" t="inlineStr">
        <is>
          <t>NORDMALING</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33227-2025</t>
        </is>
      </c>
      <c r="B4484" s="1" t="n">
        <v>45840.63763888889</v>
      </c>
      <c r="C4484" s="1" t="n">
        <v>46075</v>
      </c>
      <c r="D4484" t="inlineStr">
        <is>
          <t>VÄSTERBOTTENS LÄN</t>
        </is>
      </c>
      <c r="E4484" t="inlineStr">
        <is>
          <t>NORDMALING</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12759-2024</t>
        </is>
      </c>
      <c r="B4485" s="1" t="n">
        <v>45384</v>
      </c>
      <c r="C4485" s="1" t="n">
        <v>46075</v>
      </c>
      <c r="D4485" t="inlineStr">
        <is>
          <t>VÄSTERBOTTENS LÄN</t>
        </is>
      </c>
      <c r="E4485" t="inlineStr">
        <is>
          <t>SKELLEFTEÅ</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33198-2025</t>
        </is>
      </c>
      <c r="B4486" s="1" t="n">
        <v>45840.6047800926</v>
      </c>
      <c r="C4486" s="1" t="n">
        <v>46075</v>
      </c>
      <c r="D4486" t="inlineStr">
        <is>
          <t>VÄSTERBOTTENS LÄN</t>
        </is>
      </c>
      <c r="E4486" t="inlineStr">
        <is>
          <t>UMEÅ</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42935-2025</t>
        </is>
      </c>
      <c r="B4487" s="1" t="n">
        <v>45909.32541666667</v>
      </c>
      <c r="C4487" s="1" t="n">
        <v>46075</v>
      </c>
      <c r="D4487" t="inlineStr">
        <is>
          <t>VÄSTERBOTTENS LÄN</t>
        </is>
      </c>
      <c r="E4487" t="inlineStr">
        <is>
          <t>ÅSELE</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42854-2025</t>
        </is>
      </c>
      <c r="B4488" s="1" t="n">
        <v>45908.60465277778</v>
      </c>
      <c r="C4488" s="1" t="n">
        <v>46075</v>
      </c>
      <c r="D4488" t="inlineStr">
        <is>
          <t>VÄSTERBOTTENS LÄN</t>
        </is>
      </c>
      <c r="E4488" t="inlineStr">
        <is>
          <t>UMEÅ</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4447-2023</t>
        </is>
      </c>
      <c r="B4489" s="1" t="n">
        <v>44951</v>
      </c>
      <c r="C4489" s="1" t="n">
        <v>46075</v>
      </c>
      <c r="D4489" t="inlineStr">
        <is>
          <t>VÄSTERBOTTENS LÄN</t>
        </is>
      </c>
      <c r="E4489" t="inlineStr">
        <is>
          <t>SKELLEFTEÅ</t>
        </is>
      </c>
      <c r="G4489" t="n">
        <v>4.1</v>
      </c>
      <c r="H4489" t="n">
        <v>0</v>
      </c>
      <c r="I4489" t="n">
        <v>0</v>
      </c>
      <c r="J4489" t="n">
        <v>0</v>
      </c>
      <c r="K4489" t="n">
        <v>0</v>
      </c>
      <c r="L4489" t="n">
        <v>0</v>
      </c>
      <c r="M4489" t="n">
        <v>0</v>
      </c>
      <c r="N4489" t="n">
        <v>0</v>
      </c>
      <c r="O4489" t="n">
        <v>0</v>
      </c>
      <c r="P4489" t="n">
        <v>0</v>
      </c>
      <c r="Q4489" t="n">
        <v>0</v>
      </c>
      <c r="R4489" s="2" t="inlineStr"/>
    </row>
    <row r="4490" ht="15" customHeight="1">
      <c r="A4490" t="inlineStr">
        <is>
          <t>A 32976-2025</t>
        </is>
      </c>
      <c r="B4490" s="1" t="n">
        <v>45839.79112268519</v>
      </c>
      <c r="C4490" s="1" t="n">
        <v>46075</v>
      </c>
      <c r="D4490" t="inlineStr">
        <is>
          <t>VÄSTERBOTTENS LÄN</t>
        </is>
      </c>
      <c r="E4490" t="inlineStr">
        <is>
          <t>ÅSELE</t>
        </is>
      </c>
      <c r="F4490" t="inlineStr">
        <is>
          <t>Holmen skog AB</t>
        </is>
      </c>
      <c r="G4490" t="n">
        <v>5.2</v>
      </c>
      <c r="H4490" t="n">
        <v>0</v>
      </c>
      <c r="I4490" t="n">
        <v>0</v>
      </c>
      <c r="J4490" t="n">
        <v>0</v>
      </c>
      <c r="K4490" t="n">
        <v>0</v>
      </c>
      <c r="L4490" t="n">
        <v>0</v>
      </c>
      <c r="M4490" t="n">
        <v>0</v>
      </c>
      <c r="N4490" t="n">
        <v>0</v>
      </c>
      <c r="O4490" t="n">
        <v>0</v>
      </c>
      <c r="P4490" t="n">
        <v>0</v>
      </c>
      <c r="Q4490" t="n">
        <v>0</v>
      </c>
      <c r="R4490" s="2" t="inlineStr"/>
    </row>
    <row r="4491" ht="15" customHeight="1">
      <c r="A4491" t="inlineStr">
        <is>
          <t>A 21044-2025</t>
        </is>
      </c>
      <c r="B4491" s="1" t="n">
        <v>45777.55259259259</v>
      </c>
      <c r="C4491" s="1" t="n">
        <v>46075</v>
      </c>
      <c r="D4491" t="inlineStr">
        <is>
          <t>VÄSTERBOTTENS LÄN</t>
        </is>
      </c>
      <c r="E4491" t="inlineStr">
        <is>
          <t>ÅSELE</t>
        </is>
      </c>
      <c r="F4491" t="inlineStr">
        <is>
          <t>SCA</t>
        </is>
      </c>
      <c r="G4491" t="n">
        <v>3.7</v>
      </c>
      <c r="H4491" t="n">
        <v>0</v>
      </c>
      <c r="I4491" t="n">
        <v>0</v>
      </c>
      <c r="J4491" t="n">
        <v>0</v>
      </c>
      <c r="K4491" t="n">
        <v>0</v>
      </c>
      <c r="L4491" t="n">
        <v>0</v>
      </c>
      <c r="M4491" t="n">
        <v>0</v>
      </c>
      <c r="N4491" t="n">
        <v>0</v>
      </c>
      <c r="O4491" t="n">
        <v>0</v>
      </c>
      <c r="P4491" t="n">
        <v>0</v>
      </c>
      <c r="Q4491" t="n">
        <v>0</v>
      </c>
      <c r="R4491" s="2" t="inlineStr"/>
    </row>
    <row r="4492" ht="15" customHeight="1">
      <c r="A4492" t="inlineStr">
        <is>
          <t>A 12944-2025</t>
        </is>
      </c>
      <c r="B4492" s="1" t="n">
        <v>45734</v>
      </c>
      <c r="C4492" s="1" t="n">
        <v>46075</v>
      </c>
      <c r="D4492" t="inlineStr">
        <is>
          <t>VÄSTERBOTTENS LÄN</t>
        </is>
      </c>
      <c r="E4492" t="inlineStr">
        <is>
          <t>NORSJÖ</t>
        </is>
      </c>
      <c r="G4492" t="n">
        <v>13.7</v>
      </c>
      <c r="H4492" t="n">
        <v>0</v>
      </c>
      <c r="I4492" t="n">
        <v>0</v>
      </c>
      <c r="J4492" t="n">
        <v>0</v>
      </c>
      <c r="K4492" t="n">
        <v>0</v>
      </c>
      <c r="L4492" t="n">
        <v>0</v>
      </c>
      <c r="M4492" t="n">
        <v>0</v>
      </c>
      <c r="N4492" t="n">
        <v>0</v>
      </c>
      <c r="O4492" t="n">
        <v>0</v>
      </c>
      <c r="P4492" t="n">
        <v>0</v>
      </c>
      <c r="Q4492" t="n">
        <v>0</v>
      </c>
      <c r="R4492" s="2" t="inlineStr"/>
    </row>
    <row r="4493" ht="15" customHeight="1">
      <c r="A4493" t="inlineStr">
        <is>
          <t>A 27558-2022</t>
        </is>
      </c>
      <c r="B4493" s="1" t="n">
        <v>44742</v>
      </c>
      <c r="C4493" s="1" t="n">
        <v>46075</v>
      </c>
      <c r="D4493" t="inlineStr">
        <is>
          <t>VÄSTERBOTTENS LÄN</t>
        </is>
      </c>
      <c r="E4493" t="inlineStr">
        <is>
          <t>DOROTEA</t>
        </is>
      </c>
      <c r="G4493" t="n">
        <v>7.4</v>
      </c>
      <c r="H4493" t="n">
        <v>0</v>
      </c>
      <c r="I4493" t="n">
        <v>0</v>
      </c>
      <c r="J4493" t="n">
        <v>0</v>
      </c>
      <c r="K4493" t="n">
        <v>0</v>
      </c>
      <c r="L4493" t="n">
        <v>0</v>
      </c>
      <c r="M4493" t="n">
        <v>0</v>
      </c>
      <c r="N4493" t="n">
        <v>0</v>
      </c>
      <c r="O4493" t="n">
        <v>0</v>
      </c>
      <c r="P4493" t="n">
        <v>0</v>
      </c>
      <c r="Q4493" t="n">
        <v>0</v>
      </c>
      <c r="R4493" s="2" t="inlineStr"/>
    </row>
    <row r="4494" ht="15" customHeight="1">
      <c r="A4494" t="inlineStr">
        <is>
          <t>A 33319-2025</t>
        </is>
      </c>
      <c r="B4494" s="1" t="n">
        <v>45841</v>
      </c>
      <c r="C4494" s="1" t="n">
        <v>46075</v>
      </c>
      <c r="D4494" t="inlineStr">
        <is>
          <t>VÄSTERBOTTENS LÄN</t>
        </is>
      </c>
      <c r="E4494" t="inlineStr">
        <is>
          <t>VILHELMINA</t>
        </is>
      </c>
      <c r="F4494" t="inlineStr">
        <is>
          <t>SCA</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25565-2025</t>
        </is>
      </c>
      <c r="B4495" s="1" t="n">
        <v>45803.45731481481</v>
      </c>
      <c r="C4495" s="1" t="n">
        <v>46075</v>
      </c>
      <c r="D4495" t="inlineStr">
        <is>
          <t>VÄSTERBOTTENS LÄN</t>
        </is>
      </c>
      <c r="E4495" t="inlineStr">
        <is>
          <t>LYCKSELE</t>
        </is>
      </c>
      <c r="G4495" t="n">
        <v>21.9</v>
      </c>
      <c r="H4495" t="n">
        <v>0</v>
      </c>
      <c r="I4495" t="n">
        <v>0</v>
      </c>
      <c r="J4495" t="n">
        <v>0</v>
      </c>
      <c r="K4495" t="n">
        <v>0</v>
      </c>
      <c r="L4495" t="n">
        <v>0</v>
      </c>
      <c r="M4495" t="n">
        <v>0</v>
      </c>
      <c r="N4495" t="n">
        <v>0</v>
      </c>
      <c r="O4495" t="n">
        <v>0</v>
      </c>
      <c r="P4495" t="n">
        <v>0</v>
      </c>
      <c r="Q4495" t="n">
        <v>0</v>
      </c>
      <c r="R4495" s="2" t="inlineStr"/>
    </row>
    <row r="4496" ht="15" customHeight="1">
      <c r="A4496" t="inlineStr">
        <is>
          <t>A 27378-2023</t>
        </is>
      </c>
      <c r="B4496" s="1" t="n">
        <v>45096.93858796296</v>
      </c>
      <c r="C4496" s="1" t="n">
        <v>46075</v>
      </c>
      <c r="D4496" t="inlineStr">
        <is>
          <t>VÄSTERBOTTENS LÄN</t>
        </is>
      </c>
      <c r="E4496" t="inlineStr">
        <is>
          <t>NORDMALING</t>
        </is>
      </c>
      <c r="F4496" t="inlineStr">
        <is>
          <t>SCA</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33093-2025</t>
        </is>
      </c>
      <c r="B4497" s="1" t="n">
        <v>45840.47180555556</v>
      </c>
      <c r="C4497" s="1" t="n">
        <v>46075</v>
      </c>
      <c r="D4497" t="inlineStr">
        <is>
          <t>VÄSTERBOTTENS LÄN</t>
        </is>
      </c>
      <c r="E4497" t="inlineStr">
        <is>
          <t>SKELLEFTEÅ</t>
        </is>
      </c>
      <c r="G4497" t="n">
        <v>7.3</v>
      </c>
      <c r="H4497" t="n">
        <v>0</v>
      </c>
      <c r="I4497" t="n">
        <v>0</v>
      </c>
      <c r="J4497" t="n">
        <v>0</v>
      </c>
      <c r="K4497" t="n">
        <v>0</v>
      </c>
      <c r="L4497" t="n">
        <v>0</v>
      </c>
      <c r="M4497" t="n">
        <v>0</v>
      </c>
      <c r="N4497" t="n">
        <v>0</v>
      </c>
      <c r="O4497" t="n">
        <v>0</v>
      </c>
      <c r="P4497" t="n">
        <v>0</v>
      </c>
      <c r="Q4497" t="n">
        <v>0</v>
      </c>
      <c r="R4497" s="2" t="inlineStr"/>
    </row>
    <row r="4498" ht="15" customHeight="1">
      <c r="A4498" t="inlineStr">
        <is>
          <t>A 12507-2023</t>
        </is>
      </c>
      <c r="B4498" s="1" t="n">
        <v>44999</v>
      </c>
      <c r="C4498" s="1" t="n">
        <v>46075</v>
      </c>
      <c r="D4498" t="inlineStr">
        <is>
          <t>VÄSTERBOTTENS LÄN</t>
        </is>
      </c>
      <c r="E4498" t="inlineStr">
        <is>
          <t>SORSELE</t>
        </is>
      </c>
      <c r="G4498" t="n">
        <v>5.6</v>
      </c>
      <c r="H4498" t="n">
        <v>0</v>
      </c>
      <c r="I4498" t="n">
        <v>0</v>
      </c>
      <c r="J4498" t="n">
        <v>0</v>
      </c>
      <c r="K4498" t="n">
        <v>0</v>
      </c>
      <c r="L4498" t="n">
        <v>0</v>
      </c>
      <c r="M4498" t="n">
        <v>0</v>
      </c>
      <c r="N4498" t="n">
        <v>0</v>
      </c>
      <c r="O4498" t="n">
        <v>0</v>
      </c>
      <c r="P4498" t="n">
        <v>0</v>
      </c>
      <c r="Q4498" t="n">
        <v>0</v>
      </c>
      <c r="R4498" s="2" t="inlineStr"/>
    </row>
    <row r="4499" ht="15" customHeight="1">
      <c r="A4499" t="inlineStr">
        <is>
          <t>A 13088-2023</t>
        </is>
      </c>
      <c r="B4499" s="1" t="n">
        <v>45001</v>
      </c>
      <c r="C4499" s="1" t="n">
        <v>46075</v>
      </c>
      <c r="D4499" t="inlineStr">
        <is>
          <t>VÄSTERBOTTENS LÄN</t>
        </is>
      </c>
      <c r="E4499" t="inlineStr">
        <is>
          <t>SORSELE</t>
        </is>
      </c>
      <c r="G4499" t="n">
        <v>20</v>
      </c>
      <c r="H4499" t="n">
        <v>0</v>
      </c>
      <c r="I4499" t="n">
        <v>0</v>
      </c>
      <c r="J4499" t="n">
        <v>0</v>
      </c>
      <c r="K4499" t="n">
        <v>0</v>
      </c>
      <c r="L4499" t="n">
        <v>0</v>
      </c>
      <c r="M4499" t="n">
        <v>0</v>
      </c>
      <c r="N4499" t="n">
        <v>0</v>
      </c>
      <c r="O4499" t="n">
        <v>0</v>
      </c>
      <c r="P4499" t="n">
        <v>0</v>
      </c>
      <c r="Q4499" t="n">
        <v>0</v>
      </c>
      <c r="R4499" s="2" t="inlineStr"/>
    </row>
    <row r="4500" ht="15" customHeight="1">
      <c r="A4500" t="inlineStr">
        <is>
          <t>A 44459-2023</t>
        </is>
      </c>
      <c r="B4500" s="1" t="n">
        <v>45189</v>
      </c>
      <c r="C4500" s="1" t="n">
        <v>46075</v>
      </c>
      <c r="D4500" t="inlineStr">
        <is>
          <t>VÄSTERBOTTENS LÄN</t>
        </is>
      </c>
      <c r="E4500" t="inlineStr">
        <is>
          <t>UMEÅ</t>
        </is>
      </c>
      <c r="F4500" t="inlineStr">
        <is>
          <t>Holmen skog AB</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62100-2024</t>
        </is>
      </c>
      <c r="B4501" s="1" t="n">
        <v>45656</v>
      </c>
      <c r="C4501" s="1" t="n">
        <v>46075</v>
      </c>
      <c r="D4501" t="inlineStr">
        <is>
          <t>VÄSTERBOTTENS LÄN</t>
        </is>
      </c>
      <c r="E4501" t="inlineStr">
        <is>
          <t>VILHELMINA</t>
        </is>
      </c>
      <c r="F4501" t="inlineStr">
        <is>
          <t>SCA</t>
        </is>
      </c>
      <c r="G4501" t="n">
        <v>4</v>
      </c>
      <c r="H4501" t="n">
        <v>0</v>
      </c>
      <c r="I4501" t="n">
        <v>0</v>
      </c>
      <c r="J4501" t="n">
        <v>0</v>
      </c>
      <c r="K4501" t="n">
        <v>0</v>
      </c>
      <c r="L4501" t="n">
        <v>0</v>
      </c>
      <c r="M4501" t="n">
        <v>0</v>
      </c>
      <c r="N4501" t="n">
        <v>0</v>
      </c>
      <c r="O4501" t="n">
        <v>0</v>
      </c>
      <c r="P4501" t="n">
        <v>0</v>
      </c>
      <c r="Q4501" t="n">
        <v>0</v>
      </c>
      <c r="R4501" s="2" t="inlineStr"/>
    </row>
    <row r="4502" ht="15" customHeight="1">
      <c r="A4502" t="inlineStr">
        <is>
          <t>A 33389-2025</t>
        </is>
      </c>
      <c r="B4502" s="1" t="n">
        <v>45841.40692129629</v>
      </c>
      <c r="C4502" s="1" t="n">
        <v>46075</v>
      </c>
      <c r="D4502" t="inlineStr">
        <is>
          <t>VÄSTERBOTTENS LÄN</t>
        </is>
      </c>
      <c r="E4502" t="inlineStr">
        <is>
          <t>NORSJÖ</t>
        </is>
      </c>
      <c r="G4502" t="n">
        <v>2.8</v>
      </c>
      <c r="H4502" t="n">
        <v>0</v>
      </c>
      <c r="I4502" t="n">
        <v>0</v>
      </c>
      <c r="J4502" t="n">
        <v>0</v>
      </c>
      <c r="K4502" t="n">
        <v>0</v>
      </c>
      <c r="L4502" t="n">
        <v>0</v>
      </c>
      <c r="M4502" t="n">
        <v>0</v>
      </c>
      <c r="N4502" t="n">
        <v>0</v>
      </c>
      <c r="O4502" t="n">
        <v>0</v>
      </c>
      <c r="P4502" t="n">
        <v>0</v>
      </c>
      <c r="Q4502" t="n">
        <v>0</v>
      </c>
      <c r="R4502" s="2" t="inlineStr"/>
    </row>
    <row r="4503" ht="15" customHeight="1">
      <c r="A4503" t="inlineStr">
        <is>
          <t>A 61089-2023</t>
        </is>
      </c>
      <c r="B4503" s="1" t="n">
        <v>45260</v>
      </c>
      <c r="C4503" s="1" t="n">
        <v>46075</v>
      </c>
      <c r="D4503" t="inlineStr">
        <is>
          <t>VÄSTERBOTTENS LÄN</t>
        </is>
      </c>
      <c r="E4503" t="inlineStr">
        <is>
          <t>SKELLEFTEÅ</t>
        </is>
      </c>
      <c r="G4503" t="n">
        <v>0.4</v>
      </c>
      <c r="H4503" t="n">
        <v>0</v>
      </c>
      <c r="I4503" t="n">
        <v>0</v>
      </c>
      <c r="J4503" t="n">
        <v>0</v>
      </c>
      <c r="K4503" t="n">
        <v>0</v>
      </c>
      <c r="L4503" t="n">
        <v>0</v>
      </c>
      <c r="M4503" t="n">
        <v>0</v>
      </c>
      <c r="N4503" t="n">
        <v>0</v>
      </c>
      <c r="O4503" t="n">
        <v>0</v>
      </c>
      <c r="P4503" t="n">
        <v>0</v>
      </c>
      <c r="Q4503" t="n">
        <v>0</v>
      </c>
      <c r="R4503" s="2" t="inlineStr"/>
    </row>
    <row r="4504" ht="15" customHeight="1">
      <c r="A4504" t="inlineStr">
        <is>
          <t>A 62341-2023</t>
        </is>
      </c>
      <c r="B4504" s="1" t="n">
        <v>45267.92677083334</v>
      </c>
      <c r="C4504" s="1" t="n">
        <v>46075</v>
      </c>
      <c r="D4504" t="inlineStr">
        <is>
          <t>VÄSTERBOTTENS LÄN</t>
        </is>
      </c>
      <c r="E4504" t="inlineStr">
        <is>
          <t>VINDELN</t>
        </is>
      </c>
      <c r="G4504" t="n">
        <v>6</v>
      </c>
      <c r="H4504" t="n">
        <v>0</v>
      </c>
      <c r="I4504" t="n">
        <v>0</v>
      </c>
      <c r="J4504" t="n">
        <v>0</v>
      </c>
      <c r="K4504" t="n">
        <v>0</v>
      </c>
      <c r="L4504" t="n">
        <v>0</v>
      </c>
      <c r="M4504" t="n">
        <v>0</v>
      </c>
      <c r="N4504" t="n">
        <v>0</v>
      </c>
      <c r="O4504" t="n">
        <v>0</v>
      </c>
      <c r="P4504" t="n">
        <v>0</v>
      </c>
      <c r="Q4504" t="n">
        <v>0</v>
      </c>
      <c r="R4504" s="2" t="inlineStr"/>
    </row>
    <row r="4505" ht="15" customHeight="1">
      <c r="A4505" t="inlineStr">
        <is>
          <t>A 42939-2025</t>
        </is>
      </c>
      <c r="B4505" s="1" t="n">
        <v>45909</v>
      </c>
      <c r="C4505" s="1" t="n">
        <v>46075</v>
      </c>
      <c r="D4505" t="inlineStr">
        <is>
          <t>VÄSTERBOTTENS LÄN</t>
        </is>
      </c>
      <c r="E4505" t="inlineStr">
        <is>
          <t>UMEÅ</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33641-2025</t>
        </is>
      </c>
      <c r="B4506" s="1" t="n">
        <v>45841.65045138889</v>
      </c>
      <c r="C4506" s="1" t="n">
        <v>46075</v>
      </c>
      <c r="D4506" t="inlineStr">
        <is>
          <t>VÄSTERBOTTENS LÄN</t>
        </is>
      </c>
      <c r="E4506" t="inlineStr">
        <is>
          <t>VILHELMINA</t>
        </is>
      </c>
      <c r="G4506" t="n">
        <v>7.3</v>
      </c>
      <c r="H4506" t="n">
        <v>0</v>
      </c>
      <c r="I4506" t="n">
        <v>0</v>
      </c>
      <c r="J4506" t="n">
        <v>0</v>
      </c>
      <c r="K4506" t="n">
        <v>0</v>
      </c>
      <c r="L4506" t="n">
        <v>0</v>
      </c>
      <c r="M4506" t="n">
        <v>0</v>
      </c>
      <c r="N4506" t="n">
        <v>0</v>
      </c>
      <c r="O4506" t="n">
        <v>0</v>
      </c>
      <c r="P4506" t="n">
        <v>0</v>
      </c>
      <c r="Q4506" t="n">
        <v>0</v>
      </c>
      <c r="R4506" s="2" t="inlineStr"/>
    </row>
    <row r="4507" ht="15" customHeight="1">
      <c r="A4507" t="inlineStr">
        <is>
          <t>A 33242-2025</t>
        </is>
      </c>
      <c r="B4507" s="1" t="n">
        <v>45840.65033564815</v>
      </c>
      <c r="C4507" s="1" t="n">
        <v>46075</v>
      </c>
      <c r="D4507" t="inlineStr">
        <is>
          <t>VÄSTERBOTTENS LÄN</t>
        </is>
      </c>
      <c r="E4507" t="inlineStr">
        <is>
          <t>NORSJÖ</t>
        </is>
      </c>
      <c r="F4507" t="inlineStr">
        <is>
          <t>Holmen skog AB</t>
        </is>
      </c>
      <c r="G4507" t="n">
        <v>2.9</v>
      </c>
      <c r="H4507" t="n">
        <v>0</v>
      </c>
      <c r="I4507" t="n">
        <v>0</v>
      </c>
      <c r="J4507" t="n">
        <v>0</v>
      </c>
      <c r="K4507" t="n">
        <v>0</v>
      </c>
      <c r="L4507" t="n">
        <v>0</v>
      </c>
      <c r="M4507" t="n">
        <v>0</v>
      </c>
      <c r="N4507" t="n">
        <v>0</v>
      </c>
      <c r="O4507" t="n">
        <v>0</v>
      </c>
      <c r="P4507" t="n">
        <v>0</v>
      </c>
      <c r="Q4507" t="n">
        <v>0</v>
      </c>
      <c r="R4507" s="2" t="inlineStr"/>
    </row>
    <row r="4508" ht="15" customHeight="1">
      <c r="A4508" t="inlineStr">
        <is>
          <t>A 30053-2025</t>
        </is>
      </c>
      <c r="B4508" s="1" t="n">
        <v>45826.60013888889</v>
      </c>
      <c r="C4508" s="1" t="n">
        <v>46075</v>
      </c>
      <c r="D4508" t="inlineStr">
        <is>
          <t>VÄSTERBOTTENS LÄN</t>
        </is>
      </c>
      <c r="E4508" t="inlineStr">
        <is>
          <t>UMEÅ</t>
        </is>
      </c>
      <c r="G4508" t="n">
        <v>5.5</v>
      </c>
      <c r="H4508" t="n">
        <v>0</v>
      </c>
      <c r="I4508" t="n">
        <v>0</v>
      </c>
      <c r="J4508" t="n">
        <v>0</v>
      </c>
      <c r="K4508" t="n">
        <v>0</v>
      </c>
      <c r="L4508" t="n">
        <v>0</v>
      </c>
      <c r="M4508" t="n">
        <v>0</v>
      </c>
      <c r="N4508" t="n">
        <v>0</v>
      </c>
      <c r="O4508" t="n">
        <v>0</v>
      </c>
      <c r="P4508" t="n">
        <v>0</v>
      </c>
      <c r="Q4508" t="n">
        <v>0</v>
      </c>
      <c r="R4508" s="2" t="inlineStr"/>
    </row>
    <row r="4509" ht="15" customHeight="1">
      <c r="A4509" t="inlineStr">
        <is>
          <t>A 33527-2025</t>
        </is>
      </c>
      <c r="B4509" s="1" t="n">
        <v>45841.54920138889</v>
      </c>
      <c r="C4509" s="1" t="n">
        <v>46075</v>
      </c>
      <c r="D4509" t="inlineStr">
        <is>
          <t>VÄSTERBOTTENS LÄN</t>
        </is>
      </c>
      <c r="E4509" t="inlineStr">
        <is>
          <t>LYCKSELE</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33262-2025</t>
        </is>
      </c>
      <c r="B4510" s="1" t="n">
        <v>45840.67768518518</v>
      </c>
      <c r="C4510" s="1" t="n">
        <v>46075</v>
      </c>
      <c r="D4510" t="inlineStr">
        <is>
          <t>VÄSTERBOTTENS LÄN</t>
        </is>
      </c>
      <c r="E4510" t="inlineStr">
        <is>
          <t>DOROTEA</t>
        </is>
      </c>
      <c r="F4510" t="inlineStr">
        <is>
          <t>SCA</t>
        </is>
      </c>
      <c r="G4510" t="n">
        <v>17.4</v>
      </c>
      <c r="H4510" t="n">
        <v>0</v>
      </c>
      <c r="I4510" t="n">
        <v>0</v>
      </c>
      <c r="J4510" t="n">
        <v>0</v>
      </c>
      <c r="K4510" t="n">
        <v>0</v>
      </c>
      <c r="L4510" t="n">
        <v>0</v>
      </c>
      <c r="M4510" t="n">
        <v>0</v>
      </c>
      <c r="N4510" t="n">
        <v>0</v>
      </c>
      <c r="O4510" t="n">
        <v>0</v>
      </c>
      <c r="P4510" t="n">
        <v>0</v>
      </c>
      <c r="Q4510" t="n">
        <v>0</v>
      </c>
      <c r="R4510" s="2" t="inlineStr"/>
    </row>
    <row r="4511" ht="15" customHeight="1">
      <c r="A4511" t="inlineStr">
        <is>
          <t>A 57082-2024</t>
        </is>
      </c>
      <c r="B4511" s="1" t="n">
        <v>45629.3558449074</v>
      </c>
      <c r="C4511" s="1" t="n">
        <v>46075</v>
      </c>
      <c r="D4511" t="inlineStr">
        <is>
          <t>VÄSTERBOTTENS LÄN</t>
        </is>
      </c>
      <c r="E4511" t="inlineStr">
        <is>
          <t>DOROTEA</t>
        </is>
      </c>
      <c r="F4511" t="inlineStr">
        <is>
          <t>SCA</t>
        </is>
      </c>
      <c r="G4511" t="n">
        <v>9.6</v>
      </c>
      <c r="H4511" t="n">
        <v>0</v>
      </c>
      <c r="I4511" t="n">
        <v>0</v>
      </c>
      <c r="J4511" t="n">
        <v>0</v>
      </c>
      <c r="K4511" t="n">
        <v>0</v>
      </c>
      <c r="L4511" t="n">
        <v>0</v>
      </c>
      <c r="M4511" t="n">
        <v>0</v>
      </c>
      <c r="N4511" t="n">
        <v>0</v>
      </c>
      <c r="O4511" t="n">
        <v>0</v>
      </c>
      <c r="P4511" t="n">
        <v>0</v>
      </c>
      <c r="Q4511" t="n">
        <v>0</v>
      </c>
      <c r="R4511" s="2" t="inlineStr"/>
    </row>
    <row r="4512" ht="15" customHeight="1">
      <c r="A4512" t="inlineStr">
        <is>
          <t>A 24873-2021</t>
        </is>
      </c>
      <c r="B4512" s="1" t="n">
        <v>44340</v>
      </c>
      <c r="C4512" s="1" t="n">
        <v>46075</v>
      </c>
      <c r="D4512" t="inlineStr">
        <is>
          <t>VÄSTERBOTTENS LÄN</t>
        </is>
      </c>
      <c r="E4512" t="inlineStr">
        <is>
          <t>VINDELN</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33301-2025</t>
        </is>
      </c>
      <c r="B4513" s="1" t="n">
        <v>45841.28633101852</v>
      </c>
      <c r="C4513" s="1" t="n">
        <v>46075</v>
      </c>
      <c r="D4513" t="inlineStr">
        <is>
          <t>VÄSTERBOTTENS LÄN</t>
        </is>
      </c>
      <c r="E4513" t="inlineStr">
        <is>
          <t>ROBERTSFORS</t>
        </is>
      </c>
      <c r="F4513" t="inlineStr">
        <is>
          <t>Holmen skog AB</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33304-2025</t>
        </is>
      </c>
      <c r="B4514" s="1" t="n">
        <v>45841.29636574074</v>
      </c>
      <c r="C4514" s="1" t="n">
        <v>46075</v>
      </c>
      <c r="D4514" t="inlineStr">
        <is>
          <t>VÄSTERBOTTENS LÄN</t>
        </is>
      </c>
      <c r="E4514" t="inlineStr">
        <is>
          <t>SKELLEFTEÅ</t>
        </is>
      </c>
      <c r="G4514" t="n">
        <v>4.5</v>
      </c>
      <c r="H4514" t="n">
        <v>0</v>
      </c>
      <c r="I4514" t="n">
        <v>0</v>
      </c>
      <c r="J4514" t="n">
        <v>0</v>
      </c>
      <c r="K4514" t="n">
        <v>0</v>
      </c>
      <c r="L4514" t="n">
        <v>0</v>
      </c>
      <c r="M4514" t="n">
        <v>0</v>
      </c>
      <c r="N4514" t="n">
        <v>0</v>
      </c>
      <c r="O4514" t="n">
        <v>0</v>
      </c>
      <c r="P4514" t="n">
        <v>0</v>
      </c>
      <c r="Q4514" t="n">
        <v>0</v>
      </c>
      <c r="R4514" s="2" t="inlineStr"/>
    </row>
    <row r="4515" ht="15" customHeight="1">
      <c r="A4515" t="inlineStr">
        <is>
          <t>A 33453-2025</t>
        </is>
      </c>
      <c r="B4515" s="1" t="n">
        <v>45841.46954861111</v>
      </c>
      <c r="C4515" s="1" t="n">
        <v>46075</v>
      </c>
      <c r="D4515" t="inlineStr">
        <is>
          <t>VÄSTERBOTTENS LÄN</t>
        </is>
      </c>
      <c r="E4515" t="inlineStr">
        <is>
          <t>LYCKSELE</t>
        </is>
      </c>
      <c r="F4515" t="inlineStr">
        <is>
          <t>SCA</t>
        </is>
      </c>
      <c r="G4515" t="n">
        <v>4</v>
      </c>
      <c r="H4515" t="n">
        <v>0</v>
      </c>
      <c r="I4515" t="n">
        <v>0</v>
      </c>
      <c r="J4515" t="n">
        <v>0</v>
      </c>
      <c r="K4515" t="n">
        <v>0</v>
      </c>
      <c r="L4515" t="n">
        <v>0</v>
      </c>
      <c r="M4515" t="n">
        <v>0</v>
      </c>
      <c r="N4515" t="n">
        <v>0</v>
      </c>
      <c r="O4515" t="n">
        <v>0</v>
      </c>
      <c r="P4515" t="n">
        <v>0</v>
      </c>
      <c r="Q4515" t="n">
        <v>0</v>
      </c>
      <c r="R4515" s="2" t="inlineStr"/>
    </row>
    <row r="4516" ht="15" customHeight="1">
      <c r="A4516" t="inlineStr">
        <is>
          <t>A 64598-2023</t>
        </is>
      </c>
      <c r="B4516" s="1" t="n">
        <v>45281</v>
      </c>
      <c r="C4516" s="1" t="n">
        <v>46075</v>
      </c>
      <c r="D4516" t="inlineStr">
        <is>
          <t>VÄSTERBOTTENS LÄN</t>
        </is>
      </c>
      <c r="E4516" t="inlineStr">
        <is>
          <t>SKELLEFTEÅ</t>
        </is>
      </c>
      <c r="G4516" t="n">
        <v>2.8</v>
      </c>
      <c r="H4516" t="n">
        <v>0</v>
      </c>
      <c r="I4516" t="n">
        <v>0</v>
      </c>
      <c r="J4516" t="n">
        <v>0</v>
      </c>
      <c r="K4516" t="n">
        <v>0</v>
      </c>
      <c r="L4516" t="n">
        <v>0</v>
      </c>
      <c r="M4516" t="n">
        <v>0</v>
      </c>
      <c r="N4516" t="n">
        <v>0</v>
      </c>
      <c r="O4516" t="n">
        <v>0</v>
      </c>
      <c r="P4516" t="n">
        <v>0</v>
      </c>
      <c r="Q4516" t="n">
        <v>0</v>
      </c>
      <c r="R4516" s="2" t="inlineStr"/>
    </row>
    <row r="4517" ht="15" customHeight="1">
      <c r="A4517" t="inlineStr">
        <is>
          <t>A 10400-2025</t>
        </is>
      </c>
      <c r="B4517" s="1" t="n">
        <v>45720.61486111111</v>
      </c>
      <c r="C4517" s="1" t="n">
        <v>46075</v>
      </c>
      <c r="D4517" t="inlineStr">
        <is>
          <t>VÄSTERBOTTENS LÄN</t>
        </is>
      </c>
      <c r="E4517" t="inlineStr">
        <is>
          <t>DOROTEA</t>
        </is>
      </c>
      <c r="F4517" t="inlineStr">
        <is>
          <t>SCA</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42941-2025</t>
        </is>
      </c>
      <c r="B4518" s="1" t="n">
        <v>45909.33482638889</v>
      </c>
      <c r="C4518" s="1" t="n">
        <v>46075</v>
      </c>
      <c r="D4518" t="inlineStr">
        <is>
          <t>VÄSTERBOTTENS LÄN</t>
        </is>
      </c>
      <c r="E4518" t="inlineStr">
        <is>
          <t>VINDELN</t>
        </is>
      </c>
      <c r="F4518" t="inlineStr">
        <is>
          <t>Holmen skog AB</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33415-2025</t>
        </is>
      </c>
      <c r="B4519" s="1" t="n">
        <v>45841.4374537037</v>
      </c>
      <c r="C4519" s="1" t="n">
        <v>46075</v>
      </c>
      <c r="D4519" t="inlineStr">
        <is>
          <t>VÄSTERBOTTENS LÄN</t>
        </is>
      </c>
      <c r="E4519" t="inlineStr">
        <is>
          <t>LYCKSELE</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42984-2025</t>
        </is>
      </c>
      <c r="B4520" s="1" t="n">
        <v>45909.44195601852</v>
      </c>
      <c r="C4520" s="1" t="n">
        <v>46075</v>
      </c>
      <c r="D4520" t="inlineStr">
        <is>
          <t>VÄSTERBOTTENS LÄN</t>
        </is>
      </c>
      <c r="E4520" t="inlineStr">
        <is>
          <t>LYCKSELE</t>
        </is>
      </c>
      <c r="G4520" t="n">
        <v>2.5</v>
      </c>
      <c r="H4520" t="n">
        <v>0</v>
      </c>
      <c r="I4520" t="n">
        <v>0</v>
      </c>
      <c r="J4520" t="n">
        <v>0</v>
      </c>
      <c r="K4520" t="n">
        <v>0</v>
      </c>
      <c r="L4520" t="n">
        <v>0</v>
      </c>
      <c r="M4520" t="n">
        <v>0</v>
      </c>
      <c r="N4520" t="n">
        <v>0</v>
      </c>
      <c r="O4520" t="n">
        <v>0</v>
      </c>
      <c r="P4520" t="n">
        <v>0</v>
      </c>
      <c r="Q4520" t="n">
        <v>0</v>
      </c>
      <c r="R4520" s="2" t="inlineStr"/>
    </row>
    <row r="4521" ht="15" customHeight="1">
      <c r="A4521" t="inlineStr">
        <is>
          <t>A 42987-2025</t>
        </is>
      </c>
      <c r="B4521" s="1" t="n">
        <v>45909</v>
      </c>
      <c r="C4521" s="1" t="n">
        <v>46075</v>
      </c>
      <c r="D4521" t="inlineStr">
        <is>
          <t>VÄSTERBOTTENS LÄN</t>
        </is>
      </c>
      <c r="E4521" t="inlineStr">
        <is>
          <t>UMEÅ</t>
        </is>
      </c>
      <c r="F4521" t="inlineStr">
        <is>
          <t>Holmen skog AB</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18104-2021</t>
        </is>
      </c>
      <c r="B4522" s="1" t="n">
        <v>44302</v>
      </c>
      <c r="C4522" s="1" t="n">
        <v>46075</v>
      </c>
      <c r="D4522" t="inlineStr">
        <is>
          <t>VÄSTERBOTTENS LÄN</t>
        </is>
      </c>
      <c r="E4522" t="inlineStr">
        <is>
          <t>SKELLEFTEÅ</t>
        </is>
      </c>
      <c r="G4522" t="n">
        <v>3.8</v>
      </c>
      <c r="H4522" t="n">
        <v>0</v>
      </c>
      <c r="I4522" t="n">
        <v>0</v>
      </c>
      <c r="J4522" t="n">
        <v>0</v>
      </c>
      <c r="K4522" t="n">
        <v>0</v>
      </c>
      <c r="L4522" t="n">
        <v>0</v>
      </c>
      <c r="M4522" t="n">
        <v>0</v>
      </c>
      <c r="N4522" t="n">
        <v>0</v>
      </c>
      <c r="O4522" t="n">
        <v>0</v>
      </c>
      <c r="P4522" t="n">
        <v>0</v>
      </c>
      <c r="Q4522" t="n">
        <v>0</v>
      </c>
      <c r="R4522" s="2" t="inlineStr"/>
    </row>
    <row r="4523" ht="15" customHeight="1">
      <c r="A4523" t="inlineStr">
        <is>
          <t>A 22617-2025</t>
        </is>
      </c>
      <c r="B4523" s="1" t="n">
        <v>45789</v>
      </c>
      <c r="C4523" s="1" t="n">
        <v>46075</v>
      </c>
      <c r="D4523" t="inlineStr">
        <is>
          <t>VÄSTERBOTTENS LÄN</t>
        </is>
      </c>
      <c r="E4523" t="inlineStr">
        <is>
          <t>VILHELMINA</t>
        </is>
      </c>
      <c r="F4523" t="inlineStr">
        <is>
          <t>SCA</t>
        </is>
      </c>
      <c r="G4523" t="n">
        <v>7.3</v>
      </c>
      <c r="H4523" t="n">
        <v>0</v>
      </c>
      <c r="I4523" t="n">
        <v>0</v>
      </c>
      <c r="J4523" t="n">
        <v>0</v>
      </c>
      <c r="K4523" t="n">
        <v>0</v>
      </c>
      <c r="L4523" t="n">
        <v>0</v>
      </c>
      <c r="M4523" t="n">
        <v>0</v>
      </c>
      <c r="N4523" t="n">
        <v>0</v>
      </c>
      <c r="O4523" t="n">
        <v>0</v>
      </c>
      <c r="P4523" t="n">
        <v>0</v>
      </c>
      <c r="Q4523" t="n">
        <v>0</v>
      </c>
      <c r="R4523" s="2" t="inlineStr"/>
    </row>
    <row r="4524" ht="15" customHeight="1">
      <c r="A4524" t="inlineStr">
        <is>
          <t>A 52103-2023</t>
        </is>
      </c>
      <c r="B4524" s="1" t="n">
        <v>45223</v>
      </c>
      <c r="C4524" s="1" t="n">
        <v>46075</v>
      </c>
      <c r="D4524" t="inlineStr">
        <is>
          <t>VÄSTERBOTTENS LÄN</t>
        </is>
      </c>
      <c r="E4524" t="inlineStr">
        <is>
          <t>ÅSELE</t>
        </is>
      </c>
      <c r="F4524" t="inlineStr">
        <is>
          <t>Holmen skog AB</t>
        </is>
      </c>
      <c r="G4524" t="n">
        <v>4.1</v>
      </c>
      <c r="H4524" t="n">
        <v>0</v>
      </c>
      <c r="I4524" t="n">
        <v>0</v>
      </c>
      <c r="J4524" t="n">
        <v>0</v>
      </c>
      <c r="K4524" t="n">
        <v>0</v>
      </c>
      <c r="L4524" t="n">
        <v>0</v>
      </c>
      <c r="M4524" t="n">
        <v>0</v>
      </c>
      <c r="N4524" t="n">
        <v>0</v>
      </c>
      <c r="O4524" t="n">
        <v>0</v>
      </c>
      <c r="P4524" t="n">
        <v>0</v>
      </c>
      <c r="Q4524" t="n">
        <v>0</v>
      </c>
      <c r="R4524" s="2" t="inlineStr"/>
    </row>
    <row r="4525" ht="15" customHeight="1">
      <c r="A4525" t="inlineStr">
        <is>
          <t>A 43016-2025</t>
        </is>
      </c>
      <c r="B4525" s="1" t="n">
        <v>45909.49864583334</v>
      </c>
      <c r="C4525" s="1" t="n">
        <v>46075</v>
      </c>
      <c r="D4525" t="inlineStr">
        <is>
          <t>VÄSTERBOTTENS LÄN</t>
        </is>
      </c>
      <c r="E4525" t="inlineStr">
        <is>
          <t>UMEÅ</t>
        </is>
      </c>
      <c r="F4525" t="inlineStr">
        <is>
          <t>Holmen skog AB</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33657-2025</t>
        </is>
      </c>
      <c r="B4526" s="1" t="n">
        <v>45841.66048611111</v>
      </c>
      <c r="C4526" s="1" t="n">
        <v>46075</v>
      </c>
      <c r="D4526" t="inlineStr">
        <is>
          <t>VÄSTERBOTTENS LÄN</t>
        </is>
      </c>
      <c r="E4526" t="inlineStr">
        <is>
          <t>VINDELN</t>
        </is>
      </c>
      <c r="F4526" t="inlineStr">
        <is>
          <t>Holmen skog AB</t>
        </is>
      </c>
      <c r="G4526" t="n">
        <v>11.7</v>
      </c>
      <c r="H4526" t="n">
        <v>0</v>
      </c>
      <c r="I4526" t="n">
        <v>0</v>
      </c>
      <c r="J4526" t="n">
        <v>0</v>
      </c>
      <c r="K4526" t="n">
        <v>0</v>
      </c>
      <c r="L4526" t="n">
        <v>0</v>
      </c>
      <c r="M4526" t="n">
        <v>0</v>
      </c>
      <c r="N4526" t="n">
        <v>0</v>
      </c>
      <c r="O4526" t="n">
        <v>0</v>
      </c>
      <c r="P4526" t="n">
        <v>0</v>
      </c>
      <c r="Q4526" t="n">
        <v>0</v>
      </c>
      <c r="R4526" s="2" t="inlineStr"/>
    </row>
    <row r="4527" ht="15" customHeight="1">
      <c r="A4527" t="inlineStr">
        <is>
          <t>A 53679-2024</t>
        </is>
      </c>
      <c r="B4527" s="1" t="n">
        <v>45615</v>
      </c>
      <c r="C4527" s="1" t="n">
        <v>46075</v>
      </c>
      <c r="D4527" t="inlineStr">
        <is>
          <t>VÄSTERBOTTENS LÄN</t>
        </is>
      </c>
      <c r="E4527" t="inlineStr">
        <is>
          <t>ÅSELE</t>
        </is>
      </c>
      <c r="F4527" t="inlineStr">
        <is>
          <t>SCA</t>
        </is>
      </c>
      <c r="G4527" t="n">
        <v>5.2</v>
      </c>
      <c r="H4527" t="n">
        <v>0</v>
      </c>
      <c r="I4527" t="n">
        <v>0</v>
      </c>
      <c r="J4527" t="n">
        <v>0</v>
      </c>
      <c r="K4527" t="n">
        <v>0</v>
      </c>
      <c r="L4527" t="n">
        <v>0</v>
      </c>
      <c r="M4527" t="n">
        <v>0</v>
      </c>
      <c r="N4527" t="n">
        <v>0</v>
      </c>
      <c r="O4527" t="n">
        <v>0</v>
      </c>
      <c r="P4527" t="n">
        <v>0</v>
      </c>
      <c r="Q4527" t="n">
        <v>0</v>
      </c>
      <c r="R4527" s="2" t="inlineStr"/>
    </row>
    <row r="4528" ht="15" customHeight="1">
      <c r="A4528" t="inlineStr">
        <is>
          <t>A 26137-2023</t>
        </is>
      </c>
      <c r="B4528" s="1" t="n">
        <v>45091</v>
      </c>
      <c r="C4528" s="1" t="n">
        <v>46075</v>
      </c>
      <c r="D4528" t="inlineStr">
        <is>
          <t>VÄSTERBOTTENS LÄN</t>
        </is>
      </c>
      <c r="E4528" t="inlineStr">
        <is>
          <t>UMEÅ</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26138-2023</t>
        </is>
      </c>
      <c r="B4529" s="1" t="n">
        <v>45091</v>
      </c>
      <c r="C4529" s="1" t="n">
        <v>46075</v>
      </c>
      <c r="D4529" t="inlineStr">
        <is>
          <t>VÄSTERBOTTENS LÄN</t>
        </is>
      </c>
      <c r="E4529" t="inlineStr">
        <is>
          <t>UMEÅ</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29263-2025</t>
        </is>
      </c>
      <c r="B4530" s="1" t="n">
        <v>45824.39538194444</v>
      </c>
      <c r="C4530" s="1" t="n">
        <v>46075</v>
      </c>
      <c r="D4530" t="inlineStr">
        <is>
          <t>VÄSTERBOTTENS LÄN</t>
        </is>
      </c>
      <c r="E4530" t="inlineStr">
        <is>
          <t>SKELLEFTEÅ</t>
        </is>
      </c>
      <c r="G4530" t="n">
        <v>3.2</v>
      </c>
      <c r="H4530" t="n">
        <v>0</v>
      </c>
      <c r="I4530" t="n">
        <v>0</v>
      </c>
      <c r="J4530" t="n">
        <v>0</v>
      </c>
      <c r="K4530" t="n">
        <v>0</v>
      </c>
      <c r="L4530" t="n">
        <v>0</v>
      </c>
      <c r="M4530" t="n">
        <v>0</v>
      </c>
      <c r="N4530" t="n">
        <v>0</v>
      </c>
      <c r="O4530" t="n">
        <v>0</v>
      </c>
      <c r="P4530" t="n">
        <v>0</v>
      </c>
      <c r="Q4530" t="n">
        <v>0</v>
      </c>
      <c r="R4530" s="2" t="inlineStr"/>
    </row>
    <row r="4531" ht="15" customHeight="1">
      <c r="A4531" t="inlineStr">
        <is>
          <t>A 33073-2025</t>
        </is>
      </c>
      <c r="B4531" s="1" t="n">
        <v>45840.45332175926</v>
      </c>
      <c r="C4531" s="1" t="n">
        <v>46075</v>
      </c>
      <c r="D4531" t="inlineStr">
        <is>
          <t>VÄSTERBOTTENS LÄN</t>
        </is>
      </c>
      <c r="E4531" t="inlineStr">
        <is>
          <t>SKELLEFTEÅ</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3456-2023</t>
        </is>
      </c>
      <c r="B4532" s="1" t="n">
        <v>44949</v>
      </c>
      <c r="C4532" s="1" t="n">
        <v>46075</v>
      </c>
      <c r="D4532" t="inlineStr">
        <is>
          <t>VÄSTERBOTTENS LÄN</t>
        </is>
      </c>
      <c r="E4532" t="inlineStr">
        <is>
          <t>NORDMALING</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43048-2025</t>
        </is>
      </c>
      <c r="B4533" s="1" t="n">
        <v>45909.56289351852</v>
      </c>
      <c r="C4533" s="1" t="n">
        <v>46075</v>
      </c>
      <c r="D4533" t="inlineStr">
        <is>
          <t>VÄSTERBOTTENS LÄN</t>
        </is>
      </c>
      <c r="E4533" t="inlineStr">
        <is>
          <t>ROBERTSFORS</t>
        </is>
      </c>
      <c r="G4533" t="n">
        <v>12.7</v>
      </c>
      <c r="H4533" t="n">
        <v>0</v>
      </c>
      <c r="I4533" t="n">
        <v>0</v>
      </c>
      <c r="J4533" t="n">
        <v>0</v>
      </c>
      <c r="K4533" t="n">
        <v>0</v>
      </c>
      <c r="L4533" t="n">
        <v>0</v>
      </c>
      <c r="M4533" t="n">
        <v>0</v>
      </c>
      <c r="N4533" t="n">
        <v>0</v>
      </c>
      <c r="O4533" t="n">
        <v>0</v>
      </c>
      <c r="P4533" t="n">
        <v>0</v>
      </c>
      <c r="Q4533" t="n">
        <v>0</v>
      </c>
      <c r="R4533" s="2" t="inlineStr"/>
    </row>
    <row r="4534" ht="15" customHeight="1">
      <c r="A4534" t="inlineStr">
        <is>
          <t>A 22451-2025</t>
        </is>
      </c>
      <c r="B4534" s="1" t="n">
        <v>45786.60166666667</v>
      </c>
      <c r="C4534" s="1" t="n">
        <v>46075</v>
      </c>
      <c r="D4534" t="inlineStr">
        <is>
          <t>VÄSTERBOTTENS LÄN</t>
        </is>
      </c>
      <c r="E4534" t="inlineStr">
        <is>
          <t>VINDELN</t>
        </is>
      </c>
      <c r="F4534" t="inlineStr">
        <is>
          <t>Holmen skog AB</t>
        </is>
      </c>
      <c r="G4534" t="n">
        <v>3.8</v>
      </c>
      <c r="H4534" t="n">
        <v>0</v>
      </c>
      <c r="I4534" t="n">
        <v>0</v>
      </c>
      <c r="J4534" t="n">
        <v>0</v>
      </c>
      <c r="K4534" t="n">
        <v>0</v>
      </c>
      <c r="L4534" t="n">
        <v>0</v>
      </c>
      <c r="M4534" t="n">
        <v>0</v>
      </c>
      <c r="N4534" t="n">
        <v>0</v>
      </c>
      <c r="O4534" t="n">
        <v>0</v>
      </c>
      <c r="P4534" t="n">
        <v>0</v>
      </c>
      <c r="Q4534" t="n">
        <v>0</v>
      </c>
      <c r="R4534" s="2" t="inlineStr"/>
    </row>
    <row r="4535" ht="15" customHeight="1">
      <c r="A4535" t="inlineStr">
        <is>
          <t>A 33267-2025</t>
        </is>
      </c>
      <c r="B4535" s="1" t="n">
        <v>45840.67862268518</v>
      </c>
      <c r="C4535" s="1" t="n">
        <v>46075</v>
      </c>
      <c r="D4535" t="inlineStr">
        <is>
          <t>VÄSTERBOTTENS LÄN</t>
        </is>
      </c>
      <c r="E4535" t="inlineStr">
        <is>
          <t>DOROTEA</t>
        </is>
      </c>
      <c r="F4535" t="inlineStr">
        <is>
          <t>SCA</t>
        </is>
      </c>
      <c r="G4535" t="n">
        <v>3.2</v>
      </c>
      <c r="H4535" t="n">
        <v>0</v>
      </c>
      <c r="I4535" t="n">
        <v>0</v>
      </c>
      <c r="J4535" t="n">
        <v>0</v>
      </c>
      <c r="K4535" t="n">
        <v>0</v>
      </c>
      <c r="L4535" t="n">
        <v>0</v>
      </c>
      <c r="M4535" t="n">
        <v>0</v>
      </c>
      <c r="N4535" t="n">
        <v>0</v>
      </c>
      <c r="O4535" t="n">
        <v>0</v>
      </c>
      <c r="P4535" t="n">
        <v>0</v>
      </c>
      <c r="Q4535" t="n">
        <v>0</v>
      </c>
      <c r="R4535" s="2" t="inlineStr"/>
    </row>
    <row r="4536" ht="15" customHeight="1">
      <c r="A4536" t="inlineStr">
        <is>
          <t>A 42661-2025</t>
        </is>
      </c>
      <c r="B4536" s="1" t="n">
        <v>45907.60118055555</v>
      </c>
      <c r="C4536" s="1" t="n">
        <v>46075</v>
      </c>
      <c r="D4536" t="inlineStr">
        <is>
          <t>VÄSTERBOTTENS LÄN</t>
        </is>
      </c>
      <c r="E4536" t="inlineStr">
        <is>
          <t>SKELLEFTEÅ</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56299-2022</t>
        </is>
      </c>
      <c r="B4537" s="1" t="n">
        <v>44887</v>
      </c>
      <c r="C4537" s="1" t="n">
        <v>46075</v>
      </c>
      <c r="D4537" t="inlineStr">
        <is>
          <t>VÄSTERBOTTENS LÄN</t>
        </is>
      </c>
      <c r="E4537" t="inlineStr">
        <is>
          <t>SKELLEFTEÅ</t>
        </is>
      </c>
      <c r="G4537" t="n">
        <v>4.1</v>
      </c>
      <c r="H4537" t="n">
        <v>0</v>
      </c>
      <c r="I4537" t="n">
        <v>0</v>
      </c>
      <c r="J4537" t="n">
        <v>0</v>
      </c>
      <c r="K4537" t="n">
        <v>0</v>
      </c>
      <c r="L4537" t="n">
        <v>0</v>
      </c>
      <c r="M4537" t="n">
        <v>0</v>
      </c>
      <c r="N4537" t="n">
        <v>0</v>
      </c>
      <c r="O4537" t="n">
        <v>0</v>
      </c>
      <c r="P4537" t="n">
        <v>0</v>
      </c>
      <c r="Q4537" t="n">
        <v>0</v>
      </c>
      <c r="R4537" s="2" t="inlineStr"/>
    </row>
    <row r="4538" ht="15" customHeight="1">
      <c r="A4538" t="inlineStr">
        <is>
          <t>A 33167-2025</t>
        </is>
      </c>
      <c r="B4538" s="1" t="n">
        <v>45840.57563657407</v>
      </c>
      <c r="C4538" s="1" t="n">
        <v>46075</v>
      </c>
      <c r="D4538" t="inlineStr">
        <is>
          <t>VÄSTERBOTTENS LÄN</t>
        </is>
      </c>
      <c r="E4538" t="inlineStr">
        <is>
          <t>NORSJÖ</t>
        </is>
      </c>
      <c r="F4538" t="inlineStr">
        <is>
          <t>Holmen skog AB</t>
        </is>
      </c>
      <c r="G4538" t="n">
        <v>4.5</v>
      </c>
      <c r="H4538" t="n">
        <v>0</v>
      </c>
      <c r="I4538" t="n">
        <v>0</v>
      </c>
      <c r="J4538" t="n">
        <v>0</v>
      </c>
      <c r="K4538" t="n">
        <v>0</v>
      </c>
      <c r="L4538" t="n">
        <v>0</v>
      </c>
      <c r="M4538" t="n">
        <v>0</v>
      </c>
      <c r="N4538" t="n">
        <v>0</v>
      </c>
      <c r="O4538" t="n">
        <v>0</v>
      </c>
      <c r="P4538" t="n">
        <v>0</v>
      </c>
      <c r="Q4538" t="n">
        <v>0</v>
      </c>
      <c r="R4538" s="2" t="inlineStr"/>
    </row>
    <row r="4539" ht="15" customHeight="1">
      <c r="A4539" t="inlineStr">
        <is>
          <t>A 33193-2025</t>
        </is>
      </c>
      <c r="B4539" s="1" t="n">
        <v>45840.60122685185</v>
      </c>
      <c r="C4539" s="1" t="n">
        <v>46075</v>
      </c>
      <c r="D4539" t="inlineStr">
        <is>
          <t>VÄSTERBOTTENS LÄN</t>
        </is>
      </c>
      <c r="E4539" t="inlineStr">
        <is>
          <t>UMEÅ</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43111-2025</t>
        </is>
      </c>
      <c r="B4540" s="1" t="n">
        <v>45909.66037037037</v>
      </c>
      <c r="C4540" s="1" t="n">
        <v>46075</v>
      </c>
      <c r="D4540" t="inlineStr">
        <is>
          <t>VÄSTERBOTTENS LÄN</t>
        </is>
      </c>
      <c r="E4540" t="inlineStr">
        <is>
          <t>UMEÅ</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19300-2023</t>
        </is>
      </c>
      <c r="B4541" s="1" t="n">
        <v>45049</v>
      </c>
      <c r="C4541" s="1" t="n">
        <v>46075</v>
      </c>
      <c r="D4541" t="inlineStr">
        <is>
          <t>VÄSTERBOTTENS LÄN</t>
        </is>
      </c>
      <c r="E4541" t="inlineStr">
        <is>
          <t>NORDMALING</t>
        </is>
      </c>
      <c r="F4541" t="inlineStr">
        <is>
          <t>Kyrkan</t>
        </is>
      </c>
      <c r="G4541" t="n">
        <v>3.6</v>
      </c>
      <c r="H4541" t="n">
        <v>0</v>
      </c>
      <c r="I4541" t="n">
        <v>0</v>
      </c>
      <c r="J4541" t="n">
        <v>0</v>
      </c>
      <c r="K4541" t="n">
        <v>0</v>
      </c>
      <c r="L4541" t="n">
        <v>0</v>
      </c>
      <c r="M4541" t="n">
        <v>0</v>
      </c>
      <c r="N4541" t="n">
        <v>0</v>
      </c>
      <c r="O4541" t="n">
        <v>0</v>
      </c>
      <c r="P4541" t="n">
        <v>0</v>
      </c>
      <c r="Q4541" t="n">
        <v>0</v>
      </c>
      <c r="R4541" s="2" t="inlineStr"/>
    </row>
    <row r="4542" ht="15" customHeight="1">
      <c r="A4542" t="inlineStr">
        <is>
          <t>A 33457-2025</t>
        </is>
      </c>
      <c r="B4542" s="1" t="n">
        <v>45841.47648148148</v>
      </c>
      <c r="C4542" s="1" t="n">
        <v>46075</v>
      </c>
      <c r="D4542" t="inlineStr">
        <is>
          <t>VÄSTERBOTTENS LÄN</t>
        </is>
      </c>
      <c r="E4542" t="inlineStr">
        <is>
          <t>VINDELN</t>
        </is>
      </c>
      <c r="F4542" t="inlineStr">
        <is>
          <t>Holmen skog AB</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42660-2025</t>
        </is>
      </c>
      <c r="B4543" s="1" t="n">
        <v>45907.58118055556</v>
      </c>
      <c r="C4543" s="1" t="n">
        <v>46075</v>
      </c>
      <c r="D4543" t="inlineStr">
        <is>
          <t>VÄSTERBOTTENS LÄN</t>
        </is>
      </c>
      <c r="E4543" t="inlineStr">
        <is>
          <t>NORDMALING</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42990-2025</t>
        </is>
      </c>
      <c r="B4544" s="1" t="n">
        <v>45909.45178240741</v>
      </c>
      <c r="C4544" s="1" t="n">
        <v>46075</v>
      </c>
      <c r="D4544" t="inlineStr">
        <is>
          <t>VÄSTERBOTTENS LÄN</t>
        </is>
      </c>
      <c r="E4544" t="inlineStr">
        <is>
          <t>VÄNNÄS</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33303-2025</t>
        </is>
      </c>
      <c r="B4545" s="1" t="n">
        <v>45841.29267361111</v>
      </c>
      <c r="C4545" s="1" t="n">
        <v>46075</v>
      </c>
      <c r="D4545" t="inlineStr">
        <is>
          <t>VÄSTERBOTTENS LÄN</t>
        </is>
      </c>
      <c r="E4545" t="inlineStr">
        <is>
          <t>SKELLEFTEÅ</t>
        </is>
      </c>
      <c r="G4545" t="n">
        <v>8.800000000000001</v>
      </c>
      <c r="H4545" t="n">
        <v>0</v>
      </c>
      <c r="I4545" t="n">
        <v>0</v>
      </c>
      <c r="J4545" t="n">
        <v>0</v>
      </c>
      <c r="K4545" t="n">
        <v>0</v>
      </c>
      <c r="L4545" t="n">
        <v>0</v>
      </c>
      <c r="M4545" t="n">
        <v>0</v>
      </c>
      <c r="N4545" t="n">
        <v>0</v>
      </c>
      <c r="O4545" t="n">
        <v>0</v>
      </c>
      <c r="P4545" t="n">
        <v>0</v>
      </c>
      <c r="Q4545" t="n">
        <v>0</v>
      </c>
      <c r="R4545" s="2" t="inlineStr"/>
    </row>
    <row r="4546" ht="15" customHeight="1">
      <c r="A4546" t="inlineStr">
        <is>
          <t>A 33305-2025</t>
        </is>
      </c>
      <c r="B4546" s="1" t="n">
        <v>45841.30456018518</v>
      </c>
      <c r="C4546" s="1" t="n">
        <v>46075</v>
      </c>
      <c r="D4546" t="inlineStr">
        <is>
          <t>VÄSTERBOTTENS LÄN</t>
        </is>
      </c>
      <c r="E4546" t="inlineStr">
        <is>
          <t>SKELLEFTEÅ</t>
        </is>
      </c>
      <c r="G4546" t="n">
        <v>3.8</v>
      </c>
      <c r="H4546" t="n">
        <v>0</v>
      </c>
      <c r="I4546" t="n">
        <v>0</v>
      </c>
      <c r="J4546" t="n">
        <v>0</v>
      </c>
      <c r="K4546" t="n">
        <v>0</v>
      </c>
      <c r="L4546" t="n">
        <v>0</v>
      </c>
      <c r="M4546" t="n">
        <v>0</v>
      </c>
      <c r="N4546" t="n">
        <v>0</v>
      </c>
      <c r="O4546" t="n">
        <v>0</v>
      </c>
      <c r="P4546" t="n">
        <v>0</v>
      </c>
      <c r="Q4546" t="n">
        <v>0</v>
      </c>
      <c r="R4546" s="2" t="inlineStr"/>
    </row>
    <row r="4547" ht="15" customHeight="1">
      <c r="A4547" t="inlineStr">
        <is>
          <t>A 65242-2021</t>
        </is>
      </c>
      <c r="B4547" s="1" t="n">
        <v>44515.55709490741</v>
      </c>
      <c r="C4547" s="1" t="n">
        <v>46075</v>
      </c>
      <c r="D4547" t="inlineStr">
        <is>
          <t>VÄSTERBOTTENS LÄN</t>
        </is>
      </c>
      <c r="E4547" t="inlineStr">
        <is>
          <t>UMEÅ</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45689-2022</t>
        </is>
      </c>
      <c r="B4548" s="1" t="n">
        <v>44845.95304398148</v>
      </c>
      <c r="C4548" s="1" t="n">
        <v>46075</v>
      </c>
      <c r="D4548" t="inlineStr">
        <is>
          <t>VÄSTERBOTTENS LÄN</t>
        </is>
      </c>
      <c r="E4548" t="inlineStr">
        <is>
          <t>ÅSELE</t>
        </is>
      </c>
      <c r="F4548" t="inlineStr">
        <is>
          <t>SCA</t>
        </is>
      </c>
      <c r="G4548" t="n">
        <v>9.5</v>
      </c>
      <c r="H4548" t="n">
        <v>0</v>
      </c>
      <c r="I4548" t="n">
        <v>0</v>
      </c>
      <c r="J4548" t="n">
        <v>0</v>
      </c>
      <c r="K4548" t="n">
        <v>0</v>
      </c>
      <c r="L4548" t="n">
        <v>0</v>
      </c>
      <c r="M4548" t="n">
        <v>0</v>
      </c>
      <c r="N4548" t="n">
        <v>0</v>
      </c>
      <c r="O4548" t="n">
        <v>0</v>
      </c>
      <c r="P4548" t="n">
        <v>0</v>
      </c>
      <c r="Q4548" t="n">
        <v>0</v>
      </c>
      <c r="R4548" s="2" t="inlineStr"/>
    </row>
    <row r="4549" ht="15" customHeight="1">
      <c r="A4549" t="inlineStr">
        <is>
          <t>A 31337-2022</t>
        </is>
      </c>
      <c r="B4549" s="1" t="n">
        <v>44774</v>
      </c>
      <c r="C4549" s="1" t="n">
        <v>46075</v>
      </c>
      <c r="D4549" t="inlineStr">
        <is>
          <t>VÄSTERBOTTENS LÄN</t>
        </is>
      </c>
      <c r="E4549" t="inlineStr">
        <is>
          <t>UMEÅ</t>
        </is>
      </c>
      <c r="G4549" t="n">
        <v>3.7</v>
      </c>
      <c r="H4549" t="n">
        <v>0</v>
      </c>
      <c r="I4549" t="n">
        <v>0</v>
      </c>
      <c r="J4549" t="n">
        <v>0</v>
      </c>
      <c r="K4549" t="n">
        <v>0</v>
      </c>
      <c r="L4549" t="n">
        <v>0</v>
      </c>
      <c r="M4549" t="n">
        <v>0</v>
      </c>
      <c r="N4549" t="n">
        <v>0</v>
      </c>
      <c r="O4549" t="n">
        <v>0</v>
      </c>
      <c r="P4549" t="n">
        <v>0</v>
      </c>
      <c r="Q4549" t="n">
        <v>0</v>
      </c>
      <c r="R4549" s="2" t="inlineStr"/>
    </row>
    <row r="4550" ht="15" customHeight="1">
      <c r="A4550" t="inlineStr">
        <is>
          <t>A 33579-2025</t>
        </is>
      </c>
      <c r="B4550" s="1" t="n">
        <v>45841.59310185185</v>
      </c>
      <c r="C4550" s="1" t="n">
        <v>46075</v>
      </c>
      <c r="D4550" t="inlineStr">
        <is>
          <t>VÄSTERBOTTENS LÄN</t>
        </is>
      </c>
      <c r="E4550" t="inlineStr">
        <is>
          <t>SKELLEFTEÅ</t>
        </is>
      </c>
      <c r="F4550" t="inlineStr">
        <is>
          <t>Holmen skog AB</t>
        </is>
      </c>
      <c r="G4550" t="n">
        <v>10.7</v>
      </c>
      <c r="H4550" t="n">
        <v>0</v>
      </c>
      <c r="I4550" t="n">
        <v>0</v>
      </c>
      <c r="J4550" t="n">
        <v>0</v>
      </c>
      <c r="K4550" t="n">
        <v>0</v>
      </c>
      <c r="L4550" t="n">
        <v>0</v>
      </c>
      <c r="M4550" t="n">
        <v>0</v>
      </c>
      <c r="N4550" t="n">
        <v>0</v>
      </c>
      <c r="O4550" t="n">
        <v>0</v>
      </c>
      <c r="P4550" t="n">
        <v>0</v>
      </c>
      <c r="Q4550" t="n">
        <v>0</v>
      </c>
      <c r="R4550" s="2" t="inlineStr"/>
    </row>
    <row r="4551" ht="15" customHeight="1">
      <c r="A4551" t="inlineStr">
        <is>
          <t>A 33381-2025</t>
        </is>
      </c>
      <c r="B4551" s="1" t="n">
        <v>45841.40428240741</v>
      </c>
      <c r="C4551" s="1" t="n">
        <v>46075</v>
      </c>
      <c r="D4551" t="inlineStr">
        <is>
          <t>VÄSTERBOTTENS LÄN</t>
        </is>
      </c>
      <c r="E4551" t="inlineStr">
        <is>
          <t>LYCKSELE</t>
        </is>
      </c>
      <c r="F4551" t="inlineStr">
        <is>
          <t>Holmen skog AB</t>
        </is>
      </c>
      <c r="G4551" t="n">
        <v>11.6</v>
      </c>
      <c r="H4551" t="n">
        <v>0</v>
      </c>
      <c r="I4551" t="n">
        <v>0</v>
      </c>
      <c r="J4551" t="n">
        <v>0</v>
      </c>
      <c r="K4551" t="n">
        <v>0</v>
      </c>
      <c r="L4551" t="n">
        <v>0</v>
      </c>
      <c r="M4551" t="n">
        <v>0</v>
      </c>
      <c r="N4551" t="n">
        <v>0</v>
      </c>
      <c r="O4551" t="n">
        <v>0</v>
      </c>
      <c r="P4551" t="n">
        <v>0</v>
      </c>
      <c r="Q4551" t="n">
        <v>0</v>
      </c>
      <c r="R4551" s="2" t="inlineStr"/>
    </row>
    <row r="4552" ht="15" customHeight="1">
      <c r="A4552" t="inlineStr">
        <is>
          <t>A 15639-2024</t>
        </is>
      </c>
      <c r="B4552" s="1" t="n">
        <v>45403</v>
      </c>
      <c r="C4552" s="1" t="n">
        <v>46075</v>
      </c>
      <c r="D4552" t="inlineStr">
        <is>
          <t>VÄSTERBOTTENS LÄN</t>
        </is>
      </c>
      <c r="E4552" t="inlineStr">
        <is>
          <t>VILHELMINA</t>
        </is>
      </c>
      <c r="G4552" t="n">
        <v>81.90000000000001</v>
      </c>
      <c r="H4552" t="n">
        <v>0</v>
      </c>
      <c r="I4552" t="n">
        <v>0</v>
      </c>
      <c r="J4552" t="n">
        <v>0</v>
      </c>
      <c r="K4552" t="n">
        <v>0</v>
      </c>
      <c r="L4552" t="n">
        <v>0</v>
      </c>
      <c r="M4552" t="n">
        <v>0</v>
      </c>
      <c r="N4552" t="n">
        <v>0</v>
      </c>
      <c r="O4552" t="n">
        <v>0</v>
      </c>
      <c r="P4552" t="n">
        <v>0</v>
      </c>
      <c r="Q4552" t="n">
        <v>0</v>
      </c>
      <c r="R4552" s="2" t="inlineStr"/>
    </row>
    <row r="4553" ht="15" customHeight="1">
      <c r="A4553" t="inlineStr">
        <is>
          <t>A 43080-2025</t>
        </is>
      </c>
      <c r="B4553" s="1" t="n">
        <v>45909</v>
      </c>
      <c r="C4553" s="1" t="n">
        <v>46075</v>
      </c>
      <c r="D4553" t="inlineStr">
        <is>
          <t>VÄSTERBOTTENS LÄN</t>
        </is>
      </c>
      <c r="E4553" t="inlineStr">
        <is>
          <t>VINDELN</t>
        </is>
      </c>
      <c r="F4553" t="inlineStr">
        <is>
          <t>Holmen skog AB</t>
        </is>
      </c>
      <c r="G4553" t="n">
        <v>7.2</v>
      </c>
      <c r="H4553" t="n">
        <v>0</v>
      </c>
      <c r="I4553" t="n">
        <v>0</v>
      </c>
      <c r="J4553" t="n">
        <v>0</v>
      </c>
      <c r="K4553" t="n">
        <v>0</v>
      </c>
      <c r="L4553" t="n">
        <v>0</v>
      </c>
      <c r="M4553" t="n">
        <v>0</v>
      </c>
      <c r="N4553" t="n">
        <v>0</v>
      </c>
      <c r="O4553" t="n">
        <v>0</v>
      </c>
      <c r="P4553" t="n">
        <v>0</v>
      </c>
      <c r="Q4553" t="n">
        <v>0</v>
      </c>
      <c r="R4553" s="2" t="inlineStr"/>
    </row>
    <row r="4554" ht="15" customHeight="1">
      <c r="A4554" t="inlineStr">
        <is>
          <t>A 43030-2025</t>
        </is>
      </c>
      <c r="B4554" s="1" t="n">
        <v>45909</v>
      </c>
      <c r="C4554" s="1" t="n">
        <v>46075</v>
      </c>
      <c r="D4554" t="inlineStr">
        <is>
          <t>VÄSTERBOTTENS LÄN</t>
        </is>
      </c>
      <c r="E4554" t="inlineStr">
        <is>
          <t>VÄNNÄS</t>
        </is>
      </c>
      <c r="F4554" t="inlineStr">
        <is>
          <t>Holmen skog AB</t>
        </is>
      </c>
      <c r="G4554" t="n">
        <v>4.2</v>
      </c>
      <c r="H4554" t="n">
        <v>0</v>
      </c>
      <c r="I4554" t="n">
        <v>0</v>
      </c>
      <c r="J4554" t="n">
        <v>0</v>
      </c>
      <c r="K4554" t="n">
        <v>0</v>
      </c>
      <c r="L4554" t="n">
        <v>0</v>
      </c>
      <c r="M4554" t="n">
        <v>0</v>
      </c>
      <c r="N4554" t="n">
        <v>0</v>
      </c>
      <c r="O4554" t="n">
        <v>0</v>
      </c>
      <c r="P4554" t="n">
        <v>0</v>
      </c>
      <c r="Q4554" t="n">
        <v>0</v>
      </c>
      <c r="R4554" s="2" t="inlineStr"/>
    </row>
    <row r="4555" ht="15" customHeight="1">
      <c r="A4555" t="inlineStr">
        <is>
          <t>A 33413-2025</t>
        </is>
      </c>
      <c r="B4555" s="1" t="n">
        <v>45841.43574074074</v>
      </c>
      <c r="C4555" s="1" t="n">
        <v>46075</v>
      </c>
      <c r="D4555" t="inlineStr">
        <is>
          <t>VÄSTERBOTTENS LÄN</t>
        </is>
      </c>
      <c r="E4555" t="inlineStr">
        <is>
          <t>VINDELN</t>
        </is>
      </c>
      <c r="F4555" t="inlineStr">
        <is>
          <t>Holmen skog AB</t>
        </is>
      </c>
      <c r="G4555" t="n">
        <v>6.9</v>
      </c>
      <c r="H4555" t="n">
        <v>0</v>
      </c>
      <c r="I4555" t="n">
        <v>0</v>
      </c>
      <c r="J4555" t="n">
        <v>0</v>
      </c>
      <c r="K4555" t="n">
        <v>0</v>
      </c>
      <c r="L4555" t="n">
        <v>0</v>
      </c>
      <c r="M4555" t="n">
        <v>0</v>
      </c>
      <c r="N4555" t="n">
        <v>0</v>
      </c>
      <c r="O4555" t="n">
        <v>0</v>
      </c>
      <c r="P4555" t="n">
        <v>0</v>
      </c>
      <c r="Q4555" t="n">
        <v>0</v>
      </c>
      <c r="R4555" s="2" t="inlineStr"/>
    </row>
    <row r="4556" ht="15" customHeight="1">
      <c r="A4556" t="inlineStr">
        <is>
          <t>A 33085-2025</t>
        </is>
      </c>
      <c r="B4556" s="1" t="n">
        <v>45840.46704861111</v>
      </c>
      <c r="C4556" s="1" t="n">
        <v>46075</v>
      </c>
      <c r="D4556" t="inlineStr">
        <is>
          <t>VÄSTERBOTTENS LÄN</t>
        </is>
      </c>
      <c r="E4556" t="inlineStr">
        <is>
          <t>UMEÅ</t>
        </is>
      </c>
      <c r="G4556" t="n">
        <v>3.6</v>
      </c>
      <c r="H4556" t="n">
        <v>0</v>
      </c>
      <c r="I4556" t="n">
        <v>0</v>
      </c>
      <c r="J4556" t="n">
        <v>0</v>
      </c>
      <c r="K4556" t="n">
        <v>0</v>
      </c>
      <c r="L4556" t="n">
        <v>0</v>
      </c>
      <c r="M4556" t="n">
        <v>0</v>
      </c>
      <c r="N4556" t="n">
        <v>0</v>
      </c>
      <c r="O4556" t="n">
        <v>0</v>
      </c>
      <c r="P4556" t="n">
        <v>0</v>
      </c>
      <c r="Q4556" t="n">
        <v>0</v>
      </c>
      <c r="R4556" s="2" t="inlineStr"/>
    </row>
    <row r="4557" ht="15" customHeight="1">
      <c r="A4557" t="inlineStr">
        <is>
          <t>A 989-2025</t>
        </is>
      </c>
      <c r="B4557" s="1" t="n">
        <v>45666</v>
      </c>
      <c r="C4557" s="1" t="n">
        <v>46075</v>
      </c>
      <c r="D4557" t="inlineStr">
        <is>
          <t>VÄSTERBOTTENS LÄN</t>
        </is>
      </c>
      <c r="E4557" t="inlineStr">
        <is>
          <t>VINDELN</t>
        </is>
      </c>
      <c r="F4557" t="inlineStr">
        <is>
          <t>Naturvårdsverket</t>
        </is>
      </c>
      <c r="G4557" t="n">
        <v>2.7</v>
      </c>
      <c r="H4557" t="n">
        <v>0</v>
      </c>
      <c r="I4557" t="n">
        <v>0</v>
      </c>
      <c r="J4557" t="n">
        <v>0</v>
      </c>
      <c r="K4557" t="n">
        <v>0</v>
      </c>
      <c r="L4557" t="n">
        <v>0</v>
      </c>
      <c r="M4557" t="n">
        <v>0</v>
      </c>
      <c r="N4557" t="n">
        <v>0</v>
      </c>
      <c r="O4557" t="n">
        <v>0</v>
      </c>
      <c r="P4557" t="n">
        <v>0</v>
      </c>
      <c r="Q4557" t="n">
        <v>0</v>
      </c>
      <c r="R4557" s="2" t="inlineStr"/>
    </row>
    <row r="4558" ht="15" customHeight="1">
      <c r="A4558" t="inlineStr">
        <is>
          <t>A 33210-2025</t>
        </is>
      </c>
      <c r="B4558" s="1" t="n">
        <v>45840.62734953704</v>
      </c>
      <c r="C4558" s="1" t="n">
        <v>46075</v>
      </c>
      <c r="D4558" t="inlineStr">
        <is>
          <t>VÄSTERBOTTENS LÄN</t>
        </is>
      </c>
      <c r="E4558" t="inlineStr">
        <is>
          <t>UMEÅ</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33467-2025</t>
        </is>
      </c>
      <c r="B4559" s="1" t="n">
        <v>45841.48503472222</v>
      </c>
      <c r="C4559" s="1" t="n">
        <v>46075</v>
      </c>
      <c r="D4559" t="inlineStr">
        <is>
          <t>VÄSTERBOTTENS LÄN</t>
        </is>
      </c>
      <c r="E4559" t="inlineStr">
        <is>
          <t>LYCKSELE</t>
        </is>
      </c>
      <c r="F4559" t="inlineStr">
        <is>
          <t>Holmen skog AB</t>
        </is>
      </c>
      <c r="G4559" t="n">
        <v>4.3</v>
      </c>
      <c r="H4559" t="n">
        <v>0</v>
      </c>
      <c r="I4559" t="n">
        <v>0</v>
      </c>
      <c r="J4559" t="n">
        <v>0</v>
      </c>
      <c r="K4559" t="n">
        <v>0</v>
      </c>
      <c r="L4559" t="n">
        <v>0</v>
      </c>
      <c r="M4559" t="n">
        <v>0</v>
      </c>
      <c r="N4559" t="n">
        <v>0</v>
      </c>
      <c r="O4559" t="n">
        <v>0</v>
      </c>
      <c r="P4559" t="n">
        <v>0</v>
      </c>
      <c r="Q4559" t="n">
        <v>0</v>
      </c>
      <c r="R4559" s="2" t="inlineStr"/>
    </row>
    <row r="4560" ht="15" customHeight="1">
      <c r="A4560" t="inlineStr">
        <is>
          <t>A 33320-2025</t>
        </is>
      </c>
      <c r="B4560" s="1" t="n">
        <v>45841.34461805555</v>
      </c>
      <c r="C4560" s="1" t="n">
        <v>46075</v>
      </c>
      <c r="D4560" t="inlineStr">
        <is>
          <t>VÄSTERBOTTENS LÄN</t>
        </is>
      </c>
      <c r="E4560" t="inlineStr">
        <is>
          <t>VILHELMINA</t>
        </is>
      </c>
      <c r="F4560" t="inlineStr">
        <is>
          <t>SCA</t>
        </is>
      </c>
      <c r="G4560" t="n">
        <v>3.2</v>
      </c>
      <c r="H4560" t="n">
        <v>0</v>
      </c>
      <c r="I4560" t="n">
        <v>0</v>
      </c>
      <c r="J4560" t="n">
        <v>0</v>
      </c>
      <c r="K4560" t="n">
        <v>0</v>
      </c>
      <c r="L4560" t="n">
        <v>0</v>
      </c>
      <c r="M4560" t="n">
        <v>0</v>
      </c>
      <c r="N4560" t="n">
        <v>0</v>
      </c>
      <c r="O4560" t="n">
        <v>0</v>
      </c>
      <c r="P4560" t="n">
        <v>0</v>
      </c>
      <c r="Q4560" t="n">
        <v>0</v>
      </c>
      <c r="R4560" s="2" t="inlineStr"/>
    </row>
    <row r="4561" ht="15" customHeight="1">
      <c r="A4561" t="inlineStr">
        <is>
          <t>A 33052-2025</t>
        </is>
      </c>
      <c r="B4561" s="1" t="n">
        <v>45840.42515046296</v>
      </c>
      <c r="C4561" s="1" t="n">
        <v>46075</v>
      </c>
      <c r="D4561" t="inlineStr">
        <is>
          <t>VÄSTERBOTTENS LÄN</t>
        </is>
      </c>
      <c r="E4561" t="inlineStr">
        <is>
          <t>LYCKSELE</t>
        </is>
      </c>
      <c r="F4561" t="inlineStr">
        <is>
          <t>Sveaskog</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33020-2025</t>
        </is>
      </c>
      <c r="B4562" s="1" t="n">
        <v>45840.37125</v>
      </c>
      <c r="C4562" s="1" t="n">
        <v>46075</v>
      </c>
      <c r="D4562" t="inlineStr">
        <is>
          <t>VÄSTERBOTTENS LÄN</t>
        </is>
      </c>
      <c r="E4562" t="inlineStr">
        <is>
          <t>NORSJÖ</t>
        </is>
      </c>
      <c r="G4562" t="n">
        <v>19.1</v>
      </c>
      <c r="H4562" t="n">
        <v>0</v>
      </c>
      <c r="I4562" t="n">
        <v>0</v>
      </c>
      <c r="J4562" t="n">
        <v>0</v>
      </c>
      <c r="K4562" t="n">
        <v>0</v>
      </c>
      <c r="L4562" t="n">
        <v>0</v>
      </c>
      <c r="M4562" t="n">
        <v>0</v>
      </c>
      <c r="N4562" t="n">
        <v>0</v>
      </c>
      <c r="O4562" t="n">
        <v>0</v>
      </c>
      <c r="P4562" t="n">
        <v>0</v>
      </c>
      <c r="Q4562" t="n">
        <v>0</v>
      </c>
      <c r="R4562" s="2" t="inlineStr"/>
    </row>
    <row r="4563" ht="15" customHeight="1">
      <c r="A4563" t="inlineStr">
        <is>
          <t>A 42883-2025</t>
        </is>
      </c>
      <c r="B4563" s="1" t="n">
        <v>45908.6425</v>
      </c>
      <c r="C4563" s="1" t="n">
        <v>46075</v>
      </c>
      <c r="D4563" t="inlineStr">
        <is>
          <t>VÄSTERBOTTENS LÄN</t>
        </is>
      </c>
      <c r="E4563" t="inlineStr">
        <is>
          <t>ÅSELE</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33346-2025</t>
        </is>
      </c>
      <c r="B4564" s="1" t="n">
        <v>45841.36670138889</v>
      </c>
      <c r="C4564" s="1" t="n">
        <v>46075</v>
      </c>
      <c r="D4564" t="inlineStr">
        <is>
          <t>VÄSTERBOTTENS LÄN</t>
        </is>
      </c>
      <c r="E4564" t="inlineStr">
        <is>
          <t>LYCKSELE</t>
        </is>
      </c>
      <c r="F4564" t="inlineStr">
        <is>
          <t>Sveaskog</t>
        </is>
      </c>
      <c r="G4564" t="n">
        <v>7.8</v>
      </c>
      <c r="H4564" t="n">
        <v>0</v>
      </c>
      <c r="I4564" t="n">
        <v>0</v>
      </c>
      <c r="J4564" t="n">
        <v>0</v>
      </c>
      <c r="K4564" t="n">
        <v>0</v>
      </c>
      <c r="L4564" t="n">
        <v>0</v>
      </c>
      <c r="M4564" t="n">
        <v>0</v>
      </c>
      <c r="N4564" t="n">
        <v>0</v>
      </c>
      <c r="O4564" t="n">
        <v>0</v>
      </c>
      <c r="P4564" t="n">
        <v>0</v>
      </c>
      <c r="Q4564" t="n">
        <v>0</v>
      </c>
      <c r="R4564" s="2" t="inlineStr"/>
    </row>
    <row r="4565" ht="15" customHeight="1">
      <c r="A4565" t="inlineStr">
        <is>
          <t>A 37357-2024</t>
        </is>
      </c>
      <c r="B4565" s="1" t="n">
        <v>45540.54907407407</v>
      </c>
      <c r="C4565" s="1" t="n">
        <v>46075</v>
      </c>
      <c r="D4565" t="inlineStr">
        <is>
          <t>VÄSTERBOTTENS LÄN</t>
        </is>
      </c>
      <c r="E4565" t="inlineStr">
        <is>
          <t>ROBERTSFORS</t>
        </is>
      </c>
      <c r="F4565" t="inlineStr">
        <is>
          <t>Holmen skog AB</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33067-2025</t>
        </is>
      </c>
      <c r="B4566" s="1" t="n">
        <v>45840.44748842593</v>
      </c>
      <c r="C4566" s="1" t="n">
        <v>46075</v>
      </c>
      <c r="D4566" t="inlineStr">
        <is>
          <t>VÄSTERBOTTENS LÄN</t>
        </is>
      </c>
      <c r="E4566" t="inlineStr">
        <is>
          <t>LYCKSELE</t>
        </is>
      </c>
      <c r="G4566" t="n">
        <v>4.6</v>
      </c>
      <c r="H4566" t="n">
        <v>0</v>
      </c>
      <c r="I4566" t="n">
        <v>0</v>
      </c>
      <c r="J4566" t="n">
        <v>0</v>
      </c>
      <c r="K4566" t="n">
        <v>0</v>
      </c>
      <c r="L4566" t="n">
        <v>0</v>
      </c>
      <c r="M4566" t="n">
        <v>0</v>
      </c>
      <c r="N4566" t="n">
        <v>0</v>
      </c>
      <c r="O4566" t="n">
        <v>0</v>
      </c>
      <c r="P4566" t="n">
        <v>0</v>
      </c>
      <c r="Q4566" t="n">
        <v>0</v>
      </c>
      <c r="R4566" s="2" t="inlineStr"/>
    </row>
    <row r="4567" ht="15" customHeight="1">
      <c r="A4567" t="inlineStr">
        <is>
          <t>A 32492-2024</t>
        </is>
      </c>
      <c r="B4567" s="1" t="n">
        <v>45513.40537037037</v>
      </c>
      <c r="C4567" s="1" t="n">
        <v>46075</v>
      </c>
      <c r="D4567" t="inlineStr">
        <is>
          <t>VÄSTERBOTTENS LÄN</t>
        </is>
      </c>
      <c r="E4567" t="inlineStr">
        <is>
          <t>VINDELN</t>
        </is>
      </c>
      <c r="G4567" t="n">
        <v>10.2</v>
      </c>
      <c r="H4567" t="n">
        <v>0</v>
      </c>
      <c r="I4567" t="n">
        <v>0</v>
      </c>
      <c r="J4567" t="n">
        <v>0</v>
      </c>
      <c r="K4567" t="n">
        <v>0</v>
      </c>
      <c r="L4567" t="n">
        <v>0</v>
      </c>
      <c r="M4567" t="n">
        <v>0</v>
      </c>
      <c r="N4567" t="n">
        <v>0</v>
      </c>
      <c r="O4567" t="n">
        <v>0</v>
      </c>
      <c r="P4567" t="n">
        <v>0</v>
      </c>
      <c r="Q4567" t="n">
        <v>0</v>
      </c>
      <c r="R4567" s="2" t="inlineStr"/>
    </row>
    <row r="4568" ht="15" customHeight="1">
      <c r="A4568" t="inlineStr">
        <is>
          <t>A 33091-2025</t>
        </is>
      </c>
      <c r="B4568" s="1" t="n">
        <v>45840.46914351852</v>
      </c>
      <c r="C4568" s="1" t="n">
        <v>46075</v>
      </c>
      <c r="D4568" t="inlineStr">
        <is>
          <t>VÄSTERBOTTENS LÄN</t>
        </is>
      </c>
      <c r="E4568" t="inlineStr">
        <is>
          <t>DOROTEA</t>
        </is>
      </c>
      <c r="F4568" t="inlineStr">
        <is>
          <t>SCA</t>
        </is>
      </c>
      <c r="G4568" t="n">
        <v>5.6</v>
      </c>
      <c r="H4568" t="n">
        <v>0</v>
      </c>
      <c r="I4568" t="n">
        <v>0</v>
      </c>
      <c r="J4568" t="n">
        <v>0</v>
      </c>
      <c r="K4568" t="n">
        <v>0</v>
      </c>
      <c r="L4568" t="n">
        <v>0</v>
      </c>
      <c r="M4568" t="n">
        <v>0</v>
      </c>
      <c r="N4568" t="n">
        <v>0</v>
      </c>
      <c r="O4568" t="n">
        <v>0</v>
      </c>
      <c r="P4568" t="n">
        <v>0</v>
      </c>
      <c r="Q4568" t="n">
        <v>0</v>
      </c>
      <c r="R4568" s="2" t="inlineStr"/>
    </row>
    <row r="4569" ht="15" customHeight="1">
      <c r="A4569" t="inlineStr">
        <is>
          <t>A 59860-2022</t>
        </is>
      </c>
      <c r="B4569" s="1" t="n">
        <v>44908.65792824074</v>
      </c>
      <c r="C4569" s="1" t="n">
        <v>46075</v>
      </c>
      <c r="D4569" t="inlineStr">
        <is>
          <t>VÄSTERBOTTENS LÄN</t>
        </is>
      </c>
      <c r="E4569" t="inlineStr">
        <is>
          <t>UMEÅ</t>
        </is>
      </c>
      <c r="G4569" t="n">
        <v>8.1</v>
      </c>
      <c r="H4569" t="n">
        <v>0</v>
      </c>
      <c r="I4569" t="n">
        <v>0</v>
      </c>
      <c r="J4569" t="n">
        <v>0</v>
      </c>
      <c r="K4569" t="n">
        <v>0</v>
      </c>
      <c r="L4569" t="n">
        <v>0</v>
      </c>
      <c r="M4569" t="n">
        <v>0</v>
      </c>
      <c r="N4569" t="n">
        <v>0</v>
      </c>
      <c r="O4569" t="n">
        <v>0</v>
      </c>
      <c r="P4569" t="n">
        <v>0</v>
      </c>
      <c r="Q4569" t="n">
        <v>0</v>
      </c>
      <c r="R4569" s="2" t="inlineStr"/>
    </row>
    <row r="4570" ht="15" customHeight="1">
      <c r="A4570" t="inlineStr">
        <is>
          <t>A 14991-2021</t>
        </is>
      </c>
      <c r="B4570" s="1" t="n">
        <v>44281</v>
      </c>
      <c r="C4570" s="1" t="n">
        <v>46075</v>
      </c>
      <c r="D4570" t="inlineStr">
        <is>
          <t>VÄSTERBOTTENS LÄN</t>
        </is>
      </c>
      <c r="E4570" t="inlineStr">
        <is>
          <t>VINDELN</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9249-2025</t>
        </is>
      </c>
      <c r="B4571" s="1" t="n">
        <v>45714.58974537037</v>
      </c>
      <c r="C4571" s="1" t="n">
        <v>46075</v>
      </c>
      <c r="D4571" t="inlineStr">
        <is>
          <t>VÄSTERBOTTENS LÄN</t>
        </is>
      </c>
      <c r="E4571" t="inlineStr">
        <is>
          <t>VINDELN</t>
        </is>
      </c>
      <c r="F4571" t="inlineStr">
        <is>
          <t>Holmen skog AB</t>
        </is>
      </c>
      <c r="G4571" t="n">
        <v>6</v>
      </c>
      <c r="H4571" t="n">
        <v>0</v>
      </c>
      <c r="I4571" t="n">
        <v>0</v>
      </c>
      <c r="J4571" t="n">
        <v>0</v>
      </c>
      <c r="K4571" t="n">
        <v>0</v>
      </c>
      <c r="L4571" t="n">
        <v>0</v>
      </c>
      <c r="M4571" t="n">
        <v>0</v>
      </c>
      <c r="N4571" t="n">
        <v>0</v>
      </c>
      <c r="O4571" t="n">
        <v>0</v>
      </c>
      <c r="P4571" t="n">
        <v>0</v>
      </c>
      <c r="Q4571" t="n">
        <v>0</v>
      </c>
      <c r="R4571" s="2" t="inlineStr"/>
    </row>
    <row r="4572" ht="15" customHeight="1">
      <c r="A4572" t="inlineStr">
        <is>
          <t>A 43241-2025</t>
        </is>
      </c>
      <c r="B4572" s="1" t="n">
        <v>45910.53175925926</v>
      </c>
      <c r="C4572" s="1" t="n">
        <v>46075</v>
      </c>
      <c r="D4572" t="inlineStr">
        <is>
          <t>VÄSTERBOTTENS LÄN</t>
        </is>
      </c>
      <c r="E4572" t="inlineStr">
        <is>
          <t>STORUMAN</t>
        </is>
      </c>
      <c r="F4572" t="inlineStr">
        <is>
          <t>SCA</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43218-2025</t>
        </is>
      </c>
      <c r="B4573" s="1" t="n">
        <v>45910.47071759259</v>
      </c>
      <c r="C4573" s="1" t="n">
        <v>46075</v>
      </c>
      <c r="D4573" t="inlineStr">
        <is>
          <t>VÄSTERBOTTENS LÄN</t>
        </is>
      </c>
      <c r="E4573" t="inlineStr">
        <is>
          <t>NORDMALING</t>
        </is>
      </c>
      <c r="G4573" t="n">
        <v>3.1</v>
      </c>
      <c r="H4573" t="n">
        <v>0</v>
      </c>
      <c r="I4573" t="n">
        <v>0</v>
      </c>
      <c r="J4573" t="n">
        <v>0</v>
      </c>
      <c r="K4573" t="n">
        <v>0</v>
      </c>
      <c r="L4573" t="n">
        <v>0</v>
      </c>
      <c r="M4573" t="n">
        <v>0</v>
      </c>
      <c r="N4573" t="n">
        <v>0</v>
      </c>
      <c r="O4573" t="n">
        <v>0</v>
      </c>
      <c r="P4573" t="n">
        <v>0</v>
      </c>
      <c r="Q4573" t="n">
        <v>0</v>
      </c>
      <c r="R4573" s="2" t="inlineStr"/>
    </row>
    <row r="4574" ht="15" customHeight="1">
      <c r="A4574" t="inlineStr">
        <is>
          <t>A 7800-2024</t>
        </is>
      </c>
      <c r="B4574" s="1" t="n">
        <v>45348</v>
      </c>
      <c r="C4574" s="1" t="n">
        <v>46075</v>
      </c>
      <c r="D4574" t="inlineStr">
        <is>
          <t>VÄSTERBOTTENS LÄN</t>
        </is>
      </c>
      <c r="E4574" t="inlineStr">
        <is>
          <t>SKELLEFTEÅ</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28365-2025</t>
        </is>
      </c>
      <c r="B4575" s="1" t="n">
        <v>45818.83288194444</v>
      </c>
      <c r="C4575" s="1" t="n">
        <v>46075</v>
      </c>
      <c r="D4575" t="inlineStr">
        <is>
          <t>VÄSTERBOTTENS LÄN</t>
        </is>
      </c>
      <c r="E4575" t="inlineStr">
        <is>
          <t>SKELLEFTEÅ</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22050-2024</t>
        </is>
      </c>
      <c r="B4576" s="1" t="n">
        <v>45443.61378472222</v>
      </c>
      <c r="C4576" s="1" t="n">
        <v>46075</v>
      </c>
      <c r="D4576" t="inlineStr">
        <is>
          <t>VÄSTERBOTTENS LÄN</t>
        </is>
      </c>
      <c r="E4576" t="inlineStr">
        <is>
          <t>LYCKSELE</t>
        </is>
      </c>
      <c r="F4576" t="inlineStr">
        <is>
          <t>Holmen skog AB</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7832-2024</t>
        </is>
      </c>
      <c r="B4577" s="1" t="n">
        <v>45349.80663194445</v>
      </c>
      <c r="C4577" s="1" t="n">
        <v>46075</v>
      </c>
      <c r="D4577" t="inlineStr">
        <is>
          <t>VÄSTERBOTTENS LÄN</t>
        </is>
      </c>
      <c r="E4577" t="inlineStr">
        <is>
          <t>SKELLEFTEÅ</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33104-2025</t>
        </is>
      </c>
      <c r="B4578" s="1" t="n">
        <v>45840.48296296296</v>
      </c>
      <c r="C4578" s="1" t="n">
        <v>46075</v>
      </c>
      <c r="D4578" t="inlineStr">
        <is>
          <t>VÄSTERBOTTENS LÄN</t>
        </is>
      </c>
      <c r="E4578" t="inlineStr">
        <is>
          <t>SKELLEFTEÅ</t>
        </is>
      </c>
      <c r="F4578" t="inlineStr">
        <is>
          <t>Holmen skog AB</t>
        </is>
      </c>
      <c r="G4578" t="n">
        <v>3.1</v>
      </c>
      <c r="H4578" t="n">
        <v>0</v>
      </c>
      <c r="I4578" t="n">
        <v>0</v>
      </c>
      <c r="J4578" t="n">
        <v>0</v>
      </c>
      <c r="K4578" t="n">
        <v>0</v>
      </c>
      <c r="L4578" t="n">
        <v>0</v>
      </c>
      <c r="M4578" t="n">
        <v>0</v>
      </c>
      <c r="N4578" t="n">
        <v>0</v>
      </c>
      <c r="O4578" t="n">
        <v>0</v>
      </c>
      <c r="P4578" t="n">
        <v>0</v>
      </c>
      <c r="Q4578" t="n">
        <v>0</v>
      </c>
      <c r="R4578" s="2" t="inlineStr"/>
    </row>
    <row r="4579" ht="15" customHeight="1">
      <c r="A4579" t="inlineStr">
        <is>
          <t>A 57798-2024</t>
        </is>
      </c>
      <c r="B4579" s="1" t="n">
        <v>45631.34457175926</v>
      </c>
      <c r="C4579" s="1" t="n">
        <v>46075</v>
      </c>
      <c r="D4579" t="inlineStr">
        <is>
          <t>VÄSTERBOTTENS LÄN</t>
        </is>
      </c>
      <c r="E4579" t="inlineStr">
        <is>
          <t>BJURHOLM</t>
        </is>
      </c>
      <c r="F4579" t="inlineStr">
        <is>
          <t>SCA</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43463-2025</t>
        </is>
      </c>
      <c r="B4580" s="1" t="n">
        <v>45911.46953703704</v>
      </c>
      <c r="C4580" s="1" t="n">
        <v>46075</v>
      </c>
      <c r="D4580" t="inlineStr">
        <is>
          <t>VÄSTERBOTTENS LÄN</t>
        </is>
      </c>
      <c r="E4580" t="inlineStr">
        <is>
          <t>SKELLEFTEÅ</t>
        </is>
      </c>
      <c r="G4580" t="n">
        <v>10.6</v>
      </c>
      <c r="H4580" t="n">
        <v>0</v>
      </c>
      <c r="I4580" t="n">
        <v>0</v>
      </c>
      <c r="J4580" t="n">
        <v>0</v>
      </c>
      <c r="K4580" t="n">
        <v>0</v>
      </c>
      <c r="L4580" t="n">
        <v>0</v>
      </c>
      <c r="M4580" t="n">
        <v>0</v>
      </c>
      <c r="N4580" t="n">
        <v>0</v>
      </c>
      <c r="O4580" t="n">
        <v>0</v>
      </c>
      <c r="P4580" t="n">
        <v>0</v>
      </c>
      <c r="Q4580" t="n">
        <v>0</v>
      </c>
      <c r="R4580" s="2" t="inlineStr"/>
    </row>
    <row r="4581" ht="15" customHeight="1">
      <c r="A4581" t="inlineStr">
        <is>
          <t>A 33142-2025</t>
        </is>
      </c>
      <c r="B4581" s="1" t="n">
        <v>45840</v>
      </c>
      <c r="C4581" s="1" t="n">
        <v>46075</v>
      </c>
      <c r="D4581" t="inlineStr">
        <is>
          <t>VÄSTERBOTTENS LÄN</t>
        </is>
      </c>
      <c r="E4581" t="inlineStr">
        <is>
          <t>VILHELMINA</t>
        </is>
      </c>
      <c r="G4581" t="n">
        <v>15.2</v>
      </c>
      <c r="H4581" t="n">
        <v>0</v>
      </c>
      <c r="I4581" t="n">
        <v>0</v>
      </c>
      <c r="J4581" t="n">
        <v>0</v>
      </c>
      <c r="K4581" t="n">
        <v>0</v>
      </c>
      <c r="L4581" t="n">
        <v>0</v>
      </c>
      <c r="M4581" t="n">
        <v>0</v>
      </c>
      <c r="N4581" t="n">
        <v>0</v>
      </c>
      <c r="O4581" t="n">
        <v>0</v>
      </c>
      <c r="P4581" t="n">
        <v>0</v>
      </c>
      <c r="Q4581" t="n">
        <v>0</v>
      </c>
      <c r="R4581" s="2" t="inlineStr"/>
    </row>
    <row r="4582" ht="15" customHeight="1">
      <c r="A4582" t="inlineStr">
        <is>
          <t>A 33154-2025</t>
        </is>
      </c>
      <c r="B4582" s="1" t="n">
        <v>45840.55459490741</v>
      </c>
      <c r="C4582" s="1" t="n">
        <v>46075</v>
      </c>
      <c r="D4582" t="inlineStr">
        <is>
          <t>VÄSTERBOTTENS LÄN</t>
        </is>
      </c>
      <c r="E4582" t="inlineStr">
        <is>
          <t>SKELLEFTEÅ</t>
        </is>
      </c>
      <c r="G4582" t="n">
        <v>5.9</v>
      </c>
      <c r="H4582" t="n">
        <v>0</v>
      </c>
      <c r="I4582" t="n">
        <v>0</v>
      </c>
      <c r="J4582" t="n">
        <v>0</v>
      </c>
      <c r="K4582" t="n">
        <v>0</v>
      </c>
      <c r="L4582" t="n">
        <v>0</v>
      </c>
      <c r="M4582" t="n">
        <v>0</v>
      </c>
      <c r="N4582" t="n">
        <v>0</v>
      </c>
      <c r="O4582" t="n">
        <v>0</v>
      </c>
      <c r="P4582" t="n">
        <v>0</v>
      </c>
      <c r="Q4582" t="n">
        <v>0</v>
      </c>
      <c r="R4582" s="2" t="inlineStr"/>
    </row>
    <row r="4583" ht="15" customHeight="1">
      <c r="A4583" t="inlineStr">
        <is>
          <t>A 33216-2025</t>
        </is>
      </c>
      <c r="B4583" s="1" t="n">
        <v>45840.63201388889</v>
      </c>
      <c r="C4583" s="1" t="n">
        <v>46075</v>
      </c>
      <c r="D4583" t="inlineStr">
        <is>
          <t>VÄSTERBOTTENS LÄN</t>
        </is>
      </c>
      <c r="E4583" t="inlineStr">
        <is>
          <t>NORDMALING</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33431-2025</t>
        </is>
      </c>
      <c r="B4584" s="1" t="n">
        <v>45841.44836805556</v>
      </c>
      <c r="C4584" s="1" t="n">
        <v>46075</v>
      </c>
      <c r="D4584" t="inlineStr">
        <is>
          <t>VÄSTERBOTTENS LÄN</t>
        </is>
      </c>
      <c r="E4584" t="inlineStr">
        <is>
          <t>LYCKSELE</t>
        </is>
      </c>
      <c r="G4584" t="n">
        <v>0.1</v>
      </c>
      <c r="H4584" t="n">
        <v>0</v>
      </c>
      <c r="I4584" t="n">
        <v>0</v>
      </c>
      <c r="J4584" t="n">
        <v>0</v>
      </c>
      <c r="K4584" t="n">
        <v>0</v>
      </c>
      <c r="L4584" t="n">
        <v>0</v>
      </c>
      <c r="M4584" t="n">
        <v>0</v>
      </c>
      <c r="N4584" t="n">
        <v>0</v>
      </c>
      <c r="O4584" t="n">
        <v>0</v>
      </c>
      <c r="P4584" t="n">
        <v>0</v>
      </c>
      <c r="Q4584" t="n">
        <v>0</v>
      </c>
      <c r="R4584" s="2" t="inlineStr"/>
    </row>
    <row r="4585" ht="15" customHeight="1">
      <c r="A4585" t="inlineStr">
        <is>
          <t>A 60873-2022</t>
        </is>
      </c>
      <c r="B4585" s="1" t="n">
        <v>44908</v>
      </c>
      <c r="C4585" s="1" t="n">
        <v>46075</v>
      </c>
      <c r="D4585" t="inlineStr">
        <is>
          <t>VÄSTERBOTTENS LÄN</t>
        </is>
      </c>
      <c r="E4585" t="inlineStr">
        <is>
          <t>ÅSELE</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33599-2025</t>
        </is>
      </c>
      <c r="B4586" s="1" t="n">
        <v>45841.60773148148</v>
      </c>
      <c r="C4586" s="1" t="n">
        <v>46075</v>
      </c>
      <c r="D4586" t="inlineStr">
        <is>
          <t>VÄSTERBOTTENS LÄN</t>
        </is>
      </c>
      <c r="E4586" t="inlineStr">
        <is>
          <t>NORDMALING</t>
        </is>
      </c>
      <c r="G4586" t="n">
        <v>4</v>
      </c>
      <c r="H4586" t="n">
        <v>0</v>
      </c>
      <c r="I4586" t="n">
        <v>0</v>
      </c>
      <c r="J4586" t="n">
        <v>0</v>
      </c>
      <c r="K4586" t="n">
        <v>0</v>
      </c>
      <c r="L4586" t="n">
        <v>0</v>
      </c>
      <c r="M4586" t="n">
        <v>0</v>
      </c>
      <c r="N4586" t="n">
        <v>0</v>
      </c>
      <c r="O4586" t="n">
        <v>0</v>
      </c>
      <c r="P4586" t="n">
        <v>0</v>
      </c>
      <c r="Q4586" t="n">
        <v>0</v>
      </c>
      <c r="R4586" s="2" t="inlineStr"/>
    </row>
    <row r="4587" ht="15" customHeight="1">
      <c r="A4587" t="inlineStr">
        <is>
          <t>A 33615-2025</t>
        </is>
      </c>
      <c r="B4587" s="1" t="n">
        <v>45841.621875</v>
      </c>
      <c r="C4587" s="1" t="n">
        <v>46075</v>
      </c>
      <c r="D4587" t="inlineStr">
        <is>
          <t>VÄSTERBOTTENS LÄN</t>
        </is>
      </c>
      <c r="E4587" t="inlineStr">
        <is>
          <t>NORSJÖ</t>
        </is>
      </c>
      <c r="F4587" t="inlineStr">
        <is>
          <t>Holmen skog AB</t>
        </is>
      </c>
      <c r="G4587" t="n">
        <v>9.5</v>
      </c>
      <c r="H4587" t="n">
        <v>0</v>
      </c>
      <c r="I4587" t="n">
        <v>0</v>
      </c>
      <c r="J4587" t="n">
        <v>0</v>
      </c>
      <c r="K4587" t="n">
        <v>0</v>
      </c>
      <c r="L4587" t="n">
        <v>0</v>
      </c>
      <c r="M4587" t="n">
        <v>0</v>
      </c>
      <c r="N4587" t="n">
        <v>0</v>
      </c>
      <c r="O4587" t="n">
        <v>0</v>
      </c>
      <c r="P4587" t="n">
        <v>0</v>
      </c>
      <c r="Q4587" t="n">
        <v>0</v>
      </c>
      <c r="R4587" s="2" t="inlineStr"/>
    </row>
    <row r="4588" ht="15" customHeight="1">
      <c r="A4588" t="inlineStr">
        <is>
          <t>A 43392-2025</t>
        </is>
      </c>
      <c r="B4588" s="1" t="n">
        <v>45911.36961805556</v>
      </c>
      <c r="C4588" s="1" t="n">
        <v>46075</v>
      </c>
      <c r="D4588" t="inlineStr">
        <is>
          <t>VÄSTERBOTTENS LÄN</t>
        </is>
      </c>
      <c r="E4588" t="inlineStr">
        <is>
          <t>VINDELN</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43409-2025</t>
        </is>
      </c>
      <c r="B4589" s="1" t="n">
        <v>45911.39513888889</v>
      </c>
      <c r="C4589" s="1" t="n">
        <v>46075</v>
      </c>
      <c r="D4589" t="inlineStr">
        <is>
          <t>VÄSTERBOTTENS LÄN</t>
        </is>
      </c>
      <c r="E4589" t="inlineStr">
        <is>
          <t>LYCKSELE</t>
        </is>
      </c>
      <c r="F4589" t="inlineStr">
        <is>
          <t>Holmen skog AB</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33220-2025</t>
        </is>
      </c>
      <c r="B4590" s="1" t="n">
        <v>45840.63465277778</v>
      </c>
      <c r="C4590" s="1" t="n">
        <v>46075</v>
      </c>
      <c r="D4590" t="inlineStr">
        <is>
          <t>VÄSTERBOTTENS LÄN</t>
        </is>
      </c>
      <c r="E4590" t="inlineStr">
        <is>
          <t>NORDMALING</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41537-2023</t>
        </is>
      </c>
      <c r="B4591" s="1" t="n">
        <v>45172</v>
      </c>
      <c r="C4591" s="1" t="n">
        <v>46075</v>
      </c>
      <c r="D4591" t="inlineStr">
        <is>
          <t>VÄSTERBOTTENS LÄN</t>
        </is>
      </c>
      <c r="E4591" t="inlineStr">
        <is>
          <t>NORSJÖ</t>
        </is>
      </c>
      <c r="G4591" t="n">
        <v>4.5</v>
      </c>
      <c r="H4591" t="n">
        <v>0</v>
      </c>
      <c r="I4591" t="n">
        <v>0</v>
      </c>
      <c r="J4591" t="n">
        <v>0</v>
      </c>
      <c r="K4591" t="n">
        <v>0</v>
      </c>
      <c r="L4591" t="n">
        <v>0</v>
      </c>
      <c r="M4591" t="n">
        <v>0</v>
      </c>
      <c r="N4591" t="n">
        <v>0</v>
      </c>
      <c r="O4591" t="n">
        <v>0</v>
      </c>
      <c r="P4591" t="n">
        <v>0</v>
      </c>
      <c r="Q4591" t="n">
        <v>0</v>
      </c>
      <c r="R4591" s="2" t="inlineStr"/>
    </row>
    <row r="4592" ht="15" customHeight="1">
      <c r="A4592" t="inlineStr">
        <is>
          <t>A 9035-2021</t>
        </is>
      </c>
      <c r="B4592" s="1" t="n">
        <v>44249</v>
      </c>
      <c r="C4592" s="1" t="n">
        <v>46075</v>
      </c>
      <c r="D4592" t="inlineStr">
        <is>
          <t>VÄSTERBOTTENS LÄN</t>
        </is>
      </c>
      <c r="E4592" t="inlineStr">
        <is>
          <t>SKELLEFTEÅ</t>
        </is>
      </c>
      <c r="G4592" t="n">
        <v>6.7</v>
      </c>
      <c r="H4592" t="n">
        <v>0</v>
      </c>
      <c r="I4592" t="n">
        <v>0</v>
      </c>
      <c r="J4592" t="n">
        <v>0</v>
      </c>
      <c r="K4592" t="n">
        <v>0</v>
      </c>
      <c r="L4592" t="n">
        <v>0</v>
      </c>
      <c r="M4592" t="n">
        <v>0</v>
      </c>
      <c r="N4592" t="n">
        <v>0</v>
      </c>
      <c r="O4592" t="n">
        <v>0</v>
      </c>
      <c r="P4592" t="n">
        <v>0</v>
      </c>
      <c r="Q4592" t="n">
        <v>0</v>
      </c>
      <c r="R4592" s="2" t="inlineStr"/>
    </row>
    <row r="4593" ht="15" customHeight="1">
      <c r="A4593" t="inlineStr">
        <is>
          <t>A 33423-2025</t>
        </is>
      </c>
      <c r="B4593" s="1" t="n">
        <v>45841.44326388889</v>
      </c>
      <c r="C4593" s="1" t="n">
        <v>46075</v>
      </c>
      <c r="D4593" t="inlineStr">
        <is>
          <t>VÄSTERBOTTENS LÄN</t>
        </is>
      </c>
      <c r="E4593" t="inlineStr">
        <is>
          <t>LYCKSELE</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43374-2025</t>
        </is>
      </c>
      <c r="B4594" s="1" t="n">
        <v>45911.35045138889</v>
      </c>
      <c r="C4594" s="1" t="n">
        <v>46075</v>
      </c>
      <c r="D4594" t="inlineStr">
        <is>
          <t>VÄSTERBOTTENS LÄN</t>
        </is>
      </c>
      <c r="E4594" t="inlineStr">
        <is>
          <t>NORDMALING</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33545-2025</t>
        </is>
      </c>
      <c r="B4595" s="1" t="n">
        <v>45841.56859953704</v>
      </c>
      <c r="C4595" s="1" t="n">
        <v>46075</v>
      </c>
      <c r="D4595" t="inlineStr">
        <is>
          <t>VÄSTERBOTTENS LÄN</t>
        </is>
      </c>
      <c r="E4595" t="inlineStr">
        <is>
          <t>VINDELN</t>
        </is>
      </c>
      <c r="F4595" t="inlineStr">
        <is>
          <t>Holmen skog AB</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33368-2025</t>
        </is>
      </c>
      <c r="B4596" s="1" t="n">
        <v>45841.38987268518</v>
      </c>
      <c r="C4596" s="1" t="n">
        <v>46075</v>
      </c>
      <c r="D4596" t="inlineStr">
        <is>
          <t>VÄSTERBOTTENS LÄN</t>
        </is>
      </c>
      <c r="E4596" t="inlineStr">
        <is>
          <t>ROBERTSFORS</t>
        </is>
      </c>
      <c r="G4596" t="n">
        <v>0.4</v>
      </c>
      <c r="H4596" t="n">
        <v>0</v>
      </c>
      <c r="I4596" t="n">
        <v>0</v>
      </c>
      <c r="J4596" t="n">
        <v>0</v>
      </c>
      <c r="K4596" t="n">
        <v>0</v>
      </c>
      <c r="L4596" t="n">
        <v>0</v>
      </c>
      <c r="M4596" t="n">
        <v>0</v>
      </c>
      <c r="N4596" t="n">
        <v>0</v>
      </c>
      <c r="O4596" t="n">
        <v>0</v>
      </c>
      <c r="P4596" t="n">
        <v>0</v>
      </c>
      <c r="Q4596" t="n">
        <v>0</v>
      </c>
      <c r="R4596" s="2" t="inlineStr"/>
    </row>
    <row r="4597" ht="15" customHeight="1">
      <c r="A4597" t="inlineStr">
        <is>
          <t>A 33375-2025</t>
        </is>
      </c>
      <c r="B4597" s="1" t="n">
        <v>45841.39737268518</v>
      </c>
      <c r="C4597" s="1" t="n">
        <v>46075</v>
      </c>
      <c r="D4597" t="inlineStr">
        <is>
          <t>VÄSTERBOTTENS LÄN</t>
        </is>
      </c>
      <c r="E4597" t="inlineStr">
        <is>
          <t>ROBERTSFORS</t>
        </is>
      </c>
      <c r="G4597" t="n">
        <v>0.3</v>
      </c>
      <c r="H4597" t="n">
        <v>0</v>
      </c>
      <c r="I4597" t="n">
        <v>0</v>
      </c>
      <c r="J4597" t="n">
        <v>0</v>
      </c>
      <c r="K4597" t="n">
        <v>0</v>
      </c>
      <c r="L4597" t="n">
        <v>0</v>
      </c>
      <c r="M4597" t="n">
        <v>0</v>
      </c>
      <c r="N4597" t="n">
        <v>0</v>
      </c>
      <c r="O4597" t="n">
        <v>0</v>
      </c>
      <c r="P4597" t="n">
        <v>0</v>
      </c>
      <c r="Q4597" t="n">
        <v>0</v>
      </c>
      <c r="R4597" s="2" t="inlineStr"/>
    </row>
    <row r="4598" ht="15" customHeight="1">
      <c r="A4598" t="inlineStr">
        <is>
          <t>A 46071-2022</t>
        </is>
      </c>
      <c r="B4598" s="1" t="n">
        <v>44847</v>
      </c>
      <c r="C4598" s="1" t="n">
        <v>46075</v>
      </c>
      <c r="D4598" t="inlineStr">
        <is>
          <t>VÄSTERBOTTENS LÄN</t>
        </is>
      </c>
      <c r="E4598" t="inlineStr">
        <is>
          <t>VILHELMINA</t>
        </is>
      </c>
      <c r="G4598" t="n">
        <v>10.6</v>
      </c>
      <c r="H4598" t="n">
        <v>0</v>
      </c>
      <c r="I4598" t="n">
        <v>0</v>
      </c>
      <c r="J4598" t="n">
        <v>0</v>
      </c>
      <c r="K4598" t="n">
        <v>0</v>
      </c>
      <c r="L4598" t="n">
        <v>0</v>
      </c>
      <c r="M4598" t="n">
        <v>0</v>
      </c>
      <c r="N4598" t="n">
        <v>0</v>
      </c>
      <c r="O4598" t="n">
        <v>0</v>
      </c>
      <c r="P4598" t="n">
        <v>0</v>
      </c>
      <c r="Q4598" t="n">
        <v>0</v>
      </c>
      <c r="R4598" s="2" t="inlineStr"/>
    </row>
    <row r="4599" ht="15" customHeight="1">
      <c r="A4599" t="inlineStr">
        <is>
          <t>A 43583-2025</t>
        </is>
      </c>
      <c r="B4599" s="1" t="n">
        <v>45911.6499537037</v>
      </c>
      <c r="C4599" s="1" t="n">
        <v>46075</v>
      </c>
      <c r="D4599" t="inlineStr">
        <is>
          <t>VÄSTERBOTTENS LÄN</t>
        </is>
      </c>
      <c r="E4599" t="inlineStr">
        <is>
          <t>LYCKSELE</t>
        </is>
      </c>
      <c r="F4599" t="inlineStr">
        <is>
          <t>Holmen skog AB</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43596-2025</t>
        </is>
      </c>
      <c r="B4600" s="1" t="n">
        <v>45911.66240740741</v>
      </c>
      <c r="C4600" s="1" t="n">
        <v>46075</v>
      </c>
      <c r="D4600" t="inlineStr">
        <is>
          <t>VÄSTERBOTTENS LÄN</t>
        </is>
      </c>
      <c r="E4600" t="inlineStr">
        <is>
          <t>SKELLEFTEÅ</t>
        </is>
      </c>
      <c r="G4600" t="n">
        <v>7.7</v>
      </c>
      <c r="H4600" t="n">
        <v>0</v>
      </c>
      <c r="I4600" t="n">
        <v>0</v>
      </c>
      <c r="J4600" t="n">
        <v>0</v>
      </c>
      <c r="K4600" t="n">
        <v>0</v>
      </c>
      <c r="L4600" t="n">
        <v>0</v>
      </c>
      <c r="M4600" t="n">
        <v>0</v>
      </c>
      <c r="N4600" t="n">
        <v>0</v>
      </c>
      <c r="O4600" t="n">
        <v>0</v>
      </c>
      <c r="P4600" t="n">
        <v>0</v>
      </c>
      <c r="Q4600" t="n">
        <v>0</v>
      </c>
      <c r="R4600" s="2" t="inlineStr"/>
    </row>
    <row r="4601" ht="15" customHeight="1">
      <c r="A4601" t="inlineStr">
        <is>
          <t>A 43600-2025</t>
        </is>
      </c>
      <c r="B4601" s="1" t="n">
        <v>45911.66473379629</v>
      </c>
      <c r="C4601" s="1" t="n">
        <v>46075</v>
      </c>
      <c r="D4601" t="inlineStr">
        <is>
          <t>VÄSTERBOTTENS LÄN</t>
        </is>
      </c>
      <c r="E4601" t="inlineStr">
        <is>
          <t>SKELLEFTEÅ</t>
        </is>
      </c>
      <c r="G4601" t="n">
        <v>3.1</v>
      </c>
      <c r="H4601" t="n">
        <v>0</v>
      </c>
      <c r="I4601" t="n">
        <v>0</v>
      </c>
      <c r="J4601" t="n">
        <v>0</v>
      </c>
      <c r="K4601" t="n">
        <v>0</v>
      </c>
      <c r="L4601" t="n">
        <v>0</v>
      </c>
      <c r="M4601" t="n">
        <v>0</v>
      </c>
      <c r="N4601" t="n">
        <v>0</v>
      </c>
      <c r="O4601" t="n">
        <v>0</v>
      </c>
      <c r="P4601" t="n">
        <v>0</v>
      </c>
      <c r="Q4601" t="n">
        <v>0</v>
      </c>
      <c r="R4601" s="2" t="inlineStr"/>
    </row>
    <row r="4602" ht="15" customHeight="1">
      <c r="A4602" t="inlineStr">
        <is>
          <t>A 33860-2025</t>
        </is>
      </c>
      <c r="B4602" s="1" t="n">
        <v>45842.52545138889</v>
      </c>
      <c r="C4602" s="1" t="n">
        <v>46075</v>
      </c>
      <c r="D4602" t="inlineStr">
        <is>
          <t>VÄSTERBOTTENS LÄN</t>
        </is>
      </c>
      <c r="E4602" t="inlineStr">
        <is>
          <t>VINDELN</t>
        </is>
      </c>
      <c r="F4602" t="inlineStr">
        <is>
          <t>Sveaskog</t>
        </is>
      </c>
      <c r="G4602" t="n">
        <v>3.8</v>
      </c>
      <c r="H4602" t="n">
        <v>0</v>
      </c>
      <c r="I4602" t="n">
        <v>0</v>
      </c>
      <c r="J4602" t="n">
        <v>0</v>
      </c>
      <c r="K4602" t="n">
        <v>0</v>
      </c>
      <c r="L4602" t="n">
        <v>0</v>
      </c>
      <c r="M4602" t="n">
        <v>0</v>
      </c>
      <c r="N4602" t="n">
        <v>0</v>
      </c>
      <c r="O4602" t="n">
        <v>0</v>
      </c>
      <c r="P4602" t="n">
        <v>0</v>
      </c>
      <c r="Q4602" t="n">
        <v>0</v>
      </c>
      <c r="R4602" s="2" t="inlineStr"/>
    </row>
    <row r="4603" ht="15" customHeight="1">
      <c r="A4603" t="inlineStr">
        <is>
          <t>A 62203-2022</t>
        </is>
      </c>
      <c r="B4603" s="1" t="n">
        <v>44922.60114583333</v>
      </c>
      <c r="C4603" s="1" t="n">
        <v>46075</v>
      </c>
      <c r="D4603" t="inlineStr">
        <is>
          <t>VÄSTERBOTTENS LÄN</t>
        </is>
      </c>
      <c r="E4603" t="inlineStr">
        <is>
          <t>NORDMALING</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33704-2024</t>
        </is>
      </c>
      <c r="B4604" s="1" t="n">
        <v>45520.52381944445</v>
      </c>
      <c r="C4604" s="1" t="n">
        <v>46075</v>
      </c>
      <c r="D4604" t="inlineStr">
        <is>
          <t>VÄSTERBOTTENS LÄN</t>
        </is>
      </c>
      <c r="E4604" t="inlineStr">
        <is>
          <t>LYCKSELE</t>
        </is>
      </c>
      <c r="F4604" t="inlineStr">
        <is>
          <t>Sveaskog</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33745-2024</t>
        </is>
      </c>
      <c r="B4605" s="1" t="n">
        <v>45520.56268518518</v>
      </c>
      <c r="C4605" s="1" t="n">
        <v>46075</v>
      </c>
      <c r="D4605" t="inlineStr">
        <is>
          <t>VÄSTERBOTTENS LÄN</t>
        </is>
      </c>
      <c r="E4605" t="inlineStr">
        <is>
          <t>VINDELN</t>
        </is>
      </c>
      <c r="F4605" t="inlineStr">
        <is>
          <t>Holmen skog AB</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33764-2024</t>
        </is>
      </c>
      <c r="B4606" s="1" t="n">
        <v>45520.57090277778</v>
      </c>
      <c r="C4606" s="1" t="n">
        <v>46075</v>
      </c>
      <c r="D4606" t="inlineStr">
        <is>
          <t>VÄSTERBOTTENS LÄN</t>
        </is>
      </c>
      <c r="E4606" t="inlineStr">
        <is>
          <t>VINDELN</t>
        </is>
      </c>
      <c r="F4606" t="inlineStr">
        <is>
          <t>Sveaskog</t>
        </is>
      </c>
      <c r="G4606" t="n">
        <v>4</v>
      </c>
      <c r="H4606" t="n">
        <v>0</v>
      </c>
      <c r="I4606" t="n">
        <v>0</v>
      </c>
      <c r="J4606" t="n">
        <v>0</v>
      </c>
      <c r="K4606" t="n">
        <v>0</v>
      </c>
      <c r="L4606" t="n">
        <v>0</v>
      </c>
      <c r="M4606" t="n">
        <v>0</v>
      </c>
      <c r="N4606" t="n">
        <v>0</v>
      </c>
      <c r="O4606" t="n">
        <v>0</v>
      </c>
      <c r="P4606" t="n">
        <v>0</v>
      </c>
      <c r="Q4606" t="n">
        <v>0</v>
      </c>
      <c r="R4606" s="2" t="inlineStr"/>
    </row>
    <row r="4607" ht="15" customHeight="1">
      <c r="A4607" t="inlineStr">
        <is>
          <t>A 25701-2024</t>
        </is>
      </c>
      <c r="B4607" s="1" t="n">
        <v>45463.94247685185</v>
      </c>
      <c r="C4607" s="1" t="n">
        <v>46075</v>
      </c>
      <c r="D4607" t="inlineStr">
        <is>
          <t>VÄSTERBOTTENS LÄN</t>
        </is>
      </c>
      <c r="E4607" t="inlineStr">
        <is>
          <t>VILHELMINA</t>
        </is>
      </c>
      <c r="F4607" t="inlineStr">
        <is>
          <t>SCA</t>
        </is>
      </c>
      <c r="G4607" t="n">
        <v>8.6</v>
      </c>
      <c r="H4607" t="n">
        <v>0</v>
      </c>
      <c r="I4607" t="n">
        <v>0</v>
      </c>
      <c r="J4607" t="n">
        <v>0</v>
      </c>
      <c r="K4607" t="n">
        <v>0</v>
      </c>
      <c r="L4607" t="n">
        <v>0</v>
      </c>
      <c r="M4607" t="n">
        <v>0</v>
      </c>
      <c r="N4607" t="n">
        <v>0</v>
      </c>
      <c r="O4607" t="n">
        <v>0</v>
      </c>
      <c r="P4607" t="n">
        <v>0</v>
      </c>
      <c r="Q4607" t="n">
        <v>0</v>
      </c>
      <c r="R4607" s="2" t="inlineStr"/>
    </row>
    <row r="4608" ht="15" customHeight="1">
      <c r="A4608" t="inlineStr">
        <is>
          <t>A 33991-2025</t>
        </is>
      </c>
      <c r="B4608" s="1" t="n">
        <v>45843.60467592593</v>
      </c>
      <c r="C4608" s="1" t="n">
        <v>46075</v>
      </c>
      <c r="D4608" t="inlineStr">
        <is>
          <t>VÄSTERBOTTENS LÄN</t>
        </is>
      </c>
      <c r="E4608" t="inlineStr">
        <is>
          <t>LYCKSELE</t>
        </is>
      </c>
      <c r="F4608" t="inlineStr">
        <is>
          <t>Sveaskog</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34402-2024</t>
        </is>
      </c>
      <c r="B4609" s="1" t="n">
        <v>45525.45399305555</v>
      </c>
      <c r="C4609" s="1" t="n">
        <v>46075</v>
      </c>
      <c r="D4609" t="inlineStr">
        <is>
          <t>VÄSTERBOTTENS LÄN</t>
        </is>
      </c>
      <c r="E4609" t="inlineStr">
        <is>
          <t>VINDELN</t>
        </is>
      </c>
      <c r="F4609" t="inlineStr">
        <is>
          <t>Holmen skog AB</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25713-2024</t>
        </is>
      </c>
      <c r="B4610" s="1" t="n">
        <v>45463</v>
      </c>
      <c r="C4610" s="1" t="n">
        <v>46075</v>
      </c>
      <c r="D4610" t="inlineStr">
        <is>
          <t>VÄSTERBOTTENS LÄN</t>
        </is>
      </c>
      <c r="E4610" t="inlineStr">
        <is>
          <t>ÅSELE</t>
        </is>
      </c>
      <c r="F4610" t="inlineStr">
        <is>
          <t>SCA</t>
        </is>
      </c>
      <c r="G4610" t="n">
        <v>7.7</v>
      </c>
      <c r="H4610" t="n">
        <v>0</v>
      </c>
      <c r="I4610" t="n">
        <v>0</v>
      </c>
      <c r="J4610" t="n">
        <v>0</v>
      </c>
      <c r="K4610" t="n">
        <v>0</v>
      </c>
      <c r="L4610" t="n">
        <v>0</v>
      </c>
      <c r="M4610" t="n">
        <v>0</v>
      </c>
      <c r="N4610" t="n">
        <v>0</v>
      </c>
      <c r="O4610" t="n">
        <v>0</v>
      </c>
      <c r="P4610" t="n">
        <v>0</v>
      </c>
      <c r="Q4610" t="n">
        <v>0</v>
      </c>
      <c r="R4610" s="2" t="inlineStr"/>
    </row>
    <row r="4611" ht="15" customHeight="1">
      <c r="A4611" t="inlineStr">
        <is>
          <t>A 34027-2025</t>
        </is>
      </c>
      <c r="B4611" s="1" t="n">
        <v>45845.35981481482</v>
      </c>
      <c r="C4611" s="1" t="n">
        <v>46075</v>
      </c>
      <c r="D4611" t="inlineStr">
        <is>
          <t>VÄSTERBOTTENS LÄN</t>
        </is>
      </c>
      <c r="E4611" t="inlineStr">
        <is>
          <t>SKELLEFTEÅ</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43518-2025</t>
        </is>
      </c>
      <c r="B4612" s="1" t="n">
        <v>45911.57329861111</v>
      </c>
      <c r="C4612" s="1" t="n">
        <v>46075</v>
      </c>
      <c r="D4612" t="inlineStr">
        <is>
          <t>VÄSTERBOTTENS LÄN</t>
        </is>
      </c>
      <c r="E4612" t="inlineStr">
        <is>
          <t>ÅSELE</t>
        </is>
      </c>
      <c r="F4612" t="inlineStr">
        <is>
          <t>SCA</t>
        </is>
      </c>
      <c r="G4612" t="n">
        <v>4.5</v>
      </c>
      <c r="H4612" t="n">
        <v>0</v>
      </c>
      <c r="I4612" t="n">
        <v>0</v>
      </c>
      <c r="J4612" t="n">
        <v>0</v>
      </c>
      <c r="K4612" t="n">
        <v>0</v>
      </c>
      <c r="L4612" t="n">
        <v>0</v>
      </c>
      <c r="M4612" t="n">
        <v>0</v>
      </c>
      <c r="N4612" t="n">
        <v>0</v>
      </c>
      <c r="O4612" t="n">
        <v>0</v>
      </c>
      <c r="P4612" t="n">
        <v>0</v>
      </c>
      <c r="Q4612" t="n">
        <v>0</v>
      </c>
      <c r="R4612" s="2" t="inlineStr"/>
    </row>
    <row r="4613" ht="15" customHeight="1">
      <c r="A4613" t="inlineStr">
        <is>
          <t>A 34017-2025</t>
        </is>
      </c>
      <c r="B4613" s="1" t="n">
        <v>45845.33821759259</v>
      </c>
      <c r="C4613" s="1" t="n">
        <v>46075</v>
      </c>
      <c r="D4613" t="inlineStr">
        <is>
          <t>VÄSTERBOTTENS LÄN</t>
        </is>
      </c>
      <c r="E4613" t="inlineStr">
        <is>
          <t>LYCKSELE</t>
        </is>
      </c>
      <c r="F4613" t="inlineStr">
        <is>
          <t>Sveaskog</t>
        </is>
      </c>
      <c r="G4613" t="n">
        <v>2.1</v>
      </c>
      <c r="H4613" t="n">
        <v>0</v>
      </c>
      <c r="I4613" t="n">
        <v>0</v>
      </c>
      <c r="J4613" t="n">
        <v>0</v>
      </c>
      <c r="K4613" t="n">
        <v>0</v>
      </c>
      <c r="L4613" t="n">
        <v>0</v>
      </c>
      <c r="M4613" t="n">
        <v>0</v>
      </c>
      <c r="N4613" t="n">
        <v>0</v>
      </c>
      <c r="O4613" t="n">
        <v>0</v>
      </c>
      <c r="P4613" t="n">
        <v>0</v>
      </c>
      <c r="Q4613" t="n">
        <v>0</v>
      </c>
      <c r="R4613" s="2" t="inlineStr"/>
    </row>
    <row r="4614" ht="15" customHeight="1">
      <c r="A4614" t="inlineStr">
        <is>
          <t>A 43390-2025</t>
        </is>
      </c>
      <c r="B4614" s="1" t="n">
        <v>45911.36674768518</v>
      </c>
      <c r="C4614" s="1" t="n">
        <v>46075</v>
      </c>
      <c r="D4614" t="inlineStr">
        <is>
          <t>VÄSTERBOTTENS LÄN</t>
        </is>
      </c>
      <c r="E4614" t="inlineStr">
        <is>
          <t>VINDELN</t>
        </is>
      </c>
      <c r="G4614" t="n">
        <v>8.300000000000001</v>
      </c>
      <c r="H4614" t="n">
        <v>0</v>
      </c>
      <c r="I4614" t="n">
        <v>0</v>
      </c>
      <c r="J4614" t="n">
        <v>0</v>
      </c>
      <c r="K4614" t="n">
        <v>0</v>
      </c>
      <c r="L4614" t="n">
        <v>0</v>
      </c>
      <c r="M4614" t="n">
        <v>0</v>
      </c>
      <c r="N4614" t="n">
        <v>0</v>
      </c>
      <c r="O4614" t="n">
        <v>0</v>
      </c>
      <c r="P4614" t="n">
        <v>0</v>
      </c>
      <c r="Q4614" t="n">
        <v>0</v>
      </c>
      <c r="R4614" s="2" t="inlineStr"/>
    </row>
    <row r="4615" ht="15" customHeight="1">
      <c r="A4615" t="inlineStr">
        <is>
          <t>A 24763-2023</t>
        </is>
      </c>
      <c r="B4615" s="1" t="n">
        <v>45084.63084490741</v>
      </c>
      <c r="C4615" s="1" t="n">
        <v>46075</v>
      </c>
      <c r="D4615" t="inlineStr">
        <is>
          <t>VÄSTERBOTTENS LÄN</t>
        </is>
      </c>
      <c r="E4615" t="inlineStr">
        <is>
          <t>NORSJÖ</t>
        </is>
      </c>
      <c r="F4615" t="inlineStr">
        <is>
          <t>Holmen skog AB</t>
        </is>
      </c>
      <c r="G4615" t="n">
        <v>4.6</v>
      </c>
      <c r="H4615" t="n">
        <v>0</v>
      </c>
      <c r="I4615" t="n">
        <v>0</v>
      </c>
      <c r="J4615" t="n">
        <v>0</v>
      </c>
      <c r="K4615" t="n">
        <v>0</v>
      </c>
      <c r="L4615" t="n">
        <v>0</v>
      </c>
      <c r="M4615" t="n">
        <v>0</v>
      </c>
      <c r="N4615" t="n">
        <v>0</v>
      </c>
      <c r="O4615" t="n">
        <v>0</v>
      </c>
      <c r="P4615" t="n">
        <v>0</v>
      </c>
      <c r="Q4615" t="n">
        <v>0</v>
      </c>
      <c r="R4615" s="2" t="inlineStr"/>
    </row>
    <row r="4616" ht="15" customHeight="1">
      <c r="A4616" t="inlineStr">
        <is>
          <t>A 43268-2025</t>
        </is>
      </c>
      <c r="B4616" s="1" t="n">
        <v>45910.57907407408</v>
      </c>
      <c r="C4616" s="1" t="n">
        <v>46075</v>
      </c>
      <c r="D4616" t="inlineStr">
        <is>
          <t>VÄSTERBOTTENS LÄN</t>
        </is>
      </c>
      <c r="E4616" t="inlineStr">
        <is>
          <t>ROBERTSFORS</t>
        </is>
      </c>
      <c r="F4616" t="inlineStr">
        <is>
          <t>Holmen skog AB</t>
        </is>
      </c>
      <c r="G4616" t="n">
        <v>6.2</v>
      </c>
      <c r="H4616" t="n">
        <v>0</v>
      </c>
      <c r="I4616" t="n">
        <v>0</v>
      </c>
      <c r="J4616" t="n">
        <v>0</v>
      </c>
      <c r="K4616" t="n">
        <v>0</v>
      </c>
      <c r="L4616" t="n">
        <v>0</v>
      </c>
      <c r="M4616" t="n">
        <v>0</v>
      </c>
      <c r="N4616" t="n">
        <v>0</v>
      </c>
      <c r="O4616" t="n">
        <v>0</v>
      </c>
      <c r="P4616" t="n">
        <v>0</v>
      </c>
      <c r="Q4616" t="n">
        <v>0</v>
      </c>
      <c r="R4616" s="2" t="inlineStr"/>
    </row>
    <row r="4617" ht="15" customHeight="1">
      <c r="A4617" t="inlineStr">
        <is>
          <t>A 43540-2025</t>
        </is>
      </c>
      <c r="B4617" s="1" t="n">
        <v>45911.60609953704</v>
      </c>
      <c r="C4617" s="1" t="n">
        <v>46075</v>
      </c>
      <c r="D4617" t="inlineStr">
        <is>
          <t>VÄSTERBOTTENS LÄN</t>
        </is>
      </c>
      <c r="E4617" t="inlineStr">
        <is>
          <t>ÅSELE</t>
        </is>
      </c>
      <c r="F4617" t="inlineStr">
        <is>
          <t>Holmen skog AB</t>
        </is>
      </c>
      <c r="G4617" t="n">
        <v>3.3</v>
      </c>
      <c r="H4617" t="n">
        <v>0</v>
      </c>
      <c r="I4617" t="n">
        <v>0</v>
      </c>
      <c r="J4617" t="n">
        <v>0</v>
      </c>
      <c r="K4617" t="n">
        <v>0</v>
      </c>
      <c r="L4617" t="n">
        <v>0</v>
      </c>
      <c r="M4617" t="n">
        <v>0</v>
      </c>
      <c r="N4617" t="n">
        <v>0</v>
      </c>
      <c r="O4617" t="n">
        <v>0</v>
      </c>
      <c r="P4617" t="n">
        <v>0</v>
      </c>
      <c r="Q4617" t="n">
        <v>0</v>
      </c>
      <c r="R4617" s="2" t="inlineStr"/>
    </row>
    <row r="4618" ht="15" customHeight="1">
      <c r="A4618" t="inlineStr">
        <is>
          <t>A 33938-2025</t>
        </is>
      </c>
      <c r="B4618" s="1" t="n">
        <v>45842.63664351852</v>
      </c>
      <c r="C4618" s="1" t="n">
        <v>46075</v>
      </c>
      <c r="D4618" t="inlineStr">
        <is>
          <t>VÄSTERBOTTENS LÄN</t>
        </is>
      </c>
      <c r="E4618" t="inlineStr">
        <is>
          <t>NORDMALING</t>
        </is>
      </c>
      <c r="F4618" t="inlineStr">
        <is>
          <t>SCA</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38364-2023</t>
        </is>
      </c>
      <c r="B4619" s="1" t="n">
        <v>45161</v>
      </c>
      <c r="C4619" s="1" t="n">
        <v>46075</v>
      </c>
      <c r="D4619" t="inlineStr">
        <is>
          <t>VÄSTERBOTTENS LÄN</t>
        </is>
      </c>
      <c r="E4619" t="inlineStr">
        <is>
          <t>VILHELMINA</t>
        </is>
      </c>
      <c r="F4619" t="inlineStr">
        <is>
          <t>SCA</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20795-2023</t>
        </is>
      </c>
      <c r="B4620" s="1" t="n">
        <v>45055</v>
      </c>
      <c r="C4620" s="1" t="n">
        <v>46075</v>
      </c>
      <c r="D4620" t="inlineStr">
        <is>
          <t>VÄSTERBOTTENS LÄN</t>
        </is>
      </c>
      <c r="E4620" t="inlineStr">
        <is>
          <t>UMEÅ</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46018-2021</t>
        </is>
      </c>
      <c r="B4621" s="1" t="n">
        <v>44441</v>
      </c>
      <c r="C4621" s="1" t="n">
        <v>46075</v>
      </c>
      <c r="D4621" t="inlineStr">
        <is>
          <t>VÄSTERBOTTENS LÄN</t>
        </is>
      </c>
      <c r="E4621" t="inlineStr">
        <is>
          <t>NORSJÖ</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33878-2025</t>
        </is>
      </c>
      <c r="B4622" s="1" t="n">
        <v>45842.55579861111</v>
      </c>
      <c r="C4622" s="1" t="n">
        <v>46075</v>
      </c>
      <c r="D4622" t="inlineStr">
        <is>
          <t>VÄSTERBOTTENS LÄN</t>
        </is>
      </c>
      <c r="E4622" t="inlineStr">
        <is>
          <t>VINDELN</t>
        </is>
      </c>
      <c r="F4622" t="inlineStr">
        <is>
          <t>Sveaskog</t>
        </is>
      </c>
      <c r="G4622" t="n">
        <v>6.8</v>
      </c>
      <c r="H4622" t="n">
        <v>0</v>
      </c>
      <c r="I4622" t="n">
        <v>0</v>
      </c>
      <c r="J4622" t="n">
        <v>0</v>
      </c>
      <c r="K4622" t="n">
        <v>0</v>
      </c>
      <c r="L4622" t="n">
        <v>0</v>
      </c>
      <c r="M4622" t="n">
        <v>0</v>
      </c>
      <c r="N4622" t="n">
        <v>0</v>
      </c>
      <c r="O4622" t="n">
        <v>0</v>
      </c>
      <c r="P4622" t="n">
        <v>0</v>
      </c>
      <c r="Q4622" t="n">
        <v>0</v>
      </c>
      <c r="R4622" s="2" t="inlineStr"/>
    </row>
    <row r="4623" ht="15" customHeight="1">
      <c r="A4623" t="inlineStr">
        <is>
          <t>A 33881-2025</t>
        </is>
      </c>
      <c r="B4623" s="1" t="n">
        <v>45842.5657175926</v>
      </c>
      <c r="C4623" s="1" t="n">
        <v>46075</v>
      </c>
      <c r="D4623" t="inlineStr">
        <is>
          <t>VÄSTERBOTTENS LÄN</t>
        </is>
      </c>
      <c r="E4623" t="inlineStr">
        <is>
          <t>STORUMAN</t>
        </is>
      </c>
      <c r="F4623" t="inlineStr">
        <is>
          <t>Sveaskog</t>
        </is>
      </c>
      <c r="G4623" t="n">
        <v>12.9</v>
      </c>
      <c r="H4623" t="n">
        <v>0</v>
      </c>
      <c r="I4623" t="n">
        <v>0</v>
      </c>
      <c r="J4623" t="n">
        <v>0</v>
      </c>
      <c r="K4623" t="n">
        <v>0</v>
      </c>
      <c r="L4623" t="n">
        <v>0</v>
      </c>
      <c r="M4623" t="n">
        <v>0</v>
      </c>
      <c r="N4623" t="n">
        <v>0</v>
      </c>
      <c r="O4623" t="n">
        <v>0</v>
      </c>
      <c r="P4623" t="n">
        <v>0</v>
      </c>
      <c r="Q4623" t="n">
        <v>0</v>
      </c>
      <c r="R4623" s="2" t="inlineStr"/>
    </row>
    <row r="4624" ht="15" customHeight="1">
      <c r="A4624" t="inlineStr">
        <is>
          <t>A 33901-2025</t>
        </is>
      </c>
      <c r="B4624" s="1" t="n">
        <v>45842.59473379629</v>
      </c>
      <c r="C4624" s="1" t="n">
        <v>46075</v>
      </c>
      <c r="D4624" t="inlineStr">
        <is>
          <t>VÄSTERBOTTENS LÄN</t>
        </is>
      </c>
      <c r="E4624" t="inlineStr">
        <is>
          <t>NORSJÖ</t>
        </is>
      </c>
      <c r="F4624" t="inlineStr">
        <is>
          <t>Sveaskog</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43176-2025</t>
        </is>
      </c>
      <c r="B4625" s="1" t="n">
        <v>45910.4053125</v>
      </c>
      <c r="C4625" s="1" t="n">
        <v>46075</v>
      </c>
      <c r="D4625" t="inlineStr">
        <is>
          <t>VÄSTERBOTTENS LÄN</t>
        </is>
      </c>
      <c r="E4625" t="inlineStr">
        <is>
          <t>VINDELN</t>
        </is>
      </c>
      <c r="G4625" t="n">
        <v>3.1</v>
      </c>
      <c r="H4625" t="n">
        <v>0</v>
      </c>
      <c r="I4625" t="n">
        <v>0</v>
      </c>
      <c r="J4625" t="n">
        <v>0</v>
      </c>
      <c r="K4625" t="n">
        <v>0</v>
      </c>
      <c r="L4625" t="n">
        <v>0</v>
      </c>
      <c r="M4625" t="n">
        <v>0</v>
      </c>
      <c r="N4625" t="n">
        <v>0</v>
      </c>
      <c r="O4625" t="n">
        <v>0</v>
      </c>
      <c r="P4625" t="n">
        <v>0</v>
      </c>
      <c r="Q4625" t="n">
        <v>0</v>
      </c>
      <c r="R4625" s="2" t="inlineStr"/>
    </row>
    <row r="4626" ht="15" customHeight="1">
      <c r="A4626" t="inlineStr">
        <is>
          <t>A 16921-2023</t>
        </is>
      </c>
      <c r="B4626" s="1" t="n">
        <v>45029</v>
      </c>
      <c r="C4626" s="1" t="n">
        <v>46075</v>
      </c>
      <c r="D4626" t="inlineStr">
        <is>
          <t>VÄSTERBOTTENS LÄN</t>
        </is>
      </c>
      <c r="E4626" t="inlineStr">
        <is>
          <t>ROBERTSFORS</t>
        </is>
      </c>
      <c r="G4626" t="n">
        <v>2.8</v>
      </c>
      <c r="H4626" t="n">
        <v>0</v>
      </c>
      <c r="I4626" t="n">
        <v>0</v>
      </c>
      <c r="J4626" t="n">
        <v>0</v>
      </c>
      <c r="K4626" t="n">
        <v>0</v>
      </c>
      <c r="L4626" t="n">
        <v>0</v>
      </c>
      <c r="M4626" t="n">
        <v>0</v>
      </c>
      <c r="N4626" t="n">
        <v>0</v>
      </c>
      <c r="O4626" t="n">
        <v>0</v>
      </c>
      <c r="P4626" t="n">
        <v>0</v>
      </c>
      <c r="Q4626" t="n">
        <v>0</v>
      </c>
      <c r="R4626" s="2" t="inlineStr"/>
    </row>
    <row r="4627" ht="15" customHeight="1">
      <c r="A4627" t="inlineStr">
        <is>
          <t>A 44483-2024</t>
        </is>
      </c>
      <c r="B4627" s="1" t="n">
        <v>45574</v>
      </c>
      <c r="C4627" s="1" t="n">
        <v>46075</v>
      </c>
      <c r="D4627" t="inlineStr">
        <is>
          <t>VÄSTERBOTTENS LÄN</t>
        </is>
      </c>
      <c r="E4627" t="inlineStr">
        <is>
          <t>SKELLEFTEÅ</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33805-2025</t>
        </is>
      </c>
      <c r="B4628" s="1" t="n">
        <v>45842.44846064815</v>
      </c>
      <c r="C4628" s="1" t="n">
        <v>46075</v>
      </c>
      <c r="D4628" t="inlineStr">
        <is>
          <t>VÄSTERBOTTENS LÄN</t>
        </is>
      </c>
      <c r="E4628" t="inlineStr">
        <is>
          <t>DOROTEA</t>
        </is>
      </c>
      <c r="F4628" t="inlineStr">
        <is>
          <t>SCA</t>
        </is>
      </c>
      <c r="G4628" t="n">
        <v>20.5</v>
      </c>
      <c r="H4628" t="n">
        <v>0</v>
      </c>
      <c r="I4628" t="n">
        <v>0</v>
      </c>
      <c r="J4628" t="n">
        <v>0</v>
      </c>
      <c r="K4628" t="n">
        <v>0</v>
      </c>
      <c r="L4628" t="n">
        <v>0</v>
      </c>
      <c r="M4628" t="n">
        <v>0</v>
      </c>
      <c r="N4628" t="n">
        <v>0</v>
      </c>
      <c r="O4628" t="n">
        <v>0</v>
      </c>
      <c r="P4628" t="n">
        <v>0</v>
      </c>
      <c r="Q4628" t="n">
        <v>0</v>
      </c>
      <c r="R4628" s="2" t="inlineStr"/>
    </row>
    <row r="4629" ht="15" customHeight="1">
      <c r="A4629" t="inlineStr">
        <is>
          <t>A 26924-2024</t>
        </is>
      </c>
      <c r="B4629" s="1" t="n">
        <v>45470.93101851852</v>
      </c>
      <c r="C4629" s="1" t="n">
        <v>46075</v>
      </c>
      <c r="D4629" t="inlineStr">
        <is>
          <t>VÄSTERBOTTENS LÄN</t>
        </is>
      </c>
      <c r="E4629" t="inlineStr">
        <is>
          <t>UMEÅ</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26930-2024</t>
        </is>
      </c>
      <c r="B4630" s="1" t="n">
        <v>45470.93159722222</v>
      </c>
      <c r="C4630" s="1" t="n">
        <v>46075</v>
      </c>
      <c r="D4630" t="inlineStr">
        <is>
          <t>VÄSTERBOTTENS LÄN</t>
        </is>
      </c>
      <c r="E4630" t="inlineStr">
        <is>
          <t>NORDMALING</t>
        </is>
      </c>
      <c r="G4630" t="n">
        <v>3.4</v>
      </c>
      <c r="H4630" t="n">
        <v>0</v>
      </c>
      <c r="I4630" t="n">
        <v>0</v>
      </c>
      <c r="J4630" t="n">
        <v>0</v>
      </c>
      <c r="K4630" t="n">
        <v>0</v>
      </c>
      <c r="L4630" t="n">
        <v>0</v>
      </c>
      <c r="M4630" t="n">
        <v>0</v>
      </c>
      <c r="N4630" t="n">
        <v>0</v>
      </c>
      <c r="O4630" t="n">
        <v>0</v>
      </c>
      <c r="P4630" t="n">
        <v>0</v>
      </c>
      <c r="Q4630" t="n">
        <v>0</v>
      </c>
      <c r="R4630" s="2" t="inlineStr"/>
    </row>
    <row r="4631" ht="15" customHeight="1">
      <c r="A4631" t="inlineStr">
        <is>
          <t>A 33920-2025</t>
        </is>
      </c>
      <c r="B4631" s="1" t="n">
        <v>45842.61521990741</v>
      </c>
      <c r="C4631" s="1" t="n">
        <v>46075</v>
      </c>
      <c r="D4631" t="inlineStr">
        <is>
          <t>VÄSTERBOTTENS LÄN</t>
        </is>
      </c>
      <c r="E4631" t="inlineStr">
        <is>
          <t>NORSJÖ</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22365-2024</t>
        </is>
      </c>
      <c r="B4632" s="1" t="n">
        <v>45446</v>
      </c>
      <c r="C4632" s="1" t="n">
        <v>46075</v>
      </c>
      <c r="D4632" t="inlineStr">
        <is>
          <t>VÄSTERBOTTENS LÄN</t>
        </is>
      </c>
      <c r="E4632" t="inlineStr">
        <is>
          <t>UMEÅ</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43285-2025</t>
        </is>
      </c>
      <c r="B4633" s="1" t="n">
        <v>45910.60444444444</v>
      </c>
      <c r="C4633" s="1" t="n">
        <v>46075</v>
      </c>
      <c r="D4633" t="inlineStr">
        <is>
          <t>VÄSTERBOTTENS LÄN</t>
        </is>
      </c>
      <c r="E4633" t="inlineStr">
        <is>
          <t>ROBERTSFORS</t>
        </is>
      </c>
      <c r="F4633" t="inlineStr">
        <is>
          <t>Holmen skog AB</t>
        </is>
      </c>
      <c r="G4633" t="n">
        <v>4.7</v>
      </c>
      <c r="H4633" t="n">
        <v>0</v>
      </c>
      <c r="I4633" t="n">
        <v>0</v>
      </c>
      <c r="J4633" t="n">
        <v>0</v>
      </c>
      <c r="K4633" t="n">
        <v>0</v>
      </c>
      <c r="L4633" t="n">
        <v>0</v>
      </c>
      <c r="M4633" t="n">
        <v>0</v>
      </c>
      <c r="N4633" t="n">
        <v>0</v>
      </c>
      <c r="O4633" t="n">
        <v>0</v>
      </c>
      <c r="P4633" t="n">
        <v>0</v>
      </c>
      <c r="Q4633" t="n">
        <v>0</v>
      </c>
      <c r="R4633" s="2" t="inlineStr"/>
    </row>
    <row r="4634" ht="15" customHeight="1">
      <c r="A4634" t="inlineStr">
        <is>
          <t>A 1883-2025</t>
        </is>
      </c>
      <c r="B4634" s="1" t="n">
        <v>45671</v>
      </c>
      <c r="C4634" s="1" t="n">
        <v>46075</v>
      </c>
      <c r="D4634" t="inlineStr">
        <is>
          <t>VÄSTERBOTTENS LÄN</t>
        </is>
      </c>
      <c r="E4634" t="inlineStr">
        <is>
          <t>ROBERTSFORS</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33918-2025</t>
        </is>
      </c>
      <c r="B4635" s="1" t="n">
        <v>45842.61505787037</v>
      </c>
      <c r="C4635" s="1" t="n">
        <v>46075</v>
      </c>
      <c r="D4635" t="inlineStr">
        <is>
          <t>VÄSTERBOTTENS LÄN</t>
        </is>
      </c>
      <c r="E4635" t="inlineStr">
        <is>
          <t>SKELLEFTEÅ</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35909-2023</t>
        </is>
      </c>
      <c r="B4636" s="1" t="n">
        <v>45148</v>
      </c>
      <c r="C4636" s="1" t="n">
        <v>46075</v>
      </c>
      <c r="D4636" t="inlineStr">
        <is>
          <t>VÄSTERBOTTENS LÄN</t>
        </is>
      </c>
      <c r="E4636" t="inlineStr">
        <is>
          <t>VINDELN</t>
        </is>
      </c>
      <c r="G4636" t="n">
        <v>3.2</v>
      </c>
      <c r="H4636" t="n">
        <v>0</v>
      </c>
      <c r="I4636" t="n">
        <v>0</v>
      </c>
      <c r="J4636" t="n">
        <v>0</v>
      </c>
      <c r="K4636" t="n">
        <v>0</v>
      </c>
      <c r="L4636" t="n">
        <v>0</v>
      </c>
      <c r="M4636" t="n">
        <v>0</v>
      </c>
      <c r="N4636" t="n">
        <v>0</v>
      </c>
      <c r="O4636" t="n">
        <v>0</v>
      </c>
      <c r="P4636" t="n">
        <v>0</v>
      </c>
      <c r="Q4636" t="n">
        <v>0</v>
      </c>
      <c r="R4636" s="2" t="inlineStr"/>
    </row>
    <row r="4637" ht="15" customHeight="1">
      <c r="A4637" t="inlineStr">
        <is>
          <t>A 43334-2025</t>
        </is>
      </c>
      <c r="B4637" s="1" t="n">
        <v>45910.71481481481</v>
      </c>
      <c r="C4637" s="1" t="n">
        <v>46075</v>
      </c>
      <c r="D4637" t="inlineStr">
        <is>
          <t>VÄSTERBOTTENS LÄN</t>
        </is>
      </c>
      <c r="E4637" t="inlineStr">
        <is>
          <t>ÅSELE</t>
        </is>
      </c>
      <c r="F4637" t="inlineStr">
        <is>
          <t>Holmen skog AB</t>
        </is>
      </c>
      <c r="G4637" t="n">
        <v>5</v>
      </c>
      <c r="H4637" t="n">
        <v>0</v>
      </c>
      <c r="I4637" t="n">
        <v>0</v>
      </c>
      <c r="J4637" t="n">
        <v>0</v>
      </c>
      <c r="K4637" t="n">
        <v>0</v>
      </c>
      <c r="L4637" t="n">
        <v>0</v>
      </c>
      <c r="M4637" t="n">
        <v>0</v>
      </c>
      <c r="N4637" t="n">
        <v>0</v>
      </c>
      <c r="O4637" t="n">
        <v>0</v>
      </c>
      <c r="P4637" t="n">
        <v>0</v>
      </c>
      <c r="Q4637" t="n">
        <v>0</v>
      </c>
      <c r="R4637" s="2" t="inlineStr"/>
    </row>
    <row r="4638" ht="15" customHeight="1">
      <c r="A4638" t="inlineStr">
        <is>
          <t>A 43372-2025</t>
        </is>
      </c>
      <c r="B4638" s="1" t="n">
        <v>45911.35015046296</v>
      </c>
      <c r="C4638" s="1" t="n">
        <v>46075</v>
      </c>
      <c r="D4638" t="inlineStr">
        <is>
          <t>VÄSTERBOTTENS LÄN</t>
        </is>
      </c>
      <c r="E4638" t="inlineStr">
        <is>
          <t>SKELLEFTEÅ</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34253-2025</t>
        </is>
      </c>
      <c r="B4639" s="1" t="n">
        <v>45845</v>
      </c>
      <c r="C4639" s="1" t="n">
        <v>46075</v>
      </c>
      <c r="D4639" t="inlineStr">
        <is>
          <t>VÄSTERBOTTENS LÄN</t>
        </is>
      </c>
      <c r="E4639" t="inlineStr">
        <is>
          <t>VILHELMINA</t>
        </is>
      </c>
      <c r="G4639" t="n">
        <v>14.3</v>
      </c>
      <c r="H4639" t="n">
        <v>0</v>
      </c>
      <c r="I4639" t="n">
        <v>0</v>
      </c>
      <c r="J4639" t="n">
        <v>0</v>
      </c>
      <c r="K4639" t="n">
        <v>0</v>
      </c>
      <c r="L4639" t="n">
        <v>0</v>
      </c>
      <c r="M4639" t="n">
        <v>0</v>
      </c>
      <c r="N4639" t="n">
        <v>0</v>
      </c>
      <c r="O4639" t="n">
        <v>0</v>
      </c>
      <c r="P4639" t="n">
        <v>0</v>
      </c>
      <c r="Q4639" t="n">
        <v>0</v>
      </c>
      <c r="R4639" s="2" t="inlineStr"/>
    </row>
    <row r="4640" ht="15" customHeight="1">
      <c r="A4640" t="inlineStr">
        <is>
          <t>A 30401-2023</t>
        </is>
      </c>
      <c r="B4640" s="1" t="n">
        <v>45103</v>
      </c>
      <c r="C4640" s="1" t="n">
        <v>46075</v>
      </c>
      <c r="D4640" t="inlineStr">
        <is>
          <t>VÄSTERBOTTENS LÄN</t>
        </is>
      </c>
      <c r="E4640" t="inlineStr">
        <is>
          <t>LYCKSELE</t>
        </is>
      </c>
      <c r="G4640" t="n">
        <v>7</v>
      </c>
      <c r="H4640" t="n">
        <v>0</v>
      </c>
      <c r="I4640" t="n">
        <v>0</v>
      </c>
      <c r="J4640" t="n">
        <v>0</v>
      </c>
      <c r="K4640" t="n">
        <v>0</v>
      </c>
      <c r="L4640" t="n">
        <v>0</v>
      </c>
      <c r="M4640" t="n">
        <v>0</v>
      </c>
      <c r="N4640" t="n">
        <v>0</v>
      </c>
      <c r="O4640" t="n">
        <v>0</v>
      </c>
      <c r="P4640" t="n">
        <v>0</v>
      </c>
      <c r="Q4640" t="n">
        <v>0</v>
      </c>
      <c r="R4640" s="2" t="inlineStr"/>
    </row>
    <row r="4641" ht="15" customHeight="1">
      <c r="A4641" t="inlineStr">
        <is>
          <t>A 43289-2025</t>
        </is>
      </c>
      <c r="B4641" s="1" t="n">
        <v>45910</v>
      </c>
      <c r="C4641" s="1" t="n">
        <v>46075</v>
      </c>
      <c r="D4641" t="inlineStr">
        <is>
          <t>VÄSTERBOTTENS LÄN</t>
        </is>
      </c>
      <c r="E4641" t="inlineStr">
        <is>
          <t>ÅSELE</t>
        </is>
      </c>
      <c r="F4641" t="inlineStr">
        <is>
          <t>Kyrkan</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43538-2025</t>
        </is>
      </c>
      <c r="B4642" s="1" t="n">
        <v>45911.60041666667</v>
      </c>
      <c r="C4642" s="1" t="n">
        <v>46075</v>
      </c>
      <c r="D4642" t="inlineStr">
        <is>
          <t>VÄSTERBOTTENS LÄN</t>
        </is>
      </c>
      <c r="E4642" t="inlineStr">
        <is>
          <t>NORDMALING</t>
        </is>
      </c>
      <c r="G4642" t="n">
        <v>4.3</v>
      </c>
      <c r="H4642" t="n">
        <v>0</v>
      </c>
      <c r="I4642" t="n">
        <v>0</v>
      </c>
      <c r="J4642" t="n">
        <v>0</v>
      </c>
      <c r="K4642" t="n">
        <v>0</v>
      </c>
      <c r="L4642" t="n">
        <v>0</v>
      </c>
      <c r="M4642" t="n">
        <v>0</v>
      </c>
      <c r="N4642" t="n">
        <v>0</v>
      </c>
      <c r="O4642" t="n">
        <v>0</v>
      </c>
      <c r="P4642" t="n">
        <v>0</v>
      </c>
      <c r="Q4642" t="n">
        <v>0</v>
      </c>
      <c r="R4642" s="2" t="inlineStr"/>
    </row>
    <row r="4643" ht="15" customHeight="1">
      <c r="A4643" t="inlineStr">
        <is>
          <t>A 43547-2025</t>
        </is>
      </c>
      <c r="B4643" s="1" t="n">
        <v>45911.61565972222</v>
      </c>
      <c r="C4643" s="1" t="n">
        <v>46075</v>
      </c>
      <c r="D4643" t="inlineStr">
        <is>
          <t>VÄSTERBOTTENS LÄN</t>
        </is>
      </c>
      <c r="E4643" t="inlineStr">
        <is>
          <t>ÅSELE</t>
        </is>
      </c>
      <c r="F4643" t="inlineStr">
        <is>
          <t>SCA</t>
        </is>
      </c>
      <c r="G4643" t="n">
        <v>4.8</v>
      </c>
      <c r="H4643" t="n">
        <v>0</v>
      </c>
      <c r="I4643" t="n">
        <v>0</v>
      </c>
      <c r="J4643" t="n">
        <v>0</v>
      </c>
      <c r="K4643" t="n">
        <v>0</v>
      </c>
      <c r="L4643" t="n">
        <v>0</v>
      </c>
      <c r="M4643" t="n">
        <v>0</v>
      </c>
      <c r="N4643" t="n">
        <v>0</v>
      </c>
      <c r="O4643" t="n">
        <v>0</v>
      </c>
      <c r="P4643" t="n">
        <v>0</v>
      </c>
      <c r="Q4643" t="n">
        <v>0</v>
      </c>
      <c r="R4643" s="2" t="inlineStr"/>
    </row>
    <row r="4644" ht="15" customHeight="1">
      <c r="A4644" t="inlineStr">
        <is>
          <t>A 28153-2023</t>
        </is>
      </c>
      <c r="B4644" s="1" t="n">
        <v>45096</v>
      </c>
      <c r="C4644" s="1" t="n">
        <v>46075</v>
      </c>
      <c r="D4644" t="inlineStr">
        <is>
          <t>VÄSTERBOTTENS LÄN</t>
        </is>
      </c>
      <c r="E4644" t="inlineStr">
        <is>
          <t>SKELLEFTEÅ</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28158-2023</t>
        </is>
      </c>
      <c r="B4645" s="1" t="n">
        <v>45096</v>
      </c>
      <c r="C4645" s="1" t="n">
        <v>46075</v>
      </c>
      <c r="D4645" t="inlineStr">
        <is>
          <t>VÄSTERBOTTENS LÄN</t>
        </is>
      </c>
      <c r="E4645" t="inlineStr">
        <is>
          <t>SKELLEFTEÅ</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33893-2025</t>
        </is>
      </c>
      <c r="B4646" s="1" t="n">
        <v>45842.57553240741</v>
      </c>
      <c r="C4646" s="1" t="n">
        <v>46075</v>
      </c>
      <c r="D4646" t="inlineStr">
        <is>
          <t>VÄSTERBOTTENS LÄN</t>
        </is>
      </c>
      <c r="E4646" t="inlineStr">
        <is>
          <t>NORSJÖ</t>
        </is>
      </c>
      <c r="F4646" t="inlineStr">
        <is>
          <t>Holmen skog AB</t>
        </is>
      </c>
      <c r="G4646" t="n">
        <v>13.2</v>
      </c>
      <c r="H4646" t="n">
        <v>0</v>
      </c>
      <c r="I4646" t="n">
        <v>0</v>
      </c>
      <c r="J4646" t="n">
        <v>0</v>
      </c>
      <c r="K4646" t="n">
        <v>0</v>
      </c>
      <c r="L4646" t="n">
        <v>0</v>
      </c>
      <c r="M4646" t="n">
        <v>0</v>
      </c>
      <c r="N4646" t="n">
        <v>0</v>
      </c>
      <c r="O4646" t="n">
        <v>0</v>
      </c>
      <c r="P4646" t="n">
        <v>0</v>
      </c>
      <c r="Q4646" t="n">
        <v>0</v>
      </c>
      <c r="R4646" s="2" t="inlineStr"/>
    </row>
    <row r="4647" ht="15" customHeight="1">
      <c r="A4647" t="inlineStr">
        <is>
          <t>A 43312-2025</t>
        </is>
      </c>
      <c r="B4647" s="1" t="n">
        <v>45910.65115740741</v>
      </c>
      <c r="C4647" s="1" t="n">
        <v>46075</v>
      </c>
      <c r="D4647" t="inlineStr">
        <is>
          <t>VÄSTERBOTTENS LÄN</t>
        </is>
      </c>
      <c r="E4647" t="inlineStr">
        <is>
          <t>SKELLEFTEÅ</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33994-2025</t>
        </is>
      </c>
      <c r="B4648" s="1" t="n">
        <v>45843.66199074074</v>
      </c>
      <c r="C4648" s="1" t="n">
        <v>46075</v>
      </c>
      <c r="D4648" t="inlineStr">
        <is>
          <t>VÄSTERBOTTENS LÄN</t>
        </is>
      </c>
      <c r="E4648" t="inlineStr">
        <is>
          <t>SKELLEFTEÅ</t>
        </is>
      </c>
      <c r="G4648" t="n">
        <v>13.2</v>
      </c>
      <c r="H4648" t="n">
        <v>0</v>
      </c>
      <c r="I4648" t="n">
        <v>0</v>
      </c>
      <c r="J4648" t="n">
        <v>0</v>
      </c>
      <c r="K4648" t="n">
        <v>0</v>
      </c>
      <c r="L4648" t="n">
        <v>0</v>
      </c>
      <c r="M4648" t="n">
        <v>0</v>
      </c>
      <c r="N4648" t="n">
        <v>0</v>
      </c>
      <c r="O4648" t="n">
        <v>0</v>
      </c>
      <c r="P4648" t="n">
        <v>0</v>
      </c>
      <c r="Q4648" t="n">
        <v>0</v>
      </c>
      <c r="R4648" s="2" t="inlineStr"/>
    </row>
    <row r="4649" ht="15" customHeight="1">
      <c r="A4649" t="inlineStr">
        <is>
          <t>A 34446-2025</t>
        </is>
      </c>
      <c r="B4649" s="1" t="n">
        <v>45845</v>
      </c>
      <c r="C4649" s="1" t="n">
        <v>46075</v>
      </c>
      <c r="D4649" t="inlineStr">
        <is>
          <t>VÄSTERBOTTENS LÄN</t>
        </is>
      </c>
      <c r="E4649" t="inlineStr">
        <is>
          <t>BJURHOLM</t>
        </is>
      </c>
      <c r="G4649" t="n">
        <v>4.1</v>
      </c>
      <c r="H4649" t="n">
        <v>0</v>
      </c>
      <c r="I4649" t="n">
        <v>0</v>
      </c>
      <c r="J4649" t="n">
        <v>0</v>
      </c>
      <c r="K4649" t="n">
        <v>0</v>
      </c>
      <c r="L4649" t="n">
        <v>0</v>
      </c>
      <c r="M4649" t="n">
        <v>0</v>
      </c>
      <c r="N4649" t="n">
        <v>0</v>
      </c>
      <c r="O4649" t="n">
        <v>0</v>
      </c>
      <c r="P4649" t="n">
        <v>0</v>
      </c>
      <c r="Q4649" t="n">
        <v>0</v>
      </c>
      <c r="R4649" s="2" t="inlineStr"/>
    </row>
    <row r="4650" ht="15" customHeight="1">
      <c r="A4650" t="inlineStr">
        <is>
          <t>A 43317-2025</t>
        </is>
      </c>
      <c r="B4650" s="1" t="n">
        <v>45910.65524305555</v>
      </c>
      <c r="C4650" s="1" t="n">
        <v>46075</v>
      </c>
      <c r="D4650" t="inlineStr">
        <is>
          <t>VÄSTERBOTTENS LÄN</t>
        </is>
      </c>
      <c r="E4650" t="inlineStr">
        <is>
          <t>SKELLEFTEÅ</t>
        </is>
      </c>
      <c r="G4650" t="n">
        <v>2.5</v>
      </c>
      <c r="H4650" t="n">
        <v>0</v>
      </c>
      <c r="I4650" t="n">
        <v>0</v>
      </c>
      <c r="J4650" t="n">
        <v>0</v>
      </c>
      <c r="K4650" t="n">
        <v>0</v>
      </c>
      <c r="L4650" t="n">
        <v>0</v>
      </c>
      <c r="M4650" t="n">
        <v>0</v>
      </c>
      <c r="N4650" t="n">
        <v>0</v>
      </c>
      <c r="O4650" t="n">
        <v>0</v>
      </c>
      <c r="P4650" t="n">
        <v>0</v>
      </c>
      <c r="Q4650" t="n">
        <v>0</v>
      </c>
      <c r="R4650" s="2" t="inlineStr"/>
    </row>
    <row r="4651" ht="15" customHeight="1">
      <c r="A4651" t="inlineStr">
        <is>
          <t>A 43318-2025</t>
        </is>
      </c>
      <c r="B4651" s="1" t="n">
        <v>45910</v>
      </c>
      <c r="C4651" s="1" t="n">
        <v>46075</v>
      </c>
      <c r="D4651" t="inlineStr">
        <is>
          <t>VÄSTERBOTTENS LÄN</t>
        </is>
      </c>
      <c r="E4651" t="inlineStr">
        <is>
          <t>SKELLEFTEÅ</t>
        </is>
      </c>
      <c r="G4651" t="n">
        <v>0.4</v>
      </c>
      <c r="H4651" t="n">
        <v>0</v>
      </c>
      <c r="I4651" t="n">
        <v>0</v>
      </c>
      <c r="J4651" t="n">
        <v>0</v>
      </c>
      <c r="K4651" t="n">
        <v>0</v>
      </c>
      <c r="L4651" t="n">
        <v>0</v>
      </c>
      <c r="M4651" t="n">
        <v>0</v>
      </c>
      <c r="N4651" t="n">
        <v>0</v>
      </c>
      <c r="O4651" t="n">
        <v>0</v>
      </c>
      <c r="P4651" t="n">
        <v>0</v>
      </c>
      <c r="Q4651" t="n">
        <v>0</v>
      </c>
      <c r="R4651" s="2" t="inlineStr"/>
    </row>
    <row r="4652" ht="15" customHeight="1">
      <c r="A4652" t="inlineStr">
        <is>
          <t>A 43327-2025</t>
        </is>
      </c>
      <c r="B4652" s="1" t="n">
        <v>45910.67043981481</v>
      </c>
      <c r="C4652" s="1" t="n">
        <v>46075</v>
      </c>
      <c r="D4652" t="inlineStr">
        <is>
          <t>VÄSTERBOTTENS LÄN</t>
        </is>
      </c>
      <c r="E4652" t="inlineStr">
        <is>
          <t>SKELLEFTEÅ</t>
        </is>
      </c>
      <c r="G4652" t="n">
        <v>3.5</v>
      </c>
      <c r="H4652" t="n">
        <v>0</v>
      </c>
      <c r="I4652" t="n">
        <v>0</v>
      </c>
      <c r="J4652" t="n">
        <v>0</v>
      </c>
      <c r="K4652" t="n">
        <v>0</v>
      </c>
      <c r="L4652" t="n">
        <v>0</v>
      </c>
      <c r="M4652" t="n">
        <v>0</v>
      </c>
      <c r="N4652" t="n">
        <v>0</v>
      </c>
      <c r="O4652" t="n">
        <v>0</v>
      </c>
      <c r="P4652" t="n">
        <v>0</v>
      </c>
      <c r="Q4652" t="n">
        <v>0</v>
      </c>
      <c r="R4652" s="2" t="inlineStr"/>
    </row>
    <row r="4653" ht="15" customHeight="1">
      <c r="A4653" t="inlineStr">
        <is>
          <t>A 11822-2023</t>
        </is>
      </c>
      <c r="B4653" s="1" t="n">
        <v>44994.94163194444</v>
      </c>
      <c r="C4653" s="1" t="n">
        <v>46075</v>
      </c>
      <c r="D4653" t="inlineStr">
        <is>
          <t>VÄSTERBOTTENS LÄN</t>
        </is>
      </c>
      <c r="E4653" t="inlineStr">
        <is>
          <t>LYCKSELE</t>
        </is>
      </c>
      <c r="F4653" t="inlineStr">
        <is>
          <t>SCA</t>
        </is>
      </c>
      <c r="G4653" t="n">
        <v>2.6</v>
      </c>
      <c r="H4653" t="n">
        <v>0</v>
      </c>
      <c r="I4653" t="n">
        <v>0</v>
      </c>
      <c r="J4653" t="n">
        <v>0</v>
      </c>
      <c r="K4653" t="n">
        <v>0</v>
      </c>
      <c r="L4653" t="n">
        <v>0</v>
      </c>
      <c r="M4653" t="n">
        <v>0</v>
      </c>
      <c r="N4653" t="n">
        <v>0</v>
      </c>
      <c r="O4653" t="n">
        <v>0</v>
      </c>
      <c r="P4653" t="n">
        <v>0</v>
      </c>
      <c r="Q4653" t="n">
        <v>0</v>
      </c>
      <c r="R4653" s="2" t="inlineStr"/>
    </row>
    <row r="4654" ht="15" customHeight="1">
      <c r="A4654" t="inlineStr">
        <is>
          <t>A 60782-2024</t>
        </is>
      </c>
      <c r="B4654" s="1" t="n">
        <v>45644.59050925926</v>
      </c>
      <c r="C4654" s="1" t="n">
        <v>46075</v>
      </c>
      <c r="D4654" t="inlineStr">
        <is>
          <t>VÄSTERBOTTENS LÄN</t>
        </is>
      </c>
      <c r="E4654" t="inlineStr">
        <is>
          <t>NORSJÖ</t>
        </is>
      </c>
      <c r="G4654" t="n">
        <v>7.8</v>
      </c>
      <c r="H4654" t="n">
        <v>0</v>
      </c>
      <c r="I4654" t="n">
        <v>0</v>
      </c>
      <c r="J4654" t="n">
        <v>0</v>
      </c>
      <c r="K4654" t="n">
        <v>0</v>
      </c>
      <c r="L4654" t="n">
        <v>0</v>
      </c>
      <c r="M4654" t="n">
        <v>0</v>
      </c>
      <c r="N4654" t="n">
        <v>0</v>
      </c>
      <c r="O4654" t="n">
        <v>0</v>
      </c>
      <c r="P4654" t="n">
        <v>0</v>
      </c>
      <c r="Q4654" t="n">
        <v>0</v>
      </c>
      <c r="R4654" s="2" t="inlineStr"/>
    </row>
    <row r="4655" ht="15" customHeight="1">
      <c r="A4655" t="inlineStr">
        <is>
          <t>A 61597-2024</t>
        </is>
      </c>
      <c r="B4655" s="1" t="n">
        <v>45646</v>
      </c>
      <c r="C4655" s="1" t="n">
        <v>46075</v>
      </c>
      <c r="D4655" t="inlineStr">
        <is>
          <t>VÄSTERBOTTENS LÄN</t>
        </is>
      </c>
      <c r="E4655" t="inlineStr">
        <is>
          <t>BJURHOLM</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48229-2024</t>
        </is>
      </c>
      <c r="B4656" s="1" t="n">
        <v>45590.37554398148</v>
      </c>
      <c r="C4656" s="1" t="n">
        <v>46075</v>
      </c>
      <c r="D4656" t="inlineStr">
        <is>
          <t>VÄSTERBOTTENS LÄN</t>
        </is>
      </c>
      <c r="E4656" t="inlineStr">
        <is>
          <t>VILHELMINA</t>
        </is>
      </c>
      <c r="G4656" t="n">
        <v>11.6</v>
      </c>
      <c r="H4656" t="n">
        <v>0</v>
      </c>
      <c r="I4656" t="n">
        <v>0</v>
      </c>
      <c r="J4656" t="n">
        <v>0</v>
      </c>
      <c r="K4656" t="n">
        <v>0</v>
      </c>
      <c r="L4656" t="n">
        <v>0</v>
      </c>
      <c r="M4656" t="n">
        <v>0</v>
      </c>
      <c r="N4656" t="n">
        <v>0</v>
      </c>
      <c r="O4656" t="n">
        <v>0</v>
      </c>
      <c r="P4656" t="n">
        <v>0</v>
      </c>
      <c r="Q4656" t="n">
        <v>0</v>
      </c>
      <c r="R4656" s="2" t="inlineStr"/>
    </row>
    <row r="4657" ht="15" customHeight="1">
      <c r="A4657" t="inlineStr">
        <is>
          <t>A 54712-2024</t>
        </is>
      </c>
      <c r="B4657" s="1" t="n">
        <v>45617</v>
      </c>
      <c r="C4657" s="1" t="n">
        <v>46075</v>
      </c>
      <c r="D4657" t="inlineStr">
        <is>
          <t>VÄSTERBOTTENS LÄN</t>
        </is>
      </c>
      <c r="E4657" t="inlineStr">
        <is>
          <t>NORSJÖ</t>
        </is>
      </c>
      <c r="G4657" t="n">
        <v>16.6</v>
      </c>
      <c r="H4657" t="n">
        <v>0</v>
      </c>
      <c r="I4657" t="n">
        <v>0</v>
      </c>
      <c r="J4657" t="n">
        <v>0</v>
      </c>
      <c r="K4657" t="n">
        <v>0</v>
      </c>
      <c r="L4657" t="n">
        <v>0</v>
      </c>
      <c r="M4657" t="n">
        <v>0</v>
      </c>
      <c r="N4657" t="n">
        <v>0</v>
      </c>
      <c r="O4657" t="n">
        <v>0</v>
      </c>
      <c r="P4657" t="n">
        <v>0</v>
      </c>
      <c r="Q4657" t="n">
        <v>0</v>
      </c>
      <c r="R4657" s="2" t="inlineStr"/>
    </row>
    <row r="4658" ht="15" customHeight="1">
      <c r="A4658" t="inlineStr">
        <is>
          <t>A 43427-2025</t>
        </is>
      </c>
      <c r="B4658" s="1" t="n">
        <v>45911.419375</v>
      </c>
      <c r="C4658" s="1" t="n">
        <v>46075</v>
      </c>
      <c r="D4658" t="inlineStr">
        <is>
          <t>VÄSTERBOTTENS LÄN</t>
        </is>
      </c>
      <c r="E4658" t="inlineStr">
        <is>
          <t>SKELLEFTEÅ</t>
        </is>
      </c>
      <c r="G4658" t="n">
        <v>9.800000000000001</v>
      </c>
      <c r="H4658" t="n">
        <v>0</v>
      </c>
      <c r="I4658" t="n">
        <v>0</v>
      </c>
      <c r="J4658" t="n">
        <v>0</v>
      </c>
      <c r="K4658" t="n">
        <v>0</v>
      </c>
      <c r="L4658" t="n">
        <v>0</v>
      </c>
      <c r="M4658" t="n">
        <v>0</v>
      </c>
      <c r="N4658" t="n">
        <v>0</v>
      </c>
      <c r="O4658" t="n">
        <v>0</v>
      </c>
      <c r="P4658" t="n">
        <v>0</v>
      </c>
      <c r="Q4658" t="n">
        <v>0</v>
      </c>
      <c r="R4658" s="2" t="inlineStr"/>
    </row>
    <row r="4659" ht="15" customHeight="1">
      <c r="A4659" t="inlineStr">
        <is>
          <t>A 43489-2025</t>
        </is>
      </c>
      <c r="B4659" s="1" t="n">
        <v>45911.51107638889</v>
      </c>
      <c r="C4659" s="1" t="n">
        <v>46075</v>
      </c>
      <c r="D4659" t="inlineStr">
        <is>
          <t>VÄSTERBOTTENS LÄN</t>
        </is>
      </c>
      <c r="E4659" t="inlineStr">
        <is>
          <t>ÅSELE</t>
        </is>
      </c>
      <c r="F4659" t="inlineStr">
        <is>
          <t>SCA</t>
        </is>
      </c>
      <c r="G4659" t="n">
        <v>9.9</v>
      </c>
      <c r="H4659" t="n">
        <v>0</v>
      </c>
      <c r="I4659" t="n">
        <v>0</v>
      </c>
      <c r="J4659" t="n">
        <v>0</v>
      </c>
      <c r="K4659" t="n">
        <v>0</v>
      </c>
      <c r="L4659" t="n">
        <v>0</v>
      </c>
      <c r="M4659" t="n">
        <v>0</v>
      </c>
      <c r="N4659" t="n">
        <v>0</v>
      </c>
      <c r="O4659" t="n">
        <v>0</v>
      </c>
      <c r="P4659" t="n">
        <v>0</v>
      </c>
      <c r="Q4659" t="n">
        <v>0</v>
      </c>
      <c r="R4659" s="2" t="inlineStr"/>
    </row>
    <row r="4660" ht="15" customHeight="1">
      <c r="A4660" t="inlineStr">
        <is>
          <t>A 33787-2025</t>
        </is>
      </c>
      <c r="B4660" s="1" t="n">
        <v>45842.41072916667</v>
      </c>
      <c r="C4660" s="1" t="n">
        <v>46075</v>
      </c>
      <c r="D4660" t="inlineStr">
        <is>
          <t>VÄSTERBOTTENS LÄN</t>
        </is>
      </c>
      <c r="E4660" t="inlineStr">
        <is>
          <t>NORSJÖ</t>
        </is>
      </c>
      <c r="F4660" t="inlineStr">
        <is>
          <t>Holmen skog AB</t>
        </is>
      </c>
      <c r="G4660" t="n">
        <v>9</v>
      </c>
      <c r="H4660" t="n">
        <v>0</v>
      </c>
      <c r="I4660" t="n">
        <v>0</v>
      </c>
      <c r="J4660" t="n">
        <v>0</v>
      </c>
      <c r="K4660" t="n">
        <v>0</v>
      </c>
      <c r="L4660" t="n">
        <v>0</v>
      </c>
      <c r="M4660" t="n">
        <v>0</v>
      </c>
      <c r="N4660" t="n">
        <v>0</v>
      </c>
      <c r="O4660" t="n">
        <v>0</v>
      </c>
      <c r="P4660" t="n">
        <v>0</v>
      </c>
      <c r="Q4660" t="n">
        <v>0</v>
      </c>
      <c r="R4660" s="2" t="inlineStr"/>
    </row>
    <row r="4661" ht="15" customHeight="1">
      <c r="A4661" t="inlineStr">
        <is>
          <t>A 33788-2025</t>
        </is>
      </c>
      <c r="B4661" s="1" t="n">
        <v>45842</v>
      </c>
      <c r="C4661" s="1" t="n">
        <v>46075</v>
      </c>
      <c r="D4661" t="inlineStr">
        <is>
          <t>VÄSTERBOTTENS LÄN</t>
        </is>
      </c>
      <c r="E4661" t="inlineStr">
        <is>
          <t>ÅSELE</t>
        </is>
      </c>
      <c r="F4661" t="inlineStr">
        <is>
          <t>Holmen skog AB</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37912-2025</t>
        </is>
      </c>
      <c r="B4662" s="1" t="n">
        <v>45880</v>
      </c>
      <c r="C4662" s="1" t="n">
        <v>46075</v>
      </c>
      <c r="D4662" t="inlineStr">
        <is>
          <t>VÄSTERBOTTENS LÄN</t>
        </is>
      </c>
      <c r="E4662" t="inlineStr">
        <is>
          <t>VILHELMINA</t>
        </is>
      </c>
      <c r="F4662" t="inlineStr">
        <is>
          <t>SCA</t>
        </is>
      </c>
      <c r="G4662" t="n">
        <v>23.9</v>
      </c>
      <c r="H4662" t="n">
        <v>0</v>
      </c>
      <c r="I4662" t="n">
        <v>0</v>
      </c>
      <c r="J4662" t="n">
        <v>0</v>
      </c>
      <c r="K4662" t="n">
        <v>0</v>
      </c>
      <c r="L4662" t="n">
        <v>0</v>
      </c>
      <c r="M4662" t="n">
        <v>0</v>
      </c>
      <c r="N4662" t="n">
        <v>0</v>
      </c>
      <c r="O4662" t="n">
        <v>0</v>
      </c>
      <c r="P4662" t="n">
        <v>0</v>
      </c>
      <c r="Q4662" t="n">
        <v>0</v>
      </c>
      <c r="R4662" s="2" t="inlineStr"/>
    </row>
    <row r="4663" ht="15" customHeight="1">
      <c r="A4663" t="inlineStr">
        <is>
          <t>A 31736-2024</t>
        </is>
      </c>
      <c r="B4663" s="1" t="n">
        <v>45509.37478009259</v>
      </c>
      <c r="C4663" s="1" t="n">
        <v>46075</v>
      </c>
      <c r="D4663" t="inlineStr">
        <is>
          <t>VÄSTERBOTTENS LÄN</t>
        </is>
      </c>
      <c r="E4663" t="inlineStr">
        <is>
          <t>ROBERTSFORS</t>
        </is>
      </c>
      <c r="G4663" t="n">
        <v>3.4</v>
      </c>
      <c r="H4663" t="n">
        <v>0</v>
      </c>
      <c r="I4663" t="n">
        <v>0</v>
      </c>
      <c r="J4663" t="n">
        <v>0</v>
      </c>
      <c r="K4663" t="n">
        <v>0</v>
      </c>
      <c r="L4663" t="n">
        <v>0</v>
      </c>
      <c r="M4663" t="n">
        <v>0</v>
      </c>
      <c r="N4663" t="n">
        <v>0</v>
      </c>
      <c r="O4663" t="n">
        <v>0</v>
      </c>
      <c r="P4663" t="n">
        <v>0</v>
      </c>
      <c r="Q4663" t="n">
        <v>0</v>
      </c>
      <c r="R4663" s="2" t="inlineStr"/>
    </row>
    <row r="4664" ht="15" customHeight="1">
      <c r="A4664" t="inlineStr">
        <is>
          <t>A 31737-2024</t>
        </is>
      </c>
      <c r="B4664" s="1" t="n">
        <v>45509.37478009259</v>
      </c>
      <c r="C4664" s="1" t="n">
        <v>46075</v>
      </c>
      <c r="D4664" t="inlineStr">
        <is>
          <t>VÄSTERBOTTENS LÄN</t>
        </is>
      </c>
      <c r="E4664" t="inlineStr">
        <is>
          <t>ROBERTSFORS</t>
        </is>
      </c>
      <c r="G4664" t="n">
        <v>3.4</v>
      </c>
      <c r="H4664" t="n">
        <v>0</v>
      </c>
      <c r="I4664" t="n">
        <v>0</v>
      </c>
      <c r="J4664" t="n">
        <v>0</v>
      </c>
      <c r="K4664" t="n">
        <v>0</v>
      </c>
      <c r="L4664" t="n">
        <v>0</v>
      </c>
      <c r="M4664" t="n">
        <v>0</v>
      </c>
      <c r="N4664" t="n">
        <v>0</v>
      </c>
      <c r="O4664" t="n">
        <v>0</v>
      </c>
      <c r="P4664" t="n">
        <v>0</v>
      </c>
      <c r="Q4664" t="n">
        <v>0</v>
      </c>
      <c r="R4664" s="2" t="inlineStr"/>
    </row>
    <row r="4665" ht="15" customHeight="1">
      <c r="A4665" t="inlineStr">
        <is>
          <t>A 57697-2024</t>
        </is>
      </c>
      <c r="B4665" s="1" t="n">
        <v>45630.66277777778</v>
      </c>
      <c r="C4665" s="1" t="n">
        <v>46075</v>
      </c>
      <c r="D4665" t="inlineStr">
        <is>
          <t>VÄSTERBOTTENS LÄN</t>
        </is>
      </c>
      <c r="E4665" t="inlineStr">
        <is>
          <t>BJURHOLM</t>
        </is>
      </c>
      <c r="F4665" t="inlineStr">
        <is>
          <t>Sveaskog</t>
        </is>
      </c>
      <c r="G4665" t="n">
        <v>2.7</v>
      </c>
      <c r="H4665" t="n">
        <v>0</v>
      </c>
      <c r="I4665" t="n">
        <v>0</v>
      </c>
      <c r="J4665" t="n">
        <v>0</v>
      </c>
      <c r="K4665" t="n">
        <v>0</v>
      </c>
      <c r="L4665" t="n">
        <v>0</v>
      </c>
      <c r="M4665" t="n">
        <v>0</v>
      </c>
      <c r="N4665" t="n">
        <v>0</v>
      </c>
      <c r="O4665" t="n">
        <v>0</v>
      </c>
      <c r="P4665" t="n">
        <v>0</v>
      </c>
      <c r="Q4665" t="n">
        <v>0</v>
      </c>
      <c r="R4665" s="2" t="inlineStr"/>
    </row>
    <row r="4666" ht="15" customHeight="1">
      <c r="A4666" t="inlineStr">
        <is>
          <t>A 10074-2025</t>
        </is>
      </c>
      <c r="B4666" s="1" t="n">
        <v>45719</v>
      </c>
      <c r="C4666" s="1" t="n">
        <v>46075</v>
      </c>
      <c r="D4666" t="inlineStr">
        <is>
          <t>VÄSTERBOTTENS LÄN</t>
        </is>
      </c>
      <c r="E4666" t="inlineStr">
        <is>
          <t>SKELLEFTEÅ</t>
        </is>
      </c>
      <c r="G4666" t="n">
        <v>9.699999999999999</v>
      </c>
      <c r="H4666" t="n">
        <v>0</v>
      </c>
      <c r="I4666" t="n">
        <v>0</v>
      </c>
      <c r="J4666" t="n">
        <v>0</v>
      </c>
      <c r="K4666" t="n">
        <v>0</v>
      </c>
      <c r="L4666" t="n">
        <v>0</v>
      </c>
      <c r="M4666" t="n">
        <v>0</v>
      </c>
      <c r="N4666" t="n">
        <v>0</v>
      </c>
      <c r="O4666" t="n">
        <v>0</v>
      </c>
      <c r="P4666" t="n">
        <v>0</v>
      </c>
      <c r="Q4666" t="n">
        <v>0</v>
      </c>
      <c r="R4666" s="2" t="inlineStr"/>
    </row>
    <row r="4667" ht="15" customHeight="1">
      <c r="A4667" t="inlineStr">
        <is>
          <t>A 42649-2024</t>
        </is>
      </c>
      <c r="B4667" s="1" t="n">
        <v>45566</v>
      </c>
      <c r="C4667" s="1" t="n">
        <v>46075</v>
      </c>
      <c r="D4667" t="inlineStr">
        <is>
          <t>VÄSTERBOTTENS LÄN</t>
        </is>
      </c>
      <c r="E4667" t="inlineStr">
        <is>
          <t>UMEÅ</t>
        </is>
      </c>
      <c r="F4667" t="inlineStr">
        <is>
          <t>Holmen skog AB</t>
        </is>
      </c>
      <c r="G4667" t="n">
        <v>8.300000000000001</v>
      </c>
      <c r="H4667" t="n">
        <v>0</v>
      </c>
      <c r="I4667" t="n">
        <v>0</v>
      </c>
      <c r="J4667" t="n">
        <v>0</v>
      </c>
      <c r="K4667" t="n">
        <v>0</v>
      </c>
      <c r="L4667" t="n">
        <v>0</v>
      </c>
      <c r="M4667" t="n">
        <v>0</v>
      </c>
      <c r="N4667" t="n">
        <v>0</v>
      </c>
      <c r="O4667" t="n">
        <v>0</v>
      </c>
      <c r="P4667" t="n">
        <v>0</v>
      </c>
      <c r="Q4667" t="n">
        <v>0</v>
      </c>
      <c r="R4667" s="2" t="inlineStr"/>
    </row>
    <row r="4668" ht="15" customHeight="1">
      <c r="A4668" t="inlineStr">
        <is>
          <t>A 34061-2025</t>
        </is>
      </c>
      <c r="B4668" s="1" t="n">
        <v>45845.42341435186</v>
      </c>
      <c r="C4668" s="1" t="n">
        <v>46075</v>
      </c>
      <c r="D4668" t="inlineStr">
        <is>
          <t>VÄSTERBOTTENS LÄN</t>
        </is>
      </c>
      <c r="E4668" t="inlineStr">
        <is>
          <t>UMEÅ</t>
        </is>
      </c>
      <c r="F4668" t="inlineStr">
        <is>
          <t>Holmen skog AB</t>
        </is>
      </c>
      <c r="G4668" t="n">
        <v>4.3</v>
      </c>
      <c r="H4668" t="n">
        <v>0</v>
      </c>
      <c r="I4668" t="n">
        <v>0</v>
      </c>
      <c r="J4668" t="n">
        <v>0</v>
      </c>
      <c r="K4668" t="n">
        <v>0</v>
      </c>
      <c r="L4668" t="n">
        <v>0</v>
      </c>
      <c r="M4668" t="n">
        <v>0</v>
      </c>
      <c r="N4668" t="n">
        <v>0</v>
      </c>
      <c r="O4668" t="n">
        <v>0</v>
      </c>
      <c r="P4668" t="n">
        <v>0</v>
      </c>
      <c r="Q4668" t="n">
        <v>0</v>
      </c>
      <c r="R4668" s="2" t="inlineStr"/>
    </row>
    <row r="4669" ht="15" customHeight="1">
      <c r="A4669" t="inlineStr">
        <is>
          <t>A 43307-2025</t>
        </is>
      </c>
      <c r="B4669" s="1" t="n">
        <v>45910.64238425926</v>
      </c>
      <c r="C4669" s="1" t="n">
        <v>46075</v>
      </c>
      <c r="D4669" t="inlineStr">
        <is>
          <t>VÄSTERBOTTENS LÄN</t>
        </is>
      </c>
      <c r="E4669" t="inlineStr">
        <is>
          <t>SKELLEFTEÅ</t>
        </is>
      </c>
      <c r="G4669" t="n">
        <v>0.4</v>
      </c>
      <c r="H4669" t="n">
        <v>0</v>
      </c>
      <c r="I4669" t="n">
        <v>0</v>
      </c>
      <c r="J4669" t="n">
        <v>0</v>
      </c>
      <c r="K4669" t="n">
        <v>0</v>
      </c>
      <c r="L4669" t="n">
        <v>0</v>
      </c>
      <c r="M4669" t="n">
        <v>0</v>
      </c>
      <c r="N4669" t="n">
        <v>0</v>
      </c>
      <c r="O4669" t="n">
        <v>0</v>
      </c>
      <c r="P4669" t="n">
        <v>0</v>
      </c>
      <c r="Q4669" t="n">
        <v>0</v>
      </c>
      <c r="R4669" s="2" t="inlineStr"/>
    </row>
    <row r="4670" ht="15" customHeight="1">
      <c r="A4670" t="inlineStr">
        <is>
          <t>A 43309-2025</t>
        </is>
      </c>
      <c r="B4670" s="1" t="n">
        <v>45910.64689814814</v>
      </c>
      <c r="C4670" s="1" t="n">
        <v>46075</v>
      </c>
      <c r="D4670" t="inlineStr">
        <is>
          <t>VÄSTERBOTTENS LÄN</t>
        </is>
      </c>
      <c r="E4670" t="inlineStr">
        <is>
          <t>SKELLEFTEÅ</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56638-2024</t>
        </is>
      </c>
      <c r="B4671" s="1" t="n">
        <v>45625</v>
      </c>
      <c r="C4671" s="1" t="n">
        <v>46075</v>
      </c>
      <c r="D4671" t="inlineStr">
        <is>
          <t>VÄSTERBOTTENS LÄN</t>
        </is>
      </c>
      <c r="E4671" t="inlineStr">
        <is>
          <t>MALÅ</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56662-2024</t>
        </is>
      </c>
      <c r="B4672" s="1" t="n">
        <v>45625</v>
      </c>
      <c r="C4672" s="1" t="n">
        <v>46075</v>
      </c>
      <c r="D4672" t="inlineStr">
        <is>
          <t>VÄSTERBOTTENS LÄN</t>
        </is>
      </c>
      <c r="E4672" t="inlineStr">
        <is>
          <t>MALÅ</t>
        </is>
      </c>
      <c r="G4672" t="n">
        <v>4.4</v>
      </c>
      <c r="H4672" t="n">
        <v>0</v>
      </c>
      <c r="I4672" t="n">
        <v>0</v>
      </c>
      <c r="J4672" t="n">
        <v>0</v>
      </c>
      <c r="K4672" t="n">
        <v>0</v>
      </c>
      <c r="L4672" t="n">
        <v>0</v>
      </c>
      <c r="M4672" t="n">
        <v>0</v>
      </c>
      <c r="N4672" t="n">
        <v>0</v>
      </c>
      <c r="O4672" t="n">
        <v>0</v>
      </c>
      <c r="P4672" t="n">
        <v>0</v>
      </c>
      <c r="Q4672" t="n">
        <v>0</v>
      </c>
      <c r="R4672" s="2" t="inlineStr"/>
    </row>
    <row r="4673" ht="15" customHeight="1">
      <c r="A4673" t="inlineStr">
        <is>
          <t>A 43325-2025</t>
        </is>
      </c>
      <c r="B4673" s="1" t="n">
        <v>45910.66576388889</v>
      </c>
      <c r="C4673" s="1" t="n">
        <v>46075</v>
      </c>
      <c r="D4673" t="inlineStr">
        <is>
          <t>VÄSTERBOTTENS LÄN</t>
        </is>
      </c>
      <c r="E4673" t="inlineStr">
        <is>
          <t>SKELLEFTEÅ</t>
        </is>
      </c>
      <c r="G4673" t="n">
        <v>3.7</v>
      </c>
      <c r="H4673" t="n">
        <v>0</v>
      </c>
      <c r="I4673" t="n">
        <v>0</v>
      </c>
      <c r="J4673" t="n">
        <v>0</v>
      </c>
      <c r="K4673" t="n">
        <v>0</v>
      </c>
      <c r="L4673" t="n">
        <v>0</v>
      </c>
      <c r="M4673" t="n">
        <v>0</v>
      </c>
      <c r="N4673" t="n">
        <v>0</v>
      </c>
      <c r="O4673" t="n">
        <v>0</v>
      </c>
      <c r="P4673" t="n">
        <v>0</v>
      </c>
      <c r="Q4673" t="n">
        <v>0</v>
      </c>
      <c r="R4673" s="2" t="inlineStr"/>
    </row>
    <row r="4674" ht="15" customHeight="1">
      <c r="A4674" t="inlineStr">
        <is>
          <t>A 31541-2024</t>
        </is>
      </c>
      <c r="B4674" s="1" t="n">
        <v>45505</v>
      </c>
      <c r="C4674" s="1" t="n">
        <v>46075</v>
      </c>
      <c r="D4674" t="inlineStr">
        <is>
          <t>VÄSTERBOTTENS LÄN</t>
        </is>
      </c>
      <c r="E4674" t="inlineStr">
        <is>
          <t>ÅSELE</t>
        </is>
      </c>
      <c r="F4674" t="inlineStr">
        <is>
          <t>SCA</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32227-2024</t>
        </is>
      </c>
      <c r="B4675" s="1" t="n">
        <v>45511.92836805555</v>
      </c>
      <c r="C4675" s="1" t="n">
        <v>46075</v>
      </c>
      <c r="D4675" t="inlineStr">
        <is>
          <t>VÄSTERBOTTENS LÄN</t>
        </is>
      </c>
      <c r="E4675" t="inlineStr">
        <is>
          <t>NORSJÖ</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32229-2024</t>
        </is>
      </c>
      <c r="B4676" s="1" t="n">
        <v>45511.9284837963</v>
      </c>
      <c r="C4676" s="1" t="n">
        <v>46075</v>
      </c>
      <c r="D4676" t="inlineStr">
        <is>
          <t>VÄSTERBOTTENS LÄN</t>
        </is>
      </c>
      <c r="E4676" t="inlineStr">
        <is>
          <t>NORSJÖ</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33943-2025</t>
        </is>
      </c>
      <c r="B4677" s="1" t="n">
        <v>45842.64652777778</v>
      </c>
      <c r="C4677" s="1" t="n">
        <v>46075</v>
      </c>
      <c r="D4677" t="inlineStr">
        <is>
          <t>VÄSTERBOTTENS LÄN</t>
        </is>
      </c>
      <c r="E4677" t="inlineStr">
        <is>
          <t>NORSJÖ</t>
        </is>
      </c>
      <c r="F4677" t="inlineStr">
        <is>
          <t>Holmen skog AB</t>
        </is>
      </c>
      <c r="G4677" t="n">
        <v>12.3</v>
      </c>
      <c r="H4677" t="n">
        <v>0</v>
      </c>
      <c r="I4677" t="n">
        <v>0</v>
      </c>
      <c r="J4677" t="n">
        <v>0</v>
      </c>
      <c r="K4677" t="n">
        <v>0</v>
      </c>
      <c r="L4677" t="n">
        <v>0</v>
      </c>
      <c r="M4677" t="n">
        <v>0</v>
      </c>
      <c r="N4677" t="n">
        <v>0</v>
      </c>
      <c r="O4677" t="n">
        <v>0</v>
      </c>
      <c r="P4677" t="n">
        <v>0</v>
      </c>
      <c r="Q4677" t="n">
        <v>0</v>
      </c>
      <c r="R4677" s="2" t="inlineStr"/>
    </row>
    <row r="4678" ht="15" customHeight="1">
      <c r="A4678" t="inlineStr">
        <is>
          <t>A 32231-2024</t>
        </is>
      </c>
      <c r="B4678" s="1" t="n">
        <v>45511.92864583333</v>
      </c>
      <c r="C4678" s="1" t="n">
        <v>46075</v>
      </c>
      <c r="D4678" t="inlineStr">
        <is>
          <t>VÄSTERBOTTENS LÄN</t>
        </is>
      </c>
      <c r="E4678" t="inlineStr">
        <is>
          <t>NORSJÖ</t>
        </is>
      </c>
      <c r="G4678" t="n">
        <v>3.1</v>
      </c>
      <c r="H4678" t="n">
        <v>0</v>
      </c>
      <c r="I4678" t="n">
        <v>0</v>
      </c>
      <c r="J4678" t="n">
        <v>0</v>
      </c>
      <c r="K4678" t="n">
        <v>0</v>
      </c>
      <c r="L4678" t="n">
        <v>0</v>
      </c>
      <c r="M4678" t="n">
        <v>0</v>
      </c>
      <c r="N4678" t="n">
        <v>0</v>
      </c>
      <c r="O4678" t="n">
        <v>0</v>
      </c>
      <c r="P4678" t="n">
        <v>0</v>
      </c>
      <c r="Q4678" t="n">
        <v>0</v>
      </c>
      <c r="R4678" s="2" t="inlineStr"/>
    </row>
    <row r="4679" ht="15" customHeight="1">
      <c r="A4679" t="inlineStr">
        <is>
          <t>A 9551-2025</t>
        </is>
      </c>
      <c r="B4679" s="1" t="n">
        <v>45715.59438657408</v>
      </c>
      <c r="C4679" s="1" t="n">
        <v>46075</v>
      </c>
      <c r="D4679" t="inlineStr">
        <is>
          <t>VÄSTERBOTTENS LÄN</t>
        </is>
      </c>
      <c r="E4679" t="inlineStr">
        <is>
          <t>LYCKSELE</t>
        </is>
      </c>
      <c r="F4679" t="inlineStr">
        <is>
          <t>SCA</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23278-2021</t>
        </is>
      </c>
      <c r="B4680" s="1" t="n">
        <v>44328</v>
      </c>
      <c r="C4680" s="1" t="n">
        <v>46075</v>
      </c>
      <c r="D4680" t="inlineStr">
        <is>
          <t>VÄSTERBOTTENS LÄN</t>
        </is>
      </c>
      <c r="E4680" t="inlineStr">
        <is>
          <t>VILHELMINA</t>
        </is>
      </c>
      <c r="F4680" t="inlineStr">
        <is>
          <t>Allmännings- och besparingsskogar</t>
        </is>
      </c>
      <c r="G4680" t="n">
        <v>13.6</v>
      </c>
      <c r="H4680" t="n">
        <v>0</v>
      </c>
      <c r="I4680" t="n">
        <v>0</v>
      </c>
      <c r="J4680" t="n">
        <v>0</v>
      </c>
      <c r="K4680" t="n">
        <v>0</v>
      </c>
      <c r="L4680" t="n">
        <v>0</v>
      </c>
      <c r="M4680" t="n">
        <v>0</v>
      </c>
      <c r="N4680" t="n">
        <v>0</v>
      </c>
      <c r="O4680" t="n">
        <v>0</v>
      </c>
      <c r="P4680" t="n">
        <v>0</v>
      </c>
      <c r="Q4680" t="n">
        <v>0</v>
      </c>
      <c r="R4680" s="2" t="inlineStr"/>
    </row>
    <row r="4681" ht="15" customHeight="1">
      <c r="A4681" t="inlineStr">
        <is>
          <t>A 23285-2021</t>
        </is>
      </c>
      <c r="B4681" s="1" t="n">
        <v>44330</v>
      </c>
      <c r="C4681" s="1" t="n">
        <v>46075</v>
      </c>
      <c r="D4681" t="inlineStr">
        <is>
          <t>VÄSTERBOTTENS LÄN</t>
        </is>
      </c>
      <c r="E4681" t="inlineStr">
        <is>
          <t>UMEÅ</t>
        </is>
      </c>
      <c r="G4681" t="n">
        <v>4.6</v>
      </c>
      <c r="H4681" t="n">
        <v>0</v>
      </c>
      <c r="I4681" t="n">
        <v>0</v>
      </c>
      <c r="J4681" t="n">
        <v>0</v>
      </c>
      <c r="K4681" t="n">
        <v>0</v>
      </c>
      <c r="L4681" t="n">
        <v>0</v>
      </c>
      <c r="M4681" t="n">
        <v>0</v>
      </c>
      <c r="N4681" t="n">
        <v>0</v>
      </c>
      <c r="O4681" t="n">
        <v>0</v>
      </c>
      <c r="P4681" t="n">
        <v>0</v>
      </c>
      <c r="Q4681" t="n">
        <v>0</v>
      </c>
      <c r="R4681" s="2" t="inlineStr"/>
    </row>
    <row r="4682" ht="15" customHeight="1">
      <c r="A4682" t="inlineStr">
        <is>
          <t>A 3098-2025</t>
        </is>
      </c>
      <c r="B4682" s="1" t="n">
        <v>45678.66666666666</v>
      </c>
      <c r="C4682" s="1" t="n">
        <v>46075</v>
      </c>
      <c r="D4682" t="inlineStr">
        <is>
          <t>VÄSTERBOTTENS LÄN</t>
        </is>
      </c>
      <c r="E4682" t="inlineStr">
        <is>
          <t>DOROTEA</t>
        </is>
      </c>
      <c r="G4682" t="n">
        <v>5.7</v>
      </c>
      <c r="H4682" t="n">
        <v>0</v>
      </c>
      <c r="I4682" t="n">
        <v>0</v>
      </c>
      <c r="J4682" t="n">
        <v>0</v>
      </c>
      <c r="K4682" t="n">
        <v>0</v>
      </c>
      <c r="L4682" t="n">
        <v>0</v>
      </c>
      <c r="M4682" t="n">
        <v>0</v>
      </c>
      <c r="N4682" t="n">
        <v>0</v>
      </c>
      <c r="O4682" t="n">
        <v>0</v>
      </c>
      <c r="P4682" t="n">
        <v>0</v>
      </c>
      <c r="Q4682" t="n">
        <v>0</v>
      </c>
      <c r="R4682" s="2" t="inlineStr"/>
    </row>
    <row r="4683" ht="15" customHeight="1">
      <c r="A4683" t="inlineStr">
        <is>
          <t>A 33736-2025</t>
        </is>
      </c>
      <c r="B4683" s="1" t="n">
        <v>45842.33180555556</v>
      </c>
      <c r="C4683" s="1" t="n">
        <v>46075</v>
      </c>
      <c r="D4683" t="inlineStr">
        <is>
          <t>VÄSTERBOTTENS LÄN</t>
        </is>
      </c>
      <c r="E4683" t="inlineStr">
        <is>
          <t>SKELLEFTEÅ</t>
        </is>
      </c>
      <c r="F4683" t="inlineStr">
        <is>
          <t>Holmen skog AB</t>
        </is>
      </c>
      <c r="G4683" t="n">
        <v>6.3</v>
      </c>
      <c r="H4683" t="n">
        <v>0</v>
      </c>
      <c r="I4683" t="n">
        <v>0</v>
      </c>
      <c r="J4683" t="n">
        <v>0</v>
      </c>
      <c r="K4683" t="n">
        <v>0</v>
      </c>
      <c r="L4683" t="n">
        <v>0</v>
      </c>
      <c r="M4683" t="n">
        <v>0</v>
      </c>
      <c r="N4683" t="n">
        <v>0</v>
      </c>
      <c r="O4683" t="n">
        <v>0</v>
      </c>
      <c r="P4683" t="n">
        <v>0</v>
      </c>
      <c r="Q4683" t="n">
        <v>0</v>
      </c>
      <c r="R4683" s="2" t="inlineStr"/>
    </row>
    <row r="4684" ht="15" customHeight="1">
      <c r="A4684" t="inlineStr">
        <is>
          <t>A 33737-2025</t>
        </is>
      </c>
      <c r="B4684" s="1" t="n">
        <v>45842.33768518519</v>
      </c>
      <c r="C4684" s="1" t="n">
        <v>46075</v>
      </c>
      <c r="D4684" t="inlineStr">
        <is>
          <t>VÄSTERBOTTENS LÄN</t>
        </is>
      </c>
      <c r="E4684" t="inlineStr">
        <is>
          <t>SKELLEFTEÅ</t>
        </is>
      </c>
      <c r="F4684" t="inlineStr">
        <is>
          <t>Holmen skog AB</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33715-2024</t>
        </is>
      </c>
      <c r="B4685" s="1" t="n">
        <v>45520.53451388889</v>
      </c>
      <c r="C4685" s="1" t="n">
        <v>46075</v>
      </c>
      <c r="D4685" t="inlineStr">
        <is>
          <t>VÄSTERBOTTENS LÄN</t>
        </is>
      </c>
      <c r="E4685" t="inlineStr">
        <is>
          <t>LYCKSELE</t>
        </is>
      </c>
      <c r="F4685" t="inlineStr">
        <is>
          <t>Sveaskog</t>
        </is>
      </c>
      <c r="G4685" t="n">
        <v>10.1</v>
      </c>
      <c r="H4685" t="n">
        <v>0</v>
      </c>
      <c r="I4685" t="n">
        <v>0</v>
      </c>
      <c r="J4685" t="n">
        <v>0</v>
      </c>
      <c r="K4685" t="n">
        <v>0</v>
      </c>
      <c r="L4685" t="n">
        <v>0</v>
      </c>
      <c r="M4685" t="n">
        <v>0</v>
      </c>
      <c r="N4685" t="n">
        <v>0</v>
      </c>
      <c r="O4685" t="n">
        <v>0</v>
      </c>
      <c r="P4685" t="n">
        <v>0</v>
      </c>
      <c r="Q4685" t="n">
        <v>0</v>
      </c>
      <c r="R4685" s="2" t="inlineStr"/>
    </row>
    <row r="4686" ht="15" customHeight="1">
      <c r="A4686" t="inlineStr">
        <is>
          <t>A 34413-2025</t>
        </is>
      </c>
      <c r="B4686" s="1" t="n">
        <v>45845</v>
      </c>
      <c r="C4686" s="1" t="n">
        <v>46075</v>
      </c>
      <c r="D4686" t="inlineStr">
        <is>
          <t>VÄSTERBOTTENS LÄN</t>
        </is>
      </c>
      <c r="E4686" t="inlineStr">
        <is>
          <t>VILHELMINA</t>
        </is>
      </c>
      <c r="G4686" t="n">
        <v>6.8</v>
      </c>
      <c r="H4686" t="n">
        <v>0</v>
      </c>
      <c r="I4686" t="n">
        <v>0</v>
      </c>
      <c r="J4686" t="n">
        <v>0</v>
      </c>
      <c r="K4686" t="n">
        <v>0</v>
      </c>
      <c r="L4686" t="n">
        <v>0</v>
      </c>
      <c r="M4686" t="n">
        <v>0</v>
      </c>
      <c r="N4686" t="n">
        <v>0</v>
      </c>
      <c r="O4686" t="n">
        <v>0</v>
      </c>
      <c r="P4686" t="n">
        <v>0</v>
      </c>
      <c r="Q4686" t="n">
        <v>0</v>
      </c>
      <c r="R4686" s="2" t="inlineStr"/>
    </row>
    <row r="4687" ht="15" customHeight="1">
      <c r="A4687" t="inlineStr">
        <is>
          <t>A 45200-2024</t>
        </is>
      </c>
      <c r="B4687" s="1" t="n">
        <v>45575.69085648148</v>
      </c>
      <c r="C4687" s="1" t="n">
        <v>46075</v>
      </c>
      <c r="D4687" t="inlineStr">
        <is>
          <t>VÄSTERBOTTENS LÄN</t>
        </is>
      </c>
      <c r="E4687" t="inlineStr">
        <is>
          <t>SKELLEFTEÅ</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64370-2023</t>
        </is>
      </c>
      <c r="B4688" s="1" t="n">
        <v>45280</v>
      </c>
      <c r="C4688" s="1" t="n">
        <v>46075</v>
      </c>
      <c r="D4688" t="inlineStr">
        <is>
          <t>VÄSTERBOTTENS LÄN</t>
        </is>
      </c>
      <c r="E4688" t="inlineStr">
        <is>
          <t>SKELLEFTEÅ</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3165-2025</t>
        </is>
      </c>
      <c r="B4689" s="1" t="n">
        <v>45679.35350694445</v>
      </c>
      <c r="C4689" s="1" t="n">
        <v>46075</v>
      </c>
      <c r="D4689" t="inlineStr">
        <is>
          <t>VÄSTERBOTTENS LÄN</t>
        </is>
      </c>
      <c r="E4689" t="inlineStr">
        <is>
          <t>UMEÅ</t>
        </is>
      </c>
      <c r="G4689" t="n">
        <v>8.1</v>
      </c>
      <c r="H4689" t="n">
        <v>0</v>
      </c>
      <c r="I4689" t="n">
        <v>0</v>
      </c>
      <c r="J4689" t="n">
        <v>0</v>
      </c>
      <c r="K4689" t="n">
        <v>0</v>
      </c>
      <c r="L4689" t="n">
        <v>0</v>
      </c>
      <c r="M4689" t="n">
        <v>0</v>
      </c>
      <c r="N4689" t="n">
        <v>0</v>
      </c>
      <c r="O4689" t="n">
        <v>0</v>
      </c>
      <c r="P4689" t="n">
        <v>0</v>
      </c>
      <c r="Q4689" t="n">
        <v>0</v>
      </c>
      <c r="R4689" s="2" t="inlineStr"/>
    </row>
    <row r="4690" ht="15" customHeight="1">
      <c r="A4690" t="inlineStr">
        <is>
          <t>A 64421-2023</t>
        </is>
      </c>
      <c r="B4690" s="1" t="n">
        <v>45280</v>
      </c>
      <c r="C4690" s="1" t="n">
        <v>46075</v>
      </c>
      <c r="D4690" t="inlineStr">
        <is>
          <t>VÄSTERBOTTENS LÄN</t>
        </is>
      </c>
      <c r="E4690" t="inlineStr">
        <is>
          <t>VILHELMINA</t>
        </is>
      </c>
      <c r="G4690" t="n">
        <v>4.9</v>
      </c>
      <c r="H4690" t="n">
        <v>0</v>
      </c>
      <c r="I4690" t="n">
        <v>0</v>
      </c>
      <c r="J4690" t="n">
        <v>0</v>
      </c>
      <c r="K4690" t="n">
        <v>0</v>
      </c>
      <c r="L4690" t="n">
        <v>0</v>
      </c>
      <c r="M4690" t="n">
        <v>0</v>
      </c>
      <c r="N4690" t="n">
        <v>0</v>
      </c>
      <c r="O4690" t="n">
        <v>0</v>
      </c>
      <c r="P4690" t="n">
        <v>0</v>
      </c>
      <c r="Q4690" t="n">
        <v>0</v>
      </c>
      <c r="R4690" s="2" t="inlineStr"/>
    </row>
    <row r="4691" ht="15" customHeight="1">
      <c r="A4691" t="inlineStr">
        <is>
          <t>A 43823-2025</t>
        </is>
      </c>
      <c r="B4691" s="1" t="n">
        <v>45912.61074074074</v>
      </c>
      <c r="C4691" s="1" t="n">
        <v>46075</v>
      </c>
      <c r="D4691" t="inlineStr">
        <is>
          <t>VÄSTERBOTTENS LÄN</t>
        </is>
      </c>
      <c r="E4691" t="inlineStr">
        <is>
          <t>NORSJÖ</t>
        </is>
      </c>
      <c r="F4691" t="inlineStr">
        <is>
          <t>Sveaskog</t>
        </is>
      </c>
      <c r="G4691" t="n">
        <v>7.3</v>
      </c>
      <c r="H4691" t="n">
        <v>0</v>
      </c>
      <c r="I4691" t="n">
        <v>0</v>
      </c>
      <c r="J4691" t="n">
        <v>0</v>
      </c>
      <c r="K4691" t="n">
        <v>0</v>
      </c>
      <c r="L4691" t="n">
        <v>0</v>
      </c>
      <c r="M4691" t="n">
        <v>0</v>
      </c>
      <c r="N4691" t="n">
        <v>0</v>
      </c>
      <c r="O4691" t="n">
        <v>0</v>
      </c>
      <c r="P4691" t="n">
        <v>0</v>
      </c>
      <c r="Q4691" t="n">
        <v>0</v>
      </c>
      <c r="R4691" s="2" t="inlineStr"/>
    </row>
    <row r="4692" ht="15" customHeight="1">
      <c r="A4692" t="inlineStr">
        <is>
          <t>A 9688-2024</t>
        </is>
      </c>
      <c r="B4692" s="1" t="n">
        <v>45362</v>
      </c>
      <c r="C4692" s="1" t="n">
        <v>46075</v>
      </c>
      <c r="D4692" t="inlineStr">
        <is>
          <t>VÄSTERBOTTENS LÄN</t>
        </is>
      </c>
      <c r="E4692" t="inlineStr">
        <is>
          <t>BJURHOLM</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43840-2025</t>
        </is>
      </c>
      <c r="B4693" s="1" t="n">
        <v>45912.63535879629</v>
      </c>
      <c r="C4693" s="1" t="n">
        <v>46075</v>
      </c>
      <c r="D4693" t="inlineStr">
        <is>
          <t>VÄSTERBOTTENS LÄN</t>
        </is>
      </c>
      <c r="E4693" t="inlineStr">
        <is>
          <t>UMEÅ</t>
        </is>
      </c>
      <c r="F4693" t="inlineStr">
        <is>
          <t>Holmen skog AB</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43846-2025</t>
        </is>
      </c>
      <c r="B4694" s="1" t="n">
        <v>45912.63753472222</v>
      </c>
      <c r="C4694" s="1" t="n">
        <v>46075</v>
      </c>
      <c r="D4694" t="inlineStr">
        <is>
          <t>VÄSTERBOTTENS LÄN</t>
        </is>
      </c>
      <c r="E4694" t="inlineStr">
        <is>
          <t>VINDELN</t>
        </is>
      </c>
      <c r="G4694" t="n">
        <v>7.9</v>
      </c>
      <c r="H4694" t="n">
        <v>0</v>
      </c>
      <c r="I4694" t="n">
        <v>0</v>
      </c>
      <c r="J4694" t="n">
        <v>0</v>
      </c>
      <c r="K4694" t="n">
        <v>0</v>
      </c>
      <c r="L4694" t="n">
        <v>0</v>
      </c>
      <c r="M4694" t="n">
        <v>0</v>
      </c>
      <c r="N4694" t="n">
        <v>0</v>
      </c>
      <c r="O4694" t="n">
        <v>0</v>
      </c>
      <c r="P4694" t="n">
        <v>0</v>
      </c>
      <c r="Q4694" t="n">
        <v>0</v>
      </c>
      <c r="R4694" s="2" t="inlineStr"/>
    </row>
    <row r="4695" ht="15" customHeight="1">
      <c r="A4695" t="inlineStr">
        <is>
          <t>A 43861-2025</t>
        </is>
      </c>
      <c r="B4695" s="1" t="n">
        <v>45912.65596064815</v>
      </c>
      <c r="C4695" s="1" t="n">
        <v>46075</v>
      </c>
      <c r="D4695" t="inlineStr">
        <is>
          <t>VÄSTERBOTTENS LÄN</t>
        </is>
      </c>
      <c r="E4695" t="inlineStr">
        <is>
          <t>SKELLEFTEÅ</t>
        </is>
      </c>
      <c r="F4695" t="inlineStr">
        <is>
          <t>Sveaskog</t>
        </is>
      </c>
      <c r="G4695" t="n">
        <v>15.6</v>
      </c>
      <c r="H4695" t="n">
        <v>0</v>
      </c>
      <c r="I4695" t="n">
        <v>0</v>
      </c>
      <c r="J4695" t="n">
        <v>0</v>
      </c>
      <c r="K4695" t="n">
        <v>0</v>
      </c>
      <c r="L4695" t="n">
        <v>0</v>
      </c>
      <c r="M4695" t="n">
        <v>0</v>
      </c>
      <c r="N4695" t="n">
        <v>0</v>
      </c>
      <c r="O4695" t="n">
        <v>0</v>
      </c>
      <c r="P4695" t="n">
        <v>0</v>
      </c>
      <c r="Q4695" t="n">
        <v>0</v>
      </c>
      <c r="R4695" s="2" t="inlineStr"/>
    </row>
    <row r="4696" ht="15" customHeight="1">
      <c r="A4696" t="inlineStr">
        <is>
          <t>A 43889-2025</t>
        </is>
      </c>
      <c r="B4696" s="1" t="n">
        <v>45912.6982175926</v>
      </c>
      <c r="C4696" s="1" t="n">
        <v>46075</v>
      </c>
      <c r="D4696" t="inlineStr">
        <is>
          <t>VÄSTERBOTTENS LÄN</t>
        </is>
      </c>
      <c r="E4696" t="inlineStr">
        <is>
          <t>UMEÅ</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43894-2025</t>
        </is>
      </c>
      <c r="B4697" s="1" t="n">
        <v>45912.73649305556</v>
      </c>
      <c r="C4697" s="1" t="n">
        <v>46075</v>
      </c>
      <c r="D4697" t="inlineStr">
        <is>
          <t>VÄSTERBOTTENS LÄN</t>
        </is>
      </c>
      <c r="E4697" t="inlineStr">
        <is>
          <t>SKELLEFTEÅ</t>
        </is>
      </c>
      <c r="F4697" t="inlineStr">
        <is>
          <t>Sveaskog</t>
        </is>
      </c>
      <c r="G4697" t="n">
        <v>4.1</v>
      </c>
      <c r="H4697" t="n">
        <v>0</v>
      </c>
      <c r="I4697" t="n">
        <v>0</v>
      </c>
      <c r="J4697" t="n">
        <v>0</v>
      </c>
      <c r="K4697" t="n">
        <v>0</v>
      </c>
      <c r="L4697" t="n">
        <v>0</v>
      </c>
      <c r="M4697" t="n">
        <v>0</v>
      </c>
      <c r="N4697" t="n">
        <v>0</v>
      </c>
      <c r="O4697" t="n">
        <v>0</v>
      </c>
      <c r="P4697" t="n">
        <v>0</v>
      </c>
      <c r="Q4697" t="n">
        <v>0</v>
      </c>
      <c r="R4697" s="2" t="inlineStr"/>
    </row>
    <row r="4698" ht="15" customHeight="1">
      <c r="A4698" t="inlineStr">
        <is>
          <t>A 3181-2025</t>
        </is>
      </c>
      <c r="B4698" s="1" t="n">
        <v>45679.39748842592</v>
      </c>
      <c r="C4698" s="1" t="n">
        <v>46075</v>
      </c>
      <c r="D4698" t="inlineStr">
        <is>
          <t>VÄSTERBOTTENS LÄN</t>
        </is>
      </c>
      <c r="E4698" t="inlineStr">
        <is>
          <t>BJURHOLM</t>
        </is>
      </c>
      <c r="G4698" t="n">
        <v>2.7</v>
      </c>
      <c r="H4698" t="n">
        <v>0</v>
      </c>
      <c r="I4698" t="n">
        <v>0</v>
      </c>
      <c r="J4698" t="n">
        <v>0</v>
      </c>
      <c r="K4698" t="n">
        <v>0</v>
      </c>
      <c r="L4698" t="n">
        <v>0</v>
      </c>
      <c r="M4698" t="n">
        <v>0</v>
      </c>
      <c r="N4698" t="n">
        <v>0</v>
      </c>
      <c r="O4698" t="n">
        <v>0</v>
      </c>
      <c r="P4698" t="n">
        <v>0</v>
      </c>
      <c r="Q4698" t="n">
        <v>0</v>
      </c>
      <c r="R4698" s="2" t="inlineStr"/>
    </row>
    <row r="4699" ht="15" customHeight="1">
      <c r="A4699" t="inlineStr">
        <is>
          <t>A 33810-2025</t>
        </is>
      </c>
      <c r="B4699" s="1" t="n">
        <v>45842.45144675926</v>
      </c>
      <c r="C4699" s="1" t="n">
        <v>46075</v>
      </c>
      <c r="D4699" t="inlineStr">
        <is>
          <t>VÄSTERBOTTENS LÄN</t>
        </is>
      </c>
      <c r="E4699" t="inlineStr">
        <is>
          <t>SKELLEFTEÅ</t>
        </is>
      </c>
      <c r="F4699" t="inlineStr">
        <is>
          <t>Holmen skog AB</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44087-2025</t>
        </is>
      </c>
      <c r="B4700" s="1" t="n">
        <v>45915</v>
      </c>
      <c r="C4700" s="1" t="n">
        <v>46075</v>
      </c>
      <c r="D4700" t="inlineStr">
        <is>
          <t>VÄSTERBOTTENS LÄN</t>
        </is>
      </c>
      <c r="E4700" t="inlineStr">
        <is>
          <t>LYCKSELE</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53505-2024</t>
        </is>
      </c>
      <c r="B4701" s="1" t="n">
        <v>45614.59049768518</v>
      </c>
      <c r="C4701" s="1" t="n">
        <v>46075</v>
      </c>
      <c r="D4701" t="inlineStr">
        <is>
          <t>VÄSTERBOTTENS LÄN</t>
        </is>
      </c>
      <c r="E4701" t="inlineStr">
        <is>
          <t>SKELLEFTEÅ</t>
        </is>
      </c>
      <c r="F4701" t="inlineStr">
        <is>
          <t>Holmen skog AB</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34082-2025</t>
        </is>
      </c>
      <c r="B4702" s="1" t="n">
        <v>45845.46190972222</v>
      </c>
      <c r="C4702" s="1" t="n">
        <v>46075</v>
      </c>
      <c r="D4702" t="inlineStr">
        <is>
          <t>VÄSTERBOTTENS LÄN</t>
        </is>
      </c>
      <c r="E4702" t="inlineStr">
        <is>
          <t>SKELLEFTEÅ</t>
        </is>
      </c>
      <c r="F4702" t="inlineStr">
        <is>
          <t>Holmen skog AB</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44098-2025</t>
        </is>
      </c>
      <c r="B4703" s="1" t="n">
        <v>45915</v>
      </c>
      <c r="C4703" s="1" t="n">
        <v>46075</v>
      </c>
      <c r="D4703" t="inlineStr">
        <is>
          <t>VÄSTERBOTTENS LÄN</t>
        </is>
      </c>
      <c r="E4703" t="inlineStr">
        <is>
          <t>LYCKSELE</t>
        </is>
      </c>
      <c r="G4703" t="n">
        <v>8.4</v>
      </c>
      <c r="H4703" t="n">
        <v>0</v>
      </c>
      <c r="I4703" t="n">
        <v>0</v>
      </c>
      <c r="J4703" t="n">
        <v>0</v>
      </c>
      <c r="K4703" t="n">
        <v>0</v>
      </c>
      <c r="L4703" t="n">
        <v>0</v>
      </c>
      <c r="M4703" t="n">
        <v>0</v>
      </c>
      <c r="N4703" t="n">
        <v>0</v>
      </c>
      <c r="O4703" t="n">
        <v>0</v>
      </c>
      <c r="P4703" t="n">
        <v>0</v>
      </c>
      <c r="Q4703" t="n">
        <v>0</v>
      </c>
      <c r="R4703" s="2" t="inlineStr"/>
    </row>
    <row r="4704" ht="15" customHeight="1">
      <c r="A4704" t="inlineStr">
        <is>
          <t>A 44099-2025</t>
        </is>
      </c>
      <c r="B4704" s="1" t="n">
        <v>45915.56696759259</v>
      </c>
      <c r="C4704" s="1" t="n">
        <v>46075</v>
      </c>
      <c r="D4704" t="inlineStr">
        <is>
          <t>VÄSTERBOTTENS LÄN</t>
        </is>
      </c>
      <c r="E4704" t="inlineStr">
        <is>
          <t>VINDELN</t>
        </is>
      </c>
      <c r="F4704" t="inlineStr">
        <is>
          <t>Sveaskog</t>
        </is>
      </c>
      <c r="G4704" t="n">
        <v>18.4</v>
      </c>
      <c r="H4704" t="n">
        <v>0</v>
      </c>
      <c r="I4704" t="n">
        <v>0</v>
      </c>
      <c r="J4704" t="n">
        <v>0</v>
      </c>
      <c r="K4704" t="n">
        <v>0</v>
      </c>
      <c r="L4704" t="n">
        <v>0</v>
      </c>
      <c r="M4704" t="n">
        <v>0</v>
      </c>
      <c r="N4704" t="n">
        <v>0</v>
      </c>
      <c r="O4704" t="n">
        <v>0</v>
      </c>
      <c r="P4704" t="n">
        <v>0</v>
      </c>
      <c r="Q4704" t="n">
        <v>0</v>
      </c>
      <c r="R4704" s="2" t="inlineStr"/>
    </row>
    <row r="4705" ht="15" customHeight="1">
      <c r="A4705" t="inlineStr">
        <is>
          <t>A 60506-2022</t>
        </is>
      </c>
      <c r="B4705" s="1" t="n">
        <v>44911.44916666667</v>
      </c>
      <c r="C4705" s="1" t="n">
        <v>46075</v>
      </c>
      <c r="D4705" t="inlineStr">
        <is>
          <t>VÄSTERBOTTENS LÄN</t>
        </is>
      </c>
      <c r="E4705" t="inlineStr">
        <is>
          <t>SKELLEFTEÅ</t>
        </is>
      </c>
      <c r="F4705" t="inlineStr">
        <is>
          <t>Sveaskog</t>
        </is>
      </c>
      <c r="G4705" t="n">
        <v>3.6</v>
      </c>
      <c r="H4705" t="n">
        <v>0</v>
      </c>
      <c r="I4705" t="n">
        <v>0</v>
      </c>
      <c r="J4705" t="n">
        <v>0</v>
      </c>
      <c r="K4705" t="n">
        <v>0</v>
      </c>
      <c r="L4705" t="n">
        <v>0</v>
      </c>
      <c r="M4705" t="n">
        <v>0</v>
      </c>
      <c r="N4705" t="n">
        <v>0</v>
      </c>
      <c r="O4705" t="n">
        <v>0</v>
      </c>
      <c r="P4705" t="n">
        <v>0</v>
      </c>
      <c r="Q4705" t="n">
        <v>0</v>
      </c>
      <c r="R4705" s="2" t="inlineStr"/>
    </row>
    <row r="4706" ht="15" customHeight="1">
      <c r="A4706" t="inlineStr">
        <is>
          <t>A 60510-2022</t>
        </is>
      </c>
      <c r="B4706" s="1" t="n">
        <v>44911</v>
      </c>
      <c r="C4706" s="1" t="n">
        <v>46075</v>
      </c>
      <c r="D4706" t="inlineStr">
        <is>
          <t>VÄSTERBOTTENS LÄN</t>
        </is>
      </c>
      <c r="E4706" t="inlineStr">
        <is>
          <t>ROBERTSFORS</t>
        </is>
      </c>
      <c r="F4706" t="inlineStr">
        <is>
          <t>Sveaskog</t>
        </is>
      </c>
      <c r="G4706" t="n">
        <v>5.6</v>
      </c>
      <c r="H4706" t="n">
        <v>0</v>
      </c>
      <c r="I4706" t="n">
        <v>0</v>
      </c>
      <c r="J4706" t="n">
        <v>0</v>
      </c>
      <c r="K4706" t="n">
        <v>0</v>
      </c>
      <c r="L4706" t="n">
        <v>0</v>
      </c>
      <c r="M4706" t="n">
        <v>0</v>
      </c>
      <c r="N4706" t="n">
        <v>0</v>
      </c>
      <c r="O4706" t="n">
        <v>0</v>
      </c>
      <c r="P4706" t="n">
        <v>0</v>
      </c>
      <c r="Q4706" t="n">
        <v>0</v>
      </c>
      <c r="R4706" s="2" t="inlineStr"/>
    </row>
    <row r="4707" ht="15" customHeight="1">
      <c r="A4707" t="inlineStr">
        <is>
          <t>A 44112-2025</t>
        </is>
      </c>
      <c r="B4707" s="1" t="n">
        <v>45915.574375</v>
      </c>
      <c r="C4707" s="1" t="n">
        <v>46075</v>
      </c>
      <c r="D4707" t="inlineStr">
        <is>
          <t>VÄSTERBOTTENS LÄN</t>
        </is>
      </c>
      <c r="E4707" t="inlineStr">
        <is>
          <t>BJURHOLM</t>
        </is>
      </c>
      <c r="F4707" t="inlineStr">
        <is>
          <t>Sveaskog</t>
        </is>
      </c>
      <c r="G4707" t="n">
        <v>5.7</v>
      </c>
      <c r="H4707" t="n">
        <v>0</v>
      </c>
      <c r="I4707" t="n">
        <v>0</v>
      </c>
      <c r="J4707" t="n">
        <v>0</v>
      </c>
      <c r="K4707" t="n">
        <v>0</v>
      </c>
      <c r="L4707" t="n">
        <v>0</v>
      </c>
      <c r="M4707" t="n">
        <v>0</v>
      </c>
      <c r="N4707" t="n">
        <v>0</v>
      </c>
      <c r="O4707" t="n">
        <v>0</v>
      </c>
      <c r="P4707" t="n">
        <v>0</v>
      </c>
      <c r="Q4707" t="n">
        <v>0</v>
      </c>
      <c r="R4707" s="2" t="inlineStr"/>
    </row>
    <row r="4708" ht="15" customHeight="1">
      <c r="A4708" t="inlineStr">
        <is>
          <t>A 44122-2025</t>
        </is>
      </c>
      <c r="B4708" s="1" t="n">
        <v>45915.5796412037</v>
      </c>
      <c r="C4708" s="1" t="n">
        <v>46075</v>
      </c>
      <c r="D4708" t="inlineStr">
        <is>
          <t>VÄSTERBOTTENS LÄN</t>
        </is>
      </c>
      <c r="E4708" t="inlineStr">
        <is>
          <t>VINDELN</t>
        </is>
      </c>
      <c r="F4708" t="inlineStr">
        <is>
          <t>Sveaskog</t>
        </is>
      </c>
      <c r="G4708" t="n">
        <v>2.2</v>
      </c>
      <c r="H4708" t="n">
        <v>0</v>
      </c>
      <c r="I4708" t="n">
        <v>0</v>
      </c>
      <c r="J4708" t="n">
        <v>0</v>
      </c>
      <c r="K4708" t="n">
        <v>0</v>
      </c>
      <c r="L4708" t="n">
        <v>0</v>
      </c>
      <c r="M4708" t="n">
        <v>0</v>
      </c>
      <c r="N4708" t="n">
        <v>0</v>
      </c>
      <c r="O4708" t="n">
        <v>0</v>
      </c>
      <c r="P4708" t="n">
        <v>0</v>
      </c>
      <c r="Q4708" t="n">
        <v>0</v>
      </c>
      <c r="R4708" s="2" t="inlineStr"/>
    </row>
    <row r="4709" ht="15" customHeight="1">
      <c r="A4709" t="inlineStr">
        <is>
          <t>A 33871-2025</t>
        </is>
      </c>
      <c r="B4709" s="1" t="n">
        <v>45842.54415509259</v>
      </c>
      <c r="C4709" s="1" t="n">
        <v>46075</v>
      </c>
      <c r="D4709" t="inlineStr">
        <is>
          <t>VÄSTERBOTTENS LÄN</t>
        </is>
      </c>
      <c r="E4709" t="inlineStr">
        <is>
          <t>VINDELN</t>
        </is>
      </c>
      <c r="F4709" t="inlineStr">
        <is>
          <t>Sveaskog</t>
        </is>
      </c>
      <c r="G4709" t="n">
        <v>13.5</v>
      </c>
      <c r="H4709" t="n">
        <v>0</v>
      </c>
      <c r="I4709" t="n">
        <v>0</v>
      </c>
      <c r="J4709" t="n">
        <v>0</v>
      </c>
      <c r="K4709" t="n">
        <v>0</v>
      </c>
      <c r="L4709" t="n">
        <v>0</v>
      </c>
      <c r="M4709" t="n">
        <v>0</v>
      </c>
      <c r="N4709" t="n">
        <v>0</v>
      </c>
      <c r="O4709" t="n">
        <v>0</v>
      </c>
      <c r="P4709" t="n">
        <v>0</v>
      </c>
      <c r="Q4709" t="n">
        <v>0</v>
      </c>
      <c r="R4709" s="2" t="inlineStr"/>
    </row>
    <row r="4710" ht="15" customHeight="1">
      <c r="A4710" t="inlineStr">
        <is>
          <t>A 34039-2025</t>
        </is>
      </c>
      <c r="B4710" s="1" t="n">
        <v>45845.37259259259</v>
      </c>
      <c r="C4710" s="1" t="n">
        <v>46075</v>
      </c>
      <c r="D4710" t="inlineStr">
        <is>
          <t>VÄSTERBOTTENS LÄN</t>
        </is>
      </c>
      <c r="E4710" t="inlineStr">
        <is>
          <t>UMEÅ</t>
        </is>
      </c>
      <c r="F4710" t="inlineStr">
        <is>
          <t>Holmen skog AB</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43895-2025</t>
        </is>
      </c>
      <c r="B4711" s="1" t="n">
        <v>45912.73758101852</v>
      </c>
      <c r="C4711" s="1" t="n">
        <v>46075</v>
      </c>
      <c r="D4711" t="inlineStr">
        <is>
          <t>VÄSTERBOTTENS LÄN</t>
        </is>
      </c>
      <c r="E4711" t="inlineStr">
        <is>
          <t>SKELLEFTEÅ</t>
        </is>
      </c>
      <c r="F4711" t="inlineStr">
        <is>
          <t>Sveaskog</t>
        </is>
      </c>
      <c r="G4711" t="n">
        <v>6.4</v>
      </c>
      <c r="H4711" t="n">
        <v>0</v>
      </c>
      <c r="I4711" t="n">
        <v>0</v>
      </c>
      <c r="J4711" t="n">
        <v>0</v>
      </c>
      <c r="K4711" t="n">
        <v>0</v>
      </c>
      <c r="L4711" t="n">
        <v>0</v>
      </c>
      <c r="M4711" t="n">
        <v>0</v>
      </c>
      <c r="N4711" t="n">
        <v>0</v>
      </c>
      <c r="O4711" t="n">
        <v>0</v>
      </c>
      <c r="P4711" t="n">
        <v>0</v>
      </c>
      <c r="Q4711" t="n">
        <v>0</v>
      </c>
      <c r="R4711" s="2" t="inlineStr"/>
    </row>
    <row r="4712" ht="15" customHeight="1">
      <c r="A4712" t="inlineStr">
        <is>
          <t>A 43924-2025</t>
        </is>
      </c>
      <c r="B4712" s="1" t="n">
        <v>45915.30688657407</v>
      </c>
      <c r="C4712" s="1" t="n">
        <v>46075</v>
      </c>
      <c r="D4712" t="inlineStr">
        <is>
          <t>VÄSTERBOTTENS LÄN</t>
        </is>
      </c>
      <c r="E4712" t="inlineStr">
        <is>
          <t>LYCKSELE</t>
        </is>
      </c>
      <c r="F4712" t="inlineStr">
        <is>
          <t>Sveaskog</t>
        </is>
      </c>
      <c r="G4712" t="n">
        <v>6.9</v>
      </c>
      <c r="H4712" t="n">
        <v>0</v>
      </c>
      <c r="I4712" t="n">
        <v>0</v>
      </c>
      <c r="J4712" t="n">
        <v>0</v>
      </c>
      <c r="K4712" t="n">
        <v>0</v>
      </c>
      <c r="L4712" t="n">
        <v>0</v>
      </c>
      <c r="M4712" t="n">
        <v>0</v>
      </c>
      <c r="N4712" t="n">
        <v>0</v>
      </c>
      <c r="O4712" t="n">
        <v>0</v>
      </c>
      <c r="P4712" t="n">
        <v>0</v>
      </c>
      <c r="Q4712" t="n">
        <v>0</v>
      </c>
      <c r="R4712" s="2" t="inlineStr"/>
    </row>
    <row r="4713" ht="15" customHeight="1">
      <c r="A4713" t="inlineStr">
        <is>
          <t>A 43948-2025</t>
        </is>
      </c>
      <c r="B4713" s="1" t="n">
        <v>45915.37621527778</v>
      </c>
      <c r="C4713" s="1" t="n">
        <v>46075</v>
      </c>
      <c r="D4713" t="inlineStr">
        <is>
          <t>VÄSTERBOTTENS LÄN</t>
        </is>
      </c>
      <c r="E4713" t="inlineStr">
        <is>
          <t>SKELLEFTEÅ</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4366-2025</t>
        </is>
      </c>
      <c r="B4714" s="1" t="n">
        <v>45686</v>
      </c>
      <c r="C4714" s="1" t="n">
        <v>46075</v>
      </c>
      <c r="D4714" t="inlineStr">
        <is>
          <t>VÄSTERBOTTENS LÄN</t>
        </is>
      </c>
      <c r="E4714" t="inlineStr">
        <is>
          <t>VINDELN</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5083-2025</t>
        </is>
      </c>
      <c r="B4715" s="1" t="n">
        <v>45691</v>
      </c>
      <c r="C4715" s="1" t="n">
        <v>46075</v>
      </c>
      <c r="D4715" t="inlineStr">
        <is>
          <t>VÄSTERBOTTENS LÄN</t>
        </is>
      </c>
      <c r="E4715" t="inlineStr">
        <is>
          <t>NORDMALING</t>
        </is>
      </c>
      <c r="G4715" t="n">
        <v>2.3</v>
      </c>
      <c r="H4715" t="n">
        <v>0</v>
      </c>
      <c r="I4715" t="n">
        <v>0</v>
      </c>
      <c r="J4715" t="n">
        <v>0</v>
      </c>
      <c r="K4715" t="n">
        <v>0</v>
      </c>
      <c r="L4715" t="n">
        <v>0</v>
      </c>
      <c r="M4715" t="n">
        <v>0</v>
      </c>
      <c r="N4715" t="n">
        <v>0</v>
      </c>
      <c r="O4715" t="n">
        <v>0</v>
      </c>
      <c r="P4715" t="n">
        <v>0</v>
      </c>
      <c r="Q4715" t="n">
        <v>0</v>
      </c>
      <c r="R4715" s="2" t="inlineStr"/>
    </row>
    <row r="4716" ht="15" customHeight="1">
      <c r="A4716" t="inlineStr">
        <is>
          <t>A 53606-2024</t>
        </is>
      </c>
      <c r="B4716" s="1" t="n">
        <v>45614</v>
      </c>
      <c r="C4716" s="1" t="n">
        <v>46075</v>
      </c>
      <c r="D4716" t="inlineStr">
        <is>
          <t>VÄSTERBOTTENS LÄN</t>
        </is>
      </c>
      <c r="E4716" t="inlineStr">
        <is>
          <t>VILHELMINA</t>
        </is>
      </c>
      <c r="F4716" t="inlineStr">
        <is>
          <t>SCA</t>
        </is>
      </c>
      <c r="G4716" t="n">
        <v>10.1</v>
      </c>
      <c r="H4716" t="n">
        <v>0</v>
      </c>
      <c r="I4716" t="n">
        <v>0</v>
      </c>
      <c r="J4716" t="n">
        <v>0</v>
      </c>
      <c r="K4716" t="n">
        <v>0</v>
      </c>
      <c r="L4716" t="n">
        <v>0</v>
      </c>
      <c r="M4716" t="n">
        <v>0</v>
      </c>
      <c r="N4716" t="n">
        <v>0</v>
      </c>
      <c r="O4716" t="n">
        <v>0</v>
      </c>
      <c r="P4716" t="n">
        <v>0</v>
      </c>
      <c r="Q4716" t="n">
        <v>0</v>
      </c>
      <c r="R4716" s="2" t="inlineStr"/>
    </row>
    <row r="4717" ht="15" customHeight="1">
      <c r="A4717" t="inlineStr">
        <is>
          <t>A 43825-2025</t>
        </is>
      </c>
      <c r="B4717" s="1" t="n">
        <v>45912.61891203704</v>
      </c>
      <c r="C4717" s="1" t="n">
        <v>46075</v>
      </c>
      <c r="D4717" t="inlineStr">
        <is>
          <t>VÄSTERBOTTENS LÄN</t>
        </is>
      </c>
      <c r="E4717" t="inlineStr">
        <is>
          <t>SKELLEFTEÅ</t>
        </is>
      </c>
      <c r="G4717" t="n">
        <v>5.4</v>
      </c>
      <c r="H4717" t="n">
        <v>0</v>
      </c>
      <c r="I4717" t="n">
        <v>0</v>
      </c>
      <c r="J4717" t="n">
        <v>0</v>
      </c>
      <c r="K4717" t="n">
        <v>0</v>
      </c>
      <c r="L4717" t="n">
        <v>0</v>
      </c>
      <c r="M4717" t="n">
        <v>0</v>
      </c>
      <c r="N4717" t="n">
        <v>0</v>
      </c>
      <c r="O4717" t="n">
        <v>0</v>
      </c>
      <c r="P4717" t="n">
        <v>0</v>
      </c>
      <c r="Q4717" t="n">
        <v>0</v>
      </c>
      <c r="R4717" s="2" t="inlineStr"/>
    </row>
    <row r="4718" ht="15" customHeight="1">
      <c r="A4718" t="inlineStr">
        <is>
          <t>A 43826-2025</t>
        </is>
      </c>
      <c r="B4718" s="1" t="n">
        <v>45912.62055555556</v>
      </c>
      <c r="C4718" s="1" t="n">
        <v>46075</v>
      </c>
      <c r="D4718" t="inlineStr">
        <is>
          <t>VÄSTERBOTTENS LÄN</t>
        </is>
      </c>
      <c r="E4718" t="inlineStr">
        <is>
          <t>ROBERTSFORS</t>
        </is>
      </c>
      <c r="F4718" t="inlineStr">
        <is>
          <t>Holmen skog AB</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44017-2025</t>
        </is>
      </c>
      <c r="B4719" s="1" t="n">
        <v>45915</v>
      </c>
      <c r="C4719" s="1" t="n">
        <v>46075</v>
      </c>
      <c r="D4719" t="inlineStr">
        <is>
          <t>VÄSTERBOTTENS LÄN</t>
        </is>
      </c>
      <c r="E4719" t="inlineStr">
        <is>
          <t>VILHELMINA</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33892-2025</t>
        </is>
      </c>
      <c r="B4720" s="1" t="n">
        <v>45842.5753125</v>
      </c>
      <c r="C4720" s="1" t="n">
        <v>46075</v>
      </c>
      <c r="D4720" t="inlineStr">
        <is>
          <t>VÄSTERBOTTENS LÄN</t>
        </is>
      </c>
      <c r="E4720" t="inlineStr">
        <is>
          <t>SKELLEFTEÅ</t>
        </is>
      </c>
      <c r="G4720" t="n">
        <v>8.5</v>
      </c>
      <c r="H4720" t="n">
        <v>0</v>
      </c>
      <c r="I4720" t="n">
        <v>0</v>
      </c>
      <c r="J4720" t="n">
        <v>0</v>
      </c>
      <c r="K4720" t="n">
        <v>0</v>
      </c>
      <c r="L4720" t="n">
        <v>0</v>
      </c>
      <c r="M4720" t="n">
        <v>0</v>
      </c>
      <c r="N4720" t="n">
        <v>0</v>
      </c>
      <c r="O4720" t="n">
        <v>0</v>
      </c>
      <c r="P4720" t="n">
        <v>0</v>
      </c>
      <c r="Q4720" t="n">
        <v>0</v>
      </c>
      <c r="R4720" s="2" t="inlineStr"/>
    </row>
    <row r="4721" ht="15" customHeight="1">
      <c r="A4721" t="inlineStr">
        <is>
          <t>A 33894-2025</t>
        </is>
      </c>
      <c r="B4721" s="1" t="n">
        <v>45842.58432870371</v>
      </c>
      <c r="C4721" s="1" t="n">
        <v>46075</v>
      </c>
      <c r="D4721" t="inlineStr">
        <is>
          <t>VÄSTERBOTTENS LÄN</t>
        </is>
      </c>
      <c r="E4721" t="inlineStr">
        <is>
          <t>NORSJÖ</t>
        </is>
      </c>
      <c r="F4721" t="inlineStr">
        <is>
          <t>Holmen skog AB</t>
        </is>
      </c>
      <c r="G4721" t="n">
        <v>4</v>
      </c>
      <c r="H4721" t="n">
        <v>0</v>
      </c>
      <c r="I4721" t="n">
        <v>0</v>
      </c>
      <c r="J4721" t="n">
        <v>0</v>
      </c>
      <c r="K4721" t="n">
        <v>0</v>
      </c>
      <c r="L4721" t="n">
        <v>0</v>
      </c>
      <c r="M4721" t="n">
        <v>0</v>
      </c>
      <c r="N4721" t="n">
        <v>0</v>
      </c>
      <c r="O4721" t="n">
        <v>0</v>
      </c>
      <c r="P4721" t="n">
        <v>0</v>
      </c>
      <c r="Q4721" t="n">
        <v>0</v>
      </c>
      <c r="R4721" s="2" t="inlineStr"/>
    </row>
    <row r="4722" ht="15" customHeight="1">
      <c r="A4722" t="inlineStr">
        <is>
          <t>A 2720-2023</t>
        </is>
      </c>
      <c r="B4722" s="1" t="n">
        <v>44944</v>
      </c>
      <c r="C4722" s="1" t="n">
        <v>46075</v>
      </c>
      <c r="D4722" t="inlineStr">
        <is>
          <t>VÄSTERBOTTENS LÄN</t>
        </is>
      </c>
      <c r="E4722" t="inlineStr">
        <is>
          <t>SKELLEFTEÅ</t>
        </is>
      </c>
      <c r="G4722" t="n">
        <v>31.7</v>
      </c>
      <c r="H4722" t="n">
        <v>0</v>
      </c>
      <c r="I4722" t="n">
        <v>0</v>
      </c>
      <c r="J4722" t="n">
        <v>0</v>
      </c>
      <c r="K4722" t="n">
        <v>0</v>
      </c>
      <c r="L4722" t="n">
        <v>0</v>
      </c>
      <c r="M4722" t="n">
        <v>0</v>
      </c>
      <c r="N4722" t="n">
        <v>0</v>
      </c>
      <c r="O4722" t="n">
        <v>0</v>
      </c>
      <c r="P4722" t="n">
        <v>0</v>
      </c>
      <c r="Q4722" t="n">
        <v>0</v>
      </c>
      <c r="R4722" s="2" t="inlineStr"/>
    </row>
    <row r="4723" ht="15" customHeight="1">
      <c r="A4723" t="inlineStr">
        <is>
          <t>A 35755-2024</t>
        </is>
      </c>
      <c r="B4723" s="1" t="n">
        <v>45532</v>
      </c>
      <c r="C4723" s="1" t="n">
        <v>46075</v>
      </c>
      <c r="D4723" t="inlineStr">
        <is>
          <t>VÄSTERBOTTENS LÄN</t>
        </is>
      </c>
      <c r="E4723" t="inlineStr">
        <is>
          <t>VÄNNÄS</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44047-2025</t>
        </is>
      </c>
      <c r="B4724" s="1" t="n">
        <v>45915.49825231481</v>
      </c>
      <c r="C4724" s="1" t="n">
        <v>46075</v>
      </c>
      <c r="D4724" t="inlineStr">
        <is>
          <t>VÄSTERBOTTENS LÄN</t>
        </is>
      </c>
      <c r="E4724" t="inlineStr">
        <is>
          <t>VINDELN</t>
        </is>
      </c>
      <c r="F4724" t="inlineStr">
        <is>
          <t>Sveaskog</t>
        </is>
      </c>
      <c r="G4724" t="n">
        <v>6.7</v>
      </c>
      <c r="H4724" t="n">
        <v>0</v>
      </c>
      <c r="I4724" t="n">
        <v>0</v>
      </c>
      <c r="J4724" t="n">
        <v>0</v>
      </c>
      <c r="K4724" t="n">
        <v>0</v>
      </c>
      <c r="L4724" t="n">
        <v>0</v>
      </c>
      <c r="M4724" t="n">
        <v>0</v>
      </c>
      <c r="N4724" t="n">
        <v>0</v>
      </c>
      <c r="O4724" t="n">
        <v>0</v>
      </c>
      <c r="P4724" t="n">
        <v>0</v>
      </c>
      <c r="Q4724" t="n">
        <v>0</v>
      </c>
      <c r="R4724" s="2" t="inlineStr"/>
    </row>
    <row r="4725" ht="15" customHeight="1">
      <c r="A4725" t="inlineStr">
        <is>
          <t>A 44048-2025</t>
        </is>
      </c>
      <c r="B4725" s="1" t="n">
        <v>45915.49835648148</v>
      </c>
      <c r="C4725" s="1" t="n">
        <v>46075</v>
      </c>
      <c r="D4725" t="inlineStr">
        <is>
          <t>VÄSTERBOTTENS LÄN</t>
        </is>
      </c>
      <c r="E4725" t="inlineStr">
        <is>
          <t>VINDELN</t>
        </is>
      </c>
      <c r="F4725" t="inlineStr">
        <is>
          <t>Sveaskog</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2758-2023</t>
        </is>
      </c>
      <c r="B4726" s="1" t="n">
        <v>44943</v>
      </c>
      <c r="C4726" s="1" t="n">
        <v>46075</v>
      </c>
      <c r="D4726" t="inlineStr">
        <is>
          <t>VÄSTERBOTTENS LÄN</t>
        </is>
      </c>
      <c r="E4726" t="inlineStr">
        <is>
          <t>LYCKSELE</t>
        </is>
      </c>
      <c r="G4726" t="n">
        <v>0.1</v>
      </c>
      <c r="H4726" t="n">
        <v>0</v>
      </c>
      <c r="I4726" t="n">
        <v>0</v>
      </c>
      <c r="J4726" t="n">
        <v>0</v>
      </c>
      <c r="K4726" t="n">
        <v>0</v>
      </c>
      <c r="L4726" t="n">
        <v>0</v>
      </c>
      <c r="M4726" t="n">
        <v>0</v>
      </c>
      <c r="N4726" t="n">
        <v>0</v>
      </c>
      <c r="O4726" t="n">
        <v>0</v>
      </c>
      <c r="P4726" t="n">
        <v>0</v>
      </c>
      <c r="Q4726" t="n">
        <v>0</v>
      </c>
      <c r="R4726" s="2" t="inlineStr"/>
    </row>
    <row r="4727" ht="15" customHeight="1">
      <c r="A4727" t="inlineStr">
        <is>
          <t>A 32956-2024</t>
        </is>
      </c>
      <c r="B4727" s="1" t="n">
        <v>45517</v>
      </c>
      <c r="C4727" s="1" t="n">
        <v>46075</v>
      </c>
      <c r="D4727" t="inlineStr">
        <is>
          <t>VÄSTERBOTTENS LÄN</t>
        </is>
      </c>
      <c r="E4727" t="inlineStr">
        <is>
          <t>VÄNNÄS</t>
        </is>
      </c>
      <c r="F4727" t="inlineStr">
        <is>
          <t>Holmen skog AB</t>
        </is>
      </c>
      <c r="G4727" t="n">
        <v>2.6</v>
      </c>
      <c r="H4727" t="n">
        <v>0</v>
      </c>
      <c r="I4727" t="n">
        <v>0</v>
      </c>
      <c r="J4727" t="n">
        <v>0</v>
      </c>
      <c r="K4727" t="n">
        <v>0</v>
      </c>
      <c r="L4727" t="n">
        <v>0</v>
      </c>
      <c r="M4727" t="n">
        <v>0</v>
      </c>
      <c r="N4727" t="n">
        <v>0</v>
      </c>
      <c r="O4727" t="n">
        <v>0</v>
      </c>
      <c r="P4727" t="n">
        <v>0</v>
      </c>
      <c r="Q4727" t="n">
        <v>0</v>
      </c>
      <c r="R4727" s="2" t="inlineStr"/>
    </row>
    <row r="4728" ht="15" customHeight="1">
      <c r="A4728" t="inlineStr">
        <is>
          <t>A 43866-2025</t>
        </is>
      </c>
      <c r="B4728" s="1" t="n">
        <v>45912.65726851852</v>
      </c>
      <c r="C4728" s="1" t="n">
        <v>46075</v>
      </c>
      <c r="D4728" t="inlineStr">
        <is>
          <t>VÄSTERBOTTENS LÄN</t>
        </is>
      </c>
      <c r="E4728" t="inlineStr">
        <is>
          <t>DOROTEA</t>
        </is>
      </c>
      <c r="F4728" t="inlineStr">
        <is>
          <t>SCA</t>
        </is>
      </c>
      <c r="G4728" t="n">
        <v>7.5</v>
      </c>
      <c r="H4728" t="n">
        <v>0</v>
      </c>
      <c r="I4728" t="n">
        <v>0</v>
      </c>
      <c r="J4728" t="n">
        <v>0</v>
      </c>
      <c r="K4728" t="n">
        <v>0</v>
      </c>
      <c r="L4728" t="n">
        <v>0</v>
      </c>
      <c r="M4728" t="n">
        <v>0</v>
      </c>
      <c r="N4728" t="n">
        <v>0</v>
      </c>
      <c r="O4728" t="n">
        <v>0</v>
      </c>
      <c r="P4728" t="n">
        <v>0</v>
      </c>
      <c r="Q4728" t="n">
        <v>0</v>
      </c>
      <c r="R4728" s="2" t="inlineStr"/>
    </row>
    <row r="4729" ht="15" customHeight="1">
      <c r="A4729" t="inlineStr">
        <is>
          <t>A 4162-2025</t>
        </is>
      </c>
      <c r="B4729" s="1" t="n">
        <v>45685.40097222223</v>
      </c>
      <c r="C4729" s="1" t="n">
        <v>46075</v>
      </c>
      <c r="D4729" t="inlineStr">
        <is>
          <t>VÄSTERBOTTENS LÄN</t>
        </is>
      </c>
      <c r="E4729" t="inlineStr">
        <is>
          <t>VINDELN</t>
        </is>
      </c>
      <c r="G4729" t="n">
        <v>4</v>
      </c>
      <c r="H4729" t="n">
        <v>0</v>
      </c>
      <c r="I4729" t="n">
        <v>0</v>
      </c>
      <c r="J4729" t="n">
        <v>0</v>
      </c>
      <c r="K4729" t="n">
        <v>0</v>
      </c>
      <c r="L4729" t="n">
        <v>0</v>
      </c>
      <c r="M4729" t="n">
        <v>0</v>
      </c>
      <c r="N4729" t="n">
        <v>0</v>
      </c>
      <c r="O4729" t="n">
        <v>0</v>
      </c>
      <c r="P4729" t="n">
        <v>0</v>
      </c>
      <c r="Q4729" t="n">
        <v>0</v>
      </c>
      <c r="R4729" s="2" t="inlineStr"/>
    </row>
    <row r="4730" ht="15" customHeight="1">
      <c r="A4730" t="inlineStr">
        <is>
          <t>A 44120-2025</t>
        </is>
      </c>
      <c r="B4730" s="1" t="n">
        <v>45915.57791666667</v>
      </c>
      <c r="C4730" s="1" t="n">
        <v>46075</v>
      </c>
      <c r="D4730" t="inlineStr">
        <is>
          <t>VÄSTERBOTTENS LÄN</t>
        </is>
      </c>
      <c r="E4730" t="inlineStr">
        <is>
          <t>SKELLEFTEÅ</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44140-2025</t>
        </is>
      </c>
      <c r="B4731" s="1" t="n">
        <v>45915</v>
      </c>
      <c r="C4731" s="1" t="n">
        <v>46075</v>
      </c>
      <c r="D4731" t="inlineStr">
        <is>
          <t>VÄSTERBOTTENS LÄN</t>
        </is>
      </c>
      <c r="E4731" t="inlineStr">
        <is>
          <t>STORUMAN</t>
        </is>
      </c>
      <c r="F4731" t="inlineStr">
        <is>
          <t>Allmännings- och besparingsskogar</t>
        </is>
      </c>
      <c r="G4731" t="n">
        <v>16.2</v>
      </c>
      <c r="H4731" t="n">
        <v>0</v>
      </c>
      <c r="I4731" t="n">
        <v>0</v>
      </c>
      <c r="J4731" t="n">
        <v>0</v>
      </c>
      <c r="K4731" t="n">
        <v>0</v>
      </c>
      <c r="L4731" t="n">
        <v>0</v>
      </c>
      <c r="M4731" t="n">
        <v>0</v>
      </c>
      <c r="N4731" t="n">
        <v>0</v>
      </c>
      <c r="O4731" t="n">
        <v>0</v>
      </c>
      <c r="P4731" t="n">
        <v>0</v>
      </c>
      <c r="Q4731" t="n">
        <v>0</v>
      </c>
      <c r="R4731" s="2" t="inlineStr"/>
    </row>
    <row r="4732" ht="15" customHeight="1">
      <c r="A4732" t="inlineStr">
        <is>
          <t>A 44147-2025</t>
        </is>
      </c>
      <c r="B4732" s="1" t="n">
        <v>45915.59162037037</v>
      </c>
      <c r="C4732" s="1" t="n">
        <v>46075</v>
      </c>
      <c r="D4732" t="inlineStr">
        <is>
          <t>VÄSTERBOTTENS LÄN</t>
        </is>
      </c>
      <c r="E4732" t="inlineStr">
        <is>
          <t>VINDELN</t>
        </is>
      </c>
      <c r="F4732" t="inlineStr">
        <is>
          <t>Sveaskog</t>
        </is>
      </c>
      <c r="G4732" t="n">
        <v>4.8</v>
      </c>
      <c r="H4732" t="n">
        <v>0</v>
      </c>
      <c r="I4732" t="n">
        <v>0</v>
      </c>
      <c r="J4732" t="n">
        <v>0</v>
      </c>
      <c r="K4732" t="n">
        <v>0</v>
      </c>
      <c r="L4732" t="n">
        <v>0</v>
      </c>
      <c r="M4732" t="n">
        <v>0</v>
      </c>
      <c r="N4732" t="n">
        <v>0</v>
      </c>
      <c r="O4732" t="n">
        <v>0</v>
      </c>
      <c r="P4732" t="n">
        <v>0</v>
      </c>
      <c r="Q4732" t="n">
        <v>0</v>
      </c>
      <c r="R4732" s="2" t="inlineStr"/>
    </row>
    <row r="4733" ht="15" customHeight="1">
      <c r="A4733" t="inlineStr">
        <is>
          <t>A 43845-2025</t>
        </is>
      </c>
      <c r="B4733" s="1" t="n">
        <v>45912.63668981481</v>
      </c>
      <c r="C4733" s="1" t="n">
        <v>46075</v>
      </c>
      <c r="D4733" t="inlineStr">
        <is>
          <t>VÄSTERBOTTENS LÄN</t>
        </is>
      </c>
      <c r="E4733" t="inlineStr">
        <is>
          <t>NORSJÖ</t>
        </is>
      </c>
      <c r="F4733" t="inlineStr">
        <is>
          <t>Sveaskog</t>
        </is>
      </c>
      <c r="G4733" t="n">
        <v>2.8</v>
      </c>
      <c r="H4733" t="n">
        <v>0</v>
      </c>
      <c r="I4733" t="n">
        <v>0</v>
      </c>
      <c r="J4733" t="n">
        <v>0</v>
      </c>
      <c r="K4733" t="n">
        <v>0</v>
      </c>
      <c r="L4733" t="n">
        <v>0</v>
      </c>
      <c r="M4733" t="n">
        <v>0</v>
      </c>
      <c r="N4733" t="n">
        <v>0</v>
      </c>
      <c r="O4733" t="n">
        <v>0</v>
      </c>
      <c r="P4733" t="n">
        <v>0</v>
      </c>
      <c r="Q4733" t="n">
        <v>0</v>
      </c>
      <c r="R4733" s="2" t="inlineStr"/>
    </row>
    <row r="4734" ht="15" customHeight="1">
      <c r="A4734" t="inlineStr">
        <is>
          <t>A 44064-2025</t>
        </is>
      </c>
      <c r="B4734" s="1" t="n">
        <v>45915.54059027778</v>
      </c>
      <c r="C4734" s="1" t="n">
        <v>46075</v>
      </c>
      <c r="D4734" t="inlineStr">
        <is>
          <t>VÄSTERBOTTENS LÄN</t>
        </is>
      </c>
      <c r="E4734" t="inlineStr">
        <is>
          <t>UMEÅ</t>
        </is>
      </c>
      <c r="F4734" t="inlineStr">
        <is>
          <t>Holmen skog AB</t>
        </is>
      </c>
      <c r="G4734" t="n">
        <v>6.6</v>
      </c>
      <c r="H4734" t="n">
        <v>0</v>
      </c>
      <c r="I4734" t="n">
        <v>0</v>
      </c>
      <c r="J4734" t="n">
        <v>0</v>
      </c>
      <c r="K4734" t="n">
        <v>0</v>
      </c>
      <c r="L4734" t="n">
        <v>0</v>
      </c>
      <c r="M4734" t="n">
        <v>0</v>
      </c>
      <c r="N4734" t="n">
        <v>0</v>
      </c>
      <c r="O4734" t="n">
        <v>0</v>
      </c>
      <c r="P4734" t="n">
        <v>0</v>
      </c>
      <c r="Q4734" t="n">
        <v>0</v>
      </c>
      <c r="R4734" s="2" t="inlineStr"/>
    </row>
    <row r="4735" ht="15" customHeight="1">
      <c r="A4735" t="inlineStr">
        <is>
          <t>A 4163-2025</t>
        </is>
      </c>
      <c r="B4735" s="1" t="n">
        <v>45685.40736111111</v>
      </c>
      <c r="C4735" s="1" t="n">
        <v>46075</v>
      </c>
      <c r="D4735" t="inlineStr">
        <is>
          <t>VÄSTERBOTTENS LÄN</t>
        </is>
      </c>
      <c r="E4735" t="inlineStr">
        <is>
          <t>VINDELN</t>
        </is>
      </c>
      <c r="G4735" t="n">
        <v>3.4</v>
      </c>
      <c r="H4735" t="n">
        <v>0</v>
      </c>
      <c r="I4735" t="n">
        <v>0</v>
      </c>
      <c r="J4735" t="n">
        <v>0</v>
      </c>
      <c r="K4735" t="n">
        <v>0</v>
      </c>
      <c r="L4735" t="n">
        <v>0</v>
      </c>
      <c r="M4735" t="n">
        <v>0</v>
      </c>
      <c r="N4735" t="n">
        <v>0</v>
      </c>
      <c r="O4735" t="n">
        <v>0</v>
      </c>
      <c r="P4735" t="n">
        <v>0</v>
      </c>
      <c r="Q4735" t="n">
        <v>0</v>
      </c>
      <c r="R4735" s="2" t="inlineStr"/>
    </row>
    <row r="4736" ht="15" customHeight="1">
      <c r="A4736" t="inlineStr">
        <is>
          <t>A 8716-2024</t>
        </is>
      </c>
      <c r="B4736" s="1" t="n">
        <v>45356</v>
      </c>
      <c r="C4736" s="1" t="n">
        <v>46075</v>
      </c>
      <c r="D4736" t="inlineStr">
        <is>
          <t>VÄSTERBOTTENS LÄN</t>
        </is>
      </c>
      <c r="E4736" t="inlineStr">
        <is>
          <t>UMEÅ</t>
        </is>
      </c>
      <c r="G4736" t="n">
        <v>9.800000000000001</v>
      </c>
      <c r="H4736" t="n">
        <v>0</v>
      </c>
      <c r="I4736" t="n">
        <v>0</v>
      </c>
      <c r="J4736" t="n">
        <v>0</v>
      </c>
      <c r="K4736" t="n">
        <v>0</v>
      </c>
      <c r="L4736" t="n">
        <v>0</v>
      </c>
      <c r="M4736" t="n">
        <v>0</v>
      </c>
      <c r="N4736" t="n">
        <v>0</v>
      </c>
      <c r="O4736" t="n">
        <v>0</v>
      </c>
      <c r="P4736" t="n">
        <v>0</v>
      </c>
      <c r="Q4736" t="n">
        <v>0</v>
      </c>
      <c r="R4736" s="2" t="inlineStr"/>
    </row>
    <row r="4737" ht="15" customHeight="1">
      <c r="A4737" t="inlineStr">
        <is>
          <t>A 42208-2022</t>
        </is>
      </c>
      <c r="B4737" s="1" t="n">
        <v>44830</v>
      </c>
      <c r="C4737" s="1" t="n">
        <v>46075</v>
      </c>
      <c r="D4737" t="inlineStr">
        <is>
          <t>VÄSTERBOTTENS LÄN</t>
        </is>
      </c>
      <c r="E4737" t="inlineStr">
        <is>
          <t>LYCKSELE</t>
        </is>
      </c>
      <c r="G4737" t="n">
        <v>3.9</v>
      </c>
      <c r="H4737" t="n">
        <v>0</v>
      </c>
      <c r="I4737" t="n">
        <v>0</v>
      </c>
      <c r="J4737" t="n">
        <v>0</v>
      </c>
      <c r="K4737" t="n">
        <v>0</v>
      </c>
      <c r="L4737" t="n">
        <v>0</v>
      </c>
      <c r="M4737" t="n">
        <v>0</v>
      </c>
      <c r="N4737" t="n">
        <v>0</v>
      </c>
      <c r="O4737" t="n">
        <v>0</v>
      </c>
      <c r="P4737" t="n">
        <v>0</v>
      </c>
      <c r="Q4737" t="n">
        <v>0</v>
      </c>
      <c r="R4737" s="2" t="inlineStr"/>
    </row>
    <row r="4738" ht="15" customHeight="1">
      <c r="A4738" t="inlineStr">
        <is>
          <t>A 44070-2025</t>
        </is>
      </c>
      <c r="B4738" s="1" t="n">
        <v>45915.54528935185</v>
      </c>
      <c r="C4738" s="1" t="n">
        <v>46075</v>
      </c>
      <c r="D4738" t="inlineStr">
        <is>
          <t>VÄSTERBOTTENS LÄN</t>
        </is>
      </c>
      <c r="E4738" t="inlineStr">
        <is>
          <t>SKELLEFTEÅ</t>
        </is>
      </c>
      <c r="F4738" t="inlineStr">
        <is>
          <t>Sveaskog</t>
        </is>
      </c>
      <c r="G4738" t="n">
        <v>2.8</v>
      </c>
      <c r="H4738" t="n">
        <v>0</v>
      </c>
      <c r="I4738" t="n">
        <v>0</v>
      </c>
      <c r="J4738" t="n">
        <v>0</v>
      </c>
      <c r="K4738" t="n">
        <v>0</v>
      </c>
      <c r="L4738" t="n">
        <v>0</v>
      </c>
      <c r="M4738" t="n">
        <v>0</v>
      </c>
      <c r="N4738" t="n">
        <v>0</v>
      </c>
      <c r="O4738" t="n">
        <v>0</v>
      </c>
      <c r="P4738" t="n">
        <v>0</v>
      </c>
      <c r="Q4738" t="n">
        <v>0</v>
      </c>
      <c r="R4738" s="2" t="inlineStr"/>
    </row>
    <row r="4739" ht="15" customHeight="1">
      <c r="A4739" t="inlineStr">
        <is>
          <t>A 8717-2024</t>
        </is>
      </c>
      <c r="B4739" s="1" t="n">
        <v>45356.4062962963</v>
      </c>
      <c r="C4739" s="1" t="n">
        <v>46075</v>
      </c>
      <c r="D4739" t="inlineStr">
        <is>
          <t>VÄSTERBOTTENS LÄN</t>
        </is>
      </c>
      <c r="E4739" t="inlineStr">
        <is>
          <t>UMEÅ</t>
        </is>
      </c>
      <c r="G4739" t="n">
        <v>2.8</v>
      </c>
      <c r="H4739" t="n">
        <v>0</v>
      </c>
      <c r="I4739" t="n">
        <v>0</v>
      </c>
      <c r="J4739" t="n">
        <v>0</v>
      </c>
      <c r="K4739" t="n">
        <v>0</v>
      </c>
      <c r="L4739" t="n">
        <v>0</v>
      </c>
      <c r="M4739" t="n">
        <v>0</v>
      </c>
      <c r="N4739" t="n">
        <v>0</v>
      </c>
      <c r="O4739" t="n">
        <v>0</v>
      </c>
      <c r="P4739" t="n">
        <v>0</v>
      </c>
      <c r="Q4739" t="n">
        <v>0</v>
      </c>
      <c r="R4739" s="2" t="inlineStr"/>
    </row>
    <row r="4740" ht="15" customHeight="1">
      <c r="A4740" t="inlineStr">
        <is>
          <t>A 8727-2024</t>
        </is>
      </c>
      <c r="B4740" s="1" t="n">
        <v>45356.42712962963</v>
      </c>
      <c r="C4740" s="1" t="n">
        <v>46075</v>
      </c>
      <c r="D4740" t="inlineStr">
        <is>
          <t>VÄSTERBOTTENS LÄN</t>
        </is>
      </c>
      <c r="E4740" t="inlineStr">
        <is>
          <t>LYCKSELE</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43928-2025</t>
        </is>
      </c>
      <c r="B4741" s="1" t="n">
        <v>45915.32159722222</v>
      </c>
      <c r="C4741" s="1" t="n">
        <v>46075</v>
      </c>
      <c r="D4741" t="inlineStr">
        <is>
          <t>VÄSTERBOTTENS LÄN</t>
        </is>
      </c>
      <c r="E4741" t="inlineStr">
        <is>
          <t>LYCKSELE</t>
        </is>
      </c>
      <c r="F4741" t="inlineStr">
        <is>
          <t>Sveaskog</t>
        </is>
      </c>
      <c r="G4741" t="n">
        <v>9.9</v>
      </c>
      <c r="H4741" t="n">
        <v>0</v>
      </c>
      <c r="I4741" t="n">
        <v>0</v>
      </c>
      <c r="J4741" t="n">
        <v>0</v>
      </c>
      <c r="K4741" t="n">
        <v>0</v>
      </c>
      <c r="L4741" t="n">
        <v>0</v>
      </c>
      <c r="M4741" t="n">
        <v>0</v>
      </c>
      <c r="N4741" t="n">
        <v>0</v>
      </c>
      <c r="O4741" t="n">
        <v>0</v>
      </c>
      <c r="P4741" t="n">
        <v>0</v>
      </c>
      <c r="Q4741" t="n">
        <v>0</v>
      </c>
      <c r="R4741" s="2" t="inlineStr"/>
    </row>
    <row r="4742" ht="15" customHeight="1">
      <c r="A4742" t="inlineStr">
        <is>
          <t>A 43929-2025</t>
        </is>
      </c>
      <c r="B4742" s="1" t="n">
        <v>45915.32696759259</v>
      </c>
      <c r="C4742" s="1" t="n">
        <v>46075</v>
      </c>
      <c r="D4742" t="inlineStr">
        <is>
          <t>VÄSTERBOTTENS LÄN</t>
        </is>
      </c>
      <c r="E4742" t="inlineStr">
        <is>
          <t>LYCKSELE</t>
        </is>
      </c>
      <c r="F4742" t="inlineStr">
        <is>
          <t>Sveaskog</t>
        </is>
      </c>
      <c r="G4742" t="n">
        <v>5</v>
      </c>
      <c r="H4742" t="n">
        <v>0</v>
      </c>
      <c r="I4742" t="n">
        <v>0</v>
      </c>
      <c r="J4742" t="n">
        <v>0</v>
      </c>
      <c r="K4742" t="n">
        <v>0</v>
      </c>
      <c r="L4742" t="n">
        <v>0</v>
      </c>
      <c r="M4742" t="n">
        <v>0</v>
      </c>
      <c r="N4742" t="n">
        <v>0</v>
      </c>
      <c r="O4742" t="n">
        <v>0</v>
      </c>
      <c r="P4742" t="n">
        <v>0</v>
      </c>
      <c r="Q4742" t="n">
        <v>0</v>
      </c>
      <c r="R4742" s="2" t="inlineStr"/>
    </row>
    <row r="4743" ht="15" customHeight="1">
      <c r="A4743" t="inlineStr">
        <is>
          <t>A 43960-2025</t>
        </is>
      </c>
      <c r="B4743" s="1" t="n">
        <v>45915.39046296296</v>
      </c>
      <c r="C4743" s="1" t="n">
        <v>46075</v>
      </c>
      <c r="D4743" t="inlineStr">
        <is>
          <t>VÄSTERBOTTENS LÄN</t>
        </is>
      </c>
      <c r="E4743" t="inlineStr">
        <is>
          <t>ÅSELE</t>
        </is>
      </c>
      <c r="F4743" t="inlineStr">
        <is>
          <t>Kyrkan</t>
        </is>
      </c>
      <c r="G4743" t="n">
        <v>10.5</v>
      </c>
      <c r="H4743" t="n">
        <v>0</v>
      </c>
      <c r="I4743" t="n">
        <v>0</v>
      </c>
      <c r="J4743" t="n">
        <v>0</v>
      </c>
      <c r="K4743" t="n">
        <v>0</v>
      </c>
      <c r="L4743" t="n">
        <v>0</v>
      </c>
      <c r="M4743" t="n">
        <v>0</v>
      </c>
      <c r="N4743" t="n">
        <v>0</v>
      </c>
      <c r="O4743" t="n">
        <v>0</v>
      </c>
      <c r="P4743" t="n">
        <v>0</v>
      </c>
      <c r="Q4743" t="n">
        <v>0</v>
      </c>
      <c r="R4743" s="2" t="inlineStr"/>
    </row>
    <row r="4744" ht="15" customHeight="1">
      <c r="A4744" t="inlineStr">
        <is>
          <t>A 31193-2023</t>
        </is>
      </c>
      <c r="B4744" s="1" t="n">
        <v>45113.94976851852</v>
      </c>
      <c r="C4744" s="1" t="n">
        <v>46075</v>
      </c>
      <c r="D4744" t="inlineStr">
        <is>
          <t>VÄSTERBOTTENS LÄN</t>
        </is>
      </c>
      <c r="E4744" t="inlineStr">
        <is>
          <t>ÅSELE</t>
        </is>
      </c>
      <c r="F4744" t="inlineStr">
        <is>
          <t>SCA</t>
        </is>
      </c>
      <c r="G4744" t="n">
        <v>4.8</v>
      </c>
      <c r="H4744" t="n">
        <v>0</v>
      </c>
      <c r="I4744" t="n">
        <v>0</v>
      </c>
      <c r="J4744" t="n">
        <v>0</v>
      </c>
      <c r="K4744" t="n">
        <v>0</v>
      </c>
      <c r="L4744" t="n">
        <v>0</v>
      </c>
      <c r="M4744" t="n">
        <v>0</v>
      </c>
      <c r="N4744" t="n">
        <v>0</v>
      </c>
      <c r="O4744" t="n">
        <v>0</v>
      </c>
      <c r="P4744" t="n">
        <v>0</v>
      </c>
      <c r="Q4744" t="n">
        <v>0</v>
      </c>
      <c r="R4744" s="2" t="inlineStr"/>
    </row>
    <row r="4745" ht="15" customHeight="1">
      <c r="A4745" t="inlineStr">
        <is>
          <t>A 44005-2025</t>
        </is>
      </c>
      <c r="B4745" s="1" t="n">
        <v>45915.45715277778</v>
      </c>
      <c r="C4745" s="1" t="n">
        <v>46075</v>
      </c>
      <c r="D4745" t="inlineStr">
        <is>
          <t>VÄSTERBOTTENS LÄN</t>
        </is>
      </c>
      <c r="E4745" t="inlineStr">
        <is>
          <t>ÅSELE</t>
        </is>
      </c>
      <c r="F4745" t="inlineStr">
        <is>
          <t>Holmen skog AB</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44009-2025</t>
        </is>
      </c>
      <c r="B4746" s="1" t="n">
        <v>45915.46326388889</v>
      </c>
      <c r="C4746" s="1" t="n">
        <v>46075</v>
      </c>
      <c r="D4746" t="inlineStr">
        <is>
          <t>VÄSTERBOTTENS LÄN</t>
        </is>
      </c>
      <c r="E4746" t="inlineStr">
        <is>
          <t>SKELLEFTEÅ</t>
        </is>
      </c>
      <c r="F4746" t="inlineStr">
        <is>
          <t>Holmen skog AB</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44015-2025</t>
        </is>
      </c>
      <c r="B4747" s="1" t="n">
        <v>45915</v>
      </c>
      <c r="C4747" s="1" t="n">
        <v>46075</v>
      </c>
      <c r="D4747" t="inlineStr">
        <is>
          <t>VÄSTERBOTTENS LÄN</t>
        </is>
      </c>
      <c r="E4747" t="inlineStr">
        <is>
          <t>VILHELMINA</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44242-2025</t>
        </is>
      </c>
      <c r="B4748" s="1" t="n">
        <v>45915.67774305555</v>
      </c>
      <c r="C4748" s="1" t="n">
        <v>46075</v>
      </c>
      <c r="D4748" t="inlineStr">
        <is>
          <t>VÄSTERBOTTENS LÄN</t>
        </is>
      </c>
      <c r="E4748" t="inlineStr">
        <is>
          <t>ÅSELE</t>
        </is>
      </c>
      <c r="F4748" t="inlineStr">
        <is>
          <t>SCA</t>
        </is>
      </c>
      <c r="G4748" t="n">
        <v>39.9</v>
      </c>
      <c r="H4748" t="n">
        <v>0</v>
      </c>
      <c r="I4748" t="n">
        <v>0</v>
      </c>
      <c r="J4748" t="n">
        <v>0</v>
      </c>
      <c r="K4748" t="n">
        <v>0</v>
      </c>
      <c r="L4748" t="n">
        <v>0</v>
      </c>
      <c r="M4748" t="n">
        <v>0</v>
      </c>
      <c r="N4748" t="n">
        <v>0</v>
      </c>
      <c r="O4748" t="n">
        <v>0</v>
      </c>
      <c r="P4748" t="n">
        <v>0</v>
      </c>
      <c r="Q4748" t="n">
        <v>0</v>
      </c>
      <c r="R4748" s="2" t="inlineStr"/>
    </row>
    <row r="4749" ht="15" customHeight="1">
      <c r="A4749" t="inlineStr">
        <is>
          <t>A 43870-2025</t>
        </is>
      </c>
      <c r="B4749" s="1" t="n">
        <v>45912.66537037037</v>
      </c>
      <c r="C4749" s="1" t="n">
        <v>46075</v>
      </c>
      <c r="D4749" t="inlineStr">
        <is>
          <t>VÄSTERBOTTENS LÄN</t>
        </is>
      </c>
      <c r="E4749" t="inlineStr">
        <is>
          <t>VINDELN</t>
        </is>
      </c>
      <c r="G4749" t="n">
        <v>2.7</v>
      </c>
      <c r="H4749" t="n">
        <v>0</v>
      </c>
      <c r="I4749" t="n">
        <v>0</v>
      </c>
      <c r="J4749" t="n">
        <v>0</v>
      </c>
      <c r="K4749" t="n">
        <v>0</v>
      </c>
      <c r="L4749" t="n">
        <v>0</v>
      </c>
      <c r="M4749" t="n">
        <v>0</v>
      </c>
      <c r="N4749" t="n">
        <v>0</v>
      </c>
      <c r="O4749" t="n">
        <v>0</v>
      </c>
      <c r="P4749" t="n">
        <v>0</v>
      </c>
      <c r="Q4749" t="n">
        <v>0</v>
      </c>
      <c r="R4749" s="2" t="inlineStr"/>
    </row>
    <row r="4750" ht="15" customHeight="1">
      <c r="A4750" t="inlineStr">
        <is>
          <t>A 24817-2024</t>
        </is>
      </c>
      <c r="B4750" s="1" t="n">
        <v>45460</v>
      </c>
      <c r="C4750" s="1" t="n">
        <v>46075</v>
      </c>
      <c r="D4750" t="inlineStr">
        <is>
          <t>VÄSTERBOTTENS LÄN</t>
        </is>
      </c>
      <c r="E4750" t="inlineStr">
        <is>
          <t>VINDELN</t>
        </is>
      </c>
      <c r="G4750" t="n">
        <v>4.6</v>
      </c>
      <c r="H4750" t="n">
        <v>0</v>
      </c>
      <c r="I4750" t="n">
        <v>0</v>
      </c>
      <c r="J4750" t="n">
        <v>0</v>
      </c>
      <c r="K4750" t="n">
        <v>0</v>
      </c>
      <c r="L4750" t="n">
        <v>0</v>
      </c>
      <c r="M4750" t="n">
        <v>0</v>
      </c>
      <c r="N4750" t="n">
        <v>0</v>
      </c>
      <c r="O4750" t="n">
        <v>0</v>
      </c>
      <c r="P4750" t="n">
        <v>0</v>
      </c>
      <c r="Q4750" t="n">
        <v>0</v>
      </c>
      <c r="R4750" s="2" t="inlineStr"/>
    </row>
    <row r="4751" ht="15" customHeight="1">
      <c r="A4751" t="inlineStr">
        <is>
          <t>A 64716-2023</t>
        </is>
      </c>
      <c r="B4751" s="1" t="n">
        <v>45281</v>
      </c>
      <c r="C4751" s="1" t="n">
        <v>46075</v>
      </c>
      <c r="D4751" t="inlineStr">
        <is>
          <t>VÄSTERBOTTENS LÄN</t>
        </is>
      </c>
      <c r="E4751" t="inlineStr">
        <is>
          <t>SKELLEFTEÅ</t>
        </is>
      </c>
      <c r="G4751" t="n">
        <v>3.3</v>
      </c>
      <c r="H4751" t="n">
        <v>0</v>
      </c>
      <c r="I4751" t="n">
        <v>0</v>
      </c>
      <c r="J4751" t="n">
        <v>0</v>
      </c>
      <c r="K4751" t="n">
        <v>0</v>
      </c>
      <c r="L4751" t="n">
        <v>0</v>
      </c>
      <c r="M4751" t="n">
        <v>0</v>
      </c>
      <c r="N4751" t="n">
        <v>0</v>
      </c>
      <c r="O4751" t="n">
        <v>0</v>
      </c>
      <c r="P4751" t="n">
        <v>0</v>
      </c>
      <c r="Q4751" t="n">
        <v>0</v>
      </c>
      <c r="R4751" s="2" t="inlineStr"/>
    </row>
    <row r="4752" ht="15" customHeight="1">
      <c r="A4752" t="inlineStr">
        <is>
          <t>A 44149-2025</t>
        </is>
      </c>
      <c r="B4752" s="1" t="n">
        <v>45915</v>
      </c>
      <c r="C4752" s="1" t="n">
        <v>46075</v>
      </c>
      <c r="D4752" t="inlineStr">
        <is>
          <t>VÄSTERBOTTENS LÄN</t>
        </is>
      </c>
      <c r="E4752" t="inlineStr">
        <is>
          <t>STORUMAN</t>
        </is>
      </c>
      <c r="F4752" t="inlineStr">
        <is>
          <t>Allmännings- och besparingsskogar</t>
        </is>
      </c>
      <c r="G4752" t="n">
        <v>18.9</v>
      </c>
      <c r="H4752" t="n">
        <v>0</v>
      </c>
      <c r="I4752" t="n">
        <v>0</v>
      </c>
      <c r="J4752" t="n">
        <v>0</v>
      </c>
      <c r="K4752" t="n">
        <v>0</v>
      </c>
      <c r="L4752" t="n">
        <v>0</v>
      </c>
      <c r="M4752" t="n">
        <v>0</v>
      </c>
      <c r="N4752" t="n">
        <v>0</v>
      </c>
      <c r="O4752" t="n">
        <v>0</v>
      </c>
      <c r="P4752" t="n">
        <v>0</v>
      </c>
      <c r="Q4752" t="n">
        <v>0</v>
      </c>
      <c r="R4752" s="2" t="inlineStr"/>
    </row>
    <row r="4753" ht="15" customHeight="1">
      <c r="A4753" t="inlineStr">
        <is>
          <t>A 44157-2025</t>
        </is>
      </c>
      <c r="B4753" s="1" t="n">
        <v>45915.59598379629</v>
      </c>
      <c r="C4753" s="1" t="n">
        <v>46075</v>
      </c>
      <c r="D4753" t="inlineStr">
        <is>
          <t>VÄSTERBOTTENS LÄN</t>
        </is>
      </c>
      <c r="E4753" t="inlineStr">
        <is>
          <t>VINDELN</t>
        </is>
      </c>
      <c r="F4753" t="inlineStr">
        <is>
          <t>Sveaskog</t>
        </is>
      </c>
      <c r="G4753" t="n">
        <v>11.4</v>
      </c>
      <c r="H4753" t="n">
        <v>0</v>
      </c>
      <c r="I4753" t="n">
        <v>0</v>
      </c>
      <c r="J4753" t="n">
        <v>0</v>
      </c>
      <c r="K4753" t="n">
        <v>0</v>
      </c>
      <c r="L4753" t="n">
        <v>0</v>
      </c>
      <c r="M4753" t="n">
        <v>0</v>
      </c>
      <c r="N4753" t="n">
        <v>0</v>
      </c>
      <c r="O4753" t="n">
        <v>0</v>
      </c>
      <c r="P4753" t="n">
        <v>0</v>
      </c>
      <c r="Q4753" t="n">
        <v>0</v>
      </c>
      <c r="R4753" s="2" t="inlineStr"/>
    </row>
    <row r="4754" ht="15" customHeight="1">
      <c r="A4754" t="inlineStr">
        <is>
          <t>A 44176-2025</t>
        </is>
      </c>
      <c r="B4754" s="1" t="n">
        <v>45915.6065162037</v>
      </c>
      <c r="C4754" s="1" t="n">
        <v>46075</v>
      </c>
      <c r="D4754" t="inlineStr">
        <is>
          <t>VÄSTERBOTTENS LÄN</t>
        </is>
      </c>
      <c r="E4754" t="inlineStr">
        <is>
          <t>VINDELN</t>
        </is>
      </c>
      <c r="F4754" t="inlineStr">
        <is>
          <t>Sveaskog</t>
        </is>
      </c>
      <c r="G4754" t="n">
        <v>7</v>
      </c>
      <c r="H4754" t="n">
        <v>0</v>
      </c>
      <c r="I4754" t="n">
        <v>0</v>
      </c>
      <c r="J4754" t="n">
        <v>0</v>
      </c>
      <c r="K4754" t="n">
        <v>0</v>
      </c>
      <c r="L4754" t="n">
        <v>0</v>
      </c>
      <c r="M4754" t="n">
        <v>0</v>
      </c>
      <c r="N4754" t="n">
        <v>0</v>
      </c>
      <c r="O4754" t="n">
        <v>0</v>
      </c>
      <c r="P4754" t="n">
        <v>0</v>
      </c>
      <c r="Q4754" t="n">
        <v>0</v>
      </c>
      <c r="R4754" s="2" t="inlineStr"/>
    </row>
    <row r="4755" ht="15" customHeight="1">
      <c r="A4755" t="inlineStr">
        <is>
          <t>A 44182-2025</t>
        </is>
      </c>
      <c r="B4755" s="1" t="n">
        <v>45915.60943287037</v>
      </c>
      <c r="C4755" s="1" t="n">
        <v>46075</v>
      </c>
      <c r="D4755" t="inlineStr">
        <is>
          <t>VÄSTERBOTTENS LÄN</t>
        </is>
      </c>
      <c r="E4755" t="inlineStr">
        <is>
          <t>SKELLEFTEÅ</t>
        </is>
      </c>
      <c r="F4755" t="inlineStr">
        <is>
          <t>Sveaskog</t>
        </is>
      </c>
      <c r="G4755" t="n">
        <v>5.2</v>
      </c>
      <c r="H4755" t="n">
        <v>0</v>
      </c>
      <c r="I4755" t="n">
        <v>0</v>
      </c>
      <c r="J4755" t="n">
        <v>0</v>
      </c>
      <c r="K4755" t="n">
        <v>0</v>
      </c>
      <c r="L4755" t="n">
        <v>0</v>
      </c>
      <c r="M4755" t="n">
        <v>0</v>
      </c>
      <c r="N4755" t="n">
        <v>0</v>
      </c>
      <c r="O4755" t="n">
        <v>0</v>
      </c>
      <c r="P4755" t="n">
        <v>0</v>
      </c>
      <c r="Q4755" t="n">
        <v>0</v>
      </c>
      <c r="R4755" s="2" t="inlineStr"/>
    </row>
    <row r="4756" ht="15" customHeight="1">
      <c r="A4756" t="inlineStr">
        <is>
          <t>A 28688-2025</t>
        </is>
      </c>
      <c r="B4756" s="1" t="n">
        <v>45819</v>
      </c>
      <c r="C4756" s="1" t="n">
        <v>46075</v>
      </c>
      <c r="D4756" t="inlineStr">
        <is>
          <t>VÄSTERBOTTENS LÄN</t>
        </is>
      </c>
      <c r="E4756" t="inlineStr">
        <is>
          <t>ROBERTSFORS</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44190-2025</t>
        </is>
      </c>
      <c r="B4757" s="1" t="n">
        <v>45915.61515046296</v>
      </c>
      <c r="C4757" s="1" t="n">
        <v>46075</v>
      </c>
      <c r="D4757" t="inlineStr">
        <is>
          <t>VÄSTERBOTTENS LÄN</t>
        </is>
      </c>
      <c r="E4757" t="inlineStr">
        <is>
          <t>DOROTEA</t>
        </is>
      </c>
      <c r="F4757" t="inlineStr">
        <is>
          <t>SCA</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54804-2024</t>
        </is>
      </c>
      <c r="B4758" s="1" t="n">
        <v>45618</v>
      </c>
      <c r="C4758" s="1" t="n">
        <v>46075</v>
      </c>
      <c r="D4758" t="inlineStr">
        <is>
          <t>VÄSTERBOTTENS LÄN</t>
        </is>
      </c>
      <c r="E4758" t="inlineStr">
        <is>
          <t>VILHELMINA</t>
        </is>
      </c>
      <c r="F4758" t="inlineStr">
        <is>
          <t>SCA</t>
        </is>
      </c>
      <c r="G4758" t="n">
        <v>6.2</v>
      </c>
      <c r="H4758" t="n">
        <v>0</v>
      </c>
      <c r="I4758" t="n">
        <v>0</v>
      </c>
      <c r="J4758" t="n">
        <v>0</v>
      </c>
      <c r="K4758" t="n">
        <v>0</v>
      </c>
      <c r="L4758" t="n">
        <v>0</v>
      </c>
      <c r="M4758" t="n">
        <v>0</v>
      </c>
      <c r="N4758" t="n">
        <v>0</v>
      </c>
      <c r="O4758" t="n">
        <v>0</v>
      </c>
      <c r="P4758" t="n">
        <v>0</v>
      </c>
      <c r="Q4758" t="n">
        <v>0</v>
      </c>
      <c r="R4758" s="2" t="inlineStr"/>
    </row>
    <row r="4759" ht="15" customHeight="1">
      <c r="A4759" t="inlineStr">
        <is>
          <t>A 33710-2025</t>
        </is>
      </c>
      <c r="B4759" s="1" t="n">
        <v>45841.83299768518</v>
      </c>
      <c r="C4759" s="1" t="n">
        <v>46075</v>
      </c>
      <c r="D4759" t="inlineStr">
        <is>
          <t>VÄSTERBOTTENS LÄN</t>
        </is>
      </c>
      <c r="E4759" t="inlineStr">
        <is>
          <t>ÅSELE</t>
        </is>
      </c>
      <c r="G4759" t="n">
        <v>13.7</v>
      </c>
      <c r="H4759" t="n">
        <v>0</v>
      </c>
      <c r="I4759" t="n">
        <v>0</v>
      </c>
      <c r="J4759" t="n">
        <v>0</v>
      </c>
      <c r="K4759" t="n">
        <v>0</v>
      </c>
      <c r="L4759" t="n">
        <v>0</v>
      </c>
      <c r="M4759" t="n">
        <v>0</v>
      </c>
      <c r="N4759" t="n">
        <v>0</v>
      </c>
      <c r="O4759" t="n">
        <v>0</v>
      </c>
      <c r="P4759" t="n">
        <v>0</v>
      </c>
      <c r="Q4759" t="n">
        <v>0</v>
      </c>
      <c r="R4759" s="2" t="inlineStr"/>
    </row>
    <row r="4760" ht="15" customHeight="1">
      <c r="A4760" t="inlineStr">
        <is>
          <t>A 21662-2025</t>
        </is>
      </c>
      <c r="B4760" s="1" t="n">
        <v>45783</v>
      </c>
      <c r="C4760" s="1" t="n">
        <v>46075</v>
      </c>
      <c r="D4760" t="inlineStr">
        <is>
          <t>VÄSTERBOTTENS LÄN</t>
        </is>
      </c>
      <c r="E4760" t="inlineStr">
        <is>
          <t>STORUMAN</t>
        </is>
      </c>
      <c r="G4760" t="n">
        <v>47.2</v>
      </c>
      <c r="H4760" t="n">
        <v>0</v>
      </c>
      <c r="I4760" t="n">
        <v>0</v>
      </c>
      <c r="J4760" t="n">
        <v>0</v>
      </c>
      <c r="K4760" t="n">
        <v>0</v>
      </c>
      <c r="L4760" t="n">
        <v>0</v>
      </c>
      <c r="M4760" t="n">
        <v>0</v>
      </c>
      <c r="N4760" t="n">
        <v>0</v>
      </c>
      <c r="O4760" t="n">
        <v>0</v>
      </c>
      <c r="P4760" t="n">
        <v>0</v>
      </c>
      <c r="Q4760" t="n">
        <v>0</v>
      </c>
      <c r="R4760" s="2" t="inlineStr"/>
    </row>
    <row r="4761" ht="15" customHeight="1">
      <c r="A4761" t="inlineStr">
        <is>
          <t>A 44076-2025</t>
        </is>
      </c>
      <c r="B4761" s="1" t="n">
        <v>45915</v>
      </c>
      <c r="C4761" s="1" t="n">
        <v>46075</v>
      </c>
      <c r="D4761" t="inlineStr">
        <is>
          <t>VÄSTERBOTTENS LÄN</t>
        </is>
      </c>
      <c r="E4761" t="inlineStr">
        <is>
          <t>LYCKSELE</t>
        </is>
      </c>
      <c r="G4761" t="n">
        <v>25.1</v>
      </c>
      <c r="H4761" t="n">
        <v>0</v>
      </c>
      <c r="I4761" t="n">
        <v>0</v>
      </c>
      <c r="J4761" t="n">
        <v>0</v>
      </c>
      <c r="K4761" t="n">
        <v>0</v>
      </c>
      <c r="L4761" t="n">
        <v>0</v>
      </c>
      <c r="M4761" t="n">
        <v>0</v>
      </c>
      <c r="N4761" t="n">
        <v>0</v>
      </c>
      <c r="O4761" t="n">
        <v>0</v>
      </c>
      <c r="P4761" t="n">
        <v>0</v>
      </c>
      <c r="Q4761" t="n">
        <v>0</v>
      </c>
      <c r="R4761" s="2" t="inlineStr"/>
    </row>
    <row r="4762" ht="15" customHeight="1">
      <c r="A4762" t="inlineStr">
        <is>
          <t>A 44082-2025</t>
        </is>
      </c>
      <c r="B4762" s="1" t="n">
        <v>45915.55302083334</v>
      </c>
      <c r="C4762" s="1" t="n">
        <v>46075</v>
      </c>
      <c r="D4762" t="inlineStr">
        <is>
          <t>VÄSTERBOTTENS LÄN</t>
        </is>
      </c>
      <c r="E4762" t="inlineStr">
        <is>
          <t>SKELLEFTEÅ</t>
        </is>
      </c>
      <c r="F4762" t="inlineStr">
        <is>
          <t>Sveaskog</t>
        </is>
      </c>
      <c r="G4762" t="n">
        <v>5.5</v>
      </c>
      <c r="H4762" t="n">
        <v>0</v>
      </c>
      <c r="I4762" t="n">
        <v>0</v>
      </c>
      <c r="J4762" t="n">
        <v>0</v>
      </c>
      <c r="K4762" t="n">
        <v>0</v>
      </c>
      <c r="L4762" t="n">
        <v>0</v>
      </c>
      <c r="M4762" t="n">
        <v>0</v>
      </c>
      <c r="N4762" t="n">
        <v>0</v>
      </c>
      <c r="O4762" t="n">
        <v>0</v>
      </c>
      <c r="P4762" t="n">
        <v>0</v>
      </c>
      <c r="Q4762" t="n">
        <v>0</v>
      </c>
      <c r="R4762" s="2" t="inlineStr"/>
    </row>
    <row r="4763" ht="15" customHeight="1">
      <c r="A4763" t="inlineStr">
        <is>
          <t>A 44130-2025</t>
        </is>
      </c>
      <c r="B4763" s="1" t="n">
        <v>45915.58412037037</v>
      </c>
      <c r="C4763" s="1" t="n">
        <v>46075</v>
      </c>
      <c r="D4763" t="inlineStr">
        <is>
          <t>VÄSTERBOTTENS LÄN</t>
        </is>
      </c>
      <c r="E4763" t="inlineStr">
        <is>
          <t>ROBERTSFORS</t>
        </is>
      </c>
      <c r="F4763" t="inlineStr">
        <is>
          <t>Holmen skog AB</t>
        </is>
      </c>
      <c r="G4763" t="n">
        <v>4.5</v>
      </c>
      <c r="H4763" t="n">
        <v>0</v>
      </c>
      <c r="I4763" t="n">
        <v>0</v>
      </c>
      <c r="J4763" t="n">
        <v>0</v>
      </c>
      <c r="K4763" t="n">
        <v>0</v>
      </c>
      <c r="L4763" t="n">
        <v>0</v>
      </c>
      <c r="M4763" t="n">
        <v>0</v>
      </c>
      <c r="N4763" t="n">
        <v>0</v>
      </c>
      <c r="O4763" t="n">
        <v>0</v>
      </c>
      <c r="P4763" t="n">
        <v>0</v>
      </c>
      <c r="Q4763" t="n">
        <v>0</v>
      </c>
      <c r="R4763" s="2" t="inlineStr"/>
    </row>
    <row r="4764" ht="15" customHeight="1">
      <c r="A4764" t="inlineStr">
        <is>
          <t>A 54476-2023</t>
        </is>
      </c>
      <c r="B4764" s="1" t="n">
        <v>45233.47082175926</v>
      </c>
      <c r="C4764" s="1" t="n">
        <v>46075</v>
      </c>
      <c r="D4764" t="inlineStr">
        <is>
          <t>VÄSTERBOTTENS LÄN</t>
        </is>
      </c>
      <c r="E4764" t="inlineStr">
        <is>
          <t>SKELLEFTEÅ</t>
        </is>
      </c>
      <c r="G4764" t="n">
        <v>11.3</v>
      </c>
      <c r="H4764" t="n">
        <v>0</v>
      </c>
      <c r="I4764" t="n">
        <v>0</v>
      </c>
      <c r="J4764" t="n">
        <v>0</v>
      </c>
      <c r="K4764" t="n">
        <v>0</v>
      </c>
      <c r="L4764" t="n">
        <v>0</v>
      </c>
      <c r="M4764" t="n">
        <v>0</v>
      </c>
      <c r="N4764" t="n">
        <v>0</v>
      </c>
      <c r="O4764" t="n">
        <v>0</v>
      </c>
      <c r="P4764" t="n">
        <v>0</v>
      </c>
      <c r="Q4764" t="n">
        <v>0</v>
      </c>
      <c r="R4764" s="2" t="inlineStr"/>
    </row>
    <row r="4765" ht="15" customHeight="1">
      <c r="A4765" t="inlineStr">
        <is>
          <t>A 34056-2025</t>
        </is>
      </c>
      <c r="B4765" s="1" t="n">
        <v>45845.41228009259</v>
      </c>
      <c r="C4765" s="1" t="n">
        <v>46075</v>
      </c>
      <c r="D4765" t="inlineStr">
        <is>
          <t>VÄSTERBOTTENS LÄN</t>
        </is>
      </c>
      <c r="E4765" t="inlineStr">
        <is>
          <t>SKELLEFTEÅ</t>
        </is>
      </c>
      <c r="F4765" t="inlineStr">
        <is>
          <t>Holmen skog AB</t>
        </is>
      </c>
      <c r="G4765" t="n">
        <v>11.3</v>
      </c>
      <c r="H4765" t="n">
        <v>0</v>
      </c>
      <c r="I4765" t="n">
        <v>0</v>
      </c>
      <c r="J4765" t="n">
        <v>0</v>
      </c>
      <c r="K4765" t="n">
        <v>0</v>
      </c>
      <c r="L4765" t="n">
        <v>0</v>
      </c>
      <c r="M4765" t="n">
        <v>0</v>
      </c>
      <c r="N4765" t="n">
        <v>0</v>
      </c>
      <c r="O4765" t="n">
        <v>0</v>
      </c>
      <c r="P4765" t="n">
        <v>0</v>
      </c>
      <c r="Q4765" t="n">
        <v>0</v>
      </c>
      <c r="R4765" s="2" t="inlineStr"/>
    </row>
    <row r="4766" ht="15" customHeight="1">
      <c r="A4766" t="inlineStr">
        <is>
          <t>A 44144-2025</t>
        </is>
      </c>
      <c r="B4766" s="1" t="n">
        <v>45915.58934027778</v>
      </c>
      <c r="C4766" s="1" t="n">
        <v>46075</v>
      </c>
      <c r="D4766" t="inlineStr">
        <is>
          <t>VÄSTERBOTTENS LÄN</t>
        </is>
      </c>
      <c r="E4766" t="inlineStr">
        <is>
          <t>BJURHOLM</t>
        </is>
      </c>
      <c r="F4766" t="inlineStr">
        <is>
          <t>Sveaskog</t>
        </is>
      </c>
      <c r="G4766" t="n">
        <v>5.5</v>
      </c>
      <c r="H4766" t="n">
        <v>0</v>
      </c>
      <c r="I4766" t="n">
        <v>0</v>
      </c>
      <c r="J4766" t="n">
        <v>0</v>
      </c>
      <c r="K4766" t="n">
        <v>0</v>
      </c>
      <c r="L4766" t="n">
        <v>0</v>
      </c>
      <c r="M4766" t="n">
        <v>0</v>
      </c>
      <c r="N4766" t="n">
        <v>0</v>
      </c>
      <c r="O4766" t="n">
        <v>0</v>
      </c>
      <c r="P4766" t="n">
        <v>0</v>
      </c>
      <c r="Q4766" t="n">
        <v>0</v>
      </c>
      <c r="R4766" s="2" t="inlineStr"/>
    </row>
    <row r="4767" ht="15" customHeight="1">
      <c r="A4767" t="inlineStr">
        <is>
          <t>A 44146-2025</t>
        </is>
      </c>
      <c r="B4767" s="1" t="n">
        <v>45915</v>
      </c>
      <c r="C4767" s="1" t="n">
        <v>46075</v>
      </c>
      <c r="D4767" t="inlineStr">
        <is>
          <t>VÄSTERBOTTENS LÄN</t>
        </is>
      </c>
      <c r="E4767" t="inlineStr">
        <is>
          <t>STORUMAN</t>
        </is>
      </c>
      <c r="F4767" t="inlineStr">
        <is>
          <t>Allmännings- och besparingsskogar</t>
        </is>
      </c>
      <c r="G4767" t="n">
        <v>18.5</v>
      </c>
      <c r="H4767" t="n">
        <v>0</v>
      </c>
      <c r="I4767" t="n">
        <v>0</v>
      </c>
      <c r="J4767" t="n">
        <v>0</v>
      </c>
      <c r="K4767" t="n">
        <v>0</v>
      </c>
      <c r="L4767" t="n">
        <v>0</v>
      </c>
      <c r="M4767" t="n">
        <v>0</v>
      </c>
      <c r="N4767" t="n">
        <v>0</v>
      </c>
      <c r="O4767" t="n">
        <v>0</v>
      </c>
      <c r="P4767" t="n">
        <v>0</v>
      </c>
      <c r="Q4767" t="n">
        <v>0</v>
      </c>
      <c r="R4767" s="2" t="inlineStr"/>
    </row>
    <row r="4768" ht="15" customHeight="1">
      <c r="A4768" t="inlineStr">
        <is>
          <t>A 44169-2025</t>
        </is>
      </c>
      <c r="B4768" s="1" t="n">
        <v>45915.59857638889</v>
      </c>
      <c r="C4768" s="1" t="n">
        <v>46075</v>
      </c>
      <c r="D4768" t="inlineStr">
        <is>
          <t>VÄSTERBOTTENS LÄN</t>
        </is>
      </c>
      <c r="E4768" t="inlineStr">
        <is>
          <t>VINDELN</t>
        </is>
      </c>
      <c r="F4768" t="inlineStr">
        <is>
          <t>Sveaskog</t>
        </is>
      </c>
      <c r="G4768" t="n">
        <v>5.4</v>
      </c>
      <c r="H4768" t="n">
        <v>0</v>
      </c>
      <c r="I4768" t="n">
        <v>0</v>
      </c>
      <c r="J4768" t="n">
        <v>0</v>
      </c>
      <c r="K4768" t="n">
        <v>0</v>
      </c>
      <c r="L4768" t="n">
        <v>0</v>
      </c>
      <c r="M4768" t="n">
        <v>0</v>
      </c>
      <c r="N4768" t="n">
        <v>0</v>
      </c>
      <c r="O4768" t="n">
        <v>0</v>
      </c>
      <c r="P4768" t="n">
        <v>0</v>
      </c>
      <c r="Q4768" t="n">
        <v>0</v>
      </c>
      <c r="R4768" s="2" t="inlineStr"/>
    </row>
    <row r="4769" ht="15" customHeight="1">
      <c r="A4769" t="inlineStr">
        <is>
          <t>A 17442-2021</t>
        </is>
      </c>
      <c r="B4769" s="1" t="n">
        <v>44298</v>
      </c>
      <c r="C4769" s="1" t="n">
        <v>46075</v>
      </c>
      <c r="D4769" t="inlineStr">
        <is>
          <t>VÄSTERBOTTENS LÄN</t>
        </is>
      </c>
      <c r="E4769" t="inlineStr">
        <is>
          <t>SORSELE</t>
        </is>
      </c>
      <c r="G4769" t="n">
        <v>86.09999999999999</v>
      </c>
      <c r="H4769" t="n">
        <v>0</v>
      </c>
      <c r="I4769" t="n">
        <v>0</v>
      </c>
      <c r="J4769" t="n">
        <v>0</v>
      </c>
      <c r="K4769" t="n">
        <v>0</v>
      </c>
      <c r="L4769" t="n">
        <v>0</v>
      </c>
      <c r="M4769" t="n">
        <v>0</v>
      </c>
      <c r="N4769" t="n">
        <v>0</v>
      </c>
      <c r="O4769" t="n">
        <v>0</v>
      </c>
      <c r="P4769" t="n">
        <v>0</v>
      </c>
      <c r="Q4769" t="n">
        <v>0</v>
      </c>
      <c r="R4769" s="2" t="inlineStr"/>
    </row>
    <row r="4770" ht="15" customHeight="1">
      <c r="A4770" t="inlineStr">
        <is>
          <t>A 54477-2023</t>
        </is>
      </c>
      <c r="B4770" s="1" t="n">
        <v>45226</v>
      </c>
      <c r="C4770" s="1" t="n">
        <v>46075</v>
      </c>
      <c r="D4770" t="inlineStr">
        <is>
          <t>VÄSTERBOTTENS LÄN</t>
        </is>
      </c>
      <c r="E4770" t="inlineStr">
        <is>
          <t>ROBERTSFORS</t>
        </is>
      </c>
      <c r="G4770" t="n">
        <v>4.7</v>
      </c>
      <c r="H4770" t="n">
        <v>0</v>
      </c>
      <c r="I4770" t="n">
        <v>0</v>
      </c>
      <c r="J4770" t="n">
        <v>0</v>
      </c>
      <c r="K4770" t="n">
        <v>0</v>
      </c>
      <c r="L4770" t="n">
        <v>0</v>
      </c>
      <c r="M4770" t="n">
        <v>0</v>
      </c>
      <c r="N4770" t="n">
        <v>0</v>
      </c>
      <c r="O4770" t="n">
        <v>0</v>
      </c>
      <c r="P4770" t="n">
        <v>0</v>
      </c>
      <c r="Q4770" t="n">
        <v>0</v>
      </c>
      <c r="R4770" s="2" t="inlineStr"/>
    </row>
    <row r="4771" ht="15" customHeight="1">
      <c r="A4771" t="inlineStr">
        <is>
          <t>A 33795-2025</t>
        </is>
      </c>
      <c r="B4771" s="1" t="n">
        <v>45842.43515046296</v>
      </c>
      <c r="C4771" s="1" t="n">
        <v>46075</v>
      </c>
      <c r="D4771" t="inlineStr">
        <is>
          <t>VÄSTERBOTTENS LÄN</t>
        </is>
      </c>
      <c r="E4771" t="inlineStr">
        <is>
          <t>UMEÅ</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44212-2025</t>
        </is>
      </c>
      <c r="B4772" s="1" t="n">
        <v>45912</v>
      </c>
      <c r="C4772" s="1" t="n">
        <v>46075</v>
      </c>
      <c r="D4772" t="inlineStr">
        <is>
          <t>VÄSTERBOTTENS LÄN</t>
        </is>
      </c>
      <c r="E4772" t="inlineStr">
        <is>
          <t>NORDMALING</t>
        </is>
      </c>
      <c r="G4772" t="n">
        <v>4.1</v>
      </c>
      <c r="H4772" t="n">
        <v>0</v>
      </c>
      <c r="I4772" t="n">
        <v>0</v>
      </c>
      <c r="J4772" t="n">
        <v>0</v>
      </c>
      <c r="K4772" t="n">
        <v>0</v>
      </c>
      <c r="L4772" t="n">
        <v>0</v>
      </c>
      <c r="M4772" t="n">
        <v>0</v>
      </c>
      <c r="N4772" t="n">
        <v>0</v>
      </c>
      <c r="O4772" t="n">
        <v>0</v>
      </c>
      <c r="P4772" t="n">
        <v>0</v>
      </c>
      <c r="Q4772" t="n">
        <v>0</v>
      </c>
      <c r="R4772" s="2" t="inlineStr"/>
    </row>
    <row r="4773" ht="15" customHeight="1">
      <c r="A4773" t="inlineStr">
        <is>
          <t>A 54484-2023</t>
        </is>
      </c>
      <c r="B4773" s="1" t="n">
        <v>45233</v>
      </c>
      <c r="C4773" s="1" t="n">
        <v>46075</v>
      </c>
      <c r="D4773" t="inlineStr">
        <is>
          <t>VÄSTERBOTTENS LÄN</t>
        </is>
      </c>
      <c r="E4773" t="inlineStr">
        <is>
          <t>ROBERTSFORS</t>
        </is>
      </c>
      <c r="F4773" t="inlineStr">
        <is>
          <t>Sveaskog</t>
        </is>
      </c>
      <c r="G4773" t="n">
        <v>3.3</v>
      </c>
      <c r="H4773" t="n">
        <v>0</v>
      </c>
      <c r="I4773" t="n">
        <v>0</v>
      </c>
      <c r="J4773" t="n">
        <v>0</v>
      </c>
      <c r="K4773" t="n">
        <v>0</v>
      </c>
      <c r="L4773" t="n">
        <v>0</v>
      </c>
      <c r="M4773" t="n">
        <v>0</v>
      </c>
      <c r="N4773" t="n">
        <v>0</v>
      </c>
      <c r="O4773" t="n">
        <v>0</v>
      </c>
      <c r="P4773" t="n">
        <v>0</v>
      </c>
      <c r="Q4773" t="n">
        <v>0</v>
      </c>
      <c r="R4773" s="2" t="inlineStr"/>
    </row>
    <row r="4774" ht="15" customHeight="1">
      <c r="A4774" t="inlineStr">
        <is>
          <t>A 2018-2025</t>
        </is>
      </c>
      <c r="B4774" s="1" t="n">
        <v>45672</v>
      </c>
      <c r="C4774" s="1" t="n">
        <v>46075</v>
      </c>
      <c r="D4774" t="inlineStr">
        <is>
          <t>VÄSTERBOTTENS LÄN</t>
        </is>
      </c>
      <c r="E4774" t="inlineStr">
        <is>
          <t>VÄNNÄS</t>
        </is>
      </c>
      <c r="F4774" t="inlineStr">
        <is>
          <t>Kommuner</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2020-2025</t>
        </is>
      </c>
      <c r="B4775" s="1" t="n">
        <v>45672</v>
      </c>
      <c r="C4775" s="1" t="n">
        <v>46075</v>
      </c>
      <c r="D4775" t="inlineStr">
        <is>
          <t>VÄSTERBOTTENS LÄN</t>
        </is>
      </c>
      <c r="E4775" t="inlineStr">
        <is>
          <t>VÄNNÄS</t>
        </is>
      </c>
      <c r="F4775" t="inlineStr">
        <is>
          <t>Kommuner</t>
        </is>
      </c>
      <c r="G4775" t="n">
        <v>3.6</v>
      </c>
      <c r="H4775" t="n">
        <v>0</v>
      </c>
      <c r="I4775" t="n">
        <v>0</v>
      </c>
      <c r="J4775" t="n">
        <v>0</v>
      </c>
      <c r="K4775" t="n">
        <v>0</v>
      </c>
      <c r="L4775" t="n">
        <v>0</v>
      </c>
      <c r="M4775" t="n">
        <v>0</v>
      </c>
      <c r="N4775" t="n">
        <v>0</v>
      </c>
      <c r="O4775" t="n">
        <v>0</v>
      </c>
      <c r="P4775" t="n">
        <v>0</v>
      </c>
      <c r="Q4775" t="n">
        <v>0</v>
      </c>
      <c r="R4775" s="2" t="inlineStr"/>
    </row>
    <row r="4776" ht="15" customHeight="1">
      <c r="A4776" t="inlineStr">
        <is>
          <t>A 33966-2025</t>
        </is>
      </c>
      <c r="B4776" s="1" t="n">
        <v>45842.75030092592</v>
      </c>
      <c r="C4776" s="1" t="n">
        <v>46075</v>
      </c>
      <c r="D4776" t="inlineStr">
        <is>
          <t>VÄSTERBOTTENS LÄN</t>
        </is>
      </c>
      <c r="E4776" t="inlineStr">
        <is>
          <t>LYCKSELE</t>
        </is>
      </c>
      <c r="G4776" t="n">
        <v>12.5</v>
      </c>
      <c r="H4776" t="n">
        <v>0</v>
      </c>
      <c r="I4776" t="n">
        <v>0</v>
      </c>
      <c r="J4776" t="n">
        <v>0</v>
      </c>
      <c r="K4776" t="n">
        <v>0</v>
      </c>
      <c r="L4776" t="n">
        <v>0</v>
      </c>
      <c r="M4776" t="n">
        <v>0</v>
      </c>
      <c r="N4776" t="n">
        <v>0</v>
      </c>
      <c r="O4776" t="n">
        <v>0</v>
      </c>
      <c r="P4776" t="n">
        <v>0</v>
      </c>
      <c r="Q4776" t="n">
        <v>0</v>
      </c>
      <c r="R4776" s="2" t="inlineStr"/>
    </row>
    <row r="4777" ht="15" customHeight="1">
      <c r="A4777" t="inlineStr">
        <is>
          <t>A 33785-2025</t>
        </is>
      </c>
      <c r="B4777" s="1" t="n">
        <v>45842.40923611111</v>
      </c>
      <c r="C4777" s="1" t="n">
        <v>46075</v>
      </c>
      <c r="D4777" t="inlineStr">
        <is>
          <t>VÄSTERBOTTENS LÄN</t>
        </is>
      </c>
      <c r="E4777" t="inlineStr">
        <is>
          <t>SKELLEFTEÅ</t>
        </is>
      </c>
      <c r="F4777" t="inlineStr">
        <is>
          <t>Holmen skog AB</t>
        </is>
      </c>
      <c r="G4777" t="n">
        <v>4</v>
      </c>
      <c r="H4777" t="n">
        <v>0</v>
      </c>
      <c r="I4777" t="n">
        <v>0</v>
      </c>
      <c r="J4777" t="n">
        <v>0</v>
      </c>
      <c r="K4777" t="n">
        <v>0</v>
      </c>
      <c r="L4777" t="n">
        <v>0</v>
      </c>
      <c r="M4777" t="n">
        <v>0</v>
      </c>
      <c r="N4777" t="n">
        <v>0</v>
      </c>
      <c r="O4777" t="n">
        <v>0</v>
      </c>
      <c r="P4777" t="n">
        <v>0</v>
      </c>
      <c r="Q4777" t="n">
        <v>0</v>
      </c>
      <c r="R4777" s="2" t="inlineStr"/>
    </row>
    <row r="4778" ht="15" customHeight="1">
      <c r="A4778" t="inlineStr">
        <is>
          <t>A 12425-2025</t>
        </is>
      </c>
      <c r="B4778" s="1" t="n">
        <v>45730</v>
      </c>
      <c r="C4778" s="1" t="n">
        <v>46075</v>
      </c>
      <c r="D4778" t="inlineStr">
        <is>
          <t>VÄSTERBOTTENS LÄN</t>
        </is>
      </c>
      <c r="E4778" t="inlineStr">
        <is>
          <t>VÄNNÄS</t>
        </is>
      </c>
      <c r="G4778" t="n">
        <v>2.9</v>
      </c>
      <c r="H4778" t="n">
        <v>0</v>
      </c>
      <c r="I4778" t="n">
        <v>0</v>
      </c>
      <c r="J4778" t="n">
        <v>0</v>
      </c>
      <c r="K4778" t="n">
        <v>0</v>
      </c>
      <c r="L4778" t="n">
        <v>0</v>
      </c>
      <c r="M4778" t="n">
        <v>0</v>
      </c>
      <c r="N4778" t="n">
        <v>0</v>
      </c>
      <c r="O4778" t="n">
        <v>0</v>
      </c>
      <c r="P4778" t="n">
        <v>0</v>
      </c>
      <c r="Q4778" t="n">
        <v>0</v>
      </c>
      <c r="R4778" s="2" t="inlineStr"/>
    </row>
    <row r="4779" ht="15" customHeight="1">
      <c r="A4779" t="inlineStr">
        <is>
          <t>A 12430-2025</t>
        </is>
      </c>
      <c r="B4779" s="1" t="n">
        <v>45730.46041666667</v>
      </c>
      <c r="C4779" s="1" t="n">
        <v>46075</v>
      </c>
      <c r="D4779" t="inlineStr">
        <is>
          <t>VÄSTERBOTTENS LÄN</t>
        </is>
      </c>
      <c r="E4779" t="inlineStr">
        <is>
          <t>LYCKSELE</t>
        </is>
      </c>
      <c r="G4779" t="n">
        <v>4.8</v>
      </c>
      <c r="H4779" t="n">
        <v>0</v>
      </c>
      <c r="I4779" t="n">
        <v>0</v>
      </c>
      <c r="J4779" t="n">
        <v>0</v>
      </c>
      <c r="K4779" t="n">
        <v>0</v>
      </c>
      <c r="L4779" t="n">
        <v>0</v>
      </c>
      <c r="M4779" t="n">
        <v>0</v>
      </c>
      <c r="N4779" t="n">
        <v>0</v>
      </c>
      <c r="O4779" t="n">
        <v>0</v>
      </c>
      <c r="P4779" t="n">
        <v>0</v>
      </c>
      <c r="Q4779" t="n">
        <v>0</v>
      </c>
      <c r="R4779" s="2" t="inlineStr"/>
    </row>
    <row r="4780" ht="15" customHeight="1">
      <c r="A4780" t="inlineStr">
        <is>
          <t>A 33800-2025</t>
        </is>
      </c>
      <c r="B4780" s="1" t="n">
        <v>45842.44159722222</v>
      </c>
      <c r="C4780" s="1" t="n">
        <v>46075</v>
      </c>
      <c r="D4780" t="inlineStr">
        <is>
          <t>VÄSTERBOTTENS LÄN</t>
        </is>
      </c>
      <c r="E4780" t="inlineStr">
        <is>
          <t>SKELLEFTEÅ</t>
        </is>
      </c>
      <c r="F4780" t="inlineStr">
        <is>
          <t>Holmen skog AB</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43890-2025</t>
        </is>
      </c>
      <c r="B4781" s="1" t="n">
        <v>45912.7069675926</v>
      </c>
      <c r="C4781" s="1" t="n">
        <v>46075</v>
      </c>
      <c r="D4781" t="inlineStr">
        <is>
          <t>VÄSTERBOTTENS LÄN</t>
        </is>
      </c>
      <c r="E4781" t="inlineStr">
        <is>
          <t>VINDELN</t>
        </is>
      </c>
      <c r="G4781" t="n">
        <v>3</v>
      </c>
      <c r="H4781" t="n">
        <v>0</v>
      </c>
      <c r="I4781" t="n">
        <v>0</v>
      </c>
      <c r="J4781" t="n">
        <v>0</v>
      </c>
      <c r="K4781" t="n">
        <v>0</v>
      </c>
      <c r="L4781" t="n">
        <v>0</v>
      </c>
      <c r="M4781" t="n">
        <v>0</v>
      </c>
      <c r="N4781" t="n">
        <v>0</v>
      </c>
      <c r="O4781" t="n">
        <v>0</v>
      </c>
      <c r="P4781" t="n">
        <v>0</v>
      </c>
      <c r="Q4781" t="n">
        <v>0</v>
      </c>
      <c r="R4781" s="2" t="inlineStr"/>
    </row>
    <row r="4782" ht="15" customHeight="1">
      <c r="A4782" t="inlineStr">
        <is>
          <t>A 44128-2025</t>
        </is>
      </c>
      <c r="B4782" s="1" t="n">
        <v>45915</v>
      </c>
      <c r="C4782" s="1" t="n">
        <v>46075</v>
      </c>
      <c r="D4782" t="inlineStr">
        <is>
          <t>VÄSTERBOTTENS LÄN</t>
        </is>
      </c>
      <c r="E4782" t="inlineStr">
        <is>
          <t>STORUMAN</t>
        </is>
      </c>
      <c r="F4782" t="inlineStr">
        <is>
          <t>Allmännings- och besparingsskogar</t>
        </is>
      </c>
      <c r="G4782" t="n">
        <v>36.5</v>
      </c>
      <c r="H4782" t="n">
        <v>0</v>
      </c>
      <c r="I4782" t="n">
        <v>0</v>
      </c>
      <c r="J4782" t="n">
        <v>0</v>
      </c>
      <c r="K4782" t="n">
        <v>0</v>
      </c>
      <c r="L4782" t="n">
        <v>0</v>
      </c>
      <c r="M4782" t="n">
        <v>0</v>
      </c>
      <c r="N4782" t="n">
        <v>0</v>
      </c>
      <c r="O4782" t="n">
        <v>0</v>
      </c>
      <c r="P4782" t="n">
        <v>0</v>
      </c>
      <c r="Q4782" t="n">
        <v>0</v>
      </c>
      <c r="R4782" s="2" t="inlineStr"/>
    </row>
    <row r="4783" ht="15" customHeight="1">
      <c r="A4783" t="inlineStr">
        <is>
          <t>A 33992-2025</t>
        </is>
      </c>
      <c r="B4783" s="1" t="n">
        <v>45843.61037037037</v>
      </c>
      <c r="C4783" s="1" t="n">
        <v>46075</v>
      </c>
      <c r="D4783" t="inlineStr">
        <is>
          <t>VÄSTERBOTTENS LÄN</t>
        </is>
      </c>
      <c r="E4783" t="inlineStr">
        <is>
          <t>LYCKSELE</t>
        </is>
      </c>
      <c r="F4783" t="inlineStr">
        <is>
          <t>Sveaskog</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44134-2025</t>
        </is>
      </c>
      <c r="B4784" s="1" t="n">
        <v>45915</v>
      </c>
      <c r="C4784" s="1" t="n">
        <v>46075</v>
      </c>
      <c r="D4784" t="inlineStr">
        <is>
          <t>VÄSTERBOTTENS LÄN</t>
        </is>
      </c>
      <c r="E4784" t="inlineStr">
        <is>
          <t>STORUMAN</t>
        </is>
      </c>
      <c r="F4784" t="inlineStr">
        <is>
          <t>Allmännings- och besparingsskogar</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44092-2025</t>
        </is>
      </c>
      <c r="B4785" s="1" t="n">
        <v>45915</v>
      </c>
      <c r="C4785" s="1" t="n">
        <v>46075</v>
      </c>
      <c r="D4785" t="inlineStr">
        <is>
          <t>VÄSTERBOTTENS LÄN</t>
        </is>
      </c>
      <c r="E4785" t="inlineStr">
        <is>
          <t>LYCKSELE</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33711-2025</t>
        </is>
      </c>
      <c r="B4786" s="1" t="n">
        <v>45841.83383101852</v>
      </c>
      <c r="C4786" s="1" t="n">
        <v>46075</v>
      </c>
      <c r="D4786" t="inlineStr">
        <is>
          <t>VÄSTERBOTTENS LÄN</t>
        </is>
      </c>
      <c r="E4786" t="inlineStr">
        <is>
          <t>ÅSELE</t>
        </is>
      </c>
      <c r="G4786" t="n">
        <v>7.7</v>
      </c>
      <c r="H4786" t="n">
        <v>0</v>
      </c>
      <c r="I4786" t="n">
        <v>0</v>
      </c>
      <c r="J4786" t="n">
        <v>0</v>
      </c>
      <c r="K4786" t="n">
        <v>0</v>
      </c>
      <c r="L4786" t="n">
        <v>0</v>
      </c>
      <c r="M4786" t="n">
        <v>0</v>
      </c>
      <c r="N4786" t="n">
        <v>0</v>
      </c>
      <c r="O4786" t="n">
        <v>0</v>
      </c>
      <c r="P4786" t="n">
        <v>0</v>
      </c>
      <c r="Q4786" t="n">
        <v>0</v>
      </c>
      <c r="R4786" s="2" t="inlineStr"/>
    </row>
    <row r="4787" ht="15" customHeight="1">
      <c r="A4787" t="inlineStr">
        <is>
          <t>A 33982-2025</t>
        </is>
      </c>
      <c r="B4787" s="1" t="n">
        <v>45843.36505787037</v>
      </c>
      <c r="C4787" s="1" t="n">
        <v>46075</v>
      </c>
      <c r="D4787" t="inlineStr">
        <is>
          <t>VÄSTERBOTTENS LÄN</t>
        </is>
      </c>
      <c r="E4787" t="inlineStr">
        <is>
          <t>DOROTEA</t>
        </is>
      </c>
      <c r="F4787" t="inlineStr">
        <is>
          <t>SCA</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44113-2025</t>
        </is>
      </c>
      <c r="B4788" s="1" t="n">
        <v>45915.57501157407</v>
      </c>
      <c r="C4788" s="1" t="n">
        <v>46075</v>
      </c>
      <c r="D4788" t="inlineStr">
        <is>
          <t>VÄSTERBOTTENS LÄN</t>
        </is>
      </c>
      <c r="E4788" t="inlineStr">
        <is>
          <t>SKELLEFTEÅ</t>
        </is>
      </c>
      <c r="G4788" t="n">
        <v>3</v>
      </c>
      <c r="H4788" t="n">
        <v>0</v>
      </c>
      <c r="I4788" t="n">
        <v>0</v>
      </c>
      <c r="J4788" t="n">
        <v>0</v>
      </c>
      <c r="K4788" t="n">
        <v>0</v>
      </c>
      <c r="L4788" t="n">
        <v>0</v>
      </c>
      <c r="M4788" t="n">
        <v>0</v>
      </c>
      <c r="N4788" t="n">
        <v>0</v>
      </c>
      <c r="O4788" t="n">
        <v>0</v>
      </c>
      <c r="P4788" t="n">
        <v>0</v>
      </c>
      <c r="Q4788" t="n">
        <v>0</v>
      </c>
      <c r="R4788" s="2" t="inlineStr"/>
    </row>
    <row r="4789" ht="15" customHeight="1">
      <c r="A4789" t="inlineStr">
        <is>
          <t>A 40963-2025</t>
        </is>
      </c>
      <c r="B4789" s="1" t="n">
        <v>45897</v>
      </c>
      <c r="C4789" s="1" t="n">
        <v>46075</v>
      </c>
      <c r="D4789" t="inlineStr">
        <is>
          <t>VÄSTERBOTTENS LÄN</t>
        </is>
      </c>
      <c r="E4789" t="inlineStr">
        <is>
          <t>DOROTEA</t>
        </is>
      </c>
      <c r="G4789" t="n">
        <v>29.5</v>
      </c>
      <c r="H4789" t="n">
        <v>0</v>
      </c>
      <c r="I4789" t="n">
        <v>0</v>
      </c>
      <c r="J4789" t="n">
        <v>0</v>
      </c>
      <c r="K4789" t="n">
        <v>0</v>
      </c>
      <c r="L4789" t="n">
        <v>0</v>
      </c>
      <c r="M4789" t="n">
        <v>0</v>
      </c>
      <c r="N4789" t="n">
        <v>0</v>
      </c>
      <c r="O4789" t="n">
        <v>0</v>
      </c>
      <c r="P4789" t="n">
        <v>0</v>
      </c>
      <c r="Q4789" t="n">
        <v>0</v>
      </c>
      <c r="R4789" s="2" t="inlineStr"/>
    </row>
    <row r="4790" ht="15" customHeight="1">
      <c r="A4790" t="inlineStr">
        <is>
          <t>A 34110-2025</t>
        </is>
      </c>
      <c r="B4790" s="1" t="n">
        <v>45845.49877314815</v>
      </c>
      <c r="C4790" s="1" t="n">
        <v>46075</v>
      </c>
      <c r="D4790" t="inlineStr">
        <is>
          <t>VÄSTERBOTTENS LÄN</t>
        </is>
      </c>
      <c r="E4790" t="inlineStr">
        <is>
          <t>LYCKSELE</t>
        </is>
      </c>
      <c r="F4790" t="inlineStr">
        <is>
          <t>Holmen skog AB</t>
        </is>
      </c>
      <c r="G4790" t="n">
        <v>2.7</v>
      </c>
      <c r="H4790" t="n">
        <v>0</v>
      </c>
      <c r="I4790" t="n">
        <v>0</v>
      </c>
      <c r="J4790" t="n">
        <v>0</v>
      </c>
      <c r="K4790" t="n">
        <v>0</v>
      </c>
      <c r="L4790" t="n">
        <v>0</v>
      </c>
      <c r="M4790" t="n">
        <v>0</v>
      </c>
      <c r="N4790" t="n">
        <v>0</v>
      </c>
      <c r="O4790" t="n">
        <v>0</v>
      </c>
      <c r="P4790" t="n">
        <v>0</v>
      </c>
      <c r="Q4790" t="n">
        <v>0</v>
      </c>
      <c r="R4790" s="2" t="inlineStr"/>
    </row>
    <row r="4791" ht="15" customHeight="1">
      <c r="A4791" t="inlineStr">
        <is>
          <t>A 43660-2025</t>
        </is>
      </c>
      <c r="B4791" s="1" t="n">
        <v>45912</v>
      </c>
      <c r="C4791" s="1" t="n">
        <v>46075</v>
      </c>
      <c r="D4791" t="inlineStr">
        <is>
          <t>VÄSTERBOTTENS LÄN</t>
        </is>
      </c>
      <c r="E4791" t="inlineStr">
        <is>
          <t>LYCKSELE</t>
        </is>
      </c>
      <c r="F4791" t="inlineStr">
        <is>
          <t>Sveaskog</t>
        </is>
      </c>
      <c r="G4791" t="n">
        <v>40</v>
      </c>
      <c r="H4791" t="n">
        <v>0</v>
      </c>
      <c r="I4791" t="n">
        <v>0</v>
      </c>
      <c r="J4791" t="n">
        <v>0</v>
      </c>
      <c r="K4791" t="n">
        <v>0</v>
      </c>
      <c r="L4791" t="n">
        <v>0</v>
      </c>
      <c r="M4791" t="n">
        <v>0</v>
      </c>
      <c r="N4791" t="n">
        <v>0</v>
      </c>
      <c r="O4791" t="n">
        <v>0</v>
      </c>
      <c r="P4791" t="n">
        <v>0</v>
      </c>
      <c r="Q4791" t="n">
        <v>0</v>
      </c>
      <c r="R4791" s="2" t="inlineStr"/>
    </row>
    <row r="4792" ht="15" customHeight="1">
      <c r="A4792" t="inlineStr">
        <is>
          <t>A 43657-2025</t>
        </is>
      </c>
      <c r="B4792" s="1" t="n">
        <v>45912.34260416667</v>
      </c>
      <c r="C4792" s="1" t="n">
        <v>46075</v>
      </c>
      <c r="D4792" t="inlineStr">
        <is>
          <t>VÄSTERBOTTENS LÄN</t>
        </is>
      </c>
      <c r="E4792" t="inlineStr">
        <is>
          <t>ÅSELE</t>
        </is>
      </c>
      <c r="F4792" t="inlineStr">
        <is>
          <t>SCA</t>
        </is>
      </c>
      <c r="G4792" t="n">
        <v>4.2</v>
      </c>
      <c r="H4792" t="n">
        <v>0</v>
      </c>
      <c r="I4792" t="n">
        <v>0</v>
      </c>
      <c r="J4792" t="n">
        <v>0</v>
      </c>
      <c r="K4792" t="n">
        <v>0</v>
      </c>
      <c r="L4792" t="n">
        <v>0</v>
      </c>
      <c r="M4792" t="n">
        <v>0</v>
      </c>
      <c r="N4792" t="n">
        <v>0</v>
      </c>
      <c r="O4792" t="n">
        <v>0</v>
      </c>
      <c r="P4792" t="n">
        <v>0</v>
      </c>
      <c r="Q4792" t="n">
        <v>0</v>
      </c>
      <c r="R4792" s="2" t="inlineStr"/>
    </row>
    <row r="4793" ht="15" customHeight="1">
      <c r="A4793" t="inlineStr">
        <is>
          <t>A 43677-2025</t>
        </is>
      </c>
      <c r="B4793" s="1" t="n">
        <v>45912.3656712963</v>
      </c>
      <c r="C4793" s="1" t="n">
        <v>46075</v>
      </c>
      <c r="D4793" t="inlineStr">
        <is>
          <t>VÄSTERBOTTENS LÄN</t>
        </is>
      </c>
      <c r="E4793" t="inlineStr">
        <is>
          <t>SKELLEFTEÅ</t>
        </is>
      </c>
      <c r="G4793" t="n">
        <v>6.5</v>
      </c>
      <c r="H4793" t="n">
        <v>0</v>
      </c>
      <c r="I4793" t="n">
        <v>0</v>
      </c>
      <c r="J4793" t="n">
        <v>0</v>
      </c>
      <c r="K4793" t="n">
        <v>0</v>
      </c>
      <c r="L4793" t="n">
        <v>0</v>
      </c>
      <c r="M4793" t="n">
        <v>0</v>
      </c>
      <c r="N4793" t="n">
        <v>0</v>
      </c>
      <c r="O4793" t="n">
        <v>0</v>
      </c>
      <c r="P4793" t="n">
        <v>0</v>
      </c>
      <c r="Q4793" t="n">
        <v>0</v>
      </c>
      <c r="R4793" s="2" t="inlineStr"/>
    </row>
    <row r="4794" ht="15" customHeight="1">
      <c r="A4794" t="inlineStr">
        <is>
          <t>A 43683-2025</t>
        </is>
      </c>
      <c r="B4794" s="1" t="n">
        <v>45912.37668981482</v>
      </c>
      <c r="C4794" s="1" t="n">
        <v>46075</v>
      </c>
      <c r="D4794" t="inlineStr">
        <is>
          <t>VÄSTERBOTTENS LÄN</t>
        </is>
      </c>
      <c r="E4794" t="inlineStr">
        <is>
          <t>SKELLEFTEÅ</t>
        </is>
      </c>
      <c r="F4794" t="inlineStr">
        <is>
          <t>Holmen skog AB</t>
        </is>
      </c>
      <c r="G4794" t="n">
        <v>7.3</v>
      </c>
      <c r="H4794" t="n">
        <v>0</v>
      </c>
      <c r="I4794" t="n">
        <v>0</v>
      </c>
      <c r="J4794" t="n">
        <v>0</v>
      </c>
      <c r="K4794" t="n">
        <v>0</v>
      </c>
      <c r="L4794" t="n">
        <v>0</v>
      </c>
      <c r="M4794" t="n">
        <v>0</v>
      </c>
      <c r="N4794" t="n">
        <v>0</v>
      </c>
      <c r="O4794" t="n">
        <v>0</v>
      </c>
      <c r="P4794" t="n">
        <v>0</v>
      </c>
      <c r="Q4794" t="n">
        <v>0</v>
      </c>
      <c r="R4794" s="2" t="inlineStr"/>
    </row>
    <row r="4795" ht="15" customHeight="1">
      <c r="A4795" t="inlineStr">
        <is>
          <t>A 43695-2025</t>
        </is>
      </c>
      <c r="B4795" s="1" t="n">
        <v>45912.39425925926</v>
      </c>
      <c r="C4795" s="1" t="n">
        <v>46075</v>
      </c>
      <c r="D4795" t="inlineStr">
        <is>
          <t>VÄSTERBOTTENS LÄN</t>
        </is>
      </c>
      <c r="E4795" t="inlineStr">
        <is>
          <t>BJURHOLM</t>
        </is>
      </c>
      <c r="F4795" t="inlineStr">
        <is>
          <t>Holmen skog AB</t>
        </is>
      </c>
      <c r="G4795" t="n">
        <v>12.9</v>
      </c>
      <c r="H4795" t="n">
        <v>0</v>
      </c>
      <c r="I4795" t="n">
        <v>0</v>
      </c>
      <c r="J4795" t="n">
        <v>0</v>
      </c>
      <c r="K4795" t="n">
        <v>0</v>
      </c>
      <c r="L4795" t="n">
        <v>0</v>
      </c>
      <c r="M4795" t="n">
        <v>0</v>
      </c>
      <c r="N4795" t="n">
        <v>0</v>
      </c>
      <c r="O4795" t="n">
        <v>0</v>
      </c>
      <c r="P4795" t="n">
        <v>0</v>
      </c>
      <c r="Q4795" t="n">
        <v>0</v>
      </c>
      <c r="R4795" s="2" t="inlineStr"/>
    </row>
    <row r="4796" ht="15" customHeight="1">
      <c r="A4796" t="inlineStr">
        <is>
          <t>A 53320-2021</t>
        </is>
      </c>
      <c r="B4796" s="1" t="n">
        <v>44468.55635416666</v>
      </c>
      <c r="C4796" s="1" t="n">
        <v>46075</v>
      </c>
      <c r="D4796" t="inlineStr">
        <is>
          <t>VÄSTERBOTTENS LÄN</t>
        </is>
      </c>
      <c r="E4796" t="inlineStr">
        <is>
          <t>LYCKSELE</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14343-2025</t>
        </is>
      </c>
      <c r="B4797" s="1" t="n">
        <v>45741.32619212963</v>
      </c>
      <c r="C4797" s="1" t="n">
        <v>46075</v>
      </c>
      <c r="D4797" t="inlineStr">
        <is>
          <t>VÄSTERBOTTENS LÄN</t>
        </is>
      </c>
      <c r="E4797" t="inlineStr">
        <is>
          <t>LYCKSELE</t>
        </is>
      </c>
      <c r="G4797" t="n">
        <v>6.4</v>
      </c>
      <c r="H4797" t="n">
        <v>0</v>
      </c>
      <c r="I4797" t="n">
        <v>0</v>
      </c>
      <c r="J4797" t="n">
        <v>0</v>
      </c>
      <c r="K4797" t="n">
        <v>0</v>
      </c>
      <c r="L4797" t="n">
        <v>0</v>
      </c>
      <c r="M4797" t="n">
        <v>0</v>
      </c>
      <c r="N4797" t="n">
        <v>0</v>
      </c>
      <c r="O4797" t="n">
        <v>0</v>
      </c>
      <c r="P4797" t="n">
        <v>0</v>
      </c>
      <c r="Q4797" t="n">
        <v>0</v>
      </c>
      <c r="R4797" s="2" t="inlineStr"/>
    </row>
    <row r="4798" ht="15" customHeight="1">
      <c r="A4798" t="inlineStr">
        <is>
          <t>A 44102-2025</t>
        </is>
      </c>
      <c r="B4798" s="1" t="n">
        <v>45915</v>
      </c>
      <c r="C4798" s="1" t="n">
        <v>46075</v>
      </c>
      <c r="D4798" t="inlineStr">
        <is>
          <t>VÄSTERBOTTENS LÄN</t>
        </is>
      </c>
      <c r="E4798" t="inlineStr">
        <is>
          <t>STORUMAN</t>
        </is>
      </c>
      <c r="F4798" t="inlineStr">
        <is>
          <t>Allmännings- och besparingsskogar</t>
        </is>
      </c>
      <c r="G4798" t="n">
        <v>29.7</v>
      </c>
      <c r="H4798" t="n">
        <v>0</v>
      </c>
      <c r="I4798" t="n">
        <v>0</v>
      </c>
      <c r="J4798" t="n">
        <v>0</v>
      </c>
      <c r="K4798" t="n">
        <v>0</v>
      </c>
      <c r="L4798" t="n">
        <v>0</v>
      </c>
      <c r="M4798" t="n">
        <v>0</v>
      </c>
      <c r="N4798" t="n">
        <v>0</v>
      </c>
      <c r="O4798" t="n">
        <v>0</v>
      </c>
      <c r="P4798" t="n">
        <v>0</v>
      </c>
      <c r="Q4798" t="n">
        <v>0</v>
      </c>
      <c r="R4798" s="2" t="inlineStr"/>
    </row>
    <row r="4799" ht="15" customHeight="1">
      <c r="A4799" t="inlineStr">
        <is>
          <t>A 44166-2025</t>
        </is>
      </c>
      <c r="B4799" s="1" t="n">
        <v>45915</v>
      </c>
      <c r="C4799" s="1" t="n">
        <v>46075</v>
      </c>
      <c r="D4799" t="inlineStr">
        <is>
          <t>VÄSTERBOTTENS LÄN</t>
        </is>
      </c>
      <c r="E4799" t="inlineStr">
        <is>
          <t>STORUMAN</t>
        </is>
      </c>
      <c r="F4799" t="inlineStr">
        <is>
          <t>Allmännings- och besparingsskogar</t>
        </is>
      </c>
      <c r="G4799" t="n">
        <v>36.3</v>
      </c>
      <c r="H4799" t="n">
        <v>0</v>
      </c>
      <c r="I4799" t="n">
        <v>0</v>
      </c>
      <c r="J4799" t="n">
        <v>0</v>
      </c>
      <c r="K4799" t="n">
        <v>0</v>
      </c>
      <c r="L4799" t="n">
        <v>0</v>
      </c>
      <c r="M4799" t="n">
        <v>0</v>
      </c>
      <c r="N4799" t="n">
        <v>0</v>
      </c>
      <c r="O4799" t="n">
        <v>0</v>
      </c>
      <c r="P4799" t="n">
        <v>0</v>
      </c>
      <c r="Q4799" t="n">
        <v>0</v>
      </c>
      <c r="R4799" s="2" t="inlineStr"/>
    </row>
    <row r="4800" ht="15" customHeight="1">
      <c r="A4800" t="inlineStr">
        <is>
          <t>A 44168-2025</t>
        </is>
      </c>
      <c r="B4800" s="1" t="n">
        <v>45915.59853009259</v>
      </c>
      <c r="C4800" s="1" t="n">
        <v>46075</v>
      </c>
      <c r="D4800" t="inlineStr">
        <is>
          <t>VÄSTERBOTTENS LÄN</t>
        </is>
      </c>
      <c r="E4800" t="inlineStr">
        <is>
          <t>UMEÅ</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65771-2021</t>
        </is>
      </c>
      <c r="B4801" s="1" t="n">
        <v>44516</v>
      </c>
      <c r="C4801" s="1" t="n">
        <v>46075</v>
      </c>
      <c r="D4801" t="inlineStr">
        <is>
          <t>VÄSTERBOTTENS LÄN</t>
        </is>
      </c>
      <c r="E4801" t="inlineStr">
        <is>
          <t>ROBERTSFORS</t>
        </is>
      </c>
      <c r="G4801" t="n">
        <v>5.1</v>
      </c>
      <c r="H4801" t="n">
        <v>0</v>
      </c>
      <c r="I4801" t="n">
        <v>0</v>
      </c>
      <c r="J4801" t="n">
        <v>0</v>
      </c>
      <c r="K4801" t="n">
        <v>0</v>
      </c>
      <c r="L4801" t="n">
        <v>0</v>
      </c>
      <c r="M4801" t="n">
        <v>0</v>
      </c>
      <c r="N4801" t="n">
        <v>0</v>
      </c>
      <c r="O4801" t="n">
        <v>0</v>
      </c>
      <c r="P4801" t="n">
        <v>0</v>
      </c>
      <c r="Q4801" t="n">
        <v>0</v>
      </c>
      <c r="R4801" s="2" t="inlineStr"/>
    </row>
    <row r="4802" ht="15" customHeight="1">
      <c r="A4802" t="inlineStr">
        <is>
          <t>A 56157-2024</t>
        </is>
      </c>
      <c r="B4802" s="1" t="n">
        <v>45623</v>
      </c>
      <c r="C4802" s="1" t="n">
        <v>46075</v>
      </c>
      <c r="D4802" t="inlineStr">
        <is>
          <t>VÄSTERBOTTENS LÄN</t>
        </is>
      </c>
      <c r="E4802" t="inlineStr">
        <is>
          <t>SKELLEFTEÅ</t>
        </is>
      </c>
      <c r="G4802" t="n">
        <v>4.2</v>
      </c>
      <c r="H4802" t="n">
        <v>0</v>
      </c>
      <c r="I4802" t="n">
        <v>0</v>
      </c>
      <c r="J4802" t="n">
        <v>0</v>
      </c>
      <c r="K4802" t="n">
        <v>0</v>
      </c>
      <c r="L4802" t="n">
        <v>0</v>
      </c>
      <c r="M4802" t="n">
        <v>0</v>
      </c>
      <c r="N4802" t="n">
        <v>0</v>
      </c>
      <c r="O4802" t="n">
        <v>0</v>
      </c>
      <c r="P4802" t="n">
        <v>0</v>
      </c>
      <c r="Q4802" t="n">
        <v>0</v>
      </c>
      <c r="R4802" s="2" t="inlineStr"/>
    </row>
    <row r="4803" ht="15" customHeight="1">
      <c r="A4803" t="inlineStr">
        <is>
          <t>A 43828-2025</t>
        </is>
      </c>
      <c r="B4803" s="1" t="n">
        <v>45912.62778935185</v>
      </c>
      <c r="C4803" s="1" t="n">
        <v>46075</v>
      </c>
      <c r="D4803" t="inlineStr">
        <is>
          <t>VÄSTERBOTTENS LÄN</t>
        </is>
      </c>
      <c r="E4803" t="inlineStr">
        <is>
          <t>VINDELN</t>
        </is>
      </c>
      <c r="G4803" t="n">
        <v>3.8</v>
      </c>
      <c r="H4803" t="n">
        <v>0</v>
      </c>
      <c r="I4803" t="n">
        <v>0</v>
      </c>
      <c r="J4803" t="n">
        <v>0</v>
      </c>
      <c r="K4803" t="n">
        <v>0</v>
      </c>
      <c r="L4803" t="n">
        <v>0</v>
      </c>
      <c r="M4803" t="n">
        <v>0</v>
      </c>
      <c r="N4803" t="n">
        <v>0</v>
      </c>
      <c r="O4803" t="n">
        <v>0</v>
      </c>
      <c r="P4803" t="n">
        <v>0</v>
      </c>
      <c r="Q4803" t="n">
        <v>0</v>
      </c>
      <c r="R4803" s="2" t="inlineStr"/>
    </row>
    <row r="4804" ht="15" customHeight="1">
      <c r="A4804" t="inlineStr">
        <is>
          <t>A 44050-2025</t>
        </is>
      </c>
      <c r="B4804" s="1" t="n">
        <v>45915.50104166667</v>
      </c>
      <c r="C4804" s="1" t="n">
        <v>46075</v>
      </c>
      <c r="D4804" t="inlineStr">
        <is>
          <t>VÄSTERBOTTENS LÄN</t>
        </is>
      </c>
      <c r="E4804" t="inlineStr">
        <is>
          <t>VINDELN</t>
        </is>
      </c>
      <c r="F4804" t="inlineStr">
        <is>
          <t>Sveaskog</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34465-2025</t>
        </is>
      </c>
      <c r="B4805" s="1" t="n">
        <v>45847.34548611111</v>
      </c>
      <c r="C4805" s="1" t="n">
        <v>46075</v>
      </c>
      <c r="D4805" t="inlineStr">
        <is>
          <t>VÄSTERBOTTENS LÄN</t>
        </is>
      </c>
      <c r="E4805" t="inlineStr">
        <is>
          <t>LYCKSELE</t>
        </is>
      </c>
      <c r="F4805" t="inlineStr">
        <is>
          <t>SCA</t>
        </is>
      </c>
      <c r="G4805" t="n">
        <v>26</v>
      </c>
      <c r="H4805" t="n">
        <v>0</v>
      </c>
      <c r="I4805" t="n">
        <v>0</v>
      </c>
      <c r="J4805" t="n">
        <v>0</v>
      </c>
      <c r="K4805" t="n">
        <v>0</v>
      </c>
      <c r="L4805" t="n">
        <v>0</v>
      </c>
      <c r="M4805" t="n">
        <v>0</v>
      </c>
      <c r="N4805" t="n">
        <v>0</v>
      </c>
      <c r="O4805" t="n">
        <v>0</v>
      </c>
      <c r="P4805" t="n">
        <v>0</v>
      </c>
      <c r="Q4805" t="n">
        <v>0</v>
      </c>
      <c r="R4805" s="2" t="inlineStr"/>
    </row>
    <row r="4806" ht="15" customHeight="1">
      <c r="A4806" t="inlineStr">
        <is>
          <t>A 44081-2025</t>
        </is>
      </c>
      <c r="B4806" s="1" t="n">
        <v>45915.55290509259</v>
      </c>
      <c r="C4806" s="1" t="n">
        <v>46075</v>
      </c>
      <c r="D4806" t="inlineStr">
        <is>
          <t>VÄSTERBOTTENS LÄN</t>
        </is>
      </c>
      <c r="E4806" t="inlineStr">
        <is>
          <t>UMEÅ</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34274-2025</t>
        </is>
      </c>
      <c r="B4807" s="1" t="n">
        <v>45845.86229166666</v>
      </c>
      <c r="C4807" s="1" t="n">
        <v>46075</v>
      </c>
      <c r="D4807" t="inlineStr">
        <is>
          <t>VÄSTERBOTTENS LÄN</t>
        </is>
      </c>
      <c r="E4807" t="inlineStr">
        <is>
          <t>SKELLEFTEÅ</t>
        </is>
      </c>
      <c r="G4807" t="n">
        <v>15.3</v>
      </c>
      <c r="H4807" t="n">
        <v>0</v>
      </c>
      <c r="I4807" t="n">
        <v>0</v>
      </c>
      <c r="J4807" t="n">
        <v>0</v>
      </c>
      <c r="K4807" t="n">
        <v>0</v>
      </c>
      <c r="L4807" t="n">
        <v>0</v>
      </c>
      <c r="M4807" t="n">
        <v>0</v>
      </c>
      <c r="N4807" t="n">
        <v>0</v>
      </c>
      <c r="O4807" t="n">
        <v>0</v>
      </c>
      <c r="P4807" t="n">
        <v>0</v>
      </c>
      <c r="Q4807" t="n">
        <v>0</v>
      </c>
      <c r="R4807" s="2" t="inlineStr"/>
    </row>
    <row r="4808" ht="15" customHeight="1">
      <c r="A4808" t="inlineStr">
        <is>
          <t>A 43797-2025</t>
        </is>
      </c>
      <c r="B4808" s="1" t="n">
        <v>45912.5659837963</v>
      </c>
      <c r="C4808" s="1" t="n">
        <v>46075</v>
      </c>
      <c r="D4808" t="inlineStr">
        <is>
          <t>VÄSTERBOTTENS LÄN</t>
        </is>
      </c>
      <c r="E4808" t="inlineStr">
        <is>
          <t>SKELLEFTEÅ</t>
        </is>
      </c>
      <c r="F4808" t="inlineStr">
        <is>
          <t>Sveaskog</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43799-2025</t>
        </is>
      </c>
      <c r="B4809" s="1" t="n">
        <v>45912</v>
      </c>
      <c r="C4809" s="1" t="n">
        <v>46075</v>
      </c>
      <c r="D4809" t="inlineStr">
        <is>
          <t>VÄSTERBOTTENS LÄN</t>
        </is>
      </c>
      <c r="E4809" t="inlineStr">
        <is>
          <t>ROBERTSFORS</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26031-2022</t>
        </is>
      </c>
      <c r="B4810" s="1" t="n">
        <v>44734.57721064815</v>
      </c>
      <c r="C4810" s="1" t="n">
        <v>46075</v>
      </c>
      <c r="D4810" t="inlineStr">
        <is>
          <t>VÄSTERBOTTENS LÄN</t>
        </is>
      </c>
      <c r="E4810" t="inlineStr">
        <is>
          <t>SKELLEFTEÅ</t>
        </is>
      </c>
      <c r="G4810" t="n">
        <v>5</v>
      </c>
      <c r="H4810" t="n">
        <v>0</v>
      </c>
      <c r="I4810" t="n">
        <v>0</v>
      </c>
      <c r="J4810" t="n">
        <v>0</v>
      </c>
      <c r="K4810" t="n">
        <v>0</v>
      </c>
      <c r="L4810" t="n">
        <v>0</v>
      </c>
      <c r="M4810" t="n">
        <v>0</v>
      </c>
      <c r="N4810" t="n">
        <v>0</v>
      </c>
      <c r="O4810" t="n">
        <v>0</v>
      </c>
      <c r="P4810" t="n">
        <v>0</v>
      </c>
      <c r="Q4810" t="n">
        <v>0</v>
      </c>
      <c r="R4810" s="2" t="inlineStr"/>
    </row>
    <row r="4811" ht="15" customHeight="1">
      <c r="A4811" t="inlineStr">
        <is>
          <t>A 2370-2024</t>
        </is>
      </c>
      <c r="B4811" s="1" t="n">
        <v>45310</v>
      </c>
      <c r="C4811" s="1" t="n">
        <v>46075</v>
      </c>
      <c r="D4811" t="inlineStr">
        <is>
          <t>VÄSTERBOTTENS LÄN</t>
        </is>
      </c>
      <c r="E4811" t="inlineStr">
        <is>
          <t>NORSJÖ</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34295-2025</t>
        </is>
      </c>
      <c r="B4812" s="1" t="n">
        <v>45846.34438657408</v>
      </c>
      <c r="C4812" s="1" t="n">
        <v>46075</v>
      </c>
      <c r="D4812" t="inlineStr">
        <is>
          <t>VÄSTERBOTTENS LÄN</t>
        </is>
      </c>
      <c r="E4812" t="inlineStr">
        <is>
          <t>ÅSELE</t>
        </is>
      </c>
      <c r="F4812" t="inlineStr">
        <is>
          <t>SCA</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8852-2024</t>
        </is>
      </c>
      <c r="B4813" s="1" t="n">
        <v>45356</v>
      </c>
      <c r="C4813" s="1" t="n">
        <v>46075</v>
      </c>
      <c r="D4813" t="inlineStr">
        <is>
          <t>VÄSTERBOTTENS LÄN</t>
        </is>
      </c>
      <c r="E4813" t="inlineStr">
        <is>
          <t>DOROTEA</t>
        </is>
      </c>
      <c r="G4813" t="n">
        <v>4.4</v>
      </c>
      <c r="H4813" t="n">
        <v>0</v>
      </c>
      <c r="I4813" t="n">
        <v>0</v>
      </c>
      <c r="J4813" t="n">
        <v>0</v>
      </c>
      <c r="K4813" t="n">
        <v>0</v>
      </c>
      <c r="L4813" t="n">
        <v>0</v>
      </c>
      <c r="M4813" t="n">
        <v>0</v>
      </c>
      <c r="N4813" t="n">
        <v>0</v>
      </c>
      <c r="O4813" t="n">
        <v>0</v>
      </c>
      <c r="P4813" t="n">
        <v>0</v>
      </c>
      <c r="Q4813" t="n">
        <v>0</v>
      </c>
      <c r="R4813" s="2" t="inlineStr"/>
    </row>
    <row r="4814" ht="15" customHeight="1">
      <c r="A4814" t="inlineStr">
        <is>
          <t>A 14519-2023</t>
        </is>
      </c>
      <c r="B4814" s="1" t="n">
        <v>45012.92611111111</v>
      </c>
      <c r="C4814" s="1" t="n">
        <v>46075</v>
      </c>
      <c r="D4814" t="inlineStr">
        <is>
          <t>VÄSTERBOTTENS LÄN</t>
        </is>
      </c>
      <c r="E4814" t="inlineStr">
        <is>
          <t>NORDMALING</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44096-2025</t>
        </is>
      </c>
      <c r="B4815" s="1" t="n">
        <v>45915</v>
      </c>
      <c r="C4815" s="1" t="n">
        <v>46075</v>
      </c>
      <c r="D4815" t="inlineStr">
        <is>
          <t>VÄSTERBOTTENS LÄN</t>
        </is>
      </c>
      <c r="E4815" t="inlineStr">
        <is>
          <t>STORUMAN</t>
        </is>
      </c>
      <c r="F4815" t="inlineStr">
        <is>
          <t>Allmännings- och besparingsskogar</t>
        </is>
      </c>
      <c r="G4815" t="n">
        <v>50.8</v>
      </c>
      <c r="H4815" t="n">
        <v>0</v>
      </c>
      <c r="I4815" t="n">
        <v>0</v>
      </c>
      <c r="J4815" t="n">
        <v>0</v>
      </c>
      <c r="K4815" t="n">
        <v>0</v>
      </c>
      <c r="L4815" t="n">
        <v>0</v>
      </c>
      <c r="M4815" t="n">
        <v>0</v>
      </c>
      <c r="N4815" t="n">
        <v>0</v>
      </c>
      <c r="O4815" t="n">
        <v>0</v>
      </c>
      <c r="P4815" t="n">
        <v>0</v>
      </c>
      <c r="Q4815" t="n">
        <v>0</v>
      </c>
      <c r="R4815" s="2" t="inlineStr"/>
    </row>
    <row r="4816" ht="15" customHeight="1">
      <c r="A4816" t="inlineStr">
        <is>
          <t>A 44101-2025</t>
        </is>
      </c>
      <c r="B4816" s="1" t="n">
        <v>45915.56788194444</v>
      </c>
      <c r="C4816" s="1" t="n">
        <v>46075</v>
      </c>
      <c r="D4816" t="inlineStr">
        <is>
          <t>VÄSTERBOTTENS LÄN</t>
        </is>
      </c>
      <c r="E4816" t="inlineStr">
        <is>
          <t>SKELLEFTEÅ</t>
        </is>
      </c>
      <c r="G4816" t="n">
        <v>3.6</v>
      </c>
      <c r="H4816" t="n">
        <v>0</v>
      </c>
      <c r="I4816" t="n">
        <v>0</v>
      </c>
      <c r="J4816" t="n">
        <v>0</v>
      </c>
      <c r="K4816" t="n">
        <v>0</v>
      </c>
      <c r="L4816" t="n">
        <v>0</v>
      </c>
      <c r="M4816" t="n">
        <v>0</v>
      </c>
      <c r="N4816" t="n">
        <v>0</v>
      </c>
      <c r="O4816" t="n">
        <v>0</v>
      </c>
      <c r="P4816" t="n">
        <v>0</v>
      </c>
      <c r="Q4816" t="n">
        <v>0</v>
      </c>
      <c r="R4816" s="2" t="inlineStr"/>
    </row>
    <row r="4817" ht="15" customHeight="1">
      <c r="A4817" t="inlineStr">
        <is>
          <t>A 34315-2025</t>
        </is>
      </c>
      <c r="B4817" s="1" t="n">
        <v>45846.4034837963</v>
      </c>
      <c r="C4817" s="1" t="n">
        <v>46075</v>
      </c>
      <c r="D4817" t="inlineStr">
        <is>
          <t>VÄSTERBOTTENS LÄN</t>
        </is>
      </c>
      <c r="E4817" t="inlineStr">
        <is>
          <t>SKELLEFTEÅ</t>
        </is>
      </c>
      <c r="G4817" t="n">
        <v>10.8</v>
      </c>
      <c r="H4817" t="n">
        <v>0</v>
      </c>
      <c r="I4817" t="n">
        <v>0</v>
      </c>
      <c r="J4817" t="n">
        <v>0</v>
      </c>
      <c r="K4817" t="n">
        <v>0</v>
      </c>
      <c r="L4817" t="n">
        <v>0</v>
      </c>
      <c r="M4817" t="n">
        <v>0</v>
      </c>
      <c r="N4817" t="n">
        <v>0</v>
      </c>
      <c r="O4817" t="n">
        <v>0</v>
      </c>
      <c r="P4817" t="n">
        <v>0</v>
      </c>
      <c r="Q4817" t="n">
        <v>0</v>
      </c>
      <c r="R4817" s="2" t="inlineStr"/>
    </row>
    <row r="4818" ht="15" customHeight="1">
      <c r="A4818" t="inlineStr">
        <is>
          <t>A 34347-2025</t>
        </is>
      </c>
      <c r="B4818" s="1" t="n">
        <v>45846.4693287037</v>
      </c>
      <c r="C4818" s="1" t="n">
        <v>46075</v>
      </c>
      <c r="D4818" t="inlineStr">
        <is>
          <t>VÄSTERBOTTENS LÄN</t>
        </is>
      </c>
      <c r="E4818" t="inlineStr">
        <is>
          <t>BJURHOLM</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28906-2024</t>
        </is>
      </c>
      <c r="B4819" s="1" t="n">
        <v>45480.57652777778</v>
      </c>
      <c r="C4819" s="1" t="n">
        <v>46075</v>
      </c>
      <c r="D4819" t="inlineStr">
        <is>
          <t>VÄSTERBOTTENS LÄN</t>
        </is>
      </c>
      <c r="E4819" t="inlineStr">
        <is>
          <t>ROBERTSFORS</t>
        </is>
      </c>
      <c r="G4819" t="n">
        <v>3.5</v>
      </c>
      <c r="H4819" t="n">
        <v>0</v>
      </c>
      <c r="I4819" t="n">
        <v>0</v>
      </c>
      <c r="J4819" t="n">
        <v>0</v>
      </c>
      <c r="K4819" t="n">
        <v>0</v>
      </c>
      <c r="L4819" t="n">
        <v>0</v>
      </c>
      <c r="M4819" t="n">
        <v>0</v>
      </c>
      <c r="N4819" t="n">
        <v>0</v>
      </c>
      <c r="O4819" t="n">
        <v>0</v>
      </c>
      <c r="P4819" t="n">
        <v>0</v>
      </c>
      <c r="Q4819" t="n">
        <v>0</v>
      </c>
      <c r="R4819" s="2" t="inlineStr"/>
    </row>
    <row r="4820" ht="15" customHeight="1">
      <c r="A4820" t="inlineStr">
        <is>
          <t>A 30681-2024</t>
        </is>
      </c>
      <c r="B4820" s="1" t="n">
        <v>45495.9509837963</v>
      </c>
      <c r="C4820" s="1" t="n">
        <v>46075</v>
      </c>
      <c r="D4820" t="inlineStr">
        <is>
          <t>VÄSTERBOTTENS LÄN</t>
        </is>
      </c>
      <c r="E4820" t="inlineStr">
        <is>
          <t>VILHELMINA</t>
        </is>
      </c>
      <c r="F4820" t="inlineStr">
        <is>
          <t>SCA</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37326-2023</t>
        </is>
      </c>
      <c r="B4821" s="1" t="n">
        <v>45154</v>
      </c>
      <c r="C4821" s="1" t="n">
        <v>46075</v>
      </c>
      <c r="D4821" t="inlineStr">
        <is>
          <t>VÄSTERBOTTENS LÄN</t>
        </is>
      </c>
      <c r="E4821" t="inlineStr">
        <is>
          <t>MALÅ</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34457-2025</t>
        </is>
      </c>
      <c r="B4822" s="1" t="n">
        <v>45846</v>
      </c>
      <c r="C4822" s="1" t="n">
        <v>46075</v>
      </c>
      <c r="D4822" t="inlineStr">
        <is>
          <t>VÄSTERBOTTENS LÄN</t>
        </is>
      </c>
      <c r="E4822" t="inlineStr">
        <is>
          <t>NORSJÖ</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55654-2024</t>
        </is>
      </c>
      <c r="B4823" s="1" t="n">
        <v>45621</v>
      </c>
      <c r="C4823" s="1" t="n">
        <v>46075</v>
      </c>
      <c r="D4823" t="inlineStr">
        <is>
          <t>VÄSTERBOTTENS LÄN</t>
        </is>
      </c>
      <c r="E4823" t="inlineStr">
        <is>
          <t>SKELLEFTEÅ</t>
        </is>
      </c>
      <c r="G4823" t="n">
        <v>3.2</v>
      </c>
      <c r="H4823" t="n">
        <v>0</v>
      </c>
      <c r="I4823" t="n">
        <v>0</v>
      </c>
      <c r="J4823" t="n">
        <v>0</v>
      </c>
      <c r="K4823" t="n">
        <v>0</v>
      </c>
      <c r="L4823" t="n">
        <v>0</v>
      </c>
      <c r="M4823" t="n">
        <v>0</v>
      </c>
      <c r="N4823" t="n">
        <v>0</v>
      </c>
      <c r="O4823" t="n">
        <v>0</v>
      </c>
      <c r="P4823" t="n">
        <v>0</v>
      </c>
      <c r="Q4823" t="n">
        <v>0</v>
      </c>
      <c r="R4823" s="2" t="inlineStr"/>
    </row>
    <row r="4824" ht="15" customHeight="1">
      <c r="A4824" t="inlineStr">
        <is>
          <t>A 43687-2025</t>
        </is>
      </c>
      <c r="B4824" s="1" t="n">
        <v>45912</v>
      </c>
      <c r="C4824" s="1" t="n">
        <v>46075</v>
      </c>
      <c r="D4824" t="inlineStr">
        <is>
          <t>VÄSTERBOTTENS LÄN</t>
        </is>
      </c>
      <c r="E4824" t="inlineStr">
        <is>
          <t>UMEÅ</t>
        </is>
      </c>
      <c r="F4824" t="inlineStr">
        <is>
          <t>Holmen skog AB</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34504-2025</t>
        </is>
      </c>
      <c r="B4825" s="1" t="n">
        <v>45847.43788194445</v>
      </c>
      <c r="C4825" s="1" t="n">
        <v>46075</v>
      </c>
      <c r="D4825" t="inlineStr">
        <is>
          <t>VÄSTERBOTTENS LÄN</t>
        </is>
      </c>
      <c r="E4825" t="inlineStr">
        <is>
          <t>LYCKSELE</t>
        </is>
      </c>
      <c r="F4825" t="inlineStr">
        <is>
          <t>Holmen skog AB</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43697-2025</t>
        </is>
      </c>
      <c r="B4826" s="1" t="n">
        <v>45912.39591435185</v>
      </c>
      <c r="C4826" s="1" t="n">
        <v>46075</v>
      </c>
      <c r="D4826" t="inlineStr">
        <is>
          <t>VÄSTERBOTTENS LÄN</t>
        </is>
      </c>
      <c r="E4826" t="inlineStr">
        <is>
          <t>UMEÅ</t>
        </is>
      </c>
      <c r="G4826" t="n">
        <v>8.199999999999999</v>
      </c>
      <c r="H4826" t="n">
        <v>0</v>
      </c>
      <c r="I4826" t="n">
        <v>0</v>
      </c>
      <c r="J4826" t="n">
        <v>0</v>
      </c>
      <c r="K4826" t="n">
        <v>0</v>
      </c>
      <c r="L4826" t="n">
        <v>0</v>
      </c>
      <c r="M4826" t="n">
        <v>0</v>
      </c>
      <c r="N4826" t="n">
        <v>0</v>
      </c>
      <c r="O4826" t="n">
        <v>0</v>
      </c>
      <c r="P4826" t="n">
        <v>0</v>
      </c>
      <c r="Q4826" t="n">
        <v>0</v>
      </c>
      <c r="R4826" s="2" t="inlineStr"/>
    </row>
    <row r="4827" ht="15" customHeight="1">
      <c r="A4827" t="inlineStr">
        <is>
          <t>A 43708-2025</t>
        </is>
      </c>
      <c r="B4827" s="1" t="n">
        <v>45912.40680555555</v>
      </c>
      <c r="C4827" s="1" t="n">
        <v>46075</v>
      </c>
      <c r="D4827" t="inlineStr">
        <is>
          <t>VÄSTERBOTTENS LÄN</t>
        </is>
      </c>
      <c r="E4827" t="inlineStr">
        <is>
          <t>UMEÅ</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44194-2025</t>
        </is>
      </c>
      <c r="B4828" s="1" t="n">
        <v>45915.61606481481</v>
      </c>
      <c r="C4828" s="1" t="n">
        <v>46075</v>
      </c>
      <c r="D4828" t="inlineStr">
        <is>
          <t>VÄSTERBOTTENS LÄN</t>
        </is>
      </c>
      <c r="E4828" t="inlineStr">
        <is>
          <t>DOROTEA</t>
        </is>
      </c>
      <c r="F4828" t="inlineStr">
        <is>
          <t>SCA</t>
        </is>
      </c>
      <c r="G4828" t="n">
        <v>8.4</v>
      </c>
      <c r="H4828" t="n">
        <v>0</v>
      </c>
      <c r="I4828" t="n">
        <v>0</v>
      </c>
      <c r="J4828" t="n">
        <v>0</v>
      </c>
      <c r="K4828" t="n">
        <v>0</v>
      </c>
      <c r="L4828" t="n">
        <v>0</v>
      </c>
      <c r="M4828" t="n">
        <v>0</v>
      </c>
      <c r="N4828" t="n">
        <v>0</v>
      </c>
      <c r="O4828" t="n">
        <v>0</v>
      </c>
      <c r="P4828" t="n">
        <v>0</v>
      </c>
      <c r="Q4828" t="n">
        <v>0</v>
      </c>
      <c r="R4828" s="2" t="inlineStr"/>
    </row>
    <row r="4829" ht="15" customHeight="1">
      <c r="A4829" t="inlineStr">
        <is>
          <t>A 61151-2024</t>
        </is>
      </c>
      <c r="B4829" s="1" t="n">
        <v>45645.58835648148</v>
      </c>
      <c r="C4829" s="1" t="n">
        <v>46075</v>
      </c>
      <c r="D4829" t="inlineStr">
        <is>
          <t>VÄSTERBOTTENS LÄN</t>
        </is>
      </c>
      <c r="E4829" t="inlineStr">
        <is>
          <t>BJURHOLM</t>
        </is>
      </c>
      <c r="G4829" t="n">
        <v>8</v>
      </c>
      <c r="H4829" t="n">
        <v>0</v>
      </c>
      <c r="I4829" t="n">
        <v>0</v>
      </c>
      <c r="J4829" t="n">
        <v>0</v>
      </c>
      <c r="K4829" t="n">
        <v>0</v>
      </c>
      <c r="L4829" t="n">
        <v>0</v>
      </c>
      <c r="M4829" t="n">
        <v>0</v>
      </c>
      <c r="N4829" t="n">
        <v>0</v>
      </c>
      <c r="O4829" t="n">
        <v>0</v>
      </c>
      <c r="P4829" t="n">
        <v>0</v>
      </c>
      <c r="Q4829" t="n">
        <v>0</v>
      </c>
      <c r="R4829" s="2" t="inlineStr"/>
    </row>
    <row r="4830" ht="15" customHeight="1">
      <c r="A4830" t="inlineStr">
        <is>
          <t>A 43876-2025</t>
        </is>
      </c>
      <c r="B4830" s="1" t="n">
        <v>45912.67747685185</v>
      </c>
      <c r="C4830" s="1" t="n">
        <v>46075</v>
      </c>
      <c r="D4830" t="inlineStr">
        <is>
          <t>VÄSTERBOTTENS LÄN</t>
        </is>
      </c>
      <c r="E4830" t="inlineStr">
        <is>
          <t>DOROTEA</t>
        </is>
      </c>
      <c r="F4830" t="inlineStr">
        <is>
          <t>SCA</t>
        </is>
      </c>
      <c r="G4830" t="n">
        <v>2.3</v>
      </c>
      <c r="H4830" t="n">
        <v>0</v>
      </c>
      <c r="I4830" t="n">
        <v>0</v>
      </c>
      <c r="J4830" t="n">
        <v>0</v>
      </c>
      <c r="K4830" t="n">
        <v>0</v>
      </c>
      <c r="L4830" t="n">
        <v>0</v>
      </c>
      <c r="M4830" t="n">
        <v>0</v>
      </c>
      <c r="N4830" t="n">
        <v>0</v>
      </c>
      <c r="O4830" t="n">
        <v>0</v>
      </c>
      <c r="P4830" t="n">
        <v>0</v>
      </c>
      <c r="Q4830" t="n">
        <v>0</v>
      </c>
      <c r="R4830" s="2" t="inlineStr"/>
    </row>
    <row r="4831" ht="15" customHeight="1">
      <c r="A4831" t="inlineStr">
        <is>
          <t>A 34471-2025</t>
        </is>
      </c>
      <c r="B4831" s="1" t="n">
        <v>45847</v>
      </c>
      <c r="C4831" s="1" t="n">
        <v>46075</v>
      </c>
      <c r="D4831" t="inlineStr">
        <is>
          <t>VÄSTERBOTTENS LÄN</t>
        </is>
      </c>
      <c r="E4831" t="inlineStr">
        <is>
          <t>SKELLEFTEÅ</t>
        </is>
      </c>
      <c r="G4831" t="n">
        <v>7.7</v>
      </c>
      <c r="H4831" t="n">
        <v>0</v>
      </c>
      <c r="I4831" t="n">
        <v>0</v>
      </c>
      <c r="J4831" t="n">
        <v>0</v>
      </c>
      <c r="K4831" t="n">
        <v>0</v>
      </c>
      <c r="L4831" t="n">
        <v>0</v>
      </c>
      <c r="M4831" t="n">
        <v>0</v>
      </c>
      <c r="N4831" t="n">
        <v>0</v>
      </c>
      <c r="O4831" t="n">
        <v>0</v>
      </c>
      <c r="P4831" t="n">
        <v>0</v>
      </c>
      <c r="Q4831" t="n">
        <v>0</v>
      </c>
      <c r="R4831" s="2" t="inlineStr"/>
    </row>
    <row r="4832" ht="15" customHeight="1">
      <c r="A4832" t="inlineStr">
        <is>
          <t>A 10954-2025</t>
        </is>
      </c>
      <c r="B4832" s="1" t="n">
        <v>45723.36034722222</v>
      </c>
      <c r="C4832" s="1" t="n">
        <v>46075</v>
      </c>
      <c r="D4832" t="inlineStr">
        <is>
          <t>VÄSTERBOTTENS LÄN</t>
        </is>
      </c>
      <c r="E4832" t="inlineStr">
        <is>
          <t>BJURHOLM</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44208-2025</t>
        </is>
      </c>
      <c r="B4833" s="1" t="n">
        <v>45915.62952546297</v>
      </c>
      <c r="C4833" s="1" t="n">
        <v>46075</v>
      </c>
      <c r="D4833" t="inlineStr">
        <is>
          <t>VÄSTERBOTTENS LÄN</t>
        </is>
      </c>
      <c r="E4833" t="inlineStr">
        <is>
          <t>ÅSELE</t>
        </is>
      </c>
      <c r="F4833" t="inlineStr">
        <is>
          <t>Naturvårdsverket</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34489-2025</t>
        </is>
      </c>
      <c r="B4834" s="1" t="n">
        <v>45847.40707175926</v>
      </c>
      <c r="C4834" s="1" t="n">
        <v>46075</v>
      </c>
      <c r="D4834" t="inlineStr">
        <is>
          <t>VÄSTERBOTTENS LÄN</t>
        </is>
      </c>
      <c r="E4834" t="inlineStr">
        <is>
          <t>DOROTEA</t>
        </is>
      </c>
      <c r="F4834" t="inlineStr">
        <is>
          <t>SCA</t>
        </is>
      </c>
      <c r="G4834" t="n">
        <v>8.6</v>
      </c>
      <c r="H4834" t="n">
        <v>0</v>
      </c>
      <c r="I4834" t="n">
        <v>0</v>
      </c>
      <c r="J4834" t="n">
        <v>0</v>
      </c>
      <c r="K4834" t="n">
        <v>0</v>
      </c>
      <c r="L4834" t="n">
        <v>0</v>
      </c>
      <c r="M4834" t="n">
        <v>0</v>
      </c>
      <c r="N4834" t="n">
        <v>0</v>
      </c>
      <c r="O4834" t="n">
        <v>0</v>
      </c>
      <c r="P4834" t="n">
        <v>0</v>
      </c>
      <c r="Q4834" t="n">
        <v>0</v>
      </c>
      <c r="R4834" s="2" t="inlineStr"/>
    </row>
    <row r="4835" ht="15" customHeight="1">
      <c r="A4835" t="inlineStr">
        <is>
          <t>A 53233-2024</t>
        </is>
      </c>
      <c r="B4835" s="1" t="n">
        <v>45613.74923611111</v>
      </c>
      <c r="C4835" s="1" t="n">
        <v>46075</v>
      </c>
      <c r="D4835" t="inlineStr">
        <is>
          <t>VÄSTERBOTTENS LÄN</t>
        </is>
      </c>
      <c r="E4835" t="inlineStr">
        <is>
          <t>LYCKSELE</t>
        </is>
      </c>
      <c r="F4835" t="inlineStr">
        <is>
          <t>Sveaskog</t>
        </is>
      </c>
      <c r="G4835" t="n">
        <v>6</v>
      </c>
      <c r="H4835" t="n">
        <v>0</v>
      </c>
      <c r="I4835" t="n">
        <v>0</v>
      </c>
      <c r="J4835" t="n">
        <v>0</v>
      </c>
      <c r="K4835" t="n">
        <v>0</v>
      </c>
      <c r="L4835" t="n">
        <v>0</v>
      </c>
      <c r="M4835" t="n">
        <v>0</v>
      </c>
      <c r="N4835" t="n">
        <v>0</v>
      </c>
      <c r="O4835" t="n">
        <v>0</v>
      </c>
      <c r="P4835" t="n">
        <v>0</v>
      </c>
      <c r="Q4835" t="n">
        <v>0</v>
      </c>
      <c r="R4835" s="2" t="inlineStr"/>
    </row>
    <row r="4836" ht="15" customHeight="1">
      <c r="A4836" t="inlineStr">
        <is>
          <t>A 43724-2025</t>
        </is>
      </c>
      <c r="B4836" s="1" t="n">
        <v>45912.42877314815</v>
      </c>
      <c r="C4836" s="1" t="n">
        <v>46075</v>
      </c>
      <c r="D4836" t="inlineStr">
        <is>
          <t>VÄSTERBOTTENS LÄN</t>
        </is>
      </c>
      <c r="E4836" t="inlineStr">
        <is>
          <t>MALÅ</t>
        </is>
      </c>
      <c r="G4836" t="n">
        <v>7.1</v>
      </c>
      <c r="H4836" t="n">
        <v>0</v>
      </c>
      <c r="I4836" t="n">
        <v>0</v>
      </c>
      <c r="J4836" t="n">
        <v>0</v>
      </c>
      <c r="K4836" t="n">
        <v>0</v>
      </c>
      <c r="L4836" t="n">
        <v>0</v>
      </c>
      <c r="M4836" t="n">
        <v>0</v>
      </c>
      <c r="N4836" t="n">
        <v>0</v>
      </c>
      <c r="O4836" t="n">
        <v>0</v>
      </c>
      <c r="P4836" t="n">
        <v>0</v>
      </c>
      <c r="Q4836" t="n">
        <v>0</v>
      </c>
      <c r="R4836" s="2" t="inlineStr"/>
    </row>
    <row r="4837" ht="15" customHeight="1">
      <c r="A4837" t="inlineStr">
        <is>
          <t>A 43788-2025</t>
        </is>
      </c>
      <c r="B4837" s="1" t="n">
        <v>45912</v>
      </c>
      <c r="C4837" s="1" t="n">
        <v>46075</v>
      </c>
      <c r="D4837" t="inlineStr">
        <is>
          <t>VÄSTERBOTTENS LÄN</t>
        </is>
      </c>
      <c r="E4837" t="inlineStr">
        <is>
          <t>LYCKSELE</t>
        </is>
      </c>
      <c r="F4837" t="inlineStr">
        <is>
          <t>Holmen skog AB</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43931-2025</t>
        </is>
      </c>
      <c r="B4838" s="1" t="n">
        <v>45915.33216435185</v>
      </c>
      <c r="C4838" s="1" t="n">
        <v>46075</v>
      </c>
      <c r="D4838" t="inlineStr">
        <is>
          <t>VÄSTERBOTTENS LÄN</t>
        </is>
      </c>
      <c r="E4838" t="inlineStr">
        <is>
          <t>LYCKSELE</t>
        </is>
      </c>
      <c r="F4838" t="inlineStr">
        <is>
          <t>Sveaskog</t>
        </is>
      </c>
      <c r="G4838" t="n">
        <v>9.9</v>
      </c>
      <c r="H4838" t="n">
        <v>0</v>
      </c>
      <c r="I4838" t="n">
        <v>0</v>
      </c>
      <c r="J4838" t="n">
        <v>0</v>
      </c>
      <c r="K4838" t="n">
        <v>0</v>
      </c>
      <c r="L4838" t="n">
        <v>0</v>
      </c>
      <c r="M4838" t="n">
        <v>0</v>
      </c>
      <c r="N4838" t="n">
        <v>0</v>
      </c>
      <c r="O4838" t="n">
        <v>0</v>
      </c>
      <c r="P4838" t="n">
        <v>0</v>
      </c>
      <c r="Q4838" t="n">
        <v>0</v>
      </c>
      <c r="R4838" s="2" t="inlineStr"/>
    </row>
    <row r="4839" ht="15" customHeight="1">
      <c r="A4839" t="inlineStr">
        <is>
          <t>A 34488-2025</t>
        </is>
      </c>
      <c r="B4839" s="1" t="n">
        <v>45847.40681712963</v>
      </c>
      <c r="C4839" s="1" t="n">
        <v>46075</v>
      </c>
      <c r="D4839" t="inlineStr">
        <is>
          <t>VÄSTERBOTTENS LÄN</t>
        </is>
      </c>
      <c r="E4839" t="inlineStr">
        <is>
          <t>DOROTEA</t>
        </is>
      </c>
      <c r="F4839" t="inlineStr">
        <is>
          <t>SCA</t>
        </is>
      </c>
      <c r="G4839" t="n">
        <v>0.4</v>
      </c>
      <c r="H4839" t="n">
        <v>0</v>
      </c>
      <c r="I4839" t="n">
        <v>0</v>
      </c>
      <c r="J4839" t="n">
        <v>0</v>
      </c>
      <c r="K4839" t="n">
        <v>0</v>
      </c>
      <c r="L4839" t="n">
        <v>0</v>
      </c>
      <c r="M4839" t="n">
        <v>0</v>
      </c>
      <c r="N4839" t="n">
        <v>0</v>
      </c>
      <c r="O4839" t="n">
        <v>0</v>
      </c>
      <c r="P4839" t="n">
        <v>0</v>
      </c>
      <c r="Q4839" t="n">
        <v>0</v>
      </c>
      <c r="R4839" s="2" t="inlineStr"/>
    </row>
    <row r="4840" ht="15" customHeight="1">
      <c r="A4840" t="inlineStr">
        <is>
          <t>A 34273-2025</t>
        </is>
      </c>
      <c r="B4840" s="1" t="n">
        <v>45845.85751157408</v>
      </c>
      <c r="C4840" s="1" t="n">
        <v>46075</v>
      </c>
      <c r="D4840" t="inlineStr">
        <is>
          <t>VÄSTERBOTTENS LÄN</t>
        </is>
      </c>
      <c r="E4840" t="inlineStr">
        <is>
          <t>SKELLEFTEÅ</t>
        </is>
      </c>
      <c r="G4840" t="n">
        <v>28.4</v>
      </c>
      <c r="H4840" t="n">
        <v>0</v>
      </c>
      <c r="I4840" t="n">
        <v>0</v>
      </c>
      <c r="J4840" t="n">
        <v>0</v>
      </c>
      <c r="K4840" t="n">
        <v>0</v>
      </c>
      <c r="L4840" t="n">
        <v>0</v>
      </c>
      <c r="M4840" t="n">
        <v>0</v>
      </c>
      <c r="N4840" t="n">
        <v>0</v>
      </c>
      <c r="O4840" t="n">
        <v>0</v>
      </c>
      <c r="P4840" t="n">
        <v>0</v>
      </c>
      <c r="Q4840" t="n">
        <v>0</v>
      </c>
      <c r="R4840" s="2" t="inlineStr"/>
    </row>
    <row r="4841" ht="15" customHeight="1">
      <c r="A4841" t="inlineStr">
        <is>
          <t>A 34279-2025</t>
        </is>
      </c>
      <c r="B4841" s="1" t="n">
        <v>45846.26190972222</v>
      </c>
      <c r="C4841" s="1" t="n">
        <v>46075</v>
      </c>
      <c r="D4841" t="inlineStr">
        <is>
          <t>VÄSTERBOTTENS LÄN</t>
        </is>
      </c>
      <c r="E4841" t="inlineStr">
        <is>
          <t>DOROTEA</t>
        </is>
      </c>
      <c r="G4841" t="n">
        <v>4.2</v>
      </c>
      <c r="H4841" t="n">
        <v>0</v>
      </c>
      <c r="I4841" t="n">
        <v>0</v>
      </c>
      <c r="J4841" t="n">
        <v>0</v>
      </c>
      <c r="K4841" t="n">
        <v>0</v>
      </c>
      <c r="L4841" t="n">
        <v>0</v>
      </c>
      <c r="M4841" t="n">
        <v>0</v>
      </c>
      <c r="N4841" t="n">
        <v>0</v>
      </c>
      <c r="O4841" t="n">
        <v>0</v>
      </c>
      <c r="P4841" t="n">
        <v>0</v>
      </c>
      <c r="Q4841" t="n">
        <v>0</v>
      </c>
      <c r="R4841" s="2" t="inlineStr"/>
    </row>
    <row r="4842" ht="15" customHeight="1">
      <c r="A4842" t="inlineStr">
        <is>
          <t>A 34336-2025</t>
        </is>
      </c>
      <c r="B4842" s="1" t="n">
        <v>45846.45319444445</v>
      </c>
      <c r="C4842" s="1" t="n">
        <v>46075</v>
      </c>
      <c r="D4842" t="inlineStr">
        <is>
          <t>VÄSTERBOTTENS LÄN</t>
        </is>
      </c>
      <c r="E4842" t="inlineStr">
        <is>
          <t>BJURHOLM</t>
        </is>
      </c>
      <c r="G4842" t="n">
        <v>0.4</v>
      </c>
      <c r="H4842" t="n">
        <v>0</v>
      </c>
      <c r="I4842" t="n">
        <v>0</v>
      </c>
      <c r="J4842" t="n">
        <v>0</v>
      </c>
      <c r="K4842" t="n">
        <v>0</v>
      </c>
      <c r="L4842" t="n">
        <v>0</v>
      </c>
      <c r="M4842" t="n">
        <v>0</v>
      </c>
      <c r="N4842" t="n">
        <v>0</v>
      </c>
      <c r="O4842" t="n">
        <v>0</v>
      </c>
      <c r="P4842" t="n">
        <v>0</v>
      </c>
      <c r="Q4842" t="n">
        <v>0</v>
      </c>
      <c r="R4842" s="2" t="inlineStr"/>
    </row>
    <row r="4843" ht="15" customHeight="1">
      <c r="A4843" t="inlineStr">
        <is>
          <t>A 30021-2024</t>
        </is>
      </c>
      <c r="B4843" s="1" t="n">
        <v>45488</v>
      </c>
      <c r="C4843" s="1" t="n">
        <v>46075</v>
      </c>
      <c r="D4843" t="inlineStr">
        <is>
          <t>VÄSTERBOTTENS LÄN</t>
        </is>
      </c>
      <c r="E4843" t="inlineStr">
        <is>
          <t>UMEÅ</t>
        </is>
      </c>
      <c r="F4843" t="inlineStr">
        <is>
          <t>Holmen skog AB</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30020-2024</t>
        </is>
      </c>
      <c r="B4844" s="1" t="n">
        <v>45488</v>
      </c>
      <c r="C4844" s="1" t="n">
        <v>46075</v>
      </c>
      <c r="D4844" t="inlineStr">
        <is>
          <t>VÄSTERBOTTENS LÄN</t>
        </is>
      </c>
      <c r="E4844" t="inlineStr">
        <is>
          <t>UMEÅ</t>
        </is>
      </c>
      <c r="F4844" t="inlineStr">
        <is>
          <t>Holmen skog AB</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49171-2024</t>
        </is>
      </c>
      <c r="B4845" s="1" t="n">
        <v>45595.30685185185</v>
      </c>
      <c r="C4845" s="1" t="n">
        <v>46075</v>
      </c>
      <c r="D4845" t="inlineStr">
        <is>
          <t>VÄSTERBOTTENS LÄN</t>
        </is>
      </c>
      <c r="E4845" t="inlineStr">
        <is>
          <t>SKELLEFTEÅ</t>
        </is>
      </c>
      <c r="F4845" t="inlineStr">
        <is>
          <t>Sveaskog</t>
        </is>
      </c>
      <c r="G4845" t="n">
        <v>3.3</v>
      </c>
      <c r="H4845" t="n">
        <v>0</v>
      </c>
      <c r="I4845" t="n">
        <v>0</v>
      </c>
      <c r="J4845" t="n">
        <v>0</v>
      </c>
      <c r="K4845" t="n">
        <v>0</v>
      </c>
      <c r="L4845" t="n">
        <v>0</v>
      </c>
      <c r="M4845" t="n">
        <v>0</v>
      </c>
      <c r="N4845" t="n">
        <v>0</v>
      </c>
      <c r="O4845" t="n">
        <v>0</v>
      </c>
      <c r="P4845" t="n">
        <v>0</v>
      </c>
      <c r="Q4845" t="n">
        <v>0</v>
      </c>
      <c r="R4845" s="2" t="inlineStr"/>
    </row>
    <row r="4846" ht="15" customHeight="1">
      <c r="A4846" t="inlineStr">
        <is>
          <t>A 7635-2024</t>
        </is>
      </c>
      <c r="B4846" s="1" t="n">
        <v>45348.62467592592</v>
      </c>
      <c r="C4846" s="1" t="n">
        <v>46075</v>
      </c>
      <c r="D4846" t="inlineStr">
        <is>
          <t>VÄSTERBOTTENS LÄN</t>
        </is>
      </c>
      <c r="E4846" t="inlineStr">
        <is>
          <t>UMEÅ</t>
        </is>
      </c>
      <c r="F4846" t="inlineStr">
        <is>
          <t>Holmen skog AB</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16104-2025</t>
        </is>
      </c>
      <c r="B4847" s="1" t="n">
        <v>45750.3231712963</v>
      </c>
      <c r="C4847" s="1" t="n">
        <v>46075</v>
      </c>
      <c r="D4847" t="inlineStr">
        <is>
          <t>VÄSTERBOTTENS LÄN</t>
        </is>
      </c>
      <c r="E4847" t="inlineStr">
        <is>
          <t>ROBERTSFORS</t>
        </is>
      </c>
      <c r="G4847" t="n">
        <v>3.1</v>
      </c>
      <c r="H4847" t="n">
        <v>0</v>
      </c>
      <c r="I4847" t="n">
        <v>0</v>
      </c>
      <c r="J4847" t="n">
        <v>0</v>
      </c>
      <c r="K4847" t="n">
        <v>0</v>
      </c>
      <c r="L4847" t="n">
        <v>0</v>
      </c>
      <c r="M4847" t="n">
        <v>0</v>
      </c>
      <c r="N4847" t="n">
        <v>0</v>
      </c>
      <c r="O4847" t="n">
        <v>0</v>
      </c>
      <c r="P4847" t="n">
        <v>0</v>
      </c>
      <c r="Q4847" t="n">
        <v>0</v>
      </c>
      <c r="R4847" s="2" t="inlineStr"/>
    </row>
    <row r="4848" ht="15" customHeight="1">
      <c r="A4848" t="inlineStr">
        <is>
          <t>A 43729-2025</t>
        </is>
      </c>
      <c r="B4848" s="1" t="n">
        <v>45912.43429398148</v>
      </c>
      <c r="C4848" s="1" t="n">
        <v>46075</v>
      </c>
      <c r="D4848" t="inlineStr">
        <is>
          <t>VÄSTERBOTTENS LÄN</t>
        </is>
      </c>
      <c r="E4848" t="inlineStr">
        <is>
          <t>SKELLEFTEÅ</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43841-2025</t>
        </is>
      </c>
      <c r="B4849" s="1" t="n">
        <v>45912.63537037037</v>
      </c>
      <c r="C4849" s="1" t="n">
        <v>46075</v>
      </c>
      <c r="D4849" t="inlineStr">
        <is>
          <t>VÄSTERBOTTENS LÄN</t>
        </is>
      </c>
      <c r="E4849" t="inlineStr">
        <is>
          <t>ROBERTSFORS</t>
        </is>
      </c>
      <c r="G4849" t="n">
        <v>5.9</v>
      </c>
      <c r="H4849" t="n">
        <v>0</v>
      </c>
      <c r="I4849" t="n">
        <v>0</v>
      </c>
      <c r="J4849" t="n">
        <v>0</v>
      </c>
      <c r="K4849" t="n">
        <v>0</v>
      </c>
      <c r="L4849" t="n">
        <v>0</v>
      </c>
      <c r="M4849" t="n">
        <v>0</v>
      </c>
      <c r="N4849" t="n">
        <v>0</v>
      </c>
      <c r="O4849" t="n">
        <v>0</v>
      </c>
      <c r="P4849" t="n">
        <v>0</v>
      </c>
      <c r="Q4849" t="n">
        <v>0</v>
      </c>
      <c r="R4849" s="2" t="inlineStr"/>
    </row>
    <row r="4850" ht="15" customHeight="1">
      <c r="A4850" t="inlineStr">
        <is>
          <t>A 43783-2025</t>
        </is>
      </c>
      <c r="B4850" s="1" t="n">
        <v>45912.52703703703</v>
      </c>
      <c r="C4850" s="1" t="n">
        <v>46075</v>
      </c>
      <c r="D4850" t="inlineStr">
        <is>
          <t>VÄSTERBOTTENS LÄN</t>
        </is>
      </c>
      <c r="E4850" t="inlineStr">
        <is>
          <t>VINDELN</t>
        </is>
      </c>
      <c r="F4850" t="inlineStr">
        <is>
          <t>Holmen skog AB</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43789-2025</t>
        </is>
      </c>
      <c r="B4851" s="1" t="n">
        <v>45912.53976851852</v>
      </c>
      <c r="C4851" s="1" t="n">
        <v>46075</v>
      </c>
      <c r="D4851" t="inlineStr">
        <is>
          <t>VÄSTERBOTTENS LÄN</t>
        </is>
      </c>
      <c r="E4851" t="inlineStr">
        <is>
          <t>UMEÅ</t>
        </is>
      </c>
      <c r="F4851" t="inlineStr">
        <is>
          <t>Holmen skog AB</t>
        </is>
      </c>
      <c r="G4851" t="n">
        <v>21.1</v>
      </c>
      <c r="H4851" t="n">
        <v>0</v>
      </c>
      <c r="I4851" t="n">
        <v>0</v>
      </c>
      <c r="J4851" t="n">
        <v>0</v>
      </c>
      <c r="K4851" t="n">
        <v>0</v>
      </c>
      <c r="L4851" t="n">
        <v>0</v>
      </c>
      <c r="M4851" t="n">
        <v>0</v>
      </c>
      <c r="N4851" t="n">
        <v>0</v>
      </c>
      <c r="O4851" t="n">
        <v>0</v>
      </c>
      <c r="P4851" t="n">
        <v>0</v>
      </c>
      <c r="Q4851" t="n">
        <v>0</v>
      </c>
      <c r="R4851" s="2" t="inlineStr"/>
    </row>
    <row r="4852" ht="15" customHeight="1">
      <c r="A4852" t="inlineStr">
        <is>
          <t>A 43940-2025</t>
        </is>
      </c>
      <c r="B4852" s="1" t="n">
        <v>45912</v>
      </c>
      <c r="C4852" s="1" t="n">
        <v>46075</v>
      </c>
      <c r="D4852" t="inlineStr">
        <is>
          <t>VÄSTERBOTTENS LÄN</t>
        </is>
      </c>
      <c r="E4852" t="inlineStr">
        <is>
          <t>NORDMALING</t>
        </is>
      </c>
      <c r="G4852" t="n">
        <v>7.2</v>
      </c>
      <c r="H4852" t="n">
        <v>0</v>
      </c>
      <c r="I4852" t="n">
        <v>0</v>
      </c>
      <c r="J4852" t="n">
        <v>0</v>
      </c>
      <c r="K4852" t="n">
        <v>0</v>
      </c>
      <c r="L4852" t="n">
        <v>0</v>
      </c>
      <c r="M4852" t="n">
        <v>0</v>
      </c>
      <c r="N4852" t="n">
        <v>0</v>
      </c>
      <c r="O4852" t="n">
        <v>0</v>
      </c>
      <c r="P4852" t="n">
        <v>0</v>
      </c>
      <c r="Q4852" t="n">
        <v>0</v>
      </c>
      <c r="R4852" s="2" t="inlineStr"/>
    </row>
    <row r="4853" ht="15" customHeight="1">
      <c r="A4853" t="inlineStr">
        <is>
          <t>A 645-2025</t>
        </is>
      </c>
      <c r="B4853" s="1" t="n">
        <v>45661</v>
      </c>
      <c r="C4853" s="1" t="n">
        <v>46075</v>
      </c>
      <c r="D4853" t="inlineStr">
        <is>
          <t>VÄSTERBOTTENS LÄN</t>
        </is>
      </c>
      <c r="E4853" t="inlineStr">
        <is>
          <t>ROBERTSFORS</t>
        </is>
      </c>
      <c r="G4853" t="n">
        <v>10.6</v>
      </c>
      <c r="H4853" t="n">
        <v>0</v>
      </c>
      <c r="I4853" t="n">
        <v>0</v>
      </c>
      <c r="J4853" t="n">
        <v>0</v>
      </c>
      <c r="K4853" t="n">
        <v>0</v>
      </c>
      <c r="L4853" t="n">
        <v>0</v>
      </c>
      <c r="M4853" t="n">
        <v>0</v>
      </c>
      <c r="N4853" t="n">
        <v>0</v>
      </c>
      <c r="O4853" t="n">
        <v>0</v>
      </c>
      <c r="P4853" t="n">
        <v>0</v>
      </c>
      <c r="Q4853" t="n">
        <v>0</v>
      </c>
      <c r="R4853" s="2" t="inlineStr"/>
    </row>
    <row r="4854" ht="15" customHeight="1">
      <c r="A4854" t="inlineStr">
        <is>
          <t>A 43985-2025</t>
        </is>
      </c>
      <c r="B4854" s="1" t="n">
        <v>45915.43275462963</v>
      </c>
      <c r="C4854" s="1" t="n">
        <v>46075</v>
      </c>
      <c r="D4854" t="inlineStr">
        <is>
          <t>VÄSTERBOTTENS LÄN</t>
        </is>
      </c>
      <c r="E4854" t="inlineStr">
        <is>
          <t>ÅSELE</t>
        </is>
      </c>
      <c r="F4854" t="inlineStr">
        <is>
          <t>Holmen skog AB</t>
        </is>
      </c>
      <c r="G4854" t="n">
        <v>5.8</v>
      </c>
      <c r="H4854" t="n">
        <v>0</v>
      </c>
      <c r="I4854" t="n">
        <v>0</v>
      </c>
      <c r="J4854" t="n">
        <v>0</v>
      </c>
      <c r="K4854" t="n">
        <v>0</v>
      </c>
      <c r="L4854" t="n">
        <v>0</v>
      </c>
      <c r="M4854" t="n">
        <v>0</v>
      </c>
      <c r="N4854" t="n">
        <v>0</v>
      </c>
      <c r="O4854" t="n">
        <v>0</v>
      </c>
      <c r="P4854" t="n">
        <v>0</v>
      </c>
      <c r="Q4854" t="n">
        <v>0</v>
      </c>
      <c r="R4854" s="2" t="inlineStr"/>
    </row>
    <row r="4855" ht="15" customHeight="1">
      <c r="A4855" t="inlineStr">
        <is>
          <t>A 34362-2025</t>
        </is>
      </c>
      <c r="B4855" s="1" t="n">
        <v>45846.48827546297</v>
      </c>
      <c r="C4855" s="1" t="n">
        <v>46075</v>
      </c>
      <c r="D4855" t="inlineStr">
        <is>
          <t>VÄSTERBOTTENS LÄN</t>
        </is>
      </c>
      <c r="E4855" t="inlineStr">
        <is>
          <t>SKELLEFTEÅ</t>
        </is>
      </c>
      <c r="G4855" t="n">
        <v>9.6</v>
      </c>
      <c r="H4855" t="n">
        <v>0</v>
      </c>
      <c r="I4855" t="n">
        <v>0</v>
      </c>
      <c r="J4855" t="n">
        <v>0</v>
      </c>
      <c r="K4855" t="n">
        <v>0</v>
      </c>
      <c r="L4855" t="n">
        <v>0</v>
      </c>
      <c r="M4855" t="n">
        <v>0</v>
      </c>
      <c r="N4855" t="n">
        <v>0</v>
      </c>
      <c r="O4855" t="n">
        <v>0</v>
      </c>
      <c r="P4855" t="n">
        <v>0</v>
      </c>
      <c r="Q4855" t="n">
        <v>0</v>
      </c>
      <c r="R4855" s="2" t="inlineStr"/>
    </row>
    <row r="4856" ht="15" customHeight="1">
      <c r="A4856" t="inlineStr">
        <is>
          <t>A 44186-2025</t>
        </is>
      </c>
      <c r="B4856" s="1" t="n">
        <v>45915.61269675926</v>
      </c>
      <c r="C4856" s="1" t="n">
        <v>46075</v>
      </c>
      <c r="D4856" t="inlineStr">
        <is>
          <t>VÄSTERBOTTENS LÄN</t>
        </is>
      </c>
      <c r="E4856" t="inlineStr">
        <is>
          <t>VINDELN</t>
        </is>
      </c>
      <c r="F4856" t="inlineStr">
        <is>
          <t>Sveaskog</t>
        </is>
      </c>
      <c r="G4856" t="n">
        <v>8.6</v>
      </c>
      <c r="H4856" t="n">
        <v>0</v>
      </c>
      <c r="I4856" t="n">
        <v>0</v>
      </c>
      <c r="J4856" t="n">
        <v>0</v>
      </c>
      <c r="K4856" t="n">
        <v>0</v>
      </c>
      <c r="L4856" t="n">
        <v>0</v>
      </c>
      <c r="M4856" t="n">
        <v>0</v>
      </c>
      <c r="N4856" t="n">
        <v>0</v>
      </c>
      <c r="O4856" t="n">
        <v>0</v>
      </c>
      <c r="P4856" t="n">
        <v>0</v>
      </c>
      <c r="Q4856" t="n">
        <v>0</v>
      </c>
      <c r="R4856" s="2" t="inlineStr"/>
    </row>
    <row r="4857" ht="15" customHeight="1">
      <c r="A4857" t="inlineStr">
        <is>
          <t>A 674-2025</t>
        </is>
      </c>
      <c r="B4857" s="1" t="n">
        <v>45664</v>
      </c>
      <c r="C4857" s="1" t="n">
        <v>46075</v>
      </c>
      <c r="D4857" t="inlineStr">
        <is>
          <t>VÄSTERBOTTENS LÄN</t>
        </is>
      </c>
      <c r="E4857" t="inlineStr">
        <is>
          <t>ROBERTSFORS</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37443-2023</t>
        </is>
      </c>
      <c r="B4858" s="1" t="n">
        <v>45147</v>
      </c>
      <c r="C4858" s="1" t="n">
        <v>46075</v>
      </c>
      <c r="D4858" t="inlineStr">
        <is>
          <t>VÄSTERBOTTENS LÄN</t>
        </is>
      </c>
      <c r="E4858" t="inlineStr">
        <is>
          <t>UMEÅ</t>
        </is>
      </c>
      <c r="G4858" t="n">
        <v>7.3</v>
      </c>
      <c r="H4858" t="n">
        <v>0</v>
      </c>
      <c r="I4858" t="n">
        <v>0</v>
      </c>
      <c r="J4858" t="n">
        <v>0</v>
      </c>
      <c r="K4858" t="n">
        <v>0</v>
      </c>
      <c r="L4858" t="n">
        <v>0</v>
      </c>
      <c r="M4858" t="n">
        <v>0</v>
      </c>
      <c r="N4858" t="n">
        <v>0</v>
      </c>
      <c r="O4858" t="n">
        <v>0</v>
      </c>
      <c r="P4858" t="n">
        <v>0</v>
      </c>
      <c r="Q4858" t="n">
        <v>0</v>
      </c>
      <c r="R4858" s="2" t="inlineStr"/>
    </row>
    <row r="4859" ht="15" customHeight="1">
      <c r="A4859" t="inlineStr">
        <is>
          <t>A 34405-2025</t>
        </is>
      </c>
      <c r="B4859" s="1" t="n">
        <v>45846.6277662037</v>
      </c>
      <c r="C4859" s="1" t="n">
        <v>46075</v>
      </c>
      <c r="D4859" t="inlineStr">
        <is>
          <t>VÄSTERBOTTENS LÄN</t>
        </is>
      </c>
      <c r="E4859" t="inlineStr">
        <is>
          <t>SKELLEFTEÅ</t>
        </is>
      </c>
      <c r="G4859" t="n">
        <v>13.6</v>
      </c>
      <c r="H4859" t="n">
        <v>0</v>
      </c>
      <c r="I4859" t="n">
        <v>0</v>
      </c>
      <c r="J4859" t="n">
        <v>0</v>
      </c>
      <c r="K4859" t="n">
        <v>0</v>
      </c>
      <c r="L4859" t="n">
        <v>0</v>
      </c>
      <c r="M4859" t="n">
        <v>0</v>
      </c>
      <c r="N4859" t="n">
        <v>0</v>
      </c>
      <c r="O4859" t="n">
        <v>0</v>
      </c>
      <c r="P4859" t="n">
        <v>0</v>
      </c>
      <c r="Q4859" t="n">
        <v>0</v>
      </c>
      <c r="R4859" s="2" t="inlineStr"/>
    </row>
    <row r="4860" ht="15" customHeight="1">
      <c r="A4860" t="inlineStr">
        <is>
          <t>A 43791-2025</t>
        </is>
      </c>
      <c r="B4860" s="1" t="n">
        <v>45912.54636574074</v>
      </c>
      <c r="C4860" s="1" t="n">
        <v>46075</v>
      </c>
      <c r="D4860" t="inlineStr">
        <is>
          <t>VÄSTERBOTTENS LÄN</t>
        </is>
      </c>
      <c r="E4860" t="inlineStr">
        <is>
          <t>SKELLEFTEÅ</t>
        </is>
      </c>
      <c r="F4860" t="inlineStr">
        <is>
          <t>Holmen skog AB</t>
        </is>
      </c>
      <c r="G4860" t="n">
        <v>4.5</v>
      </c>
      <c r="H4860" t="n">
        <v>0</v>
      </c>
      <c r="I4860" t="n">
        <v>0</v>
      </c>
      <c r="J4860" t="n">
        <v>0</v>
      </c>
      <c r="K4860" t="n">
        <v>0</v>
      </c>
      <c r="L4860" t="n">
        <v>0</v>
      </c>
      <c r="M4860" t="n">
        <v>0</v>
      </c>
      <c r="N4860" t="n">
        <v>0</v>
      </c>
      <c r="O4860" t="n">
        <v>0</v>
      </c>
      <c r="P4860" t="n">
        <v>0</v>
      </c>
      <c r="Q4860" t="n">
        <v>0</v>
      </c>
      <c r="R4860" s="2" t="inlineStr"/>
    </row>
    <row r="4861" ht="15" customHeight="1">
      <c r="A4861" t="inlineStr">
        <is>
          <t>A 43793-2025</t>
        </is>
      </c>
      <c r="B4861" s="1" t="n">
        <v>45912</v>
      </c>
      <c r="C4861" s="1" t="n">
        <v>46075</v>
      </c>
      <c r="D4861" t="inlineStr">
        <is>
          <t>VÄSTERBOTTENS LÄN</t>
        </is>
      </c>
      <c r="E4861" t="inlineStr">
        <is>
          <t>LYCKSELE</t>
        </is>
      </c>
      <c r="F4861" t="inlineStr">
        <is>
          <t>Holmen skog AB</t>
        </is>
      </c>
      <c r="G4861" t="n">
        <v>6.1</v>
      </c>
      <c r="H4861" t="n">
        <v>0</v>
      </c>
      <c r="I4861" t="n">
        <v>0</v>
      </c>
      <c r="J4861" t="n">
        <v>0</v>
      </c>
      <c r="K4861" t="n">
        <v>0</v>
      </c>
      <c r="L4861" t="n">
        <v>0</v>
      </c>
      <c r="M4861" t="n">
        <v>0</v>
      </c>
      <c r="N4861" t="n">
        <v>0</v>
      </c>
      <c r="O4861" t="n">
        <v>0</v>
      </c>
      <c r="P4861" t="n">
        <v>0</v>
      </c>
      <c r="Q4861" t="n">
        <v>0</v>
      </c>
      <c r="R4861" s="2" t="inlineStr"/>
    </row>
    <row r="4862" ht="15" customHeight="1">
      <c r="A4862" t="inlineStr">
        <is>
          <t>A 24726-2024</t>
        </is>
      </c>
      <c r="B4862" s="1" t="n">
        <v>45460</v>
      </c>
      <c r="C4862" s="1" t="n">
        <v>46075</v>
      </c>
      <c r="D4862" t="inlineStr">
        <is>
          <t>VÄSTERBOTTENS LÄN</t>
        </is>
      </c>
      <c r="E4862" t="inlineStr">
        <is>
          <t>VINDELN</t>
        </is>
      </c>
      <c r="F4862" t="inlineStr">
        <is>
          <t>Holmen skog AB</t>
        </is>
      </c>
      <c r="G4862" t="n">
        <v>4.5</v>
      </c>
      <c r="H4862" t="n">
        <v>0</v>
      </c>
      <c r="I4862" t="n">
        <v>0</v>
      </c>
      <c r="J4862" t="n">
        <v>0</v>
      </c>
      <c r="K4862" t="n">
        <v>0</v>
      </c>
      <c r="L4862" t="n">
        <v>0</v>
      </c>
      <c r="M4862" t="n">
        <v>0</v>
      </c>
      <c r="N4862" t="n">
        <v>0</v>
      </c>
      <c r="O4862" t="n">
        <v>0</v>
      </c>
      <c r="P4862" t="n">
        <v>0</v>
      </c>
      <c r="Q4862" t="n">
        <v>0</v>
      </c>
      <c r="R4862" s="2" t="inlineStr"/>
    </row>
    <row r="4863" ht="15" customHeight="1">
      <c r="A4863" t="inlineStr">
        <is>
          <t>A 4093-2023</t>
        </is>
      </c>
      <c r="B4863" s="1" t="n">
        <v>44952</v>
      </c>
      <c r="C4863" s="1" t="n">
        <v>46075</v>
      </c>
      <c r="D4863" t="inlineStr">
        <is>
          <t>VÄSTERBOTTENS LÄN</t>
        </is>
      </c>
      <c r="E4863" t="inlineStr">
        <is>
          <t>ÅSELE</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8360-2024</t>
        </is>
      </c>
      <c r="B4864" s="1" t="n">
        <v>45352.58462962963</v>
      </c>
      <c r="C4864" s="1" t="n">
        <v>46075</v>
      </c>
      <c r="D4864" t="inlineStr">
        <is>
          <t>VÄSTERBOTTENS LÄN</t>
        </is>
      </c>
      <c r="E4864" t="inlineStr">
        <is>
          <t>LYCKSELE</t>
        </is>
      </c>
      <c r="F4864" t="inlineStr">
        <is>
          <t>Sveaskog</t>
        </is>
      </c>
      <c r="G4864" t="n">
        <v>31.5</v>
      </c>
      <c r="H4864" t="n">
        <v>0</v>
      </c>
      <c r="I4864" t="n">
        <v>0</v>
      </c>
      <c r="J4864" t="n">
        <v>0</v>
      </c>
      <c r="K4864" t="n">
        <v>0</v>
      </c>
      <c r="L4864" t="n">
        <v>0</v>
      </c>
      <c r="M4864" t="n">
        <v>0</v>
      </c>
      <c r="N4864" t="n">
        <v>0</v>
      </c>
      <c r="O4864" t="n">
        <v>0</v>
      </c>
      <c r="P4864" t="n">
        <v>0</v>
      </c>
      <c r="Q4864" t="n">
        <v>0</v>
      </c>
      <c r="R4864" s="2" t="inlineStr"/>
    </row>
    <row r="4865" ht="15" customHeight="1">
      <c r="A4865" t="inlineStr">
        <is>
          <t>A 8363-2024</t>
        </is>
      </c>
      <c r="B4865" s="1" t="n">
        <v>45352</v>
      </c>
      <c r="C4865" s="1" t="n">
        <v>46075</v>
      </c>
      <c r="D4865" t="inlineStr">
        <is>
          <t>VÄSTERBOTTENS LÄN</t>
        </is>
      </c>
      <c r="E4865" t="inlineStr">
        <is>
          <t>ROBERTSFORS</t>
        </is>
      </c>
      <c r="G4865" t="n">
        <v>5.2</v>
      </c>
      <c r="H4865" t="n">
        <v>0</v>
      </c>
      <c r="I4865" t="n">
        <v>0</v>
      </c>
      <c r="J4865" t="n">
        <v>0</v>
      </c>
      <c r="K4865" t="n">
        <v>0</v>
      </c>
      <c r="L4865" t="n">
        <v>0</v>
      </c>
      <c r="M4865" t="n">
        <v>0</v>
      </c>
      <c r="N4865" t="n">
        <v>0</v>
      </c>
      <c r="O4865" t="n">
        <v>0</v>
      </c>
      <c r="P4865" t="n">
        <v>0</v>
      </c>
      <c r="Q4865" t="n">
        <v>0</v>
      </c>
      <c r="R4865" s="2" t="inlineStr"/>
    </row>
    <row r="4866" ht="15" customHeight="1">
      <c r="A4866" t="inlineStr">
        <is>
          <t>A 43800-2025</t>
        </is>
      </c>
      <c r="B4866" s="1" t="n">
        <v>45912.57226851852</v>
      </c>
      <c r="C4866" s="1" t="n">
        <v>46075</v>
      </c>
      <c r="D4866" t="inlineStr">
        <is>
          <t>VÄSTERBOTTENS LÄN</t>
        </is>
      </c>
      <c r="E4866" t="inlineStr">
        <is>
          <t>SKELLEFTEÅ</t>
        </is>
      </c>
      <c r="F4866" t="inlineStr">
        <is>
          <t>Sveaskog</t>
        </is>
      </c>
      <c r="G4866" t="n">
        <v>25.3</v>
      </c>
      <c r="H4866" t="n">
        <v>0</v>
      </c>
      <c r="I4866" t="n">
        <v>0</v>
      </c>
      <c r="J4866" t="n">
        <v>0</v>
      </c>
      <c r="K4866" t="n">
        <v>0</v>
      </c>
      <c r="L4866" t="n">
        <v>0</v>
      </c>
      <c r="M4866" t="n">
        <v>0</v>
      </c>
      <c r="N4866" t="n">
        <v>0</v>
      </c>
      <c r="O4866" t="n">
        <v>0</v>
      </c>
      <c r="P4866" t="n">
        <v>0</v>
      </c>
      <c r="Q4866" t="n">
        <v>0</v>
      </c>
      <c r="R4866" s="2" t="inlineStr"/>
    </row>
    <row r="4867" ht="15" customHeight="1">
      <c r="A4867" t="inlineStr">
        <is>
          <t>A 47496-2024</t>
        </is>
      </c>
      <c r="B4867" s="1" t="n">
        <v>45587</v>
      </c>
      <c r="C4867" s="1" t="n">
        <v>46075</v>
      </c>
      <c r="D4867" t="inlineStr">
        <is>
          <t>VÄSTERBOTTENS LÄN</t>
        </is>
      </c>
      <c r="E4867" t="inlineStr">
        <is>
          <t>SKELLEFTEÅ</t>
        </is>
      </c>
      <c r="F4867" t="inlineStr">
        <is>
          <t>Holmen skog AB</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40967-2024</t>
        </is>
      </c>
      <c r="B4868" s="1" t="n">
        <v>45558.67306712963</v>
      </c>
      <c r="C4868" s="1" t="n">
        <v>46075</v>
      </c>
      <c r="D4868" t="inlineStr">
        <is>
          <t>VÄSTERBOTTENS LÄN</t>
        </is>
      </c>
      <c r="E4868" t="inlineStr">
        <is>
          <t>SKELLEFTEÅ</t>
        </is>
      </c>
      <c r="F4868" t="inlineStr">
        <is>
          <t>Sveaskog</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43835-2025</t>
        </is>
      </c>
      <c r="B4869" s="1" t="n">
        <v>45912.63228009259</v>
      </c>
      <c r="C4869" s="1" t="n">
        <v>46075</v>
      </c>
      <c r="D4869" t="inlineStr">
        <is>
          <t>VÄSTERBOTTENS LÄN</t>
        </is>
      </c>
      <c r="E4869" t="inlineStr">
        <is>
          <t>NORSJÖ</t>
        </is>
      </c>
      <c r="F4869" t="inlineStr">
        <is>
          <t>Sveaskog</t>
        </is>
      </c>
      <c r="G4869" t="n">
        <v>8.300000000000001</v>
      </c>
      <c r="H4869" t="n">
        <v>0</v>
      </c>
      <c r="I4869" t="n">
        <v>0</v>
      </c>
      <c r="J4869" t="n">
        <v>0</v>
      </c>
      <c r="K4869" t="n">
        <v>0</v>
      </c>
      <c r="L4869" t="n">
        <v>0</v>
      </c>
      <c r="M4869" t="n">
        <v>0</v>
      </c>
      <c r="N4869" t="n">
        <v>0</v>
      </c>
      <c r="O4869" t="n">
        <v>0</v>
      </c>
      <c r="P4869" t="n">
        <v>0</v>
      </c>
      <c r="Q4869" t="n">
        <v>0</v>
      </c>
      <c r="R4869" s="2" t="inlineStr"/>
    </row>
    <row r="4870" ht="15" customHeight="1">
      <c r="A4870" t="inlineStr">
        <is>
          <t>A 65772-2021</t>
        </is>
      </c>
      <c r="B4870" s="1" t="n">
        <v>44516</v>
      </c>
      <c r="C4870" s="1" t="n">
        <v>46075</v>
      </c>
      <c r="D4870" t="inlineStr">
        <is>
          <t>VÄSTERBOTTENS LÄN</t>
        </is>
      </c>
      <c r="E4870" t="inlineStr">
        <is>
          <t>ROBERTSFORS</t>
        </is>
      </c>
      <c r="G4870" t="n">
        <v>18.2</v>
      </c>
      <c r="H4870" t="n">
        <v>0</v>
      </c>
      <c r="I4870" t="n">
        <v>0</v>
      </c>
      <c r="J4870" t="n">
        <v>0</v>
      </c>
      <c r="K4870" t="n">
        <v>0</v>
      </c>
      <c r="L4870" t="n">
        <v>0</v>
      </c>
      <c r="M4870" t="n">
        <v>0</v>
      </c>
      <c r="N4870" t="n">
        <v>0</v>
      </c>
      <c r="O4870" t="n">
        <v>0</v>
      </c>
      <c r="P4870" t="n">
        <v>0</v>
      </c>
      <c r="Q4870" t="n">
        <v>0</v>
      </c>
      <c r="R4870" s="2" t="inlineStr"/>
    </row>
    <row r="4871" ht="15" customHeight="1">
      <c r="A4871" t="inlineStr">
        <is>
          <t>A 34563-2025</t>
        </is>
      </c>
      <c r="B4871" s="1" t="n">
        <v>45847.57950231482</v>
      </c>
      <c r="C4871" s="1" t="n">
        <v>46075</v>
      </c>
      <c r="D4871" t="inlineStr">
        <is>
          <t>VÄSTERBOTTENS LÄN</t>
        </is>
      </c>
      <c r="E4871" t="inlineStr">
        <is>
          <t>VILHELMINA</t>
        </is>
      </c>
      <c r="G4871" t="n">
        <v>20.6</v>
      </c>
      <c r="H4871" t="n">
        <v>0</v>
      </c>
      <c r="I4871" t="n">
        <v>0</v>
      </c>
      <c r="J4871" t="n">
        <v>0</v>
      </c>
      <c r="K4871" t="n">
        <v>0</v>
      </c>
      <c r="L4871" t="n">
        <v>0</v>
      </c>
      <c r="M4871" t="n">
        <v>0</v>
      </c>
      <c r="N4871" t="n">
        <v>0</v>
      </c>
      <c r="O4871" t="n">
        <v>0</v>
      </c>
      <c r="P4871" t="n">
        <v>0</v>
      </c>
      <c r="Q4871" t="n">
        <v>0</v>
      </c>
      <c r="R4871" s="2" t="inlineStr"/>
    </row>
    <row r="4872" ht="15" customHeight="1">
      <c r="A4872" t="inlineStr">
        <is>
          <t>A 34290-2025</t>
        </is>
      </c>
      <c r="B4872" s="1" t="n">
        <v>45846.33505787037</v>
      </c>
      <c r="C4872" s="1" t="n">
        <v>46075</v>
      </c>
      <c r="D4872" t="inlineStr">
        <is>
          <t>VÄSTERBOTTENS LÄN</t>
        </is>
      </c>
      <c r="E4872" t="inlineStr">
        <is>
          <t>UMEÅ</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34604-2025</t>
        </is>
      </c>
      <c r="B4873" s="1" t="n">
        <v>45847.6568287037</v>
      </c>
      <c r="C4873" s="1" t="n">
        <v>46075</v>
      </c>
      <c r="D4873" t="inlineStr">
        <is>
          <t>VÄSTERBOTTENS LÄN</t>
        </is>
      </c>
      <c r="E4873" t="inlineStr">
        <is>
          <t>DOROTEA</t>
        </is>
      </c>
      <c r="F4873" t="inlineStr">
        <is>
          <t>SCA</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34437-2025</t>
        </is>
      </c>
      <c r="B4874" s="1" t="n">
        <v>45846.68461805556</v>
      </c>
      <c r="C4874" s="1" t="n">
        <v>46075</v>
      </c>
      <c r="D4874" t="inlineStr">
        <is>
          <t>VÄSTERBOTTENS LÄN</t>
        </is>
      </c>
      <c r="E4874" t="inlineStr">
        <is>
          <t>SKELLEFTEÅ</t>
        </is>
      </c>
      <c r="F4874" t="inlineStr">
        <is>
          <t>Holmen skog AB</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34672-2025</t>
        </is>
      </c>
      <c r="B4875" s="1" t="n">
        <v>45847</v>
      </c>
      <c r="C4875" s="1" t="n">
        <v>46075</v>
      </c>
      <c r="D4875" t="inlineStr">
        <is>
          <t>VÄSTERBOTTENS LÄN</t>
        </is>
      </c>
      <c r="E4875" t="inlineStr">
        <is>
          <t>SKELLEFTEÅ</t>
        </is>
      </c>
      <c r="G4875" t="n">
        <v>12.8</v>
      </c>
      <c r="H4875" t="n">
        <v>0</v>
      </c>
      <c r="I4875" t="n">
        <v>0</v>
      </c>
      <c r="J4875" t="n">
        <v>0</v>
      </c>
      <c r="K4875" t="n">
        <v>0</v>
      </c>
      <c r="L4875" t="n">
        <v>0</v>
      </c>
      <c r="M4875" t="n">
        <v>0</v>
      </c>
      <c r="N4875" t="n">
        <v>0</v>
      </c>
      <c r="O4875" t="n">
        <v>0</v>
      </c>
      <c r="P4875" t="n">
        <v>0</v>
      </c>
      <c r="Q4875" t="n">
        <v>0</v>
      </c>
      <c r="R4875" s="2" t="inlineStr"/>
    </row>
    <row r="4876" ht="15" customHeight="1">
      <c r="A4876" t="inlineStr">
        <is>
          <t>A 43720-2025</t>
        </is>
      </c>
      <c r="B4876" s="1" t="n">
        <v>45912.42776620371</v>
      </c>
      <c r="C4876" s="1" t="n">
        <v>46075</v>
      </c>
      <c r="D4876" t="inlineStr">
        <is>
          <t>VÄSTERBOTTENS LÄN</t>
        </is>
      </c>
      <c r="E4876" t="inlineStr">
        <is>
          <t>DOROTEA</t>
        </is>
      </c>
      <c r="F4876" t="inlineStr">
        <is>
          <t>SCA</t>
        </is>
      </c>
      <c r="G4876" t="n">
        <v>11.1</v>
      </c>
      <c r="H4876" t="n">
        <v>0</v>
      </c>
      <c r="I4876" t="n">
        <v>0</v>
      </c>
      <c r="J4876" t="n">
        <v>0</v>
      </c>
      <c r="K4876" t="n">
        <v>0</v>
      </c>
      <c r="L4876" t="n">
        <v>0</v>
      </c>
      <c r="M4876" t="n">
        <v>0</v>
      </c>
      <c r="N4876" t="n">
        <v>0</v>
      </c>
      <c r="O4876" t="n">
        <v>0</v>
      </c>
      <c r="P4876" t="n">
        <v>0</v>
      </c>
      <c r="Q4876" t="n">
        <v>0</v>
      </c>
      <c r="R4876" s="2" t="inlineStr"/>
    </row>
    <row r="4877" ht="15" customHeight="1">
      <c r="A4877" t="inlineStr">
        <is>
          <t>A 34519-2025</t>
        </is>
      </c>
      <c r="B4877" s="1" t="n">
        <v>45847.46929398148</v>
      </c>
      <c r="C4877" s="1" t="n">
        <v>46075</v>
      </c>
      <c r="D4877" t="inlineStr">
        <is>
          <t>VÄSTERBOTTENS LÄN</t>
        </is>
      </c>
      <c r="E4877" t="inlineStr">
        <is>
          <t>VINDELN</t>
        </is>
      </c>
      <c r="F4877" t="inlineStr">
        <is>
          <t>SCA</t>
        </is>
      </c>
      <c r="G4877" t="n">
        <v>13.6</v>
      </c>
      <c r="H4877" t="n">
        <v>0</v>
      </c>
      <c r="I4877" t="n">
        <v>0</v>
      </c>
      <c r="J4877" t="n">
        <v>0</v>
      </c>
      <c r="K4877" t="n">
        <v>0</v>
      </c>
      <c r="L4877" t="n">
        <v>0</v>
      </c>
      <c r="M4877" t="n">
        <v>0</v>
      </c>
      <c r="N4877" t="n">
        <v>0</v>
      </c>
      <c r="O4877" t="n">
        <v>0</v>
      </c>
      <c r="P4877" t="n">
        <v>0</v>
      </c>
      <c r="Q4877" t="n">
        <v>0</v>
      </c>
      <c r="R4877" s="2" t="inlineStr"/>
    </row>
    <row r="4878" ht="15" customHeight="1">
      <c r="A4878" t="inlineStr">
        <is>
          <t>A 34536-2025</t>
        </is>
      </c>
      <c r="B4878" s="1" t="n">
        <v>45847.5141087963</v>
      </c>
      <c r="C4878" s="1" t="n">
        <v>46075</v>
      </c>
      <c r="D4878" t="inlineStr">
        <is>
          <t>VÄSTERBOTTENS LÄN</t>
        </is>
      </c>
      <c r="E4878" t="inlineStr">
        <is>
          <t>SKELLEFTEÅ</t>
        </is>
      </c>
      <c r="G4878" t="n">
        <v>6.6</v>
      </c>
      <c r="H4878" t="n">
        <v>0</v>
      </c>
      <c r="I4878" t="n">
        <v>0</v>
      </c>
      <c r="J4878" t="n">
        <v>0</v>
      </c>
      <c r="K4878" t="n">
        <v>0</v>
      </c>
      <c r="L4878" t="n">
        <v>0</v>
      </c>
      <c r="M4878" t="n">
        <v>0</v>
      </c>
      <c r="N4878" t="n">
        <v>0</v>
      </c>
      <c r="O4878" t="n">
        <v>0</v>
      </c>
      <c r="P4878" t="n">
        <v>0</v>
      </c>
      <c r="Q4878" t="n">
        <v>0</v>
      </c>
      <c r="R4878" s="2" t="inlineStr"/>
    </row>
    <row r="4879" ht="15" customHeight="1">
      <c r="A4879" t="inlineStr">
        <is>
          <t>A 43725-2025</t>
        </is>
      </c>
      <c r="B4879" s="1" t="n">
        <v>45912.42880787037</v>
      </c>
      <c r="C4879" s="1" t="n">
        <v>46075</v>
      </c>
      <c r="D4879" t="inlineStr">
        <is>
          <t>VÄSTERBOTTENS LÄN</t>
        </is>
      </c>
      <c r="E4879" t="inlineStr">
        <is>
          <t>MALÅ</t>
        </is>
      </c>
      <c r="G4879" t="n">
        <v>4.8</v>
      </c>
      <c r="H4879" t="n">
        <v>0</v>
      </c>
      <c r="I4879" t="n">
        <v>0</v>
      </c>
      <c r="J4879" t="n">
        <v>0</v>
      </c>
      <c r="K4879" t="n">
        <v>0</v>
      </c>
      <c r="L4879" t="n">
        <v>0</v>
      </c>
      <c r="M4879" t="n">
        <v>0</v>
      </c>
      <c r="N4879" t="n">
        <v>0</v>
      </c>
      <c r="O4879" t="n">
        <v>0</v>
      </c>
      <c r="P4879" t="n">
        <v>0</v>
      </c>
      <c r="Q4879" t="n">
        <v>0</v>
      </c>
      <c r="R4879" s="2" t="inlineStr"/>
    </row>
    <row r="4880" ht="15" customHeight="1">
      <c r="A4880" t="inlineStr">
        <is>
          <t>A 43727-2025</t>
        </is>
      </c>
      <c r="B4880" s="1" t="n">
        <v>45912.42981481482</v>
      </c>
      <c r="C4880" s="1" t="n">
        <v>46075</v>
      </c>
      <c r="D4880" t="inlineStr">
        <is>
          <t>VÄSTERBOTTENS LÄN</t>
        </is>
      </c>
      <c r="E4880" t="inlineStr">
        <is>
          <t>SKELLEFTEÅ</t>
        </is>
      </c>
      <c r="G4880" t="n">
        <v>4.6</v>
      </c>
      <c r="H4880" t="n">
        <v>0</v>
      </c>
      <c r="I4880" t="n">
        <v>0</v>
      </c>
      <c r="J4880" t="n">
        <v>0</v>
      </c>
      <c r="K4880" t="n">
        <v>0</v>
      </c>
      <c r="L4880" t="n">
        <v>0</v>
      </c>
      <c r="M4880" t="n">
        <v>0</v>
      </c>
      <c r="N4880" t="n">
        <v>0</v>
      </c>
      <c r="O4880" t="n">
        <v>0</v>
      </c>
      <c r="P4880" t="n">
        <v>0</v>
      </c>
      <c r="Q4880" t="n">
        <v>0</v>
      </c>
      <c r="R4880" s="2" t="inlineStr"/>
    </row>
    <row r="4881" ht="15" customHeight="1">
      <c r="A4881" t="inlineStr">
        <is>
          <t>A 43734-2025</t>
        </is>
      </c>
      <c r="B4881" s="1" t="n">
        <v>45912.44119212963</v>
      </c>
      <c r="C4881" s="1" t="n">
        <v>46075</v>
      </c>
      <c r="D4881" t="inlineStr">
        <is>
          <t>VÄSTERBOTTENS LÄN</t>
        </is>
      </c>
      <c r="E4881" t="inlineStr">
        <is>
          <t>VINDELN</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44210-2025</t>
        </is>
      </c>
      <c r="B4882" s="1" t="n">
        <v>45915.63162037037</v>
      </c>
      <c r="C4882" s="1" t="n">
        <v>46075</v>
      </c>
      <c r="D4882" t="inlineStr">
        <is>
          <t>VÄSTERBOTTENS LÄN</t>
        </is>
      </c>
      <c r="E4882" t="inlineStr">
        <is>
          <t>ÅSELE</t>
        </is>
      </c>
      <c r="F4882" t="inlineStr">
        <is>
          <t>Holmen skog AB</t>
        </is>
      </c>
      <c r="G4882" t="n">
        <v>4.5</v>
      </c>
      <c r="H4882" t="n">
        <v>0</v>
      </c>
      <c r="I4882" t="n">
        <v>0</v>
      </c>
      <c r="J4882" t="n">
        <v>0</v>
      </c>
      <c r="K4882" t="n">
        <v>0</v>
      </c>
      <c r="L4882" t="n">
        <v>0</v>
      </c>
      <c r="M4882" t="n">
        <v>0</v>
      </c>
      <c r="N4882" t="n">
        <v>0</v>
      </c>
      <c r="O4882" t="n">
        <v>0</v>
      </c>
      <c r="P4882" t="n">
        <v>0</v>
      </c>
      <c r="Q4882" t="n">
        <v>0</v>
      </c>
      <c r="R4882" s="2" t="inlineStr"/>
    </row>
    <row r="4883" ht="15" customHeight="1">
      <c r="A4883" t="inlineStr">
        <is>
          <t>A 33038-2024</t>
        </is>
      </c>
      <c r="B4883" s="1" t="n">
        <v>45517.60179398148</v>
      </c>
      <c r="C4883" s="1" t="n">
        <v>46075</v>
      </c>
      <c r="D4883" t="inlineStr">
        <is>
          <t>VÄSTERBOTTENS LÄN</t>
        </is>
      </c>
      <c r="E4883" t="inlineStr">
        <is>
          <t>VINDELN</t>
        </is>
      </c>
      <c r="F4883" t="inlineStr">
        <is>
          <t>Sveaskog</t>
        </is>
      </c>
      <c r="G4883" t="n">
        <v>15.2</v>
      </c>
      <c r="H4883" t="n">
        <v>0</v>
      </c>
      <c r="I4883" t="n">
        <v>0</v>
      </c>
      <c r="J4883" t="n">
        <v>0</v>
      </c>
      <c r="K4883" t="n">
        <v>0</v>
      </c>
      <c r="L4883" t="n">
        <v>0</v>
      </c>
      <c r="M4883" t="n">
        <v>0</v>
      </c>
      <c r="N4883" t="n">
        <v>0</v>
      </c>
      <c r="O4883" t="n">
        <v>0</v>
      </c>
      <c r="P4883" t="n">
        <v>0</v>
      </c>
      <c r="Q4883" t="n">
        <v>0</v>
      </c>
      <c r="R4883" s="2" t="inlineStr"/>
    </row>
    <row r="4884" ht="15" customHeight="1">
      <c r="A4884" t="inlineStr">
        <is>
          <t>A 34564-2025</t>
        </is>
      </c>
      <c r="B4884" s="1" t="n">
        <v>45846</v>
      </c>
      <c r="C4884" s="1" t="n">
        <v>46075</v>
      </c>
      <c r="D4884" t="inlineStr">
        <is>
          <t>VÄSTERBOTTENS LÄN</t>
        </is>
      </c>
      <c r="E4884" t="inlineStr">
        <is>
          <t>NORSJÖ</t>
        </is>
      </c>
      <c r="G4884" t="n">
        <v>3.9</v>
      </c>
      <c r="H4884" t="n">
        <v>0</v>
      </c>
      <c r="I4884" t="n">
        <v>0</v>
      </c>
      <c r="J4884" t="n">
        <v>0</v>
      </c>
      <c r="K4884" t="n">
        <v>0</v>
      </c>
      <c r="L4884" t="n">
        <v>0</v>
      </c>
      <c r="M4884" t="n">
        <v>0</v>
      </c>
      <c r="N4884" t="n">
        <v>0</v>
      </c>
      <c r="O4884" t="n">
        <v>0</v>
      </c>
      <c r="P4884" t="n">
        <v>0</v>
      </c>
      <c r="Q4884" t="n">
        <v>0</v>
      </c>
      <c r="R4884" s="2" t="inlineStr"/>
    </row>
    <row r="4885" ht="15" customHeight="1">
      <c r="A4885" t="inlineStr">
        <is>
          <t>A 34503-2025</t>
        </is>
      </c>
      <c r="B4885" s="1" t="n">
        <v>45846</v>
      </c>
      <c r="C4885" s="1" t="n">
        <v>46075</v>
      </c>
      <c r="D4885" t="inlineStr">
        <is>
          <t>VÄSTERBOTTENS LÄN</t>
        </is>
      </c>
      <c r="E4885" t="inlineStr">
        <is>
          <t>DOROTEA</t>
        </is>
      </c>
      <c r="G4885" t="n">
        <v>14.7</v>
      </c>
      <c r="H4885" t="n">
        <v>0</v>
      </c>
      <c r="I4885" t="n">
        <v>0</v>
      </c>
      <c r="J4885" t="n">
        <v>0</v>
      </c>
      <c r="K4885" t="n">
        <v>0</v>
      </c>
      <c r="L4885" t="n">
        <v>0</v>
      </c>
      <c r="M4885" t="n">
        <v>0</v>
      </c>
      <c r="N4885" t="n">
        <v>0</v>
      </c>
      <c r="O4885" t="n">
        <v>0</v>
      </c>
      <c r="P4885" t="n">
        <v>0</v>
      </c>
      <c r="Q4885" t="n">
        <v>0</v>
      </c>
      <c r="R4885" s="2" t="inlineStr"/>
    </row>
    <row r="4886" ht="15" customHeight="1">
      <c r="A4886" t="inlineStr">
        <is>
          <t>A 44227-2025</t>
        </is>
      </c>
      <c r="B4886" s="1" t="n">
        <v>45915.64064814815</v>
      </c>
      <c r="C4886" s="1" t="n">
        <v>46075</v>
      </c>
      <c r="D4886" t="inlineStr">
        <is>
          <t>VÄSTERBOTTENS LÄN</t>
        </is>
      </c>
      <c r="E4886" t="inlineStr">
        <is>
          <t>VINDELN</t>
        </is>
      </c>
      <c r="F4886" t="inlineStr">
        <is>
          <t>Sveaskog</t>
        </is>
      </c>
      <c r="G4886" t="n">
        <v>7.5</v>
      </c>
      <c r="H4886" t="n">
        <v>0</v>
      </c>
      <c r="I4886" t="n">
        <v>0</v>
      </c>
      <c r="J4886" t="n">
        <v>0</v>
      </c>
      <c r="K4886" t="n">
        <v>0</v>
      </c>
      <c r="L4886" t="n">
        <v>0</v>
      </c>
      <c r="M4886" t="n">
        <v>0</v>
      </c>
      <c r="N4886" t="n">
        <v>0</v>
      </c>
      <c r="O4886" t="n">
        <v>0</v>
      </c>
      <c r="P4886" t="n">
        <v>0</v>
      </c>
      <c r="Q4886" t="n">
        <v>0</v>
      </c>
      <c r="R4886" s="2" t="inlineStr"/>
    </row>
    <row r="4887" ht="15" customHeight="1">
      <c r="A4887" t="inlineStr">
        <is>
          <t>A 43743-2025</t>
        </is>
      </c>
      <c r="B4887" s="1" t="n">
        <v>45912.45751157407</v>
      </c>
      <c r="C4887" s="1" t="n">
        <v>46075</v>
      </c>
      <c r="D4887" t="inlineStr">
        <is>
          <t>VÄSTERBOTTENS LÄN</t>
        </is>
      </c>
      <c r="E4887" t="inlineStr">
        <is>
          <t>VINDELN</t>
        </is>
      </c>
      <c r="F4887" t="inlineStr">
        <is>
          <t>Holmen skog AB</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43748-2025</t>
        </is>
      </c>
      <c r="B4888" s="1" t="n">
        <v>45912.46197916667</v>
      </c>
      <c r="C4888" s="1" t="n">
        <v>46075</v>
      </c>
      <c r="D4888" t="inlineStr">
        <is>
          <t>VÄSTERBOTTENS LÄN</t>
        </is>
      </c>
      <c r="E4888" t="inlineStr">
        <is>
          <t>NORSJÖ</t>
        </is>
      </c>
      <c r="F4888" t="inlineStr">
        <is>
          <t>Sveaskog</t>
        </is>
      </c>
      <c r="G4888" t="n">
        <v>4.5</v>
      </c>
      <c r="H4888" t="n">
        <v>0</v>
      </c>
      <c r="I4888" t="n">
        <v>0</v>
      </c>
      <c r="J4888" t="n">
        <v>0</v>
      </c>
      <c r="K4888" t="n">
        <v>0</v>
      </c>
      <c r="L4888" t="n">
        <v>0</v>
      </c>
      <c r="M4888" t="n">
        <v>0</v>
      </c>
      <c r="N4888" t="n">
        <v>0</v>
      </c>
      <c r="O4888" t="n">
        <v>0</v>
      </c>
      <c r="P4888" t="n">
        <v>0</v>
      </c>
      <c r="Q4888" t="n">
        <v>0</v>
      </c>
      <c r="R4888" s="2" t="inlineStr"/>
    </row>
    <row r="4889" ht="15" customHeight="1">
      <c r="A4889" t="inlineStr">
        <is>
          <t>A 25346-2024</t>
        </is>
      </c>
      <c r="B4889" s="1" t="n">
        <v>45462</v>
      </c>
      <c r="C4889" s="1" t="n">
        <v>46075</v>
      </c>
      <c r="D4889" t="inlineStr">
        <is>
          <t>VÄSTERBOTTENS LÄN</t>
        </is>
      </c>
      <c r="E4889" t="inlineStr">
        <is>
          <t>UMEÅ</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25399-2024</t>
        </is>
      </c>
      <c r="B4890" s="1" t="n">
        <v>45463</v>
      </c>
      <c r="C4890" s="1" t="n">
        <v>46075</v>
      </c>
      <c r="D4890" t="inlineStr">
        <is>
          <t>VÄSTERBOTTENS LÄN</t>
        </is>
      </c>
      <c r="E4890" t="inlineStr">
        <is>
          <t>VINDELN</t>
        </is>
      </c>
      <c r="F4890" t="inlineStr">
        <is>
          <t>Sveaskog</t>
        </is>
      </c>
      <c r="G4890" t="n">
        <v>7</v>
      </c>
      <c r="H4890" t="n">
        <v>0</v>
      </c>
      <c r="I4890" t="n">
        <v>0</v>
      </c>
      <c r="J4890" t="n">
        <v>0</v>
      </c>
      <c r="K4890" t="n">
        <v>0</v>
      </c>
      <c r="L4890" t="n">
        <v>0</v>
      </c>
      <c r="M4890" t="n">
        <v>0</v>
      </c>
      <c r="N4890" t="n">
        <v>0</v>
      </c>
      <c r="O4890" t="n">
        <v>0</v>
      </c>
      <c r="P4890" t="n">
        <v>0</v>
      </c>
      <c r="Q4890" t="n">
        <v>0</v>
      </c>
      <c r="R4890" s="2" t="inlineStr"/>
    </row>
    <row r="4891" ht="15" customHeight="1">
      <c r="A4891" t="inlineStr">
        <is>
          <t>A 27305-2024</t>
        </is>
      </c>
      <c r="B4891" s="1" t="n">
        <v>45471.9444212963</v>
      </c>
      <c r="C4891" s="1" t="n">
        <v>46075</v>
      </c>
      <c r="D4891" t="inlineStr">
        <is>
          <t>VÄSTERBOTTENS LÄN</t>
        </is>
      </c>
      <c r="E4891" t="inlineStr">
        <is>
          <t>DOROTEA</t>
        </is>
      </c>
      <c r="F4891" t="inlineStr">
        <is>
          <t>SCA</t>
        </is>
      </c>
      <c r="G4891" t="n">
        <v>4.6</v>
      </c>
      <c r="H4891" t="n">
        <v>0</v>
      </c>
      <c r="I4891" t="n">
        <v>0</v>
      </c>
      <c r="J4891" t="n">
        <v>0</v>
      </c>
      <c r="K4891" t="n">
        <v>0</v>
      </c>
      <c r="L4891" t="n">
        <v>0</v>
      </c>
      <c r="M4891" t="n">
        <v>0</v>
      </c>
      <c r="N4891" t="n">
        <v>0</v>
      </c>
      <c r="O4891" t="n">
        <v>0</v>
      </c>
      <c r="P4891" t="n">
        <v>0</v>
      </c>
      <c r="Q4891" t="n">
        <v>0</v>
      </c>
      <c r="R4891" s="2" t="inlineStr"/>
    </row>
    <row r="4892" ht="15" customHeight="1">
      <c r="A4892" t="inlineStr">
        <is>
          <t>A 36713-2024</t>
        </is>
      </c>
      <c r="B4892" s="1" t="n">
        <v>45537</v>
      </c>
      <c r="C4892" s="1" t="n">
        <v>46075</v>
      </c>
      <c r="D4892" t="inlineStr">
        <is>
          <t>VÄSTERBOTTENS LÄN</t>
        </is>
      </c>
      <c r="E4892" t="inlineStr">
        <is>
          <t>STORUMAN</t>
        </is>
      </c>
      <c r="F4892" t="inlineStr">
        <is>
          <t>Holmen skog AB</t>
        </is>
      </c>
      <c r="G4892" t="n">
        <v>10.3</v>
      </c>
      <c r="H4892" t="n">
        <v>0</v>
      </c>
      <c r="I4892" t="n">
        <v>0</v>
      </c>
      <c r="J4892" t="n">
        <v>0</v>
      </c>
      <c r="K4892" t="n">
        <v>0</v>
      </c>
      <c r="L4892" t="n">
        <v>0</v>
      </c>
      <c r="M4892" t="n">
        <v>0</v>
      </c>
      <c r="N4892" t="n">
        <v>0</v>
      </c>
      <c r="O4892" t="n">
        <v>0</v>
      </c>
      <c r="P4892" t="n">
        <v>0</v>
      </c>
      <c r="Q4892" t="n">
        <v>0</v>
      </c>
      <c r="R4892" s="2" t="inlineStr"/>
    </row>
    <row r="4893" ht="15" customHeight="1">
      <c r="A4893" t="inlineStr">
        <is>
          <t>A 34601-2025</t>
        </is>
      </c>
      <c r="B4893" s="1" t="n">
        <v>45846</v>
      </c>
      <c r="C4893" s="1" t="n">
        <v>46075</v>
      </c>
      <c r="D4893" t="inlineStr">
        <is>
          <t>VÄSTERBOTTENS LÄN</t>
        </is>
      </c>
      <c r="E4893" t="inlineStr">
        <is>
          <t>NORDMALING</t>
        </is>
      </c>
      <c r="G4893" t="n">
        <v>5.4</v>
      </c>
      <c r="H4893" t="n">
        <v>0</v>
      </c>
      <c r="I4893" t="n">
        <v>0</v>
      </c>
      <c r="J4893" t="n">
        <v>0</v>
      </c>
      <c r="K4893" t="n">
        <v>0</v>
      </c>
      <c r="L4893" t="n">
        <v>0</v>
      </c>
      <c r="M4893" t="n">
        <v>0</v>
      </c>
      <c r="N4893" t="n">
        <v>0</v>
      </c>
      <c r="O4893" t="n">
        <v>0</v>
      </c>
      <c r="P4893" t="n">
        <v>0</v>
      </c>
      <c r="Q4893" t="n">
        <v>0</v>
      </c>
      <c r="R4893" s="2" t="inlineStr"/>
    </row>
    <row r="4894" ht="15" customHeight="1">
      <c r="A4894" t="inlineStr">
        <is>
          <t>A 29649-2021</t>
        </is>
      </c>
      <c r="B4894" s="1" t="n">
        <v>44362</v>
      </c>
      <c r="C4894" s="1" t="n">
        <v>46075</v>
      </c>
      <c r="D4894" t="inlineStr">
        <is>
          <t>VÄSTERBOTTENS LÄN</t>
        </is>
      </c>
      <c r="E4894" t="inlineStr">
        <is>
          <t>SKELLEFTEÅ</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44061-2025</t>
        </is>
      </c>
      <c r="B4895" s="1" t="n">
        <v>45915.53731481481</v>
      </c>
      <c r="C4895" s="1" t="n">
        <v>46075</v>
      </c>
      <c r="D4895" t="inlineStr">
        <is>
          <t>VÄSTERBOTTENS LÄN</t>
        </is>
      </c>
      <c r="E4895" t="inlineStr">
        <is>
          <t>SKELLEFTEÅ</t>
        </is>
      </c>
      <c r="F4895" t="inlineStr">
        <is>
          <t>Sveaskog</t>
        </is>
      </c>
      <c r="G4895" t="n">
        <v>11.8</v>
      </c>
      <c r="H4895" t="n">
        <v>0</v>
      </c>
      <c r="I4895" t="n">
        <v>0</v>
      </c>
      <c r="J4895" t="n">
        <v>0</v>
      </c>
      <c r="K4895" t="n">
        <v>0</v>
      </c>
      <c r="L4895" t="n">
        <v>0</v>
      </c>
      <c r="M4895" t="n">
        <v>0</v>
      </c>
      <c r="N4895" t="n">
        <v>0</v>
      </c>
      <c r="O4895" t="n">
        <v>0</v>
      </c>
      <c r="P4895" t="n">
        <v>0</v>
      </c>
      <c r="Q4895" t="n">
        <v>0</v>
      </c>
      <c r="R4895" s="2" t="inlineStr"/>
    </row>
    <row r="4896" ht="15" customHeight="1">
      <c r="A4896" t="inlineStr">
        <is>
          <t>A 44072-2025</t>
        </is>
      </c>
      <c r="B4896" s="1" t="n">
        <v>45915.54738425926</v>
      </c>
      <c r="C4896" s="1" t="n">
        <v>46075</v>
      </c>
      <c r="D4896" t="inlineStr">
        <is>
          <t>VÄSTERBOTTENS LÄN</t>
        </is>
      </c>
      <c r="E4896" t="inlineStr">
        <is>
          <t>VINDELN</t>
        </is>
      </c>
      <c r="F4896" t="inlineStr">
        <is>
          <t>Sveaskog</t>
        </is>
      </c>
      <c r="G4896" t="n">
        <v>5.2</v>
      </c>
      <c r="H4896" t="n">
        <v>0</v>
      </c>
      <c r="I4896" t="n">
        <v>0</v>
      </c>
      <c r="J4896" t="n">
        <v>0</v>
      </c>
      <c r="K4896" t="n">
        <v>0</v>
      </c>
      <c r="L4896" t="n">
        <v>0</v>
      </c>
      <c r="M4896" t="n">
        <v>0</v>
      </c>
      <c r="N4896" t="n">
        <v>0</v>
      </c>
      <c r="O4896" t="n">
        <v>0</v>
      </c>
      <c r="P4896" t="n">
        <v>0</v>
      </c>
      <c r="Q4896" t="n">
        <v>0</v>
      </c>
      <c r="R4896" s="2" t="inlineStr"/>
    </row>
    <row r="4897" ht="15" customHeight="1">
      <c r="A4897" t="inlineStr">
        <is>
          <t>A 34569-2025</t>
        </is>
      </c>
      <c r="B4897" s="1" t="n">
        <v>45847.58480324074</v>
      </c>
      <c r="C4897" s="1" t="n">
        <v>46075</v>
      </c>
      <c r="D4897" t="inlineStr">
        <is>
          <t>VÄSTERBOTTENS LÄN</t>
        </is>
      </c>
      <c r="E4897" t="inlineStr">
        <is>
          <t>VILHELMINA</t>
        </is>
      </c>
      <c r="G4897" t="n">
        <v>5.3</v>
      </c>
      <c r="H4897" t="n">
        <v>0</v>
      </c>
      <c r="I4897" t="n">
        <v>0</v>
      </c>
      <c r="J4897" t="n">
        <v>0</v>
      </c>
      <c r="K4897" t="n">
        <v>0</v>
      </c>
      <c r="L4897" t="n">
        <v>0</v>
      </c>
      <c r="M4897" t="n">
        <v>0</v>
      </c>
      <c r="N4897" t="n">
        <v>0</v>
      </c>
      <c r="O4897" t="n">
        <v>0</v>
      </c>
      <c r="P4897" t="n">
        <v>0</v>
      </c>
      <c r="Q4897" t="n">
        <v>0</v>
      </c>
      <c r="R4897" s="2" t="inlineStr"/>
    </row>
    <row r="4898" ht="15" customHeight="1">
      <c r="A4898" t="inlineStr">
        <is>
          <t>A 44322-2025</t>
        </is>
      </c>
      <c r="B4898" s="1" t="n">
        <v>45915</v>
      </c>
      <c r="C4898" s="1" t="n">
        <v>46075</v>
      </c>
      <c r="D4898" t="inlineStr">
        <is>
          <t>VÄSTERBOTTENS LÄN</t>
        </is>
      </c>
      <c r="E4898" t="inlineStr">
        <is>
          <t>DOROTEA</t>
        </is>
      </c>
      <c r="G4898" t="n">
        <v>14.1</v>
      </c>
      <c r="H4898" t="n">
        <v>0</v>
      </c>
      <c r="I4898" t="n">
        <v>0</v>
      </c>
      <c r="J4898" t="n">
        <v>0</v>
      </c>
      <c r="K4898" t="n">
        <v>0</v>
      </c>
      <c r="L4898" t="n">
        <v>0</v>
      </c>
      <c r="M4898" t="n">
        <v>0</v>
      </c>
      <c r="N4898" t="n">
        <v>0</v>
      </c>
      <c r="O4898" t="n">
        <v>0</v>
      </c>
      <c r="P4898" t="n">
        <v>0</v>
      </c>
      <c r="Q4898" t="n">
        <v>0</v>
      </c>
      <c r="R4898" s="2" t="inlineStr"/>
    </row>
    <row r="4899" ht="15" customHeight="1">
      <c r="A4899" t="inlineStr">
        <is>
          <t>A 40732-2024</t>
        </is>
      </c>
      <c r="B4899" s="1" t="n">
        <v>45558</v>
      </c>
      <c r="C4899" s="1" t="n">
        <v>46075</v>
      </c>
      <c r="D4899" t="inlineStr">
        <is>
          <t>VÄSTERBOTTENS LÄN</t>
        </is>
      </c>
      <c r="E4899" t="inlineStr">
        <is>
          <t>VILHELMINA</t>
        </is>
      </c>
      <c r="F4899" t="inlineStr">
        <is>
          <t>Allmännings- och besparingsskogar</t>
        </is>
      </c>
      <c r="G4899" t="n">
        <v>90</v>
      </c>
      <c r="H4899" t="n">
        <v>0</v>
      </c>
      <c r="I4899" t="n">
        <v>0</v>
      </c>
      <c r="J4899" t="n">
        <v>0</v>
      </c>
      <c r="K4899" t="n">
        <v>0</v>
      </c>
      <c r="L4899" t="n">
        <v>0</v>
      </c>
      <c r="M4899" t="n">
        <v>0</v>
      </c>
      <c r="N4899" t="n">
        <v>0</v>
      </c>
      <c r="O4899" t="n">
        <v>0</v>
      </c>
      <c r="P4899" t="n">
        <v>0</v>
      </c>
      <c r="Q4899" t="n">
        <v>0</v>
      </c>
      <c r="R4899" s="2" t="inlineStr"/>
    </row>
    <row r="4900" ht="15" customHeight="1">
      <c r="A4900" t="inlineStr">
        <is>
          <t>A 34542-2025</t>
        </is>
      </c>
      <c r="B4900" s="1" t="n">
        <v>45847.53211805555</v>
      </c>
      <c r="C4900" s="1" t="n">
        <v>46075</v>
      </c>
      <c r="D4900" t="inlineStr">
        <is>
          <t>VÄSTERBOTTENS LÄN</t>
        </is>
      </c>
      <c r="E4900" t="inlineStr">
        <is>
          <t>VILHELMINA</t>
        </is>
      </c>
      <c r="F4900" t="inlineStr">
        <is>
          <t>SCA</t>
        </is>
      </c>
      <c r="G4900" t="n">
        <v>0.4</v>
      </c>
      <c r="H4900" t="n">
        <v>0</v>
      </c>
      <c r="I4900" t="n">
        <v>0</v>
      </c>
      <c r="J4900" t="n">
        <v>0</v>
      </c>
      <c r="K4900" t="n">
        <v>0</v>
      </c>
      <c r="L4900" t="n">
        <v>0</v>
      </c>
      <c r="M4900" t="n">
        <v>0</v>
      </c>
      <c r="N4900" t="n">
        <v>0</v>
      </c>
      <c r="O4900" t="n">
        <v>0</v>
      </c>
      <c r="P4900" t="n">
        <v>0</v>
      </c>
      <c r="Q4900" t="n">
        <v>0</v>
      </c>
      <c r="R4900" s="2" t="inlineStr"/>
    </row>
    <row r="4901" ht="15" customHeight="1">
      <c r="A4901" t="inlineStr">
        <is>
          <t>A 59031-2024</t>
        </is>
      </c>
      <c r="B4901" s="1" t="n">
        <v>45636</v>
      </c>
      <c r="C4901" s="1" t="n">
        <v>46075</v>
      </c>
      <c r="D4901" t="inlineStr">
        <is>
          <t>VÄSTERBOTTENS LÄN</t>
        </is>
      </c>
      <c r="E4901" t="inlineStr">
        <is>
          <t>VILHELMINA</t>
        </is>
      </c>
      <c r="G4901" t="n">
        <v>40</v>
      </c>
      <c r="H4901" t="n">
        <v>0</v>
      </c>
      <c r="I4901" t="n">
        <v>0</v>
      </c>
      <c r="J4901" t="n">
        <v>0</v>
      </c>
      <c r="K4901" t="n">
        <v>0</v>
      </c>
      <c r="L4901" t="n">
        <v>0</v>
      </c>
      <c r="M4901" t="n">
        <v>0</v>
      </c>
      <c r="N4901" t="n">
        <v>0</v>
      </c>
      <c r="O4901" t="n">
        <v>0</v>
      </c>
      <c r="P4901" t="n">
        <v>0</v>
      </c>
      <c r="Q4901" t="n">
        <v>0</v>
      </c>
      <c r="R4901" s="2" t="inlineStr"/>
    </row>
    <row r="4902" ht="15" customHeight="1">
      <c r="A4902" t="inlineStr">
        <is>
          <t>A 31058-2024</t>
        </is>
      </c>
      <c r="B4902" s="1" t="n">
        <v>45502</v>
      </c>
      <c r="C4902" s="1" t="n">
        <v>46075</v>
      </c>
      <c r="D4902" t="inlineStr">
        <is>
          <t>VÄSTERBOTTENS LÄN</t>
        </is>
      </c>
      <c r="E4902" t="inlineStr">
        <is>
          <t>ROBERTSFORS</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31059-2024</t>
        </is>
      </c>
      <c r="B4903" s="1" t="n">
        <v>45502</v>
      </c>
      <c r="C4903" s="1" t="n">
        <v>46075</v>
      </c>
      <c r="D4903" t="inlineStr">
        <is>
          <t>VÄSTERBOTTENS LÄN</t>
        </is>
      </c>
      <c r="E4903" t="inlineStr">
        <is>
          <t>ROBERTSFORS</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33120-2023</t>
        </is>
      </c>
      <c r="B4904" s="1" t="n">
        <v>45114</v>
      </c>
      <c r="C4904" s="1" t="n">
        <v>46075</v>
      </c>
      <c r="D4904" t="inlineStr">
        <is>
          <t>VÄSTERBOTTENS LÄN</t>
        </is>
      </c>
      <c r="E4904" t="inlineStr">
        <is>
          <t>VINDELN</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44106-2025</t>
        </is>
      </c>
      <c r="B4905" s="1" t="n">
        <v>45915.57119212963</v>
      </c>
      <c r="C4905" s="1" t="n">
        <v>46075</v>
      </c>
      <c r="D4905" t="inlineStr">
        <is>
          <t>VÄSTERBOTTENS LÄN</t>
        </is>
      </c>
      <c r="E4905" t="inlineStr">
        <is>
          <t>SKELLEFTEÅ</t>
        </is>
      </c>
      <c r="G4905" t="n">
        <v>4.4</v>
      </c>
      <c r="H4905" t="n">
        <v>0</v>
      </c>
      <c r="I4905" t="n">
        <v>0</v>
      </c>
      <c r="J4905" t="n">
        <v>0</v>
      </c>
      <c r="K4905" t="n">
        <v>0</v>
      </c>
      <c r="L4905" t="n">
        <v>0</v>
      </c>
      <c r="M4905" t="n">
        <v>0</v>
      </c>
      <c r="N4905" t="n">
        <v>0</v>
      </c>
      <c r="O4905" t="n">
        <v>0</v>
      </c>
      <c r="P4905" t="n">
        <v>0</v>
      </c>
      <c r="Q4905" t="n">
        <v>0</v>
      </c>
      <c r="R4905" s="2" t="inlineStr"/>
    </row>
    <row r="4906" ht="15" customHeight="1">
      <c r="A4906" t="inlineStr">
        <is>
          <t>A 44109-2025</t>
        </is>
      </c>
      <c r="B4906" s="1" t="n">
        <v>45915.57237268519</v>
      </c>
      <c r="C4906" s="1" t="n">
        <v>46075</v>
      </c>
      <c r="D4906" t="inlineStr">
        <is>
          <t>VÄSTERBOTTENS LÄN</t>
        </is>
      </c>
      <c r="E4906" t="inlineStr">
        <is>
          <t>VINDELN</t>
        </is>
      </c>
      <c r="F4906" t="inlineStr">
        <is>
          <t>Sveaskog</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44115-2025</t>
        </is>
      </c>
      <c r="B4907" s="1" t="n">
        <v>45915.57604166667</v>
      </c>
      <c r="C4907" s="1" t="n">
        <v>46075</v>
      </c>
      <c r="D4907" t="inlineStr">
        <is>
          <t>VÄSTERBOTTENS LÄN</t>
        </is>
      </c>
      <c r="E4907" t="inlineStr">
        <is>
          <t>VINDELN</t>
        </is>
      </c>
      <c r="F4907" t="inlineStr">
        <is>
          <t>Sveaskog</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43685-2025</t>
        </is>
      </c>
      <c r="B4908" s="1" t="n">
        <v>45912.38184027778</v>
      </c>
      <c r="C4908" s="1" t="n">
        <v>46075</v>
      </c>
      <c r="D4908" t="inlineStr">
        <is>
          <t>VÄSTERBOTTENS LÄN</t>
        </is>
      </c>
      <c r="E4908" t="inlineStr">
        <is>
          <t>VÄNNÄS</t>
        </is>
      </c>
      <c r="G4908" t="n">
        <v>3.6</v>
      </c>
      <c r="H4908" t="n">
        <v>0</v>
      </c>
      <c r="I4908" t="n">
        <v>0</v>
      </c>
      <c r="J4908" t="n">
        <v>0</v>
      </c>
      <c r="K4908" t="n">
        <v>0</v>
      </c>
      <c r="L4908" t="n">
        <v>0</v>
      </c>
      <c r="M4908" t="n">
        <v>0</v>
      </c>
      <c r="N4908" t="n">
        <v>0</v>
      </c>
      <c r="O4908" t="n">
        <v>0</v>
      </c>
      <c r="P4908" t="n">
        <v>0</v>
      </c>
      <c r="Q4908" t="n">
        <v>0</v>
      </c>
      <c r="R4908" s="2" t="inlineStr"/>
    </row>
    <row r="4909" ht="15" customHeight="1">
      <c r="A4909" t="inlineStr">
        <is>
          <t>A 34681-2025</t>
        </is>
      </c>
      <c r="B4909" s="1" t="n">
        <v>45848.42844907408</v>
      </c>
      <c r="C4909" s="1" t="n">
        <v>46075</v>
      </c>
      <c r="D4909" t="inlineStr">
        <is>
          <t>VÄSTERBOTTENS LÄN</t>
        </is>
      </c>
      <c r="E4909" t="inlineStr">
        <is>
          <t>DOROTEA</t>
        </is>
      </c>
      <c r="F4909" t="inlineStr">
        <is>
          <t>SCA</t>
        </is>
      </c>
      <c r="G4909" t="n">
        <v>0.4</v>
      </c>
      <c r="H4909" t="n">
        <v>0</v>
      </c>
      <c r="I4909" t="n">
        <v>0</v>
      </c>
      <c r="J4909" t="n">
        <v>0</v>
      </c>
      <c r="K4909" t="n">
        <v>0</v>
      </c>
      <c r="L4909" t="n">
        <v>0</v>
      </c>
      <c r="M4909" t="n">
        <v>0</v>
      </c>
      <c r="N4909" t="n">
        <v>0</v>
      </c>
      <c r="O4909" t="n">
        <v>0</v>
      </c>
      <c r="P4909" t="n">
        <v>0</v>
      </c>
      <c r="Q4909" t="n">
        <v>0</v>
      </c>
      <c r="R4909" s="2" t="inlineStr"/>
    </row>
    <row r="4910" ht="15" customHeight="1">
      <c r="A4910" t="inlineStr">
        <is>
          <t>A 44063-2025</t>
        </is>
      </c>
      <c r="B4910" s="1" t="n">
        <v>45915.53975694445</v>
      </c>
      <c r="C4910" s="1" t="n">
        <v>46075</v>
      </c>
      <c r="D4910" t="inlineStr">
        <is>
          <t>VÄSTERBOTTENS LÄN</t>
        </is>
      </c>
      <c r="E4910" t="inlineStr">
        <is>
          <t>SKELLEFTEÅ</t>
        </is>
      </c>
      <c r="F4910" t="inlineStr">
        <is>
          <t>Sveaskog</t>
        </is>
      </c>
      <c r="G4910" t="n">
        <v>16.1</v>
      </c>
      <c r="H4910" t="n">
        <v>0</v>
      </c>
      <c r="I4910" t="n">
        <v>0</v>
      </c>
      <c r="J4910" t="n">
        <v>0</v>
      </c>
      <c r="K4910" t="n">
        <v>0</v>
      </c>
      <c r="L4910" t="n">
        <v>0</v>
      </c>
      <c r="M4910" t="n">
        <v>0</v>
      </c>
      <c r="N4910" t="n">
        <v>0</v>
      </c>
      <c r="O4910" t="n">
        <v>0</v>
      </c>
      <c r="P4910" t="n">
        <v>0</v>
      </c>
      <c r="Q4910" t="n">
        <v>0</v>
      </c>
      <c r="R4910" s="2" t="inlineStr"/>
    </row>
    <row r="4911" ht="15" customHeight="1">
      <c r="A4911" t="inlineStr">
        <is>
          <t>A 34905-2025</t>
        </is>
      </c>
      <c r="B4911" s="1" t="n">
        <v>45849.51625</v>
      </c>
      <c r="C4911" s="1" t="n">
        <v>46075</v>
      </c>
      <c r="D4911" t="inlineStr">
        <is>
          <t>VÄSTERBOTTENS LÄN</t>
        </is>
      </c>
      <c r="E4911" t="inlineStr">
        <is>
          <t>LYCKSELE</t>
        </is>
      </c>
      <c r="F4911" t="inlineStr">
        <is>
          <t>Sveaskog</t>
        </is>
      </c>
      <c r="G4911" t="n">
        <v>6.9</v>
      </c>
      <c r="H4911" t="n">
        <v>0</v>
      </c>
      <c r="I4911" t="n">
        <v>0</v>
      </c>
      <c r="J4911" t="n">
        <v>0</v>
      </c>
      <c r="K4911" t="n">
        <v>0</v>
      </c>
      <c r="L4911" t="n">
        <v>0</v>
      </c>
      <c r="M4911" t="n">
        <v>0</v>
      </c>
      <c r="N4911" t="n">
        <v>0</v>
      </c>
      <c r="O4911" t="n">
        <v>0</v>
      </c>
      <c r="P4911" t="n">
        <v>0</v>
      </c>
      <c r="Q4911" t="n">
        <v>0</v>
      </c>
      <c r="R4911" s="2" t="inlineStr"/>
    </row>
    <row r="4912" ht="15" customHeight="1">
      <c r="A4912" t="inlineStr">
        <is>
          <t>A 11061-2025</t>
        </is>
      </c>
      <c r="B4912" s="1" t="n">
        <v>45723.51538194445</v>
      </c>
      <c r="C4912" s="1" t="n">
        <v>46075</v>
      </c>
      <c r="D4912" t="inlineStr">
        <is>
          <t>VÄSTERBOTTENS LÄN</t>
        </is>
      </c>
      <c r="E4912" t="inlineStr">
        <is>
          <t>UMEÅ</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44602-2025</t>
        </is>
      </c>
      <c r="B4913" s="1" t="n">
        <v>45917.43920138889</v>
      </c>
      <c r="C4913" s="1" t="n">
        <v>46075</v>
      </c>
      <c r="D4913" t="inlineStr">
        <is>
          <t>VÄSTERBOTTENS LÄN</t>
        </is>
      </c>
      <c r="E4913" t="inlineStr">
        <is>
          <t>SKELLEFTEÅ</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34924-2025</t>
        </is>
      </c>
      <c r="B4914" s="1" t="n">
        <v>45849.55733796296</v>
      </c>
      <c r="C4914" s="1" t="n">
        <v>46075</v>
      </c>
      <c r="D4914" t="inlineStr">
        <is>
          <t>VÄSTERBOTTENS LÄN</t>
        </is>
      </c>
      <c r="E4914" t="inlineStr">
        <is>
          <t>LYCKSELE</t>
        </is>
      </c>
      <c r="F4914" t="inlineStr">
        <is>
          <t>Sveaskog</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34740-2025</t>
        </is>
      </c>
      <c r="B4915" s="1" t="n">
        <v>45848.60824074074</v>
      </c>
      <c r="C4915" s="1" t="n">
        <v>46075</v>
      </c>
      <c r="D4915" t="inlineStr">
        <is>
          <t>VÄSTERBOTTENS LÄN</t>
        </is>
      </c>
      <c r="E4915" t="inlineStr">
        <is>
          <t>ROBERTSFORS</t>
        </is>
      </c>
      <c r="F4915" t="inlineStr">
        <is>
          <t>Holmen skog AB</t>
        </is>
      </c>
      <c r="G4915" t="n">
        <v>14.7</v>
      </c>
      <c r="H4915" t="n">
        <v>0</v>
      </c>
      <c r="I4915" t="n">
        <v>0</v>
      </c>
      <c r="J4915" t="n">
        <v>0</v>
      </c>
      <c r="K4915" t="n">
        <v>0</v>
      </c>
      <c r="L4915" t="n">
        <v>0</v>
      </c>
      <c r="M4915" t="n">
        <v>0</v>
      </c>
      <c r="N4915" t="n">
        <v>0</v>
      </c>
      <c r="O4915" t="n">
        <v>0</v>
      </c>
      <c r="P4915" t="n">
        <v>0</v>
      </c>
      <c r="Q4915" t="n">
        <v>0</v>
      </c>
      <c r="R4915" s="2" t="inlineStr"/>
    </row>
    <row r="4916" ht="15" customHeight="1">
      <c r="A4916" t="inlineStr">
        <is>
          <t>A 60601-2023</t>
        </is>
      </c>
      <c r="B4916" s="1" t="n">
        <v>45260</v>
      </c>
      <c r="C4916" s="1" t="n">
        <v>46075</v>
      </c>
      <c r="D4916" t="inlineStr">
        <is>
          <t>VÄSTERBOTTENS LÄN</t>
        </is>
      </c>
      <c r="E4916" t="inlineStr">
        <is>
          <t>SKELLEFTEÅ</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44351-2025</t>
        </is>
      </c>
      <c r="B4917" s="1" t="n">
        <v>45916.44199074074</v>
      </c>
      <c r="C4917" s="1" t="n">
        <v>46075</v>
      </c>
      <c r="D4917" t="inlineStr">
        <is>
          <t>VÄSTERBOTTENS LÄN</t>
        </is>
      </c>
      <c r="E4917" t="inlineStr">
        <is>
          <t>LYCKSELE</t>
        </is>
      </c>
      <c r="F4917" t="inlineStr">
        <is>
          <t>Sveaskog</t>
        </is>
      </c>
      <c r="G4917" t="n">
        <v>3.4</v>
      </c>
      <c r="H4917" t="n">
        <v>0</v>
      </c>
      <c r="I4917" t="n">
        <v>0</v>
      </c>
      <c r="J4917" t="n">
        <v>0</v>
      </c>
      <c r="K4917" t="n">
        <v>0</v>
      </c>
      <c r="L4917" t="n">
        <v>0</v>
      </c>
      <c r="M4917" t="n">
        <v>0</v>
      </c>
      <c r="N4917" t="n">
        <v>0</v>
      </c>
      <c r="O4917" t="n">
        <v>0</v>
      </c>
      <c r="P4917" t="n">
        <v>0</v>
      </c>
      <c r="Q4917" t="n">
        <v>0</v>
      </c>
      <c r="R4917" s="2" t="inlineStr"/>
    </row>
    <row r="4918" ht="15" customHeight="1">
      <c r="A4918" t="inlineStr">
        <is>
          <t>A 44478-2025</t>
        </is>
      </c>
      <c r="B4918" s="1" t="n">
        <v>45916.64693287037</v>
      </c>
      <c r="C4918" s="1" t="n">
        <v>46075</v>
      </c>
      <c r="D4918" t="inlineStr">
        <is>
          <t>VÄSTERBOTTENS LÄN</t>
        </is>
      </c>
      <c r="E4918" t="inlineStr">
        <is>
          <t>SORSELE</t>
        </is>
      </c>
      <c r="F4918" t="inlineStr">
        <is>
          <t>Sveaskog</t>
        </is>
      </c>
      <c r="G4918" t="n">
        <v>4.5</v>
      </c>
      <c r="H4918" t="n">
        <v>0</v>
      </c>
      <c r="I4918" t="n">
        <v>0</v>
      </c>
      <c r="J4918" t="n">
        <v>0</v>
      </c>
      <c r="K4918" t="n">
        <v>0</v>
      </c>
      <c r="L4918" t="n">
        <v>0</v>
      </c>
      <c r="M4918" t="n">
        <v>0</v>
      </c>
      <c r="N4918" t="n">
        <v>0</v>
      </c>
      <c r="O4918" t="n">
        <v>0</v>
      </c>
      <c r="P4918" t="n">
        <v>0</v>
      </c>
      <c r="Q4918" t="n">
        <v>0</v>
      </c>
      <c r="R4918" s="2" t="inlineStr"/>
    </row>
    <row r="4919" ht="15" customHeight="1">
      <c r="A4919" t="inlineStr">
        <is>
          <t>A 44714-2025</t>
        </is>
      </c>
      <c r="B4919" s="1" t="n">
        <v>45917.62650462963</v>
      </c>
      <c r="C4919" s="1" t="n">
        <v>46075</v>
      </c>
      <c r="D4919" t="inlineStr">
        <is>
          <t>VÄSTERBOTTENS LÄN</t>
        </is>
      </c>
      <c r="E4919" t="inlineStr">
        <is>
          <t>SKELLEFTEÅ</t>
        </is>
      </c>
      <c r="F4919" t="inlineStr">
        <is>
          <t>Sveaskog</t>
        </is>
      </c>
      <c r="G4919" t="n">
        <v>8.1</v>
      </c>
      <c r="H4919" t="n">
        <v>0</v>
      </c>
      <c r="I4919" t="n">
        <v>0</v>
      </c>
      <c r="J4919" t="n">
        <v>0</v>
      </c>
      <c r="K4919" t="n">
        <v>0</v>
      </c>
      <c r="L4919" t="n">
        <v>0</v>
      </c>
      <c r="M4919" t="n">
        <v>0</v>
      </c>
      <c r="N4919" t="n">
        <v>0</v>
      </c>
      <c r="O4919" t="n">
        <v>0</v>
      </c>
      <c r="P4919" t="n">
        <v>0</v>
      </c>
      <c r="Q4919" t="n">
        <v>0</v>
      </c>
      <c r="R4919" s="2" t="inlineStr"/>
    </row>
    <row r="4920" ht="15" customHeight="1">
      <c r="A4920" t="inlineStr">
        <is>
          <t>A 44739-2025</t>
        </is>
      </c>
      <c r="B4920" s="1" t="n">
        <v>45917.66063657407</v>
      </c>
      <c r="C4920" s="1" t="n">
        <v>46075</v>
      </c>
      <c r="D4920" t="inlineStr">
        <is>
          <t>VÄSTERBOTTENS LÄN</t>
        </is>
      </c>
      <c r="E4920" t="inlineStr">
        <is>
          <t>SKELLEFTEÅ</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42249-2024</t>
        </is>
      </c>
      <c r="B4921" s="1" t="n">
        <v>45562.5778587963</v>
      </c>
      <c r="C4921" s="1" t="n">
        <v>46075</v>
      </c>
      <c r="D4921" t="inlineStr">
        <is>
          <t>VÄSTERBOTTENS LÄN</t>
        </is>
      </c>
      <c r="E4921" t="inlineStr">
        <is>
          <t>SKELLEFTEÅ</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53034-2023</t>
        </is>
      </c>
      <c r="B4922" s="1" t="n">
        <v>45226.96258101852</v>
      </c>
      <c r="C4922" s="1" t="n">
        <v>46075</v>
      </c>
      <c r="D4922" t="inlineStr">
        <is>
          <t>VÄSTERBOTTENS LÄN</t>
        </is>
      </c>
      <c r="E4922" t="inlineStr">
        <is>
          <t>VILHELMINA</t>
        </is>
      </c>
      <c r="F4922" t="inlineStr">
        <is>
          <t>SCA</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53036-2023</t>
        </is>
      </c>
      <c r="B4923" s="1" t="n">
        <v>45226.96280092592</v>
      </c>
      <c r="C4923" s="1" t="n">
        <v>46075</v>
      </c>
      <c r="D4923" t="inlineStr">
        <is>
          <t>VÄSTERBOTTENS LÄN</t>
        </is>
      </c>
      <c r="E4923" t="inlineStr">
        <is>
          <t>LYCKSELE</t>
        </is>
      </c>
      <c r="F4923" t="inlineStr">
        <is>
          <t>SCA</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20777-2024</t>
        </is>
      </c>
      <c r="B4924" s="1" t="n">
        <v>45436</v>
      </c>
      <c r="C4924" s="1" t="n">
        <v>46075</v>
      </c>
      <c r="D4924" t="inlineStr">
        <is>
          <t>VÄSTERBOTTENS LÄN</t>
        </is>
      </c>
      <c r="E4924" t="inlineStr">
        <is>
          <t>BJURHOLM</t>
        </is>
      </c>
      <c r="F4924" t="inlineStr">
        <is>
          <t>SCA</t>
        </is>
      </c>
      <c r="G4924" t="n">
        <v>4.2</v>
      </c>
      <c r="H4924" t="n">
        <v>0</v>
      </c>
      <c r="I4924" t="n">
        <v>0</v>
      </c>
      <c r="J4924" t="n">
        <v>0</v>
      </c>
      <c r="K4924" t="n">
        <v>0</v>
      </c>
      <c r="L4924" t="n">
        <v>0</v>
      </c>
      <c r="M4924" t="n">
        <v>0</v>
      </c>
      <c r="N4924" t="n">
        <v>0</v>
      </c>
      <c r="O4924" t="n">
        <v>0</v>
      </c>
      <c r="P4924" t="n">
        <v>0</v>
      </c>
      <c r="Q4924" t="n">
        <v>0</v>
      </c>
      <c r="R4924" s="2" t="inlineStr"/>
    </row>
    <row r="4925" ht="15" customHeight="1">
      <c r="A4925" t="inlineStr">
        <is>
          <t>A 20779-2024</t>
        </is>
      </c>
      <c r="B4925" s="1" t="n">
        <v>45436.94708333333</v>
      </c>
      <c r="C4925" s="1" t="n">
        <v>46075</v>
      </c>
      <c r="D4925" t="inlineStr">
        <is>
          <t>VÄSTERBOTTENS LÄN</t>
        </is>
      </c>
      <c r="E4925" t="inlineStr">
        <is>
          <t>BJURHOLM</t>
        </is>
      </c>
      <c r="F4925" t="inlineStr">
        <is>
          <t>SCA</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34682-2025</t>
        </is>
      </c>
      <c r="B4926" s="1" t="n">
        <v>45848.42857638889</v>
      </c>
      <c r="C4926" s="1" t="n">
        <v>46075</v>
      </c>
      <c r="D4926" t="inlineStr">
        <is>
          <t>VÄSTERBOTTENS LÄN</t>
        </is>
      </c>
      <c r="E4926" t="inlineStr">
        <is>
          <t>DOROTEA</t>
        </is>
      </c>
      <c r="F4926" t="inlineStr">
        <is>
          <t>SCA</t>
        </is>
      </c>
      <c r="G4926" t="n">
        <v>3.3</v>
      </c>
      <c r="H4926" t="n">
        <v>0</v>
      </c>
      <c r="I4926" t="n">
        <v>0</v>
      </c>
      <c r="J4926" t="n">
        <v>0</v>
      </c>
      <c r="K4926" t="n">
        <v>0</v>
      </c>
      <c r="L4926" t="n">
        <v>0</v>
      </c>
      <c r="M4926" t="n">
        <v>0</v>
      </c>
      <c r="N4926" t="n">
        <v>0</v>
      </c>
      <c r="O4926" t="n">
        <v>0</v>
      </c>
      <c r="P4926" t="n">
        <v>0</v>
      </c>
      <c r="Q4926" t="n">
        <v>0</v>
      </c>
      <c r="R4926" s="2" t="inlineStr"/>
    </row>
    <row r="4927" ht="15" customHeight="1">
      <c r="A4927" t="inlineStr">
        <is>
          <t>A 44637-2025</t>
        </is>
      </c>
      <c r="B4927" s="1" t="n">
        <v>45917.50743055555</v>
      </c>
      <c r="C4927" s="1" t="n">
        <v>46075</v>
      </c>
      <c r="D4927" t="inlineStr">
        <is>
          <t>VÄSTERBOTTENS LÄN</t>
        </is>
      </c>
      <c r="E4927" t="inlineStr">
        <is>
          <t>SKELLEFTEÅ</t>
        </is>
      </c>
      <c r="F4927" t="inlineStr">
        <is>
          <t>Holmen skog AB</t>
        </is>
      </c>
      <c r="G4927" t="n">
        <v>9.300000000000001</v>
      </c>
      <c r="H4927" t="n">
        <v>0</v>
      </c>
      <c r="I4927" t="n">
        <v>0</v>
      </c>
      <c r="J4927" t="n">
        <v>0</v>
      </c>
      <c r="K4927" t="n">
        <v>0</v>
      </c>
      <c r="L4927" t="n">
        <v>0</v>
      </c>
      <c r="M4927" t="n">
        <v>0</v>
      </c>
      <c r="N4927" t="n">
        <v>0</v>
      </c>
      <c r="O4927" t="n">
        <v>0</v>
      </c>
      <c r="P4927" t="n">
        <v>0</v>
      </c>
      <c r="Q4927" t="n">
        <v>0</v>
      </c>
      <c r="R4927" s="2" t="inlineStr"/>
    </row>
    <row r="4928" ht="15" customHeight="1">
      <c r="A4928" t="inlineStr">
        <is>
          <t>A 44639-2025</t>
        </is>
      </c>
      <c r="B4928" s="1" t="n">
        <v>45917.51179398148</v>
      </c>
      <c r="C4928" s="1" t="n">
        <v>46075</v>
      </c>
      <c r="D4928" t="inlineStr">
        <is>
          <t>VÄSTERBOTTENS LÄN</t>
        </is>
      </c>
      <c r="E4928" t="inlineStr">
        <is>
          <t>NORDMALING</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34852-2025</t>
        </is>
      </c>
      <c r="B4929" s="1" t="n">
        <v>45849.42777777778</v>
      </c>
      <c r="C4929" s="1" t="n">
        <v>46075</v>
      </c>
      <c r="D4929" t="inlineStr">
        <is>
          <t>VÄSTERBOTTENS LÄN</t>
        </is>
      </c>
      <c r="E4929" t="inlineStr">
        <is>
          <t>ÅSELE</t>
        </is>
      </c>
      <c r="F4929" t="inlineStr">
        <is>
          <t>SCA</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44337-2025</t>
        </is>
      </c>
      <c r="B4930" s="1" t="n">
        <v>45916.42528935185</v>
      </c>
      <c r="C4930" s="1" t="n">
        <v>46075</v>
      </c>
      <c r="D4930" t="inlineStr">
        <is>
          <t>VÄSTERBOTTENS LÄN</t>
        </is>
      </c>
      <c r="E4930" t="inlineStr">
        <is>
          <t>LYCKSELE</t>
        </is>
      </c>
      <c r="F4930" t="inlineStr">
        <is>
          <t>Sveaskog</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44408-2025</t>
        </is>
      </c>
      <c r="B4931" s="1" t="n">
        <v>45916.53047453704</v>
      </c>
      <c r="C4931" s="1" t="n">
        <v>46075</v>
      </c>
      <c r="D4931" t="inlineStr">
        <is>
          <t>VÄSTERBOTTENS LÄN</t>
        </is>
      </c>
      <c r="E4931" t="inlineStr">
        <is>
          <t>SKELLEFTEÅ</t>
        </is>
      </c>
      <c r="F4931" t="inlineStr">
        <is>
          <t>Holmen skog AB</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44416-2025</t>
        </is>
      </c>
      <c r="B4932" s="1" t="n">
        <v>45916.54385416667</v>
      </c>
      <c r="C4932" s="1" t="n">
        <v>46075</v>
      </c>
      <c r="D4932" t="inlineStr">
        <is>
          <t>VÄSTERBOTTENS LÄN</t>
        </is>
      </c>
      <c r="E4932" t="inlineStr">
        <is>
          <t>ÅSELE</t>
        </is>
      </c>
      <c r="F4932" t="inlineStr">
        <is>
          <t>Holmen skog AB</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49031-2024</t>
        </is>
      </c>
      <c r="B4933" s="1" t="n">
        <v>45594.53015046296</v>
      </c>
      <c r="C4933" s="1" t="n">
        <v>46075</v>
      </c>
      <c r="D4933" t="inlineStr">
        <is>
          <t>VÄSTERBOTTENS LÄN</t>
        </is>
      </c>
      <c r="E4933" t="inlineStr">
        <is>
          <t>ROBERTSFORS</t>
        </is>
      </c>
      <c r="G4933" t="n">
        <v>3.4</v>
      </c>
      <c r="H4933" t="n">
        <v>0</v>
      </c>
      <c r="I4933" t="n">
        <v>0</v>
      </c>
      <c r="J4933" t="n">
        <v>0</v>
      </c>
      <c r="K4933" t="n">
        <v>0</v>
      </c>
      <c r="L4933" t="n">
        <v>0</v>
      </c>
      <c r="M4933" t="n">
        <v>0</v>
      </c>
      <c r="N4933" t="n">
        <v>0</v>
      </c>
      <c r="O4933" t="n">
        <v>0</v>
      </c>
      <c r="P4933" t="n">
        <v>0</v>
      </c>
      <c r="Q4933" t="n">
        <v>0</v>
      </c>
      <c r="R4933" s="2" t="inlineStr"/>
    </row>
    <row r="4934" ht="15" customHeight="1">
      <c r="A4934" t="inlineStr">
        <is>
          <t>A 48754-2021</t>
        </is>
      </c>
      <c r="B4934" s="1" t="n">
        <v>44452</v>
      </c>
      <c r="C4934" s="1" t="n">
        <v>46075</v>
      </c>
      <c r="D4934" t="inlineStr">
        <is>
          <t>VÄSTERBOTTENS LÄN</t>
        </is>
      </c>
      <c r="E4934" t="inlineStr">
        <is>
          <t>VILHELMINA</t>
        </is>
      </c>
      <c r="G4934" t="n">
        <v>5.6</v>
      </c>
      <c r="H4934" t="n">
        <v>0</v>
      </c>
      <c r="I4934" t="n">
        <v>0</v>
      </c>
      <c r="J4934" t="n">
        <v>0</v>
      </c>
      <c r="K4934" t="n">
        <v>0</v>
      </c>
      <c r="L4934" t="n">
        <v>0</v>
      </c>
      <c r="M4934" t="n">
        <v>0</v>
      </c>
      <c r="N4934" t="n">
        <v>0</v>
      </c>
      <c r="O4934" t="n">
        <v>0</v>
      </c>
      <c r="P4934" t="n">
        <v>0</v>
      </c>
      <c r="Q4934" t="n">
        <v>0</v>
      </c>
      <c r="R4934" s="2" t="inlineStr"/>
    </row>
    <row r="4935" ht="15" customHeight="1">
      <c r="A4935" t="inlineStr">
        <is>
          <t>A 48756-2021</t>
        </is>
      </c>
      <c r="B4935" s="1" t="n">
        <v>44452</v>
      </c>
      <c r="C4935" s="1" t="n">
        <v>46075</v>
      </c>
      <c r="D4935" t="inlineStr">
        <is>
          <t>VÄSTERBOTTENS LÄN</t>
        </is>
      </c>
      <c r="E4935" t="inlineStr">
        <is>
          <t>VILHELMINA</t>
        </is>
      </c>
      <c r="G4935" t="n">
        <v>13.3</v>
      </c>
      <c r="H4935" t="n">
        <v>0</v>
      </c>
      <c r="I4935" t="n">
        <v>0</v>
      </c>
      <c r="J4935" t="n">
        <v>0</v>
      </c>
      <c r="K4935" t="n">
        <v>0</v>
      </c>
      <c r="L4935" t="n">
        <v>0</v>
      </c>
      <c r="M4935" t="n">
        <v>0</v>
      </c>
      <c r="N4935" t="n">
        <v>0</v>
      </c>
      <c r="O4935" t="n">
        <v>0</v>
      </c>
      <c r="P4935" t="n">
        <v>0</v>
      </c>
      <c r="Q4935" t="n">
        <v>0</v>
      </c>
      <c r="R4935" s="2" t="inlineStr"/>
    </row>
    <row r="4936" ht="15" customHeight="1">
      <c r="A4936" t="inlineStr">
        <is>
          <t>A 44308-2025</t>
        </is>
      </c>
      <c r="B4936" s="1" t="n">
        <v>45916.38</v>
      </c>
      <c r="C4936" s="1" t="n">
        <v>46075</v>
      </c>
      <c r="D4936" t="inlineStr">
        <is>
          <t>VÄSTERBOTTENS LÄN</t>
        </is>
      </c>
      <c r="E4936" t="inlineStr">
        <is>
          <t>NORSJÖ</t>
        </is>
      </c>
      <c r="F4936" t="inlineStr">
        <is>
          <t>Holmen skog AB</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44729-2025</t>
        </is>
      </c>
      <c r="B4937" s="1" t="n">
        <v>45917.64934027778</v>
      </c>
      <c r="C4937" s="1" t="n">
        <v>46075</v>
      </c>
      <c r="D4937" t="inlineStr">
        <is>
          <t>VÄSTERBOTTENS LÄN</t>
        </is>
      </c>
      <c r="E4937" t="inlineStr">
        <is>
          <t>SKELLEFTEÅ</t>
        </is>
      </c>
      <c r="F4937" t="inlineStr">
        <is>
          <t>Sveaskog</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34857-2025</t>
        </is>
      </c>
      <c r="B4938" s="1" t="n">
        <v>45849.4284837963</v>
      </c>
      <c r="C4938" s="1" t="n">
        <v>46075</v>
      </c>
      <c r="D4938" t="inlineStr">
        <is>
          <t>VÄSTERBOTTENS LÄN</t>
        </is>
      </c>
      <c r="E4938" t="inlineStr">
        <is>
          <t>DOROTEA</t>
        </is>
      </c>
      <c r="F4938" t="inlineStr">
        <is>
          <t>SCA</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64625-2023</t>
        </is>
      </c>
      <c r="B4939" s="1" t="n">
        <v>45281.53866898148</v>
      </c>
      <c r="C4939" s="1" t="n">
        <v>46075</v>
      </c>
      <c r="D4939" t="inlineStr">
        <is>
          <t>VÄSTERBOTTENS LÄN</t>
        </is>
      </c>
      <c r="E4939" t="inlineStr">
        <is>
          <t>ROBERTSFORS</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44487-2025</t>
        </is>
      </c>
      <c r="B4940" s="1" t="n">
        <v>45916.65663194445</v>
      </c>
      <c r="C4940" s="1" t="n">
        <v>46075</v>
      </c>
      <c r="D4940" t="inlineStr">
        <is>
          <t>VÄSTERBOTTENS LÄN</t>
        </is>
      </c>
      <c r="E4940" t="inlineStr">
        <is>
          <t>BJURHOLM</t>
        </is>
      </c>
      <c r="F4940" t="inlineStr">
        <is>
          <t>SCA</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44488-2025</t>
        </is>
      </c>
      <c r="B4941" s="1" t="n">
        <v>45916.65673611111</v>
      </c>
      <c r="C4941" s="1" t="n">
        <v>46075</v>
      </c>
      <c r="D4941" t="inlineStr">
        <is>
          <t>VÄSTERBOTTENS LÄN</t>
        </is>
      </c>
      <c r="E4941" t="inlineStr">
        <is>
          <t>ÅSELE</t>
        </is>
      </c>
      <c r="G4941" t="n">
        <v>7</v>
      </c>
      <c r="H4941" t="n">
        <v>0</v>
      </c>
      <c r="I4941" t="n">
        <v>0</v>
      </c>
      <c r="J4941" t="n">
        <v>0</v>
      </c>
      <c r="K4941" t="n">
        <v>0</v>
      </c>
      <c r="L4941" t="n">
        <v>0</v>
      </c>
      <c r="M4941" t="n">
        <v>0</v>
      </c>
      <c r="N4941" t="n">
        <v>0</v>
      </c>
      <c r="O4941" t="n">
        <v>0</v>
      </c>
      <c r="P4941" t="n">
        <v>0</v>
      </c>
      <c r="Q4941" t="n">
        <v>0</v>
      </c>
      <c r="R4941" s="2" t="inlineStr"/>
    </row>
    <row r="4942" ht="15" customHeight="1">
      <c r="A4942" t="inlineStr">
        <is>
          <t>A 34856-2025</t>
        </is>
      </c>
      <c r="B4942" s="1" t="n">
        <v>45849.42844907408</v>
      </c>
      <c r="C4942" s="1" t="n">
        <v>46075</v>
      </c>
      <c r="D4942" t="inlineStr">
        <is>
          <t>VÄSTERBOTTENS LÄN</t>
        </is>
      </c>
      <c r="E4942" t="inlineStr">
        <is>
          <t>DOROTEA</t>
        </is>
      </c>
      <c r="F4942" t="inlineStr">
        <is>
          <t>SCA</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34667-2025</t>
        </is>
      </c>
      <c r="B4943" s="1" t="n">
        <v>45848.38278935185</v>
      </c>
      <c r="C4943" s="1" t="n">
        <v>46075</v>
      </c>
      <c r="D4943" t="inlineStr">
        <is>
          <t>VÄSTERBOTTENS LÄN</t>
        </is>
      </c>
      <c r="E4943" t="inlineStr">
        <is>
          <t>ÅSELE</t>
        </is>
      </c>
      <c r="F4943" t="inlineStr">
        <is>
          <t>Holmen skog AB</t>
        </is>
      </c>
      <c r="G4943" t="n">
        <v>3.8</v>
      </c>
      <c r="H4943" t="n">
        <v>0</v>
      </c>
      <c r="I4943" t="n">
        <v>0</v>
      </c>
      <c r="J4943" t="n">
        <v>0</v>
      </c>
      <c r="K4943" t="n">
        <v>0</v>
      </c>
      <c r="L4943" t="n">
        <v>0</v>
      </c>
      <c r="M4943" t="n">
        <v>0</v>
      </c>
      <c r="N4943" t="n">
        <v>0</v>
      </c>
      <c r="O4943" t="n">
        <v>0</v>
      </c>
      <c r="P4943" t="n">
        <v>0</v>
      </c>
      <c r="Q4943" t="n">
        <v>0</v>
      </c>
      <c r="R4943" s="2" t="inlineStr"/>
    </row>
    <row r="4944" ht="15" customHeight="1">
      <c r="A4944" t="inlineStr">
        <is>
          <t>A 40013-2024</t>
        </is>
      </c>
      <c r="B4944" s="1" t="n">
        <v>45553</v>
      </c>
      <c r="C4944" s="1" t="n">
        <v>46075</v>
      </c>
      <c r="D4944" t="inlineStr">
        <is>
          <t>VÄSTERBOTTENS LÄN</t>
        </is>
      </c>
      <c r="E4944" t="inlineStr">
        <is>
          <t>DOROTEA</t>
        </is>
      </c>
      <c r="F4944" t="inlineStr">
        <is>
          <t>Övriga statliga verk och myndigheter</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34755-2025</t>
        </is>
      </c>
      <c r="B4945" s="1" t="n">
        <v>45848.62711805556</v>
      </c>
      <c r="C4945" s="1" t="n">
        <v>46075</v>
      </c>
      <c r="D4945" t="inlineStr">
        <is>
          <t>VÄSTERBOTTENS LÄN</t>
        </is>
      </c>
      <c r="E4945" t="inlineStr">
        <is>
          <t>ROBERTSFORS</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34918-2025</t>
        </is>
      </c>
      <c r="B4946" s="1" t="n">
        <v>45849.54935185185</v>
      </c>
      <c r="C4946" s="1" t="n">
        <v>46075</v>
      </c>
      <c r="D4946" t="inlineStr">
        <is>
          <t>VÄSTERBOTTENS LÄN</t>
        </is>
      </c>
      <c r="E4946" t="inlineStr">
        <is>
          <t>LYCKSELE</t>
        </is>
      </c>
      <c r="F4946" t="inlineStr">
        <is>
          <t>Sveaskog</t>
        </is>
      </c>
      <c r="G4946" t="n">
        <v>9.300000000000001</v>
      </c>
      <c r="H4946" t="n">
        <v>0</v>
      </c>
      <c r="I4946" t="n">
        <v>0</v>
      </c>
      <c r="J4946" t="n">
        <v>0</v>
      </c>
      <c r="K4946" t="n">
        <v>0</v>
      </c>
      <c r="L4946" t="n">
        <v>0</v>
      </c>
      <c r="M4946" t="n">
        <v>0</v>
      </c>
      <c r="N4946" t="n">
        <v>0</v>
      </c>
      <c r="O4946" t="n">
        <v>0</v>
      </c>
      <c r="P4946" t="n">
        <v>0</v>
      </c>
      <c r="Q4946" t="n">
        <v>0</v>
      </c>
      <c r="R4946" s="2" t="inlineStr"/>
    </row>
    <row r="4947" ht="15" customHeight="1">
      <c r="A4947" t="inlineStr">
        <is>
          <t>A 32035-2021</t>
        </is>
      </c>
      <c r="B4947" s="1" t="n">
        <v>44370.65484953704</v>
      </c>
      <c r="C4947" s="1" t="n">
        <v>46075</v>
      </c>
      <c r="D4947" t="inlineStr">
        <is>
          <t>VÄSTERBOTTENS LÄN</t>
        </is>
      </c>
      <c r="E4947" t="inlineStr">
        <is>
          <t>BJURHOLM</t>
        </is>
      </c>
      <c r="G4947" t="n">
        <v>2.6</v>
      </c>
      <c r="H4947" t="n">
        <v>0</v>
      </c>
      <c r="I4947" t="n">
        <v>0</v>
      </c>
      <c r="J4947" t="n">
        <v>0</v>
      </c>
      <c r="K4947" t="n">
        <v>0</v>
      </c>
      <c r="L4947" t="n">
        <v>0</v>
      </c>
      <c r="M4947" t="n">
        <v>0</v>
      </c>
      <c r="N4947" t="n">
        <v>0</v>
      </c>
      <c r="O4947" t="n">
        <v>0</v>
      </c>
      <c r="P4947" t="n">
        <v>0</v>
      </c>
      <c r="Q4947" t="n">
        <v>0</v>
      </c>
      <c r="R4947" s="2" t="inlineStr"/>
    </row>
    <row r="4948" ht="15" customHeight="1">
      <c r="A4948" t="inlineStr">
        <is>
          <t>A 34940-2025</t>
        </is>
      </c>
      <c r="B4948" s="1" t="n">
        <v>45849.58274305556</v>
      </c>
      <c r="C4948" s="1" t="n">
        <v>46075</v>
      </c>
      <c r="D4948" t="inlineStr">
        <is>
          <t>VÄSTERBOTTENS LÄN</t>
        </is>
      </c>
      <c r="E4948" t="inlineStr">
        <is>
          <t>LYCKSELE</t>
        </is>
      </c>
      <c r="F4948" t="inlineStr">
        <is>
          <t>Sveaskog</t>
        </is>
      </c>
      <c r="G4948" t="n">
        <v>7.2</v>
      </c>
      <c r="H4948" t="n">
        <v>0</v>
      </c>
      <c r="I4948" t="n">
        <v>0</v>
      </c>
      <c r="J4948" t="n">
        <v>0</v>
      </c>
      <c r="K4948" t="n">
        <v>0</v>
      </c>
      <c r="L4948" t="n">
        <v>0</v>
      </c>
      <c r="M4948" t="n">
        <v>0</v>
      </c>
      <c r="N4948" t="n">
        <v>0</v>
      </c>
      <c r="O4948" t="n">
        <v>0</v>
      </c>
      <c r="P4948" t="n">
        <v>0</v>
      </c>
      <c r="Q4948" t="n">
        <v>0</v>
      </c>
      <c r="R4948" s="2" t="inlineStr"/>
    </row>
    <row r="4949" ht="15" customHeight="1">
      <c r="A4949" t="inlineStr">
        <is>
          <t>A 34961-2025</t>
        </is>
      </c>
      <c r="B4949" s="1" t="n">
        <v>45849.62559027778</v>
      </c>
      <c r="C4949" s="1" t="n">
        <v>46075</v>
      </c>
      <c r="D4949" t="inlineStr">
        <is>
          <t>VÄSTERBOTTENS LÄN</t>
        </is>
      </c>
      <c r="E4949" t="inlineStr">
        <is>
          <t>LYCKSELE</t>
        </is>
      </c>
      <c r="F4949" t="inlineStr">
        <is>
          <t>Sveaskog</t>
        </is>
      </c>
      <c r="G4949" t="n">
        <v>10</v>
      </c>
      <c r="H4949" t="n">
        <v>0</v>
      </c>
      <c r="I4949" t="n">
        <v>0</v>
      </c>
      <c r="J4949" t="n">
        <v>0</v>
      </c>
      <c r="K4949" t="n">
        <v>0</v>
      </c>
      <c r="L4949" t="n">
        <v>0</v>
      </c>
      <c r="M4949" t="n">
        <v>0</v>
      </c>
      <c r="N4949" t="n">
        <v>0</v>
      </c>
      <c r="O4949" t="n">
        <v>0</v>
      </c>
      <c r="P4949" t="n">
        <v>0</v>
      </c>
      <c r="Q4949" t="n">
        <v>0</v>
      </c>
      <c r="R4949" s="2" t="inlineStr"/>
    </row>
    <row r="4950" ht="15" customHeight="1">
      <c r="A4950" t="inlineStr">
        <is>
          <t>A 44593-2025</t>
        </is>
      </c>
      <c r="B4950" s="1" t="n">
        <v>45917.42748842593</v>
      </c>
      <c r="C4950" s="1" t="n">
        <v>46075</v>
      </c>
      <c r="D4950" t="inlineStr">
        <is>
          <t>VÄSTERBOTTENS LÄN</t>
        </is>
      </c>
      <c r="E4950" t="inlineStr">
        <is>
          <t>DOROTEA</t>
        </is>
      </c>
      <c r="F4950" t="inlineStr">
        <is>
          <t>SCA</t>
        </is>
      </c>
      <c r="G4950" t="n">
        <v>4.7</v>
      </c>
      <c r="H4950" t="n">
        <v>0</v>
      </c>
      <c r="I4950" t="n">
        <v>0</v>
      </c>
      <c r="J4950" t="n">
        <v>0</v>
      </c>
      <c r="K4950" t="n">
        <v>0</v>
      </c>
      <c r="L4950" t="n">
        <v>0</v>
      </c>
      <c r="M4950" t="n">
        <v>0</v>
      </c>
      <c r="N4950" t="n">
        <v>0</v>
      </c>
      <c r="O4950" t="n">
        <v>0</v>
      </c>
      <c r="P4950" t="n">
        <v>0</v>
      </c>
      <c r="Q4950" t="n">
        <v>0</v>
      </c>
      <c r="R4950" s="2" t="inlineStr"/>
    </row>
    <row r="4951" ht="15" customHeight="1">
      <c r="A4951" t="inlineStr">
        <is>
          <t>A 44336-2025</t>
        </is>
      </c>
      <c r="B4951" s="1" t="n">
        <v>45916.42311342592</v>
      </c>
      <c r="C4951" s="1" t="n">
        <v>46075</v>
      </c>
      <c r="D4951" t="inlineStr">
        <is>
          <t>VÄSTERBOTTENS LÄN</t>
        </is>
      </c>
      <c r="E4951" t="inlineStr">
        <is>
          <t>VINDELN</t>
        </is>
      </c>
      <c r="G4951" t="n">
        <v>7.4</v>
      </c>
      <c r="H4951" t="n">
        <v>0</v>
      </c>
      <c r="I4951" t="n">
        <v>0</v>
      </c>
      <c r="J4951" t="n">
        <v>0</v>
      </c>
      <c r="K4951" t="n">
        <v>0</v>
      </c>
      <c r="L4951" t="n">
        <v>0</v>
      </c>
      <c r="M4951" t="n">
        <v>0</v>
      </c>
      <c r="N4951" t="n">
        <v>0</v>
      </c>
      <c r="O4951" t="n">
        <v>0</v>
      </c>
      <c r="P4951" t="n">
        <v>0</v>
      </c>
      <c r="Q4951" t="n">
        <v>0</v>
      </c>
      <c r="R4951" s="2" t="inlineStr"/>
    </row>
    <row r="4952" ht="15" customHeight="1">
      <c r="A4952" t="inlineStr">
        <is>
          <t>A 34808-2025</t>
        </is>
      </c>
      <c r="B4952" s="1" t="n">
        <v>45849.34042824074</v>
      </c>
      <c r="C4952" s="1" t="n">
        <v>46075</v>
      </c>
      <c r="D4952" t="inlineStr">
        <is>
          <t>VÄSTERBOTTENS LÄN</t>
        </is>
      </c>
      <c r="E4952" t="inlineStr">
        <is>
          <t>ÅSELE</t>
        </is>
      </c>
      <c r="F4952" t="inlineStr">
        <is>
          <t>Holmen skog AB</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61621-2024</t>
        </is>
      </c>
      <c r="B4953" s="1" t="n">
        <v>45646.65800925926</v>
      </c>
      <c r="C4953" s="1" t="n">
        <v>46075</v>
      </c>
      <c r="D4953" t="inlineStr">
        <is>
          <t>VÄSTERBOTTENS LÄN</t>
        </is>
      </c>
      <c r="E4953" t="inlineStr">
        <is>
          <t>UMEÅ</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44414-2025</t>
        </is>
      </c>
      <c r="B4954" s="1" t="n">
        <v>45916.54280092593</v>
      </c>
      <c r="C4954" s="1" t="n">
        <v>46075</v>
      </c>
      <c r="D4954" t="inlineStr">
        <is>
          <t>VÄSTERBOTTENS LÄN</t>
        </is>
      </c>
      <c r="E4954" t="inlineStr">
        <is>
          <t>ÅSELE</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56995-2022</t>
        </is>
      </c>
      <c r="B4955" s="1" t="n">
        <v>44894</v>
      </c>
      <c r="C4955" s="1" t="n">
        <v>46075</v>
      </c>
      <c r="D4955" t="inlineStr">
        <is>
          <t>VÄSTERBOTTENS LÄN</t>
        </is>
      </c>
      <c r="E4955" t="inlineStr">
        <is>
          <t>SKELLEFTEÅ</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34954-2025</t>
        </is>
      </c>
      <c r="B4956" s="1" t="n">
        <v>45849.60525462963</v>
      </c>
      <c r="C4956" s="1" t="n">
        <v>46075</v>
      </c>
      <c r="D4956" t="inlineStr">
        <is>
          <t>VÄSTERBOTTENS LÄN</t>
        </is>
      </c>
      <c r="E4956" t="inlineStr">
        <is>
          <t>LYCKSELE</t>
        </is>
      </c>
      <c r="F4956" t="inlineStr">
        <is>
          <t>Holmen skog AB</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33965-2024</t>
        </is>
      </c>
      <c r="B4957" s="1" t="n">
        <v>45523.49219907408</v>
      </c>
      <c r="C4957" s="1" t="n">
        <v>46075</v>
      </c>
      <c r="D4957" t="inlineStr">
        <is>
          <t>VÄSTERBOTTENS LÄN</t>
        </is>
      </c>
      <c r="E4957" t="inlineStr">
        <is>
          <t>VINDELN</t>
        </is>
      </c>
      <c r="F4957" t="inlineStr">
        <is>
          <t>Holmen skog AB</t>
        </is>
      </c>
      <c r="G4957" t="n">
        <v>2.9</v>
      </c>
      <c r="H4957" t="n">
        <v>0</v>
      </c>
      <c r="I4957" t="n">
        <v>0</v>
      </c>
      <c r="J4957" t="n">
        <v>0</v>
      </c>
      <c r="K4957" t="n">
        <v>0</v>
      </c>
      <c r="L4957" t="n">
        <v>0</v>
      </c>
      <c r="M4957" t="n">
        <v>0</v>
      </c>
      <c r="N4957" t="n">
        <v>0</v>
      </c>
      <c r="O4957" t="n">
        <v>0</v>
      </c>
      <c r="P4957" t="n">
        <v>0</v>
      </c>
      <c r="Q4957" t="n">
        <v>0</v>
      </c>
      <c r="R4957" s="2" t="inlineStr"/>
    </row>
    <row r="4958" ht="15" customHeight="1">
      <c r="A4958" t="inlineStr">
        <is>
          <t>A 44726-2025</t>
        </is>
      </c>
      <c r="B4958" s="1" t="n">
        <v>45917.64392361111</v>
      </c>
      <c r="C4958" s="1" t="n">
        <v>46075</v>
      </c>
      <c r="D4958" t="inlineStr">
        <is>
          <t>VÄSTERBOTTENS LÄN</t>
        </is>
      </c>
      <c r="E4958" t="inlineStr">
        <is>
          <t>SKELLEFTEÅ</t>
        </is>
      </c>
      <c r="F4958" t="inlineStr">
        <is>
          <t>Sveaskog</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44730-2025</t>
        </is>
      </c>
      <c r="B4959" s="1" t="n">
        <v>45917.65262731481</v>
      </c>
      <c r="C4959" s="1" t="n">
        <v>46075</v>
      </c>
      <c r="D4959" t="inlineStr">
        <is>
          <t>VÄSTERBOTTENS LÄN</t>
        </is>
      </c>
      <c r="E4959" t="inlineStr">
        <is>
          <t>UMEÅ</t>
        </is>
      </c>
      <c r="F4959" t="inlineStr">
        <is>
          <t>Sveaskog</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44731-2025</t>
        </is>
      </c>
      <c r="B4960" s="1" t="n">
        <v>45917.653125</v>
      </c>
      <c r="C4960" s="1" t="n">
        <v>46075</v>
      </c>
      <c r="D4960" t="inlineStr">
        <is>
          <t>VÄSTERBOTTENS LÄN</t>
        </is>
      </c>
      <c r="E4960" t="inlineStr">
        <is>
          <t>ROBERTSFORS</t>
        </is>
      </c>
      <c r="F4960" t="inlineStr">
        <is>
          <t>Holmen skog AB</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34804-2025</t>
        </is>
      </c>
      <c r="B4961" s="1" t="n">
        <v>45849.31851851852</v>
      </c>
      <c r="C4961" s="1" t="n">
        <v>46075</v>
      </c>
      <c r="D4961" t="inlineStr">
        <is>
          <t>VÄSTERBOTTENS LÄN</t>
        </is>
      </c>
      <c r="E4961" t="inlineStr">
        <is>
          <t>NORDMALING</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34678-2025</t>
        </is>
      </c>
      <c r="B4962" s="1" t="n">
        <v>45848.42638888889</v>
      </c>
      <c r="C4962" s="1" t="n">
        <v>46075</v>
      </c>
      <c r="D4962" t="inlineStr">
        <is>
          <t>VÄSTERBOTTENS LÄN</t>
        </is>
      </c>
      <c r="E4962" t="inlineStr">
        <is>
          <t>SKELLEFTEÅ</t>
        </is>
      </c>
      <c r="F4962" t="inlineStr">
        <is>
          <t>Holmen skog AB</t>
        </is>
      </c>
      <c r="G4962" t="n">
        <v>12.6</v>
      </c>
      <c r="H4962" t="n">
        <v>0</v>
      </c>
      <c r="I4962" t="n">
        <v>0</v>
      </c>
      <c r="J4962" t="n">
        <v>0</v>
      </c>
      <c r="K4962" t="n">
        <v>0</v>
      </c>
      <c r="L4962" t="n">
        <v>0</v>
      </c>
      <c r="M4962" t="n">
        <v>0</v>
      </c>
      <c r="N4962" t="n">
        <v>0</v>
      </c>
      <c r="O4962" t="n">
        <v>0</v>
      </c>
      <c r="P4962" t="n">
        <v>0</v>
      </c>
      <c r="Q4962" t="n">
        <v>0</v>
      </c>
      <c r="R4962" s="2" t="inlineStr"/>
    </row>
    <row r="4963" ht="15" customHeight="1">
      <c r="A4963" t="inlineStr">
        <is>
          <t>A 34863-2025</t>
        </is>
      </c>
      <c r="B4963" s="1" t="n">
        <v>45849</v>
      </c>
      <c r="C4963" s="1" t="n">
        <v>46075</v>
      </c>
      <c r="D4963" t="inlineStr">
        <is>
          <t>VÄSTERBOTTENS LÄN</t>
        </is>
      </c>
      <c r="E4963" t="inlineStr">
        <is>
          <t>LYCKSELE</t>
        </is>
      </c>
      <c r="G4963" t="n">
        <v>2.6</v>
      </c>
      <c r="H4963" t="n">
        <v>0</v>
      </c>
      <c r="I4963" t="n">
        <v>0</v>
      </c>
      <c r="J4963" t="n">
        <v>0</v>
      </c>
      <c r="K4963" t="n">
        <v>0</v>
      </c>
      <c r="L4963" t="n">
        <v>0</v>
      </c>
      <c r="M4963" t="n">
        <v>0</v>
      </c>
      <c r="N4963" t="n">
        <v>0</v>
      </c>
      <c r="O4963" t="n">
        <v>0</v>
      </c>
      <c r="P4963" t="n">
        <v>0</v>
      </c>
      <c r="Q4963" t="n">
        <v>0</v>
      </c>
      <c r="R4963" s="2" t="inlineStr"/>
    </row>
    <row r="4964" ht="15" customHeight="1">
      <c r="A4964" t="inlineStr">
        <is>
          <t>A 61569-2022</t>
        </is>
      </c>
      <c r="B4964" s="1" t="n">
        <v>44916</v>
      </c>
      <c r="C4964" s="1" t="n">
        <v>46075</v>
      </c>
      <c r="D4964" t="inlineStr">
        <is>
          <t>VÄSTERBOTTENS LÄN</t>
        </is>
      </c>
      <c r="E4964" t="inlineStr">
        <is>
          <t>SKELLEFTEÅ</t>
        </is>
      </c>
      <c r="F4964" t="inlineStr">
        <is>
          <t>Holmen skog AB</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34883-2025</t>
        </is>
      </c>
      <c r="B4965" s="1" t="n">
        <v>45849.46943287037</v>
      </c>
      <c r="C4965" s="1" t="n">
        <v>46075</v>
      </c>
      <c r="D4965" t="inlineStr">
        <is>
          <t>VÄSTERBOTTENS LÄN</t>
        </is>
      </c>
      <c r="E4965" t="inlineStr">
        <is>
          <t>ÅSELE</t>
        </is>
      </c>
      <c r="F4965" t="inlineStr">
        <is>
          <t>SCA</t>
        </is>
      </c>
      <c r="G4965" t="n">
        <v>13.3</v>
      </c>
      <c r="H4965" t="n">
        <v>0</v>
      </c>
      <c r="I4965" t="n">
        <v>0</v>
      </c>
      <c r="J4965" t="n">
        <v>0</v>
      </c>
      <c r="K4965" t="n">
        <v>0</v>
      </c>
      <c r="L4965" t="n">
        <v>0</v>
      </c>
      <c r="M4965" t="n">
        <v>0</v>
      </c>
      <c r="N4965" t="n">
        <v>0</v>
      </c>
      <c r="O4965" t="n">
        <v>0</v>
      </c>
      <c r="P4965" t="n">
        <v>0</v>
      </c>
      <c r="Q4965" t="n">
        <v>0</v>
      </c>
      <c r="R4965" s="2" t="inlineStr"/>
    </row>
    <row r="4966" ht="15" customHeight="1">
      <c r="A4966" t="inlineStr">
        <is>
          <t>A 34915-2025</t>
        </is>
      </c>
      <c r="B4966" s="1" t="n">
        <v>45849.54143518519</v>
      </c>
      <c r="C4966" s="1" t="n">
        <v>46075</v>
      </c>
      <c r="D4966" t="inlineStr">
        <is>
          <t>VÄSTERBOTTENS LÄN</t>
        </is>
      </c>
      <c r="E4966" t="inlineStr">
        <is>
          <t>LYCKSELE</t>
        </is>
      </c>
      <c r="F4966" t="inlineStr">
        <is>
          <t>Sveaskog</t>
        </is>
      </c>
      <c r="G4966" t="n">
        <v>6.5</v>
      </c>
      <c r="H4966" t="n">
        <v>0</v>
      </c>
      <c r="I4966" t="n">
        <v>0</v>
      </c>
      <c r="J4966" t="n">
        <v>0</v>
      </c>
      <c r="K4966" t="n">
        <v>0</v>
      </c>
      <c r="L4966" t="n">
        <v>0</v>
      </c>
      <c r="M4966" t="n">
        <v>0</v>
      </c>
      <c r="N4966" t="n">
        <v>0</v>
      </c>
      <c r="O4966" t="n">
        <v>0</v>
      </c>
      <c r="P4966" t="n">
        <v>0</v>
      </c>
      <c r="Q4966" t="n">
        <v>0</v>
      </c>
      <c r="R4966" s="2" t="inlineStr"/>
    </row>
    <row r="4967" ht="15" customHeight="1">
      <c r="A4967" t="inlineStr">
        <is>
          <t>A 50189-2024</t>
        </is>
      </c>
      <c r="B4967" s="1" t="n">
        <v>45600.47861111111</v>
      </c>
      <c r="C4967" s="1" t="n">
        <v>46075</v>
      </c>
      <c r="D4967" t="inlineStr">
        <is>
          <t>VÄSTERBOTTENS LÄN</t>
        </is>
      </c>
      <c r="E4967" t="inlineStr">
        <is>
          <t>BJURHOLM</t>
        </is>
      </c>
      <c r="F4967" t="inlineStr">
        <is>
          <t>Holmen skog AB</t>
        </is>
      </c>
      <c r="G4967" t="n">
        <v>5.9</v>
      </c>
      <c r="H4967" t="n">
        <v>0</v>
      </c>
      <c r="I4967" t="n">
        <v>0</v>
      </c>
      <c r="J4967" t="n">
        <v>0</v>
      </c>
      <c r="K4967" t="n">
        <v>0</v>
      </c>
      <c r="L4967" t="n">
        <v>0</v>
      </c>
      <c r="M4967" t="n">
        <v>0</v>
      </c>
      <c r="N4967" t="n">
        <v>0</v>
      </c>
      <c r="O4967" t="n">
        <v>0</v>
      </c>
      <c r="P4967" t="n">
        <v>0</v>
      </c>
      <c r="Q4967" t="n">
        <v>0</v>
      </c>
      <c r="R4967" s="2" t="inlineStr"/>
    </row>
    <row r="4968" ht="15" customHeight="1">
      <c r="A4968" t="inlineStr">
        <is>
          <t>A 44625-2025</t>
        </is>
      </c>
      <c r="B4968" s="1" t="n">
        <v>45917.47184027778</v>
      </c>
      <c r="C4968" s="1" t="n">
        <v>46075</v>
      </c>
      <c r="D4968" t="inlineStr">
        <is>
          <t>VÄSTERBOTTENS LÄN</t>
        </is>
      </c>
      <c r="E4968" t="inlineStr">
        <is>
          <t>ÅSELE</t>
        </is>
      </c>
      <c r="F4968" t="inlineStr">
        <is>
          <t>Holmen skog AB</t>
        </is>
      </c>
      <c r="G4968" t="n">
        <v>4.7</v>
      </c>
      <c r="H4968" t="n">
        <v>0</v>
      </c>
      <c r="I4968" t="n">
        <v>0</v>
      </c>
      <c r="J4968" t="n">
        <v>0</v>
      </c>
      <c r="K4968" t="n">
        <v>0</v>
      </c>
      <c r="L4968" t="n">
        <v>0</v>
      </c>
      <c r="M4968" t="n">
        <v>0</v>
      </c>
      <c r="N4968" t="n">
        <v>0</v>
      </c>
      <c r="O4968" t="n">
        <v>0</v>
      </c>
      <c r="P4968" t="n">
        <v>0</v>
      </c>
      <c r="Q4968" t="n">
        <v>0</v>
      </c>
      <c r="R4968" s="2" t="inlineStr"/>
    </row>
    <row r="4969" ht="15" customHeight="1">
      <c r="A4969" t="inlineStr">
        <is>
          <t>A 44626-2025</t>
        </is>
      </c>
      <c r="B4969" s="1" t="n">
        <v>45917</v>
      </c>
      <c r="C4969" s="1" t="n">
        <v>46075</v>
      </c>
      <c r="D4969" t="inlineStr">
        <is>
          <t>VÄSTERBOTTENS LÄN</t>
        </is>
      </c>
      <c r="E4969" t="inlineStr">
        <is>
          <t>VILHELMINA</t>
        </is>
      </c>
      <c r="G4969" t="n">
        <v>8.300000000000001</v>
      </c>
      <c r="H4969" t="n">
        <v>0</v>
      </c>
      <c r="I4969" t="n">
        <v>0</v>
      </c>
      <c r="J4969" t="n">
        <v>0</v>
      </c>
      <c r="K4969" t="n">
        <v>0</v>
      </c>
      <c r="L4969" t="n">
        <v>0</v>
      </c>
      <c r="M4969" t="n">
        <v>0</v>
      </c>
      <c r="N4969" t="n">
        <v>0</v>
      </c>
      <c r="O4969" t="n">
        <v>0</v>
      </c>
      <c r="P4969" t="n">
        <v>0</v>
      </c>
      <c r="Q4969" t="n">
        <v>0</v>
      </c>
      <c r="R4969" s="2" t="inlineStr"/>
    </row>
    <row r="4970" ht="15" customHeight="1">
      <c r="A4970" t="inlineStr">
        <is>
          <t>A 44636-2025</t>
        </is>
      </c>
      <c r="B4970" s="1" t="n">
        <v>45917.50638888889</v>
      </c>
      <c r="C4970" s="1" t="n">
        <v>46075</v>
      </c>
      <c r="D4970" t="inlineStr">
        <is>
          <t>VÄSTERBOTTENS LÄN</t>
        </is>
      </c>
      <c r="E4970" t="inlineStr">
        <is>
          <t>NORDMALING</t>
        </is>
      </c>
      <c r="G4970" t="n">
        <v>3.4</v>
      </c>
      <c r="H4970" t="n">
        <v>0</v>
      </c>
      <c r="I4970" t="n">
        <v>0</v>
      </c>
      <c r="J4970" t="n">
        <v>0</v>
      </c>
      <c r="K4970" t="n">
        <v>0</v>
      </c>
      <c r="L4970" t="n">
        <v>0</v>
      </c>
      <c r="M4970" t="n">
        <v>0</v>
      </c>
      <c r="N4970" t="n">
        <v>0</v>
      </c>
      <c r="O4970" t="n">
        <v>0</v>
      </c>
      <c r="P4970" t="n">
        <v>0</v>
      </c>
      <c r="Q4970" t="n">
        <v>0</v>
      </c>
      <c r="R4970" s="2" t="inlineStr"/>
    </row>
    <row r="4971" ht="15" customHeight="1">
      <c r="A4971" t="inlineStr">
        <is>
          <t>A 34724-2025</t>
        </is>
      </c>
      <c r="B4971" s="1" t="n">
        <v>45848.55504629629</v>
      </c>
      <c r="C4971" s="1" t="n">
        <v>46075</v>
      </c>
      <c r="D4971" t="inlineStr">
        <is>
          <t>VÄSTERBOTTENS LÄN</t>
        </is>
      </c>
      <c r="E4971" t="inlineStr">
        <is>
          <t>SKELLEFTEÅ</t>
        </is>
      </c>
      <c r="F4971" t="inlineStr">
        <is>
          <t>Holmen skog AB</t>
        </is>
      </c>
      <c r="G4971" t="n">
        <v>9.6</v>
      </c>
      <c r="H4971" t="n">
        <v>0</v>
      </c>
      <c r="I4971" t="n">
        <v>0</v>
      </c>
      <c r="J4971" t="n">
        <v>0</v>
      </c>
      <c r="K4971" t="n">
        <v>0</v>
      </c>
      <c r="L4971" t="n">
        <v>0</v>
      </c>
      <c r="M4971" t="n">
        <v>0</v>
      </c>
      <c r="N4971" t="n">
        <v>0</v>
      </c>
      <c r="O4971" t="n">
        <v>0</v>
      </c>
      <c r="P4971" t="n">
        <v>0</v>
      </c>
      <c r="Q4971" t="n">
        <v>0</v>
      </c>
      <c r="R4971" s="2" t="inlineStr"/>
    </row>
    <row r="4972" ht="15" customHeight="1">
      <c r="A4972" t="inlineStr">
        <is>
          <t>A 44494-2025</t>
        </is>
      </c>
      <c r="B4972" s="1" t="n">
        <v>45916.66503472222</v>
      </c>
      <c r="C4972" s="1" t="n">
        <v>46075</v>
      </c>
      <c r="D4972" t="inlineStr">
        <is>
          <t>VÄSTERBOTTENS LÄN</t>
        </is>
      </c>
      <c r="E4972" t="inlineStr">
        <is>
          <t>UMEÅ</t>
        </is>
      </c>
      <c r="F4972" t="inlineStr">
        <is>
          <t>Kommuner</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55775-2023</t>
        </is>
      </c>
      <c r="B4973" s="1" t="n">
        <v>45232</v>
      </c>
      <c r="C4973" s="1" t="n">
        <v>46075</v>
      </c>
      <c r="D4973" t="inlineStr">
        <is>
          <t>VÄSTERBOTTENS LÄN</t>
        </is>
      </c>
      <c r="E4973" t="inlineStr">
        <is>
          <t>SKELLEFTEÅ</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3756-2025</t>
        </is>
      </c>
      <c r="B4974" s="1" t="n">
        <v>45681</v>
      </c>
      <c r="C4974" s="1" t="n">
        <v>46075</v>
      </c>
      <c r="D4974" t="inlineStr">
        <is>
          <t>VÄSTERBOTTENS LÄN</t>
        </is>
      </c>
      <c r="E4974" t="inlineStr">
        <is>
          <t>SORSELE</t>
        </is>
      </c>
      <c r="F4974" t="inlineStr">
        <is>
          <t>Sveaskog</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44279-2025</t>
        </is>
      </c>
      <c r="B4975" s="1" t="n">
        <v>45916.34494212963</v>
      </c>
      <c r="C4975" s="1" t="n">
        <v>46075</v>
      </c>
      <c r="D4975" t="inlineStr">
        <is>
          <t>VÄSTERBOTTENS LÄN</t>
        </is>
      </c>
      <c r="E4975" t="inlineStr">
        <is>
          <t>ÅSELE</t>
        </is>
      </c>
      <c r="F4975" t="inlineStr">
        <is>
          <t>SCA</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34657-2025</t>
        </is>
      </c>
      <c r="B4976" s="1" t="n">
        <v>45848.36267361111</v>
      </c>
      <c r="C4976" s="1" t="n">
        <v>46075</v>
      </c>
      <c r="D4976" t="inlineStr">
        <is>
          <t>VÄSTERBOTTENS LÄN</t>
        </is>
      </c>
      <c r="E4976" t="inlineStr">
        <is>
          <t>SKELLEFTEÅ</t>
        </is>
      </c>
      <c r="G4976" t="n">
        <v>4</v>
      </c>
      <c r="H4976" t="n">
        <v>0</v>
      </c>
      <c r="I4976" t="n">
        <v>0</v>
      </c>
      <c r="J4976" t="n">
        <v>0</v>
      </c>
      <c r="K4976" t="n">
        <v>0</v>
      </c>
      <c r="L4976" t="n">
        <v>0</v>
      </c>
      <c r="M4976" t="n">
        <v>0</v>
      </c>
      <c r="N4976" t="n">
        <v>0</v>
      </c>
      <c r="O4976" t="n">
        <v>0</v>
      </c>
      <c r="P4976" t="n">
        <v>0</v>
      </c>
      <c r="Q4976" t="n">
        <v>0</v>
      </c>
      <c r="R4976" s="2" t="inlineStr"/>
    </row>
    <row r="4977" ht="15" customHeight="1">
      <c r="A4977" t="inlineStr">
        <is>
          <t>A 34659-2025</t>
        </is>
      </c>
      <c r="B4977" s="1" t="n">
        <v>45848.36859953704</v>
      </c>
      <c r="C4977" s="1" t="n">
        <v>46075</v>
      </c>
      <c r="D4977" t="inlineStr">
        <is>
          <t>VÄSTERBOTTENS LÄN</t>
        </is>
      </c>
      <c r="E4977" t="inlineStr">
        <is>
          <t>ÅSELE</t>
        </is>
      </c>
      <c r="G4977" t="n">
        <v>2.6</v>
      </c>
      <c r="H4977" t="n">
        <v>0</v>
      </c>
      <c r="I4977" t="n">
        <v>0</v>
      </c>
      <c r="J4977" t="n">
        <v>0</v>
      </c>
      <c r="K4977" t="n">
        <v>0</v>
      </c>
      <c r="L4977" t="n">
        <v>0</v>
      </c>
      <c r="M4977" t="n">
        <v>0</v>
      </c>
      <c r="N4977" t="n">
        <v>0</v>
      </c>
      <c r="O4977" t="n">
        <v>0</v>
      </c>
      <c r="P4977" t="n">
        <v>0</v>
      </c>
      <c r="Q4977" t="n">
        <v>0</v>
      </c>
      <c r="R4977" s="2" t="inlineStr"/>
    </row>
    <row r="4978" ht="15" customHeight="1">
      <c r="A4978" t="inlineStr">
        <is>
          <t>A 34661-2025</t>
        </is>
      </c>
      <c r="B4978" s="1" t="n">
        <v>45848.3715625</v>
      </c>
      <c r="C4978" s="1" t="n">
        <v>46075</v>
      </c>
      <c r="D4978" t="inlineStr">
        <is>
          <t>VÄSTERBOTTENS LÄN</t>
        </is>
      </c>
      <c r="E4978" t="inlineStr">
        <is>
          <t>ÅSELE</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34774-2025</t>
        </is>
      </c>
      <c r="B4979" s="1" t="n">
        <v>45848.65680555555</v>
      </c>
      <c r="C4979" s="1" t="n">
        <v>46075</v>
      </c>
      <c r="D4979" t="inlineStr">
        <is>
          <t>VÄSTERBOTTENS LÄN</t>
        </is>
      </c>
      <c r="E4979" t="inlineStr">
        <is>
          <t>UMEÅ</t>
        </is>
      </c>
      <c r="G4979" t="n">
        <v>21.6</v>
      </c>
      <c r="H4979" t="n">
        <v>0</v>
      </c>
      <c r="I4979" t="n">
        <v>0</v>
      </c>
      <c r="J4979" t="n">
        <v>0</v>
      </c>
      <c r="K4979" t="n">
        <v>0</v>
      </c>
      <c r="L4979" t="n">
        <v>0</v>
      </c>
      <c r="M4979" t="n">
        <v>0</v>
      </c>
      <c r="N4979" t="n">
        <v>0</v>
      </c>
      <c r="O4979" t="n">
        <v>0</v>
      </c>
      <c r="P4979" t="n">
        <v>0</v>
      </c>
      <c r="Q4979" t="n">
        <v>0</v>
      </c>
      <c r="R4979" s="2" t="inlineStr"/>
    </row>
    <row r="4980" ht="15" customHeight="1">
      <c r="A4980" t="inlineStr">
        <is>
          <t>A 44282-2025</t>
        </is>
      </c>
      <c r="B4980" s="1" t="n">
        <v>45916.34527777778</v>
      </c>
      <c r="C4980" s="1" t="n">
        <v>46075</v>
      </c>
      <c r="D4980" t="inlineStr">
        <is>
          <t>VÄSTERBOTTENS LÄN</t>
        </is>
      </c>
      <c r="E4980" t="inlineStr">
        <is>
          <t>DOROTEA</t>
        </is>
      </c>
      <c r="F4980" t="inlineStr">
        <is>
          <t>SCA</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44725-2025</t>
        </is>
      </c>
      <c r="B4981" s="1" t="n">
        <v>45917.64240740741</v>
      </c>
      <c r="C4981" s="1" t="n">
        <v>46075</v>
      </c>
      <c r="D4981" t="inlineStr">
        <is>
          <t>VÄSTERBOTTENS LÄN</t>
        </is>
      </c>
      <c r="E4981" t="inlineStr">
        <is>
          <t>UMEÅ</t>
        </is>
      </c>
      <c r="G4981" t="n">
        <v>4.6</v>
      </c>
      <c r="H4981" t="n">
        <v>0</v>
      </c>
      <c r="I4981" t="n">
        <v>0</v>
      </c>
      <c r="J4981" t="n">
        <v>0</v>
      </c>
      <c r="K4981" t="n">
        <v>0</v>
      </c>
      <c r="L4981" t="n">
        <v>0</v>
      </c>
      <c r="M4981" t="n">
        <v>0</v>
      </c>
      <c r="N4981" t="n">
        <v>0</v>
      </c>
      <c r="O4981" t="n">
        <v>0</v>
      </c>
      <c r="P4981" t="n">
        <v>0</v>
      </c>
      <c r="Q4981" t="n">
        <v>0</v>
      </c>
      <c r="R4981" s="2" t="inlineStr"/>
    </row>
    <row r="4982" ht="15" customHeight="1">
      <c r="A4982" t="inlineStr">
        <is>
          <t>A 34716-2025</t>
        </is>
      </c>
      <c r="B4982" s="1" t="n">
        <v>45848.52747685185</v>
      </c>
      <c r="C4982" s="1" t="n">
        <v>46075</v>
      </c>
      <c r="D4982" t="inlineStr">
        <is>
          <t>VÄSTERBOTTENS LÄN</t>
        </is>
      </c>
      <c r="E4982" t="inlineStr">
        <is>
          <t>SKELLEFTEÅ</t>
        </is>
      </c>
      <c r="G4982" t="n">
        <v>6.4</v>
      </c>
      <c r="H4982" t="n">
        <v>0</v>
      </c>
      <c r="I4982" t="n">
        <v>0</v>
      </c>
      <c r="J4982" t="n">
        <v>0</v>
      </c>
      <c r="K4982" t="n">
        <v>0</v>
      </c>
      <c r="L4982" t="n">
        <v>0</v>
      </c>
      <c r="M4982" t="n">
        <v>0</v>
      </c>
      <c r="N4982" t="n">
        <v>0</v>
      </c>
      <c r="O4982" t="n">
        <v>0</v>
      </c>
      <c r="P4982" t="n">
        <v>0</v>
      </c>
      <c r="Q4982" t="n">
        <v>0</v>
      </c>
      <c r="R4982" s="2" t="inlineStr"/>
    </row>
    <row r="4983" ht="15" customHeight="1">
      <c r="A4983" t="inlineStr">
        <is>
          <t>A 34301-2025</t>
        </is>
      </c>
      <c r="B4983" s="1" t="n">
        <v>45846.34537037037</v>
      </c>
      <c r="C4983" s="1" t="n">
        <v>46075</v>
      </c>
      <c r="D4983" t="inlineStr">
        <is>
          <t>VÄSTERBOTTENS LÄN</t>
        </is>
      </c>
      <c r="E4983" t="inlineStr">
        <is>
          <t>ÅSELE</t>
        </is>
      </c>
      <c r="F4983" t="inlineStr">
        <is>
          <t>SCA</t>
        </is>
      </c>
      <c r="G4983" t="n">
        <v>27.4</v>
      </c>
      <c r="H4983" t="n">
        <v>0</v>
      </c>
      <c r="I4983" t="n">
        <v>0</v>
      </c>
      <c r="J4983" t="n">
        <v>0</v>
      </c>
      <c r="K4983" t="n">
        <v>0</v>
      </c>
      <c r="L4983" t="n">
        <v>0</v>
      </c>
      <c r="M4983" t="n">
        <v>0</v>
      </c>
      <c r="N4983" t="n">
        <v>0</v>
      </c>
      <c r="O4983" t="n">
        <v>0</v>
      </c>
      <c r="P4983" t="n">
        <v>0</v>
      </c>
      <c r="Q4983" t="n">
        <v>0</v>
      </c>
      <c r="R4983" s="2" t="inlineStr"/>
    </row>
    <row r="4984" ht="15" customHeight="1">
      <c r="A4984" t="inlineStr">
        <is>
          <t>A 34791-2025</t>
        </is>
      </c>
      <c r="B4984" s="1" t="n">
        <v>45848</v>
      </c>
      <c r="C4984" s="1" t="n">
        <v>46075</v>
      </c>
      <c r="D4984" t="inlineStr">
        <is>
          <t>VÄSTERBOTTENS LÄN</t>
        </is>
      </c>
      <c r="E4984" t="inlineStr">
        <is>
          <t>SKELLEFTEÅ</t>
        </is>
      </c>
      <c r="G4984" t="n">
        <v>15.9</v>
      </c>
      <c r="H4984" t="n">
        <v>0</v>
      </c>
      <c r="I4984" t="n">
        <v>0</v>
      </c>
      <c r="J4984" t="n">
        <v>0</v>
      </c>
      <c r="K4984" t="n">
        <v>0</v>
      </c>
      <c r="L4984" t="n">
        <v>0</v>
      </c>
      <c r="M4984" t="n">
        <v>0</v>
      </c>
      <c r="N4984" t="n">
        <v>0</v>
      </c>
      <c r="O4984" t="n">
        <v>0</v>
      </c>
      <c r="P4984" t="n">
        <v>0</v>
      </c>
      <c r="Q4984" t="n">
        <v>0</v>
      </c>
      <c r="R4984" s="2" t="inlineStr"/>
    </row>
    <row r="4985" ht="15" customHeight="1">
      <c r="A4985" t="inlineStr">
        <is>
          <t>A 39615-2024</t>
        </is>
      </c>
      <c r="B4985" s="1" t="n">
        <v>45552</v>
      </c>
      <c r="C4985" s="1" t="n">
        <v>46075</v>
      </c>
      <c r="D4985" t="inlineStr">
        <is>
          <t>VÄSTERBOTTENS LÄN</t>
        </is>
      </c>
      <c r="E4985" t="inlineStr">
        <is>
          <t>UMEÅ</t>
        </is>
      </c>
      <c r="F4985" t="inlineStr">
        <is>
          <t>Holmen skog AB</t>
        </is>
      </c>
      <c r="G4985" t="n">
        <v>9.4</v>
      </c>
      <c r="H4985" t="n">
        <v>0</v>
      </c>
      <c r="I4985" t="n">
        <v>0</v>
      </c>
      <c r="J4985" t="n">
        <v>0</v>
      </c>
      <c r="K4985" t="n">
        <v>0</v>
      </c>
      <c r="L4985" t="n">
        <v>0</v>
      </c>
      <c r="M4985" t="n">
        <v>0</v>
      </c>
      <c r="N4985" t="n">
        <v>0</v>
      </c>
      <c r="O4985" t="n">
        <v>0</v>
      </c>
      <c r="P4985" t="n">
        <v>0</v>
      </c>
      <c r="Q4985" t="n">
        <v>0</v>
      </c>
      <c r="R4985" s="2" t="inlineStr"/>
    </row>
    <row r="4986" ht="15" customHeight="1">
      <c r="A4986" t="inlineStr">
        <is>
          <t>A 34843-2025</t>
        </is>
      </c>
      <c r="B4986" s="1" t="n">
        <v>45849.40900462963</v>
      </c>
      <c r="C4986" s="1" t="n">
        <v>46075</v>
      </c>
      <c r="D4986" t="inlineStr">
        <is>
          <t>VÄSTERBOTTENS LÄN</t>
        </is>
      </c>
      <c r="E4986" t="inlineStr">
        <is>
          <t>ÅSELE</t>
        </is>
      </c>
      <c r="F4986" t="inlineStr">
        <is>
          <t>Sveaskog</t>
        </is>
      </c>
      <c r="G4986" t="n">
        <v>4.2</v>
      </c>
      <c r="H4986" t="n">
        <v>0</v>
      </c>
      <c r="I4986" t="n">
        <v>0</v>
      </c>
      <c r="J4986" t="n">
        <v>0</v>
      </c>
      <c r="K4986" t="n">
        <v>0</v>
      </c>
      <c r="L4986" t="n">
        <v>0</v>
      </c>
      <c r="M4986" t="n">
        <v>0</v>
      </c>
      <c r="N4986" t="n">
        <v>0</v>
      </c>
      <c r="O4986" t="n">
        <v>0</v>
      </c>
      <c r="P4986" t="n">
        <v>0</v>
      </c>
      <c r="Q4986" t="n">
        <v>0</v>
      </c>
      <c r="R4986" s="2" t="inlineStr"/>
    </row>
    <row r="4987" ht="15" customHeight="1">
      <c r="A4987" t="inlineStr">
        <is>
          <t>A 34896-2025</t>
        </is>
      </c>
      <c r="B4987" s="1" t="n">
        <v>45849.49472222223</v>
      </c>
      <c r="C4987" s="1" t="n">
        <v>46075</v>
      </c>
      <c r="D4987" t="inlineStr">
        <is>
          <t>VÄSTERBOTTENS LÄN</t>
        </is>
      </c>
      <c r="E4987" t="inlineStr">
        <is>
          <t>LYCKSELE</t>
        </is>
      </c>
      <c r="F4987" t="inlineStr">
        <is>
          <t>Sveaskog</t>
        </is>
      </c>
      <c r="G4987" t="n">
        <v>19.6</v>
      </c>
      <c r="H4987" t="n">
        <v>0</v>
      </c>
      <c r="I4987" t="n">
        <v>0</v>
      </c>
      <c r="J4987" t="n">
        <v>0</v>
      </c>
      <c r="K4987" t="n">
        <v>0</v>
      </c>
      <c r="L4987" t="n">
        <v>0</v>
      </c>
      <c r="M4987" t="n">
        <v>0</v>
      </c>
      <c r="N4987" t="n">
        <v>0</v>
      </c>
      <c r="O4987" t="n">
        <v>0</v>
      </c>
      <c r="P4987" t="n">
        <v>0</v>
      </c>
      <c r="Q4987" t="n">
        <v>0</v>
      </c>
      <c r="R4987" s="2" t="inlineStr"/>
    </row>
    <row r="4988" ht="15" customHeight="1">
      <c r="A4988" t="inlineStr">
        <is>
          <t>A 34900-2025</t>
        </is>
      </c>
      <c r="B4988" s="1" t="n">
        <v>45849.5046875</v>
      </c>
      <c r="C4988" s="1" t="n">
        <v>46075</v>
      </c>
      <c r="D4988" t="inlineStr">
        <is>
          <t>VÄSTERBOTTENS LÄN</t>
        </is>
      </c>
      <c r="E4988" t="inlineStr">
        <is>
          <t>ÅSELE</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34904-2025</t>
        </is>
      </c>
      <c r="B4989" s="1" t="n">
        <v>45849.51297453704</v>
      </c>
      <c r="C4989" s="1" t="n">
        <v>46075</v>
      </c>
      <c r="D4989" t="inlineStr">
        <is>
          <t>VÄSTERBOTTENS LÄN</t>
        </is>
      </c>
      <c r="E4989" t="inlineStr">
        <is>
          <t>ÅSELE</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44275-2025</t>
        </is>
      </c>
      <c r="B4990" s="1" t="n">
        <v>45916.34018518519</v>
      </c>
      <c r="C4990" s="1" t="n">
        <v>46075</v>
      </c>
      <c r="D4990" t="inlineStr">
        <is>
          <t>VÄSTERBOTTENS LÄN</t>
        </is>
      </c>
      <c r="E4990" t="inlineStr">
        <is>
          <t>VINDELN</t>
        </is>
      </c>
      <c r="G4990" t="n">
        <v>8.699999999999999</v>
      </c>
      <c r="H4990" t="n">
        <v>0</v>
      </c>
      <c r="I4990" t="n">
        <v>0</v>
      </c>
      <c r="J4990" t="n">
        <v>0</v>
      </c>
      <c r="K4990" t="n">
        <v>0</v>
      </c>
      <c r="L4990" t="n">
        <v>0</v>
      </c>
      <c r="M4990" t="n">
        <v>0</v>
      </c>
      <c r="N4990" t="n">
        <v>0</v>
      </c>
      <c r="O4990" t="n">
        <v>0</v>
      </c>
      <c r="P4990" t="n">
        <v>0</v>
      </c>
      <c r="Q4990" t="n">
        <v>0</v>
      </c>
      <c r="R4990" s="2" t="inlineStr"/>
    </row>
    <row r="4991" ht="15" customHeight="1">
      <c r="A4991" t="inlineStr">
        <is>
          <t>A 44299-2025</t>
        </is>
      </c>
      <c r="B4991" s="1" t="n">
        <v>45916.36753472222</v>
      </c>
      <c r="C4991" s="1" t="n">
        <v>46075</v>
      </c>
      <c r="D4991" t="inlineStr">
        <is>
          <t>VÄSTERBOTTENS LÄN</t>
        </is>
      </c>
      <c r="E4991" t="inlineStr">
        <is>
          <t>LYCKSELE</t>
        </is>
      </c>
      <c r="F4991" t="inlineStr">
        <is>
          <t>Sveaskog</t>
        </is>
      </c>
      <c r="G4991" t="n">
        <v>18.1</v>
      </c>
      <c r="H4991" t="n">
        <v>0</v>
      </c>
      <c r="I4991" t="n">
        <v>0</v>
      </c>
      <c r="J4991" t="n">
        <v>0</v>
      </c>
      <c r="K4991" t="n">
        <v>0</v>
      </c>
      <c r="L4991" t="n">
        <v>0</v>
      </c>
      <c r="M4991" t="n">
        <v>0</v>
      </c>
      <c r="N4991" t="n">
        <v>0</v>
      </c>
      <c r="O4991" t="n">
        <v>0</v>
      </c>
      <c r="P4991" t="n">
        <v>0</v>
      </c>
      <c r="Q4991" t="n">
        <v>0</v>
      </c>
      <c r="R4991" s="2" t="inlineStr"/>
    </row>
    <row r="4992" ht="15" customHeight="1">
      <c r="A4992" t="inlineStr">
        <is>
          <t>A 44323-2025</t>
        </is>
      </c>
      <c r="B4992" s="1" t="n">
        <v>45916.40681712963</v>
      </c>
      <c r="C4992" s="1" t="n">
        <v>46075</v>
      </c>
      <c r="D4992" t="inlineStr">
        <is>
          <t>VÄSTERBOTTENS LÄN</t>
        </is>
      </c>
      <c r="E4992" t="inlineStr">
        <is>
          <t>DOROTEA</t>
        </is>
      </c>
      <c r="F4992" t="inlineStr">
        <is>
          <t>Övriga Aktiebolag</t>
        </is>
      </c>
      <c r="G4992" t="n">
        <v>3.2</v>
      </c>
      <c r="H4992" t="n">
        <v>0</v>
      </c>
      <c r="I4992" t="n">
        <v>0</v>
      </c>
      <c r="J4992" t="n">
        <v>0</v>
      </c>
      <c r="K4992" t="n">
        <v>0</v>
      </c>
      <c r="L4992" t="n">
        <v>0</v>
      </c>
      <c r="M4992" t="n">
        <v>0</v>
      </c>
      <c r="N4992" t="n">
        <v>0</v>
      </c>
      <c r="O4992" t="n">
        <v>0</v>
      </c>
      <c r="P4992" t="n">
        <v>0</v>
      </c>
      <c r="Q4992" t="n">
        <v>0</v>
      </c>
      <c r="R4992" s="2" t="inlineStr"/>
    </row>
    <row r="4993" ht="15" customHeight="1">
      <c r="A4993" t="inlineStr">
        <is>
          <t>A 34909-2025</t>
        </is>
      </c>
      <c r="B4993" s="1" t="n">
        <v>45849.53079861111</v>
      </c>
      <c r="C4993" s="1" t="n">
        <v>46075</v>
      </c>
      <c r="D4993" t="inlineStr">
        <is>
          <t>VÄSTERBOTTENS LÄN</t>
        </is>
      </c>
      <c r="E4993" t="inlineStr">
        <is>
          <t>NORSJÖ</t>
        </is>
      </c>
      <c r="F4993" t="inlineStr">
        <is>
          <t>Holmen skog AB</t>
        </is>
      </c>
      <c r="G4993" t="n">
        <v>21.2</v>
      </c>
      <c r="H4993" t="n">
        <v>0</v>
      </c>
      <c r="I4993" t="n">
        <v>0</v>
      </c>
      <c r="J4993" t="n">
        <v>0</v>
      </c>
      <c r="K4993" t="n">
        <v>0</v>
      </c>
      <c r="L4993" t="n">
        <v>0</v>
      </c>
      <c r="M4993" t="n">
        <v>0</v>
      </c>
      <c r="N4993" t="n">
        <v>0</v>
      </c>
      <c r="O4993" t="n">
        <v>0</v>
      </c>
      <c r="P4993" t="n">
        <v>0</v>
      </c>
      <c r="Q4993" t="n">
        <v>0</v>
      </c>
      <c r="R4993" s="2" t="inlineStr"/>
    </row>
    <row r="4994" ht="15" customHeight="1">
      <c r="A4994" t="inlineStr">
        <is>
          <t>A 34955-2025</t>
        </is>
      </c>
      <c r="B4994" s="1" t="n">
        <v>45849.60534722222</v>
      </c>
      <c r="C4994" s="1" t="n">
        <v>46075</v>
      </c>
      <c r="D4994" t="inlineStr">
        <is>
          <t>VÄSTERBOTTENS LÄN</t>
        </is>
      </c>
      <c r="E4994" t="inlineStr">
        <is>
          <t>LYCKSELE</t>
        </is>
      </c>
      <c r="F4994" t="inlineStr">
        <is>
          <t>Sveaskog</t>
        </is>
      </c>
      <c r="G4994" t="n">
        <v>9.4</v>
      </c>
      <c r="H4994" t="n">
        <v>0</v>
      </c>
      <c r="I4994" t="n">
        <v>0</v>
      </c>
      <c r="J4994" t="n">
        <v>0</v>
      </c>
      <c r="K4994" t="n">
        <v>0</v>
      </c>
      <c r="L4994" t="n">
        <v>0</v>
      </c>
      <c r="M4994" t="n">
        <v>0</v>
      </c>
      <c r="N4994" t="n">
        <v>0</v>
      </c>
      <c r="O4994" t="n">
        <v>0</v>
      </c>
      <c r="P4994" t="n">
        <v>0</v>
      </c>
      <c r="Q4994" t="n">
        <v>0</v>
      </c>
      <c r="R4994" s="2" t="inlineStr"/>
    </row>
    <row r="4995" ht="15" customHeight="1">
      <c r="A4995" t="inlineStr">
        <is>
          <t>A 44357-2025</t>
        </is>
      </c>
      <c r="B4995" s="1" t="n">
        <v>45916.44855324074</v>
      </c>
      <c r="C4995" s="1" t="n">
        <v>46075</v>
      </c>
      <c r="D4995" t="inlineStr">
        <is>
          <t>VÄSTERBOTTENS LÄN</t>
        </is>
      </c>
      <c r="E4995" t="inlineStr">
        <is>
          <t>DOROTEA</t>
        </is>
      </c>
      <c r="F4995" t="inlineStr">
        <is>
          <t>SCA</t>
        </is>
      </c>
      <c r="G4995" t="n">
        <v>6.6</v>
      </c>
      <c r="H4995" t="n">
        <v>0</v>
      </c>
      <c r="I4995" t="n">
        <v>0</v>
      </c>
      <c r="J4995" t="n">
        <v>0</v>
      </c>
      <c r="K4995" t="n">
        <v>0</v>
      </c>
      <c r="L4995" t="n">
        <v>0</v>
      </c>
      <c r="M4995" t="n">
        <v>0</v>
      </c>
      <c r="N4995" t="n">
        <v>0</v>
      </c>
      <c r="O4995" t="n">
        <v>0</v>
      </c>
      <c r="P4995" t="n">
        <v>0</v>
      </c>
      <c r="Q4995" t="n">
        <v>0</v>
      </c>
      <c r="R4995" s="2" t="inlineStr"/>
    </row>
    <row r="4996" ht="15" customHeight="1">
      <c r="A4996" t="inlineStr">
        <is>
          <t>A 34888-2025</t>
        </is>
      </c>
      <c r="B4996" s="1" t="n">
        <v>45849.47910879629</v>
      </c>
      <c r="C4996" s="1" t="n">
        <v>46075</v>
      </c>
      <c r="D4996" t="inlineStr">
        <is>
          <t>VÄSTERBOTTENS LÄN</t>
        </is>
      </c>
      <c r="E4996" t="inlineStr">
        <is>
          <t>SORSELE</t>
        </is>
      </c>
      <c r="G4996" t="n">
        <v>11.7</v>
      </c>
      <c r="H4996" t="n">
        <v>0</v>
      </c>
      <c r="I4996" t="n">
        <v>0</v>
      </c>
      <c r="J4996" t="n">
        <v>0</v>
      </c>
      <c r="K4996" t="n">
        <v>0</v>
      </c>
      <c r="L4996" t="n">
        <v>0</v>
      </c>
      <c r="M4996" t="n">
        <v>0</v>
      </c>
      <c r="N4996" t="n">
        <v>0</v>
      </c>
      <c r="O4996" t="n">
        <v>0</v>
      </c>
      <c r="P4996" t="n">
        <v>0</v>
      </c>
      <c r="Q4996" t="n">
        <v>0</v>
      </c>
      <c r="R4996" s="2" t="inlineStr"/>
    </row>
    <row r="4997" ht="15" customHeight="1">
      <c r="A4997" t="inlineStr">
        <is>
          <t>A 44395-2025</t>
        </is>
      </c>
      <c r="B4997" s="1" t="n">
        <v>45916.49549768519</v>
      </c>
      <c r="C4997" s="1" t="n">
        <v>46075</v>
      </c>
      <c r="D4997" t="inlineStr">
        <is>
          <t>VÄSTERBOTTENS LÄN</t>
        </is>
      </c>
      <c r="E4997" t="inlineStr">
        <is>
          <t>DOROTEA</t>
        </is>
      </c>
      <c r="F4997" t="inlineStr">
        <is>
          <t>Övriga statliga verk och myndigheter</t>
        </is>
      </c>
      <c r="G4997" t="n">
        <v>15.2</v>
      </c>
      <c r="H4997" t="n">
        <v>0</v>
      </c>
      <c r="I4997" t="n">
        <v>0</v>
      </c>
      <c r="J4997" t="n">
        <v>0</v>
      </c>
      <c r="K4997" t="n">
        <v>0</v>
      </c>
      <c r="L4997" t="n">
        <v>0</v>
      </c>
      <c r="M4997" t="n">
        <v>0</v>
      </c>
      <c r="N4997" t="n">
        <v>0</v>
      </c>
      <c r="O4997" t="n">
        <v>0</v>
      </c>
      <c r="P4997" t="n">
        <v>0</v>
      </c>
      <c r="Q4997" t="n">
        <v>0</v>
      </c>
      <c r="R4997" s="2" t="inlineStr"/>
    </row>
    <row r="4998" ht="15" customHeight="1">
      <c r="A4998" t="inlineStr">
        <is>
          <t>A 30058-2024</t>
        </is>
      </c>
      <c r="B4998" s="1" t="n">
        <v>45488.94793981482</v>
      </c>
      <c r="C4998" s="1" t="n">
        <v>46075</v>
      </c>
      <c r="D4998" t="inlineStr">
        <is>
          <t>VÄSTERBOTTENS LÄN</t>
        </is>
      </c>
      <c r="E4998" t="inlineStr">
        <is>
          <t>ÅSELE</t>
        </is>
      </c>
      <c r="F4998" t="inlineStr">
        <is>
          <t>SCA</t>
        </is>
      </c>
      <c r="G4998" t="n">
        <v>7.6</v>
      </c>
      <c r="H4998" t="n">
        <v>0</v>
      </c>
      <c r="I4998" t="n">
        <v>0</v>
      </c>
      <c r="J4998" t="n">
        <v>0</v>
      </c>
      <c r="K4998" t="n">
        <v>0</v>
      </c>
      <c r="L4998" t="n">
        <v>0</v>
      </c>
      <c r="M4998" t="n">
        <v>0</v>
      </c>
      <c r="N4998" t="n">
        <v>0</v>
      </c>
      <c r="O4998" t="n">
        <v>0</v>
      </c>
      <c r="P4998" t="n">
        <v>0</v>
      </c>
      <c r="Q4998" t="n">
        <v>0</v>
      </c>
      <c r="R4998" s="2" t="inlineStr"/>
    </row>
    <row r="4999" ht="15" customHeight="1">
      <c r="A4999" t="inlineStr">
        <is>
          <t>A 28244-2021</t>
        </is>
      </c>
      <c r="B4999" s="1" t="n">
        <v>44355</v>
      </c>
      <c r="C4999" s="1" t="n">
        <v>46075</v>
      </c>
      <c r="D4999" t="inlineStr">
        <is>
          <t>VÄSTERBOTTENS LÄN</t>
        </is>
      </c>
      <c r="E4999" t="inlineStr">
        <is>
          <t>SKELLEFTEÅ</t>
        </is>
      </c>
      <c r="F4999" t="inlineStr">
        <is>
          <t>Holmen skog AB</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34946-2025</t>
        </is>
      </c>
      <c r="B5000" s="1" t="n">
        <v>45849.59119212963</v>
      </c>
      <c r="C5000" s="1" t="n">
        <v>46075</v>
      </c>
      <c r="D5000" t="inlineStr">
        <is>
          <t>VÄSTERBOTTENS LÄN</t>
        </is>
      </c>
      <c r="E5000" t="inlineStr">
        <is>
          <t>LYCKSELE</t>
        </is>
      </c>
      <c r="F5000" t="inlineStr">
        <is>
          <t>Sveaskog</t>
        </is>
      </c>
      <c r="G5000" t="n">
        <v>15.2</v>
      </c>
      <c r="H5000" t="n">
        <v>0</v>
      </c>
      <c r="I5000" t="n">
        <v>0</v>
      </c>
      <c r="J5000" t="n">
        <v>0</v>
      </c>
      <c r="K5000" t="n">
        <v>0</v>
      </c>
      <c r="L5000" t="n">
        <v>0</v>
      </c>
      <c r="M5000" t="n">
        <v>0</v>
      </c>
      <c r="N5000" t="n">
        <v>0</v>
      </c>
      <c r="O5000" t="n">
        <v>0</v>
      </c>
      <c r="P5000" t="n">
        <v>0</v>
      </c>
      <c r="Q5000" t="n">
        <v>0</v>
      </c>
      <c r="R5000" s="2" t="inlineStr"/>
    </row>
    <row r="5001" ht="15" customHeight="1">
      <c r="A5001" t="inlineStr">
        <is>
          <t>A 34926-2025</t>
        </is>
      </c>
      <c r="B5001" s="1" t="n">
        <v>45849.55927083334</v>
      </c>
      <c r="C5001" s="1" t="n">
        <v>46075</v>
      </c>
      <c r="D5001" t="inlineStr">
        <is>
          <t>VÄSTERBOTTENS LÄN</t>
        </is>
      </c>
      <c r="E5001" t="inlineStr">
        <is>
          <t>LYCKSELE</t>
        </is>
      </c>
      <c r="F5001" t="inlineStr">
        <is>
          <t>Sveaskog</t>
        </is>
      </c>
      <c r="G5001" t="n">
        <v>12.4</v>
      </c>
      <c r="H5001" t="n">
        <v>0</v>
      </c>
      <c r="I5001" t="n">
        <v>0</v>
      </c>
      <c r="J5001" t="n">
        <v>0</v>
      </c>
      <c r="K5001" t="n">
        <v>0</v>
      </c>
      <c r="L5001" t="n">
        <v>0</v>
      </c>
      <c r="M5001" t="n">
        <v>0</v>
      </c>
      <c r="N5001" t="n">
        <v>0</v>
      </c>
      <c r="O5001" t="n">
        <v>0</v>
      </c>
      <c r="P5001" t="n">
        <v>0</v>
      </c>
      <c r="Q5001" t="n">
        <v>0</v>
      </c>
      <c r="R5001" s="2" t="inlineStr"/>
    </row>
    <row r="5002" ht="15" customHeight="1">
      <c r="A5002" t="inlineStr">
        <is>
          <t>A 48954-2024</t>
        </is>
      </c>
      <c r="B5002" s="1" t="n">
        <v>45594.43673611111</v>
      </c>
      <c r="C5002" s="1" t="n">
        <v>46075</v>
      </c>
      <c r="D5002" t="inlineStr">
        <is>
          <t>VÄSTERBOTTENS LÄN</t>
        </is>
      </c>
      <c r="E5002" t="inlineStr">
        <is>
          <t>NORSJÖ</t>
        </is>
      </c>
      <c r="F5002" t="inlineStr">
        <is>
          <t>Holmen skog AB</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7102-2024</t>
        </is>
      </c>
      <c r="B5003" s="1" t="n">
        <v>45343</v>
      </c>
      <c r="C5003" s="1" t="n">
        <v>46075</v>
      </c>
      <c r="D5003" t="inlineStr">
        <is>
          <t>VÄSTERBOTTENS LÄN</t>
        </is>
      </c>
      <c r="E5003" t="inlineStr">
        <is>
          <t>VILHELMINA</t>
        </is>
      </c>
      <c r="G5003" t="n">
        <v>3.2</v>
      </c>
      <c r="H5003" t="n">
        <v>0</v>
      </c>
      <c r="I5003" t="n">
        <v>0</v>
      </c>
      <c r="J5003" t="n">
        <v>0</v>
      </c>
      <c r="K5003" t="n">
        <v>0</v>
      </c>
      <c r="L5003" t="n">
        <v>0</v>
      </c>
      <c r="M5003" t="n">
        <v>0</v>
      </c>
      <c r="N5003" t="n">
        <v>0</v>
      </c>
      <c r="O5003" t="n">
        <v>0</v>
      </c>
      <c r="P5003" t="n">
        <v>0</v>
      </c>
      <c r="Q5003" t="n">
        <v>0</v>
      </c>
      <c r="R5003" s="2" t="inlineStr"/>
    </row>
    <row r="5004" ht="15" customHeight="1">
      <c r="A5004" t="inlineStr">
        <is>
          <t>A 44340-2025</t>
        </is>
      </c>
      <c r="B5004" s="1" t="n">
        <v>45916.43275462963</v>
      </c>
      <c r="C5004" s="1" t="n">
        <v>46075</v>
      </c>
      <c r="D5004" t="inlineStr">
        <is>
          <t>VÄSTERBOTTENS LÄN</t>
        </is>
      </c>
      <c r="E5004" t="inlineStr">
        <is>
          <t>LYCKSELE</t>
        </is>
      </c>
      <c r="F5004" t="inlineStr">
        <is>
          <t>Sveaskog</t>
        </is>
      </c>
      <c r="G5004" t="n">
        <v>19.6</v>
      </c>
      <c r="H5004" t="n">
        <v>0</v>
      </c>
      <c r="I5004" t="n">
        <v>0</v>
      </c>
      <c r="J5004" t="n">
        <v>0</v>
      </c>
      <c r="K5004" t="n">
        <v>0</v>
      </c>
      <c r="L5004" t="n">
        <v>0</v>
      </c>
      <c r="M5004" t="n">
        <v>0</v>
      </c>
      <c r="N5004" t="n">
        <v>0</v>
      </c>
      <c r="O5004" t="n">
        <v>0</v>
      </c>
      <c r="P5004" t="n">
        <v>0</v>
      </c>
      <c r="Q5004" t="n">
        <v>0</v>
      </c>
      <c r="R5004" s="2" t="inlineStr"/>
    </row>
    <row r="5005" ht="15" customHeight="1">
      <c r="A5005" t="inlineStr">
        <is>
          <t>A 34787-2025</t>
        </is>
      </c>
      <c r="B5005" s="1" t="n">
        <v>45848.67791666667</v>
      </c>
      <c r="C5005" s="1" t="n">
        <v>46075</v>
      </c>
      <c r="D5005" t="inlineStr">
        <is>
          <t>VÄSTERBOTTENS LÄN</t>
        </is>
      </c>
      <c r="E5005" t="inlineStr">
        <is>
          <t>UMEÅ</t>
        </is>
      </c>
      <c r="G5005" t="n">
        <v>8.6</v>
      </c>
      <c r="H5005" t="n">
        <v>0</v>
      </c>
      <c r="I5005" t="n">
        <v>0</v>
      </c>
      <c r="J5005" t="n">
        <v>0</v>
      </c>
      <c r="K5005" t="n">
        <v>0</v>
      </c>
      <c r="L5005" t="n">
        <v>0</v>
      </c>
      <c r="M5005" t="n">
        <v>0</v>
      </c>
      <c r="N5005" t="n">
        <v>0</v>
      </c>
      <c r="O5005" t="n">
        <v>0</v>
      </c>
      <c r="P5005" t="n">
        <v>0</v>
      </c>
      <c r="Q5005" t="n">
        <v>0</v>
      </c>
      <c r="R5005" s="2" t="inlineStr"/>
    </row>
    <row r="5006" ht="15" customHeight="1">
      <c r="A5006" t="inlineStr">
        <is>
          <t>A 44360-2025</t>
        </is>
      </c>
      <c r="B5006" s="1" t="n">
        <v>45916.45126157408</v>
      </c>
      <c r="C5006" s="1" t="n">
        <v>46075</v>
      </c>
      <c r="D5006" t="inlineStr">
        <is>
          <t>VÄSTERBOTTENS LÄN</t>
        </is>
      </c>
      <c r="E5006" t="inlineStr">
        <is>
          <t>LYCKSELE</t>
        </is>
      </c>
      <c r="F5006" t="inlineStr">
        <is>
          <t>Sveaskog</t>
        </is>
      </c>
      <c r="G5006" t="n">
        <v>5.3</v>
      </c>
      <c r="H5006" t="n">
        <v>0</v>
      </c>
      <c r="I5006" t="n">
        <v>0</v>
      </c>
      <c r="J5006" t="n">
        <v>0</v>
      </c>
      <c r="K5006" t="n">
        <v>0</v>
      </c>
      <c r="L5006" t="n">
        <v>0</v>
      </c>
      <c r="M5006" t="n">
        <v>0</v>
      </c>
      <c r="N5006" t="n">
        <v>0</v>
      </c>
      <c r="O5006" t="n">
        <v>0</v>
      </c>
      <c r="P5006" t="n">
        <v>0</v>
      </c>
      <c r="Q5006" t="n">
        <v>0</v>
      </c>
      <c r="R5006" s="2" t="inlineStr"/>
    </row>
    <row r="5007" ht="15" customHeight="1">
      <c r="A5007" t="inlineStr">
        <is>
          <t>A 35242-2025</t>
        </is>
      </c>
      <c r="B5007" s="1" t="n">
        <v>45853.62052083333</v>
      </c>
      <c r="C5007" s="1" t="n">
        <v>46075</v>
      </c>
      <c r="D5007" t="inlineStr">
        <is>
          <t>VÄSTERBOTTENS LÄN</t>
        </is>
      </c>
      <c r="E5007" t="inlineStr">
        <is>
          <t>LYCKSELE</t>
        </is>
      </c>
      <c r="F5007" t="inlineStr">
        <is>
          <t>Sveaskog</t>
        </is>
      </c>
      <c r="G5007" t="n">
        <v>6.7</v>
      </c>
      <c r="H5007" t="n">
        <v>0</v>
      </c>
      <c r="I5007" t="n">
        <v>0</v>
      </c>
      <c r="J5007" t="n">
        <v>0</v>
      </c>
      <c r="K5007" t="n">
        <v>0</v>
      </c>
      <c r="L5007" t="n">
        <v>0</v>
      </c>
      <c r="M5007" t="n">
        <v>0</v>
      </c>
      <c r="N5007" t="n">
        <v>0</v>
      </c>
      <c r="O5007" t="n">
        <v>0</v>
      </c>
      <c r="P5007" t="n">
        <v>0</v>
      </c>
      <c r="Q5007" t="n">
        <v>0</v>
      </c>
      <c r="R5007" s="2" t="inlineStr"/>
    </row>
    <row r="5008" ht="15" customHeight="1">
      <c r="A5008" t="inlineStr">
        <is>
          <t>A 45157-2023</t>
        </is>
      </c>
      <c r="B5008" s="1" t="n">
        <v>45191.48872685185</v>
      </c>
      <c r="C5008" s="1" t="n">
        <v>46075</v>
      </c>
      <c r="D5008" t="inlineStr">
        <is>
          <t>VÄSTERBOTTENS LÄN</t>
        </is>
      </c>
      <c r="E5008" t="inlineStr">
        <is>
          <t>ROBERTSFORS</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41694-2023</t>
        </is>
      </c>
      <c r="B5009" s="1" t="n">
        <v>45176</v>
      </c>
      <c r="C5009" s="1" t="n">
        <v>46075</v>
      </c>
      <c r="D5009" t="inlineStr">
        <is>
          <t>VÄSTERBOTTENS LÄN</t>
        </is>
      </c>
      <c r="E5009" t="inlineStr">
        <is>
          <t>ÅSELE</t>
        </is>
      </c>
      <c r="F5009" t="inlineStr">
        <is>
          <t>Holmen skog AB</t>
        </is>
      </c>
      <c r="G5009" t="n">
        <v>10.3</v>
      </c>
      <c r="H5009" t="n">
        <v>0</v>
      </c>
      <c r="I5009" t="n">
        <v>0</v>
      </c>
      <c r="J5009" t="n">
        <v>0</v>
      </c>
      <c r="K5009" t="n">
        <v>0</v>
      </c>
      <c r="L5009" t="n">
        <v>0</v>
      </c>
      <c r="M5009" t="n">
        <v>0</v>
      </c>
      <c r="N5009" t="n">
        <v>0</v>
      </c>
      <c r="O5009" t="n">
        <v>0</v>
      </c>
      <c r="P5009" t="n">
        <v>0</v>
      </c>
      <c r="Q5009" t="n">
        <v>0</v>
      </c>
      <c r="R5009" s="2" t="inlineStr"/>
    </row>
    <row r="5010" ht="15" customHeight="1">
      <c r="A5010" t="inlineStr">
        <is>
          <t>A 41711-2023</t>
        </is>
      </c>
      <c r="B5010" s="1" t="n">
        <v>45176.39111111111</v>
      </c>
      <c r="C5010" s="1" t="n">
        <v>46075</v>
      </c>
      <c r="D5010" t="inlineStr">
        <is>
          <t>VÄSTERBOTTENS LÄN</t>
        </is>
      </c>
      <c r="E5010" t="inlineStr">
        <is>
          <t>LYCKSELE</t>
        </is>
      </c>
      <c r="F5010" t="inlineStr">
        <is>
          <t>Holmen skog AB</t>
        </is>
      </c>
      <c r="G5010" t="n">
        <v>2.9</v>
      </c>
      <c r="H5010" t="n">
        <v>0</v>
      </c>
      <c r="I5010" t="n">
        <v>0</v>
      </c>
      <c r="J5010" t="n">
        <v>0</v>
      </c>
      <c r="K5010" t="n">
        <v>0</v>
      </c>
      <c r="L5010" t="n">
        <v>0</v>
      </c>
      <c r="M5010" t="n">
        <v>0</v>
      </c>
      <c r="N5010" t="n">
        <v>0</v>
      </c>
      <c r="O5010" t="n">
        <v>0</v>
      </c>
      <c r="P5010" t="n">
        <v>0</v>
      </c>
      <c r="Q5010" t="n">
        <v>0</v>
      </c>
      <c r="R5010" s="2" t="inlineStr"/>
    </row>
    <row r="5011" ht="15" customHeight="1">
      <c r="A5011" t="inlineStr">
        <is>
          <t>A 44751-2025</t>
        </is>
      </c>
      <c r="B5011" s="1" t="n">
        <v>45917.68104166666</v>
      </c>
      <c r="C5011" s="1" t="n">
        <v>46075</v>
      </c>
      <c r="D5011" t="inlineStr">
        <is>
          <t>VÄSTERBOTTENS LÄN</t>
        </is>
      </c>
      <c r="E5011" t="inlineStr">
        <is>
          <t>UMEÅ</t>
        </is>
      </c>
      <c r="G5011" t="n">
        <v>9.1</v>
      </c>
      <c r="H5011" t="n">
        <v>0</v>
      </c>
      <c r="I5011" t="n">
        <v>0</v>
      </c>
      <c r="J5011" t="n">
        <v>0</v>
      </c>
      <c r="K5011" t="n">
        <v>0</v>
      </c>
      <c r="L5011" t="n">
        <v>0</v>
      </c>
      <c r="M5011" t="n">
        <v>0</v>
      </c>
      <c r="N5011" t="n">
        <v>0</v>
      </c>
      <c r="O5011" t="n">
        <v>0</v>
      </c>
      <c r="P5011" t="n">
        <v>0</v>
      </c>
      <c r="Q5011" t="n">
        <v>0</v>
      </c>
      <c r="R5011" s="2" t="inlineStr"/>
    </row>
    <row r="5012" ht="15" customHeight="1">
      <c r="A5012" t="inlineStr">
        <is>
          <t>A 44267-2025</t>
        </is>
      </c>
      <c r="B5012" s="1" t="n">
        <v>45916.3115625</v>
      </c>
      <c r="C5012" s="1" t="n">
        <v>46075</v>
      </c>
      <c r="D5012" t="inlineStr">
        <is>
          <t>VÄSTERBOTTENS LÄN</t>
        </is>
      </c>
      <c r="E5012" t="inlineStr">
        <is>
          <t>VINDELN</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44345-2025</t>
        </is>
      </c>
      <c r="B5013" s="1" t="n">
        <v>45916.43665509259</v>
      </c>
      <c r="C5013" s="1" t="n">
        <v>46075</v>
      </c>
      <c r="D5013" t="inlineStr">
        <is>
          <t>VÄSTERBOTTENS LÄN</t>
        </is>
      </c>
      <c r="E5013" t="inlineStr">
        <is>
          <t>LYCKSELE</t>
        </is>
      </c>
      <c r="F5013" t="inlineStr">
        <is>
          <t>Sveaskog</t>
        </is>
      </c>
      <c r="G5013" t="n">
        <v>5.4</v>
      </c>
      <c r="H5013" t="n">
        <v>0</v>
      </c>
      <c r="I5013" t="n">
        <v>0</v>
      </c>
      <c r="J5013" t="n">
        <v>0</v>
      </c>
      <c r="K5013" t="n">
        <v>0</v>
      </c>
      <c r="L5013" t="n">
        <v>0</v>
      </c>
      <c r="M5013" t="n">
        <v>0</v>
      </c>
      <c r="N5013" t="n">
        <v>0</v>
      </c>
      <c r="O5013" t="n">
        <v>0</v>
      </c>
      <c r="P5013" t="n">
        <v>0</v>
      </c>
      <c r="Q5013" t="n">
        <v>0</v>
      </c>
      <c r="R5013" s="2" t="inlineStr"/>
    </row>
    <row r="5014" ht="15" customHeight="1">
      <c r="A5014" t="inlineStr">
        <is>
          <t>A 44353-2025</t>
        </is>
      </c>
      <c r="B5014" s="1" t="n">
        <v>45916.44612268519</v>
      </c>
      <c r="C5014" s="1" t="n">
        <v>46075</v>
      </c>
      <c r="D5014" t="inlineStr">
        <is>
          <t>VÄSTERBOTTENS LÄN</t>
        </is>
      </c>
      <c r="E5014" t="inlineStr">
        <is>
          <t>SKELLEFTEÅ</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35192-2025</t>
        </is>
      </c>
      <c r="B5015" s="1" t="n">
        <v>45853.35604166667</v>
      </c>
      <c r="C5015" s="1" t="n">
        <v>46075</v>
      </c>
      <c r="D5015" t="inlineStr">
        <is>
          <t>VÄSTERBOTTENS LÄN</t>
        </is>
      </c>
      <c r="E5015" t="inlineStr">
        <is>
          <t>LYCKSELE</t>
        </is>
      </c>
      <c r="F5015" t="inlineStr">
        <is>
          <t>Sveaskog</t>
        </is>
      </c>
      <c r="G5015" t="n">
        <v>3.4</v>
      </c>
      <c r="H5015" t="n">
        <v>0</v>
      </c>
      <c r="I5015" t="n">
        <v>0</v>
      </c>
      <c r="J5015" t="n">
        <v>0</v>
      </c>
      <c r="K5015" t="n">
        <v>0</v>
      </c>
      <c r="L5015" t="n">
        <v>0</v>
      </c>
      <c r="M5015" t="n">
        <v>0</v>
      </c>
      <c r="N5015" t="n">
        <v>0</v>
      </c>
      <c r="O5015" t="n">
        <v>0</v>
      </c>
      <c r="P5015" t="n">
        <v>0</v>
      </c>
      <c r="Q5015" t="n">
        <v>0</v>
      </c>
      <c r="R5015" s="2" t="inlineStr"/>
    </row>
    <row r="5016" ht="15" customHeight="1">
      <c r="A5016" t="inlineStr">
        <is>
          <t>A 53607-2024</t>
        </is>
      </c>
      <c r="B5016" s="1" t="n">
        <v>45614.69854166666</v>
      </c>
      <c r="C5016" s="1" t="n">
        <v>46075</v>
      </c>
      <c r="D5016" t="inlineStr">
        <is>
          <t>VÄSTERBOTTENS LÄN</t>
        </is>
      </c>
      <c r="E5016" t="inlineStr">
        <is>
          <t>DOROTEA</t>
        </is>
      </c>
      <c r="F5016" t="inlineStr">
        <is>
          <t>SCA</t>
        </is>
      </c>
      <c r="G5016" t="n">
        <v>25.5</v>
      </c>
      <c r="H5016" t="n">
        <v>0</v>
      </c>
      <c r="I5016" t="n">
        <v>0</v>
      </c>
      <c r="J5016" t="n">
        <v>0</v>
      </c>
      <c r="K5016" t="n">
        <v>0</v>
      </c>
      <c r="L5016" t="n">
        <v>0</v>
      </c>
      <c r="M5016" t="n">
        <v>0</v>
      </c>
      <c r="N5016" t="n">
        <v>0</v>
      </c>
      <c r="O5016" t="n">
        <v>0</v>
      </c>
      <c r="P5016" t="n">
        <v>0</v>
      </c>
      <c r="Q5016" t="n">
        <v>0</v>
      </c>
      <c r="R5016" s="2" t="inlineStr"/>
    </row>
    <row r="5017" ht="15" customHeight="1">
      <c r="A5017" t="inlineStr">
        <is>
          <t>A 44435-2025</t>
        </is>
      </c>
      <c r="B5017" s="1" t="n">
        <v>45916.58086805556</v>
      </c>
      <c r="C5017" s="1" t="n">
        <v>46075</v>
      </c>
      <c r="D5017" t="inlineStr">
        <is>
          <t>VÄSTERBOTTENS LÄN</t>
        </is>
      </c>
      <c r="E5017" t="inlineStr">
        <is>
          <t>ÅSELE</t>
        </is>
      </c>
      <c r="F5017" t="inlineStr">
        <is>
          <t>Holmen skog AB</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44401-2025</t>
        </is>
      </c>
      <c r="B5018" s="1" t="n">
        <v>45916.50414351852</v>
      </c>
      <c r="C5018" s="1" t="n">
        <v>46075</v>
      </c>
      <c r="D5018" t="inlineStr">
        <is>
          <t>VÄSTERBOTTENS LÄN</t>
        </is>
      </c>
      <c r="E5018" t="inlineStr">
        <is>
          <t>ÅSELE</t>
        </is>
      </c>
      <c r="G5018" t="n">
        <v>3</v>
      </c>
      <c r="H5018" t="n">
        <v>0</v>
      </c>
      <c r="I5018" t="n">
        <v>0</v>
      </c>
      <c r="J5018" t="n">
        <v>0</v>
      </c>
      <c r="K5018" t="n">
        <v>0</v>
      </c>
      <c r="L5018" t="n">
        <v>0</v>
      </c>
      <c r="M5018" t="n">
        <v>0</v>
      </c>
      <c r="N5018" t="n">
        <v>0</v>
      </c>
      <c r="O5018" t="n">
        <v>0</v>
      </c>
      <c r="P5018" t="n">
        <v>0</v>
      </c>
      <c r="Q5018" t="n">
        <v>0</v>
      </c>
      <c r="R5018" s="2" t="inlineStr"/>
    </row>
    <row r="5019" ht="15" customHeight="1">
      <c r="A5019" t="inlineStr">
        <is>
          <t>A 18862-2023</t>
        </is>
      </c>
      <c r="B5019" s="1" t="n">
        <v>45043</v>
      </c>
      <c r="C5019" s="1" t="n">
        <v>46075</v>
      </c>
      <c r="D5019" t="inlineStr">
        <is>
          <t>VÄSTERBOTTENS LÄN</t>
        </is>
      </c>
      <c r="E5019" t="inlineStr">
        <is>
          <t>VINDELN</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44594-2025</t>
        </is>
      </c>
      <c r="B5020" s="1" t="n">
        <v>45917.42766203704</v>
      </c>
      <c r="C5020" s="1" t="n">
        <v>46075</v>
      </c>
      <c r="D5020" t="inlineStr">
        <is>
          <t>VÄSTERBOTTENS LÄN</t>
        </is>
      </c>
      <c r="E5020" t="inlineStr">
        <is>
          <t>DOROTEA</t>
        </is>
      </c>
      <c r="F5020" t="inlineStr">
        <is>
          <t>SCA</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32434-2024</t>
        </is>
      </c>
      <c r="B5021" s="1" t="n">
        <v>45512.92891203704</v>
      </c>
      <c r="C5021" s="1" t="n">
        <v>46075</v>
      </c>
      <c r="D5021" t="inlineStr">
        <is>
          <t>VÄSTERBOTTENS LÄN</t>
        </is>
      </c>
      <c r="E5021" t="inlineStr">
        <is>
          <t>ROBERTSFORS</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44669-2025</t>
        </is>
      </c>
      <c r="B5022" s="1" t="n">
        <v>45917.56386574074</v>
      </c>
      <c r="C5022" s="1" t="n">
        <v>46075</v>
      </c>
      <c r="D5022" t="inlineStr">
        <is>
          <t>VÄSTERBOTTENS LÄN</t>
        </is>
      </c>
      <c r="E5022" t="inlineStr">
        <is>
          <t>ÅSELE</t>
        </is>
      </c>
      <c r="F5022" t="inlineStr">
        <is>
          <t>Holmen skog AB</t>
        </is>
      </c>
      <c r="G5022" t="n">
        <v>8.9</v>
      </c>
      <c r="H5022" t="n">
        <v>0</v>
      </c>
      <c r="I5022" t="n">
        <v>0</v>
      </c>
      <c r="J5022" t="n">
        <v>0</v>
      </c>
      <c r="K5022" t="n">
        <v>0</v>
      </c>
      <c r="L5022" t="n">
        <v>0</v>
      </c>
      <c r="M5022" t="n">
        <v>0</v>
      </c>
      <c r="N5022" t="n">
        <v>0</v>
      </c>
      <c r="O5022" t="n">
        <v>0</v>
      </c>
      <c r="P5022" t="n">
        <v>0</v>
      </c>
      <c r="Q5022" t="n">
        <v>0</v>
      </c>
      <c r="R5022" s="2" t="inlineStr"/>
    </row>
    <row r="5023" ht="15" customHeight="1">
      <c r="A5023" t="inlineStr">
        <is>
          <t>A 35237-2025</t>
        </is>
      </c>
      <c r="B5023" s="1" t="n">
        <v>45853.61248842593</v>
      </c>
      <c r="C5023" s="1" t="n">
        <v>46075</v>
      </c>
      <c r="D5023" t="inlineStr">
        <is>
          <t>VÄSTERBOTTENS LÄN</t>
        </is>
      </c>
      <c r="E5023" t="inlineStr">
        <is>
          <t>LYCKSELE</t>
        </is>
      </c>
      <c r="F5023" t="inlineStr">
        <is>
          <t>Sveaskog</t>
        </is>
      </c>
      <c r="G5023" t="n">
        <v>5.9</v>
      </c>
      <c r="H5023" t="n">
        <v>0</v>
      </c>
      <c r="I5023" t="n">
        <v>0</v>
      </c>
      <c r="J5023" t="n">
        <v>0</v>
      </c>
      <c r="K5023" t="n">
        <v>0</v>
      </c>
      <c r="L5023" t="n">
        <v>0</v>
      </c>
      <c r="M5023" t="n">
        <v>0</v>
      </c>
      <c r="N5023" t="n">
        <v>0</v>
      </c>
      <c r="O5023" t="n">
        <v>0</v>
      </c>
      <c r="P5023" t="n">
        <v>0</v>
      </c>
      <c r="Q5023" t="n">
        <v>0</v>
      </c>
      <c r="R5023" s="2" t="inlineStr"/>
    </row>
    <row r="5024" ht="15" customHeight="1">
      <c r="A5024" t="inlineStr">
        <is>
          <t>A 35248-2025</t>
        </is>
      </c>
      <c r="B5024" s="1" t="n">
        <v>45853.65667824074</v>
      </c>
      <c r="C5024" s="1" t="n">
        <v>46075</v>
      </c>
      <c r="D5024" t="inlineStr">
        <is>
          <t>VÄSTERBOTTENS LÄN</t>
        </is>
      </c>
      <c r="E5024" t="inlineStr">
        <is>
          <t>MALÅ</t>
        </is>
      </c>
      <c r="F5024" t="inlineStr">
        <is>
          <t>SCA</t>
        </is>
      </c>
      <c r="G5024" t="n">
        <v>6.2</v>
      </c>
      <c r="H5024" t="n">
        <v>0</v>
      </c>
      <c r="I5024" t="n">
        <v>0</v>
      </c>
      <c r="J5024" t="n">
        <v>0</v>
      </c>
      <c r="K5024" t="n">
        <v>0</v>
      </c>
      <c r="L5024" t="n">
        <v>0</v>
      </c>
      <c r="M5024" t="n">
        <v>0</v>
      </c>
      <c r="N5024" t="n">
        <v>0</v>
      </c>
      <c r="O5024" t="n">
        <v>0</v>
      </c>
      <c r="P5024" t="n">
        <v>0</v>
      </c>
      <c r="Q5024" t="n">
        <v>0</v>
      </c>
      <c r="R5024" s="2" t="inlineStr"/>
    </row>
    <row r="5025" ht="15" customHeight="1">
      <c r="A5025" t="inlineStr">
        <is>
          <t>A 35057-2025</t>
        </is>
      </c>
      <c r="B5025" s="1" t="n">
        <v>45852.40655092592</v>
      </c>
      <c r="C5025" s="1" t="n">
        <v>46075</v>
      </c>
      <c r="D5025" t="inlineStr">
        <is>
          <t>VÄSTERBOTTENS LÄN</t>
        </is>
      </c>
      <c r="E5025" t="inlineStr">
        <is>
          <t>NORDMALING</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44547-2025</t>
        </is>
      </c>
      <c r="B5026" s="1" t="n">
        <v>45917.3320949074</v>
      </c>
      <c r="C5026" s="1" t="n">
        <v>46075</v>
      </c>
      <c r="D5026" t="inlineStr">
        <is>
          <t>VÄSTERBOTTENS LÄN</t>
        </is>
      </c>
      <c r="E5026" t="inlineStr">
        <is>
          <t>LYCKSELE</t>
        </is>
      </c>
      <c r="F5026" t="inlineStr">
        <is>
          <t>Sveaskog</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44339-2025</t>
        </is>
      </c>
      <c r="B5027" s="1" t="n">
        <v>45916.42990740741</v>
      </c>
      <c r="C5027" s="1" t="n">
        <v>46075</v>
      </c>
      <c r="D5027" t="inlineStr">
        <is>
          <t>VÄSTERBOTTENS LÄN</t>
        </is>
      </c>
      <c r="E5027" t="inlineStr">
        <is>
          <t>VINDELN</t>
        </is>
      </c>
      <c r="G5027" t="n">
        <v>10.6</v>
      </c>
      <c r="H5027" t="n">
        <v>0</v>
      </c>
      <c r="I5027" t="n">
        <v>0</v>
      </c>
      <c r="J5027" t="n">
        <v>0</v>
      </c>
      <c r="K5027" t="n">
        <v>0</v>
      </c>
      <c r="L5027" t="n">
        <v>0</v>
      </c>
      <c r="M5027" t="n">
        <v>0</v>
      </c>
      <c r="N5027" t="n">
        <v>0</v>
      </c>
      <c r="O5027" t="n">
        <v>0</v>
      </c>
      <c r="P5027" t="n">
        <v>0</v>
      </c>
      <c r="Q5027" t="n">
        <v>0</v>
      </c>
      <c r="R5027" s="2" t="inlineStr"/>
    </row>
    <row r="5028" ht="15" customHeight="1">
      <c r="A5028" t="inlineStr">
        <is>
          <t>A 44342-2025</t>
        </is>
      </c>
      <c r="B5028" s="1" t="n">
        <v>45916.43309027778</v>
      </c>
      <c r="C5028" s="1" t="n">
        <v>46075</v>
      </c>
      <c r="D5028" t="inlineStr">
        <is>
          <t>VÄSTERBOTTENS LÄN</t>
        </is>
      </c>
      <c r="E5028" t="inlineStr">
        <is>
          <t>LYCKSELE</t>
        </is>
      </c>
      <c r="F5028" t="inlineStr">
        <is>
          <t>Sveaskog</t>
        </is>
      </c>
      <c r="G5028" t="n">
        <v>4.1</v>
      </c>
      <c r="H5028" t="n">
        <v>0</v>
      </c>
      <c r="I5028" t="n">
        <v>0</v>
      </c>
      <c r="J5028" t="n">
        <v>0</v>
      </c>
      <c r="K5028" t="n">
        <v>0</v>
      </c>
      <c r="L5028" t="n">
        <v>0</v>
      </c>
      <c r="M5028" t="n">
        <v>0</v>
      </c>
      <c r="N5028" t="n">
        <v>0</v>
      </c>
      <c r="O5028" t="n">
        <v>0</v>
      </c>
      <c r="P5028" t="n">
        <v>0</v>
      </c>
      <c r="Q5028" t="n">
        <v>0</v>
      </c>
      <c r="R5028" s="2" t="inlineStr"/>
    </row>
    <row r="5029" ht="15" customHeight="1">
      <c r="A5029" t="inlineStr">
        <is>
          <t>A 35090-2025</t>
        </is>
      </c>
      <c r="B5029" s="1" t="n">
        <v>45852.52563657407</v>
      </c>
      <c r="C5029" s="1" t="n">
        <v>46075</v>
      </c>
      <c r="D5029" t="inlineStr">
        <is>
          <t>VÄSTERBOTTENS LÄN</t>
        </is>
      </c>
      <c r="E5029" t="inlineStr">
        <is>
          <t>SKELLEFTEÅ</t>
        </is>
      </c>
      <c r="F5029" t="inlineStr">
        <is>
          <t>Holmen skog AB</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44346-2025</t>
        </is>
      </c>
      <c r="B5030" s="1" t="n">
        <v>45916.43722222222</v>
      </c>
      <c r="C5030" s="1" t="n">
        <v>46075</v>
      </c>
      <c r="D5030" t="inlineStr">
        <is>
          <t>VÄSTERBOTTENS LÄN</t>
        </is>
      </c>
      <c r="E5030" t="inlineStr">
        <is>
          <t>LYCKSELE</t>
        </is>
      </c>
      <c r="F5030" t="inlineStr">
        <is>
          <t>Sveaskog</t>
        </is>
      </c>
      <c r="G5030" t="n">
        <v>18.4</v>
      </c>
      <c r="H5030" t="n">
        <v>0</v>
      </c>
      <c r="I5030" t="n">
        <v>0</v>
      </c>
      <c r="J5030" t="n">
        <v>0</v>
      </c>
      <c r="K5030" t="n">
        <v>0</v>
      </c>
      <c r="L5030" t="n">
        <v>0</v>
      </c>
      <c r="M5030" t="n">
        <v>0</v>
      </c>
      <c r="N5030" t="n">
        <v>0</v>
      </c>
      <c r="O5030" t="n">
        <v>0</v>
      </c>
      <c r="P5030" t="n">
        <v>0</v>
      </c>
      <c r="Q5030" t="n">
        <v>0</v>
      </c>
      <c r="R5030" s="2" t="inlineStr"/>
    </row>
    <row r="5031" ht="15" customHeight="1">
      <c r="A5031" t="inlineStr">
        <is>
          <t>A 41038-2024</t>
        </is>
      </c>
      <c r="B5031" s="1" t="n">
        <v>45559.36113425926</v>
      </c>
      <c r="C5031" s="1" t="n">
        <v>46075</v>
      </c>
      <c r="D5031" t="inlineStr">
        <is>
          <t>VÄSTERBOTTENS LÄN</t>
        </is>
      </c>
      <c r="E5031" t="inlineStr">
        <is>
          <t>SKELLEFTEÅ</t>
        </is>
      </c>
      <c r="F5031" t="inlineStr">
        <is>
          <t>Sveaskog</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35130-2025</t>
        </is>
      </c>
      <c r="B5032" s="1" t="n">
        <v>45852.63579861111</v>
      </c>
      <c r="C5032" s="1" t="n">
        <v>46075</v>
      </c>
      <c r="D5032" t="inlineStr">
        <is>
          <t>VÄSTERBOTTENS LÄN</t>
        </is>
      </c>
      <c r="E5032" t="inlineStr">
        <is>
          <t>LYCKSELE</t>
        </is>
      </c>
      <c r="F5032" t="inlineStr">
        <is>
          <t>SCA</t>
        </is>
      </c>
      <c r="G5032" t="n">
        <v>6.2</v>
      </c>
      <c r="H5032" t="n">
        <v>0</v>
      </c>
      <c r="I5032" t="n">
        <v>0</v>
      </c>
      <c r="J5032" t="n">
        <v>0</v>
      </c>
      <c r="K5032" t="n">
        <v>0</v>
      </c>
      <c r="L5032" t="n">
        <v>0</v>
      </c>
      <c r="M5032" t="n">
        <v>0</v>
      </c>
      <c r="N5032" t="n">
        <v>0</v>
      </c>
      <c r="O5032" t="n">
        <v>0</v>
      </c>
      <c r="P5032" t="n">
        <v>0</v>
      </c>
      <c r="Q5032" t="n">
        <v>0</v>
      </c>
      <c r="R5032" s="2" t="inlineStr"/>
    </row>
    <row r="5033" ht="15" customHeight="1">
      <c r="A5033" t="inlineStr">
        <is>
          <t>A 54401-2023</t>
        </is>
      </c>
      <c r="B5033" s="1" t="n">
        <v>45226</v>
      </c>
      <c r="C5033" s="1" t="n">
        <v>46075</v>
      </c>
      <c r="D5033" t="inlineStr">
        <is>
          <t>VÄSTERBOTTENS LÄN</t>
        </is>
      </c>
      <c r="E5033" t="inlineStr">
        <is>
          <t>SKELLEFTEÅ</t>
        </is>
      </c>
      <c r="G5033" t="n">
        <v>6.4</v>
      </c>
      <c r="H5033" t="n">
        <v>0</v>
      </c>
      <c r="I5033" t="n">
        <v>0</v>
      </c>
      <c r="J5033" t="n">
        <v>0</v>
      </c>
      <c r="K5033" t="n">
        <v>0</v>
      </c>
      <c r="L5033" t="n">
        <v>0</v>
      </c>
      <c r="M5033" t="n">
        <v>0</v>
      </c>
      <c r="N5033" t="n">
        <v>0</v>
      </c>
      <c r="O5033" t="n">
        <v>0</v>
      </c>
      <c r="P5033" t="n">
        <v>0</v>
      </c>
      <c r="Q5033" t="n">
        <v>0</v>
      </c>
      <c r="R5033" s="2" t="inlineStr"/>
    </row>
    <row r="5034" ht="15" customHeight="1">
      <c r="A5034" t="inlineStr">
        <is>
          <t>A 28977-2024</t>
        </is>
      </c>
      <c r="B5034" s="1" t="n">
        <v>45481.46547453704</v>
      </c>
      <c r="C5034" s="1" t="n">
        <v>46075</v>
      </c>
      <c r="D5034" t="inlineStr">
        <is>
          <t>VÄSTERBOTTENS LÄN</t>
        </is>
      </c>
      <c r="E5034" t="inlineStr">
        <is>
          <t>ÅSELE</t>
        </is>
      </c>
      <c r="F5034" t="inlineStr">
        <is>
          <t>Sveaskog</t>
        </is>
      </c>
      <c r="G5034" t="n">
        <v>5.4</v>
      </c>
      <c r="H5034" t="n">
        <v>0</v>
      </c>
      <c r="I5034" t="n">
        <v>0</v>
      </c>
      <c r="J5034" t="n">
        <v>0</v>
      </c>
      <c r="K5034" t="n">
        <v>0</v>
      </c>
      <c r="L5034" t="n">
        <v>0</v>
      </c>
      <c r="M5034" t="n">
        <v>0</v>
      </c>
      <c r="N5034" t="n">
        <v>0</v>
      </c>
      <c r="O5034" t="n">
        <v>0</v>
      </c>
      <c r="P5034" t="n">
        <v>0</v>
      </c>
      <c r="Q5034" t="n">
        <v>0</v>
      </c>
      <c r="R5034" s="2" t="inlineStr"/>
    </row>
    <row r="5035" ht="15" customHeight="1">
      <c r="A5035" t="inlineStr">
        <is>
          <t>A 28997-2024</t>
        </is>
      </c>
      <c r="B5035" s="1" t="n">
        <v>45481</v>
      </c>
      <c r="C5035" s="1" t="n">
        <v>46075</v>
      </c>
      <c r="D5035" t="inlineStr">
        <is>
          <t>VÄSTERBOTTENS LÄN</t>
        </is>
      </c>
      <c r="E5035" t="inlineStr">
        <is>
          <t>UMEÅ</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29039-2024</t>
        </is>
      </c>
      <c r="B5036" s="1" t="n">
        <v>45481.60922453704</v>
      </c>
      <c r="C5036" s="1" t="n">
        <v>46075</v>
      </c>
      <c r="D5036" t="inlineStr">
        <is>
          <t>VÄSTERBOTTENS LÄN</t>
        </is>
      </c>
      <c r="E5036" t="inlineStr">
        <is>
          <t>ÅSELE</t>
        </is>
      </c>
      <c r="F5036" t="inlineStr">
        <is>
          <t>Sveaskog</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44420-2025</t>
        </is>
      </c>
      <c r="B5037" s="1" t="n">
        <v>45916.54780092592</v>
      </c>
      <c r="C5037" s="1" t="n">
        <v>46075</v>
      </c>
      <c r="D5037" t="inlineStr">
        <is>
          <t>VÄSTERBOTTENS LÄN</t>
        </is>
      </c>
      <c r="E5037" t="inlineStr">
        <is>
          <t>UMEÅ</t>
        </is>
      </c>
      <c r="G5037" t="n">
        <v>2.8</v>
      </c>
      <c r="H5037" t="n">
        <v>0</v>
      </c>
      <c r="I5037" t="n">
        <v>0</v>
      </c>
      <c r="J5037" t="n">
        <v>0</v>
      </c>
      <c r="K5037" t="n">
        <v>0</v>
      </c>
      <c r="L5037" t="n">
        <v>0</v>
      </c>
      <c r="M5037" t="n">
        <v>0</v>
      </c>
      <c r="N5037" t="n">
        <v>0</v>
      </c>
      <c r="O5037" t="n">
        <v>0</v>
      </c>
      <c r="P5037" t="n">
        <v>0</v>
      </c>
      <c r="Q5037" t="n">
        <v>0</v>
      </c>
      <c r="R5037" s="2" t="inlineStr"/>
    </row>
    <row r="5038" ht="15" customHeight="1">
      <c r="A5038" t="inlineStr">
        <is>
          <t>A 44623-2025</t>
        </is>
      </c>
      <c r="B5038" s="1" t="n">
        <v>45917.47033564815</v>
      </c>
      <c r="C5038" s="1" t="n">
        <v>46075</v>
      </c>
      <c r="D5038" t="inlineStr">
        <is>
          <t>VÄSTERBOTTENS LÄN</t>
        </is>
      </c>
      <c r="E5038" t="inlineStr">
        <is>
          <t>NORSJÖ</t>
        </is>
      </c>
      <c r="F5038" t="inlineStr">
        <is>
          <t>Holmen skog AB</t>
        </is>
      </c>
      <c r="G5038" t="n">
        <v>5</v>
      </c>
      <c r="H5038" t="n">
        <v>0</v>
      </c>
      <c r="I5038" t="n">
        <v>0</v>
      </c>
      <c r="J5038" t="n">
        <v>0</v>
      </c>
      <c r="K5038" t="n">
        <v>0</v>
      </c>
      <c r="L5038" t="n">
        <v>0</v>
      </c>
      <c r="M5038" t="n">
        <v>0</v>
      </c>
      <c r="N5038" t="n">
        <v>0</v>
      </c>
      <c r="O5038" t="n">
        <v>0</v>
      </c>
      <c r="P5038" t="n">
        <v>0</v>
      </c>
      <c r="Q5038" t="n">
        <v>0</v>
      </c>
      <c r="R5038" s="2" t="inlineStr"/>
    </row>
    <row r="5039" ht="15" customHeight="1">
      <c r="A5039" t="inlineStr">
        <is>
          <t>A 44596-2025</t>
        </is>
      </c>
      <c r="B5039" s="1" t="n">
        <v>45917.42873842592</v>
      </c>
      <c r="C5039" s="1" t="n">
        <v>46075</v>
      </c>
      <c r="D5039" t="inlineStr">
        <is>
          <t>VÄSTERBOTTENS LÄN</t>
        </is>
      </c>
      <c r="E5039" t="inlineStr">
        <is>
          <t>LYCKSELE</t>
        </is>
      </c>
      <c r="G5039" t="n">
        <v>5.8</v>
      </c>
      <c r="H5039" t="n">
        <v>0</v>
      </c>
      <c r="I5039" t="n">
        <v>0</v>
      </c>
      <c r="J5039" t="n">
        <v>0</v>
      </c>
      <c r="K5039" t="n">
        <v>0</v>
      </c>
      <c r="L5039" t="n">
        <v>0</v>
      </c>
      <c r="M5039" t="n">
        <v>0</v>
      </c>
      <c r="N5039" t="n">
        <v>0</v>
      </c>
      <c r="O5039" t="n">
        <v>0</v>
      </c>
      <c r="P5039" t="n">
        <v>0</v>
      </c>
      <c r="Q5039" t="n">
        <v>0</v>
      </c>
      <c r="R5039" s="2" t="inlineStr"/>
    </row>
    <row r="5040" ht="15" customHeight="1">
      <c r="A5040" t="inlineStr">
        <is>
          <t>A 44681-2025</t>
        </is>
      </c>
      <c r="B5040" s="1" t="n">
        <v>45917.57884259259</v>
      </c>
      <c r="C5040" s="1" t="n">
        <v>46075</v>
      </c>
      <c r="D5040" t="inlineStr">
        <is>
          <t>VÄSTERBOTTENS LÄN</t>
        </is>
      </c>
      <c r="E5040" t="inlineStr">
        <is>
          <t>STORUMAN</t>
        </is>
      </c>
      <c r="F5040" t="inlineStr">
        <is>
          <t>Holmen skog AB</t>
        </is>
      </c>
      <c r="G5040" t="n">
        <v>8.6</v>
      </c>
      <c r="H5040" t="n">
        <v>0</v>
      </c>
      <c r="I5040" t="n">
        <v>0</v>
      </c>
      <c r="J5040" t="n">
        <v>0</v>
      </c>
      <c r="K5040" t="n">
        <v>0</v>
      </c>
      <c r="L5040" t="n">
        <v>0</v>
      </c>
      <c r="M5040" t="n">
        <v>0</v>
      </c>
      <c r="N5040" t="n">
        <v>0</v>
      </c>
      <c r="O5040" t="n">
        <v>0</v>
      </c>
      <c r="P5040" t="n">
        <v>0</v>
      </c>
      <c r="Q5040" t="n">
        <v>0</v>
      </c>
      <c r="R5040" s="2" t="inlineStr"/>
    </row>
    <row r="5041" ht="15" customHeight="1">
      <c r="A5041" t="inlineStr">
        <is>
          <t>A 35230-2025</t>
        </is>
      </c>
      <c r="B5041" s="1" t="n">
        <v>45853.59447916667</v>
      </c>
      <c r="C5041" s="1" t="n">
        <v>46075</v>
      </c>
      <c r="D5041" t="inlineStr">
        <is>
          <t>VÄSTERBOTTENS LÄN</t>
        </is>
      </c>
      <c r="E5041" t="inlineStr">
        <is>
          <t>VILHELMINA</t>
        </is>
      </c>
      <c r="F5041" t="inlineStr">
        <is>
          <t>SCA</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35231-2025</t>
        </is>
      </c>
      <c r="B5042" s="1" t="n">
        <v>45853.59453703704</v>
      </c>
      <c r="C5042" s="1" t="n">
        <v>46075</v>
      </c>
      <c r="D5042" t="inlineStr">
        <is>
          <t>VÄSTERBOTTENS LÄN</t>
        </is>
      </c>
      <c r="E5042" t="inlineStr">
        <is>
          <t>VILHELMINA</t>
        </is>
      </c>
      <c r="F5042" t="inlineStr">
        <is>
          <t>SCA</t>
        </is>
      </c>
      <c r="G5042" t="n">
        <v>4.3</v>
      </c>
      <c r="H5042" t="n">
        <v>0</v>
      </c>
      <c r="I5042" t="n">
        <v>0</v>
      </c>
      <c r="J5042" t="n">
        <v>0</v>
      </c>
      <c r="K5042" t="n">
        <v>0</v>
      </c>
      <c r="L5042" t="n">
        <v>0</v>
      </c>
      <c r="M5042" t="n">
        <v>0</v>
      </c>
      <c r="N5042" t="n">
        <v>0</v>
      </c>
      <c r="O5042" t="n">
        <v>0</v>
      </c>
      <c r="P5042" t="n">
        <v>0</v>
      </c>
      <c r="Q5042" t="n">
        <v>0</v>
      </c>
      <c r="R5042" s="2" t="inlineStr"/>
    </row>
    <row r="5043" ht="15" customHeight="1">
      <c r="A5043" t="inlineStr">
        <is>
          <t>A 44826-2025</t>
        </is>
      </c>
      <c r="B5043" s="1" t="n">
        <v>45918.38855324074</v>
      </c>
      <c r="C5043" s="1" t="n">
        <v>46075</v>
      </c>
      <c r="D5043" t="inlineStr">
        <is>
          <t>VÄSTERBOTTENS LÄN</t>
        </is>
      </c>
      <c r="E5043" t="inlineStr">
        <is>
          <t>SKELLEFTEÅ</t>
        </is>
      </c>
      <c r="F5043" t="inlineStr">
        <is>
          <t>Holmen skog AB</t>
        </is>
      </c>
      <c r="G5043" t="n">
        <v>11.8</v>
      </c>
      <c r="H5043" t="n">
        <v>0</v>
      </c>
      <c r="I5043" t="n">
        <v>0</v>
      </c>
      <c r="J5043" t="n">
        <v>0</v>
      </c>
      <c r="K5043" t="n">
        <v>0</v>
      </c>
      <c r="L5043" t="n">
        <v>0</v>
      </c>
      <c r="M5043" t="n">
        <v>0</v>
      </c>
      <c r="N5043" t="n">
        <v>0</v>
      </c>
      <c r="O5043" t="n">
        <v>0</v>
      </c>
      <c r="P5043" t="n">
        <v>0</v>
      </c>
      <c r="Q5043" t="n">
        <v>0</v>
      </c>
      <c r="R5043" s="2" t="inlineStr"/>
    </row>
    <row r="5044" ht="15" customHeight="1">
      <c r="A5044" t="inlineStr">
        <is>
          <t>A 35082-2025</t>
        </is>
      </c>
      <c r="B5044" s="1" t="n">
        <v>45852.49337962963</v>
      </c>
      <c r="C5044" s="1" t="n">
        <v>46075</v>
      </c>
      <c r="D5044" t="inlineStr">
        <is>
          <t>VÄSTERBOTTENS LÄN</t>
        </is>
      </c>
      <c r="E5044" t="inlineStr">
        <is>
          <t>STORUMAN</t>
        </is>
      </c>
      <c r="F5044" t="inlineStr">
        <is>
          <t>Holmen skog AB</t>
        </is>
      </c>
      <c r="G5044" t="n">
        <v>4.7</v>
      </c>
      <c r="H5044" t="n">
        <v>0</v>
      </c>
      <c r="I5044" t="n">
        <v>0</v>
      </c>
      <c r="J5044" t="n">
        <v>0</v>
      </c>
      <c r="K5044" t="n">
        <v>0</v>
      </c>
      <c r="L5044" t="n">
        <v>0</v>
      </c>
      <c r="M5044" t="n">
        <v>0</v>
      </c>
      <c r="N5044" t="n">
        <v>0</v>
      </c>
      <c r="O5044" t="n">
        <v>0</v>
      </c>
      <c r="P5044" t="n">
        <v>0</v>
      </c>
      <c r="Q5044" t="n">
        <v>0</v>
      </c>
      <c r="R5044" s="2" t="inlineStr"/>
    </row>
    <row r="5045" ht="15" customHeight="1">
      <c r="A5045" t="inlineStr">
        <is>
          <t>A 34614-2024</t>
        </is>
      </c>
      <c r="B5045" s="1" t="n">
        <v>45526</v>
      </c>
      <c r="C5045" s="1" t="n">
        <v>46075</v>
      </c>
      <c r="D5045" t="inlineStr">
        <is>
          <t>VÄSTERBOTTENS LÄN</t>
        </is>
      </c>
      <c r="E5045" t="inlineStr">
        <is>
          <t>SKELLEFTEÅ</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46302-2023</t>
        </is>
      </c>
      <c r="B5046" s="1" t="n">
        <v>45191</v>
      </c>
      <c r="C5046" s="1" t="n">
        <v>46075</v>
      </c>
      <c r="D5046" t="inlineStr">
        <is>
          <t>VÄSTERBOTTENS LÄN</t>
        </is>
      </c>
      <c r="E5046" t="inlineStr">
        <is>
          <t>SKELLEFTEÅ</t>
        </is>
      </c>
      <c r="G5046" t="n">
        <v>2.5</v>
      </c>
      <c r="H5046" t="n">
        <v>0</v>
      </c>
      <c r="I5046" t="n">
        <v>0</v>
      </c>
      <c r="J5046" t="n">
        <v>0</v>
      </c>
      <c r="K5046" t="n">
        <v>0</v>
      </c>
      <c r="L5046" t="n">
        <v>0</v>
      </c>
      <c r="M5046" t="n">
        <v>0</v>
      </c>
      <c r="N5046" t="n">
        <v>0</v>
      </c>
      <c r="O5046" t="n">
        <v>0</v>
      </c>
      <c r="P5046" t="n">
        <v>0</v>
      </c>
      <c r="Q5046" t="n">
        <v>0</v>
      </c>
      <c r="R5046" s="2" t="inlineStr"/>
    </row>
    <row r="5047" ht="15" customHeight="1">
      <c r="A5047" t="inlineStr">
        <is>
          <t>A 35093-2025</t>
        </is>
      </c>
      <c r="B5047" s="1" t="n">
        <v>45852.53199074074</v>
      </c>
      <c r="C5047" s="1" t="n">
        <v>46075</v>
      </c>
      <c r="D5047" t="inlineStr">
        <is>
          <t>VÄSTERBOTTENS LÄN</t>
        </is>
      </c>
      <c r="E5047" t="inlineStr">
        <is>
          <t>DOROTEA</t>
        </is>
      </c>
      <c r="F5047" t="inlineStr">
        <is>
          <t>SCA</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35225-2025</t>
        </is>
      </c>
      <c r="B5048" s="1" t="n">
        <v>45853.57862268519</v>
      </c>
      <c r="C5048" s="1" t="n">
        <v>46075</v>
      </c>
      <c r="D5048" t="inlineStr">
        <is>
          <t>VÄSTERBOTTENS LÄN</t>
        </is>
      </c>
      <c r="E5048" t="inlineStr">
        <is>
          <t>LYCKSELE</t>
        </is>
      </c>
      <c r="F5048" t="inlineStr">
        <is>
          <t>Sveaskog</t>
        </is>
      </c>
      <c r="G5048" t="n">
        <v>4.1</v>
      </c>
      <c r="H5048" t="n">
        <v>0</v>
      </c>
      <c r="I5048" t="n">
        <v>0</v>
      </c>
      <c r="J5048" t="n">
        <v>0</v>
      </c>
      <c r="K5048" t="n">
        <v>0</v>
      </c>
      <c r="L5048" t="n">
        <v>0</v>
      </c>
      <c r="M5048" t="n">
        <v>0</v>
      </c>
      <c r="N5048" t="n">
        <v>0</v>
      </c>
      <c r="O5048" t="n">
        <v>0</v>
      </c>
      <c r="P5048" t="n">
        <v>0</v>
      </c>
      <c r="Q5048" t="n">
        <v>0</v>
      </c>
      <c r="R5048" s="2" t="inlineStr"/>
    </row>
    <row r="5049" ht="15" customHeight="1">
      <c r="A5049" t="inlineStr">
        <is>
          <t>A 35227-2025</t>
        </is>
      </c>
      <c r="B5049" s="1" t="n">
        <v>45853.58521990741</v>
      </c>
      <c r="C5049" s="1" t="n">
        <v>46075</v>
      </c>
      <c r="D5049" t="inlineStr">
        <is>
          <t>VÄSTERBOTTENS LÄN</t>
        </is>
      </c>
      <c r="E5049" t="inlineStr">
        <is>
          <t>LYCKSELE</t>
        </is>
      </c>
      <c r="F5049" t="inlineStr">
        <is>
          <t>Sveaskog</t>
        </is>
      </c>
      <c r="G5049" t="n">
        <v>5.5</v>
      </c>
      <c r="H5049" t="n">
        <v>0</v>
      </c>
      <c r="I5049" t="n">
        <v>0</v>
      </c>
      <c r="J5049" t="n">
        <v>0</v>
      </c>
      <c r="K5049" t="n">
        <v>0</v>
      </c>
      <c r="L5049" t="n">
        <v>0</v>
      </c>
      <c r="M5049" t="n">
        <v>0</v>
      </c>
      <c r="N5049" t="n">
        <v>0</v>
      </c>
      <c r="O5049" t="n">
        <v>0</v>
      </c>
      <c r="P5049" t="n">
        <v>0</v>
      </c>
      <c r="Q5049" t="n">
        <v>0</v>
      </c>
      <c r="R5049" s="2" t="inlineStr"/>
    </row>
    <row r="5050" ht="15" customHeight="1">
      <c r="A5050" t="inlineStr">
        <is>
          <t>A 35234-2025</t>
        </is>
      </c>
      <c r="B5050" s="1" t="n">
        <v>45853.6025</v>
      </c>
      <c r="C5050" s="1" t="n">
        <v>46075</v>
      </c>
      <c r="D5050" t="inlineStr">
        <is>
          <t>VÄSTERBOTTENS LÄN</t>
        </is>
      </c>
      <c r="E5050" t="inlineStr">
        <is>
          <t>LYCKSELE</t>
        </is>
      </c>
      <c r="F5050" t="inlineStr">
        <is>
          <t>Sveaskog</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29714-2024</t>
        </is>
      </c>
      <c r="B5051" s="1" t="n">
        <v>45485.35091435185</v>
      </c>
      <c r="C5051" s="1" t="n">
        <v>46075</v>
      </c>
      <c r="D5051" t="inlineStr">
        <is>
          <t>VÄSTERBOTTENS LÄN</t>
        </is>
      </c>
      <c r="E5051" t="inlineStr">
        <is>
          <t>NORSJÖ</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45144-2025</t>
        </is>
      </c>
      <c r="B5052" s="1" t="n">
        <v>45919.46461805556</v>
      </c>
      <c r="C5052" s="1" t="n">
        <v>46075</v>
      </c>
      <c r="D5052" t="inlineStr">
        <is>
          <t>VÄSTERBOTTENS LÄN</t>
        </is>
      </c>
      <c r="E5052" t="inlineStr">
        <is>
          <t>VINDELN</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32581-2022</t>
        </is>
      </c>
      <c r="B5053" s="1" t="n">
        <v>44783</v>
      </c>
      <c r="C5053" s="1" t="n">
        <v>46075</v>
      </c>
      <c r="D5053" t="inlineStr">
        <is>
          <t>VÄSTERBOTTENS LÄN</t>
        </is>
      </c>
      <c r="E5053" t="inlineStr">
        <is>
          <t>ROBERTSFORS</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51184-2023</t>
        </is>
      </c>
      <c r="B5054" s="1" t="n">
        <v>45219.40083333333</v>
      </c>
      <c r="C5054" s="1" t="n">
        <v>46075</v>
      </c>
      <c r="D5054" t="inlineStr">
        <is>
          <t>VÄSTERBOTTENS LÄN</t>
        </is>
      </c>
      <c r="E5054" t="inlineStr">
        <is>
          <t>VINDELN</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41992-2022</t>
        </is>
      </c>
      <c r="B5055" s="1" t="n">
        <v>44830.44271990741</v>
      </c>
      <c r="C5055" s="1" t="n">
        <v>46075</v>
      </c>
      <c r="D5055" t="inlineStr">
        <is>
          <t>VÄSTERBOTTENS LÄN</t>
        </is>
      </c>
      <c r="E5055" t="inlineStr">
        <is>
          <t>LYCKSELE</t>
        </is>
      </c>
      <c r="F5055" t="inlineStr">
        <is>
          <t>Holmen skog AB</t>
        </is>
      </c>
      <c r="G5055" t="n">
        <v>3.5</v>
      </c>
      <c r="H5055" t="n">
        <v>0</v>
      </c>
      <c r="I5055" t="n">
        <v>0</v>
      </c>
      <c r="J5055" t="n">
        <v>0</v>
      </c>
      <c r="K5055" t="n">
        <v>0</v>
      </c>
      <c r="L5055" t="n">
        <v>0</v>
      </c>
      <c r="M5055" t="n">
        <v>0</v>
      </c>
      <c r="N5055" t="n">
        <v>0</v>
      </c>
      <c r="O5055" t="n">
        <v>0</v>
      </c>
      <c r="P5055" t="n">
        <v>0</v>
      </c>
      <c r="Q5055" t="n">
        <v>0</v>
      </c>
      <c r="R5055" s="2" t="inlineStr"/>
    </row>
    <row r="5056" ht="15" customHeight="1">
      <c r="A5056" t="inlineStr">
        <is>
          <t>A 43211-2021</t>
        </is>
      </c>
      <c r="B5056" s="1" t="n">
        <v>44431</v>
      </c>
      <c r="C5056" s="1" t="n">
        <v>46075</v>
      </c>
      <c r="D5056" t="inlineStr">
        <is>
          <t>VÄSTERBOTTENS LÄN</t>
        </is>
      </c>
      <c r="E5056" t="inlineStr">
        <is>
          <t>DOROTEA</t>
        </is>
      </c>
      <c r="F5056" t="inlineStr">
        <is>
          <t>SCA</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35223-2025</t>
        </is>
      </c>
      <c r="B5057" s="1" t="n">
        <v>45853.55226851852</v>
      </c>
      <c r="C5057" s="1" t="n">
        <v>46075</v>
      </c>
      <c r="D5057" t="inlineStr">
        <is>
          <t>VÄSTERBOTTENS LÄN</t>
        </is>
      </c>
      <c r="E5057" t="inlineStr">
        <is>
          <t>SKELLEFTEÅ</t>
        </is>
      </c>
      <c r="F5057" t="inlineStr">
        <is>
          <t>Holmen skog AB</t>
        </is>
      </c>
      <c r="G5057" t="n">
        <v>6.1</v>
      </c>
      <c r="H5057" t="n">
        <v>0</v>
      </c>
      <c r="I5057" t="n">
        <v>0</v>
      </c>
      <c r="J5057" t="n">
        <v>0</v>
      </c>
      <c r="K5057" t="n">
        <v>0</v>
      </c>
      <c r="L5057" t="n">
        <v>0</v>
      </c>
      <c r="M5057" t="n">
        <v>0</v>
      </c>
      <c r="N5057" t="n">
        <v>0</v>
      </c>
      <c r="O5057" t="n">
        <v>0</v>
      </c>
      <c r="P5057" t="n">
        <v>0</v>
      </c>
      <c r="Q5057" t="n">
        <v>0</v>
      </c>
      <c r="R5057" s="2" t="inlineStr"/>
    </row>
    <row r="5058" ht="15" customHeight="1">
      <c r="A5058" t="inlineStr">
        <is>
          <t>A 35232-2025</t>
        </is>
      </c>
      <c r="B5058" s="1" t="n">
        <v>45853.59733796296</v>
      </c>
      <c r="C5058" s="1" t="n">
        <v>46075</v>
      </c>
      <c r="D5058" t="inlineStr">
        <is>
          <t>VÄSTERBOTTENS LÄN</t>
        </is>
      </c>
      <c r="E5058" t="inlineStr">
        <is>
          <t>LYCKSELE</t>
        </is>
      </c>
      <c r="F5058" t="inlineStr">
        <is>
          <t>Sveaskog</t>
        </is>
      </c>
      <c r="G5058" t="n">
        <v>4.1</v>
      </c>
      <c r="H5058" t="n">
        <v>0</v>
      </c>
      <c r="I5058" t="n">
        <v>0</v>
      </c>
      <c r="J5058" t="n">
        <v>0</v>
      </c>
      <c r="K5058" t="n">
        <v>0</v>
      </c>
      <c r="L5058" t="n">
        <v>0</v>
      </c>
      <c r="M5058" t="n">
        <v>0</v>
      </c>
      <c r="N5058" t="n">
        <v>0</v>
      </c>
      <c r="O5058" t="n">
        <v>0</v>
      </c>
      <c r="P5058" t="n">
        <v>0</v>
      </c>
      <c r="Q5058" t="n">
        <v>0</v>
      </c>
      <c r="R5058" s="2" t="inlineStr"/>
    </row>
    <row r="5059" ht="15" customHeight="1">
      <c r="A5059" t="inlineStr">
        <is>
          <t>A 73159-2021</t>
        </is>
      </c>
      <c r="B5059" s="1" t="n">
        <v>44550</v>
      </c>
      <c r="C5059" s="1" t="n">
        <v>46075</v>
      </c>
      <c r="D5059" t="inlineStr">
        <is>
          <t>VÄSTERBOTTENS LÄN</t>
        </is>
      </c>
      <c r="E5059" t="inlineStr">
        <is>
          <t>SKELLEFTEÅ</t>
        </is>
      </c>
      <c r="G5059" t="n">
        <v>8.5</v>
      </c>
      <c r="H5059" t="n">
        <v>0</v>
      </c>
      <c r="I5059" t="n">
        <v>0</v>
      </c>
      <c r="J5059" t="n">
        <v>0</v>
      </c>
      <c r="K5059" t="n">
        <v>0</v>
      </c>
      <c r="L5059" t="n">
        <v>0</v>
      </c>
      <c r="M5059" t="n">
        <v>0</v>
      </c>
      <c r="N5059" t="n">
        <v>0</v>
      </c>
      <c r="O5059" t="n">
        <v>0</v>
      </c>
      <c r="P5059" t="n">
        <v>0</v>
      </c>
      <c r="Q5059" t="n">
        <v>0</v>
      </c>
      <c r="R5059" s="2" t="inlineStr"/>
    </row>
    <row r="5060" ht="15" customHeight="1">
      <c r="A5060" t="inlineStr">
        <is>
          <t>A 44817-2021</t>
        </is>
      </c>
      <c r="B5060" s="1" t="n">
        <v>44438</v>
      </c>
      <c r="C5060" s="1" t="n">
        <v>46075</v>
      </c>
      <c r="D5060" t="inlineStr">
        <is>
          <t>VÄSTERBOTTENS LÄN</t>
        </is>
      </c>
      <c r="E5060" t="inlineStr">
        <is>
          <t>UMEÅ</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28987-2022</t>
        </is>
      </c>
      <c r="B5061" s="1" t="n">
        <v>44749</v>
      </c>
      <c r="C5061" s="1" t="n">
        <v>46075</v>
      </c>
      <c r="D5061" t="inlineStr">
        <is>
          <t>VÄSTERBOTTENS LÄN</t>
        </is>
      </c>
      <c r="E5061" t="inlineStr">
        <is>
          <t>VINDELN</t>
        </is>
      </c>
      <c r="G5061" t="n">
        <v>4.4</v>
      </c>
      <c r="H5061" t="n">
        <v>0</v>
      </c>
      <c r="I5061" t="n">
        <v>0</v>
      </c>
      <c r="J5061" t="n">
        <v>0</v>
      </c>
      <c r="K5061" t="n">
        <v>0</v>
      </c>
      <c r="L5061" t="n">
        <v>0</v>
      </c>
      <c r="M5061" t="n">
        <v>0</v>
      </c>
      <c r="N5061" t="n">
        <v>0</v>
      </c>
      <c r="O5061" t="n">
        <v>0</v>
      </c>
      <c r="P5061" t="n">
        <v>0</v>
      </c>
      <c r="Q5061" t="n">
        <v>0</v>
      </c>
      <c r="R5061" s="2" t="inlineStr"/>
    </row>
    <row r="5062" ht="15" customHeight="1">
      <c r="A5062" t="inlineStr">
        <is>
          <t>A 35072-2025</t>
        </is>
      </c>
      <c r="B5062" s="1" t="n">
        <v>45852.47277777778</v>
      </c>
      <c r="C5062" s="1" t="n">
        <v>46075</v>
      </c>
      <c r="D5062" t="inlineStr">
        <is>
          <t>VÄSTERBOTTENS LÄN</t>
        </is>
      </c>
      <c r="E5062" t="inlineStr">
        <is>
          <t>STORUMAN</t>
        </is>
      </c>
      <c r="F5062" t="inlineStr">
        <is>
          <t>Holmen skog AB</t>
        </is>
      </c>
      <c r="G5062" t="n">
        <v>6</v>
      </c>
      <c r="H5062" t="n">
        <v>0</v>
      </c>
      <c r="I5062" t="n">
        <v>0</v>
      </c>
      <c r="J5062" t="n">
        <v>0</v>
      </c>
      <c r="K5062" t="n">
        <v>0</v>
      </c>
      <c r="L5062" t="n">
        <v>0</v>
      </c>
      <c r="M5062" t="n">
        <v>0</v>
      </c>
      <c r="N5062" t="n">
        <v>0</v>
      </c>
      <c r="O5062" t="n">
        <v>0</v>
      </c>
      <c r="P5062" t="n">
        <v>0</v>
      </c>
      <c r="Q5062" t="n">
        <v>0</v>
      </c>
      <c r="R5062" s="2" t="inlineStr"/>
    </row>
    <row r="5063" ht="15" customHeight="1">
      <c r="A5063" t="inlineStr">
        <is>
          <t>A 44942-2025</t>
        </is>
      </c>
      <c r="B5063" s="1" t="n">
        <v>45918</v>
      </c>
      <c r="C5063" s="1" t="n">
        <v>46075</v>
      </c>
      <c r="D5063" t="inlineStr">
        <is>
          <t>VÄSTERBOTTENS LÄN</t>
        </is>
      </c>
      <c r="E5063" t="inlineStr">
        <is>
          <t>SKELLEFTEÅ</t>
        </is>
      </c>
      <c r="G5063" t="n">
        <v>3</v>
      </c>
      <c r="H5063" t="n">
        <v>0</v>
      </c>
      <c r="I5063" t="n">
        <v>0</v>
      </c>
      <c r="J5063" t="n">
        <v>0</v>
      </c>
      <c r="K5063" t="n">
        <v>0</v>
      </c>
      <c r="L5063" t="n">
        <v>0</v>
      </c>
      <c r="M5063" t="n">
        <v>0</v>
      </c>
      <c r="N5063" t="n">
        <v>0</v>
      </c>
      <c r="O5063" t="n">
        <v>0</v>
      </c>
      <c r="P5063" t="n">
        <v>0</v>
      </c>
      <c r="Q5063" t="n">
        <v>0</v>
      </c>
      <c r="R5063" s="2" t="inlineStr"/>
    </row>
    <row r="5064" ht="15" customHeight="1">
      <c r="A5064" t="inlineStr">
        <is>
          <t>A 35236-2025</t>
        </is>
      </c>
      <c r="B5064" s="1" t="n">
        <v>45853.60569444444</v>
      </c>
      <c r="C5064" s="1" t="n">
        <v>46075</v>
      </c>
      <c r="D5064" t="inlineStr">
        <is>
          <t>VÄSTERBOTTENS LÄN</t>
        </is>
      </c>
      <c r="E5064" t="inlineStr">
        <is>
          <t>LYCKSELE</t>
        </is>
      </c>
      <c r="F5064" t="inlineStr">
        <is>
          <t>Sveaskog</t>
        </is>
      </c>
      <c r="G5064" t="n">
        <v>3.2</v>
      </c>
      <c r="H5064" t="n">
        <v>0</v>
      </c>
      <c r="I5064" t="n">
        <v>0</v>
      </c>
      <c r="J5064" t="n">
        <v>0</v>
      </c>
      <c r="K5064" t="n">
        <v>0</v>
      </c>
      <c r="L5064" t="n">
        <v>0</v>
      </c>
      <c r="M5064" t="n">
        <v>0</v>
      </c>
      <c r="N5064" t="n">
        <v>0</v>
      </c>
      <c r="O5064" t="n">
        <v>0</v>
      </c>
      <c r="P5064" t="n">
        <v>0</v>
      </c>
      <c r="Q5064" t="n">
        <v>0</v>
      </c>
      <c r="R5064" s="2" t="inlineStr"/>
    </row>
    <row r="5065" ht="15" customHeight="1">
      <c r="A5065" t="inlineStr">
        <is>
          <t>A 44026-2022</t>
        </is>
      </c>
      <c r="B5065" s="1" t="n">
        <v>44838.92494212963</v>
      </c>
      <c r="C5065" s="1" t="n">
        <v>46075</v>
      </c>
      <c r="D5065" t="inlineStr">
        <is>
          <t>VÄSTERBOTTENS LÄN</t>
        </is>
      </c>
      <c r="E5065" t="inlineStr">
        <is>
          <t>ROBERTSFORS</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44975-2025</t>
        </is>
      </c>
      <c r="B5066" s="1" t="n">
        <v>45918.64300925926</v>
      </c>
      <c r="C5066" s="1" t="n">
        <v>46075</v>
      </c>
      <c r="D5066" t="inlineStr">
        <is>
          <t>VÄSTERBOTTENS LÄN</t>
        </is>
      </c>
      <c r="E5066" t="inlineStr">
        <is>
          <t>VÄNNÄS</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44979-2025</t>
        </is>
      </c>
      <c r="B5067" s="1" t="n">
        <v>45918.64709490741</v>
      </c>
      <c r="C5067" s="1" t="n">
        <v>46075</v>
      </c>
      <c r="D5067" t="inlineStr">
        <is>
          <t>VÄSTERBOTTENS LÄN</t>
        </is>
      </c>
      <c r="E5067" t="inlineStr">
        <is>
          <t>ROBERTSFORS</t>
        </is>
      </c>
      <c r="F5067" t="inlineStr">
        <is>
          <t>Holmen skog AB</t>
        </is>
      </c>
      <c r="G5067" t="n">
        <v>3.6</v>
      </c>
      <c r="H5067" t="n">
        <v>0</v>
      </c>
      <c r="I5067" t="n">
        <v>0</v>
      </c>
      <c r="J5067" t="n">
        <v>0</v>
      </c>
      <c r="K5067" t="n">
        <v>0</v>
      </c>
      <c r="L5067" t="n">
        <v>0</v>
      </c>
      <c r="M5067" t="n">
        <v>0</v>
      </c>
      <c r="N5067" t="n">
        <v>0</v>
      </c>
      <c r="O5067" t="n">
        <v>0</v>
      </c>
      <c r="P5067" t="n">
        <v>0</v>
      </c>
      <c r="Q5067" t="n">
        <v>0</v>
      </c>
      <c r="R5067" s="2" t="inlineStr"/>
    </row>
    <row r="5068" ht="15" customHeight="1">
      <c r="A5068" t="inlineStr">
        <is>
          <t>A 45168-2025</t>
        </is>
      </c>
      <c r="B5068" s="1" t="n">
        <v>45919.49429398148</v>
      </c>
      <c r="C5068" s="1" t="n">
        <v>46075</v>
      </c>
      <c r="D5068" t="inlineStr">
        <is>
          <t>VÄSTERBOTTENS LÄN</t>
        </is>
      </c>
      <c r="E5068" t="inlineStr">
        <is>
          <t>BJURHOLM</t>
        </is>
      </c>
      <c r="G5068" t="n">
        <v>18.5</v>
      </c>
      <c r="H5068" t="n">
        <v>0</v>
      </c>
      <c r="I5068" t="n">
        <v>0</v>
      </c>
      <c r="J5068" t="n">
        <v>0</v>
      </c>
      <c r="K5068" t="n">
        <v>0</v>
      </c>
      <c r="L5068" t="n">
        <v>0</v>
      </c>
      <c r="M5068" t="n">
        <v>0</v>
      </c>
      <c r="N5068" t="n">
        <v>0</v>
      </c>
      <c r="O5068" t="n">
        <v>0</v>
      </c>
      <c r="P5068" t="n">
        <v>0</v>
      </c>
      <c r="Q5068" t="n">
        <v>0</v>
      </c>
      <c r="R5068" s="2" t="inlineStr"/>
    </row>
    <row r="5069" ht="15" customHeight="1">
      <c r="A5069" t="inlineStr">
        <is>
          <t>A 45172-2025</t>
        </is>
      </c>
      <c r="B5069" s="1" t="n">
        <v>45919.5108912037</v>
      </c>
      <c r="C5069" s="1" t="n">
        <v>46075</v>
      </c>
      <c r="D5069" t="inlineStr">
        <is>
          <t>VÄSTERBOTTENS LÄN</t>
        </is>
      </c>
      <c r="E5069" t="inlineStr">
        <is>
          <t>NORDMALING</t>
        </is>
      </c>
      <c r="F5069" t="inlineStr">
        <is>
          <t>SCA</t>
        </is>
      </c>
      <c r="G5069" t="n">
        <v>4.6</v>
      </c>
      <c r="H5069" t="n">
        <v>0</v>
      </c>
      <c r="I5069" t="n">
        <v>0</v>
      </c>
      <c r="J5069" t="n">
        <v>0</v>
      </c>
      <c r="K5069" t="n">
        <v>0</v>
      </c>
      <c r="L5069" t="n">
        <v>0</v>
      </c>
      <c r="M5069" t="n">
        <v>0</v>
      </c>
      <c r="N5069" t="n">
        <v>0</v>
      </c>
      <c r="O5069" t="n">
        <v>0</v>
      </c>
      <c r="P5069" t="n">
        <v>0</v>
      </c>
      <c r="Q5069" t="n">
        <v>0</v>
      </c>
      <c r="R5069" s="2" t="inlineStr"/>
    </row>
    <row r="5070" ht="15" customHeight="1">
      <c r="A5070" t="inlineStr">
        <is>
          <t>A 44772-2025</t>
        </is>
      </c>
      <c r="B5070" s="1" t="n">
        <v>45917.81572916666</v>
      </c>
      <c r="C5070" s="1" t="n">
        <v>46075</v>
      </c>
      <c r="D5070" t="inlineStr">
        <is>
          <t>VÄSTERBOTTENS LÄN</t>
        </is>
      </c>
      <c r="E5070" t="inlineStr">
        <is>
          <t>NORDMALING</t>
        </is>
      </c>
      <c r="G5070" t="n">
        <v>3.9</v>
      </c>
      <c r="H5070" t="n">
        <v>0</v>
      </c>
      <c r="I5070" t="n">
        <v>0</v>
      </c>
      <c r="J5070" t="n">
        <v>0</v>
      </c>
      <c r="K5070" t="n">
        <v>0</v>
      </c>
      <c r="L5070" t="n">
        <v>0</v>
      </c>
      <c r="M5070" t="n">
        <v>0</v>
      </c>
      <c r="N5070" t="n">
        <v>0</v>
      </c>
      <c r="O5070" t="n">
        <v>0</v>
      </c>
      <c r="P5070" t="n">
        <v>0</v>
      </c>
      <c r="Q5070" t="n">
        <v>0</v>
      </c>
      <c r="R5070" s="2" t="inlineStr"/>
    </row>
    <row r="5071" ht="15" customHeight="1">
      <c r="A5071" t="inlineStr">
        <is>
          <t>A 44773-2025</t>
        </is>
      </c>
      <c r="B5071" s="1" t="n">
        <v>45917.82435185185</v>
      </c>
      <c r="C5071" s="1" t="n">
        <v>46075</v>
      </c>
      <c r="D5071" t="inlineStr">
        <is>
          <t>VÄSTERBOTTENS LÄN</t>
        </is>
      </c>
      <c r="E5071" t="inlineStr">
        <is>
          <t>NORDMALING</t>
        </is>
      </c>
      <c r="G5071" t="n">
        <v>3.2</v>
      </c>
      <c r="H5071" t="n">
        <v>0</v>
      </c>
      <c r="I5071" t="n">
        <v>0</v>
      </c>
      <c r="J5071" t="n">
        <v>0</v>
      </c>
      <c r="K5071" t="n">
        <v>0</v>
      </c>
      <c r="L5071" t="n">
        <v>0</v>
      </c>
      <c r="M5071" t="n">
        <v>0</v>
      </c>
      <c r="N5071" t="n">
        <v>0</v>
      </c>
      <c r="O5071" t="n">
        <v>0</v>
      </c>
      <c r="P5071" t="n">
        <v>0</v>
      </c>
      <c r="Q5071" t="n">
        <v>0</v>
      </c>
      <c r="R5071" s="2" t="inlineStr"/>
    </row>
    <row r="5072" ht="15" customHeight="1">
      <c r="A5072" t="inlineStr">
        <is>
          <t>A 35224-2025</t>
        </is>
      </c>
      <c r="B5072" s="1" t="n">
        <v>45853.57020833333</v>
      </c>
      <c r="C5072" s="1" t="n">
        <v>46075</v>
      </c>
      <c r="D5072" t="inlineStr">
        <is>
          <t>VÄSTERBOTTENS LÄN</t>
        </is>
      </c>
      <c r="E5072" t="inlineStr">
        <is>
          <t>ROBERTSFORS</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1627-2025</t>
        </is>
      </c>
      <c r="B5073" s="1" t="n">
        <v>45670.6259375</v>
      </c>
      <c r="C5073" s="1" t="n">
        <v>46075</v>
      </c>
      <c r="D5073" t="inlineStr">
        <is>
          <t>VÄSTERBOTTENS LÄN</t>
        </is>
      </c>
      <c r="E5073" t="inlineStr">
        <is>
          <t>SKELLEFTEÅ</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2352-2025</t>
        </is>
      </c>
      <c r="B5074" s="1" t="n">
        <v>45673.67935185185</v>
      </c>
      <c r="C5074" s="1" t="n">
        <v>46075</v>
      </c>
      <c r="D5074" t="inlineStr">
        <is>
          <t>VÄSTERBOTTENS LÄN</t>
        </is>
      </c>
      <c r="E5074" t="inlineStr">
        <is>
          <t>LYCKSELE</t>
        </is>
      </c>
      <c r="G5074" t="n">
        <v>5.6</v>
      </c>
      <c r="H5074" t="n">
        <v>0</v>
      </c>
      <c r="I5074" t="n">
        <v>0</v>
      </c>
      <c r="J5074" t="n">
        <v>0</v>
      </c>
      <c r="K5074" t="n">
        <v>0</v>
      </c>
      <c r="L5074" t="n">
        <v>0</v>
      </c>
      <c r="M5074" t="n">
        <v>0</v>
      </c>
      <c r="N5074" t="n">
        <v>0</v>
      </c>
      <c r="O5074" t="n">
        <v>0</v>
      </c>
      <c r="P5074" t="n">
        <v>0</v>
      </c>
      <c r="Q5074" t="n">
        <v>0</v>
      </c>
      <c r="R5074" s="2" t="inlineStr"/>
    </row>
    <row r="5075" ht="15" customHeight="1">
      <c r="A5075" t="inlineStr">
        <is>
          <t>A 35067-2025</t>
        </is>
      </c>
      <c r="B5075" s="1" t="n">
        <v>45852.45567129629</v>
      </c>
      <c r="C5075" s="1" t="n">
        <v>46075</v>
      </c>
      <c r="D5075" t="inlineStr">
        <is>
          <t>VÄSTERBOTTENS LÄN</t>
        </is>
      </c>
      <c r="E5075" t="inlineStr">
        <is>
          <t>STORUMAN</t>
        </is>
      </c>
      <c r="F5075" t="inlineStr">
        <is>
          <t>Holmen skog AB</t>
        </is>
      </c>
      <c r="G5075" t="n">
        <v>2.8</v>
      </c>
      <c r="H5075" t="n">
        <v>0</v>
      </c>
      <c r="I5075" t="n">
        <v>0</v>
      </c>
      <c r="J5075" t="n">
        <v>0</v>
      </c>
      <c r="K5075" t="n">
        <v>0</v>
      </c>
      <c r="L5075" t="n">
        <v>0</v>
      </c>
      <c r="M5075" t="n">
        <v>0</v>
      </c>
      <c r="N5075" t="n">
        <v>0</v>
      </c>
      <c r="O5075" t="n">
        <v>0</v>
      </c>
      <c r="P5075" t="n">
        <v>0</v>
      </c>
      <c r="Q5075" t="n">
        <v>0</v>
      </c>
      <c r="R5075" s="2" t="inlineStr"/>
    </row>
    <row r="5076" ht="15" customHeight="1">
      <c r="A5076" t="inlineStr">
        <is>
          <t>A 44832-2025</t>
        </is>
      </c>
      <c r="B5076" s="1" t="n">
        <v>45918.406875</v>
      </c>
      <c r="C5076" s="1" t="n">
        <v>46075</v>
      </c>
      <c r="D5076" t="inlineStr">
        <is>
          <t>VÄSTERBOTTENS LÄN</t>
        </is>
      </c>
      <c r="E5076" t="inlineStr">
        <is>
          <t>VÄNNÄS</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44833-2025</t>
        </is>
      </c>
      <c r="B5077" s="1" t="n">
        <v>45918.40694444445</v>
      </c>
      <c r="C5077" s="1" t="n">
        <v>46075</v>
      </c>
      <c r="D5077" t="inlineStr">
        <is>
          <t>VÄSTERBOTTENS LÄN</t>
        </is>
      </c>
      <c r="E5077" t="inlineStr">
        <is>
          <t>VINDELN</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44889-2025</t>
        </is>
      </c>
      <c r="B5078" s="1" t="n">
        <v>45918.49681712963</v>
      </c>
      <c r="C5078" s="1" t="n">
        <v>46075</v>
      </c>
      <c r="D5078" t="inlineStr">
        <is>
          <t>VÄSTERBOTTENS LÄN</t>
        </is>
      </c>
      <c r="E5078" t="inlineStr">
        <is>
          <t>VÄNNÄS</t>
        </is>
      </c>
      <c r="G5078" t="n">
        <v>4.4</v>
      </c>
      <c r="H5078" t="n">
        <v>0</v>
      </c>
      <c r="I5078" t="n">
        <v>0</v>
      </c>
      <c r="J5078" t="n">
        <v>0</v>
      </c>
      <c r="K5078" t="n">
        <v>0</v>
      </c>
      <c r="L5078" t="n">
        <v>0</v>
      </c>
      <c r="M5078" t="n">
        <v>0</v>
      </c>
      <c r="N5078" t="n">
        <v>0</v>
      </c>
      <c r="O5078" t="n">
        <v>0</v>
      </c>
      <c r="P5078" t="n">
        <v>0</v>
      </c>
      <c r="Q5078" t="n">
        <v>0</v>
      </c>
      <c r="R5078" s="2" t="inlineStr"/>
    </row>
    <row r="5079" ht="15" customHeight="1">
      <c r="A5079" t="inlineStr">
        <is>
          <t>A 53272-2024</t>
        </is>
      </c>
      <c r="B5079" s="1" t="n">
        <v>45614</v>
      </c>
      <c r="C5079" s="1" t="n">
        <v>46075</v>
      </c>
      <c r="D5079" t="inlineStr">
        <is>
          <t>VÄSTERBOTTENS LÄN</t>
        </is>
      </c>
      <c r="E5079" t="inlineStr">
        <is>
          <t>DOROTEA</t>
        </is>
      </c>
      <c r="G5079" t="n">
        <v>31.7</v>
      </c>
      <c r="H5079" t="n">
        <v>0</v>
      </c>
      <c r="I5079" t="n">
        <v>0</v>
      </c>
      <c r="J5079" t="n">
        <v>0</v>
      </c>
      <c r="K5079" t="n">
        <v>0</v>
      </c>
      <c r="L5079" t="n">
        <v>0</v>
      </c>
      <c r="M5079" t="n">
        <v>0</v>
      </c>
      <c r="N5079" t="n">
        <v>0</v>
      </c>
      <c r="O5079" t="n">
        <v>0</v>
      </c>
      <c r="P5079" t="n">
        <v>0</v>
      </c>
      <c r="Q5079" t="n">
        <v>0</v>
      </c>
      <c r="R5079" s="2" t="inlineStr"/>
    </row>
    <row r="5080" ht="15" customHeight="1">
      <c r="A5080" t="inlineStr">
        <is>
          <t>A 45184-2025</t>
        </is>
      </c>
      <c r="B5080" s="1" t="n">
        <v>45919.53916666667</v>
      </c>
      <c r="C5080" s="1" t="n">
        <v>46075</v>
      </c>
      <c r="D5080" t="inlineStr">
        <is>
          <t>VÄSTERBOTTENS LÄN</t>
        </is>
      </c>
      <c r="E5080" t="inlineStr">
        <is>
          <t>UMEÅ</t>
        </is>
      </c>
      <c r="F5080" t="inlineStr">
        <is>
          <t>Holmen skog AB</t>
        </is>
      </c>
      <c r="G5080" t="n">
        <v>14.7</v>
      </c>
      <c r="H5080" t="n">
        <v>0</v>
      </c>
      <c r="I5080" t="n">
        <v>0</v>
      </c>
      <c r="J5080" t="n">
        <v>0</v>
      </c>
      <c r="K5080" t="n">
        <v>0</v>
      </c>
      <c r="L5080" t="n">
        <v>0</v>
      </c>
      <c r="M5080" t="n">
        <v>0</v>
      </c>
      <c r="N5080" t="n">
        <v>0</v>
      </c>
      <c r="O5080" t="n">
        <v>0</v>
      </c>
      <c r="P5080" t="n">
        <v>0</v>
      </c>
      <c r="Q5080" t="n">
        <v>0</v>
      </c>
      <c r="R5080" s="2" t="inlineStr"/>
    </row>
    <row r="5081" ht="15" customHeight="1">
      <c r="A5081" t="inlineStr">
        <is>
          <t>A 29264-2025</t>
        </is>
      </c>
      <c r="B5081" s="1" t="n">
        <v>45824.39657407408</v>
      </c>
      <c r="C5081" s="1" t="n">
        <v>46075</v>
      </c>
      <c r="D5081" t="inlineStr">
        <is>
          <t>VÄSTERBOTTENS LÄN</t>
        </is>
      </c>
      <c r="E5081" t="inlineStr">
        <is>
          <t>SKELLEFTEÅ</t>
        </is>
      </c>
      <c r="G5081" t="n">
        <v>3.2</v>
      </c>
      <c r="H5081" t="n">
        <v>0</v>
      </c>
      <c r="I5081" t="n">
        <v>0</v>
      </c>
      <c r="J5081" t="n">
        <v>0</v>
      </c>
      <c r="K5081" t="n">
        <v>0</v>
      </c>
      <c r="L5081" t="n">
        <v>0</v>
      </c>
      <c r="M5081" t="n">
        <v>0</v>
      </c>
      <c r="N5081" t="n">
        <v>0</v>
      </c>
      <c r="O5081" t="n">
        <v>0</v>
      </c>
      <c r="P5081" t="n">
        <v>0</v>
      </c>
      <c r="Q5081" t="n">
        <v>0</v>
      </c>
      <c r="R5081" s="2" t="inlineStr"/>
    </row>
    <row r="5082" ht="15" customHeight="1">
      <c r="A5082" t="inlineStr">
        <is>
          <t>A 35125-2025</t>
        </is>
      </c>
      <c r="B5082" s="1" t="n">
        <v>45852.61484953704</v>
      </c>
      <c r="C5082" s="1" t="n">
        <v>46075</v>
      </c>
      <c r="D5082" t="inlineStr">
        <is>
          <t>VÄSTERBOTTENS LÄN</t>
        </is>
      </c>
      <c r="E5082" t="inlineStr">
        <is>
          <t>ROBERTSFORS</t>
        </is>
      </c>
      <c r="G5082" t="n">
        <v>3.7</v>
      </c>
      <c r="H5082" t="n">
        <v>0</v>
      </c>
      <c r="I5082" t="n">
        <v>0</v>
      </c>
      <c r="J5082" t="n">
        <v>0</v>
      </c>
      <c r="K5082" t="n">
        <v>0</v>
      </c>
      <c r="L5082" t="n">
        <v>0</v>
      </c>
      <c r="M5082" t="n">
        <v>0</v>
      </c>
      <c r="N5082" t="n">
        <v>0</v>
      </c>
      <c r="O5082" t="n">
        <v>0</v>
      </c>
      <c r="P5082" t="n">
        <v>0</v>
      </c>
      <c r="Q5082" t="n">
        <v>0</v>
      </c>
      <c r="R5082" s="2" t="inlineStr"/>
    </row>
    <row r="5083" ht="15" customHeight="1">
      <c r="A5083" t="inlineStr">
        <is>
          <t>A 55278-2024</t>
        </is>
      </c>
      <c r="B5083" s="1" t="n">
        <v>45621.62319444444</v>
      </c>
      <c r="C5083" s="1" t="n">
        <v>46075</v>
      </c>
      <c r="D5083" t="inlineStr">
        <is>
          <t>VÄSTERBOTTENS LÄN</t>
        </is>
      </c>
      <c r="E5083" t="inlineStr">
        <is>
          <t>LYCKSELE</t>
        </is>
      </c>
      <c r="G5083" t="n">
        <v>6.9</v>
      </c>
      <c r="H5083" t="n">
        <v>0</v>
      </c>
      <c r="I5083" t="n">
        <v>0</v>
      </c>
      <c r="J5083" t="n">
        <v>0</v>
      </c>
      <c r="K5083" t="n">
        <v>0</v>
      </c>
      <c r="L5083" t="n">
        <v>0</v>
      </c>
      <c r="M5083" t="n">
        <v>0</v>
      </c>
      <c r="N5083" t="n">
        <v>0</v>
      </c>
      <c r="O5083" t="n">
        <v>0</v>
      </c>
      <c r="P5083" t="n">
        <v>0</v>
      </c>
      <c r="Q5083" t="n">
        <v>0</v>
      </c>
      <c r="R5083" s="2" t="inlineStr"/>
    </row>
    <row r="5084" ht="15" customHeight="1">
      <c r="A5084" t="inlineStr">
        <is>
          <t>A 62047-2024</t>
        </is>
      </c>
      <c r="B5084" s="1" t="n">
        <v>45656.36306712963</v>
      </c>
      <c r="C5084" s="1" t="n">
        <v>46075</v>
      </c>
      <c r="D5084" t="inlineStr">
        <is>
          <t>VÄSTERBOTTENS LÄN</t>
        </is>
      </c>
      <c r="E5084" t="inlineStr">
        <is>
          <t>SKELLEFTEÅ</t>
        </is>
      </c>
      <c r="G5084" t="n">
        <v>7.2</v>
      </c>
      <c r="H5084" t="n">
        <v>0</v>
      </c>
      <c r="I5084" t="n">
        <v>0</v>
      </c>
      <c r="J5084" t="n">
        <v>0</v>
      </c>
      <c r="K5084" t="n">
        <v>0</v>
      </c>
      <c r="L5084" t="n">
        <v>0</v>
      </c>
      <c r="M5084" t="n">
        <v>0</v>
      </c>
      <c r="N5084" t="n">
        <v>0</v>
      </c>
      <c r="O5084" t="n">
        <v>0</v>
      </c>
      <c r="P5084" t="n">
        <v>0</v>
      </c>
      <c r="Q5084" t="n">
        <v>0</v>
      </c>
      <c r="R5084" s="2" t="inlineStr"/>
    </row>
    <row r="5085" ht="15" customHeight="1">
      <c r="A5085" t="inlineStr">
        <is>
          <t>A 35291-2025</t>
        </is>
      </c>
      <c r="B5085" s="1" t="n">
        <v>45854.38577546296</v>
      </c>
      <c r="C5085" s="1" t="n">
        <v>46075</v>
      </c>
      <c r="D5085" t="inlineStr">
        <is>
          <t>VÄSTERBOTTENS LÄN</t>
        </is>
      </c>
      <c r="E5085" t="inlineStr">
        <is>
          <t>DOROTEA</t>
        </is>
      </c>
      <c r="F5085" t="inlineStr">
        <is>
          <t>SCA</t>
        </is>
      </c>
      <c r="G5085" t="n">
        <v>3</v>
      </c>
      <c r="H5085" t="n">
        <v>0</v>
      </c>
      <c r="I5085" t="n">
        <v>0</v>
      </c>
      <c r="J5085" t="n">
        <v>0</v>
      </c>
      <c r="K5085" t="n">
        <v>0</v>
      </c>
      <c r="L5085" t="n">
        <v>0</v>
      </c>
      <c r="M5085" t="n">
        <v>0</v>
      </c>
      <c r="N5085" t="n">
        <v>0</v>
      </c>
      <c r="O5085" t="n">
        <v>0</v>
      </c>
      <c r="P5085" t="n">
        <v>0</v>
      </c>
      <c r="Q5085" t="n">
        <v>0</v>
      </c>
      <c r="R5085" s="2" t="inlineStr"/>
    </row>
    <row r="5086" ht="15" customHeight="1">
      <c r="A5086" t="inlineStr">
        <is>
          <t>A 20240-2025</t>
        </is>
      </c>
      <c r="B5086" s="1" t="n">
        <v>45772.69824074074</v>
      </c>
      <c r="C5086" s="1" t="n">
        <v>46075</v>
      </c>
      <c r="D5086" t="inlineStr">
        <is>
          <t>VÄSTERBOTTENS LÄN</t>
        </is>
      </c>
      <c r="E5086" t="inlineStr">
        <is>
          <t>DOROTEA</t>
        </is>
      </c>
      <c r="F5086" t="inlineStr">
        <is>
          <t>SCA</t>
        </is>
      </c>
      <c r="G5086" t="n">
        <v>6.9</v>
      </c>
      <c r="H5086" t="n">
        <v>0</v>
      </c>
      <c r="I5086" t="n">
        <v>0</v>
      </c>
      <c r="J5086" t="n">
        <v>0</v>
      </c>
      <c r="K5086" t="n">
        <v>0</v>
      </c>
      <c r="L5086" t="n">
        <v>0</v>
      </c>
      <c r="M5086" t="n">
        <v>0</v>
      </c>
      <c r="N5086" t="n">
        <v>0</v>
      </c>
      <c r="O5086" t="n">
        <v>0</v>
      </c>
      <c r="P5086" t="n">
        <v>0</v>
      </c>
      <c r="Q5086" t="n">
        <v>0</v>
      </c>
      <c r="R5086" s="2" t="inlineStr"/>
    </row>
    <row r="5087" ht="15" customHeight="1">
      <c r="A5087" t="inlineStr">
        <is>
          <t>A 44895-2025</t>
        </is>
      </c>
      <c r="B5087" s="1" t="n">
        <v>45918.50277777778</v>
      </c>
      <c r="C5087" s="1" t="n">
        <v>46075</v>
      </c>
      <c r="D5087" t="inlineStr">
        <is>
          <t>VÄSTERBOTTENS LÄN</t>
        </is>
      </c>
      <c r="E5087" t="inlineStr">
        <is>
          <t>VÄNNÄS</t>
        </is>
      </c>
      <c r="G5087" t="n">
        <v>2.8</v>
      </c>
      <c r="H5087" t="n">
        <v>0</v>
      </c>
      <c r="I5087" t="n">
        <v>0</v>
      </c>
      <c r="J5087" t="n">
        <v>0</v>
      </c>
      <c r="K5087" t="n">
        <v>0</v>
      </c>
      <c r="L5087" t="n">
        <v>0</v>
      </c>
      <c r="M5087" t="n">
        <v>0</v>
      </c>
      <c r="N5087" t="n">
        <v>0</v>
      </c>
      <c r="O5087" t="n">
        <v>0</v>
      </c>
      <c r="P5087" t="n">
        <v>0</v>
      </c>
      <c r="Q5087" t="n">
        <v>0</v>
      </c>
      <c r="R5087" s="2" t="inlineStr"/>
    </row>
    <row r="5088" ht="15" customHeight="1">
      <c r="A5088" t="inlineStr">
        <is>
          <t>A 35332-2025</t>
        </is>
      </c>
      <c r="B5088" s="1" t="n">
        <v>45854.57362268519</v>
      </c>
      <c r="C5088" s="1" t="n">
        <v>46075</v>
      </c>
      <c r="D5088" t="inlineStr">
        <is>
          <t>VÄSTERBOTTENS LÄN</t>
        </is>
      </c>
      <c r="E5088" t="inlineStr">
        <is>
          <t>LYCKSELE</t>
        </is>
      </c>
      <c r="F5088" t="inlineStr">
        <is>
          <t>SCA</t>
        </is>
      </c>
      <c r="G5088" t="n">
        <v>5.2</v>
      </c>
      <c r="H5088" t="n">
        <v>0</v>
      </c>
      <c r="I5088" t="n">
        <v>0</v>
      </c>
      <c r="J5088" t="n">
        <v>0</v>
      </c>
      <c r="K5088" t="n">
        <v>0</v>
      </c>
      <c r="L5088" t="n">
        <v>0</v>
      </c>
      <c r="M5088" t="n">
        <v>0</v>
      </c>
      <c r="N5088" t="n">
        <v>0</v>
      </c>
      <c r="O5088" t="n">
        <v>0</v>
      </c>
      <c r="P5088" t="n">
        <v>0</v>
      </c>
      <c r="Q5088" t="n">
        <v>0</v>
      </c>
      <c r="R5088" s="2" t="inlineStr"/>
    </row>
    <row r="5089" ht="15" customHeight="1">
      <c r="A5089" t="inlineStr">
        <is>
          <t>A 46693-2023</t>
        </is>
      </c>
      <c r="B5089" s="1" t="n">
        <v>45198</v>
      </c>
      <c r="C5089" s="1" t="n">
        <v>46075</v>
      </c>
      <c r="D5089" t="inlineStr">
        <is>
          <t>VÄSTERBOTTENS LÄN</t>
        </is>
      </c>
      <c r="E5089" t="inlineStr">
        <is>
          <t>ÅSELE</t>
        </is>
      </c>
      <c r="F5089" t="inlineStr">
        <is>
          <t>Sveaskog</t>
        </is>
      </c>
      <c r="G5089" t="n">
        <v>14.8</v>
      </c>
      <c r="H5089" t="n">
        <v>0</v>
      </c>
      <c r="I5089" t="n">
        <v>0</v>
      </c>
      <c r="J5089" t="n">
        <v>0</v>
      </c>
      <c r="K5089" t="n">
        <v>0</v>
      </c>
      <c r="L5089" t="n">
        <v>0</v>
      </c>
      <c r="M5089" t="n">
        <v>0</v>
      </c>
      <c r="N5089" t="n">
        <v>0</v>
      </c>
      <c r="O5089" t="n">
        <v>0</v>
      </c>
      <c r="P5089" t="n">
        <v>0</v>
      </c>
      <c r="Q5089" t="n">
        <v>0</v>
      </c>
      <c r="R5089" s="2" t="inlineStr"/>
    </row>
    <row r="5090" ht="15" customHeight="1">
      <c r="A5090" t="inlineStr">
        <is>
          <t>A 44908-2025</t>
        </is>
      </c>
      <c r="B5090" s="1" t="n">
        <v>45918.53197916667</v>
      </c>
      <c r="C5090" s="1" t="n">
        <v>46075</v>
      </c>
      <c r="D5090" t="inlineStr">
        <is>
          <t>VÄSTERBOTTENS LÄN</t>
        </is>
      </c>
      <c r="E5090" t="inlineStr">
        <is>
          <t>SKELLEFTEÅ</t>
        </is>
      </c>
      <c r="G5090" t="n">
        <v>4.4</v>
      </c>
      <c r="H5090" t="n">
        <v>0</v>
      </c>
      <c r="I5090" t="n">
        <v>0</v>
      </c>
      <c r="J5090" t="n">
        <v>0</v>
      </c>
      <c r="K5090" t="n">
        <v>0</v>
      </c>
      <c r="L5090" t="n">
        <v>0</v>
      </c>
      <c r="M5090" t="n">
        <v>0</v>
      </c>
      <c r="N5090" t="n">
        <v>0</v>
      </c>
      <c r="O5090" t="n">
        <v>0</v>
      </c>
      <c r="P5090" t="n">
        <v>0</v>
      </c>
      <c r="Q5090" t="n">
        <v>0</v>
      </c>
      <c r="R5090" s="2" t="inlineStr"/>
    </row>
    <row r="5091" ht="15" customHeight="1">
      <c r="A5091" t="inlineStr">
        <is>
          <t>A 1225-2023</t>
        </is>
      </c>
      <c r="B5091" s="1" t="n">
        <v>44935.97194444444</v>
      </c>
      <c r="C5091" s="1" t="n">
        <v>46075</v>
      </c>
      <c r="D5091" t="inlineStr">
        <is>
          <t>VÄSTERBOTTENS LÄN</t>
        </is>
      </c>
      <c r="E5091" t="inlineStr">
        <is>
          <t>ÅSELE</t>
        </is>
      </c>
      <c r="F5091" t="inlineStr">
        <is>
          <t>SCA</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45255-2025</t>
        </is>
      </c>
      <c r="B5092" s="1" t="n">
        <v>45919.61527777778</v>
      </c>
      <c r="C5092" s="1" t="n">
        <v>46075</v>
      </c>
      <c r="D5092" t="inlineStr">
        <is>
          <t>VÄSTERBOTTENS LÄN</t>
        </is>
      </c>
      <c r="E5092" t="inlineStr">
        <is>
          <t>STORUMAN</t>
        </is>
      </c>
      <c r="F5092" t="inlineStr">
        <is>
          <t>Sveaskog</t>
        </is>
      </c>
      <c r="G5092" t="n">
        <v>3.1</v>
      </c>
      <c r="H5092" t="n">
        <v>0</v>
      </c>
      <c r="I5092" t="n">
        <v>0</v>
      </c>
      <c r="J5092" t="n">
        <v>0</v>
      </c>
      <c r="K5092" t="n">
        <v>0</v>
      </c>
      <c r="L5092" t="n">
        <v>0</v>
      </c>
      <c r="M5092" t="n">
        <v>0</v>
      </c>
      <c r="N5092" t="n">
        <v>0</v>
      </c>
      <c r="O5092" t="n">
        <v>0</v>
      </c>
      <c r="P5092" t="n">
        <v>0</v>
      </c>
      <c r="Q5092" t="n">
        <v>0</v>
      </c>
      <c r="R5092" s="2" t="inlineStr"/>
    </row>
    <row r="5093" ht="15" customHeight="1">
      <c r="A5093" t="inlineStr">
        <is>
          <t>A 47434-2023</t>
        </is>
      </c>
      <c r="B5093" s="1" t="n">
        <v>45197</v>
      </c>
      <c r="C5093" s="1" t="n">
        <v>46075</v>
      </c>
      <c r="D5093" t="inlineStr">
        <is>
          <t>VÄSTERBOTTENS LÄN</t>
        </is>
      </c>
      <c r="E5093" t="inlineStr">
        <is>
          <t>MALÅ</t>
        </is>
      </c>
      <c r="G5093" t="n">
        <v>10.9</v>
      </c>
      <c r="H5093" t="n">
        <v>0</v>
      </c>
      <c r="I5093" t="n">
        <v>0</v>
      </c>
      <c r="J5093" t="n">
        <v>0</v>
      </c>
      <c r="K5093" t="n">
        <v>0</v>
      </c>
      <c r="L5093" t="n">
        <v>0</v>
      </c>
      <c r="M5093" t="n">
        <v>0</v>
      </c>
      <c r="N5093" t="n">
        <v>0</v>
      </c>
      <c r="O5093" t="n">
        <v>0</v>
      </c>
      <c r="P5093" t="n">
        <v>0</v>
      </c>
      <c r="Q5093" t="n">
        <v>0</v>
      </c>
      <c r="R5093" s="2" t="inlineStr"/>
    </row>
    <row r="5094" ht="15" customHeight="1">
      <c r="A5094" t="inlineStr">
        <is>
          <t>A 45267-2025</t>
        </is>
      </c>
      <c r="B5094" s="1" t="n">
        <v>45919.66621527778</v>
      </c>
      <c r="C5094" s="1" t="n">
        <v>46075</v>
      </c>
      <c r="D5094" t="inlineStr">
        <is>
          <t>VÄSTERBOTTENS LÄN</t>
        </is>
      </c>
      <c r="E5094" t="inlineStr">
        <is>
          <t>ROBERTSFORS</t>
        </is>
      </c>
      <c r="G5094" t="n">
        <v>4.3</v>
      </c>
      <c r="H5094" t="n">
        <v>0</v>
      </c>
      <c r="I5094" t="n">
        <v>0</v>
      </c>
      <c r="J5094" t="n">
        <v>0</v>
      </c>
      <c r="K5094" t="n">
        <v>0</v>
      </c>
      <c r="L5094" t="n">
        <v>0</v>
      </c>
      <c r="M5094" t="n">
        <v>0</v>
      </c>
      <c r="N5094" t="n">
        <v>0</v>
      </c>
      <c r="O5094" t="n">
        <v>0</v>
      </c>
      <c r="P5094" t="n">
        <v>0</v>
      </c>
      <c r="Q5094" t="n">
        <v>0</v>
      </c>
      <c r="R5094" s="2" t="inlineStr"/>
    </row>
    <row r="5095" ht="15" customHeight="1">
      <c r="A5095" t="inlineStr">
        <is>
          <t>A 45183-2025</t>
        </is>
      </c>
      <c r="B5095" s="1" t="n">
        <v>45919.53484953703</v>
      </c>
      <c r="C5095" s="1" t="n">
        <v>46075</v>
      </c>
      <c r="D5095" t="inlineStr">
        <is>
          <t>VÄSTERBOTTENS LÄN</t>
        </is>
      </c>
      <c r="E5095" t="inlineStr">
        <is>
          <t>SKELLEFTEÅ</t>
        </is>
      </c>
      <c r="F5095" t="inlineStr">
        <is>
          <t>Holmen skog AB</t>
        </is>
      </c>
      <c r="G5095" t="n">
        <v>2.5</v>
      </c>
      <c r="H5095" t="n">
        <v>0</v>
      </c>
      <c r="I5095" t="n">
        <v>0</v>
      </c>
      <c r="J5095" t="n">
        <v>0</v>
      </c>
      <c r="K5095" t="n">
        <v>0</v>
      </c>
      <c r="L5095" t="n">
        <v>0</v>
      </c>
      <c r="M5095" t="n">
        <v>0</v>
      </c>
      <c r="N5095" t="n">
        <v>0</v>
      </c>
      <c r="O5095" t="n">
        <v>0</v>
      </c>
      <c r="P5095" t="n">
        <v>0</v>
      </c>
      <c r="Q5095" t="n">
        <v>0</v>
      </c>
      <c r="R5095" s="2" t="inlineStr"/>
    </row>
    <row r="5096" ht="15" customHeight="1">
      <c r="A5096" t="inlineStr">
        <is>
          <t>A 35418-2025</t>
        </is>
      </c>
      <c r="B5096" s="1" t="n">
        <v>45855.40684027778</v>
      </c>
      <c r="C5096" s="1" t="n">
        <v>46075</v>
      </c>
      <c r="D5096" t="inlineStr">
        <is>
          <t>VÄSTERBOTTENS LÄN</t>
        </is>
      </c>
      <c r="E5096" t="inlineStr">
        <is>
          <t>DOROTEA</t>
        </is>
      </c>
      <c r="F5096" t="inlineStr">
        <is>
          <t>SCA</t>
        </is>
      </c>
      <c r="G5096" t="n">
        <v>5.6</v>
      </c>
      <c r="H5096" t="n">
        <v>0</v>
      </c>
      <c r="I5096" t="n">
        <v>0</v>
      </c>
      <c r="J5096" t="n">
        <v>0</v>
      </c>
      <c r="K5096" t="n">
        <v>0</v>
      </c>
      <c r="L5096" t="n">
        <v>0</v>
      </c>
      <c r="M5096" t="n">
        <v>0</v>
      </c>
      <c r="N5096" t="n">
        <v>0</v>
      </c>
      <c r="O5096" t="n">
        <v>0</v>
      </c>
      <c r="P5096" t="n">
        <v>0</v>
      </c>
      <c r="Q5096" t="n">
        <v>0</v>
      </c>
      <c r="R5096" s="2" t="inlineStr"/>
    </row>
    <row r="5097" ht="15" customHeight="1">
      <c r="A5097" t="inlineStr">
        <is>
          <t>A 35428-2025</t>
        </is>
      </c>
      <c r="B5097" s="1" t="n">
        <v>45855.44019675926</v>
      </c>
      <c r="C5097" s="1" t="n">
        <v>46075</v>
      </c>
      <c r="D5097" t="inlineStr">
        <is>
          <t>VÄSTERBOTTENS LÄN</t>
        </is>
      </c>
      <c r="E5097" t="inlineStr">
        <is>
          <t>SKELLEFTEÅ</t>
        </is>
      </c>
      <c r="F5097" t="inlineStr">
        <is>
          <t>Holmen skog AB</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28628-2023</t>
        </is>
      </c>
      <c r="B5098" s="1" t="n">
        <v>45103</v>
      </c>
      <c r="C5098" s="1" t="n">
        <v>46075</v>
      </c>
      <c r="D5098" t="inlineStr">
        <is>
          <t>VÄSTERBOTTENS LÄN</t>
        </is>
      </c>
      <c r="E5098" t="inlineStr">
        <is>
          <t>UMEÅ</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38494-2023</t>
        </is>
      </c>
      <c r="B5099" s="1" t="n">
        <v>45162</v>
      </c>
      <c r="C5099" s="1" t="n">
        <v>46075</v>
      </c>
      <c r="D5099" t="inlineStr">
        <is>
          <t>VÄSTERBOTTENS LÄN</t>
        </is>
      </c>
      <c r="E5099" t="inlineStr">
        <is>
          <t>ROBERTSFORS</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5678-2025</t>
        </is>
      </c>
      <c r="B5100" s="1" t="n">
        <v>45694</v>
      </c>
      <c r="C5100" s="1" t="n">
        <v>46075</v>
      </c>
      <c r="D5100" t="inlineStr">
        <is>
          <t>VÄSTERBOTTENS LÄN</t>
        </is>
      </c>
      <c r="E5100" t="inlineStr">
        <is>
          <t>UMEÅ</t>
        </is>
      </c>
      <c r="G5100" t="n">
        <v>3</v>
      </c>
      <c r="H5100" t="n">
        <v>0</v>
      </c>
      <c r="I5100" t="n">
        <v>0</v>
      </c>
      <c r="J5100" t="n">
        <v>0</v>
      </c>
      <c r="K5100" t="n">
        <v>0</v>
      </c>
      <c r="L5100" t="n">
        <v>0</v>
      </c>
      <c r="M5100" t="n">
        <v>0</v>
      </c>
      <c r="N5100" t="n">
        <v>0</v>
      </c>
      <c r="O5100" t="n">
        <v>0</v>
      </c>
      <c r="P5100" t="n">
        <v>0</v>
      </c>
      <c r="Q5100" t="n">
        <v>0</v>
      </c>
      <c r="R5100" s="2" t="inlineStr"/>
    </row>
    <row r="5101" ht="15" customHeight="1">
      <c r="A5101" t="inlineStr">
        <is>
          <t>A 45163-2025</t>
        </is>
      </c>
      <c r="B5101" s="1" t="n">
        <v>45919.48994212963</v>
      </c>
      <c r="C5101" s="1" t="n">
        <v>46075</v>
      </c>
      <c r="D5101" t="inlineStr">
        <is>
          <t>VÄSTERBOTTENS LÄN</t>
        </is>
      </c>
      <c r="E5101" t="inlineStr">
        <is>
          <t>BJURHOLM</t>
        </is>
      </c>
      <c r="F5101" t="inlineStr">
        <is>
          <t>SCA</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45174-2025</t>
        </is>
      </c>
      <c r="B5102" s="1" t="n">
        <v>45919.52239583333</v>
      </c>
      <c r="C5102" s="1" t="n">
        <v>46075</v>
      </c>
      <c r="D5102" t="inlineStr">
        <is>
          <t>VÄSTERBOTTENS LÄN</t>
        </is>
      </c>
      <c r="E5102" t="inlineStr">
        <is>
          <t>LYCKSELE</t>
        </is>
      </c>
      <c r="F5102" t="inlineStr">
        <is>
          <t>Holmen skog AB</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35444-2025</t>
        </is>
      </c>
      <c r="B5103" s="1" t="n">
        <v>45855.53179398148</v>
      </c>
      <c r="C5103" s="1" t="n">
        <v>46075</v>
      </c>
      <c r="D5103" t="inlineStr">
        <is>
          <t>VÄSTERBOTTENS LÄN</t>
        </is>
      </c>
      <c r="E5103" t="inlineStr">
        <is>
          <t>DOROTEA</t>
        </is>
      </c>
      <c r="F5103" t="inlineStr">
        <is>
          <t>SCA</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45077-2025</t>
        </is>
      </c>
      <c r="B5104" s="1" t="n">
        <v>45919.36490740741</v>
      </c>
      <c r="C5104" s="1" t="n">
        <v>46075</v>
      </c>
      <c r="D5104" t="inlineStr">
        <is>
          <t>VÄSTERBOTTENS LÄN</t>
        </is>
      </c>
      <c r="E5104" t="inlineStr">
        <is>
          <t>LYCKSELE</t>
        </is>
      </c>
      <c r="F5104" t="inlineStr">
        <is>
          <t>SCA</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45087-2025</t>
        </is>
      </c>
      <c r="B5105" s="1" t="n">
        <v>45919.37033564815</v>
      </c>
      <c r="C5105" s="1" t="n">
        <v>46075</v>
      </c>
      <c r="D5105" t="inlineStr">
        <is>
          <t>VÄSTERBOTTENS LÄN</t>
        </is>
      </c>
      <c r="E5105" t="inlineStr">
        <is>
          <t>VINDELN</t>
        </is>
      </c>
      <c r="G5105" t="n">
        <v>8.6</v>
      </c>
      <c r="H5105" t="n">
        <v>0</v>
      </c>
      <c r="I5105" t="n">
        <v>0</v>
      </c>
      <c r="J5105" t="n">
        <v>0</v>
      </c>
      <c r="K5105" t="n">
        <v>0</v>
      </c>
      <c r="L5105" t="n">
        <v>0</v>
      </c>
      <c r="M5105" t="n">
        <v>0</v>
      </c>
      <c r="N5105" t="n">
        <v>0</v>
      </c>
      <c r="O5105" t="n">
        <v>0</v>
      </c>
      <c r="P5105" t="n">
        <v>0</v>
      </c>
      <c r="Q5105" t="n">
        <v>0</v>
      </c>
      <c r="R5105" s="2" t="inlineStr"/>
    </row>
    <row r="5106" ht="15" customHeight="1">
      <c r="A5106" t="inlineStr">
        <is>
          <t>A 40794-2025</t>
        </is>
      </c>
      <c r="B5106" s="1" t="n">
        <v>45897</v>
      </c>
      <c r="C5106" s="1" t="n">
        <v>46075</v>
      </c>
      <c r="D5106" t="inlineStr">
        <is>
          <t>VÄSTERBOTTENS LÄN</t>
        </is>
      </c>
      <c r="E5106" t="inlineStr">
        <is>
          <t>SKELLEFTEÅ</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37785-2023</t>
        </is>
      </c>
      <c r="B5107" s="1" t="n">
        <v>45159</v>
      </c>
      <c r="C5107" s="1" t="n">
        <v>46075</v>
      </c>
      <c r="D5107" t="inlineStr">
        <is>
          <t>VÄSTERBOTTENS LÄN</t>
        </is>
      </c>
      <c r="E5107" t="inlineStr">
        <is>
          <t>MALÅ</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44802-2025</t>
        </is>
      </c>
      <c r="B5108" s="1" t="n">
        <v>45918.35710648148</v>
      </c>
      <c r="C5108" s="1" t="n">
        <v>46075</v>
      </c>
      <c r="D5108" t="inlineStr">
        <is>
          <t>VÄSTERBOTTENS LÄN</t>
        </is>
      </c>
      <c r="E5108" t="inlineStr">
        <is>
          <t>MALÅ</t>
        </is>
      </c>
      <c r="F5108" t="inlineStr">
        <is>
          <t>Sveaskog</t>
        </is>
      </c>
      <c r="G5108" t="n">
        <v>27.5</v>
      </c>
      <c r="H5108" t="n">
        <v>0</v>
      </c>
      <c r="I5108" t="n">
        <v>0</v>
      </c>
      <c r="J5108" t="n">
        <v>0</v>
      </c>
      <c r="K5108" t="n">
        <v>0</v>
      </c>
      <c r="L5108" t="n">
        <v>0</v>
      </c>
      <c r="M5108" t="n">
        <v>0</v>
      </c>
      <c r="N5108" t="n">
        <v>0</v>
      </c>
      <c r="O5108" t="n">
        <v>0</v>
      </c>
      <c r="P5108" t="n">
        <v>0</v>
      </c>
      <c r="Q5108" t="n">
        <v>0</v>
      </c>
      <c r="R5108" s="2" t="inlineStr"/>
    </row>
    <row r="5109" ht="15" customHeight="1">
      <c r="A5109" t="inlineStr">
        <is>
          <t>A 44823-2025</t>
        </is>
      </c>
      <c r="B5109" s="1" t="n">
        <v>45918.38574074074</v>
      </c>
      <c r="C5109" s="1" t="n">
        <v>46075</v>
      </c>
      <c r="D5109" t="inlineStr">
        <is>
          <t>VÄSTERBOTTENS LÄN</t>
        </is>
      </c>
      <c r="E5109" t="inlineStr">
        <is>
          <t>SKELLEFTEÅ</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35333-2025</t>
        </is>
      </c>
      <c r="B5110" s="1" t="n">
        <v>45854.57376157407</v>
      </c>
      <c r="C5110" s="1" t="n">
        <v>46075</v>
      </c>
      <c r="D5110" t="inlineStr">
        <is>
          <t>VÄSTERBOTTENS LÄN</t>
        </is>
      </c>
      <c r="E5110" t="inlineStr">
        <is>
          <t>LYCKSELE</t>
        </is>
      </c>
      <c r="F5110" t="inlineStr">
        <is>
          <t>SCA</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44921-2025</t>
        </is>
      </c>
      <c r="B5111" s="1" t="n">
        <v>45918.55270833334</v>
      </c>
      <c r="C5111" s="1" t="n">
        <v>46075</v>
      </c>
      <c r="D5111" t="inlineStr">
        <is>
          <t>VÄSTERBOTTENS LÄN</t>
        </is>
      </c>
      <c r="E5111" t="inlineStr">
        <is>
          <t>SKELLEFTEÅ</t>
        </is>
      </c>
      <c r="G5111" t="n">
        <v>3.4</v>
      </c>
      <c r="H5111" t="n">
        <v>0</v>
      </c>
      <c r="I5111" t="n">
        <v>0</v>
      </c>
      <c r="J5111" t="n">
        <v>0</v>
      </c>
      <c r="K5111" t="n">
        <v>0</v>
      </c>
      <c r="L5111" t="n">
        <v>0</v>
      </c>
      <c r="M5111" t="n">
        <v>0</v>
      </c>
      <c r="N5111" t="n">
        <v>0</v>
      </c>
      <c r="O5111" t="n">
        <v>0</v>
      </c>
      <c r="P5111" t="n">
        <v>0</v>
      </c>
      <c r="Q5111" t="n">
        <v>0</v>
      </c>
      <c r="R5111" s="2" t="inlineStr"/>
    </row>
    <row r="5112" ht="15" customHeight="1">
      <c r="A5112" t="inlineStr">
        <is>
          <t>A 21996-2022</t>
        </is>
      </c>
      <c r="B5112" s="1" t="n">
        <v>44711.56952546296</v>
      </c>
      <c r="C5112" s="1" t="n">
        <v>46075</v>
      </c>
      <c r="D5112" t="inlineStr">
        <is>
          <t>VÄSTERBOTTENS LÄN</t>
        </is>
      </c>
      <c r="E5112" t="inlineStr">
        <is>
          <t>SKELLEFTEÅ</t>
        </is>
      </c>
      <c r="F5112" t="inlineStr">
        <is>
          <t>Holmen skog AB</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289-2025</t>
        </is>
      </c>
      <c r="B5113" s="1" t="n">
        <v>45653</v>
      </c>
      <c r="C5113" s="1" t="n">
        <v>46075</v>
      </c>
      <c r="D5113" t="inlineStr">
        <is>
          <t>VÄSTERBOTTENS LÄN</t>
        </is>
      </c>
      <c r="E5113" t="inlineStr">
        <is>
          <t>ROBERTSFORS</t>
        </is>
      </c>
      <c r="G5113" t="n">
        <v>0.3</v>
      </c>
      <c r="H5113" t="n">
        <v>0</v>
      </c>
      <c r="I5113" t="n">
        <v>0</v>
      </c>
      <c r="J5113" t="n">
        <v>0</v>
      </c>
      <c r="K5113" t="n">
        <v>0</v>
      </c>
      <c r="L5113" t="n">
        <v>0</v>
      </c>
      <c r="M5113" t="n">
        <v>0</v>
      </c>
      <c r="N5113" t="n">
        <v>0</v>
      </c>
      <c r="O5113" t="n">
        <v>0</v>
      </c>
      <c r="P5113" t="n">
        <v>0</v>
      </c>
      <c r="Q5113" t="n">
        <v>0</v>
      </c>
      <c r="R5113" s="2" t="inlineStr"/>
    </row>
    <row r="5114" ht="15" customHeight="1">
      <c r="A5114" t="inlineStr">
        <is>
          <t>A 35433-2025</t>
        </is>
      </c>
      <c r="B5114" s="1" t="n">
        <v>45855.4525462963</v>
      </c>
      <c r="C5114" s="1" t="n">
        <v>46075</v>
      </c>
      <c r="D5114" t="inlineStr">
        <is>
          <t>VÄSTERBOTTENS LÄN</t>
        </is>
      </c>
      <c r="E5114" t="inlineStr">
        <is>
          <t>SKELLEFTEÅ</t>
        </is>
      </c>
      <c r="F5114" t="inlineStr">
        <is>
          <t>Holmen skog AB</t>
        </is>
      </c>
      <c r="G5114" t="n">
        <v>2.8</v>
      </c>
      <c r="H5114" t="n">
        <v>0</v>
      </c>
      <c r="I5114" t="n">
        <v>0</v>
      </c>
      <c r="J5114" t="n">
        <v>0</v>
      </c>
      <c r="K5114" t="n">
        <v>0</v>
      </c>
      <c r="L5114" t="n">
        <v>0</v>
      </c>
      <c r="M5114" t="n">
        <v>0</v>
      </c>
      <c r="N5114" t="n">
        <v>0</v>
      </c>
      <c r="O5114" t="n">
        <v>0</v>
      </c>
      <c r="P5114" t="n">
        <v>0</v>
      </c>
      <c r="Q5114" t="n">
        <v>0</v>
      </c>
      <c r="R5114" s="2" t="inlineStr"/>
    </row>
    <row r="5115" ht="15" customHeight="1">
      <c r="A5115" t="inlineStr">
        <is>
          <t>A 35456-2025</t>
        </is>
      </c>
      <c r="B5115" s="1" t="n">
        <v>45855</v>
      </c>
      <c r="C5115" s="1" t="n">
        <v>46075</v>
      </c>
      <c r="D5115" t="inlineStr">
        <is>
          <t>VÄSTERBOTTENS LÄN</t>
        </is>
      </c>
      <c r="E5115" t="inlineStr">
        <is>
          <t>DOROTEA</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35437-2025</t>
        </is>
      </c>
      <c r="B5116" s="1" t="n">
        <v>45855</v>
      </c>
      <c r="C5116" s="1" t="n">
        <v>46075</v>
      </c>
      <c r="D5116" t="inlineStr">
        <is>
          <t>VÄSTERBOTTENS LÄN</t>
        </is>
      </c>
      <c r="E5116" t="inlineStr">
        <is>
          <t>DOROTEA</t>
        </is>
      </c>
      <c r="G5116" t="n">
        <v>2.1</v>
      </c>
      <c r="H5116" t="n">
        <v>0</v>
      </c>
      <c r="I5116" t="n">
        <v>0</v>
      </c>
      <c r="J5116" t="n">
        <v>0</v>
      </c>
      <c r="K5116" t="n">
        <v>0</v>
      </c>
      <c r="L5116" t="n">
        <v>0</v>
      </c>
      <c r="M5116" t="n">
        <v>0</v>
      </c>
      <c r="N5116" t="n">
        <v>0</v>
      </c>
      <c r="O5116" t="n">
        <v>0</v>
      </c>
      <c r="P5116" t="n">
        <v>0</v>
      </c>
      <c r="Q5116" t="n">
        <v>0</v>
      </c>
      <c r="R5116" s="2" t="inlineStr"/>
    </row>
    <row r="5117" ht="15" customHeight="1">
      <c r="A5117" t="inlineStr">
        <is>
          <t>A 19223-2025</t>
        </is>
      </c>
      <c r="B5117" s="1" t="n">
        <v>45769</v>
      </c>
      <c r="C5117" s="1" t="n">
        <v>46075</v>
      </c>
      <c r="D5117" t="inlineStr">
        <is>
          <t>VÄSTERBOTTENS LÄN</t>
        </is>
      </c>
      <c r="E5117" t="inlineStr">
        <is>
          <t>VILHELMINA</t>
        </is>
      </c>
      <c r="F5117" t="inlineStr">
        <is>
          <t>SCA</t>
        </is>
      </c>
      <c r="G5117" t="n">
        <v>2.9</v>
      </c>
      <c r="H5117" t="n">
        <v>0</v>
      </c>
      <c r="I5117" t="n">
        <v>0</v>
      </c>
      <c r="J5117" t="n">
        <v>0</v>
      </c>
      <c r="K5117" t="n">
        <v>0</v>
      </c>
      <c r="L5117" t="n">
        <v>0</v>
      </c>
      <c r="M5117" t="n">
        <v>0</v>
      </c>
      <c r="N5117" t="n">
        <v>0</v>
      </c>
      <c r="O5117" t="n">
        <v>0</v>
      </c>
      <c r="P5117" t="n">
        <v>0</v>
      </c>
      <c r="Q5117" t="n">
        <v>0</v>
      </c>
      <c r="R5117" s="2" t="inlineStr"/>
    </row>
    <row r="5118" ht="15" customHeight="1">
      <c r="A5118" t="inlineStr">
        <is>
          <t>A 45146-2025</t>
        </is>
      </c>
      <c r="B5118" s="1" t="n">
        <v>45919</v>
      </c>
      <c r="C5118" s="1" t="n">
        <v>46075</v>
      </c>
      <c r="D5118" t="inlineStr">
        <is>
          <t>VÄSTERBOTTENS LÄN</t>
        </is>
      </c>
      <c r="E5118" t="inlineStr">
        <is>
          <t>NORSJÖ</t>
        </is>
      </c>
      <c r="G5118" t="n">
        <v>6.3</v>
      </c>
      <c r="H5118" t="n">
        <v>0</v>
      </c>
      <c r="I5118" t="n">
        <v>0</v>
      </c>
      <c r="J5118" t="n">
        <v>0</v>
      </c>
      <c r="K5118" t="n">
        <v>0</v>
      </c>
      <c r="L5118" t="n">
        <v>0</v>
      </c>
      <c r="M5118" t="n">
        <v>0</v>
      </c>
      <c r="N5118" t="n">
        <v>0</v>
      </c>
      <c r="O5118" t="n">
        <v>0</v>
      </c>
      <c r="P5118" t="n">
        <v>0</v>
      </c>
      <c r="Q5118" t="n">
        <v>0</v>
      </c>
      <c r="R5118" s="2" t="inlineStr"/>
    </row>
    <row r="5119" ht="15" customHeight="1">
      <c r="A5119" t="inlineStr">
        <is>
          <t>A 45149-2025</t>
        </is>
      </c>
      <c r="B5119" s="1" t="n">
        <v>45919.47009259259</v>
      </c>
      <c r="C5119" s="1" t="n">
        <v>46075</v>
      </c>
      <c r="D5119" t="inlineStr">
        <is>
          <t>VÄSTERBOTTENS LÄN</t>
        </is>
      </c>
      <c r="E5119" t="inlineStr">
        <is>
          <t>VINDELN</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35438-2025</t>
        </is>
      </c>
      <c r="B5120" s="1" t="n">
        <v>45855</v>
      </c>
      <c r="C5120" s="1" t="n">
        <v>46075</v>
      </c>
      <c r="D5120" t="inlineStr">
        <is>
          <t>VÄSTERBOTTENS LÄN</t>
        </is>
      </c>
      <c r="E5120" t="inlineStr">
        <is>
          <t>DOROTEA</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35458-2025</t>
        </is>
      </c>
      <c r="B5121" s="1" t="n">
        <v>45855</v>
      </c>
      <c r="C5121" s="1" t="n">
        <v>46075</v>
      </c>
      <c r="D5121" t="inlineStr">
        <is>
          <t>VÄSTERBOTTENS LÄN</t>
        </is>
      </c>
      <c r="E5121" t="inlineStr">
        <is>
          <t>DOROTEA</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35446-2025</t>
        </is>
      </c>
      <c r="B5122" s="1" t="n">
        <v>45855.54017361111</v>
      </c>
      <c r="C5122" s="1" t="n">
        <v>46075</v>
      </c>
      <c r="D5122" t="inlineStr">
        <is>
          <t>VÄSTERBOTTENS LÄN</t>
        </is>
      </c>
      <c r="E5122" t="inlineStr">
        <is>
          <t>NORSJÖ</t>
        </is>
      </c>
      <c r="F5122" t="inlineStr">
        <is>
          <t>Sveaskog</t>
        </is>
      </c>
      <c r="G5122" t="n">
        <v>12.9</v>
      </c>
      <c r="H5122" t="n">
        <v>0</v>
      </c>
      <c r="I5122" t="n">
        <v>0</v>
      </c>
      <c r="J5122" t="n">
        <v>0</v>
      </c>
      <c r="K5122" t="n">
        <v>0</v>
      </c>
      <c r="L5122" t="n">
        <v>0</v>
      </c>
      <c r="M5122" t="n">
        <v>0</v>
      </c>
      <c r="N5122" t="n">
        <v>0</v>
      </c>
      <c r="O5122" t="n">
        <v>0</v>
      </c>
      <c r="P5122" t="n">
        <v>0</v>
      </c>
      <c r="Q5122" t="n">
        <v>0</v>
      </c>
      <c r="R5122" s="2" t="inlineStr"/>
    </row>
    <row r="5123" ht="15" customHeight="1">
      <c r="A5123" t="inlineStr">
        <is>
          <t>A 35285-2025</t>
        </is>
      </c>
      <c r="B5123" s="1" t="n">
        <v>45854</v>
      </c>
      <c r="C5123" s="1" t="n">
        <v>46075</v>
      </c>
      <c r="D5123" t="inlineStr">
        <is>
          <t>VÄSTERBOTTENS LÄN</t>
        </is>
      </c>
      <c r="E5123" t="inlineStr">
        <is>
          <t>VILHELMINA</t>
        </is>
      </c>
      <c r="F5123" t="inlineStr">
        <is>
          <t>SCA</t>
        </is>
      </c>
      <c r="G5123" t="n">
        <v>3.3</v>
      </c>
      <c r="H5123" t="n">
        <v>0</v>
      </c>
      <c r="I5123" t="n">
        <v>0</v>
      </c>
      <c r="J5123" t="n">
        <v>0</v>
      </c>
      <c r="K5123" t="n">
        <v>0</v>
      </c>
      <c r="L5123" t="n">
        <v>0</v>
      </c>
      <c r="M5123" t="n">
        <v>0</v>
      </c>
      <c r="N5123" t="n">
        <v>0</v>
      </c>
      <c r="O5123" t="n">
        <v>0</v>
      </c>
      <c r="P5123" t="n">
        <v>0</v>
      </c>
      <c r="Q5123" t="n">
        <v>0</v>
      </c>
      <c r="R5123" s="2" t="inlineStr"/>
    </row>
    <row r="5124" ht="15" customHeight="1">
      <c r="A5124" t="inlineStr">
        <is>
          <t>A 35298-2025</t>
        </is>
      </c>
      <c r="B5124" s="1" t="n">
        <v>45854.40681712963</v>
      </c>
      <c r="C5124" s="1" t="n">
        <v>46075</v>
      </c>
      <c r="D5124" t="inlineStr">
        <is>
          <t>VÄSTERBOTTENS LÄN</t>
        </is>
      </c>
      <c r="E5124" t="inlineStr">
        <is>
          <t>DOROTEA</t>
        </is>
      </c>
      <c r="F5124" t="inlineStr">
        <is>
          <t>SCA</t>
        </is>
      </c>
      <c r="G5124" t="n">
        <v>4.8</v>
      </c>
      <c r="H5124" t="n">
        <v>0</v>
      </c>
      <c r="I5124" t="n">
        <v>0</v>
      </c>
      <c r="J5124" t="n">
        <v>0</v>
      </c>
      <c r="K5124" t="n">
        <v>0</v>
      </c>
      <c r="L5124" t="n">
        <v>0</v>
      </c>
      <c r="M5124" t="n">
        <v>0</v>
      </c>
      <c r="N5124" t="n">
        <v>0</v>
      </c>
      <c r="O5124" t="n">
        <v>0</v>
      </c>
      <c r="P5124" t="n">
        <v>0</v>
      </c>
      <c r="Q5124" t="n">
        <v>0</v>
      </c>
      <c r="R5124" s="2" t="inlineStr"/>
    </row>
    <row r="5125" ht="15" customHeight="1">
      <c r="A5125" t="inlineStr">
        <is>
          <t>A 45139-2025</t>
        </is>
      </c>
      <c r="B5125" s="1" t="n">
        <v>45919.45460648148</v>
      </c>
      <c r="C5125" s="1" t="n">
        <v>46075</v>
      </c>
      <c r="D5125" t="inlineStr">
        <is>
          <t>VÄSTERBOTTENS LÄN</t>
        </is>
      </c>
      <c r="E5125" t="inlineStr">
        <is>
          <t>LYCKSELE</t>
        </is>
      </c>
      <c r="G5125" t="n">
        <v>5.7</v>
      </c>
      <c r="H5125" t="n">
        <v>0</v>
      </c>
      <c r="I5125" t="n">
        <v>0</v>
      </c>
      <c r="J5125" t="n">
        <v>0</v>
      </c>
      <c r="K5125" t="n">
        <v>0</v>
      </c>
      <c r="L5125" t="n">
        <v>0</v>
      </c>
      <c r="M5125" t="n">
        <v>0</v>
      </c>
      <c r="N5125" t="n">
        <v>0</v>
      </c>
      <c r="O5125" t="n">
        <v>0</v>
      </c>
      <c r="P5125" t="n">
        <v>0</v>
      </c>
      <c r="Q5125" t="n">
        <v>0</v>
      </c>
      <c r="R5125" s="2" t="inlineStr"/>
    </row>
    <row r="5126" ht="15" customHeight="1">
      <c r="A5126" t="inlineStr">
        <is>
          <t>A 62325-2022</t>
        </is>
      </c>
      <c r="B5126" s="1" t="n">
        <v>44916</v>
      </c>
      <c r="C5126" s="1" t="n">
        <v>46075</v>
      </c>
      <c r="D5126" t="inlineStr">
        <is>
          <t>VÄSTERBOTTENS LÄN</t>
        </is>
      </c>
      <c r="E5126" t="inlineStr">
        <is>
          <t>SKELLEFTEÅ</t>
        </is>
      </c>
      <c r="G5126" t="n">
        <v>0.4</v>
      </c>
      <c r="H5126" t="n">
        <v>0</v>
      </c>
      <c r="I5126" t="n">
        <v>0</v>
      </c>
      <c r="J5126" t="n">
        <v>0</v>
      </c>
      <c r="K5126" t="n">
        <v>0</v>
      </c>
      <c r="L5126" t="n">
        <v>0</v>
      </c>
      <c r="M5126" t="n">
        <v>0</v>
      </c>
      <c r="N5126" t="n">
        <v>0</v>
      </c>
      <c r="O5126" t="n">
        <v>0</v>
      </c>
      <c r="P5126" t="n">
        <v>0</v>
      </c>
      <c r="Q5126" t="n">
        <v>0</v>
      </c>
      <c r="R5126" s="2" t="inlineStr"/>
    </row>
    <row r="5127" ht="15" customHeight="1">
      <c r="A5127" t="inlineStr">
        <is>
          <t>A 35457-2025</t>
        </is>
      </c>
      <c r="B5127" s="1" t="n">
        <v>45855</v>
      </c>
      <c r="C5127" s="1" t="n">
        <v>46075</v>
      </c>
      <c r="D5127" t="inlineStr">
        <is>
          <t>VÄSTERBOTTENS LÄN</t>
        </is>
      </c>
      <c r="E5127" t="inlineStr">
        <is>
          <t>DOROTEA</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44784-2025</t>
        </is>
      </c>
      <c r="B5128" s="1" t="n">
        <v>45917.92033564814</v>
      </c>
      <c r="C5128" s="1" t="n">
        <v>46075</v>
      </c>
      <c r="D5128" t="inlineStr">
        <is>
          <t>VÄSTERBOTTENS LÄN</t>
        </is>
      </c>
      <c r="E5128" t="inlineStr">
        <is>
          <t>DOROTEA</t>
        </is>
      </c>
      <c r="F5128" t="inlineStr">
        <is>
          <t>SCA</t>
        </is>
      </c>
      <c r="G5128" t="n">
        <v>7.7</v>
      </c>
      <c r="H5128" t="n">
        <v>0</v>
      </c>
      <c r="I5128" t="n">
        <v>0</v>
      </c>
      <c r="J5128" t="n">
        <v>0</v>
      </c>
      <c r="K5128" t="n">
        <v>0</v>
      </c>
      <c r="L5128" t="n">
        <v>0</v>
      </c>
      <c r="M5128" t="n">
        <v>0</v>
      </c>
      <c r="N5128" t="n">
        <v>0</v>
      </c>
      <c r="O5128" t="n">
        <v>0</v>
      </c>
      <c r="P5128" t="n">
        <v>0</v>
      </c>
      <c r="Q5128" t="n">
        <v>0</v>
      </c>
      <c r="R5128" s="2" t="inlineStr"/>
    </row>
    <row r="5129" ht="15" customHeight="1">
      <c r="A5129" t="inlineStr">
        <is>
          <t>A 44805-2025</t>
        </is>
      </c>
      <c r="B5129" s="1" t="n">
        <v>45918.36143518519</v>
      </c>
      <c r="C5129" s="1" t="n">
        <v>46075</v>
      </c>
      <c r="D5129" t="inlineStr">
        <is>
          <t>VÄSTERBOTTENS LÄN</t>
        </is>
      </c>
      <c r="E5129" t="inlineStr">
        <is>
          <t>MALÅ</t>
        </is>
      </c>
      <c r="F5129" t="inlineStr">
        <is>
          <t>Sveaskog</t>
        </is>
      </c>
      <c r="G5129" t="n">
        <v>8.6</v>
      </c>
      <c r="H5129" t="n">
        <v>0</v>
      </c>
      <c r="I5129" t="n">
        <v>0</v>
      </c>
      <c r="J5129" t="n">
        <v>0</v>
      </c>
      <c r="K5129" t="n">
        <v>0</v>
      </c>
      <c r="L5129" t="n">
        <v>0</v>
      </c>
      <c r="M5129" t="n">
        <v>0</v>
      </c>
      <c r="N5129" t="n">
        <v>0</v>
      </c>
      <c r="O5129" t="n">
        <v>0</v>
      </c>
      <c r="P5129" t="n">
        <v>0</v>
      </c>
      <c r="Q5129" t="n">
        <v>0</v>
      </c>
      <c r="R5129" s="2" t="inlineStr"/>
    </row>
    <row r="5130" ht="15" customHeight="1">
      <c r="A5130" t="inlineStr">
        <is>
          <t>A 6655-2025</t>
        </is>
      </c>
      <c r="B5130" s="1" t="n">
        <v>45700.42770833334</v>
      </c>
      <c r="C5130" s="1" t="n">
        <v>46075</v>
      </c>
      <c r="D5130" t="inlineStr">
        <is>
          <t>VÄSTERBOTTENS LÄN</t>
        </is>
      </c>
      <c r="E5130" t="inlineStr">
        <is>
          <t>MALÅ</t>
        </is>
      </c>
      <c r="F5130" t="inlineStr">
        <is>
          <t>SCA</t>
        </is>
      </c>
      <c r="G5130" t="n">
        <v>10.2</v>
      </c>
      <c r="H5130" t="n">
        <v>0</v>
      </c>
      <c r="I5130" t="n">
        <v>0</v>
      </c>
      <c r="J5130" t="n">
        <v>0</v>
      </c>
      <c r="K5130" t="n">
        <v>0</v>
      </c>
      <c r="L5130" t="n">
        <v>0</v>
      </c>
      <c r="M5130" t="n">
        <v>0</v>
      </c>
      <c r="N5130" t="n">
        <v>0</v>
      </c>
      <c r="O5130" t="n">
        <v>0</v>
      </c>
      <c r="P5130" t="n">
        <v>0</v>
      </c>
      <c r="Q5130" t="n">
        <v>0</v>
      </c>
      <c r="R5130" s="2" t="inlineStr"/>
    </row>
    <row r="5131" ht="15" customHeight="1">
      <c r="A5131" t="inlineStr">
        <is>
          <t>A 35287-2025</t>
        </is>
      </c>
      <c r="B5131" s="1" t="n">
        <v>45854.3653587963</v>
      </c>
      <c r="C5131" s="1" t="n">
        <v>46075</v>
      </c>
      <c r="D5131" t="inlineStr">
        <is>
          <t>VÄSTERBOTTENS LÄN</t>
        </is>
      </c>
      <c r="E5131" t="inlineStr">
        <is>
          <t>VILHELMINA</t>
        </is>
      </c>
      <c r="F5131" t="inlineStr">
        <is>
          <t>SCA</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35288-2025</t>
        </is>
      </c>
      <c r="B5132" s="1" t="n">
        <v>45854.36543981481</v>
      </c>
      <c r="C5132" s="1" t="n">
        <v>46075</v>
      </c>
      <c r="D5132" t="inlineStr">
        <is>
          <t>VÄSTERBOTTENS LÄN</t>
        </is>
      </c>
      <c r="E5132" t="inlineStr">
        <is>
          <t>VILHELMINA</t>
        </is>
      </c>
      <c r="F5132" t="inlineStr">
        <is>
          <t>SCA</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44107-2025</t>
        </is>
      </c>
      <c r="B5133" s="1" t="n">
        <v>45915</v>
      </c>
      <c r="C5133" s="1" t="n">
        <v>46075</v>
      </c>
      <c r="D5133" t="inlineStr">
        <is>
          <t>VÄSTERBOTTENS LÄN</t>
        </is>
      </c>
      <c r="E5133" t="inlineStr">
        <is>
          <t>LYCKSELE</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31698-2023</t>
        </is>
      </c>
      <c r="B5134" s="1" t="n">
        <v>45117</v>
      </c>
      <c r="C5134" s="1" t="n">
        <v>46075</v>
      </c>
      <c r="D5134" t="inlineStr">
        <is>
          <t>VÄSTERBOTTENS LÄN</t>
        </is>
      </c>
      <c r="E5134" t="inlineStr">
        <is>
          <t>LYCKSELE</t>
        </is>
      </c>
      <c r="F5134" t="inlineStr">
        <is>
          <t>Holmen skog AB</t>
        </is>
      </c>
      <c r="G5134" t="n">
        <v>6.1</v>
      </c>
      <c r="H5134" t="n">
        <v>0</v>
      </c>
      <c r="I5134" t="n">
        <v>0</v>
      </c>
      <c r="J5134" t="n">
        <v>0</v>
      </c>
      <c r="K5134" t="n">
        <v>0</v>
      </c>
      <c r="L5134" t="n">
        <v>0</v>
      </c>
      <c r="M5134" t="n">
        <v>0</v>
      </c>
      <c r="N5134" t="n">
        <v>0</v>
      </c>
      <c r="O5134" t="n">
        <v>0</v>
      </c>
      <c r="P5134" t="n">
        <v>0</v>
      </c>
      <c r="Q5134" t="n">
        <v>0</v>
      </c>
      <c r="R5134" s="2" t="inlineStr"/>
    </row>
    <row r="5135" ht="15" customHeight="1">
      <c r="A5135" t="inlineStr">
        <is>
          <t>A 44094-2025</t>
        </is>
      </c>
      <c r="B5135" s="1" t="n">
        <v>45915</v>
      </c>
      <c r="C5135" s="1" t="n">
        <v>46075</v>
      </c>
      <c r="D5135" t="inlineStr">
        <is>
          <t>VÄSTERBOTTENS LÄN</t>
        </is>
      </c>
      <c r="E5135" t="inlineStr">
        <is>
          <t>LYCKSELE</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45039-2023</t>
        </is>
      </c>
      <c r="B5136" s="1" t="n">
        <v>45191.32686342593</v>
      </c>
      <c r="C5136" s="1" t="n">
        <v>46075</v>
      </c>
      <c r="D5136" t="inlineStr">
        <is>
          <t>VÄSTERBOTTENS LÄN</t>
        </is>
      </c>
      <c r="E5136" t="inlineStr">
        <is>
          <t>SKELLEFTEÅ</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45027-2025</t>
        </is>
      </c>
      <c r="B5137" s="1" t="n">
        <v>45918</v>
      </c>
      <c r="C5137" s="1" t="n">
        <v>46075</v>
      </c>
      <c r="D5137" t="inlineStr">
        <is>
          <t>VÄSTERBOTTENS LÄN</t>
        </is>
      </c>
      <c r="E5137" t="inlineStr">
        <is>
          <t>VILHELMINA</t>
        </is>
      </c>
      <c r="G5137" t="n">
        <v>14.3</v>
      </c>
      <c r="H5137" t="n">
        <v>0</v>
      </c>
      <c r="I5137" t="n">
        <v>0</v>
      </c>
      <c r="J5137" t="n">
        <v>0</v>
      </c>
      <c r="K5137" t="n">
        <v>0</v>
      </c>
      <c r="L5137" t="n">
        <v>0</v>
      </c>
      <c r="M5137" t="n">
        <v>0</v>
      </c>
      <c r="N5137" t="n">
        <v>0</v>
      </c>
      <c r="O5137" t="n">
        <v>0</v>
      </c>
      <c r="P5137" t="n">
        <v>0</v>
      </c>
      <c r="Q5137" t="n">
        <v>0</v>
      </c>
      <c r="R5137" s="2" t="inlineStr"/>
    </row>
    <row r="5138" ht="15" customHeight="1">
      <c r="A5138" t="inlineStr">
        <is>
          <t>A 44920-2025</t>
        </is>
      </c>
      <c r="B5138" s="1" t="n">
        <v>45918.55259259259</v>
      </c>
      <c r="C5138" s="1" t="n">
        <v>46075</v>
      </c>
      <c r="D5138" t="inlineStr">
        <is>
          <t>VÄSTERBOTTENS LÄN</t>
        </is>
      </c>
      <c r="E5138" t="inlineStr">
        <is>
          <t>SKELLEFTEÅ</t>
        </is>
      </c>
      <c r="G5138" t="n">
        <v>4.1</v>
      </c>
      <c r="H5138" t="n">
        <v>0</v>
      </c>
      <c r="I5138" t="n">
        <v>0</v>
      </c>
      <c r="J5138" t="n">
        <v>0</v>
      </c>
      <c r="K5138" t="n">
        <v>0</v>
      </c>
      <c r="L5138" t="n">
        <v>0</v>
      </c>
      <c r="M5138" t="n">
        <v>0</v>
      </c>
      <c r="N5138" t="n">
        <v>0</v>
      </c>
      <c r="O5138" t="n">
        <v>0</v>
      </c>
      <c r="P5138" t="n">
        <v>0</v>
      </c>
      <c r="Q5138" t="n">
        <v>0</v>
      </c>
      <c r="R5138" s="2" t="inlineStr"/>
    </row>
    <row r="5139" ht="15" customHeight="1">
      <c r="A5139" t="inlineStr">
        <is>
          <t>A 9534-2023</t>
        </is>
      </c>
      <c r="B5139" s="1" t="n">
        <v>44981.72646990741</v>
      </c>
      <c r="C5139" s="1" t="n">
        <v>46075</v>
      </c>
      <c r="D5139" t="inlineStr">
        <is>
          <t>VÄSTERBOTTENS LÄN</t>
        </is>
      </c>
      <c r="E5139" t="inlineStr">
        <is>
          <t>VILHELMINA</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7052-2022</t>
        </is>
      </c>
      <c r="B5140" s="1" t="n">
        <v>44603</v>
      </c>
      <c r="C5140" s="1" t="n">
        <v>46075</v>
      </c>
      <c r="D5140" t="inlineStr">
        <is>
          <t>VÄSTERBOTTENS LÄN</t>
        </is>
      </c>
      <c r="E5140" t="inlineStr">
        <is>
          <t>SKELLEFTEÅ</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1922-2023</t>
        </is>
      </c>
      <c r="B5141" s="1" t="n">
        <v>44938</v>
      </c>
      <c r="C5141" s="1" t="n">
        <v>46075</v>
      </c>
      <c r="D5141" t="inlineStr">
        <is>
          <t>VÄSTERBOTTENS LÄN</t>
        </is>
      </c>
      <c r="E5141" t="inlineStr">
        <is>
          <t>ROBERTSFORS</t>
        </is>
      </c>
      <c r="G5141" t="n">
        <v>2.6</v>
      </c>
      <c r="H5141" t="n">
        <v>0</v>
      </c>
      <c r="I5141" t="n">
        <v>0</v>
      </c>
      <c r="J5141" t="n">
        <v>0</v>
      </c>
      <c r="K5141" t="n">
        <v>0</v>
      </c>
      <c r="L5141" t="n">
        <v>0</v>
      </c>
      <c r="M5141" t="n">
        <v>0</v>
      </c>
      <c r="N5141" t="n">
        <v>0</v>
      </c>
      <c r="O5141" t="n">
        <v>0</v>
      </c>
      <c r="P5141" t="n">
        <v>0</v>
      </c>
      <c r="Q5141" t="n">
        <v>0</v>
      </c>
      <c r="R5141" s="2" t="inlineStr"/>
    </row>
    <row r="5142" ht="15" customHeight="1">
      <c r="A5142" t="inlineStr">
        <is>
          <t>A 44911-2025</t>
        </is>
      </c>
      <c r="B5142" s="1" t="n">
        <v>45918.53216435185</v>
      </c>
      <c r="C5142" s="1" t="n">
        <v>46075</v>
      </c>
      <c r="D5142" t="inlineStr">
        <is>
          <t>VÄSTERBOTTENS LÄN</t>
        </is>
      </c>
      <c r="E5142" t="inlineStr">
        <is>
          <t>SKELLEFTEÅ</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44922-2025</t>
        </is>
      </c>
      <c r="B5143" s="1" t="n">
        <v>45918.55274305555</v>
      </c>
      <c r="C5143" s="1" t="n">
        <v>46075</v>
      </c>
      <c r="D5143" t="inlineStr">
        <is>
          <t>VÄSTERBOTTENS LÄN</t>
        </is>
      </c>
      <c r="E5143" t="inlineStr">
        <is>
          <t>SKELLEFTEÅ</t>
        </is>
      </c>
      <c r="G5143" t="n">
        <v>3.3</v>
      </c>
      <c r="H5143" t="n">
        <v>0</v>
      </c>
      <c r="I5143" t="n">
        <v>0</v>
      </c>
      <c r="J5143" t="n">
        <v>0</v>
      </c>
      <c r="K5143" t="n">
        <v>0</v>
      </c>
      <c r="L5143" t="n">
        <v>0</v>
      </c>
      <c r="M5143" t="n">
        <v>0</v>
      </c>
      <c r="N5143" t="n">
        <v>0</v>
      </c>
      <c r="O5143" t="n">
        <v>0</v>
      </c>
      <c r="P5143" t="n">
        <v>0</v>
      </c>
      <c r="Q5143" t="n">
        <v>0</v>
      </c>
      <c r="R5143" s="2" t="inlineStr"/>
    </row>
    <row r="5144" ht="15" customHeight="1">
      <c r="A5144" t="inlineStr">
        <is>
          <t>A 44838-2025</t>
        </is>
      </c>
      <c r="B5144" s="1" t="n">
        <v>45918.42427083333</v>
      </c>
      <c r="C5144" s="1" t="n">
        <v>46075</v>
      </c>
      <c r="D5144" t="inlineStr">
        <is>
          <t>VÄSTERBOTTENS LÄN</t>
        </is>
      </c>
      <c r="E5144" t="inlineStr">
        <is>
          <t>UMEÅ</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27688-2025</t>
        </is>
      </c>
      <c r="B5145" s="1" t="n">
        <v>45813</v>
      </c>
      <c r="C5145" s="1" t="n">
        <v>46075</v>
      </c>
      <c r="D5145" t="inlineStr">
        <is>
          <t>VÄSTERBOTTENS LÄN</t>
        </is>
      </c>
      <c r="E5145" t="inlineStr">
        <is>
          <t>LYCKSELE</t>
        </is>
      </c>
      <c r="G5145" t="n">
        <v>6.8</v>
      </c>
      <c r="H5145" t="n">
        <v>0</v>
      </c>
      <c r="I5145" t="n">
        <v>0</v>
      </c>
      <c r="J5145" t="n">
        <v>0</v>
      </c>
      <c r="K5145" t="n">
        <v>0</v>
      </c>
      <c r="L5145" t="n">
        <v>0</v>
      </c>
      <c r="M5145" t="n">
        <v>0</v>
      </c>
      <c r="N5145" t="n">
        <v>0</v>
      </c>
      <c r="O5145" t="n">
        <v>0</v>
      </c>
      <c r="P5145" t="n">
        <v>0</v>
      </c>
      <c r="Q5145" t="n">
        <v>0</v>
      </c>
      <c r="R5145" s="2" t="inlineStr"/>
    </row>
    <row r="5146" ht="15" customHeight="1">
      <c r="A5146" t="inlineStr">
        <is>
          <t>A 16660-2025</t>
        </is>
      </c>
      <c r="B5146" s="1" t="n">
        <v>45754.4134837963</v>
      </c>
      <c r="C5146" s="1" t="n">
        <v>46075</v>
      </c>
      <c r="D5146" t="inlineStr">
        <is>
          <t>VÄSTERBOTTENS LÄN</t>
        </is>
      </c>
      <c r="E5146" t="inlineStr">
        <is>
          <t>NORSJÖ</t>
        </is>
      </c>
      <c r="G5146" t="n">
        <v>2.8</v>
      </c>
      <c r="H5146" t="n">
        <v>0</v>
      </c>
      <c r="I5146" t="n">
        <v>0</v>
      </c>
      <c r="J5146" t="n">
        <v>0</v>
      </c>
      <c r="K5146" t="n">
        <v>0</v>
      </c>
      <c r="L5146" t="n">
        <v>0</v>
      </c>
      <c r="M5146" t="n">
        <v>0</v>
      </c>
      <c r="N5146" t="n">
        <v>0</v>
      </c>
      <c r="O5146" t="n">
        <v>0</v>
      </c>
      <c r="P5146" t="n">
        <v>0</v>
      </c>
      <c r="Q5146" t="n">
        <v>0</v>
      </c>
      <c r="R5146" s="2" t="inlineStr"/>
    </row>
    <row r="5147" ht="15" customHeight="1">
      <c r="A5147" t="inlineStr">
        <is>
          <t>A 18796-2025</t>
        </is>
      </c>
      <c r="B5147" s="1" t="n">
        <v>45764.34581018519</v>
      </c>
      <c r="C5147" s="1" t="n">
        <v>46075</v>
      </c>
      <c r="D5147" t="inlineStr">
        <is>
          <t>VÄSTERBOTTENS LÄN</t>
        </is>
      </c>
      <c r="E5147" t="inlineStr">
        <is>
          <t>NORDMALING</t>
        </is>
      </c>
      <c r="F5147" t="inlineStr">
        <is>
          <t>SCA</t>
        </is>
      </c>
      <c r="G5147" t="n">
        <v>2.8</v>
      </c>
      <c r="H5147" t="n">
        <v>0</v>
      </c>
      <c r="I5147" t="n">
        <v>0</v>
      </c>
      <c r="J5147" t="n">
        <v>0</v>
      </c>
      <c r="K5147" t="n">
        <v>0</v>
      </c>
      <c r="L5147" t="n">
        <v>0</v>
      </c>
      <c r="M5147" t="n">
        <v>0</v>
      </c>
      <c r="N5147" t="n">
        <v>0</v>
      </c>
      <c r="O5147" t="n">
        <v>0</v>
      </c>
      <c r="P5147" t="n">
        <v>0</v>
      </c>
      <c r="Q5147" t="n">
        <v>0</v>
      </c>
      <c r="R5147" s="2" t="inlineStr"/>
    </row>
    <row r="5148" ht="15" customHeight="1">
      <c r="A5148" t="inlineStr">
        <is>
          <t>A 62584-2022</t>
        </is>
      </c>
      <c r="B5148" s="1" t="n">
        <v>44924</v>
      </c>
      <c r="C5148" s="1" t="n">
        <v>46075</v>
      </c>
      <c r="D5148" t="inlineStr">
        <is>
          <t>VÄSTERBOTTENS LÄN</t>
        </is>
      </c>
      <c r="E5148" t="inlineStr">
        <is>
          <t>LYCKSELE</t>
        </is>
      </c>
      <c r="F5148" t="inlineStr">
        <is>
          <t>SCA</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18810-2025</t>
        </is>
      </c>
      <c r="B5149" s="1" t="n">
        <v>45764.360625</v>
      </c>
      <c r="C5149" s="1" t="n">
        <v>46075</v>
      </c>
      <c r="D5149" t="inlineStr">
        <is>
          <t>VÄSTERBOTTENS LÄN</t>
        </is>
      </c>
      <c r="E5149" t="inlineStr">
        <is>
          <t>LYCKSELE</t>
        </is>
      </c>
      <c r="F5149" t="inlineStr">
        <is>
          <t>Holmen skog AB</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40781-2023</t>
        </is>
      </c>
      <c r="B5150" s="1" t="n">
        <v>45170.95747685185</v>
      </c>
      <c r="C5150" s="1" t="n">
        <v>46075</v>
      </c>
      <c r="D5150" t="inlineStr">
        <is>
          <t>VÄSTERBOTTENS LÄN</t>
        </is>
      </c>
      <c r="E5150" t="inlineStr">
        <is>
          <t>VILHELMINA</t>
        </is>
      </c>
      <c r="F5150" t="inlineStr">
        <is>
          <t>SCA</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35303-2025</t>
        </is>
      </c>
      <c r="B5151" s="1" t="n">
        <v>45854.42938657408</v>
      </c>
      <c r="C5151" s="1" t="n">
        <v>46075</v>
      </c>
      <c r="D5151" t="inlineStr">
        <is>
          <t>VÄSTERBOTTENS LÄN</t>
        </is>
      </c>
      <c r="E5151" t="inlineStr">
        <is>
          <t>LYCKSELE</t>
        </is>
      </c>
      <c r="F5151" t="inlineStr">
        <is>
          <t>Sveaskog</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9607-2023</t>
        </is>
      </c>
      <c r="B5152" s="1" t="n">
        <v>44983</v>
      </c>
      <c r="C5152" s="1" t="n">
        <v>46075</v>
      </c>
      <c r="D5152" t="inlineStr">
        <is>
          <t>VÄSTERBOTTENS LÄN</t>
        </is>
      </c>
      <c r="E5152" t="inlineStr">
        <is>
          <t>UMEÅ</t>
        </is>
      </c>
      <c r="F5152" t="inlineStr">
        <is>
          <t>Holmen skog AB</t>
        </is>
      </c>
      <c r="G5152" t="n">
        <v>5.2</v>
      </c>
      <c r="H5152" t="n">
        <v>0</v>
      </c>
      <c r="I5152" t="n">
        <v>0</v>
      </c>
      <c r="J5152" t="n">
        <v>0</v>
      </c>
      <c r="K5152" t="n">
        <v>0</v>
      </c>
      <c r="L5152" t="n">
        <v>0</v>
      </c>
      <c r="M5152" t="n">
        <v>0</v>
      </c>
      <c r="N5152" t="n">
        <v>0</v>
      </c>
      <c r="O5152" t="n">
        <v>0</v>
      </c>
      <c r="P5152" t="n">
        <v>0</v>
      </c>
      <c r="Q5152" t="n">
        <v>0</v>
      </c>
      <c r="R5152" s="2" t="inlineStr"/>
    </row>
    <row r="5153" ht="15" customHeight="1">
      <c r="A5153" t="inlineStr">
        <is>
          <t>A 7398-2025</t>
        </is>
      </c>
      <c r="B5153" s="1" t="n">
        <v>45705</v>
      </c>
      <c r="C5153" s="1" t="n">
        <v>46075</v>
      </c>
      <c r="D5153" t="inlineStr">
        <is>
          <t>VÄSTERBOTTENS LÄN</t>
        </is>
      </c>
      <c r="E5153" t="inlineStr">
        <is>
          <t>LYCKSELE</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31216-2025</t>
        </is>
      </c>
      <c r="B5154" s="1" t="n">
        <v>45832.74711805556</v>
      </c>
      <c r="C5154" s="1" t="n">
        <v>46075</v>
      </c>
      <c r="D5154" t="inlineStr">
        <is>
          <t>VÄSTERBOTTENS LÄN</t>
        </is>
      </c>
      <c r="E5154" t="inlineStr">
        <is>
          <t>NORDMALING</t>
        </is>
      </c>
      <c r="G5154" t="n">
        <v>10.8</v>
      </c>
      <c r="H5154" t="n">
        <v>0</v>
      </c>
      <c r="I5154" t="n">
        <v>0</v>
      </c>
      <c r="J5154" t="n">
        <v>0</v>
      </c>
      <c r="K5154" t="n">
        <v>0</v>
      </c>
      <c r="L5154" t="n">
        <v>0</v>
      </c>
      <c r="M5154" t="n">
        <v>0</v>
      </c>
      <c r="N5154" t="n">
        <v>0</v>
      </c>
      <c r="O5154" t="n">
        <v>0</v>
      </c>
      <c r="P5154" t="n">
        <v>0</v>
      </c>
      <c r="Q5154" t="n">
        <v>0</v>
      </c>
      <c r="R5154" s="2" t="inlineStr"/>
    </row>
    <row r="5155" ht="15" customHeight="1">
      <c r="A5155" t="inlineStr">
        <is>
          <t>A 35281-2025</t>
        </is>
      </c>
      <c r="B5155" s="1" t="n">
        <v>45854.33944444444</v>
      </c>
      <c r="C5155" s="1" t="n">
        <v>46075</v>
      </c>
      <c r="D5155" t="inlineStr">
        <is>
          <t>VÄSTERBOTTENS LÄN</t>
        </is>
      </c>
      <c r="E5155" t="inlineStr">
        <is>
          <t>ÅSELE</t>
        </is>
      </c>
      <c r="F5155" t="inlineStr">
        <is>
          <t>Holmen skog AB</t>
        </is>
      </c>
      <c r="G5155" t="n">
        <v>3.8</v>
      </c>
      <c r="H5155" t="n">
        <v>0</v>
      </c>
      <c r="I5155" t="n">
        <v>0</v>
      </c>
      <c r="J5155" t="n">
        <v>0</v>
      </c>
      <c r="K5155" t="n">
        <v>0</v>
      </c>
      <c r="L5155" t="n">
        <v>0</v>
      </c>
      <c r="M5155" t="n">
        <v>0</v>
      </c>
      <c r="N5155" t="n">
        <v>0</v>
      </c>
      <c r="O5155" t="n">
        <v>0</v>
      </c>
      <c r="P5155" t="n">
        <v>0</v>
      </c>
      <c r="Q5155" t="n">
        <v>0</v>
      </c>
      <c r="R5155" s="2" t="inlineStr"/>
    </row>
    <row r="5156" ht="15" customHeight="1">
      <c r="A5156" t="inlineStr">
        <is>
          <t>A 44824-2025</t>
        </is>
      </c>
      <c r="B5156" s="1" t="n">
        <v>45918.38581018519</v>
      </c>
      <c r="C5156" s="1" t="n">
        <v>46075</v>
      </c>
      <c r="D5156" t="inlineStr">
        <is>
          <t>VÄSTERBOTTENS LÄN</t>
        </is>
      </c>
      <c r="E5156" t="inlineStr">
        <is>
          <t>VINDELN</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35560-2025</t>
        </is>
      </c>
      <c r="B5157" s="1" t="n">
        <v>45856.53145833333</v>
      </c>
      <c r="C5157" s="1" t="n">
        <v>46075</v>
      </c>
      <c r="D5157" t="inlineStr">
        <is>
          <t>VÄSTERBOTTENS LÄN</t>
        </is>
      </c>
      <c r="E5157" t="inlineStr">
        <is>
          <t>ROBERTSFORS</t>
        </is>
      </c>
      <c r="G5157" t="n">
        <v>13.1</v>
      </c>
      <c r="H5157" t="n">
        <v>0</v>
      </c>
      <c r="I5157" t="n">
        <v>0</v>
      </c>
      <c r="J5157" t="n">
        <v>0</v>
      </c>
      <c r="K5157" t="n">
        <v>0</v>
      </c>
      <c r="L5157" t="n">
        <v>0</v>
      </c>
      <c r="M5157" t="n">
        <v>0</v>
      </c>
      <c r="N5157" t="n">
        <v>0</v>
      </c>
      <c r="O5157" t="n">
        <v>0</v>
      </c>
      <c r="P5157" t="n">
        <v>0</v>
      </c>
      <c r="Q5157" t="n">
        <v>0</v>
      </c>
      <c r="R5157" s="2" t="inlineStr"/>
    </row>
    <row r="5158" ht="15" customHeight="1">
      <c r="A5158" t="inlineStr">
        <is>
          <t>A 44909-2025</t>
        </is>
      </c>
      <c r="B5158" s="1" t="n">
        <v>45918.53211805555</v>
      </c>
      <c r="C5158" s="1" t="n">
        <v>46075</v>
      </c>
      <c r="D5158" t="inlineStr">
        <is>
          <t>VÄSTERBOTTENS LÄN</t>
        </is>
      </c>
      <c r="E5158" t="inlineStr">
        <is>
          <t>SKELLEFTEÅ</t>
        </is>
      </c>
      <c r="G5158" t="n">
        <v>6.1</v>
      </c>
      <c r="H5158" t="n">
        <v>0</v>
      </c>
      <c r="I5158" t="n">
        <v>0</v>
      </c>
      <c r="J5158" t="n">
        <v>0</v>
      </c>
      <c r="K5158" t="n">
        <v>0</v>
      </c>
      <c r="L5158" t="n">
        <v>0</v>
      </c>
      <c r="M5158" t="n">
        <v>0</v>
      </c>
      <c r="N5158" t="n">
        <v>0</v>
      </c>
      <c r="O5158" t="n">
        <v>0</v>
      </c>
      <c r="P5158" t="n">
        <v>0</v>
      </c>
      <c r="Q5158" t="n">
        <v>0</v>
      </c>
      <c r="R5158" s="2" t="inlineStr"/>
    </row>
    <row r="5159" ht="15" customHeight="1">
      <c r="A5159" t="inlineStr">
        <is>
          <t>A 44910-2025</t>
        </is>
      </c>
      <c r="B5159" s="1" t="n">
        <v>45918.5321412037</v>
      </c>
      <c r="C5159" s="1" t="n">
        <v>46075</v>
      </c>
      <c r="D5159" t="inlineStr">
        <is>
          <t>VÄSTERBOTTENS LÄN</t>
        </is>
      </c>
      <c r="E5159" t="inlineStr">
        <is>
          <t>SKELLEFTEÅ</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35586-2025</t>
        </is>
      </c>
      <c r="B5160" s="1" t="n">
        <v>45857.46918981482</v>
      </c>
      <c r="C5160" s="1" t="n">
        <v>46075</v>
      </c>
      <c r="D5160" t="inlineStr">
        <is>
          <t>VÄSTERBOTTENS LÄN</t>
        </is>
      </c>
      <c r="E5160" t="inlineStr">
        <is>
          <t>VINDELN</t>
        </is>
      </c>
      <c r="F5160" t="inlineStr">
        <is>
          <t>SCA</t>
        </is>
      </c>
      <c r="G5160" t="n">
        <v>6.8</v>
      </c>
      <c r="H5160" t="n">
        <v>0</v>
      </c>
      <c r="I5160" t="n">
        <v>0</v>
      </c>
      <c r="J5160" t="n">
        <v>0</v>
      </c>
      <c r="K5160" t="n">
        <v>0</v>
      </c>
      <c r="L5160" t="n">
        <v>0</v>
      </c>
      <c r="M5160" t="n">
        <v>0</v>
      </c>
      <c r="N5160" t="n">
        <v>0</v>
      </c>
      <c r="O5160" t="n">
        <v>0</v>
      </c>
      <c r="P5160" t="n">
        <v>0</v>
      </c>
      <c r="Q5160" t="n">
        <v>0</v>
      </c>
      <c r="R5160" s="2" t="inlineStr"/>
    </row>
    <row r="5161" ht="15" customHeight="1">
      <c r="A5161" t="inlineStr">
        <is>
          <t>A 64355-2021</t>
        </is>
      </c>
      <c r="B5161" s="1" t="n">
        <v>44511</v>
      </c>
      <c r="C5161" s="1" t="n">
        <v>46075</v>
      </c>
      <c r="D5161" t="inlineStr">
        <is>
          <t>VÄSTERBOTTENS LÄN</t>
        </is>
      </c>
      <c r="E5161" t="inlineStr">
        <is>
          <t>UMEÅ</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45071-2025</t>
        </is>
      </c>
      <c r="B5162" s="1" t="n">
        <v>45919.35438657407</v>
      </c>
      <c r="C5162" s="1" t="n">
        <v>46075</v>
      </c>
      <c r="D5162" t="inlineStr">
        <is>
          <t>VÄSTERBOTTENS LÄN</t>
        </is>
      </c>
      <c r="E5162" t="inlineStr">
        <is>
          <t>VINDELN</t>
        </is>
      </c>
      <c r="G5162" t="n">
        <v>2.6</v>
      </c>
      <c r="H5162" t="n">
        <v>0</v>
      </c>
      <c r="I5162" t="n">
        <v>0</v>
      </c>
      <c r="J5162" t="n">
        <v>0</v>
      </c>
      <c r="K5162" t="n">
        <v>0</v>
      </c>
      <c r="L5162" t="n">
        <v>0</v>
      </c>
      <c r="M5162" t="n">
        <v>0</v>
      </c>
      <c r="N5162" t="n">
        <v>0</v>
      </c>
      <c r="O5162" t="n">
        <v>0</v>
      </c>
      <c r="P5162" t="n">
        <v>0</v>
      </c>
      <c r="Q5162" t="n">
        <v>0</v>
      </c>
      <c r="R5162" s="2" t="inlineStr"/>
    </row>
    <row r="5163" ht="15" customHeight="1">
      <c r="A5163" t="inlineStr">
        <is>
          <t>A 35604-2025</t>
        </is>
      </c>
      <c r="B5163" s="1" t="n">
        <v>45859.32412037037</v>
      </c>
      <c r="C5163" s="1" t="n">
        <v>46075</v>
      </c>
      <c r="D5163" t="inlineStr">
        <is>
          <t>VÄSTERBOTTENS LÄN</t>
        </is>
      </c>
      <c r="E5163" t="inlineStr">
        <is>
          <t>LYCKSELE</t>
        </is>
      </c>
      <c r="G5163" t="n">
        <v>5.2</v>
      </c>
      <c r="H5163" t="n">
        <v>0</v>
      </c>
      <c r="I5163" t="n">
        <v>0</v>
      </c>
      <c r="J5163" t="n">
        <v>0</v>
      </c>
      <c r="K5163" t="n">
        <v>0</v>
      </c>
      <c r="L5163" t="n">
        <v>0</v>
      </c>
      <c r="M5163" t="n">
        <v>0</v>
      </c>
      <c r="N5163" t="n">
        <v>0</v>
      </c>
      <c r="O5163" t="n">
        <v>0</v>
      </c>
      <c r="P5163" t="n">
        <v>0</v>
      </c>
      <c r="Q5163" t="n">
        <v>0</v>
      </c>
      <c r="R5163" s="2" t="inlineStr"/>
    </row>
    <row r="5164" ht="15" customHeight="1">
      <c r="A5164" t="inlineStr">
        <is>
          <t>A 2323-2025</t>
        </is>
      </c>
      <c r="B5164" s="1" t="n">
        <v>45673.62765046296</v>
      </c>
      <c r="C5164" s="1" t="n">
        <v>46075</v>
      </c>
      <c r="D5164" t="inlineStr">
        <is>
          <t>VÄSTERBOTTENS LÄN</t>
        </is>
      </c>
      <c r="E5164" t="inlineStr">
        <is>
          <t>LYCKSELE</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11907-2025</t>
        </is>
      </c>
      <c r="B5165" s="1" t="n">
        <v>45728</v>
      </c>
      <c r="C5165" s="1" t="n">
        <v>46075</v>
      </c>
      <c r="D5165" t="inlineStr">
        <is>
          <t>VÄSTERBOTTENS LÄN</t>
        </is>
      </c>
      <c r="E5165" t="inlineStr">
        <is>
          <t>SKELLEFTEÅ</t>
        </is>
      </c>
      <c r="G5165" t="n">
        <v>4.7</v>
      </c>
      <c r="H5165" t="n">
        <v>0</v>
      </c>
      <c r="I5165" t="n">
        <v>0</v>
      </c>
      <c r="J5165" t="n">
        <v>0</v>
      </c>
      <c r="K5165" t="n">
        <v>0</v>
      </c>
      <c r="L5165" t="n">
        <v>0</v>
      </c>
      <c r="M5165" t="n">
        <v>0</v>
      </c>
      <c r="N5165" t="n">
        <v>0</v>
      </c>
      <c r="O5165" t="n">
        <v>0</v>
      </c>
      <c r="P5165" t="n">
        <v>0</v>
      </c>
      <c r="Q5165" t="n">
        <v>0</v>
      </c>
      <c r="R5165" s="2" t="inlineStr"/>
    </row>
    <row r="5166" ht="15" customHeight="1">
      <c r="A5166" t="inlineStr">
        <is>
          <t>A 35549-2025</t>
        </is>
      </c>
      <c r="B5166" s="1" t="n">
        <v>45856.49295138889</v>
      </c>
      <c r="C5166" s="1" t="n">
        <v>46075</v>
      </c>
      <c r="D5166" t="inlineStr">
        <is>
          <t>VÄSTERBOTTENS LÄN</t>
        </is>
      </c>
      <c r="E5166" t="inlineStr">
        <is>
          <t>ÅSELE</t>
        </is>
      </c>
      <c r="F5166" t="inlineStr">
        <is>
          <t>Naturvårdsverket</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29267-2025</t>
        </is>
      </c>
      <c r="B5167" s="1" t="n">
        <v>45824.40275462963</v>
      </c>
      <c r="C5167" s="1" t="n">
        <v>46075</v>
      </c>
      <c r="D5167" t="inlineStr">
        <is>
          <t>VÄSTERBOTTENS LÄN</t>
        </is>
      </c>
      <c r="E5167" t="inlineStr">
        <is>
          <t>SKELLEFTEÅ</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5744-2023</t>
        </is>
      </c>
      <c r="B5168" s="1" t="n">
        <v>44962.86746527778</v>
      </c>
      <c r="C5168" s="1" t="n">
        <v>46075</v>
      </c>
      <c r="D5168" t="inlineStr">
        <is>
          <t>VÄSTERBOTTENS LÄN</t>
        </is>
      </c>
      <c r="E5168" t="inlineStr">
        <is>
          <t>SKELLEFTEÅ</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35625-2024</t>
        </is>
      </c>
      <c r="B5169" s="1" t="n">
        <v>45531.73709490741</v>
      </c>
      <c r="C5169" s="1" t="n">
        <v>46075</v>
      </c>
      <c r="D5169" t="inlineStr">
        <is>
          <t>VÄSTERBOTTENS LÄN</t>
        </is>
      </c>
      <c r="E5169" t="inlineStr">
        <is>
          <t>UMEÅ</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49667-2024</t>
        </is>
      </c>
      <c r="B5170" s="1" t="n">
        <v>45596.64743055555</v>
      </c>
      <c r="C5170" s="1" t="n">
        <v>46075</v>
      </c>
      <c r="D5170" t="inlineStr">
        <is>
          <t>VÄSTERBOTTENS LÄN</t>
        </is>
      </c>
      <c r="E5170" t="inlineStr">
        <is>
          <t>LYCKSELE</t>
        </is>
      </c>
      <c r="F5170" t="inlineStr">
        <is>
          <t>Sveaskog</t>
        </is>
      </c>
      <c r="G5170" t="n">
        <v>13.9</v>
      </c>
      <c r="H5170" t="n">
        <v>0</v>
      </c>
      <c r="I5170" t="n">
        <v>0</v>
      </c>
      <c r="J5170" t="n">
        <v>0</v>
      </c>
      <c r="K5170" t="n">
        <v>0</v>
      </c>
      <c r="L5170" t="n">
        <v>0</v>
      </c>
      <c r="M5170" t="n">
        <v>0</v>
      </c>
      <c r="N5170" t="n">
        <v>0</v>
      </c>
      <c r="O5170" t="n">
        <v>0</v>
      </c>
      <c r="P5170" t="n">
        <v>0</v>
      </c>
      <c r="Q5170" t="n">
        <v>0</v>
      </c>
      <c r="R5170" s="2" t="inlineStr"/>
    </row>
    <row r="5171" ht="15" customHeight="1">
      <c r="A5171" t="inlineStr">
        <is>
          <t>A 51874-2022</t>
        </is>
      </c>
      <c r="B5171" s="1" t="n">
        <v>44872.59645833333</v>
      </c>
      <c r="C5171" s="1" t="n">
        <v>46075</v>
      </c>
      <c r="D5171" t="inlineStr">
        <is>
          <t>VÄSTERBOTTENS LÄN</t>
        </is>
      </c>
      <c r="E5171" t="inlineStr">
        <is>
          <t>SKELLEFTEÅ</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44998-2025</t>
        </is>
      </c>
      <c r="B5172" s="1" t="n">
        <v>45918.65956018519</v>
      </c>
      <c r="C5172" s="1" t="n">
        <v>46075</v>
      </c>
      <c r="D5172" t="inlineStr">
        <is>
          <t>VÄSTERBOTTENS LÄN</t>
        </is>
      </c>
      <c r="E5172" t="inlineStr">
        <is>
          <t>LYCKSELE</t>
        </is>
      </c>
      <c r="F5172" t="inlineStr">
        <is>
          <t>Holmen skog AB</t>
        </is>
      </c>
      <c r="G5172" t="n">
        <v>14.4</v>
      </c>
      <c r="H5172" t="n">
        <v>0</v>
      </c>
      <c r="I5172" t="n">
        <v>0</v>
      </c>
      <c r="J5172" t="n">
        <v>0</v>
      </c>
      <c r="K5172" t="n">
        <v>0</v>
      </c>
      <c r="L5172" t="n">
        <v>0</v>
      </c>
      <c r="M5172" t="n">
        <v>0</v>
      </c>
      <c r="N5172" t="n">
        <v>0</v>
      </c>
      <c r="O5172" t="n">
        <v>0</v>
      </c>
      <c r="P5172" t="n">
        <v>0</v>
      </c>
      <c r="Q5172" t="n">
        <v>0</v>
      </c>
      <c r="R5172" s="2" t="inlineStr"/>
    </row>
    <row r="5173" ht="15" customHeight="1">
      <c r="A5173" t="inlineStr">
        <is>
          <t>A 35514-2025</t>
        </is>
      </c>
      <c r="B5173" s="1" t="n">
        <v>45856.3653125</v>
      </c>
      <c r="C5173" s="1" t="n">
        <v>46075</v>
      </c>
      <c r="D5173" t="inlineStr">
        <is>
          <t>VÄSTERBOTTENS LÄN</t>
        </is>
      </c>
      <c r="E5173" t="inlineStr">
        <is>
          <t>STORUMAN</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25690-2025</t>
        </is>
      </c>
      <c r="B5174" s="1" t="n">
        <v>45803.66153935185</v>
      </c>
      <c r="C5174" s="1" t="n">
        <v>46075</v>
      </c>
      <c r="D5174" t="inlineStr">
        <is>
          <t>VÄSTERBOTTENS LÄN</t>
        </is>
      </c>
      <c r="E5174" t="inlineStr">
        <is>
          <t>UMEÅ</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45008-2025</t>
        </is>
      </c>
      <c r="B5175" s="1" t="n">
        <v>45918.66846064815</v>
      </c>
      <c r="C5175" s="1" t="n">
        <v>46075</v>
      </c>
      <c r="D5175" t="inlineStr">
        <is>
          <t>VÄSTERBOTTENS LÄN</t>
        </is>
      </c>
      <c r="E5175" t="inlineStr">
        <is>
          <t>SORSELE</t>
        </is>
      </c>
      <c r="F5175" t="inlineStr">
        <is>
          <t>Sveaskog</t>
        </is>
      </c>
      <c r="G5175" t="n">
        <v>4.8</v>
      </c>
      <c r="H5175" t="n">
        <v>0</v>
      </c>
      <c r="I5175" t="n">
        <v>0</v>
      </c>
      <c r="J5175" t="n">
        <v>0</v>
      </c>
      <c r="K5175" t="n">
        <v>0</v>
      </c>
      <c r="L5175" t="n">
        <v>0</v>
      </c>
      <c r="M5175" t="n">
        <v>0</v>
      </c>
      <c r="N5175" t="n">
        <v>0</v>
      </c>
      <c r="O5175" t="n">
        <v>0</v>
      </c>
      <c r="P5175" t="n">
        <v>0</v>
      </c>
      <c r="Q5175" t="n">
        <v>0</v>
      </c>
      <c r="R5175" s="2" t="inlineStr"/>
    </row>
    <row r="5176" ht="15" customHeight="1">
      <c r="A5176" t="inlineStr">
        <is>
          <t>A 35598-2025</t>
        </is>
      </c>
      <c r="B5176" s="1" t="n">
        <v>45858.7578125</v>
      </c>
      <c r="C5176" s="1" t="n">
        <v>46075</v>
      </c>
      <c r="D5176" t="inlineStr">
        <is>
          <t>VÄSTERBOTTENS LÄN</t>
        </is>
      </c>
      <c r="E5176" t="inlineStr">
        <is>
          <t>NORSJÖ</t>
        </is>
      </c>
      <c r="G5176" t="n">
        <v>4.9</v>
      </c>
      <c r="H5176" t="n">
        <v>0</v>
      </c>
      <c r="I5176" t="n">
        <v>0</v>
      </c>
      <c r="J5176" t="n">
        <v>0</v>
      </c>
      <c r="K5176" t="n">
        <v>0</v>
      </c>
      <c r="L5176" t="n">
        <v>0</v>
      </c>
      <c r="M5176" t="n">
        <v>0</v>
      </c>
      <c r="N5176" t="n">
        <v>0</v>
      </c>
      <c r="O5176" t="n">
        <v>0</v>
      </c>
      <c r="P5176" t="n">
        <v>0</v>
      </c>
      <c r="Q5176" t="n">
        <v>0</v>
      </c>
      <c r="R5176" s="2" t="inlineStr"/>
    </row>
    <row r="5177" ht="15" customHeight="1">
      <c r="A5177" t="inlineStr">
        <is>
          <t>A 45257-2025</t>
        </is>
      </c>
      <c r="B5177" s="1" t="n">
        <v>45919.62422453704</v>
      </c>
      <c r="C5177" s="1" t="n">
        <v>46075</v>
      </c>
      <c r="D5177" t="inlineStr">
        <is>
          <t>VÄSTERBOTTENS LÄN</t>
        </is>
      </c>
      <c r="E5177" t="inlineStr">
        <is>
          <t>ÅSELE</t>
        </is>
      </c>
      <c r="F5177" t="inlineStr">
        <is>
          <t>Holmen skog AB</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20653-2021</t>
        </is>
      </c>
      <c r="B5178" s="1" t="n">
        <v>44316.41677083333</v>
      </c>
      <c r="C5178" s="1" t="n">
        <v>46075</v>
      </c>
      <c r="D5178" t="inlineStr">
        <is>
          <t>VÄSTERBOTTENS LÄN</t>
        </is>
      </c>
      <c r="E5178" t="inlineStr">
        <is>
          <t>VILHELMINA</t>
        </is>
      </c>
      <c r="F5178" t="inlineStr">
        <is>
          <t>Kommuner</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44774-2025</t>
        </is>
      </c>
      <c r="B5179" s="1" t="n">
        <v>45917.83175925926</v>
      </c>
      <c r="C5179" s="1" t="n">
        <v>46075</v>
      </c>
      <c r="D5179" t="inlineStr">
        <is>
          <t>VÄSTERBOTTENS LÄN</t>
        </is>
      </c>
      <c r="E5179" t="inlineStr">
        <is>
          <t>NORDMALING</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13200-2025</t>
        </is>
      </c>
      <c r="B5180" s="1" t="n">
        <v>45735</v>
      </c>
      <c r="C5180" s="1" t="n">
        <v>46075</v>
      </c>
      <c r="D5180" t="inlineStr">
        <is>
          <t>VÄSTERBOTTENS LÄN</t>
        </is>
      </c>
      <c r="E5180" t="inlineStr">
        <is>
          <t>VILHELMINA</t>
        </is>
      </c>
      <c r="F5180" t="inlineStr">
        <is>
          <t>SCA</t>
        </is>
      </c>
      <c r="G5180" t="n">
        <v>5.5</v>
      </c>
      <c r="H5180" t="n">
        <v>0</v>
      </c>
      <c r="I5180" t="n">
        <v>0</v>
      </c>
      <c r="J5180" t="n">
        <v>0</v>
      </c>
      <c r="K5180" t="n">
        <v>0</v>
      </c>
      <c r="L5180" t="n">
        <v>0</v>
      </c>
      <c r="M5180" t="n">
        <v>0</v>
      </c>
      <c r="N5180" t="n">
        <v>0</v>
      </c>
      <c r="O5180" t="n">
        <v>0</v>
      </c>
      <c r="P5180" t="n">
        <v>0</v>
      </c>
      <c r="Q5180" t="n">
        <v>0</v>
      </c>
      <c r="R5180" s="2" t="inlineStr"/>
    </row>
    <row r="5181" ht="15" customHeight="1">
      <c r="A5181" t="inlineStr">
        <is>
          <t>A 44965-2025</t>
        </is>
      </c>
      <c r="B5181" s="1" t="n">
        <v>45918.62368055555</v>
      </c>
      <c r="C5181" s="1" t="n">
        <v>46075</v>
      </c>
      <c r="D5181" t="inlineStr">
        <is>
          <t>VÄSTERBOTTENS LÄN</t>
        </is>
      </c>
      <c r="E5181" t="inlineStr">
        <is>
          <t>ROBERTSFORS</t>
        </is>
      </c>
      <c r="F5181" t="inlineStr">
        <is>
          <t>Holmen skog AB</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35565-2025</t>
        </is>
      </c>
      <c r="B5182" s="1" t="n">
        <v>45856.55130787037</v>
      </c>
      <c r="C5182" s="1" t="n">
        <v>46075</v>
      </c>
      <c r="D5182" t="inlineStr">
        <is>
          <t>VÄSTERBOTTENS LÄN</t>
        </is>
      </c>
      <c r="E5182" t="inlineStr">
        <is>
          <t>ROBERTSFORS</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19870-2024</t>
        </is>
      </c>
      <c r="B5183" s="1" t="n">
        <v>45433.45328703704</v>
      </c>
      <c r="C5183" s="1" t="n">
        <v>46075</v>
      </c>
      <c r="D5183" t="inlineStr">
        <is>
          <t>VÄSTERBOTTENS LÄN</t>
        </is>
      </c>
      <c r="E5183" t="inlineStr">
        <is>
          <t>NORSJÖ</t>
        </is>
      </c>
      <c r="F5183" t="inlineStr">
        <is>
          <t>Holmen skog AB</t>
        </is>
      </c>
      <c r="G5183" t="n">
        <v>4</v>
      </c>
      <c r="H5183" t="n">
        <v>0</v>
      </c>
      <c r="I5183" t="n">
        <v>0</v>
      </c>
      <c r="J5183" t="n">
        <v>0</v>
      </c>
      <c r="K5183" t="n">
        <v>0</v>
      </c>
      <c r="L5183" t="n">
        <v>0</v>
      </c>
      <c r="M5183" t="n">
        <v>0</v>
      </c>
      <c r="N5183" t="n">
        <v>0</v>
      </c>
      <c r="O5183" t="n">
        <v>0</v>
      </c>
      <c r="P5183" t="n">
        <v>0</v>
      </c>
      <c r="Q5183" t="n">
        <v>0</v>
      </c>
      <c r="R5183" s="2" t="inlineStr"/>
    </row>
    <row r="5184" ht="15" customHeight="1">
      <c r="A5184" t="inlineStr">
        <is>
          <t>A 41025-2023</t>
        </is>
      </c>
      <c r="B5184" s="1" t="n">
        <v>45173</v>
      </c>
      <c r="C5184" s="1" t="n">
        <v>46075</v>
      </c>
      <c r="D5184" t="inlineStr">
        <is>
          <t>VÄSTERBOTTENS LÄN</t>
        </is>
      </c>
      <c r="E5184" t="inlineStr">
        <is>
          <t>NORDMALING</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44970-2025</t>
        </is>
      </c>
      <c r="B5185" s="1" t="n">
        <v>45918.63601851852</v>
      </c>
      <c r="C5185" s="1" t="n">
        <v>46075</v>
      </c>
      <c r="D5185" t="inlineStr">
        <is>
          <t>VÄSTERBOTTENS LÄN</t>
        </is>
      </c>
      <c r="E5185" t="inlineStr">
        <is>
          <t>STORUMAN</t>
        </is>
      </c>
      <c r="F5185" t="inlineStr">
        <is>
          <t>SCA</t>
        </is>
      </c>
      <c r="G5185" t="n">
        <v>5.9</v>
      </c>
      <c r="H5185" t="n">
        <v>0</v>
      </c>
      <c r="I5185" t="n">
        <v>0</v>
      </c>
      <c r="J5185" t="n">
        <v>0</v>
      </c>
      <c r="K5185" t="n">
        <v>0</v>
      </c>
      <c r="L5185" t="n">
        <v>0</v>
      </c>
      <c r="M5185" t="n">
        <v>0</v>
      </c>
      <c r="N5185" t="n">
        <v>0</v>
      </c>
      <c r="O5185" t="n">
        <v>0</v>
      </c>
      <c r="P5185" t="n">
        <v>0</v>
      </c>
      <c r="Q5185" t="n">
        <v>0</v>
      </c>
      <c r="R5185" s="2" t="inlineStr"/>
    </row>
    <row r="5186" ht="15" customHeight="1">
      <c r="A5186" t="inlineStr">
        <is>
          <t>A 44992-2025</t>
        </is>
      </c>
      <c r="B5186" s="1" t="n">
        <v>45918.65660879629</v>
      </c>
      <c r="C5186" s="1" t="n">
        <v>46075</v>
      </c>
      <c r="D5186" t="inlineStr">
        <is>
          <t>VÄSTERBOTTENS LÄN</t>
        </is>
      </c>
      <c r="E5186" t="inlineStr">
        <is>
          <t>ÅSELE</t>
        </is>
      </c>
      <c r="F5186" t="inlineStr">
        <is>
          <t>SCA</t>
        </is>
      </c>
      <c r="G5186" t="n">
        <v>5.2</v>
      </c>
      <c r="H5186" t="n">
        <v>0</v>
      </c>
      <c r="I5186" t="n">
        <v>0</v>
      </c>
      <c r="J5186" t="n">
        <v>0</v>
      </c>
      <c r="K5186" t="n">
        <v>0</v>
      </c>
      <c r="L5186" t="n">
        <v>0</v>
      </c>
      <c r="M5186" t="n">
        <v>0</v>
      </c>
      <c r="N5186" t="n">
        <v>0</v>
      </c>
      <c r="O5186" t="n">
        <v>0</v>
      </c>
      <c r="P5186" t="n">
        <v>0</v>
      </c>
      <c r="Q5186" t="n">
        <v>0</v>
      </c>
      <c r="R5186" s="2" t="inlineStr"/>
    </row>
    <row r="5187" ht="15" customHeight="1">
      <c r="A5187" t="inlineStr">
        <is>
          <t>A 48611-2023</t>
        </is>
      </c>
      <c r="B5187" s="1" t="n">
        <v>45202</v>
      </c>
      <c r="C5187" s="1" t="n">
        <v>46075</v>
      </c>
      <c r="D5187" t="inlineStr">
        <is>
          <t>VÄSTERBOTTENS LÄN</t>
        </is>
      </c>
      <c r="E5187" t="inlineStr">
        <is>
          <t>NORSJÖ</t>
        </is>
      </c>
      <c r="G5187" t="n">
        <v>4.1</v>
      </c>
      <c r="H5187" t="n">
        <v>0</v>
      </c>
      <c r="I5187" t="n">
        <v>0</v>
      </c>
      <c r="J5187" t="n">
        <v>0</v>
      </c>
      <c r="K5187" t="n">
        <v>0</v>
      </c>
      <c r="L5187" t="n">
        <v>0</v>
      </c>
      <c r="M5187" t="n">
        <v>0</v>
      </c>
      <c r="N5187" t="n">
        <v>0</v>
      </c>
      <c r="O5187" t="n">
        <v>0</v>
      </c>
      <c r="P5187" t="n">
        <v>0</v>
      </c>
      <c r="Q5187" t="n">
        <v>0</v>
      </c>
      <c r="R5187" s="2" t="inlineStr"/>
    </row>
    <row r="5188" ht="15" customHeight="1">
      <c r="A5188" t="inlineStr">
        <is>
          <t>A 10818-2025</t>
        </is>
      </c>
      <c r="B5188" s="1" t="n">
        <v>45722</v>
      </c>
      <c r="C5188" s="1" t="n">
        <v>46075</v>
      </c>
      <c r="D5188" t="inlineStr">
        <is>
          <t>VÄSTERBOTTENS LÄN</t>
        </is>
      </c>
      <c r="E5188" t="inlineStr">
        <is>
          <t>SORSELE</t>
        </is>
      </c>
      <c r="G5188" t="n">
        <v>5.5</v>
      </c>
      <c r="H5188" t="n">
        <v>0</v>
      </c>
      <c r="I5188" t="n">
        <v>0</v>
      </c>
      <c r="J5188" t="n">
        <v>0</v>
      </c>
      <c r="K5188" t="n">
        <v>0</v>
      </c>
      <c r="L5188" t="n">
        <v>0</v>
      </c>
      <c r="M5188" t="n">
        <v>0</v>
      </c>
      <c r="N5188" t="n">
        <v>0</v>
      </c>
      <c r="O5188" t="n">
        <v>0</v>
      </c>
      <c r="P5188" t="n">
        <v>0</v>
      </c>
      <c r="Q5188" t="n">
        <v>0</v>
      </c>
      <c r="R5188" s="2" t="inlineStr"/>
    </row>
    <row r="5189" ht="15" customHeight="1">
      <c r="A5189" t="inlineStr">
        <is>
          <t>A 45092-2025</t>
        </is>
      </c>
      <c r="B5189" s="1" t="n">
        <v>45919.38167824074</v>
      </c>
      <c r="C5189" s="1" t="n">
        <v>46075</v>
      </c>
      <c r="D5189" t="inlineStr">
        <is>
          <t>VÄSTERBOTTENS LÄN</t>
        </is>
      </c>
      <c r="E5189" t="inlineStr">
        <is>
          <t>LYCKSELE</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35553-2025</t>
        </is>
      </c>
      <c r="B5190" s="1" t="n">
        <v>45856.50510416667</v>
      </c>
      <c r="C5190" s="1" t="n">
        <v>46075</v>
      </c>
      <c r="D5190" t="inlineStr">
        <is>
          <t>VÄSTERBOTTENS LÄN</t>
        </is>
      </c>
      <c r="E5190" t="inlineStr">
        <is>
          <t>ROBERTSFORS</t>
        </is>
      </c>
      <c r="G5190" t="n">
        <v>2.5</v>
      </c>
      <c r="H5190" t="n">
        <v>0</v>
      </c>
      <c r="I5190" t="n">
        <v>0</v>
      </c>
      <c r="J5190" t="n">
        <v>0</v>
      </c>
      <c r="K5190" t="n">
        <v>0</v>
      </c>
      <c r="L5190" t="n">
        <v>0</v>
      </c>
      <c r="M5190" t="n">
        <v>0</v>
      </c>
      <c r="N5190" t="n">
        <v>0</v>
      </c>
      <c r="O5190" t="n">
        <v>0</v>
      </c>
      <c r="P5190" t="n">
        <v>0</v>
      </c>
      <c r="Q5190" t="n">
        <v>0</v>
      </c>
      <c r="R5190" s="2" t="inlineStr"/>
    </row>
    <row r="5191" ht="15" customHeight="1">
      <c r="A5191" t="inlineStr">
        <is>
          <t>A 45394-2025</t>
        </is>
      </c>
      <c r="B5191" s="1" t="n">
        <v>45922.40804398148</v>
      </c>
      <c r="C5191" s="1" t="n">
        <v>46075</v>
      </c>
      <c r="D5191" t="inlineStr">
        <is>
          <t>VÄSTERBOTTENS LÄN</t>
        </is>
      </c>
      <c r="E5191" t="inlineStr">
        <is>
          <t>SKELLEFTEÅ</t>
        </is>
      </c>
      <c r="G5191" t="n">
        <v>9</v>
      </c>
      <c r="H5191" t="n">
        <v>0</v>
      </c>
      <c r="I5191" t="n">
        <v>0</v>
      </c>
      <c r="J5191" t="n">
        <v>0</v>
      </c>
      <c r="K5191" t="n">
        <v>0</v>
      </c>
      <c r="L5191" t="n">
        <v>0</v>
      </c>
      <c r="M5191" t="n">
        <v>0</v>
      </c>
      <c r="N5191" t="n">
        <v>0</v>
      </c>
      <c r="O5191" t="n">
        <v>0</v>
      </c>
      <c r="P5191" t="n">
        <v>0</v>
      </c>
      <c r="Q5191" t="n">
        <v>0</v>
      </c>
      <c r="R5191" s="2" t="inlineStr"/>
    </row>
    <row r="5192" ht="15" customHeight="1">
      <c r="A5192" t="inlineStr">
        <is>
          <t>A 35543-2025</t>
        </is>
      </c>
      <c r="B5192" s="1" t="n">
        <v>45856.47466435185</v>
      </c>
      <c r="C5192" s="1" t="n">
        <v>46075</v>
      </c>
      <c r="D5192" t="inlineStr">
        <is>
          <t>VÄSTERBOTTENS LÄN</t>
        </is>
      </c>
      <c r="E5192" t="inlineStr">
        <is>
          <t>ROBERTSFORS</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35547-2025</t>
        </is>
      </c>
      <c r="B5193" s="1" t="n">
        <v>45856.48679398148</v>
      </c>
      <c r="C5193" s="1" t="n">
        <v>46075</v>
      </c>
      <c r="D5193" t="inlineStr">
        <is>
          <t>VÄSTERBOTTENS LÄN</t>
        </is>
      </c>
      <c r="E5193" t="inlineStr">
        <is>
          <t>ROBERTSFORS</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55269-2024</t>
        </is>
      </c>
      <c r="B5194" s="1" t="n">
        <v>45621.61444444444</v>
      </c>
      <c r="C5194" s="1" t="n">
        <v>46075</v>
      </c>
      <c r="D5194" t="inlineStr">
        <is>
          <t>VÄSTERBOTTENS LÄN</t>
        </is>
      </c>
      <c r="E5194" t="inlineStr">
        <is>
          <t>SKELLEFTEÅ</t>
        </is>
      </c>
      <c r="F5194" t="inlineStr">
        <is>
          <t>Sveaskog</t>
        </is>
      </c>
      <c r="G5194" t="n">
        <v>9.6</v>
      </c>
      <c r="H5194" t="n">
        <v>0</v>
      </c>
      <c r="I5194" t="n">
        <v>0</v>
      </c>
      <c r="J5194" t="n">
        <v>0</v>
      </c>
      <c r="K5194" t="n">
        <v>0</v>
      </c>
      <c r="L5194" t="n">
        <v>0</v>
      </c>
      <c r="M5194" t="n">
        <v>0</v>
      </c>
      <c r="N5194" t="n">
        <v>0</v>
      </c>
      <c r="O5194" t="n">
        <v>0</v>
      </c>
      <c r="P5194" t="n">
        <v>0</v>
      </c>
      <c r="Q5194" t="n">
        <v>0</v>
      </c>
      <c r="R5194" s="2" t="inlineStr"/>
    </row>
    <row r="5195" ht="15" customHeight="1">
      <c r="A5195" t="inlineStr">
        <is>
          <t>A 49011-2023</t>
        </is>
      </c>
      <c r="B5195" s="1" t="n">
        <v>45204</v>
      </c>
      <c r="C5195" s="1" t="n">
        <v>46075</v>
      </c>
      <c r="D5195" t="inlineStr">
        <is>
          <t>VÄSTERBOTTENS LÄN</t>
        </is>
      </c>
      <c r="E5195" t="inlineStr">
        <is>
          <t>MALÅ</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49013-2023</t>
        </is>
      </c>
      <c r="B5196" s="1" t="n">
        <v>45204</v>
      </c>
      <c r="C5196" s="1" t="n">
        <v>46075</v>
      </c>
      <c r="D5196" t="inlineStr">
        <is>
          <t>VÄSTERBOTTENS LÄN</t>
        </is>
      </c>
      <c r="E5196" t="inlineStr">
        <is>
          <t>MALÅ</t>
        </is>
      </c>
      <c r="G5196" t="n">
        <v>2.9</v>
      </c>
      <c r="H5196" t="n">
        <v>0</v>
      </c>
      <c r="I5196" t="n">
        <v>0</v>
      </c>
      <c r="J5196" t="n">
        <v>0</v>
      </c>
      <c r="K5196" t="n">
        <v>0</v>
      </c>
      <c r="L5196" t="n">
        <v>0</v>
      </c>
      <c r="M5196" t="n">
        <v>0</v>
      </c>
      <c r="N5196" t="n">
        <v>0</v>
      </c>
      <c r="O5196" t="n">
        <v>0</v>
      </c>
      <c r="P5196" t="n">
        <v>0</v>
      </c>
      <c r="Q5196" t="n">
        <v>0</v>
      </c>
      <c r="R5196" s="2" t="inlineStr"/>
    </row>
    <row r="5197" ht="15" customHeight="1">
      <c r="A5197" t="inlineStr">
        <is>
          <t>A 35556-2025</t>
        </is>
      </c>
      <c r="B5197" s="1" t="n">
        <v>45856.52092592593</v>
      </c>
      <c r="C5197" s="1" t="n">
        <v>46075</v>
      </c>
      <c r="D5197" t="inlineStr">
        <is>
          <t>VÄSTERBOTTENS LÄN</t>
        </is>
      </c>
      <c r="E5197" t="inlineStr">
        <is>
          <t>ÅSELE</t>
        </is>
      </c>
      <c r="F5197" t="inlineStr">
        <is>
          <t>Naturvårdsverket</t>
        </is>
      </c>
      <c r="G5197" t="n">
        <v>8.9</v>
      </c>
      <c r="H5197" t="n">
        <v>0</v>
      </c>
      <c r="I5197" t="n">
        <v>0</v>
      </c>
      <c r="J5197" t="n">
        <v>0</v>
      </c>
      <c r="K5197" t="n">
        <v>0</v>
      </c>
      <c r="L5197" t="n">
        <v>0</v>
      </c>
      <c r="M5197" t="n">
        <v>0</v>
      </c>
      <c r="N5197" t="n">
        <v>0</v>
      </c>
      <c r="O5197" t="n">
        <v>0</v>
      </c>
      <c r="P5197" t="n">
        <v>0</v>
      </c>
      <c r="Q5197" t="n">
        <v>0</v>
      </c>
      <c r="R5197" s="2" t="inlineStr"/>
    </row>
    <row r="5198" ht="15" customHeight="1">
      <c r="A5198" t="inlineStr">
        <is>
          <t>A 35562-2025</t>
        </is>
      </c>
      <c r="B5198" s="1" t="n">
        <v>45856.54179398148</v>
      </c>
      <c r="C5198" s="1" t="n">
        <v>46075</v>
      </c>
      <c r="D5198" t="inlineStr">
        <is>
          <t>VÄSTERBOTTENS LÄN</t>
        </is>
      </c>
      <c r="E5198" t="inlineStr">
        <is>
          <t>ROBERTSFORS</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35566-2025</t>
        </is>
      </c>
      <c r="B5199" s="1" t="n">
        <v>45856.55252314815</v>
      </c>
      <c r="C5199" s="1" t="n">
        <v>46075</v>
      </c>
      <c r="D5199" t="inlineStr">
        <is>
          <t>VÄSTERBOTTENS LÄN</t>
        </is>
      </c>
      <c r="E5199" t="inlineStr">
        <is>
          <t>LYCKSELE</t>
        </is>
      </c>
      <c r="F5199" t="inlineStr">
        <is>
          <t>SCA</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22782-2025</t>
        </is>
      </c>
      <c r="B5200" s="1" t="n">
        <v>45789.63767361111</v>
      </c>
      <c r="C5200" s="1" t="n">
        <v>46075</v>
      </c>
      <c r="D5200" t="inlineStr">
        <is>
          <t>VÄSTERBOTTENS LÄN</t>
        </is>
      </c>
      <c r="E5200" t="inlineStr">
        <is>
          <t>ROBERTSFORS</t>
        </is>
      </c>
      <c r="G5200" t="n">
        <v>2.5</v>
      </c>
      <c r="H5200" t="n">
        <v>0</v>
      </c>
      <c r="I5200" t="n">
        <v>0</v>
      </c>
      <c r="J5200" t="n">
        <v>0</v>
      </c>
      <c r="K5200" t="n">
        <v>0</v>
      </c>
      <c r="L5200" t="n">
        <v>0</v>
      </c>
      <c r="M5200" t="n">
        <v>0</v>
      </c>
      <c r="N5200" t="n">
        <v>0</v>
      </c>
      <c r="O5200" t="n">
        <v>0</v>
      </c>
      <c r="P5200" t="n">
        <v>0</v>
      </c>
      <c r="Q5200" t="n">
        <v>0</v>
      </c>
      <c r="R5200" s="2" t="inlineStr"/>
    </row>
    <row r="5201" ht="15" customHeight="1">
      <c r="A5201" t="inlineStr">
        <is>
          <t>A 45366-2025</t>
        </is>
      </c>
      <c r="B5201" s="1" t="n">
        <v>45922.38587962963</v>
      </c>
      <c r="C5201" s="1" t="n">
        <v>46075</v>
      </c>
      <c r="D5201" t="inlineStr">
        <is>
          <t>VÄSTERBOTTENS LÄN</t>
        </is>
      </c>
      <c r="E5201" t="inlineStr">
        <is>
          <t>SKELLEFTEÅ</t>
        </is>
      </c>
      <c r="G5201" t="n">
        <v>16.3</v>
      </c>
      <c r="H5201" t="n">
        <v>0</v>
      </c>
      <c r="I5201" t="n">
        <v>0</v>
      </c>
      <c r="J5201" t="n">
        <v>0</v>
      </c>
      <c r="K5201" t="n">
        <v>0</v>
      </c>
      <c r="L5201" t="n">
        <v>0</v>
      </c>
      <c r="M5201" t="n">
        <v>0</v>
      </c>
      <c r="N5201" t="n">
        <v>0</v>
      </c>
      <c r="O5201" t="n">
        <v>0</v>
      </c>
      <c r="P5201" t="n">
        <v>0</v>
      </c>
      <c r="Q5201" t="n">
        <v>0</v>
      </c>
      <c r="R5201" s="2" t="inlineStr"/>
    </row>
    <row r="5202" ht="15" customHeight="1">
      <c r="A5202" t="inlineStr">
        <is>
          <t>A 1058-2023</t>
        </is>
      </c>
      <c r="B5202" s="1" t="n">
        <v>44929</v>
      </c>
      <c r="C5202" s="1" t="n">
        <v>46075</v>
      </c>
      <c r="D5202" t="inlineStr">
        <is>
          <t>VÄSTERBOTTENS LÄN</t>
        </is>
      </c>
      <c r="E5202" t="inlineStr">
        <is>
          <t>VÄNNÄS</t>
        </is>
      </c>
      <c r="G5202" t="n">
        <v>2.2</v>
      </c>
      <c r="H5202" t="n">
        <v>0</v>
      </c>
      <c r="I5202" t="n">
        <v>0</v>
      </c>
      <c r="J5202" t="n">
        <v>0</v>
      </c>
      <c r="K5202" t="n">
        <v>0</v>
      </c>
      <c r="L5202" t="n">
        <v>0</v>
      </c>
      <c r="M5202" t="n">
        <v>0</v>
      </c>
      <c r="N5202" t="n">
        <v>0</v>
      </c>
      <c r="O5202" t="n">
        <v>0</v>
      </c>
      <c r="P5202" t="n">
        <v>0</v>
      </c>
      <c r="Q5202" t="n">
        <v>0</v>
      </c>
      <c r="R5202" s="2" t="inlineStr"/>
    </row>
    <row r="5203" ht="15" customHeight="1">
      <c r="A5203" t="inlineStr">
        <is>
          <t>A 34406-2025</t>
        </is>
      </c>
      <c r="B5203" s="1" t="n">
        <v>45845</v>
      </c>
      <c r="C5203" s="1" t="n">
        <v>46075</v>
      </c>
      <c r="D5203" t="inlineStr">
        <is>
          <t>VÄSTERBOTTENS LÄN</t>
        </is>
      </c>
      <c r="E5203" t="inlineStr">
        <is>
          <t>DOROTEA</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45504-2025</t>
        </is>
      </c>
      <c r="B5204" s="1" t="n">
        <v>45922</v>
      </c>
      <c r="C5204" s="1" t="n">
        <v>46075</v>
      </c>
      <c r="D5204" t="inlineStr">
        <is>
          <t>VÄSTERBOTTENS LÄN</t>
        </is>
      </c>
      <c r="E5204" t="inlineStr">
        <is>
          <t>ÅSELE</t>
        </is>
      </c>
      <c r="G5204" t="n">
        <v>6</v>
      </c>
      <c r="H5204" t="n">
        <v>0</v>
      </c>
      <c r="I5204" t="n">
        <v>0</v>
      </c>
      <c r="J5204" t="n">
        <v>0</v>
      </c>
      <c r="K5204" t="n">
        <v>0</v>
      </c>
      <c r="L5204" t="n">
        <v>0</v>
      </c>
      <c r="M5204" t="n">
        <v>0</v>
      </c>
      <c r="N5204" t="n">
        <v>0</v>
      </c>
      <c r="O5204" t="n">
        <v>0</v>
      </c>
      <c r="P5204" t="n">
        <v>0</v>
      </c>
      <c r="Q5204" t="n">
        <v>0</v>
      </c>
      <c r="R5204" s="2" t="inlineStr"/>
    </row>
    <row r="5205" ht="15" customHeight="1">
      <c r="A5205" t="inlineStr">
        <is>
          <t>A 1076-2023</t>
        </is>
      </c>
      <c r="B5205" s="1" t="n">
        <v>44929</v>
      </c>
      <c r="C5205" s="1" t="n">
        <v>46075</v>
      </c>
      <c r="D5205" t="inlineStr">
        <is>
          <t>VÄSTERBOTTENS LÄN</t>
        </is>
      </c>
      <c r="E5205" t="inlineStr">
        <is>
          <t>SKELLEFTEÅ</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45555-2025</t>
        </is>
      </c>
      <c r="B5206" s="1" t="n">
        <v>45922.64210648148</v>
      </c>
      <c r="C5206" s="1" t="n">
        <v>46075</v>
      </c>
      <c r="D5206" t="inlineStr">
        <is>
          <t>VÄSTERBOTTENS LÄN</t>
        </is>
      </c>
      <c r="E5206" t="inlineStr">
        <is>
          <t>SKELLEFTEÅ</t>
        </is>
      </c>
      <c r="G5206" t="n">
        <v>7</v>
      </c>
      <c r="H5206" t="n">
        <v>0</v>
      </c>
      <c r="I5206" t="n">
        <v>0</v>
      </c>
      <c r="J5206" t="n">
        <v>0</v>
      </c>
      <c r="K5206" t="n">
        <v>0</v>
      </c>
      <c r="L5206" t="n">
        <v>0</v>
      </c>
      <c r="M5206" t="n">
        <v>0</v>
      </c>
      <c r="N5206" t="n">
        <v>0</v>
      </c>
      <c r="O5206" t="n">
        <v>0</v>
      </c>
      <c r="P5206" t="n">
        <v>0</v>
      </c>
      <c r="Q5206" t="n">
        <v>0</v>
      </c>
      <c r="R5206" s="2" t="inlineStr"/>
    </row>
    <row r="5207" ht="15" customHeight="1">
      <c r="A5207" t="inlineStr">
        <is>
          <t>A 35554-2025</t>
        </is>
      </c>
      <c r="B5207" s="1" t="n">
        <v>45856</v>
      </c>
      <c r="C5207" s="1" t="n">
        <v>46075</v>
      </c>
      <c r="D5207" t="inlineStr">
        <is>
          <t>VÄSTERBOTTENS LÄN</t>
        </is>
      </c>
      <c r="E5207" t="inlineStr">
        <is>
          <t>ÅSELE</t>
        </is>
      </c>
      <c r="F5207" t="inlineStr">
        <is>
          <t>Holmen skog AB</t>
        </is>
      </c>
      <c r="G5207" t="n">
        <v>4.7</v>
      </c>
      <c r="H5207" t="n">
        <v>0</v>
      </c>
      <c r="I5207" t="n">
        <v>0</v>
      </c>
      <c r="J5207" t="n">
        <v>0</v>
      </c>
      <c r="K5207" t="n">
        <v>0</v>
      </c>
      <c r="L5207" t="n">
        <v>0</v>
      </c>
      <c r="M5207" t="n">
        <v>0</v>
      </c>
      <c r="N5207" t="n">
        <v>0</v>
      </c>
      <c r="O5207" t="n">
        <v>0</v>
      </c>
      <c r="P5207" t="n">
        <v>0</v>
      </c>
      <c r="Q5207" t="n">
        <v>0</v>
      </c>
      <c r="R5207" s="2" t="inlineStr"/>
    </row>
    <row r="5208" ht="15" customHeight="1">
      <c r="A5208" t="inlineStr">
        <is>
          <t>A 35662-2025</t>
        </is>
      </c>
      <c r="B5208" s="1" t="n">
        <v>45859.61498842593</v>
      </c>
      <c r="C5208" s="1" t="n">
        <v>46075</v>
      </c>
      <c r="D5208" t="inlineStr">
        <is>
          <t>VÄSTERBOTTENS LÄN</t>
        </is>
      </c>
      <c r="E5208" t="inlineStr">
        <is>
          <t>LYCKSELE</t>
        </is>
      </c>
      <c r="F5208" t="inlineStr">
        <is>
          <t>Sveaskog</t>
        </is>
      </c>
      <c r="G5208" t="n">
        <v>20.8</v>
      </c>
      <c r="H5208" t="n">
        <v>0</v>
      </c>
      <c r="I5208" t="n">
        <v>0</v>
      </c>
      <c r="J5208" t="n">
        <v>0</v>
      </c>
      <c r="K5208" t="n">
        <v>0</v>
      </c>
      <c r="L5208" t="n">
        <v>0</v>
      </c>
      <c r="M5208" t="n">
        <v>0</v>
      </c>
      <c r="N5208" t="n">
        <v>0</v>
      </c>
      <c r="O5208" t="n">
        <v>0</v>
      </c>
      <c r="P5208" t="n">
        <v>0</v>
      </c>
      <c r="Q5208" t="n">
        <v>0</v>
      </c>
      <c r="R5208" s="2" t="inlineStr"/>
    </row>
    <row r="5209" ht="15" customHeight="1">
      <c r="A5209" t="inlineStr">
        <is>
          <t>A 59993-2024</t>
        </is>
      </c>
      <c r="B5209" s="1" t="n">
        <v>45642.40476851852</v>
      </c>
      <c r="C5209" s="1" t="n">
        <v>46075</v>
      </c>
      <c r="D5209" t="inlineStr">
        <is>
          <t>VÄSTERBOTTENS LÄN</t>
        </is>
      </c>
      <c r="E5209" t="inlineStr">
        <is>
          <t>SKELLEFTEÅ</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48604-2023</t>
        </is>
      </c>
      <c r="B5210" s="1" t="n">
        <v>45202</v>
      </c>
      <c r="C5210" s="1" t="n">
        <v>46075</v>
      </c>
      <c r="D5210" t="inlineStr">
        <is>
          <t>VÄSTERBOTTENS LÄN</t>
        </is>
      </c>
      <c r="E5210" t="inlineStr">
        <is>
          <t>NORSJÖ</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63319-2023</t>
        </is>
      </c>
      <c r="B5211" s="1" t="n">
        <v>45273</v>
      </c>
      <c r="C5211" s="1" t="n">
        <v>46075</v>
      </c>
      <c r="D5211" t="inlineStr">
        <is>
          <t>VÄSTERBOTTENS LÄN</t>
        </is>
      </c>
      <c r="E5211" t="inlineStr">
        <is>
          <t>NORSJÖ</t>
        </is>
      </c>
      <c r="G5211" t="n">
        <v>8.199999999999999</v>
      </c>
      <c r="H5211" t="n">
        <v>0</v>
      </c>
      <c r="I5211" t="n">
        <v>0</v>
      </c>
      <c r="J5211" t="n">
        <v>0</v>
      </c>
      <c r="K5211" t="n">
        <v>0</v>
      </c>
      <c r="L5211" t="n">
        <v>0</v>
      </c>
      <c r="M5211" t="n">
        <v>0</v>
      </c>
      <c r="N5211" t="n">
        <v>0</v>
      </c>
      <c r="O5211" t="n">
        <v>0</v>
      </c>
      <c r="P5211" t="n">
        <v>0</v>
      </c>
      <c r="Q5211" t="n">
        <v>0</v>
      </c>
      <c r="R5211" s="2" t="inlineStr"/>
    </row>
    <row r="5212" ht="15" customHeight="1">
      <c r="A5212" t="inlineStr">
        <is>
          <t>A 24181-2025</t>
        </is>
      </c>
      <c r="B5212" s="1" t="n">
        <v>45796.78885416667</v>
      </c>
      <c r="C5212" s="1" t="n">
        <v>46075</v>
      </c>
      <c r="D5212" t="inlineStr">
        <is>
          <t>VÄSTERBOTTENS LÄN</t>
        </is>
      </c>
      <c r="E5212" t="inlineStr">
        <is>
          <t>SKELLEFTEÅ</t>
        </is>
      </c>
      <c r="G5212" t="n">
        <v>12.5</v>
      </c>
      <c r="H5212" t="n">
        <v>0</v>
      </c>
      <c r="I5212" t="n">
        <v>0</v>
      </c>
      <c r="J5212" t="n">
        <v>0</v>
      </c>
      <c r="K5212" t="n">
        <v>0</v>
      </c>
      <c r="L5212" t="n">
        <v>0</v>
      </c>
      <c r="M5212" t="n">
        <v>0</v>
      </c>
      <c r="N5212" t="n">
        <v>0</v>
      </c>
      <c r="O5212" t="n">
        <v>0</v>
      </c>
      <c r="P5212" t="n">
        <v>0</v>
      </c>
      <c r="Q5212" t="n">
        <v>0</v>
      </c>
      <c r="R5212" s="2" t="inlineStr"/>
    </row>
    <row r="5213" ht="15" customHeight="1">
      <c r="A5213" t="inlineStr">
        <is>
          <t>A 57224-2023</t>
        </is>
      </c>
      <c r="B5213" s="1" t="n">
        <v>45239</v>
      </c>
      <c r="C5213" s="1" t="n">
        <v>46075</v>
      </c>
      <c r="D5213" t="inlineStr">
        <is>
          <t>VÄSTERBOTTENS LÄN</t>
        </is>
      </c>
      <c r="E5213" t="inlineStr">
        <is>
          <t>LYCKSELE</t>
        </is>
      </c>
      <c r="G5213" t="n">
        <v>3.1</v>
      </c>
      <c r="H5213" t="n">
        <v>0</v>
      </c>
      <c r="I5213" t="n">
        <v>0</v>
      </c>
      <c r="J5213" t="n">
        <v>0</v>
      </c>
      <c r="K5213" t="n">
        <v>0</v>
      </c>
      <c r="L5213" t="n">
        <v>0</v>
      </c>
      <c r="M5213" t="n">
        <v>0</v>
      </c>
      <c r="N5213" t="n">
        <v>0</v>
      </c>
      <c r="O5213" t="n">
        <v>0</v>
      </c>
      <c r="P5213" t="n">
        <v>0</v>
      </c>
      <c r="Q5213" t="n">
        <v>0</v>
      </c>
      <c r="R5213" s="2" t="inlineStr"/>
    </row>
    <row r="5214" ht="15" customHeight="1">
      <c r="A5214" t="inlineStr">
        <is>
          <t>A 45676-2025</t>
        </is>
      </c>
      <c r="B5214" s="1" t="n">
        <v>45923.36495370371</v>
      </c>
      <c r="C5214" s="1" t="n">
        <v>46075</v>
      </c>
      <c r="D5214" t="inlineStr">
        <is>
          <t>VÄSTERBOTTENS LÄN</t>
        </is>
      </c>
      <c r="E5214" t="inlineStr">
        <is>
          <t>NORDMALING</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45364-2025</t>
        </is>
      </c>
      <c r="B5215" s="1" t="n">
        <v>45922.38574074074</v>
      </c>
      <c r="C5215" s="1" t="n">
        <v>46075</v>
      </c>
      <c r="D5215" t="inlineStr">
        <is>
          <t>VÄSTERBOTTENS LÄN</t>
        </is>
      </c>
      <c r="E5215" t="inlineStr">
        <is>
          <t>SKELLEFTEÅ</t>
        </is>
      </c>
      <c r="G5215" t="n">
        <v>3.2</v>
      </c>
      <c r="H5215" t="n">
        <v>0</v>
      </c>
      <c r="I5215" t="n">
        <v>0</v>
      </c>
      <c r="J5215" t="n">
        <v>0</v>
      </c>
      <c r="K5215" t="n">
        <v>0</v>
      </c>
      <c r="L5215" t="n">
        <v>0</v>
      </c>
      <c r="M5215" t="n">
        <v>0</v>
      </c>
      <c r="N5215" t="n">
        <v>0</v>
      </c>
      <c r="O5215" t="n">
        <v>0</v>
      </c>
      <c r="P5215" t="n">
        <v>0</v>
      </c>
      <c r="Q5215" t="n">
        <v>0</v>
      </c>
      <c r="R5215" s="2" t="inlineStr"/>
    </row>
    <row r="5216" ht="15" customHeight="1">
      <c r="A5216" t="inlineStr">
        <is>
          <t>A 45541-2025</t>
        </is>
      </c>
      <c r="B5216" s="1" t="n">
        <v>45922.61495370371</v>
      </c>
      <c r="C5216" s="1" t="n">
        <v>46075</v>
      </c>
      <c r="D5216" t="inlineStr">
        <is>
          <t>VÄSTERBOTTENS LÄN</t>
        </is>
      </c>
      <c r="E5216" t="inlineStr">
        <is>
          <t>NORSJÖ</t>
        </is>
      </c>
      <c r="F5216" t="inlineStr">
        <is>
          <t>Holmen skog AB</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57714-2021</t>
        </is>
      </c>
      <c r="B5217" s="1" t="n">
        <v>44484.48947916667</v>
      </c>
      <c r="C5217" s="1" t="n">
        <v>46075</v>
      </c>
      <c r="D5217" t="inlineStr">
        <is>
          <t>VÄSTERBOTTENS LÄN</t>
        </is>
      </c>
      <c r="E5217" t="inlineStr">
        <is>
          <t>SKELLEFTEÅ</t>
        </is>
      </c>
      <c r="G5217" t="n">
        <v>6</v>
      </c>
      <c r="H5217" t="n">
        <v>0</v>
      </c>
      <c r="I5217" t="n">
        <v>0</v>
      </c>
      <c r="J5217" t="n">
        <v>0</v>
      </c>
      <c r="K5217" t="n">
        <v>0</v>
      </c>
      <c r="L5217" t="n">
        <v>0</v>
      </c>
      <c r="M5217" t="n">
        <v>0</v>
      </c>
      <c r="N5217" t="n">
        <v>0</v>
      </c>
      <c r="O5217" t="n">
        <v>0</v>
      </c>
      <c r="P5217" t="n">
        <v>0</v>
      </c>
      <c r="Q5217" t="n">
        <v>0</v>
      </c>
      <c r="R5217" s="2" t="inlineStr"/>
    </row>
    <row r="5218" ht="15" customHeight="1">
      <c r="A5218" t="inlineStr">
        <is>
          <t>A 3018-2023</t>
        </is>
      </c>
      <c r="B5218" s="1" t="n">
        <v>44945.92484953703</v>
      </c>
      <c r="C5218" s="1" t="n">
        <v>46075</v>
      </c>
      <c r="D5218" t="inlineStr">
        <is>
          <t>VÄSTERBOTTENS LÄN</t>
        </is>
      </c>
      <c r="E5218" t="inlineStr">
        <is>
          <t>ROBERTSFORS</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20997-2024</t>
        </is>
      </c>
      <c r="B5219" s="1" t="n">
        <v>45439.61412037037</v>
      </c>
      <c r="C5219" s="1" t="n">
        <v>46075</v>
      </c>
      <c r="D5219" t="inlineStr">
        <is>
          <t>VÄSTERBOTTENS LÄN</t>
        </is>
      </c>
      <c r="E5219" t="inlineStr">
        <is>
          <t>NORSJÖ</t>
        </is>
      </c>
      <c r="F5219" t="inlineStr">
        <is>
          <t>Holmen skog AB</t>
        </is>
      </c>
      <c r="G5219" t="n">
        <v>6</v>
      </c>
      <c r="H5219" t="n">
        <v>0</v>
      </c>
      <c r="I5219" t="n">
        <v>0</v>
      </c>
      <c r="J5219" t="n">
        <v>0</v>
      </c>
      <c r="K5219" t="n">
        <v>0</v>
      </c>
      <c r="L5219" t="n">
        <v>0</v>
      </c>
      <c r="M5219" t="n">
        <v>0</v>
      </c>
      <c r="N5219" t="n">
        <v>0</v>
      </c>
      <c r="O5219" t="n">
        <v>0</v>
      </c>
      <c r="P5219" t="n">
        <v>0</v>
      </c>
      <c r="Q5219" t="n">
        <v>0</v>
      </c>
      <c r="R5219" s="2" t="inlineStr"/>
    </row>
    <row r="5220" ht="15" customHeight="1">
      <c r="A5220" t="inlineStr">
        <is>
          <t>A 45395-2025</t>
        </is>
      </c>
      <c r="B5220" s="1" t="n">
        <v>45922.40936342593</v>
      </c>
      <c r="C5220" s="1" t="n">
        <v>46075</v>
      </c>
      <c r="D5220" t="inlineStr">
        <is>
          <t>VÄSTERBOTTENS LÄN</t>
        </is>
      </c>
      <c r="E5220" t="inlineStr">
        <is>
          <t>SORSELE</t>
        </is>
      </c>
      <c r="G5220" t="n">
        <v>11.2</v>
      </c>
      <c r="H5220" t="n">
        <v>0</v>
      </c>
      <c r="I5220" t="n">
        <v>0</v>
      </c>
      <c r="J5220" t="n">
        <v>0</v>
      </c>
      <c r="K5220" t="n">
        <v>0</v>
      </c>
      <c r="L5220" t="n">
        <v>0</v>
      </c>
      <c r="M5220" t="n">
        <v>0</v>
      </c>
      <c r="N5220" t="n">
        <v>0</v>
      </c>
      <c r="O5220" t="n">
        <v>0</v>
      </c>
      <c r="P5220" t="n">
        <v>0</v>
      </c>
      <c r="Q5220" t="n">
        <v>0</v>
      </c>
      <c r="R5220" s="2" t="inlineStr"/>
    </row>
    <row r="5221" ht="15" customHeight="1">
      <c r="A5221" t="inlineStr">
        <is>
          <t>A 45399-2025</t>
        </is>
      </c>
      <c r="B5221" s="1" t="n">
        <v>45922.42104166667</v>
      </c>
      <c r="C5221" s="1" t="n">
        <v>46075</v>
      </c>
      <c r="D5221" t="inlineStr">
        <is>
          <t>VÄSTERBOTTENS LÄN</t>
        </is>
      </c>
      <c r="E5221" t="inlineStr">
        <is>
          <t>ÅSELE</t>
        </is>
      </c>
      <c r="F5221" t="inlineStr">
        <is>
          <t>Holmen skog AB</t>
        </is>
      </c>
      <c r="G5221" t="n">
        <v>17.7</v>
      </c>
      <c r="H5221" t="n">
        <v>0</v>
      </c>
      <c r="I5221" t="n">
        <v>0</v>
      </c>
      <c r="J5221" t="n">
        <v>0</v>
      </c>
      <c r="K5221" t="n">
        <v>0</v>
      </c>
      <c r="L5221" t="n">
        <v>0</v>
      </c>
      <c r="M5221" t="n">
        <v>0</v>
      </c>
      <c r="N5221" t="n">
        <v>0</v>
      </c>
      <c r="O5221" t="n">
        <v>0</v>
      </c>
      <c r="P5221" t="n">
        <v>0</v>
      </c>
      <c r="Q5221" t="n">
        <v>0</v>
      </c>
      <c r="R5221" s="2" t="inlineStr"/>
    </row>
    <row r="5222" ht="15" customHeight="1">
      <c r="A5222" t="inlineStr">
        <is>
          <t>A 45409-2025</t>
        </is>
      </c>
      <c r="B5222" s="1" t="n">
        <v>45922.43385416667</v>
      </c>
      <c r="C5222" s="1" t="n">
        <v>46075</v>
      </c>
      <c r="D5222" t="inlineStr">
        <is>
          <t>VÄSTERBOTTENS LÄN</t>
        </is>
      </c>
      <c r="E5222" t="inlineStr">
        <is>
          <t>SKELLEFTEÅ</t>
        </is>
      </c>
      <c r="F5222" t="inlineStr">
        <is>
          <t>Holmen skog AB</t>
        </is>
      </c>
      <c r="G5222" t="n">
        <v>6.7</v>
      </c>
      <c r="H5222" t="n">
        <v>0</v>
      </c>
      <c r="I5222" t="n">
        <v>0</v>
      </c>
      <c r="J5222" t="n">
        <v>0</v>
      </c>
      <c r="K5222" t="n">
        <v>0</v>
      </c>
      <c r="L5222" t="n">
        <v>0</v>
      </c>
      <c r="M5222" t="n">
        <v>0</v>
      </c>
      <c r="N5222" t="n">
        <v>0</v>
      </c>
      <c r="O5222" t="n">
        <v>0</v>
      </c>
      <c r="P5222" t="n">
        <v>0</v>
      </c>
      <c r="Q5222" t="n">
        <v>0</v>
      </c>
      <c r="R5222" s="2" t="inlineStr"/>
    </row>
    <row r="5223" ht="15" customHeight="1">
      <c r="A5223" t="inlineStr">
        <is>
          <t>A 37241-2024</t>
        </is>
      </c>
      <c r="B5223" s="1" t="n">
        <v>45540.34417824074</v>
      </c>
      <c r="C5223" s="1" t="n">
        <v>46075</v>
      </c>
      <c r="D5223" t="inlineStr">
        <is>
          <t>VÄSTERBOTTENS LÄN</t>
        </is>
      </c>
      <c r="E5223" t="inlineStr">
        <is>
          <t>ÅSELE</t>
        </is>
      </c>
      <c r="F5223" t="inlineStr">
        <is>
          <t>SCA</t>
        </is>
      </c>
      <c r="G5223" t="n">
        <v>3</v>
      </c>
      <c r="H5223" t="n">
        <v>0</v>
      </c>
      <c r="I5223" t="n">
        <v>0</v>
      </c>
      <c r="J5223" t="n">
        <v>0</v>
      </c>
      <c r="K5223" t="n">
        <v>0</v>
      </c>
      <c r="L5223" t="n">
        <v>0</v>
      </c>
      <c r="M5223" t="n">
        <v>0</v>
      </c>
      <c r="N5223" t="n">
        <v>0</v>
      </c>
      <c r="O5223" t="n">
        <v>0</v>
      </c>
      <c r="P5223" t="n">
        <v>0</v>
      </c>
      <c r="Q5223" t="n">
        <v>0</v>
      </c>
      <c r="R5223" s="2" t="inlineStr"/>
    </row>
    <row r="5224" ht="15" customHeight="1">
      <c r="A5224" t="inlineStr">
        <is>
          <t>A 37252-2024</t>
        </is>
      </c>
      <c r="B5224" s="1" t="n">
        <v>45540.3612037037</v>
      </c>
      <c r="C5224" s="1" t="n">
        <v>46075</v>
      </c>
      <c r="D5224" t="inlineStr">
        <is>
          <t>VÄSTERBOTTENS LÄN</t>
        </is>
      </c>
      <c r="E5224" t="inlineStr">
        <is>
          <t>NORSJÖ</t>
        </is>
      </c>
      <c r="F5224" t="inlineStr">
        <is>
          <t>Holmen skog AB</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37260-2024</t>
        </is>
      </c>
      <c r="B5225" s="1" t="n">
        <v>45540.37623842592</v>
      </c>
      <c r="C5225" s="1" t="n">
        <v>46075</v>
      </c>
      <c r="D5225" t="inlineStr">
        <is>
          <t>VÄSTERBOTTENS LÄN</t>
        </is>
      </c>
      <c r="E5225" t="inlineStr">
        <is>
          <t>UMEÅ</t>
        </is>
      </c>
      <c r="G5225" t="n">
        <v>2.7</v>
      </c>
      <c r="H5225" t="n">
        <v>0</v>
      </c>
      <c r="I5225" t="n">
        <v>0</v>
      </c>
      <c r="J5225" t="n">
        <v>0</v>
      </c>
      <c r="K5225" t="n">
        <v>0</v>
      </c>
      <c r="L5225" t="n">
        <v>0</v>
      </c>
      <c r="M5225" t="n">
        <v>0</v>
      </c>
      <c r="N5225" t="n">
        <v>0</v>
      </c>
      <c r="O5225" t="n">
        <v>0</v>
      </c>
      <c r="P5225" t="n">
        <v>0</v>
      </c>
      <c r="Q5225" t="n">
        <v>0</v>
      </c>
      <c r="R5225" s="2" t="inlineStr"/>
    </row>
    <row r="5226" ht="15" customHeight="1">
      <c r="A5226" t="inlineStr">
        <is>
          <t>A 45743-2025</t>
        </is>
      </c>
      <c r="B5226" s="1" t="n">
        <v>45923.47471064814</v>
      </c>
      <c r="C5226" s="1" t="n">
        <v>46075</v>
      </c>
      <c r="D5226" t="inlineStr">
        <is>
          <t>VÄSTERBOTTENS LÄN</t>
        </is>
      </c>
      <c r="E5226" t="inlineStr">
        <is>
          <t>ÅSELE</t>
        </is>
      </c>
      <c r="F5226" t="inlineStr">
        <is>
          <t>Sveaskog</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63084-2023</t>
        </is>
      </c>
      <c r="B5227" s="1" t="n">
        <v>45272</v>
      </c>
      <c r="C5227" s="1" t="n">
        <v>46075</v>
      </c>
      <c r="D5227" t="inlineStr">
        <is>
          <t>VÄSTERBOTTENS LÄN</t>
        </is>
      </c>
      <c r="E5227" t="inlineStr">
        <is>
          <t>DOROTEA</t>
        </is>
      </c>
      <c r="G5227" t="n">
        <v>11.4</v>
      </c>
      <c r="H5227" t="n">
        <v>0</v>
      </c>
      <c r="I5227" t="n">
        <v>0</v>
      </c>
      <c r="J5227" t="n">
        <v>0</v>
      </c>
      <c r="K5227" t="n">
        <v>0</v>
      </c>
      <c r="L5227" t="n">
        <v>0</v>
      </c>
      <c r="M5227" t="n">
        <v>0</v>
      </c>
      <c r="N5227" t="n">
        <v>0</v>
      </c>
      <c r="O5227" t="n">
        <v>0</v>
      </c>
      <c r="P5227" t="n">
        <v>0</v>
      </c>
      <c r="Q5227" t="n">
        <v>0</v>
      </c>
      <c r="R5227" s="2" t="inlineStr"/>
    </row>
    <row r="5228" ht="15" customHeight="1">
      <c r="A5228" t="inlineStr">
        <is>
          <t>A 45745-2025</t>
        </is>
      </c>
      <c r="B5228" s="1" t="n">
        <v>45923.4768287037</v>
      </c>
      <c r="C5228" s="1" t="n">
        <v>46075</v>
      </c>
      <c r="D5228" t="inlineStr">
        <is>
          <t>VÄSTERBOTTENS LÄN</t>
        </is>
      </c>
      <c r="E5228" t="inlineStr">
        <is>
          <t>ÅSELE</t>
        </is>
      </c>
      <c r="F5228" t="inlineStr">
        <is>
          <t>Sveaskog</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35723-2025</t>
        </is>
      </c>
      <c r="B5229" s="1" t="n">
        <v>45860.44605324074</v>
      </c>
      <c r="C5229" s="1" t="n">
        <v>46075</v>
      </c>
      <c r="D5229" t="inlineStr">
        <is>
          <t>VÄSTERBOTTENS LÄN</t>
        </is>
      </c>
      <c r="E5229" t="inlineStr">
        <is>
          <t>MALÅ</t>
        </is>
      </c>
      <c r="F5229" t="inlineStr">
        <is>
          <t>Sveaskog</t>
        </is>
      </c>
      <c r="G5229" t="n">
        <v>14.7</v>
      </c>
      <c r="H5229" t="n">
        <v>0</v>
      </c>
      <c r="I5229" t="n">
        <v>0</v>
      </c>
      <c r="J5229" t="n">
        <v>0</v>
      </c>
      <c r="K5229" t="n">
        <v>0</v>
      </c>
      <c r="L5229" t="n">
        <v>0</v>
      </c>
      <c r="M5229" t="n">
        <v>0</v>
      </c>
      <c r="N5229" t="n">
        <v>0</v>
      </c>
      <c r="O5229" t="n">
        <v>0</v>
      </c>
      <c r="P5229" t="n">
        <v>0</v>
      </c>
      <c r="Q5229" t="n">
        <v>0</v>
      </c>
      <c r="R5229" s="2" t="inlineStr"/>
    </row>
    <row r="5230" ht="15" customHeight="1">
      <c r="A5230" t="inlineStr">
        <is>
          <t>A 35726-2025</t>
        </is>
      </c>
      <c r="B5230" s="1" t="n">
        <v>45860.45328703704</v>
      </c>
      <c r="C5230" s="1" t="n">
        <v>46075</v>
      </c>
      <c r="D5230" t="inlineStr">
        <is>
          <t>VÄSTERBOTTENS LÄN</t>
        </is>
      </c>
      <c r="E5230" t="inlineStr">
        <is>
          <t>MALÅ</t>
        </is>
      </c>
      <c r="F5230" t="inlineStr">
        <is>
          <t>Sveaskog</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57979-2021</t>
        </is>
      </c>
      <c r="B5231" s="1" t="n">
        <v>44487</v>
      </c>
      <c r="C5231" s="1" t="n">
        <v>46075</v>
      </c>
      <c r="D5231" t="inlineStr">
        <is>
          <t>VÄSTERBOTTENS LÄN</t>
        </is>
      </c>
      <c r="E5231" t="inlineStr">
        <is>
          <t>ROBERTSFORS</t>
        </is>
      </c>
      <c r="F5231" t="inlineStr">
        <is>
          <t>Holmen skog AB</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35697-2025</t>
        </is>
      </c>
      <c r="B5232" s="1" t="n">
        <v>45860.3481712963</v>
      </c>
      <c r="C5232" s="1" t="n">
        <v>46075</v>
      </c>
      <c r="D5232" t="inlineStr">
        <is>
          <t>VÄSTERBOTTENS LÄN</t>
        </is>
      </c>
      <c r="E5232" t="inlineStr">
        <is>
          <t>SORSELE</t>
        </is>
      </c>
      <c r="F5232" t="inlineStr">
        <is>
          <t>Sveaskog</t>
        </is>
      </c>
      <c r="G5232" t="n">
        <v>8.199999999999999</v>
      </c>
      <c r="H5232" t="n">
        <v>0</v>
      </c>
      <c r="I5232" t="n">
        <v>0</v>
      </c>
      <c r="J5232" t="n">
        <v>0</v>
      </c>
      <c r="K5232" t="n">
        <v>0</v>
      </c>
      <c r="L5232" t="n">
        <v>0</v>
      </c>
      <c r="M5232" t="n">
        <v>0</v>
      </c>
      <c r="N5232" t="n">
        <v>0</v>
      </c>
      <c r="O5232" t="n">
        <v>0</v>
      </c>
      <c r="P5232" t="n">
        <v>0</v>
      </c>
      <c r="Q5232" t="n">
        <v>0</v>
      </c>
      <c r="R5232" s="2" t="inlineStr"/>
    </row>
    <row r="5233" ht="15" customHeight="1">
      <c r="A5233" t="inlineStr">
        <is>
          <t>A 45392-2025</t>
        </is>
      </c>
      <c r="B5233" s="1" t="n">
        <v>45922.40791666666</v>
      </c>
      <c r="C5233" s="1" t="n">
        <v>46075</v>
      </c>
      <c r="D5233" t="inlineStr">
        <is>
          <t>VÄSTERBOTTENS LÄN</t>
        </is>
      </c>
      <c r="E5233" t="inlineStr">
        <is>
          <t>SKELLEFTEÅ</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45398-2025</t>
        </is>
      </c>
      <c r="B5234" s="1" t="n">
        <v>45922.42065972222</v>
      </c>
      <c r="C5234" s="1" t="n">
        <v>46075</v>
      </c>
      <c r="D5234" t="inlineStr">
        <is>
          <t>VÄSTERBOTTENS LÄN</t>
        </is>
      </c>
      <c r="E5234" t="inlineStr">
        <is>
          <t>SKELLEFTEÅ</t>
        </is>
      </c>
      <c r="G5234" t="n">
        <v>12.2</v>
      </c>
      <c r="H5234" t="n">
        <v>0</v>
      </c>
      <c r="I5234" t="n">
        <v>0</v>
      </c>
      <c r="J5234" t="n">
        <v>0</v>
      </c>
      <c r="K5234" t="n">
        <v>0</v>
      </c>
      <c r="L5234" t="n">
        <v>0</v>
      </c>
      <c r="M5234" t="n">
        <v>0</v>
      </c>
      <c r="N5234" t="n">
        <v>0</v>
      </c>
      <c r="O5234" t="n">
        <v>0</v>
      </c>
      <c r="P5234" t="n">
        <v>0</v>
      </c>
      <c r="Q5234" t="n">
        <v>0</v>
      </c>
      <c r="R5234" s="2" t="inlineStr"/>
    </row>
    <row r="5235" ht="15" customHeight="1">
      <c r="A5235" t="inlineStr">
        <is>
          <t>A 45746-2025</t>
        </is>
      </c>
      <c r="B5235" s="1" t="n">
        <v>45923.47857638889</v>
      </c>
      <c r="C5235" s="1" t="n">
        <v>46075</v>
      </c>
      <c r="D5235" t="inlineStr">
        <is>
          <t>VÄSTERBOTTENS LÄN</t>
        </is>
      </c>
      <c r="E5235" t="inlineStr">
        <is>
          <t>ÅSELE</t>
        </is>
      </c>
      <c r="F5235" t="inlineStr">
        <is>
          <t>Sveaskog</t>
        </is>
      </c>
      <c r="G5235" t="n">
        <v>4.1</v>
      </c>
      <c r="H5235" t="n">
        <v>0</v>
      </c>
      <c r="I5235" t="n">
        <v>0</v>
      </c>
      <c r="J5235" t="n">
        <v>0</v>
      </c>
      <c r="K5235" t="n">
        <v>0</v>
      </c>
      <c r="L5235" t="n">
        <v>0</v>
      </c>
      <c r="M5235" t="n">
        <v>0</v>
      </c>
      <c r="N5235" t="n">
        <v>0</v>
      </c>
      <c r="O5235" t="n">
        <v>0</v>
      </c>
      <c r="P5235" t="n">
        <v>0</v>
      </c>
      <c r="Q5235" t="n">
        <v>0</v>
      </c>
      <c r="R5235" s="2" t="inlineStr"/>
    </row>
    <row r="5236" ht="15" customHeight="1">
      <c r="A5236" t="inlineStr">
        <is>
          <t>A 45749-2025</t>
        </is>
      </c>
      <c r="B5236" s="1" t="n">
        <v>45923.48195601852</v>
      </c>
      <c r="C5236" s="1" t="n">
        <v>46075</v>
      </c>
      <c r="D5236" t="inlineStr">
        <is>
          <t>VÄSTERBOTTENS LÄN</t>
        </is>
      </c>
      <c r="E5236" t="inlineStr">
        <is>
          <t>VILHELMINA</t>
        </is>
      </c>
      <c r="F5236" t="inlineStr">
        <is>
          <t>Sveaskog</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35701-2025</t>
        </is>
      </c>
      <c r="B5237" s="1" t="n">
        <v>45860.35930555555</v>
      </c>
      <c r="C5237" s="1" t="n">
        <v>46075</v>
      </c>
      <c r="D5237" t="inlineStr">
        <is>
          <t>VÄSTERBOTTENS LÄN</t>
        </is>
      </c>
      <c r="E5237" t="inlineStr">
        <is>
          <t>SORSELE</t>
        </is>
      </c>
      <c r="F5237" t="inlineStr">
        <is>
          <t>Sveaskog</t>
        </is>
      </c>
      <c r="G5237" t="n">
        <v>12.5</v>
      </c>
      <c r="H5237" t="n">
        <v>0</v>
      </c>
      <c r="I5237" t="n">
        <v>0</v>
      </c>
      <c r="J5237" t="n">
        <v>0</v>
      </c>
      <c r="K5237" t="n">
        <v>0</v>
      </c>
      <c r="L5237" t="n">
        <v>0</v>
      </c>
      <c r="M5237" t="n">
        <v>0</v>
      </c>
      <c r="N5237" t="n">
        <v>0</v>
      </c>
      <c r="O5237" t="n">
        <v>0</v>
      </c>
      <c r="P5237" t="n">
        <v>0</v>
      </c>
      <c r="Q5237" t="n">
        <v>0</v>
      </c>
      <c r="R5237" s="2" t="inlineStr"/>
    </row>
    <row r="5238" ht="15" customHeight="1">
      <c r="A5238" t="inlineStr">
        <is>
          <t>A 45759-2025</t>
        </is>
      </c>
      <c r="B5238" s="1" t="n">
        <v>45923.5107175926</v>
      </c>
      <c r="C5238" s="1" t="n">
        <v>46075</v>
      </c>
      <c r="D5238" t="inlineStr">
        <is>
          <t>VÄSTERBOTTENS LÄN</t>
        </is>
      </c>
      <c r="E5238" t="inlineStr">
        <is>
          <t>UMEÅ</t>
        </is>
      </c>
      <c r="G5238" t="n">
        <v>7.2</v>
      </c>
      <c r="H5238" t="n">
        <v>0</v>
      </c>
      <c r="I5238" t="n">
        <v>0</v>
      </c>
      <c r="J5238" t="n">
        <v>0</v>
      </c>
      <c r="K5238" t="n">
        <v>0</v>
      </c>
      <c r="L5238" t="n">
        <v>0</v>
      </c>
      <c r="M5238" t="n">
        <v>0</v>
      </c>
      <c r="N5238" t="n">
        <v>0</v>
      </c>
      <c r="O5238" t="n">
        <v>0</v>
      </c>
      <c r="P5238" t="n">
        <v>0</v>
      </c>
      <c r="Q5238" t="n">
        <v>0</v>
      </c>
      <c r="R5238" s="2" t="inlineStr"/>
    </row>
    <row r="5239" ht="15" customHeight="1">
      <c r="A5239" t="inlineStr">
        <is>
          <t>A 45760-2025</t>
        </is>
      </c>
      <c r="B5239" s="1" t="n">
        <v>45923.51121527778</v>
      </c>
      <c r="C5239" s="1" t="n">
        <v>46075</v>
      </c>
      <c r="D5239" t="inlineStr">
        <is>
          <t>VÄSTERBOTTENS LÄN</t>
        </is>
      </c>
      <c r="E5239" t="inlineStr">
        <is>
          <t>SKELLEFTEÅ</t>
        </is>
      </c>
      <c r="F5239" t="inlineStr">
        <is>
          <t>Holmen skog AB</t>
        </is>
      </c>
      <c r="G5239" t="n">
        <v>5.5</v>
      </c>
      <c r="H5239" t="n">
        <v>0</v>
      </c>
      <c r="I5239" t="n">
        <v>0</v>
      </c>
      <c r="J5239" t="n">
        <v>0</v>
      </c>
      <c r="K5239" t="n">
        <v>0</v>
      </c>
      <c r="L5239" t="n">
        <v>0</v>
      </c>
      <c r="M5239" t="n">
        <v>0</v>
      </c>
      <c r="N5239" t="n">
        <v>0</v>
      </c>
      <c r="O5239" t="n">
        <v>0</v>
      </c>
      <c r="P5239" t="n">
        <v>0</v>
      </c>
      <c r="Q5239" t="n">
        <v>0</v>
      </c>
      <c r="R5239" s="2" t="inlineStr"/>
    </row>
    <row r="5240" ht="15" customHeight="1">
      <c r="A5240" t="inlineStr">
        <is>
          <t>A 44375-2023</t>
        </is>
      </c>
      <c r="B5240" s="1" t="n">
        <v>45188.9247800926</v>
      </c>
      <c r="C5240" s="1" t="n">
        <v>46075</v>
      </c>
      <c r="D5240" t="inlineStr">
        <is>
          <t>VÄSTERBOTTENS LÄN</t>
        </is>
      </c>
      <c r="E5240" t="inlineStr">
        <is>
          <t>LYCKSELE</t>
        </is>
      </c>
      <c r="G5240" t="n">
        <v>4.2</v>
      </c>
      <c r="H5240" t="n">
        <v>0</v>
      </c>
      <c r="I5240" t="n">
        <v>0</v>
      </c>
      <c r="J5240" t="n">
        <v>0</v>
      </c>
      <c r="K5240" t="n">
        <v>0</v>
      </c>
      <c r="L5240" t="n">
        <v>0</v>
      </c>
      <c r="M5240" t="n">
        <v>0</v>
      </c>
      <c r="N5240" t="n">
        <v>0</v>
      </c>
      <c r="O5240" t="n">
        <v>0</v>
      </c>
      <c r="P5240" t="n">
        <v>0</v>
      </c>
      <c r="Q5240" t="n">
        <v>0</v>
      </c>
      <c r="R5240" s="2" t="inlineStr"/>
    </row>
    <row r="5241" ht="15" customHeight="1">
      <c r="A5241" t="inlineStr">
        <is>
          <t>A 48423-2023</t>
        </is>
      </c>
      <c r="B5241" s="1" t="n">
        <v>45205</v>
      </c>
      <c r="C5241" s="1" t="n">
        <v>46075</v>
      </c>
      <c r="D5241" t="inlineStr">
        <is>
          <t>VÄSTERBOTTENS LÄN</t>
        </is>
      </c>
      <c r="E5241" t="inlineStr">
        <is>
          <t>VILHELMINA</t>
        </is>
      </c>
      <c r="F5241" t="inlineStr">
        <is>
          <t>SCA</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45837-2025</t>
        </is>
      </c>
      <c r="B5242" s="1" t="n">
        <v>45923.61178240741</v>
      </c>
      <c r="C5242" s="1" t="n">
        <v>46075</v>
      </c>
      <c r="D5242" t="inlineStr">
        <is>
          <t>VÄSTERBOTTENS LÄN</t>
        </is>
      </c>
      <c r="E5242" t="inlineStr">
        <is>
          <t>LYCKSELE</t>
        </is>
      </c>
      <c r="F5242" t="inlineStr">
        <is>
          <t>Sveaskog</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45413-2025</t>
        </is>
      </c>
      <c r="B5243" s="1" t="n">
        <v>45922</v>
      </c>
      <c r="C5243" s="1" t="n">
        <v>46075</v>
      </c>
      <c r="D5243" t="inlineStr">
        <is>
          <t>VÄSTERBOTTENS LÄN</t>
        </is>
      </c>
      <c r="E5243" t="inlineStr">
        <is>
          <t>SKELLEFTEÅ</t>
        </is>
      </c>
      <c r="G5243" t="n">
        <v>7.7</v>
      </c>
      <c r="H5243" t="n">
        <v>0</v>
      </c>
      <c r="I5243" t="n">
        <v>0</v>
      </c>
      <c r="J5243" t="n">
        <v>0</v>
      </c>
      <c r="K5243" t="n">
        <v>0</v>
      </c>
      <c r="L5243" t="n">
        <v>0</v>
      </c>
      <c r="M5243" t="n">
        <v>0</v>
      </c>
      <c r="N5243" t="n">
        <v>0</v>
      </c>
      <c r="O5243" t="n">
        <v>0</v>
      </c>
      <c r="P5243" t="n">
        <v>0</v>
      </c>
      <c r="Q5243" t="n">
        <v>0</v>
      </c>
      <c r="R5243" s="2" t="inlineStr"/>
    </row>
    <row r="5244" ht="15" customHeight="1">
      <c r="A5244" t="inlineStr">
        <is>
          <t>A 35671-2025</t>
        </is>
      </c>
      <c r="B5244" s="1" t="n">
        <v>45859.62431712963</v>
      </c>
      <c r="C5244" s="1" t="n">
        <v>46075</v>
      </c>
      <c r="D5244" t="inlineStr">
        <is>
          <t>VÄSTERBOTTENS LÄN</t>
        </is>
      </c>
      <c r="E5244" t="inlineStr">
        <is>
          <t>LYCKSELE</t>
        </is>
      </c>
      <c r="F5244" t="inlineStr">
        <is>
          <t>Sveaskog</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30153-2023</t>
        </is>
      </c>
      <c r="B5245" s="1" t="n">
        <v>45110</v>
      </c>
      <c r="C5245" s="1" t="n">
        <v>46075</v>
      </c>
      <c r="D5245" t="inlineStr">
        <is>
          <t>VÄSTERBOTTENS LÄN</t>
        </is>
      </c>
      <c r="E5245" t="inlineStr">
        <is>
          <t>SORSELE</t>
        </is>
      </c>
      <c r="F5245" t="inlineStr">
        <is>
          <t>Sveaskog</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35833-2025</t>
        </is>
      </c>
      <c r="B5246" s="1" t="n">
        <v>45861.51261574074</v>
      </c>
      <c r="C5246" s="1" t="n">
        <v>46075</v>
      </c>
      <c r="D5246" t="inlineStr">
        <is>
          <t>VÄSTERBOTTENS LÄN</t>
        </is>
      </c>
      <c r="E5246" t="inlineStr">
        <is>
          <t>LYCKSELE</t>
        </is>
      </c>
      <c r="F5246" t="inlineStr">
        <is>
          <t>Sveaskog</t>
        </is>
      </c>
      <c r="G5246" t="n">
        <v>7.9</v>
      </c>
      <c r="H5246" t="n">
        <v>0</v>
      </c>
      <c r="I5246" t="n">
        <v>0</v>
      </c>
      <c r="J5246" t="n">
        <v>0</v>
      </c>
      <c r="K5246" t="n">
        <v>0</v>
      </c>
      <c r="L5246" t="n">
        <v>0</v>
      </c>
      <c r="M5246" t="n">
        <v>0</v>
      </c>
      <c r="N5246" t="n">
        <v>0</v>
      </c>
      <c r="O5246" t="n">
        <v>0</v>
      </c>
      <c r="P5246" t="n">
        <v>0</v>
      </c>
      <c r="Q5246" t="n">
        <v>0</v>
      </c>
      <c r="R5246" s="2" t="inlineStr"/>
    </row>
    <row r="5247" ht="15" customHeight="1">
      <c r="A5247" t="inlineStr">
        <is>
          <t>A 5495-2024</t>
        </is>
      </c>
      <c r="B5247" s="1" t="n">
        <v>45331</v>
      </c>
      <c r="C5247" s="1" t="n">
        <v>46075</v>
      </c>
      <c r="D5247" t="inlineStr">
        <is>
          <t>VÄSTERBOTTENS LÄN</t>
        </is>
      </c>
      <c r="E5247" t="inlineStr">
        <is>
          <t>DOROTEA</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35842-2025</t>
        </is>
      </c>
      <c r="B5248" s="1" t="n">
        <v>45861.55259259259</v>
      </c>
      <c r="C5248" s="1" t="n">
        <v>46075</v>
      </c>
      <c r="D5248" t="inlineStr">
        <is>
          <t>VÄSTERBOTTENS LÄN</t>
        </is>
      </c>
      <c r="E5248" t="inlineStr">
        <is>
          <t>VINDELN</t>
        </is>
      </c>
      <c r="F5248" t="inlineStr">
        <is>
          <t>SCA</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45876-2025</t>
        </is>
      </c>
      <c r="B5249" s="1" t="n">
        <v>45923.65701388889</v>
      </c>
      <c r="C5249" s="1" t="n">
        <v>46075</v>
      </c>
      <c r="D5249" t="inlineStr">
        <is>
          <t>VÄSTERBOTTENS LÄN</t>
        </is>
      </c>
      <c r="E5249" t="inlineStr">
        <is>
          <t>UMEÅ</t>
        </is>
      </c>
      <c r="G5249" t="n">
        <v>12.7</v>
      </c>
      <c r="H5249" t="n">
        <v>0</v>
      </c>
      <c r="I5249" t="n">
        <v>0</v>
      </c>
      <c r="J5249" t="n">
        <v>0</v>
      </c>
      <c r="K5249" t="n">
        <v>0</v>
      </c>
      <c r="L5249" t="n">
        <v>0</v>
      </c>
      <c r="M5249" t="n">
        <v>0</v>
      </c>
      <c r="N5249" t="n">
        <v>0</v>
      </c>
      <c r="O5249" t="n">
        <v>0</v>
      </c>
      <c r="P5249" t="n">
        <v>0</v>
      </c>
      <c r="Q5249" t="n">
        <v>0</v>
      </c>
      <c r="R5249" s="2" t="inlineStr"/>
    </row>
    <row r="5250" ht="15" customHeight="1">
      <c r="A5250" t="inlineStr">
        <is>
          <t>A 35844-2025</t>
        </is>
      </c>
      <c r="B5250" s="1" t="n">
        <v>45861.55707175926</v>
      </c>
      <c r="C5250" s="1" t="n">
        <v>46075</v>
      </c>
      <c r="D5250" t="inlineStr">
        <is>
          <t>VÄSTERBOTTENS LÄN</t>
        </is>
      </c>
      <c r="E5250" t="inlineStr">
        <is>
          <t>MALÅ</t>
        </is>
      </c>
      <c r="F5250" t="inlineStr">
        <is>
          <t>Sveaskog</t>
        </is>
      </c>
      <c r="G5250" t="n">
        <v>8.4</v>
      </c>
      <c r="H5250" t="n">
        <v>0</v>
      </c>
      <c r="I5250" t="n">
        <v>0</v>
      </c>
      <c r="J5250" t="n">
        <v>0</v>
      </c>
      <c r="K5250" t="n">
        <v>0</v>
      </c>
      <c r="L5250" t="n">
        <v>0</v>
      </c>
      <c r="M5250" t="n">
        <v>0</v>
      </c>
      <c r="N5250" t="n">
        <v>0</v>
      </c>
      <c r="O5250" t="n">
        <v>0</v>
      </c>
      <c r="P5250" t="n">
        <v>0</v>
      </c>
      <c r="Q5250" t="n">
        <v>0</v>
      </c>
      <c r="R5250" s="2" t="inlineStr"/>
    </row>
    <row r="5251" ht="15" customHeight="1">
      <c r="A5251" t="inlineStr">
        <is>
          <t>A 35845-2025</t>
        </is>
      </c>
      <c r="B5251" s="1" t="n">
        <v>45861.56920138889</v>
      </c>
      <c r="C5251" s="1" t="n">
        <v>46075</v>
      </c>
      <c r="D5251" t="inlineStr">
        <is>
          <t>VÄSTERBOTTENS LÄN</t>
        </is>
      </c>
      <c r="E5251" t="inlineStr">
        <is>
          <t>MALÅ</t>
        </is>
      </c>
      <c r="F5251" t="inlineStr">
        <is>
          <t>Sveaskog</t>
        </is>
      </c>
      <c r="G5251" t="n">
        <v>10.9</v>
      </c>
      <c r="H5251" t="n">
        <v>0</v>
      </c>
      <c r="I5251" t="n">
        <v>0</v>
      </c>
      <c r="J5251" t="n">
        <v>0</v>
      </c>
      <c r="K5251" t="n">
        <v>0</v>
      </c>
      <c r="L5251" t="n">
        <v>0</v>
      </c>
      <c r="M5251" t="n">
        <v>0</v>
      </c>
      <c r="N5251" t="n">
        <v>0</v>
      </c>
      <c r="O5251" t="n">
        <v>0</v>
      </c>
      <c r="P5251" t="n">
        <v>0</v>
      </c>
      <c r="Q5251" t="n">
        <v>0</v>
      </c>
      <c r="R5251" s="2" t="inlineStr"/>
    </row>
    <row r="5252" ht="15" customHeight="1">
      <c r="A5252" t="inlineStr">
        <is>
          <t>A 35753-2023</t>
        </is>
      </c>
      <c r="B5252" s="1" t="n">
        <v>45147.95390046296</v>
      </c>
      <c r="C5252" s="1" t="n">
        <v>46075</v>
      </c>
      <c r="D5252" t="inlineStr">
        <is>
          <t>VÄSTERBOTTENS LÄN</t>
        </is>
      </c>
      <c r="E5252" t="inlineStr">
        <is>
          <t>VILHELMINA</t>
        </is>
      </c>
      <c r="F5252" t="inlineStr">
        <is>
          <t>SCA</t>
        </is>
      </c>
      <c r="G5252" t="n">
        <v>2.5</v>
      </c>
      <c r="H5252" t="n">
        <v>0</v>
      </c>
      <c r="I5252" t="n">
        <v>0</v>
      </c>
      <c r="J5252" t="n">
        <v>0</v>
      </c>
      <c r="K5252" t="n">
        <v>0</v>
      </c>
      <c r="L5252" t="n">
        <v>0</v>
      </c>
      <c r="M5252" t="n">
        <v>0</v>
      </c>
      <c r="N5252" t="n">
        <v>0</v>
      </c>
      <c r="O5252" t="n">
        <v>0</v>
      </c>
      <c r="P5252" t="n">
        <v>0</v>
      </c>
      <c r="Q5252" t="n">
        <v>0</v>
      </c>
      <c r="R5252" s="2" t="inlineStr"/>
    </row>
    <row r="5253" ht="15" customHeight="1">
      <c r="A5253" t="inlineStr">
        <is>
          <t>A 45827-2025</t>
        </is>
      </c>
      <c r="B5253" s="1" t="n">
        <v>45923.60094907408</v>
      </c>
      <c r="C5253" s="1" t="n">
        <v>46075</v>
      </c>
      <c r="D5253" t="inlineStr">
        <is>
          <t>VÄSTERBOTTENS LÄN</t>
        </is>
      </c>
      <c r="E5253" t="inlineStr">
        <is>
          <t>SKELLEFTEÅ</t>
        </is>
      </c>
      <c r="F5253" t="inlineStr">
        <is>
          <t>Holmen skog AB</t>
        </is>
      </c>
      <c r="G5253" t="n">
        <v>3.1</v>
      </c>
      <c r="H5253" t="n">
        <v>0</v>
      </c>
      <c r="I5253" t="n">
        <v>0</v>
      </c>
      <c r="J5253" t="n">
        <v>0</v>
      </c>
      <c r="K5253" t="n">
        <v>0</v>
      </c>
      <c r="L5253" t="n">
        <v>0</v>
      </c>
      <c r="M5253" t="n">
        <v>0</v>
      </c>
      <c r="N5253" t="n">
        <v>0</v>
      </c>
      <c r="O5253" t="n">
        <v>0</v>
      </c>
      <c r="P5253" t="n">
        <v>0</v>
      </c>
      <c r="Q5253" t="n">
        <v>0</v>
      </c>
      <c r="R5253" s="2" t="inlineStr"/>
    </row>
    <row r="5254" ht="15" customHeight="1">
      <c r="A5254" t="inlineStr">
        <is>
          <t>A 35752-2025</t>
        </is>
      </c>
      <c r="B5254" s="1" t="n">
        <v>45860.57265046296</v>
      </c>
      <c r="C5254" s="1" t="n">
        <v>46075</v>
      </c>
      <c r="D5254" t="inlineStr">
        <is>
          <t>VÄSTERBOTTENS LÄN</t>
        </is>
      </c>
      <c r="E5254" t="inlineStr">
        <is>
          <t>STORUMAN</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35772-2025</t>
        </is>
      </c>
      <c r="B5255" s="1" t="n">
        <v>45860.67483796296</v>
      </c>
      <c r="C5255" s="1" t="n">
        <v>46075</v>
      </c>
      <c r="D5255" t="inlineStr">
        <is>
          <t>VÄSTERBOTTENS LÄN</t>
        </is>
      </c>
      <c r="E5255" t="inlineStr">
        <is>
          <t>SKELLEFTEÅ</t>
        </is>
      </c>
      <c r="F5255" t="inlineStr">
        <is>
          <t>Holmen skog AB</t>
        </is>
      </c>
      <c r="G5255" t="n">
        <v>12.4</v>
      </c>
      <c r="H5255" t="n">
        <v>0</v>
      </c>
      <c r="I5255" t="n">
        <v>0</v>
      </c>
      <c r="J5255" t="n">
        <v>0</v>
      </c>
      <c r="K5255" t="n">
        <v>0</v>
      </c>
      <c r="L5255" t="n">
        <v>0</v>
      </c>
      <c r="M5255" t="n">
        <v>0</v>
      </c>
      <c r="N5255" t="n">
        <v>0</v>
      </c>
      <c r="O5255" t="n">
        <v>0</v>
      </c>
      <c r="P5255" t="n">
        <v>0</v>
      </c>
      <c r="Q5255" t="n">
        <v>0</v>
      </c>
      <c r="R5255" s="2" t="inlineStr"/>
    </row>
    <row r="5256" ht="15" customHeight="1">
      <c r="A5256" t="inlineStr">
        <is>
          <t>A 45654-2025</t>
        </is>
      </c>
      <c r="B5256" s="1" t="n">
        <v>45923.33994212963</v>
      </c>
      <c r="C5256" s="1" t="n">
        <v>46075</v>
      </c>
      <c r="D5256" t="inlineStr">
        <is>
          <t>VÄSTERBOTTENS LÄN</t>
        </is>
      </c>
      <c r="E5256" t="inlineStr">
        <is>
          <t>SKELLEFTEÅ</t>
        </is>
      </c>
      <c r="G5256" t="n">
        <v>3.3</v>
      </c>
      <c r="H5256" t="n">
        <v>0</v>
      </c>
      <c r="I5256" t="n">
        <v>0</v>
      </c>
      <c r="J5256" t="n">
        <v>0</v>
      </c>
      <c r="K5256" t="n">
        <v>0</v>
      </c>
      <c r="L5256" t="n">
        <v>0</v>
      </c>
      <c r="M5256" t="n">
        <v>0</v>
      </c>
      <c r="N5256" t="n">
        <v>0</v>
      </c>
      <c r="O5256" t="n">
        <v>0</v>
      </c>
      <c r="P5256" t="n">
        <v>0</v>
      </c>
      <c r="Q5256" t="n">
        <v>0</v>
      </c>
      <c r="R5256" s="2" t="inlineStr"/>
    </row>
    <row r="5257" ht="15" customHeight="1">
      <c r="A5257" t="inlineStr">
        <is>
          <t>A 40046-2024</t>
        </is>
      </c>
      <c r="B5257" s="1" t="n">
        <v>45553.76251157407</v>
      </c>
      <c r="C5257" s="1" t="n">
        <v>46075</v>
      </c>
      <c r="D5257" t="inlineStr">
        <is>
          <t>VÄSTERBOTTENS LÄN</t>
        </is>
      </c>
      <c r="E5257" t="inlineStr">
        <is>
          <t>ÅSELE</t>
        </is>
      </c>
      <c r="G5257" t="n">
        <v>5.6</v>
      </c>
      <c r="H5257" t="n">
        <v>0</v>
      </c>
      <c r="I5257" t="n">
        <v>0</v>
      </c>
      <c r="J5257" t="n">
        <v>0</v>
      </c>
      <c r="K5257" t="n">
        <v>0</v>
      </c>
      <c r="L5257" t="n">
        <v>0</v>
      </c>
      <c r="M5257" t="n">
        <v>0</v>
      </c>
      <c r="N5257" t="n">
        <v>0</v>
      </c>
      <c r="O5257" t="n">
        <v>0</v>
      </c>
      <c r="P5257" t="n">
        <v>0</v>
      </c>
      <c r="Q5257" t="n">
        <v>0</v>
      </c>
      <c r="R5257" s="2" t="inlineStr"/>
    </row>
    <row r="5258" ht="15" customHeight="1">
      <c r="A5258" t="inlineStr">
        <is>
          <t>A 45662-2025</t>
        </is>
      </c>
      <c r="B5258" s="1" t="n">
        <v>45923.34506944445</v>
      </c>
      <c r="C5258" s="1" t="n">
        <v>46075</v>
      </c>
      <c r="D5258" t="inlineStr">
        <is>
          <t>VÄSTERBOTTENS LÄN</t>
        </is>
      </c>
      <c r="E5258" t="inlineStr">
        <is>
          <t>NORSJÖ</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45666-2025</t>
        </is>
      </c>
      <c r="B5259" s="1" t="n">
        <v>45923.34827546297</v>
      </c>
      <c r="C5259" s="1" t="n">
        <v>46075</v>
      </c>
      <c r="D5259" t="inlineStr">
        <is>
          <t>VÄSTERBOTTENS LÄN</t>
        </is>
      </c>
      <c r="E5259" t="inlineStr">
        <is>
          <t>SKELLEFTEÅ</t>
        </is>
      </c>
      <c r="G5259" t="n">
        <v>5.2</v>
      </c>
      <c r="H5259" t="n">
        <v>0</v>
      </c>
      <c r="I5259" t="n">
        <v>0</v>
      </c>
      <c r="J5259" t="n">
        <v>0</v>
      </c>
      <c r="K5259" t="n">
        <v>0</v>
      </c>
      <c r="L5259" t="n">
        <v>0</v>
      </c>
      <c r="M5259" t="n">
        <v>0</v>
      </c>
      <c r="N5259" t="n">
        <v>0</v>
      </c>
      <c r="O5259" t="n">
        <v>0</v>
      </c>
      <c r="P5259" t="n">
        <v>0</v>
      </c>
      <c r="Q5259" t="n">
        <v>0</v>
      </c>
      <c r="R5259" s="2" t="inlineStr"/>
    </row>
    <row r="5260" ht="15" customHeight="1">
      <c r="A5260" t="inlineStr">
        <is>
          <t>A 45296-2025</t>
        </is>
      </c>
      <c r="B5260" s="1" t="n">
        <v>45920.82388888889</v>
      </c>
      <c r="C5260" s="1" t="n">
        <v>46075</v>
      </c>
      <c r="D5260" t="inlineStr">
        <is>
          <t>VÄSTERBOTTENS LÄN</t>
        </is>
      </c>
      <c r="E5260" t="inlineStr">
        <is>
          <t>BJURHOLM</t>
        </is>
      </c>
      <c r="G5260" t="n">
        <v>6.9</v>
      </c>
      <c r="H5260" t="n">
        <v>0</v>
      </c>
      <c r="I5260" t="n">
        <v>0</v>
      </c>
      <c r="J5260" t="n">
        <v>0</v>
      </c>
      <c r="K5260" t="n">
        <v>0</v>
      </c>
      <c r="L5260" t="n">
        <v>0</v>
      </c>
      <c r="M5260" t="n">
        <v>0</v>
      </c>
      <c r="N5260" t="n">
        <v>0</v>
      </c>
      <c r="O5260" t="n">
        <v>0</v>
      </c>
      <c r="P5260" t="n">
        <v>0</v>
      </c>
      <c r="Q5260" t="n">
        <v>0</v>
      </c>
      <c r="R5260" s="2" t="inlineStr"/>
    </row>
    <row r="5261" ht="15" customHeight="1">
      <c r="A5261" t="inlineStr">
        <is>
          <t>A 34563-2022</t>
        </is>
      </c>
      <c r="B5261" s="1" t="n">
        <v>44794</v>
      </c>
      <c r="C5261" s="1" t="n">
        <v>46075</v>
      </c>
      <c r="D5261" t="inlineStr">
        <is>
          <t>VÄSTERBOTTENS LÄN</t>
        </is>
      </c>
      <c r="E5261" t="inlineStr">
        <is>
          <t>VINDELN</t>
        </is>
      </c>
      <c r="G5261" t="n">
        <v>8.1</v>
      </c>
      <c r="H5261" t="n">
        <v>0</v>
      </c>
      <c r="I5261" t="n">
        <v>0</v>
      </c>
      <c r="J5261" t="n">
        <v>0</v>
      </c>
      <c r="K5261" t="n">
        <v>0</v>
      </c>
      <c r="L5261" t="n">
        <v>0</v>
      </c>
      <c r="M5261" t="n">
        <v>0</v>
      </c>
      <c r="N5261" t="n">
        <v>0</v>
      </c>
      <c r="O5261" t="n">
        <v>0</v>
      </c>
      <c r="P5261" t="n">
        <v>0</v>
      </c>
      <c r="Q5261" t="n">
        <v>0</v>
      </c>
      <c r="R5261" s="2" t="inlineStr"/>
    </row>
    <row r="5262" ht="15" customHeight="1">
      <c r="A5262" t="inlineStr">
        <is>
          <t>A 45598-2025</t>
        </is>
      </c>
      <c r="B5262" s="1" t="n">
        <v>45922.68771990741</v>
      </c>
      <c r="C5262" s="1" t="n">
        <v>46075</v>
      </c>
      <c r="D5262" t="inlineStr">
        <is>
          <t>VÄSTERBOTTENS LÄN</t>
        </is>
      </c>
      <c r="E5262" t="inlineStr">
        <is>
          <t>SKELLEFTEÅ</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45672-2025</t>
        </is>
      </c>
      <c r="B5263" s="1" t="n">
        <v>45923.35769675926</v>
      </c>
      <c r="C5263" s="1" t="n">
        <v>46075</v>
      </c>
      <c r="D5263" t="inlineStr">
        <is>
          <t>VÄSTERBOTTENS LÄN</t>
        </is>
      </c>
      <c r="E5263" t="inlineStr">
        <is>
          <t>UMEÅ</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35600-2025</t>
        </is>
      </c>
      <c r="B5264" s="1" t="n">
        <v>45858.86798611111</v>
      </c>
      <c r="C5264" s="1" t="n">
        <v>46075</v>
      </c>
      <c r="D5264" t="inlineStr">
        <is>
          <t>VÄSTERBOTTENS LÄN</t>
        </is>
      </c>
      <c r="E5264" t="inlineStr">
        <is>
          <t>NORDMALING</t>
        </is>
      </c>
      <c r="G5264" t="n">
        <v>13.4</v>
      </c>
      <c r="H5264" t="n">
        <v>0</v>
      </c>
      <c r="I5264" t="n">
        <v>0</v>
      </c>
      <c r="J5264" t="n">
        <v>0</v>
      </c>
      <c r="K5264" t="n">
        <v>0</v>
      </c>
      <c r="L5264" t="n">
        <v>0</v>
      </c>
      <c r="M5264" t="n">
        <v>0</v>
      </c>
      <c r="N5264" t="n">
        <v>0</v>
      </c>
      <c r="O5264" t="n">
        <v>0</v>
      </c>
      <c r="P5264" t="n">
        <v>0</v>
      </c>
      <c r="Q5264" t="n">
        <v>0</v>
      </c>
      <c r="R5264" s="2" t="inlineStr"/>
    </row>
    <row r="5265" ht="15" customHeight="1">
      <c r="A5265" t="inlineStr">
        <is>
          <t>A 45644-2025</t>
        </is>
      </c>
      <c r="B5265" s="1" t="n">
        <v>45923.29819444445</v>
      </c>
      <c r="C5265" s="1" t="n">
        <v>46075</v>
      </c>
      <c r="D5265" t="inlineStr">
        <is>
          <t>VÄSTERBOTTENS LÄN</t>
        </is>
      </c>
      <c r="E5265" t="inlineStr">
        <is>
          <t>SKELLEFTEÅ</t>
        </is>
      </c>
      <c r="G5265" t="n">
        <v>2.5</v>
      </c>
      <c r="H5265" t="n">
        <v>0</v>
      </c>
      <c r="I5265" t="n">
        <v>0</v>
      </c>
      <c r="J5265" t="n">
        <v>0</v>
      </c>
      <c r="K5265" t="n">
        <v>0</v>
      </c>
      <c r="L5265" t="n">
        <v>0</v>
      </c>
      <c r="M5265" t="n">
        <v>0</v>
      </c>
      <c r="N5265" t="n">
        <v>0</v>
      </c>
      <c r="O5265" t="n">
        <v>0</v>
      </c>
      <c r="P5265" t="n">
        <v>0</v>
      </c>
      <c r="Q5265" t="n">
        <v>0</v>
      </c>
      <c r="R5265" s="2" t="inlineStr"/>
    </row>
    <row r="5266" ht="15" customHeight="1">
      <c r="A5266" t="inlineStr">
        <is>
          <t>A 45651-2025</t>
        </is>
      </c>
      <c r="B5266" s="1" t="n">
        <v>45923.32945601852</v>
      </c>
      <c r="C5266" s="1" t="n">
        <v>46075</v>
      </c>
      <c r="D5266" t="inlineStr">
        <is>
          <t>VÄSTERBOTTENS LÄN</t>
        </is>
      </c>
      <c r="E5266" t="inlineStr">
        <is>
          <t>SKELLEFTEÅ</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7981-2025</t>
        </is>
      </c>
      <c r="B5267" s="1" t="n">
        <v>45707.46899305555</v>
      </c>
      <c r="C5267" s="1" t="n">
        <v>46075</v>
      </c>
      <c r="D5267" t="inlineStr">
        <is>
          <t>VÄSTERBOTTENS LÄN</t>
        </is>
      </c>
      <c r="E5267" t="inlineStr">
        <is>
          <t>SKELLEFTEÅ</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35630-2025</t>
        </is>
      </c>
      <c r="B5268" s="1" t="n">
        <v>45859.44861111111</v>
      </c>
      <c r="C5268" s="1" t="n">
        <v>46075</v>
      </c>
      <c r="D5268" t="inlineStr">
        <is>
          <t>VÄSTERBOTTENS LÄN</t>
        </is>
      </c>
      <c r="E5268" t="inlineStr">
        <is>
          <t>DOROTEA</t>
        </is>
      </c>
      <c r="F5268" t="inlineStr">
        <is>
          <t>SCA</t>
        </is>
      </c>
      <c r="G5268" t="n">
        <v>2.9</v>
      </c>
      <c r="H5268" t="n">
        <v>0</v>
      </c>
      <c r="I5268" t="n">
        <v>0</v>
      </c>
      <c r="J5268" t="n">
        <v>0</v>
      </c>
      <c r="K5268" t="n">
        <v>0</v>
      </c>
      <c r="L5268" t="n">
        <v>0</v>
      </c>
      <c r="M5268" t="n">
        <v>0</v>
      </c>
      <c r="N5268" t="n">
        <v>0</v>
      </c>
      <c r="O5268" t="n">
        <v>0</v>
      </c>
      <c r="P5268" t="n">
        <v>0</v>
      </c>
      <c r="Q5268" t="n">
        <v>0</v>
      </c>
      <c r="R5268" s="2" t="inlineStr"/>
    </row>
    <row r="5269" ht="15" customHeight="1">
      <c r="A5269" t="inlineStr">
        <is>
          <t>A 35631-2025</t>
        </is>
      </c>
      <c r="B5269" s="1" t="n">
        <v>45859.44880787037</v>
      </c>
      <c r="C5269" s="1" t="n">
        <v>46075</v>
      </c>
      <c r="D5269" t="inlineStr">
        <is>
          <t>VÄSTERBOTTENS LÄN</t>
        </is>
      </c>
      <c r="E5269" t="inlineStr">
        <is>
          <t>DOROTEA</t>
        </is>
      </c>
      <c r="F5269" t="inlineStr">
        <is>
          <t>SCA</t>
        </is>
      </c>
      <c r="G5269" t="n">
        <v>4.3</v>
      </c>
      <c r="H5269" t="n">
        <v>0</v>
      </c>
      <c r="I5269" t="n">
        <v>0</v>
      </c>
      <c r="J5269" t="n">
        <v>0</v>
      </c>
      <c r="K5269" t="n">
        <v>0</v>
      </c>
      <c r="L5269" t="n">
        <v>0</v>
      </c>
      <c r="M5269" t="n">
        <v>0</v>
      </c>
      <c r="N5269" t="n">
        <v>0</v>
      </c>
      <c r="O5269" t="n">
        <v>0</v>
      </c>
      <c r="P5269" t="n">
        <v>0</v>
      </c>
      <c r="Q5269" t="n">
        <v>0</v>
      </c>
      <c r="R5269" s="2" t="inlineStr"/>
    </row>
    <row r="5270" ht="15" customHeight="1">
      <c r="A5270" t="inlineStr">
        <is>
          <t>A 8010-2025</t>
        </is>
      </c>
      <c r="B5270" s="1" t="n">
        <v>45707.55104166667</v>
      </c>
      <c r="C5270" s="1" t="n">
        <v>46075</v>
      </c>
      <c r="D5270" t="inlineStr">
        <is>
          <t>VÄSTERBOTTENS LÄN</t>
        </is>
      </c>
      <c r="E5270" t="inlineStr">
        <is>
          <t>SKELLEFTEÅ</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35679-2025</t>
        </is>
      </c>
      <c r="B5271" s="1" t="n">
        <v>45859.65673611111</v>
      </c>
      <c r="C5271" s="1" t="n">
        <v>46075</v>
      </c>
      <c r="D5271" t="inlineStr">
        <is>
          <t>VÄSTERBOTTENS LÄN</t>
        </is>
      </c>
      <c r="E5271" t="inlineStr">
        <is>
          <t>NORDMALING</t>
        </is>
      </c>
      <c r="F5271" t="inlineStr">
        <is>
          <t>SCA</t>
        </is>
      </c>
      <c r="G5271" t="n">
        <v>5</v>
      </c>
      <c r="H5271" t="n">
        <v>0</v>
      </c>
      <c r="I5271" t="n">
        <v>0</v>
      </c>
      <c r="J5271" t="n">
        <v>0</v>
      </c>
      <c r="K5271" t="n">
        <v>0</v>
      </c>
      <c r="L5271" t="n">
        <v>0</v>
      </c>
      <c r="M5271" t="n">
        <v>0</v>
      </c>
      <c r="N5271" t="n">
        <v>0</v>
      </c>
      <c r="O5271" t="n">
        <v>0</v>
      </c>
      <c r="P5271" t="n">
        <v>0</v>
      </c>
      <c r="Q5271" t="n">
        <v>0</v>
      </c>
      <c r="R5271" s="2" t="inlineStr"/>
    </row>
    <row r="5272" ht="15" customHeight="1">
      <c r="A5272" t="inlineStr">
        <is>
          <t>A 45859-2025</t>
        </is>
      </c>
      <c r="B5272" s="1" t="n">
        <v>45923.6415162037</v>
      </c>
      <c r="C5272" s="1" t="n">
        <v>46075</v>
      </c>
      <c r="D5272" t="inlineStr">
        <is>
          <t>VÄSTERBOTTENS LÄN</t>
        </is>
      </c>
      <c r="E5272" t="inlineStr">
        <is>
          <t>SKELLEFTEÅ</t>
        </is>
      </c>
      <c r="F5272" t="inlineStr">
        <is>
          <t>Holmen skog AB</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34408-2025</t>
        </is>
      </c>
      <c r="B5273" s="1" t="n">
        <v>45845</v>
      </c>
      <c r="C5273" s="1" t="n">
        <v>46075</v>
      </c>
      <c r="D5273" t="inlineStr">
        <is>
          <t>VÄSTERBOTTENS LÄN</t>
        </is>
      </c>
      <c r="E5273" t="inlineStr">
        <is>
          <t>DOROTEA</t>
        </is>
      </c>
      <c r="G5273" t="n">
        <v>4.2</v>
      </c>
      <c r="H5273" t="n">
        <v>0</v>
      </c>
      <c r="I5273" t="n">
        <v>0</v>
      </c>
      <c r="J5273" t="n">
        <v>0</v>
      </c>
      <c r="K5273" t="n">
        <v>0</v>
      </c>
      <c r="L5273" t="n">
        <v>0</v>
      </c>
      <c r="M5273" t="n">
        <v>0</v>
      </c>
      <c r="N5273" t="n">
        <v>0</v>
      </c>
      <c r="O5273" t="n">
        <v>0</v>
      </c>
      <c r="P5273" t="n">
        <v>0</v>
      </c>
      <c r="Q5273" t="n">
        <v>0</v>
      </c>
      <c r="R5273" s="2" t="inlineStr"/>
    </row>
    <row r="5274" ht="15" customHeight="1">
      <c r="A5274" t="inlineStr">
        <is>
          <t>A 35834-2025</t>
        </is>
      </c>
      <c r="B5274" s="1" t="n">
        <v>45861.53163194445</v>
      </c>
      <c r="C5274" s="1" t="n">
        <v>46075</v>
      </c>
      <c r="D5274" t="inlineStr">
        <is>
          <t>VÄSTERBOTTENS LÄN</t>
        </is>
      </c>
      <c r="E5274" t="inlineStr">
        <is>
          <t>VINDELN</t>
        </is>
      </c>
      <c r="F5274" t="inlineStr">
        <is>
          <t>SCA</t>
        </is>
      </c>
      <c r="G5274" t="n">
        <v>5.8</v>
      </c>
      <c r="H5274" t="n">
        <v>0</v>
      </c>
      <c r="I5274" t="n">
        <v>0</v>
      </c>
      <c r="J5274" t="n">
        <v>0</v>
      </c>
      <c r="K5274" t="n">
        <v>0</v>
      </c>
      <c r="L5274" t="n">
        <v>0</v>
      </c>
      <c r="M5274" t="n">
        <v>0</v>
      </c>
      <c r="N5274" t="n">
        <v>0</v>
      </c>
      <c r="O5274" t="n">
        <v>0</v>
      </c>
      <c r="P5274" t="n">
        <v>0</v>
      </c>
      <c r="Q5274" t="n">
        <v>0</v>
      </c>
      <c r="R5274" s="2" t="inlineStr"/>
    </row>
    <row r="5275" ht="15" customHeight="1">
      <c r="A5275" t="inlineStr">
        <is>
          <t>A 35748-2025</t>
        </is>
      </c>
      <c r="B5275" s="1" t="n">
        <v>45860.56612268519</v>
      </c>
      <c r="C5275" s="1" t="n">
        <v>46075</v>
      </c>
      <c r="D5275" t="inlineStr">
        <is>
          <t>VÄSTERBOTTENS LÄN</t>
        </is>
      </c>
      <c r="E5275" t="inlineStr">
        <is>
          <t>VINDELN</t>
        </is>
      </c>
      <c r="G5275" t="n">
        <v>3.1</v>
      </c>
      <c r="H5275" t="n">
        <v>0</v>
      </c>
      <c r="I5275" t="n">
        <v>0</v>
      </c>
      <c r="J5275" t="n">
        <v>0</v>
      </c>
      <c r="K5275" t="n">
        <v>0</v>
      </c>
      <c r="L5275" t="n">
        <v>0</v>
      </c>
      <c r="M5275" t="n">
        <v>0</v>
      </c>
      <c r="N5275" t="n">
        <v>0</v>
      </c>
      <c r="O5275" t="n">
        <v>0</v>
      </c>
      <c r="P5275" t="n">
        <v>0</v>
      </c>
      <c r="Q5275" t="n">
        <v>0</v>
      </c>
      <c r="R5275" s="2" t="inlineStr"/>
    </row>
    <row r="5276" ht="15" customHeight="1">
      <c r="A5276" t="inlineStr">
        <is>
          <t>A 50200-2023</t>
        </is>
      </c>
      <c r="B5276" s="1" t="n">
        <v>45215.87696759259</v>
      </c>
      <c r="C5276" s="1" t="n">
        <v>46075</v>
      </c>
      <c r="D5276" t="inlineStr">
        <is>
          <t>VÄSTERBOTTENS LÄN</t>
        </is>
      </c>
      <c r="E5276" t="inlineStr">
        <is>
          <t>ÅSELE</t>
        </is>
      </c>
      <c r="F5276" t="inlineStr">
        <is>
          <t>Holmen skog AB</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35711-2025</t>
        </is>
      </c>
      <c r="B5277" s="1" t="n">
        <v>45860</v>
      </c>
      <c r="C5277" s="1" t="n">
        <v>46075</v>
      </c>
      <c r="D5277" t="inlineStr">
        <is>
          <t>VÄSTERBOTTENS LÄN</t>
        </is>
      </c>
      <c r="E5277" t="inlineStr">
        <is>
          <t>STORUMAN</t>
        </is>
      </c>
      <c r="F5277" t="inlineStr">
        <is>
          <t>Holmen skog AB</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45429-2025</t>
        </is>
      </c>
      <c r="B5278" s="1" t="n">
        <v>45922.45540509259</v>
      </c>
      <c r="C5278" s="1" t="n">
        <v>46075</v>
      </c>
      <c r="D5278" t="inlineStr">
        <is>
          <t>VÄSTERBOTTENS LÄN</t>
        </is>
      </c>
      <c r="E5278" t="inlineStr">
        <is>
          <t>SKELLEFTEÅ</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45675-2025</t>
        </is>
      </c>
      <c r="B5279" s="1" t="n">
        <v>45923.36356481481</v>
      </c>
      <c r="C5279" s="1" t="n">
        <v>46075</v>
      </c>
      <c r="D5279" t="inlineStr">
        <is>
          <t>VÄSTERBOTTENS LÄN</t>
        </is>
      </c>
      <c r="E5279" t="inlineStr">
        <is>
          <t>NORDMALING</t>
        </is>
      </c>
      <c r="G5279" t="n">
        <v>4.3</v>
      </c>
      <c r="H5279" t="n">
        <v>0</v>
      </c>
      <c r="I5279" t="n">
        <v>0</v>
      </c>
      <c r="J5279" t="n">
        <v>0</v>
      </c>
      <c r="K5279" t="n">
        <v>0</v>
      </c>
      <c r="L5279" t="n">
        <v>0</v>
      </c>
      <c r="M5279" t="n">
        <v>0</v>
      </c>
      <c r="N5279" t="n">
        <v>0</v>
      </c>
      <c r="O5279" t="n">
        <v>0</v>
      </c>
      <c r="P5279" t="n">
        <v>0</v>
      </c>
      <c r="Q5279" t="n">
        <v>0</v>
      </c>
      <c r="R5279" s="2" t="inlineStr"/>
    </row>
    <row r="5280" ht="15" customHeight="1">
      <c r="A5280" t="inlineStr">
        <is>
          <t>A 26927-2024</t>
        </is>
      </c>
      <c r="B5280" s="1" t="n">
        <v>45470.93131944445</v>
      </c>
      <c r="C5280" s="1" t="n">
        <v>46075</v>
      </c>
      <c r="D5280" t="inlineStr">
        <is>
          <t>VÄSTERBOTTENS LÄN</t>
        </is>
      </c>
      <c r="E5280" t="inlineStr">
        <is>
          <t>NORDMALING</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35633-2025</t>
        </is>
      </c>
      <c r="B5281" s="1" t="n">
        <v>45859.45072916667</v>
      </c>
      <c r="C5281" s="1" t="n">
        <v>46075</v>
      </c>
      <c r="D5281" t="inlineStr">
        <is>
          <t>VÄSTERBOTTENS LÄN</t>
        </is>
      </c>
      <c r="E5281" t="inlineStr">
        <is>
          <t>SKELLEFTEÅ</t>
        </is>
      </c>
      <c r="F5281" t="inlineStr">
        <is>
          <t>Holmen skog AB</t>
        </is>
      </c>
      <c r="G5281" t="n">
        <v>5.1</v>
      </c>
      <c r="H5281" t="n">
        <v>0</v>
      </c>
      <c r="I5281" t="n">
        <v>0</v>
      </c>
      <c r="J5281" t="n">
        <v>0</v>
      </c>
      <c r="K5281" t="n">
        <v>0</v>
      </c>
      <c r="L5281" t="n">
        <v>0</v>
      </c>
      <c r="M5281" t="n">
        <v>0</v>
      </c>
      <c r="N5281" t="n">
        <v>0</v>
      </c>
      <c r="O5281" t="n">
        <v>0</v>
      </c>
      <c r="P5281" t="n">
        <v>0</v>
      </c>
      <c r="Q5281" t="n">
        <v>0</v>
      </c>
      <c r="R5281" s="2" t="inlineStr"/>
    </row>
    <row r="5282" ht="15" customHeight="1">
      <c r="A5282" t="inlineStr">
        <is>
          <t>A 1136-2025</t>
        </is>
      </c>
      <c r="B5282" s="1" t="n">
        <v>45666</v>
      </c>
      <c r="C5282" s="1" t="n">
        <v>46075</v>
      </c>
      <c r="D5282" t="inlineStr">
        <is>
          <t>VÄSTERBOTTENS LÄN</t>
        </is>
      </c>
      <c r="E5282" t="inlineStr">
        <is>
          <t>ÅSELE</t>
        </is>
      </c>
      <c r="G5282" t="n">
        <v>18.6</v>
      </c>
      <c r="H5282" t="n">
        <v>0</v>
      </c>
      <c r="I5282" t="n">
        <v>0</v>
      </c>
      <c r="J5282" t="n">
        <v>0</v>
      </c>
      <c r="K5282" t="n">
        <v>0</v>
      </c>
      <c r="L5282" t="n">
        <v>0</v>
      </c>
      <c r="M5282" t="n">
        <v>0</v>
      </c>
      <c r="N5282" t="n">
        <v>0</v>
      </c>
      <c r="O5282" t="n">
        <v>0</v>
      </c>
      <c r="P5282" t="n">
        <v>0</v>
      </c>
      <c r="Q5282" t="n">
        <v>0</v>
      </c>
      <c r="R5282" s="2" t="inlineStr"/>
    </row>
    <row r="5283" ht="15" customHeight="1">
      <c r="A5283" t="inlineStr">
        <is>
          <t>A 12694-2025</t>
        </is>
      </c>
      <c r="B5283" s="1" t="n">
        <v>45733.46015046296</v>
      </c>
      <c r="C5283" s="1" t="n">
        <v>46075</v>
      </c>
      <c r="D5283" t="inlineStr">
        <is>
          <t>VÄSTERBOTTENS LÄN</t>
        </is>
      </c>
      <c r="E5283" t="inlineStr">
        <is>
          <t>SKELLEFTEÅ</t>
        </is>
      </c>
      <c r="F5283" t="inlineStr">
        <is>
          <t>Kommuner</t>
        </is>
      </c>
      <c r="G5283" t="n">
        <v>4</v>
      </c>
      <c r="H5283" t="n">
        <v>0</v>
      </c>
      <c r="I5283" t="n">
        <v>0</v>
      </c>
      <c r="J5283" t="n">
        <v>0</v>
      </c>
      <c r="K5283" t="n">
        <v>0</v>
      </c>
      <c r="L5283" t="n">
        <v>0</v>
      </c>
      <c r="M5283" t="n">
        <v>0</v>
      </c>
      <c r="N5283" t="n">
        <v>0</v>
      </c>
      <c r="O5283" t="n">
        <v>0</v>
      </c>
      <c r="P5283" t="n">
        <v>0</v>
      </c>
      <c r="Q5283" t="n">
        <v>0</v>
      </c>
      <c r="R5283" s="2" t="inlineStr"/>
    </row>
    <row r="5284" ht="15" customHeight="1">
      <c r="A5284" t="inlineStr">
        <is>
          <t>A 4086-2023</t>
        </is>
      </c>
      <c r="B5284" s="1" t="n">
        <v>44952</v>
      </c>
      <c r="C5284" s="1" t="n">
        <v>46075</v>
      </c>
      <c r="D5284" t="inlineStr">
        <is>
          <t>VÄSTERBOTTENS LÄN</t>
        </is>
      </c>
      <c r="E5284" t="inlineStr">
        <is>
          <t>ÅSELE</t>
        </is>
      </c>
      <c r="G5284" t="n">
        <v>5.3</v>
      </c>
      <c r="H5284" t="n">
        <v>0</v>
      </c>
      <c r="I5284" t="n">
        <v>0</v>
      </c>
      <c r="J5284" t="n">
        <v>0</v>
      </c>
      <c r="K5284" t="n">
        <v>0</v>
      </c>
      <c r="L5284" t="n">
        <v>0</v>
      </c>
      <c r="M5284" t="n">
        <v>0</v>
      </c>
      <c r="N5284" t="n">
        <v>0</v>
      </c>
      <c r="O5284" t="n">
        <v>0</v>
      </c>
      <c r="P5284" t="n">
        <v>0</v>
      </c>
      <c r="Q5284" t="n">
        <v>0</v>
      </c>
      <c r="R5284" s="2" t="inlineStr"/>
    </row>
    <row r="5285" ht="15" customHeight="1">
      <c r="A5285" t="inlineStr">
        <is>
          <t>A 45506-2025</t>
        </is>
      </c>
      <c r="B5285" s="1" t="n">
        <v>45922.57350694444</v>
      </c>
      <c r="C5285" s="1" t="n">
        <v>46075</v>
      </c>
      <c r="D5285" t="inlineStr">
        <is>
          <t>VÄSTERBOTTENS LÄN</t>
        </is>
      </c>
      <c r="E5285" t="inlineStr">
        <is>
          <t>ÅSELE</t>
        </is>
      </c>
      <c r="G5285" t="n">
        <v>17.3</v>
      </c>
      <c r="H5285" t="n">
        <v>0</v>
      </c>
      <c r="I5285" t="n">
        <v>0</v>
      </c>
      <c r="J5285" t="n">
        <v>0</v>
      </c>
      <c r="K5285" t="n">
        <v>0</v>
      </c>
      <c r="L5285" t="n">
        <v>0</v>
      </c>
      <c r="M5285" t="n">
        <v>0</v>
      </c>
      <c r="N5285" t="n">
        <v>0</v>
      </c>
      <c r="O5285" t="n">
        <v>0</v>
      </c>
      <c r="P5285" t="n">
        <v>0</v>
      </c>
      <c r="Q5285" t="n">
        <v>0</v>
      </c>
      <c r="R5285" s="2" t="inlineStr"/>
    </row>
    <row r="5286" ht="15" customHeight="1">
      <c r="A5286" t="inlineStr">
        <is>
          <t>A 57431-2022</t>
        </is>
      </c>
      <c r="B5286" s="1" t="n">
        <v>44889</v>
      </c>
      <c r="C5286" s="1" t="n">
        <v>46075</v>
      </c>
      <c r="D5286" t="inlineStr">
        <is>
          <t>VÄSTERBOTTENS LÄN</t>
        </is>
      </c>
      <c r="E5286" t="inlineStr">
        <is>
          <t>DOROTEA</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29524-2025</t>
        </is>
      </c>
      <c r="B5287" s="1" t="n">
        <v>45825.33515046296</v>
      </c>
      <c r="C5287" s="1" t="n">
        <v>46075</v>
      </c>
      <c r="D5287" t="inlineStr">
        <is>
          <t>VÄSTERBOTTENS LÄN</t>
        </is>
      </c>
      <c r="E5287" t="inlineStr">
        <is>
          <t>NORSJÖ</t>
        </is>
      </c>
      <c r="G5287" t="n">
        <v>11.7</v>
      </c>
      <c r="H5287" t="n">
        <v>0</v>
      </c>
      <c r="I5287" t="n">
        <v>0</v>
      </c>
      <c r="J5287" t="n">
        <v>0</v>
      </c>
      <c r="K5287" t="n">
        <v>0</v>
      </c>
      <c r="L5287" t="n">
        <v>0</v>
      </c>
      <c r="M5287" t="n">
        <v>0</v>
      </c>
      <c r="N5287" t="n">
        <v>0</v>
      </c>
      <c r="O5287" t="n">
        <v>0</v>
      </c>
      <c r="P5287" t="n">
        <v>0</v>
      </c>
      <c r="Q5287" t="n">
        <v>0</v>
      </c>
      <c r="R5287" s="2" t="inlineStr"/>
    </row>
    <row r="5288" ht="15" customHeight="1">
      <c r="A5288" t="inlineStr">
        <is>
          <t>A 35728-2025</t>
        </is>
      </c>
      <c r="B5288" s="1" t="n">
        <v>45860.46180555555</v>
      </c>
      <c r="C5288" s="1" t="n">
        <v>46075</v>
      </c>
      <c r="D5288" t="inlineStr">
        <is>
          <t>VÄSTERBOTTENS LÄN</t>
        </is>
      </c>
      <c r="E5288" t="inlineStr">
        <is>
          <t>MALÅ</t>
        </is>
      </c>
      <c r="F5288" t="inlineStr">
        <is>
          <t>Sveaskog</t>
        </is>
      </c>
      <c r="G5288" t="n">
        <v>14.8</v>
      </c>
      <c r="H5288" t="n">
        <v>0</v>
      </c>
      <c r="I5288" t="n">
        <v>0</v>
      </c>
      <c r="J5288" t="n">
        <v>0</v>
      </c>
      <c r="K5288" t="n">
        <v>0</v>
      </c>
      <c r="L5288" t="n">
        <v>0</v>
      </c>
      <c r="M5288" t="n">
        <v>0</v>
      </c>
      <c r="N5288" t="n">
        <v>0</v>
      </c>
      <c r="O5288" t="n">
        <v>0</v>
      </c>
      <c r="P5288" t="n">
        <v>0</v>
      </c>
      <c r="Q5288" t="n">
        <v>0</v>
      </c>
      <c r="R5288" s="2" t="inlineStr"/>
    </row>
    <row r="5289" ht="15" customHeight="1">
      <c r="A5289" t="inlineStr">
        <is>
          <t>A 35730-2025</t>
        </is>
      </c>
      <c r="B5289" s="1" t="n">
        <v>45860.46853009259</v>
      </c>
      <c r="C5289" s="1" t="n">
        <v>46075</v>
      </c>
      <c r="D5289" t="inlineStr">
        <is>
          <t>VÄSTERBOTTENS LÄN</t>
        </is>
      </c>
      <c r="E5289" t="inlineStr">
        <is>
          <t>SORSELE</t>
        </is>
      </c>
      <c r="F5289" t="inlineStr">
        <is>
          <t>Sveaskog</t>
        </is>
      </c>
      <c r="G5289" t="n">
        <v>10.7</v>
      </c>
      <c r="H5289" t="n">
        <v>0</v>
      </c>
      <c r="I5289" t="n">
        <v>0</v>
      </c>
      <c r="J5289" t="n">
        <v>0</v>
      </c>
      <c r="K5289" t="n">
        <v>0</v>
      </c>
      <c r="L5289" t="n">
        <v>0</v>
      </c>
      <c r="M5289" t="n">
        <v>0</v>
      </c>
      <c r="N5289" t="n">
        <v>0</v>
      </c>
      <c r="O5289" t="n">
        <v>0</v>
      </c>
      <c r="P5289" t="n">
        <v>0</v>
      </c>
      <c r="Q5289" t="n">
        <v>0</v>
      </c>
      <c r="R5289" s="2" t="inlineStr"/>
    </row>
    <row r="5290" ht="15" customHeight="1">
      <c r="A5290" t="inlineStr">
        <is>
          <t>A 62547-2022</t>
        </is>
      </c>
      <c r="B5290" s="1" t="n">
        <v>44924.71886574074</v>
      </c>
      <c r="C5290" s="1" t="n">
        <v>46075</v>
      </c>
      <c r="D5290" t="inlineStr">
        <is>
          <t>VÄSTERBOTTENS LÄN</t>
        </is>
      </c>
      <c r="E5290" t="inlineStr">
        <is>
          <t>LYCKSELE</t>
        </is>
      </c>
      <c r="F5290" t="inlineStr">
        <is>
          <t>Sveaskog</t>
        </is>
      </c>
      <c r="G5290" t="n">
        <v>4.1</v>
      </c>
      <c r="H5290" t="n">
        <v>0</v>
      </c>
      <c r="I5290" t="n">
        <v>0</v>
      </c>
      <c r="J5290" t="n">
        <v>0</v>
      </c>
      <c r="K5290" t="n">
        <v>0</v>
      </c>
      <c r="L5290" t="n">
        <v>0</v>
      </c>
      <c r="M5290" t="n">
        <v>0</v>
      </c>
      <c r="N5290" t="n">
        <v>0</v>
      </c>
      <c r="O5290" t="n">
        <v>0</v>
      </c>
      <c r="P5290" t="n">
        <v>0</v>
      </c>
      <c r="Q5290" t="n">
        <v>0</v>
      </c>
      <c r="R5290" s="2" t="inlineStr"/>
    </row>
    <row r="5291" ht="15" customHeight="1">
      <c r="A5291" t="inlineStr">
        <is>
          <t>A 56960-2022</t>
        </is>
      </c>
      <c r="B5291" s="1" t="n">
        <v>44894</v>
      </c>
      <c r="C5291" s="1" t="n">
        <v>46075</v>
      </c>
      <c r="D5291" t="inlineStr">
        <is>
          <t>VÄSTERBOTTENS LÄN</t>
        </is>
      </c>
      <c r="E5291" t="inlineStr">
        <is>
          <t>SKELLEFTEÅ</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35729-2025</t>
        </is>
      </c>
      <c r="B5292" s="1" t="n">
        <v>45860.46461805556</v>
      </c>
      <c r="C5292" s="1" t="n">
        <v>46075</v>
      </c>
      <c r="D5292" t="inlineStr">
        <is>
          <t>VÄSTERBOTTENS LÄN</t>
        </is>
      </c>
      <c r="E5292" t="inlineStr">
        <is>
          <t>NORSJÖ</t>
        </is>
      </c>
      <c r="F5292" t="inlineStr">
        <is>
          <t>Sveaskog</t>
        </is>
      </c>
      <c r="G5292" t="n">
        <v>6.4</v>
      </c>
      <c r="H5292" t="n">
        <v>0</v>
      </c>
      <c r="I5292" t="n">
        <v>0</v>
      </c>
      <c r="J5292" t="n">
        <v>0</v>
      </c>
      <c r="K5292" t="n">
        <v>0</v>
      </c>
      <c r="L5292" t="n">
        <v>0</v>
      </c>
      <c r="M5292" t="n">
        <v>0</v>
      </c>
      <c r="N5292" t="n">
        <v>0</v>
      </c>
      <c r="O5292" t="n">
        <v>0</v>
      </c>
      <c r="P5292" t="n">
        <v>0</v>
      </c>
      <c r="Q5292" t="n">
        <v>0</v>
      </c>
      <c r="R5292" s="2" t="inlineStr"/>
    </row>
    <row r="5293" ht="15" customHeight="1">
      <c r="A5293" t="inlineStr">
        <is>
          <t>A 45885-2025</t>
        </is>
      </c>
      <c r="B5293" s="1" t="n">
        <v>45923.66508101852</v>
      </c>
      <c r="C5293" s="1" t="n">
        <v>46075</v>
      </c>
      <c r="D5293" t="inlineStr">
        <is>
          <t>VÄSTERBOTTENS LÄN</t>
        </is>
      </c>
      <c r="E5293" t="inlineStr">
        <is>
          <t>SKELLEFTEÅ</t>
        </is>
      </c>
      <c r="G5293" t="n">
        <v>3.9</v>
      </c>
      <c r="H5293" t="n">
        <v>0</v>
      </c>
      <c r="I5293" t="n">
        <v>0</v>
      </c>
      <c r="J5293" t="n">
        <v>0</v>
      </c>
      <c r="K5293" t="n">
        <v>0</v>
      </c>
      <c r="L5293" t="n">
        <v>0</v>
      </c>
      <c r="M5293" t="n">
        <v>0</v>
      </c>
      <c r="N5293" t="n">
        <v>0</v>
      </c>
      <c r="O5293" t="n">
        <v>0</v>
      </c>
      <c r="P5293" t="n">
        <v>0</v>
      </c>
      <c r="Q5293" t="n">
        <v>0</v>
      </c>
      <c r="R5293" s="2" t="inlineStr"/>
    </row>
    <row r="5294" ht="15" customHeight="1">
      <c r="A5294" t="inlineStr">
        <is>
          <t>A 35841-2025</t>
        </is>
      </c>
      <c r="B5294" s="1" t="n">
        <v>45861.55245370371</v>
      </c>
      <c r="C5294" s="1" t="n">
        <v>46075</v>
      </c>
      <c r="D5294" t="inlineStr">
        <is>
          <t>VÄSTERBOTTENS LÄN</t>
        </is>
      </c>
      <c r="E5294" t="inlineStr">
        <is>
          <t>LYCKSELE</t>
        </is>
      </c>
      <c r="F5294" t="inlineStr">
        <is>
          <t>SCA</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35848-2025</t>
        </is>
      </c>
      <c r="B5295" s="1" t="n">
        <v>45861.58435185185</v>
      </c>
      <c r="C5295" s="1" t="n">
        <v>46075</v>
      </c>
      <c r="D5295" t="inlineStr">
        <is>
          <t>VÄSTERBOTTENS LÄN</t>
        </is>
      </c>
      <c r="E5295" t="inlineStr">
        <is>
          <t>MALÅ</t>
        </is>
      </c>
      <c r="F5295" t="inlineStr">
        <is>
          <t>Sveaskog</t>
        </is>
      </c>
      <c r="G5295" t="n">
        <v>2.8</v>
      </c>
      <c r="H5295" t="n">
        <v>0</v>
      </c>
      <c r="I5295" t="n">
        <v>0</v>
      </c>
      <c r="J5295" t="n">
        <v>0</v>
      </c>
      <c r="K5295" t="n">
        <v>0</v>
      </c>
      <c r="L5295" t="n">
        <v>0</v>
      </c>
      <c r="M5295" t="n">
        <v>0</v>
      </c>
      <c r="N5295" t="n">
        <v>0</v>
      </c>
      <c r="O5295" t="n">
        <v>0</v>
      </c>
      <c r="P5295" t="n">
        <v>0</v>
      </c>
      <c r="Q5295" t="n">
        <v>0</v>
      </c>
      <c r="R5295" s="2" t="inlineStr"/>
    </row>
    <row r="5296" ht="15" customHeight="1">
      <c r="A5296" t="inlineStr">
        <is>
          <t>A 35851-2025</t>
        </is>
      </c>
      <c r="B5296" s="1" t="n">
        <v>45861.60244212963</v>
      </c>
      <c r="C5296" s="1" t="n">
        <v>46075</v>
      </c>
      <c r="D5296" t="inlineStr">
        <is>
          <t>VÄSTERBOTTENS LÄN</t>
        </is>
      </c>
      <c r="E5296" t="inlineStr">
        <is>
          <t>MALÅ</t>
        </is>
      </c>
      <c r="F5296" t="inlineStr">
        <is>
          <t>Sveaskog</t>
        </is>
      </c>
      <c r="G5296" t="n">
        <v>7.5</v>
      </c>
      <c r="H5296" t="n">
        <v>0</v>
      </c>
      <c r="I5296" t="n">
        <v>0</v>
      </c>
      <c r="J5296" t="n">
        <v>0</v>
      </c>
      <c r="K5296" t="n">
        <v>0</v>
      </c>
      <c r="L5296" t="n">
        <v>0</v>
      </c>
      <c r="M5296" t="n">
        <v>0</v>
      </c>
      <c r="N5296" t="n">
        <v>0</v>
      </c>
      <c r="O5296" t="n">
        <v>0</v>
      </c>
      <c r="P5296" t="n">
        <v>0</v>
      </c>
      <c r="Q5296" t="n">
        <v>0</v>
      </c>
      <c r="R5296" s="2" t="inlineStr"/>
    </row>
    <row r="5297" ht="15" customHeight="1">
      <c r="A5297" t="inlineStr">
        <is>
          <t>A 35852-2025</t>
        </is>
      </c>
      <c r="B5297" s="1" t="n">
        <v>45861.60447916666</v>
      </c>
      <c r="C5297" s="1" t="n">
        <v>46075</v>
      </c>
      <c r="D5297" t="inlineStr">
        <is>
          <t>VÄSTERBOTTENS LÄN</t>
        </is>
      </c>
      <c r="E5297" t="inlineStr">
        <is>
          <t>MALÅ</t>
        </is>
      </c>
      <c r="F5297" t="inlineStr">
        <is>
          <t>Sveaskog</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35853-2025</t>
        </is>
      </c>
      <c r="B5298" s="1" t="n">
        <v>45861.61166666666</v>
      </c>
      <c r="C5298" s="1" t="n">
        <v>46075</v>
      </c>
      <c r="D5298" t="inlineStr">
        <is>
          <t>VÄSTERBOTTENS LÄN</t>
        </is>
      </c>
      <c r="E5298" t="inlineStr">
        <is>
          <t>MALÅ</t>
        </is>
      </c>
      <c r="F5298" t="inlineStr">
        <is>
          <t>Sveaskog</t>
        </is>
      </c>
      <c r="G5298" t="n">
        <v>5.4</v>
      </c>
      <c r="H5298" t="n">
        <v>0</v>
      </c>
      <c r="I5298" t="n">
        <v>0</v>
      </c>
      <c r="J5298" t="n">
        <v>0</v>
      </c>
      <c r="K5298" t="n">
        <v>0</v>
      </c>
      <c r="L5298" t="n">
        <v>0</v>
      </c>
      <c r="M5298" t="n">
        <v>0</v>
      </c>
      <c r="N5298" t="n">
        <v>0</v>
      </c>
      <c r="O5298" t="n">
        <v>0</v>
      </c>
      <c r="P5298" t="n">
        <v>0</v>
      </c>
      <c r="Q5298" t="n">
        <v>0</v>
      </c>
      <c r="R5298" s="2" t="inlineStr"/>
    </row>
    <row r="5299" ht="15" customHeight="1">
      <c r="A5299" t="inlineStr">
        <is>
          <t>A 35811-2025</t>
        </is>
      </c>
      <c r="B5299" s="1" t="n">
        <v>45861.43084490741</v>
      </c>
      <c r="C5299" s="1" t="n">
        <v>46075</v>
      </c>
      <c r="D5299" t="inlineStr">
        <is>
          <t>VÄSTERBOTTENS LÄN</t>
        </is>
      </c>
      <c r="E5299" t="inlineStr">
        <is>
          <t>SKELLEFTEÅ</t>
        </is>
      </c>
      <c r="F5299" t="inlineStr">
        <is>
          <t>Holmen skog AB</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50505-2023</t>
        </is>
      </c>
      <c r="B5300" s="1" t="n">
        <v>45216.95800925926</v>
      </c>
      <c r="C5300" s="1" t="n">
        <v>46075</v>
      </c>
      <c r="D5300" t="inlineStr">
        <is>
          <t>VÄSTERBOTTENS LÄN</t>
        </is>
      </c>
      <c r="E5300" t="inlineStr">
        <is>
          <t>VILHELMINA</t>
        </is>
      </c>
      <c r="F5300" t="inlineStr">
        <is>
          <t>SCA</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45326-2025</t>
        </is>
      </c>
      <c r="B5301" s="1" t="n">
        <v>45922.32254629629</v>
      </c>
      <c r="C5301" s="1" t="n">
        <v>46075</v>
      </c>
      <c r="D5301" t="inlineStr">
        <is>
          <t>VÄSTERBOTTENS LÄN</t>
        </is>
      </c>
      <c r="E5301" t="inlineStr">
        <is>
          <t>NORDMALING</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45365-2025</t>
        </is>
      </c>
      <c r="B5302" s="1" t="n">
        <v>45922.38581018519</v>
      </c>
      <c r="C5302" s="1" t="n">
        <v>46075</v>
      </c>
      <c r="D5302" t="inlineStr">
        <is>
          <t>VÄSTERBOTTENS LÄN</t>
        </is>
      </c>
      <c r="E5302" t="inlineStr">
        <is>
          <t>SKELLEFTEÅ</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45393-2025</t>
        </is>
      </c>
      <c r="B5303" s="1" t="n">
        <v>45922.40796296296</v>
      </c>
      <c r="C5303" s="1" t="n">
        <v>46075</v>
      </c>
      <c r="D5303" t="inlineStr">
        <is>
          <t>VÄSTERBOTTENS LÄN</t>
        </is>
      </c>
      <c r="E5303" t="inlineStr">
        <is>
          <t>SKELLEFTEÅ</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59648-2023</t>
        </is>
      </c>
      <c r="B5304" s="1" t="n">
        <v>45253</v>
      </c>
      <c r="C5304" s="1" t="n">
        <v>46075</v>
      </c>
      <c r="D5304" t="inlineStr">
        <is>
          <t>VÄSTERBOTTENS LÄN</t>
        </is>
      </c>
      <c r="E5304" t="inlineStr">
        <is>
          <t>SKELLEFTEÅ</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35860-2025</t>
        </is>
      </c>
      <c r="B5305" s="1" t="n">
        <v>45861.63883101852</v>
      </c>
      <c r="C5305" s="1" t="n">
        <v>46075</v>
      </c>
      <c r="D5305" t="inlineStr">
        <is>
          <t>VÄSTERBOTTENS LÄN</t>
        </is>
      </c>
      <c r="E5305" t="inlineStr">
        <is>
          <t>LYCKSELE</t>
        </is>
      </c>
      <c r="F5305" t="inlineStr">
        <is>
          <t>Holmen skog AB</t>
        </is>
      </c>
      <c r="G5305" t="n">
        <v>5.1</v>
      </c>
      <c r="H5305" t="n">
        <v>0</v>
      </c>
      <c r="I5305" t="n">
        <v>0</v>
      </c>
      <c r="J5305" t="n">
        <v>0</v>
      </c>
      <c r="K5305" t="n">
        <v>0</v>
      </c>
      <c r="L5305" t="n">
        <v>0</v>
      </c>
      <c r="M5305" t="n">
        <v>0</v>
      </c>
      <c r="N5305" t="n">
        <v>0</v>
      </c>
      <c r="O5305" t="n">
        <v>0</v>
      </c>
      <c r="P5305" t="n">
        <v>0</v>
      </c>
      <c r="Q5305" t="n">
        <v>0</v>
      </c>
      <c r="R5305" s="2" t="inlineStr"/>
    </row>
    <row r="5306" ht="15" customHeight="1">
      <c r="A5306" t="inlineStr">
        <is>
          <t>A 35850-2025</t>
        </is>
      </c>
      <c r="B5306" s="1" t="n">
        <v>45861.5971875</v>
      </c>
      <c r="C5306" s="1" t="n">
        <v>46075</v>
      </c>
      <c r="D5306" t="inlineStr">
        <is>
          <t>VÄSTERBOTTENS LÄN</t>
        </is>
      </c>
      <c r="E5306" t="inlineStr">
        <is>
          <t>MALÅ</t>
        </is>
      </c>
      <c r="F5306" t="inlineStr">
        <is>
          <t>Sveaskog</t>
        </is>
      </c>
      <c r="G5306" t="n">
        <v>11.4</v>
      </c>
      <c r="H5306" t="n">
        <v>0</v>
      </c>
      <c r="I5306" t="n">
        <v>0</v>
      </c>
      <c r="J5306" t="n">
        <v>0</v>
      </c>
      <c r="K5306" t="n">
        <v>0</v>
      </c>
      <c r="L5306" t="n">
        <v>0</v>
      </c>
      <c r="M5306" t="n">
        <v>0</v>
      </c>
      <c r="N5306" t="n">
        <v>0</v>
      </c>
      <c r="O5306" t="n">
        <v>0</v>
      </c>
      <c r="P5306" t="n">
        <v>0</v>
      </c>
      <c r="Q5306" t="n">
        <v>0</v>
      </c>
      <c r="R5306" s="2" t="inlineStr"/>
    </row>
    <row r="5307" ht="15" customHeight="1">
      <c r="A5307" t="inlineStr">
        <is>
          <t>A 35856-2025</t>
        </is>
      </c>
      <c r="B5307" s="1" t="n">
        <v>45861.61929398148</v>
      </c>
      <c r="C5307" s="1" t="n">
        <v>46075</v>
      </c>
      <c r="D5307" t="inlineStr">
        <is>
          <t>VÄSTERBOTTENS LÄN</t>
        </is>
      </c>
      <c r="E5307" t="inlineStr">
        <is>
          <t>MALÅ</t>
        </is>
      </c>
      <c r="F5307" t="inlineStr">
        <is>
          <t>Sveaskog</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60624-2024</t>
        </is>
      </c>
      <c r="B5308" s="1" t="n">
        <v>45642</v>
      </c>
      <c r="C5308" s="1" t="n">
        <v>46075</v>
      </c>
      <c r="D5308" t="inlineStr">
        <is>
          <t>VÄSTERBOTTENS LÄN</t>
        </is>
      </c>
      <c r="E5308" t="inlineStr">
        <is>
          <t>MALÅ</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60702-2024</t>
        </is>
      </c>
      <c r="B5309" s="1" t="n">
        <v>45642</v>
      </c>
      <c r="C5309" s="1" t="n">
        <v>46075</v>
      </c>
      <c r="D5309" t="inlineStr">
        <is>
          <t>VÄSTERBOTTENS LÄN</t>
        </is>
      </c>
      <c r="E5309" t="inlineStr">
        <is>
          <t>MALÅ</t>
        </is>
      </c>
      <c r="F5309" t="inlineStr">
        <is>
          <t>Sveaskog</t>
        </is>
      </c>
      <c r="G5309" t="n">
        <v>5.4</v>
      </c>
      <c r="H5309" t="n">
        <v>0</v>
      </c>
      <c r="I5309" t="n">
        <v>0</v>
      </c>
      <c r="J5309" t="n">
        <v>0</v>
      </c>
      <c r="K5309" t="n">
        <v>0</v>
      </c>
      <c r="L5309" t="n">
        <v>0</v>
      </c>
      <c r="M5309" t="n">
        <v>0</v>
      </c>
      <c r="N5309" t="n">
        <v>0</v>
      </c>
      <c r="O5309" t="n">
        <v>0</v>
      </c>
      <c r="P5309" t="n">
        <v>0</v>
      </c>
      <c r="Q5309" t="n">
        <v>0</v>
      </c>
      <c r="R5309" s="2" t="inlineStr"/>
    </row>
    <row r="5310" ht="15" customHeight="1">
      <c r="A5310" t="inlineStr">
        <is>
          <t>A 45435-2025</t>
        </is>
      </c>
      <c r="B5310" s="1" t="n">
        <v>45922.46759259259</v>
      </c>
      <c r="C5310" s="1" t="n">
        <v>46075</v>
      </c>
      <c r="D5310" t="inlineStr">
        <is>
          <t>VÄSTERBOTTENS LÄN</t>
        </is>
      </c>
      <c r="E5310" t="inlineStr">
        <is>
          <t>VILHELMINA</t>
        </is>
      </c>
      <c r="G5310" t="n">
        <v>4.6</v>
      </c>
      <c r="H5310" t="n">
        <v>0</v>
      </c>
      <c r="I5310" t="n">
        <v>0</v>
      </c>
      <c r="J5310" t="n">
        <v>0</v>
      </c>
      <c r="K5310" t="n">
        <v>0</v>
      </c>
      <c r="L5310" t="n">
        <v>0</v>
      </c>
      <c r="M5310" t="n">
        <v>0</v>
      </c>
      <c r="N5310" t="n">
        <v>0</v>
      </c>
      <c r="O5310" t="n">
        <v>0</v>
      </c>
      <c r="P5310" t="n">
        <v>0</v>
      </c>
      <c r="Q5310" t="n">
        <v>0</v>
      </c>
      <c r="R5310" s="2" t="inlineStr"/>
    </row>
    <row r="5311" ht="15" customHeight="1">
      <c r="A5311" t="inlineStr">
        <is>
          <t>A 36325-2024</t>
        </is>
      </c>
      <c r="B5311" s="1" t="n">
        <v>45534.63637731481</v>
      </c>
      <c r="C5311" s="1" t="n">
        <v>46075</v>
      </c>
      <c r="D5311" t="inlineStr">
        <is>
          <t>VÄSTERBOTTENS LÄN</t>
        </is>
      </c>
      <c r="E5311" t="inlineStr">
        <is>
          <t>LYCKSELE</t>
        </is>
      </c>
      <c r="G5311" t="n">
        <v>2.8</v>
      </c>
      <c r="H5311" t="n">
        <v>0</v>
      </c>
      <c r="I5311" t="n">
        <v>0</v>
      </c>
      <c r="J5311" t="n">
        <v>0</v>
      </c>
      <c r="K5311" t="n">
        <v>0</v>
      </c>
      <c r="L5311" t="n">
        <v>0</v>
      </c>
      <c r="M5311" t="n">
        <v>0</v>
      </c>
      <c r="N5311" t="n">
        <v>0</v>
      </c>
      <c r="O5311" t="n">
        <v>0</v>
      </c>
      <c r="P5311" t="n">
        <v>0</v>
      </c>
      <c r="Q5311" t="n">
        <v>0</v>
      </c>
      <c r="R5311" s="2" t="inlineStr"/>
    </row>
    <row r="5312" ht="15" customHeight="1">
      <c r="A5312" t="inlineStr">
        <is>
          <t>A 36331-2024</t>
        </is>
      </c>
      <c r="B5312" s="1" t="n">
        <v>45534.63957175926</v>
      </c>
      <c r="C5312" s="1" t="n">
        <v>46075</v>
      </c>
      <c r="D5312" t="inlineStr">
        <is>
          <t>VÄSTERBOTTENS LÄN</t>
        </is>
      </c>
      <c r="E5312" t="inlineStr">
        <is>
          <t>ÅSELE</t>
        </is>
      </c>
      <c r="F5312" t="inlineStr">
        <is>
          <t>Holmen skog AB</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45485-2025</t>
        </is>
      </c>
      <c r="B5313" s="1" t="n">
        <v>45922.54546296296</v>
      </c>
      <c r="C5313" s="1" t="n">
        <v>46075</v>
      </c>
      <c r="D5313" t="inlineStr">
        <is>
          <t>VÄSTERBOTTENS LÄN</t>
        </is>
      </c>
      <c r="E5313" t="inlineStr">
        <is>
          <t>SKELLEFTEÅ</t>
        </is>
      </c>
      <c r="G5313" t="n">
        <v>5.8</v>
      </c>
      <c r="H5313" t="n">
        <v>0</v>
      </c>
      <c r="I5313" t="n">
        <v>0</v>
      </c>
      <c r="J5313" t="n">
        <v>0</v>
      </c>
      <c r="K5313" t="n">
        <v>0</v>
      </c>
      <c r="L5313" t="n">
        <v>0</v>
      </c>
      <c r="M5313" t="n">
        <v>0</v>
      </c>
      <c r="N5313" t="n">
        <v>0</v>
      </c>
      <c r="O5313" t="n">
        <v>0</v>
      </c>
      <c r="P5313" t="n">
        <v>0</v>
      </c>
      <c r="Q5313" t="n">
        <v>0</v>
      </c>
      <c r="R5313" s="2" t="inlineStr"/>
    </row>
    <row r="5314" ht="15" customHeight="1">
      <c r="A5314" t="inlineStr">
        <is>
          <t>A 35606-2025</t>
        </is>
      </c>
      <c r="B5314" s="1" t="n">
        <v>45859.32984953704</v>
      </c>
      <c r="C5314" s="1" t="n">
        <v>46075</v>
      </c>
      <c r="D5314" t="inlineStr">
        <is>
          <t>VÄSTERBOTTENS LÄN</t>
        </is>
      </c>
      <c r="E5314" t="inlineStr">
        <is>
          <t>LYCKSELE</t>
        </is>
      </c>
      <c r="G5314" t="n">
        <v>0.4</v>
      </c>
      <c r="H5314" t="n">
        <v>0</v>
      </c>
      <c r="I5314" t="n">
        <v>0</v>
      </c>
      <c r="J5314" t="n">
        <v>0</v>
      </c>
      <c r="K5314" t="n">
        <v>0</v>
      </c>
      <c r="L5314" t="n">
        <v>0</v>
      </c>
      <c r="M5314" t="n">
        <v>0</v>
      </c>
      <c r="N5314" t="n">
        <v>0</v>
      </c>
      <c r="O5314" t="n">
        <v>0</v>
      </c>
      <c r="P5314" t="n">
        <v>0</v>
      </c>
      <c r="Q5314" t="n">
        <v>0</v>
      </c>
      <c r="R5314" s="2" t="inlineStr"/>
    </row>
    <row r="5315" ht="15" customHeight="1">
      <c r="A5315" t="inlineStr">
        <is>
          <t>A 45499-2025</t>
        </is>
      </c>
      <c r="B5315" s="1" t="n">
        <v>45922.56931712963</v>
      </c>
      <c r="C5315" s="1" t="n">
        <v>46075</v>
      </c>
      <c r="D5315" t="inlineStr">
        <is>
          <t>VÄSTERBOTTENS LÄN</t>
        </is>
      </c>
      <c r="E5315" t="inlineStr">
        <is>
          <t>ROBERTSFORS</t>
        </is>
      </c>
      <c r="F5315" t="inlineStr">
        <is>
          <t>Holmen skog AB</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45528-2025</t>
        </is>
      </c>
      <c r="B5316" s="1" t="n">
        <v>45922.59987268518</v>
      </c>
      <c r="C5316" s="1" t="n">
        <v>46075</v>
      </c>
      <c r="D5316" t="inlineStr">
        <is>
          <t>VÄSTERBOTTENS LÄN</t>
        </is>
      </c>
      <c r="E5316" t="inlineStr">
        <is>
          <t>NORDMALING</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35709-2025</t>
        </is>
      </c>
      <c r="B5317" s="1" t="n">
        <v>45860.37709490741</v>
      </c>
      <c r="C5317" s="1" t="n">
        <v>46075</v>
      </c>
      <c r="D5317" t="inlineStr">
        <is>
          <t>VÄSTERBOTTENS LÄN</t>
        </is>
      </c>
      <c r="E5317" t="inlineStr">
        <is>
          <t>SORSELE</t>
        </is>
      </c>
      <c r="F5317" t="inlineStr">
        <is>
          <t>Sveaskog</t>
        </is>
      </c>
      <c r="G5317" t="n">
        <v>7.2</v>
      </c>
      <c r="H5317" t="n">
        <v>0</v>
      </c>
      <c r="I5317" t="n">
        <v>0</v>
      </c>
      <c r="J5317" t="n">
        <v>0</v>
      </c>
      <c r="K5317" t="n">
        <v>0</v>
      </c>
      <c r="L5317" t="n">
        <v>0</v>
      </c>
      <c r="M5317" t="n">
        <v>0</v>
      </c>
      <c r="N5317" t="n">
        <v>0</v>
      </c>
      <c r="O5317" t="n">
        <v>0</v>
      </c>
      <c r="P5317" t="n">
        <v>0</v>
      </c>
      <c r="Q5317" t="n">
        <v>0</v>
      </c>
      <c r="R5317" s="2" t="inlineStr"/>
    </row>
    <row r="5318" ht="15" customHeight="1">
      <c r="A5318" t="inlineStr">
        <is>
          <t>A 45559-2025</t>
        </is>
      </c>
      <c r="B5318" s="1" t="n">
        <v>45922.64508101852</v>
      </c>
      <c r="C5318" s="1" t="n">
        <v>46075</v>
      </c>
      <c r="D5318" t="inlineStr">
        <is>
          <t>VÄSTERBOTTENS LÄN</t>
        </is>
      </c>
      <c r="E5318" t="inlineStr">
        <is>
          <t>SKELLEFTEÅ</t>
        </is>
      </c>
      <c r="G5318" t="n">
        <v>5.2</v>
      </c>
      <c r="H5318" t="n">
        <v>0</v>
      </c>
      <c r="I5318" t="n">
        <v>0</v>
      </c>
      <c r="J5318" t="n">
        <v>0</v>
      </c>
      <c r="K5318" t="n">
        <v>0</v>
      </c>
      <c r="L5318" t="n">
        <v>0</v>
      </c>
      <c r="M5318" t="n">
        <v>0</v>
      </c>
      <c r="N5318" t="n">
        <v>0</v>
      </c>
      <c r="O5318" t="n">
        <v>0</v>
      </c>
      <c r="P5318" t="n">
        <v>0</v>
      </c>
      <c r="Q5318" t="n">
        <v>0</v>
      </c>
      <c r="R5318" s="2" t="inlineStr"/>
    </row>
    <row r="5319" ht="15" customHeight="1">
      <c r="A5319" t="inlineStr">
        <is>
          <t>A 55264-2024</t>
        </is>
      </c>
      <c r="B5319" s="1" t="n">
        <v>45620</v>
      </c>
      <c r="C5319" s="1" t="n">
        <v>46075</v>
      </c>
      <c r="D5319" t="inlineStr">
        <is>
          <t>VÄSTERBOTTENS LÄN</t>
        </is>
      </c>
      <c r="E5319" t="inlineStr">
        <is>
          <t>NORSJÖ</t>
        </is>
      </c>
      <c r="G5319" t="n">
        <v>6.5</v>
      </c>
      <c r="H5319" t="n">
        <v>0</v>
      </c>
      <c r="I5319" t="n">
        <v>0</v>
      </c>
      <c r="J5319" t="n">
        <v>0</v>
      </c>
      <c r="K5319" t="n">
        <v>0</v>
      </c>
      <c r="L5319" t="n">
        <v>0</v>
      </c>
      <c r="M5319" t="n">
        <v>0</v>
      </c>
      <c r="N5319" t="n">
        <v>0</v>
      </c>
      <c r="O5319" t="n">
        <v>0</v>
      </c>
      <c r="P5319" t="n">
        <v>0</v>
      </c>
      <c r="Q5319" t="n">
        <v>0</v>
      </c>
      <c r="R5319" s="2" t="inlineStr"/>
    </row>
    <row r="5320" ht="15" customHeight="1">
      <c r="A5320" t="inlineStr">
        <is>
          <t>A 41320-2024</t>
        </is>
      </c>
      <c r="B5320" s="1" t="n">
        <v>45559</v>
      </c>
      <c r="C5320" s="1" t="n">
        <v>46075</v>
      </c>
      <c r="D5320" t="inlineStr">
        <is>
          <t>VÄSTERBOTTENS LÄN</t>
        </is>
      </c>
      <c r="E5320" t="inlineStr">
        <is>
          <t>SKELLEFTEÅ</t>
        </is>
      </c>
      <c r="G5320" t="n">
        <v>24.7</v>
      </c>
      <c r="H5320" t="n">
        <v>0</v>
      </c>
      <c r="I5320" t="n">
        <v>0</v>
      </c>
      <c r="J5320" t="n">
        <v>0</v>
      </c>
      <c r="K5320" t="n">
        <v>0</v>
      </c>
      <c r="L5320" t="n">
        <v>0</v>
      </c>
      <c r="M5320" t="n">
        <v>0</v>
      </c>
      <c r="N5320" t="n">
        <v>0</v>
      </c>
      <c r="O5320" t="n">
        <v>0</v>
      </c>
      <c r="P5320" t="n">
        <v>0</v>
      </c>
      <c r="Q5320" t="n">
        <v>0</v>
      </c>
      <c r="R5320" s="2" t="inlineStr"/>
    </row>
    <row r="5321" ht="15" customHeight="1">
      <c r="A5321" t="inlineStr">
        <is>
          <t>A 7007-2023</t>
        </is>
      </c>
      <c r="B5321" s="1" t="n">
        <v>44967</v>
      </c>
      <c r="C5321" s="1" t="n">
        <v>46075</v>
      </c>
      <c r="D5321" t="inlineStr">
        <is>
          <t>VÄSTERBOTTENS LÄN</t>
        </is>
      </c>
      <c r="E5321" t="inlineStr">
        <is>
          <t>MALÅ</t>
        </is>
      </c>
      <c r="G5321" t="n">
        <v>2.8</v>
      </c>
      <c r="H5321" t="n">
        <v>0</v>
      </c>
      <c r="I5321" t="n">
        <v>0</v>
      </c>
      <c r="J5321" t="n">
        <v>0</v>
      </c>
      <c r="K5321" t="n">
        <v>0</v>
      </c>
      <c r="L5321" t="n">
        <v>0</v>
      </c>
      <c r="M5321" t="n">
        <v>0</v>
      </c>
      <c r="N5321" t="n">
        <v>0</v>
      </c>
      <c r="O5321" t="n">
        <v>0</v>
      </c>
      <c r="P5321" t="n">
        <v>0</v>
      </c>
      <c r="Q5321" t="n">
        <v>0</v>
      </c>
      <c r="R5321" s="2" t="inlineStr"/>
    </row>
    <row r="5322" ht="15" customHeight="1">
      <c r="A5322" t="inlineStr">
        <is>
          <t>A 35628-2025</t>
        </is>
      </c>
      <c r="B5322" s="1" t="n">
        <v>45859.44616898148</v>
      </c>
      <c r="C5322" s="1" t="n">
        <v>46075</v>
      </c>
      <c r="D5322" t="inlineStr">
        <is>
          <t>VÄSTERBOTTENS LÄN</t>
        </is>
      </c>
      <c r="E5322" t="inlineStr">
        <is>
          <t>NORSJÖ</t>
        </is>
      </c>
      <c r="F5322" t="inlineStr">
        <is>
          <t>Holmen skog AB</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45732-2025</t>
        </is>
      </c>
      <c r="B5323" s="1" t="n">
        <v>45923.46354166666</v>
      </c>
      <c r="C5323" s="1" t="n">
        <v>46075</v>
      </c>
      <c r="D5323" t="inlineStr">
        <is>
          <t>VÄSTERBOTTENS LÄN</t>
        </is>
      </c>
      <c r="E5323" t="inlineStr">
        <is>
          <t>SKELLEFTEÅ</t>
        </is>
      </c>
      <c r="F5323" t="inlineStr">
        <is>
          <t>Holmen skog AB</t>
        </is>
      </c>
      <c r="G5323" t="n">
        <v>5.2</v>
      </c>
      <c r="H5323" t="n">
        <v>0</v>
      </c>
      <c r="I5323" t="n">
        <v>0</v>
      </c>
      <c r="J5323" t="n">
        <v>0</v>
      </c>
      <c r="K5323" t="n">
        <v>0</v>
      </c>
      <c r="L5323" t="n">
        <v>0</v>
      </c>
      <c r="M5323" t="n">
        <v>0</v>
      </c>
      <c r="N5323" t="n">
        <v>0</v>
      </c>
      <c r="O5323" t="n">
        <v>0</v>
      </c>
      <c r="P5323" t="n">
        <v>0</v>
      </c>
      <c r="Q5323" t="n">
        <v>0</v>
      </c>
      <c r="R5323" s="2" t="inlineStr"/>
    </row>
    <row r="5324" ht="15" customHeight="1">
      <c r="A5324" t="inlineStr">
        <is>
          <t>A 35983-2025</t>
        </is>
      </c>
      <c r="B5324" s="1" t="n">
        <v>45863.44965277778</v>
      </c>
      <c r="C5324" s="1" t="n">
        <v>46075</v>
      </c>
      <c r="D5324" t="inlineStr">
        <is>
          <t>VÄSTERBOTTENS LÄN</t>
        </is>
      </c>
      <c r="E5324" t="inlineStr">
        <is>
          <t>ÅSELE</t>
        </is>
      </c>
      <c r="F5324" t="inlineStr">
        <is>
          <t>Holmen skog AB</t>
        </is>
      </c>
      <c r="G5324" t="n">
        <v>4.8</v>
      </c>
      <c r="H5324" t="n">
        <v>0</v>
      </c>
      <c r="I5324" t="n">
        <v>0</v>
      </c>
      <c r="J5324" t="n">
        <v>0</v>
      </c>
      <c r="K5324" t="n">
        <v>0</v>
      </c>
      <c r="L5324" t="n">
        <v>0</v>
      </c>
      <c r="M5324" t="n">
        <v>0</v>
      </c>
      <c r="N5324" t="n">
        <v>0</v>
      </c>
      <c r="O5324" t="n">
        <v>0</v>
      </c>
      <c r="P5324" t="n">
        <v>0</v>
      </c>
      <c r="Q5324" t="n">
        <v>0</v>
      </c>
      <c r="R5324" s="2" t="inlineStr"/>
    </row>
    <row r="5325" ht="15" customHeight="1">
      <c r="A5325" t="inlineStr">
        <is>
          <t>A 29463-2024</t>
        </is>
      </c>
      <c r="B5325" s="1" t="n">
        <v>45483.96994212963</v>
      </c>
      <c r="C5325" s="1" t="n">
        <v>46075</v>
      </c>
      <c r="D5325" t="inlineStr">
        <is>
          <t>VÄSTERBOTTENS LÄN</t>
        </is>
      </c>
      <c r="E5325" t="inlineStr">
        <is>
          <t>VILHELMINA</t>
        </is>
      </c>
      <c r="F5325" t="inlineStr">
        <is>
          <t>SCA</t>
        </is>
      </c>
      <c r="G5325" t="n">
        <v>4.4</v>
      </c>
      <c r="H5325" t="n">
        <v>0</v>
      </c>
      <c r="I5325" t="n">
        <v>0</v>
      </c>
      <c r="J5325" t="n">
        <v>0</v>
      </c>
      <c r="K5325" t="n">
        <v>0</v>
      </c>
      <c r="L5325" t="n">
        <v>0</v>
      </c>
      <c r="M5325" t="n">
        <v>0</v>
      </c>
      <c r="N5325" t="n">
        <v>0</v>
      </c>
      <c r="O5325" t="n">
        <v>0</v>
      </c>
      <c r="P5325" t="n">
        <v>0</v>
      </c>
      <c r="Q5325" t="n">
        <v>0</v>
      </c>
      <c r="R5325" s="2" t="inlineStr"/>
    </row>
    <row r="5326" ht="15" customHeight="1">
      <c r="A5326" t="inlineStr">
        <is>
          <t>A 30027-2024</t>
        </is>
      </c>
      <c r="B5326" s="1" t="n">
        <v>45488.65130787037</v>
      </c>
      <c r="C5326" s="1" t="n">
        <v>46075</v>
      </c>
      <c r="D5326" t="inlineStr">
        <is>
          <t>VÄSTERBOTTENS LÄN</t>
        </is>
      </c>
      <c r="E5326" t="inlineStr">
        <is>
          <t>NORSJÖ</t>
        </is>
      </c>
      <c r="F5326" t="inlineStr">
        <is>
          <t>Holmen skog AB</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45655-2025</t>
        </is>
      </c>
      <c r="B5327" s="1" t="n">
        <v>45923.34252314815</v>
      </c>
      <c r="C5327" s="1" t="n">
        <v>46075</v>
      </c>
      <c r="D5327" t="inlineStr">
        <is>
          <t>VÄSTERBOTTENS LÄN</t>
        </is>
      </c>
      <c r="E5327" t="inlineStr">
        <is>
          <t>SKELLEFTEÅ</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45658-2025</t>
        </is>
      </c>
      <c r="B5328" s="1" t="n">
        <v>45923.34459490741</v>
      </c>
      <c r="C5328" s="1" t="n">
        <v>46075</v>
      </c>
      <c r="D5328" t="inlineStr">
        <is>
          <t>VÄSTERBOTTENS LÄN</t>
        </is>
      </c>
      <c r="E5328" t="inlineStr">
        <is>
          <t>SKELLEFTEÅ</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45670-2025</t>
        </is>
      </c>
      <c r="B5329" s="1" t="n">
        <v>45923.35368055556</v>
      </c>
      <c r="C5329" s="1" t="n">
        <v>46075</v>
      </c>
      <c r="D5329" t="inlineStr">
        <is>
          <t>VÄSTERBOTTENS LÄN</t>
        </is>
      </c>
      <c r="E5329" t="inlineStr">
        <is>
          <t>UMEÅ</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45678-2025</t>
        </is>
      </c>
      <c r="B5330" s="1" t="n">
        <v>45923.36631944445</v>
      </c>
      <c r="C5330" s="1" t="n">
        <v>46075</v>
      </c>
      <c r="D5330" t="inlineStr">
        <is>
          <t>VÄSTERBOTTENS LÄN</t>
        </is>
      </c>
      <c r="E5330" t="inlineStr">
        <is>
          <t>NORDMALING</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35988-2025</t>
        </is>
      </c>
      <c r="B5331" s="1" t="n">
        <v>45863.46273148148</v>
      </c>
      <c r="C5331" s="1" t="n">
        <v>46075</v>
      </c>
      <c r="D5331" t="inlineStr">
        <is>
          <t>VÄSTERBOTTENS LÄN</t>
        </is>
      </c>
      <c r="E5331" t="inlineStr">
        <is>
          <t>SKELLEFTEÅ</t>
        </is>
      </c>
      <c r="F5331" t="inlineStr">
        <is>
          <t>Holmen skog AB</t>
        </is>
      </c>
      <c r="G5331" t="n">
        <v>17.8</v>
      </c>
      <c r="H5331" t="n">
        <v>0</v>
      </c>
      <c r="I5331" t="n">
        <v>0</v>
      </c>
      <c r="J5331" t="n">
        <v>0</v>
      </c>
      <c r="K5331" t="n">
        <v>0</v>
      </c>
      <c r="L5331" t="n">
        <v>0</v>
      </c>
      <c r="M5331" t="n">
        <v>0</v>
      </c>
      <c r="N5331" t="n">
        <v>0</v>
      </c>
      <c r="O5331" t="n">
        <v>0</v>
      </c>
      <c r="P5331" t="n">
        <v>0</v>
      </c>
      <c r="Q5331" t="n">
        <v>0</v>
      </c>
      <c r="R5331" s="2" t="inlineStr"/>
    </row>
    <row r="5332" ht="15" customHeight="1">
      <c r="A5332" t="inlineStr">
        <is>
          <t>A 45748-2025</t>
        </is>
      </c>
      <c r="B5332" s="1" t="n">
        <v>45923.4805787037</v>
      </c>
      <c r="C5332" s="1" t="n">
        <v>46075</v>
      </c>
      <c r="D5332" t="inlineStr">
        <is>
          <t>VÄSTERBOTTENS LÄN</t>
        </is>
      </c>
      <c r="E5332" t="inlineStr">
        <is>
          <t>DOROTEA</t>
        </is>
      </c>
      <c r="F5332" t="inlineStr">
        <is>
          <t>Sveaskog</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45756-2025</t>
        </is>
      </c>
      <c r="B5333" s="1" t="n">
        <v>45923.50300925926</v>
      </c>
      <c r="C5333" s="1" t="n">
        <v>46075</v>
      </c>
      <c r="D5333" t="inlineStr">
        <is>
          <t>VÄSTERBOTTENS LÄN</t>
        </is>
      </c>
      <c r="E5333" t="inlineStr">
        <is>
          <t>STORUMAN</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45779-2025</t>
        </is>
      </c>
      <c r="B5334" s="1" t="n">
        <v>45923</v>
      </c>
      <c r="C5334" s="1" t="n">
        <v>46075</v>
      </c>
      <c r="D5334" t="inlineStr">
        <is>
          <t>VÄSTERBOTTENS LÄN</t>
        </is>
      </c>
      <c r="E5334" t="inlineStr">
        <is>
          <t>SKELLEFTEÅ</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45787-2025</t>
        </is>
      </c>
      <c r="B5335" s="1" t="n">
        <v>45923.5621875</v>
      </c>
      <c r="C5335" s="1" t="n">
        <v>46075</v>
      </c>
      <c r="D5335" t="inlineStr">
        <is>
          <t>VÄSTERBOTTENS LÄN</t>
        </is>
      </c>
      <c r="E5335" t="inlineStr">
        <is>
          <t>SKELLEFTEÅ</t>
        </is>
      </c>
      <c r="F5335" t="inlineStr">
        <is>
          <t>Holmen skog AB</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19279-2025</t>
        </is>
      </c>
      <c r="B5336" s="1" t="n">
        <v>45769</v>
      </c>
      <c r="C5336" s="1" t="n">
        <v>46075</v>
      </c>
      <c r="D5336" t="inlineStr">
        <is>
          <t>VÄSTERBOTTENS LÄN</t>
        </is>
      </c>
      <c r="E5336" t="inlineStr">
        <is>
          <t>SORSELE</t>
        </is>
      </c>
      <c r="G5336" t="n">
        <v>12.2</v>
      </c>
      <c r="H5336" t="n">
        <v>0</v>
      </c>
      <c r="I5336" t="n">
        <v>0</v>
      </c>
      <c r="J5336" t="n">
        <v>0</v>
      </c>
      <c r="K5336" t="n">
        <v>0</v>
      </c>
      <c r="L5336" t="n">
        <v>0</v>
      </c>
      <c r="M5336" t="n">
        <v>0</v>
      </c>
      <c r="N5336" t="n">
        <v>0</v>
      </c>
      <c r="O5336" t="n">
        <v>0</v>
      </c>
      <c r="P5336" t="n">
        <v>0</v>
      </c>
      <c r="Q5336" t="n">
        <v>0</v>
      </c>
      <c r="R5336" s="2" t="inlineStr"/>
    </row>
    <row r="5337" ht="15" customHeight="1">
      <c r="A5337" t="inlineStr">
        <is>
          <t>A 35923-2025</t>
        </is>
      </c>
      <c r="B5337" s="1" t="n">
        <v>45862.57084490741</v>
      </c>
      <c r="C5337" s="1" t="n">
        <v>46075</v>
      </c>
      <c r="D5337" t="inlineStr">
        <is>
          <t>VÄSTERBOTTENS LÄN</t>
        </is>
      </c>
      <c r="E5337" t="inlineStr">
        <is>
          <t>SKELLEFTEÅ</t>
        </is>
      </c>
      <c r="F5337" t="inlineStr">
        <is>
          <t>Holmen skog AB</t>
        </is>
      </c>
      <c r="G5337" t="n">
        <v>6.5</v>
      </c>
      <c r="H5337" t="n">
        <v>0</v>
      </c>
      <c r="I5337" t="n">
        <v>0</v>
      </c>
      <c r="J5337" t="n">
        <v>0</v>
      </c>
      <c r="K5337" t="n">
        <v>0</v>
      </c>
      <c r="L5337" t="n">
        <v>0</v>
      </c>
      <c r="M5337" t="n">
        <v>0</v>
      </c>
      <c r="N5337" t="n">
        <v>0</v>
      </c>
      <c r="O5337" t="n">
        <v>0</v>
      </c>
      <c r="P5337" t="n">
        <v>0</v>
      </c>
      <c r="Q5337" t="n">
        <v>0</v>
      </c>
      <c r="R5337" s="2" t="inlineStr"/>
    </row>
    <row r="5338" ht="15" customHeight="1">
      <c r="A5338" t="inlineStr">
        <is>
          <t>A 41455-2024</t>
        </is>
      </c>
      <c r="B5338" s="1" t="n">
        <v>45560</v>
      </c>
      <c r="C5338" s="1" t="n">
        <v>46075</v>
      </c>
      <c r="D5338" t="inlineStr">
        <is>
          <t>VÄSTERBOTTENS LÄN</t>
        </is>
      </c>
      <c r="E5338" t="inlineStr">
        <is>
          <t>VINDELN</t>
        </is>
      </c>
      <c r="F5338" t="inlineStr">
        <is>
          <t>Holmen skog AB</t>
        </is>
      </c>
      <c r="G5338" t="n">
        <v>2.8</v>
      </c>
      <c r="H5338" t="n">
        <v>0</v>
      </c>
      <c r="I5338" t="n">
        <v>0</v>
      </c>
      <c r="J5338" t="n">
        <v>0</v>
      </c>
      <c r="K5338" t="n">
        <v>0</v>
      </c>
      <c r="L5338" t="n">
        <v>0</v>
      </c>
      <c r="M5338" t="n">
        <v>0</v>
      </c>
      <c r="N5338" t="n">
        <v>0</v>
      </c>
      <c r="O5338" t="n">
        <v>0</v>
      </c>
      <c r="P5338" t="n">
        <v>0</v>
      </c>
      <c r="Q5338" t="n">
        <v>0</v>
      </c>
      <c r="R5338" s="2" t="inlineStr"/>
    </row>
    <row r="5339" ht="15" customHeight="1">
      <c r="A5339" t="inlineStr">
        <is>
          <t>A 41462-2024</t>
        </is>
      </c>
      <c r="B5339" s="1" t="n">
        <v>45560</v>
      </c>
      <c r="C5339" s="1" t="n">
        <v>46075</v>
      </c>
      <c r="D5339" t="inlineStr">
        <is>
          <t>VÄSTERBOTTENS LÄN</t>
        </is>
      </c>
      <c r="E5339" t="inlineStr">
        <is>
          <t>VINDELN</t>
        </is>
      </c>
      <c r="F5339" t="inlineStr">
        <is>
          <t>Sveaskog</t>
        </is>
      </c>
      <c r="G5339" t="n">
        <v>11.7</v>
      </c>
      <c r="H5339" t="n">
        <v>0</v>
      </c>
      <c r="I5339" t="n">
        <v>0</v>
      </c>
      <c r="J5339" t="n">
        <v>0</v>
      </c>
      <c r="K5339" t="n">
        <v>0</v>
      </c>
      <c r="L5339" t="n">
        <v>0</v>
      </c>
      <c r="M5339" t="n">
        <v>0</v>
      </c>
      <c r="N5339" t="n">
        <v>0</v>
      </c>
      <c r="O5339" t="n">
        <v>0</v>
      </c>
      <c r="P5339" t="n">
        <v>0</v>
      </c>
      <c r="Q5339" t="n">
        <v>0</v>
      </c>
      <c r="R5339" s="2" t="inlineStr"/>
    </row>
    <row r="5340" ht="15" customHeight="1">
      <c r="A5340" t="inlineStr">
        <is>
          <t>A 45661-2025</t>
        </is>
      </c>
      <c r="B5340" s="1" t="n">
        <v>45923.34505787037</v>
      </c>
      <c r="C5340" s="1" t="n">
        <v>46075</v>
      </c>
      <c r="D5340" t="inlineStr">
        <is>
          <t>VÄSTERBOTTENS LÄN</t>
        </is>
      </c>
      <c r="E5340" t="inlineStr">
        <is>
          <t>NORSJÖ</t>
        </is>
      </c>
      <c r="G5340" t="n">
        <v>3.8</v>
      </c>
      <c r="H5340" t="n">
        <v>0</v>
      </c>
      <c r="I5340" t="n">
        <v>0</v>
      </c>
      <c r="J5340" t="n">
        <v>0</v>
      </c>
      <c r="K5340" t="n">
        <v>0</v>
      </c>
      <c r="L5340" t="n">
        <v>0</v>
      </c>
      <c r="M5340" t="n">
        <v>0</v>
      </c>
      <c r="N5340" t="n">
        <v>0</v>
      </c>
      <c r="O5340" t="n">
        <v>0</v>
      </c>
      <c r="P5340" t="n">
        <v>0</v>
      </c>
      <c r="Q5340" t="n">
        <v>0</v>
      </c>
      <c r="R5340" s="2" t="inlineStr"/>
    </row>
    <row r="5341" ht="15" customHeight="1">
      <c r="A5341" t="inlineStr">
        <is>
          <t>A 35951-2025</t>
        </is>
      </c>
      <c r="B5341" s="1" t="n">
        <v>45863.30952546297</v>
      </c>
      <c r="C5341" s="1" t="n">
        <v>46075</v>
      </c>
      <c r="D5341" t="inlineStr">
        <is>
          <t>VÄSTERBOTTENS LÄN</t>
        </is>
      </c>
      <c r="E5341" t="inlineStr">
        <is>
          <t>SKELLEFTEÅ</t>
        </is>
      </c>
      <c r="F5341" t="inlineStr">
        <is>
          <t>Holmen skog AB</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35972-2025</t>
        </is>
      </c>
      <c r="B5342" s="1" t="n">
        <v>45863.42079861111</v>
      </c>
      <c r="C5342" s="1" t="n">
        <v>46075</v>
      </c>
      <c r="D5342" t="inlineStr">
        <is>
          <t>VÄSTERBOTTENS LÄN</t>
        </is>
      </c>
      <c r="E5342" t="inlineStr">
        <is>
          <t>VINDELN</t>
        </is>
      </c>
      <c r="F5342" t="inlineStr">
        <is>
          <t>Holmen skog AB</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35976-2025</t>
        </is>
      </c>
      <c r="B5343" s="1" t="n">
        <v>45863.44001157407</v>
      </c>
      <c r="C5343" s="1" t="n">
        <v>46075</v>
      </c>
      <c r="D5343" t="inlineStr">
        <is>
          <t>VÄSTERBOTTENS LÄN</t>
        </is>
      </c>
      <c r="E5343" t="inlineStr">
        <is>
          <t>ÅSELE</t>
        </is>
      </c>
      <c r="F5343" t="inlineStr">
        <is>
          <t>Holmen skog AB</t>
        </is>
      </c>
      <c r="G5343" t="n">
        <v>4.1</v>
      </c>
      <c r="H5343" t="n">
        <v>0</v>
      </c>
      <c r="I5343" t="n">
        <v>0</v>
      </c>
      <c r="J5343" t="n">
        <v>0</v>
      </c>
      <c r="K5343" t="n">
        <v>0</v>
      </c>
      <c r="L5343" t="n">
        <v>0</v>
      </c>
      <c r="M5343" t="n">
        <v>0</v>
      </c>
      <c r="N5343" t="n">
        <v>0</v>
      </c>
      <c r="O5343" t="n">
        <v>0</v>
      </c>
      <c r="P5343" t="n">
        <v>0</v>
      </c>
      <c r="Q5343" t="n">
        <v>0</v>
      </c>
      <c r="R5343" s="2" t="inlineStr"/>
    </row>
    <row r="5344" ht="15" customHeight="1">
      <c r="A5344" t="inlineStr">
        <is>
          <t>A 35989-2025</t>
        </is>
      </c>
      <c r="B5344" s="1" t="n">
        <v>45863.46831018518</v>
      </c>
      <c r="C5344" s="1" t="n">
        <v>46075</v>
      </c>
      <c r="D5344" t="inlineStr">
        <is>
          <t>VÄSTERBOTTENS LÄN</t>
        </is>
      </c>
      <c r="E5344" t="inlineStr">
        <is>
          <t>STORUMAN</t>
        </is>
      </c>
      <c r="F5344" t="inlineStr">
        <is>
          <t>Holmen skog AB</t>
        </is>
      </c>
      <c r="G5344" t="n">
        <v>3.2</v>
      </c>
      <c r="H5344" t="n">
        <v>0</v>
      </c>
      <c r="I5344" t="n">
        <v>0</v>
      </c>
      <c r="J5344" t="n">
        <v>0</v>
      </c>
      <c r="K5344" t="n">
        <v>0</v>
      </c>
      <c r="L5344" t="n">
        <v>0</v>
      </c>
      <c r="M5344" t="n">
        <v>0</v>
      </c>
      <c r="N5344" t="n">
        <v>0</v>
      </c>
      <c r="O5344" t="n">
        <v>0</v>
      </c>
      <c r="P5344" t="n">
        <v>0</v>
      </c>
      <c r="Q5344" t="n">
        <v>0</v>
      </c>
      <c r="R5344" s="2" t="inlineStr"/>
    </row>
    <row r="5345" ht="15" customHeight="1">
      <c r="A5345" t="inlineStr">
        <is>
          <t>A 35990-2025</t>
        </is>
      </c>
      <c r="B5345" s="1" t="n">
        <v>45863.47090277778</v>
      </c>
      <c r="C5345" s="1" t="n">
        <v>46075</v>
      </c>
      <c r="D5345" t="inlineStr">
        <is>
          <t>VÄSTERBOTTENS LÄN</t>
        </is>
      </c>
      <c r="E5345" t="inlineStr">
        <is>
          <t>LYCKSELE</t>
        </is>
      </c>
      <c r="F5345" t="inlineStr">
        <is>
          <t>Sveaskog</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35992-2025</t>
        </is>
      </c>
      <c r="B5346" s="1" t="n">
        <v>45863.4765162037</v>
      </c>
      <c r="C5346" s="1" t="n">
        <v>46075</v>
      </c>
      <c r="D5346" t="inlineStr">
        <is>
          <t>VÄSTERBOTTENS LÄN</t>
        </is>
      </c>
      <c r="E5346" t="inlineStr">
        <is>
          <t>STORUMAN</t>
        </is>
      </c>
      <c r="F5346" t="inlineStr">
        <is>
          <t>Holmen skog AB</t>
        </is>
      </c>
      <c r="G5346" t="n">
        <v>8.4</v>
      </c>
      <c r="H5346" t="n">
        <v>0</v>
      </c>
      <c r="I5346" t="n">
        <v>0</v>
      </c>
      <c r="J5346" t="n">
        <v>0</v>
      </c>
      <c r="K5346" t="n">
        <v>0</v>
      </c>
      <c r="L5346" t="n">
        <v>0</v>
      </c>
      <c r="M5346" t="n">
        <v>0</v>
      </c>
      <c r="N5346" t="n">
        <v>0</v>
      </c>
      <c r="O5346" t="n">
        <v>0</v>
      </c>
      <c r="P5346" t="n">
        <v>0</v>
      </c>
      <c r="Q5346" t="n">
        <v>0</v>
      </c>
      <c r="R5346" s="2" t="inlineStr"/>
    </row>
    <row r="5347" ht="15" customHeight="1">
      <c r="A5347" t="inlineStr">
        <is>
          <t>A 41523-2024</t>
        </is>
      </c>
      <c r="B5347" s="1" t="n">
        <v>45560.48015046296</v>
      </c>
      <c r="C5347" s="1" t="n">
        <v>46075</v>
      </c>
      <c r="D5347" t="inlineStr">
        <is>
          <t>VÄSTERBOTTENS LÄN</t>
        </is>
      </c>
      <c r="E5347" t="inlineStr">
        <is>
          <t>LYCKSELE</t>
        </is>
      </c>
      <c r="F5347" t="inlineStr">
        <is>
          <t>Holmen skog AB</t>
        </is>
      </c>
      <c r="G5347" t="n">
        <v>2</v>
      </c>
      <c r="H5347" t="n">
        <v>0</v>
      </c>
      <c r="I5347" t="n">
        <v>0</v>
      </c>
      <c r="J5347" t="n">
        <v>0</v>
      </c>
      <c r="K5347" t="n">
        <v>0</v>
      </c>
      <c r="L5347" t="n">
        <v>0</v>
      </c>
      <c r="M5347" t="n">
        <v>0</v>
      </c>
      <c r="N5347" t="n">
        <v>0</v>
      </c>
      <c r="O5347" t="n">
        <v>0</v>
      </c>
      <c r="P5347" t="n">
        <v>0</v>
      </c>
      <c r="Q5347" t="n">
        <v>0</v>
      </c>
      <c r="R5347" s="2" t="inlineStr"/>
    </row>
    <row r="5348" ht="15" customHeight="1">
      <c r="A5348" t="inlineStr">
        <is>
          <t>A 45769-2025</t>
        </is>
      </c>
      <c r="B5348" s="1" t="n">
        <v>45923.53181712963</v>
      </c>
      <c r="C5348" s="1" t="n">
        <v>46075</v>
      </c>
      <c r="D5348" t="inlineStr">
        <is>
          <t>VÄSTERBOTTENS LÄN</t>
        </is>
      </c>
      <c r="E5348" t="inlineStr">
        <is>
          <t>UMEÅ</t>
        </is>
      </c>
      <c r="G5348" t="n">
        <v>11.3</v>
      </c>
      <c r="H5348" t="n">
        <v>0</v>
      </c>
      <c r="I5348" t="n">
        <v>0</v>
      </c>
      <c r="J5348" t="n">
        <v>0</v>
      </c>
      <c r="K5348" t="n">
        <v>0</v>
      </c>
      <c r="L5348" t="n">
        <v>0</v>
      </c>
      <c r="M5348" t="n">
        <v>0</v>
      </c>
      <c r="N5348" t="n">
        <v>0</v>
      </c>
      <c r="O5348" t="n">
        <v>0</v>
      </c>
      <c r="P5348" t="n">
        <v>0</v>
      </c>
      <c r="Q5348" t="n">
        <v>0</v>
      </c>
      <c r="R5348" s="2" t="inlineStr"/>
    </row>
    <row r="5349" ht="15" customHeight="1">
      <c r="A5349" t="inlineStr">
        <is>
          <t>A 47135-2023</t>
        </is>
      </c>
      <c r="B5349" s="1" t="n">
        <v>45196</v>
      </c>
      <c r="C5349" s="1" t="n">
        <v>46075</v>
      </c>
      <c r="D5349" t="inlineStr">
        <is>
          <t>VÄSTERBOTTENS LÄN</t>
        </is>
      </c>
      <c r="E5349" t="inlineStr">
        <is>
          <t>STORUMAN</t>
        </is>
      </c>
      <c r="G5349" t="n">
        <v>30.4</v>
      </c>
      <c r="H5349" t="n">
        <v>0</v>
      </c>
      <c r="I5349" t="n">
        <v>0</v>
      </c>
      <c r="J5349" t="n">
        <v>0</v>
      </c>
      <c r="K5349" t="n">
        <v>0</v>
      </c>
      <c r="L5349" t="n">
        <v>0</v>
      </c>
      <c r="M5349" t="n">
        <v>0</v>
      </c>
      <c r="N5349" t="n">
        <v>0</v>
      </c>
      <c r="O5349" t="n">
        <v>0</v>
      </c>
      <c r="P5349" t="n">
        <v>0</v>
      </c>
      <c r="Q5349" t="n">
        <v>0</v>
      </c>
      <c r="R5349" s="2" t="inlineStr"/>
    </row>
    <row r="5350" ht="15" customHeight="1">
      <c r="A5350" t="inlineStr">
        <is>
          <t>A 54449-2023</t>
        </is>
      </c>
      <c r="B5350" s="1" t="n">
        <v>45226</v>
      </c>
      <c r="C5350" s="1" t="n">
        <v>46075</v>
      </c>
      <c r="D5350" t="inlineStr">
        <is>
          <t>VÄSTERBOTTENS LÄN</t>
        </is>
      </c>
      <c r="E5350" t="inlineStr">
        <is>
          <t>SKELLEFTEÅ</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26967-2023</t>
        </is>
      </c>
      <c r="B5351" s="1" t="n">
        <v>45091</v>
      </c>
      <c r="C5351" s="1" t="n">
        <v>46075</v>
      </c>
      <c r="D5351" t="inlineStr">
        <is>
          <t>VÄSTERBOTTENS LÄN</t>
        </is>
      </c>
      <c r="E5351" t="inlineStr">
        <is>
          <t>UMEÅ</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26999-2023</t>
        </is>
      </c>
      <c r="B5352" s="1" t="n">
        <v>45093</v>
      </c>
      <c r="C5352" s="1" t="n">
        <v>46075</v>
      </c>
      <c r="D5352" t="inlineStr">
        <is>
          <t>VÄSTERBOTTENS LÄN</t>
        </is>
      </c>
      <c r="E5352" t="inlineStr">
        <is>
          <t>LYCKSELE</t>
        </is>
      </c>
      <c r="F5352" t="inlineStr">
        <is>
          <t>SCA</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45487-2025</t>
        </is>
      </c>
      <c r="B5353" s="1" t="n">
        <v>45922.55172453704</v>
      </c>
      <c r="C5353" s="1" t="n">
        <v>46075</v>
      </c>
      <c r="D5353" t="inlineStr">
        <is>
          <t>VÄSTERBOTTENS LÄN</t>
        </is>
      </c>
      <c r="E5353" t="inlineStr">
        <is>
          <t>UMEÅ</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72125-2021</t>
        </is>
      </c>
      <c r="B5354" s="1" t="n">
        <v>44543</v>
      </c>
      <c r="C5354" s="1" t="n">
        <v>46075</v>
      </c>
      <c r="D5354" t="inlineStr">
        <is>
          <t>VÄSTERBOTTENS LÄN</t>
        </is>
      </c>
      <c r="E5354" t="inlineStr">
        <is>
          <t>UMEÅ</t>
        </is>
      </c>
      <c r="G5354" t="n">
        <v>4.4</v>
      </c>
      <c r="H5354" t="n">
        <v>0</v>
      </c>
      <c r="I5354" t="n">
        <v>0</v>
      </c>
      <c r="J5354" t="n">
        <v>0</v>
      </c>
      <c r="K5354" t="n">
        <v>0</v>
      </c>
      <c r="L5354" t="n">
        <v>0</v>
      </c>
      <c r="M5354" t="n">
        <v>0</v>
      </c>
      <c r="N5354" t="n">
        <v>0</v>
      </c>
      <c r="O5354" t="n">
        <v>0</v>
      </c>
      <c r="P5354" t="n">
        <v>0</v>
      </c>
      <c r="Q5354" t="n">
        <v>0</v>
      </c>
      <c r="R5354" s="2" t="inlineStr"/>
    </row>
    <row r="5355" ht="15" customHeight="1">
      <c r="A5355" t="inlineStr">
        <is>
          <t>A 35887-2025</t>
        </is>
      </c>
      <c r="B5355" s="1" t="n">
        <v>45862.43923611111</v>
      </c>
      <c r="C5355" s="1" t="n">
        <v>46075</v>
      </c>
      <c r="D5355" t="inlineStr">
        <is>
          <t>VÄSTERBOTTENS LÄN</t>
        </is>
      </c>
      <c r="E5355" t="inlineStr">
        <is>
          <t>SKELLEFTEÅ</t>
        </is>
      </c>
      <c r="F5355" t="inlineStr">
        <is>
          <t>Holmen skog AB</t>
        </is>
      </c>
      <c r="G5355" t="n">
        <v>8.199999999999999</v>
      </c>
      <c r="H5355" t="n">
        <v>0</v>
      </c>
      <c r="I5355" t="n">
        <v>0</v>
      </c>
      <c r="J5355" t="n">
        <v>0</v>
      </c>
      <c r="K5355" t="n">
        <v>0</v>
      </c>
      <c r="L5355" t="n">
        <v>0</v>
      </c>
      <c r="M5355" t="n">
        <v>0</v>
      </c>
      <c r="N5355" t="n">
        <v>0</v>
      </c>
      <c r="O5355" t="n">
        <v>0</v>
      </c>
      <c r="P5355" t="n">
        <v>0</v>
      </c>
      <c r="Q5355" t="n">
        <v>0</v>
      </c>
      <c r="R5355" s="2" t="inlineStr"/>
    </row>
    <row r="5356" ht="15" customHeight="1">
      <c r="A5356" t="inlineStr">
        <is>
          <t>A 35886-2025</t>
        </is>
      </c>
      <c r="B5356" s="1" t="n">
        <v>45862</v>
      </c>
      <c r="C5356" s="1" t="n">
        <v>46075</v>
      </c>
      <c r="D5356" t="inlineStr">
        <is>
          <t>VÄSTERBOTTENS LÄN</t>
        </is>
      </c>
      <c r="E5356" t="inlineStr">
        <is>
          <t>VILHELMINA</t>
        </is>
      </c>
      <c r="G5356" t="n">
        <v>7</v>
      </c>
      <c r="H5356" t="n">
        <v>0</v>
      </c>
      <c r="I5356" t="n">
        <v>0</v>
      </c>
      <c r="J5356" t="n">
        <v>0</v>
      </c>
      <c r="K5356" t="n">
        <v>0</v>
      </c>
      <c r="L5356" t="n">
        <v>0</v>
      </c>
      <c r="M5356" t="n">
        <v>0</v>
      </c>
      <c r="N5356" t="n">
        <v>0</v>
      </c>
      <c r="O5356" t="n">
        <v>0</v>
      </c>
      <c r="P5356" t="n">
        <v>0</v>
      </c>
      <c r="Q5356" t="n">
        <v>0</v>
      </c>
      <c r="R5356" s="2" t="inlineStr"/>
    </row>
    <row r="5357" ht="15" customHeight="1">
      <c r="A5357" t="inlineStr">
        <is>
          <t>A 35888-2025</t>
        </is>
      </c>
      <c r="B5357" s="1" t="n">
        <v>45862.44034722223</v>
      </c>
      <c r="C5357" s="1" t="n">
        <v>46075</v>
      </c>
      <c r="D5357" t="inlineStr">
        <is>
          <t>VÄSTERBOTTENS LÄN</t>
        </is>
      </c>
      <c r="E5357" t="inlineStr">
        <is>
          <t>VILHELMINA</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35920-2025</t>
        </is>
      </c>
      <c r="B5358" s="1" t="n">
        <v>45862.56438657407</v>
      </c>
      <c r="C5358" s="1" t="n">
        <v>46075</v>
      </c>
      <c r="D5358" t="inlineStr">
        <is>
          <t>VÄSTERBOTTENS LÄN</t>
        </is>
      </c>
      <c r="E5358" t="inlineStr">
        <is>
          <t>LYCKSELE</t>
        </is>
      </c>
      <c r="F5358" t="inlineStr">
        <is>
          <t>Holmen skog AB</t>
        </is>
      </c>
      <c r="G5358" t="n">
        <v>4.2</v>
      </c>
      <c r="H5358" t="n">
        <v>0</v>
      </c>
      <c r="I5358" t="n">
        <v>0</v>
      </c>
      <c r="J5358" t="n">
        <v>0</v>
      </c>
      <c r="K5358" t="n">
        <v>0</v>
      </c>
      <c r="L5358" t="n">
        <v>0</v>
      </c>
      <c r="M5358" t="n">
        <v>0</v>
      </c>
      <c r="N5358" t="n">
        <v>0</v>
      </c>
      <c r="O5358" t="n">
        <v>0</v>
      </c>
      <c r="P5358" t="n">
        <v>0</v>
      </c>
      <c r="Q5358" t="n">
        <v>0</v>
      </c>
      <c r="R5358" s="2" t="inlineStr"/>
    </row>
    <row r="5359" ht="15" customHeight="1">
      <c r="A5359" t="inlineStr">
        <is>
          <t>A 35925-2025</t>
        </is>
      </c>
      <c r="B5359" s="1" t="n">
        <v>45862.5902662037</v>
      </c>
      <c r="C5359" s="1" t="n">
        <v>46075</v>
      </c>
      <c r="D5359" t="inlineStr">
        <is>
          <t>VÄSTERBOTTENS LÄN</t>
        </is>
      </c>
      <c r="E5359" t="inlineStr">
        <is>
          <t>SKELLEFTEÅ</t>
        </is>
      </c>
      <c r="F5359" t="inlineStr">
        <is>
          <t>Holmen skog AB</t>
        </is>
      </c>
      <c r="G5359" t="n">
        <v>2.6</v>
      </c>
      <c r="H5359" t="n">
        <v>0</v>
      </c>
      <c r="I5359" t="n">
        <v>0</v>
      </c>
      <c r="J5359" t="n">
        <v>0</v>
      </c>
      <c r="K5359" t="n">
        <v>0</v>
      </c>
      <c r="L5359" t="n">
        <v>0</v>
      </c>
      <c r="M5359" t="n">
        <v>0</v>
      </c>
      <c r="N5359" t="n">
        <v>0</v>
      </c>
      <c r="O5359" t="n">
        <v>0</v>
      </c>
      <c r="P5359" t="n">
        <v>0</v>
      </c>
      <c r="Q5359" t="n">
        <v>0</v>
      </c>
      <c r="R5359" s="2" t="inlineStr"/>
    </row>
    <row r="5360" ht="15" customHeight="1">
      <c r="A5360" t="inlineStr">
        <is>
          <t>A 72153-2021</t>
        </is>
      </c>
      <c r="B5360" s="1" t="n">
        <v>44543</v>
      </c>
      <c r="C5360" s="1" t="n">
        <v>46075</v>
      </c>
      <c r="D5360" t="inlineStr">
        <is>
          <t>VÄSTERBOTTENS LÄN</t>
        </is>
      </c>
      <c r="E5360" t="inlineStr">
        <is>
          <t>VILHELMINA</t>
        </is>
      </c>
      <c r="G5360" t="n">
        <v>6.7</v>
      </c>
      <c r="H5360" t="n">
        <v>0</v>
      </c>
      <c r="I5360" t="n">
        <v>0</v>
      </c>
      <c r="J5360" t="n">
        <v>0</v>
      </c>
      <c r="K5360" t="n">
        <v>0</v>
      </c>
      <c r="L5360" t="n">
        <v>0</v>
      </c>
      <c r="M5360" t="n">
        <v>0</v>
      </c>
      <c r="N5360" t="n">
        <v>0</v>
      </c>
      <c r="O5360" t="n">
        <v>0</v>
      </c>
      <c r="P5360" t="n">
        <v>0</v>
      </c>
      <c r="Q5360" t="n">
        <v>0</v>
      </c>
      <c r="R5360" s="2" t="inlineStr"/>
    </row>
    <row r="5361" ht="15" customHeight="1">
      <c r="A5361" t="inlineStr">
        <is>
          <t>A 71412-2021</t>
        </is>
      </c>
      <c r="B5361" s="1" t="n">
        <v>44540.39224537037</v>
      </c>
      <c r="C5361" s="1" t="n">
        <v>46075</v>
      </c>
      <c r="D5361" t="inlineStr">
        <is>
          <t>VÄSTERBOTTENS LÄN</t>
        </is>
      </c>
      <c r="E5361" t="inlineStr">
        <is>
          <t>LYCKSELE</t>
        </is>
      </c>
      <c r="G5361" t="n">
        <v>3.2</v>
      </c>
      <c r="H5361" t="n">
        <v>0</v>
      </c>
      <c r="I5361" t="n">
        <v>0</v>
      </c>
      <c r="J5361" t="n">
        <v>0</v>
      </c>
      <c r="K5361" t="n">
        <v>0</v>
      </c>
      <c r="L5361" t="n">
        <v>0</v>
      </c>
      <c r="M5361" t="n">
        <v>0</v>
      </c>
      <c r="N5361" t="n">
        <v>0</v>
      </c>
      <c r="O5361" t="n">
        <v>0</v>
      </c>
      <c r="P5361" t="n">
        <v>0</v>
      </c>
      <c r="Q5361" t="n">
        <v>0</v>
      </c>
      <c r="R5361" s="2" t="inlineStr"/>
    </row>
    <row r="5362" ht="15" customHeight="1">
      <c r="A5362" t="inlineStr">
        <is>
          <t>A 50821-2023</t>
        </is>
      </c>
      <c r="B5362" s="1" t="n">
        <v>45217.92206018518</v>
      </c>
      <c r="C5362" s="1" t="n">
        <v>46075</v>
      </c>
      <c r="D5362" t="inlineStr">
        <is>
          <t>VÄSTERBOTTENS LÄN</t>
        </is>
      </c>
      <c r="E5362" t="inlineStr">
        <is>
          <t>SKELLEFTEÅ</t>
        </is>
      </c>
      <c r="G5362" t="n">
        <v>19.3</v>
      </c>
      <c r="H5362" t="n">
        <v>0</v>
      </c>
      <c r="I5362" t="n">
        <v>0</v>
      </c>
      <c r="J5362" t="n">
        <v>0</v>
      </c>
      <c r="K5362" t="n">
        <v>0</v>
      </c>
      <c r="L5362" t="n">
        <v>0</v>
      </c>
      <c r="M5362" t="n">
        <v>0</v>
      </c>
      <c r="N5362" t="n">
        <v>0</v>
      </c>
      <c r="O5362" t="n">
        <v>0</v>
      </c>
      <c r="P5362" t="n">
        <v>0</v>
      </c>
      <c r="Q5362" t="n">
        <v>0</v>
      </c>
      <c r="R5362" s="2" t="inlineStr"/>
    </row>
    <row r="5363" ht="15" customHeight="1">
      <c r="A5363" t="inlineStr">
        <is>
          <t>A 46168-2025</t>
        </is>
      </c>
      <c r="B5363" s="1" t="n">
        <v>45924.64480324074</v>
      </c>
      <c r="C5363" s="1" t="n">
        <v>46075</v>
      </c>
      <c r="D5363" t="inlineStr">
        <is>
          <t>VÄSTERBOTTENS LÄN</t>
        </is>
      </c>
      <c r="E5363" t="inlineStr">
        <is>
          <t>ROBERTSFORS</t>
        </is>
      </c>
      <c r="F5363" t="inlineStr">
        <is>
          <t>Holmen skog AB</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46197-2025</t>
        </is>
      </c>
      <c r="B5364" s="1" t="n">
        <v>45924.68833333333</v>
      </c>
      <c r="C5364" s="1" t="n">
        <v>46075</v>
      </c>
      <c r="D5364" t="inlineStr">
        <is>
          <t>VÄSTERBOTTENS LÄN</t>
        </is>
      </c>
      <c r="E5364" t="inlineStr">
        <is>
          <t>VINDELN</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25794-2024</t>
        </is>
      </c>
      <c r="B5365" s="1" t="n">
        <v>45467</v>
      </c>
      <c r="C5365" s="1" t="n">
        <v>46075</v>
      </c>
      <c r="D5365" t="inlineStr">
        <is>
          <t>VÄSTERBOTTENS LÄN</t>
        </is>
      </c>
      <c r="E5365" t="inlineStr">
        <is>
          <t>BJURHOLM</t>
        </is>
      </c>
      <c r="F5365" t="inlineStr">
        <is>
          <t>Holmen skog AB</t>
        </is>
      </c>
      <c r="G5365" t="n">
        <v>9</v>
      </c>
      <c r="H5365" t="n">
        <v>0</v>
      </c>
      <c r="I5365" t="n">
        <v>0</v>
      </c>
      <c r="J5365" t="n">
        <v>0</v>
      </c>
      <c r="K5365" t="n">
        <v>0</v>
      </c>
      <c r="L5365" t="n">
        <v>0</v>
      </c>
      <c r="M5365" t="n">
        <v>0</v>
      </c>
      <c r="N5365" t="n">
        <v>0</v>
      </c>
      <c r="O5365" t="n">
        <v>0</v>
      </c>
      <c r="P5365" t="n">
        <v>0</v>
      </c>
      <c r="Q5365" t="n">
        <v>0</v>
      </c>
      <c r="R5365" s="2" t="inlineStr"/>
    </row>
    <row r="5366" ht="15" customHeight="1">
      <c r="A5366" t="inlineStr">
        <is>
          <t>A 45271-2025</t>
        </is>
      </c>
      <c r="B5366" s="1" t="n">
        <v>45919</v>
      </c>
      <c r="C5366" s="1" t="n">
        <v>46075</v>
      </c>
      <c r="D5366" t="inlineStr">
        <is>
          <t>VÄSTERBOTTENS LÄN</t>
        </is>
      </c>
      <c r="E5366" t="inlineStr">
        <is>
          <t>VILHELMINA</t>
        </is>
      </c>
      <c r="G5366" t="n">
        <v>8.6</v>
      </c>
      <c r="H5366" t="n">
        <v>0</v>
      </c>
      <c r="I5366" t="n">
        <v>0</v>
      </c>
      <c r="J5366" t="n">
        <v>0</v>
      </c>
      <c r="K5366" t="n">
        <v>0</v>
      </c>
      <c r="L5366" t="n">
        <v>0</v>
      </c>
      <c r="M5366" t="n">
        <v>0</v>
      </c>
      <c r="N5366" t="n">
        <v>0</v>
      </c>
      <c r="O5366" t="n">
        <v>0</v>
      </c>
      <c r="P5366" t="n">
        <v>0</v>
      </c>
      <c r="Q5366" t="n">
        <v>0</v>
      </c>
      <c r="R5366" s="2" t="inlineStr"/>
    </row>
    <row r="5367" ht="15" customHeight="1">
      <c r="A5367" t="inlineStr">
        <is>
          <t>A 58298-2022</t>
        </is>
      </c>
      <c r="B5367" s="1" t="n">
        <v>44901</v>
      </c>
      <c r="C5367" s="1" t="n">
        <v>46075</v>
      </c>
      <c r="D5367" t="inlineStr">
        <is>
          <t>VÄSTERBOTTENS LÄN</t>
        </is>
      </c>
      <c r="E5367" t="inlineStr">
        <is>
          <t>SKELLEFTEÅ</t>
        </is>
      </c>
      <c r="F5367" t="inlineStr">
        <is>
          <t>Sveaskog</t>
        </is>
      </c>
      <c r="G5367" t="n">
        <v>6.1</v>
      </c>
      <c r="H5367" t="n">
        <v>0</v>
      </c>
      <c r="I5367" t="n">
        <v>0</v>
      </c>
      <c r="J5367" t="n">
        <v>0</v>
      </c>
      <c r="K5367" t="n">
        <v>0</v>
      </c>
      <c r="L5367" t="n">
        <v>0</v>
      </c>
      <c r="M5367" t="n">
        <v>0</v>
      </c>
      <c r="N5367" t="n">
        <v>0</v>
      </c>
      <c r="O5367" t="n">
        <v>0</v>
      </c>
      <c r="P5367" t="n">
        <v>0</v>
      </c>
      <c r="Q5367" t="n">
        <v>0</v>
      </c>
      <c r="R5367" s="2" t="inlineStr"/>
    </row>
    <row r="5368" ht="15" customHeight="1">
      <c r="A5368" t="inlineStr">
        <is>
          <t>A 46035-2025</t>
        </is>
      </c>
      <c r="B5368" s="1" t="n">
        <v>45924</v>
      </c>
      <c r="C5368" s="1" t="n">
        <v>46075</v>
      </c>
      <c r="D5368" t="inlineStr">
        <is>
          <t>VÄSTERBOTTENS LÄN</t>
        </is>
      </c>
      <c r="E5368" t="inlineStr">
        <is>
          <t>NORSJÖ</t>
        </is>
      </c>
      <c r="G5368" t="n">
        <v>5.8</v>
      </c>
      <c r="H5368" t="n">
        <v>0</v>
      </c>
      <c r="I5368" t="n">
        <v>0</v>
      </c>
      <c r="J5368" t="n">
        <v>0</v>
      </c>
      <c r="K5368" t="n">
        <v>0</v>
      </c>
      <c r="L5368" t="n">
        <v>0</v>
      </c>
      <c r="M5368" t="n">
        <v>0</v>
      </c>
      <c r="N5368" t="n">
        <v>0</v>
      </c>
      <c r="O5368" t="n">
        <v>0</v>
      </c>
      <c r="P5368" t="n">
        <v>0</v>
      </c>
      <c r="Q5368" t="n">
        <v>0</v>
      </c>
      <c r="R5368" s="2" t="inlineStr"/>
    </row>
    <row r="5369" ht="15" customHeight="1">
      <c r="A5369" t="inlineStr">
        <is>
          <t>A 2737-2023</t>
        </is>
      </c>
      <c r="B5369" s="1" t="n">
        <v>44944</v>
      </c>
      <c r="C5369" s="1" t="n">
        <v>46075</v>
      </c>
      <c r="D5369" t="inlineStr">
        <is>
          <t>VÄSTERBOTTENS LÄN</t>
        </is>
      </c>
      <c r="E5369" t="inlineStr">
        <is>
          <t>UMEÅ</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35914-2025</t>
        </is>
      </c>
      <c r="B5370" s="1" t="n">
        <v>45862.5441087963</v>
      </c>
      <c r="C5370" s="1" t="n">
        <v>46075</v>
      </c>
      <c r="D5370" t="inlineStr">
        <is>
          <t>VÄSTERBOTTENS LÄN</t>
        </is>
      </c>
      <c r="E5370" t="inlineStr">
        <is>
          <t>SKELLEFTEÅ</t>
        </is>
      </c>
      <c r="F5370" t="inlineStr">
        <is>
          <t>Holmen skog AB</t>
        </is>
      </c>
      <c r="G5370" t="n">
        <v>8.1</v>
      </c>
      <c r="H5370" t="n">
        <v>0</v>
      </c>
      <c r="I5370" t="n">
        <v>0</v>
      </c>
      <c r="J5370" t="n">
        <v>0</v>
      </c>
      <c r="K5370" t="n">
        <v>0</v>
      </c>
      <c r="L5370" t="n">
        <v>0</v>
      </c>
      <c r="M5370" t="n">
        <v>0</v>
      </c>
      <c r="N5370" t="n">
        <v>0</v>
      </c>
      <c r="O5370" t="n">
        <v>0</v>
      </c>
      <c r="P5370" t="n">
        <v>0</v>
      </c>
      <c r="Q5370" t="n">
        <v>0</v>
      </c>
      <c r="R5370" s="2" t="inlineStr"/>
    </row>
    <row r="5371" ht="15" customHeight="1">
      <c r="A5371" t="inlineStr">
        <is>
          <t>A 35954-2025</t>
        </is>
      </c>
      <c r="B5371" s="1" t="n">
        <v>45863.31778935185</v>
      </c>
      <c r="C5371" s="1" t="n">
        <v>46075</v>
      </c>
      <c r="D5371" t="inlineStr">
        <is>
          <t>VÄSTERBOTTENS LÄN</t>
        </is>
      </c>
      <c r="E5371" t="inlineStr">
        <is>
          <t>SKELLEFTEÅ</t>
        </is>
      </c>
      <c r="F5371" t="inlineStr">
        <is>
          <t>Holmen skog AB</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45964-2025</t>
        </is>
      </c>
      <c r="B5372" s="1" t="n">
        <v>45924.3553587963</v>
      </c>
      <c r="C5372" s="1" t="n">
        <v>46075</v>
      </c>
      <c r="D5372" t="inlineStr">
        <is>
          <t>VÄSTERBOTTENS LÄN</t>
        </is>
      </c>
      <c r="E5372" t="inlineStr">
        <is>
          <t>SKELLEFTEÅ</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46480-2025</t>
        </is>
      </c>
      <c r="B5373" s="1" t="n">
        <v>45925.6988425926</v>
      </c>
      <c r="C5373" s="1" t="n">
        <v>46075</v>
      </c>
      <c r="D5373" t="inlineStr">
        <is>
          <t>VÄSTERBOTTENS LÄN</t>
        </is>
      </c>
      <c r="E5373" t="inlineStr">
        <is>
          <t>SKELLEFTEÅ</t>
        </is>
      </c>
      <c r="F5373" t="inlineStr">
        <is>
          <t>Sveaskog</t>
        </is>
      </c>
      <c r="G5373" t="n">
        <v>13.8</v>
      </c>
      <c r="H5373" t="n">
        <v>0</v>
      </c>
      <c r="I5373" t="n">
        <v>0</v>
      </c>
      <c r="J5373" t="n">
        <v>0</v>
      </c>
      <c r="K5373" t="n">
        <v>0</v>
      </c>
      <c r="L5373" t="n">
        <v>0</v>
      </c>
      <c r="M5373" t="n">
        <v>0</v>
      </c>
      <c r="N5373" t="n">
        <v>0</v>
      </c>
      <c r="O5373" t="n">
        <v>0</v>
      </c>
      <c r="P5373" t="n">
        <v>0</v>
      </c>
      <c r="Q5373" t="n">
        <v>0</v>
      </c>
      <c r="R5373" s="2" t="inlineStr"/>
    </row>
    <row r="5374" ht="15" customHeight="1">
      <c r="A5374" t="inlineStr">
        <is>
          <t>A 34399-2024</t>
        </is>
      </c>
      <c r="B5374" s="1" t="n">
        <v>45525</v>
      </c>
      <c r="C5374" s="1" t="n">
        <v>46075</v>
      </c>
      <c r="D5374" t="inlineStr">
        <is>
          <t>VÄSTERBOTTENS LÄN</t>
        </is>
      </c>
      <c r="E5374" t="inlineStr">
        <is>
          <t>STORUMAN</t>
        </is>
      </c>
      <c r="F5374" t="inlineStr">
        <is>
          <t>Övriga statliga verk och myndigheter</t>
        </is>
      </c>
      <c r="G5374" t="n">
        <v>10.6</v>
      </c>
      <c r="H5374" t="n">
        <v>0</v>
      </c>
      <c r="I5374" t="n">
        <v>0</v>
      </c>
      <c r="J5374" t="n">
        <v>0</v>
      </c>
      <c r="K5374" t="n">
        <v>0</v>
      </c>
      <c r="L5374" t="n">
        <v>0</v>
      </c>
      <c r="M5374" t="n">
        <v>0</v>
      </c>
      <c r="N5374" t="n">
        <v>0</v>
      </c>
      <c r="O5374" t="n">
        <v>0</v>
      </c>
      <c r="P5374" t="n">
        <v>0</v>
      </c>
      <c r="Q5374" t="n">
        <v>0</v>
      </c>
      <c r="R5374" s="2" t="inlineStr"/>
    </row>
    <row r="5375" ht="15" customHeight="1">
      <c r="A5375" t="inlineStr">
        <is>
          <t>A 28525-2021</t>
        </is>
      </c>
      <c r="B5375" s="1" t="n">
        <v>44356</v>
      </c>
      <c r="C5375" s="1" t="n">
        <v>46075</v>
      </c>
      <c r="D5375" t="inlineStr">
        <is>
          <t>VÄSTERBOTTENS LÄN</t>
        </is>
      </c>
      <c r="E5375" t="inlineStr">
        <is>
          <t>SKELLEFTEÅ</t>
        </is>
      </c>
      <c r="F5375" t="inlineStr">
        <is>
          <t>Kyrkan</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36370-2025</t>
        </is>
      </c>
      <c r="B5376" s="1" t="n">
        <v>45867</v>
      </c>
      <c r="C5376" s="1" t="n">
        <v>46075</v>
      </c>
      <c r="D5376" t="inlineStr">
        <is>
          <t>VÄSTERBOTTENS LÄN</t>
        </is>
      </c>
      <c r="E5376" t="inlineStr">
        <is>
          <t>ÅSELE</t>
        </is>
      </c>
      <c r="G5376" t="n">
        <v>4.3</v>
      </c>
      <c r="H5376" t="n">
        <v>0</v>
      </c>
      <c r="I5376" t="n">
        <v>0</v>
      </c>
      <c r="J5376" t="n">
        <v>0</v>
      </c>
      <c r="K5376" t="n">
        <v>0</v>
      </c>
      <c r="L5376" t="n">
        <v>0</v>
      </c>
      <c r="M5376" t="n">
        <v>0</v>
      </c>
      <c r="N5376" t="n">
        <v>0</v>
      </c>
      <c r="O5376" t="n">
        <v>0</v>
      </c>
      <c r="P5376" t="n">
        <v>0</v>
      </c>
      <c r="Q5376" t="n">
        <v>0</v>
      </c>
      <c r="R5376" s="2" t="inlineStr"/>
    </row>
    <row r="5377" ht="15" customHeight="1">
      <c r="A5377" t="inlineStr">
        <is>
          <t>A 46413-2022</t>
        </is>
      </c>
      <c r="B5377" s="1" t="n">
        <v>44846</v>
      </c>
      <c r="C5377" s="1" t="n">
        <v>46075</v>
      </c>
      <c r="D5377" t="inlineStr">
        <is>
          <t>VÄSTERBOTTENS LÄN</t>
        </is>
      </c>
      <c r="E5377" t="inlineStr">
        <is>
          <t>UMEÅ</t>
        </is>
      </c>
      <c r="G5377" t="n">
        <v>8.199999999999999</v>
      </c>
      <c r="H5377" t="n">
        <v>0</v>
      </c>
      <c r="I5377" t="n">
        <v>0</v>
      </c>
      <c r="J5377" t="n">
        <v>0</v>
      </c>
      <c r="K5377" t="n">
        <v>0</v>
      </c>
      <c r="L5377" t="n">
        <v>0</v>
      </c>
      <c r="M5377" t="n">
        <v>0</v>
      </c>
      <c r="N5377" t="n">
        <v>0</v>
      </c>
      <c r="O5377" t="n">
        <v>0</v>
      </c>
      <c r="P5377" t="n">
        <v>0</v>
      </c>
      <c r="Q5377" t="n">
        <v>0</v>
      </c>
      <c r="R5377" s="2" t="inlineStr"/>
    </row>
    <row r="5378" ht="15" customHeight="1">
      <c r="A5378" t="inlineStr">
        <is>
          <t>A 46193-2025</t>
        </is>
      </c>
      <c r="B5378" s="1" t="n">
        <v>45924.67805555555</v>
      </c>
      <c r="C5378" s="1" t="n">
        <v>46075</v>
      </c>
      <c r="D5378" t="inlineStr">
        <is>
          <t>VÄSTERBOTTENS LÄN</t>
        </is>
      </c>
      <c r="E5378" t="inlineStr">
        <is>
          <t>BJURHOLM</t>
        </is>
      </c>
      <c r="F5378" t="inlineStr">
        <is>
          <t>SCA</t>
        </is>
      </c>
      <c r="G5378" t="n">
        <v>4.5</v>
      </c>
      <c r="H5378" t="n">
        <v>0</v>
      </c>
      <c r="I5378" t="n">
        <v>0</v>
      </c>
      <c r="J5378" t="n">
        <v>0</v>
      </c>
      <c r="K5378" t="n">
        <v>0</v>
      </c>
      <c r="L5378" t="n">
        <v>0</v>
      </c>
      <c r="M5378" t="n">
        <v>0</v>
      </c>
      <c r="N5378" t="n">
        <v>0</v>
      </c>
      <c r="O5378" t="n">
        <v>0</v>
      </c>
      <c r="P5378" t="n">
        <v>0</v>
      </c>
      <c r="Q5378" t="n">
        <v>0</v>
      </c>
      <c r="R5378" s="2" t="inlineStr"/>
    </row>
    <row r="5379" ht="15" customHeight="1">
      <c r="A5379" t="inlineStr">
        <is>
          <t>A 36281-2025</t>
        </is>
      </c>
      <c r="B5379" s="1" t="n">
        <v>45867.64376157407</v>
      </c>
      <c r="C5379" s="1" t="n">
        <v>46075</v>
      </c>
      <c r="D5379" t="inlineStr">
        <is>
          <t>VÄSTERBOTTENS LÄN</t>
        </is>
      </c>
      <c r="E5379" t="inlineStr">
        <is>
          <t>NORDMALING</t>
        </is>
      </c>
      <c r="G5379" t="n">
        <v>5</v>
      </c>
      <c r="H5379" t="n">
        <v>0</v>
      </c>
      <c r="I5379" t="n">
        <v>0</v>
      </c>
      <c r="J5379" t="n">
        <v>0</v>
      </c>
      <c r="K5379" t="n">
        <v>0</v>
      </c>
      <c r="L5379" t="n">
        <v>0</v>
      </c>
      <c r="M5379" t="n">
        <v>0</v>
      </c>
      <c r="N5379" t="n">
        <v>0</v>
      </c>
      <c r="O5379" t="n">
        <v>0</v>
      </c>
      <c r="P5379" t="n">
        <v>0</v>
      </c>
      <c r="Q5379" t="n">
        <v>0</v>
      </c>
      <c r="R5379" s="2" t="inlineStr"/>
    </row>
    <row r="5380" ht="15" customHeight="1">
      <c r="A5380" t="inlineStr">
        <is>
          <t>A 36077-2025</t>
        </is>
      </c>
      <c r="B5380" s="1" t="n">
        <v>45866.44303240741</v>
      </c>
      <c r="C5380" s="1" t="n">
        <v>46075</v>
      </c>
      <c r="D5380" t="inlineStr">
        <is>
          <t>VÄSTERBOTTENS LÄN</t>
        </is>
      </c>
      <c r="E5380" t="inlineStr">
        <is>
          <t>NORDMALING</t>
        </is>
      </c>
      <c r="G5380" t="n">
        <v>3.4</v>
      </c>
      <c r="H5380" t="n">
        <v>0</v>
      </c>
      <c r="I5380" t="n">
        <v>0</v>
      </c>
      <c r="J5380" t="n">
        <v>0</v>
      </c>
      <c r="K5380" t="n">
        <v>0</v>
      </c>
      <c r="L5380" t="n">
        <v>0</v>
      </c>
      <c r="M5380" t="n">
        <v>0</v>
      </c>
      <c r="N5380" t="n">
        <v>0</v>
      </c>
      <c r="O5380" t="n">
        <v>0</v>
      </c>
      <c r="P5380" t="n">
        <v>0</v>
      </c>
      <c r="Q5380" t="n">
        <v>0</v>
      </c>
      <c r="R5380" s="2" t="inlineStr"/>
    </row>
    <row r="5381" ht="15" customHeight="1">
      <c r="A5381" t="inlineStr">
        <is>
          <t>A 46077-2025</t>
        </is>
      </c>
      <c r="B5381" s="1" t="n">
        <v>45924.50491898148</v>
      </c>
      <c r="C5381" s="1" t="n">
        <v>46075</v>
      </c>
      <c r="D5381" t="inlineStr">
        <is>
          <t>VÄSTERBOTTENS LÄN</t>
        </is>
      </c>
      <c r="E5381" t="inlineStr">
        <is>
          <t>LYCKSELE</t>
        </is>
      </c>
      <c r="F5381" t="inlineStr">
        <is>
          <t>Holmen skog AB</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46065-2025</t>
        </is>
      </c>
      <c r="B5382" s="1" t="n">
        <v>45924.48327546296</v>
      </c>
      <c r="C5382" s="1" t="n">
        <v>46075</v>
      </c>
      <c r="D5382" t="inlineStr">
        <is>
          <t>VÄSTERBOTTENS LÄN</t>
        </is>
      </c>
      <c r="E5382" t="inlineStr">
        <is>
          <t>UMEÅ</t>
        </is>
      </c>
      <c r="G5382" t="n">
        <v>2.3</v>
      </c>
      <c r="H5382" t="n">
        <v>0</v>
      </c>
      <c r="I5382" t="n">
        <v>0</v>
      </c>
      <c r="J5382" t="n">
        <v>0</v>
      </c>
      <c r="K5382" t="n">
        <v>0</v>
      </c>
      <c r="L5382" t="n">
        <v>0</v>
      </c>
      <c r="M5382" t="n">
        <v>0</v>
      </c>
      <c r="N5382" t="n">
        <v>0</v>
      </c>
      <c r="O5382" t="n">
        <v>0</v>
      </c>
      <c r="P5382" t="n">
        <v>0</v>
      </c>
      <c r="Q5382" t="n">
        <v>0</v>
      </c>
      <c r="R5382" s="2" t="inlineStr"/>
    </row>
    <row r="5383" ht="15" customHeight="1">
      <c r="A5383" t="inlineStr">
        <is>
          <t>A 36233-2025</t>
        </is>
      </c>
      <c r="B5383" s="1" t="n">
        <v>45867.54707175926</v>
      </c>
      <c r="C5383" s="1" t="n">
        <v>46075</v>
      </c>
      <c r="D5383" t="inlineStr">
        <is>
          <t>VÄSTERBOTTENS LÄN</t>
        </is>
      </c>
      <c r="E5383" t="inlineStr">
        <is>
          <t>UMEÅ</t>
        </is>
      </c>
      <c r="F5383" t="inlineStr">
        <is>
          <t>Holmen skog AB</t>
        </is>
      </c>
      <c r="G5383" t="n">
        <v>3.9</v>
      </c>
      <c r="H5383" t="n">
        <v>0</v>
      </c>
      <c r="I5383" t="n">
        <v>0</v>
      </c>
      <c r="J5383" t="n">
        <v>0</v>
      </c>
      <c r="K5383" t="n">
        <v>0</v>
      </c>
      <c r="L5383" t="n">
        <v>0</v>
      </c>
      <c r="M5383" t="n">
        <v>0</v>
      </c>
      <c r="N5383" t="n">
        <v>0</v>
      </c>
      <c r="O5383" t="n">
        <v>0</v>
      </c>
      <c r="P5383" t="n">
        <v>0</v>
      </c>
      <c r="Q5383" t="n">
        <v>0</v>
      </c>
      <c r="R5383" s="2" t="inlineStr"/>
    </row>
    <row r="5384" ht="15" customHeight="1">
      <c r="A5384" t="inlineStr">
        <is>
          <t>A 36262-2025</t>
        </is>
      </c>
      <c r="B5384" s="1" t="n">
        <v>45867.61493055556</v>
      </c>
      <c r="C5384" s="1" t="n">
        <v>46075</v>
      </c>
      <c r="D5384" t="inlineStr">
        <is>
          <t>VÄSTERBOTTENS LÄN</t>
        </is>
      </c>
      <c r="E5384" t="inlineStr">
        <is>
          <t>VINDELN</t>
        </is>
      </c>
      <c r="F5384" t="inlineStr">
        <is>
          <t>SCA</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36264-2025</t>
        </is>
      </c>
      <c r="B5385" s="1" t="n">
        <v>45867.61530092593</v>
      </c>
      <c r="C5385" s="1" t="n">
        <v>46075</v>
      </c>
      <c r="D5385" t="inlineStr">
        <is>
          <t>VÄSTERBOTTENS LÄN</t>
        </is>
      </c>
      <c r="E5385" t="inlineStr">
        <is>
          <t>BJURHOLM</t>
        </is>
      </c>
      <c r="F5385" t="inlineStr">
        <is>
          <t>SCA</t>
        </is>
      </c>
      <c r="G5385" t="n">
        <v>4.9</v>
      </c>
      <c r="H5385" t="n">
        <v>0</v>
      </c>
      <c r="I5385" t="n">
        <v>0</v>
      </c>
      <c r="J5385" t="n">
        <v>0</v>
      </c>
      <c r="K5385" t="n">
        <v>0</v>
      </c>
      <c r="L5385" t="n">
        <v>0</v>
      </c>
      <c r="M5385" t="n">
        <v>0</v>
      </c>
      <c r="N5385" t="n">
        <v>0</v>
      </c>
      <c r="O5385" t="n">
        <v>0</v>
      </c>
      <c r="P5385" t="n">
        <v>0</v>
      </c>
      <c r="Q5385" t="n">
        <v>0</v>
      </c>
      <c r="R5385" s="2" t="inlineStr"/>
    </row>
    <row r="5386" ht="15" customHeight="1">
      <c r="A5386" t="inlineStr">
        <is>
          <t>A 46271-2025</t>
        </is>
      </c>
      <c r="B5386" s="1" t="n">
        <v>45925.36983796296</v>
      </c>
      <c r="C5386" s="1" t="n">
        <v>46075</v>
      </c>
      <c r="D5386" t="inlineStr">
        <is>
          <t>VÄSTERBOTTENS LÄN</t>
        </is>
      </c>
      <c r="E5386" t="inlineStr">
        <is>
          <t>NORSJÖ</t>
        </is>
      </c>
      <c r="F5386" t="inlineStr">
        <is>
          <t>Holmen skog AB</t>
        </is>
      </c>
      <c r="G5386" t="n">
        <v>29.5</v>
      </c>
      <c r="H5386" t="n">
        <v>0</v>
      </c>
      <c r="I5386" t="n">
        <v>0</v>
      </c>
      <c r="J5386" t="n">
        <v>0</v>
      </c>
      <c r="K5386" t="n">
        <v>0</v>
      </c>
      <c r="L5386" t="n">
        <v>0</v>
      </c>
      <c r="M5386" t="n">
        <v>0</v>
      </c>
      <c r="N5386" t="n">
        <v>0</v>
      </c>
      <c r="O5386" t="n">
        <v>0</v>
      </c>
      <c r="P5386" t="n">
        <v>0</v>
      </c>
      <c r="Q5386" t="n">
        <v>0</v>
      </c>
      <c r="R5386" s="2" t="inlineStr"/>
    </row>
    <row r="5387" ht="15" customHeight="1">
      <c r="A5387" t="inlineStr">
        <is>
          <t>A 46291-2025</t>
        </is>
      </c>
      <c r="B5387" s="1" t="n">
        <v>45925</v>
      </c>
      <c r="C5387" s="1" t="n">
        <v>46075</v>
      </c>
      <c r="D5387" t="inlineStr">
        <is>
          <t>VÄSTERBOTTENS LÄN</t>
        </is>
      </c>
      <c r="E5387" t="inlineStr">
        <is>
          <t>SKELLEFTEÅ</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36111-2025</t>
        </is>
      </c>
      <c r="B5388" s="1" t="n">
        <v>45866.57357638889</v>
      </c>
      <c r="C5388" s="1" t="n">
        <v>46075</v>
      </c>
      <c r="D5388" t="inlineStr">
        <is>
          <t>VÄSTERBOTTENS LÄN</t>
        </is>
      </c>
      <c r="E5388" t="inlineStr">
        <is>
          <t>DOROTEA</t>
        </is>
      </c>
      <c r="F5388" t="inlineStr">
        <is>
          <t>SCA</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46241-2025</t>
        </is>
      </c>
      <c r="B5389" s="1" t="n">
        <v>45925</v>
      </c>
      <c r="C5389" s="1" t="n">
        <v>46075</v>
      </c>
      <c r="D5389" t="inlineStr">
        <is>
          <t>VÄSTERBOTTENS LÄN</t>
        </is>
      </c>
      <c r="E5389" t="inlineStr">
        <is>
          <t>VINDELN</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9841-2025</t>
        </is>
      </c>
      <c r="B5390" s="1" t="n">
        <v>45716.60512731481</v>
      </c>
      <c r="C5390" s="1" t="n">
        <v>46075</v>
      </c>
      <c r="D5390" t="inlineStr">
        <is>
          <t>VÄSTERBOTTENS LÄN</t>
        </is>
      </c>
      <c r="E5390" t="inlineStr">
        <is>
          <t>SKELLEFTEÅ</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18639-2022</t>
        </is>
      </c>
      <c r="B5391" s="1" t="n">
        <v>44687</v>
      </c>
      <c r="C5391" s="1" t="n">
        <v>46075</v>
      </c>
      <c r="D5391" t="inlineStr">
        <is>
          <t>VÄSTERBOTTENS LÄN</t>
        </is>
      </c>
      <c r="E5391" t="inlineStr">
        <is>
          <t>NORDMALING</t>
        </is>
      </c>
      <c r="G5391" t="n">
        <v>4.4</v>
      </c>
      <c r="H5391" t="n">
        <v>0</v>
      </c>
      <c r="I5391" t="n">
        <v>0</v>
      </c>
      <c r="J5391" t="n">
        <v>0</v>
      </c>
      <c r="K5391" t="n">
        <v>0</v>
      </c>
      <c r="L5391" t="n">
        <v>0</v>
      </c>
      <c r="M5391" t="n">
        <v>0</v>
      </c>
      <c r="N5391" t="n">
        <v>0</v>
      </c>
      <c r="O5391" t="n">
        <v>0</v>
      </c>
      <c r="P5391" t="n">
        <v>0</v>
      </c>
      <c r="Q5391" t="n">
        <v>0</v>
      </c>
      <c r="R5391" s="2" t="inlineStr"/>
    </row>
    <row r="5392" ht="15" customHeight="1">
      <c r="A5392" t="inlineStr">
        <is>
          <t>A 31672-2023</t>
        </is>
      </c>
      <c r="B5392" s="1" t="n">
        <v>45117.65966435185</v>
      </c>
      <c r="C5392" s="1" t="n">
        <v>46075</v>
      </c>
      <c r="D5392" t="inlineStr">
        <is>
          <t>VÄSTERBOTTENS LÄN</t>
        </is>
      </c>
      <c r="E5392" t="inlineStr">
        <is>
          <t>SKELLEFTEÅ</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60811-2022</t>
        </is>
      </c>
      <c r="B5393" s="1" t="n">
        <v>44914.46180555555</v>
      </c>
      <c r="C5393" s="1" t="n">
        <v>46075</v>
      </c>
      <c r="D5393" t="inlineStr">
        <is>
          <t>VÄSTERBOTTENS LÄN</t>
        </is>
      </c>
      <c r="E5393" t="inlineStr">
        <is>
          <t>UMEÅ</t>
        </is>
      </c>
      <c r="F5393" t="inlineStr">
        <is>
          <t>Holmen skog AB</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27918-2022</t>
        </is>
      </c>
      <c r="B5394" s="1" t="n">
        <v>44743.94145833333</v>
      </c>
      <c r="C5394" s="1" t="n">
        <v>46075</v>
      </c>
      <c r="D5394" t="inlineStr">
        <is>
          <t>VÄSTERBOTTENS LÄN</t>
        </is>
      </c>
      <c r="E5394" t="inlineStr">
        <is>
          <t>VILHELMINA</t>
        </is>
      </c>
      <c r="F5394" t="inlineStr">
        <is>
          <t>SCA</t>
        </is>
      </c>
      <c r="G5394" t="n">
        <v>3.8</v>
      </c>
      <c r="H5394" t="n">
        <v>0</v>
      </c>
      <c r="I5394" t="n">
        <v>0</v>
      </c>
      <c r="J5394" t="n">
        <v>0</v>
      </c>
      <c r="K5394" t="n">
        <v>0</v>
      </c>
      <c r="L5394" t="n">
        <v>0</v>
      </c>
      <c r="M5394" t="n">
        <v>0</v>
      </c>
      <c r="N5394" t="n">
        <v>0</v>
      </c>
      <c r="O5394" t="n">
        <v>0</v>
      </c>
      <c r="P5394" t="n">
        <v>0</v>
      </c>
      <c r="Q5394" t="n">
        <v>0</v>
      </c>
      <c r="R5394" s="2" t="inlineStr"/>
    </row>
    <row r="5395" ht="15" customHeight="1">
      <c r="A5395" t="inlineStr">
        <is>
          <t>A 36161-2025</t>
        </is>
      </c>
      <c r="B5395" s="1" t="n">
        <v>45867.3653587963</v>
      </c>
      <c r="C5395" s="1" t="n">
        <v>46075</v>
      </c>
      <c r="D5395" t="inlineStr">
        <is>
          <t>VÄSTERBOTTENS LÄN</t>
        </is>
      </c>
      <c r="E5395" t="inlineStr">
        <is>
          <t>DOROTEA</t>
        </is>
      </c>
      <c r="F5395" t="inlineStr">
        <is>
          <t>SCA</t>
        </is>
      </c>
      <c r="G5395" t="n">
        <v>14.2</v>
      </c>
      <c r="H5395" t="n">
        <v>0</v>
      </c>
      <c r="I5395" t="n">
        <v>0</v>
      </c>
      <c r="J5395" t="n">
        <v>0</v>
      </c>
      <c r="K5395" t="n">
        <v>0</v>
      </c>
      <c r="L5395" t="n">
        <v>0</v>
      </c>
      <c r="M5395" t="n">
        <v>0</v>
      </c>
      <c r="N5395" t="n">
        <v>0</v>
      </c>
      <c r="O5395" t="n">
        <v>0</v>
      </c>
      <c r="P5395" t="n">
        <v>0</v>
      </c>
      <c r="Q5395" t="n">
        <v>0</v>
      </c>
      <c r="R5395" s="2" t="inlineStr"/>
    </row>
    <row r="5396" ht="15" customHeight="1">
      <c r="A5396" t="inlineStr">
        <is>
          <t>A 46062-2025</t>
        </is>
      </c>
      <c r="B5396" s="1" t="n">
        <v>45924.4768287037</v>
      </c>
      <c r="C5396" s="1" t="n">
        <v>46075</v>
      </c>
      <c r="D5396" t="inlineStr">
        <is>
          <t>VÄSTERBOTTENS LÄN</t>
        </is>
      </c>
      <c r="E5396" t="inlineStr">
        <is>
          <t>UMEÅ</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36217-2025</t>
        </is>
      </c>
      <c r="B5397" s="1" t="n">
        <v>45867.49550925926</v>
      </c>
      <c r="C5397" s="1" t="n">
        <v>46075</v>
      </c>
      <c r="D5397" t="inlineStr">
        <is>
          <t>VÄSTERBOTTENS LÄN</t>
        </is>
      </c>
      <c r="E5397" t="inlineStr">
        <is>
          <t>UMEÅ</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46206-2025</t>
        </is>
      </c>
      <c r="B5398" s="1" t="n">
        <v>45924.7058912037</v>
      </c>
      <c r="C5398" s="1" t="n">
        <v>46075</v>
      </c>
      <c r="D5398" t="inlineStr">
        <is>
          <t>VÄSTERBOTTENS LÄN</t>
        </is>
      </c>
      <c r="E5398" t="inlineStr">
        <is>
          <t>VINDELN</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46208-2025</t>
        </is>
      </c>
      <c r="B5399" s="1" t="n">
        <v>45924.70636574074</v>
      </c>
      <c r="C5399" s="1" t="n">
        <v>46075</v>
      </c>
      <c r="D5399" t="inlineStr">
        <is>
          <t>VÄSTERBOTTENS LÄN</t>
        </is>
      </c>
      <c r="E5399" t="inlineStr">
        <is>
          <t>VINDELN</t>
        </is>
      </c>
      <c r="G5399" t="n">
        <v>4.7</v>
      </c>
      <c r="H5399" t="n">
        <v>0</v>
      </c>
      <c r="I5399" t="n">
        <v>0</v>
      </c>
      <c r="J5399" t="n">
        <v>0</v>
      </c>
      <c r="K5399" t="n">
        <v>0</v>
      </c>
      <c r="L5399" t="n">
        <v>0</v>
      </c>
      <c r="M5399" t="n">
        <v>0</v>
      </c>
      <c r="N5399" t="n">
        <v>0</v>
      </c>
      <c r="O5399" t="n">
        <v>0</v>
      </c>
      <c r="P5399" t="n">
        <v>0</v>
      </c>
      <c r="Q5399" t="n">
        <v>0</v>
      </c>
      <c r="R5399" s="2" t="inlineStr"/>
    </row>
    <row r="5400" ht="15" customHeight="1">
      <c r="A5400" t="inlineStr">
        <is>
          <t>A 46210-2025</t>
        </is>
      </c>
      <c r="B5400" s="1" t="n">
        <v>45924.7065625</v>
      </c>
      <c r="C5400" s="1" t="n">
        <v>46075</v>
      </c>
      <c r="D5400" t="inlineStr">
        <is>
          <t>VÄSTERBOTTENS LÄN</t>
        </is>
      </c>
      <c r="E5400" t="inlineStr">
        <is>
          <t>VINDELN</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42268-2024</t>
        </is>
      </c>
      <c r="B5401" s="1" t="n">
        <v>45562.5971412037</v>
      </c>
      <c r="C5401" s="1" t="n">
        <v>46075</v>
      </c>
      <c r="D5401" t="inlineStr">
        <is>
          <t>VÄSTERBOTTENS LÄN</t>
        </is>
      </c>
      <c r="E5401" t="inlineStr">
        <is>
          <t>ÅSELE</t>
        </is>
      </c>
      <c r="F5401" t="inlineStr">
        <is>
          <t>Naturvårdsverket</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42301-2024</t>
        </is>
      </c>
      <c r="B5402" s="1" t="n">
        <v>45562.62887731481</v>
      </c>
      <c r="C5402" s="1" t="n">
        <v>46075</v>
      </c>
      <c r="D5402" t="inlineStr">
        <is>
          <t>VÄSTERBOTTENS LÄN</t>
        </is>
      </c>
      <c r="E5402" t="inlineStr">
        <is>
          <t>ÅSELE</t>
        </is>
      </c>
      <c r="F5402" t="inlineStr">
        <is>
          <t>Holmen skog AB</t>
        </is>
      </c>
      <c r="G5402" t="n">
        <v>6.2</v>
      </c>
      <c r="H5402" t="n">
        <v>0</v>
      </c>
      <c r="I5402" t="n">
        <v>0</v>
      </c>
      <c r="J5402" t="n">
        <v>0</v>
      </c>
      <c r="K5402" t="n">
        <v>0</v>
      </c>
      <c r="L5402" t="n">
        <v>0</v>
      </c>
      <c r="M5402" t="n">
        <v>0</v>
      </c>
      <c r="N5402" t="n">
        <v>0</v>
      </c>
      <c r="O5402" t="n">
        <v>0</v>
      </c>
      <c r="P5402" t="n">
        <v>0</v>
      </c>
      <c r="Q5402" t="n">
        <v>0</v>
      </c>
      <c r="R5402" s="2" t="inlineStr"/>
    </row>
    <row r="5403" ht="15" customHeight="1">
      <c r="A5403" t="inlineStr">
        <is>
          <t>A 42320-2024</t>
        </is>
      </c>
      <c r="B5403" s="1" t="n">
        <v>45562.64625</v>
      </c>
      <c r="C5403" s="1" t="n">
        <v>46075</v>
      </c>
      <c r="D5403" t="inlineStr">
        <is>
          <t>VÄSTERBOTTENS LÄN</t>
        </is>
      </c>
      <c r="E5403" t="inlineStr">
        <is>
          <t>NORDMALING</t>
        </is>
      </c>
      <c r="G5403" t="n">
        <v>3.1</v>
      </c>
      <c r="H5403" t="n">
        <v>0</v>
      </c>
      <c r="I5403" t="n">
        <v>0</v>
      </c>
      <c r="J5403" t="n">
        <v>0</v>
      </c>
      <c r="K5403" t="n">
        <v>0</v>
      </c>
      <c r="L5403" t="n">
        <v>0</v>
      </c>
      <c r="M5403" t="n">
        <v>0</v>
      </c>
      <c r="N5403" t="n">
        <v>0</v>
      </c>
      <c r="O5403" t="n">
        <v>0</v>
      </c>
      <c r="P5403" t="n">
        <v>0</v>
      </c>
      <c r="Q5403" t="n">
        <v>0</v>
      </c>
      <c r="R5403" s="2" t="inlineStr"/>
    </row>
    <row r="5404" ht="15" customHeight="1">
      <c r="A5404" t="inlineStr">
        <is>
          <t>A 36363-2025</t>
        </is>
      </c>
      <c r="B5404" s="1" t="n">
        <v>45867</v>
      </c>
      <c r="C5404" s="1" t="n">
        <v>46075</v>
      </c>
      <c r="D5404" t="inlineStr">
        <is>
          <t>VÄSTERBOTTENS LÄN</t>
        </is>
      </c>
      <c r="E5404" t="inlineStr">
        <is>
          <t>DOROTEA</t>
        </is>
      </c>
      <c r="G5404" t="n">
        <v>6.5</v>
      </c>
      <c r="H5404" t="n">
        <v>0</v>
      </c>
      <c r="I5404" t="n">
        <v>0</v>
      </c>
      <c r="J5404" t="n">
        <v>0</v>
      </c>
      <c r="K5404" t="n">
        <v>0</v>
      </c>
      <c r="L5404" t="n">
        <v>0</v>
      </c>
      <c r="M5404" t="n">
        <v>0</v>
      </c>
      <c r="N5404" t="n">
        <v>0</v>
      </c>
      <c r="O5404" t="n">
        <v>0</v>
      </c>
      <c r="P5404" t="n">
        <v>0</v>
      </c>
      <c r="Q5404" t="n">
        <v>0</v>
      </c>
      <c r="R5404" s="2" t="inlineStr"/>
    </row>
    <row r="5405" ht="15" customHeight="1">
      <c r="A5405" t="inlineStr">
        <is>
          <t>A 46413-2025</t>
        </is>
      </c>
      <c r="B5405" s="1" t="n">
        <v>45925.57604166667</v>
      </c>
      <c r="C5405" s="1" t="n">
        <v>46075</v>
      </c>
      <c r="D5405" t="inlineStr">
        <is>
          <t>VÄSTERBOTTENS LÄN</t>
        </is>
      </c>
      <c r="E5405" t="inlineStr">
        <is>
          <t>UMEÅ</t>
        </is>
      </c>
      <c r="F5405" t="inlineStr">
        <is>
          <t>Holmen skog AB</t>
        </is>
      </c>
      <c r="G5405" t="n">
        <v>14.3</v>
      </c>
      <c r="H5405" t="n">
        <v>0</v>
      </c>
      <c r="I5405" t="n">
        <v>0</v>
      </c>
      <c r="J5405" t="n">
        <v>0</v>
      </c>
      <c r="K5405" t="n">
        <v>0</v>
      </c>
      <c r="L5405" t="n">
        <v>0</v>
      </c>
      <c r="M5405" t="n">
        <v>0</v>
      </c>
      <c r="N5405" t="n">
        <v>0</v>
      </c>
      <c r="O5405" t="n">
        <v>0</v>
      </c>
      <c r="P5405" t="n">
        <v>0</v>
      </c>
      <c r="Q5405" t="n">
        <v>0</v>
      </c>
      <c r="R5405" s="2" t="inlineStr"/>
    </row>
    <row r="5406" ht="15" customHeight="1">
      <c r="A5406" t="inlineStr">
        <is>
          <t>A 36104-2025</t>
        </is>
      </c>
      <c r="B5406" s="1" t="n">
        <v>45866.55498842592</v>
      </c>
      <c r="C5406" s="1" t="n">
        <v>46075</v>
      </c>
      <c r="D5406" t="inlineStr">
        <is>
          <t>VÄSTERBOTTENS LÄN</t>
        </is>
      </c>
      <c r="E5406" t="inlineStr">
        <is>
          <t>BJURHOLM</t>
        </is>
      </c>
      <c r="G5406" t="n">
        <v>9.800000000000001</v>
      </c>
      <c r="H5406" t="n">
        <v>0</v>
      </c>
      <c r="I5406" t="n">
        <v>0</v>
      </c>
      <c r="J5406" t="n">
        <v>0</v>
      </c>
      <c r="K5406" t="n">
        <v>0</v>
      </c>
      <c r="L5406" t="n">
        <v>0</v>
      </c>
      <c r="M5406" t="n">
        <v>0</v>
      </c>
      <c r="N5406" t="n">
        <v>0</v>
      </c>
      <c r="O5406" t="n">
        <v>0</v>
      </c>
      <c r="P5406" t="n">
        <v>0</v>
      </c>
      <c r="Q5406" t="n">
        <v>0</v>
      </c>
      <c r="R5406" s="2" t="inlineStr"/>
    </row>
    <row r="5407" ht="15" customHeight="1">
      <c r="A5407" t="inlineStr">
        <is>
          <t>A 36275-2025</t>
        </is>
      </c>
      <c r="B5407" s="1" t="n">
        <v>45867.63604166666</v>
      </c>
      <c r="C5407" s="1" t="n">
        <v>46075</v>
      </c>
      <c r="D5407" t="inlineStr">
        <is>
          <t>VÄSTERBOTTENS LÄN</t>
        </is>
      </c>
      <c r="E5407" t="inlineStr">
        <is>
          <t>ÅSELE</t>
        </is>
      </c>
      <c r="F5407" t="inlineStr">
        <is>
          <t>SCA</t>
        </is>
      </c>
      <c r="G5407" t="n">
        <v>3.8</v>
      </c>
      <c r="H5407" t="n">
        <v>0</v>
      </c>
      <c r="I5407" t="n">
        <v>0</v>
      </c>
      <c r="J5407" t="n">
        <v>0</v>
      </c>
      <c r="K5407" t="n">
        <v>0</v>
      </c>
      <c r="L5407" t="n">
        <v>0</v>
      </c>
      <c r="M5407" t="n">
        <v>0</v>
      </c>
      <c r="N5407" t="n">
        <v>0</v>
      </c>
      <c r="O5407" t="n">
        <v>0</v>
      </c>
      <c r="P5407" t="n">
        <v>0</v>
      </c>
      <c r="Q5407" t="n">
        <v>0</v>
      </c>
      <c r="R5407" s="2" t="inlineStr"/>
    </row>
    <row r="5408" ht="15" customHeight="1">
      <c r="A5408" t="inlineStr">
        <is>
          <t>A 36056-2025</t>
        </is>
      </c>
      <c r="B5408" s="1" t="n">
        <v>45866.39083333333</v>
      </c>
      <c r="C5408" s="1" t="n">
        <v>46075</v>
      </c>
      <c r="D5408" t="inlineStr">
        <is>
          <t>VÄSTERBOTTENS LÄN</t>
        </is>
      </c>
      <c r="E5408" t="inlineStr">
        <is>
          <t>UMEÅ</t>
        </is>
      </c>
      <c r="F5408" t="inlineStr">
        <is>
          <t>Holmen skog AB</t>
        </is>
      </c>
      <c r="G5408" t="n">
        <v>4.1</v>
      </c>
      <c r="H5408" t="n">
        <v>0</v>
      </c>
      <c r="I5408" t="n">
        <v>0</v>
      </c>
      <c r="J5408" t="n">
        <v>0</v>
      </c>
      <c r="K5408" t="n">
        <v>0</v>
      </c>
      <c r="L5408" t="n">
        <v>0</v>
      </c>
      <c r="M5408" t="n">
        <v>0</v>
      </c>
      <c r="N5408" t="n">
        <v>0</v>
      </c>
      <c r="O5408" t="n">
        <v>0</v>
      </c>
      <c r="P5408" t="n">
        <v>0</v>
      </c>
      <c r="Q5408" t="n">
        <v>0</v>
      </c>
      <c r="R5408" s="2" t="inlineStr"/>
    </row>
    <row r="5409" ht="15" customHeight="1">
      <c r="A5409" t="inlineStr">
        <is>
          <t>A 58830-2024</t>
        </is>
      </c>
      <c r="B5409" s="1" t="n">
        <v>45636</v>
      </c>
      <c r="C5409" s="1" t="n">
        <v>46075</v>
      </c>
      <c r="D5409" t="inlineStr">
        <is>
          <t>VÄSTERBOTTENS LÄN</t>
        </is>
      </c>
      <c r="E5409" t="inlineStr">
        <is>
          <t>SKELLEFTEÅ</t>
        </is>
      </c>
      <c r="G5409" t="n">
        <v>4</v>
      </c>
      <c r="H5409" t="n">
        <v>0</v>
      </c>
      <c r="I5409" t="n">
        <v>0</v>
      </c>
      <c r="J5409" t="n">
        <v>0</v>
      </c>
      <c r="K5409" t="n">
        <v>0</v>
      </c>
      <c r="L5409" t="n">
        <v>0</v>
      </c>
      <c r="M5409" t="n">
        <v>0</v>
      </c>
      <c r="N5409" t="n">
        <v>0</v>
      </c>
      <c r="O5409" t="n">
        <v>0</v>
      </c>
      <c r="P5409" t="n">
        <v>0</v>
      </c>
      <c r="Q5409" t="n">
        <v>0</v>
      </c>
      <c r="R5409" s="2" t="inlineStr"/>
    </row>
    <row r="5410" ht="15" customHeight="1">
      <c r="A5410" t="inlineStr">
        <is>
          <t>A 36088-2025</t>
        </is>
      </c>
      <c r="B5410" s="1" t="n">
        <v>45866.47144675926</v>
      </c>
      <c r="C5410" s="1" t="n">
        <v>46075</v>
      </c>
      <c r="D5410" t="inlineStr">
        <is>
          <t>VÄSTERBOTTENS LÄN</t>
        </is>
      </c>
      <c r="E5410" t="inlineStr">
        <is>
          <t>NORDMALING</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36096-2025</t>
        </is>
      </c>
      <c r="B5411" s="1" t="n">
        <v>45866.49025462963</v>
      </c>
      <c r="C5411" s="1" t="n">
        <v>46075</v>
      </c>
      <c r="D5411" t="inlineStr">
        <is>
          <t>VÄSTERBOTTENS LÄN</t>
        </is>
      </c>
      <c r="E5411" t="inlineStr">
        <is>
          <t>DOROTEA</t>
        </is>
      </c>
      <c r="F5411" t="inlineStr">
        <is>
          <t>SCA</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36129-2025</t>
        </is>
      </c>
      <c r="B5412" s="1" t="n">
        <v>45866.62015046296</v>
      </c>
      <c r="C5412" s="1" t="n">
        <v>46075</v>
      </c>
      <c r="D5412" t="inlineStr">
        <is>
          <t>VÄSTERBOTTENS LÄN</t>
        </is>
      </c>
      <c r="E5412" t="inlineStr">
        <is>
          <t>NORDMALING</t>
        </is>
      </c>
      <c r="G5412" t="n">
        <v>2.5</v>
      </c>
      <c r="H5412" t="n">
        <v>0</v>
      </c>
      <c r="I5412" t="n">
        <v>0</v>
      </c>
      <c r="J5412" t="n">
        <v>0</v>
      </c>
      <c r="K5412" t="n">
        <v>0</v>
      </c>
      <c r="L5412" t="n">
        <v>0</v>
      </c>
      <c r="M5412" t="n">
        <v>0</v>
      </c>
      <c r="N5412" t="n">
        <v>0</v>
      </c>
      <c r="O5412" t="n">
        <v>0</v>
      </c>
      <c r="P5412" t="n">
        <v>0</v>
      </c>
      <c r="Q5412" t="n">
        <v>0</v>
      </c>
      <c r="R5412" s="2" t="inlineStr"/>
    </row>
    <row r="5413" ht="15" customHeight="1">
      <c r="A5413" t="inlineStr">
        <is>
          <t>A 1438-2025</t>
        </is>
      </c>
      <c r="B5413" s="1" t="n">
        <v>45669.68052083333</v>
      </c>
      <c r="C5413" s="1" t="n">
        <v>46075</v>
      </c>
      <c r="D5413" t="inlineStr">
        <is>
          <t>VÄSTERBOTTENS LÄN</t>
        </is>
      </c>
      <c r="E5413" t="inlineStr">
        <is>
          <t>VÄNNÄS</t>
        </is>
      </c>
      <c r="G5413" t="n">
        <v>4.3</v>
      </c>
      <c r="H5413" t="n">
        <v>0</v>
      </c>
      <c r="I5413" t="n">
        <v>0</v>
      </c>
      <c r="J5413" t="n">
        <v>0</v>
      </c>
      <c r="K5413" t="n">
        <v>0</v>
      </c>
      <c r="L5413" t="n">
        <v>0</v>
      </c>
      <c r="M5413" t="n">
        <v>0</v>
      </c>
      <c r="N5413" t="n">
        <v>0</v>
      </c>
      <c r="O5413" t="n">
        <v>0</v>
      </c>
      <c r="P5413" t="n">
        <v>0</v>
      </c>
      <c r="Q5413" t="n">
        <v>0</v>
      </c>
      <c r="R5413" s="2" t="inlineStr"/>
    </row>
    <row r="5414" ht="15" customHeight="1">
      <c r="A5414" t="inlineStr">
        <is>
          <t>A 10825-2024</t>
        </is>
      </c>
      <c r="B5414" s="1" t="n">
        <v>45369</v>
      </c>
      <c r="C5414" s="1" t="n">
        <v>46075</v>
      </c>
      <c r="D5414" t="inlineStr">
        <is>
          <t>VÄSTERBOTTENS LÄN</t>
        </is>
      </c>
      <c r="E5414" t="inlineStr">
        <is>
          <t>SKELLEFTEÅ</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36151-2025</t>
        </is>
      </c>
      <c r="B5415" s="1" t="n">
        <v>45867.31869212963</v>
      </c>
      <c r="C5415" s="1" t="n">
        <v>46075</v>
      </c>
      <c r="D5415" t="inlineStr">
        <is>
          <t>VÄSTERBOTTENS LÄN</t>
        </is>
      </c>
      <c r="E5415" t="inlineStr">
        <is>
          <t>VINDELN</t>
        </is>
      </c>
      <c r="F5415" t="inlineStr">
        <is>
          <t>Holmen skog AB</t>
        </is>
      </c>
      <c r="G5415" t="n">
        <v>8.1</v>
      </c>
      <c r="H5415" t="n">
        <v>0</v>
      </c>
      <c r="I5415" t="n">
        <v>0</v>
      </c>
      <c r="J5415" t="n">
        <v>0</v>
      </c>
      <c r="K5415" t="n">
        <v>0</v>
      </c>
      <c r="L5415" t="n">
        <v>0</v>
      </c>
      <c r="M5415" t="n">
        <v>0</v>
      </c>
      <c r="N5415" t="n">
        <v>0</v>
      </c>
      <c r="O5415" t="n">
        <v>0</v>
      </c>
      <c r="P5415" t="n">
        <v>0</v>
      </c>
      <c r="Q5415" t="n">
        <v>0</v>
      </c>
      <c r="R5415" s="2" t="inlineStr"/>
    </row>
    <row r="5416" ht="15" customHeight="1">
      <c r="A5416" t="inlineStr">
        <is>
          <t>A 46350-2025</t>
        </is>
      </c>
      <c r="B5416" s="1" t="n">
        <v>45925.48527777778</v>
      </c>
      <c r="C5416" s="1" t="n">
        <v>46075</v>
      </c>
      <c r="D5416" t="inlineStr">
        <is>
          <t>VÄSTERBOTTENS LÄN</t>
        </is>
      </c>
      <c r="E5416" t="inlineStr">
        <is>
          <t>SKELLEFTEÅ</t>
        </is>
      </c>
      <c r="F5416" t="inlineStr">
        <is>
          <t>Sveaskog</t>
        </is>
      </c>
      <c r="G5416" t="n">
        <v>21.2</v>
      </c>
      <c r="H5416" t="n">
        <v>0</v>
      </c>
      <c r="I5416" t="n">
        <v>0</v>
      </c>
      <c r="J5416" t="n">
        <v>0</v>
      </c>
      <c r="K5416" t="n">
        <v>0</v>
      </c>
      <c r="L5416" t="n">
        <v>0</v>
      </c>
      <c r="M5416" t="n">
        <v>0</v>
      </c>
      <c r="N5416" t="n">
        <v>0</v>
      </c>
      <c r="O5416" t="n">
        <v>0</v>
      </c>
      <c r="P5416" t="n">
        <v>0</v>
      </c>
      <c r="Q5416" t="n">
        <v>0</v>
      </c>
      <c r="R5416" s="2" t="inlineStr"/>
    </row>
    <row r="5417" ht="15" customHeight="1">
      <c r="A5417" t="inlineStr">
        <is>
          <t>A 36125-2025</t>
        </is>
      </c>
      <c r="B5417" s="1" t="n">
        <v>45866.61515046296</v>
      </c>
      <c r="C5417" s="1" t="n">
        <v>46075</v>
      </c>
      <c r="D5417" t="inlineStr">
        <is>
          <t>VÄSTERBOTTENS LÄN</t>
        </is>
      </c>
      <c r="E5417" t="inlineStr">
        <is>
          <t>DOROTEA</t>
        </is>
      </c>
      <c r="F5417" t="inlineStr">
        <is>
          <t>SCA</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33698-2023</t>
        </is>
      </c>
      <c r="B5418" s="1" t="n">
        <v>45132.71641203704</v>
      </c>
      <c r="C5418" s="1" t="n">
        <v>46075</v>
      </c>
      <c r="D5418" t="inlineStr">
        <is>
          <t>VÄSTERBOTTENS LÄN</t>
        </is>
      </c>
      <c r="E5418" t="inlineStr">
        <is>
          <t>VINDELN</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33702-2023</t>
        </is>
      </c>
      <c r="B5419" s="1" t="n">
        <v>45132</v>
      </c>
      <c r="C5419" s="1" t="n">
        <v>46075</v>
      </c>
      <c r="D5419" t="inlineStr">
        <is>
          <t>VÄSTERBOTTENS LÄN</t>
        </is>
      </c>
      <c r="E5419" t="inlineStr">
        <is>
          <t>VINDELN</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36114-2025</t>
        </is>
      </c>
      <c r="B5420" s="1" t="n">
        <v>45866.57740740741</v>
      </c>
      <c r="C5420" s="1" t="n">
        <v>46075</v>
      </c>
      <c r="D5420" t="inlineStr">
        <is>
          <t>VÄSTERBOTTENS LÄN</t>
        </is>
      </c>
      <c r="E5420" t="inlineStr">
        <is>
          <t>UMEÅ</t>
        </is>
      </c>
      <c r="F5420" t="inlineStr">
        <is>
          <t>Holmen skog AB</t>
        </is>
      </c>
      <c r="G5420" t="n">
        <v>3</v>
      </c>
      <c r="H5420" t="n">
        <v>0</v>
      </c>
      <c r="I5420" t="n">
        <v>0</v>
      </c>
      <c r="J5420" t="n">
        <v>0</v>
      </c>
      <c r="K5420" t="n">
        <v>0</v>
      </c>
      <c r="L5420" t="n">
        <v>0</v>
      </c>
      <c r="M5420" t="n">
        <v>0</v>
      </c>
      <c r="N5420" t="n">
        <v>0</v>
      </c>
      <c r="O5420" t="n">
        <v>0</v>
      </c>
      <c r="P5420" t="n">
        <v>0</v>
      </c>
      <c r="Q5420" t="n">
        <v>0</v>
      </c>
      <c r="R5420" s="2" t="inlineStr"/>
    </row>
    <row r="5421" ht="15" customHeight="1">
      <c r="A5421" t="inlineStr">
        <is>
          <t>A 46273-2025</t>
        </is>
      </c>
      <c r="B5421" s="1" t="n">
        <v>45925.3700925926</v>
      </c>
      <c r="C5421" s="1" t="n">
        <v>46075</v>
      </c>
      <c r="D5421" t="inlineStr">
        <is>
          <t>VÄSTERBOTTENS LÄN</t>
        </is>
      </c>
      <c r="E5421" t="inlineStr">
        <is>
          <t>SKELLEFTEÅ</t>
        </is>
      </c>
      <c r="G5421" t="n">
        <v>3.6</v>
      </c>
      <c r="H5421" t="n">
        <v>0</v>
      </c>
      <c r="I5421" t="n">
        <v>0</v>
      </c>
      <c r="J5421" t="n">
        <v>0</v>
      </c>
      <c r="K5421" t="n">
        <v>0</v>
      </c>
      <c r="L5421" t="n">
        <v>0</v>
      </c>
      <c r="M5421" t="n">
        <v>0</v>
      </c>
      <c r="N5421" t="n">
        <v>0</v>
      </c>
      <c r="O5421" t="n">
        <v>0</v>
      </c>
      <c r="P5421" t="n">
        <v>0</v>
      </c>
      <c r="Q5421" t="n">
        <v>0</v>
      </c>
      <c r="R5421" s="2" t="inlineStr"/>
    </row>
    <row r="5422" ht="15" customHeight="1">
      <c r="A5422" t="inlineStr">
        <is>
          <t>A 46276-2025</t>
        </is>
      </c>
      <c r="B5422" s="1" t="n">
        <v>45925.37224537037</v>
      </c>
      <c r="C5422" s="1" t="n">
        <v>46075</v>
      </c>
      <c r="D5422" t="inlineStr">
        <is>
          <t>VÄSTERBOTTENS LÄN</t>
        </is>
      </c>
      <c r="E5422" t="inlineStr">
        <is>
          <t>SKELLEFTEÅ</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36162-2025</t>
        </is>
      </c>
      <c r="B5423" s="1" t="n">
        <v>45867.36557870371</v>
      </c>
      <c r="C5423" s="1" t="n">
        <v>46075</v>
      </c>
      <c r="D5423" t="inlineStr">
        <is>
          <t>VÄSTERBOTTENS LÄN</t>
        </is>
      </c>
      <c r="E5423" t="inlineStr">
        <is>
          <t>DOROTEA</t>
        </is>
      </c>
      <c r="F5423" t="inlineStr">
        <is>
          <t>SCA</t>
        </is>
      </c>
      <c r="G5423" t="n">
        <v>8</v>
      </c>
      <c r="H5423" t="n">
        <v>0</v>
      </c>
      <c r="I5423" t="n">
        <v>0</v>
      </c>
      <c r="J5423" t="n">
        <v>0</v>
      </c>
      <c r="K5423" t="n">
        <v>0</v>
      </c>
      <c r="L5423" t="n">
        <v>0</v>
      </c>
      <c r="M5423" t="n">
        <v>0</v>
      </c>
      <c r="N5423" t="n">
        <v>0</v>
      </c>
      <c r="O5423" t="n">
        <v>0</v>
      </c>
      <c r="P5423" t="n">
        <v>0</v>
      </c>
      <c r="Q5423" t="n">
        <v>0</v>
      </c>
      <c r="R5423" s="2" t="inlineStr"/>
    </row>
    <row r="5424" ht="15" customHeight="1">
      <c r="A5424" t="inlineStr">
        <is>
          <t>A 36278-2025</t>
        </is>
      </c>
      <c r="B5424" s="1" t="n">
        <v>45867</v>
      </c>
      <c r="C5424" s="1" t="n">
        <v>46075</v>
      </c>
      <c r="D5424" t="inlineStr">
        <is>
          <t>VÄSTERBOTTENS LÄN</t>
        </is>
      </c>
      <c r="E5424" t="inlineStr">
        <is>
          <t>ÅSELE</t>
        </is>
      </c>
      <c r="F5424" t="inlineStr">
        <is>
          <t>SCA</t>
        </is>
      </c>
      <c r="G5424" t="n">
        <v>11.3</v>
      </c>
      <c r="H5424" t="n">
        <v>0</v>
      </c>
      <c r="I5424" t="n">
        <v>0</v>
      </c>
      <c r="J5424" t="n">
        <v>0</v>
      </c>
      <c r="K5424" t="n">
        <v>0</v>
      </c>
      <c r="L5424" t="n">
        <v>0</v>
      </c>
      <c r="M5424" t="n">
        <v>0</v>
      </c>
      <c r="N5424" t="n">
        <v>0</v>
      </c>
      <c r="O5424" t="n">
        <v>0</v>
      </c>
      <c r="P5424" t="n">
        <v>0</v>
      </c>
      <c r="Q5424" t="n">
        <v>0</v>
      </c>
      <c r="R5424" s="2" t="inlineStr"/>
    </row>
    <row r="5425" ht="15" customHeight="1">
      <c r="A5425" t="inlineStr">
        <is>
          <t>A 46153-2025</t>
        </is>
      </c>
      <c r="B5425" s="1" t="n">
        <v>45924.61528935185</v>
      </c>
      <c r="C5425" s="1" t="n">
        <v>46075</v>
      </c>
      <c r="D5425" t="inlineStr">
        <is>
          <t>VÄSTERBOTTENS LÄN</t>
        </is>
      </c>
      <c r="E5425" t="inlineStr">
        <is>
          <t>VINDELN</t>
        </is>
      </c>
      <c r="F5425" t="inlineStr">
        <is>
          <t>SCA</t>
        </is>
      </c>
      <c r="G5425" t="n">
        <v>40.1</v>
      </c>
      <c r="H5425" t="n">
        <v>0</v>
      </c>
      <c r="I5425" t="n">
        <v>0</v>
      </c>
      <c r="J5425" t="n">
        <v>0</v>
      </c>
      <c r="K5425" t="n">
        <v>0</v>
      </c>
      <c r="L5425" t="n">
        <v>0</v>
      </c>
      <c r="M5425" t="n">
        <v>0</v>
      </c>
      <c r="N5425" t="n">
        <v>0</v>
      </c>
      <c r="O5425" t="n">
        <v>0</v>
      </c>
      <c r="P5425" t="n">
        <v>0</v>
      </c>
      <c r="Q5425" t="n">
        <v>0</v>
      </c>
      <c r="R5425" s="2" t="inlineStr"/>
    </row>
    <row r="5426" ht="15" customHeight="1">
      <c r="A5426" t="inlineStr">
        <is>
          <t>A 11314-2025</t>
        </is>
      </c>
      <c r="B5426" s="1" t="n">
        <v>45726.45561342593</v>
      </c>
      <c r="C5426" s="1" t="n">
        <v>46075</v>
      </c>
      <c r="D5426" t="inlineStr">
        <is>
          <t>VÄSTERBOTTENS LÄN</t>
        </is>
      </c>
      <c r="E5426" t="inlineStr">
        <is>
          <t>SKELLEFTEÅ</t>
        </is>
      </c>
      <c r="G5426" t="n">
        <v>8.800000000000001</v>
      </c>
      <c r="H5426" t="n">
        <v>0</v>
      </c>
      <c r="I5426" t="n">
        <v>0</v>
      </c>
      <c r="J5426" t="n">
        <v>0</v>
      </c>
      <c r="K5426" t="n">
        <v>0</v>
      </c>
      <c r="L5426" t="n">
        <v>0</v>
      </c>
      <c r="M5426" t="n">
        <v>0</v>
      </c>
      <c r="N5426" t="n">
        <v>0</v>
      </c>
      <c r="O5426" t="n">
        <v>0</v>
      </c>
      <c r="P5426" t="n">
        <v>0</v>
      </c>
      <c r="Q5426" t="n">
        <v>0</v>
      </c>
      <c r="R5426" s="2" t="inlineStr"/>
    </row>
    <row r="5427" ht="15" customHeight="1">
      <c r="A5427" t="inlineStr">
        <is>
          <t>A 36124-2025</t>
        </is>
      </c>
      <c r="B5427" s="1" t="n">
        <v>45866.61493055556</v>
      </c>
      <c r="C5427" s="1" t="n">
        <v>46075</v>
      </c>
      <c r="D5427" t="inlineStr">
        <is>
          <t>VÄSTERBOTTENS LÄN</t>
        </is>
      </c>
      <c r="E5427" t="inlineStr">
        <is>
          <t>LYCKSELE</t>
        </is>
      </c>
      <c r="F5427" t="inlineStr">
        <is>
          <t>SCA</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25262-2024</t>
        </is>
      </c>
      <c r="B5428" s="1" t="n">
        <v>45462</v>
      </c>
      <c r="C5428" s="1" t="n">
        <v>46075</v>
      </c>
      <c r="D5428" t="inlineStr">
        <is>
          <t>VÄSTERBOTTENS LÄN</t>
        </is>
      </c>
      <c r="E5428" t="inlineStr">
        <is>
          <t>STORUMAN</t>
        </is>
      </c>
      <c r="G5428" t="n">
        <v>17.4</v>
      </c>
      <c r="H5428" t="n">
        <v>0</v>
      </c>
      <c r="I5428" t="n">
        <v>0</v>
      </c>
      <c r="J5428" t="n">
        <v>0</v>
      </c>
      <c r="K5428" t="n">
        <v>0</v>
      </c>
      <c r="L5428" t="n">
        <v>0</v>
      </c>
      <c r="M5428" t="n">
        <v>0</v>
      </c>
      <c r="N5428" t="n">
        <v>0</v>
      </c>
      <c r="O5428" t="n">
        <v>0</v>
      </c>
      <c r="P5428" t="n">
        <v>0</v>
      </c>
      <c r="Q5428" t="n">
        <v>0</v>
      </c>
      <c r="R5428" s="2" t="inlineStr"/>
    </row>
    <row r="5429" ht="15" customHeight="1">
      <c r="A5429" t="inlineStr">
        <is>
          <t>A 46278-2025</t>
        </is>
      </c>
      <c r="B5429" s="1" t="n">
        <v>45925.37530092592</v>
      </c>
      <c r="C5429" s="1" t="n">
        <v>46075</v>
      </c>
      <c r="D5429" t="inlineStr">
        <is>
          <t>VÄSTERBOTTENS LÄN</t>
        </is>
      </c>
      <c r="E5429" t="inlineStr">
        <is>
          <t>SKELLEFTEÅ</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36155-2025</t>
        </is>
      </c>
      <c r="B5430" s="1" t="n">
        <v>45867.34467592592</v>
      </c>
      <c r="C5430" s="1" t="n">
        <v>46075</v>
      </c>
      <c r="D5430" t="inlineStr">
        <is>
          <t>VÄSTERBOTTENS LÄN</t>
        </is>
      </c>
      <c r="E5430" t="inlineStr">
        <is>
          <t>VINDELN</t>
        </is>
      </c>
      <c r="F5430" t="inlineStr">
        <is>
          <t>SCA</t>
        </is>
      </c>
      <c r="G5430" t="n">
        <v>7.5</v>
      </c>
      <c r="H5430" t="n">
        <v>0</v>
      </c>
      <c r="I5430" t="n">
        <v>0</v>
      </c>
      <c r="J5430" t="n">
        <v>0</v>
      </c>
      <c r="K5430" t="n">
        <v>0</v>
      </c>
      <c r="L5430" t="n">
        <v>0</v>
      </c>
      <c r="M5430" t="n">
        <v>0</v>
      </c>
      <c r="N5430" t="n">
        <v>0</v>
      </c>
      <c r="O5430" t="n">
        <v>0</v>
      </c>
      <c r="P5430" t="n">
        <v>0</v>
      </c>
      <c r="Q5430" t="n">
        <v>0</v>
      </c>
      <c r="R5430" s="2" t="inlineStr"/>
    </row>
    <row r="5431" ht="15" customHeight="1">
      <c r="A5431" t="inlineStr">
        <is>
          <t>A 29492-2025</t>
        </is>
      </c>
      <c r="B5431" s="1" t="n">
        <v>45824.78887731482</v>
      </c>
      <c r="C5431" s="1" t="n">
        <v>46075</v>
      </c>
      <c r="D5431" t="inlineStr">
        <is>
          <t>VÄSTERBOTTENS LÄN</t>
        </is>
      </c>
      <c r="E5431" t="inlineStr">
        <is>
          <t>SORSELE</t>
        </is>
      </c>
      <c r="G5431" t="n">
        <v>9.6</v>
      </c>
      <c r="H5431" t="n">
        <v>0</v>
      </c>
      <c r="I5431" t="n">
        <v>0</v>
      </c>
      <c r="J5431" t="n">
        <v>0</v>
      </c>
      <c r="K5431" t="n">
        <v>0</v>
      </c>
      <c r="L5431" t="n">
        <v>0</v>
      </c>
      <c r="M5431" t="n">
        <v>0</v>
      </c>
      <c r="N5431" t="n">
        <v>0</v>
      </c>
      <c r="O5431" t="n">
        <v>0</v>
      </c>
      <c r="P5431" t="n">
        <v>0</v>
      </c>
      <c r="Q5431" t="n">
        <v>0</v>
      </c>
      <c r="R5431" s="2" t="inlineStr"/>
    </row>
    <row r="5432" ht="15" customHeight="1">
      <c r="A5432" t="inlineStr">
        <is>
          <t>A 36174-2025</t>
        </is>
      </c>
      <c r="B5432" s="1" t="n">
        <v>45867.39787037037</v>
      </c>
      <c r="C5432" s="1" t="n">
        <v>46075</v>
      </c>
      <c r="D5432" t="inlineStr">
        <is>
          <t>VÄSTERBOTTENS LÄN</t>
        </is>
      </c>
      <c r="E5432" t="inlineStr">
        <is>
          <t>ÅSELE</t>
        </is>
      </c>
      <c r="F5432" t="inlineStr">
        <is>
          <t>Holmen skog AB</t>
        </is>
      </c>
      <c r="G5432" t="n">
        <v>4.5</v>
      </c>
      <c r="H5432" t="n">
        <v>0</v>
      </c>
      <c r="I5432" t="n">
        <v>0</v>
      </c>
      <c r="J5432" t="n">
        <v>0</v>
      </c>
      <c r="K5432" t="n">
        <v>0</v>
      </c>
      <c r="L5432" t="n">
        <v>0</v>
      </c>
      <c r="M5432" t="n">
        <v>0</v>
      </c>
      <c r="N5432" t="n">
        <v>0</v>
      </c>
      <c r="O5432" t="n">
        <v>0</v>
      </c>
      <c r="P5432" t="n">
        <v>0</v>
      </c>
      <c r="Q5432" t="n">
        <v>0</v>
      </c>
      <c r="R5432" s="2" t="inlineStr"/>
    </row>
    <row r="5433" ht="15" customHeight="1">
      <c r="A5433" t="inlineStr">
        <is>
          <t>A 46074-2025</t>
        </is>
      </c>
      <c r="B5433" s="1" t="n">
        <v>45924.50053240741</v>
      </c>
      <c r="C5433" s="1" t="n">
        <v>46075</v>
      </c>
      <c r="D5433" t="inlineStr">
        <is>
          <t>VÄSTERBOTTENS LÄN</t>
        </is>
      </c>
      <c r="E5433" t="inlineStr">
        <is>
          <t>LYCKSELE</t>
        </is>
      </c>
      <c r="F5433" t="inlineStr">
        <is>
          <t>Holmen skog AB</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5955-2023</t>
        </is>
      </c>
      <c r="B5434" s="1" t="n">
        <v>44963.93989583333</v>
      </c>
      <c r="C5434" s="1" t="n">
        <v>46075</v>
      </c>
      <c r="D5434" t="inlineStr">
        <is>
          <t>VÄSTERBOTTENS LÄN</t>
        </is>
      </c>
      <c r="E5434" t="inlineStr">
        <is>
          <t>VILHELMINA</t>
        </is>
      </c>
      <c r="F5434" t="inlineStr">
        <is>
          <t>SCA</t>
        </is>
      </c>
      <c r="G5434" t="n">
        <v>4.1</v>
      </c>
      <c r="H5434" t="n">
        <v>0</v>
      </c>
      <c r="I5434" t="n">
        <v>0</v>
      </c>
      <c r="J5434" t="n">
        <v>0</v>
      </c>
      <c r="K5434" t="n">
        <v>0</v>
      </c>
      <c r="L5434" t="n">
        <v>0</v>
      </c>
      <c r="M5434" t="n">
        <v>0</v>
      </c>
      <c r="N5434" t="n">
        <v>0</v>
      </c>
      <c r="O5434" t="n">
        <v>0</v>
      </c>
      <c r="P5434" t="n">
        <v>0</v>
      </c>
      <c r="Q5434" t="n">
        <v>0</v>
      </c>
      <c r="R5434" s="2" t="inlineStr"/>
    </row>
    <row r="5435" ht="15" customHeight="1">
      <c r="A5435" t="inlineStr">
        <is>
          <t>A 5996-2023</t>
        </is>
      </c>
      <c r="B5435" s="1" t="n">
        <v>44959</v>
      </c>
      <c r="C5435" s="1" t="n">
        <v>46075</v>
      </c>
      <c r="D5435" t="inlineStr">
        <is>
          <t>VÄSTERBOTTENS LÄN</t>
        </is>
      </c>
      <c r="E5435" t="inlineStr">
        <is>
          <t>SKELLEFTEÅ</t>
        </is>
      </c>
      <c r="G5435" t="n">
        <v>4.2</v>
      </c>
      <c r="H5435" t="n">
        <v>0</v>
      </c>
      <c r="I5435" t="n">
        <v>0</v>
      </c>
      <c r="J5435" t="n">
        <v>0</v>
      </c>
      <c r="K5435" t="n">
        <v>0</v>
      </c>
      <c r="L5435" t="n">
        <v>0</v>
      </c>
      <c r="M5435" t="n">
        <v>0</v>
      </c>
      <c r="N5435" t="n">
        <v>0</v>
      </c>
      <c r="O5435" t="n">
        <v>0</v>
      </c>
      <c r="P5435" t="n">
        <v>0</v>
      </c>
      <c r="Q5435" t="n">
        <v>0</v>
      </c>
      <c r="R5435" s="2" t="inlineStr"/>
    </row>
    <row r="5436" ht="15" customHeight="1">
      <c r="A5436" t="inlineStr">
        <is>
          <t>A 36084-2025</t>
        </is>
      </c>
      <c r="B5436" s="1" t="n">
        <v>45866.460625</v>
      </c>
      <c r="C5436" s="1" t="n">
        <v>46075</v>
      </c>
      <c r="D5436" t="inlineStr">
        <is>
          <t>VÄSTERBOTTENS LÄN</t>
        </is>
      </c>
      <c r="E5436" t="inlineStr">
        <is>
          <t>UMEÅ</t>
        </is>
      </c>
      <c r="F5436" t="inlineStr">
        <is>
          <t>Holmen skog AB</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46207-2025</t>
        </is>
      </c>
      <c r="B5437" s="1" t="n">
        <v>45924.70613425926</v>
      </c>
      <c r="C5437" s="1" t="n">
        <v>46075</v>
      </c>
      <c r="D5437" t="inlineStr">
        <is>
          <t>VÄSTERBOTTENS LÄN</t>
        </is>
      </c>
      <c r="E5437" t="inlineStr">
        <is>
          <t>VINDELN</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8993-2024</t>
        </is>
      </c>
      <c r="B5438" s="1" t="n">
        <v>45357.55085648148</v>
      </c>
      <c r="C5438" s="1" t="n">
        <v>46075</v>
      </c>
      <c r="D5438" t="inlineStr">
        <is>
          <t>VÄSTERBOTTENS LÄN</t>
        </is>
      </c>
      <c r="E5438" t="inlineStr">
        <is>
          <t>VÄNNÄS</t>
        </is>
      </c>
      <c r="G5438" t="n">
        <v>0.4</v>
      </c>
      <c r="H5438" t="n">
        <v>0</v>
      </c>
      <c r="I5438" t="n">
        <v>0</v>
      </c>
      <c r="J5438" t="n">
        <v>0</v>
      </c>
      <c r="K5438" t="n">
        <v>0</v>
      </c>
      <c r="L5438" t="n">
        <v>0</v>
      </c>
      <c r="M5438" t="n">
        <v>0</v>
      </c>
      <c r="N5438" t="n">
        <v>0</v>
      </c>
      <c r="O5438" t="n">
        <v>0</v>
      </c>
      <c r="P5438" t="n">
        <v>0</v>
      </c>
      <c r="Q5438" t="n">
        <v>0</v>
      </c>
      <c r="R5438" s="2" t="inlineStr"/>
    </row>
    <row r="5439" ht="15" customHeight="1">
      <c r="A5439" t="inlineStr">
        <is>
          <t>A 62743-2023</t>
        </is>
      </c>
      <c r="B5439" s="1" t="n">
        <v>45271.61415509259</v>
      </c>
      <c r="C5439" s="1" t="n">
        <v>46075</v>
      </c>
      <c r="D5439" t="inlineStr">
        <is>
          <t>VÄSTERBOTTENS LÄN</t>
        </is>
      </c>
      <c r="E5439" t="inlineStr">
        <is>
          <t>NORSJÖ</t>
        </is>
      </c>
      <c r="F5439" t="inlineStr">
        <is>
          <t>Holmen skog AB</t>
        </is>
      </c>
      <c r="G5439" t="n">
        <v>12.2</v>
      </c>
      <c r="H5439" t="n">
        <v>0</v>
      </c>
      <c r="I5439" t="n">
        <v>0</v>
      </c>
      <c r="J5439" t="n">
        <v>0</v>
      </c>
      <c r="K5439" t="n">
        <v>0</v>
      </c>
      <c r="L5439" t="n">
        <v>0</v>
      </c>
      <c r="M5439" t="n">
        <v>0</v>
      </c>
      <c r="N5439" t="n">
        <v>0</v>
      </c>
      <c r="O5439" t="n">
        <v>0</v>
      </c>
      <c r="P5439" t="n">
        <v>0</v>
      </c>
      <c r="Q5439" t="n">
        <v>0</v>
      </c>
      <c r="R5439" s="2" t="inlineStr"/>
    </row>
    <row r="5440" ht="15" customHeight="1">
      <c r="A5440" t="inlineStr">
        <is>
          <t>A 45963-2025</t>
        </is>
      </c>
      <c r="B5440" s="1" t="n">
        <v>45924.35145833333</v>
      </c>
      <c r="C5440" s="1" t="n">
        <v>46075</v>
      </c>
      <c r="D5440" t="inlineStr">
        <is>
          <t>VÄSTERBOTTENS LÄN</t>
        </is>
      </c>
      <c r="E5440" t="inlineStr">
        <is>
          <t>LYCKSELE</t>
        </is>
      </c>
      <c r="G5440" t="n">
        <v>8.9</v>
      </c>
      <c r="H5440" t="n">
        <v>0</v>
      </c>
      <c r="I5440" t="n">
        <v>0</v>
      </c>
      <c r="J5440" t="n">
        <v>0</v>
      </c>
      <c r="K5440" t="n">
        <v>0</v>
      </c>
      <c r="L5440" t="n">
        <v>0</v>
      </c>
      <c r="M5440" t="n">
        <v>0</v>
      </c>
      <c r="N5440" t="n">
        <v>0</v>
      </c>
      <c r="O5440" t="n">
        <v>0</v>
      </c>
      <c r="P5440" t="n">
        <v>0</v>
      </c>
      <c r="Q5440" t="n">
        <v>0</v>
      </c>
      <c r="R5440" s="2" t="inlineStr"/>
    </row>
    <row r="5441" ht="15" customHeight="1">
      <c r="A5441" t="inlineStr">
        <is>
          <t>A 38812-2023</t>
        </is>
      </c>
      <c r="B5441" s="1" t="n">
        <v>45163</v>
      </c>
      <c r="C5441" s="1" t="n">
        <v>46075</v>
      </c>
      <c r="D5441" t="inlineStr">
        <is>
          <t>VÄSTERBOTTENS LÄN</t>
        </is>
      </c>
      <c r="E5441" t="inlineStr">
        <is>
          <t>NORSJÖ</t>
        </is>
      </c>
      <c r="F5441" t="inlineStr">
        <is>
          <t>Sveaskog</t>
        </is>
      </c>
      <c r="G5441" t="n">
        <v>15.5</v>
      </c>
      <c r="H5441" t="n">
        <v>0</v>
      </c>
      <c r="I5441" t="n">
        <v>0</v>
      </c>
      <c r="J5441" t="n">
        <v>0</v>
      </c>
      <c r="K5441" t="n">
        <v>0</v>
      </c>
      <c r="L5441" t="n">
        <v>0</v>
      </c>
      <c r="M5441" t="n">
        <v>0</v>
      </c>
      <c r="N5441" t="n">
        <v>0</v>
      </c>
      <c r="O5441" t="n">
        <v>0</v>
      </c>
      <c r="P5441" t="n">
        <v>0</v>
      </c>
      <c r="Q5441" t="n">
        <v>0</v>
      </c>
      <c r="R5441" s="2" t="inlineStr"/>
    </row>
    <row r="5442" ht="15" customHeight="1">
      <c r="A5442" t="inlineStr">
        <is>
          <t>A 38822-2023</t>
        </is>
      </c>
      <c r="B5442" s="1" t="n">
        <v>45163</v>
      </c>
      <c r="C5442" s="1" t="n">
        <v>46075</v>
      </c>
      <c r="D5442" t="inlineStr">
        <is>
          <t>VÄSTERBOTTENS LÄN</t>
        </is>
      </c>
      <c r="E5442" t="inlineStr">
        <is>
          <t>NORSJÖ</t>
        </is>
      </c>
      <c r="G5442" t="n">
        <v>2.8</v>
      </c>
      <c r="H5442" t="n">
        <v>0</v>
      </c>
      <c r="I5442" t="n">
        <v>0</v>
      </c>
      <c r="J5442" t="n">
        <v>0</v>
      </c>
      <c r="K5442" t="n">
        <v>0</v>
      </c>
      <c r="L5442" t="n">
        <v>0</v>
      </c>
      <c r="M5442" t="n">
        <v>0</v>
      </c>
      <c r="N5442" t="n">
        <v>0</v>
      </c>
      <c r="O5442" t="n">
        <v>0</v>
      </c>
      <c r="P5442" t="n">
        <v>0</v>
      </c>
      <c r="Q5442" t="n">
        <v>0</v>
      </c>
      <c r="R5442" s="2" t="inlineStr"/>
    </row>
    <row r="5443" ht="15" customHeight="1">
      <c r="A5443" t="inlineStr">
        <is>
          <t>A 38877-2023</t>
        </is>
      </c>
      <c r="B5443" s="1" t="n">
        <v>45162</v>
      </c>
      <c r="C5443" s="1" t="n">
        <v>46075</v>
      </c>
      <c r="D5443" t="inlineStr">
        <is>
          <t>VÄSTERBOTTENS LÄN</t>
        </is>
      </c>
      <c r="E5443" t="inlineStr">
        <is>
          <t>MALÅ</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36296-2025</t>
        </is>
      </c>
      <c r="B5444" s="1" t="n">
        <v>45867.68413194444</v>
      </c>
      <c r="C5444" s="1" t="n">
        <v>46075</v>
      </c>
      <c r="D5444" t="inlineStr">
        <is>
          <t>VÄSTERBOTTENS LÄN</t>
        </is>
      </c>
      <c r="E5444" t="inlineStr">
        <is>
          <t>ÅSELE</t>
        </is>
      </c>
      <c r="F5444" t="inlineStr">
        <is>
          <t>Holmen skog AB</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36286-2025</t>
        </is>
      </c>
      <c r="B5445" s="1" t="n">
        <v>45867.65657407408</v>
      </c>
      <c r="C5445" s="1" t="n">
        <v>46075</v>
      </c>
      <c r="D5445" t="inlineStr">
        <is>
          <t>VÄSTERBOTTENS LÄN</t>
        </is>
      </c>
      <c r="E5445" t="inlineStr">
        <is>
          <t>MALÅ</t>
        </is>
      </c>
      <c r="G5445" t="n">
        <v>8.300000000000001</v>
      </c>
      <c r="H5445" t="n">
        <v>0</v>
      </c>
      <c r="I5445" t="n">
        <v>0</v>
      </c>
      <c r="J5445" t="n">
        <v>0</v>
      </c>
      <c r="K5445" t="n">
        <v>0</v>
      </c>
      <c r="L5445" t="n">
        <v>0</v>
      </c>
      <c r="M5445" t="n">
        <v>0</v>
      </c>
      <c r="N5445" t="n">
        <v>0</v>
      </c>
      <c r="O5445" t="n">
        <v>0</v>
      </c>
      <c r="P5445" t="n">
        <v>0</v>
      </c>
      <c r="Q5445" t="n">
        <v>0</v>
      </c>
      <c r="R5445" s="2" t="inlineStr"/>
    </row>
    <row r="5446" ht="15" customHeight="1">
      <c r="A5446" t="inlineStr">
        <is>
          <t>A 38026-2024</t>
        </is>
      </c>
      <c r="B5446" s="1" t="n">
        <v>45544</v>
      </c>
      <c r="C5446" s="1" t="n">
        <v>46075</v>
      </c>
      <c r="D5446" t="inlineStr">
        <is>
          <t>VÄSTERBOTTENS LÄN</t>
        </is>
      </c>
      <c r="E5446" t="inlineStr">
        <is>
          <t>ROBERTSFORS</t>
        </is>
      </c>
      <c r="F5446" t="inlineStr">
        <is>
          <t>SCA</t>
        </is>
      </c>
      <c r="G5446" t="n">
        <v>8.5</v>
      </c>
      <c r="H5446" t="n">
        <v>0</v>
      </c>
      <c r="I5446" t="n">
        <v>0</v>
      </c>
      <c r="J5446" t="n">
        <v>0</v>
      </c>
      <c r="K5446" t="n">
        <v>0</v>
      </c>
      <c r="L5446" t="n">
        <v>0</v>
      </c>
      <c r="M5446" t="n">
        <v>0</v>
      </c>
      <c r="N5446" t="n">
        <v>0</v>
      </c>
      <c r="O5446" t="n">
        <v>0</v>
      </c>
      <c r="P5446" t="n">
        <v>0</v>
      </c>
      <c r="Q5446" t="n">
        <v>0</v>
      </c>
      <c r="R5446" s="2" t="inlineStr"/>
    </row>
    <row r="5447" ht="15" customHeight="1">
      <c r="A5447" t="inlineStr">
        <is>
          <t>A 36176-2025</t>
        </is>
      </c>
      <c r="B5447" s="1" t="n">
        <v>45867</v>
      </c>
      <c r="C5447" s="1" t="n">
        <v>46075</v>
      </c>
      <c r="D5447" t="inlineStr">
        <is>
          <t>VÄSTERBOTTENS LÄN</t>
        </is>
      </c>
      <c r="E5447" t="inlineStr">
        <is>
          <t>SORSELE</t>
        </is>
      </c>
      <c r="G5447" t="n">
        <v>22.7</v>
      </c>
      <c r="H5447" t="n">
        <v>0</v>
      </c>
      <c r="I5447" t="n">
        <v>0</v>
      </c>
      <c r="J5447" t="n">
        <v>0</v>
      </c>
      <c r="K5447" t="n">
        <v>0</v>
      </c>
      <c r="L5447" t="n">
        <v>0</v>
      </c>
      <c r="M5447" t="n">
        <v>0</v>
      </c>
      <c r="N5447" t="n">
        <v>0</v>
      </c>
      <c r="O5447" t="n">
        <v>0</v>
      </c>
      <c r="P5447" t="n">
        <v>0</v>
      </c>
      <c r="Q5447" t="n">
        <v>0</v>
      </c>
      <c r="R5447" s="2" t="inlineStr"/>
    </row>
    <row r="5448" ht="15" customHeight="1">
      <c r="A5448" t="inlineStr">
        <is>
          <t>A 41105-2024</t>
        </is>
      </c>
      <c r="B5448" s="1" t="n">
        <v>45559.44234953704</v>
      </c>
      <c r="C5448" s="1" t="n">
        <v>46075</v>
      </c>
      <c r="D5448" t="inlineStr">
        <is>
          <t>VÄSTERBOTTENS LÄN</t>
        </is>
      </c>
      <c r="E5448" t="inlineStr">
        <is>
          <t>LYCKSELE</t>
        </is>
      </c>
      <c r="F5448" t="inlineStr">
        <is>
          <t>Sveaskog</t>
        </is>
      </c>
      <c r="G5448" t="n">
        <v>3.4</v>
      </c>
      <c r="H5448" t="n">
        <v>0</v>
      </c>
      <c r="I5448" t="n">
        <v>0</v>
      </c>
      <c r="J5448" t="n">
        <v>0</v>
      </c>
      <c r="K5448" t="n">
        <v>0</v>
      </c>
      <c r="L5448" t="n">
        <v>0</v>
      </c>
      <c r="M5448" t="n">
        <v>0</v>
      </c>
      <c r="N5448" t="n">
        <v>0</v>
      </c>
      <c r="O5448" t="n">
        <v>0</v>
      </c>
      <c r="P5448" t="n">
        <v>0</v>
      </c>
      <c r="Q5448" t="n">
        <v>0</v>
      </c>
      <c r="R5448" s="2" t="inlineStr"/>
    </row>
    <row r="5449" ht="15" customHeight="1">
      <c r="A5449" t="inlineStr">
        <is>
          <t>A 41107-2024</t>
        </is>
      </c>
      <c r="B5449" s="1" t="n">
        <v>45559.44841435185</v>
      </c>
      <c r="C5449" s="1" t="n">
        <v>46075</v>
      </c>
      <c r="D5449" t="inlineStr">
        <is>
          <t>VÄSTERBOTTENS LÄN</t>
        </is>
      </c>
      <c r="E5449" t="inlineStr">
        <is>
          <t>VINDELN</t>
        </is>
      </c>
      <c r="F5449" t="inlineStr">
        <is>
          <t>Sveaskog</t>
        </is>
      </c>
      <c r="G5449" t="n">
        <v>10.2</v>
      </c>
      <c r="H5449" t="n">
        <v>0</v>
      </c>
      <c r="I5449" t="n">
        <v>0</v>
      </c>
      <c r="J5449" t="n">
        <v>0</v>
      </c>
      <c r="K5449" t="n">
        <v>0</v>
      </c>
      <c r="L5449" t="n">
        <v>0</v>
      </c>
      <c r="M5449" t="n">
        <v>0</v>
      </c>
      <c r="N5449" t="n">
        <v>0</v>
      </c>
      <c r="O5449" t="n">
        <v>0</v>
      </c>
      <c r="P5449" t="n">
        <v>0</v>
      </c>
      <c r="Q5449" t="n">
        <v>0</v>
      </c>
      <c r="R5449" s="2" t="inlineStr"/>
    </row>
    <row r="5450" ht="15" customHeight="1">
      <c r="A5450" t="inlineStr">
        <is>
          <t>A 41113-2024</t>
        </is>
      </c>
      <c r="B5450" s="1" t="n">
        <v>45559.45069444444</v>
      </c>
      <c r="C5450" s="1" t="n">
        <v>46075</v>
      </c>
      <c r="D5450" t="inlineStr">
        <is>
          <t>VÄSTERBOTTENS LÄN</t>
        </is>
      </c>
      <c r="E5450" t="inlineStr">
        <is>
          <t>VINDELN</t>
        </is>
      </c>
      <c r="F5450" t="inlineStr">
        <is>
          <t>Sveaskog</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61351-2024</t>
        </is>
      </c>
      <c r="B5451" s="1" t="n">
        <v>45646</v>
      </c>
      <c r="C5451" s="1" t="n">
        <v>46075</v>
      </c>
      <c r="D5451" t="inlineStr">
        <is>
          <t>VÄSTERBOTTENS LÄN</t>
        </is>
      </c>
      <c r="E5451" t="inlineStr">
        <is>
          <t>ÅSELE</t>
        </is>
      </c>
      <c r="G5451" t="n">
        <v>9.6</v>
      </c>
      <c r="H5451" t="n">
        <v>0</v>
      </c>
      <c r="I5451" t="n">
        <v>0</v>
      </c>
      <c r="J5451" t="n">
        <v>0</v>
      </c>
      <c r="K5451" t="n">
        <v>0</v>
      </c>
      <c r="L5451" t="n">
        <v>0</v>
      </c>
      <c r="M5451" t="n">
        <v>0</v>
      </c>
      <c r="N5451" t="n">
        <v>0</v>
      </c>
      <c r="O5451" t="n">
        <v>0</v>
      </c>
      <c r="P5451" t="n">
        <v>0</v>
      </c>
      <c r="Q5451" t="n">
        <v>0</v>
      </c>
      <c r="R5451" s="2" t="inlineStr"/>
    </row>
    <row r="5452" ht="15" customHeight="1">
      <c r="A5452" t="inlineStr">
        <is>
          <t>A 25818-2024</t>
        </is>
      </c>
      <c r="B5452" s="1" t="n">
        <v>45467</v>
      </c>
      <c r="C5452" s="1" t="n">
        <v>46075</v>
      </c>
      <c r="D5452" t="inlineStr">
        <is>
          <t>VÄSTERBOTTENS LÄN</t>
        </is>
      </c>
      <c r="E5452" t="inlineStr">
        <is>
          <t>STORUMAN</t>
        </is>
      </c>
      <c r="G5452" t="n">
        <v>7.6</v>
      </c>
      <c r="H5452" t="n">
        <v>0</v>
      </c>
      <c r="I5452" t="n">
        <v>0</v>
      </c>
      <c r="J5452" t="n">
        <v>0</v>
      </c>
      <c r="K5452" t="n">
        <v>0</v>
      </c>
      <c r="L5452" t="n">
        <v>0</v>
      </c>
      <c r="M5452" t="n">
        <v>0</v>
      </c>
      <c r="N5452" t="n">
        <v>0</v>
      </c>
      <c r="O5452" t="n">
        <v>0</v>
      </c>
      <c r="P5452" t="n">
        <v>0</v>
      </c>
      <c r="Q5452" t="n">
        <v>0</v>
      </c>
      <c r="R5452" s="2" t="inlineStr"/>
    </row>
    <row r="5453" ht="15" customHeight="1">
      <c r="A5453" t="inlineStr">
        <is>
          <t>A 38144-2024</t>
        </is>
      </c>
      <c r="B5453" s="1" t="n">
        <v>45545.42693287037</v>
      </c>
      <c r="C5453" s="1" t="n">
        <v>46075</v>
      </c>
      <c r="D5453" t="inlineStr">
        <is>
          <t>VÄSTERBOTTENS LÄN</t>
        </is>
      </c>
      <c r="E5453" t="inlineStr">
        <is>
          <t>UMEÅ</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36198-2025</t>
        </is>
      </c>
      <c r="B5454" s="1" t="n">
        <v>45867.43743055555</v>
      </c>
      <c r="C5454" s="1" t="n">
        <v>46075</v>
      </c>
      <c r="D5454" t="inlineStr">
        <is>
          <t>VÄSTERBOTTENS LÄN</t>
        </is>
      </c>
      <c r="E5454" t="inlineStr">
        <is>
          <t>ÅSELE</t>
        </is>
      </c>
      <c r="F5454" t="inlineStr">
        <is>
          <t>Holmen skog AB</t>
        </is>
      </c>
      <c r="G5454" t="n">
        <v>14.9</v>
      </c>
      <c r="H5454" t="n">
        <v>0</v>
      </c>
      <c r="I5454" t="n">
        <v>0</v>
      </c>
      <c r="J5454" t="n">
        <v>0</v>
      </c>
      <c r="K5454" t="n">
        <v>0</v>
      </c>
      <c r="L5454" t="n">
        <v>0</v>
      </c>
      <c r="M5454" t="n">
        <v>0</v>
      </c>
      <c r="N5454" t="n">
        <v>0</v>
      </c>
      <c r="O5454" t="n">
        <v>0</v>
      </c>
      <c r="P5454" t="n">
        <v>0</v>
      </c>
      <c r="Q5454" t="n">
        <v>0</v>
      </c>
      <c r="R5454" s="2" t="inlineStr"/>
    </row>
    <row r="5455" ht="15" customHeight="1">
      <c r="A5455" t="inlineStr">
        <is>
          <t>A 38165-2024</t>
        </is>
      </c>
      <c r="B5455" s="1" t="n">
        <v>45545</v>
      </c>
      <c r="C5455" s="1" t="n">
        <v>46075</v>
      </c>
      <c r="D5455" t="inlineStr">
        <is>
          <t>VÄSTERBOTTENS LÄN</t>
        </is>
      </c>
      <c r="E5455" t="inlineStr">
        <is>
          <t>VINDELN</t>
        </is>
      </c>
      <c r="F5455" t="inlineStr">
        <is>
          <t>Holmen skog AB</t>
        </is>
      </c>
      <c r="G5455" t="n">
        <v>3.3</v>
      </c>
      <c r="H5455" t="n">
        <v>0</v>
      </c>
      <c r="I5455" t="n">
        <v>0</v>
      </c>
      <c r="J5455" t="n">
        <v>0</v>
      </c>
      <c r="K5455" t="n">
        <v>0</v>
      </c>
      <c r="L5455" t="n">
        <v>0</v>
      </c>
      <c r="M5455" t="n">
        <v>0</v>
      </c>
      <c r="N5455" t="n">
        <v>0</v>
      </c>
      <c r="O5455" t="n">
        <v>0</v>
      </c>
      <c r="P5455" t="n">
        <v>0</v>
      </c>
      <c r="Q5455" t="n">
        <v>0</v>
      </c>
      <c r="R5455" s="2" t="inlineStr"/>
    </row>
    <row r="5456" ht="15" customHeight="1">
      <c r="A5456" t="inlineStr">
        <is>
          <t>A 61744-2024</t>
        </is>
      </c>
      <c r="B5456" s="1" t="n">
        <v>45649</v>
      </c>
      <c r="C5456" s="1" t="n">
        <v>46075</v>
      </c>
      <c r="D5456" t="inlineStr">
        <is>
          <t>VÄSTERBOTTENS LÄN</t>
        </is>
      </c>
      <c r="E5456" t="inlineStr">
        <is>
          <t>ÅSELE</t>
        </is>
      </c>
      <c r="G5456" t="n">
        <v>6.6</v>
      </c>
      <c r="H5456" t="n">
        <v>0</v>
      </c>
      <c r="I5456" t="n">
        <v>0</v>
      </c>
      <c r="J5456" t="n">
        <v>0</v>
      </c>
      <c r="K5456" t="n">
        <v>0</v>
      </c>
      <c r="L5456" t="n">
        <v>0</v>
      </c>
      <c r="M5456" t="n">
        <v>0</v>
      </c>
      <c r="N5456" t="n">
        <v>0</v>
      </c>
      <c r="O5456" t="n">
        <v>0</v>
      </c>
      <c r="P5456" t="n">
        <v>0</v>
      </c>
      <c r="Q5456" t="n">
        <v>0</v>
      </c>
      <c r="R5456" s="2" t="inlineStr"/>
    </row>
    <row r="5457" ht="15" customHeight="1">
      <c r="A5457" t="inlineStr">
        <is>
          <t>A 36215-2025</t>
        </is>
      </c>
      <c r="B5457" s="1" t="n">
        <v>45867.49079861111</v>
      </c>
      <c r="C5457" s="1" t="n">
        <v>46075</v>
      </c>
      <c r="D5457" t="inlineStr">
        <is>
          <t>VÄSTERBOTTENS LÄN</t>
        </is>
      </c>
      <c r="E5457" t="inlineStr">
        <is>
          <t>SKELLEFTEÅ</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36220-2025</t>
        </is>
      </c>
      <c r="B5458" s="1" t="n">
        <v>45867.505</v>
      </c>
      <c r="C5458" s="1" t="n">
        <v>46075</v>
      </c>
      <c r="D5458" t="inlineStr">
        <is>
          <t>VÄSTERBOTTENS LÄN</t>
        </is>
      </c>
      <c r="E5458" t="inlineStr">
        <is>
          <t>ÅSELE</t>
        </is>
      </c>
      <c r="F5458" t="inlineStr">
        <is>
          <t>Holmen skog AB</t>
        </is>
      </c>
      <c r="G5458" t="n">
        <v>5.6</v>
      </c>
      <c r="H5458" t="n">
        <v>0</v>
      </c>
      <c r="I5458" t="n">
        <v>0</v>
      </c>
      <c r="J5458" t="n">
        <v>0</v>
      </c>
      <c r="K5458" t="n">
        <v>0</v>
      </c>
      <c r="L5458" t="n">
        <v>0</v>
      </c>
      <c r="M5458" t="n">
        <v>0</v>
      </c>
      <c r="N5458" t="n">
        <v>0</v>
      </c>
      <c r="O5458" t="n">
        <v>0</v>
      </c>
      <c r="P5458" t="n">
        <v>0</v>
      </c>
      <c r="Q5458" t="n">
        <v>0</v>
      </c>
      <c r="R5458" s="2" t="inlineStr"/>
    </row>
    <row r="5459" ht="15" customHeight="1">
      <c r="A5459" t="inlineStr">
        <is>
          <t>A 46435-2024</t>
        </is>
      </c>
      <c r="B5459" s="1" t="n">
        <v>45582.47464120371</v>
      </c>
      <c r="C5459" s="1" t="n">
        <v>46075</v>
      </c>
      <c r="D5459" t="inlineStr">
        <is>
          <t>VÄSTERBOTTENS LÄN</t>
        </is>
      </c>
      <c r="E5459" t="inlineStr">
        <is>
          <t>BJURHOLM</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60842-2023</t>
        </is>
      </c>
      <c r="B5460" s="1" t="n">
        <v>45260.9258912037</v>
      </c>
      <c r="C5460" s="1" t="n">
        <v>46075</v>
      </c>
      <c r="D5460" t="inlineStr">
        <is>
          <t>VÄSTERBOTTENS LÄN</t>
        </is>
      </c>
      <c r="E5460" t="inlineStr">
        <is>
          <t>VILHELMINA</t>
        </is>
      </c>
      <c r="G5460" t="n">
        <v>2.9</v>
      </c>
      <c r="H5460" t="n">
        <v>0</v>
      </c>
      <c r="I5460" t="n">
        <v>0</v>
      </c>
      <c r="J5460" t="n">
        <v>0</v>
      </c>
      <c r="K5460" t="n">
        <v>0</v>
      </c>
      <c r="L5460" t="n">
        <v>0</v>
      </c>
      <c r="M5460" t="n">
        <v>0</v>
      </c>
      <c r="N5460" t="n">
        <v>0</v>
      </c>
      <c r="O5460" t="n">
        <v>0</v>
      </c>
      <c r="P5460" t="n">
        <v>0</v>
      </c>
      <c r="Q5460" t="n">
        <v>0</v>
      </c>
      <c r="R5460" s="2" t="inlineStr"/>
    </row>
    <row r="5461" ht="15" customHeight="1">
      <c r="A5461" t="inlineStr">
        <is>
          <t>A 36154-2025</t>
        </is>
      </c>
      <c r="B5461" s="1" t="n">
        <v>45867.34443287037</v>
      </c>
      <c r="C5461" s="1" t="n">
        <v>46075</v>
      </c>
      <c r="D5461" t="inlineStr">
        <is>
          <t>VÄSTERBOTTENS LÄN</t>
        </is>
      </c>
      <c r="E5461" t="inlineStr">
        <is>
          <t>ÅSELE</t>
        </is>
      </c>
      <c r="F5461" t="inlineStr">
        <is>
          <t>SCA</t>
        </is>
      </c>
      <c r="G5461" t="n">
        <v>19.9</v>
      </c>
      <c r="H5461" t="n">
        <v>0</v>
      </c>
      <c r="I5461" t="n">
        <v>0</v>
      </c>
      <c r="J5461" t="n">
        <v>0</v>
      </c>
      <c r="K5461" t="n">
        <v>0</v>
      </c>
      <c r="L5461" t="n">
        <v>0</v>
      </c>
      <c r="M5461" t="n">
        <v>0</v>
      </c>
      <c r="N5461" t="n">
        <v>0</v>
      </c>
      <c r="O5461" t="n">
        <v>0</v>
      </c>
      <c r="P5461" t="n">
        <v>0</v>
      </c>
      <c r="Q5461" t="n">
        <v>0</v>
      </c>
      <c r="R5461" s="2" t="inlineStr"/>
    </row>
    <row r="5462" ht="15" customHeight="1">
      <c r="A5462" t="inlineStr">
        <is>
          <t>A 46483-2024</t>
        </is>
      </c>
      <c r="B5462" s="1" t="n">
        <v>45582.5741087963</v>
      </c>
      <c r="C5462" s="1" t="n">
        <v>46075</v>
      </c>
      <c r="D5462" t="inlineStr">
        <is>
          <t>VÄSTERBOTTENS LÄN</t>
        </is>
      </c>
      <c r="E5462" t="inlineStr">
        <is>
          <t>VINDELN</t>
        </is>
      </c>
      <c r="G5462" t="n">
        <v>3.6</v>
      </c>
      <c r="H5462" t="n">
        <v>0</v>
      </c>
      <c r="I5462" t="n">
        <v>0</v>
      </c>
      <c r="J5462" t="n">
        <v>0</v>
      </c>
      <c r="K5462" t="n">
        <v>0</v>
      </c>
      <c r="L5462" t="n">
        <v>0</v>
      </c>
      <c r="M5462" t="n">
        <v>0</v>
      </c>
      <c r="N5462" t="n">
        <v>0</v>
      </c>
      <c r="O5462" t="n">
        <v>0</v>
      </c>
      <c r="P5462" t="n">
        <v>0</v>
      </c>
      <c r="Q5462" t="n">
        <v>0</v>
      </c>
      <c r="R5462" s="2" t="inlineStr"/>
    </row>
    <row r="5463" ht="15" customHeight="1">
      <c r="A5463" t="inlineStr">
        <is>
          <t>A 46498-2024</t>
        </is>
      </c>
      <c r="B5463" s="1" t="n">
        <v>45582</v>
      </c>
      <c r="C5463" s="1" t="n">
        <v>46075</v>
      </c>
      <c r="D5463" t="inlineStr">
        <is>
          <t>VÄSTERBOTTENS LÄN</t>
        </is>
      </c>
      <c r="E5463" t="inlineStr">
        <is>
          <t>BJURHOLM</t>
        </is>
      </c>
      <c r="G5463" t="n">
        <v>3.7</v>
      </c>
      <c r="H5463" t="n">
        <v>0</v>
      </c>
      <c r="I5463" t="n">
        <v>0</v>
      </c>
      <c r="J5463" t="n">
        <v>0</v>
      </c>
      <c r="K5463" t="n">
        <v>0</v>
      </c>
      <c r="L5463" t="n">
        <v>0</v>
      </c>
      <c r="M5463" t="n">
        <v>0</v>
      </c>
      <c r="N5463" t="n">
        <v>0</v>
      </c>
      <c r="O5463" t="n">
        <v>0</v>
      </c>
      <c r="P5463" t="n">
        <v>0</v>
      </c>
      <c r="Q5463" t="n">
        <v>0</v>
      </c>
      <c r="R5463" s="2" t="inlineStr"/>
    </row>
    <row r="5464" ht="15" customHeight="1">
      <c r="A5464" t="inlineStr">
        <is>
          <t>A 46501-2024</t>
        </is>
      </c>
      <c r="B5464" s="1" t="n">
        <v>45582.6006712963</v>
      </c>
      <c r="C5464" s="1" t="n">
        <v>46075</v>
      </c>
      <c r="D5464" t="inlineStr">
        <is>
          <t>VÄSTERBOTTENS LÄN</t>
        </is>
      </c>
      <c r="E5464" t="inlineStr">
        <is>
          <t>VÄNNÄS</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46286-2025</t>
        </is>
      </c>
      <c r="B5465" s="1" t="n">
        <v>45925.38423611111</v>
      </c>
      <c r="C5465" s="1" t="n">
        <v>46075</v>
      </c>
      <c r="D5465" t="inlineStr">
        <is>
          <t>VÄSTERBOTTENS LÄN</t>
        </is>
      </c>
      <c r="E5465" t="inlineStr">
        <is>
          <t>LYCKSELE</t>
        </is>
      </c>
      <c r="G5465" t="n">
        <v>9.699999999999999</v>
      </c>
      <c r="H5465" t="n">
        <v>0</v>
      </c>
      <c r="I5465" t="n">
        <v>0</v>
      </c>
      <c r="J5465" t="n">
        <v>0</v>
      </c>
      <c r="K5465" t="n">
        <v>0</v>
      </c>
      <c r="L5465" t="n">
        <v>0</v>
      </c>
      <c r="M5465" t="n">
        <v>0</v>
      </c>
      <c r="N5465" t="n">
        <v>0</v>
      </c>
      <c r="O5465" t="n">
        <v>0</v>
      </c>
      <c r="P5465" t="n">
        <v>0</v>
      </c>
      <c r="Q5465" t="n">
        <v>0</v>
      </c>
      <c r="R5465" s="2" t="inlineStr"/>
    </row>
    <row r="5466" ht="15" customHeight="1">
      <c r="A5466" t="inlineStr">
        <is>
          <t>A 9103-2023</t>
        </is>
      </c>
      <c r="B5466" s="1" t="n">
        <v>44979</v>
      </c>
      <c r="C5466" s="1" t="n">
        <v>46075</v>
      </c>
      <c r="D5466" t="inlineStr">
        <is>
          <t>VÄSTERBOTTENS LÄN</t>
        </is>
      </c>
      <c r="E5466" t="inlineStr">
        <is>
          <t>DOROTEA</t>
        </is>
      </c>
      <c r="F5466" t="inlineStr">
        <is>
          <t>SCA</t>
        </is>
      </c>
      <c r="G5466" t="n">
        <v>7.7</v>
      </c>
      <c r="H5466" t="n">
        <v>0</v>
      </c>
      <c r="I5466" t="n">
        <v>0</v>
      </c>
      <c r="J5466" t="n">
        <v>0</v>
      </c>
      <c r="K5466" t="n">
        <v>0</v>
      </c>
      <c r="L5466" t="n">
        <v>0</v>
      </c>
      <c r="M5466" t="n">
        <v>0</v>
      </c>
      <c r="N5466" t="n">
        <v>0</v>
      </c>
      <c r="O5466" t="n">
        <v>0</v>
      </c>
      <c r="P5466" t="n">
        <v>0</v>
      </c>
      <c r="Q5466" t="n">
        <v>0</v>
      </c>
      <c r="R5466" s="2" t="inlineStr"/>
    </row>
    <row r="5467" ht="15" customHeight="1">
      <c r="A5467" t="inlineStr">
        <is>
          <t>A 36372-2025</t>
        </is>
      </c>
      <c r="B5467" s="1" t="n">
        <v>45867</v>
      </c>
      <c r="C5467" s="1" t="n">
        <v>46075</v>
      </c>
      <c r="D5467" t="inlineStr">
        <is>
          <t>VÄSTERBOTTENS LÄN</t>
        </is>
      </c>
      <c r="E5467" t="inlineStr">
        <is>
          <t>ÅSELE</t>
        </is>
      </c>
      <c r="G5467" t="n">
        <v>4.3</v>
      </c>
      <c r="H5467" t="n">
        <v>0</v>
      </c>
      <c r="I5467" t="n">
        <v>0</v>
      </c>
      <c r="J5467" t="n">
        <v>0</v>
      </c>
      <c r="K5467" t="n">
        <v>0</v>
      </c>
      <c r="L5467" t="n">
        <v>0</v>
      </c>
      <c r="M5467" t="n">
        <v>0</v>
      </c>
      <c r="N5467" t="n">
        <v>0</v>
      </c>
      <c r="O5467" t="n">
        <v>0</v>
      </c>
      <c r="P5467" t="n">
        <v>0</v>
      </c>
      <c r="Q5467" t="n">
        <v>0</v>
      </c>
      <c r="R5467" s="2" t="inlineStr"/>
    </row>
    <row r="5468" ht="15" customHeight="1">
      <c r="A5468" t="inlineStr">
        <is>
          <t>A 25099-2025</t>
        </is>
      </c>
      <c r="B5468" s="1" t="n">
        <v>45800</v>
      </c>
      <c r="C5468" s="1" t="n">
        <v>46075</v>
      </c>
      <c r="D5468" t="inlineStr">
        <is>
          <t>VÄSTERBOTTENS LÄN</t>
        </is>
      </c>
      <c r="E5468" t="inlineStr">
        <is>
          <t>BJURHOLM</t>
        </is>
      </c>
      <c r="F5468" t="inlineStr">
        <is>
          <t>SCA</t>
        </is>
      </c>
      <c r="G5468" t="n">
        <v>7.8</v>
      </c>
      <c r="H5468" t="n">
        <v>0</v>
      </c>
      <c r="I5468" t="n">
        <v>0</v>
      </c>
      <c r="J5468" t="n">
        <v>0</v>
      </c>
      <c r="K5468" t="n">
        <v>0</v>
      </c>
      <c r="L5468" t="n">
        <v>0</v>
      </c>
      <c r="M5468" t="n">
        <v>0</v>
      </c>
      <c r="N5468" t="n">
        <v>0</v>
      </c>
      <c r="O5468" t="n">
        <v>0</v>
      </c>
      <c r="P5468" t="n">
        <v>0</v>
      </c>
      <c r="Q5468" t="n">
        <v>0</v>
      </c>
      <c r="R5468" s="2" t="inlineStr"/>
    </row>
    <row r="5469" ht="15" customHeight="1">
      <c r="A5469" t="inlineStr">
        <is>
          <t>A 15384-2024</t>
        </is>
      </c>
      <c r="B5469" s="1" t="n">
        <v>45400</v>
      </c>
      <c r="C5469" s="1" t="n">
        <v>46075</v>
      </c>
      <c r="D5469" t="inlineStr">
        <is>
          <t>VÄSTERBOTTENS LÄN</t>
        </is>
      </c>
      <c r="E5469" t="inlineStr">
        <is>
          <t>STORUMAN</t>
        </is>
      </c>
      <c r="G5469" t="n">
        <v>6.3</v>
      </c>
      <c r="H5469" t="n">
        <v>0</v>
      </c>
      <c r="I5469" t="n">
        <v>0</v>
      </c>
      <c r="J5469" t="n">
        <v>0</v>
      </c>
      <c r="K5469" t="n">
        <v>0</v>
      </c>
      <c r="L5469" t="n">
        <v>0</v>
      </c>
      <c r="M5469" t="n">
        <v>0</v>
      </c>
      <c r="N5469" t="n">
        <v>0</v>
      </c>
      <c r="O5469" t="n">
        <v>0</v>
      </c>
      <c r="P5469" t="n">
        <v>0</v>
      </c>
      <c r="Q5469" t="n">
        <v>0</v>
      </c>
      <c r="R5469" s="2" t="inlineStr"/>
    </row>
    <row r="5470" ht="15" customHeight="1">
      <c r="A5470" t="inlineStr">
        <is>
          <t>A 36301-2025</t>
        </is>
      </c>
      <c r="B5470" s="1" t="n">
        <v>45867.70578703703</v>
      </c>
      <c r="C5470" s="1" t="n">
        <v>46075</v>
      </c>
      <c r="D5470" t="inlineStr">
        <is>
          <t>VÄSTERBOTTENS LÄN</t>
        </is>
      </c>
      <c r="E5470" t="inlineStr">
        <is>
          <t>ÅSELE</t>
        </is>
      </c>
      <c r="F5470" t="inlineStr">
        <is>
          <t>Holmen skog AB</t>
        </is>
      </c>
      <c r="G5470" t="n">
        <v>3.5</v>
      </c>
      <c r="H5470" t="n">
        <v>0</v>
      </c>
      <c r="I5470" t="n">
        <v>0</v>
      </c>
      <c r="J5470" t="n">
        <v>0</v>
      </c>
      <c r="K5470" t="n">
        <v>0</v>
      </c>
      <c r="L5470" t="n">
        <v>0</v>
      </c>
      <c r="M5470" t="n">
        <v>0</v>
      </c>
      <c r="N5470" t="n">
        <v>0</v>
      </c>
      <c r="O5470" t="n">
        <v>0</v>
      </c>
      <c r="P5470" t="n">
        <v>0</v>
      </c>
      <c r="Q5470" t="n">
        <v>0</v>
      </c>
      <c r="R5470" s="2" t="inlineStr"/>
    </row>
    <row r="5471" ht="15" customHeight="1">
      <c r="A5471" t="inlineStr">
        <is>
          <t>A 46114-2025</t>
        </is>
      </c>
      <c r="B5471" s="1" t="n">
        <v>45924</v>
      </c>
      <c r="C5471" s="1" t="n">
        <v>46075</v>
      </c>
      <c r="D5471" t="inlineStr">
        <is>
          <t>VÄSTERBOTTENS LÄN</t>
        </is>
      </c>
      <c r="E5471" t="inlineStr">
        <is>
          <t>VINDELN</t>
        </is>
      </c>
      <c r="G5471" t="n">
        <v>2.9</v>
      </c>
      <c r="H5471" t="n">
        <v>0</v>
      </c>
      <c r="I5471" t="n">
        <v>0</v>
      </c>
      <c r="J5471" t="n">
        <v>0</v>
      </c>
      <c r="K5471" t="n">
        <v>0</v>
      </c>
      <c r="L5471" t="n">
        <v>0</v>
      </c>
      <c r="M5471" t="n">
        <v>0</v>
      </c>
      <c r="N5471" t="n">
        <v>0</v>
      </c>
      <c r="O5471" t="n">
        <v>0</v>
      </c>
      <c r="P5471" t="n">
        <v>0</v>
      </c>
      <c r="Q5471" t="n">
        <v>0</v>
      </c>
      <c r="R5471" s="2" t="inlineStr"/>
    </row>
    <row r="5472" ht="15" customHeight="1">
      <c r="A5472" t="inlineStr">
        <is>
          <t>A 46189-2025</t>
        </is>
      </c>
      <c r="B5472" s="1" t="n">
        <v>45924.66530092592</v>
      </c>
      <c r="C5472" s="1" t="n">
        <v>46075</v>
      </c>
      <c r="D5472" t="inlineStr">
        <is>
          <t>VÄSTERBOTTENS LÄN</t>
        </is>
      </c>
      <c r="E5472" t="inlineStr">
        <is>
          <t>LYCKSELE</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36495-2025</t>
        </is>
      </c>
      <c r="B5473" s="1" t="n">
        <v>45869</v>
      </c>
      <c r="C5473" s="1" t="n">
        <v>46075</v>
      </c>
      <c r="D5473" t="inlineStr">
        <is>
          <t>VÄSTERBOTTENS LÄN</t>
        </is>
      </c>
      <c r="E5473" t="inlineStr">
        <is>
          <t>SORSELE</t>
        </is>
      </c>
      <c r="F5473" t="inlineStr">
        <is>
          <t>Sveaskog</t>
        </is>
      </c>
      <c r="G5473" t="n">
        <v>7.4</v>
      </c>
      <c r="H5473" t="n">
        <v>0</v>
      </c>
      <c r="I5473" t="n">
        <v>0</v>
      </c>
      <c r="J5473" t="n">
        <v>0</v>
      </c>
      <c r="K5473" t="n">
        <v>0</v>
      </c>
      <c r="L5473" t="n">
        <v>0</v>
      </c>
      <c r="M5473" t="n">
        <v>0</v>
      </c>
      <c r="N5473" t="n">
        <v>0</v>
      </c>
      <c r="O5473" t="n">
        <v>0</v>
      </c>
      <c r="P5473" t="n">
        <v>0</v>
      </c>
      <c r="Q5473" t="n">
        <v>0</v>
      </c>
      <c r="R5473" s="2" t="inlineStr"/>
    </row>
    <row r="5474" ht="15" customHeight="1">
      <c r="A5474" t="inlineStr">
        <is>
          <t>A 8536-2025</t>
        </is>
      </c>
      <c r="B5474" s="1" t="n">
        <v>45709</v>
      </c>
      <c r="C5474" s="1" t="n">
        <v>46075</v>
      </c>
      <c r="D5474" t="inlineStr">
        <is>
          <t>VÄSTERBOTTENS LÄN</t>
        </is>
      </c>
      <c r="E5474" t="inlineStr">
        <is>
          <t>VINDELN</t>
        </is>
      </c>
      <c r="G5474" t="n">
        <v>6.3</v>
      </c>
      <c r="H5474" t="n">
        <v>0</v>
      </c>
      <c r="I5474" t="n">
        <v>0</v>
      </c>
      <c r="J5474" t="n">
        <v>0</v>
      </c>
      <c r="K5474" t="n">
        <v>0</v>
      </c>
      <c r="L5474" t="n">
        <v>0</v>
      </c>
      <c r="M5474" t="n">
        <v>0</v>
      </c>
      <c r="N5474" t="n">
        <v>0</v>
      </c>
      <c r="O5474" t="n">
        <v>0</v>
      </c>
      <c r="P5474" t="n">
        <v>0</v>
      </c>
      <c r="Q5474" t="n">
        <v>0</v>
      </c>
      <c r="R5474" s="2" t="inlineStr"/>
    </row>
    <row r="5475" ht="15" customHeight="1">
      <c r="A5475" t="inlineStr">
        <is>
          <t>A 36542-2025</t>
        </is>
      </c>
      <c r="B5475" s="1" t="n">
        <v>45869.6568287037</v>
      </c>
      <c r="C5475" s="1" t="n">
        <v>46075</v>
      </c>
      <c r="D5475" t="inlineStr">
        <is>
          <t>VÄSTERBOTTENS LÄN</t>
        </is>
      </c>
      <c r="E5475" t="inlineStr">
        <is>
          <t>LYCKSELE</t>
        </is>
      </c>
      <c r="F5475" t="inlineStr">
        <is>
          <t>SCA</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60128-2024</t>
        </is>
      </c>
      <c r="B5476" s="1" t="n">
        <v>45639</v>
      </c>
      <c r="C5476" s="1" t="n">
        <v>46075</v>
      </c>
      <c r="D5476" t="inlineStr">
        <is>
          <t>VÄSTERBOTTENS LÄN</t>
        </is>
      </c>
      <c r="E5476" t="inlineStr">
        <is>
          <t>VINDELN</t>
        </is>
      </c>
      <c r="G5476" t="n">
        <v>4.6</v>
      </c>
      <c r="H5476" t="n">
        <v>0</v>
      </c>
      <c r="I5476" t="n">
        <v>0</v>
      </c>
      <c r="J5476" t="n">
        <v>0</v>
      </c>
      <c r="K5476" t="n">
        <v>0</v>
      </c>
      <c r="L5476" t="n">
        <v>0</v>
      </c>
      <c r="M5476" t="n">
        <v>0</v>
      </c>
      <c r="N5476" t="n">
        <v>0</v>
      </c>
      <c r="O5476" t="n">
        <v>0</v>
      </c>
      <c r="P5476" t="n">
        <v>0</v>
      </c>
      <c r="Q5476" t="n">
        <v>0</v>
      </c>
      <c r="R5476" s="2" t="inlineStr"/>
    </row>
    <row r="5477" ht="15" customHeight="1">
      <c r="A5477" t="inlineStr">
        <is>
          <t>A 34184-2023</t>
        </is>
      </c>
      <c r="B5477" s="1" t="n">
        <v>45126</v>
      </c>
      <c r="C5477" s="1" t="n">
        <v>46075</v>
      </c>
      <c r="D5477" t="inlineStr">
        <is>
          <t>VÄSTERBOTTENS LÄN</t>
        </is>
      </c>
      <c r="E5477" t="inlineStr">
        <is>
          <t>NORDMALING</t>
        </is>
      </c>
      <c r="G5477" t="n">
        <v>0.2</v>
      </c>
      <c r="H5477" t="n">
        <v>0</v>
      </c>
      <c r="I5477" t="n">
        <v>0</v>
      </c>
      <c r="J5477" t="n">
        <v>0</v>
      </c>
      <c r="K5477" t="n">
        <v>0</v>
      </c>
      <c r="L5477" t="n">
        <v>0</v>
      </c>
      <c r="M5477" t="n">
        <v>0</v>
      </c>
      <c r="N5477" t="n">
        <v>0</v>
      </c>
      <c r="O5477" t="n">
        <v>0</v>
      </c>
      <c r="P5477" t="n">
        <v>0</v>
      </c>
      <c r="Q5477" t="n">
        <v>0</v>
      </c>
      <c r="R5477" s="2" t="inlineStr"/>
    </row>
    <row r="5478" ht="15" customHeight="1">
      <c r="A5478" t="inlineStr">
        <is>
          <t>A 36376-2025</t>
        </is>
      </c>
      <c r="B5478" s="1" t="n">
        <v>45868.56623842593</v>
      </c>
      <c r="C5478" s="1" t="n">
        <v>46075</v>
      </c>
      <c r="D5478" t="inlineStr">
        <is>
          <t>VÄSTERBOTTENS LÄN</t>
        </is>
      </c>
      <c r="E5478" t="inlineStr">
        <is>
          <t>ÅSELE</t>
        </is>
      </c>
      <c r="F5478" t="inlineStr">
        <is>
          <t>Holmen skog AB</t>
        </is>
      </c>
      <c r="G5478" t="n">
        <v>2.5</v>
      </c>
      <c r="H5478" t="n">
        <v>0</v>
      </c>
      <c r="I5478" t="n">
        <v>0</v>
      </c>
      <c r="J5478" t="n">
        <v>0</v>
      </c>
      <c r="K5478" t="n">
        <v>0</v>
      </c>
      <c r="L5478" t="n">
        <v>0</v>
      </c>
      <c r="M5478" t="n">
        <v>0</v>
      </c>
      <c r="N5478" t="n">
        <v>0</v>
      </c>
      <c r="O5478" t="n">
        <v>0</v>
      </c>
      <c r="P5478" t="n">
        <v>0</v>
      </c>
      <c r="Q5478" t="n">
        <v>0</v>
      </c>
      <c r="R5478" s="2" t="inlineStr"/>
    </row>
    <row r="5479" ht="15" customHeight="1">
      <c r="A5479" t="inlineStr">
        <is>
          <t>A 43227-2023</t>
        </is>
      </c>
      <c r="B5479" s="1" t="n">
        <v>45180</v>
      </c>
      <c r="C5479" s="1" t="n">
        <v>46075</v>
      </c>
      <c r="D5479" t="inlineStr">
        <is>
          <t>VÄSTERBOTTENS LÄN</t>
        </is>
      </c>
      <c r="E5479" t="inlineStr">
        <is>
          <t>STORUMAN</t>
        </is>
      </c>
      <c r="G5479" t="n">
        <v>41.1</v>
      </c>
      <c r="H5479" t="n">
        <v>0</v>
      </c>
      <c r="I5479" t="n">
        <v>0</v>
      </c>
      <c r="J5479" t="n">
        <v>0</v>
      </c>
      <c r="K5479" t="n">
        <v>0</v>
      </c>
      <c r="L5479" t="n">
        <v>0</v>
      </c>
      <c r="M5479" t="n">
        <v>0</v>
      </c>
      <c r="N5479" t="n">
        <v>0</v>
      </c>
      <c r="O5479" t="n">
        <v>0</v>
      </c>
      <c r="P5479" t="n">
        <v>0</v>
      </c>
      <c r="Q5479" t="n">
        <v>0</v>
      </c>
      <c r="R5479" s="2" t="inlineStr"/>
    </row>
    <row r="5480" ht="15" customHeight="1">
      <c r="A5480" t="inlineStr">
        <is>
          <t>A 46251-2025</t>
        </is>
      </c>
      <c r="B5480" s="1" t="n">
        <v>45925.34475694445</v>
      </c>
      <c r="C5480" s="1" t="n">
        <v>46075</v>
      </c>
      <c r="D5480" t="inlineStr">
        <is>
          <t>VÄSTERBOTTENS LÄN</t>
        </is>
      </c>
      <c r="E5480" t="inlineStr">
        <is>
          <t>ÅSELE</t>
        </is>
      </c>
      <c r="F5480" t="inlineStr">
        <is>
          <t>SCA</t>
        </is>
      </c>
      <c r="G5480" t="n">
        <v>4</v>
      </c>
      <c r="H5480" t="n">
        <v>0</v>
      </c>
      <c r="I5480" t="n">
        <v>0</v>
      </c>
      <c r="J5480" t="n">
        <v>0</v>
      </c>
      <c r="K5480" t="n">
        <v>0</v>
      </c>
      <c r="L5480" t="n">
        <v>0</v>
      </c>
      <c r="M5480" t="n">
        <v>0</v>
      </c>
      <c r="N5480" t="n">
        <v>0</v>
      </c>
      <c r="O5480" t="n">
        <v>0</v>
      </c>
      <c r="P5480" t="n">
        <v>0</v>
      </c>
      <c r="Q5480" t="n">
        <v>0</v>
      </c>
      <c r="R5480" s="2" t="inlineStr"/>
    </row>
    <row r="5481" ht="15" customHeight="1">
      <c r="A5481" t="inlineStr">
        <is>
          <t>A 46864-2025</t>
        </is>
      </c>
      <c r="B5481" s="1" t="n">
        <v>45929.32023148148</v>
      </c>
      <c r="C5481" s="1" t="n">
        <v>46075</v>
      </c>
      <c r="D5481" t="inlineStr">
        <is>
          <t>VÄSTERBOTTENS LÄN</t>
        </is>
      </c>
      <c r="E5481" t="inlineStr">
        <is>
          <t>UMEÅ</t>
        </is>
      </c>
      <c r="G5481" t="n">
        <v>9.5</v>
      </c>
      <c r="H5481" t="n">
        <v>0</v>
      </c>
      <c r="I5481" t="n">
        <v>0</v>
      </c>
      <c r="J5481" t="n">
        <v>0</v>
      </c>
      <c r="K5481" t="n">
        <v>0</v>
      </c>
      <c r="L5481" t="n">
        <v>0</v>
      </c>
      <c r="M5481" t="n">
        <v>0</v>
      </c>
      <c r="N5481" t="n">
        <v>0</v>
      </c>
      <c r="O5481" t="n">
        <v>0</v>
      </c>
      <c r="P5481" t="n">
        <v>0</v>
      </c>
      <c r="Q5481" t="n">
        <v>0</v>
      </c>
      <c r="R5481" s="2" t="inlineStr"/>
    </row>
    <row r="5482" ht="15" customHeight="1">
      <c r="A5482" t="inlineStr">
        <is>
          <t>A 46871-2025</t>
        </is>
      </c>
      <c r="B5482" s="1" t="n">
        <v>45929.34304398148</v>
      </c>
      <c r="C5482" s="1" t="n">
        <v>46075</v>
      </c>
      <c r="D5482" t="inlineStr">
        <is>
          <t>VÄSTERBOTTENS LÄN</t>
        </is>
      </c>
      <c r="E5482" t="inlineStr">
        <is>
          <t>BJURHOLM</t>
        </is>
      </c>
      <c r="F5482" t="inlineStr">
        <is>
          <t>Holmen skog AB</t>
        </is>
      </c>
      <c r="G5482" t="n">
        <v>4.6</v>
      </c>
      <c r="H5482" t="n">
        <v>0</v>
      </c>
      <c r="I5482" t="n">
        <v>0</v>
      </c>
      <c r="J5482" t="n">
        <v>0</v>
      </c>
      <c r="K5482" t="n">
        <v>0</v>
      </c>
      <c r="L5482" t="n">
        <v>0</v>
      </c>
      <c r="M5482" t="n">
        <v>0</v>
      </c>
      <c r="N5482" t="n">
        <v>0</v>
      </c>
      <c r="O5482" t="n">
        <v>0</v>
      </c>
      <c r="P5482" t="n">
        <v>0</v>
      </c>
      <c r="Q5482" t="n">
        <v>0</v>
      </c>
      <c r="R5482" s="2" t="inlineStr"/>
    </row>
    <row r="5483" ht="15" customHeight="1">
      <c r="A5483" t="inlineStr">
        <is>
          <t>A 46884-2025</t>
        </is>
      </c>
      <c r="B5483" s="1" t="n">
        <v>45929.36494212963</v>
      </c>
      <c r="C5483" s="1" t="n">
        <v>46075</v>
      </c>
      <c r="D5483" t="inlineStr">
        <is>
          <t>VÄSTERBOTTENS LÄN</t>
        </is>
      </c>
      <c r="E5483" t="inlineStr">
        <is>
          <t>BJURHOLM</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46620-2025</t>
        </is>
      </c>
      <c r="B5484" s="1" t="n">
        <v>45926</v>
      </c>
      <c r="C5484" s="1" t="n">
        <v>46075</v>
      </c>
      <c r="D5484" t="inlineStr">
        <is>
          <t>VÄSTERBOTTENS LÄN</t>
        </is>
      </c>
      <c r="E5484" t="inlineStr">
        <is>
          <t>MALÅ</t>
        </is>
      </c>
      <c r="F5484" t="inlineStr">
        <is>
          <t>Sveaskog</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46629-2025</t>
        </is>
      </c>
      <c r="B5485" s="1" t="n">
        <v>45926.45268518518</v>
      </c>
      <c r="C5485" s="1" t="n">
        <v>46075</v>
      </c>
      <c r="D5485" t="inlineStr">
        <is>
          <t>VÄSTERBOTTENS LÄN</t>
        </is>
      </c>
      <c r="E5485" t="inlineStr">
        <is>
          <t>VINDELN</t>
        </is>
      </c>
      <c r="F5485" t="inlineStr">
        <is>
          <t>Holmen skog AB</t>
        </is>
      </c>
      <c r="G5485" t="n">
        <v>3</v>
      </c>
      <c r="H5485" t="n">
        <v>0</v>
      </c>
      <c r="I5485" t="n">
        <v>0</v>
      </c>
      <c r="J5485" t="n">
        <v>0</v>
      </c>
      <c r="K5485" t="n">
        <v>0</v>
      </c>
      <c r="L5485" t="n">
        <v>0</v>
      </c>
      <c r="M5485" t="n">
        <v>0</v>
      </c>
      <c r="N5485" t="n">
        <v>0</v>
      </c>
      <c r="O5485" t="n">
        <v>0</v>
      </c>
      <c r="P5485" t="n">
        <v>0</v>
      </c>
      <c r="Q5485" t="n">
        <v>0</v>
      </c>
      <c r="R5485" s="2" t="inlineStr"/>
    </row>
    <row r="5486" ht="15" customHeight="1">
      <c r="A5486" t="inlineStr">
        <is>
          <t>A 36314-2025</t>
        </is>
      </c>
      <c r="B5486" s="1" t="n">
        <v>45868.34462962963</v>
      </c>
      <c r="C5486" s="1" t="n">
        <v>46075</v>
      </c>
      <c r="D5486" t="inlineStr">
        <is>
          <t>VÄSTERBOTTENS LÄN</t>
        </is>
      </c>
      <c r="E5486" t="inlineStr">
        <is>
          <t>VINDELN</t>
        </is>
      </c>
      <c r="G5486" t="n">
        <v>5.9</v>
      </c>
      <c r="H5486" t="n">
        <v>0</v>
      </c>
      <c r="I5486" t="n">
        <v>0</v>
      </c>
      <c r="J5486" t="n">
        <v>0</v>
      </c>
      <c r="K5486" t="n">
        <v>0</v>
      </c>
      <c r="L5486" t="n">
        <v>0</v>
      </c>
      <c r="M5486" t="n">
        <v>0</v>
      </c>
      <c r="N5486" t="n">
        <v>0</v>
      </c>
      <c r="O5486" t="n">
        <v>0</v>
      </c>
      <c r="P5486" t="n">
        <v>0</v>
      </c>
      <c r="Q5486" t="n">
        <v>0</v>
      </c>
      <c r="R5486" s="2" t="inlineStr"/>
    </row>
    <row r="5487" ht="15" customHeight="1">
      <c r="A5487" t="inlineStr">
        <is>
          <t>A 36400-2025</t>
        </is>
      </c>
      <c r="B5487" s="1" t="n">
        <v>45868</v>
      </c>
      <c r="C5487" s="1" t="n">
        <v>46075</v>
      </c>
      <c r="D5487" t="inlineStr">
        <is>
          <t>VÄSTERBOTTENS LÄN</t>
        </is>
      </c>
      <c r="E5487" t="inlineStr">
        <is>
          <t>ÅSELE</t>
        </is>
      </c>
      <c r="F5487" t="inlineStr">
        <is>
          <t>Holmen skog AB</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26038-2025</t>
        </is>
      </c>
      <c r="B5488" s="1" t="n">
        <v>45804</v>
      </c>
      <c r="C5488" s="1" t="n">
        <v>46075</v>
      </c>
      <c r="D5488" t="inlineStr">
        <is>
          <t>VÄSTERBOTTENS LÄN</t>
        </is>
      </c>
      <c r="E5488" t="inlineStr">
        <is>
          <t>SORSELE</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26036-2025</t>
        </is>
      </c>
      <c r="B5489" s="1" t="n">
        <v>45804</v>
      </c>
      <c r="C5489" s="1" t="n">
        <v>46075</v>
      </c>
      <c r="D5489" t="inlineStr">
        <is>
          <t>VÄSTERBOTTENS LÄN</t>
        </is>
      </c>
      <c r="E5489" t="inlineStr">
        <is>
          <t>SORSELE</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16156-2025</t>
        </is>
      </c>
      <c r="B5490" s="1" t="n">
        <v>45750.49013888889</v>
      </c>
      <c r="C5490" s="1" t="n">
        <v>46075</v>
      </c>
      <c r="D5490" t="inlineStr">
        <is>
          <t>VÄSTERBOTTENS LÄN</t>
        </is>
      </c>
      <c r="E5490" t="inlineStr">
        <is>
          <t>SKELLEFTEÅ</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26033-2025</t>
        </is>
      </c>
      <c r="B5491" s="1" t="n">
        <v>45804</v>
      </c>
      <c r="C5491" s="1" t="n">
        <v>46075</v>
      </c>
      <c r="D5491" t="inlineStr">
        <is>
          <t>VÄSTERBOTTENS LÄN</t>
        </is>
      </c>
      <c r="E5491" t="inlineStr">
        <is>
          <t>SORSELE</t>
        </is>
      </c>
      <c r="G5491" t="n">
        <v>3.2</v>
      </c>
      <c r="H5491" t="n">
        <v>0</v>
      </c>
      <c r="I5491" t="n">
        <v>0</v>
      </c>
      <c r="J5491" t="n">
        <v>0</v>
      </c>
      <c r="K5491" t="n">
        <v>0</v>
      </c>
      <c r="L5491" t="n">
        <v>0</v>
      </c>
      <c r="M5491" t="n">
        <v>0</v>
      </c>
      <c r="N5491" t="n">
        <v>0</v>
      </c>
      <c r="O5491" t="n">
        <v>0</v>
      </c>
      <c r="P5491" t="n">
        <v>0</v>
      </c>
      <c r="Q5491" t="n">
        <v>0</v>
      </c>
      <c r="R5491" s="2" t="inlineStr"/>
    </row>
    <row r="5492" ht="15" customHeight="1">
      <c r="A5492" t="inlineStr">
        <is>
          <t>A 26037-2025</t>
        </is>
      </c>
      <c r="B5492" s="1" t="n">
        <v>45804</v>
      </c>
      <c r="C5492" s="1" t="n">
        <v>46075</v>
      </c>
      <c r="D5492" t="inlineStr">
        <is>
          <t>VÄSTERBOTTENS LÄN</t>
        </is>
      </c>
      <c r="E5492" t="inlineStr">
        <is>
          <t>SORSELE</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52699-2021</t>
        </is>
      </c>
      <c r="B5493" s="1" t="n">
        <v>44466</v>
      </c>
      <c r="C5493" s="1" t="n">
        <v>46075</v>
      </c>
      <c r="D5493" t="inlineStr">
        <is>
          <t>VÄSTERBOTTENS LÄN</t>
        </is>
      </c>
      <c r="E5493" t="inlineStr">
        <is>
          <t>LYCKSELE</t>
        </is>
      </c>
      <c r="G5493" t="n">
        <v>3.9</v>
      </c>
      <c r="H5493" t="n">
        <v>0</v>
      </c>
      <c r="I5493" t="n">
        <v>0</v>
      </c>
      <c r="J5493" t="n">
        <v>0</v>
      </c>
      <c r="K5493" t="n">
        <v>0</v>
      </c>
      <c r="L5493" t="n">
        <v>0</v>
      </c>
      <c r="M5493" t="n">
        <v>0</v>
      </c>
      <c r="N5493" t="n">
        <v>0</v>
      </c>
      <c r="O5493" t="n">
        <v>0</v>
      </c>
      <c r="P5493" t="n">
        <v>0</v>
      </c>
      <c r="Q5493" t="n">
        <v>0</v>
      </c>
      <c r="R5493" s="2" t="inlineStr"/>
    </row>
    <row r="5494" ht="15" customHeight="1">
      <c r="A5494" t="inlineStr">
        <is>
          <t>A 72841-2021</t>
        </is>
      </c>
      <c r="B5494" s="1" t="n">
        <v>44547.45057870371</v>
      </c>
      <c r="C5494" s="1" t="n">
        <v>46075</v>
      </c>
      <c r="D5494" t="inlineStr">
        <is>
          <t>VÄSTERBOTTENS LÄN</t>
        </is>
      </c>
      <c r="E5494" t="inlineStr">
        <is>
          <t>NORDMALING</t>
        </is>
      </c>
      <c r="G5494" t="n">
        <v>5.1</v>
      </c>
      <c r="H5494" t="n">
        <v>0</v>
      </c>
      <c r="I5494" t="n">
        <v>0</v>
      </c>
      <c r="J5494" t="n">
        <v>0</v>
      </c>
      <c r="K5494" t="n">
        <v>0</v>
      </c>
      <c r="L5494" t="n">
        <v>0</v>
      </c>
      <c r="M5494" t="n">
        <v>0</v>
      </c>
      <c r="N5494" t="n">
        <v>0</v>
      </c>
      <c r="O5494" t="n">
        <v>0</v>
      </c>
      <c r="P5494" t="n">
        <v>0</v>
      </c>
      <c r="Q5494" t="n">
        <v>0</v>
      </c>
      <c r="R5494" s="2" t="inlineStr"/>
    </row>
    <row r="5495" ht="15" customHeight="1">
      <c r="A5495" t="inlineStr">
        <is>
          <t>A 47984-2022</t>
        </is>
      </c>
      <c r="B5495" s="1" t="n">
        <v>44853</v>
      </c>
      <c r="C5495" s="1" t="n">
        <v>46075</v>
      </c>
      <c r="D5495" t="inlineStr">
        <is>
          <t>VÄSTERBOTTENS LÄN</t>
        </is>
      </c>
      <c r="E5495" t="inlineStr">
        <is>
          <t>SKELLEFTEÅ</t>
        </is>
      </c>
      <c r="G5495" t="n">
        <v>2.8</v>
      </c>
      <c r="H5495" t="n">
        <v>0</v>
      </c>
      <c r="I5495" t="n">
        <v>0</v>
      </c>
      <c r="J5495" t="n">
        <v>0</v>
      </c>
      <c r="K5495" t="n">
        <v>0</v>
      </c>
      <c r="L5495" t="n">
        <v>0</v>
      </c>
      <c r="M5495" t="n">
        <v>0</v>
      </c>
      <c r="N5495" t="n">
        <v>0</v>
      </c>
      <c r="O5495" t="n">
        <v>0</v>
      </c>
      <c r="P5495" t="n">
        <v>0</v>
      </c>
      <c r="Q5495" t="n">
        <v>0</v>
      </c>
      <c r="R5495" s="2" t="inlineStr"/>
    </row>
    <row r="5496" ht="15" customHeight="1">
      <c r="A5496" t="inlineStr">
        <is>
          <t>A 47988-2022</t>
        </is>
      </c>
      <c r="B5496" s="1" t="n">
        <v>44853</v>
      </c>
      <c r="C5496" s="1" t="n">
        <v>46075</v>
      </c>
      <c r="D5496" t="inlineStr">
        <is>
          <t>VÄSTERBOTTENS LÄN</t>
        </is>
      </c>
      <c r="E5496" t="inlineStr">
        <is>
          <t>SKELLEFTEÅ</t>
        </is>
      </c>
      <c r="G5496" t="n">
        <v>4.6</v>
      </c>
      <c r="H5496" t="n">
        <v>0</v>
      </c>
      <c r="I5496" t="n">
        <v>0</v>
      </c>
      <c r="J5496" t="n">
        <v>0</v>
      </c>
      <c r="K5496" t="n">
        <v>0</v>
      </c>
      <c r="L5496" t="n">
        <v>0</v>
      </c>
      <c r="M5496" t="n">
        <v>0</v>
      </c>
      <c r="N5496" t="n">
        <v>0</v>
      </c>
      <c r="O5496" t="n">
        <v>0</v>
      </c>
      <c r="P5496" t="n">
        <v>0</v>
      </c>
      <c r="Q5496" t="n">
        <v>0</v>
      </c>
      <c r="R5496" s="2" t="inlineStr"/>
    </row>
    <row r="5497" ht="15" customHeight="1">
      <c r="A5497" t="inlineStr">
        <is>
          <t>A 72894-2021</t>
        </is>
      </c>
      <c r="B5497" s="1" t="n">
        <v>44546</v>
      </c>
      <c r="C5497" s="1" t="n">
        <v>46075</v>
      </c>
      <c r="D5497" t="inlineStr">
        <is>
          <t>VÄSTERBOTTENS LÄN</t>
        </is>
      </c>
      <c r="E5497" t="inlineStr">
        <is>
          <t>SORSELE</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46861-2025</t>
        </is>
      </c>
      <c r="B5498" s="1" t="n">
        <v>45929.29958333333</v>
      </c>
      <c r="C5498" s="1" t="n">
        <v>46075</v>
      </c>
      <c r="D5498" t="inlineStr">
        <is>
          <t>VÄSTERBOTTENS LÄN</t>
        </is>
      </c>
      <c r="E5498" t="inlineStr">
        <is>
          <t>VINDELN</t>
        </is>
      </c>
      <c r="G5498" t="n">
        <v>3</v>
      </c>
      <c r="H5498" t="n">
        <v>0</v>
      </c>
      <c r="I5498" t="n">
        <v>0</v>
      </c>
      <c r="J5498" t="n">
        <v>0</v>
      </c>
      <c r="K5498" t="n">
        <v>0</v>
      </c>
      <c r="L5498" t="n">
        <v>0</v>
      </c>
      <c r="M5498" t="n">
        <v>0</v>
      </c>
      <c r="N5498" t="n">
        <v>0</v>
      </c>
      <c r="O5498" t="n">
        <v>0</v>
      </c>
      <c r="P5498" t="n">
        <v>0</v>
      </c>
      <c r="Q5498" t="n">
        <v>0</v>
      </c>
      <c r="R5498" s="2" t="inlineStr"/>
    </row>
    <row r="5499" ht="15" customHeight="1">
      <c r="A5499" t="inlineStr">
        <is>
          <t>A 46876-2025</t>
        </is>
      </c>
      <c r="B5499" s="1" t="n">
        <v>45929.34462962963</v>
      </c>
      <c r="C5499" s="1" t="n">
        <v>46075</v>
      </c>
      <c r="D5499" t="inlineStr">
        <is>
          <t>VÄSTERBOTTENS LÄN</t>
        </is>
      </c>
      <c r="E5499" t="inlineStr">
        <is>
          <t>NORDMALING</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6994-2025</t>
        </is>
      </c>
      <c r="B5500" s="1" t="n">
        <v>45701</v>
      </c>
      <c r="C5500" s="1" t="n">
        <v>46075</v>
      </c>
      <c r="D5500" t="inlineStr">
        <is>
          <t>VÄSTERBOTTENS LÄN</t>
        </is>
      </c>
      <c r="E5500" t="inlineStr">
        <is>
          <t>ROBERTSFORS</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36393-2025</t>
        </is>
      </c>
      <c r="B5501" s="1" t="n">
        <v>45868.61376157407</v>
      </c>
      <c r="C5501" s="1" t="n">
        <v>46075</v>
      </c>
      <c r="D5501" t="inlineStr">
        <is>
          <t>VÄSTERBOTTENS LÄN</t>
        </is>
      </c>
      <c r="E5501" t="inlineStr">
        <is>
          <t>ÅSELE</t>
        </is>
      </c>
      <c r="F5501" t="inlineStr">
        <is>
          <t>Holmen skog AB</t>
        </is>
      </c>
      <c r="G5501" t="n">
        <v>4.7</v>
      </c>
      <c r="H5501" t="n">
        <v>0</v>
      </c>
      <c r="I5501" t="n">
        <v>0</v>
      </c>
      <c r="J5501" t="n">
        <v>0</v>
      </c>
      <c r="K5501" t="n">
        <v>0</v>
      </c>
      <c r="L5501" t="n">
        <v>0</v>
      </c>
      <c r="M5501" t="n">
        <v>0</v>
      </c>
      <c r="N5501" t="n">
        <v>0</v>
      </c>
      <c r="O5501" t="n">
        <v>0</v>
      </c>
      <c r="P5501" t="n">
        <v>0</v>
      </c>
      <c r="Q5501" t="n">
        <v>0</v>
      </c>
      <c r="R5501" s="2" t="inlineStr"/>
    </row>
    <row r="5502" ht="15" customHeight="1">
      <c r="A5502" t="inlineStr">
        <is>
          <t>A 36334-2025</t>
        </is>
      </c>
      <c r="B5502" s="1" t="n">
        <v>45868.43071759259</v>
      </c>
      <c r="C5502" s="1" t="n">
        <v>46075</v>
      </c>
      <c r="D5502" t="inlineStr">
        <is>
          <t>VÄSTERBOTTENS LÄN</t>
        </is>
      </c>
      <c r="E5502" t="inlineStr">
        <is>
          <t>UMEÅ</t>
        </is>
      </c>
      <c r="F5502" t="inlineStr">
        <is>
          <t>Holmen skog AB</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46892-2025</t>
        </is>
      </c>
      <c r="B5503" s="1" t="n">
        <v>45929</v>
      </c>
      <c r="C5503" s="1" t="n">
        <v>46075</v>
      </c>
      <c r="D5503" t="inlineStr">
        <is>
          <t>VÄSTERBOTTENS LÄN</t>
        </is>
      </c>
      <c r="E5503" t="inlineStr">
        <is>
          <t>MALÅ</t>
        </is>
      </c>
      <c r="F5503" t="inlineStr">
        <is>
          <t>Sveaskog</t>
        </is>
      </c>
      <c r="G5503" t="n">
        <v>3.2</v>
      </c>
      <c r="H5503" t="n">
        <v>0</v>
      </c>
      <c r="I5503" t="n">
        <v>0</v>
      </c>
      <c r="J5503" t="n">
        <v>0</v>
      </c>
      <c r="K5503" t="n">
        <v>0</v>
      </c>
      <c r="L5503" t="n">
        <v>0</v>
      </c>
      <c r="M5503" t="n">
        <v>0</v>
      </c>
      <c r="N5503" t="n">
        <v>0</v>
      </c>
      <c r="O5503" t="n">
        <v>0</v>
      </c>
      <c r="P5503" t="n">
        <v>0</v>
      </c>
      <c r="Q5503" t="n">
        <v>0</v>
      </c>
      <c r="R5503" s="2" t="inlineStr"/>
    </row>
    <row r="5504" ht="15" customHeight="1">
      <c r="A5504" t="inlineStr">
        <is>
          <t>A 42789-2023</t>
        </is>
      </c>
      <c r="B5504" s="1" t="n">
        <v>45181</v>
      </c>
      <c r="C5504" s="1" t="n">
        <v>46075</v>
      </c>
      <c r="D5504" t="inlineStr">
        <is>
          <t>VÄSTERBOTTENS LÄN</t>
        </is>
      </c>
      <c r="E5504" t="inlineStr">
        <is>
          <t>SKELLEFTEÅ</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31625-2024</t>
        </is>
      </c>
      <c r="B5505" s="1" t="n">
        <v>45506.50579861111</v>
      </c>
      <c r="C5505" s="1" t="n">
        <v>46075</v>
      </c>
      <c r="D5505" t="inlineStr">
        <is>
          <t>VÄSTERBOTTENS LÄN</t>
        </is>
      </c>
      <c r="E5505" t="inlineStr">
        <is>
          <t>VINDELN</t>
        </is>
      </c>
      <c r="G5505" t="n">
        <v>14.1</v>
      </c>
      <c r="H5505" t="n">
        <v>0</v>
      </c>
      <c r="I5505" t="n">
        <v>0</v>
      </c>
      <c r="J5505" t="n">
        <v>0</v>
      </c>
      <c r="K5505" t="n">
        <v>0</v>
      </c>
      <c r="L5505" t="n">
        <v>0</v>
      </c>
      <c r="M5505" t="n">
        <v>0</v>
      </c>
      <c r="N5505" t="n">
        <v>0</v>
      </c>
      <c r="O5505" t="n">
        <v>0</v>
      </c>
      <c r="P5505" t="n">
        <v>0</v>
      </c>
      <c r="Q5505" t="n">
        <v>0</v>
      </c>
      <c r="R5505" s="2" t="inlineStr"/>
    </row>
    <row r="5506" ht="15" customHeight="1">
      <c r="A5506" t="inlineStr">
        <is>
          <t>A 59913-2022</t>
        </is>
      </c>
      <c r="B5506" s="1" t="n">
        <v>44908.95995370371</v>
      </c>
      <c r="C5506" s="1" t="n">
        <v>46075</v>
      </c>
      <c r="D5506" t="inlineStr">
        <is>
          <t>VÄSTERBOTTENS LÄN</t>
        </is>
      </c>
      <c r="E5506" t="inlineStr">
        <is>
          <t>NORDMALING</t>
        </is>
      </c>
      <c r="F5506" t="inlineStr">
        <is>
          <t>SCA</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60502-2022</t>
        </is>
      </c>
      <c r="B5507" s="1" t="n">
        <v>44911.44655092592</v>
      </c>
      <c r="C5507" s="1" t="n">
        <v>46075</v>
      </c>
      <c r="D5507" t="inlineStr">
        <is>
          <t>VÄSTERBOTTENS LÄN</t>
        </is>
      </c>
      <c r="E5507" t="inlineStr">
        <is>
          <t>SKELLEFTEÅ</t>
        </is>
      </c>
      <c r="F5507" t="inlineStr">
        <is>
          <t>Sveaskog</t>
        </is>
      </c>
      <c r="G5507" t="n">
        <v>2.2</v>
      </c>
      <c r="H5507" t="n">
        <v>0</v>
      </c>
      <c r="I5507" t="n">
        <v>0</v>
      </c>
      <c r="J5507" t="n">
        <v>0</v>
      </c>
      <c r="K5507" t="n">
        <v>0</v>
      </c>
      <c r="L5507" t="n">
        <v>0</v>
      </c>
      <c r="M5507" t="n">
        <v>0</v>
      </c>
      <c r="N5507" t="n">
        <v>0</v>
      </c>
      <c r="O5507" t="n">
        <v>0</v>
      </c>
      <c r="P5507" t="n">
        <v>0</v>
      </c>
      <c r="Q5507" t="n">
        <v>0</v>
      </c>
      <c r="R5507" s="2" t="inlineStr"/>
    </row>
    <row r="5508" ht="15" customHeight="1">
      <c r="A5508" t="inlineStr">
        <is>
          <t>A 36398-2025</t>
        </is>
      </c>
      <c r="B5508" s="1" t="n">
        <v>45868.63600694444</v>
      </c>
      <c r="C5508" s="1" t="n">
        <v>46075</v>
      </c>
      <c r="D5508" t="inlineStr">
        <is>
          <t>VÄSTERBOTTENS LÄN</t>
        </is>
      </c>
      <c r="E5508" t="inlineStr">
        <is>
          <t>LYCKSELE</t>
        </is>
      </c>
      <c r="F5508" t="inlineStr">
        <is>
          <t>SCA</t>
        </is>
      </c>
      <c r="G5508" t="n">
        <v>4.2</v>
      </c>
      <c r="H5508" t="n">
        <v>0</v>
      </c>
      <c r="I5508" t="n">
        <v>0</v>
      </c>
      <c r="J5508" t="n">
        <v>0</v>
      </c>
      <c r="K5508" t="n">
        <v>0</v>
      </c>
      <c r="L5508" t="n">
        <v>0</v>
      </c>
      <c r="M5508" t="n">
        <v>0</v>
      </c>
      <c r="N5508" t="n">
        <v>0</v>
      </c>
      <c r="O5508" t="n">
        <v>0</v>
      </c>
      <c r="P5508" t="n">
        <v>0</v>
      </c>
      <c r="Q5508" t="n">
        <v>0</v>
      </c>
      <c r="R5508" s="2" t="inlineStr"/>
    </row>
    <row r="5509" ht="15" customHeight="1">
      <c r="A5509" t="inlineStr">
        <is>
          <t>A 36413-2025</t>
        </is>
      </c>
      <c r="B5509" s="1" t="n">
        <v>45868.69234953704</v>
      </c>
      <c r="C5509" s="1" t="n">
        <v>46075</v>
      </c>
      <c r="D5509" t="inlineStr">
        <is>
          <t>VÄSTERBOTTENS LÄN</t>
        </is>
      </c>
      <c r="E5509" t="inlineStr">
        <is>
          <t>ÅSELE</t>
        </is>
      </c>
      <c r="F5509" t="inlineStr">
        <is>
          <t>Holmen skog AB</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46878-2025</t>
        </is>
      </c>
      <c r="B5510" s="1" t="n">
        <v>45929.34473379629</v>
      </c>
      <c r="C5510" s="1" t="n">
        <v>46075</v>
      </c>
      <c r="D5510" t="inlineStr">
        <is>
          <t>VÄSTERBOTTENS LÄN</t>
        </is>
      </c>
      <c r="E5510" t="inlineStr">
        <is>
          <t>NORDMALING</t>
        </is>
      </c>
      <c r="G5510" t="n">
        <v>3.2</v>
      </c>
      <c r="H5510" t="n">
        <v>0</v>
      </c>
      <c r="I5510" t="n">
        <v>0</v>
      </c>
      <c r="J5510" t="n">
        <v>0</v>
      </c>
      <c r="K5510" t="n">
        <v>0</v>
      </c>
      <c r="L5510" t="n">
        <v>0</v>
      </c>
      <c r="M5510" t="n">
        <v>0</v>
      </c>
      <c r="N5510" t="n">
        <v>0</v>
      </c>
      <c r="O5510" t="n">
        <v>0</v>
      </c>
      <c r="P5510" t="n">
        <v>0</v>
      </c>
      <c r="Q5510" t="n">
        <v>0</v>
      </c>
      <c r="R5510" s="2" t="inlineStr"/>
    </row>
    <row r="5511" ht="15" customHeight="1">
      <c r="A5511" t="inlineStr">
        <is>
          <t>A 46888-2025</t>
        </is>
      </c>
      <c r="B5511" s="1" t="n">
        <v>45929.3687037037</v>
      </c>
      <c r="C5511" s="1" t="n">
        <v>46075</v>
      </c>
      <c r="D5511" t="inlineStr">
        <is>
          <t>VÄSTERBOTTENS LÄN</t>
        </is>
      </c>
      <c r="E5511" t="inlineStr">
        <is>
          <t>STORUMAN</t>
        </is>
      </c>
      <c r="G5511" t="n">
        <v>2.4</v>
      </c>
      <c r="H5511" t="n">
        <v>0</v>
      </c>
      <c r="I5511" t="n">
        <v>0</v>
      </c>
      <c r="J5511" t="n">
        <v>0</v>
      </c>
      <c r="K5511" t="n">
        <v>0</v>
      </c>
      <c r="L5511" t="n">
        <v>0</v>
      </c>
      <c r="M5511" t="n">
        <v>0</v>
      </c>
      <c r="N5511" t="n">
        <v>0</v>
      </c>
      <c r="O5511" t="n">
        <v>0</v>
      </c>
      <c r="P5511" t="n">
        <v>0</v>
      </c>
      <c r="Q5511" t="n">
        <v>0</v>
      </c>
      <c r="R5511" s="2" t="inlineStr"/>
    </row>
    <row r="5512" ht="15" customHeight="1">
      <c r="A5512" t="inlineStr">
        <is>
          <t>A 36439-2025</t>
        </is>
      </c>
      <c r="B5512" s="1" t="n">
        <v>45869.38572916666</v>
      </c>
      <c r="C5512" s="1" t="n">
        <v>46075</v>
      </c>
      <c r="D5512" t="inlineStr">
        <is>
          <t>VÄSTERBOTTENS LÄN</t>
        </is>
      </c>
      <c r="E5512" t="inlineStr">
        <is>
          <t>LYCKSELE</t>
        </is>
      </c>
      <c r="F5512" t="inlineStr">
        <is>
          <t>Holmen skog AB</t>
        </is>
      </c>
      <c r="G5512" t="n">
        <v>14.3</v>
      </c>
      <c r="H5512" t="n">
        <v>0</v>
      </c>
      <c r="I5512" t="n">
        <v>0</v>
      </c>
      <c r="J5512" t="n">
        <v>0</v>
      </c>
      <c r="K5512" t="n">
        <v>0</v>
      </c>
      <c r="L5512" t="n">
        <v>0</v>
      </c>
      <c r="M5512" t="n">
        <v>0</v>
      </c>
      <c r="N5512" t="n">
        <v>0</v>
      </c>
      <c r="O5512" t="n">
        <v>0</v>
      </c>
      <c r="P5512" t="n">
        <v>0</v>
      </c>
      <c r="Q5512" t="n">
        <v>0</v>
      </c>
      <c r="R5512" s="2" t="inlineStr"/>
    </row>
    <row r="5513" ht="15" customHeight="1">
      <c r="A5513" t="inlineStr">
        <is>
          <t>A 12261-2022</t>
        </is>
      </c>
      <c r="B5513" s="1" t="n">
        <v>44637</v>
      </c>
      <c r="C5513" s="1" t="n">
        <v>46075</v>
      </c>
      <c r="D5513" t="inlineStr">
        <is>
          <t>VÄSTERBOTTENS LÄN</t>
        </is>
      </c>
      <c r="E5513" t="inlineStr">
        <is>
          <t>LYCKSELE</t>
        </is>
      </c>
      <c r="G5513" t="n">
        <v>30.8</v>
      </c>
      <c r="H5513" t="n">
        <v>0</v>
      </c>
      <c r="I5513" t="n">
        <v>0</v>
      </c>
      <c r="J5513" t="n">
        <v>0</v>
      </c>
      <c r="K5513" t="n">
        <v>0</v>
      </c>
      <c r="L5513" t="n">
        <v>0</v>
      </c>
      <c r="M5513" t="n">
        <v>0</v>
      </c>
      <c r="N5513" t="n">
        <v>0</v>
      </c>
      <c r="O5513" t="n">
        <v>0</v>
      </c>
      <c r="P5513" t="n">
        <v>0</v>
      </c>
      <c r="Q5513" t="n">
        <v>0</v>
      </c>
      <c r="R5513" s="2" t="inlineStr"/>
    </row>
    <row r="5514" ht="15" customHeight="1">
      <c r="A5514" t="inlineStr">
        <is>
          <t>A 18081-2022</t>
        </is>
      </c>
      <c r="B5514" s="1" t="n">
        <v>44684</v>
      </c>
      <c r="C5514" s="1" t="n">
        <v>46075</v>
      </c>
      <c r="D5514" t="inlineStr">
        <is>
          <t>VÄSTERBOTTENS LÄN</t>
        </is>
      </c>
      <c r="E5514" t="inlineStr">
        <is>
          <t>SKELLEFTEÅ</t>
        </is>
      </c>
      <c r="G5514" t="n">
        <v>8</v>
      </c>
      <c r="H5514" t="n">
        <v>0</v>
      </c>
      <c r="I5514" t="n">
        <v>0</v>
      </c>
      <c r="J5514" t="n">
        <v>0</v>
      </c>
      <c r="K5514" t="n">
        <v>0</v>
      </c>
      <c r="L5514" t="n">
        <v>0</v>
      </c>
      <c r="M5514" t="n">
        <v>0</v>
      </c>
      <c r="N5514" t="n">
        <v>0</v>
      </c>
      <c r="O5514" t="n">
        <v>0</v>
      </c>
      <c r="P5514" t="n">
        <v>0</v>
      </c>
      <c r="Q5514" t="n">
        <v>0</v>
      </c>
      <c r="R5514" s="2" t="inlineStr"/>
    </row>
    <row r="5515" ht="15" customHeight="1">
      <c r="A5515" t="inlineStr">
        <is>
          <t>A 39275-2022</t>
        </is>
      </c>
      <c r="B5515" s="1" t="n">
        <v>44817</v>
      </c>
      <c r="C5515" s="1" t="n">
        <v>46075</v>
      </c>
      <c r="D5515" t="inlineStr">
        <is>
          <t>VÄSTERBOTTENS LÄN</t>
        </is>
      </c>
      <c r="E5515" t="inlineStr">
        <is>
          <t>STORUMAN</t>
        </is>
      </c>
      <c r="F5515" t="inlineStr">
        <is>
          <t>Sveaskog</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36315-2025</t>
        </is>
      </c>
      <c r="B5516" s="1" t="n">
        <v>45868</v>
      </c>
      <c r="C5516" s="1" t="n">
        <v>46075</v>
      </c>
      <c r="D5516" t="inlineStr">
        <is>
          <t>VÄSTERBOTTENS LÄN</t>
        </is>
      </c>
      <c r="E5516" t="inlineStr">
        <is>
          <t>ÅSELE</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60645-2023</t>
        </is>
      </c>
      <c r="B5517" s="1" t="n">
        <v>45260.41273148148</v>
      </c>
      <c r="C5517" s="1" t="n">
        <v>46075</v>
      </c>
      <c r="D5517" t="inlineStr">
        <is>
          <t>VÄSTERBOTTENS LÄN</t>
        </is>
      </c>
      <c r="E5517" t="inlineStr">
        <is>
          <t>UMEÅ</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32628-2023</t>
        </is>
      </c>
      <c r="B5518" s="1" t="n">
        <v>45112</v>
      </c>
      <c r="C5518" s="1" t="n">
        <v>46075</v>
      </c>
      <c r="D5518" t="inlineStr">
        <is>
          <t>VÄSTERBOTTENS LÄN</t>
        </is>
      </c>
      <c r="E5518" t="inlineStr">
        <is>
          <t>UMEÅ</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36381-2025</t>
        </is>
      </c>
      <c r="B5519" s="1" t="n">
        <v>45868.5740162037</v>
      </c>
      <c r="C5519" s="1" t="n">
        <v>46075</v>
      </c>
      <c r="D5519" t="inlineStr">
        <is>
          <t>VÄSTERBOTTENS LÄN</t>
        </is>
      </c>
      <c r="E5519" t="inlineStr">
        <is>
          <t>SORSELE</t>
        </is>
      </c>
      <c r="F5519" t="inlineStr">
        <is>
          <t>SCA</t>
        </is>
      </c>
      <c r="G5519" t="n">
        <v>2.7</v>
      </c>
      <c r="H5519" t="n">
        <v>0</v>
      </c>
      <c r="I5519" t="n">
        <v>0</v>
      </c>
      <c r="J5519" t="n">
        <v>0</v>
      </c>
      <c r="K5519" t="n">
        <v>0</v>
      </c>
      <c r="L5519" t="n">
        <v>0</v>
      </c>
      <c r="M5519" t="n">
        <v>0</v>
      </c>
      <c r="N5519" t="n">
        <v>0</v>
      </c>
      <c r="O5519" t="n">
        <v>0</v>
      </c>
      <c r="P5519" t="n">
        <v>0</v>
      </c>
      <c r="Q5519" t="n">
        <v>0</v>
      </c>
      <c r="R5519" s="2" t="inlineStr"/>
    </row>
    <row r="5520" ht="15" customHeight="1">
      <c r="A5520" t="inlineStr">
        <is>
          <t>A 48068-2022</t>
        </is>
      </c>
      <c r="B5520" s="1" t="n">
        <v>44855</v>
      </c>
      <c r="C5520" s="1" t="n">
        <v>46075</v>
      </c>
      <c r="D5520" t="inlineStr">
        <is>
          <t>VÄSTERBOTTENS LÄN</t>
        </is>
      </c>
      <c r="E5520" t="inlineStr">
        <is>
          <t>VILHELMINA</t>
        </is>
      </c>
      <c r="F5520" t="inlineStr">
        <is>
          <t>SCA</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32679-2023</t>
        </is>
      </c>
      <c r="B5521" s="1" t="n">
        <v>45111</v>
      </c>
      <c r="C5521" s="1" t="n">
        <v>46075</v>
      </c>
      <c r="D5521" t="inlineStr">
        <is>
          <t>VÄSTERBOTTENS LÄN</t>
        </is>
      </c>
      <c r="E5521" t="inlineStr">
        <is>
          <t>MALÅ</t>
        </is>
      </c>
      <c r="G5521" t="n">
        <v>14.9</v>
      </c>
      <c r="H5521" t="n">
        <v>0</v>
      </c>
      <c r="I5521" t="n">
        <v>0</v>
      </c>
      <c r="J5521" t="n">
        <v>0</v>
      </c>
      <c r="K5521" t="n">
        <v>0</v>
      </c>
      <c r="L5521" t="n">
        <v>0</v>
      </c>
      <c r="M5521" t="n">
        <v>0</v>
      </c>
      <c r="N5521" t="n">
        <v>0</v>
      </c>
      <c r="O5521" t="n">
        <v>0</v>
      </c>
      <c r="P5521" t="n">
        <v>0</v>
      </c>
      <c r="Q5521" t="n">
        <v>0</v>
      </c>
      <c r="R5521" s="2" t="inlineStr"/>
    </row>
    <row r="5522" ht="15" customHeight="1">
      <c r="A5522" t="inlineStr">
        <is>
          <t>A 33349-2023</t>
        </is>
      </c>
      <c r="B5522" s="1" t="n">
        <v>45117</v>
      </c>
      <c r="C5522" s="1" t="n">
        <v>46075</v>
      </c>
      <c r="D5522" t="inlineStr">
        <is>
          <t>VÄSTERBOTTENS LÄN</t>
        </is>
      </c>
      <c r="E5522" t="inlineStr">
        <is>
          <t>VILHELMINA</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35832-2025</t>
        </is>
      </c>
      <c r="B5523" s="1" t="n">
        <v>45861.50935185186</v>
      </c>
      <c r="C5523" s="1" t="n">
        <v>46075</v>
      </c>
      <c r="D5523" t="inlineStr">
        <is>
          <t>VÄSTERBOTTENS LÄN</t>
        </is>
      </c>
      <c r="E5523" t="inlineStr">
        <is>
          <t>LYCKSELE</t>
        </is>
      </c>
      <c r="F5523" t="inlineStr">
        <is>
          <t>Sveaskog</t>
        </is>
      </c>
      <c r="G5523" t="n">
        <v>6.5</v>
      </c>
      <c r="H5523" t="n">
        <v>0</v>
      </c>
      <c r="I5523" t="n">
        <v>0</v>
      </c>
      <c r="J5523" t="n">
        <v>0</v>
      </c>
      <c r="K5523" t="n">
        <v>0</v>
      </c>
      <c r="L5523" t="n">
        <v>0</v>
      </c>
      <c r="M5523" t="n">
        <v>0</v>
      </c>
      <c r="N5523" t="n">
        <v>0</v>
      </c>
      <c r="O5523" t="n">
        <v>0</v>
      </c>
      <c r="P5523" t="n">
        <v>0</v>
      </c>
      <c r="Q5523" t="n">
        <v>0</v>
      </c>
      <c r="R5523" s="2" t="inlineStr"/>
    </row>
    <row r="5524" ht="15" customHeight="1">
      <c r="A5524" t="inlineStr">
        <is>
          <t>A 36467-2025</t>
        </is>
      </c>
      <c r="B5524" s="1" t="n">
        <v>45869.47054398148</v>
      </c>
      <c r="C5524" s="1" t="n">
        <v>46075</v>
      </c>
      <c r="D5524" t="inlineStr">
        <is>
          <t>VÄSTERBOTTENS LÄN</t>
        </is>
      </c>
      <c r="E5524" t="inlineStr">
        <is>
          <t>ÅSELE</t>
        </is>
      </c>
      <c r="F5524" t="inlineStr">
        <is>
          <t>Holmen skog AB</t>
        </is>
      </c>
      <c r="G5524" t="n">
        <v>4.9</v>
      </c>
      <c r="H5524" t="n">
        <v>0</v>
      </c>
      <c r="I5524" t="n">
        <v>0</v>
      </c>
      <c r="J5524" t="n">
        <v>0</v>
      </c>
      <c r="K5524" t="n">
        <v>0</v>
      </c>
      <c r="L5524" t="n">
        <v>0</v>
      </c>
      <c r="M5524" t="n">
        <v>0</v>
      </c>
      <c r="N5524" t="n">
        <v>0</v>
      </c>
      <c r="O5524" t="n">
        <v>0</v>
      </c>
      <c r="P5524" t="n">
        <v>0</v>
      </c>
      <c r="Q5524" t="n">
        <v>0</v>
      </c>
      <c r="R5524" s="2" t="inlineStr"/>
    </row>
    <row r="5525" ht="15" customHeight="1">
      <c r="A5525" t="inlineStr">
        <is>
          <t>A 59877-2022</t>
        </is>
      </c>
      <c r="B5525" s="1" t="n">
        <v>44901</v>
      </c>
      <c r="C5525" s="1" t="n">
        <v>46075</v>
      </c>
      <c r="D5525" t="inlineStr">
        <is>
          <t>VÄSTERBOTTENS LÄN</t>
        </is>
      </c>
      <c r="E5525" t="inlineStr">
        <is>
          <t>ROBERTSFORS</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26034-2025</t>
        </is>
      </c>
      <c r="B5526" s="1" t="n">
        <v>45804</v>
      </c>
      <c r="C5526" s="1" t="n">
        <v>46075</v>
      </c>
      <c r="D5526" t="inlineStr">
        <is>
          <t>VÄSTERBOTTENS LÄN</t>
        </is>
      </c>
      <c r="E5526" t="inlineStr">
        <is>
          <t>SORSELE</t>
        </is>
      </c>
      <c r="G5526" t="n">
        <v>4.1</v>
      </c>
      <c r="H5526" t="n">
        <v>0</v>
      </c>
      <c r="I5526" t="n">
        <v>0</v>
      </c>
      <c r="J5526" t="n">
        <v>0</v>
      </c>
      <c r="K5526" t="n">
        <v>0</v>
      </c>
      <c r="L5526" t="n">
        <v>0</v>
      </c>
      <c r="M5526" t="n">
        <v>0</v>
      </c>
      <c r="N5526" t="n">
        <v>0</v>
      </c>
      <c r="O5526" t="n">
        <v>0</v>
      </c>
      <c r="P5526" t="n">
        <v>0</v>
      </c>
      <c r="Q5526" t="n">
        <v>0</v>
      </c>
      <c r="R5526" s="2" t="inlineStr"/>
    </row>
    <row r="5527" ht="15" customHeight="1">
      <c r="A5527" t="inlineStr">
        <is>
          <t>A 46617-2025</t>
        </is>
      </c>
      <c r="B5527" s="1" t="n">
        <v>45926.43288194444</v>
      </c>
      <c r="C5527" s="1" t="n">
        <v>46075</v>
      </c>
      <c r="D5527" t="inlineStr">
        <is>
          <t>VÄSTERBOTTENS LÄN</t>
        </is>
      </c>
      <c r="E5527" t="inlineStr">
        <is>
          <t>NORSJÖ</t>
        </is>
      </c>
      <c r="F5527" t="inlineStr">
        <is>
          <t>Holmen skog AB</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46574-2025</t>
        </is>
      </c>
      <c r="B5528" s="1" t="n">
        <v>45926.37028935185</v>
      </c>
      <c r="C5528" s="1" t="n">
        <v>46075</v>
      </c>
      <c r="D5528" t="inlineStr">
        <is>
          <t>VÄSTERBOTTENS LÄN</t>
        </is>
      </c>
      <c r="E5528" t="inlineStr">
        <is>
          <t>VINDELN</t>
        </is>
      </c>
      <c r="F5528" t="inlineStr">
        <is>
          <t>Holmen skog AB</t>
        </is>
      </c>
      <c r="G5528" t="n">
        <v>4</v>
      </c>
      <c r="H5528" t="n">
        <v>0</v>
      </c>
      <c r="I5528" t="n">
        <v>0</v>
      </c>
      <c r="J5528" t="n">
        <v>0</v>
      </c>
      <c r="K5528" t="n">
        <v>0</v>
      </c>
      <c r="L5528" t="n">
        <v>0</v>
      </c>
      <c r="M5528" t="n">
        <v>0</v>
      </c>
      <c r="N5528" t="n">
        <v>0</v>
      </c>
      <c r="O5528" t="n">
        <v>0</v>
      </c>
      <c r="P5528" t="n">
        <v>0</v>
      </c>
      <c r="Q5528" t="n">
        <v>0</v>
      </c>
      <c r="R5528" s="2" t="inlineStr"/>
    </row>
    <row r="5529" ht="15" customHeight="1">
      <c r="A5529" t="inlineStr">
        <is>
          <t>A 27273-2021</t>
        </is>
      </c>
      <c r="B5529" s="1" t="n">
        <v>44350</v>
      </c>
      <c r="C5529" s="1" t="n">
        <v>46075</v>
      </c>
      <c r="D5529" t="inlineStr">
        <is>
          <t>VÄSTERBOTTENS LÄN</t>
        </is>
      </c>
      <c r="E5529" t="inlineStr">
        <is>
          <t>SORSELE</t>
        </is>
      </c>
      <c r="G5529" t="n">
        <v>4.8</v>
      </c>
      <c r="H5529" t="n">
        <v>0</v>
      </c>
      <c r="I5529" t="n">
        <v>0</v>
      </c>
      <c r="J5529" t="n">
        <v>0</v>
      </c>
      <c r="K5529" t="n">
        <v>0</v>
      </c>
      <c r="L5529" t="n">
        <v>0</v>
      </c>
      <c r="M5529" t="n">
        <v>0</v>
      </c>
      <c r="N5529" t="n">
        <v>0</v>
      </c>
      <c r="O5529" t="n">
        <v>0</v>
      </c>
      <c r="P5529" t="n">
        <v>0</v>
      </c>
      <c r="Q5529" t="n">
        <v>0</v>
      </c>
      <c r="R5529" s="2" t="inlineStr"/>
    </row>
    <row r="5530" ht="15" customHeight="1">
      <c r="A5530" t="inlineStr">
        <is>
          <t>A 36309-2025</t>
        </is>
      </c>
      <c r="B5530" s="1" t="n">
        <v>45868.33694444445</v>
      </c>
      <c r="C5530" s="1" t="n">
        <v>46075</v>
      </c>
      <c r="D5530" t="inlineStr">
        <is>
          <t>VÄSTERBOTTENS LÄN</t>
        </is>
      </c>
      <c r="E5530" t="inlineStr">
        <is>
          <t>UMEÅ</t>
        </is>
      </c>
      <c r="F5530" t="inlineStr">
        <is>
          <t>Holmen skog AB</t>
        </is>
      </c>
      <c r="G5530" t="n">
        <v>2.8</v>
      </c>
      <c r="H5530" t="n">
        <v>0</v>
      </c>
      <c r="I5530" t="n">
        <v>0</v>
      </c>
      <c r="J5530" t="n">
        <v>0</v>
      </c>
      <c r="K5530" t="n">
        <v>0</v>
      </c>
      <c r="L5530" t="n">
        <v>0</v>
      </c>
      <c r="M5530" t="n">
        <v>0</v>
      </c>
      <c r="N5530" t="n">
        <v>0</v>
      </c>
      <c r="O5530" t="n">
        <v>0</v>
      </c>
      <c r="P5530" t="n">
        <v>0</v>
      </c>
      <c r="Q5530" t="n">
        <v>0</v>
      </c>
      <c r="R5530" s="2" t="inlineStr"/>
    </row>
    <row r="5531" ht="15" customHeight="1">
      <c r="A5531" t="inlineStr">
        <is>
          <t>A 46682-2025</t>
        </is>
      </c>
      <c r="B5531" s="1" t="n">
        <v>45926.54784722222</v>
      </c>
      <c r="C5531" s="1" t="n">
        <v>46075</v>
      </c>
      <c r="D5531" t="inlineStr">
        <is>
          <t>VÄSTERBOTTENS LÄN</t>
        </is>
      </c>
      <c r="E5531" t="inlineStr">
        <is>
          <t>UMEÅ</t>
        </is>
      </c>
      <c r="F5531" t="inlineStr">
        <is>
          <t>Holmen skog AB</t>
        </is>
      </c>
      <c r="G5531" t="n">
        <v>5.7</v>
      </c>
      <c r="H5531" t="n">
        <v>0</v>
      </c>
      <c r="I5531" t="n">
        <v>0</v>
      </c>
      <c r="J5531" t="n">
        <v>0</v>
      </c>
      <c r="K5531" t="n">
        <v>0</v>
      </c>
      <c r="L5531" t="n">
        <v>0</v>
      </c>
      <c r="M5531" t="n">
        <v>0</v>
      </c>
      <c r="N5531" t="n">
        <v>0</v>
      </c>
      <c r="O5531" t="n">
        <v>0</v>
      </c>
      <c r="P5531" t="n">
        <v>0</v>
      </c>
      <c r="Q5531" t="n">
        <v>0</v>
      </c>
      <c r="R5531" s="2" t="inlineStr"/>
    </row>
    <row r="5532" ht="15" customHeight="1">
      <c r="A5532" t="inlineStr">
        <is>
          <t>A 46822-2025</t>
        </is>
      </c>
      <c r="B5532" s="1" t="n">
        <v>45926.76329861111</v>
      </c>
      <c r="C5532" s="1" t="n">
        <v>46075</v>
      </c>
      <c r="D5532" t="inlineStr">
        <is>
          <t>VÄSTERBOTTENS LÄN</t>
        </is>
      </c>
      <c r="E5532" t="inlineStr">
        <is>
          <t>SKELLEFTEÅ</t>
        </is>
      </c>
      <c r="F5532" t="inlineStr">
        <is>
          <t>Sveaskog</t>
        </is>
      </c>
      <c r="G5532" t="n">
        <v>14.7</v>
      </c>
      <c r="H5532" t="n">
        <v>0</v>
      </c>
      <c r="I5532" t="n">
        <v>0</v>
      </c>
      <c r="J5532" t="n">
        <v>0</v>
      </c>
      <c r="K5532" t="n">
        <v>0</v>
      </c>
      <c r="L5532" t="n">
        <v>0</v>
      </c>
      <c r="M5532" t="n">
        <v>0</v>
      </c>
      <c r="N5532" t="n">
        <v>0</v>
      </c>
      <c r="O5532" t="n">
        <v>0</v>
      </c>
      <c r="P5532" t="n">
        <v>0</v>
      </c>
      <c r="Q5532" t="n">
        <v>0</v>
      </c>
      <c r="R5532" s="2" t="inlineStr"/>
    </row>
    <row r="5533" ht="15" customHeight="1">
      <c r="A5533" t="inlineStr">
        <is>
          <t>A 58752-2023</t>
        </is>
      </c>
      <c r="B5533" s="1" t="n">
        <v>45251.92969907408</v>
      </c>
      <c r="C5533" s="1" t="n">
        <v>46075</v>
      </c>
      <c r="D5533" t="inlineStr">
        <is>
          <t>VÄSTERBOTTENS LÄN</t>
        </is>
      </c>
      <c r="E5533" t="inlineStr">
        <is>
          <t>SKELLEFTEÅ</t>
        </is>
      </c>
      <c r="G5533" t="n">
        <v>3.6</v>
      </c>
      <c r="H5533" t="n">
        <v>0</v>
      </c>
      <c r="I5533" t="n">
        <v>0</v>
      </c>
      <c r="J5533" t="n">
        <v>0</v>
      </c>
      <c r="K5533" t="n">
        <v>0</v>
      </c>
      <c r="L5533" t="n">
        <v>0</v>
      </c>
      <c r="M5533" t="n">
        <v>0</v>
      </c>
      <c r="N5533" t="n">
        <v>0</v>
      </c>
      <c r="O5533" t="n">
        <v>0</v>
      </c>
      <c r="P5533" t="n">
        <v>0</v>
      </c>
      <c r="Q5533" t="n">
        <v>0</v>
      </c>
      <c r="R5533" s="2" t="inlineStr"/>
    </row>
    <row r="5534" ht="15" customHeight="1">
      <c r="A5534" t="inlineStr">
        <is>
          <t>A 58755-2023</t>
        </is>
      </c>
      <c r="B5534" s="1" t="n">
        <v>45251</v>
      </c>
      <c r="C5534" s="1" t="n">
        <v>46075</v>
      </c>
      <c r="D5534" t="inlineStr">
        <is>
          <t>VÄSTERBOTTENS LÄN</t>
        </is>
      </c>
      <c r="E5534" t="inlineStr">
        <is>
          <t>SKELLEFTEÅ</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58833-2023</t>
        </is>
      </c>
      <c r="B5535" s="1" t="n">
        <v>45248</v>
      </c>
      <c r="C5535" s="1" t="n">
        <v>46075</v>
      </c>
      <c r="D5535" t="inlineStr">
        <is>
          <t>VÄSTERBOTTENS LÄN</t>
        </is>
      </c>
      <c r="E5535" t="inlineStr">
        <is>
          <t>VILHELMINA</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19465-2025</t>
        </is>
      </c>
      <c r="B5536" s="1" t="n">
        <v>45770</v>
      </c>
      <c r="C5536" s="1" t="n">
        <v>46075</v>
      </c>
      <c r="D5536" t="inlineStr">
        <is>
          <t>VÄSTERBOTTENS LÄN</t>
        </is>
      </c>
      <c r="E5536" t="inlineStr">
        <is>
          <t>VILHELMINA</t>
        </is>
      </c>
      <c r="F5536" t="inlineStr">
        <is>
          <t>SCA</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19466-2025</t>
        </is>
      </c>
      <c r="B5537" s="1" t="n">
        <v>45769</v>
      </c>
      <c r="C5537" s="1" t="n">
        <v>46075</v>
      </c>
      <c r="D5537" t="inlineStr">
        <is>
          <t>VÄSTERBOTTENS LÄN</t>
        </is>
      </c>
      <c r="E5537" t="inlineStr">
        <is>
          <t>DOROTEA</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19467-2025</t>
        </is>
      </c>
      <c r="B5538" s="1" t="n">
        <v>45769</v>
      </c>
      <c r="C5538" s="1" t="n">
        <v>46075</v>
      </c>
      <c r="D5538" t="inlineStr">
        <is>
          <t>VÄSTERBOTTENS LÄN</t>
        </is>
      </c>
      <c r="E5538" t="inlineStr">
        <is>
          <t>DOROTEA</t>
        </is>
      </c>
      <c r="G5538" t="n">
        <v>5.2</v>
      </c>
      <c r="H5538" t="n">
        <v>0</v>
      </c>
      <c r="I5538" t="n">
        <v>0</v>
      </c>
      <c r="J5538" t="n">
        <v>0</v>
      </c>
      <c r="K5538" t="n">
        <v>0</v>
      </c>
      <c r="L5538" t="n">
        <v>0</v>
      </c>
      <c r="M5538" t="n">
        <v>0</v>
      </c>
      <c r="N5538" t="n">
        <v>0</v>
      </c>
      <c r="O5538" t="n">
        <v>0</v>
      </c>
      <c r="P5538" t="n">
        <v>0</v>
      </c>
      <c r="Q5538" t="n">
        <v>0</v>
      </c>
      <c r="R5538" s="2" t="inlineStr"/>
    </row>
    <row r="5539" ht="15" customHeight="1">
      <c r="A5539" t="inlineStr">
        <is>
          <t>A 42171-2023</t>
        </is>
      </c>
      <c r="B5539" s="1" t="n">
        <v>45178.40459490741</v>
      </c>
      <c r="C5539" s="1" t="n">
        <v>46075</v>
      </c>
      <c r="D5539" t="inlineStr">
        <is>
          <t>VÄSTERBOTTENS LÄN</t>
        </is>
      </c>
      <c r="E5539" t="inlineStr">
        <is>
          <t>STORUMAN</t>
        </is>
      </c>
      <c r="G5539" t="n">
        <v>10</v>
      </c>
      <c r="H5539" t="n">
        <v>0</v>
      </c>
      <c r="I5539" t="n">
        <v>0</v>
      </c>
      <c r="J5539" t="n">
        <v>0</v>
      </c>
      <c r="K5539" t="n">
        <v>0</v>
      </c>
      <c r="L5539" t="n">
        <v>0</v>
      </c>
      <c r="M5539" t="n">
        <v>0</v>
      </c>
      <c r="N5539" t="n">
        <v>0</v>
      </c>
      <c r="O5539" t="n">
        <v>0</v>
      </c>
      <c r="P5539" t="n">
        <v>0</v>
      </c>
      <c r="Q5539" t="n">
        <v>0</v>
      </c>
      <c r="R5539" s="2" t="inlineStr"/>
    </row>
    <row r="5540" ht="15" customHeight="1">
      <c r="A5540" t="inlineStr">
        <is>
          <t>A 42182-2023</t>
        </is>
      </c>
      <c r="B5540" s="1" t="n">
        <v>45178</v>
      </c>
      <c r="C5540" s="1" t="n">
        <v>46075</v>
      </c>
      <c r="D5540" t="inlineStr">
        <is>
          <t>VÄSTERBOTTENS LÄN</t>
        </is>
      </c>
      <c r="E5540" t="inlineStr">
        <is>
          <t>MALÅ</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19516-2025</t>
        </is>
      </c>
      <c r="B5541" s="1" t="n">
        <v>45770.44284722222</v>
      </c>
      <c r="C5541" s="1" t="n">
        <v>46075</v>
      </c>
      <c r="D5541" t="inlineStr">
        <is>
          <t>VÄSTERBOTTENS LÄN</t>
        </is>
      </c>
      <c r="E5541" t="inlineStr">
        <is>
          <t>NORDMALING</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36809-2025</t>
        </is>
      </c>
      <c r="B5542" s="1" t="n">
        <v>45873.71912037037</v>
      </c>
      <c r="C5542" s="1" t="n">
        <v>46075</v>
      </c>
      <c r="D5542" t="inlineStr">
        <is>
          <t>VÄSTERBOTTENS LÄN</t>
        </is>
      </c>
      <c r="E5542" t="inlineStr">
        <is>
          <t>BJURHOLM</t>
        </is>
      </c>
      <c r="F5542" t="inlineStr">
        <is>
          <t>SCA</t>
        </is>
      </c>
      <c r="G5542" t="n">
        <v>5.3</v>
      </c>
      <c r="H5542" t="n">
        <v>0</v>
      </c>
      <c r="I5542" t="n">
        <v>0</v>
      </c>
      <c r="J5542" t="n">
        <v>0</v>
      </c>
      <c r="K5542" t="n">
        <v>0</v>
      </c>
      <c r="L5542" t="n">
        <v>0</v>
      </c>
      <c r="M5542" t="n">
        <v>0</v>
      </c>
      <c r="N5542" t="n">
        <v>0</v>
      </c>
      <c r="O5542" t="n">
        <v>0</v>
      </c>
      <c r="P5542" t="n">
        <v>0</v>
      </c>
      <c r="Q5542" t="n">
        <v>0</v>
      </c>
      <c r="R5542" s="2" t="inlineStr"/>
    </row>
    <row r="5543" ht="15" customHeight="1">
      <c r="A5543" t="inlineStr">
        <is>
          <t>A 47035-2025</t>
        </is>
      </c>
      <c r="B5543" s="1" t="n">
        <v>45929.59428240741</v>
      </c>
      <c r="C5543" s="1" t="n">
        <v>46075</v>
      </c>
      <c r="D5543" t="inlineStr">
        <is>
          <t>VÄSTERBOTTENS LÄN</t>
        </is>
      </c>
      <c r="E5543" t="inlineStr">
        <is>
          <t>VILHELMINA</t>
        </is>
      </c>
      <c r="F5543" t="inlineStr">
        <is>
          <t>SCA</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46896-2025</t>
        </is>
      </c>
      <c r="B5544" s="1" t="n">
        <v>45929.38594907407</v>
      </c>
      <c r="C5544" s="1" t="n">
        <v>46075</v>
      </c>
      <c r="D5544" t="inlineStr">
        <is>
          <t>VÄSTERBOTTENS LÄN</t>
        </is>
      </c>
      <c r="E5544" t="inlineStr">
        <is>
          <t>MALÅ</t>
        </is>
      </c>
      <c r="F5544" t="inlineStr">
        <is>
          <t>Sveaskog</t>
        </is>
      </c>
      <c r="G5544" t="n">
        <v>4.6</v>
      </c>
      <c r="H5544" t="n">
        <v>0</v>
      </c>
      <c r="I5544" t="n">
        <v>0</v>
      </c>
      <c r="J5544" t="n">
        <v>0</v>
      </c>
      <c r="K5544" t="n">
        <v>0</v>
      </c>
      <c r="L5544" t="n">
        <v>0</v>
      </c>
      <c r="M5544" t="n">
        <v>0</v>
      </c>
      <c r="N5544" t="n">
        <v>0</v>
      </c>
      <c r="O5544" t="n">
        <v>0</v>
      </c>
      <c r="P5544" t="n">
        <v>0</v>
      </c>
      <c r="Q5544" t="n">
        <v>0</v>
      </c>
      <c r="R5544" s="2" t="inlineStr"/>
    </row>
    <row r="5545" ht="15" customHeight="1">
      <c r="A5545" t="inlineStr">
        <is>
          <t>A 46904-2025</t>
        </is>
      </c>
      <c r="B5545" s="1" t="n">
        <v>45929</v>
      </c>
      <c r="C5545" s="1" t="n">
        <v>46075</v>
      </c>
      <c r="D5545" t="inlineStr">
        <is>
          <t>VÄSTERBOTTENS LÄN</t>
        </is>
      </c>
      <c r="E5545" t="inlineStr">
        <is>
          <t>SKELLEFTEÅ</t>
        </is>
      </c>
      <c r="F5545" t="inlineStr">
        <is>
          <t>Kyrkan</t>
        </is>
      </c>
      <c r="G5545" t="n">
        <v>21.8</v>
      </c>
      <c r="H5545" t="n">
        <v>0</v>
      </c>
      <c r="I5545" t="n">
        <v>0</v>
      </c>
      <c r="J5545" t="n">
        <v>0</v>
      </c>
      <c r="K5545" t="n">
        <v>0</v>
      </c>
      <c r="L5545" t="n">
        <v>0</v>
      </c>
      <c r="M5545" t="n">
        <v>0</v>
      </c>
      <c r="N5545" t="n">
        <v>0</v>
      </c>
      <c r="O5545" t="n">
        <v>0</v>
      </c>
      <c r="P5545" t="n">
        <v>0</v>
      </c>
      <c r="Q5545" t="n">
        <v>0</v>
      </c>
      <c r="R5545" s="2" t="inlineStr"/>
    </row>
    <row r="5546" ht="15" customHeight="1">
      <c r="A5546" t="inlineStr">
        <is>
          <t>A 46592-2025</t>
        </is>
      </c>
      <c r="B5546" s="1" t="n">
        <v>45926.39637731481</v>
      </c>
      <c r="C5546" s="1" t="n">
        <v>46075</v>
      </c>
      <c r="D5546" t="inlineStr">
        <is>
          <t>VÄSTERBOTTENS LÄN</t>
        </is>
      </c>
      <c r="E5546" t="inlineStr">
        <is>
          <t>UMEÅ</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36559-2025</t>
        </is>
      </c>
      <c r="B5547" s="1" t="n">
        <v>45870.36071759259</v>
      </c>
      <c r="C5547" s="1" t="n">
        <v>46075</v>
      </c>
      <c r="D5547" t="inlineStr">
        <is>
          <t>VÄSTERBOTTENS LÄN</t>
        </is>
      </c>
      <c r="E5547" t="inlineStr">
        <is>
          <t>ÅSELE</t>
        </is>
      </c>
      <c r="F5547" t="inlineStr">
        <is>
          <t>Holmen skog AB</t>
        </is>
      </c>
      <c r="G5547" t="n">
        <v>6.6</v>
      </c>
      <c r="H5547" t="n">
        <v>0</v>
      </c>
      <c r="I5547" t="n">
        <v>0</v>
      </c>
      <c r="J5547" t="n">
        <v>0</v>
      </c>
      <c r="K5547" t="n">
        <v>0</v>
      </c>
      <c r="L5547" t="n">
        <v>0</v>
      </c>
      <c r="M5547" t="n">
        <v>0</v>
      </c>
      <c r="N5547" t="n">
        <v>0</v>
      </c>
      <c r="O5547" t="n">
        <v>0</v>
      </c>
      <c r="P5547" t="n">
        <v>0</v>
      </c>
      <c r="Q5547" t="n">
        <v>0</v>
      </c>
      <c r="R5547" s="2" t="inlineStr"/>
    </row>
    <row r="5548" ht="15" customHeight="1">
      <c r="A5548" t="inlineStr">
        <is>
          <t>A 46593-2025</t>
        </is>
      </c>
      <c r="B5548" s="1" t="n">
        <v>45926.39694444444</v>
      </c>
      <c r="C5548" s="1" t="n">
        <v>46075</v>
      </c>
      <c r="D5548" t="inlineStr">
        <is>
          <t>VÄSTERBOTTENS LÄN</t>
        </is>
      </c>
      <c r="E5548" t="inlineStr">
        <is>
          <t>NORDMALING</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36578-2025</t>
        </is>
      </c>
      <c r="B5549" s="1" t="n">
        <v>45870.41876157407</v>
      </c>
      <c r="C5549" s="1" t="n">
        <v>46075</v>
      </c>
      <c r="D5549" t="inlineStr">
        <is>
          <t>VÄSTERBOTTENS LÄN</t>
        </is>
      </c>
      <c r="E5549" t="inlineStr">
        <is>
          <t>UMEÅ</t>
        </is>
      </c>
      <c r="F5549" t="inlineStr">
        <is>
          <t>Holmen skog AB</t>
        </is>
      </c>
      <c r="G5549" t="n">
        <v>7.6</v>
      </c>
      <c r="H5549" t="n">
        <v>0</v>
      </c>
      <c r="I5549" t="n">
        <v>0</v>
      </c>
      <c r="J5549" t="n">
        <v>0</v>
      </c>
      <c r="K5549" t="n">
        <v>0</v>
      </c>
      <c r="L5549" t="n">
        <v>0</v>
      </c>
      <c r="M5549" t="n">
        <v>0</v>
      </c>
      <c r="N5549" t="n">
        <v>0</v>
      </c>
      <c r="O5549" t="n">
        <v>0</v>
      </c>
      <c r="P5549" t="n">
        <v>0</v>
      </c>
      <c r="Q5549" t="n">
        <v>0</v>
      </c>
      <c r="R5549" s="2" t="inlineStr"/>
    </row>
    <row r="5550" ht="15" customHeight="1">
      <c r="A5550" t="inlineStr">
        <is>
          <t>A 3674-2025</t>
        </is>
      </c>
      <c r="B5550" s="1" t="n">
        <v>45681.43738425926</v>
      </c>
      <c r="C5550" s="1" t="n">
        <v>46075</v>
      </c>
      <c r="D5550" t="inlineStr">
        <is>
          <t>VÄSTERBOTTENS LÄN</t>
        </is>
      </c>
      <c r="E5550" t="inlineStr">
        <is>
          <t>SKELLEFTEÅ</t>
        </is>
      </c>
      <c r="G5550" t="n">
        <v>3.6</v>
      </c>
      <c r="H5550" t="n">
        <v>0</v>
      </c>
      <c r="I5550" t="n">
        <v>0</v>
      </c>
      <c r="J5550" t="n">
        <v>0</v>
      </c>
      <c r="K5550" t="n">
        <v>0</v>
      </c>
      <c r="L5550" t="n">
        <v>0</v>
      </c>
      <c r="M5550" t="n">
        <v>0</v>
      </c>
      <c r="N5550" t="n">
        <v>0</v>
      </c>
      <c r="O5550" t="n">
        <v>0</v>
      </c>
      <c r="P5550" t="n">
        <v>0</v>
      </c>
      <c r="Q5550" t="n">
        <v>0</v>
      </c>
      <c r="R5550" s="2" t="inlineStr"/>
    </row>
    <row r="5551" ht="15" customHeight="1">
      <c r="A5551" t="inlineStr">
        <is>
          <t>A 46990-2025</t>
        </is>
      </c>
      <c r="B5551" s="1" t="n">
        <v>45929.54004629629</v>
      </c>
      <c r="C5551" s="1" t="n">
        <v>46075</v>
      </c>
      <c r="D5551" t="inlineStr">
        <is>
          <t>VÄSTERBOTTENS LÄN</t>
        </is>
      </c>
      <c r="E5551" t="inlineStr">
        <is>
          <t>UMEÅ</t>
        </is>
      </c>
      <c r="F5551" t="inlineStr">
        <is>
          <t>Holmen skog AB</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39918-2022</t>
        </is>
      </c>
      <c r="B5552" s="1" t="n">
        <v>44819.8053125</v>
      </c>
      <c r="C5552" s="1" t="n">
        <v>46075</v>
      </c>
      <c r="D5552" t="inlineStr">
        <is>
          <t>VÄSTERBOTTENS LÄN</t>
        </is>
      </c>
      <c r="E5552" t="inlineStr">
        <is>
          <t>SKELLEFTEÅ</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29006-2023</t>
        </is>
      </c>
      <c r="B5553" s="1" t="n">
        <v>45104.65298611111</v>
      </c>
      <c r="C5553" s="1" t="n">
        <v>46075</v>
      </c>
      <c r="D5553" t="inlineStr">
        <is>
          <t>VÄSTERBOTTENS LÄN</t>
        </is>
      </c>
      <c r="E5553" t="inlineStr">
        <is>
          <t>BJURHOLM</t>
        </is>
      </c>
      <c r="F5553" t="inlineStr">
        <is>
          <t>Holmen skog AB</t>
        </is>
      </c>
      <c r="G5553" t="n">
        <v>17.2</v>
      </c>
      <c r="H5553" t="n">
        <v>0</v>
      </c>
      <c r="I5553" t="n">
        <v>0</v>
      </c>
      <c r="J5553" t="n">
        <v>0</v>
      </c>
      <c r="K5553" t="n">
        <v>0</v>
      </c>
      <c r="L5553" t="n">
        <v>0</v>
      </c>
      <c r="M5553" t="n">
        <v>0</v>
      </c>
      <c r="N5553" t="n">
        <v>0</v>
      </c>
      <c r="O5553" t="n">
        <v>0</v>
      </c>
      <c r="P5553" t="n">
        <v>0</v>
      </c>
      <c r="Q5553" t="n">
        <v>0</v>
      </c>
      <c r="R5553" s="2" t="inlineStr"/>
    </row>
    <row r="5554" ht="15" customHeight="1">
      <c r="A5554" t="inlineStr">
        <is>
          <t>A 36689-2025</t>
        </is>
      </c>
      <c r="B5554" s="1" t="n">
        <v>45873.42712962963</v>
      </c>
      <c r="C5554" s="1" t="n">
        <v>46075</v>
      </c>
      <c r="D5554" t="inlineStr">
        <is>
          <t>VÄSTERBOTTENS LÄN</t>
        </is>
      </c>
      <c r="E5554" t="inlineStr">
        <is>
          <t>LYCKSELE</t>
        </is>
      </c>
      <c r="F5554" t="inlineStr">
        <is>
          <t>Sveaskog</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36580-2025</t>
        </is>
      </c>
      <c r="B5555" s="1" t="n">
        <v>45870.42599537037</v>
      </c>
      <c r="C5555" s="1" t="n">
        <v>46075</v>
      </c>
      <c r="D5555" t="inlineStr">
        <is>
          <t>VÄSTERBOTTENS LÄN</t>
        </is>
      </c>
      <c r="E5555" t="inlineStr">
        <is>
          <t>MALÅ</t>
        </is>
      </c>
      <c r="F5555" t="inlineStr">
        <is>
          <t>Sveaskog</t>
        </is>
      </c>
      <c r="G5555" t="n">
        <v>3.6</v>
      </c>
      <c r="H5555" t="n">
        <v>0</v>
      </c>
      <c r="I5555" t="n">
        <v>0</v>
      </c>
      <c r="J5555" t="n">
        <v>0</v>
      </c>
      <c r="K5555" t="n">
        <v>0</v>
      </c>
      <c r="L5555" t="n">
        <v>0</v>
      </c>
      <c r="M5555" t="n">
        <v>0</v>
      </c>
      <c r="N5555" t="n">
        <v>0</v>
      </c>
      <c r="O5555" t="n">
        <v>0</v>
      </c>
      <c r="P5555" t="n">
        <v>0</v>
      </c>
      <c r="Q5555" t="n">
        <v>0</v>
      </c>
      <c r="R5555" s="2" t="inlineStr"/>
    </row>
    <row r="5556" ht="15" customHeight="1">
      <c r="A5556" t="inlineStr">
        <is>
          <t>A 36583-2025</t>
        </is>
      </c>
      <c r="B5556" s="1" t="n">
        <v>45870.43251157407</v>
      </c>
      <c r="C5556" s="1" t="n">
        <v>46075</v>
      </c>
      <c r="D5556" t="inlineStr">
        <is>
          <t>VÄSTERBOTTENS LÄN</t>
        </is>
      </c>
      <c r="E5556" t="inlineStr">
        <is>
          <t>MALÅ</t>
        </is>
      </c>
      <c r="F5556" t="inlineStr">
        <is>
          <t>Sveaskog</t>
        </is>
      </c>
      <c r="G5556" t="n">
        <v>2.8</v>
      </c>
      <c r="H5556" t="n">
        <v>0</v>
      </c>
      <c r="I5556" t="n">
        <v>0</v>
      </c>
      <c r="J5556" t="n">
        <v>0</v>
      </c>
      <c r="K5556" t="n">
        <v>0</v>
      </c>
      <c r="L5556" t="n">
        <v>0</v>
      </c>
      <c r="M5556" t="n">
        <v>0</v>
      </c>
      <c r="N5556" t="n">
        <v>0</v>
      </c>
      <c r="O5556" t="n">
        <v>0</v>
      </c>
      <c r="P5556" t="n">
        <v>0</v>
      </c>
      <c r="Q5556" t="n">
        <v>0</v>
      </c>
      <c r="R5556" s="2" t="inlineStr"/>
    </row>
    <row r="5557" ht="15" customHeight="1">
      <c r="A5557" t="inlineStr">
        <is>
          <t>A 42536-2024</t>
        </is>
      </c>
      <c r="B5557" s="1" t="n">
        <v>45565.58391203704</v>
      </c>
      <c r="C5557" s="1" t="n">
        <v>46075</v>
      </c>
      <c r="D5557" t="inlineStr">
        <is>
          <t>VÄSTERBOTTENS LÄN</t>
        </is>
      </c>
      <c r="E5557" t="inlineStr">
        <is>
          <t>BJURHOLM</t>
        </is>
      </c>
      <c r="G5557" t="n">
        <v>5.5</v>
      </c>
      <c r="H5557" t="n">
        <v>0</v>
      </c>
      <c r="I5557" t="n">
        <v>0</v>
      </c>
      <c r="J5557" t="n">
        <v>0</v>
      </c>
      <c r="K5557" t="n">
        <v>0</v>
      </c>
      <c r="L5557" t="n">
        <v>0</v>
      </c>
      <c r="M5557" t="n">
        <v>0</v>
      </c>
      <c r="N5557" t="n">
        <v>0</v>
      </c>
      <c r="O5557" t="n">
        <v>0</v>
      </c>
      <c r="P5557" t="n">
        <v>0</v>
      </c>
      <c r="Q5557" t="n">
        <v>0</v>
      </c>
      <c r="R5557" s="2" t="inlineStr"/>
    </row>
    <row r="5558" ht="15" customHeight="1">
      <c r="A5558" t="inlineStr">
        <is>
          <t>A 34670-2023</t>
        </is>
      </c>
      <c r="B5558" s="1" t="n">
        <v>45140.83440972222</v>
      </c>
      <c r="C5558" s="1" t="n">
        <v>46075</v>
      </c>
      <c r="D5558" t="inlineStr">
        <is>
          <t>VÄSTERBOTTENS LÄN</t>
        </is>
      </c>
      <c r="E5558" t="inlineStr">
        <is>
          <t>SKELLEFTEÅ</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34672-2023</t>
        </is>
      </c>
      <c r="B5559" s="1" t="n">
        <v>45140.84226851852</v>
      </c>
      <c r="C5559" s="1" t="n">
        <v>46075</v>
      </c>
      <c r="D5559" t="inlineStr">
        <is>
          <t>VÄSTERBOTTENS LÄN</t>
        </is>
      </c>
      <c r="E5559" t="inlineStr">
        <is>
          <t>SKELLEFTEÅ</t>
        </is>
      </c>
      <c r="G5559" t="n">
        <v>5.2</v>
      </c>
      <c r="H5559" t="n">
        <v>0</v>
      </c>
      <c r="I5559" t="n">
        <v>0</v>
      </c>
      <c r="J5559" t="n">
        <v>0</v>
      </c>
      <c r="K5559" t="n">
        <v>0</v>
      </c>
      <c r="L5559" t="n">
        <v>0</v>
      </c>
      <c r="M5559" t="n">
        <v>0</v>
      </c>
      <c r="N5559" t="n">
        <v>0</v>
      </c>
      <c r="O5559" t="n">
        <v>0</v>
      </c>
      <c r="P5559" t="n">
        <v>0</v>
      </c>
      <c r="Q5559" t="n">
        <v>0</v>
      </c>
      <c r="R5559" s="2" t="inlineStr"/>
    </row>
    <row r="5560" ht="15" customHeight="1">
      <c r="A5560" t="inlineStr">
        <is>
          <t>A 47046-2025</t>
        </is>
      </c>
      <c r="B5560" s="1" t="n">
        <v>45929.6050925926</v>
      </c>
      <c r="C5560" s="1" t="n">
        <v>46075</v>
      </c>
      <c r="D5560" t="inlineStr">
        <is>
          <t>VÄSTERBOTTENS LÄN</t>
        </is>
      </c>
      <c r="E5560" t="inlineStr">
        <is>
          <t>NORDMALING</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34700-2023</t>
        </is>
      </c>
      <c r="B5561" s="1" t="n">
        <v>45140.96399305556</v>
      </c>
      <c r="C5561" s="1" t="n">
        <v>46075</v>
      </c>
      <c r="D5561" t="inlineStr">
        <is>
          <t>VÄSTERBOTTENS LÄN</t>
        </is>
      </c>
      <c r="E5561" t="inlineStr">
        <is>
          <t>DOROTEA</t>
        </is>
      </c>
      <c r="F5561" t="inlineStr">
        <is>
          <t>SCA</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26056-2023</t>
        </is>
      </c>
      <c r="B5562" s="1" t="n">
        <v>45086</v>
      </c>
      <c r="C5562" s="1" t="n">
        <v>46075</v>
      </c>
      <c r="D5562" t="inlineStr">
        <is>
          <t>VÄSTERBOTTENS LÄN</t>
        </is>
      </c>
      <c r="E5562" t="inlineStr">
        <is>
          <t>SORSELE</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16806-2025</t>
        </is>
      </c>
      <c r="B5563" s="1" t="n">
        <v>45754.62675925926</v>
      </c>
      <c r="C5563" s="1" t="n">
        <v>46075</v>
      </c>
      <c r="D5563" t="inlineStr">
        <is>
          <t>VÄSTERBOTTENS LÄN</t>
        </is>
      </c>
      <c r="E5563" t="inlineStr">
        <is>
          <t>ÅSELE</t>
        </is>
      </c>
      <c r="F5563" t="inlineStr">
        <is>
          <t>Holmen skog AB</t>
        </is>
      </c>
      <c r="G5563" t="n">
        <v>9.699999999999999</v>
      </c>
      <c r="H5563" t="n">
        <v>0</v>
      </c>
      <c r="I5563" t="n">
        <v>0</v>
      </c>
      <c r="J5563" t="n">
        <v>0</v>
      </c>
      <c r="K5563" t="n">
        <v>0</v>
      </c>
      <c r="L5563" t="n">
        <v>0</v>
      </c>
      <c r="M5563" t="n">
        <v>0</v>
      </c>
      <c r="N5563" t="n">
        <v>0</v>
      </c>
      <c r="O5563" t="n">
        <v>0</v>
      </c>
      <c r="P5563" t="n">
        <v>0</v>
      </c>
      <c r="Q5563" t="n">
        <v>0</v>
      </c>
      <c r="R5563" s="2" t="inlineStr"/>
    </row>
    <row r="5564" ht="15" customHeight="1">
      <c r="A5564" t="inlineStr">
        <is>
          <t>A 46934-2025</t>
        </is>
      </c>
      <c r="B5564" s="1" t="n">
        <v>45929</v>
      </c>
      <c r="C5564" s="1" t="n">
        <v>46075</v>
      </c>
      <c r="D5564" t="inlineStr">
        <is>
          <t>VÄSTERBOTTENS LÄN</t>
        </is>
      </c>
      <c r="E5564" t="inlineStr">
        <is>
          <t>VILHELMINA</t>
        </is>
      </c>
      <c r="F5564" t="inlineStr">
        <is>
          <t>SCA</t>
        </is>
      </c>
      <c r="G5564" t="n">
        <v>20</v>
      </c>
      <c r="H5564" t="n">
        <v>0</v>
      </c>
      <c r="I5564" t="n">
        <v>0</v>
      </c>
      <c r="J5564" t="n">
        <v>0</v>
      </c>
      <c r="K5564" t="n">
        <v>0</v>
      </c>
      <c r="L5564" t="n">
        <v>0</v>
      </c>
      <c r="M5564" t="n">
        <v>0</v>
      </c>
      <c r="N5564" t="n">
        <v>0</v>
      </c>
      <c r="O5564" t="n">
        <v>0</v>
      </c>
      <c r="P5564" t="n">
        <v>0</v>
      </c>
      <c r="Q5564" t="n">
        <v>0</v>
      </c>
      <c r="R5564" s="2" t="inlineStr"/>
    </row>
    <row r="5565" ht="15" customHeight="1">
      <c r="A5565" t="inlineStr">
        <is>
          <t>A 46953-2025</t>
        </is>
      </c>
      <c r="B5565" s="1" t="n">
        <v>45929.47361111111</v>
      </c>
      <c r="C5565" s="1" t="n">
        <v>46075</v>
      </c>
      <c r="D5565" t="inlineStr">
        <is>
          <t>VÄSTERBOTTENS LÄN</t>
        </is>
      </c>
      <c r="E5565" t="inlineStr">
        <is>
          <t>BJURHOLM</t>
        </is>
      </c>
      <c r="F5565" t="inlineStr">
        <is>
          <t>Holmen skog AB</t>
        </is>
      </c>
      <c r="G5565" t="n">
        <v>3.4</v>
      </c>
      <c r="H5565" t="n">
        <v>0</v>
      </c>
      <c r="I5565" t="n">
        <v>0</v>
      </c>
      <c r="J5565" t="n">
        <v>0</v>
      </c>
      <c r="K5565" t="n">
        <v>0</v>
      </c>
      <c r="L5565" t="n">
        <v>0</v>
      </c>
      <c r="M5565" t="n">
        <v>0</v>
      </c>
      <c r="N5565" t="n">
        <v>0</v>
      </c>
      <c r="O5565" t="n">
        <v>0</v>
      </c>
      <c r="P5565" t="n">
        <v>0</v>
      </c>
      <c r="Q5565" t="n">
        <v>0</v>
      </c>
      <c r="R5565" s="2" t="inlineStr"/>
    </row>
    <row r="5566" ht="15" customHeight="1">
      <c r="A5566" t="inlineStr">
        <is>
          <t>A 32059-2024</t>
        </is>
      </c>
      <c r="B5566" s="1" t="n">
        <v>45510.97013888889</v>
      </c>
      <c r="C5566" s="1" t="n">
        <v>46075</v>
      </c>
      <c r="D5566" t="inlineStr">
        <is>
          <t>VÄSTERBOTTENS LÄN</t>
        </is>
      </c>
      <c r="E5566" t="inlineStr">
        <is>
          <t>ÅSELE</t>
        </is>
      </c>
      <c r="F5566" t="inlineStr">
        <is>
          <t>SCA</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46591-2025</t>
        </is>
      </c>
      <c r="B5567" s="1" t="n">
        <v>45926.39612268518</v>
      </c>
      <c r="C5567" s="1" t="n">
        <v>46075</v>
      </c>
      <c r="D5567" t="inlineStr">
        <is>
          <t>VÄSTERBOTTENS LÄN</t>
        </is>
      </c>
      <c r="E5567" t="inlineStr">
        <is>
          <t>UMEÅ</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46595-2025</t>
        </is>
      </c>
      <c r="B5568" s="1" t="n">
        <v>45926.39805555555</v>
      </c>
      <c r="C5568" s="1" t="n">
        <v>46075</v>
      </c>
      <c r="D5568" t="inlineStr">
        <is>
          <t>VÄSTERBOTTENS LÄN</t>
        </is>
      </c>
      <c r="E5568" t="inlineStr">
        <is>
          <t>STORUMAN</t>
        </is>
      </c>
      <c r="G5568" t="n">
        <v>4.8</v>
      </c>
      <c r="H5568" t="n">
        <v>0</v>
      </c>
      <c r="I5568" t="n">
        <v>0</v>
      </c>
      <c r="J5568" t="n">
        <v>0</v>
      </c>
      <c r="K5568" t="n">
        <v>0</v>
      </c>
      <c r="L5568" t="n">
        <v>0</v>
      </c>
      <c r="M5568" t="n">
        <v>0</v>
      </c>
      <c r="N5568" t="n">
        <v>0</v>
      </c>
      <c r="O5568" t="n">
        <v>0</v>
      </c>
      <c r="P5568" t="n">
        <v>0</v>
      </c>
      <c r="Q5568" t="n">
        <v>0</v>
      </c>
      <c r="R5568" s="2" t="inlineStr"/>
    </row>
    <row r="5569" ht="15" customHeight="1">
      <c r="A5569" t="inlineStr">
        <is>
          <t>A 46606-2025</t>
        </is>
      </c>
      <c r="B5569" s="1" t="n">
        <v>45926.4140162037</v>
      </c>
      <c r="C5569" s="1" t="n">
        <v>46075</v>
      </c>
      <c r="D5569" t="inlineStr">
        <is>
          <t>VÄSTERBOTTENS LÄN</t>
        </is>
      </c>
      <c r="E5569" t="inlineStr">
        <is>
          <t>VINDELN</t>
        </is>
      </c>
      <c r="F5569" t="inlineStr">
        <is>
          <t>Holmen skog AB</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47151-2025</t>
        </is>
      </c>
      <c r="B5570" s="1" t="n">
        <v>45929.72506944444</v>
      </c>
      <c r="C5570" s="1" t="n">
        <v>46075</v>
      </c>
      <c r="D5570" t="inlineStr">
        <is>
          <t>VÄSTERBOTTENS LÄN</t>
        </is>
      </c>
      <c r="E5570" t="inlineStr">
        <is>
          <t>BJURHOLM</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46647-2025</t>
        </is>
      </c>
      <c r="B5571" s="1" t="n">
        <v>45926.47561342592</v>
      </c>
      <c r="C5571" s="1" t="n">
        <v>46075</v>
      </c>
      <c r="D5571" t="inlineStr">
        <is>
          <t>VÄSTERBOTTENS LÄN</t>
        </is>
      </c>
      <c r="E5571" t="inlineStr">
        <is>
          <t>ROBERTSFORS</t>
        </is>
      </c>
      <c r="F5571" t="inlineStr">
        <is>
          <t>Holmen skog AB</t>
        </is>
      </c>
      <c r="G5571" t="n">
        <v>2.3</v>
      </c>
      <c r="H5571" t="n">
        <v>0</v>
      </c>
      <c r="I5571" t="n">
        <v>0</v>
      </c>
      <c r="J5571" t="n">
        <v>0</v>
      </c>
      <c r="K5571" t="n">
        <v>0</v>
      </c>
      <c r="L5571" t="n">
        <v>0</v>
      </c>
      <c r="M5571" t="n">
        <v>0</v>
      </c>
      <c r="N5571" t="n">
        <v>0</v>
      </c>
      <c r="O5571" t="n">
        <v>0</v>
      </c>
      <c r="P5571" t="n">
        <v>0</v>
      </c>
      <c r="Q5571" t="n">
        <v>0</v>
      </c>
      <c r="R5571" s="2" t="inlineStr"/>
    </row>
    <row r="5572" ht="15" customHeight="1">
      <c r="A5572" t="inlineStr">
        <is>
          <t>A 46548-2025</t>
        </is>
      </c>
      <c r="B5572" s="1" t="n">
        <v>45926.34539351852</v>
      </c>
      <c r="C5572" s="1" t="n">
        <v>46075</v>
      </c>
      <c r="D5572" t="inlineStr">
        <is>
          <t>VÄSTERBOTTENS LÄN</t>
        </is>
      </c>
      <c r="E5572" t="inlineStr">
        <is>
          <t>NORDMALING</t>
        </is>
      </c>
      <c r="G5572" t="n">
        <v>4.2</v>
      </c>
      <c r="H5572" t="n">
        <v>0</v>
      </c>
      <c r="I5572" t="n">
        <v>0</v>
      </c>
      <c r="J5572" t="n">
        <v>0</v>
      </c>
      <c r="K5572" t="n">
        <v>0</v>
      </c>
      <c r="L5572" t="n">
        <v>0</v>
      </c>
      <c r="M5572" t="n">
        <v>0</v>
      </c>
      <c r="N5572" t="n">
        <v>0</v>
      </c>
      <c r="O5572" t="n">
        <v>0</v>
      </c>
      <c r="P5572" t="n">
        <v>0</v>
      </c>
      <c r="Q5572" t="n">
        <v>0</v>
      </c>
      <c r="R5572" s="2" t="inlineStr"/>
    </row>
    <row r="5573" ht="15" customHeight="1">
      <c r="A5573" t="inlineStr">
        <is>
          <t>A 3058-2025</t>
        </is>
      </c>
      <c r="B5573" s="1" t="n">
        <v>45678.61952546296</v>
      </c>
      <c r="C5573" s="1" t="n">
        <v>46075</v>
      </c>
      <c r="D5573" t="inlineStr">
        <is>
          <t>VÄSTERBOTTENS LÄN</t>
        </is>
      </c>
      <c r="E5573" t="inlineStr">
        <is>
          <t>BJURHOLM</t>
        </is>
      </c>
      <c r="F5573" t="inlineStr">
        <is>
          <t>Sveaskog</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47027-2025</t>
        </is>
      </c>
      <c r="B5574" s="1" t="n">
        <v>45929.58471064815</v>
      </c>
      <c r="C5574" s="1" t="n">
        <v>46075</v>
      </c>
      <c r="D5574" t="inlineStr">
        <is>
          <t>VÄSTERBOTTENS LÄN</t>
        </is>
      </c>
      <c r="E5574" t="inlineStr">
        <is>
          <t>ÅSELE</t>
        </is>
      </c>
      <c r="F5574" t="inlineStr">
        <is>
          <t>Holmen skog AB</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46877-2025</t>
        </is>
      </c>
      <c r="B5575" s="1" t="n">
        <v>45929.34471064815</v>
      </c>
      <c r="C5575" s="1" t="n">
        <v>46075</v>
      </c>
      <c r="D5575" t="inlineStr">
        <is>
          <t>VÄSTERBOTTENS LÄN</t>
        </is>
      </c>
      <c r="E5575" t="inlineStr">
        <is>
          <t>NORDMALING</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46885-2025</t>
        </is>
      </c>
      <c r="B5576" s="1" t="n">
        <v>45929.36496527777</v>
      </c>
      <c r="C5576" s="1" t="n">
        <v>46075</v>
      </c>
      <c r="D5576" t="inlineStr">
        <is>
          <t>VÄSTERBOTTENS LÄN</t>
        </is>
      </c>
      <c r="E5576" t="inlineStr">
        <is>
          <t>BJURHOLM</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46573-2025</t>
        </is>
      </c>
      <c r="B5577" s="1" t="n">
        <v>45926.37020833333</v>
      </c>
      <c r="C5577" s="1" t="n">
        <v>46075</v>
      </c>
      <c r="D5577" t="inlineStr">
        <is>
          <t>VÄSTERBOTTENS LÄN</t>
        </is>
      </c>
      <c r="E5577" t="inlineStr">
        <is>
          <t>STORUMAN</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36594-2025</t>
        </is>
      </c>
      <c r="B5578" s="1" t="n">
        <v>45870.51164351852</v>
      </c>
      <c r="C5578" s="1" t="n">
        <v>46075</v>
      </c>
      <c r="D5578" t="inlineStr">
        <is>
          <t>VÄSTERBOTTENS LÄN</t>
        </is>
      </c>
      <c r="E5578" t="inlineStr">
        <is>
          <t>ROBERTSFORS</t>
        </is>
      </c>
      <c r="G5578" t="n">
        <v>3</v>
      </c>
      <c r="H5578" t="n">
        <v>0</v>
      </c>
      <c r="I5578" t="n">
        <v>0</v>
      </c>
      <c r="J5578" t="n">
        <v>0</v>
      </c>
      <c r="K5578" t="n">
        <v>0</v>
      </c>
      <c r="L5578" t="n">
        <v>0</v>
      </c>
      <c r="M5578" t="n">
        <v>0</v>
      </c>
      <c r="N5578" t="n">
        <v>0</v>
      </c>
      <c r="O5578" t="n">
        <v>0</v>
      </c>
      <c r="P5578" t="n">
        <v>0</v>
      </c>
      <c r="Q5578" t="n">
        <v>0</v>
      </c>
      <c r="R5578" s="2" t="inlineStr"/>
    </row>
    <row r="5579" ht="15" customHeight="1">
      <c r="A5579" t="inlineStr">
        <is>
          <t>A 37444-2023</t>
        </is>
      </c>
      <c r="B5579" s="1" t="n">
        <v>45155</v>
      </c>
      <c r="C5579" s="1" t="n">
        <v>46075</v>
      </c>
      <c r="D5579" t="inlineStr">
        <is>
          <t>VÄSTERBOTTENS LÄN</t>
        </is>
      </c>
      <c r="E5579" t="inlineStr">
        <is>
          <t>MALÅ</t>
        </is>
      </c>
      <c r="G5579" t="n">
        <v>5.6</v>
      </c>
      <c r="H5579" t="n">
        <v>0</v>
      </c>
      <c r="I5579" t="n">
        <v>0</v>
      </c>
      <c r="J5579" t="n">
        <v>0</v>
      </c>
      <c r="K5579" t="n">
        <v>0</v>
      </c>
      <c r="L5579" t="n">
        <v>0</v>
      </c>
      <c r="M5579" t="n">
        <v>0</v>
      </c>
      <c r="N5579" t="n">
        <v>0</v>
      </c>
      <c r="O5579" t="n">
        <v>0</v>
      </c>
      <c r="P5579" t="n">
        <v>0</v>
      </c>
      <c r="Q5579" t="n">
        <v>0</v>
      </c>
      <c r="R5579" s="2" t="inlineStr"/>
    </row>
    <row r="5580" ht="15" customHeight="1">
      <c r="A5580" t="inlineStr">
        <is>
          <t>A 37537-2023</t>
        </is>
      </c>
      <c r="B5580" s="1" t="n">
        <v>45158</v>
      </c>
      <c r="C5580" s="1" t="n">
        <v>46075</v>
      </c>
      <c r="D5580" t="inlineStr">
        <is>
          <t>VÄSTERBOTTENS LÄN</t>
        </is>
      </c>
      <c r="E5580" t="inlineStr">
        <is>
          <t>MALÅ</t>
        </is>
      </c>
      <c r="G5580" t="n">
        <v>0.4</v>
      </c>
      <c r="H5580" t="n">
        <v>0</v>
      </c>
      <c r="I5580" t="n">
        <v>0</v>
      </c>
      <c r="J5580" t="n">
        <v>0</v>
      </c>
      <c r="K5580" t="n">
        <v>0</v>
      </c>
      <c r="L5580" t="n">
        <v>0</v>
      </c>
      <c r="M5580" t="n">
        <v>0</v>
      </c>
      <c r="N5580" t="n">
        <v>0</v>
      </c>
      <c r="O5580" t="n">
        <v>0</v>
      </c>
      <c r="P5580" t="n">
        <v>0</v>
      </c>
      <c r="Q5580" t="n">
        <v>0</v>
      </c>
      <c r="R5580" s="2" t="inlineStr"/>
    </row>
    <row r="5581" ht="15" customHeight="1">
      <c r="A5581" t="inlineStr">
        <is>
          <t>A 46950-2025</t>
        </is>
      </c>
      <c r="B5581" s="1" t="n">
        <v>45929.46907407408</v>
      </c>
      <c r="C5581" s="1" t="n">
        <v>46075</v>
      </c>
      <c r="D5581" t="inlineStr">
        <is>
          <t>VÄSTERBOTTENS LÄN</t>
        </is>
      </c>
      <c r="E5581" t="inlineStr">
        <is>
          <t>UMEÅ</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55418-2022</t>
        </is>
      </c>
      <c r="B5582" s="1" t="n">
        <v>44882</v>
      </c>
      <c r="C5582" s="1" t="n">
        <v>46075</v>
      </c>
      <c r="D5582" t="inlineStr">
        <is>
          <t>VÄSTERBOTTENS LÄN</t>
        </is>
      </c>
      <c r="E5582" t="inlineStr">
        <is>
          <t>SORSELE</t>
        </is>
      </c>
      <c r="F5582" t="inlineStr">
        <is>
          <t>SCA</t>
        </is>
      </c>
      <c r="G5582" t="n">
        <v>2.1</v>
      </c>
      <c r="H5582" t="n">
        <v>0</v>
      </c>
      <c r="I5582" t="n">
        <v>0</v>
      </c>
      <c r="J5582" t="n">
        <v>0</v>
      </c>
      <c r="K5582" t="n">
        <v>0</v>
      </c>
      <c r="L5582" t="n">
        <v>0</v>
      </c>
      <c r="M5582" t="n">
        <v>0</v>
      </c>
      <c r="N5582" t="n">
        <v>0</v>
      </c>
      <c r="O5582" t="n">
        <v>0</v>
      </c>
      <c r="P5582" t="n">
        <v>0</v>
      </c>
      <c r="Q5582" t="n">
        <v>0</v>
      </c>
      <c r="R5582" s="2" t="inlineStr"/>
    </row>
    <row r="5583" ht="15" customHeight="1">
      <c r="A5583" t="inlineStr">
        <is>
          <t>A 46962-2025</t>
        </is>
      </c>
      <c r="B5583" s="1" t="n">
        <v>45929.48913194444</v>
      </c>
      <c r="C5583" s="1" t="n">
        <v>46075</v>
      </c>
      <c r="D5583" t="inlineStr">
        <is>
          <t>VÄSTERBOTTENS LÄN</t>
        </is>
      </c>
      <c r="E5583" t="inlineStr">
        <is>
          <t>UMEÅ</t>
        </is>
      </c>
      <c r="G5583" t="n">
        <v>5.2</v>
      </c>
      <c r="H5583" t="n">
        <v>0</v>
      </c>
      <c r="I5583" t="n">
        <v>0</v>
      </c>
      <c r="J5583" t="n">
        <v>0</v>
      </c>
      <c r="K5583" t="n">
        <v>0</v>
      </c>
      <c r="L5583" t="n">
        <v>0</v>
      </c>
      <c r="M5583" t="n">
        <v>0</v>
      </c>
      <c r="N5583" t="n">
        <v>0</v>
      </c>
      <c r="O5583" t="n">
        <v>0</v>
      </c>
      <c r="P5583" t="n">
        <v>0</v>
      </c>
      <c r="Q5583" t="n">
        <v>0</v>
      </c>
      <c r="R5583" s="2" t="inlineStr"/>
    </row>
    <row r="5584" ht="15" customHeight="1">
      <c r="A5584" t="inlineStr">
        <is>
          <t>A 36801-2025</t>
        </is>
      </c>
      <c r="B5584" s="1" t="n">
        <v>45873.66607638889</v>
      </c>
      <c r="C5584" s="1" t="n">
        <v>46075</v>
      </c>
      <c r="D5584" t="inlineStr">
        <is>
          <t>VÄSTERBOTTENS LÄN</t>
        </is>
      </c>
      <c r="E5584" t="inlineStr">
        <is>
          <t>VÄNNÄS</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26027-2025</t>
        </is>
      </c>
      <c r="B5585" s="1" t="n">
        <v>45804</v>
      </c>
      <c r="C5585" s="1" t="n">
        <v>46075</v>
      </c>
      <c r="D5585" t="inlineStr">
        <is>
          <t>VÄSTERBOTTENS LÄN</t>
        </is>
      </c>
      <c r="E5585" t="inlineStr">
        <is>
          <t>SORSELE</t>
        </is>
      </c>
      <c r="G5585" t="n">
        <v>3.8</v>
      </c>
      <c r="H5585" t="n">
        <v>0</v>
      </c>
      <c r="I5585" t="n">
        <v>0</v>
      </c>
      <c r="J5585" t="n">
        <v>0</v>
      </c>
      <c r="K5585" t="n">
        <v>0</v>
      </c>
      <c r="L5585" t="n">
        <v>0</v>
      </c>
      <c r="M5585" t="n">
        <v>0</v>
      </c>
      <c r="N5585" t="n">
        <v>0</v>
      </c>
      <c r="O5585" t="n">
        <v>0</v>
      </c>
      <c r="P5585" t="n">
        <v>0</v>
      </c>
      <c r="Q5585" t="n">
        <v>0</v>
      </c>
      <c r="R5585" s="2" t="inlineStr"/>
    </row>
    <row r="5586" ht="15" customHeight="1">
      <c r="A5586" t="inlineStr">
        <is>
          <t>A 46969-2025</t>
        </is>
      </c>
      <c r="B5586" s="1" t="n">
        <v>45929.50489583334</v>
      </c>
      <c r="C5586" s="1" t="n">
        <v>46075</v>
      </c>
      <c r="D5586" t="inlineStr">
        <is>
          <t>VÄSTERBOTTENS LÄN</t>
        </is>
      </c>
      <c r="E5586" t="inlineStr">
        <is>
          <t>ROBERTSFORS</t>
        </is>
      </c>
      <c r="F5586" t="inlineStr">
        <is>
          <t>Holmen skog AB</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46970-2025</t>
        </is>
      </c>
      <c r="B5587" s="1" t="n">
        <v>45929.50732638889</v>
      </c>
      <c r="C5587" s="1" t="n">
        <v>46075</v>
      </c>
      <c r="D5587" t="inlineStr">
        <is>
          <t>VÄSTERBOTTENS LÄN</t>
        </is>
      </c>
      <c r="E5587" t="inlineStr">
        <is>
          <t>VILHELMINA</t>
        </is>
      </c>
      <c r="G5587" t="n">
        <v>6.4</v>
      </c>
      <c r="H5587" t="n">
        <v>0</v>
      </c>
      <c r="I5587" t="n">
        <v>0</v>
      </c>
      <c r="J5587" t="n">
        <v>0</v>
      </c>
      <c r="K5587" t="n">
        <v>0</v>
      </c>
      <c r="L5587" t="n">
        <v>0</v>
      </c>
      <c r="M5587" t="n">
        <v>0</v>
      </c>
      <c r="N5587" t="n">
        <v>0</v>
      </c>
      <c r="O5587" t="n">
        <v>0</v>
      </c>
      <c r="P5587" t="n">
        <v>0</v>
      </c>
      <c r="Q5587" t="n">
        <v>0</v>
      </c>
      <c r="R5587" s="2" t="inlineStr"/>
    </row>
    <row r="5588" ht="15" customHeight="1">
      <c r="A5588" t="inlineStr">
        <is>
          <t>A 47015-2025</t>
        </is>
      </c>
      <c r="B5588" s="1" t="n">
        <v>45929.57420138889</v>
      </c>
      <c r="C5588" s="1" t="n">
        <v>46075</v>
      </c>
      <c r="D5588" t="inlineStr">
        <is>
          <t>VÄSTERBOTTENS LÄN</t>
        </is>
      </c>
      <c r="E5588" t="inlineStr">
        <is>
          <t>NORDMALING</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47093-2025</t>
        </is>
      </c>
      <c r="B5589" s="1" t="n">
        <v>45929.65231481481</v>
      </c>
      <c r="C5589" s="1" t="n">
        <v>46075</v>
      </c>
      <c r="D5589" t="inlineStr">
        <is>
          <t>VÄSTERBOTTENS LÄN</t>
        </is>
      </c>
      <c r="E5589" t="inlineStr">
        <is>
          <t>LYCKSELE</t>
        </is>
      </c>
      <c r="G5589" t="n">
        <v>5.7</v>
      </c>
      <c r="H5589" t="n">
        <v>0</v>
      </c>
      <c r="I5589" t="n">
        <v>0</v>
      </c>
      <c r="J5589" t="n">
        <v>0</v>
      </c>
      <c r="K5589" t="n">
        <v>0</v>
      </c>
      <c r="L5589" t="n">
        <v>0</v>
      </c>
      <c r="M5589" t="n">
        <v>0</v>
      </c>
      <c r="N5589" t="n">
        <v>0</v>
      </c>
      <c r="O5589" t="n">
        <v>0</v>
      </c>
      <c r="P5589" t="n">
        <v>0</v>
      </c>
      <c r="Q5589" t="n">
        <v>0</v>
      </c>
      <c r="R5589" s="2" t="inlineStr"/>
    </row>
    <row r="5590" ht="15" customHeight="1">
      <c r="A5590" t="inlineStr">
        <is>
          <t>A 46541-2025</t>
        </is>
      </c>
      <c r="B5590" s="1" t="n">
        <v>45926.34449074074</v>
      </c>
      <c r="C5590" s="1" t="n">
        <v>46075</v>
      </c>
      <c r="D5590" t="inlineStr">
        <is>
          <t>VÄSTERBOTTENS LÄN</t>
        </is>
      </c>
      <c r="E5590" t="inlineStr">
        <is>
          <t>ÅSELE</t>
        </is>
      </c>
      <c r="F5590" t="inlineStr">
        <is>
          <t>SCA</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43474-2023</t>
        </is>
      </c>
      <c r="B5591" s="1" t="n">
        <v>45184.42844907408</v>
      </c>
      <c r="C5591" s="1" t="n">
        <v>46075</v>
      </c>
      <c r="D5591" t="inlineStr">
        <is>
          <t>VÄSTERBOTTENS LÄN</t>
        </is>
      </c>
      <c r="E5591" t="inlineStr">
        <is>
          <t>SKELLEFTEÅ</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5435-2024</t>
        </is>
      </c>
      <c r="B5592" s="1" t="n">
        <v>45331</v>
      </c>
      <c r="C5592" s="1" t="n">
        <v>46075</v>
      </c>
      <c r="D5592" t="inlineStr">
        <is>
          <t>VÄSTERBOTTENS LÄN</t>
        </is>
      </c>
      <c r="E5592" t="inlineStr">
        <is>
          <t>VILHELMINA</t>
        </is>
      </c>
      <c r="G5592" t="n">
        <v>6</v>
      </c>
      <c r="H5592" t="n">
        <v>0</v>
      </c>
      <c r="I5592" t="n">
        <v>0</v>
      </c>
      <c r="J5592" t="n">
        <v>0</v>
      </c>
      <c r="K5592" t="n">
        <v>0</v>
      </c>
      <c r="L5592" t="n">
        <v>0</v>
      </c>
      <c r="M5592" t="n">
        <v>0</v>
      </c>
      <c r="N5592" t="n">
        <v>0</v>
      </c>
      <c r="O5592" t="n">
        <v>0</v>
      </c>
      <c r="P5592" t="n">
        <v>0</v>
      </c>
      <c r="Q5592" t="n">
        <v>0</v>
      </c>
      <c r="R5592" s="2" t="inlineStr"/>
    </row>
    <row r="5593" ht="15" customHeight="1">
      <c r="A5593" t="inlineStr">
        <is>
          <t>A 46798-2025</t>
        </is>
      </c>
      <c r="B5593" s="1" t="n">
        <v>45926.65700231482</v>
      </c>
      <c r="C5593" s="1" t="n">
        <v>46075</v>
      </c>
      <c r="D5593" t="inlineStr">
        <is>
          <t>VÄSTERBOTTENS LÄN</t>
        </is>
      </c>
      <c r="E5593" t="inlineStr">
        <is>
          <t>SORSELE</t>
        </is>
      </c>
      <c r="G5593" t="n">
        <v>5.8</v>
      </c>
      <c r="H5593" t="n">
        <v>0</v>
      </c>
      <c r="I5593" t="n">
        <v>0</v>
      </c>
      <c r="J5593" t="n">
        <v>0</v>
      </c>
      <c r="K5593" t="n">
        <v>0</v>
      </c>
      <c r="L5593" t="n">
        <v>0</v>
      </c>
      <c r="M5593" t="n">
        <v>0</v>
      </c>
      <c r="N5593" t="n">
        <v>0</v>
      </c>
      <c r="O5593" t="n">
        <v>0</v>
      </c>
      <c r="P5593" t="n">
        <v>0</v>
      </c>
      <c r="Q5593" t="n">
        <v>0</v>
      </c>
      <c r="R5593" s="2" t="inlineStr"/>
    </row>
    <row r="5594" ht="15" customHeight="1">
      <c r="A5594" t="inlineStr">
        <is>
          <t>A 29300-2023</t>
        </is>
      </c>
      <c r="B5594" s="1" t="n">
        <v>45105.86278935185</v>
      </c>
      <c r="C5594" s="1" t="n">
        <v>46075</v>
      </c>
      <c r="D5594" t="inlineStr">
        <is>
          <t>VÄSTERBOTTENS LÄN</t>
        </is>
      </c>
      <c r="E5594" t="inlineStr">
        <is>
          <t>ÅSELE</t>
        </is>
      </c>
      <c r="F5594" t="inlineStr">
        <is>
          <t>Sveaskog</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46586-2025</t>
        </is>
      </c>
      <c r="B5595" s="1" t="n">
        <v>45926.38789351852</v>
      </c>
      <c r="C5595" s="1" t="n">
        <v>46075</v>
      </c>
      <c r="D5595" t="inlineStr">
        <is>
          <t>VÄSTERBOTTENS LÄN</t>
        </is>
      </c>
      <c r="E5595" t="inlineStr">
        <is>
          <t>STORUMAN</t>
        </is>
      </c>
      <c r="G5595" t="n">
        <v>4.4</v>
      </c>
      <c r="H5595" t="n">
        <v>0</v>
      </c>
      <c r="I5595" t="n">
        <v>0</v>
      </c>
      <c r="J5595" t="n">
        <v>0</v>
      </c>
      <c r="K5595" t="n">
        <v>0</v>
      </c>
      <c r="L5595" t="n">
        <v>0</v>
      </c>
      <c r="M5595" t="n">
        <v>0</v>
      </c>
      <c r="N5595" t="n">
        <v>0</v>
      </c>
      <c r="O5595" t="n">
        <v>0</v>
      </c>
      <c r="P5595" t="n">
        <v>0</v>
      </c>
      <c r="Q5595" t="n">
        <v>0</v>
      </c>
      <c r="R5595" s="2" t="inlineStr"/>
    </row>
    <row r="5596" ht="15" customHeight="1">
      <c r="A5596" t="inlineStr">
        <is>
          <t>A 39731-2023</t>
        </is>
      </c>
      <c r="B5596" s="1" t="n">
        <v>45167</v>
      </c>
      <c r="C5596" s="1" t="n">
        <v>46075</v>
      </c>
      <c r="D5596" t="inlineStr">
        <is>
          <t>VÄSTERBOTTENS LÄN</t>
        </is>
      </c>
      <c r="E5596" t="inlineStr">
        <is>
          <t>ÅSELE</t>
        </is>
      </c>
      <c r="F5596" t="inlineStr">
        <is>
          <t>Sveaskog</t>
        </is>
      </c>
      <c r="G5596" t="n">
        <v>17.6</v>
      </c>
      <c r="H5596" t="n">
        <v>0</v>
      </c>
      <c r="I5596" t="n">
        <v>0</v>
      </c>
      <c r="J5596" t="n">
        <v>0</v>
      </c>
      <c r="K5596" t="n">
        <v>0</v>
      </c>
      <c r="L5596" t="n">
        <v>0</v>
      </c>
      <c r="M5596" t="n">
        <v>0</v>
      </c>
      <c r="N5596" t="n">
        <v>0</v>
      </c>
      <c r="O5596" t="n">
        <v>0</v>
      </c>
      <c r="P5596" t="n">
        <v>0</v>
      </c>
      <c r="Q5596" t="n">
        <v>0</v>
      </c>
      <c r="R5596" s="2" t="inlineStr"/>
    </row>
    <row r="5597" ht="15" customHeight="1">
      <c r="A5597" t="inlineStr">
        <is>
          <t>A 46604-2025</t>
        </is>
      </c>
      <c r="B5597" s="1" t="n">
        <v>45926.41188657407</v>
      </c>
      <c r="C5597" s="1" t="n">
        <v>46075</v>
      </c>
      <c r="D5597" t="inlineStr">
        <is>
          <t>VÄSTERBOTTENS LÄN</t>
        </is>
      </c>
      <c r="E5597" t="inlineStr">
        <is>
          <t>STORUMAN</t>
        </is>
      </c>
      <c r="G5597" t="n">
        <v>4.7</v>
      </c>
      <c r="H5597" t="n">
        <v>0</v>
      </c>
      <c r="I5597" t="n">
        <v>0</v>
      </c>
      <c r="J5597" t="n">
        <v>0</v>
      </c>
      <c r="K5597" t="n">
        <v>0</v>
      </c>
      <c r="L5597" t="n">
        <v>0</v>
      </c>
      <c r="M5597" t="n">
        <v>0</v>
      </c>
      <c r="N5597" t="n">
        <v>0</v>
      </c>
      <c r="O5597" t="n">
        <v>0</v>
      </c>
      <c r="P5597" t="n">
        <v>0</v>
      </c>
      <c r="Q5597" t="n">
        <v>0</v>
      </c>
      <c r="R5597" s="2" t="inlineStr"/>
    </row>
    <row r="5598" ht="15" customHeight="1">
      <c r="A5598" t="inlineStr">
        <is>
          <t>A 46613-2025</t>
        </is>
      </c>
      <c r="B5598" s="1" t="n">
        <v>45926.42726851852</v>
      </c>
      <c r="C5598" s="1" t="n">
        <v>46075</v>
      </c>
      <c r="D5598" t="inlineStr">
        <is>
          <t>VÄSTERBOTTENS LÄN</t>
        </is>
      </c>
      <c r="E5598" t="inlineStr">
        <is>
          <t>SKELLEFTEÅ</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23170-2024</t>
        </is>
      </c>
      <c r="B5599" s="1" t="n">
        <v>45450.92833333334</v>
      </c>
      <c r="C5599" s="1" t="n">
        <v>46075</v>
      </c>
      <c r="D5599" t="inlineStr">
        <is>
          <t>VÄSTERBOTTENS LÄN</t>
        </is>
      </c>
      <c r="E5599" t="inlineStr">
        <is>
          <t>NORSJÖ</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36716-2025</t>
        </is>
      </c>
      <c r="B5600" s="1" t="n">
        <v>45873.46920138889</v>
      </c>
      <c r="C5600" s="1" t="n">
        <v>46075</v>
      </c>
      <c r="D5600" t="inlineStr">
        <is>
          <t>VÄSTERBOTTENS LÄN</t>
        </is>
      </c>
      <c r="E5600" t="inlineStr">
        <is>
          <t>NORDMALING</t>
        </is>
      </c>
      <c r="G5600" t="n">
        <v>2.9</v>
      </c>
      <c r="H5600" t="n">
        <v>0</v>
      </c>
      <c r="I5600" t="n">
        <v>0</v>
      </c>
      <c r="J5600" t="n">
        <v>0</v>
      </c>
      <c r="K5600" t="n">
        <v>0</v>
      </c>
      <c r="L5600" t="n">
        <v>0</v>
      </c>
      <c r="M5600" t="n">
        <v>0</v>
      </c>
      <c r="N5600" t="n">
        <v>0</v>
      </c>
      <c r="O5600" t="n">
        <v>0</v>
      </c>
      <c r="P5600" t="n">
        <v>0</v>
      </c>
      <c r="Q5600" t="n">
        <v>0</v>
      </c>
      <c r="R5600" s="2" t="inlineStr"/>
    </row>
    <row r="5601" ht="15" customHeight="1">
      <c r="A5601" t="inlineStr">
        <is>
          <t>A 36720-2025</t>
        </is>
      </c>
      <c r="B5601" s="1" t="n">
        <v>45873.47204861111</v>
      </c>
      <c r="C5601" s="1" t="n">
        <v>46075</v>
      </c>
      <c r="D5601" t="inlineStr">
        <is>
          <t>VÄSTERBOTTENS LÄN</t>
        </is>
      </c>
      <c r="E5601" t="inlineStr">
        <is>
          <t>ROBERTSFORS</t>
        </is>
      </c>
      <c r="G5601" t="n">
        <v>2.2</v>
      </c>
      <c r="H5601" t="n">
        <v>0</v>
      </c>
      <c r="I5601" t="n">
        <v>0</v>
      </c>
      <c r="J5601" t="n">
        <v>0</v>
      </c>
      <c r="K5601" t="n">
        <v>0</v>
      </c>
      <c r="L5601" t="n">
        <v>0</v>
      </c>
      <c r="M5601" t="n">
        <v>0</v>
      </c>
      <c r="N5601" t="n">
        <v>0</v>
      </c>
      <c r="O5601" t="n">
        <v>0</v>
      </c>
      <c r="P5601" t="n">
        <v>0</v>
      </c>
      <c r="Q5601" t="n">
        <v>0</v>
      </c>
      <c r="R5601" s="2" t="inlineStr"/>
    </row>
    <row r="5602" ht="15" customHeight="1">
      <c r="A5602" t="inlineStr">
        <is>
          <t>A 36736-2025</t>
        </is>
      </c>
      <c r="B5602" s="1" t="n">
        <v>45873.52534722222</v>
      </c>
      <c r="C5602" s="1" t="n">
        <v>46075</v>
      </c>
      <c r="D5602" t="inlineStr">
        <is>
          <t>VÄSTERBOTTENS LÄN</t>
        </is>
      </c>
      <c r="E5602" t="inlineStr">
        <is>
          <t>LYCKSELE</t>
        </is>
      </c>
      <c r="F5602" t="inlineStr">
        <is>
          <t>Sveaskog</t>
        </is>
      </c>
      <c r="G5602" t="n">
        <v>4.7</v>
      </c>
      <c r="H5602" t="n">
        <v>0</v>
      </c>
      <c r="I5602" t="n">
        <v>0</v>
      </c>
      <c r="J5602" t="n">
        <v>0</v>
      </c>
      <c r="K5602" t="n">
        <v>0</v>
      </c>
      <c r="L5602" t="n">
        <v>0</v>
      </c>
      <c r="M5602" t="n">
        <v>0</v>
      </c>
      <c r="N5602" t="n">
        <v>0</v>
      </c>
      <c r="O5602" t="n">
        <v>0</v>
      </c>
      <c r="P5602" t="n">
        <v>0</v>
      </c>
      <c r="Q5602" t="n">
        <v>0</v>
      </c>
      <c r="R5602" s="2" t="inlineStr"/>
    </row>
    <row r="5603" ht="15" customHeight="1">
      <c r="A5603" t="inlineStr">
        <is>
          <t>A 39788-2023</t>
        </is>
      </c>
      <c r="B5603" s="1" t="n">
        <v>45167</v>
      </c>
      <c r="C5603" s="1" t="n">
        <v>46075</v>
      </c>
      <c r="D5603" t="inlineStr">
        <is>
          <t>VÄSTERBOTTENS LÄN</t>
        </is>
      </c>
      <c r="E5603" t="inlineStr">
        <is>
          <t>MALÅ</t>
        </is>
      </c>
      <c r="G5603" t="n">
        <v>5.3</v>
      </c>
      <c r="H5603" t="n">
        <v>0</v>
      </c>
      <c r="I5603" t="n">
        <v>0</v>
      </c>
      <c r="J5603" t="n">
        <v>0</v>
      </c>
      <c r="K5603" t="n">
        <v>0</v>
      </c>
      <c r="L5603" t="n">
        <v>0</v>
      </c>
      <c r="M5603" t="n">
        <v>0</v>
      </c>
      <c r="N5603" t="n">
        <v>0</v>
      </c>
      <c r="O5603" t="n">
        <v>0</v>
      </c>
      <c r="P5603" t="n">
        <v>0</v>
      </c>
      <c r="Q5603" t="n">
        <v>0</v>
      </c>
      <c r="R5603" s="2" t="inlineStr"/>
    </row>
    <row r="5604" ht="15" customHeight="1">
      <c r="A5604" t="inlineStr">
        <is>
          <t>A 36702-2025</t>
        </is>
      </c>
      <c r="B5604" s="1" t="n">
        <v>45873.44997685185</v>
      </c>
      <c r="C5604" s="1" t="n">
        <v>46075</v>
      </c>
      <c r="D5604" t="inlineStr">
        <is>
          <t>VÄSTERBOTTENS LÄN</t>
        </is>
      </c>
      <c r="E5604" t="inlineStr">
        <is>
          <t>LYCKSELE</t>
        </is>
      </c>
      <c r="F5604" t="inlineStr">
        <is>
          <t>Sveaskog</t>
        </is>
      </c>
      <c r="G5604" t="n">
        <v>4.4</v>
      </c>
      <c r="H5604" t="n">
        <v>0</v>
      </c>
      <c r="I5604" t="n">
        <v>0</v>
      </c>
      <c r="J5604" t="n">
        <v>0</v>
      </c>
      <c r="K5604" t="n">
        <v>0</v>
      </c>
      <c r="L5604" t="n">
        <v>0</v>
      </c>
      <c r="M5604" t="n">
        <v>0</v>
      </c>
      <c r="N5604" t="n">
        <v>0</v>
      </c>
      <c r="O5604" t="n">
        <v>0</v>
      </c>
      <c r="P5604" t="n">
        <v>0</v>
      </c>
      <c r="Q5604" t="n">
        <v>0</v>
      </c>
      <c r="R5604" s="2" t="inlineStr"/>
    </row>
    <row r="5605" ht="15" customHeight="1">
      <c r="A5605" t="inlineStr">
        <is>
          <t>A 36739-2025</t>
        </is>
      </c>
      <c r="B5605" s="1" t="n">
        <v>45873.53224537037</v>
      </c>
      <c r="C5605" s="1" t="n">
        <v>46075</v>
      </c>
      <c r="D5605" t="inlineStr">
        <is>
          <t>VÄSTERBOTTENS LÄN</t>
        </is>
      </c>
      <c r="E5605" t="inlineStr">
        <is>
          <t>UMEÅ</t>
        </is>
      </c>
      <c r="F5605" t="inlineStr">
        <is>
          <t>Kommuner</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36746-2025</t>
        </is>
      </c>
      <c r="B5606" s="1" t="n">
        <v>45873.54766203704</v>
      </c>
      <c r="C5606" s="1" t="n">
        <v>46075</v>
      </c>
      <c r="D5606" t="inlineStr">
        <is>
          <t>VÄSTERBOTTENS LÄN</t>
        </is>
      </c>
      <c r="E5606" t="inlineStr">
        <is>
          <t>UMEÅ</t>
        </is>
      </c>
      <c r="F5606" t="inlineStr">
        <is>
          <t>Kommuner</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36747-2025</t>
        </is>
      </c>
      <c r="B5607" s="1" t="n">
        <v>45873.54780092592</v>
      </c>
      <c r="C5607" s="1" t="n">
        <v>46075</v>
      </c>
      <c r="D5607" t="inlineStr">
        <is>
          <t>VÄSTERBOTTENS LÄN</t>
        </is>
      </c>
      <c r="E5607" t="inlineStr">
        <is>
          <t>UMEÅ</t>
        </is>
      </c>
      <c r="F5607" t="inlineStr">
        <is>
          <t>Holmen skog AB</t>
        </is>
      </c>
      <c r="G5607" t="n">
        <v>5.8</v>
      </c>
      <c r="H5607" t="n">
        <v>0</v>
      </c>
      <c r="I5607" t="n">
        <v>0</v>
      </c>
      <c r="J5607" t="n">
        <v>0</v>
      </c>
      <c r="K5607" t="n">
        <v>0</v>
      </c>
      <c r="L5607" t="n">
        <v>0</v>
      </c>
      <c r="M5607" t="n">
        <v>0</v>
      </c>
      <c r="N5607" t="n">
        <v>0</v>
      </c>
      <c r="O5607" t="n">
        <v>0</v>
      </c>
      <c r="P5607" t="n">
        <v>0</v>
      </c>
      <c r="Q5607" t="n">
        <v>0</v>
      </c>
      <c r="R5607" s="2" t="inlineStr"/>
    </row>
    <row r="5608" ht="15" customHeight="1">
      <c r="A5608" t="inlineStr">
        <is>
          <t>A 56983-2024</t>
        </is>
      </c>
      <c r="B5608" s="1" t="n">
        <v>45628.69109953703</v>
      </c>
      <c r="C5608" s="1" t="n">
        <v>46075</v>
      </c>
      <c r="D5608" t="inlineStr">
        <is>
          <t>VÄSTERBOTTENS LÄN</t>
        </is>
      </c>
      <c r="E5608" t="inlineStr">
        <is>
          <t>SKELLEFTEÅ</t>
        </is>
      </c>
      <c r="F5608" t="inlineStr">
        <is>
          <t>Holmen skog AB</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57003-2024</t>
        </is>
      </c>
      <c r="B5609" s="1" t="n">
        <v>45628.73037037037</v>
      </c>
      <c r="C5609" s="1" t="n">
        <v>46075</v>
      </c>
      <c r="D5609" t="inlineStr">
        <is>
          <t>VÄSTERBOTTENS LÄN</t>
        </is>
      </c>
      <c r="E5609" t="inlineStr">
        <is>
          <t>SKELLEFTEÅ</t>
        </is>
      </c>
      <c r="F5609" t="inlineStr">
        <is>
          <t>Holmen skog AB</t>
        </is>
      </c>
      <c r="G5609" t="n">
        <v>3.2</v>
      </c>
      <c r="H5609" t="n">
        <v>0</v>
      </c>
      <c r="I5609" t="n">
        <v>0</v>
      </c>
      <c r="J5609" t="n">
        <v>0</v>
      </c>
      <c r="K5609" t="n">
        <v>0</v>
      </c>
      <c r="L5609" t="n">
        <v>0</v>
      </c>
      <c r="M5609" t="n">
        <v>0</v>
      </c>
      <c r="N5609" t="n">
        <v>0</v>
      </c>
      <c r="O5609" t="n">
        <v>0</v>
      </c>
      <c r="P5609" t="n">
        <v>0</v>
      </c>
      <c r="Q5609" t="n">
        <v>0</v>
      </c>
      <c r="R5609" s="2" t="inlineStr"/>
    </row>
    <row r="5610" ht="15" customHeight="1">
      <c r="A5610" t="inlineStr">
        <is>
          <t>A 72018-2021</t>
        </is>
      </c>
      <c r="B5610" s="1" t="n">
        <v>44540</v>
      </c>
      <c r="C5610" s="1" t="n">
        <v>46075</v>
      </c>
      <c r="D5610" t="inlineStr">
        <is>
          <t>VÄSTERBOTTENS LÄN</t>
        </is>
      </c>
      <c r="E5610" t="inlineStr">
        <is>
          <t>NORDMALING</t>
        </is>
      </c>
      <c r="G5610" t="n">
        <v>4.2</v>
      </c>
      <c r="H5610" t="n">
        <v>0</v>
      </c>
      <c r="I5610" t="n">
        <v>0</v>
      </c>
      <c r="J5610" t="n">
        <v>0</v>
      </c>
      <c r="K5610" t="n">
        <v>0</v>
      </c>
      <c r="L5610" t="n">
        <v>0</v>
      </c>
      <c r="M5610" t="n">
        <v>0</v>
      </c>
      <c r="N5610" t="n">
        <v>0</v>
      </c>
      <c r="O5610" t="n">
        <v>0</v>
      </c>
      <c r="P5610" t="n">
        <v>0</v>
      </c>
      <c r="Q5610" t="n">
        <v>0</v>
      </c>
      <c r="R5610" s="2" t="inlineStr"/>
    </row>
    <row r="5611" ht="15" customHeight="1">
      <c r="A5611" t="inlineStr">
        <is>
          <t>A 46797-2025</t>
        </is>
      </c>
      <c r="B5611" s="1" t="n">
        <v>45926.65686342592</v>
      </c>
      <c r="C5611" s="1" t="n">
        <v>46075</v>
      </c>
      <c r="D5611" t="inlineStr">
        <is>
          <t>VÄSTERBOTTENS LÄN</t>
        </is>
      </c>
      <c r="E5611" t="inlineStr">
        <is>
          <t>ÅSELE</t>
        </is>
      </c>
      <c r="F5611" t="inlineStr">
        <is>
          <t>Holmen skog AB</t>
        </is>
      </c>
      <c r="G5611" t="n">
        <v>7.6</v>
      </c>
      <c r="H5611" t="n">
        <v>0</v>
      </c>
      <c r="I5611" t="n">
        <v>0</v>
      </c>
      <c r="J5611" t="n">
        <v>0</v>
      </c>
      <c r="K5611" t="n">
        <v>0</v>
      </c>
      <c r="L5611" t="n">
        <v>0</v>
      </c>
      <c r="M5611" t="n">
        <v>0</v>
      </c>
      <c r="N5611" t="n">
        <v>0</v>
      </c>
      <c r="O5611" t="n">
        <v>0</v>
      </c>
      <c r="P5611" t="n">
        <v>0</v>
      </c>
      <c r="Q5611" t="n">
        <v>0</v>
      </c>
      <c r="R5611" s="2" t="inlineStr"/>
    </row>
    <row r="5612" ht="15" customHeight="1">
      <c r="A5612" t="inlineStr">
        <is>
          <t>A 47125-2025</t>
        </is>
      </c>
      <c r="B5612" s="1" t="n">
        <v>45929.68402777778</v>
      </c>
      <c r="C5612" s="1" t="n">
        <v>46075</v>
      </c>
      <c r="D5612" t="inlineStr">
        <is>
          <t>VÄSTERBOTTENS LÄN</t>
        </is>
      </c>
      <c r="E5612" t="inlineStr">
        <is>
          <t>STORUMAN</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47138-2025</t>
        </is>
      </c>
      <c r="B5613" s="1" t="n">
        <v>45929.69899305556</v>
      </c>
      <c r="C5613" s="1" t="n">
        <v>46075</v>
      </c>
      <c r="D5613" t="inlineStr">
        <is>
          <t>VÄSTERBOTTENS LÄN</t>
        </is>
      </c>
      <c r="E5613" t="inlineStr">
        <is>
          <t>SKELLEFTEÅ</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47150-2025</t>
        </is>
      </c>
      <c r="B5614" s="1" t="n">
        <v>45929.71940972222</v>
      </c>
      <c r="C5614" s="1" t="n">
        <v>46075</v>
      </c>
      <c r="D5614" t="inlineStr">
        <is>
          <t>VÄSTERBOTTENS LÄN</t>
        </is>
      </c>
      <c r="E5614" t="inlineStr">
        <is>
          <t>BJURHOLM</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47113-2025</t>
        </is>
      </c>
      <c r="B5615" s="1" t="n">
        <v>45929.67430555556</v>
      </c>
      <c r="C5615" s="1" t="n">
        <v>46075</v>
      </c>
      <c r="D5615" t="inlineStr">
        <is>
          <t>VÄSTERBOTTENS LÄN</t>
        </is>
      </c>
      <c r="E5615" t="inlineStr">
        <is>
          <t>LYCKSELE</t>
        </is>
      </c>
      <c r="G5615" t="n">
        <v>8.5</v>
      </c>
      <c r="H5615" t="n">
        <v>0</v>
      </c>
      <c r="I5615" t="n">
        <v>0</v>
      </c>
      <c r="J5615" t="n">
        <v>0</v>
      </c>
      <c r="K5615" t="n">
        <v>0</v>
      </c>
      <c r="L5615" t="n">
        <v>0</v>
      </c>
      <c r="M5615" t="n">
        <v>0</v>
      </c>
      <c r="N5615" t="n">
        <v>0</v>
      </c>
      <c r="O5615" t="n">
        <v>0</v>
      </c>
      <c r="P5615" t="n">
        <v>0</v>
      </c>
      <c r="Q5615" t="n">
        <v>0</v>
      </c>
      <c r="R5615" s="2" t="inlineStr"/>
    </row>
    <row r="5616" ht="15" customHeight="1">
      <c r="A5616" t="inlineStr">
        <is>
          <t>A 46496-2025</t>
        </is>
      </c>
      <c r="B5616" s="1" t="n">
        <v>45925.83113425926</v>
      </c>
      <c r="C5616" s="1" t="n">
        <v>46075</v>
      </c>
      <c r="D5616" t="inlineStr">
        <is>
          <t>VÄSTERBOTTENS LÄN</t>
        </is>
      </c>
      <c r="E5616" t="inlineStr">
        <is>
          <t>SKELLEFTEÅ</t>
        </is>
      </c>
      <c r="F5616" t="inlineStr">
        <is>
          <t>Sveaskog</t>
        </is>
      </c>
      <c r="G5616" t="n">
        <v>4.1</v>
      </c>
      <c r="H5616" t="n">
        <v>0</v>
      </c>
      <c r="I5616" t="n">
        <v>0</v>
      </c>
      <c r="J5616" t="n">
        <v>0</v>
      </c>
      <c r="K5616" t="n">
        <v>0</v>
      </c>
      <c r="L5616" t="n">
        <v>0</v>
      </c>
      <c r="M5616" t="n">
        <v>0</v>
      </c>
      <c r="N5616" t="n">
        <v>0</v>
      </c>
      <c r="O5616" t="n">
        <v>0</v>
      </c>
      <c r="P5616" t="n">
        <v>0</v>
      </c>
      <c r="Q5616" t="n">
        <v>0</v>
      </c>
      <c r="R5616" s="2" t="inlineStr"/>
    </row>
    <row r="5617" ht="15" customHeight="1">
      <c r="A5617" t="inlineStr">
        <is>
          <t>A 46980-2025</t>
        </is>
      </c>
      <c r="B5617" s="1" t="n">
        <v>45929.52806712963</v>
      </c>
      <c r="C5617" s="1" t="n">
        <v>46075</v>
      </c>
      <c r="D5617" t="inlineStr">
        <is>
          <t>VÄSTERBOTTENS LÄN</t>
        </is>
      </c>
      <c r="E5617" t="inlineStr">
        <is>
          <t>ROBERTSFORS</t>
        </is>
      </c>
      <c r="F5617" t="inlineStr">
        <is>
          <t>Holmen skog AB</t>
        </is>
      </c>
      <c r="G5617" t="n">
        <v>4.1</v>
      </c>
      <c r="H5617" t="n">
        <v>0</v>
      </c>
      <c r="I5617" t="n">
        <v>0</v>
      </c>
      <c r="J5617" t="n">
        <v>0</v>
      </c>
      <c r="K5617" t="n">
        <v>0</v>
      </c>
      <c r="L5617" t="n">
        <v>0</v>
      </c>
      <c r="M5617" t="n">
        <v>0</v>
      </c>
      <c r="N5617" t="n">
        <v>0</v>
      </c>
      <c r="O5617" t="n">
        <v>0</v>
      </c>
      <c r="P5617" t="n">
        <v>0</v>
      </c>
      <c r="Q5617" t="n">
        <v>0</v>
      </c>
      <c r="R5617" s="2" t="inlineStr"/>
    </row>
    <row r="5618" ht="15" customHeight="1">
      <c r="A5618" t="inlineStr">
        <is>
          <t>A 36813-2025</t>
        </is>
      </c>
      <c r="B5618" s="1" t="n">
        <v>45873</v>
      </c>
      <c r="C5618" s="1" t="n">
        <v>46075</v>
      </c>
      <c r="D5618" t="inlineStr">
        <is>
          <t>VÄSTERBOTTENS LÄN</t>
        </is>
      </c>
      <c r="E5618" t="inlineStr">
        <is>
          <t>ROBERTSFORS</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59932-2024</t>
        </is>
      </c>
      <c r="B5619" s="1" t="n">
        <v>45642.31251157408</v>
      </c>
      <c r="C5619" s="1" t="n">
        <v>46075</v>
      </c>
      <c r="D5619" t="inlineStr">
        <is>
          <t>VÄSTERBOTTENS LÄN</t>
        </is>
      </c>
      <c r="E5619" t="inlineStr">
        <is>
          <t>SKELLEFTEÅ</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54539-2023</t>
        </is>
      </c>
      <c r="B5620" s="1" t="n">
        <v>45226</v>
      </c>
      <c r="C5620" s="1" t="n">
        <v>46075</v>
      </c>
      <c r="D5620" t="inlineStr">
        <is>
          <t>VÄSTERBOTTENS LÄN</t>
        </is>
      </c>
      <c r="E5620" t="inlineStr">
        <is>
          <t>LYCKSELE</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54376-2022</t>
        </is>
      </c>
      <c r="B5621" s="1" t="n">
        <v>44879</v>
      </c>
      <c r="C5621" s="1" t="n">
        <v>46075</v>
      </c>
      <c r="D5621" t="inlineStr">
        <is>
          <t>VÄSTERBOTTENS LÄN</t>
        </is>
      </c>
      <c r="E5621" t="inlineStr">
        <is>
          <t>SORSELE</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46840-2025</t>
        </is>
      </c>
      <c r="B5622" s="1" t="n">
        <v>45928.44752314815</v>
      </c>
      <c r="C5622" s="1" t="n">
        <v>46075</v>
      </c>
      <c r="D5622" t="inlineStr">
        <is>
          <t>VÄSTERBOTTENS LÄN</t>
        </is>
      </c>
      <c r="E5622" t="inlineStr">
        <is>
          <t>VINDELN</t>
        </is>
      </c>
      <c r="G5622" t="n">
        <v>3.3</v>
      </c>
      <c r="H5622" t="n">
        <v>0</v>
      </c>
      <c r="I5622" t="n">
        <v>0</v>
      </c>
      <c r="J5622" t="n">
        <v>0</v>
      </c>
      <c r="K5622" t="n">
        <v>0</v>
      </c>
      <c r="L5622" t="n">
        <v>0</v>
      </c>
      <c r="M5622" t="n">
        <v>0</v>
      </c>
      <c r="N5622" t="n">
        <v>0</v>
      </c>
      <c r="O5622" t="n">
        <v>0</v>
      </c>
      <c r="P5622" t="n">
        <v>0</v>
      </c>
      <c r="Q5622" t="n">
        <v>0</v>
      </c>
      <c r="R5622" s="2" t="inlineStr"/>
    </row>
    <row r="5623" ht="15" customHeight="1">
      <c r="A5623" t="inlineStr">
        <is>
          <t>A 43817-2025</t>
        </is>
      </c>
      <c r="B5623" s="1" t="n">
        <v>45912</v>
      </c>
      <c r="C5623" s="1" t="n">
        <v>46075</v>
      </c>
      <c r="D5623" t="inlineStr">
        <is>
          <t>VÄSTERBOTTENS LÄN</t>
        </is>
      </c>
      <c r="E5623" t="inlineStr">
        <is>
          <t>VILHELMINA</t>
        </is>
      </c>
      <c r="G5623" t="n">
        <v>23.1</v>
      </c>
      <c r="H5623" t="n">
        <v>0</v>
      </c>
      <c r="I5623" t="n">
        <v>0</v>
      </c>
      <c r="J5623" t="n">
        <v>0</v>
      </c>
      <c r="K5623" t="n">
        <v>0</v>
      </c>
      <c r="L5623" t="n">
        <v>0</v>
      </c>
      <c r="M5623" t="n">
        <v>0</v>
      </c>
      <c r="N5623" t="n">
        <v>0</v>
      </c>
      <c r="O5623" t="n">
        <v>0</v>
      </c>
      <c r="P5623" t="n">
        <v>0</v>
      </c>
      <c r="Q5623" t="n">
        <v>0</v>
      </c>
      <c r="R5623" s="2" t="inlineStr"/>
    </row>
    <row r="5624" ht="15" customHeight="1">
      <c r="A5624" t="inlineStr">
        <is>
          <t>A 52233-2024</t>
        </is>
      </c>
      <c r="B5624" s="1" t="n">
        <v>45608.61015046296</v>
      </c>
      <c r="C5624" s="1" t="n">
        <v>46075</v>
      </c>
      <c r="D5624" t="inlineStr">
        <is>
          <t>VÄSTERBOTTENS LÄN</t>
        </is>
      </c>
      <c r="E5624" t="inlineStr">
        <is>
          <t>LYCKSELE</t>
        </is>
      </c>
      <c r="F5624" t="inlineStr">
        <is>
          <t>Sveaskog</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36761-2025</t>
        </is>
      </c>
      <c r="B5625" s="1" t="n">
        <v>45873.57328703703</v>
      </c>
      <c r="C5625" s="1" t="n">
        <v>46075</v>
      </c>
      <c r="D5625" t="inlineStr">
        <is>
          <t>VÄSTERBOTTENS LÄN</t>
        </is>
      </c>
      <c r="E5625" t="inlineStr">
        <is>
          <t>SKELLEFTEÅ</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36791-2025</t>
        </is>
      </c>
      <c r="B5626" s="1" t="n">
        <v>45873</v>
      </c>
      <c r="C5626" s="1" t="n">
        <v>46075</v>
      </c>
      <c r="D5626" t="inlineStr">
        <is>
          <t>VÄSTERBOTTENS LÄN</t>
        </is>
      </c>
      <c r="E5626" t="inlineStr">
        <is>
          <t>DOROTEA</t>
        </is>
      </c>
      <c r="G5626" t="n">
        <v>4.8</v>
      </c>
      <c r="H5626" t="n">
        <v>0</v>
      </c>
      <c r="I5626" t="n">
        <v>0</v>
      </c>
      <c r="J5626" t="n">
        <v>0</v>
      </c>
      <c r="K5626" t="n">
        <v>0</v>
      </c>
      <c r="L5626" t="n">
        <v>0</v>
      </c>
      <c r="M5626" t="n">
        <v>0</v>
      </c>
      <c r="N5626" t="n">
        <v>0</v>
      </c>
      <c r="O5626" t="n">
        <v>0</v>
      </c>
      <c r="P5626" t="n">
        <v>0</v>
      </c>
      <c r="Q5626" t="n">
        <v>0</v>
      </c>
      <c r="R5626" s="2" t="inlineStr"/>
    </row>
    <row r="5627" ht="15" customHeight="1">
      <c r="A5627" t="inlineStr">
        <is>
          <t>A 52245-2024</t>
        </is>
      </c>
      <c r="B5627" s="1" t="n">
        <v>45608.62322916667</v>
      </c>
      <c r="C5627" s="1" t="n">
        <v>46075</v>
      </c>
      <c r="D5627" t="inlineStr">
        <is>
          <t>VÄSTERBOTTENS LÄN</t>
        </is>
      </c>
      <c r="E5627" t="inlineStr">
        <is>
          <t>SKELLEFTEÅ</t>
        </is>
      </c>
      <c r="G5627" t="n">
        <v>6.5</v>
      </c>
      <c r="H5627" t="n">
        <v>0</v>
      </c>
      <c r="I5627" t="n">
        <v>0</v>
      </c>
      <c r="J5627" t="n">
        <v>0</v>
      </c>
      <c r="K5627" t="n">
        <v>0</v>
      </c>
      <c r="L5627" t="n">
        <v>0</v>
      </c>
      <c r="M5627" t="n">
        <v>0</v>
      </c>
      <c r="N5627" t="n">
        <v>0</v>
      </c>
      <c r="O5627" t="n">
        <v>0</v>
      </c>
      <c r="P5627" t="n">
        <v>0</v>
      </c>
      <c r="Q5627" t="n">
        <v>0</v>
      </c>
      <c r="R5627" s="2" t="inlineStr"/>
    </row>
    <row r="5628" ht="15" customHeight="1">
      <c r="A5628" t="inlineStr">
        <is>
          <t>A 52255-2024</t>
        </is>
      </c>
      <c r="B5628" s="1" t="n">
        <v>45608.64011574074</v>
      </c>
      <c r="C5628" s="1" t="n">
        <v>46075</v>
      </c>
      <c r="D5628" t="inlineStr">
        <is>
          <t>VÄSTERBOTTENS LÄN</t>
        </is>
      </c>
      <c r="E5628" t="inlineStr">
        <is>
          <t>VÄNNÄS</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36669-2025</t>
        </is>
      </c>
      <c r="B5629" s="1" t="n">
        <v>45873</v>
      </c>
      <c r="C5629" s="1" t="n">
        <v>46075</v>
      </c>
      <c r="D5629" t="inlineStr">
        <is>
          <t>VÄSTERBOTTENS LÄN</t>
        </is>
      </c>
      <c r="E5629" t="inlineStr">
        <is>
          <t>VILHELMINA</t>
        </is>
      </c>
      <c r="G5629" t="n">
        <v>12.5</v>
      </c>
      <c r="H5629" t="n">
        <v>0</v>
      </c>
      <c r="I5629" t="n">
        <v>0</v>
      </c>
      <c r="J5629" t="n">
        <v>0</v>
      </c>
      <c r="K5629" t="n">
        <v>0</v>
      </c>
      <c r="L5629" t="n">
        <v>0</v>
      </c>
      <c r="M5629" t="n">
        <v>0</v>
      </c>
      <c r="N5629" t="n">
        <v>0</v>
      </c>
      <c r="O5629" t="n">
        <v>0</v>
      </c>
      <c r="P5629" t="n">
        <v>0</v>
      </c>
      <c r="Q5629" t="n">
        <v>0</v>
      </c>
      <c r="R5629" s="2" t="inlineStr"/>
    </row>
    <row r="5630" ht="15" customHeight="1">
      <c r="A5630" t="inlineStr">
        <is>
          <t>A 46735-2025</t>
        </is>
      </c>
      <c r="B5630" s="1" t="n">
        <v>45926.59788194444</v>
      </c>
      <c r="C5630" s="1" t="n">
        <v>46075</v>
      </c>
      <c r="D5630" t="inlineStr">
        <is>
          <t>VÄSTERBOTTENS LÄN</t>
        </is>
      </c>
      <c r="E5630" t="inlineStr">
        <is>
          <t>BJURHOLM</t>
        </is>
      </c>
      <c r="F5630" t="inlineStr">
        <is>
          <t>Holmen skog AB</t>
        </is>
      </c>
      <c r="G5630" t="n">
        <v>5.2</v>
      </c>
      <c r="H5630" t="n">
        <v>0</v>
      </c>
      <c r="I5630" t="n">
        <v>0</v>
      </c>
      <c r="J5630" t="n">
        <v>0</v>
      </c>
      <c r="K5630" t="n">
        <v>0</v>
      </c>
      <c r="L5630" t="n">
        <v>0</v>
      </c>
      <c r="M5630" t="n">
        <v>0</v>
      </c>
      <c r="N5630" t="n">
        <v>0</v>
      </c>
      <c r="O5630" t="n">
        <v>0</v>
      </c>
      <c r="P5630" t="n">
        <v>0</v>
      </c>
      <c r="Q5630" t="n">
        <v>0</v>
      </c>
      <c r="R5630" s="2" t="inlineStr"/>
    </row>
    <row r="5631" ht="15" customHeight="1">
      <c r="A5631" t="inlineStr">
        <is>
          <t>A 46839-2025</t>
        </is>
      </c>
      <c r="B5631" s="1" t="n">
        <v>45928.44722222222</v>
      </c>
      <c r="C5631" s="1" t="n">
        <v>46075</v>
      </c>
      <c r="D5631" t="inlineStr">
        <is>
          <t>VÄSTERBOTTENS LÄN</t>
        </is>
      </c>
      <c r="E5631" t="inlineStr">
        <is>
          <t>VINDELN</t>
        </is>
      </c>
      <c r="G5631" t="n">
        <v>2.6</v>
      </c>
      <c r="H5631" t="n">
        <v>0</v>
      </c>
      <c r="I5631" t="n">
        <v>0</v>
      </c>
      <c r="J5631" t="n">
        <v>0</v>
      </c>
      <c r="K5631" t="n">
        <v>0</v>
      </c>
      <c r="L5631" t="n">
        <v>0</v>
      </c>
      <c r="M5631" t="n">
        <v>0</v>
      </c>
      <c r="N5631" t="n">
        <v>0</v>
      </c>
      <c r="O5631" t="n">
        <v>0</v>
      </c>
      <c r="P5631" t="n">
        <v>0</v>
      </c>
      <c r="Q5631" t="n">
        <v>0</v>
      </c>
      <c r="R5631" s="2" t="inlineStr"/>
    </row>
    <row r="5632" ht="15" customHeight="1">
      <c r="A5632" t="inlineStr">
        <is>
          <t>A 28808-2025</t>
        </is>
      </c>
      <c r="B5632" s="1" t="n">
        <v>45820.51743055556</v>
      </c>
      <c r="C5632" s="1" t="n">
        <v>46075</v>
      </c>
      <c r="D5632" t="inlineStr">
        <is>
          <t>VÄSTERBOTTENS LÄN</t>
        </is>
      </c>
      <c r="E5632" t="inlineStr">
        <is>
          <t>NORSJÖ</t>
        </is>
      </c>
      <c r="F5632" t="inlineStr">
        <is>
          <t>Holmen skog AB</t>
        </is>
      </c>
      <c r="G5632" t="n">
        <v>5.5</v>
      </c>
      <c r="H5632" t="n">
        <v>0</v>
      </c>
      <c r="I5632" t="n">
        <v>0</v>
      </c>
      <c r="J5632" t="n">
        <v>0</v>
      </c>
      <c r="K5632" t="n">
        <v>0</v>
      </c>
      <c r="L5632" t="n">
        <v>0</v>
      </c>
      <c r="M5632" t="n">
        <v>0</v>
      </c>
      <c r="N5632" t="n">
        <v>0</v>
      </c>
      <c r="O5632" t="n">
        <v>0</v>
      </c>
      <c r="P5632" t="n">
        <v>0</v>
      </c>
      <c r="Q5632" t="n">
        <v>0</v>
      </c>
      <c r="R5632" s="2" t="inlineStr"/>
    </row>
    <row r="5633" ht="15" customHeight="1">
      <c r="A5633" t="inlineStr">
        <is>
          <t>A 1409-2023</t>
        </is>
      </c>
      <c r="B5633" s="1" t="n">
        <v>44936.86325231481</v>
      </c>
      <c r="C5633" s="1" t="n">
        <v>46075</v>
      </c>
      <c r="D5633" t="inlineStr">
        <is>
          <t>VÄSTERBOTTENS LÄN</t>
        </is>
      </c>
      <c r="E5633" t="inlineStr">
        <is>
          <t>ÅSELE</t>
        </is>
      </c>
      <c r="G5633" t="n">
        <v>4.8</v>
      </c>
      <c r="H5633" t="n">
        <v>0</v>
      </c>
      <c r="I5633" t="n">
        <v>0</v>
      </c>
      <c r="J5633" t="n">
        <v>0</v>
      </c>
      <c r="K5633" t="n">
        <v>0</v>
      </c>
      <c r="L5633" t="n">
        <v>0</v>
      </c>
      <c r="M5633" t="n">
        <v>0</v>
      </c>
      <c r="N5633" t="n">
        <v>0</v>
      </c>
      <c r="O5633" t="n">
        <v>0</v>
      </c>
      <c r="P5633" t="n">
        <v>0</v>
      </c>
      <c r="Q5633" t="n">
        <v>0</v>
      </c>
      <c r="R5633" s="2" t="inlineStr"/>
    </row>
    <row r="5634" ht="15" customHeight="1">
      <c r="A5634" t="inlineStr">
        <is>
          <t>A 46627-2025</t>
        </is>
      </c>
      <c r="B5634" s="1" t="n">
        <v>45926.44899305556</v>
      </c>
      <c r="C5634" s="1" t="n">
        <v>46075</v>
      </c>
      <c r="D5634" t="inlineStr">
        <is>
          <t>VÄSTERBOTTENS LÄN</t>
        </is>
      </c>
      <c r="E5634" t="inlineStr">
        <is>
          <t>SKELLEFTEÅ</t>
        </is>
      </c>
      <c r="G5634" t="n">
        <v>7.4</v>
      </c>
      <c r="H5634" t="n">
        <v>0</v>
      </c>
      <c r="I5634" t="n">
        <v>0</v>
      </c>
      <c r="J5634" t="n">
        <v>0</v>
      </c>
      <c r="K5634" t="n">
        <v>0</v>
      </c>
      <c r="L5634" t="n">
        <v>0</v>
      </c>
      <c r="M5634" t="n">
        <v>0</v>
      </c>
      <c r="N5634" t="n">
        <v>0</v>
      </c>
      <c r="O5634" t="n">
        <v>0</v>
      </c>
      <c r="P5634" t="n">
        <v>0</v>
      </c>
      <c r="Q5634" t="n">
        <v>0</v>
      </c>
      <c r="R5634" s="2" t="inlineStr"/>
    </row>
    <row r="5635" ht="15" customHeight="1">
      <c r="A5635" t="inlineStr">
        <is>
          <t>A 36613-2025</t>
        </is>
      </c>
      <c r="B5635" s="1" t="n">
        <v>45870.60596064815</v>
      </c>
      <c r="C5635" s="1" t="n">
        <v>46075</v>
      </c>
      <c r="D5635" t="inlineStr">
        <is>
          <t>VÄSTERBOTTENS LÄN</t>
        </is>
      </c>
      <c r="E5635" t="inlineStr">
        <is>
          <t>NORSJÖ</t>
        </is>
      </c>
      <c r="F5635" t="inlineStr">
        <is>
          <t>Sveaskog</t>
        </is>
      </c>
      <c r="G5635" t="n">
        <v>10.8</v>
      </c>
      <c r="H5635" t="n">
        <v>0</v>
      </c>
      <c r="I5635" t="n">
        <v>0</v>
      </c>
      <c r="J5635" t="n">
        <v>0</v>
      </c>
      <c r="K5635" t="n">
        <v>0</v>
      </c>
      <c r="L5635" t="n">
        <v>0</v>
      </c>
      <c r="M5635" t="n">
        <v>0</v>
      </c>
      <c r="N5635" t="n">
        <v>0</v>
      </c>
      <c r="O5635" t="n">
        <v>0</v>
      </c>
      <c r="P5635" t="n">
        <v>0</v>
      </c>
      <c r="Q5635" t="n">
        <v>0</v>
      </c>
      <c r="R5635" s="2" t="inlineStr"/>
    </row>
    <row r="5636" ht="15" customHeight="1">
      <c r="A5636" t="inlineStr">
        <is>
          <t>A 26999-2022</t>
        </is>
      </c>
      <c r="B5636" s="1" t="n">
        <v>44740</v>
      </c>
      <c r="C5636" s="1" t="n">
        <v>46075</v>
      </c>
      <c r="D5636" t="inlineStr">
        <is>
          <t>VÄSTERBOTTENS LÄN</t>
        </is>
      </c>
      <c r="E5636" t="inlineStr">
        <is>
          <t>SKELLEFTEÅ</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46945-2025</t>
        </is>
      </c>
      <c r="B5637" s="1" t="n">
        <v>45929.46075231482</v>
      </c>
      <c r="C5637" s="1" t="n">
        <v>46075</v>
      </c>
      <c r="D5637" t="inlineStr">
        <is>
          <t>VÄSTERBOTTENS LÄN</t>
        </is>
      </c>
      <c r="E5637" t="inlineStr">
        <is>
          <t>LYCKSELE</t>
        </is>
      </c>
      <c r="F5637" t="inlineStr">
        <is>
          <t>Holmen skog AB</t>
        </is>
      </c>
      <c r="G5637" t="n">
        <v>9.6</v>
      </c>
      <c r="H5637" t="n">
        <v>0</v>
      </c>
      <c r="I5637" t="n">
        <v>0</v>
      </c>
      <c r="J5637" t="n">
        <v>0</v>
      </c>
      <c r="K5637" t="n">
        <v>0</v>
      </c>
      <c r="L5637" t="n">
        <v>0</v>
      </c>
      <c r="M5637" t="n">
        <v>0</v>
      </c>
      <c r="N5637" t="n">
        <v>0</v>
      </c>
      <c r="O5637" t="n">
        <v>0</v>
      </c>
      <c r="P5637" t="n">
        <v>0</v>
      </c>
      <c r="Q5637" t="n">
        <v>0</v>
      </c>
      <c r="R5637" s="2" t="inlineStr"/>
    </row>
    <row r="5638" ht="15" customHeight="1">
      <c r="A5638" t="inlineStr">
        <is>
          <t>A 44801-2023</t>
        </is>
      </c>
      <c r="B5638" s="1" t="n">
        <v>45190.47796296296</v>
      </c>
      <c r="C5638" s="1" t="n">
        <v>46075</v>
      </c>
      <c r="D5638" t="inlineStr">
        <is>
          <t>VÄSTERBOTTENS LÄN</t>
        </is>
      </c>
      <c r="E5638" t="inlineStr">
        <is>
          <t>ÅSELE</t>
        </is>
      </c>
      <c r="F5638" t="inlineStr">
        <is>
          <t>Naturvårdsverket</t>
        </is>
      </c>
      <c r="G5638" t="n">
        <v>2.4</v>
      </c>
      <c r="H5638" t="n">
        <v>0</v>
      </c>
      <c r="I5638" t="n">
        <v>0</v>
      </c>
      <c r="J5638" t="n">
        <v>0</v>
      </c>
      <c r="K5638" t="n">
        <v>0</v>
      </c>
      <c r="L5638" t="n">
        <v>0</v>
      </c>
      <c r="M5638" t="n">
        <v>0</v>
      </c>
      <c r="N5638" t="n">
        <v>0</v>
      </c>
      <c r="O5638" t="n">
        <v>0</v>
      </c>
      <c r="P5638" t="n">
        <v>0</v>
      </c>
      <c r="Q5638" t="n">
        <v>0</v>
      </c>
      <c r="R5638" s="2" t="inlineStr"/>
    </row>
    <row r="5639" ht="15" customHeight="1">
      <c r="A5639" t="inlineStr">
        <is>
          <t>A 44812-2023</t>
        </is>
      </c>
      <c r="B5639" s="1" t="n">
        <v>45190.50340277778</v>
      </c>
      <c r="C5639" s="1" t="n">
        <v>46075</v>
      </c>
      <c r="D5639" t="inlineStr">
        <is>
          <t>VÄSTERBOTTENS LÄN</t>
        </is>
      </c>
      <c r="E5639" t="inlineStr">
        <is>
          <t>BJURHOLM</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62870-2023</t>
        </is>
      </c>
      <c r="B5640" s="1" t="n">
        <v>45271</v>
      </c>
      <c r="C5640" s="1" t="n">
        <v>46075</v>
      </c>
      <c r="D5640" t="inlineStr">
        <is>
          <t>VÄSTERBOTTENS LÄN</t>
        </is>
      </c>
      <c r="E5640" t="inlineStr">
        <is>
          <t>LYCKSELE</t>
        </is>
      </c>
      <c r="G5640" t="n">
        <v>4.3</v>
      </c>
      <c r="H5640" t="n">
        <v>0</v>
      </c>
      <c r="I5640" t="n">
        <v>0</v>
      </c>
      <c r="J5640" t="n">
        <v>0</v>
      </c>
      <c r="K5640" t="n">
        <v>0</v>
      </c>
      <c r="L5640" t="n">
        <v>0</v>
      </c>
      <c r="M5640" t="n">
        <v>0</v>
      </c>
      <c r="N5640" t="n">
        <v>0</v>
      </c>
      <c r="O5640" t="n">
        <v>0</v>
      </c>
      <c r="P5640" t="n">
        <v>0</v>
      </c>
      <c r="Q5640" t="n">
        <v>0</v>
      </c>
      <c r="R5640" s="2" t="inlineStr"/>
    </row>
    <row r="5641" ht="15" customHeight="1">
      <c r="A5641" t="inlineStr">
        <is>
          <t>A 58749-2023</t>
        </is>
      </c>
      <c r="B5641" s="1" t="n">
        <v>45251.92947916667</v>
      </c>
      <c r="C5641" s="1" t="n">
        <v>46075</v>
      </c>
      <c r="D5641" t="inlineStr">
        <is>
          <t>VÄSTERBOTTENS LÄN</t>
        </is>
      </c>
      <c r="E5641" t="inlineStr">
        <is>
          <t>VILHELMINA</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58780-2023</t>
        </is>
      </c>
      <c r="B5642" s="1" t="n">
        <v>45247</v>
      </c>
      <c r="C5642" s="1" t="n">
        <v>46075</v>
      </c>
      <c r="D5642" t="inlineStr">
        <is>
          <t>VÄSTERBOTTENS LÄN</t>
        </is>
      </c>
      <c r="E5642" t="inlineStr">
        <is>
          <t>SORSELE</t>
        </is>
      </c>
      <c r="G5642" t="n">
        <v>5</v>
      </c>
      <c r="H5642" t="n">
        <v>0</v>
      </c>
      <c r="I5642" t="n">
        <v>0</v>
      </c>
      <c r="J5642" t="n">
        <v>0</v>
      </c>
      <c r="K5642" t="n">
        <v>0</v>
      </c>
      <c r="L5642" t="n">
        <v>0</v>
      </c>
      <c r="M5642" t="n">
        <v>0</v>
      </c>
      <c r="N5642" t="n">
        <v>0</v>
      </c>
      <c r="O5642" t="n">
        <v>0</v>
      </c>
      <c r="P5642" t="n">
        <v>0</v>
      </c>
      <c r="Q5642" t="n">
        <v>0</v>
      </c>
      <c r="R5642" s="2" t="inlineStr"/>
    </row>
    <row r="5643" ht="15" customHeight="1">
      <c r="A5643" t="inlineStr">
        <is>
          <t>A 36569-2025</t>
        </is>
      </c>
      <c r="B5643" s="1" t="n">
        <v>45870</v>
      </c>
      <c r="C5643" s="1" t="n">
        <v>46075</v>
      </c>
      <c r="D5643" t="inlineStr">
        <is>
          <t>VÄSTERBOTTENS LÄN</t>
        </is>
      </c>
      <c r="E5643" t="inlineStr">
        <is>
          <t>VILHELMINA</t>
        </is>
      </c>
      <c r="F5643" t="inlineStr">
        <is>
          <t>SCA</t>
        </is>
      </c>
      <c r="G5643" t="n">
        <v>5.1</v>
      </c>
      <c r="H5643" t="n">
        <v>0</v>
      </c>
      <c r="I5643" t="n">
        <v>0</v>
      </c>
      <c r="J5643" t="n">
        <v>0</v>
      </c>
      <c r="K5643" t="n">
        <v>0</v>
      </c>
      <c r="L5643" t="n">
        <v>0</v>
      </c>
      <c r="M5643" t="n">
        <v>0</v>
      </c>
      <c r="N5643" t="n">
        <v>0</v>
      </c>
      <c r="O5643" t="n">
        <v>0</v>
      </c>
      <c r="P5643" t="n">
        <v>0</v>
      </c>
      <c r="Q5643" t="n">
        <v>0</v>
      </c>
      <c r="R5643" s="2" t="inlineStr"/>
    </row>
    <row r="5644" ht="15" customHeight="1">
      <c r="A5644" t="inlineStr">
        <is>
          <t>A 36576-2025</t>
        </is>
      </c>
      <c r="B5644" s="1" t="n">
        <v>45870.41331018518</v>
      </c>
      <c r="C5644" s="1" t="n">
        <v>46075</v>
      </c>
      <c r="D5644" t="inlineStr">
        <is>
          <t>VÄSTERBOTTENS LÄN</t>
        </is>
      </c>
      <c r="E5644" t="inlineStr">
        <is>
          <t>ÅSELE</t>
        </is>
      </c>
      <c r="F5644" t="inlineStr">
        <is>
          <t>Holmen skog AB</t>
        </is>
      </c>
      <c r="G5644" t="n">
        <v>7.7</v>
      </c>
      <c r="H5644" t="n">
        <v>0</v>
      </c>
      <c r="I5644" t="n">
        <v>0</v>
      </c>
      <c r="J5644" t="n">
        <v>0</v>
      </c>
      <c r="K5644" t="n">
        <v>0</v>
      </c>
      <c r="L5644" t="n">
        <v>0</v>
      </c>
      <c r="M5644" t="n">
        <v>0</v>
      </c>
      <c r="N5644" t="n">
        <v>0</v>
      </c>
      <c r="O5644" t="n">
        <v>0</v>
      </c>
      <c r="P5644" t="n">
        <v>0</v>
      </c>
      <c r="Q5644" t="n">
        <v>0</v>
      </c>
      <c r="R5644" s="2" t="inlineStr"/>
    </row>
    <row r="5645" ht="15" customHeight="1">
      <c r="A5645" t="inlineStr">
        <is>
          <t>A 46754-2025</t>
        </is>
      </c>
      <c r="B5645" s="1" t="n">
        <v>45926.61768518519</v>
      </c>
      <c r="C5645" s="1" t="n">
        <v>46075</v>
      </c>
      <c r="D5645" t="inlineStr">
        <is>
          <t>VÄSTERBOTTENS LÄN</t>
        </is>
      </c>
      <c r="E5645" t="inlineStr">
        <is>
          <t>ÅSELE</t>
        </is>
      </c>
      <c r="F5645" t="inlineStr">
        <is>
          <t>Holmen skog AB</t>
        </is>
      </c>
      <c r="G5645" t="n">
        <v>20.5</v>
      </c>
      <c r="H5645" t="n">
        <v>0</v>
      </c>
      <c r="I5645" t="n">
        <v>0</v>
      </c>
      <c r="J5645" t="n">
        <v>0</v>
      </c>
      <c r="K5645" t="n">
        <v>0</v>
      </c>
      <c r="L5645" t="n">
        <v>0</v>
      </c>
      <c r="M5645" t="n">
        <v>0</v>
      </c>
      <c r="N5645" t="n">
        <v>0</v>
      </c>
      <c r="O5645" t="n">
        <v>0</v>
      </c>
      <c r="P5645" t="n">
        <v>0</v>
      </c>
      <c r="Q5645" t="n">
        <v>0</v>
      </c>
      <c r="R5645" s="2" t="inlineStr"/>
    </row>
    <row r="5646" ht="15" customHeight="1">
      <c r="A5646" t="inlineStr">
        <is>
          <t>A 58830-2023</t>
        </is>
      </c>
      <c r="B5646" s="1" t="n">
        <v>45247</v>
      </c>
      <c r="C5646" s="1" t="n">
        <v>46075</v>
      </c>
      <c r="D5646" t="inlineStr">
        <is>
          <t>VÄSTERBOTTENS LÄN</t>
        </is>
      </c>
      <c r="E5646" t="inlineStr">
        <is>
          <t>SORSELE</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36609-2025</t>
        </is>
      </c>
      <c r="B5647" s="1" t="n">
        <v>45870.57207175926</v>
      </c>
      <c r="C5647" s="1" t="n">
        <v>46075</v>
      </c>
      <c r="D5647" t="inlineStr">
        <is>
          <t>VÄSTERBOTTENS LÄN</t>
        </is>
      </c>
      <c r="E5647" t="inlineStr">
        <is>
          <t>ÅSELE</t>
        </is>
      </c>
      <c r="F5647" t="inlineStr">
        <is>
          <t>Holmen skog AB</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36640-2025</t>
        </is>
      </c>
      <c r="B5648" s="1" t="n">
        <v>45871.05299768518</v>
      </c>
      <c r="C5648" s="1" t="n">
        <v>46075</v>
      </c>
      <c r="D5648" t="inlineStr">
        <is>
          <t>VÄSTERBOTTENS LÄN</t>
        </is>
      </c>
      <c r="E5648" t="inlineStr">
        <is>
          <t>SKELLEFTEÅ</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21152-2024</t>
        </is>
      </c>
      <c r="B5649" s="1" t="n">
        <v>45440</v>
      </c>
      <c r="C5649" s="1" t="n">
        <v>46075</v>
      </c>
      <c r="D5649" t="inlineStr">
        <is>
          <t>VÄSTERBOTTENS LÄN</t>
        </is>
      </c>
      <c r="E5649" t="inlineStr">
        <is>
          <t>SKELLEFTEÅ</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7700-2025</t>
        </is>
      </c>
      <c r="B5650" s="1" t="n">
        <v>45706</v>
      </c>
      <c r="C5650" s="1" t="n">
        <v>46075</v>
      </c>
      <c r="D5650" t="inlineStr">
        <is>
          <t>VÄSTERBOTTENS LÄN</t>
        </is>
      </c>
      <c r="E5650" t="inlineStr">
        <is>
          <t>VINDELN</t>
        </is>
      </c>
      <c r="G5650" t="n">
        <v>8.5</v>
      </c>
      <c r="H5650" t="n">
        <v>0</v>
      </c>
      <c r="I5650" t="n">
        <v>0</v>
      </c>
      <c r="J5650" t="n">
        <v>0</v>
      </c>
      <c r="K5650" t="n">
        <v>0</v>
      </c>
      <c r="L5650" t="n">
        <v>0</v>
      </c>
      <c r="M5650" t="n">
        <v>0</v>
      </c>
      <c r="N5650" t="n">
        <v>0</v>
      </c>
      <c r="O5650" t="n">
        <v>0</v>
      </c>
      <c r="P5650" t="n">
        <v>0</v>
      </c>
      <c r="Q5650" t="n">
        <v>0</v>
      </c>
      <c r="R5650" s="2" t="inlineStr"/>
    </row>
    <row r="5651" ht="15" customHeight="1">
      <c r="A5651" t="inlineStr">
        <is>
          <t>A 47096-2023</t>
        </is>
      </c>
      <c r="B5651" s="1" t="n">
        <v>45201.64815972222</v>
      </c>
      <c r="C5651" s="1" t="n">
        <v>46075</v>
      </c>
      <c r="D5651" t="inlineStr">
        <is>
          <t>VÄSTERBOTTENS LÄN</t>
        </is>
      </c>
      <c r="E5651" t="inlineStr">
        <is>
          <t>LYCKSELE</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34904-2023</t>
        </is>
      </c>
      <c r="B5652" s="1" t="n">
        <v>45141</v>
      </c>
      <c r="C5652" s="1" t="n">
        <v>46075</v>
      </c>
      <c r="D5652" t="inlineStr">
        <is>
          <t>VÄSTERBOTTENS LÄN</t>
        </is>
      </c>
      <c r="E5652" t="inlineStr">
        <is>
          <t>NORDMALING</t>
        </is>
      </c>
      <c r="G5652" t="n">
        <v>0.3</v>
      </c>
      <c r="H5652" t="n">
        <v>0</v>
      </c>
      <c r="I5652" t="n">
        <v>0</v>
      </c>
      <c r="J5652" t="n">
        <v>0</v>
      </c>
      <c r="K5652" t="n">
        <v>0</v>
      </c>
      <c r="L5652" t="n">
        <v>0</v>
      </c>
      <c r="M5652" t="n">
        <v>0</v>
      </c>
      <c r="N5652" t="n">
        <v>0</v>
      </c>
      <c r="O5652" t="n">
        <v>0</v>
      </c>
      <c r="P5652" t="n">
        <v>0</v>
      </c>
      <c r="Q5652" t="n">
        <v>0</v>
      </c>
      <c r="R5652" s="2" t="inlineStr"/>
    </row>
    <row r="5653" ht="15" customHeight="1">
      <c r="A5653" t="inlineStr">
        <is>
          <t>A 35124-2024</t>
        </is>
      </c>
      <c r="B5653" s="1" t="n">
        <v>45530</v>
      </c>
      <c r="C5653" s="1" t="n">
        <v>46075</v>
      </c>
      <c r="D5653" t="inlineStr">
        <is>
          <t>VÄSTERBOTTENS LÄN</t>
        </is>
      </c>
      <c r="E5653" t="inlineStr">
        <is>
          <t>VINDELN</t>
        </is>
      </c>
      <c r="G5653" t="n">
        <v>16.7</v>
      </c>
      <c r="H5653" t="n">
        <v>0</v>
      </c>
      <c r="I5653" t="n">
        <v>0</v>
      </c>
      <c r="J5653" t="n">
        <v>0</v>
      </c>
      <c r="K5653" t="n">
        <v>0</v>
      </c>
      <c r="L5653" t="n">
        <v>0</v>
      </c>
      <c r="M5653" t="n">
        <v>0</v>
      </c>
      <c r="N5653" t="n">
        <v>0</v>
      </c>
      <c r="O5653" t="n">
        <v>0</v>
      </c>
      <c r="P5653" t="n">
        <v>0</v>
      </c>
      <c r="Q5653" t="n">
        <v>0</v>
      </c>
      <c r="R5653" s="2" t="inlineStr"/>
    </row>
    <row r="5654" ht="15" customHeight="1">
      <c r="A5654" t="inlineStr">
        <is>
          <t>A 47179-2025</t>
        </is>
      </c>
      <c r="B5654" s="1" t="n">
        <v>45930.30091435185</v>
      </c>
      <c r="C5654" s="1" t="n">
        <v>46075</v>
      </c>
      <c r="D5654" t="inlineStr">
        <is>
          <t>VÄSTERBOTTENS LÄN</t>
        </is>
      </c>
      <c r="E5654" t="inlineStr">
        <is>
          <t>UMEÅ</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47674-2025</t>
        </is>
      </c>
      <c r="B5655" s="1" t="n">
        <v>45931</v>
      </c>
      <c r="C5655" s="1" t="n">
        <v>46075</v>
      </c>
      <c r="D5655" t="inlineStr">
        <is>
          <t>VÄSTERBOTTENS LÄN</t>
        </is>
      </c>
      <c r="E5655" t="inlineStr">
        <is>
          <t>SKELLEFTEÅ</t>
        </is>
      </c>
      <c r="G5655" t="n">
        <v>6.8</v>
      </c>
      <c r="H5655" t="n">
        <v>0</v>
      </c>
      <c r="I5655" t="n">
        <v>0</v>
      </c>
      <c r="J5655" t="n">
        <v>0</v>
      </c>
      <c r="K5655" t="n">
        <v>0</v>
      </c>
      <c r="L5655" t="n">
        <v>0</v>
      </c>
      <c r="M5655" t="n">
        <v>0</v>
      </c>
      <c r="N5655" t="n">
        <v>0</v>
      </c>
      <c r="O5655" t="n">
        <v>0</v>
      </c>
      <c r="P5655" t="n">
        <v>0</v>
      </c>
      <c r="Q5655" t="n">
        <v>0</v>
      </c>
      <c r="R5655" s="2" t="inlineStr"/>
    </row>
    <row r="5656" ht="15" customHeight="1">
      <c r="A5656" t="inlineStr">
        <is>
          <t>A 36042-2023</t>
        </is>
      </c>
      <c r="B5656" s="1" t="n">
        <v>45149</v>
      </c>
      <c r="C5656" s="1" t="n">
        <v>46075</v>
      </c>
      <c r="D5656" t="inlineStr">
        <is>
          <t>VÄSTERBOTTENS LÄN</t>
        </is>
      </c>
      <c r="E5656" t="inlineStr">
        <is>
          <t>ÅSELE</t>
        </is>
      </c>
      <c r="F5656" t="inlineStr">
        <is>
          <t>Holmen skog AB</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36054-2023</t>
        </is>
      </c>
      <c r="B5657" s="1" t="n">
        <v>45148</v>
      </c>
      <c r="C5657" s="1" t="n">
        <v>46075</v>
      </c>
      <c r="D5657" t="inlineStr">
        <is>
          <t>VÄSTERBOTTENS LÄN</t>
        </is>
      </c>
      <c r="E5657" t="inlineStr">
        <is>
          <t>MALÅ</t>
        </is>
      </c>
      <c r="G5657" t="n">
        <v>16.2</v>
      </c>
      <c r="H5657" t="n">
        <v>0</v>
      </c>
      <c r="I5657" t="n">
        <v>0</v>
      </c>
      <c r="J5657" t="n">
        <v>0</v>
      </c>
      <c r="K5657" t="n">
        <v>0</v>
      </c>
      <c r="L5657" t="n">
        <v>0</v>
      </c>
      <c r="M5657" t="n">
        <v>0</v>
      </c>
      <c r="N5657" t="n">
        <v>0</v>
      </c>
      <c r="O5657" t="n">
        <v>0</v>
      </c>
      <c r="P5657" t="n">
        <v>0</v>
      </c>
      <c r="Q5657" t="n">
        <v>0</v>
      </c>
      <c r="R5657" s="2" t="inlineStr"/>
    </row>
    <row r="5658" ht="15" customHeight="1">
      <c r="A5658" t="inlineStr">
        <is>
          <t>A 17858-2023</t>
        </is>
      </c>
      <c r="B5658" s="1" t="n">
        <v>45037.94150462963</v>
      </c>
      <c r="C5658" s="1" t="n">
        <v>46075</v>
      </c>
      <c r="D5658" t="inlineStr">
        <is>
          <t>VÄSTERBOTTENS LÄN</t>
        </is>
      </c>
      <c r="E5658" t="inlineStr">
        <is>
          <t>ÅSELE</t>
        </is>
      </c>
      <c r="F5658" t="inlineStr">
        <is>
          <t>SCA</t>
        </is>
      </c>
      <c r="G5658" t="n">
        <v>2.8</v>
      </c>
      <c r="H5658" t="n">
        <v>0</v>
      </c>
      <c r="I5658" t="n">
        <v>0</v>
      </c>
      <c r="J5658" t="n">
        <v>0</v>
      </c>
      <c r="K5658" t="n">
        <v>0</v>
      </c>
      <c r="L5658" t="n">
        <v>0</v>
      </c>
      <c r="M5658" t="n">
        <v>0</v>
      </c>
      <c r="N5658" t="n">
        <v>0</v>
      </c>
      <c r="O5658" t="n">
        <v>0</v>
      </c>
      <c r="P5658" t="n">
        <v>0</v>
      </c>
      <c r="Q5658" t="n">
        <v>0</v>
      </c>
      <c r="R5658" s="2" t="inlineStr"/>
    </row>
    <row r="5659" ht="15" customHeight="1">
      <c r="A5659" t="inlineStr">
        <is>
          <t>A 46662-2023</t>
        </is>
      </c>
      <c r="B5659" s="1" t="n">
        <v>45198.47061342592</v>
      </c>
      <c r="C5659" s="1" t="n">
        <v>46075</v>
      </c>
      <c r="D5659" t="inlineStr">
        <is>
          <t>VÄSTERBOTTENS LÄN</t>
        </is>
      </c>
      <c r="E5659" t="inlineStr">
        <is>
          <t>BJURHOLM</t>
        </is>
      </c>
      <c r="F5659" t="inlineStr">
        <is>
          <t>Holmen skog AB</t>
        </is>
      </c>
      <c r="G5659" t="n">
        <v>10.1</v>
      </c>
      <c r="H5659" t="n">
        <v>0</v>
      </c>
      <c r="I5659" t="n">
        <v>0</v>
      </c>
      <c r="J5659" t="n">
        <v>0</v>
      </c>
      <c r="K5659" t="n">
        <v>0</v>
      </c>
      <c r="L5659" t="n">
        <v>0</v>
      </c>
      <c r="M5659" t="n">
        <v>0</v>
      </c>
      <c r="N5659" t="n">
        <v>0</v>
      </c>
      <c r="O5659" t="n">
        <v>0</v>
      </c>
      <c r="P5659" t="n">
        <v>0</v>
      </c>
      <c r="Q5659" t="n">
        <v>0</v>
      </c>
      <c r="R5659" s="2" t="inlineStr"/>
    </row>
    <row r="5660" ht="15" customHeight="1">
      <c r="A5660" t="inlineStr">
        <is>
          <t>A 20133-2023</t>
        </is>
      </c>
      <c r="B5660" s="1" t="n">
        <v>45051</v>
      </c>
      <c r="C5660" s="1" t="n">
        <v>46075</v>
      </c>
      <c r="D5660" t="inlineStr">
        <is>
          <t>VÄSTERBOTTENS LÄN</t>
        </is>
      </c>
      <c r="E5660" t="inlineStr">
        <is>
          <t>NORDMALING</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47243-2025</t>
        </is>
      </c>
      <c r="B5661" s="1" t="n">
        <v>45930</v>
      </c>
      <c r="C5661" s="1" t="n">
        <v>46075</v>
      </c>
      <c r="D5661" t="inlineStr">
        <is>
          <t>VÄSTERBOTTENS LÄN</t>
        </is>
      </c>
      <c r="E5661" t="inlineStr">
        <is>
          <t>SKELLEFTEÅ</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36550-2025</t>
        </is>
      </c>
      <c r="B5662" s="1" t="n">
        <v>45870.32920138889</v>
      </c>
      <c r="C5662" s="1" t="n">
        <v>46075</v>
      </c>
      <c r="D5662" t="inlineStr">
        <is>
          <t>VÄSTERBOTTENS LÄN</t>
        </is>
      </c>
      <c r="E5662" t="inlineStr">
        <is>
          <t>NORSJÖ</t>
        </is>
      </c>
      <c r="F5662" t="inlineStr">
        <is>
          <t>Sveaskog</t>
        </is>
      </c>
      <c r="G5662" t="n">
        <v>8.9</v>
      </c>
      <c r="H5662" t="n">
        <v>0</v>
      </c>
      <c r="I5662" t="n">
        <v>0</v>
      </c>
      <c r="J5662" t="n">
        <v>0</v>
      </c>
      <c r="K5662" t="n">
        <v>0</v>
      </c>
      <c r="L5662" t="n">
        <v>0</v>
      </c>
      <c r="M5662" t="n">
        <v>0</v>
      </c>
      <c r="N5662" t="n">
        <v>0</v>
      </c>
      <c r="O5662" t="n">
        <v>0</v>
      </c>
      <c r="P5662" t="n">
        <v>0</v>
      </c>
      <c r="Q5662" t="n">
        <v>0</v>
      </c>
      <c r="R5662" s="2" t="inlineStr"/>
    </row>
    <row r="5663" ht="15" customHeight="1">
      <c r="A5663" t="inlineStr">
        <is>
          <t>A 36634-2025</t>
        </is>
      </c>
      <c r="B5663" s="1" t="n">
        <v>45870.69335648148</v>
      </c>
      <c r="C5663" s="1" t="n">
        <v>46075</v>
      </c>
      <c r="D5663" t="inlineStr">
        <is>
          <t>VÄSTERBOTTENS LÄN</t>
        </is>
      </c>
      <c r="E5663" t="inlineStr">
        <is>
          <t>ÅSELE</t>
        </is>
      </c>
      <c r="F5663" t="inlineStr">
        <is>
          <t>Holmen skog AB</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47551-2025</t>
        </is>
      </c>
      <c r="B5664" s="1" t="n">
        <v>45931.37207175926</v>
      </c>
      <c r="C5664" s="1" t="n">
        <v>46075</v>
      </c>
      <c r="D5664" t="inlineStr">
        <is>
          <t>VÄSTERBOTTENS LÄN</t>
        </is>
      </c>
      <c r="E5664" t="inlineStr">
        <is>
          <t>BJURHOLM</t>
        </is>
      </c>
      <c r="G5664" t="n">
        <v>3.4</v>
      </c>
      <c r="H5664" t="n">
        <v>0</v>
      </c>
      <c r="I5664" t="n">
        <v>0</v>
      </c>
      <c r="J5664" t="n">
        <v>0</v>
      </c>
      <c r="K5664" t="n">
        <v>0</v>
      </c>
      <c r="L5664" t="n">
        <v>0</v>
      </c>
      <c r="M5664" t="n">
        <v>0</v>
      </c>
      <c r="N5664" t="n">
        <v>0</v>
      </c>
      <c r="O5664" t="n">
        <v>0</v>
      </c>
      <c r="P5664" t="n">
        <v>0</v>
      </c>
      <c r="Q5664" t="n">
        <v>0</v>
      </c>
      <c r="R5664" s="2" t="inlineStr"/>
    </row>
    <row r="5665" ht="15" customHeight="1">
      <c r="A5665" t="inlineStr">
        <is>
          <t>A 36787-2025</t>
        </is>
      </c>
      <c r="B5665" s="1" t="n">
        <v>45873.6340162037</v>
      </c>
      <c r="C5665" s="1" t="n">
        <v>46075</v>
      </c>
      <c r="D5665" t="inlineStr">
        <is>
          <t>VÄSTERBOTTENS LÄN</t>
        </is>
      </c>
      <c r="E5665" t="inlineStr">
        <is>
          <t>LYCKSELE</t>
        </is>
      </c>
      <c r="F5665" t="inlineStr">
        <is>
          <t>Sveaskog</t>
        </is>
      </c>
      <c r="G5665" t="n">
        <v>20.1</v>
      </c>
      <c r="H5665" t="n">
        <v>0</v>
      </c>
      <c r="I5665" t="n">
        <v>0</v>
      </c>
      <c r="J5665" t="n">
        <v>0</v>
      </c>
      <c r="K5665" t="n">
        <v>0</v>
      </c>
      <c r="L5665" t="n">
        <v>0</v>
      </c>
      <c r="M5665" t="n">
        <v>0</v>
      </c>
      <c r="N5665" t="n">
        <v>0</v>
      </c>
      <c r="O5665" t="n">
        <v>0</v>
      </c>
      <c r="P5665" t="n">
        <v>0</v>
      </c>
      <c r="Q5665" t="n">
        <v>0</v>
      </c>
      <c r="R5665" s="2" t="inlineStr"/>
    </row>
    <row r="5666" ht="15" customHeight="1">
      <c r="A5666" t="inlineStr">
        <is>
          <t>A 47409-2025</t>
        </is>
      </c>
      <c r="B5666" s="1" t="n">
        <v>45930.61439814815</v>
      </c>
      <c r="C5666" s="1" t="n">
        <v>46075</v>
      </c>
      <c r="D5666" t="inlineStr">
        <is>
          <t>VÄSTERBOTTENS LÄN</t>
        </is>
      </c>
      <c r="E5666" t="inlineStr">
        <is>
          <t>ROBERTSFORS</t>
        </is>
      </c>
      <c r="G5666" t="n">
        <v>3.6</v>
      </c>
      <c r="H5666" t="n">
        <v>0</v>
      </c>
      <c r="I5666" t="n">
        <v>0</v>
      </c>
      <c r="J5666" t="n">
        <v>0</v>
      </c>
      <c r="K5666" t="n">
        <v>0</v>
      </c>
      <c r="L5666" t="n">
        <v>0</v>
      </c>
      <c r="M5666" t="n">
        <v>0</v>
      </c>
      <c r="N5666" t="n">
        <v>0</v>
      </c>
      <c r="O5666" t="n">
        <v>0</v>
      </c>
      <c r="P5666" t="n">
        <v>0</v>
      </c>
      <c r="Q5666" t="n">
        <v>0</v>
      </c>
      <c r="R5666" s="2" t="inlineStr"/>
    </row>
    <row r="5667" ht="15" customHeight="1">
      <c r="A5667" t="inlineStr">
        <is>
          <t>A 47437-2025</t>
        </is>
      </c>
      <c r="B5667" s="1" t="n">
        <v>45930.63690972222</v>
      </c>
      <c r="C5667" s="1" t="n">
        <v>46075</v>
      </c>
      <c r="D5667" t="inlineStr">
        <is>
          <t>VÄSTERBOTTENS LÄN</t>
        </is>
      </c>
      <c r="E5667" t="inlineStr">
        <is>
          <t>ROBERTSFORS</t>
        </is>
      </c>
      <c r="G5667" t="n">
        <v>4.9</v>
      </c>
      <c r="H5667" t="n">
        <v>0</v>
      </c>
      <c r="I5667" t="n">
        <v>0</v>
      </c>
      <c r="J5667" t="n">
        <v>0</v>
      </c>
      <c r="K5667" t="n">
        <v>0</v>
      </c>
      <c r="L5667" t="n">
        <v>0</v>
      </c>
      <c r="M5667" t="n">
        <v>0</v>
      </c>
      <c r="N5667" t="n">
        <v>0</v>
      </c>
      <c r="O5667" t="n">
        <v>0</v>
      </c>
      <c r="P5667" t="n">
        <v>0</v>
      </c>
      <c r="Q5667" t="n">
        <v>0</v>
      </c>
      <c r="R5667" s="2" t="inlineStr"/>
    </row>
    <row r="5668" ht="15" customHeight="1">
      <c r="A5668" t="inlineStr">
        <is>
          <t>A 47188-2025</t>
        </is>
      </c>
      <c r="B5668" s="1" t="n">
        <v>45930.32789351852</v>
      </c>
      <c r="C5668" s="1" t="n">
        <v>46075</v>
      </c>
      <c r="D5668" t="inlineStr">
        <is>
          <t>VÄSTERBOTTENS LÄN</t>
        </is>
      </c>
      <c r="E5668" t="inlineStr">
        <is>
          <t>UMEÅ</t>
        </is>
      </c>
      <c r="G5668" t="n">
        <v>2.9</v>
      </c>
      <c r="H5668" t="n">
        <v>0</v>
      </c>
      <c r="I5668" t="n">
        <v>0</v>
      </c>
      <c r="J5668" t="n">
        <v>0</v>
      </c>
      <c r="K5668" t="n">
        <v>0</v>
      </c>
      <c r="L5668" t="n">
        <v>0</v>
      </c>
      <c r="M5668" t="n">
        <v>0</v>
      </c>
      <c r="N5668" t="n">
        <v>0</v>
      </c>
      <c r="O5668" t="n">
        <v>0</v>
      </c>
      <c r="P5668" t="n">
        <v>0</v>
      </c>
      <c r="Q5668" t="n">
        <v>0</v>
      </c>
      <c r="R5668" s="2" t="inlineStr"/>
    </row>
    <row r="5669" ht="15" customHeight="1">
      <c r="A5669" t="inlineStr">
        <is>
          <t>A 47200-2025</t>
        </is>
      </c>
      <c r="B5669" s="1" t="n">
        <v>45930.35950231482</v>
      </c>
      <c r="C5669" s="1" t="n">
        <v>46075</v>
      </c>
      <c r="D5669" t="inlineStr">
        <is>
          <t>VÄSTERBOTTENS LÄN</t>
        </is>
      </c>
      <c r="E5669" t="inlineStr">
        <is>
          <t>VINDELN</t>
        </is>
      </c>
      <c r="G5669" t="n">
        <v>4.4</v>
      </c>
      <c r="H5669" t="n">
        <v>0</v>
      </c>
      <c r="I5669" t="n">
        <v>0</v>
      </c>
      <c r="J5669" t="n">
        <v>0</v>
      </c>
      <c r="K5669" t="n">
        <v>0</v>
      </c>
      <c r="L5669" t="n">
        <v>0</v>
      </c>
      <c r="M5669" t="n">
        <v>0</v>
      </c>
      <c r="N5669" t="n">
        <v>0</v>
      </c>
      <c r="O5669" t="n">
        <v>0</v>
      </c>
      <c r="P5669" t="n">
        <v>0</v>
      </c>
      <c r="Q5669" t="n">
        <v>0</v>
      </c>
      <c r="R5669" s="2" t="inlineStr"/>
    </row>
    <row r="5670" ht="15" customHeight="1">
      <c r="A5670" t="inlineStr">
        <is>
          <t>A 47459-2025</t>
        </is>
      </c>
      <c r="B5670" s="1" t="n">
        <v>45930.65832175926</v>
      </c>
      <c r="C5670" s="1" t="n">
        <v>46075</v>
      </c>
      <c r="D5670" t="inlineStr">
        <is>
          <t>VÄSTERBOTTENS LÄN</t>
        </is>
      </c>
      <c r="E5670" t="inlineStr">
        <is>
          <t>LYCKSELE</t>
        </is>
      </c>
      <c r="F5670" t="inlineStr">
        <is>
          <t>Sveaskog</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23996-2022</t>
        </is>
      </c>
      <c r="B5671" s="1" t="n">
        <v>44722</v>
      </c>
      <c r="C5671" s="1" t="n">
        <v>46075</v>
      </c>
      <c r="D5671" t="inlineStr">
        <is>
          <t>VÄSTERBOTTENS LÄN</t>
        </is>
      </c>
      <c r="E5671" t="inlineStr">
        <is>
          <t>ÅSELE</t>
        </is>
      </c>
      <c r="F5671" t="inlineStr">
        <is>
          <t>SCA</t>
        </is>
      </c>
      <c r="G5671" t="n">
        <v>5.5</v>
      </c>
      <c r="H5671" t="n">
        <v>0</v>
      </c>
      <c r="I5671" t="n">
        <v>0</v>
      </c>
      <c r="J5671" t="n">
        <v>0</v>
      </c>
      <c r="K5671" t="n">
        <v>0</v>
      </c>
      <c r="L5671" t="n">
        <v>0</v>
      </c>
      <c r="M5671" t="n">
        <v>0</v>
      </c>
      <c r="N5671" t="n">
        <v>0</v>
      </c>
      <c r="O5671" t="n">
        <v>0</v>
      </c>
      <c r="P5671" t="n">
        <v>0</v>
      </c>
      <c r="Q5671" t="n">
        <v>0</v>
      </c>
      <c r="R5671" s="2" t="inlineStr"/>
    </row>
    <row r="5672" ht="15" customHeight="1">
      <c r="A5672" t="inlineStr">
        <is>
          <t>A 36709-2025</t>
        </is>
      </c>
      <c r="B5672" s="1" t="n">
        <v>45873.46443287037</v>
      </c>
      <c r="C5672" s="1" t="n">
        <v>46075</v>
      </c>
      <c r="D5672" t="inlineStr">
        <is>
          <t>VÄSTERBOTTENS LÄN</t>
        </is>
      </c>
      <c r="E5672" t="inlineStr">
        <is>
          <t>LYCKSELE</t>
        </is>
      </c>
      <c r="F5672" t="inlineStr">
        <is>
          <t>Holmen skog AB</t>
        </is>
      </c>
      <c r="G5672" t="n">
        <v>3.9</v>
      </c>
      <c r="H5672" t="n">
        <v>0</v>
      </c>
      <c r="I5672" t="n">
        <v>0</v>
      </c>
      <c r="J5672" t="n">
        <v>0</v>
      </c>
      <c r="K5672" t="n">
        <v>0</v>
      </c>
      <c r="L5672" t="n">
        <v>0</v>
      </c>
      <c r="M5672" t="n">
        <v>0</v>
      </c>
      <c r="N5672" t="n">
        <v>0</v>
      </c>
      <c r="O5672" t="n">
        <v>0</v>
      </c>
      <c r="P5672" t="n">
        <v>0</v>
      </c>
      <c r="Q5672" t="n">
        <v>0</v>
      </c>
      <c r="R5672" s="2" t="inlineStr"/>
    </row>
    <row r="5673" ht="15" customHeight="1">
      <c r="A5673" t="inlineStr">
        <is>
          <t>A 36712-2025</t>
        </is>
      </c>
      <c r="B5673" s="1" t="n">
        <v>45873.46689814814</v>
      </c>
      <c r="C5673" s="1" t="n">
        <v>46075</v>
      </c>
      <c r="D5673" t="inlineStr">
        <is>
          <t>VÄSTERBOTTENS LÄN</t>
        </is>
      </c>
      <c r="E5673" t="inlineStr">
        <is>
          <t>ROBERTSFORS</t>
        </is>
      </c>
      <c r="G5673" t="n">
        <v>10.3</v>
      </c>
      <c r="H5673" t="n">
        <v>0</v>
      </c>
      <c r="I5673" t="n">
        <v>0</v>
      </c>
      <c r="J5673" t="n">
        <v>0</v>
      </c>
      <c r="K5673" t="n">
        <v>0</v>
      </c>
      <c r="L5673" t="n">
        <v>0</v>
      </c>
      <c r="M5673" t="n">
        <v>0</v>
      </c>
      <c r="N5673" t="n">
        <v>0</v>
      </c>
      <c r="O5673" t="n">
        <v>0</v>
      </c>
      <c r="P5673" t="n">
        <v>0</v>
      </c>
      <c r="Q5673" t="n">
        <v>0</v>
      </c>
      <c r="R5673" s="2" t="inlineStr"/>
    </row>
    <row r="5674" ht="15" customHeight="1">
      <c r="A5674" t="inlineStr">
        <is>
          <t>A 47309-2025</t>
        </is>
      </c>
      <c r="B5674" s="1" t="n">
        <v>45930.53519675926</v>
      </c>
      <c r="C5674" s="1" t="n">
        <v>46075</v>
      </c>
      <c r="D5674" t="inlineStr">
        <is>
          <t>VÄSTERBOTTENS LÄN</t>
        </is>
      </c>
      <c r="E5674" t="inlineStr">
        <is>
          <t>SKELLEFTEÅ</t>
        </is>
      </c>
      <c r="G5674" t="n">
        <v>9.699999999999999</v>
      </c>
      <c r="H5674" t="n">
        <v>0</v>
      </c>
      <c r="I5674" t="n">
        <v>0</v>
      </c>
      <c r="J5674" t="n">
        <v>0</v>
      </c>
      <c r="K5674" t="n">
        <v>0</v>
      </c>
      <c r="L5674" t="n">
        <v>0</v>
      </c>
      <c r="M5674" t="n">
        <v>0</v>
      </c>
      <c r="N5674" t="n">
        <v>0</v>
      </c>
      <c r="O5674" t="n">
        <v>0</v>
      </c>
      <c r="P5674" t="n">
        <v>0</v>
      </c>
      <c r="Q5674" t="n">
        <v>0</v>
      </c>
      <c r="R5674" s="2" t="inlineStr"/>
    </row>
    <row r="5675" ht="15" customHeight="1">
      <c r="A5675" t="inlineStr">
        <is>
          <t>A 47456-2025</t>
        </is>
      </c>
      <c r="B5675" s="1" t="n">
        <v>45930.65547453704</v>
      </c>
      <c r="C5675" s="1" t="n">
        <v>46075</v>
      </c>
      <c r="D5675" t="inlineStr">
        <is>
          <t>VÄSTERBOTTENS LÄN</t>
        </is>
      </c>
      <c r="E5675" t="inlineStr">
        <is>
          <t>LYCKSELE</t>
        </is>
      </c>
      <c r="F5675" t="inlineStr">
        <is>
          <t>Sveaskog</t>
        </is>
      </c>
      <c r="G5675" t="n">
        <v>4.3</v>
      </c>
      <c r="H5675" t="n">
        <v>0</v>
      </c>
      <c r="I5675" t="n">
        <v>0</v>
      </c>
      <c r="J5675" t="n">
        <v>0</v>
      </c>
      <c r="K5675" t="n">
        <v>0</v>
      </c>
      <c r="L5675" t="n">
        <v>0</v>
      </c>
      <c r="M5675" t="n">
        <v>0</v>
      </c>
      <c r="N5675" t="n">
        <v>0</v>
      </c>
      <c r="O5675" t="n">
        <v>0</v>
      </c>
      <c r="P5675" t="n">
        <v>0</v>
      </c>
      <c r="Q5675" t="n">
        <v>0</v>
      </c>
      <c r="R5675" s="2" t="inlineStr"/>
    </row>
    <row r="5676" ht="15" customHeight="1">
      <c r="A5676" t="inlineStr">
        <is>
          <t>A 36763-2025</t>
        </is>
      </c>
      <c r="B5676" s="1" t="n">
        <v>45873.5733912037</v>
      </c>
      <c r="C5676" s="1" t="n">
        <v>46075</v>
      </c>
      <c r="D5676" t="inlineStr">
        <is>
          <t>VÄSTERBOTTENS LÄN</t>
        </is>
      </c>
      <c r="E5676" t="inlineStr">
        <is>
          <t>SKELLEFTEÅ</t>
        </is>
      </c>
      <c r="G5676" t="n">
        <v>2</v>
      </c>
      <c r="H5676" t="n">
        <v>0</v>
      </c>
      <c r="I5676" t="n">
        <v>0</v>
      </c>
      <c r="J5676" t="n">
        <v>0</v>
      </c>
      <c r="K5676" t="n">
        <v>0</v>
      </c>
      <c r="L5676" t="n">
        <v>0</v>
      </c>
      <c r="M5676" t="n">
        <v>0</v>
      </c>
      <c r="N5676" t="n">
        <v>0</v>
      </c>
      <c r="O5676" t="n">
        <v>0</v>
      </c>
      <c r="P5676" t="n">
        <v>0</v>
      </c>
      <c r="Q5676" t="n">
        <v>0</v>
      </c>
      <c r="R5676" s="2" t="inlineStr"/>
    </row>
    <row r="5677" ht="15" customHeight="1">
      <c r="A5677" t="inlineStr">
        <is>
          <t>A 1667-2025</t>
        </is>
      </c>
      <c r="B5677" s="1" t="n">
        <v>45670</v>
      </c>
      <c r="C5677" s="1" t="n">
        <v>46075</v>
      </c>
      <c r="D5677" t="inlineStr">
        <is>
          <t>VÄSTERBOTTENS LÄN</t>
        </is>
      </c>
      <c r="E5677" t="inlineStr">
        <is>
          <t>SKELLEFTEÅ</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55736-2025</t>
        </is>
      </c>
      <c r="B5678" s="1" t="n">
        <v>45972</v>
      </c>
      <c r="C5678" s="1" t="n">
        <v>46075</v>
      </c>
      <c r="D5678" t="inlineStr">
        <is>
          <t>VÄSTERBOTTENS LÄN</t>
        </is>
      </c>
      <c r="E5678" t="inlineStr">
        <is>
          <t>VILHELMINA</t>
        </is>
      </c>
      <c r="G5678" t="n">
        <v>22.9</v>
      </c>
      <c r="H5678" t="n">
        <v>0</v>
      </c>
      <c r="I5678" t="n">
        <v>0</v>
      </c>
      <c r="J5678" t="n">
        <v>0</v>
      </c>
      <c r="K5678" t="n">
        <v>0</v>
      </c>
      <c r="L5678" t="n">
        <v>0</v>
      </c>
      <c r="M5678" t="n">
        <v>0</v>
      </c>
      <c r="N5678" t="n">
        <v>0</v>
      </c>
      <c r="O5678" t="n">
        <v>0</v>
      </c>
      <c r="P5678" t="n">
        <v>0</v>
      </c>
      <c r="Q5678" t="n">
        <v>0</v>
      </c>
      <c r="R5678" s="2" t="inlineStr"/>
    </row>
    <row r="5679" ht="15" customHeight="1">
      <c r="A5679" t="inlineStr">
        <is>
          <t>A 47700-2025</t>
        </is>
      </c>
      <c r="B5679" s="1" t="n">
        <v>45931</v>
      </c>
      <c r="C5679" s="1" t="n">
        <v>46075</v>
      </c>
      <c r="D5679" t="inlineStr">
        <is>
          <t>VÄSTERBOTTENS LÄN</t>
        </is>
      </c>
      <c r="E5679" t="inlineStr">
        <is>
          <t>LYCKSELE</t>
        </is>
      </c>
      <c r="G5679" t="n">
        <v>5.6</v>
      </c>
      <c r="H5679" t="n">
        <v>0</v>
      </c>
      <c r="I5679" t="n">
        <v>0</v>
      </c>
      <c r="J5679" t="n">
        <v>0</v>
      </c>
      <c r="K5679" t="n">
        <v>0</v>
      </c>
      <c r="L5679" t="n">
        <v>0</v>
      </c>
      <c r="M5679" t="n">
        <v>0</v>
      </c>
      <c r="N5679" t="n">
        <v>0</v>
      </c>
      <c r="O5679" t="n">
        <v>0</v>
      </c>
      <c r="P5679" t="n">
        <v>0</v>
      </c>
      <c r="Q5679" t="n">
        <v>0</v>
      </c>
      <c r="R5679" s="2" t="inlineStr"/>
    </row>
    <row r="5680" ht="15" customHeight="1">
      <c r="A5680" t="inlineStr">
        <is>
          <t>A 47246-2025</t>
        </is>
      </c>
      <c r="B5680" s="1" t="n">
        <v>45930.42961805555</v>
      </c>
      <c r="C5680" s="1" t="n">
        <v>46075</v>
      </c>
      <c r="D5680" t="inlineStr">
        <is>
          <t>VÄSTERBOTTENS LÄN</t>
        </is>
      </c>
      <c r="E5680" t="inlineStr">
        <is>
          <t>SKELLEFTEÅ</t>
        </is>
      </c>
      <c r="G5680" t="n">
        <v>3.2</v>
      </c>
      <c r="H5680" t="n">
        <v>0</v>
      </c>
      <c r="I5680" t="n">
        <v>0</v>
      </c>
      <c r="J5680" t="n">
        <v>0</v>
      </c>
      <c r="K5680" t="n">
        <v>0</v>
      </c>
      <c r="L5680" t="n">
        <v>0</v>
      </c>
      <c r="M5680" t="n">
        <v>0</v>
      </c>
      <c r="N5680" t="n">
        <v>0</v>
      </c>
      <c r="O5680" t="n">
        <v>0</v>
      </c>
      <c r="P5680" t="n">
        <v>0</v>
      </c>
      <c r="Q5680" t="n">
        <v>0</v>
      </c>
      <c r="R5680" s="2" t="inlineStr"/>
    </row>
    <row r="5681" ht="15" customHeight="1">
      <c r="A5681" t="inlineStr">
        <is>
          <t>A 36651-2025</t>
        </is>
      </c>
      <c r="B5681" s="1" t="n">
        <v>45872.63649305556</v>
      </c>
      <c r="C5681" s="1" t="n">
        <v>46075</v>
      </c>
      <c r="D5681" t="inlineStr">
        <is>
          <t>VÄSTERBOTTENS LÄN</t>
        </is>
      </c>
      <c r="E5681" t="inlineStr">
        <is>
          <t>ROBERTSFORS</t>
        </is>
      </c>
      <c r="G5681" t="n">
        <v>14.4</v>
      </c>
      <c r="H5681" t="n">
        <v>0</v>
      </c>
      <c r="I5681" t="n">
        <v>0</v>
      </c>
      <c r="J5681" t="n">
        <v>0</v>
      </c>
      <c r="K5681" t="n">
        <v>0</v>
      </c>
      <c r="L5681" t="n">
        <v>0</v>
      </c>
      <c r="M5681" t="n">
        <v>0</v>
      </c>
      <c r="N5681" t="n">
        <v>0</v>
      </c>
      <c r="O5681" t="n">
        <v>0</v>
      </c>
      <c r="P5681" t="n">
        <v>0</v>
      </c>
      <c r="Q5681" t="n">
        <v>0</v>
      </c>
      <c r="R5681" s="2" t="inlineStr"/>
    </row>
    <row r="5682" ht="15" customHeight="1">
      <c r="A5682" t="inlineStr">
        <is>
          <t>A 11078-2024</t>
        </is>
      </c>
      <c r="B5682" s="1" t="n">
        <v>45370</v>
      </c>
      <c r="C5682" s="1" t="n">
        <v>46075</v>
      </c>
      <c r="D5682" t="inlineStr">
        <is>
          <t>VÄSTERBOTTENS LÄN</t>
        </is>
      </c>
      <c r="E5682" t="inlineStr">
        <is>
          <t>SKELLEFTEÅ</t>
        </is>
      </c>
      <c r="G5682" t="n">
        <v>9.1</v>
      </c>
      <c r="H5682" t="n">
        <v>0</v>
      </c>
      <c r="I5682" t="n">
        <v>0</v>
      </c>
      <c r="J5682" t="n">
        <v>0</v>
      </c>
      <c r="K5682" t="n">
        <v>0</v>
      </c>
      <c r="L5682" t="n">
        <v>0</v>
      </c>
      <c r="M5682" t="n">
        <v>0</v>
      </c>
      <c r="N5682" t="n">
        <v>0</v>
      </c>
      <c r="O5682" t="n">
        <v>0</v>
      </c>
      <c r="P5682" t="n">
        <v>0</v>
      </c>
      <c r="Q5682" t="n">
        <v>0</v>
      </c>
      <c r="R5682" s="2" t="inlineStr"/>
    </row>
    <row r="5683" ht="15" customHeight="1">
      <c r="A5683" t="inlineStr">
        <is>
          <t>A 47341-2025</t>
        </is>
      </c>
      <c r="B5683" s="1" t="n">
        <v>45930.56827546296</v>
      </c>
      <c r="C5683" s="1" t="n">
        <v>46075</v>
      </c>
      <c r="D5683" t="inlineStr">
        <is>
          <t>VÄSTERBOTTENS LÄN</t>
        </is>
      </c>
      <c r="E5683" t="inlineStr">
        <is>
          <t>ÅSELE</t>
        </is>
      </c>
      <c r="F5683" t="inlineStr">
        <is>
          <t>Holmen skog AB</t>
        </is>
      </c>
      <c r="G5683" t="n">
        <v>5.3</v>
      </c>
      <c r="H5683" t="n">
        <v>0</v>
      </c>
      <c r="I5683" t="n">
        <v>0</v>
      </c>
      <c r="J5683" t="n">
        <v>0</v>
      </c>
      <c r="K5683" t="n">
        <v>0</v>
      </c>
      <c r="L5683" t="n">
        <v>0</v>
      </c>
      <c r="M5683" t="n">
        <v>0</v>
      </c>
      <c r="N5683" t="n">
        <v>0</v>
      </c>
      <c r="O5683" t="n">
        <v>0</v>
      </c>
      <c r="P5683" t="n">
        <v>0</v>
      </c>
      <c r="Q5683" t="n">
        <v>0</v>
      </c>
      <c r="R5683" s="2" t="inlineStr"/>
    </row>
    <row r="5684" ht="15" customHeight="1">
      <c r="A5684" t="inlineStr">
        <is>
          <t>A 47667-2025</t>
        </is>
      </c>
      <c r="B5684" s="1" t="n">
        <v>45931</v>
      </c>
      <c r="C5684" s="1" t="n">
        <v>46075</v>
      </c>
      <c r="D5684" t="inlineStr">
        <is>
          <t>VÄSTERBOTTENS LÄN</t>
        </is>
      </c>
      <c r="E5684" t="inlineStr">
        <is>
          <t>SKELLEFTEÅ</t>
        </is>
      </c>
      <c r="G5684" t="n">
        <v>3.7</v>
      </c>
      <c r="H5684" t="n">
        <v>0</v>
      </c>
      <c r="I5684" t="n">
        <v>0</v>
      </c>
      <c r="J5684" t="n">
        <v>0</v>
      </c>
      <c r="K5684" t="n">
        <v>0</v>
      </c>
      <c r="L5684" t="n">
        <v>0</v>
      </c>
      <c r="M5684" t="n">
        <v>0</v>
      </c>
      <c r="N5684" t="n">
        <v>0</v>
      </c>
      <c r="O5684" t="n">
        <v>0</v>
      </c>
      <c r="P5684" t="n">
        <v>0</v>
      </c>
      <c r="Q5684" t="n">
        <v>0</v>
      </c>
      <c r="R5684" s="2" t="inlineStr"/>
    </row>
    <row r="5685" ht="15" customHeight="1">
      <c r="A5685" t="inlineStr">
        <is>
          <t>A 23604-2023</t>
        </is>
      </c>
      <c r="B5685" s="1" t="n">
        <v>45077.45833333334</v>
      </c>
      <c r="C5685" s="1" t="n">
        <v>46075</v>
      </c>
      <c r="D5685" t="inlineStr">
        <is>
          <t>VÄSTERBOTTENS LÄN</t>
        </is>
      </c>
      <c r="E5685" t="inlineStr">
        <is>
          <t>ÅSELE</t>
        </is>
      </c>
      <c r="F5685" t="inlineStr">
        <is>
          <t>Holmen skog AB</t>
        </is>
      </c>
      <c r="G5685" t="n">
        <v>5.8</v>
      </c>
      <c r="H5685" t="n">
        <v>0</v>
      </c>
      <c r="I5685" t="n">
        <v>0</v>
      </c>
      <c r="J5685" t="n">
        <v>0</v>
      </c>
      <c r="K5685" t="n">
        <v>0</v>
      </c>
      <c r="L5685" t="n">
        <v>0</v>
      </c>
      <c r="M5685" t="n">
        <v>0</v>
      </c>
      <c r="N5685" t="n">
        <v>0</v>
      </c>
      <c r="O5685" t="n">
        <v>0</v>
      </c>
      <c r="P5685" t="n">
        <v>0</v>
      </c>
      <c r="Q5685" t="n">
        <v>0</v>
      </c>
      <c r="R5685" s="2" t="inlineStr"/>
    </row>
    <row r="5686" ht="15" customHeight="1">
      <c r="A5686" t="inlineStr">
        <is>
          <t>A 13202-2022</t>
        </is>
      </c>
      <c r="B5686" s="1" t="n">
        <v>44644.54197916666</v>
      </c>
      <c r="C5686" s="1" t="n">
        <v>46075</v>
      </c>
      <c r="D5686" t="inlineStr">
        <is>
          <t>VÄSTERBOTTENS LÄN</t>
        </is>
      </c>
      <c r="E5686" t="inlineStr">
        <is>
          <t>VINDELN</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57898-2021</t>
        </is>
      </c>
      <c r="B5687" s="1" t="n">
        <v>44486.67993055555</v>
      </c>
      <c r="C5687" s="1" t="n">
        <v>46075</v>
      </c>
      <c r="D5687" t="inlineStr">
        <is>
          <t>VÄSTERBOTTENS LÄN</t>
        </is>
      </c>
      <c r="E5687" t="inlineStr">
        <is>
          <t>LYCKSELE</t>
        </is>
      </c>
      <c r="G5687" t="n">
        <v>14.7</v>
      </c>
      <c r="H5687" t="n">
        <v>0</v>
      </c>
      <c r="I5687" t="n">
        <v>0</v>
      </c>
      <c r="J5687" t="n">
        <v>0</v>
      </c>
      <c r="K5687" t="n">
        <v>0</v>
      </c>
      <c r="L5687" t="n">
        <v>0</v>
      </c>
      <c r="M5687" t="n">
        <v>0</v>
      </c>
      <c r="N5687" t="n">
        <v>0</v>
      </c>
      <c r="O5687" t="n">
        <v>0</v>
      </c>
      <c r="P5687" t="n">
        <v>0</v>
      </c>
      <c r="Q5687" t="n">
        <v>0</v>
      </c>
      <c r="R5687" s="2" t="inlineStr"/>
    </row>
    <row r="5688" ht="15" customHeight="1">
      <c r="A5688" t="inlineStr">
        <is>
          <t>A 36837-2025</t>
        </is>
      </c>
      <c r="B5688" s="1" t="n">
        <v>45874.36677083333</v>
      </c>
      <c r="C5688" s="1" t="n">
        <v>46075</v>
      </c>
      <c r="D5688" t="inlineStr">
        <is>
          <t>VÄSTERBOTTENS LÄN</t>
        </is>
      </c>
      <c r="E5688" t="inlineStr">
        <is>
          <t>ÅSELE</t>
        </is>
      </c>
      <c r="G5688" t="n">
        <v>8.4</v>
      </c>
      <c r="H5688" t="n">
        <v>0</v>
      </c>
      <c r="I5688" t="n">
        <v>0</v>
      </c>
      <c r="J5688" t="n">
        <v>0</v>
      </c>
      <c r="K5688" t="n">
        <v>0</v>
      </c>
      <c r="L5688" t="n">
        <v>0</v>
      </c>
      <c r="M5688" t="n">
        <v>0</v>
      </c>
      <c r="N5688" t="n">
        <v>0</v>
      </c>
      <c r="O5688" t="n">
        <v>0</v>
      </c>
      <c r="P5688" t="n">
        <v>0</v>
      </c>
      <c r="Q5688" t="n">
        <v>0</v>
      </c>
      <c r="R5688" s="2" t="inlineStr"/>
    </row>
    <row r="5689" ht="15" customHeight="1">
      <c r="A5689" t="inlineStr">
        <is>
          <t>A 36871-2025</t>
        </is>
      </c>
      <c r="B5689" s="1" t="n">
        <v>45874.42888888889</v>
      </c>
      <c r="C5689" s="1" t="n">
        <v>46075</v>
      </c>
      <c r="D5689" t="inlineStr">
        <is>
          <t>VÄSTERBOTTENS LÄN</t>
        </is>
      </c>
      <c r="E5689" t="inlineStr">
        <is>
          <t>DOROTEA</t>
        </is>
      </c>
      <c r="F5689" t="inlineStr">
        <is>
          <t>SCA</t>
        </is>
      </c>
      <c r="G5689" t="n">
        <v>7.3</v>
      </c>
      <c r="H5689" t="n">
        <v>0</v>
      </c>
      <c r="I5689" t="n">
        <v>0</v>
      </c>
      <c r="J5689" t="n">
        <v>0</v>
      </c>
      <c r="K5689" t="n">
        <v>0</v>
      </c>
      <c r="L5689" t="n">
        <v>0</v>
      </c>
      <c r="M5689" t="n">
        <v>0</v>
      </c>
      <c r="N5689" t="n">
        <v>0</v>
      </c>
      <c r="O5689" t="n">
        <v>0</v>
      </c>
      <c r="P5689" t="n">
        <v>0</v>
      </c>
      <c r="Q5689" t="n">
        <v>0</v>
      </c>
      <c r="R5689" s="2" t="inlineStr"/>
    </row>
    <row r="5690" ht="15" customHeight="1">
      <c r="A5690" t="inlineStr">
        <is>
          <t>A 36888-2025</t>
        </is>
      </c>
      <c r="B5690" s="1" t="n">
        <v>45874.44873842593</v>
      </c>
      <c r="C5690" s="1" t="n">
        <v>46075</v>
      </c>
      <c r="D5690" t="inlineStr">
        <is>
          <t>VÄSTERBOTTENS LÄN</t>
        </is>
      </c>
      <c r="E5690" t="inlineStr">
        <is>
          <t>SKELLEFTEÅ</t>
        </is>
      </c>
      <c r="F5690" t="inlineStr">
        <is>
          <t>Holmen skog AB</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40036-2025</t>
        </is>
      </c>
      <c r="B5691" s="1" t="n">
        <v>45894</v>
      </c>
      <c r="C5691" s="1" t="n">
        <v>46075</v>
      </c>
      <c r="D5691" t="inlineStr">
        <is>
          <t>VÄSTERBOTTENS LÄN</t>
        </is>
      </c>
      <c r="E5691" t="inlineStr">
        <is>
          <t>SKELLEFTEÅ</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36952-2025</t>
        </is>
      </c>
      <c r="B5692" s="1" t="n">
        <v>45874.6078587963</v>
      </c>
      <c r="C5692" s="1" t="n">
        <v>46075</v>
      </c>
      <c r="D5692" t="inlineStr">
        <is>
          <t>VÄSTERBOTTENS LÄN</t>
        </is>
      </c>
      <c r="E5692" t="inlineStr">
        <is>
          <t>ÅSELE</t>
        </is>
      </c>
      <c r="G5692" t="n">
        <v>10.6</v>
      </c>
      <c r="H5692" t="n">
        <v>0</v>
      </c>
      <c r="I5692" t="n">
        <v>0</v>
      </c>
      <c r="J5692" t="n">
        <v>0</v>
      </c>
      <c r="K5692" t="n">
        <v>0</v>
      </c>
      <c r="L5692" t="n">
        <v>0</v>
      </c>
      <c r="M5692" t="n">
        <v>0</v>
      </c>
      <c r="N5692" t="n">
        <v>0</v>
      </c>
      <c r="O5692" t="n">
        <v>0</v>
      </c>
      <c r="P5692" t="n">
        <v>0</v>
      </c>
      <c r="Q5692" t="n">
        <v>0</v>
      </c>
      <c r="R5692" s="2" t="inlineStr"/>
    </row>
    <row r="5693" ht="15" customHeight="1">
      <c r="A5693" t="inlineStr">
        <is>
          <t>A 900-2023</t>
        </is>
      </c>
      <c r="B5693" s="1" t="n">
        <v>44931.9255324074</v>
      </c>
      <c r="C5693" s="1" t="n">
        <v>46075</v>
      </c>
      <c r="D5693" t="inlineStr">
        <is>
          <t>VÄSTERBOTTENS LÄN</t>
        </is>
      </c>
      <c r="E5693" t="inlineStr">
        <is>
          <t>SKELLEFTEÅ</t>
        </is>
      </c>
      <c r="G5693" t="n">
        <v>6.8</v>
      </c>
      <c r="H5693" t="n">
        <v>0</v>
      </c>
      <c r="I5693" t="n">
        <v>0</v>
      </c>
      <c r="J5693" t="n">
        <v>0</v>
      </c>
      <c r="K5693" t="n">
        <v>0</v>
      </c>
      <c r="L5693" t="n">
        <v>0</v>
      </c>
      <c r="M5693" t="n">
        <v>0</v>
      </c>
      <c r="N5693" t="n">
        <v>0</v>
      </c>
      <c r="O5693" t="n">
        <v>0</v>
      </c>
      <c r="P5693" t="n">
        <v>0</v>
      </c>
      <c r="Q5693" t="n">
        <v>0</v>
      </c>
      <c r="R5693" s="2" t="inlineStr"/>
    </row>
    <row r="5694" ht="15" customHeight="1">
      <c r="A5694" t="inlineStr">
        <is>
          <t>A 936-2023</t>
        </is>
      </c>
      <c r="B5694" s="1" t="n">
        <v>44933</v>
      </c>
      <c r="C5694" s="1" t="n">
        <v>46075</v>
      </c>
      <c r="D5694" t="inlineStr">
        <is>
          <t>VÄSTERBOTTENS LÄN</t>
        </is>
      </c>
      <c r="E5694" t="inlineStr">
        <is>
          <t>LYCKSELE</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36845-2025</t>
        </is>
      </c>
      <c r="B5695" s="1" t="n">
        <v>45874.38578703703</v>
      </c>
      <c r="C5695" s="1" t="n">
        <v>46075</v>
      </c>
      <c r="D5695" t="inlineStr">
        <is>
          <t>VÄSTERBOTTENS LÄN</t>
        </is>
      </c>
      <c r="E5695" t="inlineStr">
        <is>
          <t>DOROTEA</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53311-2023</t>
        </is>
      </c>
      <c r="B5696" s="1" t="n">
        <v>45229.59980324074</v>
      </c>
      <c r="C5696" s="1" t="n">
        <v>46075</v>
      </c>
      <c r="D5696" t="inlineStr">
        <is>
          <t>VÄSTERBOTTENS LÄN</t>
        </is>
      </c>
      <c r="E5696" t="inlineStr">
        <is>
          <t>SKELLEFTEÅ</t>
        </is>
      </c>
      <c r="F5696" t="inlineStr">
        <is>
          <t>Holmen skog AB</t>
        </is>
      </c>
      <c r="G5696" t="n">
        <v>9.800000000000001</v>
      </c>
      <c r="H5696" t="n">
        <v>0</v>
      </c>
      <c r="I5696" t="n">
        <v>0</v>
      </c>
      <c r="J5696" t="n">
        <v>0</v>
      </c>
      <c r="K5696" t="n">
        <v>0</v>
      </c>
      <c r="L5696" t="n">
        <v>0</v>
      </c>
      <c r="M5696" t="n">
        <v>0</v>
      </c>
      <c r="N5696" t="n">
        <v>0</v>
      </c>
      <c r="O5696" t="n">
        <v>0</v>
      </c>
      <c r="P5696" t="n">
        <v>0</v>
      </c>
      <c r="Q5696" t="n">
        <v>0</v>
      </c>
      <c r="R5696" s="2" t="inlineStr"/>
    </row>
    <row r="5697" ht="15" customHeight="1">
      <c r="A5697" t="inlineStr">
        <is>
          <t>A 37007-2025</t>
        </is>
      </c>
      <c r="B5697" s="1" t="n">
        <v>45874.69827546296</v>
      </c>
      <c r="C5697" s="1" t="n">
        <v>46075</v>
      </c>
      <c r="D5697" t="inlineStr">
        <is>
          <t>VÄSTERBOTTENS LÄN</t>
        </is>
      </c>
      <c r="E5697" t="inlineStr">
        <is>
          <t>BJURHOLM</t>
        </is>
      </c>
      <c r="F5697" t="inlineStr">
        <is>
          <t>SCA</t>
        </is>
      </c>
      <c r="G5697" t="n">
        <v>2.7</v>
      </c>
      <c r="H5697" t="n">
        <v>0</v>
      </c>
      <c r="I5697" t="n">
        <v>0</v>
      </c>
      <c r="J5697" t="n">
        <v>0</v>
      </c>
      <c r="K5697" t="n">
        <v>0</v>
      </c>
      <c r="L5697" t="n">
        <v>0</v>
      </c>
      <c r="M5697" t="n">
        <v>0</v>
      </c>
      <c r="N5697" t="n">
        <v>0</v>
      </c>
      <c r="O5697" t="n">
        <v>0</v>
      </c>
      <c r="P5697" t="n">
        <v>0</v>
      </c>
      <c r="Q5697" t="n">
        <v>0</v>
      </c>
      <c r="R5697" s="2" t="inlineStr"/>
    </row>
    <row r="5698" ht="15" customHeight="1">
      <c r="A5698" t="inlineStr">
        <is>
          <t>A 8759-2025</t>
        </is>
      </c>
      <c r="B5698" s="1" t="n">
        <v>45712.57372685185</v>
      </c>
      <c r="C5698" s="1" t="n">
        <v>46075</v>
      </c>
      <c r="D5698" t="inlineStr">
        <is>
          <t>VÄSTERBOTTENS LÄN</t>
        </is>
      </c>
      <c r="E5698" t="inlineStr">
        <is>
          <t>NORDMALING</t>
        </is>
      </c>
      <c r="G5698" t="n">
        <v>11.1</v>
      </c>
      <c r="H5698" t="n">
        <v>0</v>
      </c>
      <c r="I5698" t="n">
        <v>0</v>
      </c>
      <c r="J5698" t="n">
        <v>0</v>
      </c>
      <c r="K5698" t="n">
        <v>0</v>
      </c>
      <c r="L5698" t="n">
        <v>0</v>
      </c>
      <c r="M5698" t="n">
        <v>0</v>
      </c>
      <c r="N5698" t="n">
        <v>0</v>
      </c>
      <c r="O5698" t="n">
        <v>0</v>
      </c>
      <c r="P5698" t="n">
        <v>0</v>
      </c>
      <c r="Q5698" t="n">
        <v>0</v>
      </c>
      <c r="R5698" s="2" t="inlineStr"/>
    </row>
    <row r="5699" ht="15" customHeight="1">
      <c r="A5699" t="inlineStr">
        <is>
          <t>A 37020-2025</t>
        </is>
      </c>
      <c r="B5699" s="1" t="n">
        <v>45874</v>
      </c>
      <c r="C5699" s="1" t="n">
        <v>46075</v>
      </c>
      <c r="D5699" t="inlineStr">
        <is>
          <t>VÄSTERBOTTENS LÄN</t>
        </is>
      </c>
      <c r="E5699" t="inlineStr">
        <is>
          <t>STORUMAN</t>
        </is>
      </c>
      <c r="G5699" t="n">
        <v>13.3</v>
      </c>
      <c r="H5699" t="n">
        <v>0</v>
      </c>
      <c r="I5699" t="n">
        <v>0</v>
      </c>
      <c r="J5699" t="n">
        <v>0</v>
      </c>
      <c r="K5699" t="n">
        <v>0</v>
      </c>
      <c r="L5699" t="n">
        <v>0</v>
      </c>
      <c r="M5699" t="n">
        <v>0</v>
      </c>
      <c r="N5699" t="n">
        <v>0</v>
      </c>
      <c r="O5699" t="n">
        <v>0</v>
      </c>
      <c r="P5699" t="n">
        <v>0</v>
      </c>
      <c r="Q5699" t="n">
        <v>0</v>
      </c>
      <c r="R5699" s="2" t="inlineStr"/>
    </row>
    <row r="5700" ht="15" customHeight="1">
      <c r="A5700" t="inlineStr">
        <is>
          <t>A 36832-2025</t>
        </is>
      </c>
      <c r="B5700" s="1" t="n">
        <v>45874.34928240741</v>
      </c>
      <c r="C5700" s="1" t="n">
        <v>46075</v>
      </c>
      <c r="D5700" t="inlineStr">
        <is>
          <t>VÄSTERBOTTENS LÄN</t>
        </is>
      </c>
      <c r="E5700" t="inlineStr">
        <is>
          <t>NORDMALING</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47433-2025</t>
        </is>
      </c>
      <c r="B5701" s="1" t="n">
        <v>45930.63641203703</v>
      </c>
      <c r="C5701" s="1" t="n">
        <v>46075</v>
      </c>
      <c r="D5701" t="inlineStr">
        <is>
          <t>VÄSTERBOTTENS LÄN</t>
        </is>
      </c>
      <c r="E5701" t="inlineStr">
        <is>
          <t>ÅSELE</t>
        </is>
      </c>
      <c r="F5701" t="inlineStr">
        <is>
          <t>SCA</t>
        </is>
      </c>
      <c r="G5701" t="n">
        <v>10</v>
      </c>
      <c r="H5701" t="n">
        <v>0</v>
      </c>
      <c r="I5701" t="n">
        <v>0</v>
      </c>
      <c r="J5701" t="n">
        <v>0</v>
      </c>
      <c r="K5701" t="n">
        <v>0</v>
      </c>
      <c r="L5701" t="n">
        <v>0</v>
      </c>
      <c r="M5701" t="n">
        <v>0</v>
      </c>
      <c r="N5701" t="n">
        <v>0</v>
      </c>
      <c r="O5701" t="n">
        <v>0</v>
      </c>
      <c r="P5701" t="n">
        <v>0</v>
      </c>
      <c r="Q5701" t="n">
        <v>0</v>
      </c>
      <c r="R5701" s="2" t="inlineStr"/>
    </row>
    <row r="5702" ht="15" customHeight="1">
      <c r="A5702" t="inlineStr">
        <is>
          <t>A 36951-2025</t>
        </is>
      </c>
      <c r="B5702" s="1" t="n">
        <v>45874.60371527778</v>
      </c>
      <c r="C5702" s="1" t="n">
        <v>46075</v>
      </c>
      <c r="D5702" t="inlineStr">
        <is>
          <t>VÄSTERBOTTENS LÄN</t>
        </is>
      </c>
      <c r="E5702" t="inlineStr">
        <is>
          <t>STORUMAN</t>
        </is>
      </c>
      <c r="G5702" t="n">
        <v>6.5</v>
      </c>
      <c r="H5702" t="n">
        <v>0</v>
      </c>
      <c r="I5702" t="n">
        <v>0</v>
      </c>
      <c r="J5702" t="n">
        <v>0</v>
      </c>
      <c r="K5702" t="n">
        <v>0</v>
      </c>
      <c r="L5702" t="n">
        <v>0</v>
      </c>
      <c r="M5702" t="n">
        <v>0</v>
      </c>
      <c r="N5702" t="n">
        <v>0</v>
      </c>
      <c r="O5702" t="n">
        <v>0</v>
      </c>
      <c r="P5702" t="n">
        <v>0</v>
      </c>
      <c r="Q5702" t="n">
        <v>0</v>
      </c>
      <c r="R5702" s="2" t="inlineStr"/>
    </row>
    <row r="5703" ht="15" customHeight="1">
      <c r="A5703" t="inlineStr">
        <is>
          <t>A 36954-2025</t>
        </is>
      </c>
      <c r="B5703" s="1" t="n">
        <v>45874.61121527778</v>
      </c>
      <c r="C5703" s="1" t="n">
        <v>46075</v>
      </c>
      <c r="D5703" t="inlineStr">
        <is>
          <t>VÄSTERBOTTENS LÄN</t>
        </is>
      </c>
      <c r="E5703" t="inlineStr">
        <is>
          <t>SKELLEFTEÅ</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36955-2025</t>
        </is>
      </c>
      <c r="B5704" s="1" t="n">
        <v>45874.61203703703</v>
      </c>
      <c r="C5704" s="1" t="n">
        <v>46075</v>
      </c>
      <c r="D5704" t="inlineStr">
        <is>
          <t>VÄSTERBOTTENS LÄN</t>
        </is>
      </c>
      <c r="E5704" t="inlineStr">
        <is>
          <t>ÅSELE</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36984-2025</t>
        </is>
      </c>
      <c r="B5705" s="1" t="n">
        <v>45874.64811342592</v>
      </c>
      <c r="C5705" s="1" t="n">
        <v>46075</v>
      </c>
      <c r="D5705" t="inlineStr">
        <is>
          <t>VÄSTERBOTTENS LÄN</t>
        </is>
      </c>
      <c r="E5705" t="inlineStr">
        <is>
          <t>DOROTEA</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47191-2025</t>
        </is>
      </c>
      <c r="B5706" s="1" t="n">
        <v>45930.34041666667</v>
      </c>
      <c r="C5706" s="1" t="n">
        <v>46075</v>
      </c>
      <c r="D5706" t="inlineStr">
        <is>
          <t>VÄSTERBOTTENS LÄN</t>
        </is>
      </c>
      <c r="E5706" t="inlineStr">
        <is>
          <t>NORDMALING</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47254-2025</t>
        </is>
      </c>
      <c r="B5707" s="1" t="n">
        <v>45930.44105324074</v>
      </c>
      <c r="C5707" s="1" t="n">
        <v>46075</v>
      </c>
      <c r="D5707" t="inlineStr">
        <is>
          <t>VÄSTERBOTTENS LÄN</t>
        </is>
      </c>
      <c r="E5707" t="inlineStr">
        <is>
          <t>NORSJÖ</t>
        </is>
      </c>
      <c r="F5707" t="inlineStr">
        <is>
          <t>Sveaskog</t>
        </is>
      </c>
      <c r="G5707" t="n">
        <v>7</v>
      </c>
      <c r="H5707" t="n">
        <v>0</v>
      </c>
      <c r="I5707" t="n">
        <v>0</v>
      </c>
      <c r="J5707" t="n">
        <v>0</v>
      </c>
      <c r="K5707" t="n">
        <v>0</v>
      </c>
      <c r="L5707" t="n">
        <v>0</v>
      </c>
      <c r="M5707" t="n">
        <v>0</v>
      </c>
      <c r="N5707" t="n">
        <v>0</v>
      </c>
      <c r="O5707" t="n">
        <v>0</v>
      </c>
      <c r="P5707" t="n">
        <v>0</v>
      </c>
      <c r="Q5707" t="n">
        <v>0</v>
      </c>
      <c r="R5707" s="2" t="inlineStr"/>
    </row>
    <row r="5708" ht="15" customHeight="1">
      <c r="A5708" t="inlineStr">
        <is>
          <t>A 22036-2023</t>
        </is>
      </c>
      <c r="B5708" s="1" t="n">
        <v>45069.37450231481</v>
      </c>
      <c r="C5708" s="1" t="n">
        <v>46075</v>
      </c>
      <c r="D5708" t="inlineStr">
        <is>
          <t>VÄSTERBOTTENS LÄN</t>
        </is>
      </c>
      <c r="E5708" t="inlineStr">
        <is>
          <t>BJURHOLM</t>
        </is>
      </c>
      <c r="F5708" t="inlineStr">
        <is>
          <t>Holmen skog AB</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22093-2023</t>
        </is>
      </c>
      <c r="B5709" s="1" t="n">
        <v>45068</v>
      </c>
      <c r="C5709" s="1" t="n">
        <v>46075</v>
      </c>
      <c r="D5709" t="inlineStr">
        <is>
          <t>VÄSTERBOTTENS LÄN</t>
        </is>
      </c>
      <c r="E5709" t="inlineStr">
        <is>
          <t>ÅSELE</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37039-2025</t>
        </is>
      </c>
      <c r="B5710" s="1" t="n">
        <v>45875.32471064815</v>
      </c>
      <c r="C5710" s="1" t="n">
        <v>46075</v>
      </c>
      <c r="D5710" t="inlineStr">
        <is>
          <t>VÄSTERBOTTENS LÄN</t>
        </is>
      </c>
      <c r="E5710" t="inlineStr">
        <is>
          <t>UMEÅ</t>
        </is>
      </c>
      <c r="F5710" t="inlineStr">
        <is>
          <t>Holmen skog AB</t>
        </is>
      </c>
      <c r="G5710" t="n">
        <v>4.8</v>
      </c>
      <c r="H5710" t="n">
        <v>0</v>
      </c>
      <c r="I5710" t="n">
        <v>0</v>
      </c>
      <c r="J5710" t="n">
        <v>0</v>
      </c>
      <c r="K5710" t="n">
        <v>0</v>
      </c>
      <c r="L5710" t="n">
        <v>0</v>
      </c>
      <c r="M5710" t="n">
        <v>0</v>
      </c>
      <c r="N5710" t="n">
        <v>0</v>
      </c>
      <c r="O5710" t="n">
        <v>0</v>
      </c>
      <c r="P5710" t="n">
        <v>0</v>
      </c>
      <c r="Q5710" t="n">
        <v>0</v>
      </c>
      <c r="R5710" s="2" t="inlineStr"/>
    </row>
    <row r="5711" ht="15" customHeight="1">
      <c r="A5711" t="inlineStr">
        <is>
          <t>A 5902-2024</t>
        </is>
      </c>
      <c r="B5711" s="1" t="n">
        <v>45335</v>
      </c>
      <c r="C5711" s="1" t="n">
        <v>46075</v>
      </c>
      <c r="D5711" t="inlineStr">
        <is>
          <t>VÄSTERBOTTENS LÄN</t>
        </is>
      </c>
      <c r="E5711" t="inlineStr">
        <is>
          <t>ROBERTSFORS</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37119-2025</t>
        </is>
      </c>
      <c r="B5712" s="1" t="n">
        <v>45875</v>
      </c>
      <c r="C5712" s="1" t="n">
        <v>46075</v>
      </c>
      <c r="D5712" t="inlineStr">
        <is>
          <t>VÄSTERBOTTENS LÄN</t>
        </is>
      </c>
      <c r="E5712" t="inlineStr">
        <is>
          <t>MALÅ</t>
        </is>
      </c>
      <c r="G5712" t="n">
        <v>5.9</v>
      </c>
      <c r="H5712" t="n">
        <v>0</v>
      </c>
      <c r="I5712" t="n">
        <v>0</v>
      </c>
      <c r="J5712" t="n">
        <v>0</v>
      </c>
      <c r="K5712" t="n">
        <v>0</v>
      </c>
      <c r="L5712" t="n">
        <v>0</v>
      </c>
      <c r="M5712" t="n">
        <v>0</v>
      </c>
      <c r="N5712" t="n">
        <v>0</v>
      </c>
      <c r="O5712" t="n">
        <v>0</v>
      </c>
      <c r="P5712" t="n">
        <v>0</v>
      </c>
      <c r="Q5712" t="n">
        <v>0</v>
      </c>
      <c r="R5712" s="2" t="inlineStr"/>
    </row>
    <row r="5713" ht="15" customHeight="1">
      <c r="A5713" t="inlineStr">
        <is>
          <t>A 47660-2025</t>
        </is>
      </c>
      <c r="B5713" s="1" t="n">
        <v>45931.56010416667</v>
      </c>
      <c r="C5713" s="1" t="n">
        <v>46075</v>
      </c>
      <c r="D5713" t="inlineStr">
        <is>
          <t>VÄSTERBOTTENS LÄN</t>
        </is>
      </c>
      <c r="E5713" t="inlineStr">
        <is>
          <t>SORSELE</t>
        </is>
      </c>
      <c r="G5713" t="n">
        <v>4.9</v>
      </c>
      <c r="H5713" t="n">
        <v>0</v>
      </c>
      <c r="I5713" t="n">
        <v>0</v>
      </c>
      <c r="J5713" t="n">
        <v>0</v>
      </c>
      <c r="K5713" t="n">
        <v>0</v>
      </c>
      <c r="L5713" t="n">
        <v>0</v>
      </c>
      <c r="M5713" t="n">
        <v>0</v>
      </c>
      <c r="N5713" t="n">
        <v>0</v>
      </c>
      <c r="O5713" t="n">
        <v>0</v>
      </c>
      <c r="P5713" t="n">
        <v>0</v>
      </c>
      <c r="Q5713" t="n">
        <v>0</v>
      </c>
      <c r="R5713" s="2" t="inlineStr"/>
    </row>
    <row r="5714" ht="15" customHeight="1">
      <c r="A5714" t="inlineStr">
        <is>
          <t>A 37078-2025</t>
        </is>
      </c>
      <c r="B5714" s="1" t="n">
        <v>45875.42446759259</v>
      </c>
      <c r="C5714" s="1" t="n">
        <v>46075</v>
      </c>
      <c r="D5714" t="inlineStr">
        <is>
          <t>VÄSTERBOTTENS LÄN</t>
        </is>
      </c>
      <c r="E5714" t="inlineStr">
        <is>
          <t>LYCKSELE</t>
        </is>
      </c>
      <c r="F5714" t="inlineStr">
        <is>
          <t>Sveaskog</t>
        </is>
      </c>
      <c r="G5714" t="n">
        <v>3.2</v>
      </c>
      <c r="H5714" t="n">
        <v>0</v>
      </c>
      <c r="I5714" t="n">
        <v>0</v>
      </c>
      <c r="J5714" t="n">
        <v>0</v>
      </c>
      <c r="K5714" t="n">
        <v>0</v>
      </c>
      <c r="L5714" t="n">
        <v>0</v>
      </c>
      <c r="M5714" t="n">
        <v>0</v>
      </c>
      <c r="N5714" t="n">
        <v>0</v>
      </c>
      <c r="O5714" t="n">
        <v>0</v>
      </c>
      <c r="P5714" t="n">
        <v>0</v>
      </c>
      <c r="Q5714" t="n">
        <v>0</v>
      </c>
      <c r="R5714" s="2" t="inlineStr"/>
    </row>
    <row r="5715" ht="15" customHeight="1">
      <c r="A5715" t="inlineStr">
        <is>
          <t>A 46282-2024</t>
        </is>
      </c>
      <c r="B5715" s="1" t="n">
        <v>45581.6378587963</v>
      </c>
      <c r="C5715" s="1" t="n">
        <v>46075</v>
      </c>
      <c r="D5715" t="inlineStr">
        <is>
          <t>VÄSTERBOTTENS LÄN</t>
        </is>
      </c>
      <c r="E5715" t="inlineStr">
        <is>
          <t>SKELLEFTEÅ</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37199-2025</t>
        </is>
      </c>
      <c r="B5716" s="1" t="n">
        <v>45875.67760416667</v>
      </c>
      <c r="C5716" s="1" t="n">
        <v>46075</v>
      </c>
      <c r="D5716" t="inlineStr">
        <is>
          <t>VÄSTERBOTTENS LÄN</t>
        </is>
      </c>
      <c r="E5716" t="inlineStr">
        <is>
          <t>BJURHOLM</t>
        </is>
      </c>
      <c r="F5716" t="inlineStr">
        <is>
          <t>SCA</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9015-2025</t>
        </is>
      </c>
      <c r="B5717" s="1" t="n">
        <v>45713.59037037037</v>
      </c>
      <c r="C5717" s="1" t="n">
        <v>46075</v>
      </c>
      <c r="D5717" t="inlineStr">
        <is>
          <t>VÄSTERBOTTENS LÄN</t>
        </is>
      </c>
      <c r="E5717" t="inlineStr">
        <is>
          <t>NORDMALING</t>
        </is>
      </c>
      <c r="G5717" t="n">
        <v>3.2</v>
      </c>
      <c r="H5717" t="n">
        <v>0</v>
      </c>
      <c r="I5717" t="n">
        <v>0</v>
      </c>
      <c r="J5717" t="n">
        <v>0</v>
      </c>
      <c r="K5717" t="n">
        <v>0</v>
      </c>
      <c r="L5717" t="n">
        <v>0</v>
      </c>
      <c r="M5717" t="n">
        <v>0</v>
      </c>
      <c r="N5717" t="n">
        <v>0</v>
      </c>
      <c r="O5717" t="n">
        <v>0</v>
      </c>
      <c r="P5717" t="n">
        <v>0</v>
      </c>
      <c r="Q5717" t="n">
        <v>0</v>
      </c>
      <c r="R5717" s="2" t="inlineStr"/>
    </row>
    <row r="5718" ht="15" customHeight="1">
      <c r="A5718" t="inlineStr">
        <is>
          <t>A 9019-2025</t>
        </is>
      </c>
      <c r="B5718" s="1" t="n">
        <v>45713.59445601852</v>
      </c>
      <c r="C5718" s="1" t="n">
        <v>46075</v>
      </c>
      <c r="D5718" t="inlineStr">
        <is>
          <t>VÄSTERBOTTENS LÄN</t>
        </is>
      </c>
      <c r="E5718" t="inlineStr">
        <is>
          <t>LYCKSELE</t>
        </is>
      </c>
      <c r="F5718" t="inlineStr">
        <is>
          <t>SCA</t>
        </is>
      </c>
      <c r="G5718" t="n">
        <v>17.4</v>
      </c>
      <c r="H5718" t="n">
        <v>0</v>
      </c>
      <c r="I5718" t="n">
        <v>0</v>
      </c>
      <c r="J5718" t="n">
        <v>0</v>
      </c>
      <c r="K5718" t="n">
        <v>0</v>
      </c>
      <c r="L5718" t="n">
        <v>0</v>
      </c>
      <c r="M5718" t="n">
        <v>0</v>
      </c>
      <c r="N5718" t="n">
        <v>0</v>
      </c>
      <c r="O5718" t="n">
        <v>0</v>
      </c>
      <c r="P5718" t="n">
        <v>0</v>
      </c>
      <c r="Q5718" t="n">
        <v>0</v>
      </c>
      <c r="R5718" s="2" t="inlineStr"/>
    </row>
    <row r="5719" ht="15" customHeight="1">
      <c r="A5719" t="inlineStr">
        <is>
          <t>A 37134-2025</t>
        </is>
      </c>
      <c r="B5719" s="1" t="n">
        <v>45875.54960648148</v>
      </c>
      <c r="C5719" s="1" t="n">
        <v>46075</v>
      </c>
      <c r="D5719" t="inlineStr">
        <is>
          <t>VÄSTERBOTTENS LÄN</t>
        </is>
      </c>
      <c r="E5719" t="inlineStr">
        <is>
          <t>VINDELN</t>
        </is>
      </c>
      <c r="F5719" t="inlineStr">
        <is>
          <t>Sveaskog</t>
        </is>
      </c>
      <c r="G5719" t="n">
        <v>10.7</v>
      </c>
      <c r="H5719" t="n">
        <v>0</v>
      </c>
      <c r="I5719" t="n">
        <v>0</v>
      </c>
      <c r="J5719" t="n">
        <v>0</v>
      </c>
      <c r="K5719" t="n">
        <v>0</v>
      </c>
      <c r="L5719" t="n">
        <v>0</v>
      </c>
      <c r="M5719" t="n">
        <v>0</v>
      </c>
      <c r="N5719" t="n">
        <v>0</v>
      </c>
      <c r="O5719" t="n">
        <v>0</v>
      </c>
      <c r="P5719" t="n">
        <v>0</v>
      </c>
      <c r="Q5719" t="n">
        <v>0</v>
      </c>
      <c r="R5719" s="2" t="inlineStr"/>
    </row>
    <row r="5720" ht="15" customHeight="1">
      <c r="A5720" t="inlineStr">
        <is>
          <t>A 47421-2025</t>
        </is>
      </c>
      <c r="B5720" s="1" t="n">
        <v>45930.62444444445</v>
      </c>
      <c r="C5720" s="1" t="n">
        <v>46075</v>
      </c>
      <c r="D5720" t="inlineStr">
        <is>
          <t>VÄSTERBOTTENS LÄN</t>
        </is>
      </c>
      <c r="E5720" t="inlineStr">
        <is>
          <t>UMEÅ</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17867-2025</t>
        </is>
      </c>
      <c r="B5721" s="1" t="n">
        <v>45758.63064814815</v>
      </c>
      <c r="C5721" s="1" t="n">
        <v>46075</v>
      </c>
      <c r="D5721" t="inlineStr">
        <is>
          <t>VÄSTERBOTTENS LÄN</t>
        </is>
      </c>
      <c r="E5721" t="inlineStr">
        <is>
          <t>BJURHOLM</t>
        </is>
      </c>
      <c r="G5721" t="n">
        <v>4.6</v>
      </c>
      <c r="H5721" t="n">
        <v>0</v>
      </c>
      <c r="I5721" t="n">
        <v>0</v>
      </c>
      <c r="J5721" t="n">
        <v>0</v>
      </c>
      <c r="K5721" t="n">
        <v>0</v>
      </c>
      <c r="L5721" t="n">
        <v>0</v>
      </c>
      <c r="M5721" t="n">
        <v>0</v>
      </c>
      <c r="N5721" t="n">
        <v>0</v>
      </c>
      <c r="O5721" t="n">
        <v>0</v>
      </c>
      <c r="P5721" t="n">
        <v>0</v>
      </c>
      <c r="Q5721" t="n">
        <v>0</v>
      </c>
      <c r="R5721" s="2" t="inlineStr"/>
    </row>
    <row r="5722" ht="15" customHeight="1">
      <c r="A5722" t="inlineStr">
        <is>
          <t>A 47447-2025</t>
        </is>
      </c>
      <c r="B5722" s="1" t="n">
        <v>45930.64424768519</v>
      </c>
      <c r="C5722" s="1" t="n">
        <v>46075</v>
      </c>
      <c r="D5722" t="inlineStr">
        <is>
          <t>VÄSTERBOTTENS LÄN</t>
        </is>
      </c>
      <c r="E5722" t="inlineStr">
        <is>
          <t>SKELLEFTEÅ</t>
        </is>
      </c>
      <c r="F5722" t="inlineStr">
        <is>
          <t>Holmen skog AB</t>
        </is>
      </c>
      <c r="G5722" t="n">
        <v>3.2</v>
      </c>
      <c r="H5722" t="n">
        <v>0</v>
      </c>
      <c r="I5722" t="n">
        <v>0</v>
      </c>
      <c r="J5722" t="n">
        <v>0</v>
      </c>
      <c r="K5722" t="n">
        <v>0</v>
      </c>
      <c r="L5722" t="n">
        <v>0</v>
      </c>
      <c r="M5722" t="n">
        <v>0</v>
      </c>
      <c r="N5722" t="n">
        <v>0</v>
      </c>
      <c r="O5722" t="n">
        <v>0</v>
      </c>
      <c r="P5722" t="n">
        <v>0</v>
      </c>
      <c r="Q5722" t="n">
        <v>0</v>
      </c>
      <c r="R5722" s="2" t="inlineStr"/>
    </row>
    <row r="5723" ht="15" customHeight="1">
      <c r="A5723" t="inlineStr">
        <is>
          <t>A 47461-2025</t>
        </is>
      </c>
      <c r="B5723" s="1" t="n">
        <v>45930.66153935185</v>
      </c>
      <c r="C5723" s="1" t="n">
        <v>46075</v>
      </c>
      <c r="D5723" t="inlineStr">
        <is>
          <t>VÄSTERBOTTENS LÄN</t>
        </is>
      </c>
      <c r="E5723" t="inlineStr">
        <is>
          <t>LYCKSELE</t>
        </is>
      </c>
      <c r="F5723" t="inlineStr">
        <is>
          <t>Sveaskog</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47182-2025</t>
        </is>
      </c>
      <c r="B5724" s="1" t="n">
        <v>45930.31474537037</v>
      </c>
      <c r="C5724" s="1" t="n">
        <v>46075</v>
      </c>
      <c r="D5724" t="inlineStr">
        <is>
          <t>VÄSTERBOTTENS LÄN</t>
        </is>
      </c>
      <c r="E5724" t="inlineStr">
        <is>
          <t>NORSJÖ</t>
        </is>
      </c>
      <c r="F5724" t="inlineStr">
        <is>
          <t>Holmen skog AB</t>
        </is>
      </c>
      <c r="G5724" t="n">
        <v>4.9</v>
      </c>
      <c r="H5724" t="n">
        <v>0</v>
      </c>
      <c r="I5724" t="n">
        <v>0</v>
      </c>
      <c r="J5724" t="n">
        <v>0</v>
      </c>
      <c r="K5724" t="n">
        <v>0</v>
      </c>
      <c r="L5724" t="n">
        <v>0</v>
      </c>
      <c r="M5724" t="n">
        <v>0</v>
      </c>
      <c r="N5724" t="n">
        <v>0</v>
      </c>
      <c r="O5724" t="n">
        <v>0</v>
      </c>
      <c r="P5724" t="n">
        <v>0</v>
      </c>
      <c r="Q5724" t="n">
        <v>0</v>
      </c>
      <c r="R5724" s="2" t="inlineStr"/>
    </row>
    <row r="5725" ht="15" customHeight="1">
      <c r="A5725" t="inlineStr">
        <is>
          <t>A 36828-2025</t>
        </is>
      </c>
      <c r="B5725" s="1" t="n">
        <v>45874.33908564815</v>
      </c>
      <c r="C5725" s="1" t="n">
        <v>46075</v>
      </c>
      <c r="D5725" t="inlineStr">
        <is>
          <t>VÄSTERBOTTENS LÄN</t>
        </is>
      </c>
      <c r="E5725" t="inlineStr">
        <is>
          <t>STORUMAN</t>
        </is>
      </c>
      <c r="G5725" t="n">
        <v>5.1</v>
      </c>
      <c r="H5725" t="n">
        <v>0</v>
      </c>
      <c r="I5725" t="n">
        <v>0</v>
      </c>
      <c r="J5725" t="n">
        <v>0</v>
      </c>
      <c r="K5725" t="n">
        <v>0</v>
      </c>
      <c r="L5725" t="n">
        <v>0</v>
      </c>
      <c r="M5725" t="n">
        <v>0</v>
      </c>
      <c r="N5725" t="n">
        <v>0</v>
      </c>
      <c r="O5725" t="n">
        <v>0</v>
      </c>
      <c r="P5725" t="n">
        <v>0</v>
      </c>
      <c r="Q5725" t="n">
        <v>0</v>
      </c>
      <c r="R5725" s="2" t="inlineStr"/>
    </row>
    <row r="5726" ht="15" customHeight="1">
      <c r="A5726" t="inlineStr">
        <is>
          <t>A 47222-2025</t>
        </is>
      </c>
      <c r="B5726" s="1" t="n">
        <v>45930.38743055556</v>
      </c>
      <c r="C5726" s="1" t="n">
        <v>46075</v>
      </c>
      <c r="D5726" t="inlineStr">
        <is>
          <t>VÄSTERBOTTENS LÄN</t>
        </is>
      </c>
      <c r="E5726" t="inlineStr">
        <is>
          <t>NORSJÖ</t>
        </is>
      </c>
      <c r="F5726" t="inlineStr">
        <is>
          <t>Holmen skog AB</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47238-2025</t>
        </is>
      </c>
      <c r="B5727" s="1" t="n">
        <v>45930.41980324074</v>
      </c>
      <c r="C5727" s="1" t="n">
        <v>46075</v>
      </c>
      <c r="D5727" t="inlineStr">
        <is>
          <t>VÄSTERBOTTENS LÄN</t>
        </is>
      </c>
      <c r="E5727" t="inlineStr">
        <is>
          <t>SKELLEFTEÅ</t>
        </is>
      </c>
      <c r="G5727" t="n">
        <v>6</v>
      </c>
      <c r="H5727" t="n">
        <v>0</v>
      </c>
      <c r="I5727" t="n">
        <v>0</v>
      </c>
      <c r="J5727" t="n">
        <v>0</v>
      </c>
      <c r="K5727" t="n">
        <v>0</v>
      </c>
      <c r="L5727" t="n">
        <v>0</v>
      </c>
      <c r="M5727" t="n">
        <v>0</v>
      </c>
      <c r="N5727" t="n">
        <v>0</v>
      </c>
      <c r="O5727" t="n">
        <v>0</v>
      </c>
      <c r="P5727" t="n">
        <v>0</v>
      </c>
      <c r="Q5727" t="n">
        <v>0</v>
      </c>
      <c r="R5727" s="2" t="inlineStr"/>
    </row>
    <row r="5728" ht="15" customHeight="1">
      <c r="A5728" t="inlineStr">
        <is>
          <t>A 47253-2025</t>
        </is>
      </c>
      <c r="B5728" s="1" t="n">
        <v>45930</v>
      </c>
      <c r="C5728" s="1" t="n">
        <v>46075</v>
      </c>
      <c r="D5728" t="inlineStr">
        <is>
          <t>VÄSTERBOTTENS LÄN</t>
        </is>
      </c>
      <c r="E5728" t="inlineStr">
        <is>
          <t>VINDELN</t>
        </is>
      </c>
      <c r="G5728" t="n">
        <v>7.3</v>
      </c>
      <c r="H5728" t="n">
        <v>0</v>
      </c>
      <c r="I5728" t="n">
        <v>0</v>
      </c>
      <c r="J5728" t="n">
        <v>0</v>
      </c>
      <c r="K5728" t="n">
        <v>0</v>
      </c>
      <c r="L5728" t="n">
        <v>0</v>
      </c>
      <c r="M5728" t="n">
        <v>0</v>
      </c>
      <c r="N5728" t="n">
        <v>0</v>
      </c>
      <c r="O5728" t="n">
        <v>0</v>
      </c>
      <c r="P5728" t="n">
        <v>0</v>
      </c>
      <c r="Q5728" t="n">
        <v>0</v>
      </c>
      <c r="R5728" s="2" t="inlineStr"/>
    </row>
    <row r="5729" ht="15" customHeight="1">
      <c r="A5729" t="inlineStr">
        <is>
          <t>A 47413-2025</t>
        </is>
      </c>
      <c r="B5729" s="1" t="n">
        <v>45930.61894675926</v>
      </c>
      <c r="C5729" s="1" t="n">
        <v>46075</v>
      </c>
      <c r="D5729" t="inlineStr">
        <is>
          <t>VÄSTERBOTTENS LÄN</t>
        </is>
      </c>
      <c r="E5729" t="inlineStr">
        <is>
          <t>ROBERTSFORS</t>
        </is>
      </c>
      <c r="G5729" t="n">
        <v>2.7</v>
      </c>
      <c r="H5729" t="n">
        <v>0</v>
      </c>
      <c r="I5729" t="n">
        <v>0</v>
      </c>
      <c r="J5729" t="n">
        <v>0</v>
      </c>
      <c r="K5729" t="n">
        <v>0</v>
      </c>
      <c r="L5729" t="n">
        <v>0</v>
      </c>
      <c r="M5729" t="n">
        <v>0</v>
      </c>
      <c r="N5729" t="n">
        <v>0</v>
      </c>
      <c r="O5729" t="n">
        <v>0</v>
      </c>
      <c r="P5729" t="n">
        <v>0</v>
      </c>
      <c r="Q5729" t="n">
        <v>0</v>
      </c>
      <c r="R5729" s="2" t="inlineStr"/>
    </row>
    <row r="5730" ht="15" customHeight="1">
      <c r="A5730" t="inlineStr">
        <is>
          <t>A 47419-2025</t>
        </is>
      </c>
      <c r="B5730" s="1" t="n">
        <v>45930.62128472222</v>
      </c>
      <c r="C5730" s="1" t="n">
        <v>46075</v>
      </c>
      <c r="D5730" t="inlineStr">
        <is>
          <t>VÄSTERBOTTENS LÄN</t>
        </is>
      </c>
      <c r="E5730" t="inlineStr">
        <is>
          <t>NORSJÖ</t>
        </is>
      </c>
      <c r="F5730" t="inlineStr">
        <is>
          <t>Holmen skog AB</t>
        </is>
      </c>
      <c r="G5730" t="n">
        <v>7.7</v>
      </c>
      <c r="H5730" t="n">
        <v>0</v>
      </c>
      <c r="I5730" t="n">
        <v>0</v>
      </c>
      <c r="J5730" t="n">
        <v>0</v>
      </c>
      <c r="K5730" t="n">
        <v>0</v>
      </c>
      <c r="L5730" t="n">
        <v>0</v>
      </c>
      <c r="M5730" t="n">
        <v>0</v>
      </c>
      <c r="N5730" t="n">
        <v>0</v>
      </c>
      <c r="O5730" t="n">
        <v>0</v>
      </c>
      <c r="P5730" t="n">
        <v>0</v>
      </c>
      <c r="Q5730" t="n">
        <v>0</v>
      </c>
      <c r="R5730" s="2" t="inlineStr"/>
    </row>
    <row r="5731" ht="15" customHeight="1">
      <c r="A5731" t="inlineStr">
        <is>
          <t>A 47706-2025</t>
        </is>
      </c>
      <c r="B5731" s="1" t="n">
        <v>45931.61092592592</v>
      </c>
      <c r="C5731" s="1" t="n">
        <v>46075</v>
      </c>
      <c r="D5731" t="inlineStr">
        <is>
          <t>VÄSTERBOTTENS LÄN</t>
        </is>
      </c>
      <c r="E5731" t="inlineStr">
        <is>
          <t>ÅSELE</t>
        </is>
      </c>
      <c r="F5731" t="inlineStr">
        <is>
          <t>Naturvårdsverket</t>
        </is>
      </c>
      <c r="G5731" t="n">
        <v>21.5</v>
      </c>
      <c r="H5731" t="n">
        <v>0</v>
      </c>
      <c r="I5731" t="n">
        <v>0</v>
      </c>
      <c r="J5731" t="n">
        <v>0</v>
      </c>
      <c r="K5731" t="n">
        <v>0</v>
      </c>
      <c r="L5731" t="n">
        <v>0</v>
      </c>
      <c r="M5731" t="n">
        <v>0</v>
      </c>
      <c r="N5731" t="n">
        <v>0</v>
      </c>
      <c r="O5731" t="n">
        <v>0</v>
      </c>
      <c r="P5731" t="n">
        <v>0</v>
      </c>
      <c r="Q5731" t="n">
        <v>0</v>
      </c>
      <c r="R5731" s="2" t="inlineStr"/>
    </row>
    <row r="5732" ht="15" customHeight="1">
      <c r="A5732" t="inlineStr">
        <is>
          <t>A 34-2024</t>
        </is>
      </c>
      <c r="B5732" s="1" t="n">
        <v>45293</v>
      </c>
      <c r="C5732" s="1" t="n">
        <v>46075</v>
      </c>
      <c r="D5732" t="inlineStr">
        <is>
          <t>VÄSTERBOTTENS LÄN</t>
        </is>
      </c>
      <c r="E5732" t="inlineStr">
        <is>
          <t>VINDELN</t>
        </is>
      </c>
      <c r="G5732" t="n">
        <v>6.2</v>
      </c>
      <c r="H5732" t="n">
        <v>0</v>
      </c>
      <c r="I5732" t="n">
        <v>0</v>
      </c>
      <c r="J5732" t="n">
        <v>0</v>
      </c>
      <c r="K5732" t="n">
        <v>0</v>
      </c>
      <c r="L5732" t="n">
        <v>0</v>
      </c>
      <c r="M5732" t="n">
        <v>0</v>
      </c>
      <c r="N5732" t="n">
        <v>0</v>
      </c>
      <c r="O5732" t="n">
        <v>0</v>
      </c>
      <c r="P5732" t="n">
        <v>0</v>
      </c>
      <c r="Q5732" t="n">
        <v>0</v>
      </c>
      <c r="R5732" s="2" t="inlineStr"/>
    </row>
    <row r="5733" ht="15" customHeight="1">
      <c r="A5733" t="inlineStr">
        <is>
          <t>A 13553-2024</t>
        </is>
      </c>
      <c r="B5733" s="1" t="n">
        <v>45387.95421296296</v>
      </c>
      <c r="C5733" s="1" t="n">
        <v>46075</v>
      </c>
      <c r="D5733" t="inlineStr">
        <is>
          <t>VÄSTERBOTTENS LÄN</t>
        </is>
      </c>
      <c r="E5733" t="inlineStr">
        <is>
          <t>ÅSELE</t>
        </is>
      </c>
      <c r="F5733" t="inlineStr">
        <is>
          <t>SCA</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37035-2025</t>
        </is>
      </c>
      <c r="B5734" s="1" t="n">
        <v>45875.28846064815</v>
      </c>
      <c r="C5734" s="1" t="n">
        <v>46075</v>
      </c>
      <c r="D5734" t="inlineStr">
        <is>
          <t>VÄSTERBOTTENS LÄN</t>
        </is>
      </c>
      <c r="E5734" t="inlineStr">
        <is>
          <t>STORUMAN</t>
        </is>
      </c>
      <c r="G5734" t="n">
        <v>14.8</v>
      </c>
      <c r="H5734" t="n">
        <v>0</v>
      </c>
      <c r="I5734" t="n">
        <v>0</v>
      </c>
      <c r="J5734" t="n">
        <v>0</v>
      </c>
      <c r="K5734" t="n">
        <v>0</v>
      </c>
      <c r="L5734" t="n">
        <v>0</v>
      </c>
      <c r="M5734" t="n">
        <v>0</v>
      </c>
      <c r="N5734" t="n">
        <v>0</v>
      </c>
      <c r="O5734" t="n">
        <v>0</v>
      </c>
      <c r="P5734" t="n">
        <v>0</v>
      </c>
      <c r="Q5734" t="n">
        <v>0</v>
      </c>
      <c r="R5734" s="2" t="inlineStr"/>
    </row>
    <row r="5735" ht="15" customHeight="1">
      <c r="A5735" t="inlineStr">
        <is>
          <t>A 37037-2025</t>
        </is>
      </c>
      <c r="B5735" s="1" t="n">
        <v>45875.30196759259</v>
      </c>
      <c r="C5735" s="1" t="n">
        <v>46075</v>
      </c>
      <c r="D5735" t="inlineStr">
        <is>
          <t>VÄSTERBOTTENS LÄN</t>
        </is>
      </c>
      <c r="E5735" t="inlineStr">
        <is>
          <t>SORSELE</t>
        </is>
      </c>
      <c r="G5735" t="n">
        <v>17.9</v>
      </c>
      <c r="H5735" t="n">
        <v>0</v>
      </c>
      <c r="I5735" t="n">
        <v>0</v>
      </c>
      <c r="J5735" t="n">
        <v>0</v>
      </c>
      <c r="K5735" t="n">
        <v>0</v>
      </c>
      <c r="L5735" t="n">
        <v>0</v>
      </c>
      <c r="M5735" t="n">
        <v>0</v>
      </c>
      <c r="N5735" t="n">
        <v>0</v>
      </c>
      <c r="O5735" t="n">
        <v>0</v>
      </c>
      <c r="P5735" t="n">
        <v>0</v>
      </c>
      <c r="Q5735" t="n">
        <v>0</v>
      </c>
      <c r="R5735" s="2" t="inlineStr"/>
    </row>
    <row r="5736" ht="15" customHeight="1">
      <c r="A5736" t="inlineStr">
        <is>
          <t>A 24932-2024</t>
        </is>
      </c>
      <c r="B5736" s="1" t="n">
        <v>45461</v>
      </c>
      <c r="C5736" s="1" t="n">
        <v>46075</v>
      </c>
      <c r="D5736" t="inlineStr">
        <is>
          <t>VÄSTERBOTTENS LÄN</t>
        </is>
      </c>
      <c r="E5736" t="inlineStr">
        <is>
          <t>STORUMAN</t>
        </is>
      </c>
      <c r="G5736" t="n">
        <v>7.1</v>
      </c>
      <c r="H5736" t="n">
        <v>0</v>
      </c>
      <c r="I5736" t="n">
        <v>0</v>
      </c>
      <c r="J5736" t="n">
        <v>0</v>
      </c>
      <c r="K5736" t="n">
        <v>0</v>
      </c>
      <c r="L5736" t="n">
        <v>0</v>
      </c>
      <c r="M5736" t="n">
        <v>0</v>
      </c>
      <c r="N5736" t="n">
        <v>0</v>
      </c>
      <c r="O5736" t="n">
        <v>0</v>
      </c>
      <c r="P5736" t="n">
        <v>0</v>
      </c>
      <c r="Q5736" t="n">
        <v>0</v>
      </c>
      <c r="R5736" s="2" t="inlineStr"/>
    </row>
    <row r="5737" ht="15" customHeight="1">
      <c r="A5737" t="inlineStr">
        <is>
          <t>A 30415-2024</t>
        </is>
      </c>
      <c r="B5737" s="1" t="n">
        <v>45491.64607638889</v>
      </c>
      <c r="C5737" s="1" t="n">
        <v>46075</v>
      </c>
      <c r="D5737" t="inlineStr">
        <is>
          <t>VÄSTERBOTTENS LÄN</t>
        </is>
      </c>
      <c r="E5737" t="inlineStr">
        <is>
          <t>SORSELE</t>
        </is>
      </c>
      <c r="F5737" t="inlineStr">
        <is>
          <t>Sveaskog</t>
        </is>
      </c>
      <c r="G5737" t="n">
        <v>3.5</v>
      </c>
      <c r="H5737" t="n">
        <v>0</v>
      </c>
      <c r="I5737" t="n">
        <v>0</v>
      </c>
      <c r="J5737" t="n">
        <v>0</v>
      </c>
      <c r="K5737" t="n">
        <v>0</v>
      </c>
      <c r="L5737" t="n">
        <v>0</v>
      </c>
      <c r="M5737" t="n">
        <v>0</v>
      </c>
      <c r="N5737" t="n">
        <v>0</v>
      </c>
      <c r="O5737" t="n">
        <v>0</v>
      </c>
      <c r="P5737" t="n">
        <v>0</v>
      </c>
      <c r="Q5737" t="n">
        <v>0</v>
      </c>
      <c r="R5737" s="2" t="inlineStr"/>
    </row>
    <row r="5738" ht="15" customHeight="1">
      <c r="A5738" t="inlineStr">
        <is>
          <t>A 34242-2024</t>
        </is>
      </c>
      <c r="B5738" s="1" t="n">
        <v>45524.58086805556</v>
      </c>
      <c r="C5738" s="1" t="n">
        <v>46075</v>
      </c>
      <c r="D5738" t="inlineStr">
        <is>
          <t>VÄSTERBOTTENS LÄN</t>
        </is>
      </c>
      <c r="E5738" t="inlineStr">
        <is>
          <t>SKELLEFTEÅ</t>
        </is>
      </c>
      <c r="F5738" t="inlineStr">
        <is>
          <t>Sveaskog</t>
        </is>
      </c>
      <c r="G5738" t="n">
        <v>19.8</v>
      </c>
      <c r="H5738" t="n">
        <v>0</v>
      </c>
      <c r="I5738" t="n">
        <v>0</v>
      </c>
      <c r="J5738" t="n">
        <v>0</v>
      </c>
      <c r="K5738" t="n">
        <v>0</v>
      </c>
      <c r="L5738" t="n">
        <v>0</v>
      </c>
      <c r="M5738" t="n">
        <v>0</v>
      </c>
      <c r="N5738" t="n">
        <v>0</v>
      </c>
      <c r="O5738" t="n">
        <v>0</v>
      </c>
      <c r="P5738" t="n">
        <v>0</v>
      </c>
      <c r="Q5738" t="n">
        <v>0</v>
      </c>
      <c r="R5738" s="2" t="inlineStr"/>
    </row>
    <row r="5739" ht="15" customHeight="1">
      <c r="A5739" t="inlineStr">
        <is>
          <t>A 36973-2025</t>
        </is>
      </c>
      <c r="B5739" s="1" t="n">
        <v>45874.63747685185</v>
      </c>
      <c r="C5739" s="1" t="n">
        <v>46075</v>
      </c>
      <c r="D5739" t="inlineStr">
        <is>
          <t>VÄSTERBOTTENS LÄN</t>
        </is>
      </c>
      <c r="E5739" t="inlineStr">
        <is>
          <t>VILHELMINA</t>
        </is>
      </c>
      <c r="F5739" t="inlineStr">
        <is>
          <t>SCA</t>
        </is>
      </c>
      <c r="G5739" t="n">
        <v>6.1</v>
      </c>
      <c r="H5739" t="n">
        <v>0</v>
      </c>
      <c r="I5739" t="n">
        <v>0</v>
      </c>
      <c r="J5739" t="n">
        <v>0</v>
      </c>
      <c r="K5739" t="n">
        <v>0</v>
      </c>
      <c r="L5739" t="n">
        <v>0</v>
      </c>
      <c r="M5739" t="n">
        <v>0</v>
      </c>
      <c r="N5739" t="n">
        <v>0</v>
      </c>
      <c r="O5739" t="n">
        <v>0</v>
      </c>
      <c r="P5739" t="n">
        <v>0</v>
      </c>
      <c r="Q5739" t="n">
        <v>0</v>
      </c>
      <c r="R5739" s="2" t="inlineStr"/>
    </row>
    <row r="5740" ht="15" customHeight="1">
      <c r="A5740" t="inlineStr">
        <is>
          <t>A 36977-2025</t>
        </is>
      </c>
      <c r="B5740" s="1" t="n">
        <v>45874.6445949074</v>
      </c>
      <c r="C5740" s="1" t="n">
        <v>46075</v>
      </c>
      <c r="D5740" t="inlineStr">
        <is>
          <t>VÄSTERBOTTENS LÄN</t>
        </is>
      </c>
      <c r="E5740" t="inlineStr">
        <is>
          <t>DOROTEA</t>
        </is>
      </c>
      <c r="G5740" t="n">
        <v>20.5</v>
      </c>
      <c r="H5740" t="n">
        <v>0</v>
      </c>
      <c r="I5740" t="n">
        <v>0</v>
      </c>
      <c r="J5740" t="n">
        <v>0</v>
      </c>
      <c r="K5740" t="n">
        <v>0</v>
      </c>
      <c r="L5740" t="n">
        <v>0</v>
      </c>
      <c r="M5740" t="n">
        <v>0</v>
      </c>
      <c r="N5740" t="n">
        <v>0</v>
      </c>
      <c r="O5740" t="n">
        <v>0</v>
      </c>
      <c r="P5740" t="n">
        <v>0</v>
      </c>
      <c r="Q5740" t="n">
        <v>0</v>
      </c>
      <c r="R5740" s="2" t="inlineStr"/>
    </row>
    <row r="5741" ht="15" customHeight="1">
      <c r="A5741" t="inlineStr">
        <is>
          <t>A 55742-2025</t>
        </is>
      </c>
      <c r="B5741" s="1" t="n">
        <v>45972</v>
      </c>
      <c r="C5741" s="1" t="n">
        <v>46075</v>
      </c>
      <c r="D5741" t="inlineStr">
        <is>
          <t>VÄSTERBOTTENS LÄN</t>
        </is>
      </c>
      <c r="E5741" t="inlineStr">
        <is>
          <t>VILHELMINA</t>
        </is>
      </c>
      <c r="G5741" t="n">
        <v>36.2</v>
      </c>
      <c r="H5741" t="n">
        <v>0</v>
      </c>
      <c r="I5741" t="n">
        <v>0</v>
      </c>
      <c r="J5741" t="n">
        <v>0</v>
      </c>
      <c r="K5741" t="n">
        <v>0</v>
      </c>
      <c r="L5741" t="n">
        <v>0</v>
      </c>
      <c r="M5741" t="n">
        <v>0</v>
      </c>
      <c r="N5741" t="n">
        <v>0</v>
      </c>
      <c r="O5741" t="n">
        <v>0</v>
      </c>
      <c r="P5741" t="n">
        <v>0</v>
      </c>
      <c r="Q5741" t="n">
        <v>0</v>
      </c>
      <c r="R5741" s="2" t="inlineStr"/>
    </row>
    <row r="5742" ht="15" customHeight="1">
      <c r="A5742" t="inlineStr">
        <is>
          <t>A 63771-2023</t>
        </is>
      </c>
      <c r="B5742" s="1" t="n">
        <v>45278</v>
      </c>
      <c r="C5742" s="1" t="n">
        <v>46075</v>
      </c>
      <c r="D5742" t="inlineStr">
        <is>
          <t>VÄSTERBOTTENS LÄN</t>
        </is>
      </c>
      <c r="E5742" t="inlineStr">
        <is>
          <t>ROBERTSFORS</t>
        </is>
      </c>
      <c r="F5742" t="inlineStr">
        <is>
          <t>Sveaskog</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42621-2025</t>
        </is>
      </c>
      <c r="B5743" s="1" t="n">
        <v>45905</v>
      </c>
      <c r="C5743" s="1" t="n">
        <v>46075</v>
      </c>
      <c r="D5743" t="inlineStr">
        <is>
          <t>VÄSTERBOTTENS LÄN</t>
        </is>
      </c>
      <c r="E5743" t="inlineStr">
        <is>
          <t>SKELLEFTEÅ</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25968-2024</t>
        </is>
      </c>
      <c r="B5744" s="1" t="n">
        <v>45467.68030092592</v>
      </c>
      <c r="C5744" s="1" t="n">
        <v>46075</v>
      </c>
      <c r="D5744" t="inlineStr">
        <is>
          <t>VÄSTERBOTTENS LÄN</t>
        </is>
      </c>
      <c r="E5744" t="inlineStr">
        <is>
          <t>STORUMAN</t>
        </is>
      </c>
      <c r="F5744" t="inlineStr">
        <is>
          <t>Sveaskog</t>
        </is>
      </c>
      <c r="G5744" t="n">
        <v>5.9</v>
      </c>
      <c r="H5744" t="n">
        <v>0</v>
      </c>
      <c r="I5744" t="n">
        <v>0</v>
      </c>
      <c r="J5744" t="n">
        <v>0</v>
      </c>
      <c r="K5744" t="n">
        <v>0</v>
      </c>
      <c r="L5744" t="n">
        <v>0</v>
      </c>
      <c r="M5744" t="n">
        <v>0</v>
      </c>
      <c r="N5744" t="n">
        <v>0</v>
      </c>
      <c r="O5744" t="n">
        <v>0</v>
      </c>
      <c r="P5744" t="n">
        <v>0</v>
      </c>
      <c r="Q5744" t="n">
        <v>0</v>
      </c>
      <c r="R5744" s="2" t="inlineStr"/>
    </row>
    <row r="5745" ht="15" customHeight="1">
      <c r="A5745" t="inlineStr">
        <is>
          <t>A 36996-2025</t>
        </is>
      </c>
      <c r="B5745" s="1" t="n">
        <v>45874.67782407408</v>
      </c>
      <c r="C5745" s="1" t="n">
        <v>46075</v>
      </c>
      <c r="D5745" t="inlineStr">
        <is>
          <t>VÄSTERBOTTENS LÄN</t>
        </is>
      </c>
      <c r="E5745" t="inlineStr">
        <is>
          <t>BJURHOLM</t>
        </is>
      </c>
      <c r="F5745" t="inlineStr">
        <is>
          <t>SCA</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36844-2025</t>
        </is>
      </c>
      <c r="B5746" s="1" t="n">
        <v>45874.38576388889</v>
      </c>
      <c r="C5746" s="1" t="n">
        <v>46075</v>
      </c>
      <c r="D5746" t="inlineStr">
        <is>
          <t>VÄSTERBOTTENS LÄN</t>
        </is>
      </c>
      <c r="E5746" t="inlineStr">
        <is>
          <t>DOROTEA</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36860-2025</t>
        </is>
      </c>
      <c r="B5747" s="1" t="n">
        <v>45874.40981481481</v>
      </c>
      <c r="C5747" s="1" t="n">
        <v>46075</v>
      </c>
      <c r="D5747" t="inlineStr">
        <is>
          <t>VÄSTERBOTTENS LÄN</t>
        </is>
      </c>
      <c r="E5747" t="inlineStr">
        <is>
          <t>NORDMALING</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7818-2023</t>
        </is>
      </c>
      <c r="B5748" s="1" t="n">
        <v>44973.46649305556</v>
      </c>
      <c r="C5748" s="1" t="n">
        <v>46075</v>
      </c>
      <c r="D5748" t="inlineStr">
        <is>
          <t>VÄSTERBOTTENS LÄN</t>
        </is>
      </c>
      <c r="E5748" t="inlineStr">
        <is>
          <t>LYCKSELE</t>
        </is>
      </c>
      <c r="G5748" t="n">
        <v>3.8</v>
      </c>
      <c r="H5748" t="n">
        <v>0</v>
      </c>
      <c r="I5748" t="n">
        <v>0</v>
      </c>
      <c r="J5748" t="n">
        <v>0</v>
      </c>
      <c r="K5748" t="n">
        <v>0</v>
      </c>
      <c r="L5748" t="n">
        <v>0</v>
      </c>
      <c r="M5748" t="n">
        <v>0</v>
      </c>
      <c r="N5748" t="n">
        <v>0</v>
      </c>
      <c r="O5748" t="n">
        <v>0</v>
      </c>
      <c r="P5748" t="n">
        <v>0</v>
      </c>
      <c r="Q5748" t="n">
        <v>0</v>
      </c>
      <c r="R5748" s="2" t="inlineStr"/>
    </row>
    <row r="5749" ht="15" customHeight="1">
      <c r="A5749" t="inlineStr">
        <is>
          <t>A 36901-2025</t>
        </is>
      </c>
      <c r="B5749" s="1" t="n">
        <v>45874.48631944445</v>
      </c>
      <c r="C5749" s="1" t="n">
        <v>46075</v>
      </c>
      <c r="D5749" t="inlineStr">
        <is>
          <t>VÄSTERBOTTENS LÄN</t>
        </is>
      </c>
      <c r="E5749" t="inlineStr">
        <is>
          <t>BJURHOLM</t>
        </is>
      </c>
      <c r="G5749" t="n">
        <v>8.699999999999999</v>
      </c>
      <c r="H5749" t="n">
        <v>0</v>
      </c>
      <c r="I5749" t="n">
        <v>0</v>
      </c>
      <c r="J5749" t="n">
        <v>0</v>
      </c>
      <c r="K5749" t="n">
        <v>0</v>
      </c>
      <c r="L5749" t="n">
        <v>0</v>
      </c>
      <c r="M5749" t="n">
        <v>0</v>
      </c>
      <c r="N5749" t="n">
        <v>0</v>
      </c>
      <c r="O5749" t="n">
        <v>0</v>
      </c>
      <c r="P5749" t="n">
        <v>0</v>
      </c>
      <c r="Q5749" t="n">
        <v>0</v>
      </c>
      <c r="R5749" s="2" t="inlineStr"/>
    </row>
    <row r="5750" ht="15" customHeight="1">
      <c r="A5750" t="inlineStr">
        <is>
          <t>A 36903-2025</t>
        </is>
      </c>
      <c r="B5750" s="1" t="n">
        <v>45874.48923611111</v>
      </c>
      <c r="C5750" s="1" t="n">
        <v>46075</v>
      </c>
      <c r="D5750" t="inlineStr">
        <is>
          <t>VÄSTERBOTTENS LÄN</t>
        </is>
      </c>
      <c r="E5750" t="inlineStr">
        <is>
          <t>SKELLEFTEÅ</t>
        </is>
      </c>
      <c r="F5750" t="inlineStr">
        <is>
          <t>Sveaskog</t>
        </is>
      </c>
      <c r="G5750" t="n">
        <v>20.5</v>
      </c>
      <c r="H5750" t="n">
        <v>0</v>
      </c>
      <c r="I5750" t="n">
        <v>0</v>
      </c>
      <c r="J5750" t="n">
        <v>0</v>
      </c>
      <c r="K5750" t="n">
        <v>0</v>
      </c>
      <c r="L5750" t="n">
        <v>0</v>
      </c>
      <c r="M5750" t="n">
        <v>0</v>
      </c>
      <c r="N5750" t="n">
        <v>0</v>
      </c>
      <c r="O5750" t="n">
        <v>0</v>
      </c>
      <c r="P5750" t="n">
        <v>0</v>
      </c>
      <c r="Q5750" t="n">
        <v>0</v>
      </c>
      <c r="R5750" s="2" t="inlineStr"/>
    </row>
    <row r="5751" ht="15" customHeight="1">
      <c r="A5751" t="inlineStr">
        <is>
          <t>A 36905-2025</t>
        </is>
      </c>
      <c r="B5751" s="1" t="n">
        <v>45874.49083333334</v>
      </c>
      <c r="C5751" s="1" t="n">
        <v>46075</v>
      </c>
      <c r="D5751" t="inlineStr">
        <is>
          <t>VÄSTERBOTTENS LÄN</t>
        </is>
      </c>
      <c r="E5751" t="inlineStr">
        <is>
          <t>UMEÅ</t>
        </is>
      </c>
      <c r="G5751" t="n">
        <v>8</v>
      </c>
      <c r="H5751" t="n">
        <v>0</v>
      </c>
      <c r="I5751" t="n">
        <v>0</v>
      </c>
      <c r="J5751" t="n">
        <v>0</v>
      </c>
      <c r="K5751" t="n">
        <v>0</v>
      </c>
      <c r="L5751" t="n">
        <v>0</v>
      </c>
      <c r="M5751" t="n">
        <v>0</v>
      </c>
      <c r="N5751" t="n">
        <v>0</v>
      </c>
      <c r="O5751" t="n">
        <v>0</v>
      </c>
      <c r="P5751" t="n">
        <v>0</v>
      </c>
      <c r="Q5751" t="n">
        <v>0</v>
      </c>
      <c r="R5751" s="2" t="inlineStr"/>
    </row>
    <row r="5752" ht="15" customHeight="1">
      <c r="A5752" t="inlineStr">
        <is>
          <t>A 37105-2025</t>
        </is>
      </c>
      <c r="B5752" s="1" t="n">
        <v>45875.47822916666</v>
      </c>
      <c r="C5752" s="1" t="n">
        <v>46075</v>
      </c>
      <c r="D5752" t="inlineStr">
        <is>
          <t>VÄSTERBOTTENS LÄN</t>
        </is>
      </c>
      <c r="E5752" t="inlineStr">
        <is>
          <t>LYCKSELE</t>
        </is>
      </c>
      <c r="F5752" t="inlineStr">
        <is>
          <t>Holmen skog AB</t>
        </is>
      </c>
      <c r="G5752" t="n">
        <v>16.4</v>
      </c>
      <c r="H5752" t="n">
        <v>0</v>
      </c>
      <c r="I5752" t="n">
        <v>0</v>
      </c>
      <c r="J5752" t="n">
        <v>0</v>
      </c>
      <c r="K5752" t="n">
        <v>0</v>
      </c>
      <c r="L5752" t="n">
        <v>0</v>
      </c>
      <c r="M5752" t="n">
        <v>0</v>
      </c>
      <c r="N5752" t="n">
        <v>0</v>
      </c>
      <c r="O5752" t="n">
        <v>0</v>
      </c>
      <c r="P5752" t="n">
        <v>0</v>
      </c>
      <c r="Q5752" t="n">
        <v>0</v>
      </c>
      <c r="R5752" s="2" t="inlineStr"/>
    </row>
    <row r="5753" ht="15" customHeight="1">
      <c r="A5753" t="inlineStr">
        <is>
          <t>A 1814-2025</t>
        </is>
      </c>
      <c r="B5753" s="1" t="n">
        <v>45671</v>
      </c>
      <c r="C5753" s="1" t="n">
        <v>46075</v>
      </c>
      <c r="D5753" t="inlineStr">
        <is>
          <t>VÄSTERBOTTENS LÄN</t>
        </is>
      </c>
      <c r="E5753" t="inlineStr">
        <is>
          <t>ROBERTSFORS</t>
        </is>
      </c>
      <c r="G5753" t="n">
        <v>0.4</v>
      </c>
      <c r="H5753" t="n">
        <v>0</v>
      </c>
      <c r="I5753" t="n">
        <v>0</v>
      </c>
      <c r="J5753" t="n">
        <v>0</v>
      </c>
      <c r="K5753" t="n">
        <v>0</v>
      </c>
      <c r="L5753" t="n">
        <v>0</v>
      </c>
      <c r="M5753" t="n">
        <v>0</v>
      </c>
      <c r="N5753" t="n">
        <v>0</v>
      </c>
      <c r="O5753" t="n">
        <v>0</v>
      </c>
      <c r="P5753" t="n">
        <v>0</v>
      </c>
      <c r="Q5753" t="n">
        <v>0</v>
      </c>
      <c r="R5753" s="2" t="inlineStr"/>
    </row>
    <row r="5754" ht="15" customHeight="1">
      <c r="A5754" t="inlineStr">
        <is>
          <t>A 36922-2025</t>
        </is>
      </c>
      <c r="B5754" s="1" t="n">
        <v>45874.53983796296</v>
      </c>
      <c r="C5754" s="1" t="n">
        <v>46075</v>
      </c>
      <c r="D5754" t="inlineStr">
        <is>
          <t>VÄSTERBOTTENS LÄN</t>
        </is>
      </c>
      <c r="E5754" t="inlineStr">
        <is>
          <t>STORUMAN</t>
        </is>
      </c>
      <c r="G5754" t="n">
        <v>3.5</v>
      </c>
      <c r="H5754" t="n">
        <v>0</v>
      </c>
      <c r="I5754" t="n">
        <v>0</v>
      </c>
      <c r="J5754" t="n">
        <v>0</v>
      </c>
      <c r="K5754" t="n">
        <v>0</v>
      </c>
      <c r="L5754" t="n">
        <v>0</v>
      </c>
      <c r="M5754" t="n">
        <v>0</v>
      </c>
      <c r="N5754" t="n">
        <v>0</v>
      </c>
      <c r="O5754" t="n">
        <v>0</v>
      </c>
      <c r="P5754" t="n">
        <v>0</v>
      </c>
      <c r="Q5754" t="n">
        <v>0</v>
      </c>
      <c r="R5754" s="2" t="inlineStr"/>
    </row>
    <row r="5755" ht="15" customHeight="1">
      <c r="A5755" t="inlineStr">
        <is>
          <t>A 37175-2025</t>
        </is>
      </c>
      <c r="B5755" s="1" t="n">
        <v>45875.61523148148</v>
      </c>
      <c r="C5755" s="1" t="n">
        <v>46075</v>
      </c>
      <c r="D5755" t="inlineStr">
        <is>
          <t>VÄSTERBOTTENS LÄN</t>
        </is>
      </c>
      <c r="E5755" t="inlineStr">
        <is>
          <t>VINDELN</t>
        </is>
      </c>
      <c r="F5755" t="inlineStr">
        <is>
          <t>SCA</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36848-2025</t>
        </is>
      </c>
      <c r="B5756" s="1" t="n">
        <v>45874.38707175926</v>
      </c>
      <c r="C5756" s="1" t="n">
        <v>46075</v>
      </c>
      <c r="D5756" t="inlineStr">
        <is>
          <t>VÄSTERBOTTENS LÄN</t>
        </is>
      </c>
      <c r="E5756" t="inlineStr">
        <is>
          <t>SKELLEFTEÅ</t>
        </is>
      </c>
      <c r="F5756" t="inlineStr">
        <is>
          <t>Holmen skog AB</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31741-2022</t>
        </is>
      </c>
      <c r="B5757" s="1" t="n">
        <v>44776.51278935185</v>
      </c>
      <c r="C5757" s="1" t="n">
        <v>46075</v>
      </c>
      <c r="D5757" t="inlineStr">
        <is>
          <t>VÄSTERBOTTENS LÄN</t>
        </is>
      </c>
      <c r="E5757" t="inlineStr">
        <is>
          <t>STORUMAN</t>
        </is>
      </c>
      <c r="F5757" t="inlineStr">
        <is>
          <t>Sveaskog</t>
        </is>
      </c>
      <c r="G5757" t="n">
        <v>13.3</v>
      </c>
      <c r="H5757" t="n">
        <v>0</v>
      </c>
      <c r="I5757" t="n">
        <v>0</v>
      </c>
      <c r="J5757" t="n">
        <v>0</v>
      </c>
      <c r="K5757" t="n">
        <v>0</v>
      </c>
      <c r="L5757" t="n">
        <v>0</v>
      </c>
      <c r="M5757" t="n">
        <v>0</v>
      </c>
      <c r="N5757" t="n">
        <v>0</v>
      </c>
      <c r="O5757" t="n">
        <v>0</v>
      </c>
      <c r="P5757" t="n">
        <v>0</v>
      </c>
      <c r="Q5757" t="n">
        <v>0</v>
      </c>
      <c r="R5757" s="2" t="inlineStr"/>
    </row>
    <row r="5758" ht="15" customHeight="1">
      <c r="A5758" t="inlineStr">
        <is>
          <t>A 47739-2025</t>
        </is>
      </c>
      <c r="B5758" s="1" t="n">
        <v>45931.6430787037</v>
      </c>
      <c r="C5758" s="1" t="n">
        <v>46075</v>
      </c>
      <c r="D5758" t="inlineStr">
        <is>
          <t>VÄSTERBOTTENS LÄN</t>
        </is>
      </c>
      <c r="E5758" t="inlineStr">
        <is>
          <t>SKELLEFTEÅ</t>
        </is>
      </c>
      <c r="G5758" t="n">
        <v>9.4</v>
      </c>
      <c r="H5758" t="n">
        <v>0</v>
      </c>
      <c r="I5758" t="n">
        <v>0</v>
      </c>
      <c r="J5758" t="n">
        <v>0</v>
      </c>
      <c r="K5758" t="n">
        <v>0</v>
      </c>
      <c r="L5758" t="n">
        <v>0</v>
      </c>
      <c r="M5758" t="n">
        <v>0</v>
      </c>
      <c r="N5758" t="n">
        <v>0</v>
      </c>
      <c r="O5758" t="n">
        <v>0</v>
      </c>
      <c r="P5758" t="n">
        <v>0</v>
      </c>
      <c r="Q5758" t="n">
        <v>0</v>
      </c>
      <c r="R5758" s="2" t="inlineStr"/>
    </row>
    <row r="5759" ht="15" customHeight="1">
      <c r="A5759" t="inlineStr">
        <is>
          <t>A 47740-2025</t>
        </is>
      </c>
      <c r="B5759" s="1" t="n">
        <v>45931.6437962963</v>
      </c>
      <c r="C5759" s="1" t="n">
        <v>46075</v>
      </c>
      <c r="D5759" t="inlineStr">
        <is>
          <t>VÄSTERBOTTENS LÄN</t>
        </is>
      </c>
      <c r="E5759" t="inlineStr">
        <is>
          <t>SORSELE</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36818-2025</t>
        </is>
      </c>
      <c r="B5760" s="1" t="n">
        <v>45873.78482638889</v>
      </c>
      <c r="C5760" s="1" t="n">
        <v>46075</v>
      </c>
      <c r="D5760" t="inlineStr">
        <is>
          <t>VÄSTERBOTTENS LÄN</t>
        </is>
      </c>
      <c r="E5760" t="inlineStr">
        <is>
          <t>ROBERTSFORS</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62553-2023</t>
        </is>
      </c>
      <c r="B5761" s="1" t="n">
        <v>45268.9262037037</v>
      </c>
      <c r="C5761" s="1" t="n">
        <v>46075</v>
      </c>
      <c r="D5761" t="inlineStr">
        <is>
          <t>VÄSTERBOTTENS LÄN</t>
        </is>
      </c>
      <c r="E5761" t="inlineStr">
        <is>
          <t>DOROTEA</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48140-2025</t>
        </is>
      </c>
      <c r="B5762" s="1" t="n">
        <v>45933.38341435185</v>
      </c>
      <c r="C5762" s="1" t="n">
        <v>46075</v>
      </c>
      <c r="D5762" t="inlineStr">
        <is>
          <t>VÄSTERBOTTENS LÄN</t>
        </is>
      </c>
      <c r="E5762" t="inlineStr">
        <is>
          <t>LYCKSELE</t>
        </is>
      </c>
      <c r="G5762" t="n">
        <v>13.6</v>
      </c>
      <c r="H5762" t="n">
        <v>0</v>
      </c>
      <c r="I5762" t="n">
        <v>0</v>
      </c>
      <c r="J5762" t="n">
        <v>0</v>
      </c>
      <c r="K5762" t="n">
        <v>0</v>
      </c>
      <c r="L5762" t="n">
        <v>0</v>
      </c>
      <c r="M5762" t="n">
        <v>0</v>
      </c>
      <c r="N5762" t="n">
        <v>0</v>
      </c>
      <c r="O5762" t="n">
        <v>0</v>
      </c>
      <c r="P5762" t="n">
        <v>0</v>
      </c>
      <c r="Q5762" t="n">
        <v>0</v>
      </c>
      <c r="R5762" s="2" t="inlineStr"/>
    </row>
    <row r="5763" ht="15" customHeight="1">
      <c r="A5763" t="inlineStr">
        <is>
          <t>A 37130-2025</t>
        </is>
      </c>
      <c r="B5763" s="1" t="n">
        <v>45875.54311342593</v>
      </c>
      <c r="C5763" s="1" t="n">
        <v>46075</v>
      </c>
      <c r="D5763" t="inlineStr">
        <is>
          <t>VÄSTERBOTTENS LÄN</t>
        </is>
      </c>
      <c r="E5763" t="inlineStr">
        <is>
          <t>VINDELN</t>
        </is>
      </c>
      <c r="F5763" t="inlineStr">
        <is>
          <t>Sveaskog</t>
        </is>
      </c>
      <c r="G5763" t="n">
        <v>14.3</v>
      </c>
      <c r="H5763" t="n">
        <v>0</v>
      </c>
      <c r="I5763" t="n">
        <v>0</v>
      </c>
      <c r="J5763" t="n">
        <v>0</v>
      </c>
      <c r="K5763" t="n">
        <v>0</v>
      </c>
      <c r="L5763" t="n">
        <v>0</v>
      </c>
      <c r="M5763" t="n">
        <v>0</v>
      </c>
      <c r="N5763" t="n">
        <v>0</v>
      </c>
      <c r="O5763" t="n">
        <v>0</v>
      </c>
      <c r="P5763" t="n">
        <v>0</v>
      </c>
      <c r="Q5763" t="n">
        <v>0</v>
      </c>
      <c r="R5763" s="2" t="inlineStr"/>
    </row>
    <row r="5764" ht="15" customHeight="1">
      <c r="A5764" t="inlineStr">
        <is>
          <t>A 37135-2025</t>
        </is>
      </c>
      <c r="B5764" s="1" t="n">
        <v>45875.5525462963</v>
      </c>
      <c r="C5764" s="1" t="n">
        <v>46075</v>
      </c>
      <c r="D5764" t="inlineStr">
        <is>
          <t>VÄSTERBOTTENS LÄN</t>
        </is>
      </c>
      <c r="E5764" t="inlineStr">
        <is>
          <t>DOROTEA</t>
        </is>
      </c>
      <c r="F5764" t="inlineStr">
        <is>
          <t>SCA</t>
        </is>
      </c>
      <c r="G5764" t="n">
        <v>4.7</v>
      </c>
      <c r="H5764" t="n">
        <v>0</v>
      </c>
      <c r="I5764" t="n">
        <v>0</v>
      </c>
      <c r="J5764" t="n">
        <v>0</v>
      </c>
      <c r="K5764" t="n">
        <v>0</v>
      </c>
      <c r="L5764" t="n">
        <v>0</v>
      </c>
      <c r="M5764" t="n">
        <v>0</v>
      </c>
      <c r="N5764" t="n">
        <v>0</v>
      </c>
      <c r="O5764" t="n">
        <v>0</v>
      </c>
      <c r="P5764" t="n">
        <v>0</v>
      </c>
      <c r="Q5764" t="n">
        <v>0</v>
      </c>
      <c r="R5764" s="2" t="inlineStr"/>
    </row>
    <row r="5765" ht="15" customHeight="1">
      <c r="A5765" t="inlineStr">
        <is>
          <t>A 47825-2025</t>
        </is>
      </c>
      <c r="B5765" s="1" t="n">
        <v>45932.34476851852</v>
      </c>
      <c r="C5765" s="1" t="n">
        <v>46075</v>
      </c>
      <c r="D5765" t="inlineStr">
        <is>
          <t>VÄSTERBOTTENS LÄN</t>
        </is>
      </c>
      <c r="E5765" t="inlineStr">
        <is>
          <t>ÅSELE</t>
        </is>
      </c>
      <c r="F5765" t="inlineStr">
        <is>
          <t>SCA</t>
        </is>
      </c>
      <c r="G5765" t="n">
        <v>8.4</v>
      </c>
      <c r="H5765" t="n">
        <v>0</v>
      </c>
      <c r="I5765" t="n">
        <v>0</v>
      </c>
      <c r="J5765" t="n">
        <v>0</v>
      </c>
      <c r="K5765" t="n">
        <v>0</v>
      </c>
      <c r="L5765" t="n">
        <v>0</v>
      </c>
      <c r="M5765" t="n">
        <v>0</v>
      </c>
      <c r="N5765" t="n">
        <v>0</v>
      </c>
      <c r="O5765" t="n">
        <v>0</v>
      </c>
      <c r="P5765" t="n">
        <v>0</v>
      </c>
      <c r="Q5765" t="n">
        <v>0</v>
      </c>
      <c r="R5765" s="2" t="inlineStr"/>
    </row>
    <row r="5766" ht="15" customHeight="1">
      <c r="A5766" t="inlineStr">
        <is>
          <t>A 47827-2025</t>
        </is>
      </c>
      <c r="B5766" s="1" t="n">
        <v>45932.34491898148</v>
      </c>
      <c r="C5766" s="1" t="n">
        <v>46075</v>
      </c>
      <c r="D5766" t="inlineStr">
        <is>
          <t>VÄSTERBOTTENS LÄN</t>
        </is>
      </c>
      <c r="E5766" t="inlineStr">
        <is>
          <t>SKELLEFTEÅ</t>
        </is>
      </c>
      <c r="G5766" t="n">
        <v>4.4</v>
      </c>
      <c r="H5766" t="n">
        <v>0</v>
      </c>
      <c r="I5766" t="n">
        <v>0</v>
      </c>
      <c r="J5766" t="n">
        <v>0</v>
      </c>
      <c r="K5766" t="n">
        <v>0</v>
      </c>
      <c r="L5766" t="n">
        <v>0</v>
      </c>
      <c r="M5766" t="n">
        <v>0</v>
      </c>
      <c r="N5766" t="n">
        <v>0</v>
      </c>
      <c r="O5766" t="n">
        <v>0</v>
      </c>
      <c r="P5766" t="n">
        <v>0</v>
      </c>
      <c r="Q5766" t="n">
        <v>0</v>
      </c>
      <c r="R5766" s="2" t="inlineStr"/>
    </row>
    <row r="5767" ht="15" customHeight="1">
      <c r="A5767" t="inlineStr">
        <is>
          <t>A 37192-2025</t>
        </is>
      </c>
      <c r="B5767" s="1" t="n">
        <v>45875.65143518519</v>
      </c>
      <c r="C5767" s="1" t="n">
        <v>46075</v>
      </c>
      <c r="D5767" t="inlineStr">
        <is>
          <t>VÄSTERBOTTENS LÄN</t>
        </is>
      </c>
      <c r="E5767" t="inlineStr">
        <is>
          <t>SKELLEFTEÅ</t>
        </is>
      </c>
      <c r="F5767" t="inlineStr">
        <is>
          <t>Sveaskog</t>
        </is>
      </c>
      <c r="G5767" t="n">
        <v>24.8</v>
      </c>
      <c r="H5767" t="n">
        <v>0</v>
      </c>
      <c r="I5767" t="n">
        <v>0</v>
      </c>
      <c r="J5767" t="n">
        <v>0</v>
      </c>
      <c r="K5767" t="n">
        <v>0</v>
      </c>
      <c r="L5767" t="n">
        <v>0</v>
      </c>
      <c r="M5767" t="n">
        <v>0</v>
      </c>
      <c r="N5767" t="n">
        <v>0</v>
      </c>
      <c r="O5767" t="n">
        <v>0</v>
      </c>
      <c r="P5767" t="n">
        <v>0</v>
      </c>
      <c r="Q5767" t="n">
        <v>0</v>
      </c>
      <c r="R5767" s="2" t="inlineStr"/>
    </row>
    <row r="5768" ht="15" customHeight="1">
      <c r="A5768" t="inlineStr">
        <is>
          <t>A 37193-2025</t>
        </is>
      </c>
      <c r="B5768" s="1" t="n">
        <v>45875.65556712963</v>
      </c>
      <c r="C5768" s="1" t="n">
        <v>46075</v>
      </c>
      <c r="D5768" t="inlineStr">
        <is>
          <t>VÄSTERBOTTENS LÄN</t>
        </is>
      </c>
      <c r="E5768" t="inlineStr">
        <is>
          <t>VINDELN</t>
        </is>
      </c>
      <c r="F5768" t="inlineStr">
        <is>
          <t>Sveaskog</t>
        </is>
      </c>
      <c r="G5768" t="n">
        <v>3.9</v>
      </c>
      <c r="H5768" t="n">
        <v>0</v>
      </c>
      <c r="I5768" t="n">
        <v>0</v>
      </c>
      <c r="J5768" t="n">
        <v>0</v>
      </c>
      <c r="K5768" t="n">
        <v>0</v>
      </c>
      <c r="L5768" t="n">
        <v>0</v>
      </c>
      <c r="M5768" t="n">
        <v>0</v>
      </c>
      <c r="N5768" t="n">
        <v>0</v>
      </c>
      <c r="O5768" t="n">
        <v>0</v>
      </c>
      <c r="P5768" t="n">
        <v>0</v>
      </c>
      <c r="Q5768" t="n">
        <v>0</v>
      </c>
      <c r="R5768" s="2" t="inlineStr"/>
    </row>
    <row r="5769" ht="15" customHeight="1">
      <c r="A5769" t="inlineStr">
        <is>
          <t>A 28609-2021</t>
        </is>
      </c>
      <c r="B5769" s="1" t="n">
        <v>44356.93478009259</v>
      </c>
      <c r="C5769" s="1" t="n">
        <v>46075</v>
      </c>
      <c r="D5769" t="inlineStr">
        <is>
          <t>VÄSTERBOTTENS LÄN</t>
        </is>
      </c>
      <c r="E5769" t="inlineStr">
        <is>
          <t>ÅSELE</t>
        </is>
      </c>
      <c r="F5769" t="inlineStr">
        <is>
          <t>SCA</t>
        </is>
      </c>
      <c r="G5769" t="n">
        <v>3.1</v>
      </c>
      <c r="H5769" t="n">
        <v>0</v>
      </c>
      <c r="I5769" t="n">
        <v>0</v>
      </c>
      <c r="J5769" t="n">
        <v>0</v>
      </c>
      <c r="K5769" t="n">
        <v>0</v>
      </c>
      <c r="L5769" t="n">
        <v>0</v>
      </c>
      <c r="M5769" t="n">
        <v>0</v>
      </c>
      <c r="N5769" t="n">
        <v>0</v>
      </c>
      <c r="O5769" t="n">
        <v>0</v>
      </c>
      <c r="P5769" t="n">
        <v>0</v>
      </c>
      <c r="Q5769" t="n">
        <v>0</v>
      </c>
      <c r="R5769" s="2" t="inlineStr"/>
    </row>
    <row r="5770" ht="15" customHeight="1">
      <c r="A5770" t="inlineStr">
        <is>
          <t>A 36942-2025</t>
        </is>
      </c>
      <c r="B5770" s="1" t="n">
        <v>45874.59280092592</v>
      </c>
      <c r="C5770" s="1" t="n">
        <v>46075</v>
      </c>
      <c r="D5770" t="inlineStr">
        <is>
          <t>VÄSTERBOTTENS LÄN</t>
        </is>
      </c>
      <c r="E5770" t="inlineStr">
        <is>
          <t>STORUMAN</t>
        </is>
      </c>
      <c r="G5770" t="n">
        <v>14.4</v>
      </c>
      <c r="H5770" t="n">
        <v>0</v>
      </c>
      <c r="I5770" t="n">
        <v>0</v>
      </c>
      <c r="J5770" t="n">
        <v>0</v>
      </c>
      <c r="K5770" t="n">
        <v>0</v>
      </c>
      <c r="L5770" t="n">
        <v>0</v>
      </c>
      <c r="M5770" t="n">
        <v>0</v>
      </c>
      <c r="N5770" t="n">
        <v>0</v>
      </c>
      <c r="O5770" t="n">
        <v>0</v>
      </c>
      <c r="P5770" t="n">
        <v>0</v>
      </c>
      <c r="Q5770" t="n">
        <v>0</v>
      </c>
      <c r="R5770" s="2" t="inlineStr"/>
    </row>
    <row r="5771" ht="15" customHeight="1">
      <c r="A5771" t="inlineStr">
        <is>
          <t>A 36945-2025</t>
        </is>
      </c>
      <c r="B5771" s="1" t="n">
        <v>45874.5946875</v>
      </c>
      <c r="C5771" s="1" t="n">
        <v>46075</v>
      </c>
      <c r="D5771" t="inlineStr">
        <is>
          <t>VÄSTERBOTTENS LÄN</t>
        </is>
      </c>
      <c r="E5771" t="inlineStr">
        <is>
          <t>DOROTEA</t>
        </is>
      </c>
      <c r="F5771" t="inlineStr">
        <is>
          <t>SCA</t>
        </is>
      </c>
      <c r="G5771" t="n">
        <v>4.7</v>
      </c>
      <c r="H5771" t="n">
        <v>0</v>
      </c>
      <c r="I5771" t="n">
        <v>0</v>
      </c>
      <c r="J5771" t="n">
        <v>0</v>
      </c>
      <c r="K5771" t="n">
        <v>0</v>
      </c>
      <c r="L5771" t="n">
        <v>0</v>
      </c>
      <c r="M5771" t="n">
        <v>0</v>
      </c>
      <c r="N5771" t="n">
        <v>0</v>
      </c>
      <c r="O5771" t="n">
        <v>0</v>
      </c>
      <c r="P5771" t="n">
        <v>0</v>
      </c>
      <c r="Q5771" t="n">
        <v>0</v>
      </c>
      <c r="R5771" s="2" t="inlineStr"/>
    </row>
    <row r="5772" ht="15" customHeight="1">
      <c r="A5772" t="inlineStr">
        <is>
          <t>A 48207-2025</t>
        </is>
      </c>
      <c r="B5772" s="1" t="n">
        <v>45933.48862268519</v>
      </c>
      <c r="C5772" s="1" t="n">
        <v>46075</v>
      </c>
      <c r="D5772" t="inlineStr">
        <is>
          <t>VÄSTERBOTTENS LÄN</t>
        </is>
      </c>
      <c r="E5772" t="inlineStr">
        <is>
          <t>SKELLEFTEÅ</t>
        </is>
      </c>
      <c r="F5772" t="inlineStr">
        <is>
          <t>Holmen skog AB</t>
        </is>
      </c>
      <c r="G5772" t="n">
        <v>4.7</v>
      </c>
      <c r="H5772" t="n">
        <v>0</v>
      </c>
      <c r="I5772" t="n">
        <v>0</v>
      </c>
      <c r="J5772" t="n">
        <v>0</v>
      </c>
      <c r="K5772" t="n">
        <v>0</v>
      </c>
      <c r="L5772" t="n">
        <v>0</v>
      </c>
      <c r="M5772" t="n">
        <v>0</v>
      </c>
      <c r="N5772" t="n">
        <v>0</v>
      </c>
      <c r="O5772" t="n">
        <v>0</v>
      </c>
      <c r="P5772" t="n">
        <v>0</v>
      </c>
      <c r="Q5772" t="n">
        <v>0</v>
      </c>
      <c r="R5772" s="2" t="inlineStr"/>
    </row>
    <row r="5773" ht="15" customHeight="1">
      <c r="A5773" t="inlineStr">
        <is>
          <t>A 11454-2021</t>
        </is>
      </c>
      <c r="B5773" s="1" t="n">
        <v>44264</v>
      </c>
      <c r="C5773" s="1" t="n">
        <v>46075</v>
      </c>
      <c r="D5773" t="inlineStr">
        <is>
          <t>VÄSTERBOTTENS LÄN</t>
        </is>
      </c>
      <c r="E5773" t="inlineStr">
        <is>
          <t>SKELLEFTEÅ</t>
        </is>
      </c>
      <c r="G5773" t="n">
        <v>14.6</v>
      </c>
      <c r="H5773" t="n">
        <v>0</v>
      </c>
      <c r="I5773" t="n">
        <v>0</v>
      </c>
      <c r="J5773" t="n">
        <v>0</v>
      </c>
      <c r="K5773" t="n">
        <v>0</v>
      </c>
      <c r="L5773" t="n">
        <v>0</v>
      </c>
      <c r="M5773" t="n">
        <v>0</v>
      </c>
      <c r="N5773" t="n">
        <v>0</v>
      </c>
      <c r="O5773" t="n">
        <v>0</v>
      </c>
      <c r="P5773" t="n">
        <v>0</v>
      </c>
      <c r="Q5773" t="n">
        <v>0</v>
      </c>
      <c r="R5773" s="2" t="inlineStr"/>
    </row>
    <row r="5774" ht="15" customHeight="1">
      <c r="A5774" t="inlineStr">
        <is>
          <t>A 37015-2025</t>
        </is>
      </c>
      <c r="B5774" s="1" t="n">
        <v>45874.71912037037</v>
      </c>
      <c r="C5774" s="1" t="n">
        <v>46075</v>
      </c>
      <c r="D5774" t="inlineStr">
        <is>
          <t>VÄSTERBOTTENS LÄN</t>
        </is>
      </c>
      <c r="E5774" t="inlineStr">
        <is>
          <t>VILHELMINA</t>
        </is>
      </c>
      <c r="F5774" t="inlineStr">
        <is>
          <t>SCA</t>
        </is>
      </c>
      <c r="G5774" t="n">
        <v>7.9</v>
      </c>
      <c r="H5774" t="n">
        <v>0</v>
      </c>
      <c r="I5774" t="n">
        <v>0</v>
      </c>
      <c r="J5774" t="n">
        <v>0</v>
      </c>
      <c r="K5774" t="n">
        <v>0</v>
      </c>
      <c r="L5774" t="n">
        <v>0</v>
      </c>
      <c r="M5774" t="n">
        <v>0</v>
      </c>
      <c r="N5774" t="n">
        <v>0</v>
      </c>
      <c r="O5774" t="n">
        <v>0</v>
      </c>
      <c r="P5774" t="n">
        <v>0</v>
      </c>
      <c r="Q5774" t="n">
        <v>0</v>
      </c>
      <c r="R5774" s="2" t="inlineStr"/>
    </row>
    <row r="5775" ht="15" customHeight="1">
      <c r="A5775" t="inlineStr">
        <is>
          <t>A 11499-2021</t>
        </is>
      </c>
      <c r="B5775" s="1" t="n">
        <v>44264.37333333334</v>
      </c>
      <c r="C5775" s="1" t="n">
        <v>46075</v>
      </c>
      <c r="D5775" t="inlineStr">
        <is>
          <t>VÄSTERBOTTENS LÄN</t>
        </is>
      </c>
      <c r="E5775" t="inlineStr">
        <is>
          <t>SKELLEFTEÅ</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52795-2024</t>
        </is>
      </c>
      <c r="B5776" s="1" t="n">
        <v>45610</v>
      </c>
      <c r="C5776" s="1" t="n">
        <v>46075</v>
      </c>
      <c r="D5776" t="inlineStr">
        <is>
          <t>VÄSTERBOTTENS LÄN</t>
        </is>
      </c>
      <c r="E5776" t="inlineStr">
        <is>
          <t>MALÅ</t>
        </is>
      </c>
      <c r="G5776" t="n">
        <v>3.1</v>
      </c>
      <c r="H5776" t="n">
        <v>0</v>
      </c>
      <c r="I5776" t="n">
        <v>0</v>
      </c>
      <c r="J5776" t="n">
        <v>0</v>
      </c>
      <c r="K5776" t="n">
        <v>0</v>
      </c>
      <c r="L5776" t="n">
        <v>0</v>
      </c>
      <c r="M5776" t="n">
        <v>0</v>
      </c>
      <c r="N5776" t="n">
        <v>0</v>
      </c>
      <c r="O5776" t="n">
        <v>0</v>
      </c>
      <c r="P5776" t="n">
        <v>0</v>
      </c>
      <c r="Q5776" t="n">
        <v>0</v>
      </c>
      <c r="R5776" s="2" t="inlineStr"/>
    </row>
    <row r="5777" ht="15" customHeight="1">
      <c r="A5777" t="inlineStr">
        <is>
          <t>A 37038-2025</t>
        </is>
      </c>
      <c r="B5777" s="1" t="n">
        <v>45875.31435185186</v>
      </c>
      <c r="C5777" s="1" t="n">
        <v>46075</v>
      </c>
      <c r="D5777" t="inlineStr">
        <is>
          <t>VÄSTERBOTTENS LÄN</t>
        </is>
      </c>
      <c r="E5777" t="inlineStr">
        <is>
          <t>UMEÅ</t>
        </is>
      </c>
      <c r="F5777" t="inlineStr">
        <is>
          <t>Holmen skog AB</t>
        </is>
      </c>
      <c r="G5777" t="n">
        <v>3.4</v>
      </c>
      <c r="H5777" t="n">
        <v>0</v>
      </c>
      <c r="I5777" t="n">
        <v>0</v>
      </c>
      <c r="J5777" t="n">
        <v>0</v>
      </c>
      <c r="K5777" t="n">
        <v>0</v>
      </c>
      <c r="L5777" t="n">
        <v>0</v>
      </c>
      <c r="M5777" t="n">
        <v>0</v>
      </c>
      <c r="N5777" t="n">
        <v>0</v>
      </c>
      <c r="O5777" t="n">
        <v>0</v>
      </c>
      <c r="P5777" t="n">
        <v>0</v>
      </c>
      <c r="Q5777" t="n">
        <v>0</v>
      </c>
      <c r="R5777" s="2" t="inlineStr"/>
    </row>
    <row r="5778" ht="15" customHeight="1">
      <c r="A5778" t="inlineStr">
        <is>
          <t>A 48011-2025</t>
        </is>
      </c>
      <c r="B5778" s="1" t="n">
        <v>45932.64318287037</v>
      </c>
      <c r="C5778" s="1" t="n">
        <v>46075</v>
      </c>
      <c r="D5778" t="inlineStr">
        <is>
          <t>VÄSTERBOTTENS LÄN</t>
        </is>
      </c>
      <c r="E5778" t="inlineStr">
        <is>
          <t>UMEÅ</t>
        </is>
      </c>
      <c r="G5778" t="n">
        <v>5.1</v>
      </c>
      <c r="H5778" t="n">
        <v>0</v>
      </c>
      <c r="I5778" t="n">
        <v>0</v>
      </c>
      <c r="J5778" t="n">
        <v>0</v>
      </c>
      <c r="K5778" t="n">
        <v>0</v>
      </c>
      <c r="L5778" t="n">
        <v>0</v>
      </c>
      <c r="M5778" t="n">
        <v>0</v>
      </c>
      <c r="N5778" t="n">
        <v>0</v>
      </c>
      <c r="O5778" t="n">
        <v>0</v>
      </c>
      <c r="P5778" t="n">
        <v>0</v>
      </c>
      <c r="Q5778" t="n">
        <v>0</v>
      </c>
      <c r="R5778" s="2" t="inlineStr"/>
    </row>
    <row r="5779" ht="15" customHeight="1">
      <c r="A5779" t="inlineStr">
        <is>
          <t>A 48021-2025</t>
        </is>
      </c>
      <c r="B5779" s="1" t="n">
        <v>45932.64856481482</v>
      </c>
      <c r="C5779" s="1" t="n">
        <v>46075</v>
      </c>
      <c r="D5779" t="inlineStr">
        <is>
          <t>VÄSTERBOTTENS LÄN</t>
        </is>
      </c>
      <c r="E5779" t="inlineStr">
        <is>
          <t>SKELLEFTEÅ</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36762-2025</t>
        </is>
      </c>
      <c r="B5780" s="1" t="n">
        <v>45873.57332175926</v>
      </c>
      <c r="C5780" s="1" t="n">
        <v>46075</v>
      </c>
      <c r="D5780" t="inlineStr">
        <is>
          <t>VÄSTERBOTTENS LÄN</t>
        </is>
      </c>
      <c r="E5780" t="inlineStr">
        <is>
          <t>SKELLEFTEÅ</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48003-2025</t>
        </is>
      </c>
      <c r="B5781" s="1" t="n">
        <v>45932.63306712963</v>
      </c>
      <c r="C5781" s="1" t="n">
        <v>46075</v>
      </c>
      <c r="D5781" t="inlineStr">
        <is>
          <t>VÄSTERBOTTENS LÄN</t>
        </is>
      </c>
      <c r="E5781" t="inlineStr">
        <is>
          <t>SKELLEFTEÅ</t>
        </is>
      </c>
      <c r="G5781" t="n">
        <v>6.6</v>
      </c>
      <c r="H5781" t="n">
        <v>0</v>
      </c>
      <c r="I5781" t="n">
        <v>0</v>
      </c>
      <c r="J5781" t="n">
        <v>0</v>
      </c>
      <c r="K5781" t="n">
        <v>0</v>
      </c>
      <c r="L5781" t="n">
        <v>0</v>
      </c>
      <c r="M5781" t="n">
        <v>0</v>
      </c>
      <c r="N5781" t="n">
        <v>0</v>
      </c>
      <c r="O5781" t="n">
        <v>0</v>
      </c>
      <c r="P5781" t="n">
        <v>0</v>
      </c>
      <c r="Q5781" t="n">
        <v>0</v>
      </c>
      <c r="R5781" s="2" t="inlineStr"/>
    </row>
    <row r="5782" ht="15" customHeight="1">
      <c r="A5782" t="inlineStr">
        <is>
          <t>A 44209-2024</t>
        </is>
      </c>
      <c r="B5782" s="1" t="n">
        <v>45573</v>
      </c>
      <c r="C5782" s="1" t="n">
        <v>46075</v>
      </c>
      <c r="D5782" t="inlineStr">
        <is>
          <t>VÄSTERBOTTENS LÄN</t>
        </is>
      </c>
      <c r="E5782" t="inlineStr">
        <is>
          <t>ÅSELE</t>
        </is>
      </c>
      <c r="F5782" t="inlineStr">
        <is>
          <t>Sveaskog</t>
        </is>
      </c>
      <c r="G5782" t="n">
        <v>12.5</v>
      </c>
      <c r="H5782" t="n">
        <v>0</v>
      </c>
      <c r="I5782" t="n">
        <v>0</v>
      </c>
      <c r="J5782" t="n">
        <v>0</v>
      </c>
      <c r="K5782" t="n">
        <v>0</v>
      </c>
      <c r="L5782" t="n">
        <v>0</v>
      </c>
      <c r="M5782" t="n">
        <v>0</v>
      </c>
      <c r="N5782" t="n">
        <v>0</v>
      </c>
      <c r="O5782" t="n">
        <v>0</v>
      </c>
      <c r="P5782" t="n">
        <v>0</v>
      </c>
      <c r="Q5782" t="n">
        <v>0</v>
      </c>
      <c r="R5782" s="2" t="inlineStr"/>
    </row>
    <row r="5783" ht="15" customHeight="1">
      <c r="A5783" t="inlineStr">
        <is>
          <t>A 17220-2021</t>
        </is>
      </c>
      <c r="B5783" s="1" t="n">
        <v>44298</v>
      </c>
      <c r="C5783" s="1" t="n">
        <v>46075</v>
      </c>
      <c r="D5783" t="inlineStr">
        <is>
          <t>VÄSTERBOTTENS LÄN</t>
        </is>
      </c>
      <c r="E5783" t="inlineStr">
        <is>
          <t>STORUMAN</t>
        </is>
      </c>
      <c r="G5783" t="n">
        <v>29.4</v>
      </c>
      <c r="H5783" t="n">
        <v>0</v>
      </c>
      <c r="I5783" t="n">
        <v>0</v>
      </c>
      <c r="J5783" t="n">
        <v>0</v>
      </c>
      <c r="K5783" t="n">
        <v>0</v>
      </c>
      <c r="L5783" t="n">
        <v>0</v>
      </c>
      <c r="M5783" t="n">
        <v>0</v>
      </c>
      <c r="N5783" t="n">
        <v>0</v>
      </c>
      <c r="O5783" t="n">
        <v>0</v>
      </c>
      <c r="P5783" t="n">
        <v>0</v>
      </c>
      <c r="Q5783" t="n">
        <v>0</v>
      </c>
      <c r="R5783" s="2" t="inlineStr"/>
    </row>
    <row r="5784" ht="15" customHeight="1">
      <c r="A5784" t="inlineStr">
        <is>
          <t>A 36902-2025</t>
        </is>
      </c>
      <c r="B5784" s="1" t="n">
        <v>45874.48899305556</v>
      </c>
      <c r="C5784" s="1" t="n">
        <v>46075</v>
      </c>
      <c r="D5784" t="inlineStr">
        <is>
          <t>VÄSTERBOTTENS LÄN</t>
        </is>
      </c>
      <c r="E5784" t="inlineStr">
        <is>
          <t>UMEÅ</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36925-2025</t>
        </is>
      </c>
      <c r="B5785" s="1" t="n">
        <v>45874.5504050926</v>
      </c>
      <c r="C5785" s="1" t="n">
        <v>46075</v>
      </c>
      <c r="D5785" t="inlineStr">
        <is>
          <t>VÄSTERBOTTENS LÄN</t>
        </is>
      </c>
      <c r="E5785" t="inlineStr">
        <is>
          <t>SKELLEFTEÅ</t>
        </is>
      </c>
      <c r="G5785" t="n">
        <v>5.3</v>
      </c>
      <c r="H5785" t="n">
        <v>0</v>
      </c>
      <c r="I5785" t="n">
        <v>0</v>
      </c>
      <c r="J5785" t="n">
        <v>0</v>
      </c>
      <c r="K5785" t="n">
        <v>0</v>
      </c>
      <c r="L5785" t="n">
        <v>0</v>
      </c>
      <c r="M5785" t="n">
        <v>0</v>
      </c>
      <c r="N5785" t="n">
        <v>0</v>
      </c>
      <c r="O5785" t="n">
        <v>0</v>
      </c>
      <c r="P5785" t="n">
        <v>0</v>
      </c>
      <c r="Q5785" t="n">
        <v>0</v>
      </c>
      <c r="R5785" s="2" t="inlineStr"/>
    </row>
    <row r="5786" ht="15" customHeight="1">
      <c r="A5786" t="inlineStr">
        <is>
          <t>A 36944-2025</t>
        </is>
      </c>
      <c r="B5786" s="1" t="n">
        <v>45874.59450231482</v>
      </c>
      <c r="C5786" s="1" t="n">
        <v>46075</v>
      </c>
      <c r="D5786" t="inlineStr">
        <is>
          <t>VÄSTERBOTTENS LÄN</t>
        </is>
      </c>
      <c r="E5786" t="inlineStr">
        <is>
          <t>VILHELMINA</t>
        </is>
      </c>
      <c r="F5786" t="inlineStr">
        <is>
          <t>SCA</t>
        </is>
      </c>
      <c r="G5786" t="n">
        <v>17.4</v>
      </c>
      <c r="H5786" t="n">
        <v>0</v>
      </c>
      <c r="I5786" t="n">
        <v>0</v>
      </c>
      <c r="J5786" t="n">
        <v>0</v>
      </c>
      <c r="K5786" t="n">
        <v>0</v>
      </c>
      <c r="L5786" t="n">
        <v>0</v>
      </c>
      <c r="M5786" t="n">
        <v>0</v>
      </c>
      <c r="N5786" t="n">
        <v>0</v>
      </c>
      <c r="O5786" t="n">
        <v>0</v>
      </c>
      <c r="P5786" t="n">
        <v>0</v>
      </c>
      <c r="Q5786" t="n">
        <v>0</v>
      </c>
      <c r="R5786" s="2" t="inlineStr"/>
    </row>
    <row r="5787" ht="15" customHeight="1">
      <c r="A5787" t="inlineStr">
        <is>
          <t>A 48267-2025</t>
        </is>
      </c>
      <c r="B5787" s="1" t="n">
        <v>45933.57060185185</v>
      </c>
      <c r="C5787" s="1" t="n">
        <v>46075</v>
      </c>
      <c r="D5787" t="inlineStr">
        <is>
          <t>VÄSTERBOTTENS LÄN</t>
        </is>
      </c>
      <c r="E5787" t="inlineStr">
        <is>
          <t>UMEÅ</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36962-2025</t>
        </is>
      </c>
      <c r="B5788" s="1" t="n">
        <v>45874.63052083334</v>
      </c>
      <c r="C5788" s="1" t="n">
        <v>46075</v>
      </c>
      <c r="D5788" t="inlineStr">
        <is>
          <t>VÄSTERBOTTENS LÄN</t>
        </is>
      </c>
      <c r="E5788" t="inlineStr">
        <is>
          <t>SKELLEFTEÅ</t>
        </is>
      </c>
      <c r="G5788" t="n">
        <v>3.2</v>
      </c>
      <c r="H5788" t="n">
        <v>0</v>
      </c>
      <c r="I5788" t="n">
        <v>0</v>
      </c>
      <c r="J5788" t="n">
        <v>0</v>
      </c>
      <c r="K5788" t="n">
        <v>0</v>
      </c>
      <c r="L5788" t="n">
        <v>0</v>
      </c>
      <c r="M5788" t="n">
        <v>0</v>
      </c>
      <c r="N5788" t="n">
        <v>0</v>
      </c>
      <c r="O5788" t="n">
        <v>0</v>
      </c>
      <c r="P5788" t="n">
        <v>0</v>
      </c>
      <c r="Q5788" t="n">
        <v>0</v>
      </c>
      <c r="R5788" s="2" t="inlineStr"/>
    </row>
    <row r="5789" ht="15" customHeight="1">
      <c r="A5789" t="inlineStr">
        <is>
          <t>A 37046-2025</t>
        </is>
      </c>
      <c r="B5789" s="1" t="n">
        <v>45875.34476851852</v>
      </c>
      <c r="C5789" s="1" t="n">
        <v>46075</v>
      </c>
      <c r="D5789" t="inlineStr">
        <is>
          <t>VÄSTERBOTTENS LÄN</t>
        </is>
      </c>
      <c r="E5789" t="inlineStr">
        <is>
          <t>BJURHOLM</t>
        </is>
      </c>
      <c r="F5789" t="inlineStr">
        <is>
          <t>SCA</t>
        </is>
      </c>
      <c r="G5789" t="n">
        <v>4.8</v>
      </c>
      <c r="H5789" t="n">
        <v>0</v>
      </c>
      <c r="I5789" t="n">
        <v>0</v>
      </c>
      <c r="J5789" t="n">
        <v>0</v>
      </c>
      <c r="K5789" t="n">
        <v>0</v>
      </c>
      <c r="L5789" t="n">
        <v>0</v>
      </c>
      <c r="M5789" t="n">
        <v>0</v>
      </c>
      <c r="N5789" t="n">
        <v>0</v>
      </c>
      <c r="O5789" t="n">
        <v>0</v>
      </c>
      <c r="P5789" t="n">
        <v>0</v>
      </c>
      <c r="Q5789" t="n">
        <v>0</v>
      </c>
      <c r="R5789" s="2" t="inlineStr"/>
    </row>
    <row r="5790" ht="15" customHeight="1">
      <c r="A5790" t="inlineStr">
        <is>
          <t>A 72057-2021</t>
        </is>
      </c>
      <c r="B5790" s="1" t="n">
        <v>44540</v>
      </c>
      <c r="C5790" s="1" t="n">
        <v>46075</v>
      </c>
      <c r="D5790" t="inlineStr">
        <is>
          <t>VÄSTERBOTTENS LÄN</t>
        </is>
      </c>
      <c r="E5790" t="inlineStr">
        <is>
          <t>VILHELMINA</t>
        </is>
      </c>
      <c r="G5790" t="n">
        <v>7</v>
      </c>
      <c r="H5790" t="n">
        <v>0</v>
      </c>
      <c r="I5790" t="n">
        <v>0</v>
      </c>
      <c r="J5790" t="n">
        <v>0</v>
      </c>
      <c r="K5790" t="n">
        <v>0</v>
      </c>
      <c r="L5790" t="n">
        <v>0</v>
      </c>
      <c r="M5790" t="n">
        <v>0</v>
      </c>
      <c r="N5790" t="n">
        <v>0</v>
      </c>
      <c r="O5790" t="n">
        <v>0</v>
      </c>
      <c r="P5790" t="n">
        <v>0</v>
      </c>
      <c r="Q5790" t="n">
        <v>0</v>
      </c>
      <c r="R5790" s="2" t="inlineStr"/>
    </row>
    <row r="5791" ht="15" customHeight="1">
      <c r="A5791" t="inlineStr">
        <is>
          <t>A 39320-2023</t>
        </is>
      </c>
      <c r="B5791" s="1" t="n">
        <v>45166</v>
      </c>
      <c r="C5791" s="1" t="n">
        <v>46075</v>
      </c>
      <c r="D5791" t="inlineStr">
        <is>
          <t>VÄSTERBOTTENS LÄN</t>
        </is>
      </c>
      <c r="E5791" t="inlineStr">
        <is>
          <t>MALÅ</t>
        </is>
      </c>
      <c r="F5791" t="inlineStr">
        <is>
          <t>Kyrkan</t>
        </is>
      </c>
      <c r="G5791" t="n">
        <v>84.5</v>
      </c>
      <c r="H5791" t="n">
        <v>0</v>
      </c>
      <c r="I5791" t="n">
        <v>0</v>
      </c>
      <c r="J5791" t="n">
        <v>0</v>
      </c>
      <c r="K5791" t="n">
        <v>0</v>
      </c>
      <c r="L5791" t="n">
        <v>0</v>
      </c>
      <c r="M5791" t="n">
        <v>0</v>
      </c>
      <c r="N5791" t="n">
        <v>0</v>
      </c>
      <c r="O5791" t="n">
        <v>0</v>
      </c>
      <c r="P5791" t="n">
        <v>0</v>
      </c>
      <c r="Q5791" t="n">
        <v>0</v>
      </c>
      <c r="R5791" s="2" t="inlineStr"/>
    </row>
    <row r="5792" ht="15" customHeight="1">
      <c r="A5792" t="inlineStr">
        <is>
          <t>A 37162-2025</t>
        </is>
      </c>
      <c r="B5792" s="1" t="n">
        <v>45875.60013888889</v>
      </c>
      <c r="C5792" s="1" t="n">
        <v>46075</v>
      </c>
      <c r="D5792" t="inlineStr">
        <is>
          <t>VÄSTERBOTTENS LÄN</t>
        </is>
      </c>
      <c r="E5792" t="inlineStr">
        <is>
          <t>VINDELN</t>
        </is>
      </c>
      <c r="F5792" t="inlineStr">
        <is>
          <t>Sveaskog</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37174-2025</t>
        </is>
      </c>
      <c r="B5793" s="1" t="n">
        <v>45875.61515046296</v>
      </c>
      <c r="C5793" s="1" t="n">
        <v>46075</v>
      </c>
      <c r="D5793" t="inlineStr">
        <is>
          <t>VÄSTERBOTTENS LÄN</t>
        </is>
      </c>
      <c r="E5793" t="inlineStr">
        <is>
          <t>VINDELN</t>
        </is>
      </c>
      <c r="F5793" t="inlineStr">
        <is>
          <t>SCA</t>
        </is>
      </c>
      <c r="G5793" t="n">
        <v>0.2</v>
      </c>
      <c r="H5793" t="n">
        <v>0</v>
      </c>
      <c r="I5793" t="n">
        <v>0</v>
      </c>
      <c r="J5793" t="n">
        <v>0</v>
      </c>
      <c r="K5793" t="n">
        <v>0</v>
      </c>
      <c r="L5793" t="n">
        <v>0</v>
      </c>
      <c r="M5793" t="n">
        <v>0</v>
      </c>
      <c r="N5793" t="n">
        <v>0</v>
      </c>
      <c r="O5793" t="n">
        <v>0</v>
      </c>
      <c r="P5793" t="n">
        <v>0</v>
      </c>
      <c r="Q5793" t="n">
        <v>0</v>
      </c>
      <c r="R5793" s="2" t="inlineStr"/>
    </row>
    <row r="5794" ht="15" customHeight="1">
      <c r="A5794" t="inlineStr">
        <is>
          <t>A 37176-2025</t>
        </is>
      </c>
      <c r="B5794" s="1" t="n">
        <v>45875.61525462963</v>
      </c>
      <c r="C5794" s="1" t="n">
        <v>46075</v>
      </c>
      <c r="D5794" t="inlineStr">
        <is>
          <t>VÄSTERBOTTENS LÄN</t>
        </is>
      </c>
      <c r="E5794" t="inlineStr">
        <is>
          <t>VINDELN</t>
        </is>
      </c>
      <c r="F5794" t="inlineStr">
        <is>
          <t>SCA</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32057-2024</t>
        </is>
      </c>
      <c r="B5795" s="1" t="n">
        <v>45510</v>
      </c>
      <c r="C5795" s="1" t="n">
        <v>46075</v>
      </c>
      <c r="D5795" t="inlineStr">
        <is>
          <t>VÄSTERBOTTENS LÄN</t>
        </is>
      </c>
      <c r="E5795" t="inlineStr">
        <is>
          <t>ÅSELE</t>
        </is>
      </c>
      <c r="F5795" t="inlineStr">
        <is>
          <t>SCA</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36969-2025</t>
        </is>
      </c>
      <c r="B5796" s="1" t="n">
        <v>45874.63686342593</v>
      </c>
      <c r="C5796" s="1" t="n">
        <v>46075</v>
      </c>
      <c r="D5796" t="inlineStr">
        <is>
          <t>VÄSTERBOTTENS LÄN</t>
        </is>
      </c>
      <c r="E5796" t="inlineStr">
        <is>
          <t>VINDELN</t>
        </is>
      </c>
      <c r="F5796" t="inlineStr">
        <is>
          <t>SCA</t>
        </is>
      </c>
      <c r="G5796" t="n">
        <v>5.8</v>
      </c>
      <c r="H5796" t="n">
        <v>0</v>
      </c>
      <c r="I5796" t="n">
        <v>0</v>
      </c>
      <c r="J5796" t="n">
        <v>0</v>
      </c>
      <c r="K5796" t="n">
        <v>0</v>
      </c>
      <c r="L5796" t="n">
        <v>0</v>
      </c>
      <c r="M5796" t="n">
        <v>0</v>
      </c>
      <c r="N5796" t="n">
        <v>0</v>
      </c>
      <c r="O5796" t="n">
        <v>0</v>
      </c>
      <c r="P5796" t="n">
        <v>0</v>
      </c>
      <c r="Q5796" t="n">
        <v>0</v>
      </c>
      <c r="R5796" s="2" t="inlineStr"/>
    </row>
    <row r="5797" ht="15" customHeight="1">
      <c r="A5797" t="inlineStr">
        <is>
          <t>A 37259-2025</t>
        </is>
      </c>
      <c r="B5797" s="1" t="n">
        <v>45876.4483912037</v>
      </c>
      <c r="C5797" s="1" t="n">
        <v>46075</v>
      </c>
      <c r="D5797" t="inlineStr">
        <is>
          <t>VÄSTERBOTTENS LÄN</t>
        </is>
      </c>
      <c r="E5797" t="inlineStr">
        <is>
          <t>DOROTEA</t>
        </is>
      </c>
      <c r="F5797" t="inlineStr">
        <is>
          <t>SCA</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47863-2025</t>
        </is>
      </c>
      <c r="B5798" s="1" t="n">
        <v>45932.4290625</v>
      </c>
      <c r="C5798" s="1" t="n">
        <v>46075</v>
      </c>
      <c r="D5798" t="inlineStr">
        <is>
          <t>VÄSTERBOTTENS LÄN</t>
        </is>
      </c>
      <c r="E5798" t="inlineStr">
        <is>
          <t>UMEÅ</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15105-2024</t>
        </is>
      </c>
      <c r="B5799" s="1" t="n">
        <v>45399</v>
      </c>
      <c r="C5799" s="1" t="n">
        <v>46075</v>
      </c>
      <c r="D5799" t="inlineStr">
        <is>
          <t>VÄSTERBOTTENS LÄN</t>
        </is>
      </c>
      <c r="E5799" t="inlineStr">
        <is>
          <t>UMEÅ</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37302-2025</t>
        </is>
      </c>
      <c r="B5800" s="1" t="n">
        <v>45876</v>
      </c>
      <c r="C5800" s="1" t="n">
        <v>46075</v>
      </c>
      <c r="D5800" t="inlineStr">
        <is>
          <t>VÄSTERBOTTENS LÄN</t>
        </is>
      </c>
      <c r="E5800" t="inlineStr">
        <is>
          <t>VILHELMINA</t>
        </is>
      </c>
      <c r="F5800" t="inlineStr">
        <is>
          <t>SCA</t>
        </is>
      </c>
      <c r="G5800" t="n">
        <v>7.6</v>
      </c>
      <c r="H5800" t="n">
        <v>0</v>
      </c>
      <c r="I5800" t="n">
        <v>0</v>
      </c>
      <c r="J5800" t="n">
        <v>0</v>
      </c>
      <c r="K5800" t="n">
        <v>0</v>
      </c>
      <c r="L5800" t="n">
        <v>0</v>
      </c>
      <c r="M5800" t="n">
        <v>0</v>
      </c>
      <c r="N5800" t="n">
        <v>0</v>
      </c>
      <c r="O5800" t="n">
        <v>0</v>
      </c>
      <c r="P5800" t="n">
        <v>0</v>
      </c>
      <c r="Q5800" t="n">
        <v>0</v>
      </c>
      <c r="R5800" s="2" t="inlineStr"/>
    </row>
    <row r="5801" ht="15" customHeight="1">
      <c r="A5801" t="inlineStr">
        <is>
          <t>A 65206-2023</t>
        </is>
      </c>
      <c r="B5801" s="1" t="n">
        <v>45289.45186342593</v>
      </c>
      <c r="C5801" s="1" t="n">
        <v>46075</v>
      </c>
      <c r="D5801" t="inlineStr">
        <is>
          <t>VÄSTERBOTTENS LÄN</t>
        </is>
      </c>
      <c r="E5801" t="inlineStr">
        <is>
          <t>SKELLEFTEÅ</t>
        </is>
      </c>
      <c r="G5801" t="n">
        <v>19.2</v>
      </c>
      <c r="H5801" t="n">
        <v>0</v>
      </c>
      <c r="I5801" t="n">
        <v>0</v>
      </c>
      <c r="J5801" t="n">
        <v>0</v>
      </c>
      <c r="K5801" t="n">
        <v>0</v>
      </c>
      <c r="L5801" t="n">
        <v>0</v>
      </c>
      <c r="M5801" t="n">
        <v>0</v>
      </c>
      <c r="N5801" t="n">
        <v>0</v>
      </c>
      <c r="O5801" t="n">
        <v>0</v>
      </c>
      <c r="P5801" t="n">
        <v>0</v>
      </c>
      <c r="Q5801" t="n">
        <v>0</v>
      </c>
      <c r="R5801" s="2" t="inlineStr"/>
    </row>
    <row r="5802" ht="15" customHeight="1">
      <c r="A5802" t="inlineStr">
        <is>
          <t>A 22457-2025</t>
        </is>
      </c>
      <c r="B5802" s="1" t="n">
        <v>45786</v>
      </c>
      <c r="C5802" s="1" t="n">
        <v>46075</v>
      </c>
      <c r="D5802" t="inlineStr">
        <is>
          <t>VÄSTERBOTTENS LÄN</t>
        </is>
      </c>
      <c r="E5802" t="inlineStr">
        <is>
          <t>VILHELMINA</t>
        </is>
      </c>
      <c r="G5802" t="n">
        <v>10.8</v>
      </c>
      <c r="H5802" t="n">
        <v>0</v>
      </c>
      <c r="I5802" t="n">
        <v>0</v>
      </c>
      <c r="J5802" t="n">
        <v>0</v>
      </c>
      <c r="K5802" t="n">
        <v>0</v>
      </c>
      <c r="L5802" t="n">
        <v>0</v>
      </c>
      <c r="M5802" t="n">
        <v>0</v>
      </c>
      <c r="N5802" t="n">
        <v>0</v>
      </c>
      <c r="O5802" t="n">
        <v>0</v>
      </c>
      <c r="P5802" t="n">
        <v>0</v>
      </c>
      <c r="Q5802" t="n">
        <v>0</v>
      </c>
      <c r="R5802" s="2" t="inlineStr"/>
    </row>
    <row r="5803" ht="15" customHeight="1">
      <c r="A5803" t="inlineStr">
        <is>
          <t>A 37478-2025</t>
        </is>
      </c>
      <c r="B5803" s="1" t="n">
        <v>45877</v>
      </c>
      <c r="C5803" s="1" t="n">
        <v>46075</v>
      </c>
      <c r="D5803" t="inlineStr">
        <is>
          <t>VÄSTERBOTTENS LÄN</t>
        </is>
      </c>
      <c r="E5803" t="inlineStr">
        <is>
          <t>DOROTEA</t>
        </is>
      </c>
      <c r="F5803" t="inlineStr">
        <is>
          <t>SCA</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37479-2025</t>
        </is>
      </c>
      <c r="B5804" s="1" t="n">
        <v>45877.61532407408</v>
      </c>
      <c r="C5804" s="1" t="n">
        <v>46075</v>
      </c>
      <c r="D5804" t="inlineStr">
        <is>
          <t>VÄSTERBOTTENS LÄN</t>
        </is>
      </c>
      <c r="E5804" t="inlineStr">
        <is>
          <t>DOROTEA</t>
        </is>
      </c>
      <c r="F5804" t="inlineStr">
        <is>
          <t>SCA</t>
        </is>
      </c>
      <c r="G5804" t="n">
        <v>3</v>
      </c>
      <c r="H5804" t="n">
        <v>0</v>
      </c>
      <c r="I5804" t="n">
        <v>0</v>
      </c>
      <c r="J5804" t="n">
        <v>0</v>
      </c>
      <c r="K5804" t="n">
        <v>0</v>
      </c>
      <c r="L5804" t="n">
        <v>0</v>
      </c>
      <c r="M5804" t="n">
        <v>0</v>
      </c>
      <c r="N5804" t="n">
        <v>0</v>
      </c>
      <c r="O5804" t="n">
        <v>0</v>
      </c>
      <c r="P5804" t="n">
        <v>0</v>
      </c>
      <c r="Q5804" t="n">
        <v>0</v>
      </c>
      <c r="R5804" s="2" t="inlineStr"/>
    </row>
    <row r="5805" ht="15" customHeight="1">
      <c r="A5805" t="inlineStr">
        <is>
          <t>A 37308-2025</t>
        </is>
      </c>
      <c r="B5805" s="1" t="n">
        <v>45876.59497685185</v>
      </c>
      <c r="C5805" s="1" t="n">
        <v>46075</v>
      </c>
      <c r="D5805" t="inlineStr">
        <is>
          <t>VÄSTERBOTTENS LÄN</t>
        </is>
      </c>
      <c r="E5805" t="inlineStr">
        <is>
          <t>UMEÅ</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37313-2025</t>
        </is>
      </c>
      <c r="B5806" s="1" t="n">
        <v>45876.60814814815</v>
      </c>
      <c r="C5806" s="1" t="n">
        <v>46075</v>
      </c>
      <c r="D5806" t="inlineStr">
        <is>
          <t>VÄSTERBOTTENS LÄN</t>
        </is>
      </c>
      <c r="E5806" t="inlineStr">
        <is>
          <t>SKELLEFTEÅ</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48092-2025</t>
        </is>
      </c>
      <c r="B5807" s="1" t="n">
        <v>45933.2931712963</v>
      </c>
      <c r="C5807" s="1" t="n">
        <v>46075</v>
      </c>
      <c r="D5807" t="inlineStr">
        <is>
          <t>VÄSTERBOTTENS LÄN</t>
        </is>
      </c>
      <c r="E5807" t="inlineStr">
        <is>
          <t>SKELLEFTEÅ</t>
        </is>
      </c>
      <c r="F5807" t="inlineStr">
        <is>
          <t>Holmen skog AB</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37421-2025</t>
        </is>
      </c>
      <c r="B5808" s="1" t="n">
        <v>45877.48462962963</v>
      </c>
      <c r="C5808" s="1" t="n">
        <v>46075</v>
      </c>
      <c r="D5808" t="inlineStr">
        <is>
          <t>VÄSTERBOTTENS LÄN</t>
        </is>
      </c>
      <c r="E5808" t="inlineStr">
        <is>
          <t>NORSJÖ</t>
        </is>
      </c>
      <c r="F5808" t="inlineStr">
        <is>
          <t>Holmen skog AB</t>
        </is>
      </c>
      <c r="G5808" t="n">
        <v>8.300000000000001</v>
      </c>
      <c r="H5808" t="n">
        <v>0</v>
      </c>
      <c r="I5808" t="n">
        <v>0</v>
      </c>
      <c r="J5808" t="n">
        <v>0</v>
      </c>
      <c r="K5808" t="n">
        <v>0</v>
      </c>
      <c r="L5808" t="n">
        <v>0</v>
      </c>
      <c r="M5808" t="n">
        <v>0</v>
      </c>
      <c r="N5808" t="n">
        <v>0</v>
      </c>
      <c r="O5808" t="n">
        <v>0</v>
      </c>
      <c r="P5808" t="n">
        <v>0</v>
      </c>
      <c r="Q5808" t="n">
        <v>0</v>
      </c>
      <c r="R5808" s="2" t="inlineStr"/>
    </row>
    <row r="5809" ht="15" customHeight="1">
      <c r="A5809" t="inlineStr">
        <is>
          <t>A 47864-2025</t>
        </is>
      </c>
      <c r="B5809" s="1" t="n">
        <v>45932</v>
      </c>
      <c r="C5809" s="1" t="n">
        <v>46075</v>
      </c>
      <c r="D5809" t="inlineStr">
        <is>
          <t>VÄSTERBOTTENS LÄN</t>
        </is>
      </c>
      <c r="E5809" t="inlineStr">
        <is>
          <t>SKELLEFTEÅ</t>
        </is>
      </c>
      <c r="F5809" t="inlineStr">
        <is>
          <t>Kyrkan</t>
        </is>
      </c>
      <c r="G5809" t="n">
        <v>10.8</v>
      </c>
      <c r="H5809" t="n">
        <v>0</v>
      </c>
      <c r="I5809" t="n">
        <v>0</v>
      </c>
      <c r="J5809" t="n">
        <v>0</v>
      </c>
      <c r="K5809" t="n">
        <v>0</v>
      </c>
      <c r="L5809" t="n">
        <v>0</v>
      </c>
      <c r="M5809" t="n">
        <v>0</v>
      </c>
      <c r="N5809" t="n">
        <v>0</v>
      </c>
      <c r="O5809" t="n">
        <v>0</v>
      </c>
      <c r="P5809" t="n">
        <v>0</v>
      </c>
      <c r="Q5809" t="n">
        <v>0</v>
      </c>
      <c r="R5809" s="2" t="inlineStr"/>
    </row>
    <row r="5810" ht="15" customHeight="1">
      <c r="A5810" t="inlineStr">
        <is>
          <t>A 25367-2023</t>
        </is>
      </c>
      <c r="B5810" s="1" t="n">
        <v>45088.92412037037</v>
      </c>
      <c r="C5810" s="1" t="n">
        <v>46075</v>
      </c>
      <c r="D5810" t="inlineStr">
        <is>
          <t>VÄSTERBOTTENS LÄN</t>
        </is>
      </c>
      <c r="E5810" t="inlineStr">
        <is>
          <t>UMEÅ</t>
        </is>
      </c>
      <c r="F5810" t="inlineStr">
        <is>
          <t>Holmen skog AB</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29597-2024</t>
        </is>
      </c>
      <c r="B5811" s="1" t="n">
        <v>45484.58983796297</v>
      </c>
      <c r="C5811" s="1" t="n">
        <v>46075</v>
      </c>
      <c r="D5811" t="inlineStr">
        <is>
          <t>VÄSTERBOTTENS LÄN</t>
        </is>
      </c>
      <c r="E5811" t="inlineStr">
        <is>
          <t>ÅSELE</t>
        </is>
      </c>
      <c r="F5811" t="inlineStr">
        <is>
          <t>Sveaskog</t>
        </is>
      </c>
      <c r="G5811" t="n">
        <v>3.4</v>
      </c>
      <c r="H5811" t="n">
        <v>0</v>
      </c>
      <c r="I5811" t="n">
        <v>0</v>
      </c>
      <c r="J5811" t="n">
        <v>0</v>
      </c>
      <c r="K5811" t="n">
        <v>0</v>
      </c>
      <c r="L5811" t="n">
        <v>0</v>
      </c>
      <c r="M5811" t="n">
        <v>0</v>
      </c>
      <c r="N5811" t="n">
        <v>0</v>
      </c>
      <c r="O5811" t="n">
        <v>0</v>
      </c>
      <c r="P5811" t="n">
        <v>0</v>
      </c>
      <c r="Q5811" t="n">
        <v>0</v>
      </c>
      <c r="R5811" s="2" t="inlineStr"/>
    </row>
    <row r="5812" ht="15" customHeight="1">
      <c r="A5812" t="inlineStr">
        <is>
          <t>A 36814-2025</t>
        </is>
      </c>
      <c r="B5812" s="1" t="n">
        <v>45872</v>
      </c>
      <c r="C5812" s="1" t="n">
        <v>46075</v>
      </c>
      <c r="D5812" t="inlineStr">
        <is>
          <t>VÄSTERBOTTENS LÄN</t>
        </is>
      </c>
      <c r="E5812" t="inlineStr">
        <is>
          <t>UMEÅ</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48033-2025</t>
        </is>
      </c>
      <c r="B5813" s="1" t="n">
        <v>45932.65663194445</v>
      </c>
      <c r="C5813" s="1" t="n">
        <v>46075</v>
      </c>
      <c r="D5813" t="inlineStr">
        <is>
          <t>VÄSTERBOTTENS LÄN</t>
        </is>
      </c>
      <c r="E5813" t="inlineStr">
        <is>
          <t>SKELLEFTEÅ</t>
        </is>
      </c>
      <c r="G5813" t="n">
        <v>4.4</v>
      </c>
      <c r="H5813" t="n">
        <v>0</v>
      </c>
      <c r="I5813" t="n">
        <v>0</v>
      </c>
      <c r="J5813" t="n">
        <v>0</v>
      </c>
      <c r="K5813" t="n">
        <v>0</v>
      </c>
      <c r="L5813" t="n">
        <v>0</v>
      </c>
      <c r="M5813" t="n">
        <v>0</v>
      </c>
      <c r="N5813" t="n">
        <v>0</v>
      </c>
      <c r="O5813" t="n">
        <v>0</v>
      </c>
      <c r="P5813" t="n">
        <v>0</v>
      </c>
      <c r="Q5813" t="n">
        <v>0</v>
      </c>
      <c r="R5813" s="2" t="inlineStr"/>
    </row>
    <row r="5814" ht="15" customHeight="1">
      <c r="A5814" t="inlineStr">
        <is>
          <t>A 29619-2024</t>
        </is>
      </c>
      <c r="B5814" s="1" t="n">
        <v>45484.6541087963</v>
      </c>
      <c r="C5814" s="1" t="n">
        <v>46075</v>
      </c>
      <c r="D5814" t="inlineStr">
        <is>
          <t>VÄSTERBOTTENS LÄN</t>
        </is>
      </c>
      <c r="E5814" t="inlineStr">
        <is>
          <t>ÅSELE</t>
        </is>
      </c>
      <c r="F5814" t="inlineStr">
        <is>
          <t>Sveaskog</t>
        </is>
      </c>
      <c r="G5814" t="n">
        <v>9.5</v>
      </c>
      <c r="H5814" t="n">
        <v>0</v>
      </c>
      <c r="I5814" t="n">
        <v>0</v>
      </c>
      <c r="J5814" t="n">
        <v>0</v>
      </c>
      <c r="K5814" t="n">
        <v>0</v>
      </c>
      <c r="L5814" t="n">
        <v>0</v>
      </c>
      <c r="M5814" t="n">
        <v>0</v>
      </c>
      <c r="N5814" t="n">
        <v>0</v>
      </c>
      <c r="O5814" t="n">
        <v>0</v>
      </c>
      <c r="P5814" t="n">
        <v>0</v>
      </c>
      <c r="Q5814" t="n">
        <v>0</v>
      </c>
      <c r="R5814" s="2" t="inlineStr"/>
    </row>
    <row r="5815" ht="15" customHeight="1">
      <c r="A5815" t="inlineStr">
        <is>
          <t>A 48034-2025</t>
        </is>
      </c>
      <c r="B5815" s="1" t="n">
        <v>45932.65673611111</v>
      </c>
      <c r="C5815" s="1" t="n">
        <v>46075</v>
      </c>
      <c r="D5815" t="inlineStr">
        <is>
          <t>VÄSTERBOTTENS LÄN</t>
        </is>
      </c>
      <c r="E5815" t="inlineStr">
        <is>
          <t>MALÅ</t>
        </is>
      </c>
      <c r="G5815" t="n">
        <v>3.5</v>
      </c>
      <c r="H5815" t="n">
        <v>0</v>
      </c>
      <c r="I5815" t="n">
        <v>0</v>
      </c>
      <c r="J5815" t="n">
        <v>0</v>
      </c>
      <c r="K5815" t="n">
        <v>0</v>
      </c>
      <c r="L5815" t="n">
        <v>0</v>
      </c>
      <c r="M5815" t="n">
        <v>0</v>
      </c>
      <c r="N5815" t="n">
        <v>0</v>
      </c>
      <c r="O5815" t="n">
        <v>0</v>
      </c>
      <c r="P5815" t="n">
        <v>0</v>
      </c>
      <c r="Q5815" t="n">
        <v>0</v>
      </c>
      <c r="R5815" s="2" t="inlineStr"/>
    </row>
    <row r="5816" ht="15" customHeight="1">
      <c r="A5816" t="inlineStr">
        <is>
          <t>A 37441-2025</t>
        </is>
      </c>
      <c r="B5816" s="1" t="n">
        <v>45877.54078703704</v>
      </c>
      <c r="C5816" s="1" t="n">
        <v>46075</v>
      </c>
      <c r="D5816" t="inlineStr">
        <is>
          <t>VÄSTERBOTTENS LÄN</t>
        </is>
      </c>
      <c r="E5816" t="inlineStr">
        <is>
          <t>NORSJÖ</t>
        </is>
      </c>
      <c r="G5816" t="n">
        <v>13.7</v>
      </c>
      <c r="H5816" t="n">
        <v>0</v>
      </c>
      <c r="I5816" t="n">
        <v>0</v>
      </c>
      <c r="J5816" t="n">
        <v>0</v>
      </c>
      <c r="K5816" t="n">
        <v>0</v>
      </c>
      <c r="L5816" t="n">
        <v>0</v>
      </c>
      <c r="M5816" t="n">
        <v>0</v>
      </c>
      <c r="N5816" t="n">
        <v>0</v>
      </c>
      <c r="O5816" t="n">
        <v>0</v>
      </c>
      <c r="P5816" t="n">
        <v>0</v>
      </c>
      <c r="Q5816" t="n">
        <v>0</v>
      </c>
      <c r="R5816" s="2" t="inlineStr"/>
    </row>
    <row r="5817" ht="15" customHeight="1">
      <c r="A5817" t="inlineStr">
        <is>
          <t>A 6974-2024</t>
        </is>
      </c>
      <c r="B5817" s="1" t="n">
        <v>45343</v>
      </c>
      <c r="C5817" s="1" t="n">
        <v>46075</v>
      </c>
      <c r="D5817" t="inlineStr">
        <is>
          <t>VÄSTERBOTTENS LÄN</t>
        </is>
      </c>
      <c r="E5817" t="inlineStr">
        <is>
          <t>NORDMALING</t>
        </is>
      </c>
      <c r="F5817" t="inlineStr">
        <is>
          <t>Kommuner</t>
        </is>
      </c>
      <c r="G5817" t="n">
        <v>2.5</v>
      </c>
      <c r="H5817" t="n">
        <v>0</v>
      </c>
      <c r="I5817" t="n">
        <v>0</v>
      </c>
      <c r="J5817" t="n">
        <v>0</v>
      </c>
      <c r="K5817" t="n">
        <v>0</v>
      </c>
      <c r="L5817" t="n">
        <v>0</v>
      </c>
      <c r="M5817" t="n">
        <v>0</v>
      </c>
      <c r="N5817" t="n">
        <v>0</v>
      </c>
      <c r="O5817" t="n">
        <v>0</v>
      </c>
      <c r="P5817" t="n">
        <v>0</v>
      </c>
      <c r="Q5817" t="n">
        <v>0</v>
      </c>
      <c r="R5817" s="2" t="inlineStr"/>
    </row>
    <row r="5818" ht="15" customHeight="1">
      <c r="A5818" t="inlineStr">
        <is>
          <t>A 31190-2023</t>
        </is>
      </c>
      <c r="B5818" s="1" t="n">
        <v>45113.94958333333</v>
      </c>
      <c r="C5818" s="1" t="n">
        <v>46075</v>
      </c>
      <c r="D5818" t="inlineStr">
        <is>
          <t>VÄSTERBOTTENS LÄN</t>
        </is>
      </c>
      <c r="E5818" t="inlineStr">
        <is>
          <t>ÅSELE</t>
        </is>
      </c>
      <c r="F5818" t="inlineStr">
        <is>
          <t>SCA</t>
        </is>
      </c>
      <c r="G5818" t="n">
        <v>3.3</v>
      </c>
      <c r="H5818" t="n">
        <v>0</v>
      </c>
      <c r="I5818" t="n">
        <v>0</v>
      </c>
      <c r="J5818" t="n">
        <v>0</v>
      </c>
      <c r="K5818" t="n">
        <v>0</v>
      </c>
      <c r="L5818" t="n">
        <v>0</v>
      </c>
      <c r="M5818" t="n">
        <v>0</v>
      </c>
      <c r="N5818" t="n">
        <v>0</v>
      </c>
      <c r="O5818" t="n">
        <v>0</v>
      </c>
      <c r="P5818" t="n">
        <v>0</v>
      </c>
      <c r="Q5818" t="n">
        <v>0</v>
      </c>
      <c r="R5818" s="2" t="inlineStr"/>
    </row>
    <row r="5819" ht="15" customHeight="1">
      <c r="A5819" t="inlineStr">
        <is>
          <t>A 48110-2025</t>
        </is>
      </c>
      <c r="B5819" s="1" t="n">
        <v>45933.34513888889</v>
      </c>
      <c r="C5819" s="1" t="n">
        <v>46075</v>
      </c>
      <c r="D5819" t="inlineStr">
        <is>
          <t>VÄSTERBOTTENS LÄN</t>
        </is>
      </c>
      <c r="E5819" t="inlineStr">
        <is>
          <t>ROBERTSFORS</t>
        </is>
      </c>
      <c r="G5819" t="n">
        <v>4.8</v>
      </c>
      <c r="H5819" t="n">
        <v>0</v>
      </c>
      <c r="I5819" t="n">
        <v>0</v>
      </c>
      <c r="J5819" t="n">
        <v>0</v>
      </c>
      <c r="K5819" t="n">
        <v>0</v>
      </c>
      <c r="L5819" t="n">
        <v>0</v>
      </c>
      <c r="M5819" t="n">
        <v>0</v>
      </c>
      <c r="N5819" t="n">
        <v>0</v>
      </c>
      <c r="O5819" t="n">
        <v>0</v>
      </c>
      <c r="P5819" t="n">
        <v>0</v>
      </c>
      <c r="Q5819" t="n">
        <v>0</v>
      </c>
      <c r="R5819" s="2" t="inlineStr"/>
    </row>
    <row r="5820" ht="15" customHeight="1">
      <c r="A5820" t="inlineStr">
        <is>
          <t>A 37466-2025</t>
        </is>
      </c>
      <c r="B5820" s="1" t="n">
        <v>45877.57743055555</v>
      </c>
      <c r="C5820" s="1" t="n">
        <v>46075</v>
      </c>
      <c r="D5820" t="inlineStr">
        <is>
          <t>VÄSTERBOTTENS LÄN</t>
        </is>
      </c>
      <c r="E5820" t="inlineStr">
        <is>
          <t>VINDELN</t>
        </is>
      </c>
      <c r="F5820" t="inlineStr">
        <is>
          <t>Holmen skog AB</t>
        </is>
      </c>
      <c r="G5820" t="n">
        <v>3.2</v>
      </c>
      <c r="H5820" t="n">
        <v>0</v>
      </c>
      <c r="I5820" t="n">
        <v>0</v>
      </c>
      <c r="J5820" t="n">
        <v>0</v>
      </c>
      <c r="K5820" t="n">
        <v>0</v>
      </c>
      <c r="L5820" t="n">
        <v>0</v>
      </c>
      <c r="M5820" t="n">
        <v>0</v>
      </c>
      <c r="N5820" t="n">
        <v>0</v>
      </c>
      <c r="O5820" t="n">
        <v>0</v>
      </c>
      <c r="P5820" t="n">
        <v>0</v>
      </c>
      <c r="Q5820" t="n">
        <v>0</v>
      </c>
      <c r="R5820" s="2" t="inlineStr"/>
    </row>
    <row r="5821" ht="15" customHeight="1">
      <c r="A5821" t="inlineStr">
        <is>
          <t>A 48137-2025</t>
        </is>
      </c>
      <c r="B5821" s="1" t="n">
        <v>45933.3787037037</v>
      </c>
      <c r="C5821" s="1" t="n">
        <v>46075</v>
      </c>
      <c r="D5821" t="inlineStr">
        <is>
          <t>VÄSTERBOTTENS LÄN</t>
        </is>
      </c>
      <c r="E5821" t="inlineStr">
        <is>
          <t>LYCKSELE</t>
        </is>
      </c>
      <c r="G5821" t="n">
        <v>3.2</v>
      </c>
      <c r="H5821" t="n">
        <v>0</v>
      </c>
      <c r="I5821" t="n">
        <v>0</v>
      </c>
      <c r="J5821" t="n">
        <v>0</v>
      </c>
      <c r="K5821" t="n">
        <v>0</v>
      </c>
      <c r="L5821" t="n">
        <v>0</v>
      </c>
      <c r="M5821" t="n">
        <v>0</v>
      </c>
      <c r="N5821" t="n">
        <v>0</v>
      </c>
      <c r="O5821" t="n">
        <v>0</v>
      </c>
      <c r="P5821" t="n">
        <v>0</v>
      </c>
      <c r="Q5821" t="n">
        <v>0</v>
      </c>
      <c r="R5821" s="2" t="inlineStr"/>
    </row>
    <row r="5822" ht="15" customHeight="1">
      <c r="A5822" t="inlineStr">
        <is>
          <t>A 37476-2025</t>
        </is>
      </c>
      <c r="B5822" s="1" t="n">
        <v>45877.61496527777</v>
      </c>
      <c r="C5822" s="1" t="n">
        <v>46075</v>
      </c>
      <c r="D5822" t="inlineStr">
        <is>
          <t>VÄSTERBOTTENS LÄN</t>
        </is>
      </c>
      <c r="E5822" t="inlineStr">
        <is>
          <t>DOROTEA</t>
        </is>
      </c>
      <c r="F5822" t="inlineStr">
        <is>
          <t>SCA</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23647-2024</t>
        </is>
      </c>
      <c r="B5823" s="1" t="n">
        <v>45454.51224537037</v>
      </c>
      <c r="C5823" s="1" t="n">
        <v>46075</v>
      </c>
      <c r="D5823" t="inlineStr">
        <is>
          <t>VÄSTERBOTTENS LÄN</t>
        </is>
      </c>
      <c r="E5823" t="inlineStr">
        <is>
          <t>ROBERTSFORS</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8502-2024</t>
        </is>
      </c>
      <c r="B5824" s="1" t="n">
        <v>45351</v>
      </c>
      <c r="C5824" s="1" t="n">
        <v>46075</v>
      </c>
      <c r="D5824" t="inlineStr">
        <is>
          <t>VÄSTERBOTTENS LÄN</t>
        </is>
      </c>
      <c r="E5824" t="inlineStr">
        <is>
          <t>BJURHOLM</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37277-2025</t>
        </is>
      </c>
      <c r="B5825" s="1" t="n">
        <v>45876.49045138889</v>
      </c>
      <c r="C5825" s="1" t="n">
        <v>46075</v>
      </c>
      <c r="D5825" t="inlineStr">
        <is>
          <t>VÄSTERBOTTENS LÄN</t>
        </is>
      </c>
      <c r="E5825" t="inlineStr">
        <is>
          <t>DOROTEA</t>
        </is>
      </c>
      <c r="F5825" t="inlineStr">
        <is>
          <t>SCA</t>
        </is>
      </c>
      <c r="G5825" t="n">
        <v>3.7</v>
      </c>
      <c r="H5825" t="n">
        <v>0</v>
      </c>
      <c r="I5825" t="n">
        <v>0</v>
      </c>
      <c r="J5825" t="n">
        <v>0</v>
      </c>
      <c r="K5825" t="n">
        <v>0</v>
      </c>
      <c r="L5825" t="n">
        <v>0</v>
      </c>
      <c r="M5825" t="n">
        <v>0</v>
      </c>
      <c r="N5825" t="n">
        <v>0</v>
      </c>
      <c r="O5825" t="n">
        <v>0</v>
      </c>
      <c r="P5825" t="n">
        <v>0</v>
      </c>
      <c r="Q5825" t="n">
        <v>0</v>
      </c>
      <c r="R5825" s="2" t="inlineStr"/>
    </row>
    <row r="5826" ht="15" customHeight="1">
      <c r="A5826" t="inlineStr">
        <is>
          <t>A 37280-2025</t>
        </is>
      </c>
      <c r="B5826" s="1" t="n">
        <v>45876.4909837963</v>
      </c>
      <c r="C5826" s="1" t="n">
        <v>46075</v>
      </c>
      <c r="D5826" t="inlineStr">
        <is>
          <t>VÄSTERBOTTENS LÄN</t>
        </is>
      </c>
      <c r="E5826" t="inlineStr">
        <is>
          <t>DOROTEA</t>
        </is>
      </c>
      <c r="F5826" t="inlineStr">
        <is>
          <t>SCA</t>
        </is>
      </c>
      <c r="G5826" t="n">
        <v>5.5</v>
      </c>
      <c r="H5826" t="n">
        <v>0</v>
      </c>
      <c r="I5826" t="n">
        <v>0</v>
      </c>
      <c r="J5826" t="n">
        <v>0</v>
      </c>
      <c r="K5826" t="n">
        <v>0</v>
      </c>
      <c r="L5826" t="n">
        <v>0</v>
      </c>
      <c r="M5826" t="n">
        <v>0</v>
      </c>
      <c r="N5826" t="n">
        <v>0</v>
      </c>
      <c r="O5826" t="n">
        <v>0</v>
      </c>
      <c r="P5826" t="n">
        <v>0</v>
      </c>
      <c r="Q5826" t="n">
        <v>0</v>
      </c>
      <c r="R5826" s="2" t="inlineStr"/>
    </row>
    <row r="5827" ht="15" customHeight="1">
      <c r="A5827" t="inlineStr">
        <is>
          <t>A 37284-2025</t>
        </is>
      </c>
      <c r="B5827" s="1" t="n">
        <v>45876.49138888889</v>
      </c>
      <c r="C5827" s="1" t="n">
        <v>46075</v>
      </c>
      <c r="D5827" t="inlineStr">
        <is>
          <t>VÄSTERBOTTENS LÄN</t>
        </is>
      </c>
      <c r="E5827" t="inlineStr">
        <is>
          <t>DOROTEA</t>
        </is>
      </c>
      <c r="F5827" t="inlineStr">
        <is>
          <t>SCA</t>
        </is>
      </c>
      <c r="G5827" t="n">
        <v>3</v>
      </c>
      <c r="H5827" t="n">
        <v>0</v>
      </c>
      <c r="I5827" t="n">
        <v>0</v>
      </c>
      <c r="J5827" t="n">
        <v>0</v>
      </c>
      <c r="K5827" t="n">
        <v>0</v>
      </c>
      <c r="L5827" t="n">
        <v>0</v>
      </c>
      <c r="M5827" t="n">
        <v>0</v>
      </c>
      <c r="N5827" t="n">
        <v>0</v>
      </c>
      <c r="O5827" t="n">
        <v>0</v>
      </c>
      <c r="P5827" t="n">
        <v>0</v>
      </c>
      <c r="Q5827" t="n">
        <v>0</v>
      </c>
      <c r="R5827" s="2" t="inlineStr"/>
    </row>
    <row r="5828" ht="15" customHeight="1">
      <c r="A5828" t="inlineStr">
        <is>
          <t>A 48205-2025</t>
        </is>
      </c>
      <c r="B5828" s="1" t="n">
        <v>45933.48515046296</v>
      </c>
      <c r="C5828" s="1" t="n">
        <v>46075</v>
      </c>
      <c r="D5828" t="inlineStr">
        <is>
          <t>VÄSTERBOTTENS LÄN</t>
        </is>
      </c>
      <c r="E5828" t="inlineStr">
        <is>
          <t>LYCKSELE</t>
        </is>
      </c>
      <c r="F5828" t="inlineStr">
        <is>
          <t>Holmen skog AB</t>
        </is>
      </c>
      <c r="G5828" t="n">
        <v>4.2</v>
      </c>
      <c r="H5828" t="n">
        <v>0</v>
      </c>
      <c r="I5828" t="n">
        <v>0</v>
      </c>
      <c r="J5828" t="n">
        <v>0</v>
      </c>
      <c r="K5828" t="n">
        <v>0</v>
      </c>
      <c r="L5828" t="n">
        <v>0</v>
      </c>
      <c r="M5828" t="n">
        <v>0</v>
      </c>
      <c r="N5828" t="n">
        <v>0</v>
      </c>
      <c r="O5828" t="n">
        <v>0</v>
      </c>
      <c r="P5828" t="n">
        <v>0</v>
      </c>
      <c r="Q5828" t="n">
        <v>0</v>
      </c>
      <c r="R5828" s="2" t="inlineStr"/>
    </row>
    <row r="5829" ht="15" customHeight="1">
      <c r="A5829" t="inlineStr">
        <is>
          <t>A 49382-2024</t>
        </is>
      </c>
      <c r="B5829" s="1" t="n">
        <v>45595</v>
      </c>
      <c r="C5829" s="1" t="n">
        <v>46075</v>
      </c>
      <c r="D5829" t="inlineStr">
        <is>
          <t>VÄSTERBOTTENS LÄN</t>
        </is>
      </c>
      <c r="E5829" t="inlineStr">
        <is>
          <t>ÅSELE</t>
        </is>
      </c>
      <c r="F5829" t="inlineStr">
        <is>
          <t>Holmen skog AB</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26920-2024</t>
        </is>
      </c>
      <c r="B5830" s="1" t="n">
        <v>45470.9305787037</v>
      </c>
      <c r="C5830" s="1" t="n">
        <v>46075</v>
      </c>
      <c r="D5830" t="inlineStr">
        <is>
          <t>VÄSTERBOTTENS LÄN</t>
        </is>
      </c>
      <c r="E5830" t="inlineStr">
        <is>
          <t>SKELLEFTEÅ</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17751-2024</t>
        </is>
      </c>
      <c r="B5831" s="1" t="n">
        <v>45418.59936342593</v>
      </c>
      <c r="C5831" s="1" t="n">
        <v>46075</v>
      </c>
      <c r="D5831" t="inlineStr">
        <is>
          <t>VÄSTERBOTTENS LÄN</t>
        </is>
      </c>
      <c r="E5831" t="inlineStr">
        <is>
          <t>SKELLEFTEÅ</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17016-2025</t>
        </is>
      </c>
      <c r="B5832" s="1" t="n">
        <v>45755.55481481482</v>
      </c>
      <c r="C5832" s="1" t="n">
        <v>46075</v>
      </c>
      <c r="D5832" t="inlineStr">
        <is>
          <t>VÄSTERBOTTENS LÄN</t>
        </is>
      </c>
      <c r="E5832" t="inlineStr">
        <is>
          <t>VINDELN</t>
        </is>
      </c>
      <c r="F5832" t="inlineStr">
        <is>
          <t>Holmen skog AB</t>
        </is>
      </c>
      <c r="G5832" t="n">
        <v>3.5</v>
      </c>
      <c r="H5832" t="n">
        <v>0</v>
      </c>
      <c r="I5832" t="n">
        <v>0</v>
      </c>
      <c r="J5832" t="n">
        <v>0</v>
      </c>
      <c r="K5832" t="n">
        <v>0</v>
      </c>
      <c r="L5832" t="n">
        <v>0</v>
      </c>
      <c r="M5832" t="n">
        <v>0</v>
      </c>
      <c r="N5832" t="n">
        <v>0</v>
      </c>
      <c r="O5832" t="n">
        <v>0</v>
      </c>
      <c r="P5832" t="n">
        <v>0</v>
      </c>
      <c r="Q5832" t="n">
        <v>0</v>
      </c>
      <c r="R5832" s="2" t="inlineStr"/>
    </row>
    <row r="5833" ht="15" customHeight="1">
      <c r="A5833" t="inlineStr">
        <is>
          <t>A 48344-2025</t>
        </is>
      </c>
      <c r="B5833" s="1" t="n">
        <v>45933.64456018519</v>
      </c>
      <c r="C5833" s="1" t="n">
        <v>46075</v>
      </c>
      <c r="D5833" t="inlineStr">
        <is>
          <t>VÄSTERBOTTENS LÄN</t>
        </is>
      </c>
      <c r="E5833" t="inlineStr">
        <is>
          <t>ROBERTSFORS</t>
        </is>
      </c>
      <c r="G5833" t="n">
        <v>3.4</v>
      </c>
      <c r="H5833" t="n">
        <v>0</v>
      </c>
      <c r="I5833" t="n">
        <v>0</v>
      </c>
      <c r="J5833" t="n">
        <v>0</v>
      </c>
      <c r="K5833" t="n">
        <v>0</v>
      </c>
      <c r="L5833" t="n">
        <v>0</v>
      </c>
      <c r="M5833" t="n">
        <v>0</v>
      </c>
      <c r="N5833" t="n">
        <v>0</v>
      </c>
      <c r="O5833" t="n">
        <v>0</v>
      </c>
      <c r="P5833" t="n">
        <v>0</v>
      </c>
      <c r="Q5833" t="n">
        <v>0</v>
      </c>
      <c r="R5833" s="2" t="inlineStr"/>
    </row>
    <row r="5834" ht="15" customHeight="1">
      <c r="A5834" t="inlineStr">
        <is>
          <t>A 34849-2025</t>
        </is>
      </c>
      <c r="B5834" s="1" t="n">
        <v>45849</v>
      </c>
      <c r="C5834" s="1" t="n">
        <v>46075</v>
      </c>
      <c r="D5834" t="inlineStr">
        <is>
          <t>VÄSTERBOTTENS LÄN</t>
        </is>
      </c>
      <c r="E5834" t="inlineStr">
        <is>
          <t>LYCKSELE</t>
        </is>
      </c>
      <c r="G5834" t="n">
        <v>9.800000000000001</v>
      </c>
      <c r="H5834" t="n">
        <v>0</v>
      </c>
      <c r="I5834" t="n">
        <v>0</v>
      </c>
      <c r="J5834" t="n">
        <v>0</v>
      </c>
      <c r="K5834" t="n">
        <v>0</v>
      </c>
      <c r="L5834" t="n">
        <v>0</v>
      </c>
      <c r="M5834" t="n">
        <v>0</v>
      </c>
      <c r="N5834" t="n">
        <v>0</v>
      </c>
      <c r="O5834" t="n">
        <v>0</v>
      </c>
      <c r="P5834" t="n">
        <v>0</v>
      </c>
      <c r="Q5834" t="n">
        <v>0</v>
      </c>
      <c r="R5834" s="2" t="inlineStr"/>
    </row>
    <row r="5835" ht="15" customHeight="1">
      <c r="A5835" t="inlineStr">
        <is>
          <t>A 28949-2023</t>
        </is>
      </c>
      <c r="B5835" s="1" t="n">
        <v>45104</v>
      </c>
      <c r="C5835" s="1" t="n">
        <v>46075</v>
      </c>
      <c r="D5835" t="inlineStr">
        <is>
          <t>VÄSTERBOTTENS LÄN</t>
        </is>
      </c>
      <c r="E5835" t="inlineStr">
        <is>
          <t>NORSJÖ</t>
        </is>
      </c>
      <c r="F5835" t="inlineStr">
        <is>
          <t>Sveaskog</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16519-2024</t>
        </is>
      </c>
      <c r="B5836" s="1" t="n">
        <v>45408</v>
      </c>
      <c r="C5836" s="1" t="n">
        <v>46075</v>
      </c>
      <c r="D5836" t="inlineStr">
        <is>
          <t>VÄSTERBOTTENS LÄN</t>
        </is>
      </c>
      <c r="E5836" t="inlineStr">
        <is>
          <t>SKELLEFTEÅ</t>
        </is>
      </c>
      <c r="G5836" t="n">
        <v>0.1</v>
      </c>
      <c r="H5836" t="n">
        <v>0</v>
      </c>
      <c r="I5836" t="n">
        <v>0</v>
      </c>
      <c r="J5836" t="n">
        <v>0</v>
      </c>
      <c r="K5836" t="n">
        <v>0</v>
      </c>
      <c r="L5836" t="n">
        <v>0</v>
      </c>
      <c r="M5836" t="n">
        <v>0</v>
      </c>
      <c r="N5836" t="n">
        <v>0</v>
      </c>
      <c r="O5836" t="n">
        <v>0</v>
      </c>
      <c r="P5836" t="n">
        <v>0</v>
      </c>
      <c r="Q5836" t="n">
        <v>0</v>
      </c>
      <c r="R5836" s="2" t="inlineStr"/>
    </row>
    <row r="5837" ht="15" customHeight="1">
      <c r="A5837" t="inlineStr">
        <is>
          <t>A 23925-2024</t>
        </is>
      </c>
      <c r="B5837" s="1" t="n">
        <v>45455.93157407407</v>
      </c>
      <c r="C5837" s="1" t="n">
        <v>46075</v>
      </c>
      <c r="D5837" t="inlineStr">
        <is>
          <t>VÄSTERBOTTENS LÄN</t>
        </is>
      </c>
      <c r="E5837" t="inlineStr">
        <is>
          <t>SKELLEFTEÅ</t>
        </is>
      </c>
      <c r="G5837" t="n">
        <v>6.8</v>
      </c>
      <c r="H5837" t="n">
        <v>0</v>
      </c>
      <c r="I5837" t="n">
        <v>0</v>
      </c>
      <c r="J5837" t="n">
        <v>0</v>
      </c>
      <c r="K5837" t="n">
        <v>0</v>
      </c>
      <c r="L5837" t="n">
        <v>0</v>
      </c>
      <c r="M5837" t="n">
        <v>0</v>
      </c>
      <c r="N5837" t="n">
        <v>0</v>
      </c>
      <c r="O5837" t="n">
        <v>0</v>
      </c>
      <c r="P5837" t="n">
        <v>0</v>
      </c>
      <c r="Q5837" t="n">
        <v>0</v>
      </c>
      <c r="R5837" s="2" t="inlineStr"/>
    </row>
    <row r="5838" ht="15" customHeight="1">
      <c r="A5838" t="inlineStr">
        <is>
          <t>A 49573-2023</t>
        </is>
      </c>
      <c r="B5838" s="1" t="n">
        <v>45205</v>
      </c>
      <c r="C5838" s="1" t="n">
        <v>46075</v>
      </c>
      <c r="D5838" t="inlineStr">
        <is>
          <t>VÄSTERBOTTENS LÄN</t>
        </is>
      </c>
      <c r="E5838" t="inlineStr">
        <is>
          <t>SKELLEFTEÅ</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37282-2025</t>
        </is>
      </c>
      <c r="B5839" s="1" t="n">
        <v>45876.49122685185</v>
      </c>
      <c r="C5839" s="1" t="n">
        <v>46075</v>
      </c>
      <c r="D5839" t="inlineStr">
        <is>
          <t>VÄSTERBOTTENS LÄN</t>
        </is>
      </c>
      <c r="E5839" t="inlineStr">
        <is>
          <t>DOROTEA</t>
        </is>
      </c>
      <c r="F5839" t="inlineStr">
        <is>
          <t>SCA</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37368-2025</t>
        </is>
      </c>
      <c r="B5840" s="1" t="n">
        <v>45877.34436342592</v>
      </c>
      <c r="C5840" s="1" t="n">
        <v>46075</v>
      </c>
      <c r="D5840" t="inlineStr">
        <is>
          <t>VÄSTERBOTTENS LÄN</t>
        </is>
      </c>
      <c r="E5840" t="inlineStr">
        <is>
          <t>VILHELMINA</t>
        </is>
      </c>
      <c r="F5840" t="inlineStr">
        <is>
          <t>SCA</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2311-2025</t>
        </is>
      </c>
      <c r="B5841" s="1" t="n">
        <v>45673.60427083333</v>
      </c>
      <c r="C5841" s="1" t="n">
        <v>46075</v>
      </c>
      <c r="D5841" t="inlineStr">
        <is>
          <t>VÄSTERBOTTENS LÄN</t>
        </is>
      </c>
      <c r="E5841" t="inlineStr">
        <is>
          <t>NORDMALING</t>
        </is>
      </c>
      <c r="G5841" t="n">
        <v>4</v>
      </c>
      <c r="H5841" t="n">
        <v>0</v>
      </c>
      <c r="I5841" t="n">
        <v>0</v>
      </c>
      <c r="J5841" t="n">
        <v>0</v>
      </c>
      <c r="K5841" t="n">
        <v>0</v>
      </c>
      <c r="L5841" t="n">
        <v>0</v>
      </c>
      <c r="M5841" t="n">
        <v>0</v>
      </c>
      <c r="N5841" t="n">
        <v>0</v>
      </c>
      <c r="O5841" t="n">
        <v>0</v>
      </c>
      <c r="P5841" t="n">
        <v>0</v>
      </c>
      <c r="Q5841" t="n">
        <v>0</v>
      </c>
      <c r="R5841" s="2" t="inlineStr"/>
    </row>
    <row r="5842" ht="15" customHeight="1">
      <c r="A5842" t="inlineStr">
        <is>
          <t>A 50081-2023</t>
        </is>
      </c>
      <c r="B5842" s="1" t="n">
        <v>45215.58771990741</v>
      </c>
      <c r="C5842" s="1" t="n">
        <v>46075</v>
      </c>
      <c r="D5842" t="inlineStr">
        <is>
          <t>VÄSTERBOTTENS LÄN</t>
        </is>
      </c>
      <c r="E5842" t="inlineStr">
        <is>
          <t>SKELLEFTEÅ</t>
        </is>
      </c>
      <c r="F5842" t="inlineStr">
        <is>
          <t>Holmen skog AB</t>
        </is>
      </c>
      <c r="G5842" t="n">
        <v>2.6</v>
      </c>
      <c r="H5842" t="n">
        <v>0</v>
      </c>
      <c r="I5842" t="n">
        <v>0</v>
      </c>
      <c r="J5842" t="n">
        <v>0</v>
      </c>
      <c r="K5842" t="n">
        <v>0</v>
      </c>
      <c r="L5842" t="n">
        <v>0</v>
      </c>
      <c r="M5842" t="n">
        <v>0</v>
      </c>
      <c r="N5842" t="n">
        <v>0</v>
      </c>
      <c r="O5842" t="n">
        <v>0</v>
      </c>
      <c r="P5842" t="n">
        <v>0</v>
      </c>
      <c r="Q5842" t="n">
        <v>0</v>
      </c>
      <c r="R5842" s="2" t="inlineStr"/>
    </row>
    <row r="5843" ht="15" customHeight="1">
      <c r="A5843" t="inlineStr">
        <is>
          <t>A 37369-2025</t>
        </is>
      </c>
      <c r="B5843" s="1" t="n">
        <v>45877.34444444445</v>
      </c>
      <c r="C5843" s="1" t="n">
        <v>46075</v>
      </c>
      <c r="D5843" t="inlineStr">
        <is>
          <t>VÄSTERBOTTENS LÄN</t>
        </is>
      </c>
      <c r="E5843" t="inlineStr">
        <is>
          <t>VILHELMINA</t>
        </is>
      </c>
      <c r="F5843" t="inlineStr">
        <is>
          <t>SCA</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5997-2025</t>
        </is>
      </c>
      <c r="B5844" s="1" t="n">
        <v>45695.57164351852</v>
      </c>
      <c r="C5844" s="1" t="n">
        <v>46075</v>
      </c>
      <c r="D5844" t="inlineStr">
        <is>
          <t>VÄSTERBOTTENS LÄN</t>
        </is>
      </c>
      <c r="E5844" t="inlineStr">
        <is>
          <t>ROBERTSFORS</t>
        </is>
      </c>
      <c r="G5844" t="n">
        <v>3.7</v>
      </c>
      <c r="H5844" t="n">
        <v>0</v>
      </c>
      <c r="I5844" t="n">
        <v>0</v>
      </c>
      <c r="J5844" t="n">
        <v>0</v>
      </c>
      <c r="K5844" t="n">
        <v>0</v>
      </c>
      <c r="L5844" t="n">
        <v>0</v>
      </c>
      <c r="M5844" t="n">
        <v>0</v>
      </c>
      <c r="N5844" t="n">
        <v>0</v>
      </c>
      <c r="O5844" t="n">
        <v>0</v>
      </c>
      <c r="P5844" t="n">
        <v>0</v>
      </c>
      <c r="Q5844" t="n">
        <v>0</v>
      </c>
      <c r="R5844" s="2" t="inlineStr"/>
    </row>
    <row r="5845" ht="15" customHeight="1">
      <c r="A5845" t="inlineStr">
        <is>
          <t>A 48058-2025</t>
        </is>
      </c>
      <c r="B5845" s="1" t="n">
        <v>45932.67960648148</v>
      </c>
      <c r="C5845" s="1" t="n">
        <v>46075</v>
      </c>
      <c r="D5845" t="inlineStr">
        <is>
          <t>VÄSTERBOTTENS LÄN</t>
        </is>
      </c>
      <c r="E5845" t="inlineStr">
        <is>
          <t>MALÅ</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60982-2024</t>
        </is>
      </c>
      <c r="B5846" s="1" t="n">
        <v>45645</v>
      </c>
      <c r="C5846" s="1" t="n">
        <v>46075</v>
      </c>
      <c r="D5846" t="inlineStr">
        <is>
          <t>VÄSTERBOTTENS LÄN</t>
        </is>
      </c>
      <c r="E5846" t="inlineStr">
        <is>
          <t>SKELLEFTEÅ</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37269-2025</t>
        </is>
      </c>
      <c r="B5847" s="1" t="n">
        <v>45876</v>
      </c>
      <c r="C5847" s="1" t="n">
        <v>46075</v>
      </c>
      <c r="D5847" t="inlineStr">
        <is>
          <t>VÄSTERBOTTENS LÄN</t>
        </is>
      </c>
      <c r="E5847" t="inlineStr">
        <is>
          <t>VILHELMINA</t>
        </is>
      </c>
      <c r="G5847" t="n">
        <v>2.5</v>
      </c>
      <c r="H5847" t="n">
        <v>0</v>
      </c>
      <c r="I5847" t="n">
        <v>0</v>
      </c>
      <c r="J5847" t="n">
        <v>0</v>
      </c>
      <c r="K5847" t="n">
        <v>0</v>
      </c>
      <c r="L5847" t="n">
        <v>0</v>
      </c>
      <c r="M5847" t="n">
        <v>0</v>
      </c>
      <c r="N5847" t="n">
        <v>0</v>
      </c>
      <c r="O5847" t="n">
        <v>0</v>
      </c>
      <c r="P5847" t="n">
        <v>0</v>
      </c>
      <c r="Q5847" t="n">
        <v>0</v>
      </c>
      <c r="R5847" s="2" t="inlineStr"/>
    </row>
    <row r="5848" ht="15" customHeight="1">
      <c r="A5848" t="inlineStr">
        <is>
          <t>A 37276-2025</t>
        </is>
      </c>
      <c r="B5848" s="1" t="n">
        <v>45876.49024305555</v>
      </c>
      <c r="C5848" s="1" t="n">
        <v>46075</v>
      </c>
      <c r="D5848" t="inlineStr">
        <is>
          <t>VÄSTERBOTTENS LÄN</t>
        </is>
      </c>
      <c r="E5848" t="inlineStr">
        <is>
          <t>DOROTEA</t>
        </is>
      </c>
      <c r="F5848" t="inlineStr">
        <is>
          <t>SCA</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37289-2025</t>
        </is>
      </c>
      <c r="B5849" s="1" t="n">
        <v>45876.51096064815</v>
      </c>
      <c r="C5849" s="1" t="n">
        <v>46075</v>
      </c>
      <c r="D5849" t="inlineStr">
        <is>
          <t>VÄSTERBOTTENS LÄN</t>
        </is>
      </c>
      <c r="E5849" t="inlineStr">
        <is>
          <t>DOROTEA</t>
        </is>
      </c>
      <c r="F5849" t="inlineStr">
        <is>
          <t>SCA</t>
        </is>
      </c>
      <c r="G5849" t="n">
        <v>6</v>
      </c>
      <c r="H5849" t="n">
        <v>0</v>
      </c>
      <c r="I5849" t="n">
        <v>0</v>
      </c>
      <c r="J5849" t="n">
        <v>0</v>
      </c>
      <c r="K5849" t="n">
        <v>0</v>
      </c>
      <c r="L5849" t="n">
        <v>0</v>
      </c>
      <c r="M5849" t="n">
        <v>0</v>
      </c>
      <c r="N5849" t="n">
        <v>0</v>
      </c>
      <c r="O5849" t="n">
        <v>0</v>
      </c>
      <c r="P5849" t="n">
        <v>0</v>
      </c>
      <c r="Q5849" t="n">
        <v>0</v>
      </c>
      <c r="R5849" s="2" t="inlineStr"/>
    </row>
    <row r="5850" ht="15" customHeight="1">
      <c r="A5850" t="inlineStr">
        <is>
          <t>A 37318-2025</t>
        </is>
      </c>
      <c r="B5850" s="1" t="n">
        <v>45876.61952546296</v>
      </c>
      <c r="C5850" s="1" t="n">
        <v>46075</v>
      </c>
      <c r="D5850" t="inlineStr">
        <is>
          <t>VÄSTERBOTTENS LÄN</t>
        </is>
      </c>
      <c r="E5850" t="inlineStr">
        <is>
          <t>SKELLEFTEÅ</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10058-2025</t>
        </is>
      </c>
      <c r="B5851" s="1" t="n">
        <v>45719.53226851852</v>
      </c>
      <c r="C5851" s="1" t="n">
        <v>46075</v>
      </c>
      <c r="D5851" t="inlineStr">
        <is>
          <t>VÄSTERBOTTENS LÄN</t>
        </is>
      </c>
      <c r="E5851" t="inlineStr">
        <is>
          <t>ROBERTSFORS</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43345-2023</t>
        </is>
      </c>
      <c r="B5852" s="1" t="n">
        <v>45181</v>
      </c>
      <c r="C5852" s="1" t="n">
        <v>46075</v>
      </c>
      <c r="D5852" t="inlineStr">
        <is>
          <t>VÄSTERBOTTENS LÄN</t>
        </is>
      </c>
      <c r="E5852" t="inlineStr">
        <is>
          <t>STORUMAN</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37309-2025</t>
        </is>
      </c>
      <c r="B5853" s="1" t="n">
        <v>45876.595</v>
      </c>
      <c r="C5853" s="1" t="n">
        <v>46075</v>
      </c>
      <c r="D5853" t="inlineStr">
        <is>
          <t>VÄSTERBOTTENS LÄN</t>
        </is>
      </c>
      <c r="E5853" t="inlineStr">
        <is>
          <t>UMEÅ</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47930-2025</t>
        </is>
      </c>
      <c r="B5854" s="1" t="n">
        <v>45932.55251157407</v>
      </c>
      <c r="C5854" s="1" t="n">
        <v>46075</v>
      </c>
      <c r="D5854" t="inlineStr">
        <is>
          <t>VÄSTERBOTTENS LÄN</t>
        </is>
      </c>
      <c r="E5854" t="inlineStr">
        <is>
          <t>LYCKSELE</t>
        </is>
      </c>
      <c r="G5854" t="n">
        <v>17.8</v>
      </c>
      <c r="H5854" t="n">
        <v>0</v>
      </c>
      <c r="I5854" t="n">
        <v>0</v>
      </c>
      <c r="J5854" t="n">
        <v>0</v>
      </c>
      <c r="K5854" t="n">
        <v>0</v>
      </c>
      <c r="L5854" t="n">
        <v>0</v>
      </c>
      <c r="M5854" t="n">
        <v>0</v>
      </c>
      <c r="N5854" t="n">
        <v>0</v>
      </c>
      <c r="O5854" t="n">
        <v>0</v>
      </c>
      <c r="P5854" t="n">
        <v>0</v>
      </c>
      <c r="Q5854" t="n">
        <v>0</v>
      </c>
      <c r="R5854" s="2" t="inlineStr"/>
    </row>
    <row r="5855" ht="15" customHeight="1">
      <c r="A5855" t="inlineStr">
        <is>
          <t>A 47950-2025</t>
        </is>
      </c>
      <c r="B5855" s="1" t="n">
        <v>45932.57682870371</v>
      </c>
      <c r="C5855" s="1" t="n">
        <v>46075</v>
      </c>
      <c r="D5855" t="inlineStr">
        <is>
          <t>VÄSTERBOTTENS LÄN</t>
        </is>
      </c>
      <c r="E5855" t="inlineStr">
        <is>
          <t>SKELLEFTEÅ</t>
        </is>
      </c>
      <c r="F5855" t="inlineStr">
        <is>
          <t>Holmen skog AB</t>
        </is>
      </c>
      <c r="G5855" t="n">
        <v>3.3</v>
      </c>
      <c r="H5855" t="n">
        <v>0</v>
      </c>
      <c r="I5855" t="n">
        <v>0</v>
      </c>
      <c r="J5855" t="n">
        <v>0</v>
      </c>
      <c r="K5855" t="n">
        <v>0</v>
      </c>
      <c r="L5855" t="n">
        <v>0</v>
      </c>
      <c r="M5855" t="n">
        <v>0</v>
      </c>
      <c r="N5855" t="n">
        <v>0</v>
      </c>
      <c r="O5855" t="n">
        <v>0</v>
      </c>
      <c r="P5855" t="n">
        <v>0</v>
      </c>
      <c r="Q5855" t="n">
        <v>0</v>
      </c>
      <c r="R5855" s="2" t="inlineStr"/>
    </row>
    <row r="5856" ht="15" customHeight="1">
      <c r="A5856" t="inlineStr">
        <is>
          <t>A 37363-2025</t>
        </is>
      </c>
      <c r="B5856" s="1" t="n">
        <v>45877.31953703704</v>
      </c>
      <c r="C5856" s="1" t="n">
        <v>46075</v>
      </c>
      <c r="D5856" t="inlineStr">
        <is>
          <t>VÄSTERBOTTENS LÄN</t>
        </is>
      </c>
      <c r="E5856" t="inlineStr">
        <is>
          <t>ÅSELE</t>
        </is>
      </c>
      <c r="F5856" t="inlineStr">
        <is>
          <t>Naturvårdsverket</t>
        </is>
      </c>
      <c r="G5856" t="n">
        <v>19.4</v>
      </c>
      <c r="H5856" t="n">
        <v>0</v>
      </c>
      <c r="I5856" t="n">
        <v>0</v>
      </c>
      <c r="J5856" t="n">
        <v>0</v>
      </c>
      <c r="K5856" t="n">
        <v>0</v>
      </c>
      <c r="L5856" t="n">
        <v>0</v>
      </c>
      <c r="M5856" t="n">
        <v>0</v>
      </c>
      <c r="N5856" t="n">
        <v>0</v>
      </c>
      <c r="O5856" t="n">
        <v>0</v>
      </c>
      <c r="P5856" t="n">
        <v>0</v>
      </c>
      <c r="Q5856" t="n">
        <v>0</v>
      </c>
      <c r="R5856" s="2" t="inlineStr"/>
    </row>
    <row r="5857" ht="15" customHeight="1">
      <c r="A5857" t="inlineStr">
        <is>
          <t>A 13566-2023</t>
        </is>
      </c>
      <c r="B5857" s="1" t="n">
        <v>45006.49</v>
      </c>
      <c r="C5857" s="1" t="n">
        <v>46075</v>
      </c>
      <c r="D5857" t="inlineStr">
        <is>
          <t>VÄSTERBOTTENS LÄN</t>
        </is>
      </c>
      <c r="E5857" t="inlineStr">
        <is>
          <t>LYCKSELE</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48098-2025</t>
        </is>
      </c>
      <c r="B5858" s="1" t="n">
        <v>45933.32584490741</v>
      </c>
      <c r="C5858" s="1" t="n">
        <v>46075</v>
      </c>
      <c r="D5858" t="inlineStr">
        <is>
          <t>VÄSTERBOTTENS LÄN</t>
        </is>
      </c>
      <c r="E5858" t="inlineStr">
        <is>
          <t>SKELLEFTEÅ</t>
        </is>
      </c>
      <c r="F5858" t="inlineStr">
        <is>
          <t>Holmen skog AB</t>
        </is>
      </c>
      <c r="G5858" t="n">
        <v>2.9</v>
      </c>
      <c r="H5858" t="n">
        <v>0</v>
      </c>
      <c r="I5858" t="n">
        <v>0</v>
      </c>
      <c r="J5858" t="n">
        <v>0</v>
      </c>
      <c r="K5858" t="n">
        <v>0</v>
      </c>
      <c r="L5858" t="n">
        <v>0</v>
      </c>
      <c r="M5858" t="n">
        <v>0</v>
      </c>
      <c r="N5858" t="n">
        <v>0</v>
      </c>
      <c r="O5858" t="n">
        <v>0</v>
      </c>
      <c r="P5858" t="n">
        <v>0</v>
      </c>
      <c r="Q5858" t="n">
        <v>0</v>
      </c>
      <c r="R5858" s="2" t="inlineStr"/>
    </row>
    <row r="5859" ht="15" customHeight="1">
      <c r="A5859" t="inlineStr">
        <is>
          <t>A 48208-2025</t>
        </is>
      </c>
      <c r="B5859" s="1" t="n">
        <v>45933.48914351852</v>
      </c>
      <c r="C5859" s="1" t="n">
        <v>46075</v>
      </c>
      <c r="D5859" t="inlineStr">
        <is>
          <t>VÄSTERBOTTENS LÄN</t>
        </is>
      </c>
      <c r="E5859" t="inlineStr">
        <is>
          <t>LYCKSELE</t>
        </is>
      </c>
      <c r="F5859" t="inlineStr">
        <is>
          <t>Holmen skog AB</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48216-2025</t>
        </is>
      </c>
      <c r="B5860" s="1" t="n">
        <v>45933.49614583333</v>
      </c>
      <c r="C5860" s="1" t="n">
        <v>46075</v>
      </c>
      <c r="D5860" t="inlineStr">
        <is>
          <t>VÄSTERBOTTENS LÄN</t>
        </is>
      </c>
      <c r="E5860" t="inlineStr">
        <is>
          <t>SKELLEFTEÅ</t>
        </is>
      </c>
      <c r="F5860" t="inlineStr">
        <is>
          <t>Holmen skog AB</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15231-2024</t>
        </is>
      </c>
      <c r="B5861" s="1" t="n">
        <v>45400</v>
      </c>
      <c r="C5861" s="1" t="n">
        <v>46075</v>
      </c>
      <c r="D5861" t="inlineStr">
        <is>
          <t>VÄSTERBOTTENS LÄN</t>
        </is>
      </c>
      <c r="E5861" t="inlineStr">
        <is>
          <t>SORSELE</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42409-2024</t>
        </is>
      </c>
      <c r="B5862" s="1" t="n">
        <v>45565.36329861111</v>
      </c>
      <c r="C5862" s="1" t="n">
        <v>46075</v>
      </c>
      <c r="D5862" t="inlineStr">
        <is>
          <t>VÄSTERBOTTENS LÄN</t>
        </is>
      </c>
      <c r="E5862" t="inlineStr">
        <is>
          <t>VINDELN</t>
        </is>
      </c>
      <c r="F5862" t="inlineStr">
        <is>
          <t>Holmen skog AB</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14414-2024</t>
        </is>
      </c>
      <c r="B5863" s="1" t="n">
        <v>45393</v>
      </c>
      <c r="C5863" s="1" t="n">
        <v>46075</v>
      </c>
      <c r="D5863" t="inlineStr">
        <is>
          <t>VÄSTERBOTTENS LÄN</t>
        </is>
      </c>
      <c r="E5863" t="inlineStr">
        <is>
          <t>BJURHOLM</t>
        </is>
      </c>
      <c r="G5863" t="n">
        <v>7.1</v>
      </c>
      <c r="H5863" t="n">
        <v>0</v>
      </c>
      <c r="I5863" t="n">
        <v>0</v>
      </c>
      <c r="J5863" t="n">
        <v>0</v>
      </c>
      <c r="K5863" t="n">
        <v>0</v>
      </c>
      <c r="L5863" t="n">
        <v>0</v>
      </c>
      <c r="M5863" t="n">
        <v>0</v>
      </c>
      <c r="N5863" t="n">
        <v>0</v>
      </c>
      <c r="O5863" t="n">
        <v>0</v>
      </c>
      <c r="P5863" t="n">
        <v>0</v>
      </c>
      <c r="Q5863" t="n">
        <v>0</v>
      </c>
      <c r="R5863" s="2" t="inlineStr"/>
    </row>
    <row r="5864" ht="15" customHeight="1">
      <c r="A5864" t="inlineStr">
        <is>
          <t>A 14438-2024</t>
        </is>
      </c>
      <c r="B5864" s="1" t="n">
        <v>45394</v>
      </c>
      <c r="C5864" s="1" t="n">
        <v>46075</v>
      </c>
      <c r="D5864" t="inlineStr">
        <is>
          <t>VÄSTERBOTTENS LÄN</t>
        </is>
      </c>
      <c r="E5864" t="inlineStr">
        <is>
          <t>BJURHOLM</t>
        </is>
      </c>
      <c r="G5864" t="n">
        <v>5</v>
      </c>
      <c r="H5864" t="n">
        <v>0</v>
      </c>
      <c r="I5864" t="n">
        <v>0</v>
      </c>
      <c r="J5864" t="n">
        <v>0</v>
      </c>
      <c r="K5864" t="n">
        <v>0</v>
      </c>
      <c r="L5864" t="n">
        <v>0</v>
      </c>
      <c r="M5864" t="n">
        <v>0</v>
      </c>
      <c r="N5864" t="n">
        <v>0</v>
      </c>
      <c r="O5864" t="n">
        <v>0</v>
      </c>
      <c r="P5864" t="n">
        <v>0</v>
      </c>
      <c r="Q5864" t="n">
        <v>0</v>
      </c>
      <c r="R5864" s="2" t="inlineStr"/>
    </row>
    <row r="5865" ht="15" customHeight="1">
      <c r="A5865" t="inlineStr">
        <is>
          <t>A 14443-2024</t>
        </is>
      </c>
      <c r="B5865" s="1" t="n">
        <v>45394</v>
      </c>
      <c r="C5865" s="1" t="n">
        <v>46075</v>
      </c>
      <c r="D5865" t="inlineStr">
        <is>
          <t>VÄSTERBOTTENS LÄN</t>
        </is>
      </c>
      <c r="E5865" t="inlineStr">
        <is>
          <t>BJURHOLM</t>
        </is>
      </c>
      <c r="G5865" t="n">
        <v>4.1</v>
      </c>
      <c r="H5865" t="n">
        <v>0</v>
      </c>
      <c r="I5865" t="n">
        <v>0</v>
      </c>
      <c r="J5865" t="n">
        <v>0</v>
      </c>
      <c r="K5865" t="n">
        <v>0</v>
      </c>
      <c r="L5865" t="n">
        <v>0</v>
      </c>
      <c r="M5865" t="n">
        <v>0</v>
      </c>
      <c r="N5865" t="n">
        <v>0</v>
      </c>
      <c r="O5865" t="n">
        <v>0</v>
      </c>
      <c r="P5865" t="n">
        <v>0</v>
      </c>
      <c r="Q5865" t="n">
        <v>0</v>
      </c>
      <c r="R5865" s="2" t="inlineStr"/>
    </row>
    <row r="5866" ht="15" customHeight="1">
      <c r="A5866" t="inlineStr">
        <is>
          <t>A 60425-2021</t>
        </is>
      </c>
      <c r="B5866" s="1" t="n">
        <v>44496</v>
      </c>
      <c r="C5866" s="1" t="n">
        <v>46075</v>
      </c>
      <c r="D5866" t="inlineStr">
        <is>
          <t>VÄSTERBOTTENS LÄN</t>
        </is>
      </c>
      <c r="E5866" t="inlineStr">
        <is>
          <t>LYCKSELE</t>
        </is>
      </c>
      <c r="F5866" t="inlineStr">
        <is>
          <t>Sveaskog</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37429-2025</t>
        </is>
      </c>
      <c r="B5867" s="1" t="n">
        <v>45877.50601851852</v>
      </c>
      <c r="C5867" s="1" t="n">
        <v>46075</v>
      </c>
      <c r="D5867" t="inlineStr">
        <is>
          <t>VÄSTERBOTTENS LÄN</t>
        </is>
      </c>
      <c r="E5867" t="inlineStr">
        <is>
          <t>SKELLEFTEÅ</t>
        </is>
      </c>
      <c r="F5867" t="inlineStr">
        <is>
          <t>Holmen skog AB</t>
        </is>
      </c>
      <c r="G5867" t="n">
        <v>13.4</v>
      </c>
      <c r="H5867" t="n">
        <v>0</v>
      </c>
      <c r="I5867" t="n">
        <v>0</v>
      </c>
      <c r="J5867" t="n">
        <v>0</v>
      </c>
      <c r="K5867" t="n">
        <v>0</v>
      </c>
      <c r="L5867" t="n">
        <v>0</v>
      </c>
      <c r="M5867" t="n">
        <v>0</v>
      </c>
      <c r="N5867" t="n">
        <v>0</v>
      </c>
      <c r="O5867" t="n">
        <v>0</v>
      </c>
      <c r="P5867" t="n">
        <v>0</v>
      </c>
      <c r="Q5867" t="n">
        <v>0</v>
      </c>
      <c r="R5867" s="2" t="inlineStr"/>
    </row>
    <row r="5868" ht="15" customHeight="1">
      <c r="A5868" t="inlineStr">
        <is>
          <t>A 4625-2024</t>
        </is>
      </c>
      <c r="B5868" s="1" t="n">
        <v>45328</v>
      </c>
      <c r="C5868" s="1" t="n">
        <v>46075</v>
      </c>
      <c r="D5868" t="inlineStr">
        <is>
          <t>VÄSTERBOTTENS LÄN</t>
        </is>
      </c>
      <c r="E5868" t="inlineStr">
        <is>
          <t>LYCKSELE</t>
        </is>
      </c>
      <c r="G5868" t="n">
        <v>5.4</v>
      </c>
      <c r="H5868" t="n">
        <v>0</v>
      </c>
      <c r="I5868" t="n">
        <v>0</v>
      </c>
      <c r="J5868" t="n">
        <v>0</v>
      </c>
      <c r="K5868" t="n">
        <v>0</v>
      </c>
      <c r="L5868" t="n">
        <v>0</v>
      </c>
      <c r="M5868" t="n">
        <v>0</v>
      </c>
      <c r="N5868" t="n">
        <v>0</v>
      </c>
      <c r="O5868" t="n">
        <v>0</v>
      </c>
      <c r="P5868" t="n">
        <v>0</v>
      </c>
      <c r="Q5868" t="n">
        <v>0</v>
      </c>
      <c r="R5868" s="2" t="inlineStr"/>
    </row>
    <row r="5869" ht="15" customHeight="1">
      <c r="A5869" t="inlineStr">
        <is>
          <t>A 48131-2025</t>
        </is>
      </c>
      <c r="B5869" s="1" t="n">
        <v>45933.36880787037</v>
      </c>
      <c r="C5869" s="1" t="n">
        <v>46075</v>
      </c>
      <c r="D5869" t="inlineStr">
        <is>
          <t>VÄSTERBOTTENS LÄN</t>
        </is>
      </c>
      <c r="E5869" t="inlineStr">
        <is>
          <t>SKELLEFTEÅ</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37469-2025</t>
        </is>
      </c>
      <c r="B5870" s="1" t="n">
        <v>45877.57869212963</v>
      </c>
      <c r="C5870" s="1" t="n">
        <v>46075</v>
      </c>
      <c r="D5870" t="inlineStr">
        <is>
          <t>VÄSTERBOTTENS LÄN</t>
        </is>
      </c>
      <c r="E5870" t="inlineStr">
        <is>
          <t>NORSJÖ</t>
        </is>
      </c>
      <c r="F5870" t="inlineStr">
        <is>
          <t>Holmen skog AB</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41861-2024</t>
        </is>
      </c>
      <c r="B5871" s="1" t="n">
        <v>45561</v>
      </c>
      <c r="C5871" s="1" t="n">
        <v>46075</v>
      </c>
      <c r="D5871" t="inlineStr">
        <is>
          <t>VÄSTERBOTTENS LÄN</t>
        </is>
      </c>
      <c r="E5871" t="inlineStr">
        <is>
          <t>ÅSELE</t>
        </is>
      </c>
      <c r="G5871" t="n">
        <v>0.3</v>
      </c>
      <c r="H5871" t="n">
        <v>0</v>
      </c>
      <c r="I5871" t="n">
        <v>0</v>
      </c>
      <c r="J5871" t="n">
        <v>0</v>
      </c>
      <c r="K5871" t="n">
        <v>0</v>
      </c>
      <c r="L5871" t="n">
        <v>0</v>
      </c>
      <c r="M5871" t="n">
        <v>0</v>
      </c>
      <c r="N5871" t="n">
        <v>0</v>
      </c>
      <c r="O5871" t="n">
        <v>0</v>
      </c>
      <c r="P5871" t="n">
        <v>0</v>
      </c>
      <c r="Q5871" t="n">
        <v>0</v>
      </c>
      <c r="R5871" s="2" t="inlineStr"/>
    </row>
    <row r="5872" ht="15" customHeight="1">
      <c r="A5872" t="inlineStr">
        <is>
          <t>A 37364-2025</t>
        </is>
      </c>
      <c r="B5872" s="1" t="n">
        <v>45877.32516203704</v>
      </c>
      <c r="C5872" s="1" t="n">
        <v>46075</v>
      </c>
      <c r="D5872" t="inlineStr">
        <is>
          <t>VÄSTERBOTTENS LÄN</t>
        </is>
      </c>
      <c r="E5872" t="inlineStr">
        <is>
          <t>VÄNNÄS</t>
        </is>
      </c>
      <c r="G5872" t="n">
        <v>2</v>
      </c>
      <c r="H5872" t="n">
        <v>0</v>
      </c>
      <c r="I5872" t="n">
        <v>0</v>
      </c>
      <c r="J5872" t="n">
        <v>0</v>
      </c>
      <c r="K5872" t="n">
        <v>0</v>
      </c>
      <c r="L5872" t="n">
        <v>0</v>
      </c>
      <c r="M5872" t="n">
        <v>0</v>
      </c>
      <c r="N5872" t="n">
        <v>0</v>
      </c>
      <c r="O5872" t="n">
        <v>0</v>
      </c>
      <c r="P5872" t="n">
        <v>0</v>
      </c>
      <c r="Q5872" t="n">
        <v>0</v>
      </c>
      <c r="R5872" s="2" t="inlineStr"/>
    </row>
    <row r="5873" ht="15" customHeight="1">
      <c r="A5873" t="inlineStr">
        <is>
          <t>A 37376-2025</t>
        </is>
      </c>
      <c r="B5873" s="1" t="n">
        <v>45877.36513888889</v>
      </c>
      <c r="C5873" s="1" t="n">
        <v>46075</v>
      </c>
      <c r="D5873" t="inlineStr">
        <is>
          <t>VÄSTERBOTTENS LÄN</t>
        </is>
      </c>
      <c r="E5873" t="inlineStr">
        <is>
          <t>VILHELMINA</t>
        </is>
      </c>
      <c r="F5873" t="inlineStr">
        <is>
          <t>SCA</t>
        </is>
      </c>
      <c r="G5873" t="n">
        <v>4.7</v>
      </c>
      <c r="H5873" t="n">
        <v>0</v>
      </c>
      <c r="I5873" t="n">
        <v>0</v>
      </c>
      <c r="J5873" t="n">
        <v>0</v>
      </c>
      <c r="K5873" t="n">
        <v>0</v>
      </c>
      <c r="L5873" t="n">
        <v>0</v>
      </c>
      <c r="M5873" t="n">
        <v>0</v>
      </c>
      <c r="N5873" t="n">
        <v>0</v>
      </c>
      <c r="O5873" t="n">
        <v>0</v>
      </c>
      <c r="P5873" t="n">
        <v>0</v>
      </c>
      <c r="Q5873" t="n">
        <v>0</v>
      </c>
      <c r="R5873" s="2" t="inlineStr"/>
    </row>
    <row r="5874" ht="15" customHeight="1">
      <c r="A5874" t="inlineStr">
        <is>
          <t>A 47312-2023</t>
        </is>
      </c>
      <c r="B5874" s="1" t="n">
        <v>45202</v>
      </c>
      <c r="C5874" s="1" t="n">
        <v>46075</v>
      </c>
      <c r="D5874" t="inlineStr">
        <is>
          <t>VÄSTERBOTTENS LÄN</t>
        </is>
      </c>
      <c r="E5874" t="inlineStr">
        <is>
          <t>SKELLEFTEÅ</t>
        </is>
      </c>
      <c r="F5874" t="inlineStr">
        <is>
          <t>Holmen skog AB</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48198-2025</t>
        </is>
      </c>
      <c r="B5875" s="1" t="n">
        <v>45933.47787037037</v>
      </c>
      <c r="C5875" s="1" t="n">
        <v>46075</v>
      </c>
      <c r="D5875" t="inlineStr">
        <is>
          <t>VÄSTERBOTTENS LÄN</t>
        </is>
      </c>
      <c r="E5875" t="inlineStr">
        <is>
          <t>VINDELN</t>
        </is>
      </c>
      <c r="G5875" t="n">
        <v>2.9</v>
      </c>
      <c r="H5875" t="n">
        <v>0</v>
      </c>
      <c r="I5875" t="n">
        <v>0</v>
      </c>
      <c r="J5875" t="n">
        <v>0</v>
      </c>
      <c r="K5875" t="n">
        <v>0</v>
      </c>
      <c r="L5875" t="n">
        <v>0</v>
      </c>
      <c r="M5875" t="n">
        <v>0</v>
      </c>
      <c r="N5875" t="n">
        <v>0</v>
      </c>
      <c r="O5875" t="n">
        <v>0</v>
      </c>
      <c r="P5875" t="n">
        <v>0</v>
      </c>
      <c r="Q5875" t="n">
        <v>0</v>
      </c>
      <c r="R5875" s="2" t="inlineStr"/>
    </row>
    <row r="5876" ht="15" customHeight="1">
      <c r="A5876" t="inlineStr">
        <is>
          <t>A 3212-2024</t>
        </is>
      </c>
      <c r="B5876" s="1" t="n">
        <v>45316</v>
      </c>
      <c r="C5876" s="1" t="n">
        <v>46075</v>
      </c>
      <c r="D5876" t="inlineStr">
        <is>
          <t>VÄSTERBOTTENS LÄN</t>
        </is>
      </c>
      <c r="E5876" t="inlineStr">
        <is>
          <t>VINDELN</t>
        </is>
      </c>
      <c r="G5876" t="n">
        <v>4.5</v>
      </c>
      <c r="H5876" t="n">
        <v>0</v>
      </c>
      <c r="I5876" t="n">
        <v>0</v>
      </c>
      <c r="J5876" t="n">
        <v>0</v>
      </c>
      <c r="K5876" t="n">
        <v>0</v>
      </c>
      <c r="L5876" t="n">
        <v>0</v>
      </c>
      <c r="M5876" t="n">
        <v>0</v>
      </c>
      <c r="N5876" t="n">
        <v>0</v>
      </c>
      <c r="O5876" t="n">
        <v>0</v>
      </c>
      <c r="P5876" t="n">
        <v>0</v>
      </c>
      <c r="Q5876" t="n">
        <v>0</v>
      </c>
      <c r="R5876" s="2" t="inlineStr"/>
    </row>
    <row r="5877" ht="15" customHeight="1">
      <c r="A5877" t="inlineStr">
        <is>
          <t>A 37362-2025</t>
        </is>
      </c>
      <c r="B5877" s="1" t="n">
        <v>45877.31856481481</v>
      </c>
      <c r="C5877" s="1" t="n">
        <v>46075</v>
      </c>
      <c r="D5877" t="inlineStr">
        <is>
          <t>VÄSTERBOTTENS LÄN</t>
        </is>
      </c>
      <c r="E5877" t="inlineStr">
        <is>
          <t>NORDMALING</t>
        </is>
      </c>
      <c r="G5877" t="n">
        <v>5.5</v>
      </c>
      <c r="H5877" t="n">
        <v>0</v>
      </c>
      <c r="I5877" t="n">
        <v>0</v>
      </c>
      <c r="J5877" t="n">
        <v>0</v>
      </c>
      <c r="K5877" t="n">
        <v>0</v>
      </c>
      <c r="L5877" t="n">
        <v>0</v>
      </c>
      <c r="M5877" t="n">
        <v>0</v>
      </c>
      <c r="N5877" t="n">
        <v>0</v>
      </c>
      <c r="O5877" t="n">
        <v>0</v>
      </c>
      <c r="P5877" t="n">
        <v>0</v>
      </c>
      <c r="Q5877" t="n">
        <v>0</v>
      </c>
      <c r="R5877" s="2" t="inlineStr"/>
    </row>
    <row r="5878" ht="15" customHeight="1">
      <c r="A5878" t="inlineStr">
        <is>
          <t>A 47991-2025</t>
        </is>
      </c>
      <c r="B5878" s="1" t="n">
        <v>45932.62354166667</v>
      </c>
      <c r="C5878" s="1" t="n">
        <v>46075</v>
      </c>
      <c r="D5878" t="inlineStr">
        <is>
          <t>VÄSTERBOTTENS LÄN</t>
        </is>
      </c>
      <c r="E5878" t="inlineStr">
        <is>
          <t>SKELLEFTEÅ</t>
        </is>
      </c>
      <c r="F5878" t="inlineStr">
        <is>
          <t>Holmen skog AB</t>
        </is>
      </c>
      <c r="G5878" t="n">
        <v>8.4</v>
      </c>
      <c r="H5878" t="n">
        <v>0</v>
      </c>
      <c r="I5878" t="n">
        <v>0</v>
      </c>
      <c r="J5878" t="n">
        <v>0</v>
      </c>
      <c r="K5878" t="n">
        <v>0</v>
      </c>
      <c r="L5878" t="n">
        <v>0</v>
      </c>
      <c r="M5878" t="n">
        <v>0</v>
      </c>
      <c r="N5878" t="n">
        <v>0</v>
      </c>
      <c r="O5878" t="n">
        <v>0</v>
      </c>
      <c r="P5878" t="n">
        <v>0</v>
      </c>
      <c r="Q5878" t="n">
        <v>0</v>
      </c>
      <c r="R5878" s="2" t="inlineStr"/>
    </row>
    <row r="5879" ht="15" customHeight="1">
      <c r="A5879" t="inlineStr">
        <is>
          <t>A 37240-2025</t>
        </is>
      </c>
      <c r="B5879" s="1" t="n">
        <v>45876.38582175926</v>
      </c>
      <c r="C5879" s="1" t="n">
        <v>46075</v>
      </c>
      <c r="D5879" t="inlineStr">
        <is>
          <t>VÄSTERBOTTENS LÄN</t>
        </is>
      </c>
      <c r="E5879" t="inlineStr">
        <is>
          <t>DOROTEA</t>
        </is>
      </c>
      <c r="F5879" t="inlineStr">
        <is>
          <t>SCA</t>
        </is>
      </c>
      <c r="G5879" t="n">
        <v>5.7</v>
      </c>
      <c r="H5879" t="n">
        <v>0</v>
      </c>
      <c r="I5879" t="n">
        <v>0</v>
      </c>
      <c r="J5879" t="n">
        <v>0</v>
      </c>
      <c r="K5879" t="n">
        <v>0</v>
      </c>
      <c r="L5879" t="n">
        <v>0</v>
      </c>
      <c r="M5879" t="n">
        <v>0</v>
      </c>
      <c r="N5879" t="n">
        <v>0</v>
      </c>
      <c r="O5879" t="n">
        <v>0</v>
      </c>
      <c r="P5879" t="n">
        <v>0</v>
      </c>
      <c r="Q5879" t="n">
        <v>0</v>
      </c>
      <c r="R5879" s="2" t="inlineStr"/>
    </row>
    <row r="5880" ht="15" customHeight="1">
      <c r="A5880" t="inlineStr">
        <is>
          <t>A 58807-2024</t>
        </is>
      </c>
      <c r="B5880" s="1" t="n">
        <v>45636</v>
      </c>
      <c r="C5880" s="1" t="n">
        <v>46075</v>
      </c>
      <c r="D5880" t="inlineStr">
        <is>
          <t>VÄSTERBOTTENS LÄN</t>
        </is>
      </c>
      <c r="E5880" t="inlineStr">
        <is>
          <t>ÅSELE</t>
        </is>
      </c>
      <c r="F5880" t="inlineStr">
        <is>
          <t>SCA</t>
        </is>
      </c>
      <c r="G5880" t="n">
        <v>9.800000000000001</v>
      </c>
      <c r="H5880" t="n">
        <v>0</v>
      </c>
      <c r="I5880" t="n">
        <v>0</v>
      </c>
      <c r="J5880" t="n">
        <v>0</v>
      </c>
      <c r="K5880" t="n">
        <v>0</v>
      </c>
      <c r="L5880" t="n">
        <v>0</v>
      </c>
      <c r="M5880" t="n">
        <v>0</v>
      </c>
      <c r="N5880" t="n">
        <v>0</v>
      </c>
      <c r="O5880" t="n">
        <v>0</v>
      </c>
      <c r="P5880" t="n">
        <v>0</v>
      </c>
      <c r="Q5880" t="n">
        <v>0</v>
      </c>
      <c r="R5880" s="2" t="inlineStr"/>
    </row>
    <row r="5881" ht="15" customHeight="1">
      <c r="A5881" t="inlineStr">
        <is>
          <t>A 37482-2025</t>
        </is>
      </c>
      <c r="B5881" s="1" t="n">
        <v>45877.61789351852</v>
      </c>
      <c r="C5881" s="1" t="n">
        <v>46075</v>
      </c>
      <c r="D5881" t="inlineStr">
        <is>
          <t>VÄSTERBOTTENS LÄN</t>
        </is>
      </c>
      <c r="E5881" t="inlineStr">
        <is>
          <t>UMEÅ</t>
        </is>
      </c>
      <c r="G5881" t="n">
        <v>3.2</v>
      </c>
      <c r="H5881" t="n">
        <v>0</v>
      </c>
      <c r="I5881" t="n">
        <v>0</v>
      </c>
      <c r="J5881" t="n">
        <v>0</v>
      </c>
      <c r="K5881" t="n">
        <v>0</v>
      </c>
      <c r="L5881" t="n">
        <v>0</v>
      </c>
      <c r="M5881" t="n">
        <v>0</v>
      </c>
      <c r="N5881" t="n">
        <v>0</v>
      </c>
      <c r="O5881" t="n">
        <v>0</v>
      </c>
      <c r="P5881" t="n">
        <v>0</v>
      </c>
      <c r="Q5881" t="n">
        <v>0</v>
      </c>
      <c r="R5881" s="2" t="inlineStr"/>
    </row>
    <row r="5882" ht="15" customHeight="1">
      <c r="A5882" t="inlineStr">
        <is>
          <t>A 37239-2025</t>
        </is>
      </c>
      <c r="B5882" s="1" t="n">
        <v>45876</v>
      </c>
      <c r="C5882" s="1" t="n">
        <v>46075</v>
      </c>
      <c r="D5882" t="inlineStr">
        <is>
          <t>VÄSTERBOTTENS LÄN</t>
        </is>
      </c>
      <c r="E5882" t="inlineStr">
        <is>
          <t>STORUMAN</t>
        </is>
      </c>
      <c r="G5882" t="n">
        <v>5.2</v>
      </c>
      <c r="H5882" t="n">
        <v>0</v>
      </c>
      <c r="I5882" t="n">
        <v>0</v>
      </c>
      <c r="J5882" t="n">
        <v>0</v>
      </c>
      <c r="K5882" t="n">
        <v>0</v>
      </c>
      <c r="L5882" t="n">
        <v>0</v>
      </c>
      <c r="M5882" t="n">
        <v>0</v>
      </c>
      <c r="N5882" t="n">
        <v>0</v>
      </c>
      <c r="O5882" t="n">
        <v>0</v>
      </c>
      <c r="P5882" t="n">
        <v>0</v>
      </c>
      <c r="Q5882" t="n">
        <v>0</v>
      </c>
      <c r="R5882" s="2" t="inlineStr"/>
    </row>
    <row r="5883" ht="15" customHeight="1">
      <c r="A5883" t="inlineStr">
        <is>
          <t>A 37322-2025</t>
        </is>
      </c>
      <c r="B5883" s="1" t="n">
        <v>45876.62466435185</v>
      </c>
      <c r="C5883" s="1" t="n">
        <v>46075</v>
      </c>
      <c r="D5883" t="inlineStr">
        <is>
          <t>VÄSTERBOTTENS LÄN</t>
        </is>
      </c>
      <c r="E5883" t="inlineStr">
        <is>
          <t>SKELLEFTEÅ</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48028-2025</t>
        </is>
      </c>
      <c r="B5884" s="1" t="n">
        <v>45932.6515625</v>
      </c>
      <c r="C5884" s="1" t="n">
        <v>46075</v>
      </c>
      <c r="D5884" t="inlineStr">
        <is>
          <t>VÄSTERBOTTENS LÄN</t>
        </is>
      </c>
      <c r="E5884" t="inlineStr">
        <is>
          <t>UMEÅ</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39690-2024</t>
        </is>
      </c>
      <c r="B5885" s="1" t="n">
        <v>45552</v>
      </c>
      <c r="C5885" s="1" t="n">
        <v>46075</v>
      </c>
      <c r="D5885" t="inlineStr">
        <is>
          <t>VÄSTERBOTTENS LÄN</t>
        </is>
      </c>
      <c r="E5885" t="inlineStr">
        <is>
          <t>SKELLEFTEÅ</t>
        </is>
      </c>
      <c r="G5885" t="n">
        <v>6.1</v>
      </c>
      <c r="H5885" t="n">
        <v>0</v>
      </c>
      <c r="I5885" t="n">
        <v>0</v>
      </c>
      <c r="J5885" t="n">
        <v>0</v>
      </c>
      <c r="K5885" t="n">
        <v>0</v>
      </c>
      <c r="L5885" t="n">
        <v>0</v>
      </c>
      <c r="M5885" t="n">
        <v>0</v>
      </c>
      <c r="N5885" t="n">
        <v>0</v>
      </c>
      <c r="O5885" t="n">
        <v>0</v>
      </c>
      <c r="P5885" t="n">
        <v>0</v>
      </c>
      <c r="Q5885" t="n">
        <v>0</v>
      </c>
      <c r="R5885" s="2" t="inlineStr"/>
    </row>
    <row r="5886" ht="15" customHeight="1">
      <c r="A5886" t="inlineStr">
        <is>
          <t>A 39691-2024</t>
        </is>
      </c>
      <c r="B5886" s="1" t="n">
        <v>45552</v>
      </c>
      <c r="C5886" s="1" t="n">
        <v>46075</v>
      </c>
      <c r="D5886" t="inlineStr">
        <is>
          <t>VÄSTERBOTTENS LÄN</t>
        </is>
      </c>
      <c r="E5886" t="inlineStr">
        <is>
          <t>SKELLEFTEÅ</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29897-2023</t>
        </is>
      </c>
      <c r="B5887" s="1" t="n">
        <v>45107</v>
      </c>
      <c r="C5887" s="1" t="n">
        <v>46075</v>
      </c>
      <c r="D5887" t="inlineStr">
        <is>
          <t>VÄSTERBOTTENS LÄN</t>
        </is>
      </c>
      <c r="E5887" t="inlineStr">
        <is>
          <t>MALÅ</t>
        </is>
      </c>
      <c r="F5887" t="inlineStr">
        <is>
          <t>Sveaskog</t>
        </is>
      </c>
      <c r="G5887" t="n">
        <v>14.7</v>
      </c>
      <c r="H5887" t="n">
        <v>0</v>
      </c>
      <c r="I5887" t="n">
        <v>0</v>
      </c>
      <c r="J5887" t="n">
        <v>0</v>
      </c>
      <c r="K5887" t="n">
        <v>0</v>
      </c>
      <c r="L5887" t="n">
        <v>0</v>
      </c>
      <c r="M5887" t="n">
        <v>0</v>
      </c>
      <c r="N5887" t="n">
        <v>0</v>
      </c>
      <c r="O5887" t="n">
        <v>0</v>
      </c>
      <c r="P5887" t="n">
        <v>0</v>
      </c>
      <c r="Q5887" t="n">
        <v>0</v>
      </c>
      <c r="R5887" s="2" t="inlineStr"/>
    </row>
    <row r="5888" ht="15" customHeight="1">
      <c r="A5888" t="inlineStr">
        <is>
          <t>A 48226-2025</t>
        </is>
      </c>
      <c r="B5888" s="1" t="n">
        <v>45933.51006944444</v>
      </c>
      <c r="C5888" s="1" t="n">
        <v>46075</v>
      </c>
      <c r="D5888" t="inlineStr">
        <is>
          <t>VÄSTERBOTTENS LÄN</t>
        </is>
      </c>
      <c r="E5888" t="inlineStr">
        <is>
          <t>SKELLEFTEÅ</t>
        </is>
      </c>
      <c r="F5888" t="inlineStr">
        <is>
          <t>Holmen skog AB</t>
        </is>
      </c>
      <c r="G5888" t="n">
        <v>5</v>
      </c>
      <c r="H5888" t="n">
        <v>0</v>
      </c>
      <c r="I5888" t="n">
        <v>0</v>
      </c>
      <c r="J5888" t="n">
        <v>0</v>
      </c>
      <c r="K5888" t="n">
        <v>0</v>
      </c>
      <c r="L5888" t="n">
        <v>0</v>
      </c>
      <c r="M5888" t="n">
        <v>0</v>
      </c>
      <c r="N5888" t="n">
        <v>0</v>
      </c>
      <c r="O5888" t="n">
        <v>0</v>
      </c>
      <c r="P5888" t="n">
        <v>0</v>
      </c>
      <c r="Q5888" t="n">
        <v>0</v>
      </c>
      <c r="R5888" s="2" t="inlineStr"/>
    </row>
    <row r="5889" ht="15" customHeight="1">
      <c r="A5889" t="inlineStr">
        <is>
          <t>A 58993-2024</t>
        </is>
      </c>
      <c r="B5889" s="1" t="n">
        <v>45636.63711805556</v>
      </c>
      <c r="C5889" s="1" t="n">
        <v>46075</v>
      </c>
      <c r="D5889" t="inlineStr">
        <is>
          <t>VÄSTERBOTTENS LÄN</t>
        </is>
      </c>
      <c r="E5889" t="inlineStr">
        <is>
          <t>SKELLEFTEÅ</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41454-2023</t>
        </is>
      </c>
      <c r="B5890" s="1" t="n">
        <v>45175</v>
      </c>
      <c r="C5890" s="1" t="n">
        <v>46075</v>
      </c>
      <c r="D5890" t="inlineStr">
        <is>
          <t>VÄSTERBOTTENS LÄN</t>
        </is>
      </c>
      <c r="E5890" t="inlineStr">
        <is>
          <t>VINDELN</t>
        </is>
      </c>
      <c r="F5890" t="inlineStr">
        <is>
          <t>Naturvårdsverket</t>
        </is>
      </c>
      <c r="G5890" t="n">
        <v>4.2</v>
      </c>
      <c r="H5890" t="n">
        <v>0</v>
      </c>
      <c r="I5890" t="n">
        <v>0</v>
      </c>
      <c r="J5890" t="n">
        <v>0</v>
      </c>
      <c r="K5890" t="n">
        <v>0</v>
      </c>
      <c r="L5890" t="n">
        <v>0</v>
      </c>
      <c r="M5890" t="n">
        <v>0</v>
      </c>
      <c r="N5890" t="n">
        <v>0</v>
      </c>
      <c r="O5890" t="n">
        <v>0</v>
      </c>
      <c r="P5890" t="n">
        <v>0</v>
      </c>
      <c r="Q5890" t="n">
        <v>0</v>
      </c>
      <c r="R5890" s="2" t="inlineStr"/>
    </row>
    <row r="5891" ht="15" customHeight="1">
      <c r="A5891" t="inlineStr">
        <is>
          <t>A 48165-2025</t>
        </is>
      </c>
      <c r="B5891" s="1" t="n">
        <v>45933.42789351852</v>
      </c>
      <c r="C5891" s="1" t="n">
        <v>46075</v>
      </c>
      <c r="D5891" t="inlineStr">
        <is>
          <t>VÄSTERBOTTENS LÄN</t>
        </is>
      </c>
      <c r="E5891" t="inlineStr">
        <is>
          <t>LYCKSELE</t>
        </is>
      </c>
      <c r="G5891" t="n">
        <v>10.4</v>
      </c>
      <c r="H5891" t="n">
        <v>0</v>
      </c>
      <c r="I5891" t="n">
        <v>0</v>
      </c>
      <c r="J5891" t="n">
        <v>0</v>
      </c>
      <c r="K5891" t="n">
        <v>0</v>
      </c>
      <c r="L5891" t="n">
        <v>0</v>
      </c>
      <c r="M5891" t="n">
        <v>0</v>
      </c>
      <c r="N5891" t="n">
        <v>0</v>
      </c>
      <c r="O5891" t="n">
        <v>0</v>
      </c>
      <c r="P5891" t="n">
        <v>0</v>
      </c>
      <c r="Q5891" t="n">
        <v>0</v>
      </c>
      <c r="R5891" s="2" t="inlineStr"/>
    </row>
    <row r="5892" ht="15" customHeight="1">
      <c r="A5892" t="inlineStr">
        <is>
          <t>A 37905-2025</t>
        </is>
      </c>
      <c r="B5892" s="1" t="n">
        <v>45880</v>
      </c>
      <c r="C5892" s="1" t="n">
        <v>46075</v>
      </c>
      <c r="D5892" t="inlineStr">
        <is>
          <t>VÄSTERBOTTENS LÄN</t>
        </is>
      </c>
      <c r="E5892" t="inlineStr">
        <is>
          <t>LYCKSELE</t>
        </is>
      </c>
      <c r="G5892" t="n">
        <v>12.9</v>
      </c>
      <c r="H5892" t="n">
        <v>0</v>
      </c>
      <c r="I5892" t="n">
        <v>0</v>
      </c>
      <c r="J5892" t="n">
        <v>0</v>
      </c>
      <c r="K5892" t="n">
        <v>0</v>
      </c>
      <c r="L5892" t="n">
        <v>0</v>
      </c>
      <c r="M5892" t="n">
        <v>0</v>
      </c>
      <c r="N5892" t="n">
        <v>0</v>
      </c>
      <c r="O5892" t="n">
        <v>0</v>
      </c>
      <c r="P5892" t="n">
        <v>0</v>
      </c>
      <c r="Q5892" t="n">
        <v>0</v>
      </c>
      <c r="R5892" s="2" t="inlineStr"/>
    </row>
    <row r="5893" ht="15" customHeight="1">
      <c r="A5893" t="inlineStr">
        <is>
          <t>A 37928-2025</t>
        </is>
      </c>
      <c r="B5893" s="1" t="n">
        <v>45880</v>
      </c>
      <c r="C5893" s="1" t="n">
        <v>46075</v>
      </c>
      <c r="D5893" t="inlineStr">
        <is>
          <t>VÄSTERBOTTENS LÄN</t>
        </is>
      </c>
      <c r="E5893" t="inlineStr">
        <is>
          <t>BJURHOLM</t>
        </is>
      </c>
      <c r="G5893" t="n">
        <v>16.5</v>
      </c>
      <c r="H5893" t="n">
        <v>0</v>
      </c>
      <c r="I5893" t="n">
        <v>0</v>
      </c>
      <c r="J5893" t="n">
        <v>0</v>
      </c>
      <c r="K5893" t="n">
        <v>0</v>
      </c>
      <c r="L5893" t="n">
        <v>0</v>
      </c>
      <c r="M5893" t="n">
        <v>0</v>
      </c>
      <c r="N5893" t="n">
        <v>0</v>
      </c>
      <c r="O5893" t="n">
        <v>0</v>
      </c>
      <c r="P5893" t="n">
        <v>0</v>
      </c>
      <c r="Q5893" t="n">
        <v>0</v>
      </c>
      <c r="R5893" s="2" t="inlineStr"/>
    </row>
    <row r="5894" ht="15" customHeight="1">
      <c r="A5894" t="inlineStr">
        <is>
          <t>A 57107-2023</t>
        </is>
      </c>
      <c r="B5894" s="1" t="n">
        <v>45239</v>
      </c>
      <c r="C5894" s="1" t="n">
        <v>46075</v>
      </c>
      <c r="D5894" t="inlineStr">
        <is>
          <t>VÄSTERBOTTENS LÄN</t>
        </is>
      </c>
      <c r="E5894" t="inlineStr">
        <is>
          <t>STORUMAN</t>
        </is>
      </c>
      <c r="G5894" t="n">
        <v>29.9</v>
      </c>
      <c r="H5894" t="n">
        <v>0</v>
      </c>
      <c r="I5894" t="n">
        <v>0</v>
      </c>
      <c r="J5894" t="n">
        <v>0</v>
      </c>
      <c r="K5894" t="n">
        <v>0</v>
      </c>
      <c r="L5894" t="n">
        <v>0</v>
      </c>
      <c r="M5894" t="n">
        <v>0</v>
      </c>
      <c r="N5894" t="n">
        <v>0</v>
      </c>
      <c r="O5894" t="n">
        <v>0</v>
      </c>
      <c r="P5894" t="n">
        <v>0</v>
      </c>
      <c r="Q5894" t="n">
        <v>0</v>
      </c>
      <c r="R5894" s="2" t="inlineStr"/>
    </row>
    <row r="5895" ht="15" customHeight="1">
      <c r="A5895" t="inlineStr">
        <is>
          <t>A 21343-2025</t>
        </is>
      </c>
      <c r="B5895" s="1" t="n">
        <v>45782.39872685185</v>
      </c>
      <c r="C5895" s="1" t="n">
        <v>46075</v>
      </c>
      <c r="D5895" t="inlineStr">
        <is>
          <t>VÄSTERBOTTENS LÄN</t>
        </is>
      </c>
      <c r="E5895" t="inlineStr">
        <is>
          <t>SKELLEFTEÅ</t>
        </is>
      </c>
      <c r="G5895" t="n">
        <v>5.3</v>
      </c>
      <c r="H5895" t="n">
        <v>0</v>
      </c>
      <c r="I5895" t="n">
        <v>0</v>
      </c>
      <c r="J5895" t="n">
        <v>0</v>
      </c>
      <c r="K5895" t="n">
        <v>0</v>
      </c>
      <c r="L5895" t="n">
        <v>0</v>
      </c>
      <c r="M5895" t="n">
        <v>0</v>
      </c>
      <c r="N5895" t="n">
        <v>0</v>
      </c>
      <c r="O5895" t="n">
        <v>0</v>
      </c>
      <c r="P5895" t="n">
        <v>0</v>
      </c>
      <c r="Q5895" t="n">
        <v>0</v>
      </c>
      <c r="R5895" s="2" t="inlineStr"/>
    </row>
    <row r="5896" ht="15" customHeight="1">
      <c r="A5896" t="inlineStr">
        <is>
          <t>A 11624-2023</t>
        </is>
      </c>
      <c r="B5896" s="1" t="n">
        <v>44994.42565972222</v>
      </c>
      <c r="C5896" s="1" t="n">
        <v>46075</v>
      </c>
      <c r="D5896" t="inlineStr">
        <is>
          <t>VÄSTERBOTTENS LÄN</t>
        </is>
      </c>
      <c r="E5896" t="inlineStr">
        <is>
          <t>SKELLEFTEÅ</t>
        </is>
      </c>
      <c r="G5896" t="n">
        <v>47.6</v>
      </c>
      <c r="H5896" t="n">
        <v>0</v>
      </c>
      <c r="I5896" t="n">
        <v>0</v>
      </c>
      <c r="J5896" t="n">
        <v>0</v>
      </c>
      <c r="K5896" t="n">
        <v>0</v>
      </c>
      <c r="L5896" t="n">
        <v>0</v>
      </c>
      <c r="M5896" t="n">
        <v>0</v>
      </c>
      <c r="N5896" t="n">
        <v>0</v>
      </c>
      <c r="O5896" t="n">
        <v>0</v>
      </c>
      <c r="P5896" t="n">
        <v>0</v>
      </c>
      <c r="Q5896" t="n">
        <v>0</v>
      </c>
      <c r="R5896" s="2" t="inlineStr"/>
    </row>
    <row r="5897" ht="15" customHeight="1">
      <c r="A5897" t="inlineStr">
        <is>
          <t>A 10287-2025</t>
        </is>
      </c>
      <c r="B5897" s="1" t="n">
        <v>45720</v>
      </c>
      <c r="C5897" s="1" t="n">
        <v>46075</v>
      </c>
      <c r="D5897" t="inlineStr">
        <is>
          <t>VÄSTERBOTTENS LÄN</t>
        </is>
      </c>
      <c r="E5897" t="inlineStr">
        <is>
          <t>SKELLEFTEÅ</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5994-2025</t>
        </is>
      </c>
      <c r="B5898" s="1" t="n">
        <v>45695</v>
      </c>
      <c r="C5898" s="1" t="n">
        <v>46075</v>
      </c>
      <c r="D5898" t="inlineStr">
        <is>
          <t>VÄSTERBOTTENS LÄN</t>
        </is>
      </c>
      <c r="E5898" t="inlineStr">
        <is>
          <t>UMEÅ</t>
        </is>
      </c>
      <c r="G5898" t="n">
        <v>4.5</v>
      </c>
      <c r="H5898" t="n">
        <v>0</v>
      </c>
      <c r="I5898" t="n">
        <v>0</v>
      </c>
      <c r="J5898" t="n">
        <v>0</v>
      </c>
      <c r="K5898" t="n">
        <v>0</v>
      </c>
      <c r="L5898" t="n">
        <v>0</v>
      </c>
      <c r="M5898" t="n">
        <v>0</v>
      </c>
      <c r="N5898" t="n">
        <v>0</v>
      </c>
      <c r="O5898" t="n">
        <v>0</v>
      </c>
      <c r="P5898" t="n">
        <v>0</v>
      </c>
      <c r="Q5898" t="n">
        <v>0</v>
      </c>
      <c r="R5898" s="2" t="inlineStr"/>
    </row>
    <row r="5899" ht="15" customHeight="1">
      <c r="A5899" t="inlineStr">
        <is>
          <t>A 37826-2025</t>
        </is>
      </c>
      <c r="B5899" s="1" t="n">
        <v>45881.40806712963</v>
      </c>
      <c r="C5899" s="1" t="n">
        <v>46075</v>
      </c>
      <c r="D5899" t="inlineStr">
        <is>
          <t>VÄSTERBOTTENS LÄN</t>
        </is>
      </c>
      <c r="E5899" t="inlineStr">
        <is>
          <t>BJURHOLM</t>
        </is>
      </c>
      <c r="G5899" t="n">
        <v>6</v>
      </c>
      <c r="H5899" t="n">
        <v>0</v>
      </c>
      <c r="I5899" t="n">
        <v>0</v>
      </c>
      <c r="J5899" t="n">
        <v>0</v>
      </c>
      <c r="K5899" t="n">
        <v>0</v>
      </c>
      <c r="L5899" t="n">
        <v>0</v>
      </c>
      <c r="M5899" t="n">
        <v>0</v>
      </c>
      <c r="N5899" t="n">
        <v>0</v>
      </c>
      <c r="O5899" t="n">
        <v>0</v>
      </c>
      <c r="P5899" t="n">
        <v>0</v>
      </c>
      <c r="Q5899" t="n">
        <v>0</v>
      </c>
      <c r="R5899" s="2" t="inlineStr"/>
    </row>
    <row r="5900" ht="15" customHeight="1">
      <c r="A5900" t="inlineStr">
        <is>
          <t>A 25558-2024</t>
        </is>
      </c>
      <c r="B5900" s="1" t="n">
        <v>45463.58045138889</v>
      </c>
      <c r="C5900" s="1" t="n">
        <v>46075</v>
      </c>
      <c r="D5900" t="inlineStr">
        <is>
          <t>VÄSTERBOTTENS LÄN</t>
        </is>
      </c>
      <c r="E5900" t="inlineStr">
        <is>
          <t>ÅSELE</t>
        </is>
      </c>
      <c r="F5900" t="inlineStr">
        <is>
          <t>Sveaskog</t>
        </is>
      </c>
      <c r="G5900" t="n">
        <v>18.1</v>
      </c>
      <c r="H5900" t="n">
        <v>0</v>
      </c>
      <c r="I5900" t="n">
        <v>0</v>
      </c>
      <c r="J5900" t="n">
        <v>0</v>
      </c>
      <c r="K5900" t="n">
        <v>0</v>
      </c>
      <c r="L5900" t="n">
        <v>0</v>
      </c>
      <c r="M5900" t="n">
        <v>0</v>
      </c>
      <c r="N5900" t="n">
        <v>0</v>
      </c>
      <c r="O5900" t="n">
        <v>0</v>
      </c>
      <c r="P5900" t="n">
        <v>0</v>
      </c>
      <c r="Q5900" t="n">
        <v>0</v>
      </c>
      <c r="R5900" s="2" t="inlineStr"/>
    </row>
    <row r="5901" ht="15" customHeight="1">
      <c r="A5901" t="inlineStr">
        <is>
          <t>A 4791-2022</t>
        </is>
      </c>
      <c r="B5901" s="1" t="n">
        <v>44592</v>
      </c>
      <c r="C5901" s="1" t="n">
        <v>46075</v>
      </c>
      <c r="D5901" t="inlineStr">
        <is>
          <t>VÄSTERBOTTENS LÄN</t>
        </is>
      </c>
      <c r="E5901" t="inlineStr">
        <is>
          <t>SKELLEFTEÅ</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54428-2024</t>
        </is>
      </c>
      <c r="B5902" s="1" t="n">
        <v>45617.49065972222</v>
      </c>
      <c r="C5902" s="1" t="n">
        <v>46075</v>
      </c>
      <c r="D5902" t="inlineStr">
        <is>
          <t>VÄSTERBOTTENS LÄN</t>
        </is>
      </c>
      <c r="E5902" t="inlineStr">
        <is>
          <t>LYCKSELE</t>
        </is>
      </c>
      <c r="F5902" t="inlineStr">
        <is>
          <t>SCA</t>
        </is>
      </c>
      <c r="G5902" t="n">
        <v>12.9</v>
      </c>
      <c r="H5902" t="n">
        <v>0</v>
      </c>
      <c r="I5902" t="n">
        <v>0</v>
      </c>
      <c r="J5902" t="n">
        <v>0</v>
      </c>
      <c r="K5902" t="n">
        <v>0</v>
      </c>
      <c r="L5902" t="n">
        <v>0</v>
      </c>
      <c r="M5902" t="n">
        <v>0</v>
      </c>
      <c r="N5902" t="n">
        <v>0</v>
      </c>
      <c r="O5902" t="n">
        <v>0</v>
      </c>
      <c r="P5902" t="n">
        <v>0</v>
      </c>
      <c r="Q5902" t="n">
        <v>0</v>
      </c>
      <c r="R5902" s="2" t="inlineStr"/>
    </row>
    <row r="5903" ht="15" customHeight="1">
      <c r="A5903" t="inlineStr">
        <is>
          <t>A 47823-2025</t>
        </is>
      </c>
      <c r="B5903" s="1" t="n">
        <v>45932.34454861111</v>
      </c>
      <c r="C5903" s="1" t="n">
        <v>46075</v>
      </c>
      <c r="D5903" t="inlineStr">
        <is>
          <t>VÄSTERBOTTENS LÄN</t>
        </is>
      </c>
      <c r="E5903" t="inlineStr">
        <is>
          <t>ÅSELE</t>
        </is>
      </c>
      <c r="F5903" t="inlineStr">
        <is>
          <t>SCA</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7263-2022</t>
        </is>
      </c>
      <c r="B5904" s="1" t="n">
        <v>44606.44032407407</v>
      </c>
      <c r="C5904" s="1" t="n">
        <v>46075</v>
      </c>
      <c r="D5904" t="inlineStr">
        <is>
          <t>VÄSTERBOTTENS LÄN</t>
        </is>
      </c>
      <c r="E5904" t="inlineStr">
        <is>
          <t>UMEÅ</t>
        </is>
      </c>
      <c r="G5904" t="n">
        <v>2.1</v>
      </c>
      <c r="H5904" t="n">
        <v>0</v>
      </c>
      <c r="I5904" t="n">
        <v>0</v>
      </c>
      <c r="J5904" t="n">
        <v>0</v>
      </c>
      <c r="K5904" t="n">
        <v>0</v>
      </c>
      <c r="L5904" t="n">
        <v>0</v>
      </c>
      <c r="M5904" t="n">
        <v>0</v>
      </c>
      <c r="N5904" t="n">
        <v>0</v>
      </c>
      <c r="O5904" t="n">
        <v>0</v>
      </c>
      <c r="P5904" t="n">
        <v>0</v>
      </c>
      <c r="Q5904" t="n">
        <v>0</v>
      </c>
      <c r="R5904" s="2" t="inlineStr"/>
    </row>
    <row r="5905" ht="15" customHeight="1">
      <c r="A5905" t="inlineStr">
        <is>
          <t>A 37697-2025</t>
        </is>
      </c>
      <c r="B5905" s="1" t="n">
        <v>45880.5738425926</v>
      </c>
      <c r="C5905" s="1" t="n">
        <v>46075</v>
      </c>
      <c r="D5905" t="inlineStr">
        <is>
          <t>VÄSTERBOTTENS LÄN</t>
        </is>
      </c>
      <c r="E5905" t="inlineStr">
        <is>
          <t>VINDELN</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53576-2024</t>
        </is>
      </c>
      <c r="B5906" s="1" t="n">
        <v>45614.66203703704</v>
      </c>
      <c r="C5906" s="1" t="n">
        <v>46075</v>
      </c>
      <c r="D5906" t="inlineStr">
        <is>
          <t>VÄSTERBOTTENS LÄN</t>
        </is>
      </c>
      <c r="E5906" t="inlineStr">
        <is>
          <t>NORSJÖ</t>
        </is>
      </c>
      <c r="F5906" t="inlineStr">
        <is>
          <t>Holmen skog AB</t>
        </is>
      </c>
      <c r="G5906" t="n">
        <v>4.1</v>
      </c>
      <c r="H5906" t="n">
        <v>0</v>
      </c>
      <c r="I5906" t="n">
        <v>0</v>
      </c>
      <c r="J5906" t="n">
        <v>0</v>
      </c>
      <c r="K5906" t="n">
        <v>0</v>
      </c>
      <c r="L5906" t="n">
        <v>0</v>
      </c>
      <c r="M5906" t="n">
        <v>0</v>
      </c>
      <c r="N5906" t="n">
        <v>0</v>
      </c>
      <c r="O5906" t="n">
        <v>0</v>
      </c>
      <c r="P5906" t="n">
        <v>0</v>
      </c>
      <c r="Q5906" t="n">
        <v>0</v>
      </c>
      <c r="R5906" s="2" t="inlineStr"/>
    </row>
    <row r="5907" ht="15" customHeight="1">
      <c r="A5907" t="inlineStr">
        <is>
          <t>A 48264-2025</t>
        </is>
      </c>
      <c r="B5907" s="1" t="n">
        <v>45933.56834490741</v>
      </c>
      <c r="C5907" s="1" t="n">
        <v>46075</v>
      </c>
      <c r="D5907" t="inlineStr">
        <is>
          <t>VÄSTERBOTTENS LÄN</t>
        </is>
      </c>
      <c r="E5907" t="inlineStr">
        <is>
          <t>UMEÅ</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22440-2025</t>
        </is>
      </c>
      <c r="B5908" s="1" t="n">
        <v>45786</v>
      </c>
      <c r="C5908" s="1" t="n">
        <v>46075</v>
      </c>
      <c r="D5908" t="inlineStr">
        <is>
          <t>VÄSTERBOTTENS LÄN</t>
        </is>
      </c>
      <c r="E5908" t="inlineStr">
        <is>
          <t>VILHELMINA</t>
        </is>
      </c>
      <c r="G5908" t="n">
        <v>9.199999999999999</v>
      </c>
      <c r="H5908" t="n">
        <v>0</v>
      </c>
      <c r="I5908" t="n">
        <v>0</v>
      </c>
      <c r="J5908" t="n">
        <v>0</v>
      </c>
      <c r="K5908" t="n">
        <v>0</v>
      </c>
      <c r="L5908" t="n">
        <v>0</v>
      </c>
      <c r="M5908" t="n">
        <v>0</v>
      </c>
      <c r="N5908" t="n">
        <v>0</v>
      </c>
      <c r="O5908" t="n">
        <v>0</v>
      </c>
      <c r="P5908" t="n">
        <v>0</v>
      </c>
      <c r="Q5908" t="n">
        <v>0</v>
      </c>
      <c r="R5908" s="2" t="inlineStr"/>
    </row>
    <row r="5909" ht="15" customHeight="1">
      <c r="A5909" t="inlineStr">
        <is>
          <t>A 33680-2021</t>
        </is>
      </c>
      <c r="B5909" s="1" t="n">
        <v>44378.41619212963</v>
      </c>
      <c r="C5909" s="1" t="n">
        <v>46075</v>
      </c>
      <c r="D5909" t="inlineStr">
        <is>
          <t>VÄSTERBOTTENS LÄN</t>
        </is>
      </c>
      <c r="E5909" t="inlineStr">
        <is>
          <t>SKELLEFTEÅ</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3632-2024</t>
        </is>
      </c>
      <c r="B5910" s="1" t="n">
        <v>45320</v>
      </c>
      <c r="C5910" s="1" t="n">
        <v>46075</v>
      </c>
      <c r="D5910" t="inlineStr">
        <is>
          <t>VÄSTERBOTTENS LÄN</t>
        </is>
      </c>
      <c r="E5910" t="inlineStr">
        <is>
          <t>LYCKSELE</t>
        </is>
      </c>
      <c r="F5910" t="inlineStr">
        <is>
          <t>SCA</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47834-2025</t>
        </is>
      </c>
      <c r="B5911" s="1" t="n">
        <v>45932.36518518518</v>
      </c>
      <c r="C5911" s="1" t="n">
        <v>46075</v>
      </c>
      <c r="D5911" t="inlineStr">
        <is>
          <t>VÄSTERBOTTENS LÄN</t>
        </is>
      </c>
      <c r="E5911" t="inlineStr">
        <is>
          <t>NORDMALING</t>
        </is>
      </c>
      <c r="F5911" t="inlineStr">
        <is>
          <t>SCA</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57186-2024</t>
        </is>
      </c>
      <c r="B5912" s="1" t="n">
        <v>45629.45423611111</v>
      </c>
      <c r="C5912" s="1" t="n">
        <v>46075</v>
      </c>
      <c r="D5912" t="inlineStr">
        <is>
          <t>VÄSTERBOTTENS LÄN</t>
        </is>
      </c>
      <c r="E5912" t="inlineStr">
        <is>
          <t>SKELLEFTEÅ</t>
        </is>
      </c>
      <c r="F5912" t="inlineStr">
        <is>
          <t>Holmen skog AB</t>
        </is>
      </c>
      <c r="G5912" t="n">
        <v>5.8</v>
      </c>
      <c r="H5912" t="n">
        <v>0</v>
      </c>
      <c r="I5912" t="n">
        <v>0</v>
      </c>
      <c r="J5912" t="n">
        <v>0</v>
      </c>
      <c r="K5912" t="n">
        <v>0</v>
      </c>
      <c r="L5912" t="n">
        <v>0</v>
      </c>
      <c r="M5912" t="n">
        <v>0</v>
      </c>
      <c r="N5912" t="n">
        <v>0</v>
      </c>
      <c r="O5912" t="n">
        <v>0</v>
      </c>
      <c r="P5912" t="n">
        <v>0</v>
      </c>
      <c r="Q5912" t="n">
        <v>0</v>
      </c>
      <c r="R5912" s="2" t="inlineStr"/>
    </row>
    <row r="5913" ht="15" customHeight="1">
      <c r="A5913" t="inlineStr">
        <is>
          <t>A 47891-2025</t>
        </is>
      </c>
      <c r="B5913" s="1" t="n">
        <v>45932.47138888889</v>
      </c>
      <c r="C5913" s="1" t="n">
        <v>46075</v>
      </c>
      <c r="D5913" t="inlineStr">
        <is>
          <t>VÄSTERBOTTENS LÄN</t>
        </is>
      </c>
      <c r="E5913" t="inlineStr">
        <is>
          <t>SKELLEFTEÅ</t>
        </is>
      </c>
      <c r="G5913" t="n">
        <v>9.5</v>
      </c>
      <c r="H5913" t="n">
        <v>0</v>
      </c>
      <c r="I5913" t="n">
        <v>0</v>
      </c>
      <c r="J5913" t="n">
        <v>0</v>
      </c>
      <c r="K5913" t="n">
        <v>0</v>
      </c>
      <c r="L5913" t="n">
        <v>0</v>
      </c>
      <c r="M5913" t="n">
        <v>0</v>
      </c>
      <c r="N5913" t="n">
        <v>0</v>
      </c>
      <c r="O5913" t="n">
        <v>0</v>
      </c>
      <c r="P5913" t="n">
        <v>0</v>
      </c>
      <c r="Q5913" t="n">
        <v>0</v>
      </c>
      <c r="R5913" s="2" t="inlineStr"/>
    </row>
    <row r="5914" ht="15" customHeight="1">
      <c r="A5914" t="inlineStr">
        <is>
          <t>A 57199-2024</t>
        </is>
      </c>
      <c r="B5914" s="1" t="n">
        <v>45628</v>
      </c>
      <c r="C5914" s="1" t="n">
        <v>46075</v>
      </c>
      <c r="D5914" t="inlineStr">
        <is>
          <t>VÄSTERBOTTENS LÄN</t>
        </is>
      </c>
      <c r="E5914" t="inlineStr">
        <is>
          <t>SKELLEFTEÅ</t>
        </is>
      </c>
      <c r="G5914" t="n">
        <v>8.800000000000001</v>
      </c>
      <c r="H5914" t="n">
        <v>0</v>
      </c>
      <c r="I5914" t="n">
        <v>0</v>
      </c>
      <c r="J5914" t="n">
        <v>0</v>
      </c>
      <c r="K5914" t="n">
        <v>0</v>
      </c>
      <c r="L5914" t="n">
        <v>0</v>
      </c>
      <c r="M5914" t="n">
        <v>0</v>
      </c>
      <c r="N5914" t="n">
        <v>0</v>
      </c>
      <c r="O5914" t="n">
        <v>0</v>
      </c>
      <c r="P5914" t="n">
        <v>0</v>
      </c>
      <c r="Q5914" t="n">
        <v>0</v>
      </c>
      <c r="R5914" s="2" t="inlineStr"/>
    </row>
    <row r="5915" ht="15" customHeight="1">
      <c r="A5915" t="inlineStr">
        <is>
          <t>A 38909-2023</t>
        </is>
      </c>
      <c r="B5915" s="1" t="n">
        <v>45163.57194444445</v>
      </c>
      <c r="C5915" s="1" t="n">
        <v>46075</v>
      </c>
      <c r="D5915" t="inlineStr">
        <is>
          <t>VÄSTERBOTTENS LÄN</t>
        </is>
      </c>
      <c r="E5915" t="inlineStr">
        <is>
          <t>VINDELN</t>
        </is>
      </c>
      <c r="F5915" t="inlineStr">
        <is>
          <t>Holmen skog AB</t>
        </is>
      </c>
      <c r="G5915" t="n">
        <v>3.3</v>
      </c>
      <c r="H5915" t="n">
        <v>0</v>
      </c>
      <c r="I5915" t="n">
        <v>0</v>
      </c>
      <c r="J5915" t="n">
        <v>0</v>
      </c>
      <c r="K5915" t="n">
        <v>0</v>
      </c>
      <c r="L5915" t="n">
        <v>0</v>
      </c>
      <c r="M5915" t="n">
        <v>0</v>
      </c>
      <c r="N5915" t="n">
        <v>0</v>
      </c>
      <c r="O5915" t="n">
        <v>0</v>
      </c>
      <c r="P5915" t="n">
        <v>0</v>
      </c>
      <c r="Q5915" t="n">
        <v>0</v>
      </c>
      <c r="R5915" s="2" t="inlineStr"/>
    </row>
    <row r="5916" ht="15" customHeight="1">
      <c r="A5916" t="inlineStr">
        <is>
          <t>A 37940-2025</t>
        </is>
      </c>
      <c r="B5916" s="1" t="n">
        <v>45880</v>
      </c>
      <c r="C5916" s="1" t="n">
        <v>46075</v>
      </c>
      <c r="D5916" t="inlineStr">
        <is>
          <t>VÄSTERBOTTENS LÄN</t>
        </is>
      </c>
      <c r="E5916" t="inlineStr">
        <is>
          <t>BJURHOLM</t>
        </is>
      </c>
      <c r="G5916" t="n">
        <v>2.5</v>
      </c>
      <c r="H5916" t="n">
        <v>0</v>
      </c>
      <c r="I5916" t="n">
        <v>0</v>
      </c>
      <c r="J5916" t="n">
        <v>0</v>
      </c>
      <c r="K5916" t="n">
        <v>0</v>
      </c>
      <c r="L5916" t="n">
        <v>0</v>
      </c>
      <c r="M5916" t="n">
        <v>0</v>
      </c>
      <c r="N5916" t="n">
        <v>0</v>
      </c>
      <c r="O5916" t="n">
        <v>0</v>
      </c>
      <c r="P5916" t="n">
        <v>0</v>
      </c>
      <c r="Q5916" t="n">
        <v>0</v>
      </c>
      <c r="R5916" s="2" t="inlineStr"/>
    </row>
    <row r="5917" ht="15" customHeight="1">
      <c r="A5917" t="inlineStr">
        <is>
          <t>A 37943-2025</t>
        </is>
      </c>
      <c r="B5917" s="1" t="n">
        <v>45880</v>
      </c>
      <c r="C5917" s="1" t="n">
        <v>46075</v>
      </c>
      <c r="D5917" t="inlineStr">
        <is>
          <t>VÄSTERBOTTENS LÄN</t>
        </is>
      </c>
      <c r="E5917" t="inlineStr">
        <is>
          <t>BJURHOLM</t>
        </is>
      </c>
      <c r="G5917" t="n">
        <v>6.9</v>
      </c>
      <c r="H5917" t="n">
        <v>0</v>
      </c>
      <c r="I5917" t="n">
        <v>0</v>
      </c>
      <c r="J5917" t="n">
        <v>0</v>
      </c>
      <c r="K5917" t="n">
        <v>0</v>
      </c>
      <c r="L5917" t="n">
        <v>0</v>
      </c>
      <c r="M5917" t="n">
        <v>0</v>
      </c>
      <c r="N5917" t="n">
        <v>0</v>
      </c>
      <c r="O5917" t="n">
        <v>0</v>
      </c>
      <c r="P5917" t="n">
        <v>0</v>
      </c>
      <c r="Q5917" t="n">
        <v>0</v>
      </c>
      <c r="R5917" s="2" t="inlineStr"/>
    </row>
    <row r="5918" ht="15" customHeight="1">
      <c r="A5918" t="inlineStr">
        <is>
          <t>A 37962-2025</t>
        </is>
      </c>
      <c r="B5918" s="1" t="n">
        <v>45881</v>
      </c>
      <c r="C5918" s="1" t="n">
        <v>46075</v>
      </c>
      <c r="D5918" t="inlineStr">
        <is>
          <t>VÄSTERBOTTENS LÄN</t>
        </is>
      </c>
      <c r="E5918" t="inlineStr">
        <is>
          <t>SKELLEFTEÅ</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25347-2024</t>
        </is>
      </c>
      <c r="B5919" s="1" t="n">
        <v>45462</v>
      </c>
      <c r="C5919" s="1" t="n">
        <v>46075</v>
      </c>
      <c r="D5919" t="inlineStr">
        <is>
          <t>VÄSTERBOTTENS LÄN</t>
        </is>
      </c>
      <c r="E5919" t="inlineStr">
        <is>
          <t>VÄNNÄS</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47813-2025</t>
        </is>
      </c>
      <c r="B5920" s="1" t="n">
        <v>45932</v>
      </c>
      <c r="C5920" s="1" t="n">
        <v>46075</v>
      </c>
      <c r="D5920" t="inlineStr">
        <is>
          <t>VÄSTERBOTTENS LÄN</t>
        </is>
      </c>
      <c r="E5920" t="inlineStr">
        <is>
          <t>SKELLEFTEÅ</t>
        </is>
      </c>
      <c r="F5920" t="inlineStr">
        <is>
          <t>Kyrkan</t>
        </is>
      </c>
      <c r="G5920" t="n">
        <v>10.8</v>
      </c>
      <c r="H5920" t="n">
        <v>0</v>
      </c>
      <c r="I5920" t="n">
        <v>0</v>
      </c>
      <c r="J5920" t="n">
        <v>0</v>
      </c>
      <c r="K5920" t="n">
        <v>0</v>
      </c>
      <c r="L5920" t="n">
        <v>0</v>
      </c>
      <c r="M5920" t="n">
        <v>0</v>
      </c>
      <c r="N5920" t="n">
        <v>0</v>
      </c>
      <c r="O5920" t="n">
        <v>0</v>
      </c>
      <c r="P5920" t="n">
        <v>0</v>
      </c>
      <c r="Q5920" t="n">
        <v>0</v>
      </c>
      <c r="R5920" s="2" t="inlineStr"/>
    </row>
    <row r="5921" ht="15" customHeight="1">
      <c r="A5921" t="inlineStr">
        <is>
          <t>A 48031-2025</t>
        </is>
      </c>
      <c r="B5921" s="1" t="n">
        <v>45932.65422453704</v>
      </c>
      <c r="C5921" s="1" t="n">
        <v>46075</v>
      </c>
      <c r="D5921" t="inlineStr">
        <is>
          <t>VÄSTERBOTTENS LÄN</t>
        </is>
      </c>
      <c r="E5921" t="inlineStr">
        <is>
          <t>SKELLEFTEÅ</t>
        </is>
      </c>
      <c r="G5921" t="n">
        <v>4.6</v>
      </c>
      <c r="H5921" t="n">
        <v>0</v>
      </c>
      <c r="I5921" t="n">
        <v>0</v>
      </c>
      <c r="J5921" t="n">
        <v>0</v>
      </c>
      <c r="K5921" t="n">
        <v>0</v>
      </c>
      <c r="L5921" t="n">
        <v>0</v>
      </c>
      <c r="M5921" t="n">
        <v>0</v>
      </c>
      <c r="N5921" t="n">
        <v>0</v>
      </c>
      <c r="O5921" t="n">
        <v>0</v>
      </c>
      <c r="P5921" t="n">
        <v>0</v>
      </c>
      <c r="Q5921" t="n">
        <v>0</v>
      </c>
      <c r="R5921" s="2" t="inlineStr"/>
    </row>
    <row r="5922" ht="15" customHeight="1">
      <c r="A5922" t="inlineStr">
        <is>
          <t>A 13439-2024</t>
        </is>
      </c>
      <c r="B5922" s="1" t="n">
        <v>45387</v>
      </c>
      <c r="C5922" s="1" t="n">
        <v>46075</v>
      </c>
      <c r="D5922" t="inlineStr">
        <is>
          <t>VÄSTERBOTTENS LÄN</t>
        </is>
      </c>
      <c r="E5922" t="inlineStr">
        <is>
          <t>VINDELN</t>
        </is>
      </c>
      <c r="F5922" t="inlineStr">
        <is>
          <t>Holmen skog AB</t>
        </is>
      </c>
      <c r="G5922" t="n">
        <v>6.4</v>
      </c>
      <c r="H5922" t="n">
        <v>0</v>
      </c>
      <c r="I5922" t="n">
        <v>0</v>
      </c>
      <c r="J5922" t="n">
        <v>0</v>
      </c>
      <c r="K5922" t="n">
        <v>0</v>
      </c>
      <c r="L5922" t="n">
        <v>0</v>
      </c>
      <c r="M5922" t="n">
        <v>0</v>
      </c>
      <c r="N5922" t="n">
        <v>0</v>
      </c>
      <c r="O5922" t="n">
        <v>0</v>
      </c>
      <c r="P5922" t="n">
        <v>0</v>
      </c>
      <c r="Q5922" t="n">
        <v>0</v>
      </c>
      <c r="R5922" s="2" t="inlineStr"/>
    </row>
    <row r="5923" ht="15" customHeight="1">
      <c r="A5923" t="inlineStr">
        <is>
          <t>A 37702-2025</t>
        </is>
      </c>
      <c r="B5923" s="1" t="n">
        <v>45880.58201388889</v>
      </c>
      <c r="C5923" s="1" t="n">
        <v>46075</v>
      </c>
      <c r="D5923" t="inlineStr">
        <is>
          <t>VÄSTERBOTTENS LÄN</t>
        </is>
      </c>
      <c r="E5923" t="inlineStr">
        <is>
          <t>SKELLEFTEÅ</t>
        </is>
      </c>
      <c r="F5923" t="inlineStr">
        <is>
          <t>Holmen skog AB</t>
        </is>
      </c>
      <c r="G5923" t="n">
        <v>2.1</v>
      </c>
      <c r="H5923" t="n">
        <v>0</v>
      </c>
      <c r="I5923" t="n">
        <v>0</v>
      </c>
      <c r="J5923" t="n">
        <v>0</v>
      </c>
      <c r="K5923" t="n">
        <v>0</v>
      </c>
      <c r="L5923" t="n">
        <v>0</v>
      </c>
      <c r="M5923" t="n">
        <v>0</v>
      </c>
      <c r="N5923" t="n">
        <v>0</v>
      </c>
      <c r="O5923" t="n">
        <v>0</v>
      </c>
      <c r="P5923" t="n">
        <v>0</v>
      </c>
      <c r="Q5923" t="n">
        <v>0</v>
      </c>
      <c r="R5923" s="2" t="inlineStr"/>
    </row>
    <row r="5924" ht="15" customHeight="1">
      <c r="A5924" t="inlineStr">
        <is>
          <t>A 37711-2025</t>
        </is>
      </c>
      <c r="B5924" s="1" t="n">
        <v>45880.59618055556</v>
      </c>
      <c r="C5924" s="1" t="n">
        <v>46075</v>
      </c>
      <c r="D5924" t="inlineStr">
        <is>
          <t>VÄSTERBOTTENS LÄN</t>
        </is>
      </c>
      <c r="E5924" t="inlineStr">
        <is>
          <t>SKELLEFTEÅ</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30432-2025</t>
        </is>
      </c>
      <c r="B5925" s="1" t="n">
        <v>45827.6325462963</v>
      </c>
      <c r="C5925" s="1" t="n">
        <v>46075</v>
      </c>
      <c r="D5925" t="inlineStr">
        <is>
          <t>VÄSTERBOTTENS LÄN</t>
        </is>
      </c>
      <c r="E5925" t="inlineStr">
        <is>
          <t>SKELLEFTEÅ</t>
        </is>
      </c>
      <c r="G5925" t="n">
        <v>3.5</v>
      </c>
      <c r="H5925" t="n">
        <v>0</v>
      </c>
      <c r="I5925" t="n">
        <v>0</v>
      </c>
      <c r="J5925" t="n">
        <v>0</v>
      </c>
      <c r="K5925" t="n">
        <v>0</v>
      </c>
      <c r="L5925" t="n">
        <v>0</v>
      </c>
      <c r="M5925" t="n">
        <v>0</v>
      </c>
      <c r="N5925" t="n">
        <v>0</v>
      </c>
      <c r="O5925" t="n">
        <v>0</v>
      </c>
      <c r="P5925" t="n">
        <v>0</v>
      </c>
      <c r="Q5925" t="n">
        <v>0</v>
      </c>
      <c r="R5925" s="2" t="inlineStr"/>
    </row>
    <row r="5926" ht="15" customHeight="1">
      <c r="A5926" t="inlineStr">
        <is>
          <t>A 62052-2024</t>
        </is>
      </c>
      <c r="B5926" s="1" t="n">
        <v>45656.3674537037</v>
      </c>
      <c r="C5926" s="1" t="n">
        <v>46075</v>
      </c>
      <c r="D5926" t="inlineStr">
        <is>
          <t>VÄSTERBOTTENS LÄN</t>
        </is>
      </c>
      <c r="E5926" t="inlineStr">
        <is>
          <t>SKELLEFTEÅ</t>
        </is>
      </c>
      <c r="G5926" t="n">
        <v>4.8</v>
      </c>
      <c r="H5926" t="n">
        <v>0</v>
      </c>
      <c r="I5926" t="n">
        <v>0</v>
      </c>
      <c r="J5926" t="n">
        <v>0</v>
      </c>
      <c r="K5926" t="n">
        <v>0</v>
      </c>
      <c r="L5926" t="n">
        <v>0</v>
      </c>
      <c r="M5926" t="n">
        <v>0</v>
      </c>
      <c r="N5926" t="n">
        <v>0</v>
      </c>
      <c r="O5926" t="n">
        <v>0</v>
      </c>
      <c r="P5926" t="n">
        <v>0</v>
      </c>
      <c r="Q5926" t="n">
        <v>0</v>
      </c>
      <c r="R5926" s="2" t="inlineStr"/>
    </row>
    <row r="5927" ht="15" customHeight="1">
      <c r="A5927" t="inlineStr">
        <is>
          <t>A 23753-2023</t>
        </is>
      </c>
      <c r="B5927" s="1" t="n">
        <v>45077</v>
      </c>
      <c r="C5927" s="1" t="n">
        <v>46075</v>
      </c>
      <c r="D5927" t="inlineStr">
        <is>
          <t>VÄSTERBOTTENS LÄN</t>
        </is>
      </c>
      <c r="E5927" t="inlineStr">
        <is>
          <t>NORDMALING</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1249-2025</t>
        </is>
      </c>
      <c r="B5928" s="1" t="n">
        <v>45667.4634375</v>
      </c>
      <c r="C5928" s="1" t="n">
        <v>46075</v>
      </c>
      <c r="D5928" t="inlineStr">
        <is>
          <t>VÄSTERBOTTENS LÄN</t>
        </is>
      </c>
      <c r="E5928" t="inlineStr">
        <is>
          <t>SKELLEFTEÅ</t>
        </is>
      </c>
      <c r="G5928" t="n">
        <v>2.5</v>
      </c>
      <c r="H5928" t="n">
        <v>0</v>
      </c>
      <c r="I5928" t="n">
        <v>0</v>
      </c>
      <c r="J5928" t="n">
        <v>0</v>
      </c>
      <c r="K5928" t="n">
        <v>0</v>
      </c>
      <c r="L5928" t="n">
        <v>0</v>
      </c>
      <c r="M5928" t="n">
        <v>0</v>
      </c>
      <c r="N5928" t="n">
        <v>0</v>
      </c>
      <c r="O5928" t="n">
        <v>0</v>
      </c>
      <c r="P5928" t="n">
        <v>0</v>
      </c>
      <c r="Q5928" t="n">
        <v>0</v>
      </c>
      <c r="R5928" s="2" t="inlineStr"/>
    </row>
    <row r="5929" ht="15" customHeight="1">
      <c r="A5929" t="inlineStr">
        <is>
          <t>A 3193-2025</t>
        </is>
      </c>
      <c r="B5929" s="1" t="n">
        <v>45679.42042824074</v>
      </c>
      <c r="C5929" s="1" t="n">
        <v>46075</v>
      </c>
      <c r="D5929" t="inlineStr">
        <is>
          <t>VÄSTERBOTTENS LÄN</t>
        </is>
      </c>
      <c r="E5929" t="inlineStr">
        <is>
          <t>SKELLEFTEÅ</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51152-2024</t>
        </is>
      </c>
      <c r="B5930" s="1" t="n">
        <v>45603</v>
      </c>
      <c r="C5930" s="1" t="n">
        <v>46075</v>
      </c>
      <c r="D5930" t="inlineStr">
        <is>
          <t>VÄSTERBOTTENS LÄN</t>
        </is>
      </c>
      <c r="E5930" t="inlineStr">
        <is>
          <t>LYCKSELE</t>
        </is>
      </c>
      <c r="F5930" t="inlineStr">
        <is>
          <t>Sveaskog</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17874-2025</t>
        </is>
      </c>
      <c r="B5931" s="1" t="n">
        <v>45758.64266203704</v>
      </c>
      <c r="C5931" s="1" t="n">
        <v>46075</v>
      </c>
      <c r="D5931" t="inlineStr">
        <is>
          <t>VÄSTERBOTTENS LÄN</t>
        </is>
      </c>
      <c r="E5931" t="inlineStr">
        <is>
          <t>SKELLEFTEÅ</t>
        </is>
      </c>
      <c r="G5931" t="n">
        <v>7.2</v>
      </c>
      <c r="H5931" t="n">
        <v>0</v>
      </c>
      <c r="I5931" t="n">
        <v>0</v>
      </c>
      <c r="J5931" t="n">
        <v>0</v>
      </c>
      <c r="K5931" t="n">
        <v>0</v>
      </c>
      <c r="L5931" t="n">
        <v>0</v>
      </c>
      <c r="M5931" t="n">
        <v>0</v>
      </c>
      <c r="N5931" t="n">
        <v>0</v>
      </c>
      <c r="O5931" t="n">
        <v>0</v>
      </c>
      <c r="P5931" t="n">
        <v>0</v>
      </c>
      <c r="Q5931" t="n">
        <v>0</v>
      </c>
      <c r="R5931" s="2" t="inlineStr"/>
    </row>
    <row r="5932" ht="15" customHeight="1">
      <c r="A5932" t="inlineStr">
        <is>
          <t>A 25691-2025</t>
        </is>
      </c>
      <c r="B5932" s="1" t="n">
        <v>45803.66194444444</v>
      </c>
      <c r="C5932" s="1" t="n">
        <v>46075</v>
      </c>
      <c r="D5932" t="inlineStr">
        <is>
          <t>VÄSTERBOTTENS LÄN</t>
        </is>
      </c>
      <c r="E5932" t="inlineStr">
        <is>
          <t>UMEÅ</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37829-2025</t>
        </is>
      </c>
      <c r="B5933" s="1" t="n">
        <v>45881.41208333334</v>
      </c>
      <c r="C5933" s="1" t="n">
        <v>46075</v>
      </c>
      <c r="D5933" t="inlineStr">
        <is>
          <t>VÄSTERBOTTENS LÄN</t>
        </is>
      </c>
      <c r="E5933" t="inlineStr">
        <is>
          <t>BJURHOLM</t>
        </is>
      </c>
      <c r="G5933" t="n">
        <v>5.6</v>
      </c>
      <c r="H5933" t="n">
        <v>0</v>
      </c>
      <c r="I5933" t="n">
        <v>0</v>
      </c>
      <c r="J5933" t="n">
        <v>0</v>
      </c>
      <c r="K5933" t="n">
        <v>0</v>
      </c>
      <c r="L5933" t="n">
        <v>0</v>
      </c>
      <c r="M5933" t="n">
        <v>0</v>
      </c>
      <c r="N5933" t="n">
        <v>0</v>
      </c>
      <c r="O5933" t="n">
        <v>0</v>
      </c>
      <c r="P5933" t="n">
        <v>0</v>
      </c>
      <c r="Q5933" t="n">
        <v>0</v>
      </c>
      <c r="R5933" s="2" t="inlineStr"/>
    </row>
    <row r="5934" ht="15" customHeight="1">
      <c r="A5934" t="inlineStr">
        <is>
          <t>A 61030-2022</t>
        </is>
      </c>
      <c r="B5934" s="1" t="n">
        <v>44914</v>
      </c>
      <c r="C5934" s="1" t="n">
        <v>46075</v>
      </c>
      <c r="D5934" t="inlineStr">
        <is>
          <t>VÄSTERBOTTENS LÄN</t>
        </is>
      </c>
      <c r="E5934" t="inlineStr">
        <is>
          <t>SORSELE</t>
        </is>
      </c>
      <c r="G5934" t="n">
        <v>2.6</v>
      </c>
      <c r="H5934" t="n">
        <v>0</v>
      </c>
      <c r="I5934" t="n">
        <v>0</v>
      </c>
      <c r="J5934" t="n">
        <v>0</v>
      </c>
      <c r="K5934" t="n">
        <v>0</v>
      </c>
      <c r="L5934" t="n">
        <v>0</v>
      </c>
      <c r="M5934" t="n">
        <v>0</v>
      </c>
      <c r="N5934" t="n">
        <v>0</v>
      </c>
      <c r="O5934" t="n">
        <v>0</v>
      </c>
      <c r="P5934" t="n">
        <v>0</v>
      </c>
      <c r="Q5934" t="n">
        <v>0</v>
      </c>
      <c r="R5934" s="2" t="inlineStr"/>
    </row>
    <row r="5935" ht="15" customHeight="1">
      <c r="A5935" t="inlineStr">
        <is>
          <t>A 61034-2022</t>
        </is>
      </c>
      <c r="B5935" s="1" t="n">
        <v>44914</v>
      </c>
      <c r="C5935" s="1" t="n">
        <v>46075</v>
      </c>
      <c r="D5935" t="inlineStr">
        <is>
          <t>VÄSTERBOTTENS LÄN</t>
        </is>
      </c>
      <c r="E5935" t="inlineStr">
        <is>
          <t>UMEÅ</t>
        </is>
      </c>
      <c r="G5935" t="n">
        <v>16.7</v>
      </c>
      <c r="H5935" t="n">
        <v>0</v>
      </c>
      <c r="I5935" t="n">
        <v>0</v>
      </c>
      <c r="J5935" t="n">
        <v>0</v>
      </c>
      <c r="K5935" t="n">
        <v>0</v>
      </c>
      <c r="L5935" t="n">
        <v>0</v>
      </c>
      <c r="M5935" t="n">
        <v>0</v>
      </c>
      <c r="N5935" t="n">
        <v>0</v>
      </c>
      <c r="O5935" t="n">
        <v>0</v>
      </c>
      <c r="P5935" t="n">
        <v>0</v>
      </c>
      <c r="Q5935" t="n">
        <v>0</v>
      </c>
      <c r="R5935" s="2" t="inlineStr"/>
    </row>
    <row r="5936" ht="15" customHeight="1">
      <c r="A5936" t="inlineStr">
        <is>
          <t>A 22108-2024</t>
        </is>
      </c>
      <c r="B5936" s="1" t="n">
        <v>45443</v>
      </c>
      <c r="C5936" s="1" t="n">
        <v>46075</v>
      </c>
      <c r="D5936" t="inlineStr">
        <is>
          <t>VÄSTERBOTTENS LÄN</t>
        </is>
      </c>
      <c r="E5936" t="inlineStr">
        <is>
          <t>VILHELMINA</t>
        </is>
      </c>
      <c r="F5936" t="inlineStr">
        <is>
          <t>SCA</t>
        </is>
      </c>
      <c r="G5936" t="n">
        <v>4.9</v>
      </c>
      <c r="H5936" t="n">
        <v>0</v>
      </c>
      <c r="I5936" t="n">
        <v>0</v>
      </c>
      <c r="J5936" t="n">
        <v>0</v>
      </c>
      <c r="K5936" t="n">
        <v>0</v>
      </c>
      <c r="L5936" t="n">
        <v>0</v>
      </c>
      <c r="M5936" t="n">
        <v>0</v>
      </c>
      <c r="N5936" t="n">
        <v>0</v>
      </c>
      <c r="O5936" t="n">
        <v>0</v>
      </c>
      <c r="P5936" t="n">
        <v>0</v>
      </c>
      <c r="Q5936" t="n">
        <v>0</v>
      </c>
      <c r="R5936" s="2" t="inlineStr"/>
    </row>
    <row r="5937" ht="15" customHeight="1">
      <c r="A5937" t="inlineStr">
        <is>
          <t>A 363-2025</t>
        </is>
      </c>
      <c r="B5937" s="1" t="n">
        <v>45660.9071412037</v>
      </c>
      <c r="C5937" s="1" t="n">
        <v>46075</v>
      </c>
      <c r="D5937" t="inlineStr">
        <is>
          <t>VÄSTERBOTTENS LÄN</t>
        </is>
      </c>
      <c r="E5937" t="inlineStr">
        <is>
          <t>NORDMALING</t>
        </is>
      </c>
      <c r="G5937" t="n">
        <v>7.8</v>
      </c>
      <c r="H5937" t="n">
        <v>0</v>
      </c>
      <c r="I5937" t="n">
        <v>0</v>
      </c>
      <c r="J5937" t="n">
        <v>0</v>
      </c>
      <c r="K5937" t="n">
        <v>0</v>
      </c>
      <c r="L5937" t="n">
        <v>0</v>
      </c>
      <c r="M5937" t="n">
        <v>0</v>
      </c>
      <c r="N5937" t="n">
        <v>0</v>
      </c>
      <c r="O5937" t="n">
        <v>0</v>
      </c>
      <c r="P5937" t="n">
        <v>0</v>
      </c>
      <c r="Q5937" t="n">
        <v>0</v>
      </c>
      <c r="R5937" s="2" t="inlineStr"/>
    </row>
    <row r="5938" ht="15" customHeight="1">
      <c r="A5938" t="inlineStr">
        <is>
          <t>A 48530-2025</t>
        </is>
      </c>
      <c r="B5938" s="1" t="n">
        <v>45936.40789351852</v>
      </c>
      <c r="C5938" s="1" t="n">
        <v>46075</v>
      </c>
      <c r="D5938" t="inlineStr">
        <is>
          <t>VÄSTERBOTTENS LÄN</t>
        </is>
      </c>
      <c r="E5938" t="inlineStr">
        <is>
          <t>DOROTEA</t>
        </is>
      </c>
      <c r="G5938" t="n">
        <v>2.4</v>
      </c>
      <c r="H5938" t="n">
        <v>0</v>
      </c>
      <c r="I5938" t="n">
        <v>0</v>
      </c>
      <c r="J5938" t="n">
        <v>0</v>
      </c>
      <c r="K5938" t="n">
        <v>0</v>
      </c>
      <c r="L5938" t="n">
        <v>0</v>
      </c>
      <c r="M5938" t="n">
        <v>0</v>
      </c>
      <c r="N5938" t="n">
        <v>0</v>
      </c>
      <c r="O5938" t="n">
        <v>0</v>
      </c>
      <c r="P5938" t="n">
        <v>0</v>
      </c>
      <c r="Q5938" t="n">
        <v>0</v>
      </c>
      <c r="R5938" s="2" t="inlineStr"/>
    </row>
    <row r="5939" ht="15" customHeight="1">
      <c r="A5939" t="inlineStr">
        <is>
          <t>A 37756-2025</t>
        </is>
      </c>
      <c r="B5939" s="1" t="n">
        <v>45880.67780092593</v>
      </c>
      <c r="C5939" s="1" t="n">
        <v>46075</v>
      </c>
      <c r="D5939" t="inlineStr">
        <is>
          <t>VÄSTERBOTTENS LÄN</t>
        </is>
      </c>
      <c r="E5939" t="inlineStr">
        <is>
          <t>BJURHOLM</t>
        </is>
      </c>
      <c r="F5939" t="inlineStr">
        <is>
          <t>SCA</t>
        </is>
      </c>
      <c r="G5939" t="n">
        <v>4.6</v>
      </c>
      <c r="H5939" t="n">
        <v>0</v>
      </c>
      <c r="I5939" t="n">
        <v>0</v>
      </c>
      <c r="J5939" t="n">
        <v>0</v>
      </c>
      <c r="K5939" t="n">
        <v>0</v>
      </c>
      <c r="L5939" t="n">
        <v>0</v>
      </c>
      <c r="M5939" t="n">
        <v>0</v>
      </c>
      <c r="N5939" t="n">
        <v>0</v>
      </c>
      <c r="O5939" t="n">
        <v>0</v>
      </c>
      <c r="P5939" t="n">
        <v>0</v>
      </c>
      <c r="Q5939" t="n">
        <v>0</v>
      </c>
      <c r="R5939" s="2" t="inlineStr"/>
    </row>
    <row r="5940" ht="15" customHeight="1">
      <c r="A5940" t="inlineStr">
        <is>
          <t>A 37769-2025</t>
        </is>
      </c>
      <c r="B5940" s="1" t="n">
        <v>45880.74818287037</v>
      </c>
      <c r="C5940" s="1" t="n">
        <v>46075</v>
      </c>
      <c r="D5940" t="inlineStr">
        <is>
          <t>VÄSTERBOTTENS LÄN</t>
        </is>
      </c>
      <c r="E5940" t="inlineStr">
        <is>
          <t>ÅSELE</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34087-2023</t>
        </is>
      </c>
      <c r="B5941" s="1" t="n">
        <v>45125</v>
      </c>
      <c r="C5941" s="1" t="n">
        <v>46075</v>
      </c>
      <c r="D5941" t="inlineStr">
        <is>
          <t>VÄSTERBOTTENS LÄN</t>
        </is>
      </c>
      <c r="E5941" t="inlineStr">
        <is>
          <t>VILHELMINA</t>
        </is>
      </c>
      <c r="G5941" t="n">
        <v>13.2</v>
      </c>
      <c r="H5941" t="n">
        <v>0</v>
      </c>
      <c r="I5941" t="n">
        <v>0</v>
      </c>
      <c r="J5941" t="n">
        <v>0</v>
      </c>
      <c r="K5941" t="n">
        <v>0</v>
      </c>
      <c r="L5941" t="n">
        <v>0</v>
      </c>
      <c r="M5941" t="n">
        <v>0</v>
      </c>
      <c r="N5941" t="n">
        <v>0</v>
      </c>
      <c r="O5941" t="n">
        <v>0</v>
      </c>
      <c r="P5941" t="n">
        <v>0</v>
      </c>
      <c r="Q5941" t="n">
        <v>0</v>
      </c>
      <c r="R5941" s="2" t="inlineStr"/>
    </row>
    <row r="5942" ht="15" customHeight="1">
      <c r="A5942" t="inlineStr">
        <is>
          <t>A 37900-2025</t>
        </is>
      </c>
      <c r="B5942" s="1" t="n">
        <v>45881.56103009259</v>
      </c>
      <c r="C5942" s="1" t="n">
        <v>46075</v>
      </c>
      <c r="D5942" t="inlineStr">
        <is>
          <t>VÄSTERBOTTENS LÄN</t>
        </is>
      </c>
      <c r="E5942" t="inlineStr">
        <is>
          <t>SKELLEFTEÅ</t>
        </is>
      </c>
      <c r="F5942" t="inlineStr">
        <is>
          <t>Holmen skog AB</t>
        </is>
      </c>
      <c r="G5942" t="n">
        <v>4.7</v>
      </c>
      <c r="H5942" t="n">
        <v>0</v>
      </c>
      <c r="I5942" t="n">
        <v>0</v>
      </c>
      <c r="J5942" t="n">
        <v>0</v>
      </c>
      <c r="K5942" t="n">
        <v>0</v>
      </c>
      <c r="L5942" t="n">
        <v>0</v>
      </c>
      <c r="M5942" t="n">
        <v>0</v>
      </c>
      <c r="N5942" t="n">
        <v>0</v>
      </c>
      <c r="O5942" t="n">
        <v>0</v>
      </c>
      <c r="P5942" t="n">
        <v>0</v>
      </c>
      <c r="Q5942" t="n">
        <v>0</v>
      </c>
      <c r="R5942" s="2" t="inlineStr"/>
    </row>
    <row r="5943" ht="15" customHeight="1">
      <c r="A5943" t="inlineStr">
        <is>
          <t>A 19752-2025</t>
        </is>
      </c>
      <c r="B5943" s="1" t="n">
        <v>45771.38605324074</v>
      </c>
      <c r="C5943" s="1" t="n">
        <v>46075</v>
      </c>
      <c r="D5943" t="inlineStr">
        <is>
          <t>VÄSTERBOTTENS LÄN</t>
        </is>
      </c>
      <c r="E5943" t="inlineStr">
        <is>
          <t>SKELLEFTEÅ</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33583-2025</t>
        </is>
      </c>
      <c r="B5944" s="1" t="n">
        <v>45841.5943287037</v>
      </c>
      <c r="C5944" s="1" t="n">
        <v>46075</v>
      </c>
      <c r="D5944" t="inlineStr">
        <is>
          <t>VÄSTERBOTTENS LÄN</t>
        </is>
      </c>
      <c r="E5944" t="inlineStr">
        <is>
          <t>VINDELN</t>
        </is>
      </c>
      <c r="F5944" t="inlineStr">
        <is>
          <t>Holmen skog AB</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34991-2023</t>
        </is>
      </c>
      <c r="B5945" s="1" t="n">
        <v>45142.80528935185</v>
      </c>
      <c r="C5945" s="1" t="n">
        <v>46075</v>
      </c>
      <c r="D5945" t="inlineStr">
        <is>
          <t>VÄSTERBOTTENS LÄN</t>
        </is>
      </c>
      <c r="E5945" t="inlineStr">
        <is>
          <t>UMEÅ</t>
        </is>
      </c>
      <c r="G5945" t="n">
        <v>6.9</v>
      </c>
      <c r="H5945" t="n">
        <v>0</v>
      </c>
      <c r="I5945" t="n">
        <v>0</v>
      </c>
      <c r="J5945" t="n">
        <v>0</v>
      </c>
      <c r="K5945" t="n">
        <v>0</v>
      </c>
      <c r="L5945" t="n">
        <v>0</v>
      </c>
      <c r="M5945" t="n">
        <v>0</v>
      </c>
      <c r="N5945" t="n">
        <v>0</v>
      </c>
      <c r="O5945" t="n">
        <v>0</v>
      </c>
      <c r="P5945" t="n">
        <v>0</v>
      </c>
      <c r="Q5945" t="n">
        <v>0</v>
      </c>
      <c r="R5945" s="2" t="inlineStr"/>
    </row>
    <row r="5946" ht="15" customHeight="1">
      <c r="A5946" t="inlineStr">
        <is>
          <t>A 35000-2023</t>
        </is>
      </c>
      <c r="B5946" s="1" t="n">
        <v>45142.92407407407</v>
      </c>
      <c r="C5946" s="1" t="n">
        <v>46075</v>
      </c>
      <c r="D5946" t="inlineStr">
        <is>
          <t>VÄSTERBOTTENS LÄN</t>
        </is>
      </c>
      <c r="E5946" t="inlineStr">
        <is>
          <t>DOROTEA</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55889-2022</t>
        </is>
      </c>
      <c r="B5947" s="1" t="n">
        <v>44888</v>
      </c>
      <c r="C5947" s="1" t="n">
        <v>46075</v>
      </c>
      <c r="D5947" t="inlineStr">
        <is>
          <t>VÄSTERBOTTENS LÄN</t>
        </is>
      </c>
      <c r="E5947" t="inlineStr">
        <is>
          <t>DOROTEA</t>
        </is>
      </c>
      <c r="G5947" t="n">
        <v>15.8</v>
      </c>
      <c r="H5947" t="n">
        <v>0</v>
      </c>
      <c r="I5947" t="n">
        <v>0</v>
      </c>
      <c r="J5947" t="n">
        <v>0</v>
      </c>
      <c r="K5947" t="n">
        <v>0</v>
      </c>
      <c r="L5947" t="n">
        <v>0</v>
      </c>
      <c r="M5947" t="n">
        <v>0</v>
      </c>
      <c r="N5947" t="n">
        <v>0</v>
      </c>
      <c r="O5947" t="n">
        <v>0</v>
      </c>
      <c r="P5947" t="n">
        <v>0</v>
      </c>
      <c r="Q5947" t="n">
        <v>0</v>
      </c>
      <c r="R5947" s="2" t="inlineStr"/>
    </row>
    <row r="5948" ht="15" customHeight="1">
      <c r="A5948" t="inlineStr">
        <is>
          <t>A 37888-2025</t>
        </is>
      </c>
      <c r="B5948" s="1" t="n">
        <v>45881.51483796296</v>
      </c>
      <c r="C5948" s="1" t="n">
        <v>46075</v>
      </c>
      <c r="D5948" t="inlineStr">
        <is>
          <t>VÄSTERBOTTENS LÄN</t>
        </is>
      </c>
      <c r="E5948" t="inlineStr">
        <is>
          <t>BJURHOLM</t>
        </is>
      </c>
      <c r="G5948" t="n">
        <v>4.3</v>
      </c>
      <c r="H5948" t="n">
        <v>0</v>
      </c>
      <c r="I5948" t="n">
        <v>0</v>
      </c>
      <c r="J5948" t="n">
        <v>0</v>
      </c>
      <c r="K5948" t="n">
        <v>0</v>
      </c>
      <c r="L5948" t="n">
        <v>0</v>
      </c>
      <c r="M5948" t="n">
        <v>0</v>
      </c>
      <c r="N5948" t="n">
        <v>0</v>
      </c>
      <c r="O5948" t="n">
        <v>0</v>
      </c>
      <c r="P5948" t="n">
        <v>0</v>
      </c>
      <c r="Q5948" t="n">
        <v>0</v>
      </c>
      <c r="R5948" s="2" t="inlineStr"/>
    </row>
    <row r="5949" ht="15" customHeight="1">
      <c r="A5949" t="inlineStr">
        <is>
          <t>A 48531-2025</t>
        </is>
      </c>
      <c r="B5949" s="1" t="n">
        <v>45936.40791666666</v>
      </c>
      <c r="C5949" s="1" t="n">
        <v>46075</v>
      </c>
      <c r="D5949" t="inlineStr">
        <is>
          <t>VÄSTERBOTTENS LÄN</t>
        </is>
      </c>
      <c r="E5949" t="inlineStr">
        <is>
          <t>DOROTEA</t>
        </is>
      </c>
      <c r="G5949" t="n">
        <v>3.8</v>
      </c>
      <c r="H5949" t="n">
        <v>0</v>
      </c>
      <c r="I5949" t="n">
        <v>0</v>
      </c>
      <c r="J5949" t="n">
        <v>0</v>
      </c>
      <c r="K5949" t="n">
        <v>0</v>
      </c>
      <c r="L5949" t="n">
        <v>0</v>
      </c>
      <c r="M5949" t="n">
        <v>0</v>
      </c>
      <c r="N5949" t="n">
        <v>0</v>
      </c>
      <c r="O5949" t="n">
        <v>0</v>
      </c>
      <c r="P5949" t="n">
        <v>0</v>
      </c>
      <c r="Q5949" t="n">
        <v>0</v>
      </c>
      <c r="R5949" s="2" t="inlineStr"/>
    </row>
    <row r="5950" ht="15" customHeight="1">
      <c r="A5950" t="inlineStr">
        <is>
          <t>A 24430-2023</t>
        </is>
      </c>
      <c r="B5950" s="1" t="n">
        <v>45076</v>
      </c>
      <c r="C5950" s="1" t="n">
        <v>46075</v>
      </c>
      <c r="D5950" t="inlineStr">
        <is>
          <t>VÄSTERBOTTENS LÄN</t>
        </is>
      </c>
      <c r="E5950" t="inlineStr">
        <is>
          <t>SKELLEFTEÅ</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48744-2025</t>
        </is>
      </c>
      <c r="B5951" s="1" t="n">
        <v>45936.67855324074</v>
      </c>
      <c r="C5951" s="1" t="n">
        <v>46075</v>
      </c>
      <c r="D5951" t="inlineStr">
        <is>
          <t>VÄSTERBOTTENS LÄN</t>
        </is>
      </c>
      <c r="E5951" t="inlineStr">
        <is>
          <t>NORDMALING</t>
        </is>
      </c>
      <c r="F5951" t="inlineStr">
        <is>
          <t>SCA</t>
        </is>
      </c>
      <c r="G5951" t="n">
        <v>3.4</v>
      </c>
      <c r="H5951" t="n">
        <v>0</v>
      </c>
      <c r="I5951" t="n">
        <v>0</v>
      </c>
      <c r="J5951" t="n">
        <v>0</v>
      </c>
      <c r="K5951" t="n">
        <v>0</v>
      </c>
      <c r="L5951" t="n">
        <v>0</v>
      </c>
      <c r="M5951" t="n">
        <v>0</v>
      </c>
      <c r="N5951" t="n">
        <v>0</v>
      </c>
      <c r="O5951" t="n">
        <v>0</v>
      </c>
      <c r="P5951" t="n">
        <v>0</v>
      </c>
      <c r="Q5951" t="n">
        <v>0</v>
      </c>
      <c r="R5951" s="2" t="inlineStr"/>
    </row>
    <row r="5952" ht="15" customHeight="1">
      <c r="A5952" t="inlineStr">
        <is>
          <t>A 37970-2025</t>
        </is>
      </c>
      <c r="B5952" s="1" t="n">
        <v>45881.6677199074</v>
      </c>
      <c r="C5952" s="1" t="n">
        <v>46075</v>
      </c>
      <c r="D5952" t="inlineStr">
        <is>
          <t>VÄSTERBOTTENS LÄN</t>
        </is>
      </c>
      <c r="E5952" t="inlineStr">
        <is>
          <t>LYCKSELE</t>
        </is>
      </c>
      <c r="F5952" t="inlineStr">
        <is>
          <t>Holmen skog AB</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37977-2025</t>
        </is>
      </c>
      <c r="B5953" s="1" t="n">
        <v>45881.67791666667</v>
      </c>
      <c r="C5953" s="1" t="n">
        <v>46075</v>
      </c>
      <c r="D5953" t="inlineStr">
        <is>
          <t>VÄSTERBOTTENS LÄN</t>
        </is>
      </c>
      <c r="E5953" t="inlineStr">
        <is>
          <t>LYCKSELE</t>
        </is>
      </c>
      <c r="F5953" t="inlineStr">
        <is>
          <t>SCA</t>
        </is>
      </c>
      <c r="G5953" t="n">
        <v>4.8</v>
      </c>
      <c r="H5953" t="n">
        <v>0</v>
      </c>
      <c r="I5953" t="n">
        <v>0</v>
      </c>
      <c r="J5953" t="n">
        <v>0</v>
      </c>
      <c r="K5953" t="n">
        <v>0</v>
      </c>
      <c r="L5953" t="n">
        <v>0</v>
      </c>
      <c r="M5953" t="n">
        <v>0</v>
      </c>
      <c r="N5953" t="n">
        <v>0</v>
      </c>
      <c r="O5953" t="n">
        <v>0</v>
      </c>
      <c r="P5953" t="n">
        <v>0</v>
      </c>
      <c r="Q5953" t="n">
        <v>0</v>
      </c>
      <c r="R5953" s="2" t="inlineStr"/>
    </row>
    <row r="5954" ht="15" customHeight="1">
      <c r="A5954" t="inlineStr">
        <is>
          <t>A 38363-2023</t>
        </is>
      </c>
      <c r="B5954" s="1" t="n">
        <v>45161</v>
      </c>
      <c r="C5954" s="1" t="n">
        <v>46075</v>
      </c>
      <c r="D5954" t="inlineStr">
        <is>
          <t>VÄSTERBOTTENS LÄN</t>
        </is>
      </c>
      <c r="E5954" t="inlineStr">
        <is>
          <t>VILHELMINA</t>
        </is>
      </c>
      <c r="F5954" t="inlineStr">
        <is>
          <t>SCA</t>
        </is>
      </c>
      <c r="G5954" t="n">
        <v>3.4</v>
      </c>
      <c r="H5954" t="n">
        <v>0</v>
      </c>
      <c r="I5954" t="n">
        <v>0</v>
      </c>
      <c r="J5954" t="n">
        <v>0</v>
      </c>
      <c r="K5954" t="n">
        <v>0</v>
      </c>
      <c r="L5954" t="n">
        <v>0</v>
      </c>
      <c r="M5954" t="n">
        <v>0</v>
      </c>
      <c r="N5954" t="n">
        <v>0</v>
      </c>
      <c r="O5954" t="n">
        <v>0</v>
      </c>
      <c r="P5954" t="n">
        <v>0</v>
      </c>
      <c r="Q5954" t="n">
        <v>0</v>
      </c>
      <c r="R5954" s="2" t="inlineStr"/>
    </row>
    <row r="5955" ht="15" customHeight="1">
      <c r="A5955" t="inlineStr">
        <is>
          <t>A 37689-2025</t>
        </is>
      </c>
      <c r="B5955" s="1" t="n">
        <v>45880.56694444444</v>
      </c>
      <c r="C5955" s="1" t="n">
        <v>46075</v>
      </c>
      <c r="D5955" t="inlineStr">
        <is>
          <t>VÄSTERBOTTENS LÄN</t>
        </is>
      </c>
      <c r="E5955" t="inlineStr">
        <is>
          <t>SKELLEFTEÅ</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37692-2025</t>
        </is>
      </c>
      <c r="B5956" s="1" t="n">
        <v>45880.57291666666</v>
      </c>
      <c r="C5956" s="1" t="n">
        <v>46075</v>
      </c>
      <c r="D5956" t="inlineStr">
        <is>
          <t>VÄSTERBOTTENS LÄN</t>
        </is>
      </c>
      <c r="E5956" t="inlineStr">
        <is>
          <t>SKELLEFTEÅ</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23372-2021</t>
        </is>
      </c>
      <c r="B5957" s="1" t="n">
        <v>44333.58960648148</v>
      </c>
      <c r="C5957" s="1" t="n">
        <v>46075</v>
      </c>
      <c r="D5957" t="inlineStr">
        <is>
          <t>VÄSTERBOTTENS LÄN</t>
        </is>
      </c>
      <c r="E5957" t="inlineStr">
        <is>
          <t>UMEÅ</t>
        </is>
      </c>
      <c r="G5957" t="n">
        <v>4.5</v>
      </c>
      <c r="H5957" t="n">
        <v>0</v>
      </c>
      <c r="I5957" t="n">
        <v>0</v>
      </c>
      <c r="J5957" t="n">
        <v>0</v>
      </c>
      <c r="K5957" t="n">
        <v>0</v>
      </c>
      <c r="L5957" t="n">
        <v>0</v>
      </c>
      <c r="M5957" t="n">
        <v>0</v>
      </c>
      <c r="N5957" t="n">
        <v>0</v>
      </c>
      <c r="O5957" t="n">
        <v>0</v>
      </c>
      <c r="P5957" t="n">
        <v>0</v>
      </c>
      <c r="Q5957" t="n">
        <v>0</v>
      </c>
      <c r="R5957" s="2" t="inlineStr"/>
    </row>
    <row r="5958" ht="15" customHeight="1">
      <c r="A5958" t="inlineStr">
        <is>
          <t>A 37772-2025</t>
        </is>
      </c>
      <c r="B5958" s="1" t="n">
        <v>45880.75725694445</v>
      </c>
      <c r="C5958" s="1" t="n">
        <v>46075</v>
      </c>
      <c r="D5958" t="inlineStr">
        <is>
          <t>VÄSTERBOTTENS LÄN</t>
        </is>
      </c>
      <c r="E5958" t="inlineStr">
        <is>
          <t>ÅSELE</t>
        </is>
      </c>
      <c r="G5958" t="n">
        <v>11.3</v>
      </c>
      <c r="H5958" t="n">
        <v>0</v>
      </c>
      <c r="I5958" t="n">
        <v>0</v>
      </c>
      <c r="J5958" t="n">
        <v>0</v>
      </c>
      <c r="K5958" t="n">
        <v>0</v>
      </c>
      <c r="L5958" t="n">
        <v>0</v>
      </c>
      <c r="M5958" t="n">
        <v>0</v>
      </c>
      <c r="N5958" t="n">
        <v>0</v>
      </c>
      <c r="O5958" t="n">
        <v>0</v>
      </c>
      <c r="P5958" t="n">
        <v>0</v>
      </c>
      <c r="Q5958" t="n">
        <v>0</v>
      </c>
      <c r="R5958" s="2" t="inlineStr"/>
    </row>
    <row r="5959" ht="15" customHeight="1">
      <c r="A5959" t="inlineStr">
        <is>
          <t>A 37773-2025</t>
        </is>
      </c>
      <c r="B5959" s="1" t="n">
        <v>45880.7615162037</v>
      </c>
      <c r="C5959" s="1" t="n">
        <v>46075</v>
      </c>
      <c r="D5959" t="inlineStr">
        <is>
          <t>VÄSTERBOTTENS LÄN</t>
        </is>
      </c>
      <c r="E5959" t="inlineStr">
        <is>
          <t>ÅSELE</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48608-2025</t>
        </is>
      </c>
      <c r="B5960" s="1" t="n">
        <v>45936.4734837963</v>
      </c>
      <c r="C5960" s="1" t="n">
        <v>46075</v>
      </c>
      <c r="D5960" t="inlineStr">
        <is>
          <t>VÄSTERBOTTENS LÄN</t>
        </is>
      </c>
      <c r="E5960" t="inlineStr">
        <is>
          <t>SKELLEFTEÅ</t>
        </is>
      </c>
      <c r="F5960" t="inlineStr">
        <is>
          <t>Holmen skog AB</t>
        </is>
      </c>
      <c r="G5960" t="n">
        <v>6.3</v>
      </c>
      <c r="H5960" t="n">
        <v>0</v>
      </c>
      <c r="I5960" t="n">
        <v>0</v>
      </c>
      <c r="J5960" t="n">
        <v>0</v>
      </c>
      <c r="K5960" t="n">
        <v>0</v>
      </c>
      <c r="L5960" t="n">
        <v>0</v>
      </c>
      <c r="M5960" t="n">
        <v>0</v>
      </c>
      <c r="N5960" t="n">
        <v>0</v>
      </c>
      <c r="O5960" t="n">
        <v>0</v>
      </c>
      <c r="P5960" t="n">
        <v>0</v>
      </c>
      <c r="Q5960" t="n">
        <v>0</v>
      </c>
      <c r="R5960" s="2" t="inlineStr"/>
    </row>
    <row r="5961" ht="15" customHeight="1">
      <c r="A5961" t="inlineStr">
        <is>
          <t>A 48651-2025</t>
        </is>
      </c>
      <c r="B5961" s="1" t="n">
        <v>45936.55251157407</v>
      </c>
      <c r="C5961" s="1" t="n">
        <v>46075</v>
      </c>
      <c r="D5961" t="inlineStr">
        <is>
          <t>VÄSTERBOTTENS LÄN</t>
        </is>
      </c>
      <c r="E5961" t="inlineStr">
        <is>
          <t>VILHELMINA</t>
        </is>
      </c>
      <c r="F5961" t="inlineStr">
        <is>
          <t>SCA</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7431-2024</t>
        </is>
      </c>
      <c r="B5962" s="1" t="n">
        <v>45345</v>
      </c>
      <c r="C5962" s="1" t="n">
        <v>46075</v>
      </c>
      <c r="D5962" t="inlineStr">
        <is>
          <t>VÄSTERBOTTENS LÄN</t>
        </is>
      </c>
      <c r="E5962" t="inlineStr">
        <is>
          <t>BJURHOLM</t>
        </is>
      </c>
      <c r="G5962" t="n">
        <v>2.5</v>
      </c>
      <c r="H5962" t="n">
        <v>0</v>
      </c>
      <c r="I5962" t="n">
        <v>0</v>
      </c>
      <c r="J5962" t="n">
        <v>0</v>
      </c>
      <c r="K5962" t="n">
        <v>0</v>
      </c>
      <c r="L5962" t="n">
        <v>0</v>
      </c>
      <c r="M5962" t="n">
        <v>0</v>
      </c>
      <c r="N5962" t="n">
        <v>0</v>
      </c>
      <c r="O5962" t="n">
        <v>0</v>
      </c>
      <c r="P5962" t="n">
        <v>0</v>
      </c>
      <c r="Q5962" t="n">
        <v>0</v>
      </c>
      <c r="R5962" s="2" t="inlineStr"/>
    </row>
    <row r="5963" ht="15" customHeight="1">
      <c r="A5963" t="inlineStr">
        <is>
          <t>A 7884-2024</t>
        </is>
      </c>
      <c r="B5963" s="1" t="n">
        <v>45349</v>
      </c>
      <c r="C5963" s="1" t="n">
        <v>46075</v>
      </c>
      <c r="D5963" t="inlineStr">
        <is>
          <t>VÄSTERBOTTENS LÄN</t>
        </is>
      </c>
      <c r="E5963" t="inlineStr">
        <is>
          <t>SKELLEFTEÅ</t>
        </is>
      </c>
      <c r="G5963" t="n">
        <v>2.7</v>
      </c>
      <c r="H5963" t="n">
        <v>0</v>
      </c>
      <c r="I5963" t="n">
        <v>0</v>
      </c>
      <c r="J5963" t="n">
        <v>0</v>
      </c>
      <c r="K5963" t="n">
        <v>0</v>
      </c>
      <c r="L5963" t="n">
        <v>0</v>
      </c>
      <c r="M5963" t="n">
        <v>0</v>
      </c>
      <c r="N5963" t="n">
        <v>0</v>
      </c>
      <c r="O5963" t="n">
        <v>0</v>
      </c>
      <c r="P5963" t="n">
        <v>0</v>
      </c>
      <c r="Q5963" t="n">
        <v>0</v>
      </c>
      <c r="R5963" s="2" t="inlineStr"/>
    </row>
    <row r="5964" ht="15" customHeight="1">
      <c r="A5964" t="inlineStr">
        <is>
          <t>A 24050-2025</t>
        </is>
      </c>
      <c r="B5964" s="1" t="n">
        <v>45796.49869212963</v>
      </c>
      <c r="C5964" s="1" t="n">
        <v>46075</v>
      </c>
      <c r="D5964" t="inlineStr">
        <is>
          <t>VÄSTERBOTTENS LÄN</t>
        </is>
      </c>
      <c r="E5964" t="inlineStr">
        <is>
          <t>NORDMALING</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16608-2024</t>
        </is>
      </c>
      <c r="B5965" s="1" t="n">
        <v>45408</v>
      </c>
      <c r="C5965" s="1" t="n">
        <v>46075</v>
      </c>
      <c r="D5965" t="inlineStr">
        <is>
          <t>VÄSTERBOTTENS LÄN</t>
        </is>
      </c>
      <c r="E5965" t="inlineStr">
        <is>
          <t>VILHELMINA</t>
        </is>
      </c>
      <c r="G5965" t="n">
        <v>17.5</v>
      </c>
      <c r="H5965" t="n">
        <v>0</v>
      </c>
      <c r="I5965" t="n">
        <v>0</v>
      </c>
      <c r="J5965" t="n">
        <v>0</v>
      </c>
      <c r="K5965" t="n">
        <v>0</v>
      </c>
      <c r="L5965" t="n">
        <v>0</v>
      </c>
      <c r="M5965" t="n">
        <v>0</v>
      </c>
      <c r="N5965" t="n">
        <v>0</v>
      </c>
      <c r="O5965" t="n">
        <v>0</v>
      </c>
      <c r="P5965" t="n">
        <v>0</v>
      </c>
      <c r="Q5965" t="n">
        <v>0</v>
      </c>
      <c r="R5965" s="2" t="inlineStr"/>
    </row>
    <row r="5966" ht="15" customHeight="1">
      <c r="A5966" t="inlineStr">
        <is>
          <t>A 24079-2025</t>
        </is>
      </c>
      <c r="B5966" s="1" t="n">
        <v>45796.5531712963</v>
      </c>
      <c r="C5966" s="1" t="n">
        <v>46075</v>
      </c>
      <c r="D5966" t="inlineStr">
        <is>
          <t>VÄSTERBOTTENS LÄN</t>
        </is>
      </c>
      <c r="E5966" t="inlineStr">
        <is>
          <t>SKELLEFTEÅ</t>
        </is>
      </c>
      <c r="F5966" t="inlineStr">
        <is>
          <t>Holmen skog AB</t>
        </is>
      </c>
      <c r="G5966" t="n">
        <v>3.3</v>
      </c>
      <c r="H5966" t="n">
        <v>0</v>
      </c>
      <c r="I5966" t="n">
        <v>0</v>
      </c>
      <c r="J5966" t="n">
        <v>0</v>
      </c>
      <c r="K5966" t="n">
        <v>0</v>
      </c>
      <c r="L5966" t="n">
        <v>0</v>
      </c>
      <c r="M5966" t="n">
        <v>0</v>
      </c>
      <c r="N5966" t="n">
        <v>0</v>
      </c>
      <c r="O5966" t="n">
        <v>0</v>
      </c>
      <c r="P5966" t="n">
        <v>0</v>
      </c>
      <c r="Q5966" t="n">
        <v>0</v>
      </c>
      <c r="R5966" s="2" t="inlineStr"/>
    </row>
    <row r="5967" ht="15" customHeight="1">
      <c r="A5967" t="inlineStr">
        <is>
          <t>A 20471-2025</t>
        </is>
      </c>
      <c r="B5967" s="1" t="n">
        <v>45775.54582175926</v>
      </c>
      <c r="C5967" s="1" t="n">
        <v>46075</v>
      </c>
      <c r="D5967" t="inlineStr">
        <is>
          <t>VÄSTERBOTTENS LÄN</t>
        </is>
      </c>
      <c r="E5967" t="inlineStr">
        <is>
          <t>NORDMALING</t>
        </is>
      </c>
      <c r="G5967" t="n">
        <v>1.9</v>
      </c>
      <c r="H5967" t="n">
        <v>0</v>
      </c>
      <c r="I5967" t="n">
        <v>0</v>
      </c>
      <c r="J5967" t="n">
        <v>0</v>
      </c>
      <c r="K5967" t="n">
        <v>0</v>
      </c>
      <c r="L5967" t="n">
        <v>0</v>
      </c>
      <c r="M5967" t="n">
        <v>0</v>
      </c>
      <c r="N5967" t="n">
        <v>0</v>
      </c>
      <c r="O5967" t="n">
        <v>0</v>
      </c>
      <c r="P5967" t="n">
        <v>0</v>
      </c>
      <c r="Q5967" t="n">
        <v>0</v>
      </c>
      <c r="R5967" s="2" t="inlineStr"/>
    </row>
    <row r="5968" ht="15" customHeight="1">
      <c r="A5968" t="inlineStr">
        <is>
          <t>A 28957-2023</t>
        </is>
      </c>
      <c r="B5968" s="1" t="n">
        <v>45104</v>
      </c>
      <c r="C5968" s="1" t="n">
        <v>46075</v>
      </c>
      <c r="D5968" t="inlineStr">
        <is>
          <t>VÄSTERBOTTENS LÄN</t>
        </is>
      </c>
      <c r="E5968" t="inlineStr">
        <is>
          <t>STORUMAN</t>
        </is>
      </c>
      <c r="F5968" t="inlineStr">
        <is>
          <t>Sveaskog</t>
        </is>
      </c>
      <c r="G5968" t="n">
        <v>6</v>
      </c>
      <c r="H5968" t="n">
        <v>0</v>
      </c>
      <c r="I5968" t="n">
        <v>0</v>
      </c>
      <c r="J5968" t="n">
        <v>0</v>
      </c>
      <c r="K5968" t="n">
        <v>0</v>
      </c>
      <c r="L5968" t="n">
        <v>0</v>
      </c>
      <c r="M5968" t="n">
        <v>0</v>
      </c>
      <c r="N5968" t="n">
        <v>0</v>
      </c>
      <c r="O5968" t="n">
        <v>0</v>
      </c>
      <c r="P5968" t="n">
        <v>0</v>
      </c>
      <c r="Q5968" t="n">
        <v>0</v>
      </c>
      <c r="R5968" s="2" t="inlineStr"/>
    </row>
    <row r="5969" ht="15" customHeight="1">
      <c r="A5969" t="inlineStr">
        <is>
          <t>A 28959-2023</t>
        </is>
      </c>
      <c r="B5969" s="1" t="n">
        <v>45104</v>
      </c>
      <c r="C5969" s="1" t="n">
        <v>46075</v>
      </c>
      <c r="D5969" t="inlineStr">
        <is>
          <t>VÄSTERBOTTENS LÄN</t>
        </is>
      </c>
      <c r="E5969" t="inlineStr">
        <is>
          <t>SORSELE</t>
        </is>
      </c>
      <c r="F5969" t="inlineStr">
        <is>
          <t>Sveaskog</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28966-2023</t>
        </is>
      </c>
      <c r="B5970" s="1" t="n">
        <v>45104</v>
      </c>
      <c r="C5970" s="1" t="n">
        <v>46075</v>
      </c>
      <c r="D5970" t="inlineStr">
        <is>
          <t>VÄSTERBOTTENS LÄN</t>
        </is>
      </c>
      <c r="E5970" t="inlineStr">
        <is>
          <t>NORSJÖ</t>
        </is>
      </c>
      <c r="F5970" t="inlineStr">
        <is>
          <t>Sveaskog</t>
        </is>
      </c>
      <c r="G5970" t="n">
        <v>2.5</v>
      </c>
      <c r="H5970" t="n">
        <v>0</v>
      </c>
      <c r="I5970" t="n">
        <v>0</v>
      </c>
      <c r="J5970" t="n">
        <v>0</v>
      </c>
      <c r="K5970" t="n">
        <v>0</v>
      </c>
      <c r="L5970" t="n">
        <v>0</v>
      </c>
      <c r="M5970" t="n">
        <v>0</v>
      </c>
      <c r="N5970" t="n">
        <v>0</v>
      </c>
      <c r="O5970" t="n">
        <v>0</v>
      </c>
      <c r="P5970" t="n">
        <v>0</v>
      </c>
      <c r="Q5970" t="n">
        <v>0</v>
      </c>
      <c r="R5970" s="2" t="inlineStr"/>
    </row>
    <row r="5971" ht="15" customHeight="1">
      <c r="A5971" t="inlineStr">
        <is>
          <t>A 28436-2025</t>
        </is>
      </c>
      <c r="B5971" s="1" t="n">
        <v>45819.38614583333</v>
      </c>
      <c r="C5971" s="1" t="n">
        <v>46075</v>
      </c>
      <c r="D5971" t="inlineStr">
        <is>
          <t>VÄSTERBOTTENS LÄN</t>
        </is>
      </c>
      <c r="E5971" t="inlineStr">
        <is>
          <t>UMEÅ</t>
        </is>
      </c>
      <c r="G5971" t="n">
        <v>5.2</v>
      </c>
      <c r="H5971" t="n">
        <v>0</v>
      </c>
      <c r="I5971" t="n">
        <v>0</v>
      </c>
      <c r="J5971" t="n">
        <v>0</v>
      </c>
      <c r="K5971" t="n">
        <v>0</v>
      </c>
      <c r="L5971" t="n">
        <v>0</v>
      </c>
      <c r="M5971" t="n">
        <v>0</v>
      </c>
      <c r="N5971" t="n">
        <v>0</v>
      </c>
      <c r="O5971" t="n">
        <v>0</v>
      </c>
      <c r="P5971" t="n">
        <v>0</v>
      </c>
      <c r="Q5971" t="n">
        <v>0</v>
      </c>
      <c r="R5971" s="2" t="inlineStr"/>
    </row>
    <row r="5972" ht="15" customHeight="1">
      <c r="A5972" t="inlineStr">
        <is>
          <t>A 37952-2025</t>
        </is>
      </c>
      <c r="B5972" s="1" t="n">
        <v>45881.63590277778</v>
      </c>
      <c r="C5972" s="1" t="n">
        <v>46075</v>
      </c>
      <c r="D5972" t="inlineStr">
        <is>
          <t>VÄSTERBOTTENS LÄN</t>
        </is>
      </c>
      <c r="E5972" t="inlineStr">
        <is>
          <t>LYCKSELE</t>
        </is>
      </c>
      <c r="F5972" t="inlineStr">
        <is>
          <t>SCA</t>
        </is>
      </c>
      <c r="G5972" t="n">
        <v>6.1</v>
      </c>
      <c r="H5972" t="n">
        <v>0</v>
      </c>
      <c r="I5972" t="n">
        <v>0</v>
      </c>
      <c r="J5972" t="n">
        <v>0</v>
      </c>
      <c r="K5972" t="n">
        <v>0</v>
      </c>
      <c r="L5972" t="n">
        <v>0</v>
      </c>
      <c r="M5972" t="n">
        <v>0</v>
      </c>
      <c r="N5972" t="n">
        <v>0</v>
      </c>
      <c r="O5972" t="n">
        <v>0</v>
      </c>
      <c r="P5972" t="n">
        <v>0</v>
      </c>
      <c r="Q5972" t="n">
        <v>0</v>
      </c>
      <c r="R5972" s="2" t="inlineStr"/>
    </row>
    <row r="5973" ht="15" customHeight="1">
      <c r="A5973" t="inlineStr">
        <is>
          <t>A 48493-2025</t>
        </is>
      </c>
      <c r="B5973" s="1" t="n">
        <v>45936.36915509259</v>
      </c>
      <c r="C5973" s="1" t="n">
        <v>46075</v>
      </c>
      <c r="D5973" t="inlineStr">
        <is>
          <t>VÄSTERBOTTENS LÄN</t>
        </is>
      </c>
      <c r="E5973" t="inlineStr">
        <is>
          <t>LYCKSELE</t>
        </is>
      </c>
      <c r="F5973" t="inlineStr">
        <is>
          <t>Holmen skog AB</t>
        </is>
      </c>
      <c r="G5973" t="n">
        <v>5</v>
      </c>
      <c r="H5973" t="n">
        <v>0</v>
      </c>
      <c r="I5973" t="n">
        <v>0</v>
      </c>
      <c r="J5973" t="n">
        <v>0</v>
      </c>
      <c r="K5973" t="n">
        <v>0</v>
      </c>
      <c r="L5973" t="n">
        <v>0</v>
      </c>
      <c r="M5973" t="n">
        <v>0</v>
      </c>
      <c r="N5973" t="n">
        <v>0</v>
      </c>
      <c r="O5973" t="n">
        <v>0</v>
      </c>
      <c r="P5973" t="n">
        <v>0</v>
      </c>
      <c r="Q5973" t="n">
        <v>0</v>
      </c>
      <c r="R5973" s="2" t="inlineStr"/>
    </row>
    <row r="5974" ht="15" customHeight="1">
      <c r="A5974" t="inlineStr">
        <is>
          <t>A 48498-2025</t>
        </is>
      </c>
      <c r="B5974" s="1" t="n">
        <v>45936.37527777778</v>
      </c>
      <c r="C5974" s="1" t="n">
        <v>46075</v>
      </c>
      <c r="D5974" t="inlineStr">
        <is>
          <t>VÄSTERBOTTENS LÄN</t>
        </is>
      </c>
      <c r="E5974" t="inlineStr">
        <is>
          <t>LYCKSELE</t>
        </is>
      </c>
      <c r="F5974" t="inlineStr">
        <is>
          <t>Holmen skog AB</t>
        </is>
      </c>
      <c r="G5974" t="n">
        <v>5.4</v>
      </c>
      <c r="H5974" t="n">
        <v>0</v>
      </c>
      <c r="I5974" t="n">
        <v>0</v>
      </c>
      <c r="J5974" t="n">
        <v>0</v>
      </c>
      <c r="K5974" t="n">
        <v>0</v>
      </c>
      <c r="L5974" t="n">
        <v>0</v>
      </c>
      <c r="M5974" t="n">
        <v>0</v>
      </c>
      <c r="N5974" t="n">
        <v>0</v>
      </c>
      <c r="O5974" t="n">
        <v>0</v>
      </c>
      <c r="P5974" t="n">
        <v>0</v>
      </c>
      <c r="Q5974" t="n">
        <v>0</v>
      </c>
      <c r="R5974" s="2" t="inlineStr"/>
    </row>
    <row r="5975" ht="15" customHeight="1">
      <c r="A5975" t="inlineStr">
        <is>
          <t>A 48632-2025</t>
        </is>
      </c>
      <c r="B5975" s="1" t="n">
        <v>45936.51171296297</v>
      </c>
      <c r="C5975" s="1" t="n">
        <v>46075</v>
      </c>
      <c r="D5975" t="inlineStr">
        <is>
          <t>VÄSTERBOTTENS LÄN</t>
        </is>
      </c>
      <c r="E5975" t="inlineStr">
        <is>
          <t>NORDMALING</t>
        </is>
      </c>
      <c r="G5975" t="n">
        <v>2.3</v>
      </c>
      <c r="H5975" t="n">
        <v>0</v>
      </c>
      <c r="I5975" t="n">
        <v>0</v>
      </c>
      <c r="J5975" t="n">
        <v>0</v>
      </c>
      <c r="K5975" t="n">
        <v>0</v>
      </c>
      <c r="L5975" t="n">
        <v>0</v>
      </c>
      <c r="M5975" t="n">
        <v>0</v>
      </c>
      <c r="N5975" t="n">
        <v>0</v>
      </c>
      <c r="O5975" t="n">
        <v>0</v>
      </c>
      <c r="P5975" t="n">
        <v>0</v>
      </c>
      <c r="Q5975" t="n">
        <v>0</v>
      </c>
      <c r="R5975" s="2" t="inlineStr"/>
    </row>
    <row r="5976" ht="15" customHeight="1">
      <c r="A5976" t="inlineStr">
        <is>
          <t>A 49012-2025</t>
        </is>
      </c>
      <c r="B5976" s="1" t="n">
        <v>45936</v>
      </c>
      <c r="C5976" s="1" t="n">
        <v>46075</v>
      </c>
      <c r="D5976" t="inlineStr">
        <is>
          <t>VÄSTERBOTTENS LÄN</t>
        </is>
      </c>
      <c r="E5976" t="inlineStr">
        <is>
          <t>SKELLEFTEÅ</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37643-2025</t>
        </is>
      </c>
      <c r="B5977" s="1" t="n">
        <v>45880.47910879629</v>
      </c>
      <c r="C5977" s="1" t="n">
        <v>46075</v>
      </c>
      <c r="D5977" t="inlineStr">
        <is>
          <t>VÄSTERBOTTENS LÄN</t>
        </is>
      </c>
      <c r="E5977" t="inlineStr">
        <is>
          <t>ROBERTSFORS</t>
        </is>
      </c>
      <c r="G5977" t="n">
        <v>3.4</v>
      </c>
      <c r="H5977" t="n">
        <v>0</v>
      </c>
      <c r="I5977" t="n">
        <v>0</v>
      </c>
      <c r="J5977" t="n">
        <v>0</v>
      </c>
      <c r="K5977" t="n">
        <v>0</v>
      </c>
      <c r="L5977" t="n">
        <v>0</v>
      </c>
      <c r="M5977" t="n">
        <v>0</v>
      </c>
      <c r="N5977" t="n">
        <v>0</v>
      </c>
      <c r="O5977" t="n">
        <v>0</v>
      </c>
      <c r="P5977" t="n">
        <v>0</v>
      </c>
      <c r="Q5977" t="n">
        <v>0</v>
      </c>
      <c r="R5977" s="2" t="inlineStr"/>
    </row>
    <row r="5978" ht="15" customHeight="1">
      <c r="A5978" t="inlineStr">
        <is>
          <t>A 25699-2025</t>
        </is>
      </c>
      <c r="B5978" s="1" t="n">
        <v>45803.66822916667</v>
      </c>
      <c r="C5978" s="1" t="n">
        <v>46075</v>
      </c>
      <c r="D5978" t="inlineStr">
        <is>
          <t>VÄSTERBOTTENS LÄN</t>
        </is>
      </c>
      <c r="E5978" t="inlineStr">
        <is>
          <t>UMEÅ</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42791-2024</t>
        </is>
      </c>
      <c r="B5979" s="1" t="n">
        <v>45566</v>
      </c>
      <c r="C5979" s="1" t="n">
        <v>46075</v>
      </c>
      <c r="D5979" t="inlineStr">
        <is>
          <t>VÄSTERBOTTENS LÄN</t>
        </is>
      </c>
      <c r="E5979" t="inlineStr">
        <is>
          <t>SKELLEFTEÅ</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41962-2023</t>
        </is>
      </c>
      <c r="B5980" s="1" t="n">
        <v>45177</v>
      </c>
      <c r="C5980" s="1" t="n">
        <v>46075</v>
      </c>
      <c r="D5980" t="inlineStr">
        <is>
          <t>VÄSTERBOTTENS LÄN</t>
        </is>
      </c>
      <c r="E5980" t="inlineStr">
        <is>
          <t>ROBERTSFORS</t>
        </is>
      </c>
      <c r="G5980" t="n">
        <v>0.3</v>
      </c>
      <c r="H5980" t="n">
        <v>0</v>
      </c>
      <c r="I5980" t="n">
        <v>0</v>
      </c>
      <c r="J5980" t="n">
        <v>0</v>
      </c>
      <c r="K5980" t="n">
        <v>0</v>
      </c>
      <c r="L5980" t="n">
        <v>0</v>
      </c>
      <c r="M5980" t="n">
        <v>0</v>
      </c>
      <c r="N5980" t="n">
        <v>0</v>
      </c>
      <c r="O5980" t="n">
        <v>0</v>
      </c>
      <c r="P5980" t="n">
        <v>0</v>
      </c>
      <c r="Q5980" t="n">
        <v>0</v>
      </c>
      <c r="R5980" s="2" t="inlineStr"/>
    </row>
    <row r="5981" ht="15" customHeight="1">
      <c r="A5981" t="inlineStr">
        <is>
          <t>A 37926-2025</t>
        </is>
      </c>
      <c r="B5981" s="1" t="n">
        <v>45880</v>
      </c>
      <c r="C5981" s="1" t="n">
        <v>46075</v>
      </c>
      <c r="D5981" t="inlineStr">
        <is>
          <t>VÄSTERBOTTENS LÄN</t>
        </is>
      </c>
      <c r="E5981" t="inlineStr">
        <is>
          <t>BJURHOLM</t>
        </is>
      </c>
      <c r="G5981" t="n">
        <v>9.800000000000001</v>
      </c>
      <c r="H5981" t="n">
        <v>0</v>
      </c>
      <c r="I5981" t="n">
        <v>0</v>
      </c>
      <c r="J5981" t="n">
        <v>0</v>
      </c>
      <c r="K5981" t="n">
        <v>0</v>
      </c>
      <c r="L5981" t="n">
        <v>0</v>
      </c>
      <c r="M5981" t="n">
        <v>0</v>
      </c>
      <c r="N5981" t="n">
        <v>0</v>
      </c>
      <c r="O5981" t="n">
        <v>0</v>
      </c>
      <c r="P5981" t="n">
        <v>0</v>
      </c>
      <c r="Q5981" t="n">
        <v>0</v>
      </c>
      <c r="R5981" s="2" t="inlineStr"/>
    </row>
    <row r="5982" ht="15" customHeight="1">
      <c r="A5982" t="inlineStr">
        <is>
          <t>A 37814-2025</t>
        </is>
      </c>
      <c r="B5982" s="1" t="n">
        <v>45881.3749537037</v>
      </c>
      <c r="C5982" s="1" t="n">
        <v>46075</v>
      </c>
      <c r="D5982" t="inlineStr">
        <is>
          <t>VÄSTERBOTTENS LÄN</t>
        </is>
      </c>
      <c r="E5982" t="inlineStr">
        <is>
          <t>UMEÅ</t>
        </is>
      </c>
      <c r="G5982" t="n">
        <v>6</v>
      </c>
      <c r="H5982" t="n">
        <v>0</v>
      </c>
      <c r="I5982" t="n">
        <v>0</v>
      </c>
      <c r="J5982" t="n">
        <v>0</v>
      </c>
      <c r="K5982" t="n">
        <v>0</v>
      </c>
      <c r="L5982" t="n">
        <v>0</v>
      </c>
      <c r="M5982" t="n">
        <v>0</v>
      </c>
      <c r="N5982" t="n">
        <v>0</v>
      </c>
      <c r="O5982" t="n">
        <v>0</v>
      </c>
      <c r="P5982" t="n">
        <v>0</v>
      </c>
      <c r="Q5982" t="n">
        <v>0</v>
      </c>
      <c r="R5982" s="2" t="inlineStr"/>
    </row>
    <row r="5983" ht="15" customHeight="1">
      <c r="A5983" t="inlineStr">
        <is>
          <t>A 13207-2025</t>
        </is>
      </c>
      <c r="B5983" s="1" t="n">
        <v>45735.43693287037</v>
      </c>
      <c r="C5983" s="1" t="n">
        <v>46075</v>
      </c>
      <c r="D5983" t="inlineStr">
        <is>
          <t>VÄSTERBOTTENS LÄN</t>
        </is>
      </c>
      <c r="E5983" t="inlineStr">
        <is>
          <t>SKELLEFTEÅ</t>
        </is>
      </c>
      <c r="G5983" t="n">
        <v>3.2</v>
      </c>
      <c r="H5983" t="n">
        <v>0</v>
      </c>
      <c r="I5983" t="n">
        <v>0</v>
      </c>
      <c r="J5983" t="n">
        <v>0</v>
      </c>
      <c r="K5983" t="n">
        <v>0</v>
      </c>
      <c r="L5983" t="n">
        <v>0</v>
      </c>
      <c r="M5983" t="n">
        <v>0</v>
      </c>
      <c r="N5983" t="n">
        <v>0</v>
      </c>
      <c r="O5983" t="n">
        <v>0</v>
      </c>
      <c r="P5983" t="n">
        <v>0</v>
      </c>
      <c r="Q5983" t="n">
        <v>0</v>
      </c>
      <c r="R5983" s="2" t="inlineStr"/>
    </row>
    <row r="5984" ht="15" customHeight="1">
      <c r="A5984" t="inlineStr">
        <is>
          <t>A 45258-2024</t>
        </is>
      </c>
      <c r="B5984" s="1" t="n">
        <v>45576.34444444445</v>
      </c>
      <c r="C5984" s="1" t="n">
        <v>46075</v>
      </c>
      <c r="D5984" t="inlineStr">
        <is>
          <t>VÄSTERBOTTENS LÄN</t>
        </is>
      </c>
      <c r="E5984" t="inlineStr">
        <is>
          <t>VILHELMINA</t>
        </is>
      </c>
      <c r="F5984" t="inlineStr">
        <is>
          <t>SCA</t>
        </is>
      </c>
      <c r="G5984" t="n">
        <v>6.2</v>
      </c>
      <c r="H5984" t="n">
        <v>0</v>
      </c>
      <c r="I5984" t="n">
        <v>0</v>
      </c>
      <c r="J5984" t="n">
        <v>0</v>
      </c>
      <c r="K5984" t="n">
        <v>0</v>
      </c>
      <c r="L5984" t="n">
        <v>0</v>
      </c>
      <c r="M5984" t="n">
        <v>0</v>
      </c>
      <c r="N5984" t="n">
        <v>0</v>
      </c>
      <c r="O5984" t="n">
        <v>0</v>
      </c>
      <c r="P5984" t="n">
        <v>0</v>
      </c>
      <c r="Q5984" t="n">
        <v>0</v>
      </c>
      <c r="R5984" s="2" t="inlineStr"/>
    </row>
    <row r="5985" ht="15" customHeight="1">
      <c r="A5985" t="inlineStr">
        <is>
          <t>A 37868-2025</t>
        </is>
      </c>
      <c r="B5985" s="1" t="n">
        <v>45881.4718287037</v>
      </c>
      <c r="C5985" s="1" t="n">
        <v>46075</v>
      </c>
      <c r="D5985" t="inlineStr">
        <is>
          <t>VÄSTERBOTTENS LÄN</t>
        </is>
      </c>
      <c r="E5985" t="inlineStr">
        <is>
          <t>ÅSELE</t>
        </is>
      </c>
      <c r="F5985" t="inlineStr">
        <is>
          <t>Kyrkan</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48466-2025</t>
        </is>
      </c>
      <c r="B5986" s="1" t="n">
        <v>45936.34415509259</v>
      </c>
      <c r="C5986" s="1" t="n">
        <v>46075</v>
      </c>
      <c r="D5986" t="inlineStr">
        <is>
          <t>VÄSTERBOTTENS LÄN</t>
        </is>
      </c>
      <c r="E5986" t="inlineStr">
        <is>
          <t>ROBERTSFORS</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8935-2025</t>
        </is>
      </c>
      <c r="B5987" s="1" t="n">
        <v>45713.44832175926</v>
      </c>
      <c r="C5987" s="1" t="n">
        <v>46075</v>
      </c>
      <c r="D5987" t="inlineStr">
        <is>
          <t>VÄSTERBOTTENS LÄN</t>
        </is>
      </c>
      <c r="E5987" t="inlineStr">
        <is>
          <t>VÄNNÄS</t>
        </is>
      </c>
      <c r="G5987" t="n">
        <v>0.3</v>
      </c>
      <c r="H5987" t="n">
        <v>0</v>
      </c>
      <c r="I5987" t="n">
        <v>0</v>
      </c>
      <c r="J5987" t="n">
        <v>0</v>
      </c>
      <c r="K5987" t="n">
        <v>0</v>
      </c>
      <c r="L5987" t="n">
        <v>0</v>
      </c>
      <c r="M5987" t="n">
        <v>0</v>
      </c>
      <c r="N5987" t="n">
        <v>0</v>
      </c>
      <c r="O5987" t="n">
        <v>0</v>
      </c>
      <c r="P5987" t="n">
        <v>0</v>
      </c>
      <c r="Q5987" t="n">
        <v>0</v>
      </c>
      <c r="R5987" s="2" t="inlineStr"/>
    </row>
    <row r="5988" ht="15" customHeight="1">
      <c r="A5988" t="inlineStr">
        <is>
          <t>A 37881-2025</t>
        </is>
      </c>
      <c r="B5988" s="1" t="n">
        <v>45880</v>
      </c>
      <c r="C5988" s="1" t="n">
        <v>46075</v>
      </c>
      <c r="D5988" t="inlineStr">
        <is>
          <t>VÄSTERBOTTENS LÄN</t>
        </is>
      </c>
      <c r="E5988" t="inlineStr">
        <is>
          <t>BJURHOLM</t>
        </is>
      </c>
      <c r="G5988" t="n">
        <v>8</v>
      </c>
      <c r="H5988" t="n">
        <v>0</v>
      </c>
      <c r="I5988" t="n">
        <v>0</v>
      </c>
      <c r="J5988" t="n">
        <v>0</v>
      </c>
      <c r="K5988" t="n">
        <v>0</v>
      </c>
      <c r="L5988" t="n">
        <v>0</v>
      </c>
      <c r="M5988" t="n">
        <v>0</v>
      </c>
      <c r="N5988" t="n">
        <v>0</v>
      </c>
      <c r="O5988" t="n">
        <v>0</v>
      </c>
      <c r="P5988" t="n">
        <v>0</v>
      </c>
      <c r="Q5988" t="n">
        <v>0</v>
      </c>
      <c r="R5988" s="2" t="inlineStr"/>
    </row>
    <row r="5989" ht="15" customHeight="1">
      <c r="A5989" t="inlineStr">
        <is>
          <t>A 16887-2024</t>
        </is>
      </c>
      <c r="B5989" s="1" t="n">
        <v>45411.60519675926</v>
      </c>
      <c r="C5989" s="1" t="n">
        <v>46075</v>
      </c>
      <c r="D5989" t="inlineStr">
        <is>
          <t>VÄSTERBOTTENS LÄN</t>
        </is>
      </c>
      <c r="E5989" t="inlineStr">
        <is>
          <t>LYCKSELE</t>
        </is>
      </c>
      <c r="G5989" t="n">
        <v>6</v>
      </c>
      <c r="H5989" t="n">
        <v>0</v>
      </c>
      <c r="I5989" t="n">
        <v>0</v>
      </c>
      <c r="J5989" t="n">
        <v>0</v>
      </c>
      <c r="K5989" t="n">
        <v>0</v>
      </c>
      <c r="L5989" t="n">
        <v>0</v>
      </c>
      <c r="M5989" t="n">
        <v>0</v>
      </c>
      <c r="N5989" t="n">
        <v>0</v>
      </c>
      <c r="O5989" t="n">
        <v>0</v>
      </c>
      <c r="P5989" t="n">
        <v>0</v>
      </c>
      <c r="Q5989" t="n">
        <v>0</v>
      </c>
      <c r="R5989" s="2" t="inlineStr"/>
    </row>
    <row r="5990" ht="15" customHeight="1">
      <c r="A5990" t="inlineStr">
        <is>
          <t>A 8939-2025</t>
        </is>
      </c>
      <c r="B5990" s="1" t="n">
        <v>45713.4485300926</v>
      </c>
      <c r="C5990" s="1" t="n">
        <v>46075</v>
      </c>
      <c r="D5990" t="inlineStr">
        <is>
          <t>VÄSTERBOTTENS LÄN</t>
        </is>
      </c>
      <c r="E5990" t="inlineStr">
        <is>
          <t>VÄNNÄS</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57023-2025</t>
        </is>
      </c>
      <c r="B5991" s="1" t="n">
        <v>45979.25059027778</v>
      </c>
      <c r="C5991" s="1" t="n">
        <v>46075</v>
      </c>
      <c r="D5991" t="inlineStr">
        <is>
          <t>VÄSTERBOTTENS LÄN</t>
        </is>
      </c>
      <c r="E5991" t="inlineStr">
        <is>
          <t>VILHELMINA</t>
        </is>
      </c>
      <c r="G5991" t="n">
        <v>37.7</v>
      </c>
      <c r="H5991" t="n">
        <v>0</v>
      </c>
      <c r="I5991" t="n">
        <v>0</v>
      </c>
      <c r="J5991" t="n">
        <v>0</v>
      </c>
      <c r="K5991" t="n">
        <v>0</v>
      </c>
      <c r="L5991" t="n">
        <v>0</v>
      </c>
      <c r="M5991" t="n">
        <v>0</v>
      </c>
      <c r="N5991" t="n">
        <v>0</v>
      </c>
      <c r="O5991" t="n">
        <v>0</v>
      </c>
      <c r="P5991" t="n">
        <v>0</v>
      </c>
      <c r="Q5991" t="n">
        <v>0</v>
      </c>
      <c r="R5991" s="2" t="inlineStr"/>
    </row>
    <row r="5992" ht="15" customHeight="1">
      <c r="A5992" t="inlineStr">
        <is>
          <t>A 37956-2025</t>
        </is>
      </c>
      <c r="B5992" s="1" t="n">
        <v>45881.64329861111</v>
      </c>
      <c r="C5992" s="1" t="n">
        <v>46075</v>
      </c>
      <c r="D5992" t="inlineStr">
        <is>
          <t>VÄSTERBOTTENS LÄN</t>
        </is>
      </c>
      <c r="E5992" t="inlineStr">
        <is>
          <t>SORSELE</t>
        </is>
      </c>
      <c r="G5992" t="n">
        <v>15.7</v>
      </c>
      <c r="H5992" t="n">
        <v>0</v>
      </c>
      <c r="I5992" t="n">
        <v>0</v>
      </c>
      <c r="J5992" t="n">
        <v>0</v>
      </c>
      <c r="K5992" t="n">
        <v>0</v>
      </c>
      <c r="L5992" t="n">
        <v>0</v>
      </c>
      <c r="M5992" t="n">
        <v>0</v>
      </c>
      <c r="N5992" t="n">
        <v>0</v>
      </c>
      <c r="O5992" t="n">
        <v>0</v>
      </c>
      <c r="P5992" t="n">
        <v>0</v>
      </c>
      <c r="Q5992" t="n">
        <v>0</v>
      </c>
      <c r="R5992" s="2" t="inlineStr"/>
    </row>
    <row r="5993" ht="15" customHeight="1">
      <c r="A5993" t="inlineStr">
        <is>
          <t>A 37964-2025</t>
        </is>
      </c>
      <c r="B5993" s="1" t="n">
        <v>45881</v>
      </c>
      <c r="C5993" s="1" t="n">
        <v>46075</v>
      </c>
      <c r="D5993" t="inlineStr">
        <is>
          <t>VÄSTERBOTTENS LÄN</t>
        </is>
      </c>
      <c r="E5993" t="inlineStr">
        <is>
          <t>SKELLEFTEÅ</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38006-2025</t>
        </is>
      </c>
      <c r="B5994" s="1" t="n">
        <v>45882.28542824074</v>
      </c>
      <c r="C5994" s="1" t="n">
        <v>46075</v>
      </c>
      <c r="D5994" t="inlineStr">
        <is>
          <t>VÄSTERBOTTENS LÄN</t>
        </is>
      </c>
      <c r="E5994" t="inlineStr">
        <is>
          <t>BJURHOLM</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49011-2025</t>
        </is>
      </c>
      <c r="B5995" s="1" t="n">
        <v>45936</v>
      </c>
      <c r="C5995" s="1" t="n">
        <v>46075</v>
      </c>
      <c r="D5995" t="inlineStr">
        <is>
          <t>VÄSTERBOTTENS LÄN</t>
        </is>
      </c>
      <c r="E5995" t="inlineStr">
        <is>
          <t>NORSJÖ</t>
        </is>
      </c>
      <c r="G5995" t="n">
        <v>3.8</v>
      </c>
      <c r="H5995" t="n">
        <v>0</v>
      </c>
      <c r="I5995" t="n">
        <v>0</v>
      </c>
      <c r="J5995" t="n">
        <v>0</v>
      </c>
      <c r="K5995" t="n">
        <v>0</v>
      </c>
      <c r="L5995" t="n">
        <v>0</v>
      </c>
      <c r="M5995" t="n">
        <v>0</v>
      </c>
      <c r="N5995" t="n">
        <v>0</v>
      </c>
      <c r="O5995" t="n">
        <v>0</v>
      </c>
      <c r="P5995" t="n">
        <v>0</v>
      </c>
      <c r="Q5995" t="n">
        <v>0</v>
      </c>
      <c r="R5995" s="2" t="inlineStr"/>
    </row>
    <row r="5996" ht="15" customHeight="1">
      <c r="A5996" t="inlineStr">
        <is>
          <t>A 49031-2025</t>
        </is>
      </c>
      <c r="B5996" s="1" t="n">
        <v>45936</v>
      </c>
      <c r="C5996" s="1" t="n">
        <v>46075</v>
      </c>
      <c r="D5996" t="inlineStr">
        <is>
          <t>VÄSTERBOTTENS LÄN</t>
        </is>
      </c>
      <c r="E5996" t="inlineStr">
        <is>
          <t>SKELLEFTEÅ</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38449-2025</t>
        </is>
      </c>
      <c r="B5997" s="1" t="n">
        <v>45883.67765046296</v>
      </c>
      <c r="C5997" s="1" t="n">
        <v>46075</v>
      </c>
      <c r="D5997" t="inlineStr">
        <is>
          <t>VÄSTERBOTTENS LÄN</t>
        </is>
      </c>
      <c r="E5997" t="inlineStr">
        <is>
          <t>ÅSELE</t>
        </is>
      </c>
      <c r="F5997" t="inlineStr">
        <is>
          <t>SCA</t>
        </is>
      </c>
      <c r="G5997" t="n">
        <v>6.4</v>
      </c>
      <c r="H5997" t="n">
        <v>0</v>
      </c>
      <c r="I5997" t="n">
        <v>0</v>
      </c>
      <c r="J5997" t="n">
        <v>0</v>
      </c>
      <c r="K5997" t="n">
        <v>0</v>
      </c>
      <c r="L5997" t="n">
        <v>0</v>
      </c>
      <c r="M5997" t="n">
        <v>0</v>
      </c>
      <c r="N5997" t="n">
        <v>0</v>
      </c>
      <c r="O5997" t="n">
        <v>0</v>
      </c>
      <c r="P5997" t="n">
        <v>0</v>
      </c>
      <c r="Q5997" t="n">
        <v>0</v>
      </c>
      <c r="R5997" s="2" t="inlineStr"/>
    </row>
    <row r="5998" ht="15" customHeight="1">
      <c r="A5998" t="inlineStr">
        <is>
          <t>A 38177-2025</t>
        </is>
      </c>
      <c r="B5998" s="1" t="n">
        <v>45882.63927083334</v>
      </c>
      <c r="C5998" s="1" t="n">
        <v>46075</v>
      </c>
      <c r="D5998" t="inlineStr">
        <is>
          <t>VÄSTERBOTTENS LÄN</t>
        </is>
      </c>
      <c r="E5998" t="inlineStr">
        <is>
          <t>BJURHOLM</t>
        </is>
      </c>
      <c r="G5998" t="n">
        <v>14.2</v>
      </c>
      <c r="H5998" t="n">
        <v>0</v>
      </c>
      <c r="I5998" t="n">
        <v>0</v>
      </c>
      <c r="J5998" t="n">
        <v>0</v>
      </c>
      <c r="K5998" t="n">
        <v>0</v>
      </c>
      <c r="L5998" t="n">
        <v>0</v>
      </c>
      <c r="M5998" t="n">
        <v>0</v>
      </c>
      <c r="N5998" t="n">
        <v>0</v>
      </c>
      <c r="O5998" t="n">
        <v>0</v>
      </c>
      <c r="P5998" t="n">
        <v>0</v>
      </c>
      <c r="Q5998" t="n">
        <v>0</v>
      </c>
      <c r="R5998" s="2" t="inlineStr"/>
    </row>
    <row r="5999" ht="15" customHeight="1">
      <c r="A5999" t="inlineStr">
        <is>
          <t>A 38182-2025</t>
        </is>
      </c>
      <c r="B5999" s="1" t="n">
        <v>45882.64671296296</v>
      </c>
      <c r="C5999" s="1" t="n">
        <v>46075</v>
      </c>
      <c r="D5999" t="inlineStr">
        <is>
          <t>VÄSTERBOTTENS LÄN</t>
        </is>
      </c>
      <c r="E5999" t="inlineStr">
        <is>
          <t>NORSJÖ</t>
        </is>
      </c>
      <c r="F5999" t="inlineStr">
        <is>
          <t>Holmen skog AB</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38004-2025</t>
        </is>
      </c>
      <c r="B6000" s="1" t="n">
        <v>45881.92792824074</v>
      </c>
      <c r="C6000" s="1" t="n">
        <v>46075</v>
      </c>
      <c r="D6000" t="inlineStr">
        <is>
          <t>VÄSTERBOTTENS LÄN</t>
        </is>
      </c>
      <c r="E6000" t="inlineStr">
        <is>
          <t>SKELLEFTEÅ</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38012-2025</t>
        </is>
      </c>
      <c r="B6001" s="1" t="n">
        <v>45882.30746527778</v>
      </c>
      <c r="C6001" s="1" t="n">
        <v>46075</v>
      </c>
      <c r="D6001" t="inlineStr">
        <is>
          <t>VÄSTERBOTTENS LÄN</t>
        </is>
      </c>
      <c r="E6001" t="inlineStr">
        <is>
          <t>LYCKSELE</t>
        </is>
      </c>
      <c r="G6001" t="n">
        <v>4.2</v>
      </c>
      <c r="H6001" t="n">
        <v>0</v>
      </c>
      <c r="I6001" t="n">
        <v>0</v>
      </c>
      <c r="J6001" t="n">
        <v>0</v>
      </c>
      <c r="K6001" t="n">
        <v>0</v>
      </c>
      <c r="L6001" t="n">
        <v>0</v>
      </c>
      <c r="M6001" t="n">
        <v>0</v>
      </c>
      <c r="N6001" t="n">
        <v>0</v>
      </c>
      <c r="O6001" t="n">
        <v>0</v>
      </c>
      <c r="P6001" t="n">
        <v>0</v>
      </c>
      <c r="Q6001" t="n">
        <v>0</v>
      </c>
      <c r="R6001" s="2" t="inlineStr"/>
    </row>
    <row r="6002" ht="15" customHeight="1">
      <c r="A6002" t="inlineStr">
        <is>
          <t>A 30306-2024</t>
        </is>
      </c>
      <c r="B6002" s="1" t="n">
        <v>45490.69914351852</v>
      </c>
      <c r="C6002" s="1" t="n">
        <v>46075</v>
      </c>
      <c r="D6002" t="inlineStr">
        <is>
          <t>VÄSTERBOTTENS LÄN</t>
        </is>
      </c>
      <c r="E6002" t="inlineStr">
        <is>
          <t>LYCKSELE</t>
        </is>
      </c>
      <c r="F6002" t="inlineStr">
        <is>
          <t>Holmen skog AB</t>
        </is>
      </c>
      <c r="G6002" t="n">
        <v>5</v>
      </c>
      <c r="H6002" t="n">
        <v>0</v>
      </c>
      <c r="I6002" t="n">
        <v>0</v>
      </c>
      <c r="J6002" t="n">
        <v>0</v>
      </c>
      <c r="K6002" t="n">
        <v>0</v>
      </c>
      <c r="L6002" t="n">
        <v>0</v>
      </c>
      <c r="M6002" t="n">
        <v>0</v>
      </c>
      <c r="N6002" t="n">
        <v>0</v>
      </c>
      <c r="O6002" t="n">
        <v>0</v>
      </c>
      <c r="P6002" t="n">
        <v>0</v>
      </c>
      <c r="Q6002" t="n">
        <v>0</v>
      </c>
      <c r="R6002" s="2" t="inlineStr"/>
    </row>
    <row r="6003" ht="15" customHeight="1">
      <c r="A6003" t="inlineStr">
        <is>
          <t>A 38120-2025</t>
        </is>
      </c>
      <c r="B6003" s="1" t="n">
        <v>45882.55125</v>
      </c>
      <c r="C6003" s="1" t="n">
        <v>46075</v>
      </c>
      <c r="D6003" t="inlineStr">
        <is>
          <t>VÄSTERBOTTENS LÄN</t>
        </is>
      </c>
      <c r="E6003" t="inlineStr">
        <is>
          <t>BJURHOLM</t>
        </is>
      </c>
      <c r="G6003" t="n">
        <v>3.4</v>
      </c>
      <c r="H6003" t="n">
        <v>0</v>
      </c>
      <c r="I6003" t="n">
        <v>0</v>
      </c>
      <c r="J6003" t="n">
        <v>0</v>
      </c>
      <c r="K6003" t="n">
        <v>0</v>
      </c>
      <c r="L6003" t="n">
        <v>0</v>
      </c>
      <c r="M6003" t="n">
        <v>0</v>
      </c>
      <c r="N6003" t="n">
        <v>0</v>
      </c>
      <c r="O6003" t="n">
        <v>0</v>
      </c>
      <c r="P6003" t="n">
        <v>0</v>
      </c>
      <c r="Q6003" t="n">
        <v>0</v>
      </c>
      <c r="R6003" s="2" t="inlineStr"/>
    </row>
    <row r="6004" ht="15" customHeight="1">
      <c r="A6004" t="inlineStr">
        <is>
          <t>A 48659-2025</t>
        </is>
      </c>
      <c r="B6004" s="1" t="n">
        <v>45936.56694444444</v>
      </c>
      <c r="C6004" s="1" t="n">
        <v>46075</v>
      </c>
      <c r="D6004" t="inlineStr">
        <is>
          <t>VÄSTERBOTTENS LÄN</t>
        </is>
      </c>
      <c r="E6004" t="inlineStr">
        <is>
          <t>VINDELN</t>
        </is>
      </c>
      <c r="F6004" t="inlineStr">
        <is>
          <t>Sveaskog</t>
        </is>
      </c>
      <c r="G6004" t="n">
        <v>31.9</v>
      </c>
      <c r="H6004" t="n">
        <v>0</v>
      </c>
      <c r="I6004" t="n">
        <v>0</v>
      </c>
      <c r="J6004" t="n">
        <v>0</v>
      </c>
      <c r="K6004" t="n">
        <v>0</v>
      </c>
      <c r="L6004" t="n">
        <v>0</v>
      </c>
      <c r="M6004" t="n">
        <v>0</v>
      </c>
      <c r="N6004" t="n">
        <v>0</v>
      </c>
      <c r="O6004" t="n">
        <v>0</v>
      </c>
      <c r="P6004" t="n">
        <v>0</v>
      </c>
      <c r="Q6004" t="n">
        <v>0</v>
      </c>
      <c r="R6004" s="2" t="inlineStr"/>
    </row>
    <row r="6005" ht="15" customHeight="1">
      <c r="A6005" t="inlineStr">
        <is>
          <t>A 38154-2025</t>
        </is>
      </c>
      <c r="B6005" s="1" t="n">
        <v>45882.59900462963</v>
      </c>
      <c r="C6005" s="1" t="n">
        <v>46075</v>
      </c>
      <c r="D6005" t="inlineStr">
        <is>
          <t>VÄSTERBOTTENS LÄN</t>
        </is>
      </c>
      <c r="E6005" t="inlineStr">
        <is>
          <t>VINDELN</t>
        </is>
      </c>
      <c r="F6005" t="inlineStr">
        <is>
          <t>Naturvårdsverket</t>
        </is>
      </c>
      <c r="G6005" t="n">
        <v>2.9</v>
      </c>
      <c r="H6005" t="n">
        <v>0</v>
      </c>
      <c r="I6005" t="n">
        <v>0</v>
      </c>
      <c r="J6005" t="n">
        <v>0</v>
      </c>
      <c r="K6005" t="n">
        <v>0</v>
      </c>
      <c r="L6005" t="n">
        <v>0</v>
      </c>
      <c r="M6005" t="n">
        <v>0</v>
      </c>
      <c r="N6005" t="n">
        <v>0</v>
      </c>
      <c r="O6005" t="n">
        <v>0</v>
      </c>
      <c r="P6005" t="n">
        <v>0</v>
      </c>
      <c r="Q6005" t="n">
        <v>0</v>
      </c>
      <c r="R6005" s="2" t="inlineStr"/>
    </row>
    <row r="6006" ht="15" customHeight="1">
      <c r="A6006" t="inlineStr">
        <is>
          <t>A 49006-2025</t>
        </is>
      </c>
      <c r="B6006" s="1" t="n">
        <v>45936</v>
      </c>
      <c r="C6006" s="1" t="n">
        <v>46075</v>
      </c>
      <c r="D6006" t="inlineStr">
        <is>
          <t>VÄSTERBOTTENS LÄN</t>
        </is>
      </c>
      <c r="E6006" t="inlineStr">
        <is>
          <t>NORSJÖ</t>
        </is>
      </c>
      <c r="G6006" t="n">
        <v>4.6</v>
      </c>
      <c r="H6006" t="n">
        <v>0</v>
      </c>
      <c r="I6006" t="n">
        <v>0</v>
      </c>
      <c r="J6006" t="n">
        <v>0</v>
      </c>
      <c r="K6006" t="n">
        <v>0</v>
      </c>
      <c r="L6006" t="n">
        <v>0</v>
      </c>
      <c r="M6006" t="n">
        <v>0</v>
      </c>
      <c r="N6006" t="n">
        <v>0</v>
      </c>
      <c r="O6006" t="n">
        <v>0</v>
      </c>
      <c r="P6006" t="n">
        <v>0</v>
      </c>
      <c r="Q6006" t="n">
        <v>0</v>
      </c>
      <c r="R6006" s="2" t="inlineStr"/>
    </row>
    <row r="6007" ht="15" customHeight="1">
      <c r="A6007" t="inlineStr">
        <is>
          <t>A 38325-2025</t>
        </is>
      </c>
      <c r="B6007" s="1" t="n">
        <v>45883.49055555555</v>
      </c>
      <c r="C6007" s="1" t="n">
        <v>46075</v>
      </c>
      <c r="D6007" t="inlineStr">
        <is>
          <t>VÄSTERBOTTENS LÄN</t>
        </is>
      </c>
      <c r="E6007" t="inlineStr">
        <is>
          <t>LYCKSELE</t>
        </is>
      </c>
      <c r="F6007" t="inlineStr">
        <is>
          <t>SCA</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37863-2025</t>
        </is>
      </c>
      <c r="B6008" s="1" t="n">
        <v>45881.46734953704</v>
      </c>
      <c r="C6008" s="1" t="n">
        <v>46075</v>
      </c>
      <c r="D6008" t="inlineStr">
        <is>
          <t>VÄSTERBOTTENS LÄN</t>
        </is>
      </c>
      <c r="E6008" t="inlineStr">
        <is>
          <t>ÅSELE</t>
        </is>
      </c>
      <c r="F6008" t="inlineStr">
        <is>
          <t>Kommuner</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38430-2025</t>
        </is>
      </c>
      <c r="B6009" s="1" t="n">
        <v>45883.6364699074</v>
      </c>
      <c r="C6009" s="1" t="n">
        <v>46075</v>
      </c>
      <c r="D6009" t="inlineStr">
        <is>
          <t>VÄSTERBOTTENS LÄN</t>
        </is>
      </c>
      <c r="E6009" t="inlineStr">
        <is>
          <t>VILHELMINA</t>
        </is>
      </c>
      <c r="G6009" t="n">
        <v>36.7</v>
      </c>
      <c r="H6009" t="n">
        <v>0</v>
      </c>
      <c r="I6009" t="n">
        <v>0</v>
      </c>
      <c r="J6009" t="n">
        <v>0</v>
      </c>
      <c r="K6009" t="n">
        <v>0</v>
      </c>
      <c r="L6009" t="n">
        <v>0</v>
      </c>
      <c r="M6009" t="n">
        <v>0</v>
      </c>
      <c r="N6009" t="n">
        <v>0</v>
      </c>
      <c r="O6009" t="n">
        <v>0</v>
      </c>
      <c r="P6009" t="n">
        <v>0</v>
      </c>
      <c r="Q6009" t="n">
        <v>0</v>
      </c>
      <c r="R6009" s="2" t="inlineStr"/>
    </row>
    <row r="6010" ht="15" customHeight="1">
      <c r="A6010" t="inlineStr">
        <is>
          <t>A 36589-2024</t>
        </is>
      </c>
      <c r="B6010" s="1" t="n">
        <v>45537.54291666667</v>
      </c>
      <c r="C6010" s="1" t="n">
        <v>46075</v>
      </c>
      <c r="D6010" t="inlineStr">
        <is>
          <t>VÄSTERBOTTENS LÄN</t>
        </is>
      </c>
      <c r="E6010" t="inlineStr">
        <is>
          <t>VINDELN</t>
        </is>
      </c>
      <c r="F6010" t="inlineStr">
        <is>
          <t>Sveaskog</t>
        </is>
      </c>
      <c r="G6010" t="n">
        <v>3.7</v>
      </c>
      <c r="H6010" t="n">
        <v>0</v>
      </c>
      <c r="I6010" t="n">
        <v>0</v>
      </c>
      <c r="J6010" t="n">
        <v>0</v>
      </c>
      <c r="K6010" t="n">
        <v>0</v>
      </c>
      <c r="L6010" t="n">
        <v>0</v>
      </c>
      <c r="M6010" t="n">
        <v>0</v>
      </c>
      <c r="N6010" t="n">
        <v>0</v>
      </c>
      <c r="O6010" t="n">
        <v>0</v>
      </c>
      <c r="P6010" t="n">
        <v>0</v>
      </c>
      <c r="Q6010" t="n">
        <v>0</v>
      </c>
      <c r="R6010" s="2" t="inlineStr"/>
    </row>
    <row r="6011" ht="15" customHeight="1">
      <c r="A6011" t="inlineStr">
        <is>
          <t>A 38099-2025</t>
        </is>
      </c>
      <c r="B6011" s="1" t="n">
        <v>45882.49087962963</v>
      </c>
      <c r="C6011" s="1" t="n">
        <v>46075</v>
      </c>
      <c r="D6011" t="inlineStr">
        <is>
          <t>VÄSTERBOTTENS LÄN</t>
        </is>
      </c>
      <c r="E6011" t="inlineStr">
        <is>
          <t>DOROTEA</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48510-2025</t>
        </is>
      </c>
      <c r="B6012" s="1" t="n">
        <v>45936.3863425926</v>
      </c>
      <c r="C6012" s="1" t="n">
        <v>46075</v>
      </c>
      <c r="D6012" t="inlineStr">
        <is>
          <t>VÄSTERBOTTENS LÄN</t>
        </is>
      </c>
      <c r="E6012" t="inlineStr">
        <is>
          <t>DOROTEA</t>
        </is>
      </c>
      <c r="F6012" t="inlineStr">
        <is>
          <t>SCA</t>
        </is>
      </c>
      <c r="G6012" t="n">
        <v>3</v>
      </c>
      <c r="H6012" t="n">
        <v>0</v>
      </c>
      <c r="I6012" t="n">
        <v>0</v>
      </c>
      <c r="J6012" t="n">
        <v>0</v>
      </c>
      <c r="K6012" t="n">
        <v>0</v>
      </c>
      <c r="L6012" t="n">
        <v>0</v>
      </c>
      <c r="M6012" t="n">
        <v>0</v>
      </c>
      <c r="N6012" t="n">
        <v>0</v>
      </c>
      <c r="O6012" t="n">
        <v>0</v>
      </c>
      <c r="P6012" t="n">
        <v>0</v>
      </c>
      <c r="Q6012" t="n">
        <v>0</v>
      </c>
      <c r="R6012" s="2" t="inlineStr"/>
    </row>
    <row r="6013" ht="15" customHeight="1">
      <c r="A6013" t="inlineStr">
        <is>
          <t>A 62056-2024</t>
        </is>
      </c>
      <c r="B6013" s="1" t="n">
        <v>45656.37664351852</v>
      </c>
      <c r="C6013" s="1" t="n">
        <v>46075</v>
      </c>
      <c r="D6013" t="inlineStr">
        <is>
          <t>VÄSTERBOTTENS LÄN</t>
        </is>
      </c>
      <c r="E6013" t="inlineStr">
        <is>
          <t>SKELLEFTEÅ</t>
        </is>
      </c>
      <c r="G6013" t="n">
        <v>7.9</v>
      </c>
      <c r="H6013" t="n">
        <v>0</v>
      </c>
      <c r="I6013" t="n">
        <v>0</v>
      </c>
      <c r="J6013" t="n">
        <v>0</v>
      </c>
      <c r="K6013" t="n">
        <v>0</v>
      </c>
      <c r="L6013" t="n">
        <v>0</v>
      </c>
      <c r="M6013" t="n">
        <v>0</v>
      </c>
      <c r="N6013" t="n">
        <v>0</v>
      </c>
      <c r="O6013" t="n">
        <v>0</v>
      </c>
      <c r="P6013" t="n">
        <v>0</v>
      </c>
      <c r="Q6013" t="n">
        <v>0</v>
      </c>
      <c r="R6013" s="2" t="inlineStr"/>
    </row>
    <row r="6014" ht="15" customHeight="1">
      <c r="A6014" t="inlineStr">
        <is>
          <t>A 38452-2025</t>
        </is>
      </c>
      <c r="B6014" s="1" t="n">
        <v>45883.67813657408</v>
      </c>
      <c r="C6014" s="1" t="n">
        <v>46075</v>
      </c>
      <c r="D6014" t="inlineStr">
        <is>
          <t>VÄSTERBOTTENS LÄN</t>
        </is>
      </c>
      <c r="E6014" t="inlineStr">
        <is>
          <t>ÅSELE</t>
        </is>
      </c>
      <c r="F6014" t="inlineStr">
        <is>
          <t>SCA</t>
        </is>
      </c>
      <c r="G6014" t="n">
        <v>5.8</v>
      </c>
      <c r="H6014" t="n">
        <v>0</v>
      </c>
      <c r="I6014" t="n">
        <v>0</v>
      </c>
      <c r="J6014" t="n">
        <v>0</v>
      </c>
      <c r="K6014" t="n">
        <v>0</v>
      </c>
      <c r="L6014" t="n">
        <v>0</v>
      </c>
      <c r="M6014" t="n">
        <v>0</v>
      </c>
      <c r="N6014" t="n">
        <v>0</v>
      </c>
      <c r="O6014" t="n">
        <v>0</v>
      </c>
      <c r="P6014" t="n">
        <v>0</v>
      </c>
      <c r="Q6014" t="n">
        <v>0</v>
      </c>
      <c r="R6014" s="2" t="inlineStr"/>
    </row>
    <row r="6015" ht="15" customHeight="1">
      <c r="A6015" t="inlineStr">
        <is>
          <t>A 38454-2025</t>
        </is>
      </c>
      <c r="B6015" s="1" t="n">
        <v>45883.67839120371</v>
      </c>
      <c r="C6015" s="1" t="n">
        <v>46075</v>
      </c>
      <c r="D6015" t="inlineStr">
        <is>
          <t>VÄSTERBOTTENS LÄN</t>
        </is>
      </c>
      <c r="E6015" t="inlineStr">
        <is>
          <t>VILHELMINA</t>
        </is>
      </c>
      <c r="G6015" t="n">
        <v>4.8</v>
      </c>
      <c r="H6015" t="n">
        <v>0</v>
      </c>
      <c r="I6015" t="n">
        <v>0</v>
      </c>
      <c r="J6015" t="n">
        <v>0</v>
      </c>
      <c r="K6015" t="n">
        <v>0</v>
      </c>
      <c r="L6015" t="n">
        <v>0</v>
      </c>
      <c r="M6015" t="n">
        <v>0</v>
      </c>
      <c r="N6015" t="n">
        <v>0</v>
      </c>
      <c r="O6015" t="n">
        <v>0</v>
      </c>
      <c r="P6015" t="n">
        <v>0</v>
      </c>
      <c r="Q6015" t="n">
        <v>0</v>
      </c>
      <c r="R6015" s="2" t="inlineStr"/>
    </row>
    <row r="6016" ht="15" customHeight="1">
      <c r="A6016" t="inlineStr">
        <is>
          <t>A 37916-2025</t>
        </is>
      </c>
      <c r="B6016" s="1" t="n">
        <v>45881.57440972222</v>
      </c>
      <c r="C6016" s="1" t="n">
        <v>46075</v>
      </c>
      <c r="D6016" t="inlineStr">
        <is>
          <t>VÄSTERBOTTENS LÄN</t>
        </is>
      </c>
      <c r="E6016" t="inlineStr">
        <is>
          <t>NORSJÖ</t>
        </is>
      </c>
      <c r="F6016" t="inlineStr">
        <is>
          <t>Holmen skog AB</t>
        </is>
      </c>
      <c r="G6016" t="n">
        <v>3.2</v>
      </c>
      <c r="H6016" t="n">
        <v>0</v>
      </c>
      <c r="I6016" t="n">
        <v>0</v>
      </c>
      <c r="J6016" t="n">
        <v>0</v>
      </c>
      <c r="K6016" t="n">
        <v>0</v>
      </c>
      <c r="L6016" t="n">
        <v>0</v>
      </c>
      <c r="M6016" t="n">
        <v>0</v>
      </c>
      <c r="N6016" t="n">
        <v>0</v>
      </c>
      <c r="O6016" t="n">
        <v>0</v>
      </c>
      <c r="P6016" t="n">
        <v>0</v>
      </c>
      <c r="Q6016" t="n">
        <v>0</v>
      </c>
      <c r="R6016" s="2" t="inlineStr"/>
    </row>
    <row r="6017" ht="15" customHeight="1">
      <c r="A6017" t="inlineStr">
        <is>
          <t>A 48585-2025</t>
        </is>
      </c>
      <c r="B6017" s="1" t="n">
        <v>45936.45859953704</v>
      </c>
      <c r="C6017" s="1" t="n">
        <v>46075</v>
      </c>
      <c r="D6017" t="inlineStr">
        <is>
          <t>VÄSTERBOTTENS LÄN</t>
        </is>
      </c>
      <c r="E6017" t="inlineStr">
        <is>
          <t>LYCKSELE</t>
        </is>
      </c>
      <c r="G6017" t="n">
        <v>4.8</v>
      </c>
      <c r="H6017" t="n">
        <v>0</v>
      </c>
      <c r="I6017" t="n">
        <v>0</v>
      </c>
      <c r="J6017" t="n">
        <v>0</v>
      </c>
      <c r="K6017" t="n">
        <v>0</v>
      </c>
      <c r="L6017" t="n">
        <v>0</v>
      </c>
      <c r="M6017" t="n">
        <v>0</v>
      </c>
      <c r="N6017" t="n">
        <v>0</v>
      </c>
      <c r="O6017" t="n">
        <v>0</v>
      </c>
      <c r="P6017" t="n">
        <v>0</v>
      </c>
      <c r="Q6017" t="n">
        <v>0</v>
      </c>
      <c r="R6017" s="2" t="inlineStr"/>
    </row>
    <row r="6018" ht="15" customHeight="1">
      <c r="A6018" t="inlineStr">
        <is>
          <t>A 21726-2021</t>
        </is>
      </c>
      <c r="B6018" s="1" t="n">
        <v>44322</v>
      </c>
      <c r="C6018" s="1" t="n">
        <v>46075</v>
      </c>
      <c r="D6018" t="inlineStr">
        <is>
          <t>VÄSTERBOTTENS LÄN</t>
        </is>
      </c>
      <c r="E6018" t="inlineStr">
        <is>
          <t>VILHELMINA</t>
        </is>
      </c>
      <c r="G6018" t="n">
        <v>19.6</v>
      </c>
      <c r="H6018" t="n">
        <v>0</v>
      </c>
      <c r="I6018" t="n">
        <v>0</v>
      </c>
      <c r="J6018" t="n">
        <v>0</v>
      </c>
      <c r="K6018" t="n">
        <v>0</v>
      </c>
      <c r="L6018" t="n">
        <v>0</v>
      </c>
      <c r="M6018" t="n">
        <v>0</v>
      </c>
      <c r="N6018" t="n">
        <v>0</v>
      </c>
      <c r="O6018" t="n">
        <v>0</v>
      </c>
      <c r="P6018" t="n">
        <v>0</v>
      </c>
      <c r="Q6018" t="n">
        <v>0</v>
      </c>
      <c r="R6018" s="2" t="inlineStr"/>
    </row>
    <row r="6019" ht="15" customHeight="1">
      <c r="A6019" t="inlineStr">
        <is>
          <t>A 1419-2023</t>
        </is>
      </c>
      <c r="B6019" s="1" t="n">
        <v>44936</v>
      </c>
      <c r="C6019" s="1" t="n">
        <v>46075</v>
      </c>
      <c r="D6019" t="inlineStr">
        <is>
          <t>VÄSTERBOTTENS LÄN</t>
        </is>
      </c>
      <c r="E6019" t="inlineStr">
        <is>
          <t>SKELLEFTEÅ</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38189-2025</t>
        </is>
      </c>
      <c r="B6020" s="1" t="n">
        <v>45882.65576388889</v>
      </c>
      <c r="C6020" s="1" t="n">
        <v>46075</v>
      </c>
      <c r="D6020" t="inlineStr">
        <is>
          <t>VÄSTERBOTTENS LÄN</t>
        </is>
      </c>
      <c r="E6020" t="inlineStr">
        <is>
          <t>ÅSELE</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38460-2025</t>
        </is>
      </c>
      <c r="B6021" s="1" t="n">
        <v>45883.71945601852</v>
      </c>
      <c r="C6021" s="1" t="n">
        <v>46075</v>
      </c>
      <c r="D6021" t="inlineStr">
        <is>
          <t>VÄSTERBOTTENS LÄN</t>
        </is>
      </c>
      <c r="E6021" t="inlineStr">
        <is>
          <t>ÅSELE</t>
        </is>
      </c>
      <c r="F6021" t="inlineStr">
        <is>
          <t>SCA</t>
        </is>
      </c>
      <c r="G6021" t="n">
        <v>10.2</v>
      </c>
      <c r="H6021" t="n">
        <v>0</v>
      </c>
      <c r="I6021" t="n">
        <v>0</v>
      </c>
      <c r="J6021" t="n">
        <v>0</v>
      </c>
      <c r="K6021" t="n">
        <v>0</v>
      </c>
      <c r="L6021" t="n">
        <v>0</v>
      </c>
      <c r="M6021" t="n">
        <v>0</v>
      </c>
      <c r="N6021" t="n">
        <v>0</v>
      </c>
      <c r="O6021" t="n">
        <v>0</v>
      </c>
      <c r="P6021" t="n">
        <v>0</v>
      </c>
      <c r="Q6021" t="n">
        <v>0</v>
      </c>
      <c r="R6021" s="2" t="inlineStr"/>
    </row>
    <row r="6022" ht="15" customHeight="1">
      <c r="A6022" t="inlineStr">
        <is>
          <t>A 48574-2025</t>
        </is>
      </c>
      <c r="B6022" s="1" t="n">
        <v>45936.4525</v>
      </c>
      <c r="C6022" s="1" t="n">
        <v>46075</v>
      </c>
      <c r="D6022" t="inlineStr">
        <is>
          <t>VÄSTERBOTTENS LÄN</t>
        </is>
      </c>
      <c r="E6022" t="inlineStr">
        <is>
          <t>NORSJÖ</t>
        </is>
      </c>
      <c r="F6022" t="inlineStr">
        <is>
          <t>Holmen skog AB</t>
        </is>
      </c>
      <c r="G6022" t="n">
        <v>8</v>
      </c>
      <c r="H6022" t="n">
        <v>0</v>
      </c>
      <c r="I6022" t="n">
        <v>0</v>
      </c>
      <c r="J6022" t="n">
        <v>0</v>
      </c>
      <c r="K6022" t="n">
        <v>0</v>
      </c>
      <c r="L6022" t="n">
        <v>0</v>
      </c>
      <c r="M6022" t="n">
        <v>0</v>
      </c>
      <c r="N6022" t="n">
        <v>0</v>
      </c>
      <c r="O6022" t="n">
        <v>0</v>
      </c>
      <c r="P6022" t="n">
        <v>0</v>
      </c>
      <c r="Q6022" t="n">
        <v>0</v>
      </c>
      <c r="R6022" s="2" t="inlineStr"/>
    </row>
    <row r="6023" ht="15" customHeight="1">
      <c r="A6023" t="inlineStr">
        <is>
          <t>A 37869-2025</t>
        </is>
      </c>
      <c r="B6023" s="1" t="n">
        <v>45881.47364583334</v>
      </c>
      <c r="C6023" s="1" t="n">
        <v>46075</v>
      </c>
      <c r="D6023" t="inlineStr">
        <is>
          <t>VÄSTERBOTTENS LÄN</t>
        </is>
      </c>
      <c r="E6023" t="inlineStr">
        <is>
          <t>ÅSELE</t>
        </is>
      </c>
      <c r="F6023" t="inlineStr">
        <is>
          <t>Kommuner</t>
        </is>
      </c>
      <c r="G6023" t="n">
        <v>5.6</v>
      </c>
      <c r="H6023" t="n">
        <v>0</v>
      </c>
      <c r="I6023" t="n">
        <v>0</v>
      </c>
      <c r="J6023" t="n">
        <v>0</v>
      </c>
      <c r="K6023" t="n">
        <v>0</v>
      </c>
      <c r="L6023" t="n">
        <v>0</v>
      </c>
      <c r="M6023" t="n">
        <v>0</v>
      </c>
      <c r="N6023" t="n">
        <v>0</v>
      </c>
      <c r="O6023" t="n">
        <v>0</v>
      </c>
      <c r="P6023" t="n">
        <v>0</v>
      </c>
      <c r="Q6023" t="n">
        <v>0</v>
      </c>
      <c r="R6023" s="2" t="inlineStr"/>
    </row>
    <row r="6024" ht="15" customHeight="1">
      <c r="A6024" t="inlineStr">
        <is>
          <t>A 20068-2022</t>
        </is>
      </c>
      <c r="B6024" s="1" t="n">
        <v>44697</v>
      </c>
      <c r="C6024" s="1" t="n">
        <v>46075</v>
      </c>
      <c r="D6024" t="inlineStr">
        <is>
          <t>VÄSTERBOTTENS LÄN</t>
        </is>
      </c>
      <c r="E6024" t="inlineStr">
        <is>
          <t>ÅSELE</t>
        </is>
      </c>
      <c r="F6024" t="inlineStr">
        <is>
          <t>SCA</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49103-2025</t>
        </is>
      </c>
      <c r="B6025" s="1" t="n">
        <v>45937</v>
      </c>
      <c r="C6025" s="1" t="n">
        <v>46075</v>
      </c>
      <c r="D6025" t="inlineStr">
        <is>
          <t>VÄSTERBOTTENS LÄN</t>
        </is>
      </c>
      <c r="E6025" t="inlineStr">
        <is>
          <t>VILHELMINA</t>
        </is>
      </c>
      <c r="G6025" t="n">
        <v>2.5</v>
      </c>
      <c r="H6025" t="n">
        <v>0</v>
      </c>
      <c r="I6025" t="n">
        <v>0</v>
      </c>
      <c r="J6025" t="n">
        <v>0</v>
      </c>
      <c r="K6025" t="n">
        <v>0</v>
      </c>
      <c r="L6025" t="n">
        <v>0</v>
      </c>
      <c r="M6025" t="n">
        <v>0</v>
      </c>
      <c r="N6025" t="n">
        <v>0</v>
      </c>
      <c r="O6025" t="n">
        <v>0</v>
      </c>
      <c r="P6025" t="n">
        <v>0</v>
      </c>
      <c r="Q6025" t="n">
        <v>0</v>
      </c>
      <c r="R6025" s="2" t="inlineStr"/>
    </row>
    <row r="6026" ht="15" customHeight="1">
      <c r="A6026" t="inlineStr">
        <is>
          <t>A 49142-2025</t>
        </is>
      </c>
      <c r="B6026" s="1" t="n">
        <v>45938.32196759259</v>
      </c>
      <c r="C6026" s="1" t="n">
        <v>46075</v>
      </c>
      <c r="D6026" t="inlineStr">
        <is>
          <t>VÄSTERBOTTENS LÄN</t>
        </is>
      </c>
      <c r="E6026" t="inlineStr">
        <is>
          <t>UMEÅ</t>
        </is>
      </c>
      <c r="F6026" t="inlineStr">
        <is>
          <t>Holmen skog AB</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38184-2025</t>
        </is>
      </c>
      <c r="B6027" s="1" t="n">
        <v>45882.64888888889</v>
      </c>
      <c r="C6027" s="1" t="n">
        <v>46075</v>
      </c>
      <c r="D6027" t="inlineStr">
        <is>
          <t>VÄSTERBOTTENS LÄN</t>
        </is>
      </c>
      <c r="E6027" t="inlineStr">
        <is>
          <t>ÅSELE</t>
        </is>
      </c>
      <c r="G6027" t="n">
        <v>9.800000000000001</v>
      </c>
      <c r="H6027" t="n">
        <v>0</v>
      </c>
      <c r="I6027" t="n">
        <v>0</v>
      </c>
      <c r="J6027" t="n">
        <v>0</v>
      </c>
      <c r="K6027" t="n">
        <v>0</v>
      </c>
      <c r="L6027" t="n">
        <v>0</v>
      </c>
      <c r="M6027" t="n">
        <v>0</v>
      </c>
      <c r="N6027" t="n">
        <v>0</v>
      </c>
      <c r="O6027" t="n">
        <v>0</v>
      </c>
      <c r="P6027" t="n">
        <v>0</v>
      </c>
      <c r="Q6027" t="n">
        <v>0</v>
      </c>
      <c r="R6027" s="2" t="inlineStr"/>
    </row>
    <row r="6028" ht="15" customHeight="1">
      <c r="A6028" t="inlineStr">
        <is>
          <t>A 38216-2025</t>
        </is>
      </c>
      <c r="B6028" s="1" t="n">
        <v>45883.29847222222</v>
      </c>
      <c r="C6028" s="1" t="n">
        <v>46075</v>
      </c>
      <c r="D6028" t="inlineStr">
        <is>
          <t>VÄSTERBOTTENS LÄN</t>
        </is>
      </c>
      <c r="E6028" t="inlineStr">
        <is>
          <t>SKELLEFTEÅ</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38224-2025</t>
        </is>
      </c>
      <c r="B6029" s="1" t="n">
        <v>45883.34482638889</v>
      </c>
      <c r="C6029" s="1" t="n">
        <v>46075</v>
      </c>
      <c r="D6029" t="inlineStr">
        <is>
          <t>VÄSTERBOTTENS LÄN</t>
        </is>
      </c>
      <c r="E6029" t="inlineStr">
        <is>
          <t>ÅSELE</t>
        </is>
      </c>
      <c r="F6029" t="inlineStr">
        <is>
          <t>SCA</t>
        </is>
      </c>
      <c r="G6029" t="n">
        <v>2.8</v>
      </c>
      <c r="H6029" t="n">
        <v>0</v>
      </c>
      <c r="I6029" t="n">
        <v>0</v>
      </c>
      <c r="J6029" t="n">
        <v>0</v>
      </c>
      <c r="K6029" t="n">
        <v>0</v>
      </c>
      <c r="L6029" t="n">
        <v>0</v>
      </c>
      <c r="M6029" t="n">
        <v>0</v>
      </c>
      <c r="N6029" t="n">
        <v>0</v>
      </c>
      <c r="O6029" t="n">
        <v>0</v>
      </c>
      <c r="P6029" t="n">
        <v>0</v>
      </c>
      <c r="Q6029" t="n">
        <v>0</v>
      </c>
      <c r="R6029" s="2" t="inlineStr"/>
    </row>
    <row r="6030" ht="15" customHeight="1">
      <c r="A6030" t="inlineStr">
        <is>
          <t>A 40497-2022</t>
        </is>
      </c>
      <c r="B6030" s="1" t="n">
        <v>44823</v>
      </c>
      <c r="C6030" s="1" t="n">
        <v>46075</v>
      </c>
      <c r="D6030" t="inlineStr">
        <is>
          <t>VÄSTERBOTTENS LÄN</t>
        </is>
      </c>
      <c r="E6030" t="inlineStr">
        <is>
          <t>LYCKSELE</t>
        </is>
      </c>
      <c r="F6030" t="inlineStr">
        <is>
          <t>Naturvårdsverket</t>
        </is>
      </c>
      <c r="G6030" t="n">
        <v>4.9</v>
      </c>
      <c r="H6030" t="n">
        <v>0</v>
      </c>
      <c r="I6030" t="n">
        <v>0</v>
      </c>
      <c r="J6030" t="n">
        <v>0</v>
      </c>
      <c r="K6030" t="n">
        <v>0</v>
      </c>
      <c r="L6030" t="n">
        <v>0</v>
      </c>
      <c r="M6030" t="n">
        <v>0</v>
      </c>
      <c r="N6030" t="n">
        <v>0</v>
      </c>
      <c r="O6030" t="n">
        <v>0</v>
      </c>
      <c r="P6030" t="n">
        <v>0</v>
      </c>
      <c r="Q6030" t="n">
        <v>0</v>
      </c>
      <c r="R6030" s="2" t="inlineStr"/>
    </row>
    <row r="6031" ht="15" customHeight="1">
      <c r="A6031" t="inlineStr">
        <is>
          <t>A 40600-2022</t>
        </is>
      </c>
      <c r="B6031" s="1" t="n">
        <v>44823</v>
      </c>
      <c r="C6031" s="1" t="n">
        <v>46075</v>
      </c>
      <c r="D6031" t="inlineStr">
        <is>
          <t>VÄSTERBOTTENS LÄN</t>
        </is>
      </c>
      <c r="E6031" t="inlineStr">
        <is>
          <t>ROBERTSFORS</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48833-2025</t>
        </is>
      </c>
      <c r="B6032" s="1" t="n">
        <v>45937</v>
      </c>
      <c r="C6032" s="1" t="n">
        <v>46075</v>
      </c>
      <c r="D6032" t="inlineStr">
        <is>
          <t>VÄSTERBOTTENS LÄN</t>
        </is>
      </c>
      <c r="E6032" t="inlineStr">
        <is>
          <t>STORUMAN</t>
        </is>
      </c>
      <c r="G6032" t="n">
        <v>3</v>
      </c>
      <c r="H6032" t="n">
        <v>0</v>
      </c>
      <c r="I6032" t="n">
        <v>0</v>
      </c>
      <c r="J6032" t="n">
        <v>0</v>
      </c>
      <c r="K6032" t="n">
        <v>0</v>
      </c>
      <c r="L6032" t="n">
        <v>0</v>
      </c>
      <c r="M6032" t="n">
        <v>0</v>
      </c>
      <c r="N6032" t="n">
        <v>0</v>
      </c>
      <c r="O6032" t="n">
        <v>0</v>
      </c>
      <c r="P6032" t="n">
        <v>0</v>
      </c>
      <c r="Q6032" t="n">
        <v>0</v>
      </c>
      <c r="R6032" s="2" t="inlineStr"/>
    </row>
    <row r="6033" ht="15" customHeight="1">
      <c r="A6033" t="inlineStr">
        <is>
          <t>A 12278-2023</t>
        </is>
      </c>
      <c r="B6033" s="1" t="n">
        <v>44998</v>
      </c>
      <c r="C6033" s="1" t="n">
        <v>46075</v>
      </c>
      <c r="D6033" t="inlineStr">
        <is>
          <t>VÄSTERBOTTENS LÄN</t>
        </is>
      </c>
      <c r="E6033" t="inlineStr">
        <is>
          <t>DOROTEA</t>
        </is>
      </c>
      <c r="G6033" t="n">
        <v>12.5</v>
      </c>
      <c r="H6033" t="n">
        <v>0</v>
      </c>
      <c r="I6033" t="n">
        <v>0</v>
      </c>
      <c r="J6033" t="n">
        <v>0</v>
      </c>
      <c r="K6033" t="n">
        <v>0</v>
      </c>
      <c r="L6033" t="n">
        <v>0</v>
      </c>
      <c r="M6033" t="n">
        <v>0</v>
      </c>
      <c r="N6033" t="n">
        <v>0</v>
      </c>
      <c r="O6033" t="n">
        <v>0</v>
      </c>
      <c r="P6033" t="n">
        <v>0</v>
      </c>
      <c r="Q6033" t="n">
        <v>0</v>
      </c>
      <c r="R6033" s="2" t="inlineStr"/>
    </row>
    <row r="6034" ht="15" customHeight="1">
      <c r="A6034" t="inlineStr">
        <is>
          <t>A 48670-2023</t>
        </is>
      </c>
      <c r="B6034" s="1" t="n">
        <v>45208.62702546296</v>
      </c>
      <c r="C6034" s="1" t="n">
        <v>46075</v>
      </c>
      <c r="D6034" t="inlineStr">
        <is>
          <t>VÄSTERBOTTENS LÄN</t>
        </is>
      </c>
      <c r="E6034" t="inlineStr">
        <is>
          <t>ÅSELE</t>
        </is>
      </c>
      <c r="F6034" t="inlineStr">
        <is>
          <t>Naturvårdsverket</t>
        </is>
      </c>
      <c r="G6034" t="n">
        <v>9.699999999999999</v>
      </c>
      <c r="H6034" t="n">
        <v>0</v>
      </c>
      <c r="I6034" t="n">
        <v>0</v>
      </c>
      <c r="J6034" t="n">
        <v>0</v>
      </c>
      <c r="K6034" t="n">
        <v>0</v>
      </c>
      <c r="L6034" t="n">
        <v>0</v>
      </c>
      <c r="M6034" t="n">
        <v>0</v>
      </c>
      <c r="N6034" t="n">
        <v>0</v>
      </c>
      <c r="O6034" t="n">
        <v>0</v>
      </c>
      <c r="P6034" t="n">
        <v>0</v>
      </c>
      <c r="Q6034" t="n">
        <v>0</v>
      </c>
      <c r="R6034" s="2" t="inlineStr"/>
    </row>
    <row r="6035" ht="15" customHeight="1">
      <c r="A6035" t="inlineStr">
        <is>
          <t>A 55198-2022</t>
        </is>
      </c>
      <c r="B6035" s="1" t="n">
        <v>44886.93724537037</v>
      </c>
      <c r="C6035" s="1" t="n">
        <v>46075</v>
      </c>
      <c r="D6035" t="inlineStr">
        <is>
          <t>VÄSTERBOTTENS LÄN</t>
        </is>
      </c>
      <c r="E6035" t="inlineStr">
        <is>
          <t>NORDMALING</t>
        </is>
      </c>
      <c r="G6035" t="n">
        <v>9.4</v>
      </c>
      <c r="H6035" t="n">
        <v>0</v>
      </c>
      <c r="I6035" t="n">
        <v>0</v>
      </c>
      <c r="J6035" t="n">
        <v>0</v>
      </c>
      <c r="K6035" t="n">
        <v>0</v>
      </c>
      <c r="L6035" t="n">
        <v>0</v>
      </c>
      <c r="M6035" t="n">
        <v>0</v>
      </c>
      <c r="N6035" t="n">
        <v>0</v>
      </c>
      <c r="O6035" t="n">
        <v>0</v>
      </c>
      <c r="P6035" t="n">
        <v>0</v>
      </c>
      <c r="Q6035" t="n">
        <v>0</v>
      </c>
      <c r="R6035" s="2" t="inlineStr"/>
    </row>
    <row r="6036" ht="15" customHeight="1">
      <c r="A6036" t="inlineStr">
        <is>
          <t>A 38424-2025</t>
        </is>
      </c>
      <c r="B6036" s="1" t="n">
        <v>45883.63340277778</v>
      </c>
      <c r="C6036" s="1" t="n">
        <v>46075</v>
      </c>
      <c r="D6036" t="inlineStr">
        <is>
          <t>VÄSTERBOTTENS LÄN</t>
        </is>
      </c>
      <c r="E6036" t="inlineStr">
        <is>
          <t>UMEÅ</t>
        </is>
      </c>
      <c r="G6036" t="n">
        <v>11.9</v>
      </c>
      <c r="H6036" t="n">
        <v>0</v>
      </c>
      <c r="I6036" t="n">
        <v>0</v>
      </c>
      <c r="J6036" t="n">
        <v>0</v>
      </c>
      <c r="K6036" t="n">
        <v>0</v>
      </c>
      <c r="L6036" t="n">
        <v>0</v>
      </c>
      <c r="M6036" t="n">
        <v>0</v>
      </c>
      <c r="N6036" t="n">
        <v>0</v>
      </c>
      <c r="O6036" t="n">
        <v>0</v>
      </c>
      <c r="P6036" t="n">
        <v>0</v>
      </c>
      <c r="Q6036" t="n">
        <v>0</v>
      </c>
      <c r="R6036" s="2" t="inlineStr"/>
    </row>
    <row r="6037" ht="15" customHeight="1">
      <c r="A6037" t="inlineStr">
        <is>
          <t>A 48924-2025</t>
        </is>
      </c>
      <c r="B6037" s="1" t="n">
        <v>45937.50238425926</v>
      </c>
      <c r="C6037" s="1" t="n">
        <v>46075</v>
      </c>
      <c r="D6037" t="inlineStr">
        <is>
          <t>VÄSTERBOTTENS LÄN</t>
        </is>
      </c>
      <c r="E6037" t="inlineStr">
        <is>
          <t>MALÅ</t>
        </is>
      </c>
      <c r="F6037" t="inlineStr">
        <is>
          <t>Sveaskog</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38444-2025</t>
        </is>
      </c>
      <c r="B6038" s="1" t="n">
        <v>45883.65666666667</v>
      </c>
      <c r="C6038" s="1" t="n">
        <v>46075</v>
      </c>
      <c r="D6038" t="inlineStr">
        <is>
          <t>VÄSTERBOTTENS LÄN</t>
        </is>
      </c>
      <c r="E6038" t="inlineStr">
        <is>
          <t>BJURHOLM</t>
        </is>
      </c>
      <c r="F6038" t="inlineStr">
        <is>
          <t>SCA</t>
        </is>
      </c>
      <c r="G6038" t="n">
        <v>3.6</v>
      </c>
      <c r="H6038" t="n">
        <v>0</v>
      </c>
      <c r="I6038" t="n">
        <v>0</v>
      </c>
      <c r="J6038" t="n">
        <v>0</v>
      </c>
      <c r="K6038" t="n">
        <v>0</v>
      </c>
      <c r="L6038" t="n">
        <v>0</v>
      </c>
      <c r="M6038" t="n">
        <v>0</v>
      </c>
      <c r="N6038" t="n">
        <v>0</v>
      </c>
      <c r="O6038" t="n">
        <v>0</v>
      </c>
      <c r="P6038" t="n">
        <v>0</v>
      </c>
      <c r="Q6038" t="n">
        <v>0</v>
      </c>
      <c r="R6038" s="2" t="inlineStr"/>
    </row>
    <row r="6039" ht="15" customHeight="1">
      <c r="A6039" t="inlineStr">
        <is>
          <t>A 38451-2025</t>
        </is>
      </c>
      <c r="B6039" s="1" t="n">
        <v>45883.67800925926</v>
      </c>
      <c r="C6039" s="1" t="n">
        <v>46075</v>
      </c>
      <c r="D6039" t="inlineStr">
        <is>
          <t>VÄSTERBOTTENS LÄN</t>
        </is>
      </c>
      <c r="E6039" t="inlineStr">
        <is>
          <t>ÅSELE</t>
        </is>
      </c>
      <c r="F6039" t="inlineStr">
        <is>
          <t>SCA</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15879-2024</t>
        </is>
      </c>
      <c r="B6040" s="1" t="n">
        <v>45405</v>
      </c>
      <c r="C6040" s="1" t="n">
        <v>46075</v>
      </c>
      <c r="D6040" t="inlineStr">
        <is>
          <t>VÄSTERBOTTENS LÄN</t>
        </is>
      </c>
      <c r="E6040" t="inlineStr">
        <is>
          <t>ROBERTSFORS</t>
        </is>
      </c>
      <c r="G6040" t="n">
        <v>3.9</v>
      </c>
      <c r="H6040" t="n">
        <v>0</v>
      </c>
      <c r="I6040" t="n">
        <v>0</v>
      </c>
      <c r="J6040" t="n">
        <v>0</v>
      </c>
      <c r="K6040" t="n">
        <v>0</v>
      </c>
      <c r="L6040" t="n">
        <v>0</v>
      </c>
      <c r="M6040" t="n">
        <v>0</v>
      </c>
      <c r="N6040" t="n">
        <v>0</v>
      </c>
      <c r="O6040" t="n">
        <v>0</v>
      </c>
      <c r="P6040" t="n">
        <v>0</v>
      </c>
      <c r="Q6040" t="n">
        <v>0</v>
      </c>
      <c r="R6040" s="2" t="inlineStr"/>
    </row>
    <row r="6041" ht="15" customHeight="1">
      <c r="A6041" t="inlineStr">
        <is>
          <t>A 49023-2025</t>
        </is>
      </c>
      <c r="B6041" s="1" t="n">
        <v>45937.61712962963</v>
      </c>
      <c r="C6041" s="1" t="n">
        <v>46075</v>
      </c>
      <c r="D6041" t="inlineStr">
        <is>
          <t>VÄSTERBOTTENS LÄN</t>
        </is>
      </c>
      <c r="E6041" t="inlineStr">
        <is>
          <t>SKELLEFTEÅ</t>
        </is>
      </c>
      <c r="F6041" t="inlineStr">
        <is>
          <t>Holmen skog AB</t>
        </is>
      </c>
      <c r="G6041" t="n">
        <v>8.9</v>
      </c>
      <c r="H6041" t="n">
        <v>0</v>
      </c>
      <c r="I6041" t="n">
        <v>0</v>
      </c>
      <c r="J6041" t="n">
        <v>0</v>
      </c>
      <c r="K6041" t="n">
        <v>0</v>
      </c>
      <c r="L6041" t="n">
        <v>0</v>
      </c>
      <c r="M6041" t="n">
        <v>0</v>
      </c>
      <c r="N6041" t="n">
        <v>0</v>
      </c>
      <c r="O6041" t="n">
        <v>0</v>
      </c>
      <c r="P6041" t="n">
        <v>0</v>
      </c>
      <c r="Q6041" t="n">
        <v>0</v>
      </c>
      <c r="R6041" s="2" t="inlineStr"/>
    </row>
    <row r="6042" ht="15" customHeight="1">
      <c r="A6042" t="inlineStr">
        <is>
          <t>A 38347-2025</t>
        </is>
      </c>
      <c r="B6042" s="1" t="n">
        <v>45883.51207175926</v>
      </c>
      <c r="C6042" s="1" t="n">
        <v>46075</v>
      </c>
      <c r="D6042" t="inlineStr">
        <is>
          <t>VÄSTERBOTTENS LÄN</t>
        </is>
      </c>
      <c r="E6042" t="inlineStr">
        <is>
          <t>LYCKSELE</t>
        </is>
      </c>
      <c r="G6042" t="n">
        <v>2.4</v>
      </c>
      <c r="H6042" t="n">
        <v>0</v>
      </c>
      <c r="I6042" t="n">
        <v>0</v>
      </c>
      <c r="J6042" t="n">
        <v>0</v>
      </c>
      <c r="K6042" t="n">
        <v>0</v>
      </c>
      <c r="L6042" t="n">
        <v>0</v>
      </c>
      <c r="M6042" t="n">
        <v>0</v>
      </c>
      <c r="N6042" t="n">
        <v>0</v>
      </c>
      <c r="O6042" t="n">
        <v>0</v>
      </c>
      <c r="P6042" t="n">
        <v>0</v>
      </c>
      <c r="Q6042" t="n">
        <v>0</v>
      </c>
      <c r="R6042" s="2" t="inlineStr"/>
    </row>
    <row r="6043" ht="15" customHeight="1">
      <c r="A6043" t="inlineStr">
        <is>
          <t>A 36707-2024</t>
        </is>
      </c>
      <c r="B6043" s="1" t="n">
        <v>45537</v>
      </c>
      <c r="C6043" s="1" t="n">
        <v>46075</v>
      </c>
      <c r="D6043" t="inlineStr">
        <is>
          <t>VÄSTERBOTTENS LÄN</t>
        </is>
      </c>
      <c r="E6043" t="inlineStr">
        <is>
          <t>BJURHOLM</t>
        </is>
      </c>
      <c r="G6043" t="n">
        <v>7.1</v>
      </c>
      <c r="H6043" t="n">
        <v>0</v>
      </c>
      <c r="I6043" t="n">
        <v>0</v>
      </c>
      <c r="J6043" t="n">
        <v>0</v>
      </c>
      <c r="K6043" t="n">
        <v>0</v>
      </c>
      <c r="L6043" t="n">
        <v>0</v>
      </c>
      <c r="M6043" t="n">
        <v>0</v>
      </c>
      <c r="N6043" t="n">
        <v>0</v>
      </c>
      <c r="O6043" t="n">
        <v>0</v>
      </c>
      <c r="P6043" t="n">
        <v>0</v>
      </c>
      <c r="Q6043" t="n">
        <v>0</v>
      </c>
      <c r="R6043" s="2" t="inlineStr"/>
    </row>
    <row r="6044" ht="15" customHeight="1">
      <c r="A6044" t="inlineStr">
        <is>
          <t>A 48999-2025</t>
        </is>
      </c>
      <c r="B6044" s="1" t="n">
        <v>45937.59449074074</v>
      </c>
      <c r="C6044" s="1" t="n">
        <v>46075</v>
      </c>
      <c r="D6044" t="inlineStr">
        <is>
          <t>VÄSTERBOTTENS LÄN</t>
        </is>
      </c>
      <c r="E6044" t="inlineStr">
        <is>
          <t>NORDMALING</t>
        </is>
      </c>
      <c r="G6044" t="n">
        <v>5.1</v>
      </c>
      <c r="H6044" t="n">
        <v>0</v>
      </c>
      <c r="I6044" t="n">
        <v>0</v>
      </c>
      <c r="J6044" t="n">
        <v>0</v>
      </c>
      <c r="K6044" t="n">
        <v>0</v>
      </c>
      <c r="L6044" t="n">
        <v>0</v>
      </c>
      <c r="M6044" t="n">
        <v>0</v>
      </c>
      <c r="N6044" t="n">
        <v>0</v>
      </c>
      <c r="O6044" t="n">
        <v>0</v>
      </c>
      <c r="P6044" t="n">
        <v>0</v>
      </c>
      <c r="Q6044" t="n">
        <v>0</v>
      </c>
      <c r="R6044" s="2" t="inlineStr"/>
    </row>
    <row r="6045" ht="15" customHeight="1">
      <c r="A6045" t="inlineStr">
        <is>
          <t>A 48836-2025</t>
        </is>
      </c>
      <c r="B6045" s="1" t="n">
        <v>45937</v>
      </c>
      <c r="C6045" s="1" t="n">
        <v>46075</v>
      </c>
      <c r="D6045" t="inlineStr">
        <is>
          <t>VÄSTERBOTTENS LÄN</t>
        </is>
      </c>
      <c r="E6045" t="inlineStr">
        <is>
          <t>NORSJÖ</t>
        </is>
      </c>
      <c r="F6045" t="inlineStr">
        <is>
          <t>Holmen skog AB</t>
        </is>
      </c>
      <c r="G6045" t="n">
        <v>2.9</v>
      </c>
      <c r="H6045" t="n">
        <v>0</v>
      </c>
      <c r="I6045" t="n">
        <v>0</v>
      </c>
      <c r="J6045" t="n">
        <v>0</v>
      </c>
      <c r="K6045" t="n">
        <v>0</v>
      </c>
      <c r="L6045" t="n">
        <v>0</v>
      </c>
      <c r="M6045" t="n">
        <v>0</v>
      </c>
      <c r="N6045" t="n">
        <v>0</v>
      </c>
      <c r="O6045" t="n">
        <v>0</v>
      </c>
      <c r="P6045" t="n">
        <v>0</v>
      </c>
      <c r="Q6045" t="n">
        <v>0</v>
      </c>
      <c r="R6045" s="2" t="inlineStr"/>
    </row>
    <row r="6046" ht="15" customHeight="1">
      <c r="A6046" t="inlineStr">
        <is>
          <t>A 9879-2022</t>
        </is>
      </c>
      <c r="B6046" s="1" t="n">
        <v>44620</v>
      </c>
      <c r="C6046" s="1" t="n">
        <v>46075</v>
      </c>
      <c r="D6046" t="inlineStr">
        <is>
          <t>VÄSTERBOTTENS LÄN</t>
        </is>
      </c>
      <c r="E6046" t="inlineStr">
        <is>
          <t>LYCKSELE</t>
        </is>
      </c>
      <c r="G6046" t="n">
        <v>8.699999999999999</v>
      </c>
      <c r="H6046" t="n">
        <v>0</v>
      </c>
      <c r="I6046" t="n">
        <v>0</v>
      </c>
      <c r="J6046" t="n">
        <v>0</v>
      </c>
      <c r="K6046" t="n">
        <v>0</v>
      </c>
      <c r="L6046" t="n">
        <v>0</v>
      </c>
      <c r="M6046" t="n">
        <v>0</v>
      </c>
      <c r="N6046" t="n">
        <v>0</v>
      </c>
      <c r="O6046" t="n">
        <v>0</v>
      </c>
      <c r="P6046" t="n">
        <v>0</v>
      </c>
      <c r="Q6046" t="n">
        <v>0</v>
      </c>
      <c r="R6046" s="2" t="inlineStr"/>
    </row>
    <row r="6047" ht="15" customHeight="1">
      <c r="A6047" t="inlineStr">
        <is>
          <t>A 49360-2025</t>
        </is>
      </c>
      <c r="B6047" s="1" t="n">
        <v>45938.61684027778</v>
      </c>
      <c r="C6047" s="1" t="n">
        <v>46075</v>
      </c>
      <c r="D6047" t="inlineStr">
        <is>
          <t>VÄSTERBOTTENS LÄN</t>
        </is>
      </c>
      <c r="E6047" t="inlineStr">
        <is>
          <t>NORDMALING</t>
        </is>
      </c>
      <c r="G6047" t="n">
        <v>4.8</v>
      </c>
      <c r="H6047" t="n">
        <v>0</v>
      </c>
      <c r="I6047" t="n">
        <v>0</v>
      </c>
      <c r="J6047" t="n">
        <v>0</v>
      </c>
      <c r="K6047" t="n">
        <v>0</v>
      </c>
      <c r="L6047" t="n">
        <v>0</v>
      </c>
      <c r="M6047" t="n">
        <v>0</v>
      </c>
      <c r="N6047" t="n">
        <v>0</v>
      </c>
      <c r="O6047" t="n">
        <v>0</v>
      </c>
      <c r="P6047" t="n">
        <v>0</v>
      </c>
      <c r="Q6047" t="n">
        <v>0</v>
      </c>
      <c r="R6047" s="2" t="inlineStr"/>
    </row>
    <row r="6048" ht="15" customHeight="1">
      <c r="A6048" t="inlineStr">
        <is>
          <t>A 49496-2025</t>
        </is>
      </c>
      <c r="B6048" s="1" t="n">
        <v>45939.36644675926</v>
      </c>
      <c r="C6048" s="1" t="n">
        <v>46075</v>
      </c>
      <c r="D6048" t="inlineStr">
        <is>
          <t>VÄSTERBOTTENS LÄN</t>
        </is>
      </c>
      <c r="E6048" t="inlineStr">
        <is>
          <t>UMEÅ</t>
        </is>
      </c>
      <c r="G6048" t="n">
        <v>3.7</v>
      </c>
      <c r="H6048" t="n">
        <v>0</v>
      </c>
      <c r="I6048" t="n">
        <v>0</v>
      </c>
      <c r="J6048" t="n">
        <v>0</v>
      </c>
      <c r="K6048" t="n">
        <v>0</v>
      </c>
      <c r="L6048" t="n">
        <v>0</v>
      </c>
      <c r="M6048" t="n">
        <v>0</v>
      </c>
      <c r="N6048" t="n">
        <v>0</v>
      </c>
      <c r="O6048" t="n">
        <v>0</v>
      </c>
      <c r="P6048" t="n">
        <v>0</v>
      </c>
      <c r="Q6048" t="n">
        <v>0</v>
      </c>
      <c r="R6048" s="2" t="inlineStr"/>
    </row>
    <row r="6049" ht="15" customHeight="1">
      <c r="A6049" t="inlineStr">
        <is>
          <t>A 38117-2025</t>
        </is>
      </c>
      <c r="B6049" s="1" t="n">
        <v>45882.53344907407</v>
      </c>
      <c r="C6049" s="1" t="n">
        <v>46075</v>
      </c>
      <c r="D6049" t="inlineStr">
        <is>
          <t>VÄSTERBOTTENS LÄN</t>
        </is>
      </c>
      <c r="E6049" t="inlineStr">
        <is>
          <t>VINDELN</t>
        </is>
      </c>
      <c r="F6049" t="inlineStr">
        <is>
          <t>Naturvårdsverket</t>
        </is>
      </c>
      <c r="G6049" t="n">
        <v>9.699999999999999</v>
      </c>
      <c r="H6049" t="n">
        <v>0</v>
      </c>
      <c r="I6049" t="n">
        <v>0</v>
      </c>
      <c r="J6049" t="n">
        <v>0</v>
      </c>
      <c r="K6049" t="n">
        <v>0</v>
      </c>
      <c r="L6049" t="n">
        <v>0</v>
      </c>
      <c r="M6049" t="n">
        <v>0</v>
      </c>
      <c r="N6049" t="n">
        <v>0</v>
      </c>
      <c r="O6049" t="n">
        <v>0</v>
      </c>
      <c r="P6049" t="n">
        <v>0</v>
      </c>
      <c r="Q6049" t="n">
        <v>0</v>
      </c>
      <c r="R6049" s="2" t="inlineStr"/>
    </row>
    <row r="6050" ht="15" customHeight="1">
      <c r="A6050" t="inlineStr">
        <is>
          <t>A 3947-2024</t>
        </is>
      </c>
      <c r="B6050" s="1" t="n">
        <v>45322</v>
      </c>
      <c r="C6050" s="1" t="n">
        <v>46075</v>
      </c>
      <c r="D6050" t="inlineStr">
        <is>
          <t>VÄSTERBOTTENS LÄN</t>
        </is>
      </c>
      <c r="E6050" t="inlineStr">
        <is>
          <t>SKELLEFTEÅ</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49158-2025</t>
        </is>
      </c>
      <c r="B6051" s="1" t="n">
        <v>45938.34753472222</v>
      </c>
      <c r="C6051" s="1" t="n">
        <v>46075</v>
      </c>
      <c r="D6051" t="inlineStr">
        <is>
          <t>VÄSTERBOTTENS LÄN</t>
        </is>
      </c>
      <c r="E6051" t="inlineStr">
        <is>
          <t>ROBERTSFORS</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21862-2024</t>
        </is>
      </c>
      <c r="B6052" s="1" t="n">
        <v>45443</v>
      </c>
      <c r="C6052" s="1" t="n">
        <v>46075</v>
      </c>
      <c r="D6052" t="inlineStr">
        <is>
          <t>VÄSTERBOTTENS LÄN</t>
        </is>
      </c>
      <c r="E6052" t="inlineStr">
        <is>
          <t>NORDMALING</t>
        </is>
      </c>
      <c r="G6052" t="n">
        <v>2.1</v>
      </c>
      <c r="H6052" t="n">
        <v>0</v>
      </c>
      <c r="I6052" t="n">
        <v>0</v>
      </c>
      <c r="J6052" t="n">
        <v>0</v>
      </c>
      <c r="K6052" t="n">
        <v>0</v>
      </c>
      <c r="L6052" t="n">
        <v>0</v>
      </c>
      <c r="M6052" t="n">
        <v>0</v>
      </c>
      <c r="N6052" t="n">
        <v>0</v>
      </c>
      <c r="O6052" t="n">
        <v>0</v>
      </c>
      <c r="P6052" t="n">
        <v>0</v>
      </c>
      <c r="Q6052" t="n">
        <v>0</v>
      </c>
      <c r="R6052" s="2" t="inlineStr"/>
    </row>
    <row r="6053" ht="15" customHeight="1">
      <c r="A6053" t="inlineStr">
        <is>
          <t>A 49559-2025</t>
        </is>
      </c>
      <c r="B6053" s="1" t="n">
        <v>45939.45946759259</v>
      </c>
      <c r="C6053" s="1" t="n">
        <v>46075</v>
      </c>
      <c r="D6053" t="inlineStr">
        <is>
          <t>VÄSTERBOTTENS LÄN</t>
        </is>
      </c>
      <c r="E6053" t="inlineStr">
        <is>
          <t>VÄNNÄS</t>
        </is>
      </c>
      <c r="G6053" t="n">
        <v>7.2</v>
      </c>
      <c r="H6053" t="n">
        <v>0</v>
      </c>
      <c r="I6053" t="n">
        <v>0</v>
      </c>
      <c r="J6053" t="n">
        <v>0</v>
      </c>
      <c r="K6053" t="n">
        <v>0</v>
      </c>
      <c r="L6053" t="n">
        <v>0</v>
      </c>
      <c r="M6053" t="n">
        <v>0</v>
      </c>
      <c r="N6053" t="n">
        <v>0</v>
      </c>
      <c r="O6053" t="n">
        <v>0</v>
      </c>
      <c r="P6053" t="n">
        <v>0</v>
      </c>
      <c r="Q6053" t="n">
        <v>0</v>
      </c>
      <c r="R6053" s="2" t="inlineStr"/>
    </row>
    <row r="6054" ht="15" customHeight="1">
      <c r="A6054" t="inlineStr">
        <is>
          <t>A 38070-2025</t>
        </is>
      </c>
      <c r="B6054" s="1" t="n">
        <v>45882.43864583333</v>
      </c>
      <c r="C6054" s="1" t="n">
        <v>46075</v>
      </c>
      <c r="D6054" t="inlineStr">
        <is>
          <t>VÄSTERBOTTENS LÄN</t>
        </is>
      </c>
      <c r="E6054" t="inlineStr">
        <is>
          <t>SKELLEFTEÅ</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38426-2025</t>
        </is>
      </c>
      <c r="B6055" s="1" t="n">
        <v>45883.63590277778</v>
      </c>
      <c r="C6055" s="1" t="n">
        <v>46075</v>
      </c>
      <c r="D6055" t="inlineStr">
        <is>
          <t>VÄSTERBOTTENS LÄN</t>
        </is>
      </c>
      <c r="E6055" t="inlineStr">
        <is>
          <t>BJURHOLM</t>
        </is>
      </c>
      <c r="F6055" t="inlineStr">
        <is>
          <t>SCA</t>
        </is>
      </c>
      <c r="G6055" t="n">
        <v>3.9</v>
      </c>
      <c r="H6055" t="n">
        <v>0</v>
      </c>
      <c r="I6055" t="n">
        <v>0</v>
      </c>
      <c r="J6055" t="n">
        <v>0</v>
      </c>
      <c r="K6055" t="n">
        <v>0</v>
      </c>
      <c r="L6055" t="n">
        <v>0</v>
      </c>
      <c r="M6055" t="n">
        <v>0</v>
      </c>
      <c r="N6055" t="n">
        <v>0</v>
      </c>
      <c r="O6055" t="n">
        <v>0</v>
      </c>
      <c r="P6055" t="n">
        <v>0</v>
      </c>
      <c r="Q6055" t="n">
        <v>0</v>
      </c>
      <c r="R6055" s="2" t="inlineStr"/>
    </row>
    <row r="6056" ht="15" customHeight="1">
      <c r="A6056" t="inlineStr">
        <is>
          <t>A 38427-2025</t>
        </is>
      </c>
      <c r="B6056" s="1" t="n">
        <v>45883.63611111111</v>
      </c>
      <c r="C6056" s="1" t="n">
        <v>46075</v>
      </c>
      <c r="D6056" t="inlineStr">
        <is>
          <t>VÄSTERBOTTENS LÄN</t>
        </is>
      </c>
      <c r="E6056" t="inlineStr">
        <is>
          <t>VILHELMINA</t>
        </is>
      </c>
      <c r="F6056" t="inlineStr">
        <is>
          <t>SCA</t>
        </is>
      </c>
      <c r="G6056" t="n">
        <v>8.800000000000001</v>
      </c>
      <c r="H6056" t="n">
        <v>0</v>
      </c>
      <c r="I6056" t="n">
        <v>0</v>
      </c>
      <c r="J6056" t="n">
        <v>0</v>
      </c>
      <c r="K6056" t="n">
        <v>0</v>
      </c>
      <c r="L6056" t="n">
        <v>0</v>
      </c>
      <c r="M6056" t="n">
        <v>0</v>
      </c>
      <c r="N6056" t="n">
        <v>0</v>
      </c>
      <c r="O6056" t="n">
        <v>0</v>
      </c>
      <c r="P6056" t="n">
        <v>0</v>
      </c>
      <c r="Q6056" t="n">
        <v>0</v>
      </c>
      <c r="R6056" s="2" t="inlineStr"/>
    </row>
    <row r="6057" ht="15" customHeight="1">
      <c r="A6057" t="inlineStr">
        <is>
          <t>A 38387-2025</t>
        </is>
      </c>
      <c r="B6057" s="1" t="n">
        <v>45883.57451388889</v>
      </c>
      <c r="C6057" s="1" t="n">
        <v>46075</v>
      </c>
      <c r="D6057" t="inlineStr">
        <is>
          <t>VÄSTERBOTTENS LÄN</t>
        </is>
      </c>
      <c r="E6057" t="inlineStr">
        <is>
          <t>VILHELMINA</t>
        </is>
      </c>
      <c r="F6057" t="inlineStr">
        <is>
          <t>SCA</t>
        </is>
      </c>
      <c r="G6057" t="n">
        <v>3.4</v>
      </c>
      <c r="H6057" t="n">
        <v>0</v>
      </c>
      <c r="I6057" t="n">
        <v>0</v>
      </c>
      <c r="J6057" t="n">
        <v>0</v>
      </c>
      <c r="K6057" t="n">
        <v>0</v>
      </c>
      <c r="L6057" t="n">
        <v>0</v>
      </c>
      <c r="M6057" t="n">
        <v>0</v>
      </c>
      <c r="N6057" t="n">
        <v>0</v>
      </c>
      <c r="O6057" t="n">
        <v>0</v>
      </c>
      <c r="P6057" t="n">
        <v>0</v>
      </c>
      <c r="Q6057" t="n">
        <v>0</v>
      </c>
      <c r="R6057" s="2" t="inlineStr"/>
    </row>
    <row r="6058" ht="15" customHeight="1">
      <c r="A6058" t="inlineStr">
        <is>
          <t>A 3369-2025</t>
        </is>
      </c>
      <c r="B6058" s="1" t="n">
        <v>45679</v>
      </c>
      <c r="C6058" s="1" t="n">
        <v>46075</v>
      </c>
      <c r="D6058" t="inlineStr">
        <is>
          <t>VÄSTERBOTTENS LÄN</t>
        </is>
      </c>
      <c r="E6058" t="inlineStr">
        <is>
          <t>SORSELE</t>
        </is>
      </c>
      <c r="G6058" t="n">
        <v>2.5</v>
      </c>
      <c r="H6058" t="n">
        <v>0</v>
      </c>
      <c r="I6058" t="n">
        <v>0</v>
      </c>
      <c r="J6058" t="n">
        <v>0</v>
      </c>
      <c r="K6058" t="n">
        <v>0</v>
      </c>
      <c r="L6058" t="n">
        <v>0</v>
      </c>
      <c r="M6058" t="n">
        <v>0</v>
      </c>
      <c r="N6058" t="n">
        <v>0</v>
      </c>
      <c r="O6058" t="n">
        <v>0</v>
      </c>
      <c r="P6058" t="n">
        <v>0</v>
      </c>
      <c r="Q6058" t="n">
        <v>0</v>
      </c>
      <c r="R6058" s="2" t="inlineStr"/>
    </row>
    <row r="6059" ht="15" customHeight="1">
      <c r="A6059" t="inlineStr">
        <is>
          <t>A 3370-2025</t>
        </is>
      </c>
      <c r="B6059" s="1" t="n">
        <v>45679</v>
      </c>
      <c r="C6059" s="1" t="n">
        <v>46075</v>
      </c>
      <c r="D6059" t="inlineStr">
        <is>
          <t>VÄSTERBOTTENS LÄN</t>
        </is>
      </c>
      <c r="E6059" t="inlineStr">
        <is>
          <t>SKELLEFTEÅ</t>
        </is>
      </c>
      <c r="G6059" t="n">
        <v>15.7</v>
      </c>
      <c r="H6059" t="n">
        <v>0</v>
      </c>
      <c r="I6059" t="n">
        <v>0</v>
      </c>
      <c r="J6059" t="n">
        <v>0</v>
      </c>
      <c r="K6059" t="n">
        <v>0</v>
      </c>
      <c r="L6059" t="n">
        <v>0</v>
      </c>
      <c r="M6059" t="n">
        <v>0</v>
      </c>
      <c r="N6059" t="n">
        <v>0</v>
      </c>
      <c r="O6059" t="n">
        <v>0</v>
      </c>
      <c r="P6059" t="n">
        <v>0</v>
      </c>
      <c r="Q6059" t="n">
        <v>0</v>
      </c>
      <c r="R6059" s="2" t="inlineStr"/>
    </row>
    <row r="6060" ht="15" customHeight="1">
      <c r="A6060" t="inlineStr">
        <is>
          <t>A 38445-2025</t>
        </is>
      </c>
      <c r="B6060" s="1" t="n">
        <v>45883.65679398148</v>
      </c>
      <c r="C6060" s="1" t="n">
        <v>46075</v>
      </c>
      <c r="D6060" t="inlineStr">
        <is>
          <t>VÄSTERBOTTENS LÄN</t>
        </is>
      </c>
      <c r="E6060" t="inlineStr">
        <is>
          <t>NORDMALING</t>
        </is>
      </c>
      <c r="F6060" t="inlineStr">
        <is>
          <t>SCA</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48859-2025</t>
        </is>
      </c>
      <c r="B6061" s="1" t="n">
        <v>45937</v>
      </c>
      <c r="C6061" s="1" t="n">
        <v>46075</v>
      </c>
      <c r="D6061" t="inlineStr">
        <is>
          <t>VÄSTERBOTTENS LÄN</t>
        </is>
      </c>
      <c r="E6061" t="inlineStr">
        <is>
          <t>VÄNNÄS</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48900-2025</t>
        </is>
      </c>
      <c r="B6062" s="1" t="n">
        <v>45937.48125</v>
      </c>
      <c r="C6062" s="1" t="n">
        <v>46075</v>
      </c>
      <c r="D6062" t="inlineStr">
        <is>
          <t>VÄSTERBOTTENS LÄN</t>
        </is>
      </c>
      <c r="E6062" t="inlineStr">
        <is>
          <t>UMEÅ</t>
        </is>
      </c>
      <c r="F6062" t="inlineStr">
        <is>
          <t>Holmen skog AB</t>
        </is>
      </c>
      <c r="G6062" t="n">
        <v>3.4</v>
      </c>
      <c r="H6062" t="n">
        <v>0</v>
      </c>
      <c r="I6062" t="n">
        <v>0</v>
      </c>
      <c r="J6062" t="n">
        <v>0</v>
      </c>
      <c r="K6062" t="n">
        <v>0</v>
      </c>
      <c r="L6062" t="n">
        <v>0</v>
      </c>
      <c r="M6062" t="n">
        <v>0</v>
      </c>
      <c r="N6062" t="n">
        <v>0</v>
      </c>
      <c r="O6062" t="n">
        <v>0</v>
      </c>
      <c r="P6062" t="n">
        <v>0</v>
      </c>
      <c r="Q6062" t="n">
        <v>0</v>
      </c>
      <c r="R6062" s="2" t="inlineStr"/>
    </row>
    <row r="6063" ht="15" customHeight="1">
      <c r="A6063" t="inlineStr">
        <is>
          <t>A 38235-2025</t>
        </is>
      </c>
      <c r="B6063" s="1" t="n">
        <v>45883.36050925926</v>
      </c>
      <c r="C6063" s="1" t="n">
        <v>46075</v>
      </c>
      <c r="D6063" t="inlineStr">
        <is>
          <t>VÄSTERBOTTENS LÄN</t>
        </is>
      </c>
      <c r="E6063" t="inlineStr">
        <is>
          <t>UMEÅ</t>
        </is>
      </c>
      <c r="G6063" t="n">
        <v>7.7</v>
      </c>
      <c r="H6063" t="n">
        <v>0</v>
      </c>
      <c r="I6063" t="n">
        <v>0</v>
      </c>
      <c r="J6063" t="n">
        <v>0</v>
      </c>
      <c r="K6063" t="n">
        <v>0</v>
      </c>
      <c r="L6063" t="n">
        <v>0</v>
      </c>
      <c r="M6063" t="n">
        <v>0</v>
      </c>
      <c r="N6063" t="n">
        <v>0</v>
      </c>
      <c r="O6063" t="n">
        <v>0</v>
      </c>
      <c r="P6063" t="n">
        <v>0</v>
      </c>
      <c r="Q6063" t="n">
        <v>0</v>
      </c>
      <c r="R6063" s="2" t="inlineStr"/>
    </row>
    <row r="6064" ht="15" customHeight="1">
      <c r="A6064" t="inlineStr">
        <is>
          <t>A 38237-2025</t>
        </is>
      </c>
      <c r="B6064" s="1" t="n">
        <v>45883.36371527778</v>
      </c>
      <c r="C6064" s="1" t="n">
        <v>46075</v>
      </c>
      <c r="D6064" t="inlineStr">
        <is>
          <t>VÄSTERBOTTENS LÄN</t>
        </is>
      </c>
      <c r="E6064" t="inlineStr">
        <is>
          <t>UMEÅ</t>
        </is>
      </c>
      <c r="G6064" t="n">
        <v>2.2</v>
      </c>
      <c r="H6064" t="n">
        <v>0</v>
      </c>
      <c r="I6064" t="n">
        <v>0</v>
      </c>
      <c r="J6064" t="n">
        <v>0</v>
      </c>
      <c r="K6064" t="n">
        <v>0</v>
      </c>
      <c r="L6064" t="n">
        <v>0</v>
      </c>
      <c r="M6064" t="n">
        <v>0</v>
      </c>
      <c r="N6064" t="n">
        <v>0</v>
      </c>
      <c r="O6064" t="n">
        <v>0</v>
      </c>
      <c r="P6064" t="n">
        <v>0</v>
      </c>
      <c r="Q6064" t="n">
        <v>0</v>
      </c>
      <c r="R6064" s="2" t="inlineStr"/>
    </row>
    <row r="6065" ht="15" customHeight="1">
      <c r="A6065" t="inlineStr">
        <is>
          <t>A 38360-2025</t>
        </is>
      </c>
      <c r="B6065" s="1" t="n">
        <v>45883.53290509259</v>
      </c>
      <c r="C6065" s="1" t="n">
        <v>46075</v>
      </c>
      <c r="D6065" t="inlineStr">
        <is>
          <t>VÄSTERBOTTENS LÄN</t>
        </is>
      </c>
      <c r="E6065" t="inlineStr">
        <is>
          <t>VILHELMINA</t>
        </is>
      </c>
      <c r="F6065" t="inlineStr">
        <is>
          <t>SCA</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38384-2025</t>
        </is>
      </c>
      <c r="B6066" s="1" t="n">
        <v>45883</v>
      </c>
      <c r="C6066" s="1" t="n">
        <v>46075</v>
      </c>
      <c r="D6066" t="inlineStr">
        <is>
          <t>VÄSTERBOTTENS LÄN</t>
        </is>
      </c>
      <c r="E6066" t="inlineStr">
        <is>
          <t>VILHELMINA</t>
        </is>
      </c>
      <c r="F6066" t="inlineStr">
        <is>
          <t>SCA</t>
        </is>
      </c>
      <c r="G6066" t="n">
        <v>3.4</v>
      </c>
      <c r="H6066" t="n">
        <v>0</v>
      </c>
      <c r="I6066" t="n">
        <v>0</v>
      </c>
      <c r="J6066" t="n">
        <v>0</v>
      </c>
      <c r="K6066" t="n">
        <v>0</v>
      </c>
      <c r="L6066" t="n">
        <v>0</v>
      </c>
      <c r="M6066" t="n">
        <v>0</v>
      </c>
      <c r="N6066" t="n">
        <v>0</v>
      </c>
      <c r="O6066" t="n">
        <v>0</v>
      </c>
      <c r="P6066" t="n">
        <v>0</v>
      </c>
      <c r="Q6066" t="n">
        <v>0</v>
      </c>
      <c r="R6066" s="2" t="inlineStr"/>
    </row>
    <row r="6067" ht="15" customHeight="1">
      <c r="A6067" t="inlineStr">
        <is>
          <t>A 38365-2025</t>
        </is>
      </c>
      <c r="B6067" s="1" t="n">
        <v>45883.54989583333</v>
      </c>
      <c r="C6067" s="1" t="n">
        <v>46075</v>
      </c>
      <c r="D6067" t="inlineStr">
        <is>
          <t>VÄSTERBOTTENS LÄN</t>
        </is>
      </c>
      <c r="E6067" t="inlineStr">
        <is>
          <t>NORDMALING</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33188-2024</t>
        </is>
      </c>
      <c r="B6068" s="1" t="n">
        <v>45518</v>
      </c>
      <c r="C6068" s="1" t="n">
        <v>46075</v>
      </c>
      <c r="D6068" t="inlineStr">
        <is>
          <t>VÄSTERBOTTENS LÄN</t>
        </is>
      </c>
      <c r="E6068" t="inlineStr">
        <is>
          <t>MALÅ</t>
        </is>
      </c>
      <c r="F6068" t="inlineStr">
        <is>
          <t>Kommuner</t>
        </is>
      </c>
      <c r="G6068" t="n">
        <v>6</v>
      </c>
      <c r="H6068" t="n">
        <v>0</v>
      </c>
      <c r="I6068" t="n">
        <v>0</v>
      </c>
      <c r="J6068" t="n">
        <v>0</v>
      </c>
      <c r="K6068" t="n">
        <v>0</v>
      </c>
      <c r="L6068" t="n">
        <v>0</v>
      </c>
      <c r="M6068" t="n">
        <v>0</v>
      </c>
      <c r="N6068" t="n">
        <v>0</v>
      </c>
      <c r="O6068" t="n">
        <v>0</v>
      </c>
      <c r="P6068" t="n">
        <v>0</v>
      </c>
      <c r="Q6068" t="n">
        <v>0</v>
      </c>
      <c r="R6068" s="2" t="inlineStr"/>
    </row>
    <row r="6069" ht="15" customHeight="1">
      <c r="A6069" t="inlineStr">
        <is>
          <t>A 48994-2025</t>
        </is>
      </c>
      <c r="B6069" s="1" t="n">
        <v>45937.58686342592</v>
      </c>
      <c r="C6069" s="1" t="n">
        <v>46075</v>
      </c>
      <c r="D6069" t="inlineStr">
        <is>
          <t>VÄSTERBOTTENS LÄN</t>
        </is>
      </c>
      <c r="E6069" t="inlineStr">
        <is>
          <t>MALÅ</t>
        </is>
      </c>
      <c r="F6069" t="inlineStr">
        <is>
          <t>Sveaskog</t>
        </is>
      </c>
      <c r="G6069" t="n">
        <v>5.6</v>
      </c>
      <c r="H6069" t="n">
        <v>0</v>
      </c>
      <c r="I6069" t="n">
        <v>0</v>
      </c>
      <c r="J6069" t="n">
        <v>0</v>
      </c>
      <c r="K6069" t="n">
        <v>0</v>
      </c>
      <c r="L6069" t="n">
        <v>0</v>
      </c>
      <c r="M6069" t="n">
        <v>0</v>
      </c>
      <c r="N6069" t="n">
        <v>0</v>
      </c>
      <c r="O6069" t="n">
        <v>0</v>
      </c>
      <c r="P6069" t="n">
        <v>0</v>
      </c>
      <c r="Q6069" t="n">
        <v>0</v>
      </c>
      <c r="R6069" s="2" t="inlineStr"/>
    </row>
    <row r="6070" ht="15" customHeight="1">
      <c r="A6070" t="inlineStr">
        <is>
          <t>A 49030-2025</t>
        </is>
      </c>
      <c r="B6070" s="1" t="n">
        <v>45937.62387731481</v>
      </c>
      <c r="C6070" s="1" t="n">
        <v>46075</v>
      </c>
      <c r="D6070" t="inlineStr">
        <is>
          <t>VÄSTERBOTTENS LÄN</t>
        </is>
      </c>
      <c r="E6070" t="inlineStr">
        <is>
          <t>UMEÅ</t>
        </is>
      </c>
      <c r="G6070" t="n">
        <v>3.6</v>
      </c>
      <c r="H6070" t="n">
        <v>0</v>
      </c>
      <c r="I6070" t="n">
        <v>0</v>
      </c>
      <c r="J6070" t="n">
        <v>0</v>
      </c>
      <c r="K6070" t="n">
        <v>0</v>
      </c>
      <c r="L6070" t="n">
        <v>0</v>
      </c>
      <c r="M6070" t="n">
        <v>0</v>
      </c>
      <c r="N6070" t="n">
        <v>0</v>
      </c>
      <c r="O6070" t="n">
        <v>0</v>
      </c>
      <c r="P6070" t="n">
        <v>0</v>
      </c>
      <c r="Q6070" t="n">
        <v>0</v>
      </c>
      <c r="R6070" s="2" t="inlineStr"/>
    </row>
    <row r="6071" ht="15" customHeight="1">
      <c r="A6071" t="inlineStr">
        <is>
          <t>A 49038-2025</t>
        </is>
      </c>
      <c r="B6071" s="1" t="n">
        <v>45937.63146990741</v>
      </c>
      <c r="C6071" s="1" t="n">
        <v>46075</v>
      </c>
      <c r="D6071" t="inlineStr">
        <is>
          <t>VÄSTERBOTTENS LÄN</t>
        </is>
      </c>
      <c r="E6071" t="inlineStr">
        <is>
          <t>UMEÅ</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41267-2022</t>
        </is>
      </c>
      <c r="B6072" s="1" t="n">
        <v>44825</v>
      </c>
      <c r="C6072" s="1" t="n">
        <v>46075</v>
      </c>
      <c r="D6072" t="inlineStr">
        <is>
          <t>VÄSTERBOTTENS LÄN</t>
        </is>
      </c>
      <c r="E6072" t="inlineStr">
        <is>
          <t>UMEÅ</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38409-2025</t>
        </is>
      </c>
      <c r="B6073" s="1" t="n">
        <v>45883.59429398148</v>
      </c>
      <c r="C6073" s="1" t="n">
        <v>46075</v>
      </c>
      <c r="D6073" t="inlineStr">
        <is>
          <t>VÄSTERBOTTENS LÄN</t>
        </is>
      </c>
      <c r="E6073" t="inlineStr">
        <is>
          <t>VILHELMINA</t>
        </is>
      </c>
      <c r="F6073" t="inlineStr">
        <is>
          <t>SCA</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49408-2025</t>
        </is>
      </c>
      <c r="B6074" s="1" t="n">
        <v>45938.678125</v>
      </c>
      <c r="C6074" s="1" t="n">
        <v>46075</v>
      </c>
      <c r="D6074" t="inlineStr">
        <is>
          <t>VÄSTERBOTTENS LÄN</t>
        </is>
      </c>
      <c r="E6074" t="inlineStr">
        <is>
          <t>DOROTEA</t>
        </is>
      </c>
      <c r="F6074" t="inlineStr">
        <is>
          <t>SCA</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17010-2025</t>
        </is>
      </c>
      <c r="B6075" s="1" t="n">
        <v>45754</v>
      </c>
      <c r="C6075" s="1" t="n">
        <v>46075</v>
      </c>
      <c r="D6075" t="inlineStr">
        <is>
          <t>VÄSTERBOTTENS LÄN</t>
        </is>
      </c>
      <c r="E6075" t="inlineStr">
        <is>
          <t>SKELLEFTEÅ</t>
        </is>
      </c>
      <c r="G6075" t="n">
        <v>4.8</v>
      </c>
      <c r="H6075" t="n">
        <v>0</v>
      </c>
      <c r="I6075" t="n">
        <v>0</v>
      </c>
      <c r="J6075" t="n">
        <v>0</v>
      </c>
      <c r="K6075" t="n">
        <v>0</v>
      </c>
      <c r="L6075" t="n">
        <v>0</v>
      </c>
      <c r="M6075" t="n">
        <v>0</v>
      </c>
      <c r="N6075" t="n">
        <v>0</v>
      </c>
      <c r="O6075" t="n">
        <v>0</v>
      </c>
      <c r="P6075" t="n">
        <v>0</v>
      </c>
      <c r="Q6075" t="n">
        <v>0</v>
      </c>
      <c r="R6075" s="2" t="inlineStr"/>
    </row>
    <row r="6076" ht="15" customHeight="1">
      <c r="A6076" t="inlineStr">
        <is>
          <t>A 37849-2025</t>
        </is>
      </c>
      <c r="B6076" s="1" t="n">
        <v>45881.44828703703</v>
      </c>
      <c r="C6076" s="1" t="n">
        <v>46075</v>
      </c>
      <c r="D6076" t="inlineStr">
        <is>
          <t>VÄSTERBOTTENS LÄN</t>
        </is>
      </c>
      <c r="E6076" t="inlineStr">
        <is>
          <t>ÅSELE</t>
        </is>
      </c>
      <c r="F6076" t="inlineStr">
        <is>
          <t>SCA</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49416-2025</t>
        </is>
      </c>
      <c r="B6077" s="1" t="n">
        <v>45938.69032407407</v>
      </c>
      <c r="C6077" s="1" t="n">
        <v>46075</v>
      </c>
      <c r="D6077" t="inlineStr">
        <is>
          <t>VÄSTERBOTTENS LÄN</t>
        </is>
      </c>
      <c r="E6077" t="inlineStr">
        <is>
          <t>STORUMAN</t>
        </is>
      </c>
      <c r="F6077" t="inlineStr">
        <is>
          <t>Holmen skog AB</t>
        </is>
      </c>
      <c r="G6077" t="n">
        <v>5.6</v>
      </c>
      <c r="H6077" t="n">
        <v>0</v>
      </c>
      <c r="I6077" t="n">
        <v>0</v>
      </c>
      <c r="J6077" t="n">
        <v>0</v>
      </c>
      <c r="K6077" t="n">
        <v>0</v>
      </c>
      <c r="L6077" t="n">
        <v>0</v>
      </c>
      <c r="M6077" t="n">
        <v>0</v>
      </c>
      <c r="N6077" t="n">
        <v>0</v>
      </c>
      <c r="O6077" t="n">
        <v>0</v>
      </c>
      <c r="P6077" t="n">
        <v>0</v>
      </c>
      <c r="Q6077" t="n">
        <v>0</v>
      </c>
      <c r="R6077" s="2" t="inlineStr"/>
    </row>
    <row r="6078" ht="15" customHeight="1">
      <c r="A6078" t="inlineStr">
        <is>
          <t>A 38100-2025</t>
        </is>
      </c>
      <c r="B6078" s="1" t="n">
        <v>45882.49097222222</v>
      </c>
      <c r="C6078" s="1" t="n">
        <v>46075</v>
      </c>
      <c r="D6078" t="inlineStr">
        <is>
          <t>VÄSTERBOTTENS LÄN</t>
        </is>
      </c>
      <c r="E6078" t="inlineStr">
        <is>
          <t>DOROTEA</t>
        </is>
      </c>
      <c r="G6078" t="n">
        <v>3.5</v>
      </c>
      <c r="H6078" t="n">
        <v>0</v>
      </c>
      <c r="I6078" t="n">
        <v>0</v>
      </c>
      <c r="J6078" t="n">
        <v>0</v>
      </c>
      <c r="K6078" t="n">
        <v>0</v>
      </c>
      <c r="L6078" t="n">
        <v>0</v>
      </c>
      <c r="M6078" t="n">
        <v>0</v>
      </c>
      <c r="N6078" t="n">
        <v>0</v>
      </c>
      <c r="O6078" t="n">
        <v>0</v>
      </c>
      <c r="P6078" t="n">
        <v>0</v>
      </c>
      <c r="Q6078" t="n">
        <v>0</v>
      </c>
      <c r="R6078" s="2" t="inlineStr"/>
    </row>
    <row r="6079" ht="15" customHeight="1">
      <c r="A6079" t="inlineStr">
        <is>
          <t>A 38166-2025</t>
        </is>
      </c>
      <c r="B6079" s="1" t="n">
        <v>45882.63100694444</v>
      </c>
      <c r="C6079" s="1" t="n">
        <v>46075</v>
      </c>
      <c r="D6079" t="inlineStr">
        <is>
          <t>VÄSTERBOTTENS LÄN</t>
        </is>
      </c>
      <c r="E6079" t="inlineStr">
        <is>
          <t>VINDELN</t>
        </is>
      </c>
      <c r="F6079" t="inlineStr">
        <is>
          <t>Naturvårdsverket</t>
        </is>
      </c>
      <c r="G6079" t="n">
        <v>5.5</v>
      </c>
      <c r="H6079" t="n">
        <v>0</v>
      </c>
      <c r="I6079" t="n">
        <v>0</v>
      </c>
      <c r="J6079" t="n">
        <v>0</v>
      </c>
      <c r="K6079" t="n">
        <v>0</v>
      </c>
      <c r="L6079" t="n">
        <v>0</v>
      </c>
      <c r="M6079" t="n">
        <v>0</v>
      </c>
      <c r="N6079" t="n">
        <v>0</v>
      </c>
      <c r="O6079" t="n">
        <v>0</v>
      </c>
      <c r="P6079" t="n">
        <v>0</v>
      </c>
      <c r="Q6079" t="n">
        <v>0</v>
      </c>
      <c r="R6079" s="2" t="inlineStr"/>
    </row>
    <row r="6080" ht="15" customHeight="1">
      <c r="A6080" t="inlineStr">
        <is>
          <t>A 17432-2025</t>
        </is>
      </c>
      <c r="B6080" s="1" t="n">
        <v>45757</v>
      </c>
      <c r="C6080" s="1" t="n">
        <v>46075</v>
      </c>
      <c r="D6080" t="inlineStr">
        <is>
          <t>VÄSTERBOTTENS LÄN</t>
        </is>
      </c>
      <c r="E6080" t="inlineStr">
        <is>
          <t>VILHELMINA</t>
        </is>
      </c>
      <c r="G6080" t="n">
        <v>4.6</v>
      </c>
      <c r="H6080" t="n">
        <v>0</v>
      </c>
      <c r="I6080" t="n">
        <v>0</v>
      </c>
      <c r="J6080" t="n">
        <v>0</v>
      </c>
      <c r="K6080" t="n">
        <v>0</v>
      </c>
      <c r="L6080" t="n">
        <v>0</v>
      </c>
      <c r="M6080" t="n">
        <v>0</v>
      </c>
      <c r="N6080" t="n">
        <v>0</v>
      </c>
      <c r="O6080" t="n">
        <v>0</v>
      </c>
      <c r="P6080" t="n">
        <v>0</v>
      </c>
      <c r="Q6080" t="n">
        <v>0</v>
      </c>
      <c r="R6080" s="2" t="inlineStr"/>
    </row>
    <row r="6081" ht="15" customHeight="1">
      <c r="A6081" t="inlineStr">
        <is>
          <t>A 38195-2025</t>
        </is>
      </c>
      <c r="B6081" s="1" t="n">
        <v>45882.65986111111</v>
      </c>
      <c r="C6081" s="1" t="n">
        <v>46075</v>
      </c>
      <c r="D6081" t="inlineStr">
        <is>
          <t>VÄSTERBOTTENS LÄN</t>
        </is>
      </c>
      <c r="E6081" t="inlineStr">
        <is>
          <t>ÅSELE</t>
        </is>
      </c>
      <c r="G6081" t="n">
        <v>4.7</v>
      </c>
      <c r="H6081" t="n">
        <v>0</v>
      </c>
      <c r="I6081" t="n">
        <v>0</v>
      </c>
      <c r="J6081" t="n">
        <v>0</v>
      </c>
      <c r="K6081" t="n">
        <v>0</v>
      </c>
      <c r="L6081" t="n">
        <v>0</v>
      </c>
      <c r="M6081" t="n">
        <v>0</v>
      </c>
      <c r="N6081" t="n">
        <v>0</v>
      </c>
      <c r="O6081" t="n">
        <v>0</v>
      </c>
      <c r="P6081" t="n">
        <v>0</v>
      </c>
      <c r="Q6081" t="n">
        <v>0</v>
      </c>
      <c r="R6081" s="2" t="inlineStr"/>
    </row>
    <row r="6082" ht="15" customHeight="1">
      <c r="A6082" t="inlineStr">
        <is>
          <t>A 38200-2025</t>
        </is>
      </c>
      <c r="B6082" s="1" t="n">
        <v>45882.67741898148</v>
      </c>
      <c r="C6082" s="1" t="n">
        <v>46075</v>
      </c>
      <c r="D6082" t="inlineStr">
        <is>
          <t>VÄSTERBOTTENS LÄN</t>
        </is>
      </c>
      <c r="E6082" t="inlineStr">
        <is>
          <t>NORSJÖ</t>
        </is>
      </c>
      <c r="F6082" t="inlineStr">
        <is>
          <t>Holmen skog AB</t>
        </is>
      </c>
      <c r="G6082" t="n">
        <v>2.7</v>
      </c>
      <c r="H6082" t="n">
        <v>0</v>
      </c>
      <c r="I6082" t="n">
        <v>0</v>
      </c>
      <c r="J6082" t="n">
        <v>0</v>
      </c>
      <c r="K6082" t="n">
        <v>0</v>
      </c>
      <c r="L6082" t="n">
        <v>0</v>
      </c>
      <c r="M6082" t="n">
        <v>0</v>
      </c>
      <c r="N6082" t="n">
        <v>0</v>
      </c>
      <c r="O6082" t="n">
        <v>0</v>
      </c>
      <c r="P6082" t="n">
        <v>0</v>
      </c>
      <c r="Q6082" t="n">
        <v>0</v>
      </c>
      <c r="R6082" s="2" t="inlineStr"/>
    </row>
    <row r="6083" ht="15" customHeight="1">
      <c r="A6083" t="inlineStr">
        <is>
          <t>A 48886-2025</t>
        </is>
      </c>
      <c r="B6083" s="1" t="n">
        <v>45937.46611111111</v>
      </c>
      <c r="C6083" s="1" t="n">
        <v>46075</v>
      </c>
      <c r="D6083" t="inlineStr">
        <is>
          <t>VÄSTERBOTTENS LÄN</t>
        </is>
      </c>
      <c r="E6083" t="inlineStr">
        <is>
          <t>VÄNNÄS</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17447-2025</t>
        </is>
      </c>
      <c r="B6084" s="1" t="n">
        <v>45757</v>
      </c>
      <c r="C6084" s="1" t="n">
        <v>46075</v>
      </c>
      <c r="D6084" t="inlineStr">
        <is>
          <t>VÄSTERBOTTENS LÄN</t>
        </is>
      </c>
      <c r="E6084" t="inlineStr">
        <is>
          <t>ÅSELE</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48483-2023</t>
        </is>
      </c>
      <c r="B6085" s="1" t="n">
        <v>45206.95854166667</v>
      </c>
      <c r="C6085" s="1" t="n">
        <v>46075</v>
      </c>
      <c r="D6085" t="inlineStr">
        <is>
          <t>VÄSTERBOTTENS LÄN</t>
        </is>
      </c>
      <c r="E6085" t="inlineStr">
        <is>
          <t>VILHELMINA</t>
        </is>
      </c>
      <c r="F6085" t="inlineStr">
        <is>
          <t>SCA</t>
        </is>
      </c>
      <c r="G6085" t="n">
        <v>7.6</v>
      </c>
      <c r="H6085" t="n">
        <v>0</v>
      </c>
      <c r="I6085" t="n">
        <v>0</v>
      </c>
      <c r="J6085" t="n">
        <v>0</v>
      </c>
      <c r="K6085" t="n">
        <v>0</v>
      </c>
      <c r="L6085" t="n">
        <v>0</v>
      </c>
      <c r="M6085" t="n">
        <v>0</v>
      </c>
      <c r="N6085" t="n">
        <v>0</v>
      </c>
      <c r="O6085" t="n">
        <v>0</v>
      </c>
      <c r="P6085" t="n">
        <v>0</v>
      </c>
      <c r="Q6085" t="n">
        <v>0</v>
      </c>
      <c r="R6085" s="2" t="inlineStr"/>
    </row>
    <row r="6086" ht="15" customHeight="1">
      <c r="A6086" t="inlineStr">
        <is>
          <t>A 38222-2025</t>
        </is>
      </c>
      <c r="B6086" s="1" t="n">
        <v>45883.34452546296</v>
      </c>
      <c r="C6086" s="1" t="n">
        <v>46075</v>
      </c>
      <c r="D6086" t="inlineStr">
        <is>
          <t>VÄSTERBOTTENS LÄN</t>
        </is>
      </c>
      <c r="E6086" t="inlineStr">
        <is>
          <t>ÅSELE</t>
        </is>
      </c>
      <c r="F6086" t="inlineStr">
        <is>
          <t>SCA</t>
        </is>
      </c>
      <c r="G6086" t="n">
        <v>8.699999999999999</v>
      </c>
      <c r="H6086" t="n">
        <v>0</v>
      </c>
      <c r="I6086" t="n">
        <v>0</v>
      </c>
      <c r="J6086" t="n">
        <v>0</v>
      </c>
      <c r="K6086" t="n">
        <v>0</v>
      </c>
      <c r="L6086" t="n">
        <v>0</v>
      </c>
      <c r="M6086" t="n">
        <v>0</v>
      </c>
      <c r="N6086" t="n">
        <v>0</v>
      </c>
      <c r="O6086" t="n">
        <v>0</v>
      </c>
      <c r="P6086" t="n">
        <v>0</v>
      </c>
      <c r="Q6086" t="n">
        <v>0</v>
      </c>
      <c r="R6086" s="2" t="inlineStr"/>
    </row>
    <row r="6087" ht="15" customHeight="1">
      <c r="A6087" t="inlineStr">
        <is>
          <t>A 38242-2025</t>
        </is>
      </c>
      <c r="B6087" s="1" t="n">
        <v>45883.36547453704</v>
      </c>
      <c r="C6087" s="1" t="n">
        <v>46075</v>
      </c>
      <c r="D6087" t="inlineStr">
        <is>
          <t>VÄSTERBOTTENS LÄN</t>
        </is>
      </c>
      <c r="E6087" t="inlineStr">
        <is>
          <t>VILHELMINA</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38243-2025</t>
        </is>
      </c>
      <c r="B6088" s="1" t="n">
        <v>45883.36553240741</v>
      </c>
      <c r="C6088" s="1" t="n">
        <v>46075</v>
      </c>
      <c r="D6088" t="inlineStr">
        <is>
          <t>VÄSTERBOTTENS LÄN</t>
        </is>
      </c>
      <c r="E6088" t="inlineStr">
        <is>
          <t>VILHELMINA</t>
        </is>
      </c>
      <c r="G6088" t="n">
        <v>4.7</v>
      </c>
      <c r="H6088" t="n">
        <v>0</v>
      </c>
      <c r="I6088" t="n">
        <v>0</v>
      </c>
      <c r="J6088" t="n">
        <v>0</v>
      </c>
      <c r="K6088" t="n">
        <v>0</v>
      </c>
      <c r="L6088" t="n">
        <v>0</v>
      </c>
      <c r="M6088" t="n">
        <v>0</v>
      </c>
      <c r="N6088" t="n">
        <v>0</v>
      </c>
      <c r="O6088" t="n">
        <v>0</v>
      </c>
      <c r="P6088" t="n">
        <v>0</v>
      </c>
      <c r="Q6088" t="n">
        <v>0</v>
      </c>
      <c r="R6088" s="2" t="inlineStr"/>
    </row>
    <row r="6089" ht="15" customHeight="1">
      <c r="A6089" t="inlineStr">
        <is>
          <t>A 26791-2023</t>
        </is>
      </c>
      <c r="B6089" s="1" t="n">
        <v>45090</v>
      </c>
      <c r="C6089" s="1" t="n">
        <v>46075</v>
      </c>
      <c r="D6089" t="inlineStr">
        <is>
          <t>VÄSTERBOTTENS LÄN</t>
        </is>
      </c>
      <c r="E6089" t="inlineStr">
        <is>
          <t>ROBERTSFORS</t>
        </is>
      </c>
      <c r="G6089" t="n">
        <v>3.2</v>
      </c>
      <c r="H6089" t="n">
        <v>0</v>
      </c>
      <c r="I6089" t="n">
        <v>0</v>
      </c>
      <c r="J6089" t="n">
        <v>0</v>
      </c>
      <c r="K6089" t="n">
        <v>0</v>
      </c>
      <c r="L6089" t="n">
        <v>0</v>
      </c>
      <c r="M6089" t="n">
        <v>0</v>
      </c>
      <c r="N6089" t="n">
        <v>0</v>
      </c>
      <c r="O6089" t="n">
        <v>0</v>
      </c>
      <c r="P6089" t="n">
        <v>0</v>
      </c>
      <c r="Q6089" t="n">
        <v>0</v>
      </c>
      <c r="R6089" s="2" t="inlineStr"/>
    </row>
    <row r="6090" ht="15" customHeight="1">
      <c r="A6090" t="inlineStr">
        <is>
          <t>A 38181-2025</t>
        </is>
      </c>
      <c r="B6090" s="1" t="n">
        <v>45882.64618055556</v>
      </c>
      <c r="C6090" s="1" t="n">
        <v>46075</v>
      </c>
      <c r="D6090" t="inlineStr">
        <is>
          <t>VÄSTERBOTTENS LÄN</t>
        </is>
      </c>
      <c r="E6090" t="inlineStr">
        <is>
          <t>ÅSELE</t>
        </is>
      </c>
      <c r="G6090" t="n">
        <v>3.9</v>
      </c>
      <c r="H6090" t="n">
        <v>0</v>
      </c>
      <c r="I6090" t="n">
        <v>0</v>
      </c>
      <c r="J6090" t="n">
        <v>0</v>
      </c>
      <c r="K6090" t="n">
        <v>0</v>
      </c>
      <c r="L6090" t="n">
        <v>0</v>
      </c>
      <c r="M6090" t="n">
        <v>0</v>
      </c>
      <c r="N6090" t="n">
        <v>0</v>
      </c>
      <c r="O6090" t="n">
        <v>0</v>
      </c>
      <c r="P6090" t="n">
        <v>0</v>
      </c>
      <c r="Q6090" t="n">
        <v>0</v>
      </c>
      <c r="R6090" s="2" t="inlineStr"/>
    </row>
    <row r="6091" ht="15" customHeight="1">
      <c r="A6091" t="inlineStr">
        <is>
          <t>A 48945-2025</t>
        </is>
      </c>
      <c r="B6091" s="1" t="n">
        <v>45937.53739583334</v>
      </c>
      <c r="C6091" s="1" t="n">
        <v>46075</v>
      </c>
      <c r="D6091" t="inlineStr">
        <is>
          <t>VÄSTERBOTTENS LÄN</t>
        </is>
      </c>
      <c r="E6091" t="inlineStr">
        <is>
          <t>ÅSELE</t>
        </is>
      </c>
      <c r="F6091" t="inlineStr">
        <is>
          <t>Holmen skog AB</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48960-2025</t>
        </is>
      </c>
      <c r="B6092" s="1" t="n">
        <v>45937.550625</v>
      </c>
      <c r="C6092" s="1" t="n">
        <v>46075</v>
      </c>
      <c r="D6092" t="inlineStr">
        <is>
          <t>VÄSTERBOTTENS LÄN</t>
        </is>
      </c>
      <c r="E6092" t="inlineStr">
        <is>
          <t>SKELLEFTEÅ</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38188-2025</t>
        </is>
      </c>
      <c r="B6093" s="1" t="n">
        <v>45882.65447916667</v>
      </c>
      <c r="C6093" s="1" t="n">
        <v>46075</v>
      </c>
      <c r="D6093" t="inlineStr">
        <is>
          <t>VÄSTERBOTTENS LÄN</t>
        </is>
      </c>
      <c r="E6093" t="inlineStr">
        <is>
          <t>NORDMALING</t>
        </is>
      </c>
      <c r="G6093" t="n">
        <v>3.3</v>
      </c>
      <c r="H6093" t="n">
        <v>0</v>
      </c>
      <c r="I6093" t="n">
        <v>0</v>
      </c>
      <c r="J6093" t="n">
        <v>0</v>
      </c>
      <c r="K6093" t="n">
        <v>0</v>
      </c>
      <c r="L6093" t="n">
        <v>0</v>
      </c>
      <c r="M6093" t="n">
        <v>0</v>
      </c>
      <c r="N6093" t="n">
        <v>0</v>
      </c>
      <c r="O6093" t="n">
        <v>0</v>
      </c>
      <c r="P6093" t="n">
        <v>0</v>
      </c>
      <c r="Q6093" t="n">
        <v>0</v>
      </c>
      <c r="R6093" s="2" t="inlineStr"/>
    </row>
    <row r="6094" ht="15" customHeight="1">
      <c r="A6094" t="inlineStr">
        <is>
          <t>A 38356-2025</t>
        </is>
      </c>
      <c r="B6094" s="1" t="n">
        <v>45883.53247685185</v>
      </c>
      <c r="C6094" s="1" t="n">
        <v>46075</v>
      </c>
      <c r="D6094" t="inlineStr">
        <is>
          <t>VÄSTERBOTTENS LÄN</t>
        </is>
      </c>
      <c r="E6094" t="inlineStr">
        <is>
          <t>VILHELMINA</t>
        </is>
      </c>
      <c r="F6094" t="inlineStr">
        <is>
          <t>SCA</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38367-2025</t>
        </is>
      </c>
      <c r="B6095" s="1" t="n">
        <v>45883.55422453704</v>
      </c>
      <c r="C6095" s="1" t="n">
        <v>46075</v>
      </c>
      <c r="D6095" t="inlineStr">
        <is>
          <t>VÄSTERBOTTENS LÄN</t>
        </is>
      </c>
      <c r="E6095" t="inlineStr">
        <is>
          <t>NORDMALING</t>
        </is>
      </c>
      <c r="G6095" t="n">
        <v>3.7</v>
      </c>
      <c r="H6095" t="n">
        <v>0</v>
      </c>
      <c r="I6095" t="n">
        <v>0</v>
      </c>
      <c r="J6095" t="n">
        <v>0</v>
      </c>
      <c r="K6095" t="n">
        <v>0</v>
      </c>
      <c r="L6095" t="n">
        <v>0</v>
      </c>
      <c r="M6095" t="n">
        <v>0</v>
      </c>
      <c r="N6095" t="n">
        <v>0</v>
      </c>
      <c r="O6095" t="n">
        <v>0</v>
      </c>
      <c r="P6095" t="n">
        <v>0</v>
      </c>
      <c r="Q6095" t="n">
        <v>0</v>
      </c>
      <c r="R6095" s="2" t="inlineStr"/>
    </row>
    <row r="6096" ht="15" customHeight="1">
      <c r="A6096" t="inlineStr">
        <is>
          <t>A 48816-2025</t>
        </is>
      </c>
      <c r="B6096" s="1" t="n">
        <v>45937.36527777778</v>
      </c>
      <c r="C6096" s="1" t="n">
        <v>46075</v>
      </c>
      <c r="D6096" t="inlineStr">
        <is>
          <t>VÄSTERBOTTENS LÄN</t>
        </is>
      </c>
      <c r="E6096" t="inlineStr">
        <is>
          <t>VILHELMINA</t>
        </is>
      </c>
      <c r="F6096" t="inlineStr">
        <is>
          <t>SCA</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48820-2025</t>
        </is>
      </c>
      <c r="B6097" s="1" t="n">
        <v>45937.37208333334</v>
      </c>
      <c r="C6097" s="1" t="n">
        <v>46075</v>
      </c>
      <c r="D6097" t="inlineStr">
        <is>
          <t>VÄSTERBOTTENS LÄN</t>
        </is>
      </c>
      <c r="E6097" t="inlineStr">
        <is>
          <t>ÅSELE</t>
        </is>
      </c>
      <c r="F6097" t="inlineStr">
        <is>
          <t>Holmen skog AB</t>
        </is>
      </c>
      <c r="G6097" t="n">
        <v>12.1</v>
      </c>
      <c r="H6097" t="n">
        <v>0</v>
      </c>
      <c r="I6097" t="n">
        <v>0</v>
      </c>
      <c r="J6097" t="n">
        <v>0</v>
      </c>
      <c r="K6097" t="n">
        <v>0</v>
      </c>
      <c r="L6097" t="n">
        <v>0</v>
      </c>
      <c r="M6097" t="n">
        <v>0</v>
      </c>
      <c r="N6097" t="n">
        <v>0</v>
      </c>
      <c r="O6097" t="n">
        <v>0</v>
      </c>
      <c r="P6097" t="n">
        <v>0</v>
      </c>
      <c r="Q6097" t="n">
        <v>0</v>
      </c>
      <c r="R6097" s="2" t="inlineStr"/>
    </row>
    <row r="6098" ht="15" customHeight="1">
      <c r="A6098" t="inlineStr">
        <is>
          <t>A 48852-2025</t>
        </is>
      </c>
      <c r="B6098" s="1" t="n">
        <v>45937.43040509259</v>
      </c>
      <c r="C6098" s="1" t="n">
        <v>46075</v>
      </c>
      <c r="D6098" t="inlineStr">
        <is>
          <t>VÄSTERBOTTENS LÄN</t>
        </is>
      </c>
      <c r="E6098" t="inlineStr">
        <is>
          <t>VÄNNÄS</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49054-2025</t>
        </is>
      </c>
      <c r="B6099" s="1" t="n">
        <v>45937.64037037037</v>
      </c>
      <c r="C6099" s="1" t="n">
        <v>46075</v>
      </c>
      <c r="D6099" t="inlineStr">
        <is>
          <t>VÄSTERBOTTENS LÄN</t>
        </is>
      </c>
      <c r="E6099" t="inlineStr">
        <is>
          <t>DOROTEA</t>
        </is>
      </c>
      <c r="F6099" t="inlineStr">
        <is>
          <t>SCA</t>
        </is>
      </c>
      <c r="G6099" t="n">
        <v>9.800000000000001</v>
      </c>
      <c r="H6099" t="n">
        <v>0</v>
      </c>
      <c r="I6099" t="n">
        <v>0</v>
      </c>
      <c r="J6099" t="n">
        <v>0</v>
      </c>
      <c r="K6099" t="n">
        <v>0</v>
      </c>
      <c r="L6099" t="n">
        <v>0</v>
      </c>
      <c r="M6099" t="n">
        <v>0</v>
      </c>
      <c r="N6099" t="n">
        <v>0</v>
      </c>
      <c r="O6099" t="n">
        <v>0</v>
      </c>
      <c r="P6099" t="n">
        <v>0</v>
      </c>
      <c r="Q6099" t="n">
        <v>0</v>
      </c>
      <c r="R6099" s="2" t="inlineStr"/>
    </row>
    <row r="6100" ht="15" customHeight="1">
      <c r="A6100" t="inlineStr">
        <is>
          <t>A 46654-2025</t>
        </is>
      </c>
      <c r="B6100" s="1" t="n">
        <v>45926</v>
      </c>
      <c r="C6100" s="1" t="n">
        <v>46075</v>
      </c>
      <c r="D6100" t="inlineStr">
        <is>
          <t>VÄSTERBOTTENS LÄN</t>
        </is>
      </c>
      <c r="E6100" t="inlineStr">
        <is>
          <t>LYCKSELE</t>
        </is>
      </c>
      <c r="F6100" t="inlineStr">
        <is>
          <t>Holmen skog AB</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38096-2025</t>
        </is>
      </c>
      <c r="B6101" s="1" t="n">
        <v>45882</v>
      </c>
      <c r="C6101" s="1" t="n">
        <v>46075</v>
      </c>
      <c r="D6101" t="inlineStr">
        <is>
          <t>VÄSTERBOTTENS LÄN</t>
        </is>
      </c>
      <c r="E6101" t="inlineStr">
        <is>
          <t>DOROTEA</t>
        </is>
      </c>
      <c r="G6101" t="n">
        <v>5</v>
      </c>
      <c r="H6101" t="n">
        <v>0</v>
      </c>
      <c r="I6101" t="n">
        <v>0</v>
      </c>
      <c r="J6101" t="n">
        <v>0</v>
      </c>
      <c r="K6101" t="n">
        <v>0</v>
      </c>
      <c r="L6101" t="n">
        <v>0</v>
      </c>
      <c r="M6101" t="n">
        <v>0</v>
      </c>
      <c r="N6101" t="n">
        <v>0</v>
      </c>
      <c r="O6101" t="n">
        <v>0</v>
      </c>
      <c r="P6101" t="n">
        <v>0</v>
      </c>
      <c r="Q6101" t="n">
        <v>0</v>
      </c>
      <c r="R6101" s="2" t="inlineStr"/>
    </row>
    <row r="6102" ht="15" customHeight="1">
      <c r="A6102" t="inlineStr">
        <is>
          <t>A 38097-2025</t>
        </is>
      </c>
      <c r="B6102" s="1" t="n">
        <v>45882.49069444444</v>
      </c>
      <c r="C6102" s="1" t="n">
        <v>46075</v>
      </c>
      <c r="D6102" t="inlineStr">
        <is>
          <t>VÄSTERBOTTENS LÄN</t>
        </is>
      </c>
      <c r="E6102" t="inlineStr">
        <is>
          <t>DOROTEA</t>
        </is>
      </c>
      <c r="G6102" t="n">
        <v>2.5</v>
      </c>
      <c r="H6102" t="n">
        <v>0</v>
      </c>
      <c r="I6102" t="n">
        <v>0</v>
      </c>
      <c r="J6102" t="n">
        <v>0</v>
      </c>
      <c r="K6102" t="n">
        <v>0</v>
      </c>
      <c r="L6102" t="n">
        <v>0</v>
      </c>
      <c r="M6102" t="n">
        <v>0</v>
      </c>
      <c r="N6102" t="n">
        <v>0</v>
      </c>
      <c r="O6102" t="n">
        <v>0</v>
      </c>
      <c r="P6102" t="n">
        <v>0</v>
      </c>
      <c r="Q6102" t="n">
        <v>0</v>
      </c>
      <c r="R6102" s="2" t="inlineStr"/>
    </row>
    <row r="6103" ht="15" customHeight="1">
      <c r="A6103" t="inlineStr">
        <is>
          <t>A 38098-2025</t>
        </is>
      </c>
      <c r="B6103" s="1" t="n">
        <v>45882</v>
      </c>
      <c r="C6103" s="1" t="n">
        <v>46075</v>
      </c>
      <c r="D6103" t="inlineStr">
        <is>
          <t>VÄSTERBOTTENS LÄN</t>
        </is>
      </c>
      <c r="E6103" t="inlineStr">
        <is>
          <t>DOROTEA</t>
        </is>
      </c>
      <c r="G6103" t="n">
        <v>3</v>
      </c>
      <c r="H6103" t="n">
        <v>0</v>
      </c>
      <c r="I6103" t="n">
        <v>0</v>
      </c>
      <c r="J6103" t="n">
        <v>0</v>
      </c>
      <c r="K6103" t="n">
        <v>0</v>
      </c>
      <c r="L6103" t="n">
        <v>0</v>
      </c>
      <c r="M6103" t="n">
        <v>0</v>
      </c>
      <c r="N6103" t="n">
        <v>0</v>
      </c>
      <c r="O6103" t="n">
        <v>0</v>
      </c>
      <c r="P6103" t="n">
        <v>0</v>
      </c>
      <c r="Q6103" t="n">
        <v>0</v>
      </c>
      <c r="R6103" s="2" t="inlineStr"/>
    </row>
    <row r="6104" ht="15" customHeight="1">
      <c r="A6104" t="inlineStr">
        <is>
          <t>A 49120-2025</t>
        </is>
      </c>
      <c r="B6104" s="1" t="n">
        <v>45937.8341087963</v>
      </c>
      <c r="C6104" s="1" t="n">
        <v>46075</v>
      </c>
      <c r="D6104" t="inlineStr">
        <is>
          <t>VÄSTERBOTTENS LÄN</t>
        </is>
      </c>
      <c r="E6104" t="inlineStr">
        <is>
          <t>UMEÅ</t>
        </is>
      </c>
      <c r="G6104" t="n">
        <v>3</v>
      </c>
      <c r="H6104" t="n">
        <v>0</v>
      </c>
      <c r="I6104" t="n">
        <v>0</v>
      </c>
      <c r="J6104" t="n">
        <v>0</v>
      </c>
      <c r="K6104" t="n">
        <v>0</v>
      </c>
      <c r="L6104" t="n">
        <v>0</v>
      </c>
      <c r="M6104" t="n">
        <v>0</v>
      </c>
      <c r="N6104" t="n">
        <v>0</v>
      </c>
      <c r="O6104" t="n">
        <v>0</v>
      </c>
      <c r="P6104" t="n">
        <v>0</v>
      </c>
      <c r="Q6104" t="n">
        <v>0</v>
      </c>
      <c r="R6104" s="2" t="inlineStr"/>
    </row>
    <row r="6105" ht="15" customHeight="1">
      <c r="A6105" t="inlineStr">
        <is>
          <t>A 51526-2023</t>
        </is>
      </c>
      <c r="B6105" s="1" t="n">
        <v>45222</v>
      </c>
      <c r="C6105" s="1" t="n">
        <v>46075</v>
      </c>
      <c r="D6105" t="inlineStr">
        <is>
          <t>VÄSTERBOTTENS LÄN</t>
        </is>
      </c>
      <c r="E6105" t="inlineStr">
        <is>
          <t>SKELLEFTEÅ</t>
        </is>
      </c>
      <c r="F6105" t="inlineStr">
        <is>
          <t>Holmen skog AB</t>
        </is>
      </c>
      <c r="G6105" t="n">
        <v>14.1</v>
      </c>
      <c r="H6105" t="n">
        <v>0</v>
      </c>
      <c r="I6105" t="n">
        <v>0</v>
      </c>
      <c r="J6105" t="n">
        <v>0</v>
      </c>
      <c r="K6105" t="n">
        <v>0</v>
      </c>
      <c r="L6105" t="n">
        <v>0</v>
      </c>
      <c r="M6105" t="n">
        <v>0</v>
      </c>
      <c r="N6105" t="n">
        <v>0</v>
      </c>
      <c r="O6105" t="n">
        <v>0</v>
      </c>
      <c r="P6105" t="n">
        <v>0</v>
      </c>
      <c r="Q6105" t="n">
        <v>0</v>
      </c>
      <c r="R6105" s="2" t="inlineStr"/>
    </row>
    <row r="6106" ht="15" customHeight="1">
      <c r="A6106" t="inlineStr">
        <is>
          <t>A 38418-2025</t>
        </is>
      </c>
      <c r="B6106" s="1" t="n">
        <v>45883.61994212963</v>
      </c>
      <c r="C6106" s="1" t="n">
        <v>46075</v>
      </c>
      <c r="D6106" t="inlineStr">
        <is>
          <t>VÄSTERBOTTENS LÄN</t>
        </is>
      </c>
      <c r="E6106" t="inlineStr">
        <is>
          <t>ÅSELE</t>
        </is>
      </c>
      <c r="F6106" t="inlineStr">
        <is>
          <t>Holmen skog AB</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49126-2025</t>
        </is>
      </c>
      <c r="B6107" s="1" t="n">
        <v>45937.8712962963</v>
      </c>
      <c r="C6107" s="1" t="n">
        <v>46075</v>
      </c>
      <c r="D6107" t="inlineStr">
        <is>
          <t>VÄSTERBOTTENS LÄN</t>
        </is>
      </c>
      <c r="E6107" t="inlineStr">
        <is>
          <t>SKELLEFTEÅ</t>
        </is>
      </c>
      <c r="G6107" t="n">
        <v>5.5</v>
      </c>
      <c r="H6107" t="n">
        <v>0</v>
      </c>
      <c r="I6107" t="n">
        <v>0</v>
      </c>
      <c r="J6107" t="n">
        <v>0</v>
      </c>
      <c r="K6107" t="n">
        <v>0</v>
      </c>
      <c r="L6107" t="n">
        <v>0</v>
      </c>
      <c r="M6107" t="n">
        <v>0</v>
      </c>
      <c r="N6107" t="n">
        <v>0</v>
      </c>
      <c r="O6107" t="n">
        <v>0</v>
      </c>
      <c r="P6107" t="n">
        <v>0</v>
      </c>
      <c r="Q6107" t="n">
        <v>0</v>
      </c>
      <c r="R6107" s="2" t="inlineStr"/>
    </row>
    <row r="6108" ht="15" customHeight="1">
      <c r="A6108" t="inlineStr">
        <is>
          <t>A 49464-2025</t>
        </is>
      </c>
      <c r="B6108" s="1" t="n">
        <v>45939.32709490741</v>
      </c>
      <c r="C6108" s="1" t="n">
        <v>46075</v>
      </c>
      <c r="D6108" t="inlineStr">
        <is>
          <t>VÄSTERBOTTENS LÄN</t>
        </is>
      </c>
      <c r="E6108" t="inlineStr">
        <is>
          <t>ÅSELE</t>
        </is>
      </c>
      <c r="F6108" t="inlineStr">
        <is>
          <t>Sveaskog</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37816-2025</t>
        </is>
      </c>
      <c r="B6109" s="1" t="n">
        <v>45881.38435185186</v>
      </c>
      <c r="C6109" s="1" t="n">
        <v>46075</v>
      </c>
      <c r="D6109" t="inlineStr">
        <is>
          <t>VÄSTERBOTTENS LÄN</t>
        </is>
      </c>
      <c r="E6109" t="inlineStr">
        <is>
          <t>SKELLEFTEÅ</t>
        </is>
      </c>
      <c r="G6109" t="n">
        <v>3.5</v>
      </c>
      <c r="H6109" t="n">
        <v>0</v>
      </c>
      <c r="I6109" t="n">
        <v>0</v>
      </c>
      <c r="J6109" t="n">
        <v>0</v>
      </c>
      <c r="K6109" t="n">
        <v>0</v>
      </c>
      <c r="L6109" t="n">
        <v>0</v>
      </c>
      <c r="M6109" t="n">
        <v>0</v>
      </c>
      <c r="N6109" t="n">
        <v>0</v>
      </c>
      <c r="O6109" t="n">
        <v>0</v>
      </c>
      <c r="P6109" t="n">
        <v>0</v>
      </c>
      <c r="Q6109" t="n">
        <v>0</v>
      </c>
      <c r="R6109" s="2" t="inlineStr"/>
    </row>
    <row r="6110" ht="15" customHeight="1">
      <c r="A6110" t="inlineStr">
        <is>
          <t>A 57497-2024</t>
        </is>
      </c>
      <c r="B6110" s="1" t="n">
        <v>45630</v>
      </c>
      <c r="C6110" s="1" t="n">
        <v>46075</v>
      </c>
      <c r="D6110" t="inlineStr">
        <is>
          <t>VÄSTERBOTTENS LÄN</t>
        </is>
      </c>
      <c r="E6110" t="inlineStr">
        <is>
          <t>UMEÅ</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37822-2025</t>
        </is>
      </c>
      <c r="B6111" s="1" t="n">
        <v>45881.40665509259</v>
      </c>
      <c r="C6111" s="1" t="n">
        <v>46075</v>
      </c>
      <c r="D6111" t="inlineStr">
        <is>
          <t>VÄSTERBOTTENS LÄN</t>
        </is>
      </c>
      <c r="E6111" t="inlineStr">
        <is>
          <t>ÅSELE</t>
        </is>
      </c>
      <c r="F6111" t="inlineStr">
        <is>
          <t>SCA</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38163-2025</t>
        </is>
      </c>
      <c r="B6112" s="1" t="n">
        <v>45882.62724537037</v>
      </c>
      <c r="C6112" s="1" t="n">
        <v>46075</v>
      </c>
      <c r="D6112" t="inlineStr">
        <is>
          <t>VÄSTERBOTTENS LÄN</t>
        </is>
      </c>
      <c r="E6112" t="inlineStr">
        <is>
          <t>NORDMALING</t>
        </is>
      </c>
      <c r="G6112" t="n">
        <v>6.1</v>
      </c>
      <c r="H6112" t="n">
        <v>0</v>
      </c>
      <c r="I6112" t="n">
        <v>0</v>
      </c>
      <c r="J6112" t="n">
        <v>0</v>
      </c>
      <c r="K6112" t="n">
        <v>0</v>
      </c>
      <c r="L6112" t="n">
        <v>0</v>
      </c>
      <c r="M6112" t="n">
        <v>0</v>
      </c>
      <c r="N6112" t="n">
        <v>0</v>
      </c>
      <c r="O6112" t="n">
        <v>0</v>
      </c>
      <c r="P6112" t="n">
        <v>0</v>
      </c>
      <c r="Q6112" t="n">
        <v>0</v>
      </c>
      <c r="R6112" s="2" t="inlineStr"/>
    </row>
    <row r="6113" ht="15" customHeight="1">
      <c r="A6113" t="inlineStr">
        <is>
          <t>A 49144-2025</t>
        </is>
      </c>
      <c r="B6113" s="1" t="n">
        <v>45938.32828703704</v>
      </c>
      <c r="C6113" s="1" t="n">
        <v>46075</v>
      </c>
      <c r="D6113" t="inlineStr">
        <is>
          <t>VÄSTERBOTTENS LÄN</t>
        </is>
      </c>
      <c r="E6113" t="inlineStr">
        <is>
          <t>ROBERTSFORS</t>
        </is>
      </c>
      <c r="G6113" t="n">
        <v>4.8</v>
      </c>
      <c r="H6113" t="n">
        <v>0</v>
      </c>
      <c r="I6113" t="n">
        <v>0</v>
      </c>
      <c r="J6113" t="n">
        <v>0</v>
      </c>
      <c r="K6113" t="n">
        <v>0</v>
      </c>
      <c r="L6113" t="n">
        <v>0</v>
      </c>
      <c r="M6113" t="n">
        <v>0</v>
      </c>
      <c r="N6113" t="n">
        <v>0</v>
      </c>
      <c r="O6113" t="n">
        <v>0</v>
      </c>
      <c r="P6113" t="n">
        <v>0</v>
      </c>
      <c r="Q6113" t="n">
        <v>0</v>
      </c>
      <c r="R6113" s="2" t="inlineStr"/>
    </row>
    <row r="6114" ht="15" customHeight="1">
      <c r="A6114" t="inlineStr">
        <is>
          <t>A 52500-2022</t>
        </is>
      </c>
      <c r="B6114" s="1" t="n">
        <v>44869</v>
      </c>
      <c r="C6114" s="1" t="n">
        <v>46075</v>
      </c>
      <c r="D6114" t="inlineStr">
        <is>
          <t>VÄSTERBOTTENS LÄN</t>
        </is>
      </c>
      <c r="E6114" t="inlineStr">
        <is>
          <t>SKELLEFTEÅ</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38227-2025</t>
        </is>
      </c>
      <c r="B6115" s="1" t="n">
        <v>45883.34537037037</v>
      </c>
      <c r="C6115" s="1" t="n">
        <v>46075</v>
      </c>
      <c r="D6115" t="inlineStr">
        <is>
          <t>VÄSTERBOTTENS LÄN</t>
        </is>
      </c>
      <c r="E6115" t="inlineStr">
        <is>
          <t>DOROTEA</t>
        </is>
      </c>
      <c r="F6115" t="inlineStr">
        <is>
          <t>SCA</t>
        </is>
      </c>
      <c r="G6115" t="n">
        <v>10.6</v>
      </c>
      <c r="H6115" t="n">
        <v>0</v>
      </c>
      <c r="I6115" t="n">
        <v>0</v>
      </c>
      <c r="J6115" t="n">
        <v>0</v>
      </c>
      <c r="K6115" t="n">
        <v>0</v>
      </c>
      <c r="L6115" t="n">
        <v>0</v>
      </c>
      <c r="M6115" t="n">
        <v>0</v>
      </c>
      <c r="N6115" t="n">
        <v>0</v>
      </c>
      <c r="O6115" t="n">
        <v>0</v>
      </c>
      <c r="P6115" t="n">
        <v>0</v>
      </c>
      <c r="Q6115" t="n">
        <v>0</v>
      </c>
      <c r="R6115" s="2" t="inlineStr"/>
    </row>
    <row r="6116" ht="15" customHeight="1">
      <c r="A6116" t="inlineStr">
        <is>
          <t>A 49236-2025</t>
        </is>
      </c>
      <c r="B6116" s="1" t="n">
        <v>45938.48</v>
      </c>
      <c r="C6116" s="1" t="n">
        <v>46075</v>
      </c>
      <c r="D6116" t="inlineStr">
        <is>
          <t>VÄSTERBOTTENS LÄN</t>
        </is>
      </c>
      <c r="E6116" t="inlineStr">
        <is>
          <t>BJURHOLM</t>
        </is>
      </c>
      <c r="F6116" t="inlineStr">
        <is>
          <t>Sveaskog</t>
        </is>
      </c>
      <c r="G6116" t="n">
        <v>3.8</v>
      </c>
      <c r="H6116" t="n">
        <v>0</v>
      </c>
      <c r="I6116" t="n">
        <v>0</v>
      </c>
      <c r="J6116" t="n">
        <v>0</v>
      </c>
      <c r="K6116" t="n">
        <v>0</v>
      </c>
      <c r="L6116" t="n">
        <v>0</v>
      </c>
      <c r="M6116" t="n">
        <v>0</v>
      </c>
      <c r="N6116" t="n">
        <v>0</v>
      </c>
      <c r="O6116" t="n">
        <v>0</v>
      </c>
      <c r="P6116" t="n">
        <v>0</v>
      </c>
      <c r="Q6116" t="n">
        <v>0</v>
      </c>
      <c r="R6116" s="2" t="inlineStr"/>
    </row>
    <row r="6117" ht="15" customHeight="1">
      <c r="A6117" t="inlineStr">
        <is>
          <t>A 38239-2025</t>
        </is>
      </c>
      <c r="B6117" s="1" t="n">
        <v>45883.36519675926</v>
      </c>
      <c r="C6117" s="1" t="n">
        <v>46075</v>
      </c>
      <c r="D6117" t="inlineStr">
        <is>
          <t>VÄSTERBOTTENS LÄN</t>
        </is>
      </c>
      <c r="E6117" t="inlineStr">
        <is>
          <t>DOROTEA</t>
        </is>
      </c>
      <c r="F6117" t="inlineStr">
        <is>
          <t>SCA</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49264-2025</t>
        </is>
      </c>
      <c r="B6118" s="1" t="n">
        <v>45938.49991898148</v>
      </c>
      <c r="C6118" s="1" t="n">
        <v>46075</v>
      </c>
      <c r="D6118" t="inlineStr">
        <is>
          <t>VÄSTERBOTTENS LÄN</t>
        </is>
      </c>
      <c r="E6118" t="inlineStr">
        <is>
          <t>UMEÅ</t>
        </is>
      </c>
      <c r="F6118" t="inlineStr">
        <is>
          <t>Sveaskog</t>
        </is>
      </c>
      <c r="G6118" t="n">
        <v>7.3</v>
      </c>
      <c r="H6118" t="n">
        <v>0</v>
      </c>
      <c r="I6118" t="n">
        <v>0</v>
      </c>
      <c r="J6118" t="n">
        <v>0</v>
      </c>
      <c r="K6118" t="n">
        <v>0</v>
      </c>
      <c r="L6118" t="n">
        <v>0</v>
      </c>
      <c r="M6118" t="n">
        <v>0</v>
      </c>
      <c r="N6118" t="n">
        <v>0</v>
      </c>
      <c r="O6118" t="n">
        <v>0</v>
      </c>
      <c r="P6118" t="n">
        <v>0</v>
      </c>
      <c r="Q6118" t="n">
        <v>0</v>
      </c>
      <c r="R6118" s="2" t="inlineStr"/>
    </row>
    <row r="6119" ht="15" customHeight="1">
      <c r="A6119" t="inlineStr">
        <is>
          <t>A 49279-2025</t>
        </is>
      </c>
      <c r="B6119" s="1" t="n">
        <v>45938.5106712963</v>
      </c>
      <c r="C6119" s="1" t="n">
        <v>46075</v>
      </c>
      <c r="D6119" t="inlineStr">
        <is>
          <t>VÄSTERBOTTENS LÄN</t>
        </is>
      </c>
      <c r="E6119" t="inlineStr">
        <is>
          <t>UMEÅ</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38146-2025</t>
        </is>
      </c>
      <c r="B6120" s="1" t="n">
        <v>45882.58627314815</v>
      </c>
      <c r="C6120" s="1" t="n">
        <v>46075</v>
      </c>
      <c r="D6120" t="inlineStr">
        <is>
          <t>VÄSTERBOTTENS LÄN</t>
        </is>
      </c>
      <c r="E6120" t="inlineStr">
        <is>
          <t>BJURHOLM</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49811-2024</t>
        </is>
      </c>
      <c r="B6121" s="1" t="n">
        <v>45597.39033564815</v>
      </c>
      <c r="C6121" s="1" t="n">
        <v>46075</v>
      </c>
      <c r="D6121" t="inlineStr">
        <is>
          <t>VÄSTERBOTTENS LÄN</t>
        </is>
      </c>
      <c r="E6121" t="inlineStr">
        <is>
          <t>SKELLEFTEÅ</t>
        </is>
      </c>
      <c r="G6121" t="n">
        <v>3.8</v>
      </c>
      <c r="H6121" t="n">
        <v>0</v>
      </c>
      <c r="I6121" t="n">
        <v>0</v>
      </c>
      <c r="J6121" t="n">
        <v>0</v>
      </c>
      <c r="K6121" t="n">
        <v>0</v>
      </c>
      <c r="L6121" t="n">
        <v>0</v>
      </c>
      <c r="M6121" t="n">
        <v>0</v>
      </c>
      <c r="N6121" t="n">
        <v>0</v>
      </c>
      <c r="O6121" t="n">
        <v>0</v>
      </c>
      <c r="P6121" t="n">
        <v>0</v>
      </c>
      <c r="Q6121" t="n">
        <v>0</v>
      </c>
      <c r="R6121" s="2" t="inlineStr"/>
    </row>
    <row r="6122" ht="15" customHeight="1">
      <c r="A6122" t="inlineStr">
        <is>
          <t>A 49637-2025</t>
        </is>
      </c>
      <c r="B6122" s="1" t="n">
        <v>45939.61072916666</v>
      </c>
      <c r="C6122" s="1" t="n">
        <v>46075</v>
      </c>
      <c r="D6122" t="inlineStr">
        <is>
          <t>VÄSTERBOTTENS LÄN</t>
        </is>
      </c>
      <c r="E6122" t="inlineStr">
        <is>
          <t>ROBERTSFORS</t>
        </is>
      </c>
      <c r="F6122" t="inlineStr">
        <is>
          <t>Holmen skog AB</t>
        </is>
      </c>
      <c r="G6122" t="n">
        <v>2.6</v>
      </c>
      <c r="H6122" t="n">
        <v>0</v>
      </c>
      <c r="I6122" t="n">
        <v>0</v>
      </c>
      <c r="J6122" t="n">
        <v>0</v>
      </c>
      <c r="K6122" t="n">
        <v>0</v>
      </c>
      <c r="L6122" t="n">
        <v>0</v>
      </c>
      <c r="M6122" t="n">
        <v>0</v>
      </c>
      <c r="N6122" t="n">
        <v>0</v>
      </c>
      <c r="O6122" t="n">
        <v>0</v>
      </c>
      <c r="P6122" t="n">
        <v>0</v>
      </c>
      <c r="Q6122" t="n">
        <v>0</v>
      </c>
      <c r="R6122" s="2" t="inlineStr"/>
    </row>
    <row r="6123" ht="15" customHeight="1">
      <c r="A6123" t="inlineStr">
        <is>
          <t>A 38429-2025</t>
        </is>
      </c>
      <c r="B6123" s="1" t="n">
        <v>45883.63638888889</v>
      </c>
      <c r="C6123" s="1" t="n">
        <v>46075</v>
      </c>
      <c r="D6123" t="inlineStr">
        <is>
          <t>VÄSTERBOTTENS LÄN</t>
        </is>
      </c>
      <c r="E6123" t="inlineStr">
        <is>
          <t>VILHELMINA</t>
        </is>
      </c>
      <c r="G6123" t="n">
        <v>5.5</v>
      </c>
      <c r="H6123" t="n">
        <v>0</v>
      </c>
      <c r="I6123" t="n">
        <v>0</v>
      </c>
      <c r="J6123" t="n">
        <v>0</v>
      </c>
      <c r="K6123" t="n">
        <v>0</v>
      </c>
      <c r="L6123" t="n">
        <v>0</v>
      </c>
      <c r="M6123" t="n">
        <v>0</v>
      </c>
      <c r="N6123" t="n">
        <v>0</v>
      </c>
      <c r="O6123" t="n">
        <v>0</v>
      </c>
      <c r="P6123" t="n">
        <v>0</v>
      </c>
      <c r="Q6123" t="n">
        <v>0</v>
      </c>
      <c r="R6123" s="2" t="inlineStr"/>
    </row>
    <row r="6124" ht="15" customHeight="1">
      <c r="A6124" t="inlineStr">
        <is>
          <t>A 58592-2024</t>
        </is>
      </c>
      <c r="B6124" s="1" t="n">
        <v>45635</v>
      </c>
      <c r="C6124" s="1" t="n">
        <v>46075</v>
      </c>
      <c r="D6124" t="inlineStr">
        <is>
          <t>VÄSTERBOTTENS LÄN</t>
        </is>
      </c>
      <c r="E6124" t="inlineStr">
        <is>
          <t>NORSJÖ</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38355-2025</t>
        </is>
      </c>
      <c r="B6125" s="1" t="n">
        <v>45883.53228009259</v>
      </c>
      <c r="C6125" s="1" t="n">
        <v>46075</v>
      </c>
      <c r="D6125" t="inlineStr">
        <is>
          <t>VÄSTERBOTTENS LÄN</t>
        </is>
      </c>
      <c r="E6125" t="inlineStr">
        <is>
          <t>VILHELMINA</t>
        </is>
      </c>
      <c r="F6125" t="inlineStr">
        <is>
          <t>SCA</t>
        </is>
      </c>
      <c r="G6125" t="n">
        <v>3.7</v>
      </c>
      <c r="H6125" t="n">
        <v>0</v>
      </c>
      <c r="I6125" t="n">
        <v>0</v>
      </c>
      <c r="J6125" t="n">
        <v>0</v>
      </c>
      <c r="K6125" t="n">
        <v>0</v>
      </c>
      <c r="L6125" t="n">
        <v>0</v>
      </c>
      <c r="M6125" t="n">
        <v>0</v>
      </c>
      <c r="N6125" t="n">
        <v>0</v>
      </c>
      <c r="O6125" t="n">
        <v>0</v>
      </c>
      <c r="P6125" t="n">
        <v>0</v>
      </c>
      <c r="Q6125" t="n">
        <v>0</v>
      </c>
      <c r="R6125" s="2" t="inlineStr"/>
    </row>
    <row r="6126" ht="15" customHeight="1">
      <c r="A6126" t="inlineStr">
        <is>
          <t>A 19385-2025</t>
        </is>
      </c>
      <c r="B6126" s="1" t="n">
        <v>45769.65708333333</v>
      </c>
      <c r="C6126" s="1" t="n">
        <v>46075</v>
      </c>
      <c r="D6126" t="inlineStr">
        <is>
          <t>VÄSTERBOTTENS LÄN</t>
        </is>
      </c>
      <c r="E6126" t="inlineStr">
        <is>
          <t>ÅSELE</t>
        </is>
      </c>
      <c r="F6126" t="inlineStr">
        <is>
          <t>SCA</t>
        </is>
      </c>
      <c r="G6126" t="n">
        <v>2.9</v>
      </c>
      <c r="H6126" t="n">
        <v>0</v>
      </c>
      <c r="I6126" t="n">
        <v>0</v>
      </c>
      <c r="J6126" t="n">
        <v>0</v>
      </c>
      <c r="K6126" t="n">
        <v>0</v>
      </c>
      <c r="L6126" t="n">
        <v>0</v>
      </c>
      <c r="M6126" t="n">
        <v>0</v>
      </c>
      <c r="N6126" t="n">
        <v>0</v>
      </c>
      <c r="O6126" t="n">
        <v>0</v>
      </c>
      <c r="P6126" t="n">
        <v>0</v>
      </c>
      <c r="Q6126" t="n">
        <v>0</v>
      </c>
      <c r="R6126" s="2" t="inlineStr"/>
    </row>
    <row r="6127" ht="15" customHeight="1">
      <c r="A6127" t="inlineStr">
        <is>
          <t>A 58669-2024</t>
        </is>
      </c>
      <c r="B6127" s="1" t="n">
        <v>45634</v>
      </c>
      <c r="C6127" s="1" t="n">
        <v>46075</v>
      </c>
      <c r="D6127" t="inlineStr">
        <is>
          <t>VÄSTERBOTTENS LÄN</t>
        </is>
      </c>
      <c r="E6127" t="inlineStr">
        <is>
          <t>SORSELE</t>
        </is>
      </c>
      <c r="G6127" t="n">
        <v>6.8</v>
      </c>
      <c r="H6127" t="n">
        <v>0</v>
      </c>
      <c r="I6127" t="n">
        <v>0</v>
      </c>
      <c r="J6127" t="n">
        <v>0</v>
      </c>
      <c r="K6127" t="n">
        <v>0</v>
      </c>
      <c r="L6127" t="n">
        <v>0</v>
      </c>
      <c r="M6127" t="n">
        <v>0</v>
      </c>
      <c r="N6127" t="n">
        <v>0</v>
      </c>
      <c r="O6127" t="n">
        <v>0</v>
      </c>
      <c r="P6127" t="n">
        <v>0</v>
      </c>
      <c r="Q6127" t="n">
        <v>0</v>
      </c>
      <c r="R6127" s="2" t="inlineStr"/>
    </row>
    <row r="6128" ht="15" customHeight="1">
      <c r="A6128" t="inlineStr">
        <is>
          <t>A 58671-2024</t>
        </is>
      </c>
      <c r="B6128" s="1" t="n">
        <v>45635</v>
      </c>
      <c r="C6128" s="1" t="n">
        <v>46075</v>
      </c>
      <c r="D6128" t="inlineStr">
        <is>
          <t>VÄSTERBOTTENS LÄN</t>
        </is>
      </c>
      <c r="E6128" t="inlineStr">
        <is>
          <t>SORSELE</t>
        </is>
      </c>
      <c r="G6128" t="n">
        <v>6.3</v>
      </c>
      <c r="H6128" t="n">
        <v>0</v>
      </c>
      <c r="I6128" t="n">
        <v>0</v>
      </c>
      <c r="J6128" t="n">
        <v>0</v>
      </c>
      <c r="K6128" t="n">
        <v>0</v>
      </c>
      <c r="L6128" t="n">
        <v>0</v>
      </c>
      <c r="M6128" t="n">
        <v>0</v>
      </c>
      <c r="N6128" t="n">
        <v>0</v>
      </c>
      <c r="O6128" t="n">
        <v>0</v>
      </c>
      <c r="P6128" t="n">
        <v>0</v>
      </c>
      <c r="Q6128" t="n">
        <v>0</v>
      </c>
      <c r="R6128" s="2" t="inlineStr"/>
    </row>
    <row r="6129" ht="15" customHeight="1">
      <c r="A6129" t="inlineStr">
        <is>
          <t>A 38357-2025</t>
        </is>
      </c>
      <c r="B6129" s="1" t="n">
        <v>45883.53263888889</v>
      </c>
      <c r="C6129" s="1" t="n">
        <v>46075</v>
      </c>
      <c r="D6129" t="inlineStr">
        <is>
          <t>VÄSTERBOTTENS LÄN</t>
        </is>
      </c>
      <c r="E6129" t="inlineStr">
        <is>
          <t>VILHELMINA</t>
        </is>
      </c>
      <c r="F6129" t="inlineStr">
        <is>
          <t>SCA</t>
        </is>
      </c>
      <c r="G6129" t="n">
        <v>4.3</v>
      </c>
      <c r="H6129" t="n">
        <v>0</v>
      </c>
      <c r="I6129" t="n">
        <v>0</v>
      </c>
      <c r="J6129" t="n">
        <v>0</v>
      </c>
      <c r="K6129" t="n">
        <v>0</v>
      </c>
      <c r="L6129" t="n">
        <v>0</v>
      </c>
      <c r="M6129" t="n">
        <v>0</v>
      </c>
      <c r="N6129" t="n">
        <v>0</v>
      </c>
      <c r="O6129" t="n">
        <v>0</v>
      </c>
      <c r="P6129" t="n">
        <v>0</v>
      </c>
      <c r="Q6129" t="n">
        <v>0</v>
      </c>
      <c r="R6129" s="2" t="inlineStr"/>
    </row>
    <row r="6130" ht="15" customHeight="1">
      <c r="A6130" t="inlineStr">
        <is>
          <t>A 49520-2025</t>
        </is>
      </c>
      <c r="B6130" s="1" t="n">
        <v>45939.39337962963</v>
      </c>
      <c r="C6130" s="1" t="n">
        <v>46075</v>
      </c>
      <c r="D6130" t="inlineStr">
        <is>
          <t>VÄSTERBOTTENS LÄN</t>
        </is>
      </c>
      <c r="E6130" t="inlineStr">
        <is>
          <t>VÄNNÄS</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46562-2025</t>
        </is>
      </c>
      <c r="B6131" s="1" t="n">
        <v>45926</v>
      </c>
      <c r="C6131" s="1" t="n">
        <v>46075</v>
      </c>
      <c r="D6131" t="inlineStr">
        <is>
          <t>VÄSTERBOTTENS LÄN</t>
        </is>
      </c>
      <c r="E6131" t="inlineStr">
        <is>
          <t>LYCKSELE</t>
        </is>
      </c>
      <c r="F6131" t="inlineStr">
        <is>
          <t>Holmen skog AB</t>
        </is>
      </c>
      <c r="G6131" t="n">
        <v>4.6</v>
      </c>
      <c r="H6131" t="n">
        <v>0</v>
      </c>
      <c r="I6131" t="n">
        <v>0</v>
      </c>
      <c r="J6131" t="n">
        <v>0</v>
      </c>
      <c r="K6131" t="n">
        <v>0</v>
      </c>
      <c r="L6131" t="n">
        <v>0</v>
      </c>
      <c r="M6131" t="n">
        <v>0</v>
      </c>
      <c r="N6131" t="n">
        <v>0</v>
      </c>
      <c r="O6131" t="n">
        <v>0</v>
      </c>
      <c r="P6131" t="n">
        <v>0</v>
      </c>
      <c r="Q6131" t="n">
        <v>0</v>
      </c>
      <c r="R6131" s="2" t="inlineStr"/>
    </row>
    <row r="6132" ht="15" customHeight="1">
      <c r="A6132" t="inlineStr">
        <is>
          <t>A 10892-2024</t>
        </is>
      </c>
      <c r="B6132" s="1" t="n">
        <v>45370.34435185185</v>
      </c>
      <c r="C6132" s="1" t="n">
        <v>46075</v>
      </c>
      <c r="D6132" t="inlineStr">
        <is>
          <t>VÄSTERBOTTENS LÄN</t>
        </is>
      </c>
      <c r="E6132" t="inlineStr">
        <is>
          <t>SKELLEFTEÅ</t>
        </is>
      </c>
      <c r="G6132" t="n">
        <v>6.1</v>
      </c>
      <c r="H6132" t="n">
        <v>0</v>
      </c>
      <c r="I6132" t="n">
        <v>0</v>
      </c>
      <c r="J6132" t="n">
        <v>0</v>
      </c>
      <c r="K6132" t="n">
        <v>0</v>
      </c>
      <c r="L6132" t="n">
        <v>0</v>
      </c>
      <c r="M6132" t="n">
        <v>0</v>
      </c>
      <c r="N6132" t="n">
        <v>0</v>
      </c>
      <c r="O6132" t="n">
        <v>0</v>
      </c>
      <c r="P6132" t="n">
        <v>0</v>
      </c>
      <c r="Q6132" t="n">
        <v>0</v>
      </c>
      <c r="R6132" s="2" t="inlineStr"/>
    </row>
    <row r="6133" ht="15" customHeight="1">
      <c r="A6133" t="inlineStr">
        <is>
          <t>A 38101-2025</t>
        </is>
      </c>
      <c r="B6133" s="1" t="n">
        <v>45882.49106481481</v>
      </c>
      <c r="C6133" s="1" t="n">
        <v>46075</v>
      </c>
      <c r="D6133" t="inlineStr">
        <is>
          <t>VÄSTERBOTTENS LÄN</t>
        </is>
      </c>
      <c r="E6133" t="inlineStr">
        <is>
          <t>DOROTEA</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49044-2025</t>
        </is>
      </c>
      <c r="B6134" s="1" t="n">
        <v>45937.63645833333</v>
      </c>
      <c r="C6134" s="1" t="n">
        <v>46075</v>
      </c>
      <c r="D6134" t="inlineStr">
        <is>
          <t>VÄSTERBOTTENS LÄN</t>
        </is>
      </c>
      <c r="E6134" t="inlineStr">
        <is>
          <t>DOROTEA</t>
        </is>
      </c>
      <c r="F6134" t="inlineStr">
        <is>
          <t>SCA</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38211-2025</t>
        </is>
      </c>
      <c r="B6135" s="1" t="n">
        <v>45882.93524305556</v>
      </c>
      <c r="C6135" s="1" t="n">
        <v>46075</v>
      </c>
      <c r="D6135" t="inlineStr">
        <is>
          <t>VÄSTERBOTTENS LÄN</t>
        </is>
      </c>
      <c r="E6135" t="inlineStr">
        <is>
          <t>VILHELMINA</t>
        </is>
      </c>
      <c r="G6135" t="n">
        <v>13.8</v>
      </c>
      <c r="H6135" t="n">
        <v>0</v>
      </c>
      <c r="I6135" t="n">
        <v>0</v>
      </c>
      <c r="J6135" t="n">
        <v>0</v>
      </c>
      <c r="K6135" t="n">
        <v>0</v>
      </c>
      <c r="L6135" t="n">
        <v>0</v>
      </c>
      <c r="M6135" t="n">
        <v>0</v>
      </c>
      <c r="N6135" t="n">
        <v>0</v>
      </c>
      <c r="O6135" t="n">
        <v>0</v>
      </c>
      <c r="P6135" t="n">
        <v>0</v>
      </c>
      <c r="Q6135" t="n">
        <v>0</v>
      </c>
      <c r="R6135" s="2" t="inlineStr"/>
    </row>
    <row r="6136" ht="15" customHeight="1">
      <c r="A6136" t="inlineStr">
        <is>
          <t>A 49185-2025</t>
        </is>
      </c>
      <c r="B6136" s="1" t="n">
        <v>45938.40478009259</v>
      </c>
      <c r="C6136" s="1" t="n">
        <v>46075</v>
      </c>
      <c r="D6136" t="inlineStr">
        <is>
          <t>VÄSTERBOTTENS LÄN</t>
        </is>
      </c>
      <c r="E6136" t="inlineStr">
        <is>
          <t>UMEÅ</t>
        </is>
      </c>
      <c r="F6136" t="inlineStr">
        <is>
          <t>Holmen skog AB</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49187-2025</t>
        </is>
      </c>
      <c r="B6137" s="1" t="n">
        <v>45938.40701388889</v>
      </c>
      <c r="C6137" s="1" t="n">
        <v>46075</v>
      </c>
      <c r="D6137" t="inlineStr">
        <is>
          <t>VÄSTERBOTTENS LÄN</t>
        </is>
      </c>
      <c r="E6137" t="inlineStr">
        <is>
          <t>LYCKSELE</t>
        </is>
      </c>
      <c r="G6137" t="n">
        <v>3.8</v>
      </c>
      <c r="H6137" t="n">
        <v>0</v>
      </c>
      <c r="I6137" t="n">
        <v>0</v>
      </c>
      <c r="J6137" t="n">
        <v>0</v>
      </c>
      <c r="K6137" t="n">
        <v>0</v>
      </c>
      <c r="L6137" t="n">
        <v>0</v>
      </c>
      <c r="M6137" t="n">
        <v>0</v>
      </c>
      <c r="N6137" t="n">
        <v>0</v>
      </c>
      <c r="O6137" t="n">
        <v>0</v>
      </c>
      <c r="P6137" t="n">
        <v>0</v>
      </c>
      <c r="Q6137" t="n">
        <v>0</v>
      </c>
      <c r="R6137" s="2" t="inlineStr"/>
    </row>
    <row r="6138" ht="15" customHeight="1">
      <c r="A6138" t="inlineStr">
        <is>
          <t>A 24958-2025</t>
        </is>
      </c>
      <c r="B6138" s="1" t="n">
        <v>45799</v>
      </c>
      <c r="C6138" s="1" t="n">
        <v>46075</v>
      </c>
      <c r="D6138" t="inlineStr">
        <is>
          <t>VÄSTERBOTTENS LÄN</t>
        </is>
      </c>
      <c r="E6138" t="inlineStr">
        <is>
          <t>ÅSELE</t>
        </is>
      </c>
      <c r="G6138" t="n">
        <v>2.9</v>
      </c>
      <c r="H6138" t="n">
        <v>0</v>
      </c>
      <c r="I6138" t="n">
        <v>0</v>
      </c>
      <c r="J6138" t="n">
        <v>0</v>
      </c>
      <c r="K6138" t="n">
        <v>0</v>
      </c>
      <c r="L6138" t="n">
        <v>0</v>
      </c>
      <c r="M6138" t="n">
        <v>0</v>
      </c>
      <c r="N6138" t="n">
        <v>0</v>
      </c>
      <c r="O6138" t="n">
        <v>0</v>
      </c>
      <c r="P6138" t="n">
        <v>0</v>
      </c>
      <c r="Q6138" t="n">
        <v>0</v>
      </c>
      <c r="R6138" s="2" t="inlineStr"/>
    </row>
    <row r="6139" ht="15" customHeight="1">
      <c r="A6139" t="inlineStr">
        <is>
          <t>A 38212-2025</t>
        </is>
      </c>
      <c r="B6139" s="1" t="n">
        <v>45882.95137731481</v>
      </c>
      <c r="C6139" s="1" t="n">
        <v>46075</v>
      </c>
      <c r="D6139" t="inlineStr">
        <is>
          <t>VÄSTERBOTTENS LÄN</t>
        </is>
      </c>
      <c r="E6139" t="inlineStr">
        <is>
          <t>VILHELMINA</t>
        </is>
      </c>
      <c r="G6139" t="n">
        <v>11.7</v>
      </c>
      <c r="H6139" t="n">
        <v>0</v>
      </c>
      <c r="I6139" t="n">
        <v>0</v>
      </c>
      <c r="J6139" t="n">
        <v>0</v>
      </c>
      <c r="K6139" t="n">
        <v>0</v>
      </c>
      <c r="L6139" t="n">
        <v>0</v>
      </c>
      <c r="M6139" t="n">
        <v>0</v>
      </c>
      <c r="N6139" t="n">
        <v>0</v>
      </c>
      <c r="O6139" t="n">
        <v>0</v>
      </c>
      <c r="P6139" t="n">
        <v>0</v>
      </c>
      <c r="Q6139" t="n">
        <v>0</v>
      </c>
      <c r="R6139" s="2" t="inlineStr"/>
    </row>
    <row r="6140" ht="15" customHeight="1">
      <c r="A6140" t="inlineStr">
        <is>
          <t>A 38214-2025</t>
        </is>
      </c>
      <c r="B6140" s="1" t="n">
        <v>45883.27512731482</v>
      </c>
      <c r="C6140" s="1" t="n">
        <v>46075</v>
      </c>
      <c r="D6140" t="inlineStr">
        <is>
          <t>VÄSTERBOTTENS LÄN</t>
        </is>
      </c>
      <c r="E6140" t="inlineStr">
        <is>
          <t>SKELLEFTEÅ</t>
        </is>
      </c>
      <c r="G6140" t="n">
        <v>3.2</v>
      </c>
      <c r="H6140" t="n">
        <v>0</v>
      </c>
      <c r="I6140" t="n">
        <v>0</v>
      </c>
      <c r="J6140" t="n">
        <v>0</v>
      </c>
      <c r="K6140" t="n">
        <v>0</v>
      </c>
      <c r="L6140" t="n">
        <v>0</v>
      </c>
      <c r="M6140" t="n">
        <v>0</v>
      </c>
      <c r="N6140" t="n">
        <v>0</v>
      </c>
      <c r="O6140" t="n">
        <v>0</v>
      </c>
      <c r="P6140" t="n">
        <v>0</v>
      </c>
      <c r="Q6140" t="n">
        <v>0</v>
      </c>
      <c r="R6140" s="2" t="inlineStr"/>
    </row>
    <row r="6141" ht="15" customHeight="1">
      <c r="A6141" t="inlineStr">
        <is>
          <t>A 37823-2025</t>
        </is>
      </c>
      <c r="B6141" s="1" t="n">
        <v>45881.40667824074</v>
      </c>
      <c r="C6141" s="1" t="n">
        <v>46075</v>
      </c>
      <c r="D6141" t="inlineStr">
        <is>
          <t>VÄSTERBOTTENS LÄN</t>
        </is>
      </c>
      <c r="E6141" t="inlineStr">
        <is>
          <t>LYCKSELE</t>
        </is>
      </c>
      <c r="F6141" t="inlineStr">
        <is>
          <t>Sveaskog</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38192-2025</t>
        </is>
      </c>
      <c r="B6142" s="1" t="n">
        <v>45882.65709490741</v>
      </c>
      <c r="C6142" s="1" t="n">
        <v>46075</v>
      </c>
      <c r="D6142" t="inlineStr">
        <is>
          <t>VÄSTERBOTTENS LÄN</t>
        </is>
      </c>
      <c r="E6142" t="inlineStr">
        <is>
          <t>UMEÅ</t>
        </is>
      </c>
      <c r="G6142" t="n">
        <v>2.5</v>
      </c>
      <c r="H6142" t="n">
        <v>0</v>
      </c>
      <c r="I6142" t="n">
        <v>0</v>
      </c>
      <c r="J6142" t="n">
        <v>0</v>
      </c>
      <c r="K6142" t="n">
        <v>0</v>
      </c>
      <c r="L6142" t="n">
        <v>0</v>
      </c>
      <c r="M6142" t="n">
        <v>0</v>
      </c>
      <c r="N6142" t="n">
        <v>0</v>
      </c>
      <c r="O6142" t="n">
        <v>0</v>
      </c>
      <c r="P6142" t="n">
        <v>0</v>
      </c>
      <c r="Q6142" t="n">
        <v>0</v>
      </c>
      <c r="R6142" s="2" t="inlineStr"/>
    </row>
    <row r="6143" ht="15" customHeight="1">
      <c r="A6143" t="inlineStr">
        <is>
          <t>A 38236-2025</t>
        </is>
      </c>
      <c r="B6143" s="1" t="n">
        <v>45883.36202546296</v>
      </c>
      <c r="C6143" s="1" t="n">
        <v>46075</v>
      </c>
      <c r="D6143" t="inlineStr">
        <is>
          <t>VÄSTERBOTTENS LÄN</t>
        </is>
      </c>
      <c r="E6143" t="inlineStr">
        <is>
          <t>UMEÅ</t>
        </is>
      </c>
      <c r="G6143" t="n">
        <v>3.6</v>
      </c>
      <c r="H6143" t="n">
        <v>0</v>
      </c>
      <c r="I6143" t="n">
        <v>0</v>
      </c>
      <c r="J6143" t="n">
        <v>0</v>
      </c>
      <c r="K6143" t="n">
        <v>0</v>
      </c>
      <c r="L6143" t="n">
        <v>0</v>
      </c>
      <c r="M6143" t="n">
        <v>0</v>
      </c>
      <c r="N6143" t="n">
        <v>0</v>
      </c>
      <c r="O6143" t="n">
        <v>0</v>
      </c>
      <c r="P6143" t="n">
        <v>0</v>
      </c>
      <c r="Q6143" t="n">
        <v>0</v>
      </c>
      <c r="R6143" s="2" t="inlineStr"/>
    </row>
    <row r="6144" ht="15" customHeight="1">
      <c r="A6144" t="inlineStr">
        <is>
          <t>A 38260-2025</t>
        </is>
      </c>
      <c r="B6144" s="1" t="n">
        <v>45883.39547453704</v>
      </c>
      <c r="C6144" s="1" t="n">
        <v>46075</v>
      </c>
      <c r="D6144" t="inlineStr">
        <is>
          <t>VÄSTERBOTTENS LÄN</t>
        </is>
      </c>
      <c r="E6144" t="inlineStr">
        <is>
          <t>NORDMALING</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54167-2022</t>
        </is>
      </c>
      <c r="B6145" s="1" t="n">
        <v>44881</v>
      </c>
      <c r="C6145" s="1" t="n">
        <v>46075</v>
      </c>
      <c r="D6145" t="inlineStr">
        <is>
          <t>VÄSTERBOTTENS LÄN</t>
        </is>
      </c>
      <c r="E6145" t="inlineStr">
        <is>
          <t>LYCKSELE</t>
        </is>
      </c>
      <c r="G6145" t="n">
        <v>11.3</v>
      </c>
      <c r="H6145" t="n">
        <v>0</v>
      </c>
      <c r="I6145" t="n">
        <v>0</v>
      </c>
      <c r="J6145" t="n">
        <v>0</v>
      </c>
      <c r="K6145" t="n">
        <v>0</v>
      </c>
      <c r="L6145" t="n">
        <v>0</v>
      </c>
      <c r="M6145" t="n">
        <v>0</v>
      </c>
      <c r="N6145" t="n">
        <v>0</v>
      </c>
      <c r="O6145" t="n">
        <v>0</v>
      </c>
      <c r="P6145" t="n">
        <v>0</v>
      </c>
      <c r="Q6145" t="n">
        <v>0</v>
      </c>
      <c r="R6145" s="2" t="inlineStr"/>
    </row>
    <row r="6146" ht="15" customHeight="1">
      <c r="A6146" t="inlineStr">
        <is>
          <t>A 5640-2025</t>
        </is>
      </c>
      <c r="B6146" s="1" t="n">
        <v>45693</v>
      </c>
      <c r="C6146" s="1" t="n">
        <v>46075</v>
      </c>
      <c r="D6146" t="inlineStr">
        <is>
          <t>VÄSTERBOTTENS LÄN</t>
        </is>
      </c>
      <c r="E6146" t="inlineStr">
        <is>
          <t>DOROTEA</t>
        </is>
      </c>
      <c r="F6146" t="inlineStr">
        <is>
          <t>SCA</t>
        </is>
      </c>
      <c r="G6146" t="n">
        <v>24.1</v>
      </c>
      <c r="H6146" t="n">
        <v>0</v>
      </c>
      <c r="I6146" t="n">
        <v>0</v>
      </c>
      <c r="J6146" t="n">
        <v>0</v>
      </c>
      <c r="K6146" t="n">
        <v>0</v>
      </c>
      <c r="L6146" t="n">
        <v>0</v>
      </c>
      <c r="M6146" t="n">
        <v>0</v>
      </c>
      <c r="N6146" t="n">
        <v>0</v>
      </c>
      <c r="O6146" t="n">
        <v>0</v>
      </c>
      <c r="P6146" t="n">
        <v>0</v>
      </c>
      <c r="Q6146" t="n">
        <v>0</v>
      </c>
      <c r="R6146" s="2" t="inlineStr"/>
    </row>
    <row r="6147" ht="15" customHeight="1">
      <c r="A6147" t="inlineStr">
        <is>
          <t>A 8709-2025</t>
        </is>
      </c>
      <c r="B6147" s="1" t="n">
        <v>45712</v>
      </c>
      <c r="C6147" s="1" t="n">
        <v>46075</v>
      </c>
      <c r="D6147" t="inlineStr">
        <is>
          <t>VÄSTERBOTTENS LÄN</t>
        </is>
      </c>
      <c r="E6147" t="inlineStr">
        <is>
          <t>DOROTEA</t>
        </is>
      </c>
      <c r="F6147" t="inlineStr">
        <is>
          <t>SCA</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58505-2024</t>
        </is>
      </c>
      <c r="B6148" s="1" t="n">
        <v>45635</v>
      </c>
      <c r="C6148" s="1" t="n">
        <v>46075</v>
      </c>
      <c r="D6148" t="inlineStr">
        <is>
          <t>VÄSTERBOTTENS LÄN</t>
        </is>
      </c>
      <c r="E6148" t="inlineStr">
        <is>
          <t>VILHELMINA</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62300-2023</t>
        </is>
      </c>
      <c r="B6149" s="1" t="n">
        <v>45266</v>
      </c>
      <c r="C6149" s="1" t="n">
        <v>46075</v>
      </c>
      <c r="D6149" t="inlineStr">
        <is>
          <t>VÄSTERBOTTENS LÄN</t>
        </is>
      </c>
      <c r="E6149" t="inlineStr">
        <is>
          <t>SKELLEFTEÅ</t>
        </is>
      </c>
      <c r="G6149" t="n">
        <v>4.3</v>
      </c>
      <c r="H6149" t="n">
        <v>0</v>
      </c>
      <c r="I6149" t="n">
        <v>0</v>
      </c>
      <c r="J6149" t="n">
        <v>0</v>
      </c>
      <c r="K6149" t="n">
        <v>0</v>
      </c>
      <c r="L6149" t="n">
        <v>0</v>
      </c>
      <c r="M6149" t="n">
        <v>0</v>
      </c>
      <c r="N6149" t="n">
        <v>0</v>
      </c>
      <c r="O6149" t="n">
        <v>0</v>
      </c>
      <c r="P6149" t="n">
        <v>0</v>
      </c>
      <c r="Q6149" t="n">
        <v>0</v>
      </c>
      <c r="R6149" s="2" t="inlineStr"/>
    </row>
    <row r="6150" ht="15" customHeight="1">
      <c r="A6150" t="inlineStr">
        <is>
          <t>A 49478-2025</t>
        </is>
      </c>
      <c r="B6150" s="1" t="n">
        <v>45939.34556712963</v>
      </c>
      <c r="C6150" s="1" t="n">
        <v>46075</v>
      </c>
      <c r="D6150" t="inlineStr">
        <is>
          <t>VÄSTERBOTTENS LÄN</t>
        </is>
      </c>
      <c r="E6150" t="inlineStr">
        <is>
          <t>SKELLEFTEÅ</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49482-2025</t>
        </is>
      </c>
      <c r="B6151" s="1" t="n">
        <v>45939.35900462963</v>
      </c>
      <c r="C6151" s="1" t="n">
        <v>46075</v>
      </c>
      <c r="D6151" t="inlineStr">
        <is>
          <t>VÄSTERBOTTENS LÄN</t>
        </is>
      </c>
      <c r="E6151" t="inlineStr">
        <is>
          <t>ÅSELE</t>
        </is>
      </c>
      <c r="F6151" t="inlineStr">
        <is>
          <t>Sveaskog</t>
        </is>
      </c>
      <c r="G6151" t="n">
        <v>2.2</v>
      </c>
      <c r="H6151" t="n">
        <v>0</v>
      </c>
      <c r="I6151" t="n">
        <v>0</v>
      </c>
      <c r="J6151" t="n">
        <v>0</v>
      </c>
      <c r="K6151" t="n">
        <v>0</v>
      </c>
      <c r="L6151" t="n">
        <v>0</v>
      </c>
      <c r="M6151" t="n">
        <v>0</v>
      </c>
      <c r="N6151" t="n">
        <v>0</v>
      </c>
      <c r="O6151" t="n">
        <v>0</v>
      </c>
      <c r="P6151" t="n">
        <v>0</v>
      </c>
      <c r="Q6151" t="n">
        <v>0</v>
      </c>
      <c r="R6151" s="2" t="inlineStr"/>
    </row>
    <row r="6152" ht="15" customHeight="1">
      <c r="A6152" t="inlineStr">
        <is>
          <t>A 54239-2022</t>
        </is>
      </c>
      <c r="B6152" s="1" t="n">
        <v>44881</v>
      </c>
      <c r="C6152" s="1" t="n">
        <v>46075</v>
      </c>
      <c r="D6152" t="inlineStr">
        <is>
          <t>VÄSTERBOTTENS LÄN</t>
        </is>
      </c>
      <c r="E6152" t="inlineStr">
        <is>
          <t>MALÅ</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49495-2025</t>
        </is>
      </c>
      <c r="B6153" s="1" t="n">
        <v>45939.36635416667</v>
      </c>
      <c r="C6153" s="1" t="n">
        <v>46075</v>
      </c>
      <c r="D6153" t="inlineStr">
        <is>
          <t>VÄSTERBOTTENS LÄN</t>
        </is>
      </c>
      <c r="E6153" t="inlineStr">
        <is>
          <t>MALÅ</t>
        </is>
      </c>
      <c r="G6153" t="n">
        <v>8.5</v>
      </c>
      <c r="H6153" t="n">
        <v>0</v>
      </c>
      <c r="I6153" t="n">
        <v>0</v>
      </c>
      <c r="J6153" t="n">
        <v>0</v>
      </c>
      <c r="K6153" t="n">
        <v>0</v>
      </c>
      <c r="L6153" t="n">
        <v>0</v>
      </c>
      <c r="M6153" t="n">
        <v>0</v>
      </c>
      <c r="N6153" t="n">
        <v>0</v>
      </c>
      <c r="O6153" t="n">
        <v>0</v>
      </c>
      <c r="P6153" t="n">
        <v>0</v>
      </c>
      <c r="Q6153" t="n">
        <v>0</v>
      </c>
      <c r="R6153" s="2" t="inlineStr"/>
    </row>
    <row r="6154" ht="15" customHeight="1">
      <c r="A6154" t="inlineStr">
        <is>
          <t>A 47472-2024</t>
        </is>
      </c>
      <c r="B6154" s="1" t="n">
        <v>45587.5741087963</v>
      </c>
      <c r="C6154" s="1" t="n">
        <v>46075</v>
      </c>
      <c r="D6154" t="inlineStr">
        <is>
          <t>VÄSTERBOTTENS LÄN</t>
        </is>
      </c>
      <c r="E6154" t="inlineStr">
        <is>
          <t>VÄNNÄS</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7871-2023</t>
        </is>
      </c>
      <c r="B6155" s="1" t="n">
        <v>44970</v>
      </c>
      <c r="C6155" s="1" t="n">
        <v>46075</v>
      </c>
      <c r="D6155" t="inlineStr">
        <is>
          <t>VÄSTERBOTTENS LÄN</t>
        </is>
      </c>
      <c r="E6155" t="inlineStr">
        <is>
          <t>VÄNNÄS</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49028-2025</t>
        </is>
      </c>
      <c r="B6156" s="1" t="n">
        <v>45937.62199074074</v>
      </c>
      <c r="C6156" s="1" t="n">
        <v>46075</v>
      </c>
      <c r="D6156" t="inlineStr">
        <is>
          <t>VÄSTERBOTTENS LÄN</t>
        </is>
      </c>
      <c r="E6156" t="inlineStr">
        <is>
          <t>ÅSELE</t>
        </is>
      </c>
      <c r="F6156" t="inlineStr">
        <is>
          <t>Holmen skog AB</t>
        </is>
      </c>
      <c r="G6156" t="n">
        <v>2.9</v>
      </c>
      <c r="H6156" t="n">
        <v>0</v>
      </c>
      <c r="I6156" t="n">
        <v>0</v>
      </c>
      <c r="J6156" t="n">
        <v>0</v>
      </c>
      <c r="K6156" t="n">
        <v>0</v>
      </c>
      <c r="L6156" t="n">
        <v>0</v>
      </c>
      <c r="M6156" t="n">
        <v>0</v>
      </c>
      <c r="N6156" t="n">
        <v>0</v>
      </c>
      <c r="O6156" t="n">
        <v>0</v>
      </c>
      <c r="P6156" t="n">
        <v>0</v>
      </c>
      <c r="Q6156" t="n">
        <v>0</v>
      </c>
      <c r="R6156" s="2" t="inlineStr"/>
    </row>
    <row r="6157" ht="15" customHeight="1">
      <c r="A6157" t="inlineStr">
        <is>
          <t>A 49657-2025</t>
        </is>
      </c>
      <c r="B6157" s="1" t="n">
        <v>45939.63013888889</v>
      </c>
      <c r="C6157" s="1" t="n">
        <v>46075</v>
      </c>
      <c r="D6157" t="inlineStr">
        <is>
          <t>VÄSTERBOTTENS LÄN</t>
        </is>
      </c>
      <c r="E6157" t="inlineStr">
        <is>
          <t>MALÅ</t>
        </is>
      </c>
      <c r="F6157" t="inlineStr">
        <is>
          <t>Sveaskog</t>
        </is>
      </c>
      <c r="G6157" t="n">
        <v>15.3</v>
      </c>
      <c r="H6157" t="n">
        <v>0</v>
      </c>
      <c r="I6157" t="n">
        <v>0</v>
      </c>
      <c r="J6157" t="n">
        <v>0</v>
      </c>
      <c r="K6157" t="n">
        <v>0</v>
      </c>
      <c r="L6157" t="n">
        <v>0</v>
      </c>
      <c r="M6157" t="n">
        <v>0</v>
      </c>
      <c r="N6157" t="n">
        <v>0</v>
      </c>
      <c r="O6157" t="n">
        <v>0</v>
      </c>
      <c r="P6157" t="n">
        <v>0</v>
      </c>
      <c r="Q6157" t="n">
        <v>0</v>
      </c>
      <c r="R6157" s="2" t="inlineStr"/>
    </row>
    <row r="6158" ht="15" customHeight="1">
      <c r="A6158" t="inlineStr">
        <is>
          <t>A 25626-2023</t>
        </is>
      </c>
      <c r="B6158" s="1" t="n">
        <v>45084</v>
      </c>
      <c r="C6158" s="1" t="n">
        <v>46075</v>
      </c>
      <c r="D6158" t="inlineStr">
        <is>
          <t>VÄSTERBOTTENS LÄN</t>
        </is>
      </c>
      <c r="E6158" t="inlineStr">
        <is>
          <t>SKELLEFTEÅ</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37210-2024</t>
        </is>
      </c>
      <c r="B6159" s="1" t="n">
        <v>45539</v>
      </c>
      <c r="C6159" s="1" t="n">
        <v>46075</v>
      </c>
      <c r="D6159" t="inlineStr">
        <is>
          <t>VÄSTERBOTTENS LÄN</t>
        </is>
      </c>
      <c r="E6159" t="inlineStr">
        <is>
          <t>VINDELN</t>
        </is>
      </c>
      <c r="G6159" t="n">
        <v>4.4</v>
      </c>
      <c r="H6159" t="n">
        <v>0</v>
      </c>
      <c r="I6159" t="n">
        <v>0</v>
      </c>
      <c r="J6159" t="n">
        <v>0</v>
      </c>
      <c r="K6159" t="n">
        <v>0</v>
      </c>
      <c r="L6159" t="n">
        <v>0</v>
      </c>
      <c r="M6159" t="n">
        <v>0</v>
      </c>
      <c r="N6159" t="n">
        <v>0</v>
      </c>
      <c r="O6159" t="n">
        <v>0</v>
      </c>
      <c r="P6159" t="n">
        <v>0</v>
      </c>
      <c r="Q6159" t="n">
        <v>0</v>
      </c>
      <c r="R6159" s="2" t="inlineStr"/>
    </row>
    <row r="6160" ht="15" customHeight="1">
      <c r="A6160" t="inlineStr">
        <is>
          <t>A 43367-2022</t>
        </is>
      </c>
      <c r="B6160" s="1" t="n">
        <v>44834.64829861111</v>
      </c>
      <c r="C6160" s="1" t="n">
        <v>46075</v>
      </c>
      <c r="D6160" t="inlineStr">
        <is>
          <t>VÄSTERBOTTENS LÄN</t>
        </is>
      </c>
      <c r="E6160" t="inlineStr">
        <is>
          <t>NORDMALING</t>
        </is>
      </c>
      <c r="F6160" t="inlineStr">
        <is>
          <t>Holmen skog AB</t>
        </is>
      </c>
      <c r="G6160" t="n">
        <v>3.8</v>
      </c>
      <c r="H6160" t="n">
        <v>0</v>
      </c>
      <c r="I6160" t="n">
        <v>0</v>
      </c>
      <c r="J6160" t="n">
        <v>0</v>
      </c>
      <c r="K6160" t="n">
        <v>0</v>
      </c>
      <c r="L6160" t="n">
        <v>0</v>
      </c>
      <c r="M6160" t="n">
        <v>0</v>
      </c>
      <c r="N6160" t="n">
        <v>0</v>
      </c>
      <c r="O6160" t="n">
        <v>0</v>
      </c>
      <c r="P6160" t="n">
        <v>0</v>
      </c>
      <c r="Q6160" t="n">
        <v>0</v>
      </c>
      <c r="R6160" s="2" t="inlineStr"/>
    </row>
    <row r="6161" ht="15" customHeight="1">
      <c r="A6161" t="inlineStr">
        <is>
          <t>A 37717-2024</t>
        </is>
      </c>
      <c r="B6161" s="1" t="n">
        <v>45541</v>
      </c>
      <c r="C6161" s="1" t="n">
        <v>46075</v>
      </c>
      <c r="D6161" t="inlineStr">
        <is>
          <t>VÄSTERBOTTENS LÄN</t>
        </is>
      </c>
      <c r="E6161" t="inlineStr">
        <is>
          <t>VILHELMINA</t>
        </is>
      </c>
      <c r="F6161" t="inlineStr">
        <is>
          <t>SCA</t>
        </is>
      </c>
      <c r="G6161" t="n">
        <v>1.8</v>
      </c>
      <c r="H6161" t="n">
        <v>0</v>
      </c>
      <c r="I6161" t="n">
        <v>0</v>
      </c>
      <c r="J6161" t="n">
        <v>0</v>
      </c>
      <c r="K6161" t="n">
        <v>0</v>
      </c>
      <c r="L6161" t="n">
        <v>0</v>
      </c>
      <c r="M6161" t="n">
        <v>0</v>
      </c>
      <c r="N6161" t="n">
        <v>0</v>
      </c>
      <c r="O6161" t="n">
        <v>0</v>
      </c>
      <c r="P6161" t="n">
        <v>0</v>
      </c>
      <c r="Q6161" t="n">
        <v>0</v>
      </c>
      <c r="R6161" s="2" t="inlineStr"/>
    </row>
    <row r="6162" ht="15" customHeight="1">
      <c r="A6162" t="inlineStr">
        <is>
          <t>A 49174-2025</t>
        </is>
      </c>
      <c r="B6162" s="1" t="n">
        <v>45938.37679398148</v>
      </c>
      <c r="C6162" s="1" t="n">
        <v>46075</v>
      </c>
      <c r="D6162" t="inlineStr">
        <is>
          <t>VÄSTERBOTTENS LÄN</t>
        </is>
      </c>
      <c r="E6162" t="inlineStr">
        <is>
          <t>ÅSELE</t>
        </is>
      </c>
      <c r="F6162" t="inlineStr">
        <is>
          <t>Holmen skog AB</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11527-2024</t>
        </is>
      </c>
      <c r="B6163" s="1" t="n">
        <v>45372</v>
      </c>
      <c r="C6163" s="1" t="n">
        <v>46075</v>
      </c>
      <c r="D6163" t="inlineStr">
        <is>
          <t>VÄSTERBOTTENS LÄN</t>
        </is>
      </c>
      <c r="E6163" t="inlineStr">
        <is>
          <t>SKELLEFTEÅ</t>
        </is>
      </c>
      <c r="G6163" t="n">
        <v>3.3</v>
      </c>
      <c r="H6163" t="n">
        <v>0</v>
      </c>
      <c r="I6163" t="n">
        <v>0</v>
      </c>
      <c r="J6163" t="n">
        <v>0</v>
      </c>
      <c r="K6163" t="n">
        <v>0</v>
      </c>
      <c r="L6163" t="n">
        <v>0</v>
      </c>
      <c r="M6163" t="n">
        <v>0</v>
      </c>
      <c r="N6163" t="n">
        <v>0</v>
      </c>
      <c r="O6163" t="n">
        <v>0</v>
      </c>
      <c r="P6163" t="n">
        <v>0</v>
      </c>
      <c r="Q6163" t="n">
        <v>0</v>
      </c>
      <c r="R6163" s="2" t="inlineStr"/>
    </row>
    <row r="6164" ht="15" customHeight="1">
      <c r="A6164" t="inlineStr">
        <is>
          <t>A 29449-2024</t>
        </is>
      </c>
      <c r="B6164" s="1" t="n">
        <v>45483.93377314815</v>
      </c>
      <c r="C6164" s="1" t="n">
        <v>46075</v>
      </c>
      <c r="D6164" t="inlineStr">
        <is>
          <t>VÄSTERBOTTENS LÄN</t>
        </is>
      </c>
      <c r="E6164" t="inlineStr">
        <is>
          <t>LYCKSELE</t>
        </is>
      </c>
      <c r="G6164" t="n">
        <v>3.2</v>
      </c>
      <c r="H6164" t="n">
        <v>0</v>
      </c>
      <c r="I6164" t="n">
        <v>0</v>
      </c>
      <c r="J6164" t="n">
        <v>0</v>
      </c>
      <c r="K6164" t="n">
        <v>0</v>
      </c>
      <c r="L6164" t="n">
        <v>0</v>
      </c>
      <c r="M6164" t="n">
        <v>0</v>
      </c>
      <c r="N6164" t="n">
        <v>0</v>
      </c>
      <c r="O6164" t="n">
        <v>0</v>
      </c>
      <c r="P6164" t="n">
        <v>0</v>
      </c>
      <c r="Q6164" t="n">
        <v>0</v>
      </c>
      <c r="R6164" s="2" t="inlineStr"/>
    </row>
    <row r="6165" ht="15" customHeight="1">
      <c r="A6165" t="inlineStr">
        <is>
          <t>A 29454-2024</t>
        </is>
      </c>
      <c r="B6165" s="1" t="n">
        <v>45483.96839120371</v>
      </c>
      <c r="C6165" s="1" t="n">
        <v>46075</v>
      </c>
      <c r="D6165" t="inlineStr">
        <is>
          <t>VÄSTERBOTTENS LÄN</t>
        </is>
      </c>
      <c r="E6165" t="inlineStr">
        <is>
          <t>DOROTEA</t>
        </is>
      </c>
      <c r="F6165" t="inlineStr">
        <is>
          <t>SCA</t>
        </is>
      </c>
      <c r="G6165" t="n">
        <v>12.4</v>
      </c>
      <c r="H6165" t="n">
        <v>0</v>
      </c>
      <c r="I6165" t="n">
        <v>0</v>
      </c>
      <c r="J6165" t="n">
        <v>0</v>
      </c>
      <c r="K6165" t="n">
        <v>0</v>
      </c>
      <c r="L6165" t="n">
        <v>0</v>
      </c>
      <c r="M6165" t="n">
        <v>0</v>
      </c>
      <c r="N6165" t="n">
        <v>0</v>
      </c>
      <c r="O6165" t="n">
        <v>0</v>
      </c>
      <c r="P6165" t="n">
        <v>0</v>
      </c>
      <c r="Q6165" t="n">
        <v>0</v>
      </c>
      <c r="R6165" s="2" t="inlineStr"/>
    </row>
    <row r="6166" ht="15" customHeight="1">
      <c r="A6166" t="inlineStr">
        <is>
          <t>A 48786-2025</t>
        </is>
      </c>
      <c r="B6166" s="1" t="n">
        <v>45937.31471064815</v>
      </c>
      <c r="C6166" s="1" t="n">
        <v>46075</v>
      </c>
      <c r="D6166" t="inlineStr">
        <is>
          <t>VÄSTERBOTTENS LÄN</t>
        </is>
      </c>
      <c r="E6166" t="inlineStr">
        <is>
          <t>ÅSELE</t>
        </is>
      </c>
      <c r="F6166" t="inlineStr">
        <is>
          <t>Holmen skog AB</t>
        </is>
      </c>
      <c r="G6166" t="n">
        <v>3</v>
      </c>
      <c r="H6166" t="n">
        <v>0</v>
      </c>
      <c r="I6166" t="n">
        <v>0</v>
      </c>
      <c r="J6166" t="n">
        <v>0</v>
      </c>
      <c r="K6166" t="n">
        <v>0</v>
      </c>
      <c r="L6166" t="n">
        <v>0</v>
      </c>
      <c r="M6166" t="n">
        <v>0</v>
      </c>
      <c r="N6166" t="n">
        <v>0</v>
      </c>
      <c r="O6166" t="n">
        <v>0</v>
      </c>
      <c r="P6166" t="n">
        <v>0</v>
      </c>
      <c r="Q6166" t="n">
        <v>0</v>
      </c>
      <c r="R6166" s="2" t="inlineStr"/>
    </row>
    <row r="6167" ht="15" customHeight="1">
      <c r="A6167" t="inlineStr">
        <is>
          <t>A 32145-2024</t>
        </is>
      </c>
      <c r="B6167" s="1" t="n">
        <v>45511.55541666667</v>
      </c>
      <c r="C6167" s="1" t="n">
        <v>46075</v>
      </c>
      <c r="D6167" t="inlineStr">
        <is>
          <t>VÄSTERBOTTENS LÄN</t>
        </is>
      </c>
      <c r="E6167" t="inlineStr">
        <is>
          <t>VINDELN</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49519-2025</t>
        </is>
      </c>
      <c r="B6168" s="1" t="n">
        <v>45939.39155092592</v>
      </c>
      <c r="C6168" s="1" t="n">
        <v>46075</v>
      </c>
      <c r="D6168" t="inlineStr">
        <is>
          <t>VÄSTERBOTTENS LÄN</t>
        </is>
      </c>
      <c r="E6168" t="inlineStr">
        <is>
          <t>UMEÅ</t>
        </is>
      </c>
      <c r="G6168" t="n">
        <v>2.9</v>
      </c>
      <c r="H6168" t="n">
        <v>0</v>
      </c>
      <c r="I6168" t="n">
        <v>0</v>
      </c>
      <c r="J6168" t="n">
        <v>0</v>
      </c>
      <c r="K6168" t="n">
        <v>0</v>
      </c>
      <c r="L6168" t="n">
        <v>0</v>
      </c>
      <c r="M6168" t="n">
        <v>0</v>
      </c>
      <c r="N6168" t="n">
        <v>0</v>
      </c>
      <c r="O6168" t="n">
        <v>0</v>
      </c>
      <c r="P6168" t="n">
        <v>0</v>
      </c>
      <c r="Q6168" t="n">
        <v>0</v>
      </c>
      <c r="R6168" s="2" t="inlineStr"/>
    </row>
    <row r="6169" ht="15" customHeight="1">
      <c r="A6169" t="inlineStr">
        <is>
          <t>A 41076-2022</t>
        </is>
      </c>
      <c r="B6169" s="1" t="n">
        <v>44825</v>
      </c>
      <c r="C6169" s="1" t="n">
        <v>46075</v>
      </c>
      <c r="D6169" t="inlineStr">
        <is>
          <t>VÄSTERBOTTENS LÄN</t>
        </is>
      </c>
      <c r="E6169" t="inlineStr">
        <is>
          <t>VINDELN</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17591-2025</t>
        </is>
      </c>
      <c r="B6170" s="1" t="n">
        <v>45757.69819444444</v>
      </c>
      <c r="C6170" s="1" t="n">
        <v>46075</v>
      </c>
      <c r="D6170" t="inlineStr">
        <is>
          <t>VÄSTERBOTTENS LÄN</t>
        </is>
      </c>
      <c r="E6170" t="inlineStr">
        <is>
          <t>DOROTEA</t>
        </is>
      </c>
      <c r="F6170" t="inlineStr">
        <is>
          <t>SCA</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49227-2025</t>
        </is>
      </c>
      <c r="B6171" s="1" t="n">
        <v>45938.46792824074</v>
      </c>
      <c r="C6171" s="1" t="n">
        <v>46075</v>
      </c>
      <c r="D6171" t="inlineStr">
        <is>
          <t>VÄSTERBOTTENS LÄN</t>
        </is>
      </c>
      <c r="E6171" t="inlineStr">
        <is>
          <t>VINDELN</t>
        </is>
      </c>
      <c r="F6171" t="inlineStr">
        <is>
          <t>Sveaskog</t>
        </is>
      </c>
      <c r="G6171" t="n">
        <v>25.3</v>
      </c>
      <c r="H6171" t="n">
        <v>0</v>
      </c>
      <c r="I6171" t="n">
        <v>0</v>
      </c>
      <c r="J6171" t="n">
        <v>0</v>
      </c>
      <c r="K6171" t="n">
        <v>0</v>
      </c>
      <c r="L6171" t="n">
        <v>0</v>
      </c>
      <c r="M6171" t="n">
        <v>0</v>
      </c>
      <c r="N6171" t="n">
        <v>0</v>
      </c>
      <c r="O6171" t="n">
        <v>0</v>
      </c>
      <c r="P6171" t="n">
        <v>0</v>
      </c>
      <c r="Q6171" t="n">
        <v>0</v>
      </c>
      <c r="R6171" s="2" t="inlineStr"/>
    </row>
    <row r="6172" ht="15" customHeight="1">
      <c r="A6172" t="inlineStr">
        <is>
          <t>A 37172-2023</t>
        </is>
      </c>
      <c r="B6172" s="1" t="n">
        <v>45154</v>
      </c>
      <c r="C6172" s="1" t="n">
        <v>46075</v>
      </c>
      <c r="D6172" t="inlineStr">
        <is>
          <t>VÄSTERBOTTENS LÄN</t>
        </is>
      </c>
      <c r="E6172" t="inlineStr">
        <is>
          <t>MALÅ</t>
        </is>
      </c>
      <c r="G6172" t="n">
        <v>73.7</v>
      </c>
      <c r="H6172" t="n">
        <v>0</v>
      </c>
      <c r="I6172" t="n">
        <v>0</v>
      </c>
      <c r="J6172" t="n">
        <v>0</v>
      </c>
      <c r="K6172" t="n">
        <v>0</v>
      </c>
      <c r="L6172" t="n">
        <v>0</v>
      </c>
      <c r="M6172" t="n">
        <v>0</v>
      </c>
      <c r="N6172" t="n">
        <v>0</v>
      </c>
      <c r="O6172" t="n">
        <v>0</v>
      </c>
      <c r="P6172" t="n">
        <v>0</v>
      </c>
      <c r="Q6172" t="n">
        <v>0</v>
      </c>
      <c r="R6172" s="2" t="inlineStr"/>
    </row>
    <row r="6173" ht="15" customHeight="1">
      <c r="A6173" t="inlineStr">
        <is>
          <t>A 49280-2025</t>
        </is>
      </c>
      <c r="B6173" s="1" t="n">
        <v>45938.51097222222</v>
      </c>
      <c r="C6173" s="1" t="n">
        <v>46075</v>
      </c>
      <c r="D6173" t="inlineStr">
        <is>
          <t>VÄSTERBOTTENS LÄN</t>
        </is>
      </c>
      <c r="E6173" t="inlineStr">
        <is>
          <t>NORDMALING</t>
        </is>
      </c>
      <c r="G6173" t="n">
        <v>5.1</v>
      </c>
      <c r="H6173" t="n">
        <v>0</v>
      </c>
      <c r="I6173" t="n">
        <v>0</v>
      </c>
      <c r="J6173" t="n">
        <v>0</v>
      </c>
      <c r="K6173" t="n">
        <v>0</v>
      </c>
      <c r="L6173" t="n">
        <v>0</v>
      </c>
      <c r="M6173" t="n">
        <v>0</v>
      </c>
      <c r="N6173" t="n">
        <v>0</v>
      </c>
      <c r="O6173" t="n">
        <v>0</v>
      </c>
      <c r="P6173" t="n">
        <v>0</v>
      </c>
      <c r="Q6173" t="n">
        <v>0</v>
      </c>
      <c r="R6173" s="2" t="inlineStr"/>
    </row>
    <row r="6174" ht="15" customHeight="1">
      <c r="A6174" t="inlineStr">
        <is>
          <t>A 49382-2025</t>
        </is>
      </c>
      <c r="B6174" s="1" t="n">
        <v>45938.63704861111</v>
      </c>
      <c r="C6174" s="1" t="n">
        <v>46075</v>
      </c>
      <c r="D6174" t="inlineStr">
        <is>
          <t>VÄSTERBOTTENS LÄN</t>
        </is>
      </c>
      <c r="E6174" t="inlineStr">
        <is>
          <t>BJURHOLM</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49312-2025</t>
        </is>
      </c>
      <c r="B6175" s="1" t="n">
        <v>45938.56427083333</v>
      </c>
      <c r="C6175" s="1" t="n">
        <v>46075</v>
      </c>
      <c r="D6175" t="inlineStr">
        <is>
          <t>VÄSTERBOTTENS LÄN</t>
        </is>
      </c>
      <c r="E6175" t="inlineStr">
        <is>
          <t>UMEÅ</t>
        </is>
      </c>
      <c r="F6175" t="inlineStr">
        <is>
          <t>Sveaskog</t>
        </is>
      </c>
      <c r="G6175" t="n">
        <v>30.6</v>
      </c>
      <c r="H6175" t="n">
        <v>0</v>
      </c>
      <c r="I6175" t="n">
        <v>0</v>
      </c>
      <c r="J6175" t="n">
        <v>0</v>
      </c>
      <c r="K6175" t="n">
        <v>0</v>
      </c>
      <c r="L6175" t="n">
        <v>0</v>
      </c>
      <c r="M6175" t="n">
        <v>0</v>
      </c>
      <c r="N6175" t="n">
        <v>0</v>
      </c>
      <c r="O6175" t="n">
        <v>0</v>
      </c>
      <c r="P6175" t="n">
        <v>0</v>
      </c>
      <c r="Q6175" t="n">
        <v>0</v>
      </c>
      <c r="R6175" s="2" t="inlineStr"/>
    </row>
    <row r="6176" ht="15" customHeight="1">
      <c r="A6176" t="inlineStr">
        <is>
          <t>A 49182-2025</t>
        </is>
      </c>
      <c r="B6176" s="1" t="n">
        <v>45938.38820601852</v>
      </c>
      <c r="C6176" s="1" t="n">
        <v>46075</v>
      </c>
      <c r="D6176" t="inlineStr">
        <is>
          <t>VÄSTERBOTTENS LÄN</t>
        </is>
      </c>
      <c r="E6176" t="inlineStr">
        <is>
          <t>UMEÅ</t>
        </is>
      </c>
      <c r="F6176" t="inlineStr">
        <is>
          <t>Holmen skog AB</t>
        </is>
      </c>
      <c r="G6176" t="n">
        <v>7.2</v>
      </c>
      <c r="H6176" t="n">
        <v>0</v>
      </c>
      <c r="I6176" t="n">
        <v>0</v>
      </c>
      <c r="J6176" t="n">
        <v>0</v>
      </c>
      <c r="K6176" t="n">
        <v>0</v>
      </c>
      <c r="L6176" t="n">
        <v>0</v>
      </c>
      <c r="M6176" t="n">
        <v>0</v>
      </c>
      <c r="N6176" t="n">
        <v>0</v>
      </c>
      <c r="O6176" t="n">
        <v>0</v>
      </c>
      <c r="P6176" t="n">
        <v>0</v>
      </c>
      <c r="Q6176" t="n">
        <v>0</v>
      </c>
      <c r="R6176" s="2" t="inlineStr"/>
    </row>
    <row r="6177" ht="15" customHeight="1">
      <c r="A6177" t="inlineStr">
        <is>
          <t>A 38960-2025</t>
        </is>
      </c>
      <c r="B6177" s="1" t="n">
        <v>45887.67797453704</v>
      </c>
      <c r="C6177" s="1" t="n">
        <v>46075</v>
      </c>
      <c r="D6177" t="inlineStr">
        <is>
          <t>VÄSTERBOTTENS LÄN</t>
        </is>
      </c>
      <c r="E6177" t="inlineStr">
        <is>
          <t>LYCKSELE</t>
        </is>
      </c>
      <c r="F6177" t="inlineStr">
        <is>
          <t>SCA</t>
        </is>
      </c>
      <c r="G6177" t="n">
        <v>3.6</v>
      </c>
      <c r="H6177" t="n">
        <v>0</v>
      </c>
      <c r="I6177" t="n">
        <v>0</v>
      </c>
      <c r="J6177" t="n">
        <v>0</v>
      </c>
      <c r="K6177" t="n">
        <v>0</v>
      </c>
      <c r="L6177" t="n">
        <v>0</v>
      </c>
      <c r="M6177" t="n">
        <v>0</v>
      </c>
      <c r="N6177" t="n">
        <v>0</v>
      </c>
      <c r="O6177" t="n">
        <v>0</v>
      </c>
      <c r="P6177" t="n">
        <v>0</v>
      </c>
      <c r="Q6177" t="n">
        <v>0</v>
      </c>
      <c r="R6177" s="2" t="inlineStr"/>
    </row>
    <row r="6178" ht="15" customHeight="1">
      <c r="A6178" t="inlineStr">
        <is>
          <t>A 49661-2025</t>
        </is>
      </c>
      <c r="B6178" s="1" t="n">
        <v>45939.63412037037</v>
      </c>
      <c r="C6178" s="1" t="n">
        <v>46075</v>
      </c>
      <c r="D6178" t="inlineStr">
        <is>
          <t>VÄSTERBOTTENS LÄN</t>
        </is>
      </c>
      <c r="E6178" t="inlineStr">
        <is>
          <t>MALÅ</t>
        </is>
      </c>
      <c r="F6178" t="inlineStr">
        <is>
          <t>Sveaskog</t>
        </is>
      </c>
      <c r="G6178" t="n">
        <v>16.7</v>
      </c>
      <c r="H6178" t="n">
        <v>0</v>
      </c>
      <c r="I6178" t="n">
        <v>0</v>
      </c>
      <c r="J6178" t="n">
        <v>0</v>
      </c>
      <c r="K6178" t="n">
        <v>0</v>
      </c>
      <c r="L6178" t="n">
        <v>0</v>
      </c>
      <c r="M6178" t="n">
        <v>0</v>
      </c>
      <c r="N6178" t="n">
        <v>0</v>
      </c>
      <c r="O6178" t="n">
        <v>0</v>
      </c>
      <c r="P6178" t="n">
        <v>0</v>
      </c>
      <c r="Q6178" t="n">
        <v>0</v>
      </c>
      <c r="R6178" s="2" t="inlineStr"/>
    </row>
    <row r="6179" ht="15" customHeight="1">
      <c r="A6179" t="inlineStr">
        <is>
          <t>A 49680-2025</t>
        </is>
      </c>
      <c r="B6179" s="1" t="n">
        <v>45939.65079861111</v>
      </c>
      <c r="C6179" s="1" t="n">
        <v>46075</v>
      </c>
      <c r="D6179" t="inlineStr">
        <is>
          <t>VÄSTERBOTTENS LÄN</t>
        </is>
      </c>
      <c r="E6179" t="inlineStr">
        <is>
          <t>VILHELMINA</t>
        </is>
      </c>
      <c r="F6179" t="inlineStr">
        <is>
          <t>Sveaskog</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49683-2025</t>
        </is>
      </c>
      <c r="B6180" s="1" t="n">
        <v>45939.65457175926</v>
      </c>
      <c r="C6180" s="1" t="n">
        <v>46075</v>
      </c>
      <c r="D6180" t="inlineStr">
        <is>
          <t>VÄSTERBOTTENS LÄN</t>
        </is>
      </c>
      <c r="E6180" t="inlineStr">
        <is>
          <t>SKELLEFTEÅ</t>
        </is>
      </c>
      <c r="F6180" t="inlineStr">
        <is>
          <t>Holmen skog AB</t>
        </is>
      </c>
      <c r="G6180" t="n">
        <v>8.1</v>
      </c>
      <c r="H6180" t="n">
        <v>0</v>
      </c>
      <c r="I6180" t="n">
        <v>0</v>
      </c>
      <c r="J6180" t="n">
        <v>0</v>
      </c>
      <c r="K6180" t="n">
        <v>0</v>
      </c>
      <c r="L6180" t="n">
        <v>0</v>
      </c>
      <c r="M6180" t="n">
        <v>0</v>
      </c>
      <c r="N6180" t="n">
        <v>0</v>
      </c>
      <c r="O6180" t="n">
        <v>0</v>
      </c>
      <c r="P6180" t="n">
        <v>0</v>
      </c>
      <c r="Q6180" t="n">
        <v>0</v>
      </c>
      <c r="R6180" s="2" t="inlineStr"/>
    </row>
    <row r="6181" ht="15" customHeight="1">
      <c r="A6181" t="inlineStr">
        <is>
          <t>A 13529-2023</t>
        </is>
      </c>
      <c r="B6181" s="1" t="n">
        <v>45005</v>
      </c>
      <c r="C6181" s="1" t="n">
        <v>46075</v>
      </c>
      <c r="D6181" t="inlineStr">
        <is>
          <t>VÄSTERBOTTENS LÄN</t>
        </is>
      </c>
      <c r="E6181" t="inlineStr">
        <is>
          <t>ROBERTSFORS</t>
        </is>
      </c>
      <c r="G6181" t="n">
        <v>3.2</v>
      </c>
      <c r="H6181" t="n">
        <v>0</v>
      </c>
      <c r="I6181" t="n">
        <v>0</v>
      </c>
      <c r="J6181" t="n">
        <v>0</v>
      </c>
      <c r="K6181" t="n">
        <v>0</v>
      </c>
      <c r="L6181" t="n">
        <v>0</v>
      </c>
      <c r="M6181" t="n">
        <v>0</v>
      </c>
      <c r="N6181" t="n">
        <v>0</v>
      </c>
      <c r="O6181" t="n">
        <v>0</v>
      </c>
      <c r="P6181" t="n">
        <v>0</v>
      </c>
      <c r="Q6181" t="n">
        <v>0</v>
      </c>
      <c r="R6181" s="2" t="inlineStr"/>
    </row>
    <row r="6182" ht="15" customHeight="1">
      <c r="A6182" t="inlineStr">
        <is>
          <t>A 29645-2023</t>
        </is>
      </c>
      <c r="B6182" s="1" t="n">
        <v>45098</v>
      </c>
      <c r="C6182" s="1" t="n">
        <v>46075</v>
      </c>
      <c r="D6182" t="inlineStr">
        <is>
          <t>VÄSTERBOTTENS LÄN</t>
        </is>
      </c>
      <c r="E6182" t="inlineStr">
        <is>
          <t>DOROTEA</t>
        </is>
      </c>
      <c r="G6182" t="n">
        <v>0.4</v>
      </c>
      <c r="H6182" t="n">
        <v>0</v>
      </c>
      <c r="I6182" t="n">
        <v>0</v>
      </c>
      <c r="J6182" t="n">
        <v>0</v>
      </c>
      <c r="K6182" t="n">
        <v>0</v>
      </c>
      <c r="L6182" t="n">
        <v>0</v>
      </c>
      <c r="M6182" t="n">
        <v>0</v>
      </c>
      <c r="N6182" t="n">
        <v>0</v>
      </c>
      <c r="O6182" t="n">
        <v>0</v>
      </c>
      <c r="P6182" t="n">
        <v>0</v>
      </c>
      <c r="Q6182" t="n">
        <v>0</v>
      </c>
      <c r="R6182" s="2" t="inlineStr"/>
    </row>
    <row r="6183" ht="15" customHeight="1">
      <c r="A6183" t="inlineStr">
        <is>
          <t>A 49686-2025</t>
        </is>
      </c>
      <c r="B6183" s="1" t="n">
        <v>45939</v>
      </c>
      <c r="C6183" s="1" t="n">
        <v>46075</v>
      </c>
      <c r="D6183" t="inlineStr">
        <is>
          <t>VÄSTERBOTTENS LÄN</t>
        </is>
      </c>
      <c r="E6183" t="inlineStr">
        <is>
          <t>LYCKSELE</t>
        </is>
      </c>
      <c r="G6183" t="n">
        <v>11.6</v>
      </c>
      <c r="H6183" t="n">
        <v>0</v>
      </c>
      <c r="I6183" t="n">
        <v>0</v>
      </c>
      <c r="J6183" t="n">
        <v>0</v>
      </c>
      <c r="K6183" t="n">
        <v>0</v>
      </c>
      <c r="L6183" t="n">
        <v>0</v>
      </c>
      <c r="M6183" t="n">
        <v>0</v>
      </c>
      <c r="N6183" t="n">
        <v>0</v>
      </c>
      <c r="O6183" t="n">
        <v>0</v>
      </c>
      <c r="P6183" t="n">
        <v>0</v>
      </c>
      <c r="Q6183" t="n">
        <v>0</v>
      </c>
      <c r="R6183" s="2" t="inlineStr"/>
    </row>
    <row r="6184" ht="15" customHeight="1">
      <c r="A6184" t="inlineStr">
        <is>
          <t>A 13641-2023</t>
        </is>
      </c>
      <c r="B6184" s="1" t="n">
        <v>45006</v>
      </c>
      <c r="C6184" s="1" t="n">
        <v>46075</v>
      </c>
      <c r="D6184" t="inlineStr">
        <is>
          <t>VÄSTERBOTTENS LÄN</t>
        </is>
      </c>
      <c r="E6184" t="inlineStr">
        <is>
          <t>SKELLEFTEÅ</t>
        </is>
      </c>
      <c r="G6184" t="n">
        <v>6.2</v>
      </c>
      <c r="H6184" t="n">
        <v>0</v>
      </c>
      <c r="I6184" t="n">
        <v>0</v>
      </c>
      <c r="J6184" t="n">
        <v>0</v>
      </c>
      <c r="K6184" t="n">
        <v>0</v>
      </c>
      <c r="L6184" t="n">
        <v>0</v>
      </c>
      <c r="M6184" t="n">
        <v>0</v>
      </c>
      <c r="N6184" t="n">
        <v>0</v>
      </c>
      <c r="O6184" t="n">
        <v>0</v>
      </c>
      <c r="P6184" t="n">
        <v>0</v>
      </c>
      <c r="Q6184" t="n">
        <v>0</v>
      </c>
      <c r="R6184" s="2" t="inlineStr"/>
    </row>
    <row r="6185" ht="15" customHeight="1">
      <c r="A6185" t="inlineStr">
        <is>
          <t>A 49202-2025</t>
        </is>
      </c>
      <c r="B6185" s="1" t="n">
        <v>45938.41855324074</v>
      </c>
      <c r="C6185" s="1" t="n">
        <v>46075</v>
      </c>
      <c r="D6185" t="inlineStr">
        <is>
          <t>VÄSTERBOTTENS LÄN</t>
        </is>
      </c>
      <c r="E6185" t="inlineStr">
        <is>
          <t>MALÅ</t>
        </is>
      </c>
      <c r="F6185" t="inlineStr">
        <is>
          <t>Sveaskog</t>
        </is>
      </c>
      <c r="G6185" t="n">
        <v>7.5</v>
      </c>
      <c r="H6185" t="n">
        <v>0</v>
      </c>
      <c r="I6185" t="n">
        <v>0</v>
      </c>
      <c r="J6185" t="n">
        <v>0</v>
      </c>
      <c r="K6185" t="n">
        <v>0</v>
      </c>
      <c r="L6185" t="n">
        <v>0</v>
      </c>
      <c r="M6185" t="n">
        <v>0</v>
      </c>
      <c r="N6185" t="n">
        <v>0</v>
      </c>
      <c r="O6185" t="n">
        <v>0</v>
      </c>
      <c r="P6185" t="n">
        <v>0</v>
      </c>
      <c r="Q6185" t="n">
        <v>0</v>
      </c>
      <c r="R6185" s="2" t="inlineStr"/>
    </row>
    <row r="6186" ht="15" customHeight="1">
      <c r="A6186" t="inlineStr">
        <is>
          <t>A 48976-2025</t>
        </is>
      </c>
      <c r="B6186" s="1" t="n">
        <v>45937.56901620371</v>
      </c>
      <c r="C6186" s="1" t="n">
        <v>46075</v>
      </c>
      <c r="D6186" t="inlineStr">
        <is>
          <t>VÄSTERBOTTENS LÄN</t>
        </is>
      </c>
      <c r="E6186" t="inlineStr">
        <is>
          <t>MALÅ</t>
        </is>
      </c>
      <c r="F6186" t="inlineStr">
        <is>
          <t>Sveaskog</t>
        </is>
      </c>
      <c r="G6186" t="n">
        <v>2.2</v>
      </c>
      <c r="H6186" t="n">
        <v>0</v>
      </c>
      <c r="I6186" t="n">
        <v>0</v>
      </c>
      <c r="J6186" t="n">
        <v>0</v>
      </c>
      <c r="K6186" t="n">
        <v>0</v>
      </c>
      <c r="L6186" t="n">
        <v>0</v>
      </c>
      <c r="M6186" t="n">
        <v>0</v>
      </c>
      <c r="N6186" t="n">
        <v>0</v>
      </c>
      <c r="O6186" t="n">
        <v>0</v>
      </c>
      <c r="P6186" t="n">
        <v>0</v>
      </c>
      <c r="Q6186" t="n">
        <v>0</v>
      </c>
      <c r="R6186" s="2" t="inlineStr"/>
    </row>
    <row r="6187" ht="15" customHeight="1">
      <c r="A6187" t="inlineStr">
        <is>
          <t>A 48983-2025</t>
        </is>
      </c>
      <c r="B6187" s="1" t="n">
        <v>45937.5740162037</v>
      </c>
      <c r="C6187" s="1" t="n">
        <v>46075</v>
      </c>
      <c r="D6187" t="inlineStr">
        <is>
          <t>VÄSTERBOTTENS LÄN</t>
        </is>
      </c>
      <c r="E6187" t="inlineStr">
        <is>
          <t>MALÅ</t>
        </is>
      </c>
      <c r="F6187" t="inlineStr">
        <is>
          <t>SCA</t>
        </is>
      </c>
      <c r="G6187" t="n">
        <v>11.7</v>
      </c>
      <c r="H6187" t="n">
        <v>0</v>
      </c>
      <c r="I6187" t="n">
        <v>0</v>
      </c>
      <c r="J6187" t="n">
        <v>0</v>
      </c>
      <c r="K6187" t="n">
        <v>0</v>
      </c>
      <c r="L6187" t="n">
        <v>0</v>
      </c>
      <c r="M6187" t="n">
        <v>0</v>
      </c>
      <c r="N6187" t="n">
        <v>0</v>
      </c>
      <c r="O6187" t="n">
        <v>0</v>
      </c>
      <c r="P6187" t="n">
        <v>0</v>
      </c>
      <c r="Q6187" t="n">
        <v>0</v>
      </c>
      <c r="R6187" s="2" t="inlineStr"/>
    </row>
    <row r="6188" ht="15" customHeight="1">
      <c r="A6188" t="inlineStr">
        <is>
          <t>A 49299-2025</t>
        </is>
      </c>
      <c r="B6188" s="1" t="n">
        <v>45938.54065972222</v>
      </c>
      <c r="C6188" s="1" t="n">
        <v>46075</v>
      </c>
      <c r="D6188" t="inlineStr">
        <is>
          <t>VÄSTERBOTTENS LÄN</t>
        </is>
      </c>
      <c r="E6188" t="inlineStr">
        <is>
          <t>SKELLEFTEÅ</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41497-2021</t>
        </is>
      </c>
      <c r="B6189" s="1" t="n">
        <v>44424</v>
      </c>
      <c r="C6189" s="1" t="n">
        <v>46075</v>
      </c>
      <c r="D6189" t="inlineStr">
        <is>
          <t>VÄSTERBOTTENS LÄN</t>
        </is>
      </c>
      <c r="E6189" t="inlineStr">
        <is>
          <t>LYCKSELE</t>
        </is>
      </c>
      <c r="F6189" t="inlineStr">
        <is>
          <t>SCA</t>
        </is>
      </c>
      <c r="G6189" t="n">
        <v>2.4</v>
      </c>
      <c r="H6189" t="n">
        <v>0</v>
      </c>
      <c r="I6189" t="n">
        <v>0</v>
      </c>
      <c r="J6189" t="n">
        <v>0</v>
      </c>
      <c r="K6189" t="n">
        <v>0</v>
      </c>
      <c r="L6189" t="n">
        <v>0</v>
      </c>
      <c r="M6189" t="n">
        <v>0</v>
      </c>
      <c r="N6189" t="n">
        <v>0</v>
      </c>
      <c r="O6189" t="n">
        <v>0</v>
      </c>
      <c r="P6189" t="n">
        <v>0</v>
      </c>
      <c r="Q6189" t="n">
        <v>0</v>
      </c>
      <c r="R6189" s="2" t="inlineStr"/>
    </row>
    <row r="6190" ht="15" customHeight="1">
      <c r="A6190" t="inlineStr">
        <is>
          <t>A 49623-2025</t>
        </is>
      </c>
      <c r="B6190" s="1" t="n">
        <v>45939.59351851852</v>
      </c>
      <c r="C6190" s="1" t="n">
        <v>46075</v>
      </c>
      <c r="D6190" t="inlineStr">
        <is>
          <t>VÄSTERBOTTENS LÄN</t>
        </is>
      </c>
      <c r="E6190" t="inlineStr">
        <is>
          <t>ÅSELE</t>
        </is>
      </c>
      <c r="F6190" t="inlineStr">
        <is>
          <t>Holmen skog AB</t>
        </is>
      </c>
      <c r="G6190" t="n">
        <v>4</v>
      </c>
      <c r="H6190" t="n">
        <v>0</v>
      </c>
      <c r="I6190" t="n">
        <v>0</v>
      </c>
      <c r="J6190" t="n">
        <v>0</v>
      </c>
      <c r="K6190" t="n">
        <v>0</v>
      </c>
      <c r="L6190" t="n">
        <v>0</v>
      </c>
      <c r="M6190" t="n">
        <v>0</v>
      </c>
      <c r="N6190" t="n">
        <v>0</v>
      </c>
      <c r="O6190" t="n">
        <v>0</v>
      </c>
      <c r="P6190" t="n">
        <v>0</v>
      </c>
      <c r="Q6190" t="n">
        <v>0</v>
      </c>
      <c r="R6190" s="2" t="inlineStr"/>
    </row>
    <row r="6191" ht="15" customHeight="1">
      <c r="A6191" t="inlineStr">
        <is>
          <t>A 57914-2022</t>
        </is>
      </c>
      <c r="B6191" s="1" t="n">
        <v>44900.36453703704</v>
      </c>
      <c r="C6191" s="1" t="n">
        <v>46075</v>
      </c>
      <c r="D6191" t="inlineStr">
        <is>
          <t>VÄSTERBOTTENS LÄN</t>
        </is>
      </c>
      <c r="E6191" t="inlineStr">
        <is>
          <t>UMEÅ</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28860-2024</t>
        </is>
      </c>
      <c r="B6192" s="1" t="n">
        <v>45478.92875</v>
      </c>
      <c r="C6192" s="1" t="n">
        <v>46075</v>
      </c>
      <c r="D6192" t="inlineStr">
        <is>
          <t>VÄSTERBOTTENS LÄN</t>
        </is>
      </c>
      <c r="E6192" t="inlineStr">
        <is>
          <t>UMEÅ</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55931-2024</t>
        </is>
      </c>
      <c r="B6193" s="1" t="n">
        <v>45623.60524305556</v>
      </c>
      <c r="C6193" s="1" t="n">
        <v>46075</v>
      </c>
      <c r="D6193" t="inlineStr">
        <is>
          <t>VÄSTERBOTTENS LÄN</t>
        </is>
      </c>
      <c r="E6193" t="inlineStr">
        <is>
          <t>NORSJÖ</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55951-2024</t>
        </is>
      </c>
      <c r="B6194" s="1" t="n">
        <v>45623.6249537037</v>
      </c>
      <c r="C6194" s="1" t="n">
        <v>46075</v>
      </c>
      <c r="D6194" t="inlineStr">
        <is>
          <t>VÄSTERBOTTENS LÄN</t>
        </is>
      </c>
      <c r="E6194" t="inlineStr">
        <is>
          <t>NORSJÖ</t>
        </is>
      </c>
      <c r="G6194" t="n">
        <v>11.4</v>
      </c>
      <c r="H6194" t="n">
        <v>0</v>
      </c>
      <c r="I6194" t="n">
        <v>0</v>
      </c>
      <c r="J6194" t="n">
        <v>0</v>
      </c>
      <c r="K6194" t="n">
        <v>0</v>
      </c>
      <c r="L6194" t="n">
        <v>0</v>
      </c>
      <c r="M6194" t="n">
        <v>0</v>
      </c>
      <c r="N6194" t="n">
        <v>0</v>
      </c>
      <c r="O6194" t="n">
        <v>0</v>
      </c>
      <c r="P6194" t="n">
        <v>0</v>
      </c>
      <c r="Q6194" t="n">
        <v>0</v>
      </c>
      <c r="R6194" s="2" t="inlineStr"/>
    </row>
    <row r="6195" ht="15" customHeight="1">
      <c r="A6195" t="inlineStr">
        <is>
          <t>A 49628-2025</t>
        </is>
      </c>
      <c r="B6195" s="1" t="n">
        <v>45939.59528935186</v>
      </c>
      <c r="C6195" s="1" t="n">
        <v>46075</v>
      </c>
      <c r="D6195" t="inlineStr">
        <is>
          <t>VÄSTERBOTTENS LÄN</t>
        </is>
      </c>
      <c r="E6195" t="inlineStr">
        <is>
          <t>ROBERTSFORS</t>
        </is>
      </c>
      <c r="F6195" t="inlineStr">
        <is>
          <t>Holmen skog AB</t>
        </is>
      </c>
      <c r="G6195" t="n">
        <v>5.1</v>
      </c>
      <c r="H6195" t="n">
        <v>0</v>
      </c>
      <c r="I6195" t="n">
        <v>0</v>
      </c>
      <c r="J6195" t="n">
        <v>0</v>
      </c>
      <c r="K6195" t="n">
        <v>0</v>
      </c>
      <c r="L6195" t="n">
        <v>0</v>
      </c>
      <c r="M6195" t="n">
        <v>0</v>
      </c>
      <c r="N6195" t="n">
        <v>0</v>
      </c>
      <c r="O6195" t="n">
        <v>0</v>
      </c>
      <c r="P6195" t="n">
        <v>0</v>
      </c>
      <c r="Q6195" t="n">
        <v>0</v>
      </c>
      <c r="R6195" s="2" t="inlineStr"/>
    </row>
    <row r="6196" ht="15" customHeight="1">
      <c r="A6196" t="inlineStr">
        <is>
          <t>A 49184-2025</t>
        </is>
      </c>
      <c r="B6196" s="1" t="n">
        <v>45938.39759259259</v>
      </c>
      <c r="C6196" s="1" t="n">
        <v>46075</v>
      </c>
      <c r="D6196" t="inlineStr">
        <is>
          <t>VÄSTERBOTTENS LÄN</t>
        </is>
      </c>
      <c r="E6196" t="inlineStr">
        <is>
          <t>SKELLEFTEÅ</t>
        </is>
      </c>
      <c r="G6196" t="n">
        <v>7</v>
      </c>
      <c r="H6196" t="n">
        <v>0</v>
      </c>
      <c r="I6196" t="n">
        <v>0</v>
      </c>
      <c r="J6196" t="n">
        <v>0</v>
      </c>
      <c r="K6196" t="n">
        <v>0</v>
      </c>
      <c r="L6196" t="n">
        <v>0</v>
      </c>
      <c r="M6196" t="n">
        <v>0</v>
      </c>
      <c r="N6196" t="n">
        <v>0</v>
      </c>
      <c r="O6196" t="n">
        <v>0</v>
      </c>
      <c r="P6196" t="n">
        <v>0</v>
      </c>
      <c r="Q6196" t="n">
        <v>0</v>
      </c>
      <c r="R6196" s="2" t="inlineStr"/>
    </row>
    <row r="6197" ht="15" customHeight="1">
      <c r="A6197" t="inlineStr">
        <is>
          <t>A 2251-2025</t>
        </is>
      </c>
      <c r="B6197" s="1" t="n">
        <v>45673.5</v>
      </c>
      <c r="C6197" s="1" t="n">
        <v>46075</v>
      </c>
      <c r="D6197" t="inlineStr">
        <is>
          <t>VÄSTERBOTTENS LÄN</t>
        </is>
      </c>
      <c r="E6197" t="inlineStr">
        <is>
          <t>NORDMALING</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49691-2025</t>
        </is>
      </c>
      <c r="B6198" s="1" t="n">
        <v>45939.66736111111</v>
      </c>
      <c r="C6198" s="1" t="n">
        <v>46075</v>
      </c>
      <c r="D6198" t="inlineStr">
        <is>
          <t>VÄSTERBOTTENS LÄN</t>
        </is>
      </c>
      <c r="E6198" t="inlineStr">
        <is>
          <t>STORUMAN</t>
        </is>
      </c>
      <c r="F6198" t="inlineStr">
        <is>
          <t>Holmen skog AB</t>
        </is>
      </c>
      <c r="G6198" t="n">
        <v>4.4</v>
      </c>
      <c r="H6198" t="n">
        <v>0</v>
      </c>
      <c r="I6198" t="n">
        <v>0</v>
      </c>
      <c r="J6198" t="n">
        <v>0</v>
      </c>
      <c r="K6198" t="n">
        <v>0</v>
      </c>
      <c r="L6198" t="n">
        <v>0</v>
      </c>
      <c r="M6198" t="n">
        <v>0</v>
      </c>
      <c r="N6198" t="n">
        <v>0</v>
      </c>
      <c r="O6198" t="n">
        <v>0</v>
      </c>
      <c r="P6198" t="n">
        <v>0</v>
      </c>
      <c r="Q6198" t="n">
        <v>0</v>
      </c>
      <c r="R6198" s="2" t="inlineStr"/>
    </row>
    <row r="6199" ht="15" customHeight="1">
      <c r="A6199" t="inlineStr">
        <is>
          <t>A 2707-2022</t>
        </is>
      </c>
      <c r="B6199" s="1" t="n">
        <v>44580</v>
      </c>
      <c r="C6199" s="1" t="n">
        <v>46075</v>
      </c>
      <c r="D6199" t="inlineStr">
        <is>
          <t>VÄSTERBOTTENS LÄN</t>
        </is>
      </c>
      <c r="E6199" t="inlineStr">
        <is>
          <t>ROBERTSFORS</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6638-2025</t>
        </is>
      </c>
      <c r="B6200" s="1" t="n">
        <v>45700</v>
      </c>
      <c r="C6200" s="1" t="n">
        <v>46075</v>
      </c>
      <c r="D6200" t="inlineStr">
        <is>
          <t>VÄSTERBOTTENS LÄN</t>
        </is>
      </c>
      <c r="E6200" t="inlineStr">
        <is>
          <t>VILHELMINA</t>
        </is>
      </c>
      <c r="G6200" t="n">
        <v>21.5</v>
      </c>
      <c r="H6200" t="n">
        <v>0</v>
      </c>
      <c r="I6200" t="n">
        <v>0</v>
      </c>
      <c r="J6200" t="n">
        <v>0</v>
      </c>
      <c r="K6200" t="n">
        <v>0</v>
      </c>
      <c r="L6200" t="n">
        <v>0</v>
      </c>
      <c r="M6200" t="n">
        <v>0</v>
      </c>
      <c r="N6200" t="n">
        <v>0</v>
      </c>
      <c r="O6200" t="n">
        <v>0</v>
      </c>
      <c r="P6200" t="n">
        <v>0</v>
      </c>
      <c r="Q6200" t="n">
        <v>0</v>
      </c>
      <c r="R6200" s="2" t="inlineStr"/>
    </row>
    <row r="6201" ht="15" customHeight="1">
      <c r="A6201" t="inlineStr">
        <is>
          <t>A 49461-2025</t>
        </is>
      </c>
      <c r="B6201" s="1" t="n">
        <v>45939.32128472222</v>
      </c>
      <c r="C6201" s="1" t="n">
        <v>46075</v>
      </c>
      <c r="D6201" t="inlineStr">
        <is>
          <t>VÄSTERBOTTENS LÄN</t>
        </is>
      </c>
      <c r="E6201" t="inlineStr">
        <is>
          <t>SKELLEFTEÅ</t>
        </is>
      </c>
      <c r="F6201" t="inlineStr">
        <is>
          <t>Holmen skog AB</t>
        </is>
      </c>
      <c r="G6201" t="n">
        <v>4.8</v>
      </c>
      <c r="H6201" t="n">
        <v>0</v>
      </c>
      <c r="I6201" t="n">
        <v>0</v>
      </c>
      <c r="J6201" t="n">
        <v>0</v>
      </c>
      <c r="K6201" t="n">
        <v>0</v>
      </c>
      <c r="L6201" t="n">
        <v>0</v>
      </c>
      <c r="M6201" t="n">
        <v>0</v>
      </c>
      <c r="N6201" t="n">
        <v>0</v>
      </c>
      <c r="O6201" t="n">
        <v>0</v>
      </c>
      <c r="P6201" t="n">
        <v>0</v>
      </c>
      <c r="Q6201" t="n">
        <v>0</v>
      </c>
      <c r="R6201" s="2" t="inlineStr"/>
    </row>
    <row r="6202" ht="15" customHeight="1">
      <c r="A6202" t="inlineStr">
        <is>
          <t>A 49465-2025</t>
        </is>
      </c>
      <c r="B6202" s="1" t="n">
        <v>45939.33030092593</v>
      </c>
      <c r="C6202" s="1" t="n">
        <v>46075</v>
      </c>
      <c r="D6202" t="inlineStr">
        <is>
          <t>VÄSTERBOTTENS LÄN</t>
        </is>
      </c>
      <c r="E6202" t="inlineStr">
        <is>
          <t>ÅSELE</t>
        </is>
      </c>
      <c r="F6202" t="inlineStr">
        <is>
          <t>Holmen skog AB</t>
        </is>
      </c>
      <c r="G6202" t="n">
        <v>7</v>
      </c>
      <c r="H6202" t="n">
        <v>0</v>
      </c>
      <c r="I6202" t="n">
        <v>0</v>
      </c>
      <c r="J6202" t="n">
        <v>0</v>
      </c>
      <c r="K6202" t="n">
        <v>0</v>
      </c>
      <c r="L6202" t="n">
        <v>0</v>
      </c>
      <c r="M6202" t="n">
        <v>0</v>
      </c>
      <c r="N6202" t="n">
        <v>0</v>
      </c>
      <c r="O6202" t="n">
        <v>0</v>
      </c>
      <c r="P6202" t="n">
        <v>0</v>
      </c>
      <c r="Q6202" t="n">
        <v>0</v>
      </c>
      <c r="R6202" s="2" t="inlineStr"/>
    </row>
    <row r="6203" ht="15" customHeight="1">
      <c r="A6203" t="inlineStr">
        <is>
          <t>A 49489-2025</t>
        </is>
      </c>
      <c r="B6203" s="1" t="n">
        <v>45939.36525462963</v>
      </c>
      <c r="C6203" s="1" t="n">
        <v>46075</v>
      </c>
      <c r="D6203" t="inlineStr">
        <is>
          <t>VÄSTERBOTTENS LÄN</t>
        </is>
      </c>
      <c r="E6203" t="inlineStr">
        <is>
          <t>DOROTEA</t>
        </is>
      </c>
      <c r="F6203" t="inlineStr">
        <is>
          <t>SCA</t>
        </is>
      </c>
      <c r="G6203" t="n">
        <v>5.6</v>
      </c>
      <c r="H6203" t="n">
        <v>0</v>
      </c>
      <c r="I6203" t="n">
        <v>0</v>
      </c>
      <c r="J6203" t="n">
        <v>0</v>
      </c>
      <c r="K6203" t="n">
        <v>0</v>
      </c>
      <c r="L6203" t="n">
        <v>0</v>
      </c>
      <c r="M6203" t="n">
        <v>0</v>
      </c>
      <c r="N6203" t="n">
        <v>0</v>
      </c>
      <c r="O6203" t="n">
        <v>0</v>
      </c>
      <c r="P6203" t="n">
        <v>0</v>
      </c>
      <c r="Q6203" t="n">
        <v>0</v>
      </c>
      <c r="R6203" s="2" t="inlineStr"/>
    </row>
    <row r="6204" ht="15" customHeight="1">
      <c r="A6204" t="inlineStr">
        <is>
          <t>A 49494-2025</t>
        </is>
      </c>
      <c r="B6204" s="1" t="n">
        <v>45939.36633101852</v>
      </c>
      <c r="C6204" s="1" t="n">
        <v>46075</v>
      </c>
      <c r="D6204" t="inlineStr">
        <is>
          <t>VÄSTERBOTTENS LÄN</t>
        </is>
      </c>
      <c r="E6204" t="inlineStr">
        <is>
          <t>MALÅ</t>
        </is>
      </c>
      <c r="G6204" t="n">
        <v>2.9</v>
      </c>
      <c r="H6204" t="n">
        <v>0</v>
      </c>
      <c r="I6204" t="n">
        <v>0</v>
      </c>
      <c r="J6204" t="n">
        <v>0</v>
      </c>
      <c r="K6204" t="n">
        <v>0</v>
      </c>
      <c r="L6204" t="n">
        <v>0</v>
      </c>
      <c r="M6204" t="n">
        <v>0</v>
      </c>
      <c r="N6204" t="n">
        <v>0</v>
      </c>
      <c r="O6204" t="n">
        <v>0</v>
      </c>
      <c r="P6204" t="n">
        <v>0</v>
      </c>
      <c r="Q6204" t="n">
        <v>0</v>
      </c>
      <c r="R6204" s="2" t="inlineStr"/>
    </row>
    <row r="6205" ht="15" customHeight="1">
      <c r="A6205" t="inlineStr">
        <is>
          <t>A 49501-2025</t>
        </is>
      </c>
      <c r="B6205" s="1" t="n">
        <v>45938</v>
      </c>
      <c r="C6205" s="1" t="n">
        <v>46075</v>
      </c>
      <c r="D6205" t="inlineStr">
        <is>
          <t>VÄSTERBOTTENS LÄN</t>
        </is>
      </c>
      <c r="E6205" t="inlineStr">
        <is>
          <t>NORSJÖ</t>
        </is>
      </c>
      <c r="G6205" t="n">
        <v>8.9</v>
      </c>
      <c r="H6205" t="n">
        <v>0</v>
      </c>
      <c r="I6205" t="n">
        <v>0</v>
      </c>
      <c r="J6205" t="n">
        <v>0</v>
      </c>
      <c r="K6205" t="n">
        <v>0</v>
      </c>
      <c r="L6205" t="n">
        <v>0</v>
      </c>
      <c r="M6205" t="n">
        <v>0</v>
      </c>
      <c r="N6205" t="n">
        <v>0</v>
      </c>
      <c r="O6205" t="n">
        <v>0</v>
      </c>
      <c r="P6205" t="n">
        <v>0</v>
      </c>
      <c r="Q6205" t="n">
        <v>0</v>
      </c>
      <c r="R6205" s="2" t="inlineStr"/>
    </row>
    <row r="6206" ht="15" customHeight="1">
      <c r="A6206" t="inlineStr">
        <is>
          <t>A 26351-2024</t>
        </is>
      </c>
      <c r="B6206" s="1" t="n">
        <v>45469.36478009259</v>
      </c>
      <c r="C6206" s="1" t="n">
        <v>46075</v>
      </c>
      <c r="D6206" t="inlineStr">
        <is>
          <t>VÄSTERBOTTENS LÄN</t>
        </is>
      </c>
      <c r="E6206" t="inlineStr">
        <is>
          <t>UMEÅ</t>
        </is>
      </c>
      <c r="G6206" t="n">
        <v>3.8</v>
      </c>
      <c r="H6206" t="n">
        <v>0</v>
      </c>
      <c r="I6206" t="n">
        <v>0</v>
      </c>
      <c r="J6206" t="n">
        <v>0</v>
      </c>
      <c r="K6206" t="n">
        <v>0</v>
      </c>
      <c r="L6206" t="n">
        <v>0</v>
      </c>
      <c r="M6206" t="n">
        <v>0</v>
      </c>
      <c r="N6206" t="n">
        <v>0</v>
      </c>
      <c r="O6206" t="n">
        <v>0</v>
      </c>
      <c r="P6206" t="n">
        <v>0</v>
      </c>
      <c r="Q6206" t="n">
        <v>0</v>
      </c>
      <c r="R6206" s="2" t="inlineStr"/>
    </row>
    <row r="6207" ht="15" customHeight="1">
      <c r="A6207" t="inlineStr">
        <is>
          <t>A 49070-2025</t>
        </is>
      </c>
      <c r="B6207" s="1" t="n">
        <v>45937.65115740741</v>
      </c>
      <c r="C6207" s="1" t="n">
        <v>46075</v>
      </c>
      <c r="D6207" t="inlineStr">
        <is>
          <t>VÄSTERBOTTENS LÄN</t>
        </is>
      </c>
      <c r="E6207" t="inlineStr">
        <is>
          <t>MALÅ</t>
        </is>
      </c>
      <c r="F6207" t="inlineStr">
        <is>
          <t>Sveaskog</t>
        </is>
      </c>
      <c r="G6207" t="n">
        <v>12.1</v>
      </c>
      <c r="H6207" t="n">
        <v>0</v>
      </c>
      <c r="I6207" t="n">
        <v>0</v>
      </c>
      <c r="J6207" t="n">
        <v>0</v>
      </c>
      <c r="K6207" t="n">
        <v>0</v>
      </c>
      <c r="L6207" t="n">
        <v>0</v>
      </c>
      <c r="M6207" t="n">
        <v>0</v>
      </c>
      <c r="N6207" t="n">
        <v>0</v>
      </c>
      <c r="O6207" t="n">
        <v>0</v>
      </c>
      <c r="P6207" t="n">
        <v>0</v>
      </c>
      <c r="Q6207" t="n">
        <v>0</v>
      </c>
      <c r="R6207" s="2" t="inlineStr"/>
    </row>
    <row r="6208" ht="15" customHeight="1">
      <c r="A6208" t="inlineStr">
        <is>
          <t>A 49140-2025</t>
        </is>
      </c>
      <c r="B6208" s="1" t="n">
        <v>45938.31708333334</v>
      </c>
      <c r="C6208" s="1" t="n">
        <v>46075</v>
      </c>
      <c r="D6208" t="inlineStr">
        <is>
          <t>VÄSTERBOTTENS LÄN</t>
        </is>
      </c>
      <c r="E6208" t="inlineStr">
        <is>
          <t>ROBERTSFORS</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49148-2025</t>
        </is>
      </c>
      <c r="B6209" s="1" t="n">
        <v>45938.33891203703</v>
      </c>
      <c r="C6209" s="1" t="n">
        <v>46075</v>
      </c>
      <c r="D6209" t="inlineStr">
        <is>
          <t>VÄSTERBOTTENS LÄN</t>
        </is>
      </c>
      <c r="E6209" t="inlineStr">
        <is>
          <t>ROBERTSFORS</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49366-2025</t>
        </is>
      </c>
      <c r="B6210" s="1" t="n">
        <v>45938.62356481481</v>
      </c>
      <c r="C6210" s="1" t="n">
        <v>46075</v>
      </c>
      <c r="D6210" t="inlineStr">
        <is>
          <t>VÄSTERBOTTENS LÄN</t>
        </is>
      </c>
      <c r="E6210" t="inlineStr">
        <is>
          <t>LYCKSELE</t>
        </is>
      </c>
      <c r="F6210" t="inlineStr">
        <is>
          <t>Holmen skog AB</t>
        </is>
      </c>
      <c r="G6210" t="n">
        <v>3.2</v>
      </c>
      <c r="H6210" t="n">
        <v>0</v>
      </c>
      <c r="I6210" t="n">
        <v>0</v>
      </c>
      <c r="J6210" t="n">
        <v>0</v>
      </c>
      <c r="K6210" t="n">
        <v>0</v>
      </c>
      <c r="L6210" t="n">
        <v>0</v>
      </c>
      <c r="M6210" t="n">
        <v>0</v>
      </c>
      <c r="N6210" t="n">
        <v>0</v>
      </c>
      <c r="O6210" t="n">
        <v>0</v>
      </c>
      <c r="P6210" t="n">
        <v>0</v>
      </c>
      <c r="Q6210" t="n">
        <v>0</v>
      </c>
      <c r="R6210" s="2" t="inlineStr"/>
    </row>
    <row r="6211" ht="15" customHeight="1">
      <c r="A6211" t="inlineStr">
        <is>
          <t>A 49361-2025</t>
        </is>
      </c>
      <c r="B6211" s="1" t="n">
        <v>45938.61686342592</v>
      </c>
      <c r="C6211" s="1" t="n">
        <v>46075</v>
      </c>
      <c r="D6211" t="inlineStr">
        <is>
          <t>VÄSTERBOTTENS LÄN</t>
        </is>
      </c>
      <c r="E6211" t="inlineStr">
        <is>
          <t>NORDMALING</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49371-2025</t>
        </is>
      </c>
      <c r="B6212" s="1" t="n">
        <v>45938.63061342593</v>
      </c>
      <c r="C6212" s="1" t="n">
        <v>46075</v>
      </c>
      <c r="D6212" t="inlineStr">
        <is>
          <t>VÄSTERBOTTENS LÄN</t>
        </is>
      </c>
      <c r="E6212" t="inlineStr">
        <is>
          <t>VÄNNÄS</t>
        </is>
      </c>
      <c r="G6212" t="n">
        <v>4</v>
      </c>
      <c r="H6212" t="n">
        <v>0</v>
      </c>
      <c r="I6212" t="n">
        <v>0</v>
      </c>
      <c r="J6212" t="n">
        <v>0</v>
      </c>
      <c r="K6212" t="n">
        <v>0</v>
      </c>
      <c r="L6212" t="n">
        <v>0</v>
      </c>
      <c r="M6212" t="n">
        <v>0</v>
      </c>
      <c r="N6212" t="n">
        <v>0</v>
      </c>
      <c r="O6212" t="n">
        <v>0</v>
      </c>
      <c r="P6212" t="n">
        <v>0</v>
      </c>
      <c r="Q6212" t="n">
        <v>0</v>
      </c>
      <c r="R6212" s="2" t="inlineStr"/>
    </row>
    <row r="6213" ht="15" customHeight="1">
      <c r="A6213" t="inlineStr">
        <is>
          <t>A 25632-2023</t>
        </is>
      </c>
      <c r="B6213" s="1" t="n">
        <v>45084</v>
      </c>
      <c r="C6213" s="1" t="n">
        <v>46075</v>
      </c>
      <c r="D6213" t="inlineStr">
        <is>
          <t>VÄSTERBOTTENS LÄN</t>
        </is>
      </c>
      <c r="E6213" t="inlineStr">
        <is>
          <t>SKELLEFTEÅ</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14195-2024</t>
        </is>
      </c>
      <c r="B6214" s="1" t="n">
        <v>45393</v>
      </c>
      <c r="C6214" s="1" t="n">
        <v>46075</v>
      </c>
      <c r="D6214" t="inlineStr">
        <is>
          <t>VÄSTERBOTTENS LÄN</t>
        </is>
      </c>
      <c r="E6214" t="inlineStr">
        <is>
          <t>LYCKSELE</t>
        </is>
      </c>
      <c r="F6214" t="inlineStr">
        <is>
          <t>Holmen skog AB</t>
        </is>
      </c>
      <c r="G6214" t="n">
        <v>22.9</v>
      </c>
      <c r="H6214" t="n">
        <v>0</v>
      </c>
      <c r="I6214" t="n">
        <v>0</v>
      </c>
      <c r="J6214" t="n">
        <v>0</v>
      </c>
      <c r="K6214" t="n">
        <v>0</v>
      </c>
      <c r="L6214" t="n">
        <v>0</v>
      </c>
      <c r="M6214" t="n">
        <v>0</v>
      </c>
      <c r="N6214" t="n">
        <v>0</v>
      </c>
      <c r="O6214" t="n">
        <v>0</v>
      </c>
      <c r="P6214" t="n">
        <v>0</v>
      </c>
      <c r="Q6214" t="n">
        <v>0</v>
      </c>
      <c r="R6214" s="2" t="inlineStr"/>
    </row>
    <row r="6215" ht="15" customHeight="1">
      <c r="A6215" t="inlineStr">
        <is>
          <t>A 58821-2023</t>
        </is>
      </c>
      <c r="B6215" s="1" t="n">
        <v>45247</v>
      </c>
      <c r="C6215" s="1" t="n">
        <v>46075</v>
      </c>
      <c r="D6215" t="inlineStr">
        <is>
          <t>VÄSTERBOTTENS LÄN</t>
        </is>
      </c>
      <c r="E6215" t="inlineStr">
        <is>
          <t>SKELLEFTEÅ</t>
        </is>
      </c>
      <c r="G6215" t="n">
        <v>15.6</v>
      </c>
      <c r="H6215" t="n">
        <v>0</v>
      </c>
      <c r="I6215" t="n">
        <v>0</v>
      </c>
      <c r="J6215" t="n">
        <v>0</v>
      </c>
      <c r="K6215" t="n">
        <v>0</v>
      </c>
      <c r="L6215" t="n">
        <v>0</v>
      </c>
      <c r="M6215" t="n">
        <v>0</v>
      </c>
      <c r="N6215" t="n">
        <v>0</v>
      </c>
      <c r="O6215" t="n">
        <v>0</v>
      </c>
      <c r="P6215" t="n">
        <v>0</v>
      </c>
      <c r="Q6215" t="n">
        <v>0</v>
      </c>
      <c r="R6215" s="2" t="inlineStr"/>
    </row>
    <row r="6216" ht="15" customHeight="1">
      <c r="A6216" t="inlineStr">
        <is>
          <t>A 34897-2024</t>
        </is>
      </c>
      <c r="B6216" s="1" t="n">
        <v>45527.36991898148</v>
      </c>
      <c r="C6216" s="1" t="n">
        <v>46075</v>
      </c>
      <c r="D6216" t="inlineStr">
        <is>
          <t>VÄSTERBOTTENS LÄN</t>
        </is>
      </c>
      <c r="E6216" t="inlineStr">
        <is>
          <t>LYCKSELE</t>
        </is>
      </c>
      <c r="F6216" t="inlineStr">
        <is>
          <t>Holmen skog AB</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48878-2025</t>
        </is>
      </c>
      <c r="B6217" s="1" t="n">
        <v>45937.45689814815</v>
      </c>
      <c r="C6217" s="1" t="n">
        <v>46075</v>
      </c>
      <c r="D6217" t="inlineStr">
        <is>
          <t>VÄSTERBOTTENS LÄN</t>
        </is>
      </c>
      <c r="E6217" t="inlineStr">
        <is>
          <t>ÅSELE</t>
        </is>
      </c>
      <c r="F6217" t="inlineStr">
        <is>
          <t>Sveaskog</t>
        </is>
      </c>
      <c r="G6217" t="n">
        <v>16.6</v>
      </c>
      <c r="H6217" t="n">
        <v>0</v>
      </c>
      <c r="I6217" t="n">
        <v>0</v>
      </c>
      <c r="J6217" t="n">
        <v>0</v>
      </c>
      <c r="K6217" t="n">
        <v>0</v>
      </c>
      <c r="L6217" t="n">
        <v>0</v>
      </c>
      <c r="M6217" t="n">
        <v>0</v>
      </c>
      <c r="N6217" t="n">
        <v>0</v>
      </c>
      <c r="O6217" t="n">
        <v>0</v>
      </c>
      <c r="P6217" t="n">
        <v>0</v>
      </c>
      <c r="Q6217" t="n">
        <v>0</v>
      </c>
      <c r="R6217" s="2" t="inlineStr"/>
    </row>
    <row r="6218" ht="15" customHeight="1">
      <c r="A6218" t="inlineStr">
        <is>
          <t>A 42286-2024</t>
        </is>
      </c>
      <c r="B6218" s="1" t="n">
        <v>45562</v>
      </c>
      <c r="C6218" s="1" t="n">
        <v>46075</v>
      </c>
      <c r="D6218" t="inlineStr">
        <is>
          <t>VÄSTERBOTTENS LÄN</t>
        </is>
      </c>
      <c r="E6218" t="inlineStr">
        <is>
          <t>ÅSELE</t>
        </is>
      </c>
      <c r="F6218" t="inlineStr">
        <is>
          <t>Holmen skog AB</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55241-2024</t>
        </is>
      </c>
      <c r="B6219" s="1" t="n">
        <v>45621.5884375</v>
      </c>
      <c r="C6219" s="1" t="n">
        <v>46075</v>
      </c>
      <c r="D6219" t="inlineStr">
        <is>
          <t>VÄSTERBOTTENS LÄN</t>
        </is>
      </c>
      <c r="E6219" t="inlineStr">
        <is>
          <t>SKELLEFTEÅ</t>
        </is>
      </c>
      <c r="F6219" t="inlineStr">
        <is>
          <t>Holmen skog AB</t>
        </is>
      </c>
      <c r="G6219" t="n">
        <v>2.5</v>
      </c>
      <c r="H6219" t="n">
        <v>0</v>
      </c>
      <c r="I6219" t="n">
        <v>0</v>
      </c>
      <c r="J6219" t="n">
        <v>0</v>
      </c>
      <c r="K6219" t="n">
        <v>0</v>
      </c>
      <c r="L6219" t="n">
        <v>0</v>
      </c>
      <c r="M6219" t="n">
        <v>0</v>
      </c>
      <c r="N6219" t="n">
        <v>0</v>
      </c>
      <c r="O6219" t="n">
        <v>0</v>
      </c>
      <c r="P6219" t="n">
        <v>0</v>
      </c>
      <c r="Q6219" t="n">
        <v>0</v>
      </c>
      <c r="R6219" s="2" t="inlineStr"/>
    </row>
    <row r="6220" ht="15" customHeight="1">
      <c r="A6220" t="inlineStr">
        <is>
          <t>A 12506-2023</t>
        </is>
      </c>
      <c r="B6220" s="1" t="n">
        <v>44999</v>
      </c>
      <c r="C6220" s="1" t="n">
        <v>46075</v>
      </c>
      <c r="D6220" t="inlineStr">
        <is>
          <t>VÄSTERBOTTENS LÄN</t>
        </is>
      </c>
      <c r="E6220" t="inlineStr">
        <is>
          <t>SORSELE</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49684-2025</t>
        </is>
      </c>
      <c r="B6221" s="1" t="n">
        <v>45939.65523148148</v>
      </c>
      <c r="C6221" s="1" t="n">
        <v>46075</v>
      </c>
      <c r="D6221" t="inlineStr">
        <is>
          <t>VÄSTERBOTTENS LÄN</t>
        </is>
      </c>
      <c r="E6221" t="inlineStr">
        <is>
          <t>STORUMAN</t>
        </is>
      </c>
      <c r="F6221" t="inlineStr">
        <is>
          <t>Holmen skog AB</t>
        </is>
      </c>
      <c r="G6221" t="n">
        <v>2.7</v>
      </c>
      <c r="H6221" t="n">
        <v>0</v>
      </c>
      <c r="I6221" t="n">
        <v>0</v>
      </c>
      <c r="J6221" t="n">
        <v>0</v>
      </c>
      <c r="K6221" t="n">
        <v>0</v>
      </c>
      <c r="L6221" t="n">
        <v>0</v>
      </c>
      <c r="M6221" t="n">
        <v>0</v>
      </c>
      <c r="N6221" t="n">
        <v>0</v>
      </c>
      <c r="O6221" t="n">
        <v>0</v>
      </c>
      <c r="P6221" t="n">
        <v>0</v>
      </c>
      <c r="Q6221" t="n">
        <v>0</v>
      </c>
      <c r="R6221" s="2" t="inlineStr"/>
    </row>
    <row r="6222" ht="15" customHeight="1">
      <c r="A6222" t="inlineStr">
        <is>
          <t>A 38590-2025</t>
        </is>
      </c>
      <c r="B6222" s="1" t="n">
        <v>45884.47512731481</v>
      </c>
      <c r="C6222" s="1" t="n">
        <v>46075</v>
      </c>
      <c r="D6222" t="inlineStr">
        <is>
          <t>VÄSTERBOTTENS LÄN</t>
        </is>
      </c>
      <c r="E6222" t="inlineStr">
        <is>
          <t>SKELLEFTEÅ</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49492-2025</t>
        </is>
      </c>
      <c r="B6223" s="1" t="n">
        <v>45939.36616898148</v>
      </c>
      <c r="C6223" s="1" t="n">
        <v>46075</v>
      </c>
      <c r="D6223" t="inlineStr">
        <is>
          <t>VÄSTERBOTTENS LÄN</t>
        </is>
      </c>
      <c r="E6223" t="inlineStr">
        <is>
          <t>UMEÅ</t>
        </is>
      </c>
      <c r="G6223" t="n">
        <v>7.2</v>
      </c>
      <c r="H6223" t="n">
        <v>0</v>
      </c>
      <c r="I6223" t="n">
        <v>0</v>
      </c>
      <c r="J6223" t="n">
        <v>0</v>
      </c>
      <c r="K6223" t="n">
        <v>0</v>
      </c>
      <c r="L6223" t="n">
        <v>0</v>
      </c>
      <c r="M6223" t="n">
        <v>0</v>
      </c>
      <c r="N6223" t="n">
        <v>0</v>
      </c>
      <c r="O6223" t="n">
        <v>0</v>
      </c>
      <c r="P6223" t="n">
        <v>0</v>
      </c>
      <c r="Q6223" t="n">
        <v>0</v>
      </c>
      <c r="R6223" s="2" t="inlineStr"/>
    </row>
    <row r="6224" ht="15" customHeight="1">
      <c r="A6224" t="inlineStr">
        <is>
          <t>A 49506-2025</t>
        </is>
      </c>
      <c r="B6224" s="1" t="n">
        <v>45939.37686342592</v>
      </c>
      <c r="C6224" s="1" t="n">
        <v>46075</v>
      </c>
      <c r="D6224" t="inlineStr">
        <is>
          <t>VÄSTERBOTTENS LÄN</t>
        </is>
      </c>
      <c r="E6224" t="inlineStr">
        <is>
          <t>ÅSELE</t>
        </is>
      </c>
      <c r="F6224" t="inlineStr">
        <is>
          <t>Sveaskog</t>
        </is>
      </c>
      <c r="G6224" t="n">
        <v>22.6</v>
      </c>
      <c r="H6224" t="n">
        <v>0</v>
      </c>
      <c r="I6224" t="n">
        <v>0</v>
      </c>
      <c r="J6224" t="n">
        <v>0</v>
      </c>
      <c r="K6224" t="n">
        <v>0</v>
      </c>
      <c r="L6224" t="n">
        <v>0</v>
      </c>
      <c r="M6224" t="n">
        <v>0</v>
      </c>
      <c r="N6224" t="n">
        <v>0</v>
      </c>
      <c r="O6224" t="n">
        <v>0</v>
      </c>
      <c r="P6224" t="n">
        <v>0</v>
      </c>
      <c r="Q6224" t="n">
        <v>0</v>
      </c>
      <c r="R6224" s="2" t="inlineStr"/>
    </row>
    <row r="6225" ht="15" customHeight="1">
      <c r="A6225" t="inlineStr">
        <is>
          <t>A 48827-2025</t>
        </is>
      </c>
      <c r="B6225" s="1" t="n">
        <v>45937.3825462963</v>
      </c>
      <c r="C6225" s="1" t="n">
        <v>46075</v>
      </c>
      <c r="D6225" t="inlineStr">
        <is>
          <t>VÄSTERBOTTENS LÄN</t>
        </is>
      </c>
      <c r="E6225" t="inlineStr">
        <is>
          <t>ROBERTSFORS</t>
        </is>
      </c>
      <c r="F6225" t="inlineStr">
        <is>
          <t>Holmen skog AB</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48904-2025</t>
        </is>
      </c>
      <c r="B6226" s="1" t="n">
        <v>45937.4828125</v>
      </c>
      <c r="C6226" s="1" t="n">
        <v>46075</v>
      </c>
      <c r="D6226" t="inlineStr">
        <is>
          <t>VÄSTERBOTTENS LÄN</t>
        </is>
      </c>
      <c r="E6226" t="inlineStr">
        <is>
          <t>VILHELMINA</t>
        </is>
      </c>
      <c r="F6226" t="inlineStr">
        <is>
          <t>Sveaskog</t>
        </is>
      </c>
      <c r="G6226" t="n">
        <v>4.7</v>
      </c>
      <c r="H6226" t="n">
        <v>0</v>
      </c>
      <c r="I6226" t="n">
        <v>0</v>
      </c>
      <c r="J6226" t="n">
        <v>0</v>
      </c>
      <c r="K6226" t="n">
        <v>0</v>
      </c>
      <c r="L6226" t="n">
        <v>0</v>
      </c>
      <c r="M6226" t="n">
        <v>0</v>
      </c>
      <c r="N6226" t="n">
        <v>0</v>
      </c>
      <c r="O6226" t="n">
        <v>0</v>
      </c>
      <c r="P6226" t="n">
        <v>0</v>
      </c>
      <c r="Q6226" t="n">
        <v>0</v>
      </c>
      <c r="R6226" s="2" t="inlineStr"/>
    </row>
    <row r="6227" ht="15" customHeight="1">
      <c r="A6227" t="inlineStr">
        <is>
          <t>A 49541-2025</t>
        </is>
      </c>
      <c r="B6227" s="1" t="n">
        <v>45939.42748842593</v>
      </c>
      <c r="C6227" s="1" t="n">
        <v>46075</v>
      </c>
      <c r="D6227" t="inlineStr">
        <is>
          <t>VÄSTERBOTTENS LÄN</t>
        </is>
      </c>
      <c r="E6227" t="inlineStr">
        <is>
          <t>MALÅ</t>
        </is>
      </c>
      <c r="G6227" t="n">
        <v>8.6</v>
      </c>
      <c r="H6227" t="n">
        <v>0</v>
      </c>
      <c r="I6227" t="n">
        <v>0</v>
      </c>
      <c r="J6227" t="n">
        <v>0</v>
      </c>
      <c r="K6227" t="n">
        <v>0</v>
      </c>
      <c r="L6227" t="n">
        <v>0</v>
      </c>
      <c r="M6227" t="n">
        <v>0</v>
      </c>
      <c r="N6227" t="n">
        <v>0</v>
      </c>
      <c r="O6227" t="n">
        <v>0</v>
      </c>
      <c r="P6227" t="n">
        <v>0</v>
      </c>
      <c r="Q6227" t="n">
        <v>0</v>
      </c>
      <c r="R6227" s="2" t="inlineStr"/>
    </row>
    <row r="6228" ht="15" customHeight="1">
      <c r="A6228" t="inlineStr">
        <is>
          <t>A 29709-2025</t>
        </is>
      </c>
      <c r="B6228" s="1" t="n">
        <v>45825.56317129629</v>
      </c>
      <c r="C6228" s="1" t="n">
        <v>46075</v>
      </c>
      <c r="D6228" t="inlineStr">
        <is>
          <t>VÄSTERBOTTENS LÄN</t>
        </is>
      </c>
      <c r="E6228" t="inlineStr">
        <is>
          <t>LYCKSELE</t>
        </is>
      </c>
      <c r="F6228" t="inlineStr">
        <is>
          <t>Holmen skog AB</t>
        </is>
      </c>
      <c r="G6228" t="n">
        <v>52.4</v>
      </c>
      <c r="H6228" t="n">
        <v>0</v>
      </c>
      <c r="I6228" t="n">
        <v>0</v>
      </c>
      <c r="J6228" t="n">
        <v>0</v>
      </c>
      <c r="K6228" t="n">
        <v>0</v>
      </c>
      <c r="L6228" t="n">
        <v>0</v>
      </c>
      <c r="M6228" t="n">
        <v>0</v>
      </c>
      <c r="N6228" t="n">
        <v>0</v>
      </c>
      <c r="O6228" t="n">
        <v>0</v>
      </c>
      <c r="P6228" t="n">
        <v>0</v>
      </c>
      <c r="Q6228" t="n">
        <v>0</v>
      </c>
      <c r="R6228" s="2" t="inlineStr"/>
    </row>
    <row r="6229" ht="15" customHeight="1">
      <c r="A6229" t="inlineStr">
        <is>
          <t>A 49207-2025</t>
        </is>
      </c>
      <c r="B6229" s="1" t="n">
        <v>45938.42548611111</v>
      </c>
      <c r="C6229" s="1" t="n">
        <v>46075</v>
      </c>
      <c r="D6229" t="inlineStr">
        <is>
          <t>VÄSTERBOTTENS LÄN</t>
        </is>
      </c>
      <c r="E6229" t="inlineStr">
        <is>
          <t>MALÅ</t>
        </is>
      </c>
      <c r="F6229" t="inlineStr">
        <is>
          <t>Sveaskog</t>
        </is>
      </c>
      <c r="G6229" t="n">
        <v>10.5</v>
      </c>
      <c r="H6229" t="n">
        <v>0</v>
      </c>
      <c r="I6229" t="n">
        <v>0</v>
      </c>
      <c r="J6229" t="n">
        <v>0</v>
      </c>
      <c r="K6229" t="n">
        <v>0</v>
      </c>
      <c r="L6229" t="n">
        <v>0</v>
      </c>
      <c r="M6229" t="n">
        <v>0</v>
      </c>
      <c r="N6229" t="n">
        <v>0</v>
      </c>
      <c r="O6229" t="n">
        <v>0</v>
      </c>
      <c r="P6229" t="n">
        <v>0</v>
      </c>
      <c r="Q6229" t="n">
        <v>0</v>
      </c>
      <c r="R6229" s="2" t="inlineStr"/>
    </row>
    <row r="6230" ht="15" customHeight="1">
      <c r="A6230" t="inlineStr">
        <is>
          <t>A 49208-2025</t>
        </is>
      </c>
      <c r="B6230" s="1" t="n">
        <v>45938.43431712963</v>
      </c>
      <c r="C6230" s="1" t="n">
        <v>46075</v>
      </c>
      <c r="D6230" t="inlineStr">
        <is>
          <t>VÄSTERBOTTENS LÄN</t>
        </is>
      </c>
      <c r="E6230" t="inlineStr">
        <is>
          <t>ÅSELE</t>
        </is>
      </c>
      <c r="F6230" t="inlineStr">
        <is>
          <t>Holmen skog AB</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9840-2025</t>
        </is>
      </c>
      <c r="B6231" s="1" t="n">
        <v>45716</v>
      </c>
      <c r="C6231" s="1" t="n">
        <v>46075</v>
      </c>
      <c r="D6231" t="inlineStr">
        <is>
          <t>VÄSTERBOTTENS LÄN</t>
        </is>
      </c>
      <c r="E6231" t="inlineStr">
        <is>
          <t>SKELLEFTEÅ</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49196-2025</t>
        </is>
      </c>
      <c r="B6232" s="1" t="n">
        <v>45938.40989583333</v>
      </c>
      <c r="C6232" s="1" t="n">
        <v>46075</v>
      </c>
      <c r="D6232" t="inlineStr">
        <is>
          <t>VÄSTERBOTTENS LÄN</t>
        </is>
      </c>
      <c r="E6232" t="inlineStr">
        <is>
          <t>LYCKSELE</t>
        </is>
      </c>
      <c r="G6232" t="n">
        <v>2.6</v>
      </c>
      <c r="H6232" t="n">
        <v>0</v>
      </c>
      <c r="I6232" t="n">
        <v>0</v>
      </c>
      <c r="J6232" t="n">
        <v>0</v>
      </c>
      <c r="K6232" t="n">
        <v>0</v>
      </c>
      <c r="L6232" t="n">
        <v>0</v>
      </c>
      <c r="M6232" t="n">
        <v>0</v>
      </c>
      <c r="N6232" t="n">
        <v>0</v>
      </c>
      <c r="O6232" t="n">
        <v>0</v>
      </c>
      <c r="P6232" t="n">
        <v>0</v>
      </c>
      <c r="Q6232" t="n">
        <v>0</v>
      </c>
      <c r="R6232" s="2" t="inlineStr"/>
    </row>
    <row r="6233" ht="15" customHeight="1">
      <c r="A6233" t="inlineStr">
        <is>
          <t>A 49210-2025</t>
        </is>
      </c>
      <c r="B6233" s="1" t="n">
        <v>45938.43741898148</v>
      </c>
      <c r="C6233" s="1" t="n">
        <v>46075</v>
      </c>
      <c r="D6233" t="inlineStr">
        <is>
          <t>VÄSTERBOTTENS LÄN</t>
        </is>
      </c>
      <c r="E6233" t="inlineStr">
        <is>
          <t>ÅSELE</t>
        </is>
      </c>
      <c r="F6233" t="inlineStr">
        <is>
          <t>Holmen skog AB</t>
        </is>
      </c>
      <c r="G6233" t="n">
        <v>2.9</v>
      </c>
      <c r="H6233" t="n">
        <v>0</v>
      </c>
      <c r="I6233" t="n">
        <v>0</v>
      </c>
      <c r="J6233" t="n">
        <v>0</v>
      </c>
      <c r="K6233" t="n">
        <v>0</v>
      </c>
      <c r="L6233" t="n">
        <v>0</v>
      </c>
      <c r="M6233" t="n">
        <v>0</v>
      </c>
      <c r="N6233" t="n">
        <v>0</v>
      </c>
      <c r="O6233" t="n">
        <v>0</v>
      </c>
      <c r="P6233" t="n">
        <v>0</v>
      </c>
      <c r="Q6233" t="n">
        <v>0</v>
      </c>
      <c r="R6233" s="2" t="inlineStr"/>
    </row>
    <row r="6234" ht="15" customHeight="1">
      <c r="A6234" t="inlineStr">
        <is>
          <t>A 22113-2024</t>
        </is>
      </c>
      <c r="B6234" s="1" t="n">
        <v>45443</v>
      </c>
      <c r="C6234" s="1" t="n">
        <v>46075</v>
      </c>
      <c r="D6234" t="inlineStr">
        <is>
          <t>VÄSTERBOTTENS LÄN</t>
        </is>
      </c>
      <c r="E6234" t="inlineStr">
        <is>
          <t>ÅSELE</t>
        </is>
      </c>
      <c r="F6234" t="inlineStr">
        <is>
          <t>SCA</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31384-2024</t>
        </is>
      </c>
      <c r="B6235" s="1" t="n">
        <v>45505</v>
      </c>
      <c r="C6235" s="1" t="n">
        <v>46075</v>
      </c>
      <c r="D6235" t="inlineStr">
        <is>
          <t>VÄSTERBOTTENS LÄN</t>
        </is>
      </c>
      <c r="E6235" t="inlineStr">
        <is>
          <t>SKELLEFTEÅ</t>
        </is>
      </c>
      <c r="G6235" t="n">
        <v>19.9</v>
      </c>
      <c r="H6235" t="n">
        <v>0</v>
      </c>
      <c r="I6235" t="n">
        <v>0</v>
      </c>
      <c r="J6235" t="n">
        <v>0</v>
      </c>
      <c r="K6235" t="n">
        <v>0</v>
      </c>
      <c r="L6235" t="n">
        <v>0</v>
      </c>
      <c r="M6235" t="n">
        <v>0</v>
      </c>
      <c r="N6235" t="n">
        <v>0</v>
      </c>
      <c r="O6235" t="n">
        <v>0</v>
      </c>
      <c r="P6235" t="n">
        <v>0</v>
      </c>
      <c r="Q6235" t="n">
        <v>0</v>
      </c>
      <c r="R6235" s="2" t="inlineStr"/>
    </row>
    <row r="6236" ht="15" customHeight="1">
      <c r="A6236" t="inlineStr">
        <is>
          <t>A 49859-2025</t>
        </is>
      </c>
      <c r="B6236" s="1" t="n">
        <v>45940.51138888889</v>
      </c>
      <c r="C6236" s="1" t="n">
        <v>46075</v>
      </c>
      <c r="D6236" t="inlineStr">
        <is>
          <t>VÄSTERBOTTENS LÄN</t>
        </is>
      </c>
      <c r="E6236" t="inlineStr">
        <is>
          <t>LYCKSELE</t>
        </is>
      </c>
      <c r="F6236" t="inlineStr">
        <is>
          <t>SCA</t>
        </is>
      </c>
      <c r="G6236" t="n">
        <v>6</v>
      </c>
      <c r="H6236" t="n">
        <v>0</v>
      </c>
      <c r="I6236" t="n">
        <v>0</v>
      </c>
      <c r="J6236" t="n">
        <v>0</v>
      </c>
      <c r="K6236" t="n">
        <v>0</v>
      </c>
      <c r="L6236" t="n">
        <v>0</v>
      </c>
      <c r="M6236" t="n">
        <v>0</v>
      </c>
      <c r="N6236" t="n">
        <v>0</v>
      </c>
      <c r="O6236" t="n">
        <v>0</v>
      </c>
      <c r="P6236" t="n">
        <v>0</v>
      </c>
      <c r="Q6236" t="n">
        <v>0</v>
      </c>
      <c r="R6236" s="2" t="inlineStr"/>
    </row>
    <row r="6237" ht="15" customHeight="1">
      <c r="A6237" t="inlineStr">
        <is>
          <t>A 5898-2022</t>
        </is>
      </c>
      <c r="B6237" s="1" t="n">
        <v>44596</v>
      </c>
      <c r="C6237" s="1" t="n">
        <v>46075</v>
      </c>
      <c r="D6237" t="inlineStr">
        <is>
          <t>VÄSTERBOTTENS LÄN</t>
        </is>
      </c>
      <c r="E6237" t="inlineStr">
        <is>
          <t>STORUMAN</t>
        </is>
      </c>
      <c r="G6237" t="n">
        <v>20.2</v>
      </c>
      <c r="H6237" t="n">
        <v>0</v>
      </c>
      <c r="I6237" t="n">
        <v>0</v>
      </c>
      <c r="J6237" t="n">
        <v>0</v>
      </c>
      <c r="K6237" t="n">
        <v>0</v>
      </c>
      <c r="L6237" t="n">
        <v>0</v>
      </c>
      <c r="M6237" t="n">
        <v>0</v>
      </c>
      <c r="N6237" t="n">
        <v>0</v>
      </c>
      <c r="O6237" t="n">
        <v>0</v>
      </c>
      <c r="P6237" t="n">
        <v>0</v>
      </c>
      <c r="Q6237" t="n">
        <v>0</v>
      </c>
      <c r="R6237" s="2" t="inlineStr"/>
    </row>
    <row r="6238" ht="15" customHeight="1">
      <c r="A6238" t="inlineStr">
        <is>
          <t>A 50158-2025</t>
        </is>
      </c>
      <c r="B6238" s="1" t="n">
        <v>45943.58369212963</v>
      </c>
      <c r="C6238" s="1" t="n">
        <v>46075</v>
      </c>
      <c r="D6238" t="inlineStr">
        <is>
          <t>VÄSTERBOTTENS LÄN</t>
        </is>
      </c>
      <c r="E6238" t="inlineStr">
        <is>
          <t>SKELLEFTEÅ</t>
        </is>
      </c>
      <c r="G6238" t="n">
        <v>0.1</v>
      </c>
      <c r="H6238" t="n">
        <v>0</v>
      </c>
      <c r="I6238" t="n">
        <v>0</v>
      </c>
      <c r="J6238" t="n">
        <v>0</v>
      </c>
      <c r="K6238" t="n">
        <v>0</v>
      </c>
      <c r="L6238" t="n">
        <v>0</v>
      </c>
      <c r="M6238" t="n">
        <v>0</v>
      </c>
      <c r="N6238" t="n">
        <v>0</v>
      </c>
      <c r="O6238" t="n">
        <v>0</v>
      </c>
      <c r="P6238" t="n">
        <v>0</v>
      </c>
      <c r="Q6238" t="n">
        <v>0</v>
      </c>
      <c r="R6238" s="2" t="inlineStr"/>
    </row>
    <row r="6239" ht="15" customHeight="1">
      <c r="A6239" t="inlineStr">
        <is>
          <t>A 49803-2025</t>
        </is>
      </c>
      <c r="B6239" s="1" t="n">
        <v>45940.41320601852</v>
      </c>
      <c r="C6239" s="1" t="n">
        <v>46075</v>
      </c>
      <c r="D6239" t="inlineStr">
        <is>
          <t>VÄSTERBOTTENS LÄN</t>
        </is>
      </c>
      <c r="E6239" t="inlineStr">
        <is>
          <t>LYCKSELE</t>
        </is>
      </c>
      <c r="G6239" t="n">
        <v>8.800000000000001</v>
      </c>
      <c r="H6239" t="n">
        <v>0</v>
      </c>
      <c r="I6239" t="n">
        <v>0</v>
      </c>
      <c r="J6239" t="n">
        <v>0</v>
      </c>
      <c r="K6239" t="n">
        <v>0</v>
      </c>
      <c r="L6239" t="n">
        <v>0</v>
      </c>
      <c r="M6239" t="n">
        <v>0</v>
      </c>
      <c r="N6239" t="n">
        <v>0</v>
      </c>
      <c r="O6239" t="n">
        <v>0</v>
      </c>
      <c r="P6239" t="n">
        <v>0</v>
      </c>
      <c r="Q6239" t="n">
        <v>0</v>
      </c>
      <c r="R6239" s="2" t="inlineStr"/>
    </row>
    <row r="6240" ht="15" customHeight="1">
      <c r="A6240" t="inlineStr">
        <is>
          <t>A 58775-2024</t>
        </is>
      </c>
      <c r="B6240" s="1" t="n">
        <v>45635.80533564815</v>
      </c>
      <c r="C6240" s="1" t="n">
        <v>46075</v>
      </c>
      <c r="D6240" t="inlineStr">
        <is>
          <t>VÄSTERBOTTENS LÄN</t>
        </is>
      </c>
      <c r="E6240" t="inlineStr">
        <is>
          <t>SKELLEFTEÅ</t>
        </is>
      </c>
      <c r="F6240" t="inlineStr">
        <is>
          <t>Sveaskog</t>
        </is>
      </c>
      <c r="G6240" t="n">
        <v>3.9</v>
      </c>
      <c r="H6240" t="n">
        <v>0</v>
      </c>
      <c r="I6240" t="n">
        <v>0</v>
      </c>
      <c r="J6240" t="n">
        <v>0</v>
      </c>
      <c r="K6240" t="n">
        <v>0</v>
      </c>
      <c r="L6240" t="n">
        <v>0</v>
      </c>
      <c r="M6240" t="n">
        <v>0</v>
      </c>
      <c r="N6240" t="n">
        <v>0</v>
      </c>
      <c r="O6240" t="n">
        <v>0</v>
      </c>
      <c r="P6240" t="n">
        <v>0</v>
      </c>
      <c r="Q6240" t="n">
        <v>0</v>
      </c>
      <c r="R6240" s="2" t="inlineStr"/>
    </row>
    <row r="6241" ht="15" customHeight="1">
      <c r="A6241" t="inlineStr">
        <is>
          <t>A 49849-2025</t>
        </is>
      </c>
      <c r="B6241" s="1" t="n">
        <v>45940.48415509259</v>
      </c>
      <c r="C6241" s="1" t="n">
        <v>46075</v>
      </c>
      <c r="D6241" t="inlineStr">
        <is>
          <t>VÄSTERBOTTENS LÄN</t>
        </is>
      </c>
      <c r="E6241" t="inlineStr">
        <is>
          <t>NORDMALING</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12939-2025</t>
        </is>
      </c>
      <c r="B6242" s="1" t="n">
        <v>45734.36378472222</v>
      </c>
      <c r="C6242" s="1" t="n">
        <v>46075</v>
      </c>
      <c r="D6242" t="inlineStr">
        <is>
          <t>VÄSTERBOTTENS LÄN</t>
        </is>
      </c>
      <c r="E6242" t="inlineStr">
        <is>
          <t>SKELLEFTEÅ</t>
        </is>
      </c>
      <c r="G6242" t="n">
        <v>10.6</v>
      </c>
      <c r="H6242" t="n">
        <v>0</v>
      </c>
      <c r="I6242" t="n">
        <v>0</v>
      </c>
      <c r="J6242" t="n">
        <v>0</v>
      </c>
      <c r="K6242" t="n">
        <v>0</v>
      </c>
      <c r="L6242" t="n">
        <v>0</v>
      </c>
      <c r="M6242" t="n">
        <v>0</v>
      </c>
      <c r="N6242" t="n">
        <v>0</v>
      </c>
      <c r="O6242" t="n">
        <v>0</v>
      </c>
      <c r="P6242" t="n">
        <v>0</v>
      </c>
      <c r="Q6242" t="n">
        <v>0</v>
      </c>
      <c r="R6242" s="2" t="inlineStr"/>
    </row>
    <row r="6243" ht="15" customHeight="1">
      <c r="A6243" t="inlineStr">
        <is>
          <t>A 26582-2023</t>
        </is>
      </c>
      <c r="B6243" s="1" t="n">
        <v>45090</v>
      </c>
      <c r="C6243" s="1" t="n">
        <v>46075</v>
      </c>
      <c r="D6243" t="inlineStr">
        <is>
          <t>VÄSTERBOTTENS LÄN</t>
        </is>
      </c>
      <c r="E6243" t="inlineStr">
        <is>
          <t>SORSELE</t>
        </is>
      </c>
      <c r="G6243" t="n">
        <v>5.9</v>
      </c>
      <c r="H6243" t="n">
        <v>0</v>
      </c>
      <c r="I6243" t="n">
        <v>0</v>
      </c>
      <c r="J6243" t="n">
        <v>0</v>
      </c>
      <c r="K6243" t="n">
        <v>0</v>
      </c>
      <c r="L6243" t="n">
        <v>0</v>
      </c>
      <c r="M6243" t="n">
        <v>0</v>
      </c>
      <c r="N6243" t="n">
        <v>0</v>
      </c>
      <c r="O6243" t="n">
        <v>0</v>
      </c>
      <c r="P6243" t="n">
        <v>0</v>
      </c>
      <c r="Q6243" t="n">
        <v>0</v>
      </c>
      <c r="R6243" s="2" t="inlineStr"/>
    </row>
    <row r="6244" ht="15" customHeight="1">
      <c r="A6244" t="inlineStr">
        <is>
          <t>A 49970-2025</t>
        </is>
      </c>
      <c r="B6244" s="1" t="n">
        <v>45941.82208333333</v>
      </c>
      <c r="C6244" s="1" t="n">
        <v>46075</v>
      </c>
      <c r="D6244" t="inlineStr">
        <is>
          <t>VÄSTERBOTTENS LÄN</t>
        </is>
      </c>
      <c r="E6244" t="inlineStr">
        <is>
          <t>SKELLEFTEÅ</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49977-2025</t>
        </is>
      </c>
      <c r="B6245" s="1" t="n">
        <v>45942.61509259259</v>
      </c>
      <c r="C6245" s="1" t="n">
        <v>46075</v>
      </c>
      <c r="D6245" t="inlineStr">
        <is>
          <t>VÄSTERBOTTENS LÄN</t>
        </is>
      </c>
      <c r="E6245" t="inlineStr">
        <is>
          <t>LYCKSELE</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29962-2024</t>
        </is>
      </c>
      <c r="B6246" s="1" t="n">
        <v>45488.46452546296</v>
      </c>
      <c r="C6246" s="1" t="n">
        <v>46075</v>
      </c>
      <c r="D6246" t="inlineStr">
        <is>
          <t>VÄSTERBOTTENS LÄN</t>
        </is>
      </c>
      <c r="E6246" t="inlineStr">
        <is>
          <t>ÅSELE</t>
        </is>
      </c>
      <c r="G6246" t="n">
        <v>8.800000000000001</v>
      </c>
      <c r="H6246" t="n">
        <v>0</v>
      </c>
      <c r="I6246" t="n">
        <v>0</v>
      </c>
      <c r="J6246" t="n">
        <v>0</v>
      </c>
      <c r="K6246" t="n">
        <v>0</v>
      </c>
      <c r="L6246" t="n">
        <v>0</v>
      </c>
      <c r="M6246" t="n">
        <v>0</v>
      </c>
      <c r="N6246" t="n">
        <v>0</v>
      </c>
      <c r="O6246" t="n">
        <v>0</v>
      </c>
      <c r="P6246" t="n">
        <v>0</v>
      </c>
      <c r="Q6246" t="n">
        <v>0</v>
      </c>
      <c r="R6246" s="2" t="inlineStr"/>
    </row>
    <row r="6247" ht="15" customHeight="1">
      <c r="A6247" t="inlineStr">
        <is>
          <t>A 50021-2025</t>
        </is>
      </c>
      <c r="B6247" s="1" t="n">
        <v>45943.37326388889</v>
      </c>
      <c r="C6247" s="1" t="n">
        <v>46075</v>
      </c>
      <c r="D6247" t="inlineStr">
        <is>
          <t>VÄSTERBOTTENS LÄN</t>
        </is>
      </c>
      <c r="E6247" t="inlineStr">
        <is>
          <t>LYCKSELE</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46076-2022</t>
        </is>
      </c>
      <c r="B6248" s="1" t="n">
        <v>44845</v>
      </c>
      <c r="C6248" s="1" t="n">
        <v>46075</v>
      </c>
      <c r="D6248" t="inlineStr">
        <is>
          <t>VÄSTERBOTTENS LÄN</t>
        </is>
      </c>
      <c r="E6248" t="inlineStr">
        <is>
          <t>SORSELE</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49799-2025</t>
        </is>
      </c>
      <c r="B6249" s="1" t="n">
        <v>45940.4083912037</v>
      </c>
      <c r="C6249" s="1" t="n">
        <v>46075</v>
      </c>
      <c r="D6249" t="inlineStr">
        <is>
          <t>VÄSTERBOTTENS LÄN</t>
        </is>
      </c>
      <c r="E6249" t="inlineStr">
        <is>
          <t>UMEÅ</t>
        </is>
      </c>
      <c r="G6249" t="n">
        <v>5.2</v>
      </c>
      <c r="H6249" t="n">
        <v>0</v>
      </c>
      <c r="I6249" t="n">
        <v>0</v>
      </c>
      <c r="J6249" t="n">
        <v>0</v>
      </c>
      <c r="K6249" t="n">
        <v>0</v>
      </c>
      <c r="L6249" t="n">
        <v>0</v>
      </c>
      <c r="M6249" t="n">
        <v>0</v>
      </c>
      <c r="N6249" t="n">
        <v>0</v>
      </c>
      <c r="O6249" t="n">
        <v>0</v>
      </c>
      <c r="P6249" t="n">
        <v>0</v>
      </c>
      <c r="Q6249" t="n">
        <v>0</v>
      </c>
      <c r="R6249" s="2" t="inlineStr"/>
    </row>
    <row r="6250" ht="15" customHeight="1">
      <c r="A6250" t="inlineStr">
        <is>
          <t>A 49820-2025</t>
        </is>
      </c>
      <c r="B6250" s="1" t="n">
        <v>45940.43907407407</v>
      </c>
      <c r="C6250" s="1" t="n">
        <v>46075</v>
      </c>
      <c r="D6250" t="inlineStr">
        <is>
          <t>VÄSTERBOTTENS LÄN</t>
        </is>
      </c>
      <c r="E6250" t="inlineStr">
        <is>
          <t>VÄNNÄS</t>
        </is>
      </c>
      <c r="F6250" t="inlineStr">
        <is>
          <t>Holmen skog AB</t>
        </is>
      </c>
      <c r="G6250" t="n">
        <v>2.8</v>
      </c>
      <c r="H6250" t="n">
        <v>0</v>
      </c>
      <c r="I6250" t="n">
        <v>0</v>
      </c>
      <c r="J6250" t="n">
        <v>0</v>
      </c>
      <c r="K6250" t="n">
        <v>0</v>
      </c>
      <c r="L6250" t="n">
        <v>0</v>
      </c>
      <c r="M6250" t="n">
        <v>0</v>
      </c>
      <c r="N6250" t="n">
        <v>0</v>
      </c>
      <c r="O6250" t="n">
        <v>0</v>
      </c>
      <c r="P6250" t="n">
        <v>0</v>
      </c>
      <c r="Q6250" t="n">
        <v>0</v>
      </c>
      <c r="R6250" s="2" t="inlineStr"/>
    </row>
    <row r="6251" ht="15" customHeight="1">
      <c r="A6251" t="inlineStr">
        <is>
          <t>A 11729-2025</t>
        </is>
      </c>
      <c r="B6251" s="1" t="n">
        <v>45727.61769675926</v>
      </c>
      <c r="C6251" s="1" t="n">
        <v>46075</v>
      </c>
      <c r="D6251" t="inlineStr">
        <is>
          <t>VÄSTERBOTTENS LÄN</t>
        </is>
      </c>
      <c r="E6251" t="inlineStr">
        <is>
          <t>BJURHOLM</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49840-2025</t>
        </is>
      </c>
      <c r="B6252" s="1" t="n">
        <v>45940.46934027778</v>
      </c>
      <c r="C6252" s="1" t="n">
        <v>46075</v>
      </c>
      <c r="D6252" t="inlineStr">
        <is>
          <t>VÄSTERBOTTENS LÄN</t>
        </is>
      </c>
      <c r="E6252" t="inlineStr">
        <is>
          <t>SKELLEFTEÅ</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59486-2024</t>
        </is>
      </c>
      <c r="B6253" s="1" t="n">
        <v>45638.53171296296</v>
      </c>
      <c r="C6253" s="1" t="n">
        <v>46075</v>
      </c>
      <c r="D6253" t="inlineStr">
        <is>
          <t>VÄSTERBOTTENS LÄN</t>
        </is>
      </c>
      <c r="E6253" t="inlineStr">
        <is>
          <t>NORDMALING</t>
        </is>
      </c>
      <c r="F6253" t="inlineStr">
        <is>
          <t>SCA</t>
        </is>
      </c>
      <c r="G6253" t="n">
        <v>3.6</v>
      </c>
      <c r="H6253" t="n">
        <v>0</v>
      </c>
      <c r="I6253" t="n">
        <v>0</v>
      </c>
      <c r="J6253" t="n">
        <v>0</v>
      </c>
      <c r="K6253" t="n">
        <v>0</v>
      </c>
      <c r="L6253" t="n">
        <v>0</v>
      </c>
      <c r="M6253" t="n">
        <v>0</v>
      </c>
      <c r="N6253" t="n">
        <v>0</v>
      </c>
      <c r="O6253" t="n">
        <v>0</v>
      </c>
      <c r="P6253" t="n">
        <v>0</v>
      </c>
      <c r="Q6253" t="n">
        <v>0</v>
      </c>
      <c r="R6253" s="2" t="inlineStr"/>
    </row>
    <row r="6254" ht="15" customHeight="1">
      <c r="A6254" t="inlineStr">
        <is>
          <t>A 50148-2025</t>
        </is>
      </c>
      <c r="B6254" s="1" t="n">
        <v>45943.57296296296</v>
      </c>
      <c r="C6254" s="1" t="n">
        <v>46075</v>
      </c>
      <c r="D6254" t="inlineStr">
        <is>
          <t>VÄSTERBOTTENS LÄN</t>
        </is>
      </c>
      <c r="E6254" t="inlineStr">
        <is>
          <t>VILHELMINA</t>
        </is>
      </c>
      <c r="G6254" t="n">
        <v>18.9</v>
      </c>
      <c r="H6254" t="n">
        <v>0</v>
      </c>
      <c r="I6254" t="n">
        <v>0</v>
      </c>
      <c r="J6254" t="n">
        <v>0</v>
      </c>
      <c r="K6254" t="n">
        <v>0</v>
      </c>
      <c r="L6254" t="n">
        <v>0</v>
      </c>
      <c r="M6254" t="n">
        <v>0</v>
      </c>
      <c r="N6254" t="n">
        <v>0</v>
      </c>
      <c r="O6254" t="n">
        <v>0</v>
      </c>
      <c r="P6254" t="n">
        <v>0</v>
      </c>
      <c r="Q6254" t="n">
        <v>0</v>
      </c>
      <c r="R6254" s="2" t="inlineStr"/>
    </row>
    <row r="6255" ht="15" customHeight="1">
      <c r="A6255" t="inlineStr">
        <is>
          <t>A 50159-2025</t>
        </is>
      </c>
      <c r="B6255" s="1" t="n">
        <v>45943.58391203704</v>
      </c>
      <c r="C6255" s="1" t="n">
        <v>46075</v>
      </c>
      <c r="D6255" t="inlineStr">
        <is>
          <t>VÄSTERBOTTENS LÄN</t>
        </is>
      </c>
      <c r="E6255" t="inlineStr">
        <is>
          <t>UMEÅ</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50174-2025</t>
        </is>
      </c>
      <c r="B6256" s="1" t="n">
        <v>45943.6072337963</v>
      </c>
      <c r="C6256" s="1" t="n">
        <v>46075</v>
      </c>
      <c r="D6256" t="inlineStr">
        <is>
          <t>VÄSTERBOTTENS LÄN</t>
        </is>
      </c>
      <c r="E6256" t="inlineStr">
        <is>
          <t>VINDELN</t>
        </is>
      </c>
      <c r="G6256" t="n">
        <v>2.9</v>
      </c>
      <c r="H6256" t="n">
        <v>0</v>
      </c>
      <c r="I6256" t="n">
        <v>0</v>
      </c>
      <c r="J6256" t="n">
        <v>0</v>
      </c>
      <c r="K6256" t="n">
        <v>0</v>
      </c>
      <c r="L6256" t="n">
        <v>0</v>
      </c>
      <c r="M6256" t="n">
        <v>0</v>
      </c>
      <c r="N6256" t="n">
        <v>0</v>
      </c>
      <c r="O6256" t="n">
        <v>0</v>
      </c>
      <c r="P6256" t="n">
        <v>0</v>
      </c>
      <c r="Q6256" t="n">
        <v>0</v>
      </c>
      <c r="R6256" s="2" t="inlineStr"/>
    </row>
    <row r="6257" ht="15" customHeight="1">
      <c r="A6257" t="inlineStr">
        <is>
          <t>A 49968-2025</t>
        </is>
      </c>
      <c r="B6257" s="1" t="n">
        <v>45941.80741898148</v>
      </c>
      <c r="C6257" s="1" t="n">
        <v>46075</v>
      </c>
      <c r="D6257" t="inlineStr">
        <is>
          <t>VÄSTERBOTTENS LÄN</t>
        </is>
      </c>
      <c r="E6257" t="inlineStr">
        <is>
          <t>LYCKSELE</t>
        </is>
      </c>
      <c r="G6257" t="n">
        <v>3.4</v>
      </c>
      <c r="H6257" t="n">
        <v>0</v>
      </c>
      <c r="I6257" t="n">
        <v>0</v>
      </c>
      <c r="J6257" t="n">
        <v>0</v>
      </c>
      <c r="K6257" t="n">
        <v>0</v>
      </c>
      <c r="L6257" t="n">
        <v>0</v>
      </c>
      <c r="M6257" t="n">
        <v>0</v>
      </c>
      <c r="N6257" t="n">
        <v>0</v>
      </c>
      <c r="O6257" t="n">
        <v>0</v>
      </c>
      <c r="P6257" t="n">
        <v>0</v>
      </c>
      <c r="Q6257" t="n">
        <v>0</v>
      </c>
      <c r="R6257" s="2" t="inlineStr"/>
    </row>
    <row r="6258" ht="15" customHeight="1">
      <c r="A6258" t="inlineStr">
        <is>
          <t>A 50027-2025</t>
        </is>
      </c>
      <c r="B6258" s="1" t="n">
        <v>45943.38288194445</v>
      </c>
      <c r="C6258" s="1" t="n">
        <v>46075</v>
      </c>
      <c r="D6258" t="inlineStr">
        <is>
          <t>VÄSTERBOTTENS LÄN</t>
        </is>
      </c>
      <c r="E6258" t="inlineStr">
        <is>
          <t>BJURHOLM</t>
        </is>
      </c>
      <c r="G6258" t="n">
        <v>2.6</v>
      </c>
      <c r="H6258" t="n">
        <v>0</v>
      </c>
      <c r="I6258" t="n">
        <v>0</v>
      </c>
      <c r="J6258" t="n">
        <v>0</v>
      </c>
      <c r="K6258" t="n">
        <v>0</v>
      </c>
      <c r="L6258" t="n">
        <v>0</v>
      </c>
      <c r="M6258" t="n">
        <v>0</v>
      </c>
      <c r="N6258" t="n">
        <v>0</v>
      </c>
      <c r="O6258" t="n">
        <v>0</v>
      </c>
      <c r="P6258" t="n">
        <v>0</v>
      </c>
      <c r="Q6258" t="n">
        <v>0</v>
      </c>
      <c r="R6258" s="2" t="inlineStr"/>
    </row>
    <row r="6259" ht="15" customHeight="1">
      <c r="A6259" t="inlineStr">
        <is>
          <t>A 55039-2024</t>
        </is>
      </c>
      <c r="B6259" s="1" t="n">
        <v>45621.38637731481</v>
      </c>
      <c r="C6259" s="1" t="n">
        <v>46075</v>
      </c>
      <c r="D6259" t="inlineStr">
        <is>
          <t>VÄSTERBOTTENS LÄN</t>
        </is>
      </c>
      <c r="E6259" t="inlineStr">
        <is>
          <t>NORSJÖ</t>
        </is>
      </c>
      <c r="G6259" t="n">
        <v>1.9</v>
      </c>
      <c r="H6259" t="n">
        <v>0</v>
      </c>
      <c r="I6259" t="n">
        <v>0</v>
      </c>
      <c r="J6259" t="n">
        <v>0</v>
      </c>
      <c r="K6259" t="n">
        <v>0</v>
      </c>
      <c r="L6259" t="n">
        <v>0</v>
      </c>
      <c r="M6259" t="n">
        <v>0</v>
      </c>
      <c r="N6259" t="n">
        <v>0</v>
      </c>
      <c r="O6259" t="n">
        <v>0</v>
      </c>
      <c r="P6259" t="n">
        <v>0</v>
      </c>
      <c r="Q6259" t="n">
        <v>0</v>
      </c>
      <c r="R6259" s="2" t="inlineStr"/>
    </row>
    <row r="6260" ht="15" customHeight="1">
      <c r="A6260" t="inlineStr">
        <is>
          <t>A 18339-2025</t>
        </is>
      </c>
      <c r="B6260" s="1" t="n">
        <v>45762.51096064815</v>
      </c>
      <c r="C6260" s="1" t="n">
        <v>46075</v>
      </c>
      <c r="D6260" t="inlineStr">
        <is>
          <t>VÄSTERBOTTENS LÄN</t>
        </is>
      </c>
      <c r="E6260" t="inlineStr">
        <is>
          <t>LYCKSELE</t>
        </is>
      </c>
      <c r="F6260" t="inlineStr">
        <is>
          <t>Naturvårdsverket</t>
        </is>
      </c>
      <c r="G6260" t="n">
        <v>13.4</v>
      </c>
      <c r="H6260" t="n">
        <v>0</v>
      </c>
      <c r="I6260" t="n">
        <v>0</v>
      </c>
      <c r="J6260" t="n">
        <v>0</v>
      </c>
      <c r="K6260" t="n">
        <v>0</v>
      </c>
      <c r="L6260" t="n">
        <v>0</v>
      </c>
      <c r="M6260" t="n">
        <v>0</v>
      </c>
      <c r="N6260" t="n">
        <v>0</v>
      </c>
      <c r="O6260" t="n">
        <v>0</v>
      </c>
      <c r="P6260" t="n">
        <v>0</v>
      </c>
      <c r="Q6260" t="n">
        <v>0</v>
      </c>
      <c r="R6260" s="2" t="inlineStr"/>
    </row>
    <row r="6261" ht="15" customHeight="1">
      <c r="A6261" t="inlineStr">
        <is>
          <t>A 55067-2024</t>
        </is>
      </c>
      <c r="B6261" s="1" t="n">
        <v>45621.41216435185</v>
      </c>
      <c r="C6261" s="1" t="n">
        <v>46075</v>
      </c>
      <c r="D6261" t="inlineStr">
        <is>
          <t>VÄSTERBOTTENS LÄN</t>
        </is>
      </c>
      <c r="E6261" t="inlineStr">
        <is>
          <t>MALÅ</t>
        </is>
      </c>
      <c r="G6261" t="n">
        <v>4.9</v>
      </c>
      <c r="H6261" t="n">
        <v>0</v>
      </c>
      <c r="I6261" t="n">
        <v>0</v>
      </c>
      <c r="J6261" t="n">
        <v>0</v>
      </c>
      <c r="K6261" t="n">
        <v>0</v>
      </c>
      <c r="L6261" t="n">
        <v>0</v>
      </c>
      <c r="M6261" t="n">
        <v>0</v>
      </c>
      <c r="N6261" t="n">
        <v>0</v>
      </c>
      <c r="O6261" t="n">
        <v>0</v>
      </c>
      <c r="P6261" t="n">
        <v>0</v>
      </c>
      <c r="Q6261" t="n">
        <v>0</v>
      </c>
      <c r="R6261" s="2" t="inlineStr"/>
    </row>
    <row r="6262" ht="15" customHeight="1">
      <c r="A6262" t="inlineStr">
        <is>
          <t>A 49725-2025</t>
        </is>
      </c>
      <c r="B6262" s="1" t="n">
        <v>45939.84310185185</v>
      </c>
      <c r="C6262" s="1" t="n">
        <v>46075</v>
      </c>
      <c r="D6262" t="inlineStr">
        <is>
          <t>VÄSTERBOTTENS LÄN</t>
        </is>
      </c>
      <c r="E6262" t="inlineStr">
        <is>
          <t>VINDELN</t>
        </is>
      </c>
      <c r="G6262" t="n">
        <v>2.6</v>
      </c>
      <c r="H6262" t="n">
        <v>0</v>
      </c>
      <c r="I6262" t="n">
        <v>0</v>
      </c>
      <c r="J6262" t="n">
        <v>0</v>
      </c>
      <c r="K6262" t="n">
        <v>0</v>
      </c>
      <c r="L6262" t="n">
        <v>0</v>
      </c>
      <c r="M6262" t="n">
        <v>0</v>
      </c>
      <c r="N6262" t="n">
        <v>0</v>
      </c>
      <c r="O6262" t="n">
        <v>0</v>
      </c>
      <c r="P6262" t="n">
        <v>0</v>
      </c>
      <c r="Q6262" t="n">
        <v>0</v>
      </c>
      <c r="R6262" s="2" t="inlineStr"/>
    </row>
    <row r="6263" ht="15" customHeight="1">
      <c r="A6263" t="inlineStr">
        <is>
          <t>A 49769-2025</t>
        </is>
      </c>
      <c r="B6263" s="1" t="n">
        <v>45940.36510416667</v>
      </c>
      <c r="C6263" s="1" t="n">
        <v>46075</v>
      </c>
      <c r="D6263" t="inlineStr">
        <is>
          <t>VÄSTERBOTTENS LÄN</t>
        </is>
      </c>
      <c r="E6263" t="inlineStr">
        <is>
          <t>STORUMAN</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36800-2024</t>
        </is>
      </c>
      <c r="B6264" s="1" t="n">
        <v>45538.45694444444</v>
      </c>
      <c r="C6264" s="1" t="n">
        <v>46075</v>
      </c>
      <c r="D6264" t="inlineStr">
        <is>
          <t>VÄSTERBOTTENS LÄN</t>
        </is>
      </c>
      <c r="E6264" t="inlineStr">
        <is>
          <t>SKELLEFTEÅ</t>
        </is>
      </c>
      <c r="F6264" t="inlineStr">
        <is>
          <t>Sveaskog</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50029-2025</t>
        </is>
      </c>
      <c r="B6265" s="1" t="n">
        <v>45943.38599537037</v>
      </c>
      <c r="C6265" s="1" t="n">
        <v>46075</v>
      </c>
      <c r="D6265" t="inlineStr">
        <is>
          <t>VÄSTERBOTTENS LÄN</t>
        </is>
      </c>
      <c r="E6265" t="inlineStr">
        <is>
          <t>NORSJÖ</t>
        </is>
      </c>
      <c r="G6265" t="n">
        <v>25.3</v>
      </c>
      <c r="H6265" t="n">
        <v>0</v>
      </c>
      <c r="I6265" t="n">
        <v>0</v>
      </c>
      <c r="J6265" t="n">
        <v>0</v>
      </c>
      <c r="K6265" t="n">
        <v>0</v>
      </c>
      <c r="L6265" t="n">
        <v>0</v>
      </c>
      <c r="M6265" t="n">
        <v>0</v>
      </c>
      <c r="N6265" t="n">
        <v>0</v>
      </c>
      <c r="O6265" t="n">
        <v>0</v>
      </c>
      <c r="P6265" t="n">
        <v>0</v>
      </c>
      <c r="Q6265" t="n">
        <v>0</v>
      </c>
      <c r="R6265" s="2" t="inlineStr"/>
    </row>
    <row r="6266" ht="15" customHeight="1">
      <c r="A6266" t="inlineStr">
        <is>
          <t>A 6993-2024</t>
        </is>
      </c>
      <c r="B6266" s="1" t="n">
        <v>45343</v>
      </c>
      <c r="C6266" s="1" t="n">
        <v>46075</v>
      </c>
      <c r="D6266" t="inlineStr">
        <is>
          <t>VÄSTERBOTTENS LÄN</t>
        </is>
      </c>
      <c r="E6266" t="inlineStr">
        <is>
          <t>NORDMALING</t>
        </is>
      </c>
      <c r="F6266" t="inlineStr">
        <is>
          <t>Kommuner</t>
        </is>
      </c>
      <c r="G6266" t="n">
        <v>23.2</v>
      </c>
      <c r="H6266" t="n">
        <v>0</v>
      </c>
      <c r="I6266" t="n">
        <v>0</v>
      </c>
      <c r="J6266" t="n">
        <v>0</v>
      </c>
      <c r="K6266" t="n">
        <v>0</v>
      </c>
      <c r="L6266" t="n">
        <v>0</v>
      </c>
      <c r="M6266" t="n">
        <v>0</v>
      </c>
      <c r="N6266" t="n">
        <v>0</v>
      </c>
      <c r="O6266" t="n">
        <v>0</v>
      </c>
      <c r="P6266" t="n">
        <v>0</v>
      </c>
      <c r="Q6266" t="n">
        <v>0</v>
      </c>
      <c r="R6266" s="2" t="inlineStr"/>
    </row>
    <row r="6267" ht="15" customHeight="1">
      <c r="A6267" t="inlineStr">
        <is>
          <t>A 15484-2023</t>
        </is>
      </c>
      <c r="B6267" s="1" t="n">
        <v>45020</v>
      </c>
      <c r="C6267" s="1" t="n">
        <v>46075</v>
      </c>
      <c r="D6267" t="inlineStr">
        <is>
          <t>VÄSTERBOTTENS LÄN</t>
        </is>
      </c>
      <c r="E6267" t="inlineStr">
        <is>
          <t>ROBERTSFORS</t>
        </is>
      </c>
      <c r="F6267" t="inlineStr">
        <is>
          <t>Sveaskog</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49969-2025</t>
        </is>
      </c>
      <c r="B6268" s="1" t="n">
        <v>45941.81591435185</v>
      </c>
      <c r="C6268" s="1" t="n">
        <v>46075</v>
      </c>
      <c r="D6268" t="inlineStr">
        <is>
          <t>VÄSTERBOTTENS LÄN</t>
        </is>
      </c>
      <c r="E6268" t="inlineStr">
        <is>
          <t>NORSJÖ</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50039-2025</t>
        </is>
      </c>
      <c r="B6269" s="1" t="n">
        <v>45943.40211805556</v>
      </c>
      <c r="C6269" s="1" t="n">
        <v>46075</v>
      </c>
      <c r="D6269" t="inlineStr">
        <is>
          <t>VÄSTERBOTTENS LÄN</t>
        </is>
      </c>
      <c r="E6269" t="inlineStr">
        <is>
          <t>SKELLEFTEÅ</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36429-2024</t>
        </is>
      </c>
      <c r="B6270" s="1" t="n">
        <v>45536.85508101852</v>
      </c>
      <c r="C6270" s="1" t="n">
        <v>46075</v>
      </c>
      <c r="D6270" t="inlineStr">
        <is>
          <t>VÄSTERBOTTENS LÄN</t>
        </is>
      </c>
      <c r="E6270" t="inlineStr">
        <is>
          <t>NORDMALING</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50028-2025</t>
        </is>
      </c>
      <c r="B6271" s="1" t="n">
        <v>45943.38590277778</v>
      </c>
      <c r="C6271" s="1" t="n">
        <v>46075</v>
      </c>
      <c r="D6271" t="inlineStr">
        <is>
          <t>VÄSTERBOTTENS LÄN</t>
        </is>
      </c>
      <c r="E6271" t="inlineStr">
        <is>
          <t>NORSJÖ</t>
        </is>
      </c>
      <c r="G6271" t="n">
        <v>10.7</v>
      </c>
      <c r="H6271" t="n">
        <v>0</v>
      </c>
      <c r="I6271" t="n">
        <v>0</v>
      </c>
      <c r="J6271" t="n">
        <v>0</v>
      </c>
      <c r="K6271" t="n">
        <v>0</v>
      </c>
      <c r="L6271" t="n">
        <v>0</v>
      </c>
      <c r="M6271" t="n">
        <v>0</v>
      </c>
      <c r="N6271" t="n">
        <v>0</v>
      </c>
      <c r="O6271" t="n">
        <v>0</v>
      </c>
      <c r="P6271" t="n">
        <v>0</v>
      </c>
      <c r="Q6271" t="n">
        <v>0</v>
      </c>
      <c r="R6271" s="2" t="inlineStr"/>
    </row>
    <row r="6272" ht="15" customHeight="1">
      <c r="A6272" t="inlineStr">
        <is>
          <t>A 50046-2025</t>
        </is>
      </c>
      <c r="B6272" s="1" t="n">
        <v>45943.40912037037</v>
      </c>
      <c r="C6272" s="1" t="n">
        <v>46075</v>
      </c>
      <c r="D6272" t="inlineStr">
        <is>
          <t>VÄSTERBOTTENS LÄN</t>
        </is>
      </c>
      <c r="E6272" t="inlineStr">
        <is>
          <t>BJURHOLM</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50169-2025</t>
        </is>
      </c>
      <c r="B6273" s="1" t="n">
        <v>45943.59478009259</v>
      </c>
      <c r="C6273" s="1" t="n">
        <v>46075</v>
      </c>
      <c r="D6273" t="inlineStr">
        <is>
          <t>VÄSTERBOTTENS LÄN</t>
        </is>
      </c>
      <c r="E6273" t="inlineStr">
        <is>
          <t>NORSJÖ</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50036-2025</t>
        </is>
      </c>
      <c r="B6274" s="1" t="n">
        <v>45943.39673611111</v>
      </c>
      <c r="C6274" s="1" t="n">
        <v>46075</v>
      </c>
      <c r="D6274" t="inlineStr">
        <is>
          <t>VÄSTERBOTTENS LÄN</t>
        </is>
      </c>
      <c r="E6274" t="inlineStr">
        <is>
          <t>SKELLEFTEÅ</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50041-2025</t>
        </is>
      </c>
      <c r="B6275" s="1" t="n">
        <v>45943.40491898148</v>
      </c>
      <c r="C6275" s="1" t="n">
        <v>46075</v>
      </c>
      <c r="D6275" t="inlineStr">
        <is>
          <t>VÄSTERBOTTENS LÄN</t>
        </is>
      </c>
      <c r="E6275" t="inlineStr">
        <is>
          <t>BJURHOLM</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59011-2024</t>
        </is>
      </c>
      <c r="B6276" s="1" t="n">
        <v>45636</v>
      </c>
      <c r="C6276" s="1" t="n">
        <v>46075</v>
      </c>
      <c r="D6276" t="inlineStr">
        <is>
          <t>VÄSTERBOTTENS LÄN</t>
        </is>
      </c>
      <c r="E6276" t="inlineStr">
        <is>
          <t>VILHELMINA</t>
        </is>
      </c>
      <c r="F6276" t="inlineStr">
        <is>
          <t>Allmännings- och besparingsskogar</t>
        </is>
      </c>
      <c r="G6276" t="n">
        <v>36</v>
      </c>
      <c r="H6276" t="n">
        <v>0</v>
      </c>
      <c r="I6276" t="n">
        <v>0</v>
      </c>
      <c r="J6276" t="n">
        <v>0</v>
      </c>
      <c r="K6276" t="n">
        <v>0</v>
      </c>
      <c r="L6276" t="n">
        <v>0</v>
      </c>
      <c r="M6276" t="n">
        <v>0</v>
      </c>
      <c r="N6276" t="n">
        <v>0</v>
      </c>
      <c r="O6276" t="n">
        <v>0</v>
      </c>
      <c r="P6276" t="n">
        <v>0</v>
      </c>
      <c r="Q6276" t="n">
        <v>0</v>
      </c>
      <c r="R6276" s="2" t="inlineStr"/>
    </row>
    <row r="6277" ht="15" customHeight="1">
      <c r="A6277" t="inlineStr">
        <is>
          <t>A 49783-2025</t>
        </is>
      </c>
      <c r="B6277" s="1" t="n">
        <v>45940.39555555556</v>
      </c>
      <c r="C6277" s="1" t="n">
        <v>46075</v>
      </c>
      <c r="D6277" t="inlineStr">
        <is>
          <t>VÄSTERBOTTENS LÄN</t>
        </is>
      </c>
      <c r="E6277" t="inlineStr">
        <is>
          <t>LYCKSELE</t>
        </is>
      </c>
      <c r="F6277" t="inlineStr">
        <is>
          <t>Sveaskog</t>
        </is>
      </c>
      <c r="G6277" t="n">
        <v>4.3</v>
      </c>
      <c r="H6277" t="n">
        <v>0</v>
      </c>
      <c r="I6277" t="n">
        <v>0</v>
      </c>
      <c r="J6277" t="n">
        <v>0</v>
      </c>
      <c r="K6277" t="n">
        <v>0</v>
      </c>
      <c r="L6277" t="n">
        <v>0</v>
      </c>
      <c r="M6277" t="n">
        <v>0</v>
      </c>
      <c r="N6277" t="n">
        <v>0</v>
      </c>
      <c r="O6277" t="n">
        <v>0</v>
      </c>
      <c r="P6277" t="n">
        <v>0</v>
      </c>
      <c r="Q6277" t="n">
        <v>0</v>
      </c>
      <c r="R6277" s="2" t="inlineStr"/>
    </row>
    <row r="6278" ht="15" customHeight="1">
      <c r="A6278" t="inlineStr">
        <is>
          <t>A 1498-2024</t>
        </is>
      </c>
      <c r="B6278" s="1" t="n">
        <v>45306</v>
      </c>
      <c r="C6278" s="1" t="n">
        <v>46075</v>
      </c>
      <c r="D6278" t="inlineStr">
        <is>
          <t>VÄSTERBOTTENS LÄN</t>
        </is>
      </c>
      <c r="E6278" t="inlineStr">
        <is>
          <t>SKELLEFTEÅ</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49753-2025</t>
        </is>
      </c>
      <c r="B6279" s="1" t="n">
        <v>45940.34538194445</v>
      </c>
      <c r="C6279" s="1" t="n">
        <v>46075</v>
      </c>
      <c r="D6279" t="inlineStr">
        <is>
          <t>VÄSTERBOTTENS LÄN</t>
        </is>
      </c>
      <c r="E6279" t="inlineStr">
        <is>
          <t>ÅSELE</t>
        </is>
      </c>
      <c r="F6279" t="inlineStr">
        <is>
          <t>SCA</t>
        </is>
      </c>
      <c r="G6279" t="n">
        <v>22.7</v>
      </c>
      <c r="H6279" t="n">
        <v>0</v>
      </c>
      <c r="I6279" t="n">
        <v>0</v>
      </c>
      <c r="J6279" t="n">
        <v>0</v>
      </c>
      <c r="K6279" t="n">
        <v>0</v>
      </c>
      <c r="L6279" t="n">
        <v>0</v>
      </c>
      <c r="M6279" t="n">
        <v>0</v>
      </c>
      <c r="N6279" t="n">
        <v>0</v>
      </c>
      <c r="O6279" t="n">
        <v>0</v>
      </c>
      <c r="P6279" t="n">
        <v>0</v>
      </c>
      <c r="Q6279" t="n">
        <v>0</v>
      </c>
      <c r="R6279" s="2" t="inlineStr"/>
    </row>
    <row r="6280" ht="15" customHeight="1">
      <c r="A6280" t="inlineStr">
        <is>
          <t>A 58377-2021</t>
        </is>
      </c>
      <c r="B6280" s="1" t="n">
        <v>44488</v>
      </c>
      <c r="C6280" s="1" t="n">
        <v>46075</v>
      </c>
      <c r="D6280" t="inlineStr">
        <is>
          <t>VÄSTERBOTTENS LÄN</t>
        </is>
      </c>
      <c r="E6280" t="inlineStr">
        <is>
          <t>VILHELMINA</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50083-2025</t>
        </is>
      </c>
      <c r="B6281" s="1" t="n">
        <v>45943.47158564815</v>
      </c>
      <c r="C6281" s="1" t="n">
        <v>46075</v>
      </c>
      <c r="D6281" t="inlineStr">
        <is>
          <t>VÄSTERBOTTENS LÄN</t>
        </is>
      </c>
      <c r="E6281" t="inlineStr">
        <is>
          <t>STORUMAN</t>
        </is>
      </c>
      <c r="F6281" t="inlineStr">
        <is>
          <t>Sveaskog</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47874-2025</t>
        </is>
      </c>
      <c r="B6282" s="1" t="n">
        <v>45932</v>
      </c>
      <c r="C6282" s="1" t="n">
        <v>46075</v>
      </c>
      <c r="D6282" t="inlineStr">
        <is>
          <t>VÄSTERBOTTENS LÄN</t>
        </is>
      </c>
      <c r="E6282" t="inlineStr">
        <is>
          <t>SKELLEFTEÅ</t>
        </is>
      </c>
      <c r="G6282" t="n">
        <v>2.9</v>
      </c>
      <c r="H6282" t="n">
        <v>0</v>
      </c>
      <c r="I6282" t="n">
        <v>0</v>
      </c>
      <c r="J6282" t="n">
        <v>0</v>
      </c>
      <c r="K6282" t="n">
        <v>0</v>
      </c>
      <c r="L6282" t="n">
        <v>0</v>
      </c>
      <c r="M6282" t="n">
        <v>0</v>
      </c>
      <c r="N6282" t="n">
        <v>0</v>
      </c>
      <c r="O6282" t="n">
        <v>0</v>
      </c>
      <c r="P6282" t="n">
        <v>0</v>
      </c>
      <c r="Q6282" t="n">
        <v>0</v>
      </c>
      <c r="R6282" s="2" t="inlineStr"/>
    </row>
    <row r="6283" ht="15" customHeight="1">
      <c r="A6283" t="inlineStr">
        <is>
          <t>A 54469-2023</t>
        </is>
      </c>
      <c r="B6283" s="1" t="n">
        <v>45226</v>
      </c>
      <c r="C6283" s="1" t="n">
        <v>46075</v>
      </c>
      <c r="D6283" t="inlineStr">
        <is>
          <t>VÄSTERBOTTENS LÄN</t>
        </is>
      </c>
      <c r="E6283" t="inlineStr">
        <is>
          <t>SKELLEFTEÅ</t>
        </is>
      </c>
      <c r="G6283" t="n">
        <v>5.3</v>
      </c>
      <c r="H6283" t="n">
        <v>0</v>
      </c>
      <c r="I6283" t="n">
        <v>0</v>
      </c>
      <c r="J6283" t="n">
        <v>0</v>
      </c>
      <c r="K6283" t="n">
        <v>0</v>
      </c>
      <c r="L6283" t="n">
        <v>0</v>
      </c>
      <c r="M6283" t="n">
        <v>0</v>
      </c>
      <c r="N6283" t="n">
        <v>0</v>
      </c>
      <c r="O6283" t="n">
        <v>0</v>
      </c>
      <c r="P6283" t="n">
        <v>0</v>
      </c>
      <c r="Q6283" t="n">
        <v>0</v>
      </c>
      <c r="R6283" s="2" t="inlineStr"/>
    </row>
    <row r="6284" ht="15" customHeight="1">
      <c r="A6284" t="inlineStr">
        <is>
          <t>A 36706-2023</t>
        </is>
      </c>
      <c r="B6284" s="1" t="n">
        <v>45152</v>
      </c>
      <c r="C6284" s="1" t="n">
        <v>46075</v>
      </c>
      <c r="D6284" t="inlineStr">
        <is>
          <t>VÄSTERBOTTENS LÄN</t>
        </is>
      </c>
      <c r="E6284" t="inlineStr">
        <is>
          <t>MALÅ</t>
        </is>
      </c>
      <c r="G6284" t="n">
        <v>41.7</v>
      </c>
      <c r="H6284" t="n">
        <v>0</v>
      </c>
      <c r="I6284" t="n">
        <v>0</v>
      </c>
      <c r="J6284" t="n">
        <v>0</v>
      </c>
      <c r="K6284" t="n">
        <v>0</v>
      </c>
      <c r="L6284" t="n">
        <v>0</v>
      </c>
      <c r="M6284" t="n">
        <v>0</v>
      </c>
      <c r="N6284" t="n">
        <v>0</v>
      </c>
      <c r="O6284" t="n">
        <v>0</v>
      </c>
      <c r="P6284" t="n">
        <v>0</v>
      </c>
      <c r="Q6284" t="n">
        <v>0</v>
      </c>
      <c r="R6284" s="2" t="inlineStr"/>
    </row>
    <row r="6285" ht="15" customHeight="1">
      <c r="A6285" t="inlineStr">
        <is>
          <t>A 51366-2023</t>
        </is>
      </c>
      <c r="B6285" s="1" t="n">
        <v>45219</v>
      </c>
      <c r="C6285" s="1" t="n">
        <v>46075</v>
      </c>
      <c r="D6285" t="inlineStr">
        <is>
          <t>VÄSTERBOTTENS LÄN</t>
        </is>
      </c>
      <c r="E6285" t="inlineStr">
        <is>
          <t>STORUMAN</t>
        </is>
      </c>
      <c r="G6285" t="n">
        <v>5</v>
      </c>
      <c r="H6285" t="n">
        <v>0</v>
      </c>
      <c r="I6285" t="n">
        <v>0</v>
      </c>
      <c r="J6285" t="n">
        <v>0</v>
      </c>
      <c r="K6285" t="n">
        <v>0</v>
      </c>
      <c r="L6285" t="n">
        <v>0</v>
      </c>
      <c r="M6285" t="n">
        <v>0</v>
      </c>
      <c r="N6285" t="n">
        <v>0</v>
      </c>
      <c r="O6285" t="n">
        <v>0</v>
      </c>
      <c r="P6285" t="n">
        <v>0</v>
      </c>
      <c r="Q6285" t="n">
        <v>0</v>
      </c>
      <c r="R6285" s="2" t="inlineStr"/>
    </row>
    <row r="6286" ht="15" customHeight="1">
      <c r="A6286" t="inlineStr">
        <is>
          <t>A 12036-2025</t>
        </is>
      </c>
      <c r="B6286" s="1" t="n">
        <v>45728.6524537037</v>
      </c>
      <c r="C6286" s="1" t="n">
        <v>46075</v>
      </c>
      <c r="D6286" t="inlineStr">
        <is>
          <t>VÄSTERBOTTENS LÄN</t>
        </is>
      </c>
      <c r="E6286" t="inlineStr">
        <is>
          <t>VINDELN</t>
        </is>
      </c>
      <c r="G6286" t="n">
        <v>4.5</v>
      </c>
      <c r="H6286" t="n">
        <v>0</v>
      </c>
      <c r="I6286" t="n">
        <v>0</v>
      </c>
      <c r="J6286" t="n">
        <v>0</v>
      </c>
      <c r="K6286" t="n">
        <v>0</v>
      </c>
      <c r="L6286" t="n">
        <v>0</v>
      </c>
      <c r="M6286" t="n">
        <v>0</v>
      </c>
      <c r="N6286" t="n">
        <v>0</v>
      </c>
      <c r="O6286" t="n">
        <v>0</v>
      </c>
      <c r="P6286" t="n">
        <v>0</v>
      </c>
      <c r="Q6286" t="n">
        <v>0</v>
      </c>
      <c r="R6286" s="2" t="inlineStr"/>
    </row>
    <row r="6287" ht="15" customHeight="1">
      <c r="A6287" t="inlineStr">
        <is>
          <t>A 475-2024</t>
        </is>
      </c>
      <c r="B6287" s="1" t="n">
        <v>45297.83246527778</v>
      </c>
      <c r="C6287" s="1" t="n">
        <v>46075</v>
      </c>
      <c r="D6287" t="inlineStr">
        <is>
          <t>VÄSTERBOTTENS LÄN</t>
        </is>
      </c>
      <c r="E6287" t="inlineStr">
        <is>
          <t>VILHELMINA</t>
        </is>
      </c>
      <c r="G6287" t="n">
        <v>6.1</v>
      </c>
      <c r="H6287" t="n">
        <v>0</v>
      </c>
      <c r="I6287" t="n">
        <v>0</v>
      </c>
      <c r="J6287" t="n">
        <v>0</v>
      </c>
      <c r="K6287" t="n">
        <v>0</v>
      </c>
      <c r="L6287" t="n">
        <v>0</v>
      </c>
      <c r="M6287" t="n">
        <v>0</v>
      </c>
      <c r="N6287" t="n">
        <v>0</v>
      </c>
      <c r="O6287" t="n">
        <v>0</v>
      </c>
      <c r="P6287" t="n">
        <v>0</v>
      </c>
      <c r="Q6287" t="n">
        <v>0</v>
      </c>
      <c r="R6287" s="2" t="inlineStr"/>
    </row>
    <row r="6288" ht="15" customHeight="1">
      <c r="A6288" t="inlineStr">
        <is>
          <t>A 50166-2025</t>
        </is>
      </c>
      <c r="B6288" s="1" t="n">
        <v>45943</v>
      </c>
      <c r="C6288" s="1" t="n">
        <v>46075</v>
      </c>
      <c r="D6288" t="inlineStr">
        <is>
          <t>VÄSTERBOTTENS LÄN</t>
        </is>
      </c>
      <c r="E6288" t="inlineStr">
        <is>
          <t>SKELLEFTEÅ</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49839-2025</t>
        </is>
      </c>
      <c r="B6289" s="1" t="n">
        <v>45940.4693287037</v>
      </c>
      <c r="C6289" s="1" t="n">
        <v>46075</v>
      </c>
      <c r="D6289" t="inlineStr">
        <is>
          <t>VÄSTERBOTTENS LÄN</t>
        </is>
      </c>
      <c r="E6289" t="inlineStr">
        <is>
          <t>SKELLEFTEÅ</t>
        </is>
      </c>
      <c r="G6289" t="n">
        <v>2.6</v>
      </c>
      <c r="H6289" t="n">
        <v>0</v>
      </c>
      <c r="I6289" t="n">
        <v>0</v>
      </c>
      <c r="J6289" t="n">
        <v>0</v>
      </c>
      <c r="K6289" t="n">
        <v>0</v>
      </c>
      <c r="L6289" t="n">
        <v>0</v>
      </c>
      <c r="M6289" t="n">
        <v>0</v>
      </c>
      <c r="N6289" t="n">
        <v>0</v>
      </c>
      <c r="O6289" t="n">
        <v>0</v>
      </c>
      <c r="P6289" t="n">
        <v>0</v>
      </c>
      <c r="Q6289" t="n">
        <v>0</v>
      </c>
      <c r="R6289" s="2" t="inlineStr"/>
    </row>
    <row r="6290" ht="15" customHeight="1">
      <c r="A6290" t="inlineStr">
        <is>
          <t>A 38909-2025</t>
        </is>
      </c>
      <c r="B6290" s="1" t="n">
        <v>45887.61462962963</v>
      </c>
      <c r="C6290" s="1" t="n">
        <v>46075</v>
      </c>
      <c r="D6290" t="inlineStr">
        <is>
          <t>VÄSTERBOTTENS LÄN</t>
        </is>
      </c>
      <c r="E6290" t="inlineStr">
        <is>
          <t>ROBERTSFORS</t>
        </is>
      </c>
      <c r="G6290" t="n">
        <v>7</v>
      </c>
      <c r="H6290" t="n">
        <v>0</v>
      </c>
      <c r="I6290" t="n">
        <v>0</v>
      </c>
      <c r="J6290" t="n">
        <v>0</v>
      </c>
      <c r="K6290" t="n">
        <v>0</v>
      </c>
      <c r="L6290" t="n">
        <v>0</v>
      </c>
      <c r="M6290" t="n">
        <v>0</v>
      </c>
      <c r="N6290" t="n">
        <v>0</v>
      </c>
      <c r="O6290" t="n">
        <v>0</v>
      </c>
      <c r="P6290" t="n">
        <v>0</v>
      </c>
      <c r="Q6290" t="n">
        <v>0</v>
      </c>
      <c r="R6290" s="2" t="inlineStr"/>
    </row>
    <row r="6291" ht="15" customHeight="1">
      <c r="A6291" t="inlineStr">
        <is>
          <t>A 42160-2024</t>
        </is>
      </c>
      <c r="B6291" s="1" t="n">
        <v>45562.45623842593</v>
      </c>
      <c r="C6291" s="1" t="n">
        <v>46075</v>
      </c>
      <c r="D6291" t="inlineStr">
        <is>
          <t>VÄSTERBOTTENS LÄN</t>
        </is>
      </c>
      <c r="E6291" t="inlineStr">
        <is>
          <t>UMEÅ</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49847-2025</t>
        </is>
      </c>
      <c r="B6292" s="1" t="n">
        <v>45940.48208333334</v>
      </c>
      <c r="C6292" s="1" t="n">
        <v>46075</v>
      </c>
      <c r="D6292" t="inlineStr">
        <is>
          <t>VÄSTERBOTTENS LÄN</t>
        </is>
      </c>
      <c r="E6292" t="inlineStr">
        <is>
          <t>NORDMALING</t>
        </is>
      </c>
      <c r="G6292" t="n">
        <v>2.6</v>
      </c>
      <c r="H6292" t="n">
        <v>0</v>
      </c>
      <c r="I6292" t="n">
        <v>0</v>
      </c>
      <c r="J6292" t="n">
        <v>0</v>
      </c>
      <c r="K6292" t="n">
        <v>0</v>
      </c>
      <c r="L6292" t="n">
        <v>0</v>
      </c>
      <c r="M6292" t="n">
        <v>0</v>
      </c>
      <c r="N6292" t="n">
        <v>0</v>
      </c>
      <c r="O6292" t="n">
        <v>0</v>
      </c>
      <c r="P6292" t="n">
        <v>0</v>
      </c>
      <c r="Q6292" t="n">
        <v>0</v>
      </c>
      <c r="R6292" s="2" t="inlineStr"/>
    </row>
    <row r="6293" ht="15" customHeight="1">
      <c r="A6293" t="inlineStr">
        <is>
          <t>A 14254-2025</t>
        </is>
      </c>
      <c r="B6293" s="1" t="n">
        <v>45740.61644675926</v>
      </c>
      <c r="C6293" s="1" t="n">
        <v>46075</v>
      </c>
      <c r="D6293" t="inlineStr">
        <is>
          <t>VÄSTERBOTTENS LÄN</t>
        </is>
      </c>
      <c r="E6293" t="inlineStr">
        <is>
          <t>VILHELMINA</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12437-2022</t>
        </is>
      </c>
      <c r="B6294" s="1" t="n">
        <v>44638</v>
      </c>
      <c r="C6294" s="1" t="n">
        <v>46075</v>
      </c>
      <c r="D6294" t="inlineStr">
        <is>
          <t>VÄSTERBOTTENS LÄN</t>
        </is>
      </c>
      <c r="E6294" t="inlineStr">
        <is>
          <t>SORSELE</t>
        </is>
      </c>
      <c r="G6294" t="n">
        <v>5.4</v>
      </c>
      <c r="H6294" t="n">
        <v>0</v>
      </c>
      <c r="I6294" t="n">
        <v>0</v>
      </c>
      <c r="J6294" t="n">
        <v>0</v>
      </c>
      <c r="K6294" t="n">
        <v>0</v>
      </c>
      <c r="L6294" t="n">
        <v>0</v>
      </c>
      <c r="M6294" t="n">
        <v>0</v>
      </c>
      <c r="N6294" t="n">
        <v>0</v>
      </c>
      <c r="O6294" t="n">
        <v>0</v>
      </c>
      <c r="P6294" t="n">
        <v>0</v>
      </c>
      <c r="Q6294" t="n">
        <v>0</v>
      </c>
      <c r="R6294" s="2" t="inlineStr"/>
    </row>
    <row r="6295" ht="15" customHeight="1">
      <c r="A6295" t="inlineStr">
        <is>
          <t>A 36316-2024</t>
        </is>
      </c>
      <c r="B6295" s="1" t="n">
        <v>45534</v>
      </c>
      <c r="C6295" s="1" t="n">
        <v>46075</v>
      </c>
      <c r="D6295" t="inlineStr">
        <is>
          <t>VÄSTERBOTTENS LÄN</t>
        </is>
      </c>
      <c r="E6295" t="inlineStr">
        <is>
          <t>VINDELN</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49898-2025</t>
        </is>
      </c>
      <c r="B6296" s="1" t="n">
        <v>45940.58644675926</v>
      </c>
      <c r="C6296" s="1" t="n">
        <v>46075</v>
      </c>
      <c r="D6296" t="inlineStr">
        <is>
          <t>VÄSTERBOTTENS LÄN</t>
        </is>
      </c>
      <c r="E6296" t="inlineStr">
        <is>
          <t>UMEÅ</t>
        </is>
      </c>
      <c r="G6296" t="n">
        <v>5.8</v>
      </c>
      <c r="H6296" t="n">
        <v>0</v>
      </c>
      <c r="I6296" t="n">
        <v>0</v>
      </c>
      <c r="J6296" t="n">
        <v>0</v>
      </c>
      <c r="K6296" t="n">
        <v>0</v>
      </c>
      <c r="L6296" t="n">
        <v>0</v>
      </c>
      <c r="M6296" t="n">
        <v>0</v>
      </c>
      <c r="N6296" t="n">
        <v>0</v>
      </c>
      <c r="O6296" t="n">
        <v>0</v>
      </c>
      <c r="P6296" t="n">
        <v>0</v>
      </c>
      <c r="Q6296" t="n">
        <v>0</v>
      </c>
      <c r="R6296" s="2" t="inlineStr"/>
    </row>
    <row r="6297" ht="15" customHeight="1">
      <c r="A6297" t="inlineStr">
        <is>
          <t>A 50044-2021</t>
        </is>
      </c>
      <c r="B6297" s="1" t="n">
        <v>44456.50484953704</v>
      </c>
      <c r="C6297" s="1" t="n">
        <v>46075</v>
      </c>
      <c r="D6297" t="inlineStr">
        <is>
          <t>VÄSTERBOTTENS LÄN</t>
        </is>
      </c>
      <c r="E6297" t="inlineStr">
        <is>
          <t>LYCKSELE</t>
        </is>
      </c>
      <c r="F6297" t="inlineStr">
        <is>
          <t>Holmen skog AB</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16327-2024</t>
        </is>
      </c>
      <c r="B6298" s="1" t="n">
        <v>45407.51649305555</v>
      </c>
      <c r="C6298" s="1" t="n">
        <v>46075</v>
      </c>
      <c r="D6298" t="inlineStr">
        <is>
          <t>VÄSTERBOTTENS LÄN</t>
        </is>
      </c>
      <c r="E6298" t="inlineStr">
        <is>
          <t>BJURHOLM</t>
        </is>
      </c>
      <c r="F6298" t="inlineStr">
        <is>
          <t>Holmen skog AB</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41190-2024</t>
        </is>
      </c>
      <c r="B6299" s="1" t="n">
        <v>45559.50627314814</v>
      </c>
      <c r="C6299" s="1" t="n">
        <v>46075</v>
      </c>
      <c r="D6299" t="inlineStr">
        <is>
          <t>VÄSTERBOTTENS LÄN</t>
        </is>
      </c>
      <c r="E6299" t="inlineStr">
        <is>
          <t>SKELLEFTEÅ</t>
        </is>
      </c>
      <c r="F6299" t="inlineStr">
        <is>
          <t>Holmen skog AB</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38922-2025</t>
        </is>
      </c>
      <c r="B6300" s="1" t="n">
        <v>45887.62902777778</v>
      </c>
      <c r="C6300" s="1" t="n">
        <v>46075</v>
      </c>
      <c r="D6300" t="inlineStr">
        <is>
          <t>VÄSTERBOTTENS LÄN</t>
        </is>
      </c>
      <c r="E6300" t="inlineStr">
        <is>
          <t>LYCKSELE</t>
        </is>
      </c>
      <c r="F6300" t="inlineStr">
        <is>
          <t>Sveaskog</t>
        </is>
      </c>
      <c r="G6300" t="n">
        <v>12.2</v>
      </c>
      <c r="H6300" t="n">
        <v>0</v>
      </c>
      <c r="I6300" t="n">
        <v>0</v>
      </c>
      <c r="J6300" t="n">
        <v>0</v>
      </c>
      <c r="K6300" t="n">
        <v>0</v>
      </c>
      <c r="L6300" t="n">
        <v>0</v>
      </c>
      <c r="M6300" t="n">
        <v>0</v>
      </c>
      <c r="N6300" t="n">
        <v>0</v>
      </c>
      <c r="O6300" t="n">
        <v>0</v>
      </c>
      <c r="P6300" t="n">
        <v>0</v>
      </c>
      <c r="Q6300" t="n">
        <v>0</v>
      </c>
      <c r="R6300" s="2" t="inlineStr"/>
    </row>
    <row r="6301" ht="15" customHeight="1">
      <c r="A6301" t="inlineStr">
        <is>
          <t>A 50037-2025</t>
        </is>
      </c>
      <c r="B6301" s="1" t="n">
        <v>45943</v>
      </c>
      <c r="C6301" s="1" t="n">
        <v>46075</v>
      </c>
      <c r="D6301" t="inlineStr">
        <is>
          <t>VÄSTERBOTTENS LÄN</t>
        </is>
      </c>
      <c r="E6301" t="inlineStr">
        <is>
          <t>SKELLEFTEÅ</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50061-2025</t>
        </is>
      </c>
      <c r="B6302" s="1" t="n">
        <v>45943.44413194444</v>
      </c>
      <c r="C6302" s="1" t="n">
        <v>46075</v>
      </c>
      <c r="D6302" t="inlineStr">
        <is>
          <t>VÄSTERBOTTENS LÄN</t>
        </is>
      </c>
      <c r="E6302" t="inlineStr">
        <is>
          <t>SKELLEFTEÅ</t>
        </is>
      </c>
      <c r="G6302" t="n">
        <v>7.9</v>
      </c>
      <c r="H6302" t="n">
        <v>0</v>
      </c>
      <c r="I6302" t="n">
        <v>0</v>
      </c>
      <c r="J6302" t="n">
        <v>0</v>
      </c>
      <c r="K6302" t="n">
        <v>0</v>
      </c>
      <c r="L6302" t="n">
        <v>0</v>
      </c>
      <c r="M6302" t="n">
        <v>0</v>
      </c>
      <c r="N6302" t="n">
        <v>0</v>
      </c>
      <c r="O6302" t="n">
        <v>0</v>
      </c>
      <c r="P6302" t="n">
        <v>0</v>
      </c>
      <c r="Q6302" t="n">
        <v>0</v>
      </c>
      <c r="R6302" s="2" t="inlineStr"/>
    </row>
    <row r="6303" ht="15" customHeight="1">
      <c r="A6303" t="inlineStr">
        <is>
          <t>A 50087-2025</t>
        </is>
      </c>
      <c r="B6303" s="1" t="n">
        <v>45943.47863425926</v>
      </c>
      <c r="C6303" s="1" t="n">
        <v>46075</v>
      </c>
      <c r="D6303" t="inlineStr">
        <is>
          <t>VÄSTERBOTTENS LÄN</t>
        </is>
      </c>
      <c r="E6303" t="inlineStr">
        <is>
          <t>STORUMAN</t>
        </is>
      </c>
      <c r="F6303" t="inlineStr">
        <is>
          <t>Sveaskog</t>
        </is>
      </c>
      <c r="G6303" t="n">
        <v>10</v>
      </c>
      <c r="H6303" t="n">
        <v>0</v>
      </c>
      <c r="I6303" t="n">
        <v>0</v>
      </c>
      <c r="J6303" t="n">
        <v>0</v>
      </c>
      <c r="K6303" t="n">
        <v>0</v>
      </c>
      <c r="L6303" t="n">
        <v>0</v>
      </c>
      <c r="M6303" t="n">
        <v>0</v>
      </c>
      <c r="N6303" t="n">
        <v>0</v>
      </c>
      <c r="O6303" t="n">
        <v>0</v>
      </c>
      <c r="P6303" t="n">
        <v>0</v>
      </c>
      <c r="Q6303" t="n">
        <v>0</v>
      </c>
      <c r="R6303" s="2" t="inlineStr"/>
    </row>
    <row r="6304" ht="15" customHeight="1">
      <c r="A6304" t="inlineStr">
        <is>
          <t>A 38954-2025</t>
        </is>
      </c>
      <c r="B6304" s="1" t="n">
        <v>45887.66715277778</v>
      </c>
      <c r="C6304" s="1" t="n">
        <v>46075</v>
      </c>
      <c r="D6304" t="inlineStr">
        <is>
          <t>VÄSTERBOTTENS LÄN</t>
        </is>
      </c>
      <c r="E6304" t="inlineStr">
        <is>
          <t>SKELLEFTEÅ</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28998-2022</t>
        </is>
      </c>
      <c r="B6305" s="1" t="n">
        <v>44749</v>
      </c>
      <c r="C6305" s="1" t="n">
        <v>46075</v>
      </c>
      <c r="D6305" t="inlineStr">
        <is>
          <t>VÄSTERBOTTENS LÄN</t>
        </is>
      </c>
      <c r="E6305" t="inlineStr">
        <is>
          <t>VINDELN</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50060-2025</t>
        </is>
      </c>
      <c r="B6306" s="1" t="n">
        <v>45943.4414699074</v>
      </c>
      <c r="C6306" s="1" t="n">
        <v>46075</v>
      </c>
      <c r="D6306" t="inlineStr">
        <is>
          <t>VÄSTERBOTTENS LÄN</t>
        </is>
      </c>
      <c r="E6306" t="inlineStr">
        <is>
          <t>SKELLEFTEÅ</t>
        </is>
      </c>
      <c r="G6306" t="n">
        <v>2.8</v>
      </c>
      <c r="H6306" t="n">
        <v>0</v>
      </c>
      <c r="I6306" t="n">
        <v>0</v>
      </c>
      <c r="J6306" t="n">
        <v>0</v>
      </c>
      <c r="K6306" t="n">
        <v>0</v>
      </c>
      <c r="L6306" t="n">
        <v>0</v>
      </c>
      <c r="M6306" t="n">
        <v>0</v>
      </c>
      <c r="N6306" t="n">
        <v>0</v>
      </c>
      <c r="O6306" t="n">
        <v>0</v>
      </c>
      <c r="P6306" t="n">
        <v>0</v>
      </c>
      <c r="Q6306" t="n">
        <v>0</v>
      </c>
      <c r="R6306" s="2" t="inlineStr"/>
    </row>
    <row r="6307" ht="15" customHeight="1">
      <c r="A6307" t="inlineStr">
        <is>
          <t>A 39089-2025</t>
        </is>
      </c>
      <c r="B6307" s="1" t="n">
        <v>45887</v>
      </c>
      <c r="C6307" s="1" t="n">
        <v>46075</v>
      </c>
      <c r="D6307" t="inlineStr">
        <is>
          <t>VÄSTERBOTTENS LÄN</t>
        </is>
      </c>
      <c r="E6307" t="inlineStr">
        <is>
          <t>SKELLEFTEÅ</t>
        </is>
      </c>
      <c r="G6307" t="n">
        <v>31.5</v>
      </c>
      <c r="H6307" t="n">
        <v>0</v>
      </c>
      <c r="I6307" t="n">
        <v>0</v>
      </c>
      <c r="J6307" t="n">
        <v>0</v>
      </c>
      <c r="K6307" t="n">
        <v>0</v>
      </c>
      <c r="L6307" t="n">
        <v>0</v>
      </c>
      <c r="M6307" t="n">
        <v>0</v>
      </c>
      <c r="N6307" t="n">
        <v>0</v>
      </c>
      <c r="O6307" t="n">
        <v>0</v>
      </c>
      <c r="P6307" t="n">
        <v>0</v>
      </c>
      <c r="Q6307" t="n">
        <v>0</v>
      </c>
      <c r="R6307" s="2" t="inlineStr"/>
    </row>
    <row r="6308" ht="15" customHeight="1">
      <c r="A6308" t="inlineStr">
        <is>
          <t>A 50075-2025</t>
        </is>
      </c>
      <c r="B6308" s="1" t="n">
        <v>45943.46447916667</v>
      </c>
      <c r="C6308" s="1" t="n">
        <v>46075</v>
      </c>
      <c r="D6308" t="inlineStr">
        <is>
          <t>VÄSTERBOTTENS LÄN</t>
        </is>
      </c>
      <c r="E6308" t="inlineStr">
        <is>
          <t>STORUMAN</t>
        </is>
      </c>
      <c r="F6308" t="inlineStr">
        <is>
          <t>Sveaskog</t>
        </is>
      </c>
      <c r="G6308" t="n">
        <v>6</v>
      </c>
      <c r="H6308" t="n">
        <v>0</v>
      </c>
      <c r="I6308" t="n">
        <v>0</v>
      </c>
      <c r="J6308" t="n">
        <v>0</v>
      </c>
      <c r="K6308" t="n">
        <v>0</v>
      </c>
      <c r="L6308" t="n">
        <v>0</v>
      </c>
      <c r="M6308" t="n">
        <v>0</v>
      </c>
      <c r="N6308" t="n">
        <v>0</v>
      </c>
      <c r="O6308" t="n">
        <v>0</v>
      </c>
      <c r="P6308" t="n">
        <v>0</v>
      </c>
      <c r="Q6308" t="n">
        <v>0</v>
      </c>
      <c r="R6308" s="2" t="inlineStr"/>
    </row>
    <row r="6309" ht="15" customHeight="1">
      <c r="A6309" t="inlineStr">
        <is>
          <t>A 62087-2022</t>
        </is>
      </c>
      <c r="B6309" s="1" t="n">
        <v>44919</v>
      </c>
      <c r="C6309" s="1" t="n">
        <v>46075</v>
      </c>
      <c r="D6309" t="inlineStr">
        <is>
          <t>VÄSTERBOTTENS LÄN</t>
        </is>
      </c>
      <c r="E6309" t="inlineStr">
        <is>
          <t>BJURHOLM</t>
        </is>
      </c>
      <c r="G6309" t="n">
        <v>6.9</v>
      </c>
      <c r="H6309" t="n">
        <v>0</v>
      </c>
      <c r="I6309" t="n">
        <v>0</v>
      </c>
      <c r="J6309" t="n">
        <v>0</v>
      </c>
      <c r="K6309" t="n">
        <v>0</v>
      </c>
      <c r="L6309" t="n">
        <v>0</v>
      </c>
      <c r="M6309" t="n">
        <v>0</v>
      </c>
      <c r="N6309" t="n">
        <v>0</v>
      </c>
      <c r="O6309" t="n">
        <v>0</v>
      </c>
      <c r="P6309" t="n">
        <v>0</v>
      </c>
      <c r="Q6309" t="n">
        <v>0</v>
      </c>
      <c r="R6309" s="2" t="inlineStr"/>
    </row>
    <row r="6310" ht="15" customHeight="1">
      <c r="A6310" t="inlineStr">
        <is>
          <t>A 743-2025</t>
        </is>
      </c>
      <c r="B6310" s="1" t="n">
        <v>45665.4312037037</v>
      </c>
      <c r="C6310" s="1" t="n">
        <v>46075</v>
      </c>
      <c r="D6310" t="inlineStr">
        <is>
          <t>VÄSTERBOTTENS LÄN</t>
        </is>
      </c>
      <c r="E6310" t="inlineStr">
        <is>
          <t>ÅSELE</t>
        </is>
      </c>
      <c r="F6310" t="inlineStr">
        <is>
          <t>Naturvårdsverket</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772-2025</t>
        </is>
      </c>
      <c r="B6311" s="1" t="n">
        <v>45665.46650462963</v>
      </c>
      <c r="C6311" s="1" t="n">
        <v>46075</v>
      </c>
      <c r="D6311" t="inlineStr">
        <is>
          <t>VÄSTERBOTTENS LÄN</t>
        </is>
      </c>
      <c r="E6311" t="inlineStr">
        <is>
          <t>VINDELN</t>
        </is>
      </c>
      <c r="G6311" t="n">
        <v>5.5</v>
      </c>
      <c r="H6311" t="n">
        <v>0</v>
      </c>
      <c r="I6311" t="n">
        <v>0</v>
      </c>
      <c r="J6311" t="n">
        <v>0</v>
      </c>
      <c r="K6311" t="n">
        <v>0</v>
      </c>
      <c r="L6311" t="n">
        <v>0</v>
      </c>
      <c r="M6311" t="n">
        <v>0</v>
      </c>
      <c r="N6311" t="n">
        <v>0</v>
      </c>
      <c r="O6311" t="n">
        <v>0</v>
      </c>
      <c r="P6311" t="n">
        <v>0</v>
      </c>
      <c r="Q6311" t="n">
        <v>0</v>
      </c>
      <c r="R6311" s="2" t="inlineStr"/>
    </row>
    <row r="6312" ht="15" customHeight="1">
      <c r="A6312" t="inlineStr">
        <is>
          <t>A 49971-2025</t>
        </is>
      </c>
      <c r="B6312" s="1" t="n">
        <v>45941.83613425926</v>
      </c>
      <c r="C6312" s="1" t="n">
        <v>46075</v>
      </c>
      <c r="D6312" t="inlineStr">
        <is>
          <t>VÄSTERBOTTENS LÄN</t>
        </is>
      </c>
      <c r="E6312" t="inlineStr">
        <is>
          <t>SKELLEFTEÅ</t>
        </is>
      </c>
      <c r="G6312" t="n">
        <v>3</v>
      </c>
      <c r="H6312" t="n">
        <v>0</v>
      </c>
      <c r="I6312" t="n">
        <v>0</v>
      </c>
      <c r="J6312" t="n">
        <v>0</v>
      </c>
      <c r="K6312" t="n">
        <v>0</v>
      </c>
      <c r="L6312" t="n">
        <v>0</v>
      </c>
      <c r="M6312" t="n">
        <v>0</v>
      </c>
      <c r="N6312" t="n">
        <v>0</v>
      </c>
      <c r="O6312" t="n">
        <v>0</v>
      </c>
      <c r="P6312" t="n">
        <v>0</v>
      </c>
      <c r="Q6312" t="n">
        <v>0</v>
      </c>
      <c r="R6312" s="2" t="inlineStr"/>
    </row>
    <row r="6313" ht="15" customHeight="1">
      <c r="A6313" t="inlineStr">
        <is>
          <t>A 59029-2024</t>
        </is>
      </c>
      <c r="B6313" s="1" t="n">
        <v>45636</v>
      </c>
      <c r="C6313" s="1" t="n">
        <v>46075</v>
      </c>
      <c r="D6313" t="inlineStr">
        <is>
          <t>VÄSTERBOTTENS LÄN</t>
        </is>
      </c>
      <c r="E6313" t="inlineStr">
        <is>
          <t>UMEÅ</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11090-2025</t>
        </is>
      </c>
      <c r="B6314" s="1" t="n">
        <v>45723.57395833333</v>
      </c>
      <c r="C6314" s="1" t="n">
        <v>46075</v>
      </c>
      <c r="D6314" t="inlineStr">
        <is>
          <t>VÄSTERBOTTENS LÄN</t>
        </is>
      </c>
      <c r="E6314" t="inlineStr">
        <is>
          <t>LYCKSELE</t>
        </is>
      </c>
      <c r="F6314" t="inlineStr">
        <is>
          <t>SCA</t>
        </is>
      </c>
      <c r="G6314" t="n">
        <v>11.5</v>
      </c>
      <c r="H6314" t="n">
        <v>0</v>
      </c>
      <c r="I6314" t="n">
        <v>0</v>
      </c>
      <c r="J6314" t="n">
        <v>0</v>
      </c>
      <c r="K6314" t="n">
        <v>0</v>
      </c>
      <c r="L6314" t="n">
        <v>0</v>
      </c>
      <c r="M6314" t="n">
        <v>0</v>
      </c>
      <c r="N6314" t="n">
        <v>0</v>
      </c>
      <c r="O6314" t="n">
        <v>0</v>
      </c>
      <c r="P6314" t="n">
        <v>0</v>
      </c>
      <c r="Q6314" t="n">
        <v>0</v>
      </c>
      <c r="R6314" s="2" t="inlineStr"/>
    </row>
    <row r="6315" ht="15" customHeight="1">
      <c r="A6315" t="inlineStr">
        <is>
          <t>A 49841-2025</t>
        </is>
      </c>
      <c r="B6315" s="1" t="n">
        <v>45940.46938657408</v>
      </c>
      <c r="C6315" s="1" t="n">
        <v>46075</v>
      </c>
      <c r="D6315" t="inlineStr">
        <is>
          <t>VÄSTERBOTTENS LÄN</t>
        </is>
      </c>
      <c r="E6315" t="inlineStr">
        <is>
          <t>SKELLEFTEÅ</t>
        </is>
      </c>
      <c r="G6315" t="n">
        <v>3.5</v>
      </c>
      <c r="H6315" t="n">
        <v>0</v>
      </c>
      <c r="I6315" t="n">
        <v>0</v>
      </c>
      <c r="J6315" t="n">
        <v>0</v>
      </c>
      <c r="K6315" t="n">
        <v>0</v>
      </c>
      <c r="L6315" t="n">
        <v>0</v>
      </c>
      <c r="M6315" t="n">
        <v>0</v>
      </c>
      <c r="N6315" t="n">
        <v>0</v>
      </c>
      <c r="O6315" t="n">
        <v>0</v>
      </c>
      <c r="P6315" t="n">
        <v>0</v>
      </c>
      <c r="Q6315" t="n">
        <v>0</v>
      </c>
      <c r="R6315" s="2" t="inlineStr"/>
    </row>
    <row r="6316" ht="15" customHeight="1">
      <c r="A6316" t="inlineStr">
        <is>
          <t>A 49860-2025</t>
        </is>
      </c>
      <c r="B6316" s="1" t="n">
        <v>45940.51144675926</v>
      </c>
      <c r="C6316" s="1" t="n">
        <v>46075</v>
      </c>
      <c r="D6316" t="inlineStr">
        <is>
          <t>VÄSTERBOTTENS LÄN</t>
        </is>
      </c>
      <c r="E6316" t="inlineStr">
        <is>
          <t>UMEÅ</t>
        </is>
      </c>
      <c r="G6316" t="n">
        <v>6.9</v>
      </c>
      <c r="H6316" t="n">
        <v>0</v>
      </c>
      <c r="I6316" t="n">
        <v>0</v>
      </c>
      <c r="J6316" t="n">
        <v>0</v>
      </c>
      <c r="K6316" t="n">
        <v>0</v>
      </c>
      <c r="L6316" t="n">
        <v>0</v>
      </c>
      <c r="M6316" t="n">
        <v>0</v>
      </c>
      <c r="N6316" t="n">
        <v>0</v>
      </c>
      <c r="O6316" t="n">
        <v>0</v>
      </c>
      <c r="P6316" t="n">
        <v>0</v>
      </c>
      <c r="Q6316" t="n">
        <v>0</v>
      </c>
      <c r="R6316" s="2" t="inlineStr"/>
    </row>
    <row r="6317" ht="15" customHeight="1">
      <c r="A6317" t="inlineStr">
        <is>
          <t>A 11157-2022</t>
        </is>
      </c>
      <c r="B6317" s="1" t="n">
        <v>44629.39452546297</v>
      </c>
      <c r="C6317" s="1" t="n">
        <v>46075</v>
      </c>
      <c r="D6317" t="inlineStr">
        <is>
          <t>VÄSTERBOTTENS LÄN</t>
        </is>
      </c>
      <c r="E6317" t="inlineStr">
        <is>
          <t>UMEÅ</t>
        </is>
      </c>
      <c r="G6317" t="n">
        <v>2.3</v>
      </c>
      <c r="H6317" t="n">
        <v>0</v>
      </c>
      <c r="I6317" t="n">
        <v>0</v>
      </c>
      <c r="J6317" t="n">
        <v>0</v>
      </c>
      <c r="K6317" t="n">
        <v>0</v>
      </c>
      <c r="L6317" t="n">
        <v>0</v>
      </c>
      <c r="M6317" t="n">
        <v>0</v>
      </c>
      <c r="N6317" t="n">
        <v>0</v>
      </c>
      <c r="O6317" t="n">
        <v>0</v>
      </c>
      <c r="P6317" t="n">
        <v>0</v>
      </c>
      <c r="Q6317" t="n">
        <v>0</v>
      </c>
      <c r="R6317" s="2" t="inlineStr"/>
    </row>
    <row r="6318" ht="15" customHeight="1">
      <c r="A6318" t="inlineStr">
        <is>
          <t>A 19909-2025</t>
        </is>
      </c>
      <c r="B6318" s="1" t="n">
        <v>45771.60482638889</v>
      </c>
      <c r="C6318" s="1" t="n">
        <v>46075</v>
      </c>
      <c r="D6318" t="inlineStr">
        <is>
          <t>VÄSTERBOTTENS LÄN</t>
        </is>
      </c>
      <c r="E6318" t="inlineStr">
        <is>
          <t>VILHELMINA</t>
        </is>
      </c>
      <c r="G6318" t="n">
        <v>12.4</v>
      </c>
      <c r="H6318" t="n">
        <v>0</v>
      </c>
      <c r="I6318" t="n">
        <v>0</v>
      </c>
      <c r="J6318" t="n">
        <v>0</v>
      </c>
      <c r="K6318" t="n">
        <v>0</v>
      </c>
      <c r="L6318" t="n">
        <v>0</v>
      </c>
      <c r="M6318" t="n">
        <v>0</v>
      </c>
      <c r="N6318" t="n">
        <v>0</v>
      </c>
      <c r="O6318" t="n">
        <v>0</v>
      </c>
      <c r="P6318" t="n">
        <v>0</v>
      </c>
      <c r="Q6318" t="n">
        <v>0</v>
      </c>
      <c r="R6318" s="2" t="inlineStr"/>
    </row>
    <row r="6319" ht="15" customHeight="1">
      <c r="A6319" t="inlineStr">
        <is>
          <t>A 50071-2025</t>
        </is>
      </c>
      <c r="B6319" s="1" t="n">
        <v>45943.45949074074</v>
      </c>
      <c r="C6319" s="1" t="n">
        <v>46075</v>
      </c>
      <c r="D6319" t="inlineStr">
        <is>
          <t>VÄSTERBOTTENS LÄN</t>
        </is>
      </c>
      <c r="E6319" t="inlineStr">
        <is>
          <t>STORUMAN</t>
        </is>
      </c>
      <c r="F6319" t="inlineStr">
        <is>
          <t>Sveaskog</t>
        </is>
      </c>
      <c r="G6319" t="n">
        <v>5.4</v>
      </c>
      <c r="H6319" t="n">
        <v>0</v>
      </c>
      <c r="I6319" t="n">
        <v>0</v>
      </c>
      <c r="J6319" t="n">
        <v>0</v>
      </c>
      <c r="K6319" t="n">
        <v>0</v>
      </c>
      <c r="L6319" t="n">
        <v>0</v>
      </c>
      <c r="M6319" t="n">
        <v>0</v>
      </c>
      <c r="N6319" t="n">
        <v>0</v>
      </c>
      <c r="O6319" t="n">
        <v>0</v>
      </c>
      <c r="P6319" t="n">
        <v>0</v>
      </c>
      <c r="Q6319" t="n">
        <v>0</v>
      </c>
      <c r="R6319" s="2" t="inlineStr"/>
    </row>
    <row r="6320" ht="15" customHeight="1">
      <c r="A6320" t="inlineStr">
        <is>
          <t>A 42946-2022</t>
        </is>
      </c>
      <c r="B6320" s="1" t="n">
        <v>44833.38583333333</v>
      </c>
      <c r="C6320" s="1" t="n">
        <v>46075</v>
      </c>
      <c r="D6320" t="inlineStr">
        <is>
          <t>VÄSTERBOTTENS LÄN</t>
        </is>
      </c>
      <c r="E6320" t="inlineStr">
        <is>
          <t>SKELLEFTEÅ</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56629-2024</t>
        </is>
      </c>
      <c r="B6321" s="1" t="n">
        <v>45625</v>
      </c>
      <c r="C6321" s="1" t="n">
        <v>46075</v>
      </c>
      <c r="D6321" t="inlineStr">
        <is>
          <t>VÄSTERBOTTENS LÄN</t>
        </is>
      </c>
      <c r="E6321" t="inlineStr">
        <is>
          <t>VILHELMINA</t>
        </is>
      </c>
      <c r="F6321" t="inlineStr">
        <is>
          <t>Allmännings- och besparingsskogar</t>
        </is>
      </c>
      <c r="G6321" t="n">
        <v>20</v>
      </c>
      <c r="H6321" t="n">
        <v>0</v>
      </c>
      <c r="I6321" t="n">
        <v>0</v>
      </c>
      <c r="J6321" t="n">
        <v>0</v>
      </c>
      <c r="K6321" t="n">
        <v>0</v>
      </c>
      <c r="L6321" t="n">
        <v>0</v>
      </c>
      <c r="M6321" t="n">
        <v>0</v>
      </c>
      <c r="N6321" t="n">
        <v>0</v>
      </c>
      <c r="O6321" t="n">
        <v>0</v>
      </c>
      <c r="P6321" t="n">
        <v>0</v>
      </c>
      <c r="Q6321" t="n">
        <v>0</v>
      </c>
      <c r="R6321" s="2" t="inlineStr"/>
    </row>
    <row r="6322" ht="15" customHeight="1">
      <c r="A6322" t="inlineStr">
        <is>
          <t>A 50234-2025</t>
        </is>
      </c>
      <c r="B6322" s="1" t="n">
        <v>45943.71912037037</v>
      </c>
      <c r="C6322" s="1" t="n">
        <v>46075</v>
      </c>
      <c r="D6322" t="inlineStr">
        <is>
          <t>VÄSTERBOTTENS LÄN</t>
        </is>
      </c>
      <c r="E6322" t="inlineStr">
        <is>
          <t>ÅSELE</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50235-2025</t>
        </is>
      </c>
      <c r="B6323" s="1" t="n">
        <v>45943.73505787037</v>
      </c>
      <c r="C6323" s="1" t="n">
        <v>46075</v>
      </c>
      <c r="D6323" t="inlineStr">
        <is>
          <t>VÄSTERBOTTENS LÄN</t>
        </is>
      </c>
      <c r="E6323" t="inlineStr">
        <is>
          <t>SKELLEFTEÅ</t>
        </is>
      </c>
      <c r="F6323" t="inlineStr">
        <is>
          <t>Sveaskog</t>
        </is>
      </c>
      <c r="G6323" t="n">
        <v>3.3</v>
      </c>
      <c r="H6323" t="n">
        <v>0</v>
      </c>
      <c r="I6323" t="n">
        <v>0</v>
      </c>
      <c r="J6323" t="n">
        <v>0</v>
      </c>
      <c r="K6323" t="n">
        <v>0</v>
      </c>
      <c r="L6323" t="n">
        <v>0</v>
      </c>
      <c r="M6323" t="n">
        <v>0</v>
      </c>
      <c r="N6323" t="n">
        <v>0</v>
      </c>
      <c r="O6323" t="n">
        <v>0</v>
      </c>
      <c r="P6323" t="n">
        <v>0</v>
      </c>
      <c r="Q6323" t="n">
        <v>0</v>
      </c>
      <c r="R6323" s="2" t="inlineStr"/>
    </row>
    <row r="6324" ht="15" customHeight="1">
      <c r="A6324" t="inlineStr">
        <is>
          <t>A 38777-2025</t>
        </is>
      </c>
      <c r="B6324" s="1" t="n">
        <v>45887.43675925926</v>
      </c>
      <c r="C6324" s="1" t="n">
        <v>46075</v>
      </c>
      <c r="D6324" t="inlineStr">
        <is>
          <t>VÄSTERBOTTENS LÄN</t>
        </is>
      </c>
      <c r="E6324" t="inlineStr">
        <is>
          <t>LYCKSELE</t>
        </is>
      </c>
      <c r="F6324" t="inlineStr">
        <is>
          <t>Sveaskog</t>
        </is>
      </c>
      <c r="G6324" t="n">
        <v>3.5</v>
      </c>
      <c r="H6324" t="n">
        <v>0</v>
      </c>
      <c r="I6324" t="n">
        <v>0</v>
      </c>
      <c r="J6324" t="n">
        <v>0</v>
      </c>
      <c r="K6324" t="n">
        <v>0</v>
      </c>
      <c r="L6324" t="n">
        <v>0</v>
      </c>
      <c r="M6324" t="n">
        <v>0</v>
      </c>
      <c r="N6324" t="n">
        <v>0</v>
      </c>
      <c r="O6324" t="n">
        <v>0</v>
      </c>
      <c r="P6324" t="n">
        <v>0</v>
      </c>
      <c r="Q6324" t="n">
        <v>0</v>
      </c>
      <c r="R6324" s="2" t="inlineStr"/>
    </row>
    <row r="6325" ht="15" customHeight="1">
      <c r="A6325" t="inlineStr">
        <is>
          <t>A 38778-2025</t>
        </is>
      </c>
      <c r="B6325" s="1" t="n">
        <v>45887.43694444445</v>
      </c>
      <c r="C6325" s="1" t="n">
        <v>46075</v>
      </c>
      <c r="D6325" t="inlineStr">
        <is>
          <t>VÄSTERBOTTENS LÄN</t>
        </is>
      </c>
      <c r="E6325" t="inlineStr">
        <is>
          <t>SKELLEFTEÅ</t>
        </is>
      </c>
      <c r="G6325" t="n">
        <v>19.7</v>
      </c>
      <c r="H6325" t="n">
        <v>0</v>
      </c>
      <c r="I6325" t="n">
        <v>0</v>
      </c>
      <c r="J6325" t="n">
        <v>0</v>
      </c>
      <c r="K6325" t="n">
        <v>0</v>
      </c>
      <c r="L6325" t="n">
        <v>0</v>
      </c>
      <c r="M6325" t="n">
        <v>0</v>
      </c>
      <c r="N6325" t="n">
        <v>0</v>
      </c>
      <c r="O6325" t="n">
        <v>0</v>
      </c>
      <c r="P6325" t="n">
        <v>0</v>
      </c>
      <c r="Q6325" t="n">
        <v>0</v>
      </c>
      <c r="R6325" s="2" t="inlineStr"/>
    </row>
    <row r="6326" ht="15" customHeight="1">
      <c r="A6326" t="inlineStr">
        <is>
          <t>A 50278-2025</t>
        </is>
      </c>
      <c r="B6326" s="1" t="n">
        <v>45944.3794212963</v>
      </c>
      <c r="C6326" s="1" t="n">
        <v>46075</v>
      </c>
      <c r="D6326" t="inlineStr">
        <is>
          <t>VÄSTERBOTTENS LÄN</t>
        </is>
      </c>
      <c r="E6326" t="inlineStr">
        <is>
          <t>ÅSELE</t>
        </is>
      </c>
      <c r="F6326" t="inlineStr">
        <is>
          <t>Sveaskog</t>
        </is>
      </c>
      <c r="G6326" t="n">
        <v>18.8</v>
      </c>
      <c r="H6326" t="n">
        <v>0</v>
      </c>
      <c r="I6326" t="n">
        <v>0</v>
      </c>
      <c r="J6326" t="n">
        <v>0</v>
      </c>
      <c r="K6326" t="n">
        <v>0</v>
      </c>
      <c r="L6326" t="n">
        <v>0</v>
      </c>
      <c r="M6326" t="n">
        <v>0</v>
      </c>
      <c r="N6326" t="n">
        <v>0</v>
      </c>
      <c r="O6326" t="n">
        <v>0</v>
      </c>
      <c r="P6326" t="n">
        <v>0</v>
      </c>
      <c r="Q6326" t="n">
        <v>0</v>
      </c>
      <c r="R6326" s="2" t="inlineStr"/>
    </row>
    <row r="6327" ht="15" customHeight="1">
      <c r="A6327" t="inlineStr">
        <is>
          <t>A 50443-2025</t>
        </is>
      </c>
      <c r="B6327" s="1" t="n">
        <v>45944.86888888889</v>
      </c>
      <c r="C6327" s="1" t="n">
        <v>46075</v>
      </c>
      <c r="D6327" t="inlineStr">
        <is>
          <t>VÄSTERBOTTENS LÄN</t>
        </is>
      </c>
      <c r="E6327" t="inlineStr">
        <is>
          <t>UMEÅ</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50301-2025</t>
        </is>
      </c>
      <c r="B6328" s="1" t="n">
        <v>45944.41266203704</v>
      </c>
      <c r="C6328" s="1" t="n">
        <v>46075</v>
      </c>
      <c r="D6328" t="inlineStr">
        <is>
          <t>VÄSTERBOTTENS LÄN</t>
        </is>
      </c>
      <c r="E6328" t="inlineStr">
        <is>
          <t>ÅSELE</t>
        </is>
      </c>
      <c r="F6328" t="inlineStr">
        <is>
          <t>Sveaskog</t>
        </is>
      </c>
      <c r="G6328" t="n">
        <v>21.8</v>
      </c>
      <c r="H6328" t="n">
        <v>0</v>
      </c>
      <c r="I6328" t="n">
        <v>0</v>
      </c>
      <c r="J6328" t="n">
        <v>0</v>
      </c>
      <c r="K6328" t="n">
        <v>0</v>
      </c>
      <c r="L6328" t="n">
        <v>0</v>
      </c>
      <c r="M6328" t="n">
        <v>0</v>
      </c>
      <c r="N6328" t="n">
        <v>0</v>
      </c>
      <c r="O6328" t="n">
        <v>0</v>
      </c>
      <c r="P6328" t="n">
        <v>0</v>
      </c>
      <c r="Q6328" t="n">
        <v>0</v>
      </c>
      <c r="R6328" s="2" t="inlineStr"/>
    </row>
    <row r="6329" ht="15" customHeight="1">
      <c r="A6329" t="inlineStr">
        <is>
          <t>A 11528-2024</t>
        </is>
      </c>
      <c r="B6329" s="1" t="n">
        <v>45372</v>
      </c>
      <c r="C6329" s="1" t="n">
        <v>46075</v>
      </c>
      <c r="D6329" t="inlineStr">
        <is>
          <t>VÄSTERBOTTENS LÄN</t>
        </is>
      </c>
      <c r="E6329" t="inlineStr">
        <is>
          <t>SKELLEFTEÅ</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11531-2024</t>
        </is>
      </c>
      <c r="B6330" s="1" t="n">
        <v>45372.92850694444</v>
      </c>
      <c r="C6330" s="1" t="n">
        <v>46075</v>
      </c>
      <c r="D6330" t="inlineStr">
        <is>
          <t>VÄSTERBOTTENS LÄN</t>
        </is>
      </c>
      <c r="E6330" t="inlineStr">
        <is>
          <t>NORSJÖ</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7397-2025</t>
        </is>
      </c>
      <c r="B6331" s="1" t="n">
        <v>45705.3462037037</v>
      </c>
      <c r="C6331" s="1" t="n">
        <v>46075</v>
      </c>
      <c r="D6331" t="inlineStr">
        <is>
          <t>VÄSTERBOTTENS LÄN</t>
        </is>
      </c>
      <c r="E6331" t="inlineStr">
        <is>
          <t>DOROTEA</t>
        </is>
      </c>
      <c r="G6331" t="n">
        <v>13.3</v>
      </c>
      <c r="H6331" t="n">
        <v>0</v>
      </c>
      <c r="I6331" t="n">
        <v>0</v>
      </c>
      <c r="J6331" t="n">
        <v>0</v>
      </c>
      <c r="K6331" t="n">
        <v>0</v>
      </c>
      <c r="L6331" t="n">
        <v>0</v>
      </c>
      <c r="M6331" t="n">
        <v>0</v>
      </c>
      <c r="N6331" t="n">
        <v>0</v>
      </c>
      <c r="O6331" t="n">
        <v>0</v>
      </c>
      <c r="P6331" t="n">
        <v>0</v>
      </c>
      <c r="Q6331" t="n">
        <v>0</v>
      </c>
      <c r="R6331" s="2" t="inlineStr"/>
    </row>
    <row r="6332" ht="15" customHeight="1">
      <c r="A6332" t="inlineStr">
        <is>
          <t>A 50284-2025</t>
        </is>
      </c>
      <c r="B6332" s="1" t="n">
        <v>45944.39328703703</v>
      </c>
      <c r="C6332" s="1" t="n">
        <v>46075</v>
      </c>
      <c r="D6332" t="inlineStr">
        <is>
          <t>VÄSTERBOTTENS LÄN</t>
        </is>
      </c>
      <c r="E6332" t="inlineStr">
        <is>
          <t>UMEÅ</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50288-2025</t>
        </is>
      </c>
      <c r="B6333" s="1" t="n">
        <v>45944.39729166667</v>
      </c>
      <c r="C6333" s="1" t="n">
        <v>46075</v>
      </c>
      <c r="D6333" t="inlineStr">
        <is>
          <t>VÄSTERBOTTENS LÄN</t>
        </is>
      </c>
      <c r="E6333" t="inlineStr">
        <is>
          <t>ÅSELE</t>
        </is>
      </c>
      <c r="F6333" t="inlineStr">
        <is>
          <t>Sveaskog</t>
        </is>
      </c>
      <c r="G6333" t="n">
        <v>25.2</v>
      </c>
      <c r="H6333" t="n">
        <v>0</v>
      </c>
      <c r="I6333" t="n">
        <v>0</v>
      </c>
      <c r="J6333" t="n">
        <v>0</v>
      </c>
      <c r="K6333" t="n">
        <v>0</v>
      </c>
      <c r="L6333" t="n">
        <v>0</v>
      </c>
      <c r="M6333" t="n">
        <v>0</v>
      </c>
      <c r="N6333" t="n">
        <v>0</v>
      </c>
      <c r="O6333" t="n">
        <v>0</v>
      </c>
      <c r="P6333" t="n">
        <v>0</v>
      </c>
      <c r="Q6333" t="n">
        <v>0</v>
      </c>
      <c r="R6333" s="2" t="inlineStr"/>
    </row>
    <row r="6334" ht="15" customHeight="1">
      <c r="A6334" t="inlineStr">
        <is>
          <t>A 50317-2025</t>
        </is>
      </c>
      <c r="B6334" s="1" t="n">
        <v>45944.44858796296</v>
      </c>
      <c r="C6334" s="1" t="n">
        <v>46075</v>
      </c>
      <c r="D6334" t="inlineStr">
        <is>
          <t>VÄSTERBOTTENS LÄN</t>
        </is>
      </c>
      <c r="E6334" t="inlineStr">
        <is>
          <t>VINDELN</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59022-2024</t>
        </is>
      </c>
      <c r="B6335" s="1" t="n">
        <v>45636</v>
      </c>
      <c r="C6335" s="1" t="n">
        <v>46075</v>
      </c>
      <c r="D6335" t="inlineStr">
        <is>
          <t>VÄSTERBOTTENS LÄN</t>
        </is>
      </c>
      <c r="E6335" t="inlineStr">
        <is>
          <t>VILHELMINA</t>
        </is>
      </c>
      <c r="F6335" t="inlineStr">
        <is>
          <t>Allmännings- och besparingsskogar</t>
        </is>
      </c>
      <c r="G6335" t="n">
        <v>35</v>
      </c>
      <c r="H6335" t="n">
        <v>0</v>
      </c>
      <c r="I6335" t="n">
        <v>0</v>
      </c>
      <c r="J6335" t="n">
        <v>0</v>
      </c>
      <c r="K6335" t="n">
        <v>0</v>
      </c>
      <c r="L6335" t="n">
        <v>0</v>
      </c>
      <c r="M6335" t="n">
        <v>0</v>
      </c>
      <c r="N6335" t="n">
        <v>0</v>
      </c>
      <c r="O6335" t="n">
        <v>0</v>
      </c>
      <c r="P6335" t="n">
        <v>0</v>
      </c>
      <c r="Q6335" t="n">
        <v>0</v>
      </c>
      <c r="R6335" s="2" t="inlineStr"/>
    </row>
    <row r="6336" ht="15" customHeight="1">
      <c r="A6336" t="inlineStr">
        <is>
          <t>A 45606-2024</t>
        </is>
      </c>
      <c r="B6336" s="1" t="n">
        <v>45579.4434375</v>
      </c>
      <c r="C6336" s="1" t="n">
        <v>46075</v>
      </c>
      <c r="D6336" t="inlineStr">
        <is>
          <t>VÄSTERBOTTENS LÄN</t>
        </is>
      </c>
      <c r="E6336" t="inlineStr">
        <is>
          <t>VINDELN</t>
        </is>
      </c>
      <c r="F6336" t="inlineStr">
        <is>
          <t>Sveaskog</t>
        </is>
      </c>
      <c r="G6336" t="n">
        <v>6.8</v>
      </c>
      <c r="H6336" t="n">
        <v>0</v>
      </c>
      <c r="I6336" t="n">
        <v>0</v>
      </c>
      <c r="J6336" t="n">
        <v>0</v>
      </c>
      <c r="K6336" t="n">
        <v>0</v>
      </c>
      <c r="L6336" t="n">
        <v>0</v>
      </c>
      <c r="M6336" t="n">
        <v>0</v>
      </c>
      <c r="N6336" t="n">
        <v>0</v>
      </c>
      <c r="O6336" t="n">
        <v>0</v>
      </c>
      <c r="P6336" t="n">
        <v>0</v>
      </c>
      <c r="Q6336" t="n">
        <v>0</v>
      </c>
      <c r="R6336" s="2" t="inlineStr"/>
    </row>
    <row r="6337" ht="15" customHeight="1">
      <c r="A6337" t="inlineStr">
        <is>
          <t>A 49926-2023</t>
        </is>
      </c>
      <c r="B6337" s="1" t="n">
        <v>45214.87300925926</v>
      </c>
      <c r="C6337" s="1" t="n">
        <v>46075</v>
      </c>
      <c r="D6337" t="inlineStr">
        <is>
          <t>VÄSTERBOTTENS LÄN</t>
        </is>
      </c>
      <c r="E6337" t="inlineStr">
        <is>
          <t>ÅSELE</t>
        </is>
      </c>
      <c r="F6337" t="inlineStr">
        <is>
          <t>Holmen skog AB</t>
        </is>
      </c>
      <c r="G6337" t="n">
        <v>3.5</v>
      </c>
      <c r="H6337" t="n">
        <v>0</v>
      </c>
      <c r="I6337" t="n">
        <v>0</v>
      </c>
      <c r="J6337" t="n">
        <v>0</v>
      </c>
      <c r="K6337" t="n">
        <v>0</v>
      </c>
      <c r="L6337" t="n">
        <v>0</v>
      </c>
      <c r="M6337" t="n">
        <v>0</v>
      </c>
      <c r="N6337" t="n">
        <v>0</v>
      </c>
      <c r="O6337" t="n">
        <v>0</v>
      </c>
      <c r="P6337" t="n">
        <v>0</v>
      </c>
      <c r="Q6337" t="n">
        <v>0</v>
      </c>
      <c r="R6337" s="2" t="inlineStr"/>
    </row>
    <row r="6338" ht="15" customHeight="1">
      <c r="A6338" t="inlineStr">
        <is>
          <t>A 49928-2023</t>
        </is>
      </c>
      <c r="B6338" s="1" t="n">
        <v>45214.93665509259</v>
      </c>
      <c r="C6338" s="1" t="n">
        <v>46075</v>
      </c>
      <c r="D6338" t="inlineStr">
        <is>
          <t>VÄSTERBOTTENS LÄN</t>
        </is>
      </c>
      <c r="E6338" t="inlineStr">
        <is>
          <t>ÅSELE</t>
        </is>
      </c>
      <c r="F6338" t="inlineStr">
        <is>
          <t>SCA</t>
        </is>
      </c>
      <c r="G6338" t="n">
        <v>3.9</v>
      </c>
      <c r="H6338" t="n">
        <v>0</v>
      </c>
      <c r="I6338" t="n">
        <v>0</v>
      </c>
      <c r="J6338" t="n">
        <v>0</v>
      </c>
      <c r="K6338" t="n">
        <v>0</v>
      </c>
      <c r="L6338" t="n">
        <v>0</v>
      </c>
      <c r="M6338" t="n">
        <v>0</v>
      </c>
      <c r="N6338" t="n">
        <v>0</v>
      </c>
      <c r="O6338" t="n">
        <v>0</v>
      </c>
      <c r="P6338" t="n">
        <v>0</v>
      </c>
      <c r="Q6338" t="n">
        <v>0</v>
      </c>
      <c r="R6338" s="2" t="inlineStr"/>
    </row>
    <row r="6339" ht="15" customHeight="1">
      <c r="A6339" t="inlineStr">
        <is>
          <t>A 42410-2023</t>
        </is>
      </c>
      <c r="B6339" s="1" t="n">
        <v>45180</v>
      </c>
      <c r="C6339" s="1" t="n">
        <v>46075</v>
      </c>
      <c r="D6339" t="inlineStr">
        <is>
          <t>VÄSTERBOTTENS LÄN</t>
        </is>
      </c>
      <c r="E6339" t="inlineStr">
        <is>
          <t>MALÅ</t>
        </is>
      </c>
      <c r="G6339" t="n">
        <v>7.4</v>
      </c>
      <c r="H6339" t="n">
        <v>0</v>
      </c>
      <c r="I6339" t="n">
        <v>0</v>
      </c>
      <c r="J6339" t="n">
        <v>0</v>
      </c>
      <c r="K6339" t="n">
        <v>0</v>
      </c>
      <c r="L6339" t="n">
        <v>0</v>
      </c>
      <c r="M6339" t="n">
        <v>0</v>
      </c>
      <c r="N6339" t="n">
        <v>0</v>
      </c>
      <c r="O6339" t="n">
        <v>0</v>
      </c>
      <c r="P6339" t="n">
        <v>0</v>
      </c>
      <c r="Q6339" t="n">
        <v>0</v>
      </c>
      <c r="R6339" s="2" t="inlineStr"/>
    </row>
    <row r="6340" ht="15" customHeight="1">
      <c r="A6340" t="inlineStr">
        <is>
          <t>A 50438-2025</t>
        </is>
      </c>
      <c r="B6340" s="1" t="n">
        <v>45944.75725694445</v>
      </c>
      <c r="C6340" s="1" t="n">
        <v>46075</v>
      </c>
      <c r="D6340" t="inlineStr">
        <is>
          <t>VÄSTERBOTTENS LÄN</t>
        </is>
      </c>
      <c r="E6340" t="inlineStr">
        <is>
          <t>ÅSELE</t>
        </is>
      </c>
      <c r="F6340" t="inlineStr">
        <is>
          <t>Holmen skog AB</t>
        </is>
      </c>
      <c r="G6340" t="n">
        <v>5.8</v>
      </c>
      <c r="H6340" t="n">
        <v>0</v>
      </c>
      <c r="I6340" t="n">
        <v>0</v>
      </c>
      <c r="J6340" t="n">
        <v>0</v>
      </c>
      <c r="K6340" t="n">
        <v>0</v>
      </c>
      <c r="L6340" t="n">
        <v>0</v>
      </c>
      <c r="M6340" t="n">
        <v>0</v>
      </c>
      <c r="N6340" t="n">
        <v>0</v>
      </c>
      <c r="O6340" t="n">
        <v>0</v>
      </c>
      <c r="P6340" t="n">
        <v>0</v>
      </c>
      <c r="Q6340" t="n">
        <v>0</v>
      </c>
      <c r="R6340" s="2" t="inlineStr"/>
    </row>
    <row r="6341" ht="15" customHeight="1">
      <c r="A6341" t="inlineStr">
        <is>
          <t>A 46860-2022</t>
        </is>
      </c>
      <c r="B6341" s="1" t="n">
        <v>44848</v>
      </c>
      <c r="C6341" s="1" t="n">
        <v>46075</v>
      </c>
      <c r="D6341" t="inlineStr">
        <is>
          <t>VÄSTERBOTTENS LÄN</t>
        </is>
      </c>
      <c r="E6341" t="inlineStr">
        <is>
          <t>NORSJÖ</t>
        </is>
      </c>
      <c r="G6341" t="n">
        <v>4</v>
      </c>
      <c r="H6341" t="n">
        <v>0</v>
      </c>
      <c r="I6341" t="n">
        <v>0</v>
      </c>
      <c r="J6341" t="n">
        <v>0</v>
      </c>
      <c r="K6341" t="n">
        <v>0</v>
      </c>
      <c r="L6341" t="n">
        <v>0</v>
      </c>
      <c r="M6341" t="n">
        <v>0</v>
      </c>
      <c r="N6341" t="n">
        <v>0</v>
      </c>
      <c r="O6341" t="n">
        <v>0</v>
      </c>
      <c r="P6341" t="n">
        <v>0</v>
      </c>
      <c r="Q6341" t="n">
        <v>0</v>
      </c>
      <c r="R6341" s="2" t="inlineStr"/>
    </row>
    <row r="6342" ht="15" customHeight="1">
      <c r="A6342" t="inlineStr">
        <is>
          <t>A 5639-2024</t>
        </is>
      </c>
      <c r="B6342" s="1" t="n">
        <v>45334.61408564815</v>
      </c>
      <c r="C6342" s="1" t="n">
        <v>46075</v>
      </c>
      <c r="D6342" t="inlineStr">
        <is>
          <t>VÄSTERBOTTENS LÄN</t>
        </is>
      </c>
      <c r="E6342" t="inlineStr">
        <is>
          <t>SKELLEFTEÅ</t>
        </is>
      </c>
      <c r="G6342" t="n">
        <v>9.4</v>
      </c>
      <c r="H6342" t="n">
        <v>0</v>
      </c>
      <c r="I6342" t="n">
        <v>0</v>
      </c>
      <c r="J6342" t="n">
        <v>0</v>
      </c>
      <c r="K6342" t="n">
        <v>0</v>
      </c>
      <c r="L6342" t="n">
        <v>0</v>
      </c>
      <c r="M6342" t="n">
        <v>0</v>
      </c>
      <c r="N6342" t="n">
        <v>0</v>
      </c>
      <c r="O6342" t="n">
        <v>0</v>
      </c>
      <c r="P6342" t="n">
        <v>0</v>
      </c>
      <c r="Q6342" t="n">
        <v>0</v>
      </c>
      <c r="R6342" s="2" t="inlineStr"/>
    </row>
    <row r="6343" ht="15" customHeight="1">
      <c r="A6343" t="inlineStr">
        <is>
          <t>A 50635-2025</t>
        </is>
      </c>
      <c r="B6343" s="1" t="n">
        <v>45945.65</v>
      </c>
      <c r="C6343" s="1" t="n">
        <v>46075</v>
      </c>
      <c r="D6343" t="inlineStr">
        <is>
          <t>VÄSTERBOTTENS LÄN</t>
        </is>
      </c>
      <c r="E6343" t="inlineStr">
        <is>
          <t>VINDELN</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50653-2025</t>
        </is>
      </c>
      <c r="B6344" s="1" t="n">
        <v>45945</v>
      </c>
      <c r="C6344" s="1" t="n">
        <v>46075</v>
      </c>
      <c r="D6344" t="inlineStr">
        <is>
          <t>VÄSTERBOTTENS LÄN</t>
        </is>
      </c>
      <c r="E6344" t="inlineStr">
        <is>
          <t>VINDELN</t>
        </is>
      </c>
      <c r="G6344" t="n">
        <v>13.4</v>
      </c>
      <c r="H6344" t="n">
        <v>0</v>
      </c>
      <c r="I6344" t="n">
        <v>0</v>
      </c>
      <c r="J6344" t="n">
        <v>0</v>
      </c>
      <c r="K6344" t="n">
        <v>0</v>
      </c>
      <c r="L6344" t="n">
        <v>0</v>
      </c>
      <c r="M6344" t="n">
        <v>0</v>
      </c>
      <c r="N6344" t="n">
        <v>0</v>
      </c>
      <c r="O6344" t="n">
        <v>0</v>
      </c>
      <c r="P6344" t="n">
        <v>0</v>
      </c>
      <c r="Q6344" t="n">
        <v>0</v>
      </c>
      <c r="R6344" s="2" t="inlineStr"/>
    </row>
    <row r="6345" ht="15" customHeight="1">
      <c r="A6345" t="inlineStr">
        <is>
          <t>A 50661-2025</t>
        </is>
      </c>
      <c r="B6345" s="1" t="n">
        <v>45945</v>
      </c>
      <c r="C6345" s="1" t="n">
        <v>46075</v>
      </c>
      <c r="D6345" t="inlineStr">
        <is>
          <t>VÄSTERBOTTENS LÄN</t>
        </is>
      </c>
      <c r="E6345" t="inlineStr">
        <is>
          <t>VINDELN</t>
        </is>
      </c>
      <c r="G6345" t="n">
        <v>8.300000000000001</v>
      </c>
      <c r="H6345" t="n">
        <v>0</v>
      </c>
      <c r="I6345" t="n">
        <v>0</v>
      </c>
      <c r="J6345" t="n">
        <v>0</v>
      </c>
      <c r="K6345" t="n">
        <v>0</v>
      </c>
      <c r="L6345" t="n">
        <v>0</v>
      </c>
      <c r="M6345" t="n">
        <v>0</v>
      </c>
      <c r="N6345" t="n">
        <v>0</v>
      </c>
      <c r="O6345" t="n">
        <v>0</v>
      </c>
      <c r="P6345" t="n">
        <v>0</v>
      </c>
      <c r="Q6345" t="n">
        <v>0</v>
      </c>
      <c r="R6345" s="2" t="inlineStr"/>
    </row>
    <row r="6346" ht="15" customHeight="1">
      <c r="A6346" t="inlineStr">
        <is>
          <t>A 8095-2023</t>
        </is>
      </c>
      <c r="B6346" s="1" t="n">
        <v>44974.38841435185</v>
      </c>
      <c r="C6346" s="1" t="n">
        <v>46075</v>
      </c>
      <c r="D6346" t="inlineStr">
        <is>
          <t>VÄSTERBOTTENS LÄN</t>
        </is>
      </c>
      <c r="E6346" t="inlineStr">
        <is>
          <t>DOROTEA</t>
        </is>
      </c>
      <c r="G6346" t="n">
        <v>2.3</v>
      </c>
      <c r="H6346" t="n">
        <v>0</v>
      </c>
      <c r="I6346" t="n">
        <v>0</v>
      </c>
      <c r="J6346" t="n">
        <v>0</v>
      </c>
      <c r="K6346" t="n">
        <v>0</v>
      </c>
      <c r="L6346" t="n">
        <v>0</v>
      </c>
      <c r="M6346" t="n">
        <v>0</v>
      </c>
      <c r="N6346" t="n">
        <v>0</v>
      </c>
      <c r="O6346" t="n">
        <v>0</v>
      </c>
      <c r="P6346" t="n">
        <v>0</v>
      </c>
      <c r="Q6346" t="n">
        <v>0</v>
      </c>
      <c r="R6346" s="2" t="inlineStr"/>
    </row>
    <row r="6347" ht="15" customHeight="1">
      <c r="A6347" t="inlineStr">
        <is>
          <t>A 50600-2025</t>
        </is>
      </c>
      <c r="B6347" s="1" t="n">
        <v>45945.61237268519</v>
      </c>
      <c r="C6347" s="1" t="n">
        <v>46075</v>
      </c>
      <c r="D6347" t="inlineStr">
        <is>
          <t>VÄSTERBOTTENS LÄN</t>
        </is>
      </c>
      <c r="E6347" t="inlineStr">
        <is>
          <t>SORSELE</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8916-2023</t>
        </is>
      </c>
      <c r="B6348" s="1" t="n">
        <v>44972</v>
      </c>
      <c r="C6348" s="1" t="n">
        <v>46075</v>
      </c>
      <c r="D6348" t="inlineStr">
        <is>
          <t>VÄSTERBOTTENS LÄN</t>
        </is>
      </c>
      <c r="E6348" t="inlineStr">
        <is>
          <t>VILHELMINA</t>
        </is>
      </c>
      <c r="F6348" t="inlineStr">
        <is>
          <t>Allmännings- och besparingsskogar</t>
        </is>
      </c>
      <c r="G6348" t="n">
        <v>22.1</v>
      </c>
      <c r="H6348" t="n">
        <v>0</v>
      </c>
      <c r="I6348" t="n">
        <v>0</v>
      </c>
      <c r="J6348" t="n">
        <v>0</v>
      </c>
      <c r="K6348" t="n">
        <v>0</v>
      </c>
      <c r="L6348" t="n">
        <v>0</v>
      </c>
      <c r="M6348" t="n">
        <v>0</v>
      </c>
      <c r="N6348" t="n">
        <v>0</v>
      </c>
      <c r="O6348" t="n">
        <v>0</v>
      </c>
      <c r="P6348" t="n">
        <v>0</v>
      </c>
      <c r="Q6348" t="n">
        <v>0</v>
      </c>
      <c r="R6348" s="2" t="inlineStr"/>
    </row>
    <row r="6349" ht="15" customHeight="1">
      <c r="A6349" t="inlineStr">
        <is>
          <t>A 45881-2022</t>
        </is>
      </c>
      <c r="B6349" s="1" t="n">
        <v>44846</v>
      </c>
      <c r="C6349" s="1" t="n">
        <v>46075</v>
      </c>
      <c r="D6349" t="inlineStr">
        <is>
          <t>VÄSTERBOTTENS LÄN</t>
        </is>
      </c>
      <c r="E6349" t="inlineStr">
        <is>
          <t>UMEÅ</t>
        </is>
      </c>
      <c r="G6349" t="n">
        <v>5.4</v>
      </c>
      <c r="H6349" t="n">
        <v>0</v>
      </c>
      <c r="I6349" t="n">
        <v>0</v>
      </c>
      <c r="J6349" t="n">
        <v>0</v>
      </c>
      <c r="K6349" t="n">
        <v>0</v>
      </c>
      <c r="L6349" t="n">
        <v>0</v>
      </c>
      <c r="M6349" t="n">
        <v>0</v>
      </c>
      <c r="N6349" t="n">
        <v>0</v>
      </c>
      <c r="O6349" t="n">
        <v>0</v>
      </c>
      <c r="P6349" t="n">
        <v>0</v>
      </c>
      <c r="Q6349" t="n">
        <v>0</v>
      </c>
      <c r="R6349" s="2" t="inlineStr"/>
    </row>
    <row r="6350" ht="15" customHeight="1">
      <c r="A6350" t="inlineStr">
        <is>
          <t>A 50442-2025</t>
        </is>
      </c>
      <c r="B6350" s="1" t="n">
        <v>45944.86627314815</v>
      </c>
      <c r="C6350" s="1" t="n">
        <v>46075</v>
      </c>
      <c r="D6350" t="inlineStr">
        <is>
          <t>VÄSTERBOTTENS LÄN</t>
        </is>
      </c>
      <c r="E6350" t="inlineStr">
        <is>
          <t>UMEÅ</t>
        </is>
      </c>
      <c r="G6350" t="n">
        <v>3.5</v>
      </c>
      <c r="H6350" t="n">
        <v>0</v>
      </c>
      <c r="I6350" t="n">
        <v>0</v>
      </c>
      <c r="J6350" t="n">
        <v>0</v>
      </c>
      <c r="K6350" t="n">
        <v>0</v>
      </c>
      <c r="L6350" t="n">
        <v>0</v>
      </c>
      <c r="M6350" t="n">
        <v>0</v>
      </c>
      <c r="N6350" t="n">
        <v>0</v>
      </c>
      <c r="O6350" t="n">
        <v>0</v>
      </c>
      <c r="P6350" t="n">
        <v>0</v>
      </c>
      <c r="Q6350" t="n">
        <v>0</v>
      </c>
      <c r="R6350" s="2" t="inlineStr"/>
    </row>
    <row r="6351" ht="15" customHeight="1">
      <c r="A6351" t="inlineStr">
        <is>
          <t>A 38490-2025</t>
        </is>
      </c>
      <c r="B6351" s="1" t="n">
        <v>45884.34648148148</v>
      </c>
      <c r="C6351" s="1" t="n">
        <v>46075</v>
      </c>
      <c r="D6351" t="inlineStr">
        <is>
          <t>VÄSTERBOTTENS LÄN</t>
        </is>
      </c>
      <c r="E6351" t="inlineStr">
        <is>
          <t>NORDMALING</t>
        </is>
      </c>
      <c r="F6351" t="inlineStr">
        <is>
          <t>Naturvårdsverket</t>
        </is>
      </c>
      <c r="G6351" t="n">
        <v>7</v>
      </c>
      <c r="H6351" t="n">
        <v>0</v>
      </c>
      <c r="I6351" t="n">
        <v>0</v>
      </c>
      <c r="J6351" t="n">
        <v>0</v>
      </c>
      <c r="K6351" t="n">
        <v>0</v>
      </c>
      <c r="L6351" t="n">
        <v>0</v>
      </c>
      <c r="M6351" t="n">
        <v>0</v>
      </c>
      <c r="N6351" t="n">
        <v>0</v>
      </c>
      <c r="O6351" t="n">
        <v>0</v>
      </c>
      <c r="P6351" t="n">
        <v>0</v>
      </c>
      <c r="Q6351" t="n">
        <v>0</v>
      </c>
      <c r="R6351" s="2" t="inlineStr"/>
    </row>
    <row r="6352" ht="15" customHeight="1">
      <c r="A6352" t="inlineStr">
        <is>
          <t>A 38500-2025</t>
        </is>
      </c>
      <c r="B6352" s="1" t="n">
        <v>45884.37513888889</v>
      </c>
      <c r="C6352" s="1" t="n">
        <v>46075</v>
      </c>
      <c r="D6352" t="inlineStr">
        <is>
          <t>VÄSTERBOTTENS LÄN</t>
        </is>
      </c>
      <c r="E6352" t="inlineStr">
        <is>
          <t>SKELLEFTEÅ</t>
        </is>
      </c>
      <c r="F6352" t="inlineStr">
        <is>
          <t>Holmen skog AB</t>
        </is>
      </c>
      <c r="G6352" t="n">
        <v>7.7</v>
      </c>
      <c r="H6352" t="n">
        <v>0</v>
      </c>
      <c r="I6352" t="n">
        <v>0</v>
      </c>
      <c r="J6352" t="n">
        <v>0</v>
      </c>
      <c r="K6352" t="n">
        <v>0</v>
      </c>
      <c r="L6352" t="n">
        <v>0</v>
      </c>
      <c r="M6352" t="n">
        <v>0</v>
      </c>
      <c r="N6352" t="n">
        <v>0</v>
      </c>
      <c r="O6352" t="n">
        <v>0</v>
      </c>
      <c r="P6352" t="n">
        <v>0</v>
      </c>
      <c r="Q6352" t="n">
        <v>0</v>
      </c>
      <c r="R6352" s="2" t="inlineStr"/>
    </row>
    <row r="6353" ht="15" customHeight="1">
      <c r="A6353" t="inlineStr">
        <is>
          <t>A 59003-2024</t>
        </is>
      </c>
      <c r="B6353" s="1" t="n">
        <v>45636</v>
      </c>
      <c r="C6353" s="1" t="n">
        <v>46075</v>
      </c>
      <c r="D6353" t="inlineStr">
        <is>
          <t>VÄSTERBOTTENS LÄN</t>
        </is>
      </c>
      <c r="E6353" t="inlineStr">
        <is>
          <t>VILHELMINA</t>
        </is>
      </c>
      <c r="F6353" t="inlineStr">
        <is>
          <t>Allmännings- och besparingsskogar</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50336-2025</t>
        </is>
      </c>
      <c r="B6354" s="1" t="n">
        <v>45944</v>
      </c>
      <c r="C6354" s="1" t="n">
        <v>46075</v>
      </c>
      <c r="D6354" t="inlineStr">
        <is>
          <t>VÄSTERBOTTENS LÄN</t>
        </is>
      </c>
      <c r="E6354" t="inlineStr">
        <is>
          <t>SKELLEFTEÅ</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58775-2025</t>
        </is>
      </c>
      <c r="B6355" s="1" t="n">
        <v>45986.69836805556</v>
      </c>
      <c r="C6355" s="1" t="n">
        <v>46075</v>
      </c>
      <c r="D6355" t="inlineStr">
        <is>
          <t>VÄSTERBOTTENS LÄN</t>
        </is>
      </c>
      <c r="E6355" t="inlineStr">
        <is>
          <t>LYCKSELE</t>
        </is>
      </c>
      <c r="F6355" t="inlineStr">
        <is>
          <t>SCA</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15856-2025</t>
        </is>
      </c>
      <c r="B6356" s="1" t="n">
        <v>45749.34060185185</v>
      </c>
      <c r="C6356" s="1" t="n">
        <v>46075</v>
      </c>
      <c r="D6356" t="inlineStr">
        <is>
          <t>VÄSTERBOTTENS LÄN</t>
        </is>
      </c>
      <c r="E6356" t="inlineStr">
        <is>
          <t>SORSELE</t>
        </is>
      </c>
      <c r="G6356" t="n">
        <v>2.9</v>
      </c>
      <c r="H6356" t="n">
        <v>0</v>
      </c>
      <c r="I6356" t="n">
        <v>0</v>
      </c>
      <c r="J6356" t="n">
        <v>0</v>
      </c>
      <c r="K6356" t="n">
        <v>0</v>
      </c>
      <c r="L6356" t="n">
        <v>0</v>
      </c>
      <c r="M6356" t="n">
        <v>0</v>
      </c>
      <c r="N6356" t="n">
        <v>0</v>
      </c>
      <c r="O6356" t="n">
        <v>0</v>
      </c>
      <c r="P6356" t="n">
        <v>0</v>
      </c>
      <c r="Q6356" t="n">
        <v>0</v>
      </c>
      <c r="R6356" s="2" t="inlineStr"/>
    </row>
    <row r="6357" ht="15" customHeight="1">
      <c r="A6357" t="inlineStr">
        <is>
          <t>A 50530-2025</t>
        </is>
      </c>
      <c r="B6357" s="1" t="n">
        <v>45945.47358796297</v>
      </c>
      <c r="C6357" s="1" t="n">
        <v>46075</v>
      </c>
      <c r="D6357" t="inlineStr">
        <is>
          <t>VÄSTERBOTTENS LÄN</t>
        </is>
      </c>
      <c r="E6357" t="inlineStr">
        <is>
          <t>DOROTEA</t>
        </is>
      </c>
      <c r="G6357" t="n">
        <v>2.6</v>
      </c>
      <c r="H6357" t="n">
        <v>0</v>
      </c>
      <c r="I6357" t="n">
        <v>0</v>
      </c>
      <c r="J6357" t="n">
        <v>0</v>
      </c>
      <c r="K6357" t="n">
        <v>0</v>
      </c>
      <c r="L6357" t="n">
        <v>0</v>
      </c>
      <c r="M6357" t="n">
        <v>0</v>
      </c>
      <c r="N6357" t="n">
        <v>0</v>
      </c>
      <c r="O6357" t="n">
        <v>0</v>
      </c>
      <c r="P6357" t="n">
        <v>0</v>
      </c>
      <c r="Q6357" t="n">
        <v>0</v>
      </c>
      <c r="R6357" s="2" t="inlineStr"/>
    </row>
    <row r="6358" ht="15" customHeight="1">
      <c r="A6358" t="inlineStr">
        <is>
          <t>A 62187-2021</t>
        </is>
      </c>
      <c r="B6358" s="1" t="n">
        <v>44502.91891203704</v>
      </c>
      <c r="C6358" s="1" t="n">
        <v>46075</v>
      </c>
      <c r="D6358" t="inlineStr">
        <is>
          <t>VÄSTERBOTTENS LÄN</t>
        </is>
      </c>
      <c r="E6358" t="inlineStr">
        <is>
          <t>ROBERTSFORS</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62227-2021</t>
        </is>
      </c>
      <c r="B6359" s="1" t="n">
        <v>44501</v>
      </c>
      <c r="C6359" s="1" t="n">
        <v>46075</v>
      </c>
      <c r="D6359" t="inlineStr">
        <is>
          <t>VÄSTERBOTTENS LÄN</t>
        </is>
      </c>
      <c r="E6359" t="inlineStr">
        <is>
          <t>SKELLEFTEÅ</t>
        </is>
      </c>
      <c r="G6359" t="n">
        <v>3.1</v>
      </c>
      <c r="H6359" t="n">
        <v>0</v>
      </c>
      <c r="I6359" t="n">
        <v>0</v>
      </c>
      <c r="J6359" t="n">
        <v>0</v>
      </c>
      <c r="K6359" t="n">
        <v>0</v>
      </c>
      <c r="L6359" t="n">
        <v>0</v>
      </c>
      <c r="M6359" t="n">
        <v>0</v>
      </c>
      <c r="N6359" t="n">
        <v>0</v>
      </c>
      <c r="O6359" t="n">
        <v>0</v>
      </c>
      <c r="P6359" t="n">
        <v>0</v>
      </c>
      <c r="Q6359" t="n">
        <v>0</v>
      </c>
      <c r="R6359" s="2" t="inlineStr"/>
    </row>
    <row r="6360" ht="15" customHeight="1">
      <c r="A6360" t="inlineStr">
        <is>
          <t>A 50638-2025</t>
        </is>
      </c>
      <c r="B6360" s="1" t="n">
        <v>45945.65354166667</v>
      </c>
      <c r="C6360" s="1" t="n">
        <v>46075</v>
      </c>
      <c r="D6360" t="inlineStr">
        <is>
          <t>VÄSTERBOTTENS LÄN</t>
        </is>
      </c>
      <c r="E6360" t="inlineStr">
        <is>
          <t>SKELLEFTEÅ</t>
        </is>
      </c>
      <c r="G6360" t="n">
        <v>3.2</v>
      </c>
      <c r="H6360" t="n">
        <v>0</v>
      </c>
      <c r="I6360" t="n">
        <v>0</v>
      </c>
      <c r="J6360" t="n">
        <v>0</v>
      </c>
      <c r="K6360" t="n">
        <v>0</v>
      </c>
      <c r="L6360" t="n">
        <v>0</v>
      </c>
      <c r="M6360" t="n">
        <v>0</v>
      </c>
      <c r="N6360" t="n">
        <v>0</v>
      </c>
      <c r="O6360" t="n">
        <v>0</v>
      </c>
      <c r="P6360" t="n">
        <v>0</v>
      </c>
      <c r="Q6360" t="n">
        <v>0</v>
      </c>
      <c r="R6360" s="2" t="inlineStr"/>
    </row>
    <row r="6361" ht="15" customHeight="1">
      <c r="A6361" t="inlineStr">
        <is>
          <t>A 50646-2025</t>
        </is>
      </c>
      <c r="B6361" s="1" t="n">
        <v>45945.65694444445</v>
      </c>
      <c r="C6361" s="1" t="n">
        <v>46075</v>
      </c>
      <c r="D6361" t="inlineStr">
        <is>
          <t>VÄSTERBOTTENS LÄN</t>
        </is>
      </c>
      <c r="E6361" t="inlineStr">
        <is>
          <t>UMEÅ</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50322-2025</t>
        </is>
      </c>
      <c r="B6362" s="1" t="n">
        <v>45944.45733796297</v>
      </c>
      <c r="C6362" s="1" t="n">
        <v>46075</v>
      </c>
      <c r="D6362" t="inlineStr">
        <is>
          <t>VÄSTERBOTTENS LÄN</t>
        </is>
      </c>
      <c r="E6362" t="inlineStr">
        <is>
          <t>ÅSELE</t>
        </is>
      </c>
      <c r="F6362" t="inlineStr">
        <is>
          <t>Sveaskog</t>
        </is>
      </c>
      <c r="G6362" t="n">
        <v>13.8</v>
      </c>
      <c r="H6362" t="n">
        <v>0</v>
      </c>
      <c r="I6362" t="n">
        <v>0</v>
      </c>
      <c r="J6362" t="n">
        <v>0</v>
      </c>
      <c r="K6362" t="n">
        <v>0</v>
      </c>
      <c r="L6362" t="n">
        <v>0</v>
      </c>
      <c r="M6362" t="n">
        <v>0</v>
      </c>
      <c r="N6362" t="n">
        <v>0</v>
      </c>
      <c r="O6362" t="n">
        <v>0</v>
      </c>
      <c r="P6362" t="n">
        <v>0</v>
      </c>
      <c r="Q6362" t="n">
        <v>0</v>
      </c>
      <c r="R6362" s="2" t="inlineStr"/>
    </row>
    <row r="6363" ht="15" customHeight="1">
      <c r="A6363" t="inlineStr">
        <is>
          <t>A 31392-2024</t>
        </is>
      </c>
      <c r="B6363" s="1" t="n">
        <v>45505.4709375</v>
      </c>
      <c r="C6363" s="1" t="n">
        <v>46075</v>
      </c>
      <c r="D6363" t="inlineStr">
        <is>
          <t>VÄSTERBOTTENS LÄN</t>
        </is>
      </c>
      <c r="E6363" t="inlineStr">
        <is>
          <t>SKELLEFTEÅ</t>
        </is>
      </c>
      <c r="F6363" t="inlineStr">
        <is>
          <t>Holmen skog AB</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53261-2024</t>
        </is>
      </c>
      <c r="B6364" s="1" t="n">
        <v>45614.34428240741</v>
      </c>
      <c r="C6364" s="1" t="n">
        <v>46075</v>
      </c>
      <c r="D6364" t="inlineStr">
        <is>
          <t>VÄSTERBOTTENS LÄN</t>
        </is>
      </c>
      <c r="E6364" t="inlineStr">
        <is>
          <t>BJURHOLM</t>
        </is>
      </c>
      <c r="F6364" t="inlineStr">
        <is>
          <t>SCA</t>
        </is>
      </c>
      <c r="G6364" t="n">
        <v>7.9</v>
      </c>
      <c r="H6364" t="n">
        <v>0</v>
      </c>
      <c r="I6364" t="n">
        <v>0</v>
      </c>
      <c r="J6364" t="n">
        <v>0</v>
      </c>
      <c r="K6364" t="n">
        <v>0</v>
      </c>
      <c r="L6364" t="n">
        <v>0</v>
      </c>
      <c r="M6364" t="n">
        <v>0</v>
      </c>
      <c r="N6364" t="n">
        <v>0</v>
      </c>
      <c r="O6364" t="n">
        <v>0</v>
      </c>
      <c r="P6364" t="n">
        <v>0</v>
      </c>
      <c r="Q6364" t="n">
        <v>0</v>
      </c>
      <c r="R6364" s="2" t="inlineStr"/>
    </row>
    <row r="6365" ht="15" customHeight="1">
      <c r="A6365" t="inlineStr">
        <is>
          <t>A 54957-2024</t>
        </is>
      </c>
      <c r="B6365" s="1" t="n">
        <v>45619</v>
      </c>
      <c r="C6365" s="1" t="n">
        <v>46075</v>
      </c>
      <c r="D6365" t="inlineStr">
        <is>
          <t>VÄSTERBOTTENS LÄN</t>
        </is>
      </c>
      <c r="E6365" t="inlineStr">
        <is>
          <t>ÅSELE</t>
        </is>
      </c>
      <c r="F6365" t="inlineStr">
        <is>
          <t>SCA</t>
        </is>
      </c>
      <c r="G6365" t="n">
        <v>17.4</v>
      </c>
      <c r="H6365" t="n">
        <v>0</v>
      </c>
      <c r="I6365" t="n">
        <v>0</v>
      </c>
      <c r="J6365" t="n">
        <v>0</v>
      </c>
      <c r="K6365" t="n">
        <v>0</v>
      </c>
      <c r="L6365" t="n">
        <v>0</v>
      </c>
      <c r="M6365" t="n">
        <v>0</v>
      </c>
      <c r="N6365" t="n">
        <v>0</v>
      </c>
      <c r="O6365" t="n">
        <v>0</v>
      </c>
      <c r="P6365" t="n">
        <v>0</v>
      </c>
      <c r="Q6365" t="n">
        <v>0</v>
      </c>
      <c r="R6365" s="2" t="inlineStr"/>
    </row>
    <row r="6366" ht="15" customHeight="1">
      <c r="A6366" t="inlineStr">
        <is>
          <t>A 38530-2025</t>
        </is>
      </c>
      <c r="B6366" s="1" t="n">
        <v>45884.41150462963</v>
      </c>
      <c r="C6366" s="1" t="n">
        <v>46075</v>
      </c>
      <c r="D6366" t="inlineStr">
        <is>
          <t>VÄSTERBOTTENS LÄN</t>
        </is>
      </c>
      <c r="E6366" t="inlineStr">
        <is>
          <t>VINDELN</t>
        </is>
      </c>
      <c r="G6366" t="n">
        <v>3.4</v>
      </c>
      <c r="H6366" t="n">
        <v>0</v>
      </c>
      <c r="I6366" t="n">
        <v>0</v>
      </c>
      <c r="J6366" t="n">
        <v>0</v>
      </c>
      <c r="K6366" t="n">
        <v>0</v>
      </c>
      <c r="L6366" t="n">
        <v>0</v>
      </c>
      <c r="M6366" t="n">
        <v>0</v>
      </c>
      <c r="N6366" t="n">
        <v>0</v>
      </c>
      <c r="O6366" t="n">
        <v>0</v>
      </c>
      <c r="P6366" t="n">
        <v>0</v>
      </c>
      <c r="Q6366" t="n">
        <v>0</v>
      </c>
      <c r="R6366" s="2" t="inlineStr"/>
    </row>
    <row r="6367" ht="15" customHeight="1">
      <c r="A6367" t="inlineStr">
        <is>
          <t>A 38540-2025</t>
        </is>
      </c>
      <c r="B6367" s="1" t="n">
        <v>45884.42768518518</v>
      </c>
      <c r="C6367" s="1" t="n">
        <v>46075</v>
      </c>
      <c r="D6367" t="inlineStr">
        <is>
          <t>VÄSTERBOTTENS LÄN</t>
        </is>
      </c>
      <c r="E6367" t="inlineStr">
        <is>
          <t>VILHELMINA</t>
        </is>
      </c>
      <c r="F6367" t="inlineStr">
        <is>
          <t>SCA</t>
        </is>
      </c>
      <c r="G6367" t="n">
        <v>2.5</v>
      </c>
      <c r="H6367" t="n">
        <v>0</v>
      </c>
      <c r="I6367" t="n">
        <v>0</v>
      </c>
      <c r="J6367" t="n">
        <v>0</v>
      </c>
      <c r="K6367" t="n">
        <v>0</v>
      </c>
      <c r="L6367" t="n">
        <v>0</v>
      </c>
      <c r="M6367" t="n">
        <v>0</v>
      </c>
      <c r="N6367" t="n">
        <v>0</v>
      </c>
      <c r="O6367" t="n">
        <v>0</v>
      </c>
      <c r="P6367" t="n">
        <v>0</v>
      </c>
      <c r="Q6367" t="n">
        <v>0</v>
      </c>
      <c r="R6367" s="2" t="inlineStr"/>
    </row>
    <row r="6368" ht="15" customHeight="1">
      <c r="A6368" t="inlineStr">
        <is>
          <t>A 31485-2025</t>
        </is>
      </c>
      <c r="B6368" s="1" t="n">
        <v>45833</v>
      </c>
      <c r="C6368" s="1" t="n">
        <v>46075</v>
      </c>
      <c r="D6368" t="inlineStr">
        <is>
          <t>VÄSTERBOTTENS LÄN</t>
        </is>
      </c>
      <c r="E6368" t="inlineStr">
        <is>
          <t>VILHELMINA</t>
        </is>
      </c>
      <c r="G6368" t="n">
        <v>2.8</v>
      </c>
      <c r="H6368" t="n">
        <v>0</v>
      </c>
      <c r="I6368" t="n">
        <v>0</v>
      </c>
      <c r="J6368" t="n">
        <v>0</v>
      </c>
      <c r="K6368" t="n">
        <v>0</v>
      </c>
      <c r="L6368" t="n">
        <v>0</v>
      </c>
      <c r="M6368" t="n">
        <v>0</v>
      </c>
      <c r="N6368" t="n">
        <v>0</v>
      </c>
      <c r="O6368" t="n">
        <v>0</v>
      </c>
      <c r="P6368" t="n">
        <v>0</v>
      </c>
      <c r="Q6368" t="n">
        <v>0</v>
      </c>
      <c r="R6368" s="2" t="inlineStr"/>
    </row>
    <row r="6369" ht="15" customHeight="1">
      <c r="A6369" t="inlineStr">
        <is>
          <t>A 50468-2024</t>
        </is>
      </c>
      <c r="B6369" s="1" t="n">
        <v>45601</v>
      </c>
      <c r="C6369" s="1" t="n">
        <v>46075</v>
      </c>
      <c r="D6369" t="inlineStr">
        <is>
          <t>VÄSTERBOTTENS LÄN</t>
        </is>
      </c>
      <c r="E6369" t="inlineStr">
        <is>
          <t>LYCKSELE</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50494-2025</t>
        </is>
      </c>
      <c r="B6370" s="1" t="n">
        <v>45945.40693287037</v>
      </c>
      <c r="C6370" s="1" t="n">
        <v>46075</v>
      </c>
      <c r="D6370" t="inlineStr">
        <is>
          <t>VÄSTERBOTTENS LÄN</t>
        </is>
      </c>
      <c r="E6370" t="inlineStr">
        <is>
          <t>BJURHOLM</t>
        </is>
      </c>
      <c r="G6370" t="n">
        <v>7.5</v>
      </c>
      <c r="H6370" t="n">
        <v>0</v>
      </c>
      <c r="I6370" t="n">
        <v>0</v>
      </c>
      <c r="J6370" t="n">
        <v>0</v>
      </c>
      <c r="K6370" t="n">
        <v>0</v>
      </c>
      <c r="L6370" t="n">
        <v>0</v>
      </c>
      <c r="M6370" t="n">
        <v>0</v>
      </c>
      <c r="N6370" t="n">
        <v>0</v>
      </c>
      <c r="O6370" t="n">
        <v>0</v>
      </c>
      <c r="P6370" t="n">
        <v>0</v>
      </c>
      <c r="Q6370" t="n">
        <v>0</v>
      </c>
      <c r="R6370" s="2" t="inlineStr"/>
    </row>
    <row r="6371" ht="15" customHeight="1">
      <c r="A6371" t="inlineStr">
        <is>
          <t>A 50326-2025</t>
        </is>
      </c>
      <c r="B6371" s="1" t="n">
        <v>45944.46233796296</v>
      </c>
      <c r="C6371" s="1" t="n">
        <v>46075</v>
      </c>
      <c r="D6371" t="inlineStr">
        <is>
          <t>VÄSTERBOTTENS LÄN</t>
        </is>
      </c>
      <c r="E6371" t="inlineStr">
        <is>
          <t>SKELLEFTEÅ</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50354-2025</t>
        </is>
      </c>
      <c r="B6372" s="1" t="n">
        <v>45944.55519675926</v>
      </c>
      <c r="C6372" s="1" t="n">
        <v>46075</v>
      </c>
      <c r="D6372" t="inlineStr">
        <is>
          <t>VÄSTERBOTTENS LÄN</t>
        </is>
      </c>
      <c r="E6372" t="inlineStr">
        <is>
          <t>ÅSELE</t>
        </is>
      </c>
      <c r="F6372" t="inlineStr">
        <is>
          <t>Sveaskog</t>
        </is>
      </c>
      <c r="G6372" t="n">
        <v>13.1</v>
      </c>
      <c r="H6372" t="n">
        <v>0</v>
      </c>
      <c r="I6372" t="n">
        <v>0</v>
      </c>
      <c r="J6372" t="n">
        <v>0</v>
      </c>
      <c r="K6372" t="n">
        <v>0</v>
      </c>
      <c r="L6372" t="n">
        <v>0</v>
      </c>
      <c r="M6372" t="n">
        <v>0</v>
      </c>
      <c r="N6372" t="n">
        <v>0</v>
      </c>
      <c r="O6372" t="n">
        <v>0</v>
      </c>
      <c r="P6372" t="n">
        <v>0</v>
      </c>
      <c r="Q6372" t="n">
        <v>0</v>
      </c>
      <c r="R6372" s="2" t="inlineStr"/>
    </row>
    <row r="6373" ht="15" customHeight="1">
      <c r="A6373" t="inlineStr">
        <is>
          <t>A 50360-2025</t>
        </is>
      </c>
      <c r="B6373" s="1" t="n">
        <v>45944.56261574074</v>
      </c>
      <c r="C6373" s="1" t="n">
        <v>46075</v>
      </c>
      <c r="D6373" t="inlineStr">
        <is>
          <t>VÄSTERBOTTENS LÄN</t>
        </is>
      </c>
      <c r="E6373" t="inlineStr">
        <is>
          <t>DOROTEA</t>
        </is>
      </c>
      <c r="F6373" t="inlineStr">
        <is>
          <t>Sveaskog</t>
        </is>
      </c>
      <c r="G6373" t="n">
        <v>17.7</v>
      </c>
      <c r="H6373" t="n">
        <v>0</v>
      </c>
      <c r="I6373" t="n">
        <v>0</v>
      </c>
      <c r="J6373" t="n">
        <v>0</v>
      </c>
      <c r="K6373" t="n">
        <v>0</v>
      </c>
      <c r="L6373" t="n">
        <v>0</v>
      </c>
      <c r="M6373" t="n">
        <v>0</v>
      </c>
      <c r="N6373" t="n">
        <v>0</v>
      </c>
      <c r="O6373" t="n">
        <v>0</v>
      </c>
      <c r="P6373" t="n">
        <v>0</v>
      </c>
      <c r="Q6373" t="n">
        <v>0</v>
      </c>
      <c r="R6373" s="2" t="inlineStr"/>
    </row>
    <row r="6374" ht="15" customHeight="1">
      <c r="A6374" t="inlineStr">
        <is>
          <t>A 50369-2025</t>
        </is>
      </c>
      <c r="B6374" s="1" t="n">
        <v>45944.58130787037</v>
      </c>
      <c r="C6374" s="1" t="n">
        <v>46075</v>
      </c>
      <c r="D6374" t="inlineStr">
        <is>
          <t>VÄSTERBOTTENS LÄN</t>
        </is>
      </c>
      <c r="E6374" t="inlineStr">
        <is>
          <t>SKELLEFTEÅ</t>
        </is>
      </c>
      <c r="G6374" t="n">
        <v>6</v>
      </c>
      <c r="H6374" t="n">
        <v>0</v>
      </c>
      <c r="I6374" t="n">
        <v>0</v>
      </c>
      <c r="J6374" t="n">
        <v>0</v>
      </c>
      <c r="K6374" t="n">
        <v>0</v>
      </c>
      <c r="L6374" t="n">
        <v>0</v>
      </c>
      <c r="M6374" t="n">
        <v>0</v>
      </c>
      <c r="N6374" t="n">
        <v>0</v>
      </c>
      <c r="O6374" t="n">
        <v>0</v>
      </c>
      <c r="P6374" t="n">
        <v>0</v>
      </c>
      <c r="Q6374" t="n">
        <v>0</v>
      </c>
      <c r="R6374" s="2" t="inlineStr"/>
    </row>
    <row r="6375" ht="15" customHeight="1">
      <c r="A6375" t="inlineStr">
        <is>
          <t>A 50379-2025</t>
        </is>
      </c>
      <c r="B6375" s="1" t="n">
        <v>45944.59688657407</v>
      </c>
      <c r="C6375" s="1" t="n">
        <v>46075</v>
      </c>
      <c r="D6375" t="inlineStr">
        <is>
          <t>VÄSTERBOTTENS LÄN</t>
        </is>
      </c>
      <c r="E6375" t="inlineStr">
        <is>
          <t>UMEÅ</t>
        </is>
      </c>
      <c r="F6375" t="inlineStr">
        <is>
          <t>Holmen skog AB</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50381-2025</t>
        </is>
      </c>
      <c r="B6376" s="1" t="n">
        <v>45944.59734953703</v>
      </c>
      <c r="C6376" s="1" t="n">
        <v>46075</v>
      </c>
      <c r="D6376" t="inlineStr">
        <is>
          <t>VÄSTERBOTTENS LÄN</t>
        </is>
      </c>
      <c r="E6376" t="inlineStr">
        <is>
          <t>SKELLEFTEÅ</t>
        </is>
      </c>
      <c r="F6376" t="inlineStr">
        <is>
          <t>Holmen skog AB</t>
        </is>
      </c>
      <c r="G6376" t="n">
        <v>10.5</v>
      </c>
      <c r="H6376" t="n">
        <v>0</v>
      </c>
      <c r="I6376" t="n">
        <v>0</v>
      </c>
      <c r="J6376" t="n">
        <v>0</v>
      </c>
      <c r="K6376" t="n">
        <v>0</v>
      </c>
      <c r="L6376" t="n">
        <v>0</v>
      </c>
      <c r="M6376" t="n">
        <v>0</v>
      </c>
      <c r="N6376" t="n">
        <v>0</v>
      </c>
      <c r="O6376" t="n">
        <v>0</v>
      </c>
      <c r="P6376" t="n">
        <v>0</v>
      </c>
      <c r="Q6376" t="n">
        <v>0</v>
      </c>
      <c r="R6376" s="2" t="inlineStr"/>
    </row>
    <row r="6377" ht="15" customHeight="1">
      <c r="A6377" t="inlineStr">
        <is>
          <t>A 39246-2023</t>
        </is>
      </c>
      <c r="B6377" s="1" t="n">
        <v>45166</v>
      </c>
      <c r="C6377" s="1" t="n">
        <v>46075</v>
      </c>
      <c r="D6377" t="inlineStr">
        <is>
          <t>VÄSTERBOTTENS LÄN</t>
        </is>
      </c>
      <c r="E6377" t="inlineStr">
        <is>
          <t>MALÅ</t>
        </is>
      </c>
      <c r="F6377" t="inlineStr">
        <is>
          <t>Sveaskog</t>
        </is>
      </c>
      <c r="G6377" t="n">
        <v>4.3</v>
      </c>
      <c r="H6377" t="n">
        <v>0</v>
      </c>
      <c r="I6377" t="n">
        <v>0</v>
      </c>
      <c r="J6377" t="n">
        <v>0</v>
      </c>
      <c r="K6377" t="n">
        <v>0</v>
      </c>
      <c r="L6377" t="n">
        <v>0</v>
      </c>
      <c r="M6377" t="n">
        <v>0</v>
      </c>
      <c r="N6377" t="n">
        <v>0</v>
      </c>
      <c r="O6377" t="n">
        <v>0</v>
      </c>
      <c r="P6377" t="n">
        <v>0</v>
      </c>
      <c r="Q6377" t="n">
        <v>0</v>
      </c>
      <c r="R6377" s="2" t="inlineStr"/>
    </row>
    <row r="6378" ht="15" customHeight="1">
      <c r="A6378" t="inlineStr">
        <is>
          <t>A 50365-2025</t>
        </is>
      </c>
      <c r="B6378" s="1" t="n">
        <v>45944.5691087963</v>
      </c>
      <c r="C6378" s="1" t="n">
        <v>46075</v>
      </c>
      <c r="D6378" t="inlineStr">
        <is>
          <t>VÄSTERBOTTENS LÄN</t>
        </is>
      </c>
      <c r="E6378" t="inlineStr">
        <is>
          <t>UMEÅ</t>
        </is>
      </c>
      <c r="G6378" t="n">
        <v>4.4</v>
      </c>
      <c r="H6378" t="n">
        <v>0</v>
      </c>
      <c r="I6378" t="n">
        <v>0</v>
      </c>
      <c r="J6378" t="n">
        <v>0</v>
      </c>
      <c r="K6378" t="n">
        <v>0</v>
      </c>
      <c r="L6378" t="n">
        <v>0</v>
      </c>
      <c r="M6378" t="n">
        <v>0</v>
      </c>
      <c r="N6378" t="n">
        <v>0</v>
      </c>
      <c r="O6378" t="n">
        <v>0</v>
      </c>
      <c r="P6378" t="n">
        <v>0</v>
      </c>
      <c r="Q6378" t="n">
        <v>0</v>
      </c>
      <c r="R6378" s="2" t="inlineStr"/>
    </row>
    <row r="6379" ht="15" customHeight="1">
      <c r="A6379" t="inlineStr">
        <is>
          <t>A 50368-2025</t>
        </is>
      </c>
      <c r="B6379" s="1" t="n">
        <v>45944.57844907408</v>
      </c>
      <c r="C6379" s="1" t="n">
        <v>46075</v>
      </c>
      <c r="D6379" t="inlineStr">
        <is>
          <t>VÄSTERBOTTENS LÄN</t>
        </is>
      </c>
      <c r="E6379" t="inlineStr">
        <is>
          <t>ÅSELE</t>
        </is>
      </c>
      <c r="G6379" t="n">
        <v>3.2</v>
      </c>
      <c r="H6379" t="n">
        <v>0</v>
      </c>
      <c r="I6379" t="n">
        <v>0</v>
      </c>
      <c r="J6379" t="n">
        <v>0</v>
      </c>
      <c r="K6379" t="n">
        <v>0</v>
      </c>
      <c r="L6379" t="n">
        <v>0</v>
      </c>
      <c r="M6379" t="n">
        <v>0</v>
      </c>
      <c r="N6379" t="n">
        <v>0</v>
      </c>
      <c r="O6379" t="n">
        <v>0</v>
      </c>
      <c r="P6379" t="n">
        <v>0</v>
      </c>
      <c r="Q6379" t="n">
        <v>0</v>
      </c>
      <c r="R6379" s="2" t="inlineStr"/>
    </row>
    <row r="6380" ht="15" customHeight="1">
      <c r="A6380" t="inlineStr">
        <is>
          <t>A 50374-2025</t>
        </is>
      </c>
      <c r="B6380" s="1" t="n">
        <v>45944.59637731482</v>
      </c>
      <c r="C6380" s="1" t="n">
        <v>46075</v>
      </c>
      <c r="D6380" t="inlineStr">
        <is>
          <t>VÄSTERBOTTENS LÄN</t>
        </is>
      </c>
      <c r="E6380" t="inlineStr">
        <is>
          <t>ÅSELE</t>
        </is>
      </c>
      <c r="F6380" t="inlineStr">
        <is>
          <t>Holmen skog AB</t>
        </is>
      </c>
      <c r="G6380" t="n">
        <v>6.9</v>
      </c>
      <c r="H6380" t="n">
        <v>0</v>
      </c>
      <c r="I6380" t="n">
        <v>0</v>
      </c>
      <c r="J6380" t="n">
        <v>0</v>
      </c>
      <c r="K6380" t="n">
        <v>0</v>
      </c>
      <c r="L6380" t="n">
        <v>0</v>
      </c>
      <c r="M6380" t="n">
        <v>0</v>
      </c>
      <c r="N6380" t="n">
        <v>0</v>
      </c>
      <c r="O6380" t="n">
        <v>0</v>
      </c>
      <c r="P6380" t="n">
        <v>0</v>
      </c>
      <c r="Q6380" t="n">
        <v>0</v>
      </c>
      <c r="R6380" s="2" t="inlineStr"/>
    </row>
    <row r="6381" ht="15" customHeight="1">
      <c r="A6381" t="inlineStr">
        <is>
          <t>A 40593-2023</t>
        </is>
      </c>
      <c r="B6381" s="1" t="n">
        <v>45170</v>
      </c>
      <c r="C6381" s="1" t="n">
        <v>46075</v>
      </c>
      <c r="D6381" t="inlineStr">
        <is>
          <t>VÄSTERBOTTENS LÄN</t>
        </is>
      </c>
      <c r="E6381" t="inlineStr">
        <is>
          <t>MALÅ</t>
        </is>
      </c>
      <c r="F6381" t="inlineStr">
        <is>
          <t>Sveaskog</t>
        </is>
      </c>
      <c r="G6381" t="n">
        <v>18.2</v>
      </c>
      <c r="H6381" t="n">
        <v>0</v>
      </c>
      <c r="I6381" t="n">
        <v>0</v>
      </c>
      <c r="J6381" t="n">
        <v>0</v>
      </c>
      <c r="K6381" t="n">
        <v>0</v>
      </c>
      <c r="L6381" t="n">
        <v>0</v>
      </c>
      <c r="M6381" t="n">
        <v>0</v>
      </c>
      <c r="N6381" t="n">
        <v>0</v>
      </c>
      <c r="O6381" t="n">
        <v>0</v>
      </c>
      <c r="P6381" t="n">
        <v>0</v>
      </c>
      <c r="Q6381" t="n">
        <v>0</v>
      </c>
      <c r="R6381" s="2" t="inlineStr"/>
    </row>
    <row r="6382" ht="15" customHeight="1">
      <c r="A6382" t="inlineStr">
        <is>
          <t>A 30183-2024</t>
        </is>
      </c>
      <c r="B6382" s="1" t="n">
        <v>45489.94449074074</v>
      </c>
      <c r="C6382" s="1" t="n">
        <v>46075</v>
      </c>
      <c r="D6382" t="inlineStr">
        <is>
          <t>VÄSTERBOTTENS LÄN</t>
        </is>
      </c>
      <c r="E6382" t="inlineStr">
        <is>
          <t>NORDMALING</t>
        </is>
      </c>
      <c r="F6382" t="inlineStr">
        <is>
          <t>SCA</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50386-2025</t>
        </is>
      </c>
      <c r="B6383" s="1" t="n">
        <v>45944.61359953704</v>
      </c>
      <c r="C6383" s="1" t="n">
        <v>46075</v>
      </c>
      <c r="D6383" t="inlineStr">
        <is>
          <t>VÄSTERBOTTENS LÄN</t>
        </is>
      </c>
      <c r="E6383" t="inlineStr">
        <is>
          <t>NORDMALING</t>
        </is>
      </c>
      <c r="G6383" t="n">
        <v>4.3</v>
      </c>
      <c r="H6383" t="n">
        <v>0</v>
      </c>
      <c r="I6383" t="n">
        <v>0</v>
      </c>
      <c r="J6383" t="n">
        <v>0</v>
      </c>
      <c r="K6383" t="n">
        <v>0</v>
      </c>
      <c r="L6383" t="n">
        <v>0</v>
      </c>
      <c r="M6383" t="n">
        <v>0</v>
      </c>
      <c r="N6383" t="n">
        <v>0</v>
      </c>
      <c r="O6383" t="n">
        <v>0</v>
      </c>
      <c r="P6383" t="n">
        <v>0</v>
      </c>
      <c r="Q6383" t="n">
        <v>0</v>
      </c>
      <c r="R6383" s="2" t="inlineStr"/>
    </row>
    <row r="6384" ht="15" customHeight="1">
      <c r="A6384" t="inlineStr">
        <is>
          <t>A 54971-2024</t>
        </is>
      </c>
      <c r="B6384" s="1" t="n">
        <v>45620</v>
      </c>
      <c r="C6384" s="1" t="n">
        <v>46075</v>
      </c>
      <c r="D6384" t="inlineStr">
        <is>
          <t>VÄSTERBOTTENS LÄN</t>
        </is>
      </c>
      <c r="E6384" t="inlineStr">
        <is>
          <t>SKELLEFTEÅ</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3844-2025</t>
        </is>
      </c>
      <c r="B6385" s="1" t="n">
        <v>45683.67905092592</v>
      </c>
      <c r="C6385" s="1" t="n">
        <v>46075</v>
      </c>
      <c r="D6385" t="inlineStr">
        <is>
          <t>VÄSTERBOTTENS LÄN</t>
        </is>
      </c>
      <c r="E6385" t="inlineStr">
        <is>
          <t>SKELLEFTEÅ</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50364-2025</t>
        </is>
      </c>
      <c r="B6386" s="1" t="n">
        <v>45944.56780092593</v>
      </c>
      <c r="C6386" s="1" t="n">
        <v>46075</v>
      </c>
      <c r="D6386" t="inlineStr">
        <is>
          <t>VÄSTERBOTTENS LÄN</t>
        </is>
      </c>
      <c r="E6386" t="inlineStr">
        <is>
          <t>ÅSELE</t>
        </is>
      </c>
      <c r="F6386" t="inlineStr">
        <is>
          <t>Sveaskog</t>
        </is>
      </c>
      <c r="G6386" t="n">
        <v>3</v>
      </c>
      <c r="H6386" t="n">
        <v>0</v>
      </c>
      <c r="I6386" t="n">
        <v>0</v>
      </c>
      <c r="J6386" t="n">
        <v>0</v>
      </c>
      <c r="K6386" t="n">
        <v>0</v>
      </c>
      <c r="L6386" t="n">
        <v>0</v>
      </c>
      <c r="M6386" t="n">
        <v>0</v>
      </c>
      <c r="N6386" t="n">
        <v>0</v>
      </c>
      <c r="O6386" t="n">
        <v>0</v>
      </c>
      <c r="P6386" t="n">
        <v>0</v>
      </c>
      <c r="Q6386" t="n">
        <v>0</v>
      </c>
      <c r="R6386" s="2" t="inlineStr"/>
    </row>
    <row r="6387" ht="15" customHeight="1">
      <c r="A6387" t="inlineStr">
        <is>
          <t>A 26637-2024</t>
        </is>
      </c>
      <c r="B6387" s="1" t="n">
        <v>45469.92811342593</v>
      </c>
      <c r="C6387" s="1" t="n">
        <v>46075</v>
      </c>
      <c r="D6387" t="inlineStr">
        <is>
          <t>VÄSTERBOTTENS LÄN</t>
        </is>
      </c>
      <c r="E6387" t="inlineStr">
        <is>
          <t>DOROTEA</t>
        </is>
      </c>
      <c r="G6387" t="n">
        <v>5.7</v>
      </c>
      <c r="H6387" t="n">
        <v>0</v>
      </c>
      <c r="I6387" t="n">
        <v>0</v>
      </c>
      <c r="J6387" t="n">
        <v>0</v>
      </c>
      <c r="K6387" t="n">
        <v>0</v>
      </c>
      <c r="L6387" t="n">
        <v>0</v>
      </c>
      <c r="M6387" t="n">
        <v>0</v>
      </c>
      <c r="N6387" t="n">
        <v>0</v>
      </c>
      <c r="O6387" t="n">
        <v>0</v>
      </c>
      <c r="P6387" t="n">
        <v>0</v>
      </c>
      <c r="Q6387" t="n">
        <v>0</v>
      </c>
      <c r="R6387" s="2" t="inlineStr"/>
    </row>
    <row r="6388" ht="15" customHeight="1">
      <c r="A6388" t="inlineStr">
        <is>
          <t>A 50306-2025</t>
        </is>
      </c>
      <c r="B6388" s="1" t="n">
        <v>45944.42739583334</v>
      </c>
      <c r="C6388" s="1" t="n">
        <v>46075</v>
      </c>
      <c r="D6388" t="inlineStr">
        <is>
          <t>VÄSTERBOTTENS LÄN</t>
        </is>
      </c>
      <c r="E6388" t="inlineStr">
        <is>
          <t>VINDELN</t>
        </is>
      </c>
      <c r="G6388" t="n">
        <v>3.8</v>
      </c>
      <c r="H6388" t="n">
        <v>0</v>
      </c>
      <c r="I6388" t="n">
        <v>0</v>
      </c>
      <c r="J6388" t="n">
        <v>0</v>
      </c>
      <c r="K6388" t="n">
        <v>0</v>
      </c>
      <c r="L6388" t="n">
        <v>0</v>
      </c>
      <c r="M6388" t="n">
        <v>0</v>
      </c>
      <c r="N6388" t="n">
        <v>0</v>
      </c>
      <c r="O6388" t="n">
        <v>0</v>
      </c>
      <c r="P6388" t="n">
        <v>0</v>
      </c>
      <c r="Q6388" t="n">
        <v>0</v>
      </c>
      <c r="R6388" s="2" t="inlineStr"/>
    </row>
    <row r="6389" ht="15" customHeight="1">
      <c r="A6389" t="inlineStr">
        <is>
          <t>A 3892-2025</t>
        </is>
      </c>
      <c r="B6389" s="1" t="n">
        <v>45684.37506944445</v>
      </c>
      <c r="C6389" s="1" t="n">
        <v>46075</v>
      </c>
      <c r="D6389" t="inlineStr">
        <is>
          <t>VÄSTERBOTTENS LÄN</t>
        </is>
      </c>
      <c r="E6389" t="inlineStr">
        <is>
          <t>SKELLEFTEÅ</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50299-2025</t>
        </is>
      </c>
      <c r="B6390" s="1" t="n">
        <v>45944.41221064814</v>
      </c>
      <c r="C6390" s="1" t="n">
        <v>46075</v>
      </c>
      <c r="D6390" t="inlineStr">
        <is>
          <t>VÄSTERBOTTENS LÄN</t>
        </is>
      </c>
      <c r="E6390" t="inlineStr">
        <is>
          <t>SKELLEFTEÅ</t>
        </is>
      </c>
      <c r="G6390" t="n">
        <v>4.9</v>
      </c>
      <c r="H6390" t="n">
        <v>0</v>
      </c>
      <c r="I6390" t="n">
        <v>0</v>
      </c>
      <c r="J6390" t="n">
        <v>0</v>
      </c>
      <c r="K6390" t="n">
        <v>0</v>
      </c>
      <c r="L6390" t="n">
        <v>0</v>
      </c>
      <c r="M6390" t="n">
        <v>0</v>
      </c>
      <c r="N6390" t="n">
        <v>0</v>
      </c>
      <c r="O6390" t="n">
        <v>0</v>
      </c>
      <c r="P6390" t="n">
        <v>0</v>
      </c>
      <c r="Q6390" t="n">
        <v>0</v>
      </c>
      <c r="R6390" s="2" t="inlineStr"/>
    </row>
    <row r="6391" ht="15" customHeight="1">
      <c r="A6391" t="inlineStr">
        <is>
          <t>A 42367-2021</t>
        </is>
      </c>
      <c r="B6391" s="1" t="n">
        <v>44427</v>
      </c>
      <c r="C6391" s="1" t="n">
        <v>46075</v>
      </c>
      <c r="D6391" t="inlineStr">
        <is>
          <t>VÄSTERBOTTENS LÄN</t>
        </is>
      </c>
      <c r="E6391" t="inlineStr">
        <is>
          <t>SKELLEFTEÅ</t>
        </is>
      </c>
      <c r="G6391" t="n">
        <v>3</v>
      </c>
      <c r="H6391" t="n">
        <v>0</v>
      </c>
      <c r="I6391" t="n">
        <v>0</v>
      </c>
      <c r="J6391" t="n">
        <v>0</v>
      </c>
      <c r="K6391" t="n">
        <v>0</v>
      </c>
      <c r="L6391" t="n">
        <v>0</v>
      </c>
      <c r="M6391" t="n">
        <v>0</v>
      </c>
      <c r="N6391" t="n">
        <v>0</v>
      </c>
      <c r="O6391" t="n">
        <v>0</v>
      </c>
      <c r="P6391" t="n">
        <v>0</v>
      </c>
      <c r="Q6391" t="n">
        <v>0</v>
      </c>
      <c r="R6391" s="2" t="inlineStr"/>
    </row>
    <row r="6392" ht="15" customHeight="1">
      <c r="A6392" t="inlineStr">
        <is>
          <t>A 20836-2022</t>
        </is>
      </c>
      <c r="B6392" s="1" t="n">
        <v>44701</v>
      </c>
      <c r="C6392" s="1" t="n">
        <v>46075</v>
      </c>
      <c r="D6392" t="inlineStr">
        <is>
          <t>VÄSTERBOTTENS LÄN</t>
        </is>
      </c>
      <c r="E6392" t="inlineStr">
        <is>
          <t>BJURHOLM</t>
        </is>
      </c>
      <c r="G6392" t="n">
        <v>2.8</v>
      </c>
      <c r="H6392" t="n">
        <v>0</v>
      </c>
      <c r="I6392" t="n">
        <v>0</v>
      </c>
      <c r="J6392" t="n">
        <v>0</v>
      </c>
      <c r="K6392" t="n">
        <v>0</v>
      </c>
      <c r="L6392" t="n">
        <v>0</v>
      </c>
      <c r="M6392" t="n">
        <v>0</v>
      </c>
      <c r="N6392" t="n">
        <v>0</v>
      </c>
      <c r="O6392" t="n">
        <v>0</v>
      </c>
      <c r="P6392" t="n">
        <v>0</v>
      </c>
      <c r="Q6392" t="n">
        <v>0</v>
      </c>
      <c r="R6392" s="2" t="inlineStr"/>
    </row>
    <row r="6393" ht="15" customHeight="1">
      <c r="A6393" t="inlineStr">
        <is>
          <t>A 44398-2022</t>
        </is>
      </c>
      <c r="B6393" s="1" t="n">
        <v>44839</v>
      </c>
      <c r="C6393" s="1" t="n">
        <v>46075</v>
      </c>
      <c r="D6393" t="inlineStr">
        <is>
          <t>VÄSTERBOTTENS LÄN</t>
        </is>
      </c>
      <c r="E6393" t="inlineStr">
        <is>
          <t>SKELLEFTEÅ</t>
        </is>
      </c>
      <c r="F6393" t="inlineStr">
        <is>
          <t>Sveaskog</t>
        </is>
      </c>
      <c r="G6393" t="n">
        <v>22.3</v>
      </c>
      <c r="H6393" t="n">
        <v>0</v>
      </c>
      <c r="I6393" t="n">
        <v>0</v>
      </c>
      <c r="J6393" t="n">
        <v>0</v>
      </c>
      <c r="K6393" t="n">
        <v>0</v>
      </c>
      <c r="L6393" t="n">
        <v>0</v>
      </c>
      <c r="M6393" t="n">
        <v>0</v>
      </c>
      <c r="N6393" t="n">
        <v>0</v>
      </c>
      <c r="O6393" t="n">
        <v>0</v>
      </c>
      <c r="P6393" t="n">
        <v>0</v>
      </c>
      <c r="Q6393" t="n">
        <v>0</v>
      </c>
      <c r="R6393" s="2" t="inlineStr"/>
    </row>
    <row r="6394" ht="15" customHeight="1">
      <c r="A6394" t="inlineStr">
        <is>
          <t>A 891-2025</t>
        </is>
      </c>
      <c r="B6394" s="1" t="n">
        <v>45665.65660879629</v>
      </c>
      <c r="C6394" s="1" t="n">
        <v>46075</v>
      </c>
      <c r="D6394" t="inlineStr">
        <is>
          <t>VÄSTERBOTTENS LÄN</t>
        </is>
      </c>
      <c r="E6394" t="inlineStr">
        <is>
          <t>NORSJÖ</t>
        </is>
      </c>
      <c r="F6394" t="inlineStr">
        <is>
          <t>Holmen skog AB</t>
        </is>
      </c>
      <c r="G6394" t="n">
        <v>5.7</v>
      </c>
      <c r="H6394" t="n">
        <v>0</v>
      </c>
      <c r="I6394" t="n">
        <v>0</v>
      </c>
      <c r="J6394" t="n">
        <v>0</v>
      </c>
      <c r="K6394" t="n">
        <v>0</v>
      </c>
      <c r="L6394" t="n">
        <v>0</v>
      </c>
      <c r="M6394" t="n">
        <v>0</v>
      </c>
      <c r="N6394" t="n">
        <v>0</v>
      </c>
      <c r="O6394" t="n">
        <v>0</v>
      </c>
      <c r="P6394" t="n">
        <v>0</v>
      </c>
      <c r="Q6394" t="n">
        <v>0</v>
      </c>
      <c r="R6394" s="2" t="inlineStr"/>
    </row>
    <row r="6395" ht="15" customHeight="1">
      <c r="A6395" t="inlineStr">
        <is>
          <t>A 26293-2025</t>
        </is>
      </c>
      <c r="B6395" s="1" t="n">
        <v>45805</v>
      </c>
      <c r="C6395" s="1" t="n">
        <v>46075</v>
      </c>
      <c r="D6395" t="inlineStr">
        <is>
          <t>VÄSTERBOTTENS LÄN</t>
        </is>
      </c>
      <c r="E6395" t="inlineStr">
        <is>
          <t>SKELLEFTEÅ</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50506-2025</t>
        </is>
      </c>
      <c r="B6396" s="1" t="n">
        <v>45945.42958333333</v>
      </c>
      <c r="C6396" s="1" t="n">
        <v>46075</v>
      </c>
      <c r="D6396" t="inlineStr">
        <is>
          <t>VÄSTERBOTTENS LÄN</t>
        </is>
      </c>
      <c r="E6396" t="inlineStr">
        <is>
          <t>SKELLEFTEÅ</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38925-2025</t>
        </is>
      </c>
      <c r="B6397" s="1" t="n">
        <v>45887.6322337963</v>
      </c>
      <c r="C6397" s="1" t="n">
        <v>46075</v>
      </c>
      <c r="D6397" t="inlineStr">
        <is>
          <t>VÄSTERBOTTENS LÄN</t>
        </is>
      </c>
      <c r="E6397" t="inlineStr">
        <is>
          <t>LYCKSELE</t>
        </is>
      </c>
      <c r="F6397" t="inlineStr">
        <is>
          <t>Sveaskog</t>
        </is>
      </c>
      <c r="G6397" t="n">
        <v>12.7</v>
      </c>
      <c r="H6397" t="n">
        <v>0</v>
      </c>
      <c r="I6397" t="n">
        <v>0</v>
      </c>
      <c r="J6397" t="n">
        <v>0</v>
      </c>
      <c r="K6397" t="n">
        <v>0</v>
      </c>
      <c r="L6397" t="n">
        <v>0</v>
      </c>
      <c r="M6397" t="n">
        <v>0</v>
      </c>
      <c r="N6397" t="n">
        <v>0</v>
      </c>
      <c r="O6397" t="n">
        <v>0</v>
      </c>
      <c r="P6397" t="n">
        <v>0</v>
      </c>
      <c r="Q6397" t="n">
        <v>0</v>
      </c>
      <c r="R6397" s="2" t="inlineStr"/>
    </row>
    <row r="6398" ht="15" customHeight="1">
      <c r="A6398" t="inlineStr">
        <is>
          <t>A 38690-2025</t>
        </is>
      </c>
      <c r="B6398" s="1" t="n">
        <v>45884.67143518518</v>
      </c>
      <c r="C6398" s="1" t="n">
        <v>46075</v>
      </c>
      <c r="D6398" t="inlineStr">
        <is>
          <t>VÄSTERBOTTENS LÄN</t>
        </is>
      </c>
      <c r="E6398" t="inlineStr">
        <is>
          <t>SKELLEFTEÅ</t>
        </is>
      </c>
      <c r="F6398" t="inlineStr">
        <is>
          <t>Holmen skog AB</t>
        </is>
      </c>
      <c r="G6398" t="n">
        <v>3.3</v>
      </c>
      <c r="H6398" t="n">
        <v>0</v>
      </c>
      <c r="I6398" t="n">
        <v>0</v>
      </c>
      <c r="J6398" t="n">
        <v>0</v>
      </c>
      <c r="K6398" t="n">
        <v>0</v>
      </c>
      <c r="L6398" t="n">
        <v>0</v>
      </c>
      <c r="M6398" t="n">
        <v>0</v>
      </c>
      <c r="N6398" t="n">
        <v>0</v>
      </c>
      <c r="O6398" t="n">
        <v>0</v>
      </c>
      <c r="P6398" t="n">
        <v>0</v>
      </c>
      <c r="Q6398" t="n">
        <v>0</v>
      </c>
      <c r="R6398" s="2" t="inlineStr"/>
    </row>
    <row r="6399" ht="15" customHeight="1">
      <c r="A6399" t="inlineStr">
        <is>
          <t>A 50523-2025</t>
        </is>
      </c>
      <c r="B6399" s="1" t="n">
        <v>45945.46711805555</v>
      </c>
      <c r="C6399" s="1" t="n">
        <v>46075</v>
      </c>
      <c r="D6399" t="inlineStr">
        <is>
          <t>VÄSTERBOTTENS LÄN</t>
        </is>
      </c>
      <c r="E6399" t="inlineStr">
        <is>
          <t>LYCKSELE</t>
        </is>
      </c>
      <c r="G6399" t="n">
        <v>22.4</v>
      </c>
      <c r="H6399" t="n">
        <v>0</v>
      </c>
      <c r="I6399" t="n">
        <v>0</v>
      </c>
      <c r="J6399" t="n">
        <v>0</v>
      </c>
      <c r="K6399" t="n">
        <v>0</v>
      </c>
      <c r="L6399" t="n">
        <v>0</v>
      </c>
      <c r="M6399" t="n">
        <v>0</v>
      </c>
      <c r="N6399" t="n">
        <v>0</v>
      </c>
      <c r="O6399" t="n">
        <v>0</v>
      </c>
      <c r="P6399" t="n">
        <v>0</v>
      </c>
      <c r="Q6399" t="n">
        <v>0</v>
      </c>
      <c r="R6399" s="2" t="inlineStr"/>
    </row>
    <row r="6400" ht="15" customHeight="1">
      <c r="A6400" t="inlineStr">
        <is>
          <t>A 50559-2025</t>
        </is>
      </c>
      <c r="B6400" s="1" t="n">
        <v>45945</v>
      </c>
      <c r="C6400" s="1" t="n">
        <v>46075</v>
      </c>
      <c r="D6400" t="inlineStr">
        <is>
          <t>VÄSTERBOTTENS LÄN</t>
        </is>
      </c>
      <c r="E6400" t="inlineStr">
        <is>
          <t>VINDELN</t>
        </is>
      </c>
      <c r="G6400" t="n">
        <v>4.7</v>
      </c>
      <c r="H6400" t="n">
        <v>0</v>
      </c>
      <c r="I6400" t="n">
        <v>0</v>
      </c>
      <c r="J6400" t="n">
        <v>0</v>
      </c>
      <c r="K6400" t="n">
        <v>0</v>
      </c>
      <c r="L6400" t="n">
        <v>0</v>
      </c>
      <c r="M6400" t="n">
        <v>0</v>
      </c>
      <c r="N6400" t="n">
        <v>0</v>
      </c>
      <c r="O6400" t="n">
        <v>0</v>
      </c>
      <c r="P6400" t="n">
        <v>0</v>
      </c>
      <c r="Q6400" t="n">
        <v>0</v>
      </c>
      <c r="R6400" s="2" t="inlineStr"/>
    </row>
    <row r="6401" ht="15" customHeight="1">
      <c r="A6401" t="inlineStr">
        <is>
          <t>A 50560-2025</t>
        </is>
      </c>
      <c r="B6401" s="1" t="n">
        <v>45945</v>
      </c>
      <c r="C6401" s="1" t="n">
        <v>46075</v>
      </c>
      <c r="D6401" t="inlineStr">
        <is>
          <t>VÄSTERBOTTENS LÄN</t>
        </is>
      </c>
      <c r="E6401" t="inlineStr">
        <is>
          <t>VINDELN</t>
        </is>
      </c>
      <c r="G6401" t="n">
        <v>5.6</v>
      </c>
      <c r="H6401" t="n">
        <v>0</v>
      </c>
      <c r="I6401" t="n">
        <v>0</v>
      </c>
      <c r="J6401" t="n">
        <v>0</v>
      </c>
      <c r="K6401" t="n">
        <v>0</v>
      </c>
      <c r="L6401" t="n">
        <v>0</v>
      </c>
      <c r="M6401" t="n">
        <v>0</v>
      </c>
      <c r="N6401" t="n">
        <v>0</v>
      </c>
      <c r="O6401" t="n">
        <v>0</v>
      </c>
      <c r="P6401" t="n">
        <v>0</v>
      </c>
      <c r="Q6401" t="n">
        <v>0</v>
      </c>
      <c r="R6401" s="2" t="inlineStr"/>
    </row>
    <row r="6402" ht="15" customHeight="1">
      <c r="A6402" t="inlineStr">
        <is>
          <t>A 60864-2024</t>
        </is>
      </c>
      <c r="B6402" s="1" t="n">
        <v>45644.69378472222</v>
      </c>
      <c r="C6402" s="1" t="n">
        <v>46075</v>
      </c>
      <c r="D6402" t="inlineStr">
        <is>
          <t>VÄSTERBOTTENS LÄN</t>
        </is>
      </c>
      <c r="E6402" t="inlineStr">
        <is>
          <t>VINDELN</t>
        </is>
      </c>
      <c r="G6402" t="n">
        <v>13.3</v>
      </c>
      <c r="H6402" t="n">
        <v>0</v>
      </c>
      <c r="I6402" t="n">
        <v>0</v>
      </c>
      <c r="J6402" t="n">
        <v>0</v>
      </c>
      <c r="K6402" t="n">
        <v>0</v>
      </c>
      <c r="L6402" t="n">
        <v>0</v>
      </c>
      <c r="M6402" t="n">
        <v>0</v>
      </c>
      <c r="N6402" t="n">
        <v>0</v>
      </c>
      <c r="O6402" t="n">
        <v>0</v>
      </c>
      <c r="P6402" t="n">
        <v>0</v>
      </c>
      <c r="Q6402" t="n">
        <v>0</v>
      </c>
      <c r="R6402" s="2" t="inlineStr"/>
    </row>
    <row r="6403" ht="15" customHeight="1">
      <c r="A6403" t="inlineStr">
        <is>
          <t>A 61559-2024</t>
        </is>
      </c>
      <c r="B6403" s="1" t="n">
        <v>45646.61180555556</v>
      </c>
      <c r="C6403" s="1" t="n">
        <v>46075</v>
      </c>
      <c r="D6403" t="inlineStr">
        <is>
          <t>VÄSTERBOTTENS LÄN</t>
        </is>
      </c>
      <c r="E6403" t="inlineStr">
        <is>
          <t>SKELLEFTEÅ</t>
        </is>
      </c>
      <c r="F6403" t="inlineStr">
        <is>
          <t>Sveaskog</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7028-2025</t>
        </is>
      </c>
      <c r="B6404" s="1" t="n">
        <v>45701.63065972222</v>
      </c>
      <c r="C6404" s="1" t="n">
        <v>46075</v>
      </c>
      <c r="D6404" t="inlineStr">
        <is>
          <t>VÄSTERBOTTENS LÄN</t>
        </is>
      </c>
      <c r="E6404" t="inlineStr">
        <is>
          <t>SKELLEFTEÅ</t>
        </is>
      </c>
      <c r="G6404" t="n">
        <v>5.4</v>
      </c>
      <c r="H6404" t="n">
        <v>0</v>
      </c>
      <c r="I6404" t="n">
        <v>0</v>
      </c>
      <c r="J6404" t="n">
        <v>0</v>
      </c>
      <c r="K6404" t="n">
        <v>0</v>
      </c>
      <c r="L6404" t="n">
        <v>0</v>
      </c>
      <c r="M6404" t="n">
        <v>0</v>
      </c>
      <c r="N6404" t="n">
        <v>0</v>
      </c>
      <c r="O6404" t="n">
        <v>0</v>
      </c>
      <c r="P6404" t="n">
        <v>0</v>
      </c>
      <c r="Q6404" t="n">
        <v>0</v>
      </c>
      <c r="R6404" s="2" t="inlineStr"/>
    </row>
    <row r="6405" ht="15" customHeight="1">
      <c r="A6405" t="inlineStr">
        <is>
          <t>A 50239-2025</t>
        </is>
      </c>
      <c r="B6405" s="1" t="n">
        <v>45943.79672453704</v>
      </c>
      <c r="C6405" s="1" t="n">
        <v>46075</v>
      </c>
      <c r="D6405" t="inlineStr">
        <is>
          <t>VÄSTERBOTTENS LÄN</t>
        </is>
      </c>
      <c r="E6405" t="inlineStr">
        <is>
          <t>ÅSELE</t>
        </is>
      </c>
      <c r="F6405" t="inlineStr">
        <is>
          <t>Holmen skog AB</t>
        </is>
      </c>
      <c r="G6405" t="n">
        <v>8.5</v>
      </c>
      <c r="H6405" t="n">
        <v>0</v>
      </c>
      <c r="I6405" t="n">
        <v>0</v>
      </c>
      <c r="J6405" t="n">
        <v>0</v>
      </c>
      <c r="K6405" t="n">
        <v>0</v>
      </c>
      <c r="L6405" t="n">
        <v>0</v>
      </c>
      <c r="M6405" t="n">
        <v>0</v>
      </c>
      <c r="N6405" t="n">
        <v>0</v>
      </c>
      <c r="O6405" t="n">
        <v>0</v>
      </c>
      <c r="P6405" t="n">
        <v>0</v>
      </c>
      <c r="Q6405" t="n">
        <v>0</v>
      </c>
      <c r="R6405" s="2" t="inlineStr"/>
    </row>
    <row r="6406" ht="15" customHeight="1">
      <c r="A6406" t="inlineStr">
        <is>
          <t>A 9425-2024</t>
        </is>
      </c>
      <c r="B6406" s="1" t="n">
        <v>45359</v>
      </c>
      <c r="C6406" s="1" t="n">
        <v>46075</v>
      </c>
      <c r="D6406" t="inlineStr">
        <is>
          <t>VÄSTERBOTTENS LÄN</t>
        </is>
      </c>
      <c r="E6406" t="inlineStr">
        <is>
          <t>SKELLEFTEÅ</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50507-2025</t>
        </is>
      </c>
      <c r="B6407" s="1" t="n">
        <v>45945.43255787037</v>
      </c>
      <c r="C6407" s="1" t="n">
        <v>46075</v>
      </c>
      <c r="D6407" t="inlineStr">
        <is>
          <t>VÄSTERBOTTENS LÄN</t>
        </is>
      </c>
      <c r="E6407" t="inlineStr">
        <is>
          <t>SKELLEFTEÅ</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50250-2025</t>
        </is>
      </c>
      <c r="B6408" s="1" t="n">
        <v>45944.31614583333</v>
      </c>
      <c r="C6408" s="1" t="n">
        <v>46075</v>
      </c>
      <c r="D6408" t="inlineStr">
        <is>
          <t>VÄSTERBOTTENS LÄN</t>
        </is>
      </c>
      <c r="E6408" t="inlineStr">
        <is>
          <t>UMEÅ</t>
        </is>
      </c>
      <c r="G6408" t="n">
        <v>9.1</v>
      </c>
      <c r="H6408" t="n">
        <v>0</v>
      </c>
      <c r="I6408" t="n">
        <v>0</v>
      </c>
      <c r="J6408" t="n">
        <v>0</v>
      </c>
      <c r="K6408" t="n">
        <v>0</v>
      </c>
      <c r="L6408" t="n">
        <v>0</v>
      </c>
      <c r="M6408" t="n">
        <v>0</v>
      </c>
      <c r="N6408" t="n">
        <v>0</v>
      </c>
      <c r="O6408" t="n">
        <v>0</v>
      </c>
      <c r="P6408" t="n">
        <v>0</v>
      </c>
      <c r="Q6408" t="n">
        <v>0</v>
      </c>
      <c r="R6408" s="2" t="inlineStr"/>
    </row>
    <row r="6409" ht="15" customHeight="1">
      <c r="A6409" t="inlineStr">
        <is>
          <t>A 50298-2025</t>
        </is>
      </c>
      <c r="B6409" s="1" t="n">
        <v>45944.41163194444</v>
      </c>
      <c r="C6409" s="1" t="n">
        <v>46075</v>
      </c>
      <c r="D6409" t="inlineStr">
        <is>
          <t>VÄSTERBOTTENS LÄN</t>
        </is>
      </c>
      <c r="E6409" t="inlineStr">
        <is>
          <t>ÅSELE</t>
        </is>
      </c>
      <c r="F6409" t="inlineStr">
        <is>
          <t>Sveaskog</t>
        </is>
      </c>
      <c r="G6409" t="n">
        <v>21.6</v>
      </c>
      <c r="H6409" t="n">
        <v>0</v>
      </c>
      <c r="I6409" t="n">
        <v>0</v>
      </c>
      <c r="J6409" t="n">
        <v>0</v>
      </c>
      <c r="K6409" t="n">
        <v>0</v>
      </c>
      <c r="L6409" t="n">
        <v>0</v>
      </c>
      <c r="M6409" t="n">
        <v>0</v>
      </c>
      <c r="N6409" t="n">
        <v>0</v>
      </c>
      <c r="O6409" t="n">
        <v>0</v>
      </c>
      <c r="P6409" t="n">
        <v>0</v>
      </c>
      <c r="Q6409" t="n">
        <v>0</v>
      </c>
      <c r="R6409" s="2" t="inlineStr"/>
    </row>
    <row r="6410" ht="15" customHeight="1">
      <c r="A6410" t="inlineStr">
        <is>
          <t>A 50305-2025</t>
        </is>
      </c>
      <c r="B6410" s="1" t="n">
        <v>45944.42415509259</v>
      </c>
      <c r="C6410" s="1" t="n">
        <v>46075</v>
      </c>
      <c r="D6410" t="inlineStr">
        <is>
          <t>VÄSTERBOTTENS LÄN</t>
        </is>
      </c>
      <c r="E6410" t="inlineStr">
        <is>
          <t>VILHELMINA</t>
        </is>
      </c>
      <c r="F6410" t="inlineStr">
        <is>
          <t>Sveaskog</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19657-2025</t>
        </is>
      </c>
      <c r="B6411" s="1" t="n">
        <v>45770.67743055556</v>
      </c>
      <c r="C6411" s="1" t="n">
        <v>46075</v>
      </c>
      <c r="D6411" t="inlineStr">
        <is>
          <t>VÄSTERBOTTENS LÄN</t>
        </is>
      </c>
      <c r="E6411" t="inlineStr">
        <is>
          <t>DOROTEA</t>
        </is>
      </c>
      <c r="F6411" t="inlineStr">
        <is>
          <t>SCA</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50346-2025</t>
        </is>
      </c>
      <c r="B6412" s="1" t="n">
        <v>45944.5444212963</v>
      </c>
      <c r="C6412" s="1" t="n">
        <v>46075</v>
      </c>
      <c r="D6412" t="inlineStr">
        <is>
          <t>VÄSTERBOTTENS LÄN</t>
        </is>
      </c>
      <c r="E6412" t="inlineStr">
        <is>
          <t>VINDELN</t>
        </is>
      </c>
      <c r="F6412" t="inlineStr">
        <is>
          <t>Holmen skog AB</t>
        </is>
      </c>
      <c r="G6412" t="n">
        <v>3.1</v>
      </c>
      <c r="H6412" t="n">
        <v>0</v>
      </c>
      <c r="I6412" t="n">
        <v>0</v>
      </c>
      <c r="J6412" t="n">
        <v>0</v>
      </c>
      <c r="K6412" t="n">
        <v>0</v>
      </c>
      <c r="L6412" t="n">
        <v>0</v>
      </c>
      <c r="M6412" t="n">
        <v>0</v>
      </c>
      <c r="N6412" t="n">
        <v>0</v>
      </c>
      <c r="O6412" t="n">
        <v>0</v>
      </c>
      <c r="P6412" t="n">
        <v>0</v>
      </c>
      <c r="Q6412" t="n">
        <v>0</v>
      </c>
      <c r="R6412" s="2" t="inlineStr"/>
    </row>
    <row r="6413" ht="15" customHeight="1">
      <c r="A6413" t="inlineStr">
        <is>
          <t>A 50357-2025</t>
        </is>
      </c>
      <c r="B6413" s="1" t="n">
        <v>45944.55862268519</v>
      </c>
      <c r="C6413" s="1" t="n">
        <v>46075</v>
      </c>
      <c r="D6413" t="inlineStr">
        <is>
          <t>VÄSTERBOTTENS LÄN</t>
        </is>
      </c>
      <c r="E6413" t="inlineStr">
        <is>
          <t>ÅSELE</t>
        </is>
      </c>
      <c r="F6413" t="inlineStr">
        <is>
          <t>Sveaskog</t>
        </is>
      </c>
      <c r="G6413" t="n">
        <v>5.2</v>
      </c>
      <c r="H6413" t="n">
        <v>0</v>
      </c>
      <c r="I6413" t="n">
        <v>0</v>
      </c>
      <c r="J6413" t="n">
        <v>0</v>
      </c>
      <c r="K6413" t="n">
        <v>0</v>
      </c>
      <c r="L6413" t="n">
        <v>0</v>
      </c>
      <c r="M6413" t="n">
        <v>0</v>
      </c>
      <c r="N6413" t="n">
        <v>0</v>
      </c>
      <c r="O6413" t="n">
        <v>0</v>
      </c>
      <c r="P6413" t="n">
        <v>0</v>
      </c>
      <c r="Q6413" t="n">
        <v>0</v>
      </c>
      <c r="R6413" s="2" t="inlineStr"/>
    </row>
    <row r="6414" ht="15" customHeight="1">
      <c r="A6414" t="inlineStr">
        <is>
          <t>A 19658-2025</t>
        </is>
      </c>
      <c r="B6414" s="1" t="n">
        <v>45770</v>
      </c>
      <c r="C6414" s="1" t="n">
        <v>46075</v>
      </c>
      <c r="D6414" t="inlineStr">
        <is>
          <t>VÄSTERBOTTENS LÄN</t>
        </is>
      </c>
      <c r="E6414" t="inlineStr">
        <is>
          <t>SKELLEFTEÅ</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25142-2024</t>
        </is>
      </c>
      <c r="B6415" s="1" t="n">
        <v>45462</v>
      </c>
      <c r="C6415" s="1" t="n">
        <v>46075</v>
      </c>
      <c r="D6415" t="inlineStr">
        <is>
          <t>VÄSTERBOTTENS LÄN</t>
        </is>
      </c>
      <c r="E6415" t="inlineStr">
        <is>
          <t>NORSJÖ</t>
        </is>
      </c>
      <c r="F6415" t="inlineStr">
        <is>
          <t>Sveaskog</t>
        </is>
      </c>
      <c r="G6415" t="n">
        <v>7.7</v>
      </c>
      <c r="H6415" t="n">
        <v>0</v>
      </c>
      <c r="I6415" t="n">
        <v>0</v>
      </c>
      <c r="J6415" t="n">
        <v>0</v>
      </c>
      <c r="K6415" t="n">
        <v>0</v>
      </c>
      <c r="L6415" t="n">
        <v>0</v>
      </c>
      <c r="M6415" t="n">
        <v>0</v>
      </c>
      <c r="N6415" t="n">
        <v>0</v>
      </c>
      <c r="O6415" t="n">
        <v>0</v>
      </c>
      <c r="P6415" t="n">
        <v>0</v>
      </c>
      <c r="Q6415" t="n">
        <v>0</v>
      </c>
      <c r="R6415" s="2" t="inlineStr"/>
    </row>
    <row r="6416" ht="15" customHeight="1">
      <c r="A6416" t="inlineStr">
        <is>
          <t>A 50367-2025</t>
        </is>
      </c>
      <c r="B6416" s="1" t="n">
        <v>45944.57620370371</v>
      </c>
      <c r="C6416" s="1" t="n">
        <v>46075</v>
      </c>
      <c r="D6416" t="inlineStr">
        <is>
          <t>VÄSTERBOTTENS LÄN</t>
        </is>
      </c>
      <c r="E6416" t="inlineStr">
        <is>
          <t>LYCKSELE</t>
        </is>
      </c>
      <c r="F6416" t="inlineStr">
        <is>
          <t>Holmen skog AB</t>
        </is>
      </c>
      <c r="G6416" t="n">
        <v>7.8</v>
      </c>
      <c r="H6416" t="n">
        <v>0</v>
      </c>
      <c r="I6416" t="n">
        <v>0</v>
      </c>
      <c r="J6416" t="n">
        <v>0</v>
      </c>
      <c r="K6416" t="n">
        <v>0</v>
      </c>
      <c r="L6416" t="n">
        <v>0</v>
      </c>
      <c r="M6416" t="n">
        <v>0</v>
      </c>
      <c r="N6416" t="n">
        <v>0</v>
      </c>
      <c r="O6416" t="n">
        <v>0</v>
      </c>
      <c r="P6416" t="n">
        <v>0</v>
      </c>
      <c r="Q6416" t="n">
        <v>0</v>
      </c>
      <c r="R6416" s="2" t="inlineStr"/>
    </row>
    <row r="6417" ht="15" customHeight="1">
      <c r="A6417" t="inlineStr">
        <is>
          <t>A 50396-2025</t>
        </is>
      </c>
      <c r="B6417" s="1" t="n">
        <v>45944.61931712963</v>
      </c>
      <c r="C6417" s="1" t="n">
        <v>46075</v>
      </c>
      <c r="D6417" t="inlineStr">
        <is>
          <t>VÄSTERBOTTENS LÄN</t>
        </is>
      </c>
      <c r="E6417" t="inlineStr">
        <is>
          <t>NORDMALING</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8954-2023</t>
        </is>
      </c>
      <c r="B6418" s="1" t="n">
        <v>44974</v>
      </c>
      <c r="C6418" s="1" t="n">
        <v>46075</v>
      </c>
      <c r="D6418" t="inlineStr">
        <is>
          <t>VÄSTERBOTTENS LÄN</t>
        </is>
      </c>
      <c r="E6418" t="inlineStr">
        <is>
          <t>VINDELN</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50412-2025</t>
        </is>
      </c>
      <c r="B6419" s="1" t="n">
        <v>45944.64483796297</v>
      </c>
      <c r="C6419" s="1" t="n">
        <v>46075</v>
      </c>
      <c r="D6419" t="inlineStr">
        <is>
          <t>VÄSTERBOTTENS LÄN</t>
        </is>
      </c>
      <c r="E6419" t="inlineStr">
        <is>
          <t>VINDELN</t>
        </is>
      </c>
      <c r="G6419" t="n">
        <v>3</v>
      </c>
      <c r="H6419" t="n">
        <v>0</v>
      </c>
      <c r="I6419" t="n">
        <v>0</v>
      </c>
      <c r="J6419" t="n">
        <v>0</v>
      </c>
      <c r="K6419" t="n">
        <v>0</v>
      </c>
      <c r="L6419" t="n">
        <v>0</v>
      </c>
      <c r="M6419" t="n">
        <v>0</v>
      </c>
      <c r="N6419" t="n">
        <v>0</v>
      </c>
      <c r="O6419" t="n">
        <v>0</v>
      </c>
      <c r="P6419" t="n">
        <v>0</v>
      </c>
      <c r="Q6419" t="n">
        <v>0</v>
      </c>
      <c r="R6419" s="2" t="inlineStr"/>
    </row>
    <row r="6420" ht="15" customHeight="1">
      <c r="A6420" t="inlineStr">
        <is>
          <t>A 16995-2025</t>
        </is>
      </c>
      <c r="B6420" s="1" t="n">
        <v>45755.51520833333</v>
      </c>
      <c r="C6420" s="1" t="n">
        <v>46075</v>
      </c>
      <c r="D6420" t="inlineStr">
        <is>
          <t>VÄSTERBOTTENS LÄN</t>
        </is>
      </c>
      <c r="E6420" t="inlineStr">
        <is>
          <t>VINDELN</t>
        </is>
      </c>
      <c r="F6420" t="inlineStr">
        <is>
          <t>Holmen skog AB</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23803-2025</t>
        </is>
      </c>
      <c r="B6421" s="1" t="n">
        <v>45793.55854166667</v>
      </c>
      <c r="C6421" s="1" t="n">
        <v>46075</v>
      </c>
      <c r="D6421" t="inlineStr">
        <is>
          <t>VÄSTERBOTTENS LÄN</t>
        </is>
      </c>
      <c r="E6421" t="inlineStr">
        <is>
          <t>ÅSELE</t>
        </is>
      </c>
      <c r="G6421" t="n">
        <v>4.1</v>
      </c>
      <c r="H6421" t="n">
        <v>0</v>
      </c>
      <c r="I6421" t="n">
        <v>0</v>
      </c>
      <c r="J6421" t="n">
        <v>0</v>
      </c>
      <c r="K6421" t="n">
        <v>0</v>
      </c>
      <c r="L6421" t="n">
        <v>0</v>
      </c>
      <c r="M6421" t="n">
        <v>0</v>
      </c>
      <c r="N6421" t="n">
        <v>0</v>
      </c>
      <c r="O6421" t="n">
        <v>0</v>
      </c>
      <c r="P6421" t="n">
        <v>0</v>
      </c>
      <c r="Q6421" t="n">
        <v>0</v>
      </c>
      <c r="R6421" s="2" t="inlineStr"/>
    </row>
    <row r="6422" ht="15" customHeight="1">
      <c r="A6422" t="inlineStr">
        <is>
          <t>A 46012-2024</t>
        </is>
      </c>
      <c r="B6422" s="1" t="n">
        <v>45580</v>
      </c>
      <c r="C6422" s="1" t="n">
        <v>46075</v>
      </c>
      <c r="D6422" t="inlineStr">
        <is>
          <t>VÄSTERBOTTENS LÄN</t>
        </is>
      </c>
      <c r="E6422" t="inlineStr">
        <is>
          <t>VINDELN</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50261-2025</t>
        </is>
      </c>
      <c r="B6423" s="1" t="n">
        <v>45944.3453125</v>
      </c>
      <c r="C6423" s="1" t="n">
        <v>46075</v>
      </c>
      <c r="D6423" t="inlineStr">
        <is>
          <t>VÄSTERBOTTENS LÄN</t>
        </is>
      </c>
      <c r="E6423" t="inlineStr">
        <is>
          <t>ÅSELE</t>
        </is>
      </c>
      <c r="F6423" t="inlineStr">
        <is>
          <t>SCA</t>
        </is>
      </c>
      <c r="G6423" t="n">
        <v>5.7</v>
      </c>
      <c r="H6423" t="n">
        <v>0</v>
      </c>
      <c r="I6423" t="n">
        <v>0</v>
      </c>
      <c r="J6423" t="n">
        <v>0</v>
      </c>
      <c r="K6423" t="n">
        <v>0</v>
      </c>
      <c r="L6423" t="n">
        <v>0</v>
      </c>
      <c r="M6423" t="n">
        <v>0</v>
      </c>
      <c r="N6423" t="n">
        <v>0</v>
      </c>
      <c r="O6423" t="n">
        <v>0</v>
      </c>
      <c r="P6423" t="n">
        <v>0</v>
      </c>
      <c r="Q6423" t="n">
        <v>0</v>
      </c>
      <c r="R6423" s="2" t="inlineStr"/>
    </row>
    <row r="6424" ht="15" customHeight="1">
      <c r="A6424" t="inlineStr">
        <is>
          <t>A 50319-2025</t>
        </is>
      </c>
      <c r="B6424" s="1" t="n">
        <v>45944.45122685185</v>
      </c>
      <c r="C6424" s="1" t="n">
        <v>46075</v>
      </c>
      <c r="D6424" t="inlineStr">
        <is>
          <t>VÄSTERBOTTENS LÄN</t>
        </is>
      </c>
      <c r="E6424" t="inlineStr">
        <is>
          <t>ÅSELE</t>
        </is>
      </c>
      <c r="F6424" t="inlineStr">
        <is>
          <t>Holmen skog AB</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50323-2025</t>
        </is>
      </c>
      <c r="B6425" s="1" t="n">
        <v>45944.45759259259</v>
      </c>
      <c r="C6425" s="1" t="n">
        <v>46075</v>
      </c>
      <c r="D6425" t="inlineStr">
        <is>
          <t>VÄSTERBOTTENS LÄN</t>
        </is>
      </c>
      <c r="E6425" t="inlineStr">
        <is>
          <t>ÅSELE</t>
        </is>
      </c>
      <c r="F6425" t="inlineStr">
        <is>
          <t>Sveaskog</t>
        </is>
      </c>
      <c r="G6425" t="n">
        <v>9.199999999999999</v>
      </c>
      <c r="H6425" t="n">
        <v>0</v>
      </c>
      <c r="I6425" t="n">
        <v>0</v>
      </c>
      <c r="J6425" t="n">
        <v>0</v>
      </c>
      <c r="K6425" t="n">
        <v>0</v>
      </c>
      <c r="L6425" t="n">
        <v>0</v>
      </c>
      <c r="M6425" t="n">
        <v>0</v>
      </c>
      <c r="N6425" t="n">
        <v>0</v>
      </c>
      <c r="O6425" t="n">
        <v>0</v>
      </c>
      <c r="P6425" t="n">
        <v>0</v>
      </c>
      <c r="Q6425" t="n">
        <v>0</v>
      </c>
      <c r="R6425" s="2" t="inlineStr"/>
    </row>
    <row r="6426" ht="15" customHeight="1">
      <c r="A6426" t="inlineStr">
        <is>
          <t>A 54825-2022</t>
        </is>
      </c>
      <c r="B6426" s="1" t="n">
        <v>44883</v>
      </c>
      <c r="C6426" s="1" t="n">
        <v>46075</v>
      </c>
      <c r="D6426" t="inlineStr">
        <is>
          <t>VÄSTERBOTTENS LÄN</t>
        </is>
      </c>
      <c r="E6426" t="inlineStr">
        <is>
          <t>SKELLEFTEÅ</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50282-2025</t>
        </is>
      </c>
      <c r="B6427" s="1" t="n">
        <v>45944.3862037037</v>
      </c>
      <c r="C6427" s="1" t="n">
        <v>46075</v>
      </c>
      <c r="D6427" t="inlineStr">
        <is>
          <t>VÄSTERBOTTENS LÄN</t>
        </is>
      </c>
      <c r="E6427" t="inlineStr">
        <is>
          <t>VILHELMINA</t>
        </is>
      </c>
      <c r="F6427" t="inlineStr">
        <is>
          <t>SCA</t>
        </is>
      </c>
      <c r="G6427" t="n">
        <v>4.7</v>
      </c>
      <c r="H6427" t="n">
        <v>0</v>
      </c>
      <c r="I6427" t="n">
        <v>0</v>
      </c>
      <c r="J6427" t="n">
        <v>0</v>
      </c>
      <c r="K6427" t="n">
        <v>0</v>
      </c>
      <c r="L6427" t="n">
        <v>0</v>
      </c>
      <c r="M6427" t="n">
        <v>0</v>
      </c>
      <c r="N6427" t="n">
        <v>0</v>
      </c>
      <c r="O6427" t="n">
        <v>0</v>
      </c>
      <c r="P6427" t="n">
        <v>0</v>
      </c>
      <c r="Q6427" t="n">
        <v>0</v>
      </c>
      <c r="R6427" s="2" t="inlineStr"/>
    </row>
    <row r="6428" ht="15" customHeight="1">
      <c r="A6428" t="inlineStr">
        <is>
          <t>A 50296-2025</t>
        </is>
      </c>
      <c r="B6428" s="1" t="n">
        <v>45944.40949074074</v>
      </c>
      <c r="C6428" s="1" t="n">
        <v>46075</v>
      </c>
      <c r="D6428" t="inlineStr">
        <is>
          <t>VÄSTERBOTTENS LÄN</t>
        </is>
      </c>
      <c r="E6428" t="inlineStr">
        <is>
          <t>STORUMAN</t>
        </is>
      </c>
      <c r="F6428" t="inlineStr">
        <is>
          <t>Holmen skog AB</t>
        </is>
      </c>
      <c r="G6428" t="n">
        <v>14.8</v>
      </c>
      <c r="H6428" t="n">
        <v>0</v>
      </c>
      <c r="I6428" t="n">
        <v>0</v>
      </c>
      <c r="J6428" t="n">
        <v>0</v>
      </c>
      <c r="K6428" t="n">
        <v>0</v>
      </c>
      <c r="L6428" t="n">
        <v>0</v>
      </c>
      <c r="M6428" t="n">
        <v>0</v>
      </c>
      <c r="N6428" t="n">
        <v>0</v>
      </c>
      <c r="O6428" t="n">
        <v>0</v>
      </c>
      <c r="P6428" t="n">
        <v>0</v>
      </c>
      <c r="Q6428" t="n">
        <v>0</v>
      </c>
      <c r="R6428" s="2" t="inlineStr"/>
    </row>
    <row r="6429" ht="15" customHeight="1">
      <c r="A6429" t="inlineStr">
        <is>
          <t>A 61631-2022</t>
        </is>
      </c>
      <c r="B6429" s="1" t="n">
        <v>44916.69783564815</v>
      </c>
      <c r="C6429" s="1" t="n">
        <v>46075</v>
      </c>
      <c r="D6429" t="inlineStr">
        <is>
          <t>VÄSTERBOTTENS LÄN</t>
        </is>
      </c>
      <c r="E6429" t="inlineStr">
        <is>
          <t>SKELLEFTEÅ</t>
        </is>
      </c>
      <c r="G6429" t="n">
        <v>2.9</v>
      </c>
      <c r="H6429" t="n">
        <v>0</v>
      </c>
      <c r="I6429" t="n">
        <v>0</v>
      </c>
      <c r="J6429" t="n">
        <v>0</v>
      </c>
      <c r="K6429" t="n">
        <v>0</v>
      </c>
      <c r="L6429" t="n">
        <v>0</v>
      </c>
      <c r="M6429" t="n">
        <v>0</v>
      </c>
      <c r="N6429" t="n">
        <v>0</v>
      </c>
      <c r="O6429" t="n">
        <v>0</v>
      </c>
      <c r="P6429" t="n">
        <v>0</v>
      </c>
      <c r="Q6429" t="n">
        <v>0</v>
      </c>
      <c r="R6429" s="2" t="inlineStr"/>
    </row>
    <row r="6430" ht="15" customHeight="1">
      <c r="A6430" t="inlineStr">
        <is>
          <t>A 61635-2022</t>
        </is>
      </c>
      <c r="B6430" s="1" t="n">
        <v>44916.71002314815</v>
      </c>
      <c r="C6430" s="1" t="n">
        <v>46075</v>
      </c>
      <c r="D6430" t="inlineStr">
        <is>
          <t>VÄSTERBOTTENS LÄN</t>
        </is>
      </c>
      <c r="E6430" t="inlineStr">
        <is>
          <t>SKELLEFTEÅ</t>
        </is>
      </c>
      <c r="G6430" t="n">
        <v>3.3</v>
      </c>
      <c r="H6430" t="n">
        <v>0</v>
      </c>
      <c r="I6430" t="n">
        <v>0</v>
      </c>
      <c r="J6430" t="n">
        <v>0</v>
      </c>
      <c r="K6430" t="n">
        <v>0</v>
      </c>
      <c r="L6430" t="n">
        <v>0</v>
      </c>
      <c r="M6430" t="n">
        <v>0</v>
      </c>
      <c r="N6430" t="n">
        <v>0</v>
      </c>
      <c r="O6430" t="n">
        <v>0</v>
      </c>
      <c r="P6430" t="n">
        <v>0</v>
      </c>
      <c r="Q6430" t="n">
        <v>0</v>
      </c>
      <c r="R6430" s="2" t="inlineStr"/>
    </row>
    <row r="6431" ht="15" customHeight="1">
      <c r="A6431" t="inlineStr">
        <is>
          <t>A 69519-2021</t>
        </is>
      </c>
      <c r="B6431" s="1" t="n">
        <v>44531</v>
      </c>
      <c r="C6431" s="1" t="n">
        <v>46075</v>
      </c>
      <c r="D6431" t="inlineStr">
        <is>
          <t>VÄSTERBOTTENS LÄN</t>
        </is>
      </c>
      <c r="E6431" t="inlineStr">
        <is>
          <t>NORDMALING</t>
        </is>
      </c>
      <c r="G6431" t="n">
        <v>9</v>
      </c>
      <c r="H6431" t="n">
        <v>0</v>
      </c>
      <c r="I6431" t="n">
        <v>0</v>
      </c>
      <c r="J6431" t="n">
        <v>0</v>
      </c>
      <c r="K6431" t="n">
        <v>0</v>
      </c>
      <c r="L6431" t="n">
        <v>0</v>
      </c>
      <c r="M6431" t="n">
        <v>0</v>
      </c>
      <c r="N6431" t="n">
        <v>0</v>
      </c>
      <c r="O6431" t="n">
        <v>0</v>
      </c>
      <c r="P6431" t="n">
        <v>0</v>
      </c>
      <c r="Q6431" t="n">
        <v>0</v>
      </c>
      <c r="R6431" s="2" t="inlineStr"/>
    </row>
    <row r="6432" ht="15" customHeight="1">
      <c r="A6432" t="inlineStr">
        <is>
          <t>A 58714-2024</t>
        </is>
      </c>
      <c r="B6432" s="1" t="n">
        <v>45635</v>
      </c>
      <c r="C6432" s="1" t="n">
        <v>46075</v>
      </c>
      <c r="D6432" t="inlineStr">
        <is>
          <t>VÄSTERBOTTENS LÄN</t>
        </is>
      </c>
      <c r="E6432" t="inlineStr">
        <is>
          <t>LYCKSELE</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48322-2023</t>
        </is>
      </c>
      <c r="B6433" s="1" t="n">
        <v>45201</v>
      </c>
      <c r="C6433" s="1" t="n">
        <v>46075</v>
      </c>
      <c r="D6433" t="inlineStr">
        <is>
          <t>VÄSTERBOTTENS LÄN</t>
        </is>
      </c>
      <c r="E6433" t="inlineStr">
        <is>
          <t>MALÅ</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50548-2025</t>
        </is>
      </c>
      <c r="B6434" s="1" t="n">
        <v>45945.51137731481</v>
      </c>
      <c r="C6434" s="1" t="n">
        <v>46075</v>
      </c>
      <c r="D6434" t="inlineStr">
        <is>
          <t>VÄSTERBOTTENS LÄN</t>
        </is>
      </c>
      <c r="E6434" t="inlineStr">
        <is>
          <t>SKELLEFTEÅ</t>
        </is>
      </c>
      <c r="G6434" t="n">
        <v>2.1</v>
      </c>
      <c r="H6434" t="n">
        <v>0</v>
      </c>
      <c r="I6434" t="n">
        <v>0</v>
      </c>
      <c r="J6434" t="n">
        <v>0</v>
      </c>
      <c r="K6434" t="n">
        <v>0</v>
      </c>
      <c r="L6434" t="n">
        <v>0</v>
      </c>
      <c r="M6434" t="n">
        <v>0</v>
      </c>
      <c r="N6434" t="n">
        <v>0</v>
      </c>
      <c r="O6434" t="n">
        <v>0</v>
      </c>
      <c r="P6434" t="n">
        <v>0</v>
      </c>
      <c r="Q6434" t="n">
        <v>0</v>
      </c>
      <c r="R6434" s="2" t="inlineStr"/>
    </row>
    <row r="6435" ht="15" customHeight="1">
      <c r="A6435" t="inlineStr">
        <is>
          <t>A 38580-2025</t>
        </is>
      </c>
      <c r="B6435" s="1" t="n">
        <v>45884.46951388889</v>
      </c>
      <c r="C6435" s="1" t="n">
        <v>46075</v>
      </c>
      <c r="D6435" t="inlineStr">
        <is>
          <t>VÄSTERBOTTENS LÄN</t>
        </is>
      </c>
      <c r="E6435" t="inlineStr">
        <is>
          <t>VILHELMINA</t>
        </is>
      </c>
      <c r="F6435" t="inlineStr">
        <is>
          <t>SCA</t>
        </is>
      </c>
      <c r="G6435" t="n">
        <v>2.6</v>
      </c>
      <c r="H6435" t="n">
        <v>0</v>
      </c>
      <c r="I6435" t="n">
        <v>0</v>
      </c>
      <c r="J6435" t="n">
        <v>0</v>
      </c>
      <c r="K6435" t="n">
        <v>0</v>
      </c>
      <c r="L6435" t="n">
        <v>0</v>
      </c>
      <c r="M6435" t="n">
        <v>0</v>
      </c>
      <c r="N6435" t="n">
        <v>0</v>
      </c>
      <c r="O6435" t="n">
        <v>0</v>
      </c>
      <c r="P6435" t="n">
        <v>0</v>
      </c>
      <c r="Q6435" t="n">
        <v>0</v>
      </c>
      <c r="R6435" s="2" t="inlineStr"/>
    </row>
    <row r="6436" ht="15" customHeight="1">
      <c r="A6436" t="inlineStr">
        <is>
          <t>A 58787-2024</t>
        </is>
      </c>
      <c r="B6436" s="1" t="n">
        <v>45635.90383101852</v>
      </c>
      <c r="C6436" s="1" t="n">
        <v>46075</v>
      </c>
      <c r="D6436" t="inlineStr">
        <is>
          <t>VÄSTERBOTTENS LÄN</t>
        </is>
      </c>
      <c r="E6436" t="inlineStr">
        <is>
          <t>STORUMAN</t>
        </is>
      </c>
      <c r="G6436" t="n">
        <v>17.4</v>
      </c>
      <c r="H6436" t="n">
        <v>0</v>
      </c>
      <c r="I6436" t="n">
        <v>0</v>
      </c>
      <c r="J6436" t="n">
        <v>0</v>
      </c>
      <c r="K6436" t="n">
        <v>0</v>
      </c>
      <c r="L6436" t="n">
        <v>0</v>
      </c>
      <c r="M6436" t="n">
        <v>0</v>
      </c>
      <c r="N6436" t="n">
        <v>0</v>
      </c>
      <c r="O6436" t="n">
        <v>0</v>
      </c>
      <c r="P6436" t="n">
        <v>0</v>
      </c>
      <c r="Q6436" t="n">
        <v>0</v>
      </c>
      <c r="R6436" s="2" t="inlineStr"/>
    </row>
    <row r="6437" ht="15" customHeight="1">
      <c r="A6437" t="inlineStr">
        <is>
          <t>A 11685-2022</t>
        </is>
      </c>
      <c r="B6437" s="1" t="n">
        <v>44634.31503472223</v>
      </c>
      <c r="C6437" s="1" t="n">
        <v>46075</v>
      </c>
      <c r="D6437" t="inlineStr">
        <is>
          <t>VÄSTERBOTTENS LÄN</t>
        </is>
      </c>
      <c r="E6437" t="inlineStr">
        <is>
          <t>SKELLEFTEÅ</t>
        </is>
      </c>
      <c r="G6437" t="n">
        <v>4.1</v>
      </c>
      <c r="H6437" t="n">
        <v>0</v>
      </c>
      <c r="I6437" t="n">
        <v>0</v>
      </c>
      <c r="J6437" t="n">
        <v>0</v>
      </c>
      <c r="K6437" t="n">
        <v>0</v>
      </c>
      <c r="L6437" t="n">
        <v>0</v>
      </c>
      <c r="M6437" t="n">
        <v>0</v>
      </c>
      <c r="N6437" t="n">
        <v>0</v>
      </c>
      <c r="O6437" t="n">
        <v>0</v>
      </c>
      <c r="P6437" t="n">
        <v>0</v>
      </c>
      <c r="Q6437" t="n">
        <v>0</v>
      </c>
      <c r="R6437" s="2" t="inlineStr"/>
    </row>
    <row r="6438" ht="15" customHeight="1">
      <c r="A6438" t="inlineStr">
        <is>
          <t>A 38586-2025</t>
        </is>
      </c>
      <c r="B6438" s="1" t="n">
        <v>45884.47202546296</v>
      </c>
      <c r="C6438" s="1" t="n">
        <v>46075</v>
      </c>
      <c r="D6438" t="inlineStr">
        <is>
          <t>VÄSTERBOTTENS LÄN</t>
        </is>
      </c>
      <c r="E6438" t="inlineStr">
        <is>
          <t>SKELLEFTEÅ</t>
        </is>
      </c>
      <c r="F6438" t="inlineStr">
        <is>
          <t>Holmen skog AB</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50462-2025</t>
        </is>
      </c>
      <c r="B6439" s="1" t="n">
        <v>45945.34512731482</v>
      </c>
      <c r="C6439" s="1" t="n">
        <v>46075</v>
      </c>
      <c r="D6439" t="inlineStr">
        <is>
          <t>VÄSTERBOTTENS LÄN</t>
        </is>
      </c>
      <c r="E6439" t="inlineStr">
        <is>
          <t>NORSJÖ</t>
        </is>
      </c>
      <c r="G6439" t="n">
        <v>7.7</v>
      </c>
      <c r="H6439" t="n">
        <v>0</v>
      </c>
      <c r="I6439" t="n">
        <v>0</v>
      </c>
      <c r="J6439" t="n">
        <v>0</v>
      </c>
      <c r="K6439" t="n">
        <v>0</v>
      </c>
      <c r="L6439" t="n">
        <v>0</v>
      </c>
      <c r="M6439" t="n">
        <v>0</v>
      </c>
      <c r="N6439" t="n">
        <v>0</v>
      </c>
      <c r="O6439" t="n">
        <v>0</v>
      </c>
      <c r="P6439" t="n">
        <v>0</v>
      </c>
      <c r="Q6439" t="n">
        <v>0</v>
      </c>
      <c r="R6439" s="2" t="inlineStr"/>
    </row>
    <row r="6440" ht="15" customHeight="1">
      <c r="A6440" t="inlineStr">
        <is>
          <t>A 34455-2023</t>
        </is>
      </c>
      <c r="B6440" s="1" t="n">
        <v>45139.68733796296</v>
      </c>
      <c r="C6440" s="1" t="n">
        <v>46075</v>
      </c>
      <c r="D6440" t="inlineStr">
        <is>
          <t>VÄSTERBOTTENS LÄN</t>
        </is>
      </c>
      <c r="E6440" t="inlineStr">
        <is>
          <t>SKELLEFTEÅ</t>
        </is>
      </c>
      <c r="F6440" t="inlineStr">
        <is>
          <t>Holmen skog AB</t>
        </is>
      </c>
      <c r="G6440" t="n">
        <v>2.7</v>
      </c>
      <c r="H6440" t="n">
        <v>0</v>
      </c>
      <c r="I6440" t="n">
        <v>0</v>
      </c>
      <c r="J6440" t="n">
        <v>0</v>
      </c>
      <c r="K6440" t="n">
        <v>0</v>
      </c>
      <c r="L6440" t="n">
        <v>0</v>
      </c>
      <c r="M6440" t="n">
        <v>0</v>
      </c>
      <c r="N6440" t="n">
        <v>0</v>
      </c>
      <c r="O6440" t="n">
        <v>0</v>
      </c>
      <c r="P6440" t="n">
        <v>0</v>
      </c>
      <c r="Q6440" t="n">
        <v>0</v>
      </c>
      <c r="R6440" s="2" t="inlineStr"/>
    </row>
    <row r="6441" ht="15" customHeight="1">
      <c r="A6441" t="inlineStr">
        <is>
          <t>A 66500-2021</t>
        </is>
      </c>
      <c r="B6441" s="1" t="n">
        <v>44519.3160300926</v>
      </c>
      <c r="C6441" s="1" t="n">
        <v>46075</v>
      </c>
      <c r="D6441" t="inlineStr">
        <is>
          <t>VÄSTERBOTTENS LÄN</t>
        </is>
      </c>
      <c r="E6441" t="inlineStr">
        <is>
          <t>SKELLEFTEÅ</t>
        </is>
      </c>
      <c r="G6441" t="n">
        <v>3.9</v>
      </c>
      <c r="H6441" t="n">
        <v>0</v>
      </c>
      <c r="I6441" t="n">
        <v>0</v>
      </c>
      <c r="J6441" t="n">
        <v>0</v>
      </c>
      <c r="K6441" t="n">
        <v>0</v>
      </c>
      <c r="L6441" t="n">
        <v>0</v>
      </c>
      <c r="M6441" t="n">
        <v>0</v>
      </c>
      <c r="N6441" t="n">
        <v>0</v>
      </c>
      <c r="O6441" t="n">
        <v>0</v>
      </c>
      <c r="P6441" t="n">
        <v>0</v>
      </c>
      <c r="Q6441" t="n">
        <v>0</v>
      </c>
      <c r="R6441" s="2" t="inlineStr"/>
    </row>
    <row r="6442" ht="15" customHeight="1">
      <c r="A6442" t="inlineStr">
        <is>
          <t>A 11790-2022</t>
        </is>
      </c>
      <c r="B6442" s="1" t="n">
        <v>44634</v>
      </c>
      <c r="C6442" s="1" t="n">
        <v>46075</v>
      </c>
      <c r="D6442" t="inlineStr">
        <is>
          <t>VÄSTERBOTTENS LÄN</t>
        </is>
      </c>
      <c r="E6442" t="inlineStr">
        <is>
          <t>SKELLEFTEÅ</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44437-2022</t>
        </is>
      </c>
      <c r="B6443" s="1" t="n">
        <v>44839.95413194445</v>
      </c>
      <c r="C6443" s="1" t="n">
        <v>46075</v>
      </c>
      <c r="D6443" t="inlineStr">
        <is>
          <t>VÄSTERBOTTENS LÄN</t>
        </is>
      </c>
      <c r="E6443" t="inlineStr">
        <is>
          <t>VINDELN</t>
        </is>
      </c>
      <c r="F6443" t="inlineStr">
        <is>
          <t>SCA</t>
        </is>
      </c>
      <c r="G6443" t="n">
        <v>4.2</v>
      </c>
      <c r="H6443" t="n">
        <v>0</v>
      </c>
      <c r="I6443" t="n">
        <v>0</v>
      </c>
      <c r="J6443" t="n">
        <v>0</v>
      </c>
      <c r="K6443" t="n">
        <v>0</v>
      </c>
      <c r="L6443" t="n">
        <v>0</v>
      </c>
      <c r="M6443" t="n">
        <v>0</v>
      </c>
      <c r="N6443" t="n">
        <v>0</v>
      </c>
      <c r="O6443" t="n">
        <v>0</v>
      </c>
      <c r="P6443" t="n">
        <v>0</v>
      </c>
      <c r="Q6443" t="n">
        <v>0</v>
      </c>
      <c r="R6443" s="2" t="inlineStr"/>
    </row>
    <row r="6444" ht="15" customHeight="1">
      <c r="A6444" t="inlineStr">
        <is>
          <t>A 38539-2025</t>
        </is>
      </c>
      <c r="B6444" s="1" t="n">
        <v>45884.42550925926</v>
      </c>
      <c r="C6444" s="1" t="n">
        <v>46075</v>
      </c>
      <c r="D6444" t="inlineStr">
        <is>
          <t>VÄSTERBOTTENS LÄN</t>
        </is>
      </c>
      <c r="E6444" t="inlineStr">
        <is>
          <t>SKELLEFTEÅ</t>
        </is>
      </c>
      <c r="F6444" t="inlineStr">
        <is>
          <t>Holmen skog AB</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60117-2022</t>
        </is>
      </c>
      <c r="B6445" s="1" t="n">
        <v>44909</v>
      </c>
      <c r="C6445" s="1" t="n">
        <v>46075</v>
      </c>
      <c r="D6445" t="inlineStr">
        <is>
          <t>VÄSTERBOTTENS LÄN</t>
        </is>
      </c>
      <c r="E6445" t="inlineStr">
        <is>
          <t>LYCKSELE</t>
        </is>
      </c>
      <c r="F6445" t="inlineStr">
        <is>
          <t>Sveaskog</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50864-2025</t>
        </is>
      </c>
      <c r="B6446" s="1" t="n">
        <v>45946.59537037037</v>
      </c>
      <c r="C6446" s="1" t="n">
        <v>46075</v>
      </c>
      <c r="D6446" t="inlineStr">
        <is>
          <t>VÄSTERBOTTENS LÄN</t>
        </is>
      </c>
      <c r="E6446" t="inlineStr">
        <is>
          <t>ÅSELE</t>
        </is>
      </c>
      <c r="F6446" t="inlineStr">
        <is>
          <t>SCA</t>
        </is>
      </c>
      <c r="G6446" t="n">
        <v>6.9</v>
      </c>
      <c r="H6446" t="n">
        <v>0</v>
      </c>
      <c r="I6446" t="n">
        <v>0</v>
      </c>
      <c r="J6446" t="n">
        <v>0</v>
      </c>
      <c r="K6446" t="n">
        <v>0</v>
      </c>
      <c r="L6446" t="n">
        <v>0</v>
      </c>
      <c r="M6446" t="n">
        <v>0</v>
      </c>
      <c r="N6446" t="n">
        <v>0</v>
      </c>
      <c r="O6446" t="n">
        <v>0</v>
      </c>
      <c r="P6446" t="n">
        <v>0</v>
      </c>
      <c r="Q6446" t="n">
        <v>0</v>
      </c>
      <c r="R6446" s="2" t="inlineStr"/>
    </row>
    <row r="6447" ht="15" customHeight="1">
      <c r="A6447" t="inlineStr">
        <is>
          <t>A 7512-2023</t>
        </is>
      </c>
      <c r="B6447" s="1" t="n">
        <v>44971.93078703704</v>
      </c>
      <c r="C6447" s="1" t="n">
        <v>46075</v>
      </c>
      <c r="D6447" t="inlineStr">
        <is>
          <t>VÄSTERBOTTENS LÄN</t>
        </is>
      </c>
      <c r="E6447" t="inlineStr">
        <is>
          <t>ÅSELE</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51119-2025</t>
        </is>
      </c>
      <c r="B6448" s="1" t="n">
        <v>45947.53201388889</v>
      </c>
      <c r="C6448" s="1" t="n">
        <v>46075</v>
      </c>
      <c r="D6448" t="inlineStr">
        <is>
          <t>VÄSTERBOTTENS LÄN</t>
        </is>
      </c>
      <c r="E6448" t="inlineStr">
        <is>
          <t>NORSJÖ</t>
        </is>
      </c>
      <c r="G6448" t="n">
        <v>23.2</v>
      </c>
      <c r="H6448" t="n">
        <v>0</v>
      </c>
      <c r="I6448" t="n">
        <v>0</v>
      </c>
      <c r="J6448" t="n">
        <v>0</v>
      </c>
      <c r="K6448" t="n">
        <v>0</v>
      </c>
      <c r="L6448" t="n">
        <v>0</v>
      </c>
      <c r="M6448" t="n">
        <v>0</v>
      </c>
      <c r="N6448" t="n">
        <v>0</v>
      </c>
      <c r="O6448" t="n">
        <v>0</v>
      </c>
      <c r="P6448" t="n">
        <v>0</v>
      </c>
      <c r="Q6448" t="n">
        <v>0</v>
      </c>
      <c r="R6448" s="2" t="inlineStr"/>
    </row>
    <row r="6449" ht="15" customHeight="1">
      <c r="A6449" t="inlineStr">
        <is>
          <t>A 57629-2023</t>
        </is>
      </c>
      <c r="B6449" s="1" t="n">
        <v>45246.58361111111</v>
      </c>
      <c r="C6449" s="1" t="n">
        <v>46075</v>
      </c>
      <c r="D6449" t="inlineStr">
        <is>
          <t>VÄSTERBOTTENS LÄN</t>
        </is>
      </c>
      <c r="E6449" t="inlineStr">
        <is>
          <t>ROBERTSFORS</t>
        </is>
      </c>
      <c r="G6449" t="n">
        <v>3.8</v>
      </c>
      <c r="H6449" t="n">
        <v>0</v>
      </c>
      <c r="I6449" t="n">
        <v>0</v>
      </c>
      <c r="J6449" t="n">
        <v>0</v>
      </c>
      <c r="K6449" t="n">
        <v>0</v>
      </c>
      <c r="L6449" t="n">
        <v>0</v>
      </c>
      <c r="M6449" t="n">
        <v>0</v>
      </c>
      <c r="N6449" t="n">
        <v>0</v>
      </c>
      <c r="O6449" t="n">
        <v>0</v>
      </c>
      <c r="P6449" t="n">
        <v>0</v>
      </c>
      <c r="Q6449" t="n">
        <v>0</v>
      </c>
      <c r="R6449" s="2" t="inlineStr"/>
    </row>
    <row r="6450" ht="15" customHeight="1">
      <c r="A6450" t="inlineStr">
        <is>
          <t>A 51126-2025</t>
        </is>
      </c>
      <c r="B6450" s="1" t="n">
        <v>45947.55268518518</v>
      </c>
      <c r="C6450" s="1" t="n">
        <v>46075</v>
      </c>
      <c r="D6450" t="inlineStr">
        <is>
          <t>VÄSTERBOTTENS LÄN</t>
        </is>
      </c>
      <c r="E6450" t="inlineStr">
        <is>
          <t>NORSJÖ</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51127-2025</t>
        </is>
      </c>
      <c r="B6451" s="1" t="n">
        <v>45947.55271990741</v>
      </c>
      <c r="C6451" s="1" t="n">
        <v>46075</v>
      </c>
      <c r="D6451" t="inlineStr">
        <is>
          <t>VÄSTERBOTTENS LÄN</t>
        </is>
      </c>
      <c r="E6451" t="inlineStr">
        <is>
          <t>NORSJÖ</t>
        </is>
      </c>
      <c r="G6451" t="n">
        <v>5.6</v>
      </c>
      <c r="H6451" t="n">
        <v>0</v>
      </c>
      <c r="I6451" t="n">
        <v>0</v>
      </c>
      <c r="J6451" t="n">
        <v>0</v>
      </c>
      <c r="K6451" t="n">
        <v>0</v>
      </c>
      <c r="L6451" t="n">
        <v>0</v>
      </c>
      <c r="M6451" t="n">
        <v>0</v>
      </c>
      <c r="N6451" t="n">
        <v>0</v>
      </c>
      <c r="O6451" t="n">
        <v>0</v>
      </c>
      <c r="P6451" t="n">
        <v>0</v>
      </c>
      <c r="Q6451" t="n">
        <v>0</v>
      </c>
      <c r="R6451" s="2" t="inlineStr"/>
    </row>
    <row r="6452" ht="15" customHeight="1">
      <c r="A6452" t="inlineStr">
        <is>
          <t>A 51128-2025</t>
        </is>
      </c>
      <c r="B6452" s="1" t="n">
        <v>45947.55287037037</v>
      </c>
      <c r="C6452" s="1" t="n">
        <v>46075</v>
      </c>
      <c r="D6452" t="inlineStr">
        <is>
          <t>VÄSTERBOTTENS LÄN</t>
        </is>
      </c>
      <c r="E6452" t="inlineStr">
        <is>
          <t>NORSJÖ</t>
        </is>
      </c>
      <c r="G6452" t="n">
        <v>2.8</v>
      </c>
      <c r="H6452" t="n">
        <v>0</v>
      </c>
      <c r="I6452" t="n">
        <v>0</v>
      </c>
      <c r="J6452" t="n">
        <v>0</v>
      </c>
      <c r="K6452" t="n">
        <v>0</v>
      </c>
      <c r="L6452" t="n">
        <v>0</v>
      </c>
      <c r="M6452" t="n">
        <v>0</v>
      </c>
      <c r="N6452" t="n">
        <v>0</v>
      </c>
      <c r="O6452" t="n">
        <v>0</v>
      </c>
      <c r="P6452" t="n">
        <v>0</v>
      </c>
      <c r="Q6452" t="n">
        <v>0</v>
      </c>
      <c r="R6452" s="2" t="inlineStr"/>
    </row>
    <row r="6453" ht="15" customHeight="1">
      <c r="A6453" t="inlineStr">
        <is>
          <t>A 51130-2025</t>
        </is>
      </c>
      <c r="B6453" s="1" t="n">
        <v>45947.55298611111</v>
      </c>
      <c r="C6453" s="1" t="n">
        <v>46075</v>
      </c>
      <c r="D6453" t="inlineStr">
        <is>
          <t>VÄSTERBOTTENS LÄN</t>
        </is>
      </c>
      <c r="E6453" t="inlineStr">
        <is>
          <t>NORSJÖ</t>
        </is>
      </c>
      <c r="G6453" t="n">
        <v>4.4</v>
      </c>
      <c r="H6453" t="n">
        <v>0</v>
      </c>
      <c r="I6453" t="n">
        <v>0</v>
      </c>
      <c r="J6453" t="n">
        <v>0</v>
      </c>
      <c r="K6453" t="n">
        <v>0</v>
      </c>
      <c r="L6453" t="n">
        <v>0</v>
      </c>
      <c r="M6453" t="n">
        <v>0</v>
      </c>
      <c r="N6453" t="n">
        <v>0</v>
      </c>
      <c r="O6453" t="n">
        <v>0</v>
      </c>
      <c r="P6453" t="n">
        <v>0</v>
      </c>
      <c r="Q6453" t="n">
        <v>0</v>
      </c>
      <c r="R6453" s="2" t="inlineStr"/>
    </row>
    <row r="6454" ht="15" customHeight="1">
      <c r="A6454" t="inlineStr">
        <is>
          <t>A 30286-2023</t>
        </is>
      </c>
      <c r="B6454" s="1" t="n">
        <v>45110</v>
      </c>
      <c r="C6454" s="1" t="n">
        <v>46075</v>
      </c>
      <c r="D6454" t="inlineStr">
        <is>
          <t>VÄSTERBOTTENS LÄN</t>
        </is>
      </c>
      <c r="E6454" t="inlineStr">
        <is>
          <t>DOROTEA</t>
        </is>
      </c>
      <c r="G6454" t="n">
        <v>21.2</v>
      </c>
      <c r="H6454" t="n">
        <v>0</v>
      </c>
      <c r="I6454" t="n">
        <v>0</v>
      </c>
      <c r="J6454" t="n">
        <v>0</v>
      </c>
      <c r="K6454" t="n">
        <v>0</v>
      </c>
      <c r="L6454" t="n">
        <v>0</v>
      </c>
      <c r="M6454" t="n">
        <v>0</v>
      </c>
      <c r="N6454" t="n">
        <v>0</v>
      </c>
      <c r="O6454" t="n">
        <v>0</v>
      </c>
      <c r="P6454" t="n">
        <v>0</v>
      </c>
      <c r="Q6454" t="n">
        <v>0</v>
      </c>
      <c r="R6454" s="2" t="inlineStr"/>
    </row>
    <row r="6455" ht="15" customHeight="1">
      <c r="A6455" t="inlineStr">
        <is>
          <t>A 44634-2024</t>
        </is>
      </c>
      <c r="B6455" s="1" t="n">
        <v>45574</v>
      </c>
      <c r="C6455" s="1" t="n">
        <v>46075</v>
      </c>
      <c r="D6455" t="inlineStr">
        <is>
          <t>VÄSTERBOTTENS LÄN</t>
        </is>
      </c>
      <c r="E6455" t="inlineStr">
        <is>
          <t>VILHELMINA</t>
        </is>
      </c>
      <c r="F6455" t="inlineStr">
        <is>
          <t>SCA</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30657-2025</t>
        </is>
      </c>
      <c r="B6456" s="1" t="n">
        <v>45831.50638888889</v>
      </c>
      <c r="C6456" s="1" t="n">
        <v>46075</v>
      </c>
      <c r="D6456" t="inlineStr">
        <is>
          <t>VÄSTERBOTTENS LÄN</t>
        </is>
      </c>
      <c r="E6456" t="inlineStr">
        <is>
          <t>VINDELN</t>
        </is>
      </c>
      <c r="F6456" t="inlineStr">
        <is>
          <t>Holmen skog AB</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51197-2025</t>
        </is>
      </c>
      <c r="B6457" s="1" t="n">
        <v>45947.63258101852</v>
      </c>
      <c r="C6457" s="1" t="n">
        <v>46075</v>
      </c>
      <c r="D6457" t="inlineStr">
        <is>
          <t>VÄSTERBOTTENS LÄN</t>
        </is>
      </c>
      <c r="E6457" t="inlineStr">
        <is>
          <t>ÅSELE</t>
        </is>
      </c>
      <c r="F6457" t="inlineStr">
        <is>
          <t>Holmen skog AB</t>
        </is>
      </c>
      <c r="G6457" t="n">
        <v>9.6</v>
      </c>
      <c r="H6457" t="n">
        <v>0</v>
      </c>
      <c r="I6457" t="n">
        <v>0</v>
      </c>
      <c r="J6457" t="n">
        <v>0</v>
      </c>
      <c r="K6457" t="n">
        <v>0</v>
      </c>
      <c r="L6457" t="n">
        <v>0</v>
      </c>
      <c r="M6457" t="n">
        <v>0</v>
      </c>
      <c r="N6457" t="n">
        <v>0</v>
      </c>
      <c r="O6457" t="n">
        <v>0</v>
      </c>
      <c r="P6457" t="n">
        <v>0</v>
      </c>
      <c r="Q6457" t="n">
        <v>0</v>
      </c>
      <c r="R6457" s="2" t="inlineStr"/>
    </row>
    <row r="6458" ht="15" customHeight="1">
      <c r="A6458" t="inlineStr">
        <is>
          <t>A 35266-2024</t>
        </is>
      </c>
      <c r="B6458" s="1" t="n">
        <v>45530</v>
      </c>
      <c r="C6458" s="1" t="n">
        <v>46075</v>
      </c>
      <c r="D6458" t="inlineStr">
        <is>
          <t>VÄSTERBOTTENS LÄN</t>
        </is>
      </c>
      <c r="E6458" t="inlineStr">
        <is>
          <t>LYCKSELE</t>
        </is>
      </c>
      <c r="F6458" t="inlineStr">
        <is>
          <t>Holmen skog AB</t>
        </is>
      </c>
      <c r="G6458" t="n">
        <v>6.2</v>
      </c>
      <c r="H6458" t="n">
        <v>0</v>
      </c>
      <c r="I6458" t="n">
        <v>0</v>
      </c>
      <c r="J6458" t="n">
        <v>0</v>
      </c>
      <c r="K6458" t="n">
        <v>0</v>
      </c>
      <c r="L6458" t="n">
        <v>0</v>
      </c>
      <c r="M6458" t="n">
        <v>0</v>
      </c>
      <c r="N6458" t="n">
        <v>0</v>
      </c>
      <c r="O6458" t="n">
        <v>0</v>
      </c>
      <c r="P6458" t="n">
        <v>0</v>
      </c>
      <c r="Q6458" t="n">
        <v>0</v>
      </c>
      <c r="R6458" s="2" t="inlineStr"/>
    </row>
    <row r="6459" ht="15" customHeight="1">
      <c r="A6459" t="inlineStr">
        <is>
          <t>A 35273-2024</t>
        </is>
      </c>
      <c r="B6459" s="1" t="n">
        <v>45530</v>
      </c>
      <c r="C6459" s="1" t="n">
        <v>46075</v>
      </c>
      <c r="D6459" t="inlineStr">
        <is>
          <t>VÄSTERBOTTENS LÄN</t>
        </is>
      </c>
      <c r="E6459" t="inlineStr">
        <is>
          <t>LYCKSELE</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28731-2023</t>
        </is>
      </c>
      <c r="B6460" s="1" t="n">
        <v>45103</v>
      </c>
      <c r="C6460" s="1" t="n">
        <v>46075</v>
      </c>
      <c r="D6460" t="inlineStr">
        <is>
          <t>VÄSTERBOTTENS LÄN</t>
        </is>
      </c>
      <c r="E6460" t="inlineStr">
        <is>
          <t>ÅSELE</t>
        </is>
      </c>
      <c r="F6460" t="inlineStr">
        <is>
          <t>Sveaskog</t>
        </is>
      </c>
      <c r="G6460" t="n">
        <v>4.9</v>
      </c>
      <c r="H6460" t="n">
        <v>0</v>
      </c>
      <c r="I6460" t="n">
        <v>0</v>
      </c>
      <c r="J6460" t="n">
        <v>0</v>
      </c>
      <c r="K6460" t="n">
        <v>0</v>
      </c>
      <c r="L6460" t="n">
        <v>0</v>
      </c>
      <c r="M6460" t="n">
        <v>0</v>
      </c>
      <c r="N6460" t="n">
        <v>0</v>
      </c>
      <c r="O6460" t="n">
        <v>0</v>
      </c>
      <c r="P6460" t="n">
        <v>0</v>
      </c>
      <c r="Q6460" t="n">
        <v>0</v>
      </c>
      <c r="R6460" s="2" t="inlineStr"/>
    </row>
    <row r="6461" ht="15" customHeight="1">
      <c r="A6461" t="inlineStr">
        <is>
          <t>A 50810-2025</t>
        </is>
      </c>
      <c r="B6461" s="1" t="n">
        <v>45946.51113425926</v>
      </c>
      <c r="C6461" s="1" t="n">
        <v>46075</v>
      </c>
      <c r="D6461" t="inlineStr">
        <is>
          <t>VÄSTERBOTTENS LÄN</t>
        </is>
      </c>
      <c r="E6461" t="inlineStr">
        <is>
          <t>BJURHOLM</t>
        </is>
      </c>
      <c r="G6461" t="n">
        <v>8.6</v>
      </c>
      <c r="H6461" t="n">
        <v>0</v>
      </c>
      <c r="I6461" t="n">
        <v>0</v>
      </c>
      <c r="J6461" t="n">
        <v>0</v>
      </c>
      <c r="K6461" t="n">
        <v>0</v>
      </c>
      <c r="L6461" t="n">
        <v>0</v>
      </c>
      <c r="M6461" t="n">
        <v>0</v>
      </c>
      <c r="N6461" t="n">
        <v>0</v>
      </c>
      <c r="O6461" t="n">
        <v>0</v>
      </c>
      <c r="P6461" t="n">
        <v>0</v>
      </c>
      <c r="Q6461" t="n">
        <v>0</v>
      </c>
      <c r="R6461" s="2" t="inlineStr"/>
    </row>
    <row r="6462" ht="15" customHeight="1">
      <c r="A6462" t="inlineStr">
        <is>
          <t>A 50693-2025</t>
        </is>
      </c>
      <c r="B6462" s="1" t="n">
        <v>45945.85396990741</v>
      </c>
      <c r="C6462" s="1" t="n">
        <v>46075</v>
      </c>
      <c r="D6462" t="inlineStr">
        <is>
          <t>VÄSTERBOTTENS LÄN</t>
        </is>
      </c>
      <c r="E6462" t="inlineStr">
        <is>
          <t>SKELLEFTEÅ</t>
        </is>
      </c>
      <c r="G6462" t="n">
        <v>10.7</v>
      </c>
      <c r="H6462" t="n">
        <v>0</v>
      </c>
      <c r="I6462" t="n">
        <v>0</v>
      </c>
      <c r="J6462" t="n">
        <v>0</v>
      </c>
      <c r="K6462" t="n">
        <v>0</v>
      </c>
      <c r="L6462" t="n">
        <v>0</v>
      </c>
      <c r="M6462" t="n">
        <v>0</v>
      </c>
      <c r="N6462" t="n">
        <v>0</v>
      </c>
      <c r="O6462" t="n">
        <v>0</v>
      </c>
      <c r="P6462" t="n">
        <v>0</v>
      </c>
      <c r="Q6462" t="n">
        <v>0</v>
      </c>
      <c r="R6462" s="2" t="inlineStr"/>
    </row>
    <row r="6463" ht="15" customHeight="1">
      <c r="A6463" t="inlineStr">
        <is>
          <t>A 9315-2023</t>
        </is>
      </c>
      <c r="B6463" s="1" t="n">
        <v>44980.68075231482</v>
      </c>
      <c r="C6463" s="1" t="n">
        <v>46075</v>
      </c>
      <c r="D6463" t="inlineStr">
        <is>
          <t>VÄSTERBOTTENS LÄN</t>
        </is>
      </c>
      <c r="E6463" t="inlineStr">
        <is>
          <t>ROBERTSFORS</t>
        </is>
      </c>
      <c r="F6463" t="inlineStr">
        <is>
          <t>Holmen skog AB</t>
        </is>
      </c>
      <c r="G6463" t="n">
        <v>4.6</v>
      </c>
      <c r="H6463" t="n">
        <v>0</v>
      </c>
      <c r="I6463" t="n">
        <v>0</v>
      </c>
      <c r="J6463" t="n">
        <v>0</v>
      </c>
      <c r="K6463" t="n">
        <v>0</v>
      </c>
      <c r="L6463" t="n">
        <v>0</v>
      </c>
      <c r="M6463" t="n">
        <v>0</v>
      </c>
      <c r="N6463" t="n">
        <v>0</v>
      </c>
      <c r="O6463" t="n">
        <v>0</v>
      </c>
      <c r="P6463" t="n">
        <v>0</v>
      </c>
      <c r="Q6463" t="n">
        <v>0</v>
      </c>
      <c r="R6463" s="2" t="inlineStr"/>
    </row>
    <row r="6464" ht="15" customHeight="1">
      <c r="A6464" t="inlineStr">
        <is>
          <t>A 37474-2023</t>
        </is>
      </c>
      <c r="B6464" s="1" t="n">
        <v>45156.92446759259</v>
      </c>
      <c r="C6464" s="1" t="n">
        <v>46075</v>
      </c>
      <c r="D6464" t="inlineStr">
        <is>
          <t>VÄSTERBOTTENS LÄN</t>
        </is>
      </c>
      <c r="E6464" t="inlineStr">
        <is>
          <t>SKELLEFTEÅ</t>
        </is>
      </c>
      <c r="G6464" t="n">
        <v>4.1</v>
      </c>
      <c r="H6464" t="n">
        <v>0</v>
      </c>
      <c r="I6464" t="n">
        <v>0</v>
      </c>
      <c r="J6464" t="n">
        <v>0</v>
      </c>
      <c r="K6464" t="n">
        <v>0</v>
      </c>
      <c r="L6464" t="n">
        <v>0</v>
      </c>
      <c r="M6464" t="n">
        <v>0</v>
      </c>
      <c r="N6464" t="n">
        <v>0</v>
      </c>
      <c r="O6464" t="n">
        <v>0</v>
      </c>
      <c r="P6464" t="n">
        <v>0</v>
      </c>
      <c r="Q6464" t="n">
        <v>0</v>
      </c>
      <c r="R6464" s="2" t="inlineStr"/>
    </row>
    <row r="6465" ht="15" customHeight="1">
      <c r="A6465" t="inlineStr">
        <is>
          <t>A 50877-2025</t>
        </is>
      </c>
      <c r="B6465" s="1" t="n">
        <v>45946.61516203704</v>
      </c>
      <c r="C6465" s="1" t="n">
        <v>46075</v>
      </c>
      <c r="D6465" t="inlineStr">
        <is>
          <t>VÄSTERBOTTENS LÄN</t>
        </is>
      </c>
      <c r="E6465" t="inlineStr">
        <is>
          <t>BJURHOLM</t>
        </is>
      </c>
      <c r="G6465" t="n">
        <v>8.800000000000001</v>
      </c>
      <c r="H6465" t="n">
        <v>0</v>
      </c>
      <c r="I6465" t="n">
        <v>0</v>
      </c>
      <c r="J6465" t="n">
        <v>0</v>
      </c>
      <c r="K6465" t="n">
        <v>0</v>
      </c>
      <c r="L6465" t="n">
        <v>0</v>
      </c>
      <c r="M6465" t="n">
        <v>0</v>
      </c>
      <c r="N6465" t="n">
        <v>0</v>
      </c>
      <c r="O6465" t="n">
        <v>0</v>
      </c>
      <c r="P6465" t="n">
        <v>0</v>
      </c>
      <c r="Q6465" t="n">
        <v>0</v>
      </c>
      <c r="R6465" s="2" t="inlineStr"/>
    </row>
    <row r="6466" ht="15" customHeight="1">
      <c r="A6466" t="inlineStr">
        <is>
          <t>A 50740-2025</t>
        </is>
      </c>
      <c r="B6466" s="1" t="n">
        <v>45946.37814814815</v>
      </c>
      <c r="C6466" s="1" t="n">
        <v>46075</v>
      </c>
      <c r="D6466" t="inlineStr">
        <is>
          <t>VÄSTERBOTTENS LÄN</t>
        </is>
      </c>
      <c r="E6466" t="inlineStr">
        <is>
          <t>STORUMAN</t>
        </is>
      </c>
      <c r="G6466" t="n">
        <v>11.8</v>
      </c>
      <c r="H6466" t="n">
        <v>0</v>
      </c>
      <c r="I6466" t="n">
        <v>0</v>
      </c>
      <c r="J6466" t="n">
        <v>0</v>
      </c>
      <c r="K6466" t="n">
        <v>0</v>
      </c>
      <c r="L6466" t="n">
        <v>0</v>
      </c>
      <c r="M6466" t="n">
        <v>0</v>
      </c>
      <c r="N6466" t="n">
        <v>0</v>
      </c>
      <c r="O6466" t="n">
        <v>0</v>
      </c>
      <c r="P6466" t="n">
        <v>0</v>
      </c>
      <c r="Q6466" t="n">
        <v>0</v>
      </c>
      <c r="R6466" s="2" t="inlineStr"/>
    </row>
    <row r="6467" ht="15" customHeight="1">
      <c r="A6467" t="inlineStr">
        <is>
          <t>A 51376-2025</t>
        </is>
      </c>
      <c r="B6467" s="1" t="n">
        <v>45947</v>
      </c>
      <c r="C6467" s="1" t="n">
        <v>46075</v>
      </c>
      <c r="D6467" t="inlineStr">
        <is>
          <t>VÄSTERBOTTENS LÄN</t>
        </is>
      </c>
      <c r="E6467" t="inlineStr">
        <is>
          <t>NORSJÖ</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10918-2023</t>
        </is>
      </c>
      <c r="B6468" s="1" t="n">
        <v>44991</v>
      </c>
      <c r="C6468" s="1" t="n">
        <v>46075</v>
      </c>
      <c r="D6468" t="inlineStr">
        <is>
          <t>VÄSTERBOTTENS LÄN</t>
        </is>
      </c>
      <c r="E6468" t="inlineStr">
        <is>
          <t>BJURHOLM</t>
        </is>
      </c>
      <c r="G6468" t="n">
        <v>5.8</v>
      </c>
      <c r="H6468" t="n">
        <v>0</v>
      </c>
      <c r="I6468" t="n">
        <v>0</v>
      </c>
      <c r="J6468" t="n">
        <v>0</v>
      </c>
      <c r="K6468" t="n">
        <v>0</v>
      </c>
      <c r="L6468" t="n">
        <v>0</v>
      </c>
      <c r="M6468" t="n">
        <v>0</v>
      </c>
      <c r="N6468" t="n">
        <v>0</v>
      </c>
      <c r="O6468" t="n">
        <v>0</v>
      </c>
      <c r="P6468" t="n">
        <v>0</v>
      </c>
      <c r="Q6468" t="n">
        <v>0</v>
      </c>
      <c r="R6468" s="2" t="inlineStr"/>
    </row>
    <row r="6469" ht="15" customHeight="1">
      <c r="A6469" t="inlineStr">
        <is>
          <t>A 50725-2025</t>
        </is>
      </c>
      <c r="B6469" s="1" t="n">
        <v>45946.3471875</v>
      </c>
      <c r="C6469" s="1" t="n">
        <v>46075</v>
      </c>
      <c r="D6469" t="inlineStr">
        <is>
          <t>VÄSTERBOTTENS LÄN</t>
        </is>
      </c>
      <c r="E6469" t="inlineStr">
        <is>
          <t>NORDMALING</t>
        </is>
      </c>
      <c r="G6469" t="n">
        <v>2.7</v>
      </c>
      <c r="H6469" t="n">
        <v>0</v>
      </c>
      <c r="I6469" t="n">
        <v>0</v>
      </c>
      <c r="J6469" t="n">
        <v>0</v>
      </c>
      <c r="K6469" t="n">
        <v>0</v>
      </c>
      <c r="L6469" t="n">
        <v>0</v>
      </c>
      <c r="M6469" t="n">
        <v>0</v>
      </c>
      <c r="N6469" t="n">
        <v>0</v>
      </c>
      <c r="O6469" t="n">
        <v>0</v>
      </c>
      <c r="P6469" t="n">
        <v>0</v>
      </c>
      <c r="Q6469" t="n">
        <v>0</v>
      </c>
      <c r="R6469" s="2" t="inlineStr"/>
    </row>
    <row r="6470" ht="15" customHeight="1">
      <c r="A6470" t="inlineStr">
        <is>
          <t>A 42180-2021</t>
        </is>
      </c>
      <c r="B6470" s="1" t="n">
        <v>44426.68600694444</v>
      </c>
      <c r="C6470" s="1" t="n">
        <v>46075</v>
      </c>
      <c r="D6470" t="inlineStr">
        <is>
          <t>VÄSTERBOTTENS LÄN</t>
        </is>
      </c>
      <c r="E6470" t="inlineStr">
        <is>
          <t>ÅSELE</t>
        </is>
      </c>
      <c r="F6470" t="inlineStr">
        <is>
          <t>Sveaskog</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51129-2025</t>
        </is>
      </c>
      <c r="B6471" s="1" t="n">
        <v>45947.55290509259</v>
      </c>
      <c r="C6471" s="1" t="n">
        <v>46075</v>
      </c>
      <c r="D6471" t="inlineStr">
        <is>
          <t>VÄSTERBOTTENS LÄN</t>
        </is>
      </c>
      <c r="E6471" t="inlineStr">
        <is>
          <t>NORSJÖ</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51150-2025</t>
        </is>
      </c>
      <c r="B6472" s="1" t="n">
        <v>45947.57334490741</v>
      </c>
      <c r="C6472" s="1" t="n">
        <v>46075</v>
      </c>
      <c r="D6472" t="inlineStr">
        <is>
          <t>VÄSTERBOTTENS LÄN</t>
        </is>
      </c>
      <c r="E6472" t="inlineStr">
        <is>
          <t>NORSJÖ</t>
        </is>
      </c>
      <c r="G6472" t="n">
        <v>5.9</v>
      </c>
      <c r="H6472" t="n">
        <v>0</v>
      </c>
      <c r="I6472" t="n">
        <v>0</v>
      </c>
      <c r="J6472" t="n">
        <v>0</v>
      </c>
      <c r="K6472" t="n">
        <v>0</v>
      </c>
      <c r="L6472" t="n">
        <v>0</v>
      </c>
      <c r="M6472" t="n">
        <v>0</v>
      </c>
      <c r="N6472" t="n">
        <v>0</v>
      </c>
      <c r="O6472" t="n">
        <v>0</v>
      </c>
      <c r="P6472" t="n">
        <v>0</v>
      </c>
      <c r="Q6472" t="n">
        <v>0</v>
      </c>
      <c r="R6472" s="2" t="inlineStr"/>
    </row>
    <row r="6473" ht="15" customHeight="1">
      <c r="A6473" t="inlineStr">
        <is>
          <t>A 51099-2025</t>
        </is>
      </c>
      <c r="B6473" s="1" t="n">
        <v>45947.48685185185</v>
      </c>
      <c r="C6473" s="1" t="n">
        <v>46075</v>
      </c>
      <c r="D6473" t="inlineStr">
        <is>
          <t>VÄSTERBOTTENS LÄN</t>
        </is>
      </c>
      <c r="E6473" t="inlineStr">
        <is>
          <t>ÅSELE</t>
        </is>
      </c>
      <c r="F6473" t="inlineStr">
        <is>
          <t>Holmen skog AB</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43133-2023</t>
        </is>
      </c>
      <c r="B6474" s="1" t="n">
        <v>45182</v>
      </c>
      <c r="C6474" s="1" t="n">
        <v>46075</v>
      </c>
      <c r="D6474" t="inlineStr">
        <is>
          <t>VÄSTERBOTTENS LÄN</t>
        </is>
      </c>
      <c r="E6474" t="inlineStr">
        <is>
          <t>ÅSELE</t>
        </is>
      </c>
      <c r="F6474" t="inlineStr">
        <is>
          <t>SCA</t>
        </is>
      </c>
      <c r="G6474" t="n">
        <v>14.1</v>
      </c>
      <c r="H6474" t="n">
        <v>0</v>
      </c>
      <c r="I6474" t="n">
        <v>0</v>
      </c>
      <c r="J6474" t="n">
        <v>0</v>
      </c>
      <c r="K6474" t="n">
        <v>0</v>
      </c>
      <c r="L6474" t="n">
        <v>0</v>
      </c>
      <c r="M6474" t="n">
        <v>0</v>
      </c>
      <c r="N6474" t="n">
        <v>0</v>
      </c>
      <c r="O6474" t="n">
        <v>0</v>
      </c>
      <c r="P6474" t="n">
        <v>0</v>
      </c>
      <c r="Q6474" t="n">
        <v>0</v>
      </c>
      <c r="R6474" s="2" t="inlineStr"/>
    </row>
    <row r="6475" ht="15" customHeight="1">
      <c r="A6475" t="inlineStr">
        <is>
          <t>A 32289-2024</t>
        </is>
      </c>
      <c r="B6475" s="1" t="n">
        <v>45512</v>
      </c>
      <c r="C6475" s="1" t="n">
        <v>46075</v>
      </c>
      <c r="D6475" t="inlineStr">
        <is>
          <t>VÄSTERBOTTENS LÄN</t>
        </is>
      </c>
      <c r="E6475" t="inlineStr">
        <is>
          <t>BJURHOLM</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51120-2025</t>
        </is>
      </c>
      <c r="B6476" s="1" t="n">
        <v>45947.53204861111</v>
      </c>
      <c r="C6476" s="1" t="n">
        <v>46075</v>
      </c>
      <c r="D6476" t="inlineStr">
        <is>
          <t>VÄSTERBOTTENS LÄN</t>
        </is>
      </c>
      <c r="E6476" t="inlineStr">
        <is>
          <t>NORSJÖ</t>
        </is>
      </c>
      <c r="G6476" t="n">
        <v>18.6</v>
      </c>
      <c r="H6476" t="n">
        <v>0</v>
      </c>
      <c r="I6476" t="n">
        <v>0</v>
      </c>
      <c r="J6476" t="n">
        <v>0</v>
      </c>
      <c r="K6476" t="n">
        <v>0</v>
      </c>
      <c r="L6476" t="n">
        <v>0</v>
      </c>
      <c r="M6476" t="n">
        <v>0</v>
      </c>
      <c r="N6476" t="n">
        <v>0</v>
      </c>
      <c r="O6476" t="n">
        <v>0</v>
      </c>
      <c r="P6476" t="n">
        <v>0</v>
      </c>
      <c r="Q6476" t="n">
        <v>0</v>
      </c>
      <c r="R6476" s="2" t="inlineStr"/>
    </row>
    <row r="6477" ht="15" customHeight="1">
      <c r="A6477" t="inlineStr">
        <is>
          <t>A 51164-2025</t>
        </is>
      </c>
      <c r="B6477" s="1" t="n">
        <v>45947.59458333333</v>
      </c>
      <c r="C6477" s="1" t="n">
        <v>46075</v>
      </c>
      <c r="D6477" t="inlineStr">
        <is>
          <t>VÄSTERBOTTENS LÄN</t>
        </is>
      </c>
      <c r="E6477" t="inlineStr">
        <is>
          <t>NORSJÖ</t>
        </is>
      </c>
      <c r="G6477" t="n">
        <v>3.5</v>
      </c>
      <c r="H6477" t="n">
        <v>0</v>
      </c>
      <c r="I6477" t="n">
        <v>0</v>
      </c>
      <c r="J6477" t="n">
        <v>0</v>
      </c>
      <c r="K6477" t="n">
        <v>0</v>
      </c>
      <c r="L6477" t="n">
        <v>0</v>
      </c>
      <c r="M6477" t="n">
        <v>0</v>
      </c>
      <c r="N6477" t="n">
        <v>0</v>
      </c>
      <c r="O6477" t="n">
        <v>0</v>
      </c>
      <c r="P6477" t="n">
        <v>0</v>
      </c>
      <c r="Q6477" t="n">
        <v>0</v>
      </c>
      <c r="R6477" s="2" t="inlineStr"/>
    </row>
    <row r="6478" ht="15" customHeight="1">
      <c r="A6478" t="inlineStr">
        <is>
          <t>A 22218-2023</t>
        </is>
      </c>
      <c r="B6478" s="1" t="n">
        <v>45069</v>
      </c>
      <c r="C6478" s="1" t="n">
        <v>46075</v>
      </c>
      <c r="D6478" t="inlineStr">
        <is>
          <t>VÄSTERBOTTENS LÄN</t>
        </is>
      </c>
      <c r="E6478" t="inlineStr">
        <is>
          <t>NORSJÖ</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51165-2025</t>
        </is>
      </c>
      <c r="B6479" s="1" t="n">
        <v>45947.5946875</v>
      </c>
      <c r="C6479" s="1" t="n">
        <v>46075</v>
      </c>
      <c r="D6479" t="inlineStr">
        <is>
          <t>VÄSTERBOTTENS LÄN</t>
        </is>
      </c>
      <c r="E6479" t="inlineStr">
        <is>
          <t>MALÅ</t>
        </is>
      </c>
      <c r="G6479" t="n">
        <v>8.199999999999999</v>
      </c>
      <c r="H6479" t="n">
        <v>0</v>
      </c>
      <c r="I6479" t="n">
        <v>0</v>
      </c>
      <c r="J6479" t="n">
        <v>0</v>
      </c>
      <c r="K6479" t="n">
        <v>0</v>
      </c>
      <c r="L6479" t="n">
        <v>0</v>
      </c>
      <c r="M6479" t="n">
        <v>0</v>
      </c>
      <c r="N6479" t="n">
        <v>0</v>
      </c>
      <c r="O6479" t="n">
        <v>0</v>
      </c>
      <c r="P6479" t="n">
        <v>0</v>
      </c>
      <c r="Q6479" t="n">
        <v>0</v>
      </c>
      <c r="R6479" s="2" t="inlineStr"/>
    </row>
    <row r="6480" ht="15" customHeight="1">
      <c r="A6480" t="inlineStr">
        <is>
          <t>A 34176-2023</t>
        </is>
      </c>
      <c r="B6480" s="1" t="n">
        <v>45126</v>
      </c>
      <c r="C6480" s="1" t="n">
        <v>46075</v>
      </c>
      <c r="D6480" t="inlineStr">
        <is>
          <t>VÄSTERBOTTENS LÄN</t>
        </is>
      </c>
      <c r="E6480" t="inlineStr">
        <is>
          <t>NORDMALING</t>
        </is>
      </c>
      <c r="G6480" t="n">
        <v>0.4</v>
      </c>
      <c r="H6480" t="n">
        <v>0</v>
      </c>
      <c r="I6480" t="n">
        <v>0</v>
      </c>
      <c r="J6480" t="n">
        <v>0</v>
      </c>
      <c r="K6480" t="n">
        <v>0</v>
      </c>
      <c r="L6480" t="n">
        <v>0</v>
      </c>
      <c r="M6480" t="n">
        <v>0</v>
      </c>
      <c r="N6480" t="n">
        <v>0</v>
      </c>
      <c r="O6480" t="n">
        <v>0</v>
      </c>
      <c r="P6480" t="n">
        <v>0</v>
      </c>
      <c r="Q6480" t="n">
        <v>0</v>
      </c>
      <c r="R6480" s="2" t="inlineStr"/>
    </row>
    <row r="6481" ht="15" customHeight="1">
      <c r="A6481" t="inlineStr">
        <is>
          <t>A 45111-2024</t>
        </is>
      </c>
      <c r="B6481" s="1" t="n">
        <v>45575</v>
      </c>
      <c r="C6481" s="1" t="n">
        <v>46075</v>
      </c>
      <c r="D6481" t="inlineStr">
        <is>
          <t>VÄSTERBOTTENS LÄN</t>
        </is>
      </c>
      <c r="E6481" t="inlineStr">
        <is>
          <t>SKELLEFTEÅ</t>
        </is>
      </c>
      <c r="G6481" t="n">
        <v>4.4</v>
      </c>
      <c r="H6481" t="n">
        <v>0</v>
      </c>
      <c r="I6481" t="n">
        <v>0</v>
      </c>
      <c r="J6481" t="n">
        <v>0</v>
      </c>
      <c r="K6481" t="n">
        <v>0</v>
      </c>
      <c r="L6481" t="n">
        <v>0</v>
      </c>
      <c r="M6481" t="n">
        <v>0</v>
      </c>
      <c r="N6481" t="n">
        <v>0</v>
      </c>
      <c r="O6481" t="n">
        <v>0</v>
      </c>
      <c r="P6481" t="n">
        <v>0</v>
      </c>
      <c r="Q6481" t="n">
        <v>0</v>
      </c>
      <c r="R6481" s="2" t="inlineStr"/>
    </row>
    <row r="6482" ht="15" customHeight="1">
      <c r="A6482" t="inlineStr">
        <is>
          <t>A 15479-2023</t>
        </is>
      </c>
      <c r="B6482" s="1" t="n">
        <v>45020.45726851852</v>
      </c>
      <c r="C6482" s="1" t="n">
        <v>46075</v>
      </c>
      <c r="D6482" t="inlineStr">
        <is>
          <t>VÄSTERBOTTENS LÄN</t>
        </is>
      </c>
      <c r="E6482" t="inlineStr">
        <is>
          <t>SKELLEFTEÅ</t>
        </is>
      </c>
      <c r="F6482" t="inlineStr">
        <is>
          <t>Sveaskog</t>
        </is>
      </c>
      <c r="G6482" t="n">
        <v>11.4</v>
      </c>
      <c r="H6482" t="n">
        <v>0</v>
      </c>
      <c r="I6482" t="n">
        <v>0</v>
      </c>
      <c r="J6482" t="n">
        <v>0</v>
      </c>
      <c r="K6482" t="n">
        <v>0</v>
      </c>
      <c r="L6482" t="n">
        <v>0</v>
      </c>
      <c r="M6482" t="n">
        <v>0</v>
      </c>
      <c r="N6482" t="n">
        <v>0</v>
      </c>
      <c r="O6482" t="n">
        <v>0</v>
      </c>
      <c r="P6482" t="n">
        <v>0</v>
      </c>
      <c r="Q6482" t="n">
        <v>0</v>
      </c>
      <c r="R6482" s="2" t="inlineStr"/>
    </row>
    <row r="6483" ht="15" customHeight="1">
      <c r="A6483" t="inlineStr">
        <is>
          <t>A 50920-2025</t>
        </is>
      </c>
      <c r="B6483" s="1" t="n">
        <v>45946.67005787037</v>
      </c>
      <c r="C6483" s="1" t="n">
        <v>46075</v>
      </c>
      <c r="D6483" t="inlineStr">
        <is>
          <t>VÄSTERBOTTENS LÄN</t>
        </is>
      </c>
      <c r="E6483" t="inlineStr">
        <is>
          <t>MALÅ</t>
        </is>
      </c>
      <c r="F6483" t="inlineStr">
        <is>
          <t>Sveaskog</t>
        </is>
      </c>
      <c r="G6483" t="n">
        <v>2.7</v>
      </c>
      <c r="H6483" t="n">
        <v>0</v>
      </c>
      <c r="I6483" t="n">
        <v>0</v>
      </c>
      <c r="J6483" t="n">
        <v>0</v>
      </c>
      <c r="K6483" t="n">
        <v>0</v>
      </c>
      <c r="L6483" t="n">
        <v>0</v>
      </c>
      <c r="M6483" t="n">
        <v>0</v>
      </c>
      <c r="N6483" t="n">
        <v>0</v>
      </c>
      <c r="O6483" t="n">
        <v>0</v>
      </c>
      <c r="P6483" t="n">
        <v>0</v>
      </c>
      <c r="Q6483" t="n">
        <v>0</v>
      </c>
      <c r="R6483" s="2" t="inlineStr"/>
    </row>
    <row r="6484" ht="15" customHeight="1">
      <c r="A6484" t="inlineStr">
        <is>
          <t>A 50922-2025</t>
        </is>
      </c>
      <c r="B6484" s="1" t="n">
        <v>45946.67149305555</v>
      </c>
      <c r="C6484" s="1" t="n">
        <v>46075</v>
      </c>
      <c r="D6484" t="inlineStr">
        <is>
          <t>VÄSTERBOTTENS LÄN</t>
        </is>
      </c>
      <c r="E6484" t="inlineStr">
        <is>
          <t>VILHELMINA</t>
        </is>
      </c>
      <c r="G6484" t="n">
        <v>9.300000000000001</v>
      </c>
      <c r="H6484" t="n">
        <v>0</v>
      </c>
      <c r="I6484" t="n">
        <v>0</v>
      </c>
      <c r="J6484" t="n">
        <v>0</v>
      </c>
      <c r="K6484" t="n">
        <v>0</v>
      </c>
      <c r="L6484" t="n">
        <v>0</v>
      </c>
      <c r="M6484" t="n">
        <v>0</v>
      </c>
      <c r="N6484" t="n">
        <v>0</v>
      </c>
      <c r="O6484" t="n">
        <v>0</v>
      </c>
      <c r="P6484" t="n">
        <v>0</v>
      </c>
      <c r="Q6484" t="n">
        <v>0</v>
      </c>
      <c r="R6484" s="2" t="inlineStr"/>
    </row>
    <row r="6485" ht="15" customHeight="1">
      <c r="A6485" t="inlineStr">
        <is>
          <t>A 1233-2025</t>
        </is>
      </c>
      <c r="B6485" s="1" t="n">
        <v>45667.44528935185</v>
      </c>
      <c r="C6485" s="1" t="n">
        <v>46075</v>
      </c>
      <c r="D6485" t="inlineStr">
        <is>
          <t>VÄSTERBOTTENS LÄN</t>
        </is>
      </c>
      <c r="E6485" t="inlineStr">
        <is>
          <t>SKELLEFTEÅ</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50939-2025</t>
        </is>
      </c>
      <c r="B6486" s="1" t="n">
        <v>45946.71021990741</v>
      </c>
      <c r="C6486" s="1" t="n">
        <v>46075</v>
      </c>
      <c r="D6486" t="inlineStr">
        <is>
          <t>VÄSTERBOTTENS LÄN</t>
        </is>
      </c>
      <c r="E6486" t="inlineStr">
        <is>
          <t>UMEÅ</t>
        </is>
      </c>
      <c r="F6486" t="inlineStr">
        <is>
          <t>Holmen skog AB</t>
        </is>
      </c>
      <c r="G6486" t="n">
        <v>3.1</v>
      </c>
      <c r="H6486" t="n">
        <v>0</v>
      </c>
      <c r="I6486" t="n">
        <v>0</v>
      </c>
      <c r="J6486" t="n">
        <v>0</v>
      </c>
      <c r="K6486" t="n">
        <v>0</v>
      </c>
      <c r="L6486" t="n">
        <v>0</v>
      </c>
      <c r="M6486" t="n">
        <v>0</v>
      </c>
      <c r="N6486" t="n">
        <v>0</v>
      </c>
      <c r="O6486" t="n">
        <v>0</v>
      </c>
      <c r="P6486" t="n">
        <v>0</v>
      </c>
      <c r="Q6486" t="n">
        <v>0</v>
      </c>
      <c r="R6486" s="2" t="inlineStr"/>
    </row>
    <row r="6487" ht="15" customHeight="1">
      <c r="A6487" t="inlineStr">
        <is>
          <t>A 37105-2024</t>
        </is>
      </c>
      <c r="B6487" s="1" t="n">
        <v>45539</v>
      </c>
      <c r="C6487" s="1" t="n">
        <v>46075</v>
      </c>
      <c r="D6487" t="inlineStr">
        <is>
          <t>VÄSTERBOTTENS LÄN</t>
        </is>
      </c>
      <c r="E6487" t="inlineStr">
        <is>
          <t>DOROTEA</t>
        </is>
      </c>
      <c r="F6487" t="inlineStr">
        <is>
          <t>SCA</t>
        </is>
      </c>
      <c r="G6487" t="n">
        <v>12.3</v>
      </c>
      <c r="H6487" t="n">
        <v>0</v>
      </c>
      <c r="I6487" t="n">
        <v>0</v>
      </c>
      <c r="J6487" t="n">
        <v>0</v>
      </c>
      <c r="K6487" t="n">
        <v>0</v>
      </c>
      <c r="L6487" t="n">
        <v>0</v>
      </c>
      <c r="M6487" t="n">
        <v>0</v>
      </c>
      <c r="N6487" t="n">
        <v>0</v>
      </c>
      <c r="O6487" t="n">
        <v>0</v>
      </c>
      <c r="P6487" t="n">
        <v>0</v>
      </c>
      <c r="Q6487" t="n">
        <v>0</v>
      </c>
      <c r="R6487" s="2" t="inlineStr"/>
    </row>
    <row r="6488" ht="15" customHeight="1">
      <c r="A6488" t="inlineStr">
        <is>
          <t>A 50729-2025</t>
        </is>
      </c>
      <c r="B6488" s="1" t="n">
        <v>45946.36190972223</v>
      </c>
      <c r="C6488" s="1" t="n">
        <v>46075</v>
      </c>
      <c r="D6488" t="inlineStr">
        <is>
          <t>VÄSTERBOTTENS LÄN</t>
        </is>
      </c>
      <c r="E6488" t="inlineStr">
        <is>
          <t>STORUMAN</t>
        </is>
      </c>
      <c r="G6488" t="n">
        <v>35.2</v>
      </c>
      <c r="H6488" t="n">
        <v>0</v>
      </c>
      <c r="I6488" t="n">
        <v>0</v>
      </c>
      <c r="J6488" t="n">
        <v>0</v>
      </c>
      <c r="K6488" t="n">
        <v>0</v>
      </c>
      <c r="L6488" t="n">
        <v>0</v>
      </c>
      <c r="M6488" t="n">
        <v>0</v>
      </c>
      <c r="N6488" t="n">
        <v>0</v>
      </c>
      <c r="O6488" t="n">
        <v>0</v>
      </c>
      <c r="P6488" t="n">
        <v>0</v>
      </c>
      <c r="Q6488" t="n">
        <v>0</v>
      </c>
      <c r="R6488" s="2" t="inlineStr"/>
    </row>
    <row r="6489" ht="15" customHeight="1">
      <c r="A6489" t="inlineStr">
        <is>
          <t>A 14096-2022</t>
        </is>
      </c>
      <c r="B6489" s="1" t="n">
        <v>44651</v>
      </c>
      <c r="C6489" s="1" t="n">
        <v>46075</v>
      </c>
      <c r="D6489" t="inlineStr">
        <is>
          <t>VÄSTERBOTTENS LÄN</t>
        </is>
      </c>
      <c r="E6489" t="inlineStr">
        <is>
          <t>SKELLEFTEÅ</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23709-2023</t>
        </is>
      </c>
      <c r="B6490" s="1" t="n">
        <v>45075</v>
      </c>
      <c r="C6490" s="1" t="n">
        <v>46075</v>
      </c>
      <c r="D6490" t="inlineStr">
        <is>
          <t>VÄSTERBOTTENS LÄN</t>
        </is>
      </c>
      <c r="E6490" t="inlineStr">
        <is>
          <t>SKELLEFTEÅ</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23760-2023</t>
        </is>
      </c>
      <c r="B6491" s="1" t="n">
        <v>45077</v>
      </c>
      <c r="C6491" s="1" t="n">
        <v>46075</v>
      </c>
      <c r="D6491" t="inlineStr">
        <is>
          <t>VÄSTERBOTTENS LÄN</t>
        </is>
      </c>
      <c r="E6491" t="inlineStr">
        <is>
          <t>SKELLEFTEÅ</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23761-2023</t>
        </is>
      </c>
      <c r="B6492" s="1" t="n">
        <v>45077</v>
      </c>
      <c r="C6492" s="1" t="n">
        <v>46075</v>
      </c>
      <c r="D6492" t="inlineStr">
        <is>
          <t>VÄSTERBOTTENS LÄN</t>
        </is>
      </c>
      <c r="E6492" t="inlineStr">
        <is>
          <t>SKELLEFTEÅ</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50790-2025</t>
        </is>
      </c>
      <c r="B6493" s="1" t="n">
        <v>45946.47287037037</v>
      </c>
      <c r="C6493" s="1" t="n">
        <v>46075</v>
      </c>
      <c r="D6493" t="inlineStr">
        <is>
          <t>VÄSTERBOTTENS LÄN</t>
        </is>
      </c>
      <c r="E6493" t="inlineStr">
        <is>
          <t>UMEÅ</t>
        </is>
      </c>
      <c r="G6493" t="n">
        <v>3</v>
      </c>
      <c r="H6493" t="n">
        <v>0</v>
      </c>
      <c r="I6493" t="n">
        <v>0</v>
      </c>
      <c r="J6493" t="n">
        <v>0</v>
      </c>
      <c r="K6493" t="n">
        <v>0</v>
      </c>
      <c r="L6493" t="n">
        <v>0</v>
      </c>
      <c r="M6493" t="n">
        <v>0</v>
      </c>
      <c r="N6493" t="n">
        <v>0</v>
      </c>
      <c r="O6493" t="n">
        <v>0</v>
      </c>
      <c r="P6493" t="n">
        <v>0</v>
      </c>
      <c r="Q6493" t="n">
        <v>0</v>
      </c>
      <c r="R6493" s="2" t="inlineStr"/>
    </row>
    <row r="6494" ht="15" customHeight="1">
      <c r="A6494" t="inlineStr">
        <is>
          <t>A 50801-2025</t>
        </is>
      </c>
      <c r="B6494" s="1" t="n">
        <v>45946.490625</v>
      </c>
      <c r="C6494" s="1" t="n">
        <v>46075</v>
      </c>
      <c r="D6494" t="inlineStr">
        <is>
          <t>VÄSTERBOTTENS LÄN</t>
        </is>
      </c>
      <c r="E6494" t="inlineStr">
        <is>
          <t>BJURHOLM</t>
        </is>
      </c>
      <c r="G6494" t="n">
        <v>3.9</v>
      </c>
      <c r="H6494" t="n">
        <v>0</v>
      </c>
      <c r="I6494" t="n">
        <v>0</v>
      </c>
      <c r="J6494" t="n">
        <v>0</v>
      </c>
      <c r="K6494" t="n">
        <v>0</v>
      </c>
      <c r="L6494" t="n">
        <v>0</v>
      </c>
      <c r="M6494" t="n">
        <v>0</v>
      </c>
      <c r="N6494" t="n">
        <v>0</v>
      </c>
      <c r="O6494" t="n">
        <v>0</v>
      </c>
      <c r="P6494" t="n">
        <v>0</v>
      </c>
      <c r="Q6494" t="n">
        <v>0</v>
      </c>
      <c r="R6494" s="2" t="inlineStr"/>
    </row>
    <row r="6495" ht="15" customHeight="1">
      <c r="A6495" t="inlineStr">
        <is>
          <t>A 50705-2025</t>
        </is>
      </c>
      <c r="B6495" s="1" t="n">
        <v>45946.28255787037</v>
      </c>
      <c r="C6495" s="1" t="n">
        <v>46075</v>
      </c>
      <c r="D6495" t="inlineStr">
        <is>
          <t>VÄSTERBOTTENS LÄN</t>
        </is>
      </c>
      <c r="E6495" t="inlineStr">
        <is>
          <t>VINDELN</t>
        </is>
      </c>
      <c r="G6495" t="n">
        <v>0.2</v>
      </c>
      <c r="H6495" t="n">
        <v>0</v>
      </c>
      <c r="I6495" t="n">
        <v>0</v>
      </c>
      <c r="J6495" t="n">
        <v>0</v>
      </c>
      <c r="K6495" t="n">
        <v>0</v>
      </c>
      <c r="L6495" t="n">
        <v>0</v>
      </c>
      <c r="M6495" t="n">
        <v>0</v>
      </c>
      <c r="N6495" t="n">
        <v>0</v>
      </c>
      <c r="O6495" t="n">
        <v>0</v>
      </c>
      <c r="P6495" t="n">
        <v>0</v>
      </c>
      <c r="Q6495" t="n">
        <v>0</v>
      </c>
      <c r="R6495" s="2" t="inlineStr"/>
    </row>
    <row r="6496" ht="15" customHeight="1">
      <c r="A6496" t="inlineStr">
        <is>
          <t>A 50726-2025</t>
        </is>
      </c>
      <c r="B6496" s="1" t="n">
        <v>45946.3472337963</v>
      </c>
      <c r="C6496" s="1" t="n">
        <v>46075</v>
      </c>
      <c r="D6496" t="inlineStr">
        <is>
          <t>VÄSTERBOTTENS LÄN</t>
        </is>
      </c>
      <c r="E6496" t="inlineStr">
        <is>
          <t>NORDMALING</t>
        </is>
      </c>
      <c r="G6496" t="n">
        <v>5.1</v>
      </c>
      <c r="H6496" t="n">
        <v>0</v>
      </c>
      <c r="I6496" t="n">
        <v>0</v>
      </c>
      <c r="J6496" t="n">
        <v>0</v>
      </c>
      <c r="K6496" t="n">
        <v>0</v>
      </c>
      <c r="L6496" t="n">
        <v>0</v>
      </c>
      <c r="M6496" t="n">
        <v>0</v>
      </c>
      <c r="N6496" t="n">
        <v>0</v>
      </c>
      <c r="O6496" t="n">
        <v>0</v>
      </c>
      <c r="P6496" t="n">
        <v>0</v>
      </c>
      <c r="Q6496" t="n">
        <v>0</v>
      </c>
      <c r="R6496" s="2" t="inlineStr"/>
    </row>
    <row r="6497" ht="15" customHeight="1">
      <c r="A6497" t="inlineStr">
        <is>
          <t>A 50734-2025</t>
        </is>
      </c>
      <c r="B6497" s="1" t="n">
        <v>45946.36549768518</v>
      </c>
      <c r="C6497" s="1" t="n">
        <v>46075</v>
      </c>
      <c r="D6497" t="inlineStr">
        <is>
          <t>VÄSTERBOTTENS LÄN</t>
        </is>
      </c>
      <c r="E6497" t="inlineStr">
        <is>
          <t>NORDMALING</t>
        </is>
      </c>
      <c r="G6497" t="n">
        <v>2</v>
      </c>
      <c r="H6497" t="n">
        <v>0</v>
      </c>
      <c r="I6497" t="n">
        <v>0</v>
      </c>
      <c r="J6497" t="n">
        <v>0</v>
      </c>
      <c r="K6497" t="n">
        <v>0</v>
      </c>
      <c r="L6497" t="n">
        <v>0</v>
      </c>
      <c r="M6497" t="n">
        <v>0</v>
      </c>
      <c r="N6497" t="n">
        <v>0</v>
      </c>
      <c r="O6497" t="n">
        <v>0</v>
      </c>
      <c r="P6497" t="n">
        <v>0</v>
      </c>
      <c r="Q6497" t="n">
        <v>0</v>
      </c>
      <c r="R6497" s="2" t="inlineStr"/>
    </row>
    <row r="6498" ht="15" customHeight="1">
      <c r="A6498" t="inlineStr">
        <is>
          <t>A 51194-2025</t>
        </is>
      </c>
      <c r="B6498" s="1" t="n">
        <v>45947.62954861111</v>
      </c>
      <c r="C6498" s="1" t="n">
        <v>46075</v>
      </c>
      <c r="D6498" t="inlineStr">
        <is>
          <t>VÄSTERBOTTENS LÄN</t>
        </is>
      </c>
      <c r="E6498" t="inlineStr">
        <is>
          <t>SKELLEFTEÅ</t>
        </is>
      </c>
      <c r="F6498" t="inlineStr">
        <is>
          <t>Sveaskog</t>
        </is>
      </c>
      <c r="G6498" t="n">
        <v>10.3</v>
      </c>
      <c r="H6498" t="n">
        <v>0</v>
      </c>
      <c r="I6498" t="n">
        <v>0</v>
      </c>
      <c r="J6498" t="n">
        <v>0</v>
      </c>
      <c r="K6498" t="n">
        <v>0</v>
      </c>
      <c r="L6498" t="n">
        <v>0</v>
      </c>
      <c r="M6498" t="n">
        <v>0</v>
      </c>
      <c r="N6498" t="n">
        <v>0</v>
      </c>
      <c r="O6498" t="n">
        <v>0</v>
      </c>
      <c r="P6498" t="n">
        <v>0</v>
      </c>
      <c r="Q6498" t="n">
        <v>0</v>
      </c>
      <c r="R6498" s="2" t="inlineStr"/>
    </row>
    <row r="6499" ht="15" customHeight="1">
      <c r="A6499" t="inlineStr">
        <is>
          <t>A 57131-2024</t>
        </is>
      </c>
      <c r="B6499" s="1" t="n">
        <v>45629.38340277778</v>
      </c>
      <c r="C6499" s="1" t="n">
        <v>46075</v>
      </c>
      <c r="D6499" t="inlineStr">
        <is>
          <t>VÄSTERBOTTENS LÄN</t>
        </is>
      </c>
      <c r="E6499" t="inlineStr">
        <is>
          <t>SKELLEFTEÅ</t>
        </is>
      </c>
      <c r="F6499" t="inlineStr">
        <is>
          <t>Holmen skog AB</t>
        </is>
      </c>
      <c r="G6499" t="n">
        <v>5.9</v>
      </c>
      <c r="H6499" t="n">
        <v>0</v>
      </c>
      <c r="I6499" t="n">
        <v>0</v>
      </c>
      <c r="J6499" t="n">
        <v>0</v>
      </c>
      <c r="K6499" t="n">
        <v>0</v>
      </c>
      <c r="L6499" t="n">
        <v>0</v>
      </c>
      <c r="M6499" t="n">
        <v>0</v>
      </c>
      <c r="N6499" t="n">
        <v>0</v>
      </c>
      <c r="O6499" t="n">
        <v>0</v>
      </c>
      <c r="P6499" t="n">
        <v>0</v>
      </c>
      <c r="Q6499" t="n">
        <v>0</v>
      </c>
      <c r="R6499" s="2" t="inlineStr"/>
    </row>
    <row r="6500" ht="15" customHeight="1">
      <c r="A6500" t="inlineStr">
        <is>
          <t>A 49629-2021</t>
        </is>
      </c>
      <c r="B6500" s="1" t="n">
        <v>44455.43973379629</v>
      </c>
      <c r="C6500" s="1" t="n">
        <v>46075</v>
      </c>
      <c r="D6500" t="inlineStr">
        <is>
          <t>VÄSTERBOTTENS LÄN</t>
        </is>
      </c>
      <c r="E6500" t="inlineStr">
        <is>
          <t>VINDELN</t>
        </is>
      </c>
      <c r="F6500" t="inlineStr">
        <is>
          <t>Sveaskog</t>
        </is>
      </c>
      <c r="G6500" t="n">
        <v>8.1</v>
      </c>
      <c r="H6500" t="n">
        <v>0</v>
      </c>
      <c r="I6500" t="n">
        <v>0</v>
      </c>
      <c r="J6500" t="n">
        <v>0</v>
      </c>
      <c r="K6500" t="n">
        <v>0</v>
      </c>
      <c r="L6500" t="n">
        <v>0</v>
      </c>
      <c r="M6500" t="n">
        <v>0</v>
      </c>
      <c r="N6500" t="n">
        <v>0</v>
      </c>
      <c r="O6500" t="n">
        <v>0</v>
      </c>
      <c r="P6500" t="n">
        <v>0</v>
      </c>
      <c r="Q6500" t="n">
        <v>0</v>
      </c>
      <c r="R6500" s="2" t="inlineStr"/>
    </row>
    <row r="6501" ht="15" customHeight="1">
      <c r="A6501" t="inlineStr">
        <is>
          <t>A 40088-2023</t>
        </is>
      </c>
      <c r="B6501" s="1" t="n">
        <v>45168</v>
      </c>
      <c r="C6501" s="1" t="n">
        <v>46075</v>
      </c>
      <c r="D6501" t="inlineStr">
        <is>
          <t>VÄSTERBOTTENS LÄN</t>
        </is>
      </c>
      <c r="E6501" t="inlineStr">
        <is>
          <t>NORSJÖ</t>
        </is>
      </c>
      <c r="F6501" t="inlineStr">
        <is>
          <t>Sveaskog</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51216-2025</t>
        </is>
      </c>
      <c r="B6502" s="1" t="n">
        <v>45947.6441550926</v>
      </c>
      <c r="C6502" s="1" t="n">
        <v>46075</v>
      </c>
      <c r="D6502" t="inlineStr">
        <is>
          <t>VÄSTERBOTTENS LÄN</t>
        </is>
      </c>
      <c r="E6502" t="inlineStr">
        <is>
          <t>SKELLEFTEÅ</t>
        </is>
      </c>
      <c r="F6502" t="inlineStr">
        <is>
          <t>Sveaskog</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50695-2025</t>
        </is>
      </c>
      <c r="B6503" s="1" t="n">
        <v>45945.8869212963</v>
      </c>
      <c r="C6503" s="1" t="n">
        <v>46075</v>
      </c>
      <c r="D6503" t="inlineStr">
        <is>
          <t>VÄSTERBOTTENS LÄN</t>
        </is>
      </c>
      <c r="E6503" t="inlineStr">
        <is>
          <t>VINDELN</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51207-2025</t>
        </is>
      </c>
      <c r="B6504" s="1" t="n">
        <v>45947.6377199074</v>
      </c>
      <c r="C6504" s="1" t="n">
        <v>46075</v>
      </c>
      <c r="D6504" t="inlineStr">
        <is>
          <t>VÄSTERBOTTENS LÄN</t>
        </is>
      </c>
      <c r="E6504" t="inlineStr">
        <is>
          <t>LYCKSELE</t>
        </is>
      </c>
      <c r="F6504" t="inlineStr">
        <is>
          <t>Holmen skog AB</t>
        </is>
      </c>
      <c r="G6504" t="n">
        <v>7.8</v>
      </c>
      <c r="H6504" t="n">
        <v>0</v>
      </c>
      <c r="I6504" t="n">
        <v>0</v>
      </c>
      <c r="J6504" t="n">
        <v>0</v>
      </c>
      <c r="K6504" t="n">
        <v>0</v>
      </c>
      <c r="L6504" t="n">
        <v>0</v>
      </c>
      <c r="M6504" t="n">
        <v>0</v>
      </c>
      <c r="N6504" t="n">
        <v>0</v>
      </c>
      <c r="O6504" t="n">
        <v>0</v>
      </c>
      <c r="P6504" t="n">
        <v>0</v>
      </c>
      <c r="Q6504" t="n">
        <v>0</v>
      </c>
      <c r="R6504" s="2" t="inlineStr"/>
    </row>
    <row r="6505" ht="15" customHeight="1">
      <c r="A6505" t="inlineStr">
        <is>
          <t>A 61780-2023</t>
        </is>
      </c>
      <c r="B6505" s="1" t="n">
        <v>45265.95685185185</v>
      </c>
      <c r="C6505" s="1" t="n">
        <v>46075</v>
      </c>
      <c r="D6505" t="inlineStr">
        <is>
          <t>VÄSTERBOTTENS LÄN</t>
        </is>
      </c>
      <c r="E6505" t="inlineStr">
        <is>
          <t>VILHELMINA</t>
        </is>
      </c>
      <c r="F6505" t="inlineStr">
        <is>
          <t>SCA</t>
        </is>
      </c>
      <c r="G6505" t="n">
        <v>4.9</v>
      </c>
      <c r="H6505" t="n">
        <v>0</v>
      </c>
      <c r="I6505" t="n">
        <v>0</v>
      </c>
      <c r="J6505" t="n">
        <v>0</v>
      </c>
      <c r="K6505" t="n">
        <v>0</v>
      </c>
      <c r="L6505" t="n">
        <v>0</v>
      </c>
      <c r="M6505" t="n">
        <v>0</v>
      </c>
      <c r="N6505" t="n">
        <v>0</v>
      </c>
      <c r="O6505" t="n">
        <v>0</v>
      </c>
      <c r="P6505" t="n">
        <v>0</v>
      </c>
      <c r="Q6505" t="n">
        <v>0</v>
      </c>
      <c r="R6505" s="2" t="inlineStr"/>
    </row>
    <row r="6506" ht="15" customHeight="1">
      <c r="A6506" t="inlineStr">
        <is>
          <t>A 61795-2023</t>
        </is>
      </c>
      <c r="B6506" s="1" t="n">
        <v>45265</v>
      </c>
      <c r="C6506" s="1" t="n">
        <v>46075</v>
      </c>
      <c r="D6506" t="inlineStr">
        <is>
          <t>VÄSTERBOTTENS LÄN</t>
        </is>
      </c>
      <c r="E6506" t="inlineStr">
        <is>
          <t>NORDMALING</t>
        </is>
      </c>
      <c r="F6506" t="inlineStr">
        <is>
          <t>SCA</t>
        </is>
      </c>
      <c r="G6506" t="n">
        <v>2.9</v>
      </c>
      <c r="H6506" t="n">
        <v>0</v>
      </c>
      <c r="I6506" t="n">
        <v>0</v>
      </c>
      <c r="J6506" t="n">
        <v>0</v>
      </c>
      <c r="K6506" t="n">
        <v>0</v>
      </c>
      <c r="L6506" t="n">
        <v>0</v>
      </c>
      <c r="M6506" t="n">
        <v>0</v>
      </c>
      <c r="N6506" t="n">
        <v>0</v>
      </c>
      <c r="O6506" t="n">
        <v>0</v>
      </c>
      <c r="P6506" t="n">
        <v>0</v>
      </c>
      <c r="Q6506" t="n">
        <v>0</v>
      </c>
      <c r="R6506" s="2" t="inlineStr"/>
    </row>
    <row r="6507" ht="15" customHeight="1">
      <c r="A6507" t="inlineStr">
        <is>
          <t>A 51021-2025</t>
        </is>
      </c>
      <c r="B6507" s="1" t="n">
        <v>45947.38876157408</v>
      </c>
      <c r="C6507" s="1" t="n">
        <v>46075</v>
      </c>
      <c r="D6507" t="inlineStr">
        <is>
          <t>VÄSTERBOTTENS LÄN</t>
        </is>
      </c>
      <c r="E6507" t="inlineStr">
        <is>
          <t>SKELLEFTEÅ</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44820-2024</t>
        </is>
      </c>
      <c r="B6508" s="1" t="n">
        <v>45574</v>
      </c>
      <c r="C6508" s="1" t="n">
        <v>46075</v>
      </c>
      <c r="D6508" t="inlineStr">
        <is>
          <t>VÄSTERBOTTENS LÄN</t>
        </is>
      </c>
      <c r="E6508" t="inlineStr">
        <is>
          <t>DOROTEA</t>
        </is>
      </c>
      <c r="F6508" t="inlineStr">
        <is>
          <t>SCA</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50848-2025</t>
        </is>
      </c>
      <c r="B6509" s="1" t="n">
        <v>45946.57664351852</v>
      </c>
      <c r="C6509" s="1" t="n">
        <v>46075</v>
      </c>
      <c r="D6509" t="inlineStr">
        <is>
          <t>VÄSTERBOTTENS LÄN</t>
        </is>
      </c>
      <c r="E6509" t="inlineStr">
        <is>
          <t>SKELLEFTEÅ</t>
        </is>
      </c>
      <c r="F6509" t="inlineStr">
        <is>
          <t>Holmen skog AB</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43832-2023</t>
        </is>
      </c>
      <c r="B6510" s="1" t="n">
        <v>45182</v>
      </c>
      <c r="C6510" s="1" t="n">
        <v>46075</v>
      </c>
      <c r="D6510" t="inlineStr">
        <is>
          <t>VÄSTERBOTTENS LÄN</t>
        </is>
      </c>
      <c r="E6510" t="inlineStr">
        <is>
          <t>NORSJÖ</t>
        </is>
      </c>
      <c r="G6510" t="n">
        <v>14.4</v>
      </c>
      <c r="H6510" t="n">
        <v>0</v>
      </c>
      <c r="I6510" t="n">
        <v>0</v>
      </c>
      <c r="J6510" t="n">
        <v>0</v>
      </c>
      <c r="K6510" t="n">
        <v>0</v>
      </c>
      <c r="L6510" t="n">
        <v>0</v>
      </c>
      <c r="M6510" t="n">
        <v>0</v>
      </c>
      <c r="N6510" t="n">
        <v>0</v>
      </c>
      <c r="O6510" t="n">
        <v>0</v>
      </c>
      <c r="P6510" t="n">
        <v>0</v>
      </c>
      <c r="Q6510" t="n">
        <v>0</v>
      </c>
      <c r="R6510" s="2" t="inlineStr"/>
    </row>
    <row r="6511" ht="15" customHeight="1">
      <c r="A6511" t="inlineStr">
        <is>
          <t>A 50840-2025</t>
        </is>
      </c>
      <c r="B6511" s="1" t="n">
        <v>45946.57048611111</v>
      </c>
      <c r="C6511" s="1" t="n">
        <v>46075</v>
      </c>
      <c r="D6511" t="inlineStr">
        <is>
          <t>VÄSTERBOTTENS LÄN</t>
        </is>
      </c>
      <c r="E6511" t="inlineStr">
        <is>
          <t>VINDELN</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50875-2025</t>
        </is>
      </c>
      <c r="B6512" s="1" t="n">
        <v>45946.61502314815</v>
      </c>
      <c r="C6512" s="1" t="n">
        <v>46075</v>
      </c>
      <c r="D6512" t="inlineStr">
        <is>
          <t>VÄSTERBOTTENS LÄN</t>
        </is>
      </c>
      <c r="E6512" t="inlineStr">
        <is>
          <t>DOROTEA</t>
        </is>
      </c>
      <c r="F6512" t="inlineStr">
        <is>
          <t>SCA</t>
        </is>
      </c>
      <c r="G6512" t="n">
        <v>2.7</v>
      </c>
      <c r="H6512" t="n">
        <v>0</v>
      </c>
      <c r="I6512" t="n">
        <v>0</v>
      </c>
      <c r="J6512" t="n">
        <v>0</v>
      </c>
      <c r="K6512" t="n">
        <v>0</v>
      </c>
      <c r="L6512" t="n">
        <v>0</v>
      </c>
      <c r="M6512" t="n">
        <v>0</v>
      </c>
      <c r="N6512" t="n">
        <v>0</v>
      </c>
      <c r="O6512" t="n">
        <v>0</v>
      </c>
      <c r="P6512" t="n">
        <v>0</v>
      </c>
      <c r="Q6512" t="n">
        <v>0</v>
      </c>
      <c r="R6512" s="2" t="inlineStr"/>
    </row>
    <row r="6513" ht="15" customHeight="1">
      <c r="A6513" t="inlineStr">
        <is>
          <t>A 50882-2025</t>
        </is>
      </c>
      <c r="B6513" s="1" t="n">
        <v>45946.63017361111</v>
      </c>
      <c r="C6513" s="1" t="n">
        <v>46075</v>
      </c>
      <c r="D6513" t="inlineStr">
        <is>
          <t>VÄSTERBOTTENS LÄN</t>
        </is>
      </c>
      <c r="E6513" t="inlineStr">
        <is>
          <t>SKELLEFTEÅ</t>
        </is>
      </c>
      <c r="F6513" t="inlineStr">
        <is>
          <t>Holmen skog AB</t>
        </is>
      </c>
      <c r="G6513" t="n">
        <v>4.8</v>
      </c>
      <c r="H6513" t="n">
        <v>0</v>
      </c>
      <c r="I6513" t="n">
        <v>0</v>
      </c>
      <c r="J6513" t="n">
        <v>0</v>
      </c>
      <c r="K6513" t="n">
        <v>0</v>
      </c>
      <c r="L6513" t="n">
        <v>0</v>
      </c>
      <c r="M6513" t="n">
        <v>0</v>
      </c>
      <c r="N6513" t="n">
        <v>0</v>
      </c>
      <c r="O6513" t="n">
        <v>0</v>
      </c>
      <c r="P6513" t="n">
        <v>0</v>
      </c>
      <c r="Q6513" t="n">
        <v>0</v>
      </c>
      <c r="R6513" s="2" t="inlineStr"/>
    </row>
    <row r="6514" ht="15" customHeight="1">
      <c r="A6514" t="inlineStr">
        <is>
          <t>A 21397-2025</t>
        </is>
      </c>
      <c r="B6514" s="1" t="n">
        <v>45782</v>
      </c>
      <c r="C6514" s="1" t="n">
        <v>46075</v>
      </c>
      <c r="D6514" t="inlineStr">
        <is>
          <t>VÄSTERBOTTENS LÄN</t>
        </is>
      </c>
      <c r="E6514" t="inlineStr">
        <is>
          <t>ROBERTSFORS</t>
        </is>
      </c>
      <c r="G6514" t="n">
        <v>6</v>
      </c>
      <c r="H6514" t="n">
        <v>0</v>
      </c>
      <c r="I6514" t="n">
        <v>0</v>
      </c>
      <c r="J6514" t="n">
        <v>0</v>
      </c>
      <c r="K6514" t="n">
        <v>0</v>
      </c>
      <c r="L6514" t="n">
        <v>0</v>
      </c>
      <c r="M6514" t="n">
        <v>0</v>
      </c>
      <c r="N6514" t="n">
        <v>0</v>
      </c>
      <c r="O6514" t="n">
        <v>0</v>
      </c>
      <c r="P6514" t="n">
        <v>0</v>
      </c>
      <c r="Q6514" t="n">
        <v>0</v>
      </c>
      <c r="R6514" s="2" t="inlineStr"/>
    </row>
    <row r="6515" ht="15" customHeight="1">
      <c r="A6515" t="inlineStr">
        <is>
          <t>A 50811-2025</t>
        </is>
      </c>
      <c r="B6515" s="1" t="n">
        <v>45946.51122685185</v>
      </c>
      <c r="C6515" s="1" t="n">
        <v>46075</v>
      </c>
      <c r="D6515" t="inlineStr">
        <is>
          <t>VÄSTERBOTTENS LÄN</t>
        </is>
      </c>
      <c r="E6515" t="inlineStr">
        <is>
          <t>BJURHOLM</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50995-2025</t>
        </is>
      </c>
      <c r="B6516" s="1" t="n">
        <v>45947.34706018519</v>
      </c>
      <c r="C6516" s="1" t="n">
        <v>46075</v>
      </c>
      <c r="D6516" t="inlineStr">
        <is>
          <t>VÄSTERBOTTENS LÄN</t>
        </is>
      </c>
      <c r="E6516" t="inlineStr">
        <is>
          <t>ROBERTSFORS</t>
        </is>
      </c>
      <c r="G6516" t="n">
        <v>3</v>
      </c>
      <c r="H6516" t="n">
        <v>0</v>
      </c>
      <c r="I6516" t="n">
        <v>0</v>
      </c>
      <c r="J6516" t="n">
        <v>0</v>
      </c>
      <c r="K6516" t="n">
        <v>0</v>
      </c>
      <c r="L6516" t="n">
        <v>0</v>
      </c>
      <c r="M6516" t="n">
        <v>0</v>
      </c>
      <c r="N6516" t="n">
        <v>0</v>
      </c>
      <c r="O6516" t="n">
        <v>0</v>
      </c>
      <c r="P6516" t="n">
        <v>0</v>
      </c>
      <c r="Q6516" t="n">
        <v>0</v>
      </c>
      <c r="R6516" s="2" t="inlineStr"/>
    </row>
    <row r="6517" ht="15" customHeight="1">
      <c r="A6517" t="inlineStr">
        <is>
          <t>A 40000-2024</t>
        </is>
      </c>
      <c r="B6517" s="1" t="n">
        <v>45553.64158564815</v>
      </c>
      <c r="C6517" s="1" t="n">
        <v>46075</v>
      </c>
      <c r="D6517" t="inlineStr">
        <is>
          <t>VÄSTERBOTTENS LÄN</t>
        </is>
      </c>
      <c r="E6517" t="inlineStr">
        <is>
          <t>VINDELN</t>
        </is>
      </c>
      <c r="F6517" t="inlineStr">
        <is>
          <t>Holmen skog AB</t>
        </is>
      </c>
      <c r="G6517" t="n">
        <v>13.4</v>
      </c>
      <c r="H6517" t="n">
        <v>0</v>
      </c>
      <c r="I6517" t="n">
        <v>0</v>
      </c>
      <c r="J6517" t="n">
        <v>0</v>
      </c>
      <c r="K6517" t="n">
        <v>0</v>
      </c>
      <c r="L6517" t="n">
        <v>0</v>
      </c>
      <c r="M6517" t="n">
        <v>0</v>
      </c>
      <c r="N6517" t="n">
        <v>0</v>
      </c>
      <c r="O6517" t="n">
        <v>0</v>
      </c>
      <c r="P6517" t="n">
        <v>0</v>
      </c>
      <c r="Q6517" t="n">
        <v>0</v>
      </c>
      <c r="R6517" s="2" t="inlineStr"/>
    </row>
    <row r="6518" ht="15" customHeight="1">
      <c r="A6518" t="inlineStr">
        <is>
          <t>A 51038-2025</t>
        </is>
      </c>
      <c r="B6518" s="1" t="n">
        <v>45947.40744212963</v>
      </c>
      <c r="C6518" s="1" t="n">
        <v>46075</v>
      </c>
      <c r="D6518" t="inlineStr">
        <is>
          <t>VÄSTERBOTTENS LÄN</t>
        </is>
      </c>
      <c r="E6518" t="inlineStr">
        <is>
          <t>STORUMAN</t>
        </is>
      </c>
      <c r="G6518" t="n">
        <v>9.199999999999999</v>
      </c>
      <c r="H6518" t="n">
        <v>0</v>
      </c>
      <c r="I6518" t="n">
        <v>0</v>
      </c>
      <c r="J6518" t="n">
        <v>0</v>
      </c>
      <c r="K6518" t="n">
        <v>0</v>
      </c>
      <c r="L6518" t="n">
        <v>0</v>
      </c>
      <c r="M6518" t="n">
        <v>0</v>
      </c>
      <c r="N6518" t="n">
        <v>0</v>
      </c>
      <c r="O6518" t="n">
        <v>0</v>
      </c>
      <c r="P6518" t="n">
        <v>0</v>
      </c>
      <c r="Q6518" t="n">
        <v>0</v>
      </c>
      <c r="R6518" s="2" t="inlineStr"/>
    </row>
    <row r="6519" ht="15" customHeight="1">
      <c r="A6519" t="inlineStr">
        <is>
          <t>A 32593-2024</t>
        </is>
      </c>
      <c r="B6519" s="1" t="n">
        <v>45513.60165509259</v>
      </c>
      <c r="C6519" s="1" t="n">
        <v>46075</v>
      </c>
      <c r="D6519" t="inlineStr">
        <is>
          <t>VÄSTERBOTTENS LÄN</t>
        </is>
      </c>
      <c r="E6519" t="inlineStr">
        <is>
          <t>SKELLEFTEÅ</t>
        </is>
      </c>
      <c r="F6519" t="inlineStr">
        <is>
          <t>Holmen skog AB</t>
        </is>
      </c>
      <c r="G6519" t="n">
        <v>9.300000000000001</v>
      </c>
      <c r="H6519" t="n">
        <v>0</v>
      </c>
      <c r="I6519" t="n">
        <v>0</v>
      </c>
      <c r="J6519" t="n">
        <v>0</v>
      </c>
      <c r="K6519" t="n">
        <v>0</v>
      </c>
      <c r="L6519" t="n">
        <v>0</v>
      </c>
      <c r="M6519" t="n">
        <v>0</v>
      </c>
      <c r="N6519" t="n">
        <v>0</v>
      </c>
      <c r="O6519" t="n">
        <v>0</v>
      </c>
      <c r="P6519" t="n">
        <v>0</v>
      </c>
      <c r="Q6519" t="n">
        <v>0</v>
      </c>
      <c r="R6519" s="2" t="inlineStr"/>
    </row>
    <row r="6520" ht="15" customHeight="1">
      <c r="A6520" t="inlineStr">
        <is>
          <t>A 39156-2023</t>
        </is>
      </c>
      <c r="B6520" s="1" t="n">
        <v>45166</v>
      </c>
      <c r="C6520" s="1" t="n">
        <v>46075</v>
      </c>
      <c r="D6520" t="inlineStr">
        <is>
          <t>VÄSTERBOTTENS LÄN</t>
        </is>
      </c>
      <c r="E6520" t="inlineStr">
        <is>
          <t>SKELLEFTEÅ</t>
        </is>
      </c>
      <c r="F6520" t="inlineStr">
        <is>
          <t>Sveaskog</t>
        </is>
      </c>
      <c r="G6520" t="n">
        <v>43.7</v>
      </c>
      <c r="H6520" t="n">
        <v>0</v>
      </c>
      <c r="I6520" t="n">
        <v>0</v>
      </c>
      <c r="J6520" t="n">
        <v>0</v>
      </c>
      <c r="K6520" t="n">
        <v>0</v>
      </c>
      <c r="L6520" t="n">
        <v>0</v>
      </c>
      <c r="M6520" t="n">
        <v>0</v>
      </c>
      <c r="N6520" t="n">
        <v>0</v>
      </c>
      <c r="O6520" t="n">
        <v>0</v>
      </c>
      <c r="P6520" t="n">
        <v>0</v>
      </c>
      <c r="Q6520" t="n">
        <v>0</v>
      </c>
      <c r="R6520" s="2" t="inlineStr"/>
    </row>
    <row r="6521" ht="15" customHeight="1">
      <c r="A6521" t="inlineStr">
        <is>
          <t>A 51159-2025</t>
        </is>
      </c>
      <c r="B6521" s="1" t="n">
        <v>45947.58113425926</v>
      </c>
      <c r="C6521" s="1" t="n">
        <v>46075</v>
      </c>
      <c r="D6521" t="inlineStr">
        <is>
          <t>VÄSTERBOTTENS LÄN</t>
        </is>
      </c>
      <c r="E6521" t="inlineStr">
        <is>
          <t>NORSJÖ</t>
        </is>
      </c>
      <c r="F6521" t="inlineStr">
        <is>
          <t>Sveaskog</t>
        </is>
      </c>
      <c r="G6521" t="n">
        <v>18.5</v>
      </c>
      <c r="H6521" t="n">
        <v>0</v>
      </c>
      <c r="I6521" t="n">
        <v>0</v>
      </c>
      <c r="J6521" t="n">
        <v>0</v>
      </c>
      <c r="K6521" t="n">
        <v>0</v>
      </c>
      <c r="L6521" t="n">
        <v>0</v>
      </c>
      <c r="M6521" t="n">
        <v>0</v>
      </c>
      <c r="N6521" t="n">
        <v>0</v>
      </c>
      <c r="O6521" t="n">
        <v>0</v>
      </c>
      <c r="P6521" t="n">
        <v>0</v>
      </c>
      <c r="Q6521" t="n">
        <v>0</v>
      </c>
      <c r="R6521" s="2" t="inlineStr"/>
    </row>
    <row r="6522" ht="15" customHeight="1">
      <c r="A6522" t="inlineStr">
        <is>
          <t>A 51045-2025</t>
        </is>
      </c>
      <c r="B6522" s="1" t="n">
        <v>45947.4275462963</v>
      </c>
      <c r="C6522" s="1" t="n">
        <v>46075</v>
      </c>
      <c r="D6522" t="inlineStr">
        <is>
          <t>VÄSTERBOTTENS LÄN</t>
        </is>
      </c>
      <c r="E6522" t="inlineStr">
        <is>
          <t>STORUMAN</t>
        </is>
      </c>
      <c r="G6522" t="n">
        <v>6</v>
      </c>
      <c r="H6522" t="n">
        <v>0</v>
      </c>
      <c r="I6522" t="n">
        <v>0</v>
      </c>
      <c r="J6522" t="n">
        <v>0</v>
      </c>
      <c r="K6522" t="n">
        <v>0</v>
      </c>
      <c r="L6522" t="n">
        <v>0</v>
      </c>
      <c r="M6522" t="n">
        <v>0</v>
      </c>
      <c r="N6522" t="n">
        <v>0</v>
      </c>
      <c r="O6522" t="n">
        <v>0</v>
      </c>
      <c r="P6522" t="n">
        <v>0</v>
      </c>
      <c r="Q6522" t="n">
        <v>0</v>
      </c>
      <c r="R6522" s="2" t="inlineStr"/>
    </row>
    <row r="6523" ht="15" customHeight="1">
      <c r="A6523" t="inlineStr">
        <is>
          <t>A 42764-2024</t>
        </is>
      </c>
      <c r="B6523" s="1" t="n">
        <v>45566.50524305556</v>
      </c>
      <c r="C6523" s="1" t="n">
        <v>46075</v>
      </c>
      <c r="D6523" t="inlineStr">
        <is>
          <t>VÄSTERBOTTENS LÄN</t>
        </is>
      </c>
      <c r="E6523" t="inlineStr">
        <is>
          <t>SKELLEFTEÅ</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51089-2025</t>
        </is>
      </c>
      <c r="B6524" s="1" t="n">
        <v>45947.4724074074</v>
      </c>
      <c r="C6524" s="1" t="n">
        <v>46075</v>
      </c>
      <c r="D6524" t="inlineStr">
        <is>
          <t>VÄSTERBOTTENS LÄN</t>
        </is>
      </c>
      <c r="E6524" t="inlineStr">
        <is>
          <t>VINDELN</t>
        </is>
      </c>
      <c r="F6524" t="inlineStr">
        <is>
          <t>Holmen skog AB</t>
        </is>
      </c>
      <c r="G6524" t="n">
        <v>13.3</v>
      </c>
      <c r="H6524" t="n">
        <v>0</v>
      </c>
      <c r="I6524" t="n">
        <v>0</v>
      </c>
      <c r="J6524" t="n">
        <v>0</v>
      </c>
      <c r="K6524" t="n">
        <v>0</v>
      </c>
      <c r="L6524" t="n">
        <v>0</v>
      </c>
      <c r="M6524" t="n">
        <v>0</v>
      </c>
      <c r="N6524" t="n">
        <v>0</v>
      </c>
      <c r="O6524" t="n">
        <v>0</v>
      </c>
      <c r="P6524" t="n">
        <v>0</v>
      </c>
      <c r="Q6524" t="n">
        <v>0</v>
      </c>
      <c r="R6524" s="2" t="inlineStr"/>
    </row>
    <row r="6525" ht="15" customHeight="1">
      <c r="A6525" t="inlineStr">
        <is>
          <t>A 56297-2023</t>
        </is>
      </c>
      <c r="B6525" s="1" t="n">
        <v>45242</v>
      </c>
      <c r="C6525" s="1" t="n">
        <v>46075</v>
      </c>
      <c r="D6525" t="inlineStr">
        <is>
          <t>VÄSTERBOTTENS LÄN</t>
        </is>
      </c>
      <c r="E6525" t="inlineStr">
        <is>
          <t>STORUMAN</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34411-2024</t>
        </is>
      </c>
      <c r="B6526" s="1" t="n">
        <v>45525.48208333334</v>
      </c>
      <c r="C6526" s="1" t="n">
        <v>46075</v>
      </c>
      <c r="D6526" t="inlineStr">
        <is>
          <t>VÄSTERBOTTENS LÄN</t>
        </is>
      </c>
      <c r="E6526" t="inlineStr">
        <is>
          <t>UMEÅ</t>
        </is>
      </c>
      <c r="F6526" t="inlineStr">
        <is>
          <t>Holmen skog AB</t>
        </is>
      </c>
      <c r="G6526" t="n">
        <v>2.9</v>
      </c>
      <c r="H6526" t="n">
        <v>0</v>
      </c>
      <c r="I6526" t="n">
        <v>0</v>
      </c>
      <c r="J6526" t="n">
        <v>0</v>
      </c>
      <c r="K6526" t="n">
        <v>0</v>
      </c>
      <c r="L6526" t="n">
        <v>0</v>
      </c>
      <c r="M6526" t="n">
        <v>0</v>
      </c>
      <c r="N6526" t="n">
        <v>0</v>
      </c>
      <c r="O6526" t="n">
        <v>0</v>
      </c>
      <c r="P6526" t="n">
        <v>0</v>
      </c>
      <c r="Q6526" t="n">
        <v>0</v>
      </c>
      <c r="R6526" s="2" t="inlineStr"/>
    </row>
    <row r="6527" ht="15" customHeight="1">
      <c r="A6527" t="inlineStr">
        <is>
          <t>A 25719-2024</t>
        </is>
      </c>
      <c r="B6527" s="1" t="n">
        <v>45463</v>
      </c>
      <c r="C6527" s="1" t="n">
        <v>46075</v>
      </c>
      <c r="D6527" t="inlineStr">
        <is>
          <t>VÄSTERBOTTENS LÄN</t>
        </is>
      </c>
      <c r="E6527" t="inlineStr">
        <is>
          <t>DOROTEA</t>
        </is>
      </c>
      <c r="F6527" t="inlineStr">
        <is>
          <t>SCA</t>
        </is>
      </c>
      <c r="G6527" t="n">
        <v>16.2</v>
      </c>
      <c r="H6527" t="n">
        <v>0</v>
      </c>
      <c r="I6527" t="n">
        <v>0</v>
      </c>
      <c r="J6527" t="n">
        <v>0</v>
      </c>
      <c r="K6527" t="n">
        <v>0</v>
      </c>
      <c r="L6527" t="n">
        <v>0</v>
      </c>
      <c r="M6527" t="n">
        <v>0</v>
      </c>
      <c r="N6527" t="n">
        <v>0</v>
      </c>
      <c r="O6527" t="n">
        <v>0</v>
      </c>
      <c r="P6527" t="n">
        <v>0</v>
      </c>
      <c r="Q6527" t="n">
        <v>0</v>
      </c>
      <c r="R6527" s="2" t="inlineStr"/>
    </row>
    <row r="6528" ht="15" customHeight="1">
      <c r="A6528" t="inlineStr">
        <is>
          <t>A 40024-2022</t>
        </is>
      </c>
      <c r="B6528" s="1" t="n">
        <v>44820.41207175926</v>
      </c>
      <c r="C6528" s="1" t="n">
        <v>46075</v>
      </c>
      <c r="D6528" t="inlineStr">
        <is>
          <t>VÄSTERBOTTENS LÄN</t>
        </is>
      </c>
      <c r="E6528" t="inlineStr">
        <is>
          <t>UMEÅ</t>
        </is>
      </c>
      <c r="G6528" t="n">
        <v>3</v>
      </c>
      <c r="H6528" t="n">
        <v>0</v>
      </c>
      <c r="I6528" t="n">
        <v>0</v>
      </c>
      <c r="J6528" t="n">
        <v>0</v>
      </c>
      <c r="K6528" t="n">
        <v>0</v>
      </c>
      <c r="L6528" t="n">
        <v>0</v>
      </c>
      <c r="M6528" t="n">
        <v>0</v>
      </c>
      <c r="N6528" t="n">
        <v>0</v>
      </c>
      <c r="O6528" t="n">
        <v>0</v>
      </c>
      <c r="P6528" t="n">
        <v>0</v>
      </c>
      <c r="Q6528" t="n">
        <v>0</v>
      </c>
      <c r="R6528" s="2" t="inlineStr"/>
    </row>
    <row r="6529" ht="15" customHeight="1">
      <c r="A6529" t="inlineStr">
        <is>
          <t>A 50923-2025</t>
        </is>
      </c>
      <c r="B6529" s="1" t="n">
        <v>45946.67513888889</v>
      </c>
      <c r="C6529" s="1" t="n">
        <v>46075</v>
      </c>
      <c r="D6529" t="inlineStr">
        <is>
          <t>VÄSTERBOTTENS LÄN</t>
        </is>
      </c>
      <c r="E6529" t="inlineStr">
        <is>
          <t>UMEÅ</t>
        </is>
      </c>
      <c r="G6529" t="n">
        <v>5.6</v>
      </c>
      <c r="H6529" t="n">
        <v>0</v>
      </c>
      <c r="I6529" t="n">
        <v>0</v>
      </c>
      <c r="J6529" t="n">
        <v>0</v>
      </c>
      <c r="K6529" t="n">
        <v>0</v>
      </c>
      <c r="L6529" t="n">
        <v>0</v>
      </c>
      <c r="M6529" t="n">
        <v>0</v>
      </c>
      <c r="N6529" t="n">
        <v>0</v>
      </c>
      <c r="O6529" t="n">
        <v>0</v>
      </c>
      <c r="P6529" t="n">
        <v>0</v>
      </c>
      <c r="Q6529" t="n">
        <v>0</v>
      </c>
      <c r="R6529" s="2" t="inlineStr"/>
    </row>
    <row r="6530" ht="15" customHeight="1">
      <c r="A6530" t="inlineStr">
        <is>
          <t>A 16192-2024</t>
        </is>
      </c>
      <c r="B6530" s="1" t="n">
        <v>45406</v>
      </c>
      <c r="C6530" s="1" t="n">
        <v>46075</v>
      </c>
      <c r="D6530" t="inlineStr">
        <is>
          <t>VÄSTERBOTTENS LÄN</t>
        </is>
      </c>
      <c r="E6530" t="inlineStr">
        <is>
          <t>LYCKSELE</t>
        </is>
      </c>
      <c r="G6530" t="n">
        <v>3.3</v>
      </c>
      <c r="H6530" t="n">
        <v>0</v>
      </c>
      <c r="I6530" t="n">
        <v>0</v>
      </c>
      <c r="J6530" t="n">
        <v>0</v>
      </c>
      <c r="K6530" t="n">
        <v>0</v>
      </c>
      <c r="L6530" t="n">
        <v>0</v>
      </c>
      <c r="M6530" t="n">
        <v>0</v>
      </c>
      <c r="N6530" t="n">
        <v>0</v>
      </c>
      <c r="O6530" t="n">
        <v>0</v>
      </c>
      <c r="P6530" t="n">
        <v>0</v>
      </c>
      <c r="Q6530" t="n">
        <v>0</v>
      </c>
      <c r="R6530" s="2" t="inlineStr"/>
    </row>
    <row r="6531" ht="15" customHeight="1">
      <c r="A6531" t="inlineStr">
        <is>
          <t>A 59653-2024</t>
        </is>
      </c>
      <c r="B6531" s="1" t="n">
        <v>45639.34640046296</v>
      </c>
      <c r="C6531" s="1" t="n">
        <v>46075</v>
      </c>
      <c r="D6531" t="inlineStr">
        <is>
          <t>VÄSTERBOTTENS LÄN</t>
        </is>
      </c>
      <c r="E6531" t="inlineStr">
        <is>
          <t>DOROTEA</t>
        </is>
      </c>
      <c r="F6531" t="inlineStr">
        <is>
          <t>SCA</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59693-2024</t>
        </is>
      </c>
      <c r="B6532" s="1" t="n">
        <v>45639</v>
      </c>
      <c r="C6532" s="1" t="n">
        <v>46075</v>
      </c>
      <c r="D6532" t="inlineStr">
        <is>
          <t>VÄSTERBOTTENS LÄN</t>
        </is>
      </c>
      <c r="E6532" t="inlineStr">
        <is>
          <t>VILHELMINA</t>
        </is>
      </c>
      <c r="F6532" t="inlineStr">
        <is>
          <t>SCA</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41695-2024</t>
        </is>
      </c>
      <c r="B6533" s="1" t="n">
        <v>45560.68400462963</v>
      </c>
      <c r="C6533" s="1" t="n">
        <v>46075</v>
      </c>
      <c r="D6533" t="inlineStr">
        <is>
          <t>VÄSTERBOTTENS LÄN</t>
        </is>
      </c>
      <c r="E6533" t="inlineStr">
        <is>
          <t>VINDELN</t>
        </is>
      </c>
      <c r="F6533" t="inlineStr">
        <is>
          <t>Sveaskog</t>
        </is>
      </c>
      <c r="G6533" t="n">
        <v>2.5</v>
      </c>
      <c r="H6533" t="n">
        <v>0</v>
      </c>
      <c r="I6533" t="n">
        <v>0</v>
      </c>
      <c r="J6533" t="n">
        <v>0</v>
      </c>
      <c r="K6533" t="n">
        <v>0</v>
      </c>
      <c r="L6533" t="n">
        <v>0</v>
      </c>
      <c r="M6533" t="n">
        <v>0</v>
      </c>
      <c r="N6533" t="n">
        <v>0</v>
      </c>
      <c r="O6533" t="n">
        <v>0</v>
      </c>
      <c r="P6533" t="n">
        <v>0</v>
      </c>
      <c r="Q6533" t="n">
        <v>0</v>
      </c>
      <c r="R6533" s="2" t="inlineStr"/>
    </row>
    <row r="6534" ht="15" customHeight="1">
      <c r="A6534" t="inlineStr">
        <is>
          <t>A 50737-2025</t>
        </is>
      </c>
      <c r="B6534" s="1" t="n">
        <v>45946.36891203704</v>
      </c>
      <c r="C6534" s="1" t="n">
        <v>46075</v>
      </c>
      <c r="D6534" t="inlineStr">
        <is>
          <t>VÄSTERBOTTENS LÄN</t>
        </is>
      </c>
      <c r="E6534" t="inlineStr">
        <is>
          <t>STORUMAN</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51042-2025</t>
        </is>
      </c>
      <c r="B6535" s="1" t="n">
        <v>45947.42334490741</v>
      </c>
      <c r="C6535" s="1" t="n">
        <v>46075</v>
      </c>
      <c r="D6535" t="inlineStr">
        <is>
          <t>VÄSTERBOTTENS LÄN</t>
        </is>
      </c>
      <c r="E6535" t="inlineStr">
        <is>
          <t>VILHELMINA</t>
        </is>
      </c>
      <c r="G6535" t="n">
        <v>12.6</v>
      </c>
      <c r="H6535" t="n">
        <v>0</v>
      </c>
      <c r="I6535" t="n">
        <v>0</v>
      </c>
      <c r="J6535" t="n">
        <v>0</v>
      </c>
      <c r="K6535" t="n">
        <v>0</v>
      </c>
      <c r="L6535" t="n">
        <v>0</v>
      </c>
      <c r="M6535" t="n">
        <v>0</v>
      </c>
      <c r="N6535" t="n">
        <v>0</v>
      </c>
      <c r="O6535" t="n">
        <v>0</v>
      </c>
      <c r="P6535" t="n">
        <v>0</v>
      </c>
      <c r="Q6535" t="n">
        <v>0</v>
      </c>
      <c r="R6535" s="2" t="inlineStr"/>
    </row>
    <row r="6536" ht="15" customHeight="1">
      <c r="A6536" t="inlineStr">
        <is>
          <t>A 6662-2025</t>
        </is>
      </c>
      <c r="B6536" s="1" t="n">
        <v>45700.45233796296</v>
      </c>
      <c r="C6536" s="1" t="n">
        <v>46075</v>
      </c>
      <c r="D6536" t="inlineStr">
        <is>
          <t>VÄSTERBOTTENS LÄN</t>
        </is>
      </c>
      <c r="E6536" t="inlineStr">
        <is>
          <t>VINDELN</t>
        </is>
      </c>
      <c r="G6536" t="n">
        <v>1.9</v>
      </c>
      <c r="H6536" t="n">
        <v>0</v>
      </c>
      <c r="I6536" t="n">
        <v>0</v>
      </c>
      <c r="J6536" t="n">
        <v>0</v>
      </c>
      <c r="K6536" t="n">
        <v>0</v>
      </c>
      <c r="L6536" t="n">
        <v>0</v>
      </c>
      <c r="M6536" t="n">
        <v>0</v>
      </c>
      <c r="N6536" t="n">
        <v>0</v>
      </c>
      <c r="O6536" t="n">
        <v>0</v>
      </c>
      <c r="P6536" t="n">
        <v>0</v>
      </c>
      <c r="Q6536" t="n">
        <v>0</v>
      </c>
      <c r="R6536" s="2" t="inlineStr"/>
    </row>
    <row r="6537" ht="15" customHeight="1">
      <c r="A6537" t="inlineStr">
        <is>
          <t>A 51059-2025</t>
        </is>
      </c>
      <c r="B6537" s="1" t="n">
        <v>45947.44662037037</v>
      </c>
      <c r="C6537" s="1" t="n">
        <v>46075</v>
      </c>
      <c r="D6537" t="inlineStr">
        <is>
          <t>VÄSTERBOTTENS LÄN</t>
        </is>
      </c>
      <c r="E6537" t="inlineStr">
        <is>
          <t>ÅSELE</t>
        </is>
      </c>
      <c r="F6537" t="inlineStr">
        <is>
          <t>Holmen skog AB</t>
        </is>
      </c>
      <c r="G6537" t="n">
        <v>3.1</v>
      </c>
      <c r="H6537" t="n">
        <v>0</v>
      </c>
      <c r="I6537" t="n">
        <v>0</v>
      </c>
      <c r="J6537" t="n">
        <v>0</v>
      </c>
      <c r="K6537" t="n">
        <v>0</v>
      </c>
      <c r="L6537" t="n">
        <v>0</v>
      </c>
      <c r="M6537" t="n">
        <v>0</v>
      </c>
      <c r="N6537" t="n">
        <v>0</v>
      </c>
      <c r="O6537" t="n">
        <v>0</v>
      </c>
      <c r="P6537" t="n">
        <v>0</v>
      </c>
      <c r="Q6537" t="n">
        <v>0</v>
      </c>
      <c r="R6537" s="2" t="inlineStr"/>
    </row>
    <row r="6538" ht="15" customHeight="1">
      <c r="A6538" t="inlineStr">
        <is>
          <t>A 51369-2025</t>
        </is>
      </c>
      <c r="B6538" s="1" t="n">
        <v>45947</v>
      </c>
      <c r="C6538" s="1" t="n">
        <v>46075</v>
      </c>
      <c r="D6538" t="inlineStr">
        <is>
          <t>VÄSTERBOTTENS LÄN</t>
        </is>
      </c>
      <c r="E6538" t="inlineStr">
        <is>
          <t>NORSJÖ</t>
        </is>
      </c>
      <c r="G6538" t="n">
        <v>3.7</v>
      </c>
      <c r="H6538" t="n">
        <v>0</v>
      </c>
      <c r="I6538" t="n">
        <v>0</v>
      </c>
      <c r="J6538" t="n">
        <v>0</v>
      </c>
      <c r="K6538" t="n">
        <v>0</v>
      </c>
      <c r="L6538" t="n">
        <v>0</v>
      </c>
      <c r="M6538" t="n">
        <v>0</v>
      </c>
      <c r="N6538" t="n">
        <v>0</v>
      </c>
      <c r="O6538" t="n">
        <v>0</v>
      </c>
      <c r="P6538" t="n">
        <v>0</v>
      </c>
      <c r="Q6538" t="n">
        <v>0</v>
      </c>
      <c r="R6538" s="2" t="inlineStr"/>
    </row>
    <row r="6539" ht="15" customHeight="1">
      <c r="A6539" t="inlineStr">
        <is>
          <t>A 50694-2025</t>
        </is>
      </c>
      <c r="B6539" s="1" t="n">
        <v>45945.86091435186</v>
      </c>
      <c r="C6539" s="1" t="n">
        <v>46075</v>
      </c>
      <c r="D6539" t="inlineStr">
        <is>
          <t>VÄSTERBOTTENS LÄN</t>
        </is>
      </c>
      <c r="E6539" t="inlineStr">
        <is>
          <t>NORDMALING</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51093-2025</t>
        </is>
      </c>
      <c r="B6540" s="1" t="n">
        <v>45947.4753125</v>
      </c>
      <c r="C6540" s="1" t="n">
        <v>46075</v>
      </c>
      <c r="D6540" t="inlineStr">
        <is>
          <t>VÄSTERBOTTENS LÄN</t>
        </is>
      </c>
      <c r="E6540" t="inlineStr">
        <is>
          <t>ÅSELE</t>
        </is>
      </c>
      <c r="F6540" t="inlineStr">
        <is>
          <t>Holmen skog AB</t>
        </is>
      </c>
      <c r="G6540" t="n">
        <v>4.6</v>
      </c>
      <c r="H6540" t="n">
        <v>0</v>
      </c>
      <c r="I6540" t="n">
        <v>0</v>
      </c>
      <c r="J6540" t="n">
        <v>0</v>
      </c>
      <c r="K6540" t="n">
        <v>0</v>
      </c>
      <c r="L6540" t="n">
        <v>0</v>
      </c>
      <c r="M6540" t="n">
        <v>0</v>
      </c>
      <c r="N6540" t="n">
        <v>0</v>
      </c>
      <c r="O6540" t="n">
        <v>0</v>
      </c>
      <c r="P6540" t="n">
        <v>0</v>
      </c>
      <c r="Q6540" t="n">
        <v>0</v>
      </c>
      <c r="R6540" s="2" t="inlineStr"/>
    </row>
    <row r="6541" ht="15" customHeight="1">
      <c r="A6541" t="inlineStr">
        <is>
          <t>A 50738-2025</t>
        </is>
      </c>
      <c r="B6541" s="1" t="n">
        <v>45946.37640046296</v>
      </c>
      <c r="C6541" s="1" t="n">
        <v>46075</v>
      </c>
      <c r="D6541" t="inlineStr">
        <is>
          <t>VÄSTERBOTTENS LÄN</t>
        </is>
      </c>
      <c r="E6541" t="inlineStr">
        <is>
          <t>STORUMAN</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51291-2025</t>
        </is>
      </c>
      <c r="B6542" s="1" t="n">
        <v>45950.34607638889</v>
      </c>
      <c r="C6542" s="1" t="n">
        <v>46075</v>
      </c>
      <c r="D6542" t="inlineStr">
        <is>
          <t>VÄSTERBOTTENS LÄN</t>
        </is>
      </c>
      <c r="E6542" t="inlineStr">
        <is>
          <t>VINDELN</t>
        </is>
      </c>
      <c r="G6542" t="n">
        <v>5.4</v>
      </c>
      <c r="H6542" t="n">
        <v>0</v>
      </c>
      <c r="I6542" t="n">
        <v>0</v>
      </c>
      <c r="J6542" t="n">
        <v>0</v>
      </c>
      <c r="K6542" t="n">
        <v>0</v>
      </c>
      <c r="L6542" t="n">
        <v>0</v>
      </c>
      <c r="M6542" t="n">
        <v>0</v>
      </c>
      <c r="N6542" t="n">
        <v>0</v>
      </c>
      <c r="O6542" t="n">
        <v>0</v>
      </c>
      <c r="P6542" t="n">
        <v>0</v>
      </c>
      <c r="Q6542" t="n">
        <v>0</v>
      </c>
      <c r="R6542" s="2" t="inlineStr"/>
    </row>
    <row r="6543" ht="15" customHeight="1">
      <c r="A6543" t="inlineStr">
        <is>
          <t>A 51295-2025</t>
        </is>
      </c>
      <c r="B6543" s="1" t="n">
        <v>45950.35725694444</v>
      </c>
      <c r="C6543" s="1" t="n">
        <v>46075</v>
      </c>
      <c r="D6543" t="inlineStr">
        <is>
          <t>VÄSTERBOTTENS LÄN</t>
        </is>
      </c>
      <c r="E6543" t="inlineStr">
        <is>
          <t>LYCKSELE</t>
        </is>
      </c>
      <c r="G6543" t="n">
        <v>22.8</v>
      </c>
      <c r="H6543" t="n">
        <v>0</v>
      </c>
      <c r="I6543" t="n">
        <v>0</v>
      </c>
      <c r="J6543" t="n">
        <v>0</v>
      </c>
      <c r="K6543" t="n">
        <v>0</v>
      </c>
      <c r="L6543" t="n">
        <v>0</v>
      </c>
      <c r="M6543" t="n">
        <v>0</v>
      </c>
      <c r="N6543" t="n">
        <v>0</v>
      </c>
      <c r="O6543" t="n">
        <v>0</v>
      </c>
      <c r="P6543" t="n">
        <v>0</v>
      </c>
      <c r="Q6543" t="n">
        <v>0</v>
      </c>
      <c r="R6543" s="2" t="inlineStr"/>
    </row>
    <row r="6544" ht="15" customHeight="1">
      <c r="A6544" t="inlineStr">
        <is>
          <t>A 3780-2024</t>
        </is>
      </c>
      <c r="B6544" s="1" t="n">
        <v>45321.5905787037</v>
      </c>
      <c r="C6544" s="1" t="n">
        <v>46075</v>
      </c>
      <c r="D6544" t="inlineStr">
        <is>
          <t>VÄSTERBOTTENS LÄN</t>
        </is>
      </c>
      <c r="E6544" t="inlineStr">
        <is>
          <t>VINDELN</t>
        </is>
      </c>
      <c r="G6544" t="n">
        <v>3.9</v>
      </c>
      <c r="H6544" t="n">
        <v>0</v>
      </c>
      <c r="I6544" t="n">
        <v>0</v>
      </c>
      <c r="J6544" t="n">
        <v>0</v>
      </c>
      <c r="K6544" t="n">
        <v>0</v>
      </c>
      <c r="L6544" t="n">
        <v>0</v>
      </c>
      <c r="M6544" t="n">
        <v>0</v>
      </c>
      <c r="N6544" t="n">
        <v>0</v>
      </c>
      <c r="O6544" t="n">
        <v>0</v>
      </c>
      <c r="P6544" t="n">
        <v>0</v>
      </c>
      <c r="Q6544" t="n">
        <v>0</v>
      </c>
      <c r="R6544" s="2" t="inlineStr"/>
    </row>
    <row r="6545" ht="15" customHeight="1">
      <c r="A6545" t="inlineStr">
        <is>
          <t>A 51547-2025</t>
        </is>
      </c>
      <c r="B6545" s="1" t="n">
        <v>45950.78769675926</v>
      </c>
      <c r="C6545" s="1" t="n">
        <v>46075</v>
      </c>
      <c r="D6545" t="inlineStr">
        <is>
          <t>VÄSTERBOTTENS LÄN</t>
        </is>
      </c>
      <c r="E6545" t="inlineStr">
        <is>
          <t>UMEÅ</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51552-2025</t>
        </is>
      </c>
      <c r="B6546" s="1" t="n">
        <v>45950.85929398148</v>
      </c>
      <c r="C6546" s="1" t="n">
        <v>46075</v>
      </c>
      <c r="D6546" t="inlineStr">
        <is>
          <t>VÄSTERBOTTENS LÄN</t>
        </is>
      </c>
      <c r="E6546" t="inlineStr">
        <is>
          <t>NORDMALING</t>
        </is>
      </c>
      <c r="G6546" t="n">
        <v>2.3</v>
      </c>
      <c r="H6546" t="n">
        <v>0</v>
      </c>
      <c r="I6546" t="n">
        <v>0</v>
      </c>
      <c r="J6546" t="n">
        <v>0</v>
      </c>
      <c r="K6546" t="n">
        <v>0</v>
      </c>
      <c r="L6546" t="n">
        <v>0</v>
      </c>
      <c r="M6546" t="n">
        <v>0</v>
      </c>
      <c r="N6546" t="n">
        <v>0</v>
      </c>
      <c r="O6546" t="n">
        <v>0</v>
      </c>
      <c r="P6546" t="n">
        <v>0</v>
      </c>
      <c r="Q6546" t="n">
        <v>0</v>
      </c>
      <c r="R6546" s="2" t="inlineStr"/>
    </row>
    <row r="6547" ht="15" customHeight="1">
      <c r="A6547" t="inlineStr">
        <is>
          <t>A 51553-2025</t>
        </is>
      </c>
      <c r="B6547" s="1" t="n">
        <v>45950.87297453704</v>
      </c>
      <c r="C6547" s="1" t="n">
        <v>46075</v>
      </c>
      <c r="D6547" t="inlineStr">
        <is>
          <t>VÄSTERBOTTENS LÄN</t>
        </is>
      </c>
      <c r="E6547" t="inlineStr">
        <is>
          <t>VÄNNÄS</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2014-2025</t>
        </is>
      </c>
      <c r="B6548" s="1" t="n">
        <v>45672</v>
      </c>
      <c r="C6548" s="1" t="n">
        <v>46075</v>
      </c>
      <c r="D6548" t="inlineStr">
        <is>
          <t>VÄSTERBOTTENS LÄN</t>
        </is>
      </c>
      <c r="E6548" t="inlineStr">
        <is>
          <t>DOROTEA</t>
        </is>
      </c>
      <c r="F6548" t="inlineStr">
        <is>
          <t>Kommuner</t>
        </is>
      </c>
      <c r="G6548" t="n">
        <v>5.3</v>
      </c>
      <c r="H6548" t="n">
        <v>0</v>
      </c>
      <c r="I6548" t="n">
        <v>0</v>
      </c>
      <c r="J6548" t="n">
        <v>0</v>
      </c>
      <c r="K6548" t="n">
        <v>0</v>
      </c>
      <c r="L6548" t="n">
        <v>0</v>
      </c>
      <c r="M6548" t="n">
        <v>0</v>
      </c>
      <c r="N6548" t="n">
        <v>0</v>
      </c>
      <c r="O6548" t="n">
        <v>0</v>
      </c>
      <c r="P6548" t="n">
        <v>0</v>
      </c>
      <c r="Q6548" t="n">
        <v>0</v>
      </c>
      <c r="R6548" s="2" t="inlineStr"/>
    </row>
    <row r="6549" ht="15" customHeight="1">
      <c r="A6549" t="inlineStr">
        <is>
          <t>A 24586-2022</t>
        </is>
      </c>
      <c r="B6549" s="1" t="n">
        <v>44727.45271990741</v>
      </c>
      <c r="C6549" s="1" t="n">
        <v>46075</v>
      </c>
      <c r="D6549" t="inlineStr">
        <is>
          <t>VÄSTERBOTTENS LÄN</t>
        </is>
      </c>
      <c r="E6549" t="inlineStr">
        <is>
          <t>UMEÅ</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12137-2023</t>
        </is>
      </c>
      <c r="B6550" s="1" t="n">
        <v>44995</v>
      </c>
      <c r="C6550" s="1" t="n">
        <v>46075</v>
      </c>
      <c r="D6550" t="inlineStr">
        <is>
          <t>VÄSTERBOTTENS LÄN</t>
        </is>
      </c>
      <c r="E6550" t="inlineStr">
        <is>
          <t>SKELLEFTEÅ</t>
        </is>
      </c>
      <c r="G6550" t="n">
        <v>2.4</v>
      </c>
      <c r="H6550" t="n">
        <v>0</v>
      </c>
      <c r="I6550" t="n">
        <v>0</v>
      </c>
      <c r="J6550" t="n">
        <v>0</v>
      </c>
      <c r="K6550" t="n">
        <v>0</v>
      </c>
      <c r="L6550" t="n">
        <v>0</v>
      </c>
      <c r="M6550" t="n">
        <v>0</v>
      </c>
      <c r="N6550" t="n">
        <v>0</v>
      </c>
      <c r="O6550" t="n">
        <v>0</v>
      </c>
      <c r="P6550" t="n">
        <v>0</v>
      </c>
      <c r="Q6550" t="n">
        <v>0</v>
      </c>
      <c r="R6550" s="2" t="inlineStr"/>
    </row>
    <row r="6551" ht="15" customHeight="1">
      <c r="A6551" t="inlineStr">
        <is>
          <t>A 51621-2025</t>
        </is>
      </c>
      <c r="B6551" s="1" t="n">
        <v>45951.41319444445</v>
      </c>
      <c r="C6551" s="1" t="n">
        <v>46075</v>
      </c>
      <c r="D6551" t="inlineStr">
        <is>
          <t>VÄSTERBOTTENS LÄN</t>
        </is>
      </c>
      <c r="E6551" t="inlineStr">
        <is>
          <t>UMEÅ</t>
        </is>
      </c>
      <c r="G6551" t="n">
        <v>8.199999999999999</v>
      </c>
      <c r="H6551" t="n">
        <v>0</v>
      </c>
      <c r="I6551" t="n">
        <v>0</v>
      </c>
      <c r="J6551" t="n">
        <v>0</v>
      </c>
      <c r="K6551" t="n">
        <v>0</v>
      </c>
      <c r="L6551" t="n">
        <v>0</v>
      </c>
      <c r="M6551" t="n">
        <v>0</v>
      </c>
      <c r="N6551" t="n">
        <v>0</v>
      </c>
      <c r="O6551" t="n">
        <v>0</v>
      </c>
      <c r="P6551" t="n">
        <v>0</v>
      </c>
      <c r="Q6551" t="n">
        <v>0</v>
      </c>
      <c r="R6551" s="2" t="inlineStr"/>
    </row>
    <row r="6552" ht="15" customHeight="1">
      <c r="A6552" t="inlineStr">
        <is>
          <t>A 42206-2024</t>
        </is>
      </c>
      <c r="B6552" s="1" t="n">
        <v>45562.52640046296</v>
      </c>
      <c r="C6552" s="1" t="n">
        <v>46075</v>
      </c>
      <c r="D6552" t="inlineStr">
        <is>
          <t>VÄSTERBOTTENS LÄN</t>
        </is>
      </c>
      <c r="E6552" t="inlineStr">
        <is>
          <t>ÅSELE</t>
        </is>
      </c>
      <c r="F6552" t="inlineStr">
        <is>
          <t>Holmen skog AB</t>
        </is>
      </c>
      <c r="G6552" t="n">
        <v>6.7</v>
      </c>
      <c r="H6552" t="n">
        <v>0</v>
      </c>
      <c r="I6552" t="n">
        <v>0</v>
      </c>
      <c r="J6552" t="n">
        <v>0</v>
      </c>
      <c r="K6552" t="n">
        <v>0</v>
      </c>
      <c r="L6552" t="n">
        <v>0</v>
      </c>
      <c r="M6552" t="n">
        <v>0</v>
      </c>
      <c r="N6552" t="n">
        <v>0</v>
      </c>
      <c r="O6552" t="n">
        <v>0</v>
      </c>
      <c r="P6552" t="n">
        <v>0</v>
      </c>
      <c r="Q6552" t="n">
        <v>0</v>
      </c>
      <c r="R6552" s="2" t="inlineStr"/>
    </row>
    <row r="6553" ht="15" customHeight="1">
      <c r="A6553" t="inlineStr">
        <is>
          <t>A 42248-2024</t>
        </is>
      </c>
      <c r="B6553" s="1" t="n">
        <v>45562.57457175926</v>
      </c>
      <c r="C6553" s="1" t="n">
        <v>46075</v>
      </c>
      <c r="D6553" t="inlineStr">
        <is>
          <t>VÄSTERBOTTENS LÄN</t>
        </is>
      </c>
      <c r="E6553" t="inlineStr">
        <is>
          <t>SKELLEFTEÅ</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1289-2022</t>
        </is>
      </c>
      <c r="B6554" s="1" t="n">
        <v>44572.68023148148</v>
      </c>
      <c r="C6554" s="1" t="n">
        <v>46075</v>
      </c>
      <c r="D6554" t="inlineStr">
        <is>
          <t>VÄSTERBOTTENS LÄN</t>
        </is>
      </c>
      <c r="E6554" t="inlineStr">
        <is>
          <t>LYCKSELE</t>
        </is>
      </c>
      <c r="G6554" t="n">
        <v>3.3</v>
      </c>
      <c r="H6554" t="n">
        <v>0</v>
      </c>
      <c r="I6554" t="n">
        <v>0</v>
      </c>
      <c r="J6554" t="n">
        <v>0</v>
      </c>
      <c r="K6554" t="n">
        <v>0</v>
      </c>
      <c r="L6554" t="n">
        <v>0</v>
      </c>
      <c r="M6554" t="n">
        <v>0</v>
      </c>
      <c r="N6554" t="n">
        <v>0</v>
      </c>
      <c r="O6554" t="n">
        <v>0</v>
      </c>
      <c r="P6554" t="n">
        <v>0</v>
      </c>
      <c r="Q6554" t="n">
        <v>0</v>
      </c>
      <c r="R6554" s="2" t="inlineStr"/>
    </row>
    <row r="6555" ht="15" customHeight="1">
      <c r="A6555" t="inlineStr">
        <is>
          <t>A 36037-2024</t>
        </is>
      </c>
      <c r="B6555" s="1" t="n">
        <v>45533.5966087963</v>
      </c>
      <c r="C6555" s="1" t="n">
        <v>46075</v>
      </c>
      <c r="D6555" t="inlineStr">
        <is>
          <t>VÄSTERBOTTENS LÄN</t>
        </is>
      </c>
      <c r="E6555" t="inlineStr">
        <is>
          <t>ÅSELE</t>
        </is>
      </c>
      <c r="F6555" t="inlineStr">
        <is>
          <t>Holmen skog AB</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51352-2025</t>
        </is>
      </c>
      <c r="B6556" s="1" t="n">
        <v>45950.43679398148</v>
      </c>
      <c r="C6556" s="1" t="n">
        <v>46075</v>
      </c>
      <c r="D6556" t="inlineStr">
        <is>
          <t>VÄSTERBOTTENS LÄN</t>
        </is>
      </c>
      <c r="E6556" t="inlineStr">
        <is>
          <t>UMEÅ</t>
        </is>
      </c>
      <c r="G6556" t="n">
        <v>2.9</v>
      </c>
      <c r="H6556" t="n">
        <v>0</v>
      </c>
      <c r="I6556" t="n">
        <v>0</v>
      </c>
      <c r="J6556" t="n">
        <v>0</v>
      </c>
      <c r="K6556" t="n">
        <v>0</v>
      </c>
      <c r="L6556" t="n">
        <v>0</v>
      </c>
      <c r="M6556" t="n">
        <v>0</v>
      </c>
      <c r="N6556" t="n">
        <v>0</v>
      </c>
      <c r="O6556" t="n">
        <v>0</v>
      </c>
      <c r="P6556" t="n">
        <v>0</v>
      </c>
      <c r="Q6556" t="n">
        <v>0</v>
      </c>
      <c r="R6556" s="2" t="inlineStr"/>
    </row>
    <row r="6557" ht="15" customHeight="1">
      <c r="A6557" t="inlineStr">
        <is>
          <t>A 18377-2025</t>
        </is>
      </c>
      <c r="B6557" s="1" t="n">
        <v>45762.57496527778</v>
      </c>
      <c r="C6557" s="1" t="n">
        <v>46075</v>
      </c>
      <c r="D6557" t="inlineStr">
        <is>
          <t>VÄSTERBOTTENS LÄN</t>
        </is>
      </c>
      <c r="E6557" t="inlineStr">
        <is>
          <t>VÄNNÄS</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18380-2025</t>
        </is>
      </c>
      <c r="B6558" s="1" t="n">
        <v>45762.57891203704</v>
      </c>
      <c r="C6558" s="1" t="n">
        <v>46075</v>
      </c>
      <c r="D6558" t="inlineStr">
        <is>
          <t>VÄSTERBOTTENS LÄN</t>
        </is>
      </c>
      <c r="E6558" t="inlineStr">
        <is>
          <t>VÄNNÄS</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20305-2025</t>
        </is>
      </c>
      <c r="B6559" s="1" t="n">
        <v>45774.81648148148</v>
      </c>
      <c r="C6559" s="1" t="n">
        <v>46075</v>
      </c>
      <c r="D6559" t="inlineStr">
        <is>
          <t>VÄSTERBOTTENS LÄN</t>
        </is>
      </c>
      <c r="E6559" t="inlineStr">
        <is>
          <t>ÅSELE</t>
        </is>
      </c>
      <c r="G6559" t="n">
        <v>5.4</v>
      </c>
      <c r="H6559" t="n">
        <v>0</v>
      </c>
      <c r="I6559" t="n">
        <v>0</v>
      </c>
      <c r="J6559" t="n">
        <v>0</v>
      </c>
      <c r="K6559" t="n">
        <v>0</v>
      </c>
      <c r="L6559" t="n">
        <v>0</v>
      </c>
      <c r="M6559" t="n">
        <v>0</v>
      </c>
      <c r="N6559" t="n">
        <v>0</v>
      </c>
      <c r="O6559" t="n">
        <v>0</v>
      </c>
      <c r="P6559" t="n">
        <v>0</v>
      </c>
      <c r="Q6559" t="n">
        <v>0</v>
      </c>
      <c r="R6559" s="2" t="inlineStr"/>
    </row>
    <row r="6560" ht="15" customHeight="1">
      <c r="A6560" t="inlineStr">
        <is>
          <t>A 20324-2025</t>
        </is>
      </c>
      <c r="B6560" s="1" t="n">
        <v>45775</v>
      </c>
      <c r="C6560" s="1" t="n">
        <v>46075</v>
      </c>
      <c r="D6560" t="inlineStr">
        <is>
          <t>VÄSTERBOTTENS LÄN</t>
        </is>
      </c>
      <c r="E6560" t="inlineStr">
        <is>
          <t>VILHELMINA</t>
        </is>
      </c>
      <c r="G6560" t="n">
        <v>3.5</v>
      </c>
      <c r="H6560" t="n">
        <v>0</v>
      </c>
      <c r="I6560" t="n">
        <v>0</v>
      </c>
      <c r="J6560" t="n">
        <v>0</v>
      </c>
      <c r="K6560" t="n">
        <v>0</v>
      </c>
      <c r="L6560" t="n">
        <v>0</v>
      </c>
      <c r="M6560" t="n">
        <v>0</v>
      </c>
      <c r="N6560" t="n">
        <v>0</v>
      </c>
      <c r="O6560" t="n">
        <v>0</v>
      </c>
      <c r="P6560" t="n">
        <v>0</v>
      </c>
      <c r="Q6560" t="n">
        <v>0</v>
      </c>
      <c r="R6560" s="2" t="inlineStr"/>
    </row>
    <row r="6561" ht="15" customHeight="1">
      <c r="A6561" t="inlineStr">
        <is>
          <t>A 17981-2024</t>
        </is>
      </c>
      <c r="B6561" s="1" t="n">
        <v>45419</v>
      </c>
      <c r="C6561" s="1" t="n">
        <v>46075</v>
      </c>
      <c r="D6561" t="inlineStr">
        <is>
          <t>VÄSTERBOTTENS LÄN</t>
        </is>
      </c>
      <c r="E6561" t="inlineStr">
        <is>
          <t>VÄNNÄS</t>
        </is>
      </c>
      <c r="G6561" t="n">
        <v>2.2</v>
      </c>
      <c r="H6561" t="n">
        <v>0</v>
      </c>
      <c r="I6561" t="n">
        <v>0</v>
      </c>
      <c r="J6561" t="n">
        <v>0</v>
      </c>
      <c r="K6561" t="n">
        <v>0</v>
      </c>
      <c r="L6561" t="n">
        <v>0</v>
      </c>
      <c r="M6561" t="n">
        <v>0</v>
      </c>
      <c r="N6561" t="n">
        <v>0</v>
      </c>
      <c r="O6561" t="n">
        <v>0</v>
      </c>
      <c r="P6561" t="n">
        <v>0</v>
      </c>
      <c r="Q6561" t="n">
        <v>0</v>
      </c>
      <c r="R6561" s="2" t="inlineStr"/>
    </row>
    <row r="6562" ht="15" customHeight="1">
      <c r="A6562" t="inlineStr">
        <is>
          <t>A 59394-2023</t>
        </is>
      </c>
      <c r="B6562" s="1" t="n">
        <v>45253</v>
      </c>
      <c r="C6562" s="1" t="n">
        <v>46075</v>
      </c>
      <c r="D6562" t="inlineStr">
        <is>
          <t>VÄSTERBOTTENS LÄN</t>
        </is>
      </c>
      <c r="E6562" t="inlineStr">
        <is>
          <t>DOROTEA</t>
        </is>
      </c>
      <c r="G6562" t="n">
        <v>28.8</v>
      </c>
      <c r="H6562" t="n">
        <v>0</v>
      </c>
      <c r="I6562" t="n">
        <v>0</v>
      </c>
      <c r="J6562" t="n">
        <v>0</v>
      </c>
      <c r="K6562" t="n">
        <v>0</v>
      </c>
      <c r="L6562" t="n">
        <v>0</v>
      </c>
      <c r="M6562" t="n">
        <v>0</v>
      </c>
      <c r="N6562" t="n">
        <v>0</v>
      </c>
      <c r="O6562" t="n">
        <v>0</v>
      </c>
      <c r="P6562" t="n">
        <v>0</v>
      </c>
      <c r="Q6562" t="n">
        <v>0</v>
      </c>
      <c r="R6562" s="2" t="inlineStr"/>
    </row>
    <row r="6563" ht="15" customHeight="1">
      <c r="A6563" t="inlineStr">
        <is>
          <t>A 59404-2023</t>
        </is>
      </c>
      <c r="B6563" s="1" t="n">
        <v>45253.9267824074</v>
      </c>
      <c r="C6563" s="1" t="n">
        <v>46075</v>
      </c>
      <c r="D6563" t="inlineStr">
        <is>
          <t>VÄSTERBOTTENS LÄN</t>
        </is>
      </c>
      <c r="E6563" t="inlineStr">
        <is>
          <t>SKELLEFTEÅ</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59405-2023</t>
        </is>
      </c>
      <c r="B6564" s="1" t="n">
        <v>45253.9268287037</v>
      </c>
      <c r="C6564" s="1" t="n">
        <v>46075</v>
      </c>
      <c r="D6564" t="inlineStr">
        <is>
          <t>VÄSTERBOTTENS LÄN</t>
        </is>
      </c>
      <c r="E6564" t="inlineStr">
        <is>
          <t>SKELLEFTEÅ</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51290-2025</t>
        </is>
      </c>
      <c r="B6565" s="1" t="n">
        <v>45950.34587962963</v>
      </c>
      <c r="C6565" s="1" t="n">
        <v>46075</v>
      </c>
      <c r="D6565" t="inlineStr">
        <is>
          <t>VÄSTERBOTTENS LÄN</t>
        </is>
      </c>
      <c r="E6565" t="inlineStr">
        <is>
          <t>SKELLEFTEÅ</t>
        </is>
      </c>
      <c r="F6565" t="inlineStr">
        <is>
          <t>SCA</t>
        </is>
      </c>
      <c r="G6565" t="n">
        <v>3.3</v>
      </c>
      <c r="H6565" t="n">
        <v>0</v>
      </c>
      <c r="I6565" t="n">
        <v>0</v>
      </c>
      <c r="J6565" t="n">
        <v>0</v>
      </c>
      <c r="K6565" t="n">
        <v>0</v>
      </c>
      <c r="L6565" t="n">
        <v>0</v>
      </c>
      <c r="M6565" t="n">
        <v>0</v>
      </c>
      <c r="N6565" t="n">
        <v>0</v>
      </c>
      <c r="O6565" t="n">
        <v>0</v>
      </c>
      <c r="P6565" t="n">
        <v>0</v>
      </c>
      <c r="Q6565" t="n">
        <v>0</v>
      </c>
      <c r="R6565" s="2" t="inlineStr"/>
    </row>
    <row r="6566" ht="15" customHeight="1">
      <c r="A6566" t="inlineStr">
        <is>
          <t>A 52203-2023</t>
        </is>
      </c>
      <c r="B6566" s="1" t="n">
        <v>45224.42537037037</v>
      </c>
      <c r="C6566" s="1" t="n">
        <v>46075</v>
      </c>
      <c r="D6566" t="inlineStr">
        <is>
          <t>VÄSTERBOTTENS LÄN</t>
        </is>
      </c>
      <c r="E6566" t="inlineStr">
        <is>
          <t>SKELLEFTEÅ</t>
        </is>
      </c>
      <c r="F6566" t="inlineStr">
        <is>
          <t>Sveaskog</t>
        </is>
      </c>
      <c r="G6566" t="n">
        <v>4.1</v>
      </c>
      <c r="H6566" t="n">
        <v>0</v>
      </c>
      <c r="I6566" t="n">
        <v>0</v>
      </c>
      <c r="J6566" t="n">
        <v>0</v>
      </c>
      <c r="K6566" t="n">
        <v>0</v>
      </c>
      <c r="L6566" t="n">
        <v>0</v>
      </c>
      <c r="M6566" t="n">
        <v>0</v>
      </c>
      <c r="N6566" t="n">
        <v>0</v>
      </c>
      <c r="O6566" t="n">
        <v>0</v>
      </c>
      <c r="P6566" t="n">
        <v>0</v>
      </c>
      <c r="Q6566" t="n">
        <v>0</v>
      </c>
      <c r="R6566" s="2" t="inlineStr"/>
    </row>
    <row r="6567" ht="15" customHeight="1">
      <c r="A6567" t="inlineStr">
        <is>
          <t>A 51748-2025</t>
        </is>
      </c>
      <c r="B6567" s="1" t="n">
        <v>45951.61508101852</v>
      </c>
      <c r="C6567" s="1" t="n">
        <v>46075</v>
      </c>
      <c r="D6567" t="inlineStr">
        <is>
          <t>VÄSTERBOTTENS LÄN</t>
        </is>
      </c>
      <c r="E6567" t="inlineStr">
        <is>
          <t>LYCKSELE</t>
        </is>
      </c>
      <c r="F6567" t="inlineStr">
        <is>
          <t>SCA</t>
        </is>
      </c>
      <c r="G6567" t="n">
        <v>19.8</v>
      </c>
      <c r="H6567" t="n">
        <v>0</v>
      </c>
      <c r="I6567" t="n">
        <v>0</v>
      </c>
      <c r="J6567" t="n">
        <v>0</v>
      </c>
      <c r="K6567" t="n">
        <v>0</v>
      </c>
      <c r="L6567" t="n">
        <v>0</v>
      </c>
      <c r="M6567" t="n">
        <v>0</v>
      </c>
      <c r="N6567" t="n">
        <v>0</v>
      </c>
      <c r="O6567" t="n">
        <v>0</v>
      </c>
      <c r="P6567" t="n">
        <v>0</v>
      </c>
      <c r="Q6567" t="n">
        <v>0</v>
      </c>
      <c r="R6567" s="2" t="inlineStr"/>
    </row>
    <row r="6568" ht="15" customHeight="1">
      <c r="A6568" t="inlineStr">
        <is>
          <t>A 38555-2024</t>
        </is>
      </c>
      <c r="B6568" s="1" t="n">
        <v>45546</v>
      </c>
      <c r="C6568" s="1" t="n">
        <v>46075</v>
      </c>
      <c r="D6568" t="inlineStr">
        <is>
          <t>VÄSTERBOTTENS LÄN</t>
        </is>
      </c>
      <c r="E6568" t="inlineStr">
        <is>
          <t>VILHELMINA</t>
        </is>
      </c>
      <c r="G6568" t="n">
        <v>7.8</v>
      </c>
      <c r="H6568" t="n">
        <v>0</v>
      </c>
      <c r="I6568" t="n">
        <v>0</v>
      </c>
      <c r="J6568" t="n">
        <v>0</v>
      </c>
      <c r="K6568" t="n">
        <v>0</v>
      </c>
      <c r="L6568" t="n">
        <v>0</v>
      </c>
      <c r="M6568" t="n">
        <v>0</v>
      </c>
      <c r="N6568" t="n">
        <v>0</v>
      </c>
      <c r="O6568" t="n">
        <v>0</v>
      </c>
      <c r="P6568" t="n">
        <v>0</v>
      </c>
      <c r="Q6568" t="n">
        <v>0</v>
      </c>
      <c r="R6568" s="2" t="inlineStr"/>
    </row>
    <row r="6569" ht="15" customHeight="1">
      <c r="A6569" t="inlineStr">
        <is>
          <t>A 56754-2023</t>
        </is>
      </c>
      <c r="B6569" s="1" t="n">
        <v>45238</v>
      </c>
      <c r="C6569" s="1" t="n">
        <v>46075</v>
      </c>
      <c r="D6569" t="inlineStr">
        <is>
          <t>VÄSTERBOTTENS LÄN</t>
        </is>
      </c>
      <c r="E6569" t="inlineStr">
        <is>
          <t>VILHELMINA</t>
        </is>
      </c>
      <c r="F6569" t="inlineStr">
        <is>
          <t>Allmännings- och besparingsskogar</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51445-2025</t>
        </is>
      </c>
      <c r="B6570" s="1" t="n">
        <v>45950.58671296296</v>
      </c>
      <c r="C6570" s="1" t="n">
        <v>46075</v>
      </c>
      <c r="D6570" t="inlineStr">
        <is>
          <t>VÄSTERBOTTENS LÄN</t>
        </is>
      </c>
      <c r="E6570" t="inlineStr">
        <is>
          <t>UMEÅ</t>
        </is>
      </c>
      <c r="F6570" t="inlineStr">
        <is>
          <t>Sveaskog</t>
        </is>
      </c>
      <c r="G6570" t="n">
        <v>3.4</v>
      </c>
      <c r="H6570" t="n">
        <v>0</v>
      </c>
      <c r="I6570" t="n">
        <v>0</v>
      </c>
      <c r="J6570" t="n">
        <v>0</v>
      </c>
      <c r="K6570" t="n">
        <v>0</v>
      </c>
      <c r="L6570" t="n">
        <v>0</v>
      </c>
      <c r="M6570" t="n">
        <v>0</v>
      </c>
      <c r="N6570" t="n">
        <v>0</v>
      </c>
      <c r="O6570" t="n">
        <v>0</v>
      </c>
      <c r="P6570" t="n">
        <v>0</v>
      </c>
      <c r="Q6570" t="n">
        <v>0</v>
      </c>
      <c r="R6570" s="2" t="inlineStr"/>
    </row>
    <row r="6571" ht="15" customHeight="1">
      <c r="A6571" t="inlineStr">
        <is>
          <t>A 51280-2025</t>
        </is>
      </c>
      <c r="B6571" s="1" t="n">
        <v>45950.3259837963</v>
      </c>
      <c r="C6571" s="1" t="n">
        <v>46075</v>
      </c>
      <c r="D6571" t="inlineStr">
        <is>
          <t>VÄSTERBOTTENS LÄN</t>
        </is>
      </c>
      <c r="E6571" t="inlineStr">
        <is>
          <t>UMEÅ</t>
        </is>
      </c>
      <c r="G6571" t="n">
        <v>7.8</v>
      </c>
      <c r="H6571" t="n">
        <v>0</v>
      </c>
      <c r="I6571" t="n">
        <v>0</v>
      </c>
      <c r="J6571" t="n">
        <v>0</v>
      </c>
      <c r="K6571" t="n">
        <v>0</v>
      </c>
      <c r="L6571" t="n">
        <v>0</v>
      </c>
      <c r="M6571" t="n">
        <v>0</v>
      </c>
      <c r="N6571" t="n">
        <v>0</v>
      </c>
      <c r="O6571" t="n">
        <v>0</v>
      </c>
      <c r="P6571" t="n">
        <v>0</v>
      </c>
      <c r="Q6571" t="n">
        <v>0</v>
      </c>
      <c r="R6571" s="2" t="inlineStr"/>
    </row>
    <row r="6572" ht="15" customHeight="1">
      <c r="A6572" t="inlineStr">
        <is>
          <t>A 32408-2024</t>
        </is>
      </c>
      <c r="B6572" s="1" t="n">
        <v>45512.68542824074</v>
      </c>
      <c r="C6572" s="1" t="n">
        <v>46075</v>
      </c>
      <c r="D6572" t="inlineStr">
        <is>
          <t>VÄSTERBOTTENS LÄN</t>
        </is>
      </c>
      <c r="E6572" t="inlineStr">
        <is>
          <t>LYCKSELE</t>
        </is>
      </c>
      <c r="F6572" t="inlineStr">
        <is>
          <t>Naturvårdsverket</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51312-2025</t>
        </is>
      </c>
      <c r="B6573" s="1" t="n">
        <v>45950.37475694445</v>
      </c>
      <c r="C6573" s="1" t="n">
        <v>46075</v>
      </c>
      <c r="D6573" t="inlineStr">
        <is>
          <t>VÄSTERBOTTENS LÄN</t>
        </is>
      </c>
      <c r="E6573" t="inlineStr">
        <is>
          <t>SKELLEFTEÅ</t>
        </is>
      </c>
      <c r="F6573" t="inlineStr">
        <is>
          <t>Holmen skog AB</t>
        </is>
      </c>
      <c r="G6573" t="n">
        <v>2.6</v>
      </c>
      <c r="H6573" t="n">
        <v>0</v>
      </c>
      <c r="I6573" t="n">
        <v>0</v>
      </c>
      <c r="J6573" t="n">
        <v>0</v>
      </c>
      <c r="K6573" t="n">
        <v>0</v>
      </c>
      <c r="L6573" t="n">
        <v>0</v>
      </c>
      <c r="M6573" t="n">
        <v>0</v>
      </c>
      <c r="N6573" t="n">
        <v>0</v>
      </c>
      <c r="O6573" t="n">
        <v>0</v>
      </c>
      <c r="P6573" t="n">
        <v>0</v>
      </c>
      <c r="Q6573" t="n">
        <v>0</v>
      </c>
      <c r="R6573" s="2" t="inlineStr"/>
    </row>
    <row r="6574" ht="15" customHeight="1">
      <c r="A6574" t="inlineStr">
        <is>
          <t>A 25453-2024</t>
        </is>
      </c>
      <c r="B6574" s="1" t="n">
        <v>45463.42144675926</v>
      </c>
      <c r="C6574" s="1" t="n">
        <v>46075</v>
      </c>
      <c r="D6574" t="inlineStr">
        <is>
          <t>VÄSTERBOTTENS LÄN</t>
        </is>
      </c>
      <c r="E6574" t="inlineStr">
        <is>
          <t>VÄNNÄS</t>
        </is>
      </c>
      <c r="G6574" t="n">
        <v>0.3</v>
      </c>
      <c r="H6574" t="n">
        <v>0</v>
      </c>
      <c r="I6574" t="n">
        <v>0</v>
      </c>
      <c r="J6574" t="n">
        <v>0</v>
      </c>
      <c r="K6574" t="n">
        <v>0</v>
      </c>
      <c r="L6574" t="n">
        <v>0</v>
      </c>
      <c r="M6574" t="n">
        <v>0</v>
      </c>
      <c r="N6574" t="n">
        <v>0</v>
      </c>
      <c r="O6574" t="n">
        <v>0</v>
      </c>
      <c r="P6574" t="n">
        <v>0</v>
      </c>
      <c r="Q6574" t="n">
        <v>0</v>
      </c>
      <c r="R6574" s="2" t="inlineStr"/>
    </row>
    <row r="6575" ht="15" customHeight="1">
      <c r="A6575" t="inlineStr">
        <is>
          <t>A 51641-2025</t>
        </is>
      </c>
      <c r="B6575" s="1" t="n">
        <v>45951.44424768518</v>
      </c>
      <c r="C6575" s="1" t="n">
        <v>46075</v>
      </c>
      <c r="D6575" t="inlineStr">
        <is>
          <t>VÄSTERBOTTENS LÄN</t>
        </is>
      </c>
      <c r="E6575" t="inlineStr">
        <is>
          <t>SKELLEFTEÅ</t>
        </is>
      </c>
      <c r="F6575" t="inlineStr">
        <is>
          <t>Sveaskog</t>
        </is>
      </c>
      <c r="G6575" t="n">
        <v>4</v>
      </c>
      <c r="H6575" t="n">
        <v>0</v>
      </c>
      <c r="I6575" t="n">
        <v>0</v>
      </c>
      <c r="J6575" t="n">
        <v>0</v>
      </c>
      <c r="K6575" t="n">
        <v>0</v>
      </c>
      <c r="L6575" t="n">
        <v>0</v>
      </c>
      <c r="M6575" t="n">
        <v>0</v>
      </c>
      <c r="N6575" t="n">
        <v>0</v>
      </c>
      <c r="O6575" t="n">
        <v>0</v>
      </c>
      <c r="P6575" t="n">
        <v>0</v>
      </c>
      <c r="Q6575" t="n">
        <v>0</v>
      </c>
      <c r="R6575" s="2" t="inlineStr"/>
    </row>
    <row r="6576" ht="15" customHeight="1">
      <c r="A6576" t="inlineStr">
        <is>
          <t>A 51660-2025</t>
        </is>
      </c>
      <c r="B6576" s="1" t="n">
        <v>45951.4765162037</v>
      </c>
      <c r="C6576" s="1" t="n">
        <v>46075</v>
      </c>
      <c r="D6576" t="inlineStr">
        <is>
          <t>VÄSTERBOTTENS LÄN</t>
        </is>
      </c>
      <c r="E6576" t="inlineStr">
        <is>
          <t>SKELLEFTEÅ</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51518-2025</t>
        </is>
      </c>
      <c r="B6577" s="1" t="n">
        <v>45950.65675925926</v>
      </c>
      <c r="C6577" s="1" t="n">
        <v>46075</v>
      </c>
      <c r="D6577" t="inlineStr">
        <is>
          <t>VÄSTERBOTTENS LÄN</t>
        </is>
      </c>
      <c r="E6577" t="inlineStr">
        <is>
          <t>ÅSELE</t>
        </is>
      </c>
      <c r="F6577" t="inlineStr">
        <is>
          <t>SCA</t>
        </is>
      </c>
      <c r="G6577" t="n">
        <v>5.4</v>
      </c>
      <c r="H6577" t="n">
        <v>0</v>
      </c>
      <c r="I6577" t="n">
        <v>0</v>
      </c>
      <c r="J6577" t="n">
        <v>0</v>
      </c>
      <c r="K6577" t="n">
        <v>0</v>
      </c>
      <c r="L6577" t="n">
        <v>0</v>
      </c>
      <c r="M6577" t="n">
        <v>0</v>
      </c>
      <c r="N6577" t="n">
        <v>0</v>
      </c>
      <c r="O6577" t="n">
        <v>0</v>
      </c>
      <c r="P6577" t="n">
        <v>0</v>
      </c>
      <c r="Q6577" t="n">
        <v>0</v>
      </c>
      <c r="R6577" s="2" t="inlineStr"/>
    </row>
    <row r="6578" ht="15" customHeight="1">
      <c r="A6578" t="inlineStr">
        <is>
          <t>A 51762-2025</t>
        </is>
      </c>
      <c r="B6578" s="1" t="n">
        <v>45951.63605324074</v>
      </c>
      <c r="C6578" s="1" t="n">
        <v>46075</v>
      </c>
      <c r="D6578" t="inlineStr">
        <is>
          <t>VÄSTERBOTTENS LÄN</t>
        </is>
      </c>
      <c r="E6578" t="inlineStr">
        <is>
          <t>NORDMALING</t>
        </is>
      </c>
      <c r="G6578" t="n">
        <v>3.3</v>
      </c>
      <c r="H6578" t="n">
        <v>0</v>
      </c>
      <c r="I6578" t="n">
        <v>0</v>
      </c>
      <c r="J6578" t="n">
        <v>0</v>
      </c>
      <c r="K6578" t="n">
        <v>0</v>
      </c>
      <c r="L6578" t="n">
        <v>0</v>
      </c>
      <c r="M6578" t="n">
        <v>0</v>
      </c>
      <c r="N6578" t="n">
        <v>0</v>
      </c>
      <c r="O6578" t="n">
        <v>0</v>
      </c>
      <c r="P6578" t="n">
        <v>0</v>
      </c>
      <c r="Q6578" t="n">
        <v>0</v>
      </c>
      <c r="R6578" s="2" t="inlineStr"/>
    </row>
    <row r="6579" ht="15" customHeight="1">
      <c r="A6579" t="inlineStr">
        <is>
          <t>A 31397-2023</t>
        </is>
      </c>
      <c r="B6579" s="1" t="n">
        <v>45114</v>
      </c>
      <c r="C6579" s="1" t="n">
        <v>46075</v>
      </c>
      <c r="D6579" t="inlineStr">
        <is>
          <t>VÄSTERBOTTENS LÄN</t>
        </is>
      </c>
      <c r="E6579" t="inlineStr">
        <is>
          <t>VINDELN</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51319-2025</t>
        </is>
      </c>
      <c r="B6580" s="1" t="n">
        <v>45950.38591435185</v>
      </c>
      <c r="C6580" s="1" t="n">
        <v>46075</v>
      </c>
      <c r="D6580" t="inlineStr">
        <is>
          <t>VÄSTERBOTTENS LÄN</t>
        </is>
      </c>
      <c r="E6580" t="inlineStr">
        <is>
          <t>ÅSELE</t>
        </is>
      </c>
      <c r="F6580" t="inlineStr">
        <is>
          <t>SCA</t>
        </is>
      </c>
      <c r="G6580" t="n">
        <v>5.2</v>
      </c>
      <c r="H6580" t="n">
        <v>0</v>
      </c>
      <c r="I6580" t="n">
        <v>0</v>
      </c>
      <c r="J6580" t="n">
        <v>0</v>
      </c>
      <c r="K6580" t="n">
        <v>0</v>
      </c>
      <c r="L6580" t="n">
        <v>0</v>
      </c>
      <c r="M6580" t="n">
        <v>0</v>
      </c>
      <c r="N6580" t="n">
        <v>0</v>
      </c>
      <c r="O6580" t="n">
        <v>0</v>
      </c>
      <c r="P6580" t="n">
        <v>0</v>
      </c>
      <c r="Q6580" t="n">
        <v>0</v>
      </c>
      <c r="R6580" s="2" t="inlineStr"/>
    </row>
    <row r="6581" ht="15" customHeight="1">
      <c r="A6581" t="inlineStr">
        <is>
          <t>A 51419-2025</t>
        </is>
      </c>
      <c r="B6581" s="1" t="n">
        <v>45950.51460648148</v>
      </c>
      <c r="C6581" s="1" t="n">
        <v>46075</v>
      </c>
      <c r="D6581" t="inlineStr">
        <is>
          <t>VÄSTERBOTTENS LÄN</t>
        </is>
      </c>
      <c r="E6581" t="inlineStr">
        <is>
          <t>ROBERTSFORS</t>
        </is>
      </c>
      <c r="G6581" t="n">
        <v>2</v>
      </c>
      <c r="H6581" t="n">
        <v>0</v>
      </c>
      <c r="I6581" t="n">
        <v>0</v>
      </c>
      <c r="J6581" t="n">
        <v>0</v>
      </c>
      <c r="K6581" t="n">
        <v>0</v>
      </c>
      <c r="L6581" t="n">
        <v>0</v>
      </c>
      <c r="M6581" t="n">
        <v>0</v>
      </c>
      <c r="N6581" t="n">
        <v>0</v>
      </c>
      <c r="O6581" t="n">
        <v>0</v>
      </c>
      <c r="P6581" t="n">
        <v>0</v>
      </c>
      <c r="Q6581" t="n">
        <v>0</v>
      </c>
      <c r="R6581" s="2" t="inlineStr"/>
    </row>
    <row r="6582" ht="15" customHeight="1">
      <c r="A6582" t="inlineStr">
        <is>
          <t>A 51420-2025</t>
        </is>
      </c>
      <c r="B6582" s="1" t="n">
        <v>45950.51708333333</v>
      </c>
      <c r="C6582" s="1" t="n">
        <v>46075</v>
      </c>
      <c r="D6582" t="inlineStr">
        <is>
          <t>VÄSTERBOTTENS LÄN</t>
        </is>
      </c>
      <c r="E6582" t="inlineStr">
        <is>
          <t>SKELLEFTEÅ</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15979-2024</t>
        </is>
      </c>
      <c r="B6583" s="1" t="n">
        <v>45405</v>
      </c>
      <c r="C6583" s="1" t="n">
        <v>46075</v>
      </c>
      <c r="D6583" t="inlineStr">
        <is>
          <t>VÄSTERBOTTENS LÄN</t>
        </is>
      </c>
      <c r="E6583" t="inlineStr">
        <is>
          <t>UMEÅ</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54662-2024</t>
        </is>
      </c>
      <c r="B6584" s="1" t="n">
        <v>45618.31710648148</v>
      </c>
      <c r="C6584" s="1" t="n">
        <v>46075</v>
      </c>
      <c r="D6584" t="inlineStr">
        <is>
          <t>VÄSTERBOTTENS LÄN</t>
        </is>
      </c>
      <c r="E6584" t="inlineStr">
        <is>
          <t>SKELLEFTEÅ</t>
        </is>
      </c>
      <c r="F6584" t="inlineStr">
        <is>
          <t>Sveaskog</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51667-2025</t>
        </is>
      </c>
      <c r="B6585" s="1" t="n">
        <v>45951.4958449074</v>
      </c>
      <c r="C6585" s="1" t="n">
        <v>46075</v>
      </c>
      <c r="D6585" t="inlineStr">
        <is>
          <t>VÄSTERBOTTENS LÄN</t>
        </is>
      </c>
      <c r="E6585" t="inlineStr">
        <is>
          <t>SKELLEFTEÅ</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51670-2025</t>
        </is>
      </c>
      <c r="B6586" s="1" t="n">
        <v>45951.49685185185</v>
      </c>
      <c r="C6586" s="1" t="n">
        <v>46075</v>
      </c>
      <c r="D6586" t="inlineStr">
        <is>
          <t>VÄSTERBOTTENS LÄN</t>
        </is>
      </c>
      <c r="E6586" t="inlineStr">
        <is>
          <t>SKELLEFTEÅ</t>
        </is>
      </c>
      <c r="F6586" t="inlineStr">
        <is>
          <t>Holmen skog AB</t>
        </is>
      </c>
      <c r="G6586" t="n">
        <v>8.9</v>
      </c>
      <c r="H6586" t="n">
        <v>0</v>
      </c>
      <c r="I6586" t="n">
        <v>0</v>
      </c>
      <c r="J6586" t="n">
        <v>0</v>
      </c>
      <c r="K6586" t="n">
        <v>0</v>
      </c>
      <c r="L6586" t="n">
        <v>0</v>
      </c>
      <c r="M6586" t="n">
        <v>0</v>
      </c>
      <c r="N6586" t="n">
        <v>0</v>
      </c>
      <c r="O6586" t="n">
        <v>0</v>
      </c>
      <c r="P6586" t="n">
        <v>0</v>
      </c>
      <c r="Q6586" t="n">
        <v>0</v>
      </c>
      <c r="R6586" s="2" t="inlineStr"/>
    </row>
    <row r="6587" ht="15" customHeight="1">
      <c r="A6587" t="inlineStr">
        <is>
          <t>A 51350-2025</t>
        </is>
      </c>
      <c r="B6587" s="1" t="n">
        <v>45950.43576388889</v>
      </c>
      <c r="C6587" s="1" t="n">
        <v>46075</v>
      </c>
      <c r="D6587" t="inlineStr">
        <is>
          <t>VÄSTERBOTTENS LÄN</t>
        </is>
      </c>
      <c r="E6587" t="inlineStr">
        <is>
          <t>SKELLEFTEÅ</t>
        </is>
      </c>
      <c r="G6587" t="n">
        <v>2.5</v>
      </c>
      <c r="H6587" t="n">
        <v>0</v>
      </c>
      <c r="I6587" t="n">
        <v>0</v>
      </c>
      <c r="J6587" t="n">
        <v>0</v>
      </c>
      <c r="K6587" t="n">
        <v>0</v>
      </c>
      <c r="L6587" t="n">
        <v>0</v>
      </c>
      <c r="M6587" t="n">
        <v>0</v>
      </c>
      <c r="N6587" t="n">
        <v>0</v>
      </c>
      <c r="O6587" t="n">
        <v>0</v>
      </c>
      <c r="P6587" t="n">
        <v>0</v>
      </c>
      <c r="Q6587" t="n">
        <v>0</v>
      </c>
      <c r="R6587" s="2" t="inlineStr"/>
    </row>
    <row r="6588" ht="15" customHeight="1">
      <c r="A6588" t="inlineStr">
        <is>
          <t>A 62583-2022</t>
        </is>
      </c>
      <c r="B6588" s="1" t="n">
        <v>44924</v>
      </c>
      <c r="C6588" s="1" t="n">
        <v>46075</v>
      </c>
      <c r="D6588" t="inlineStr">
        <is>
          <t>VÄSTERBOTTENS LÄN</t>
        </is>
      </c>
      <c r="E6588" t="inlineStr">
        <is>
          <t>VINDELN</t>
        </is>
      </c>
      <c r="F6588" t="inlineStr">
        <is>
          <t>SCA</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51348-2025</t>
        </is>
      </c>
      <c r="B6589" s="1" t="n">
        <v>45950.43511574074</v>
      </c>
      <c r="C6589" s="1" t="n">
        <v>46075</v>
      </c>
      <c r="D6589" t="inlineStr">
        <is>
          <t>VÄSTERBOTTENS LÄN</t>
        </is>
      </c>
      <c r="E6589" t="inlineStr">
        <is>
          <t>SKELLEFTEÅ</t>
        </is>
      </c>
      <c r="G6589" t="n">
        <v>6.6</v>
      </c>
      <c r="H6589" t="n">
        <v>0</v>
      </c>
      <c r="I6589" t="n">
        <v>0</v>
      </c>
      <c r="J6589" t="n">
        <v>0</v>
      </c>
      <c r="K6589" t="n">
        <v>0</v>
      </c>
      <c r="L6589" t="n">
        <v>0</v>
      </c>
      <c r="M6589" t="n">
        <v>0</v>
      </c>
      <c r="N6589" t="n">
        <v>0</v>
      </c>
      <c r="O6589" t="n">
        <v>0</v>
      </c>
      <c r="P6589" t="n">
        <v>0</v>
      </c>
      <c r="Q6589" t="n">
        <v>0</v>
      </c>
      <c r="R6589" s="2" t="inlineStr"/>
    </row>
    <row r="6590" ht="15" customHeight="1">
      <c r="A6590" t="inlineStr">
        <is>
          <t>A 51716-2025</t>
        </is>
      </c>
      <c r="B6590" s="1" t="n">
        <v>45951.5771875</v>
      </c>
      <c r="C6590" s="1" t="n">
        <v>46075</v>
      </c>
      <c r="D6590" t="inlineStr">
        <is>
          <t>VÄSTERBOTTENS LÄN</t>
        </is>
      </c>
      <c r="E6590" t="inlineStr">
        <is>
          <t>UMEÅ</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51289-2025</t>
        </is>
      </c>
      <c r="B6591" s="1" t="n">
        <v>45950.34569444445</v>
      </c>
      <c r="C6591" s="1" t="n">
        <v>46075</v>
      </c>
      <c r="D6591" t="inlineStr">
        <is>
          <t>VÄSTERBOTTENS LÄN</t>
        </is>
      </c>
      <c r="E6591" t="inlineStr">
        <is>
          <t>SKELLEFTEÅ</t>
        </is>
      </c>
      <c r="F6591" t="inlineStr">
        <is>
          <t>SCA</t>
        </is>
      </c>
      <c r="G6591" t="n">
        <v>10.6</v>
      </c>
      <c r="H6591" t="n">
        <v>0</v>
      </c>
      <c r="I6591" t="n">
        <v>0</v>
      </c>
      <c r="J6591" t="n">
        <v>0</v>
      </c>
      <c r="K6591" t="n">
        <v>0</v>
      </c>
      <c r="L6591" t="n">
        <v>0</v>
      </c>
      <c r="M6591" t="n">
        <v>0</v>
      </c>
      <c r="N6591" t="n">
        <v>0</v>
      </c>
      <c r="O6591" t="n">
        <v>0</v>
      </c>
      <c r="P6591" t="n">
        <v>0</v>
      </c>
      <c r="Q6591" t="n">
        <v>0</v>
      </c>
      <c r="R6591" s="2" t="inlineStr"/>
    </row>
    <row r="6592" ht="15" customHeight="1">
      <c r="A6592" t="inlineStr">
        <is>
          <t>A 51305-2025</t>
        </is>
      </c>
      <c r="B6592" s="1" t="n">
        <v>45950.36554398148</v>
      </c>
      <c r="C6592" s="1" t="n">
        <v>46075</v>
      </c>
      <c r="D6592" t="inlineStr">
        <is>
          <t>VÄSTERBOTTENS LÄN</t>
        </is>
      </c>
      <c r="E6592" t="inlineStr">
        <is>
          <t>ÅSELE</t>
        </is>
      </c>
      <c r="F6592" t="inlineStr">
        <is>
          <t>SCA</t>
        </is>
      </c>
      <c r="G6592" t="n">
        <v>6.6</v>
      </c>
      <c r="H6592" t="n">
        <v>0</v>
      </c>
      <c r="I6592" t="n">
        <v>0</v>
      </c>
      <c r="J6592" t="n">
        <v>0</v>
      </c>
      <c r="K6592" t="n">
        <v>0</v>
      </c>
      <c r="L6592" t="n">
        <v>0</v>
      </c>
      <c r="M6592" t="n">
        <v>0</v>
      </c>
      <c r="N6592" t="n">
        <v>0</v>
      </c>
      <c r="O6592" t="n">
        <v>0</v>
      </c>
      <c r="P6592" t="n">
        <v>0</v>
      </c>
      <c r="Q6592" t="n">
        <v>0</v>
      </c>
      <c r="R6592" s="2" t="inlineStr"/>
    </row>
    <row r="6593" ht="15" customHeight="1">
      <c r="A6593" t="inlineStr">
        <is>
          <t>A 15808-2023</t>
        </is>
      </c>
      <c r="B6593" s="1" t="n">
        <v>45021</v>
      </c>
      <c r="C6593" s="1" t="n">
        <v>46075</v>
      </c>
      <c r="D6593" t="inlineStr">
        <is>
          <t>VÄSTERBOTTENS LÄN</t>
        </is>
      </c>
      <c r="E6593" t="inlineStr">
        <is>
          <t>NORDMALING</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35293-2023</t>
        </is>
      </c>
      <c r="B6594" s="1" t="n">
        <v>45145</v>
      </c>
      <c r="C6594" s="1" t="n">
        <v>46075</v>
      </c>
      <c r="D6594" t="inlineStr">
        <is>
          <t>VÄSTERBOTTENS LÄN</t>
        </is>
      </c>
      <c r="E6594" t="inlineStr">
        <is>
          <t>VINDELN</t>
        </is>
      </c>
      <c r="F6594" t="inlineStr">
        <is>
          <t>SCA</t>
        </is>
      </c>
      <c r="G6594" t="n">
        <v>3.3</v>
      </c>
      <c r="H6594" t="n">
        <v>0</v>
      </c>
      <c r="I6594" t="n">
        <v>0</v>
      </c>
      <c r="J6594" t="n">
        <v>0</v>
      </c>
      <c r="K6594" t="n">
        <v>0</v>
      </c>
      <c r="L6594" t="n">
        <v>0</v>
      </c>
      <c r="M6594" t="n">
        <v>0</v>
      </c>
      <c r="N6594" t="n">
        <v>0</v>
      </c>
      <c r="O6594" t="n">
        <v>0</v>
      </c>
      <c r="P6594" t="n">
        <v>0</v>
      </c>
      <c r="Q6594" t="n">
        <v>0</v>
      </c>
      <c r="R6594" s="2" t="inlineStr"/>
    </row>
    <row r="6595" ht="15" customHeight="1">
      <c r="A6595" t="inlineStr">
        <is>
          <t>A 1006-2023</t>
        </is>
      </c>
      <c r="B6595" s="1" t="n">
        <v>44935</v>
      </c>
      <c r="C6595" s="1" t="n">
        <v>46075</v>
      </c>
      <c r="D6595" t="inlineStr">
        <is>
          <t>VÄSTERBOTTENS LÄN</t>
        </is>
      </c>
      <c r="E6595" t="inlineStr">
        <is>
          <t>VÄNNÄS</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15809-2023</t>
        </is>
      </c>
      <c r="B6596" s="1" t="n">
        <v>45021</v>
      </c>
      <c r="C6596" s="1" t="n">
        <v>46075</v>
      </c>
      <c r="D6596" t="inlineStr">
        <is>
          <t>VÄSTERBOTTENS LÄN</t>
        </is>
      </c>
      <c r="E6596" t="inlineStr">
        <is>
          <t>LYCKSELE</t>
        </is>
      </c>
      <c r="G6596" t="n">
        <v>5.4</v>
      </c>
      <c r="H6596" t="n">
        <v>0</v>
      </c>
      <c r="I6596" t="n">
        <v>0</v>
      </c>
      <c r="J6596" t="n">
        <v>0</v>
      </c>
      <c r="K6596" t="n">
        <v>0</v>
      </c>
      <c r="L6596" t="n">
        <v>0</v>
      </c>
      <c r="M6596" t="n">
        <v>0</v>
      </c>
      <c r="N6596" t="n">
        <v>0</v>
      </c>
      <c r="O6596" t="n">
        <v>0</v>
      </c>
      <c r="P6596" t="n">
        <v>0</v>
      </c>
      <c r="Q6596" t="n">
        <v>0</v>
      </c>
      <c r="R6596" s="2" t="inlineStr"/>
    </row>
    <row r="6597" ht="15" customHeight="1">
      <c r="A6597" t="inlineStr">
        <is>
          <t>A 36959-2024</t>
        </is>
      </c>
      <c r="B6597" s="1" t="n">
        <v>45538</v>
      </c>
      <c r="C6597" s="1" t="n">
        <v>46075</v>
      </c>
      <c r="D6597" t="inlineStr">
        <is>
          <t>VÄSTERBOTTENS LÄN</t>
        </is>
      </c>
      <c r="E6597" t="inlineStr">
        <is>
          <t>ÅSELE</t>
        </is>
      </c>
      <c r="F6597" t="inlineStr">
        <is>
          <t>Naturvårdsverket</t>
        </is>
      </c>
      <c r="G6597" t="n">
        <v>13.4</v>
      </c>
      <c r="H6597" t="n">
        <v>0</v>
      </c>
      <c r="I6597" t="n">
        <v>0</v>
      </c>
      <c r="J6597" t="n">
        <v>0</v>
      </c>
      <c r="K6597" t="n">
        <v>0</v>
      </c>
      <c r="L6597" t="n">
        <v>0</v>
      </c>
      <c r="M6597" t="n">
        <v>0</v>
      </c>
      <c r="N6597" t="n">
        <v>0</v>
      </c>
      <c r="O6597" t="n">
        <v>0</v>
      </c>
      <c r="P6597" t="n">
        <v>0</v>
      </c>
      <c r="Q6597" t="n">
        <v>0</v>
      </c>
      <c r="R6597" s="2" t="inlineStr"/>
    </row>
    <row r="6598" ht="15" customHeight="1">
      <c r="A6598" t="inlineStr">
        <is>
          <t>A 51438-2025</t>
        </is>
      </c>
      <c r="B6598" s="1" t="n">
        <v>45950.56954861111</v>
      </c>
      <c r="C6598" s="1" t="n">
        <v>46075</v>
      </c>
      <c r="D6598" t="inlineStr">
        <is>
          <t>VÄSTERBOTTENS LÄN</t>
        </is>
      </c>
      <c r="E6598" t="inlineStr">
        <is>
          <t>SKELLEFTEÅ</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60151-2024</t>
        </is>
      </c>
      <c r="B6599" s="1" t="n">
        <v>45642.61490740741</v>
      </c>
      <c r="C6599" s="1" t="n">
        <v>46075</v>
      </c>
      <c r="D6599" t="inlineStr">
        <is>
          <t>VÄSTERBOTTENS LÄN</t>
        </is>
      </c>
      <c r="E6599" t="inlineStr">
        <is>
          <t>VILHELMINA</t>
        </is>
      </c>
      <c r="F6599" t="inlineStr">
        <is>
          <t>SCA</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60162-2024</t>
        </is>
      </c>
      <c r="B6600" s="1" t="n">
        <v>45642</v>
      </c>
      <c r="C6600" s="1" t="n">
        <v>46075</v>
      </c>
      <c r="D6600" t="inlineStr">
        <is>
          <t>VÄSTERBOTTENS LÄN</t>
        </is>
      </c>
      <c r="E6600" t="inlineStr">
        <is>
          <t>DOROTEA</t>
        </is>
      </c>
      <c r="G6600" t="n">
        <v>4.7</v>
      </c>
      <c r="H6600" t="n">
        <v>0</v>
      </c>
      <c r="I6600" t="n">
        <v>0</v>
      </c>
      <c r="J6600" t="n">
        <v>0</v>
      </c>
      <c r="K6600" t="n">
        <v>0</v>
      </c>
      <c r="L6600" t="n">
        <v>0</v>
      </c>
      <c r="M6600" t="n">
        <v>0</v>
      </c>
      <c r="N6600" t="n">
        <v>0</v>
      </c>
      <c r="O6600" t="n">
        <v>0</v>
      </c>
      <c r="P6600" t="n">
        <v>0</v>
      </c>
      <c r="Q6600" t="n">
        <v>0</v>
      </c>
      <c r="R6600" s="2" t="inlineStr"/>
    </row>
    <row r="6601" ht="15" customHeight="1">
      <c r="A6601" t="inlineStr">
        <is>
          <t>A 60209-2024</t>
        </is>
      </c>
      <c r="B6601" s="1" t="n">
        <v>45642</v>
      </c>
      <c r="C6601" s="1" t="n">
        <v>46075</v>
      </c>
      <c r="D6601" t="inlineStr">
        <is>
          <t>VÄSTERBOTTENS LÄN</t>
        </is>
      </c>
      <c r="E6601" t="inlineStr">
        <is>
          <t>SKELLEFTEÅ</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18700-2025</t>
        </is>
      </c>
      <c r="B6602" s="1" t="n">
        <v>45763.62945601852</v>
      </c>
      <c r="C6602" s="1" t="n">
        <v>46075</v>
      </c>
      <c r="D6602" t="inlineStr">
        <is>
          <t>VÄSTERBOTTENS LÄN</t>
        </is>
      </c>
      <c r="E6602" t="inlineStr">
        <is>
          <t>SKELLEFTEÅ</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51250-2025</t>
        </is>
      </c>
      <c r="B6603" s="1" t="n">
        <v>45948.46230324074</v>
      </c>
      <c r="C6603" s="1" t="n">
        <v>46075</v>
      </c>
      <c r="D6603" t="inlineStr">
        <is>
          <t>VÄSTERBOTTENS LÄN</t>
        </is>
      </c>
      <c r="E6603" t="inlineStr">
        <is>
          <t>SKELLEFTEÅ</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987-2025</t>
        </is>
      </c>
      <c r="B6604" s="1" t="n">
        <v>45666</v>
      </c>
      <c r="C6604" s="1" t="n">
        <v>46075</v>
      </c>
      <c r="D6604" t="inlineStr">
        <is>
          <t>VÄSTERBOTTENS LÄN</t>
        </is>
      </c>
      <c r="E6604" t="inlineStr">
        <is>
          <t>LYCKSELE</t>
        </is>
      </c>
      <c r="G6604" t="n">
        <v>3</v>
      </c>
      <c r="H6604" t="n">
        <v>0</v>
      </c>
      <c r="I6604" t="n">
        <v>0</v>
      </c>
      <c r="J6604" t="n">
        <v>0</v>
      </c>
      <c r="K6604" t="n">
        <v>0</v>
      </c>
      <c r="L6604" t="n">
        <v>0</v>
      </c>
      <c r="M6604" t="n">
        <v>0</v>
      </c>
      <c r="N6604" t="n">
        <v>0</v>
      </c>
      <c r="O6604" t="n">
        <v>0</v>
      </c>
      <c r="P6604" t="n">
        <v>0</v>
      </c>
      <c r="Q6604" t="n">
        <v>0</v>
      </c>
      <c r="R6604" s="2" t="inlineStr"/>
    </row>
    <row r="6605" ht="15" customHeight="1">
      <c r="A6605" t="inlineStr">
        <is>
          <t>A 51594-2025</t>
        </is>
      </c>
      <c r="B6605" s="1" t="n">
        <v>45951.36555555555</v>
      </c>
      <c r="C6605" s="1" t="n">
        <v>46075</v>
      </c>
      <c r="D6605" t="inlineStr">
        <is>
          <t>VÄSTERBOTTENS LÄN</t>
        </is>
      </c>
      <c r="E6605" t="inlineStr">
        <is>
          <t>SKELLEFTEÅ</t>
        </is>
      </c>
      <c r="G6605" t="n">
        <v>3</v>
      </c>
      <c r="H6605" t="n">
        <v>0</v>
      </c>
      <c r="I6605" t="n">
        <v>0</v>
      </c>
      <c r="J6605" t="n">
        <v>0</v>
      </c>
      <c r="K6605" t="n">
        <v>0</v>
      </c>
      <c r="L6605" t="n">
        <v>0</v>
      </c>
      <c r="M6605" t="n">
        <v>0</v>
      </c>
      <c r="N6605" t="n">
        <v>0</v>
      </c>
      <c r="O6605" t="n">
        <v>0</v>
      </c>
      <c r="P6605" t="n">
        <v>0</v>
      </c>
      <c r="Q6605" t="n">
        <v>0</v>
      </c>
      <c r="R6605" s="2" t="inlineStr"/>
    </row>
    <row r="6606" ht="15" customHeight="1">
      <c r="A6606" t="inlineStr">
        <is>
          <t>A 51351-2025</t>
        </is>
      </c>
      <c r="B6606" s="1" t="n">
        <v>45950.43614583334</v>
      </c>
      <c r="C6606" s="1" t="n">
        <v>46075</v>
      </c>
      <c r="D6606" t="inlineStr">
        <is>
          <t>VÄSTERBOTTENS LÄN</t>
        </is>
      </c>
      <c r="E6606" t="inlineStr">
        <is>
          <t>SKELLEFTEÅ</t>
        </is>
      </c>
      <c r="G6606" t="n">
        <v>2.2</v>
      </c>
      <c r="H6606" t="n">
        <v>0</v>
      </c>
      <c r="I6606" t="n">
        <v>0</v>
      </c>
      <c r="J6606" t="n">
        <v>0</v>
      </c>
      <c r="K6606" t="n">
        <v>0</v>
      </c>
      <c r="L6606" t="n">
        <v>0</v>
      </c>
      <c r="M6606" t="n">
        <v>0</v>
      </c>
      <c r="N6606" t="n">
        <v>0</v>
      </c>
      <c r="O6606" t="n">
        <v>0</v>
      </c>
      <c r="P6606" t="n">
        <v>0</v>
      </c>
      <c r="Q6606" t="n">
        <v>0</v>
      </c>
      <c r="R6606" s="2" t="inlineStr"/>
    </row>
    <row r="6607" ht="15" customHeight="1">
      <c r="A6607" t="inlineStr">
        <is>
          <t>A 51327-2025</t>
        </is>
      </c>
      <c r="B6607" s="1" t="n">
        <v>45950.40690972222</v>
      </c>
      <c r="C6607" s="1" t="n">
        <v>46075</v>
      </c>
      <c r="D6607" t="inlineStr">
        <is>
          <t>VÄSTERBOTTENS LÄN</t>
        </is>
      </c>
      <c r="E6607" t="inlineStr">
        <is>
          <t>UMEÅ</t>
        </is>
      </c>
      <c r="G6607" t="n">
        <v>4.8</v>
      </c>
      <c r="H6607" t="n">
        <v>0</v>
      </c>
      <c r="I6607" t="n">
        <v>0</v>
      </c>
      <c r="J6607" t="n">
        <v>0</v>
      </c>
      <c r="K6607" t="n">
        <v>0</v>
      </c>
      <c r="L6607" t="n">
        <v>0</v>
      </c>
      <c r="M6607" t="n">
        <v>0</v>
      </c>
      <c r="N6607" t="n">
        <v>0</v>
      </c>
      <c r="O6607" t="n">
        <v>0</v>
      </c>
      <c r="P6607" t="n">
        <v>0</v>
      </c>
      <c r="Q6607" t="n">
        <v>0</v>
      </c>
      <c r="R6607" s="2" t="inlineStr"/>
    </row>
    <row r="6608" ht="15" customHeight="1">
      <c r="A6608" t="inlineStr">
        <is>
          <t>A 61793-2023</t>
        </is>
      </c>
      <c r="B6608" s="1" t="n">
        <v>45265.958125</v>
      </c>
      <c r="C6608" s="1" t="n">
        <v>46075</v>
      </c>
      <c r="D6608" t="inlineStr">
        <is>
          <t>VÄSTERBOTTENS LÄN</t>
        </is>
      </c>
      <c r="E6608" t="inlineStr">
        <is>
          <t>NORDMALING</t>
        </is>
      </c>
      <c r="F6608" t="inlineStr">
        <is>
          <t>SCA</t>
        </is>
      </c>
      <c r="G6608" t="n">
        <v>4.8</v>
      </c>
      <c r="H6608" t="n">
        <v>0</v>
      </c>
      <c r="I6608" t="n">
        <v>0</v>
      </c>
      <c r="J6608" t="n">
        <v>0</v>
      </c>
      <c r="K6608" t="n">
        <v>0</v>
      </c>
      <c r="L6608" t="n">
        <v>0</v>
      </c>
      <c r="M6608" t="n">
        <v>0</v>
      </c>
      <c r="N6608" t="n">
        <v>0</v>
      </c>
      <c r="O6608" t="n">
        <v>0</v>
      </c>
      <c r="P6608" t="n">
        <v>0</v>
      </c>
      <c r="Q6608" t="n">
        <v>0</v>
      </c>
      <c r="R6608" s="2" t="inlineStr"/>
    </row>
    <row r="6609" ht="15" customHeight="1">
      <c r="A6609" t="inlineStr">
        <is>
          <t>A 51704-2025</t>
        </is>
      </c>
      <c r="B6609" s="1" t="n">
        <v>45951.55436342592</v>
      </c>
      <c r="C6609" s="1" t="n">
        <v>46075</v>
      </c>
      <c r="D6609" t="inlineStr">
        <is>
          <t>VÄSTERBOTTENS LÄN</t>
        </is>
      </c>
      <c r="E6609" t="inlineStr">
        <is>
          <t>VILHELMINA</t>
        </is>
      </c>
      <c r="G6609" t="n">
        <v>2.9</v>
      </c>
      <c r="H6609" t="n">
        <v>0</v>
      </c>
      <c r="I6609" t="n">
        <v>0</v>
      </c>
      <c r="J6609" t="n">
        <v>0</v>
      </c>
      <c r="K6609" t="n">
        <v>0</v>
      </c>
      <c r="L6609" t="n">
        <v>0</v>
      </c>
      <c r="M6609" t="n">
        <v>0</v>
      </c>
      <c r="N6609" t="n">
        <v>0</v>
      </c>
      <c r="O6609" t="n">
        <v>0</v>
      </c>
      <c r="P6609" t="n">
        <v>0</v>
      </c>
      <c r="Q6609" t="n">
        <v>0</v>
      </c>
      <c r="R6609" s="2" t="inlineStr"/>
    </row>
    <row r="6610" ht="15" customHeight="1">
      <c r="A6610" t="inlineStr">
        <is>
          <t>A 51722-2025</t>
        </is>
      </c>
      <c r="B6610" s="1" t="n">
        <v>45951.58085648148</v>
      </c>
      <c r="C6610" s="1" t="n">
        <v>46075</v>
      </c>
      <c r="D6610" t="inlineStr">
        <is>
          <t>VÄSTERBOTTENS LÄN</t>
        </is>
      </c>
      <c r="E6610" t="inlineStr">
        <is>
          <t>VÄNNÄS</t>
        </is>
      </c>
      <c r="G6610" t="n">
        <v>2.7</v>
      </c>
      <c r="H6610" t="n">
        <v>0</v>
      </c>
      <c r="I6610" t="n">
        <v>0</v>
      </c>
      <c r="J6610" t="n">
        <v>0</v>
      </c>
      <c r="K6610" t="n">
        <v>0</v>
      </c>
      <c r="L6610" t="n">
        <v>0</v>
      </c>
      <c r="M6610" t="n">
        <v>0</v>
      </c>
      <c r="N6610" t="n">
        <v>0</v>
      </c>
      <c r="O6610" t="n">
        <v>0</v>
      </c>
      <c r="P6610" t="n">
        <v>0</v>
      </c>
      <c r="Q6610" t="n">
        <v>0</v>
      </c>
      <c r="R6610" s="2" t="inlineStr"/>
    </row>
    <row r="6611" ht="15" customHeight="1">
      <c r="A6611" t="inlineStr">
        <is>
          <t>A 6012-2023</t>
        </is>
      </c>
      <c r="B6611" s="1" t="n">
        <v>44959</v>
      </c>
      <c r="C6611" s="1" t="n">
        <v>46075</v>
      </c>
      <c r="D6611" t="inlineStr">
        <is>
          <t>VÄSTERBOTTENS LÄN</t>
        </is>
      </c>
      <c r="E6611" t="inlineStr">
        <is>
          <t>SKELLEFTEÅ</t>
        </is>
      </c>
      <c r="G6611" t="n">
        <v>0.3</v>
      </c>
      <c r="H6611" t="n">
        <v>0</v>
      </c>
      <c r="I6611" t="n">
        <v>0</v>
      </c>
      <c r="J6611" t="n">
        <v>0</v>
      </c>
      <c r="K6611" t="n">
        <v>0</v>
      </c>
      <c r="L6611" t="n">
        <v>0</v>
      </c>
      <c r="M6611" t="n">
        <v>0</v>
      </c>
      <c r="N6611" t="n">
        <v>0</v>
      </c>
      <c r="O6611" t="n">
        <v>0</v>
      </c>
      <c r="P6611" t="n">
        <v>0</v>
      </c>
      <c r="Q6611" t="n">
        <v>0</v>
      </c>
      <c r="R6611" s="2" t="inlineStr"/>
    </row>
    <row r="6612" ht="15" customHeight="1">
      <c r="A6612" t="inlineStr">
        <is>
          <t>A 51473-2025</t>
        </is>
      </c>
      <c r="B6612" s="1" t="n">
        <v>45950.61760416667</v>
      </c>
      <c r="C6612" s="1" t="n">
        <v>46075</v>
      </c>
      <c r="D6612" t="inlineStr">
        <is>
          <t>VÄSTERBOTTENS LÄN</t>
        </is>
      </c>
      <c r="E6612" t="inlineStr">
        <is>
          <t>LYCKSELE</t>
        </is>
      </c>
      <c r="F6612" t="inlineStr">
        <is>
          <t>Sveaskog</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51512-2025</t>
        </is>
      </c>
      <c r="B6613" s="1" t="n">
        <v>45950.65011574074</v>
      </c>
      <c r="C6613" s="1" t="n">
        <v>46075</v>
      </c>
      <c r="D6613" t="inlineStr">
        <is>
          <t>VÄSTERBOTTENS LÄN</t>
        </is>
      </c>
      <c r="E6613" t="inlineStr">
        <is>
          <t>NORDMALING</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22020-2023</t>
        </is>
      </c>
      <c r="B6614" s="1" t="n">
        <v>45069</v>
      </c>
      <c r="C6614" s="1" t="n">
        <v>46075</v>
      </c>
      <c r="D6614" t="inlineStr">
        <is>
          <t>VÄSTERBOTTENS LÄN</t>
        </is>
      </c>
      <c r="E6614" t="inlineStr">
        <is>
          <t>SKELLEFTEÅ</t>
        </is>
      </c>
      <c r="G6614" t="n">
        <v>4</v>
      </c>
      <c r="H6614" t="n">
        <v>0</v>
      </c>
      <c r="I6614" t="n">
        <v>0</v>
      </c>
      <c r="J6614" t="n">
        <v>0</v>
      </c>
      <c r="K6614" t="n">
        <v>0</v>
      </c>
      <c r="L6614" t="n">
        <v>0</v>
      </c>
      <c r="M6614" t="n">
        <v>0</v>
      </c>
      <c r="N6614" t="n">
        <v>0</v>
      </c>
      <c r="O6614" t="n">
        <v>0</v>
      </c>
      <c r="P6614" t="n">
        <v>0</v>
      </c>
      <c r="Q6614" t="n">
        <v>0</v>
      </c>
      <c r="R6614" s="2" t="inlineStr"/>
    </row>
    <row r="6615" ht="15" customHeight="1">
      <c r="A6615" t="inlineStr">
        <is>
          <t>A 5772-2025</t>
        </is>
      </c>
      <c r="B6615" s="1" t="n">
        <v>45694.59717592593</v>
      </c>
      <c r="C6615" s="1" t="n">
        <v>46075</v>
      </c>
      <c r="D6615" t="inlineStr">
        <is>
          <t>VÄSTERBOTTENS LÄN</t>
        </is>
      </c>
      <c r="E6615" t="inlineStr">
        <is>
          <t>NORSJÖ</t>
        </is>
      </c>
      <c r="F6615" t="inlineStr">
        <is>
          <t>Holmen skog AB</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51542-2025</t>
        </is>
      </c>
      <c r="B6616" s="1" t="n">
        <v>45950.73994212963</v>
      </c>
      <c r="C6616" s="1" t="n">
        <v>46075</v>
      </c>
      <c r="D6616" t="inlineStr">
        <is>
          <t>VÄSTERBOTTENS LÄN</t>
        </is>
      </c>
      <c r="E6616" t="inlineStr">
        <is>
          <t>NORDMALING</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51573-2025</t>
        </is>
      </c>
      <c r="B6617" s="1" t="n">
        <v>45951.33599537037</v>
      </c>
      <c r="C6617" s="1" t="n">
        <v>46075</v>
      </c>
      <c r="D6617" t="inlineStr">
        <is>
          <t>VÄSTERBOTTENS LÄN</t>
        </is>
      </c>
      <c r="E6617" t="inlineStr">
        <is>
          <t>SKELLEFTEÅ</t>
        </is>
      </c>
      <c r="G6617" t="n">
        <v>3.8</v>
      </c>
      <c r="H6617" t="n">
        <v>0</v>
      </c>
      <c r="I6617" t="n">
        <v>0</v>
      </c>
      <c r="J6617" t="n">
        <v>0</v>
      </c>
      <c r="K6617" t="n">
        <v>0</v>
      </c>
      <c r="L6617" t="n">
        <v>0</v>
      </c>
      <c r="M6617" t="n">
        <v>0</v>
      </c>
      <c r="N6617" t="n">
        <v>0</v>
      </c>
      <c r="O6617" t="n">
        <v>0</v>
      </c>
      <c r="P6617" t="n">
        <v>0</v>
      </c>
      <c r="Q6617" t="n">
        <v>0</v>
      </c>
      <c r="R6617" s="2" t="inlineStr"/>
    </row>
    <row r="6618" ht="15" customHeight="1">
      <c r="A6618" t="inlineStr">
        <is>
          <t>A 5830-2025</t>
        </is>
      </c>
      <c r="B6618" s="1" t="n">
        <v>45694</v>
      </c>
      <c r="C6618" s="1" t="n">
        <v>46075</v>
      </c>
      <c r="D6618" t="inlineStr">
        <is>
          <t>VÄSTERBOTTENS LÄN</t>
        </is>
      </c>
      <c r="E6618" t="inlineStr">
        <is>
          <t>SKELLEFTEÅ</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5831-2025</t>
        </is>
      </c>
      <c r="B6619" s="1" t="n">
        <v>45694</v>
      </c>
      <c r="C6619" s="1" t="n">
        <v>46075</v>
      </c>
      <c r="D6619" t="inlineStr">
        <is>
          <t>VÄSTERBOTTENS LÄN</t>
        </is>
      </c>
      <c r="E6619" t="inlineStr">
        <is>
          <t>SKELLEFTEÅ</t>
        </is>
      </c>
      <c r="G6619" t="n">
        <v>3.5</v>
      </c>
      <c r="H6619" t="n">
        <v>0</v>
      </c>
      <c r="I6619" t="n">
        <v>0</v>
      </c>
      <c r="J6619" t="n">
        <v>0</v>
      </c>
      <c r="K6619" t="n">
        <v>0</v>
      </c>
      <c r="L6619" t="n">
        <v>0</v>
      </c>
      <c r="M6619" t="n">
        <v>0</v>
      </c>
      <c r="N6619" t="n">
        <v>0</v>
      </c>
      <c r="O6619" t="n">
        <v>0</v>
      </c>
      <c r="P6619" t="n">
        <v>0</v>
      </c>
      <c r="Q6619" t="n">
        <v>0</v>
      </c>
      <c r="R6619" s="2" t="inlineStr"/>
    </row>
    <row r="6620" ht="15" customHeight="1">
      <c r="A6620" t="inlineStr">
        <is>
          <t>A 51605-2025</t>
        </is>
      </c>
      <c r="B6620" s="1" t="n">
        <v>45951.38592592593</v>
      </c>
      <c r="C6620" s="1" t="n">
        <v>46075</v>
      </c>
      <c r="D6620" t="inlineStr">
        <is>
          <t>VÄSTERBOTTENS LÄN</t>
        </is>
      </c>
      <c r="E6620" t="inlineStr">
        <is>
          <t>VÄNNÄS</t>
        </is>
      </c>
      <c r="G6620" t="n">
        <v>4.7</v>
      </c>
      <c r="H6620" t="n">
        <v>0</v>
      </c>
      <c r="I6620" t="n">
        <v>0</v>
      </c>
      <c r="J6620" t="n">
        <v>0</v>
      </c>
      <c r="K6620" t="n">
        <v>0</v>
      </c>
      <c r="L6620" t="n">
        <v>0</v>
      </c>
      <c r="M6620" t="n">
        <v>0</v>
      </c>
      <c r="N6620" t="n">
        <v>0</v>
      </c>
      <c r="O6620" t="n">
        <v>0</v>
      </c>
      <c r="P6620" t="n">
        <v>0</v>
      </c>
      <c r="Q6620" t="n">
        <v>0</v>
      </c>
      <c r="R6620" s="2" t="inlineStr"/>
    </row>
    <row r="6621" ht="15" customHeight="1">
      <c r="A6621" t="inlineStr">
        <is>
          <t>A 51624-2025</t>
        </is>
      </c>
      <c r="B6621" s="1" t="n">
        <v>45951.41597222222</v>
      </c>
      <c r="C6621" s="1" t="n">
        <v>46075</v>
      </c>
      <c r="D6621" t="inlineStr">
        <is>
          <t>VÄSTERBOTTENS LÄN</t>
        </is>
      </c>
      <c r="E6621" t="inlineStr">
        <is>
          <t>SKELLEFTEÅ</t>
        </is>
      </c>
      <c r="F6621" t="inlineStr">
        <is>
          <t>Sveaskog</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16063-2021</t>
        </is>
      </c>
      <c r="B6622" s="1" t="n">
        <v>44287</v>
      </c>
      <c r="C6622" s="1" t="n">
        <v>46075</v>
      </c>
      <c r="D6622" t="inlineStr">
        <is>
          <t>VÄSTERBOTTENS LÄN</t>
        </is>
      </c>
      <c r="E6622" t="inlineStr">
        <is>
          <t>SORSELE</t>
        </is>
      </c>
      <c r="F6622" t="inlineStr">
        <is>
          <t>Övriga Aktiebolag</t>
        </is>
      </c>
      <c r="G6622" t="n">
        <v>17.5</v>
      </c>
      <c r="H6622" t="n">
        <v>0</v>
      </c>
      <c r="I6622" t="n">
        <v>0</v>
      </c>
      <c r="J6622" t="n">
        <v>0</v>
      </c>
      <c r="K6622" t="n">
        <v>0</v>
      </c>
      <c r="L6622" t="n">
        <v>0</v>
      </c>
      <c r="M6622" t="n">
        <v>0</v>
      </c>
      <c r="N6622" t="n">
        <v>0</v>
      </c>
      <c r="O6622" t="n">
        <v>0</v>
      </c>
      <c r="P6622" t="n">
        <v>0</v>
      </c>
      <c r="Q6622" t="n">
        <v>0</v>
      </c>
      <c r="R6622" s="2" t="inlineStr"/>
    </row>
    <row r="6623" ht="15" customHeight="1">
      <c r="A6623" t="inlineStr">
        <is>
          <t>A 51511-2025</t>
        </is>
      </c>
      <c r="B6623" s="1" t="n">
        <v>45950.64607638889</v>
      </c>
      <c r="C6623" s="1" t="n">
        <v>46075</v>
      </c>
      <c r="D6623" t="inlineStr">
        <is>
          <t>VÄSTERBOTTENS LÄN</t>
        </is>
      </c>
      <c r="E6623" t="inlineStr">
        <is>
          <t>NORDMALING</t>
        </is>
      </c>
      <c r="G6623" t="n">
        <v>0.2</v>
      </c>
      <c r="H6623" t="n">
        <v>0</v>
      </c>
      <c r="I6623" t="n">
        <v>0</v>
      </c>
      <c r="J6623" t="n">
        <v>0</v>
      </c>
      <c r="K6623" t="n">
        <v>0</v>
      </c>
      <c r="L6623" t="n">
        <v>0</v>
      </c>
      <c r="M6623" t="n">
        <v>0</v>
      </c>
      <c r="N6623" t="n">
        <v>0</v>
      </c>
      <c r="O6623" t="n">
        <v>0</v>
      </c>
      <c r="P6623" t="n">
        <v>0</v>
      </c>
      <c r="Q6623" t="n">
        <v>0</v>
      </c>
      <c r="R6623" s="2" t="inlineStr"/>
    </row>
    <row r="6624" ht="15" customHeight="1">
      <c r="A6624" t="inlineStr">
        <is>
          <t>A 51629-2025</t>
        </is>
      </c>
      <c r="B6624" s="1" t="n">
        <v>45951.42306712963</v>
      </c>
      <c r="C6624" s="1" t="n">
        <v>46075</v>
      </c>
      <c r="D6624" t="inlineStr">
        <is>
          <t>VÄSTERBOTTENS LÄN</t>
        </is>
      </c>
      <c r="E6624" t="inlineStr">
        <is>
          <t>UMEÅ</t>
        </is>
      </c>
      <c r="G6624" t="n">
        <v>4.2</v>
      </c>
      <c r="H6624" t="n">
        <v>0</v>
      </c>
      <c r="I6624" t="n">
        <v>0</v>
      </c>
      <c r="J6624" t="n">
        <v>0</v>
      </c>
      <c r="K6624" t="n">
        <v>0</v>
      </c>
      <c r="L6624" t="n">
        <v>0</v>
      </c>
      <c r="M6624" t="n">
        <v>0</v>
      </c>
      <c r="N6624" t="n">
        <v>0</v>
      </c>
      <c r="O6624" t="n">
        <v>0</v>
      </c>
      <c r="P6624" t="n">
        <v>0</v>
      </c>
      <c r="Q6624" t="n">
        <v>0</v>
      </c>
      <c r="R6624" s="2" t="inlineStr"/>
    </row>
    <row r="6625" ht="15" customHeight="1">
      <c r="A6625" t="inlineStr">
        <is>
          <t>A 51632-2025</t>
        </is>
      </c>
      <c r="B6625" s="1" t="n">
        <v>45951.42534722222</v>
      </c>
      <c r="C6625" s="1" t="n">
        <v>46075</v>
      </c>
      <c r="D6625" t="inlineStr">
        <is>
          <t>VÄSTERBOTTENS LÄN</t>
        </is>
      </c>
      <c r="E6625" t="inlineStr">
        <is>
          <t>SKELLEFTEÅ</t>
        </is>
      </c>
      <c r="G6625" t="n">
        <v>4.6</v>
      </c>
      <c r="H6625" t="n">
        <v>0</v>
      </c>
      <c r="I6625" t="n">
        <v>0</v>
      </c>
      <c r="J6625" t="n">
        <v>0</v>
      </c>
      <c r="K6625" t="n">
        <v>0</v>
      </c>
      <c r="L6625" t="n">
        <v>0</v>
      </c>
      <c r="M6625" t="n">
        <v>0</v>
      </c>
      <c r="N6625" t="n">
        <v>0</v>
      </c>
      <c r="O6625" t="n">
        <v>0</v>
      </c>
      <c r="P6625" t="n">
        <v>0</v>
      </c>
      <c r="Q6625" t="n">
        <v>0</v>
      </c>
      <c r="R6625" s="2" t="inlineStr"/>
    </row>
    <row r="6626" ht="15" customHeight="1">
      <c r="A6626" t="inlineStr">
        <is>
          <t>A 51635-2025</t>
        </is>
      </c>
      <c r="B6626" s="1" t="n">
        <v>45951.43149305556</v>
      </c>
      <c r="C6626" s="1" t="n">
        <v>46075</v>
      </c>
      <c r="D6626" t="inlineStr">
        <is>
          <t>VÄSTERBOTTENS LÄN</t>
        </is>
      </c>
      <c r="E6626" t="inlineStr">
        <is>
          <t>SKELLEFTEÅ</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51651-2025</t>
        </is>
      </c>
      <c r="B6627" s="1" t="n">
        <v>45951.46043981481</v>
      </c>
      <c r="C6627" s="1" t="n">
        <v>46075</v>
      </c>
      <c r="D6627" t="inlineStr">
        <is>
          <t>VÄSTERBOTTENS LÄN</t>
        </is>
      </c>
      <c r="E6627" t="inlineStr">
        <is>
          <t>VILHELMINA</t>
        </is>
      </c>
      <c r="G6627" t="n">
        <v>6.9</v>
      </c>
      <c r="H6627" t="n">
        <v>0</v>
      </c>
      <c r="I6627" t="n">
        <v>0</v>
      </c>
      <c r="J6627" t="n">
        <v>0</v>
      </c>
      <c r="K6627" t="n">
        <v>0</v>
      </c>
      <c r="L6627" t="n">
        <v>0</v>
      </c>
      <c r="M6627" t="n">
        <v>0</v>
      </c>
      <c r="N6627" t="n">
        <v>0</v>
      </c>
      <c r="O6627" t="n">
        <v>0</v>
      </c>
      <c r="P6627" t="n">
        <v>0</v>
      </c>
      <c r="Q6627" t="n">
        <v>0</v>
      </c>
      <c r="R6627" s="2" t="inlineStr"/>
    </row>
    <row r="6628" ht="15" customHeight="1">
      <c r="A6628" t="inlineStr">
        <is>
          <t>A 51657-2025</t>
        </is>
      </c>
      <c r="B6628" s="1" t="n">
        <v>45951.47362268518</v>
      </c>
      <c r="C6628" s="1" t="n">
        <v>46075</v>
      </c>
      <c r="D6628" t="inlineStr">
        <is>
          <t>VÄSTERBOTTENS LÄN</t>
        </is>
      </c>
      <c r="E6628" t="inlineStr">
        <is>
          <t>VILHELMINA</t>
        </is>
      </c>
      <c r="G6628" t="n">
        <v>14.4</v>
      </c>
      <c r="H6628" t="n">
        <v>0</v>
      </c>
      <c r="I6628" t="n">
        <v>0</v>
      </c>
      <c r="J6628" t="n">
        <v>0</v>
      </c>
      <c r="K6628" t="n">
        <v>0</v>
      </c>
      <c r="L6628" t="n">
        <v>0</v>
      </c>
      <c r="M6628" t="n">
        <v>0</v>
      </c>
      <c r="N6628" t="n">
        <v>0</v>
      </c>
      <c r="O6628" t="n">
        <v>0</v>
      </c>
      <c r="P6628" t="n">
        <v>0</v>
      </c>
      <c r="Q6628" t="n">
        <v>0</v>
      </c>
      <c r="R6628" s="2" t="inlineStr"/>
    </row>
    <row r="6629" ht="15" customHeight="1">
      <c r="A6629" t="inlineStr">
        <is>
          <t>A 51630-2025</t>
        </is>
      </c>
      <c r="B6629" s="1" t="n">
        <v>45951.42327546296</v>
      </c>
      <c r="C6629" s="1" t="n">
        <v>46075</v>
      </c>
      <c r="D6629" t="inlineStr">
        <is>
          <t>VÄSTERBOTTENS LÄN</t>
        </is>
      </c>
      <c r="E6629" t="inlineStr">
        <is>
          <t>SKELLEFTEÅ</t>
        </is>
      </c>
      <c r="F6629" t="inlineStr">
        <is>
          <t>Sveaskog</t>
        </is>
      </c>
      <c r="G6629" t="n">
        <v>11.5</v>
      </c>
      <c r="H6629" t="n">
        <v>0</v>
      </c>
      <c r="I6629" t="n">
        <v>0</v>
      </c>
      <c r="J6629" t="n">
        <v>0</v>
      </c>
      <c r="K6629" t="n">
        <v>0</v>
      </c>
      <c r="L6629" t="n">
        <v>0</v>
      </c>
      <c r="M6629" t="n">
        <v>0</v>
      </c>
      <c r="N6629" t="n">
        <v>0</v>
      </c>
      <c r="O6629" t="n">
        <v>0</v>
      </c>
      <c r="P6629" t="n">
        <v>0</v>
      </c>
      <c r="Q6629" t="n">
        <v>0</v>
      </c>
      <c r="R6629" s="2" t="inlineStr"/>
    </row>
    <row r="6630" ht="15" customHeight="1">
      <c r="A6630" t="inlineStr">
        <is>
          <t>A 51408-2025</t>
        </is>
      </c>
      <c r="B6630" s="1" t="n">
        <v>45950.49023148148</v>
      </c>
      <c r="C6630" s="1" t="n">
        <v>46075</v>
      </c>
      <c r="D6630" t="inlineStr">
        <is>
          <t>VÄSTERBOTTENS LÄN</t>
        </is>
      </c>
      <c r="E6630" t="inlineStr">
        <is>
          <t>ÅSELE</t>
        </is>
      </c>
      <c r="F6630" t="inlineStr">
        <is>
          <t>SCA</t>
        </is>
      </c>
      <c r="G6630" t="n">
        <v>19.4</v>
      </c>
      <c r="H6630" t="n">
        <v>0</v>
      </c>
      <c r="I6630" t="n">
        <v>0</v>
      </c>
      <c r="J6630" t="n">
        <v>0</v>
      </c>
      <c r="K6630" t="n">
        <v>0</v>
      </c>
      <c r="L6630" t="n">
        <v>0</v>
      </c>
      <c r="M6630" t="n">
        <v>0</v>
      </c>
      <c r="N6630" t="n">
        <v>0</v>
      </c>
      <c r="O6630" t="n">
        <v>0</v>
      </c>
      <c r="P6630" t="n">
        <v>0</v>
      </c>
      <c r="Q6630" t="n">
        <v>0</v>
      </c>
      <c r="R6630" s="2" t="inlineStr"/>
    </row>
    <row r="6631" ht="15" customHeight="1">
      <c r="A6631" t="inlineStr">
        <is>
          <t>A 35179-2024</t>
        </is>
      </c>
      <c r="B6631" s="1" t="n">
        <v>45530.44016203703</v>
      </c>
      <c r="C6631" s="1" t="n">
        <v>46075</v>
      </c>
      <c r="D6631" t="inlineStr">
        <is>
          <t>VÄSTERBOTTENS LÄN</t>
        </is>
      </c>
      <c r="E6631" t="inlineStr">
        <is>
          <t>NORSJÖ</t>
        </is>
      </c>
      <c r="F6631" t="inlineStr">
        <is>
          <t>Holmen skog AB</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47908-2022</t>
        </is>
      </c>
      <c r="B6632" s="1" t="n">
        <v>44855.48153935185</v>
      </c>
      <c r="C6632" s="1" t="n">
        <v>46075</v>
      </c>
      <c r="D6632" t="inlineStr">
        <is>
          <t>VÄSTERBOTTENS LÄN</t>
        </is>
      </c>
      <c r="E6632" t="inlineStr">
        <is>
          <t>SORSELE</t>
        </is>
      </c>
      <c r="F6632" t="inlineStr">
        <is>
          <t>Kyrkan</t>
        </is>
      </c>
      <c r="G6632" t="n">
        <v>22.7</v>
      </c>
      <c r="H6632" t="n">
        <v>0</v>
      </c>
      <c r="I6632" t="n">
        <v>0</v>
      </c>
      <c r="J6632" t="n">
        <v>0</v>
      </c>
      <c r="K6632" t="n">
        <v>0</v>
      </c>
      <c r="L6632" t="n">
        <v>0</v>
      </c>
      <c r="M6632" t="n">
        <v>0</v>
      </c>
      <c r="N6632" t="n">
        <v>0</v>
      </c>
      <c r="O6632" t="n">
        <v>0</v>
      </c>
      <c r="P6632" t="n">
        <v>0</v>
      </c>
      <c r="Q6632" t="n">
        <v>0</v>
      </c>
      <c r="R6632" s="2" t="inlineStr"/>
    </row>
    <row r="6633" ht="15" customHeight="1">
      <c r="A6633" t="inlineStr">
        <is>
          <t>A 51455-2025</t>
        </is>
      </c>
      <c r="B6633" s="1" t="n">
        <v>45950.59583333333</v>
      </c>
      <c r="C6633" s="1" t="n">
        <v>46075</v>
      </c>
      <c r="D6633" t="inlineStr">
        <is>
          <t>VÄSTERBOTTENS LÄN</t>
        </is>
      </c>
      <c r="E6633" t="inlineStr">
        <is>
          <t>UMEÅ</t>
        </is>
      </c>
      <c r="F6633" t="inlineStr">
        <is>
          <t>Holmen skog AB</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28426-2023</t>
        </is>
      </c>
      <c r="B6634" s="1" t="n">
        <v>45102</v>
      </c>
      <c r="C6634" s="1" t="n">
        <v>46075</v>
      </c>
      <c r="D6634" t="inlineStr">
        <is>
          <t>VÄSTERBOTTENS LÄN</t>
        </is>
      </c>
      <c r="E6634" t="inlineStr">
        <is>
          <t>BJURHOLM</t>
        </is>
      </c>
      <c r="F6634" t="inlineStr">
        <is>
          <t>Holmen skog AB</t>
        </is>
      </c>
      <c r="G6634" t="n">
        <v>3.2</v>
      </c>
      <c r="H6634" t="n">
        <v>0</v>
      </c>
      <c r="I6634" t="n">
        <v>0</v>
      </c>
      <c r="J6634" t="n">
        <v>0</v>
      </c>
      <c r="K6634" t="n">
        <v>0</v>
      </c>
      <c r="L6634" t="n">
        <v>0</v>
      </c>
      <c r="M6634" t="n">
        <v>0</v>
      </c>
      <c r="N6634" t="n">
        <v>0</v>
      </c>
      <c r="O6634" t="n">
        <v>0</v>
      </c>
      <c r="P6634" t="n">
        <v>0</v>
      </c>
      <c r="Q6634" t="n">
        <v>0</v>
      </c>
      <c r="R6634" s="2" t="inlineStr"/>
    </row>
    <row r="6635" ht="15" customHeight="1">
      <c r="A6635" t="inlineStr">
        <is>
          <t>A 28443-2023</t>
        </is>
      </c>
      <c r="B6635" s="1" t="n">
        <v>45102</v>
      </c>
      <c r="C6635" s="1" t="n">
        <v>46075</v>
      </c>
      <c r="D6635" t="inlineStr">
        <is>
          <t>VÄSTERBOTTENS LÄN</t>
        </is>
      </c>
      <c r="E6635" t="inlineStr">
        <is>
          <t>NORDMALING</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51502-2025</t>
        </is>
      </c>
      <c r="B6636" s="1" t="n">
        <v>45950.63775462963</v>
      </c>
      <c r="C6636" s="1" t="n">
        <v>46075</v>
      </c>
      <c r="D6636" t="inlineStr">
        <is>
          <t>VÄSTERBOTTENS LÄN</t>
        </is>
      </c>
      <c r="E6636" t="inlineStr">
        <is>
          <t>SKELLEFTEÅ</t>
        </is>
      </c>
      <c r="F6636" t="inlineStr">
        <is>
          <t>Holmen skog AB</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51506-2025</t>
        </is>
      </c>
      <c r="B6637" s="1" t="n">
        <v>45950.64244212963</v>
      </c>
      <c r="C6637" s="1" t="n">
        <v>46075</v>
      </c>
      <c r="D6637" t="inlineStr">
        <is>
          <t>VÄSTERBOTTENS LÄN</t>
        </is>
      </c>
      <c r="E6637" t="inlineStr">
        <is>
          <t>NORSJÖ</t>
        </is>
      </c>
      <c r="F6637" t="inlineStr">
        <is>
          <t>Holmen skog AB</t>
        </is>
      </c>
      <c r="G6637" t="n">
        <v>4.3</v>
      </c>
      <c r="H6637" t="n">
        <v>0</v>
      </c>
      <c r="I6637" t="n">
        <v>0</v>
      </c>
      <c r="J6637" t="n">
        <v>0</v>
      </c>
      <c r="K6637" t="n">
        <v>0</v>
      </c>
      <c r="L6637" t="n">
        <v>0</v>
      </c>
      <c r="M6637" t="n">
        <v>0</v>
      </c>
      <c r="N6637" t="n">
        <v>0</v>
      </c>
      <c r="O6637" t="n">
        <v>0</v>
      </c>
      <c r="P6637" t="n">
        <v>0</v>
      </c>
      <c r="Q6637" t="n">
        <v>0</v>
      </c>
      <c r="R6637" s="2" t="inlineStr"/>
    </row>
    <row r="6638" ht="15" customHeight="1">
      <c r="A6638" t="inlineStr">
        <is>
          <t>A 51701-2025</t>
        </is>
      </c>
      <c r="B6638" s="1" t="n">
        <v>45951.55298611111</v>
      </c>
      <c r="C6638" s="1" t="n">
        <v>46075</v>
      </c>
      <c r="D6638" t="inlineStr">
        <is>
          <t>VÄSTERBOTTENS LÄN</t>
        </is>
      </c>
      <c r="E6638" t="inlineStr">
        <is>
          <t>VILHELMINA</t>
        </is>
      </c>
      <c r="G6638" t="n">
        <v>4.1</v>
      </c>
      <c r="H6638" t="n">
        <v>0</v>
      </c>
      <c r="I6638" t="n">
        <v>0</v>
      </c>
      <c r="J6638" t="n">
        <v>0</v>
      </c>
      <c r="K6638" t="n">
        <v>0</v>
      </c>
      <c r="L6638" t="n">
        <v>0</v>
      </c>
      <c r="M6638" t="n">
        <v>0</v>
      </c>
      <c r="N6638" t="n">
        <v>0</v>
      </c>
      <c r="O6638" t="n">
        <v>0</v>
      </c>
      <c r="P6638" t="n">
        <v>0</v>
      </c>
      <c r="Q6638" t="n">
        <v>0</v>
      </c>
      <c r="R6638" s="2" t="inlineStr"/>
    </row>
    <row r="6639" ht="15" customHeight="1">
      <c r="A6639" t="inlineStr">
        <is>
          <t>A 48714-2024</t>
        </is>
      </c>
      <c r="B6639" s="1" t="n">
        <v>45593.54328703704</v>
      </c>
      <c r="C6639" s="1" t="n">
        <v>46075</v>
      </c>
      <c r="D6639" t="inlineStr">
        <is>
          <t>VÄSTERBOTTENS LÄN</t>
        </is>
      </c>
      <c r="E6639" t="inlineStr">
        <is>
          <t>UMEÅ</t>
        </is>
      </c>
      <c r="F6639" t="inlineStr">
        <is>
          <t>Holmen skog AB</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48716-2024</t>
        </is>
      </c>
      <c r="B6640" s="1" t="n">
        <v>45593</v>
      </c>
      <c r="C6640" s="1" t="n">
        <v>46075</v>
      </c>
      <c r="D6640" t="inlineStr">
        <is>
          <t>VÄSTERBOTTENS LÄN</t>
        </is>
      </c>
      <c r="E6640" t="inlineStr">
        <is>
          <t>STORUMAN</t>
        </is>
      </c>
      <c r="F6640" t="inlineStr">
        <is>
          <t>Allmännings- och besparingsskogar</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26553-2023</t>
        </is>
      </c>
      <c r="B6641" s="1" t="n">
        <v>45089</v>
      </c>
      <c r="C6641" s="1" t="n">
        <v>46075</v>
      </c>
      <c r="D6641" t="inlineStr">
        <is>
          <t>VÄSTERBOTTENS LÄN</t>
        </is>
      </c>
      <c r="E6641" t="inlineStr">
        <is>
          <t>VILHELMINA</t>
        </is>
      </c>
      <c r="G6641" t="n">
        <v>5.5</v>
      </c>
      <c r="H6641" t="n">
        <v>0</v>
      </c>
      <c r="I6641" t="n">
        <v>0</v>
      </c>
      <c r="J6641" t="n">
        <v>0</v>
      </c>
      <c r="K6641" t="n">
        <v>0</v>
      </c>
      <c r="L6641" t="n">
        <v>0</v>
      </c>
      <c r="M6641" t="n">
        <v>0</v>
      </c>
      <c r="N6641" t="n">
        <v>0</v>
      </c>
      <c r="O6641" t="n">
        <v>0</v>
      </c>
      <c r="P6641" t="n">
        <v>0</v>
      </c>
      <c r="Q6641" t="n">
        <v>0</v>
      </c>
      <c r="R6641" s="2" t="inlineStr"/>
    </row>
    <row r="6642" ht="15" customHeight="1">
      <c r="A6642" t="inlineStr">
        <is>
          <t>A 53255-2023</t>
        </is>
      </c>
      <c r="B6642" s="1" t="n">
        <v>45229.5280787037</v>
      </c>
      <c r="C6642" s="1" t="n">
        <v>46075</v>
      </c>
      <c r="D6642" t="inlineStr">
        <is>
          <t>VÄSTERBOTTENS LÄN</t>
        </is>
      </c>
      <c r="E6642" t="inlineStr">
        <is>
          <t>SKELLEFTEÅ</t>
        </is>
      </c>
      <c r="F6642" t="inlineStr">
        <is>
          <t>Sveaskog</t>
        </is>
      </c>
      <c r="G6642" t="n">
        <v>7.4</v>
      </c>
      <c r="H6642" t="n">
        <v>0</v>
      </c>
      <c r="I6642" t="n">
        <v>0</v>
      </c>
      <c r="J6642" t="n">
        <v>0</v>
      </c>
      <c r="K6642" t="n">
        <v>0</v>
      </c>
      <c r="L6642" t="n">
        <v>0</v>
      </c>
      <c r="M6642" t="n">
        <v>0</v>
      </c>
      <c r="N6642" t="n">
        <v>0</v>
      </c>
      <c r="O6642" t="n">
        <v>0</v>
      </c>
      <c r="P6642" t="n">
        <v>0</v>
      </c>
      <c r="Q6642" t="n">
        <v>0</v>
      </c>
      <c r="R6642" s="2" t="inlineStr"/>
    </row>
    <row r="6643" ht="15" customHeight="1">
      <c r="A6643" t="inlineStr">
        <is>
          <t>A 51736-2025</t>
        </is>
      </c>
      <c r="B6643" s="1" t="n">
        <v>45951.595625</v>
      </c>
      <c r="C6643" s="1" t="n">
        <v>46075</v>
      </c>
      <c r="D6643" t="inlineStr">
        <is>
          <t>VÄSTERBOTTENS LÄN</t>
        </is>
      </c>
      <c r="E6643" t="inlineStr">
        <is>
          <t>NORDMALING</t>
        </is>
      </c>
      <c r="G6643" t="n">
        <v>3.8</v>
      </c>
      <c r="H6643" t="n">
        <v>0</v>
      </c>
      <c r="I6643" t="n">
        <v>0</v>
      </c>
      <c r="J6643" t="n">
        <v>0</v>
      </c>
      <c r="K6643" t="n">
        <v>0</v>
      </c>
      <c r="L6643" t="n">
        <v>0</v>
      </c>
      <c r="M6643" t="n">
        <v>0</v>
      </c>
      <c r="N6643" t="n">
        <v>0</v>
      </c>
      <c r="O6643" t="n">
        <v>0</v>
      </c>
      <c r="P6643" t="n">
        <v>0</v>
      </c>
      <c r="Q6643" t="n">
        <v>0</v>
      </c>
      <c r="R6643" s="2" t="inlineStr"/>
    </row>
    <row r="6644" ht="15" customHeight="1">
      <c r="A6644" t="inlineStr">
        <is>
          <t>A 51737-2025</t>
        </is>
      </c>
      <c r="B6644" s="1" t="n">
        <v>45951.59630787037</v>
      </c>
      <c r="C6644" s="1" t="n">
        <v>46075</v>
      </c>
      <c r="D6644" t="inlineStr">
        <is>
          <t>VÄSTERBOTTENS LÄN</t>
        </is>
      </c>
      <c r="E6644" t="inlineStr">
        <is>
          <t>VÄNNÄS</t>
        </is>
      </c>
      <c r="G6644" t="n">
        <v>2.6</v>
      </c>
      <c r="H6644" t="n">
        <v>0</v>
      </c>
      <c r="I6644" t="n">
        <v>0</v>
      </c>
      <c r="J6644" t="n">
        <v>0</v>
      </c>
      <c r="K6644" t="n">
        <v>0</v>
      </c>
      <c r="L6644" t="n">
        <v>0</v>
      </c>
      <c r="M6644" t="n">
        <v>0</v>
      </c>
      <c r="N6644" t="n">
        <v>0</v>
      </c>
      <c r="O6644" t="n">
        <v>0</v>
      </c>
      <c r="P6644" t="n">
        <v>0</v>
      </c>
      <c r="Q6644" t="n">
        <v>0</v>
      </c>
      <c r="R6644" s="2" t="inlineStr"/>
    </row>
    <row r="6645" ht="15" customHeight="1">
      <c r="A6645" t="inlineStr">
        <is>
          <t>A 51763-2025</t>
        </is>
      </c>
      <c r="B6645" s="1" t="n">
        <v>45951.63616898148</v>
      </c>
      <c r="C6645" s="1" t="n">
        <v>46075</v>
      </c>
      <c r="D6645" t="inlineStr">
        <is>
          <t>VÄSTERBOTTENS LÄN</t>
        </is>
      </c>
      <c r="E6645" t="inlineStr">
        <is>
          <t>NORSJÖ</t>
        </is>
      </c>
      <c r="G6645" t="n">
        <v>10.9</v>
      </c>
      <c r="H6645" t="n">
        <v>0</v>
      </c>
      <c r="I6645" t="n">
        <v>0</v>
      </c>
      <c r="J6645" t="n">
        <v>0</v>
      </c>
      <c r="K6645" t="n">
        <v>0</v>
      </c>
      <c r="L6645" t="n">
        <v>0</v>
      </c>
      <c r="M6645" t="n">
        <v>0</v>
      </c>
      <c r="N6645" t="n">
        <v>0</v>
      </c>
      <c r="O6645" t="n">
        <v>0</v>
      </c>
      <c r="P6645" t="n">
        <v>0</v>
      </c>
      <c r="Q6645" t="n">
        <v>0</v>
      </c>
      <c r="R6645" s="2" t="inlineStr"/>
    </row>
    <row r="6646" ht="15" customHeight="1">
      <c r="A6646" t="inlineStr">
        <is>
          <t>A 2645-2023</t>
        </is>
      </c>
      <c r="B6646" s="1" t="n">
        <v>44943</v>
      </c>
      <c r="C6646" s="1" t="n">
        <v>46075</v>
      </c>
      <c r="D6646" t="inlineStr">
        <is>
          <t>VÄSTERBOTTENS LÄN</t>
        </is>
      </c>
      <c r="E6646" t="inlineStr">
        <is>
          <t>NORDMALING</t>
        </is>
      </c>
      <c r="G6646" t="n">
        <v>2.6</v>
      </c>
      <c r="H6646" t="n">
        <v>0</v>
      </c>
      <c r="I6646" t="n">
        <v>0</v>
      </c>
      <c r="J6646" t="n">
        <v>0</v>
      </c>
      <c r="K6646" t="n">
        <v>0</v>
      </c>
      <c r="L6646" t="n">
        <v>0</v>
      </c>
      <c r="M6646" t="n">
        <v>0</v>
      </c>
      <c r="N6646" t="n">
        <v>0</v>
      </c>
      <c r="O6646" t="n">
        <v>0</v>
      </c>
      <c r="P6646" t="n">
        <v>0</v>
      </c>
      <c r="Q6646" t="n">
        <v>0</v>
      </c>
      <c r="R6646" s="2" t="inlineStr"/>
    </row>
    <row r="6647" ht="15" customHeight="1">
      <c r="A6647" t="inlineStr">
        <is>
          <t>A 51778-2025</t>
        </is>
      </c>
      <c r="B6647" s="1" t="n">
        <v>45951.65707175926</v>
      </c>
      <c r="C6647" s="1" t="n">
        <v>46075</v>
      </c>
      <c r="D6647" t="inlineStr">
        <is>
          <t>VÄSTERBOTTENS LÄN</t>
        </is>
      </c>
      <c r="E6647" t="inlineStr">
        <is>
          <t>ROBERTSFORS</t>
        </is>
      </c>
      <c r="G6647" t="n">
        <v>7.9</v>
      </c>
      <c r="H6647" t="n">
        <v>0</v>
      </c>
      <c r="I6647" t="n">
        <v>0</v>
      </c>
      <c r="J6647" t="n">
        <v>0</v>
      </c>
      <c r="K6647" t="n">
        <v>0</v>
      </c>
      <c r="L6647" t="n">
        <v>0</v>
      </c>
      <c r="M6647" t="n">
        <v>0</v>
      </c>
      <c r="N6647" t="n">
        <v>0</v>
      </c>
      <c r="O6647" t="n">
        <v>0</v>
      </c>
      <c r="P6647" t="n">
        <v>0</v>
      </c>
      <c r="Q6647" t="n">
        <v>0</v>
      </c>
      <c r="R6647" s="2" t="inlineStr"/>
    </row>
    <row r="6648" ht="15" customHeight="1">
      <c r="A6648" t="inlineStr">
        <is>
          <t>A 51665-2025</t>
        </is>
      </c>
      <c r="B6648" s="1" t="n">
        <v>45951.49236111111</v>
      </c>
      <c r="C6648" s="1" t="n">
        <v>46075</v>
      </c>
      <c r="D6648" t="inlineStr">
        <is>
          <t>VÄSTERBOTTENS LÄN</t>
        </is>
      </c>
      <c r="E6648" t="inlineStr">
        <is>
          <t>SKELLEFTEÅ</t>
        </is>
      </c>
      <c r="G6648" t="n">
        <v>8.699999999999999</v>
      </c>
      <c r="H6648" t="n">
        <v>0</v>
      </c>
      <c r="I6648" t="n">
        <v>0</v>
      </c>
      <c r="J6648" t="n">
        <v>0</v>
      </c>
      <c r="K6648" t="n">
        <v>0</v>
      </c>
      <c r="L6648" t="n">
        <v>0</v>
      </c>
      <c r="M6648" t="n">
        <v>0</v>
      </c>
      <c r="N6648" t="n">
        <v>0</v>
      </c>
      <c r="O6648" t="n">
        <v>0</v>
      </c>
      <c r="P6648" t="n">
        <v>0</v>
      </c>
      <c r="Q6648" t="n">
        <v>0</v>
      </c>
      <c r="R6648" s="2" t="inlineStr"/>
    </row>
    <row r="6649" ht="15" customHeight="1">
      <c r="A6649" t="inlineStr">
        <is>
          <t>A 51669-2025</t>
        </is>
      </c>
      <c r="B6649" s="1" t="n">
        <v>45951.4962037037</v>
      </c>
      <c r="C6649" s="1" t="n">
        <v>46075</v>
      </c>
      <c r="D6649" t="inlineStr">
        <is>
          <t>VÄSTERBOTTENS LÄN</t>
        </is>
      </c>
      <c r="E6649" t="inlineStr">
        <is>
          <t>ÅSELE</t>
        </is>
      </c>
      <c r="G6649" t="n">
        <v>0.3</v>
      </c>
      <c r="H6649" t="n">
        <v>0</v>
      </c>
      <c r="I6649" t="n">
        <v>0</v>
      </c>
      <c r="J6649" t="n">
        <v>0</v>
      </c>
      <c r="K6649" t="n">
        <v>0</v>
      </c>
      <c r="L6649" t="n">
        <v>0</v>
      </c>
      <c r="M6649" t="n">
        <v>0</v>
      </c>
      <c r="N6649" t="n">
        <v>0</v>
      </c>
      <c r="O6649" t="n">
        <v>0</v>
      </c>
      <c r="P6649" t="n">
        <v>0</v>
      </c>
      <c r="Q6649" t="n">
        <v>0</v>
      </c>
      <c r="R6649" s="2" t="inlineStr"/>
    </row>
    <row r="6650" ht="15" customHeight="1">
      <c r="A6650" t="inlineStr">
        <is>
          <t>A 11954-2024</t>
        </is>
      </c>
      <c r="B6650" s="1" t="n">
        <v>45376</v>
      </c>
      <c r="C6650" s="1" t="n">
        <v>46075</v>
      </c>
      <c r="D6650" t="inlineStr">
        <is>
          <t>VÄSTERBOTTENS LÄN</t>
        </is>
      </c>
      <c r="E6650" t="inlineStr">
        <is>
          <t>UMEÅ</t>
        </is>
      </c>
      <c r="G6650" t="n">
        <v>4</v>
      </c>
      <c r="H6650" t="n">
        <v>0</v>
      </c>
      <c r="I6650" t="n">
        <v>0</v>
      </c>
      <c r="J6650" t="n">
        <v>0</v>
      </c>
      <c r="K6650" t="n">
        <v>0</v>
      </c>
      <c r="L6650" t="n">
        <v>0</v>
      </c>
      <c r="M6650" t="n">
        <v>0</v>
      </c>
      <c r="N6650" t="n">
        <v>0</v>
      </c>
      <c r="O6650" t="n">
        <v>0</v>
      </c>
      <c r="P6650" t="n">
        <v>0</v>
      </c>
      <c r="Q6650" t="n">
        <v>0</v>
      </c>
      <c r="R6650" s="2" t="inlineStr"/>
    </row>
    <row r="6651" ht="15" customHeight="1">
      <c r="A6651" t="inlineStr">
        <is>
          <t>A 51544-2025</t>
        </is>
      </c>
      <c r="B6651" s="1" t="n">
        <v>45950.74530092593</v>
      </c>
      <c r="C6651" s="1" t="n">
        <v>46075</v>
      </c>
      <c r="D6651" t="inlineStr">
        <is>
          <t>VÄSTERBOTTENS LÄN</t>
        </is>
      </c>
      <c r="E6651" t="inlineStr">
        <is>
          <t>NORDMALING</t>
        </is>
      </c>
      <c r="G6651" t="n">
        <v>5.5</v>
      </c>
      <c r="H6651" t="n">
        <v>0</v>
      </c>
      <c r="I6651" t="n">
        <v>0</v>
      </c>
      <c r="J6651" t="n">
        <v>0</v>
      </c>
      <c r="K6651" t="n">
        <v>0</v>
      </c>
      <c r="L6651" t="n">
        <v>0</v>
      </c>
      <c r="M6651" t="n">
        <v>0</v>
      </c>
      <c r="N6651" t="n">
        <v>0</v>
      </c>
      <c r="O6651" t="n">
        <v>0</v>
      </c>
      <c r="P6651" t="n">
        <v>0</v>
      </c>
      <c r="Q6651" t="n">
        <v>0</v>
      </c>
      <c r="R6651" s="2" t="inlineStr"/>
    </row>
    <row r="6652" ht="15" customHeight="1">
      <c r="A6652" t="inlineStr">
        <is>
          <t>A 60939-2023</t>
        </is>
      </c>
      <c r="B6652" s="1" t="n">
        <v>45259</v>
      </c>
      <c r="C6652" s="1" t="n">
        <v>46075</v>
      </c>
      <c r="D6652" t="inlineStr">
        <is>
          <t>VÄSTERBOTTENS LÄN</t>
        </is>
      </c>
      <c r="E6652" t="inlineStr">
        <is>
          <t>SORSELE</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64323-2023</t>
        </is>
      </c>
      <c r="B6653" s="1" t="n">
        <v>45280.40798611111</v>
      </c>
      <c r="C6653" s="1" t="n">
        <v>46075</v>
      </c>
      <c r="D6653" t="inlineStr">
        <is>
          <t>VÄSTERBOTTENS LÄN</t>
        </is>
      </c>
      <c r="E6653" t="inlineStr">
        <is>
          <t>SKELLEFTEÅ</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30572-2024</t>
        </is>
      </c>
      <c r="B6654" s="1" t="n">
        <v>45492.95777777778</v>
      </c>
      <c r="C6654" s="1" t="n">
        <v>46075</v>
      </c>
      <c r="D6654" t="inlineStr">
        <is>
          <t>VÄSTERBOTTENS LÄN</t>
        </is>
      </c>
      <c r="E6654" t="inlineStr">
        <is>
          <t>VILHELMINA</t>
        </is>
      </c>
      <c r="F6654" t="inlineStr">
        <is>
          <t>SCA</t>
        </is>
      </c>
      <c r="G6654" t="n">
        <v>3.9</v>
      </c>
      <c r="H6654" t="n">
        <v>0</v>
      </c>
      <c r="I6654" t="n">
        <v>0</v>
      </c>
      <c r="J6654" t="n">
        <v>0</v>
      </c>
      <c r="K6654" t="n">
        <v>0</v>
      </c>
      <c r="L6654" t="n">
        <v>0</v>
      </c>
      <c r="M6654" t="n">
        <v>0</v>
      </c>
      <c r="N6654" t="n">
        <v>0</v>
      </c>
      <c r="O6654" t="n">
        <v>0</v>
      </c>
      <c r="P6654" t="n">
        <v>0</v>
      </c>
      <c r="Q6654" t="n">
        <v>0</v>
      </c>
      <c r="R6654" s="2" t="inlineStr"/>
    </row>
    <row r="6655" ht="15" customHeight="1">
      <c r="A6655" t="inlineStr">
        <is>
          <t>A 51339-2025</t>
        </is>
      </c>
      <c r="B6655" s="1" t="n">
        <v>45950.42702546297</v>
      </c>
      <c r="C6655" s="1" t="n">
        <v>46075</v>
      </c>
      <c r="D6655" t="inlineStr">
        <is>
          <t>VÄSTERBOTTENS LÄN</t>
        </is>
      </c>
      <c r="E6655" t="inlineStr">
        <is>
          <t>UMEÅ</t>
        </is>
      </c>
      <c r="G6655" t="n">
        <v>5.6</v>
      </c>
      <c r="H6655" t="n">
        <v>0</v>
      </c>
      <c r="I6655" t="n">
        <v>0</v>
      </c>
      <c r="J6655" t="n">
        <v>0</v>
      </c>
      <c r="K6655" t="n">
        <v>0</v>
      </c>
      <c r="L6655" t="n">
        <v>0</v>
      </c>
      <c r="M6655" t="n">
        <v>0</v>
      </c>
      <c r="N6655" t="n">
        <v>0</v>
      </c>
      <c r="O6655" t="n">
        <v>0</v>
      </c>
      <c r="P6655" t="n">
        <v>0</v>
      </c>
      <c r="Q6655" t="n">
        <v>0</v>
      </c>
      <c r="R6655" s="2" t="inlineStr"/>
    </row>
    <row r="6656" ht="15" customHeight="1">
      <c r="A6656" t="inlineStr">
        <is>
          <t>A 51543-2025</t>
        </is>
      </c>
      <c r="B6656" s="1" t="n">
        <v>45950.74270833333</v>
      </c>
      <c r="C6656" s="1" t="n">
        <v>46075</v>
      </c>
      <c r="D6656" t="inlineStr">
        <is>
          <t>VÄSTERBOTTENS LÄN</t>
        </is>
      </c>
      <c r="E6656" t="inlineStr">
        <is>
          <t>NORDMALING</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56801-2023</t>
        </is>
      </c>
      <c r="B6657" s="1" t="n">
        <v>45244.43186342593</v>
      </c>
      <c r="C6657" s="1" t="n">
        <v>46075</v>
      </c>
      <c r="D6657" t="inlineStr">
        <is>
          <t>VÄSTERBOTTENS LÄN</t>
        </is>
      </c>
      <c r="E6657" t="inlineStr">
        <is>
          <t>NORDMALING</t>
        </is>
      </c>
      <c r="G6657" t="n">
        <v>3.3</v>
      </c>
      <c r="H6657" t="n">
        <v>0</v>
      </c>
      <c r="I6657" t="n">
        <v>0</v>
      </c>
      <c r="J6657" t="n">
        <v>0</v>
      </c>
      <c r="K6657" t="n">
        <v>0</v>
      </c>
      <c r="L6657" t="n">
        <v>0</v>
      </c>
      <c r="M6657" t="n">
        <v>0</v>
      </c>
      <c r="N6657" t="n">
        <v>0</v>
      </c>
      <c r="O6657" t="n">
        <v>0</v>
      </c>
      <c r="P6657" t="n">
        <v>0</v>
      </c>
      <c r="Q6657" t="n">
        <v>0</v>
      </c>
      <c r="R6657" s="2" t="inlineStr"/>
    </row>
    <row r="6658" ht="15" customHeight="1">
      <c r="A6658" t="inlineStr">
        <is>
          <t>A 30725-2024</t>
        </is>
      </c>
      <c r="B6658" s="1" t="n">
        <v>45496.53711805555</v>
      </c>
      <c r="C6658" s="1" t="n">
        <v>46075</v>
      </c>
      <c r="D6658" t="inlineStr">
        <is>
          <t>VÄSTERBOTTENS LÄN</t>
        </is>
      </c>
      <c r="E6658" t="inlineStr">
        <is>
          <t>LYCKSELE</t>
        </is>
      </c>
      <c r="F6658" t="inlineStr">
        <is>
          <t>Holmen skog AB</t>
        </is>
      </c>
      <c r="G6658" t="n">
        <v>2.8</v>
      </c>
      <c r="H6658" t="n">
        <v>0</v>
      </c>
      <c r="I6658" t="n">
        <v>0</v>
      </c>
      <c r="J6658" t="n">
        <v>0</v>
      </c>
      <c r="K6658" t="n">
        <v>0</v>
      </c>
      <c r="L6658" t="n">
        <v>0</v>
      </c>
      <c r="M6658" t="n">
        <v>0</v>
      </c>
      <c r="N6658" t="n">
        <v>0</v>
      </c>
      <c r="O6658" t="n">
        <v>0</v>
      </c>
      <c r="P6658" t="n">
        <v>0</v>
      </c>
      <c r="Q6658" t="n">
        <v>0</v>
      </c>
      <c r="R6658" s="2" t="inlineStr"/>
    </row>
    <row r="6659" ht="15" customHeight="1">
      <c r="A6659" t="inlineStr">
        <is>
          <t>A 51689-2025</t>
        </is>
      </c>
      <c r="B6659" s="1" t="n">
        <v>45951.53252314815</v>
      </c>
      <c r="C6659" s="1" t="n">
        <v>46075</v>
      </c>
      <c r="D6659" t="inlineStr">
        <is>
          <t>VÄSTERBOTTENS LÄN</t>
        </is>
      </c>
      <c r="E6659" t="inlineStr">
        <is>
          <t>UMEÅ</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21098-2023</t>
        </is>
      </c>
      <c r="B6660" s="1" t="n">
        <v>45061.92824074074</v>
      </c>
      <c r="C6660" s="1" t="n">
        <v>46075</v>
      </c>
      <c r="D6660" t="inlineStr">
        <is>
          <t>VÄSTERBOTTENS LÄN</t>
        </is>
      </c>
      <c r="E6660" t="inlineStr">
        <is>
          <t>VINDELN</t>
        </is>
      </c>
      <c r="G6660" t="n">
        <v>2.3</v>
      </c>
      <c r="H6660" t="n">
        <v>0</v>
      </c>
      <c r="I6660" t="n">
        <v>0</v>
      </c>
      <c r="J6660" t="n">
        <v>0</v>
      </c>
      <c r="K6660" t="n">
        <v>0</v>
      </c>
      <c r="L6660" t="n">
        <v>0</v>
      </c>
      <c r="M6660" t="n">
        <v>0</v>
      </c>
      <c r="N6660" t="n">
        <v>0</v>
      </c>
      <c r="O6660" t="n">
        <v>0</v>
      </c>
      <c r="P6660" t="n">
        <v>0</v>
      </c>
      <c r="Q6660" t="n">
        <v>0</v>
      </c>
      <c r="R6660" s="2" t="inlineStr"/>
    </row>
    <row r="6661" ht="15" customHeight="1">
      <c r="A6661" t="inlineStr">
        <is>
          <t>A 49192-2023</t>
        </is>
      </c>
      <c r="B6661" s="1" t="n">
        <v>45210.57967592592</v>
      </c>
      <c r="C6661" s="1" t="n">
        <v>46075</v>
      </c>
      <c r="D6661" t="inlineStr">
        <is>
          <t>VÄSTERBOTTENS LÄN</t>
        </is>
      </c>
      <c r="E6661" t="inlineStr">
        <is>
          <t>UMEÅ</t>
        </is>
      </c>
      <c r="F6661" t="inlineStr">
        <is>
          <t>Holmen skog AB</t>
        </is>
      </c>
      <c r="G6661" t="n">
        <v>5.2</v>
      </c>
      <c r="H6661" t="n">
        <v>0</v>
      </c>
      <c r="I6661" t="n">
        <v>0</v>
      </c>
      <c r="J6661" t="n">
        <v>0</v>
      </c>
      <c r="K6661" t="n">
        <v>0</v>
      </c>
      <c r="L6661" t="n">
        <v>0</v>
      </c>
      <c r="M6661" t="n">
        <v>0</v>
      </c>
      <c r="N6661" t="n">
        <v>0</v>
      </c>
      <c r="O6661" t="n">
        <v>0</v>
      </c>
      <c r="P6661" t="n">
        <v>0</v>
      </c>
      <c r="Q6661" t="n">
        <v>0</v>
      </c>
      <c r="R6661" s="2" t="inlineStr"/>
    </row>
    <row r="6662" ht="15" customHeight="1">
      <c r="A6662" t="inlineStr">
        <is>
          <t>A 7429-2023</t>
        </is>
      </c>
      <c r="B6662" s="1" t="n">
        <v>44971</v>
      </c>
      <c r="C6662" s="1" t="n">
        <v>46075</v>
      </c>
      <c r="D6662" t="inlineStr">
        <is>
          <t>VÄSTERBOTTENS LÄN</t>
        </is>
      </c>
      <c r="E6662" t="inlineStr">
        <is>
          <t>DOROTEA</t>
        </is>
      </c>
      <c r="G6662" t="n">
        <v>0.2</v>
      </c>
      <c r="H6662" t="n">
        <v>0</v>
      </c>
      <c r="I6662" t="n">
        <v>0</v>
      </c>
      <c r="J6662" t="n">
        <v>0</v>
      </c>
      <c r="K6662" t="n">
        <v>0</v>
      </c>
      <c r="L6662" t="n">
        <v>0</v>
      </c>
      <c r="M6662" t="n">
        <v>0</v>
      </c>
      <c r="N6662" t="n">
        <v>0</v>
      </c>
      <c r="O6662" t="n">
        <v>0</v>
      </c>
      <c r="P6662" t="n">
        <v>0</v>
      </c>
      <c r="Q6662" t="n">
        <v>0</v>
      </c>
      <c r="R6662" s="2" t="inlineStr"/>
    </row>
    <row r="6663" ht="15" customHeight="1">
      <c r="A6663" t="inlineStr">
        <is>
          <t>A 52056-2025</t>
        </is>
      </c>
      <c r="B6663" s="1" t="n">
        <v>45952.63239583333</v>
      </c>
      <c r="C6663" s="1" t="n">
        <v>46075</v>
      </c>
      <c r="D6663" t="inlineStr">
        <is>
          <t>VÄSTERBOTTENS LÄN</t>
        </is>
      </c>
      <c r="E6663" t="inlineStr">
        <is>
          <t>UMEÅ</t>
        </is>
      </c>
      <c r="F6663" t="inlineStr">
        <is>
          <t>Holmen skog AB</t>
        </is>
      </c>
      <c r="G6663" t="n">
        <v>9.4</v>
      </c>
      <c r="H6663" t="n">
        <v>0</v>
      </c>
      <c r="I6663" t="n">
        <v>0</v>
      </c>
      <c r="J6663" t="n">
        <v>0</v>
      </c>
      <c r="K6663" t="n">
        <v>0</v>
      </c>
      <c r="L6663" t="n">
        <v>0</v>
      </c>
      <c r="M6663" t="n">
        <v>0</v>
      </c>
      <c r="N6663" t="n">
        <v>0</v>
      </c>
      <c r="O6663" t="n">
        <v>0</v>
      </c>
      <c r="P6663" t="n">
        <v>0</v>
      </c>
      <c r="Q6663" t="n">
        <v>0</v>
      </c>
      <c r="R6663" s="2" t="inlineStr"/>
    </row>
    <row r="6664" ht="15" customHeight="1">
      <c r="A6664" t="inlineStr">
        <is>
          <t>A 52095-2025</t>
        </is>
      </c>
      <c r="B6664" s="1" t="n">
        <v>45952.67899305555</v>
      </c>
      <c r="C6664" s="1" t="n">
        <v>46075</v>
      </c>
      <c r="D6664" t="inlineStr">
        <is>
          <t>VÄSTERBOTTENS LÄN</t>
        </is>
      </c>
      <c r="E6664" t="inlineStr">
        <is>
          <t>SKELLEFTEÅ</t>
        </is>
      </c>
      <c r="G6664" t="n">
        <v>4</v>
      </c>
      <c r="H6664" t="n">
        <v>0</v>
      </c>
      <c r="I6664" t="n">
        <v>0</v>
      </c>
      <c r="J6664" t="n">
        <v>0</v>
      </c>
      <c r="K6664" t="n">
        <v>0</v>
      </c>
      <c r="L6664" t="n">
        <v>0</v>
      </c>
      <c r="M6664" t="n">
        <v>0</v>
      </c>
      <c r="N6664" t="n">
        <v>0</v>
      </c>
      <c r="O6664" t="n">
        <v>0</v>
      </c>
      <c r="P6664" t="n">
        <v>0</v>
      </c>
      <c r="Q6664" t="n">
        <v>0</v>
      </c>
      <c r="R6664" s="2" t="inlineStr"/>
    </row>
    <row r="6665" ht="15" customHeight="1">
      <c r="A6665" t="inlineStr">
        <is>
          <t>A 52155-2025</t>
        </is>
      </c>
      <c r="B6665" s="1" t="n">
        <v>45953.3543287037</v>
      </c>
      <c r="C6665" s="1" t="n">
        <v>46075</v>
      </c>
      <c r="D6665" t="inlineStr">
        <is>
          <t>VÄSTERBOTTENS LÄN</t>
        </is>
      </c>
      <c r="E6665" t="inlineStr">
        <is>
          <t>UMEÅ</t>
        </is>
      </c>
      <c r="F6665" t="inlineStr">
        <is>
          <t>Holmen skog AB</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15062-2024</t>
        </is>
      </c>
      <c r="B6666" s="1" t="n">
        <v>45399</v>
      </c>
      <c r="C6666" s="1" t="n">
        <v>46075</v>
      </c>
      <c r="D6666" t="inlineStr">
        <is>
          <t>VÄSTERBOTTENS LÄN</t>
        </is>
      </c>
      <c r="E6666" t="inlineStr">
        <is>
          <t>VILHELMINA</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15066-2024</t>
        </is>
      </c>
      <c r="B6667" s="1" t="n">
        <v>45399</v>
      </c>
      <c r="C6667" s="1" t="n">
        <v>46075</v>
      </c>
      <c r="D6667" t="inlineStr">
        <is>
          <t>VÄSTERBOTTENS LÄN</t>
        </is>
      </c>
      <c r="E6667" t="inlineStr">
        <is>
          <t>VILHELMINA</t>
        </is>
      </c>
      <c r="G6667" t="n">
        <v>4.6</v>
      </c>
      <c r="H6667" t="n">
        <v>0</v>
      </c>
      <c r="I6667" t="n">
        <v>0</v>
      </c>
      <c r="J6667" t="n">
        <v>0</v>
      </c>
      <c r="K6667" t="n">
        <v>0</v>
      </c>
      <c r="L6667" t="n">
        <v>0</v>
      </c>
      <c r="M6667" t="n">
        <v>0</v>
      </c>
      <c r="N6667" t="n">
        <v>0</v>
      </c>
      <c r="O6667" t="n">
        <v>0</v>
      </c>
      <c r="P6667" t="n">
        <v>0</v>
      </c>
      <c r="Q6667" t="n">
        <v>0</v>
      </c>
      <c r="R6667" s="2" t="inlineStr"/>
    </row>
    <row r="6668" ht="15" customHeight="1">
      <c r="A6668" t="inlineStr">
        <is>
          <t>A 52082-2025</t>
        </is>
      </c>
      <c r="B6668" s="1" t="n">
        <v>45952.66583333333</v>
      </c>
      <c r="C6668" s="1" t="n">
        <v>46075</v>
      </c>
      <c r="D6668" t="inlineStr">
        <is>
          <t>VÄSTERBOTTENS LÄN</t>
        </is>
      </c>
      <c r="E6668" t="inlineStr">
        <is>
          <t>UMEÅ</t>
        </is>
      </c>
      <c r="F6668" t="inlineStr">
        <is>
          <t>Holmen skog AB</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52234-2025</t>
        </is>
      </c>
      <c r="B6669" s="1" t="n">
        <v>45953.45195601852</v>
      </c>
      <c r="C6669" s="1" t="n">
        <v>46075</v>
      </c>
      <c r="D6669" t="inlineStr">
        <is>
          <t>VÄSTERBOTTENS LÄN</t>
        </is>
      </c>
      <c r="E6669" t="inlineStr">
        <is>
          <t>NORDMALING</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52235-2025</t>
        </is>
      </c>
      <c r="B6670" s="1" t="n">
        <v>45953.4543287037</v>
      </c>
      <c r="C6670" s="1" t="n">
        <v>46075</v>
      </c>
      <c r="D6670" t="inlineStr">
        <is>
          <t>VÄSTERBOTTENS LÄN</t>
        </is>
      </c>
      <c r="E6670" t="inlineStr">
        <is>
          <t>BJURHOLM</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15846-2024</t>
        </is>
      </c>
      <c r="B6671" s="1" t="n">
        <v>45404.84630787037</v>
      </c>
      <c r="C6671" s="1" t="n">
        <v>46075</v>
      </c>
      <c r="D6671" t="inlineStr">
        <is>
          <t>VÄSTERBOTTENS LÄN</t>
        </is>
      </c>
      <c r="E6671" t="inlineStr">
        <is>
          <t>SKELLEFTEÅ</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15848-2024</t>
        </is>
      </c>
      <c r="B6672" s="1" t="n">
        <v>45404</v>
      </c>
      <c r="C6672" s="1" t="n">
        <v>46075</v>
      </c>
      <c r="D6672" t="inlineStr">
        <is>
          <t>VÄSTERBOTTENS LÄN</t>
        </is>
      </c>
      <c r="E6672" t="inlineStr">
        <is>
          <t>SKELLEFTEÅ</t>
        </is>
      </c>
      <c r="G6672" t="n">
        <v>3.2</v>
      </c>
      <c r="H6672" t="n">
        <v>0</v>
      </c>
      <c r="I6672" t="n">
        <v>0</v>
      </c>
      <c r="J6672" t="n">
        <v>0</v>
      </c>
      <c r="K6672" t="n">
        <v>0</v>
      </c>
      <c r="L6672" t="n">
        <v>0</v>
      </c>
      <c r="M6672" t="n">
        <v>0</v>
      </c>
      <c r="N6672" t="n">
        <v>0</v>
      </c>
      <c r="O6672" t="n">
        <v>0</v>
      </c>
      <c r="P6672" t="n">
        <v>0</v>
      </c>
      <c r="Q6672" t="n">
        <v>0</v>
      </c>
      <c r="R6672" s="2" t="inlineStr"/>
    </row>
    <row r="6673" ht="15" customHeight="1">
      <c r="A6673" t="inlineStr">
        <is>
          <t>A 52238-2025</t>
        </is>
      </c>
      <c r="B6673" s="1" t="n">
        <v>45953.46032407408</v>
      </c>
      <c r="C6673" s="1" t="n">
        <v>46075</v>
      </c>
      <c r="D6673" t="inlineStr">
        <is>
          <t>VÄSTERBOTTENS LÄN</t>
        </is>
      </c>
      <c r="E6673" t="inlineStr">
        <is>
          <t>UMEÅ</t>
        </is>
      </c>
      <c r="F6673" t="inlineStr">
        <is>
          <t>Holmen skog AB</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51297-2021</t>
        </is>
      </c>
      <c r="B6674" s="1" t="n">
        <v>44461.59241898148</v>
      </c>
      <c r="C6674" s="1" t="n">
        <v>46075</v>
      </c>
      <c r="D6674" t="inlineStr">
        <is>
          <t>VÄSTERBOTTENS LÄN</t>
        </is>
      </c>
      <c r="E6674" t="inlineStr">
        <is>
          <t>NORSJÖ</t>
        </is>
      </c>
      <c r="G6674" t="n">
        <v>5.9</v>
      </c>
      <c r="H6674" t="n">
        <v>0</v>
      </c>
      <c r="I6674" t="n">
        <v>0</v>
      </c>
      <c r="J6674" t="n">
        <v>0</v>
      </c>
      <c r="K6674" t="n">
        <v>0</v>
      </c>
      <c r="L6674" t="n">
        <v>0</v>
      </c>
      <c r="M6674" t="n">
        <v>0</v>
      </c>
      <c r="N6674" t="n">
        <v>0</v>
      </c>
      <c r="O6674" t="n">
        <v>0</v>
      </c>
      <c r="P6674" t="n">
        <v>0</v>
      </c>
      <c r="Q6674" t="n">
        <v>0</v>
      </c>
      <c r="R6674" s="2" t="inlineStr"/>
    </row>
    <row r="6675" ht="15" customHeight="1">
      <c r="A6675" t="inlineStr">
        <is>
          <t>A 51901-2025</t>
        </is>
      </c>
      <c r="B6675" s="1" t="n">
        <v>45952.44668981482</v>
      </c>
      <c r="C6675" s="1" t="n">
        <v>46075</v>
      </c>
      <c r="D6675" t="inlineStr">
        <is>
          <t>VÄSTERBOTTENS LÄN</t>
        </is>
      </c>
      <c r="E6675" t="inlineStr">
        <is>
          <t>UMEÅ</t>
        </is>
      </c>
      <c r="F6675" t="inlineStr">
        <is>
          <t>Holmen skog AB</t>
        </is>
      </c>
      <c r="G6675" t="n">
        <v>2.3</v>
      </c>
      <c r="H6675" t="n">
        <v>0</v>
      </c>
      <c r="I6675" t="n">
        <v>0</v>
      </c>
      <c r="J6675" t="n">
        <v>0</v>
      </c>
      <c r="K6675" t="n">
        <v>0</v>
      </c>
      <c r="L6675" t="n">
        <v>0</v>
      </c>
      <c r="M6675" t="n">
        <v>0</v>
      </c>
      <c r="N6675" t="n">
        <v>0</v>
      </c>
      <c r="O6675" t="n">
        <v>0</v>
      </c>
      <c r="P6675" t="n">
        <v>0</v>
      </c>
      <c r="Q6675" t="n">
        <v>0</v>
      </c>
      <c r="R6675" s="2" t="inlineStr"/>
    </row>
    <row r="6676" ht="15" customHeight="1">
      <c r="A6676" t="inlineStr">
        <is>
          <t>A 51905-2025</t>
        </is>
      </c>
      <c r="B6676" s="1" t="n">
        <v>45952.44921296297</v>
      </c>
      <c r="C6676" s="1" t="n">
        <v>46075</v>
      </c>
      <c r="D6676" t="inlineStr">
        <is>
          <t>VÄSTERBOTTENS LÄN</t>
        </is>
      </c>
      <c r="E6676" t="inlineStr">
        <is>
          <t>NORSJÖ</t>
        </is>
      </c>
      <c r="G6676" t="n">
        <v>4.4</v>
      </c>
      <c r="H6676" t="n">
        <v>0</v>
      </c>
      <c r="I6676" t="n">
        <v>0</v>
      </c>
      <c r="J6676" t="n">
        <v>0</v>
      </c>
      <c r="K6676" t="n">
        <v>0</v>
      </c>
      <c r="L6676" t="n">
        <v>0</v>
      </c>
      <c r="M6676" t="n">
        <v>0</v>
      </c>
      <c r="N6676" t="n">
        <v>0</v>
      </c>
      <c r="O6676" t="n">
        <v>0</v>
      </c>
      <c r="P6676" t="n">
        <v>0</v>
      </c>
      <c r="Q6676" t="n">
        <v>0</v>
      </c>
      <c r="R6676" s="2" t="inlineStr"/>
    </row>
    <row r="6677" ht="15" customHeight="1">
      <c r="A6677" t="inlineStr">
        <is>
          <t>A 52326-2025</t>
        </is>
      </c>
      <c r="B6677" s="1" t="n">
        <v>45953.67081018518</v>
      </c>
      <c r="C6677" s="1" t="n">
        <v>46075</v>
      </c>
      <c r="D6677" t="inlineStr">
        <is>
          <t>VÄSTERBOTTENS LÄN</t>
        </is>
      </c>
      <c r="E6677" t="inlineStr">
        <is>
          <t>ÅSELE</t>
        </is>
      </c>
      <c r="G6677" t="n">
        <v>5.5</v>
      </c>
      <c r="H6677" t="n">
        <v>0</v>
      </c>
      <c r="I6677" t="n">
        <v>0</v>
      </c>
      <c r="J6677" t="n">
        <v>0</v>
      </c>
      <c r="K6677" t="n">
        <v>0</v>
      </c>
      <c r="L6677" t="n">
        <v>0</v>
      </c>
      <c r="M6677" t="n">
        <v>0</v>
      </c>
      <c r="N6677" t="n">
        <v>0</v>
      </c>
      <c r="O6677" t="n">
        <v>0</v>
      </c>
      <c r="P6677" t="n">
        <v>0</v>
      </c>
      <c r="Q6677" t="n">
        <v>0</v>
      </c>
      <c r="R6677" s="2" t="inlineStr"/>
    </row>
    <row r="6678" ht="15" customHeight="1">
      <c r="A6678" t="inlineStr">
        <is>
          <t>A 28943-2024</t>
        </is>
      </c>
      <c r="B6678" s="1" t="n">
        <v>45481</v>
      </c>
      <c r="C6678" s="1" t="n">
        <v>46075</v>
      </c>
      <c r="D6678" t="inlineStr">
        <is>
          <t>VÄSTERBOTTENS LÄN</t>
        </is>
      </c>
      <c r="E6678" t="inlineStr">
        <is>
          <t>ÅSELE</t>
        </is>
      </c>
      <c r="F6678" t="inlineStr">
        <is>
          <t>Sveaskog</t>
        </is>
      </c>
      <c r="G6678" t="n">
        <v>24.2</v>
      </c>
      <c r="H6678" t="n">
        <v>0</v>
      </c>
      <c r="I6678" t="n">
        <v>0</v>
      </c>
      <c r="J6678" t="n">
        <v>0</v>
      </c>
      <c r="K6678" t="n">
        <v>0</v>
      </c>
      <c r="L6678" t="n">
        <v>0</v>
      </c>
      <c r="M6678" t="n">
        <v>0</v>
      </c>
      <c r="N6678" t="n">
        <v>0</v>
      </c>
      <c r="O6678" t="n">
        <v>0</v>
      </c>
      <c r="P6678" t="n">
        <v>0</v>
      </c>
      <c r="Q6678" t="n">
        <v>0</v>
      </c>
      <c r="R6678" s="2" t="inlineStr"/>
    </row>
    <row r="6679" ht="15" customHeight="1">
      <c r="A6679" t="inlineStr">
        <is>
          <t>A 10203-2024</t>
        </is>
      </c>
      <c r="B6679" s="1" t="n">
        <v>45364</v>
      </c>
      <c r="C6679" s="1" t="n">
        <v>46075</v>
      </c>
      <c r="D6679" t="inlineStr">
        <is>
          <t>VÄSTERBOTTENS LÄN</t>
        </is>
      </c>
      <c r="E6679" t="inlineStr">
        <is>
          <t>STORUMAN</t>
        </is>
      </c>
      <c r="G6679" t="n">
        <v>6</v>
      </c>
      <c r="H6679" t="n">
        <v>0</v>
      </c>
      <c r="I6679" t="n">
        <v>0</v>
      </c>
      <c r="J6679" t="n">
        <v>0</v>
      </c>
      <c r="K6679" t="n">
        <v>0</v>
      </c>
      <c r="L6679" t="n">
        <v>0</v>
      </c>
      <c r="M6679" t="n">
        <v>0</v>
      </c>
      <c r="N6679" t="n">
        <v>0</v>
      </c>
      <c r="O6679" t="n">
        <v>0</v>
      </c>
      <c r="P6679" t="n">
        <v>0</v>
      </c>
      <c r="Q6679" t="n">
        <v>0</v>
      </c>
      <c r="R6679" s="2" t="inlineStr"/>
    </row>
    <row r="6680" ht="15" customHeight="1">
      <c r="A6680" t="inlineStr">
        <is>
          <t>A 52339-2025</t>
        </is>
      </c>
      <c r="B6680" s="1" t="n">
        <v>45953.69837962963</v>
      </c>
      <c r="C6680" s="1" t="n">
        <v>46075</v>
      </c>
      <c r="D6680" t="inlineStr">
        <is>
          <t>VÄSTERBOTTENS LÄN</t>
        </is>
      </c>
      <c r="E6680" t="inlineStr">
        <is>
          <t>DOROTEA</t>
        </is>
      </c>
      <c r="F6680" t="inlineStr">
        <is>
          <t>SCA</t>
        </is>
      </c>
      <c r="G6680" t="n">
        <v>12.6</v>
      </c>
      <c r="H6680" t="n">
        <v>0</v>
      </c>
      <c r="I6680" t="n">
        <v>0</v>
      </c>
      <c r="J6680" t="n">
        <v>0</v>
      </c>
      <c r="K6680" t="n">
        <v>0</v>
      </c>
      <c r="L6680" t="n">
        <v>0</v>
      </c>
      <c r="M6680" t="n">
        <v>0</v>
      </c>
      <c r="N6680" t="n">
        <v>0</v>
      </c>
      <c r="O6680" t="n">
        <v>0</v>
      </c>
      <c r="P6680" t="n">
        <v>0</v>
      </c>
      <c r="Q6680" t="n">
        <v>0</v>
      </c>
      <c r="R6680" s="2" t="inlineStr"/>
    </row>
    <row r="6681" ht="15" customHeight="1">
      <c r="A6681" t="inlineStr">
        <is>
          <t>A 51952-2025</t>
        </is>
      </c>
      <c r="B6681" s="1" t="n">
        <v>45952</v>
      </c>
      <c r="C6681" s="1" t="n">
        <v>46075</v>
      </c>
      <c r="D6681" t="inlineStr">
        <is>
          <t>VÄSTERBOTTENS LÄN</t>
        </is>
      </c>
      <c r="E6681" t="inlineStr">
        <is>
          <t>MALÅ</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51958-2025</t>
        </is>
      </c>
      <c r="B6682" s="1" t="n">
        <v>45952.54373842593</v>
      </c>
      <c r="C6682" s="1" t="n">
        <v>46075</v>
      </c>
      <c r="D6682" t="inlineStr">
        <is>
          <t>VÄSTERBOTTENS LÄN</t>
        </is>
      </c>
      <c r="E6682" t="inlineStr">
        <is>
          <t>UMEÅ</t>
        </is>
      </c>
      <c r="G6682" t="n">
        <v>4.3</v>
      </c>
      <c r="H6682" t="n">
        <v>0</v>
      </c>
      <c r="I6682" t="n">
        <v>0</v>
      </c>
      <c r="J6682" t="n">
        <v>0</v>
      </c>
      <c r="K6682" t="n">
        <v>0</v>
      </c>
      <c r="L6682" t="n">
        <v>0</v>
      </c>
      <c r="M6682" t="n">
        <v>0</v>
      </c>
      <c r="N6682" t="n">
        <v>0</v>
      </c>
      <c r="O6682" t="n">
        <v>0</v>
      </c>
      <c r="P6682" t="n">
        <v>0</v>
      </c>
      <c r="Q6682" t="n">
        <v>0</v>
      </c>
      <c r="R6682" s="2" t="inlineStr"/>
    </row>
    <row r="6683" ht="15" customHeight="1">
      <c r="A6683" t="inlineStr">
        <is>
          <t>A 51961-2025</t>
        </is>
      </c>
      <c r="B6683" s="1" t="n">
        <v>45952.54824074074</v>
      </c>
      <c r="C6683" s="1" t="n">
        <v>46075</v>
      </c>
      <c r="D6683" t="inlineStr">
        <is>
          <t>VÄSTERBOTTENS LÄN</t>
        </is>
      </c>
      <c r="E6683" t="inlineStr">
        <is>
          <t>UMEÅ</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51963-2025</t>
        </is>
      </c>
      <c r="B6684" s="1" t="n">
        <v>45952.55270833334</v>
      </c>
      <c r="C6684" s="1" t="n">
        <v>46075</v>
      </c>
      <c r="D6684" t="inlineStr">
        <is>
          <t>VÄSTERBOTTENS LÄN</t>
        </is>
      </c>
      <c r="E6684" t="inlineStr">
        <is>
          <t>MALÅ</t>
        </is>
      </c>
      <c r="F6684" t="inlineStr">
        <is>
          <t>SCA</t>
        </is>
      </c>
      <c r="G6684" t="n">
        <v>6.8</v>
      </c>
      <c r="H6684" t="n">
        <v>0</v>
      </c>
      <c r="I6684" t="n">
        <v>0</v>
      </c>
      <c r="J6684" t="n">
        <v>0</v>
      </c>
      <c r="K6684" t="n">
        <v>0</v>
      </c>
      <c r="L6684" t="n">
        <v>0</v>
      </c>
      <c r="M6684" t="n">
        <v>0</v>
      </c>
      <c r="N6684" t="n">
        <v>0</v>
      </c>
      <c r="O6684" t="n">
        <v>0</v>
      </c>
      <c r="P6684" t="n">
        <v>0</v>
      </c>
      <c r="Q6684" t="n">
        <v>0</v>
      </c>
      <c r="R6684" s="2" t="inlineStr"/>
    </row>
    <row r="6685" ht="15" customHeight="1">
      <c r="A6685" t="inlineStr">
        <is>
          <t>A 10121-2025</t>
        </is>
      </c>
      <c r="B6685" s="1" t="n">
        <v>45719</v>
      </c>
      <c r="C6685" s="1" t="n">
        <v>46075</v>
      </c>
      <c r="D6685" t="inlineStr">
        <is>
          <t>VÄSTERBOTTENS LÄN</t>
        </is>
      </c>
      <c r="E6685" t="inlineStr">
        <is>
          <t>MALÅ</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52034-2025</t>
        </is>
      </c>
      <c r="B6686" s="1" t="n">
        <v>45952.61252314815</v>
      </c>
      <c r="C6686" s="1" t="n">
        <v>46075</v>
      </c>
      <c r="D6686" t="inlineStr">
        <is>
          <t>VÄSTERBOTTENS LÄN</t>
        </is>
      </c>
      <c r="E6686" t="inlineStr">
        <is>
          <t>VILHELMINA</t>
        </is>
      </c>
      <c r="G6686" t="n">
        <v>9.6</v>
      </c>
      <c r="H6686" t="n">
        <v>0</v>
      </c>
      <c r="I6686" t="n">
        <v>0</v>
      </c>
      <c r="J6686" t="n">
        <v>0</v>
      </c>
      <c r="K6686" t="n">
        <v>0</v>
      </c>
      <c r="L6686" t="n">
        <v>0</v>
      </c>
      <c r="M6686" t="n">
        <v>0</v>
      </c>
      <c r="N6686" t="n">
        <v>0</v>
      </c>
      <c r="O6686" t="n">
        <v>0</v>
      </c>
      <c r="P6686" t="n">
        <v>0</v>
      </c>
      <c r="Q6686" t="n">
        <v>0</v>
      </c>
      <c r="R6686" s="2" t="inlineStr"/>
    </row>
    <row r="6687" ht="15" customHeight="1">
      <c r="A6687" t="inlineStr">
        <is>
          <t>A 52037-2025</t>
        </is>
      </c>
      <c r="B6687" s="1" t="n">
        <v>45952.61508101852</v>
      </c>
      <c r="C6687" s="1" t="n">
        <v>46075</v>
      </c>
      <c r="D6687" t="inlineStr">
        <is>
          <t>VÄSTERBOTTENS LÄN</t>
        </is>
      </c>
      <c r="E6687" t="inlineStr">
        <is>
          <t>SKELLEFTEÅ</t>
        </is>
      </c>
      <c r="G6687" t="n">
        <v>3.1</v>
      </c>
      <c r="H6687" t="n">
        <v>0</v>
      </c>
      <c r="I6687" t="n">
        <v>0</v>
      </c>
      <c r="J6687" t="n">
        <v>0</v>
      </c>
      <c r="K6687" t="n">
        <v>0</v>
      </c>
      <c r="L6687" t="n">
        <v>0</v>
      </c>
      <c r="M6687" t="n">
        <v>0</v>
      </c>
      <c r="N6687" t="n">
        <v>0</v>
      </c>
      <c r="O6687" t="n">
        <v>0</v>
      </c>
      <c r="P6687" t="n">
        <v>0</v>
      </c>
      <c r="Q6687" t="n">
        <v>0</v>
      </c>
      <c r="R6687" s="2" t="inlineStr"/>
    </row>
    <row r="6688" ht="15" customHeight="1">
      <c r="A6688" t="inlineStr">
        <is>
          <t>A 52039-2025</t>
        </is>
      </c>
      <c r="B6688" s="1" t="n">
        <v>45952.61512731481</v>
      </c>
      <c r="C6688" s="1" t="n">
        <v>46075</v>
      </c>
      <c r="D6688" t="inlineStr">
        <is>
          <t>VÄSTERBOTTENS LÄN</t>
        </is>
      </c>
      <c r="E6688" t="inlineStr">
        <is>
          <t>SKELLEFTEÅ</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52042-2025</t>
        </is>
      </c>
      <c r="B6689" s="1" t="n">
        <v>45952.61533564814</v>
      </c>
      <c r="C6689" s="1" t="n">
        <v>46075</v>
      </c>
      <c r="D6689" t="inlineStr">
        <is>
          <t>VÄSTERBOTTENS LÄN</t>
        </is>
      </c>
      <c r="E6689" t="inlineStr">
        <is>
          <t>SKELLEFTEÅ</t>
        </is>
      </c>
      <c r="G6689" t="n">
        <v>2.8</v>
      </c>
      <c r="H6689" t="n">
        <v>0</v>
      </c>
      <c r="I6689" t="n">
        <v>0</v>
      </c>
      <c r="J6689" t="n">
        <v>0</v>
      </c>
      <c r="K6689" t="n">
        <v>0</v>
      </c>
      <c r="L6689" t="n">
        <v>0</v>
      </c>
      <c r="M6689" t="n">
        <v>0</v>
      </c>
      <c r="N6689" t="n">
        <v>0</v>
      </c>
      <c r="O6689" t="n">
        <v>0</v>
      </c>
      <c r="P6689" t="n">
        <v>0</v>
      </c>
      <c r="Q6689" t="n">
        <v>0</v>
      </c>
      <c r="R6689" s="2" t="inlineStr"/>
    </row>
    <row r="6690" ht="15" customHeight="1">
      <c r="A6690" t="inlineStr">
        <is>
          <t>A 52076-2025</t>
        </is>
      </c>
      <c r="B6690" s="1" t="n">
        <v>45952.65568287037</v>
      </c>
      <c r="C6690" s="1" t="n">
        <v>46075</v>
      </c>
      <c r="D6690" t="inlineStr">
        <is>
          <t>VÄSTERBOTTENS LÄN</t>
        </is>
      </c>
      <c r="E6690" t="inlineStr">
        <is>
          <t>UMEÅ</t>
        </is>
      </c>
      <c r="F6690" t="inlineStr">
        <is>
          <t>Holmen skog AB</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51847-2025</t>
        </is>
      </c>
      <c r="B6691" s="1" t="n">
        <v>45952.34993055555</v>
      </c>
      <c r="C6691" s="1" t="n">
        <v>46075</v>
      </c>
      <c r="D6691" t="inlineStr">
        <is>
          <t>VÄSTERBOTTENS LÄN</t>
        </is>
      </c>
      <c r="E6691" t="inlineStr">
        <is>
          <t>NORSJÖ</t>
        </is>
      </c>
      <c r="G6691" t="n">
        <v>4.4</v>
      </c>
      <c r="H6691" t="n">
        <v>0</v>
      </c>
      <c r="I6691" t="n">
        <v>0</v>
      </c>
      <c r="J6691" t="n">
        <v>0</v>
      </c>
      <c r="K6691" t="n">
        <v>0</v>
      </c>
      <c r="L6691" t="n">
        <v>0</v>
      </c>
      <c r="M6691" t="n">
        <v>0</v>
      </c>
      <c r="N6691" t="n">
        <v>0</v>
      </c>
      <c r="O6691" t="n">
        <v>0</v>
      </c>
      <c r="P6691" t="n">
        <v>0</v>
      </c>
      <c r="Q6691" t="n">
        <v>0</v>
      </c>
      <c r="R6691" s="2" t="inlineStr"/>
    </row>
    <row r="6692" ht="15" customHeight="1">
      <c r="A6692" t="inlineStr">
        <is>
          <t>A 55929-2024</t>
        </is>
      </c>
      <c r="B6692" s="1" t="n">
        <v>45623.60400462963</v>
      </c>
      <c r="C6692" s="1" t="n">
        <v>46075</v>
      </c>
      <c r="D6692" t="inlineStr">
        <is>
          <t>VÄSTERBOTTENS LÄN</t>
        </is>
      </c>
      <c r="E6692" t="inlineStr">
        <is>
          <t>NORSJÖ</t>
        </is>
      </c>
      <c r="G6692" t="n">
        <v>3.1</v>
      </c>
      <c r="H6692" t="n">
        <v>0</v>
      </c>
      <c r="I6692" t="n">
        <v>0</v>
      </c>
      <c r="J6692" t="n">
        <v>0</v>
      </c>
      <c r="K6692" t="n">
        <v>0</v>
      </c>
      <c r="L6692" t="n">
        <v>0</v>
      </c>
      <c r="M6692" t="n">
        <v>0</v>
      </c>
      <c r="N6692" t="n">
        <v>0</v>
      </c>
      <c r="O6692" t="n">
        <v>0</v>
      </c>
      <c r="P6692" t="n">
        <v>0</v>
      </c>
      <c r="Q6692" t="n">
        <v>0</v>
      </c>
      <c r="R6692" s="2" t="inlineStr"/>
    </row>
    <row r="6693" ht="15" customHeight="1">
      <c r="A6693" t="inlineStr">
        <is>
          <t>A 55936-2024</t>
        </is>
      </c>
      <c r="B6693" s="1" t="n">
        <v>45623.60804398148</v>
      </c>
      <c r="C6693" s="1" t="n">
        <v>46075</v>
      </c>
      <c r="D6693" t="inlineStr">
        <is>
          <t>VÄSTERBOTTENS LÄN</t>
        </is>
      </c>
      <c r="E6693" t="inlineStr">
        <is>
          <t>NORSJÖ</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45325-2024</t>
        </is>
      </c>
      <c r="B6694" s="1" t="n">
        <v>45576.45346064815</v>
      </c>
      <c r="C6694" s="1" t="n">
        <v>46075</v>
      </c>
      <c r="D6694" t="inlineStr">
        <is>
          <t>VÄSTERBOTTENS LÄN</t>
        </is>
      </c>
      <c r="E6694" t="inlineStr">
        <is>
          <t>UMEÅ</t>
        </is>
      </c>
      <c r="F6694" t="inlineStr">
        <is>
          <t>Holmen skog AB</t>
        </is>
      </c>
      <c r="G6694" t="n">
        <v>7.1</v>
      </c>
      <c r="H6694" t="n">
        <v>0</v>
      </c>
      <c r="I6694" t="n">
        <v>0</v>
      </c>
      <c r="J6694" t="n">
        <v>0</v>
      </c>
      <c r="K6694" t="n">
        <v>0</v>
      </c>
      <c r="L6694" t="n">
        <v>0</v>
      </c>
      <c r="M6694" t="n">
        <v>0</v>
      </c>
      <c r="N6694" t="n">
        <v>0</v>
      </c>
      <c r="O6694" t="n">
        <v>0</v>
      </c>
      <c r="P6694" t="n">
        <v>0</v>
      </c>
      <c r="Q6694" t="n">
        <v>0</v>
      </c>
      <c r="R6694" s="2" t="inlineStr"/>
    </row>
    <row r="6695" ht="15" customHeight="1">
      <c r="A6695" t="inlineStr">
        <is>
          <t>A 45330-2024</t>
        </is>
      </c>
      <c r="B6695" s="1" t="n">
        <v>45576.45649305556</v>
      </c>
      <c r="C6695" s="1" t="n">
        <v>46075</v>
      </c>
      <c r="D6695" t="inlineStr">
        <is>
          <t>VÄSTERBOTTENS LÄN</t>
        </is>
      </c>
      <c r="E6695" t="inlineStr">
        <is>
          <t>LYCKSELE</t>
        </is>
      </c>
      <c r="F6695" t="inlineStr">
        <is>
          <t>Sveaskog</t>
        </is>
      </c>
      <c r="G6695" t="n">
        <v>2.3</v>
      </c>
      <c r="H6695" t="n">
        <v>0</v>
      </c>
      <c r="I6695" t="n">
        <v>0</v>
      </c>
      <c r="J6695" t="n">
        <v>0</v>
      </c>
      <c r="K6695" t="n">
        <v>0</v>
      </c>
      <c r="L6695" t="n">
        <v>0</v>
      </c>
      <c r="M6695" t="n">
        <v>0</v>
      </c>
      <c r="N6695" t="n">
        <v>0</v>
      </c>
      <c r="O6695" t="n">
        <v>0</v>
      </c>
      <c r="P6695" t="n">
        <v>0</v>
      </c>
      <c r="Q6695" t="n">
        <v>0</v>
      </c>
      <c r="R6695" s="2" t="inlineStr"/>
    </row>
    <row r="6696" ht="15" customHeight="1">
      <c r="A6696" t="inlineStr">
        <is>
          <t>A 25801-2024</t>
        </is>
      </c>
      <c r="B6696" s="1" t="n">
        <v>45467.35814814815</v>
      </c>
      <c r="C6696" s="1" t="n">
        <v>46075</v>
      </c>
      <c r="D6696" t="inlineStr">
        <is>
          <t>VÄSTERBOTTENS LÄN</t>
        </is>
      </c>
      <c r="E6696" t="inlineStr">
        <is>
          <t>BJURHOLM</t>
        </is>
      </c>
      <c r="F6696" t="inlineStr">
        <is>
          <t>Holmen skog AB</t>
        </is>
      </c>
      <c r="G6696" t="n">
        <v>3</v>
      </c>
      <c r="H6696" t="n">
        <v>0</v>
      </c>
      <c r="I6696" t="n">
        <v>0</v>
      </c>
      <c r="J6696" t="n">
        <v>0</v>
      </c>
      <c r="K6696" t="n">
        <v>0</v>
      </c>
      <c r="L6696" t="n">
        <v>0</v>
      </c>
      <c r="M6696" t="n">
        <v>0</v>
      </c>
      <c r="N6696" t="n">
        <v>0</v>
      </c>
      <c r="O6696" t="n">
        <v>0</v>
      </c>
      <c r="P6696" t="n">
        <v>0</v>
      </c>
      <c r="Q6696" t="n">
        <v>0</v>
      </c>
      <c r="R6696" s="2" t="inlineStr"/>
    </row>
    <row r="6697" ht="15" customHeight="1">
      <c r="A6697" t="inlineStr">
        <is>
          <t>A 52139-2025</t>
        </is>
      </c>
      <c r="B6697" s="1" t="n">
        <v>45953.32070601852</v>
      </c>
      <c r="C6697" s="1" t="n">
        <v>46075</v>
      </c>
      <c r="D6697" t="inlineStr">
        <is>
          <t>VÄSTERBOTTENS LÄN</t>
        </is>
      </c>
      <c r="E6697" t="inlineStr">
        <is>
          <t>ÅSELE</t>
        </is>
      </c>
      <c r="G6697" t="n">
        <v>4.2</v>
      </c>
      <c r="H6697" t="n">
        <v>0</v>
      </c>
      <c r="I6697" t="n">
        <v>0</v>
      </c>
      <c r="J6697" t="n">
        <v>0</v>
      </c>
      <c r="K6697" t="n">
        <v>0</v>
      </c>
      <c r="L6697" t="n">
        <v>0</v>
      </c>
      <c r="M6697" t="n">
        <v>0</v>
      </c>
      <c r="N6697" t="n">
        <v>0</v>
      </c>
      <c r="O6697" t="n">
        <v>0</v>
      </c>
      <c r="P6697" t="n">
        <v>0</v>
      </c>
      <c r="Q6697" t="n">
        <v>0</v>
      </c>
      <c r="R6697" s="2" t="inlineStr"/>
    </row>
    <row r="6698" ht="15" customHeight="1">
      <c r="A6698" t="inlineStr">
        <is>
          <t>A 52210-2025</t>
        </is>
      </c>
      <c r="B6698" s="1" t="n">
        <v>45953.42037037037</v>
      </c>
      <c r="C6698" s="1" t="n">
        <v>46075</v>
      </c>
      <c r="D6698" t="inlineStr">
        <is>
          <t>VÄSTERBOTTENS LÄN</t>
        </is>
      </c>
      <c r="E6698" t="inlineStr">
        <is>
          <t>UMEÅ</t>
        </is>
      </c>
      <c r="F6698" t="inlineStr">
        <is>
          <t>Holmen skog AB</t>
        </is>
      </c>
      <c r="G6698" t="n">
        <v>8.1</v>
      </c>
      <c r="H6698" t="n">
        <v>0</v>
      </c>
      <c r="I6698" t="n">
        <v>0</v>
      </c>
      <c r="J6698" t="n">
        <v>0</v>
      </c>
      <c r="K6698" t="n">
        <v>0</v>
      </c>
      <c r="L6698" t="n">
        <v>0</v>
      </c>
      <c r="M6698" t="n">
        <v>0</v>
      </c>
      <c r="N6698" t="n">
        <v>0</v>
      </c>
      <c r="O6698" t="n">
        <v>0</v>
      </c>
      <c r="P6698" t="n">
        <v>0</v>
      </c>
      <c r="Q6698" t="n">
        <v>0</v>
      </c>
      <c r="R6698" s="2" t="inlineStr"/>
    </row>
    <row r="6699" ht="15" customHeight="1">
      <c r="A6699" t="inlineStr">
        <is>
          <t>A 41851-2024</t>
        </is>
      </c>
      <c r="B6699" s="1" t="n">
        <v>45561.43890046296</v>
      </c>
      <c r="C6699" s="1" t="n">
        <v>46075</v>
      </c>
      <c r="D6699" t="inlineStr">
        <is>
          <t>VÄSTERBOTTENS LÄN</t>
        </is>
      </c>
      <c r="E6699" t="inlineStr">
        <is>
          <t>STORUMAN</t>
        </is>
      </c>
      <c r="F6699" t="inlineStr">
        <is>
          <t>Sveaskog</t>
        </is>
      </c>
      <c r="G6699" t="n">
        <v>4.9</v>
      </c>
      <c r="H6699" t="n">
        <v>0</v>
      </c>
      <c r="I6699" t="n">
        <v>0</v>
      </c>
      <c r="J6699" t="n">
        <v>0</v>
      </c>
      <c r="K6699" t="n">
        <v>0</v>
      </c>
      <c r="L6699" t="n">
        <v>0</v>
      </c>
      <c r="M6699" t="n">
        <v>0</v>
      </c>
      <c r="N6699" t="n">
        <v>0</v>
      </c>
      <c r="O6699" t="n">
        <v>0</v>
      </c>
      <c r="P6699" t="n">
        <v>0</v>
      </c>
      <c r="Q6699" t="n">
        <v>0</v>
      </c>
      <c r="R6699" s="2" t="inlineStr"/>
    </row>
    <row r="6700" ht="15" customHeight="1">
      <c r="A6700" t="inlineStr">
        <is>
          <t>A 52186-2025</t>
        </is>
      </c>
      <c r="B6700" s="1" t="n">
        <v>45953.38614583333</v>
      </c>
      <c r="C6700" s="1" t="n">
        <v>46075</v>
      </c>
      <c r="D6700" t="inlineStr">
        <is>
          <t>VÄSTERBOTTENS LÄN</t>
        </is>
      </c>
      <c r="E6700" t="inlineStr">
        <is>
          <t>DOROTEA</t>
        </is>
      </c>
      <c r="F6700" t="inlineStr">
        <is>
          <t>SCA</t>
        </is>
      </c>
      <c r="G6700" t="n">
        <v>8.6</v>
      </c>
      <c r="H6700" t="n">
        <v>0</v>
      </c>
      <c r="I6700" t="n">
        <v>0</v>
      </c>
      <c r="J6700" t="n">
        <v>0</v>
      </c>
      <c r="K6700" t="n">
        <v>0</v>
      </c>
      <c r="L6700" t="n">
        <v>0</v>
      </c>
      <c r="M6700" t="n">
        <v>0</v>
      </c>
      <c r="N6700" t="n">
        <v>0</v>
      </c>
      <c r="O6700" t="n">
        <v>0</v>
      </c>
      <c r="P6700" t="n">
        <v>0</v>
      </c>
      <c r="Q6700" t="n">
        <v>0</v>
      </c>
      <c r="R6700" s="2" t="inlineStr"/>
    </row>
    <row r="6701" ht="15" customHeight="1">
      <c r="A6701" t="inlineStr">
        <is>
          <t>A 52192-2025</t>
        </is>
      </c>
      <c r="B6701" s="1" t="n">
        <v>45953.38861111111</v>
      </c>
      <c r="C6701" s="1" t="n">
        <v>46075</v>
      </c>
      <c r="D6701" t="inlineStr">
        <is>
          <t>VÄSTERBOTTENS LÄN</t>
        </is>
      </c>
      <c r="E6701" t="inlineStr">
        <is>
          <t>ÅSELE</t>
        </is>
      </c>
      <c r="F6701" t="inlineStr">
        <is>
          <t>Holmen skog AB</t>
        </is>
      </c>
      <c r="G6701" t="n">
        <v>2.4</v>
      </c>
      <c r="H6701" t="n">
        <v>0</v>
      </c>
      <c r="I6701" t="n">
        <v>0</v>
      </c>
      <c r="J6701" t="n">
        <v>0</v>
      </c>
      <c r="K6701" t="n">
        <v>0</v>
      </c>
      <c r="L6701" t="n">
        <v>0</v>
      </c>
      <c r="M6701" t="n">
        <v>0</v>
      </c>
      <c r="N6701" t="n">
        <v>0</v>
      </c>
      <c r="O6701" t="n">
        <v>0</v>
      </c>
      <c r="P6701" t="n">
        <v>0</v>
      </c>
      <c r="Q6701" t="n">
        <v>0</v>
      </c>
      <c r="R6701" s="2" t="inlineStr"/>
    </row>
    <row r="6702" ht="15" customHeight="1">
      <c r="A6702" t="inlineStr">
        <is>
          <t>A 52232-2025</t>
        </is>
      </c>
      <c r="B6702" s="1" t="n">
        <v>45953.45091435185</v>
      </c>
      <c r="C6702" s="1" t="n">
        <v>46075</v>
      </c>
      <c r="D6702" t="inlineStr">
        <is>
          <t>VÄSTERBOTTENS LÄN</t>
        </is>
      </c>
      <c r="E6702" t="inlineStr">
        <is>
          <t>UMEÅ</t>
        </is>
      </c>
      <c r="F6702" t="inlineStr">
        <is>
          <t>Holmen skog AB</t>
        </is>
      </c>
      <c r="G6702" t="n">
        <v>7.7</v>
      </c>
      <c r="H6702" t="n">
        <v>0</v>
      </c>
      <c r="I6702" t="n">
        <v>0</v>
      </c>
      <c r="J6702" t="n">
        <v>0</v>
      </c>
      <c r="K6702" t="n">
        <v>0</v>
      </c>
      <c r="L6702" t="n">
        <v>0</v>
      </c>
      <c r="M6702" t="n">
        <v>0</v>
      </c>
      <c r="N6702" t="n">
        <v>0</v>
      </c>
      <c r="O6702" t="n">
        <v>0</v>
      </c>
      <c r="P6702" t="n">
        <v>0</v>
      </c>
      <c r="Q6702" t="n">
        <v>0</v>
      </c>
      <c r="R6702" s="2" t="inlineStr"/>
    </row>
    <row r="6703" ht="15" customHeight="1">
      <c r="A6703" t="inlineStr">
        <is>
          <t>A 3268-2022</t>
        </is>
      </c>
      <c r="B6703" s="1" t="n">
        <v>44583.89641203704</v>
      </c>
      <c r="C6703" s="1" t="n">
        <v>46075</v>
      </c>
      <c r="D6703" t="inlineStr">
        <is>
          <t>VÄSTERBOTTENS LÄN</t>
        </is>
      </c>
      <c r="E6703" t="inlineStr">
        <is>
          <t>SKELLEFTEÅ</t>
        </is>
      </c>
      <c r="G6703" t="n">
        <v>3.5</v>
      </c>
      <c r="H6703" t="n">
        <v>0</v>
      </c>
      <c r="I6703" t="n">
        <v>0</v>
      </c>
      <c r="J6703" t="n">
        <v>0</v>
      </c>
      <c r="K6703" t="n">
        <v>0</v>
      </c>
      <c r="L6703" t="n">
        <v>0</v>
      </c>
      <c r="M6703" t="n">
        <v>0</v>
      </c>
      <c r="N6703" t="n">
        <v>0</v>
      </c>
      <c r="O6703" t="n">
        <v>0</v>
      </c>
      <c r="P6703" t="n">
        <v>0</v>
      </c>
      <c r="Q6703" t="n">
        <v>0</v>
      </c>
      <c r="R6703" s="2" t="inlineStr"/>
    </row>
    <row r="6704" ht="15" customHeight="1">
      <c r="A6704" t="inlineStr">
        <is>
          <t>A 51977-2025</t>
        </is>
      </c>
      <c r="B6704" s="1" t="n">
        <v>45952.56453703704</v>
      </c>
      <c r="C6704" s="1" t="n">
        <v>46075</v>
      </c>
      <c r="D6704" t="inlineStr">
        <is>
          <t>VÄSTERBOTTENS LÄN</t>
        </is>
      </c>
      <c r="E6704" t="inlineStr">
        <is>
          <t>SKELLEFTEÅ</t>
        </is>
      </c>
      <c r="F6704" t="inlineStr">
        <is>
          <t>Holmen skog AB</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52006-2025</t>
        </is>
      </c>
      <c r="B6705" s="1" t="n">
        <v>45952.593125</v>
      </c>
      <c r="C6705" s="1" t="n">
        <v>46075</v>
      </c>
      <c r="D6705" t="inlineStr">
        <is>
          <t>VÄSTERBOTTENS LÄN</t>
        </is>
      </c>
      <c r="E6705" t="inlineStr">
        <is>
          <t>UMEÅ</t>
        </is>
      </c>
      <c r="F6705" t="inlineStr">
        <is>
          <t>Holmen skog AB</t>
        </is>
      </c>
      <c r="G6705" t="n">
        <v>5.5</v>
      </c>
      <c r="H6705" t="n">
        <v>0</v>
      </c>
      <c r="I6705" t="n">
        <v>0</v>
      </c>
      <c r="J6705" t="n">
        <v>0</v>
      </c>
      <c r="K6705" t="n">
        <v>0</v>
      </c>
      <c r="L6705" t="n">
        <v>0</v>
      </c>
      <c r="M6705" t="n">
        <v>0</v>
      </c>
      <c r="N6705" t="n">
        <v>0</v>
      </c>
      <c r="O6705" t="n">
        <v>0</v>
      </c>
      <c r="P6705" t="n">
        <v>0</v>
      </c>
      <c r="Q6705" t="n">
        <v>0</v>
      </c>
      <c r="R6705" s="2" t="inlineStr"/>
    </row>
    <row r="6706" ht="15" customHeight="1">
      <c r="A6706" t="inlineStr">
        <is>
          <t>A 52009-2025</t>
        </is>
      </c>
      <c r="B6706" s="1" t="n">
        <v>45952.59457175926</v>
      </c>
      <c r="C6706" s="1" t="n">
        <v>46075</v>
      </c>
      <c r="D6706" t="inlineStr">
        <is>
          <t>VÄSTERBOTTENS LÄN</t>
        </is>
      </c>
      <c r="E6706" t="inlineStr">
        <is>
          <t>SKELLEFTEÅ</t>
        </is>
      </c>
      <c r="G6706" t="n">
        <v>10</v>
      </c>
      <c r="H6706" t="n">
        <v>0</v>
      </c>
      <c r="I6706" t="n">
        <v>0</v>
      </c>
      <c r="J6706" t="n">
        <v>0</v>
      </c>
      <c r="K6706" t="n">
        <v>0</v>
      </c>
      <c r="L6706" t="n">
        <v>0</v>
      </c>
      <c r="M6706" t="n">
        <v>0</v>
      </c>
      <c r="N6706" t="n">
        <v>0</v>
      </c>
      <c r="O6706" t="n">
        <v>0</v>
      </c>
      <c r="P6706" t="n">
        <v>0</v>
      </c>
      <c r="Q6706" t="n">
        <v>0</v>
      </c>
      <c r="R6706" s="2" t="inlineStr"/>
    </row>
    <row r="6707" ht="15" customHeight="1">
      <c r="A6707" t="inlineStr">
        <is>
          <t>A 52010-2025</t>
        </is>
      </c>
      <c r="B6707" s="1" t="n">
        <v>45952.59462962963</v>
      </c>
      <c r="C6707" s="1" t="n">
        <v>46075</v>
      </c>
      <c r="D6707" t="inlineStr">
        <is>
          <t>VÄSTERBOTTENS LÄN</t>
        </is>
      </c>
      <c r="E6707" t="inlineStr">
        <is>
          <t>SKELLEFTEÅ</t>
        </is>
      </c>
      <c r="G6707" t="n">
        <v>19.2</v>
      </c>
      <c r="H6707" t="n">
        <v>0</v>
      </c>
      <c r="I6707" t="n">
        <v>0</v>
      </c>
      <c r="J6707" t="n">
        <v>0</v>
      </c>
      <c r="K6707" t="n">
        <v>0</v>
      </c>
      <c r="L6707" t="n">
        <v>0</v>
      </c>
      <c r="M6707" t="n">
        <v>0</v>
      </c>
      <c r="N6707" t="n">
        <v>0</v>
      </c>
      <c r="O6707" t="n">
        <v>0</v>
      </c>
      <c r="P6707" t="n">
        <v>0</v>
      </c>
      <c r="Q6707" t="n">
        <v>0</v>
      </c>
      <c r="R6707" s="2" t="inlineStr"/>
    </row>
    <row r="6708" ht="15" customHeight="1">
      <c r="A6708" t="inlineStr">
        <is>
          <t>A 52334-2025</t>
        </is>
      </c>
      <c r="B6708" s="1" t="n">
        <v>45953.68225694444</v>
      </c>
      <c r="C6708" s="1" t="n">
        <v>46075</v>
      </c>
      <c r="D6708" t="inlineStr">
        <is>
          <t>VÄSTERBOTTENS LÄN</t>
        </is>
      </c>
      <c r="E6708" t="inlineStr">
        <is>
          <t>VILHELMINA</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52143-2025</t>
        </is>
      </c>
      <c r="B6709" s="1" t="n">
        <v>45953.3316550926</v>
      </c>
      <c r="C6709" s="1" t="n">
        <v>46075</v>
      </c>
      <c r="D6709" t="inlineStr">
        <is>
          <t>VÄSTERBOTTENS LÄN</t>
        </is>
      </c>
      <c r="E6709" t="inlineStr">
        <is>
          <t>ÅSELE</t>
        </is>
      </c>
      <c r="G6709" t="n">
        <v>4.9</v>
      </c>
      <c r="H6709" t="n">
        <v>0</v>
      </c>
      <c r="I6709" t="n">
        <v>0</v>
      </c>
      <c r="J6709" t="n">
        <v>0</v>
      </c>
      <c r="K6709" t="n">
        <v>0</v>
      </c>
      <c r="L6709" t="n">
        <v>0</v>
      </c>
      <c r="M6709" t="n">
        <v>0</v>
      </c>
      <c r="N6709" t="n">
        <v>0</v>
      </c>
      <c r="O6709" t="n">
        <v>0</v>
      </c>
      <c r="P6709" t="n">
        <v>0</v>
      </c>
      <c r="Q6709" t="n">
        <v>0</v>
      </c>
      <c r="R6709" s="2" t="inlineStr"/>
    </row>
    <row r="6710" ht="15" customHeight="1">
      <c r="A6710" t="inlineStr">
        <is>
          <t>A 3097-2025</t>
        </is>
      </c>
      <c r="B6710" s="1" t="n">
        <v>45678.66665509259</v>
      </c>
      <c r="C6710" s="1" t="n">
        <v>46075</v>
      </c>
      <c r="D6710" t="inlineStr">
        <is>
          <t>VÄSTERBOTTENS LÄN</t>
        </is>
      </c>
      <c r="E6710" t="inlineStr">
        <is>
          <t>DOROTEA</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52165-2025</t>
        </is>
      </c>
      <c r="B6711" s="1" t="n">
        <v>45953.36392361111</v>
      </c>
      <c r="C6711" s="1" t="n">
        <v>46075</v>
      </c>
      <c r="D6711" t="inlineStr">
        <is>
          <t>VÄSTERBOTTENS LÄN</t>
        </is>
      </c>
      <c r="E6711" t="inlineStr">
        <is>
          <t>ÅSELE</t>
        </is>
      </c>
      <c r="G6711" t="n">
        <v>12.6</v>
      </c>
      <c r="H6711" t="n">
        <v>0</v>
      </c>
      <c r="I6711" t="n">
        <v>0</v>
      </c>
      <c r="J6711" t="n">
        <v>0</v>
      </c>
      <c r="K6711" t="n">
        <v>0</v>
      </c>
      <c r="L6711" t="n">
        <v>0</v>
      </c>
      <c r="M6711" t="n">
        <v>0</v>
      </c>
      <c r="N6711" t="n">
        <v>0</v>
      </c>
      <c r="O6711" t="n">
        <v>0</v>
      </c>
      <c r="P6711" t="n">
        <v>0</v>
      </c>
      <c r="Q6711" t="n">
        <v>0</v>
      </c>
      <c r="R6711" s="2" t="inlineStr"/>
    </row>
    <row r="6712" ht="15" customHeight="1">
      <c r="A6712" t="inlineStr">
        <is>
          <t>A 52201-2025</t>
        </is>
      </c>
      <c r="B6712" s="1" t="n">
        <v>45953.40626157408</v>
      </c>
      <c r="C6712" s="1" t="n">
        <v>46075</v>
      </c>
      <c r="D6712" t="inlineStr">
        <is>
          <t>VÄSTERBOTTENS LÄN</t>
        </is>
      </c>
      <c r="E6712" t="inlineStr">
        <is>
          <t>NORDMALING</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8851-2024</t>
        </is>
      </c>
      <c r="B6713" s="1" t="n">
        <v>45356</v>
      </c>
      <c r="C6713" s="1" t="n">
        <v>46075</v>
      </c>
      <c r="D6713" t="inlineStr">
        <is>
          <t>VÄSTERBOTTENS LÄN</t>
        </is>
      </c>
      <c r="E6713" t="inlineStr">
        <is>
          <t>ÅSELE</t>
        </is>
      </c>
      <c r="F6713" t="inlineStr">
        <is>
          <t>Kommuner</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52213-2025</t>
        </is>
      </c>
      <c r="B6714" s="1" t="n">
        <v>45953.42744212963</v>
      </c>
      <c r="C6714" s="1" t="n">
        <v>46075</v>
      </c>
      <c r="D6714" t="inlineStr">
        <is>
          <t>VÄSTERBOTTENS LÄN</t>
        </is>
      </c>
      <c r="E6714" t="inlineStr">
        <is>
          <t>SORSELE</t>
        </is>
      </c>
      <c r="G6714" t="n">
        <v>4.9</v>
      </c>
      <c r="H6714" t="n">
        <v>0</v>
      </c>
      <c r="I6714" t="n">
        <v>0</v>
      </c>
      <c r="J6714" t="n">
        <v>0</v>
      </c>
      <c r="K6714" t="n">
        <v>0</v>
      </c>
      <c r="L6714" t="n">
        <v>0</v>
      </c>
      <c r="M6714" t="n">
        <v>0</v>
      </c>
      <c r="N6714" t="n">
        <v>0</v>
      </c>
      <c r="O6714" t="n">
        <v>0</v>
      </c>
      <c r="P6714" t="n">
        <v>0</v>
      </c>
      <c r="Q6714" t="n">
        <v>0</v>
      </c>
      <c r="R6714" s="2" t="inlineStr"/>
    </row>
    <row r="6715" ht="15" customHeight="1">
      <c r="A6715" t="inlineStr">
        <is>
          <t>A 52215-2025</t>
        </is>
      </c>
      <c r="B6715" s="1" t="n">
        <v>45953.42755787037</v>
      </c>
      <c r="C6715" s="1" t="n">
        <v>46075</v>
      </c>
      <c r="D6715" t="inlineStr">
        <is>
          <t>VÄSTERBOTTENS LÄN</t>
        </is>
      </c>
      <c r="E6715" t="inlineStr">
        <is>
          <t>SORSELE</t>
        </is>
      </c>
      <c r="G6715" t="n">
        <v>8</v>
      </c>
      <c r="H6715" t="n">
        <v>0</v>
      </c>
      <c r="I6715" t="n">
        <v>0</v>
      </c>
      <c r="J6715" t="n">
        <v>0</v>
      </c>
      <c r="K6715" t="n">
        <v>0</v>
      </c>
      <c r="L6715" t="n">
        <v>0</v>
      </c>
      <c r="M6715" t="n">
        <v>0</v>
      </c>
      <c r="N6715" t="n">
        <v>0</v>
      </c>
      <c r="O6715" t="n">
        <v>0</v>
      </c>
      <c r="P6715" t="n">
        <v>0</v>
      </c>
      <c r="Q6715" t="n">
        <v>0</v>
      </c>
      <c r="R6715" s="2" t="inlineStr"/>
    </row>
    <row r="6716" ht="15" customHeight="1">
      <c r="A6716" t="inlineStr">
        <is>
          <t>A 70197-2021</t>
        </is>
      </c>
      <c r="B6716" s="1" t="n">
        <v>44534.51119212963</v>
      </c>
      <c r="C6716" s="1" t="n">
        <v>46075</v>
      </c>
      <c r="D6716" t="inlineStr">
        <is>
          <t>VÄSTERBOTTENS LÄN</t>
        </is>
      </c>
      <c r="E6716" t="inlineStr">
        <is>
          <t>LYCKSELE</t>
        </is>
      </c>
      <c r="G6716" t="n">
        <v>6.5</v>
      </c>
      <c r="H6716" t="n">
        <v>0</v>
      </c>
      <c r="I6716" t="n">
        <v>0</v>
      </c>
      <c r="J6716" t="n">
        <v>0</v>
      </c>
      <c r="K6716" t="n">
        <v>0</v>
      </c>
      <c r="L6716" t="n">
        <v>0</v>
      </c>
      <c r="M6716" t="n">
        <v>0</v>
      </c>
      <c r="N6716" t="n">
        <v>0</v>
      </c>
      <c r="O6716" t="n">
        <v>0</v>
      </c>
      <c r="P6716" t="n">
        <v>0</v>
      </c>
      <c r="Q6716" t="n">
        <v>0</v>
      </c>
      <c r="R6716" s="2" t="inlineStr"/>
    </row>
    <row r="6717" ht="15" customHeight="1">
      <c r="A6717" t="inlineStr">
        <is>
          <t>A 64761-2021</t>
        </is>
      </c>
      <c r="B6717" s="1" t="n">
        <v>44511</v>
      </c>
      <c r="C6717" s="1" t="n">
        <v>46075</v>
      </c>
      <c r="D6717" t="inlineStr">
        <is>
          <t>VÄSTERBOTTENS LÄN</t>
        </is>
      </c>
      <c r="E6717" t="inlineStr">
        <is>
          <t>SKELLEFTEÅ</t>
        </is>
      </c>
      <c r="G6717" t="n">
        <v>2.6</v>
      </c>
      <c r="H6717" t="n">
        <v>0</v>
      </c>
      <c r="I6717" t="n">
        <v>0</v>
      </c>
      <c r="J6717" t="n">
        <v>0</v>
      </c>
      <c r="K6717" t="n">
        <v>0</v>
      </c>
      <c r="L6717" t="n">
        <v>0</v>
      </c>
      <c r="M6717" t="n">
        <v>0</v>
      </c>
      <c r="N6717" t="n">
        <v>0</v>
      </c>
      <c r="O6717" t="n">
        <v>0</v>
      </c>
      <c r="P6717" t="n">
        <v>0</v>
      </c>
      <c r="Q6717" t="n">
        <v>0</v>
      </c>
      <c r="R6717" s="2" t="inlineStr"/>
    </row>
    <row r="6718" ht="15" customHeight="1">
      <c r="A6718" t="inlineStr">
        <is>
          <t>A 9197-2023</t>
        </is>
      </c>
      <c r="B6718" s="1" t="n">
        <v>44977</v>
      </c>
      <c r="C6718" s="1" t="n">
        <v>46075</v>
      </c>
      <c r="D6718" t="inlineStr">
        <is>
          <t>VÄSTERBOTTENS LÄN</t>
        </is>
      </c>
      <c r="E6718" t="inlineStr">
        <is>
          <t>VILHELMINA</t>
        </is>
      </c>
      <c r="G6718" t="n">
        <v>8.9</v>
      </c>
      <c r="H6718" t="n">
        <v>0</v>
      </c>
      <c r="I6718" t="n">
        <v>0</v>
      </c>
      <c r="J6718" t="n">
        <v>0</v>
      </c>
      <c r="K6718" t="n">
        <v>0</v>
      </c>
      <c r="L6718" t="n">
        <v>0</v>
      </c>
      <c r="M6718" t="n">
        <v>0</v>
      </c>
      <c r="N6718" t="n">
        <v>0</v>
      </c>
      <c r="O6718" t="n">
        <v>0</v>
      </c>
      <c r="P6718" t="n">
        <v>0</v>
      </c>
      <c r="Q6718" t="n">
        <v>0</v>
      </c>
      <c r="R6718" s="2" t="inlineStr"/>
    </row>
    <row r="6719" ht="15" customHeight="1">
      <c r="A6719" t="inlineStr">
        <is>
          <t>A 51842-2025</t>
        </is>
      </c>
      <c r="B6719" s="1" t="n">
        <v>45952.34488425926</v>
      </c>
      <c r="C6719" s="1" t="n">
        <v>46075</v>
      </c>
      <c r="D6719" t="inlineStr">
        <is>
          <t>VÄSTERBOTTENS LÄN</t>
        </is>
      </c>
      <c r="E6719" t="inlineStr">
        <is>
          <t>LYCKSELE</t>
        </is>
      </c>
      <c r="G6719" t="n">
        <v>4.6</v>
      </c>
      <c r="H6719" t="n">
        <v>0</v>
      </c>
      <c r="I6719" t="n">
        <v>0</v>
      </c>
      <c r="J6719" t="n">
        <v>0</v>
      </c>
      <c r="K6719" t="n">
        <v>0</v>
      </c>
      <c r="L6719" t="n">
        <v>0</v>
      </c>
      <c r="M6719" t="n">
        <v>0</v>
      </c>
      <c r="N6719" t="n">
        <v>0</v>
      </c>
      <c r="O6719" t="n">
        <v>0</v>
      </c>
      <c r="P6719" t="n">
        <v>0</v>
      </c>
      <c r="Q6719" t="n">
        <v>0</v>
      </c>
      <c r="R6719" s="2" t="inlineStr"/>
    </row>
    <row r="6720" ht="15" customHeight="1">
      <c r="A6720" t="inlineStr">
        <is>
          <t>A 25404-2022</t>
        </is>
      </c>
      <c r="B6720" s="1" t="n">
        <v>44732</v>
      </c>
      <c r="C6720" s="1" t="n">
        <v>46075</v>
      </c>
      <c r="D6720" t="inlineStr">
        <is>
          <t>VÄSTERBOTTENS LÄN</t>
        </is>
      </c>
      <c r="E6720" t="inlineStr">
        <is>
          <t>SKELLEFTEÅ</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7723-2024</t>
        </is>
      </c>
      <c r="B6721" s="1" t="n">
        <v>45348</v>
      </c>
      <c r="C6721" s="1" t="n">
        <v>46075</v>
      </c>
      <c r="D6721" t="inlineStr">
        <is>
          <t>VÄSTERBOTTENS LÄN</t>
        </is>
      </c>
      <c r="E6721" t="inlineStr">
        <is>
          <t>BJURHOLM</t>
        </is>
      </c>
      <c r="G6721" t="n">
        <v>2.6</v>
      </c>
      <c r="H6721" t="n">
        <v>0</v>
      </c>
      <c r="I6721" t="n">
        <v>0</v>
      </c>
      <c r="J6721" t="n">
        <v>0</v>
      </c>
      <c r="K6721" t="n">
        <v>0</v>
      </c>
      <c r="L6721" t="n">
        <v>0</v>
      </c>
      <c r="M6721" t="n">
        <v>0</v>
      </c>
      <c r="N6721" t="n">
        <v>0</v>
      </c>
      <c r="O6721" t="n">
        <v>0</v>
      </c>
      <c r="P6721" t="n">
        <v>0</v>
      </c>
      <c r="Q6721" t="n">
        <v>0</v>
      </c>
      <c r="R6721" s="2" t="inlineStr"/>
    </row>
    <row r="6722" ht="15" customHeight="1">
      <c r="A6722" t="inlineStr">
        <is>
          <t>A 51859-2025</t>
        </is>
      </c>
      <c r="B6722" s="1" t="n">
        <v>45952.3653587963</v>
      </c>
      <c r="C6722" s="1" t="n">
        <v>46075</v>
      </c>
      <c r="D6722" t="inlineStr">
        <is>
          <t>VÄSTERBOTTENS LÄN</t>
        </is>
      </c>
      <c r="E6722" t="inlineStr">
        <is>
          <t>LYCKSELE</t>
        </is>
      </c>
      <c r="G6722" t="n">
        <v>13.5</v>
      </c>
      <c r="H6722" t="n">
        <v>0</v>
      </c>
      <c r="I6722" t="n">
        <v>0</v>
      </c>
      <c r="J6722" t="n">
        <v>0</v>
      </c>
      <c r="K6722" t="n">
        <v>0</v>
      </c>
      <c r="L6722" t="n">
        <v>0</v>
      </c>
      <c r="M6722" t="n">
        <v>0</v>
      </c>
      <c r="N6722" t="n">
        <v>0</v>
      </c>
      <c r="O6722" t="n">
        <v>0</v>
      </c>
      <c r="P6722" t="n">
        <v>0</v>
      </c>
      <c r="Q6722" t="n">
        <v>0</v>
      </c>
      <c r="R6722" s="2" t="inlineStr"/>
    </row>
    <row r="6723" ht="15" customHeight="1">
      <c r="A6723" t="inlineStr">
        <is>
          <t>A 9987-2021</t>
        </is>
      </c>
      <c r="B6723" s="1" t="n">
        <v>44254</v>
      </c>
      <c r="C6723" s="1" t="n">
        <v>46075</v>
      </c>
      <c r="D6723" t="inlineStr">
        <is>
          <t>VÄSTERBOTTENS LÄN</t>
        </is>
      </c>
      <c r="E6723" t="inlineStr">
        <is>
          <t>NORSJÖ</t>
        </is>
      </c>
      <c r="G6723" t="n">
        <v>0.2</v>
      </c>
      <c r="H6723" t="n">
        <v>0</v>
      </c>
      <c r="I6723" t="n">
        <v>0</v>
      </c>
      <c r="J6723" t="n">
        <v>0</v>
      </c>
      <c r="K6723" t="n">
        <v>0</v>
      </c>
      <c r="L6723" t="n">
        <v>0</v>
      </c>
      <c r="M6723" t="n">
        <v>0</v>
      </c>
      <c r="N6723" t="n">
        <v>0</v>
      </c>
      <c r="O6723" t="n">
        <v>0</v>
      </c>
      <c r="P6723" t="n">
        <v>0</v>
      </c>
      <c r="Q6723" t="n">
        <v>0</v>
      </c>
      <c r="R6723" s="2" t="inlineStr"/>
    </row>
    <row r="6724" ht="15" customHeight="1">
      <c r="A6724" t="inlineStr">
        <is>
          <t>A 15339-2023</t>
        </is>
      </c>
      <c r="B6724" s="1" t="n">
        <v>45016</v>
      </c>
      <c r="C6724" s="1" t="n">
        <v>46075</v>
      </c>
      <c r="D6724" t="inlineStr">
        <is>
          <t>VÄSTERBOTTENS LÄN</t>
        </is>
      </c>
      <c r="E6724" t="inlineStr">
        <is>
          <t>STORUMAN</t>
        </is>
      </c>
      <c r="G6724" t="n">
        <v>97.5</v>
      </c>
      <c r="H6724" t="n">
        <v>0</v>
      </c>
      <c r="I6724" t="n">
        <v>0</v>
      </c>
      <c r="J6724" t="n">
        <v>0</v>
      </c>
      <c r="K6724" t="n">
        <v>0</v>
      </c>
      <c r="L6724" t="n">
        <v>0</v>
      </c>
      <c r="M6724" t="n">
        <v>0</v>
      </c>
      <c r="N6724" t="n">
        <v>0</v>
      </c>
      <c r="O6724" t="n">
        <v>0</v>
      </c>
      <c r="P6724" t="n">
        <v>0</v>
      </c>
      <c r="Q6724" t="n">
        <v>0</v>
      </c>
      <c r="R6724" s="2" t="inlineStr"/>
    </row>
    <row r="6725" ht="15" customHeight="1">
      <c r="A6725" t="inlineStr">
        <is>
          <t>A 33455-2024</t>
        </is>
      </c>
      <c r="B6725" s="1" t="n">
        <v>45519.579375</v>
      </c>
      <c r="C6725" s="1" t="n">
        <v>46075</v>
      </c>
      <c r="D6725" t="inlineStr">
        <is>
          <t>VÄSTERBOTTENS LÄN</t>
        </is>
      </c>
      <c r="E6725" t="inlineStr">
        <is>
          <t>NORSJÖ</t>
        </is>
      </c>
      <c r="G6725" t="n">
        <v>3.1</v>
      </c>
      <c r="H6725" t="n">
        <v>0</v>
      </c>
      <c r="I6725" t="n">
        <v>0</v>
      </c>
      <c r="J6725" t="n">
        <v>0</v>
      </c>
      <c r="K6725" t="n">
        <v>0</v>
      </c>
      <c r="L6725" t="n">
        <v>0</v>
      </c>
      <c r="M6725" t="n">
        <v>0</v>
      </c>
      <c r="N6725" t="n">
        <v>0</v>
      </c>
      <c r="O6725" t="n">
        <v>0</v>
      </c>
      <c r="P6725" t="n">
        <v>0</v>
      </c>
      <c r="Q6725" t="n">
        <v>0</v>
      </c>
      <c r="R6725" s="2" t="inlineStr"/>
    </row>
    <row r="6726" ht="15" customHeight="1">
      <c r="A6726" t="inlineStr">
        <is>
          <t>A 51934-2025</t>
        </is>
      </c>
      <c r="B6726" s="1" t="n">
        <v>45952.51155092593</v>
      </c>
      <c r="C6726" s="1" t="n">
        <v>46075</v>
      </c>
      <c r="D6726" t="inlineStr">
        <is>
          <t>VÄSTERBOTTENS LÄN</t>
        </is>
      </c>
      <c r="E6726" t="inlineStr">
        <is>
          <t>SKELLEFTEÅ</t>
        </is>
      </c>
      <c r="G6726" t="n">
        <v>2.2</v>
      </c>
      <c r="H6726" t="n">
        <v>0</v>
      </c>
      <c r="I6726" t="n">
        <v>0</v>
      </c>
      <c r="J6726" t="n">
        <v>0</v>
      </c>
      <c r="K6726" t="n">
        <v>0</v>
      </c>
      <c r="L6726" t="n">
        <v>0</v>
      </c>
      <c r="M6726" t="n">
        <v>0</v>
      </c>
      <c r="N6726" t="n">
        <v>0</v>
      </c>
      <c r="O6726" t="n">
        <v>0</v>
      </c>
      <c r="P6726" t="n">
        <v>0</v>
      </c>
      <c r="Q6726" t="n">
        <v>0</v>
      </c>
      <c r="R6726" s="2" t="inlineStr"/>
    </row>
    <row r="6727" ht="15" customHeight="1">
      <c r="A6727" t="inlineStr">
        <is>
          <t>A 3209-2025</t>
        </is>
      </c>
      <c r="B6727" s="1" t="n">
        <v>45679.45376157408</v>
      </c>
      <c r="C6727" s="1" t="n">
        <v>46075</v>
      </c>
      <c r="D6727" t="inlineStr">
        <is>
          <t>VÄSTERBOTTENS LÄN</t>
        </is>
      </c>
      <c r="E6727" t="inlineStr">
        <is>
          <t>SKELLEFTEÅ</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42557-2023</t>
        </is>
      </c>
      <c r="B6728" s="1" t="n">
        <v>45181.38291666667</v>
      </c>
      <c r="C6728" s="1" t="n">
        <v>46075</v>
      </c>
      <c r="D6728" t="inlineStr">
        <is>
          <t>VÄSTERBOTTENS LÄN</t>
        </is>
      </c>
      <c r="E6728" t="inlineStr">
        <is>
          <t>BJURHOLM</t>
        </is>
      </c>
      <c r="F6728" t="inlineStr">
        <is>
          <t>Holmen skog AB</t>
        </is>
      </c>
      <c r="G6728" t="n">
        <v>1.9</v>
      </c>
      <c r="H6728" t="n">
        <v>0</v>
      </c>
      <c r="I6728" t="n">
        <v>0</v>
      </c>
      <c r="J6728" t="n">
        <v>0</v>
      </c>
      <c r="K6728" t="n">
        <v>0</v>
      </c>
      <c r="L6728" t="n">
        <v>0</v>
      </c>
      <c r="M6728" t="n">
        <v>0</v>
      </c>
      <c r="N6728" t="n">
        <v>0</v>
      </c>
      <c r="O6728" t="n">
        <v>0</v>
      </c>
      <c r="P6728" t="n">
        <v>0</v>
      </c>
      <c r="Q6728" t="n">
        <v>0</v>
      </c>
      <c r="R6728" s="2" t="inlineStr"/>
    </row>
    <row r="6729" ht="15" customHeight="1">
      <c r="A6729" t="inlineStr">
        <is>
          <t>A 54375-2022</t>
        </is>
      </c>
      <c r="B6729" s="1" t="n">
        <v>44879</v>
      </c>
      <c r="C6729" s="1" t="n">
        <v>46075</v>
      </c>
      <c r="D6729" t="inlineStr">
        <is>
          <t>VÄSTERBOTTENS LÄN</t>
        </is>
      </c>
      <c r="E6729" t="inlineStr">
        <is>
          <t>SORSELE</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54456-2022</t>
        </is>
      </c>
      <c r="B6730" s="1" t="n">
        <v>44880</v>
      </c>
      <c r="C6730" s="1" t="n">
        <v>46075</v>
      </c>
      <c r="D6730" t="inlineStr">
        <is>
          <t>VÄSTERBOTTENS LÄN</t>
        </is>
      </c>
      <c r="E6730" t="inlineStr">
        <is>
          <t>SKELLEFTEÅ</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51930-2025</t>
        </is>
      </c>
      <c r="B6731" s="1" t="n">
        <v>45952.49821759259</v>
      </c>
      <c r="C6731" s="1" t="n">
        <v>46075</v>
      </c>
      <c r="D6731" t="inlineStr">
        <is>
          <t>VÄSTERBOTTENS LÄN</t>
        </is>
      </c>
      <c r="E6731" t="inlineStr">
        <is>
          <t>UMEÅ</t>
        </is>
      </c>
      <c r="F6731" t="inlineStr">
        <is>
          <t>Holmen skog AB</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62106-2022</t>
        </is>
      </c>
      <c r="B6732" s="1" t="n">
        <v>44920</v>
      </c>
      <c r="C6732" s="1" t="n">
        <v>46075</v>
      </c>
      <c r="D6732" t="inlineStr">
        <is>
          <t>VÄSTERBOTTENS LÄN</t>
        </is>
      </c>
      <c r="E6732" t="inlineStr">
        <is>
          <t>UMEÅ</t>
        </is>
      </c>
      <c r="G6732" t="n">
        <v>5.5</v>
      </c>
      <c r="H6732" t="n">
        <v>0</v>
      </c>
      <c r="I6732" t="n">
        <v>0</v>
      </c>
      <c r="J6732" t="n">
        <v>0</v>
      </c>
      <c r="K6732" t="n">
        <v>0</v>
      </c>
      <c r="L6732" t="n">
        <v>0</v>
      </c>
      <c r="M6732" t="n">
        <v>0</v>
      </c>
      <c r="N6732" t="n">
        <v>0</v>
      </c>
      <c r="O6732" t="n">
        <v>0</v>
      </c>
      <c r="P6732" t="n">
        <v>0</v>
      </c>
      <c r="Q6732" t="n">
        <v>0</v>
      </c>
      <c r="R6732" s="2" t="inlineStr"/>
    </row>
    <row r="6733" ht="15" customHeight="1">
      <c r="A6733" t="inlineStr">
        <is>
          <t>A 52094-2025</t>
        </is>
      </c>
      <c r="B6733" s="1" t="n">
        <v>45952.67895833333</v>
      </c>
      <c r="C6733" s="1" t="n">
        <v>46075</v>
      </c>
      <c r="D6733" t="inlineStr">
        <is>
          <t>VÄSTERBOTTENS LÄN</t>
        </is>
      </c>
      <c r="E6733" t="inlineStr">
        <is>
          <t>SKELLEFTEÅ</t>
        </is>
      </c>
      <c r="G6733" t="n">
        <v>4</v>
      </c>
      <c r="H6733" t="n">
        <v>0</v>
      </c>
      <c r="I6733" t="n">
        <v>0</v>
      </c>
      <c r="J6733" t="n">
        <v>0</v>
      </c>
      <c r="K6733" t="n">
        <v>0</v>
      </c>
      <c r="L6733" t="n">
        <v>0</v>
      </c>
      <c r="M6733" t="n">
        <v>0</v>
      </c>
      <c r="N6733" t="n">
        <v>0</v>
      </c>
      <c r="O6733" t="n">
        <v>0</v>
      </c>
      <c r="P6733" t="n">
        <v>0</v>
      </c>
      <c r="Q6733" t="n">
        <v>0</v>
      </c>
      <c r="R6733" s="2" t="inlineStr"/>
    </row>
    <row r="6734" ht="15" customHeight="1">
      <c r="A6734" t="inlineStr">
        <is>
          <t>A 52163-2025</t>
        </is>
      </c>
      <c r="B6734" s="1" t="n">
        <v>45953.36163194444</v>
      </c>
      <c r="C6734" s="1" t="n">
        <v>46075</v>
      </c>
      <c r="D6734" t="inlineStr">
        <is>
          <t>VÄSTERBOTTENS LÄN</t>
        </is>
      </c>
      <c r="E6734" t="inlineStr">
        <is>
          <t>UMEÅ</t>
        </is>
      </c>
      <c r="F6734" t="inlineStr">
        <is>
          <t>Holmen skog AB</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14013-2025</t>
        </is>
      </c>
      <c r="B6735" s="1" t="n">
        <v>45740.31539351852</v>
      </c>
      <c r="C6735" s="1" t="n">
        <v>46075</v>
      </c>
      <c r="D6735" t="inlineStr">
        <is>
          <t>VÄSTERBOTTENS LÄN</t>
        </is>
      </c>
      <c r="E6735" t="inlineStr">
        <is>
          <t>SKELLEFTEÅ</t>
        </is>
      </c>
      <c r="G6735" t="n">
        <v>2.6</v>
      </c>
      <c r="H6735" t="n">
        <v>0</v>
      </c>
      <c r="I6735" t="n">
        <v>0</v>
      </c>
      <c r="J6735" t="n">
        <v>0</v>
      </c>
      <c r="K6735" t="n">
        <v>0</v>
      </c>
      <c r="L6735" t="n">
        <v>0</v>
      </c>
      <c r="M6735" t="n">
        <v>0</v>
      </c>
      <c r="N6735" t="n">
        <v>0</v>
      </c>
      <c r="O6735" t="n">
        <v>0</v>
      </c>
      <c r="P6735" t="n">
        <v>0</v>
      </c>
      <c r="Q6735" t="n">
        <v>0</v>
      </c>
      <c r="R6735" s="2" t="inlineStr"/>
    </row>
    <row r="6736" ht="15" customHeight="1">
      <c r="A6736" t="inlineStr">
        <is>
          <t>A 15581-2023</t>
        </is>
      </c>
      <c r="B6736" s="1" t="n">
        <v>45019</v>
      </c>
      <c r="C6736" s="1" t="n">
        <v>46075</v>
      </c>
      <c r="D6736" t="inlineStr">
        <is>
          <t>VÄSTERBOTTENS LÄN</t>
        </is>
      </c>
      <c r="E6736" t="inlineStr">
        <is>
          <t>BJURHOLM</t>
        </is>
      </c>
      <c r="G6736" t="n">
        <v>7</v>
      </c>
      <c r="H6736" t="n">
        <v>0</v>
      </c>
      <c r="I6736" t="n">
        <v>0</v>
      </c>
      <c r="J6736" t="n">
        <v>0</v>
      </c>
      <c r="K6736" t="n">
        <v>0</v>
      </c>
      <c r="L6736" t="n">
        <v>0</v>
      </c>
      <c r="M6736" t="n">
        <v>0</v>
      </c>
      <c r="N6736" t="n">
        <v>0</v>
      </c>
      <c r="O6736" t="n">
        <v>0</v>
      </c>
      <c r="P6736" t="n">
        <v>0</v>
      </c>
      <c r="Q6736" t="n">
        <v>0</v>
      </c>
      <c r="R6736" s="2" t="inlineStr"/>
    </row>
    <row r="6737" ht="15" customHeight="1">
      <c r="A6737" t="inlineStr">
        <is>
          <t>A 52025-2025</t>
        </is>
      </c>
      <c r="B6737" s="1" t="n">
        <v>45952.60319444445</v>
      </c>
      <c r="C6737" s="1" t="n">
        <v>46075</v>
      </c>
      <c r="D6737" t="inlineStr">
        <is>
          <t>VÄSTERBOTTENS LÄN</t>
        </is>
      </c>
      <c r="E6737" t="inlineStr">
        <is>
          <t>SKELLEFTEÅ</t>
        </is>
      </c>
      <c r="F6737" t="inlineStr">
        <is>
          <t>Holmen skog AB</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52041-2025</t>
        </is>
      </c>
      <c r="B6738" s="1" t="n">
        <v>45952.61530092593</v>
      </c>
      <c r="C6738" s="1" t="n">
        <v>46075</v>
      </c>
      <c r="D6738" t="inlineStr">
        <is>
          <t>VÄSTERBOTTENS LÄN</t>
        </is>
      </c>
      <c r="E6738" t="inlineStr">
        <is>
          <t>SKELLEFTEÅ</t>
        </is>
      </c>
      <c r="G6738" t="n">
        <v>2.3</v>
      </c>
      <c r="H6738" t="n">
        <v>0</v>
      </c>
      <c r="I6738" t="n">
        <v>0</v>
      </c>
      <c r="J6738" t="n">
        <v>0</v>
      </c>
      <c r="K6738" t="n">
        <v>0</v>
      </c>
      <c r="L6738" t="n">
        <v>0</v>
      </c>
      <c r="M6738" t="n">
        <v>0</v>
      </c>
      <c r="N6738" t="n">
        <v>0</v>
      </c>
      <c r="O6738" t="n">
        <v>0</v>
      </c>
      <c r="P6738" t="n">
        <v>0</v>
      </c>
      <c r="Q6738" t="n">
        <v>0</v>
      </c>
      <c r="R6738" s="2" t="inlineStr"/>
    </row>
    <row r="6739" ht="15" customHeight="1">
      <c r="A6739" t="inlineStr">
        <is>
          <t>A 10986-2025</t>
        </is>
      </c>
      <c r="B6739" s="1" t="n">
        <v>45723.41918981481</v>
      </c>
      <c r="C6739" s="1" t="n">
        <v>46075</v>
      </c>
      <c r="D6739" t="inlineStr">
        <is>
          <t>VÄSTERBOTTENS LÄN</t>
        </is>
      </c>
      <c r="E6739" t="inlineStr">
        <is>
          <t>SKELLEFTEÅ</t>
        </is>
      </c>
      <c r="G6739" t="n">
        <v>5.5</v>
      </c>
      <c r="H6739" t="n">
        <v>0</v>
      </c>
      <c r="I6739" t="n">
        <v>0</v>
      </c>
      <c r="J6739" t="n">
        <v>0</v>
      </c>
      <c r="K6739" t="n">
        <v>0</v>
      </c>
      <c r="L6739" t="n">
        <v>0</v>
      </c>
      <c r="M6739" t="n">
        <v>0</v>
      </c>
      <c r="N6739" t="n">
        <v>0</v>
      </c>
      <c r="O6739" t="n">
        <v>0</v>
      </c>
      <c r="P6739" t="n">
        <v>0</v>
      </c>
      <c r="Q6739" t="n">
        <v>0</v>
      </c>
      <c r="R6739" s="2" t="inlineStr"/>
    </row>
    <row r="6740" ht="15" customHeight="1">
      <c r="A6740" t="inlineStr">
        <is>
          <t>A 21107-2023</t>
        </is>
      </c>
      <c r="B6740" s="1" t="n">
        <v>45061</v>
      </c>
      <c r="C6740" s="1" t="n">
        <v>46075</v>
      </c>
      <c r="D6740" t="inlineStr">
        <is>
          <t>VÄSTERBOTTENS LÄN</t>
        </is>
      </c>
      <c r="E6740" t="inlineStr">
        <is>
          <t>ÅSELE</t>
        </is>
      </c>
      <c r="F6740" t="inlineStr">
        <is>
          <t>SCA</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11063-2025</t>
        </is>
      </c>
      <c r="B6741" s="1" t="n">
        <v>45723.52046296297</v>
      </c>
      <c r="C6741" s="1" t="n">
        <v>46075</v>
      </c>
      <c r="D6741" t="inlineStr">
        <is>
          <t>VÄSTERBOTTENS LÄN</t>
        </is>
      </c>
      <c r="E6741" t="inlineStr">
        <is>
          <t>UMEÅ</t>
        </is>
      </c>
      <c r="G6741" t="n">
        <v>3.8</v>
      </c>
      <c r="H6741" t="n">
        <v>0</v>
      </c>
      <c r="I6741" t="n">
        <v>0</v>
      </c>
      <c r="J6741" t="n">
        <v>0</v>
      </c>
      <c r="K6741" t="n">
        <v>0</v>
      </c>
      <c r="L6741" t="n">
        <v>0</v>
      </c>
      <c r="M6741" t="n">
        <v>0</v>
      </c>
      <c r="N6741" t="n">
        <v>0</v>
      </c>
      <c r="O6741" t="n">
        <v>0</v>
      </c>
      <c r="P6741" t="n">
        <v>0</v>
      </c>
      <c r="Q6741" t="n">
        <v>0</v>
      </c>
      <c r="R6741" s="2" t="inlineStr"/>
    </row>
    <row r="6742" ht="15" customHeight="1">
      <c r="A6742" t="inlineStr">
        <is>
          <t>A 33990-2024</t>
        </is>
      </c>
      <c r="B6742" s="1" t="n">
        <v>45523.53366898148</v>
      </c>
      <c r="C6742" s="1" t="n">
        <v>46075</v>
      </c>
      <c r="D6742" t="inlineStr">
        <is>
          <t>VÄSTERBOTTENS LÄN</t>
        </is>
      </c>
      <c r="E6742" t="inlineStr">
        <is>
          <t>ÅSELE</t>
        </is>
      </c>
      <c r="F6742" t="inlineStr">
        <is>
          <t>Sveaskog</t>
        </is>
      </c>
      <c r="G6742" t="n">
        <v>6.2</v>
      </c>
      <c r="H6742" t="n">
        <v>0</v>
      </c>
      <c r="I6742" t="n">
        <v>0</v>
      </c>
      <c r="J6742" t="n">
        <v>0</v>
      </c>
      <c r="K6742" t="n">
        <v>0</v>
      </c>
      <c r="L6742" t="n">
        <v>0</v>
      </c>
      <c r="M6742" t="n">
        <v>0</v>
      </c>
      <c r="N6742" t="n">
        <v>0</v>
      </c>
      <c r="O6742" t="n">
        <v>0</v>
      </c>
      <c r="P6742" t="n">
        <v>0</v>
      </c>
      <c r="Q6742" t="n">
        <v>0</v>
      </c>
      <c r="R6742" s="2" t="inlineStr"/>
    </row>
    <row r="6743" ht="15" customHeight="1">
      <c r="A6743" t="inlineStr">
        <is>
          <t>A 51889-2025</t>
        </is>
      </c>
      <c r="B6743" s="1" t="n">
        <v>45952.41400462963</v>
      </c>
      <c r="C6743" s="1" t="n">
        <v>46075</v>
      </c>
      <c r="D6743" t="inlineStr">
        <is>
          <t>VÄSTERBOTTENS LÄN</t>
        </is>
      </c>
      <c r="E6743" t="inlineStr">
        <is>
          <t>UMEÅ</t>
        </is>
      </c>
      <c r="G6743" t="n">
        <v>3.7</v>
      </c>
      <c r="H6743" t="n">
        <v>0</v>
      </c>
      <c r="I6743" t="n">
        <v>0</v>
      </c>
      <c r="J6743" t="n">
        <v>0</v>
      </c>
      <c r="K6743" t="n">
        <v>0</v>
      </c>
      <c r="L6743" t="n">
        <v>0</v>
      </c>
      <c r="M6743" t="n">
        <v>0</v>
      </c>
      <c r="N6743" t="n">
        <v>0</v>
      </c>
      <c r="O6743" t="n">
        <v>0</v>
      </c>
      <c r="P6743" t="n">
        <v>0</v>
      </c>
      <c r="Q6743" t="n">
        <v>0</v>
      </c>
      <c r="R6743" s="2" t="inlineStr"/>
    </row>
    <row r="6744" ht="15" customHeight="1">
      <c r="A6744" t="inlineStr">
        <is>
          <t>A 58672-2024</t>
        </is>
      </c>
      <c r="B6744" s="1" t="n">
        <v>45635</v>
      </c>
      <c r="C6744" s="1" t="n">
        <v>46075</v>
      </c>
      <c r="D6744" t="inlineStr">
        <is>
          <t>VÄSTERBOTTENS LÄN</t>
        </is>
      </c>
      <c r="E6744" t="inlineStr">
        <is>
          <t>SORSELE</t>
        </is>
      </c>
      <c r="G6744" t="n">
        <v>2.9</v>
      </c>
      <c r="H6744" t="n">
        <v>0</v>
      </c>
      <c r="I6744" t="n">
        <v>0</v>
      </c>
      <c r="J6744" t="n">
        <v>0</v>
      </c>
      <c r="K6744" t="n">
        <v>0</v>
      </c>
      <c r="L6744" t="n">
        <v>0</v>
      </c>
      <c r="M6744" t="n">
        <v>0</v>
      </c>
      <c r="N6744" t="n">
        <v>0</v>
      </c>
      <c r="O6744" t="n">
        <v>0</v>
      </c>
      <c r="P6744" t="n">
        <v>0</v>
      </c>
      <c r="Q6744" t="n">
        <v>0</v>
      </c>
      <c r="R6744" s="2" t="inlineStr"/>
    </row>
    <row r="6745" ht="15" customHeight="1">
      <c r="A6745" t="inlineStr">
        <is>
          <t>A 58675-2024</t>
        </is>
      </c>
      <c r="B6745" s="1" t="n">
        <v>45635</v>
      </c>
      <c r="C6745" s="1" t="n">
        <v>46075</v>
      </c>
      <c r="D6745" t="inlineStr">
        <is>
          <t>VÄSTERBOTTENS LÄN</t>
        </is>
      </c>
      <c r="E6745" t="inlineStr">
        <is>
          <t>SORSELE</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51935-2025</t>
        </is>
      </c>
      <c r="B6746" s="1" t="n">
        <v>45952.51190972222</v>
      </c>
      <c r="C6746" s="1" t="n">
        <v>46075</v>
      </c>
      <c r="D6746" t="inlineStr">
        <is>
          <t>VÄSTERBOTTENS LÄN</t>
        </is>
      </c>
      <c r="E6746" t="inlineStr">
        <is>
          <t>MALÅ</t>
        </is>
      </c>
      <c r="G6746" t="n">
        <v>18.6</v>
      </c>
      <c r="H6746" t="n">
        <v>0</v>
      </c>
      <c r="I6746" t="n">
        <v>0</v>
      </c>
      <c r="J6746" t="n">
        <v>0</v>
      </c>
      <c r="K6746" t="n">
        <v>0</v>
      </c>
      <c r="L6746" t="n">
        <v>0</v>
      </c>
      <c r="M6746" t="n">
        <v>0</v>
      </c>
      <c r="N6746" t="n">
        <v>0</v>
      </c>
      <c r="O6746" t="n">
        <v>0</v>
      </c>
      <c r="P6746" t="n">
        <v>0</v>
      </c>
      <c r="Q6746" t="n">
        <v>0</v>
      </c>
      <c r="R6746" s="2" t="inlineStr"/>
    </row>
    <row r="6747" ht="15" customHeight="1">
      <c r="A6747" t="inlineStr">
        <is>
          <t>A 51936-2025</t>
        </is>
      </c>
      <c r="B6747" s="1" t="n">
        <v>45952.5119675926</v>
      </c>
      <c r="C6747" s="1" t="n">
        <v>46075</v>
      </c>
      <c r="D6747" t="inlineStr">
        <is>
          <t>VÄSTERBOTTENS LÄN</t>
        </is>
      </c>
      <c r="E6747" t="inlineStr">
        <is>
          <t>MALÅ</t>
        </is>
      </c>
      <c r="G6747" t="n">
        <v>6.6</v>
      </c>
      <c r="H6747" t="n">
        <v>0</v>
      </c>
      <c r="I6747" t="n">
        <v>0</v>
      </c>
      <c r="J6747" t="n">
        <v>0</v>
      </c>
      <c r="K6747" t="n">
        <v>0</v>
      </c>
      <c r="L6747" t="n">
        <v>0</v>
      </c>
      <c r="M6747" t="n">
        <v>0</v>
      </c>
      <c r="N6747" t="n">
        <v>0</v>
      </c>
      <c r="O6747" t="n">
        <v>0</v>
      </c>
      <c r="P6747" t="n">
        <v>0</v>
      </c>
      <c r="Q6747" t="n">
        <v>0</v>
      </c>
      <c r="R6747" s="2" t="inlineStr"/>
    </row>
    <row r="6748" ht="15" customHeight="1">
      <c r="A6748" t="inlineStr">
        <is>
          <t>A 51950-2025</t>
        </is>
      </c>
      <c r="B6748" s="1" t="n">
        <v>45952.53225694445</v>
      </c>
      <c r="C6748" s="1" t="n">
        <v>46075</v>
      </c>
      <c r="D6748" t="inlineStr">
        <is>
          <t>VÄSTERBOTTENS LÄN</t>
        </is>
      </c>
      <c r="E6748" t="inlineStr">
        <is>
          <t>MALÅ</t>
        </is>
      </c>
      <c r="G6748" t="n">
        <v>3.1</v>
      </c>
      <c r="H6748" t="n">
        <v>0</v>
      </c>
      <c r="I6748" t="n">
        <v>0</v>
      </c>
      <c r="J6748" t="n">
        <v>0</v>
      </c>
      <c r="K6748" t="n">
        <v>0</v>
      </c>
      <c r="L6748" t="n">
        <v>0</v>
      </c>
      <c r="M6748" t="n">
        <v>0</v>
      </c>
      <c r="N6748" t="n">
        <v>0</v>
      </c>
      <c r="O6748" t="n">
        <v>0</v>
      </c>
      <c r="P6748" t="n">
        <v>0</v>
      </c>
      <c r="Q6748" t="n">
        <v>0</v>
      </c>
      <c r="R6748" s="2" t="inlineStr"/>
    </row>
    <row r="6749" ht="15" customHeight="1">
      <c r="A6749" t="inlineStr">
        <is>
          <t>A 51968-2025</t>
        </is>
      </c>
      <c r="B6749" s="1" t="n">
        <v>45952.55365740741</v>
      </c>
      <c r="C6749" s="1" t="n">
        <v>46075</v>
      </c>
      <c r="D6749" t="inlineStr">
        <is>
          <t>VÄSTERBOTTENS LÄN</t>
        </is>
      </c>
      <c r="E6749" t="inlineStr">
        <is>
          <t>MALÅ</t>
        </is>
      </c>
      <c r="F6749" t="inlineStr">
        <is>
          <t>SCA</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51970-2025</t>
        </is>
      </c>
      <c r="B6750" s="1" t="n">
        <v>45952.5571875</v>
      </c>
      <c r="C6750" s="1" t="n">
        <v>46075</v>
      </c>
      <c r="D6750" t="inlineStr">
        <is>
          <t>VÄSTERBOTTENS LÄN</t>
        </is>
      </c>
      <c r="E6750" t="inlineStr">
        <is>
          <t>UMEÅ</t>
        </is>
      </c>
      <c r="F6750" t="inlineStr">
        <is>
          <t>Holmen skog AB</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51971-2025</t>
        </is>
      </c>
      <c r="B6751" s="1" t="n">
        <v>45952.55809027778</v>
      </c>
      <c r="C6751" s="1" t="n">
        <v>46075</v>
      </c>
      <c r="D6751" t="inlineStr">
        <is>
          <t>VÄSTERBOTTENS LÄN</t>
        </is>
      </c>
      <c r="E6751" t="inlineStr">
        <is>
          <t>UMEÅ</t>
        </is>
      </c>
      <c r="G6751" t="n">
        <v>3.4</v>
      </c>
      <c r="H6751" t="n">
        <v>0</v>
      </c>
      <c r="I6751" t="n">
        <v>0</v>
      </c>
      <c r="J6751" t="n">
        <v>0</v>
      </c>
      <c r="K6751" t="n">
        <v>0</v>
      </c>
      <c r="L6751" t="n">
        <v>0</v>
      </c>
      <c r="M6751" t="n">
        <v>0</v>
      </c>
      <c r="N6751" t="n">
        <v>0</v>
      </c>
      <c r="O6751" t="n">
        <v>0</v>
      </c>
      <c r="P6751" t="n">
        <v>0</v>
      </c>
      <c r="Q6751" t="n">
        <v>0</v>
      </c>
      <c r="R6751" s="2" t="inlineStr"/>
    </row>
    <row r="6752" ht="15" customHeight="1">
      <c r="A6752" t="inlineStr">
        <is>
          <t>A 4617-2024</t>
        </is>
      </c>
      <c r="B6752" s="1" t="n">
        <v>45327</v>
      </c>
      <c r="C6752" s="1" t="n">
        <v>46075</v>
      </c>
      <c r="D6752" t="inlineStr">
        <is>
          <t>VÄSTERBOTTENS LÄN</t>
        </is>
      </c>
      <c r="E6752" t="inlineStr">
        <is>
          <t>SKELLEFTEÅ</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4656-2024</t>
        </is>
      </c>
      <c r="B6753" s="1" t="n">
        <v>45327</v>
      </c>
      <c r="C6753" s="1" t="n">
        <v>46075</v>
      </c>
      <c r="D6753" t="inlineStr">
        <is>
          <t>VÄSTERBOTTENS LÄN</t>
        </is>
      </c>
      <c r="E6753" t="inlineStr">
        <is>
          <t>SKELLEFTEÅ</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37023-2024</t>
        </is>
      </c>
      <c r="B6754" s="1" t="n">
        <v>45539</v>
      </c>
      <c r="C6754" s="1" t="n">
        <v>46075</v>
      </c>
      <c r="D6754" t="inlineStr">
        <is>
          <t>VÄSTERBOTTENS LÄN</t>
        </is>
      </c>
      <c r="E6754" t="inlineStr">
        <is>
          <t>UMEÅ</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6283-2025</t>
        </is>
      </c>
      <c r="B6755" s="1" t="n">
        <v>45698.63582175926</v>
      </c>
      <c r="C6755" s="1" t="n">
        <v>46075</v>
      </c>
      <c r="D6755" t="inlineStr">
        <is>
          <t>VÄSTERBOTTENS LÄN</t>
        </is>
      </c>
      <c r="E6755" t="inlineStr">
        <is>
          <t>ÅSELE</t>
        </is>
      </c>
      <c r="F6755" t="inlineStr">
        <is>
          <t>SCA</t>
        </is>
      </c>
      <c r="G6755" t="n">
        <v>3.6</v>
      </c>
      <c r="H6755" t="n">
        <v>0</v>
      </c>
      <c r="I6755" t="n">
        <v>0</v>
      </c>
      <c r="J6755" t="n">
        <v>0</v>
      </c>
      <c r="K6755" t="n">
        <v>0</v>
      </c>
      <c r="L6755" t="n">
        <v>0</v>
      </c>
      <c r="M6755" t="n">
        <v>0</v>
      </c>
      <c r="N6755" t="n">
        <v>0</v>
      </c>
      <c r="O6755" t="n">
        <v>0</v>
      </c>
      <c r="P6755" t="n">
        <v>0</v>
      </c>
      <c r="Q6755" t="n">
        <v>0</v>
      </c>
      <c r="R6755" s="2" t="inlineStr"/>
    </row>
    <row r="6756" ht="15" customHeight="1">
      <c r="A6756" t="inlineStr">
        <is>
          <t>A 18605-2023</t>
        </is>
      </c>
      <c r="B6756" s="1" t="n">
        <v>45041</v>
      </c>
      <c r="C6756" s="1" t="n">
        <v>46075</v>
      </c>
      <c r="D6756" t="inlineStr">
        <is>
          <t>VÄSTERBOTTENS LÄN</t>
        </is>
      </c>
      <c r="E6756" t="inlineStr">
        <is>
          <t>ÅSELE</t>
        </is>
      </c>
      <c r="G6756" t="n">
        <v>4.2</v>
      </c>
      <c r="H6756" t="n">
        <v>0</v>
      </c>
      <c r="I6756" t="n">
        <v>0</v>
      </c>
      <c r="J6756" t="n">
        <v>0</v>
      </c>
      <c r="K6756" t="n">
        <v>0</v>
      </c>
      <c r="L6756" t="n">
        <v>0</v>
      </c>
      <c r="M6756" t="n">
        <v>0</v>
      </c>
      <c r="N6756" t="n">
        <v>0</v>
      </c>
      <c r="O6756" t="n">
        <v>0</v>
      </c>
      <c r="P6756" t="n">
        <v>0</v>
      </c>
      <c r="Q6756" t="n">
        <v>0</v>
      </c>
      <c r="R6756" s="2" t="inlineStr"/>
    </row>
    <row r="6757" ht="15" customHeight="1">
      <c r="A6757" t="inlineStr">
        <is>
          <t>A 28113-2023</t>
        </is>
      </c>
      <c r="B6757" s="1" t="n">
        <v>45096</v>
      </c>
      <c r="C6757" s="1" t="n">
        <v>46075</v>
      </c>
      <c r="D6757" t="inlineStr">
        <is>
          <t>VÄSTERBOTTENS LÄN</t>
        </is>
      </c>
      <c r="E6757" t="inlineStr">
        <is>
          <t>SKELLEFTEÅ</t>
        </is>
      </c>
      <c r="G6757" t="n">
        <v>4.4</v>
      </c>
      <c r="H6757" t="n">
        <v>0</v>
      </c>
      <c r="I6757" t="n">
        <v>0</v>
      </c>
      <c r="J6757" t="n">
        <v>0</v>
      </c>
      <c r="K6757" t="n">
        <v>0</v>
      </c>
      <c r="L6757" t="n">
        <v>0</v>
      </c>
      <c r="M6757" t="n">
        <v>0</v>
      </c>
      <c r="N6757" t="n">
        <v>0</v>
      </c>
      <c r="O6757" t="n">
        <v>0</v>
      </c>
      <c r="P6757" t="n">
        <v>0</v>
      </c>
      <c r="Q6757" t="n">
        <v>0</v>
      </c>
      <c r="R6757" s="2" t="inlineStr"/>
    </row>
    <row r="6758" ht="15" customHeight="1">
      <c r="A6758" t="inlineStr">
        <is>
          <t>A 52208-2025</t>
        </is>
      </c>
      <c r="B6758" s="1" t="n">
        <v>45953.41458333333</v>
      </c>
      <c r="C6758" s="1" t="n">
        <v>46075</v>
      </c>
      <c r="D6758" t="inlineStr">
        <is>
          <t>VÄSTERBOTTENS LÄN</t>
        </is>
      </c>
      <c r="E6758" t="inlineStr">
        <is>
          <t>BJURHOLM</t>
        </is>
      </c>
      <c r="G6758" t="n">
        <v>5.9</v>
      </c>
      <c r="H6758" t="n">
        <v>0</v>
      </c>
      <c r="I6758" t="n">
        <v>0</v>
      </c>
      <c r="J6758" t="n">
        <v>0</v>
      </c>
      <c r="K6758" t="n">
        <v>0</v>
      </c>
      <c r="L6758" t="n">
        <v>0</v>
      </c>
      <c r="M6758" t="n">
        <v>0</v>
      </c>
      <c r="N6758" t="n">
        <v>0</v>
      </c>
      <c r="O6758" t="n">
        <v>0</v>
      </c>
      <c r="P6758" t="n">
        <v>0</v>
      </c>
      <c r="Q6758" t="n">
        <v>0</v>
      </c>
      <c r="R6758" s="2" t="inlineStr"/>
    </row>
    <row r="6759" ht="15" customHeight="1">
      <c r="A6759" t="inlineStr">
        <is>
          <t>A 60549-2025</t>
        </is>
      </c>
      <c r="B6759" s="1" t="n">
        <v>45995.71637731481</v>
      </c>
      <c r="C6759" s="1" t="n">
        <v>46075</v>
      </c>
      <c r="D6759" t="inlineStr">
        <is>
          <t>VÄSTERBOTTENS LÄN</t>
        </is>
      </c>
      <c r="E6759" t="inlineStr">
        <is>
          <t>VILHELMINA</t>
        </is>
      </c>
      <c r="G6759" t="n">
        <v>19.6</v>
      </c>
      <c r="H6759" t="n">
        <v>0</v>
      </c>
      <c r="I6759" t="n">
        <v>0</v>
      </c>
      <c r="J6759" t="n">
        <v>0</v>
      </c>
      <c r="K6759" t="n">
        <v>0</v>
      </c>
      <c r="L6759" t="n">
        <v>0</v>
      </c>
      <c r="M6759" t="n">
        <v>0</v>
      </c>
      <c r="N6759" t="n">
        <v>0</v>
      </c>
      <c r="O6759" t="n">
        <v>0</v>
      </c>
      <c r="P6759" t="n">
        <v>0</v>
      </c>
      <c r="Q6759" t="n">
        <v>0</v>
      </c>
      <c r="R6759" s="2" t="inlineStr"/>
    </row>
    <row r="6760" ht="15" customHeight="1">
      <c r="A6760" t="inlineStr">
        <is>
          <t>A 3366-2024</t>
        </is>
      </c>
      <c r="B6760" s="1" t="n">
        <v>45317</v>
      </c>
      <c r="C6760" s="1" t="n">
        <v>46075</v>
      </c>
      <c r="D6760" t="inlineStr">
        <is>
          <t>VÄSTERBOTTENS LÄN</t>
        </is>
      </c>
      <c r="E6760" t="inlineStr">
        <is>
          <t>UMEÅ</t>
        </is>
      </c>
      <c r="G6760" t="n">
        <v>3.4</v>
      </c>
      <c r="H6760" t="n">
        <v>0</v>
      </c>
      <c r="I6760" t="n">
        <v>0</v>
      </c>
      <c r="J6760" t="n">
        <v>0</v>
      </c>
      <c r="K6760" t="n">
        <v>0</v>
      </c>
      <c r="L6760" t="n">
        <v>0</v>
      </c>
      <c r="M6760" t="n">
        <v>0</v>
      </c>
      <c r="N6760" t="n">
        <v>0</v>
      </c>
      <c r="O6760" t="n">
        <v>0</v>
      </c>
      <c r="P6760" t="n">
        <v>0</v>
      </c>
      <c r="Q6760" t="n">
        <v>0</v>
      </c>
      <c r="R6760" s="2" t="inlineStr"/>
    </row>
    <row r="6761" ht="15" customHeight="1">
      <c r="A6761" t="inlineStr">
        <is>
          <t>A 51872-2025</t>
        </is>
      </c>
      <c r="B6761" s="1" t="n">
        <v>45952</v>
      </c>
      <c r="C6761" s="1" t="n">
        <v>46075</v>
      </c>
      <c r="D6761" t="inlineStr">
        <is>
          <t>VÄSTERBOTTENS LÄN</t>
        </is>
      </c>
      <c r="E6761" t="inlineStr">
        <is>
          <t>VINDELN</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51891-2025</t>
        </is>
      </c>
      <c r="B6762" s="1" t="n">
        <v>45952.42099537037</v>
      </c>
      <c r="C6762" s="1" t="n">
        <v>46075</v>
      </c>
      <c r="D6762" t="inlineStr">
        <is>
          <t>VÄSTERBOTTENS LÄN</t>
        </is>
      </c>
      <c r="E6762" t="inlineStr">
        <is>
          <t>NORSJÖ</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31501-2024</t>
        </is>
      </c>
      <c r="B6763" s="1" t="n">
        <v>45505.95542824074</v>
      </c>
      <c r="C6763" s="1" t="n">
        <v>46075</v>
      </c>
      <c r="D6763" t="inlineStr">
        <is>
          <t>VÄSTERBOTTENS LÄN</t>
        </is>
      </c>
      <c r="E6763" t="inlineStr">
        <is>
          <t>DOROTEA</t>
        </is>
      </c>
      <c r="F6763" t="inlineStr">
        <is>
          <t>SCA</t>
        </is>
      </c>
      <c r="G6763" t="n">
        <v>4.5</v>
      </c>
      <c r="H6763" t="n">
        <v>0</v>
      </c>
      <c r="I6763" t="n">
        <v>0</v>
      </c>
      <c r="J6763" t="n">
        <v>0</v>
      </c>
      <c r="K6763" t="n">
        <v>0</v>
      </c>
      <c r="L6763" t="n">
        <v>0</v>
      </c>
      <c r="M6763" t="n">
        <v>0</v>
      </c>
      <c r="N6763" t="n">
        <v>0</v>
      </c>
      <c r="O6763" t="n">
        <v>0</v>
      </c>
      <c r="P6763" t="n">
        <v>0</v>
      </c>
      <c r="Q6763" t="n">
        <v>0</v>
      </c>
      <c r="R6763" s="2" t="inlineStr"/>
    </row>
    <row r="6764" ht="15" customHeight="1">
      <c r="A6764" t="inlineStr">
        <is>
          <t>A 52038-2025</t>
        </is>
      </c>
      <c r="B6764" s="1" t="n">
        <v>45952.61511574074</v>
      </c>
      <c r="C6764" s="1" t="n">
        <v>46075</v>
      </c>
      <c r="D6764" t="inlineStr">
        <is>
          <t>VÄSTERBOTTENS LÄN</t>
        </is>
      </c>
      <c r="E6764" t="inlineStr">
        <is>
          <t>SKELLEFTEÅ</t>
        </is>
      </c>
      <c r="G6764" t="n">
        <v>3</v>
      </c>
      <c r="H6764" t="n">
        <v>0</v>
      </c>
      <c r="I6764" t="n">
        <v>0</v>
      </c>
      <c r="J6764" t="n">
        <v>0</v>
      </c>
      <c r="K6764" t="n">
        <v>0</v>
      </c>
      <c r="L6764" t="n">
        <v>0</v>
      </c>
      <c r="M6764" t="n">
        <v>0</v>
      </c>
      <c r="N6764" t="n">
        <v>0</v>
      </c>
      <c r="O6764" t="n">
        <v>0</v>
      </c>
      <c r="P6764" t="n">
        <v>0</v>
      </c>
      <c r="Q6764" t="n">
        <v>0</v>
      </c>
      <c r="R6764" s="2" t="inlineStr"/>
    </row>
    <row r="6765" ht="15" customHeight="1">
      <c r="A6765" t="inlineStr">
        <is>
          <t>A 4004-2025</t>
        </is>
      </c>
      <c r="B6765" s="1" t="n">
        <v>45684</v>
      </c>
      <c r="C6765" s="1" t="n">
        <v>46075</v>
      </c>
      <c r="D6765" t="inlineStr">
        <is>
          <t>VÄSTERBOTTENS LÄN</t>
        </is>
      </c>
      <c r="E6765" t="inlineStr">
        <is>
          <t>VINDELN</t>
        </is>
      </c>
      <c r="F6765" t="inlineStr">
        <is>
          <t>SCA</t>
        </is>
      </c>
      <c r="G6765" t="n">
        <v>2.7</v>
      </c>
      <c r="H6765" t="n">
        <v>0</v>
      </c>
      <c r="I6765" t="n">
        <v>0</v>
      </c>
      <c r="J6765" t="n">
        <v>0</v>
      </c>
      <c r="K6765" t="n">
        <v>0</v>
      </c>
      <c r="L6765" t="n">
        <v>0</v>
      </c>
      <c r="M6765" t="n">
        <v>0</v>
      </c>
      <c r="N6765" t="n">
        <v>0</v>
      </c>
      <c r="O6765" t="n">
        <v>0</v>
      </c>
      <c r="P6765" t="n">
        <v>0</v>
      </c>
      <c r="Q6765" t="n">
        <v>0</v>
      </c>
      <c r="R6765" s="2" t="inlineStr"/>
    </row>
    <row r="6766" ht="15" customHeight="1">
      <c r="A6766" t="inlineStr">
        <is>
          <t>A 51948-2025</t>
        </is>
      </c>
      <c r="B6766" s="1" t="n">
        <v>45952.53190972222</v>
      </c>
      <c r="C6766" s="1" t="n">
        <v>46075</v>
      </c>
      <c r="D6766" t="inlineStr">
        <is>
          <t>VÄSTERBOTTENS LÄN</t>
        </is>
      </c>
      <c r="E6766" t="inlineStr">
        <is>
          <t>MALÅ</t>
        </is>
      </c>
      <c r="G6766" t="n">
        <v>3.9</v>
      </c>
      <c r="H6766" t="n">
        <v>0</v>
      </c>
      <c r="I6766" t="n">
        <v>0</v>
      </c>
      <c r="J6766" t="n">
        <v>0</v>
      </c>
      <c r="K6766" t="n">
        <v>0</v>
      </c>
      <c r="L6766" t="n">
        <v>0</v>
      </c>
      <c r="M6766" t="n">
        <v>0</v>
      </c>
      <c r="N6766" t="n">
        <v>0</v>
      </c>
      <c r="O6766" t="n">
        <v>0</v>
      </c>
      <c r="P6766" t="n">
        <v>0</v>
      </c>
      <c r="Q6766" t="n">
        <v>0</v>
      </c>
      <c r="R6766" s="2" t="inlineStr"/>
    </row>
    <row r="6767" ht="15" customHeight="1">
      <c r="A6767" t="inlineStr">
        <is>
          <t>A 1859-2025</t>
        </is>
      </c>
      <c r="B6767" s="1" t="n">
        <v>45671</v>
      </c>
      <c r="C6767" s="1" t="n">
        <v>46075</v>
      </c>
      <c r="D6767" t="inlineStr">
        <is>
          <t>VÄSTERBOTTENS LÄN</t>
        </is>
      </c>
      <c r="E6767" t="inlineStr">
        <is>
          <t>ROBERTSFORS</t>
        </is>
      </c>
      <c r="G6767" t="n">
        <v>3.5</v>
      </c>
      <c r="H6767" t="n">
        <v>0</v>
      </c>
      <c r="I6767" t="n">
        <v>0</v>
      </c>
      <c r="J6767" t="n">
        <v>0</v>
      </c>
      <c r="K6767" t="n">
        <v>0</v>
      </c>
      <c r="L6767" t="n">
        <v>0</v>
      </c>
      <c r="M6767" t="n">
        <v>0</v>
      </c>
      <c r="N6767" t="n">
        <v>0</v>
      </c>
      <c r="O6767" t="n">
        <v>0</v>
      </c>
      <c r="P6767" t="n">
        <v>0</v>
      </c>
      <c r="Q6767" t="n">
        <v>0</v>
      </c>
      <c r="R6767" s="2" t="inlineStr"/>
    </row>
    <row r="6768" ht="15" customHeight="1">
      <c r="A6768" t="inlineStr">
        <is>
          <t>A 3630-2024</t>
        </is>
      </c>
      <c r="B6768" s="1" t="n">
        <v>45320.95357638889</v>
      </c>
      <c r="C6768" s="1" t="n">
        <v>46075</v>
      </c>
      <c r="D6768" t="inlineStr">
        <is>
          <t>VÄSTERBOTTENS LÄN</t>
        </is>
      </c>
      <c r="E6768" t="inlineStr">
        <is>
          <t>VINDELN</t>
        </is>
      </c>
      <c r="F6768" t="inlineStr">
        <is>
          <t>SCA</t>
        </is>
      </c>
      <c r="G6768" t="n">
        <v>3.9</v>
      </c>
      <c r="H6768" t="n">
        <v>0</v>
      </c>
      <c r="I6768" t="n">
        <v>0</v>
      </c>
      <c r="J6768" t="n">
        <v>0</v>
      </c>
      <c r="K6768" t="n">
        <v>0</v>
      </c>
      <c r="L6768" t="n">
        <v>0</v>
      </c>
      <c r="M6768" t="n">
        <v>0</v>
      </c>
      <c r="N6768" t="n">
        <v>0</v>
      </c>
      <c r="O6768" t="n">
        <v>0</v>
      </c>
      <c r="P6768" t="n">
        <v>0</v>
      </c>
      <c r="Q6768" t="n">
        <v>0</v>
      </c>
      <c r="R6768" s="2" t="inlineStr"/>
    </row>
    <row r="6769" ht="15" customHeight="1">
      <c r="A6769" t="inlineStr">
        <is>
          <t>A 51967-2025</t>
        </is>
      </c>
      <c r="B6769" s="1" t="n">
        <v>45952.55361111111</v>
      </c>
      <c r="C6769" s="1" t="n">
        <v>46075</v>
      </c>
      <c r="D6769" t="inlineStr">
        <is>
          <t>VÄSTERBOTTENS LÄN</t>
        </is>
      </c>
      <c r="E6769" t="inlineStr">
        <is>
          <t>MALÅ</t>
        </is>
      </c>
      <c r="F6769" t="inlineStr">
        <is>
          <t>SCA</t>
        </is>
      </c>
      <c r="G6769" t="n">
        <v>2.5</v>
      </c>
      <c r="H6769" t="n">
        <v>0</v>
      </c>
      <c r="I6769" t="n">
        <v>0</v>
      </c>
      <c r="J6769" t="n">
        <v>0</v>
      </c>
      <c r="K6769" t="n">
        <v>0</v>
      </c>
      <c r="L6769" t="n">
        <v>0</v>
      </c>
      <c r="M6769" t="n">
        <v>0</v>
      </c>
      <c r="N6769" t="n">
        <v>0</v>
      </c>
      <c r="O6769" t="n">
        <v>0</v>
      </c>
      <c r="P6769" t="n">
        <v>0</v>
      </c>
      <c r="Q6769" t="n">
        <v>0</v>
      </c>
      <c r="R6769" s="2" t="inlineStr"/>
    </row>
    <row r="6770" ht="15" customHeight="1">
      <c r="A6770" t="inlineStr">
        <is>
          <t>A 10532-2023</t>
        </is>
      </c>
      <c r="B6770" s="1" t="n">
        <v>44987</v>
      </c>
      <c r="C6770" s="1" t="n">
        <v>46075</v>
      </c>
      <c r="D6770" t="inlineStr">
        <is>
          <t>VÄSTERBOTTENS LÄN</t>
        </is>
      </c>
      <c r="E6770" t="inlineStr">
        <is>
          <t>UMEÅ</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52214-2025</t>
        </is>
      </c>
      <c r="B6771" s="1" t="n">
        <v>45953.4275</v>
      </c>
      <c r="C6771" s="1" t="n">
        <v>46075</v>
      </c>
      <c r="D6771" t="inlineStr">
        <is>
          <t>VÄSTERBOTTENS LÄN</t>
        </is>
      </c>
      <c r="E6771" t="inlineStr">
        <is>
          <t>STORUMAN</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50707-2025</t>
        </is>
      </c>
      <c r="B6772" s="1" t="n">
        <v>45946.30732638889</v>
      </c>
      <c r="C6772" s="1" t="n">
        <v>46075</v>
      </c>
      <c r="D6772" t="inlineStr">
        <is>
          <t>VÄSTERBOTTENS LÄN</t>
        </is>
      </c>
      <c r="E6772" t="inlineStr">
        <is>
          <t>VINDELN</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52064-2025</t>
        </is>
      </c>
      <c r="B6773" s="1" t="n">
        <v>45952.63707175926</v>
      </c>
      <c r="C6773" s="1" t="n">
        <v>46075</v>
      </c>
      <c r="D6773" t="inlineStr">
        <is>
          <t>VÄSTERBOTTENS LÄN</t>
        </is>
      </c>
      <c r="E6773" t="inlineStr">
        <is>
          <t>ÅSELE</t>
        </is>
      </c>
      <c r="G6773" t="n">
        <v>14.7</v>
      </c>
      <c r="H6773" t="n">
        <v>0</v>
      </c>
      <c r="I6773" t="n">
        <v>0</v>
      </c>
      <c r="J6773" t="n">
        <v>0</v>
      </c>
      <c r="K6773" t="n">
        <v>0</v>
      </c>
      <c r="L6773" t="n">
        <v>0</v>
      </c>
      <c r="M6773" t="n">
        <v>0</v>
      </c>
      <c r="N6773" t="n">
        <v>0</v>
      </c>
      <c r="O6773" t="n">
        <v>0</v>
      </c>
      <c r="P6773" t="n">
        <v>0</v>
      </c>
      <c r="Q6773" t="n">
        <v>0</v>
      </c>
      <c r="R6773" s="2" t="inlineStr"/>
    </row>
    <row r="6774" ht="15" customHeight="1">
      <c r="A6774" t="inlineStr">
        <is>
          <t>A 52079-2025</t>
        </is>
      </c>
      <c r="B6774" s="1" t="n">
        <v>45952.65930555556</v>
      </c>
      <c r="C6774" s="1" t="n">
        <v>46075</v>
      </c>
      <c r="D6774" t="inlineStr">
        <is>
          <t>VÄSTERBOTTENS LÄN</t>
        </is>
      </c>
      <c r="E6774" t="inlineStr">
        <is>
          <t>VINDELN</t>
        </is>
      </c>
      <c r="F6774" t="inlineStr">
        <is>
          <t>Holmen skog AB</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15678-2025</t>
        </is>
      </c>
      <c r="B6775" s="1" t="n">
        <v>45748.45042824074</v>
      </c>
      <c r="C6775" s="1" t="n">
        <v>46075</v>
      </c>
      <c r="D6775" t="inlineStr">
        <is>
          <t>VÄSTERBOTTENS LÄN</t>
        </is>
      </c>
      <c r="E6775" t="inlineStr">
        <is>
          <t>VÄNNÄS</t>
        </is>
      </c>
      <c r="G6775" t="n">
        <v>7.1</v>
      </c>
      <c r="H6775" t="n">
        <v>0</v>
      </c>
      <c r="I6775" t="n">
        <v>0</v>
      </c>
      <c r="J6775" t="n">
        <v>0</v>
      </c>
      <c r="K6775" t="n">
        <v>0</v>
      </c>
      <c r="L6775" t="n">
        <v>0</v>
      </c>
      <c r="M6775" t="n">
        <v>0</v>
      </c>
      <c r="N6775" t="n">
        <v>0</v>
      </c>
      <c r="O6775" t="n">
        <v>0</v>
      </c>
      <c r="P6775" t="n">
        <v>0</v>
      </c>
      <c r="Q6775" t="n">
        <v>0</v>
      </c>
      <c r="R6775" s="2" t="inlineStr"/>
    </row>
    <row r="6776" ht="15" customHeight="1">
      <c r="A6776" t="inlineStr">
        <is>
          <t>A 52229-2025</t>
        </is>
      </c>
      <c r="B6776" s="1" t="n">
        <v>45953.44894675926</v>
      </c>
      <c r="C6776" s="1" t="n">
        <v>46075</v>
      </c>
      <c r="D6776" t="inlineStr">
        <is>
          <t>VÄSTERBOTTENS LÄN</t>
        </is>
      </c>
      <c r="E6776" t="inlineStr">
        <is>
          <t>NORDMALING</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52040-2025</t>
        </is>
      </c>
      <c r="B6777" s="1" t="n">
        <v>45952.61515046296</v>
      </c>
      <c r="C6777" s="1" t="n">
        <v>46075</v>
      </c>
      <c r="D6777" t="inlineStr">
        <is>
          <t>VÄSTERBOTTENS LÄN</t>
        </is>
      </c>
      <c r="E6777" t="inlineStr">
        <is>
          <t>SKELLEFTEÅ</t>
        </is>
      </c>
      <c r="G6777" t="n">
        <v>5.6</v>
      </c>
      <c r="H6777" t="n">
        <v>0</v>
      </c>
      <c r="I6777" t="n">
        <v>0</v>
      </c>
      <c r="J6777" t="n">
        <v>0</v>
      </c>
      <c r="K6777" t="n">
        <v>0</v>
      </c>
      <c r="L6777" t="n">
        <v>0</v>
      </c>
      <c r="M6777" t="n">
        <v>0</v>
      </c>
      <c r="N6777" t="n">
        <v>0</v>
      </c>
      <c r="O6777" t="n">
        <v>0</v>
      </c>
      <c r="P6777" t="n">
        <v>0</v>
      </c>
      <c r="Q6777" t="n">
        <v>0</v>
      </c>
      <c r="R6777" s="2" t="inlineStr"/>
    </row>
    <row r="6778" ht="15" customHeight="1">
      <c r="A6778" t="inlineStr">
        <is>
          <t>A 54463-2023</t>
        </is>
      </c>
      <c r="B6778" s="1" t="n">
        <v>45232</v>
      </c>
      <c r="C6778" s="1" t="n">
        <v>46075</v>
      </c>
      <c r="D6778" t="inlineStr">
        <is>
          <t>VÄSTERBOTTENS LÄN</t>
        </is>
      </c>
      <c r="E6778" t="inlineStr">
        <is>
          <t>MALÅ</t>
        </is>
      </c>
      <c r="G6778" t="n">
        <v>6</v>
      </c>
      <c r="H6778" t="n">
        <v>0</v>
      </c>
      <c r="I6778" t="n">
        <v>0</v>
      </c>
      <c r="J6778" t="n">
        <v>0</v>
      </c>
      <c r="K6778" t="n">
        <v>0</v>
      </c>
      <c r="L6778" t="n">
        <v>0</v>
      </c>
      <c r="M6778" t="n">
        <v>0</v>
      </c>
      <c r="N6778" t="n">
        <v>0</v>
      </c>
      <c r="O6778" t="n">
        <v>0</v>
      </c>
      <c r="P6778" t="n">
        <v>0</v>
      </c>
      <c r="Q6778" t="n">
        <v>0</v>
      </c>
      <c r="R6778" s="2" t="inlineStr"/>
    </row>
    <row r="6779" ht="15" customHeight="1">
      <c r="A6779" t="inlineStr">
        <is>
          <t>A 52835-2025</t>
        </is>
      </c>
      <c r="B6779" s="1" t="n">
        <v>45957.47133101852</v>
      </c>
      <c r="C6779" s="1" t="n">
        <v>46075</v>
      </c>
      <c r="D6779" t="inlineStr">
        <is>
          <t>VÄSTERBOTTENS LÄN</t>
        </is>
      </c>
      <c r="E6779" t="inlineStr">
        <is>
          <t>VÄNNÄS</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52882-2025</t>
        </is>
      </c>
      <c r="B6780" s="1" t="n">
        <v>45957.55465277778</v>
      </c>
      <c r="C6780" s="1" t="n">
        <v>46075</v>
      </c>
      <c r="D6780" t="inlineStr">
        <is>
          <t>VÄSTERBOTTENS LÄN</t>
        </is>
      </c>
      <c r="E6780" t="inlineStr">
        <is>
          <t>UMEÅ</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32618-2023</t>
        </is>
      </c>
      <c r="B6781" s="1" t="n">
        <v>45111</v>
      </c>
      <c r="C6781" s="1" t="n">
        <v>46075</v>
      </c>
      <c r="D6781" t="inlineStr">
        <is>
          <t>VÄSTERBOTTENS LÄN</t>
        </is>
      </c>
      <c r="E6781" t="inlineStr">
        <is>
          <t>MALÅ</t>
        </is>
      </c>
      <c r="G6781" t="n">
        <v>3.4</v>
      </c>
      <c r="H6781" t="n">
        <v>0</v>
      </c>
      <c r="I6781" t="n">
        <v>0</v>
      </c>
      <c r="J6781" t="n">
        <v>0</v>
      </c>
      <c r="K6781" t="n">
        <v>0</v>
      </c>
      <c r="L6781" t="n">
        <v>0</v>
      </c>
      <c r="M6781" t="n">
        <v>0</v>
      </c>
      <c r="N6781" t="n">
        <v>0</v>
      </c>
      <c r="O6781" t="n">
        <v>0</v>
      </c>
      <c r="P6781" t="n">
        <v>0</v>
      </c>
      <c r="Q6781" t="n">
        <v>0</v>
      </c>
      <c r="R6781" s="2" t="inlineStr"/>
    </row>
    <row r="6782" ht="15" customHeight="1">
      <c r="A6782" t="inlineStr">
        <is>
          <t>A 52945-2025</t>
        </is>
      </c>
      <c r="B6782" s="1" t="n">
        <v>45957.64722222222</v>
      </c>
      <c r="C6782" s="1" t="n">
        <v>46075</v>
      </c>
      <c r="D6782" t="inlineStr">
        <is>
          <t>VÄSTERBOTTENS LÄN</t>
        </is>
      </c>
      <c r="E6782" t="inlineStr">
        <is>
          <t>LYCKSELE</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18231-2025</t>
        </is>
      </c>
      <c r="B6783" s="1" t="n">
        <v>45761.87467592592</v>
      </c>
      <c r="C6783" s="1" t="n">
        <v>46075</v>
      </c>
      <c r="D6783" t="inlineStr">
        <is>
          <t>VÄSTERBOTTENS LÄN</t>
        </is>
      </c>
      <c r="E6783" t="inlineStr">
        <is>
          <t>VÄNNÄS</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52748-2025</t>
        </is>
      </c>
      <c r="B6784" s="1" t="n">
        <v>45957</v>
      </c>
      <c r="C6784" s="1" t="n">
        <v>46075</v>
      </c>
      <c r="D6784" t="inlineStr">
        <is>
          <t>VÄSTERBOTTENS LÄN</t>
        </is>
      </c>
      <c r="E6784" t="inlineStr">
        <is>
          <t>SKELLEFTEÅ</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56624-2024</t>
        </is>
      </c>
      <c r="B6785" s="1" t="n">
        <v>45625</v>
      </c>
      <c r="C6785" s="1" t="n">
        <v>46075</v>
      </c>
      <c r="D6785" t="inlineStr">
        <is>
          <t>VÄSTERBOTTENS LÄN</t>
        </is>
      </c>
      <c r="E6785" t="inlineStr">
        <is>
          <t>VILHELMINA</t>
        </is>
      </c>
      <c r="F6785" t="inlineStr">
        <is>
          <t>Allmännings- och besparingsskogar</t>
        </is>
      </c>
      <c r="G6785" t="n">
        <v>17.8</v>
      </c>
      <c r="H6785" t="n">
        <v>0</v>
      </c>
      <c r="I6785" t="n">
        <v>0</v>
      </c>
      <c r="J6785" t="n">
        <v>0</v>
      </c>
      <c r="K6785" t="n">
        <v>0</v>
      </c>
      <c r="L6785" t="n">
        <v>0</v>
      </c>
      <c r="M6785" t="n">
        <v>0</v>
      </c>
      <c r="N6785" t="n">
        <v>0</v>
      </c>
      <c r="O6785" t="n">
        <v>0</v>
      </c>
      <c r="P6785" t="n">
        <v>0</v>
      </c>
      <c r="Q6785" t="n">
        <v>0</v>
      </c>
      <c r="R6785" s="2" t="inlineStr"/>
    </row>
    <row r="6786" ht="15" customHeight="1">
      <c r="A6786" t="inlineStr">
        <is>
          <t>A 52663-2025</t>
        </is>
      </c>
      <c r="B6786" s="1" t="n">
        <v>45955.49012731481</v>
      </c>
      <c r="C6786" s="1" t="n">
        <v>46075</v>
      </c>
      <c r="D6786" t="inlineStr">
        <is>
          <t>VÄSTERBOTTENS LÄN</t>
        </is>
      </c>
      <c r="E6786" t="inlineStr">
        <is>
          <t>ÅSELE</t>
        </is>
      </c>
      <c r="F6786" t="inlineStr">
        <is>
          <t>SCA</t>
        </is>
      </c>
      <c r="G6786" t="n">
        <v>3</v>
      </c>
      <c r="H6786" t="n">
        <v>0</v>
      </c>
      <c r="I6786" t="n">
        <v>0</v>
      </c>
      <c r="J6786" t="n">
        <v>0</v>
      </c>
      <c r="K6786" t="n">
        <v>0</v>
      </c>
      <c r="L6786" t="n">
        <v>0</v>
      </c>
      <c r="M6786" t="n">
        <v>0</v>
      </c>
      <c r="N6786" t="n">
        <v>0</v>
      </c>
      <c r="O6786" t="n">
        <v>0</v>
      </c>
      <c r="P6786" t="n">
        <v>0</v>
      </c>
      <c r="Q6786" t="n">
        <v>0</v>
      </c>
      <c r="R6786" s="2" t="inlineStr"/>
    </row>
    <row r="6787" ht="15" customHeight="1">
      <c r="A6787" t="inlineStr">
        <is>
          <t>A 18979-2024</t>
        </is>
      </c>
      <c r="B6787" s="1" t="n">
        <v>45427</v>
      </c>
      <c r="C6787" s="1" t="n">
        <v>46075</v>
      </c>
      <c r="D6787" t="inlineStr">
        <is>
          <t>VÄSTERBOTTENS LÄN</t>
        </is>
      </c>
      <c r="E6787" t="inlineStr">
        <is>
          <t>SKELLEFTEÅ</t>
        </is>
      </c>
      <c r="G6787" t="n">
        <v>0.3</v>
      </c>
      <c r="H6787" t="n">
        <v>0</v>
      </c>
      <c r="I6787" t="n">
        <v>0</v>
      </c>
      <c r="J6787" t="n">
        <v>0</v>
      </c>
      <c r="K6787" t="n">
        <v>0</v>
      </c>
      <c r="L6787" t="n">
        <v>0</v>
      </c>
      <c r="M6787" t="n">
        <v>0</v>
      </c>
      <c r="N6787" t="n">
        <v>0</v>
      </c>
      <c r="O6787" t="n">
        <v>0</v>
      </c>
      <c r="P6787" t="n">
        <v>0</v>
      </c>
      <c r="Q6787" t="n">
        <v>0</v>
      </c>
      <c r="R6787" s="2" t="inlineStr"/>
    </row>
    <row r="6788" ht="15" customHeight="1">
      <c r="A6788" t="inlineStr">
        <is>
          <t>A 52845-2025</t>
        </is>
      </c>
      <c r="B6788" s="1" t="n">
        <v>45957.48430555555</v>
      </c>
      <c r="C6788" s="1" t="n">
        <v>46075</v>
      </c>
      <c r="D6788" t="inlineStr">
        <is>
          <t>VÄSTERBOTTENS LÄN</t>
        </is>
      </c>
      <c r="E6788" t="inlineStr">
        <is>
          <t>VÄNNÄS</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52916-2025</t>
        </is>
      </c>
      <c r="B6789" s="1" t="n">
        <v>45957.60758101852</v>
      </c>
      <c r="C6789" s="1" t="n">
        <v>46075</v>
      </c>
      <c r="D6789" t="inlineStr">
        <is>
          <t>VÄSTERBOTTENS LÄN</t>
        </is>
      </c>
      <c r="E6789" t="inlineStr">
        <is>
          <t>NORDMALING</t>
        </is>
      </c>
      <c r="G6789" t="n">
        <v>19.9</v>
      </c>
      <c r="H6789" t="n">
        <v>0</v>
      </c>
      <c r="I6789" t="n">
        <v>0</v>
      </c>
      <c r="J6789" t="n">
        <v>0</v>
      </c>
      <c r="K6789" t="n">
        <v>0</v>
      </c>
      <c r="L6789" t="n">
        <v>0</v>
      </c>
      <c r="M6789" t="n">
        <v>0</v>
      </c>
      <c r="N6789" t="n">
        <v>0</v>
      </c>
      <c r="O6789" t="n">
        <v>0</v>
      </c>
      <c r="P6789" t="n">
        <v>0</v>
      </c>
      <c r="Q6789" t="n">
        <v>0</v>
      </c>
      <c r="R6789" s="2" t="inlineStr"/>
    </row>
    <row r="6790" ht="15" customHeight="1">
      <c r="A6790" t="inlineStr">
        <is>
          <t>A 52934-2025</t>
        </is>
      </c>
      <c r="B6790" s="1" t="n">
        <v>45957.62625</v>
      </c>
      <c r="C6790" s="1" t="n">
        <v>46075</v>
      </c>
      <c r="D6790" t="inlineStr">
        <is>
          <t>VÄSTERBOTTENS LÄN</t>
        </is>
      </c>
      <c r="E6790" t="inlineStr">
        <is>
          <t>ROBERTSFORS</t>
        </is>
      </c>
      <c r="G6790" t="n">
        <v>3.3</v>
      </c>
      <c r="H6790" t="n">
        <v>0</v>
      </c>
      <c r="I6790" t="n">
        <v>0</v>
      </c>
      <c r="J6790" t="n">
        <v>0</v>
      </c>
      <c r="K6790" t="n">
        <v>0</v>
      </c>
      <c r="L6790" t="n">
        <v>0</v>
      </c>
      <c r="M6790" t="n">
        <v>0</v>
      </c>
      <c r="N6790" t="n">
        <v>0</v>
      </c>
      <c r="O6790" t="n">
        <v>0</v>
      </c>
      <c r="P6790" t="n">
        <v>0</v>
      </c>
      <c r="Q6790" t="n">
        <v>0</v>
      </c>
      <c r="R6790" s="2" t="inlineStr"/>
    </row>
    <row r="6791" ht="15" customHeight="1">
      <c r="A6791" t="inlineStr">
        <is>
          <t>A 52950-2025</t>
        </is>
      </c>
      <c r="B6791" s="1" t="n">
        <v>45957.65315972222</v>
      </c>
      <c r="C6791" s="1" t="n">
        <v>46075</v>
      </c>
      <c r="D6791" t="inlineStr">
        <is>
          <t>VÄSTERBOTTENS LÄN</t>
        </is>
      </c>
      <c r="E6791" t="inlineStr">
        <is>
          <t>LYCKSELE</t>
        </is>
      </c>
      <c r="G6791" t="n">
        <v>9.300000000000001</v>
      </c>
      <c r="H6791" t="n">
        <v>0</v>
      </c>
      <c r="I6791" t="n">
        <v>0</v>
      </c>
      <c r="J6791" t="n">
        <v>0</v>
      </c>
      <c r="K6791" t="n">
        <v>0</v>
      </c>
      <c r="L6791" t="n">
        <v>0</v>
      </c>
      <c r="M6791" t="n">
        <v>0</v>
      </c>
      <c r="N6791" t="n">
        <v>0</v>
      </c>
      <c r="O6791" t="n">
        <v>0</v>
      </c>
      <c r="P6791" t="n">
        <v>0</v>
      </c>
      <c r="Q6791" t="n">
        <v>0</v>
      </c>
      <c r="R6791" s="2" t="inlineStr"/>
    </row>
    <row r="6792" ht="15" customHeight="1">
      <c r="A6792" t="inlineStr">
        <is>
          <t>A 52956-2025</t>
        </is>
      </c>
      <c r="B6792" s="1" t="n">
        <v>45957.65681712963</v>
      </c>
      <c r="C6792" s="1" t="n">
        <v>46075</v>
      </c>
      <c r="D6792" t="inlineStr">
        <is>
          <t>VÄSTERBOTTENS LÄN</t>
        </is>
      </c>
      <c r="E6792" t="inlineStr">
        <is>
          <t>SKELLEFTEÅ</t>
        </is>
      </c>
      <c r="G6792" t="n">
        <v>9.1</v>
      </c>
      <c r="H6792" t="n">
        <v>0</v>
      </c>
      <c r="I6792" t="n">
        <v>0</v>
      </c>
      <c r="J6792" t="n">
        <v>0</v>
      </c>
      <c r="K6792" t="n">
        <v>0</v>
      </c>
      <c r="L6792" t="n">
        <v>0</v>
      </c>
      <c r="M6792" t="n">
        <v>0</v>
      </c>
      <c r="N6792" t="n">
        <v>0</v>
      </c>
      <c r="O6792" t="n">
        <v>0</v>
      </c>
      <c r="P6792" t="n">
        <v>0</v>
      </c>
      <c r="Q6792" t="n">
        <v>0</v>
      </c>
      <c r="R6792" s="2" t="inlineStr"/>
    </row>
    <row r="6793" ht="15" customHeight="1">
      <c r="A6793" t="inlineStr">
        <is>
          <t>A 52966-2025</t>
        </is>
      </c>
      <c r="B6793" s="1" t="n">
        <v>45957.66818287037</v>
      </c>
      <c r="C6793" s="1" t="n">
        <v>46075</v>
      </c>
      <c r="D6793" t="inlineStr">
        <is>
          <t>VÄSTERBOTTENS LÄN</t>
        </is>
      </c>
      <c r="E6793" t="inlineStr">
        <is>
          <t>UMEÅ</t>
        </is>
      </c>
      <c r="G6793" t="n">
        <v>3.6</v>
      </c>
      <c r="H6793" t="n">
        <v>0</v>
      </c>
      <c r="I6793" t="n">
        <v>0</v>
      </c>
      <c r="J6793" t="n">
        <v>0</v>
      </c>
      <c r="K6793" t="n">
        <v>0</v>
      </c>
      <c r="L6793" t="n">
        <v>0</v>
      </c>
      <c r="M6793" t="n">
        <v>0</v>
      </c>
      <c r="N6793" t="n">
        <v>0</v>
      </c>
      <c r="O6793" t="n">
        <v>0</v>
      </c>
      <c r="P6793" t="n">
        <v>0</v>
      </c>
      <c r="Q6793" t="n">
        <v>0</v>
      </c>
      <c r="R6793" s="2" t="inlineStr"/>
    </row>
    <row r="6794" ht="15" customHeight="1">
      <c r="A6794" t="inlineStr">
        <is>
          <t>A 52996-2025</t>
        </is>
      </c>
      <c r="B6794" s="1" t="n">
        <v>45957.73085648148</v>
      </c>
      <c r="C6794" s="1" t="n">
        <v>46075</v>
      </c>
      <c r="D6794" t="inlineStr">
        <is>
          <t>VÄSTERBOTTENS LÄN</t>
        </is>
      </c>
      <c r="E6794" t="inlineStr">
        <is>
          <t>UMEÅ</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53001-2025</t>
        </is>
      </c>
      <c r="B6795" s="1" t="n">
        <v>45957.7440162037</v>
      </c>
      <c r="C6795" s="1" t="n">
        <v>46075</v>
      </c>
      <c r="D6795" t="inlineStr">
        <is>
          <t>VÄSTERBOTTENS LÄN</t>
        </is>
      </c>
      <c r="E6795" t="inlineStr">
        <is>
          <t>NORDMALING</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57848-2022</t>
        </is>
      </c>
      <c r="B6796" s="1" t="n">
        <v>44898.00032407408</v>
      </c>
      <c r="C6796" s="1" t="n">
        <v>46075</v>
      </c>
      <c r="D6796" t="inlineStr">
        <is>
          <t>VÄSTERBOTTENS LÄN</t>
        </is>
      </c>
      <c r="E6796" t="inlineStr">
        <is>
          <t>SKELLEFTEÅ</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35227-2023</t>
        </is>
      </c>
      <c r="B6797" s="1" t="n">
        <v>45145.64986111111</v>
      </c>
      <c r="C6797" s="1" t="n">
        <v>46075</v>
      </c>
      <c r="D6797" t="inlineStr">
        <is>
          <t>VÄSTERBOTTENS LÄN</t>
        </is>
      </c>
      <c r="E6797" t="inlineStr">
        <is>
          <t>LYCKSELE</t>
        </is>
      </c>
      <c r="F6797" t="inlineStr">
        <is>
          <t>Sveaskog</t>
        </is>
      </c>
      <c r="G6797" t="n">
        <v>4.6</v>
      </c>
      <c r="H6797" t="n">
        <v>0</v>
      </c>
      <c r="I6797" t="n">
        <v>0</v>
      </c>
      <c r="J6797" t="n">
        <v>0</v>
      </c>
      <c r="K6797" t="n">
        <v>0</v>
      </c>
      <c r="L6797" t="n">
        <v>0</v>
      </c>
      <c r="M6797" t="n">
        <v>0</v>
      </c>
      <c r="N6797" t="n">
        <v>0</v>
      </c>
      <c r="O6797" t="n">
        <v>0</v>
      </c>
      <c r="P6797" t="n">
        <v>0</v>
      </c>
      <c r="Q6797" t="n">
        <v>0</v>
      </c>
      <c r="R6797" s="2" t="inlineStr"/>
    </row>
    <row r="6798" ht="15" customHeight="1">
      <c r="A6798" t="inlineStr">
        <is>
          <t>A 52398-2025</t>
        </is>
      </c>
      <c r="B6798" s="1" t="n">
        <v>45954.34572916666</v>
      </c>
      <c r="C6798" s="1" t="n">
        <v>46075</v>
      </c>
      <c r="D6798" t="inlineStr">
        <is>
          <t>VÄSTERBOTTENS LÄN</t>
        </is>
      </c>
      <c r="E6798" t="inlineStr">
        <is>
          <t>VILHELMINA</t>
        </is>
      </c>
      <c r="F6798" t="inlineStr">
        <is>
          <t>Sveaskog</t>
        </is>
      </c>
      <c r="G6798" t="n">
        <v>4</v>
      </c>
      <c r="H6798" t="n">
        <v>0</v>
      </c>
      <c r="I6798" t="n">
        <v>0</v>
      </c>
      <c r="J6798" t="n">
        <v>0</v>
      </c>
      <c r="K6798" t="n">
        <v>0</v>
      </c>
      <c r="L6798" t="n">
        <v>0</v>
      </c>
      <c r="M6798" t="n">
        <v>0</v>
      </c>
      <c r="N6798" t="n">
        <v>0</v>
      </c>
      <c r="O6798" t="n">
        <v>0</v>
      </c>
      <c r="P6798" t="n">
        <v>0</v>
      </c>
      <c r="Q6798" t="n">
        <v>0</v>
      </c>
      <c r="R6798" s="2" t="inlineStr"/>
    </row>
    <row r="6799" ht="15" customHeight="1">
      <c r="A6799" t="inlineStr">
        <is>
          <t>A 1856-2023</t>
        </is>
      </c>
      <c r="B6799" s="1" t="n">
        <v>44938</v>
      </c>
      <c r="C6799" s="1" t="n">
        <v>46075</v>
      </c>
      <c r="D6799" t="inlineStr">
        <is>
          <t>VÄSTERBOTTENS LÄN</t>
        </is>
      </c>
      <c r="E6799" t="inlineStr">
        <is>
          <t>NORDMALING</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1859-2023</t>
        </is>
      </c>
      <c r="B6800" s="1" t="n">
        <v>44938.92320601852</v>
      </c>
      <c r="C6800" s="1" t="n">
        <v>46075</v>
      </c>
      <c r="D6800" t="inlineStr">
        <is>
          <t>VÄSTERBOTTENS LÄN</t>
        </is>
      </c>
      <c r="E6800" t="inlineStr">
        <is>
          <t>SKELLEFTEÅ</t>
        </is>
      </c>
      <c r="G6800" t="n">
        <v>2.8</v>
      </c>
      <c r="H6800" t="n">
        <v>0</v>
      </c>
      <c r="I6800" t="n">
        <v>0</v>
      </c>
      <c r="J6800" t="n">
        <v>0</v>
      </c>
      <c r="K6800" t="n">
        <v>0</v>
      </c>
      <c r="L6800" t="n">
        <v>0</v>
      </c>
      <c r="M6800" t="n">
        <v>0</v>
      </c>
      <c r="N6800" t="n">
        <v>0</v>
      </c>
      <c r="O6800" t="n">
        <v>0</v>
      </c>
      <c r="P6800" t="n">
        <v>0</v>
      </c>
      <c r="Q6800" t="n">
        <v>0</v>
      </c>
      <c r="R6800" s="2" t="inlineStr"/>
    </row>
    <row r="6801" ht="15" customHeight="1">
      <c r="A6801" t="inlineStr">
        <is>
          <t>A 5013-2024</t>
        </is>
      </c>
      <c r="B6801" s="1" t="n">
        <v>45329</v>
      </c>
      <c r="C6801" s="1" t="n">
        <v>46075</v>
      </c>
      <c r="D6801" t="inlineStr">
        <is>
          <t>VÄSTERBOTTENS LÄN</t>
        </is>
      </c>
      <c r="E6801" t="inlineStr">
        <is>
          <t>ÅSELE</t>
        </is>
      </c>
      <c r="F6801" t="inlineStr">
        <is>
          <t>Övriga Aktiebolag</t>
        </is>
      </c>
      <c r="G6801" t="n">
        <v>5</v>
      </c>
      <c r="H6801" t="n">
        <v>0</v>
      </c>
      <c r="I6801" t="n">
        <v>0</v>
      </c>
      <c r="J6801" t="n">
        <v>0</v>
      </c>
      <c r="K6801" t="n">
        <v>0</v>
      </c>
      <c r="L6801" t="n">
        <v>0</v>
      </c>
      <c r="M6801" t="n">
        <v>0</v>
      </c>
      <c r="N6801" t="n">
        <v>0</v>
      </c>
      <c r="O6801" t="n">
        <v>0</v>
      </c>
      <c r="P6801" t="n">
        <v>0</v>
      </c>
      <c r="Q6801" t="n">
        <v>0</v>
      </c>
      <c r="R6801" s="2" t="inlineStr"/>
    </row>
    <row r="6802" ht="15" customHeight="1">
      <c r="A6802" t="inlineStr">
        <is>
          <t>A 26154-2023</t>
        </is>
      </c>
      <c r="B6802" s="1" t="n">
        <v>45091.50071759259</v>
      </c>
      <c r="C6802" s="1" t="n">
        <v>46075</v>
      </c>
      <c r="D6802" t="inlineStr">
        <is>
          <t>VÄSTERBOTTENS LÄN</t>
        </is>
      </c>
      <c r="E6802" t="inlineStr">
        <is>
          <t>SKELLEFTEÅ</t>
        </is>
      </c>
      <c r="G6802" t="n">
        <v>8.1</v>
      </c>
      <c r="H6802" t="n">
        <v>0</v>
      </c>
      <c r="I6802" t="n">
        <v>0</v>
      </c>
      <c r="J6802" t="n">
        <v>0</v>
      </c>
      <c r="K6802" t="n">
        <v>0</v>
      </c>
      <c r="L6802" t="n">
        <v>0</v>
      </c>
      <c r="M6802" t="n">
        <v>0</v>
      </c>
      <c r="N6802" t="n">
        <v>0</v>
      </c>
      <c r="O6802" t="n">
        <v>0</v>
      </c>
      <c r="P6802" t="n">
        <v>0</v>
      </c>
      <c r="Q6802" t="n">
        <v>0</v>
      </c>
      <c r="R6802" s="2" t="inlineStr"/>
    </row>
    <row r="6803" ht="15" customHeight="1">
      <c r="A6803" t="inlineStr">
        <is>
          <t>A 52864-2025</t>
        </is>
      </c>
      <c r="B6803" s="1" t="n">
        <v>45954</v>
      </c>
      <c r="C6803" s="1" t="n">
        <v>46075</v>
      </c>
      <c r="D6803" t="inlineStr">
        <is>
          <t>VÄSTERBOTTENS LÄN</t>
        </is>
      </c>
      <c r="E6803" t="inlineStr">
        <is>
          <t>SKELLEFTEÅ</t>
        </is>
      </c>
      <c r="G6803" t="n">
        <v>5.4</v>
      </c>
      <c r="H6803" t="n">
        <v>0</v>
      </c>
      <c r="I6803" t="n">
        <v>0</v>
      </c>
      <c r="J6803" t="n">
        <v>0</v>
      </c>
      <c r="K6803" t="n">
        <v>0</v>
      </c>
      <c r="L6803" t="n">
        <v>0</v>
      </c>
      <c r="M6803" t="n">
        <v>0</v>
      </c>
      <c r="N6803" t="n">
        <v>0</v>
      </c>
      <c r="O6803" t="n">
        <v>0</v>
      </c>
      <c r="P6803" t="n">
        <v>0</v>
      </c>
      <c r="Q6803" t="n">
        <v>0</v>
      </c>
      <c r="R6803" s="2" t="inlineStr"/>
    </row>
    <row r="6804" ht="15" customHeight="1">
      <c r="A6804" t="inlineStr">
        <is>
          <t>A 52872-2025</t>
        </is>
      </c>
      <c r="B6804" s="1" t="n">
        <v>45957.52386574074</v>
      </c>
      <c r="C6804" s="1" t="n">
        <v>46075</v>
      </c>
      <c r="D6804" t="inlineStr">
        <is>
          <t>VÄSTERBOTTENS LÄN</t>
        </is>
      </c>
      <c r="E6804" t="inlineStr">
        <is>
          <t>SKELLEFTEÅ</t>
        </is>
      </c>
      <c r="F6804" t="inlineStr">
        <is>
          <t>Holmen skog AB</t>
        </is>
      </c>
      <c r="G6804" t="n">
        <v>3.6</v>
      </c>
      <c r="H6804" t="n">
        <v>0</v>
      </c>
      <c r="I6804" t="n">
        <v>0</v>
      </c>
      <c r="J6804" t="n">
        <v>0</v>
      </c>
      <c r="K6804" t="n">
        <v>0</v>
      </c>
      <c r="L6804" t="n">
        <v>0</v>
      </c>
      <c r="M6804" t="n">
        <v>0</v>
      </c>
      <c r="N6804" t="n">
        <v>0</v>
      </c>
      <c r="O6804" t="n">
        <v>0</v>
      </c>
      <c r="P6804" t="n">
        <v>0</v>
      </c>
      <c r="Q6804" t="n">
        <v>0</v>
      </c>
      <c r="R6804" s="2" t="inlineStr"/>
    </row>
    <row r="6805" ht="15" customHeight="1">
      <c r="A6805" t="inlineStr">
        <is>
          <t>A 50652-2021</t>
        </is>
      </c>
      <c r="B6805" s="1" t="n">
        <v>44459.92047453704</v>
      </c>
      <c r="C6805" s="1" t="n">
        <v>46075</v>
      </c>
      <c r="D6805" t="inlineStr">
        <is>
          <t>VÄSTERBOTTENS LÄN</t>
        </is>
      </c>
      <c r="E6805" t="inlineStr">
        <is>
          <t>LYCKSELE</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52565-2025</t>
        </is>
      </c>
      <c r="B6806" s="1" t="n">
        <v>45954.59429398148</v>
      </c>
      <c r="C6806" s="1" t="n">
        <v>46075</v>
      </c>
      <c r="D6806" t="inlineStr">
        <is>
          <t>VÄSTERBOTTENS LÄN</t>
        </is>
      </c>
      <c r="E6806" t="inlineStr">
        <is>
          <t>VILHELMINA</t>
        </is>
      </c>
      <c r="F6806" t="inlineStr">
        <is>
          <t>SCA</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52926-2025</t>
        </is>
      </c>
      <c r="B6807" s="1" t="n">
        <v>45957.6184375</v>
      </c>
      <c r="C6807" s="1" t="n">
        <v>46075</v>
      </c>
      <c r="D6807" t="inlineStr">
        <is>
          <t>VÄSTERBOTTENS LÄN</t>
        </is>
      </c>
      <c r="E6807" t="inlineStr">
        <is>
          <t>UMEÅ</t>
        </is>
      </c>
      <c r="G6807" t="n">
        <v>7.1</v>
      </c>
      <c r="H6807" t="n">
        <v>0</v>
      </c>
      <c r="I6807" t="n">
        <v>0</v>
      </c>
      <c r="J6807" t="n">
        <v>0</v>
      </c>
      <c r="K6807" t="n">
        <v>0</v>
      </c>
      <c r="L6807" t="n">
        <v>0</v>
      </c>
      <c r="M6807" t="n">
        <v>0</v>
      </c>
      <c r="N6807" t="n">
        <v>0</v>
      </c>
      <c r="O6807" t="n">
        <v>0</v>
      </c>
      <c r="P6807" t="n">
        <v>0</v>
      </c>
      <c r="Q6807" t="n">
        <v>0</v>
      </c>
      <c r="R6807" s="2" t="inlineStr"/>
    </row>
    <row r="6808" ht="15" customHeight="1">
      <c r="A6808" t="inlineStr">
        <is>
          <t>A 52928-2025</t>
        </is>
      </c>
      <c r="B6808" s="1" t="n">
        <v>45957.62016203703</v>
      </c>
      <c r="C6808" s="1" t="n">
        <v>46075</v>
      </c>
      <c r="D6808" t="inlineStr">
        <is>
          <t>VÄSTERBOTTENS LÄN</t>
        </is>
      </c>
      <c r="E6808" t="inlineStr">
        <is>
          <t>UMEÅ</t>
        </is>
      </c>
      <c r="G6808" t="n">
        <v>4.9</v>
      </c>
      <c r="H6808" t="n">
        <v>0</v>
      </c>
      <c r="I6808" t="n">
        <v>0</v>
      </c>
      <c r="J6808" t="n">
        <v>0</v>
      </c>
      <c r="K6808" t="n">
        <v>0</v>
      </c>
      <c r="L6808" t="n">
        <v>0</v>
      </c>
      <c r="M6808" t="n">
        <v>0</v>
      </c>
      <c r="N6808" t="n">
        <v>0</v>
      </c>
      <c r="O6808" t="n">
        <v>0</v>
      </c>
      <c r="P6808" t="n">
        <v>0</v>
      </c>
      <c r="Q6808" t="n">
        <v>0</v>
      </c>
      <c r="R6808" s="2" t="inlineStr"/>
    </row>
    <row r="6809" ht="15" customHeight="1">
      <c r="A6809" t="inlineStr">
        <is>
          <t>A 5876-2025</t>
        </is>
      </c>
      <c r="B6809" s="1" t="n">
        <v>45694</v>
      </c>
      <c r="C6809" s="1" t="n">
        <v>46075</v>
      </c>
      <c r="D6809" t="inlineStr">
        <is>
          <t>VÄSTERBOTTENS LÄN</t>
        </is>
      </c>
      <c r="E6809" t="inlineStr">
        <is>
          <t>SKELLEFTEÅ</t>
        </is>
      </c>
      <c r="G6809" t="n">
        <v>60.7</v>
      </c>
      <c r="H6809" t="n">
        <v>0</v>
      </c>
      <c r="I6809" t="n">
        <v>0</v>
      </c>
      <c r="J6809" t="n">
        <v>0</v>
      </c>
      <c r="K6809" t="n">
        <v>0</v>
      </c>
      <c r="L6809" t="n">
        <v>0</v>
      </c>
      <c r="M6809" t="n">
        <v>0</v>
      </c>
      <c r="N6809" t="n">
        <v>0</v>
      </c>
      <c r="O6809" t="n">
        <v>0</v>
      </c>
      <c r="P6809" t="n">
        <v>0</v>
      </c>
      <c r="Q6809" t="n">
        <v>0</v>
      </c>
      <c r="R6809" s="2" t="inlineStr"/>
    </row>
    <row r="6810" ht="15" customHeight="1">
      <c r="A6810" t="inlineStr">
        <is>
          <t>A 55740-2023</t>
        </is>
      </c>
      <c r="B6810" s="1" t="n">
        <v>45239.43872685185</v>
      </c>
      <c r="C6810" s="1" t="n">
        <v>46075</v>
      </c>
      <c r="D6810" t="inlineStr">
        <is>
          <t>VÄSTERBOTTENS LÄN</t>
        </is>
      </c>
      <c r="E6810" t="inlineStr">
        <is>
          <t>NORDMALING</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52919-2025</t>
        </is>
      </c>
      <c r="B6811" s="1" t="n">
        <v>45957.61322916667</v>
      </c>
      <c r="C6811" s="1" t="n">
        <v>46075</v>
      </c>
      <c r="D6811" t="inlineStr">
        <is>
          <t>VÄSTERBOTTENS LÄN</t>
        </is>
      </c>
      <c r="E6811" t="inlineStr">
        <is>
          <t>UMEÅ</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52589-2025</t>
        </is>
      </c>
      <c r="B6812" s="1" t="n">
        <v>45954</v>
      </c>
      <c r="C6812" s="1" t="n">
        <v>46075</v>
      </c>
      <c r="D6812" t="inlineStr">
        <is>
          <t>VÄSTERBOTTENS LÄN</t>
        </is>
      </c>
      <c r="E6812" t="inlineStr">
        <is>
          <t>NORSJÖ</t>
        </is>
      </c>
      <c r="F6812" t="inlineStr">
        <is>
          <t>Holmen skog AB</t>
        </is>
      </c>
      <c r="G6812" t="n">
        <v>7</v>
      </c>
      <c r="H6812" t="n">
        <v>0</v>
      </c>
      <c r="I6812" t="n">
        <v>0</v>
      </c>
      <c r="J6812" t="n">
        <v>0</v>
      </c>
      <c r="K6812" t="n">
        <v>0</v>
      </c>
      <c r="L6812" t="n">
        <v>0</v>
      </c>
      <c r="M6812" t="n">
        <v>0</v>
      </c>
      <c r="N6812" t="n">
        <v>0</v>
      </c>
      <c r="O6812" t="n">
        <v>0</v>
      </c>
      <c r="P6812" t="n">
        <v>0</v>
      </c>
      <c r="Q6812" t="n">
        <v>0</v>
      </c>
      <c r="R6812" s="2" t="inlineStr"/>
    </row>
    <row r="6813" ht="15" customHeight="1">
      <c r="A6813" t="inlineStr">
        <is>
          <t>A 52592-2025</t>
        </is>
      </c>
      <c r="B6813" s="1" t="n">
        <v>45954.63608796296</v>
      </c>
      <c r="C6813" s="1" t="n">
        <v>46075</v>
      </c>
      <c r="D6813" t="inlineStr">
        <is>
          <t>VÄSTERBOTTENS LÄN</t>
        </is>
      </c>
      <c r="E6813" t="inlineStr">
        <is>
          <t>LYCKSELE</t>
        </is>
      </c>
      <c r="G6813" t="n">
        <v>2.6</v>
      </c>
      <c r="H6813" t="n">
        <v>0</v>
      </c>
      <c r="I6813" t="n">
        <v>0</v>
      </c>
      <c r="J6813" t="n">
        <v>0</v>
      </c>
      <c r="K6813" t="n">
        <v>0</v>
      </c>
      <c r="L6813" t="n">
        <v>0</v>
      </c>
      <c r="M6813" t="n">
        <v>0</v>
      </c>
      <c r="N6813" t="n">
        <v>0</v>
      </c>
      <c r="O6813" t="n">
        <v>0</v>
      </c>
      <c r="P6813" t="n">
        <v>0</v>
      </c>
      <c r="Q6813" t="n">
        <v>0</v>
      </c>
      <c r="R6813" s="2" t="inlineStr"/>
    </row>
    <row r="6814" ht="15" customHeight="1">
      <c r="A6814" t="inlineStr">
        <is>
          <t>A 35497-2023</t>
        </is>
      </c>
      <c r="B6814" s="1" t="n">
        <v>45146</v>
      </c>
      <c r="C6814" s="1" t="n">
        <v>46075</v>
      </c>
      <c r="D6814" t="inlineStr">
        <is>
          <t>VÄSTERBOTTENS LÄN</t>
        </is>
      </c>
      <c r="E6814" t="inlineStr">
        <is>
          <t>ROBERTSFORS</t>
        </is>
      </c>
      <c r="G6814" t="n">
        <v>0.2</v>
      </c>
      <c r="H6814" t="n">
        <v>0</v>
      </c>
      <c r="I6814" t="n">
        <v>0</v>
      </c>
      <c r="J6814" t="n">
        <v>0</v>
      </c>
      <c r="K6814" t="n">
        <v>0</v>
      </c>
      <c r="L6814" t="n">
        <v>0</v>
      </c>
      <c r="M6814" t="n">
        <v>0</v>
      </c>
      <c r="N6814" t="n">
        <v>0</v>
      </c>
      <c r="O6814" t="n">
        <v>0</v>
      </c>
      <c r="P6814" t="n">
        <v>0</v>
      </c>
      <c r="Q6814" t="n">
        <v>0</v>
      </c>
      <c r="R6814" s="2" t="inlineStr"/>
    </row>
    <row r="6815" ht="15" customHeight="1">
      <c r="A6815" t="inlineStr">
        <is>
          <t>A 52661-2025</t>
        </is>
      </c>
      <c r="B6815" s="1" t="n">
        <v>45955.46943287037</v>
      </c>
      <c r="C6815" s="1" t="n">
        <v>46075</v>
      </c>
      <c r="D6815" t="inlineStr">
        <is>
          <t>VÄSTERBOTTENS LÄN</t>
        </is>
      </c>
      <c r="E6815" t="inlineStr">
        <is>
          <t>SKELLEFTEÅ</t>
        </is>
      </c>
      <c r="F6815" t="inlineStr">
        <is>
          <t>SCA</t>
        </is>
      </c>
      <c r="G6815" t="n">
        <v>3.7</v>
      </c>
      <c r="H6815" t="n">
        <v>0</v>
      </c>
      <c r="I6815" t="n">
        <v>0</v>
      </c>
      <c r="J6815" t="n">
        <v>0</v>
      </c>
      <c r="K6815" t="n">
        <v>0</v>
      </c>
      <c r="L6815" t="n">
        <v>0</v>
      </c>
      <c r="M6815" t="n">
        <v>0</v>
      </c>
      <c r="N6815" t="n">
        <v>0</v>
      </c>
      <c r="O6815" t="n">
        <v>0</v>
      </c>
      <c r="P6815" t="n">
        <v>0</v>
      </c>
      <c r="Q6815" t="n">
        <v>0</v>
      </c>
      <c r="R6815" s="2" t="inlineStr"/>
    </row>
    <row r="6816" ht="15" customHeight="1">
      <c r="A6816" t="inlineStr">
        <is>
          <t>A 28160-2023</t>
        </is>
      </c>
      <c r="B6816" s="1" t="n">
        <v>45099.49787037037</v>
      </c>
      <c r="C6816" s="1" t="n">
        <v>46075</v>
      </c>
      <c r="D6816" t="inlineStr">
        <is>
          <t>VÄSTERBOTTENS LÄN</t>
        </is>
      </c>
      <c r="E6816" t="inlineStr">
        <is>
          <t>SKELLEFTEÅ</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52664-2025</t>
        </is>
      </c>
      <c r="B6817" s="1" t="n">
        <v>45955.61505787037</v>
      </c>
      <c r="C6817" s="1" t="n">
        <v>46075</v>
      </c>
      <c r="D6817" t="inlineStr">
        <is>
          <t>VÄSTERBOTTENS LÄN</t>
        </is>
      </c>
      <c r="E6817" t="inlineStr">
        <is>
          <t>ÅSELE</t>
        </is>
      </c>
      <c r="F6817" t="inlineStr">
        <is>
          <t>SCA</t>
        </is>
      </c>
      <c r="G6817" t="n">
        <v>2.6</v>
      </c>
      <c r="H6817" t="n">
        <v>0</v>
      </c>
      <c r="I6817" t="n">
        <v>0</v>
      </c>
      <c r="J6817" t="n">
        <v>0</v>
      </c>
      <c r="K6817" t="n">
        <v>0</v>
      </c>
      <c r="L6817" t="n">
        <v>0</v>
      </c>
      <c r="M6817" t="n">
        <v>0</v>
      </c>
      <c r="N6817" t="n">
        <v>0</v>
      </c>
      <c r="O6817" t="n">
        <v>0</v>
      </c>
      <c r="P6817" t="n">
        <v>0</v>
      </c>
      <c r="Q6817" t="n">
        <v>0</v>
      </c>
      <c r="R6817" s="2" t="inlineStr"/>
    </row>
    <row r="6818" ht="15" customHeight="1">
      <c r="A6818" t="inlineStr">
        <is>
          <t>A 52984-2025</t>
        </is>
      </c>
      <c r="B6818" s="1" t="n">
        <v>45957</v>
      </c>
      <c r="C6818" s="1" t="n">
        <v>46075</v>
      </c>
      <c r="D6818" t="inlineStr">
        <is>
          <t>VÄSTERBOTTENS LÄN</t>
        </is>
      </c>
      <c r="E6818" t="inlineStr">
        <is>
          <t>SKELLEFTEÅ</t>
        </is>
      </c>
      <c r="G6818" t="n">
        <v>5</v>
      </c>
      <c r="H6818" t="n">
        <v>0</v>
      </c>
      <c r="I6818" t="n">
        <v>0</v>
      </c>
      <c r="J6818" t="n">
        <v>0</v>
      </c>
      <c r="K6818" t="n">
        <v>0</v>
      </c>
      <c r="L6818" t="n">
        <v>0</v>
      </c>
      <c r="M6818" t="n">
        <v>0</v>
      </c>
      <c r="N6818" t="n">
        <v>0</v>
      </c>
      <c r="O6818" t="n">
        <v>0</v>
      </c>
      <c r="P6818" t="n">
        <v>0</v>
      </c>
      <c r="Q6818" t="n">
        <v>0</v>
      </c>
      <c r="R6818" s="2" t="inlineStr"/>
    </row>
    <row r="6819" ht="15" customHeight="1">
      <c r="A6819" t="inlineStr">
        <is>
          <t>A 52441-2025</t>
        </is>
      </c>
      <c r="B6819" s="1" t="n">
        <v>45954.41210648148</v>
      </c>
      <c r="C6819" s="1" t="n">
        <v>46075</v>
      </c>
      <c r="D6819" t="inlineStr">
        <is>
          <t>VÄSTERBOTTENS LÄN</t>
        </is>
      </c>
      <c r="E6819" t="inlineStr">
        <is>
          <t>NORSJÖ</t>
        </is>
      </c>
      <c r="F6819" t="inlineStr">
        <is>
          <t>Holmen skog AB</t>
        </is>
      </c>
      <c r="G6819" t="n">
        <v>6.6</v>
      </c>
      <c r="H6819" t="n">
        <v>0</v>
      </c>
      <c r="I6819" t="n">
        <v>0</v>
      </c>
      <c r="J6819" t="n">
        <v>0</v>
      </c>
      <c r="K6819" t="n">
        <v>0</v>
      </c>
      <c r="L6819" t="n">
        <v>0</v>
      </c>
      <c r="M6819" t="n">
        <v>0</v>
      </c>
      <c r="N6819" t="n">
        <v>0</v>
      </c>
      <c r="O6819" t="n">
        <v>0</v>
      </c>
      <c r="P6819" t="n">
        <v>0</v>
      </c>
      <c r="Q6819" t="n">
        <v>0</v>
      </c>
      <c r="R6819" s="2" t="inlineStr"/>
    </row>
    <row r="6820" ht="15" customHeight="1">
      <c r="A6820" t="inlineStr">
        <is>
          <t>A 52710-2025</t>
        </is>
      </c>
      <c r="B6820" s="1" t="n">
        <v>45957.29408564815</v>
      </c>
      <c r="C6820" s="1" t="n">
        <v>46075</v>
      </c>
      <c r="D6820" t="inlineStr">
        <is>
          <t>VÄSTERBOTTENS LÄN</t>
        </is>
      </c>
      <c r="E6820" t="inlineStr">
        <is>
          <t>UMEÅ</t>
        </is>
      </c>
      <c r="G6820" t="n">
        <v>4.4</v>
      </c>
      <c r="H6820" t="n">
        <v>0</v>
      </c>
      <c r="I6820" t="n">
        <v>0</v>
      </c>
      <c r="J6820" t="n">
        <v>0</v>
      </c>
      <c r="K6820" t="n">
        <v>0</v>
      </c>
      <c r="L6820" t="n">
        <v>0</v>
      </c>
      <c r="M6820" t="n">
        <v>0</v>
      </c>
      <c r="N6820" t="n">
        <v>0</v>
      </c>
      <c r="O6820" t="n">
        <v>0</v>
      </c>
      <c r="P6820" t="n">
        <v>0</v>
      </c>
      <c r="Q6820" t="n">
        <v>0</v>
      </c>
      <c r="R6820" s="2" t="inlineStr"/>
    </row>
    <row r="6821" ht="15" customHeight="1">
      <c r="A6821" t="inlineStr">
        <is>
          <t>A 9169-2025</t>
        </is>
      </c>
      <c r="B6821" s="1" t="n">
        <v>45714.39142361111</v>
      </c>
      <c r="C6821" s="1" t="n">
        <v>46075</v>
      </c>
      <c r="D6821" t="inlineStr">
        <is>
          <t>VÄSTERBOTTENS LÄN</t>
        </is>
      </c>
      <c r="E6821" t="inlineStr">
        <is>
          <t>UMEÅ</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52632-2025</t>
        </is>
      </c>
      <c r="B6822" s="1" t="n">
        <v>45954.71922453704</v>
      </c>
      <c r="C6822" s="1" t="n">
        <v>46075</v>
      </c>
      <c r="D6822" t="inlineStr">
        <is>
          <t>VÄSTERBOTTENS LÄN</t>
        </is>
      </c>
      <c r="E6822" t="inlineStr">
        <is>
          <t>ÅSELE</t>
        </is>
      </c>
      <c r="F6822" t="inlineStr">
        <is>
          <t>SCA</t>
        </is>
      </c>
      <c r="G6822" t="n">
        <v>3.2</v>
      </c>
      <c r="H6822" t="n">
        <v>0</v>
      </c>
      <c r="I6822" t="n">
        <v>0</v>
      </c>
      <c r="J6822" t="n">
        <v>0</v>
      </c>
      <c r="K6822" t="n">
        <v>0</v>
      </c>
      <c r="L6822" t="n">
        <v>0</v>
      </c>
      <c r="M6822" t="n">
        <v>0</v>
      </c>
      <c r="N6822" t="n">
        <v>0</v>
      </c>
      <c r="O6822" t="n">
        <v>0</v>
      </c>
      <c r="P6822" t="n">
        <v>0</v>
      </c>
      <c r="Q6822" t="n">
        <v>0</v>
      </c>
      <c r="R6822" s="2" t="inlineStr"/>
    </row>
    <row r="6823" ht="15" customHeight="1">
      <c r="A6823" t="inlineStr">
        <is>
          <t>A 52660-2025</t>
        </is>
      </c>
      <c r="B6823" s="1" t="n">
        <v>45955.46928240741</v>
      </c>
      <c r="C6823" s="1" t="n">
        <v>46075</v>
      </c>
      <c r="D6823" t="inlineStr">
        <is>
          <t>VÄSTERBOTTENS LÄN</t>
        </is>
      </c>
      <c r="E6823" t="inlineStr">
        <is>
          <t>SKELLEFTEÅ</t>
        </is>
      </c>
      <c r="F6823" t="inlineStr">
        <is>
          <t>SCA</t>
        </is>
      </c>
      <c r="G6823" t="n">
        <v>3.4</v>
      </c>
      <c r="H6823" t="n">
        <v>0</v>
      </c>
      <c r="I6823" t="n">
        <v>0</v>
      </c>
      <c r="J6823" t="n">
        <v>0</v>
      </c>
      <c r="K6823" t="n">
        <v>0</v>
      </c>
      <c r="L6823" t="n">
        <v>0</v>
      </c>
      <c r="M6823" t="n">
        <v>0</v>
      </c>
      <c r="N6823" t="n">
        <v>0</v>
      </c>
      <c r="O6823" t="n">
        <v>0</v>
      </c>
      <c r="P6823" t="n">
        <v>0</v>
      </c>
      <c r="Q6823" t="n">
        <v>0</v>
      </c>
      <c r="R6823" s="2" t="inlineStr"/>
    </row>
    <row r="6824" ht="15" customHeight="1">
      <c r="A6824" t="inlineStr">
        <is>
          <t>A 28192-2023</t>
        </is>
      </c>
      <c r="B6824" s="1" t="n">
        <v>45096</v>
      </c>
      <c r="C6824" s="1" t="n">
        <v>46075</v>
      </c>
      <c r="D6824" t="inlineStr">
        <is>
          <t>VÄSTERBOTTENS LÄN</t>
        </is>
      </c>
      <c r="E6824" t="inlineStr">
        <is>
          <t>SKELLEFTEÅ</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49949-2023</t>
        </is>
      </c>
      <c r="B6825" s="1" t="n">
        <v>45215.36532407408</v>
      </c>
      <c r="C6825" s="1" t="n">
        <v>46075</v>
      </c>
      <c r="D6825" t="inlineStr">
        <is>
          <t>VÄSTERBOTTENS LÄN</t>
        </is>
      </c>
      <c r="E6825" t="inlineStr">
        <is>
          <t>SKELLEFTEÅ</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5783-2023</t>
        </is>
      </c>
      <c r="B6826" s="1" t="n">
        <v>44963</v>
      </c>
      <c r="C6826" s="1" t="n">
        <v>46075</v>
      </c>
      <c r="D6826" t="inlineStr">
        <is>
          <t>VÄSTERBOTTENS LÄN</t>
        </is>
      </c>
      <c r="E6826" t="inlineStr">
        <is>
          <t>VINDELN</t>
        </is>
      </c>
      <c r="G6826" t="n">
        <v>3.3</v>
      </c>
      <c r="H6826" t="n">
        <v>0</v>
      </c>
      <c r="I6826" t="n">
        <v>0</v>
      </c>
      <c r="J6826" t="n">
        <v>0</v>
      </c>
      <c r="K6826" t="n">
        <v>0</v>
      </c>
      <c r="L6826" t="n">
        <v>0</v>
      </c>
      <c r="M6826" t="n">
        <v>0</v>
      </c>
      <c r="N6826" t="n">
        <v>0</v>
      </c>
      <c r="O6826" t="n">
        <v>0</v>
      </c>
      <c r="P6826" t="n">
        <v>0</v>
      </c>
      <c r="Q6826" t="n">
        <v>0</v>
      </c>
      <c r="R6826" s="2" t="inlineStr"/>
    </row>
    <row r="6827" ht="15" customHeight="1">
      <c r="A6827" t="inlineStr">
        <is>
          <t>A 58526-2023</t>
        </is>
      </c>
      <c r="B6827" s="1" t="n">
        <v>45251.38590277778</v>
      </c>
      <c r="C6827" s="1" t="n">
        <v>46075</v>
      </c>
      <c r="D6827" t="inlineStr">
        <is>
          <t>VÄSTERBOTTENS LÄN</t>
        </is>
      </c>
      <c r="E6827" t="inlineStr">
        <is>
          <t>ROBERTSFORS</t>
        </is>
      </c>
      <c r="F6827" t="inlineStr">
        <is>
          <t>Holmen skog AB</t>
        </is>
      </c>
      <c r="G6827" t="n">
        <v>13.9</v>
      </c>
      <c r="H6827" t="n">
        <v>0</v>
      </c>
      <c r="I6827" t="n">
        <v>0</v>
      </c>
      <c r="J6827" t="n">
        <v>0</v>
      </c>
      <c r="K6827" t="n">
        <v>0</v>
      </c>
      <c r="L6827" t="n">
        <v>0</v>
      </c>
      <c r="M6827" t="n">
        <v>0</v>
      </c>
      <c r="N6827" t="n">
        <v>0</v>
      </c>
      <c r="O6827" t="n">
        <v>0</v>
      </c>
      <c r="P6827" t="n">
        <v>0</v>
      </c>
      <c r="Q6827" t="n">
        <v>0</v>
      </c>
      <c r="R6827" s="2" t="inlineStr"/>
    </row>
    <row r="6828" ht="15" customHeight="1">
      <c r="A6828" t="inlineStr">
        <is>
          <t>A 52662-2025</t>
        </is>
      </c>
      <c r="B6828" s="1" t="n">
        <v>45955.48998842593</v>
      </c>
      <c r="C6828" s="1" t="n">
        <v>46075</v>
      </c>
      <c r="D6828" t="inlineStr">
        <is>
          <t>VÄSTERBOTTENS LÄN</t>
        </is>
      </c>
      <c r="E6828" t="inlineStr">
        <is>
          <t>ÅSELE</t>
        </is>
      </c>
      <c r="F6828" t="inlineStr">
        <is>
          <t>SCA</t>
        </is>
      </c>
      <c r="G6828" t="n">
        <v>6.5</v>
      </c>
      <c r="H6828" t="n">
        <v>0</v>
      </c>
      <c r="I6828" t="n">
        <v>0</v>
      </c>
      <c r="J6828" t="n">
        <v>0</v>
      </c>
      <c r="K6828" t="n">
        <v>0</v>
      </c>
      <c r="L6828" t="n">
        <v>0</v>
      </c>
      <c r="M6828" t="n">
        <v>0</v>
      </c>
      <c r="N6828" t="n">
        <v>0</v>
      </c>
      <c r="O6828" t="n">
        <v>0</v>
      </c>
      <c r="P6828" t="n">
        <v>0</v>
      </c>
      <c r="Q6828" t="n">
        <v>0</v>
      </c>
      <c r="R6828" s="2" t="inlineStr"/>
    </row>
    <row r="6829" ht="15" customHeight="1">
      <c r="A6829" t="inlineStr">
        <is>
          <t>A 51724-2024</t>
        </is>
      </c>
      <c r="B6829" s="1" t="n">
        <v>45607.38243055555</v>
      </c>
      <c r="C6829" s="1" t="n">
        <v>46075</v>
      </c>
      <c r="D6829" t="inlineStr">
        <is>
          <t>VÄSTERBOTTENS LÄN</t>
        </is>
      </c>
      <c r="E6829" t="inlineStr">
        <is>
          <t>NORSJÖ</t>
        </is>
      </c>
      <c r="F6829" t="inlineStr">
        <is>
          <t>Holmen skog AB</t>
        </is>
      </c>
      <c r="G6829" t="n">
        <v>5.7</v>
      </c>
      <c r="H6829" t="n">
        <v>0</v>
      </c>
      <c r="I6829" t="n">
        <v>0</v>
      </c>
      <c r="J6829" t="n">
        <v>0</v>
      </c>
      <c r="K6829" t="n">
        <v>0</v>
      </c>
      <c r="L6829" t="n">
        <v>0</v>
      </c>
      <c r="M6829" t="n">
        <v>0</v>
      </c>
      <c r="N6829" t="n">
        <v>0</v>
      </c>
      <c r="O6829" t="n">
        <v>0</v>
      </c>
      <c r="P6829" t="n">
        <v>0</v>
      </c>
      <c r="Q6829" t="n">
        <v>0</v>
      </c>
      <c r="R6829" s="2" t="inlineStr"/>
    </row>
    <row r="6830" ht="15" customHeight="1">
      <c r="A6830" t="inlineStr">
        <is>
          <t>A 52722-2025</t>
        </is>
      </c>
      <c r="B6830" s="1" t="n">
        <v>45957.3443287037</v>
      </c>
      <c r="C6830" s="1" t="n">
        <v>46075</v>
      </c>
      <c r="D6830" t="inlineStr">
        <is>
          <t>VÄSTERBOTTENS LÄN</t>
        </is>
      </c>
      <c r="E6830" t="inlineStr">
        <is>
          <t>NORSJÖ</t>
        </is>
      </c>
      <c r="G6830" t="n">
        <v>7.2</v>
      </c>
      <c r="H6830" t="n">
        <v>0</v>
      </c>
      <c r="I6830" t="n">
        <v>0</v>
      </c>
      <c r="J6830" t="n">
        <v>0</v>
      </c>
      <c r="K6830" t="n">
        <v>0</v>
      </c>
      <c r="L6830" t="n">
        <v>0</v>
      </c>
      <c r="M6830" t="n">
        <v>0</v>
      </c>
      <c r="N6830" t="n">
        <v>0</v>
      </c>
      <c r="O6830" t="n">
        <v>0</v>
      </c>
      <c r="P6830" t="n">
        <v>0</v>
      </c>
      <c r="Q6830" t="n">
        <v>0</v>
      </c>
      <c r="R6830" s="2" t="inlineStr"/>
    </row>
    <row r="6831" ht="15" customHeight="1">
      <c r="A6831" t="inlineStr">
        <is>
          <t>A 9670-2025</t>
        </is>
      </c>
      <c r="B6831" s="1" t="n">
        <v>45716</v>
      </c>
      <c r="C6831" s="1" t="n">
        <v>46075</v>
      </c>
      <c r="D6831" t="inlineStr">
        <is>
          <t>VÄSTERBOTTENS LÄN</t>
        </is>
      </c>
      <c r="E6831" t="inlineStr">
        <is>
          <t>LYCKSELE</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30182-2023</t>
        </is>
      </c>
      <c r="B6832" s="1" t="n">
        <v>45099</v>
      </c>
      <c r="C6832" s="1" t="n">
        <v>46075</v>
      </c>
      <c r="D6832" t="inlineStr">
        <is>
          <t>VÄSTERBOTTENS LÄN</t>
        </is>
      </c>
      <c r="E6832" t="inlineStr">
        <is>
          <t>BJURHOLM</t>
        </is>
      </c>
      <c r="G6832" t="n">
        <v>2.3</v>
      </c>
      <c r="H6832" t="n">
        <v>0</v>
      </c>
      <c r="I6832" t="n">
        <v>0</v>
      </c>
      <c r="J6832" t="n">
        <v>0</v>
      </c>
      <c r="K6832" t="n">
        <v>0</v>
      </c>
      <c r="L6832" t="n">
        <v>0</v>
      </c>
      <c r="M6832" t="n">
        <v>0</v>
      </c>
      <c r="N6832" t="n">
        <v>0</v>
      </c>
      <c r="O6832" t="n">
        <v>0</v>
      </c>
      <c r="P6832" t="n">
        <v>0</v>
      </c>
      <c r="Q6832" t="n">
        <v>0</v>
      </c>
      <c r="R6832" s="2" t="inlineStr"/>
    </row>
    <row r="6833" ht="15" customHeight="1">
      <c r="A6833" t="inlineStr">
        <is>
          <t>A 61366-2024</t>
        </is>
      </c>
      <c r="B6833" s="1" t="n">
        <v>45646.3871412037</v>
      </c>
      <c r="C6833" s="1" t="n">
        <v>46075</v>
      </c>
      <c r="D6833" t="inlineStr">
        <is>
          <t>VÄSTERBOTTENS LÄN</t>
        </is>
      </c>
      <c r="E6833" t="inlineStr">
        <is>
          <t>LYCKSELE</t>
        </is>
      </c>
      <c r="G6833" t="n">
        <v>5</v>
      </c>
      <c r="H6833" t="n">
        <v>0</v>
      </c>
      <c r="I6833" t="n">
        <v>0</v>
      </c>
      <c r="J6833" t="n">
        <v>0</v>
      </c>
      <c r="K6833" t="n">
        <v>0</v>
      </c>
      <c r="L6833" t="n">
        <v>0</v>
      </c>
      <c r="M6833" t="n">
        <v>0</v>
      </c>
      <c r="N6833" t="n">
        <v>0</v>
      </c>
      <c r="O6833" t="n">
        <v>0</v>
      </c>
      <c r="P6833" t="n">
        <v>0</v>
      </c>
      <c r="Q6833" t="n">
        <v>0</v>
      </c>
      <c r="R6833" s="2" t="inlineStr"/>
    </row>
    <row r="6834" ht="15" customHeight="1">
      <c r="A6834" t="inlineStr">
        <is>
          <t>A 52355-2025</t>
        </is>
      </c>
      <c r="B6834" s="1" t="n">
        <v>45953.79050925926</v>
      </c>
      <c r="C6834" s="1" t="n">
        <v>46075</v>
      </c>
      <c r="D6834" t="inlineStr">
        <is>
          <t>VÄSTERBOTTENS LÄN</t>
        </is>
      </c>
      <c r="E6834" t="inlineStr">
        <is>
          <t>BJURHOLM</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52558-2025</t>
        </is>
      </c>
      <c r="B6835" s="1" t="n">
        <v>45954.56898148148</v>
      </c>
      <c r="C6835" s="1" t="n">
        <v>46075</v>
      </c>
      <c r="D6835" t="inlineStr">
        <is>
          <t>VÄSTERBOTTENS LÄN</t>
        </is>
      </c>
      <c r="E6835" t="inlineStr">
        <is>
          <t>SKELLEFTEÅ</t>
        </is>
      </c>
      <c r="F6835" t="inlineStr">
        <is>
          <t>Holmen skog AB</t>
        </is>
      </c>
      <c r="G6835" t="n">
        <v>6.1</v>
      </c>
      <c r="H6835" t="n">
        <v>0</v>
      </c>
      <c r="I6835" t="n">
        <v>0</v>
      </c>
      <c r="J6835" t="n">
        <v>0</v>
      </c>
      <c r="K6835" t="n">
        <v>0</v>
      </c>
      <c r="L6835" t="n">
        <v>0</v>
      </c>
      <c r="M6835" t="n">
        <v>0</v>
      </c>
      <c r="N6835" t="n">
        <v>0</v>
      </c>
      <c r="O6835" t="n">
        <v>0</v>
      </c>
      <c r="P6835" t="n">
        <v>0</v>
      </c>
      <c r="Q6835" t="n">
        <v>0</v>
      </c>
      <c r="R6835" s="2" t="inlineStr"/>
    </row>
    <row r="6836" ht="15" customHeight="1">
      <c r="A6836" t="inlineStr">
        <is>
          <t>A 2922-2025</t>
        </is>
      </c>
      <c r="B6836" s="1" t="n">
        <v>45678.32327546296</v>
      </c>
      <c r="C6836" s="1" t="n">
        <v>46075</v>
      </c>
      <c r="D6836" t="inlineStr">
        <is>
          <t>VÄSTERBOTTENS LÄN</t>
        </is>
      </c>
      <c r="E6836" t="inlineStr">
        <is>
          <t>NORDMALING</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37428-2024</t>
        </is>
      </c>
      <c r="B6837" s="1" t="n">
        <v>45540.64853009259</v>
      </c>
      <c r="C6837" s="1" t="n">
        <v>46075</v>
      </c>
      <c r="D6837" t="inlineStr">
        <is>
          <t>VÄSTERBOTTENS LÄN</t>
        </is>
      </c>
      <c r="E6837" t="inlineStr">
        <is>
          <t>NORSJÖ</t>
        </is>
      </c>
      <c r="F6837" t="inlineStr">
        <is>
          <t>Holmen skog AB</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10402-2025</t>
        </is>
      </c>
      <c r="B6838" s="1" t="n">
        <v>45720.61511574074</v>
      </c>
      <c r="C6838" s="1" t="n">
        <v>46075</v>
      </c>
      <c r="D6838" t="inlineStr">
        <is>
          <t>VÄSTERBOTTENS LÄN</t>
        </is>
      </c>
      <c r="E6838" t="inlineStr">
        <is>
          <t>DOROTEA</t>
        </is>
      </c>
      <c r="F6838" t="inlineStr">
        <is>
          <t>SCA</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2963-2025</t>
        </is>
      </c>
      <c r="B6839" s="1" t="n">
        <v>45678.45770833334</v>
      </c>
      <c r="C6839" s="1" t="n">
        <v>46075</v>
      </c>
      <c r="D6839" t="inlineStr">
        <is>
          <t>VÄSTERBOTTENS LÄN</t>
        </is>
      </c>
      <c r="E6839" t="inlineStr">
        <is>
          <t>SKELLEFTEÅ</t>
        </is>
      </c>
      <c r="F6839" t="inlineStr">
        <is>
          <t>Holmen skog AB</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2964-2025</t>
        </is>
      </c>
      <c r="B6840" s="1" t="n">
        <v>45678.45819444444</v>
      </c>
      <c r="C6840" s="1" t="n">
        <v>46075</v>
      </c>
      <c r="D6840" t="inlineStr">
        <is>
          <t>VÄSTERBOTTENS LÄN</t>
        </is>
      </c>
      <c r="E6840" t="inlineStr">
        <is>
          <t>NORSJÖ</t>
        </is>
      </c>
      <c r="G6840" t="n">
        <v>4</v>
      </c>
      <c r="H6840" t="n">
        <v>0</v>
      </c>
      <c r="I6840" t="n">
        <v>0</v>
      </c>
      <c r="J6840" t="n">
        <v>0</v>
      </c>
      <c r="K6840" t="n">
        <v>0</v>
      </c>
      <c r="L6840" t="n">
        <v>0</v>
      </c>
      <c r="M6840" t="n">
        <v>0</v>
      </c>
      <c r="N6840" t="n">
        <v>0</v>
      </c>
      <c r="O6840" t="n">
        <v>0</v>
      </c>
      <c r="P6840" t="n">
        <v>0</v>
      </c>
      <c r="Q6840" t="n">
        <v>0</v>
      </c>
      <c r="R6840" s="2" t="inlineStr"/>
    </row>
    <row r="6841" ht="15" customHeight="1">
      <c r="A6841" t="inlineStr">
        <is>
          <t>A 53010-2025</t>
        </is>
      </c>
      <c r="B6841" s="1" t="n">
        <v>45957</v>
      </c>
      <c r="C6841" s="1" t="n">
        <v>46075</v>
      </c>
      <c r="D6841" t="inlineStr">
        <is>
          <t>VÄSTERBOTTENS LÄN</t>
        </is>
      </c>
      <c r="E6841" t="inlineStr">
        <is>
          <t>NORSJÖ</t>
        </is>
      </c>
      <c r="G6841" t="n">
        <v>41.8</v>
      </c>
      <c r="H6841" t="n">
        <v>0</v>
      </c>
      <c r="I6841" t="n">
        <v>0</v>
      </c>
      <c r="J6841" t="n">
        <v>0</v>
      </c>
      <c r="K6841" t="n">
        <v>0</v>
      </c>
      <c r="L6841" t="n">
        <v>0</v>
      </c>
      <c r="M6841" t="n">
        <v>0</v>
      </c>
      <c r="N6841" t="n">
        <v>0</v>
      </c>
      <c r="O6841" t="n">
        <v>0</v>
      </c>
      <c r="P6841" t="n">
        <v>0</v>
      </c>
      <c r="Q6841" t="n">
        <v>0</v>
      </c>
      <c r="R6841" s="2" t="inlineStr"/>
    </row>
    <row r="6842" ht="15" customHeight="1">
      <c r="A6842" t="inlineStr">
        <is>
          <t>A 52811-2025</t>
        </is>
      </c>
      <c r="B6842" s="1" t="n">
        <v>45957.44878472222</v>
      </c>
      <c r="C6842" s="1" t="n">
        <v>46075</v>
      </c>
      <c r="D6842" t="inlineStr">
        <is>
          <t>VÄSTERBOTTENS LÄN</t>
        </is>
      </c>
      <c r="E6842" t="inlineStr">
        <is>
          <t>VILHELMINA</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52817-2025</t>
        </is>
      </c>
      <c r="B6843" s="1" t="n">
        <v>45957.44925925926</v>
      </c>
      <c r="C6843" s="1" t="n">
        <v>46075</v>
      </c>
      <c r="D6843" t="inlineStr">
        <is>
          <t>VÄSTERBOTTENS LÄN</t>
        </is>
      </c>
      <c r="E6843" t="inlineStr">
        <is>
          <t>MALÅ</t>
        </is>
      </c>
      <c r="G6843" t="n">
        <v>4.4</v>
      </c>
      <c r="H6843" t="n">
        <v>0</v>
      </c>
      <c r="I6843" t="n">
        <v>0</v>
      </c>
      <c r="J6843" t="n">
        <v>0</v>
      </c>
      <c r="K6843" t="n">
        <v>0</v>
      </c>
      <c r="L6843" t="n">
        <v>0</v>
      </c>
      <c r="M6843" t="n">
        <v>0</v>
      </c>
      <c r="N6843" t="n">
        <v>0</v>
      </c>
      <c r="O6843" t="n">
        <v>0</v>
      </c>
      <c r="P6843" t="n">
        <v>0</v>
      </c>
      <c r="Q6843" t="n">
        <v>0</v>
      </c>
      <c r="R6843" s="2" t="inlineStr"/>
    </row>
    <row r="6844" ht="15" customHeight="1">
      <c r="A6844" t="inlineStr">
        <is>
          <t>A 12197-2023</t>
        </is>
      </c>
      <c r="B6844" s="1" t="n">
        <v>44998</v>
      </c>
      <c r="C6844" s="1" t="n">
        <v>46075</v>
      </c>
      <c r="D6844" t="inlineStr">
        <is>
          <t>VÄSTERBOTTENS LÄN</t>
        </is>
      </c>
      <c r="E6844" t="inlineStr">
        <is>
          <t>BJURHOLM</t>
        </is>
      </c>
      <c r="G6844" t="n">
        <v>1.9</v>
      </c>
      <c r="H6844" t="n">
        <v>0</v>
      </c>
      <c r="I6844" t="n">
        <v>0</v>
      </c>
      <c r="J6844" t="n">
        <v>0</v>
      </c>
      <c r="K6844" t="n">
        <v>0</v>
      </c>
      <c r="L6844" t="n">
        <v>0</v>
      </c>
      <c r="M6844" t="n">
        <v>0</v>
      </c>
      <c r="N6844" t="n">
        <v>0</v>
      </c>
      <c r="O6844" t="n">
        <v>0</v>
      </c>
      <c r="P6844" t="n">
        <v>0</v>
      </c>
      <c r="Q6844" t="n">
        <v>0</v>
      </c>
      <c r="R6844" s="2" t="inlineStr"/>
    </row>
    <row r="6845" ht="15" customHeight="1">
      <c r="A6845" t="inlineStr">
        <is>
          <t>A 52842-2025</t>
        </is>
      </c>
      <c r="B6845" s="1" t="n">
        <v>45957.47827546296</v>
      </c>
      <c r="C6845" s="1" t="n">
        <v>46075</v>
      </c>
      <c r="D6845" t="inlineStr">
        <is>
          <t>VÄSTERBOTTENS LÄN</t>
        </is>
      </c>
      <c r="E6845" t="inlineStr">
        <is>
          <t>VÄNNÄS</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31903-2024</t>
        </is>
      </c>
      <c r="B6846" s="1" t="n">
        <v>45510.32447916667</v>
      </c>
      <c r="C6846" s="1" t="n">
        <v>46075</v>
      </c>
      <c r="D6846" t="inlineStr">
        <is>
          <t>VÄSTERBOTTENS LÄN</t>
        </is>
      </c>
      <c r="E6846" t="inlineStr">
        <is>
          <t>UMEÅ</t>
        </is>
      </c>
      <c r="F6846" t="inlineStr">
        <is>
          <t>Holmen skog AB</t>
        </is>
      </c>
      <c r="G6846" t="n">
        <v>6.3</v>
      </c>
      <c r="H6846" t="n">
        <v>0</v>
      </c>
      <c r="I6846" t="n">
        <v>0</v>
      </c>
      <c r="J6846" t="n">
        <v>0</v>
      </c>
      <c r="K6846" t="n">
        <v>0</v>
      </c>
      <c r="L6846" t="n">
        <v>0</v>
      </c>
      <c r="M6846" t="n">
        <v>0</v>
      </c>
      <c r="N6846" t="n">
        <v>0</v>
      </c>
      <c r="O6846" t="n">
        <v>0</v>
      </c>
      <c r="P6846" t="n">
        <v>0</v>
      </c>
      <c r="Q6846" t="n">
        <v>0</v>
      </c>
      <c r="R6846" s="2" t="inlineStr"/>
    </row>
    <row r="6847" ht="15" customHeight="1">
      <c r="A6847" t="inlineStr">
        <is>
          <t>A 31905-2024</t>
        </is>
      </c>
      <c r="B6847" s="1" t="n">
        <v>45510.34210648148</v>
      </c>
      <c r="C6847" s="1" t="n">
        <v>46075</v>
      </c>
      <c r="D6847" t="inlineStr">
        <is>
          <t>VÄSTERBOTTENS LÄN</t>
        </is>
      </c>
      <c r="E6847" t="inlineStr">
        <is>
          <t>ROBERTSFORS</t>
        </is>
      </c>
      <c r="F6847" t="inlineStr">
        <is>
          <t>Holmen skog AB</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6660-2025</t>
        </is>
      </c>
      <c r="B6848" s="1" t="n">
        <v>45700.44704861111</v>
      </c>
      <c r="C6848" s="1" t="n">
        <v>46075</v>
      </c>
      <c r="D6848" t="inlineStr">
        <is>
          <t>VÄSTERBOTTENS LÄN</t>
        </is>
      </c>
      <c r="E6848" t="inlineStr">
        <is>
          <t>VINDELN</t>
        </is>
      </c>
      <c r="G6848" t="n">
        <v>3.8</v>
      </c>
      <c r="H6848" t="n">
        <v>0</v>
      </c>
      <c r="I6848" t="n">
        <v>0</v>
      </c>
      <c r="J6848" t="n">
        <v>0</v>
      </c>
      <c r="K6848" t="n">
        <v>0</v>
      </c>
      <c r="L6848" t="n">
        <v>0</v>
      </c>
      <c r="M6848" t="n">
        <v>0</v>
      </c>
      <c r="N6848" t="n">
        <v>0</v>
      </c>
      <c r="O6848" t="n">
        <v>0</v>
      </c>
      <c r="P6848" t="n">
        <v>0</v>
      </c>
      <c r="Q6848" t="n">
        <v>0</v>
      </c>
      <c r="R6848" s="2" t="inlineStr"/>
    </row>
    <row r="6849" ht="15" customHeight="1">
      <c r="A6849" t="inlineStr">
        <is>
          <t>A 4638-2025</t>
        </is>
      </c>
      <c r="B6849" s="1" t="n">
        <v>45687.64986111111</v>
      </c>
      <c r="C6849" s="1" t="n">
        <v>46075</v>
      </c>
      <c r="D6849" t="inlineStr">
        <is>
          <t>VÄSTERBOTTENS LÄN</t>
        </is>
      </c>
      <c r="E6849" t="inlineStr">
        <is>
          <t>SKELLEFTEÅ</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52388-2025</t>
        </is>
      </c>
      <c r="B6850" s="1" t="n">
        <v>45954.32572916667</v>
      </c>
      <c r="C6850" s="1" t="n">
        <v>46075</v>
      </c>
      <c r="D6850" t="inlineStr">
        <is>
          <t>VÄSTERBOTTENS LÄN</t>
        </is>
      </c>
      <c r="E6850" t="inlineStr">
        <is>
          <t>SKELLEFTEÅ</t>
        </is>
      </c>
      <c r="G6850" t="n">
        <v>8.699999999999999</v>
      </c>
      <c r="H6850" t="n">
        <v>0</v>
      </c>
      <c r="I6850" t="n">
        <v>0</v>
      </c>
      <c r="J6850" t="n">
        <v>0</v>
      </c>
      <c r="K6850" t="n">
        <v>0</v>
      </c>
      <c r="L6850" t="n">
        <v>0</v>
      </c>
      <c r="M6850" t="n">
        <v>0</v>
      </c>
      <c r="N6850" t="n">
        <v>0</v>
      </c>
      <c r="O6850" t="n">
        <v>0</v>
      </c>
      <c r="P6850" t="n">
        <v>0</v>
      </c>
      <c r="Q6850" t="n">
        <v>0</v>
      </c>
      <c r="R6850" s="2" t="inlineStr"/>
    </row>
    <row r="6851" ht="15" customHeight="1">
      <c r="A6851" t="inlineStr">
        <is>
          <t>A 52412-2025</t>
        </is>
      </c>
      <c r="B6851" s="1" t="n">
        <v>45954.36586805555</v>
      </c>
      <c r="C6851" s="1" t="n">
        <v>46075</v>
      </c>
      <c r="D6851" t="inlineStr">
        <is>
          <t>VÄSTERBOTTENS LÄN</t>
        </is>
      </c>
      <c r="E6851" t="inlineStr">
        <is>
          <t>DOROTEA</t>
        </is>
      </c>
      <c r="F6851" t="inlineStr">
        <is>
          <t>SCA</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36854-2022</t>
        </is>
      </c>
      <c r="B6852" s="1" t="n">
        <v>44805.60581018519</v>
      </c>
      <c r="C6852" s="1" t="n">
        <v>46075</v>
      </c>
      <c r="D6852" t="inlineStr">
        <is>
          <t>VÄSTERBOTTENS LÄN</t>
        </is>
      </c>
      <c r="E6852" t="inlineStr">
        <is>
          <t>UMEÅ</t>
        </is>
      </c>
      <c r="F6852" t="inlineStr">
        <is>
          <t>Holmen skog AB</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52992-2025</t>
        </is>
      </c>
      <c r="B6853" s="1" t="n">
        <v>45957.72361111111</v>
      </c>
      <c r="C6853" s="1" t="n">
        <v>46075</v>
      </c>
      <c r="D6853" t="inlineStr">
        <is>
          <t>VÄSTERBOTTENS LÄN</t>
        </is>
      </c>
      <c r="E6853" t="inlineStr">
        <is>
          <t>UMEÅ</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52793-2025</t>
        </is>
      </c>
      <c r="B6854" s="1" t="n">
        <v>45957.43465277777</v>
      </c>
      <c r="C6854" s="1" t="n">
        <v>46075</v>
      </c>
      <c r="D6854" t="inlineStr">
        <is>
          <t>VÄSTERBOTTENS LÄN</t>
        </is>
      </c>
      <c r="E6854" t="inlineStr">
        <is>
          <t>SKELLEFTEÅ</t>
        </is>
      </c>
      <c r="G6854" t="n">
        <v>2.4</v>
      </c>
      <c r="H6854" t="n">
        <v>0</v>
      </c>
      <c r="I6854" t="n">
        <v>0</v>
      </c>
      <c r="J6854" t="n">
        <v>0</v>
      </c>
      <c r="K6854" t="n">
        <v>0</v>
      </c>
      <c r="L6854" t="n">
        <v>0</v>
      </c>
      <c r="M6854" t="n">
        <v>0</v>
      </c>
      <c r="N6854" t="n">
        <v>0</v>
      </c>
      <c r="O6854" t="n">
        <v>0</v>
      </c>
      <c r="P6854" t="n">
        <v>0</v>
      </c>
      <c r="Q6854" t="n">
        <v>0</v>
      </c>
      <c r="R6854" s="2" t="inlineStr"/>
    </row>
    <row r="6855" ht="15" customHeight="1">
      <c r="A6855" t="inlineStr">
        <is>
          <t>A 57646-2023</t>
        </is>
      </c>
      <c r="B6855" s="1" t="n">
        <v>45246.59564814815</v>
      </c>
      <c r="C6855" s="1" t="n">
        <v>46075</v>
      </c>
      <c r="D6855" t="inlineStr">
        <is>
          <t>VÄSTERBOTTENS LÄN</t>
        </is>
      </c>
      <c r="E6855" t="inlineStr">
        <is>
          <t>ROBERTSFORS</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17732-2024</t>
        </is>
      </c>
      <c r="B6856" s="1" t="n">
        <v>45415</v>
      </c>
      <c r="C6856" s="1" t="n">
        <v>46075</v>
      </c>
      <c r="D6856" t="inlineStr">
        <is>
          <t>VÄSTERBOTTENS LÄN</t>
        </is>
      </c>
      <c r="E6856" t="inlineStr">
        <is>
          <t>VILHELMINA</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3497-2025</t>
        </is>
      </c>
      <c r="B6857" s="1" t="n">
        <v>45680.56597222222</v>
      </c>
      <c r="C6857" s="1" t="n">
        <v>46075</v>
      </c>
      <c r="D6857" t="inlineStr">
        <is>
          <t>VÄSTERBOTTENS LÄN</t>
        </is>
      </c>
      <c r="E6857" t="inlineStr">
        <is>
          <t>BJURHOLM</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60391-2024</t>
        </is>
      </c>
      <c r="B6858" s="1" t="n">
        <v>45643.49018518518</v>
      </c>
      <c r="C6858" s="1" t="n">
        <v>46075</v>
      </c>
      <c r="D6858" t="inlineStr">
        <is>
          <t>VÄSTERBOTTENS LÄN</t>
        </is>
      </c>
      <c r="E6858" t="inlineStr">
        <is>
          <t>VINDELN</t>
        </is>
      </c>
      <c r="F6858" t="inlineStr">
        <is>
          <t>SCA</t>
        </is>
      </c>
      <c r="G6858" t="n">
        <v>2.3</v>
      </c>
      <c r="H6858" t="n">
        <v>0</v>
      </c>
      <c r="I6858" t="n">
        <v>0</v>
      </c>
      <c r="J6858" t="n">
        <v>0</v>
      </c>
      <c r="K6858" t="n">
        <v>0</v>
      </c>
      <c r="L6858" t="n">
        <v>0</v>
      </c>
      <c r="M6858" t="n">
        <v>0</v>
      </c>
      <c r="N6858" t="n">
        <v>0</v>
      </c>
      <c r="O6858" t="n">
        <v>0</v>
      </c>
      <c r="P6858" t="n">
        <v>0</v>
      </c>
      <c r="Q6858" t="n">
        <v>0</v>
      </c>
      <c r="R6858" s="2" t="inlineStr"/>
    </row>
    <row r="6859" ht="15" customHeight="1">
      <c r="A6859" t="inlineStr">
        <is>
          <t>A 59306-2023</t>
        </is>
      </c>
      <c r="B6859" s="1" t="n">
        <v>45253.59967592593</v>
      </c>
      <c r="C6859" s="1" t="n">
        <v>46075</v>
      </c>
      <c r="D6859" t="inlineStr">
        <is>
          <t>VÄSTERBOTTENS LÄN</t>
        </is>
      </c>
      <c r="E6859" t="inlineStr">
        <is>
          <t>ROBERTSFORS</t>
        </is>
      </c>
      <c r="F6859" t="inlineStr">
        <is>
          <t>Holmen skog AB</t>
        </is>
      </c>
      <c r="G6859" t="n">
        <v>2.7</v>
      </c>
      <c r="H6859" t="n">
        <v>0</v>
      </c>
      <c r="I6859" t="n">
        <v>0</v>
      </c>
      <c r="J6859" t="n">
        <v>0</v>
      </c>
      <c r="K6859" t="n">
        <v>0</v>
      </c>
      <c r="L6859" t="n">
        <v>0</v>
      </c>
      <c r="M6859" t="n">
        <v>0</v>
      </c>
      <c r="N6859" t="n">
        <v>0</v>
      </c>
      <c r="O6859" t="n">
        <v>0</v>
      </c>
      <c r="P6859" t="n">
        <v>0</v>
      </c>
      <c r="Q6859" t="n">
        <v>0</v>
      </c>
      <c r="R6859" s="2" t="inlineStr"/>
    </row>
    <row r="6860" ht="15" customHeight="1">
      <c r="A6860" t="inlineStr">
        <is>
          <t>A 59333-2023</t>
        </is>
      </c>
      <c r="B6860" s="1" t="n">
        <v>45252</v>
      </c>
      <c r="C6860" s="1" t="n">
        <v>46075</v>
      </c>
      <c r="D6860" t="inlineStr">
        <is>
          <t>VÄSTERBOTTENS LÄN</t>
        </is>
      </c>
      <c r="E6860" t="inlineStr">
        <is>
          <t>UMEÅ</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43783-2024</t>
        </is>
      </c>
      <c r="B6861" s="1" t="n">
        <v>45570</v>
      </c>
      <c r="C6861" s="1" t="n">
        <v>46075</v>
      </c>
      <c r="D6861" t="inlineStr">
        <is>
          <t>VÄSTERBOTTENS LÄN</t>
        </is>
      </c>
      <c r="E6861" t="inlineStr">
        <is>
          <t>NORDMALING</t>
        </is>
      </c>
      <c r="F6861" t="inlineStr">
        <is>
          <t>SCA</t>
        </is>
      </c>
      <c r="G6861" t="n">
        <v>8.9</v>
      </c>
      <c r="H6861" t="n">
        <v>0</v>
      </c>
      <c r="I6861" t="n">
        <v>0</v>
      </c>
      <c r="J6861" t="n">
        <v>0</v>
      </c>
      <c r="K6861" t="n">
        <v>0</v>
      </c>
      <c r="L6861" t="n">
        <v>0</v>
      </c>
      <c r="M6861" t="n">
        <v>0</v>
      </c>
      <c r="N6861" t="n">
        <v>0</v>
      </c>
      <c r="O6861" t="n">
        <v>0</v>
      </c>
      <c r="P6861" t="n">
        <v>0</v>
      </c>
      <c r="Q6861" t="n">
        <v>0</v>
      </c>
      <c r="R6861" s="2" t="inlineStr"/>
    </row>
    <row r="6862" ht="15" customHeight="1">
      <c r="A6862" t="inlineStr">
        <is>
          <t>A 52925-2025</t>
        </is>
      </c>
      <c r="B6862" s="1" t="n">
        <v>45957.6162962963</v>
      </c>
      <c r="C6862" s="1" t="n">
        <v>46075</v>
      </c>
      <c r="D6862" t="inlineStr">
        <is>
          <t>VÄSTERBOTTENS LÄN</t>
        </is>
      </c>
      <c r="E6862" t="inlineStr">
        <is>
          <t>UMEÅ</t>
        </is>
      </c>
      <c r="G6862" t="n">
        <v>5.6</v>
      </c>
      <c r="H6862" t="n">
        <v>0</v>
      </c>
      <c r="I6862" t="n">
        <v>0</v>
      </c>
      <c r="J6862" t="n">
        <v>0</v>
      </c>
      <c r="K6862" t="n">
        <v>0</v>
      </c>
      <c r="L6862" t="n">
        <v>0</v>
      </c>
      <c r="M6862" t="n">
        <v>0</v>
      </c>
      <c r="N6862" t="n">
        <v>0</v>
      </c>
      <c r="O6862" t="n">
        <v>0</v>
      </c>
      <c r="P6862" t="n">
        <v>0</v>
      </c>
      <c r="Q6862" t="n">
        <v>0</v>
      </c>
      <c r="R6862" s="2" t="inlineStr"/>
    </row>
    <row r="6863" ht="15" customHeight="1">
      <c r="A6863" t="inlineStr">
        <is>
          <t>A 52820-2025</t>
        </is>
      </c>
      <c r="B6863" s="1" t="n">
        <v>45957.45483796296</v>
      </c>
      <c r="C6863" s="1" t="n">
        <v>46075</v>
      </c>
      <c r="D6863" t="inlineStr">
        <is>
          <t>VÄSTERBOTTENS LÄN</t>
        </is>
      </c>
      <c r="E6863" t="inlineStr">
        <is>
          <t>VÄNNÄS</t>
        </is>
      </c>
      <c r="G6863" t="n">
        <v>3.3</v>
      </c>
      <c r="H6863" t="n">
        <v>0</v>
      </c>
      <c r="I6863" t="n">
        <v>0</v>
      </c>
      <c r="J6863" t="n">
        <v>0</v>
      </c>
      <c r="K6863" t="n">
        <v>0</v>
      </c>
      <c r="L6863" t="n">
        <v>0</v>
      </c>
      <c r="M6863" t="n">
        <v>0</v>
      </c>
      <c r="N6863" t="n">
        <v>0</v>
      </c>
      <c r="O6863" t="n">
        <v>0</v>
      </c>
      <c r="P6863" t="n">
        <v>0</v>
      </c>
      <c r="Q6863" t="n">
        <v>0</v>
      </c>
      <c r="R6863" s="2" t="inlineStr"/>
    </row>
    <row r="6864" ht="15" customHeight="1">
      <c r="A6864" t="inlineStr">
        <is>
          <t>A 52901-2025</t>
        </is>
      </c>
      <c r="B6864" s="1" t="n">
        <v>45957.5896875</v>
      </c>
      <c r="C6864" s="1" t="n">
        <v>46075</v>
      </c>
      <c r="D6864" t="inlineStr">
        <is>
          <t>VÄSTERBOTTENS LÄN</t>
        </is>
      </c>
      <c r="E6864" t="inlineStr">
        <is>
          <t>LYCKSELE</t>
        </is>
      </c>
      <c r="G6864" t="n">
        <v>4.5</v>
      </c>
      <c r="H6864" t="n">
        <v>0</v>
      </c>
      <c r="I6864" t="n">
        <v>0</v>
      </c>
      <c r="J6864" t="n">
        <v>0</v>
      </c>
      <c r="K6864" t="n">
        <v>0</v>
      </c>
      <c r="L6864" t="n">
        <v>0</v>
      </c>
      <c r="M6864" t="n">
        <v>0</v>
      </c>
      <c r="N6864" t="n">
        <v>0</v>
      </c>
      <c r="O6864" t="n">
        <v>0</v>
      </c>
      <c r="P6864" t="n">
        <v>0</v>
      </c>
      <c r="Q6864" t="n">
        <v>0</v>
      </c>
      <c r="R6864" s="2" t="inlineStr"/>
    </row>
    <row r="6865" ht="15" customHeight="1">
      <c r="A6865" t="inlineStr">
        <is>
          <t>A 52723-2025</t>
        </is>
      </c>
      <c r="B6865" s="1" t="n">
        <v>45957.3458912037</v>
      </c>
      <c r="C6865" s="1" t="n">
        <v>46075</v>
      </c>
      <c r="D6865" t="inlineStr">
        <is>
          <t>VÄSTERBOTTENS LÄN</t>
        </is>
      </c>
      <c r="E6865" t="inlineStr">
        <is>
          <t>ROBERTSFORS</t>
        </is>
      </c>
      <c r="F6865" t="inlineStr">
        <is>
          <t>Holmen skog AB</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52706-2025</t>
        </is>
      </c>
      <c r="B6866" s="1" t="n">
        <v>45957.28523148148</v>
      </c>
      <c r="C6866" s="1" t="n">
        <v>46075</v>
      </c>
      <c r="D6866" t="inlineStr">
        <is>
          <t>VÄSTERBOTTENS LÄN</t>
        </is>
      </c>
      <c r="E6866" t="inlineStr">
        <is>
          <t>UMEÅ</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48073-2023</t>
        </is>
      </c>
      <c r="B6867" s="1" t="n">
        <v>45204</v>
      </c>
      <c r="C6867" s="1" t="n">
        <v>46075</v>
      </c>
      <c r="D6867" t="inlineStr">
        <is>
          <t>VÄSTERBOTTENS LÄN</t>
        </is>
      </c>
      <c r="E6867" t="inlineStr">
        <is>
          <t>ÅSELE</t>
        </is>
      </c>
      <c r="F6867" t="inlineStr">
        <is>
          <t>SCA</t>
        </is>
      </c>
      <c r="G6867" t="n">
        <v>5.7</v>
      </c>
      <c r="H6867" t="n">
        <v>0</v>
      </c>
      <c r="I6867" t="n">
        <v>0</v>
      </c>
      <c r="J6867" t="n">
        <v>0</v>
      </c>
      <c r="K6867" t="n">
        <v>0</v>
      </c>
      <c r="L6867" t="n">
        <v>0</v>
      </c>
      <c r="M6867" t="n">
        <v>0</v>
      </c>
      <c r="N6867" t="n">
        <v>0</v>
      </c>
      <c r="O6867" t="n">
        <v>0</v>
      </c>
      <c r="P6867" t="n">
        <v>0</v>
      </c>
      <c r="Q6867" t="n">
        <v>0</v>
      </c>
      <c r="R6867" s="2" t="inlineStr"/>
    </row>
    <row r="6868" ht="15" customHeight="1">
      <c r="A6868" t="inlineStr">
        <is>
          <t>A 57868-2023</t>
        </is>
      </c>
      <c r="B6868" s="1" t="n">
        <v>45247.45697916667</v>
      </c>
      <c r="C6868" s="1" t="n">
        <v>46075</v>
      </c>
      <c r="D6868" t="inlineStr">
        <is>
          <t>VÄSTERBOTTENS LÄN</t>
        </is>
      </c>
      <c r="E6868" t="inlineStr">
        <is>
          <t>VINDELN</t>
        </is>
      </c>
      <c r="G6868" t="n">
        <v>0.4</v>
      </c>
      <c r="H6868" t="n">
        <v>0</v>
      </c>
      <c r="I6868" t="n">
        <v>0</v>
      </c>
      <c r="J6868" t="n">
        <v>0</v>
      </c>
      <c r="K6868" t="n">
        <v>0</v>
      </c>
      <c r="L6868" t="n">
        <v>0</v>
      </c>
      <c r="M6868" t="n">
        <v>0</v>
      </c>
      <c r="N6868" t="n">
        <v>0</v>
      </c>
      <c r="O6868" t="n">
        <v>0</v>
      </c>
      <c r="P6868" t="n">
        <v>0</v>
      </c>
      <c r="Q6868" t="n">
        <v>0</v>
      </c>
      <c r="R6868" s="2" t="inlineStr"/>
    </row>
    <row r="6869" ht="15" customHeight="1">
      <c r="A6869" t="inlineStr">
        <is>
          <t>A 57869-2023</t>
        </is>
      </c>
      <c r="B6869" s="1" t="n">
        <v>45244</v>
      </c>
      <c r="C6869" s="1" t="n">
        <v>46075</v>
      </c>
      <c r="D6869" t="inlineStr">
        <is>
          <t>VÄSTERBOTTENS LÄN</t>
        </is>
      </c>
      <c r="E6869" t="inlineStr">
        <is>
          <t>NORSJÖ</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52736-2025</t>
        </is>
      </c>
      <c r="B6870" s="1" t="n">
        <v>45957.37329861111</v>
      </c>
      <c r="C6870" s="1" t="n">
        <v>46075</v>
      </c>
      <c r="D6870" t="inlineStr">
        <is>
          <t>VÄSTERBOTTENS LÄN</t>
        </is>
      </c>
      <c r="E6870" t="inlineStr">
        <is>
          <t>SKELLEFTEÅ</t>
        </is>
      </c>
      <c r="F6870" t="inlineStr">
        <is>
          <t>Holmen skog AB</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52789-2025</t>
        </is>
      </c>
      <c r="B6871" s="1" t="n">
        <v>45957.42777777778</v>
      </c>
      <c r="C6871" s="1" t="n">
        <v>46075</v>
      </c>
      <c r="D6871" t="inlineStr">
        <is>
          <t>VÄSTERBOTTENS LÄN</t>
        </is>
      </c>
      <c r="E6871" t="inlineStr">
        <is>
          <t>VILHELMINA</t>
        </is>
      </c>
      <c r="F6871" t="inlineStr">
        <is>
          <t>SCA</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26919-2022</t>
        </is>
      </c>
      <c r="B6872" s="1" t="n">
        <v>44740</v>
      </c>
      <c r="C6872" s="1" t="n">
        <v>46075</v>
      </c>
      <c r="D6872" t="inlineStr">
        <is>
          <t>VÄSTERBOTTENS LÄN</t>
        </is>
      </c>
      <c r="E6872" t="inlineStr">
        <is>
          <t>UMEÅ</t>
        </is>
      </c>
      <c r="G6872" t="n">
        <v>2.8</v>
      </c>
      <c r="H6872" t="n">
        <v>0</v>
      </c>
      <c r="I6872" t="n">
        <v>0</v>
      </c>
      <c r="J6872" t="n">
        <v>0</v>
      </c>
      <c r="K6872" t="n">
        <v>0</v>
      </c>
      <c r="L6872" t="n">
        <v>0</v>
      </c>
      <c r="M6872" t="n">
        <v>0</v>
      </c>
      <c r="N6872" t="n">
        <v>0</v>
      </c>
      <c r="O6872" t="n">
        <v>0</v>
      </c>
      <c r="P6872" t="n">
        <v>0</v>
      </c>
      <c r="Q6872" t="n">
        <v>0</v>
      </c>
      <c r="R6872" s="2" t="inlineStr"/>
    </row>
    <row r="6873" ht="15" customHeight="1">
      <c r="A6873" t="inlineStr">
        <is>
          <t>A 60572-2024</t>
        </is>
      </c>
      <c r="B6873" s="1" t="n">
        <v>45644.32913194445</v>
      </c>
      <c r="C6873" s="1" t="n">
        <v>46075</v>
      </c>
      <c r="D6873" t="inlineStr">
        <is>
          <t>VÄSTERBOTTENS LÄN</t>
        </is>
      </c>
      <c r="E6873" t="inlineStr">
        <is>
          <t>VINDELN</t>
        </is>
      </c>
      <c r="F6873" t="inlineStr">
        <is>
          <t>Holmen skog AB</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19464-2025</t>
        </is>
      </c>
      <c r="B6874" s="1" t="n">
        <v>45770</v>
      </c>
      <c r="C6874" s="1" t="n">
        <v>46075</v>
      </c>
      <c r="D6874" t="inlineStr">
        <is>
          <t>VÄSTERBOTTENS LÄN</t>
        </is>
      </c>
      <c r="E6874" t="inlineStr">
        <is>
          <t>VILHELMINA</t>
        </is>
      </c>
      <c r="F6874" t="inlineStr">
        <is>
          <t>SCA</t>
        </is>
      </c>
      <c r="G6874" t="n">
        <v>7.3</v>
      </c>
      <c r="H6874" t="n">
        <v>0</v>
      </c>
      <c r="I6874" t="n">
        <v>0</v>
      </c>
      <c r="J6874" t="n">
        <v>0</v>
      </c>
      <c r="K6874" t="n">
        <v>0</v>
      </c>
      <c r="L6874" t="n">
        <v>0</v>
      </c>
      <c r="M6874" t="n">
        <v>0</v>
      </c>
      <c r="N6874" t="n">
        <v>0</v>
      </c>
      <c r="O6874" t="n">
        <v>0</v>
      </c>
      <c r="P6874" t="n">
        <v>0</v>
      </c>
      <c r="Q6874" t="n">
        <v>0</v>
      </c>
      <c r="R6874" s="2" t="inlineStr"/>
    </row>
    <row r="6875" ht="15" customHeight="1">
      <c r="A6875" t="inlineStr">
        <is>
          <t>A 52746-2025</t>
        </is>
      </c>
      <c r="B6875" s="1" t="n">
        <v>45957.38414351852</v>
      </c>
      <c r="C6875" s="1" t="n">
        <v>46075</v>
      </c>
      <c r="D6875" t="inlineStr">
        <is>
          <t>VÄSTERBOTTENS LÄN</t>
        </is>
      </c>
      <c r="E6875" t="inlineStr">
        <is>
          <t>ROBERTSFORS</t>
        </is>
      </c>
      <c r="G6875" t="n">
        <v>4.5</v>
      </c>
      <c r="H6875" t="n">
        <v>0</v>
      </c>
      <c r="I6875" t="n">
        <v>0</v>
      </c>
      <c r="J6875" t="n">
        <v>0</v>
      </c>
      <c r="K6875" t="n">
        <v>0</v>
      </c>
      <c r="L6875" t="n">
        <v>0</v>
      </c>
      <c r="M6875" t="n">
        <v>0</v>
      </c>
      <c r="N6875" t="n">
        <v>0</v>
      </c>
      <c r="O6875" t="n">
        <v>0</v>
      </c>
      <c r="P6875" t="n">
        <v>0</v>
      </c>
      <c r="Q6875" t="n">
        <v>0</v>
      </c>
      <c r="R6875" s="2" t="inlineStr"/>
    </row>
    <row r="6876" ht="15" customHeight="1">
      <c r="A6876" t="inlineStr">
        <is>
          <t>A 52791-2025</t>
        </is>
      </c>
      <c r="B6876" s="1" t="n">
        <v>45957</v>
      </c>
      <c r="C6876" s="1" t="n">
        <v>46075</v>
      </c>
      <c r="D6876" t="inlineStr">
        <is>
          <t>VÄSTERBOTTENS LÄN</t>
        </is>
      </c>
      <c r="E6876" t="inlineStr">
        <is>
          <t>LYCKSELE</t>
        </is>
      </c>
      <c r="F6876" t="inlineStr">
        <is>
          <t>Naturvårdsverket</t>
        </is>
      </c>
      <c r="G6876" t="n">
        <v>2.5</v>
      </c>
      <c r="H6876" t="n">
        <v>0</v>
      </c>
      <c r="I6876" t="n">
        <v>0</v>
      </c>
      <c r="J6876" t="n">
        <v>0</v>
      </c>
      <c r="K6876" t="n">
        <v>0</v>
      </c>
      <c r="L6876" t="n">
        <v>0</v>
      </c>
      <c r="M6876" t="n">
        <v>0</v>
      </c>
      <c r="N6876" t="n">
        <v>0</v>
      </c>
      <c r="O6876" t="n">
        <v>0</v>
      </c>
      <c r="P6876" t="n">
        <v>0</v>
      </c>
      <c r="Q6876" t="n">
        <v>0</v>
      </c>
      <c r="R6876" s="2" t="inlineStr"/>
    </row>
    <row r="6877" ht="15" customHeight="1">
      <c r="A6877" t="inlineStr">
        <is>
          <t>A 59488-2024</t>
        </is>
      </c>
      <c r="B6877" s="1" t="n">
        <v>45638.53199074074</v>
      </c>
      <c r="C6877" s="1" t="n">
        <v>46075</v>
      </c>
      <c r="D6877" t="inlineStr">
        <is>
          <t>VÄSTERBOTTENS LÄN</t>
        </is>
      </c>
      <c r="E6877" t="inlineStr">
        <is>
          <t>NORDMALING</t>
        </is>
      </c>
      <c r="F6877" t="inlineStr">
        <is>
          <t>SCA</t>
        </is>
      </c>
      <c r="G6877" t="n">
        <v>3.7</v>
      </c>
      <c r="H6877" t="n">
        <v>0</v>
      </c>
      <c r="I6877" t="n">
        <v>0</v>
      </c>
      <c r="J6877" t="n">
        <v>0</v>
      </c>
      <c r="K6877" t="n">
        <v>0</v>
      </c>
      <c r="L6877" t="n">
        <v>0</v>
      </c>
      <c r="M6877" t="n">
        <v>0</v>
      </c>
      <c r="N6877" t="n">
        <v>0</v>
      </c>
      <c r="O6877" t="n">
        <v>0</v>
      </c>
      <c r="P6877" t="n">
        <v>0</v>
      </c>
      <c r="Q6877" t="n">
        <v>0</v>
      </c>
      <c r="R6877" s="2" t="inlineStr"/>
    </row>
    <row r="6878" ht="15" customHeight="1">
      <c r="A6878" t="inlineStr">
        <is>
          <t>A 52941-2025</t>
        </is>
      </c>
      <c r="B6878" s="1" t="n">
        <v>45957.64256944445</v>
      </c>
      <c r="C6878" s="1" t="n">
        <v>46075</v>
      </c>
      <c r="D6878" t="inlineStr">
        <is>
          <t>VÄSTERBOTTENS LÄN</t>
        </is>
      </c>
      <c r="E6878" t="inlineStr">
        <is>
          <t>LYCKSELE</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52657-2025</t>
        </is>
      </c>
      <c r="B6879" s="1" t="n">
        <v>45955.42762731481</v>
      </c>
      <c r="C6879" s="1" t="n">
        <v>46075</v>
      </c>
      <c r="D6879" t="inlineStr">
        <is>
          <t>VÄSTERBOTTENS LÄN</t>
        </is>
      </c>
      <c r="E6879" t="inlineStr">
        <is>
          <t>SKELLEFTEÅ</t>
        </is>
      </c>
      <c r="F6879" t="inlineStr">
        <is>
          <t>SCA</t>
        </is>
      </c>
      <c r="G6879" t="n">
        <v>10.2</v>
      </c>
      <c r="H6879" t="n">
        <v>0</v>
      </c>
      <c r="I6879" t="n">
        <v>0</v>
      </c>
      <c r="J6879" t="n">
        <v>0</v>
      </c>
      <c r="K6879" t="n">
        <v>0</v>
      </c>
      <c r="L6879" t="n">
        <v>0</v>
      </c>
      <c r="M6879" t="n">
        <v>0</v>
      </c>
      <c r="N6879" t="n">
        <v>0</v>
      </c>
      <c r="O6879" t="n">
        <v>0</v>
      </c>
      <c r="P6879" t="n">
        <v>0</v>
      </c>
      <c r="Q6879" t="n">
        <v>0</v>
      </c>
      <c r="R6879" s="2" t="inlineStr"/>
    </row>
    <row r="6880" ht="15" customHeight="1">
      <c r="A6880" t="inlineStr">
        <is>
          <t>A 52889-2025</t>
        </is>
      </c>
      <c r="B6880" s="1" t="n">
        <v>45957.57303240741</v>
      </c>
      <c r="C6880" s="1" t="n">
        <v>46075</v>
      </c>
      <c r="D6880" t="inlineStr">
        <is>
          <t>VÄSTERBOTTENS LÄN</t>
        </is>
      </c>
      <c r="E6880" t="inlineStr">
        <is>
          <t>SKELLEFTEÅ</t>
        </is>
      </c>
      <c r="G6880" t="n">
        <v>9.699999999999999</v>
      </c>
      <c r="H6880" t="n">
        <v>0</v>
      </c>
      <c r="I6880" t="n">
        <v>0</v>
      </c>
      <c r="J6880" t="n">
        <v>0</v>
      </c>
      <c r="K6880" t="n">
        <v>0</v>
      </c>
      <c r="L6880" t="n">
        <v>0</v>
      </c>
      <c r="M6880" t="n">
        <v>0</v>
      </c>
      <c r="N6880" t="n">
        <v>0</v>
      </c>
      <c r="O6880" t="n">
        <v>0</v>
      </c>
      <c r="P6880" t="n">
        <v>0</v>
      </c>
      <c r="Q6880" t="n">
        <v>0</v>
      </c>
      <c r="R6880" s="2" t="inlineStr"/>
    </row>
    <row r="6881" ht="15" customHeight="1">
      <c r="A6881" t="inlineStr">
        <is>
          <t>A 54931-2023</t>
        </is>
      </c>
      <c r="B6881" s="1" t="n">
        <v>45229</v>
      </c>
      <c r="C6881" s="1" t="n">
        <v>46075</v>
      </c>
      <c r="D6881" t="inlineStr">
        <is>
          <t>VÄSTERBOTTENS LÄN</t>
        </is>
      </c>
      <c r="E6881" t="inlineStr">
        <is>
          <t>VILHELMINA</t>
        </is>
      </c>
      <c r="G6881" t="n">
        <v>14.5</v>
      </c>
      <c r="H6881" t="n">
        <v>0</v>
      </c>
      <c r="I6881" t="n">
        <v>0</v>
      </c>
      <c r="J6881" t="n">
        <v>0</v>
      </c>
      <c r="K6881" t="n">
        <v>0</v>
      </c>
      <c r="L6881" t="n">
        <v>0</v>
      </c>
      <c r="M6881" t="n">
        <v>0</v>
      </c>
      <c r="N6881" t="n">
        <v>0</v>
      </c>
      <c r="O6881" t="n">
        <v>0</v>
      </c>
      <c r="P6881" t="n">
        <v>0</v>
      </c>
      <c r="Q6881" t="n">
        <v>0</v>
      </c>
      <c r="R6881" s="2" t="inlineStr"/>
    </row>
    <row r="6882" ht="15" customHeight="1">
      <c r="A6882" t="inlineStr">
        <is>
          <t>A 52419-2025</t>
        </is>
      </c>
      <c r="B6882" s="1" t="n">
        <v>45954.36858796296</v>
      </c>
      <c r="C6882" s="1" t="n">
        <v>46075</v>
      </c>
      <c r="D6882" t="inlineStr">
        <is>
          <t>VÄSTERBOTTENS LÄN</t>
        </is>
      </c>
      <c r="E6882" t="inlineStr">
        <is>
          <t>SKELLEFTEÅ</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52588-2025</t>
        </is>
      </c>
      <c r="B6883" s="1" t="n">
        <v>45954.6333912037</v>
      </c>
      <c r="C6883" s="1" t="n">
        <v>46075</v>
      </c>
      <c r="D6883" t="inlineStr">
        <is>
          <t>VÄSTERBOTTENS LÄN</t>
        </is>
      </c>
      <c r="E6883" t="inlineStr">
        <is>
          <t>SKELLEFTEÅ</t>
        </is>
      </c>
      <c r="F6883" t="inlineStr">
        <is>
          <t>Holmen skog AB</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52596-2025</t>
        </is>
      </c>
      <c r="B6884" s="1" t="n">
        <v>45954.65212962963</v>
      </c>
      <c r="C6884" s="1" t="n">
        <v>46075</v>
      </c>
      <c r="D6884" t="inlineStr">
        <is>
          <t>VÄSTERBOTTENS LÄN</t>
        </is>
      </c>
      <c r="E6884" t="inlineStr">
        <is>
          <t>SKELLEFTEÅ</t>
        </is>
      </c>
      <c r="F6884" t="inlineStr">
        <is>
          <t>Holmen skog AB</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52990-2025</t>
        </is>
      </c>
      <c r="B6885" s="1" t="n">
        <v>45957.71711805555</v>
      </c>
      <c r="C6885" s="1" t="n">
        <v>46075</v>
      </c>
      <c r="D6885" t="inlineStr">
        <is>
          <t>VÄSTERBOTTENS LÄN</t>
        </is>
      </c>
      <c r="E6885" t="inlineStr">
        <is>
          <t>UMEÅ</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59730-2024</t>
        </is>
      </c>
      <c r="B6886" s="1" t="n">
        <v>45639</v>
      </c>
      <c r="C6886" s="1" t="n">
        <v>46075</v>
      </c>
      <c r="D6886" t="inlineStr">
        <is>
          <t>VÄSTERBOTTENS LÄN</t>
        </is>
      </c>
      <c r="E6886" t="inlineStr">
        <is>
          <t>SORSELE</t>
        </is>
      </c>
      <c r="G6886" t="n">
        <v>68.2</v>
      </c>
      <c r="H6886" t="n">
        <v>0</v>
      </c>
      <c r="I6886" t="n">
        <v>0</v>
      </c>
      <c r="J6886" t="n">
        <v>0</v>
      </c>
      <c r="K6886" t="n">
        <v>0</v>
      </c>
      <c r="L6886" t="n">
        <v>0</v>
      </c>
      <c r="M6886" t="n">
        <v>0</v>
      </c>
      <c r="N6886" t="n">
        <v>0</v>
      </c>
      <c r="O6886" t="n">
        <v>0</v>
      </c>
      <c r="P6886" t="n">
        <v>0</v>
      </c>
      <c r="Q6886" t="n">
        <v>0</v>
      </c>
      <c r="R6886" s="2" t="inlineStr"/>
    </row>
    <row r="6887" ht="15" customHeight="1">
      <c r="A6887" t="inlineStr">
        <is>
          <t>A 7384-2022</t>
        </is>
      </c>
      <c r="B6887" s="1" t="n">
        <v>44606.62334490741</v>
      </c>
      <c r="C6887" s="1" t="n">
        <v>46075</v>
      </c>
      <c r="D6887" t="inlineStr">
        <is>
          <t>VÄSTERBOTTENS LÄN</t>
        </is>
      </c>
      <c r="E6887" t="inlineStr">
        <is>
          <t>UMEÅ</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53456-2025</t>
        </is>
      </c>
      <c r="B6888" s="1" t="n">
        <v>45959.66428240741</v>
      </c>
      <c r="C6888" s="1" t="n">
        <v>46075</v>
      </c>
      <c r="D6888" t="inlineStr">
        <is>
          <t>VÄSTERBOTTENS LÄN</t>
        </is>
      </c>
      <c r="E6888" t="inlineStr">
        <is>
          <t>NORDMALING</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53026-2025</t>
        </is>
      </c>
      <c r="B6889" s="1" t="n">
        <v>45958.34028935185</v>
      </c>
      <c r="C6889" s="1" t="n">
        <v>46075</v>
      </c>
      <c r="D6889" t="inlineStr">
        <is>
          <t>VÄSTERBOTTENS LÄN</t>
        </is>
      </c>
      <c r="E6889" t="inlineStr">
        <is>
          <t>SKELLEFTEÅ</t>
        </is>
      </c>
      <c r="G6889" t="n">
        <v>4.2</v>
      </c>
      <c r="H6889" t="n">
        <v>0</v>
      </c>
      <c r="I6889" t="n">
        <v>0</v>
      </c>
      <c r="J6889" t="n">
        <v>0</v>
      </c>
      <c r="K6889" t="n">
        <v>0</v>
      </c>
      <c r="L6889" t="n">
        <v>0</v>
      </c>
      <c r="M6889" t="n">
        <v>0</v>
      </c>
      <c r="N6889" t="n">
        <v>0</v>
      </c>
      <c r="O6889" t="n">
        <v>0</v>
      </c>
      <c r="P6889" t="n">
        <v>0</v>
      </c>
      <c r="Q6889" t="n">
        <v>0</v>
      </c>
      <c r="R6889" s="2" t="inlineStr"/>
    </row>
    <row r="6890" ht="15" customHeight="1">
      <c r="A6890" t="inlineStr">
        <is>
          <t>A 20723-2024</t>
        </is>
      </c>
      <c r="B6890" s="1" t="n">
        <v>45436.65041666666</v>
      </c>
      <c r="C6890" s="1" t="n">
        <v>46075</v>
      </c>
      <c r="D6890" t="inlineStr">
        <is>
          <t>VÄSTERBOTTENS LÄN</t>
        </is>
      </c>
      <c r="E6890" t="inlineStr">
        <is>
          <t>SKELLEFTEÅ</t>
        </is>
      </c>
      <c r="F6890" t="inlineStr">
        <is>
          <t>Holmen skog AB</t>
        </is>
      </c>
      <c r="G6890" t="n">
        <v>4.2</v>
      </c>
      <c r="H6890" t="n">
        <v>0</v>
      </c>
      <c r="I6890" t="n">
        <v>0</v>
      </c>
      <c r="J6890" t="n">
        <v>0</v>
      </c>
      <c r="K6890" t="n">
        <v>0</v>
      </c>
      <c r="L6890" t="n">
        <v>0</v>
      </c>
      <c r="M6890" t="n">
        <v>0</v>
      </c>
      <c r="N6890" t="n">
        <v>0</v>
      </c>
      <c r="O6890" t="n">
        <v>0</v>
      </c>
      <c r="P6890" t="n">
        <v>0</v>
      </c>
      <c r="Q6890" t="n">
        <v>0</v>
      </c>
      <c r="R6890" s="2" t="inlineStr"/>
    </row>
    <row r="6891" ht="15" customHeight="1">
      <c r="A6891" t="inlineStr">
        <is>
          <t>A 53192-2025</t>
        </is>
      </c>
      <c r="B6891" s="1" t="n">
        <v>45958.56741898148</v>
      </c>
      <c r="C6891" s="1" t="n">
        <v>46075</v>
      </c>
      <c r="D6891" t="inlineStr">
        <is>
          <t>VÄSTERBOTTENS LÄN</t>
        </is>
      </c>
      <c r="E6891" t="inlineStr">
        <is>
          <t>ÅSELE</t>
        </is>
      </c>
      <c r="F6891" t="inlineStr">
        <is>
          <t>Holmen skog AB</t>
        </is>
      </c>
      <c r="G6891" t="n">
        <v>2.3</v>
      </c>
      <c r="H6891" t="n">
        <v>0</v>
      </c>
      <c r="I6891" t="n">
        <v>0</v>
      </c>
      <c r="J6891" t="n">
        <v>0</v>
      </c>
      <c r="K6891" t="n">
        <v>0</v>
      </c>
      <c r="L6891" t="n">
        <v>0</v>
      </c>
      <c r="M6891" t="n">
        <v>0</v>
      </c>
      <c r="N6891" t="n">
        <v>0</v>
      </c>
      <c r="O6891" t="n">
        <v>0</v>
      </c>
      <c r="P6891" t="n">
        <v>0</v>
      </c>
      <c r="Q6891" t="n">
        <v>0</v>
      </c>
      <c r="R6891" s="2" t="inlineStr"/>
    </row>
    <row r="6892" ht="15" customHeight="1">
      <c r="A6892" t="inlineStr">
        <is>
          <t>A 65179-2021</t>
        </is>
      </c>
      <c r="B6892" s="1" t="n">
        <v>44515</v>
      </c>
      <c r="C6892" s="1" t="n">
        <v>46075</v>
      </c>
      <c r="D6892" t="inlineStr">
        <is>
          <t>VÄSTERBOTTENS LÄN</t>
        </is>
      </c>
      <c r="E6892" t="inlineStr">
        <is>
          <t>VILHELMINA</t>
        </is>
      </c>
      <c r="G6892" t="n">
        <v>8</v>
      </c>
      <c r="H6892" t="n">
        <v>0</v>
      </c>
      <c r="I6892" t="n">
        <v>0</v>
      </c>
      <c r="J6892" t="n">
        <v>0</v>
      </c>
      <c r="K6892" t="n">
        <v>0</v>
      </c>
      <c r="L6892" t="n">
        <v>0</v>
      </c>
      <c r="M6892" t="n">
        <v>0</v>
      </c>
      <c r="N6892" t="n">
        <v>0</v>
      </c>
      <c r="O6892" t="n">
        <v>0</v>
      </c>
      <c r="P6892" t="n">
        <v>0</v>
      </c>
      <c r="Q6892" t="n">
        <v>0</v>
      </c>
      <c r="R6892" s="2" t="inlineStr"/>
    </row>
    <row r="6893" ht="15" customHeight="1">
      <c r="A6893" t="inlineStr">
        <is>
          <t>A 53218-2025</t>
        </is>
      </c>
      <c r="B6893" s="1" t="n">
        <v>45958.60057870371</v>
      </c>
      <c r="C6893" s="1" t="n">
        <v>46075</v>
      </c>
      <c r="D6893" t="inlineStr">
        <is>
          <t>VÄSTERBOTTENS LÄN</t>
        </is>
      </c>
      <c r="E6893" t="inlineStr">
        <is>
          <t>ROBERTSFORS</t>
        </is>
      </c>
      <c r="F6893" t="inlineStr">
        <is>
          <t>Holmen skog AB</t>
        </is>
      </c>
      <c r="G6893" t="n">
        <v>2.1</v>
      </c>
      <c r="H6893" t="n">
        <v>0</v>
      </c>
      <c r="I6893" t="n">
        <v>0</v>
      </c>
      <c r="J6893" t="n">
        <v>0</v>
      </c>
      <c r="K6893" t="n">
        <v>0</v>
      </c>
      <c r="L6893" t="n">
        <v>0</v>
      </c>
      <c r="M6893" t="n">
        <v>0</v>
      </c>
      <c r="N6893" t="n">
        <v>0</v>
      </c>
      <c r="O6893" t="n">
        <v>0</v>
      </c>
      <c r="P6893" t="n">
        <v>0</v>
      </c>
      <c r="Q6893" t="n">
        <v>0</v>
      </c>
      <c r="R6893" s="2" t="inlineStr"/>
    </row>
    <row r="6894" ht="15" customHeight="1">
      <c r="A6894" t="inlineStr">
        <is>
          <t>A 10604-2024</t>
        </is>
      </c>
      <c r="B6894" s="1" t="n">
        <v>45366.93827546296</v>
      </c>
      <c r="C6894" s="1" t="n">
        <v>46075</v>
      </c>
      <c r="D6894" t="inlineStr">
        <is>
          <t>VÄSTERBOTTENS LÄN</t>
        </is>
      </c>
      <c r="E6894" t="inlineStr">
        <is>
          <t>SKELLEFTEÅ</t>
        </is>
      </c>
      <c r="G6894" t="n">
        <v>2.4</v>
      </c>
      <c r="H6894" t="n">
        <v>0</v>
      </c>
      <c r="I6894" t="n">
        <v>0</v>
      </c>
      <c r="J6894" t="n">
        <v>0</v>
      </c>
      <c r="K6894" t="n">
        <v>0</v>
      </c>
      <c r="L6894" t="n">
        <v>0</v>
      </c>
      <c r="M6894" t="n">
        <v>0</v>
      </c>
      <c r="N6894" t="n">
        <v>0</v>
      </c>
      <c r="O6894" t="n">
        <v>0</v>
      </c>
      <c r="P6894" t="n">
        <v>0</v>
      </c>
      <c r="Q6894" t="n">
        <v>0</v>
      </c>
      <c r="R6894" s="2" t="inlineStr"/>
    </row>
    <row r="6895" ht="15" customHeight="1">
      <c r="A6895" t="inlineStr">
        <is>
          <t>A 53050-2025</t>
        </is>
      </c>
      <c r="B6895" s="1" t="n">
        <v>45958.3625462963</v>
      </c>
      <c r="C6895" s="1" t="n">
        <v>46075</v>
      </c>
      <c r="D6895" t="inlineStr">
        <is>
          <t>VÄSTERBOTTENS LÄN</t>
        </is>
      </c>
      <c r="E6895" t="inlineStr">
        <is>
          <t>SKELLEFTEÅ</t>
        </is>
      </c>
      <c r="F6895" t="inlineStr">
        <is>
          <t>Holmen skog AB</t>
        </is>
      </c>
      <c r="G6895" t="n">
        <v>3</v>
      </c>
      <c r="H6895" t="n">
        <v>0</v>
      </c>
      <c r="I6895" t="n">
        <v>0</v>
      </c>
      <c r="J6895" t="n">
        <v>0</v>
      </c>
      <c r="K6895" t="n">
        <v>0</v>
      </c>
      <c r="L6895" t="n">
        <v>0</v>
      </c>
      <c r="M6895" t="n">
        <v>0</v>
      </c>
      <c r="N6895" t="n">
        <v>0</v>
      </c>
      <c r="O6895" t="n">
        <v>0</v>
      </c>
      <c r="P6895" t="n">
        <v>0</v>
      </c>
      <c r="Q6895" t="n">
        <v>0</v>
      </c>
      <c r="R6895" s="2" t="inlineStr"/>
    </row>
    <row r="6896" ht="15" customHeight="1">
      <c r="A6896" t="inlineStr">
        <is>
          <t>A 53239-2025</t>
        </is>
      </c>
      <c r="B6896" s="1" t="n">
        <v>45958.63582175926</v>
      </c>
      <c r="C6896" s="1" t="n">
        <v>46075</v>
      </c>
      <c r="D6896" t="inlineStr">
        <is>
          <t>VÄSTERBOTTENS LÄN</t>
        </is>
      </c>
      <c r="E6896" t="inlineStr">
        <is>
          <t>ÅSELE</t>
        </is>
      </c>
      <c r="F6896" t="inlineStr">
        <is>
          <t>Holmen skog AB</t>
        </is>
      </c>
      <c r="G6896" t="n">
        <v>2.1</v>
      </c>
      <c r="H6896" t="n">
        <v>0</v>
      </c>
      <c r="I6896" t="n">
        <v>0</v>
      </c>
      <c r="J6896" t="n">
        <v>0</v>
      </c>
      <c r="K6896" t="n">
        <v>0</v>
      </c>
      <c r="L6896" t="n">
        <v>0</v>
      </c>
      <c r="M6896" t="n">
        <v>0</v>
      </c>
      <c r="N6896" t="n">
        <v>0</v>
      </c>
      <c r="O6896" t="n">
        <v>0</v>
      </c>
      <c r="P6896" t="n">
        <v>0</v>
      </c>
      <c r="Q6896" t="n">
        <v>0</v>
      </c>
      <c r="R6896" s="2" t="inlineStr"/>
    </row>
    <row r="6897" ht="15" customHeight="1">
      <c r="A6897" t="inlineStr">
        <is>
          <t>A 10234-2024</t>
        </is>
      </c>
      <c r="B6897" s="1" t="n">
        <v>45365.3278125</v>
      </c>
      <c r="C6897" s="1" t="n">
        <v>46075</v>
      </c>
      <c r="D6897" t="inlineStr">
        <is>
          <t>VÄSTERBOTTENS LÄN</t>
        </is>
      </c>
      <c r="E6897" t="inlineStr">
        <is>
          <t>ROBERTSFORS</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53409-2025</t>
        </is>
      </c>
      <c r="B6898" s="1" t="n">
        <v>45959.57366898148</v>
      </c>
      <c r="C6898" s="1" t="n">
        <v>46075</v>
      </c>
      <c r="D6898" t="inlineStr">
        <is>
          <t>VÄSTERBOTTENS LÄN</t>
        </is>
      </c>
      <c r="E6898" t="inlineStr">
        <is>
          <t>DOROTEA</t>
        </is>
      </c>
      <c r="F6898" t="inlineStr">
        <is>
          <t>SCA</t>
        </is>
      </c>
      <c r="G6898" t="n">
        <v>8.199999999999999</v>
      </c>
      <c r="H6898" t="n">
        <v>0</v>
      </c>
      <c r="I6898" t="n">
        <v>0</v>
      </c>
      <c r="J6898" t="n">
        <v>0</v>
      </c>
      <c r="K6898" t="n">
        <v>0</v>
      </c>
      <c r="L6898" t="n">
        <v>0</v>
      </c>
      <c r="M6898" t="n">
        <v>0</v>
      </c>
      <c r="N6898" t="n">
        <v>0</v>
      </c>
      <c r="O6898" t="n">
        <v>0</v>
      </c>
      <c r="P6898" t="n">
        <v>0</v>
      </c>
      <c r="Q6898" t="n">
        <v>0</v>
      </c>
      <c r="R6898" s="2" t="inlineStr"/>
    </row>
    <row r="6899" ht="15" customHeight="1">
      <c r="A6899" t="inlineStr">
        <is>
          <t>A 44959-2023</t>
        </is>
      </c>
      <c r="B6899" s="1" t="n">
        <v>45190</v>
      </c>
      <c r="C6899" s="1" t="n">
        <v>46075</v>
      </c>
      <c r="D6899" t="inlineStr">
        <is>
          <t>VÄSTERBOTTENS LÄN</t>
        </is>
      </c>
      <c r="E6899" t="inlineStr">
        <is>
          <t>SKELLEFTEÅ</t>
        </is>
      </c>
      <c r="F6899" t="inlineStr">
        <is>
          <t>Sveaskog</t>
        </is>
      </c>
      <c r="G6899" t="n">
        <v>15.3</v>
      </c>
      <c r="H6899" t="n">
        <v>0</v>
      </c>
      <c r="I6899" t="n">
        <v>0</v>
      </c>
      <c r="J6899" t="n">
        <v>0</v>
      </c>
      <c r="K6899" t="n">
        <v>0</v>
      </c>
      <c r="L6899" t="n">
        <v>0</v>
      </c>
      <c r="M6899" t="n">
        <v>0</v>
      </c>
      <c r="N6899" t="n">
        <v>0</v>
      </c>
      <c r="O6899" t="n">
        <v>0</v>
      </c>
      <c r="P6899" t="n">
        <v>0</v>
      </c>
      <c r="Q6899" t="n">
        <v>0</v>
      </c>
      <c r="R6899" s="2" t="inlineStr"/>
    </row>
    <row r="6900" ht="15" customHeight="1">
      <c r="A6900" t="inlineStr">
        <is>
          <t>A 53031-2025</t>
        </is>
      </c>
      <c r="B6900" s="1" t="n">
        <v>45958.34454861111</v>
      </c>
      <c r="C6900" s="1" t="n">
        <v>46075</v>
      </c>
      <c r="D6900" t="inlineStr">
        <is>
          <t>VÄSTERBOTTENS LÄN</t>
        </is>
      </c>
      <c r="E6900" t="inlineStr">
        <is>
          <t>VINDELN</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44972-2023</t>
        </is>
      </c>
      <c r="B6901" s="1" t="n">
        <v>45190.92549768519</v>
      </c>
      <c r="C6901" s="1" t="n">
        <v>46075</v>
      </c>
      <c r="D6901" t="inlineStr">
        <is>
          <t>VÄSTERBOTTENS LÄN</t>
        </is>
      </c>
      <c r="E6901" t="inlineStr">
        <is>
          <t>DOROTEA</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8581-2025</t>
        </is>
      </c>
      <c r="B6902" s="1" t="n">
        <v>45709.67219907408</v>
      </c>
      <c r="C6902" s="1" t="n">
        <v>46075</v>
      </c>
      <c r="D6902" t="inlineStr">
        <is>
          <t>VÄSTERBOTTENS LÄN</t>
        </is>
      </c>
      <c r="E6902" t="inlineStr">
        <is>
          <t>UMEÅ</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8584-2025</t>
        </is>
      </c>
      <c r="B6903" s="1" t="n">
        <v>45709.67657407407</v>
      </c>
      <c r="C6903" s="1" t="n">
        <v>46075</v>
      </c>
      <c r="D6903" t="inlineStr">
        <is>
          <t>VÄSTERBOTTENS LÄN</t>
        </is>
      </c>
      <c r="E6903" t="inlineStr">
        <is>
          <t>UMEÅ</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8585-2025</t>
        </is>
      </c>
      <c r="B6904" s="1" t="n">
        <v>45709</v>
      </c>
      <c r="C6904" s="1" t="n">
        <v>46075</v>
      </c>
      <c r="D6904" t="inlineStr">
        <is>
          <t>VÄSTERBOTTENS LÄN</t>
        </is>
      </c>
      <c r="E6904" t="inlineStr">
        <is>
          <t>VILHELMINA</t>
        </is>
      </c>
      <c r="G6904" t="n">
        <v>3.4</v>
      </c>
      <c r="H6904" t="n">
        <v>0</v>
      </c>
      <c r="I6904" t="n">
        <v>0</v>
      </c>
      <c r="J6904" t="n">
        <v>0</v>
      </c>
      <c r="K6904" t="n">
        <v>0</v>
      </c>
      <c r="L6904" t="n">
        <v>0</v>
      </c>
      <c r="M6904" t="n">
        <v>0</v>
      </c>
      <c r="N6904" t="n">
        <v>0</v>
      </c>
      <c r="O6904" t="n">
        <v>0</v>
      </c>
      <c r="P6904" t="n">
        <v>0</v>
      </c>
      <c r="Q6904" t="n">
        <v>0</v>
      </c>
      <c r="R6904" s="2" t="inlineStr"/>
    </row>
    <row r="6905" ht="15" customHeight="1">
      <c r="A6905" t="inlineStr">
        <is>
          <t>A 17506-2024</t>
        </is>
      </c>
      <c r="B6905" s="1" t="n">
        <v>45415</v>
      </c>
      <c r="C6905" s="1" t="n">
        <v>46075</v>
      </c>
      <c r="D6905" t="inlineStr">
        <is>
          <t>VÄSTERBOTTENS LÄN</t>
        </is>
      </c>
      <c r="E6905" t="inlineStr">
        <is>
          <t>SKELLEFTEÅ</t>
        </is>
      </c>
      <c r="G6905" t="n">
        <v>8.199999999999999</v>
      </c>
      <c r="H6905" t="n">
        <v>0</v>
      </c>
      <c r="I6905" t="n">
        <v>0</v>
      </c>
      <c r="J6905" t="n">
        <v>0</v>
      </c>
      <c r="K6905" t="n">
        <v>0</v>
      </c>
      <c r="L6905" t="n">
        <v>0</v>
      </c>
      <c r="M6905" t="n">
        <v>0</v>
      </c>
      <c r="N6905" t="n">
        <v>0</v>
      </c>
      <c r="O6905" t="n">
        <v>0</v>
      </c>
      <c r="P6905" t="n">
        <v>0</v>
      </c>
      <c r="Q6905" t="n">
        <v>0</v>
      </c>
      <c r="R6905" s="2" t="inlineStr"/>
    </row>
    <row r="6906" ht="15" customHeight="1">
      <c r="A6906" t="inlineStr">
        <is>
          <t>A 8586-2025</t>
        </is>
      </c>
      <c r="B6906" s="1" t="n">
        <v>45709.67998842592</v>
      </c>
      <c r="C6906" s="1" t="n">
        <v>46075</v>
      </c>
      <c r="D6906" t="inlineStr">
        <is>
          <t>VÄSTERBOTTENS LÄN</t>
        </is>
      </c>
      <c r="E6906" t="inlineStr">
        <is>
          <t>UMEÅ</t>
        </is>
      </c>
      <c r="G6906" t="n">
        <v>0.3</v>
      </c>
      <c r="H6906" t="n">
        <v>0</v>
      </c>
      <c r="I6906" t="n">
        <v>0</v>
      </c>
      <c r="J6906" t="n">
        <v>0</v>
      </c>
      <c r="K6906" t="n">
        <v>0</v>
      </c>
      <c r="L6906" t="n">
        <v>0</v>
      </c>
      <c r="M6906" t="n">
        <v>0</v>
      </c>
      <c r="N6906" t="n">
        <v>0</v>
      </c>
      <c r="O6906" t="n">
        <v>0</v>
      </c>
      <c r="P6906" t="n">
        <v>0</v>
      </c>
      <c r="Q6906" t="n">
        <v>0</v>
      </c>
      <c r="R6906" s="2" t="inlineStr"/>
    </row>
    <row r="6907" ht="15" customHeight="1">
      <c r="A6907" t="inlineStr">
        <is>
          <t>A 53376-2025</t>
        </is>
      </c>
      <c r="B6907" s="1" t="n">
        <v>45959.52413194445</v>
      </c>
      <c r="C6907" s="1" t="n">
        <v>46075</v>
      </c>
      <c r="D6907" t="inlineStr">
        <is>
          <t>VÄSTERBOTTENS LÄN</t>
        </is>
      </c>
      <c r="E6907" t="inlineStr">
        <is>
          <t>SKELLEFTEÅ</t>
        </is>
      </c>
      <c r="G6907" t="n">
        <v>2.1</v>
      </c>
      <c r="H6907" t="n">
        <v>0</v>
      </c>
      <c r="I6907" t="n">
        <v>0</v>
      </c>
      <c r="J6907" t="n">
        <v>0</v>
      </c>
      <c r="K6907" t="n">
        <v>0</v>
      </c>
      <c r="L6907" t="n">
        <v>0</v>
      </c>
      <c r="M6907" t="n">
        <v>0</v>
      </c>
      <c r="N6907" t="n">
        <v>0</v>
      </c>
      <c r="O6907" t="n">
        <v>0</v>
      </c>
      <c r="P6907" t="n">
        <v>0</v>
      </c>
      <c r="Q6907" t="n">
        <v>0</v>
      </c>
      <c r="R6907" s="2" t="inlineStr"/>
    </row>
    <row r="6908" ht="15" customHeight="1">
      <c r="A6908" t="inlineStr">
        <is>
          <t>A 53470-2025</t>
        </is>
      </c>
      <c r="B6908" s="1" t="n">
        <v>45959.7108912037</v>
      </c>
      <c r="C6908" s="1" t="n">
        <v>46075</v>
      </c>
      <c r="D6908" t="inlineStr">
        <is>
          <t>VÄSTERBOTTENS LÄN</t>
        </is>
      </c>
      <c r="E6908" t="inlineStr">
        <is>
          <t>LYCKSELE</t>
        </is>
      </c>
      <c r="G6908" t="n">
        <v>9.300000000000001</v>
      </c>
      <c r="H6908" t="n">
        <v>0</v>
      </c>
      <c r="I6908" t="n">
        <v>0</v>
      </c>
      <c r="J6908" t="n">
        <v>0</v>
      </c>
      <c r="K6908" t="n">
        <v>0</v>
      </c>
      <c r="L6908" t="n">
        <v>0</v>
      </c>
      <c r="M6908" t="n">
        <v>0</v>
      </c>
      <c r="N6908" t="n">
        <v>0</v>
      </c>
      <c r="O6908" t="n">
        <v>0</v>
      </c>
      <c r="P6908" t="n">
        <v>0</v>
      </c>
      <c r="Q6908" t="n">
        <v>0</v>
      </c>
      <c r="R6908" s="2" t="inlineStr"/>
    </row>
    <row r="6909" ht="15" customHeight="1">
      <c r="A6909" t="inlineStr">
        <is>
          <t>A 53515-2025</t>
        </is>
      </c>
      <c r="B6909" s="1" t="n">
        <v>45959</v>
      </c>
      <c r="C6909" s="1" t="n">
        <v>46075</v>
      </c>
      <c r="D6909" t="inlineStr">
        <is>
          <t>VÄSTERBOTTENS LÄN</t>
        </is>
      </c>
      <c r="E6909" t="inlineStr">
        <is>
          <t>SKELLEFTEÅ</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53320-2025</t>
        </is>
      </c>
      <c r="B6910" s="1" t="n">
        <v>45959.35769675926</v>
      </c>
      <c r="C6910" s="1" t="n">
        <v>46075</v>
      </c>
      <c r="D6910" t="inlineStr">
        <is>
          <t>VÄSTERBOTTENS LÄN</t>
        </is>
      </c>
      <c r="E6910" t="inlineStr">
        <is>
          <t>ROBERTSFORS</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8600-2025</t>
        </is>
      </c>
      <c r="B6911" s="1" t="n">
        <v>45709</v>
      </c>
      <c r="C6911" s="1" t="n">
        <v>46075</v>
      </c>
      <c r="D6911" t="inlineStr">
        <is>
          <t>VÄSTERBOTTENS LÄN</t>
        </is>
      </c>
      <c r="E6911" t="inlineStr">
        <is>
          <t>LYCKSELE</t>
        </is>
      </c>
      <c r="G6911" t="n">
        <v>3.4</v>
      </c>
      <c r="H6911" t="n">
        <v>0</v>
      </c>
      <c r="I6911" t="n">
        <v>0</v>
      </c>
      <c r="J6911" t="n">
        <v>0</v>
      </c>
      <c r="K6911" t="n">
        <v>0</v>
      </c>
      <c r="L6911" t="n">
        <v>0</v>
      </c>
      <c r="M6911" t="n">
        <v>0</v>
      </c>
      <c r="N6911" t="n">
        <v>0</v>
      </c>
      <c r="O6911" t="n">
        <v>0</v>
      </c>
      <c r="P6911" t="n">
        <v>0</v>
      </c>
      <c r="Q6911" t="n">
        <v>0</v>
      </c>
      <c r="R6911" s="2" t="inlineStr"/>
    </row>
    <row r="6912" ht="15" customHeight="1">
      <c r="A6912" t="inlineStr">
        <is>
          <t>A 8618-2025</t>
        </is>
      </c>
      <c r="B6912" s="1" t="n">
        <v>45711</v>
      </c>
      <c r="C6912" s="1" t="n">
        <v>46075</v>
      </c>
      <c r="D6912" t="inlineStr">
        <is>
          <t>VÄSTERBOTTENS LÄN</t>
        </is>
      </c>
      <c r="E6912" t="inlineStr">
        <is>
          <t>UMEÅ</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19589-2024</t>
        </is>
      </c>
      <c r="B6913" s="1" t="n">
        <v>45429.9359375</v>
      </c>
      <c r="C6913" s="1" t="n">
        <v>46075</v>
      </c>
      <c r="D6913" t="inlineStr">
        <is>
          <t>VÄSTERBOTTENS LÄN</t>
        </is>
      </c>
      <c r="E6913" t="inlineStr">
        <is>
          <t>DOROTEA</t>
        </is>
      </c>
      <c r="F6913" t="inlineStr">
        <is>
          <t>SCA</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53347-2025</t>
        </is>
      </c>
      <c r="B6914" s="1" t="n">
        <v>45959.43278935185</v>
      </c>
      <c r="C6914" s="1" t="n">
        <v>46075</v>
      </c>
      <c r="D6914" t="inlineStr">
        <is>
          <t>VÄSTERBOTTENS LÄN</t>
        </is>
      </c>
      <c r="E6914" t="inlineStr">
        <is>
          <t>SORSELE</t>
        </is>
      </c>
      <c r="F6914" t="inlineStr">
        <is>
          <t>Sveaskog</t>
        </is>
      </c>
      <c r="G6914" t="n">
        <v>57.3</v>
      </c>
      <c r="H6914" t="n">
        <v>0</v>
      </c>
      <c r="I6914" t="n">
        <v>0</v>
      </c>
      <c r="J6914" t="n">
        <v>0</v>
      </c>
      <c r="K6914" t="n">
        <v>0</v>
      </c>
      <c r="L6914" t="n">
        <v>0</v>
      </c>
      <c r="M6914" t="n">
        <v>0</v>
      </c>
      <c r="N6914" t="n">
        <v>0</v>
      </c>
      <c r="O6914" t="n">
        <v>0</v>
      </c>
      <c r="P6914" t="n">
        <v>0</v>
      </c>
      <c r="Q6914" t="n">
        <v>0</v>
      </c>
      <c r="R6914" s="2" t="inlineStr"/>
    </row>
    <row r="6915" ht="15" customHeight="1">
      <c r="A6915" t="inlineStr">
        <is>
          <t>A 53401-2025</t>
        </is>
      </c>
      <c r="B6915" s="1" t="n">
        <v>45959.56778935185</v>
      </c>
      <c r="C6915" s="1" t="n">
        <v>46075</v>
      </c>
      <c r="D6915" t="inlineStr">
        <is>
          <t>VÄSTERBOTTENS LÄN</t>
        </is>
      </c>
      <c r="E6915" t="inlineStr">
        <is>
          <t>LYCKSELE</t>
        </is>
      </c>
      <c r="F6915" t="inlineStr">
        <is>
          <t>Sveaskog</t>
        </is>
      </c>
      <c r="G6915" t="n">
        <v>3.9</v>
      </c>
      <c r="H6915" t="n">
        <v>0</v>
      </c>
      <c r="I6915" t="n">
        <v>0</v>
      </c>
      <c r="J6915" t="n">
        <v>0</v>
      </c>
      <c r="K6915" t="n">
        <v>0</v>
      </c>
      <c r="L6915" t="n">
        <v>0</v>
      </c>
      <c r="M6915" t="n">
        <v>0</v>
      </c>
      <c r="N6915" t="n">
        <v>0</v>
      </c>
      <c r="O6915" t="n">
        <v>0</v>
      </c>
      <c r="P6915" t="n">
        <v>0</v>
      </c>
      <c r="Q6915" t="n">
        <v>0</v>
      </c>
      <c r="R6915" s="2" t="inlineStr"/>
    </row>
    <row r="6916" ht="15" customHeight="1">
      <c r="A6916" t="inlineStr">
        <is>
          <t>A 53469-2025</t>
        </is>
      </c>
      <c r="B6916" s="1" t="n">
        <v>45959.70898148148</v>
      </c>
      <c r="C6916" s="1" t="n">
        <v>46075</v>
      </c>
      <c r="D6916" t="inlineStr">
        <is>
          <t>VÄSTERBOTTENS LÄN</t>
        </is>
      </c>
      <c r="E6916" t="inlineStr">
        <is>
          <t>SKELLEFTEÅ</t>
        </is>
      </c>
      <c r="F6916" t="inlineStr">
        <is>
          <t>Sveaskog</t>
        </is>
      </c>
      <c r="G6916" t="n">
        <v>6.1</v>
      </c>
      <c r="H6916" t="n">
        <v>0</v>
      </c>
      <c r="I6916" t="n">
        <v>0</v>
      </c>
      <c r="J6916" t="n">
        <v>0</v>
      </c>
      <c r="K6916" t="n">
        <v>0</v>
      </c>
      <c r="L6916" t="n">
        <v>0</v>
      </c>
      <c r="M6916" t="n">
        <v>0</v>
      </c>
      <c r="N6916" t="n">
        <v>0</v>
      </c>
      <c r="O6916" t="n">
        <v>0</v>
      </c>
      <c r="P6916" t="n">
        <v>0</v>
      </c>
      <c r="Q6916" t="n">
        <v>0</v>
      </c>
      <c r="R6916" s="2" t="inlineStr"/>
    </row>
    <row r="6917" ht="15" customHeight="1">
      <c r="A6917" t="inlineStr">
        <is>
          <t>A 7057-2025</t>
        </is>
      </c>
      <c r="B6917" s="1" t="n">
        <v>45701.65417824074</v>
      </c>
      <c r="C6917" s="1" t="n">
        <v>46075</v>
      </c>
      <c r="D6917" t="inlineStr">
        <is>
          <t>VÄSTERBOTTENS LÄN</t>
        </is>
      </c>
      <c r="E6917" t="inlineStr">
        <is>
          <t>MALÅ</t>
        </is>
      </c>
      <c r="G6917" t="n">
        <v>7.3</v>
      </c>
      <c r="H6917" t="n">
        <v>0</v>
      </c>
      <c r="I6917" t="n">
        <v>0</v>
      </c>
      <c r="J6917" t="n">
        <v>0</v>
      </c>
      <c r="K6917" t="n">
        <v>0</v>
      </c>
      <c r="L6917" t="n">
        <v>0</v>
      </c>
      <c r="M6917" t="n">
        <v>0</v>
      </c>
      <c r="N6917" t="n">
        <v>0</v>
      </c>
      <c r="O6917" t="n">
        <v>0</v>
      </c>
      <c r="P6917" t="n">
        <v>0</v>
      </c>
      <c r="Q6917" t="n">
        <v>0</v>
      </c>
      <c r="R6917" s="2" t="inlineStr"/>
    </row>
    <row r="6918" ht="15" customHeight="1">
      <c r="A6918" t="inlineStr">
        <is>
          <t>A 62657-2022</t>
        </is>
      </c>
      <c r="B6918" s="1" t="n">
        <v>44925</v>
      </c>
      <c r="C6918" s="1" t="n">
        <v>46075</v>
      </c>
      <c r="D6918" t="inlineStr">
        <is>
          <t>VÄSTERBOTTENS LÄN</t>
        </is>
      </c>
      <c r="E6918" t="inlineStr">
        <is>
          <t>DOROTEA</t>
        </is>
      </c>
      <c r="G6918" t="n">
        <v>22</v>
      </c>
      <c r="H6918" t="n">
        <v>0</v>
      </c>
      <c r="I6918" t="n">
        <v>0</v>
      </c>
      <c r="J6918" t="n">
        <v>0</v>
      </c>
      <c r="K6918" t="n">
        <v>0</v>
      </c>
      <c r="L6918" t="n">
        <v>0</v>
      </c>
      <c r="M6918" t="n">
        <v>0</v>
      </c>
      <c r="N6918" t="n">
        <v>0</v>
      </c>
      <c r="O6918" t="n">
        <v>0</v>
      </c>
      <c r="P6918" t="n">
        <v>0</v>
      </c>
      <c r="Q6918" t="n">
        <v>0</v>
      </c>
      <c r="R6918" s="2" t="inlineStr"/>
    </row>
    <row r="6919" ht="15" customHeight="1">
      <c r="A6919" t="inlineStr">
        <is>
          <t>A 53095-2025</t>
        </is>
      </c>
      <c r="B6919" s="1" t="n">
        <v>45958.42641203704</v>
      </c>
      <c r="C6919" s="1" t="n">
        <v>46075</v>
      </c>
      <c r="D6919" t="inlineStr">
        <is>
          <t>VÄSTERBOTTENS LÄN</t>
        </is>
      </c>
      <c r="E6919" t="inlineStr">
        <is>
          <t>LYCKSELE</t>
        </is>
      </c>
      <c r="F6919" t="inlineStr">
        <is>
          <t>Sveaskog</t>
        </is>
      </c>
      <c r="G6919" t="n">
        <v>4.9</v>
      </c>
      <c r="H6919" t="n">
        <v>0</v>
      </c>
      <c r="I6919" t="n">
        <v>0</v>
      </c>
      <c r="J6919" t="n">
        <v>0</v>
      </c>
      <c r="K6919" t="n">
        <v>0</v>
      </c>
      <c r="L6919" t="n">
        <v>0</v>
      </c>
      <c r="M6919" t="n">
        <v>0</v>
      </c>
      <c r="N6919" t="n">
        <v>0</v>
      </c>
      <c r="O6919" t="n">
        <v>0</v>
      </c>
      <c r="P6919" t="n">
        <v>0</v>
      </c>
      <c r="Q6919" t="n">
        <v>0</v>
      </c>
      <c r="R6919" s="2" t="inlineStr"/>
    </row>
    <row r="6920" ht="15" customHeight="1">
      <c r="A6920" t="inlineStr">
        <is>
          <t>A 53461-2025</t>
        </is>
      </c>
      <c r="B6920" s="1" t="n">
        <v>45959.67452546296</v>
      </c>
      <c r="C6920" s="1" t="n">
        <v>46075</v>
      </c>
      <c r="D6920" t="inlineStr">
        <is>
          <t>VÄSTERBOTTENS LÄN</t>
        </is>
      </c>
      <c r="E6920" t="inlineStr">
        <is>
          <t>LYCKSELE</t>
        </is>
      </c>
      <c r="G6920" t="n">
        <v>7.9</v>
      </c>
      <c r="H6920" t="n">
        <v>0</v>
      </c>
      <c r="I6920" t="n">
        <v>0</v>
      </c>
      <c r="J6920" t="n">
        <v>0</v>
      </c>
      <c r="K6920" t="n">
        <v>0</v>
      </c>
      <c r="L6920" t="n">
        <v>0</v>
      </c>
      <c r="M6920" t="n">
        <v>0</v>
      </c>
      <c r="N6920" t="n">
        <v>0</v>
      </c>
      <c r="O6920" t="n">
        <v>0</v>
      </c>
      <c r="P6920" t="n">
        <v>0</v>
      </c>
      <c r="Q6920" t="n">
        <v>0</v>
      </c>
      <c r="R6920" s="2" t="inlineStr"/>
    </row>
    <row r="6921" ht="15" customHeight="1">
      <c r="A6921" t="inlineStr">
        <is>
          <t>A 1666-2023</t>
        </is>
      </c>
      <c r="B6921" s="1" t="n">
        <v>44938.36417824074</v>
      </c>
      <c r="C6921" s="1" t="n">
        <v>46075</v>
      </c>
      <c r="D6921" t="inlineStr">
        <is>
          <t>VÄSTERBOTTENS LÄN</t>
        </is>
      </c>
      <c r="E6921" t="inlineStr">
        <is>
          <t>SKELLEFTEÅ</t>
        </is>
      </c>
      <c r="G6921" t="n">
        <v>2.3</v>
      </c>
      <c r="H6921" t="n">
        <v>0</v>
      </c>
      <c r="I6921" t="n">
        <v>0</v>
      </c>
      <c r="J6921" t="n">
        <v>0</v>
      </c>
      <c r="K6921" t="n">
        <v>0</v>
      </c>
      <c r="L6921" t="n">
        <v>0</v>
      </c>
      <c r="M6921" t="n">
        <v>0</v>
      </c>
      <c r="N6921" t="n">
        <v>0</v>
      </c>
      <c r="O6921" t="n">
        <v>0</v>
      </c>
      <c r="P6921" t="n">
        <v>0</v>
      </c>
      <c r="Q6921" t="n">
        <v>0</v>
      </c>
      <c r="R6921" s="2" t="inlineStr"/>
    </row>
    <row r="6922" ht="15" customHeight="1">
      <c r="A6922" t="inlineStr">
        <is>
          <t>A 53465-2025</t>
        </is>
      </c>
      <c r="B6922" s="1" t="n">
        <v>45959.68450231481</v>
      </c>
      <c r="C6922" s="1" t="n">
        <v>46075</v>
      </c>
      <c r="D6922" t="inlineStr">
        <is>
          <t>VÄSTERBOTTENS LÄN</t>
        </is>
      </c>
      <c r="E6922" t="inlineStr">
        <is>
          <t>LYCKSELE</t>
        </is>
      </c>
      <c r="G6922" t="n">
        <v>12.2</v>
      </c>
      <c r="H6922" t="n">
        <v>0</v>
      </c>
      <c r="I6922" t="n">
        <v>0</v>
      </c>
      <c r="J6922" t="n">
        <v>0</v>
      </c>
      <c r="K6922" t="n">
        <v>0</v>
      </c>
      <c r="L6922" t="n">
        <v>0</v>
      </c>
      <c r="M6922" t="n">
        <v>0</v>
      </c>
      <c r="N6922" t="n">
        <v>0</v>
      </c>
      <c r="O6922" t="n">
        <v>0</v>
      </c>
      <c r="P6922" t="n">
        <v>0</v>
      </c>
      <c r="Q6922" t="n">
        <v>0</v>
      </c>
      <c r="R6922" s="2" t="inlineStr"/>
    </row>
    <row r="6923" ht="15" customHeight="1">
      <c r="A6923" t="inlineStr">
        <is>
          <t>A 23974-2022</t>
        </is>
      </c>
      <c r="B6923" s="1" t="n">
        <v>44722</v>
      </c>
      <c r="C6923" s="1" t="n">
        <v>46075</v>
      </c>
      <c r="D6923" t="inlineStr">
        <is>
          <t>VÄSTERBOTTENS LÄN</t>
        </is>
      </c>
      <c r="E6923" t="inlineStr">
        <is>
          <t>BJURHOLM</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53136-2025</t>
        </is>
      </c>
      <c r="B6924" s="1" t="n">
        <v>45958.46975694445</v>
      </c>
      <c r="C6924" s="1" t="n">
        <v>46075</v>
      </c>
      <c r="D6924" t="inlineStr">
        <is>
          <t>VÄSTERBOTTENS LÄN</t>
        </is>
      </c>
      <c r="E6924" t="inlineStr">
        <is>
          <t>NORSJÖ</t>
        </is>
      </c>
      <c r="G6924" t="n">
        <v>15.8</v>
      </c>
      <c r="H6924" t="n">
        <v>0</v>
      </c>
      <c r="I6924" t="n">
        <v>0</v>
      </c>
      <c r="J6924" t="n">
        <v>0</v>
      </c>
      <c r="K6924" t="n">
        <v>0</v>
      </c>
      <c r="L6924" t="n">
        <v>0</v>
      </c>
      <c r="M6924" t="n">
        <v>0</v>
      </c>
      <c r="N6924" t="n">
        <v>0</v>
      </c>
      <c r="O6924" t="n">
        <v>0</v>
      </c>
      <c r="P6924" t="n">
        <v>0</v>
      </c>
      <c r="Q6924" t="n">
        <v>0</v>
      </c>
      <c r="R6924" s="2" t="inlineStr"/>
    </row>
    <row r="6925" ht="15" customHeight="1">
      <c r="A6925" t="inlineStr">
        <is>
          <t>A 53137-2025</t>
        </is>
      </c>
      <c r="B6925" s="1" t="n">
        <v>45958.46978009259</v>
      </c>
      <c r="C6925" s="1" t="n">
        <v>46075</v>
      </c>
      <c r="D6925" t="inlineStr">
        <is>
          <t>VÄSTERBOTTENS LÄN</t>
        </is>
      </c>
      <c r="E6925" t="inlineStr">
        <is>
          <t>NORSJÖ</t>
        </is>
      </c>
      <c r="G6925" t="n">
        <v>2</v>
      </c>
      <c r="H6925" t="n">
        <v>0</v>
      </c>
      <c r="I6925" t="n">
        <v>0</v>
      </c>
      <c r="J6925" t="n">
        <v>0</v>
      </c>
      <c r="K6925" t="n">
        <v>0</v>
      </c>
      <c r="L6925" t="n">
        <v>0</v>
      </c>
      <c r="M6925" t="n">
        <v>0</v>
      </c>
      <c r="N6925" t="n">
        <v>0</v>
      </c>
      <c r="O6925" t="n">
        <v>0</v>
      </c>
      <c r="P6925" t="n">
        <v>0</v>
      </c>
      <c r="Q6925" t="n">
        <v>0</v>
      </c>
      <c r="R6925" s="2" t="inlineStr"/>
    </row>
    <row r="6926" ht="15" customHeight="1">
      <c r="A6926" t="inlineStr">
        <is>
          <t>A 42034-2023</t>
        </is>
      </c>
      <c r="B6926" s="1" t="n">
        <v>45177.50577546296</v>
      </c>
      <c r="C6926" s="1" t="n">
        <v>46075</v>
      </c>
      <c r="D6926" t="inlineStr">
        <is>
          <t>VÄSTERBOTTENS LÄN</t>
        </is>
      </c>
      <c r="E6926" t="inlineStr">
        <is>
          <t>NORSJÖ</t>
        </is>
      </c>
      <c r="F6926" t="inlineStr">
        <is>
          <t>Holmen skog AB</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52634-2025</t>
        </is>
      </c>
      <c r="B6927" s="1" t="n">
        <v>45953</v>
      </c>
      <c r="C6927" s="1" t="n">
        <v>46075</v>
      </c>
      <c r="D6927" t="inlineStr">
        <is>
          <t>VÄSTERBOTTENS LÄN</t>
        </is>
      </c>
      <c r="E6927" t="inlineStr">
        <is>
          <t>SKELLEFTEÅ</t>
        </is>
      </c>
      <c r="G6927" t="n">
        <v>8.300000000000001</v>
      </c>
      <c r="H6927" t="n">
        <v>0</v>
      </c>
      <c r="I6927" t="n">
        <v>0</v>
      </c>
      <c r="J6927" t="n">
        <v>0</v>
      </c>
      <c r="K6927" t="n">
        <v>0</v>
      </c>
      <c r="L6927" t="n">
        <v>0</v>
      </c>
      <c r="M6927" t="n">
        <v>0</v>
      </c>
      <c r="N6927" t="n">
        <v>0</v>
      </c>
      <c r="O6927" t="n">
        <v>0</v>
      </c>
      <c r="P6927" t="n">
        <v>0</v>
      </c>
      <c r="Q6927" t="n">
        <v>0</v>
      </c>
      <c r="R6927" s="2" t="inlineStr"/>
    </row>
    <row r="6928" ht="15" customHeight="1">
      <c r="A6928" t="inlineStr">
        <is>
          <t>A 53336-2025</t>
        </is>
      </c>
      <c r="B6928" s="1" t="n">
        <v>45959.39545138889</v>
      </c>
      <c r="C6928" s="1" t="n">
        <v>46075</v>
      </c>
      <c r="D6928" t="inlineStr">
        <is>
          <t>VÄSTERBOTTENS LÄN</t>
        </is>
      </c>
      <c r="E6928" t="inlineStr">
        <is>
          <t>UMEÅ</t>
        </is>
      </c>
      <c r="G6928" t="n">
        <v>9.9</v>
      </c>
      <c r="H6928" t="n">
        <v>0</v>
      </c>
      <c r="I6928" t="n">
        <v>0</v>
      </c>
      <c r="J6928" t="n">
        <v>0</v>
      </c>
      <c r="K6928" t="n">
        <v>0</v>
      </c>
      <c r="L6928" t="n">
        <v>0</v>
      </c>
      <c r="M6928" t="n">
        <v>0</v>
      </c>
      <c r="N6928" t="n">
        <v>0</v>
      </c>
      <c r="O6928" t="n">
        <v>0</v>
      </c>
      <c r="P6928" t="n">
        <v>0</v>
      </c>
      <c r="Q6928" t="n">
        <v>0</v>
      </c>
      <c r="R6928" s="2" t="inlineStr"/>
    </row>
    <row r="6929" ht="15" customHeight="1">
      <c r="A6929" t="inlineStr">
        <is>
          <t>A 53348-2025</t>
        </is>
      </c>
      <c r="B6929" s="1" t="n">
        <v>45959.43510416667</v>
      </c>
      <c r="C6929" s="1" t="n">
        <v>46075</v>
      </c>
      <c r="D6929" t="inlineStr">
        <is>
          <t>VÄSTERBOTTENS LÄN</t>
        </is>
      </c>
      <c r="E6929" t="inlineStr">
        <is>
          <t>SORSELE</t>
        </is>
      </c>
      <c r="F6929" t="inlineStr">
        <is>
          <t>Sveaskog</t>
        </is>
      </c>
      <c r="G6929" t="n">
        <v>20.6</v>
      </c>
      <c r="H6929" t="n">
        <v>0</v>
      </c>
      <c r="I6929" t="n">
        <v>0</v>
      </c>
      <c r="J6929" t="n">
        <v>0</v>
      </c>
      <c r="K6929" t="n">
        <v>0</v>
      </c>
      <c r="L6929" t="n">
        <v>0</v>
      </c>
      <c r="M6929" t="n">
        <v>0</v>
      </c>
      <c r="N6929" t="n">
        <v>0</v>
      </c>
      <c r="O6929" t="n">
        <v>0</v>
      </c>
      <c r="P6929" t="n">
        <v>0</v>
      </c>
      <c r="Q6929" t="n">
        <v>0</v>
      </c>
      <c r="R6929" s="2" t="inlineStr"/>
    </row>
    <row r="6930" ht="15" customHeight="1">
      <c r="A6930" t="inlineStr">
        <is>
          <t>A 53023-2025</t>
        </is>
      </c>
      <c r="B6930" s="1" t="n">
        <v>45958.3203125</v>
      </c>
      <c r="C6930" s="1" t="n">
        <v>46075</v>
      </c>
      <c r="D6930" t="inlineStr">
        <is>
          <t>VÄSTERBOTTENS LÄN</t>
        </is>
      </c>
      <c r="E6930" t="inlineStr">
        <is>
          <t>SKELLEFTEÅ</t>
        </is>
      </c>
      <c r="G6930" t="n">
        <v>4.2</v>
      </c>
      <c r="H6930" t="n">
        <v>0</v>
      </c>
      <c r="I6930" t="n">
        <v>0</v>
      </c>
      <c r="J6930" t="n">
        <v>0</v>
      </c>
      <c r="K6930" t="n">
        <v>0</v>
      </c>
      <c r="L6930" t="n">
        <v>0</v>
      </c>
      <c r="M6930" t="n">
        <v>0</v>
      </c>
      <c r="N6930" t="n">
        <v>0</v>
      </c>
      <c r="O6930" t="n">
        <v>0</v>
      </c>
      <c r="P6930" t="n">
        <v>0</v>
      </c>
      <c r="Q6930" t="n">
        <v>0</v>
      </c>
      <c r="R6930" s="2" t="inlineStr"/>
    </row>
    <row r="6931" ht="15" customHeight="1">
      <c r="A6931" t="inlineStr">
        <is>
          <t>A 53451-2025</t>
        </is>
      </c>
      <c r="B6931" s="1" t="n">
        <v>45959.656875</v>
      </c>
      <c r="C6931" s="1" t="n">
        <v>46075</v>
      </c>
      <c r="D6931" t="inlineStr">
        <is>
          <t>VÄSTERBOTTENS LÄN</t>
        </is>
      </c>
      <c r="E6931" t="inlineStr">
        <is>
          <t>LYCKSELE</t>
        </is>
      </c>
      <c r="F6931" t="inlineStr">
        <is>
          <t>SCA</t>
        </is>
      </c>
      <c r="G6931" t="n">
        <v>12.1</v>
      </c>
      <c r="H6931" t="n">
        <v>0</v>
      </c>
      <c r="I6931" t="n">
        <v>0</v>
      </c>
      <c r="J6931" t="n">
        <v>0</v>
      </c>
      <c r="K6931" t="n">
        <v>0</v>
      </c>
      <c r="L6931" t="n">
        <v>0</v>
      </c>
      <c r="M6931" t="n">
        <v>0</v>
      </c>
      <c r="N6931" t="n">
        <v>0</v>
      </c>
      <c r="O6931" t="n">
        <v>0</v>
      </c>
      <c r="P6931" t="n">
        <v>0</v>
      </c>
      <c r="Q6931" t="n">
        <v>0</v>
      </c>
      <c r="R6931" s="2" t="inlineStr"/>
    </row>
    <row r="6932" ht="15" customHeight="1">
      <c r="A6932" t="inlineStr">
        <is>
          <t>A 38480-2023</t>
        </is>
      </c>
      <c r="B6932" s="1" t="n">
        <v>45162</v>
      </c>
      <c r="C6932" s="1" t="n">
        <v>46075</v>
      </c>
      <c r="D6932" t="inlineStr">
        <is>
          <t>VÄSTERBOTTENS LÄN</t>
        </is>
      </c>
      <c r="E6932" t="inlineStr">
        <is>
          <t>ROBERTSFORS</t>
        </is>
      </c>
      <c r="G6932" t="n">
        <v>0.3</v>
      </c>
      <c r="H6932" t="n">
        <v>0</v>
      </c>
      <c r="I6932" t="n">
        <v>0</v>
      </c>
      <c r="J6932" t="n">
        <v>0</v>
      </c>
      <c r="K6932" t="n">
        <v>0</v>
      </c>
      <c r="L6932" t="n">
        <v>0</v>
      </c>
      <c r="M6932" t="n">
        <v>0</v>
      </c>
      <c r="N6932" t="n">
        <v>0</v>
      </c>
      <c r="O6932" t="n">
        <v>0</v>
      </c>
      <c r="P6932" t="n">
        <v>0</v>
      </c>
      <c r="Q6932" t="n">
        <v>0</v>
      </c>
      <c r="R6932" s="2" t="inlineStr"/>
    </row>
    <row r="6933" ht="15" customHeight="1">
      <c r="A6933" t="inlineStr">
        <is>
          <t>A 53354-2025</t>
        </is>
      </c>
      <c r="B6933" s="1" t="n">
        <v>45959.44861111111</v>
      </c>
      <c r="C6933" s="1" t="n">
        <v>46075</v>
      </c>
      <c r="D6933" t="inlineStr">
        <is>
          <t>VÄSTERBOTTENS LÄN</t>
        </is>
      </c>
      <c r="E6933" t="inlineStr">
        <is>
          <t>VINDELN</t>
        </is>
      </c>
      <c r="G6933" t="n">
        <v>8.800000000000001</v>
      </c>
      <c r="H6933" t="n">
        <v>0</v>
      </c>
      <c r="I6933" t="n">
        <v>0</v>
      </c>
      <c r="J6933" t="n">
        <v>0</v>
      </c>
      <c r="K6933" t="n">
        <v>0</v>
      </c>
      <c r="L6933" t="n">
        <v>0</v>
      </c>
      <c r="M6933" t="n">
        <v>0</v>
      </c>
      <c r="N6933" t="n">
        <v>0</v>
      </c>
      <c r="O6933" t="n">
        <v>0</v>
      </c>
      <c r="P6933" t="n">
        <v>0</v>
      </c>
      <c r="Q6933" t="n">
        <v>0</v>
      </c>
      <c r="R6933" s="2" t="inlineStr"/>
    </row>
    <row r="6934" ht="15" customHeight="1">
      <c r="A6934" t="inlineStr">
        <is>
          <t>A 53015-2025</t>
        </is>
      </c>
      <c r="B6934" s="1" t="n">
        <v>45957.82777777778</v>
      </c>
      <c r="C6934" s="1" t="n">
        <v>46075</v>
      </c>
      <c r="D6934" t="inlineStr">
        <is>
          <t>VÄSTERBOTTENS LÄN</t>
        </is>
      </c>
      <c r="E6934" t="inlineStr">
        <is>
          <t>VILHELMINA</t>
        </is>
      </c>
      <c r="G6934" t="n">
        <v>17.2</v>
      </c>
      <c r="H6934" t="n">
        <v>0</v>
      </c>
      <c r="I6934" t="n">
        <v>0</v>
      </c>
      <c r="J6934" t="n">
        <v>0</v>
      </c>
      <c r="K6934" t="n">
        <v>0</v>
      </c>
      <c r="L6934" t="n">
        <v>0</v>
      </c>
      <c r="M6934" t="n">
        <v>0</v>
      </c>
      <c r="N6934" t="n">
        <v>0</v>
      </c>
      <c r="O6934" t="n">
        <v>0</v>
      </c>
      <c r="P6934" t="n">
        <v>0</v>
      </c>
      <c r="Q6934" t="n">
        <v>0</v>
      </c>
      <c r="R6934" s="2" t="inlineStr"/>
    </row>
    <row r="6935" ht="15" customHeight="1">
      <c r="A6935" t="inlineStr">
        <is>
          <t>A 53415-2025</t>
        </is>
      </c>
      <c r="B6935" s="1" t="n">
        <v>45959.58013888889</v>
      </c>
      <c r="C6935" s="1" t="n">
        <v>46075</v>
      </c>
      <c r="D6935" t="inlineStr">
        <is>
          <t>VÄSTERBOTTENS LÄN</t>
        </is>
      </c>
      <c r="E6935" t="inlineStr">
        <is>
          <t>SKELLEFTEÅ</t>
        </is>
      </c>
      <c r="G6935" t="n">
        <v>0.3</v>
      </c>
      <c r="H6935" t="n">
        <v>0</v>
      </c>
      <c r="I6935" t="n">
        <v>0</v>
      </c>
      <c r="J6935" t="n">
        <v>0</v>
      </c>
      <c r="K6935" t="n">
        <v>0</v>
      </c>
      <c r="L6935" t="n">
        <v>0</v>
      </c>
      <c r="M6935" t="n">
        <v>0</v>
      </c>
      <c r="N6935" t="n">
        <v>0</v>
      </c>
      <c r="O6935" t="n">
        <v>0</v>
      </c>
      <c r="P6935" t="n">
        <v>0</v>
      </c>
      <c r="Q6935" t="n">
        <v>0</v>
      </c>
      <c r="R6935" s="2" t="inlineStr"/>
    </row>
    <row r="6936" ht="15" customHeight="1">
      <c r="A6936" t="inlineStr">
        <is>
          <t>A 53353-2025</t>
        </is>
      </c>
      <c r="B6936" s="1" t="n">
        <v>45959.44858796296</v>
      </c>
      <c r="C6936" s="1" t="n">
        <v>46075</v>
      </c>
      <c r="D6936" t="inlineStr">
        <is>
          <t>VÄSTERBOTTENS LÄN</t>
        </is>
      </c>
      <c r="E6936" t="inlineStr">
        <is>
          <t>VINDELN</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29511-2024</t>
        </is>
      </c>
      <c r="B6937" s="1" t="n">
        <v>45484</v>
      </c>
      <c r="C6937" s="1" t="n">
        <v>46075</v>
      </c>
      <c r="D6937" t="inlineStr">
        <is>
          <t>VÄSTERBOTTENS LÄN</t>
        </is>
      </c>
      <c r="E6937" t="inlineStr">
        <is>
          <t>ÅSELE</t>
        </is>
      </c>
      <c r="G6937" t="n">
        <v>0.2</v>
      </c>
      <c r="H6937" t="n">
        <v>0</v>
      </c>
      <c r="I6937" t="n">
        <v>0</v>
      </c>
      <c r="J6937" t="n">
        <v>0</v>
      </c>
      <c r="K6937" t="n">
        <v>0</v>
      </c>
      <c r="L6937" t="n">
        <v>0</v>
      </c>
      <c r="M6937" t="n">
        <v>0</v>
      </c>
      <c r="N6937" t="n">
        <v>0</v>
      </c>
      <c r="O6937" t="n">
        <v>0</v>
      </c>
      <c r="P6937" t="n">
        <v>0</v>
      </c>
      <c r="Q6937" t="n">
        <v>0</v>
      </c>
      <c r="R6937" s="2" t="inlineStr"/>
    </row>
    <row r="6938" ht="15" customHeight="1">
      <c r="A6938" t="inlineStr">
        <is>
          <t>A 29517-2024</t>
        </is>
      </c>
      <c r="B6938" s="1" t="n">
        <v>45484</v>
      </c>
      <c r="C6938" s="1" t="n">
        <v>46075</v>
      </c>
      <c r="D6938" t="inlineStr">
        <is>
          <t>VÄSTERBOTTENS LÄN</t>
        </is>
      </c>
      <c r="E6938" t="inlineStr">
        <is>
          <t>ÅSELE</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53358-2025</t>
        </is>
      </c>
      <c r="B6939" s="1" t="n">
        <v>45959.46972222222</v>
      </c>
      <c r="C6939" s="1" t="n">
        <v>46075</v>
      </c>
      <c r="D6939" t="inlineStr">
        <is>
          <t>VÄSTERBOTTENS LÄN</t>
        </is>
      </c>
      <c r="E6939" t="inlineStr">
        <is>
          <t>VINDELN</t>
        </is>
      </c>
      <c r="G6939" t="n">
        <v>7.8</v>
      </c>
      <c r="H6939" t="n">
        <v>0</v>
      </c>
      <c r="I6939" t="n">
        <v>0</v>
      </c>
      <c r="J6939" t="n">
        <v>0</v>
      </c>
      <c r="K6939" t="n">
        <v>0</v>
      </c>
      <c r="L6939" t="n">
        <v>0</v>
      </c>
      <c r="M6939" t="n">
        <v>0</v>
      </c>
      <c r="N6939" t="n">
        <v>0</v>
      </c>
      <c r="O6939" t="n">
        <v>0</v>
      </c>
      <c r="P6939" t="n">
        <v>0</v>
      </c>
      <c r="Q6939" t="n">
        <v>0</v>
      </c>
      <c r="R6939" s="2" t="inlineStr"/>
    </row>
    <row r="6940" ht="15" customHeight="1">
      <c r="A6940" t="inlineStr">
        <is>
          <t>A 53370-2025</t>
        </is>
      </c>
      <c r="B6940" s="1" t="n">
        <v>45959.4962962963</v>
      </c>
      <c r="C6940" s="1" t="n">
        <v>46075</v>
      </c>
      <c r="D6940" t="inlineStr">
        <is>
          <t>VÄSTERBOTTENS LÄN</t>
        </is>
      </c>
      <c r="E6940" t="inlineStr">
        <is>
          <t>UMEÅ</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53247-2025</t>
        </is>
      </c>
      <c r="B6941" s="1" t="n">
        <v>45958.6490625</v>
      </c>
      <c r="C6941" s="1" t="n">
        <v>46075</v>
      </c>
      <c r="D6941" t="inlineStr">
        <is>
          <t>VÄSTERBOTTENS LÄN</t>
        </is>
      </c>
      <c r="E6941" t="inlineStr">
        <is>
          <t>UMEÅ</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42399-2024</t>
        </is>
      </c>
      <c r="B6942" s="1" t="n">
        <v>45565.33832175926</v>
      </c>
      <c r="C6942" s="1" t="n">
        <v>46075</v>
      </c>
      <c r="D6942" t="inlineStr">
        <is>
          <t>VÄSTERBOTTENS LÄN</t>
        </is>
      </c>
      <c r="E6942" t="inlineStr">
        <is>
          <t>ÅSELE</t>
        </is>
      </c>
      <c r="F6942" t="inlineStr">
        <is>
          <t>Holmen skog AB</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32279-2022</t>
        </is>
      </c>
      <c r="B6943" s="1" t="n">
        <v>44781</v>
      </c>
      <c r="C6943" s="1" t="n">
        <v>46075</v>
      </c>
      <c r="D6943" t="inlineStr">
        <is>
          <t>VÄSTERBOTTENS LÄN</t>
        </is>
      </c>
      <c r="E6943" t="inlineStr">
        <is>
          <t>SKELLEFTEÅ</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53375-2025</t>
        </is>
      </c>
      <c r="B6944" s="1" t="n">
        <v>45959.52104166667</v>
      </c>
      <c r="C6944" s="1" t="n">
        <v>46075</v>
      </c>
      <c r="D6944" t="inlineStr">
        <is>
          <t>VÄSTERBOTTENS LÄN</t>
        </is>
      </c>
      <c r="E6944" t="inlineStr">
        <is>
          <t>SKELLEFTEÅ</t>
        </is>
      </c>
      <c r="G6944" t="n">
        <v>2.5</v>
      </c>
      <c r="H6944" t="n">
        <v>0</v>
      </c>
      <c r="I6944" t="n">
        <v>0</v>
      </c>
      <c r="J6944" t="n">
        <v>0</v>
      </c>
      <c r="K6944" t="n">
        <v>0</v>
      </c>
      <c r="L6944" t="n">
        <v>0</v>
      </c>
      <c r="M6944" t="n">
        <v>0</v>
      </c>
      <c r="N6944" t="n">
        <v>0</v>
      </c>
      <c r="O6944" t="n">
        <v>0</v>
      </c>
      <c r="P6944" t="n">
        <v>0</v>
      </c>
      <c r="Q6944" t="n">
        <v>0</v>
      </c>
      <c r="R6944" s="2" t="inlineStr"/>
      <c r="U6944">
        <f>HYPERLINK("https://klasma.github.io/Logging_2482/knärot/A 53375-2025 karta knärot.png", "A 53375-2025")</f>
        <v/>
      </c>
      <c r="V6944">
        <f>HYPERLINK("https://klasma.github.io/Logging_2482/klagomål/A 53375-2025 FSC-klagomål.docx", "A 53375-2025")</f>
        <v/>
      </c>
      <c r="W6944">
        <f>HYPERLINK("https://klasma.github.io/Logging_2482/klagomålsmail/A 53375-2025 FSC-klagomål mail.docx", "A 53375-2025")</f>
        <v/>
      </c>
      <c r="X6944">
        <f>HYPERLINK("https://klasma.github.io/Logging_2482/tillsyn/A 53375-2025 tillsynsbegäran.docx", "A 53375-2025")</f>
        <v/>
      </c>
      <c r="Y6944">
        <f>HYPERLINK("https://klasma.github.io/Logging_2482/tillsynsmail/A 53375-2025 tillsynsbegäran mail.docx", "A 53375-2025")</f>
        <v/>
      </c>
    </row>
    <row r="6945" ht="15" customHeight="1">
      <c r="A6945" t="inlineStr">
        <is>
          <t>A 53271-2025</t>
        </is>
      </c>
      <c r="B6945" s="1" t="n">
        <v>45958.70387731482</v>
      </c>
      <c r="C6945" s="1" t="n">
        <v>46075</v>
      </c>
      <c r="D6945" t="inlineStr">
        <is>
          <t>VÄSTERBOTTENS LÄN</t>
        </is>
      </c>
      <c r="E6945" t="inlineStr">
        <is>
          <t>UMEÅ</t>
        </is>
      </c>
      <c r="G6945" t="n">
        <v>8.9</v>
      </c>
      <c r="H6945" t="n">
        <v>0</v>
      </c>
      <c r="I6945" t="n">
        <v>0</v>
      </c>
      <c r="J6945" t="n">
        <v>0</v>
      </c>
      <c r="K6945" t="n">
        <v>0</v>
      </c>
      <c r="L6945" t="n">
        <v>0</v>
      </c>
      <c r="M6945" t="n">
        <v>0</v>
      </c>
      <c r="N6945" t="n">
        <v>0</v>
      </c>
      <c r="O6945" t="n">
        <v>0</v>
      </c>
      <c r="P6945" t="n">
        <v>0</v>
      </c>
      <c r="Q6945" t="n">
        <v>0</v>
      </c>
      <c r="R6945" s="2" t="inlineStr"/>
    </row>
    <row r="6946" ht="15" customHeight="1">
      <c r="A6946" t="inlineStr">
        <is>
          <t>A 1321-2025</t>
        </is>
      </c>
      <c r="B6946" s="1" t="n">
        <v>45667</v>
      </c>
      <c r="C6946" s="1" t="n">
        <v>46075</v>
      </c>
      <c r="D6946" t="inlineStr">
        <is>
          <t>VÄSTERBOTTENS LÄN</t>
        </is>
      </c>
      <c r="E6946" t="inlineStr">
        <is>
          <t>SKELLEFTEÅ</t>
        </is>
      </c>
      <c r="F6946" t="inlineStr">
        <is>
          <t>Holmen skog AB</t>
        </is>
      </c>
      <c r="G6946" t="n">
        <v>6.2</v>
      </c>
      <c r="H6946" t="n">
        <v>0</v>
      </c>
      <c r="I6946" t="n">
        <v>0</v>
      </c>
      <c r="J6946" t="n">
        <v>0</v>
      </c>
      <c r="K6946" t="n">
        <v>0</v>
      </c>
      <c r="L6946" t="n">
        <v>0</v>
      </c>
      <c r="M6946" t="n">
        <v>0</v>
      </c>
      <c r="N6946" t="n">
        <v>0</v>
      </c>
      <c r="O6946" t="n">
        <v>0</v>
      </c>
      <c r="P6946" t="n">
        <v>0</v>
      </c>
      <c r="Q6946" t="n">
        <v>0</v>
      </c>
      <c r="R6946" s="2" t="inlineStr"/>
    </row>
    <row r="6947" ht="15" customHeight="1">
      <c r="A6947" t="inlineStr">
        <is>
          <t>A 16003-2024</t>
        </is>
      </c>
      <c r="B6947" s="1" t="n">
        <v>45405</v>
      </c>
      <c r="C6947" s="1" t="n">
        <v>46075</v>
      </c>
      <c r="D6947" t="inlineStr">
        <is>
          <t>VÄSTERBOTTENS LÄN</t>
        </is>
      </c>
      <c r="E6947" t="inlineStr">
        <is>
          <t>UMEÅ</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1334-2025</t>
        </is>
      </c>
      <c r="B6948" s="1" t="n">
        <v>45667.5803125</v>
      </c>
      <c r="C6948" s="1" t="n">
        <v>46075</v>
      </c>
      <c r="D6948" t="inlineStr">
        <is>
          <t>VÄSTERBOTTENS LÄN</t>
        </is>
      </c>
      <c r="E6948" t="inlineStr">
        <is>
          <t>NORSJÖ</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1362-2025</t>
        </is>
      </c>
      <c r="B6949" s="1" t="n">
        <v>45667.63641203703</v>
      </c>
      <c r="C6949" s="1" t="n">
        <v>46075</v>
      </c>
      <c r="D6949" t="inlineStr">
        <is>
          <t>VÄSTERBOTTENS LÄN</t>
        </is>
      </c>
      <c r="E6949" t="inlineStr">
        <is>
          <t>SKELLEFTEÅ</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1367-2025</t>
        </is>
      </c>
      <c r="B6950" s="1" t="n">
        <v>45667.64177083333</v>
      </c>
      <c r="C6950" s="1" t="n">
        <v>46075</v>
      </c>
      <c r="D6950" t="inlineStr">
        <is>
          <t>VÄSTERBOTTENS LÄN</t>
        </is>
      </c>
      <c r="E6950" t="inlineStr">
        <is>
          <t>SKELLEFTEÅ</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2087-2025</t>
        </is>
      </c>
      <c r="B6951" s="1" t="n">
        <v>45672.59090277777</v>
      </c>
      <c r="C6951" s="1" t="n">
        <v>46075</v>
      </c>
      <c r="D6951" t="inlineStr">
        <is>
          <t>VÄSTERBOTTENS LÄN</t>
        </is>
      </c>
      <c r="E6951" t="inlineStr">
        <is>
          <t>SKELLEFTEÅ</t>
        </is>
      </c>
      <c r="F6951" t="inlineStr">
        <is>
          <t>Holmen skog AB</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27382-2024</t>
        </is>
      </c>
      <c r="B6952" s="1" t="n">
        <v>45473.9594212963</v>
      </c>
      <c r="C6952" s="1" t="n">
        <v>46075</v>
      </c>
      <c r="D6952" t="inlineStr">
        <is>
          <t>VÄSTERBOTTENS LÄN</t>
        </is>
      </c>
      <c r="E6952" t="inlineStr">
        <is>
          <t>NORDMALING</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27384-2024</t>
        </is>
      </c>
      <c r="B6953" s="1" t="n">
        <v>45473</v>
      </c>
      <c r="C6953" s="1" t="n">
        <v>46075</v>
      </c>
      <c r="D6953" t="inlineStr">
        <is>
          <t>VÄSTERBOTTENS LÄN</t>
        </is>
      </c>
      <c r="E6953" t="inlineStr">
        <is>
          <t>NORDMALING</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53101-2025</t>
        </is>
      </c>
      <c r="B6954" s="1" t="n">
        <v>45958.42988425926</v>
      </c>
      <c r="C6954" s="1" t="n">
        <v>46075</v>
      </c>
      <c r="D6954" t="inlineStr">
        <is>
          <t>VÄSTERBOTTENS LÄN</t>
        </is>
      </c>
      <c r="E6954" t="inlineStr">
        <is>
          <t>LYCKSELE</t>
        </is>
      </c>
      <c r="F6954" t="inlineStr">
        <is>
          <t>Sveaskog</t>
        </is>
      </c>
      <c r="G6954" t="n">
        <v>10.6</v>
      </c>
      <c r="H6954" t="n">
        <v>0</v>
      </c>
      <c r="I6954" t="n">
        <v>0</v>
      </c>
      <c r="J6954" t="n">
        <v>0</v>
      </c>
      <c r="K6954" t="n">
        <v>0</v>
      </c>
      <c r="L6954" t="n">
        <v>0</v>
      </c>
      <c r="M6954" t="n">
        <v>0</v>
      </c>
      <c r="N6954" t="n">
        <v>0</v>
      </c>
      <c r="O6954" t="n">
        <v>0</v>
      </c>
      <c r="P6954" t="n">
        <v>0</v>
      </c>
      <c r="Q6954" t="n">
        <v>0</v>
      </c>
      <c r="R6954" s="2" t="inlineStr"/>
    </row>
    <row r="6955" ht="15" customHeight="1">
      <c r="A6955" t="inlineStr">
        <is>
          <t>A 53410-2025</t>
        </is>
      </c>
      <c r="B6955" s="1" t="n">
        <v>45959.57429398148</v>
      </c>
      <c r="C6955" s="1" t="n">
        <v>46075</v>
      </c>
      <c r="D6955" t="inlineStr">
        <is>
          <t>VÄSTERBOTTENS LÄN</t>
        </is>
      </c>
      <c r="E6955" t="inlineStr">
        <is>
          <t>SKELLEFTEÅ</t>
        </is>
      </c>
      <c r="G6955" t="n">
        <v>9.300000000000001</v>
      </c>
      <c r="H6955" t="n">
        <v>0</v>
      </c>
      <c r="I6955" t="n">
        <v>0</v>
      </c>
      <c r="J6955" t="n">
        <v>0</v>
      </c>
      <c r="K6955" t="n">
        <v>0</v>
      </c>
      <c r="L6955" t="n">
        <v>0</v>
      </c>
      <c r="M6955" t="n">
        <v>0</v>
      </c>
      <c r="N6955" t="n">
        <v>0</v>
      </c>
      <c r="O6955" t="n">
        <v>0</v>
      </c>
      <c r="P6955" t="n">
        <v>0</v>
      </c>
      <c r="Q6955" t="n">
        <v>0</v>
      </c>
      <c r="R6955" s="2" t="inlineStr"/>
    </row>
    <row r="6956" ht="15" customHeight="1">
      <c r="A6956" t="inlineStr">
        <is>
          <t>A 53027-2025</t>
        </is>
      </c>
      <c r="B6956" s="1" t="n">
        <v>45958.34142361111</v>
      </c>
      <c r="C6956" s="1" t="n">
        <v>46075</v>
      </c>
      <c r="D6956" t="inlineStr">
        <is>
          <t>VÄSTERBOTTENS LÄN</t>
        </is>
      </c>
      <c r="E6956" t="inlineStr">
        <is>
          <t>SKELLEFTEÅ</t>
        </is>
      </c>
      <c r="G6956" t="n">
        <v>4.8</v>
      </c>
      <c r="H6956" t="n">
        <v>0</v>
      </c>
      <c r="I6956" t="n">
        <v>0</v>
      </c>
      <c r="J6956" t="n">
        <v>0</v>
      </c>
      <c r="K6956" t="n">
        <v>0</v>
      </c>
      <c r="L6956" t="n">
        <v>0</v>
      </c>
      <c r="M6956" t="n">
        <v>0</v>
      </c>
      <c r="N6956" t="n">
        <v>0</v>
      </c>
      <c r="O6956" t="n">
        <v>0</v>
      </c>
      <c r="P6956" t="n">
        <v>0</v>
      </c>
      <c r="Q6956" t="n">
        <v>0</v>
      </c>
      <c r="R6956" s="2" t="inlineStr"/>
    </row>
    <row r="6957" ht="15" customHeight="1">
      <c r="A6957" t="inlineStr">
        <is>
          <t>A 23769-2023</t>
        </is>
      </c>
      <c r="B6957" s="1" t="n">
        <v>45077.94409722222</v>
      </c>
      <c r="C6957" s="1" t="n">
        <v>46075</v>
      </c>
      <c r="D6957" t="inlineStr">
        <is>
          <t>VÄSTERBOTTENS LÄN</t>
        </is>
      </c>
      <c r="E6957" t="inlineStr">
        <is>
          <t>LYCKSELE</t>
        </is>
      </c>
      <c r="F6957" t="inlineStr">
        <is>
          <t>SCA</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12772-2024</t>
        </is>
      </c>
      <c r="B6958" s="1" t="n">
        <v>45384</v>
      </c>
      <c r="C6958" s="1" t="n">
        <v>46075</v>
      </c>
      <c r="D6958" t="inlineStr">
        <is>
          <t>VÄSTERBOTTENS LÄN</t>
        </is>
      </c>
      <c r="E6958" t="inlineStr">
        <is>
          <t>SKELLEFTEÅ</t>
        </is>
      </c>
      <c r="G6958" t="n">
        <v>0.2</v>
      </c>
      <c r="H6958" t="n">
        <v>0</v>
      </c>
      <c r="I6958" t="n">
        <v>0</v>
      </c>
      <c r="J6958" t="n">
        <v>0</v>
      </c>
      <c r="K6958" t="n">
        <v>0</v>
      </c>
      <c r="L6958" t="n">
        <v>0</v>
      </c>
      <c r="M6958" t="n">
        <v>0</v>
      </c>
      <c r="N6958" t="n">
        <v>0</v>
      </c>
      <c r="O6958" t="n">
        <v>0</v>
      </c>
      <c r="P6958" t="n">
        <v>0</v>
      </c>
      <c r="Q6958" t="n">
        <v>0</v>
      </c>
      <c r="R6958" s="2" t="inlineStr"/>
    </row>
    <row r="6959" ht="15" customHeight="1">
      <c r="A6959" t="inlineStr">
        <is>
          <t>A 33132-2023</t>
        </is>
      </c>
      <c r="B6959" s="1" t="n">
        <v>45114</v>
      </c>
      <c r="C6959" s="1" t="n">
        <v>46075</v>
      </c>
      <c r="D6959" t="inlineStr">
        <is>
          <t>VÄSTERBOTTENS LÄN</t>
        </is>
      </c>
      <c r="E6959" t="inlineStr">
        <is>
          <t>VINDELN</t>
        </is>
      </c>
      <c r="G6959" t="n">
        <v>5</v>
      </c>
      <c r="H6959" t="n">
        <v>0</v>
      </c>
      <c r="I6959" t="n">
        <v>0</v>
      </c>
      <c r="J6959" t="n">
        <v>0</v>
      </c>
      <c r="K6959" t="n">
        <v>0</v>
      </c>
      <c r="L6959" t="n">
        <v>0</v>
      </c>
      <c r="M6959" t="n">
        <v>0</v>
      </c>
      <c r="N6959" t="n">
        <v>0</v>
      </c>
      <c r="O6959" t="n">
        <v>0</v>
      </c>
      <c r="P6959" t="n">
        <v>0</v>
      </c>
      <c r="Q6959" t="n">
        <v>0</v>
      </c>
      <c r="R6959" s="2" t="inlineStr"/>
    </row>
    <row r="6960" ht="15" customHeight="1">
      <c r="A6960" t="inlineStr">
        <is>
          <t>A 47140-2023</t>
        </is>
      </c>
      <c r="B6960" s="1" t="n">
        <v>45196</v>
      </c>
      <c r="C6960" s="1" t="n">
        <v>46075</v>
      </c>
      <c r="D6960" t="inlineStr">
        <is>
          <t>VÄSTERBOTTENS LÄN</t>
        </is>
      </c>
      <c r="E6960" t="inlineStr">
        <is>
          <t>STORUMAN</t>
        </is>
      </c>
      <c r="G6960" t="n">
        <v>9.300000000000001</v>
      </c>
      <c r="H6960" t="n">
        <v>0</v>
      </c>
      <c r="I6960" t="n">
        <v>0</v>
      </c>
      <c r="J6960" t="n">
        <v>0</v>
      </c>
      <c r="K6960" t="n">
        <v>0</v>
      </c>
      <c r="L6960" t="n">
        <v>0</v>
      </c>
      <c r="M6960" t="n">
        <v>0</v>
      </c>
      <c r="N6960" t="n">
        <v>0</v>
      </c>
      <c r="O6960" t="n">
        <v>0</v>
      </c>
      <c r="P6960" t="n">
        <v>0</v>
      </c>
      <c r="Q6960" t="n">
        <v>0</v>
      </c>
      <c r="R6960" s="2" t="inlineStr"/>
    </row>
    <row r="6961" ht="15" customHeight="1">
      <c r="A6961" t="inlineStr">
        <is>
          <t>A 38166-2024</t>
        </is>
      </c>
      <c r="B6961" s="1" t="n">
        <v>45545.4500462963</v>
      </c>
      <c r="C6961" s="1" t="n">
        <v>46075</v>
      </c>
      <c r="D6961" t="inlineStr">
        <is>
          <t>VÄSTERBOTTENS LÄN</t>
        </is>
      </c>
      <c r="E6961" t="inlineStr">
        <is>
          <t>SORSELE</t>
        </is>
      </c>
      <c r="G6961" t="n">
        <v>4.1</v>
      </c>
      <c r="H6961" t="n">
        <v>0</v>
      </c>
      <c r="I6961" t="n">
        <v>0</v>
      </c>
      <c r="J6961" t="n">
        <v>0</v>
      </c>
      <c r="K6961" t="n">
        <v>0</v>
      </c>
      <c r="L6961" t="n">
        <v>0</v>
      </c>
      <c r="M6961" t="n">
        <v>0</v>
      </c>
      <c r="N6961" t="n">
        <v>0</v>
      </c>
      <c r="O6961" t="n">
        <v>0</v>
      </c>
      <c r="P6961" t="n">
        <v>0</v>
      </c>
      <c r="Q6961" t="n">
        <v>0</v>
      </c>
      <c r="R6961" s="2" t="inlineStr"/>
    </row>
    <row r="6962" ht="15" customHeight="1">
      <c r="A6962" t="inlineStr">
        <is>
          <t>A 53994-2025</t>
        </is>
      </c>
      <c r="B6962" s="1" t="n">
        <v>45961.5853125</v>
      </c>
      <c r="C6962" s="1" t="n">
        <v>46075</v>
      </c>
      <c r="D6962" t="inlineStr">
        <is>
          <t>VÄSTERBOTTENS LÄN</t>
        </is>
      </c>
      <c r="E6962" t="inlineStr">
        <is>
          <t>LYCKSELE</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36909-2024</t>
        </is>
      </c>
      <c r="B6963" s="1" t="n">
        <v>45538.63577546296</v>
      </c>
      <c r="C6963" s="1" t="n">
        <v>46075</v>
      </c>
      <c r="D6963" t="inlineStr">
        <is>
          <t>VÄSTERBOTTENS LÄN</t>
        </is>
      </c>
      <c r="E6963" t="inlineStr">
        <is>
          <t>VILHELMINA</t>
        </is>
      </c>
      <c r="F6963" t="inlineStr">
        <is>
          <t>SCA</t>
        </is>
      </c>
      <c r="G6963" t="n">
        <v>16.8</v>
      </c>
      <c r="H6963" t="n">
        <v>0</v>
      </c>
      <c r="I6963" t="n">
        <v>0</v>
      </c>
      <c r="J6963" t="n">
        <v>0</v>
      </c>
      <c r="K6963" t="n">
        <v>0</v>
      </c>
      <c r="L6963" t="n">
        <v>0</v>
      </c>
      <c r="M6963" t="n">
        <v>0</v>
      </c>
      <c r="N6963" t="n">
        <v>0</v>
      </c>
      <c r="O6963" t="n">
        <v>0</v>
      </c>
      <c r="P6963" t="n">
        <v>0</v>
      </c>
      <c r="Q6963" t="n">
        <v>0</v>
      </c>
      <c r="R6963" s="2" t="inlineStr"/>
    </row>
    <row r="6964" ht="15" customHeight="1">
      <c r="A6964" t="inlineStr">
        <is>
          <t>A 53915-2025</t>
        </is>
      </c>
      <c r="B6964" s="1" t="n">
        <v>45961.44832175926</v>
      </c>
      <c r="C6964" s="1" t="n">
        <v>46075</v>
      </c>
      <c r="D6964" t="inlineStr">
        <is>
          <t>VÄSTERBOTTENS LÄN</t>
        </is>
      </c>
      <c r="E6964" t="inlineStr">
        <is>
          <t>NORDMALING</t>
        </is>
      </c>
      <c r="F6964" t="inlineStr">
        <is>
          <t>SCA</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53921-2025</t>
        </is>
      </c>
      <c r="B6965" s="1" t="n">
        <v>45961.45025462963</v>
      </c>
      <c r="C6965" s="1" t="n">
        <v>46075</v>
      </c>
      <c r="D6965" t="inlineStr">
        <is>
          <t>VÄSTERBOTTENS LÄN</t>
        </is>
      </c>
      <c r="E6965" t="inlineStr">
        <is>
          <t>VINDELN</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53485-2025</t>
        </is>
      </c>
      <c r="B6966" s="1" t="n">
        <v>45959.895625</v>
      </c>
      <c r="C6966" s="1" t="n">
        <v>46075</v>
      </c>
      <c r="D6966" t="inlineStr">
        <is>
          <t>VÄSTERBOTTENS LÄN</t>
        </is>
      </c>
      <c r="E6966" t="inlineStr">
        <is>
          <t>ROBERTSFORS</t>
        </is>
      </c>
      <c r="F6966" t="inlineStr">
        <is>
          <t>Holmen skog AB</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53512-2025</t>
        </is>
      </c>
      <c r="B6967" s="1" t="n">
        <v>45960.34540509259</v>
      </c>
      <c r="C6967" s="1" t="n">
        <v>46075</v>
      </c>
      <c r="D6967" t="inlineStr">
        <is>
          <t>VÄSTERBOTTENS LÄN</t>
        </is>
      </c>
      <c r="E6967" t="inlineStr">
        <is>
          <t>SKELLEFTEÅ</t>
        </is>
      </c>
      <c r="G6967" t="n">
        <v>2.7</v>
      </c>
      <c r="H6967" t="n">
        <v>0</v>
      </c>
      <c r="I6967" t="n">
        <v>0</v>
      </c>
      <c r="J6967" t="n">
        <v>0</v>
      </c>
      <c r="K6967" t="n">
        <v>0</v>
      </c>
      <c r="L6967" t="n">
        <v>0</v>
      </c>
      <c r="M6967" t="n">
        <v>0</v>
      </c>
      <c r="N6967" t="n">
        <v>0</v>
      </c>
      <c r="O6967" t="n">
        <v>0</v>
      </c>
      <c r="P6967" t="n">
        <v>0</v>
      </c>
      <c r="Q6967" t="n">
        <v>0</v>
      </c>
      <c r="R6967" s="2" t="inlineStr"/>
    </row>
    <row r="6968" ht="15" customHeight="1">
      <c r="A6968" t="inlineStr">
        <is>
          <t>A 17511-2025</t>
        </is>
      </c>
      <c r="B6968" s="1" t="n">
        <v>45757</v>
      </c>
      <c r="C6968" s="1" t="n">
        <v>46075</v>
      </c>
      <c r="D6968" t="inlineStr">
        <is>
          <t>VÄSTERBOTTENS LÄN</t>
        </is>
      </c>
      <c r="E6968" t="inlineStr">
        <is>
          <t>VINDELN</t>
        </is>
      </c>
      <c r="G6968" t="n">
        <v>8</v>
      </c>
      <c r="H6968" t="n">
        <v>0</v>
      </c>
      <c r="I6968" t="n">
        <v>0</v>
      </c>
      <c r="J6968" t="n">
        <v>0</v>
      </c>
      <c r="K6968" t="n">
        <v>0</v>
      </c>
      <c r="L6968" t="n">
        <v>0</v>
      </c>
      <c r="M6968" t="n">
        <v>0</v>
      </c>
      <c r="N6968" t="n">
        <v>0</v>
      </c>
      <c r="O6968" t="n">
        <v>0</v>
      </c>
      <c r="P6968" t="n">
        <v>0</v>
      </c>
      <c r="Q6968" t="n">
        <v>0</v>
      </c>
      <c r="R6968" s="2" t="inlineStr"/>
    </row>
    <row r="6969" ht="15" customHeight="1">
      <c r="A6969" t="inlineStr">
        <is>
          <t>A 28237-2021</t>
        </is>
      </c>
      <c r="B6969" s="1" t="n">
        <v>44355.66364583333</v>
      </c>
      <c r="C6969" s="1" t="n">
        <v>46075</v>
      </c>
      <c r="D6969" t="inlineStr">
        <is>
          <t>VÄSTERBOTTENS LÄN</t>
        </is>
      </c>
      <c r="E6969" t="inlineStr">
        <is>
          <t>ROBERTSFORS</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18291-2025</t>
        </is>
      </c>
      <c r="B6970" s="1" t="n">
        <v>45762.41027777778</v>
      </c>
      <c r="C6970" s="1" t="n">
        <v>46075</v>
      </c>
      <c r="D6970" t="inlineStr">
        <is>
          <t>VÄSTERBOTTENS LÄN</t>
        </is>
      </c>
      <c r="E6970" t="inlineStr">
        <is>
          <t>SKELLEFTEÅ</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2439-2023</t>
        </is>
      </c>
      <c r="B6971" s="1" t="n">
        <v>44942</v>
      </c>
      <c r="C6971" s="1" t="n">
        <v>46075</v>
      </c>
      <c r="D6971" t="inlineStr">
        <is>
          <t>VÄSTERBOTTENS LÄN</t>
        </is>
      </c>
      <c r="E6971" t="inlineStr">
        <is>
          <t>SKELLEFTEÅ</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58961-2022</t>
        </is>
      </c>
      <c r="B6972" s="1" t="n">
        <v>44903</v>
      </c>
      <c r="C6972" s="1" t="n">
        <v>46075</v>
      </c>
      <c r="D6972" t="inlineStr">
        <is>
          <t>VÄSTERBOTTENS LÄN</t>
        </is>
      </c>
      <c r="E6972" t="inlineStr">
        <is>
          <t>LYCKSELE</t>
        </is>
      </c>
      <c r="F6972" t="inlineStr">
        <is>
          <t>Holmen skog AB</t>
        </is>
      </c>
      <c r="G6972" t="n">
        <v>5.1</v>
      </c>
      <c r="H6972" t="n">
        <v>0</v>
      </c>
      <c r="I6972" t="n">
        <v>0</v>
      </c>
      <c r="J6972" t="n">
        <v>0</v>
      </c>
      <c r="K6972" t="n">
        <v>0</v>
      </c>
      <c r="L6972" t="n">
        <v>0</v>
      </c>
      <c r="M6972" t="n">
        <v>0</v>
      </c>
      <c r="N6972" t="n">
        <v>0</v>
      </c>
      <c r="O6972" t="n">
        <v>0</v>
      </c>
      <c r="P6972" t="n">
        <v>0</v>
      </c>
      <c r="Q6972" t="n">
        <v>0</v>
      </c>
      <c r="R6972" s="2" t="inlineStr"/>
    </row>
    <row r="6973" ht="15" customHeight="1">
      <c r="A6973" t="inlineStr">
        <is>
          <t>A 9135-2024</t>
        </is>
      </c>
      <c r="B6973" s="1" t="n">
        <v>45357</v>
      </c>
      <c r="C6973" s="1" t="n">
        <v>46075</v>
      </c>
      <c r="D6973" t="inlineStr">
        <is>
          <t>VÄSTERBOTTENS LÄN</t>
        </is>
      </c>
      <c r="E6973" t="inlineStr">
        <is>
          <t>ROBERTSFORS</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1612-2023</t>
        </is>
      </c>
      <c r="B6974" s="1" t="n">
        <v>44935</v>
      </c>
      <c r="C6974" s="1" t="n">
        <v>46075</v>
      </c>
      <c r="D6974" t="inlineStr">
        <is>
          <t>VÄSTERBOTTENS LÄN</t>
        </is>
      </c>
      <c r="E6974" t="inlineStr">
        <is>
          <t>SKELLEFTEÅ</t>
        </is>
      </c>
      <c r="G6974" t="n">
        <v>2.4</v>
      </c>
      <c r="H6974" t="n">
        <v>0</v>
      </c>
      <c r="I6974" t="n">
        <v>0</v>
      </c>
      <c r="J6974" t="n">
        <v>0</v>
      </c>
      <c r="K6974" t="n">
        <v>0</v>
      </c>
      <c r="L6974" t="n">
        <v>0</v>
      </c>
      <c r="M6974" t="n">
        <v>0</v>
      </c>
      <c r="N6974" t="n">
        <v>0</v>
      </c>
      <c r="O6974" t="n">
        <v>0</v>
      </c>
      <c r="P6974" t="n">
        <v>0</v>
      </c>
      <c r="Q6974" t="n">
        <v>0</v>
      </c>
      <c r="R6974" s="2" t="inlineStr"/>
    </row>
    <row r="6975" ht="15" customHeight="1">
      <c r="A6975" t="inlineStr">
        <is>
          <t>A 8681-2025</t>
        </is>
      </c>
      <c r="B6975" s="1" t="n">
        <v>45712.44364583334</v>
      </c>
      <c r="C6975" s="1" t="n">
        <v>46075</v>
      </c>
      <c r="D6975" t="inlineStr">
        <is>
          <t>VÄSTERBOTTENS LÄN</t>
        </is>
      </c>
      <c r="E6975" t="inlineStr">
        <is>
          <t>ROBERTSFORS</t>
        </is>
      </c>
      <c r="G6975" t="n">
        <v>4.2</v>
      </c>
      <c r="H6975" t="n">
        <v>0</v>
      </c>
      <c r="I6975" t="n">
        <v>0</v>
      </c>
      <c r="J6975" t="n">
        <v>0</v>
      </c>
      <c r="K6975" t="n">
        <v>0</v>
      </c>
      <c r="L6975" t="n">
        <v>0</v>
      </c>
      <c r="M6975" t="n">
        <v>0</v>
      </c>
      <c r="N6975" t="n">
        <v>0</v>
      </c>
      <c r="O6975" t="n">
        <v>0</v>
      </c>
      <c r="P6975" t="n">
        <v>0</v>
      </c>
      <c r="Q6975" t="n">
        <v>0</v>
      </c>
      <c r="R6975" s="2" t="inlineStr"/>
    </row>
    <row r="6976" ht="15" customHeight="1">
      <c r="A6976" t="inlineStr">
        <is>
          <t>A 51796-2024</t>
        </is>
      </c>
      <c r="B6976" s="1" t="n">
        <v>45604</v>
      </c>
      <c r="C6976" s="1" t="n">
        <v>46075</v>
      </c>
      <c r="D6976" t="inlineStr">
        <is>
          <t>VÄSTERBOTTENS LÄN</t>
        </is>
      </c>
      <c r="E6976" t="inlineStr">
        <is>
          <t>STORUMAN</t>
        </is>
      </c>
      <c r="F6976" t="inlineStr">
        <is>
          <t>Allmännings- och besparingsskogar</t>
        </is>
      </c>
      <c r="G6976" t="n">
        <v>37.6</v>
      </c>
      <c r="H6976" t="n">
        <v>0</v>
      </c>
      <c r="I6976" t="n">
        <v>0</v>
      </c>
      <c r="J6976" t="n">
        <v>0</v>
      </c>
      <c r="K6976" t="n">
        <v>0</v>
      </c>
      <c r="L6976" t="n">
        <v>0</v>
      </c>
      <c r="M6976" t="n">
        <v>0</v>
      </c>
      <c r="N6976" t="n">
        <v>0</v>
      </c>
      <c r="O6976" t="n">
        <v>0</v>
      </c>
      <c r="P6976" t="n">
        <v>0</v>
      </c>
      <c r="Q6976" t="n">
        <v>0</v>
      </c>
      <c r="R6976" s="2" t="inlineStr"/>
    </row>
    <row r="6977" ht="15" customHeight="1">
      <c r="A6977" t="inlineStr">
        <is>
          <t>A 53783-2024</t>
        </is>
      </c>
      <c r="B6977" s="1" t="n">
        <v>45615</v>
      </c>
      <c r="C6977" s="1" t="n">
        <v>46075</v>
      </c>
      <c r="D6977" t="inlineStr">
        <is>
          <t>VÄSTERBOTTENS LÄN</t>
        </is>
      </c>
      <c r="E6977" t="inlineStr">
        <is>
          <t>VÄNNÄS</t>
        </is>
      </c>
      <c r="G6977" t="n">
        <v>3.8</v>
      </c>
      <c r="H6977" t="n">
        <v>0</v>
      </c>
      <c r="I6977" t="n">
        <v>0</v>
      </c>
      <c r="J6977" t="n">
        <v>0</v>
      </c>
      <c r="K6977" t="n">
        <v>0</v>
      </c>
      <c r="L6977" t="n">
        <v>0</v>
      </c>
      <c r="M6977" t="n">
        <v>0</v>
      </c>
      <c r="N6977" t="n">
        <v>0</v>
      </c>
      <c r="O6977" t="n">
        <v>0</v>
      </c>
      <c r="P6977" t="n">
        <v>0</v>
      </c>
      <c r="Q6977" t="n">
        <v>0</v>
      </c>
      <c r="R6977" s="2" t="inlineStr"/>
    </row>
    <row r="6978" ht="15" customHeight="1">
      <c r="A6978" t="inlineStr">
        <is>
          <t>A 53787-2024</t>
        </is>
      </c>
      <c r="B6978" s="1" t="n">
        <v>45615</v>
      </c>
      <c r="C6978" s="1" t="n">
        <v>46075</v>
      </c>
      <c r="D6978" t="inlineStr">
        <is>
          <t>VÄSTERBOTTENS LÄN</t>
        </is>
      </c>
      <c r="E6978" t="inlineStr">
        <is>
          <t>UMEÅ</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28697-2024</t>
        </is>
      </c>
      <c r="B6979" s="1" t="n">
        <v>45478</v>
      </c>
      <c r="C6979" s="1" t="n">
        <v>46075</v>
      </c>
      <c r="D6979" t="inlineStr">
        <is>
          <t>VÄSTERBOTTENS LÄN</t>
        </is>
      </c>
      <c r="E6979" t="inlineStr">
        <is>
          <t>ÅSELE</t>
        </is>
      </c>
      <c r="F6979" t="inlineStr">
        <is>
          <t>Sveaskog</t>
        </is>
      </c>
      <c r="G6979" t="n">
        <v>2.9</v>
      </c>
      <c r="H6979" t="n">
        <v>0</v>
      </c>
      <c r="I6979" t="n">
        <v>0</v>
      </c>
      <c r="J6979" t="n">
        <v>0</v>
      </c>
      <c r="K6979" t="n">
        <v>0</v>
      </c>
      <c r="L6979" t="n">
        <v>0</v>
      </c>
      <c r="M6979" t="n">
        <v>0</v>
      </c>
      <c r="N6979" t="n">
        <v>0</v>
      </c>
      <c r="O6979" t="n">
        <v>0</v>
      </c>
      <c r="P6979" t="n">
        <v>0</v>
      </c>
      <c r="Q6979" t="n">
        <v>0</v>
      </c>
      <c r="R6979" s="2" t="inlineStr"/>
    </row>
    <row r="6980" ht="15" customHeight="1">
      <c r="A6980" t="inlineStr">
        <is>
          <t>A 53919-2025</t>
        </is>
      </c>
      <c r="B6980" s="1" t="n">
        <v>45961.44899305556</v>
      </c>
      <c r="C6980" s="1" t="n">
        <v>46075</v>
      </c>
      <c r="D6980" t="inlineStr">
        <is>
          <t>VÄSTERBOTTENS LÄN</t>
        </is>
      </c>
      <c r="E6980" t="inlineStr">
        <is>
          <t>VINDELN</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53890-2025</t>
        </is>
      </c>
      <c r="B6981" s="1" t="n">
        <v>45961.41300925926</v>
      </c>
      <c r="C6981" s="1" t="n">
        <v>46075</v>
      </c>
      <c r="D6981" t="inlineStr">
        <is>
          <t>VÄSTERBOTTENS LÄN</t>
        </is>
      </c>
      <c r="E6981" t="inlineStr">
        <is>
          <t>VINDELN</t>
        </is>
      </c>
      <c r="G6981" t="n">
        <v>3</v>
      </c>
      <c r="H6981" t="n">
        <v>0</v>
      </c>
      <c r="I6981" t="n">
        <v>0</v>
      </c>
      <c r="J6981" t="n">
        <v>0</v>
      </c>
      <c r="K6981" t="n">
        <v>0</v>
      </c>
      <c r="L6981" t="n">
        <v>0</v>
      </c>
      <c r="M6981" t="n">
        <v>0</v>
      </c>
      <c r="N6981" t="n">
        <v>0</v>
      </c>
      <c r="O6981" t="n">
        <v>0</v>
      </c>
      <c r="P6981" t="n">
        <v>0</v>
      </c>
      <c r="Q6981" t="n">
        <v>0</v>
      </c>
      <c r="R6981" s="2" t="inlineStr"/>
    </row>
    <row r="6982" ht="15" customHeight="1">
      <c r="A6982" t="inlineStr">
        <is>
          <t>A 53564-2025</t>
        </is>
      </c>
      <c r="B6982" s="1" t="n">
        <v>45960.40697916667</v>
      </c>
      <c r="C6982" s="1" t="n">
        <v>46075</v>
      </c>
      <c r="D6982" t="inlineStr">
        <is>
          <t>VÄSTERBOTTENS LÄN</t>
        </is>
      </c>
      <c r="E6982" t="inlineStr">
        <is>
          <t>NORSJÖ</t>
        </is>
      </c>
      <c r="G6982" t="n">
        <v>6.4</v>
      </c>
      <c r="H6982" t="n">
        <v>0</v>
      </c>
      <c r="I6982" t="n">
        <v>0</v>
      </c>
      <c r="J6982" t="n">
        <v>0</v>
      </c>
      <c r="K6982" t="n">
        <v>0</v>
      </c>
      <c r="L6982" t="n">
        <v>0</v>
      </c>
      <c r="M6982" t="n">
        <v>0</v>
      </c>
      <c r="N6982" t="n">
        <v>0</v>
      </c>
      <c r="O6982" t="n">
        <v>0</v>
      </c>
      <c r="P6982" t="n">
        <v>0</v>
      </c>
      <c r="Q6982" t="n">
        <v>0</v>
      </c>
      <c r="R6982" s="2" t="inlineStr"/>
    </row>
    <row r="6983" ht="15" customHeight="1">
      <c r="A6983" t="inlineStr">
        <is>
          <t>A 53826-2025</t>
        </is>
      </c>
      <c r="B6983" s="1" t="n">
        <v>45961.34436342592</v>
      </c>
      <c r="C6983" s="1" t="n">
        <v>46075</v>
      </c>
      <c r="D6983" t="inlineStr">
        <is>
          <t>VÄSTERBOTTENS LÄN</t>
        </is>
      </c>
      <c r="E6983" t="inlineStr">
        <is>
          <t>NORDMALING</t>
        </is>
      </c>
      <c r="F6983" t="inlineStr">
        <is>
          <t>SCA</t>
        </is>
      </c>
      <c r="G6983" t="n">
        <v>3.4</v>
      </c>
      <c r="H6983" t="n">
        <v>0</v>
      </c>
      <c r="I6983" t="n">
        <v>0</v>
      </c>
      <c r="J6983" t="n">
        <v>0</v>
      </c>
      <c r="K6983" t="n">
        <v>0</v>
      </c>
      <c r="L6983" t="n">
        <v>0</v>
      </c>
      <c r="M6983" t="n">
        <v>0</v>
      </c>
      <c r="N6983" t="n">
        <v>0</v>
      </c>
      <c r="O6983" t="n">
        <v>0</v>
      </c>
      <c r="P6983" t="n">
        <v>0</v>
      </c>
      <c r="Q6983" t="n">
        <v>0</v>
      </c>
      <c r="R6983" s="2" t="inlineStr"/>
    </row>
    <row r="6984" ht="15" customHeight="1">
      <c r="A6984" t="inlineStr">
        <is>
          <t>A 53831-2025</t>
        </is>
      </c>
      <c r="B6984" s="1" t="n">
        <v>45961.34489583333</v>
      </c>
      <c r="C6984" s="1" t="n">
        <v>46075</v>
      </c>
      <c r="D6984" t="inlineStr">
        <is>
          <t>VÄSTERBOTTENS LÄN</t>
        </is>
      </c>
      <c r="E6984" t="inlineStr">
        <is>
          <t>VINDELN</t>
        </is>
      </c>
      <c r="G6984" t="n">
        <v>14.8</v>
      </c>
      <c r="H6984" t="n">
        <v>0</v>
      </c>
      <c r="I6984" t="n">
        <v>0</v>
      </c>
      <c r="J6984" t="n">
        <v>0</v>
      </c>
      <c r="K6984" t="n">
        <v>0</v>
      </c>
      <c r="L6984" t="n">
        <v>0</v>
      </c>
      <c r="M6984" t="n">
        <v>0</v>
      </c>
      <c r="N6984" t="n">
        <v>0</v>
      </c>
      <c r="O6984" t="n">
        <v>0</v>
      </c>
      <c r="P6984" t="n">
        <v>0</v>
      </c>
      <c r="Q6984" t="n">
        <v>0</v>
      </c>
      <c r="R6984" s="2" t="inlineStr"/>
    </row>
    <row r="6985" ht="15" customHeight="1">
      <c r="A6985" t="inlineStr">
        <is>
          <t>A 4005-2022</t>
        </is>
      </c>
      <c r="B6985" s="1" t="n">
        <v>44587.92012731481</v>
      </c>
      <c r="C6985" s="1" t="n">
        <v>46075</v>
      </c>
      <c r="D6985" t="inlineStr">
        <is>
          <t>VÄSTERBOTTENS LÄN</t>
        </is>
      </c>
      <c r="E6985" t="inlineStr">
        <is>
          <t>SKELLEFTEÅ</t>
        </is>
      </c>
      <c r="G6985" t="n">
        <v>5</v>
      </c>
      <c r="H6985" t="n">
        <v>0</v>
      </c>
      <c r="I6985" t="n">
        <v>0</v>
      </c>
      <c r="J6985" t="n">
        <v>0</v>
      </c>
      <c r="K6985" t="n">
        <v>0</v>
      </c>
      <c r="L6985" t="n">
        <v>0</v>
      </c>
      <c r="M6985" t="n">
        <v>0</v>
      </c>
      <c r="N6985" t="n">
        <v>0</v>
      </c>
      <c r="O6985" t="n">
        <v>0</v>
      </c>
      <c r="P6985" t="n">
        <v>0</v>
      </c>
      <c r="Q6985" t="n">
        <v>0</v>
      </c>
      <c r="R6985" s="2" t="inlineStr"/>
    </row>
    <row r="6986" ht="15" customHeight="1">
      <c r="A6986" t="inlineStr">
        <is>
          <t>A 53969-2025</t>
        </is>
      </c>
      <c r="B6986" s="1" t="n">
        <v>45961.5503587963</v>
      </c>
      <c r="C6986" s="1" t="n">
        <v>46075</v>
      </c>
      <c r="D6986" t="inlineStr">
        <is>
          <t>VÄSTERBOTTENS LÄN</t>
        </is>
      </c>
      <c r="E6986" t="inlineStr">
        <is>
          <t>NORDMALING</t>
        </is>
      </c>
      <c r="G6986" t="n">
        <v>3.6</v>
      </c>
      <c r="H6986" t="n">
        <v>0</v>
      </c>
      <c r="I6986" t="n">
        <v>0</v>
      </c>
      <c r="J6986" t="n">
        <v>0</v>
      </c>
      <c r="K6986" t="n">
        <v>0</v>
      </c>
      <c r="L6986" t="n">
        <v>0</v>
      </c>
      <c r="M6986" t="n">
        <v>0</v>
      </c>
      <c r="N6986" t="n">
        <v>0</v>
      </c>
      <c r="O6986" t="n">
        <v>0</v>
      </c>
      <c r="P6986" t="n">
        <v>0</v>
      </c>
      <c r="Q6986" t="n">
        <v>0</v>
      </c>
      <c r="R6986" s="2" t="inlineStr"/>
    </row>
    <row r="6987" ht="15" customHeight="1">
      <c r="A6987" t="inlineStr">
        <is>
          <t>A 53976-2025</t>
        </is>
      </c>
      <c r="B6987" s="1" t="n">
        <v>45961.55366898148</v>
      </c>
      <c r="C6987" s="1" t="n">
        <v>46075</v>
      </c>
      <c r="D6987" t="inlineStr">
        <is>
          <t>VÄSTERBOTTENS LÄN</t>
        </is>
      </c>
      <c r="E6987" t="inlineStr">
        <is>
          <t>NORDMALING</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53500-2025</t>
        </is>
      </c>
      <c r="B6988" s="1" t="n">
        <v>45960.33998842593</v>
      </c>
      <c r="C6988" s="1" t="n">
        <v>46075</v>
      </c>
      <c r="D6988" t="inlineStr">
        <is>
          <t>VÄSTERBOTTENS LÄN</t>
        </is>
      </c>
      <c r="E6988" t="inlineStr">
        <is>
          <t>NORSJÖ</t>
        </is>
      </c>
      <c r="F6988" t="inlineStr">
        <is>
          <t>Sveaskog</t>
        </is>
      </c>
      <c r="G6988" t="n">
        <v>9</v>
      </c>
      <c r="H6988" t="n">
        <v>0</v>
      </c>
      <c r="I6988" t="n">
        <v>0</v>
      </c>
      <c r="J6988" t="n">
        <v>0</v>
      </c>
      <c r="K6988" t="n">
        <v>0</v>
      </c>
      <c r="L6988" t="n">
        <v>0</v>
      </c>
      <c r="M6988" t="n">
        <v>0</v>
      </c>
      <c r="N6988" t="n">
        <v>0</v>
      </c>
      <c r="O6988" t="n">
        <v>0</v>
      </c>
      <c r="P6988" t="n">
        <v>0</v>
      </c>
      <c r="Q6988" t="n">
        <v>0</v>
      </c>
      <c r="R6988" s="2" t="inlineStr"/>
    </row>
    <row r="6989" ht="15" customHeight="1">
      <c r="A6989" t="inlineStr">
        <is>
          <t>A 63010-2023</t>
        </is>
      </c>
      <c r="B6989" s="1" t="n">
        <v>45272</v>
      </c>
      <c r="C6989" s="1" t="n">
        <v>46075</v>
      </c>
      <c r="D6989" t="inlineStr">
        <is>
          <t>VÄSTERBOTTENS LÄN</t>
        </is>
      </c>
      <c r="E6989" t="inlineStr">
        <is>
          <t>SKELLEFTEÅ</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53531-2025</t>
        </is>
      </c>
      <c r="B6990" s="1" t="n">
        <v>45960.36533564814</v>
      </c>
      <c r="C6990" s="1" t="n">
        <v>46075</v>
      </c>
      <c r="D6990" t="inlineStr">
        <is>
          <t>VÄSTERBOTTENS LÄN</t>
        </is>
      </c>
      <c r="E6990" t="inlineStr">
        <is>
          <t>SKELLEFTEÅ</t>
        </is>
      </c>
      <c r="G6990" t="n">
        <v>6.2</v>
      </c>
      <c r="H6990" t="n">
        <v>0</v>
      </c>
      <c r="I6990" t="n">
        <v>0</v>
      </c>
      <c r="J6990" t="n">
        <v>0</v>
      </c>
      <c r="K6990" t="n">
        <v>0</v>
      </c>
      <c r="L6990" t="n">
        <v>0</v>
      </c>
      <c r="M6990" t="n">
        <v>0</v>
      </c>
      <c r="N6990" t="n">
        <v>0</v>
      </c>
      <c r="O6990" t="n">
        <v>0</v>
      </c>
      <c r="P6990" t="n">
        <v>0</v>
      </c>
      <c r="Q6990" t="n">
        <v>0</v>
      </c>
      <c r="R6990" s="2" t="inlineStr"/>
    </row>
    <row r="6991" ht="15" customHeight="1">
      <c r="A6991" t="inlineStr">
        <is>
          <t>A 61777-2023</t>
        </is>
      </c>
      <c r="B6991" s="1" t="n">
        <v>45265</v>
      </c>
      <c r="C6991" s="1" t="n">
        <v>46075</v>
      </c>
      <c r="D6991" t="inlineStr">
        <is>
          <t>VÄSTERBOTTENS LÄN</t>
        </is>
      </c>
      <c r="E6991" t="inlineStr">
        <is>
          <t>VILHELMINA</t>
        </is>
      </c>
      <c r="F6991" t="inlineStr">
        <is>
          <t>SCA</t>
        </is>
      </c>
      <c r="G6991" t="n">
        <v>20.6</v>
      </c>
      <c r="H6991" t="n">
        <v>0</v>
      </c>
      <c r="I6991" t="n">
        <v>0</v>
      </c>
      <c r="J6991" t="n">
        <v>0</v>
      </c>
      <c r="K6991" t="n">
        <v>0</v>
      </c>
      <c r="L6991" t="n">
        <v>0</v>
      </c>
      <c r="M6991" t="n">
        <v>0</v>
      </c>
      <c r="N6991" t="n">
        <v>0</v>
      </c>
      <c r="O6991" t="n">
        <v>0</v>
      </c>
      <c r="P6991" t="n">
        <v>0</v>
      </c>
      <c r="Q6991" t="n">
        <v>0</v>
      </c>
      <c r="R6991" s="2" t="inlineStr"/>
    </row>
    <row r="6992" ht="15" customHeight="1">
      <c r="A6992" t="inlineStr">
        <is>
          <t>A 53857-2025</t>
        </is>
      </c>
      <c r="B6992" s="1" t="n">
        <v>45961.37615740741</v>
      </c>
      <c r="C6992" s="1" t="n">
        <v>46075</v>
      </c>
      <c r="D6992" t="inlineStr">
        <is>
          <t>VÄSTERBOTTENS LÄN</t>
        </is>
      </c>
      <c r="E6992" t="inlineStr">
        <is>
          <t>SORSELE</t>
        </is>
      </c>
      <c r="G6992" t="n">
        <v>5.1</v>
      </c>
      <c r="H6992" t="n">
        <v>0</v>
      </c>
      <c r="I6992" t="n">
        <v>0</v>
      </c>
      <c r="J6992" t="n">
        <v>0</v>
      </c>
      <c r="K6992" t="n">
        <v>0</v>
      </c>
      <c r="L6992" t="n">
        <v>0</v>
      </c>
      <c r="M6992" t="n">
        <v>0</v>
      </c>
      <c r="N6992" t="n">
        <v>0</v>
      </c>
      <c r="O6992" t="n">
        <v>0</v>
      </c>
      <c r="P6992" t="n">
        <v>0</v>
      </c>
      <c r="Q6992" t="n">
        <v>0</v>
      </c>
      <c r="R6992" s="2" t="inlineStr"/>
    </row>
    <row r="6993" ht="15" customHeight="1">
      <c r="A6993" t="inlineStr">
        <is>
          <t>A 13313-2023</t>
        </is>
      </c>
      <c r="B6993" s="1" t="n">
        <v>45005</v>
      </c>
      <c r="C6993" s="1" t="n">
        <v>46075</v>
      </c>
      <c r="D6993" t="inlineStr">
        <is>
          <t>VÄSTERBOTTENS LÄN</t>
        </is>
      </c>
      <c r="E6993" t="inlineStr">
        <is>
          <t>VINDELN</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23183-2024</t>
        </is>
      </c>
      <c r="B6994" s="1" t="n">
        <v>45450.94471064815</v>
      </c>
      <c r="C6994" s="1" t="n">
        <v>46075</v>
      </c>
      <c r="D6994" t="inlineStr">
        <is>
          <t>VÄSTERBOTTENS LÄN</t>
        </is>
      </c>
      <c r="E6994" t="inlineStr">
        <is>
          <t>BJURHOLM</t>
        </is>
      </c>
      <c r="F6994" t="inlineStr">
        <is>
          <t>SCA</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23206-2024</t>
        </is>
      </c>
      <c r="B6995" s="1" t="n">
        <v>45451</v>
      </c>
      <c r="C6995" s="1" t="n">
        <v>46075</v>
      </c>
      <c r="D6995" t="inlineStr">
        <is>
          <t>VÄSTERBOTTENS LÄN</t>
        </is>
      </c>
      <c r="E6995" t="inlineStr">
        <is>
          <t>BJURHOLM</t>
        </is>
      </c>
      <c r="F6995" t="inlineStr">
        <is>
          <t>SCA</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53533-2025</t>
        </is>
      </c>
      <c r="B6996" s="1" t="n">
        <v>45960.36548611111</v>
      </c>
      <c r="C6996" s="1" t="n">
        <v>46075</v>
      </c>
      <c r="D6996" t="inlineStr">
        <is>
          <t>VÄSTERBOTTENS LÄN</t>
        </is>
      </c>
      <c r="E6996" t="inlineStr">
        <is>
          <t>SKELLEFTEÅ</t>
        </is>
      </c>
      <c r="G6996" t="n">
        <v>3.1</v>
      </c>
      <c r="H6996" t="n">
        <v>0</v>
      </c>
      <c r="I6996" t="n">
        <v>0</v>
      </c>
      <c r="J6996" t="n">
        <v>0</v>
      </c>
      <c r="K6996" t="n">
        <v>0</v>
      </c>
      <c r="L6996" t="n">
        <v>0</v>
      </c>
      <c r="M6996" t="n">
        <v>0</v>
      </c>
      <c r="N6996" t="n">
        <v>0</v>
      </c>
      <c r="O6996" t="n">
        <v>0</v>
      </c>
      <c r="P6996" t="n">
        <v>0</v>
      </c>
      <c r="Q6996" t="n">
        <v>0</v>
      </c>
      <c r="R6996" s="2" t="inlineStr"/>
    </row>
    <row r="6997" ht="15" customHeight="1">
      <c r="A6997" t="inlineStr">
        <is>
          <t>A 53924-2025</t>
        </is>
      </c>
      <c r="B6997" s="1" t="n">
        <v>45961.45703703703</v>
      </c>
      <c r="C6997" s="1" t="n">
        <v>46075</v>
      </c>
      <c r="D6997" t="inlineStr">
        <is>
          <t>VÄSTERBOTTENS LÄN</t>
        </is>
      </c>
      <c r="E6997" t="inlineStr">
        <is>
          <t>VINDELN</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59343-2023</t>
        </is>
      </c>
      <c r="B6998" s="1" t="n">
        <v>45253</v>
      </c>
      <c r="C6998" s="1" t="n">
        <v>46075</v>
      </c>
      <c r="D6998" t="inlineStr">
        <is>
          <t>VÄSTERBOTTENS LÄN</t>
        </is>
      </c>
      <c r="E6998" t="inlineStr">
        <is>
          <t>UMEÅ</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41792-2023</t>
        </is>
      </c>
      <c r="B6999" s="1" t="n">
        <v>45176</v>
      </c>
      <c r="C6999" s="1" t="n">
        <v>46075</v>
      </c>
      <c r="D6999" t="inlineStr">
        <is>
          <t>VÄSTERBOTTENS LÄN</t>
        </is>
      </c>
      <c r="E6999" t="inlineStr">
        <is>
          <t>MALÅ</t>
        </is>
      </c>
      <c r="F6999" t="inlineStr">
        <is>
          <t>Sveaskog</t>
        </is>
      </c>
      <c r="G6999" t="n">
        <v>10.7</v>
      </c>
      <c r="H6999" t="n">
        <v>0</v>
      </c>
      <c r="I6999" t="n">
        <v>0</v>
      </c>
      <c r="J6999" t="n">
        <v>0</v>
      </c>
      <c r="K6999" t="n">
        <v>0</v>
      </c>
      <c r="L6999" t="n">
        <v>0</v>
      </c>
      <c r="M6999" t="n">
        <v>0</v>
      </c>
      <c r="N6999" t="n">
        <v>0</v>
      </c>
      <c r="O6999" t="n">
        <v>0</v>
      </c>
      <c r="P6999" t="n">
        <v>0</v>
      </c>
      <c r="Q6999" t="n">
        <v>0</v>
      </c>
      <c r="R6999" s="2" t="inlineStr"/>
    </row>
    <row r="7000" ht="15" customHeight="1">
      <c r="A7000" t="inlineStr">
        <is>
          <t>A 44217-2023</t>
        </is>
      </c>
      <c r="B7000" s="1" t="n">
        <v>45183</v>
      </c>
      <c r="C7000" s="1" t="n">
        <v>46075</v>
      </c>
      <c r="D7000" t="inlineStr">
        <is>
          <t>VÄSTERBOTTENS LÄN</t>
        </is>
      </c>
      <c r="E7000" t="inlineStr">
        <is>
          <t>STORUMAN</t>
        </is>
      </c>
      <c r="G7000" t="n">
        <v>14.3</v>
      </c>
      <c r="H7000" t="n">
        <v>0</v>
      </c>
      <c r="I7000" t="n">
        <v>0</v>
      </c>
      <c r="J7000" t="n">
        <v>0</v>
      </c>
      <c r="K7000" t="n">
        <v>0</v>
      </c>
      <c r="L7000" t="n">
        <v>0</v>
      </c>
      <c r="M7000" t="n">
        <v>0</v>
      </c>
      <c r="N7000" t="n">
        <v>0</v>
      </c>
      <c r="O7000" t="n">
        <v>0</v>
      </c>
      <c r="P7000" t="n">
        <v>0</v>
      </c>
      <c r="Q7000" t="n">
        <v>0</v>
      </c>
      <c r="R7000" s="2" t="inlineStr"/>
    </row>
    <row r="7001" ht="15" customHeight="1">
      <c r="A7001" t="inlineStr">
        <is>
          <t>A 8484-2023</t>
        </is>
      </c>
      <c r="B7001" s="1" t="n">
        <v>44972</v>
      </c>
      <c r="C7001" s="1" t="n">
        <v>46075</v>
      </c>
      <c r="D7001" t="inlineStr">
        <is>
          <t>VÄSTERBOTTENS LÄN</t>
        </is>
      </c>
      <c r="E7001" t="inlineStr">
        <is>
          <t>NORDMALING</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53806-2025</t>
        </is>
      </c>
      <c r="B7002" s="1" t="n">
        <v>45960.83863425926</v>
      </c>
      <c r="C7002" s="1" t="n">
        <v>46075</v>
      </c>
      <c r="D7002" t="inlineStr">
        <is>
          <t>VÄSTERBOTTENS LÄN</t>
        </is>
      </c>
      <c r="E7002" t="inlineStr">
        <is>
          <t>ROBERTSFORS</t>
        </is>
      </c>
      <c r="F7002" t="inlineStr">
        <is>
          <t>Holmen skog AB</t>
        </is>
      </c>
      <c r="G7002" t="n">
        <v>2.8</v>
      </c>
      <c r="H7002" t="n">
        <v>0</v>
      </c>
      <c r="I7002" t="n">
        <v>0</v>
      </c>
      <c r="J7002" t="n">
        <v>0</v>
      </c>
      <c r="K7002" t="n">
        <v>0</v>
      </c>
      <c r="L7002" t="n">
        <v>0</v>
      </c>
      <c r="M7002" t="n">
        <v>0</v>
      </c>
      <c r="N7002" t="n">
        <v>0</v>
      </c>
      <c r="O7002" t="n">
        <v>0</v>
      </c>
      <c r="P7002" t="n">
        <v>0</v>
      </c>
      <c r="Q7002" t="n">
        <v>0</v>
      </c>
      <c r="R7002" s="2" t="inlineStr"/>
    </row>
    <row r="7003" ht="15" customHeight="1">
      <c r="A7003" t="inlineStr">
        <is>
          <t>A 53959-2025</t>
        </is>
      </c>
      <c r="B7003" s="1" t="n">
        <v>45961.53371527778</v>
      </c>
      <c r="C7003" s="1" t="n">
        <v>46075</v>
      </c>
      <c r="D7003" t="inlineStr">
        <is>
          <t>VÄSTERBOTTENS LÄN</t>
        </is>
      </c>
      <c r="E7003" t="inlineStr">
        <is>
          <t>SKELLEFTEÅ</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56724-2024</t>
        </is>
      </c>
      <c r="B7004" s="1" t="n">
        <v>45628</v>
      </c>
      <c r="C7004" s="1" t="n">
        <v>46075</v>
      </c>
      <c r="D7004" t="inlineStr">
        <is>
          <t>VÄSTERBOTTENS LÄN</t>
        </is>
      </c>
      <c r="E7004" t="inlineStr">
        <is>
          <t>ROBERTSFORS</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32989-2022</t>
        </is>
      </c>
      <c r="B7005" s="1" t="n">
        <v>44784.94172453704</v>
      </c>
      <c r="C7005" s="1" t="n">
        <v>46075</v>
      </c>
      <c r="D7005" t="inlineStr">
        <is>
          <t>VÄSTERBOTTENS LÄN</t>
        </is>
      </c>
      <c r="E7005" t="inlineStr">
        <is>
          <t>BJURHOLM</t>
        </is>
      </c>
      <c r="F7005" t="inlineStr">
        <is>
          <t>SCA</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53385-2025</t>
        </is>
      </c>
      <c r="B7006" s="1" t="n">
        <v>45959.54261574074</v>
      </c>
      <c r="C7006" s="1" t="n">
        <v>46075</v>
      </c>
      <c r="D7006" t="inlineStr">
        <is>
          <t>VÄSTERBOTTENS LÄN</t>
        </is>
      </c>
      <c r="E7006" t="inlineStr">
        <is>
          <t>SKELLEFTEÅ</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9079-2023</t>
        </is>
      </c>
      <c r="B7007" s="1" t="n">
        <v>44979.92408564815</v>
      </c>
      <c r="C7007" s="1" t="n">
        <v>46075</v>
      </c>
      <c r="D7007" t="inlineStr">
        <is>
          <t>VÄSTERBOTTENS LÄN</t>
        </is>
      </c>
      <c r="E7007" t="inlineStr">
        <is>
          <t>SKELLEFTEÅ</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53777-2025</t>
        </is>
      </c>
      <c r="B7008" s="1" t="n">
        <v>45960.69732638889</v>
      </c>
      <c r="C7008" s="1" t="n">
        <v>46075</v>
      </c>
      <c r="D7008" t="inlineStr">
        <is>
          <t>VÄSTERBOTTENS LÄN</t>
        </is>
      </c>
      <c r="E7008" t="inlineStr">
        <is>
          <t>NORDMALING</t>
        </is>
      </c>
      <c r="G7008" t="n">
        <v>3.5</v>
      </c>
      <c r="H7008" t="n">
        <v>0</v>
      </c>
      <c r="I7008" t="n">
        <v>0</v>
      </c>
      <c r="J7008" t="n">
        <v>0</v>
      </c>
      <c r="K7008" t="n">
        <v>0</v>
      </c>
      <c r="L7008" t="n">
        <v>0</v>
      </c>
      <c r="M7008" t="n">
        <v>0</v>
      </c>
      <c r="N7008" t="n">
        <v>0</v>
      </c>
      <c r="O7008" t="n">
        <v>0</v>
      </c>
      <c r="P7008" t="n">
        <v>0</v>
      </c>
      <c r="Q7008" t="n">
        <v>0</v>
      </c>
      <c r="R7008" s="2" t="inlineStr"/>
    </row>
    <row r="7009" ht="15" customHeight="1">
      <c r="A7009" t="inlineStr">
        <is>
          <t>A 53779-2025</t>
        </is>
      </c>
      <c r="B7009" s="1" t="n">
        <v>45960.69875</v>
      </c>
      <c r="C7009" s="1" t="n">
        <v>46075</v>
      </c>
      <c r="D7009" t="inlineStr">
        <is>
          <t>VÄSTERBOTTENS LÄN</t>
        </is>
      </c>
      <c r="E7009" t="inlineStr">
        <is>
          <t>ÅSELE</t>
        </is>
      </c>
      <c r="F7009" t="inlineStr">
        <is>
          <t>Holmen skog AB</t>
        </is>
      </c>
      <c r="G7009" t="n">
        <v>25.8</v>
      </c>
      <c r="H7009" t="n">
        <v>0</v>
      </c>
      <c r="I7009" t="n">
        <v>0</v>
      </c>
      <c r="J7009" t="n">
        <v>0</v>
      </c>
      <c r="K7009" t="n">
        <v>0</v>
      </c>
      <c r="L7009" t="n">
        <v>0</v>
      </c>
      <c r="M7009" t="n">
        <v>0</v>
      </c>
      <c r="N7009" t="n">
        <v>0</v>
      </c>
      <c r="O7009" t="n">
        <v>0</v>
      </c>
      <c r="P7009" t="n">
        <v>0</v>
      </c>
      <c r="Q7009" t="n">
        <v>0</v>
      </c>
      <c r="R7009" s="2" t="inlineStr"/>
    </row>
    <row r="7010" ht="15" customHeight="1">
      <c r="A7010" t="inlineStr">
        <is>
          <t>A 31402-2023</t>
        </is>
      </c>
      <c r="B7010" s="1" t="n">
        <v>45114</v>
      </c>
      <c r="C7010" s="1" t="n">
        <v>46075</v>
      </c>
      <c r="D7010" t="inlineStr">
        <is>
          <t>VÄSTERBOTTENS LÄN</t>
        </is>
      </c>
      <c r="E7010" t="inlineStr">
        <is>
          <t>VINDELN</t>
        </is>
      </c>
      <c r="G7010" t="n">
        <v>7.3</v>
      </c>
      <c r="H7010" t="n">
        <v>0</v>
      </c>
      <c r="I7010" t="n">
        <v>0</v>
      </c>
      <c r="J7010" t="n">
        <v>0</v>
      </c>
      <c r="K7010" t="n">
        <v>0</v>
      </c>
      <c r="L7010" t="n">
        <v>0</v>
      </c>
      <c r="M7010" t="n">
        <v>0</v>
      </c>
      <c r="N7010" t="n">
        <v>0</v>
      </c>
      <c r="O7010" t="n">
        <v>0</v>
      </c>
      <c r="P7010" t="n">
        <v>0</v>
      </c>
      <c r="Q7010" t="n">
        <v>0</v>
      </c>
      <c r="R7010" s="2" t="inlineStr"/>
    </row>
    <row r="7011" ht="15" customHeight="1">
      <c r="A7011" t="inlineStr">
        <is>
          <t>A 31413-2023</t>
        </is>
      </c>
      <c r="B7011" s="1" t="n">
        <v>45114.58961805556</v>
      </c>
      <c r="C7011" s="1" t="n">
        <v>46075</v>
      </c>
      <c r="D7011" t="inlineStr">
        <is>
          <t>VÄSTERBOTTENS LÄN</t>
        </is>
      </c>
      <c r="E7011" t="inlineStr">
        <is>
          <t>LYCKSELE</t>
        </is>
      </c>
      <c r="F7011" t="inlineStr">
        <is>
          <t>Sveaskog</t>
        </is>
      </c>
      <c r="G7011" t="n">
        <v>3.3</v>
      </c>
      <c r="H7011" t="n">
        <v>0</v>
      </c>
      <c r="I7011" t="n">
        <v>0</v>
      </c>
      <c r="J7011" t="n">
        <v>0</v>
      </c>
      <c r="K7011" t="n">
        <v>0</v>
      </c>
      <c r="L7011" t="n">
        <v>0</v>
      </c>
      <c r="M7011" t="n">
        <v>0</v>
      </c>
      <c r="N7011" t="n">
        <v>0</v>
      </c>
      <c r="O7011" t="n">
        <v>0</v>
      </c>
      <c r="P7011" t="n">
        <v>0</v>
      </c>
      <c r="Q7011" t="n">
        <v>0</v>
      </c>
      <c r="R7011" s="2" t="inlineStr"/>
    </row>
    <row r="7012" ht="15" customHeight="1">
      <c r="A7012" t="inlineStr">
        <is>
          <t>A 31760-2023</t>
        </is>
      </c>
      <c r="B7012" s="1" t="n">
        <v>45106</v>
      </c>
      <c r="C7012" s="1" t="n">
        <v>46075</v>
      </c>
      <c r="D7012" t="inlineStr">
        <is>
          <t>VÄSTERBOTTENS LÄN</t>
        </is>
      </c>
      <c r="E7012" t="inlineStr">
        <is>
          <t>SKELLEFTEÅ</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53595-2025</t>
        </is>
      </c>
      <c r="B7013" s="1" t="n">
        <v>45960</v>
      </c>
      <c r="C7013" s="1" t="n">
        <v>46075</v>
      </c>
      <c r="D7013" t="inlineStr">
        <is>
          <t>VÄSTERBOTTENS LÄN</t>
        </is>
      </c>
      <c r="E7013" t="inlineStr">
        <is>
          <t>MALÅ</t>
        </is>
      </c>
      <c r="G7013" t="n">
        <v>4.9</v>
      </c>
      <c r="H7013" t="n">
        <v>0</v>
      </c>
      <c r="I7013" t="n">
        <v>0</v>
      </c>
      <c r="J7013" t="n">
        <v>0</v>
      </c>
      <c r="K7013" t="n">
        <v>0</v>
      </c>
      <c r="L7013" t="n">
        <v>0</v>
      </c>
      <c r="M7013" t="n">
        <v>0</v>
      </c>
      <c r="N7013" t="n">
        <v>0</v>
      </c>
      <c r="O7013" t="n">
        <v>0</v>
      </c>
      <c r="P7013" t="n">
        <v>0</v>
      </c>
      <c r="Q7013" t="n">
        <v>0</v>
      </c>
      <c r="R7013" s="2" t="inlineStr"/>
    </row>
    <row r="7014" ht="15" customHeight="1">
      <c r="A7014" t="inlineStr">
        <is>
          <t>A 53514-2025</t>
        </is>
      </c>
      <c r="B7014" s="1" t="n">
        <v>45960.34552083333</v>
      </c>
      <c r="C7014" s="1" t="n">
        <v>46075</v>
      </c>
      <c r="D7014" t="inlineStr">
        <is>
          <t>VÄSTERBOTTENS LÄN</t>
        </is>
      </c>
      <c r="E7014" t="inlineStr">
        <is>
          <t>SKELLEFTEÅ</t>
        </is>
      </c>
      <c r="G7014" t="n">
        <v>18.1</v>
      </c>
      <c r="H7014" t="n">
        <v>0</v>
      </c>
      <c r="I7014" t="n">
        <v>0</v>
      </c>
      <c r="J7014" t="n">
        <v>0</v>
      </c>
      <c r="K7014" t="n">
        <v>0</v>
      </c>
      <c r="L7014" t="n">
        <v>0</v>
      </c>
      <c r="M7014" t="n">
        <v>0</v>
      </c>
      <c r="N7014" t="n">
        <v>0</v>
      </c>
      <c r="O7014" t="n">
        <v>0</v>
      </c>
      <c r="P7014" t="n">
        <v>0</v>
      </c>
      <c r="Q7014" t="n">
        <v>0</v>
      </c>
      <c r="R7014" s="2" t="inlineStr"/>
    </row>
    <row r="7015" ht="15" customHeight="1">
      <c r="A7015" t="inlineStr">
        <is>
          <t>A 53776-2025</t>
        </is>
      </c>
      <c r="B7015" s="1" t="n">
        <v>45960.69628472222</v>
      </c>
      <c r="C7015" s="1" t="n">
        <v>46075</v>
      </c>
      <c r="D7015" t="inlineStr">
        <is>
          <t>VÄSTERBOTTENS LÄN</t>
        </is>
      </c>
      <c r="E7015" t="inlineStr">
        <is>
          <t>NORDMALING</t>
        </is>
      </c>
      <c r="G7015" t="n">
        <v>2.5</v>
      </c>
      <c r="H7015" t="n">
        <v>0</v>
      </c>
      <c r="I7015" t="n">
        <v>0</v>
      </c>
      <c r="J7015" t="n">
        <v>0</v>
      </c>
      <c r="K7015" t="n">
        <v>0</v>
      </c>
      <c r="L7015" t="n">
        <v>0</v>
      </c>
      <c r="M7015" t="n">
        <v>0</v>
      </c>
      <c r="N7015" t="n">
        <v>0</v>
      </c>
      <c r="O7015" t="n">
        <v>0</v>
      </c>
      <c r="P7015" t="n">
        <v>0</v>
      </c>
      <c r="Q7015" t="n">
        <v>0</v>
      </c>
      <c r="R7015" s="2" t="inlineStr"/>
    </row>
    <row r="7016" ht="15" customHeight="1">
      <c r="A7016" t="inlineStr">
        <is>
          <t>A 53816-2025</t>
        </is>
      </c>
      <c r="B7016" s="1" t="n">
        <v>45961.28778935185</v>
      </c>
      <c r="C7016" s="1" t="n">
        <v>46075</v>
      </c>
      <c r="D7016" t="inlineStr">
        <is>
          <t>VÄSTERBOTTENS LÄN</t>
        </is>
      </c>
      <c r="E7016" t="inlineStr">
        <is>
          <t>VINDELN</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53824-2025</t>
        </is>
      </c>
      <c r="B7017" s="1" t="n">
        <v>45961.33986111111</v>
      </c>
      <c r="C7017" s="1" t="n">
        <v>46075</v>
      </c>
      <c r="D7017" t="inlineStr">
        <is>
          <t>VÄSTERBOTTENS LÄN</t>
        </is>
      </c>
      <c r="E7017" t="inlineStr">
        <is>
          <t>ROBERTSFORS</t>
        </is>
      </c>
      <c r="F7017" t="inlineStr">
        <is>
          <t>Holmen skog AB</t>
        </is>
      </c>
      <c r="G7017" t="n">
        <v>4.9</v>
      </c>
      <c r="H7017" t="n">
        <v>0</v>
      </c>
      <c r="I7017" t="n">
        <v>0</v>
      </c>
      <c r="J7017" t="n">
        <v>0</v>
      </c>
      <c r="K7017" t="n">
        <v>0</v>
      </c>
      <c r="L7017" t="n">
        <v>0</v>
      </c>
      <c r="M7017" t="n">
        <v>0</v>
      </c>
      <c r="N7017" t="n">
        <v>0</v>
      </c>
      <c r="O7017" t="n">
        <v>0</v>
      </c>
      <c r="P7017" t="n">
        <v>0</v>
      </c>
      <c r="Q7017" t="n">
        <v>0</v>
      </c>
      <c r="R7017" s="2" t="inlineStr"/>
    </row>
    <row r="7018" ht="15" customHeight="1">
      <c r="A7018" t="inlineStr">
        <is>
          <t>A 17059-2025</t>
        </is>
      </c>
      <c r="B7018" s="1" t="n">
        <v>45755.60673611111</v>
      </c>
      <c r="C7018" s="1" t="n">
        <v>46075</v>
      </c>
      <c r="D7018" t="inlineStr">
        <is>
          <t>VÄSTERBOTTENS LÄN</t>
        </is>
      </c>
      <c r="E7018" t="inlineStr">
        <is>
          <t>VINDELN</t>
        </is>
      </c>
      <c r="G7018" t="n">
        <v>7.3</v>
      </c>
      <c r="H7018" t="n">
        <v>0</v>
      </c>
      <c r="I7018" t="n">
        <v>0</v>
      </c>
      <c r="J7018" t="n">
        <v>0</v>
      </c>
      <c r="K7018" t="n">
        <v>0</v>
      </c>
      <c r="L7018" t="n">
        <v>0</v>
      </c>
      <c r="M7018" t="n">
        <v>0</v>
      </c>
      <c r="N7018" t="n">
        <v>0</v>
      </c>
      <c r="O7018" t="n">
        <v>0</v>
      </c>
      <c r="P7018" t="n">
        <v>0</v>
      </c>
      <c r="Q7018" t="n">
        <v>0</v>
      </c>
      <c r="R7018" s="2" t="inlineStr"/>
    </row>
    <row r="7019" ht="15" customHeight="1">
      <c r="A7019" t="inlineStr">
        <is>
          <t>A 53861-2025</t>
        </is>
      </c>
      <c r="B7019" s="1" t="n">
        <v>45961.37951388889</v>
      </c>
      <c r="C7019" s="1" t="n">
        <v>46075</v>
      </c>
      <c r="D7019" t="inlineStr">
        <is>
          <t>VÄSTERBOTTENS LÄN</t>
        </is>
      </c>
      <c r="E7019" t="inlineStr">
        <is>
          <t>VINDELN</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20193-2025</t>
        </is>
      </c>
      <c r="B7020" s="1" t="n">
        <v>45772</v>
      </c>
      <c r="C7020" s="1" t="n">
        <v>46075</v>
      </c>
      <c r="D7020" t="inlineStr">
        <is>
          <t>VÄSTERBOTTENS LÄN</t>
        </is>
      </c>
      <c r="E7020" t="inlineStr">
        <is>
          <t>SKELLEFTEÅ</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53882-2025</t>
        </is>
      </c>
      <c r="B7021" s="1" t="n">
        <v>45961.39821759259</v>
      </c>
      <c r="C7021" s="1" t="n">
        <v>46075</v>
      </c>
      <c r="D7021" t="inlineStr">
        <is>
          <t>VÄSTERBOTTENS LÄN</t>
        </is>
      </c>
      <c r="E7021" t="inlineStr">
        <is>
          <t>VINDELN</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40787-2024</t>
        </is>
      </c>
      <c r="B7022" s="1" t="n">
        <v>45558</v>
      </c>
      <c r="C7022" s="1" t="n">
        <v>46075</v>
      </c>
      <c r="D7022" t="inlineStr">
        <is>
          <t>VÄSTERBOTTENS LÄN</t>
        </is>
      </c>
      <c r="E7022" t="inlineStr">
        <is>
          <t>SKELLEFTEÅ</t>
        </is>
      </c>
      <c r="G7022" t="n">
        <v>2.9</v>
      </c>
      <c r="H7022" t="n">
        <v>0</v>
      </c>
      <c r="I7022" t="n">
        <v>0</v>
      </c>
      <c r="J7022" t="n">
        <v>0</v>
      </c>
      <c r="K7022" t="n">
        <v>0</v>
      </c>
      <c r="L7022" t="n">
        <v>0</v>
      </c>
      <c r="M7022" t="n">
        <v>0</v>
      </c>
      <c r="N7022" t="n">
        <v>0</v>
      </c>
      <c r="O7022" t="n">
        <v>0</v>
      </c>
      <c r="P7022" t="n">
        <v>0</v>
      </c>
      <c r="Q7022" t="n">
        <v>0</v>
      </c>
      <c r="R7022" s="2" t="inlineStr"/>
    </row>
    <row r="7023" ht="15" customHeight="1">
      <c r="A7023" t="inlineStr">
        <is>
          <t>A 20218-2025</t>
        </is>
      </c>
      <c r="B7023" s="1" t="n">
        <v>45772</v>
      </c>
      <c r="C7023" s="1" t="n">
        <v>46075</v>
      </c>
      <c r="D7023" t="inlineStr">
        <is>
          <t>VÄSTERBOTTENS LÄN</t>
        </is>
      </c>
      <c r="E7023" t="inlineStr">
        <is>
          <t>SKELLEFTEÅ</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23176-2024</t>
        </is>
      </c>
      <c r="B7024" s="1" t="n">
        <v>45450.94366898148</v>
      </c>
      <c r="C7024" s="1" t="n">
        <v>46075</v>
      </c>
      <c r="D7024" t="inlineStr">
        <is>
          <t>VÄSTERBOTTENS LÄN</t>
        </is>
      </c>
      <c r="E7024" t="inlineStr">
        <is>
          <t>VILHELMINA</t>
        </is>
      </c>
      <c r="F7024" t="inlineStr">
        <is>
          <t>SCA</t>
        </is>
      </c>
      <c r="G7024" t="n">
        <v>3.5</v>
      </c>
      <c r="H7024" t="n">
        <v>0</v>
      </c>
      <c r="I7024" t="n">
        <v>0</v>
      </c>
      <c r="J7024" t="n">
        <v>0</v>
      </c>
      <c r="K7024" t="n">
        <v>0</v>
      </c>
      <c r="L7024" t="n">
        <v>0</v>
      </c>
      <c r="M7024" t="n">
        <v>0</v>
      </c>
      <c r="N7024" t="n">
        <v>0</v>
      </c>
      <c r="O7024" t="n">
        <v>0</v>
      </c>
      <c r="P7024" t="n">
        <v>0</v>
      </c>
      <c r="Q7024" t="n">
        <v>0</v>
      </c>
      <c r="R7024" s="2" t="inlineStr"/>
    </row>
    <row r="7025" ht="15" customHeight="1">
      <c r="A7025" t="inlineStr">
        <is>
          <t>A 23179-2024</t>
        </is>
      </c>
      <c r="B7025" s="1" t="n">
        <v>45450</v>
      </c>
      <c r="C7025" s="1" t="n">
        <v>46075</v>
      </c>
      <c r="D7025" t="inlineStr">
        <is>
          <t>VÄSTERBOTTENS LÄN</t>
        </is>
      </c>
      <c r="E7025" t="inlineStr">
        <is>
          <t>ÅSELE</t>
        </is>
      </c>
      <c r="F7025" t="inlineStr">
        <is>
          <t>SCA</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37569-2024</t>
        </is>
      </c>
      <c r="B7026" s="1" t="n">
        <v>45541.45086805556</v>
      </c>
      <c r="C7026" s="1" t="n">
        <v>46075</v>
      </c>
      <c r="D7026" t="inlineStr">
        <is>
          <t>VÄSTERBOTTENS LÄN</t>
        </is>
      </c>
      <c r="E7026" t="inlineStr">
        <is>
          <t>NORSJÖ</t>
        </is>
      </c>
      <c r="F7026" t="inlineStr">
        <is>
          <t>Holmen skog AB</t>
        </is>
      </c>
      <c r="G7026" t="n">
        <v>9.199999999999999</v>
      </c>
      <c r="H7026" t="n">
        <v>0</v>
      </c>
      <c r="I7026" t="n">
        <v>0</v>
      </c>
      <c r="J7026" t="n">
        <v>0</v>
      </c>
      <c r="K7026" t="n">
        <v>0</v>
      </c>
      <c r="L7026" t="n">
        <v>0</v>
      </c>
      <c r="M7026" t="n">
        <v>0</v>
      </c>
      <c r="N7026" t="n">
        <v>0</v>
      </c>
      <c r="O7026" t="n">
        <v>0</v>
      </c>
      <c r="P7026" t="n">
        <v>0</v>
      </c>
      <c r="Q7026" t="n">
        <v>0</v>
      </c>
      <c r="R7026" s="2" t="inlineStr"/>
    </row>
    <row r="7027" ht="15" customHeight="1">
      <c r="A7027" t="inlineStr">
        <is>
          <t>A 53767-2025</t>
        </is>
      </c>
      <c r="B7027" s="1" t="n">
        <v>45960.67798611111</v>
      </c>
      <c r="C7027" s="1" t="n">
        <v>46075</v>
      </c>
      <c r="D7027" t="inlineStr">
        <is>
          <t>VÄSTERBOTTENS LÄN</t>
        </is>
      </c>
      <c r="E7027" t="inlineStr">
        <is>
          <t>SKELLEFTEÅ</t>
        </is>
      </c>
      <c r="G7027" t="n">
        <v>6.9</v>
      </c>
      <c r="H7027" t="n">
        <v>0</v>
      </c>
      <c r="I7027" t="n">
        <v>0</v>
      </c>
      <c r="J7027" t="n">
        <v>0</v>
      </c>
      <c r="K7027" t="n">
        <v>0</v>
      </c>
      <c r="L7027" t="n">
        <v>0</v>
      </c>
      <c r="M7027" t="n">
        <v>0</v>
      </c>
      <c r="N7027" t="n">
        <v>0</v>
      </c>
      <c r="O7027" t="n">
        <v>0</v>
      </c>
      <c r="P7027" t="n">
        <v>0</v>
      </c>
      <c r="Q7027" t="n">
        <v>0</v>
      </c>
      <c r="R7027" s="2" t="inlineStr"/>
    </row>
    <row r="7028" ht="15" customHeight="1">
      <c r="A7028" t="inlineStr">
        <is>
          <t>A 19233-2023</t>
        </is>
      </c>
      <c r="B7028" s="1" t="n">
        <v>45048.92655092593</v>
      </c>
      <c r="C7028" s="1" t="n">
        <v>46075</v>
      </c>
      <c r="D7028" t="inlineStr">
        <is>
          <t>VÄSTERBOTTENS LÄN</t>
        </is>
      </c>
      <c r="E7028" t="inlineStr">
        <is>
          <t>LYCKSELE</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17736-2025</t>
        </is>
      </c>
      <c r="B7029" s="1" t="n">
        <v>45758.46924768519</v>
      </c>
      <c r="C7029" s="1" t="n">
        <v>46075</v>
      </c>
      <c r="D7029" t="inlineStr">
        <is>
          <t>VÄSTERBOTTENS LÄN</t>
        </is>
      </c>
      <c r="E7029" t="inlineStr">
        <is>
          <t>LYCKSELE</t>
        </is>
      </c>
      <c r="F7029" t="inlineStr">
        <is>
          <t>SCA</t>
        </is>
      </c>
      <c r="G7029" t="n">
        <v>2.5</v>
      </c>
      <c r="H7029" t="n">
        <v>0</v>
      </c>
      <c r="I7029" t="n">
        <v>0</v>
      </c>
      <c r="J7029" t="n">
        <v>0</v>
      </c>
      <c r="K7029" t="n">
        <v>0</v>
      </c>
      <c r="L7029" t="n">
        <v>0</v>
      </c>
      <c r="M7029" t="n">
        <v>0</v>
      </c>
      <c r="N7029" t="n">
        <v>0</v>
      </c>
      <c r="O7029" t="n">
        <v>0</v>
      </c>
      <c r="P7029" t="n">
        <v>0</v>
      </c>
      <c r="Q7029" t="n">
        <v>0</v>
      </c>
      <c r="R7029" s="2" t="inlineStr"/>
    </row>
    <row r="7030" ht="15" customHeight="1">
      <c r="A7030" t="inlineStr">
        <is>
          <t>A 42787-2023</t>
        </is>
      </c>
      <c r="B7030" s="1" t="n">
        <v>45181</v>
      </c>
      <c r="C7030" s="1" t="n">
        <v>46075</v>
      </c>
      <c r="D7030" t="inlineStr">
        <is>
          <t>VÄSTERBOTTENS LÄN</t>
        </is>
      </c>
      <c r="E7030" t="inlineStr">
        <is>
          <t>SKELLEFTEÅ</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53775-2025</t>
        </is>
      </c>
      <c r="B7031" s="1" t="n">
        <v>45960.68865740741</v>
      </c>
      <c r="C7031" s="1" t="n">
        <v>46075</v>
      </c>
      <c r="D7031" t="inlineStr">
        <is>
          <t>VÄSTERBOTTENS LÄN</t>
        </is>
      </c>
      <c r="E7031" t="inlineStr">
        <is>
          <t>SKELLEFTEÅ</t>
        </is>
      </c>
      <c r="G7031" t="n">
        <v>15.2</v>
      </c>
      <c r="H7031" t="n">
        <v>0</v>
      </c>
      <c r="I7031" t="n">
        <v>0</v>
      </c>
      <c r="J7031" t="n">
        <v>0</v>
      </c>
      <c r="K7031" t="n">
        <v>0</v>
      </c>
      <c r="L7031" t="n">
        <v>0</v>
      </c>
      <c r="M7031" t="n">
        <v>0</v>
      </c>
      <c r="N7031" t="n">
        <v>0</v>
      </c>
      <c r="O7031" t="n">
        <v>0</v>
      </c>
      <c r="P7031" t="n">
        <v>0</v>
      </c>
      <c r="Q7031" t="n">
        <v>0</v>
      </c>
      <c r="R7031" s="2" t="inlineStr"/>
    </row>
    <row r="7032" ht="15" customHeight="1">
      <c r="A7032" t="inlineStr">
        <is>
          <t>A 53794-2025</t>
        </is>
      </c>
      <c r="B7032" s="1" t="n">
        <v>45960.74474537037</v>
      </c>
      <c r="C7032" s="1" t="n">
        <v>46075</v>
      </c>
      <c r="D7032" t="inlineStr">
        <is>
          <t>VÄSTERBOTTENS LÄN</t>
        </is>
      </c>
      <c r="E7032" t="inlineStr">
        <is>
          <t>VINDELN</t>
        </is>
      </c>
      <c r="F7032" t="inlineStr">
        <is>
          <t>Holmen skog AB</t>
        </is>
      </c>
      <c r="G7032" t="n">
        <v>9.1</v>
      </c>
      <c r="H7032" t="n">
        <v>0</v>
      </c>
      <c r="I7032" t="n">
        <v>0</v>
      </c>
      <c r="J7032" t="n">
        <v>0</v>
      </c>
      <c r="K7032" t="n">
        <v>0</v>
      </c>
      <c r="L7032" t="n">
        <v>0</v>
      </c>
      <c r="M7032" t="n">
        <v>0</v>
      </c>
      <c r="N7032" t="n">
        <v>0</v>
      </c>
      <c r="O7032" t="n">
        <v>0</v>
      </c>
      <c r="P7032" t="n">
        <v>0</v>
      </c>
      <c r="Q7032" t="n">
        <v>0</v>
      </c>
      <c r="R7032" s="2" t="inlineStr"/>
    </row>
    <row r="7033" ht="15" customHeight="1">
      <c r="A7033" t="inlineStr">
        <is>
          <t>A 53815-2025</t>
        </is>
      </c>
      <c r="B7033" s="1" t="n">
        <v>45961.28357638889</v>
      </c>
      <c r="C7033" s="1" t="n">
        <v>46075</v>
      </c>
      <c r="D7033" t="inlineStr">
        <is>
          <t>VÄSTERBOTTENS LÄN</t>
        </is>
      </c>
      <c r="E7033" t="inlineStr">
        <is>
          <t>VINDELN</t>
        </is>
      </c>
      <c r="G7033" t="n">
        <v>4.1</v>
      </c>
      <c r="H7033" t="n">
        <v>0</v>
      </c>
      <c r="I7033" t="n">
        <v>0</v>
      </c>
      <c r="J7033" t="n">
        <v>0</v>
      </c>
      <c r="K7033" t="n">
        <v>0</v>
      </c>
      <c r="L7033" t="n">
        <v>0</v>
      </c>
      <c r="M7033" t="n">
        <v>0</v>
      </c>
      <c r="N7033" t="n">
        <v>0</v>
      </c>
      <c r="O7033" t="n">
        <v>0</v>
      </c>
      <c r="P7033" t="n">
        <v>0</v>
      </c>
      <c r="Q7033" t="n">
        <v>0</v>
      </c>
      <c r="R7033" s="2" t="inlineStr"/>
    </row>
    <row r="7034" ht="15" customHeight="1">
      <c r="A7034" t="inlineStr">
        <is>
          <t>A 60376-2024</t>
        </is>
      </c>
      <c r="B7034" s="1" t="n">
        <v>45643</v>
      </c>
      <c r="C7034" s="1" t="n">
        <v>46075</v>
      </c>
      <c r="D7034" t="inlineStr">
        <is>
          <t>VÄSTERBOTTENS LÄN</t>
        </is>
      </c>
      <c r="E7034" t="inlineStr">
        <is>
          <t>VILHELMINA</t>
        </is>
      </c>
      <c r="F7034" t="inlineStr">
        <is>
          <t>SCA</t>
        </is>
      </c>
      <c r="G7034" t="n">
        <v>11.5</v>
      </c>
      <c r="H7034" t="n">
        <v>0</v>
      </c>
      <c r="I7034" t="n">
        <v>0</v>
      </c>
      <c r="J7034" t="n">
        <v>0</v>
      </c>
      <c r="K7034" t="n">
        <v>0</v>
      </c>
      <c r="L7034" t="n">
        <v>0</v>
      </c>
      <c r="M7034" t="n">
        <v>0</v>
      </c>
      <c r="N7034" t="n">
        <v>0</v>
      </c>
      <c r="O7034" t="n">
        <v>0</v>
      </c>
      <c r="P7034" t="n">
        <v>0</v>
      </c>
      <c r="Q7034" t="n">
        <v>0</v>
      </c>
      <c r="R7034" s="2" t="inlineStr"/>
    </row>
    <row r="7035" ht="15" customHeight="1">
      <c r="A7035" t="inlineStr">
        <is>
          <t>A 10527-2025</t>
        </is>
      </c>
      <c r="B7035" s="1" t="n">
        <v>45721.445625</v>
      </c>
      <c r="C7035" s="1" t="n">
        <v>46075</v>
      </c>
      <c r="D7035" t="inlineStr">
        <is>
          <t>VÄSTERBOTTENS LÄN</t>
        </is>
      </c>
      <c r="E7035" t="inlineStr">
        <is>
          <t>BJURHOLM</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40087-2023</t>
        </is>
      </c>
      <c r="B7036" s="1" t="n">
        <v>45168</v>
      </c>
      <c r="C7036" s="1" t="n">
        <v>46075</v>
      </c>
      <c r="D7036" t="inlineStr">
        <is>
          <t>VÄSTERBOTTENS LÄN</t>
        </is>
      </c>
      <c r="E7036" t="inlineStr">
        <is>
          <t>NORSJÖ</t>
        </is>
      </c>
      <c r="F7036" t="inlineStr">
        <is>
          <t>Sveaskog</t>
        </is>
      </c>
      <c r="G7036" t="n">
        <v>0.5</v>
      </c>
      <c r="H7036" t="n">
        <v>0</v>
      </c>
      <c r="I7036" t="n">
        <v>0</v>
      </c>
      <c r="J7036" t="n">
        <v>0</v>
      </c>
      <c r="K7036" t="n">
        <v>0</v>
      </c>
      <c r="L7036" t="n">
        <v>0</v>
      </c>
      <c r="M7036" t="n">
        <v>0</v>
      </c>
      <c r="N7036" t="n">
        <v>0</v>
      </c>
      <c r="O7036" t="n">
        <v>0</v>
      </c>
      <c r="P7036" t="n">
        <v>0</v>
      </c>
      <c r="Q7036" t="n">
        <v>0</v>
      </c>
      <c r="R7036" s="2" t="inlineStr"/>
    </row>
    <row r="7037" ht="15" customHeight="1">
      <c r="A7037" t="inlineStr">
        <is>
          <t>A 53796-2025</t>
        </is>
      </c>
      <c r="B7037" s="1" t="n">
        <v>45960.76365740741</v>
      </c>
      <c r="C7037" s="1" t="n">
        <v>46075</v>
      </c>
      <c r="D7037" t="inlineStr">
        <is>
          <t>VÄSTERBOTTENS LÄN</t>
        </is>
      </c>
      <c r="E7037" t="inlineStr">
        <is>
          <t>VINDELN</t>
        </is>
      </c>
      <c r="F7037" t="inlineStr">
        <is>
          <t>Holmen skog AB</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24241-2022</t>
        </is>
      </c>
      <c r="B7038" s="1" t="n">
        <v>44725</v>
      </c>
      <c r="C7038" s="1" t="n">
        <v>46075</v>
      </c>
      <c r="D7038" t="inlineStr">
        <is>
          <t>VÄSTERBOTTENS LÄN</t>
        </is>
      </c>
      <c r="E7038" t="inlineStr">
        <is>
          <t>ROBERTSFORS</t>
        </is>
      </c>
      <c r="F7038" t="inlineStr">
        <is>
          <t>Holmen skog AB</t>
        </is>
      </c>
      <c r="G7038" t="n">
        <v>9.800000000000001</v>
      </c>
      <c r="H7038" t="n">
        <v>0</v>
      </c>
      <c r="I7038" t="n">
        <v>0</v>
      </c>
      <c r="J7038" t="n">
        <v>0</v>
      </c>
      <c r="K7038" t="n">
        <v>0</v>
      </c>
      <c r="L7038" t="n">
        <v>0</v>
      </c>
      <c r="M7038" t="n">
        <v>0</v>
      </c>
      <c r="N7038" t="n">
        <v>0</v>
      </c>
      <c r="O7038" t="n">
        <v>0</v>
      </c>
      <c r="P7038" t="n">
        <v>0</v>
      </c>
      <c r="Q7038" t="n">
        <v>0</v>
      </c>
      <c r="R7038" s="2" t="inlineStr"/>
    </row>
    <row r="7039" ht="15" customHeight="1">
      <c r="A7039" t="inlineStr">
        <is>
          <t>A 40726-2024</t>
        </is>
      </c>
      <c r="B7039" s="1" t="n">
        <v>45558</v>
      </c>
      <c r="C7039" s="1" t="n">
        <v>46075</v>
      </c>
      <c r="D7039" t="inlineStr">
        <is>
          <t>VÄSTERBOTTENS LÄN</t>
        </is>
      </c>
      <c r="E7039" t="inlineStr">
        <is>
          <t>VILHELMINA</t>
        </is>
      </c>
      <c r="F7039" t="inlineStr">
        <is>
          <t>Allmännings- och besparingsskogar</t>
        </is>
      </c>
      <c r="G7039" t="n">
        <v>73.59999999999999</v>
      </c>
      <c r="H7039" t="n">
        <v>0</v>
      </c>
      <c r="I7039" t="n">
        <v>0</v>
      </c>
      <c r="J7039" t="n">
        <v>0</v>
      </c>
      <c r="K7039" t="n">
        <v>0</v>
      </c>
      <c r="L7039" t="n">
        <v>0</v>
      </c>
      <c r="M7039" t="n">
        <v>0</v>
      </c>
      <c r="N7039" t="n">
        <v>0</v>
      </c>
      <c r="O7039" t="n">
        <v>0</v>
      </c>
      <c r="P7039" t="n">
        <v>0</v>
      </c>
      <c r="Q7039" t="n">
        <v>0</v>
      </c>
      <c r="R7039" s="2" t="inlineStr"/>
    </row>
    <row r="7040" ht="15" customHeight="1">
      <c r="A7040" t="inlineStr">
        <is>
          <t>A 54105-2025</t>
        </is>
      </c>
      <c r="B7040" s="1" t="n">
        <v>45964.42788194444</v>
      </c>
      <c r="C7040" s="1" t="n">
        <v>46075</v>
      </c>
      <c r="D7040" t="inlineStr">
        <is>
          <t>VÄSTERBOTTENS LÄN</t>
        </is>
      </c>
      <c r="E7040" t="inlineStr">
        <is>
          <t>NORDMALING</t>
        </is>
      </c>
      <c r="G7040" t="n">
        <v>4.6</v>
      </c>
      <c r="H7040" t="n">
        <v>0</v>
      </c>
      <c r="I7040" t="n">
        <v>0</v>
      </c>
      <c r="J7040" t="n">
        <v>0</v>
      </c>
      <c r="K7040" t="n">
        <v>0</v>
      </c>
      <c r="L7040" t="n">
        <v>0</v>
      </c>
      <c r="M7040" t="n">
        <v>0</v>
      </c>
      <c r="N7040" t="n">
        <v>0</v>
      </c>
      <c r="O7040" t="n">
        <v>0</v>
      </c>
      <c r="P7040" t="n">
        <v>0</v>
      </c>
      <c r="Q7040" t="n">
        <v>0</v>
      </c>
      <c r="R7040" s="2" t="inlineStr"/>
    </row>
    <row r="7041" ht="15" customHeight="1">
      <c r="A7041" t="inlineStr">
        <is>
          <t>A 56734-2022</t>
        </is>
      </c>
      <c r="B7041" s="1" t="n">
        <v>44893.94988425926</v>
      </c>
      <c r="C7041" s="1" t="n">
        <v>46075</v>
      </c>
      <c r="D7041" t="inlineStr">
        <is>
          <t>VÄSTERBOTTENS LÄN</t>
        </is>
      </c>
      <c r="E7041" t="inlineStr">
        <is>
          <t>NORDMALING</t>
        </is>
      </c>
      <c r="F7041" t="inlineStr">
        <is>
          <t>SCA</t>
        </is>
      </c>
      <c r="G7041" t="n">
        <v>0.4</v>
      </c>
      <c r="H7041" t="n">
        <v>0</v>
      </c>
      <c r="I7041" t="n">
        <v>0</v>
      </c>
      <c r="J7041" t="n">
        <v>0</v>
      </c>
      <c r="K7041" t="n">
        <v>0</v>
      </c>
      <c r="L7041" t="n">
        <v>0</v>
      </c>
      <c r="M7041" t="n">
        <v>0</v>
      </c>
      <c r="N7041" t="n">
        <v>0</v>
      </c>
      <c r="O7041" t="n">
        <v>0</v>
      </c>
      <c r="P7041" t="n">
        <v>0</v>
      </c>
      <c r="Q7041" t="n">
        <v>0</v>
      </c>
      <c r="R7041" s="2" t="inlineStr"/>
    </row>
    <row r="7042" ht="15" customHeight="1">
      <c r="A7042" t="inlineStr">
        <is>
          <t>A 47420-2024</t>
        </is>
      </c>
      <c r="B7042" s="1" t="n">
        <v>45587</v>
      </c>
      <c r="C7042" s="1" t="n">
        <v>46075</v>
      </c>
      <c r="D7042" t="inlineStr">
        <is>
          <t>VÄSTERBOTTENS LÄN</t>
        </is>
      </c>
      <c r="E7042" t="inlineStr">
        <is>
          <t>ROBERTSFORS</t>
        </is>
      </c>
      <c r="F7042" t="inlineStr">
        <is>
          <t>SCA</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11544-2023</t>
        </is>
      </c>
      <c r="B7043" s="1" t="n">
        <v>44993.94818287037</v>
      </c>
      <c r="C7043" s="1" t="n">
        <v>46075</v>
      </c>
      <c r="D7043" t="inlineStr">
        <is>
          <t>VÄSTERBOTTENS LÄN</t>
        </is>
      </c>
      <c r="E7043" t="inlineStr">
        <is>
          <t>VILHELMINA</t>
        </is>
      </c>
      <c r="F7043" t="inlineStr">
        <is>
          <t>SCA</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54557-2025</t>
        </is>
      </c>
      <c r="B7044" s="1" t="n">
        <v>45965.66099537037</v>
      </c>
      <c r="C7044" s="1" t="n">
        <v>46075</v>
      </c>
      <c r="D7044" t="inlineStr">
        <is>
          <t>VÄSTERBOTTENS LÄN</t>
        </is>
      </c>
      <c r="E7044" t="inlineStr">
        <is>
          <t>SKELLEFTEÅ</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54570-2025</t>
        </is>
      </c>
      <c r="B7045" s="1" t="n">
        <v>45965.67487268519</v>
      </c>
      <c r="C7045" s="1" t="n">
        <v>46075</v>
      </c>
      <c r="D7045" t="inlineStr">
        <is>
          <t>VÄSTERBOTTENS LÄN</t>
        </is>
      </c>
      <c r="E7045" t="inlineStr">
        <is>
          <t>VÄNNÄS</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22548-2023</t>
        </is>
      </c>
      <c r="B7046" s="1" t="n">
        <v>45069</v>
      </c>
      <c r="C7046" s="1" t="n">
        <v>46075</v>
      </c>
      <c r="D7046" t="inlineStr">
        <is>
          <t>VÄSTERBOTTENS LÄN</t>
        </is>
      </c>
      <c r="E7046" t="inlineStr">
        <is>
          <t>SKELLEFTEÅ</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54030-2025</t>
        </is>
      </c>
      <c r="B7047" s="1" t="n">
        <v>45962.49011574074</v>
      </c>
      <c r="C7047" s="1" t="n">
        <v>46075</v>
      </c>
      <c r="D7047" t="inlineStr">
        <is>
          <t>VÄSTERBOTTENS LÄN</t>
        </is>
      </c>
      <c r="E7047" t="inlineStr">
        <is>
          <t>NORDMALING</t>
        </is>
      </c>
      <c r="F7047" t="inlineStr">
        <is>
          <t>SCA</t>
        </is>
      </c>
      <c r="G7047" t="n">
        <v>2.7</v>
      </c>
      <c r="H7047" t="n">
        <v>0</v>
      </c>
      <c r="I7047" t="n">
        <v>0</v>
      </c>
      <c r="J7047" t="n">
        <v>0</v>
      </c>
      <c r="K7047" t="n">
        <v>0</v>
      </c>
      <c r="L7047" t="n">
        <v>0</v>
      </c>
      <c r="M7047" t="n">
        <v>0</v>
      </c>
      <c r="N7047" t="n">
        <v>0</v>
      </c>
      <c r="O7047" t="n">
        <v>0</v>
      </c>
      <c r="P7047" t="n">
        <v>0</v>
      </c>
      <c r="Q7047" t="n">
        <v>0</v>
      </c>
      <c r="R7047" s="2" t="inlineStr"/>
    </row>
    <row r="7048" ht="15" customHeight="1">
      <c r="A7048" t="inlineStr">
        <is>
          <t>A 59117-2022</t>
        </is>
      </c>
      <c r="B7048" s="1" t="n">
        <v>44904.43054398148</v>
      </c>
      <c r="C7048" s="1" t="n">
        <v>46075</v>
      </c>
      <c r="D7048" t="inlineStr">
        <is>
          <t>VÄSTERBOTTENS LÄN</t>
        </is>
      </c>
      <c r="E7048" t="inlineStr">
        <is>
          <t>VINDELN</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54552-2025</t>
        </is>
      </c>
      <c r="B7049" s="1" t="n">
        <v>45965.658125</v>
      </c>
      <c r="C7049" s="1" t="n">
        <v>46075</v>
      </c>
      <c r="D7049" t="inlineStr">
        <is>
          <t>VÄSTERBOTTENS LÄN</t>
        </is>
      </c>
      <c r="E7049" t="inlineStr">
        <is>
          <t>SKELLEFTEÅ</t>
        </is>
      </c>
      <c r="G7049" t="n">
        <v>2.4</v>
      </c>
      <c r="H7049" t="n">
        <v>0</v>
      </c>
      <c r="I7049" t="n">
        <v>0</v>
      </c>
      <c r="J7049" t="n">
        <v>0</v>
      </c>
      <c r="K7049" t="n">
        <v>0</v>
      </c>
      <c r="L7049" t="n">
        <v>0</v>
      </c>
      <c r="M7049" t="n">
        <v>0</v>
      </c>
      <c r="N7049" t="n">
        <v>0</v>
      </c>
      <c r="O7049" t="n">
        <v>0</v>
      </c>
      <c r="P7049" t="n">
        <v>0</v>
      </c>
      <c r="Q7049" t="n">
        <v>0</v>
      </c>
      <c r="R7049" s="2" t="inlineStr"/>
    </row>
    <row r="7050" ht="15" customHeight="1">
      <c r="A7050" t="inlineStr">
        <is>
          <t>A 33822-2024</t>
        </is>
      </c>
      <c r="B7050" s="1" t="n">
        <v>45520.61289351852</v>
      </c>
      <c r="C7050" s="1" t="n">
        <v>46075</v>
      </c>
      <c r="D7050" t="inlineStr">
        <is>
          <t>VÄSTERBOTTENS LÄN</t>
        </is>
      </c>
      <c r="E7050" t="inlineStr">
        <is>
          <t>VINDELN</t>
        </is>
      </c>
      <c r="F7050" t="inlineStr">
        <is>
          <t>Holmen skog AB</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33836-2024</t>
        </is>
      </c>
      <c r="B7051" s="1" t="n">
        <v>45520.62395833333</v>
      </c>
      <c r="C7051" s="1" t="n">
        <v>46075</v>
      </c>
      <c r="D7051" t="inlineStr">
        <is>
          <t>VÄSTERBOTTENS LÄN</t>
        </is>
      </c>
      <c r="E7051" t="inlineStr">
        <is>
          <t>STORUMAN</t>
        </is>
      </c>
      <c r="F7051" t="inlineStr">
        <is>
          <t>Sveaskog</t>
        </is>
      </c>
      <c r="G7051" t="n">
        <v>6.5</v>
      </c>
      <c r="H7051" t="n">
        <v>0</v>
      </c>
      <c r="I7051" t="n">
        <v>0</v>
      </c>
      <c r="J7051" t="n">
        <v>0</v>
      </c>
      <c r="K7051" t="n">
        <v>0</v>
      </c>
      <c r="L7051" t="n">
        <v>0</v>
      </c>
      <c r="M7051" t="n">
        <v>0</v>
      </c>
      <c r="N7051" t="n">
        <v>0</v>
      </c>
      <c r="O7051" t="n">
        <v>0</v>
      </c>
      <c r="P7051" t="n">
        <v>0</v>
      </c>
      <c r="Q7051" t="n">
        <v>0</v>
      </c>
      <c r="R7051" s="2" t="inlineStr"/>
    </row>
    <row r="7052" ht="15" customHeight="1">
      <c r="A7052" t="inlineStr">
        <is>
          <t>A 54287-2025</t>
        </is>
      </c>
      <c r="B7052" s="1" t="n">
        <v>45964.80555555555</v>
      </c>
      <c r="C7052" s="1" t="n">
        <v>46075</v>
      </c>
      <c r="D7052" t="inlineStr">
        <is>
          <t>VÄSTERBOTTENS LÄN</t>
        </is>
      </c>
      <c r="E7052" t="inlineStr">
        <is>
          <t>SKELLEFTEÅ</t>
        </is>
      </c>
      <c r="F7052" t="inlineStr">
        <is>
          <t>Sveaskog</t>
        </is>
      </c>
      <c r="G7052" t="n">
        <v>15.9</v>
      </c>
      <c r="H7052" t="n">
        <v>0</v>
      </c>
      <c r="I7052" t="n">
        <v>0</v>
      </c>
      <c r="J7052" t="n">
        <v>0</v>
      </c>
      <c r="K7052" t="n">
        <v>0</v>
      </c>
      <c r="L7052" t="n">
        <v>0</v>
      </c>
      <c r="M7052" t="n">
        <v>0</v>
      </c>
      <c r="N7052" t="n">
        <v>0</v>
      </c>
      <c r="O7052" t="n">
        <v>0</v>
      </c>
      <c r="P7052" t="n">
        <v>0</v>
      </c>
      <c r="Q7052" t="n">
        <v>0</v>
      </c>
      <c r="R7052" s="2" t="inlineStr"/>
    </row>
    <row r="7053" ht="15" customHeight="1">
      <c r="A7053" t="inlineStr">
        <is>
          <t>A 22580-2023</t>
        </is>
      </c>
      <c r="B7053" s="1" t="n">
        <v>45069</v>
      </c>
      <c r="C7053" s="1" t="n">
        <v>46075</v>
      </c>
      <c r="D7053" t="inlineStr">
        <is>
          <t>VÄSTERBOTTENS LÄN</t>
        </is>
      </c>
      <c r="E7053" t="inlineStr">
        <is>
          <t>DOROTEA</t>
        </is>
      </c>
      <c r="G7053" t="n">
        <v>5.7</v>
      </c>
      <c r="H7053" t="n">
        <v>0</v>
      </c>
      <c r="I7053" t="n">
        <v>0</v>
      </c>
      <c r="J7053" t="n">
        <v>0</v>
      </c>
      <c r="K7053" t="n">
        <v>0</v>
      </c>
      <c r="L7053" t="n">
        <v>0</v>
      </c>
      <c r="M7053" t="n">
        <v>0</v>
      </c>
      <c r="N7053" t="n">
        <v>0</v>
      </c>
      <c r="O7053" t="n">
        <v>0</v>
      </c>
      <c r="P7053" t="n">
        <v>0</v>
      </c>
      <c r="Q7053" t="n">
        <v>0</v>
      </c>
      <c r="R7053" s="2" t="inlineStr"/>
    </row>
    <row r="7054" ht="15" customHeight="1">
      <c r="A7054" t="inlineStr">
        <is>
          <t>A 54243-2025</t>
        </is>
      </c>
      <c r="B7054" s="1" t="n">
        <v>45964.63417824074</v>
      </c>
      <c r="C7054" s="1" t="n">
        <v>46075</v>
      </c>
      <c r="D7054" t="inlineStr">
        <is>
          <t>VÄSTERBOTTENS LÄN</t>
        </is>
      </c>
      <c r="E7054" t="inlineStr">
        <is>
          <t>VÄNNÄS</t>
        </is>
      </c>
      <c r="G7054" t="n">
        <v>6.7</v>
      </c>
      <c r="H7054" t="n">
        <v>0</v>
      </c>
      <c r="I7054" t="n">
        <v>0</v>
      </c>
      <c r="J7054" t="n">
        <v>0</v>
      </c>
      <c r="K7054" t="n">
        <v>0</v>
      </c>
      <c r="L7054" t="n">
        <v>0</v>
      </c>
      <c r="M7054" t="n">
        <v>0</v>
      </c>
      <c r="N7054" t="n">
        <v>0</v>
      </c>
      <c r="O7054" t="n">
        <v>0</v>
      </c>
      <c r="P7054" t="n">
        <v>0</v>
      </c>
      <c r="Q7054" t="n">
        <v>0</v>
      </c>
      <c r="R7054" s="2" t="inlineStr"/>
    </row>
    <row r="7055" ht="15" customHeight="1">
      <c r="A7055" t="inlineStr">
        <is>
          <t>A 14756-2022</t>
        </is>
      </c>
      <c r="B7055" s="1" t="n">
        <v>44656</v>
      </c>
      <c r="C7055" s="1" t="n">
        <v>46075</v>
      </c>
      <c r="D7055" t="inlineStr">
        <is>
          <t>VÄSTERBOTTENS LÄN</t>
        </is>
      </c>
      <c r="E7055" t="inlineStr">
        <is>
          <t>SKELLEFTEÅ</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54317-2025</t>
        </is>
      </c>
      <c r="B7056" s="1" t="n">
        <v>45965.32998842592</v>
      </c>
      <c r="C7056" s="1" t="n">
        <v>46075</v>
      </c>
      <c r="D7056" t="inlineStr">
        <is>
          <t>VÄSTERBOTTENS LÄN</t>
        </is>
      </c>
      <c r="E7056" t="inlineStr">
        <is>
          <t>ÅSELE</t>
        </is>
      </c>
      <c r="F7056" t="inlineStr">
        <is>
          <t>Holmen skog AB</t>
        </is>
      </c>
      <c r="G7056" t="n">
        <v>10.4</v>
      </c>
      <c r="H7056" t="n">
        <v>0</v>
      </c>
      <c r="I7056" t="n">
        <v>0</v>
      </c>
      <c r="J7056" t="n">
        <v>0</v>
      </c>
      <c r="K7056" t="n">
        <v>0</v>
      </c>
      <c r="L7056" t="n">
        <v>0</v>
      </c>
      <c r="M7056" t="n">
        <v>0</v>
      </c>
      <c r="N7056" t="n">
        <v>0</v>
      </c>
      <c r="O7056" t="n">
        <v>0</v>
      </c>
      <c r="P7056" t="n">
        <v>0</v>
      </c>
      <c r="Q7056" t="n">
        <v>0</v>
      </c>
      <c r="R7056" s="2" t="inlineStr"/>
    </row>
    <row r="7057" ht="15" customHeight="1">
      <c r="A7057" t="inlineStr">
        <is>
          <t>A 28889-2021</t>
        </is>
      </c>
      <c r="B7057" s="1" t="n">
        <v>44357.9190162037</v>
      </c>
      <c r="C7057" s="1" t="n">
        <v>46075</v>
      </c>
      <c r="D7057" t="inlineStr">
        <is>
          <t>VÄSTERBOTTENS LÄN</t>
        </is>
      </c>
      <c r="E7057" t="inlineStr">
        <is>
          <t>NORSJÖ</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54456-2025</t>
        </is>
      </c>
      <c r="B7058" s="1" t="n">
        <v>45965.55259259259</v>
      </c>
      <c r="C7058" s="1" t="n">
        <v>46075</v>
      </c>
      <c r="D7058" t="inlineStr">
        <is>
          <t>VÄSTERBOTTENS LÄN</t>
        </is>
      </c>
      <c r="E7058" t="inlineStr">
        <is>
          <t>MALÅ</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54457-2025</t>
        </is>
      </c>
      <c r="B7059" s="1" t="n">
        <v>45965.55269675926</v>
      </c>
      <c r="C7059" s="1" t="n">
        <v>46075</v>
      </c>
      <c r="D7059" t="inlineStr">
        <is>
          <t>VÄSTERBOTTENS LÄN</t>
        </is>
      </c>
      <c r="E7059" t="inlineStr">
        <is>
          <t>NORDMALING</t>
        </is>
      </c>
      <c r="G7059" t="n">
        <v>1.8</v>
      </c>
      <c r="H7059" t="n">
        <v>0</v>
      </c>
      <c r="I7059" t="n">
        <v>0</v>
      </c>
      <c r="J7059" t="n">
        <v>0</v>
      </c>
      <c r="K7059" t="n">
        <v>0</v>
      </c>
      <c r="L7059" t="n">
        <v>0</v>
      </c>
      <c r="M7059" t="n">
        <v>0</v>
      </c>
      <c r="N7059" t="n">
        <v>0</v>
      </c>
      <c r="O7059" t="n">
        <v>0</v>
      </c>
      <c r="P7059" t="n">
        <v>0</v>
      </c>
      <c r="Q7059" t="n">
        <v>0</v>
      </c>
      <c r="R7059" s="2" t="inlineStr"/>
    </row>
    <row r="7060" ht="15" customHeight="1">
      <c r="A7060" t="inlineStr">
        <is>
          <t>A 54473-2025</t>
        </is>
      </c>
      <c r="B7060" s="1" t="n">
        <v>45965.57398148148</v>
      </c>
      <c r="C7060" s="1" t="n">
        <v>46075</v>
      </c>
      <c r="D7060" t="inlineStr">
        <is>
          <t>VÄSTERBOTTENS LÄN</t>
        </is>
      </c>
      <c r="E7060" t="inlineStr">
        <is>
          <t>NORDMALING</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53639-2022</t>
        </is>
      </c>
      <c r="B7061" s="1" t="n">
        <v>44879.92975694445</v>
      </c>
      <c r="C7061" s="1" t="n">
        <v>46075</v>
      </c>
      <c r="D7061" t="inlineStr">
        <is>
          <t>VÄSTERBOTTENS LÄN</t>
        </is>
      </c>
      <c r="E7061" t="inlineStr">
        <is>
          <t>SKELLEFTEÅ</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35006-2023</t>
        </is>
      </c>
      <c r="B7062" s="1" t="n">
        <v>45142.95103009259</v>
      </c>
      <c r="C7062" s="1" t="n">
        <v>46075</v>
      </c>
      <c r="D7062" t="inlineStr">
        <is>
          <t>VÄSTERBOTTENS LÄN</t>
        </is>
      </c>
      <c r="E7062" t="inlineStr">
        <is>
          <t>VILHELMINA</t>
        </is>
      </c>
      <c r="F7062" t="inlineStr">
        <is>
          <t>SCA</t>
        </is>
      </c>
      <c r="G7062" t="n">
        <v>11.6</v>
      </c>
      <c r="H7062" t="n">
        <v>0</v>
      </c>
      <c r="I7062" t="n">
        <v>0</v>
      </c>
      <c r="J7062" t="n">
        <v>0</v>
      </c>
      <c r="K7062" t="n">
        <v>0</v>
      </c>
      <c r="L7062" t="n">
        <v>0</v>
      </c>
      <c r="M7062" t="n">
        <v>0</v>
      </c>
      <c r="N7062" t="n">
        <v>0</v>
      </c>
      <c r="O7062" t="n">
        <v>0</v>
      </c>
      <c r="P7062" t="n">
        <v>0</v>
      </c>
      <c r="Q7062" t="n">
        <v>0</v>
      </c>
      <c r="R7062" s="2" t="inlineStr"/>
    </row>
    <row r="7063" ht="15" customHeight="1">
      <c r="A7063" t="inlineStr">
        <is>
          <t>A 53357-2024</t>
        </is>
      </c>
      <c r="B7063" s="1" t="n">
        <v>45614</v>
      </c>
      <c r="C7063" s="1" t="n">
        <v>46075</v>
      </c>
      <c r="D7063" t="inlineStr">
        <is>
          <t>VÄSTERBOTTENS LÄN</t>
        </is>
      </c>
      <c r="E7063" t="inlineStr">
        <is>
          <t>DOROTEA</t>
        </is>
      </c>
      <c r="G7063" t="n">
        <v>26.5</v>
      </c>
      <c r="H7063" t="n">
        <v>0</v>
      </c>
      <c r="I7063" t="n">
        <v>0</v>
      </c>
      <c r="J7063" t="n">
        <v>0</v>
      </c>
      <c r="K7063" t="n">
        <v>0</v>
      </c>
      <c r="L7063" t="n">
        <v>0</v>
      </c>
      <c r="M7063" t="n">
        <v>0</v>
      </c>
      <c r="N7063" t="n">
        <v>0</v>
      </c>
      <c r="O7063" t="n">
        <v>0</v>
      </c>
      <c r="P7063" t="n">
        <v>0</v>
      </c>
      <c r="Q7063" t="n">
        <v>0</v>
      </c>
      <c r="R7063" s="2" t="inlineStr"/>
    </row>
    <row r="7064" ht="15" customHeight="1">
      <c r="A7064" t="inlineStr">
        <is>
          <t>A 54061-2025</t>
        </is>
      </c>
      <c r="B7064" s="1" t="n">
        <v>45964.33159722222</v>
      </c>
      <c r="C7064" s="1" t="n">
        <v>46075</v>
      </c>
      <c r="D7064" t="inlineStr">
        <is>
          <t>VÄSTERBOTTENS LÄN</t>
        </is>
      </c>
      <c r="E7064" t="inlineStr">
        <is>
          <t>VINDELN</t>
        </is>
      </c>
      <c r="G7064" t="n">
        <v>2.9</v>
      </c>
      <c r="H7064" t="n">
        <v>0</v>
      </c>
      <c r="I7064" t="n">
        <v>0</v>
      </c>
      <c r="J7064" t="n">
        <v>0</v>
      </c>
      <c r="K7064" t="n">
        <v>0</v>
      </c>
      <c r="L7064" t="n">
        <v>0</v>
      </c>
      <c r="M7064" t="n">
        <v>0</v>
      </c>
      <c r="N7064" t="n">
        <v>0</v>
      </c>
      <c r="O7064" t="n">
        <v>0</v>
      </c>
      <c r="P7064" t="n">
        <v>0</v>
      </c>
      <c r="Q7064" t="n">
        <v>0</v>
      </c>
      <c r="R7064" s="2" t="inlineStr"/>
    </row>
    <row r="7065" ht="15" customHeight="1">
      <c r="A7065" t="inlineStr">
        <is>
          <t>A 54078-2025</t>
        </is>
      </c>
      <c r="B7065" s="1" t="n">
        <v>45964.36516203704</v>
      </c>
      <c r="C7065" s="1" t="n">
        <v>46075</v>
      </c>
      <c r="D7065" t="inlineStr">
        <is>
          <t>VÄSTERBOTTENS LÄN</t>
        </is>
      </c>
      <c r="E7065" t="inlineStr">
        <is>
          <t>NORDMALING</t>
        </is>
      </c>
      <c r="G7065" t="n">
        <v>3.3</v>
      </c>
      <c r="H7065" t="n">
        <v>0</v>
      </c>
      <c r="I7065" t="n">
        <v>0</v>
      </c>
      <c r="J7065" t="n">
        <v>0</v>
      </c>
      <c r="K7065" t="n">
        <v>0</v>
      </c>
      <c r="L7065" t="n">
        <v>0</v>
      </c>
      <c r="M7065" t="n">
        <v>0</v>
      </c>
      <c r="N7065" t="n">
        <v>0</v>
      </c>
      <c r="O7065" t="n">
        <v>0</v>
      </c>
      <c r="P7065" t="n">
        <v>0</v>
      </c>
      <c r="Q7065" t="n">
        <v>0</v>
      </c>
      <c r="R7065" s="2" t="inlineStr"/>
    </row>
    <row r="7066" ht="15" customHeight="1">
      <c r="A7066" t="inlineStr">
        <is>
          <t>A 26473-2021</t>
        </is>
      </c>
      <c r="B7066" s="1" t="n">
        <v>44348</v>
      </c>
      <c r="C7066" s="1" t="n">
        <v>46075</v>
      </c>
      <c r="D7066" t="inlineStr">
        <is>
          <t>VÄSTERBOTTENS LÄN</t>
        </is>
      </c>
      <c r="E7066" t="inlineStr">
        <is>
          <t>SKELLEFTEÅ</t>
        </is>
      </c>
      <c r="G7066" t="n">
        <v>0.3</v>
      </c>
      <c r="H7066" t="n">
        <v>0</v>
      </c>
      <c r="I7066" t="n">
        <v>0</v>
      </c>
      <c r="J7066" t="n">
        <v>0</v>
      </c>
      <c r="K7066" t="n">
        <v>0</v>
      </c>
      <c r="L7066" t="n">
        <v>0</v>
      </c>
      <c r="M7066" t="n">
        <v>0</v>
      </c>
      <c r="N7066" t="n">
        <v>0</v>
      </c>
      <c r="O7066" t="n">
        <v>0</v>
      </c>
      <c r="P7066" t="n">
        <v>0</v>
      </c>
      <c r="Q7066" t="n">
        <v>0</v>
      </c>
      <c r="R7066" s="2" t="inlineStr"/>
    </row>
    <row r="7067" ht="15" customHeight="1">
      <c r="A7067" t="inlineStr">
        <is>
          <t>A 37262-2023</t>
        </is>
      </c>
      <c r="B7067" s="1" t="n">
        <v>45155</v>
      </c>
      <c r="C7067" s="1" t="n">
        <v>46075</v>
      </c>
      <c r="D7067" t="inlineStr">
        <is>
          <t>VÄSTERBOTTENS LÄN</t>
        </is>
      </c>
      <c r="E7067" t="inlineStr">
        <is>
          <t>LYCKSELE</t>
        </is>
      </c>
      <c r="F7067" t="inlineStr">
        <is>
          <t>SCA</t>
        </is>
      </c>
      <c r="G7067" t="n">
        <v>4.1</v>
      </c>
      <c r="H7067" t="n">
        <v>0</v>
      </c>
      <c r="I7067" t="n">
        <v>0</v>
      </c>
      <c r="J7067" t="n">
        <v>0</v>
      </c>
      <c r="K7067" t="n">
        <v>0</v>
      </c>
      <c r="L7067" t="n">
        <v>0</v>
      </c>
      <c r="M7067" t="n">
        <v>0</v>
      </c>
      <c r="N7067" t="n">
        <v>0</v>
      </c>
      <c r="O7067" t="n">
        <v>0</v>
      </c>
      <c r="P7067" t="n">
        <v>0</v>
      </c>
      <c r="Q7067" t="n">
        <v>0</v>
      </c>
      <c r="R7067" s="2" t="inlineStr"/>
    </row>
    <row r="7068" ht="15" customHeight="1">
      <c r="A7068" t="inlineStr">
        <is>
          <t>A 24819-2023</t>
        </is>
      </c>
      <c r="B7068" s="1" t="n">
        <v>45084</v>
      </c>
      <c r="C7068" s="1" t="n">
        <v>46075</v>
      </c>
      <c r="D7068" t="inlineStr">
        <is>
          <t>VÄSTERBOTTENS LÄN</t>
        </is>
      </c>
      <c r="E7068" t="inlineStr">
        <is>
          <t>NORSJÖ</t>
        </is>
      </c>
      <c r="G7068" t="n">
        <v>4.6</v>
      </c>
      <c r="H7068" t="n">
        <v>0</v>
      </c>
      <c r="I7068" t="n">
        <v>0</v>
      </c>
      <c r="J7068" t="n">
        <v>0</v>
      </c>
      <c r="K7068" t="n">
        <v>0</v>
      </c>
      <c r="L7068" t="n">
        <v>0</v>
      </c>
      <c r="M7068" t="n">
        <v>0</v>
      </c>
      <c r="N7068" t="n">
        <v>0</v>
      </c>
      <c r="O7068" t="n">
        <v>0</v>
      </c>
      <c r="P7068" t="n">
        <v>0</v>
      </c>
      <c r="Q7068" t="n">
        <v>0</v>
      </c>
      <c r="R7068" s="2" t="inlineStr"/>
    </row>
    <row r="7069" ht="15" customHeight="1">
      <c r="A7069" t="inlineStr">
        <is>
          <t>A 24850-2023</t>
        </is>
      </c>
      <c r="B7069" s="1" t="n">
        <v>45078</v>
      </c>
      <c r="C7069" s="1" t="n">
        <v>46075</v>
      </c>
      <c r="D7069" t="inlineStr">
        <is>
          <t>VÄSTERBOTTENS LÄN</t>
        </is>
      </c>
      <c r="E7069" t="inlineStr">
        <is>
          <t>NORDMALING</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18498-2025</t>
        </is>
      </c>
      <c r="B7070" s="1" t="n">
        <v>45763.35789351852</v>
      </c>
      <c r="C7070" s="1" t="n">
        <v>46075</v>
      </c>
      <c r="D7070" t="inlineStr">
        <is>
          <t>VÄSTERBOTTENS LÄN</t>
        </is>
      </c>
      <c r="E7070" t="inlineStr">
        <is>
          <t>SKELLEFTEÅ</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30618-2023</t>
        </is>
      </c>
      <c r="B7071" s="1" t="n">
        <v>45112.41425925926</v>
      </c>
      <c r="C7071" s="1" t="n">
        <v>46075</v>
      </c>
      <c r="D7071" t="inlineStr">
        <is>
          <t>VÄSTERBOTTENS LÄN</t>
        </is>
      </c>
      <c r="E7071" t="inlineStr">
        <is>
          <t>ÅSELE</t>
        </is>
      </c>
      <c r="F7071" t="inlineStr">
        <is>
          <t>Sveaskog</t>
        </is>
      </c>
      <c r="G7071" t="n">
        <v>18.7</v>
      </c>
      <c r="H7071" t="n">
        <v>0</v>
      </c>
      <c r="I7071" t="n">
        <v>0</v>
      </c>
      <c r="J7071" t="n">
        <v>0</v>
      </c>
      <c r="K7071" t="n">
        <v>0</v>
      </c>
      <c r="L7071" t="n">
        <v>0</v>
      </c>
      <c r="M7071" t="n">
        <v>0</v>
      </c>
      <c r="N7071" t="n">
        <v>0</v>
      </c>
      <c r="O7071" t="n">
        <v>0</v>
      </c>
      <c r="P7071" t="n">
        <v>0</v>
      </c>
      <c r="Q7071" t="n">
        <v>0</v>
      </c>
      <c r="R7071" s="2" t="inlineStr"/>
    </row>
    <row r="7072" ht="15" customHeight="1">
      <c r="A7072" t="inlineStr">
        <is>
          <t>A 49875-2025</t>
        </is>
      </c>
      <c r="B7072" s="1" t="n">
        <v>45940.55391203704</v>
      </c>
      <c r="C7072" s="1" t="n">
        <v>46075</v>
      </c>
      <c r="D7072" t="inlineStr">
        <is>
          <t>VÄSTERBOTTENS LÄN</t>
        </is>
      </c>
      <c r="E7072" t="inlineStr">
        <is>
          <t>UMEÅ</t>
        </is>
      </c>
      <c r="F7072" t="inlineStr">
        <is>
          <t>Kommuner</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54483-2025</t>
        </is>
      </c>
      <c r="B7073" s="1" t="n">
        <v>45965.59125</v>
      </c>
      <c r="C7073" s="1" t="n">
        <v>46075</v>
      </c>
      <c r="D7073" t="inlineStr">
        <is>
          <t>VÄSTERBOTTENS LÄN</t>
        </is>
      </c>
      <c r="E7073" t="inlineStr">
        <is>
          <t>VINDELN</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56888-2024</t>
        </is>
      </c>
      <c r="B7074" s="1" t="n">
        <v>45628.57732638889</v>
      </c>
      <c r="C7074" s="1" t="n">
        <v>46075</v>
      </c>
      <c r="D7074" t="inlineStr">
        <is>
          <t>VÄSTERBOTTENS LÄN</t>
        </is>
      </c>
      <c r="E7074" t="inlineStr">
        <is>
          <t>NORSJÖ</t>
        </is>
      </c>
      <c r="G7074" t="n">
        <v>5.4</v>
      </c>
      <c r="H7074" t="n">
        <v>0</v>
      </c>
      <c r="I7074" t="n">
        <v>0</v>
      </c>
      <c r="J7074" t="n">
        <v>0</v>
      </c>
      <c r="K7074" t="n">
        <v>0</v>
      </c>
      <c r="L7074" t="n">
        <v>0</v>
      </c>
      <c r="M7074" t="n">
        <v>0</v>
      </c>
      <c r="N7074" t="n">
        <v>0</v>
      </c>
      <c r="O7074" t="n">
        <v>0</v>
      </c>
      <c r="P7074" t="n">
        <v>0</v>
      </c>
      <c r="Q7074" t="n">
        <v>0</v>
      </c>
      <c r="R7074" s="2" t="inlineStr"/>
    </row>
    <row r="7075" ht="15" customHeight="1">
      <c r="A7075" t="inlineStr">
        <is>
          <t>A 10793-2023</t>
        </is>
      </c>
      <c r="B7075" s="1" t="n">
        <v>44989.40244212963</v>
      </c>
      <c r="C7075" s="1" t="n">
        <v>46075</v>
      </c>
      <c r="D7075" t="inlineStr">
        <is>
          <t>VÄSTERBOTTENS LÄN</t>
        </is>
      </c>
      <c r="E7075" t="inlineStr">
        <is>
          <t>SORSELE</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54589-2025</t>
        </is>
      </c>
      <c r="B7076" s="1" t="n">
        <v>45965.74070601852</v>
      </c>
      <c r="C7076" s="1" t="n">
        <v>46075</v>
      </c>
      <c r="D7076" t="inlineStr">
        <is>
          <t>VÄSTERBOTTENS LÄN</t>
        </is>
      </c>
      <c r="E7076" t="inlineStr">
        <is>
          <t>ROBERTSFORS</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54435-2025</t>
        </is>
      </c>
      <c r="B7077" s="1" t="n">
        <v>45965.49858796296</v>
      </c>
      <c r="C7077" s="1" t="n">
        <v>46075</v>
      </c>
      <c r="D7077" t="inlineStr">
        <is>
          <t>VÄSTERBOTTENS LÄN</t>
        </is>
      </c>
      <c r="E7077" t="inlineStr">
        <is>
          <t>VINDELN</t>
        </is>
      </c>
      <c r="G7077" t="n">
        <v>14.8</v>
      </c>
      <c r="H7077" t="n">
        <v>0</v>
      </c>
      <c r="I7077" t="n">
        <v>0</v>
      </c>
      <c r="J7077" t="n">
        <v>0</v>
      </c>
      <c r="K7077" t="n">
        <v>0</v>
      </c>
      <c r="L7077" t="n">
        <v>0</v>
      </c>
      <c r="M7077" t="n">
        <v>0</v>
      </c>
      <c r="N7077" t="n">
        <v>0</v>
      </c>
      <c r="O7077" t="n">
        <v>0</v>
      </c>
      <c r="P7077" t="n">
        <v>0</v>
      </c>
      <c r="Q7077" t="n">
        <v>0</v>
      </c>
      <c r="R7077" s="2" t="inlineStr"/>
    </row>
    <row r="7078" ht="15" customHeight="1">
      <c r="A7078" t="inlineStr">
        <is>
          <t>A 37255-2023</t>
        </is>
      </c>
      <c r="B7078" s="1" t="n">
        <v>45155</v>
      </c>
      <c r="C7078" s="1" t="n">
        <v>46075</v>
      </c>
      <c r="D7078" t="inlineStr">
        <is>
          <t>VÄSTERBOTTENS LÄN</t>
        </is>
      </c>
      <c r="E7078" t="inlineStr">
        <is>
          <t>VINDELN</t>
        </is>
      </c>
      <c r="F7078" t="inlineStr">
        <is>
          <t>SCA</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54729-2024</t>
        </is>
      </c>
      <c r="B7079" s="1" t="n">
        <v>45618.43826388889</v>
      </c>
      <c r="C7079" s="1" t="n">
        <v>46075</v>
      </c>
      <c r="D7079" t="inlineStr">
        <is>
          <t>VÄSTERBOTTENS LÄN</t>
        </is>
      </c>
      <c r="E7079" t="inlineStr">
        <is>
          <t>ÅSELE</t>
        </is>
      </c>
      <c r="F7079" t="inlineStr">
        <is>
          <t>SCA</t>
        </is>
      </c>
      <c r="G7079" t="n">
        <v>5.6</v>
      </c>
      <c r="H7079" t="n">
        <v>0</v>
      </c>
      <c r="I7079" t="n">
        <v>0</v>
      </c>
      <c r="J7079" t="n">
        <v>0</v>
      </c>
      <c r="K7079" t="n">
        <v>0</v>
      </c>
      <c r="L7079" t="n">
        <v>0</v>
      </c>
      <c r="M7079" t="n">
        <v>0</v>
      </c>
      <c r="N7079" t="n">
        <v>0</v>
      </c>
      <c r="O7079" t="n">
        <v>0</v>
      </c>
      <c r="P7079" t="n">
        <v>0</v>
      </c>
      <c r="Q7079" t="n">
        <v>0</v>
      </c>
      <c r="R7079" s="2" t="inlineStr"/>
    </row>
    <row r="7080" ht="15" customHeight="1">
      <c r="A7080" t="inlineStr">
        <is>
          <t>A 54730-2024</t>
        </is>
      </c>
      <c r="B7080" s="1" t="n">
        <v>45618.4383912037</v>
      </c>
      <c r="C7080" s="1" t="n">
        <v>46075</v>
      </c>
      <c r="D7080" t="inlineStr">
        <is>
          <t>VÄSTERBOTTENS LÄN</t>
        </is>
      </c>
      <c r="E7080" t="inlineStr">
        <is>
          <t>NORDMALING</t>
        </is>
      </c>
      <c r="F7080" t="inlineStr">
        <is>
          <t>SCA</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48332-2021</t>
        </is>
      </c>
      <c r="B7081" s="1" t="n">
        <v>44451.45726851852</v>
      </c>
      <c r="C7081" s="1" t="n">
        <v>46075</v>
      </c>
      <c r="D7081" t="inlineStr">
        <is>
          <t>VÄSTERBOTTENS LÄN</t>
        </is>
      </c>
      <c r="E7081" t="inlineStr">
        <is>
          <t>STORUMAN</t>
        </is>
      </c>
      <c r="F7081" t="inlineStr">
        <is>
          <t>Sveaskog</t>
        </is>
      </c>
      <c r="G7081" t="n">
        <v>3.4</v>
      </c>
      <c r="H7081" t="n">
        <v>0</v>
      </c>
      <c r="I7081" t="n">
        <v>0</v>
      </c>
      <c r="J7081" t="n">
        <v>0</v>
      </c>
      <c r="K7081" t="n">
        <v>0</v>
      </c>
      <c r="L7081" t="n">
        <v>0</v>
      </c>
      <c r="M7081" t="n">
        <v>0</v>
      </c>
      <c r="N7081" t="n">
        <v>0</v>
      </c>
      <c r="O7081" t="n">
        <v>0</v>
      </c>
      <c r="P7081" t="n">
        <v>0</v>
      </c>
      <c r="Q7081" t="n">
        <v>0</v>
      </c>
      <c r="R7081" s="2" t="inlineStr"/>
    </row>
    <row r="7082" ht="15" customHeight="1">
      <c r="A7082" t="inlineStr">
        <is>
          <t>A 20524-2024</t>
        </is>
      </c>
      <c r="B7082" s="1" t="n">
        <v>45435.94567129629</v>
      </c>
      <c r="C7082" s="1" t="n">
        <v>46075</v>
      </c>
      <c r="D7082" t="inlineStr">
        <is>
          <t>VÄSTERBOTTENS LÄN</t>
        </is>
      </c>
      <c r="E7082" t="inlineStr">
        <is>
          <t>VILHELMINA</t>
        </is>
      </c>
      <c r="F7082" t="inlineStr">
        <is>
          <t>SCA</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27307-2022</t>
        </is>
      </c>
      <c r="B7083" s="1" t="n">
        <v>44742.3241550926</v>
      </c>
      <c r="C7083" s="1" t="n">
        <v>46075</v>
      </c>
      <c r="D7083" t="inlineStr">
        <is>
          <t>VÄSTERBOTTENS LÄN</t>
        </is>
      </c>
      <c r="E7083" t="inlineStr">
        <is>
          <t>UMEÅ</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31696-2024</t>
        </is>
      </c>
      <c r="B7084" s="1" t="n">
        <v>45508</v>
      </c>
      <c r="C7084" s="1" t="n">
        <v>46075</v>
      </c>
      <c r="D7084" t="inlineStr">
        <is>
          <t>VÄSTERBOTTENS LÄN</t>
        </is>
      </c>
      <c r="E7084" t="inlineStr">
        <is>
          <t>VILHELMINA</t>
        </is>
      </c>
      <c r="G7084" t="n">
        <v>12.4</v>
      </c>
      <c r="H7084" t="n">
        <v>0</v>
      </c>
      <c r="I7084" t="n">
        <v>0</v>
      </c>
      <c r="J7084" t="n">
        <v>0</v>
      </c>
      <c r="K7084" t="n">
        <v>0</v>
      </c>
      <c r="L7084" t="n">
        <v>0</v>
      </c>
      <c r="M7084" t="n">
        <v>0</v>
      </c>
      <c r="N7084" t="n">
        <v>0</v>
      </c>
      <c r="O7084" t="n">
        <v>0</v>
      </c>
      <c r="P7084" t="n">
        <v>0</v>
      </c>
      <c r="Q7084" t="n">
        <v>0</v>
      </c>
      <c r="R7084" s="2" t="inlineStr"/>
    </row>
    <row r="7085" ht="15" customHeight="1">
      <c r="A7085" t="inlineStr">
        <is>
          <t>A 54438-2025</t>
        </is>
      </c>
      <c r="B7085" s="1" t="n">
        <v>45965.50305555556</v>
      </c>
      <c r="C7085" s="1" t="n">
        <v>46075</v>
      </c>
      <c r="D7085" t="inlineStr">
        <is>
          <t>VÄSTERBOTTENS LÄN</t>
        </is>
      </c>
      <c r="E7085" t="inlineStr">
        <is>
          <t>NORDMALING</t>
        </is>
      </c>
      <c r="G7085" t="n">
        <v>5.6</v>
      </c>
      <c r="H7085" t="n">
        <v>0</v>
      </c>
      <c r="I7085" t="n">
        <v>0</v>
      </c>
      <c r="J7085" t="n">
        <v>0</v>
      </c>
      <c r="K7085" t="n">
        <v>0</v>
      </c>
      <c r="L7085" t="n">
        <v>0</v>
      </c>
      <c r="M7085" t="n">
        <v>0</v>
      </c>
      <c r="N7085" t="n">
        <v>0</v>
      </c>
      <c r="O7085" t="n">
        <v>0</v>
      </c>
      <c r="P7085" t="n">
        <v>0</v>
      </c>
      <c r="Q7085" t="n">
        <v>0</v>
      </c>
      <c r="R7085" s="2" t="inlineStr"/>
    </row>
    <row r="7086" ht="15" customHeight="1">
      <c r="A7086" t="inlineStr">
        <is>
          <t>A 52815-2025</t>
        </is>
      </c>
      <c r="B7086" s="1" t="n">
        <v>45957</v>
      </c>
      <c r="C7086" s="1" t="n">
        <v>46075</v>
      </c>
      <c r="D7086" t="inlineStr">
        <is>
          <t>VÄSTERBOTTENS LÄN</t>
        </is>
      </c>
      <c r="E7086" t="inlineStr">
        <is>
          <t>VILHELMINA</t>
        </is>
      </c>
      <c r="G7086" t="n">
        <v>2.3</v>
      </c>
      <c r="H7086" t="n">
        <v>0</v>
      </c>
      <c r="I7086" t="n">
        <v>0</v>
      </c>
      <c r="J7086" t="n">
        <v>0</v>
      </c>
      <c r="K7086" t="n">
        <v>0</v>
      </c>
      <c r="L7086" t="n">
        <v>0</v>
      </c>
      <c r="M7086" t="n">
        <v>0</v>
      </c>
      <c r="N7086" t="n">
        <v>0</v>
      </c>
      <c r="O7086" t="n">
        <v>0</v>
      </c>
      <c r="P7086" t="n">
        <v>0</v>
      </c>
      <c r="Q7086" t="n">
        <v>0</v>
      </c>
      <c r="R7086" s="2" t="inlineStr"/>
    </row>
    <row r="7087" ht="15" customHeight="1">
      <c r="A7087" t="inlineStr">
        <is>
          <t>A 52827-2025</t>
        </is>
      </c>
      <c r="B7087" s="1" t="n">
        <v>45957</v>
      </c>
      <c r="C7087" s="1" t="n">
        <v>46075</v>
      </c>
      <c r="D7087" t="inlineStr">
        <is>
          <t>VÄSTERBOTTENS LÄN</t>
        </is>
      </c>
      <c r="E7087" t="inlineStr">
        <is>
          <t>VILHELMINA</t>
        </is>
      </c>
      <c r="G7087" t="n">
        <v>6.3</v>
      </c>
      <c r="H7087" t="n">
        <v>0</v>
      </c>
      <c r="I7087" t="n">
        <v>0</v>
      </c>
      <c r="J7087" t="n">
        <v>0</v>
      </c>
      <c r="K7087" t="n">
        <v>0</v>
      </c>
      <c r="L7087" t="n">
        <v>0</v>
      </c>
      <c r="M7087" t="n">
        <v>0</v>
      </c>
      <c r="N7087" t="n">
        <v>0</v>
      </c>
      <c r="O7087" t="n">
        <v>0</v>
      </c>
      <c r="P7087" t="n">
        <v>0</v>
      </c>
      <c r="Q7087" t="n">
        <v>0</v>
      </c>
      <c r="R7087" s="2" t="inlineStr"/>
    </row>
    <row r="7088" ht="15" customHeight="1">
      <c r="A7088" t="inlineStr">
        <is>
          <t>A 52830-2025</t>
        </is>
      </c>
      <c r="B7088" s="1" t="n">
        <v>45957</v>
      </c>
      <c r="C7088" s="1" t="n">
        <v>46075</v>
      </c>
      <c r="D7088" t="inlineStr">
        <is>
          <t>VÄSTERBOTTENS LÄN</t>
        </is>
      </c>
      <c r="E7088" t="inlineStr">
        <is>
          <t>VILHELMINA</t>
        </is>
      </c>
      <c r="G7088" t="n">
        <v>8.6</v>
      </c>
      <c r="H7088" t="n">
        <v>0</v>
      </c>
      <c r="I7088" t="n">
        <v>0</v>
      </c>
      <c r="J7088" t="n">
        <v>0</v>
      </c>
      <c r="K7088" t="n">
        <v>0</v>
      </c>
      <c r="L7088" t="n">
        <v>0</v>
      </c>
      <c r="M7088" t="n">
        <v>0</v>
      </c>
      <c r="N7088" t="n">
        <v>0</v>
      </c>
      <c r="O7088" t="n">
        <v>0</v>
      </c>
      <c r="P7088" t="n">
        <v>0</v>
      </c>
      <c r="Q7088" t="n">
        <v>0</v>
      </c>
      <c r="R7088" s="2" t="inlineStr"/>
    </row>
    <row r="7089" ht="15" customHeight="1">
      <c r="A7089" t="inlineStr">
        <is>
          <t>A 60163-2024</t>
        </is>
      </c>
      <c r="B7089" s="1" t="n">
        <v>45642.63332175926</v>
      </c>
      <c r="C7089" s="1" t="n">
        <v>46075</v>
      </c>
      <c r="D7089" t="inlineStr">
        <is>
          <t>VÄSTERBOTTENS LÄN</t>
        </is>
      </c>
      <c r="E7089" t="inlineStr">
        <is>
          <t>DOROTEA</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54109-2025</t>
        </is>
      </c>
      <c r="B7090" s="1" t="n">
        <v>45964.43076388889</v>
      </c>
      <c r="C7090" s="1" t="n">
        <v>46075</v>
      </c>
      <c r="D7090" t="inlineStr">
        <is>
          <t>VÄSTERBOTTENS LÄN</t>
        </is>
      </c>
      <c r="E7090" t="inlineStr">
        <is>
          <t>SKELLEFTEÅ</t>
        </is>
      </c>
      <c r="F7090" t="inlineStr">
        <is>
          <t>Holmen skog AB</t>
        </is>
      </c>
      <c r="G7090" t="n">
        <v>3.2</v>
      </c>
      <c r="H7090" t="n">
        <v>0</v>
      </c>
      <c r="I7090" t="n">
        <v>0</v>
      </c>
      <c r="J7090" t="n">
        <v>0</v>
      </c>
      <c r="K7090" t="n">
        <v>0</v>
      </c>
      <c r="L7090" t="n">
        <v>0</v>
      </c>
      <c r="M7090" t="n">
        <v>0</v>
      </c>
      <c r="N7090" t="n">
        <v>0</v>
      </c>
      <c r="O7090" t="n">
        <v>0</v>
      </c>
      <c r="P7090" t="n">
        <v>0</v>
      </c>
      <c r="Q7090" t="n">
        <v>0</v>
      </c>
      <c r="R7090" s="2" t="inlineStr"/>
    </row>
    <row r="7091" ht="15" customHeight="1">
      <c r="A7091" t="inlineStr">
        <is>
          <t>A 54123-2025</t>
        </is>
      </c>
      <c r="B7091" s="1" t="n">
        <v>45964.4562037037</v>
      </c>
      <c r="C7091" s="1" t="n">
        <v>46075</v>
      </c>
      <c r="D7091" t="inlineStr">
        <is>
          <t>VÄSTERBOTTENS LÄN</t>
        </is>
      </c>
      <c r="E7091" t="inlineStr">
        <is>
          <t>BJURHOLM</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52816-2025</t>
        </is>
      </c>
      <c r="B7092" s="1" t="n">
        <v>45957</v>
      </c>
      <c r="C7092" s="1" t="n">
        <v>46075</v>
      </c>
      <c r="D7092" t="inlineStr">
        <is>
          <t>VÄSTERBOTTENS LÄN</t>
        </is>
      </c>
      <c r="E7092" t="inlineStr">
        <is>
          <t>VILHELMINA</t>
        </is>
      </c>
      <c r="G7092" t="n">
        <v>4.9</v>
      </c>
      <c r="H7092" t="n">
        <v>0</v>
      </c>
      <c r="I7092" t="n">
        <v>0</v>
      </c>
      <c r="J7092" t="n">
        <v>0</v>
      </c>
      <c r="K7092" t="n">
        <v>0</v>
      </c>
      <c r="L7092" t="n">
        <v>0</v>
      </c>
      <c r="M7092" t="n">
        <v>0</v>
      </c>
      <c r="N7092" t="n">
        <v>0</v>
      </c>
      <c r="O7092" t="n">
        <v>0</v>
      </c>
      <c r="P7092" t="n">
        <v>0</v>
      </c>
      <c r="Q7092" t="n">
        <v>0</v>
      </c>
      <c r="R7092" s="2" t="inlineStr"/>
    </row>
    <row r="7093" ht="15" customHeight="1">
      <c r="A7093" t="inlineStr">
        <is>
          <t>A 46666-2025</t>
        </is>
      </c>
      <c r="B7093" s="1" t="n">
        <v>45926</v>
      </c>
      <c r="C7093" s="1" t="n">
        <v>46075</v>
      </c>
      <c r="D7093" t="inlineStr">
        <is>
          <t>VÄSTERBOTTENS LÄN</t>
        </is>
      </c>
      <c r="E7093" t="inlineStr">
        <is>
          <t>SORSELE</t>
        </is>
      </c>
      <c r="F7093" t="inlineStr">
        <is>
          <t>Sveaskog</t>
        </is>
      </c>
      <c r="G7093" t="n">
        <v>35.6</v>
      </c>
      <c r="H7093" t="n">
        <v>0</v>
      </c>
      <c r="I7093" t="n">
        <v>0</v>
      </c>
      <c r="J7093" t="n">
        <v>0</v>
      </c>
      <c r="K7093" t="n">
        <v>0</v>
      </c>
      <c r="L7093" t="n">
        <v>0</v>
      </c>
      <c r="M7093" t="n">
        <v>0</v>
      </c>
      <c r="N7093" t="n">
        <v>0</v>
      </c>
      <c r="O7093" t="n">
        <v>0</v>
      </c>
      <c r="P7093" t="n">
        <v>0</v>
      </c>
      <c r="Q7093" t="n">
        <v>0</v>
      </c>
      <c r="R7093" s="2" t="inlineStr"/>
    </row>
    <row r="7094" ht="15" customHeight="1">
      <c r="A7094" t="inlineStr">
        <is>
          <t>A 18688-2025</t>
        </is>
      </c>
      <c r="B7094" s="1" t="n">
        <v>45763.61390046297</v>
      </c>
      <c r="C7094" s="1" t="n">
        <v>46075</v>
      </c>
      <c r="D7094" t="inlineStr">
        <is>
          <t>VÄSTERBOTTENS LÄN</t>
        </is>
      </c>
      <c r="E7094" t="inlineStr">
        <is>
          <t>LYCKSELE</t>
        </is>
      </c>
      <c r="G7094" t="n">
        <v>9.9</v>
      </c>
      <c r="H7094" t="n">
        <v>0</v>
      </c>
      <c r="I7094" t="n">
        <v>0</v>
      </c>
      <c r="J7094" t="n">
        <v>0</v>
      </c>
      <c r="K7094" t="n">
        <v>0</v>
      </c>
      <c r="L7094" t="n">
        <v>0</v>
      </c>
      <c r="M7094" t="n">
        <v>0</v>
      </c>
      <c r="N7094" t="n">
        <v>0</v>
      </c>
      <c r="O7094" t="n">
        <v>0</v>
      </c>
      <c r="P7094" t="n">
        <v>0</v>
      </c>
      <c r="Q7094" t="n">
        <v>0</v>
      </c>
      <c r="R7094" s="2" t="inlineStr"/>
    </row>
    <row r="7095" ht="15" customHeight="1">
      <c r="A7095" t="inlineStr">
        <is>
          <t>A 44132-2022</t>
        </is>
      </c>
      <c r="B7095" s="1" t="n">
        <v>44839.40086805556</v>
      </c>
      <c r="C7095" s="1" t="n">
        <v>46075</v>
      </c>
      <c r="D7095" t="inlineStr">
        <is>
          <t>VÄSTERBOTTENS LÄN</t>
        </is>
      </c>
      <c r="E7095" t="inlineStr">
        <is>
          <t>UMEÅ</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54562-2025</t>
        </is>
      </c>
      <c r="B7096" s="1" t="n">
        <v>45965.66751157407</v>
      </c>
      <c r="C7096" s="1" t="n">
        <v>46075</v>
      </c>
      <c r="D7096" t="inlineStr">
        <is>
          <t>VÄSTERBOTTENS LÄN</t>
        </is>
      </c>
      <c r="E7096" t="inlineStr">
        <is>
          <t>VÄNNÄS</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52812-2025</t>
        </is>
      </c>
      <c r="B7097" s="1" t="n">
        <v>45957</v>
      </c>
      <c r="C7097" s="1" t="n">
        <v>46075</v>
      </c>
      <c r="D7097" t="inlineStr">
        <is>
          <t>VÄSTERBOTTENS LÄN</t>
        </is>
      </c>
      <c r="E7097" t="inlineStr">
        <is>
          <t>VILHELMINA</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52818-2025</t>
        </is>
      </c>
      <c r="B7098" s="1" t="n">
        <v>45957</v>
      </c>
      <c r="C7098" s="1" t="n">
        <v>46075</v>
      </c>
      <c r="D7098" t="inlineStr">
        <is>
          <t>VÄSTERBOTTENS LÄN</t>
        </is>
      </c>
      <c r="E7098" t="inlineStr">
        <is>
          <t>VILHELMINA</t>
        </is>
      </c>
      <c r="G7098" t="n">
        <v>2.2</v>
      </c>
      <c r="H7098" t="n">
        <v>0</v>
      </c>
      <c r="I7098" t="n">
        <v>0</v>
      </c>
      <c r="J7098" t="n">
        <v>0</v>
      </c>
      <c r="K7098" t="n">
        <v>0</v>
      </c>
      <c r="L7098" t="n">
        <v>0</v>
      </c>
      <c r="M7098" t="n">
        <v>0</v>
      </c>
      <c r="N7098" t="n">
        <v>0</v>
      </c>
      <c r="O7098" t="n">
        <v>0</v>
      </c>
      <c r="P7098" t="n">
        <v>0</v>
      </c>
      <c r="Q7098" t="n">
        <v>0</v>
      </c>
      <c r="R7098" s="2" t="inlineStr"/>
    </row>
    <row r="7099" ht="15" customHeight="1">
      <c r="A7099" t="inlineStr">
        <is>
          <t>A 52819-2025</t>
        </is>
      </c>
      <c r="B7099" s="1" t="n">
        <v>45957</v>
      </c>
      <c r="C7099" s="1" t="n">
        <v>46075</v>
      </c>
      <c r="D7099" t="inlineStr">
        <is>
          <t>VÄSTERBOTTENS LÄN</t>
        </is>
      </c>
      <c r="E7099" t="inlineStr">
        <is>
          <t>VILHELMINA</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22672-2021</t>
        </is>
      </c>
      <c r="B7100" s="1" t="n">
        <v>44322</v>
      </c>
      <c r="C7100" s="1" t="n">
        <v>46075</v>
      </c>
      <c r="D7100" t="inlineStr">
        <is>
          <t>VÄSTERBOTTENS LÄN</t>
        </is>
      </c>
      <c r="E7100" t="inlineStr">
        <is>
          <t>SORSELE</t>
        </is>
      </c>
      <c r="F7100" t="inlineStr">
        <is>
          <t>Allmännings- och besparingsskogar</t>
        </is>
      </c>
      <c r="G7100" t="n">
        <v>74</v>
      </c>
      <c r="H7100" t="n">
        <v>0</v>
      </c>
      <c r="I7100" t="n">
        <v>0</v>
      </c>
      <c r="J7100" t="n">
        <v>0</v>
      </c>
      <c r="K7100" t="n">
        <v>0</v>
      </c>
      <c r="L7100" t="n">
        <v>0</v>
      </c>
      <c r="M7100" t="n">
        <v>0</v>
      </c>
      <c r="N7100" t="n">
        <v>0</v>
      </c>
      <c r="O7100" t="n">
        <v>0</v>
      </c>
      <c r="P7100" t="n">
        <v>0</v>
      </c>
      <c r="Q7100" t="n">
        <v>0</v>
      </c>
      <c r="R7100" s="2" t="inlineStr"/>
    </row>
    <row r="7101" ht="15" customHeight="1">
      <c r="A7101" t="inlineStr">
        <is>
          <t>A 46041-2024</t>
        </is>
      </c>
      <c r="B7101" s="1" t="n">
        <v>45580.79371527778</v>
      </c>
      <c r="C7101" s="1" t="n">
        <v>46075</v>
      </c>
      <c r="D7101" t="inlineStr">
        <is>
          <t>VÄSTERBOTTENS LÄN</t>
        </is>
      </c>
      <c r="E7101" t="inlineStr">
        <is>
          <t>ROBERTSFORS</t>
        </is>
      </c>
      <c r="G7101" t="n">
        <v>8.199999999999999</v>
      </c>
      <c r="H7101" t="n">
        <v>0</v>
      </c>
      <c r="I7101" t="n">
        <v>0</v>
      </c>
      <c r="J7101" t="n">
        <v>0</v>
      </c>
      <c r="K7101" t="n">
        <v>0</v>
      </c>
      <c r="L7101" t="n">
        <v>0</v>
      </c>
      <c r="M7101" t="n">
        <v>0</v>
      </c>
      <c r="N7101" t="n">
        <v>0</v>
      </c>
      <c r="O7101" t="n">
        <v>0</v>
      </c>
      <c r="P7101" t="n">
        <v>0</v>
      </c>
      <c r="Q7101" t="n">
        <v>0</v>
      </c>
      <c r="R7101" s="2" t="inlineStr"/>
    </row>
    <row r="7102" ht="15" customHeight="1">
      <c r="A7102" t="inlineStr">
        <is>
          <t>A 50489-2023</t>
        </is>
      </c>
      <c r="B7102" s="1" t="n">
        <v>45216.95556712963</v>
      </c>
      <c r="C7102" s="1" t="n">
        <v>46075</v>
      </c>
      <c r="D7102" t="inlineStr">
        <is>
          <t>VÄSTERBOTTENS LÄN</t>
        </is>
      </c>
      <c r="E7102" t="inlineStr">
        <is>
          <t>VILHELMINA</t>
        </is>
      </c>
      <c r="F7102" t="inlineStr">
        <is>
          <t>SCA</t>
        </is>
      </c>
      <c r="G7102" t="n">
        <v>0.5</v>
      </c>
      <c r="H7102" t="n">
        <v>0</v>
      </c>
      <c r="I7102" t="n">
        <v>0</v>
      </c>
      <c r="J7102" t="n">
        <v>0</v>
      </c>
      <c r="K7102" t="n">
        <v>0</v>
      </c>
      <c r="L7102" t="n">
        <v>0</v>
      </c>
      <c r="M7102" t="n">
        <v>0</v>
      </c>
      <c r="N7102" t="n">
        <v>0</v>
      </c>
      <c r="O7102" t="n">
        <v>0</v>
      </c>
      <c r="P7102" t="n">
        <v>0</v>
      </c>
      <c r="Q7102" t="n">
        <v>0</v>
      </c>
      <c r="R7102" s="2" t="inlineStr"/>
    </row>
    <row r="7103" ht="15" customHeight="1">
      <c r="A7103" t="inlineStr">
        <is>
          <t>A 54321-2025</t>
        </is>
      </c>
      <c r="B7103" s="1" t="n">
        <v>45965.34315972222</v>
      </c>
      <c r="C7103" s="1" t="n">
        <v>46075</v>
      </c>
      <c r="D7103" t="inlineStr">
        <is>
          <t>VÄSTERBOTTENS LÄN</t>
        </is>
      </c>
      <c r="E7103" t="inlineStr">
        <is>
          <t>UMEÅ</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54326-2025</t>
        </is>
      </c>
      <c r="B7104" s="1" t="n">
        <v>45965.34479166667</v>
      </c>
      <c r="C7104" s="1" t="n">
        <v>46075</v>
      </c>
      <c r="D7104" t="inlineStr">
        <is>
          <t>VÄSTERBOTTENS LÄN</t>
        </is>
      </c>
      <c r="E7104" t="inlineStr">
        <is>
          <t>NORSJÖ</t>
        </is>
      </c>
      <c r="G7104" t="n">
        <v>4</v>
      </c>
      <c r="H7104" t="n">
        <v>0</v>
      </c>
      <c r="I7104" t="n">
        <v>0</v>
      </c>
      <c r="J7104" t="n">
        <v>0</v>
      </c>
      <c r="K7104" t="n">
        <v>0</v>
      </c>
      <c r="L7104" t="n">
        <v>0</v>
      </c>
      <c r="M7104" t="n">
        <v>0</v>
      </c>
      <c r="N7104" t="n">
        <v>0</v>
      </c>
      <c r="O7104" t="n">
        <v>0</v>
      </c>
      <c r="P7104" t="n">
        <v>0</v>
      </c>
      <c r="Q7104" t="n">
        <v>0</v>
      </c>
      <c r="R7104" s="2" t="inlineStr"/>
    </row>
    <row r="7105" ht="15" customHeight="1">
      <c r="A7105" t="inlineStr">
        <is>
          <t>A 28980-2024</t>
        </is>
      </c>
      <c r="B7105" s="1" t="n">
        <v>45481.47248842593</v>
      </c>
      <c r="C7105" s="1" t="n">
        <v>46075</v>
      </c>
      <c r="D7105" t="inlineStr">
        <is>
          <t>VÄSTERBOTTENS LÄN</t>
        </is>
      </c>
      <c r="E7105" t="inlineStr">
        <is>
          <t>ÅSELE</t>
        </is>
      </c>
      <c r="F7105" t="inlineStr">
        <is>
          <t>Sveaskog</t>
        </is>
      </c>
      <c r="G7105" t="n">
        <v>9</v>
      </c>
      <c r="H7105" t="n">
        <v>0</v>
      </c>
      <c r="I7105" t="n">
        <v>0</v>
      </c>
      <c r="J7105" t="n">
        <v>0</v>
      </c>
      <c r="K7105" t="n">
        <v>0</v>
      </c>
      <c r="L7105" t="n">
        <v>0</v>
      </c>
      <c r="M7105" t="n">
        <v>0</v>
      </c>
      <c r="N7105" t="n">
        <v>0</v>
      </c>
      <c r="O7105" t="n">
        <v>0</v>
      </c>
      <c r="P7105" t="n">
        <v>0</v>
      </c>
      <c r="Q7105" t="n">
        <v>0</v>
      </c>
      <c r="R7105" s="2" t="inlineStr"/>
    </row>
    <row r="7106" ht="15" customHeight="1">
      <c r="A7106" t="inlineStr">
        <is>
          <t>A 54489-2025</t>
        </is>
      </c>
      <c r="B7106" s="1" t="n">
        <v>45965.59481481482</v>
      </c>
      <c r="C7106" s="1" t="n">
        <v>46075</v>
      </c>
      <c r="D7106" t="inlineStr">
        <is>
          <t>VÄSTERBOTTENS LÄN</t>
        </is>
      </c>
      <c r="E7106" t="inlineStr">
        <is>
          <t>DOROTEA</t>
        </is>
      </c>
      <c r="F7106" t="inlineStr">
        <is>
          <t>SCA</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27964-2023</t>
        </is>
      </c>
      <c r="B7107" s="1" t="n">
        <v>45098</v>
      </c>
      <c r="C7107" s="1" t="n">
        <v>46075</v>
      </c>
      <c r="D7107" t="inlineStr">
        <is>
          <t>VÄSTERBOTTENS LÄN</t>
        </is>
      </c>
      <c r="E7107" t="inlineStr">
        <is>
          <t>LYCKSELE</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4210-2025</t>
        </is>
      </c>
      <c r="B7108" s="1" t="n">
        <v>45685.48523148148</v>
      </c>
      <c r="C7108" s="1" t="n">
        <v>46075</v>
      </c>
      <c r="D7108" t="inlineStr">
        <is>
          <t>VÄSTERBOTTENS LÄN</t>
        </is>
      </c>
      <c r="E7108" t="inlineStr">
        <is>
          <t>VINDELN</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54102-2025</t>
        </is>
      </c>
      <c r="B7109" s="1" t="n">
        <v>45964.42568287037</v>
      </c>
      <c r="C7109" s="1" t="n">
        <v>46075</v>
      </c>
      <c r="D7109" t="inlineStr">
        <is>
          <t>VÄSTERBOTTENS LÄN</t>
        </is>
      </c>
      <c r="E7109" t="inlineStr">
        <is>
          <t>SKELLEFTEÅ</t>
        </is>
      </c>
      <c r="G7109" t="n">
        <v>7.2</v>
      </c>
      <c r="H7109" t="n">
        <v>0</v>
      </c>
      <c r="I7109" t="n">
        <v>0</v>
      </c>
      <c r="J7109" t="n">
        <v>0</v>
      </c>
      <c r="K7109" t="n">
        <v>0</v>
      </c>
      <c r="L7109" t="n">
        <v>0</v>
      </c>
      <c r="M7109" t="n">
        <v>0</v>
      </c>
      <c r="N7109" t="n">
        <v>0</v>
      </c>
      <c r="O7109" t="n">
        <v>0</v>
      </c>
      <c r="P7109" t="n">
        <v>0</v>
      </c>
      <c r="Q7109" t="n">
        <v>0</v>
      </c>
      <c r="R7109" s="2" t="inlineStr"/>
    </row>
    <row r="7110" ht="15" customHeight="1">
      <c r="A7110" t="inlineStr">
        <is>
          <t>A 54108-2025</t>
        </is>
      </c>
      <c r="B7110" s="1" t="n">
        <v>45964.43061342592</v>
      </c>
      <c r="C7110" s="1" t="n">
        <v>46075</v>
      </c>
      <c r="D7110" t="inlineStr">
        <is>
          <t>VÄSTERBOTTENS LÄN</t>
        </is>
      </c>
      <c r="E7110" t="inlineStr">
        <is>
          <t>SKELLEFTEÅ</t>
        </is>
      </c>
      <c r="G7110" t="n">
        <v>0.4</v>
      </c>
      <c r="H7110" t="n">
        <v>0</v>
      </c>
      <c r="I7110" t="n">
        <v>0</v>
      </c>
      <c r="J7110" t="n">
        <v>0</v>
      </c>
      <c r="K7110" t="n">
        <v>0</v>
      </c>
      <c r="L7110" t="n">
        <v>0</v>
      </c>
      <c r="M7110" t="n">
        <v>0</v>
      </c>
      <c r="N7110" t="n">
        <v>0</v>
      </c>
      <c r="O7110" t="n">
        <v>0</v>
      </c>
      <c r="P7110" t="n">
        <v>0</v>
      </c>
      <c r="Q7110" t="n">
        <v>0</v>
      </c>
      <c r="R7110" s="2" t="inlineStr"/>
    </row>
    <row r="7111" ht="15" customHeight="1">
      <c r="A7111" t="inlineStr">
        <is>
          <t>A 21836-2024</t>
        </is>
      </c>
      <c r="B7111" s="1" t="n">
        <v>45442.93028935185</v>
      </c>
      <c r="C7111" s="1" t="n">
        <v>46075</v>
      </c>
      <c r="D7111" t="inlineStr">
        <is>
          <t>VÄSTERBOTTENS LÄN</t>
        </is>
      </c>
      <c r="E7111" t="inlineStr">
        <is>
          <t>SKELLEFTEÅ</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36484-2024</t>
        </is>
      </c>
      <c r="B7112" s="1" t="n">
        <v>45537</v>
      </c>
      <c r="C7112" s="1" t="n">
        <v>46075</v>
      </c>
      <c r="D7112" t="inlineStr">
        <is>
          <t>VÄSTERBOTTENS LÄN</t>
        </is>
      </c>
      <c r="E7112" t="inlineStr">
        <is>
          <t>BJURHOLM</t>
        </is>
      </c>
      <c r="G7112" t="n">
        <v>11.2</v>
      </c>
      <c r="H7112" t="n">
        <v>0</v>
      </c>
      <c r="I7112" t="n">
        <v>0</v>
      </c>
      <c r="J7112" t="n">
        <v>0</v>
      </c>
      <c r="K7112" t="n">
        <v>0</v>
      </c>
      <c r="L7112" t="n">
        <v>0</v>
      </c>
      <c r="M7112" t="n">
        <v>0</v>
      </c>
      <c r="N7112" t="n">
        <v>0</v>
      </c>
      <c r="O7112" t="n">
        <v>0</v>
      </c>
      <c r="P7112" t="n">
        <v>0</v>
      </c>
      <c r="Q7112" t="n">
        <v>0</v>
      </c>
      <c r="R7112" s="2" t="inlineStr"/>
    </row>
    <row r="7113" ht="15" customHeight="1">
      <c r="A7113" t="inlineStr">
        <is>
          <t>A 37142-2024</t>
        </is>
      </c>
      <c r="B7113" s="1" t="n">
        <v>45539.59653935185</v>
      </c>
      <c r="C7113" s="1" t="n">
        <v>46075</v>
      </c>
      <c r="D7113" t="inlineStr">
        <is>
          <t>VÄSTERBOTTENS LÄN</t>
        </is>
      </c>
      <c r="E7113" t="inlineStr">
        <is>
          <t>STORUMAN</t>
        </is>
      </c>
      <c r="G7113" t="n">
        <v>2.5</v>
      </c>
      <c r="H7113" t="n">
        <v>0</v>
      </c>
      <c r="I7113" t="n">
        <v>0</v>
      </c>
      <c r="J7113" t="n">
        <v>0</v>
      </c>
      <c r="K7113" t="n">
        <v>0</v>
      </c>
      <c r="L7113" t="n">
        <v>0</v>
      </c>
      <c r="M7113" t="n">
        <v>0</v>
      </c>
      <c r="N7113" t="n">
        <v>0</v>
      </c>
      <c r="O7113" t="n">
        <v>0</v>
      </c>
      <c r="P7113" t="n">
        <v>0</v>
      </c>
      <c r="Q7113" t="n">
        <v>0</v>
      </c>
      <c r="R7113" s="2" t="inlineStr"/>
    </row>
    <row r="7114" ht="15" customHeight="1">
      <c r="A7114" t="inlineStr">
        <is>
          <t>A 37188-2024</t>
        </is>
      </c>
      <c r="B7114" s="1" t="n">
        <v>45539</v>
      </c>
      <c r="C7114" s="1" t="n">
        <v>46075</v>
      </c>
      <c r="D7114" t="inlineStr">
        <is>
          <t>VÄSTERBOTTENS LÄN</t>
        </is>
      </c>
      <c r="E7114" t="inlineStr">
        <is>
          <t>VINDELN</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32876-2023</t>
        </is>
      </c>
      <c r="B7115" s="1" t="n">
        <v>45124</v>
      </c>
      <c r="C7115" s="1" t="n">
        <v>46075</v>
      </c>
      <c r="D7115" t="inlineStr">
        <is>
          <t>VÄSTERBOTTENS LÄN</t>
        </is>
      </c>
      <c r="E7115" t="inlineStr">
        <is>
          <t>ROBERTSFORS</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54459-2025</t>
        </is>
      </c>
      <c r="B7116" s="1" t="n">
        <v>45965.55995370371</v>
      </c>
      <c r="C7116" s="1" t="n">
        <v>46075</v>
      </c>
      <c r="D7116" t="inlineStr">
        <is>
          <t>VÄSTERBOTTENS LÄN</t>
        </is>
      </c>
      <c r="E7116" t="inlineStr">
        <is>
          <t>SKELLEFTEÅ</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54320-2025</t>
        </is>
      </c>
      <c r="B7117" s="1" t="n">
        <v>45965.34202546296</v>
      </c>
      <c r="C7117" s="1" t="n">
        <v>46075</v>
      </c>
      <c r="D7117" t="inlineStr">
        <is>
          <t>VÄSTERBOTTENS LÄN</t>
        </is>
      </c>
      <c r="E7117" t="inlineStr">
        <is>
          <t>UMEÅ</t>
        </is>
      </c>
      <c r="G7117" t="n">
        <v>2.9</v>
      </c>
      <c r="H7117" t="n">
        <v>0</v>
      </c>
      <c r="I7117" t="n">
        <v>0</v>
      </c>
      <c r="J7117" t="n">
        <v>0</v>
      </c>
      <c r="K7117" t="n">
        <v>0</v>
      </c>
      <c r="L7117" t="n">
        <v>0</v>
      </c>
      <c r="M7117" t="n">
        <v>0</v>
      </c>
      <c r="N7117" t="n">
        <v>0</v>
      </c>
      <c r="O7117" t="n">
        <v>0</v>
      </c>
      <c r="P7117" t="n">
        <v>0</v>
      </c>
      <c r="Q7117" t="n">
        <v>0</v>
      </c>
      <c r="R7117" s="2" t="inlineStr"/>
    </row>
    <row r="7118" ht="15" customHeight="1">
      <c r="A7118" t="inlineStr">
        <is>
          <t>A 54324-2025</t>
        </is>
      </c>
      <c r="B7118" s="1" t="n">
        <v>45965.3446875</v>
      </c>
      <c r="C7118" s="1" t="n">
        <v>46075</v>
      </c>
      <c r="D7118" t="inlineStr">
        <is>
          <t>VÄSTERBOTTENS LÄN</t>
        </is>
      </c>
      <c r="E7118" t="inlineStr">
        <is>
          <t>NORSJÖ</t>
        </is>
      </c>
      <c r="G7118" t="n">
        <v>3.4</v>
      </c>
      <c r="H7118" t="n">
        <v>0</v>
      </c>
      <c r="I7118" t="n">
        <v>0</v>
      </c>
      <c r="J7118" t="n">
        <v>0</v>
      </c>
      <c r="K7118" t="n">
        <v>0</v>
      </c>
      <c r="L7118" t="n">
        <v>0</v>
      </c>
      <c r="M7118" t="n">
        <v>0</v>
      </c>
      <c r="N7118" t="n">
        <v>0</v>
      </c>
      <c r="O7118" t="n">
        <v>0</v>
      </c>
      <c r="P7118" t="n">
        <v>0</v>
      </c>
      <c r="Q7118" t="n">
        <v>0</v>
      </c>
      <c r="R7118" s="2" t="inlineStr"/>
    </row>
    <row r="7119" ht="15" customHeight="1">
      <c r="A7119" t="inlineStr">
        <is>
          <t>A 54325-2025</t>
        </is>
      </c>
      <c r="B7119" s="1" t="n">
        <v>45965.34471064815</v>
      </c>
      <c r="C7119" s="1" t="n">
        <v>46075</v>
      </c>
      <c r="D7119" t="inlineStr">
        <is>
          <t>VÄSTERBOTTENS LÄN</t>
        </is>
      </c>
      <c r="E7119" t="inlineStr">
        <is>
          <t>NORSJÖ</t>
        </is>
      </c>
      <c r="G7119" t="n">
        <v>4.7</v>
      </c>
      <c r="H7119" t="n">
        <v>0</v>
      </c>
      <c r="I7119" t="n">
        <v>0</v>
      </c>
      <c r="J7119" t="n">
        <v>0</v>
      </c>
      <c r="K7119" t="n">
        <v>0</v>
      </c>
      <c r="L7119" t="n">
        <v>0</v>
      </c>
      <c r="M7119" t="n">
        <v>0</v>
      </c>
      <c r="N7119" t="n">
        <v>0</v>
      </c>
      <c r="O7119" t="n">
        <v>0</v>
      </c>
      <c r="P7119" t="n">
        <v>0</v>
      </c>
      <c r="Q7119" t="n">
        <v>0</v>
      </c>
      <c r="R7119" s="2" t="inlineStr"/>
    </row>
    <row r="7120" ht="15" customHeight="1">
      <c r="A7120" t="inlineStr">
        <is>
          <t>A 25634-2023</t>
        </is>
      </c>
      <c r="B7120" s="1" t="n">
        <v>45084</v>
      </c>
      <c r="C7120" s="1" t="n">
        <v>46075</v>
      </c>
      <c r="D7120" t="inlineStr">
        <is>
          <t>VÄSTERBOTTENS LÄN</t>
        </is>
      </c>
      <c r="E7120" t="inlineStr">
        <is>
          <t>SKELLEFTEÅ</t>
        </is>
      </c>
      <c r="G7120" t="n">
        <v>0.2</v>
      </c>
      <c r="H7120" t="n">
        <v>0</v>
      </c>
      <c r="I7120" t="n">
        <v>0</v>
      </c>
      <c r="J7120" t="n">
        <v>0</v>
      </c>
      <c r="K7120" t="n">
        <v>0</v>
      </c>
      <c r="L7120" t="n">
        <v>0</v>
      </c>
      <c r="M7120" t="n">
        <v>0</v>
      </c>
      <c r="N7120" t="n">
        <v>0</v>
      </c>
      <c r="O7120" t="n">
        <v>0</v>
      </c>
      <c r="P7120" t="n">
        <v>0</v>
      </c>
      <c r="Q7120" t="n">
        <v>0</v>
      </c>
      <c r="R7120" s="2" t="inlineStr"/>
    </row>
    <row r="7121" ht="15" customHeight="1">
      <c r="A7121" t="inlineStr">
        <is>
          <t>A 43048-2024</t>
        </is>
      </c>
      <c r="B7121" s="1" t="n">
        <v>45567</v>
      </c>
      <c r="C7121" s="1" t="n">
        <v>46075</v>
      </c>
      <c r="D7121" t="inlineStr">
        <is>
          <t>VÄSTERBOTTENS LÄN</t>
        </is>
      </c>
      <c r="E7121" t="inlineStr">
        <is>
          <t>ÅSELE</t>
        </is>
      </c>
      <c r="G7121" t="n">
        <v>4.8</v>
      </c>
      <c r="H7121" t="n">
        <v>0</v>
      </c>
      <c r="I7121" t="n">
        <v>0</v>
      </c>
      <c r="J7121" t="n">
        <v>0</v>
      </c>
      <c r="K7121" t="n">
        <v>0</v>
      </c>
      <c r="L7121" t="n">
        <v>0</v>
      </c>
      <c r="M7121" t="n">
        <v>0</v>
      </c>
      <c r="N7121" t="n">
        <v>0</v>
      </c>
      <c r="O7121" t="n">
        <v>0</v>
      </c>
      <c r="P7121" t="n">
        <v>0</v>
      </c>
      <c r="Q7121" t="n">
        <v>0</v>
      </c>
      <c r="R7121" s="2" t="inlineStr"/>
    </row>
    <row r="7122" ht="15" customHeight="1">
      <c r="A7122" t="inlineStr">
        <is>
          <t>A 36144-2023</t>
        </is>
      </c>
      <c r="B7122" s="1" t="n">
        <v>45149</v>
      </c>
      <c r="C7122" s="1" t="n">
        <v>46075</v>
      </c>
      <c r="D7122" t="inlineStr">
        <is>
          <t>VÄSTERBOTTENS LÄN</t>
        </is>
      </c>
      <c r="E7122" t="inlineStr">
        <is>
          <t>MALÅ</t>
        </is>
      </c>
      <c r="G7122" t="n">
        <v>147.1</v>
      </c>
      <c r="H7122" t="n">
        <v>0</v>
      </c>
      <c r="I7122" t="n">
        <v>0</v>
      </c>
      <c r="J7122" t="n">
        <v>0</v>
      </c>
      <c r="K7122" t="n">
        <v>0</v>
      </c>
      <c r="L7122" t="n">
        <v>0</v>
      </c>
      <c r="M7122" t="n">
        <v>0</v>
      </c>
      <c r="N7122" t="n">
        <v>0</v>
      </c>
      <c r="O7122" t="n">
        <v>0</v>
      </c>
      <c r="P7122" t="n">
        <v>0</v>
      </c>
      <c r="Q7122" t="n">
        <v>0</v>
      </c>
      <c r="R7122" s="2" t="inlineStr"/>
    </row>
    <row r="7123" ht="15" customHeight="1">
      <c r="A7123" t="inlineStr">
        <is>
          <t>A 54327-2025</t>
        </is>
      </c>
      <c r="B7123" s="1" t="n">
        <v>45965.34484953704</v>
      </c>
      <c r="C7123" s="1" t="n">
        <v>46075</v>
      </c>
      <c r="D7123" t="inlineStr">
        <is>
          <t>VÄSTERBOTTENS LÄN</t>
        </is>
      </c>
      <c r="E7123" t="inlineStr">
        <is>
          <t>NORSJÖ</t>
        </is>
      </c>
      <c r="G7123" t="n">
        <v>5.1</v>
      </c>
      <c r="H7123" t="n">
        <v>0</v>
      </c>
      <c r="I7123" t="n">
        <v>0</v>
      </c>
      <c r="J7123" t="n">
        <v>0</v>
      </c>
      <c r="K7123" t="n">
        <v>0</v>
      </c>
      <c r="L7123" t="n">
        <v>0</v>
      </c>
      <c r="M7123" t="n">
        <v>0</v>
      </c>
      <c r="N7123" t="n">
        <v>0</v>
      </c>
      <c r="O7123" t="n">
        <v>0</v>
      </c>
      <c r="P7123" t="n">
        <v>0</v>
      </c>
      <c r="Q7123" t="n">
        <v>0</v>
      </c>
      <c r="R7123" s="2" t="inlineStr"/>
    </row>
    <row r="7124" ht="15" customHeight="1">
      <c r="A7124" t="inlineStr">
        <is>
          <t>A 36880-2023</t>
        </is>
      </c>
      <c r="B7124" s="1" t="n">
        <v>45154.58393518518</v>
      </c>
      <c r="C7124" s="1" t="n">
        <v>46075</v>
      </c>
      <c r="D7124" t="inlineStr">
        <is>
          <t>VÄSTERBOTTENS LÄN</t>
        </is>
      </c>
      <c r="E7124" t="inlineStr">
        <is>
          <t>ÅSELE</t>
        </is>
      </c>
      <c r="F7124" t="inlineStr">
        <is>
          <t>Holmen skog AB</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34388-2023</t>
        </is>
      </c>
      <c r="B7125" s="1" t="n">
        <v>45139</v>
      </c>
      <c r="C7125" s="1" t="n">
        <v>46075</v>
      </c>
      <c r="D7125" t="inlineStr">
        <is>
          <t>VÄSTERBOTTENS LÄN</t>
        </is>
      </c>
      <c r="E7125" t="inlineStr">
        <is>
          <t>SORSELE</t>
        </is>
      </c>
      <c r="F7125" t="inlineStr">
        <is>
          <t>Sveaskog</t>
        </is>
      </c>
      <c r="G7125" t="n">
        <v>2.8</v>
      </c>
      <c r="H7125" t="n">
        <v>0</v>
      </c>
      <c r="I7125" t="n">
        <v>0</v>
      </c>
      <c r="J7125" t="n">
        <v>0</v>
      </c>
      <c r="K7125" t="n">
        <v>0</v>
      </c>
      <c r="L7125" t="n">
        <v>0</v>
      </c>
      <c r="M7125" t="n">
        <v>0</v>
      </c>
      <c r="N7125" t="n">
        <v>0</v>
      </c>
      <c r="O7125" t="n">
        <v>0</v>
      </c>
      <c r="P7125" t="n">
        <v>0</v>
      </c>
      <c r="Q7125" t="n">
        <v>0</v>
      </c>
      <c r="R7125" s="2" t="inlineStr"/>
    </row>
    <row r="7126" ht="15" customHeight="1">
      <c r="A7126" t="inlineStr">
        <is>
          <t>A 38229-2024</t>
        </is>
      </c>
      <c r="B7126" s="1" t="n">
        <v>45545.54909722223</v>
      </c>
      <c r="C7126" s="1" t="n">
        <v>46075</v>
      </c>
      <c r="D7126" t="inlineStr">
        <is>
          <t>VÄSTERBOTTENS LÄN</t>
        </is>
      </c>
      <c r="E7126" t="inlineStr">
        <is>
          <t>VINDELN</t>
        </is>
      </c>
      <c r="F7126" t="inlineStr">
        <is>
          <t>Holmen skog AB</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52813-2025</t>
        </is>
      </c>
      <c r="B7127" s="1" t="n">
        <v>45957</v>
      </c>
      <c r="C7127" s="1" t="n">
        <v>46075</v>
      </c>
      <c r="D7127" t="inlineStr">
        <is>
          <t>VÄSTERBOTTENS LÄN</t>
        </is>
      </c>
      <c r="E7127" t="inlineStr">
        <is>
          <t>VILHELMINA</t>
        </is>
      </c>
      <c r="G7127" t="n">
        <v>3.1</v>
      </c>
      <c r="H7127" t="n">
        <v>0</v>
      </c>
      <c r="I7127" t="n">
        <v>0</v>
      </c>
      <c r="J7127" t="n">
        <v>0</v>
      </c>
      <c r="K7127" t="n">
        <v>0</v>
      </c>
      <c r="L7127" t="n">
        <v>0</v>
      </c>
      <c r="M7127" t="n">
        <v>0</v>
      </c>
      <c r="N7127" t="n">
        <v>0</v>
      </c>
      <c r="O7127" t="n">
        <v>0</v>
      </c>
      <c r="P7127" t="n">
        <v>0</v>
      </c>
      <c r="Q7127" t="n">
        <v>0</v>
      </c>
      <c r="R7127" s="2" t="inlineStr"/>
    </row>
    <row r="7128" ht="15" customHeight="1">
      <c r="A7128" t="inlineStr">
        <is>
          <t>A 52814-2025</t>
        </is>
      </c>
      <c r="B7128" s="1" t="n">
        <v>45957</v>
      </c>
      <c r="C7128" s="1" t="n">
        <v>46075</v>
      </c>
      <c r="D7128" t="inlineStr">
        <is>
          <t>VÄSTERBOTTENS LÄN</t>
        </is>
      </c>
      <c r="E7128" t="inlineStr">
        <is>
          <t>VILHELMINA</t>
        </is>
      </c>
      <c r="G7128" t="n">
        <v>4.1</v>
      </c>
      <c r="H7128" t="n">
        <v>0</v>
      </c>
      <c r="I7128" t="n">
        <v>0</v>
      </c>
      <c r="J7128" t="n">
        <v>0</v>
      </c>
      <c r="K7128" t="n">
        <v>0</v>
      </c>
      <c r="L7128" t="n">
        <v>0</v>
      </c>
      <c r="M7128" t="n">
        <v>0</v>
      </c>
      <c r="N7128" t="n">
        <v>0</v>
      </c>
      <c r="O7128" t="n">
        <v>0</v>
      </c>
      <c r="P7128" t="n">
        <v>0</v>
      </c>
      <c r="Q7128" t="n">
        <v>0</v>
      </c>
      <c r="R7128" s="2" t="inlineStr"/>
    </row>
    <row r="7129" ht="15" customHeight="1">
      <c r="A7129" t="inlineStr">
        <is>
          <t>A 52828-2025</t>
        </is>
      </c>
      <c r="B7129" s="1" t="n">
        <v>45957</v>
      </c>
      <c r="C7129" s="1" t="n">
        <v>46075</v>
      </c>
      <c r="D7129" t="inlineStr">
        <is>
          <t>VÄSTERBOTTENS LÄN</t>
        </is>
      </c>
      <c r="E7129" t="inlineStr">
        <is>
          <t>VILHELMINA</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54572-2025</t>
        </is>
      </c>
      <c r="B7130" s="1" t="n">
        <v>45965</v>
      </c>
      <c r="C7130" s="1" t="n">
        <v>46075</v>
      </c>
      <c r="D7130" t="inlineStr">
        <is>
          <t>VÄSTERBOTTENS LÄN</t>
        </is>
      </c>
      <c r="E7130" t="inlineStr">
        <is>
          <t>SKELLEFTEÅ</t>
        </is>
      </c>
      <c r="F7130" t="inlineStr">
        <is>
          <t>Kyrkan</t>
        </is>
      </c>
      <c r="G7130" t="n">
        <v>12.8</v>
      </c>
      <c r="H7130" t="n">
        <v>0</v>
      </c>
      <c r="I7130" t="n">
        <v>0</v>
      </c>
      <c r="J7130" t="n">
        <v>0</v>
      </c>
      <c r="K7130" t="n">
        <v>0</v>
      </c>
      <c r="L7130" t="n">
        <v>0</v>
      </c>
      <c r="M7130" t="n">
        <v>0</v>
      </c>
      <c r="N7130" t="n">
        <v>0</v>
      </c>
      <c r="O7130" t="n">
        <v>0</v>
      </c>
      <c r="P7130" t="n">
        <v>0</v>
      </c>
      <c r="Q7130" t="n">
        <v>0</v>
      </c>
      <c r="R7130" s="2" t="inlineStr"/>
    </row>
    <row r="7131" ht="15" customHeight="1">
      <c r="A7131" t="inlineStr">
        <is>
          <t>A 54588-2025</t>
        </is>
      </c>
      <c r="B7131" s="1" t="n">
        <v>45965.73465277778</v>
      </c>
      <c r="C7131" s="1" t="n">
        <v>46075</v>
      </c>
      <c r="D7131" t="inlineStr">
        <is>
          <t>VÄSTERBOTTENS LÄN</t>
        </is>
      </c>
      <c r="E7131" t="inlineStr">
        <is>
          <t>ROBERTSFORS</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8821-2025</t>
        </is>
      </c>
      <c r="B7132" s="1" t="n">
        <v>45712.77956018518</v>
      </c>
      <c r="C7132" s="1" t="n">
        <v>46075</v>
      </c>
      <c r="D7132" t="inlineStr">
        <is>
          <t>VÄSTERBOTTENS LÄN</t>
        </is>
      </c>
      <c r="E7132" t="inlineStr">
        <is>
          <t>SKELLEFTEÅ</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53143-2024</t>
        </is>
      </c>
      <c r="B7133" s="1" t="n">
        <v>45611</v>
      </c>
      <c r="C7133" s="1" t="n">
        <v>46075</v>
      </c>
      <c r="D7133" t="inlineStr">
        <is>
          <t>VÄSTERBOTTENS LÄN</t>
        </is>
      </c>
      <c r="E7133" t="inlineStr">
        <is>
          <t>STORUMAN</t>
        </is>
      </c>
      <c r="F7133" t="inlineStr">
        <is>
          <t>Allmännings- och besparingsskogar</t>
        </is>
      </c>
      <c r="G7133" t="n">
        <v>5.1</v>
      </c>
      <c r="H7133" t="n">
        <v>0</v>
      </c>
      <c r="I7133" t="n">
        <v>0</v>
      </c>
      <c r="J7133" t="n">
        <v>0</v>
      </c>
      <c r="K7133" t="n">
        <v>0</v>
      </c>
      <c r="L7133" t="n">
        <v>0</v>
      </c>
      <c r="M7133" t="n">
        <v>0</v>
      </c>
      <c r="N7133" t="n">
        <v>0</v>
      </c>
      <c r="O7133" t="n">
        <v>0</v>
      </c>
      <c r="P7133" t="n">
        <v>0</v>
      </c>
      <c r="Q7133" t="n">
        <v>0</v>
      </c>
      <c r="R7133" s="2" t="inlineStr"/>
    </row>
    <row r="7134" ht="15" customHeight="1">
      <c r="A7134" t="inlineStr">
        <is>
          <t>A 54464-2025</t>
        </is>
      </c>
      <c r="B7134" s="1" t="n">
        <v>45965.56611111111</v>
      </c>
      <c r="C7134" s="1" t="n">
        <v>46075</v>
      </c>
      <c r="D7134" t="inlineStr">
        <is>
          <t>VÄSTERBOTTENS LÄN</t>
        </is>
      </c>
      <c r="E7134" t="inlineStr">
        <is>
          <t>SKELLEFTEÅ</t>
        </is>
      </c>
      <c r="F7134" t="inlineStr">
        <is>
          <t>Sveaskog</t>
        </is>
      </c>
      <c r="G7134" t="n">
        <v>5.3</v>
      </c>
      <c r="H7134" t="n">
        <v>0</v>
      </c>
      <c r="I7134" t="n">
        <v>0</v>
      </c>
      <c r="J7134" t="n">
        <v>0</v>
      </c>
      <c r="K7134" t="n">
        <v>0</v>
      </c>
      <c r="L7134" t="n">
        <v>0</v>
      </c>
      <c r="M7134" t="n">
        <v>0</v>
      </c>
      <c r="N7134" t="n">
        <v>0</v>
      </c>
      <c r="O7134" t="n">
        <v>0</v>
      </c>
      <c r="P7134" t="n">
        <v>0</v>
      </c>
      <c r="Q7134" t="n">
        <v>0</v>
      </c>
      <c r="R7134" s="2" t="inlineStr"/>
    </row>
    <row r="7135" ht="15" customHeight="1">
      <c r="A7135" t="inlineStr">
        <is>
          <t>A 32683-2024</t>
        </is>
      </c>
      <c r="B7135" s="1" t="n">
        <v>45515</v>
      </c>
      <c r="C7135" s="1" t="n">
        <v>46075</v>
      </c>
      <c r="D7135" t="inlineStr">
        <is>
          <t>VÄSTERBOTTENS LÄN</t>
        </is>
      </c>
      <c r="E7135" t="inlineStr">
        <is>
          <t>VILHELMINA</t>
        </is>
      </c>
      <c r="G7135" t="n">
        <v>6.1</v>
      </c>
      <c r="H7135" t="n">
        <v>0</v>
      </c>
      <c r="I7135" t="n">
        <v>0</v>
      </c>
      <c r="J7135" t="n">
        <v>0</v>
      </c>
      <c r="K7135" t="n">
        <v>0</v>
      </c>
      <c r="L7135" t="n">
        <v>0</v>
      </c>
      <c r="M7135" t="n">
        <v>0</v>
      </c>
      <c r="N7135" t="n">
        <v>0</v>
      </c>
      <c r="O7135" t="n">
        <v>0</v>
      </c>
      <c r="P7135" t="n">
        <v>0</v>
      </c>
      <c r="Q7135" t="n">
        <v>0</v>
      </c>
      <c r="R7135" s="2" t="inlineStr"/>
    </row>
    <row r="7136" ht="15" customHeight="1">
      <c r="A7136" t="inlineStr">
        <is>
          <t>A 54311-2025</t>
        </is>
      </c>
      <c r="B7136" s="1" t="n">
        <v>45965.31461805556</v>
      </c>
      <c r="C7136" s="1" t="n">
        <v>46075</v>
      </c>
      <c r="D7136" t="inlineStr">
        <is>
          <t>VÄSTERBOTTENS LÄN</t>
        </is>
      </c>
      <c r="E7136" t="inlineStr">
        <is>
          <t>ROBERTSFORS</t>
        </is>
      </c>
      <c r="G7136" t="n">
        <v>4.4</v>
      </c>
      <c r="H7136" t="n">
        <v>0</v>
      </c>
      <c r="I7136" t="n">
        <v>0</v>
      </c>
      <c r="J7136" t="n">
        <v>0</v>
      </c>
      <c r="K7136" t="n">
        <v>0</v>
      </c>
      <c r="L7136" t="n">
        <v>0</v>
      </c>
      <c r="M7136" t="n">
        <v>0</v>
      </c>
      <c r="N7136" t="n">
        <v>0</v>
      </c>
      <c r="O7136" t="n">
        <v>0</v>
      </c>
      <c r="P7136" t="n">
        <v>0</v>
      </c>
      <c r="Q7136" t="n">
        <v>0</v>
      </c>
      <c r="R7136" s="2" t="inlineStr"/>
    </row>
    <row r="7137" ht="15" customHeight="1">
      <c r="A7137" t="inlineStr">
        <is>
          <t>A 49356-2024</t>
        </is>
      </c>
      <c r="B7137" s="1" t="n">
        <v>45595</v>
      </c>
      <c r="C7137" s="1" t="n">
        <v>46075</v>
      </c>
      <c r="D7137" t="inlineStr">
        <is>
          <t>VÄSTERBOTTENS LÄN</t>
        </is>
      </c>
      <c r="E7137" t="inlineStr">
        <is>
          <t>SKELLEFTEÅ</t>
        </is>
      </c>
      <c r="F7137" t="inlineStr">
        <is>
          <t>Sveaskog</t>
        </is>
      </c>
      <c r="G7137" t="n">
        <v>12.8</v>
      </c>
      <c r="H7137" t="n">
        <v>0</v>
      </c>
      <c r="I7137" t="n">
        <v>0</v>
      </c>
      <c r="J7137" t="n">
        <v>0</v>
      </c>
      <c r="K7137" t="n">
        <v>0</v>
      </c>
      <c r="L7137" t="n">
        <v>0</v>
      </c>
      <c r="M7137" t="n">
        <v>0</v>
      </c>
      <c r="N7137" t="n">
        <v>0</v>
      </c>
      <c r="O7137" t="n">
        <v>0</v>
      </c>
      <c r="P7137" t="n">
        <v>0</v>
      </c>
      <c r="Q7137" t="n">
        <v>0</v>
      </c>
      <c r="R7137" s="2" t="inlineStr"/>
    </row>
    <row r="7138" ht="15" customHeight="1">
      <c r="A7138" t="inlineStr">
        <is>
          <t>A 54368-2025</t>
        </is>
      </c>
      <c r="B7138" s="1" t="n">
        <v>45965.40554398148</v>
      </c>
      <c r="C7138" s="1" t="n">
        <v>46075</v>
      </c>
      <c r="D7138" t="inlineStr">
        <is>
          <t>VÄSTERBOTTENS LÄN</t>
        </is>
      </c>
      <c r="E7138" t="inlineStr">
        <is>
          <t>NORDMALING</t>
        </is>
      </c>
      <c r="G7138" t="n">
        <v>14.8</v>
      </c>
      <c r="H7138" t="n">
        <v>0</v>
      </c>
      <c r="I7138" t="n">
        <v>0</v>
      </c>
      <c r="J7138" t="n">
        <v>0</v>
      </c>
      <c r="K7138" t="n">
        <v>0</v>
      </c>
      <c r="L7138" t="n">
        <v>0</v>
      </c>
      <c r="M7138" t="n">
        <v>0</v>
      </c>
      <c r="N7138" t="n">
        <v>0</v>
      </c>
      <c r="O7138" t="n">
        <v>0</v>
      </c>
      <c r="P7138" t="n">
        <v>0</v>
      </c>
      <c r="Q7138" t="n">
        <v>0</v>
      </c>
      <c r="R7138" s="2" t="inlineStr"/>
    </row>
    <row r="7139" ht="15" customHeight="1">
      <c r="A7139" t="inlineStr">
        <is>
          <t>A 48832-2024</t>
        </is>
      </c>
      <c r="B7139" s="1" t="n">
        <v>45593.719375</v>
      </c>
      <c r="C7139" s="1" t="n">
        <v>46075</v>
      </c>
      <c r="D7139" t="inlineStr">
        <is>
          <t>VÄSTERBOTTENS LÄN</t>
        </is>
      </c>
      <c r="E7139" t="inlineStr">
        <is>
          <t>LYCKSELE</t>
        </is>
      </c>
      <c r="F7139" t="inlineStr">
        <is>
          <t>SCA</t>
        </is>
      </c>
      <c r="G7139" t="n">
        <v>3.7</v>
      </c>
      <c r="H7139" t="n">
        <v>0</v>
      </c>
      <c r="I7139" t="n">
        <v>0</v>
      </c>
      <c r="J7139" t="n">
        <v>0</v>
      </c>
      <c r="K7139" t="n">
        <v>0</v>
      </c>
      <c r="L7139" t="n">
        <v>0</v>
      </c>
      <c r="M7139" t="n">
        <v>0</v>
      </c>
      <c r="N7139" t="n">
        <v>0</v>
      </c>
      <c r="O7139" t="n">
        <v>0</v>
      </c>
      <c r="P7139" t="n">
        <v>0</v>
      </c>
      <c r="Q7139" t="n">
        <v>0</v>
      </c>
      <c r="R7139" s="2" t="inlineStr"/>
    </row>
    <row r="7140" ht="15" customHeight="1">
      <c r="A7140" t="inlineStr">
        <is>
          <t>A 54421-2025</t>
        </is>
      </c>
      <c r="B7140" s="1" t="n">
        <v>45965.48461805555</v>
      </c>
      <c r="C7140" s="1" t="n">
        <v>46075</v>
      </c>
      <c r="D7140" t="inlineStr">
        <is>
          <t>VÄSTERBOTTENS LÄN</t>
        </is>
      </c>
      <c r="E7140" t="inlineStr">
        <is>
          <t>VÄNNÄS</t>
        </is>
      </c>
      <c r="G7140" t="n">
        <v>10.4</v>
      </c>
      <c r="H7140" t="n">
        <v>0</v>
      </c>
      <c r="I7140" t="n">
        <v>0</v>
      </c>
      <c r="J7140" t="n">
        <v>0</v>
      </c>
      <c r="K7140" t="n">
        <v>0</v>
      </c>
      <c r="L7140" t="n">
        <v>0</v>
      </c>
      <c r="M7140" t="n">
        <v>0</v>
      </c>
      <c r="N7140" t="n">
        <v>0</v>
      </c>
      <c r="O7140" t="n">
        <v>0</v>
      </c>
      <c r="P7140" t="n">
        <v>0</v>
      </c>
      <c r="Q7140" t="n">
        <v>0</v>
      </c>
      <c r="R7140" s="2" t="inlineStr"/>
    </row>
    <row r="7141" ht="15" customHeight="1">
      <c r="A7141" t="inlineStr">
        <is>
          <t>A 52329-2023</t>
        </is>
      </c>
      <c r="B7141" s="1" t="n">
        <v>45224.65313657407</v>
      </c>
      <c r="C7141" s="1" t="n">
        <v>46075</v>
      </c>
      <c r="D7141" t="inlineStr">
        <is>
          <t>VÄSTERBOTTENS LÄN</t>
        </is>
      </c>
      <c r="E7141" t="inlineStr">
        <is>
          <t>VINDELN</t>
        </is>
      </c>
      <c r="F7141" t="inlineStr">
        <is>
          <t>Sveaskog</t>
        </is>
      </c>
      <c r="G7141" t="n">
        <v>6.9</v>
      </c>
      <c r="H7141" t="n">
        <v>0</v>
      </c>
      <c r="I7141" t="n">
        <v>0</v>
      </c>
      <c r="J7141" t="n">
        <v>0</v>
      </c>
      <c r="K7141" t="n">
        <v>0</v>
      </c>
      <c r="L7141" t="n">
        <v>0</v>
      </c>
      <c r="M7141" t="n">
        <v>0</v>
      </c>
      <c r="N7141" t="n">
        <v>0</v>
      </c>
      <c r="O7141" t="n">
        <v>0</v>
      </c>
      <c r="P7141" t="n">
        <v>0</v>
      </c>
      <c r="Q7141" t="n">
        <v>0</v>
      </c>
      <c r="R7141" s="2" t="inlineStr"/>
    </row>
    <row r="7142" ht="15" customHeight="1">
      <c r="A7142" t="inlineStr">
        <is>
          <t>A 52393-2023</t>
        </is>
      </c>
      <c r="B7142" s="1" t="n">
        <v>45224.96391203703</v>
      </c>
      <c r="C7142" s="1" t="n">
        <v>46075</v>
      </c>
      <c r="D7142" t="inlineStr">
        <is>
          <t>VÄSTERBOTTENS LÄN</t>
        </is>
      </c>
      <c r="E7142" t="inlineStr">
        <is>
          <t>DOROTEA</t>
        </is>
      </c>
      <c r="F7142" t="inlineStr">
        <is>
          <t>SCA</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9030-2025</t>
        </is>
      </c>
      <c r="B7143" s="1" t="n">
        <v>45713.61494212963</v>
      </c>
      <c r="C7143" s="1" t="n">
        <v>46075</v>
      </c>
      <c r="D7143" t="inlineStr">
        <is>
          <t>VÄSTERBOTTENS LÄN</t>
        </is>
      </c>
      <c r="E7143" t="inlineStr">
        <is>
          <t>DOROTEA</t>
        </is>
      </c>
      <c r="F7143" t="inlineStr">
        <is>
          <t>SCA</t>
        </is>
      </c>
      <c r="G7143" t="n">
        <v>2.5</v>
      </c>
      <c r="H7143" t="n">
        <v>0</v>
      </c>
      <c r="I7143" t="n">
        <v>0</v>
      </c>
      <c r="J7143" t="n">
        <v>0</v>
      </c>
      <c r="K7143" t="n">
        <v>0</v>
      </c>
      <c r="L7143" t="n">
        <v>0</v>
      </c>
      <c r="M7143" t="n">
        <v>0</v>
      </c>
      <c r="N7143" t="n">
        <v>0</v>
      </c>
      <c r="O7143" t="n">
        <v>0</v>
      </c>
      <c r="P7143" t="n">
        <v>0</v>
      </c>
      <c r="Q7143" t="n">
        <v>0</v>
      </c>
      <c r="R7143" s="2" t="inlineStr"/>
    </row>
    <row r="7144" ht="15" customHeight="1">
      <c r="A7144" t="inlineStr">
        <is>
          <t>A 53148-2024</t>
        </is>
      </c>
      <c r="B7144" s="1" t="n">
        <v>45611</v>
      </c>
      <c r="C7144" s="1" t="n">
        <v>46075</v>
      </c>
      <c r="D7144" t="inlineStr">
        <is>
          <t>VÄSTERBOTTENS LÄN</t>
        </is>
      </c>
      <c r="E7144" t="inlineStr">
        <is>
          <t>STORUMAN</t>
        </is>
      </c>
      <c r="F7144" t="inlineStr">
        <is>
          <t>Allmännings- och besparingsskogar</t>
        </is>
      </c>
      <c r="G7144" t="n">
        <v>117.5</v>
      </c>
      <c r="H7144" t="n">
        <v>0</v>
      </c>
      <c r="I7144" t="n">
        <v>0</v>
      </c>
      <c r="J7144" t="n">
        <v>0</v>
      </c>
      <c r="K7144" t="n">
        <v>0</v>
      </c>
      <c r="L7144" t="n">
        <v>0</v>
      </c>
      <c r="M7144" t="n">
        <v>0</v>
      </c>
      <c r="N7144" t="n">
        <v>0</v>
      </c>
      <c r="O7144" t="n">
        <v>0</v>
      </c>
      <c r="P7144" t="n">
        <v>0</v>
      </c>
      <c r="Q7144" t="n">
        <v>0</v>
      </c>
      <c r="R7144" s="2" t="inlineStr"/>
    </row>
    <row r="7145" ht="15" customHeight="1">
      <c r="A7145" t="inlineStr">
        <is>
          <t>A 52829-2025</t>
        </is>
      </c>
      <c r="B7145" s="1" t="n">
        <v>45957</v>
      </c>
      <c r="C7145" s="1" t="n">
        <v>46075</v>
      </c>
      <c r="D7145" t="inlineStr">
        <is>
          <t>VÄSTERBOTTENS LÄN</t>
        </is>
      </c>
      <c r="E7145" t="inlineStr">
        <is>
          <t>VILHELMINA</t>
        </is>
      </c>
      <c r="G7145" t="n">
        <v>4.3</v>
      </c>
      <c r="H7145" t="n">
        <v>0</v>
      </c>
      <c r="I7145" t="n">
        <v>0</v>
      </c>
      <c r="J7145" t="n">
        <v>0</v>
      </c>
      <c r="K7145" t="n">
        <v>0</v>
      </c>
      <c r="L7145" t="n">
        <v>0</v>
      </c>
      <c r="M7145" t="n">
        <v>0</v>
      </c>
      <c r="N7145" t="n">
        <v>0</v>
      </c>
      <c r="O7145" t="n">
        <v>0</v>
      </c>
      <c r="P7145" t="n">
        <v>0</v>
      </c>
      <c r="Q7145" t="n">
        <v>0</v>
      </c>
      <c r="R7145" s="2" t="inlineStr"/>
    </row>
    <row r="7146" ht="15" customHeight="1">
      <c r="A7146" t="inlineStr">
        <is>
          <t>A 54036-2025</t>
        </is>
      </c>
      <c r="B7146" s="1" t="n">
        <v>45963.46949074074</v>
      </c>
      <c r="C7146" s="1" t="n">
        <v>46075</v>
      </c>
      <c r="D7146" t="inlineStr">
        <is>
          <t>VÄSTERBOTTENS LÄN</t>
        </is>
      </c>
      <c r="E7146" t="inlineStr">
        <is>
          <t>SKELLEFTEÅ</t>
        </is>
      </c>
      <c r="F7146" t="inlineStr">
        <is>
          <t>Sveaskog</t>
        </is>
      </c>
      <c r="G7146" t="n">
        <v>3.7</v>
      </c>
      <c r="H7146" t="n">
        <v>0</v>
      </c>
      <c r="I7146" t="n">
        <v>0</v>
      </c>
      <c r="J7146" t="n">
        <v>0</v>
      </c>
      <c r="K7146" t="n">
        <v>0</v>
      </c>
      <c r="L7146" t="n">
        <v>0</v>
      </c>
      <c r="M7146" t="n">
        <v>0</v>
      </c>
      <c r="N7146" t="n">
        <v>0</v>
      </c>
      <c r="O7146" t="n">
        <v>0</v>
      </c>
      <c r="P7146" t="n">
        <v>0</v>
      </c>
      <c r="Q7146" t="n">
        <v>0</v>
      </c>
      <c r="R7146" s="2" t="inlineStr"/>
    </row>
    <row r="7147" ht="15" customHeight="1">
      <c r="A7147" t="inlineStr">
        <is>
          <t>A 52998-2024</t>
        </is>
      </c>
      <c r="B7147" s="1" t="n">
        <v>45611.38663194444</v>
      </c>
      <c r="C7147" s="1" t="n">
        <v>46075</v>
      </c>
      <c r="D7147" t="inlineStr">
        <is>
          <t>VÄSTERBOTTENS LÄN</t>
        </is>
      </c>
      <c r="E7147" t="inlineStr">
        <is>
          <t>NORSJÖ</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58168-2022</t>
        </is>
      </c>
      <c r="B7148" s="1" t="n">
        <v>44900.95491898148</v>
      </c>
      <c r="C7148" s="1" t="n">
        <v>46075</v>
      </c>
      <c r="D7148" t="inlineStr">
        <is>
          <t>VÄSTERBOTTENS LÄN</t>
        </is>
      </c>
      <c r="E7148" t="inlineStr">
        <is>
          <t>DOROTEA</t>
        </is>
      </c>
      <c r="F7148" t="inlineStr">
        <is>
          <t>SCA</t>
        </is>
      </c>
      <c r="G7148" t="n">
        <v>1.6</v>
      </c>
      <c r="H7148" t="n">
        <v>0</v>
      </c>
      <c r="I7148" t="n">
        <v>0</v>
      </c>
      <c r="J7148" t="n">
        <v>0</v>
      </c>
      <c r="K7148" t="n">
        <v>0</v>
      </c>
      <c r="L7148" t="n">
        <v>0</v>
      </c>
      <c r="M7148" t="n">
        <v>0</v>
      </c>
      <c r="N7148" t="n">
        <v>0</v>
      </c>
      <c r="O7148" t="n">
        <v>0</v>
      </c>
      <c r="P7148" t="n">
        <v>0</v>
      </c>
      <c r="Q7148" t="n">
        <v>0</v>
      </c>
      <c r="R7148" s="2" t="inlineStr"/>
    </row>
    <row r="7149" ht="15" customHeight="1">
      <c r="A7149" t="inlineStr">
        <is>
          <t>A 13836-2025</t>
        </is>
      </c>
      <c r="B7149" s="1" t="n">
        <v>45737.55303240741</v>
      </c>
      <c r="C7149" s="1" t="n">
        <v>46075</v>
      </c>
      <c r="D7149" t="inlineStr">
        <is>
          <t>VÄSTERBOTTENS LÄN</t>
        </is>
      </c>
      <c r="E7149" t="inlineStr">
        <is>
          <t>VINDELN</t>
        </is>
      </c>
      <c r="G7149" t="n">
        <v>3.7</v>
      </c>
      <c r="H7149" t="n">
        <v>0</v>
      </c>
      <c r="I7149" t="n">
        <v>0</v>
      </c>
      <c r="J7149" t="n">
        <v>0</v>
      </c>
      <c r="K7149" t="n">
        <v>0</v>
      </c>
      <c r="L7149" t="n">
        <v>0</v>
      </c>
      <c r="M7149" t="n">
        <v>0</v>
      </c>
      <c r="N7149" t="n">
        <v>0</v>
      </c>
      <c r="O7149" t="n">
        <v>0</v>
      </c>
      <c r="P7149" t="n">
        <v>0</v>
      </c>
      <c r="Q7149" t="n">
        <v>0</v>
      </c>
      <c r="R7149" s="2" t="inlineStr"/>
    </row>
    <row r="7150" ht="15" customHeight="1">
      <c r="A7150" t="inlineStr">
        <is>
          <t>A 45101-2023</t>
        </is>
      </c>
      <c r="B7150" s="1" t="n">
        <v>45190</v>
      </c>
      <c r="C7150" s="1" t="n">
        <v>46075</v>
      </c>
      <c r="D7150" t="inlineStr">
        <is>
          <t>VÄSTERBOTTENS LÄN</t>
        </is>
      </c>
      <c r="E7150" t="inlineStr">
        <is>
          <t>MALÅ</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19004-2024</t>
        </is>
      </c>
      <c r="B7151" s="1" t="n">
        <v>45427</v>
      </c>
      <c r="C7151" s="1" t="n">
        <v>46075</v>
      </c>
      <c r="D7151" t="inlineStr">
        <is>
          <t>VÄSTERBOTTENS LÄN</t>
        </is>
      </c>
      <c r="E7151" t="inlineStr">
        <is>
          <t>VINDELN</t>
        </is>
      </c>
      <c r="G7151" t="n">
        <v>2.7</v>
      </c>
      <c r="H7151" t="n">
        <v>0</v>
      </c>
      <c r="I7151" t="n">
        <v>0</v>
      </c>
      <c r="J7151" t="n">
        <v>0</v>
      </c>
      <c r="K7151" t="n">
        <v>0</v>
      </c>
      <c r="L7151" t="n">
        <v>0</v>
      </c>
      <c r="M7151" t="n">
        <v>0</v>
      </c>
      <c r="N7151" t="n">
        <v>0</v>
      </c>
      <c r="O7151" t="n">
        <v>0</v>
      </c>
      <c r="P7151" t="n">
        <v>0</v>
      </c>
      <c r="Q7151" t="n">
        <v>0</v>
      </c>
      <c r="R7151" s="2" t="inlineStr"/>
    </row>
    <row r="7152" ht="15" customHeight="1">
      <c r="A7152" t="inlineStr">
        <is>
          <t>A 52550-2024</t>
        </is>
      </c>
      <c r="B7152" s="1" t="n">
        <v>45609.64046296296</v>
      </c>
      <c r="C7152" s="1" t="n">
        <v>46075</v>
      </c>
      <c r="D7152" t="inlineStr">
        <is>
          <t>VÄSTERBOTTENS LÄN</t>
        </is>
      </c>
      <c r="E7152" t="inlineStr">
        <is>
          <t>BJURHOLM</t>
        </is>
      </c>
      <c r="G7152" t="n">
        <v>0.3</v>
      </c>
      <c r="H7152" t="n">
        <v>0</v>
      </c>
      <c r="I7152" t="n">
        <v>0</v>
      </c>
      <c r="J7152" t="n">
        <v>0</v>
      </c>
      <c r="K7152" t="n">
        <v>0</v>
      </c>
      <c r="L7152" t="n">
        <v>0</v>
      </c>
      <c r="M7152" t="n">
        <v>0</v>
      </c>
      <c r="N7152" t="n">
        <v>0</v>
      </c>
      <c r="O7152" t="n">
        <v>0</v>
      </c>
      <c r="P7152" t="n">
        <v>0</v>
      </c>
      <c r="Q7152" t="n">
        <v>0</v>
      </c>
      <c r="R7152" s="2" t="inlineStr"/>
    </row>
    <row r="7153" ht="15" customHeight="1">
      <c r="A7153" t="inlineStr">
        <is>
          <t>A 54474-2025</t>
        </is>
      </c>
      <c r="B7153" s="1" t="n">
        <v>45965.57400462963</v>
      </c>
      <c r="C7153" s="1" t="n">
        <v>46075</v>
      </c>
      <c r="D7153" t="inlineStr">
        <is>
          <t>VÄSTERBOTTENS LÄN</t>
        </is>
      </c>
      <c r="E7153" t="inlineStr">
        <is>
          <t>NORDMALING</t>
        </is>
      </c>
      <c r="G7153" t="n">
        <v>3.9</v>
      </c>
      <c r="H7153" t="n">
        <v>0</v>
      </c>
      <c r="I7153" t="n">
        <v>0</v>
      </c>
      <c r="J7153" t="n">
        <v>0</v>
      </c>
      <c r="K7153" t="n">
        <v>0</v>
      </c>
      <c r="L7153" t="n">
        <v>0</v>
      </c>
      <c r="M7153" t="n">
        <v>0</v>
      </c>
      <c r="N7153" t="n">
        <v>0</v>
      </c>
      <c r="O7153" t="n">
        <v>0</v>
      </c>
      <c r="P7153" t="n">
        <v>0</v>
      </c>
      <c r="Q7153" t="n">
        <v>0</v>
      </c>
      <c r="R7153" s="2" t="inlineStr"/>
    </row>
    <row r="7154" ht="15" customHeight="1">
      <c r="A7154" t="inlineStr">
        <is>
          <t>A 54031-2025</t>
        </is>
      </c>
      <c r="B7154" s="1" t="n">
        <v>45962.78836805555</v>
      </c>
      <c r="C7154" s="1" t="n">
        <v>46075</v>
      </c>
      <c r="D7154" t="inlineStr">
        <is>
          <t>VÄSTERBOTTENS LÄN</t>
        </is>
      </c>
      <c r="E7154" t="inlineStr">
        <is>
          <t>DOROTEA</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5239-2024</t>
        </is>
      </c>
      <c r="B7155" s="1" t="n">
        <v>45330.85105324074</v>
      </c>
      <c r="C7155" s="1" t="n">
        <v>46075</v>
      </c>
      <c r="D7155" t="inlineStr">
        <is>
          <t>VÄSTERBOTTENS LÄN</t>
        </is>
      </c>
      <c r="E7155" t="inlineStr">
        <is>
          <t>SKELLEFTEÅ</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54288-2025</t>
        </is>
      </c>
      <c r="B7156" s="1" t="n">
        <v>45964.80960648148</v>
      </c>
      <c r="C7156" s="1" t="n">
        <v>46075</v>
      </c>
      <c r="D7156" t="inlineStr">
        <is>
          <t>VÄSTERBOTTENS LÄN</t>
        </is>
      </c>
      <c r="E7156" t="inlineStr">
        <is>
          <t>SKELLEFTEÅ</t>
        </is>
      </c>
      <c r="F7156" t="inlineStr">
        <is>
          <t>Sveaskog</t>
        </is>
      </c>
      <c r="G7156" t="n">
        <v>18.2</v>
      </c>
      <c r="H7156" t="n">
        <v>0</v>
      </c>
      <c r="I7156" t="n">
        <v>0</v>
      </c>
      <c r="J7156" t="n">
        <v>0</v>
      </c>
      <c r="K7156" t="n">
        <v>0</v>
      </c>
      <c r="L7156" t="n">
        <v>0</v>
      </c>
      <c r="M7156" t="n">
        <v>0</v>
      </c>
      <c r="N7156" t="n">
        <v>0</v>
      </c>
      <c r="O7156" t="n">
        <v>0</v>
      </c>
      <c r="P7156" t="n">
        <v>0</v>
      </c>
      <c r="Q7156" t="n">
        <v>0</v>
      </c>
      <c r="R7156" s="2" t="inlineStr"/>
    </row>
    <row r="7157" ht="15" customHeight="1">
      <c r="A7157" t="inlineStr">
        <is>
          <t>A 18489-2025</t>
        </is>
      </c>
      <c r="B7157" s="1" t="n">
        <v>45763.33773148148</v>
      </c>
      <c r="C7157" s="1" t="n">
        <v>46075</v>
      </c>
      <c r="D7157" t="inlineStr">
        <is>
          <t>VÄSTERBOTTENS LÄN</t>
        </is>
      </c>
      <c r="E7157" t="inlineStr">
        <is>
          <t>VINDELN</t>
        </is>
      </c>
      <c r="F7157" t="inlineStr">
        <is>
          <t>Holmen skog AB</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54064-2025</t>
        </is>
      </c>
      <c r="B7158" s="1" t="n">
        <v>45964.33495370371</v>
      </c>
      <c r="C7158" s="1" t="n">
        <v>46075</v>
      </c>
      <c r="D7158" t="inlineStr">
        <is>
          <t>VÄSTERBOTTENS LÄN</t>
        </is>
      </c>
      <c r="E7158" t="inlineStr">
        <is>
          <t>MALÅ</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17324-2024</t>
        </is>
      </c>
      <c r="B7159" s="1" t="n">
        <v>45414</v>
      </c>
      <c r="C7159" s="1" t="n">
        <v>46075</v>
      </c>
      <c r="D7159" t="inlineStr">
        <is>
          <t>VÄSTERBOTTENS LÄN</t>
        </is>
      </c>
      <c r="E7159" t="inlineStr">
        <is>
          <t>SORSELE</t>
        </is>
      </c>
      <c r="G7159" t="n">
        <v>30.6</v>
      </c>
      <c r="H7159" t="n">
        <v>0</v>
      </c>
      <c r="I7159" t="n">
        <v>0</v>
      </c>
      <c r="J7159" t="n">
        <v>0</v>
      </c>
      <c r="K7159" t="n">
        <v>0</v>
      </c>
      <c r="L7159" t="n">
        <v>0</v>
      </c>
      <c r="M7159" t="n">
        <v>0</v>
      </c>
      <c r="N7159" t="n">
        <v>0</v>
      </c>
      <c r="O7159" t="n">
        <v>0</v>
      </c>
      <c r="P7159" t="n">
        <v>0</v>
      </c>
      <c r="Q7159" t="n">
        <v>0</v>
      </c>
      <c r="R7159" s="2" t="inlineStr"/>
    </row>
    <row r="7160" ht="15" customHeight="1">
      <c r="A7160" t="inlineStr">
        <is>
          <t>A 54164-2025</t>
        </is>
      </c>
      <c r="B7160" s="1" t="n">
        <v>45964.51108796296</v>
      </c>
      <c r="C7160" s="1" t="n">
        <v>46075</v>
      </c>
      <c r="D7160" t="inlineStr">
        <is>
          <t>VÄSTERBOTTENS LÄN</t>
        </is>
      </c>
      <c r="E7160" t="inlineStr">
        <is>
          <t>VINDELN</t>
        </is>
      </c>
      <c r="F7160" t="inlineStr">
        <is>
          <t>SCA</t>
        </is>
      </c>
      <c r="G7160" t="n">
        <v>12.8</v>
      </c>
      <c r="H7160" t="n">
        <v>0</v>
      </c>
      <c r="I7160" t="n">
        <v>0</v>
      </c>
      <c r="J7160" t="n">
        <v>0</v>
      </c>
      <c r="K7160" t="n">
        <v>0</v>
      </c>
      <c r="L7160" t="n">
        <v>0</v>
      </c>
      <c r="M7160" t="n">
        <v>0</v>
      </c>
      <c r="N7160" t="n">
        <v>0</v>
      </c>
      <c r="O7160" t="n">
        <v>0</v>
      </c>
      <c r="P7160" t="n">
        <v>0</v>
      </c>
      <c r="Q7160" t="n">
        <v>0</v>
      </c>
      <c r="R7160" s="2" t="inlineStr"/>
    </row>
    <row r="7161" ht="15" customHeight="1">
      <c r="A7161" t="inlineStr">
        <is>
          <t>A 59476-2025</t>
        </is>
      </c>
      <c r="B7161" s="1" t="n">
        <v>45989</v>
      </c>
      <c r="C7161" s="1" t="n">
        <v>46075</v>
      </c>
      <c r="D7161" t="inlineStr">
        <is>
          <t>VÄSTERBOTTENS LÄN</t>
        </is>
      </c>
      <c r="E7161" t="inlineStr">
        <is>
          <t>VILHELMINA</t>
        </is>
      </c>
      <c r="F7161" t="inlineStr">
        <is>
          <t>Allmännings- och besparingsskogar</t>
        </is>
      </c>
      <c r="G7161" t="n">
        <v>13.8</v>
      </c>
      <c r="H7161" t="n">
        <v>0</v>
      </c>
      <c r="I7161" t="n">
        <v>0</v>
      </c>
      <c r="J7161" t="n">
        <v>0</v>
      </c>
      <c r="K7161" t="n">
        <v>0</v>
      </c>
      <c r="L7161" t="n">
        <v>0</v>
      </c>
      <c r="M7161" t="n">
        <v>0</v>
      </c>
      <c r="N7161" t="n">
        <v>0</v>
      </c>
      <c r="O7161" t="n">
        <v>0</v>
      </c>
      <c r="P7161" t="n">
        <v>0</v>
      </c>
      <c r="Q7161" t="n">
        <v>0</v>
      </c>
      <c r="R7161" s="2" t="inlineStr"/>
    </row>
    <row r="7162" ht="15" customHeight="1">
      <c r="A7162" t="inlineStr">
        <is>
          <t>A 59487-2025</t>
        </is>
      </c>
      <c r="B7162" s="1" t="n">
        <v>45989</v>
      </c>
      <c r="C7162" s="1" t="n">
        <v>46075</v>
      </c>
      <c r="D7162" t="inlineStr">
        <is>
          <t>VÄSTERBOTTENS LÄN</t>
        </is>
      </c>
      <c r="E7162" t="inlineStr">
        <is>
          <t>VILHELMINA</t>
        </is>
      </c>
      <c r="F7162" t="inlineStr">
        <is>
          <t>Allmännings- och besparingsskogar</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59492-2025</t>
        </is>
      </c>
      <c r="B7163" s="1" t="n">
        <v>45989</v>
      </c>
      <c r="C7163" s="1" t="n">
        <v>46075</v>
      </c>
      <c r="D7163" t="inlineStr">
        <is>
          <t>VÄSTERBOTTENS LÄN</t>
        </is>
      </c>
      <c r="E7163" t="inlineStr">
        <is>
          <t>VILHELMINA</t>
        </is>
      </c>
      <c r="F7163" t="inlineStr">
        <is>
          <t>Allmännings- och besparingsskogar</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54969-2025</t>
        </is>
      </c>
      <c r="B7164" s="1" t="n">
        <v>45967.49447916666</v>
      </c>
      <c r="C7164" s="1" t="n">
        <v>46075</v>
      </c>
      <c r="D7164" t="inlineStr">
        <is>
          <t>VÄSTERBOTTENS LÄN</t>
        </is>
      </c>
      <c r="E7164" t="inlineStr">
        <is>
          <t>SKELLEFTEÅ</t>
        </is>
      </c>
      <c r="G7164" t="n">
        <v>5.2</v>
      </c>
      <c r="H7164" t="n">
        <v>0</v>
      </c>
      <c r="I7164" t="n">
        <v>0</v>
      </c>
      <c r="J7164" t="n">
        <v>0</v>
      </c>
      <c r="K7164" t="n">
        <v>0</v>
      </c>
      <c r="L7164" t="n">
        <v>0</v>
      </c>
      <c r="M7164" t="n">
        <v>0</v>
      </c>
      <c r="N7164" t="n">
        <v>0</v>
      </c>
      <c r="O7164" t="n">
        <v>0</v>
      </c>
      <c r="P7164" t="n">
        <v>0</v>
      </c>
      <c r="Q7164" t="n">
        <v>0</v>
      </c>
      <c r="R7164" s="2" t="inlineStr"/>
    </row>
    <row r="7165" ht="15" customHeight="1">
      <c r="A7165" t="inlineStr">
        <is>
          <t>A 54977-2025</t>
        </is>
      </c>
      <c r="B7165" s="1" t="n">
        <v>45967.51125</v>
      </c>
      <c r="C7165" s="1" t="n">
        <v>46075</v>
      </c>
      <c r="D7165" t="inlineStr">
        <is>
          <t>VÄSTERBOTTENS LÄN</t>
        </is>
      </c>
      <c r="E7165" t="inlineStr">
        <is>
          <t>ÅSELE</t>
        </is>
      </c>
      <c r="F7165" t="inlineStr">
        <is>
          <t>SCA</t>
        </is>
      </c>
      <c r="G7165" t="n">
        <v>4.8</v>
      </c>
      <c r="H7165" t="n">
        <v>0</v>
      </c>
      <c r="I7165" t="n">
        <v>0</v>
      </c>
      <c r="J7165" t="n">
        <v>0</v>
      </c>
      <c r="K7165" t="n">
        <v>0</v>
      </c>
      <c r="L7165" t="n">
        <v>0</v>
      </c>
      <c r="M7165" t="n">
        <v>0</v>
      </c>
      <c r="N7165" t="n">
        <v>0</v>
      </c>
      <c r="O7165" t="n">
        <v>0</v>
      </c>
      <c r="P7165" t="n">
        <v>0</v>
      </c>
      <c r="Q7165" t="n">
        <v>0</v>
      </c>
      <c r="R7165" s="2" t="inlineStr"/>
    </row>
    <row r="7166" ht="15" customHeight="1">
      <c r="A7166" t="inlineStr">
        <is>
          <t>A 14671-2023</t>
        </is>
      </c>
      <c r="B7166" s="1" t="n">
        <v>45013</v>
      </c>
      <c r="C7166" s="1" t="n">
        <v>46075</v>
      </c>
      <c r="D7166" t="inlineStr">
        <is>
          <t>VÄSTERBOTTENS LÄN</t>
        </is>
      </c>
      <c r="E7166" t="inlineStr">
        <is>
          <t>ROBERTSFORS</t>
        </is>
      </c>
      <c r="G7166" t="n">
        <v>4.2</v>
      </c>
      <c r="H7166" t="n">
        <v>0</v>
      </c>
      <c r="I7166" t="n">
        <v>0</v>
      </c>
      <c r="J7166" t="n">
        <v>0</v>
      </c>
      <c r="K7166" t="n">
        <v>0</v>
      </c>
      <c r="L7166" t="n">
        <v>0</v>
      </c>
      <c r="M7166" t="n">
        <v>0</v>
      </c>
      <c r="N7166" t="n">
        <v>0</v>
      </c>
      <c r="O7166" t="n">
        <v>0</v>
      </c>
      <c r="P7166" t="n">
        <v>0</v>
      </c>
      <c r="Q7166" t="n">
        <v>0</v>
      </c>
      <c r="R7166" s="2" t="inlineStr"/>
    </row>
    <row r="7167" ht="15" customHeight="1">
      <c r="A7167" t="inlineStr">
        <is>
          <t>A 39590-2021</t>
        </is>
      </c>
      <c r="B7167" s="1" t="n">
        <v>44413</v>
      </c>
      <c r="C7167" s="1" t="n">
        <v>46075</v>
      </c>
      <c r="D7167" t="inlineStr">
        <is>
          <t>VÄSTERBOTTENS LÄN</t>
        </is>
      </c>
      <c r="E7167" t="inlineStr">
        <is>
          <t>SKELLEFTEÅ</t>
        </is>
      </c>
      <c r="G7167" t="n">
        <v>3</v>
      </c>
      <c r="H7167" t="n">
        <v>0</v>
      </c>
      <c r="I7167" t="n">
        <v>0</v>
      </c>
      <c r="J7167" t="n">
        <v>0</v>
      </c>
      <c r="K7167" t="n">
        <v>0</v>
      </c>
      <c r="L7167" t="n">
        <v>0</v>
      </c>
      <c r="M7167" t="n">
        <v>0</v>
      </c>
      <c r="N7167" t="n">
        <v>0</v>
      </c>
      <c r="O7167" t="n">
        <v>0</v>
      </c>
      <c r="P7167" t="n">
        <v>0</v>
      </c>
      <c r="Q7167" t="n">
        <v>0</v>
      </c>
      <c r="R7167" s="2" t="inlineStr"/>
    </row>
    <row r="7168" ht="15" customHeight="1">
      <c r="A7168" t="inlineStr">
        <is>
          <t>A 54985-2025</t>
        </is>
      </c>
      <c r="B7168" s="1" t="n">
        <v>45967.55665509259</v>
      </c>
      <c r="C7168" s="1" t="n">
        <v>46075</v>
      </c>
      <c r="D7168" t="inlineStr">
        <is>
          <t>VÄSTERBOTTENS LÄN</t>
        </is>
      </c>
      <c r="E7168" t="inlineStr">
        <is>
          <t>SKELLEFTEÅ</t>
        </is>
      </c>
      <c r="G7168" t="n">
        <v>7.5</v>
      </c>
      <c r="H7168" t="n">
        <v>0</v>
      </c>
      <c r="I7168" t="n">
        <v>0</v>
      </c>
      <c r="J7168" t="n">
        <v>0</v>
      </c>
      <c r="K7168" t="n">
        <v>0</v>
      </c>
      <c r="L7168" t="n">
        <v>0</v>
      </c>
      <c r="M7168" t="n">
        <v>0</v>
      </c>
      <c r="N7168" t="n">
        <v>0</v>
      </c>
      <c r="O7168" t="n">
        <v>0</v>
      </c>
      <c r="P7168" t="n">
        <v>0</v>
      </c>
      <c r="Q7168" t="n">
        <v>0</v>
      </c>
      <c r="R7168" s="2" t="inlineStr"/>
    </row>
    <row r="7169" ht="15" customHeight="1">
      <c r="A7169" t="inlineStr">
        <is>
          <t>A 7873-2023</t>
        </is>
      </c>
      <c r="B7169" s="1" t="n">
        <v>44973</v>
      </c>
      <c r="C7169" s="1" t="n">
        <v>46075</v>
      </c>
      <c r="D7169" t="inlineStr">
        <is>
          <t>VÄSTERBOTTENS LÄN</t>
        </is>
      </c>
      <c r="E7169" t="inlineStr">
        <is>
          <t>ROBERTSFORS</t>
        </is>
      </c>
      <c r="G7169" t="n">
        <v>3</v>
      </c>
      <c r="H7169" t="n">
        <v>0</v>
      </c>
      <c r="I7169" t="n">
        <v>0</v>
      </c>
      <c r="J7169" t="n">
        <v>0</v>
      </c>
      <c r="K7169" t="n">
        <v>0</v>
      </c>
      <c r="L7169" t="n">
        <v>0</v>
      </c>
      <c r="M7169" t="n">
        <v>0</v>
      </c>
      <c r="N7169" t="n">
        <v>0</v>
      </c>
      <c r="O7169" t="n">
        <v>0</v>
      </c>
      <c r="P7169" t="n">
        <v>0</v>
      </c>
      <c r="Q7169" t="n">
        <v>0</v>
      </c>
      <c r="R7169" s="2" t="inlineStr"/>
    </row>
    <row r="7170" ht="15" customHeight="1">
      <c r="A7170" t="inlineStr">
        <is>
          <t>A 20681-2024</t>
        </is>
      </c>
      <c r="B7170" s="1" t="n">
        <v>45436</v>
      </c>
      <c r="C7170" s="1" t="n">
        <v>46075</v>
      </c>
      <c r="D7170" t="inlineStr">
        <is>
          <t>VÄSTERBOTTENS LÄN</t>
        </is>
      </c>
      <c r="E7170" t="inlineStr">
        <is>
          <t>VINDELN</t>
        </is>
      </c>
      <c r="G7170" t="n">
        <v>8.800000000000001</v>
      </c>
      <c r="H7170" t="n">
        <v>0</v>
      </c>
      <c r="I7170" t="n">
        <v>0</v>
      </c>
      <c r="J7170" t="n">
        <v>0</v>
      </c>
      <c r="K7170" t="n">
        <v>0</v>
      </c>
      <c r="L7170" t="n">
        <v>0</v>
      </c>
      <c r="M7170" t="n">
        <v>0</v>
      </c>
      <c r="N7170" t="n">
        <v>0</v>
      </c>
      <c r="O7170" t="n">
        <v>0</v>
      </c>
      <c r="P7170" t="n">
        <v>0</v>
      </c>
      <c r="Q7170" t="n">
        <v>0</v>
      </c>
      <c r="R7170" s="2" t="inlineStr"/>
    </row>
    <row r="7171" ht="15" customHeight="1">
      <c r="A7171" t="inlineStr">
        <is>
          <t>A 8555-2023</t>
        </is>
      </c>
      <c r="B7171" s="1" t="n">
        <v>44972</v>
      </c>
      <c r="C7171" s="1" t="n">
        <v>46075</v>
      </c>
      <c r="D7171" t="inlineStr">
        <is>
          <t>VÄSTERBOTTENS LÄN</t>
        </is>
      </c>
      <c r="E7171" t="inlineStr">
        <is>
          <t>VILHELMINA</t>
        </is>
      </c>
      <c r="F7171" t="inlineStr">
        <is>
          <t>Allmännings- och besparingsskogar</t>
        </is>
      </c>
      <c r="G7171" t="n">
        <v>39</v>
      </c>
      <c r="H7171" t="n">
        <v>0</v>
      </c>
      <c r="I7171" t="n">
        <v>0</v>
      </c>
      <c r="J7171" t="n">
        <v>0</v>
      </c>
      <c r="K7171" t="n">
        <v>0</v>
      </c>
      <c r="L7171" t="n">
        <v>0</v>
      </c>
      <c r="M7171" t="n">
        <v>0</v>
      </c>
      <c r="N7171" t="n">
        <v>0</v>
      </c>
      <c r="O7171" t="n">
        <v>0</v>
      </c>
      <c r="P7171" t="n">
        <v>0</v>
      </c>
      <c r="Q7171" t="n">
        <v>0</v>
      </c>
      <c r="R7171" s="2" t="inlineStr"/>
    </row>
    <row r="7172" ht="15" customHeight="1">
      <c r="A7172" t="inlineStr">
        <is>
          <t>A 54733-2025</t>
        </is>
      </c>
      <c r="B7172" s="1" t="n">
        <v>45966.56216435185</v>
      </c>
      <c r="C7172" s="1" t="n">
        <v>46075</v>
      </c>
      <c r="D7172" t="inlineStr">
        <is>
          <t>VÄSTERBOTTENS LÄN</t>
        </is>
      </c>
      <c r="E7172" t="inlineStr">
        <is>
          <t>SORSELE</t>
        </is>
      </c>
      <c r="F7172" t="inlineStr">
        <is>
          <t>Sveaskog</t>
        </is>
      </c>
      <c r="G7172" t="n">
        <v>17.4</v>
      </c>
      <c r="H7172" t="n">
        <v>0</v>
      </c>
      <c r="I7172" t="n">
        <v>0</v>
      </c>
      <c r="J7172" t="n">
        <v>0</v>
      </c>
      <c r="K7172" t="n">
        <v>0</v>
      </c>
      <c r="L7172" t="n">
        <v>0</v>
      </c>
      <c r="M7172" t="n">
        <v>0</v>
      </c>
      <c r="N7172" t="n">
        <v>0</v>
      </c>
      <c r="O7172" t="n">
        <v>0</v>
      </c>
      <c r="P7172" t="n">
        <v>0</v>
      </c>
      <c r="Q7172" t="n">
        <v>0</v>
      </c>
      <c r="R7172" s="2" t="inlineStr"/>
    </row>
    <row r="7173" ht="15" customHeight="1">
      <c r="A7173" t="inlineStr">
        <is>
          <t>A 34492-2024</t>
        </is>
      </c>
      <c r="B7173" s="1" t="n">
        <v>45525.6207175926</v>
      </c>
      <c r="C7173" s="1" t="n">
        <v>46075</v>
      </c>
      <c r="D7173" t="inlineStr">
        <is>
          <t>VÄSTERBOTTENS LÄN</t>
        </is>
      </c>
      <c r="E7173" t="inlineStr">
        <is>
          <t>NORDMALING</t>
        </is>
      </c>
      <c r="G7173" t="n">
        <v>3.2</v>
      </c>
      <c r="H7173" t="n">
        <v>0</v>
      </c>
      <c r="I7173" t="n">
        <v>0</v>
      </c>
      <c r="J7173" t="n">
        <v>0</v>
      </c>
      <c r="K7173" t="n">
        <v>0</v>
      </c>
      <c r="L7173" t="n">
        <v>0</v>
      </c>
      <c r="M7173" t="n">
        <v>0</v>
      </c>
      <c r="N7173" t="n">
        <v>0</v>
      </c>
      <c r="O7173" t="n">
        <v>0</v>
      </c>
      <c r="P7173" t="n">
        <v>0</v>
      </c>
      <c r="Q7173" t="n">
        <v>0</v>
      </c>
      <c r="R7173" s="2" t="inlineStr"/>
    </row>
    <row r="7174" ht="15" customHeight="1">
      <c r="A7174" t="inlineStr">
        <is>
          <t>A 54751-2025</t>
        </is>
      </c>
      <c r="B7174" s="1" t="n">
        <v>45966</v>
      </c>
      <c r="C7174" s="1" t="n">
        <v>46075</v>
      </c>
      <c r="D7174" t="inlineStr">
        <is>
          <t>VÄSTERBOTTENS LÄN</t>
        </is>
      </c>
      <c r="E7174" t="inlineStr">
        <is>
          <t>NORSJÖ</t>
        </is>
      </c>
      <c r="G7174" t="n">
        <v>7.6</v>
      </c>
      <c r="H7174" t="n">
        <v>0</v>
      </c>
      <c r="I7174" t="n">
        <v>0</v>
      </c>
      <c r="J7174" t="n">
        <v>0</v>
      </c>
      <c r="K7174" t="n">
        <v>0</v>
      </c>
      <c r="L7174" t="n">
        <v>0</v>
      </c>
      <c r="M7174" t="n">
        <v>0</v>
      </c>
      <c r="N7174" t="n">
        <v>0</v>
      </c>
      <c r="O7174" t="n">
        <v>0</v>
      </c>
      <c r="P7174" t="n">
        <v>0</v>
      </c>
      <c r="Q7174" t="n">
        <v>0</v>
      </c>
      <c r="R7174" s="2" t="inlineStr"/>
    </row>
    <row r="7175" ht="15" customHeight="1">
      <c r="A7175" t="inlineStr">
        <is>
          <t>A 54967-2025</t>
        </is>
      </c>
      <c r="B7175" s="1" t="n">
        <v>45967.49174768518</v>
      </c>
      <c r="C7175" s="1" t="n">
        <v>46075</v>
      </c>
      <c r="D7175" t="inlineStr">
        <is>
          <t>VÄSTERBOTTENS LÄN</t>
        </is>
      </c>
      <c r="E7175" t="inlineStr">
        <is>
          <t>SKELLEFTEÅ</t>
        </is>
      </c>
      <c r="G7175" t="n">
        <v>4.3</v>
      </c>
      <c r="H7175" t="n">
        <v>0</v>
      </c>
      <c r="I7175" t="n">
        <v>0</v>
      </c>
      <c r="J7175" t="n">
        <v>0</v>
      </c>
      <c r="K7175" t="n">
        <v>0</v>
      </c>
      <c r="L7175" t="n">
        <v>0</v>
      </c>
      <c r="M7175" t="n">
        <v>0</v>
      </c>
      <c r="N7175" t="n">
        <v>0</v>
      </c>
      <c r="O7175" t="n">
        <v>0</v>
      </c>
      <c r="P7175" t="n">
        <v>0</v>
      </c>
      <c r="Q7175" t="n">
        <v>0</v>
      </c>
      <c r="R7175" s="2" t="inlineStr"/>
    </row>
    <row r="7176" ht="15" customHeight="1">
      <c r="A7176" t="inlineStr">
        <is>
          <t>A 15745-2023</t>
        </is>
      </c>
      <c r="B7176" s="1" t="n">
        <v>45021.60850694445</v>
      </c>
      <c r="C7176" s="1" t="n">
        <v>46075</v>
      </c>
      <c r="D7176" t="inlineStr">
        <is>
          <t>VÄSTERBOTTENS LÄN</t>
        </is>
      </c>
      <c r="E7176" t="inlineStr">
        <is>
          <t>NORDMALING</t>
        </is>
      </c>
      <c r="G7176" t="n">
        <v>1.8</v>
      </c>
      <c r="H7176" t="n">
        <v>0</v>
      </c>
      <c r="I7176" t="n">
        <v>0</v>
      </c>
      <c r="J7176" t="n">
        <v>0</v>
      </c>
      <c r="K7176" t="n">
        <v>0</v>
      </c>
      <c r="L7176" t="n">
        <v>0</v>
      </c>
      <c r="M7176" t="n">
        <v>0</v>
      </c>
      <c r="N7176" t="n">
        <v>0</v>
      </c>
      <c r="O7176" t="n">
        <v>0</v>
      </c>
      <c r="P7176" t="n">
        <v>0</v>
      </c>
      <c r="Q7176" t="n">
        <v>0</v>
      </c>
      <c r="R7176" s="2" t="inlineStr"/>
    </row>
    <row r="7177" ht="15" customHeight="1">
      <c r="A7177" t="inlineStr">
        <is>
          <t>A 54628-2025</t>
        </is>
      </c>
      <c r="B7177" s="1" t="n">
        <v>45966.34577546296</v>
      </c>
      <c r="C7177" s="1" t="n">
        <v>46075</v>
      </c>
      <c r="D7177" t="inlineStr">
        <is>
          <t>VÄSTERBOTTENS LÄN</t>
        </is>
      </c>
      <c r="E7177" t="inlineStr">
        <is>
          <t>MALÅ</t>
        </is>
      </c>
      <c r="G7177" t="n">
        <v>3.2</v>
      </c>
      <c r="H7177" t="n">
        <v>0</v>
      </c>
      <c r="I7177" t="n">
        <v>0</v>
      </c>
      <c r="J7177" t="n">
        <v>0</v>
      </c>
      <c r="K7177" t="n">
        <v>0</v>
      </c>
      <c r="L7177" t="n">
        <v>0</v>
      </c>
      <c r="M7177" t="n">
        <v>0</v>
      </c>
      <c r="N7177" t="n">
        <v>0</v>
      </c>
      <c r="O7177" t="n">
        <v>0</v>
      </c>
      <c r="P7177" t="n">
        <v>0</v>
      </c>
      <c r="Q7177" t="n">
        <v>0</v>
      </c>
      <c r="R7177" s="2" t="inlineStr"/>
    </row>
    <row r="7178" ht="15" customHeight="1">
      <c r="A7178" t="inlineStr">
        <is>
          <t>A 22758-2022</t>
        </is>
      </c>
      <c r="B7178" s="1" t="n">
        <v>44714</v>
      </c>
      <c r="C7178" s="1" t="n">
        <v>46075</v>
      </c>
      <c r="D7178" t="inlineStr">
        <is>
          <t>VÄSTERBOTTENS LÄN</t>
        </is>
      </c>
      <c r="E7178" t="inlineStr">
        <is>
          <t>SKELLEFTEÅ</t>
        </is>
      </c>
      <c r="G7178" t="n">
        <v>2.2</v>
      </c>
      <c r="H7178" t="n">
        <v>0</v>
      </c>
      <c r="I7178" t="n">
        <v>0</v>
      </c>
      <c r="J7178" t="n">
        <v>0</v>
      </c>
      <c r="K7178" t="n">
        <v>0</v>
      </c>
      <c r="L7178" t="n">
        <v>0</v>
      </c>
      <c r="M7178" t="n">
        <v>0</v>
      </c>
      <c r="N7178" t="n">
        <v>0</v>
      </c>
      <c r="O7178" t="n">
        <v>0</v>
      </c>
      <c r="P7178" t="n">
        <v>0</v>
      </c>
      <c r="Q7178" t="n">
        <v>0</v>
      </c>
      <c r="R7178" s="2" t="inlineStr"/>
    </row>
    <row r="7179" ht="15" customHeight="1">
      <c r="A7179" t="inlineStr">
        <is>
          <t>A 54795-2025</t>
        </is>
      </c>
      <c r="B7179" s="1" t="n">
        <v>45966.63616898148</v>
      </c>
      <c r="C7179" s="1" t="n">
        <v>46075</v>
      </c>
      <c r="D7179" t="inlineStr">
        <is>
          <t>VÄSTERBOTTENS LÄN</t>
        </is>
      </c>
      <c r="E7179" t="inlineStr">
        <is>
          <t>SKELLEFTEÅ</t>
        </is>
      </c>
      <c r="G7179" t="n">
        <v>0.6</v>
      </c>
      <c r="H7179" t="n">
        <v>0</v>
      </c>
      <c r="I7179" t="n">
        <v>0</v>
      </c>
      <c r="J7179" t="n">
        <v>0</v>
      </c>
      <c r="K7179" t="n">
        <v>0</v>
      </c>
      <c r="L7179" t="n">
        <v>0</v>
      </c>
      <c r="M7179" t="n">
        <v>0</v>
      </c>
      <c r="N7179" t="n">
        <v>0</v>
      </c>
      <c r="O7179" t="n">
        <v>0</v>
      </c>
      <c r="P7179" t="n">
        <v>0</v>
      </c>
      <c r="Q7179" t="n">
        <v>0</v>
      </c>
      <c r="R7179" s="2" t="inlineStr"/>
    </row>
    <row r="7180" ht="15" customHeight="1">
      <c r="A7180" t="inlineStr">
        <is>
          <t>A 54796-2025</t>
        </is>
      </c>
      <c r="B7180" s="1" t="n">
        <v>45966.63635416667</v>
      </c>
      <c r="C7180" s="1" t="n">
        <v>46075</v>
      </c>
      <c r="D7180" t="inlineStr">
        <is>
          <t>VÄSTERBOTTENS LÄN</t>
        </is>
      </c>
      <c r="E7180" t="inlineStr">
        <is>
          <t>UMEÅ</t>
        </is>
      </c>
      <c r="G7180" t="n">
        <v>7.2</v>
      </c>
      <c r="H7180" t="n">
        <v>0</v>
      </c>
      <c r="I7180" t="n">
        <v>0</v>
      </c>
      <c r="J7180" t="n">
        <v>0</v>
      </c>
      <c r="K7180" t="n">
        <v>0</v>
      </c>
      <c r="L7180" t="n">
        <v>0</v>
      </c>
      <c r="M7180" t="n">
        <v>0</v>
      </c>
      <c r="N7180" t="n">
        <v>0</v>
      </c>
      <c r="O7180" t="n">
        <v>0</v>
      </c>
      <c r="P7180" t="n">
        <v>0</v>
      </c>
      <c r="Q7180" t="n">
        <v>0</v>
      </c>
      <c r="R7180" s="2" t="inlineStr"/>
    </row>
    <row r="7181" ht="15" customHeight="1">
      <c r="A7181" t="inlineStr">
        <is>
          <t>A 54797-2025</t>
        </is>
      </c>
      <c r="B7181" s="1" t="n">
        <v>45966.63638888889</v>
      </c>
      <c r="C7181" s="1" t="n">
        <v>46075</v>
      </c>
      <c r="D7181" t="inlineStr">
        <is>
          <t>VÄSTERBOTTENS LÄN</t>
        </is>
      </c>
      <c r="E7181" t="inlineStr">
        <is>
          <t>UMEÅ</t>
        </is>
      </c>
      <c r="G7181" t="n">
        <v>7</v>
      </c>
      <c r="H7181" t="n">
        <v>0</v>
      </c>
      <c r="I7181" t="n">
        <v>0</v>
      </c>
      <c r="J7181" t="n">
        <v>0</v>
      </c>
      <c r="K7181" t="n">
        <v>0</v>
      </c>
      <c r="L7181" t="n">
        <v>0</v>
      </c>
      <c r="M7181" t="n">
        <v>0</v>
      </c>
      <c r="N7181" t="n">
        <v>0</v>
      </c>
      <c r="O7181" t="n">
        <v>0</v>
      </c>
      <c r="P7181" t="n">
        <v>0</v>
      </c>
      <c r="Q7181" t="n">
        <v>0</v>
      </c>
      <c r="R7181" s="2" t="inlineStr"/>
    </row>
    <row r="7182" ht="15" customHeight="1">
      <c r="A7182" t="inlineStr">
        <is>
          <t>A 54180-2025</t>
        </is>
      </c>
      <c r="B7182" s="1" t="n">
        <v>45964</v>
      </c>
      <c r="C7182" s="1" t="n">
        <v>46075</v>
      </c>
      <c r="D7182" t="inlineStr">
        <is>
          <t>VÄSTERBOTTENS LÄN</t>
        </is>
      </c>
      <c r="E7182" t="inlineStr">
        <is>
          <t>SKELLEFTEÅ</t>
        </is>
      </c>
      <c r="G7182" t="n">
        <v>6.9</v>
      </c>
      <c r="H7182" t="n">
        <v>0</v>
      </c>
      <c r="I7182" t="n">
        <v>0</v>
      </c>
      <c r="J7182" t="n">
        <v>0</v>
      </c>
      <c r="K7182" t="n">
        <v>0</v>
      </c>
      <c r="L7182" t="n">
        <v>0</v>
      </c>
      <c r="M7182" t="n">
        <v>0</v>
      </c>
      <c r="N7182" t="n">
        <v>0</v>
      </c>
      <c r="O7182" t="n">
        <v>0</v>
      </c>
      <c r="P7182" t="n">
        <v>0</v>
      </c>
      <c r="Q7182" t="n">
        <v>0</v>
      </c>
      <c r="R7182" s="2" t="inlineStr"/>
    </row>
    <row r="7183" ht="15" customHeight="1">
      <c r="A7183" t="inlineStr">
        <is>
          <t>A 47616-2023</t>
        </is>
      </c>
      <c r="B7183" s="1" t="n">
        <v>45198</v>
      </c>
      <c r="C7183" s="1" t="n">
        <v>46075</v>
      </c>
      <c r="D7183" t="inlineStr">
        <is>
          <t>VÄSTERBOTTENS LÄN</t>
        </is>
      </c>
      <c r="E7183" t="inlineStr">
        <is>
          <t>ÅSELE</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32854-2024</t>
        </is>
      </c>
      <c r="B7184" s="1" t="n">
        <v>45516.63974537037</v>
      </c>
      <c r="C7184" s="1" t="n">
        <v>46075</v>
      </c>
      <c r="D7184" t="inlineStr">
        <is>
          <t>VÄSTERBOTTENS LÄN</t>
        </is>
      </c>
      <c r="E7184" t="inlineStr">
        <is>
          <t>LYCKSELE</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33879-2024</t>
        </is>
      </c>
      <c r="B7185" s="1" t="n">
        <v>45522.50731481481</v>
      </c>
      <c r="C7185" s="1" t="n">
        <v>46075</v>
      </c>
      <c r="D7185" t="inlineStr">
        <is>
          <t>VÄSTERBOTTENS LÄN</t>
        </is>
      </c>
      <c r="E7185" t="inlineStr">
        <is>
          <t>STORUMAN</t>
        </is>
      </c>
      <c r="F7185" t="inlineStr">
        <is>
          <t>Holmen skog AB</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54846-2025</t>
        </is>
      </c>
      <c r="B7186" s="1" t="n">
        <v>45966.70601851852</v>
      </c>
      <c r="C7186" s="1" t="n">
        <v>46075</v>
      </c>
      <c r="D7186" t="inlineStr">
        <is>
          <t>VÄSTERBOTTENS LÄN</t>
        </is>
      </c>
      <c r="E7186" t="inlineStr">
        <is>
          <t>ÅSELE</t>
        </is>
      </c>
      <c r="F7186" t="inlineStr">
        <is>
          <t>Sveaskog</t>
        </is>
      </c>
      <c r="G7186" t="n">
        <v>21.9</v>
      </c>
      <c r="H7186" t="n">
        <v>0</v>
      </c>
      <c r="I7186" t="n">
        <v>0</v>
      </c>
      <c r="J7186" t="n">
        <v>0</v>
      </c>
      <c r="K7186" t="n">
        <v>0</v>
      </c>
      <c r="L7186" t="n">
        <v>0</v>
      </c>
      <c r="M7186" t="n">
        <v>0</v>
      </c>
      <c r="N7186" t="n">
        <v>0</v>
      </c>
      <c r="O7186" t="n">
        <v>0</v>
      </c>
      <c r="P7186" t="n">
        <v>0</v>
      </c>
      <c r="Q7186" t="n">
        <v>0</v>
      </c>
      <c r="R7186" s="2" t="inlineStr"/>
    </row>
    <row r="7187" ht="15" customHeight="1">
      <c r="A7187" t="inlineStr">
        <is>
          <t>A 54849-2025</t>
        </is>
      </c>
      <c r="B7187" s="1" t="n">
        <v>45966.71070601852</v>
      </c>
      <c r="C7187" s="1" t="n">
        <v>46075</v>
      </c>
      <c r="D7187" t="inlineStr">
        <is>
          <t>VÄSTERBOTTENS LÄN</t>
        </is>
      </c>
      <c r="E7187" t="inlineStr">
        <is>
          <t>ÅSELE</t>
        </is>
      </c>
      <c r="F7187" t="inlineStr">
        <is>
          <t>Sveaskog</t>
        </is>
      </c>
      <c r="G7187" t="n">
        <v>19.3</v>
      </c>
      <c r="H7187" t="n">
        <v>0</v>
      </c>
      <c r="I7187" t="n">
        <v>0</v>
      </c>
      <c r="J7187" t="n">
        <v>0</v>
      </c>
      <c r="K7187" t="n">
        <v>0</v>
      </c>
      <c r="L7187" t="n">
        <v>0</v>
      </c>
      <c r="M7187" t="n">
        <v>0</v>
      </c>
      <c r="N7187" t="n">
        <v>0</v>
      </c>
      <c r="O7187" t="n">
        <v>0</v>
      </c>
      <c r="P7187" t="n">
        <v>0</v>
      </c>
      <c r="Q7187" t="n">
        <v>0</v>
      </c>
      <c r="R7187" s="2" t="inlineStr"/>
    </row>
    <row r="7188" ht="15" customHeight="1">
      <c r="A7188" t="inlineStr">
        <is>
          <t>A 54745-2025</t>
        </is>
      </c>
      <c r="B7188" s="1" t="n">
        <v>45966</v>
      </c>
      <c r="C7188" s="1" t="n">
        <v>46075</v>
      </c>
      <c r="D7188" t="inlineStr">
        <is>
          <t>VÄSTERBOTTENS LÄN</t>
        </is>
      </c>
      <c r="E7188" t="inlineStr">
        <is>
          <t>NORSJÖ</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45192-2024</t>
        </is>
      </c>
      <c r="B7189" s="1" t="n">
        <v>45575.67871527778</v>
      </c>
      <c r="C7189" s="1" t="n">
        <v>46075</v>
      </c>
      <c r="D7189" t="inlineStr">
        <is>
          <t>VÄSTERBOTTENS LÄN</t>
        </is>
      </c>
      <c r="E7189" t="inlineStr">
        <is>
          <t>VINDELN</t>
        </is>
      </c>
      <c r="G7189" t="n">
        <v>9.199999999999999</v>
      </c>
      <c r="H7189" t="n">
        <v>0</v>
      </c>
      <c r="I7189" t="n">
        <v>0</v>
      </c>
      <c r="J7189" t="n">
        <v>0</v>
      </c>
      <c r="K7189" t="n">
        <v>0</v>
      </c>
      <c r="L7189" t="n">
        <v>0</v>
      </c>
      <c r="M7189" t="n">
        <v>0</v>
      </c>
      <c r="N7189" t="n">
        <v>0</v>
      </c>
      <c r="O7189" t="n">
        <v>0</v>
      </c>
      <c r="P7189" t="n">
        <v>0</v>
      </c>
      <c r="Q7189" t="n">
        <v>0</v>
      </c>
      <c r="R7189" s="2" t="inlineStr"/>
    </row>
    <row r="7190" ht="15" customHeight="1">
      <c r="A7190" t="inlineStr">
        <is>
          <t>A 54748-2025</t>
        </is>
      </c>
      <c r="B7190" s="1" t="n">
        <v>45966</v>
      </c>
      <c r="C7190" s="1" t="n">
        <v>46075</v>
      </c>
      <c r="D7190" t="inlineStr">
        <is>
          <t>VÄSTERBOTTENS LÄN</t>
        </is>
      </c>
      <c r="E7190" t="inlineStr">
        <is>
          <t>NORSJÖ</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54756-2025</t>
        </is>
      </c>
      <c r="B7191" s="1" t="n">
        <v>45966</v>
      </c>
      <c r="C7191" s="1" t="n">
        <v>46075</v>
      </c>
      <c r="D7191" t="inlineStr">
        <is>
          <t>VÄSTERBOTTENS LÄN</t>
        </is>
      </c>
      <c r="E7191" t="inlineStr">
        <is>
          <t>NORSJÖ</t>
        </is>
      </c>
      <c r="G7191" t="n">
        <v>17.5</v>
      </c>
      <c r="H7191" t="n">
        <v>0</v>
      </c>
      <c r="I7191" t="n">
        <v>0</v>
      </c>
      <c r="J7191" t="n">
        <v>0</v>
      </c>
      <c r="K7191" t="n">
        <v>0</v>
      </c>
      <c r="L7191" t="n">
        <v>0</v>
      </c>
      <c r="M7191" t="n">
        <v>0</v>
      </c>
      <c r="N7191" t="n">
        <v>0</v>
      </c>
      <c r="O7191" t="n">
        <v>0</v>
      </c>
      <c r="P7191" t="n">
        <v>0</v>
      </c>
      <c r="Q7191" t="n">
        <v>0</v>
      </c>
      <c r="R7191" s="2" t="inlineStr"/>
    </row>
    <row r="7192" ht="15" customHeight="1">
      <c r="A7192" t="inlineStr">
        <is>
          <t>A 56879-2021</t>
        </is>
      </c>
      <c r="B7192" s="1" t="n">
        <v>44481</v>
      </c>
      <c r="C7192" s="1" t="n">
        <v>46075</v>
      </c>
      <c r="D7192" t="inlineStr">
        <is>
          <t>VÄSTERBOTTENS LÄN</t>
        </is>
      </c>
      <c r="E7192" t="inlineStr">
        <is>
          <t>STORUMAN</t>
        </is>
      </c>
      <c r="G7192" t="n">
        <v>32.2</v>
      </c>
      <c r="H7192" t="n">
        <v>0</v>
      </c>
      <c r="I7192" t="n">
        <v>0</v>
      </c>
      <c r="J7192" t="n">
        <v>0</v>
      </c>
      <c r="K7192" t="n">
        <v>0</v>
      </c>
      <c r="L7192" t="n">
        <v>0</v>
      </c>
      <c r="M7192" t="n">
        <v>0</v>
      </c>
      <c r="N7192" t="n">
        <v>0</v>
      </c>
      <c r="O7192" t="n">
        <v>0</v>
      </c>
      <c r="P7192" t="n">
        <v>0</v>
      </c>
      <c r="Q7192" t="n">
        <v>0</v>
      </c>
      <c r="R7192" s="2" t="inlineStr"/>
    </row>
    <row r="7193" ht="15" customHeight="1">
      <c r="A7193" t="inlineStr">
        <is>
          <t>A 10586-2025</t>
        </is>
      </c>
      <c r="B7193" s="1" t="n">
        <v>45721.5528587963</v>
      </c>
      <c r="C7193" s="1" t="n">
        <v>46075</v>
      </c>
      <c r="D7193" t="inlineStr">
        <is>
          <t>VÄSTERBOTTENS LÄN</t>
        </is>
      </c>
      <c r="E7193" t="inlineStr">
        <is>
          <t>LYCKSELE</t>
        </is>
      </c>
      <c r="F7193" t="inlineStr">
        <is>
          <t>SCA</t>
        </is>
      </c>
      <c r="G7193" t="n">
        <v>6.1</v>
      </c>
      <c r="H7193" t="n">
        <v>0</v>
      </c>
      <c r="I7193" t="n">
        <v>0</v>
      </c>
      <c r="J7193" t="n">
        <v>0</v>
      </c>
      <c r="K7193" t="n">
        <v>0</v>
      </c>
      <c r="L7193" t="n">
        <v>0</v>
      </c>
      <c r="M7193" t="n">
        <v>0</v>
      </c>
      <c r="N7193" t="n">
        <v>0</v>
      </c>
      <c r="O7193" t="n">
        <v>0</v>
      </c>
      <c r="P7193" t="n">
        <v>0</v>
      </c>
      <c r="Q7193" t="n">
        <v>0</v>
      </c>
      <c r="R7193" s="2" t="inlineStr"/>
    </row>
    <row r="7194" ht="15" customHeight="1">
      <c r="A7194" t="inlineStr">
        <is>
          <t>A 54853-2025</t>
        </is>
      </c>
      <c r="B7194" s="1" t="n">
        <v>45966.72503472222</v>
      </c>
      <c r="C7194" s="1" t="n">
        <v>46075</v>
      </c>
      <c r="D7194" t="inlineStr">
        <is>
          <t>VÄSTERBOTTENS LÄN</t>
        </is>
      </c>
      <c r="E7194" t="inlineStr">
        <is>
          <t>ÅSELE</t>
        </is>
      </c>
      <c r="F7194" t="inlineStr">
        <is>
          <t>Sveaskog</t>
        </is>
      </c>
      <c r="G7194" t="n">
        <v>29.3</v>
      </c>
      <c r="H7194" t="n">
        <v>0</v>
      </c>
      <c r="I7194" t="n">
        <v>0</v>
      </c>
      <c r="J7194" t="n">
        <v>0</v>
      </c>
      <c r="K7194" t="n">
        <v>0</v>
      </c>
      <c r="L7194" t="n">
        <v>0</v>
      </c>
      <c r="M7194" t="n">
        <v>0</v>
      </c>
      <c r="N7194" t="n">
        <v>0</v>
      </c>
      <c r="O7194" t="n">
        <v>0</v>
      </c>
      <c r="P7194" t="n">
        <v>0</v>
      </c>
      <c r="Q7194" t="n">
        <v>0</v>
      </c>
      <c r="R7194" s="2" t="inlineStr"/>
    </row>
    <row r="7195" ht="15" customHeight="1">
      <c r="A7195" t="inlineStr">
        <is>
          <t>A 13756-2025</t>
        </is>
      </c>
      <c r="B7195" s="1" t="n">
        <v>45737.41623842593</v>
      </c>
      <c r="C7195" s="1" t="n">
        <v>46075</v>
      </c>
      <c r="D7195" t="inlineStr">
        <is>
          <t>VÄSTERBOTTENS LÄN</t>
        </is>
      </c>
      <c r="E7195" t="inlineStr">
        <is>
          <t>VINDELN</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54738-2025</t>
        </is>
      </c>
      <c r="B7196" s="1" t="n">
        <v>45966</v>
      </c>
      <c r="C7196" s="1" t="n">
        <v>46075</v>
      </c>
      <c r="D7196" t="inlineStr">
        <is>
          <t>VÄSTERBOTTENS LÄN</t>
        </is>
      </c>
      <c r="E7196" t="inlineStr">
        <is>
          <t>VILHELMINA</t>
        </is>
      </c>
      <c r="G7196" t="n">
        <v>6.6</v>
      </c>
      <c r="H7196" t="n">
        <v>0</v>
      </c>
      <c r="I7196" t="n">
        <v>0</v>
      </c>
      <c r="J7196" t="n">
        <v>0</v>
      </c>
      <c r="K7196" t="n">
        <v>0</v>
      </c>
      <c r="L7196" t="n">
        <v>0</v>
      </c>
      <c r="M7196" t="n">
        <v>0</v>
      </c>
      <c r="N7196" t="n">
        <v>0</v>
      </c>
      <c r="O7196" t="n">
        <v>0</v>
      </c>
      <c r="P7196" t="n">
        <v>0</v>
      </c>
      <c r="Q7196" t="n">
        <v>0</v>
      </c>
      <c r="R7196" s="2" t="inlineStr"/>
    </row>
    <row r="7197" ht="15" customHeight="1">
      <c r="A7197" t="inlineStr">
        <is>
          <t>A 59486-2025</t>
        </is>
      </c>
      <c r="B7197" s="1" t="n">
        <v>45989</v>
      </c>
      <c r="C7197" s="1" t="n">
        <v>46075</v>
      </c>
      <c r="D7197" t="inlineStr">
        <is>
          <t>VÄSTERBOTTENS LÄN</t>
        </is>
      </c>
      <c r="E7197" t="inlineStr">
        <is>
          <t>VILHELMINA</t>
        </is>
      </c>
      <c r="G7197" t="n">
        <v>6.8</v>
      </c>
      <c r="H7197" t="n">
        <v>0</v>
      </c>
      <c r="I7197" t="n">
        <v>0</v>
      </c>
      <c r="J7197" t="n">
        <v>0</v>
      </c>
      <c r="K7197" t="n">
        <v>0</v>
      </c>
      <c r="L7197" t="n">
        <v>0</v>
      </c>
      <c r="M7197" t="n">
        <v>0</v>
      </c>
      <c r="N7197" t="n">
        <v>0</v>
      </c>
      <c r="O7197" t="n">
        <v>0</v>
      </c>
      <c r="P7197" t="n">
        <v>0</v>
      </c>
      <c r="Q7197" t="n">
        <v>0</v>
      </c>
      <c r="R7197" s="2" t="inlineStr"/>
    </row>
    <row r="7198" ht="15" customHeight="1">
      <c r="A7198" t="inlineStr">
        <is>
          <t>A 59501-2025</t>
        </is>
      </c>
      <c r="B7198" s="1" t="n">
        <v>45989</v>
      </c>
      <c r="C7198" s="1" t="n">
        <v>46075</v>
      </c>
      <c r="D7198" t="inlineStr">
        <is>
          <t>VÄSTERBOTTENS LÄN</t>
        </is>
      </c>
      <c r="E7198" t="inlineStr">
        <is>
          <t>VILHELMINA</t>
        </is>
      </c>
      <c r="F7198" t="inlineStr">
        <is>
          <t>Allmännings- och besparingsskogar</t>
        </is>
      </c>
      <c r="G7198" t="n">
        <v>62.2</v>
      </c>
      <c r="H7198" t="n">
        <v>0</v>
      </c>
      <c r="I7198" t="n">
        <v>0</v>
      </c>
      <c r="J7198" t="n">
        <v>0</v>
      </c>
      <c r="K7198" t="n">
        <v>0</v>
      </c>
      <c r="L7198" t="n">
        <v>0</v>
      </c>
      <c r="M7198" t="n">
        <v>0</v>
      </c>
      <c r="N7198" t="n">
        <v>0</v>
      </c>
      <c r="O7198" t="n">
        <v>0</v>
      </c>
      <c r="P7198" t="n">
        <v>0</v>
      </c>
      <c r="Q7198" t="n">
        <v>0</v>
      </c>
      <c r="R7198" s="2" t="inlineStr"/>
    </row>
    <row r="7199" ht="15" customHeight="1">
      <c r="A7199" t="inlineStr">
        <is>
          <t>A 54607-2025</t>
        </is>
      </c>
      <c r="B7199" s="1" t="n">
        <v>45966.30361111111</v>
      </c>
      <c r="C7199" s="1" t="n">
        <v>46075</v>
      </c>
      <c r="D7199" t="inlineStr">
        <is>
          <t>VÄSTERBOTTENS LÄN</t>
        </is>
      </c>
      <c r="E7199" t="inlineStr">
        <is>
          <t>ROBERTSFORS</t>
        </is>
      </c>
      <c r="F7199" t="inlineStr">
        <is>
          <t>Holmen skog AB</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27568-2023</t>
        </is>
      </c>
      <c r="B7200" s="1" t="n">
        <v>45092</v>
      </c>
      <c r="C7200" s="1" t="n">
        <v>46075</v>
      </c>
      <c r="D7200" t="inlineStr">
        <is>
          <t>VÄSTERBOTTENS LÄN</t>
        </is>
      </c>
      <c r="E7200" t="inlineStr">
        <is>
          <t>NORDMALING</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54889-2025</t>
        </is>
      </c>
      <c r="B7201" s="1" t="n">
        <v>45967</v>
      </c>
      <c r="C7201" s="1" t="n">
        <v>46075</v>
      </c>
      <c r="D7201" t="inlineStr">
        <is>
          <t>VÄSTERBOTTENS LÄN</t>
        </is>
      </c>
      <c r="E7201" t="inlineStr">
        <is>
          <t>SKELLEFTEÅ</t>
        </is>
      </c>
      <c r="G7201" t="n">
        <v>2.8</v>
      </c>
      <c r="H7201" t="n">
        <v>0</v>
      </c>
      <c r="I7201" t="n">
        <v>0</v>
      </c>
      <c r="J7201" t="n">
        <v>0</v>
      </c>
      <c r="K7201" t="n">
        <v>0</v>
      </c>
      <c r="L7201" t="n">
        <v>0</v>
      </c>
      <c r="M7201" t="n">
        <v>0</v>
      </c>
      <c r="N7201" t="n">
        <v>0</v>
      </c>
      <c r="O7201" t="n">
        <v>0</v>
      </c>
      <c r="P7201" t="n">
        <v>0</v>
      </c>
      <c r="Q7201" t="n">
        <v>0</v>
      </c>
      <c r="R7201" s="2" t="inlineStr"/>
    </row>
    <row r="7202" ht="15" customHeight="1">
      <c r="A7202" t="inlineStr">
        <is>
          <t>A 54277-2024</t>
        </is>
      </c>
      <c r="B7202" s="1" t="n">
        <v>45616.8405324074</v>
      </c>
      <c r="C7202" s="1" t="n">
        <v>46075</v>
      </c>
      <c r="D7202" t="inlineStr">
        <is>
          <t>VÄSTERBOTTENS LÄN</t>
        </is>
      </c>
      <c r="E7202" t="inlineStr">
        <is>
          <t>LYCKSELE</t>
        </is>
      </c>
      <c r="F7202" t="inlineStr">
        <is>
          <t>Sveaskog</t>
        </is>
      </c>
      <c r="G7202" t="n">
        <v>3.3</v>
      </c>
      <c r="H7202" t="n">
        <v>0</v>
      </c>
      <c r="I7202" t="n">
        <v>0</v>
      </c>
      <c r="J7202" t="n">
        <v>0</v>
      </c>
      <c r="K7202" t="n">
        <v>0</v>
      </c>
      <c r="L7202" t="n">
        <v>0</v>
      </c>
      <c r="M7202" t="n">
        <v>0</v>
      </c>
      <c r="N7202" t="n">
        <v>0</v>
      </c>
      <c r="O7202" t="n">
        <v>0</v>
      </c>
      <c r="P7202" t="n">
        <v>0</v>
      </c>
      <c r="Q7202" t="n">
        <v>0</v>
      </c>
      <c r="R7202" s="2" t="inlineStr"/>
    </row>
    <row r="7203" ht="15" customHeight="1">
      <c r="A7203" t="inlineStr">
        <is>
          <t>A 54921-2025</t>
        </is>
      </c>
      <c r="B7203" s="1" t="n">
        <v>45967.39020833333</v>
      </c>
      <c r="C7203" s="1" t="n">
        <v>46075</v>
      </c>
      <c r="D7203" t="inlineStr">
        <is>
          <t>VÄSTERBOTTENS LÄN</t>
        </is>
      </c>
      <c r="E7203" t="inlineStr">
        <is>
          <t>SKELLEFTEÅ</t>
        </is>
      </c>
      <c r="G7203" t="n">
        <v>3.2</v>
      </c>
      <c r="H7203" t="n">
        <v>0</v>
      </c>
      <c r="I7203" t="n">
        <v>0</v>
      </c>
      <c r="J7203" t="n">
        <v>0</v>
      </c>
      <c r="K7203" t="n">
        <v>0</v>
      </c>
      <c r="L7203" t="n">
        <v>0</v>
      </c>
      <c r="M7203" t="n">
        <v>0</v>
      </c>
      <c r="N7203" t="n">
        <v>0</v>
      </c>
      <c r="O7203" t="n">
        <v>0</v>
      </c>
      <c r="P7203" t="n">
        <v>0</v>
      </c>
      <c r="Q7203" t="n">
        <v>0</v>
      </c>
      <c r="R7203" s="2" t="inlineStr"/>
    </row>
    <row r="7204" ht="15" customHeight="1">
      <c r="A7204" t="inlineStr">
        <is>
          <t>A 11246-2025</t>
        </is>
      </c>
      <c r="B7204" s="1" t="n">
        <v>45726.38585648148</v>
      </c>
      <c r="C7204" s="1" t="n">
        <v>46075</v>
      </c>
      <c r="D7204" t="inlineStr">
        <is>
          <t>VÄSTERBOTTENS LÄN</t>
        </is>
      </c>
      <c r="E7204" t="inlineStr">
        <is>
          <t>STORUMAN</t>
        </is>
      </c>
      <c r="G7204" t="n">
        <v>7.5</v>
      </c>
      <c r="H7204" t="n">
        <v>0</v>
      </c>
      <c r="I7204" t="n">
        <v>0</v>
      </c>
      <c r="J7204" t="n">
        <v>0</v>
      </c>
      <c r="K7204" t="n">
        <v>0</v>
      </c>
      <c r="L7204" t="n">
        <v>0</v>
      </c>
      <c r="M7204" t="n">
        <v>0</v>
      </c>
      <c r="N7204" t="n">
        <v>0</v>
      </c>
      <c r="O7204" t="n">
        <v>0</v>
      </c>
      <c r="P7204" t="n">
        <v>0</v>
      </c>
      <c r="Q7204" t="n">
        <v>0</v>
      </c>
      <c r="R7204" s="2" t="inlineStr"/>
    </row>
    <row r="7205" ht="15" customHeight="1">
      <c r="A7205" t="inlineStr">
        <is>
          <t>A 11349-2025</t>
        </is>
      </c>
      <c r="B7205" s="1" t="n">
        <v>45726.51075231482</v>
      </c>
      <c r="C7205" s="1" t="n">
        <v>46075</v>
      </c>
      <c r="D7205" t="inlineStr">
        <is>
          <t>VÄSTERBOTTENS LÄN</t>
        </is>
      </c>
      <c r="E7205" t="inlineStr">
        <is>
          <t>DOROTEA</t>
        </is>
      </c>
      <c r="F7205" t="inlineStr">
        <is>
          <t>SCA</t>
        </is>
      </c>
      <c r="G7205" t="n">
        <v>12.4</v>
      </c>
      <c r="H7205" t="n">
        <v>0</v>
      </c>
      <c r="I7205" t="n">
        <v>0</v>
      </c>
      <c r="J7205" t="n">
        <v>0</v>
      </c>
      <c r="K7205" t="n">
        <v>0</v>
      </c>
      <c r="L7205" t="n">
        <v>0</v>
      </c>
      <c r="M7205" t="n">
        <v>0</v>
      </c>
      <c r="N7205" t="n">
        <v>0</v>
      </c>
      <c r="O7205" t="n">
        <v>0</v>
      </c>
      <c r="P7205" t="n">
        <v>0</v>
      </c>
      <c r="Q7205" t="n">
        <v>0</v>
      </c>
      <c r="R7205" s="2" t="inlineStr"/>
    </row>
    <row r="7206" ht="15" customHeight="1">
      <c r="A7206" t="inlineStr">
        <is>
          <t>A 54800-2025</t>
        </is>
      </c>
      <c r="B7206" s="1" t="n">
        <v>45966.63836805556</v>
      </c>
      <c r="C7206" s="1" t="n">
        <v>46075</v>
      </c>
      <c r="D7206" t="inlineStr">
        <is>
          <t>VÄSTERBOTTENS LÄN</t>
        </is>
      </c>
      <c r="E7206" t="inlineStr">
        <is>
          <t>NORDMALING</t>
        </is>
      </c>
      <c r="G7206" t="n">
        <v>8.199999999999999</v>
      </c>
      <c r="H7206" t="n">
        <v>0</v>
      </c>
      <c r="I7206" t="n">
        <v>0</v>
      </c>
      <c r="J7206" t="n">
        <v>0</v>
      </c>
      <c r="K7206" t="n">
        <v>0</v>
      </c>
      <c r="L7206" t="n">
        <v>0</v>
      </c>
      <c r="M7206" t="n">
        <v>0</v>
      </c>
      <c r="N7206" t="n">
        <v>0</v>
      </c>
      <c r="O7206" t="n">
        <v>0</v>
      </c>
      <c r="P7206" t="n">
        <v>0</v>
      </c>
      <c r="Q7206" t="n">
        <v>0</v>
      </c>
      <c r="R7206" s="2" t="inlineStr"/>
    </row>
    <row r="7207" ht="15" customHeight="1">
      <c r="A7207" t="inlineStr">
        <is>
          <t>A 59494-2025</t>
        </is>
      </c>
      <c r="B7207" s="1" t="n">
        <v>45989</v>
      </c>
      <c r="C7207" s="1" t="n">
        <v>46075</v>
      </c>
      <c r="D7207" t="inlineStr">
        <is>
          <t>VÄSTERBOTTENS LÄN</t>
        </is>
      </c>
      <c r="E7207" t="inlineStr">
        <is>
          <t>VILHELMINA</t>
        </is>
      </c>
      <c r="F7207" t="inlineStr">
        <is>
          <t>Allmännings- och besparingsskogar</t>
        </is>
      </c>
      <c r="G7207" t="n">
        <v>36.7</v>
      </c>
      <c r="H7207" t="n">
        <v>0</v>
      </c>
      <c r="I7207" t="n">
        <v>0</v>
      </c>
      <c r="J7207" t="n">
        <v>0</v>
      </c>
      <c r="K7207" t="n">
        <v>0</v>
      </c>
      <c r="L7207" t="n">
        <v>0</v>
      </c>
      <c r="M7207" t="n">
        <v>0</v>
      </c>
      <c r="N7207" t="n">
        <v>0</v>
      </c>
      <c r="O7207" t="n">
        <v>0</v>
      </c>
      <c r="P7207" t="n">
        <v>0</v>
      </c>
      <c r="Q7207" t="n">
        <v>0</v>
      </c>
      <c r="R7207" s="2" t="inlineStr"/>
    </row>
    <row r="7208" ht="15" customHeight="1">
      <c r="A7208" t="inlineStr">
        <is>
          <t>A 55051-2025</t>
        </is>
      </c>
      <c r="B7208" s="1" t="n">
        <v>45967.67128472222</v>
      </c>
      <c r="C7208" s="1" t="n">
        <v>46075</v>
      </c>
      <c r="D7208" t="inlineStr">
        <is>
          <t>VÄSTERBOTTENS LÄN</t>
        </is>
      </c>
      <c r="E7208" t="inlineStr">
        <is>
          <t>SKELLEFTEÅ</t>
        </is>
      </c>
      <c r="F7208" t="inlineStr">
        <is>
          <t>Sveaskog</t>
        </is>
      </c>
      <c r="G7208" t="n">
        <v>4.8</v>
      </c>
      <c r="H7208" t="n">
        <v>0</v>
      </c>
      <c r="I7208" t="n">
        <v>0</v>
      </c>
      <c r="J7208" t="n">
        <v>0</v>
      </c>
      <c r="K7208" t="n">
        <v>0</v>
      </c>
      <c r="L7208" t="n">
        <v>0</v>
      </c>
      <c r="M7208" t="n">
        <v>0</v>
      </c>
      <c r="N7208" t="n">
        <v>0</v>
      </c>
      <c r="O7208" t="n">
        <v>0</v>
      </c>
      <c r="P7208" t="n">
        <v>0</v>
      </c>
      <c r="Q7208" t="n">
        <v>0</v>
      </c>
      <c r="R7208" s="2" t="inlineStr"/>
    </row>
    <row r="7209" ht="15" customHeight="1">
      <c r="A7209" t="inlineStr">
        <is>
          <t>A 35731-2023</t>
        </is>
      </c>
      <c r="B7209" s="1" t="n">
        <v>45147</v>
      </c>
      <c r="C7209" s="1" t="n">
        <v>46075</v>
      </c>
      <c r="D7209" t="inlineStr">
        <is>
          <t>VÄSTERBOTTENS LÄN</t>
        </is>
      </c>
      <c r="E7209" t="inlineStr">
        <is>
          <t>SKELLEFTEÅ</t>
        </is>
      </c>
      <c r="G7209" t="n">
        <v>1.6</v>
      </c>
      <c r="H7209" t="n">
        <v>0</v>
      </c>
      <c r="I7209" t="n">
        <v>0</v>
      </c>
      <c r="J7209" t="n">
        <v>0</v>
      </c>
      <c r="K7209" t="n">
        <v>0</v>
      </c>
      <c r="L7209" t="n">
        <v>0</v>
      </c>
      <c r="M7209" t="n">
        <v>0</v>
      </c>
      <c r="N7209" t="n">
        <v>0</v>
      </c>
      <c r="O7209" t="n">
        <v>0</v>
      </c>
      <c r="P7209" t="n">
        <v>0</v>
      </c>
      <c r="Q7209" t="n">
        <v>0</v>
      </c>
      <c r="R7209" s="2" t="inlineStr"/>
    </row>
    <row r="7210" ht="15" customHeight="1">
      <c r="A7210" t="inlineStr">
        <is>
          <t>A 36493-2023</t>
        </is>
      </c>
      <c r="B7210" s="1" t="n">
        <v>45152.92484953703</v>
      </c>
      <c r="C7210" s="1" t="n">
        <v>46075</v>
      </c>
      <c r="D7210" t="inlineStr">
        <is>
          <t>VÄSTERBOTTENS LÄN</t>
        </is>
      </c>
      <c r="E7210" t="inlineStr">
        <is>
          <t>SKELLEFTEÅ</t>
        </is>
      </c>
      <c r="G7210" t="n">
        <v>11.1</v>
      </c>
      <c r="H7210" t="n">
        <v>0</v>
      </c>
      <c r="I7210" t="n">
        <v>0</v>
      </c>
      <c r="J7210" t="n">
        <v>0</v>
      </c>
      <c r="K7210" t="n">
        <v>0</v>
      </c>
      <c r="L7210" t="n">
        <v>0</v>
      </c>
      <c r="M7210" t="n">
        <v>0</v>
      </c>
      <c r="N7210" t="n">
        <v>0</v>
      </c>
      <c r="O7210" t="n">
        <v>0</v>
      </c>
      <c r="P7210" t="n">
        <v>0</v>
      </c>
      <c r="Q7210" t="n">
        <v>0</v>
      </c>
      <c r="R7210" s="2" t="inlineStr"/>
    </row>
    <row r="7211" ht="15" customHeight="1">
      <c r="A7211" t="inlineStr">
        <is>
          <t>A 36495-2023</t>
        </is>
      </c>
      <c r="B7211" s="1" t="n">
        <v>45152.92496527778</v>
      </c>
      <c r="C7211" s="1" t="n">
        <v>46075</v>
      </c>
      <c r="D7211" t="inlineStr">
        <is>
          <t>VÄSTERBOTTENS LÄN</t>
        </is>
      </c>
      <c r="E7211" t="inlineStr">
        <is>
          <t>SKELLEFTEÅ</t>
        </is>
      </c>
      <c r="G7211" t="n">
        <v>11.6</v>
      </c>
      <c r="H7211" t="n">
        <v>0</v>
      </c>
      <c r="I7211" t="n">
        <v>0</v>
      </c>
      <c r="J7211" t="n">
        <v>0</v>
      </c>
      <c r="K7211" t="n">
        <v>0</v>
      </c>
      <c r="L7211" t="n">
        <v>0</v>
      </c>
      <c r="M7211" t="n">
        <v>0</v>
      </c>
      <c r="N7211" t="n">
        <v>0</v>
      </c>
      <c r="O7211" t="n">
        <v>0</v>
      </c>
      <c r="P7211" t="n">
        <v>0</v>
      </c>
      <c r="Q7211" t="n">
        <v>0</v>
      </c>
      <c r="R7211" s="2" t="inlineStr"/>
    </row>
    <row r="7212" ht="15" customHeight="1">
      <c r="A7212" t="inlineStr">
        <is>
          <t>A 45407-2024</t>
        </is>
      </c>
      <c r="B7212" s="1" t="n">
        <v>45576.58652777778</v>
      </c>
      <c r="C7212" s="1" t="n">
        <v>46075</v>
      </c>
      <c r="D7212" t="inlineStr">
        <is>
          <t>VÄSTERBOTTENS LÄN</t>
        </is>
      </c>
      <c r="E7212" t="inlineStr">
        <is>
          <t>SKELLEFTEÅ</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54942-2025</t>
        </is>
      </c>
      <c r="B7213" s="1" t="n">
        <v>45967.44127314815</v>
      </c>
      <c r="C7213" s="1" t="n">
        <v>46075</v>
      </c>
      <c r="D7213" t="inlineStr">
        <is>
          <t>VÄSTERBOTTENS LÄN</t>
        </is>
      </c>
      <c r="E7213" t="inlineStr">
        <is>
          <t>LYCKSELE</t>
        </is>
      </c>
      <c r="F7213" t="inlineStr">
        <is>
          <t>Sveaskog</t>
        </is>
      </c>
      <c r="G7213" t="n">
        <v>3.2</v>
      </c>
      <c r="H7213" t="n">
        <v>0</v>
      </c>
      <c r="I7213" t="n">
        <v>0</v>
      </c>
      <c r="J7213" t="n">
        <v>0</v>
      </c>
      <c r="K7213" t="n">
        <v>0</v>
      </c>
      <c r="L7213" t="n">
        <v>0</v>
      </c>
      <c r="M7213" t="n">
        <v>0</v>
      </c>
      <c r="N7213" t="n">
        <v>0</v>
      </c>
      <c r="O7213" t="n">
        <v>0</v>
      </c>
      <c r="P7213" t="n">
        <v>0</v>
      </c>
      <c r="Q7213" t="n">
        <v>0</v>
      </c>
      <c r="R7213" s="2" t="inlineStr"/>
    </row>
    <row r="7214" ht="15" customHeight="1">
      <c r="A7214" t="inlineStr">
        <is>
          <t>A 54693-2025</t>
        </is>
      </c>
      <c r="B7214" s="1" t="n">
        <v>45966.46192129629</v>
      </c>
      <c r="C7214" s="1" t="n">
        <v>46075</v>
      </c>
      <c r="D7214" t="inlineStr">
        <is>
          <t>VÄSTERBOTTENS LÄN</t>
        </is>
      </c>
      <c r="E7214" t="inlineStr">
        <is>
          <t>UMEÅ</t>
        </is>
      </c>
      <c r="G7214" t="n">
        <v>2.8</v>
      </c>
      <c r="H7214" t="n">
        <v>0</v>
      </c>
      <c r="I7214" t="n">
        <v>0</v>
      </c>
      <c r="J7214" t="n">
        <v>0</v>
      </c>
      <c r="K7214" t="n">
        <v>0</v>
      </c>
      <c r="L7214" t="n">
        <v>0</v>
      </c>
      <c r="M7214" t="n">
        <v>0</v>
      </c>
      <c r="N7214" t="n">
        <v>0</v>
      </c>
      <c r="O7214" t="n">
        <v>0</v>
      </c>
      <c r="P7214" t="n">
        <v>0</v>
      </c>
      <c r="Q7214" t="n">
        <v>0</v>
      </c>
      <c r="R7214" s="2" t="inlineStr"/>
    </row>
    <row r="7215" ht="15" customHeight="1">
      <c r="A7215" t="inlineStr">
        <is>
          <t>A 54594-2025</t>
        </is>
      </c>
      <c r="B7215" s="1" t="n">
        <v>45965.7542824074</v>
      </c>
      <c r="C7215" s="1" t="n">
        <v>46075</v>
      </c>
      <c r="D7215" t="inlineStr">
        <is>
          <t>VÄSTERBOTTENS LÄN</t>
        </is>
      </c>
      <c r="E7215" t="inlineStr">
        <is>
          <t>ROBERTSFORS</t>
        </is>
      </c>
      <c r="G7215" t="n">
        <v>2.4</v>
      </c>
      <c r="H7215" t="n">
        <v>0</v>
      </c>
      <c r="I7215" t="n">
        <v>0</v>
      </c>
      <c r="J7215" t="n">
        <v>0</v>
      </c>
      <c r="K7215" t="n">
        <v>0</v>
      </c>
      <c r="L7215" t="n">
        <v>0</v>
      </c>
      <c r="M7215" t="n">
        <v>0</v>
      </c>
      <c r="N7215" t="n">
        <v>0</v>
      </c>
      <c r="O7215" t="n">
        <v>0</v>
      </c>
      <c r="P7215" t="n">
        <v>0</v>
      </c>
      <c r="Q7215" t="n">
        <v>0</v>
      </c>
      <c r="R7215" s="2" t="inlineStr"/>
    </row>
    <row r="7216" ht="15" customHeight="1">
      <c r="A7216" t="inlineStr">
        <is>
          <t>A 48654-2024</t>
        </is>
      </c>
      <c r="B7216" s="1" t="n">
        <v>45593</v>
      </c>
      <c r="C7216" s="1" t="n">
        <v>46075</v>
      </c>
      <c r="D7216" t="inlineStr">
        <is>
          <t>VÄSTERBOTTENS LÄN</t>
        </is>
      </c>
      <c r="E7216" t="inlineStr">
        <is>
          <t>STORUMAN</t>
        </is>
      </c>
      <c r="F7216" t="inlineStr">
        <is>
          <t>Allmännings- och besparingsskogar</t>
        </is>
      </c>
      <c r="G7216" t="n">
        <v>30.9</v>
      </c>
      <c r="H7216" t="n">
        <v>0</v>
      </c>
      <c r="I7216" t="n">
        <v>0</v>
      </c>
      <c r="J7216" t="n">
        <v>0</v>
      </c>
      <c r="K7216" t="n">
        <v>0</v>
      </c>
      <c r="L7216" t="n">
        <v>0</v>
      </c>
      <c r="M7216" t="n">
        <v>0</v>
      </c>
      <c r="N7216" t="n">
        <v>0</v>
      </c>
      <c r="O7216" t="n">
        <v>0</v>
      </c>
      <c r="P7216" t="n">
        <v>0</v>
      </c>
      <c r="Q7216" t="n">
        <v>0</v>
      </c>
      <c r="R7216" s="2" t="inlineStr"/>
    </row>
    <row r="7217" ht="15" customHeight="1">
      <c r="A7217" t="inlineStr">
        <is>
          <t>A 33157-2022</t>
        </is>
      </c>
      <c r="B7217" s="1" t="n">
        <v>44785</v>
      </c>
      <c r="C7217" s="1" t="n">
        <v>46075</v>
      </c>
      <c r="D7217" t="inlineStr">
        <is>
          <t>VÄSTERBOTTENS LÄN</t>
        </is>
      </c>
      <c r="E7217" t="inlineStr">
        <is>
          <t>BJURHOLM</t>
        </is>
      </c>
      <c r="F7217" t="inlineStr">
        <is>
          <t>Holmen skog AB</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54689-2025</t>
        </is>
      </c>
      <c r="B7218" s="1" t="n">
        <v>45966.45277777778</v>
      </c>
      <c r="C7218" s="1" t="n">
        <v>46075</v>
      </c>
      <c r="D7218" t="inlineStr">
        <is>
          <t>VÄSTERBOTTENS LÄN</t>
        </is>
      </c>
      <c r="E7218" t="inlineStr">
        <is>
          <t>STORUMAN</t>
        </is>
      </c>
      <c r="G7218" t="n">
        <v>10.3</v>
      </c>
      <c r="H7218" t="n">
        <v>0</v>
      </c>
      <c r="I7218" t="n">
        <v>0</v>
      </c>
      <c r="J7218" t="n">
        <v>0</v>
      </c>
      <c r="K7218" t="n">
        <v>0</v>
      </c>
      <c r="L7218" t="n">
        <v>0</v>
      </c>
      <c r="M7218" t="n">
        <v>0</v>
      </c>
      <c r="N7218" t="n">
        <v>0</v>
      </c>
      <c r="O7218" t="n">
        <v>0</v>
      </c>
      <c r="P7218" t="n">
        <v>0</v>
      </c>
      <c r="Q7218" t="n">
        <v>0</v>
      </c>
      <c r="R7218" s="2" t="inlineStr"/>
    </row>
    <row r="7219" ht="15" customHeight="1">
      <c r="A7219" t="inlineStr">
        <is>
          <t>A 38361-2023</t>
        </is>
      </c>
      <c r="B7219" s="1" t="n">
        <v>45161.94315972222</v>
      </c>
      <c r="C7219" s="1" t="n">
        <v>46075</v>
      </c>
      <c r="D7219" t="inlineStr">
        <is>
          <t>VÄSTERBOTTENS LÄN</t>
        </is>
      </c>
      <c r="E7219" t="inlineStr">
        <is>
          <t>VILHELMINA</t>
        </is>
      </c>
      <c r="F7219" t="inlineStr">
        <is>
          <t>SCA</t>
        </is>
      </c>
      <c r="G7219" t="n">
        <v>2.6</v>
      </c>
      <c r="H7219" t="n">
        <v>0</v>
      </c>
      <c r="I7219" t="n">
        <v>0</v>
      </c>
      <c r="J7219" t="n">
        <v>0</v>
      </c>
      <c r="K7219" t="n">
        <v>0</v>
      </c>
      <c r="L7219" t="n">
        <v>0</v>
      </c>
      <c r="M7219" t="n">
        <v>0</v>
      </c>
      <c r="N7219" t="n">
        <v>0</v>
      </c>
      <c r="O7219" t="n">
        <v>0</v>
      </c>
      <c r="P7219" t="n">
        <v>0</v>
      </c>
      <c r="Q7219" t="n">
        <v>0</v>
      </c>
      <c r="R7219" s="2" t="inlineStr"/>
    </row>
    <row r="7220" ht="15" customHeight="1">
      <c r="A7220" t="inlineStr">
        <is>
          <t>A 39589-2023</t>
        </is>
      </c>
      <c r="B7220" s="1" t="n">
        <v>45167.44805555556</v>
      </c>
      <c r="C7220" s="1" t="n">
        <v>46075</v>
      </c>
      <c r="D7220" t="inlineStr">
        <is>
          <t>VÄSTERBOTTENS LÄN</t>
        </is>
      </c>
      <c r="E7220" t="inlineStr">
        <is>
          <t>SKELLEFTEÅ</t>
        </is>
      </c>
      <c r="F7220" t="inlineStr">
        <is>
          <t>Holmen skog AB</t>
        </is>
      </c>
      <c r="G7220" t="n">
        <v>5.5</v>
      </c>
      <c r="H7220" t="n">
        <v>0</v>
      </c>
      <c r="I7220" t="n">
        <v>0</v>
      </c>
      <c r="J7220" t="n">
        <v>0</v>
      </c>
      <c r="K7220" t="n">
        <v>0</v>
      </c>
      <c r="L7220" t="n">
        <v>0</v>
      </c>
      <c r="M7220" t="n">
        <v>0</v>
      </c>
      <c r="N7220" t="n">
        <v>0</v>
      </c>
      <c r="O7220" t="n">
        <v>0</v>
      </c>
      <c r="P7220" t="n">
        <v>0</v>
      </c>
      <c r="Q7220" t="n">
        <v>0</v>
      </c>
      <c r="R7220" s="2" t="inlineStr"/>
    </row>
    <row r="7221" ht="15" customHeight="1">
      <c r="A7221" t="inlineStr">
        <is>
          <t>A 27088-2024</t>
        </is>
      </c>
      <c r="B7221" s="1" t="n">
        <v>45471.47892361111</v>
      </c>
      <c r="C7221" s="1" t="n">
        <v>46075</v>
      </c>
      <c r="D7221" t="inlineStr">
        <is>
          <t>VÄSTERBOTTENS LÄN</t>
        </is>
      </c>
      <c r="E7221" t="inlineStr">
        <is>
          <t>UMEÅ</t>
        </is>
      </c>
      <c r="F7221" t="inlineStr">
        <is>
          <t>Holmen skog AB</t>
        </is>
      </c>
      <c r="G7221" t="n">
        <v>6.6</v>
      </c>
      <c r="H7221" t="n">
        <v>0</v>
      </c>
      <c r="I7221" t="n">
        <v>0</v>
      </c>
      <c r="J7221" t="n">
        <v>0</v>
      </c>
      <c r="K7221" t="n">
        <v>0</v>
      </c>
      <c r="L7221" t="n">
        <v>0</v>
      </c>
      <c r="M7221" t="n">
        <v>0</v>
      </c>
      <c r="N7221" t="n">
        <v>0</v>
      </c>
      <c r="O7221" t="n">
        <v>0</v>
      </c>
      <c r="P7221" t="n">
        <v>0</v>
      </c>
      <c r="Q7221" t="n">
        <v>0</v>
      </c>
      <c r="R7221" s="2" t="inlineStr"/>
    </row>
    <row r="7222" ht="15" customHeight="1">
      <c r="A7222" t="inlineStr">
        <is>
          <t>A 54832-2025</t>
        </is>
      </c>
      <c r="B7222" s="1" t="n">
        <v>45966.67761574074</v>
      </c>
      <c r="C7222" s="1" t="n">
        <v>46075</v>
      </c>
      <c r="D7222" t="inlineStr">
        <is>
          <t>VÄSTERBOTTENS LÄN</t>
        </is>
      </c>
      <c r="E7222" t="inlineStr">
        <is>
          <t>ÅSELE</t>
        </is>
      </c>
      <c r="F7222" t="inlineStr">
        <is>
          <t>SCA</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54915-2025</t>
        </is>
      </c>
      <c r="B7223" s="1" t="n">
        <v>45967.38572916666</v>
      </c>
      <c r="C7223" s="1" t="n">
        <v>46075</v>
      </c>
      <c r="D7223" t="inlineStr">
        <is>
          <t>VÄSTERBOTTENS LÄN</t>
        </is>
      </c>
      <c r="E7223" t="inlineStr">
        <is>
          <t>SKELLEFTEÅ</t>
        </is>
      </c>
      <c r="G7223" t="n">
        <v>6.5</v>
      </c>
      <c r="H7223" t="n">
        <v>0</v>
      </c>
      <c r="I7223" t="n">
        <v>0</v>
      </c>
      <c r="J7223" t="n">
        <v>0</v>
      </c>
      <c r="K7223" t="n">
        <v>0</v>
      </c>
      <c r="L7223" t="n">
        <v>0</v>
      </c>
      <c r="M7223" t="n">
        <v>0</v>
      </c>
      <c r="N7223" t="n">
        <v>0</v>
      </c>
      <c r="O7223" t="n">
        <v>0</v>
      </c>
      <c r="P7223" t="n">
        <v>0</v>
      </c>
      <c r="Q7223" t="n">
        <v>0</v>
      </c>
      <c r="R7223" s="2" t="inlineStr"/>
    </row>
    <row r="7224" ht="15" customHeight="1">
      <c r="A7224" t="inlineStr">
        <is>
          <t>A 54920-2025</t>
        </is>
      </c>
      <c r="B7224" s="1" t="n">
        <v>45967.38887731481</v>
      </c>
      <c r="C7224" s="1" t="n">
        <v>46075</v>
      </c>
      <c r="D7224" t="inlineStr">
        <is>
          <t>VÄSTERBOTTENS LÄN</t>
        </is>
      </c>
      <c r="E7224" t="inlineStr">
        <is>
          <t>VILHELMINA</t>
        </is>
      </c>
      <c r="G7224" t="n">
        <v>28.1</v>
      </c>
      <c r="H7224" t="n">
        <v>0</v>
      </c>
      <c r="I7224" t="n">
        <v>0</v>
      </c>
      <c r="J7224" t="n">
        <v>0</v>
      </c>
      <c r="K7224" t="n">
        <v>0</v>
      </c>
      <c r="L7224" t="n">
        <v>0</v>
      </c>
      <c r="M7224" t="n">
        <v>0</v>
      </c>
      <c r="N7224" t="n">
        <v>0</v>
      </c>
      <c r="O7224" t="n">
        <v>0</v>
      </c>
      <c r="P7224" t="n">
        <v>0</v>
      </c>
      <c r="Q7224" t="n">
        <v>0</v>
      </c>
      <c r="R7224" s="2" t="inlineStr"/>
    </row>
    <row r="7225" ht="15" customHeight="1">
      <c r="A7225" t="inlineStr">
        <is>
          <t>A 22430-2021</t>
        </is>
      </c>
      <c r="B7225" s="1" t="n">
        <v>44326</v>
      </c>
      <c r="C7225" s="1" t="n">
        <v>46075</v>
      </c>
      <c r="D7225" t="inlineStr">
        <is>
          <t>VÄSTERBOTTENS LÄN</t>
        </is>
      </c>
      <c r="E7225" t="inlineStr">
        <is>
          <t>SORSELE</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54906-2025</t>
        </is>
      </c>
      <c r="B7226" s="1" t="n">
        <v>45967.37105324074</v>
      </c>
      <c r="C7226" s="1" t="n">
        <v>46075</v>
      </c>
      <c r="D7226" t="inlineStr">
        <is>
          <t>VÄSTERBOTTENS LÄN</t>
        </is>
      </c>
      <c r="E7226" t="inlineStr">
        <is>
          <t>LYCKSELE</t>
        </is>
      </c>
      <c r="G7226" t="n">
        <v>24.9</v>
      </c>
      <c r="H7226" t="n">
        <v>0</v>
      </c>
      <c r="I7226" t="n">
        <v>0</v>
      </c>
      <c r="J7226" t="n">
        <v>0</v>
      </c>
      <c r="K7226" t="n">
        <v>0</v>
      </c>
      <c r="L7226" t="n">
        <v>0</v>
      </c>
      <c r="M7226" t="n">
        <v>0</v>
      </c>
      <c r="N7226" t="n">
        <v>0</v>
      </c>
      <c r="O7226" t="n">
        <v>0</v>
      </c>
      <c r="P7226" t="n">
        <v>0</v>
      </c>
      <c r="Q7226" t="n">
        <v>0</v>
      </c>
      <c r="R7226" s="2" t="inlineStr"/>
    </row>
    <row r="7227" ht="15" customHeight="1">
      <c r="A7227" t="inlineStr">
        <is>
          <t>A 59289-2024</t>
        </is>
      </c>
      <c r="B7227" s="1" t="n">
        <v>45637.64994212963</v>
      </c>
      <c r="C7227" s="1" t="n">
        <v>46075</v>
      </c>
      <c r="D7227" t="inlineStr">
        <is>
          <t>VÄSTERBOTTENS LÄN</t>
        </is>
      </c>
      <c r="E7227" t="inlineStr">
        <is>
          <t>NORDMALING</t>
        </is>
      </c>
      <c r="G7227" t="n">
        <v>7.3</v>
      </c>
      <c r="H7227" t="n">
        <v>0</v>
      </c>
      <c r="I7227" t="n">
        <v>0</v>
      </c>
      <c r="J7227" t="n">
        <v>0</v>
      </c>
      <c r="K7227" t="n">
        <v>0</v>
      </c>
      <c r="L7227" t="n">
        <v>0</v>
      </c>
      <c r="M7227" t="n">
        <v>0</v>
      </c>
      <c r="N7227" t="n">
        <v>0</v>
      </c>
      <c r="O7227" t="n">
        <v>0</v>
      </c>
      <c r="P7227" t="n">
        <v>0</v>
      </c>
      <c r="Q7227" t="n">
        <v>0</v>
      </c>
      <c r="R7227" s="2" t="inlineStr"/>
    </row>
    <row r="7228" ht="15" customHeight="1">
      <c r="A7228" t="inlineStr">
        <is>
          <t>A 59376-2024</t>
        </is>
      </c>
      <c r="B7228" s="1" t="n">
        <v>45638.34984953704</v>
      </c>
      <c r="C7228" s="1" t="n">
        <v>46075</v>
      </c>
      <c r="D7228" t="inlineStr">
        <is>
          <t>VÄSTERBOTTENS LÄN</t>
        </is>
      </c>
      <c r="E7228" t="inlineStr">
        <is>
          <t>LYCKSELE</t>
        </is>
      </c>
      <c r="G7228" t="n">
        <v>2.4</v>
      </c>
      <c r="H7228" t="n">
        <v>0</v>
      </c>
      <c r="I7228" t="n">
        <v>0</v>
      </c>
      <c r="J7228" t="n">
        <v>0</v>
      </c>
      <c r="K7228" t="n">
        <v>0</v>
      </c>
      <c r="L7228" t="n">
        <v>0</v>
      </c>
      <c r="M7228" t="n">
        <v>0</v>
      </c>
      <c r="N7228" t="n">
        <v>0</v>
      </c>
      <c r="O7228" t="n">
        <v>0</v>
      </c>
      <c r="P7228" t="n">
        <v>0</v>
      </c>
      <c r="Q7228" t="n">
        <v>0</v>
      </c>
      <c r="R7228" s="2" t="inlineStr"/>
    </row>
    <row r="7229" ht="15" customHeight="1">
      <c r="A7229" t="inlineStr">
        <is>
          <t>A 54943-2025</t>
        </is>
      </c>
      <c r="B7229" s="1" t="n">
        <v>45967.44447916667</v>
      </c>
      <c r="C7229" s="1" t="n">
        <v>46075</v>
      </c>
      <c r="D7229" t="inlineStr">
        <is>
          <t>VÄSTERBOTTENS LÄN</t>
        </is>
      </c>
      <c r="E7229" t="inlineStr">
        <is>
          <t>LYCKSELE</t>
        </is>
      </c>
      <c r="F7229" t="inlineStr">
        <is>
          <t>Sveaskog</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54955-2025</t>
        </is>
      </c>
      <c r="B7230" s="1" t="n">
        <v>45967</v>
      </c>
      <c r="C7230" s="1" t="n">
        <v>46075</v>
      </c>
      <c r="D7230" t="inlineStr">
        <is>
          <t>VÄSTERBOTTENS LÄN</t>
        </is>
      </c>
      <c r="E7230" t="inlineStr">
        <is>
          <t>VILHELMINA</t>
        </is>
      </c>
      <c r="G7230" t="n">
        <v>15.6</v>
      </c>
      <c r="H7230" t="n">
        <v>0</v>
      </c>
      <c r="I7230" t="n">
        <v>0</v>
      </c>
      <c r="J7230" t="n">
        <v>0</v>
      </c>
      <c r="K7230" t="n">
        <v>0</v>
      </c>
      <c r="L7230" t="n">
        <v>0</v>
      </c>
      <c r="M7230" t="n">
        <v>0</v>
      </c>
      <c r="N7230" t="n">
        <v>0</v>
      </c>
      <c r="O7230" t="n">
        <v>0</v>
      </c>
      <c r="P7230" t="n">
        <v>0</v>
      </c>
      <c r="Q7230" t="n">
        <v>0</v>
      </c>
      <c r="R7230" s="2" t="inlineStr"/>
    </row>
    <row r="7231" ht="15" customHeight="1">
      <c r="A7231" t="inlineStr">
        <is>
          <t>A 55030-2025</t>
        </is>
      </c>
      <c r="B7231" s="1" t="n">
        <v>45967.64042824074</v>
      </c>
      <c r="C7231" s="1" t="n">
        <v>46075</v>
      </c>
      <c r="D7231" t="inlineStr">
        <is>
          <t>VÄSTERBOTTENS LÄN</t>
        </is>
      </c>
      <c r="E7231" t="inlineStr">
        <is>
          <t>SKELLEFTEÅ</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54760-2025</t>
        </is>
      </c>
      <c r="B7232" s="1" t="n">
        <v>45966.59900462963</v>
      </c>
      <c r="C7232" s="1" t="n">
        <v>46075</v>
      </c>
      <c r="D7232" t="inlineStr">
        <is>
          <t>VÄSTERBOTTENS LÄN</t>
        </is>
      </c>
      <c r="E7232" t="inlineStr">
        <is>
          <t>MALÅ</t>
        </is>
      </c>
      <c r="F7232" t="inlineStr">
        <is>
          <t>Sveaskog</t>
        </is>
      </c>
      <c r="G7232" t="n">
        <v>11.9</v>
      </c>
      <c r="H7232" t="n">
        <v>0</v>
      </c>
      <c r="I7232" t="n">
        <v>0</v>
      </c>
      <c r="J7232" t="n">
        <v>0</v>
      </c>
      <c r="K7232" t="n">
        <v>0</v>
      </c>
      <c r="L7232" t="n">
        <v>0</v>
      </c>
      <c r="M7232" t="n">
        <v>0</v>
      </c>
      <c r="N7232" t="n">
        <v>0</v>
      </c>
      <c r="O7232" t="n">
        <v>0</v>
      </c>
      <c r="P7232" t="n">
        <v>0</v>
      </c>
      <c r="Q7232" t="n">
        <v>0</v>
      </c>
      <c r="R7232" s="2" t="inlineStr"/>
    </row>
    <row r="7233" ht="15" customHeight="1">
      <c r="A7233" t="inlineStr">
        <is>
          <t>A 54623-2025</t>
        </is>
      </c>
      <c r="B7233" s="1" t="n">
        <v>45966.34535879629</v>
      </c>
      <c r="C7233" s="1" t="n">
        <v>46075</v>
      </c>
      <c r="D7233" t="inlineStr">
        <is>
          <t>VÄSTERBOTTENS LÄN</t>
        </is>
      </c>
      <c r="E7233" t="inlineStr">
        <is>
          <t>DOROTEA</t>
        </is>
      </c>
      <c r="F7233" t="inlineStr">
        <is>
          <t>SCA</t>
        </is>
      </c>
      <c r="G7233" t="n">
        <v>0.2</v>
      </c>
      <c r="H7233" t="n">
        <v>0</v>
      </c>
      <c r="I7233" t="n">
        <v>0</v>
      </c>
      <c r="J7233" t="n">
        <v>0</v>
      </c>
      <c r="K7233" t="n">
        <v>0</v>
      </c>
      <c r="L7233" t="n">
        <v>0</v>
      </c>
      <c r="M7233" t="n">
        <v>0</v>
      </c>
      <c r="N7233" t="n">
        <v>0</v>
      </c>
      <c r="O7233" t="n">
        <v>0</v>
      </c>
      <c r="P7233" t="n">
        <v>0</v>
      </c>
      <c r="Q7233" t="n">
        <v>0</v>
      </c>
      <c r="R7233" s="2" t="inlineStr"/>
    </row>
    <row r="7234" ht="15" customHeight="1">
      <c r="A7234" t="inlineStr">
        <is>
          <t>A 54811-2025</t>
        </is>
      </c>
      <c r="B7234" s="1" t="n">
        <v>45966.64833333333</v>
      </c>
      <c r="C7234" s="1" t="n">
        <v>46075</v>
      </c>
      <c r="D7234" t="inlineStr">
        <is>
          <t>VÄSTERBOTTENS LÄN</t>
        </is>
      </c>
      <c r="E7234" t="inlineStr">
        <is>
          <t>ÅSELE</t>
        </is>
      </c>
      <c r="F7234" t="inlineStr">
        <is>
          <t>Kommuner</t>
        </is>
      </c>
      <c r="G7234" t="n">
        <v>13.7</v>
      </c>
      <c r="H7234" t="n">
        <v>0</v>
      </c>
      <c r="I7234" t="n">
        <v>0</v>
      </c>
      <c r="J7234" t="n">
        <v>0</v>
      </c>
      <c r="K7234" t="n">
        <v>0</v>
      </c>
      <c r="L7234" t="n">
        <v>0</v>
      </c>
      <c r="M7234" t="n">
        <v>0</v>
      </c>
      <c r="N7234" t="n">
        <v>0</v>
      </c>
      <c r="O7234" t="n">
        <v>0</v>
      </c>
      <c r="P7234" t="n">
        <v>0</v>
      </c>
      <c r="Q7234" t="n">
        <v>0</v>
      </c>
      <c r="R7234" s="2" t="inlineStr"/>
    </row>
    <row r="7235" ht="15" customHeight="1">
      <c r="A7235" t="inlineStr">
        <is>
          <t>A 54624-2025</t>
        </is>
      </c>
      <c r="B7235" s="1" t="n">
        <v>45966.34540509259</v>
      </c>
      <c r="C7235" s="1" t="n">
        <v>46075</v>
      </c>
      <c r="D7235" t="inlineStr">
        <is>
          <t>VÄSTERBOTTENS LÄN</t>
        </is>
      </c>
      <c r="E7235" t="inlineStr">
        <is>
          <t>DOROTEA</t>
        </is>
      </c>
      <c r="F7235" t="inlineStr">
        <is>
          <t>SCA</t>
        </is>
      </c>
      <c r="G7235" t="n">
        <v>7.3</v>
      </c>
      <c r="H7235" t="n">
        <v>0</v>
      </c>
      <c r="I7235" t="n">
        <v>0</v>
      </c>
      <c r="J7235" t="n">
        <v>0</v>
      </c>
      <c r="K7235" t="n">
        <v>0</v>
      </c>
      <c r="L7235" t="n">
        <v>0</v>
      </c>
      <c r="M7235" t="n">
        <v>0</v>
      </c>
      <c r="N7235" t="n">
        <v>0</v>
      </c>
      <c r="O7235" t="n">
        <v>0</v>
      </c>
      <c r="P7235" t="n">
        <v>0</v>
      </c>
      <c r="Q7235" t="n">
        <v>0</v>
      </c>
      <c r="R7235" s="2" t="inlineStr"/>
    </row>
    <row r="7236" ht="15" customHeight="1">
      <c r="A7236" t="inlineStr">
        <is>
          <t>A 5006-2024</t>
        </is>
      </c>
      <c r="B7236" s="1" t="n">
        <v>45329</v>
      </c>
      <c r="C7236" s="1" t="n">
        <v>46075</v>
      </c>
      <c r="D7236" t="inlineStr">
        <is>
          <t>VÄSTERBOTTENS LÄN</t>
        </is>
      </c>
      <c r="E7236" t="inlineStr">
        <is>
          <t>ÅSELE</t>
        </is>
      </c>
      <c r="F7236" t="inlineStr">
        <is>
          <t>Övriga Aktiebolag</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55020-2025</t>
        </is>
      </c>
      <c r="B7237" s="1" t="n">
        <v>45967.62662037037</v>
      </c>
      <c r="C7237" s="1" t="n">
        <v>46075</v>
      </c>
      <c r="D7237" t="inlineStr">
        <is>
          <t>VÄSTERBOTTENS LÄN</t>
        </is>
      </c>
      <c r="E7237" t="inlineStr">
        <is>
          <t>SKELLEFTEÅ</t>
        </is>
      </c>
      <c r="G7237" t="n">
        <v>7.2</v>
      </c>
      <c r="H7237" t="n">
        <v>0</v>
      </c>
      <c r="I7237" t="n">
        <v>0</v>
      </c>
      <c r="J7237" t="n">
        <v>0</v>
      </c>
      <c r="K7237" t="n">
        <v>0</v>
      </c>
      <c r="L7237" t="n">
        <v>0</v>
      </c>
      <c r="M7237" t="n">
        <v>0</v>
      </c>
      <c r="N7237" t="n">
        <v>0</v>
      </c>
      <c r="O7237" t="n">
        <v>0</v>
      </c>
      <c r="P7237" t="n">
        <v>0</v>
      </c>
      <c r="Q7237" t="n">
        <v>0</v>
      </c>
      <c r="R7237" s="2" t="inlineStr"/>
    </row>
    <row r="7238" ht="15" customHeight="1">
      <c r="A7238" t="inlineStr">
        <is>
          <t>A 55031-2025</t>
        </is>
      </c>
      <c r="B7238" s="1" t="n">
        <v>45967.64045138889</v>
      </c>
      <c r="C7238" s="1" t="n">
        <v>46075</v>
      </c>
      <c r="D7238" t="inlineStr">
        <is>
          <t>VÄSTERBOTTENS LÄN</t>
        </is>
      </c>
      <c r="E7238" t="inlineStr">
        <is>
          <t>LYCKSELE</t>
        </is>
      </c>
      <c r="G7238" t="n">
        <v>7.1</v>
      </c>
      <c r="H7238" t="n">
        <v>0</v>
      </c>
      <c r="I7238" t="n">
        <v>0</v>
      </c>
      <c r="J7238" t="n">
        <v>0</v>
      </c>
      <c r="K7238" t="n">
        <v>0</v>
      </c>
      <c r="L7238" t="n">
        <v>0</v>
      </c>
      <c r="M7238" t="n">
        <v>0</v>
      </c>
      <c r="N7238" t="n">
        <v>0</v>
      </c>
      <c r="O7238" t="n">
        <v>0</v>
      </c>
      <c r="P7238" t="n">
        <v>0</v>
      </c>
      <c r="Q7238" t="n">
        <v>0</v>
      </c>
      <c r="R7238" s="2" t="inlineStr"/>
    </row>
    <row r="7239" ht="15" customHeight="1">
      <c r="A7239" t="inlineStr">
        <is>
          <t>A 54742-2025</t>
        </is>
      </c>
      <c r="B7239" s="1" t="n">
        <v>45966.57707175926</v>
      </c>
      <c r="C7239" s="1" t="n">
        <v>46075</v>
      </c>
      <c r="D7239" t="inlineStr">
        <is>
          <t>VÄSTERBOTTENS LÄN</t>
        </is>
      </c>
      <c r="E7239" t="inlineStr">
        <is>
          <t>MALÅ</t>
        </is>
      </c>
      <c r="F7239" t="inlineStr">
        <is>
          <t>Sveaskog</t>
        </is>
      </c>
      <c r="G7239" t="n">
        <v>14.2</v>
      </c>
      <c r="H7239" t="n">
        <v>0</v>
      </c>
      <c r="I7239" t="n">
        <v>0</v>
      </c>
      <c r="J7239" t="n">
        <v>0</v>
      </c>
      <c r="K7239" t="n">
        <v>0</v>
      </c>
      <c r="L7239" t="n">
        <v>0</v>
      </c>
      <c r="M7239" t="n">
        <v>0</v>
      </c>
      <c r="N7239" t="n">
        <v>0</v>
      </c>
      <c r="O7239" t="n">
        <v>0</v>
      </c>
      <c r="P7239" t="n">
        <v>0</v>
      </c>
      <c r="Q7239" t="n">
        <v>0</v>
      </c>
      <c r="R7239" s="2" t="inlineStr"/>
    </row>
    <row r="7240" ht="15" customHeight="1">
      <c r="A7240" t="inlineStr">
        <is>
          <t>A 54690-2025</t>
        </is>
      </c>
      <c r="B7240" s="1" t="n">
        <v>45966.45320601852</v>
      </c>
      <c r="C7240" s="1" t="n">
        <v>46075</v>
      </c>
      <c r="D7240" t="inlineStr">
        <is>
          <t>VÄSTERBOTTENS LÄN</t>
        </is>
      </c>
      <c r="E7240" t="inlineStr">
        <is>
          <t>SKELLEFTEÅ</t>
        </is>
      </c>
      <c r="F7240" t="inlineStr">
        <is>
          <t>Sveaskog</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5595-2025</t>
        </is>
      </c>
      <c r="B7241" s="1" t="n">
        <v>45693.57324074074</v>
      </c>
      <c r="C7241" s="1" t="n">
        <v>46075</v>
      </c>
      <c r="D7241" t="inlineStr">
        <is>
          <t>VÄSTERBOTTENS LÄN</t>
        </is>
      </c>
      <c r="E7241" t="inlineStr">
        <is>
          <t>NORDMALING</t>
        </is>
      </c>
      <c r="F7241" t="inlineStr">
        <is>
          <t>SCA</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54786-2025</t>
        </is>
      </c>
      <c r="B7242" s="1" t="n">
        <v>45966</v>
      </c>
      <c r="C7242" s="1" t="n">
        <v>46075</v>
      </c>
      <c r="D7242" t="inlineStr">
        <is>
          <t>VÄSTERBOTTENS LÄN</t>
        </is>
      </c>
      <c r="E7242" t="inlineStr">
        <is>
          <t>NORSJÖ</t>
        </is>
      </c>
      <c r="G7242" t="n">
        <v>5.9</v>
      </c>
      <c r="H7242" t="n">
        <v>0</v>
      </c>
      <c r="I7242" t="n">
        <v>0</v>
      </c>
      <c r="J7242" t="n">
        <v>0</v>
      </c>
      <c r="K7242" t="n">
        <v>0</v>
      </c>
      <c r="L7242" t="n">
        <v>0</v>
      </c>
      <c r="M7242" t="n">
        <v>0</v>
      </c>
      <c r="N7242" t="n">
        <v>0</v>
      </c>
      <c r="O7242" t="n">
        <v>0</v>
      </c>
      <c r="P7242" t="n">
        <v>0</v>
      </c>
      <c r="Q7242" t="n">
        <v>0</v>
      </c>
      <c r="R7242" s="2" t="inlineStr"/>
    </row>
    <row r="7243" ht="15" customHeight="1">
      <c r="A7243" t="inlineStr">
        <is>
          <t>A 54792-2025</t>
        </is>
      </c>
      <c r="B7243" s="1" t="n">
        <v>45966.63467592592</v>
      </c>
      <c r="C7243" s="1" t="n">
        <v>46075</v>
      </c>
      <c r="D7243" t="inlineStr">
        <is>
          <t>VÄSTERBOTTENS LÄN</t>
        </is>
      </c>
      <c r="E7243" t="inlineStr">
        <is>
          <t>NORSJÖ</t>
        </is>
      </c>
      <c r="G7243" t="n">
        <v>4.5</v>
      </c>
      <c r="H7243" t="n">
        <v>0</v>
      </c>
      <c r="I7243" t="n">
        <v>0</v>
      </c>
      <c r="J7243" t="n">
        <v>0</v>
      </c>
      <c r="K7243" t="n">
        <v>0</v>
      </c>
      <c r="L7243" t="n">
        <v>0</v>
      </c>
      <c r="M7243" t="n">
        <v>0</v>
      </c>
      <c r="N7243" t="n">
        <v>0</v>
      </c>
      <c r="O7243" t="n">
        <v>0</v>
      </c>
      <c r="P7243" t="n">
        <v>0</v>
      </c>
      <c r="Q7243" t="n">
        <v>0</v>
      </c>
      <c r="R7243" s="2" t="inlineStr"/>
    </row>
    <row r="7244" ht="15" customHeight="1">
      <c r="A7244" t="inlineStr">
        <is>
          <t>A 54739-2025</t>
        </is>
      </c>
      <c r="B7244" s="1" t="n">
        <v>45966.56943287037</v>
      </c>
      <c r="C7244" s="1" t="n">
        <v>46075</v>
      </c>
      <c r="D7244" t="inlineStr">
        <is>
          <t>VÄSTERBOTTENS LÄN</t>
        </is>
      </c>
      <c r="E7244" t="inlineStr">
        <is>
          <t>SORSELE</t>
        </is>
      </c>
      <c r="F7244" t="inlineStr">
        <is>
          <t>Sveaskog</t>
        </is>
      </c>
      <c r="G7244" t="n">
        <v>21.1</v>
      </c>
      <c r="H7244" t="n">
        <v>0</v>
      </c>
      <c r="I7244" t="n">
        <v>0</v>
      </c>
      <c r="J7244" t="n">
        <v>0</v>
      </c>
      <c r="K7244" t="n">
        <v>0</v>
      </c>
      <c r="L7244" t="n">
        <v>0</v>
      </c>
      <c r="M7244" t="n">
        <v>0</v>
      </c>
      <c r="N7244" t="n">
        <v>0</v>
      </c>
      <c r="O7244" t="n">
        <v>0</v>
      </c>
      <c r="P7244" t="n">
        <v>0</v>
      </c>
      <c r="Q7244" t="n">
        <v>0</v>
      </c>
      <c r="R7244" s="2" t="inlineStr"/>
    </row>
    <row r="7245" ht="15" customHeight="1">
      <c r="A7245" t="inlineStr">
        <is>
          <t>A 55054-2025</t>
        </is>
      </c>
      <c r="B7245" s="1" t="n">
        <v>45967.67780092593</v>
      </c>
      <c r="C7245" s="1" t="n">
        <v>46075</v>
      </c>
      <c r="D7245" t="inlineStr">
        <is>
          <t>VÄSTERBOTTENS LÄN</t>
        </is>
      </c>
      <c r="E7245" t="inlineStr">
        <is>
          <t>ÅSELE</t>
        </is>
      </c>
      <c r="F7245" t="inlineStr">
        <is>
          <t>SCA</t>
        </is>
      </c>
      <c r="G7245" t="n">
        <v>13.3</v>
      </c>
      <c r="H7245" t="n">
        <v>0</v>
      </c>
      <c r="I7245" t="n">
        <v>0</v>
      </c>
      <c r="J7245" t="n">
        <v>0</v>
      </c>
      <c r="K7245" t="n">
        <v>0</v>
      </c>
      <c r="L7245" t="n">
        <v>0</v>
      </c>
      <c r="M7245" t="n">
        <v>0</v>
      </c>
      <c r="N7245" t="n">
        <v>0</v>
      </c>
      <c r="O7245" t="n">
        <v>0</v>
      </c>
      <c r="P7245" t="n">
        <v>0</v>
      </c>
      <c r="Q7245" t="n">
        <v>0</v>
      </c>
      <c r="R7245" s="2" t="inlineStr"/>
    </row>
    <row r="7246" ht="15" customHeight="1">
      <c r="A7246" t="inlineStr">
        <is>
          <t>A 54658-2025</t>
        </is>
      </c>
      <c r="B7246" s="1" t="n">
        <v>45966.40230324074</v>
      </c>
      <c r="C7246" s="1" t="n">
        <v>46075</v>
      </c>
      <c r="D7246" t="inlineStr">
        <is>
          <t>VÄSTERBOTTENS LÄN</t>
        </is>
      </c>
      <c r="E7246" t="inlineStr">
        <is>
          <t>SKELLEFTEÅ</t>
        </is>
      </c>
      <c r="F7246" t="inlineStr">
        <is>
          <t>Holmen skog AB</t>
        </is>
      </c>
      <c r="G7246" t="n">
        <v>5.9</v>
      </c>
      <c r="H7246" t="n">
        <v>0</v>
      </c>
      <c r="I7246" t="n">
        <v>0</v>
      </c>
      <c r="J7246" t="n">
        <v>0</v>
      </c>
      <c r="K7246" t="n">
        <v>0</v>
      </c>
      <c r="L7246" t="n">
        <v>0</v>
      </c>
      <c r="M7246" t="n">
        <v>0</v>
      </c>
      <c r="N7246" t="n">
        <v>0</v>
      </c>
      <c r="O7246" t="n">
        <v>0</v>
      </c>
      <c r="P7246" t="n">
        <v>0</v>
      </c>
      <c r="Q7246" t="n">
        <v>0</v>
      </c>
      <c r="R7246" s="2" t="inlineStr"/>
    </row>
    <row r="7247" ht="15" customHeight="1">
      <c r="A7247" t="inlineStr">
        <is>
          <t>A 52276-2023</t>
        </is>
      </c>
      <c r="B7247" s="1" t="n">
        <v>45217</v>
      </c>
      <c r="C7247" s="1" t="n">
        <v>46075</v>
      </c>
      <c r="D7247" t="inlineStr">
        <is>
          <t>VÄSTERBOTTENS LÄN</t>
        </is>
      </c>
      <c r="E7247" t="inlineStr">
        <is>
          <t>DOROTEA</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8088-2023</t>
        </is>
      </c>
      <c r="B7248" s="1" t="n">
        <v>44974</v>
      </c>
      <c r="C7248" s="1" t="n">
        <v>46075</v>
      </c>
      <c r="D7248" t="inlineStr">
        <is>
          <t>VÄSTERBOTTENS LÄN</t>
        </is>
      </c>
      <c r="E7248" t="inlineStr">
        <is>
          <t>DOROTEA</t>
        </is>
      </c>
      <c r="G7248" t="n">
        <v>14.8</v>
      </c>
      <c r="H7248" t="n">
        <v>0</v>
      </c>
      <c r="I7248" t="n">
        <v>0</v>
      </c>
      <c r="J7248" t="n">
        <v>0</v>
      </c>
      <c r="K7248" t="n">
        <v>0</v>
      </c>
      <c r="L7248" t="n">
        <v>0</v>
      </c>
      <c r="M7248" t="n">
        <v>0</v>
      </c>
      <c r="N7248" t="n">
        <v>0</v>
      </c>
      <c r="O7248" t="n">
        <v>0</v>
      </c>
      <c r="P7248" t="n">
        <v>0</v>
      </c>
      <c r="Q7248" t="n">
        <v>0</v>
      </c>
      <c r="R7248" s="2" t="inlineStr"/>
    </row>
    <row r="7249" ht="15" customHeight="1">
      <c r="A7249" t="inlineStr">
        <is>
          <t>A 8094-2023</t>
        </is>
      </c>
      <c r="B7249" s="1" t="n">
        <v>44970</v>
      </c>
      <c r="C7249" s="1" t="n">
        <v>46075</v>
      </c>
      <c r="D7249" t="inlineStr">
        <is>
          <t>VÄSTERBOTTENS LÄN</t>
        </is>
      </c>
      <c r="E7249" t="inlineStr">
        <is>
          <t>ÅSELE</t>
        </is>
      </c>
      <c r="G7249" t="n">
        <v>3.4</v>
      </c>
      <c r="H7249" t="n">
        <v>0</v>
      </c>
      <c r="I7249" t="n">
        <v>0</v>
      </c>
      <c r="J7249" t="n">
        <v>0</v>
      </c>
      <c r="K7249" t="n">
        <v>0</v>
      </c>
      <c r="L7249" t="n">
        <v>0</v>
      </c>
      <c r="M7249" t="n">
        <v>0</v>
      </c>
      <c r="N7249" t="n">
        <v>0</v>
      </c>
      <c r="O7249" t="n">
        <v>0</v>
      </c>
      <c r="P7249" t="n">
        <v>0</v>
      </c>
      <c r="Q7249" t="n">
        <v>0</v>
      </c>
      <c r="R7249" s="2" t="inlineStr"/>
    </row>
    <row r="7250" ht="15" customHeight="1">
      <c r="A7250" t="inlineStr">
        <is>
          <t>A 9080-2023</t>
        </is>
      </c>
      <c r="B7250" s="1" t="n">
        <v>44979</v>
      </c>
      <c r="C7250" s="1" t="n">
        <v>46075</v>
      </c>
      <c r="D7250" t="inlineStr">
        <is>
          <t>VÄSTERBOTTENS LÄN</t>
        </is>
      </c>
      <c r="E7250" t="inlineStr">
        <is>
          <t>SKELLEFTEÅ</t>
        </is>
      </c>
      <c r="G7250" t="n">
        <v>6.6</v>
      </c>
      <c r="H7250" t="n">
        <v>0</v>
      </c>
      <c r="I7250" t="n">
        <v>0</v>
      </c>
      <c r="J7250" t="n">
        <v>0</v>
      </c>
      <c r="K7250" t="n">
        <v>0</v>
      </c>
      <c r="L7250" t="n">
        <v>0</v>
      </c>
      <c r="M7250" t="n">
        <v>0</v>
      </c>
      <c r="N7250" t="n">
        <v>0</v>
      </c>
      <c r="O7250" t="n">
        <v>0</v>
      </c>
      <c r="P7250" t="n">
        <v>0</v>
      </c>
      <c r="Q7250" t="n">
        <v>0</v>
      </c>
      <c r="R7250" s="2" t="inlineStr"/>
    </row>
    <row r="7251" ht="15" customHeight="1">
      <c r="A7251" t="inlineStr">
        <is>
          <t>A 41525-2023</t>
        </is>
      </c>
      <c r="B7251" s="1" t="n">
        <v>45173</v>
      </c>
      <c r="C7251" s="1" t="n">
        <v>46075</v>
      </c>
      <c r="D7251" t="inlineStr">
        <is>
          <t>VÄSTERBOTTENS LÄN</t>
        </is>
      </c>
      <c r="E7251" t="inlineStr">
        <is>
          <t>UMEÅ</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48379-2024</t>
        </is>
      </c>
      <c r="B7252" s="1" t="n">
        <v>45590.58554398148</v>
      </c>
      <c r="C7252" s="1" t="n">
        <v>46075</v>
      </c>
      <c r="D7252" t="inlineStr">
        <is>
          <t>VÄSTERBOTTENS LÄN</t>
        </is>
      </c>
      <c r="E7252" t="inlineStr">
        <is>
          <t>LYCKSELE</t>
        </is>
      </c>
      <c r="F7252" t="inlineStr">
        <is>
          <t>Sveaskog</t>
        </is>
      </c>
      <c r="G7252" t="n">
        <v>3.4</v>
      </c>
      <c r="H7252" t="n">
        <v>0</v>
      </c>
      <c r="I7252" t="n">
        <v>0</v>
      </c>
      <c r="J7252" t="n">
        <v>0</v>
      </c>
      <c r="K7252" t="n">
        <v>0</v>
      </c>
      <c r="L7252" t="n">
        <v>0</v>
      </c>
      <c r="M7252" t="n">
        <v>0</v>
      </c>
      <c r="N7252" t="n">
        <v>0</v>
      </c>
      <c r="O7252" t="n">
        <v>0</v>
      </c>
      <c r="P7252" t="n">
        <v>0</v>
      </c>
      <c r="Q7252" t="n">
        <v>0</v>
      </c>
      <c r="R7252" s="2" t="inlineStr"/>
    </row>
    <row r="7253" ht="15" customHeight="1">
      <c r="A7253" t="inlineStr">
        <is>
          <t>A 54463-2025</t>
        </is>
      </c>
      <c r="B7253" s="1" t="n">
        <v>45964</v>
      </c>
      <c r="C7253" s="1" t="n">
        <v>46075</v>
      </c>
      <c r="D7253" t="inlineStr">
        <is>
          <t>VÄSTERBOTTENS LÄN</t>
        </is>
      </c>
      <c r="E7253" t="inlineStr">
        <is>
          <t>MALÅ</t>
        </is>
      </c>
      <c r="G7253" t="n">
        <v>0.4</v>
      </c>
      <c r="H7253" t="n">
        <v>0</v>
      </c>
      <c r="I7253" t="n">
        <v>0</v>
      </c>
      <c r="J7253" t="n">
        <v>0</v>
      </c>
      <c r="K7253" t="n">
        <v>0</v>
      </c>
      <c r="L7253" t="n">
        <v>0</v>
      </c>
      <c r="M7253" t="n">
        <v>0</v>
      </c>
      <c r="N7253" t="n">
        <v>0</v>
      </c>
      <c r="O7253" t="n">
        <v>0</v>
      </c>
      <c r="P7253" t="n">
        <v>0</v>
      </c>
      <c r="Q7253" t="n">
        <v>0</v>
      </c>
      <c r="R7253" s="2" t="inlineStr"/>
    </row>
    <row r="7254" ht="15" customHeight="1">
      <c r="A7254" t="inlineStr">
        <is>
          <t>A 55095-2025</t>
        </is>
      </c>
      <c r="B7254" s="1" t="n">
        <v>45968.34498842592</v>
      </c>
      <c r="C7254" s="1" t="n">
        <v>46075</v>
      </c>
      <c r="D7254" t="inlineStr">
        <is>
          <t>VÄSTERBOTTENS LÄN</t>
        </is>
      </c>
      <c r="E7254" t="inlineStr">
        <is>
          <t>VILHELMINA</t>
        </is>
      </c>
      <c r="F7254" t="inlineStr">
        <is>
          <t>SCA</t>
        </is>
      </c>
      <c r="G7254" t="n">
        <v>8</v>
      </c>
      <c r="H7254" t="n">
        <v>0</v>
      </c>
      <c r="I7254" t="n">
        <v>0</v>
      </c>
      <c r="J7254" t="n">
        <v>0</v>
      </c>
      <c r="K7254" t="n">
        <v>0</v>
      </c>
      <c r="L7254" t="n">
        <v>0</v>
      </c>
      <c r="M7254" t="n">
        <v>0</v>
      </c>
      <c r="N7254" t="n">
        <v>0</v>
      </c>
      <c r="O7254" t="n">
        <v>0</v>
      </c>
      <c r="P7254" t="n">
        <v>0</v>
      </c>
      <c r="Q7254" t="n">
        <v>0</v>
      </c>
      <c r="R7254" s="2" t="inlineStr"/>
    </row>
    <row r="7255" ht="15" customHeight="1">
      <c r="A7255" t="inlineStr">
        <is>
          <t>A 14421-2025</t>
        </is>
      </c>
      <c r="B7255" s="1" t="n">
        <v>45741</v>
      </c>
      <c r="C7255" s="1" t="n">
        <v>46075</v>
      </c>
      <c r="D7255" t="inlineStr">
        <is>
          <t>VÄSTERBOTTENS LÄN</t>
        </is>
      </c>
      <c r="E7255" t="inlineStr">
        <is>
          <t>ROBERTSFORS</t>
        </is>
      </c>
      <c r="G7255" t="n">
        <v>2.8</v>
      </c>
      <c r="H7255" t="n">
        <v>0</v>
      </c>
      <c r="I7255" t="n">
        <v>0</v>
      </c>
      <c r="J7255" t="n">
        <v>0</v>
      </c>
      <c r="K7255" t="n">
        <v>0</v>
      </c>
      <c r="L7255" t="n">
        <v>0</v>
      </c>
      <c r="M7255" t="n">
        <v>0</v>
      </c>
      <c r="N7255" t="n">
        <v>0</v>
      </c>
      <c r="O7255" t="n">
        <v>0</v>
      </c>
      <c r="P7255" t="n">
        <v>0</v>
      </c>
      <c r="Q7255" t="n">
        <v>0</v>
      </c>
      <c r="R7255" s="2" t="inlineStr"/>
    </row>
    <row r="7256" ht="15" customHeight="1">
      <c r="A7256" t="inlineStr">
        <is>
          <t>A 38377-2023</t>
        </is>
      </c>
      <c r="B7256" s="1" t="n">
        <v>45161.94466435185</v>
      </c>
      <c r="C7256" s="1" t="n">
        <v>46075</v>
      </c>
      <c r="D7256" t="inlineStr">
        <is>
          <t>VÄSTERBOTTENS LÄN</t>
        </is>
      </c>
      <c r="E7256" t="inlineStr">
        <is>
          <t>DOROTEA</t>
        </is>
      </c>
      <c r="F7256" t="inlineStr">
        <is>
          <t>SCA</t>
        </is>
      </c>
      <c r="G7256" t="n">
        <v>3.9</v>
      </c>
      <c r="H7256" t="n">
        <v>0</v>
      </c>
      <c r="I7256" t="n">
        <v>0</v>
      </c>
      <c r="J7256" t="n">
        <v>0</v>
      </c>
      <c r="K7256" t="n">
        <v>0</v>
      </c>
      <c r="L7256" t="n">
        <v>0</v>
      </c>
      <c r="M7256" t="n">
        <v>0</v>
      </c>
      <c r="N7256" t="n">
        <v>0</v>
      </c>
      <c r="O7256" t="n">
        <v>0</v>
      </c>
      <c r="P7256" t="n">
        <v>0</v>
      </c>
      <c r="Q7256" t="n">
        <v>0</v>
      </c>
      <c r="R7256" s="2" t="inlineStr"/>
    </row>
    <row r="7257" ht="15" customHeight="1">
      <c r="A7257" t="inlineStr">
        <is>
          <t>A 36743-2023</t>
        </is>
      </c>
      <c r="B7257" s="1" t="n">
        <v>45153</v>
      </c>
      <c r="C7257" s="1" t="n">
        <v>46075</v>
      </c>
      <c r="D7257" t="inlineStr">
        <is>
          <t>VÄSTERBOTTENS LÄN</t>
        </is>
      </c>
      <c r="E7257" t="inlineStr">
        <is>
          <t>MALÅ</t>
        </is>
      </c>
      <c r="G7257" t="n">
        <v>15.7</v>
      </c>
      <c r="H7257" t="n">
        <v>0</v>
      </c>
      <c r="I7257" t="n">
        <v>0</v>
      </c>
      <c r="J7257" t="n">
        <v>0</v>
      </c>
      <c r="K7257" t="n">
        <v>0</v>
      </c>
      <c r="L7257" t="n">
        <v>0</v>
      </c>
      <c r="M7257" t="n">
        <v>0</v>
      </c>
      <c r="N7257" t="n">
        <v>0</v>
      </c>
      <c r="O7257" t="n">
        <v>0</v>
      </c>
      <c r="P7257" t="n">
        <v>0</v>
      </c>
      <c r="Q7257" t="n">
        <v>0</v>
      </c>
      <c r="R7257" s="2" t="inlineStr"/>
    </row>
    <row r="7258" ht="15" customHeight="1">
      <c r="A7258" t="inlineStr">
        <is>
          <t>A 36744-2023</t>
        </is>
      </c>
      <c r="B7258" s="1" t="n">
        <v>45153</v>
      </c>
      <c r="C7258" s="1" t="n">
        <v>46075</v>
      </c>
      <c r="D7258" t="inlineStr">
        <is>
          <t>VÄSTERBOTTENS LÄN</t>
        </is>
      </c>
      <c r="E7258" t="inlineStr">
        <is>
          <t>MALÅ</t>
        </is>
      </c>
      <c r="G7258" t="n">
        <v>5.3</v>
      </c>
      <c r="H7258" t="n">
        <v>0</v>
      </c>
      <c r="I7258" t="n">
        <v>0</v>
      </c>
      <c r="J7258" t="n">
        <v>0</v>
      </c>
      <c r="K7258" t="n">
        <v>0</v>
      </c>
      <c r="L7258" t="n">
        <v>0</v>
      </c>
      <c r="M7258" t="n">
        <v>0</v>
      </c>
      <c r="N7258" t="n">
        <v>0</v>
      </c>
      <c r="O7258" t="n">
        <v>0</v>
      </c>
      <c r="P7258" t="n">
        <v>0</v>
      </c>
      <c r="Q7258" t="n">
        <v>0</v>
      </c>
      <c r="R7258" s="2" t="inlineStr"/>
    </row>
    <row r="7259" ht="15" customHeight="1">
      <c r="A7259" t="inlineStr">
        <is>
          <t>A 58999-2024</t>
        </is>
      </c>
      <c r="B7259" s="1" t="n">
        <v>45636</v>
      </c>
      <c r="C7259" s="1" t="n">
        <v>46075</v>
      </c>
      <c r="D7259" t="inlineStr">
        <is>
          <t>VÄSTERBOTTENS LÄN</t>
        </is>
      </c>
      <c r="E7259" t="inlineStr">
        <is>
          <t>VILHELMINA</t>
        </is>
      </c>
      <c r="F7259" t="inlineStr">
        <is>
          <t>Allmännings- och besparingsskogar</t>
        </is>
      </c>
      <c r="G7259" t="n">
        <v>12.3</v>
      </c>
      <c r="H7259" t="n">
        <v>0</v>
      </c>
      <c r="I7259" t="n">
        <v>0</v>
      </c>
      <c r="J7259" t="n">
        <v>0</v>
      </c>
      <c r="K7259" t="n">
        <v>0</v>
      </c>
      <c r="L7259" t="n">
        <v>0</v>
      </c>
      <c r="M7259" t="n">
        <v>0</v>
      </c>
      <c r="N7259" t="n">
        <v>0</v>
      </c>
      <c r="O7259" t="n">
        <v>0</v>
      </c>
      <c r="P7259" t="n">
        <v>0</v>
      </c>
      <c r="Q7259" t="n">
        <v>0</v>
      </c>
      <c r="R7259" s="2" t="inlineStr"/>
    </row>
    <row r="7260" ht="15" customHeight="1">
      <c r="A7260" t="inlineStr">
        <is>
          <t>A 56566-2025</t>
        </is>
      </c>
      <c r="B7260" s="1" t="n">
        <v>45974</v>
      </c>
      <c r="C7260" s="1" t="n">
        <v>46075</v>
      </c>
      <c r="D7260" t="inlineStr">
        <is>
          <t>VÄSTERBOTTENS LÄN</t>
        </is>
      </c>
      <c r="E7260" t="inlineStr">
        <is>
          <t>LYCKSELE</t>
        </is>
      </c>
      <c r="F7260" t="inlineStr">
        <is>
          <t>Sveaskog</t>
        </is>
      </c>
      <c r="G7260" t="n">
        <v>3.4</v>
      </c>
      <c r="H7260" t="n">
        <v>0</v>
      </c>
      <c r="I7260" t="n">
        <v>0</v>
      </c>
      <c r="J7260" t="n">
        <v>0</v>
      </c>
      <c r="K7260" t="n">
        <v>0</v>
      </c>
      <c r="L7260" t="n">
        <v>0</v>
      </c>
      <c r="M7260" t="n">
        <v>0</v>
      </c>
      <c r="N7260" t="n">
        <v>0</v>
      </c>
      <c r="O7260" t="n">
        <v>0</v>
      </c>
      <c r="P7260" t="n">
        <v>0</v>
      </c>
      <c r="Q7260" t="n">
        <v>0</v>
      </c>
      <c r="R7260" s="2" t="inlineStr"/>
    </row>
    <row r="7261" ht="15" customHeight="1">
      <c r="A7261" t="inlineStr">
        <is>
          <t>A 38450-2023</t>
        </is>
      </c>
      <c r="B7261" s="1" t="n">
        <v>45162</v>
      </c>
      <c r="C7261" s="1" t="n">
        <v>46075</v>
      </c>
      <c r="D7261" t="inlineStr">
        <is>
          <t>VÄSTERBOTTENS LÄN</t>
        </is>
      </c>
      <c r="E7261" t="inlineStr">
        <is>
          <t>SKELLEFTEÅ</t>
        </is>
      </c>
      <c r="G7261" t="n">
        <v>5.2</v>
      </c>
      <c r="H7261" t="n">
        <v>0</v>
      </c>
      <c r="I7261" t="n">
        <v>0</v>
      </c>
      <c r="J7261" t="n">
        <v>0</v>
      </c>
      <c r="K7261" t="n">
        <v>0</v>
      </c>
      <c r="L7261" t="n">
        <v>0</v>
      </c>
      <c r="M7261" t="n">
        <v>0</v>
      </c>
      <c r="N7261" t="n">
        <v>0</v>
      </c>
      <c r="O7261" t="n">
        <v>0</v>
      </c>
      <c r="P7261" t="n">
        <v>0</v>
      </c>
      <c r="Q7261" t="n">
        <v>0</v>
      </c>
      <c r="R7261" s="2" t="inlineStr"/>
    </row>
    <row r="7262" ht="15" customHeight="1">
      <c r="A7262" t="inlineStr">
        <is>
          <t>A 55394-2025</t>
        </is>
      </c>
      <c r="B7262" s="1" t="n">
        <v>45971.4484837963</v>
      </c>
      <c r="C7262" s="1" t="n">
        <v>46075</v>
      </c>
      <c r="D7262" t="inlineStr">
        <is>
          <t>VÄSTERBOTTENS LÄN</t>
        </is>
      </c>
      <c r="E7262" t="inlineStr">
        <is>
          <t>SKELLEFTEÅ</t>
        </is>
      </c>
      <c r="G7262" t="n">
        <v>4.1</v>
      </c>
      <c r="H7262" t="n">
        <v>0</v>
      </c>
      <c r="I7262" t="n">
        <v>0</v>
      </c>
      <c r="J7262" t="n">
        <v>0</v>
      </c>
      <c r="K7262" t="n">
        <v>0</v>
      </c>
      <c r="L7262" t="n">
        <v>0</v>
      </c>
      <c r="M7262" t="n">
        <v>0</v>
      </c>
      <c r="N7262" t="n">
        <v>0</v>
      </c>
      <c r="O7262" t="n">
        <v>0</v>
      </c>
      <c r="P7262" t="n">
        <v>0</v>
      </c>
      <c r="Q7262" t="n">
        <v>0</v>
      </c>
      <c r="R7262" s="2" t="inlineStr"/>
    </row>
    <row r="7263" ht="15" customHeight="1">
      <c r="A7263" t="inlineStr">
        <is>
          <t>A 58420-2022</t>
        </is>
      </c>
      <c r="B7263" s="1" t="n">
        <v>44901.92403935185</v>
      </c>
      <c r="C7263" s="1" t="n">
        <v>46075</v>
      </c>
      <c r="D7263" t="inlineStr">
        <is>
          <t>VÄSTERBOTTENS LÄN</t>
        </is>
      </c>
      <c r="E7263" t="inlineStr">
        <is>
          <t>BJURHOLM</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55228-2025</t>
        </is>
      </c>
      <c r="B7264" s="1" t="n">
        <v>45968.59909722222</v>
      </c>
      <c r="C7264" s="1" t="n">
        <v>46075</v>
      </c>
      <c r="D7264" t="inlineStr">
        <is>
          <t>VÄSTERBOTTENS LÄN</t>
        </is>
      </c>
      <c r="E7264" t="inlineStr">
        <is>
          <t>STORUMAN</t>
        </is>
      </c>
      <c r="F7264" t="inlineStr">
        <is>
          <t>Sveaskog</t>
        </is>
      </c>
      <c r="G7264" t="n">
        <v>17.8</v>
      </c>
      <c r="H7264" t="n">
        <v>0</v>
      </c>
      <c r="I7264" t="n">
        <v>0</v>
      </c>
      <c r="J7264" t="n">
        <v>0</v>
      </c>
      <c r="K7264" t="n">
        <v>0</v>
      </c>
      <c r="L7264" t="n">
        <v>0</v>
      </c>
      <c r="M7264" t="n">
        <v>0</v>
      </c>
      <c r="N7264" t="n">
        <v>0</v>
      </c>
      <c r="O7264" t="n">
        <v>0</v>
      </c>
      <c r="P7264" t="n">
        <v>0</v>
      </c>
      <c r="Q7264" t="n">
        <v>0</v>
      </c>
      <c r="R7264" s="2" t="inlineStr"/>
    </row>
    <row r="7265" ht="15" customHeight="1">
      <c r="A7265" t="inlineStr">
        <is>
          <t>A 18827-2023</t>
        </is>
      </c>
      <c r="B7265" s="1" t="n">
        <v>45042</v>
      </c>
      <c r="C7265" s="1" t="n">
        <v>46075</v>
      </c>
      <c r="D7265" t="inlineStr">
        <is>
          <t>VÄSTERBOTTENS LÄN</t>
        </is>
      </c>
      <c r="E7265" t="inlineStr">
        <is>
          <t>ROBERTSFORS</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4555-2024</t>
        </is>
      </c>
      <c r="B7266" s="1" t="n">
        <v>45327</v>
      </c>
      <c r="C7266" s="1" t="n">
        <v>46075</v>
      </c>
      <c r="D7266" t="inlineStr">
        <is>
          <t>VÄSTERBOTTENS LÄN</t>
        </is>
      </c>
      <c r="E7266" t="inlineStr">
        <is>
          <t>SORSELE</t>
        </is>
      </c>
      <c r="G7266" t="n">
        <v>4.1</v>
      </c>
      <c r="H7266" t="n">
        <v>0</v>
      </c>
      <c r="I7266" t="n">
        <v>0</v>
      </c>
      <c r="J7266" t="n">
        <v>0</v>
      </c>
      <c r="K7266" t="n">
        <v>0</v>
      </c>
      <c r="L7266" t="n">
        <v>0</v>
      </c>
      <c r="M7266" t="n">
        <v>0</v>
      </c>
      <c r="N7266" t="n">
        <v>0</v>
      </c>
      <c r="O7266" t="n">
        <v>0</v>
      </c>
      <c r="P7266" t="n">
        <v>0</v>
      </c>
      <c r="Q7266" t="n">
        <v>0</v>
      </c>
      <c r="R7266" s="2" t="inlineStr"/>
    </row>
    <row r="7267" ht="15" customHeight="1">
      <c r="A7267" t="inlineStr">
        <is>
          <t>A 55541-2025</t>
        </is>
      </c>
      <c r="B7267" s="1" t="n">
        <v>45971.63456018519</v>
      </c>
      <c r="C7267" s="1" t="n">
        <v>46075</v>
      </c>
      <c r="D7267" t="inlineStr">
        <is>
          <t>VÄSTERBOTTENS LÄN</t>
        </is>
      </c>
      <c r="E7267" t="inlineStr">
        <is>
          <t>LYCKSELE</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23971-2024</t>
        </is>
      </c>
      <c r="B7268" s="1" t="n">
        <v>45455</v>
      </c>
      <c r="C7268" s="1" t="n">
        <v>46075</v>
      </c>
      <c r="D7268" t="inlineStr">
        <is>
          <t>VÄSTERBOTTENS LÄN</t>
        </is>
      </c>
      <c r="E7268" t="inlineStr">
        <is>
          <t>LYCKSELE</t>
        </is>
      </c>
      <c r="F7268" t="inlineStr">
        <is>
          <t>SCA</t>
        </is>
      </c>
      <c r="G7268" t="n">
        <v>10.4</v>
      </c>
      <c r="H7268" t="n">
        <v>0</v>
      </c>
      <c r="I7268" t="n">
        <v>0</v>
      </c>
      <c r="J7268" t="n">
        <v>0</v>
      </c>
      <c r="K7268" t="n">
        <v>0</v>
      </c>
      <c r="L7268" t="n">
        <v>0</v>
      </c>
      <c r="M7268" t="n">
        <v>0</v>
      </c>
      <c r="N7268" t="n">
        <v>0</v>
      </c>
      <c r="O7268" t="n">
        <v>0</v>
      </c>
      <c r="P7268" t="n">
        <v>0</v>
      </c>
      <c r="Q7268" t="n">
        <v>0</v>
      </c>
      <c r="R7268" s="2" t="inlineStr"/>
    </row>
    <row r="7269" ht="15" customHeight="1">
      <c r="A7269" t="inlineStr">
        <is>
          <t>A 54455-2025</t>
        </is>
      </c>
      <c r="B7269" s="1" t="n">
        <v>45964</v>
      </c>
      <c r="C7269" s="1" t="n">
        <v>46075</v>
      </c>
      <c r="D7269" t="inlineStr">
        <is>
          <t>VÄSTERBOTTENS LÄN</t>
        </is>
      </c>
      <c r="E7269" t="inlineStr">
        <is>
          <t>MALÅ</t>
        </is>
      </c>
      <c r="G7269" t="n">
        <v>0.4</v>
      </c>
      <c r="H7269" t="n">
        <v>0</v>
      </c>
      <c r="I7269" t="n">
        <v>0</v>
      </c>
      <c r="J7269" t="n">
        <v>0</v>
      </c>
      <c r="K7269" t="n">
        <v>0</v>
      </c>
      <c r="L7269" t="n">
        <v>0</v>
      </c>
      <c r="M7269" t="n">
        <v>0</v>
      </c>
      <c r="N7269" t="n">
        <v>0</v>
      </c>
      <c r="O7269" t="n">
        <v>0</v>
      </c>
      <c r="P7269" t="n">
        <v>0</v>
      </c>
      <c r="Q7269" t="n">
        <v>0</v>
      </c>
      <c r="R7269" s="2" t="inlineStr"/>
    </row>
    <row r="7270" ht="15" customHeight="1">
      <c r="A7270" t="inlineStr">
        <is>
          <t>A 55536-2025</t>
        </is>
      </c>
      <c r="B7270" s="1" t="n">
        <v>45971.63290509259</v>
      </c>
      <c r="C7270" s="1" t="n">
        <v>46075</v>
      </c>
      <c r="D7270" t="inlineStr">
        <is>
          <t>VÄSTERBOTTENS LÄN</t>
        </is>
      </c>
      <c r="E7270" t="inlineStr">
        <is>
          <t>LYCKSELE</t>
        </is>
      </c>
      <c r="G7270" t="n">
        <v>4.5</v>
      </c>
      <c r="H7270" t="n">
        <v>0</v>
      </c>
      <c r="I7270" t="n">
        <v>0</v>
      </c>
      <c r="J7270" t="n">
        <v>0</v>
      </c>
      <c r="K7270" t="n">
        <v>0</v>
      </c>
      <c r="L7270" t="n">
        <v>0</v>
      </c>
      <c r="M7270" t="n">
        <v>0</v>
      </c>
      <c r="N7270" t="n">
        <v>0</v>
      </c>
      <c r="O7270" t="n">
        <v>0</v>
      </c>
      <c r="P7270" t="n">
        <v>0</v>
      </c>
      <c r="Q7270" t="n">
        <v>0</v>
      </c>
      <c r="R7270" s="2" t="inlineStr"/>
    </row>
    <row r="7271" ht="15" customHeight="1">
      <c r="A7271" t="inlineStr">
        <is>
          <t>A 55552-2025</t>
        </is>
      </c>
      <c r="B7271" s="1" t="n">
        <v>45971.64434027778</v>
      </c>
      <c r="C7271" s="1" t="n">
        <v>46075</v>
      </c>
      <c r="D7271" t="inlineStr">
        <is>
          <t>VÄSTERBOTTENS LÄN</t>
        </is>
      </c>
      <c r="E7271" t="inlineStr">
        <is>
          <t>SKELLEFTEÅ</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21265-2021</t>
        </is>
      </c>
      <c r="B7272" s="1" t="n">
        <v>44320.5741087963</v>
      </c>
      <c r="C7272" s="1" t="n">
        <v>46075</v>
      </c>
      <c r="D7272" t="inlineStr">
        <is>
          <t>VÄSTERBOTTENS LÄN</t>
        </is>
      </c>
      <c r="E7272" t="inlineStr">
        <is>
          <t>SKELLEFTEÅ</t>
        </is>
      </c>
      <c r="G7272" t="n">
        <v>2.1</v>
      </c>
      <c r="H7272" t="n">
        <v>0</v>
      </c>
      <c r="I7272" t="n">
        <v>0</v>
      </c>
      <c r="J7272" t="n">
        <v>0</v>
      </c>
      <c r="K7272" t="n">
        <v>0</v>
      </c>
      <c r="L7272" t="n">
        <v>0</v>
      </c>
      <c r="M7272" t="n">
        <v>0</v>
      </c>
      <c r="N7272" t="n">
        <v>0</v>
      </c>
      <c r="O7272" t="n">
        <v>0</v>
      </c>
      <c r="P7272" t="n">
        <v>0</v>
      </c>
      <c r="Q7272" t="n">
        <v>0</v>
      </c>
      <c r="R7272" s="2" t="inlineStr"/>
    </row>
    <row r="7273" ht="15" customHeight="1">
      <c r="A7273" t="inlineStr">
        <is>
          <t>A 55558-2025</t>
        </is>
      </c>
      <c r="B7273" s="1" t="n">
        <v>45971.64960648148</v>
      </c>
      <c r="C7273" s="1" t="n">
        <v>46075</v>
      </c>
      <c r="D7273" t="inlineStr">
        <is>
          <t>VÄSTERBOTTENS LÄN</t>
        </is>
      </c>
      <c r="E7273" t="inlineStr">
        <is>
          <t>SKELLEFTEÅ</t>
        </is>
      </c>
      <c r="G7273" t="n">
        <v>4.7</v>
      </c>
      <c r="H7273" t="n">
        <v>0</v>
      </c>
      <c r="I7273" t="n">
        <v>0</v>
      </c>
      <c r="J7273" t="n">
        <v>0</v>
      </c>
      <c r="K7273" t="n">
        <v>0</v>
      </c>
      <c r="L7273" t="n">
        <v>0</v>
      </c>
      <c r="M7273" t="n">
        <v>0</v>
      </c>
      <c r="N7273" t="n">
        <v>0</v>
      </c>
      <c r="O7273" t="n">
        <v>0</v>
      </c>
      <c r="P7273" t="n">
        <v>0</v>
      </c>
      <c r="Q7273" t="n">
        <v>0</v>
      </c>
      <c r="R7273" s="2" t="inlineStr"/>
    </row>
    <row r="7274" ht="15" customHeight="1">
      <c r="A7274" t="inlineStr">
        <is>
          <t>A 41592-2023</t>
        </is>
      </c>
      <c r="B7274" s="1" t="n">
        <v>45175.63826388889</v>
      </c>
      <c r="C7274" s="1" t="n">
        <v>46075</v>
      </c>
      <c r="D7274" t="inlineStr">
        <is>
          <t>VÄSTERBOTTENS LÄN</t>
        </is>
      </c>
      <c r="E7274" t="inlineStr">
        <is>
          <t>BJURHOLM</t>
        </is>
      </c>
      <c r="F7274" t="inlineStr">
        <is>
          <t>Holmen skog AB</t>
        </is>
      </c>
      <c r="G7274" t="n">
        <v>2.6</v>
      </c>
      <c r="H7274" t="n">
        <v>0</v>
      </c>
      <c r="I7274" t="n">
        <v>0</v>
      </c>
      <c r="J7274" t="n">
        <v>0</v>
      </c>
      <c r="K7274" t="n">
        <v>0</v>
      </c>
      <c r="L7274" t="n">
        <v>0</v>
      </c>
      <c r="M7274" t="n">
        <v>0</v>
      </c>
      <c r="N7274" t="n">
        <v>0</v>
      </c>
      <c r="O7274" t="n">
        <v>0</v>
      </c>
      <c r="P7274" t="n">
        <v>0</v>
      </c>
      <c r="Q7274" t="n">
        <v>0</v>
      </c>
      <c r="R7274" s="2" t="inlineStr"/>
    </row>
    <row r="7275" ht="15" customHeight="1">
      <c r="A7275" t="inlineStr">
        <is>
          <t>A 55366-2025</t>
        </is>
      </c>
      <c r="B7275" s="1" t="n">
        <v>45971.40711805555</v>
      </c>
      <c r="C7275" s="1" t="n">
        <v>46075</v>
      </c>
      <c r="D7275" t="inlineStr">
        <is>
          <t>VÄSTERBOTTENS LÄN</t>
        </is>
      </c>
      <c r="E7275" t="inlineStr">
        <is>
          <t>DOROTEA</t>
        </is>
      </c>
      <c r="G7275" t="n">
        <v>25.6</v>
      </c>
      <c r="H7275" t="n">
        <v>0</v>
      </c>
      <c r="I7275" t="n">
        <v>0</v>
      </c>
      <c r="J7275" t="n">
        <v>0</v>
      </c>
      <c r="K7275" t="n">
        <v>0</v>
      </c>
      <c r="L7275" t="n">
        <v>0</v>
      </c>
      <c r="M7275" t="n">
        <v>0</v>
      </c>
      <c r="N7275" t="n">
        <v>0</v>
      </c>
      <c r="O7275" t="n">
        <v>0</v>
      </c>
      <c r="P7275" t="n">
        <v>0</v>
      </c>
      <c r="Q7275" t="n">
        <v>0</v>
      </c>
      <c r="R7275" s="2" t="inlineStr"/>
    </row>
    <row r="7276" ht="15" customHeight="1">
      <c r="A7276" t="inlineStr">
        <is>
          <t>A 14341-2023</t>
        </is>
      </c>
      <c r="B7276" s="1" t="n">
        <v>45009</v>
      </c>
      <c r="C7276" s="1" t="n">
        <v>46075</v>
      </c>
      <c r="D7276" t="inlineStr">
        <is>
          <t>VÄSTERBOTTENS LÄN</t>
        </is>
      </c>
      <c r="E7276" t="inlineStr">
        <is>
          <t>SKELLEFTEÅ</t>
        </is>
      </c>
      <c r="G7276" t="n">
        <v>0.3</v>
      </c>
      <c r="H7276" t="n">
        <v>0</v>
      </c>
      <c r="I7276" t="n">
        <v>0</v>
      </c>
      <c r="J7276" t="n">
        <v>0</v>
      </c>
      <c r="K7276" t="n">
        <v>0</v>
      </c>
      <c r="L7276" t="n">
        <v>0</v>
      </c>
      <c r="M7276" t="n">
        <v>0</v>
      </c>
      <c r="N7276" t="n">
        <v>0</v>
      </c>
      <c r="O7276" t="n">
        <v>0</v>
      </c>
      <c r="P7276" t="n">
        <v>0</v>
      </c>
      <c r="Q7276" t="n">
        <v>0</v>
      </c>
      <c r="R7276" s="2" t="inlineStr"/>
    </row>
    <row r="7277" ht="15" customHeight="1">
      <c r="A7277" t="inlineStr">
        <is>
          <t>A 55393-2025</t>
        </is>
      </c>
      <c r="B7277" s="1" t="n">
        <v>45971.44847222222</v>
      </c>
      <c r="C7277" s="1" t="n">
        <v>46075</v>
      </c>
      <c r="D7277" t="inlineStr">
        <is>
          <t>VÄSTERBOTTENS LÄN</t>
        </is>
      </c>
      <c r="E7277" t="inlineStr">
        <is>
          <t>SKELLEFTEÅ</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55106-2025</t>
        </is>
      </c>
      <c r="B7278" s="1" t="n">
        <v>45968.36491898148</v>
      </c>
      <c r="C7278" s="1" t="n">
        <v>46075</v>
      </c>
      <c r="D7278" t="inlineStr">
        <is>
          <t>VÄSTERBOTTENS LÄN</t>
        </is>
      </c>
      <c r="E7278" t="inlineStr">
        <is>
          <t>VINDELN</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25387-2024</t>
        </is>
      </c>
      <c r="B7279" s="1" t="n">
        <v>45462.96380787037</v>
      </c>
      <c r="C7279" s="1" t="n">
        <v>46075</v>
      </c>
      <c r="D7279" t="inlineStr">
        <is>
          <t>VÄSTERBOTTENS LÄN</t>
        </is>
      </c>
      <c r="E7279" t="inlineStr">
        <is>
          <t>VINDELN</t>
        </is>
      </c>
      <c r="F7279" t="inlineStr">
        <is>
          <t>SCA</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20148-2025</t>
        </is>
      </c>
      <c r="B7280" s="1" t="n">
        <v>45772</v>
      </c>
      <c r="C7280" s="1" t="n">
        <v>46075</v>
      </c>
      <c r="D7280" t="inlineStr">
        <is>
          <t>VÄSTERBOTTENS LÄN</t>
        </is>
      </c>
      <c r="E7280" t="inlineStr">
        <is>
          <t>LYCKSELE</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55487-2025</t>
        </is>
      </c>
      <c r="B7281" s="1" t="n">
        <v>45971.57378472222</v>
      </c>
      <c r="C7281" s="1" t="n">
        <v>46075</v>
      </c>
      <c r="D7281" t="inlineStr">
        <is>
          <t>VÄSTERBOTTENS LÄN</t>
        </is>
      </c>
      <c r="E7281" t="inlineStr">
        <is>
          <t>NORSJÖ</t>
        </is>
      </c>
      <c r="F7281" t="inlineStr">
        <is>
          <t>Kommuner</t>
        </is>
      </c>
      <c r="G7281" t="n">
        <v>5.3</v>
      </c>
      <c r="H7281" t="n">
        <v>0</v>
      </c>
      <c r="I7281" t="n">
        <v>0</v>
      </c>
      <c r="J7281" t="n">
        <v>0</v>
      </c>
      <c r="K7281" t="n">
        <v>0</v>
      </c>
      <c r="L7281" t="n">
        <v>0</v>
      </c>
      <c r="M7281" t="n">
        <v>0</v>
      </c>
      <c r="N7281" t="n">
        <v>0</v>
      </c>
      <c r="O7281" t="n">
        <v>0</v>
      </c>
      <c r="P7281" t="n">
        <v>0</v>
      </c>
      <c r="Q7281" t="n">
        <v>0</v>
      </c>
      <c r="R7281" s="2" t="inlineStr"/>
    </row>
    <row r="7282" ht="15" customHeight="1">
      <c r="A7282" t="inlineStr">
        <is>
          <t>A 38297-2024</t>
        </is>
      </c>
      <c r="B7282" s="1" t="n">
        <v>45545</v>
      </c>
      <c r="C7282" s="1" t="n">
        <v>46075</v>
      </c>
      <c r="D7282" t="inlineStr">
        <is>
          <t>VÄSTERBOTTENS LÄN</t>
        </is>
      </c>
      <c r="E7282" t="inlineStr">
        <is>
          <t>VILHELMINA</t>
        </is>
      </c>
      <c r="G7282" t="n">
        <v>139.8</v>
      </c>
      <c r="H7282" t="n">
        <v>0</v>
      </c>
      <c r="I7282" t="n">
        <v>0</v>
      </c>
      <c r="J7282" t="n">
        <v>0</v>
      </c>
      <c r="K7282" t="n">
        <v>0</v>
      </c>
      <c r="L7282" t="n">
        <v>0</v>
      </c>
      <c r="M7282" t="n">
        <v>0</v>
      </c>
      <c r="N7282" t="n">
        <v>0</v>
      </c>
      <c r="O7282" t="n">
        <v>0</v>
      </c>
      <c r="P7282" t="n">
        <v>0</v>
      </c>
      <c r="Q7282" t="n">
        <v>0</v>
      </c>
      <c r="R7282" s="2" t="inlineStr"/>
    </row>
    <row r="7283" ht="15" customHeight="1">
      <c r="A7283" t="inlineStr">
        <is>
          <t>A 11715-2025</t>
        </is>
      </c>
      <c r="B7283" s="1" t="n">
        <v>45727.60585648148</v>
      </c>
      <c r="C7283" s="1" t="n">
        <v>46075</v>
      </c>
      <c r="D7283" t="inlineStr">
        <is>
          <t>VÄSTERBOTTENS LÄN</t>
        </is>
      </c>
      <c r="E7283" t="inlineStr">
        <is>
          <t>BJURHOLM</t>
        </is>
      </c>
      <c r="G7283" t="n">
        <v>11.3</v>
      </c>
      <c r="H7283" t="n">
        <v>0</v>
      </c>
      <c r="I7283" t="n">
        <v>0</v>
      </c>
      <c r="J7283" t="n">
        <v>0</v>
      </c>
      <c r="K7283" t="n">
        <v>0</v>
      </c>
      <c r="L7283" t="n">
        <v>0</v>
      </c>
      <c r="M7283" t="n">
        <v>0</v>
      </c>
      <c r="N7283" t="n">
        <v>0</v>
      </c>
      <c r="O7283" t="n">
        <v>0</v>
      </c>
      <c r="P7283" t="n">
        <v>0</v>
      </c>
      <c r="Q7283" t="n">
        <v>0</v>
      </c>
      <c r="R7283" s="2" t="inlineStr"/>
    </row>
    <row r="7284" ht="15" customHeight="1">
      <c r="A7284" t="inlineStr">
        <is>
          <t>A 2279-2025</t>
        </is>
      </c>
      <c r="B7284" s="1" t="n">
        <v>45673.56776620371</v>
      </c>
      <c r="C7284" s="1" t="n">
        <v>46075</v>
      </c>
      <c r="D7284" t="inlineStr">
        <is>
          <t>VÄSTERBOTTENS LÄN</t>
        </is>
      </c>
      <c r="E7284" t="inlineStr">
        <is>
          <t>SKELLEFTEÅ</t>
        </is>
      </c>
      <c r="F7284" t="inlineStr">
        <is>
          <t>Holmen skog AB</t>
        </is>
      </c>
      <c r="G7284" t="n">
        <v>5</v>
      </c>
      <c r="H7284" t="n">
        <v>0</v>
      </c>
      <c r="I7284" t="n">
        <v>0</v>
      </c>
      <c r="J7284" t="n">
        <v>0</v>
      </c>
      <c r="K7284" t="n">
        <v>0</v>
      </c>
      <c r="L7284" t="n">
        <v>0</v>
      </c>
      <c r="M7284" t="n">
        <v>0</v>
      </c>
      <c r="N7284" t="n">
        <v>0</v>
      </c>
      <c r="O7284" t="n">
        <v>0</v>
      </c>
      <c r="P7284" t="n">
        <v>0</v>
      </c>
      <c r="Q7284" t="n">
        <v>0</v>
      </c>
      <c r="R7284" s="2" t="inlineStr"/>
    </row>
    <row r="7285" ht="15" customHeight="1">
      <c r="A7285" t="inlineStr">
        <is>
          <t>A 3222-2025</t>
        </is>
      </c>
      <c r="B7285" s="1" t="n">
        <v>45679</v>
      </c>
      <c r="C7285" s="1" t="n">
        <v>46075</v>
      </c>
      <c r="D7285" t="inlineStr">
        <is>
          <t>VÄSTERBOTTENS LÄN</t>
        </is>
      </c>
      <c r="E7285" t="inlineStr">
        <is>
          <t>ROBERTSFORS</t>
        </is>
      </c>
      <c r="G7285" t="n">
        <v>6.9</v>
      </c>
      <c r="H7285" t="n">
        <v>0</v>
      </c>
      <c r="I7285" t="n">
        <v>0</v>
      </c>
      <c r="J7285" t="n">
        <v>0</v>
      </c>
      <c r="K7285" t="n">
        <v>0</v>
      </c>
      <c r="L7285" t="n">
        <v>0</v>
      </c>
      <c r="M7285" t="n">
        <v>0</v>
      </c>
      <c r="N7285" t="n">
        <v>0</v>
      </c>
      <c r="O7285" t="n">
        <v>0</v>
      </c>
      <c r="P7285" t="n">
        <v>0</v>
      </c>
      <c r="Q7285" t="n">
        <v>0</v>
      </c>
      <c r="R7285" s="2" t="inlineStr"/>
    </row>
    <row r="7286" ht="15" customHeight="1">
      <c r="A7286" t="inlineStr">
        <is>
          <t>A 55378-2025</t>
        </is>
      </c>
      <c r="B7286" s="1" t="n">
        <v>45971.42773148148</v>
      </c>
      <c r="C7286" s="1" t="n">
        <v>46075</v>
      </c>
      <c r="D7286" t="inlineStr">
        <is>
          <t>VÄSTERBOTTENS LÄN</t>
        </is>
      </c>
      <c r="E7286" t="inlineStr">
        <is>
          <t>STORUMAN</t>
        </is>
      </c>
      <c r="G7286" t="n">
        <v>5.5</v>
      </c>
      <c r="H7286" t="n">
        <v>0</v>
      </c>
      <c r="I7286" t="n">
        <v>0</v>
      </c>
      <c r="J7286" t="n">
        <v>0</v>
      </c>
      <c r="K7286" t="n">
        <v>0</v>
      </c>
      <c r="L7286" t="n">
        <v>0</v>
      </c>
      <c r="M7286" t="n">
        <v>0</v>
      </c>
      <c r="N7286" t="n">
        <v>0</v>
      </c>
      <c r="O7286" t="n">
        <v>0</v>
      </c>
      <c r="P7286" t="n">
        <v>0</v>
      </c>
      <c r="Q7286" t="n">
        <v>0</v>
      </c>
      <c r="R7286" s="2" t="inlineStr"/>
    </row>
    <row r="7287" ht="15" customHeight="1">
      <c r="A7287" t="inlineStr">
        <is>
          <t>A 55187-2025</t>
        </is>
      </c>
      <c r="B7287" s="1" t="n">
        <v>45968.53877314815</v>
      </c>
      <c r="C7287" s="1" t="n">
        <v>46075</v>
      </c>
      <c r="D7287" t="inlineStr">
        <is>
          <t>VÄSTERBOTTENS LÄN</t>
        </is>
      </c>
      <c r="E7287" t="inlineStr">
        <is>
          <t>LYCKSELE</t>
        </is>
      </c>
      <c r="F7287" t="inlineStr">
        <is>
          <t>Sveaskog</t>
        </is>
      </c>
      <c r="G7287" t="n">
        <v>8.9</v>
      </c>
      <c r="H7287" t="n">
        <v>0</v>
      </c>
      <c r="I7287" t="n">
        <v>0</v>
      </c>
      <c r="J7287" t="n">
        <v>0</v>
      </c>
      <c r="K7287" t="n">
        <v>0</v>
      </c>
      <c r="L7287" t="n">
        <v>0</v>
      </c>
      <c r="M7287" t="n">
        <v>0</v>
      </c>
      <c r="N7287" t="n">
        <v>0</v>
      </c>
      <c r="O7287" t="n">
        <v>0</v>
      </c>
      <c r="P7287" t="n">
        <v>0</v>
      </c>
      <c r="Q7287" t="n">
        <v>0</v>
      </c>
      <c r="R7287" s="2" t="inlineStr"/>
    </row>
    <row r="7288" ht="15" customHeight="1">
      <c r="A7288" t="inlineStr">
        <is>
          <t>A 27929-2024</t>
        </is>
      </c>
      <c r="B7288" s="1" t="n">
        <v>45475.94980324074</v>
      </c>
      <c r="C7288" s="1" t="n">
        <v>46075</v>
      </c>
      <c r="D7288" t="inlineStr">
        <is>
          <t>VÄSTERBOTTENS LÄN</t>
        </is>
      </c>
      <c r="E7288" t="inlineStr">
        <is>
          <t>LYCKSELE</t>
        </is>
      </c>
      <c r="F7288" t="inlineStr">
        <is>
          <t>Naturvårdsverket</t>
        </is>
      </c>
      <c r="G7288" t="n">
        <v>2.4</v>
      </c>
      <c r="H7288" t="n">
        <v>0</v>
      </c>
      <c r="I7288" t="n">
        <v>0</v>
      </c>
      <c r="J7288" t="n">
        <v>0</v>
      </c>
      <c r="K7288" t="n">
        <v>0</v>
      </c>
      <c r="L7288" t="n">
        <v>0</v>
      </c>
      <c r="M7288" t="n">
        <v>0</v>
      </c>
      <c r="N7288" t="n">
        <v>0</v>
      </c>
      <c r="O7288" t="n">
        <v>0</v>
      </c>
      <c r="P7288" t="n">
        <v>0</v>
      </c>
      <c r="Q7288" t="n">
        <v>0</v>
      </c>
      <c r="R7288" s="2" t="inlineStr"/>
    </row>
    <row r="7289" ht="15" customHeight="1">
      <c r="A7289" t="inlineStr">
        <is>
          <t>A 27932-2024</t>
        </is>
      </c>
      <c r="B7289" s="1" t="n">
        <v>45475.95016203704</v>
      </c>
      <c r="C7289" s="1" t="n">
        <v>46075</v>
      </c>
      <c r="D7289" t="inlineStr">
        <is>
          <t>VÄSTERBOTTENS LÄN</t>
        </is>
      </c>
      <c r="E7289" t="inlineStr">
        <is>
          <t>LYCKSELE</t>
        </is>
      </c>
      <c r="F7289" t="inlineStr">
        <is>
          <t>Naturvårdsverket</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52680-2021</t>
        </is>
      </c>
      <c r="B7290" s="1" t="n">
        <v>44466</v>
      </c>
      <c r="C7290" s="1" t="n">
        <v>46075</v>
      </c>
      <c r="D7290" t="inlineStr">
        <is>
          <t>VÄSTERBOTTENS LÄN</t>
        </is>
      </c>
      <c r="E7290" t="inlineStr">
        <is>
          <t>SORSELE</t>
        </is>
      </c>
      <c r="G7290" t="n">
        <v>10.5</v>
      </c>
      <c r="H7290" t="n">
        <v>0</v>
      </c>
      <c r="I7290" t="n">
        <v>0</v>
      </c>
      <c r="J7290" t="n">
        <v>0</v>
      </c>
      <c r="K7290" t="n">
        <v>0</v>
      </c>
      <c r="L7290" t="n">
        <v>0</v>
      </c>
      <c r="M7290" t="n">
        <v>0</v>
      </c>
      <c r="N7290" t="n">
        <v>0</v>
      </c>
      <c r="O7290" t="n">
        <v>0</v>
      </c>
      <c r="P7290" t="n">
        <v>0</v>
      </c>
      <c r="Q7290" t="n">
        <v>0</v>
      </c>
      <c r="R7290" s="2" t="inlineStr"/>
    </row>
    <row r="7291" ht="15" customHeight="1">
      <c r="A7291" t="inlineStr">
        <is>
          <t>A 9497-2025</t>
        </is>
      </c>
      <c r="B7291" s="1" t="n">
        <v>45715.51086805556</v>
      </c>
      <c r="C7291" s="1" t="n">
        <v>46075</v>
      </c>
      <c r="D7291" t="inlineStr">
        <is>
          <t>VÄSTERBOTTENS LÄN</t>
        </is>
      </c>
      <c r="E7291" t="inlineStr">
        <is>
          <t>VILHELMINA</t>
        </is>
      </c>
      <c r="F7291" t="inlineStr">
        <is>
          <t>SCA</t>
        </is>
      </c>
      <c r="G7291" t="n">
        <v>3.3</v>
      </c>
      <c r="H7291" t="n">
        <v>0</v>
      </c>
      <c r="I7291" t="n">
        <v>0</v>
      </c>
      <c r="J7291" t="n">
        <v>0</v>
      </c>
      <c r="K7291" t="n">
        <v>0</v>
      </c>
      <c r="L7291" t="n">
        <v>0</v>
      </c>
      <c r="M7291" t="n">
        <v>0</v>
      </c>
      <c r="N7291" t="n">
        <v>0</v>
      </c>
      <c r="O7291" t="n">
        <v>0</v>
      </c>
      <c r="P7291" t="n">
        <v>0</v>
      </c>
      <c r="Q7291" t="n">
        <v>0</v>
      </c>
      <c r="R7291" s="2" t="inlineStr"/>
    </row>
    <row r="7292" ht="15" customHeight="1">
      <c r="A7292" t="inlineStr">
        <is>
          <t>A 4618-2023</t>
        </is>
      </c>
      <c r="B7292" s="1" t="n">
        <v>44956</v>
      </c>
      <c r="C7292" s="1" t="n">
        <v>46075</v>
      </c>
      <c r="D7292" t="inlineStr">
        <is>
          <t>VÄSTERBOTTENS LÄN</t>
        </is>
      </c>
      <c r="E7292" t="inlineStr">
        <is>
          <t>DOROTEA</t>
        </is>
      </c>
      <c r="F7292" t="inlineStr">
        <is>
          <t>SCA</t>
        </is>
      </c>
      <c r="G7292" t="n">
        <v>2.3</v>
      </c>
      <c r="H7292" t="n">
        <v>0</v>
      </c>
      <c r="I7292" t="n">
        <v>0</v>
      </c>
      <c r="J7292" t="n">
        <v>0</v>
      </c>
      <c r="K7292" t="n">
        <v>0</v>
      </c>
      <c r="L7292" t="n">
        <v>0</v>
      </c>
      <c r="M7292" t="n">
        <v>0</v>
      </c>
      <c r="N7292" t="n">
        <v>0</v>
      </c>
      <c r="O7292" t="n">
        <v>0</v>
      </c>
      <c r="P7292" t="n">
        <v>0</v>
      </c>
      <c r="Q7292" t="n">
        <v>0</v>
      </c>
      <c r="R7292" s="2" t="inlineStr"/>
    </row>
    <row r="7293" ht="15" customHeight="1">
      <c r="A7293" t="inlineStr">
        <is>
          <t>A 4673-2023</t>
        </is>
      </c>
      <c r="B7293" s="1" t="n">
        <v>44952</v>
      </c>
      <c r="C7293" s="1" t="n">
        <v>46075</v>
      </c>
      <c r="D7293" t="inlineStr">
        <is>
          <t>VÄSTERBOTTENS LÄN</t>
        </is>
      </c>
      <c r="E7293" t="inlineStr">
        <is>
          <t>LYCKSELE</t>
        </is>
      </c>
      <c r="G7293" t="n">
        <v>3.4</v>
      </c>
      <c r="H7293" t="n">
        <v>0</v>
      </c>
      <c r="I7293" t="n">
        <v>0</v>
      </c>
      <c r="J7293" t="n">
        <v>0</v>
      </c>
      <c r="K7293" t="n">
        <v>0</v>
      </c>
      <c r="L7293" t="n">
        <v>0</v>
      </c>
      <c r="M7293" t="n">
        <v>0</v>
      </c>
      <c r="N7293" t="n">
        <v>0</v>
      </c>
      <c r="O7293" t="n">
        <v>0</v>
      </c>
      <c r="P7293" t="n">
        <v>0</v>
      </c>
      <c r="Q7293" t="n">
        <v>0</v>
      </c>
      <c r="R7293" s="2" t="inlineStr"/>
    </row>
    <row r="7294" ht="15" customHeight="1">
      <c r="A7294" t="inlineStr">
        <is>
          <t>A 62874-2023</t>
        </is>
      </c>
      <c r="B7294" s="1" t="n">
        <v>45271</v>
      </c>
      <c r="C7294" s="1" t="n">
        <v>46075</v>
      </c>
      <c r="D7294" t="inlineStr">
        <is>
          <t>VÄSTERBOTTENS LÄN</t>
        </is>
      </c>
      <c r="E7294" t="inlineStr">
        <is>
          <t>LYCKSELE</t>
        </is>
      </c>
      <c r="G7294" t="n">
        <v>4.4</v>
      </c>
      <c r="H7294" t="n">
        <v>0</v>
      </c>
      <c r="I7294" t="n">
        <v>0</v>
      </c>
      <c r="J7294" t="n">
        <v>0</v>
      </c>
      <c r="K7294" t="n">
        <v>0</v>
      </c>
      <c r="L7294" t="n">
        <v>0</v>
      </c>
      <c r="M7294" t="n">
        <v>0</v>
      </c>
      <c r="N7294" t="n">
        <v>0</v>
      </c>
      <c r="O7294" t="n">
        <v>0</v>
      </c>
      <c r="P7294" t="n">
        <v>0</v>
      </c>
      <c r="Q7294" t="n">
        <v>0</v>
      </c>
      <c r="R7294" s="2" t="inlineStr"/>
    </row>
    <row r="7295" ht="15" customHeight="1">
      <c r="A7295" t="inlineStr">
        <is>
          <t>A 904-2023</t>
        </is>
      </c>
      <c r="B7295" s="1" t="n">
        <v>44931</v>
      </c>
      <c r="C7295" s="1" t="n">
        <v>46075</v>
      </c>
      <c r="D7295" t="inlineStr">
        <is>
          <t>VÄSTERBOTTENS LÄN</t>
        </is>
      </c>
      <c r="E7295" t="inlineStr">
        <is>
          <t>SKELLEFTEÅ</t>
        </is>
      </c>
      <c r="G7295" t="n">
        <v>22.2</v>
      </c>
      <c r="H7295" t="n">
        <v>0</v>
      </c>
      <c r="I7295" t="n">
        <v>0</v>
      </c>
      <c r="J7295" t="n">
        <v>0</v>
      </c>
      <c r="K7295" t="n">
        <v>0</v>
      </c>
      <c r="L7295" t="n">
        <v>0</v>
      </c>
      <c r="M7295" t="n">
        <v>0</v>
      </c>
      <c r="N7295" t="n">
        <v>0</v>
      </c>
      <c r="O7295" t="n">
        <v>0</v>
      </c>
      <c r="P7295" t="n">
        <v>0</v>
      </c>
      <c r="Q7295" t="n">
        <v>0</v>
      </c>
      <c r="R7295" s="2" t="inlineStr"/>
    </row>
    <row r="7296" ht="15" customHeight="1">
      <c r="A7296" t="inlineStr">
        <is>
          <t>A 55464-2025</t>
        </is>
      </c>
      <c r="B7296" s="1" t="n">
        <v>45971</v>
      </c>
      <c r="C7296" s="1" t="n">
        <v>46075</v>
      </c>
      <c r="D7296" t="inlineStr">
        <is>
          <t>VÄSTERBOTTENS LÄN</t>
        </is>
      </c>
      <c r="E7296" t="inlineStr">
        <is>
          <t>SKELLEFTEÅ</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55469-2025</t>
        </is>
      </c>
      <c r="B7297" s="1" t="n">
        <v>45971.53099537037</v>
      </c>
      <c r="C7297" s="1" t="n">
        <v>46075</v>
      </c>
      <c r="D7297" t="inlineStr">
        <is>
          <t>VÄSTERBOTTENS LÄN</t>
        </is>
      </c>
      <c r="E7297" t="inlineStr">
        <is>
          <t>SKELLEFTEÅ</t>
        </is>
      </c>
      <c r="F7297" t="inlineStr">
        <is>
          <t>Holmen skog AB</t>
        </is>
      </c>
      <c r="G7297" t="n">
        <v>17.5</v>
      </c>
      <c r="H7297" t="n">
        <v>0</v>
      </c>
      <c r="I7297" t="n">
        <v>0</v>
      </c>
      <c r="J7297" t="n">
        <v>0</v>
      </c>
      <c r="K7297" t="n">
        <v>0</v>
      </c>
      <c r="L7297" t="n">
        <v>0</v>
      </c>
      <c r="M7297" t="n">
        <v>0</v>
      </c>
      <c r="N7297" t="n">
        <v>0</v>
      </c>
      <c r="O7297" t="n">
        <v>0</v>
      </c>
      <c r="P7297" t="n">
        <v>0</v>
      </c>
      <c r="Q7297" t="n">
        <v>0</v>
      </c>
      <c r="R7297" s="2" t="inlineStr"/>
    </row>
    <row r="7298" ht="15" customHeight="1">
      <c r="A7298" t="inlineStr">
        <is>
          <t>A 2933-2022</t>
        </is>
      </c>
      <c r="B7298" s="1" t="n">
        <v>44581</v>
      </c>
      <c r="C7298" s="1" t="n">
        <v>46075</v>
      </c>
      <c r="D7298" t="inlineStr">
        <is>
          <t>VÄSTERBOTTENS LÄN</t>
        </is>
      </c>
      <c r="E7298" t="inlineStr">
        <is>
          <t>VÄNNÄS</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55520-2025</t>
        </is>
      </c>
      <c r="B7299" s="1" t="n">
        <v>45971.60607638889</v>
      </c>
      <c r="C7299" s="1" t="n">
        <v>46075</v>
      </c>
      <c r="D7299" t="inlineStr">
        <is>
          <t>VÄSTERBOTTENS LÄN</t>
        </is>
      </c>
      <c r="E7299" t="inlineStr">
        <is>
          <t>STORUMAN</t>
        </is>
      </c>
      <c r="G7299" t="n">
        <v>8.9</v>
      </c>
      <c r="H7299" t="n">
        <v>0</v>
      </c>
      <c r="I7299" t="n">
        <v>0</v>
      </c>
      <c r="J7299" t="n">
        <v>0</v>
      </c>
      <c r="K7299" t="n">
        <v>0</v>
      </c>
      <c r="L7299" t="n">
        <v>0</v>
      </c>
      <c r="M7299" t="n">
        <v>0</v>
      </c>
      <c r="N7299" t="n">
        <v>0</v>
      </c>
      <c r="O7299" t="n">
        <v>0</v>
      </c>
      <c r="P7299" t="n">
        <v>0</v>
      </c>
      <c r="Q7299" t="n">
        <v>0</v>
      </c>
      <c r="R7299" s="2" t="inlineStr"/>
    </row>
    <row r="7300" ht="15" customHeight="1">
      <c r="A7300" t="inlineStr">
        <is>
          <t>A 23217-2024</t>
        </is>
      </c>
      <c r="B7300" s="1" t="n">
        <v>45452.64719907408</v>
      </c>
      <c r="C7300" s="1" t="n">
        <v>46075</v>
      </c>
      <c r="D7300" t="inlineStr">
        <is>
          <t>VÄSTERBOTTENS LÄN</t>
        </is>
      </c>
      <c r="E7300" t="inlineStr">
        <is>
          <t>VINDELN</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55241-2025</t>
        </is>
      </c>
      <c r="B7301" s="1" t="n">
        <v>45968</v>
      </c>
      <c r="C7301" s="1" t="n">
        <v>46075</v>
      </c>
      <c r="D7301" t="inlineStr">
        <is>
          <t>VÄSTERBOTTENS LÄN</t>
        </is>
      </c>
      <c r="E7301" t="inlineStr">
        <is>
          <t>ROBERTSFORS</t>
        </is>
      </c>
      <c r="G7301" t="n">
        <v>3.1</v>
      </c>
      <c r="H7301" t="n">
        <v>0</v>
      </c>
      <c r="I7301" t="n">
        <v>0</v>
      </c>
      <c r="J7301" t="n">
        <v>0</v>
      </c>
      <c r="K7301" t="n">
        <v>0</v>
      </c>
      <c r="L7301" t="n">
        <v>0</v>
      </c>
      <c r="M7301" t="n">
        <v>0</v>
      </c>
      <c r="N7301" t="n">
        <v>0</v>
      </c>
      <c r="O7301" t="n">
        <v>0</v>
      </c>
      <c r="P7301" t="n">
        <v>0</v>
      </c>
      <c r="Q7301" t="n">
        <v>0</v>
      </c>
      <c r="R7301" s="2" t="inlineStr"/>
    </row>
    <row r="7302" ht="15" customHeight="1">
      <c r="A7302" t="inlineStr">
        <is>
          <t>A 55249-2025</t>
        </is>
      </c>
      <c r="B7302" s="1" t="n">
        <v>45968.62826388889</v>
      </c>
      <c r="C7302" s="1" t="n">
        <v>46075</v>
      </c>
      <c r="D7302" t="inlineStr">
        <is>
          <t>VÄSTERBOTTENS LÄN</t>
        </is>
      </c>
      <c r="E7302" t="inlineStr">
        <is>
          <t>STORUMAN</t>
        </is>
      </c>
      <c r="G7302" t="n">
        <v>2.6</v>
      </c>
      <c r="H7302" t="n">
        <v>0</v>
      </c>
      <c r="I7302" t="n">
        <v>0</v>
      </c>
      <c r="J7302" t="n">
        <v>0</v>
      </c>
      <c r="K7302" t="n">
        <v>0</v>
      </c>
      <c r="L7302" t="n">
        <v>0</v>
      </c>
      <c r="M7302" t="n">
        <v>0</v>
      </c>
      <c r="N7302" t="n">
        <v>0</v>
      </c>
      <c r="O7302" t="n">
        <v>0</v>
      </c>
      <c r="P7302" t="n">
        <v>0</v>
      </c>
      <c r="Q7302" t="n">
        <v>0</v>
      </c>
      <c r="R7302" s="2" t="inlineStr"/>
    </row>
    <row r="7303" ht="15" customHeight="1">
      <c r="A7303" t="inlineStr">
        <is>
          <t>A 32475-2024</t>
        </is>
      </c>
      <c r="B7303" s="1" t="n">
        <v>45513.33157407407</v>
      </c>
      <c r="C7303" s="1" t="n">
        <v>46075</v>
      </c>
      <c r="D7303" t="inlineStr">
        <is>
          <t>VÄSTERBOTTENS LÄN</t>
        </is>
      </c>
      <c r="E7303" t="inlineStr">
        <is>
          <t>LYCKSELE</t>
        </is>
      </c>
      <c r="F7303" t="inlineStr">
        <is>
          <t>Holmen skog AB</t>
        </is>
      </c>
      <c r="G7303" t="n">
        <v>2.8</v>
      </c>
      <c r="H7303" t="n">
        <v>0</v>
      </c>
      <c r="I7303" t="n">
        <v>0</v>
      </c>
      <c r="J7303" t="n">
        <v>0</v>
      </c>
      <c r="K7303" t="n">
        <v>0</v>
      </c>
      <c r="L7303" t="n">
        <v>0</v>
      </c>
      <c r="M7303" t="n">
        <v>0</v>
      </c>
      <c r="N7303" t="n">
        <v>0</v>
      </c>
      <c r="O7303" t="n">
        <v>0</v>
      </c>
      <c r="P7303" t="n">
        <v>0</v>
      </c>
      <c r="Q7303" t="n">
        <v>0</v>
      </c>
      <c r="R7303" s="2" t="inlineStr"/>
    </row>
    <row r="7304" ht="15" customHeight="1">
      <c r="A7304" t="inlineStr">
        <is>
          <t>A 55551-2025</t>
        </is>
      </c>
      <c r="B7304" s="1" t="n">
        <v>45971.63873842593</v>
      </c>
      <c r="C7304" s="1" t="n">
        <v>46075</v>
      </c>
      <c r="D7304" t="inlineStr">
        <is>
          <t>VÄSTERBOTTENS LÄN</t>
        </is>
      </c>
      <c r="E7304" t="inlineStr">
        <is>
          <t>LYCKSELE</t>
        </is>
      </c>
      <c r="G7304" t="n">
        <v>5.6</v>
      </c>
      <c r="H7304" t="n">
        <v>0</v>
      </c>
      <c r="I7304" t="n">
        <v>0</v>
      </c>
      <c r="J7304" t="n">
        <v>0</v>
      </c>
      <c r="K7304" t="n">
        <v>0</v>
      </c>
      <c r="L7304" t="n">
        <v>0</v>
      </c>
      <c r="M7304" t="n">
        <v>0</v>
      </c>
      <c r="N7304" t="n">
        <v>0</v>
      </c>
      <c r="O7304" t="n">
        <v>0</v>
      </c>
      <c r="P7304" t="n">
        <v>0</v>
      </c>
      <c r="Q7304" t="n">
        <v>0</v>
      </c>
      <c r="R7304" s="2" t="inlineStr"/>
    </row>
    <row r="7305" ht="15" customHeight="1">
      <c r="A7305" t="inlineStr">
        <is>
          <t>A 55566-2025</t>
        </is>
      </c>
      <c r="B7305" s="1" t="n">
        <v>45971.65574074074</v>
      </c>
      <c r="C7305" s="1" t="n">
        <v>46075</v>
      </c>
      <c r="D7305" t="inlineStr">
        <is>
          <t>VÄSTERBOTTENS LÄN</t>
        </is>
      </c>
      <c r="E7305" t="inlineStr">
        <is>
          <t>ÅSELE</t>
        </is>
      </c>
      <c r="F7305" t="inlineStr">
        <is>
          <t>Holmen skog AB</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55623-2025</t>
        </is>
      </c>
      <c r="B7306" s="1" t="n">
        <v>45971</v>
      </c>
      <c r="C7306" s="1" t="n">
        <v>46075</v>
      </c>
      <c r="D7306" t="inlineStr">
        <is>
          <t>VÄSTERBOTTENS LÄN</t>
        </is>
      </c>
      <c r="E7306" t="inlineStr">
        <is>
          <t>DOROTEA</t>
        </is>
      </c>
      <c r="G7306" t="n">
        <v>5.5</v>
      </c>
      <c r="H7306" t="n">
        <v>0</v>
      </c>
      <c r="I7306" t="n">
        <v>0</v>
      </c>
      <c r="J7306" t="n">
        <v>0</v>
      </c>
      <c r="K7306" t="n">
        <v>0</v>
      </c>
      <c r="L7306" t="n">
        <v>0</v>
      </c>
      <c r="M7306" t="n">
        <v>0</v>
      </c>
      <c r="N7306" t="n">
        <v>0</v>
      </c>
      <c r="O7306" t="n">
        <v>0</v>
      </c>
      <c r="P7306" t="n">
        <v>0</v>
      </c>
      <c r="Q7306" t="n">
        <v>0</v>
      </c>
      <c r="R7306" s="2" t="inlineStr"/>
    </row>
    <row r="7307" ht="15" customHeight="1">
      <c r="A7307" t="inlineStr">
        <is>
          <t>A 55938-2023</t>
        </is>
      </c>
      <c r="B7307" s="1" t="n">
        <v>45240.28634259259</v>
      </c>
      <c r="C7307" s="1" t="n">
        <v>46075</v>
      </c>
      <c r="D7307" t="inlineStr">
        <is>
          <t>VÄSTERBOTTENS LÄN</t>
        </is>
      </c>
      <c r="E7307" t="inlineStr">
        <is>
          <t>LYCKSELE</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52536-2023</t>
        </is>
      </c>
      <c r="B7308" s="1" t="n">
        <v>45218</v>
      </c>
      <c r="C7308" s="1" t="n">
        <v>46075</v>
      </c>
      <c r="D7308" t="inlineStr">
        <is>
          <t>VÄSTERBOTTENS LÄN</t>
        </is>
      </c>
      <c r="E7308" t="inlineStr">
        <is>
          <t>VÄNNÄS</t>
        </is>
      </c>
      <c r="G7308" t="n">
        <v>3.8</v>
      </c>
      <c r="H7308" t="n">
        <v>0</v>
      </c>
      <c r="I7308" t="n">
        <v>0</v>
      </c>
      <c r="J7308" t="n">
        <v>0</v>
      </c>
      <c r="K7308" t="n">
        <v>0</v>
      </c>
      <c r="L7308" t="n">
        <v>0</v>
      </c>
      <c r="M7308" t="n">
        <v>0</v>
      </c>
      <c r="N7308" t="n">
        <v>0</v>
      </c>
      <c r="O7308" t="n">
        <v>0</v>
      </c>
      <c r="P7308" t="n">
        <v>0</v>
      </c>
      <c r="Q7308" t="n">
        <v>0</v>
      </c>
      <c r="R7308" s="2" t="inlineStr"/>
    </row>
    <row r="7309" ht="15" customHeight="1">
      <c r="A7309" t="inlineStr">
        <is>
          <t>A 21854-2024</t>
        </is>
      </c>
      <c r="B7309" s="1" t="n">
        <v>45442</v>
      </c>
      <c r="C7309" s="1" t="n">
        <v>46075</v>
      </c>
      <c r="D7309" t="inlineStr">
        <is>
          <t>VÄSTERBOTTENS LÄN</t>
        </is>
      </c>
      <c r="E7309" t="inlineStr">
        <is>
          <t>SKELLEFTEÅ</t>
        </is>
      </c>
      <c r="F7309" t="inlineStr">
        <is>
          <t>SCA</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55247-2025</t>
        </is>
      </c>
      <c r="B7310" s="1" t="n">
        <v>45968.62555555555</v>
      </c>
      <c r="C7310" s="1" t="n">
        <v>46075</v>
      </c>
      <c r="D7310" t="inlineStr">
        <is>
          <t>VÄSTERBOTTENS LÄN</t>
        </is>
      </c>
      <c r="E7310" t="inlineStr">
        <is>
          <t>SKELLEFTEÅ</t>
        </is>
      </c>
      <c r="G7310" t="n">
        <v>4.6</v>
      </c>
      <c r="H7310" t="n">
        <v>0</v>
      </c>
      <c r="I7310" t="n">
        <v>0</v>
      </c>
      <c r="J7310" t="n">
        <v>0</v>
      </c>
      <c r="K7310" t="n">
        <v>0</v>
      </c>
      <c r="L7310" t="n">
        <v>0</v>
      </c>
      <c r="M7310" t="n">
        <v>0</v>
      </c>
      <c r="N7310" t="n">
        <v>0</v>
      </c>
      <c r="O7310" t="n">
        <v>0</v>
      </c>
      <c r="P7310" t="n">
        <v>0</v>
      </c>
      <c r="Q7310" t="n">
        <v>0</v>
      </c>
      <c r="R7310" s="2" t="inlineStr"/>
    </row>
    <row r="7311" ht="15" customHeight="1">
      <c r="A7311" t="inlineStr">
        <is>
          <t>A 55251-2025</t>
        </is>
      </c>
      <c r="B7311" s="1" t="n">
        <v>45968</v>
      </c>
      <c r="C7311" s="1" t="n">
        <v>46075</v>
      </c>
      <c r="D7311" t="inlineStr">
        <is>
          <t>VÄSTERBOTTENS LÄN</t>
        </is>
      </c>
      <c r="E7311" t="inlineStr">
        <is>
          <t>SKELLEFTEÅ</t>
        </is>
      </c>
      <c r="G7311" t="n">
        <v>12.6</v>
      </c>
      <c r="H7311" t="n">
        <v>0</v>
      </c>
      <c r="I7311" t="n">
        <v>0</v>
      </c>
      <c r="J7311" t="n">
        <v>0</v>
      </c>
      <c r="K7311" t="n">
        <v>0</v>
      </c>
      <c r="L7311" t="n">
        <v>0</v>
      </c>
      <c r="M7311" t="n">
        <v>0</v>
      </c>
      <c r="N7311" t="n">
        <v>0</v>
      </c>
      <c r="O7311" t="n">
        <v>0</v>
      </c>
      <c r="P7311" t="n">
        <v>0</v>
      </c>
      <c r="Q7311" t="n">
        <v>0</v>
      </c>
      <c r="R7311" s="2" t="inlineStr"/>
    </row>
    <row r="7312" ht="15" customHeight="1">
      <c r="A7312" t="inlineStr">
        <is>
          <t>A 55252-2025</t>
        </is>
      </c>
      <c r="B7312" s="1" t="n">
        <v>45968.63385416667</v>
      </c>
      <c r="C7312" s="1" t="n">
        <v>46075</v>
      </c>
      <c r="D7312" t="inlineStr">
        <is>
          <t>VÄSTERBOTTENS LÄN</t>
        </is>
      </c>
      <c r="E7312" t="inlineStr">
        <is>
          <t>SKELLEFTEÅ</t>
        </is>
      </c>
      <c r="G7312" t="n">
        <v>4.2</v>
      </c>
      <c r="H7312" t="n">
        <v>0</v>
      </c>
      <c r="I7312" t="n">
        <v>0</v>
      </c>
      <c r="J7312" t="n">
        <v>0</v>
      </c>
      <c r="K7312" t="n">
        <v>0</v>
      </c>
      <c r="L7312" t="n">
        <v>0</v>
      </c>
      <c r="M7312" t="n">
        <v>0</v>
      </c>
      <c r="N7312" t="n">
        <v>0</v>
      </c>
      <c r="O7312" t="n">
        <v>0</v>
      </c>
      <c r="P7312" t="n">
        <v>0</v>
      </c>
      <c r="Q7312" t="n">
        <v>0</v>
      </c>
      <c r="R7312" s="2" t="inlineStr"/>
    </row>
    <row r="7313" ht="15" customHeight="1">
      <c r="A7313" t="inlineStr">
        <is>
          <t>A 42861-2024</t>
        </is>
      </c>
      <c r="B7313" s="1" t="n">
        <v>45566.65780092592</v>
      </c>
      <c r="C7313" s="1" t="n">
        <v>46075</v>
      </c>
      <c r="D7313" t="inlineStr">
        <is>
          <t>VÄSTERBOTTENS LÄN</t>
        </is>
      </c>
      <c r="E7313" t="inlineStr">
        <is>
          <t>SKELLEFTEÅ</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46727-2023</t>
        </is>
      </c>
      <c r="B7314" s="1" t="n">
        <v>45198</v>
      </c>
      <c r="C7314" s="1" t="n">
        <v>46075</v>
      </c>
      <c r="D7314" t="inlineStr">
        <is>
          <t>VÄSTERBOTTENS LÄN</t>
        </is>
      </c>
      <c r="E7314" t="inlineStr">
        <is>
          <t>UMEÅ</t>
        </is>
      </c>
      <c r="G7314" t="n">
        <v>4.3</v>
      </c>
      <c r="H7314" t="n">
        <v>0</v>
      </c>
      <c r="I7314" t="n">
        <v>0</v>
      </c>
      <c r="J7314" t="n">
        <v>0</v>
      </c>
      <c r="K7314" t="n">
        <v>0</v>
      </c>
      <c r="L7314" t="n">
        <v>0</v>
      </c>
      <c r="M7314" t="n">
        <v>0</v>
      </c>
      <c r="N7314" t="n">
        <v>0</v>
      </c>
      <c r="O7314" t="n">
        <v>0</v>
      </c>
      <c r="P7314" t="n">
        <v>0</v>
      </c>
      <c r="Q7314" t="n">
        <v>0</v>
      </c>
      <c r="R7314" s="2" t="inlineStr"/>
    </row>
    <row r="7315" ht="15" customHeight="1">
      <c r="A7315" t="inlineStr">
        <is>
          <t>A 10696-2023</t>
        </is>
      </c>
      <c r="B7315" s="1" t="n">
        <v>44984</v>
      </c>
      <c r="C7315" s="1" t="n">
        <v>46075</v>
      </c>
      <c r="D7315" t="inlineStr">
        <is>
          <t>VÄSTERBOTTENS LÄN</t>
        </is>
      </c>
      <c r="E7315" t="inlineStr">
        <is>
          <t>SKELLEFTEÅ</t>
        </is>
      </c>
      <c r="G7315" t="n">
        <v>3.3</v>
      </c>
      <c r="H7315" t="n">
        <v>0</v>
      </c>
      <c r="I7315" t="n">
        <v>0</v>
      </c>
      <c r="J7315" t="n">
        <v>0</v>
      </c>
      <c r="K7315" t="n">
        <v>0</v>
      </c>
      <c r="L7315" t="n">
        <v>0</v>
      </c>
      <c r="M7315" t="n">
        <v>0</v>
      </c>
      <c r="N7315" t="n">
        <v>0</v>
      </c>
      <c r="O7315" t="n">
        <v>0</v>
      </c>
      <c r="P7315" t="n">
        <v>0</v>
      </c>
      <c r="Q7315" t="n">
        <v>0</v>
      </c>
      <c r="R7315" s="2" t="inlineStr"/>
    </row>
    <row r="7316" ht="15" customHeight="1">
      <c r="A7316" t="inlineStr">
        <is>
          <t>A 55088-2025</t>
        </is>
      </c>
      <c r="B7316" s="1" t="n">
        <v>45968.33479166667</v>
      </c>
      <c r="C7316" s="1" t="n">
        <v>46075</v>
      </c>
      <c r="D7316" t="inlineStr">
        <is>
          <t>VÄSTERBOTTENS LÄN</t>
        </is>
      </c>
      <c r="E7316" t="inlineStr">
        <is>
          <t>SKELLEFTEÅ</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55092-2025</t>
        </is>
      </c>
      <c r="B7317" s="1" t="n">
        <v>45968.34462962963</v>
      </c>
      <c r="C7317" s="1" t="n">
        <v>46075</v>
      </c>
      <c r="D7317" t="inlineStr">
        <is>
          <t>VÄSTERBOTTENS LÄN</t>
        </is>
      </c>
      <c r="E7317" t="inlineStr">
        <is>
          <t>VILHELMINA</t>
        </is>
      </c>
      <c r="F7317" t="inlineStr">
        <is>
          <t>SCA</t>
        </is>
      </c>
      <c r="G7317" t="n">
        <v>1.9</v>
      </c>
      <c r="H7317" t="n">
        <v>0</v>
      </c>
      <c r="I7317" t="n">
        <v>0</v>
      </c>
      <c r="J7317" t="n">
        <v>0</v>
      </c>
      <c r="K7317" t="n">
        <v>0</v>
      </c>
      <c r="L7317" t="n">
        <v>0</v>
      </c>
      <c r="M7317" t="n">
        <v>0</v>
      </c>
      <c r="N7317" t="n">
        <v>0</v>
      </c>
      <c r="O7317" t="n">
        <v>0</v>
      </c>
      <c r="P7317" t="n">
        <v>0</v>
      </c>
      <c r="Q7317" t="n">
        <v>0</v>
      </c>
      <c r="R7317" s="2" t="inlineStr"/>
    </row>
    <row r="7318" ht="15" customHeight="1">
      <c r="A7318" t="inlineStr">
        <is>
          <t>A 53271-2021</t>
        </is>
      </c>
      <c r="B7318" s="1" t="n">
        <v>44467</v>
      </c>
      <c r="C7318" s="1" t="n">
        <v>46075</v>
      </c>
      <c r="D7318" t="inlineStr">
        <is>
          <t>VÄSTERBOTTENS LÄN</t>
        </is>
      </c>
      <c r="E7318" t="inlineStr">
        <is>
          <t>ROBERTSFORS</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15176-2022</t>
        </is>
      </c>
      <c r="B7319" s="1" t="n">
        <v>44658</v>
      </c>
      <c r="C7319" s="1" t="n">
        <v>46075</v>
      </c>
      <c r="D7319" t="inlineStr">
        <is>
          <t>VÄSTERBOTTENS LÄN</t>
        </is>
      </c>
      <c r="E7319" t="inlineStr">
        <is>
          <t>VILHELMINA</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55126-2025</t>
        </is>
      </c>
      <c r="B7320" s="1" t="n">
        <v>45968.40736111111</v>
      </c>
      <c r="C7320" s="1" t="n">
        <v>46075</v>
      </c>
      <c r="D7320" t="inlineStr">
        <is>
          <t>VÄSTERBOTTENS LÄN</t>
        </is>
      </c>
      <c r="E7320" t="inlineStr">
        <is>
          <t>MALÅ</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55127-2025</t>
        </is>
      </c>
      <c r="B7321" s="1" t="n">
        <v>45968.40739583333</v>
      </c>
      <c r="C7321" s="1" t="n">
        <v>46075</v>
      </c>
      <c r="D7321" t="inlineStr">
        <is>
          <t>VÄSTERBOTTENS LÄN</t>
        </is>
      </c>
      <c r="E7321" t="inlineStr">
        <is>
          <t>MALÅ</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55342-2025</t>
        </is>
      </c>
      <c r="B7322" s="1" t="n">
        <v>45971.34835648148</v>
      </c>
      <c r="C7322" s="1" t="n">
        <v>46075</v>
      </c>
      <c r="D7322" t="inlineStr">
        <is>
          <t>VÄSTERBOTTENS LÄN</t>
        </is>
      </c>
      <c r="E7322" t="inlineStr">
        <is>
          <t>ÅSELE</t>
        </is>
      </c>
      <c r="F7322" t="inlineStr">
        <is>
          <t>Holmen skog AB</t>
        </is>
      </c>
      <c r="G7322" t="n">
        <v>8.699999999999999</v>
      </c>
      <c r="H7322" t="n">
        <v>0</v>
      </c>
      <c r="I7322" t="n">
        <v>0</v>
      </c>
      <c r="J7322" t="n">
        <v>0</v>
      </c>
      <c r="K7322" t="n">
        <v>0</v>
      </c>
      <c r="L7322" t="n">
        <v>0</v>
      </c>
      <c r="M7322" t="n">
        <v>0</v>
      </c>
      <c r="N7322" t="n">
        <v>0</v>
      </c>
      <c r="O7322" t="n">
        <v>0</v>
      </c>
      <c r="P7322" t="n">
        <v>0</v>
      </c>
      <c r="Q7322" t="n">
        <v>0</v>
      </c>
      <c r="R7322" s="2" t="inlineStr"/>
    </row>
    <row r="7323" ht="15" customHeight="1">
      <c r="A7323" t="inlineStr">
        <is>
          <t>A 55169-2025</t>
        </is>
      </c>
      <c r="B7323" s="1" t="n">
        <v>45968.49219907408</v>
      </c>
      <c r="C7323" s="1" t="n">
        <v>46075</v>
      </c>
      <c r="D7323" t="inlineStr">
        <is>
          <t>VÄSTERBOTTENS LÄN</t>
        </is>
      </c>
      <c r="E7323" t="inlineStr">
        <is>
          <t>ÅSELE</t>
        </is>
      </c>
      <c r="F7323" t="inlineStr">
        <is>
          <t>Naturvårdsverket</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55216-2025</t>
        </is>
      </c>
      <c r="B7324" s="1" t="n">
        <v>45968.58465277778</v>
      </c>
      <c r="C7324" s="1" t="n">
        <v>46075</v>
      </c>
      <c r="D7324" t="inlineStr">
        <is>
          <t>VÄSTERBOTTENS LÄN</t>
        </is>
      </c>
      <c r="E7324" t="inlineStr">
        <is>
          <t>LYCKSELE</t>
        </is>
      </c>
      <c r="F7324" t="inlineStr">
        <is>
          <t>Naturvårdsverket</t>
        </is>
      </c>
      <c r="G7324" t="n">
        <v>8.699999999999999</v>
      </c>
      <c r="H7324" t="n">
        <v>0</v>
      </c>
      <c r="I7324" t="n">
        <v>0</v>
      </c>
      <c r="J7324" t="n">
        <v>0</v>
      </c>
      <c r="K7324" t="n">
        <v>0</v>
      </c>
      <c r="L7324" t="n">
        <v>0</v>
      </c>
      <c r="M7324" t="n">
        <v>0</v>
      </c>
      <c r="N7324" t="n">
        <v>0</v>
      </c>
      <c r="O7324" t="n">
        <v>0</v>
      </c>
      <c r="P7324" t="n">
        <v>0</v>
      </c>
      <c r="Q7324" t="n">
        <v>0</v>
      </c>
      <c r="R7324" s="2" t="inlineStr"/>
    </row>
    <row r="7325" ht="15" customHeight="1">
      <c r="A7325" t="inlineStr">
        <is>
          <t>A 55230-2025</t>
        </is>
      </c>
      <c r="B7325" s="1" t="n">
        <v>45968.60237268519</v>
      </c>
      <c r="C7325" s="1" t="n">
        <v>46075</v>
      </c>
      <c r="D7325" t="inlineStr">
        <is>
          <t>VÄSTERBOTTENS LÄN</t>
        </is>
      </c>
      <c r="E7325" t="inlineStr">
        <is>
          <t>STORUMAN</t>
        </is>
      </c>
      <c r="F7325" t="inlineStr">
        <is>
          <t>Sveaskog</t>
        </is>
      </c>
      <c r="G7325" t="n">
        <v>8.300000000000001</v>
      </c>
      <c r="H7325" t="n">
        <v>0</v>
      </c>
      <c r="I7325" t="n">
        <v>0</v>
      </c>
      <c r="J7325" t="n">
        <v>0</v>
      </c>
      <c r="K7325" t="n">
        <v>0</v>
      </c>
      <c r="L7325" t="n">
        <v>0</v>
      </c>
      <c r="M7325" t="n">
        <v>0</v>
      </c>
      <c r="N7325" t="n">
        <v>0</v>
      </c>
      <c r="O7325" t="n">
        <v>0</v>
      </c>
      <c r="P7325" t="n">
        <v>0</v>
      </c>
      <c r="Q7325" t="n">
        <v>0</v>
      </c>
      <c r="R7325" s="2" t="inlineStr"/>
    </row>
    <row r="7326" ht="15" customHeight="1">
      <c r="A7326" t="inlineStr">
        <is>
          <t>A 55231-2025</t>
        </is>
      </c>
      <c r="B7326" s="1" t="n">
        <v>45968.60631944444</v>
      </c>
      <c r="C7326" s="1" t="n">
        <v>46075</v>
      </c>
      <c r="D7326" t="inlineStr">
        <is>
          <t>VÄSTERBOTTENS LÄN</t>
        </is>
      </c>
      <c r="E7326" t="inlineStr">
        <is>
          <t>SKELLEFTEÅ</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62284-2023</t>
        </is>
      </c>
      <c r="B7327" s="1" t="n">
        <v>45267</v>
      </c>
      <c r="C7327" s="1" t="n">
        <v>46075</v>
      </c>
      <c r="D7327" t="inlineStr">
        <is>
          <t>VÄSTERBOTTENS LÄN</t>
        </is>
      </c>
      <c r="E7327" t="inlineStr">
        <is>
          <t>MALÅ</t>
        </is>
      </c>
      <c r="F7327" t="inlineStr">
        <is>
          <t>Sveaskog</t>
        </is>
      </c>
      <c r="G7327" t="n">
        <v>6.6</v>
      </c>
      <c r="H7327" t="n">
        <v>0</v>
      </c>
      <c r="I7327" t="n">
        <v>0</v>
      </c>
      <c r="J7327" t="n">
        <v>0</v>
      </c>
      <c r="K7327" t="n">
        <v>0</v>
      </c>
      <c r="L7327" t="n">
        <v>0</v>
      </c>
      <c r="M7327" t="n">
        <v>0</v>
      </c>
      <c r="N7327" t="n">
        <v>0</v>
      </c>
      <c r="O7327" t="n">
        <v>0</v>
      </c>
      <c r="P7327" t="n">
        <v>0</v>
      </c>
      <c r="Q7327" t="n">
        <v>0</v>
      </c>
      <c r="R7327" s="2" t="inlineStr"/>
    </row>
    <row r="7328" ht="15" customHeight="1">
      <c r="A7328" t="inlineStr">
        <is>
          <t>A 58872-2021</t>
        </is>
      </c>
      <c r="B7328" s="1" t="n">
        <v>44489</v>
      </c>
      <c r="C7328" s="1" t="n">
        <v>46075</v>
      </c>
      <c r="D7328" t="inlineStr">
        <is>
          <t>VÄSTERBOTTENS LÄN</t>
        </is>
      </c>
      <c r="E7328" t="inlineStr">
        <is>
          <t>SKELLEFTEÅ</t>
        </is>
      </c>
      <c r="G7328" t="n">
        <v>2.9</v>
      </c>
      <c r="H7328" t="n">
        <v>0</v>
      </c>
      <c r="I7328" t="n">
        <v>0</v>
      </c>
      <c r="J7328" t="n">
        <v>0</v>
      </c>
      <c r="K7328" t="n">
        <v>0</v>
      </c>
      <c r="L7328" t="n">
        <v>0</v>
      </c>
      <c r="M7328" t="n">
        <v>0</v>
      </c>
      <c r="N7328" t="n">
        <v>0</v>
      </c>
      <c r="O7328" t="n">
        <v>0</v>
      </c>
      <c r="P7328" t="n">
        <v>0</v>
      </c>
      <c r="Q7328" t="n">
        <v>0</v>
      </c>
      <c r="R7328" s="2" t="inlineStr"/>
    </row>
    <row r="7329" ht="15" customHeight="1">
      <c r="A7329" t="inlineStr">
        <is>
          <t>A 55145-2025</t>
        </is>
      </c>
      <c r="B7329" s="1" t="n">
        <v>45968</v>
      </c>
      <c r="C7329" s="1" t="n">
        <v>46075</v>
      </c>
      <c r="D7329" t="inlineStr">
        <is>
          <t>VÄSTERBOTTENS LÄN</t>
        </is>
      </c>
      <c r="E7329" t="inlineStr">
        <is>
          <t>SKELLEFTEÅ</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18052-2024</t>
        </is>
      </c>
      <c r="B7330" s="1" t="n">
        <v>45420</v>
      </c>
      <c r="C7330" s="1" t="n">
        <v>46075</v>
      </c>
      <c r="D7330" t="inlineStr">
        <is>
          <t>VÄSTERBOTTENS LÄN</t>
        </is>
      </c>
      <c r="E7330" t="inlineStr">
        <is>
          <t>SORSELE</t>
        </is>
      </c>
      <c r="G7330" t="n">
        <v>7.8</v>
      </c>
      <c r="H7330" t="n">
        <v>0</v>
      </c>
      <c r="I7330" t="n">
        <v>0</v>
      </c>
      <c r="J7330" t="n">
        <v>0</v>
      </c>
      <c r="K7330" t="n">
        <v>0</v>
      </c>
      <c r="L7330" t="n">
        <v>0</v>
      </c>
      <c r="M7330" t="n">
        <v>0</v>
      </c>
      <c r="N7330" t="n">
        <v>0</v>
      </c>
      <c r="O7330" t="n">
        <v>0</v>
      </c>
      <c r="P7330" t="n">
        <v>0</v>
      </c>
      <c r="Q7330" t="n">
        <v>0</v>
      </c>
      <c r="R7330" s="2" t="inlineStr"/>
    </row>
    <row r="7331" ht="15" customHeight="1">
      <c r="A7331" t="inlineStr">
        <is>
          <t>A 17284-2025</t>
        </is>
      </c>
      <c r="B7331" s="1" t="n">
        <v>45756.57346064815</v>
      </c>
      <c r="C7331" s="1" t="n">
        <v>46075</v>
      </c>
      <c r="D7331" t="inlineStr">
        <is>
          <t>VÄSTERBOTTENS LÄN</t>
        </is>
      </c>
      <c r="E7331" t="inlineStr">
        <is>
          <t>ÅSELE</t>
        </is>
      </c>
      <c r="F7331" t="inlineStr">
        <is>
          <t>SCA</t>
        </is>
      </c>
      <c r="G7331" t="n">
        <v>7.5</v>
      </c>
      <c r="H7331" t="n">
        <v>0</v>
      </c>
      <c r="I7331" t="n">
        <v>0</v>
      </c>
      <c r="J7331" t="n">
        <v>0</v>
      </c>
      <c r="K7331" t="n">
        <v>0</v>
      </c>
      <c r="L7331" t="n">
        <v>0</v>
      </c>
      <c r="M7331" t="n">
        <v>0</v>
      </c>
      <c r="N7331" t="n">
        <v>0</v>
      </c>
      <c r="O7331" t="n">
        <v>0</v>
      </c>
      <c r="P7331" t="n">
        <v>0</v>
      </c>
      <c r="Q7331" t="n">
        <v>0</v>
      </c>
      <c r="R7331" s="2" t="inlineStr"/>
    </row>
    <row r="7332" ht="15" customHeight="1">
      <c r="A7332" t="inlineStr">
        <is>
          <t>A 59799-2021</t>
        </is>
      </c>
      <c r="B7332" s="1" t="n">
        <v>44491</v>
      </c>
      <c r="C7332" s="1" t="n">
        <v>46075</v>
      </c>
      <c r="D7332" t="inlineStr">
        <is>
          <t>VÄSTERBOTTENS LÄN</t>
        </is>
      </c>
      <c r="E7332" t="inlineStr">
        <is>
          <t>VINDELN</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34736-2024</t>
        </is>
      </c>
      <c r="B7333" s="1" t="n">
        <v>45526</v>
      </c>
      <c r="C7333" s="1" t="n">
        <v>46075</v>
      </c>
      <c r="D7333" t="inlineStr">
        <is>
          <t>VÄSTERBOTTENS LÄN</t>
        </is>
      </c>
      <c r="E7333" t="inlineStr">
        <is>
          <t>VINDELN</t>
        </is>
      </c>
      <c r="F7333" t="inlineStr">
        <is>
          <t>Sveaskog</t>
        </is>
      </c>
      <c r="G7333" t="n">
        <v>14.7</v>
      </c>
      <c r="H7333" t="n">
        <v>0</v>
      </c>
      <c r="I7333" t="n">
        <v>0</v>
      </c>
      <c r="J7333" t="n">
        <v>0</v>
      </c>
      <c r="K7333" t="n">
        <v>0</v>
      </c>
      <c r="L7333" t="n">
        <v>0</v>
      </c>
      <c r="M7333" t="n">
        <v>0</v>
      </c>
      <c r="N7333" t="n">
        <v>0</v>
      </c>
      <c r="O7333" t="n">
        <v>0</v>
      </c>
      <c r="P7333" t="n">
        <v>0</v>
      </c>
      <c r="Q7333" t="n">
        <v>0</v>
      </c>
      <c r="R7333" s="2" t="inlineStr"/>
    </row>
    <row r="7334" ht="15" customHeight="1">
      <c r="A7334" t="inlineStr">
        <is>
          <t>A 33268-2022</t>
        </is>
      </c>
      <c r="B7334" s="1" t="n">
        <v>44788.32501157407</v>
      </c>
      <c r="C7334" s="1" t="n">
        <v>46075</v>
      </c>
      <c r="D7334" t="inlineStr">
        <is>
          <t>VÄSTERBOTTENS LÄN</t>
        </is>
      </c>
      <c r="E7334" t="inlineStr">
        <is>
          <t>SKELLEFTEÅ</t>
        </is>
      </c>
      <c r="G7334" t="n">
        <v>5.8</v>
      </c>
      <c r="H7334" t="n">
        <v>0</v>
      </c>
      <c r="I7334" t="n">
        <v>0</v>
      </c>
      <c r="J7334" t="n">
        <v>0</v>
      </c>
      <c r="K7334" t="n">
        <v>0</v>
      </c>
      <c r="L7334" t="n">
        <v>0</v>
      </c>
      <c r="M7334" t="n">
        <v>0</v>
      </c>
      <c r="N7334" t="n">
        <v>0</v>
      </c>
      <c r="O7334" t="n">
        <v>0</v>
      </c>
      <c r="P7334" t="n">
        <v>0</v>
      </c>
      <c r="Q7334" t="n">
        <v>0</v>
      </c>
      <c r="R7334" s="2" t="inlineStr"/>
    </row>
    <row r="7335" ht="15" customHeight="1">
      <c r="A7335" t="inlineStr">
        <is>
          <t>A 56515-2024</t>
        </is>
      </c>
      <c r="B7335" s="1" t="n">
        <v>45625.53189814815</v>
      </c>
      <c r="C7335" s="1" t="n">
        <v>46075</v>
      </c>
      <c r="D7335" t="inlineStr">
        <is>
          <t>VÄSTERBOTTENS LÄN</t>
        </is>
      </c>
      <c r="E7335" t="inlineStr">
        <is>
          <t>SORSELE</t>
        </is>
      </c>
      <c r="F7335" t="inlineStr">
        <is>
          <t>SCA</t>
        </is>
      </c>
      <c r="G7335" t="n">
        <v>20.4</v>
      </c>
      <c r="H7335" t="n">
        <v>0</v>
      </c>
      <c r="I7335" t="n">
        <v>0</v>
      </c>
      <c r="J7335" t="n">
        <v>0</v>
      </c>
      <c r="K7335" t="n">
        <v>0</v>
      </c>
      <c r="L7335" t="n">
        <v>0</v>
      </c>
      <c r="M7335" t="n">
        <v>0</v>
      </c>
      <c r="N7335" t="n">
        <v>0</v>
      </c>
      <c r="O7335" t="n">
        <v>0</v>
      </c>
      <c r="P7335" t="n">
        <v>0</v>
      </c>
      <c r="Q7335" t="n">
        <v>0</v>
      </c>
      <c r="R7335" s="2" t="inlineStr"/>
    </row>
    <row r="7336" ht="15" customHeight="1">
      <c r="A7336" t="inlineStr">
        <is>
          <t>A 55456-2025</t>
        </is>
      </c>
      <c r="B7336" s="1" t="n">
        <v>45971.51086805556</v>
      </c>
      <c r="C7336" s="1" t="n">
        <v>46075</v>
      </c>
      <c r="D7336" t="inlineStr">
        <is>
          <t>VÄSTERBOTTENS LÄN</t>
        </is>
      </c>
      <c r="E7336" t="inlineStr">
        <is>
          <t>VILHELMINA</t>
        </is>
      </c>
      <c r="F7336" t="inlineStr">
        <is>
          <t>SCA</t>
        </is>
      </c>
      <c r="G7336" t="n">
        <v>4.3</v>
      </c>
      <c r="H7336" t="n">
        <v>0</v>
      </c>
      <c r="I7336" t="n">
        <v>0</v>
      </c>
      <c r="J7336" t="n">
        <v>0</v>
      </c>
      <c r="K7336" t="n">
        <v>0</v>
      </c>
      <c r="L7336" t="n">
        <v>0</v>
      </c>
      <c r="M7336" t="n">
        <v>0</v>
      </c>
      <c r="N7336" t="n">
        <v>0</v>
      </c>
      <c r="O7336" t="n">
        <v>0</v>
      </c>
      <c r="P7336" t="n">
        <v>0</v>
      </c>
      <c r="Q7336" t="n">
        <v>0</v>
      </c>
      <c r="R7336" s="2" t="inlineStr"/>
    </row>
    <row r="7337" ht="15" customHeight="1">
      <c r="A7337" t="inlineStr">
        <is>
          <t>A 29579-2024</t>
        </is>
      </c>
      <c r="B7337" s="1" t="n">
        <v>45484.57260416666</v>
      </c>
      <c r="C7337" s="1" t="n">
        <v>46075</v>
      </c>
      <c r="D7337" t="inlineStr">
        <is>
          <t>VÄSTERBOTTENS LÄN</t>
        </is>
      </c>
      <c r="E7337" t="inlineStr">
        <is>
          <t>SKELLEFTEÅ</t>
        </is>
      </c>
      <c r="F7337" t="inlineStr">
        <is>
          <t>Holmen skog AB</t>
        </is>
      </c>
      <c r="G7337" t="n">
        <v>10.1</v>
      </c>
      <c r="H7337" t="n">
        <v>0</v>
      </c>
      <c r="I7337" t="n">
        <v>0</v>
      </c>
      <c r="J7337" t="n">
        <v>0</v>
      </c>
      <c r="K7337" t="n">
        <v>0</v>
      </c>
      <c r="L7337" t="n">
        <v>0</v>
      </c>
      <c r="M7337" t="n">
        <v>0</v>
      </c>
      <c r="N7337" t="n">
        <v>0</v>
      </c>
      <c r="O7337" t="n">
        <v>0</v>
      </c>
      <c r="P7337" t="n">
        <v>0</v>
      </c>
      <c r="Q7337" t="n">
        <v>0</v>
      </c>
      <c r="R7337" s="2" t="inlineStr"/>
    </row>
    <row r="7338" ht="15" customHeight="1">
      <c r="A7338" t="inlineStr">
        <is>
          <t>A 55545-2025</t>
        </is>
      </c>
      <c r="B7338" s="1" t="n">
        <v>45971.63599537037</v>
      </c>
      <c r="C7338" s="1" t="n">
        <v>46075</v>
      </c>
      <c r="D7338" t="inlineStr">
        <is>
          <t>VÄSTERBOTTENS LÄN</t>
        </is>
      </c>
      <c r="E7338" t="inlineStr">
        <is>
          <t>LYCKSELE</t>
        </is>
      </c>
      <c r="F7338" t="inlineStr">
        <is>
          <t>SCA</t>
        </is>
      </c>
      <c r="G7338" t="n">
        <v>8.300000000000001</v>
      </c>
      <c r="H7338" t="n">
        <v>0</v>
      </c>
      <c r="I7338" t="n">
        <v>0</v>
      </c>
      <c r="J7338" t="n">
        <v>0</v>
      </c>
      <c r="K7338" t="n">
        <v>0</v>
      </c>
      <c r="L7338" t="n">
        <v>0</v>
      </c>
      <c r="M7338" t="n">
        <v>0</v>
      </c>
      <c r="N7338" t="n">
        <v>0</v>
      </c>
      <c r="O7338" t="n">
        <v>0</v>
      </c>
      <c r="P7338" t="n">
        <v>0</v>
      </c>
      <c r="Q7338" t="n">
        <v>0</v>
      </c>
      <c r="R7338" s="2" t="inlineStr"/>
    </row>
    <row r="7339" ht="15" customHeight="1">
      <c r="A7339" t="inlineStr">
        <is>
          <t>A 55546-2025</t>
        </is>
      </c>
      <c r="B7339" s="1" t="n">
        <v>45971.63633101852</v>
      </c>
      <c r="C7339" s="1" t="n">
        <v>46075</v>
      </c>
      <c r="D7339" t="inlineStr">
        <is>
          <t>VÄSTERBOTTENS LÄN</t>
        </is>
      </c>
      <c r="E7339" t="inlineStr">
        <is>
          <t>DOROTEA</t>
        </is>
      </c>
      <c r="F7339" t="inlineStr">
        <is>
          <t>SCA</t>
        </is>
      </c>
      <c r="G7339" t="n">
        <v>4.1</v>
      </c>
      <c r="H7339" t="n">
        <v>0</v>
      </c>
      <c r="I7339" t="n">
        <v>0</v>
      </c>
      <c r="J7339" t="n">
        <v>0</v>
      </c>
      <c r="K7339" t="n">
        <v>0</v>
      </c>
      <c r="L7339" t="n">
        <v>0</v>
      </c>
      <c r="M7339" t="n">
        <v>0</v>
      </c>
      <c r="N7339" t="n">
        <v>0</v>
      </c>
      <c r="O7339" t="n">
        <v>0</v>
      </c>
      <c r="P7339" t="n">
        <v>0</v>
      </c>
      <c r="Q7339" t="n">
        <v>0</v>
      </c>
      <c r="R7339" s="2" t="inlineStr"/>
    </row>
    <row r="7340" ht="15" customHeight="1">
      <c r="A7340" t="inlineStr">
        <is>
          <t>A 55550-2025</t>
        </is>
      </c>
      <c r="B7340" s="1" t="n">
        <v>45971.63837962963</v>
      </c>
      <c r="C7340" s="1" t="n">
        <v>46075</v>
      </c>
      <c r="D7340" t="inlineStr">
        <is>
          <t>VÄSTERBOTTENS LÄN</t>
        </is>
      </c>
      <c r="E7340" t="inlineStr">
        <is>
          <t>SKELLEFTEÅ</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37500-2024</t>
        </is>
      </c>
      <c r="B7341" s="1" t="n">
        <v>45541.36966435185</v>
      </c>
      <c r="C7341" s="1" t="n">
        <v>46075</v>
      </c>
      <c r="D7341" t="inlineStr">
        <is>
          <t>VÄSTERBOTTENS LÄN</t>
        </is>
      </c>
      <c r="E7341" t="inlineStr">
        <is>
          <t>LYCKSELE</t>
        </is>
      </c>
      <c r="F7341" t="inlineStr">
        <is>
          <t>Holmen skog AB</t>
        </is>
      </c>
      <c r="G7341" t="n">
        <v>3</v>
      </c>
      <c r="H7341" t="n">
        <v>0</v>
      </c>
      <c r="I7341" t="n">
        <v>0</v>
      </c>
      <c r="J7341" t="n">
        <v>0</v>
      </c>
      <c r="K7341" t="n">
        <v>0</v>
      </c>
      <c r="L7341" t="n">
        <v>0</v>
      </c>
      <c r="M7341" t="n">
        <v>0</v>
      </c>
      <c r="N7341" t="n">
        <v>0</v>
      </c>
      <c r="O7341" t="n">
        <v>0</v>
      </c>
      <c r="P7341" t="n">
        <v>0</v>
      </c>
      <c r="Q7341" t="n">
        <v>0</v>
      </c>
      <c r="R7341" s="2" t="inlineStr"/>
    </row>
    <row r="7342" ht="15" customHeight="1">
      <c r="A7342" t="inlineStr">
        <is>
          <t>A 49731-2024</t>
        </is>
      </c>
      <c r="B7342" s="1" t="n">
        <v>45596</v>
      </c>
      <c r="C7342" s="1" t="n">
        <v>46075</v>
      </c>
      <c r="D7342" t="inlineStr">
        <is>
          <t>VÄSTERBOTTENS LÄN</t>
        </is>
      </c>
      <c r="E7342" t="inlineStr">
        <is>
          <t>SKELLEFTEÅ</t>
        </is>
      </c>
      <c r="F7342" t="inlineStr">
        <is>
          <t>Sveaskog</t>
        </is>
      </c>
      <c r="G7342" t="n">
        <v>15.4</v>
      </c>
      <c r="H7342" t="n">
        <v>0</v>
      </c>
      <c r="I7342" t="n">
        <v>0</v>
      </c>
      <c r="J7342" t="n">
        <v>0</v>
      </c>
      <c r="K7342" t="n">
        <v>0</v>
      </c>
      <c r="L7342" t="n">
        <v>0</v>
      </c>
      <c r="M7342" t="n">
        <v>0</v>
      </c>
      <c r="N7342" t="n">
        <v>0</v>
      </c>
      <c r="O7342" t="n">
        <v>0</v>
      </c>
      <c r="P7342" t="n">
        <v>0</v>
      </c>
      <c r="Q7342" t="n">
        <v>0</v>
      </c>
      <c r="R7342" s="2" t="inlineStr"/>
    </row>
    <row r="7343" ht="15" customHeight="1">
      <c r="A7343" t="inlineStr">
        <is>
          <t>A 55589-2025</t>
        </is>
      </c>
      <c r="B7343" s="1" t="n">
        <v>45971.68520833334</v>
      </c>
      <c r="C7343" s="1" t="n">
        <v>46075</v>
      </c>
      <c r="D7343" t="inlineStr">
        <is>
          <t>VÄSTERBOTTENS LÄN</t>
        </is>
      </c>
      <c r="E7343" t="inlineStr">
        <is>
          <t>VINDELN</t>
        </is>
      </c>
      <c r="G7343" t="n">
        <v>12.2</v>
      </c>
      <c r="H7343" t="n">
        <v>0</v>
      </c>
      <c r="I7343" t="n">
        <v>0</v>
      </c>
      <c r="J7343" t="n">
        <v>0</v>
      </c>
      <c r="K7343" t="n">
        <v>0</v>
      </c>
      <c r="L7343" t="n">
        <v>0</v>
      </c>
      <c r="M7343" t="n">
        <v>0</v>
      </c>
      <c r="N7343" t="n">
        <v>0</v>
      </c>
      <c r="O7343" t="n">
        <v>0</v>
      </c>
      <c r="P7343" t="n">
        <v>0</v>
      </c>
      <c r="Q7343" t="n">
        <v>0</v>
      </c>
      <c r="R7343" s="2" t="inlineStr"/>
    </row>
    <row r="7344" ht="15" customHeight="1">
      <c r="A7344" t="inlineStr">
        <is>
          <t>A 55205-2025</t>
        </is>
      </c>
      <c r="B7344" s="1" t="n">
        <v>45968.57340277778</v>
      </c>
      <c r="C7344" s="1" t="n">
        <v>46075</v>
      </c>
      <c r="D7344" t="inlineStr">
        <is>
          <t>VÄSTERBOTTENS LÄN</t>
        </is>
      </c>
      <c r="E7344" t="inlineStr">
        <is>
          <t>SKELLEFTEÅ</t>
        </is>
      </c>
      <c r="F7344" t="inlineStr">
        <is>
          <t>Sveaskog</t>
        </is>
      </c>
      <c r="G7344" t="n">
        <v>7.7</v>
      </c>
      <c r="H7344" t="n">
        <v>0</v>
      </c>
      <c r="I7344" t="n">
        <v>0</v>
      </c>
      <c r="J7344" t="n">
        <v>0</v>
      </c>
      <c r="K7344" t="n">
        <v>0</v>
      </c>
      <c r="L7344" t="n">
        <v>0</v>
      </c>
      <c r="M7344" t="n">
        <v>0</v>
      </c>
      <c r="N7344" t="n">
        <v>0</v>
      </c>
      <c r="O7344" t="n">
        <v>0</v>
      </c>
      <c r="P7344" t="n">
        <v>0</v>
      </c>
      <c r="Q7344" t="n">
        <v>0</v>
      </c>
      <c r="R7344" s="2" t="inlineStr"/>
    </row>
    <row r="7345" ht="15" customHeight="1">
      <c r="A7345" t="inlineStr">
        <is>
          <t>A 55403-2025</t>
        </is>
      </c>
      <c r="B7345" s="1" t="n">
        <v>45971</v>
      </c>
      <c r="C7345" s="1" t="n">
        <v>46075</v>
      </c>
      <c r="D7345" t="inlineStr">
        <is>
          <t>VÄSTERBOTTENS LÄN</t>
        </is>
      </c>
      <c r="E7345" t="inlineStr">
        <is>
          <t>SKELLEFTEÅ</t>
        </is>
      </c>
      <c r="F7345" t="inlineStr">
        <is>
          <t>Holmen skog AB</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55390-2025</t>
        </is>
      </c>
      <c r="B7346" s="1" t="n">
        <v>45971.44827546296</v>
      </c>
      <c r="C7346" s="1" t="n">
        <v>46075</v>
      </c>
      <c r="D7346" t="inlineStr">
        <is>
          <t>VÄSTERBOTTENS LÄN</t>
        </is>
      </c>
      <c r="E7346" t="inlineStr">
        <is>
          <t>NORSJÖ</t>
        </is>
      </c>
      <c r="G7346" t="n">
        <v>4.3</v>
      </c>
      <c r="H7346" t="n">
        <v>0</v>
      </c>
      <c r="I7346" t="n">
        <v>0</v>
      </c>
      <c r="J7346" t="n">
        <v>0</v>
      </c>
      <c r="K7346" t="n">
        <v>0</v>
      </c>
      <c r="L7346" t="n">
        <v>0</v>
      </c>
      <c r="M7346" t="n">
        <v>0</v>
      </c>
      <c r="N7346" t="n">
        <v>0</v>
      </c>
      <c r="O7346" t="n">
        <v>0</v>
      </c>
      <c r="P7346" t="n">
        <v>0</v>
      </c>
      <c r="Q7346" t="n">
        <v>0</v>
      </c>
      <c r="R7346" s="2" t="inlineStr"/>
    </row>
    <row r="7347" ht="15" customHeight="1">
      <c r="A7347" t="inlineStr">
        <is>
          <t>A 55392-2025</t>
        </is>
      </c>
      <c r="B7347" s="1" t="n">
        <v>45971.44846064815</v>
      </c>
      <c r="C7347" s="1" t="n">
        <v>46075</v>
      </c>
      <c r="D7347" t="inlineStr">
        <is>
          <t>VÄSTERBOTTENS LÄN</t>
        </is>
      </c>
      <c r="E7347" t="inlineStr">
        <is>
          <t>SKELLEFTEÅ</t>
        </is>
      </c>
      <c r="G7347" t="n">
        <v>0.3</v>
      </c>
      <c r="H7347" t="n">
        <v>0</v>
      </c>
      <c r="I7347" t="n">
        <v>0</v>
      </c>
      <c r="J7347" t="n">
        <v>0</v>
      </c>
      <c r="K7347" t="n">
        <v>0</v>
      </c>
      <c r="L7347" t="n">
        <v>0</v>
      </c>
      <c r="M7347" t="n">
        <v>0</v>
      </c>
      <c r="N7347" t="n">
        <v>0</v>
      </c>
      <c r="O7347" t="n">
        <v>0</v>
      </c>
      <c r="P7347" t="n">
        <v>0</v>
      </c>
      <c r="Q7347" t="n">
        <v>0</v>
      </c>
      <c r="R7347" s="2" t="inlineStr"/>
    </row>
    <row r="7348" ht="15" customHeight="1">
      <c r="A7348" t="inlineStr">
        <is>
          <t>A 55462-2025</t>
        </is>
      </c>
      <c r="B7348" s="1" t="n">
        <v>45971</v>
      </c>
      <c r="C7348" s="1" t="n">
        <v>46075</v>
      </c>
      <c r="D7348" t="inlineStr">
        <is>
          <t>VÄSTERBOTTENS LÄN</t>
        </is>
      </c>
      <c r="E7348" t="inlineStr">
        <is>
          <t>SKELLEFTEÅ</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55463-2025</t>
        </is>
      </c>
      <c r="B7349" s="1" t="n">
        <v>45971</v>
      </c>
      <c r="C7349" s="1" t="n">
        <v>46075</v>
      </c>
      <c r="D7349" t="inlineStr">
        <is>
          <t>VÄSTERBOTTENS LÄN</t>
        </is>
      </c>
      <c r="E7349" t="inlineStr">
        <is>
          <t>SKELLEFTEÅ</t>
        </is>
      </c>
      <c r="G7349" t="n">
        <v>2.8</v>
      </c>
      <c r="H7349" t="n">
        <v>0</v>
      </c>
      <c r="I7349" t="n">
        <v>0</v>
      </c>
      <c r="J7349" t="n">
        <v>0</v>
      </c>
      <c r="K7349" t="n">
        <v>0</v>
      </c>
      <c r="L7349" t="n">
        <v>0</v>
      </c>
      <c r="M7349" t="n">
        <v>0</v>
      </c>
      <c r="N7349" t="n">
        <v>0</v>
      </c>
      <c r="O7349" t="n">
        <v>0</v>
      </c>
      <c r="P7349" t="n">
        <v>0</v>
      </c>
      <c r="Q7349" t="n">
        <v>0</v>
      </c>
      <c r="R7349" s="2" t="inlineStr"/>
    </row>
    <row r="7350" ht="15" customHeight="1">
      <c r="A7350" t="inlineStr">
        <is>
          <t>A 55508-2025</t>
        </is>
      </c>
      <c r="B7350" s="1" t="n">
        <v>45971.59414351852</v>
      </c>
      <c r="C7350" s="1" t="n">
        <v>46075</v>
      </c>
      <c r="D7350" t="inlineStr">
        <is>
          <t>VÄSTERBOTTENS LÄN</t>
        </is>
      </c>
      <c r="E7350" t="inlineStr">
        <is>
          <t>LYCKSELE</t>
        </is>
      </c>
      <c r="G7350" t="n">
        <v>10.5</v>
      </c>
      <c r="H7350" t="n">
        <v>0</v>
      </c>
      <c r="I7350" t="n">
        <v>0</v>
      </c>
      <c r="J7350" t="n">
        <v>0</v>
      </c>
      <c r="K7350" t="n">
        <v>0</v>
      </c>
      <c r="L7350" t="n">
        <v>0</v>
      </c>
      <c r="M7350" t="n">
        <v>0</v>
      </c>
      <c r="N7350" t="n">
        <v>0</v>
      </c>
      <c r="O7350" t="n">
        <v>0</v>
      </c>
      <c r="P7350" t="n">
        <v>0</v>
      </c>
      <c r="Q7350" t="n">
        <v>0</v>
      </c>
      <c r="R7350" s="2" t="inlineStr"/>
    </row>
    <row r="7351" ht="15" customHeight="1">
      <c r="A7351" t="inlineStr">
        <is>
          <t>A 55147-2025</t>
        </is>
      </c>
      <c r="B7351" s="1" t="n">
        <v>45968.44407407408</v>
      </c>
      <c r="C7351" s="1" t="n">
        <v>46075</v>
      </c>
      <c r="D7351" t="inlineStr">
        <is>
          <t>VÄSTERBOTTENS LÄN</t>
        </is>
      </c>
      <c r="E7351" t="inlineStr">
        <is>
          <t>STORUMAN</t>
        </is>
      </c>
      <c r="F7351" t="inlineStr">
        <is>
          <t>Holmen skog AB</t>
        </is>
      </c>
      <c r="G7351" t="n">
        <v>7.3</v>
      </c>
      <c r="H7351" t="n">
        <v>0</v>
      </c>
      <c r="I7351" t="n">
        <v>0</v>
      </c>
      <c r="J7351" t="n">
        <v>0</v>
      </c>
      <c r="K7351" t="n">
        <v>0</v>
      </c>
      <c r="L7351" t="n">
        <v>0</v>
      </c>
      <c r="M7351" t="n">
        <v>0</v>
      </c>
      <c r="N7351" t="n">
        <v>0</v>
      </c>
      <c r="O7351" t="n">
        <v>0</v>
      </c>
      <c r="P7351" t="n">
        <v>0</v>
      </c>
      <c r="Q7351" t="n">
        <v>0</v>
      </c>
      <c r="R7351" s="2" t="inlineStr"/>
    </row>
    <row r="7352" ht="15" customHeight="1">
      <c r="A7352" t="inlineStr">
        <is>
          <t>A 55161-2025</t>
        </is>
      </c>
      <c r="B7352" s="1" t="n">
        <v>45968.47324074074</v>
      </c>
      <c r="C7352" s="1" t="n">
        <v>46075</v>
      </c>
      <c r="D7352" t="inlineStr">
        <is>
          <t>VÄSTERBOTTENS LÄN</t>
        </is>
      </c>
      <c r="E7352" t="inlineStr">
        <is>
          <t>ÅSELE</t>
        </is>
      </c>
      <c r="F7352" t="inlineStr">
        <is>
          <t>Holmen skog AB</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34844-2023</t>
        </is>
      </c>
      <c r="B7353" s="1" t="n">
        <v>45141.93166666666</v>
      </c>
      <c r="C7353" s="1" t="n">
        <v>46075</v>
      </c>
      <c r="D7353" t="inlineStr">
        <is>
          <t>VÄSTERBOTTENS LÄN</t>
        </is>
      </c>
      <c r="E7353" t="inlineStr">
        <is>
          <t>ROBERTSFORS</t>
        </is>
      </c>
      <c r="F7353" t="inlineStr">
        <is>
          <t>Holmen skog AB</t>
        </is>
      </c>
      <c r="G7353" t="n">
        <v>3.4</v>
      </c>
      <c r="H7353" t="n">
        <v>0</v>
      </c>
      <c r="I7353" t="n">
        <v>0</v>
      </c>
      <c r="J7353" t="n">
        <v>0</v>
      </c>
      <c r="K7353" t="n">
        <v>0</v>
      </c>
      <c r="L7353" t="n">
        <v>0</v>
      </c>
      <c r="M7353" t="n">
        <v>0</v>
      </c>
      <c r="N7353" t="n">
        <v>0</v>
      </c>
      <c r="O7353" t="n">
        <v>0</v>
      </c>
      <c r="P7353" t="n">
        <v>0</v>
      </c>
      <c r="Q7353" t="n">
        <v>0</v>
      </c>
      <c r="R7353" s="2" t="inlineStr"/>
    </row>
    <row r="7354" ht="15" customHeight="1">
      <c r="A7354" t="inlineStr">
        <is>
          <t>A 45408-2024</t>
        </is>
      </c>
      <c r="B7354" s="1" t="n">
        <v>45576.58743055556</v>
      </c>
      <c r="C7354" s="1" t="n">
        <v>46075</v>
      </c>
      <c r="D7354" t="inlineStr">
        <is>
          <t>VÄSTERBOTTENS LÄN</t>
        </is>
      </c>
      <c r="E7354" t="inlineStr">
        <is>
          <t>VINDELN</t>
        </is>
      </c>
      <c r="F7354" t="inlineStr">
        <is>
          <t>Holmen skog AB</t>
        </is>
      </c>
      <c r="G7354" t="n">
        <v>5.1</v>
      </c>
      <c r="H7354" t="n">
        <v>0</v>
      </c>
      <c r="I7354" t="n">
        <v>0</v>
      </c>
      <c r="J7354" t="n">
        <v>0</v>
      </c>
      <c r="K7354" t="n">
        <v>0</v>
      </c>
      <c r="L7354" t="n">
        <v>0</v>
      </c>
      <c r="M7354" t="n">
        <v>0</v>
      </c>
      <c r="N7354" t="n">
        <v>0</v>
      </c>
      <c r="O7354" t="n">
        <v>0</v>
      </c>
      <c r="P7354" t="n">
        <v>0</v>
      </c>
      <c r="Q7354" t="n">
        <v>0</v>
      </c>
      <c r="R7354" s="2" t="inlineStr"/>
    </row>
    <row r="7355" ht="15" customHeight="1">
      <c r="A7355" t="inlineStr">
        <is>
          <t>A 35360-2023</t>
        </is>
      </c>
      <c r="B7355" s="1" t="n">
        <v>45146.52483796296</v>
      </c>
      <c r="C7355" s="1" t="n">
        <v>46075</v>
      </c>
      <c r="D7355" t="inlineStr">
        <is>
          <t>VÄSTERBOTTENS LÄN</t>
        </is>
      </c>
      <c r="E7355" t="inlineStr">
        <is>
          <t>VÄNNÄS</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55333-2025</t>
        </is>
      </c>
      <c r="B7356" s="1" t="n">
        <v>45971.34361111111</v>
      </c>
      <c r="C7356" s="1" t="n">
        <v>46075</v>
      </c>
      <c r="D7356" t="inlineStr">
        <is>
          <t>VÄSTERBOTTENS LÄN</t>
        </is>
      </c>
      <c r="E7356" t="inlineStr">
        <is>
          <t>LYCKSELE</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55346-2025</t>
        </is>
      </c>
      <c r="B7357" s="1" t="n">
        <v>45971.35061342592</v>
      </c>
      <c r="C7357" s="1" t="n">
        <v>46075</v>
      </c>
      <c r="D7357" t="inlineStr">
        <is>
          <t>VÄSTERBOTTENS LÄN</t>
        </is>
      </c>
      <c r="E7357" t="inlineStr">
        <is>
          <t>SKELLEFTEÅ</t>
        </is>
      </c>
      <c r="G7357" t="n">
        <v>6</v>
      </c>
      <c r="H7357" t="n">
        <v>0</v>
      </c>
      <c r="I7357" t="n">
        <v>0</v>
      </c>
      <c r="J7357" t="n">
        <v>0</v>
      </c>
      <c r="K7357" t="n">
        <v>0</v>
      </c>
      <c r="L7357" t="n">
        <v>0</v>
      </c>
      <c r="M7357" t="n">
        <v>0</v>
      </c>
      <c r="N7357" t="n">
        <v>0</v>
      </c>
      <c r="O7357" t="n">
        <v>0</v>
      </c>
      <c r="P7357" t="n">
        <v>0</v>
      </c>
      <c r="Q7357" t="n">
        <v>0</v>
      </c>
      <c r="R7357" s="2" t="inlineStr"/>
    </row>
    <row r="7358" ht="15" customHeight="1">
      <c r="A7358" t="inlineStr">
        <is>
          <t>A 55349-2025</t>
        </is>
      </c>
      <c r="B7358" s="1" t="n">
        <v>45971.35710648148</v>
      </c>
      <c r="C7358" s="1" t="n">
        <v>46075</v>
      </c>
      <c r="D7358" t="inlineStr">
        <is>
          <t>VÄSTERBOTTENS LÄN</t>
        </is>
      </c>
      <c r="E7358" t="inlineStr">
        <is>
          <t>SKELLEFTEÅ</t>
        </is>
      </c>
      <c r="G7358" t="n">
        <v>3.3</v>
      </c>
      <c r="H7358" t="n">
        <v>0</v>
      </c>
      <c r="I7358" t="n">
        <v>0</v>
      </c>
      <c r="J7358" t="n">
        <v>0</v>
      </c>
      <c r="K7358" t="n">
        <v>0</v>
      </c>
      <c r="L7358" t="n">
        <v>0</v>
      </c>
      <c r="M7358" t="n">
        <v>0</v>
      </c>
      <c r="N7358" t="n">
        <v>0</v>
      </c>
      <c r="O7358" t="n">
        <v>0</v>
      </c>
      <c r="P7358" t="n">
        <v>0</v>
      </c>
      <c r="Q7358" t="n">
        <v>0</v>
      </c>
      <c r="R7358" s="2" t="inlineStr"/>
    </row>
    <row r="7359" ht="15" customHeight="1">
      <c r="A7359" t="inlineStr">
        <is>
          <t>A 55839-2025</t>
        </is>
      </c>
      <c r="B7359" s="1" t="n">
        <v>45972.90993055556</v>
      </c>
      <c r="C7359" s="1" t="n">
        <v>46075</v>
      </c>
      <c r="D7359" t="inlineStr">
        <is>
          <t>VÄSTERBOTTENS LÄN</t>
        </is>
      </c>
      <c r="E7359" t="inlineStr">
        <is>
          <t>SKELLEFTEÅ</t>
        </is>
      </c>
      <c r="G7359" t="n">
        <v>8.1</v>
      </c>
      <c r="H7359" t="n">
        <v>0</v>
      </c>
      <c r="I7359" t="n">
        <v>0</v>
      </c>
      <c r="J7359" t="n">
        <v>0</v>
      </c>
      <c r="K7359" t="n">
        <v>0</v>
      </c>
      <c r="L7359" t="n">
        <v>0</v>
      </c>
      <c r="M7359" t="n">
        <v>0</v>
      </c>
      <c r="N7359" t="n">
        <v>0</v>
      </c>
      <c r="O7359" t="n">
        <v>0</v>
      </c>
      <c r="P7359" t="n">
        <v>0</v>
      </c>
      <c r="Q7359" t="n">
        <v>0</v>
      </c>
      <c r="R7359" s="2" t="inlineStr"/>
    </row>
    <row r="7360" ht="15" customHeight="1">
      <c r="A7360" t="inlineStr">
        <is>
          <t>A 13766-2025</t>
        </is>
      </c>
      <c r="B7360" s="1" t="n">
        <v>45737.43314814815</v>
      </c>
      <c r="C7360" s="1" t="n">
        <v>46075</v>
      </c>
      <c r="D7360" t="inlineStr">
        <is>
          <t>VÄSTERBOTTENS LÄN</t>
        </is>
      </c>
      <c r="E7360" t="inlineStr">
        <is>
          <t>UMEÅ</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46565-2024</t>
        </is>
      </c>
      <c r="B7361" s="1" t="n">
        <v>45582</v>
      </c>
      <c r="C7361" s="1" t="n">
        <v>46075</v>
      </c>
      <c r="D7361" t="inlineStr">
        <is>
          <t>VÄSTERBOTTENS LÄN</t>
        </is>
      </c>
      <c r="E7361" t="inlineStr">
        <is>
          <t>SKELLEFTEÅ</t>
        </is>
      </c>
      <c r="G7361" t="n">
        <v>2.9</v>
      </c>
      <c r="H7361" t="n">
        <v>0</v>
      </c>
      <c r="I7361" t="n">
        <v>0</v>
      </c>
      <c r="J7361" t="n">
        <v>0</v>
      </c>
      <c r="K7361" t="n">
        <v>0</v>
      </c>
      <c r="L7361" t="n">
        <v>0</v>
      </c>
      <c r="M7361" t="n">
        <v>0</v>
      </c>
      <c r="N7361" t="n">
        <v>0</v>
      </c>
      <c r="O7361" t="n">
        <v>0</v>
      </c>
      <c r="P7361" t="n">
        <v>0</v>
      </c>
      <c r="Q7361" t="n">
        <v>0</v>
      </c>
      <c r="R7361" s="2" t="inlineStr"/>
    </row>
    <row r="7362" ht="15" customHeight="1">
      <c r="A7362" t="inlineStr">
        <is>
          <t>A 55627-2025</t>
        </is>
      </c>
      <c r="B7362" s="1" t="n">
        <v>45972.33012731482</v>
      </c>
      <c r="C7362" s="1" t="n">
        <v>46075</v>
      </c>
      <c r="D7362" t="inlineStr">
        <is>
          <t>VÄSTERBOTTENS LÄN</t>
        </is>
      </c>
      <c r="E7362" t="inlineStr">
        <is>
          <t>LYCKSELE</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5500-2022</t>
        </is>
      </c>
      <c r="B7363" s="1" t="n">
        <v>44595</v>
      </c>
      <c r="C7363" s="1" t="n">
        <v>46075</v>
      </c>
      <c r="D7363" t="inlineStr">
        <is>
          <t>VÄSTERBOTTENS LÄN</t>
        </is>
      </c>
      <c r="E7363" t="inlineStr">
        <is>
          <t>STORUMAN</t>
        </is>
      </c>
      <c r="G7363" t="n">
        <v>5.8</v>
      </c>
      <c r="H7363" t="n">
        <v>0</v>
      </c>
      <c r="I7363" t="n">
        <v>0</v>
      </c>
      <c r="J7363" t="n">
        <v>0</v>
      </c>
      <c r="K7363" t="n">
        <v>0</v>
      </c>
      <c r="L7363" t="n">
        <v>0</v>
      </c>
      <c r="M7363" t="n">
        <v>0</v>
      </c>
      <c r="N7363" t="n">
        <v>0</v>
      </c>
      <c r="O7363" t="n">
        <v>0</v>
      </c>
      <c r="P7363" t="n">
        <v>0</v>
      </c>
      <c r="Q7363" t="n">
        <v>0</v>
      </c>
      <c r="R7363" s="2" t="inlineStr"/>
    </row>
    <row r="7364" ht="15" customHeight="1">
      <c r="A7364" t="inlineStr">
        <is>
          <t>A 55946-2025</t>
        </is>
      </c>
      <c r="B7364" s="1" t="n">
        <v>45973.46240740741</v>
      </c>
      <c r="C7364" s="1" t="n">
        <v>46075</v>
      </c>
      <c r="D7364" t="inlineStr">
        <is>
          <t>VÄSTERBOTTENS LÄN</t>
        </is>
      </c>
      <c r="E7364" t="inlineStr">
        <is>
          <t>SKELLEFTEÅ</t>
        </is>
      </c>
      <c r="F7364" t="inlineStr">
        <is>
          <t>Holmen skog AB</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55786-2025</t>
        </is>
      </c>
      <c r="B7365" s="1" t="n">
        <v>45972.6397337963</v>
      </c>
      <c r="C7365" s="1" t="n">
        <v>46075</v>
      </c>
      <c r="D7365" t="inlineStr">
        <is>
          <t>VÄSTERBOTTENS LÄN</t>
        </is>
      </c>
      <c r="E7365" t="inlineStr">
        <is>
          <t>NORDMALING</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55899-2025</t>
        </is>
      </c>
      <c r="B7366" s="1" t="n">
        <v>45973.3863425926</v>
      </c>
      <c r="C7366" s="1" t="n">
        <v>46075</v>
      </c>
      <c r="D7366" t="inlineStr">
        <is>
          <t>VÄSTERBOTTENS LÄN</t>
        </is>
      </c>
      <c r="E7366" t="inlineStr">
        <is>
          <t>SKELLEFTEÅ</t>
        </is>
      </c>
      <c r="G7366" t="n">
        <v>6.4</v>
      </c>
      <c r="H7366" t="n">
        <v>0</v>
      </c>
      <c r="I7366" t="n">
        <v>0</v>
      </c>
      <c r="J7366" t="n">
        <v>0</v>
      </c>
      <c r="K7366" t="n">
        <v>0</v>
      </c>
      <c r="L7366" t="n">
        <v>0</v>
      </c>
      <c r="M7366" t="n">
        <v>0</v>
      </c>
      <c r="N7366" t="n">
        <v>0</v>
      </c>
      <c r="O7366" t="n">
        <v>0</v>
      </c>
      <c r="P7366" t="n">
        <v>0</v>
      </c>
      <c r="Q7366" t="n">
        <v>0</v>
      </c>
      <c r="R7366" s="2" t="inlineStr"/>
    </row>
    <row r="7367" ht="15" customHeight="1">
      <c r="A7367" t="inlineStr">
        <is>
          <t>A 55679-2025</t>
        </is>
      </c>
      <c r="B7367" s="1" t="n">
        <v>45972.4197337963</v>
      </c>
      <c r="C7367" s="1" t="n">
        <v>46075</v>
      </c>
      <c r="D7367" t="inlineStr">
        <is>
          <t>VÄSTERBOTTENS LÄN</t>
        </is>
      </c>
      <c r="E7367" t="inlineStr">
        <is>
          <t>LYCKSELE</t>
        </is>
      </c>
      <c r="F7367" t="inlineStr">
        <is>
          <t>Sveaskog</t>
        </is>
      </c>
      <c r="G7367" t="n">
        <v>7</v>
      </c>
      <c r="H7367" t="n">
        <v>0</v>
      </c>
      <c r="I7367" t="n">
        <v>0</v>
      </c>
      <c r="J7367" t="n">
        <v>0</v>
      </c>
      <c r="K7367" t="n">
        <v>0</v>
      </c>
      <c r="L7367" t="n">
        <v>0</v>
      </c>
      <c r="M7367" t="n">
        <v>0</v>
      </c>
      <c r="N7367" t="n">
        <v>0</v>
      </c>
      <c r="O7367" t="n">
        <v>0</v>
      </c>
      <c r="P7367" t="n">
        <v>0</v>
      </c>
      <c r="Q7367" t="n">
        <v>0</v>
      </c>
      <c r="R7367" s="2" t="inlineStr"/>
    </row>
    <row r="7368" ht="15" customHeight="1">
      <c r="A7368" t="inlineStr">
        <is>
          <t>A 55731-2025</t>
        </is>
      </c>
      <c r="B7368" s="1" t="n">
        <v>45972.54170138889</v>
      </c>
      <c r="C7368" s="1" t="n">
        <v>46075</v>
      </c>
      <c r="D7368" t="inlineStr">
        <is>
          <t>VÄSTERBOTTENS LÄN</t>
        </is>
      </c>
      <c r="E7368" t="inlineStr">
        <is>
          <t>SKELLEFTEÅ</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55705-2025</t>
        </is>
      </c>
      <c r="B7369" s="1" t="n">
        <v>45972.46931712963</v>
      </c>
      <c r="C7369" s="1" t="n">
        <v>46075</v>
      </c>
      <c r="D7369" t="inlineStr">
        <is>
          <t>VÄSTERBOTTENS LÄN</t>
        </is>
      </c>
      <c r="E7369" t="inlineStr">
        <is>
          <t>DOROTEA</t>
        </is>
      </c>
      <c r="F7369" t="inlineStr">
        <is>
          <t>SCA</t>
        </is>
      </c>
      <c r="G7369" t="n">
        <v>7.5</v>
      </c>
      <c r="H7369" t="n">
        <v>0</v>
      </c>
      <c r="I7369" t="n">
        <v>0</v>
      </c>
      <c r="J7369" t="n">
        <v>0</v>
      </c>
      <c r="K7369" t="n">
        <v>0</v>
      </c>
      <c r="L7369" t="n">
        <v>0</v>
      </c>
      <c r="M7369" t="n">
        <v>0</v>
      </c>
      <c r="N7369" t="n">
        <v>0</v>
      </c>
      <c r="O7369" t="n">
        <v>0</v>
      </c>
      <c r="P7369" t="n">
        <v>0</v>
      </c>
      <c r="Q7369" t="n">
        <v>0</v>
      </c>
      <c r="R7369" s="2" t="inlineStr"/>
    </row>
    <row r="7370" ht="15" customHeight="1">
      <c r="A7370" t="inlineStr">
        <is>
          <t>A 55738-2025</t>
        </is>
      </c>
      <c r="B7370" s="1" t="n">
        <v>45972.56696759259</v>
      </c>
      <c r="C7370" s="1" t="n">
        <v>46075</v>
      </c>
      <c r="D7370" t="inlineStr">
        <is>
          <t>VÄSTERBOTTENS LÄN</t>
        </is>
      </c>
      <c r="E7370" t="inlineStr">
        <is>
          <t>LYCKSELE</t>
        </is>
      </c>
      <c r="G7370" t="n">
        <v>2.1</v>
      </c>
      <c r="H7370" t="n">
        <v>0</v>
      </c>
      <c r="I7370" t="n">
        <v>0</v>
      </c>
      <c r="J7370" t="n">
        <v>0</v>
      </c>
      <c r="K7370" t="n">
        <v>0</v>
      </c>
      <c r="L7370" t="n">
        <v>0</v>
      </c>
      <c r="M7370" t="n">
        <v>0</v>
      </c>
      <c r="N7370" t="n">
        <v>0</v>
      </c>
      <c r="O7370" t="n">
        <v>0</v>
      </c>
      <c r="P7370" t="n">
        <v>0</v>
      </c>
      <c r="Q7370" t="n">
        <v>0</v>
      </c>
      <c r="R7370" s="2" t="inlineStr"/>
    </row>
    <row r="7371" ht="15" customHeight="1">
      <c r="A7371" t="inlineStr">
        <is>
          <t>A 55791-2025</t>
        </is>
      </c>
      <c r="B7371" s="1" t="n">
        <v>45972.64734953704</v>
      </c>
      <c r="C7371" s="1" t="n">
        <v>46075</v>
      </c>
      <c r="D7371" t="inlineStr">
        <is>
          <t>VÄSTERBOTTENS LÄN</t>
        </is>
      </c>
      <c r="E7371" t="inlineStr">
        <is>
          <t>SKELLEFTEÅ</t>
        </is>
      </c>
      <c r="F7371" t="inlineStr">
        <is>
          <t>Kommuner</t>
        </is>
      </c>
      <c r="G7371" t="n">
        <v>8.4</v>
      </c>
      <c r="H7371" t="n">
        <v>0</v>
      </c>
      <c r="I7371" t="n">
        <v>0</v>
      </c>
      <c r="J7371" t="n">
        <v>0</v>
      </c>
      <c r="K7371" t="n">
        <v>0</v>
      </c>
      <c r="L7371" t="n">
        <v>0</v>
      </c>
      <c r="M7371" t="n">
        <v>0</v>
      </c>
      <c r="N7371" t="n">
        <v>0</v>
      </c>
      <c r="O7371" t="n">
        <v>0</v>
      </c>
      <c r="P7371" t="n">
        <v>0</v>
      </c>
      <c r="Q7371" t="n">
        <v>0</v>
      </c>
      <c r="R7371" s="2" t="inlineStr"/>
    </row>
    <row r="7372" ht="15" customHeight="1">
      <c r="A7372" t="inlineStr">
        <is>
          <t>A 55792-2025</t>
        </is>
      </c>
      <c r="B7372" s="1" t="n">
        <v>45972.65100694444</v>
      </c>
      <c r="C7372" s="1" t="n">
        <v>46075</v>
      </c>
      <c r="D7372" t="inlineStr">
        <is>
          <t>VÄSTERBOTTENS LÄN</t>
        </is>
      </c>
      <c r="E7372" t="inlineStr">
        <is>
          <t>NORDMALING</t>
        </is>
      </c>
      <c r="G7372" t="n">
        <v>3.2</v>
      </c>
      <c r="H7372" t="n">
        <v>0</v>
      </c>
      <c r="I7372" t="n">
        <v>0</v>
      </c>
      <c r="J7372" t="n">
        <v>0</v>
      </c>
      <c r="K7372" t="n">
        <v>0</v>
      </c>
      <c r="L7372" t="n">
        <v>0</v>
      </c>
      <c r="M7372" t="n">
        <v>0</v>
      </c>
      <c r="N7372" t="n">
        <v>0</v>
      </c>
      <c r="O7372" t="n">
        <v>0</v>
      </c>
      <c r="P7372" t="n">
        <v>0</v>
      </c>
      <c r="Q7372" t="n">
        <v>0</v>
      </c>
      <c r="R7372" s="2" t="inlineStr"/>
    </row>
    <row r="7373" ht="15" customHeight="1">
      <c r="A7373" t="inlineStr">
        <is>
          <t>A 55902-2025</t>
        </is>
      </c>
      <c r="B7373" s="1" t="n">
        <v>45973.38936342593</v>
      </c>
      <c r="C7373" s="1" t="n">
        <v>46075</v>
      </c>
      <c r="D7373" t="inlineStr">
        <is>
          <t>VÄSTERBOTTENS LÄN</t>
        </is>
      </c>
      <c r="E7373" t="inlineStr">
        <is>
          <t>BJURHOLM</t>
        </is>
      </c>
      <c r="F7373" t="inlineStr">
        <is>
          <t>Holmen skog AB</t>
        </is>
      </c>
      <c r="G7373" t="n">
        <v>2.1</v>
      </c>
      <c r="H7373" t="n">
        <v>0</v>
      </c>
      <c r="I7373" t="n">
        <v>0</v>
      </c>
      <c r="J7373" t="n">
        <v>0</v>
      </c>
      <c r="K7373" t="n">
        <v>0</v>
      </c>
      <c r="L7373" t="n">
        <v>0</v>
      </c>
      <c r="M7373" t="n">
        <v>0</v>
      </c>
      <c r="N7373" t="n">
        <v>0</v>
      </c>
      <c r="O7373" t="n">
        <v>0</v>
      </c>
      <c r="P7373" t="n">
        <v>0</v>
      </c>
      <c r="Q7373" t="n">
        <v>0</v>
      </c>
      <c r="R7373" s="2" t="inlineStr"/>
    </row>
    <row r="7374" ht="15" customHeight="1">
      <c r="A7374" t="inlineStr">
        <is>
          <t>A 55922-2025</t>
        </is>
      </c>
      <c r="B7374" s="1" t="n">
        <v>45973.4247800926</v>
      </c>
      <c r="C7374" s="1" t="n">
        <v>46075</v>
      </c>
      <c r="D7374" t="inlineStr">
        <is>
          <t>VÄSTERBOTTENS LÄN</t>
        </is>
      </c>
      <c r="E7374" t="inlineStr">
        <is>
          <t>LYCKSELE</t>
        </is>
      </c>
      <c r="F7374" t="inlineStr">
        <is>
          <t>Sveaskog</t>
        </is>
      </c>
      <c r="G7374" t="n">
        <v>10.2</v>
      </c>
      <c r="H7374" t="n">
        <v>0</v>
      </c>
      <c r="I7374" t="n">
        <v>0</v>
      </c>
      <c r="J7374" t="n">
        <v>0</v>
      </c>
      <c r="K7374" t="n">
        <v>0</v>
      </c>
      <c r="L7374" t="n">
        <v>0</v>
      </c>
      <c r="M7374" t="n">
        <v>0</v>
      </c>
      <c r="N7374" t="n">
        <v>0</v>
      </c>
      <c r="O7374" t="n">
        <v>0</v>
      </c>
      <c r="P7374" t="n">
        <v>0</v>
      </c>
      <c r="Q7374" t="n">
        <v>0</v>
      </c>
      <c r="R7374" s="2" t="inlineStr"/>
    </row>
    <row r="7375" ht="15" customHeight="1">
      <c r="A7375" t="inlineStr">
        <is>
          <t>A 55936-2025</t>
        </is>
      </c>
      <c r="B7375" s="1" t="n">
        <v>45973.44416666667</v>
      </c>
      <c r="C7375" s="1" t="n">
        <v>46075</v>
      </c>
      <c r="D7375" t="inlineStr">
        <is>
          <t>VÄSTERBOTTENS LÄN</t>
        </is>
      </c>
      <c r="E7375" t="inlineStr">
        <is>
          <t>VINDELN</t>
        </is>
      </c>
      <c r="G7375" t="n">
        <v>2.5</v>
      </c>
      <c r="H7375" t="n">
        <v>0</v>
      </c>
      <c r="I7375" t="n">
        <v>0</v>
      </c>
      <c r="J7375" t="n">
        <v>0</v>
      </c>
      <c r="K7375" t="n">
        <v>0</v>
      </c>
      <c r="L7375" t="n">
        <v>0</v>
      </c>
      <c r="M7375" t="n">
        <v>0</v>
      </c>
      <c r="N7375" t="n">
        <v>0</v>
      </c>
      <c r="O7375" t="n">
        <v>0</v>
      </c>
      <c r="P7375" t="n">
        <v>0</v>
      </c>
      <c r="Q7375" t="n">
        <v>0</v>
      </c>
      <c r="R7375" s="2" t="inlineStr"/>
    </row>
    <row r="7376" ht="15" customHeight="1">
      <c r="A7376" t="inlineStr">
        <is>
          <t>A 55979-2025</t>
        </is>
      </c>
      <c r="B7376" s="1" t="n">
        <v>45973</v>
      </c>
      <c r="C7376" s="1" t="n">
        <v>46075</v>
      </c>
      <c r="D7376" t="inlineStr">
        <is>
          <t>VÄSTERBOTTENS LÄN</t>
        </is>
      </c>
      <c r="E7376" t="inlineStr">
        <is>
          <t>SKELLEFTEÅ</t>
        </is>
      </c>
      <c r="F7376" t="inlineStr">
        <is>
          <t>Kommuner</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55983-2025</t>
        </is>
      </c>
      <c r="B7377" s="1" t="n">
        <v>45973.54331018519</v>
      </c>
      <c r="C7377" s="1" t="n">
        <v>46075</v>
      </c>
      <c r="D7377" t="inlineStr">
        <is>
          <t>VÄSTERBOTTENS LÄN</t>
        </is>
      </c>
      <c r="E7377" t="inlineStr">
        <is>
          <t>NORSJÖ</t>
        </is>
      </c>
      <c r="F7377" t="inlineStr">
        <is>
          <t>Holmen skog AB</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55986-2025</t>
        </is>
      </c>
      <c r="B7378" s="1" t="n">
        <v>45973.5503587963</v>
      </c>
      <c r="C7378" s="1" t="n">
        <v>46075</v>
      </c>
      <c r="D7378" t="inlineStr">
        <is>
          <t>VÄSTERBOTTENS LÄN</t>
        </is>
      </c>
      <c r="E7378" t="inlineStr">
        <is>
          <t>NORSJÖ</t>
        </is>
      </c>
      <c r="F7378" t="inlineStr">
        <is>
          <t>Holmen skog AB</t>
        </is>
      </c>
      <c r="G7378" t="n">
        <v>4.2</v>
      </c>
      <c r="H7378" t="n">
        <v>0</v>
      </c>
      <c r="I7378" t="n">
        <v>0</v>
      </c>
      <c r="J7378" t="n">
        <v>0</v>
      </c>
      <c r="K7378" t="n">
        <v>0</v>
      </c>
      <c r="L7378" t="n">
        <v>0</v>
      </c>
      <c r="M7378" t="n">
        <v>0</v>
      </c>
      <c r="N7378" t="n">
        <v>0</v>
      </c>
      <c r="O7378" t="n">
        <v>0</v>
      </c>
      <c r="P7378" t="n">
        <v>0</v>
      </c>
      <c r="Q7378" t="n">
        <v>0</v>
      </c>
      <c r="R7378" s="2" t="inlineStr"/>
    </row>
    <row r="7379" ht="15" customHeight="1">
      <c r="A7379" t="inlineStr">
        <is>
          <t>A 1959-2025</t>
        </is>
      </c>
      <c r="B7379" s="1" t="n">
        <v>45671</v>
      </c>
      <c r="C7379" s="1" t="n">
        <v>46075</v>
      </c>
      <c r="D7379" t="inlineStr">
        <is>
          <t>VÄSTERBOTTENS LÄN</t>
        </is>
      </c>
      <c r="E7379" t="inlineStr">
        <is>
          <t>SKELLEFTEÅ</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55721-2025</t>
        </is>
      </c>
      <c r="B7380" s="1" t="n">
        <v>45972.51114583333</v>
      </c>
      <c r="C7380" s="1" t="n">
        <v>46075</v>
      </c>
      <c r="D7380" t="inlineStr">
        <is>
          <t>VÄSTERBOTTENS LÄN</t>
        </is>
      </c>
      <c r="E7380" t="inlineStr">
        <is>
          <t>LYCKSELE</t>
        </is>
      </c>
      <c r="F7380" t="inlineStr">
        <is>
          <t>SCA</t>
        </is>
      </c>
      <c r="G7380" t="n">
        <v>8</v>
      </c>
      <c r="H7380" t="n">
        <v>0</v>
      </c>
      <c r="I7380" t="n">
        <v>0</v>
      </c>
      <c r="J7380" t="n">
        <v>0</v>
      </c>
      <c r="K7380" t="n">
        <v>0</v>
      </c>
      <c r="L7380" t="n">
        <v>0</v>
      </c>
      <c r="M7380" t="n">
        <v>0</v>
      </c>
      <c r="N7380" t="n">
        <v>0</v>
      </c>
      <c r="O7380" t="n">
        <v>0</v>
      </c>
      <c r="P7380" t="n">
        <v>0</v>
      </c>
      <c r="Q7380" t="n">
        <v>0</v>
      </c>
      <c r="R7380" s="2" t="inlineStr"/>
    </row>
    <row r="7381" ht="15" customHeight="1">
      <c r="A7381" t="inlineStr">
        <is>
          <t>A 56104-2025</t>
        </is>
      </c>
      <c r="B7381" s="1" t="n">
        <v>45973.72788194445</v>
      </c>
      <c r="C7381" s="1" t="n">
        <v>46075</v>
      </c>
      <c r="D7381" t="inlineStr">
        <is>
          <t>VÄSTERBOTTENS LÄN</t>
        </is>
      </c>
      <c r="E7381" t="inlineStr">
        <is>
          <t>SKELLEFTEÅ</t>
        </is>
      </c>
      <c r="G7381" t="n">
        <v>6.6</v>
      </c>
      <c r="H7381" t="n">
        <v>0</v>
      </c>
      <c r="I7381" t="n">
        <v>0</v>
      </c>
      <c r="J7381" t="n">
        <v>0</v>
      </c>
      <c r="K7381" t="n">
        <v>0</v>
      </c>
      <c r="L7381" t="n">
        <v>0</v>
      </c>
      <c r="M7381" t="n">
        <v>0</v>
      </c>
      <c r="N7381" t="n">
        <v>0</v>
      </c>
      <c r="O7381" t="n">
        <v>0</v>
      </c>
      <c r="P7381" t="n">
        <v>0</v>
      </c>
      <c r="Q7381" t="n">
        <v>0</v>
      </c>
      <c r="R7381" s="2" t="inlineStr"/>
    </row>
    <row r="7382" ht="15" customHeight="1">
      <c r="A7382" t="inlineStr">
        <is>
          <t>A 51947-2025</t>
        </is>
      </c>
      <c r="B7382" s="1" t="n">
        <v>45952</v>
      </c>
      <c r="C7382" s="1" t="n">
        <v>46075</v>
      </c>
      <c r="D7382" t="inlineStr">
        <is>
          <t>VÄSTERBOTTENS LÄN</t>
        </is>
      </c>
      <c r="E7382" t="inlineStr">
        <is>
          <t>VILHELMINA</t>
        </is>
      </c>
      <c r="F7382" t="inlineStr">
        <is>
          <t>SCA</t>
        </is>
      </c>
      <c r="G7382" t="n">
        <v>5.8</v>
      </c>
      <c r="H7382" t="n">
        <v>0</v>
      </c>
      <c r="I7382" t="n">
        <v>0</v>
      </c>
      <c r="J7382" t="n">
        <v>0</v>
      </c>
      <c r="K7382" t="n">
        <v>0</v>
      </c>
      <c r="L7382" t="n">
        <v>0</v>
      </c>
      <c r="M7382" t="n">
        <v>0</v>
      </c>
      <c r="N7382" t="n">
        <v>0</v>
      </c>
      <c r="O7382" t="n">
        <v>0</v>
      </c>
      <c r="P7382" t="n">
        <v>0</v>
      </c>
      <c r="Q7382" t="n">
        <v>0</v>
      </c>
      <c r="R7382" s="2" t="inlineStr"/>
    </row>
    <row r="7383" ht="15" customHeight="1">
      <c r="A7383" t="inlineStr">
        <is>
          <t>A 56693-2024</t>
        </is>
      </c>
      <c r="B7383" s="1" t="n">
        <v>45627.71203703704</v>
      </c>
      <c r="C7383" s="1" t="n">
        <v>46075</v>
      </c>
      <c r="D7383" t="inlineStr">
        <is>
          <t>VÄSTERBOTTENS LÄN</t>
        </is>
      </c>
      <c r="E7383" t="inlineStr">
        <is>
          <t>BJURHOLM</t>
        </is>
      </c>
      <c r="G7383" t="n">
        <v>6.8</v>
      </c>
      <c r="H7383" t="n">
        <v>0</v>
      </c>
      <c r="I7383" t="n">
        <v>0</v>
      </c>
      <c r="J7383" t="n">
        <v>0</v>
      </c>
      <c r="K7383" t="n">
        <v>0</v>
      </c>
      <c r="L7383" t="n">
        <v>0</v>
      </c>
      <c r="M7383" t="n">
        <v>0</v>
      </c>
      <c r="N7383" t="n">
        <v>0</v>
      </c>
      <c r="O7383" t="n">
        <v>0</v>
      </c>
      <c r="P7383" t="n">
        <v>0</v>
      </c>
      <c r="Q7383" t="n">
        <v>0</v>
      </c>
      <c r="R7383" s="2" t="inlineStr"/>
    </row>
    <row r="7384" ht="15" customHeight="1">
      <c r="A7384" t="inlineStr">
        <is>
          <t>A 55741-2025</t>
        </is>
      </c>
      <c r="B7384" s="1" t="n">
        <v>45972.56950231481</v>
      </c>
      <c r="C7384" s="1" t="n">
        <v>46075</v>
      </c>
      <c r="D7384" t="inlineStr">
        <is>
          <t>VÄSTERBOTTENS LÄN</t>
        </is>
      </c>
      <c r="E7384" t="inlineStr">
        <is>
          <t>LYCKSELE</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55727-2025</t>
        </is>
      </c>
      <c r="B7385" s="1" t="n">
        <v>45972.53814814815</v>
      </c>
      <c r="C7385" s="1" t="n">
        <v>46075</v>
      </c>
      <c r="D7385" t="inlineStr">
        <is>
          <t>VÄSTERBOTTENS LÄN</t>
        </is>
      </c>
      <c r="E7385" t="inlineStr">
        <is>
          <t>SKELLEFTEÅ</t>
        </is>
      </c>
      <c r="F7385" t="inlineStr">
        <is>
          <t>Holmen skog AB</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13842-2025</t>
        </is>
      </c>
      <c r="B7386" s="1" t="n">
        <v>45737.55802083333</v>
      </c>
      <c r="C7386" s="1" t="n">
        <v>46075</v>
      </c>
      <c r="D7386" t="inlineStr">
        <is>
          <t>VÄSTERBOTTENS LÄN</t>
        </is>
      </c>
      <c r="E7386" t="inlineStr">
        <is>
          <t>BJURHOLM</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5475-2025</t>
        </is>
      </c>
      <c r="B7387" s="1" t="n">
        <v>45693.33069444444</v>
      </c>
      <c r="C7387" s="1" t="n">
        <v>46075</v>
      </c>
      <c r="D7387" t="inlineStr">
        <is>
          <t>VÄSTERBOTTENS LÄN</t>
        </is>
      </c>
      <c r="E7387" t="inlineStr">
        <is>
          <t>SKELLEFTEÅ</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13879-2025</t>
        </is>
      </c>
      <c r="B7388" s="1" t="n">
        <v>45737</v>
      </c>
      <c r="C7388" s="1" t="n">
        <v>46075</v>
      </c>
      <c r="D7388" t="inlineStr">
        <is>
          <t>VÄSTERBOTTENS LÄN</t>
        </is>
      </c>
      <c r="E7388" t="inlineStr">
        <is>
          <t>ÅSELE</t>
        </is>
      </c>
      <c r="F7388" t="inlineStr">
        <is>
          <t>SCA</t>
        </is>
      </c>
      <c r="G7388" t="n">
        <v>9.699999999999999</v>
      </c>
      <c r="H7388" t="n">
        <v>0</v>
      </c>
      <c r="I7388" t="n">
        <v>0</v>
      </c>
      <c r="J7388" t="n">
        <v>0</v>
      </c>
      <c r="K7388" t="n">
        <v>0</v>
      </c>
      <c r="L7388" t="n">
        <v>0</v>
      </c>
      <c r="M7388" t="n">
        <v>0</v>
      </c>
      <c r="N7388" t="n">
        <v>0</v>
      </c>
      <c r="O7388" t="n">
        <v>0</v>
      </c>
      <c r="P7388" t="n">
        <v>0</v>
      </c>
      <c r="Q7388" t="n">
        <v>0</v>
      </c>
      <c r="R7388" s="2" t="inlineStr"/>
    </row>
    <row r="7389" ht="15" customHeight="1">
      <c r="A7389" t="inlineStr">
        <is>
          <t>A 41101-2022</t>
        </is>
      </c>
      <c r="B7389" s="1" t="n">
        <v>44820</v>
      </c>
      <c r="C7389" s="1" t="n">
        <v>46075</v>
      </c>
      <c r="D7389" t="inlineStr">
        <is>
          <t>VÄSTERBOTTENS LÄN</t>
        </is>
      </c>
      <c r="E7389" t="inlineStr">
        <is>
          <t>LYCKSELE</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917-2025</t>
        </is>
      </c>
      <c r="B7390" s="1" t="n">
        <v>45665.77418981482</v>
      </c>
      <c r="C7390" s="1" t="n">
        <v>46075</v>
      </c>
      <c r="D7390" t="inlineStr">
        <is>
          <t>VÄSTERBOTTENS LÄN</t>
        </is>
      </c>
      <c r="E7390" t="inlineStr">
        <is>
          <t>ÅSELE</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58943-2024</t>
        </is>
      </c>
      <c r="B7391" s="1" t="n">
        <v>45636.5433449074</v>
      </c>
      <c r="C7391" s="1" t="n">
        <v>46075</v>
      </c>
      <c r="D7391" t="inlineStr">
        <is>
          <t>VÄSTERBOTTENS LÄN</t>
        </is>
      </c>
      <c r="E7391" t="inlineStr">
        <is>
          <t>VILHELMINA</t>
        </is>
      </c>
      <c r="F7391" t="inlineStr">
        <is>
          <t>Kommuner</t>
        </is>
      </c>
      <c r="G7391" t="n">
        <v>4.1</v>
      </c>
      <c r="H7391" t="n">
        <v>0</v>
      </c>
      <c r="I7391" t="n">
        <v>0</v>
      </c>
      <c r="J7391" t="n">
        <v>0</v>
      </c>
      <c r="K7391" t="n">
        <v>0</v>
      </c>
      <c r="L7391" t="n">
        <v>0</v>
      </c>
      <c r="M7391" t="n">
        <v>0</v>
      </c>
      <c r="N7391" t="n">
        <v>0</v>
      </c>
      <c r="O7391" t="n">
        <v>0</v>
      </c>
      <c r="P7391" t="n">
        <v>0</v>
      </c>
      <c r="Q7391" t="n">
        <v>0</v>
      </c>
      <c r="R7391" s="2" t="inlineStr"/>
    </row>
    <row r="7392" ht="15" customHeight="1">
      <c r="A7392" t="inlineStr">
        <is>
          <t>A 672-2025</t>
        </is>
      </c>
      <c r="B7392" s="1" t="n">
        <v>45664</v>
      </c>
      <c r="C7392" s="1" t="n">
        <v>46075</v>
      </c>
      <c r="D7392" t="inlineStr">
        <is>
          <t>VÄSTERBOTTENS LÄN</t>
        </is>
      </c>
      <c r="E7392" t="inlineStr">
        <is>
          <t>ROBERTSFORS</t>
        </is>
      </c>
      <c r="G7392" t="n">
        <v>5.2</v>
      </c>
      <c r="H7392" t="n">
        <v>0</v>
      </c>
      <c r="I7392" t="n">
        <v>0</v>
      </c>
      <c r="J7392" t="n">
        <v>0</v>
      </c>
      <c r="K7392" t="n">
        <v>0</v>
      </c>
      <c r="L7392" t="n">
        <v>0</v>
      </c>
      <c r="M7392" t="n">
        <v>0</v>
      </c>
      <c r="N7392" t="n">
        <v>0</v>
      </c>
      <c r="O7392" t="n">
        <v>0</v>
      </c>
      <c r="P7392" t="n">
        <v>0</v>
      </c>
      <c r="Q7392" t="n">
        <v>0</v>
      </c>
      <c r="R7392" s="2" t="inlineStr"/>
    </row>
    <row r="7393" ht="15" customHeight="1">
      <c r="A7393" t="inlineStr">
        <is>
          <t>A 37841-2023</t>
        </is>
      </c>
      <c r="B7393" s="1" t="n">
        <v>45156</v>
      </c>
      <c r="C7393" s="1" t="n">
        <v>46075</v>
      </c>
      <c r="D7393" t="inlineStr">
        <is>
          <t>VÄSTERBOTTENS LÄN</t>
        </is>
      </c>
      <c r="E7393" t="inlineStr">
        <is>
          <t>NORSJÖ</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45352-2024</t>
        </is>
      </c>
      <c r="B7394" s="1" t="n">
        <v>45576</v>
      </c>
      <c r="C7394" s="1" t="n">
        <v>46075</v>
      </c>
      <c r="D7394" t="inlineStr">
        <is>
          <t>VÄSTERBOTTENS LÄN</t>
        </is>
      </c>
      <c r="E7394" t="inlineStr">
        <is>
          <t>LYCKSELE</t>
        </is>
      </c>
      <c r="F7394" t="inlineStr">
        <is>
          <t>Sveaskog</t>
        </is>
      </c>
      <c r="G7394" t="n">
        <v>7.6</v>
      </c>
      <c r="H7394" t="n">
        <v>0</v>
      </c>
      <c r="I7394" t="n">
        <v>0</v>
      </c>
      <c r="J7394" t="n">
        <v>0</v>
      </c>
      <c r="K7394" t="n">
        <v>0</v>
      </c>
      <c r="L7394" t="n">
        <v>0</v>
      </c>
      <c r="M7394" t="n">
        <v>0</v>
      </c>
      <c r="N7394" t="n">
        <v>0</v>
      </c>
      <c r="O7394" t="n">
        <v>0</v>
      </c>
      <c r="P7394" t="n">
        <v>0</v>
      </c>
      <c r="Q7394" t="n">
        <v>0</v>
      </c>
      <c r="R7394" s="2" t="inlineStr"/>
    </row>
    <row r="7395" ht="15" customHeight="1">
      <c r="A7395" t="inlineStr">
        <is>
          <t>A 40785-2024</t>
        </is>
      </c>
      <c r="B7395" s="1" t="n">
        <v>45558.49664351852</v>
      </c>
      <c r="C7395" s="1" t="n">
        <v>46075</v>
      </c>
      <c r="D7395" t="inlineStr">
        <is>
          <t>VÄSTERBOTTENS LÄN</t>
        </is>
      </c>
      <c r="E7395" t="inlineStr">
        <is>
          <t>VINDELN</t>
        </is>
      </c>
      <c r="F7395" t="inlineStr">
        <is>
          <t>Holmen skog AB</t>
        </is>
      </c>
      <c r="G7395" t="n">
        <v>1.7</v>
      </c>
      <c r="H7395" t="n">
        <v>0</v>
      </c>
      <c r="I7395" t="n">
        <v>0</v>
      </c>
      <c r="J7395" t="n">
        <v>0</v>
      </c>
      <c r="K7395" t="n">
        <v>0</v>
      </c>
      <c r="L7395" t="n">
        <v>0</v>
      </c>
      <c r="M7395" t="n">
        <v>0</v>
      </c>
      <c r="N7395" t="n">
        <v>0</v>
      </c>
      <c r="O7395" t="n">
        <v>0</v>
      </c>
      <c r="P7395" t="n">
        <v>0</v>
      </c>
      <c r="Q7395" t="n">
        <v>0</v>
      </c>
      <c r="R7395" s="2" t="inlineStr"/>
      <c r="U7395">
        <f>HYPERLINK("https://klasma.github.io/Logging_2404/knärot/A 40785-2024 karta knärot.png", "A 40785-2024")</f>
        <v/>
      </c>
      <c r="V7395">
        <f>HYPERLINK("https://klasma.github.io/Logging_2404/klagomål/A 40785-2024 FSC-klagomål.docx", "A 40785-2024")</f>
        <v/>
      </c>
      <c r="W7395">
        <f>HYPERLINK("https://klasma.github.io/Logging_2404/klagomålsmail/A 40785-2024 FSC-klagomål mail.docx", "A 40785-2024")</f>
        <v/>
      </c>
      <c r="X7395">
        <f>HYPERLINK("https://klasma.github.io/Logging_2404/tillsyn/A 40785-2024 tillsynsbegäran.docx", "A 40785-2024")</f>
        <v/>
      </c>
      <c r="Y7395">
        <f>HYPERLINK("https://klasma.github.io/Logging_2404/tillsynsmail/A 40785-2024 tillsynsbegäran mail.docx", "A 40785-2024")</f>
        <v/>
      </c>
    </row>
    <row r="7396" ht="15" customHeight="1">
      <c r="A7396" t="inlineStr">
        <is>
          <t>A 55841-2025</t>
        </is>
      </c>
      <c r="B7396" s="1" t="n">
        <v>45973.28767361111</v>
      </c>
      <c r="C7396" s="1" t="n">
        <v>46075</v>
      </c>
      <c r="D7396" t="inlineStr">
        <is>
          <t>VÄSTERBOTTENS LÄN</t>
        </is>
      </c>
      <c r="E7396" t="inlineStr">
        <is>
          <t>SKELLEFTEÅ</t>
        </is>
      </c>
      <c r="G7396" t="n">
        <v>3.6</v>
      </c>
      <c r="H7396" t="n">
        <v>0</v>
      </c>
      <c r="I7396" t="n">
        <v>0</v>
      </c>
      <c r="J7396" t="n">
        <v>0</v>
      </c>
      <c r="K7396" t="n">
        <v>0</v>
      </c>
      <c r="L7396" t="n">
        <v>0</v>
      </c>
      <c r="M7396" t="n">
        <v>0</v>
      </c>
      <c r="N7396" t="n">
        <v>0</v>
      </c>
      <c r="O7396" t="n">
        <v>0</v>
      </c>
      <c r="P7396" t="n">
        <v>0</v>
      </c>
      <c r="Q7396" t="n">
        <v>0</v>
      </c>
      <c r="R7396" s="2" t="inlineStr"/>
    </row>
    <row r="7397" ht="15" customHeight="1">
      <c r="A7397" t="inlineStr">
        <is>
          <t>A 55876-2025</t>
        </is>
      </c>
      <c r="B7397" s="1" t="n">
        <v>45973.36261574074</v>
      </c>
      <c r="C7397" s="1" t="n">
        <v>46075</v>
      </c>
      <c r="D7397" t="inlineStr">
        <is>
          <t>VÄSTERBOTTENS LÄN</t>
        </is>
      </c>
      <c r="E7397" t="inlineStr">
        <is>
          <t>VINDELN</t>
        </is>
      </c>
      <c r="G7397" t="n">
        <v>2.4</v>
      </c>
      <c r="H7397" t="n">
        <v>0</v>
      </c>
      <c r="I7397" t="n">
        <v>0</v>
      </c>
      <c r="J7397" t="n">
        <v>0</v>
      </c>
      <c r="K7397" t="n">
        <v>0</v>
      </c>
      <c r="L7397" t="n">
        <v>0</v>
      </c>
      <c r="M7397" t="n">
        <v>0</v>
      </c>
      <c r="N7397" t="n">
        <v>0</v>
      </c>
      <c r="O7397" t="n">
        <v>0</v>
      </c>
      <c r="P7397" t="n">
        <v>0</v>
      </c>
      <c r="Q7397" t="n">
        <v>0</v>
      </c>
      <c r="R7397" s="2" t="inlineStr"/>
    </row>
    <row r="7398" ht="15" customHeight="1">
      <c r="A7398" t="inlineStr">
        <is>
          <t>A 15116-2025</t>
        </is>
      </c>
      <c r="B7398" s="1" t="n">
        <v>45744.36479166667</v>
      </c>
      <c r="C7398" s="1" t="n">
        <v>46075</v>
      </c>
      <c r="D7398" t="inlineStr">
        <is>
          <t>VÄSTERBOTTENS LÄN</t>
        </is>
      </c>
      <c r="E7398" t="inlineStr">
        <is>
          <t>SKELLEFTEÅ</t>
        </is>
      </c>
      <c r="G7398" t="n">
        <v>2.6</v>
      </c>
      <c r="H7398" t="n">
        <v>0</v>
      </c>
      <c r="I7398" t="n">
        <v>0</v>
      </c>
      <c r="J7398" t="n">
        <v>0</v>
      </c>
      <c r="K7398" t="n">
        <v>0</v>
      </c>
      <c r="L7398" t="n">
        <v>0</v>
      </c>
      <c r="M7398" t="n">
        <v>0</v>
      </c>
      <c r="N7398" t="n">
        <v>0</v>
      </c>
      <c r="O7398" t="n">
        <v>0</v>
      </c>
      <c r="P7398" t="n">
        <v>0</v>
      </c>
      <c r="Q7398" t="n">
        <v>0</v>
      </c>
      <c r="R7398" s="2" t="inlineStr"/>
    </row>
    <row r="7399" ht="15" customHeight="1">
      <c r="A7399" t="inlineStr">
        <is>
          <t>A 51466-2024</t>
        </is>
      </c>
      <c r="B7399" s="1" t="n">
        <v>45604</v>
      </c>
      <c r="C7399" s="1" t="n">
        <v>46075</v>
      </c>
      <c r="D7399" t="inlineStr">
        <is>
          <t>VÄSTERBOTTENS LÄN</t>
        </is>
      </c>
      <c r="E7399" t="inlineStr">
        <is>
          <t>LYCKSELE</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56018-2025</t>
        </is>
      </c>
      <c r="B7400" s="1" t="n">
        <v>45973.59322916667</v>
      </c>
      <c r="C7400" s="1" t="n">
        <v>46075</v>
      </c>
      <c r="D7400" t="inlineStr">
        <is>
          <t>VÄSTERBOTTENS LÄN</t>
        </is>
      </c>
      <c r="E7400" t="inlineStr">
        <is>
          <t>ÅSELE</t>
        </is>
      </c>
      <c r="F7400" t="inlineStr">
        <is>
          <t>Holmen skog AB</t>
        </is>
      </c>
      <c r="G7400" t="n">
        <v>8.6</v>
      </c>
      <c r="H7400" t="n">
        <v>0</v>
      </c>
      <c r="I7400" t="n">
        <v>0</v>
      </c>
      <c r="J7400" t="n">
        <v>0</v>
      </c>
      <c r="K7400" t="n">
        <v>0</v>
      </c>
      <c r="L7400" t="n">
        <v>0</v>
      </c>
      <c r="M7400" t="n">
        <v>0</v>
      </c>
      <c r="N7400" t="n">
        <v>0</v>
      </c>
      <c r="O7400" t="n">
        <v>0</v>
      </c>
      <c r="P7400" t="n">
        <v>0</v>
      </c>
      <c r="Q7400" t="n">
        <v>0</v>
      </c>
      <c r="R7400" s="2" t="inlineStr"/>
    </row>
    <row r="7401" ht="15" customHeight="1">
      <c r="A7401" t="inlineStr">
        <is>
          <t>A 10719-2024</t>
        </is>
      </c>
      <c r="B7401" s="1" t="n">
        <v>45369</v>
      </c>
      <c r="C7401" s="1" t="n">
        <v>46075</v>
      </c>
      <c r="D7401" t="inlineStr">
        <is>
          <t>VÄSTERBOTTENS LÄN</t>
        </is>
      </c>
      <c r="E7401" t="inlineStr">
        <is>
          <t>SKELLEFTEÅ</t>
        </is>
      </c>
      <c r="G7401" t="n">
        <v>0.5</v>
      </c>
      <c r="H7401" t="n">
        <v>0</v>
      </c>
      <c r="I7401" t="n">
        <v>0</v>
      </c>
      <c r="J7401" t="n">
        <v>0</v>
      </c>
      <c r="K7401" t="n">
        <v>0</v>
      </c>
      <c r="L7401" t="n">
        <v>0</v>
      </c>
      <c r="M7401" t="n">
        <v>0</v>
      </c>
      <c r="N7401" t="n">
        <v>0</v>
      </c>
      <c r="O7401" t="n">
        <v>0</v>
      </c>
      <c r="P7401" t="n">
        <v>0</v>
      </c>
      <c r="Q7401" t="n">
        <v>0</v>
      </c>
      <c r="R7401" s="2" t="inlineStr"/>
    </row>
    <row r="7402" ht="15" customHeight="1">
      <c r="A7402" t="inlineStr">
        <is>
          <t>A 14329-2025</t>
        </is>
      </c>
      <c r="B7402" s="1" t="n">
        <v>45740.84127314815</v>
      </c>
      <c r="C7402" s="1" t="n">
        <v>46075</v>
      </c>
      <c r="D7402" t="inlineStr">
        <is>
          <t>VÄSTERBOTTENS LÄN</t>
        </is>
      </c>
      <c r="E7402" t="inlineStr">
        <is>
          <t>DOROTEA</t>
        </is>
      </c>
      <c r="G7402" t="n">
        <v>4.9</v>
      </c>
      <c r="H7402" t="n">
        <v>0</v>
      </c>
      <c r="I7402" t="n">
        <v>0</v>
      </c>
      <c r="J7402" t="n">
        <v>0</v>
      </c>
      <c r="K7402" t="n">
        <v>0</v>
      </c>
      <c r="L7402" t="n">
        <v>0</v>
      </c>
      <c r="M7402" t="n">
        <v>0</v>
      </c>
      <c r="N7402" t="n">
        <v>0</v>
      </c>
      <c r="O7402" t="n">
        <v>0</v>
      </c>
      <c r="P7402" t="n">
        <v>0</v>
      </c>
      <c r="Q7402" t="n">
        <v>0</v>
      </c>
      <c r="R7402" s="2" t="inlineStr"/>
    </row>
    <row r="7403" ht="15" customHeight="1">
      <c r="A7403" t="inlineStr">
        <is>
          <t>A 55666-2025</t>
        </is>
      </c>
      <c r="B7403" s="1" t="n">
        <v>45972.40097222223</v>
      </c>
      <c r="C7403" s="1" t="n">
        <v>46075</v>
      </c>
      <c r="D7403" t="inlineStr">
        <is>
          <t>VÄSTERBOTTENS LÄN</t>
        </is>
      </c>
      <c r="E7403" t="inlineStr">
        <is>
          <t>LYCKSELE</t>
        </is>
      </c>
      <c r="F7403" t="inlineStr">
        <is>
          <t>Holmen skog AB</t>
        </is>
      </c>
      <c r="G7403" t="n">
        <v>2.9</v>
      </c>
      <c r="H7403" t="n">
        <v>0</v>
      </c>
      <c r="I7403" t="n">
        <v>0</v>
      </c>
      <c r="J7403" t="n">
        <v>0</v>
      </c>
      <c r="K7403" t="n">
        <v>0</v>
      </c>
      <c r="L7403" t="n">
        <v>0</v>
      </c>
      <c r="M7403" t="n">
        <v>0</v>
      </c>
      <c r="N7403" t="n">
        <v>0</v>
      </c>
      <c r="O7403" t="n">
        <v>0</v>
      </c>
      <c r="P7403" t="n">
        <v>0</v>
      </c>
      <c r="Q7403" t="n">
        <v>0</v>
      </c>
      <c r="R7403" s="2" t="inlineStr"/>
    </row>
    <row r="7404" ht="15" customHeight="1">
      <c r="A7404" t="inlineStr">
        <is>
          <t>A 55677-2025</t>
        </is>
      </c>
      <c r="B7404" s="1" t="n">
        <v>45972.41859953704</v>
      </c>
      <c r="C7404" s="1" t="n">
        <v>46075</v>
      </c>
      <c r="D7404" t="inlineStr">
        <is>
          <t>VÄSTERBOTTENS LÄN</t>
        </is>
      </c>
      <c r="E7404" t="inlineStr">
        <is>
          <t>LYCKSELE</t>
        </is>
      </c>
      <c r="F7404" t="inlineStr">
        <is>
          <t>Sveaskog</t>
        </is>
      </c>
      <c r="G7404" t="n">
        <v>2.1</v>
      </c>
      <c r="H7404" t="n">
        <v>0</v>
      </c>
      <c r="I7404" t="n">
        <v>0</v>
      </c>
      <c r="J7404" t="n">
        <v>0</v>
      </c>
      <c r="K7404" t="n">
        <v>0</v>
      </c>
      <c r="L7404" t="n">
        <v>0</v>
      </c>
      <c r="M7404" t="n">
        <v>0</v>
      </c>
      <c r="N7404" t="n">
        <v>0</v>
      </c>
      <c r="O7404" t="n">
        <v>0</v>
      </c>
      <c r="P7404" t="n">
        <v>0</v>
      </c>
      <c r="Q7404" t="n">
        <v>0</v>
      </c>
      <c r="R7404" s="2" t="inlineStr"/>
    </row>
    <row r="7405" ht="15" customHeight="1">
      <c r="A7405" t="inlineStr">
        <is>
          <t>A 489-2024</t>
        </is>
      </c>
      <c r="B7405" s="1" t="n">
        <v>45298</v>
      </c>
      <c r="C7405" s="1" t="n">
        <v>46075</v>
      </c>
      <c r="D7405" t="inlineStr">
        <is>
          <t>VÄSTERBOTTENS LÄN</t>
        </is>
      </c>
      <c r="E7405" t="inlineStr">
        <is>
          <t>UMEÅ</t>
        </is>
      </c>
      <c r="G7405" t="n">
        <v>8.1</v>
      </c>
      <c r="H7405" t="n">
        <v>0</v>
      </c>
      <c r="I7405" t="n">
        <v>0</v>
      </c>
      <c r="J7405" t="n">
        <v>0</v>
      </c>
      <c r="K7405" t="n">
        <v>0</v>
      </c>
      <c r="L7405" t="n">
        <v>0</v>
      </c>
      <c r="M7405" t="n">
        <v>0</v>
      </c>
      <c r="N7405" t="n">
        <v>0</v>
      </c>
      <c r="O7405" t="n">
        <v>0</v>
      </c>
      <c r="P7405" t="n">
        <v>0</v>
      </c>
      <c r="Q7405" t="n">
        <v>0</v>
      </c>
      <c r="R7405" s="2" t="inlineStr"/>
    </row>
    <row r="7406" ht="15" customHeight="1">
      <c r="A7406" t="inlineStr">
        <is>
          <t>A 29323-2024</t>
        </is>
      </c>
      <c r="B7406" s="1" t="n">
        <v>45483.43054398148</v>
      </c>
      <c r="C7406" s="1" t="n">
        <v>46075</v>
      </c>
      <c r="D7406" t="inlineStr">
        <is>
          <t>VÄSTERBOTTENS LÄN</t>
        </is>
      </c>
      <c r="E7406" t="inlineStr">
        <is>
          <t>SKELLEFTEÅ</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57471-2024</t>
        </is>
      </c>
      <c r="B7407" s="1" t="n">
        <v>45630.34428240741</v>
      </c>
      <c r="C7407" s="1" t="n">
        <v>46075</v>
      </c>
      <c r="D7407" t="inlineStr">
        <is>
          <t>VÄSTERBOTTENS LÄN</t>
        </is>
      </c>
      <c r="E7407" t="inlineStr">
        <is>
          <t>LYCKSELE</t>
        </is>
      </c>
      <c r="F7407" t="inlineStr">
        <is>
          <t>SCA</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39750-2023</t>
        </is>
      </c>
      <c r="B7408" s="1" t="n">
        <v>45166</v>
      </c>
      <c r="C7408" s="1" t="n">
        <v>46075</v>
      </c>
      <c r="D7408" t="inlineStr">
        <is>
          <t>VÄSTERBOTTENS LÄN</t>
        </is>
      </c>
      <c r="E7408" t="inlineStr">
        <is>
          <t>ROBERTSFORS</t>
        </is>
      </c>
      <c r="G7408" t="n">
        <v>10.5</v>
      </c>
      <c r="H7408" t="n">
        <v>0</v>
      </c>
      <c r="I7408" t="n">
        <v>0</v>
      </c>
      <c r="J7408" t="n">
        <v>0</v>
      </c>
      <c r="K7408" t="n">
        <v>0</v>
      </c>
      <c r="L7408" t="n">
        <v>0</v>
      </c>
      <c r="M7408" t="n">
        <v>0</v>
      </c>
      <c r="N7408" t="n">
        <v>0</v>
      </c>
      <c r="O7408" t="n">
        <v>0</v>
      </c>
      <c r="P7408" t="n">
        <v>0</v>
      </c>
      <c r="Q7408" t="n">
        <v>0</v>
      </c>
      <c r="R7408" s="2" t="inlineStr"/>
    </row>
    <row r="7409" ht="15" customHeight="1">
      <c r="A7409" t="inlineStr">
        <is>
          <t>A 39790-2023</t>
        </is>
      </c>
      <c r="B7409" s="1" t="n">
        <v>45167</v>
      </c>
      <c r="C7409" s="1" t="n">
        <v>46075</v>
      </c>
      <c r="D7409" t="inlineStr">
        <is>
          <t>VÄSTERBOTTENS LÄN</t>
        </is>
      </c>
      <c r="E7409" t="inlineStr">
        <is>
          <t>MALÅ</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57498-2024</t>
        </is>
      </c>
      <c r="B7410" s="1" t="n">
        <v>45629</v>
      </c>
      <c r="C7410" s="1" t="n">
        <v>46075</v>
      </c>
      <c r="D7410" t="inlineStr">
        <is>
          <t>VÄSTERBOTTENS LÄN</t>
        </is>
      </c>
      <c r="E7410" t="inlineStr">
        <is>
          <t>ÅSELE</t>
        </is>
      </c>
      <c r="G7410" t="n">
        <v>3.5</v>
      </c>
      <c r="H7410" t="n">
        <v>0</v>
      </c>
      <c r="I7410" t="n">
        <v>0</v>
      </c>
      <c r="J7410" t="n">
        <v>0</v>
      </c>
      <c r="K7410" t="n">
        <v>0</v>
      </c>
      <c r="L7410" t="n">
        <v>0</v>
      </c>
      <c r="M7410" t="n">
        <v>0</v>
      </c>
      <c r="N7410" t="n">
        <v>0</v>
      </c>
      <c r="O7410" t="n">
        <v>0</v>
      </c>
      <c r="P7410" t="n">
        <v>0</v>
      </c>
      <c r="Q7410" t="n">
        <v>0</v>
      </c>
      <c r="R7410" s="2" t="inlineStr"/>
    </row>
    <row r="7411" ht="15" customHeight="1">
      <c r="A7411" t="inlineStr">
        <is>
          <t>A 55984-2025</t>
        </is>
      </c>
      <c r="B7411" s="1" t="n">
        <v>45973.5440162037</v>
      </c>
      <c r="C7411" s="1" t="n">
        <v>46075</v>
      </c>
      <c r="D7411" t="inlineStr">
        <is>
          <t>VÄSTERBOTTENS LÄN</t>
        </is>
      </c>
      <c r="E7411" t="inlineStr">
        <is>
          <t>VINDELN</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55915-2025</t>
        </is>
      </c>
      <c r="B7412" s="1" t="n">
        <v>45973.40667824074</v>
      </c>
      <c r="C7412" s="1" t="n">
        <v>46075</v>
      </c>
      <c r="D7412" t="inlineStr">
        <is>
          <t>VÄSTERBOTTENS LÄN</t>
        </is>
      </c>
      <c r="E7412" t="inlineStr">
        <is>
          <t>SKELLEFTEÅ</t>
        </is>
      </c>
      <c r="G7412" t="n">
        <v>3.3</v>
      </c>
      <c r="H7412" t="n">
        <v>0</v>
      </c>
      <c r="I7412" t="n">
        <v>0</v>
      </c>
      <c r="J7412" t="n">
        <v>0</v>
      </c>
      <c r="K7412" t="n">
        <v>0</v>
      </c>
      <c r="L7412" t="n">
        <v>0</v>
      </c>
      <c r="M7412" t="n">
        <v>0</v>
      </c>
      <c r="N7412" t="n">
        <v>0</v>
      </c>
      <c r="O7412" t="n">
        <v>0</v>
      </c>
      <c r="P7412" t="n">
        <v>0</v>
      </c>
      <c r="Q7412" t="n">
        <v>0</v>
      </c>
      <c r="R7412" s="2" t="inlineStr"/>
    </row>
    <row r="7413" ht="15" customHeight="1">
      <c r="A7413" t="inlineStr">
        <is>
          <t>A 55916-2025</t>
        </is>
      </c>
      <c r="B7413" s="1" t="n">
        <v>45973.40679398148</v>
      </c>
      <c r="C7413" s="1" t="n">
        <v>46075</v>
      </c>
      <c r="D7413" t="inlineStr">
        <is>
          <t>VÄSTERBOTTENS LÄN</t>
        </is>
      </c>
      <c r="E7413" t="inlineStr">
        <is>
          <t>SKELLEFTEÅ</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60542-2024</t>
        </is>
      </c>
      <c r="B7414" s="1" t="n">
        <v>45643.79216435185</v>
      </c>
      <c r="C7414" s="1" t="n">
        <v>46075</v>
      </c>
      <c r="D7414" t="inlineStr">
        <is>
          <t>VÄSTERBOTTENS LÄN</t>
        </is>
      </c>
      <c r="E7414" t="inlineStr">
        <is>
          <t>LYCKSELE</t>
        </is>
      </c>
      <c r="G7414" t="n">
        <v>4.4</v>
      </c>
      <c r="H7414" t="n">
        <v>0</v>
      </c>
      <c r="I7414" t="n">
        <v>0</v>
      </c>
      <c r="J7414" t="n">
        <v>0</v>
      </c>
      <c r="K7414" t="n">
        <v>0</v>
      </c>
      <c r="L7414" t="n">
        <v>0</v>
      </c>
      <c r="M7414" t="n">
        <v>0</v>
      </c>
      <c r="N7414" t="n">
        <v>0</v>
      </c>
      <c r="O7414" t="n">
        <v>0</v>
      </c>
      <c r="P7414" t="n">
        <v>0</v>
      </c>
      <c r="Q7414" t="n">
        <v>0</v>
      </c>
      <c r="R7414" s="2" t="inlineStr"/>
    </row>
    <row r="7415" ht="15" customHeight="1">
      <c r="A7415" t="inlineStr">
        <is>
          <t>A 55844-2025</t>
        </is>
      </c>
      <c r="B7415" s="1" t="n">
        <v>45973.29459490741</v>
      </c>
      <c r="C7415" s="1" t="n">
        <v>46075</v>
      </c>
      <c r="D7415" t="inlineStr">
        <is>
          <t>VÄSTERBOTTENS LÄN</t>
        </is>
      </c>
      <c r="E7415" t="inlineStr">
        <is>
          <t>UMEÅ</t>
        </is>
      </c>
      <c r="G7415" t="n">
        <v>3.8</v>
      </c>
      <c r="H7415" t="n">
        <v>0</v>
      </c>
      <c r="I7415" t="n">
        <v>0</v>
      </c>
      <c r="J7415" t="n">
        <v>0</v>
      </c>
      <c r="K7415" t="n">
        <v>0</v>
      </c>
      <c r="L7415" t="n">
        <v>0</v>
      </c>
      <c r="M7415" t="n">
        <v>0</v>
      </c>
      <c r="N7415" t="n">
        <v>0</v>
      </c>
      <c r="O7415" t="n">
        <v>0</v>
      </c>
      <c r="P7415" t="n">
        <v>0</v>
      </c>
      <c r="Q7415" t="n">
        <v>0</v>
      </c>
      <c r="R7415" s="2" t="inlineStr"/>
    </row>
    <row r="7416" ht="15" customHeight="1">
      <c r="A7416" t="inlineStr">
        <is>
          <t>A 55864-2025</t>
        </is>
      </c>
      <c r="B7416" s="1" t="n">
        <v>45973.3483449074</v>
      </c>
      <c r="C7416" s="1" t="n">
        <v>46075</v>
      </c>
      <c r="D7416" t="inlineStr">
        <is>
          <t>VÄSTERBOTTENS LÄN</t>
        </is>
      </c>
      <c r="E7416" t="inlineStr">
        <is>
          <t>SKELLEFTEÅ</t>
        </is>
      </c>
      <c r="F7416" t="inlineStr">
        <is>
          <t>Kommuner</t>
        </is>
      </c>
      <c r="G7416" t="n">
        <v>6.3</v>
      </c>
      <c r="H7416" t="n">
        <v>0</v>
      </c>
      <c r="I7416" t="n">
        <v>0</v>
      </c>
      <c r="J7416" t="n">
        <v>0</v>
      </c>
      <c r="K7416" t="n">
        <v>0</v>
      </c>
      <c r="L7416" t="n">
        <v>0</v>
      </c>
      <c r="M7416" t="n">
        <v>0</v>
      </c>
      <c r="N7416" t="n">
        <v>0</v>
      </c>
      <c r="O7416" t="n">
        <v>0</v>
      </c>
      <c r="P7416" t="n">
        <v>0</v>
      </c>
      <c r="Q7416" t="n">
        <v>0</v>
      </c>
      <c r="R7416" s="2" t="inlineStr"/>
    </row>
    <row r="7417" ht="15" customHeight="1">
      <c r="A7417" t="inlineStr">
        <is>
          <t>A 55634-2025</t>
        </is>
      </c>
      <c r="B7417" s="1" t="n">
        <v>45972.34466435185</v>
      </c>
      <c r="C7417" s="1" t="n">
        <v>46075</v>
      </c>
      <c r="D7417" t="inlineStr">
        <is>
          <t>VÄSTERBOTTENS LÄN</t>
        </is>
      </c>
      <c r="E7417" t="inlineStr">
        <is>
          <t>VILHELMINA</t>
        </is>
      </c>
      <c r="F7417" t="inlineStr">
        <is>
          <t>SCA</t>
        </is>
      </c>
      <c r="G7417" t="n">
        <v>7.2</v>
      </c>
      <c r="H7417" t="n">
        <v>0</v>
      </c>
      <c r="I7417" t="n">
        <v>0</v>
      </c>
      <c r="J7417" t="n">
        <v>0</v>
      </c>
      <c r="K7417" t="n">
        <v>0</v>
      </c>
      <c r="L7417" t="n">
        <v>0</v>
      </c>
      <c r="M7417" t="n">
        <v>0</v>
      </c>
      <c r="N7417" t="n">
        <v>0</v>
      </c>
      <c r="O7417" t="n">
        <v>0</v>
      </c>
      <c r="P7417" t="n">
        <v>0</v>
      </c>
      <c r="Q7417" t="n">
        <v>0</v>
      </c>
      <c r="R7417" s="2" t="inlineStr"/>
    </row>
    <row r="7418" ht="15" customHeight="1">
      <c r="A7418" t="inlineStr">
        <is>
          <t>A 55658-2025</t>
        </is>
      </c>
      <c r="B7418" s="1" t="n">
        <v>45972.3912037037</v>
      </c>
      <c r="C7418" s="1" t="n">
        <v>46075</v>
      </c>
      <c r="D7418" t="inlineStr">
        <is>
          <t>VÄSTERBOTTENS LÄN</t>
        </is>
      </c>
      <c r="E7418" t="inlineStr">
        <is>
          <t>UMEÅ</t>
        </is>
      </c>
      <c r="G7418" t="n">
        <v>2</v>
      </c>
      <c r="H7418" t="n">
        <v>0</v>
      </c>
      <c r="I7418" t="n">
        <v>0</v>
      </c>
      <c r="J7418" t="n">
        <v>0</v>
      </c>
      <c r="K7418" t="n">
        <v>0</v>
      </c>
      <c r="L7418" t="n">
        <v>0</v>
      </c>
      <c r="M7418" t="n">
        <v>0</v>
      </c>
      <c r="N7418" t="n">
        <v>0</v>
      </c>
      <c r="O7418" t="n">
        <v>0</v>
      </c>
      <c r="P7418" t="n">
        <v>0</v>
      </c>
      <c r="Q7418" t="n">
        <v>0</v>
      </c>
      <c r="R7418" s="2" t="inlineStr"/>
    </row>
    <row r="7419" ht="15" customHeight="1">
      <c r="A7419" t="inlineStr">
        <is>
          <t>A 55661-2025</t>
        </is>
      </c>
      <c r="B7419" s="1" t="n">
        <v>45972.39516203704</v>
      </c>
      <c r="C7419" s="1" t="n">
        <v>46075</v>
      </c>
      <c r="D7419" t="inlineStr">
        <is>
          <t>VÄSTERBOTTENS LÄN</t>
        </is>
      </c>
      <c r="E7419" t="inlineStr">
        <is>
          <t>MALÅ</t>
        </is>
      </c>
      <c r="F7419" t="inlineStr">
        <is>
          <t>Sveaskog</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16959-2024</t>
        </is>
      </c>
      <c r="B7420" s="1" t="n">
        <v>45411</v>
      </c>
      <c r="C7420" s="1" t="n">
        <v>46075</v>
      </c>
      <c r="D7420" t="inlineStr">
        <is>
          <t>VÄSTERBOTTENS LÄN</t>
        </is>
      </c>
      <c r="E7420" t="inlineStr">
        <is>
          <t>SKELLEFTEÅ</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20592-2024</t>
        </is>
      </c>
      <c r="B7421" s="1" t="n">
        <v>45436</v>
      </c>
      <c r="C7421" s="1" t="n">
        <v>46075</v>
      </c>
      <c r="D7421" t="inlineStr">
        <is>
          <t>VÄSTERBOTTENS LÄN</t>
        </is>
      </c>
      <c r="E7421" t="inlineStr">
        <is>
          <t>SKELLEFTEÅ</t>
        </is>
      </c>
      <c r="G7421" t="n">
        <v>6.1</v>
      </c>
      <c r="H7421" t="n">
        <v>0</v>
      </c>
      <c r="I7421" t="n">
        <v>0</v>
      </c>
      <c r="J7421" t="n">
        <v>0</v>
      </c>
      <c r="K7421" t="n">
        <v>0</v>
      </c>
      <c r="L7421" t="n">
        <v>0</v>
      </c>
      <c r="M7421" t="n">
        <v>0</v>
      </c>
      <c r="N7421" t="n">
        <v>0</v>
      </c>
      <c r="O7421" t="n">
        <v>0</v>
      </c>
      <c r="P7421" t="n">
        <v>0</v>
      </c>
      <c r="Q7421" t="n">
        <v>0</v>
      </c>
      <c r="R7421" s="2" t="inlineStr"/>
    </row>
    <row r="7422" ht="15" customHeight="1">
      <c r="A7422" t="inlineStr">
        <is>
          <t>A 55921-2025</t>
        </is>
      </c>
      <c r="B7422" s="1" t="n">
        <v>45973.42172453704</v>
      </c>
      <c r="C7422" s="1" t="n">
        <v>46075</v>
      </c>
      <c r="D7422" t="inlineStr">
        <is>
          <t>VÄSTERBOTTENS LÄN</t>
        </is>
      </c>
      <c r="E7422" t="inlineStr">
        <is>
          <t>LYCKSELE</t>
        </is>
      </c>
      <c r="F7422" t="inlineStr">
        <is>
          <t>Sveaskog</t>
        </is>
      </c>
      <c r="G7422" t="n">
        <v>8.699999999999999</v>
      </c>
      <c r="H7422" t="n">
        <v>0</v>
      </c>
      <c r="I7422" t="n">
        <v>0</v>
      </c>
      <c r="J7422" t="n">
        <v>0</v>
      </c>
      <c r="K7422" t="n">
        <v>0</v>
      </c>
      <c r="L7422" t="n">
        <v>0</v>
      </c>
      <c r="M7422" t="n">
        <v>0</v>
      </c>
      <c r="N7422" t="n">
        <v>0</v>
      </c>
      <c r="O7422" t="n">
        <v>0</v>
      </c>
      <c r="P7422" t="n">
        <v>0</v>
      </c>
      <c r="Q7422" t="n">
        <v>0</v>
      </c>
      <c r="R7422" s="2" t="inlineStr"/>
    </row>
    <row r="7423" ht="15" customHeight="1">
      <c r="A7423" t="inlineStr">
        <is>
          <t>A 55817-2025</t>
        </is>
      </c>
      <c r="B7423" s="1" t="n">
        <v>45972.69997685185</v>
      </c>
      <c r="C7423" s="1" t="n">
        <v>46075</v>
      </c>
      <c r="D7423" t="inlineStr">
        <is>
          <t>VÄSTERBOTTENS LÄN</t>
        </is>
      </c>
      <c r="E7423" t="inlineStr">
        <is>
          <t>ÅSELE</t>
        </is>
      </c>
      <c r="F7423" t="inlineStr">
        <is>
          <t>Holmen skog AB</t>
        </is>
      </c>
      <c r="G7423" t="n">
        <v>12.1</v>
      </c>
      <c r="H7423" t="n">
        <v>0</v>
      </c>
      <c r="I7423" t="n">
        <v>0</v>
      </c>
      <c r="J7423" t="n">
        <v>0</v>
      </c>
      <c r="K7423" t="n">
        <v>0</v>
      </c>
      <c r="L7423" t="n">
        <v>0</v>
      </c>
      <c r="M7423" t="n">
        <v>0</v>
      </c>
      <c r="N7423" t="n">
        <v>0</v>
      </c>
      <c r="O7423" t="n">
        <v>0</v>
      </c>
      <c r="P7423" t="n">
        <v>0</v>
      </c>
      <c r="Q7423" t="n">
        <v>0</v>
      </c>
      <c r="R7423" s="2" t="inlineStr"/>
    </row>
    <row r="7424" ht="15" customHeight="1">
      <c r="A7424" t="inlineStr">
        <is>
          <t>A 55752-2025</t>
        </is>
      </c>
      <c r="B7424" s="1" t="n">
        <v>45972.58538194445</v>
      </c>
      <c r="C7424" s="1" t="n">
        <v>46075</v>
      </c>
      <c r="D7424" t="inlineStr">
        <is>
          <t>VÄSTERBOTTENS LÄN</t>
        </is>
      </c>
      <c r="E7424" t="inlineStr">
        <is>
          <t>UMEÅ</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55674-2025</t>
        </is>
      </c>
      <c r="B7425" s="1" t="n">
        <v>45972.41671296296</v>
      </c>
      <c r="C7425" s="1" t="n">
        <v>46075</v>
      </c>
      <c r="D7425" t="inlineStr">
        <is>
          <t>VÄSTERBOTTENS LÄN</t>
        </is>
      </c>
      <c r="E7425" t="inlineStr">
        <is>
          <t>LYCKSELE</t>
        </is>
      </c>
      <c r="F7425" t="inlineStr">
        <is>
          <t>Sveaskog</t>
        </is>
      </c>
      <c r="G7425" t="n">
        <v>3.8</v>
      </c>
      <c r="H7425" t="n">
        <v>0</v>
      </c>
      <c r="I7425" t="n">
        <v>0</v>
      </c>
      <c r="J7425" t="n">
        <v>0</v>
      </c>
      <c r="K7425" t="n">
        <v>0</v>
      </c>
      <c r="L7425" t="n">
        <v>0</v>
      </c>
      <c r="M7425" t="n">
        <v>0</v>
      </c>
      <c r="N7425" t="n">
        <v>0</v>
      </c>
      <c r="O7425" t="n">
        <v>0</v>
      </c>
      <c r="P7425" t="n">
        <v>0</v>
      </c>
      <c r="Q7425" t="n">
        <v>0</v>
      </c>
      <c r="R7425" s="2" t="inlineStr"/>
    </row>
    <row r="7426" ht="15" customHeight="1">
      <c r="A7426" t="inlineStr">
        <is>
          <t>A 46119-2022</t>
        </is>
      </c>
      <c r="B7426" s="1" t="n">
        <v>44847</v>
      </c>
      <c r="C7426" s="1" t="n">
        <v>46075</v>
      </c>
      <c r="D7426" t="inlineStr">
        <is>
          <t>VÄSTERBOTTENS LÄN</t>
        </is>
      </c>
      <c r="E7426" t="inlineStr">
        <is>
          <t>VILHELMINA</t>
        </is>
      </c>
      <c r="G7426" t="n">
        <v>12.1</v>
      </c>
      <c r="H7426" t="n">
        <v>0</v>
      </c>
      <c r="I7426" t="n">
        <v>0</v>
      </c>
      <c r="J7426" t="n">
        <v>0</v>
      </c>
      <c r="K7426" t="n">
        <v>0</v>
      </c>
      <c r="L7426" t="n">
        <v>0</v>
      </c>
      <c r="M7426" t="n">
        <v>0</v>
      </c>
      <c r="N7426" t="n">
        <v>0</v>
      </c>
      <c r="O7426" t="n">
        <v>0</v>
      </c>
      <c r="P7426" t="n">
        <v>0</v>
      </c>
      <c r="Q7426" t="n">
        <v>0</v>
      </c>
      <c r="R7426" s="2" t="inlineStr"/>
    </row>
    <row r="7427" ht="15" customHeight="1">
      <c r="A7427" t="inlineStr">
        <is>
          <t>A 46121-2022</t>
        </is>
      </c>
      <c r="B7427" s="1" t="n">
        <v>44847</v>
      </c>
      <c r="C7427" s="1" t="n">
        <v>46075</v>
      </c>
      <c r="D7427" t="inlineStr">
        <is>
          <t>VÄSTERBOTTENS LÄN</t>
        </is>
      </c>
      <c r="E7427" t="inlineStr">
        <is>
          <t>VILHELMINA</t>
        </is>
      </c>
      <c r="G7427" t="n">
        <v>2.6</v>
      </c>
      <c r="H7427" t="n">
        <v>0</v>
      </c>
      <c r="I7427" t="n">
        <v>0</v>
      </c>
      <c r="J7427" t="n">
        <v>0</v>
      </c>
      <c r="K7427" t="n">
        <v>0</v>
      </c>
      <c r="L7427" t="n">
        <v>0</v>
      </c>
      <c r="M7427" t="n">
        <v>0</v>
      </c>
      <c r="N7427" t="n">
        <v>0</v>
      </c>
      <c r="O7427" t="n">
        <v>0</v>
      </c>
      <c r="P7427" t="n">
        <v>0</v>
      </c>
      <c r="Q7427" t="n">
        <v>0</v>
      </c>
      <c r="R7427" s="2" t="inlineStr"/>
    </row>
    <row r="7428" ht="15" customHeight="1">
      <c r="A7428" t="inlineStr">
        <is>
          <t>A 16604-2025</t>
        </is>
      </c>
      <c r="B7428" s="1" t="n">
        <v>45753</v>
      </c>
      <c r="C7428" s="1" t="n">
        <v>46075</v>
      </c>
      <c r="D7428" t="inlineStr">
        <is>
          <t>VÄSTERBOTTENS LÄN</t>
        </is>
      </c>
      <c r="E7428" t="inlineStr">
        <is>
          <t>SKELLEFTEÅ</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56102-2025</t>
        </is>
      </c>
      <c r="B7429" s="1" t="n">
        <v>45973.720625</v>
      </c>
      <c r="C7429" s="1" t="n">
        <v>46075</v>
      </c>
      <c r="D7429" t="inlineStr">
        <is>
          <t>VÄSTERBOTTENS LÄN</t>
        </is>
      </c>
      <c r="E7429" t="inlineStr">
        <is>
          <t>MALÅ</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56079-2025</t>
        </is>
      </c>
      <c r="B7430" s="1" t="n">
        <v>45973.65923611111</v>
      </c>
      <c r="C7430" s="1" t="n">
        <v>46075</v>
      </c>
      <c r="D7430" t="inlineStr">
        <is>
          <t>VÄSTERBOTTENS LÄN</t>
        </is>
      </c>
      <c r="E7430" t="inlineStr">
        <is>
          <t>SKELLEFTEÅ</t>
        </is>
      </c>
      <c r="F7430" t="inlineStr">
        <is>
          <t>Holmen skog AB</t>
        </is>
      </c>
      <c r="G7430" t="n">
        <v>3.9</v>
      </c>
      <c r="H7430" t="n">
        <v>0</v>
      </c>
      <c r="I7430" t="n">
        <v>0</v>
      </c>
      <c r="J7430" t="n">
        <v>0</v>
      </c>
      <c r="K7430" t="n">
        <v>0</v>
      </c>
      <c r="L7430" t="n">
        <v>0</v>
      </c>
      <c r="M7430" t="n">
        <v>0</v>
      </c>
      <c r="N7430" t="n">
        <v>0</v>
      </c>
      <c r="O7430" t="n">
        <v>0</v>
      </c>
      <c r="P7430" t="n">
        <v>0</v>
      </c>
      <c r="Q7430" t="n">
        <v>0</v>
      </c>
      <c r="R7430" s="2" t="inlineStr"/>
    </row>
    <row r="7431" ht="15" customHeight="1">
      <c r="A7431" t="inlineStr">
        <is>
          <t>A 55878-2025</t>
        </is>
      </c>
      <c r="B7431" s="1" t="n">
        <v>45973.36351851852</v>
      </c>
      <c r="C7431" s="1" t="n">
        <v>46075</v>
      </c>
      <c r="D7431" t="inlineStr">
        <is>
          <t>VÄSTERBOTTENS LÄN</t>
        </is>
      </c>
      <c r="E7431" t="inlineStr">
        <is>
          <t>VINDELN</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55651-2025</t>
        </is>
      </c>
      <c r="B7432" s="1" t="n">
        <v>45972.37232638889</v>
      </c>
      <c r="C7432" s="1" t="n">
        <v>46075</v>
      </c>
      <c r="D7432" t="inlineStr">
        <is>
          <t>VÄSTERBOTTENS LÄN</t>
        </is>
      </c>
      <c r="E7432" t="inlineStr">
        <is>
          <t>SKELLEFTEÅ</t>
        </is>
      </c>
      <c r="G7432" t="n">
        <v>9.800000000000001</v>
      </c>
      <c r="H7432" t="n">
        <v>0</v>
      </c>
      <c r="I7432" t="n">
        <v>0</v>
      </c>
      <c r="J7432" t="n">
        <v>0</v>
      </c>
      <c r="K7432" t="n">
        <v>0</v>
      </c>
      <c r="L7432" t="n">
        <v>0</v>
      </c>
      <c r="M7432" t="n">
        <v>0</v>
      </c>
      <c r="N7432" t="n">
        <v>0</v>
      </c>
      <c r="O7432" t="n">
        <v>0</v>
      </c>
      <c r="P7432" t="n">
        <v>0</v>
      </c>
      <c r="Q7432" t="n">
        <v>0</v>
      </c>
      <c r="R7432" s="2" t="inlineStr"/>
    </row>
    <row r="7433" ht="15" customHeight="1">
      <c r="A7433" t="inlineStr">
        <is>
          <t>A 55883-2025</t>
        </is>
      </c>
      <c r="B7433" s="1" t="n">
        <v>45973.36787037037</v>
      </c>
      <c r="C7433" s="1" t="n">
        <v>46075</v>
      </c>
      <c r="D7433" t="inlineStr">
        <is>
          <t>VÄSTERBOTTENS LÄN</t>
        </is>
      </c>
      <c r="E7433" t="inlineStr">
        <is>
          <t>VINDELN</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14697-2024</t>
        </is>
      </c>
      <c r="B7434" s="1" t="n">
        <v>45397.48680555556</v>
      </c>
      <c r="C7434" s="1" t="n">
        <v>46075</v>
      </c>
      <c r="D7434" t="inlineStr">
        <is>
          <t>VÄSTERBOTTENS LÄN</t>
        </is>
      </c>
      <c r="E7434" t="inlineStr">
        <is>
          <t>VINDELN</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55717-2025</t>
        </is>
      </c>
      <c r="B7435" s="1" t="n">
        <v>45972.49903935185</v>
      </c>
      <c r="C7435" s="1" t="n">
        <v>46075</v>
      </c>
      <c r="D7435" t="inlineStr">
        <is>
          <t>VÄSTERBOTTENS LÄN</t>
        </is>
      </c>
      <c r="E7435" t="inlineStr">
        <is>
          <t>SKELLEFTEÅ</t>
        </is>
      </c>
      <c r="G7435" t="n">
        <v>2</v>
      </c>
      <c r="H7435" t="n">
        <v>0</v>
      </c>
      <c r="I7435" t="n">
        <v>0</v>
      </c>
      <c r="J7435" t="n">
        <v>0</v>
      </c>
      <c r="K7435" t="n">
        <v>0</v>
      </c>
      <c r="L7435" t="n">
        <v>0</v>
      </c>
      <c r="M7435" t="n">
        <v>0</v>
      </c>
      <c r="N7435" t="n">
        <v>0</v>
      </c>
      <c r="O7435" t="n">
        <v>0</v>
      </c>
      <c r="P7435" t="n">
        <v>0</v>
      </c>
      <c r="Q7435" t="n">
        <v>0</v>
      </c>
      <c r="R7435" s="2" t="inlineStr"/>
    </row>
    <row r="7436" ht="15" customHeight="1">
      <c r="A7436" t="inlineStr">
        <is>
          <t>A 56558-2025</t>
        </is>
      </c>
      <c r="B7436" s="1" t="n">
        <v>45975.49052083334</v>
      </c>
      <c r="C7436" s="1" t="n">
        <v>46075</v>
      </c>
      <c r="D7436" t="inlineStr">
        <is>
          <t>VÄSTERBOTTENS LÄN</t>
        </is>
      </c>
      <c r="E7436" t="inlineStr">
        <is>
          <t>SKELLEFTEÅ</t>
        </is>
      </c>
      <c r="F7436" t="inlineStr">
        <is>
          <t>Holmen skog AB</t>
        </is>
      </c>
      <c r="G7436" t="n">
        <v>8.9</v>
      </c>
      <c r="H7436" t="n">
        <v>0</v>
      </c>
      <c r="I7436" t="n">
        <v>0</v>
      </c>
      <c r="J7436" t="n">
        <v>0</v>
      </c>
      <c r="K7436" t="n">
        <v>0</v>
      </c>
      <c r="L7436" t="n">
        <v>0</v>
      </c>
      <c r="M7436" t="n">
        <v>0</v>
      </c>
      <c r="N7436" t="n">
        <v>0</v>
      </c>
      <c r="O7436" t="n">
        <v>0</v>
      </c>
      <c r="P7436" t="n">
        <v>0</v>
      </c>
      <c r="Q7436" t="n">
        <v>0</v>
      </c>
      <c r="R7436" s="2" t="inlineStr"/>
    </row>
    <row r="7437" ht="15" customHeight="1">
      <c r="A7437" t="inlineStr">
        <is>
          <t>A 56562-2025</t>
        </is>
      </c>
      <c r="B7437" s="1" t="n">
        <v>45975.49438657407</v>
      </c>
      <c r="C7437" s="1" t="n">
        <v>46075</v>
      </c>
      <c r="D7437" t="inlineStr">
        <is>
          <t>VÄSTERBOTTENS LÄN</t>
        </is>
      </c>
      <c r="E7437" t="inlineStr">
        <is>
          <t>ÅSELE</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56320-2025</t>
        </is>
      </c>
      <c r="B7438" s="1" t="n">
        <v>45974.63405092592</v>
      </c>
      <c r="C7438" s="1" t="n">
        <v>46075</v>
      </c>
      <c r="D7438" t="inlineStr">
        <is>
          <t>VÄSTERBOTTENS LÄN</t>
        </is>
      </c>
      <c r="E7438" t="inlineStr">
        <is>
          <t>VÄNNÄS</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56368-2025</t>
        </is>
      </c>
      <c r="B7439" s="1" t="n">
        <v>45974.67748842593</v>
      </c>
      <c r="C7439" s="1" t="n">
        <v>46075</v>
      </c>
      <c r="D7439" t="inlineStr">
        <is>
          <t>VÄSTERBOTTENS LÄN</t>
        </is>
      </c>
      <c r="E7439" t="inlineStr">
        <is>
          <t>SORSELE</t>
        </is>
      </c>
      <c r="G7439" t="n">
        <v>2.2</v>
      </c>
      <c r="H7439" t="n">
        <v>0</v>
      </c>
      <c r="I7439" t="n">
        <v>0</v>
      </c>
      <c r="J7439" t="n">
        <v>0</v>
      </c>
      <c r="K7439" t="n">
        <v>0</v>
      </c>
      <c r="L7439" t="n">
        <v>0</v>
      </c>
      <c r="M7439" t="n">
        <v>0</v>
      </c>
      <c r="N7439" t="n">
        <v>0</v>
      </c>
      <c r="O7439" t="n">
        <v>0</v>
      </c>
      <c r="P7439" t="n">
        <v>0</v>
      </c>
      <c r="Q7439" t="n">
        <v>0</v>
      </c>
      <c r="R7439" s="2" t="inlineStr"/>
    </row>
    <row r="7440" ht="15" customHeight="1">
      <c r="A7440" t="inlineStr">
        <is>
          <t>A 56390-2025</t>
        </is>
      </c>
      <c r="B7440" s="1" t="n">
        <v>45974.72736111111</v>
      </c>
      <c r="C7440" s="1" t="n">
        <v>46075</v>
      </c>
      <c r="D7440" t="inlineStr">
        <is>
          <t>VÄSTERBOTTENS LÄN</t>
        </is>
      </c>
      <c r="E7440" t="inlineStr">
        <is>
          <t>SKELLEFTEÅ</t>
        </is>
      </c>
      <c r="G7440" t="n">
        <v>4</v>
      </c>
      <c r="H7440" t="n">
        <v>0</v>
      </c>
      <c r="I7440" t="n">
        <v>0</v>
      </c>
      <c r="J7440" t="n">
        <v>0</v>
      </c>
      <c r="K7440" t="n">
        <v>0</v>
      </c>
      <c r="L7440" t="n">
        <v>0</v>
      </c>
      <c r="M7440" t="n">
        <v>0</v>
      </c>
      <c r="N7440" t="n">
        <v>0</v>
      </c>
      <c r="O7440" t="n">
        <v>0</v>
      </c>
      <c r="P7440" t="n">
        <v>0</v>
      </c>
      <c r="Q7440" t="n">
        <v>0</v>
      </c>
      <c r="R7440" s="2" t="inlineStr"/>
    </row>
    <row r="7441" ht="15" customHeight="1">
      <c r="A7441" t="inlineStr">
        <is>
          <t>A 2201-2025</t>
        </is>
      </c>
      <c r="B7441" s="1" t="n">
        <v>45673.39678240741</v>
      </c>
      <c r="C7441" s="1" t="n">
        <v>46075</v>
      </c>
      <c r="D7441" t="inlineStr">
        <is>
          <t>VÄSTERBOTTENS LÄN</t>
        </is>
      </c>
      <c r="E7441" t="inlineStr">
        <is>
          <t>VÄNNÄS</t>
        </is>
      </c>
      <c r="G7441" t="n">
        <v>3.8</v>
      </c>
      <c r="H7441" t="n">
        <v>0</v>
      </c>
      <c r="I7441" t="n">
        <v>0</v>
      </c>
      <c r="J7441" t="n">
        <v>0</v>
      </c>
      <c r="K7441" t="n">
        <v>0</v>
      </c>
      <c r="L7441" t="n">
        <v>0</v>
      </c>
      <c r="M7441" t="n">
        <v>0</v>
      </c>
      <c r="N7441" t="n">
        <v>0</v>
      </c>
      <c r="O7441" t="n">
        <v>0</v>
      </c>
      <c r="P7441" t="n">
        <v>0</v>
      </c>
      <c r="Q7441" t="n">
        <v>0</v>
      </c>
      <c r="R7441" s="2" t="inlineStr"/>
    </row>
    <row r="7442" ht="15" customHeight="1">
      <c r="A7442" t="inlineStr">
        <is>
          <t>A 14957-2025</t>
        </is>
      </c>
      <c r="B7442" s="1" t="n">
        <v>45743.58413194444</v>
      </c>
      <c r="C7442" s="1" t="n">
        <v>46075</v>
      </c>
      <c r="D7442" t="inlineStr">
        <is>
          <t>VÄSTERBOTTENS LÄN</t>
        </is>
      </c>
      <c r="E7442" t="inlineStr">
        <is>
          <t>VINDELN</t>
        </is>
      </c>
      <c r="G7442" t="n">
        <v>5.5</v>
      </c>
      <c r="H7442" t="n">
        <v>0</v>
      </c>
      <c r="I7442" t="n">
        <v>0</v>
      </c>
      <c r="J7442" t="n">
        <v>0</v>
      </c>
      <c r="K7442" t="n">
        <v>0</v>
      </c>
      <c r="L7442" t="n">
        <v>0</v>
      </c>
      <c r="M7442" t="n">
        <v>0</v>
      </c>
      <c r="N7442" t="n">
        <v>0</v>
      </c>
      <c r="O7442" t="n">
        <v>0</v>
      </c>
      <c r="P7442" t="n">
        <v>0</v>
      </c>
      <c r="Q7442" t="n">
        <v>0</v>
      </c>
      <c r="R7442" s="2" t="inlineStr"/>
    </row>
    <row r="7443" ht="15" customHeight="1">
      <c r="A7443" t="inlineStr">
        <is>
          <t>A 56424-2025</t>
        </is>
      </c>
      <c r="B7443" s="1" t="n">
        <v>45975.34542824074</v>
      </c>
      <c r="C7443" s="1" t="n">
        <v>46075</v>
      </c>
      <c r="D7443" t="inlineStr">
        <is>
          <t>VÄSTERBOTTENS LÄN</t>
        </is>
      </c>
      <c r="E7443" t="inlineStr">
        <is>
          <t>DOROTEA</t>
        </is>
      </c>
      <c r="F7443" t="inlineStr">
        <is>
          <t>SCA</t>
        </is>
      </c>
      <c r="G7443" t="n">
        <v>2.7</v>
      </c>
      <c r="H7443" t="n">
        <v>0</v>
      </c>
      <c r="I7443" t="n">
        <v>0</v>
      </c>
      <c r="J7443" t="n">
        <v>0</v>
      </c>
      <c r="K7443" t="n">
        <v>0</v>
      </c>
      <c r="L7443" t="n">
        <v>0</v>
      </c>
      <c r="M7443" t="n">
        <v>0</v>
      </c>
      <c r="N7443" t="n">
        <v>0</v>
      </c>
      <c r="O7443" t="n">
        <v>0</v>
      </c>
      <c r="P7443" t="n">
        <v>0</v>
      </c>
      <c r="Q7443" t="n">
        <v>0</v>
      </c>
      <c r="R7443" s="2" t="inlineStr"/>
    </row>
    <row r="7444" ht="15" customHeight="1">
      <c r="A7444" t="inlineStr">
        <is>
          <t>A 2393-2025</t>
        </is>
      </c>
      <c r="B7444" s="1" t="n">
        <v>45674.33457175926</v>
      </c>
      <c r="C7444" s="1" t="n">
        <v>46075</v>
      </c>
      <c r="D7444" t="inlineStr">
        <is>
          <t>VÄSTERBOTTENS LÄN</t>
        </is>
      </c>
      <c r="E7444" t="inlineStr">
        <is>
          <t>SKELLEFTEÅ</t>
        </is>
      </c>
      <c r="G7444" t="n">
        <v>10.2</v>
      </c>
      <c r="H7444" t="n">
        <v>0</v>
      </c>
      <c r="I7444" t="n">
        <v>0</v>
      </c>
      <c r="J7444" t="n">
        <v>0</v>
      </c>
      <c r="K7444" t="n">
        <v>0</v>
      </c>
      <c r="L7444" t="n">
        <v>0</v>
      </c>
      <c r="M7444" t="n">
        <v>0</v>
      </c>
      <c r="N7444" t="n">
        <v>0</v>
      </c>
      <c r="O7444" t="n">
        <v>0</v>
      </c>
      <c r="P7444" t="n">
        <v>0</v>
      </c>
      <c r="Q7444" t="n">
        <v>0</v>
      </c>
      <c r="R7444" s="2" t="inlineStr"/>
    </row>
    <row r="7445" ht="15" customHeight="1">
      <c r="A7445" t="inlineStr">
        <is>
          <t>A 56484-2025</t>
        </is>
      </c>
      <c r="B7445" s="1" t="n">
        <v>45975.4071412037</v>
      </c>
      <c r="C7445" s="1" t="n">
        <v>46075</v>
      </c>
      <c r="D7445" t="inlineStr">
        <is>
          <t>VÄSTERBOTTENS LÄN</t>
        </is>
      </c>
      <c r="E7445" t="inlineStr">
        <is>
          <t>DOROTEA</t>
        </is>
      </c>
      <c r="F7445" t="inlineStr">
        <is>
          <t>SCA</t>
        </is>
      </c>
      <c r="G7445" t="n">
        <v>3.2</v>
      </c>
      <c r="H7445" t="n">
        <v>0</v>
      </c>
      <c r="I7445" t="n">
        <v>0</v>
      </c>
      <c r="J7445" t="n">
        <v>0</v>
      </c>
      <c r="K7445" t="n">
        <v>0</v>
      </c>
      <c r="L7445" t="n">
        <v>0</v>
      </c>
      <c r="M7445" t="n">
        <v>0</v>
      </c>
      <c r="N7445" t="n">
        <v>0</v>
      </c>
      <c r="O7445" t="n">
        <v>0</v>
      </c>
      <c r="P7445" t="n">
        <v>0</v>
      </c>
      <c r="Q7445" t="n">
        <v>0</v>
      </c>
      <c r="R7445" s="2" t="inlineStr"/>
    </row>
    <row r="7446" ht="15" customHeight="1">
      <c r="A7446" t="inlineStr">
        <is>
          <t>A 47062-2024</t>
        </is>
      </c>
      <c r="B7446" s="1" t="n">
        <v>45585</v>
      </c>
      <c r="C7446" s="1" t="n">
        <v>46075</v>
      </c>
      <c r="D7446" t="inlineStr">
        <is>
          <t>VÄSTERBOTTENS LÄN</t>
        </is>
      </c>
      <c r="E7446" t="inlineStr">
        <is>
          <t>SKELLEFTEÅ</t>
        </is>
      </c>
      <c r="G7446" t="n">
        <v>10</v>
      </c>
      <c r="H7446" t="n">
        <v>0</v>
      </c>
      <c r="I7446" t="n">
        <v>0</v>
      </c>
      <c r="J7446" t="n">
        <v>0</v>
      </c>
      <c r="K7446" t="n">
        <v>0</v>
      </c>
      <c r="L7446" t="n">
        <v>0</v>
      </c>
      <c r="M7446" t="n">
        <v>0</v>
      </c>
      <c r="N7446" t="n">
        <v>0</v>
      </c>
      <c r="O7446" t="n">
        <v>0</v>
      </c>
      <c r="P7446" t="n">
        <v>0</v>
      </c>
      <c r="Q7446" t="n">
        <v>0</v>
      </c>
      <c r="R7446" s="2" t="inlineStr"/>
    </row>
    <row r="7447" ht="15" customHeight="1">
      <c r="A7447" t="inlineStr">
        <is>
          <t>A 56547-2025</t>
        </is>
      </c>
      <c r="B7447" s="1" t="n">
        <v>45975.48043981481</v>
      </c>
      <c r="C7447" s="1" t="n">
        <v>46075</v>
      </c>
      <c r="D7447" t="inlineStr">
        <is>
          <t>VÄSTERBOTTENS LÄN</t>
        </is>
      </c>
      <c r="E7447" t="inlineStr">
        <is>
          <t>UMEÅ</t>
        </is>
      </c>
      <c r="G7447" t="n">
        <v>6.1</v>
      </c>
      <c r="H7447" t="n">
        <v>0</v>
      </c>
      <c r="I7447" t="n">
        <v>0</v>
      </c>
      <c r="J7447" t="n">
        <v>0</v>
      </c>
      <c r="K7447" t="n">
        <v>0</v>
      </c>
      <c r="L7447" t="n">
        <v>0</v>
      </c>
      <c r="M7447" t="n">
        <v>0</v>
      </c>
      <c r="N7447" t="n">
        <v>0</v>
      </c>
      <c r="O7447" t="n">
        <v>0</v>
      </c>
      <c r="P7447" t="n">
        <v>0</v>
      </c>
      <c r="Q7447" t="n">
        <v>0</v>
      </c>
      <c r="R7447" s="2" t="inlineStr"/>
    </row>
    <row r="7448" ht="15" customHeight="1">
      <c r="A7448" t="inlineStr">
        <is>
          <t>A 56556-2025</t>
        </is>
      </c>
      <c r="B7448" s="1" t="n">
        <v>45975.49017361111</v>
      </c>
      <c r="C7448" s="1" t="n">
        <v>46075</v>
      </c>
      <c r="D7448" t="inlineStr">
        <is>
          <t>VÄSTERBOTTENS LÄN</t>
        </is>
      </c>
      <c r="E7448" t="inlineStr">
        <is>
          <t>DOROTEA</t>
        </is>
      </c>
      <c r="F7448" t="inlineStr">
        <is>
          <t>SCA</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56567-2025</t>
        </is>
      </c>
      <c r="B7449" s="1" t="n">
        <v>45975.51262731481</v>
      </c>
      <c r="C7449" s="1" t="n">
        <v>46075</v>
      </c>
      <c r="D7449" t="inlineStr">
        <is>
          <t>VÄSTERBOTTENS LÄN</t>
        </is>
      </c>
      <c r="E7449" t="inlineStr">
        <is>
          <t>SKELLEFTEÅ</t>
        </is>
      </c>
      <c r="G7449" t="n">
        <v>3.5</v>
      </c>
      <c r="H7449" t="n">
        <v>0</v>
      </c>
      <c r="I7449" t="n">
        <v>0</v>
      </c>
      <c r="J7449" t="n">
        <v>0</v>
      </c>
      <c r="K7449" t="n">
        <v>0</v>
      </c>
      <c r="L7449" t="n">
        <v>0</v>
      </c>
      <c r="M7449" t="n">
        <v>0</v>
      </c>
      <c r="N7449" t="n">
        <v>0</v>
      </c>
      <c r="O7449" t="n">
        <v>0</v>
      </c>
      <c r="P7449" t="n">
        <v>0</v>
      </c>
      <c r="Q7449" t="n">
        <v>0</v>
      </c>
      <c r="R7449" s="2" t="inlineStr"/>
    </row>
    <row r="7450" ht="15" customHeight="1">
      <c r="A7450" t="inlineStr">
        <is>
          <t>A 59735-2024</t>
        </is>
      </c>
      <c r="B7450" s="1" t="n">
        <v>45639</v>
      </c>
      <c r="C7450" s="1" t="n">
        <v>46075</v>
      </c>
      <c r="D7450" t="inlineStr">
        <is>
          <t>VÄSTERBOTTENS LÄN</t>
        </is>
      </c>
      <c r="E7450" t="inlineStr">
        <is>
          <t>UMEÅ</t>
        </is>
      </c>
      <c r="G7450" t="n">
        <v>10.7</v>
      </c>
      <c r="H7450" t="n">
        <v>0</v>
      </c>
      <c r="I7450" t="n">
        <v>0</v>
      </c>
      <c r="J7450" t="n">
        <v>0</v>
      </c>
      <c r="K7450" t="n">
        <v>0</v>
      </c>
      <c r="L7450" t="n">
        <v>0</v>
      </c>
      <c r="M7450" t="n">
        <v>0</v>
      </c>
      <c r="N7450" t="n">
        <v>0</v>
      </c>
      <c r="O7450" t="n">
        <v>0</v>
      </c>
      <c r="P7450" t="n">
        <v>0</v>
      </c>
      <c r="Q7450" t="n">
        <v>0</v>
      </c>
      <c r="R7450" s="2" t="inlineStr"/>
    </row>
    <row r="7451" ht="15" customHeight="1">
      <c r="A7451" t="inlineStr">
        <is>
          <t>A 56536-2025</t>
        </is>
      </c>
      <c r="B7451" s="1" t="n">
        <v>45975.47174768519</v>
      </c>
      <c r="C7451" s="1" t="n">
        <v>46075</v>
      </c>
      <c r="D7451" t="inlineStr">
        <is>
          <t>VÄSTERBOTTENS LÄN</t>
        </is>
      </c>
      <c r="E7451" t="inlineStr">
        <is>
          <t>ÅSELE</t>
        </is>
      </c>
      <c r="F7451" t="inlineStr">
        <is>
          <t>Holmen skog AB</t>
        </is>
      </c>
      <c r="G7451" t="n">
        <v>13.3</v>
      </c>
      <c r="H7451" t="n">
        <v>0</v>
      </c>
      <c r="I7451" t="n">
        <v>0</v>
      </c>
      <c r="J7451" t="n">
        <v>0</v>
      </c>
      <c r="K7451" t="n">
        <v>0</v>
      </c>
      <c r="L7451" t="n">
        <v>0</v>
      </c>
      <c r="M7451" t="n">
        <v>0</v>
      </c>
      <c r="N7451" t="n">
        <v>0</v>
      </c>
      <c r="O7451" t="n">
        <v>0</v>
      </c>
      <c r="P7451" t="n">
        <v>0</v>
      </c>
      <c r="Q7451" t="n">
        <v>0</v>
      </c>
      <c r="R7451" s="2" t="inlineStr"/>
    </row>
    <row r="7452" ht="15" customHeight="1">
      <c r="A7452" t="inlineStr">
        <is>
          <t>A 55623-2024</t>
        </is>
      </c>
      <c r="B7452" s="1" t="n">
        <v>45622.59480324074</v>
      </c>
      <c r="C7452" s="1" t="n">
        <v>46075</v>
      </c>
      <c r="D7452" t="inlineStr">
        <is>
          <t>VÄSTERBOTTENS LÄN</t>
        </is>
      </c>
      <c r="E7452" t="inlineStr">
        <is>
          <t>ÅSELE</t>
        </is>
      </c>
      <c r="F7452" t="inlineStr">
        <is>
          <t>SCA</t>
        </is>
      </c>
      <c r="G7452" t="n">
        <v>3.6</v>
      </c>
      <c r="H7452" t="n">
        <v>0</v>
      </c>
      <c r="I7452" t="n">
        <v>0</v>
      </c>
      <c r="J7452" t="n">
        <v>0</v>
      </c>
      <c r="K7452" t="n">
        <v>0</v>
      </c>
      <c r="L7452" t="n">
        <v>0</v>
      </c>
      <c r="M7452" t="n">
        <v>0</v>
      </c>
      <c r="N7452" t="n">
        <v>0</v>
      </c>
      <c r="O7452" t="n">
        <v>0</v>
      </c>
      <c r="P7452" t="n">
        <v>0</v>
      </c>
      <c r="Q7452" t="n">
        <v>0</v>
      </c>
      <c r="R7452" s="2" t="inlineStr"/>
    </row>
    <row r="7453" ht="15" customHeight="1">
      <c r="A7453" t="inlineStr">
        <is>
          <t>A 56446-2025</t>
        </is>
      </c>
      <c r="B7453" s="1" t="n">
        <v>45975.34840277778</v>
      </c>
      <c r="C7453" s="1" t="n">
        <v>46075</v>
      </c>
      <c r="D7453" t="inlineStr">
        <is>
          <t>VÄSTERBOTTENS LÄN</t>
        </is>
      </c>
      <c r="E7453" t="inlineStr">
        <is>
          <t>SKELLEFTEÅ</t>
        </is>
      </c>
      <c r="G7453" t="n">
        <v>3.1</v>
      </c>
      <c r="H7453" t="n">
        <v>0</v>
      </c>
      <c r="I7453" t="n">
        <v>0</v>
      </c>
      <c r="J7453" t="n">
        <v>0</v>
      </c>
      <c r="K7453" t="n">
        <v>0</v>
      </c>
      <c r="L7453" t="n">
        <v>0</v>
      </c>
      <c r="M7453" t="n">
        <v>0</v>
      </c>
      <c r="N7453" t="n">
        <v>0</v>
      </c>
      <c r="O7453" t="n">
        <v>0</v>
      </c>
      <c r="P7453" t="n">
        <v>0</v>
      </c>
      <c r="Q7453" t="n">
        <v>0</v>
      </c>
      <c r="R7453" s="2" t="inlineStr"/>
    </row>
    <row r="7454" ht="15" customHeight="1">
      <c r="A7454" t="inlineStr">
        <is>
          <t>A 15564-2023</t>
        </is>
      </c>
      <c r="B7454" s="1" t="n">
        <v>45020</v>
      </c>
      <c r="C7454" s="1" t="n">
        <v>46075</v>
      </c>
      <c r="D7454" t="inlineStr">
        <is>
          <t>VÄSTERBOTTENS LÄN</t>
        </is>
      </c>
      <c r="E7454" t="inlineStr">
        <is>
          <t>LYCKSELE</t>
        </is>
      </c>
      <c r="G7454" t="n">
        <v>5.9</v>
      </c>
      <c r="H7454" t="n">
        <v>0</v>
      </c>
      <c r="I7454" t="n">
        <v>0</v>
      </c>
      <c r="J7454" t="n">
        <v>0</v>
      </c>
      <c r="K7454" t="n">
        <v>0</v>
      </c>
      <c r="L7454" t="n">
        <v>0</v>
      </c>
      <c r="M7454" t="n">
        <v>0</v>
      </c>
      <c r="N7454" t="n">
        <v>0</v>
      </c>
      <c r="O7454" t="n">
        <v>0</v>
      </c>
      <c r="P7454" t="n">
        <v>0</v>
      </c>
      <c r="Q7454" t="n">
        <v>0</v>
      </c>
      <c r="R7454" s="2" t="inlineStr"/>
    </row>
    <row r="7455" ht="15" customHeight="1">
      <c r="A7455" t="inlineStr">
        <is>
          <t>A 15571-2023</t>
        </is>
      </c>
      <c r="B7455" s="1" t="n">
        <v>45019</v>
      </c>
      <c r="C7455" s="1" t="n">
        <v>46075</v>
      </c>
      <c r="D7455" t="inlineStr">
        <is>
          <t>VÄSTERBOTTENS LÄN</t>
        </is>
      </c>
      <c r="E7455" t="inlineStr">
        <is>
          <t>VINDELN</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5280-2025</t>
        </is>
      </c>
      <c r="B7456" s="1" t="n">
        <v>45692.43077546296</v>
      </c>
      <c r="C7456" s="1" t="n">
        <v>46075</v>
      </c>
      <c r="D7456" t="inlineStr">
        <is>
          <t>VÄSTERBOTTENS LÄN</t>
        </is>
      </c>
      <c r="E7456" t="inlineStr">
        <is>
          <t>UMEÅ</t>
        </is>
      </c>
      <c r="G7456" t="n">
        <v>2.5</v>
      </c>
      <c r="H7456" t="n">
        <v>0</v>
      </c>
      <c r="I7456" t="n">
        <v>0</v>
      </c>
      <c r="J7456" t="n">
        <v>0</v>
      </c>
      <c r="K7456" t="n">
        <v>0</v>
      </c>
      <c r="L7456" t="n">
        <v>0</v>
      </c>
      <c r="M7456" t="n">
        <v>0</v>
      </c>
      <c r="N7456" t="n">
        <v>0</v>
      </c>
      <c r="O7456" t="n">
        <v>0</v>
      </c>
      <c r="P7456" t="n">
        <v>0</v>
      </c>
      <c r="Q7456" t="n">
        <v>0</v>
      </c>
      <c r="R7456" s="2" t="inlineStr"/>
    </row>
    <row r="7457" ht="15" customHeight="1">
      <c r="A7457" t="inlineStr">
        <is>
          <t>A 56635-2025</t>
        </is>
      </c>
      <c r="B7457" s="1" t="n">
        <v>45975.61641203704</v>
      </c>
      <c r="C7457" s="1" t="n">
        <v>46075</v>
      </c>
      <c r="D7457" t="inlineStr">
        <is>
          <t>VÄSTERBOTTENS LÄN</t>
        </is>
      </c>
      <c r="E7457" t="inlineStr">
        <is>
          <t>DOROTEA</t>
        </is>
      </c>
      <c r="F7457" t="inlineStr">
        <is>
          <t>SCA</t>
        </is>
      </c>
      <c r="G7457" t="n">
        <v>3.5</v>
      </c>
      <c r="H7457" t="n">
        <v>0</v>
      </c>
      <c r="I7457" t="n">
        <v>0</v>
      </c>
      <c r="J7457" t="n">
        <v>0</v>
      </c>
      <c r="K7457" t="n">
        <v>0</v>
      </c>
      <c r="L7457" t="n">
        <v>0</v>
      </c>
      <c r="M7457" t="n">
        <v>0</v>
      </c>
      <c r="N7457" t="n">
        <v>0</v>
      </c>
      <c r="O7457" t="n">
        <v>0</v>
      </c>
      <c r="P7457" t="n">
        <v>0</v>
      </c>
      <c r="Q7457" t="n">
        <v>0</v>
      </c>
      <c r="R7457" s="2" t="inlineStr"/>
    </row>
    <row r="7458" ht="15" customHeight="1">
      <c r="A7458" t="inlineStr">
        <is>
          <t>A 54653-2024</t>
        </is>
      </c>
      <c r="B7458" s="1" t="n">
        <v>45618.30525462963</v>
      </c>
      <c r="C7458" s="1" t="n">
        <v>46075</v>
      </c>
      <c r="D7458" t="inlineStr">
        <is>
          <t>VÄSTERBOTTENS LÄN</t>
        </is>
      </c>
      <c r="E7458" t="inlineStr">
        <is>
          <t>SKELLEFTEÅ</t>
        </is>
      </c>
      <c r="F7458" t="inlineStr">
        <is>
          <t>Sveaskog</t>
        </is>
      </c>
      <c r="G7458" t="n">
        <v>2</v>
      </c>
      <c r="H7458" t="n">
        <v>0</v>
      </c>
      <c r="I7458" t="n">
        <v>0</v>
      </c>
      <c r="J7458" t="n">
        <v>0</v>
      </c>
      <c r="K7458" t="n">
        <v>0</v>
      </c>
      <c r="L7458" t="n">
        <v>0</v>
      </c>
      <c r="M7458" t="n">
        <v>0</v>
      </c>
      <c r="N7458" t="n">
        <v>0</v>
      </c>
      <c r="O7458" t="n">
        <v>0</v>
      </c>
      <c r="P7458" t="n">
        <v>0</v>
      </c>
      <c r="Q7458" t="n">
        <v>0</v>
      </c>
      <c r="R7458" s="2" t="inlineStr"/>
    </row>
    <row r="7459" ht="15" customHeight="1">
      <c r="A7459" t="inlineStr">
        <is>
          <t>A 54660-2024</t>
        </is>
      </c>
      <c r="B7459" s="1" t="n">
        <v>45618.3122337963</v>
      </c>
      <c r="C7459" s="1" t="n">
        <v>46075</v>
      </c>
      <c r="D7459" t="inlineStr">
        <is>
          <t>VÄSTERBOTTENS LÄN</t>
        </is>
      </c>
      <c r="E7459" t="inlineStr">
        <is>
          <t>SKELLEFTEÅ</t>
        </is>
      </c>
      <c r="F7459" t="inlineStr">
        <is>
          <t>Sveaskog</t>
        </is>
      </c>
      <c r="G7459" t="n">
        <v>3.1</v>
      </c>
      <c r="H7459" t="n">
        <v>0</v>
      </c>
      <c r="I7459" t="n">
        <v>0</v>
      </c>
      <c r="J7459" t="n">
        <v>0</v>
      </c>
      <c r="K7459" t="n">
        <v>0</v>
      </c>
      <c r="L7459" t="n">
        <v>0</v>
      </c>
      <c r="M7459" t="n">
        <v>0</v>
      </c>
      <c r="N7459" t="n">
        <v>0</v>
      </c>
      <c r="O7459" t="n">
        <v>0</v>
      </c>
      <c r="P7459" t="n">
        <v>0</v>
      </c>
      <c r="Q7459" t="n">
        <v>0</v>
      </c>
      <c r="R7459" s="2" t="inlineStr"/>
    </row>
    <row r="7460" ht="15" customHeight="1">
      <c r="A7460" t="inlineStr">
        <is>
          <t>A 56555-2025</t>
        </is>
      </c>
      <c r="B7460" s="1" t="n">
        <v>45975.48876157407</v>
      </c>
      <c r="C7460" s="1" t="n">
        <v>46075</v>
      </c>
      <c r="D7460" t="inlineStr">
        <is>
          <t>VÄSTERBOTTENS LÄN</t>
        </is>
      </c>
      <c r="E7460" t="inlineStr">
        <is>
          <t>UMEÅ</t>
        </is>
      </c>
      <c r="F7460" t="inlineStr">
        <is>
          <t>Holmen skog AB</t>
        </is>
      </c>
      <c r="G7460" t="n">
        <v>3.5</v>
      </c>
      <c r="H7460" t="n">
        <v>0</v>
      </c>
      <c r="I7460" t="n">
        <v>0</v>
      </c>
      <c r="J7460" t="n">
        <v>0</v>
      </c>
      <c r="K7460" t="n">
        <v>0</v>
      </c>
      <c r="L7460" t="n">
        <v>0</v>
      </c>
      <c r="M7460" t="n">
        <v>0</v>
      </c>
      <c r="N7460" t="n">
        <v>0</v>
      </c>
      <c r="O7460" t="n">
        <v>0</v>
      </c>
      <c r="P7460" t="n">
        <v>0</v>
      </c>
      <c r="Q7460" t="n">
        <v>0</v>
      </c>
      <c r="R7460" s="2" t="inlineStr"/>
    </row>
    <row r="7461" ht="15" customHeight="1">
      <c r="A7461" t="inlineStr">
        <is>
          <t>A 56515-2025</t>
        </is>
      </c>
      <c r="B7461" s="1" t="n">
        <v>45975.45572916666</v>
      </c>
      <c r="C7461" s="1" t="n">
        <v>46075</v>
      </c>
      <c r="D7461" t="inlineStr">
        <is>
          <t>VÄSTERBOTTENS LÄN</t>
        </is>
      </c>
      <c r="E7461" t="inlineStr">
        <is>
          <t>UMEÅ</t>
        </is>
      </c>
      <c r="F7461" t="inlineStr">
        <is>
          <t>Holmen skog AB</t>
        </is>
      </c>
      <c r="G7461" t="n">
        <v>3.8</v>
      </c>
      <c r="H7461" t="n">
        <v>0</v>
      </c>
      <c r="I7461" t="n">
        <v>0</v>
      </c>
      <c r="J7461" t="n">
        <v>0</v>
      </c>
      <c r="K7461" t="n">
        <v>0</v>
      </c>
      <c r="L7461" t="n">
        <v>0</v>
      </c>
      <c r="M7461" t="n">
        <v>0</v>
      </c>
      <c r="N7461" t="n">
        <v>0</v>
      </c>
      <c r="O7461" t="n">
        <v>0</v>
      </c>
      <c r="P7461" t="n">
        <v>0</v>
      </c>
      <c r="Q7461" t="n">
        <v>0</v>
      </c>
      <c r="R7461" s="2" t="inlineStr"/>
    </row>
    <row r="7462" ht="15" customHeight="1">
      <c r="A7462" t="inlineStr">
        <is>
          <t>A 38706-2024</t>
        </is>
      </c>
      <c r="B7462" s="1" t="n">
        <v>45547.37357638889</v>
      </c>
      <c r="C7462" s="1" t="n">
        <v>46075</v>
      </c>
      <c r="D7462" t="inlineStr">
        <is>
          <t>VÄSTERBOTTENS LÄN</t>
        </is>
      </c>
      <c r="E7462" t="inlineStr">
        <is>
          <t>SKELLEFTEÅ</t>
        </is>
      </c>
      <c r="G7462" t="n">
        <v>1.4</v>
      </c>
      <c r="H7462" t="n">
        <v>0</v>
      </c>
      <c r="I7462" t="n">
        <v>0</v>
      </c>
      <c r="J7462" t="n">
        <v>0</v>
      </c>
      <c r="K7462" t="n">
        <v>0</v>
      </c>
      <c r="L7462" t="n">
        <v>0</v>
      </c>
      <c r="M7462" t="n">
        <v>0</v>
      </c>
      <c r="N7462" t="n">
        <v>0</v>
      </c>
      <c r="O7462" t="n">
        <v>0</v>
      </c>
      <c r="P7462" t="n">
        <v>0</v>
      </c>
      <c r="Q7462" t="n">
        <v>0</v>
      </c>
      <c r="R7462" s="2" t="inlineStr"/>
    </row>
    <row r="7463" ht="15" customHeight="1">
      <c r="A7463" t="inlineStr">
        <is>
          <t>A 56369-2025</t>
        </is>
      </c>
      <c r="B7463" s="1" t="n">
        <v>45974.67760416667</v>
      </c>
      <c r="C7463" s="1" t="n">
        <v>46075</v>
      </c>
      <c r="D7463" t="inlineStr">
        <is>
          <t>VÄSTERBOTTENS LÄN</t>
        </is>
      </c>
      <c r="E7463" t="inlineStr">
        <is>
          <t>SORSELE</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53376-2023</t>
        </is>
      </c>
      <c r="B7464" s="1" t="n">
        <v>45229</v>
      </c>
      <c r="C7464" s="1" t="n">
        <v>46075</v>
      </c>
      <c r="D7464" t="inlineStr">
        <is>
          <t>VÄSTERBOTTENS LÄN</t>
        </is>
      </c>
      <c r="E7464" t="inlineStr">
        <is>
          <t>MALÅ</t>
        </is>
      </c>
      <c r="G7464" t="n">
        <v>4.4</v>
      </c>
      <c r="H7464" t="n">
        <v>0</v>
      </c>
      <c r="I7464" t="n">
        <v>0</v>
      </c>
      <c r="J7464" t="n">
        <v>0</v>
      </c>
      <c r="K7464" t="n">
        <v>0</v>
      </c>
      <c r="L7464" t="n">
        <v>0</v>
      </c>
      <c r="M7464" t="n">
        <v>0</v>
      </c>
      <c r="N7464" t="n">
        <v>0</v>
      </c>
      <c r="O7464" t="n">
        <v>0</v>
      </c>
      <c r="P7464" t="n">
        <v>0</v>
      </c>
      <c r="Q7464" t="n">
        <v>0</v>
      </c>
      <c r="R7464" s="2" t="inlineStr"/>
    </row>
    <row r="7465" ht="15" customHeight="1">
      <c r="A7465" t="inlineStr">
        <is>
          <t>A 51824-2024</t>
        </is>
      </c>
      <c r="B7465" s="1" t="n">
        <v>45607.50081018519</v>
      </c>
      <c r="C7465" s="1" t="n">
        <v>46075</v>
      </c>
      <c r="D7465" t="inlineStr">
        <is>
          <t>VÄSTERBOTTENS LÄN</t>
        </is>
      </c>
      <c r="E7465" t="inlineStr">
        <is>
          <t>NORDMALING</t>
        </is>
      </c>
      <c r="G7465" t="n">
        <v>4.4</v>
      </c>
      <c r="H7465" t="n">
        <v>0</v>
      </c>
      <c r="I7465" t="n">
        <v>0</v>
      </c>
      <c r="J7465" t="n">
        <v>0</v>
      </c>
      <c r="K7465" t="n">
        <v>0</v>
      </c>
      <c r="L7465" t="n">
        <v>0</v>
      </c>
      <c r="M7465" t="n">
        <v>0</v>
      </c>
      <c r="N7465" t="n">
        <v>0</v>
      </c>
      <c r="O7465" t="n">
        <v>0</v>
      </c>
      <c r="P7465" t="n">
        <v>0</v>
      </c>
      <c r="Q7465" t="n">
        <v>0</v>
      </c>
      <c r="R7465" s="2" t="inlineStr"/>
    </row>
    <row r="7466" ht="15" customHeight="1">
      <c r="A7466" t="inlineStr">
        <is>
          <t>A 56218-2025</t>
        </is>
      </c>
      <c r="B7466" s="1" t="n">
        <v>45974.48989583334</v>
      </c>
      <c r="C7466" s="1" t="n">
        <v>46075</v>
      </c>
      <c r="D7466" t="inlineStr">
        <is>
          <t>VÄSTERBOTTENS LÄN</t>
        </is>
      </c>
      <c r="E7466" t="inlineStr">
        <is>
          <t>NORSJÖ</t>
        </is>
      </c>
      <c r="G7466" t="n">
        <v>6</v>
      </c>
      <c r="H7466" t="n">
        <v>0</v>
      </c>
      <c r="I7466" t="n">
        <v>0</v>
      </c>
      <c r="J7466" t="n">
        <v>0</v>
      </c>
      <c r="K7466" t="n">
        <v>0</v>
      </c>
      <c r="L7466" t="n">
        <v>0</v>
      </c>
      <c r="M7466" t="n">
        <v>0</v>
      </c>
      <c r="N7466" t="n">
        <v>0</v>
      </c>
      <c r="O7466" t="n">
        <v>0</v>
      </c>
      <c r="P7466" t="n">
        <v>0</v>
      </c>
      <c r="Q7466" t="n">
        <v>0</v>
      </c>
      <c r="R7466" s="2" t="inlineStr"/>
    </row>
    <row r="7467" ht="15" customHeight="1">
      <c r="A7467" t="inlineStr">
        <is>
          <t>A 56542-2025</t>
        </is>
      </c>
      <c r="B7467" s="1" t="n">
        <v>45975.47570601852</v>
      </c>
      <c r="C7467" s="1" t="n">
        <v>46075</v>
      </c>
      <c r="D7467" t="inlineStr">
        <is>
          <t>VÄSTERBOTTENS LÄN</t>
        </is>
      </c>
      <c r="E7467" t="inlineStr">
        <is>
          <t>UMEÅ</t>
        </is>
      </c>
      <c r="G7467" t="n">
        <v>4</v>
      </c>
      <c r="H7467" t="n">
        <v>0</v>
      </c>
      <c r="I7467" t="n">
        <v>0</v>
      </c>
      <c r="J7467" t="n">
        <v>0</v>
      </c>
      <c r="K7467" t="n">
        <v>0</v>
      </c>
      <c r="L7467" t="n">
        <v>0</v>
      </c>
      <c r="M7467" t="n">
        <v>0</v>
      </c>
      <c r="N7467" t="n">
        <v>0</v>
      </c>
      <c r="O7467" t="n">
        <v>0</v>
      </c>
      <c r="P7467" t="n">
        <v>0</v>
      </c>
      <c r="Q7467" t="n">
        <v>0</v>
      </c>
      <c r="R7467" s="2" t="inlineStr"/>
    </row>
    <row r="7468" ht="15" customHeight="1">
      <c r="A7468" t="inlineStr">
        <is>
          <t>A 51832-2024</t>
        </is>
      </c>
      <c r="B7468" s="1" t="n">
        <v>45607.50537037037</v>
      </c>
      <c r="C7468" s="1" t="n">
        <v>46075</v>
      </c>
      <c r="D7468" t="inlineStr">
        <is>
          <t>VÄSTERBOTTENS LÄN</t>
        </is>
      </c>
      <c r="E7468" t="inlineStr">
        <is>
          <t>NORDMALING</t>
        </is>
      </c>
      <c r="G7468" t="n">
        <v>2.4</v>
      </c>
      <c r="H7468" t="n">
        <v>0</v>
      </c>
      <c r="I7468" t="n">
        <v>0</v>
      </c>
      <c r="J7468" t="n">
        <v>0</v>
      </c>
      <c r="K7468" t="n">
        <v>0</v>
      </c>
      <c r="L7468" t="n">
        <v>0</v>
      </c>
      <c r="M7468" t="n">
        <v>0</v>
      </c>
      <c r="N7468" t="n">
        <v>0</v>
      </c>
      <c r="O7468" t="n">
        <v>0</v>
      </c>
      <c r="P7468" t="n">
        <v>0</v>
      </c>
      <c r="Q7468" t="n">
        <v>0</v>
      </c>
      <c r="R7468" s="2" t="inlineStr"/>
    </row>
    <row r="7469" ht="15" customHeight="1">
      <c r="A7469" t="inlineStr">
        <is>
          <t>A 60853-2022</t>
        </is>
      </c>
      <c r="B7469" s="1" t="n">
        <v>44914.51908564815</v>
      </c>
      <c r="C7469" s="1" t="n">
        <v>46075</v>
      </c>
      <c r="D7469" t="inlineStr">
        <is>
          <t>VÄSTERBOTTENS LÄN</t>
        </is>
      </c>
      <c r="E7469" t="inlineStr">
        <is>
          <t>SKELLEFTEÅ</t>
        </is>
      </c>
      <c r="F7469" t="inlineStr">
        <is>
          <t>Sveaskog</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30582-2024</t>
        </is>
      </c>
      <c r="B7470" s="1" t="n">
        <v>45492</v>
      </c>
      <c r="C7470" s="1" t="n">
        <v>46075</v>
      </c>
      <c r="D7470" t="inlineStr">
        <is>
          <t>VÄSTERBOTTENS LÄN</t>
        </is>
      </c>
      <c r="E7470" t="inlineStr">
        <is>
          <t>VILHELMINA</t>
        </is>
      </c>
      <c r="F7470" t="inlineStr">
        <is>
          <t>SCA</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44620-2024</t>
        </is>
      </c>
      <c r="B7471" s="1" t="n">
        <v>45574.51318287037</v>
      </c>
      <c r="C7471" s="1" t="n">
        <v>46075</v>
      </c>
      <c r="D7471" t="inlineStr">
        <is>
          <t>VÄSTERBOTTENS LÄN</t>
        </is>
      </c>
      <c r="E7471" t="inlineStr">
        <is>
          <t>DOROTEA</t>
        </is>
      </c>
      <c r="F7471" t="inlineStr">
        <is>
          <t>SCA</t>
        </is>
      </c>
      <c r="G7471" t="n">
        <v>7.6</v>
      </c>
      <c r="H7471" t="n">
        <v>0</v>
      </c>
      <c r="I7471" t="n">
        <v>0</v>
      </c>
      <c r="J7471" t="n">
        <v>0</v>
      </c>
      <c r="K7471" t="n">
        <v>0</v>
      </c>
      <c r="L7471" t="n">
        <v>0</v>
      </c>
      <c r="M7471" t="n">
        <v>0</v>
      </c>
      <c r="N7471" t="n">
        <v>0</v>
      </c>
      <c r="O7471" t="n">
        <v>0</v>
      </c>
      <c r="P7471" t="n">
        <v>0</v>
      </c>
      <c r="Q7471" t="n">
        <v>0</v>
      </c>
      <c r="R7471" s="2" t="inlineStr"/>
    </row>
    <row r="7472" ht="15" customHeight="1">
      <c r="A7472" t="inlineStr">
        <is>
          <t>A 55233-2025</t>
        </is>
      </c>
      <c r="B7472" s="1" t="n">
        <v>45968</v>
      </c>
      <c r="C7472" s="1" t="n">
        <v>46075</v>
      </c>
      <c r="D7472" t="inlineStr">
        <is>
          <t>VÄSTERBOTTENS LÄN</t>
        </is>
      </c>
      <c r="E7472" t="inlineStr">
        <is>
          <t>SKELLEFTEÅ</t>
        </is>
      </c>
      <c r="G7472" t="n">
        <v>11.9</v>
      </c>
      <c r="H7472" t="n">
        <v>0</v>
      </c>
      <c r="I7472" t="n">
        <v>0</v>
      </c>
      <c r="J7472" t="n">
        <v>0</v>
      </c>
      <c r="K7472" t="n">
        <v>0</v>
      </c>
      <c r="L7472" t="n">
        <v>0</v>
      </c>
      <c r="M7472" t="n">
        <v>0</v>
      </c>
      <c r="N7472" t="n">
        <v>0</v>
      </c>
      <c r="O7472" t="n">
        <v>0</v>
      </c>
      <c r="P7472" t="n">
        <v>0</v>
      </c>
      <c r="Q7472" t="n">
        <v>0</v>
      </c>
      <c r="R7472" s="2" t="inlineStr"/>
    </row>
    <row r="7473" ht="15" customHeight="1">
      <c r="A7473" t="inlineStr">
        <is>
          <t>A 18578-2024</t>
        </is>
      </c>
      <c r="B7473" s="1" t="n">
        <v>45425</v>
      </c>
      <c r="C7473" s="1" t="n">
        <v>46075</v>
      </c>
      <c r="D7473" t="inlineStr">
        <is>
          <t>VÄSTERBOTTENS LÄN</t>
        </is>
      </c>
      <c r="E7473" t="inlineStr">
        <is>
          <t>SKELLEFTEÅ</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56428-2025</t>
        </is>
      </c>
      <c r="B7474" s="1" t="n">
        <v>45975.34587962963</v>
      </c>
      <c r="C7474" s="1" t="n">
        <v>46075</v>
      </c>
      <c r="D7474" t="inlineStr">
        <is>
          <t>VÄSTERBOTTENS LÄN</t>
        </is>
      </c>
      <c r="E7474" t="inlineStr">
        <is>
          <t>DOROTEA</t>
        </is>
      </c>
      <c r="F7474" t="inlineStr">
        <is>
          <t>SCA</t>
        </is>
      </c>
      <c r="G7474" t="n">
        <v>2.5</v>
      </c>
      <c r="H7474" t="n">
        <v>0</v>
      </c>
      <c r="I7474" t="n">
        <v>0</v>
      </c>
      <c r="J7474" t="n">
        <v>0</v>
      </c>
      <c r="K7474" t="n">
        <v>0</v>
      </c>
      <c r="L7474" t="n">
        <v>0</v>
      </c>
      <c r="M7474" t="n">
        <v>0</v>
      </c>
      <c r="N7474" t="n">
        <v>0</v>
      </c>
      <c r="O7474" t="n">
        <v>0</v>
      </c>
      <c r="P7474" t="n">
        <v>0</v>
      </c>
      <c r="Q7474" t="n">
        <v>0</v>
      </c>
      <c r="R7474" s="2" t="inlineStr"/>
    </row>
    <row r="7475" ht="15" customHeight="1">
      <c r="A7475" t="inlineStr">
        <is>
          <t>A 46817-2024</t>
        </is>
      </c>
      <c r="B7475" s="1" t="n">
        <v>45583</v>
      </c>
      <c r="C7475" s="1" t="n">
        <v>46075</v>
      </c>
      <c r="D7475" t="inlineStr">
        <is>
          <t>VÄSTERBOTTENS LÄN</t>
        </is>
      </c>
      <c r="E7475" t="inlineStr">
        <is>
          <t>LYCKSELE</t>
        </is>
      </c>
      <c r="G7475" t="n">
        <v>0.4</v>
      </c>
      <c r="H7475" t="n">
        <v>0</v>
      </c>
      <c r="I7475" t="n">
        <v>0</v>
      </c>
      <c r="J7475" t="n">
        <v>0</v>
      </c>
      <c r="K7475" t="n">
        <v>0</v>
      </c>
      <c r="L7475" t="n">
        <v>0</v>
      </c>
      <c r="M7475" t="n">
        <v>0</v>
      </c>
      <c r="N7475" t="n">
        <v>0</v>
      </c>
      <c r="O7475" t="n">
        <v>0</v>
      </c>
      <c r="P7475" t="n">
        <v>0</v>
      </c>
      <c r="Q7475" t="n">
        <v>0</v>
      </c>
      <c r="R7475" s="2" t="inlineStr"/>
    </row>
    <row r="7476" ht="15" customHeight="1">
      <c r="A7476" t="inlineStr">
        <is>
          <t>A 18398-2025</t>
        </is>
      </c>
      <c r="B7476" s="1" t="n">
        <v>45762.59491898148</v>
      </c>
      <c r="C7476" s="1" t="n">
        <v>46075</v>
      </c>
      <c r="D7476" t="inlineStr">
        <is>
          <t>VÄSTERBOTTENS LÄN</t>
        </is>
      </c>
      <c r="E7476" t="inlineStr">
        <is>
          <t>VILHELMINA</t>
        </is>
      </c>
      <c r="F7476" t="inlineStr">
        <is>
          <t>SCA</t>
        </is>
      </c>
      <c r="G7476" t="n">
        <v>2.5</v>
      </c>
      <c r="H7476" t="n">
        <v>0</v>
      </c>
      <c r="I7476" t="n">
        <v>0</v>
      </c>
      <c r="J7476" t="n">
        <v>0</v>
      </c>
      <c r="K7476" t="n">
        <v>0</v>
      </c>
      <c r="L7476" t="n">
        <v>0</v>
      </c>
      <c r="M7476" t="n">
        <v>0</v>
      </c>
      <c r="N7476" t="n">
        <v>0</v>
      </c>
      <c r="O7476" t="n">
        <v>0</v>
      </c>
      <c r="P7476" t="n">
        <v>0</v>
      </c>
      <c r="Q7476" t="n">
        <v>0</v>
      </c>
      <c r="R7476" s="2" t="inlineStr"/>
    </row>
    <row r="7477" ht="15" customHeight="1">
      <c r="A7477" t="inlineStr">
        <is>
          <t>A 35970-2024</t>
        </is>
      </c>
      <c r="B7477" s="1" t="n">
        <v>45533.48732638889</v>
      </c>
      <c r="C7477" s="1" t="n">
        <v>46075</v>
      </c>
      <c r="D7477" t="inlineStr">
        <is>
          <t>VÄSTERBOTTENS LÄN</t>
        </is>
      </c>
      <c r="E7477" t="inlineStr">
        <is>
          <t>LYCKSELE</t>
        </is>
      </c>
      <c r="F7477" t="inlineStr">
        <is>
          <t>Sveaskog</t>
        </is>
      </c>
      <c r="G7477" t="n">
        <v>12.6</v>
      </c>
      <c r="H7477" t="n">
        <v>0</v>
      </c>
      <c r="I7477" t="n">
        <v>0</v>
      </c>
      <c r="J7477" t="n">
        <v>0</v>
      </c>
      <c r="K7477" t="n">
        <v>0</v>
      </c>
      <c r="L7477" t="n">
        <v>0</v>
      </c>
      <c r="M7477" t="n">
        <v>0</v>
      </c>
      <c r="N7477" t="n">
        <v>0</v>
      </c>
      <c r="O7477" t="n">
        <v>0</v>
      </c>
      <c r="P7477" t="n">
        <v>0</v>
      </c>
      <c r="Q7477" t="n">
        <v>0</v>
      </c>
      <c r="R7477" s="2" t="inlineStr"/>
    </row>
    <row r="7478" ht="15" customHeight="1">
      <c r="A7478" t="inlineStr">
        <is>
          <t>A 48448-2024</t>
        </is>
      </c>
      <c r="B7478" s="1" t="n">
        <v>45590.70138888889</v>
      </c>
      <c r="C7478" s="1" t="n">
        <v>46075</v>
      </c>
      <c r="D7478" t="inlineStr">
        <is>
          <t>VÄSTERBOTTENS LÄN</t>
        </is>
      </c>
      <c r="E7478" t="inlineStr">
        <is>
          <t>UMEÅ</t>
        </is>
      </c>
      <c r="F7478" t="inlineStr">
        <is>
          <t>Holmen skog AB</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68251-2021</t>
        </is>
      </c>
      <c r="B7479" s="1" t="n">
        <v>44525</v>
      </c>
      <c r="C7479" s="1" t="n">
        <v>46075</v>
      </c>
      <c r="D7479" t="inlineStr">
        <is>
          <t>VÄSTERBOTTENS LÄN</t>
        </is>
      </c>
      <c r="E7479" t="inlineStr">
        <is>
          <t>SKELLEFTEÅ</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61530-2024</t>
        </is>
      </c>
      <c r="B7480" s="1" t="n">
        <v>45645</v>
      </c>
      <c r="C7480" s="1" t="n">
        <v>46075</v>
      </c>
      <c r="D7480" t="inlineStr">
        <is>
          <t>VÄSTERBOTTENS LÄN</t>
        </is>
      </c>
      <c r="E7480" t="inlineStr">
        <is>
          <t>ÅSELE</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56513-2025</t>
        </is>
      </c>
      <c r="B7481" s="1" t="n">
        <v>45975.45373842592</v>
      </c>
      <c r="C7481" s="1" t="n">
        <v>46075</v>
      </c>
      <c r="D7481" t="inlineStr">
        <is>
          <t>VÄSTERBOTTENS LÄN</t>
        </is>
      </c>
      <c r="E7481" t="inlineStr">
        <is>
          <t>VÄNNÄS</t>
        </is>
      </c>
      <c r="G7481" t="n">
        <v>8.5</v>
      </c>
      <c r="H7481" t="n">
        <v>0</v>
      </c>
      <c r="I7481" t="n">
        <v>0</v>
      </c>
      <c r="J7481" t="n">
        <v>0</v>
      </c>
      <c r="K7481" t="n">
        <v>0</v>
      </c>
      <c r="L7481" t="n">
        <v>0</v>
      </c>
      <c r="M7481" t="n">
        <v>0</v>
      </c>
      <c r="N7481" t="n">
        <v>0</v>
      </c>
      <c r="O7481" t="n">
        <v>0</v>
      </c>
      <c r="P7481" t="n">
        <v>0</v>
      </c>
      <c r="Q7481" t="n">
        <v>0</v>
      </c>
      <c r="R7481" s="2" t="inlineStr"/>
    </row>
    <row r="7482" ht="15" customHeight="1">
      <c r="A7482" t="inlineStr">
        <is>
          <t>A 56447-2025</t>
        </is>
      </c>
      <c r="B7482" s="1" t="n">
        <v>45975.34850694444</v>
      </c>
      <c r="C7482" s="1" t="n">
        <v>46075</v>
      </c>
      <c r="D7482" t="inlineStr">
        <is>
          <t>VÄSTERBOTTENS LÄN</t>
        </is>
      </c>
      <c r="E7482" t="inlineStr">
        <is>
          <t>SKELLEFTEÅ</t>
        </is>
      </c>
      <c r="G7482" t="n">
        <v>4.4</v>
      </c>
      <c r="H7482" t="n">
        <v>0</v>
      </c>
      <c r="I7482" t="n">
        <v>0</v>
      </c>
      <c r="J7482" t="n">
        <v>0</v>
      </c>
      <c r="K7482" t="n">
        <v>0</v>
      </c>
      <c r="L7482" t="n">
        <v>0</v>
      </c>
      <c r="M7482" t="n">
        <v>0</v>
      </c>
      <c r="N7482" t="n">
        <v>0</v>
      </c>
      <c r="O7482" t="n">
        <v>0</v>
      </c>
      <c r="P7482" t="n">
        <v>0</v>
      </c>
      <c r="Q7482" t="n">
        <v>0</v>
      </c>
      <c r="R7482" s="2" t="inlineStr"/>
    </row>
    <row r="7483" ht="15" customHeight="1">
      <c r="A7483" t="inlineStr">
        <is>
          <t>A 25102-2021</t>
        </is>
      </c>
      <c r="B7483" s="1" t="n">
        <v>44341</v>
      </c>
      <c r="C7483" s="1" t="n">
        <v>46075</v>
      </c>
      <c r="D7483" t="inlineStr">
        <is>
          <t>VÄSTERBOTTENS LÄN</t>
        </is>
      </c>
      <c r="E7483" t="inlineStr">
        <is>
          <t>VILHELMINA</t>
        </is>
      </c>
      <c r="G7483" t="n">
        <v>6.7</v>
      </c>
      <c r="H7483" t="n">
        <v>0</v>
      </c>
      <c r="I7483" t="n">
        <v>0</v>
      </c>
      <c r="J7483" t="n">
        <v>0</v>
      </c>
      <c r="K7483" t="n">
        <v>0</v>
      </c>
      <c r="L7483" t="n">
        <v>0</v>
      </c>
      <c r="M7483" t="n">
        <v>0</v>
      </c>
      <c r="N7483" t="n">
        <v>0</v>
      </c>
      <c r="O7483" t="n">
        <v>0</v>
      </c>
      <c r="P7483" t="n">
        <v>0</v>
      </c>
      <c r="Q7483" t="n">
        <v>0</v>
      </c>
      <c r="R7483" s="2" t="inlineStr"/>
    </row>
    <row r="7484" ht="15" customHeight="1">
      <c r="A7484" t="inlineStr">
        <is>
          <t>A 28942-2023</t>
        </is>
      </c>
      <c r="B7484" s="1" t="n">
        <v>45104</v>
      </c>
      <c r="C7484" s="1" t="n">
        <v>46075</v>
      </c>
      <c r="D7484" t="inlineStr">
        <is>
          <t>VÄSTERBOTTENS LÄN</t>
        </is>
      </c>
      <c r="E7484" t="inlineStr">
        <is>
          <t>NORSJÖ</t>
        </is>
      </c>
      <c r="F7484" t="inlineStr">
        <is>
          <t>Sveaskog</t>
        </is>
      </c>
      <c r="G7484" t="n">
        <v>15.9</v>
      </c>
      <c r="H7484" t="n">
        <v>0</v>
      </c>
      <c r="I7484" t="n">
        <v>0</v>
      </c>
      <c r="J7484" t="n">
        <v>0</v>
      </c>
      <c r="K7484" t="n">
        <v>0</v>
      </c>
      <c r="L7484" t="n">
        <v>0</v>
      </c>
      <c r="M7484" t="n">
        <v>0</v>
      </c>
      <c r="N7484" t="n">
        <v>0</v>
      </c>
      <c r="O7484" t="n">
        <v>0</v>
      </c>
      <c r="P7484" t="n">
        <v>0</v>
      </c>
      <c r="Q7484" t="n">
        <v>0</v>
      </c>
      <c r="R7484" s="2" t="inlineStr"/>
    </row>
    <row r="7485" ht="15" customHeight="1">
      <c r="A7485" t="inlineStr">
        <is>
          <t>A 59131-2022</t>
        </is>
      </c>
      <c r="B7485" s="1" t="n">
        <v>44904.44261574074</v>
      </c>
      <c r="C7485" s="1" t="n">
        <v>46075</v>
      </c>
      <c r="D7485" t="inlineStr">
        <is>
          <t>VÄSTERBOTTENS LÄN</t>
        </is>
      </c>
      <c r="E7485" t="inlineStr">
        <is>
          <t>NORSJÖ</t>
        </is>
      </c>
      <c r="F7485" t="inlineStr">
        <is>
          <t>Sveaskog</t>
        </is>
      </c>
      <c r="G7485" t="n">
        <v>5.1</v>
      </c>
      <c r="H7485" t="n">
        <v>0</v>
      </c>
      <c r="I7485" t="n">
        <v>0</v>
      </c>
      <c r="J7485" t="n">
        <v>0</v>
      </c>
      <c r="K7485" t="n">
        <v>0</v>
      </c>
      <c r="L7485" t="n">
        <v>0</v>
      </c>
      <c r="M7485" t="n">
        <v>0</v>
      </c>
      <c r="N7485" t="n">
        <v>0</v>
      </c>
      <c r="O7485" t="n">
        <v>0</v>
      </c>
      <c r="P7485" t="n">
        <v>0</v>
      </c>
      <c r="Q7485" t="n">
        <v>0</v>
      </c>
      <c r="R7485" s="2" t="inlineStr"/>
    </row>
    <row r="7486" ht="15" customHeight="1">
      <c r="A7486" t="inlineStr">
        <is>
          <t>A 56202-2025</t>
        </is>
      </c>
      <c r="B7486" s="1" t="n">
        <v>45974.46417824074</v>
      </c>
      <c r="C7486" s="1" t="n">
        <v>46075</v>
      </c>
      <c r="D7486" t="inlineStr">
        <is>
          <t>VÄSTERBOTTENS LÄN</t>
        </is>
      </c>
      <c r="E7486" t="inlineStr">
        <is>
          <t>SKELLEFTEÅ</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56622-2025</t>
        </is>
      </c>
      <c r="B7487" s="1" t="n">
        <v>45975.60040509259</v>
      </c>
      <c r="C7487" s="1" t="n">
        <v>46075</v>
      </c>
      <c r="D7487" t="inlineStr">
        <is>
          <t>VÄSTERBOTTENS LÄN</t>
        </is>
      </c>
      <c r="E7487" t="inlineStr">
        <is>
          <t>VÄNNÄS</t>
        </is>
      </c>
      <c r="G7487" t="n">
        <v>1.6</v>
      </c>
      <c r="H7487" t="n">
        <v>0</v>
      </c>
      <c r="I7487" t="n">
        <v>0</v>
      </c>
      <c r="J7487" t="n">
        <v>0</v>
      </c>
      <c r="K7487" t="n">
        <v>0</v>
      </c>
      <c r="L7487" t="n">
        <v>0</v>
      </c>
      <c r="M7487" t="n">
        <v>0</v>
      </c>
      <c r="N7487" t="n">
        <v>0</v>
      </c>
      <c r="O7487" t="n">
        <v>0</v>
      </c>
      <c r="P7487" t="n">
        <v>0</v>
      </c>
      <c r="Q7487" t="n">
        <v>0</v>
      </c>
      <c r="R7487" s="2" t="inlineStr"/>
    </row>
    <row r="7488" ht="15" customHeight="1">
      <c r="A7488" t="inlineStr">
        <is>
          <t>A 56662-2025</t>
        </is>
      </c>
      <c r="B7488" s="1" t="n">
        <v>45975.65717592592</v>
      </c>
      <c r="C7488" s="1" t="n">
        <v>46075</v>
      </c>
      <c r="D7488" t="inlineStr">
        <is>
          <t>VÄSTERBOTTENS LÄN</t>
        </is>
      </c>
      <c r="E7488" t="inlineStr">
        <is>
          <t>SKELLEFTEÅ</t>
        </is>
      </c>
      <c r="G7488" t="n">
        <v>6.1</v>
      </c>
      <c r="H7488" t="n">
        <v>0</v>
      </c>
      <c r="I7488" t="n">
        <v>0</v>
      </c>
      <c r="J7488" t="n">
        <v>0</v>
      </c>
      <c r="K7488" t="n">
        <v>0</v>
      </c>
      <c r="L7488" t="n">
        <v>0</v>
      </c>
      <c r="M7488" t="n">
        <v>0</v>
      </c>
      <c r="N7488" t="n">
        <v>0</v>
      </c>
      <c r="O7488" t="n">
        <v>0</v>
      </c>
      <c r="P7488" t="n">
        <v>0</v>
      </c>
      <c r="Q7488" t="n">
        <v>0</v>
      </c>
      <c r="R7488" s="2" t="inlineStr"/>
    </row>
    <row r="7489" ht="15" customHeight="1">
      <c r="A7489" t="inlineStr">
        <is>
          <t>A 52997-2024</t>
        </is>
      </c>
      <c r="B7489" s="1" t="n">
        <v>45611.38657407407</v>
      </c>
      <c r="C7489" s="1" t="n">
        <v>46075</v>
      </c>
      <c r="D7489" t="inlineStr">
        <is>
          <t>VÄSTERBOTTENS LÄN</t>
        </is>
      </c>
      <c r="E7489" t="inlineStr">
        <is>
          <t>ROBERTSFORS</t>
        </is>
      </c>
      <c r="G7489" t="n">
        <v>2.1</v>
      </c>
      <c r="H7489" t="n">
        <v>0</v>
      </c>
      <c r="I7489" t="n">
        <v>0</v>
      </c>
      <c r="J7489" t="n">
        <v>0</v>
      </c>
      <c r="K7489" t="n">
        <v>0</v>
      </c>
      <c r="L7489" t="n">
        <v>0</v>
      </c>
      <c r="M7489" t="n">
        <v>0</v>
      </c>
      <c r="N7489" t="n">
        <v>0</v>
      </c>
      <c r="O7489" t="n">
        <v>0</v>
      </c>
      <c r="P7489" t="n">
        <v>0</v>
      </c>
      <c r="Q7489" t="n">
        <v>0</v>
      </c>
      <c r="R7489" s="2" t="inlineStr"/>
    </row>
    <row r="7490" ht="15" customHeight="1">
      <c r="A7490" t="inlineStr">
        <is>
          <t>A 43973-2023</t>
        </is>
      </c>
      <c r="B7490" s="1" t="n">
        <v>45187</v>
      </c>
      <c r="C7490" s="1" t="n">
        <v>46075</v>
      </c>
      <c r="D7490" t="inlineStr">
        <is>
          <t>VÄSTERBOTTENS LÄN</t>
        </is>
      </c>
      <c r="E7490" t="inlineStr">
        <is>
          <t>LYCKSELE</t>
        </is>
      </c>
      <c r="F7490" t="inlineStr">
        <is>
          <t>SCA</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56467-2025</t>
        </is>
      </c>
      <c r="B7491" s="1" t="n">
        <v>45975.37643518519</v>
      </c>
      <c r="C7491" s="1" t="n">
        <v>46075</v>
      </c>
      <c r="D7491" t="inlineStr">
        <is>
          <t>VÄSTERBOTTENS LÄN</t>
        </is>
      </c>
      <c r="E7491" t="inlineStr">
        <is>
          <t>BJURHOLM</t>
        </is>
      </c>
      <c r="G7491" t="n">
        <v>2.6</v>
      </c>
      <c r="H7491" t="n">
        <v>0</v>
      </c>
      <c r="I7491" t="n">
        <v>0</v>
      </c>
      <c r="J7491" t="n">
        <v>0</v>
      </c>
      <c r="K7491" t="n">
        <v>0</v>
      </c>
      <c r="L7491" t="n">
        <v>0</v>
      </c>
      <c r="M7491" t="n">
        <v>0</v>
      </c>
      <c r="N7491" t="n">
        <v>0</v>
      </c>
      <c r="O7491" t="n">
        <v>0</v>
      </c>
      <c r="P7491" t="n">
        <v>0</v>
      </c>
      <c r="Q7491" t="n">
        <v>0</v>
      </c>
      <c r="R7491" s="2" t="inlineStr"/>
    </row>
    <row r="7492" ht="15" customHeight="1">
      <c r="A7492" t="inlineStr">
        <is>
          <t>A 56571-2025</t>
        </is>
      </c>
      <c r="B7492" s="1" t="n">
        <v>45975.52336805555</v>
      </c>
      <c r="C7492" s="1" t="n">
        <v>46075</v>
      </c>
      <c r="D7492" t="inlineStr">
        <is>
          <t>VÄSTERBOTTENS LÄN</t>
        </is>
      </c>
      <c r="E7492" t="inlineStr">
        <is>
          <t>SKELLEFTEÅ</t>
        </is>
      </c>
      <c r="F7492" t="inlineStr">
        <is>
          <t>Holmen skog AB</t>
        </is>
      </c>
      <c r="G7492" t="n">
        <v>1.8</v>
      </c>
      <c r="H7492" t="n">
        <v>0</v>
      </c>
      <c r="I7492" t="n">
        <v>0</v>
      </c>
      <c r="J7492" t="n">
        <v>0</v>
      </c>
      <c r="K7492" t="n">
        <v>0</v>
      </c>
      <c r="L7492" t="n">
        <v>0</v>
      </c>
      <c r="M7492" t="n">
        <v>0</v>
      </c>
      <c r="N7492" t="n">
        <v>0</v>
      </c>
      <c r="O7492" t="n">
        <v>0</v>
      </c>
      <c r="P7492" t="n">
        <v>0</v>
      </c>
      <c r="Q7492" t="n">
        <v>0</v>
      </c>
      <c r="R7492" s="2" t="inlineStr"/>
    </row>
    <row r="7493" ht="15" customHeight="1">
      <c r="A7493" t="inlineStr">
        <is>
          <t>A 56661-2025</t>
        </is>
      </c>
      <c r="B7493" s="1" t="n">
        <v>45975.65702546296</v>
      </c>
      <c r="C7493" s="1" t="n">
        <v>46075</v>
      </c>
      <c r="D7493" t="inlineStr">
        <is>
          <t>VÄSTERBOTTENS LÄN</t>
        </is>
      </c>
      <c r="E7493" t="inlineStr">
        <is>
          <t>SKELLEFTEÅ</t>
        </is>
      </c>
      <c r="G7493" t="n">
        <v>2.8</v>
      </c>
      <c r="H7493" t="n">
        <v>0</v>
      </c>
      <c r="I7493" t="n">
        <v>0</v>
      </c>
      <c r="J7493" t="n">
        <v>0</v>
      </c>
      <c r="K7493" t="n">
        <v>0</v>
      </c>
      <c r="L7493" t="n">
        <v>0</v>
      </c>
      <c r="M7493" t="n">
        <v>0</v>
      </c>
      <c r="N7493" t="n">
        <v>0</v>
      </c>
      <c r="O7493" t="n">
        <v>0</v>
      </c>
      <c r="P7493" t="n">
        <v>0</v>
      </c>
      <c r="Q7493" t="n">
        <v>0</v>
      </c>
      <c r="R7493" s="2" t="inlineStr"/>
    </row>
    <row r="7494" ht="15" customHeight="1">
      <c r="A7494" t="inlineStr">
        <is>
          <t>A 56551-2025</t>
        </is>
      </c>
      <c r="B7494" s="1" t="n">
        <v>45975.48168981481</v>
      </c>
      <c r="C7494" s="1" t="n">
        <v>46075</v>
      </c>
      <c r="D7494" t="inlineStr">
        <is>
          <t>VÄSTERBOTTENS LÄN</t>
        </is>
      </c>
      <c r="E7494" t="inlineStr">
        <is>
          <t>ÅSELE</t>
        </is>
      </c>
      <c r="G7494" t="n">
        <v>4.3</v>
      </c>
      <c r="H7494" t="n">
        <v>0</v>
      </c>
      <c r="I7494" t="n">
        <v>0</v>
      </c>
      <c r="J7494" t="n">
        <v>0</v>
      </c>
      <c r="K7494" t="n">
        <v>0</v>
      </c>
      <c r="L7494" t="n">
        <v>0</v>
      </c>
      <c r="M7494" t="n">
        <v>0</v>
      </c>
      <c r="N7494" t="n">
        <v>0</v>
      </c>
      <c r="O7494" t="n">
        <v>0</v>
      </c>
      <c r="P7494" t="n">
        <v>0</v>
      </c>
      <c r="Q7494" t="n">
        <v>0</v>
      </c>
      <c r="R7494" s="2" t="inlineStr"/>
    </row>
    <row r="7495" ht="15" customHeight="1">
      <c r="A7495" t="inlineStr">
        <is>
          <t>A 56553-2025</t>
        </is>
      </c>
      <c r="B7495" s="1" t="n">
        <v>45975.48762731482</v>
      </c>
      <c r="C7495" s="1" t="n">
        <v>46075</v>
      </c>
      <c r="D7495" t="inlineStr">
        <is>
          <t>VÄSTERBOTTENS LÄN</t>
        </is>
      </c>
      <c r="E7495" t="inlineStr">
        <is>
          <t>VÄNNÄS</t>
        </is>
      </c>
      <c r="G7495" t="n">
        <v>3</v>
      </c>
      <c r="H7495" t="n">
        <v>0</v>
      </c>
      <c r="I7495" t="n">
        <v>0</v>
      </c>
      <c r="J7495" t="n">
        <v>0</v>
      </c>
      <c r="K7495" t="n">
        <v>0</v>
      </c>
      <c r="L7495" t="n">
        <v>0</v>
      </c>
      <c r="M7495" t="n">
        <v>0</v>
      </c>
      <c r="N7495" t="n">
        <v>0</v>
      </c>
      <c r="O7495" t="n">
        <v>0</v>
      </c>
      <c r="P7495" t="n">
        <v>0</v>
      </c>
      <c r="Q7495" t="n">
        <v>0</v>
      </c>
      <c r="R7495" s="2" t="inlineStr"/>
    </row>
    <row r="7496" ht="15" customHeight="1">
      <c r="A7496" t="inlineStr">
        <is>
          <t>A 56604-2025</t>
        </is>
      </c>
      <c r="B7496" s="1" t="n">
        <v>45975.57861111111</v>
      </c>
      <c r="C7496" s="1" t="n">
        <v>46075</v>
      </c>
      <c r="D7496" t="inlineStr">
        <is>
          <t>VÄSTERBOTTENS LÄN</t>
        </is>
      </c>
      <c r="E7496" t="inlineStr">
        <is>
          <t>ROBERTSFORS</t>
        </is>
      </c>
      <c r="F7496" t="inlineStr">
        <is>
          <t>Holmen skog AB</t>
        </is>
      </c>
      <c r="G7496" t="n">
        <v>5.7</v>
      </c>
      <c r="H7496" t="n">
        <v>0</v>
      </c>
      <c r="I7496" t="n">
        <v>0</v>
      </c>
      <c r="J7496" t="n">
        <v>0</v>
      </c>
      <c r="K7496" t="n">
        <v>0</v>
      </c>
      <c r="L7496" t="n">
        <v>0</v>
      </c>
      <c r="M7496" t="n">
        <v>0</v>
      </c>
      <c r="N7496" t="n">
        <v>0</v>
      </c>
      <c r="O7496" t="n">
        <v>0</v>
      </c>
      <c r="P7496" t="n">
        <v>0</v>
      </c>
      <c r="Q7496" t="n">
        <v>0</v>
      </c>
      <c r="R7496" s="2" t="inlineStr"/>
    </row>
    <row r="7497" ht="15" customHeight="1">
      <c r="A7497" t="inlineStr">
        <is>
          <t>A 61846-2022</t>
        </is>
      </c>
      <c r="B7497" s="1" t="n">
        <v>44917.60903935185</v>
      </c>
      <c r="C7497" s="1" t="n">
        <v>46075</v>
      </c>
      <c r="D7497" t="inlineStr">
        <is>
          <t>VÄSTERBOTTENS LÄN</t>
        </is>
      </c>
      <c r="E7497" t="inlineStr">
        <is>
          <t>STORUMAN</t>
        </is>
      </c>
      <c r="F7497" t="inlineStr">
        <is>
          <t>Sveaskog</t>
        </is>
      </c>
      <c r="G7497" t="n">
        <v>11.2</v>
      </c>
      <c r="H7497" t="n">
        <v>0</v>
      </c>
      <c r="I7497" t="n">
        <v>0</v>
      </c>
      <c r="J7497" t="n">
        <v>0</v>
      </c>
      <c r="K7497" t="n">
        <v>0</v>
      </c>
      <c r="L7497" t="n">
        <v>0</v>
      </c>
      <c r="M7497" t="n">
        <v>0</v>
      </c>
      <c r="N7497" t="n">
        <v>0</v>
      </c>
      <c r="O7497" t="n">
        <v>0</v>
      </c>
      <c r="P7497" t="n">
        <v>0</v>
      </c>
      <c r="Q7497" t="n">
        <v>0</v>
      </c>
      <c r="R7497" s="2" t="inlineStr"/>
    </row>
    <row r="7498" ht="15" customHeight="1">
      <c r="A7498" t="inlineStr">
        <is>
          <t>A 56617-2025</t>
        </is>
      </c>
      <c r="B7498" s="1" t="n">
        <v>45975.59364583333</v>
      </c>
      <c r="C7498" s="1" t="n">
        <v>46075</v>
      </c>
      <c r="D7498" t="inlineStr">
        <is>
          <t>VÄSTERBOTTENS LÄN</t>
        </is>
      </c>
      <c r="E7498" t="inlineStr">
        <is>
          <t>UMEÅ</t>
        </is>
      </c>
      <c r="G7498" t="n">
        <v>1.7</v>
      </c>
      <c r="H7498" t="n">
        <v>0</v>
      </c>
      <c r="I7498" t="n">
        <v>0</v>
      </c>
      <c r="J7498" t="n">
        <v>0</v>
      </c>
      <c r="K7498" t="n">
        <v>0</v>
      </c>
      <c r="L7498" t="n">
        <v>0</v>
      </c>
      <c r="M7498" t="n">
        <v>0</v>
      </c>
      <c r="N7498" t="n">
        <v>0</v>
      </c>
      <c r="O7498" t="n">
        <v>0</v>
      </c>
      <c r="P7498" t="n">
        <v>0</v>
      </c>
      <c r="Q7498" t="n">
        <v>0</v>
      </c>
      <c r="R7498" s="2" t="inlineStr"/>
    </row>
    <row r="7499" ht="15" customHeight="1">
      <c r="A7499" t="inlineStr">
        <is>
          <t>A 36771-2024</t>
        </is>
      </c>
      <c r="B7499" s="1" t="n">
        <v>45538.38226851852</v>
      </c>
      <c r="C7499" s="1" t="n">
        <v>46075</v>
      </c>
      <c r="D7499" t="inlineStr">
        <is>
          <t>VÄSTERBOTTENS LÄN</t>
        </is>
      </c>
      <c r="E7499" t="inlineStr">
        <is>
          <t>SKELLEFTEÅ</t>
        </is>
      </c>
      <c r="F7499" t="inlineStr">
        <is>
          <t>Holmen skog AB</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56642-2025</t>
        </is>
      </c>
      <c r="B7500" s="1" t="n">
        <v>45975.62614583333</v>
      </c>
      <c r="C7500" s="1" t="n">
        <v>46075</v>
      </c>
      <c r="D7500" t="inlineStr">
        <is>
          <t>VÄSTERBOTTENS LÄN</t>
        </is>
      </c>
      <c r="E7500" t="inlineStr">
        <is>
          <t>UMEÅ</t>
        </is>
      </c>
      <c r="G7500" t="n">
        <v>2.1</v>
      </c>
      <c r="H7500" t="n">
        <v>0</v>
      </c>
      <c r="I7500" t="n">
        <v>0</v>
      </c>
      <c r="J7500" t="n">
        <v>0</v>
      </c>
      <c r="K7500" t="n">
        <v>0</v>
      </c>
      <c r="L7500" t="n">
        <v>0</v>
      </c>
      <c r="M7500" t="n">
        <v>0</v>
      </c>
      <c r="N7500" t="n">
        <v>0</v>
      </c>
      <c r="O7500" t="n">
        <v>0</v>
      </c>
      <c r="P7500" t="n">
        <v>0</v>
      </c>
      <c r="Q7500" t="n">
        <v>0</v>
      </c>
      <c r="R7500" s="2" t="inlineStr"/>
    </row>
    <row r="7501" ht="15" customHeight="1">
      <c r="A7501" t="inlineStr">
        <is>
          <t>A 56329-2025</t>
        </is>
      </c>
      <c r="B7501" s="1" t="n">
        <v>45974.64</v>
      </c>
      <c r="C7501" s="1" t="n">
        <v>46075</v>
      </c>
      <c r="D7501" t="inlineStr">
        <is>
          <t>VÄSTERBOTTENS LÄN</t>
        </is>
      </c>
      <c r="E7501" t="inlineStr">
        <is>
          <t>VÄNNÄS</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56291-2025</t>
        </is>
      </c>
      <c r="B7502" s="1" t="n">
        <v>45974.5987037037</v>
      </c>
      <c r="C7502" s="1" t="n">
        <v>46075</v>
      </c>
      <c r="D7502" t="inlineStr">
        <is>
          <t>VÄSTERBOTTENS LÄN</t>
        </is>
      </c>
      <c r="E7502" t="inlineStr">
        <is>
          <t>ÅSELE</t>
        </is>
      </c>
      <c r="G7502" t="n">
        <v>5.3</v>
      </c>
      <c r="H7502" t="n">
        <v>0</v>
      </c>
      <c r="I7502" t="n">
        <v>0</v>
      </c>
      <c r="J7502" t="n">
        <v>0</v>
      </c>
      <c r="K7502" t="n">
        <v>0</v>
      </c>
      <c r="L7502" t="n">
        <v>0</v>
      </c>
      <c r="M7502" t="n">
        <v>0</v>
      </c>
      <c r="N7502" t="n">
        <v>0</v>
      </c>
      <c r="O7502" t="n">
        <v>0</v>
      </c>
      <c r="P7502" t="n">
        <v>0</v>
      </c>
      <c r="Q7502" t="n">
        <v>0</v>
      </c>
      <c r="R7502" s="2" t="inlineStr"/>
    </row>
    <row r="7503" ht="15" customHeight="1">
      <c r="A7503" t="inlineStr">
        <is>
          <t>A 62025-2022</t>
        </is>
      </c>
      <c r="B7503" s="1" t="n">
        <v>44914</v>
      </c>
      <c r="C7503" s="1" t="n">
        <v>46075</v>
      </c>
      <c r="D7503" t="inlineStr">
        <is>
          <t>VÄSTERBOTTENS LÄN</t>
        </is>
      </c>
      <c r="E7503" t="inlineStr">
        <is>
          <t>SKELLEFTEÅ</t>
        </is>
      </c>
      <c r="G7503" t="n">
        <v>6.9</v>
      </c>
      <c r="H7503" t="n">
        <v>0</v>
      </c>
      <c r="I7503" t="n">
        <v>0</v>
      </c>
      <c r="J7503" t="n">
        <v>0</v>
      </c>
      <c r="K7503" t="n">
        <v>0</v>
      </c>
      <c r="L7503" t="n">
        <v>0</v>
      </c>
      <c r="M7503" t="n">
        <v>0</v>
      </c>
      <c r="N7503" t="n">
        <v>0</v>
      </c>
      <c r="O7503" t="n">
        <v>0</v>
      </c>
      <c r="P7503" t="n">
        <v>0</v>
      </c>
      <c r="Q7503" t="n">
        <v>0</v>
      </c>
      <c r="R7503" s="2" t="inlineStr"/>
    </row>
    <row r="7504" ht="15" customHeight="1">
      <c r="A7504" t="inlineStr">
        <is>
          <t>A 62028-2022</t>
        </is>
      </c>
      <c r="B7504" s="1" t="n">
        <v>44914</v>
      </c>
      <c r="C7504" s="1" t="n">
        <v>46075</v>
      </c>
      <c r="D7504" t="inlineStr">
        <is>
          <t>VÄSTERBOTTENS LÄN</t>
        </is>
      </c>
      <c r="E7504" t="inlineStr">
        <is>
          <t>SKELLEFTEÅ</t>
        </is>
      </c>
      <c r="G7504" t="n">
        <v>4.6</v>
      </c>
      <c r="H7504" t="n">
        <v>0</v>
      </c>
      <c r="I7504" t="n">
        <v>0</v>
      </c>
      <c r="J7504" t="n">
        <v>0</v>
      </c>
      <c r="K7504" t="n">
        <v>0</v>
      </c>
      <c r="L7504" t="n">
        <v>0</v>
      </c>
      <c r="M7504" t="n">
        <v>0</v>
      </c>
      <c r="N7504" t="n">
        <v>0</v>
      </c>
      <c r="O7504" t="n">
        <v>0</v>
      </c>
      <c r="P7504" t="n">
        <v>0</v>
      </c>
      <c r="Q7504" t="n">
        <v>0</v>
      </c>
      <c r="R7504" s="2" t="inlineStr"/>
    </row>
    <row r="7505" ht="15" customHeight="1">
      <c r="A7505" t="inlineStr">
        <is>
          <t>A 56172-2025</t>
        </is>
      </c>
      <c r="B7505" s="1" t="n">
        <v>45974.39545138889</v>
      </c>
      <c r="C7505" s="1" t="n">
        <v>46075</v>
      </c>
      <c r="D7505" t="inlineStr">
        <is>
          <t>VÄSTERBOTTENS LÄN</t>
        </is>
      </c>
      <c r="E7505" t="inlineStr">
        <is>
          <t>LYCKSELE</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9170-2021</t>
        </is>
      </c>
      <c r="B7506" s="1" t="n">
        <v>44249</v>
      </c>
      <c r="C7506" s="1" t="n">
        <v>46075</v>
      </c>
      <c r="D7506" t="inlineStr">
        <is>
          <t>VÄSTERBOTTENS LÄN</t>
        </is>
      </c>
      <c r="E7506" t="inlineStr">
        <is>
          <t>UMEÅ</t>
        </is>
      </c>
      <c r="G7506" t="n">
        <v>4.1</v>
      </c>
      <c r="H7506" t="n">
        <v>0</v>
      </c>
      <c r="I7506" t="n">
        <v>0</v>
      </c>
      <c r="J7506" t="n">
        <v>0</v>
      </c>
      <c r="K7506" t="n">
        <v>0</v>
      </c>
      <c r="L7506" t="n">
        <v>0</v>
      </c>
      <c r="M7506" t="n">
        <v>0</v>
      </c>
      <c r="N7506" t="n">
        <v>0</v>
      </c>
      <c r="O7506" t="n">
        <v>0</v>
      </c>
      <c r="P7506" t="n">
        <v>0</v>
      </c>
      <c r="Q7506" t="n">
        <v>0</v>
      </c>
      <c r="R7506" s="2" t="inlineStr"/>
    </row>
    <row r="7507" ht="15" customHeight="1">
      <c r="A7507" t="inlineStr">
        <is>
          <t>A 15046-2023</t>
        </is>
      </c>
      <c r="B7507" s="1" t="n">
        <v>45015</v>
      </c>
      <c r="C7507" s="1" t="n">
        <v>46075</v>
      </c>
      <c r="D7507" t="inlineStr">
        <is>
          <t>VÄSTERBOTTENS LÄN</t>
        </is>
      </c>
      <c r="E7507" t="inlineStr">
        <is>
          <t>LYCKSELE</t>
        </is>
      </c>
      <c r="G7507" t="n">
        <v>13.4</v>
      </c>
      <c r="H7507" t="n">
        <v>0</v>
      </c>
      <c r="I7507" t="n">
        <v>0</v>
      </c>
      <c r="J7507" t="n">
        <v>0</v>
      </c>
      <c r="K7507" t="n">
        <v>0</v>
      </c>
      <c r="L7507" t="n">
        <v>0</v>
      </c>
      <c r="M7507" t="n">
        <v>0</v>
      </c>
      <c r="N7507" t="n">
        <v>0</v>
      </c>
      <c r="O7507" t="n">
        <v>0</v>
      </c>
      <c r="P7507" t="n">
        <v>0</v>
      </c>
      <c r="Q7507" t="n">
        <v>0</v>
      </c>
      <c r="R7507" s="2" t="inlineStr"/>
    </row>
    <row r="7508" ht="15" customHeight="1">
      <c r="A7508" t="inlineStr">
        <is>
          <t>A 16198-2022</t>
        </is>
      </c>
      <c r="B7508" s="1" t="n">
        <v>44665</v>
      </c>
      <c r="C7508" s="1" t="n">
        <v>46075</v>
      </c>
      <c r="D7508" t="inlineStr">
        <is>
          <t>VÄSTERBOTTENS LÄN</t>
        </is>
      </c>
      <c r="E7508" t="inlineStr">
        <is>
          <t>SKELLEFTEÅ</t>
        </is>
      </c>
      <c r="G7508" t="n">
        <v>2.4</v>
      </c>
      <c r="H7508" t="n">
        <v>0</v>
      </c>
      <c r="I7508" t="n">
        <v>0</v>
      </c>
      <c r="J7508" t="n">
        <v>0</v>
      </c>
      <c r="K7508" t="n">
        <v>0</v>
      </c>
      <c r="L7508" t="n">
        <v>0</v>
      </c>
      <c r="M7508" t="n">
        <v>0</v>
      </c>
      <c r="N7508" t="n">
        <v>0</v>
      </c>
      <c r="O7508" t="n">
        <v>0</v>
      </c>
      <c r="P7508" t="n">
        <v>0</v>
      </c>
      <c r="Q7508" t="n">
        <v>0</v>
      </c>
      <c r="R7508" s="2" t="inlineStr"/>
    </row>
    <row r="7509" ht="15" customHeight="1">
      <c r="A7509" t="inlineStr">
        <is>
          <t>A 56231-2025</t>
        </is>
      </c>
      <c r="B7509" s="1" t="n">
        <v>45974.53111111111</v>
      </c>
      <c r="C7509" s="1" t="n">
        <v>46075</v>
      </c>
      <c r="D7509" t="inlineStr">
        <is>
          <t>VÄSTERBOTTENS LÄN</t>
        </is>
      </c>
      <c r="E7509" t="inlineStr">
        <is>
          <t>ROBERTSFORS</t>
        </is>
      </c>
      <c r="F7509" t="inlineStr">
        <is>
          <t>Holmen skog AB</t>
        </is>
      </c>
      <c r="G7509" t="n">
        <v>5.9</v>
      </c>
      <c r="H7509" t="n">
        <v>0</v>
      </c>
      <c r="I7509" t="n">
        <v>0</v>
      </c>
      <c r="J7509" t="n">
        <v>0</v>
      </c>
      <c r="K7509" t="n">
        <v>0</v>
      </c>
      <c r="L7509" t="n">
        <v>0</v>
      </c>
      <c r="M7509" t="n">
        <v>0</v>
      </c>
      <c r="N7509" t="n">
        <v>0</v>
      </c>
      <c r="O7509" t="n">
        <v>0</v>
      </c>
      <c r="P7509" t="n">
        <v>0</v>
      </c>
      <c r="Q7509" t="n">
        <v>0</v>
      </c>
      <c r="R7509" s="2" t="inlineStr"/>
    </row>
    <row r="7510" ht="15" customHeight="1">
      <c r="A7510" t="inlineStr">
        <is>
          <t>A 15903-2023</t>
        </is>
      </c>
      <c r="B7510" s="1" t="n">
        <v>45021</v>
      </c>
      <c r="C7510" s="1" t="n">
        <v>46075</v>
      </c>
      <c r="D7510" t="inlineStr">
        <is>
          <t>VÄSTERBOTTENS LÄN</t>
        </is>
      </c>
      <c r="E7510" t="inlineStr">
        <is>
          <t>SKELLEFTEÅ</t>
        </is>
      </c>
      <c r="G7510" t="n">
        <v>8.9</v>
      </c>
      <c r="H7510" t="n">
        <v>0</v>
      </c>
      <c r="I7510" t="n">
        <v>0</v>
      </c>
      <c r="J7510" t="n">
        <v>0</v>
      </c>
      <c r="K7510" t="n">
        <v>0</v>
      </c>
      <c r="L7510" t="n">
        <v>0</v>
      </c>
      <c r="M7510" t="n">
        <v>0</v>
      </c>
      <c r="N7510" t="n">
        <v>0</v>
      </c>
      <c r="O7510" t="n">
        <v>0</v>
      </c>
      <c r="P7510" t="n">
        <v>0</v>
      </c>
      <c r="Q7510" t="n">
        <v>0</v>
      </c>
      <c r="R7510" s="2" t="inlineStr"/>
    </row>
    <row r="7511" ht="15" customHeight="1">
      <c r="A7511" t="inlineStr">
        <is>
          <t>A 45361-2024</t>
        </is>
      </c>
      <c r="B7511" s="1" t="n">
        <v>45576.48423611111</v>
      </c>
      <c r="C7511" s="1" t="n">
        <v>46075</v>
      </c>
      <c r="D7511" t="inlineStr">
        <is>
          <t>VÄSTERBOTTENS LÄN</t>
        </is>
      </c>
      <c r="E7511" t="inlineStr">
        <is>
          <t>LYCKSELE</t>
        </is>
      </c>
      <c r="F7511" t="inlineStr">
        <is>
          <t>Holmen skog AB</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62124-2024</t>
        </is>
      </c>
      <c r="B7512" s="1" t="n">
        <v>45646</v>
      </c>
      <c r="C7512" s="1" t="n">
        <v>46075</v>
      </c>
      <c r="D7512" t="inlineStr">
        <is>
          <t>VÄSTERBOTTENS LÄN</t>
        </is>
      </c>
      <c r="E7512" t="inlineStr">
        <is>
          <t>MALÅ</t>
        </is>
      </c>
      <c r="F7512" t="inlineStr">
        <is>
          <t>Sveaskog</t>
        </is>
      </c>
      <c r="G7512" t="n">
        <v>4.8</v>
      </c>
      <c r="H7512" t="n">
        <v>0</v>
      </c>
      <c r="I7512" t="n">
        <v>0</v>
      </c>
      <c r="J7512" t="n">
        <v>0</v>
      </c>
      <c r="K7512" t="n">
        <v>0</v>
      </c>
      <c r="L7512" t="n">
        <v>0</v>
      </c>
      <c r="M7512" t="n">
        <v>0</v>
      </c>
      <c r="N7512" t="n">
        <v>0</v>
      </c>
      <c r="O7512" t="n">
        <v>0</v>
      </c>
      <c r="P7512" t="n">
        <v>0</v>
      </c>
      <c r="Q7512" t="n">
        <v>0</v>
      </c>
      <c r="R7512" s="2" t="inlineStr"/>
    </row>
    <row r="7513" ht="15" customHeight="1">
      <c r="A7513" t="inlineStr">
        <is>
          <t>A 56247-2025</t>
        </is>
      </c>
      <c r="B7513" s="1" t="n">
        <v>45974.55259259259</v>
      </c>
      <c r="C7513" s="1" t="n">
        <v>46075</v>
      </c>
      <c r="D7513" t="inlineStr">
        <is>
          <t>VÄSTERBOTTENS LÄN</t>
        </is>
      </c>
      <c r="E7513" t="inlineStr">
        <is>
          <t>NORDMALING</t>
        </is>
      </c>
      <c r="G7513" t="n">
        <v>10.4</v>
      </c>
      <c r="H7513" t="n">
        <v>0</v>
      </c>
      <c r="I7513" t="n">
        <v>0</v>
      </c>
      <c r="J7513" t="n">
        <v>0</v>
      </c>
      <c r="K7513" t="n">
        <v>0</v>
      </c>
      <c r="L7513" t="n">
        <v>0</v>
      </c>
      <c r="M7513" t="n">
        <v>0</v>
      </c>
      <c r="N7513" t="n">
        <v>0</v>
      </c>
      <c r="O7513" t="n">
        <v>0</v>
      </c>
      <c r="P7513" t="n">
        <v>0</v>
      </c>
      <c r="Q7513" t="n">
        <v>0</v>
      </c>
      <c r="R7513" s="2" t="inlineStr"/>
    </row>
    <row r="7514" ht="15" customHeight="1">
      <c r="A7514" t="inlineStr">
        <is>
          <t>A 56583-2025</t>
        </is>
      </c>
      <c r="B7514" s="1" t="n">
        <v>45975.5490625</v>
      </c>
      <c r="C7514" s="1" t="n">
        <v>46075</v>
      </c>
      <c r="D7514" t="inlineStr">
        <is>
          <t>VÄSTERBOTTENS LÄN</t>
        </is>
      </c>
      <c r="E7514" t="inlineStr">
        <is>
          <t>ÅSELE</t>
        </is>
      </c>
      <c r="G7514" t="n">
        <v>11.6</v>
      </c>
      <c r="H7514" t="n">
        <v>0</v>
      </c>
      <c r="I7514" t="n">
        <v>0</v>
      </c>
      <c r="J7514" t="n">
        <v>0</v>
      </c>
      <c r="K7514" t="n">
        <v>0</v>
      </c>
      <c r="L7514" t="n">
        <v>0</v>
      </c>
      <c r="M7514" t="n">
        <v>0</v>
      </c>
      <c r="N7514" t="n">
        <v>0</v>
      </c>
      <c r="O7514" t="n">
        <v>0</v>
      </c>
      <c r="P7514" t="n">
        <v>0</v>
      </c>
      <c r="Q7514" t="n">
        <v>0</v>
      </c>
      <c r="R7514" s="2" t="inlineStr"/>
    </row>
    <row r="7515" ht="15" customHeight="1">
      <c r="A7515" t="inlineStr">
        <is>
          <t>A 73893-2021</t>
        </is>
      </c>
      <c r="B7515" s="1" t="n">
        <v>44552</v>
      </c>
      <c r="C7515" s="1" t="n">
        <v>46075</v>
      </c>
      <c r="D7515" t="inlineStr">
        <is>
          <t>VÄSTERBOTTENS LÄN</t>
        </is>
      </c>
      <c r="E7515" t="inlineStr">
        <is>
          <t>VINDELN</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56284-2025</t>
        </is>
      </c>
      <c r="B7516" s="1" t="n">
        <v>45974.59427083333</v>
      </c>
      <c r="C7516" s="1" t="n">
        <v>46075</v>
      </c>
      <c r="D7516" t="inlineStr">
        <is>
          <t>VÄSTERBOTTENS LÄN</t>
        </is>
      </c>
      <c r="E7516" t="inlineStr">
        <is>
          <t>SKELLEFTEÅ</t>
        </is>
      </c>
      <c r="G7516" t="n">
        <v>5.4</v>
      </c>
      <c r="H7516" t="n">
        <v>0</v>
      </c>
      <c r="I7516" t="n">
        <v>0</v>
      </c>
      <c r="J7516" t="n">
        <v>0</v>
      </c>
      <c r="K7516" t="n">
        <v>0</v>
      </c>
      <c r="L7516" t="n">
        <v>0</v>
      </c>
      <c r="M7516" t="n">
        <v>0</v>
      </c>
      <c r="N7516" t="n">
        <v>0</v>
      </c>
      <c r="O7516" t="n">
        <v>0</v>
      </c>
      <c r="P7516" t="n">
        <v>0</v>
      </c>
      <c r="Q7516" t="n">
        <v>0</v>
      </c>
      <c r="R7516" s="2" t="inlineStr"/>
    </row>
    <row r="7517" ht="15" customHeight="1">
      <c r="A7517" t="inlineStr">
        <is>
          <t>A 16708-2025</t>
        </is>
      </c>
      <c r="B7517" s="1" t="n">
        <v>45751</v>
      </c>
      <c r="C7517" s="1" t="n">
        <v>46075</v>
      </c>
      <c r="D7517" t="inlineStr">
        <is>
          <t>VÄSTERBOTTENS LÄN</t>
        </is>
      </c>
      <c r="E7517" t="inlineStr">
        <is>
          <t>SKELLEFTEÅ</t>
        </is>
      </c>
      <c r="G7517" t="n">
        <v>2.3</v>
      </c>
      <c r="H7517" t="n">
        <v>0</v>
      </c>
      <c r="I7517" t="n">
        <v>0</v>
      </c>
      <c r="J7517" t="n">
        <v>0</v>
      </c>
      <c r="K7517" t="n">
        <v>0</v>
      </c>
      <c r="L7517" t="n">
        <v>0</v>
      </c>
      <c r="M7517" t="n">
        <v>0</v>
      </c>
      <c r="N7517" t="n">
        <v>0</v>
      </c>
      <c r="O7517" t="n">
        <v>0</v>
      </c>
      <c r="P7517" t="n">
        <v>0</v>
      </c>
      <c r="Q7517" t="n">
        <v>0</v>
      </c>
      <c r="R7517" s="2" t="inlineStr"/>
    </row>
    <row r="7518" ht="15" customHeight="1">
      <c r="A7518" t="inlineStr">
        <is>
          <t>A 16720-2025</t>
        </is>
      </c>
      <c r="B7518" s="1" t="n">
        <v>45754.49039351852</v>
      </c>
      <c r="C7518" s="1" t="n">
        <v>46075</v>
      </c>
      <c r="D7518" t="inlineStr">
        <is>
          <t>VÄSTERBOTTENS LÄN</t>
        </is>
      </c>
      <c r="E7518" t="inlineStr">
        <is>
          <t>VILHELMINA</t>
        </is>
      </c>
      <c r="F7518" t="inlineStr">
        <is>
          <t>SCA</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32462-2023</t>
        </is>
      </c>
      <c r="B7519" s="1" t="n">
        <v>45120.92637731481</v>
      </c>
      <c r="C7519" s="1" t="n">
        <v>46075</v>
      </c>
      <c r="D7519" t="inlineStr">
        <is>
          <t>VÄSTERBOTTENS LÄN</t>
        </is>
      </c>
      <c r="E7519" t="inlineStr">
        <is>
          <t>UMEÅ</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12723-2025</t>
        </is>
      </c>
      <c r="B7520" s="1" t="n">
        <v>45733.49011574074</v>
      </c>
      <c r="C7520" s="1" t="n">
        <v>46075</v>
      </c>
      <c r="D7520" t="inlineStr">
        <is>
          <t>VÄSTERBOTTENS LÄN</t>
        </is>
      </c>
      <c r="E7520" t="inlineStr">
        <is>
          <t>UMEÅ</t>
        </is>
      </c>
      <c r="G7520" t="n">
        <v>5.3</v>
      </c>
      <c r="H7520" t="n">
        <v>0</v>
      </c>
      <c r="I7520" t="n">
        <v>0</v>
      </c>
      <c r="J7520" t="n">
        <v>0</v>
      </c>
      <c r="K7520" t="n">
        <v>0</v>
      </c>
      <c r="L7520" t="n">
        <v>0</v>
      </c>
      <c r="M7520" t="n">
        <v>0</v>
      </c>
      <c r="N7520" t="n">
        <v>0</v>
      </c>
      <c r="O7520" t="n">
        <v>0</v>
      </c>
      <c r="P7520" t="n">
        <v>0</v>
      </c>
      <c r="Q7520" t="n">
        <v>0</v>
      </c>
      <c r="R7520" s="2" t="inlineStr"/>
    </row>
    <row r="7521" ht="15" customHeight="1">
      <c r="A7521" t="inlineStr">
        <is>
          <t>A 57189-2025</t>
        </is>
      </c>
      <c r="B7521" s="1" t="n">
        <v>45979.57579861111</v>
      </c>
      <c r="C7521" s="1" t="n">
        <v>46075</v>
      </c>
      <c r="D7521" t="inlineStr">
        <is>
          <t>VÄSTERBOTTENS LÄN</t>
        </is>
      </c>
      <c r="E7521" t="inlineStr">
        <is>
          <t>LYCKSELE</t>
        </is>
      </c>
      <c r="F7521" t="inlineStr">
        <is>
          <t>Sveaskog</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56993-2025</t>
        </is>
      </c>
      <c r="B7522" s="1" t="n">
        <v>45977</v>
      </c>
      <c r="C7522" s="1" t="n">
        <v>46075</v>
      </c>
      <c r="D7522" t="inlineStr">
        <is>
          <t>VÄSTERBOTTENS LÄN</t>
        </is>
      </c>
      <c r="E7522" t="inlineStr">
        <is>
          <t>SKELLEFTEÅ</t>
        </is>
      </c>
      <c r="G7522" t="n">
        <v>5.3</v>
      </c>
      <c r="H7522" t="n">
        <v>0</v>
      </c>
      <c r="I7522" t="n">
        <v>0</v>
      </c>
      <c r="J7522" t="n">
        <v>0</v>
      </c>
      <c r="K7522" t="n">
        <v>0</v>
      </c>
      <c r="L7522" t="n">
        <v>0</v>
      </c>
      <c r="M7522" t="n">
        <v>0</v>
      </c>
      <c r="N7522" t="n">
        <v>0</v>
      </c>
      <c r="O7522" t="n">
        <v>0</v>
      </c>
      <c r="P7522" t="n">
        <v>0</v>
      </c>
      <c r="Q7522" t="n">
        <v>0</v>
      </c>
      <c r="R7522" s="2" t="inlineStr"/>
    </row>
    <row r="7523" ht="15" customHeight="1">
      <c r="A7523" t="inlineStr">
        <is>
          <t>A 56709-2025</t>
        </is>
      </c>
      <c r="B7523" s="1" t="n">
        <v>45977.77412037037</v>
      </c>
      <c r="C7523" s="1" t="n">
        <v>46075</v>
      </c>
      <c r="D7523" t="inlineStr">
        <is>
          <t>VÄSTERBOTTENS LÄN</t>
        </is>
      </c>
      <c r="E7523" t="inlineStr">
        <is>
          <t>SKELLEFTEÅ</t>
        </is>
      </c>
      <c r="G7523" t="n">
        <v>10.3</v>
      </c>
      <c r="H7523" t="n">
        <v>0</v>
      </c>
      <c r="I7523" t="n">
        <v>0</v>
      </c>
      <c r="J7523" t="n">
        <v>0</v>
      </c>
      <c r="K7523" t="n">
        <v>0</v>
      </c>
      <c r="L7523" t="n">
        <v>0</v>
      </c>
      <c r="M7523" t="n">
        <v>0</v>
      </c>
      <c r="N7523" t="n">
        <v>0</v>
      </c>
      <c r="O7523" t="n">
        <v>0</v>
      </c>
      <c r="P7523" t="n">
        <v>0</v>
      </c>
      <c r="Q7523" t="n">
        <v>0</v>
      </c>
      <c r="R7523" s="2" t="inlineStr"/>
    </row>
    <row r="7524" ht="15" customHeight="1">
      <c r="A7524" t="inlineStr">
        <is>
          <t>A 56943-2025</t>
        </is>
      </c>
      <c r="B7524" s="1" t="n">
        <v>45978</v>
      </c>
      <c r="C7524" s="1" t="n">
        <v>46075</v>
      </c>
      <c r="D7524" t="inlineStr">
        <is>
          <t>VÄSTERBOTTENS LÄN</t>
        </is>
      </c>
      <c r="E7524" t="inlineStr">
        <is>
          <t>DOROTEA</t>
        </is>
      </c>
      <c r="G7524" t="n">
        <v>5</v>
      </c>
      <c r="H7524" t="n">
        <v>0</v>
      </c>
      <c r="I7524" t="n">
        <v>0</v>
      </c>
      <c r="J7524" t="n">
        <v>0</v>
      </c>
      <c r="K7524" t="n">
        <v>0</v>
      </c>
      <c r="L7524" t="n">
        <v>0</v>
      </c>
      <c r="M7524" t="n">
        <v>0</v>
      </c>
      <c r="N7524" t="n">
        <v>0</v>
      </c>
      <c r="O7524" t="n">
        <v>0</v>
      </c>
      <c r="P7524" t="n">
        <v>0</v>
      </c>
      <c r="Q7524" t="n">
        <v>0</v>
      </c>
      <c r="R7524" s="2" t="inlineStr"/>
    </row>
    <row r="7525" ht="15" customHeight="1">
      <c r="A7525" t="inlineStr">
        <is>
          <t>A 57034-2025</t>
        </is>
      </c>
      <c r="B7525" s="1" t="n">
        <v>45979.34461805555</v>
      </c>
      <c r="C7525" s="1" t="n">
        <v>46075</v>
      </c>
      <c r="D7525" t="inlineStr">
        <is>
          <t>VÄSTERBOTTENS LÄN</t>
        </is>
      </c>
      <c r="E7525" t="inlineStr">
        <is>
          <t>DOROTEA</t>
        </is>
      </c>
      <c r="F7525" t="inlineStr">
        <is>
          <t>SCA</t>
        </is>
      </c>
      <c r="G7525" t="n">
        <v>7</v>
      </c>
      <c r="H7525" t="n">
        <v>0</v>
      </c>
      <c r="I7525" t="n">
        <v>0</v>
      </c>
      <c r="J7525" t="n">
        <v>0</v>
      </c>
      <c r="K7525" t="n">
        <v>0</v>
      </c>
      <c r="L7525" t="n">
        <v>0</v>
      </c>
      <c r="M7525" t="n">
        <v>0</v>
      </c>
      <c r="N7525" t="n">
        <v>0</v>
      </c>
      <c r="O7525" t="n">
        <v>0</v>
      </c>
      <c r="P7525" t="n">
        <v>0</v>
      </c>
      <c r="Q7525" t="n">
        <v>0</v>
      </c>
      <c r="R7525" s="2" t="inlineStr"/>
    </row>
    <row r="7526" ht="15" customHeight="1">
      <c r="A7526" t="inlineStr">
        <is>
          <t>A 3830-2025</t>
        </is>
      </c>
      <c r="B7526" s="1" t="n">
        <v>45681.84473379629</v>
      </c>
      <c r="C7526" s="1" t="n">
        <v>46075</v>
      </c>
      <c r="D7526" t="inlineStr">
        <is>
          <t>VÄSTERBOTTENS LÄN</t>
        </is>
      </c>
      <c r="E7526" t="inlineStr">
        <is>
          <t>UMEÅ</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3843-2025</t>
        </is>
      </c>
      <c r="B7527" s="1" t="n">
        <v>45683.66033564815</v>
      </c>
      <c r="C7527" s="1" t="n">
        <v>46075</v>
      </c>
      <c r="D7527" t="inlineStr">
        <is>
          <t>VÄSTERBOTTENS LÄN</t>
        </is>
      </c>
      <c r="E7527" t="inlineStr">
        <is>
          <t>SKELLEFTEÅ</t>
        </is>
      </c>
      <c r="G7527" t="n">
        <v>4.7</v>
      </c>
      <c r="H7527" t="n">
        <v>0</v>
      </c>
      <c r="I7527" t="n">
        <v>0</v>
      </c>
      <c r="J7527" t="n">
        <v>0</v>
      </c>
      <c r="K7527" t="n">
        <v>0</v>
      </c>
      <c r="L7527" t="n">
        <v>0</v>
      </c>
      <c r="M7527" t="n">
        <v>0</v>
      </c>
      <c r="N7527" t="n">
        <v>0</v>
      </c>
      <c r="O7527" t="n">
        <v>0</v>
      </c>
      <c r="P7527" t="n">
        <v>0</v>
      </c>
      <c r="Q7527" t="n">
        <v>0</v>
      </c>
      <c r="R7527" s="2" t="inlineStr"/>
    </row>
    <row r="7528" ht="15" customHeight="1">
      <c r="A7528" t="inlineStr">
        <is>
          <t>A 56831-2025</t>
        </is>
      </c>
      <c r="B7528" s="1" t="n">
        <v>45978.46716435185</v>
      </c>
      <c r="C7528" s="1" t="n">
        <v>46075</v>
      </c>
      <c r="D7528" t="inlineStr">
        <is>
          <t>VÄSTERBOTTENS LÄN</t>
        </is>
      </c>
      <c r="E7528" t="inlineStr">
        <is>
          <t>VÄNNÄS</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56627-2024</t>
        </is>
      </c>
      <c r="B7529" s="1" t="n">
        <v>45625</v>
      </c>
      <c r="C7529" s="1" t="n">
        <v>46075</v>
      </c>
      <c r="D7529" t="inlineStr">
        <is>
          <t>VÄSTERBOTTENS LÄN</t>
        </is>
      </c>
      <c r="E7529" t="inlineStr">
        <is>
          <t>VILHELMINA</t>
        </is>
      </c>
      <c r="F7529" t="inlineStr">
        <is>
          <t>Allmännings- och besparingsskogar</t>
        </is>
      </c>
      <c r="G7529" t="n">
        <v>21.5</v>
      </c>
      <c r="H7529" t="n">
        <v>0</v>
      </c>
      <c r="I7529" t="n">
        <v>0</v>
      </c>
      <c r="J7529" t="n">
        <v>0</v>
      </c>
      <c r="K7529" t="n">
        <v>0</v>
      </c>
      <c r="L7529" t="n">
        <v>0</v>
      </c>
      <c r="M7529" t="n">
        <v>0</v>
      </c>
      <c r="N7529" t="n">
        <v>0</v>
      </c>
      <c r="O7529" t="n">
        <v>0</v>
      </c>
      <c r="P7529" t="n">
        <v>0</v>
      </c>
      <c r="Q7529" t="n">
        <v>0</v>
      </c>
      <c r="R7529" s="2" t="inlineStr"/>
    </row>
    <row r="7530" ht="15" customHeight="1">
      <c r="A7530" t="inlineStr">
        <is>
          <t>A 56707-2025</t>
        </is>
      </c>
      <c r="B7530" s="1" t="n">
        <v>45977.6983912037</v>
      </c>
      <c r="C7530" s="1" t="n">
        <v>46075</v>
      </c>
      <c r="D7530" t="inlineStr">
        <is>
          <t>VÄSTERBOTTENS LÄN</t>
        </is>
      </c>
      <c r="E7530" t="inlineStr">
        <is>
          <t>DOROTEA</t>
        </is>
      </c>
      <c r="F7530" t="inlineStr">
        <is>
          <t>SCA</t>
        </is>
      </c>
      <c r="G7530" t="n">
        <v>4.5</v>
      </c>
      <c r="H7530" t="n">
        <v>0</v>
      </c>
      <c r="I7530" t="n">
        <v>0</v>
      </c>
      <c r="J7530" t="n">
        <v>0</v>
      </c>
      <c r="K7530" t="n">
        <v>0</v>
      </c>
      <c r="L7530" t="n">
        <v>0</v>
      </c>
      <c r="M7530" t="n">
        <v>0</v>
      </c>
      <c r="N7530" t="n">
        <v>0</v>
      </c>
      <c r="O7530" t="n">
        <v>0</v>
      </c>
      <c r="P7530" t="n">
        <v>0</v>
      </c>
      <c r="Q7530" t="n">
        <v>0</v>
      </c>
      <c r="R7530" s="2" t="inlineStr"/>
    </row>
    <row r="7531" ht="15" customHeight="1">
      <c r="A7531" t="inlineStr">
        <is>
          <t>A 57180-2025</t>
        </is>
      </c>
      <c r="B7531" s="1" t="n">
        <v>45979.56042824074</v>
      </c>
      <c r="C7531" s="1" t="n">
        <v>46075</v>
      </c>
      <c r="D7531" t="inlineStr">
        <is>
          <t>VÄSTERBOTTENS LÄN</t>
        </is>
      </c>
      <c r="E7531" t="inlineStr">
        <is>
          <t>SKELLEFTEÅ</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57215-2025</t>
        </is>
      </c>
      <c r="B7532" s="1" t="n">
        <v>45979.60740740741</v>
      </c>
      <c r="C7532" s="1" t="n">
        <v>46075</v>
      </c>
      <c r="D7532" t="inlineStr">
        <is>
          <t>VÄSTERBOTTENS LÄN</t>
        </is>
      </c>
      <c r="E7532" t="inlineStr">
        <is>
          <t>BJURHOLM</t>
        </is>
      </c>
      <c r="F7532" t="inlineStr">
        <is>
          <t>Sveaskog</t>
        </is>
      </c>
      <c r="G7532" t="n">
        <v>5.8</v>
      </c>
      <c r="H7532" t="n">
        <v>0</v>
      </c>
      <c r="I7532" t="n">
        <v>0</v>
      </c>
      <c r="J7532" t="n">
        <v>0</v>
      </c>
      <c r="K7532" t="n">
        <v>0</v>
      </c>
      <c r="L7532" t="n">
        <v>0</v>
      </c>
      <c r="M7532" t="n">
        <v>0</v>
      </c>
      <c r="N7532" t="n">
        <v>0</v>
      </c>
      <c r="O7532" t="n">
        <v>0</v>
      </c>
      <c r="P7532" t="n">
        <v>0</v>
      </c>
      <c r="Q7532" t="n">
        <v>0</v>
      </c>
      <c r="R7532" s="2" t="inlineStr"/>
    </row>
    <row r="7533" ht="15" customHeight="1">
      <c r="A7533" t="inlineStr">
        <is>
          <t>A 36379-2024</t>
        </is>
      </c>
      <c r="B7533" s="1" t="n">
        <v>45534.6965162037</v>
      </c>
      <c r="C7533" s="1" t="n">
        <v>46075</v>
      </c>
      <c r="D7533" t="inlineStr">
        <is>
          <t>VÄSTERBOTTENS LÄN</t>
        </is>
      </c>
      <c r="E7533" t="inlineStr">
        <is>
          <t>SKELLEFTEÅ</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45406-2024</t>
        </is>
      </c>
      <c r="B7534" s="1" t="n">
        <v>45576.58394675926</v>
      </c>
      <c r="C7534" s="1" t="n">
        <v>46075</v>
      </c>
      <c r="D7534" t="inlineStr">
        <is>
          <t>VÄSTERBOTTENS LÄN</t>
        </is>
      </c>
      <c r="E7534" t="inlineStr">
        <is>
          <t>LYCKSELE</t>
        </is>
      </c>
      <c r="F7534" t="inlineStr">
        <is>
          <t>Naturvårdsverket</t>
        </is>
      </c>
      <c r="G7534" t="n">
        <v>6</v>
      </c>
      <c r="H7534" t="n">
        <v>0</v>
      </c>
      <c r="I7534" t="n">
        <v>0</v>
      </c>
      <c r="J7534" t="n">
        <v>0</v>
      </c>
      <c r="K7534" t="n">
        <v>0</v>
      </c>
      <c r="L7534" t="n">
        <v>0</v>
      </c>
      <c r="M7534" t="n">
        <v>0</v>
      </c>
      <c r="N7534" t="n">
        <v>0</v>
      </c>
      <c r="O7534" t="n">
        <v>0</v>
      </c>
      <c r="P7534" t="n">
        <v>0</v>
      </c>
      <c r="Q7534" t="n">
        <v>0</v>
      </c>
      <c r="R7534" s="2" t="inlineStr"/>
    </row>
    <row r="7535" ht="15" customHeight="1">
      <c r="A7535" t="inlineStr">
        <is>
          <t>A 22618-2022</t>
        </is>
      </c>
      <c r="B7535" s="1" t="n">
        <v>44714</v>
      </c>
      <c r="C7535" s="1" t="n">
        <v>46075</v>
      </c>
      <c r="D7535" t="inlineStr">
        <is>
          <t>VÄSTERBOTTENS LÄN</t>
        </is>
      </c>
      <c r="E7535" t="inlineStr">
        <is>
          <t>SKELLEFTEÅ</t>
        </is>
      </c>
      <c r="G7535" t="n">
        <v>5.1</v>
      </c>
      <c r="H7535" t="n">
        <v>0</v>
      </c>
      <c r="I7535" t="n">
        <v>0</v>
      </c>
      <c r="J7535" t="n">
        <v>0</v>
      </c>
      <c r="K7535" t="n">
        <v>0</v>
      </c>
      <c r="L7535" t="n">
        <v>0</v>
      </c>
      <c r="M7535" t="n">
        <v>0</v>
      </c>
      <c r="N7535" t="n">
        <v>0</v>
      </c>
      <c r="O7535" t="n">
        <v>0</v>
      </c>
      <c r="P7535" t="n">
        <v>0</v>
      </c>
      <c r="Q7535" t="n">
        <v>0</v>
      </c>
      <c r="R7535" s="2" t="inlineStr"/>
    </row>
    <row r="7536" ht="15" customHeight="1">
      <c r="A7536" t="inlineStr">
        <is>
          <t>A 45418-2024</t>
        </is>
      </c>
      <c r="B7536" s="1" t="n">
        <v>45576.59891203704</v>
      </c>
      <c r="C7536" s="1" t="n">
        <v>46075</v>
      </c>
      <c r="D7536" t="inlineStr">
        <is>
          <t>VÄSTERBOTTENS LÄN</t>
        </is>
      </c>
      <c r="E7536" t="inlineStr">
        <is>
          <t>SKELLEFTEÅ</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57234-2025</t>
        </is>
      </c>
      <c r="B7537" s="1" t="n">
        <v>45979.6216087963</v>
      </c>
      <c r="C7537" s="1" t="n">
        <v>46075</v>
      </c>
      <c r="D7537" t="inlineStr">
        <is>
          <t>VÄSTERBOTTENS LÄN</t>
        </is>
      </c>
      <c r="E7537" t="inlineStr">
        <is>
          <t>SKELLEFTEÅ</t>
        </is>
      </c>
      <c r="G7537" t="n">
        <v>1.7</v>
      </c>
      <c r="H7537" t="n">
        <v>0</v>
      </c>
      <c r="I7537" t="n">
        <v>0</v>
      </c>
      <c r="J7537" t="n">
        <v>0</v>
      </c>
      <c r="K7537" t="n">
        <v>0</v>
      </c>
      <c r="L7537" t="n">
        <v>0</v>
      </c>
      <c r="M7537" t="n">
        <v>0</v>
      </c>
      <c r="N7537" t="n">
        <v>0</v>
      </c>
      <c r="O7537" t="n">
        <v>0</v>
      </c>
      <c r="P7537" t="n">
        <v>0</v>
      </c>
      <c r="Q7537" t="n">
        <v>0</v>
      </c>
      <c r="R7537" s="2" t="inlineStr"/>
    </row>
    <row r="7538" ht="15" customHeight="1">
      <c r="A7538" t="inlineStr">
        <is>
          <t>A 57238-2025</t>
        </is>
      </c>
      <c r="B7538" s="1" t="n">
        <v>45979</v>
      </c>
      <c r="C7538" s="1" t="n">
        <v>46075</v>
      </c>
      <c r="D7538" t="inlineStr">
        <is>
          <t>VÄSTERBOTTENS LÄN</t>
        </is>
      </c>
      <c r="E7538" t="inlineStr">
        <is>
          <t>LYCKSELE</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57243-2025</t>
        </is>
      </c>
      <c r="B7539" s="1" t="n">
        <v>45979</v>
      </c>
      <c r="C7539" s="1" t="n">
        <v>46075</v>
      </c>
      <c r="D7539" t="inlineStr">
        <is>
          <t>VÄSTERBOTTENS LÄN</t>
        </is>
      </c>
      <c r="E7539" t="inlineStr">
        <is>
          <t>LYCKSELE</t>
        </is>
      </c>
      <c r="G7539" t="n">
        <v>2.1</v>
      </c>
      <c r="H7539" t="n">
        <v>0</v>
      </c>
      <c r="I7539" t="n">
        <v>0</v>
      </c>
      <c r="J7539" t="n">
        <v>0</v>
      </c>
      <c r="K7539" t="n">
        <v>0</v>
      </c>
      <c r="L7539" t="n">
        <v>0</v>
      </c>
      <c r="M7539" t="n">
        <v>0</v>
      </c>
      <c r="N7539" t="n">
        <v>0</v>
      </c>
      <c r="O7539" t="n">
        <v>0</v>
      </c>
      <c r="P7539" t="n">
        <v>0</v>
      </c>
      <c r="Q7539" t="n">
        <v>0</v>
      </c>
      <c r="R7539" s="2" t="inlineStr"/>
    </row>
    <row r="7540" ht="15" customHeight="1">
      <c r="A7540" t="inlineStr">
        <is>
          <t>A 57222-2025</t>
        </is>
      </c>
      <c r="B7540" s="1" t="n">
        <v>45979.61474537037</v>
      </c>
      <c r="C7540" s="1" t="n">
        <v>46075</v>
      </c>
      <c r="D7540" t="inlineStr">
        <is>
          <t>VÄSTERBOTTENS LÄN</t>
        </is>
      </c>
      <c r="E7540" t="inlineStr">
        <is>
          <t>SKELLEFTEÅ</t>
        </is>
      </c>
      <c r="G7540" t="n">
        <v>2.4</v>
      </c>
      <c r="H7540" t="n">
        <v>0</v>
      </c>
      <c r="I7540" t="n">
        <v>0</v>
      </c>
      <c r="J7540" t="n">
        <v>0</v>
      </c>
      <c r="K7540" t="n">
        <v>0</v>
      </c>
      <c r="L7540" t="n">
        <v>0</v>
      </c>
      <c r="M7540" t="n">
        <v>0</v>
      </c>
      <c r="N7540" t="n">
        <v>0</v>
      </c>
      <c r="O7540" t="n">
        <v>0</v>
      </c>
      <c r="P7540" t="n">
        <v>0</v>
      </c>
      <c r="Q7540" t="n">
        <v>0</v>
      </c>
      <c r="R7540" s="2" t="inlineStr"/>
    </row>
    <row r="7541" ht="15" customHeight="1">
      <c r="A7541" t="inlineStr">
        <is>
          <t>A 57063-2025</t>
        </is>
      </c>
      <c r="B7541" s="1" t="n">
        <v>45979.38047453704</v>
      </c>
      <c r="C7541" s="1" t="n">
        <v>46075</v>
      </c>
      <c r="D7541" t="inlineStr">
        <is>
          <t>VÄSTERBOTTENS LÄN</t>
        </is>
      </c>
      <c r="E7541" t="inlineStr">
        <is>
          <t>VINDELN</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56840-2025</t>
        </is>
      </c>
      <c r="B7542" s="1" t="n">
        <v>45978.48197916667</v>
      </c>
      <c r="C7542" s="1" t="n">
        <v>46075</v>
      </c>
      <c r="D7542" t="inlineStr">
        <is>
          <t>VÄSTERBOTTENS LÄN</t>
        </is>
      </c>
      <c r="E7542" t="inlineStr">
        <is>
          <t>VINDELN</t>
        </is>
      </c>
      <c r="F7542" t="inlineStr">
        <is>
          <t>Holmen skog AB</t>
        </is>
      </c>
      <c r="G7542" t="n">
        <v>5.3</v>
      </c>
      <c r="H7542" t="n">
        <v>0</v>
      </c>
      <c r="I7542" t="n">
        <v>0</v>
      </c>
      <c r="J7542" t="n">
        <v>0</v>
      </c>
      <c r="K7542" t="n">
        <v>0</v>
      </c>
      <c r="L7542" t="n">
        <v>0</v>
      </c>
      <c r="M7542" t="n">
        <v>0</v>
      </c>
      <c r="N7542" t="n">
        <v>0</v>
      </c>
      <c r="O7542" t="n">
        <v>0</v>
      </c>
      <c r="P7542" t="n">
        <v>0</v>
      </c>
      <c r="Q7542" t="n">
        <v>0</v>
      </c>
      <c r="R7542" s="2" t="inlineStr"/>
    </row>
    <row r="7543" ht="15" customHeight="1">
      <c r="A7543" t="inlineStr">
        <is>
          <t>A 56883-2025</t>
        </is>
      </c>
      <c r="B7543" s="1" t="n">
        <v>45978.55603009259</v>
      </c>
      <c r="C7543" s="1" t="n">
        <v>46075</v>
      </c>
      <c r="D7543" t="inlineStr">
        <is>
          <t>VÄSTERBOTTENS LÄN</t>
        </is>
      </c>
      <c r="E7543" t="inlineStr">
        <is>
          <t>SKELLEFTEÅ</t>
        </is>
      </c>
      <c r="F7543" t="inlineStr">
        <is>
          <t>Holmen skog AB</t>
        </is>
      </c>
      <c r="G7543" t="n">
        <v>8.1</v>
      </c>
      <c r="H7543" t="n">
        <v>0</v>
      </c>
      <c r="I7543" t="n">
        <v>0</v>
      </c>
      <c r="J7543" t="n">
        <v>0</v>
      </c>
      <c r="K7543" t="n">
        <v>0</v>
      </c>
      <c r="L7543" t="n">
        <v>0</v>
      </c>
      <c r="M7543" t="n">
        <v>0</v>
      </c>
      <c r="N7543" t="n">
        <v>0</v>
      </c>
      <c r="O7543" t="n">
        <v>0</v>
      </c>
      <c r="P7543" t="n">
        <v>0</v>
      </c>
      <c r="Q7543" t="n">
        <v>0</v>
      </c>
      <c r="R7543" s="2" t="inlineStr"/>
    </row>
    <row r="7544" ht="15" customHeight="1">
      <c r="A7544" t="inlineStr">
        <is>
          <t>A 44385-2024</t>
        </is>
      </c>
      <c r="B7544" s="1" t="n">
        <v>45573.68590277778</v>
      </c>
      <c r="C7544" s="1" t="n">
        <v>46075</v>
      </c>
      <c r="D7544" t="inlineStr">
        <is>
          <t>VÄSTERBOTTENS LÄN</t>
        </is>
      </c>
      <c r="E7544" t="inlineStr">
        <is>
          <t>LYCKSELE</t>
        </is>
      </c>
      <c r="G7544" t="n">
        <v>8</v>
      </c>
      <c r="H7544" t="n">
        <v>0</v>
      </c>
      <c r="I7544" t="n">
        <v>0</v>
      </c>
      <c r="J7544" t="n">
        <v>0</v>
      </c>
      <c r="K7544" t="n">
        <v>0</v>
      </c>
      <c r="L7544" t="n">
        <v>0</v>
      </c>
      <c r="M7544" t="n">
        <v>0</v>
      </c>
      <c r="N7544" t="n">
        <v>0</v>
      </c>
      <c r="O7544" t="n">
        <v>0</v>
      </c>
      <c r="P7544" t="n">
        <v>0</v>
      </c>
      <c r="Q7544" t="n">
        <v>0</v>
      </c>
      <c r="R7544" s="2" t="inlineStr"/>
    </row>
    <row r="7545" ht="15" customHeight="1">
      <c r="A7545" t="inlineStr">
        <is>
          <t>A 57193-2025</t>
        </is>
      </c>
      <c r="B7545" s="1" t="n">
        <v>45979.5778125</v>
      </c>
      <c r="C7545" s="1" t="n">
        <v>46075</v>
      </c>
      <c r="D7545" t="inlineStr">
        <is>
          <t>VÄSTERBOTTENS LÄN</t>
        </is>
      </c>
      <c r="E7545" t="inlineStr">
        <is>
          <t>VINDELN</t>
        </is>
      </c>
      <c r="F7545" t="inlineStr">
        <is>
          <t>Sveaskog</t>
        </is>
      </c>
      <c r="G7545" t="n">
        <v>11.3</v>
      </c>
      <c r="H7545" t="n">
        <v>0</v>
      </c>
      <c r="I7545" t="n">
        <v>0</v>
      </c>
      <c r="J7545" t="n">
        <v>0</v>
      </c>
      <c r="K7545" t="n">
        <v>0</v>
      </c>
      <c r="L7545" t="n">
        <v>0</v>
      </c>
      <c r="M7545" t="n">
        <v>0</v>
      </c>
      <c r="N7545" t="n">
        <v>0</v>
      </c>
      <c r="O7545" t="n">
        <v>0</v>
      </c>
      <c r="P7545" t="n">
        <v>0</v>
      </c>
      <c r="Q7545" t="n">
        <v>0</v>
      </c>
      <c r="R7545" s="2" t="inlineStr"/>
    </row>
    <row r="7546" ht="15" customHeight="1">
      <c r="A7546" t="inlineStr">
        <is>
          <t>A 57197-2025</t>
        </is>
      </c>
      <c r="B7546" s="1" t="n">
        <v>45979.58075231482</v>
      </c>
      <c r="C7546" s="1" t="n">
        <v>46075</v>
      </c>
      <c r="D7546" t="inlineStr">
        <is>
          <t>VÄSTERBOTTENS LÄN</t>
        </is>
      </c>
      <c r="E7546" t="inlineStr">
        <is>
          <t>LYCKSELE</t>
        </is>
      </c>
      <c r="F7546" t="inlineStr">
        <is>
          <t>Sveaskog</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55512-2023</t>
        </is>
      </c>
      <c r="B7547" s="1" t="n">
        <v>45232</v>
      </c>
      <c r="C7547" s="1" t="n">
        <v>46075</v>
      </c>
      <c r="D7547" t="inlineStr">
        <is>
          <t>VÄSTERBOTTENS LÄN</t>
        </is>
      </c>
      <c r="E7547" t="inlineStr">
        <is>
          <t>BJURHOLM</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57126-2025</t>
        </is>
      </c>
      <c r="B7548" s="1" t="n">
        <v>45979.47136574074</v>
      </c>
      <c r="C7548" s="1" t="n">
        <v>46075</v>
      </c>
      <c r="D7548" t="inlineStr">
        <is>
          <t>VÄSTERBOTTENS LÄN</t>
        </is>
      </c>
      <c r="E7548" t="inlineStr">
        <is>
          <t>SKELLEFTEÅ</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56935-2025</t>
        </is>
      </c>
      <c r="B7549" s="1" t="n">
        <v>45978.61539351852</v>
      </c>
      <c r="C7549" s="1" t="n">
        <v>46075</v>
      </c>
      <c r="D7549" t="inlineStr">
        <is>
          <t>VÄSTERBOTTENS LÄN</t>
        </is>
      </c>
      <c r="E7549" t="inlineStr">
        <is>
          <t>SKELLEFTEÅ</t>
        </is>
      </c>
      <c r="G7549" t="n">
        <v>26.8</v>
      </c>
      <c r="H7549" t="n">
        <v>0</v>
      </c>
      <c r="I7549" t="n">
        <v>0</v>
      </c>
      <c r="J7549" t="n">
        <v>0</v>
      </c>
      <c r="K7549" t="n">
        <v>0</v>
      </c>
      <c r="L7549" t="n">
        <v>0</v>
      </c>
      <c r="M7549" t="n">
        <v>0</v>
      </c>
      <c r="N7549" t="n">
        <v>0</v>
      </c>
      <c r="O7549" t="n">
        <v>0</v>
      </c>
      <c r="P7549" t="n">
        <v>0</v>
      </c>
      <c r="Q7549" t="n">
        <v>0</v>
      </c>
      <c r="R7549" s="2" t="inlineStr"/>
    </row>
    <row r="7550" ht="15" customHeight="1">
      <c r="A7550" t="inlineStr">
        <is>
          <t>A 57926-2023</t>
        </is>
      </c>
      <c r="B7550" s="1" t="n">
        <v>45247.54817129629</v>
      </c>
      <c r="C7550" s="1" t="n">
        <v>46075</v>
      </c>
      <c r="D7550" t="inlineStr">
        <is>
          <t>VÄSTERBOTTENS LÄN</t>
        </is>
      </c>
      <c r="E7550" t="inlineStr">
        <is>
          <t>SKELLEFTEÅ</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57141-2025</t>
        </is>
      </c>
      <c r="B7551" s="1" t="n">
        <v>45979.48398148148</v>
      </c>
      <c r="C7551" s="1" t="n">
        <v>46075</v>
      </c>
      <c r="D7551" t="inlineStr">
        <is>
          <t>VÄSTERBOTTENS LÄN</t>
        </is>
      </c>
      <c r="E7551" t="inlineStr">
        <is>
          <t>SKELLEFTEÅ</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57146-2025</t>
        </is>
      </c>
      <c r="B7552" s="1" t="n">
        <v>45979.49057870371</v>
      </c>
      <c r="C7552" s="1" t="n">
        <v>46075</v>
      </c>
      <c r="D7552" t="inlineStr">
        <is>
          <t>VÄSTERBOTTENS LÄN</t>
        </is>
      </c>
      <c r="E7552" t="inlineStr">
        <is>
          <t>NORDMALING</t>
        </is>
      </c>
      <c r="G7552" t="n">
        <v>7.4</v>
      </c>
      <c r="H7552" t="n">
        <v>0</v>
      </c>
      <c r="I7552" t="n">
        <v>0</v>
      </c>
      <c r="J7552" t="n">
        <v>0</v>
      </c>
      <c r="K7552" t="n">
        <v>0</v>
      </c>
      <c r="L7552" t="n">
        <v>0</v>
      </c>
      <c r="M7552" t="n">
        <v>0</v>
      </c>
      <c r="N7552" t="n">
        <v>0</v>
      </c>
      <c r="O7552" t="n">
        <v>0</v>
      </c>
      <c r="P7552" t="n">
        <v>0</v>
      </c>
      <c r="Q7552" t="n">
        <v>0</v>
      </c>
      <c r="R7552" s="2" t="inlineStr"/>
    </row>
    <row r="7553" ht="15" customHeight="1">
      <c r="A7553" t="inlineStr">
        <is>
          <t>A 57203-2025</t>
        </is>
      </c>
      <c r="B7553" s="1" t="n">
        <v>45979.58972222222</v>
      </c>
      <c r="C7553" s="1" t="n">
        <v>46075</v>
      </c>
      <c r="D7553" t="inlineStr">
        <is>
          <t>VÄSTERBOTTENS LÄN</t>
        </is>
      </c>
      <c r="E7553" t="inlineStr">
        <is>
          <t>VÄNNÄS</t>
        </is>
      </c>
      <c r="F7553" t="inlineStr">
        <is>
          <t>Sveaskog</t>
        </is>
      </c>
      <c r="G7553" t="n">
        <v>20.1</v>
      </c>
      <c r="H7553" t="n">
        <v>0</v>
      </c>
      <c r="I7553" t="n">
        <v>0</v>
      </c>
      <c r="J7553" t="n">
        <v>0</v>
      </c>
      <c r="K7553" t="n">
        <v>0</v>
      </c>
      <c r="L7553" t="n">
        <v>0</v>
      </c>
      <c r="M7553" t="n">
        <v>0</v>
      </c>
      <c r="N7553" t="n">
        <v>0</v>
      </c>
      <c r="O7553" t="n">
        <v>0</v>
      </c>
      <c r="P7553" t="n">
        <v>0</v>
      </c>
      <c r="Q7553" t="n">
        <v>0</v>
      </c>
      <c r="R7553" s="2" t="inlineStr"/>
    </row>
    <row r="7554" ht="15" customHeight="1">
      <c r="A7554" t="inlineStr">
        <is>
          <t>A 43388-2024</t>
        </is>
      </c>
      <c r="B7554" s="1" t="n">
        <v>45568</v>
      </c>
      <c r="C7554" s="1" t="n">
        <v>46075</v>
      </c>
      <c r="D7554" t="inlineStr">
        <is>
          <t>VÄSTERBOTTENS LÄN</t>
        </is>
      </c>
      <c r="E7554" t="inlineStr">
        <is>
          <t>SORSELE</t>
        </is>
      </c>
      <c r="G7554" t="n">
        <v>17</v>
      </c>
      <c r="H7554" t="n">
        <v>0</v>
      </c>
      <c r="I7554" t="n">
        <v>0</v>
      </c>
      <c r="J7554" t="n">
        <v>0</v>
      </c>
      <c r="K7554" t="n">
        <v>0</v>
      </c>
      <c r="L7554" t="n">
        <v>0</v>
      </c>
      <c r="M7554" t="n">
        <v>0</v>
      </c>
      <c r="N7554" t="n">
        <v>0</v>
      </c>
      <c r="O7554" t="n">
        <v>0</v>
      </c>
      <c r="P7554" t="n">
        <v>0</v>
      </c>
      <c r="Q7554" t="n">
        <v>0</v>
      </c>
      <c r="R7554" s="2" t="inlineStr"/>
    </row>
    <row r="7555" ht="15" customHeight="1">
      <c r="A7555" t="inlineStr">
        <is>
          <t>A 36164-2024</t>
        </is>
      </c>
      <c r="B7555" s="1" t="n">
        <v>45534.3956712963</v>
      </c>
      <c r="C7555" s="1" t="n">
        <v>46075</v>
      </c>
      <c r="D7555" t="inlineStr">
        <is>
          <t>VÄSTERBOTTENS LÄN</t>
        </is>
      </c>
      <c r="E7555" t="inlineStr">
        <is>
          <t>ÅSELE</t>
        </is>
      </c>
      <c r="F7555" t="inlineStr">
        <is>
          <t>Sveaskog</t>
        </is>
      </c>
      <c r="G7555" t="n">
        <v>31</v>
      </c>
      <c r="H7555" t="n">
        <v>0</v>
      </c>
      <c r="I7555" t="n">
        <v>0</v>
      </c>
      <c r="J7555" t="n">
        <v>0</v>
      </c>
      <c r="K7555" t="n">
        <v>0</v>
      </c>
      <c r="L7555" t="n">
        <v>0</v>
      </c>
      <c r="M7555" t="n">
        <v>0</v>
      </c>
      <c r="N7555" t="n">
        <v>0</v>
      </c>
      <c r="O7555" t="n">
        <v>0</v>
      </c>
      <c r="P7555" t="n">
        <v>0</v>
      </c>
      <c r="Q7555" t="n">
        <v>0</v>
      </c>
      <c r="R7555" s="2" t="inlineStr"/>
    </row>
    <row r="7556" ht="15" customHeight="1">
      <c r="A7556" t="inlineStr">
        <is>
          <t>A 36168-2024</t>
        </is>
      </c>
      <c r="B7556" s="1" t="n">
        <v>45534.40083333333</v>
      </c>
      <c r="C7556" s="1" t="n">
        <v>46075</v>
      </c>
      <c r="D7556" t="inlineStr">
        <is>
          <t>VÄSTERBOTTENS LÄN</t>
        </is>
      </c>
      <c r="E7556" t="inlineStr">
        <is>
          <t>VINDELN</t>
        </is>
      </c>
      <c r="F7556" t="inlineStr">
        <is>
          <t>Holmen skog AB</t>
        </is>
      </c>
      <c r="G7556" t="n">
        <v>7.9</v>
      </c>
      <c r="H7556" t="n">
        <v>0</v>
      </c>
      <c r="I7556" t="n">
        <v>0</v>
      </c>
      <c r="J7556" t="n">
        <v>0</v>
      </c>
      <c r="K7556" t="n">
        <v>0</v>
      </c>
      <c r="L7556" t="n">
        <v>0</v>
      </c>
      <c r="M7556" t="n">
        <v>0</v>
      </c>
      <c r="N7556" t="n">
        <v>0</v>
      </c>
      <c r="O7556" t="n">
        <v>0</v>
      </c>
      <c r="P7556" t="n">
        <v>0</v>
      </c>
      <c r="Q7556" t="n">
        <v>0</v>
      </c>
      <c r="R7556" s="2" t="inlineStr"/>
    </row>
    <row r="7557" ht="15" customHeight="1">
      <c r="A7557" t="inlineStr">
        <is>
          <t>A 57441-2025</t>
        </is>
      </c>
      <c r="B7557" s="1" t="n">
        <v>45979</v>
      </c>
      <c r="C7557" s="1" t="n">
        <v>46075</v>
      </c>
      <c r="D7557" t="inlineStr">
        <is>
          <t>VÄSTERBOTTENS LÄN</t>
        </is>
      </c>
      <c r="E7557" t="inlineStr">
        <is>
          <t>SKELLEFTEÅ</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56782-2025</t>
        </is>
      </c>
      <c r="B7558" s="1" t="n">
        <v>45978.40677083333</v>
      </c>
      <c r="C7558" s="1" t="n">
        <v>46075</v>
      </c>
      <c r="D7558" t="inlineStr">
        <is>
          <t>VÄSTERBOTTENS LÄN</t>
        </is>
      </c>
      <c r="E7558" t="inlineStr">
        <is>
          <t>DOROTEA</t>
        </is>
      </c>
      <c r="F7558" t="inlineStr">
        <is>
          <t>SCA</t>
        </is>
      </c>
      <c r="G7558" t="n">
        <v>7.7</v>
      </c>
      <c r="H7558" t="n">
        <v>0</v>
      </c>
      <c r="I7558" t="n">
        <v>0</v>
      </c>
      <c r="J7558" t="n">
        <v>0</v>
      </c>
      <c r="K7558" t="n">
        <v>0</v>
      </c>
      <c r="L7558" t="n">
        <v>0</v>
      </c>
      <c r="M7558" t="n">
        <v>0</v>
      </c>
      <c r="N7558" t="n">
        <v>0</v>
      </c>
      <c r="O7558" t="n">
        <v>0</v>
      </c>
      <c r="P7558" t="n">
        <v>0</v>
      </c>
      <c r="Q7558" t="n">
        <v>0</v>
      </c>
      <c r="R7558" s="2" t="inlineStr"/>
    </row>
    <row r="7559" ht="15" customHeight="1">
      <c r="A7559" t="inlineStr">
        <is>
          <t>A 57249-2025</t>
        </is>
      </c>
      <c r="B7559" s="1" t="n">
        <v>45979.63585648148</v>
      </c>
      <c r="C7559" s="1" t="n">
        <v>46075</v>
      </c>
      <c r="D7559" t="inlineStr">
        <is>
          <t>VÄSTERBOTTENS LÄN</t>
        </is>
      </c>
      <c r="E7559" t="inlineStr">
        <is>
          <t>SKELLEFTEÅ</t>
        </is>
      </c>
      <c r="G7559" t="n">
        <v>2.8</v>
      </c>
      <c r="H7559" t="n">
        <v>0</v>
      </c>
      <c r="I7559" t="n">
        <v>0</v>
      </c>
      <c r="J7559" t="n">
        <v>0</v>
      </c>
      <c r="K7559" t="n">
        <v>0</v>
      </c>
      <c r="L7559" t="n">
        <v>0</v>
      </c>
      <c r="M7559" t="n">
        <v>0</v>
      </c>
      <c r="N7559" t="n">
        <v>0</v>
      </c>
      <c r="O7559" t="n">
        <v>0</v>
      </c>
      <c r="P7559" t="n">
        <v>0</v>
      </c>
      <c r="Q7559" t="n">
        <v>0</v>
      </c>
      <c r="R7559" s="2" t="inlineStr"/>
    </row>
    <row r="7560" ht="15" customHeight="1">
      <c r="A7560" t="inlineStr">
        <is>
          <t>A 57229-2025</t>
        </is>
      </c>
      <c r="B7560" s="1" t="n">
        <v>45979.61703703704</v>
      </c>
      <c r="C7560" s="1" t="n">
        <v>46075</v>
      </c>
      <c r="D7560" t="inlineStr">
        <is>
          <t>VÄSTERBOTTENS LÄN</t>
        </is>
      </c>
      <c r="E7560" t="inlineStr">
        <is>
          <t>SORSELE</t>
        </is>
      </c>
      <c r="G7560" t="n">
        <v>4.9</v>
      </c>
      <c r="H7560" t="n">
        <v>0</v>
      </c>
      <c r="I7560" t="n">
        <v>0</v>
      </c>
      <c r="J7560" t="n">
        <v>0</v>
      </c>
      <c r="K7560" t="n">
        <v>0</v>
      </c>
      <c r="L7560" t="n">
        <v>0</v>
      </c>
      <c r="M7560" t="n">
        <v>0</v>
      </c>
      <c r="N7560" t="n">
        <v>0</v>
      </c>
      <c r="O7560" t="n">
        <v>0</v>
      </c>
      <c r="P7560" t="n">
        <v>0</v>
      </c>
      <c r="Q7560" t="n">
        <v>0</v>
      </c>
      <c r="R7560" s="2" t="inlineStr"/>
    </row>
    <row r="7561" ht="15" customHeight="1">
      <c r="A7561" t="inlineStr">
        <is>
          <t>A 57263-2025</t>
        </is>
      </c>
      <c r="B7561" s="1" t="n">
        <v>45979.65953703703</v>
      </c>
      <c r="C7561" s="1" t="n">
        <v>46075</v>
      </c>
      <c r="D7561" t="inlineStr">
        <is>
          <t>VÄSTERBOTTENS LÄN</t>
        </is>
      </c>
      <c r="E7561" t="inlineStr">
        <is>
          <t>BJURHOLM</t>
        </is>
      </c>
      <c r="F7561" t="inlineStr">
        <is>
          <t>Sveaskog</t>
        </is>
      </c>
      <c r="G7561" t="n">
        <v>28.7</v>
      </c>
      <c r="H7561" t="n">
        <v>0</v>
      </c>
      <c r="I7561" t="n">
        <v>0</v>
      </c>
      <c r="J7561" t="n">
        <v>0</v>
      </c>
      <c r="K7561" t="n">
        <v>0</v>
      </c>
      <c r="L7561" t="n">
        <v>0</v>
      </c>
      <c r="M7561" t="n">
        <v>0</v>
      </c>
      <c r="N7561" t="n">
        <v>0</v>
      </c>
      <c r="O7561" t="n">
        <v>0</v>
      </c>
      <c r="P7561" t="n">
        <v>0</v>
      </c>
      <c r="Q7561" t="n">
        <v>0</v>
      </c>
      <c r="R7561" s="2" t="inlineStr"/>
    </row>
    <row r="7562" ht="15" customHeight="1">
      <c r="A7562" t="inlineStr">
        <is>
          <t>A 15002-2022</t>
        </is>
      </c>
      <c r="B7562" s="1" t="n">
        <v>44657</v>
      </c>
      <c r="C7562" s="1" t="n">
        <v>46075</v>
      </c>
      <c r="D7562" t="inlineStr">
        <is>
          <t>VÄSTERBOTTENS LÄN</t>
        </is>
      </c>
      <c r="E7562" t="inlineStr">
        <is>
          <t>SORSELE</t>
        </is>
      </c>
      <c r="G7562" t="n">
        <v>7.1</v>
      </c>
      <c r="H7562" t="n">
        <v>0</v>
      </c>
      <c r="I7562" t="n">
        <v>0</v>
      </c>
      <c r="J7562" t="n">
        <v>0</v>
      </c>
      <c r="K7562" t="n">
        <v>0</v>
      </c>
      <c r="L7562" t="n">
        <v>0</v>
      </c>
      <c r="M7562" t="n">
        <v>0</v>
      </c>
      <c r="N7562" t="n">
        <v>0</v>
      </c>
      <c r="O7562" t="n">
        <v>0</v>
      </c>
      <c r="P7562" t="n">
        <v>0</v>
      </c>
      <c r="Q7562" t="n">
        <v>0</v>
      </c>
      <c r="R7562" s="2" t="inlineStr"/>
    </row>
    <row r="7563" ht="15" customHeight="1">
      <c r="A7563" t="inlineStr">
        <is>
          <t>A 15008-2022</t>
        </is>
      </c>
      <c r="B7563" s="1" t="n">
        <v>44657</v>
      </c>
      <c r="C7563" s="1" t="n">
        <v>46075</v>
      </c>
      <c r="D7563" t="inlineStr">
        <is>
          <t>VÄSTERBOTTENS LÄN</t>
        </is>
      </c>
      <c r="E7563" t="inlineStr">
        <is>
          <t>SORSELE</t>
        </is>
      </c>
      <c r="G7563" t="n">
        <v>8</v>
      </c>
      <c r="H7563" t="n">
        <v>0</v>
      </c>
      <c r="I7563" t="n">
        <v>0</v>
      </c>
      <c r="J7563" t="n">
        <v>0</v>
      </c>
      <c r="K7563" t="n">
        <v>0</v>
      </c>
      <c r="L7563" t="n">
        <v>0</v>
      </c>
      <c r="M7563" t="n">
        <v>0</v>
      </c>
      <c r="N7563" t="n">
        <v>0</v>
      </c>
      <c r="O7563" t="n">
        <v>0</v>
      </c>
      <c r="P7563" t="n">
        <v>0</v>
      </c>
      <c r="Q7563" t="n">
        <v>0</v>
      </c>
      <c r="R7563" s="2" t="inlineStr"/>
    </row>
    <row r="7564" ht="15" customHeight="1">
      <c r="A7564" t="inlineStr">
        <is>
          <t>A 57065-2025</t>
        </is>
      </c>
      <c r="B7564" s="1" t="n">
        <v>45979.38577546296</v>
      </c>
      <c r="C7564" s="1" t="n">
        <v>46075</v>
      </c>
      <c r="D7564" t="inlineStr">
        <is>
          <t>VÄSTERBOTTENS LÄN</t>
        </is>
      </c>
      <c r="E7564" t="inlineStr">
        <is>
          <t>NORDMALING</t>
        </is>
      </c>
      <c r="G7564" t="n">
        <v>6.6</v>
      </c>
      <c r="H7564" t="n">
        <v>0</v>
      </c>
      <c r="I7564" t="n">
        <v>0</v>
      </c>
      <c r="J7564" t="n">
        <v>0</v>
      </c>
      <c r="K7564" t="n">
        <v>0</v>
      </c>
      <c r="L7564" t="n">
        <v>0</v>
      </c>
      <c r="M7564" t="n">
        <v>0</v>
      </c>
      <c r="N7564" t="n">
        <v>0</v>
      </c>
      <c r="O7564" t="n">
        <v>0</v>
      </c>
      <c r="P7564" t="n">
        <v>0</v>
      </c>
      <c r="Q7564" t="n">
        <v>0</v>
      </c>
      <c r="R7564" s="2" t="inlineStr"/>
    </row>
    <row r="7565" ht="15" customHeight="1">
      <c r="A7565" t="inlineStr">
        <is>
          <t>A 57093-2025</t>
        </is>
      </c>
      <c r="B7565" s="1" t="n">
        <v>45979.42771990741</v>
      </c>
      <c r="C7565" s="1" t="n">
        <v>46075</v>
      </c>
      <c r="D7565" t="inlineStr">
        <is>
          <t>VÄSTERBOTTENS LÄN</t>
        </is>
      </c>
      <c r="E7565" t="inlineStr">
        <is>
          <t>NORDMALING</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1348-2023</t>
        </is>
      </c>
      <c r="B7566" s="1" t="n">
        <v>44936</v>
      </c>
      <c r="C7566" s="1" t="n">
        <v>46075</v>
      </c>
      <c r="D7566" t="inlineStr">
        <is>
          <t>VÄSTERBOTTENS LÄN</t>
        </is>
      </c>
      <c r="E7566" t="inlineStr">
        <is>
          <t>ROBERTSFORS</t>
        </is>
      </c>
      <c r="G7566" t="n">
        <v>4.5</v>
      </c>
      <c r="H7566" t="n">
        <v>0</v>
      </c>
      <c r="I7566" t="n">
        <v>0</v>
      </c>
      <c r="J7566" t="n">
        <v>0</v>
      </c>
      <c r="K7566" t="n">
        <v>0</v>
      </c>
      <c r="L7566" t="n">
        <v>0</v>
      </c>
      <c r="M7566" t="n">
        <v>0</v>
      </c>
      <c r="N7566" t="n">
        <v>0</v>
      </c>
      <c r="O7566" t="n">
        <v>0</v>
      </c>
      <c r="P7566" t="n">
        <v>0</v>
      </c>
      <c r="Q7566" t="n">
        <v>0</v>
      </c>
      <c r="R7566" s="2" t="inlineStr"/>
    </row>
    <row r="7567" ht="15" customHeight="1">
      <c r="A7567" t="inlineStr">
        <is>
          <t>A 57235-2025</t>
        </is>
      </c>
      <c r="B7567" s="1" t="n">
        <v>45979.62174768518</v>
      </c>
      <c r="C7567" s="1" t="n">
        <v>46075</v>
      </c>
      <c r="D7567" t="inlineStr">
        <is>
          <t>VÄSTERBOTTENS LÄN</t>
        </is>
      </c>
      <c r="E7567" t="inlineStr">
        <is>
          <t>STORUMAN</t>
        </is>
      </c>
      <c r="F7567" t="inlineStr">
        <is>
          <t>Sveaskog</t>
        </is>
      </c>
      <c r="G7567" t="n">
        <v>22.2</v>
      </c>
      <c r="H7567" t="n">
        <v>0</v>
      </c>
      <c r="I7567" t="n">
        <v>0</v>
      </c>
      <c r="J7567" t="n">
        <v>0</v>
      </c>
      <c r="K7567" t="n">
        <v>0</v>
      </c>
      <c r="L7567" t="n">
        <v>0</v>
      </c>
      <c r="M7567" t="n">
        <v>0</v>
      </c>
      <c r="N7567" t="n">
        <v>0</v>
      </c>
      <c r="O7567" t="n">
        <v>0</v>
      </c>
      <c r="P7567" t="n">
        <v>0</v>
      </c>
      <c r="Q7567" t="n">
        <v>0</v>
      </c>
      <c r="R7567" s="2" t="inlineStr"/>
    </row>
    <row r="7568" ht="15" customHeight="1">
      <c r="A7568" t="inlineStr">
        <is>
          <t>A 56988-2025</t>
        </is>
      </c>
      <c r="B7568" s="1" t="n">
        <v>45977</v>
      </c>
      <c r="C7568" s="1" t="n">
        <v>46075</v>
      </c>
      <c r="D7568" t="inlineStr">
        <is>
          <t>VÄSTERBOTTENS LÄN</t>
        </is>
      </c>
      <c r="E7568" t="inlineStr">
        <is>
          <t>SKELLEFTEÅ</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26980-2024</t>
        </is>
      </c>
      <c r="B7569" s="1" t="n">
        <v>45471</v>
      </c>
      <c r="C7569" s="1" t="n">
        <v>46075</v>
      </c>
      <c r="D7569" t="inlineStr">
        <is>
          <t>VÄSTERBOTTENS LÄN</t>
        </is>
      </c>
      <c r="E7569" t="inlineStr">
        <is>
          <t>ÅSELE</t>
        </is>
      </c>
      <c r="G7569" t="n">
        <v>7.7</v>
      </c>
      <c r="H7569" t="n">
        <v>0</v>
      </c>
      <c r="I7569" t="n">
        <v>0</v>
      </c>
      <c r="J7569" t="n">
        <v>0</v>
      </c>
      <c r="K7569" t="n">
        <v>0</v>
      </c>
      <c r="L7569" t="n">
        <v>0</v>
      </c>
      <c r="M7569" t="n">
        <v>0</v>
      </c>
      <c r="N7569" t="n">
        <v>0</v>
      </c>
      <c r="O7569" t="n">
        <v>0</v>
      </c>
      <c r="P7569" t="n">
        <v>0</v>
      </c>
      <c r="Q7569" t="n">
        <v>0</v>
      </c>
      <c r="R7569" s="2" t="inlineStr"/>
    </row>
    <row r="7570" ht="15" customHeight="1">
      <c r="A7570" t="inlineStr">
        <is>
          <t>A 57113-2025</t>
        </is>
      </c>
      <c r="B7570" s="1" t="n">
        <v>45979.454375</v>
      </c>
      <c r="C7570" s="1" t="n">
        <v>46075</v>
      </c>
      <c r="D7570" t="inlineStr">
        <is>
          <t>VÄSTERBOTTENS LÄN</t>
        </is>
      </c>
      <c r="E7570" t="inlineStr">
        <is>
          <t>VINDELN</t>
        </is>
      </c>
      <c r="F7570" t="inlineStr">
        <is>
          <t>Holmen skog AB</t>
        </is>
      </c>
      <c r="G7570" t="n">
        <v>10.1</v>
      </c>
      <c r="H7570" t="n">
        <v>0</v>
      </c>
      <c r="I7570" t="n">
        <v>0</v>
      </c>
      <c r="J7570" t="n">
        <v>0</v>
      </c>
      <c r="K7570" t="n">
        <v>0</v>
      </c>
      <c r="L7570" t="n">
        <v>0</v>
      </c>
      <c r="M7570" t="n">
        <v>0</v>
      </c>
      <c r="N7570" t="n">
        <v>0</v>
      </c>
      <c r="O7570" t="n">
        <v>0</v>
      </c>
      <c r="P7570" t="n">
        <v>0</v>
      </c>
      <c r="Q7570" t="n">
        <v>0</v>
      </c>
      <c r="R7570" s="2" t="inlineStr"/>
    </row>
    <row r="7571" ht="15" customHeight="1">
      <c r="A7571" t="inlineStr">
        <is>
          <t>A 12866-2023</t>
        </is>
      </c>
      <c r="B7571" s="1" t="n">
        <v>45000</v>
      </c>
      <c r="C7571" s="1" t="n">
        <v>46075</v>
      </c>
      <c r="D7571" t="inlineStr">
        <is>
          <t>VÄSTERBOTTENS LÄN</t>
        </is>
      </c>
      <c r="E7571" t="inlineStr">
        <is>
          <t>VILHELMINA</t>
        </is>
      </c>
      <c r="G7571" t="n">
        <v>2.6</v>
      </c>
      <c r="H7571" t="n">
        <v>0</v>
      </c>
      <c r="I7571" t="n">
        <v>0</v>
      </c>
      <c r="J7571" t="n">
        <v>0</v>
      </c>
      <c r="K7571" t="n">
        <v>0</v>
      </c>
      <c r="L7571" t="n">
        <v>0</v>
      </c>
      <c r="M7571" t="n">
        <v>0</v>
      </c>
      <c r="N7571" t="n">
        <v>0</v>
      </c>
      <c r="O7571" t="n">
        <v>0</v>
      </c>
      <c r="P7571" t="n">
        <v>0</v>
      </c>
      <c r="Q7571" t="n">
        <v>0</v>
      </c>
      <c r="R7571" s="2" t="inlineStr"/>
    </row>
    <row r="7572" ht="15" customHeight="1">
      <c r="A7572" t="inlineStr">
        <is>
          <t>A 56744-2025</t>
        </is>
      </c>
      <c r="B7572" s="1" t="n">
        <v>45978.36097222222</v>
      </c>
      <c r="C7572" s="1" t="n">
        <v>46075</v>
      </c>
      <c r="D7572" t="inlineStr">
        <is>
          <t>VÄSTERBOTTENS LÄN</t>
        </is>
      </c>
      <c r="E7572" t="inlineStr">
        <is>
          <t>LYCKSELE</t>
        </is>
      </c>
      <c r="G7572" t="n">
        <v>3.2</v>
      </c>
      <c r="H7572" t="n">
        <v>0</v>
      </c>
      <c r="I7572" t="n">
        <v>0</v>
      </c>
      <c r="J7572" t="n">
        <v>0</v>
      </c>
      <c r="K7572" t="n">
        <v>0</v>
      </c>
      <c r="L7572" t="n">
        <v>0</v>
      </c>
      <c r="M7572" t="n">
        <v>0</v>
      </c>
      <c r="N7572" t="n">
        <v>0</v>
      </c>
      <c r="O7572" t="n">
        <v>0</v>
      </c>
      <c r="P7572" t="n">
        <v>0</v>
      </c>
      <c r="Q7572" t="n">
        <v>0</v>
      </c>
      <c r="R7572" s="2" t="inlineStr"/>
    </row>
    <row r="7573" ht="15" customHeight="1">
      <c r="A7573" t="inlineStr">
        <is>
          <t>A 56788-2025</t>
        </is>
      </c>
      <c r="B7573" s="1" t="n">
        <v>45978</v>
      </c>
      <c r="C7573" s="1" t="n">
        <v>46075</v>
      </c>
      <c r="D7573" t="inlineStr">
        <is>
          <t>VÄSTERBOTTENS LÄN</t>
        </is>
      </c>
      <c r="E7573" t="inlineStr">
        <is>
          <t>DOROTEA</t>
        </is>
      </c>
      <c r="G7573" t="n">
        <v>3.6</v>
      </c>
      <c r="H7573" t="n">
        <v>0</v>
      </c>
      <c r="I7573" t="n">
        <v>0</v>
      </c>
      <c r="J7573" t="n">
        <v>0</v>
      </c>
      <c r="K7573" t="n">
        <v>0</v>
      </c>
      <c r="L7573" t="n">
        <v>0</v>
      </c>
      <c r="M7573" t="n">
        <v>0</v>
      </c>
      <c r="N7573" t="n">
        <v>0</v>
      </c>
      <c r="O7573" t="n">
        <v>0</v>
      </c>
      <c r="P7573" t="n">
        <v>0</v>
      </c>
      <c r="Q7573" t="n">
        <v>0</v>
      </c>
      <c r="R7573" s="2" t="inlineStr"/>
    </row>
    <row r="7574" ht="15" customHeight="1">
      <c r="A7574" t="inlineStr">
        <is>
          <t>A 57018-2025</t>
        </is>
      </c>
      <c r="B7574" s="1" t="n">
        <v>45978.84679398148</v>
      </c>
      <c r="C7574" s="1" t="n">
        <v>46075</v>
      </c>
      <c r="D7574" t="inlineStr">
        <is>
          <t>VÄSTERBOTTENS LÄN</t>
        </is>
      </c>
      <c r="E7574" t="inlineStr">
        <is>
          <t>UMEÅ</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63885-2025</t>
        </is>
      </c>
      <c r="B7575" s="1" t="n">
        <v>46010</v>
      </c>
      <c r="C7575" s="1" t="n">
        <v>46075</v>
      </c>
      <c r="D7575" t="inlineStr">
        <is>
          <t>VÄSTERBOTTENS LÄN</t>
        </is>
      </c>
      <c r="E7575" t="inlineStr">
        <is>
          <t>DOROTEA</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57105-2025</t>
        </is>
      </c>
      <c r="B7576" s="1" t="n">
        <v>45979.44579861111</v>
      </c>
      <c r="C7576" s="1" t="n">
        <v>46075</v>
      </c>
      <c r="D7576" t="inlineStr">
        <is>
          <t>VÄSTERBOTTENS LÄN</t>
        </is>
      </c>
      <c r="E7576" t="inlineStr">
        <is>
          <t>UMEÅ</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14742-2025</t>
        </is>
      </c>
      <c r="B7577" s="1" t="n">
        <v>45742</v>
      </c>
      <c r="C7577" s="1" t="n">
        <v>46075</v>
      </c>
      <c r="D7577" t="inlineStr">
        <is>
          <t>VÄSTERBOTTENS LÄN</t>
        </is>
      </c>
      <c r="E7577" t="inlineStr">
        <is>
          <t>NORSJÖ</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62630-2022</t>
        </is>
      </c>
      <c r="B7578" s="1" t="n">
        <v>44917</v>
      </c>
      <c r="C7578" s="1" t="n">
        <v>46075</v>
      </c>
      <c r="D7578" t="inlineStr">
        <is>
          <t>VÄSTERBOTTENS LÄN</t>
        </is>
      </c>
      <c r="E7578" t="inlineStr">
        <is>
          <t>VILHELMINA</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57182-2025</t>
        </is>
      </c>
      <c r="B7579" s="1" t="n">
        <v>45979</v>
      </c>
      <c r="C7579" s="1" t="n">
        <v>46075</v>
      </c>
      <c r="D7579" t="inlineStr">
        <is>
          <t>VÄSTERBOTTENS LÄN</t>
        </is>
      </c>
      <c r="E7579" t="inlineStr">
        <is>
          <t>SORSELE</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56713-2025</t>
        </is>
      </c>
      <c r="B7580" s="1" t="n">
        <v>45977.84247685185</v>
      </c>
      <c r="C7580" s="1" t="n">
        <v>46075</v>
      </c>
      <c r="D7580" t="inlineStr">
        <is>
          <t>VÄSTERBOTTENS LÄN</t>
        </is>
      </c>
      <c r="E7580" t="inlineStr">
        <is>
          <t>SKELLEFTEÅ</t>
        </is>
      </c>
      <c r="G7580" t="n">
        <v>1.7</v>
      </c>
      <c r="H7580" t="n">
        <v>0</v>
      </c>
      <c r="I7580" t="n">
        <v>0</v>
      </c>
      <c r="J7580" t="n">
        <v>0</v>
      </c>
      <c r="K7580" t="n">
        <v>0</v>
      </c>
      <c r="L7580" t="n">
        <v>0</v>
      </c>
      <c r="M7580" t="n">
        <v>0</v>
      </c>
      <c r="N7580" t="n">
        <v>0</v>
      </c>
      <c r="O7580" t="n">
        <v>0</v>
      </c>
      <c r="P7580" t="n">
        <v>0</v>
      </c>
      <c r="Q7580" t="n">
        <v>0</v>
      </c>
      <c r="R7580" s="2" t="inlineStr"/>
    </row>
    <row r="7581" ht="15" customHeight="1">
      <c r="A7581" t="inlineStr">
        <is>
          <t>A 50284-2024</t>
        </is>
      </c>
      <c r="B7581" s="1" t="n">
        <v>45600.61493055556</v>
      </c>
      <c r="C7581" s="1" t="n">
        <v>46075</v>
      </c>
      <c r="D7581" t="inlineStr">
        <is>
          <t>VÄSTERBOTTENS LÄN</t>
        </is>
      </c>
      <c r="E7581" t="inlineStr">
        <is>
          <t>ÅSELE</t>
        </is>
      </c>
      <c r="F7581" t="inlineStr">
        <is>
          <t>SCA</t>
        </is>
      </c>
      <c r="G7581" t="n">
        <v>15.3</v>
      </c>
      <c r="H7581" t="n">
        <v>0</v>
      </c>
      <c r="I7581" t="n">
        <v>0</v>
      </c>
      <c r="J7581" t="n">
        <v>0</v>
      </c>
      <c r="K7581" t="n">
        <v>0</v>
      </c>
      <c r="L7581" t="n">
        <v>0</v>
      </c>
      <c r="M7581" t="n">
        <v>0</v>
      </c>
      <c r="N7581" t="n">
        <v>0</v>
      </c>
      <c r="O7581" t="n">
        <v>0</v>
      </c>
      <c r="P7581" t="n">
        <v>0</v>
      </c>
      <c r="Q7581" t="n">
        <v>0</v>
      </c>
      <c r="R7581" s="2" t="inlineStr"/>
    </row>
    <row r="7582" ht="15" customHeight="1">
      <c r="A7582" t="inlineStr">
        <is>
          <t>A 57227-2025</t>
        </is>
      </c>
      <c r="B7582" s="1" t="n">
        <v>45979</v>
      </c>
      <c r="C7582" s="1" t="n">
        <v>46075</v>
      </c>
      <c r="D7582" t="inlineStr">
        <is>
          <t>VÄSTERBOTTENS LÄN</t>
        </is>
      </c>
      <c r="E7582" t="inlineStr">
        <is>
          <t>LYCKSELE</t>
        </is>
      </c>
      <c r="G7582" t="n">
        <v>13.7</v>
      </c>
      <c r="H7582" t="n">
        <v>0</v>
      </c>
      <c r="I7582" t="n">
        <v>0</v>
      </c>
      <c r="J7582" t="n">
        <v>0</v>
      </c>
      <c r="K7582" t="n">
        <v>0</v>
      </c>
      <c r="L7582" t="n">
        <v>0</v>
      </c>
      <c r="M7582" t="n">
        <v>0</v>
      </c>
      <c r="N7582" t="n">
        <v>0</v>
      </c>
      <c r="O7582" t="n">
        <v>0</v>
      </c>
      <c r="P7582" t="n">
        <v>0</v>
      </c>
      <c r="Q7582" t="n">
        <v>0</v>
      </c>
      <c r="R7582" s="2" t="inlineStr"/>
    </row>
    <row r="7583" ht="15" customHeight="1">
      <c r="A7583" t="inlineStr">
        <is>
          <t>A 57228-2025</t>
        </is>
      </c>
      <c r="B7583" s="1" t="n">
        <v>45979.6162962963</v>
      </c>
      <c r="C7583" s="1" t="n">
        <v>46075</v>
      </c>
      <c r="D7583" t="inlineStr">
        <is>
          <t>VÄSTERBOTTENS LÄN</t>
        </is>
      </c>
      <c r="E7583" t="inlineStr">
        <is>
          <t>SKELLEFTEÅ</t>
        </is>
      </c>
      <c r="G7583" t="n">
        <v>2.7</v>
      </c>
      <c r="H7583" t="n">
        <v>0</v>
      </c>
      <c r="I7583" t="n">
        <v>0</v>
      </c>
      <c r="J7583" t="n">
        <v>0</v>
      </c>
      <c r="K7583" t="n">
        <v>0</v>
      </c>
      <c r="L7583" t="n">
        <v>0</v>
      </c>
      <c r="M7583" t="n">
        <v>0</v>
      </c>
      <c r="N7583" t="n">
        <v>0</v>
      </c>
      <c r="O7583" t="n">
        <v>0</v>
      </c>
      <c r="P7583" t="n">
        <v>0</v>
      </c>
      <c r="Q7583" t="n">
        <v>0</v>
      </c>
      <c r="R7583" s="2" t="inlineStr"/>
    </row>
    <row r="7584" ht="15" customHeight="1">
      <c r="A7584" t="inlineStr">
        <is>
          <t>A 57232-2025</t>
        </is>
      </c>
      <c r="B7584" s="1" t="n">
        <v>45979.62033564815</v>
      </c>
      <c r="C7584" s="1" t="n">
        <v>46075</v>
      </c>
      <c r="D7584" t="inlineStr">
        <is>
          <t>VÄSTERBOTTENS LÄN</t>
        </is>
      </c>
      <c r="E7584" t="inlineStr">
        <is>
          <t>SKELLEFTEÅ</t>
        </is>
      </c>
      <c r="G7584" t="n">
        <v>6.4</v>
      </c>
      <c r="H7584" t="n">
        <v>0</v>
      </c>
      <c r="I7584" t="n">
        <v>0</v>
      </c>
      <c r="J7584" t="n">
        <v>0</v>
      </c>
      <c r="K7584" t="n">
        <v>0</v>
      </c>
      <c r="L7584" t="n">
        <v>0</v>
      </c>
      <c r="M7584" t="n">
        <v>0</v>
      </c>
      <c r="N7584" t="n">
        <v>0</v>
      </c>
      <c r="O7584" t="n">
        <v>0</v>
      </c>
      <c r="P7584" t="n">
        <v>0</v>
      </c>
      <c r="Q7584" t="n">
        <v>0</v>
      </c>
      <c r="R7584" s="2" t="inlineStr"/>
    </row>
    <row r="7585" ht="15" customHeight="1">
      <c r="A7585" t="inlineStr">
        <is>
          <t>A 57236-2025</t>
        </is>
      </c>
      <c r="B7585" s="1" t="n">
        <v>45978</v>
      </c>
      <c r="C7585" s="1" t="n">
        <v>46075</v>
      </c>
      <c r="D7585" t="inlineStr">
        <is>
          <t>VÄSTERBOTTENS LÄN</t>
        </is>
      </c>
      <c r="E7585" t="inlineStr">
        <is>
          <t>DOROTEA</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57241-2025</t>
        </is>
      </c>
      <c r="B7586" s="1" t="n">
        <v>45979.62626157407</v>
      </c>
      <c r="C7586" s="1" t="n">
        <v>46075</v>
      </c>
      <c r="D7586" t="inlineStr">
        <is>
          <t>VÄSTERBOTTENS LÄN</t>
        </is>
      </c>
      <c r="E7586" t="inlineStr">
        <is>
          <t>LYCKSELE</t>
        </is>
      </c>
      <c r="F7586" t="inlineStr">
        <is>
          <t>Sveaskog</t>
        </is>
      </c>
      <c r="G7586" t="n">
        <v>5.1</v>
      </c>
      <c r="H7586" t="n">
        <v>0</v>
      </c>
      <c r="I7586" t="n">
        <v>0</v>
      </c>
      <c r="J7586" t="n">
        <v>0</v>
      </c>
      <c r="K7586" t="n">
        <v>0</v>
      </c>
      <c r="L7586" t="n">
        <v>0</v>
      </c>
      <c r="M7586" t="n">
        <v>0</v>
      </c>
      <c r="N7586" t="n">
        <v>0</v>
      </c>
      <c r="O7586" t="n">
        <v>0</v>
      </c>
      <c r="P7586" t="n">
        <v>0</v>
      </c>
      <c r="Q7586" t="n">
        <v>0</v>
      </c>
      <c r="R7586" s="2" t="inlineStr"/>
    </row>
    <row r="7587" ht="15" customHeight="1">
      <c r="A7587" t="inlineStr">
        <is>
          <t>A 57245-2025</t>
        </is>
      </c>
      <c r="B7587" s="1" t="n">
        <v>45978</v>
      </c>
      <c r="C7587" s="1" t="n">
        <v>46075</v>
      </c>
      <c r="D7587" t="inlineStr">
        <is>
          <t>VÄSTERBOTTENS LÄN</t>
        </is>
      </c>
      <c r="E7587" t="inlineStr">
        <is>
          <t>DOROTEA</t>
        </is>
      </c>
      <c r="G7587" t="n">
        <v>3.5</v>
      </c>
      <c r="H7587" t="n">
        <v>0</v>
      </c>
      <c r="I7587" t="n">
        <v>0</v>
      </c>
      <c r="J7587" t="n">
        <v>0</v>
      </c>
      <c r="K7587" t="n">
        <v>0</v>
      </c>
      <c r="L7587" t="n">
        <v>0</v>
      </c>
      <c r="M7587" t="n">
        <v>0</v>
      </c>
      <c r="N7587" t="n">
        <v>0</v>
      </c>
      <c r="O7587" t="n">
        <v>0</v>
      </c>
      <c r="P7587" t="n">
        <v>0</v>
      </c>
      <c r="Q7587" t="n">
        <v>0</v>
      </c>
      <c r="R7587" s="2" t="inlineStr"/>
    </row>
    <row r="7588" ht="15" customHeight="1">
      <c r="A7588" t="inlineStr">
        <is>
          <t>A 10082-2025</t>
        </is>
      </c>
      <c r="B7588" s="1" t="n">
        <v>45719</v>
      </c>
      <c r="C7588" s="1" t="n">
        <v>46075</v>
      </c>
      <c r="D7588" t="inlineStr">
        <is>
          <t>VÄSTERBOTTENS LÄN</t>
        </is>
      </c>
      <c r="E7588" t="inlineStr">
        <is>
          <t>SKELLEFTEÅ</t>
        </is>
      </c>
      <c r="G7588" t="n">
        <v>5.2</v>
      </c>
      <c r="H7588" t="n">
        <v>0</v>
      </c>
      <c r="I7588" t="n">
        <v>0</v>
      </c>
      <c r="J7588" t="n">
        <v>0</v>
      </c>
      <c r="K7588" t="n">
        <v>0</v>
      </c>
      <c r="L7588" t="n">
        <v>0</v>
      </c>
      <c r="M7588" t="n">
        <v>0</v>
      </c>
      <c r="N7588" t="n">
        <v>0</v>
      </c>
      <c r="O7588" t="n">
        <v>0</v>
      </c>
      <c r="P7588" t="n">
        <v>0</v>
      </c>
      <c r="Q7588" t="n">
        <v>0</v>
      </c>
      <c r="R7588" s="2" t="inlineStr"/>
    </row>
    <row r="7589" ht="15" customHeight="1">
      <c r="A7589" t="inlineStr">
        <is>
          <t>A 57178-2025</t>
        </is>
      </c>
      <c r="B7589" s="1" t="n">
        <v>45978</v>
      </c>
      <c r="C7589" s="1" t="n">
        <v>46075</v>
      </c>
      <c r="D7589" t="inlineStr">
        <is>
          <t>VÄSTERBOTTENS LÄN</t>
        </is>
      </c>
      <c r="E7589" t="inlineStr">
        <is>
          <t>DOROTEA</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57250-2025</t>
        </is>
      </c>
      <c r="B7590" s="1" t="n">
        <v>45978</v>
      </c>
      <c r="C7590" s="1" t="n">
        <v>46075</v>
      </c>
      <c r="D7590" t="inlineStr">
        <is>
          <t>VÄSTERBOTTENS LÄN</t>
        </is>
      </c>
      <c r="E7590" t="inlineStr">
        <is>
          <t>DOROTEA</t>
        </is>
      </c>
      <c r="G7590" t="n">
        <v>2.3</v>
      </c>
      <c r="H7590" t="n">
        <v>0</v>
      </c>
      <c r="I7590" t="n">
        <v>0</v>
      </c>
      <c r="J7590" t="n">
        <v>0</v>
      </c>
      <c r="K7590" t="n">
        <v>0</v>
      </c>
      <c r="L7590" t="n">
        <v>0</v>
      </c>
      <c r="M7590" t="n">
        <v>0</v>
      </c>
      <c r="N7590" t="n">
        <v>0</v>
      </c>
      <c r="O7590" t="n">
        <v>0</v>
      </c>
      <c r="P7590" t="n">
        <v>0</v>
      </c>
      <c r="Q7590" t="n">
        <v>0</v>
      </c>
      <c r="R7590" s="2" t="inlineStr"/>
    </row>
    <row r="7591" ht="15" customHeight="1">
      <c r="A7591" t="inlineStr">
        <is>
          <t>A 48601-2025</t>
        </is>
      </c>
      <c r="B7591" s="1" t="n">
        <v>45936</v>
      </c>
      <c r="C7591" s="1" t="n">
        <v>46075</v>
      </c>
      <c r="D7591" t="inlineStr">
        <is>
          <t>VÄSTERBOTTENS LÄN</t>
        </is>
      </c>
      <c r="E7591" t="inlineStr">
        <is>
          <t>LYCKSELE</t>
        </is>
      </c>
      <c r="G7591" t="n">
        <v>19.5</v>
      </c>
      <c r="H7591" t="n">
        <v>0</v>
      </c>
      <c r="I7591" t="n">
        <v>0</v>
      </c>
      <c r="J7591" t="n">
        <v>0</v>
      </c>
      <c r="K7591" t="n">
        <v>0</v>
      </c>
      <c r="L7591" t="n">
        <v>0</v>
      </c>
      <c r="M7591" t="n">
        <v>0</v>
      </c>
      <c r="N7591" t="n">
        <v>0</v>
      </c>
      <c r="O7591" t="n">
        <v>0</v>
      </c>
      <c r="P7591" t="n">
        <v>0</v>
      </c>
      <c r="Q7591" t="n">
        <v>0</v>
      </c>
      <c r="R7591" s="2" t="inlineStr"/>
    </row>
    <row r="7592" ht="15" customHeight="1">
      <c r="A7592" t="inlineStr">
        <is>
          <t>A 10109-2025</t>
        </is>
      </c>
      <c r="B7592" s="1" t="n">
        <v>45719</v>
      </c>
      <c r="C7592" s="1" t="n">
        <v>46075</v>
      </c>
      <c r="D7592" t="inlineStr">
        <is>
          <t>VÄSTERBOTTENS LÄN</t>
        </is>
      </c>
      <c r="E7592" t="inlineStr">
        <is>
          <t>ÅSELE</t>
        </is>
      </c>
      <c r="G7592" t="n">
        <v>3.6</v>
      </c>
      <c r="H7592" t="n">
        <v>0</v>
      </c>
      <c r="I7592" t="n">
        <v>0</v>
      </c>
      <c r="J7592" t="n">
        <v>0</v>
      </c>
      <c r="K7592" t="n">
        <v>0</v>
      </c>
      <c r="L7592" t="n">
        <v>0</v>
      </c>
      <c r="M7592" t="n">
        <v>0</v>
      </c>
      <c r="N7592" t="n">
        <v>0</v>
      </c>
      <c r="O7592" t="n">
        <v>0</v>
      </c>
      <c r="P7592" t="n">
        <v>0</v>
      </c>
      <c r="Q7592" t="n">
        <v>0</v>
      </c>
      <c r="R7592" s="2" t="inlineStr"/>
    </row>
    <row r="7593" ht="15" customHeight="1">
      <c r="A7593" t="inlineStr">
        <is>
          <t>A 12712-2025</t>
        </is>
      </c>
      <c r="B7593" s="1" t="n">
        <v>45733.47311342593</v>
      </c>
      <c r="C7593" s="1" t="n">
        <v>46075</v>
      </c>
      <c r="D7593" t="inlineStr">
        <is>
          <t>VÄSTERBOTTENS LÄN</t>
        </is>
      </c>
      <c r="E7593" t="inlineStr">
        <is>
          <t>SKELLEFTEÅ</t>
        </is>
      </c>
      <c r="G7593" t="n">
        <v>13.6</v>
      </c>
      <c r="H7593" t="n">
        <v>0</v>
      </c>
      <c r="I7593" t="n">
        <v>0</v>
      </c>
      <c r="J7593" t="n">
        <v>0</v>
      </c>
      <c r="K7593" t="n">
        <v>0</v>
      </c>
      <c r="L7593" t="n">
        <v>0</v>
      </c>
      <c r="M7593" t="n">
        <v>0</v>
      </c>
      <c r="N7593" t="n">
        <v>0</v>
      </c>
      <c r="O7593" t="n">
        <v>0</v>
      </c>
      <c r="P7593" t="n">
        <v>0</v>
      </c>
      <c r="Q7593" t="n">
        <v>0</v>
      </c>
      <c r="R7593" s="2" t="inlineStr"/>
    </row>
    <row r="7594" ht="15" customHeight="1">
      <c r="A7594" t="inlineStr">
        <is>
          <t>A 57207-2025</t>
        </is>
      </c>
      <c r="B7594" s="1" t="n">
        <v>45979.59443287037</v>
      </c>
      <c r="C7594" s="1" t="n">
        <v>46075</v>
      </c>
      <c r="D7594" t="inlineStr">
        <is>
          <t>VÄSTERBOTTENS LÄN</t>
        </is>
      </c>
      <c r="E7594" t="inlineStr">
        <is>
          <t>VILHELMINA</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57217-2025</t>
        </is>
      </c>
      <c r="B7595" s="1" t="n">
        <v>45979.61125</v>
      </c>
      <c r="C7595" s="1" t="n">
        <v>46075</v>
      </c>
      <c r="D7595" t="inlineStr">
        <is>
          <t>VÄSTERBOTTENS LÄN</t>
        </is>
      </c>
      <c r="E7595" t="inlineStr">
        <is>
          <t>SKELLEFTEÅ</t>
        </is>
      </c>
      <c r="G7595" t="n">
        <v>6.9</v>
      </c>
      <c r="H7595" t="n">
        <v>0</v>
      </c>
      <c r="I7595" t="n">
        <v>0</v>
      </c>
      <c r="J7595" t="n">
        <v>0</v>
      </c>
      <c r="K7595" t="n">
        <v>0</v>
      </c>
      <c r="L7595" t="n">
        <v>0</v>
      </c>
      <c r="M7595" t="n">
        <v>0</v>
      </c>
      <c r="N7595" t="n">
        <v>0</v>
      </c>
      <c r="O7595" t="n">
        <v>0</v>
      </c>
      <c r="P7595" t="n">
        <v>0</v>
      </c>
      <c r="Q7595" t="n">
        <v>0</v>
      </c>
      <c r="R7595" s="2" t="inlineStr"/>
    </row>
    <row r="7596" ht="15" customHeight="1">
      <c r="A7596" t="inlineStr">
        <is>
          <t>A 56712-2025</t>
        </is>
      </c>
      <c r="B7596" s="1" t="n">
        <v>45977.83019675926</v>
      </c>
      <c r="C7596" s="1" t="n">
        <v>46075</v>
      </c>
      <c r="D7596" t="inlineStr">
        <is>
          <t>VÄSTERBOTTENS LÄN</t>
        </is>
      </c>
      <c r="E7596" t="inlineStr">
        <is>
          <t>SKELLEFTEÅ</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56724-2025</t>
        </is>
      </c>
      <c r="B7597" s="1" t="n">
        <v>45978.30922453704</v>
      </c>
      <c r="C7597" s="1" t="n">
        <v>46075</v>
      </c>
      <c r="D7597" t="inlineStr">
        <is>
          <t>VÄSTERBOTTENS LÄN</t>
        </is>
      </c>
      <c r="E7597" t="inlineStr">
        <is>
          <t>BJURHOLM</t>
        </is>
      </c>
      <c r="G7597" t="n">
        <v>2</v>
      </c>
      <c r="H7597" t="n">
        <v>0</v>
      </c>
      <c r="I7597" t="n">
        <v>0</v>
      </c>
      <c r="J7597" t="n">
        <v>0</v>
      </c>
      <c r="K7597" t="n">
        <v>0</v>
      </c>
      <c r="L7597" t="n">
        <v>0</v>
      </c>
      <c r="M7597" t="n">
        <v>0</v>
      </c>
      <c r="N7597" t="n">
        <v>0</v>
      </c>
      <c r="O7597" t="n">
        <v>0</v>
      </c>
      <c r="P7597" t="n">
        <v>0</v>
      </c>
      <c r="Q7597" t="n">
        <v>0</v>
      </c>
      <c r="R7597" s="2" t="inlineStr"/>
    </row>
    <row r="7598" ht="15" customHeight="1">
      <c r="A7598" t="inlineStr">
        <is>
          <t>A 56743-2025</t>
        </is>
      </c>
      <c r="B7598" s="1" t="n">
        <v>45978.36053240741</v>
      </c>
      <c r="C7598" s="1" t="n">
        <v>46075</v>
      </c>
      <c r="D7598" t="inlineStr">
        <is>
          <t>VÄSTERBOTTENS LÄN</t>
        </is>
      </c>
      <c r="E7598" t="inlineStr">
        <is>
          <t>ÅSELE</t>
        </is>
      </c>
      <c r="G7598" t="n">
        <v>2.3</v>
      </c>
      <c r="H7598" t="n">
        <v>0</v>
      </c>
      <c r="I7598" t="n">
        <v>0</v>
      </c>
      <c r="J7598" t="n">
        <v>0</v>
      </c>
      <c r="K7598" t="n">
        <v>0</v>
      </c>
      <c r="L7598" t="n">
        <v>0</v>
      </c>
      <c r="M7598" t="n">
        <v>0</v>
      </c>
      <c r="N7598" t="n">
        <v>0</v>
      </c>
      <c r="O7598" t="n">
        <v>0</v>
      </c>
      <c r="P7598" t="n">
        <v>0</v>
      </c>
      <c r="Q7598" t="n">
        <v>0</v>
      </c>
      <c r="R7598" s="2" t="inlineStr"/>
    </row>
    <row r="7599" ht="15" customHeight="1">
      <c r="A7599" t="inlineStr">
        <is>
          <t>A 56808-2025</t>
        </is>
      </c>
      <c r="B7599" s="1" t="n">
        <v>45978.45061342593</v>
      </c>
      <c r="C7599" s="1" t="n">
        <v>46075</v>
      </c>
      <c r="D7599" t="inlineStr">
        <is>
          <t>VÄSTERBOTTENS LÄN</t>
        </is>
      </c>
      <c r="E7599" t="inlineStr">
        <is>
          <t>BJURHOLM</t>
        </is>
      </c>
      <c r="G7599" t="n">
        <v>4.9</v>
      </c>
      <c r="H7599" t="n">
        <v>0</v>
      </c>
      <c r="I7599" t="n">
        <v>0</v>
      </c>
      <c r="J7599" t="n">
        <v>0</v>
      </c>
      <c r="K7599" t="n">
        <v>0</v>
      </c>
      <c r="L7599" t="n">
        <v>0</v>
      </c>
      <c r="M7599" t="n">
        <v>0</v>
      </c>
      <c r="N7599" t="n">
        <v>0</v>
      </c>
      <c r="O7599" t="n">
        <v>0</v>
      </c>
      <c r="P7599" t="n">
        <v>0</v>
      </c>
      <c r="Q7599" t="n">
        <v>0</v>
      </c>
      <c r="R7599" s="2" t="inlineStr"/>
    </row>
    <row r="7600" ht="15" customHeight="1">
      <c r="A7600" t="inlineStr">
        <is>
          <t>A 9090-2025</t>
        </is>
      </c>
      <c r="B7600" s="1" t="n">
        <v>45713.67753472222</v>
      </c>
      <c r="C7600" s="1" t="n">
        <v>46075</v>
      </c>
      <c r="D7600" t="inlineStr">
        <is>
          <t>VÄSTERBOTTENS LÄN</t>
        </is>
      </c>
      <c r="E7600" t="inlineStr">
        <is>
          <t>LYCKSELE</t>
        </is>
      </c>
      <c r="F7600" t="inlineStr">
        <is>
          <t>SCA</t>
        </is>
      </c>
      <c r="G7600" t="n">
        <v>3</v>
      </c>
      <c r="H7600" t="n">
        <v>0</v>
      </c>
      <c r="I7600" t="n">
        <v>0</v>
      </c>
      <c r="J7600" t="n">
        <v>0</v>
      </c>
      <c r="K7600" t="n">
        <v>0</v>
      </c>
      <c r="L7600" t="n">
        <v>0</v>
      </c>
      <c r="M7600" t="n">
        <v>0</v>
      </c>
      <c r="N7600" t="n">
        <v>0</v>
      </c>
      <c r="O7600" t="n">
        <v>0</v>
      </c>
      <c r="P7600" t="n">
        <v>0</v>
      </c>
      <c r="Q7600" t="n">
        <v>0</v>
      </c>
      <c r="R7600" s="2" t="inlineStr"/>
    </row>
    <row r="7601" ht="15" customHeight="1">
      <c r="A7601" t="inlineStr">
        <is>
          <t>A 56843-2025</t>
        </is>
      </c>
      <c r="B7601" s="1" t="n">
        <v>45978.48373842592</v>
      </c>
      <c r="C7601" s="1" t="n">
        <v>46075</v>
      </c>
      <c r="D7601" t="inlineStr">
        <is>
          <t>VÄSTERBOTTENS LÄN</t>
        </is>
      </c>
      <c r="E7601" t="inlineStr">
        <is>
          <t>SKELLEFTEÅ</t>
        </is>
      </c>
      <c r="G7601" t="n">
        <v>2.9</v>
      </c>
      <c r="H7601" t="n">
        <v>0</v>
      </c>
      <c r="I7601" t="n">
        <v>0</v>
      </c>
      <c r="J7601" t="n">
        <v>0</v>
      </c>
      <c r="K7601" t="n">
        <v>0</v>
      </c>
      <c r="L7601" t="n">
        <v>0</v>
      </c>
      <c r="M7601" t="n">
        <v>0</v>
      </c>
      <c r="N7601" t="n">
        <v>0</v>
      </c>
      <c r="O7601" t="n">
        <v>0</v>
      </c>
      <c r="P7601" t="n">
        <v>0</v>
      </c>
      <c r="Q7601" t="n">
        <v>0</v>
      </c>
      <c r="R7601" s="2" t="inlineStr"/>
    </row>
    <row r="7602" ht="15" customHeight="1">
      <c r="A7602" t="inlineStr">
        <is>
          <t>A 57204-2025</t>
        </is>
      </c>
      <c r="B7602" s="1" t="n">
        <v>45979</v>
      </c>
      <c r="C7602" s="1" t="n">
        <v>46075</v>
      </c>
      <c r="D7602" t="inlineStr">
        <is>
          <t>VÄSTERBOTTENS LÄN</t>
        </is>
      </c>
      <c r="E7602" t="inlineStr">
        <is>
          <t>SORSELE</t>
        </is>
      </c>
      <c r="G7602" t="n">
        <v>3.3</v>
      </c>
      <c r="H7602" t="n">
        <v>0</v>
      </c>
      <c r="I7602" t="n">
        <v>0</v>
      </c>
      <c r="J7602" t="n">
        <v>0</v>
      </c>
      <c r="K7602" t="n">
        <v>0</v>
      </c>
      <c r="L7602" t="n">
        <v>0</v>
      </c>
      <c r="M7602" t="n">
        <v>0</v>
      </c>
      <c r="N7602" t="n">
        <v>0</v>
      </c>
      <c r="O7602" t="n">
        <v>0</v>
      </c>
      <c r="P7602" t="n">
        <v>0</v>
      </c>
      <c r="Q7602" t="n">
        <v>0</v>
      </c>
      <c r="R7602" s="2" t="inlineStr"/>
    </row>
    <row r="7603" ht="15" customHeight="1">
      <c r="A7603" t="inlineStr">
        <is>
          <t>A 26038-2022</t>
        </is>
      </c>
      <c r="B7603" s="1" t="n">
        <v>44734.58537037037</v>
      </c>
      <c r="C7603" s="1" t="n">
        <v>46075</v>
      </c>
      <c r="D7603" t="inlineStr">
        <is>
          <t>VÄSTERBOTTENS LÄN</t>
        </is>
      </c>
      <c r="E7603" t="inlineStr">
        <is>
          <t>ROBERTSFORS</t>
        </is>
      </c>
      <c r="G7603" t="n">
        <v>3.3</v>
      </c>
      <c r="H7603" t="n">
        <v>0</v>
      </c>
      <c r="I7603" t="n">
        <v>0</v>
      </c>
      <c r="J7603" t="n">
        <v>0</v>
      </c>
      <c r="K7603" t="n">
        <v>0</v>
      </c>
      <c r="L7603" t="n">
        <v>0</v>
      </c>
      <c r="M7603" t="n">
        <v>0</v>
      </c>
      <c r="N7603" t="n">
        <v>0</v>
      </c>
      <c r="O7603" t="n">
        <v>0</v>
      </c>
      <c r="P7603" t="n">
        <v>0</v>
      </c>
      <c r="Q7603" t="n">
        <v>0</v>
      </c>
      <c r="R7603" s="2" t="inlineStr"/>
    </row>
    <row r="7604" ht="15" customHeight="1">
      <c r="A7604" t="inlineStr">
        <is>
          <t>A 57118-2025</t>
        </is>
      </c>
      <c r="B7604" s="1" t="n">
        <v>45979.4640625</v>
      </c>
      <c r="C7604" s="1" t="n">
        <v>46075</v>
      </c>
      <c r="D7604" t="inlineStr">
        <is>
          <t>VÄSTERBOTTENS LÄN</t>
        </is>
      </c>
      <c r="E7604" t="inlineStr">
        <is>
          <t>ÅSELE</t>
        </is>
      </c>
      <c r="G7604" t="n">
        <v>3.4</v>
      </c>
      <c r="H7604" t="n">
        <v>0</v>
      </c>
      <c r="I7604" t="n">
        <v>0</v>
      </c>
      <c r="J7604" t="n">
        <v>0</v>
      </c>
      <c r="K7604" t="n">
        <v>0</v>
      </c>
      <c r="L7604" t="n">
        <v>0</v>
      </c>
      <c r="M7604" t="n">
        <v>0</v>
      </c>
      <c r="N7604" t="n">
        <v>0</v>
      </c>
      <c r="O7604" t="n">
        <v>0</v>
      </c>
      <c r="P7604" t="n">
        <v>0</v>
      </c>
      <c r="Q7604" t="n">
        <v>0</v>
      </c>
      <c r="R7604" s="2" t="inlineStr"/>
    </row>
    <row r="7605" ht="15" customHeight="1">
      <c r="A7605" t="inlineStr">
        <is>
          <t>A 57123-2025</t>
        </is>
      </c>
      <c r="B7605" s="1" t="n">
        <v>45979.46946759259</v>
      </c>
      <c r="C7605" s="1" t="n">
        <v>46075</v>
      </c>
      <c r="D7605" t="inlineStr">
        <is>
          <t>VÄSTERBOTTENS LÄN</t>
        </is>
      </c>
      <c r="E7605" t="inlineStr">
        <is>
          <t>STORUMAN</t>
        </is>
      </c>
      <c r="G7605" t="n">
        <v>4.1</v>
      </c>
      <c r="H7605" t="n">
        <v>0</v>
      </c>
      <c r="I7605" t="n">
        <v>0</v>
      </c>
      <c r="J7605" t="n">
        <v>0</v>
      </c>
      <c r="K7605" t="n">
        <v>0</v>
      </c>
      <c r="L7605" t="n">
        <v>0</v>
      </c>
      <c r="M7605" t="n">
        <v>0</v>
      </c>
      <c r="N7605" t="n">
        <v>0</v>
      </c>
      <c r="O7605" t="n">
        <v>0</v>
      </c>
      <c r="P7605" t="n">
        <v>0</v>
      </c>
      <c r="Q7605" t="n">
        <v>0</v>
      </c>
      <c r="R7605" s="2" t="inlineStr"/>
    </row>
    <row r="7606" ht="15" customHeight="1">
      <c r="A7606" t="inlineStr">
        <is>
          <t>A 56833-2025</t>
        </is>
      </c>
      <c r="B7606" s="1" t="n">
        <v>45978.47253472222</v>
      </c>
      <c r="C7606" s="1" t="n">
        <v>46075</v>
      </c>
      <c r="D7606" t="inlineStr">
        <is>
          <t>VÄSTERBOTTENS LÄN</t>
        </is>
      </c>
      <c r="E7606" t="inlineStr">
        <is>
          <t>VÄNNÄS</t>
        </is>
      </c>
      <c r="G7606" t="n">
        <v>2.7</v>
      </c>
      <c r="H7606" t="n">
        <v>0</v>
      </c>
      <c r="I7606" t="n">
        <v>0</v>
      </c>
      <c r="J7606" t="n">
        <v>0</v>
      </c>
      <c r="K7606" t="n">
        <v>0</v>
      </c>
      <c r="L7606" t="n">
        <v>0</v>
      </c>
      <c r="M7606" t="n">
        <v>0</v>
      </c>
      <c r="N7606" t="n">
        <v>0</v>
      </c>
      <c r="O7606" t="n">
        <v>0</v>
      </c>
      <c r="P7606" t="n">
        <v>0</v>
      </c>
      <c r="Q7606" t="n">
        <v>0</v>
      </c>
      <c r="R7606" s="2" t="inlineStr"/>
    </row>
    <row r="7607" ht="15" customHeight="1">
      <c r="A7607" t="inlineStr">
        <is>
          <t>A 56816-2025</t>
        </is>
      </c>
      <c r="B7607" s="1" t="n">
        <v>45978.46039351852</v>
      </c>
      <c r="C7607" s="1" t="n">
        <v>46075</v>
      </c>
      <c r="D7607" t="inlineStr">
        <is>
          <t>VÄSTERBOTTENS LÄN</t>
        </is>
      </c>
      <c r="E7607" t="inlineStr">
        <is>
          <t>UMEÅ</t>
        </is>
      </c>
      <c r="G7607" t="n">
        <v>6.4</v>
      </c>
      <c r="H7607" t="n">
        <v>0</v>
      </c>
      <c r="I7607" t="n">
        <v>0</v>
      </c>
      <c r="J7607" t="n">
        <v>0</v>
      </c>
      <c r="K7607" t="n">
        <v>0</v>
      </c>
      <c r="L7607" t="n">
        <v>0</v>
      </c>
      <c r="M7607" t="n">
        <v>0</v>
      </c>
      <c r="N7607" t="n">
        <v>0</v>
      </c>
      <c r="O7607" t="n">
        <v>0</v>
      </c>
      <c r="P7607" t="n">
        <v>0</v>
      </c>
      <c r="Q7607" t="n">
        <v>0</v>
      </c>
      <c r="R7607" s="2" t="inlineStr"/>
    </row>
    <row r="7608" ht="15" customHeight="1">
      <c r="A7608" t="inlineStr">
        <is>
          <t>A 41756-2024</t>
        </is>
      </c>
      <c r="B7608" s="1" t="n">
        <v>45561</v>
      </c>
      <c r="C7608" s="1" t="n">
        <v>46075</v>
      </c>
      <c r="D7608" t="inlineStr">
        <is>
          <t>VÄSTERBOTTENS LÄN</t>
        </is>
      </c>
      <c r="E7608" t="inlineStr">
        <is>
          <t>LYCKSELE</t>
        </is>
      </c>
      <c r="F7608" t="inlineStr">
        <is>
          <t>Sveaskog</t>
        </is>
      </c>
      <c r="G7608" t="n">
        <v>4.8</v>
      </c>
      <c r="H7608" t="n">
        <v>0</v>
      </c>
      <c r="I7608" t="n">
        <v>0</v>
      </c>
      <c r="J7608" t="n">
        <v>0</v>
      </c>
      <c r="K7608" t="n">
        <v>0</v>
      </c>
      <c r="L7608" t="n">
        <v>0</v>
      </c>
      <c r="M7608" t="n">
        <v>0</v>
      </c>
      <c r="N7608" t="n">
        <v>0</v>
      </c>
      <c r="O7608" t="n">
        <v>0</v>
      </c>
      <c r="P7608" t="n">
        <v>0</v>
      </c>
      <c r="Q7608" t="n">
        <v>0</v>
      </c>
      <c r="R7608" s="2" t="inlineStr"/>
    </row>
    <row r="7609" ht="15" customHeight="1">
      <c r="A7609" t="inlineStr">
        <is>
          <t>A 41771-2024</t>
        </is>
      </c>
      <c r="B7609" s="1" t="n">
        <v>45561.34652777778</v>
      </c>
      <c r="C7609" s="1" t="n">
        <v>46075</v>
      </c>
      <c r="D7609" t="inlineStr">
        <is>
          <t>VÄSTERBOTTENS LÄN</t>
        </is>
      </c>
      <c r="E7609" t="inlineStr">
        <is>
          <t>DOROTEA</t>
        </is>
      </c>
      <c r="F7609" t="inlineStr">
        <is>
          <t>SCA</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56835-2025</t>
        </is>
      </c>
      <c r="B7610" s="1" t="n">
        <v>45978.47366898148</v>
      </c>
      <c r="C7610" s="1" t="n">
        <v>46075</v>
      </c>
      <c r="D7610" t="inlineStr">
        <is>
          <t>VÄSTERBOTTENS LÄN</t>
        </is>
      </c>
      <c r="E7610" t="inlineStr">
        <is>
          <t>VÄNNÄS</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56856-2025</t>
        </is>
      </c>
      <c r="B7611" s="1" t="n">
        <v>45978.49891203704</v>
      </c>
      <c r="C7611" s="1" t="n">
        <v>46075</v>
      </c>
      <c r="D7611" t="inlineStr">
        <is>
          <t>VÄSTERBOTTENS LÄN</t>
        </is>
      </c>
      <c r="E7611" t="inlineStr">
        <is>
          <t>VINDELN</t>
        </is>
      </c>
      <c r="F7611" t="inlineStr">
        <is>
          <t>Holmen skog AB</t>
        </is>
      </c>
      <c r="G7611" t="n">
        <v>2.3</v>
      </c>
      <c r="H7611" t="n">
        <v>0</v>
      </c>
      <c r="I7611" t="n">
        <v>0</v>
      </c>
      <c r="J7611" t="n">
        <v>0</v>
      </c>
      <c r="K7611" t="n">
        <v>0</v>
      </c>
      <c r="L7611" t="n">
        <v>0</v>
      </c>
      <c r="M7611" t="n">
        <v>0</v>
      </c>
      <c r="N7611" t="n">
        <v>0</v>
      </c>
      <c r="O7611" t="n">
        <v>0</v>
      </c>
      <c r="P7611" t="n">
        <v>0</v>
      </c>
      <c r="Q7611" t="n">
        <v>0</v>
      </c>
      <c r="R7611" s="2" t="inlineStr"/>
    </row>
    <row r="7612" ht="15" customHeight="1">
      <c r="A7612" t="inlineStr">
        <is>
          <t>A 41815-2024</t>
        </is>
      </c>
      <c r="B7612" s="1" t="n">
        <v>45561</v>
      </c>
      <c r="C7612" s="1" t="n">
        <v>46075</v>
      </c>
      <c r="D7612" t="inlineStr">
        <is>
          <t>VÄSTERBOTTENS LÄN</t>
        </is>
      </c>
      <c r="E7612" t="inlineStr">
        <is>
          <t>ÅSELE</t>
        </is>
      </c>
      <c r="G7612" t="n">
        <v>3.4</v>
      </c>
      <c r="H7612" t="n">
        <v>0</v>
      </c>
      <c r="I7612" t="n">
        <v>0</v>
      </c>
      <c r="J7612" t="n">
        <v>0</v>
      </c>
      <c r="K7612" t="n">
        <v>0</v>
      </c>
      <c r="L7612" t="n">
        <v>0</v>
      </c>
      <c r="M7612" t="n">
        <v>0</v>
      </c>
      <c r="N7612" t="n">
        <v>0</v>
      </c>
      <c r="O7612" t="n">
        <v>0</v>
      </c>
      <c r="P7612" t="n">
        <v>0</v>
      </c>
      <c r="Q7612" t="n">
        <v>0</v>
      </c>
      <c r="R7612" s="2" t="inlineStr"/>
    </row>
    <row r="7613" ht="15" customHeight="1">
      <c r="A7613" t="inlineStr">
        <is>
          <t>A 56966-2025</t>
        </is>
      </c>
      <c r="B7613" s="1" t="n">
        <v>45978.67543981481</v>
      </c>
      <c r="C7613" s="1" t="n">
        <v>46075</v>
      </c>
      <c r="D7613" t="inlineStr">
        <is>
          <t>VÄSTERBOTTENS LÄN</t>
        </is>
      </c>
      <c r="E7613" t="inlineStr">
        <is>
          <t>VÄNNÄS</t>
        </is>
      </c>
      <c r="G7613" t="n">
        <v>3</v>
      </c>
      <c r="H7613" t="n">
        <v>0</v>
      </c>
      <c r="I7613" t="n">
        <v>0</v>
      </c>
      <c r="J7613" t="n">
        <v>0</v>
      </c>
      <c r="K7613" t="n">
        <v>0</v>
      </c>
      <c r="L7613" t="n">
        <v>0</v>
      </c>
      <c r="M7613" t="n">
        <v>0</v>
      </c>
      <c r="N7613" t="n">
        <v>0</v>
      </c>
      <c r="O7613" t="n">
        <v>0</v>
      </c>
      <c r="P7613" t="n">
        <v>0</v>
      </c>
      <c r="Q7613" t="n">
        <v>0</v>
      </c>
      <c r="R7613" s="2" t="inlineStr"/>
    </row>
    <row r="7614" ht="15" customHeight="1">
      <c r="A7614" t="inlineStr">
        <is>
          <t>A 56974-2025</t>
        </is>
      </c>
      <c r="B7614" s="1" t="n">
        <v>45978.68910879629</v>
      </c>
      <c r="C7614" s="1" t="n">
        <v>46075</v>
      </c>
      <c r="D7614" t="inlineStr">
        <is>
          <t>VÄSTERBOTTENS LÄN</t>
        </is>
      </c>
      <c r="E7614" t="inlineStr">
        <is>
          <t>ÅSELE</t>
        </is>
      </c>
      <c r="F7614" t="inlineStr">
        <is>
          <t>Holmen skog AB</t>
        </is>
      </c>
      <c r="G7614" t="n">
        <v>15.5</v>
      </c>
      <c r="H7614" t="n">
        <v>0</v>
      </c>
      <c r="I7614" t="n">
        <v>0</v>
      </c>
      <c r="J7614" t="n">
        <v>0</v>
      </c>
      <c r="K7614" t="n">
        <v>0</v>
      </c>
      <c r="L7614" t="n">
        <v>0</v>
      </c>
      <c r="M7614" t="n">
        <v>0</v>
      </c>
      <c r="N7614" t="n">
        <v>0</v>
      </c>
      <c r="O7614" t="n">
        <v>0</v>
      </c>
      <c r="P7614" t="n">
        <v>0</v>
      </c>
      <c r="Q7614" t="n">
        <v>0</v>
      </c>
      <c r="R7614" s="2" t="inlineStr"/>
    </row>
    <row r="7615" ht="15" customHeight="1">
      <c r="A7615" t="inlineStr">
        <is>
          <t>A 57530-2021</t>
        </is>
      </c>
      <c r="B7615" s="1" t="n">
        <v>44483</v>
      </c>
      <c r="C7615" s="1" t="n">
        <v>46075</v>
      </c>
      <c r="D7615" t="inlineStr">
        <is>
          <t>VÄSTERBOTTENS LÄN</t>
        </is>
      </c>
      <c r="E7615" t="inlineStr">
        <is>
          <t>SKELLEFTEÅ</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57060-2025</t>
        </is>
      </c>
      <c r="B7616" s="1" t="n">
        <v>45979.36954861111</v>
      </c>
      <c r="C7616" s="1" t="n">
        <v>46075</v>
      </c>
      <c r="D7616" t="inlineStr">
        <is>
          <t>VÄSTERBOTTENS LÄN</t>
        </is>
      </c>
      <c r="E7616" t="inlineStr">
        <is>
          <t>NORSJÖ</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57021-2025</t>
        </is>
      </c>
      <c r="B7617" s="1" t="n">
        <v>45978.88092592593</v>
      </c>
      <c r="C7617" s="1" t="n">
        <v>46075</v>
      </c>
      <c r="D7617" t="inlineStr">
        <is>
          <t>VÄSTERBOTTENS LÄN</t>
        </is>
      </c>
      <c r="E7617" t="inlineStr">
        <is>
          <t>SKELLEFTEÅ</t>
        </is>
      </c>
      <c r="F7617" t="inlineStr">
        <is>
          <t>Sveaskog</t>
        </is>
      </c>
      <c r="G7617" t="n">
        <v>6.4</v>
      </c>
      <c r="H7617" t="n">
        <v>0</v>
      </c>
      <c r="I7617" t="n">
        <v>0</v>
      </c>
      <c r="J7617" t="n">
        <v>0</v>
      </c>
      <c r="K7617" t="n">
        <v>0</v>
      </c>
      <c r="L7617" t="n">
        <v>0</v>
      </c>
      <c r="M7617" t="n">
        <v>0</v>
      </c>
      <c r="N7617" t="n">
        <v>0</v>
      </c>
      <c r="O7617" t="n">
        <v>0</v>
      </c>
      <c r="P7617" t="n">
        <v>0</v>
      </c>
      <c r="Q7617" t="n">
        <v>0</v>
      </c>
      <c r="R7617" s="2" t="inlineStr"/>
    </row>
    <row r="7618" ht="15" customHeight="1">
      <c r="A7618" t="inlineStr">
        <is>
          <t>A 59272-2022</t>
        </is>
      </c>
      <c r="B7618" s="1" t="n">
        <v>44904.59792824074</v>
      </c>
      <c r="C7618" s="1" t="n">
        <v>46075</v>
      </c>
      <c r="D7618" t="inlineStr">
        <is>
          <t>VÄSTERBOTTENS LÄN</t>
        </is>
      </c>
      <c r="E7618" t="inlineStr">
        <is>
          <t>LYCKSELE</t>
        </is>
      </c>
      <c r="F7618" t="inlineStr">
        <is>
          <t>Sveaskog</t>
        </is>
      </c>
      <c r="G7618" t="n">
        <v>6.1</v>
      </c>
      <c r="H7618" t="n">
        <v>0</v>
      </c>
      <c r="I7618" t="n">
        <v>0</v>
      </c>
      <c r="J7618" t="n">
        <v>0</v>
      </c>
      <c r="K7618" t="n">
        <v>0</v>
      </c>
      <c r="L7618" t="n">
        <v>0</v>
      </c>
      <c r="M7618" t="n">
        <v>0</v>
      </c>
      <c r="N7618" t="n">
        <v>0</v>
      </c>
      <c r="O7618" t="n">
        <v>0</v>
      </c>
      <c r="P7618" t="n">
        <v>0</v>
      </c>
      <c r="Q7618" t="n">
        <v>0</v>
      </c>
      <c r="R7618" s="2" t="inlineStr"/>
    </row>
    <row r="7619" ht="15" customHeight="1">
      <c r="A7619" t="inlineStr">
        <is>
          <t>A 57121-2025</t>
        </is>
      </c>
      <c r="B7619" s="1" t="n">
        <v>45979.46834490741</v>
      </c>
      <c r="C7619" s="1" t="n">
        <v>46075</v>
      </c>
      <c r="D7619" t="inlineStr">
        <is>
          <t>VÄSTERBOTTENS LÄN</t>
        </is>
      </c>
      <c r="E7619" t="inlineStr">
        <is>
          <t>VINDELN</t>
        </is>
      </c>
      <c r="F7619" t="inlineStr">
        <is>
          <t>Sveaskog</t>
        </is>
      </c>
      <c r="G7619" t="n">
        <v>13.1</v>
      </c>
      <c r="H7619" t="n">
        <v>0</v>
      </c>
      <c r="I7619" t="n">
        <v>0</v>
      </c>
      <c r="J7619" t="n">
        <v>0</v>
      </c>
      <c r="K7619" t="n">
        <v>0</v>
      </c>
      <c r="L7619" t="n">
        <v>0</v>
      </c>
      <c r="M7619" t="n">
        <v>0</v>
      </c>
      <c r="N7619" t="n">
        <v>0</v>
      </c>
      <c r="O7619" t="n">
        <v>0</v>
      </c>
      <c r="P7619" t="n">
        <v>0</v>
      </c>
      <c r="Q7619" t="n">
        <v>0</v>
      </c>
      <c r="R7619" s="2" t="inlineStr"/>
    </row>
    <row r="7620" ht="15" customHeight="1">
      <c r="A7620" t="inlineStr">
        <is>
          <t>A 671-2024</t>
        </is>
      </c>
      <c r="B7620" s="1" t="n">
        <v>45299</v>
      </c>
      <c r="C7620" s="1" t="n">
        <v>46075</v>
      </c>
      <c r="D7620" t="inlineStr">
        <is>
          <t>VÄSTERBOTTENS LÄN</t>
        </is>
      </c>
      <c r="E7620" t="inlineStr">
        <is>
          <t>SKELLEFTEÅ</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57157-2025</t>
        </is>
      </c>
      <c r="B7621" s="1" t="n">
        <v>45978</v>
      </c>
      <c r="C7621" s="1" t="n">
        <v>46075</v>
      </c>
      <c r="D7621" t="inlineStr">
        <is>
          <t>VÄSTERBOTTENS LÄN</t>
        </is>
      </c>
      <c r="E7621" t="inlineStr">
        <is>
          <t>DOROTEA</t>
        </is>
      </c>
      <c r="G7621" t="n">
        <v>19.9</v>
      </c>
      <c r="H7621" t="n">
        <v>0</v>
      </c>
      <c r="I7621" t="n">
        <v>0</v>
      </c>
      <c r="J7621" t="n">
        <v>0</v>
      </c>
      <c r="K7621" t="n">
        <v>0</v>
      </c>
      <c r="L7621" t="n">
        <v>0</v>
      </c>
      <c r="M7621" t="n">
        <v>0</v>
      </c>
      <c r="N7621" t="n">
        <v>0</v>
      </c>
      <c r="O7621" t="n">
        <v>0</v>
      </c>
      <c r="P7621" t="n">
        <v>0</v>
      </c>
      <c r="Q7621" t="n">
        <v>0</v>
      </c>
      <c r="R7621" s="2" t="inlineStr"/>
    </row>
    <row r="7622" ht="15" customHeight="1">
      <c r="A7622" t="inlineStr">
        <is>
          <t>A 13999-2025</t>
        </is>
      </c>
      <c r="B7622" s="1" t="n">
        <v>45739</v>
      </c>
      <c r="C7622" s="1" t="n">
        <v>46075</v>
      </c>
      <c r="D7622" t="inlineStr">
        <is>
          <t>VÄSTERBOTTENS LÄN</t>
        </is>
      </c>
      <c r="E7622" t="inlineStr">
        <is>
          <t>VINDELN</t>
        </is>
      </c>
      <c r="G7622" t="n">
        <v>3.7</v>
      </c>
      <c r="H7622" t="n">
        <v>0</v>
      </c>
      <c r="I7622" t="n">
        <v>0</v>
      </c>
      <c r="J7622" t="n">
        <v>0</v>
      </c>
      <c r="K7622" t="n">
        <v>0</v>
      </c>
      <c r="L7622" t="n">
        <v>0</v>
      </c>
      <c r="M7622" t="n">
        <v>0</v>
      </c>
      <c r="N7622" t="n">
        <v>0</v>
      </c>
      <c r="O7622" t="n">
        <v>0</v>
      </c>
      <c r="P7622" t="n">
        <v>0</v>
      </c>
      <c r="Q7622" t="n">
        <v>0</v>
      </c>
      <c r="R7622" s="2" t="inlineStr"/>
    </row>
    <row r="7623" ht="15" customHeight="1">
      <c r="A7623" t="inlineStr">
        <is>
          <t>A 28695-2024</t>
        </is>
      </c>
      <c r="B7623" s="1" t="n">
        <v>45478</v>
      </c>
      <c r="C7623" s="1" t="n">
        <v>46075</v>
      </c>
      <c r="D7623" t="inlineStr">
        <is>
          <t>VÄSTERBOTTENS LÄN</t>
        </is>
      </c>
      <c r="E7623" t="inlineStr">
        <is>
          <t>VILHELMINA</t>
        </is>
      </c>
      <c r="F7623" t="inlineStr">
        <is>
          <t>Allmännings- och besparingsskogar</t>
        </is>
      </c>
      <c r="G7623" t="n">
        <v>3.1</v>
      </c>
      <c r="H7623" t="n">
        <v>0</v>
      </c>
      <c r="I7623" t="n">
        <v>0</v>
      </c>
      <c r="J7623" t="n">
        <v>0</v>
      </c>
      <c r="K7623" t="n">
        <v>0</v>
      </c>
      <c r="L7623" t="n">
        <v>0</v>
      </c>
      <c r="M7623" t="n">
        <v>0</v>
      </c>
      <c r="N7623" t="n">
        <v>0</v>
      </c>
      <c r="O7623" t="n">
        <v>0</v>
      </c>
      <c r="P7623" t="n">
        <v>0</v>
      </c>
      <c r="Q7623" t="n">
        <v>0</v>
      </c>
      <c r="R7623" s="2" t="inlineStr"/>
    </row>
    <row r="7624" ht="15" customHeight="1">
      <c r="A7624" t="inlineStr">
        <is>
          <t>A 57436-2025</t>
        </is>
      </c>
      <c r="B7624" s="1" t="n">
        <v>45979</v>
      </c>
      <c r="C7624" s="1" t="n">
        <v>46075</v>
      </c>
      <c r="D7624" t="inlineStr">
        <is>
          <t>VÄSTERBOTTENS LÄN</t>
        </is>
      </c>
      <c r="E7624" t="inlineStr">
        <is>
          <t>SKELLEFTEÅ</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57449-2025</t>
        </is>
      </c>
      <c r="B7625" s="1" t="n">
        <v>45979</v>
      </c>
      <c r="C7625" s="1" t="n">
        <v>46075</v>
      </c>
      <c r="D7625" t="inlineStr">
        <is>
          <t>VÄSTERBOTTENS LÄN</t>
        </is>
      </c>
      <c r="E7625" t="inlineStr">
        <is>
          <t>SKELLEFTEÅ</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57674-2025</t>
        </is>
      </c>
      <c r="B7626" s="1" t="n">
        <v>45980.25484953704</v>
      </c>
      <c r="C7626" s="1" t="n">
        <v>46075</v>
      </c>
      <c r="D7626" t="inlineStr">
        <is>
          <t>VÄSTERBOTTENS LÄN</t>
        </is>
      </c>
      <c r="E7626" t="inlineStr">
        <is>
          <t>VINDELN</t>
        </is>
      </c>
      <c r="G7626" t="n">
        <v>1.9</v>
      </c>
      <c r="H7626" t="n">
        <v>0</v>
      </c>
      <c r="I7626" t="n">
        <v>0</v>
      </c>
      <c r="J7626" t="n">
        <v>0</v>
      </c>
      <c r="K7626" t="n">
        <v>0</v>
      </c>
      <c r="L7626" t="n">
        <v>0</v>
      </c>
      <c r="M7626" t="n">
        <v>0</v>
      </c>
      <c r="N7626" t="n">
        <v>0</v>
      </c>
      <c r="O7626" t="n">
        <v>0</v>
      </c>
      <c r="P7626" t="n">
        <v>0</v>
      </c>
      <c r="Q7626" t="n">
        <v>0</v>
      </c>
      <c r="R7626" s="2" t="inlineStr"/>
    </row>
    <row r="7627" ht="15" customHeight="1">
      <c r="A7627" t="inlineStr">
        <is>
          <t>A 11109-2022</t>
        </is>
      </c>
      <c r="B7627" s="1" t="n">
        <v>44628.92515046296</v>
      </c>
      <c r="C7627" s="1" t="n">
        <v>46075</v>
      </c>
      <c r="D7627" t="inlineStr">
        <is>
          <t>VÄSTERBOTTENS LÄN</t>
        </is>
      </c>
      <c r="E7627" t="inlineStr">
        <is>
          <t>UMEÅ</t>
        </is>
      </c>
      <c r="G7627" t="n">
        <v>3.8</v>
      </c>
      <c r="H7627" t="n">
        <v>0</v>
      </c>
      <c r="I7627" t="n">
        <v>0</v>
      </c>
      <c r="J7627" t="n">
        <v>0</v>
      </c>
      <c r="K7627" t="n">
        <v>0</v>
      </c>
      <c r="L7627" t="n">
        <v>0</v>
      </c>
      <c r="M7627" t="n">
        <v>0</v>
      </c>
      <c r="N7627" t="n">
        <v>0</v>
      </c>
      <c r="O7627" t="n">
        <v>0</v>
      </c>
      <c r="P7627" t="n">
        <v>0</v>
      </c>
      <c r="Q7627" t="n">
        <v>0</v>
      </c>
      <c r="R7627" s="2" t="inlineStr"/>
    </row>
    <row r="7628" ht="15" customHeight="1">
      <c r="A7628" t="inlineStr">
        <is>
          <t>A 57583-2025</t>
        </is>
      </c>
      <c r="B7628" s="1" t="n">
        <v>45980</v>
      </c>
      <c r="C7628" s="1" t="n">
        <v>46075</v>
      </c>
      <c r="D7628" t="inlineStr">
        <is>
          <t>VÄSTERBOTTENS LÄN</t>
        </is>
      </c>
      <c r="E7628" t="inlineStr">
        <is>
          <t>SORSELE</t>
        </is>
      </c>
      <c r="G7628" t="n">
        <v>2.7</v>
      </c>
      <c r="H7628" t="n">
        <v>0</v>
      </c>
      <c r="I7628" t="n">
        <v>0</v>
      </c>
      <c r="J7628" t="n">
        <v>0</v>
      </c>
      <c r="K7628" t="n">
        <v>0</v>
      </c>
      <c r="L7628" t="n">
        <v>0</v>
      </c>
      <c r="M7628" t="n">
        <v>0</v>
      </c>
      <c r="N7628" t="n">
        <v>0</v>
      </c>
      <c r="O7628" t="n">
        <v>0</v>
      </c>
      <c r="P7628" t="n">
        <v>0</v>
      </c>
      <c r="Q7628" t="n">
        <v>0</v>
      </c>
      <c r="R7628" s="2" t="inlineStr"/>
    </row>
    <row r="7629" ht="15" customHeight="1">
      <c r="A7629" t="inlineStr">
        <is>
          <t>A 57585-2025</t>
        </is>
      </c>
      <c r="B7629" s="1" t="n">
        <v>45980</v>
      </c>
      <c r="C7629" s="1" t="n">
        <v>46075</v>
      </c>
      <c r="D7629" t="inlineStr">
        <is>
          <t>VÄSTERBOTTENS LÄN</t>
        </is>
      </c>
      <c r="E7629" t="inlineStr">
        <is>
          <t>MALÅ</t>
        </is>
      </c>
      <c r="G7629" t="n">
        <v>4.1</v>
      </c>
      <c r="H7629" t="n">
        <v>0</v>
      </c>
      <c r="I7629" t="n">
        <v>0</v>
      </c>
      <c r="J7629" t="n">
        <v>0</v>
      </c>
      <c r="K7629" t="n">
        <v>0</v>
      </c>
      <c r="L7629" t="n">
        <v>0</v>
      </c>
      <c r="M7629" t="n">
        <v>0</v>
      </c>
      <c r="N7629" t="n">
        <v>0</v>
      </c>
      <c r="O7629" t="n">
        <v>0</v>
      </c>
      <c r="P7629" t="n">
        <v>0</v>
      </c>
      <c r="Q7629" t="n">
        <v>0</v>
      </c>
      <c r="R7629" s="2" t="inlineStr"/>
    </row>
    <row r="7630" ht="15" customHeight="1">
      <c r="A7630" t="inlineStr">
        <is>
          <t>A 37549-2023</t>
        </is>
      </c>
      <c r="B7630" s="1" t="n">
        <v>45158</v>
      </c>
      <c r="C7630" s="1" t="n">
        <v>46075</v>
      </c>
      <c r="D7630" t="inlineStr">
        <is>
          <t>VÄSTERBOTTENS LÄN</t>
        </is>
      </c>
      <c r="E7630" t="inlineStr">
        <is>
          <t>NORDMALING</t>
        </is>
      </c>
      <c r="G7630" t="n">
        <v>2.8</v>
      </c>
      <c r="H7630" t="n">
        <v>0</v>
      </c>
      <c r="I7630" t="n">
        <v>0</v>
      </c>
      <c r="J7630" t="n">
        <v>0</v>
      </c>
      <c r="K7630" t="n">
        <v>0</v>
      </c>
      <c r="L7630" t="n">
        <v>0</v>
      </c>
      <c r="M7630" t="n">
        <v>0</v>
      </c>
      <c r="N7630" t="n">
        <v>0</v>
      </c>
      <c r="O7630" t="n">
        <v>0</v>
      </c>
      <c r="P7630" t="n">
        <v>0</v>
      </c>
      <c r="Q7630" t="n">
        <v>0</v>
      </c>
      <c r="R7630" s="2" t="inlineStr"/>
    </row>
    <row r="7631" ht="15" customHeight="1">
      <c r="A7631" t="inlineStr">
        <is>
          <t>A 57649-2025</t>
        </is>
      </c>
      <c r="B7631" s="1" t="n">
        <v>45981.38592592593</v>
      </c>
      <c r="C7631" s="1" t="n">
        <v>46075</v>
      </c>
      <c r="D7631" t="inlineStr">
        <is>
          <t>VÄSTERBOTTENS LÄN</t>
        </is>
      </c>
      <c r="E7631" t="inlineStr">
        <is>
          <t>DOROTEA</t>
        </is>
      </c>
      <c r="F7631" t="inlineStr">
        <is>
          <t>SCA</t>
        </is>
      </c>
      <c r="G7631" t="n">
        <v>11.7</v>
      </c>
      <c r="H7631" t="n">
        <v>0</v>
      </c>
      <c r="I7631" t="n">
        <v>0</v>
      </c>
      <c r="J7631" t="n">
        <v>0</v>
      </c>
      <c r="K7631" t="n">
        <v>0</v>
      </c>
      <c r="L7631" t="n">
        <v>0</v>
      </c>
      <c r="M7631" t="n">
        <v>0</v>
      </c>
      <c r="N7631" t="n">
        <v>0</v>
      </c>
      <c r="O7631" t="n">
        <v>0</v>
      </c>
      <c r="P7631" t="n">
        <v>0</v>
      </c>
      <c r="Q7631" t="n">
        <v>0</v>
      </c>
      <c r="R7631" s="2" t="inlineStr"/>
    </row>
    <row r="7632" ht="15" customHeight="1">
      <c r="A7632" t="inlineStr">
        <is>
          <t>A 57553-2025</t>
        </is>
      </c>
      <c r="B7632" s="1" t="n">
        <v>45980.66048611111</v>
      </c>
      <c r="C7632" s="1" t="n">
        <v>46075</v>
      </c>
      <c r="D7632" t="inlineStr">
        <is>
          <t>VÄSTERBOTTENS LÄN</t>
        </is>
      </c>
      <c r="E7632" t="inlineStr">
        <is>
          <t>NORDMALING</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57895-2025</t>
        </is>
      </c>
      <c r="B7633" s="1" t="n">
        <v>45981.70042824074</v>
      </c>
      <c r="C7633" s="1" t="n">
        <v>46075</v>
      </c>
      <c r="D7633" t="inlineStr">
        <is>
          <t>VÄSTERBOTTENS LÄN</t>
        </is>
      </c>
      <c r="E7633" t="inlineStr">
        <is>
          <t>ÅSELE</t>
        </is>
      </c>
      <c r="F7633" t="inlineStr">
        <is>
          <t>Holmen skog AB</t>
        </is>
      </c>
      <c r="G7633" t="n">
        <v>10.3</v>
      </c>
      <c r="H7633" t="n">
        <v>0</v>
      </c>
      <c r="I7633" t="n">
        <v>0</v>
      </c>
      <c r="J7633" t="n">
        <v>0</v>
      </c>
      <c r="K7633" t="n">
        <v>0</v>
      </c>
      <c r="L7633" t="n">
        <v>0</v>
      </c>
      <c r="M7633" t="n">
        <v>0</v>
      </c>
      <c r="N7633" t="n">
        <v>0</v>
      </c>
      <c r="O7633" t="n">
        <v>0</v>
      </c>
      <c r="P7633" t="n">
        <v>0</v>
      </c>
      <c r="Q7633" t="n">
        <v>0</v>
      </c>
      <c r="R7633" s="2" t="inlineStr"/>
    </row>
    <row r="7634" ht="15" customHeight="1">
      <c r="A7634" t="inlineStr">
        <is>
          <t>A 57565-2025</t>
        </is>
      </c>
      <c r="B7634" s="1" t="n">
        <v>45980.71736111111</v>
      </c>
      <c r="C7634" s="1" t="n">
        <v>46075</v>
      </c>
      <c r="D7634" t="inlineStr">
        <is>
          <t>VÄSTERBOTTENS LÄN</t>
        </is>
      </c>
      <c r="E7634" t="inlineStr">
        <is>
          <t>VILHELMINA</t>
        </is>
      </c>
      <c r="G7634" t="n">
        <v>22.9</v>
      </c>
      <c r="H7634" t="n">
        <v>0</v>
      </c>
      <c r="I7634" t="n">
        <v>0</v>
      </c>
      <c r="J7634" t="n">
        <v>0</v>
      </c>
      <c r="K7634" t="n">
        <v>0</v>
      </c>
      <c r="L7634" t="n">
        <v>0</v>
      </c>
      <c r="M7634" t="n">
        <v>0</v>
      </c>
      <c r="N7634" t="n">
        <v>0</v>
      </c>
      <c r="O7634" t="n">
        <v>0</v>
      </c>
      <c r="P7634" t="n">
        <v>0</v>
      </c>
      <c r="Q7634" t="n">
        <v>0</v>
      </c>
      <c r="R7634" s="2" t="inlineStr"/>
    </row>
    <row r="7635" ht="15" customHeight="1">
      <c r="A7635" t="inlineStr">
        <is>
          <t>A 57579-2025</t>
        </is>
      </c>
      <c r="B7635" s="1" t="n">
        <v>45980</v>
      </c>
      <c r="C7635" s="1" t="n">
        <v>46075</v>
      </c>
      <c r="D7635" t="inlineStr">
        <is>
          <t>VÄSTERBOTTENS LÄN</t>
        </is>
      </c>
      <c r="E7635" t="inlineStr">
        <is>
          <t>STORUMAN</t>
        </is>
      </c>
      <c r="G7635" t="n">
        <v>1.4</v>
      </c>
      <c r="H7635" t="n">
        <v>0</v>
      </c>
      <c r="I7635" t="n">
        <v>0</v>
      </c>
      <c r="J7635" t="n">
        <v>0</v>
      </c>
      <c r="K7635" t="n">
        <v>0</v>
      </c>
      <c r="L7635" t="n">
        <v>0</v>
      </c>
      <c r="M7635" t="n">
        <v>0</v>
      </c>
      <c r="N7635" t="n">
        <v>0</v>
      </c>
      <c r="O7635" t="n">
        <v>0</v>
      </c>
      <c r="P7635" t="n">
        <v>0</v>
      </c>
      <c r="Q7635" t="n">
        <v>0</v>
      </c>
      <c r="R7635" s="2" t="inlineStr"/>
    </row>
    <row r="7636" ht="15" customHeight="1">
      <c r="A7636" t="inlineStr">
        <is>
          <t>A 57589-2025</t>
        </is>
      </c>
      <c r="B7636" s="1" t="n">
        <v>45980</v>
      </c>
      <c r="C7636" s="1" t="n">
        <v>46075</v>
      </c>
      <c r="D7636" t="inlineStr">
        <is>
          <t>VÄSTERBOTTENS LÄN</t>
        </is>
      </c>
      <c r="E7636" t="inlineStr">
        <is>
          <t>SORSELE</t>
        </is>
      </c>
      <c r="G7636" t="n">
        <v>8</v>
      </c>
      <c r="H7636" t="n">
        <v>0</v>
      </c>
      <c r="I7636" t="n">
        <v>0</v>
      </c>
      <c r="J7636" t="n">
        <v>0</v>
      </c>
      <c r="K7636" t="n">
        <v>0</v>
      </c>
      <c r="L7636" t="n">
        <v>0</v>
      </c>
      <c r="M7636" t="n">
        <v>0</v>
      </c>
      <c r="N7636" t="n">
        <v>0</v>
      </c>
      <c r="O7636" t="n">
        <v>0</v>
      </c>
      <c r="P7636" t="n">
        <v>0</v>
      </c>
      <c r="Q7636" t="n">
        <v>0</v>
      </c>
      <c r="R7636" s="2" t="inlineStr"/>
    </row>
    <row r="7637" ht="15" customHeight="1">
      <c r="A7637" t="inlineStr">
        <is>
          <t>A 57339-2025</t>
        </is>
      </c>
      <c r="B7637" s="1" t="n">
        <v>45980.345625</v>
      </c>
      <c r="C7637" s="1" t="n">
        <v>46075</v>
      </c>
      <c r="D7637" t="inlineStr">
        <is>
          <t>VÄSTERBOTTENS LÄN</t>
        </is>
      </c>
      <c r="E7637" t="inlineStr">
        <is>
          <t>ÅSELE</t>
        </is>
      </c>
      <c r="F7637" t="inlineStr">
        <is>
          <t>SCA</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57378-2025</t>
        </is>
      </c>
      <c r="B7638" s="1" t="n">
        <v>45980.40011574074</v>
      </c>
      <c r="C7638" s="1" t="n">
        <v>46075</v>
      </c>
      <c r="D7638" t="inlineStr">
        <is>
          <t>VÄSTERBOTTENS LÄN</t>
        </is>
      </c>
      <c r="E7638" t="inlineStr">
        <is>
          <t>SKELLEFTEÅ</t>
        </is>
      </c>
      <c r="F7638" t="inlineStr">
        <is>
          <t>Sveaskog</t>
        </is>
      </c>
      <c r="G7638" t="n">
        <v>19.1</v>
      </c>
      <c r="H7638" t="n">
        <v>0</v>
      </c>
      <c r="I7638" t="n">
        <v>0</v>
      </c>
      <c r="J7638" t="n">
        <v>0</v>
      </c>
      <c r="K7638" t="n">
        <v>0</v>
      </c>
      <c r="L7638" t="n">
        <v>0</v>
      </c>
      <c r="M7638" t="n">
        <v>0</v>
      </c>
      <c r="N7638" t="n">
        <v>0</v>
      </c>
      <c r="O7638" t="n">
        <v>0</v>
      </c>
      <c r="P7638" t="n">
        <v>0</v>
      </c>
      <c r="Q7638" t="n">
        <v>0</v>
      </c>
      <c r="R7638" s="2" t="inlineStr"/>
    </row>
    <row r="7639" ht="15" customHeight="1">
      <c r="A7639" t="inlineStr">
        <is>
          <t>A 57379-2025</t>
        </is>
      </c>
      <c r="B7639" s="1" t="n">
        <v>45980.40270833333</v>
      </c>
      <c r="C7639" s="1" t="n">
        <v>46075</v>
      </c>
      <c r="D7639" t="inlineStr">
        <is>
          <t>VÄSTERBOTTENS LÄN</t>
        </is>
      </c>
      <c r="E7639" t="inlineStr">
        <is>
          <t>ÅSELE</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57541-2025</t>
        </is>
      </c>
      <c r="B7640" s="1" t="n">
        <v>45980.65039351852</v>
      </c>
      <c r="C7640" s="1" t="n">
        <v>46075</v>
      </c>
      <c r="D7640" t="inlineStr">
        <is>
          <t>VÄSTERBOTTENS LÄN</t>
        </is>
      </c>
      <c r="E7640" t="inlineStr">
        <is>
          <t>NORDMALING</t>
        </is>
      </c>
      <c r="G7640" t="n">
        <v>4.4</v>
      </c>
      <c r="H7640" t="n">
        <v>0</v>
      </c>
      <c r="I7640" t="n">
        <v>0</v>
      </c>
      <c r="J7640" t="n">
        <v>0</v>
      </c>
      <c r="K7640" t="n">
        <v>0</v>
      </c>
      <c r="L7640" t="n">
        <v>0</v>
      </c>
      <c r="M7640" t="n">
        <v>0</v>
      </c>
      <c r="N7640" t="n">
        <v>0</v>
      </c>
      <c r="O7640" t="n">
        <v>0</v>
      </c>
      <c r="P7640" t="n">
        <v>0</v>
      </c>
      <c r="Q7640" t="n">
        <v>0</v>
      </c>
      <c r="R7640" s="2" t="inlineStr"/>
    </row>
    <row r="7641" ht="15" customHeight="1">
      <c r="A7641" t="inlineStr">
        <is>
          <t>A 57551-2025</t>
        </is>
      </c>
      <c r="B7641" s="1" t="n">
        <v>45980.65818287037</v>
      </c>
      <c r="C7641" s="1" t="n">
        <v>46075</v>
      </c>
      <c r="D7641" t="inlineStr">
        <is>
          <t>VÄSTERBOTTENS LÄN</t>
        </is>
      </c>
      <c r="E7641" t="inlineStr">
        <is>
          <t>UMEÅ</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57385-2025</t>
        </is>
      </c>
      <c r="B7642" s="1" t="n">
        <v>45980.41197916667</v>
      </c>
      <c r="C7642" s="1" t="n">
        <v>46075</v>
      </c>
      <c r="D7642" t="inlineStr">
        <is>
          <t>VÄSTERBOTTENS LÄN</t>
        </is>
      </c>
      <c r="E7642" t="inlineStr">
        <is>
          <t>LYCKSELE</t>
        </is>
      </c>
      <c r="G7642" t="n">
        <v>2.3</v>
      </c>
      <c r="H7642" t="n">
        <v>0</v>
      </c>
      <c r="I7642" t="n">
        <v>0</v>
      </c>
      <c r="J7642" t="n">
        <v>0</v>
      </c>
      <c r="K7642" t="n">
        <v>0</v>
      </c>
      <c r="L7642" t="n">
        <v>0</v>
      </c>
      <c r="M7642" t="n">
        <v>0</v>
      </c>
      <c r="N7642" t="n">
        <v>0</v>
      </c>
      <c r="O7642" t="n">
        <v>0</v>
      </c>
      <c r="P7642" t="n">
        <v>0</v>
      </c>
      <c r="Q7642" t="n">
        <v>0</v>
      </c>
      <c r="R7642" s="2" t="inlineStr"/>
    </row>
    <row r="7643" ht="15" customHeight="1">
      <c r="A7643" t="inlineStr">
        <is>
          <t>A 14773-2025</t>
        </is>
      </c>
      <c r="B7643" s="1" t="n">
        <v>45742.69009259259</v>
      </c>
      <c r="C7643" s="1" t="n">
        <v>46075</v>
      </c>
      <c r="D7643" t="inlineStr">
        <is>
          <t>VÄSTERBOTTENS LÄN</t>
        </is>
      </c>
      <c r="E7643" t="inlineStr">
        <is>
          <t>LYCKSELE</t>
        </is>
      </c>
      <c r="F7643" t="inlineStr">
        <is>
          <t>Holmen skog AB</t>
        </is>
      </c>
      <c r="G7643" t="n">
        <v>50.1</v>
      </c>
      <c r="H7643" t="n">
        <v>0</v>
      </c>
      <c r="I7643" t="n">
        <v>0</v>
      </c>
      <c r="J7643" t="n">
        <v>0</v>
      </c>
      <c r="K7643" t="n">
        <v>0</v>
      </c>
      <c r="L7643" t="n">
        <v>0</v>
      </c>
      <c r="M7643" t="n">
        <v>0</v>
      </c>
      <c r="N7643" t="n">
        <v>0</v>
      </c>
      <c r="O7643" t="n">
        <v>0</v>
      </c>
      <c r="P7643" t="n">
        <v>0</v>
      </c>
      <c r="Q7643" t="n">
        <v>0</v>
      </c>
      <c r="R7643" s="2" t="inlineStr"/>
    </row>
    <row r="7644" ht="15" customHeight="1">
      <c r="A7644" t="inlineStr">
        <is>
          <t>A 14794-2025</t>
        </is>
      </c>
      <c r="B7644" s="1" t="n">
        <v>45742.87457175926</v>
      </c>
      <c r="C7644" s="1" t="n">
        <v>46075</v>
      </c>
      <c r="D7644" t="inlineStr">
        <is>
          <t>VÄSTERBOTTENS LÄN</t>
        </is>
      </c>
      <c r="E7644" t="inlineStr">
        <is>
          <t>LYCKSELE</t>
        </is>
      </c>
      <c r="G7644" t="n">
        <v>2</v>
      </c>
      <c r="H7644" t="n">
        <v>0</v>
      </c>
      <c r="I7644" t="n">
        <v>0</v>
      </c>
      <c r="J7644" t="n">
        <v>0</v>
      </c>
      <c r="K7644" t="n">
        <v>0</v>
      </c>
      <c r="L7644" t="n">
        <v>0</v>
      </c>
      <c r="M7644" t="n">
        <v>0</v>
      </c>
      <c r="N7644" t="n">
        <v>0</v>
      </c>
      <c r="O7644" t="n">
        <v>0</v>
      </c>
      <c r="P7644" t="n">
        <v>0</v>
      </c>
      <c r="Q7644" t="n">
        <v>0</v>
      </c>
      <c r="R7644" s="2" t="inlineStr"/>
    </row>
    <row r="7645" ht="15" customHeight="1">
      <c r="A7645" t="inlineStr">
        <is>
          <t>A 58140-2025</t>
        </is>
      </c>
      <c r="B7645" s="1" t="n">
        <v>45981</v>
      </c>
      <c r="C7645" s="1" t="n">
        <v>46075</v>
      </c>
      <c r="D7645" t="inlineStr">
        <is>
          <t>VÄSTERBOTTENS LÄN</t>
        </is>
      </c>
      <c r="E7645" t="inlineStr">
        <is>
          <t>LYCKSELE</t>
        </is>
      </c>
      <c r="G7645" t="n">
        <v>4.9</v>
      </c>
      <c r="H7645" t="n">
        <v>0</v>
      </c>
      <c r="I7645" t="n">
        <v>0</v>
      </c>
      <c r="J7645" t="n">
        <v>0</v>
      </c>
      <c r="K7645" t="n">
        <v>0</v>
      </c>
      <c r="L7645" t="n">
        <v>0</v>
      </c>
      <c r="M7645" t="n">
        <v>0</v>
      </c>
      <c r="N7645" t="n">
        <v>0</v>
      </c>
      <c r="O7645" t="n">
        <v>0</v>
      </c>
      <c r="P7645" t="n">
        <v>0</v>
      </c>
      <c r="Q7645" t="n">
        <v>0</v>
      </c>
      <c r="R7645" s="2" t="inlineStr"/>
    </row>
    <row r="7646" ht="15" customHeight="1">
      <c r="A7646" t="inlineStr">
        <is>
          <t>A 57328-2025</t>
        </is>
      </c>
      <c r="B7646" s="1" t="n">
        <v>45980.34083333334</v>
      </c>
      <c r="C7646" s="1" t="n">
        <v>46075</v>
      </c>
      <c r="D7646" t="inlineStr">
        <is>
          <t>VÄSTERBOTTENS LÄN</t>
        </is>
      </c>
      <c r="E7646" t="inlineStr">
        <is>
          <t>SKELLEFTEÅ</t>
        </is>
      </c>
      <c r="F7646" t="inlineStr">
        <is>
          <t>Sveaskog</t>
        </is>
      </c>
      <c r="G7646" t="n">
        <v>14.2</v>
      </c>
      <c r="H7646" t="n">
        <v>0</v>
      </c>
      <c r="I7646" t="n">
        <v>0</v>
      </c>
      <c r="J7646" t="n">
        <v>0</v>
      </c>
      <c r="K7646" t="n">
        <v>0</v>
      </c>
      <c r="L7646" t="n">
        <v>0</v>
      </c>
      <c r="M7646" t="n">
        <v>0</v>
      </c>
      <c r="N7646" t="n">
        <v>0</v>
      </c>
      <c r="O7646" t="n">
        <v>0</v>
      </c>
      <c r="P7646" t="n">
        <v>0</v>
      </c>
      <c r="Q7646" t="n">
        <v>0</v>
      </c>
      <c r="R7646" s="2" t="inlineStr"/>
    </row>
    <row r="7647" ht="15" customHeight="1">
      <c r="A7647" t="inlineStr">
        <is>
          <t>A 57330-2025</t>
        </is>
      </c>
      <c r="B7647" s="1" t="n">
        <v>45980.34450231482</v>
      </c>
      <c r="C7647" s="1" t="n">
        <v>46075</v>
      </c>
      <c r="D7647" t="inlineStr">
        <is>
          <t>VÄSTERBOTTENS LÄN</t>
        </is>
      </c>
      <c r="E7647" t="inlineStr">
        <is>
          <t>LYCKSELE</t>
        </is>
      </c>
      <c r="F7647" t="inlineStr">
        <is>
          <t>Sveaskog</t>
        </is>
      </c>
      <c r="G7647" t="n">
        <v>9.300000000000001</v>
      </c>
      <c r="H7647" t="n">
        <v>0</v>
      </c>
      <c r="I7647" t="n">
        <v>0</v>
      </c>
      <c r="J7647" t="n">
        <v>0</v>
      </c>
      <c r="K7647" t="n">
        <v>0</v>
      </c>
      <c r="L7647" t="n">
        <v>0</v>
      </c>
      <c r="M7647" t="n">
        <v>0</v>
      </c>
      <c r="N7647" t="n">
        <v>0</v>
      </c>
      <c r="O7647" t="n">
        <v>0</v>
      </c>
      <c r="P7647" t="n">
        <v>0</v>
      </c>
      <c r="Q7647" t="n">
        <v>0</v>
      </c>
      <c r="R7647" s="2" t="inlineStr"/>
    </row>
    <row r="7648" ht="15" customHeight="1">
      <c r="A7648" t="inlineStr">
        <is>
          <t>A 40468-2021</t>
        </is>
      </c>
      <c r="B7648" s="1" t="n">
        <v>44419.94174768519</v>
      </c>
      <c r="C7648" s="1" t="n">
        <v>46075</v>
      </c>
      <c r="D7648" t="inlineStr">
        <is>
          <t>VÄSTERBOTTENS LÄN</t>
        </is>
      </c>
      <c r="E7648" t="inlineStr">
        <is>
          <t>VILHELMINA</t>
        </is>
      </c>
      <c r="F7648" t="inlineStr">
        <is>
          <t>SCA</t>
        </is>
      </c>
      <c r="G7648" t="n">
        <v>2.4</v>
      </c>
      <c r="H7648" t="n">
        <v>0</v>
      </c>
      <c r="I7648" t="n">
        <v>0</v>
      </c>
      <c r="J7648" t="n">
        <v>0</v>
      </c>
      <c r="K7648" t="n">
        <v>0</v>
      </c>
      <c r="L7648" t="n">
        <v>0</v>
      </c>
      <c r="M7648" t="n">
        <v>0</v>
      </c>
      <c r="N7648" t="n">
        <v>0</v>
      </c>
      <c r="O7648" t="n">
        <v>0</v>
      </c>
      <c r="P7648" t="n">
        <v>0</v>
      </c>
      <c r="Q7648" t="n">
        <v>0</v>
      </c>
      <c r="R7648" s="2" t="inlineStr"/>
    </row>
    <row r="7649" ht="15" customHeight="1">
      <c r="A7649" t="inlineStr">
        <is>
          <t>A 57368-2025</t>
        </is>
      </c>
      <c r="B7649" s="1" t="n">
        <v>45980.3821875</v>
      </c>
      <c r="C7649" s="1" t="n">
        <v>46075</v>
      </c>
      <c r="D7649" t="inlineStr">
        <is>
          <t>VÄSTERBOTTENS LÄN</t>
        </is>
      </c>
      <c r="E7649" t="inlineStr">
        <is>
          <t>BJURHOLM</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57874-2025</t>
        </is>
      </c>
      <c r="B7650" s="1" t="n">
        <v>45981</v>
      </c>
      <c r="C7650" s="1" t="n">
        <v>46075</v>
      </c>
      <c r="D7650" t="inlineStr">
        <is>
          <t>VÄSTERBOTTENS LÄN</t>
        </is>
      </c>
      <c r="E7650" t="inlineStr">
        <is>
          <t>DOROTEA</t>
        </is>
      </c>
      <c r="G7650" t="n">
        <v>3.2</v>
      </c>
      <c r="H7650" t="n">
        <v>0</v>
      </c>
      <c r="I7650" t="n">
        <v>0</v>
      </c>
      <c r="J7650" t="n">
        <v>0</v>
      </c>
      <c r="K7650" t="n">
        <v>0</v>
      </c>
      <c r="L7650" t="n">
        <v>0</v>
      </c>
      <c r="M7650" t="n">
        <v>0</v>
      </c>
      <c r="N7650" t="n">
        <v>0</v>
      </c>
      <c r="O7650" t="n">
        <v>0</v>
      </c>
      <c r="P7650" t="n">
        <v>0</v>
      </c>
      <c r="Q7650" t="n">
        <v>0</v>
      </c>
      <c r="R7650" s="2" t="inlineStr"/>
    </row>
    <row r="7651" ht="15" customHeight="1">
      <c r="A7651" t="inlineStr">
        <is>
          <t>A 43544-2022</t>
        </is>
      </c>
      <c r="B7651" s="1" t="n">
        <v>44837.42186342592</v>
      </c>
      <c r="C7651" s="1" t="n">
        <v>46075</v>
      </c>
      <c r="D7651" t="inlineStr">
        <is>
          <t>VÄSTERBOTTENS LÄN</t>
        </is>
      </c>
      <c r="E7651" t="inlineStr">
        <is>
          <t>SKELLEFTEÅ</t>
        </is>
      </c>
      <c r="F7651" t="inlineStr">
        <is>
          <t>Holmen skog AB</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57535-2025</t>
        </is>
      </c>
      <c r="B7652" s="1" t="n">
        <v>45980.64270833333</v>
      </c>
      <c r="C7652" s="1" t="n">
        <v>46075</v>
      </c>
      <c r="D7652" t="inlineStr">
        <is>
          <t>VÄSTERBOTTENS LÄN</t>
        </is>
      </c>
      <c r="E7652" t="inlineStr">
        <is>
          <t>NORDMALING</t>
        </is>
      </c>
      <c r="G7652" t="n">
        <v>3.9</v>
      </c>
      <c r="H7652" t="n">
        <v>0</v>
      </c>
      <c r="I7652" t="n">
        <v>0</v>
      </c>
      <c r="J7652" t="n">
        <v>0</v>
      </c>
      <c r="K7652" t="n">
        <v>0</v>
      </c>
      <c r="L7652" t="n">
        <v>0</v>
      </c>
      <c r="M7652" t="n">
        <v>0</v>
      </c>
      <c r="N7652" t="n">
        <v>0</v>
      </c>
      <c r="O7652" t="n">
        <v>0</v>
      </c>
      <c r="P7652" t="n">
        <v>0</v>
      </c>
      <c r="Q7652" t="n">
        <v>0</v>
      </c>
      <c r="R7652" s="2" t="inlineStr"/>
    </row>
    <row r="7653" ht="15" customHeight="1">
      <c r="A7653" t="inlineStr">
        <is>
          <t>A 57590-2025</t>
        </is>
      </c>
      <c r="B7653" s="1" t="n">
        <v>45980</v>
      </c>
      <c r="C7653" s="1" t="n">
        <v>46075</v>
      </c>
      <c r="D7653" t="inlineStr">
        <is>
          <t>VÄSTERBOTTENS LÄN</t>
        </is>
      </c>
      <c r="E7653" t="inlineStr">
        <is>
          <t>SORSELE</t>
        </is>
      </c>
      <c r="G7653" t="n">
        <v>7</v>
      </c>
      <c r="H7653" t="n">
        <v>0</v>
      </c>
      <c r="I7653" t="n">
        <v>0</v>
      </c>
      <c r="J7653" t="n">
        <v>0</v>
      </c>
      <c r="K7653" t="n">
        <v>0</v>
      </c>
      <c r="L7653" t="n">
        <v>0</v>
      </c>
      <c r="M7653" t="n">
        <v>0</v>
      </c>
      <c r="N7653" t="n">
        <v>0</v>
      </c>
      <c r="O7653" t="n">
        <v>0</v>
      </c>
      <c r="P7653" t="n">
        <v>0</v>
      </c>
      <c r="Q7653" t="n">
        <v>0</v>
      </c>
      <c r="R7653" s="2" t="inlineStr"/>
    </row>
    <row r="7654" ht="15" customHeight="1">
      <c r="A7654" t="inlineStr">
        <is>
          <t>A 41321-2024</t>
        </is>
      </c>
      <c r="B7654" s="1" t="n">
        <v>45559.64984953704</v>
      </c>
      <c r="C7654" s="1" t="n">
        <v>46075</v>
      </c>
      <c r="D7654" t="inlineStr">
        <is>
          <t>VÄSTERBOTTENS LÄN</t>
        </is>
      </c>
      <c r="E7654" t="inlineStr">
        <is>
          <t>ÅSELE</t>
        </is>
      </c>
      <c r="F7654" t="inlineStr">
        <is>
          <t>Naturvårdsverket</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29164-2022</t>
        </is>
      </c>
      <c r="B7655" s="1" t="n">
        <v>44750.49505787037</v>
      </c>
      <c r="C7655" s="1" t="n">
        <v>46075</v>
      </c>
      <c r="D7655" t="inlineStr">
        <is>
          <t>VÄSTERBOTTENS LÄN</t>
        </is>
      </c>
      <c r="E7655" t="inlineStr">
        <is>
          <t>SKELLEFTEÅ</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8658-2025</t>
        </is>
      </c>
      <c r="B7656" s="1" t="n">
        <v>45712.38586805556</v>
      </c>
      <c r="C7656" s="1" t="n">
        <v>46075</v>
      </c>
      <c r="D7656" t="inlineStr">
        <is>
          <t>VÄSTERBOTTENS LÄN</t>
        </is>
      </c>
      <c r="E7656" t="inlineStr">
        <is>
          <t>SKELLEFTEÅ</t>
        </is>
      </c>
      <c r="G7656" t="n">
        <v>3.8</v>
      </c>
      <c r="H7656" t="n">
        <v>0</v>
      </c>
      <c r="I7656" t="n">
        <v>0</v>
      </c>
      <c r="J7656" t="n">
        <v>0</v>
      </c>
      <c r="K7656" t="n">
        <v>0</v>
      </c>
      <c r="L7656" t="n">
        <v>0</v>
      </c>
      <c r="M7656" t="n">
        <v>0</v>
      </c>
      <c r="N7656" t="n">
        <v>0</v>
      </c>
      <c r="O7656" t="n">
        <v>0</v>
      </c>
      <c r="P7656" t="n">
        <v>0</v>
      </c>
      <c r="Q7656" t="n">
        <v>0</v>
      </c>
      <c r="R7656" s="2" t="inlineStr"/>
    </row>
    <row r="7657" ht="15" customHeight="1">
      <c r="A7657" t="inlineStr">
        <is>
          <t>A 29867-2022</t>
        </is>
      </c>
      <c r="B7657" s="1" t="n">
        <v>44756</v>
      </c>
      <c r="C7657" s="1" t="n">
        <v>46075</v>
      </c>
      <c r="D7657" t="inlineStr">
        <is>
          <t>VÄSTERBOTTENS LÄN</t>
        </is>
      </c>
      <c r="E7657" t="inlineStr">
        <is>
          <t>BJURHOLM</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57562-2025</t>
        </is>
      </c>
      <c r="B7658" s="1" t="n">
        <v>45980.69892361111</v>
      </c>
      <c r="C7658" s="1" t="n">
        <v>46075</v>
      </c>
      <c r="D7658" t="inlineStr">
        <is>
          <t>VÄSTERBOTTENS LÄN</t>
        </is>
      </c>
      <c r="E7658" t="inlineStr">
        <is>
          <t>NORSJÖ</t>
        </is>
      </c>
      <c r="G7658" t="n">
        <v>12.4</v>
      </c>
      <c r="H7658" t="n">
        <v>0</v>
      </c>
      <c r="I7658" t="n">
        <v>0</v>
      </c>
      <c r="J7658" t="n">
        <v>0</v>
      </c>
      <c r="K7658" t="n">
        <v>0</v>
      </c>
      <c r="L7658" t="n">
        <v>0</v>
      </c>
      <c r="M7658" t="n">
        <v>0</v>
      </c>
      <c r="N7658" t="n">
        <v>0</v>
      </c>
      <c r="O7658" t="n">
        <v>0</v>
      </c>
      <c r="P7658" t="n">
        <v>0</v>
      </c>
      <c r="Q7658" t="n">
        <v>0</v>
      </c>
      <c r="R7658" s="2" t="inlineStr"/>
    </row>
    <row r="7659" ht="15" customHeight="1">
      <c r="A7659" t="inlineStr">
        <is>
          <t>A 57534-2025</t>
        </is>
      </c>
      <c r="B7659" s="1" t="n">
        <v>45980</v>
      </c>
      <c r="C7659" s="1" t="n">
        <v>46075</v>
      </c>
      <c r="D7659" t="inlineStr">
        <is>
          <t>VÄSTERBOTTENS LÄN</t>
        </is>
      </c>
      <c r="E7659" t="inlineStr">
        <is>
          <t>SORSELE</t>
        </is>
      </c>
      <c r="G7659" t="n">
        <v>10.3</v>
      </c>
      <c r="H7659" t="n">
        <v>0</v>
      </c>
      <c r="I7659" t="n">
        <v>0</v>
      </c>
      <c r="J7659" t="n">
        <v>0</v>
      </c>
      <c r="K7659" t="n">
        <v>0</v>
      </c>
      <c r="L7659" t="n">
        <v>0</v>
      </c>
      <c r="M7659" t="n">
        <v>0</v>
      </c>
      <c r="N7659" t="n">
        <v>0</v>
      </c>
      <c r="O7659" t="n">
        <v>0</v>
      </c>
      <c r="P7659" t="n">
        <v>0</v>
      </c>
      <c r="Q7659" t="n">
        <v>0</v>
      </c>
      <c r="R7659" s="2" t="inlineStr"/>
    </row>
    <row r="7660" ht="15" customHeight="1">
      <c r="A7660" t="inlineStr">
        <is>
          <t>A 57539-2025</t>
        </is>
      </c>
      <c r="B7660" s="1" t="n">
        <v>45980.64873842592</v>
      </c>
      <c r="C7660" s="1" t="n">
        <v>46075</v>
      </c>
      <c r="D7660" t="inlineStr">
        <is>
          <t>VÄSTERBOTTENS LÄN</t>
        </is>
      </c>
      <c r="E7660" t="inlineStr">
        <is>
          <t>NORSJÖ</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57737-2025</t>
        </is>
      </c>
      <c r="B7661" s="1" t="n">
        <v>45981.51613425926</v>
      </c>
      <c r="C7661" s="1" t="n">
        <v>46075</v>
      </c>
      <c r="D7661" t="inlineStr">
        <is>
          <t>VÄSTERBOTTENS LÄN</t>
        </is>
      </c>
      <c r="E7661" t="inlineStr">
        <is>
          <t>ROBERTSFORS</t>
        </is>
      </c>
      <c r="F7661" t="inlineStr">
        <is>
          <t>Holmen skog AB</t>
        </is>
      </c>
      <c r="G7661" t="n">
        <v>3.4</v>
      </c>
      <c r="H7661" t="n">
        <v>0</v>
      </c>
      <c r="I7661" t="n">
        <v>0</v>
      </c>
      <c r="J7661" t="n">
        <v>0</v>
      </c>
      <c r="K7661" t="n">
        <v>0</v>
      </c>
      <c r="L7661" t="n">
        <v>0</v>
      </c>
      <c r="M7661" t="n">
        <v>0</v>
      </c>
      <c r="N7661" t="n">
        <v>0</v>
      </c>
      <c r="O7661" t="n">
        <v>0</v>
      </c>
      <c r="P7661" t="n">
        <v>0</v>
      </c>
      <c r="Q7661" t="n">
        <v>0</v>
      </c>
      <c r="R7661" s="2" t="inlineStr"/>
    </row>
    <row r="7662" ht="15" customHeight="1">
      <c r="A7662" t="inlineStr">
        <is>
          <t>A 40927-2024</t>
        </is>
      </c>
      <c r="B7662" s="1" t="n">
        <v>45558.64018518518</v>
      </c>
      <c r="C7662" s="1" t="n">
        <v>46075</v>
      </c>
      <c r="D7662" t="inlineStr">
        <is>
          <t>VÄSTERBOTTENS LÄN</t>
        </is>
      </c>
      <c r="E7662" t="inlineStr">
        <is>
          <t>SKELLEFTEÅ</t>
        </is>
      </c>
      <c r="F7662" t="inlineStr">
        <is>
          <t>Holmen skog AB</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57791-2025</t>
        </is>
      </c>
      <c r="B7663" s="1" t="n">
        <v>45981.57913194445</v>
      </c>
      <c r="C7663" s="1" t="n">
        <v>46075</v>
      </c>
      <c r="D7663" t="inlineStr">
        <is>
          <t>VÄSTERBOTTENS LÄN</t>
        </is>
      </c>
      <c r="E7663" t="inlineStr">
        <is>
          <t>UMEÅ</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19032-2025</t>
        </is>
      </c>
      <c r="B7664" s="1" t="n">
        <v>45764</v>
      </c>
      <c r="C7664" s="1" t="n">
        <v>46075</v>
      </c>
      <c r="D7664" t="inlineStr">
        <is>
          <t>VÄSTERBOTTENS LÄN</t>
        </is>
      </c>
      <c r="E7664" t="inlineStr">
        <is>
          <t>DOROTEA</t>
        </is>
      </c>
      <c r="F7664" t="inlineStr">
        <is>
          <t>SCA</t>
        </is>
      </c>
      <c r="G7664" t="n">
        <v>6.1</v>
      </c>
      <c r="H7664" t="n">
        <v>0</v>
      </c>
      <c r="I7664" t="n">
        <v>0</v>
      </c>
      <c r="J7664" t="n">
        <v>0</v>
      </c>
      <c r="K7664" t="n">
        <v>0</v>
      </c>
      <c r="L7664" t="n">
        <v>0</v>
      </c>
      <c r="M7664" t="n">
        <v>0</v>
      </c>
      <c r="N7664" t="n">
        <v>0</v>
      </c>
      <c r="O7664" t="n">
        <v>0</v>
      </c>
      <c r="P7664" t="n">
        <v>0</v>
      </c>
      <c r="Q7664" t="n">
        <v>0</v>
      </c>
      <c r="R7664" s="2" t="inlineStr"/>
    </row>
    <row r="7665" ht="15" customHeight="1">
      <c r="A7665" t="inlineStr">
        <is>
          <t>A 57340-2025</t>
        </is>
      </c>
      <c r="B7665" s="1" t="n">
        <v>45980.34586805556</v>
      </c>
      <c r="C7665" s="1" t="n">
        <v>46075</v>
      </c>
      <c r="D7665" t="inlineStr">
        <is>
          <t>VÄSTERBOTTENS LÄN</t>
        </is>
      </c>
      <c r="E7665" t="inlineStr">
        <is>
          <t>SKELLEFTEÅ</t>
        </is>
      </c>
      <c r="F7665" t="inlineStr">
        <is>
          <t>Sveaskog</t>
        </is>
      </c>
      <c r="G7665" t="n">
        <v>24.1</v>
      </c>
      <c r="H7665" t="n">
        <v>0</v>
      </c>
      <c r="I7665" t="n">
        <v>0</v>
      </c>
      <c r="J7665" t="n">
        <v>0</v>
      </c>
      <c r="K7665" t="n">
        <v>0</v>
      </c>
      <c r="L7665" t="n">
        <v>0</v>
      </c>
      <c r="M7665" t="n">
        <v>0</v>
      </c>
      <c r="N7665" t="n">
        <v>0</v>
      </c>
      <c r="O7665" t="n">
        <v>0</v>
      </c>
      <c r="P7665" t="n">
        <v>0</v>
      </c>
      <c r="Q7665" t="n">
        <v>0</v>
      </c>
      <c r="R7665" s="2" t="inlineStr"/>
      <c r="U7665">
        <f>HYPERLINK("https://klasma.github.io/Logging_2482/knärot/A 57340-2025 karta knärot.png", "A 57340-2025")</f>
        <v/>
      </c>
      <c r="V7665">
        <f>HYPERLINK("https://klasma.github.io/Logging_2482/klagomål/A 57340-2025 FSC-klagomål.docx", "A 57340-2025")</f>
        <v/>
      </c>
      <c r="W7665">
        <f>HYPERLINK("https://klasma.github.io/Logging_2482/klagomålsmail/A 57340-2025 FSC-klagomål mail.docx", "A 57340-2025")</f>
        <v/>
      </c>
      <c r="X7665">
        <f>HYPERLINK("https://klasma.github.io/Logging_2482/tillsyn/A 57340-2025 tillsynsbegäran.docx", "A 57340-2025")</f>
        <v/>
      </c>
      <c r="Y7665">
        <f>HYPERLINK("https://klasma.github.io/Logging_2482/tillsynsmail/A 57340-2025 tillsynsbegäran mail.docx", "A 57340-2025")</f>
        <v/>
      </c>
    </row>
    <row r="7666" ht="15" customHeight="1">
      <c r="A7666" t="inlineStr">
        <is>
          <t>A 57812-2025</t>
        </is>
      </c>
      <c r="B7666" s="1" t="n">
        <v>45981</v>
      </c>
      <c r="C7666" s="1" t="n">
        <v>46075</v>
      </c>
      <c r="D7666" t="inlineStr">
        <is>
          <t>VÄSTERBOTTENS LÄN</t>
        </is>
      </c>
      <c r="E7666" t="inlineStr">
        <is>
          <t>VILHELMINA</t>
        </is>
      </c>
      <c r="G7666" t="n">
        <v>5.9</v>
      </c>
      <c r="H7666" t="n">
        <v>0</v>
      </c>
      <c r="I7666" t="n">
        <v>0</v>
      </c>
      <c r="J7666" t="n">
        <v>0</v>
      </c>
      <c r="K7666" t="n">
        <v>0</v>
      </c>
      <c r="L7666" t="n">
        <v>0</v>
      </c>
      <c r="M7666" t="n">
        <v>0</v>
      </c>
      <c r="N7666" t="n">
        <v>0</v>
      </c>
      <c r="O7666" t="n">
        <v>0</v>
      </c>
      <c r="P7666" t="n">
        <v>0</v>
      </c>
      <c r="Q7666" t="n">
        <v>0</v>
      </c>
      <c r="R7666" s="2" t="inlineStr"/>
    </row>
    <row r="7667" ht="15" customHeight="1">
      <c r="A7667" t="inlineStr">
        <is>
          <t>A 57899-2025</t>
        </is>
      </c>
      <c r="B7667" s="1" t="n">
        <v>45981.72832175926</v>
      </c>
      <c r="C7667" s="1" t="n">
        <v>46075</v>
      </c>
      <c r="D7667" t="inlineStr">
        <is>
          <t>VÄSTERBOTTENS LÄN</t>
        </is>
      </c>
      <c r="E7667" t="inlineStr">
        <is>
          <t>NORDMALING</t>
        </is>
      </c>
      <c r="G7667" t="n">
        <v>1.8</v>
      </c>
      <c r="H7667" t="n">
        <v>0</v>
      </c>
      <c r="I7667" t="n">
        <v>0</v>
      </c>
      <c r="J7667" t="n">
        <v>0</v>
      </c>
      <c r="K7667" t="n">
        <v>0</v>
      </c>
      <c r="L7667" t="n">
        <v>0</v>
      </c>
      <c r="M7667" t="n">
        <v>0</v>
      </c>
      <c r="N7667" t="n">
        <v>0</v>
      </c>
      <c r="O7667" t="n">
        <v>0</v>
      </c>
      <c r="P7667" t="n">
        <v>0</v>
      </c>
      <c r="Q7667" t="n">
        <v>0</v>
      </c>
      <c r="R7667" s="2" t="inlineStr"/>
    </row>
    <row r="7668" ht="15" customHeight="1">
      <c r="A7668" t="inlineStr">
        <is>
          <t>A 57901-2025</t>
        </is>
      </c>
      <c r="B7668" s="1" t="n">
        <v>45981.74396990741</v>
      </c>
      <c r="C7668" s="1" t="n">
        <v>46075</v>
      </c>
      <c r="D7668" t="inlineStr">
        <is>
          <t>VÄSTERBOTTENS LÄN</t>
        </is>
      </c>
      <c r="E7668" t="inlineStr">
        <is>
          <t>NORDMALING</t>
        </is>
      </c>
      <c r="G7668" t="n">
        <v>3</v>
      </c>
      <c r="H7668" t="n">
        <v>0</v>
      </c>
      <c r="I7668" t="n">
        <v>0</v>
      </c>
      <c r="J7668" t="n">
        <v>0</v>
      </c>
      <c r="K7668" t="n">
        <v>0</v>
      </c>
      <c r="L7668" t="n">
        <v>0</v>
      </c>
      <c r="M7668" t="n">
        <v>0</v>
      </c>
      <c r="N7668" t="n">
        <v>0</v>
      </c>
      <c r="O7668" t="n">
        <v>0</v>
      </c>
      <c r="P7668" t="n">
        <v>0</v>
      </c>
      <c r="Q7668" t="n">
        <v>0</v>
      </c>
      <c r="R7668" s="2" t="inlineStr"/>
    </row>
    <row r="7669" ht="15" customHeight="1">
      <c r="A7669" t="inlineStr">
        <is>
          <t>A 57587-2025</t>
        </is>
      </c>
      <c r="B7669" s="1" t="n">
        <v>45980</v>
      </c>
      <c r="C7669" s="1" t="n">
        <v>46075</v>
      </c>
      <c r="D7669" t="inlineStr">
        <is>
          <t>VÄSTERBOTTENS LÄN</t>
        </is>
      </c>
      <c r="E7669" t="inlineStr">
        <is>
          <t>MALÅ</t>
        </is>
      </c>
      <c r="G7669" t="n">
        <v>1.8</v>
      </c>
      <c r="H7669" t="n">
        <v>0</v>
      </c>
      <c r="I7669" t="n">
        <v>0</v>
      </c>
      <c r="J7669" t="n">
        <v>0</v>
      </c>
      <c r="K7669" t="n">
        <v>0</v>
      </c>
      <c r="L7669" t="n">
        <v>0</v>
      </c>
      <c r="M7669" t="n">
        <v>0</v>
      </c>
      <c r="N7669" t="n">
        <v>0</v>
      </c>
      <c r="O7669" t="n">
        <v>0</v>
      </c>
      <c r="P7669" t="n">
        <v>0</v>
      </c>
      <c r="Q7669" t="n">
        <v>0</v>
      </c>
      <c r="R7669" s="2" t="inlineStr"/>
    </row>
    <row r="7670" ht="15" customHeight="1">
      <c r="A7670" t="inlineStr">
        <is>
          <t>A 57588-2025</t>
        </is>
      </c>
      <c r="B7670" s="1" t="n">
        <v>45980</v>
      </c>
      <c r="C7670" s="1" t="n">
        <v>46075</v>
      </c>
      <c r="D7670" t="inlineStr">
        <is>
          <t>VÄSTERBOTTENS LÄN</t>
        </is>
      </c>
      <c r="E7670" t="inlineStr">
        <is>
          <t>STORUMAN</t>
        </is>
      </c>
      <c r="G7670" t="n">
        <v>3</v>
      </c>
      <c r="H7670" t="n">
        <v>0</v>
      </c>
      <c r="I7670" t="n">
        <v>0</v>
      </c>
      <c r="J7670" t="n">
        <v>0</v>
      </c>
      <c r="K7670" t="n">
        <v>0</v>
      </c>
      <c r="L7670" t="n">
        <v>0</v>
      </c>
      <c r="M7670" t="n">
        <v>0</v>
      </c>
      <c r="N7670" t="n">
        <v>0</v>
      </c>
      <c r="O7670" t="n">
        <v>0</v>
      </c>
      <c r="P7670" t="n">
        <v>0</v>
      </c>
      <c r="Q7670" t="n">
        <v>0</v>
      </c>
      <c r="R7670" s="2" t="inlineStr"/>
    </row>
    <row r="7671" ht="15" customHeight="1">
      <c r="A7671" t="inlineStr">
        <is>
          <t>A 57629-2025</t>
        </is>
      </c>
      <c r="B7671" s="1" t="n">
        <v>45981.34599537037</v>
      </c>
      <c r="C7671" s="1" t="n">
        <v>46075</v>
      </c>
      <c r="D7671" t="inlineStr">
        <is>
          <t>VÄSTERBOTTENS LÄN</t>
        </is>
      </c>
      <c r="E7671" t="inlineStr">
        <is>
          <t>NORSJÖ</t>
        </is>
      </c>
      <c r="G7671" t="n">
        <v>8.199999999999999</v>
      </c>
      <c r="H7671" t="n">
        <v>0</v>
      </c>
      <c r="I7671" t="n">
        <v>0</v>
      </c>
      <c r="J7671" t="n">
        <v>0</v>
      </c>
      <c r="K7671" t="n">
        <v>0</v>
      </c>
      <c r="L7671" t="n">
        <v>0</v>
      </c>
      <c r="M7671" t="n">
        <v>0</v>
      </c>
      <c r="N7671" t="n">
        <v>0</v>
      </c>
      <c r="O7671" t="n">
        <v>0</v>
      </c>
      <c r="P7671" t="n">
        <v>0</v>
      </c>
      <c r="Q7671" t="n">
        <v>0</v>
      </c>
      <c r="R7671" s="2" t="inlineStr"/>
    </row>
    <row r="7672" ht="15" customHeight="1">
      <c r="A7672" t="inlineStr">
        <is>
          <t>A 57630-2025</t>
        </is>
      </c>
      <c r="B7672" s="1" t="n">
        <v>45981.34608796296</v>
      </c>
      <c r="C7672" s="1" t="n">
        <v>46075</v>
      </c>
      <c r="D7672" t="inlineStr">
        <is>
          <t>VÄSTERBOTTENS LÄN</t>
        </is>
      </c>
      <c r="E7672" t="inlineStr">
        <is>
          <t>SKELLEFTEÅ</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48259-2023</t>
        </is>
      </c>
      <c r="B7673" s="1" t="n">
        <v>45205.53640046297</v>
      </c>
      <c r="C7673" s="1" t="n">
        <v>46075</v>
      </c>
      <c r="D7673" t="inlineStr">
        <is>
          <t>VÄSTERBOTTENS LÄN</t>
        </is>
      </c>
      <c r="E7673" t="inlineStr">
        <is>
          <t>ROBERTSFORS</t>
        </is>
      </c>
      <c r="G7673" t="n">
        <v>0.3</v>
      </c>
      <c r="H7673" t="n">
        <v>0</v>
      </c>
      <c r="I7673" t="n">
        <v>0</v>
      </c>
      <c r="J7673" t="n">
        <v>0</v>
      </c>
      <c r="K7673" t="n">
        <v>0</v>
      </c>
      <c r="L7673" t="n">
        <v>0</v>
      </c>
      <c r="M7673" t="n">
        <v>0</v>
      </c>
      <c r="N7673" t="n">
        <v>0</v>
      </c>
      <c r="O7673" t="n">
        <v>0</v>
      </c>
      <c r="P7673" t="n">
        <v>0</v>
      </c>
      <c r="Q7673" t="n">
        <v>0</v>
      </c>
      <c r="R7673" s="2" t="inlineStr"/>
    </row>
    <row r="7674" ht="15" customHeight="1">
      <c r="A7674" t="inlineStr">
        <is>
          <t>A 48264-2023</t>
        </is>
      </c>
      <c r="B7674" s="1" t="n">
        <v>45205.53902777778</v>
      </c>
      <c r="C7674" s="1" t="n">
        <v>46075</v>
      </c>
      <c r="D7674" t="inlineStr">
        <is>
          <t>VÄSTERBOTTENS LÄN</t>
        </is>
      </c>
      <c r="E7674" t="inlineStr">
        <is>
          <t>SKELLEFTEÅ</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48353-2023</t>
        </is>
      </c>
      <c r="B7675" s="1" t="n">
        <v>45201</v>
      </c>
      <c r="C7675" s="1" t="n">
        <v>46075</v>
      </c>
      <c r="D7675" t="inlineStr">
        <is>
          <t>VÄSTERBOTTENS LÄN</t>
        </is>
      </c>
      <c r="E7675" t="inlineStr">
        <is>
          <t>MALÅ</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14998-2022</t>
        </is>
      </c>
      <c r="B7676" s="1" t="n">
        <v>44657</v>
      </c>
      <c r="C7676" s="1" t="n">
        <v>46075</v>
      </c>
      <c r="D7676" t="inlineStr">
        <is>
          <t>VÄSTERBOTTENS LÄN</t>
        </is>
      </c>
      <c r="E7676" t="inlineStr">
        <is>
          <t>SORSELE</t>
        </is>
      </c>
      <c r="G7676" t="n">
        <v>8.9</v>
      </c>
      <c r="H7676" t="n">
        <v>0</v>
      </c>
      <c r="I7676" t="n">
        <v>0</v>
      </c>
      <c r="J7676" t="n">
        <v>0</v>
      </c>
      <c r="K7676" t="n">
        <v>0</v>
      </c>
      <c r="L7676" t="n">
        <v>0</v>
      </c>
      <c r="M7676" t="n">
        <v>0</v>
      </c>
      <c r="N7676" t="n">
        <v>0</v>
      </c>
      <c r="O7676" t="n">
        <v>0</v>
      </c>
      <c r="P7676" t="n">
        <v>0</v>
      </c>
      <c r="Q7676" t="n">
        <v>0</v>
      </c>
      <c r="R7676" s="2" t="inlineStr"/>
    </row>
    <row r="7677" ht="15" customHeight="1">
      <c r="A7677" t="inlineStr">
        <is>
          <t>A 57635-2025</t>
        </is>
      </c>
      <c r="B7677" s="1" t="n">
        <v>45981.35362268519</v>
      </c>
      <c r="C7677" s="1" t="n">
        <v>46075</v>
      </c>
      <c r="D7677" t="inlineStr">
        <is>
          <t>VÄSTERBOTTENS LÄN</t>
        </is>
      </c>
      <c r="E7677" t="inlineStr">
        <is>
          <t>UMEÅ</t>
        </is>
      </c>
      <c r="F7677" t="inlineStr">
        <is>
          <t>Holmen skog AB</t>
        </is>
      </c>
      <c r="G7677" t="n">
        <v>3.5</v>
      </c>
      <c r="H7677" t="n">
        <v>0</v>
      </c>
      <c r="I7677" t="n">
        <v>0</v>
      </c>
      <c r="J7677" t="n">
        <v>0</v>
      </c>
      <c r="K7677" t="n">
        <v>0</v>
      </c>
      <c r="L7677" t="n">
        <v>0</v>
      </c>
      <c r="M7677" t="n">
        <v>0</v>
      </c>
      <c r="N7677" t="n">
        <v>0</v>
      </c>
      <c r="O7677" t="n">
        <v>0</v>
      </c>
      <c r="P7677" t="n">
        <v>0</v>
      </c>
      <c r="Q7677" t="n">
        <v>0</v>
      </c>
      <c r="R7677" s="2" t="inlineStr"/>
    </row>
    <row r="7678" ht="15" customHeight="1">
      <c r="A7678" t="inlineStr">
        <is>
          <t>A 57653-2025</t>
        </is>
      </c>
      <c r="B7678" s="1" t="n">
        <v>45981.39643518518</v>
      </c>
      <c r="C7678" s="1" t="n">
        <v>46075</v>
      </c>
      <c r="D7678" t="inlineStr">
        <is>
          <t>VÄSTERBOTTENS LÄN</t>
        </is>
      </c>
      <c r="E7678" t="inlineStr">
        <is>
          <t>LYCKSELE</t>
        </is>
      </c>
      <c r="G7678" t="n">
        <v>3.2</v>
      </c>
      <c r="H7678" t="n">
        <v>0</v>
      </c>
      <c r="I7678" t="n">
        <v>0</v>
      </c>
      <c r="J7678" t="n">
        <v>0</v>
      </c>
      <c r="K7678" t="n">
        <v>0</v>
      </c>
      <c r="L7678" t="n">
        <v>0</v>
      </c>
      <c r="M7678" t="n">
        <v>0</v>
      </c>
      <c r="N7678" t="n">
        <v>0</v>
      </c>
      <c r="O7678" t="n">
        <v>0</v>
      </c>
      <c r="P7678" t="n">
        <v>0</v>
      </c>
      <c r="Q7678" t="n">
        <v>0</v>
      </c>
      <c r="R7678" s="2" t="inlineStr"/>
    </row>
    <row r="7679" ht="15" customHeight="1">
      <c r="A7679" t="inlineStr">
        <is>
          <t>A 57577-2025</t>
        </is>
      </c>
      <c r="B7679" s="1" t="n">
        <v>45980</v>
      </c>
      <c r="C7679" s="1" t="n">
        <v>46075</v>
      </c>
      <c r="D7679" t="inlineStr">
        <is>
          <t>VÄSTERBOTTENS LÄN</t>
        </is>
      </c>
      <c r="E7679" t="inlineStr">
        <is>
          <t>STORUMAN</t>
        </is>
      </c>
      <c r="G7679" t="n">
        <v>5.4</v>
      </c>
      <c r="H7679" t="n">
        <v>0</v>
      </c>
      <c r="I7679" t="n">
        <v>0</v>
      </c>
      <c r="J7679" t="n">
        <v>0</v>
      </c>
      <c r="K7679" t="n">
        <v>0</v>
      </c>
      <c r="L7679" t="n">
        <v>0</v>
      </c>
      <c r="M7679" t="n">
        <v>0</v>
      </c>
      <c r="N7679" t="n">
        <v>0</v>
      </c>
      <c r="O7679" t="n">
        <v>0</v>
      </c>
      <c r="P7679" t="n">
        <v>0</v>
      </c>
      <c r="Q7679" t="n">
        <v>0</v>
      </c>
      <c r="R7679" s="2" t="inlineStr"/>
    </row>
    <row r="7680" ht="15" customHeight="1">
      <c r="A7680" t="inlineStr">
        <is>
          <t>A 57583-2025</t>
        </is>
      </c>
      <c r="B7680" s="1" t="n">
        <v>45980</v>
      </c>
      <c r="C7680" s="1" t="n">
        <v>46075</v>
      </c>
      <c r="D7680" t="inlineStr">
        <is>
          <t>VÄSTERBOTTENS LÄN</t>
        </is>
      </c>
      <c r="E7680" t="inlineStr">
        <is>
          <t>SORSELE</t>
        </is>
      </c>
      <c r="G7680" t="n">
        <v>4.1</v>
      </c>
      <c r="H7680" t="n">
        <v>0</v>
      </c>
      <c r="I7680" t="n">
        <v>0</v>
      </c>
      <c r="J7680" t="n">
        <v>0</v>
      </c>
      <c r="K7680" t="n">
        <v>0</v>
      </c>
      <c r="L7680" t="n">
        <v>0</v>
      </c>
      <c r="M7680" t="n">
        <v>0</v>
      </c>
      <c r="N7680" t="n">
        <v>0</v>
      </c>
      <c r="O7680" t="n">
        <v>0</v>
      </c>
      <c r="P7680" t="n">
        <v>0</v>
      </c>
      <c r="Q7680" t="n">
        <v>0</v>
      </c>
      <c r="R7680" s="2" t="inlineStr"/>
    </row>
    <row r="7681" ht="15" customHeight="1">
      <c r="A7681" t="inlineStr">
        <is>
          <t>A 57584-2025</t>
        </is>
      </c>
      <c r="B7681" s="1" t="n">
        <v>45980</v>
      </c>
      <c r="C7681" s="1" t="n">
        <v>46075</v>
      </c>
      <c r="D7681" t="inlineStr">
        <is>
          <t>VÄSTERBOTTENS LÄN</t>
        </is>
      </c>
      <c r="E7681" t="inlineStr">
        <is>
          <t>MALÅ</t>
        </is>
      </c>
      <c r="G7681" t="n">
        <v>15.4</v>
      </c>
      <c r="H7681" t="n">
        <v>0</v>
      </c>
      <c r="I7681" t="n">
        <v>0</v>
      </c>
      <c r="J7681" t="n">
        <v>0</v>
      </c>
      <c r="K7681" t="n">
        <v>0</v>
      </c>
      <c r="L7681" t="n">
        <v>0</v>
      </c>
      <c r="M7681" t="n">
        <v>0</v>
      </c>
      <c r="N7681" t="n">
        <v>0</v>
      </c>
      <c r="O7681" t="n">
        <v>0</v>
      </c>
      <c r="P7681" t="n">
        <v>0</v>
      </c>
      <c r="Q7681" t="n">
        <v>0</v>
      </c>
      <c r="R7681" s="2" t="inlineStr"/>
    </row>
    <row r="7682" ht="15" customHeight="1">
      <c r="A7682" t="inlineStr">
        <is>
          <t>A 16186-2023</t>
        </is>
      </c>
      <c r="B7682" s="1" t="n">
        <v>45027.925625</v>
      </c>
      <c r="C7682" s="1" t="n">
        <v>46075</v>
      </c>
      <c r="D7682" t="inlineStr">
        <is>
          <t>VÄSTERBOTTENS LÄN</t>
        </is>
      </c>
      <c r="E7682" t="inlineStr">
        <is>
          <t>SKELLEFTEÅ</t>
        </is>
      </c>
      <c r="G7682" t="n">
        <v>12.4</v>
      </c>
      <c r="H7682" t="n">
        <v>0</v>
      </c>
      <c r="I7682" t="n">
        <v>0</v>
      </c>
      <c r="J7682" t="n">
        <v>0</v>
      </c>
      <c r="K7682" t="n">
        <v>0</v>
      </c>
      <c r="L7682" t="n">
        <v>0</v>
      </c>
      <c r="M7682" t="n">
        <v>0</v>
      </c>
      <c r="N7682" t="n">
        <v>0</v>
      </c>
      <c r="O7682" t="n">
        <v>0</v>
      </c>
      <c r="P7682" t="n">
        <v>0</v>
      </c>
      <c r="Q7682" t="n">
        <v>0</v>
      </c>
      <c r="R7682" s="2" t="inlineStr"/>
    </row>
    <row r="7683" ht="15" customHeight="1">
      <c r="A7683" t="inlineStr">
        <is>
          <t>A 39794-2023</t>
        </is>
      </c>
      <c r="B7683" s="1" t="n">
        <v>45167</v>
      </c>
      <c r="C7683" s="1" t="n">
        <v>46075</v>
      </c>
      <c r="D7683" t="inlineStr">
        <is>
          <t>VÄSTERBOTTENS LÄN</t>
        </is>
      </c>
      <c r="E7683" t="inlineStr">
        <is>
          <t>MALÅ</t>
        </is>
      </c>
      <c r="G7683" t="n">
        <v>1.6</v>
      </c>
      <c r="H7683" t="n">
        <v>0</v>
      </c>
      <c r="I7683" t="n">
        <v>0</v>
      </c>
      <c r="J7683" t="n">
        <v>0</v>
      </c>
      <c r="K7683" t="n">
        <v>0</v>
      </c>
      <c r="L7683" t="n">
        <v>0</v>
      </c>
      <c r="M7683" t="n">
        <v>0</v>
      </c>
      <c r="N7683" t="n">
        <v>0</v>
      </c>
      <c r="O7683" t="n">
        <v>0</v>
      </c>
      <c r="P7683" t="n">
        <v>0</v>
      </c>
      <c r="Q7683" t="n">
        <v>0</v>
      </c>
      <c r="R7683" s="2" t="inlineStr"/>
    </row>
    <row r="7684" ht="15" customHeight="1">
      <c r="A7684" t="inlineStr">
        <is>
          <t>A 57669-2025</t>
        </is>
      </c>
      <c r="B7684" s="1" t="n">
        <v>45981.42792824074</v>
      </c>
      <c r="C7684" s="1" t="n">
        <v>46075</v>
      </c>
      <c r="D7684" t="inlineStr">
        <is>
          <t>VÄSTERBOTTENS LÄN</t>
        </is>
      </c>
      <c r="E7684" t="inlineStr">
        <is>
          <t>LYCKSELE</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57548-2025</t>
        </is>
      </c>
      <c r="B7685" s="1" t="n">
        <v>45980.65704861111</v>
      </c>
      <c r="C7685" s="1" t="n">
        <v>46075</v>
      </c>
      <c r="D7685" t="inlineStr">
        <is>
          <t>VÄSTERBOTTENS LÄN</t>
        </is>
      </c>
      <c r="E7685" t="inlineStr">
        <is>
          <t>NORDMALING</t>
        </is>
      </c>
      <c r="F7685" t="inlineStr">
        <is>
          <t>SCA</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57350-2025</t>
        </is>
      </c>
      <c r="B7686" s="1" t="n">
        <v>45980.36420138889</v>
      </c>
      <c r="C7686" s="1" t="n">
        <v>46075</v>
      </c>
      <c r="D7686" t="inlineStr">
        <is>
          <t>VÄSTERBOTTENS LÄN</t>
        </is>
      </c>
      <c r="E7686" t="inlineStr">
        <is>
          <t>SKELLEFTEÅ</t>
        </is>
      </c>
      <c r="F7686" t="inlineStr">
        <is>
          <t>Sveaskog</t>
        </is>
      </c>
      <c r="G7686" t="n">
        <v>5.2</v>
      </c>
      <c r="H7686" t="n">
        <v>0</v>
      </c>
      <c r="I7686" t="n">
        <v>0</v>
      </c>
      <c r="J7686" t="n">
        <v>0</v>
      </c>
      <c r="K7686" t="n">
        <v>0</v>
      </c>
      <c r="L7686" t="n">
        <v>0</v>
      </c>
      <c r="M7686" t="n">
        <v>0</v>
      </c>
      <c r="N7686" t="n">
        <v>0</v>
      </c>
      <c r="O7686" t="n">
        <v>0</v>
      </c>
      <c r="P7686" t="n">
        <v>0</v>
      </c>
      <c r="Q7686" t="n">
        <v>0</v>
      </c>
      <c r="R7686" s="2" t="inlineStr"/>
    </row>
    <row r="7687" ht="15" customHeight="1">
      <c r="A7687" t="inlineStr">
        <is>
          <t>A 26540-2024</t>
        </is>
      </c>
      <c r="B7687" s="1" t="n">
        <v>45469.61787037037</v>
      </c>
      <c r="C7687" s="1" t="n">
        <v>46075</v>
      </c>
      <c r="D7687" t="inlineStr">
        <is>
          <t>VÄSTERBOTTENS LÄN</t>
        </is>
      </c>
      <c r="E7687" t="inlineStr">
        <is>
          <t>VINDELN</t>
        </is>
      </c>
      <c r="F7687" t="inlineStr">
        <is>
          <t>Holmen skog AB</t>
        </is>
      </c>
      <c r="G7687" t="n">
        <v>5</v>
      </c>
      <c r="H7687" t="n">
        <v>0</v>
      </c>
      <c r="I7687" t="n">
        <v>0</v>
      </c>
      <c r="J7687" t="n">
        <v>0</v>
      </c>
      <c r="K7687" t="n">
        <v>0</v>
      </c>
      <c r="L7687" t="n">
        <v>0</v>
      </c>
      <c r="M7687" t="n">
        <v>0</v>
      </c>
      <c r="N7687" t="n">
        <v>0</v>
      </c>
      <c r="O7687" t="n">
        <v>0</v>
      </c>
      <c r="P7687" t="n">
        <v>0</v>
      </c>
      <c r="Q7687" t="n">
        <v>0</v>
      </c>
      <c r="R7687" s="2" t="inlineStr"/>
    </row>
    <row r="7688" ht="15" customHeight="1">
      <c r="A7688" t="inlineStr">
        <is>
          <t>A 57366-2025</t>
        </is>
      </c>
      <c r="B7688" s="1" t="n">
        <v>45980.37606481482</v>
      </c>
      <c r="C7688" s="1" t="n">
        <v>46075</v>
      </c>
      <c r="D7688" t="inlineStr">
        <is>
          <t>VÄSTERBOTTENS LÄN</t>
        </is>
      </c>
      <c r="E7688" t="inlineStr">
        <is>
          <t>UMEÅ</t>
        </is>
      </c>
      <c r="G7688" t="n">
        <v>5.3</v>
      </c>
      <c r="H7688" t="n">
        <v>0</v>
      </c>
      <c r="I7688" t="n">
        <v>0</v>
      </c>
      <c r="J7688" t="n">
        <v>0</v>
      </c>
      <c r="K7688" t="n">
        <v>0</v>
      </c>
      <c r="L7688" t="n">
        <v>0</v>
      </c>
      <c r="M7688" t="n">
        <v>0</v>
      </c>
      <c r="N7688" t="n">
        <v>0</v>
      </c>
      <c r="O7688" t="n">
        <v>0</v>
      </c>
      <c r="P7688" t="n">
        <v>0</v>
      </c>
      <c r="Q7688" t="n">
        <v>0</v>
      </c>
      <c r="R7688" s="2" t="inlineStr"/>
    </row>
    <row r="7689" ht="15" customHeight="1">
      <c r="A7689" t="inlineStr">
        <is>
          <t>A 57374-2025</t>
        </is>
      </c>
      <c r="B7689" s="1" t="n">
        <v>45980.38856481481</v>
      </c>
      <c r="C7689" s="1" t="n">
        <v>46075</v>
      </c>
      <c r="D7689" t="inlineStr">
        <is>
          <t>VÄSTERBOTTENS LÄN</t>
        </is>
      </c>
      <c r="E7689" t="inlineStr">
        <is>
          <t>UMEÅ</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57376-2025</t>
        </is>
      </c>
      <c r="B7690" s="1" t="n">
        <v>45980.39418981481</v>
      </c>
      <c r="C7690" s="1" t="n">
        <v>46075</v>
      </c>
      <c r="D7690" t="inlineStr">
        <is>
          <t>VÄSTERBOTTENS LÄN</t>
        </is>
      </c>
      <c r="E7690" t="inlineStr">
        <is>
          <t>SKELLEFTEÅ</t>
        </is>
      </c>
      <c r="F7690" t="inlineStr">
        <is>
          <t>Sveaskog</t>
        </is>
      </c>
      <c r="G7690" t="n">
        <v>2.8</v>
      </c>
      <c r="H7690" t="n">
        <v>0</v>
      </c>
      <c r="I7690" t="n">
        <v>0</v>
      </c>
      <c r="J7690" t="n">
        <v>0</v>
      </c>
      <c r="K7690" t="n">
        <v>0</v>
      </c>
      <c r="L7690" t="n">
        <v>0</v>
      </c>
      <c r="M7690" t="n">
        <v>0</v>
      </c>
      <c r="N7690" t="n">
        <v>0</v>
      </c>
      <c r="O7690" t="n">
        <v>0</v>
      </c>
      <c r="P7690" t="n">
        <v>0</v>
      </c>
      <c r="Q7690" t="n">
        <v>0</v>
      </c>
      <c r="R7690" s="2" t="inlineStr"/>
    </row>
    <row r="7691" ht="15" customHeight="1">
      <c r="A7691" t="inlineStr">
        <is>
          <t>A 57380-2025</t>
        </is>
      </c>
      <c r="B7691" s="1" t="n">
        <v>45980.40675925926</v>
      </c>
      <c r="C7691" s="1" t="n">
        <v>46075</v>
      </c>
      <c r="D7691" t="inlineStr">
        <is>
          <t>VÄSTERBOTTENS LÄN</t>
        </is>
      </c>
      <c r="E7691" t="inlineStr">
        <is>
          <t>DOROTEA</t>
        </is>
      </c>
      <c r="F7691" t="inlineStr">
        <is>
          <t>SCA</t>
        </is>
      </c>
      <c r="G7691" t="n">
        <v>10.2</v>
      </c>
      <c r="H7691" t="n">
        <v>0</v>
      </c>
      <c r="I7691" t="n">
        <v>0</v>
      </c>
      <c r="J7691" t="n">
        <v>0</v>
      </c>
      <c r="K7691" t="n">
        <v>0</v>
      </c>
      <c r="L7691" t="n">
        <v>0</v>
      </c>
      <c r="M7691" t="n">
        <v>0</v>
      </c>
      <c r="N7691" t="n">
        <v>0</v>
      </c>
      <c r="O7691" t="n">
        <v>0</v>
      </c>
      <c r="P7691" t="n">
        <v>0</v>
      </c>
      <c r="Q7691" t="n">
        <v>0</v>
      </c>
      <c r="R7691" s="2" t="inlineStr"/>
    </row>
    <row r="7692" ht="15" customHeight="1">
      <c r="A7692" t="inlineStr">
        <is>
          <t>A 57382-2025</t>
        </is>
      </c>
      <c r="B7692" s="1" t="n">
        <v>45980.40696759259</v>
      </c>
      <c r="C7692" s="1" t="n">
        <v>46075</v>
      </c>
      <c r="D7692" t="inlineStr">
        <is>
          <t>VÄSTERBOTTENS LÄN</t>
        </is>
      </c>
      <c r="E7692" t="inlineStr">
        <is>
          <t>SKELLEFTEÅ</t>
        </is>
      </c>
      <c r="F7692" t="inlineStr">
        <is>
          <t>Sveaskog</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57406-2025</t>
        </is>
      </c>
      <c r="B7693" s="1" t="n">
        <v>45980.44347222222</v>
      </c>
      <c r="C7693" s="1" t="n">
        <v>46075</v>
      </c>
      <c r="D7693" t="inlineStr">
        <is>
          <t>VÄSTERBOTTENS LÄN</t>
        </is>
      </c>
      <c r="E7693" t="inlineStr">
        <is>
          <t>SKELLEFTEÅ</t>
        </is>
      </c>
      <c r="G7693" t="n">
        <v>18.7</v>
      </c>
      <c r="H7693" t="n">
        <v>0</v>
      </c>
      <c r="I7693" t="n">
        <v>0</v>
      </c>
      <c r="J7693" t="n">
        <v>0</v>
      </c>
      <c r="K7693" t="n">
        <v>0</v>
      </c>
      <c r="L7693" t="n">
        <v>0</v>
      </c>
      <c r="M7693" t="n">
        <v>0</v>
      </c>
      <c r="N7693" t="n">
        <v>0</v>
      </c>
      <c r="O7693" t="n">
        <v>0</v>
      </c>
      <c r="P7693" t="n">
        <v>0</v>
      </c>
      <c r="Q7693" t="n">
        <v>0</v>
      </c>
      <c r="R7693" s="2" t="inlineStr"/>
    </row>
    <row r="7694" ht="15" customHeight="1">
      <c r="A7694" t="inlineStr">
        <is>
          <t>A 11843-2025</t>
        </is>
      </c>
      <c r="B7694" s="1" t="n">
        <v>45728</v>
      </c>
      <c r="C7694" s="1" t="n">
        <v>46075</v>
      </c>
      <c r="D7694" t="inlineStr">
        <is>
          <t>VÄSTERBOTTENS LÄN</t>
        </is>
      </c>
      <c r="E7694" t="inlineStr">
        <is>
          <t>SKELLEFTEÅ</t>
        </is>
      </c>
      <c r="G7694" t="n">
        <v>5.1</v>
      </c>
      <c r="H7694" t="n">
        <v>0</v>
      </c>
      <c r="I7694" t="n">
        <v>0</v>
      </c>
      <c r="J7694" t="n">
        <v>0</v>
      </c>
      <c r="K7694" t="n">
        <v>0</v>
      </c>
      <c r="L7694" t="n">
        <v>0</v>
      </c>
      <c r="M7694" t="n">
        <v>0</v>
      </c>
      <c r="N7694" t="n">
        <v>0</v>
      </c>
      <c r="O7694" t="n">
        <v>0</v>
      </c>
      <c r="P7694" t="n">
        <v>0</v>
      </c>
      <c r="Q7694" t="n">
        <v>0</v>
      </c>
      <c r="R7694" s="2" t="inlineStr"/>
    </row>
    <row r="7695" ht="15" customHeight="1">
      <c r="A7695" t="inlineStr">
        <is>
          <t>A 39146-2024</t>
        </is>
      </c>
      <c r="B7695" s="1" t="n">
        <v>45548.61752314815</v>
      </c>
      <c r="C7695" s="1" t="n">
        <v>46075</v>
      </c>
      <c r="D7695" t="inlineStr">
        <is>
          <t>VÄSTERBOTTENS LÄN</t>
        </is>
      </c>
      <c r="E7695" t="inlineStr">
        <is>
          <t>SKELLEFTEÅ</t>
        </is>
      </c>
      <c r="G7695" t="n">
        <v>9.800000000000001</v>
      </c>
      <c r="H7695" t="n">
        <v>0</v>
      </c>
      <c r="I7695" t="n">
        <v>0</v>
      </c>
      <c r="J7695" t="n">
        <v>0</v>
      </c>
      <c r="K7695" t="n">
        <v>0</v>
      </c>
      <c r="L7695" t="n">
        <v>0</v>
      </c>
      <c r="M7695" t="n">
        <v>0</v>
      </c>
      <c r="N7695" t="n">
        <v>0</v>
      </c>
      <c r="O7695" t="n">
        <v>0</v>
      </c>
      <c r="P7695" t="n">
        <v>0</v>
      </c>
      <c r="Q7695" t="n">
        <v>0</v>
      </c>
      <c r="R7695" s="2" t="inlineStr"/>
    </row>
    <row r="7696" ht="15" customHeight="1">
      <c r="A7696" t="inlineStr">
        <is>
          <t>A 57404-2025</t>
        </is>
      </c>
      <c r="B7696" s="1" t="n">
        <v>45980.44158564815</v>
      </c>
      <c r="C7696" s="1" t="n">
        <v>46075</v>
      </c>
      <c r="D7696" t="inlineStr">
        <is>
          <t>VÄSTERBOTTENS LÄN</t>
        </is>
      </c>
      <c r="E7696" t="inlineStr">
        <is>
          <t>VINDELN</t>
        </is>
      </c>
      <c r="F7696" t="inlineStr">
        <is>
          <t>Sveaskog</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57448-2025</t>
        </is>
      </c>
      <c r="B7697" s="1" t="n">
        <v>45980.49452546296</v>
      </c>
      <c r="C7697" s="1" t="n">
        <v>46075</v>
      </c>
      <c r="D7697" t="inlineStr">
        <is>
          <t>VÄSTERBOTTENS LÄN</t>
        </is>
      </c>
      <c r="E7697" t="inlineStr">
        <is>
          <t>VÄNNÄS</t>
        </is>
      </c>
      <c r="F7697" t="inlineStr">
        <is>
          <t>Sveaskog</t>
        </is>
      </c>
      <c r="G7697" t="n">
        <v>2.9</v>
      </c>
      <c r="H7697" t="n">
        <v>0</v>
      </c>
      <c r="I7697" t="n">
        <v>0</v>
      </c>
      <c r="J7697" t="n">
        <v>0</v>
      </c>
      <c r="K7697" t="n">
        <v>0</v>
      </c>
      <c r="L7697" t="n">
        <v>0</v>
      </c>
      <c r="M7697" t="n">
        <v>0</v>
      </c>
      <c r="N7697" t="n">
        <v>0</v>
      </c>
      <c r="O7697" t="n">
        <v>0</v>
      </c>
      <c r="P7697" t="n">
        <v>0</v>
      </c>
      <c r="Q7697" t="n">
        <v>0</v>
      </c>
      <c r="R7697" s="2" t="inlineStr"/>
    </row>
    <row r="7698" ht="15" customHeight="1">
      <c r="A7698" t="inlineStr">
        <is>
          <t>A 57480-2025</t>
        </is>
      </c>
      <c r="B7698" s="1" t="n">
        <v>45980.57395833333</v>
      </c>
      <c r="C7698" s="1" t="n">
        <v>46075</v>
      </c>
      <c r="D7698" t="inlineStr">
        <is>
          <t>VÄSTERBOTTENS LÄN</t>
        </is>
      </c>
      <c r="E7698" t="inlineStr">
        <is>
          <t>DOROTEA</t>
        </is>
      </c>
      <c r="F7698" t="inlineStr">
        <is>
          <t>SCA</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68665-2021</t>
        </is>
      </c>
      <c r="B7699" s="1" t="n">
        <v>44529</v>
      </c>
      <c r="C7699" s="1" t="n">
        <v>46075</v>
      </c>
      <c r="D7699" t="inlineStr">
        <is>
          <t>VÄSTERBOTTENS LÄN</t>
        </is>
      </c>
      <c r="E7699" t="inlineStr">
        <is>
          <t>LYCKSELE</t>
        </is>
      </c>
      <c r="G7699" t="n">
        <v>1.7</v>
      </c>
      <c r="H7699" t="n">
        <v>0</v>
      </c>
      <c r="I7699" t="n">
        <v>0</v>
      </c>
      <c r="J7699" t="n">
        <v>0</v>
      </c>
      <c r="K7699" t="n">
        <v>0</v>
      </c>
      <c r="L7699" t="n">
        <v>0</v>
      </c>
      <c r="M7699" t="n">
        <v>0</v>
      </c>
      <c r="N7699" t="n">
        <v>0</v>
      </c>
      <c r="O7699" t="n">
        <v>0</v>
      </c>
      <c r="P7699" t="n">
        <v>0</v>
      </c>
      <c r="Q7699" t="n">
        <v>0</v>
      </c>
      <c r="R7699" s="2" t="inlineStr"/>
    </row>
    <row r="7700" ht="15" customHeight="1">
      <c r="A7700" t="inlineStr">
        <is>
          <t>A 40134-2024</t>
        </is>
      </c>
      <c r="B7700" s="1" t="n">
        <v>45554.47363425926</v>
      </c>
      <c r="C7700" s="1" t="n">
        <v>46075</v>
      </c>
      <c r="D7700" t="inlineStr">
        <is>
          <t>VÄSTERBOTTENS LÄN</t>
        </is>
      </c>
      <c r="E7700" t="inlineStr">
        <is>
          <t>VINDELN</t>
        </is>
      </c>
      <c r="G7700" t="n">
        <v>1.8</v>
      </c>
      <c r="H7700" t="n">
        <v>0</v>
      </c>
      <c r="I7700" t="n">
        <v>0</v>
      </c>
      <c r="J7700" t="n">
        <v>0</v>
      </c>
      <c r="K7700" t="n">
        <v>0</v>
      </c>
      <c r="L7700" t="n">
        <v>0</v>
      </c>
      <c r="M7700" t="n">
        <v>0</v>
      </c>
      <c r="N7700" t="n">
        <v>0</v>
      </c>
      <c r="O7700" t="n">
        <v>0</v>
      </c>
      <c r="P7700" t="n">
        <v>0</v>
      </c>
      <c r="Q7700" t="n">
        <v>0</v>
      </c>
      <c r="R7700" s="2" t="inlineStr"/>
    </row>
    <row r="7701" ht="15" customHeight="1">
      <c r="A7701" t="inlineStr">
        <is>
          <t>A 40144-2024</t>
        </is>
      </c>
      <c r="B7701" s="1" t="n">
        <v>45554.49422453704</v>
      </c>
      <c r="C7701" s="1" t="n">
        <v>46075</v>
      </c>
      <c r="D7701" t="inlineStr">
        <is>
          <t>VÄSTERBOTTENS LÄN</t>
        </is>
      </c>
      <c r="E7701" t="inlineStr">
        <is>
          <t>VINDELN</t>
        </is>
      </c>
      <c r="G7701" t="n">
        <v>5.7</v>
      </c>
      <c r="H7701" t="n">
        <v>0</v>
      </c>
      <c r="I7701" t="n">
        <v>0</v>
      </c>
      <c r="J7701" t="n">
        <v>0</v>
      </c>
      <c r="K7701" t="n">
        <v>0</v>
      </c>
      <c r="L7701" t="n">
        <v>0</v>
      </c>
      <c r="M7701" t="n">
        <v>0</v>
      </c>
      <c r="N7701" t="n">
        <v>0</v>
      </c>
      <c r="O7701" t="n">
        <v>0</v>
      </c>
      <c r="P7701" t="n">
        <v>0</v>
      </c>
      <c r="Q7701" t="n">
        <v>0</v>
      </c>
      <c r="R7701" s="2" t="inlineStr"/>
    </row>
    <row r="7702" ht="15" customHeight="1">
      <c r="A7702" t="inlineStr">
        <is>
          <t>A 57481-2025</t>
        </is>
      </c>
      <c r="B7702" s="1" t="n">
        <v>45980.57414351852</v>
      </c>
      <c r="C7702" s="1" t="n">
        <v>46075</v>
      </c>
      <c r="D7702" t="inlineStr">
        <is>
          <t>VÄSTERBOTTENS LÄN</t>
        </is>
      </c>
      <c r="E7702" t="inlineStr">
        <is>
          <t>DOROTEA</t>
        </is>
      </c>
      <c r="F7702" t="inlineStr">
        <is>
          <t>SCA</t>
        </is>
      </c>
      <c r="G7702" t="n">
        <v>7.4</v>
      </c>
      <c r="H7702" t="n">
        <v>0</v>
      </c>
      <c r="I7702" t="n">
        <v>0</v>
      </c>
      <c r="J7702" t="n">
        <v>0</v>
      </c>
      <c r="K7702" t="n">
        <v>0</v>
      </c>
      <c r="L7702" t="n">
        <v>0</v>
      </c>
      <c r="M7702" t="n">
        <v>0</v>
      </c>
      <c r="N7702" t="n">
        <v>0</v>
      </c>
      <c r="O7702" t="n">
        <v>0</v>
      </c>
      <c r="P7702" t="n">
        <v>0</v>
      </c>
      <c r="Q7702" t="n">
        <v>0</v>
      </c>
      <c r="R7702" s="2" t="inlineStr"/>
    </row>
    <row r="7703" ht="15" customHeight="1">
      <c r="A7703" t="inlineStr">
        <is>
          <t>A 57685-2025</t>
        </is>
      </c>
      <c r="B7703" s="1" t="n">
        <v>45980.31484953704</v>
      </c>
      <c r="C7703" s="1" t="n">
        <v>46075</v>
      </c>
      <c r="D7703" t="inlineStr">
        <is>
          <t>VÄSTERBOTTENS LÄN</t>
        </is>
      </c>
      <c r="E7703" t="inlineStr">
        <is>
          <t>SKELLEFTEÅ</t>
        </is>
      </c>
      <c r="G7703" t="n">
        <v>3.2</v>
      </c>
      <c r="H7703" t="n">
        <v>0</v>
      </c>
      <c r="I7703" t="n">
        <v>0</v>
      </c>
      <c r="J7703" t="n">
        <v>0</v>
      </c>
      <c r="K7703" t="n">
        <v>0</v>
      </c>
      <c r="L7703" t="n">
        <v>0</v>
      </c>
      <c r="M7703" t="n">
        <v>0</v>
      </c>
      <c r="N7703" t="n">
        <v>0</v>
      </c>
      <c r="O7703" t="n">
        <v>0</v>
      </c>
      <c r="P7703" t="n">
        <v>0</v>
      </c>
      <c r="Q7703" t="n">
        <v>0</v>
      </c>
      <c r="R7703" s="2" t="inlineStr"/>
    </row>
    <row r="7704" ht="15" customHeight="1">
      <c r="A7704" t="inlineStr">
        <is>
          <t>A 57743-2025</t>
        </is>
      </c>
      <c r="B7704" s="1" t="n">
        <v>45981.53181712963</v>
      </c>
      <c r="C7704" s="1" t="n">
        <v>46075</v>
      </c>
      <c r="D7704" t="inlineStr">
        <is>
          <t>VÄSTERBOTTENS LÄN</t>
        </is>
      </c>
      <c r="E7704" t="inlineStr">
        <is>
          <t>DOROTEA</t>
        </is>
      </c>
      <c r="F7704" t="inlineStr">
        <is>
          <t>SCA</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52128-2024</t>
        </is>
      </c>
      <c r="B7705" s="1" t="n">
        <v>45608.47178240741</v>
      </c>
      <c r="C7705" s="1" t="n">
        <v>46075</v>
      </c>
      <c r="D7705" t="inlineStr">
        <is>
          <t>VÄSTERBOTTENS LÄN</t>
        </is>
      </c>
      <c r="E7705" t="inlineStr">
        <is>
          <t>MALÅ</t>
        </is>
      </c>
      <c r="F7705" t="inlineStr">
        <is>
          <t>Sveaskog</t>
        </is>
      </c>
      <c r="G7705" t="n">
        <v>6.2</v>
      </c>
      <c r="H7705" t="n">
        <v>0</v>
      </c>
      <c r="I7705" t="n">
        <v>0</v>
      </c>
      <c r="J7705" t="n">
        <v>0</v>
      </c>
      <c r="K7705" t="n">
        <v>0</v>
      </c>
      <c r="L7705" t="n">
        <v>0</v>
      </c>
      <c r="M7705" t="n">
        <v>0</v>
      </c>
      <c r="N7705" t="n">
        <v>0</v>
      </c>
      <c r="O7705" t="n">
        <v>0</v>
      </c>
      <c r="P7705" t="n">
        <v>0</v>
      </c>
      <c r="Q7705" t="n">
        <v>0</v>
      </c>
      <c r="R7705" s="2" t="inlineStr"/>
    </row>
    <row r="7706" ht="15" customHeight="1">
      <c r="A7706" t="inlineStr">
        <is>
          <t>A 52133-2024</t>
        </is>
      </c>
      <c r="B7706" s="1" t="n">
        <v>45608.48483796296</v>
      </c>
      <c r="C7706" s="1" t="n">
        <v>46075</v>
      </c>
      <c r="D7706" t="inlineStr">
        <is>
          <t>VÄSTERBOTTENS LÄN</t>
        </is>
      </c>
      <c r="E7706" t="inlineStr">
        <is>
          <t>NORSJÖ</t>
        </is>
      </c>
      <c r="F7706" t="inlineStr">
        <is>
          <t>Sveaskog</t>
        </is>
      </c>
      <c r="G7706" t="n">
        <v>4.4</v>
      </c>
      <c r="H7706" t="n">
        <v>0</v>
      </c>
      <c r="I7706" t="n">
        <v>0</v>
      </c>
      <c r="J7706" t="n">
        <v>0</v>
      </c>
      <c r="K7706" t="n">
        <v>0</v>
      </c>
      <c r="L7706" t="n">
        <v>0</v>
      </c>
      <c r="M7706" t="n">
        <v>0</v>
      </c>
      <c r="N7706" t="n">
        <v>0</v>
      </c>
      <c r="O7706" t="n">
        <v>0</v>
      </c>
      <c r="P7706" t="n">
        <v>0</v>
      </c>
      <c r="Q7706" t="n">
        <v>0</v>
      </c>
      <c r="R7706" s="2" t="inlineStr"/>
    </row>
    <row r="7707" ht="15" customHeight="1">
      <c r="A7707" t="inlineStr">
        <is>
          <t>A 60153-2024</t>
        </is>
      </c>
      <c r="B7707" s="1" t="n">
        <v>45642</v>
      </c>
      <c r="C7707" s="1" t="n">
        <v>46075</v>
      </c>
      <c r="D7707" t="inlineStr">
        <is>
          <t>VÄSTERBOTTENS LÄN</t>
        </is>
      </c>
      <c r="E7707" t="inlineStr">
        <is>
          <t>DOROTEA</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60169-2024</t>
        </is>
      </c>
      <c r="B7708" s="1" t="n">
        <v>45642.6359837963</v>
      </c>
      <c r="C7708" s="1" t="n">
        <v>46075</v>
      </c>
      <c r="D7708" t="inlineStr">
        <is>
          <t>VÄSTERBOTTENS LÄN</t>
        </is>
      </c>
      <c r="E7708" t="inlineStr">
        <is>
          <t>DOROTEA</t>
        </is>
      </c>
      <c r="F7708" t="inlineStr">
        <is>
          <t>SCA</t>
        </is>
      </c>
      <c r="G7708" t="n">
        <v>1.6</v>
      </c>
      <c r="H7708" t="n">
        <v>0</v>
      </c>
      <c r="I7708" t="n">
        <v>0</v>
      </c>
      <c r="J7708" t="n">
        <v>0</v>
      </c>
      <c r="K7708" t="n">
        <v>0</v>
      </c>
      <c r="L7708" t="n">
        <v>0</v>
      </c>
      <c r="M7708" t="n">
        <v>0</v>
      </c>
      <c r="N7708" t="n">
        <v>0</v>
      </c>
      <c r="O7708" t="n">
        <v>0</v>
      </c>
      <c r="P7708" t="n">
        <v>0</v>
      </c>
      <c r="Q7708" t="n">
        <v>0</v>
      </c>
      <c r="R7708" s="2" t="inlineStr"/>
    </row>
    <row r="7709" ht="15" customHeight="1">
      <c r="A7709" t="inlineStr">
        <is>
          <t>A 57779-2025</t>
        </is>
      </c>
      <c r="B7709" s="1" t="n">
        <v>45981.56964120371</v>
      </c>
      <c r="C7709" s="1" t="n">
        <v>46075</v>
      </c>
      <c r="D7709" t="inlineStr">
        <is>
          <t>VÄSTERBOTTENS LÄN</t>
        </is>
      </c>
      <c r="E7709" t="inlineStr">
        <is>
          <t>UMEÅ</t>
        </is>
      </c>
      <c r="F7709" t="inlineStr">
        <is>
          <t>Holmen skog AB</t>
        </is>
      </c>
      <c r="G7709" t="n">
        <v>4.1</v>
      </c>
      <c r="H7709" t="n">
        <v>0</v>
      </c>
      <c r="I7709" t="n">
        <v>0</v>
      </c>
      <c r="J7709" t="n">
        <v>0</v>
      </c>
      <c r="K7709" t="n">
        <v>0</v>
      </c>
      <c r="L7709" t="n">
        <v>0</v>
      </c>
      <c r="M7709" t="n">
        <v>0</v>
      </c>
      <c r="N7709" t="n">
        <v>0</v>
      </c>
      <c r="O7709" t="n">
        <v>0</v>
      </c>
      <c r="P7709" t="n">
        <v>0</v>
      </c>
      <c r="Q7709" t="n">
        <v>0</v>
      </c>
      <c r="R7709" s="2" t="inlineStr"/>
    </row>
    <row r="7710" ht="15" customHeight="1">
      <c r="A7710" t="inlineStr">
        <is>
          <t>A 57731-2025</t>
        </is>
      </c>
      <c r="B7710" s="1" t="n">
        <v>45981.51090277778</v>
      </c>
      <c r="C7710" s="1" t="n">
        <v>46075</v>
      </c>
      <c r="D7710" t="inlineStr">
        <is>
          <t>VÄSTERBOTTENS LÄN</t>
        </is>
      </c>
      <c r="E7710" t="inlineStr">
        <is>
          <t>DOROTEA</t>
        </is>
      </c>
      <c r="F7710" t="inlineStr">
        <is>
          <t>SCA</t>
        </is>
      </c>
      <c r="G7710" t="n">
        <v>9.800000000000001</v>
      </c>
      <c r="H7710" t="n">
        <v>0</v>
      </c>
      <c r="I7710" t="n">
        <v>0</v>
      </c>
      <c r="J7710" t="n">
        <v>0</v>
      </c>
      <c r="K7710" t="n">
        <v>0</v>
      </c>
      <c r="L7710" t="n">
        <v>0</v>
      </c>
      <c r="M7710" t="n">
        <v>0</v>
      </c>
      <c r="N7710" t="n">
        <v>0</v>
      </c>
      <c r="O7710" t="n">
        <v>0</v>
      </c>
      <c r="P7710" t="n">
        <v>0</v>
      </c>
      <c r="Q7710" t="n">
        <v>0</v>
      </c>
      <c r="R7710" s="2" t="inlineStr"/>
    </row>
    <row r="7711" ht="15" customHeight="1">
      <c r="A7711" t="inlineStr">
        <is>
          <t>A 57735-2025</t>
        </is>
      </c>
      <c r="B7711" s="1" t="n">
        <v>45981.51204861111</v>
      </c>
      <c r="C7711" s="1" t="n">
        <v>46075</v>
      </c>
      <c r="D7711" t="inlineStr">
        <is>
          <t>VÄSTERBOTTENS LÄN</t>
        </is>
      </c>
      <c r="E7711" t="inlineStr">
        <is>
          <t>LYCKSELE</t>
        </is>
      </c>
      <c r="F7711" t="inlineStr">
        <is>
          <t>Sveaskog</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38290-2024</t>
        </is>
      </c>
      <c r="B7712" s="1" t="n">
        <v>45545.616875</v>
      </c>
      <c r="C7712" s="1" t="n">
        <v>46075</v>
      </c>
      <c r="D7712" t="inlineStr">
        <is>
          <t>VÄSTERBOTTENS LÄN</t>
        </is>
      </c>
      <c r="E7712" t="inlineStr">
        <is>
          <t>SORSELE</t>
        </is>
      </c>
      <c r="G7712" t="n">
        <v>27.3</v>
      </c>
      <c r="H7712" t="n">
        <v>0</v>
      </c>
      <c r="I7712" t="n">
        <v>0</v>
      </c>
      <c r="J7712" t="n">
        <v>0</v>
      </c>
      <c r="K7712" t="n">
        <v>0</v>
      </c>
      <c r="L7712" t="n">
        <v>0</v>
      </c>
      <c r="M7712" t="n">
        <v>0</v>
      </c>
      <c r="N7712" t="n">
        <v>0</v>
      </c>
      <c r="O7712" t="n">
        <v>0</v>
      </c>
      <c r="P7712" t="n">
        <v>0</v>
      </c>
      <c r="Q7712" t="n">
        <v>0</v>
      </c>
      <c r="R7712" s="2" t="inlineStr"/>
    </row>
    <row r="7713" ht="15" customHeight="1">
      <c r="A7713" t="inlineStr">
        <is>
          <t>A 20154-2025</t>
        </is>
      </c>
      <c r="B7713" s="1" t="n">
        <v>45772.55646990741</v>
      </c>
      <c r="C7713" s="1" t="n">
        <v>46075</v>
      </c>
      <c r="D7713" t="inlineStr">
        <is>
          <t>VÄSTERBOTTENS LÄN</t>
        </is>
      </c>
      <c r="E7713" t="inlineStr">
        <is>
          <t>ÅSELE</t>
        </is>
      </c>
      <c r="F7713" t="inlineStr">
        <is>
          <t>Holmen skog AB</t>
        </is>
      </c>
      <c r="G7713" t="n">
        <v>6.3</v>
      </c>
      <c r="H7713" t="n">
        <v>0</v>
      </c>
      <c r="I7713" t="n">
        <v>0</v>
      </c>
      <c r="J7713" t="n">
        <v>0</v>
      </c>
      <c r="K7713" t="n">
        <v>0</v>
      </c>
      <c r="L7713" t="n">
        <v>0</v>
      </c>
      <c r="M7713" t="n">
        <v>0</v>
      </c>
      <c r="N7713" t="n">
        <v>0</v>
      </c>
      <c r="O7713" t="n">
        <v>0</v>
      </c>
      <c r="P7713" t="n">
        <v>0</v>
      </c>
      <c r="Q7713" t="n">
        <v>0</v>
      </c>
      <c r="R7713" s="2" t="inlineStr"/>
    </row>
    <row r="7714" ht="15" customHeight="1">
      <c r="A7714" t="inlineStr">
        <is>
          <t>A 64942-2023</t>
        </is>
      </c>
      <c r="B7714" s="1" t="n">
        <v>45282</v>
      </c>
      <c r="C7714" s="1" t="n">
        <v>46075</v>
      </c>
      <c r="D7714" t="inlineStr">
        <is>
          <t>VÄSTERBOTTENS LÄN</t>
        </is>
      </c>
      <c r="E7714" t="inlineStr">
        <is>
          <t>SKELLEFTEÅ</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52536-2024</t>
        </is>
      </c>
      <c r="B7715" s="1" t="n">
        <v>45609.61851851852</v>
      </c>
      <c r="C7715" s="1" t="n">
        <v>46075</v>
      </c>
      <c r="D7715" t="inlineStr">
        <is>
          <t>VÄSTERBOTTENS LÄN</t>
        </is>
      </c>
      <c r="E7715" t="inlineStr">
        <is>
          <t>VÄNNÄS</t>
        </is>
      </c>
      <c r="G7715" t="n">
        <v>1.7</v>
      </c>
      <c r="H7715" t="n">
        <v>0</v>
      </c>
      <c r="I7715" t="n">
        <v>0</v>
      </c>
      <c r="J7715" t="n">
        <v>0</v>
      </c>
      <c r="K7715" t="n">
        <v>0</v>
      </c>
      <c r="L7715" t="n">
        <v>0</v>
      </c>
      <c r="M7715" t="n">
        <v>0</v>
      </c>
      <c r="N7715" t="n">
        <v>0</v>
      </c>
      <c r="O7715" t="n">
        <v>0</v>
      </c>
      <c r="P7715" t="n">
        <v>0</v>
      </c>
      <c r="Q7715" t="n">
        <v>0</v>
      </c>
      <c r="R7715" s="2" t="inlineStr"/>
    </row>
    <row r="7716" ht="15" customHeight="1">
      <c r="A7716" t="inlineStr">
        <is>
          <t>A 57792-2025</t>
        </is>
      </c>
      <c r="B7716" s="1" t="n">
        <v>45981.57957175926</v>
      </c>
      <c r="C7716" s="1" t="n">
        <v>46075</v>
      </c>
      <c r="D7716" t="inlineStr">
        <is>
          <t>VÄSTERBOTTENS LÄN</t>
        </is>
      </c>
      <c r="E7716" t="inlineStr">
        <is>
          <t>VILHELMINA</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57819-2025</t>
        </is>
      </c>
      <c r="B7717" s="1" t="n">
        <v>45981</v>
      </c>
      <c r="C7717" s="1" t="n">
        <v>46075</v>
      </c>
      <c r="D7717" t="inlineStr">
        <is>
          <t>VÄSTERBOTTENS LÄN</t>
        </is>
      </c>
      <c r="E7717" t="inlineStr">
        <is>
          <t>DOROTEA</t>
        </is>
      </c>
      <c r="G7717" t="n">
        <v>3.8</v>
      </c>
      <c r="H7717" t="n">
        <v>0</v>
      </c>
      <c r="I7717" t="n">
        <v>0</v>
      </c>
      <c r="J7717" t="n">
        <v>0</v>
      </c>
      <c r="K7717" t="n">
        <v>0</v>
      </c>
      <c r="L7717" t="n">
        <v>0</v>
      </c>
      <c r="M7717" t="n">
        <v>0</v>
      </c>
      <c r="N7717" t="n">
        <v>0</v>
      </c>
      <c r="O7717" t="n">
        <v>0</v>
      </c>
      <c r="P7717" t="n">
        <v>0</v>
      </c>
      <c r="Q7717" t="n">
        <v>0</v>
      </c>
      <c r="R7717" s="2" t="inlineStr"/>
    </row>
    <row r="7718" ht="15" customHeight="1">
      <c r="A7718" t="inlineStr">
        <is>
          <t>A 57722-2025</t>
        </is>
      </c>
      <c r="B7718" s="1" t="n">
        <v>45981.49009259259</v>
      </c>
      <c r="C7718" s="1" t="n">
        <v>46075</v>
      </c>
      <c r="D7718" t="inlineStr">
        <is>
          <t>VÄSTERBOTTENS LÄN</t>
        </is>
      </c>
      <c r="E7718" t="inlineStr">
        <is>
          <t>DOROTEA</t>
        </is>
      </c>
      <c r="F7718" t="inlineStr">
        <is>
          <t>SCA</t>
        </is>
      </c>
      <c r="G7718" t="n">
        <v>3.5</v>
      </c>
      <c r="H7718" t="n">
        <v>0</v>
      </c>
      <c r="I7718" t="n">
        <v>0</v>
      </c>
      <c r="J7718" t="n">
        <v>0</v>
      </c>
      <c r="K7718" t="n">
        <v>0</v>
      </c>
      <c r="L7718" t="n">
        <v>0</v>
      </c>
      <c r="M7718" t="n">
        <v>0</v>
      </c>
      <c r="N7718" t="n">
        <v>0</v>
      </c>
      <c r="O7718" t="n">
        <v>0</v>
      </c>
      <c r="P7718" t="n">
        <v>0</v>
      </c>
      <c r="Q7718" t="n">
        <v>0</v>
      </c>
      <c r="R7718" s="2" t="inlineStr"/>
    </row>
    <row r="7719" ht="15" customHeight="1">
      <c r="A7719" t="inlineStr">
        <is>
          <t>A 2811-2025</t>
        </is>
      </c>
      <c r="B7719" s="1" t="n">
        <v>45677.59689814815</v>
      </c>
      <c r="C7719" s="1" t="n">
        <v>46075</v>
      </c>
      <c r="D7719" t="inlineStr">
        <is>
          <t>VÄSTERBOTTENS LÄN</t>
        </is>
      </c>
      <c r="E7719" t="inlineStr">
        <is>
          <t>SKELLEFTEÅ</t>
        </is>
      </c>
      <c r="F7719" t="inlineStr">
        <is>
          <t>Holmen skog AB</t>
        </is>
      </c>
      <c r="G7719" t="n">
        <v>4</v>
      </c>
      <c r="H7719" t="n">
        <v>0</v>
      </c>
      <c r="I7719" t="n">
        <v>0</v>
      </c>
      <c r="J7719" t="n">
        <v>0</v>
      </c>
      <c r="K7719" t="n">
        <v>0</v>
      </c>
      <c r="L7719" t="n">
        <v>0</v>
      </c>
      <c r="M7719" t="n">
        <v>0</v>
      </c>
      <c r="N7719" t="n">
        <v>0</v>
      </c>
      <c r="O7719" t="n">
        <v>0</v>
      </c>
      <c r="P7719" t="n">
        <v>0</v>
      </c>
      <c r="Q7719" t="n">
        <v>0</v>
      </c>
      <c r="R7719" s="2" t="inlineStr"/>
    </row>
    <row r="7720" ht="15" customHeight="1">
      <c r="A7720" t="inlineStr">
        <is>
          <t>A 57697-2025</t>
        </is>
      </c>
      <c r="B7720" s="1" t="n">
        <v>45981.45693287037</v>
      </c>
      <c r="C7720" s="1" t="n">
        <v>46075</v>
      </c>
      <c r="D7720" t="inlineStr">
        <is>
          <t>VÄSTERBOTTENS LÄN</t>
        </is>
      </c>
      <c r="E7720" t="inlineStr">
        <is>
          <t>ÅSELE</t>
        </is>
      </c>
      <c r="G7720" t="n">
        <v>5.5</v>
      </c>
      <c r="H7720" t="n">
        <v>0</v>
      </c>
      <c r="I7720" t="n">
        <v>0</v>
      </c>
      <c r="J7720" t="n">
        <v>0</v>
      </c>
      <c r="K7720" t="n">
        <v>0</v>
      </c>
      <c r="L7720" t="n">
        <v>0</v>
      </c>
      <c r="M7720" t="n">
        <v>0</v>
      </c>
      <c r="N7720" t="n">
        <v>0</v>
      </c>
      <c r="O7720" t="n">
        <v>0</v>
      </c>
      <c r="P7720" t="n">
        <v>0</v>
      </c>
      <c r="Q7720" t="n">
        <v>0</v>
      </c>
      <c r="R7720" s="2" t="inlineStr"/>
    </row>
    <row r="7721" ht="15" customHeight="1">
      <c r="A7721" t="inlineStr">
        <is>
          <t>A 57347-2025</t>
        </is>
      </c>
      <c r="B7721" s="1" t="n">
        <v>45980.35763888889</v>
      </c>
      <c r="C7721" s="1" t="n">
        <v>46075</v>
      </c>
      <c r="D7721" t="inlineStr">
        <is>
          <t>VÄSTERBOTTENS LÄN</t>
        </is>
      </c>
      <c r="E7721" t="inlineStr">
        <is>
          <t>VÄNNÄS</t>
        </is>
      </c>
      <c r="G7721" t="n">
        <v>6.9</v>
      </c>
      <c r="H7721" t="n">
        <v>0</v>
      </c>
      <c r="I7721" t="n">
        <v>0</v>
      </c>
      <c r="J7721" t="n">
        <v>0</v>
      </c>
      <c r="K7721" t="n">
        <v>0</v>
      </c>
      <c r="L7721" t="n">
        <v>0</v>
      </c>
      <c r="M7721" t="n">
        <v>0</v>
      </c>
      <c r="N7721" t="n">
        <v>0</v>
      </c>
      <c r="O7721" t="n">
        <v>0</v>
      </c>
      <c r="P7721" t="n">
        <v>0</v>
      </c>
      <c r="Q7721" t="n">
        <v>0</v>
      </c>
      <c r="R7721" s="2" t="inlineStr"/>
    </row>
    <row r="7722" ht="15" customHeight="1">
      <c r="A7722" t="inlineStr">
        <is>
          <t>A 58136-2025</t>
        </is>
      </c>
      <c r="B7722" s="1" t="n">
        <v>45981</v>
      </c>
      <c r="C7722" s="1" t="n">
        <v>46075</v>
      </c>
      <c r="D7722" t="inlineStr">
        <is>
          <t>VÄSTERBOTTENS LÄN</t>
        </is>
      </c>
      <c r="E7722" t="inlineStr">
        <is>
          <t>BJURHOLM</t>
        </is>
      </c>
      <c r="G7722" t="n">
        <v>6.7</v>
      </c>
      <c r="H7722" t="n">
        <v>0</v>
      </c>
      <c r="I7722" t="n">
        <v>0</v>
      </c>
      <c r="J7722" t="n">
        <v>0</v>
      </c>
      <c r="K7722" t="n">
        <v>0</v>
      </c>
      <c r="L7722" t="n">
        <v>0</v>
      </c>
      <c r="M7722" t="n">
        <v>0</v>
      </c>
      <c r="N7722" t="n">
        <v>0</v>
      </c>
      <c r="O7722" t="n">
        <v>0</v>
      </c>
      <c r="P7722" t="n">
        <v>0</v>
      </c>
      <c r="Q7722" t="n">
        <v>0</v>
      </c>
      <c r="R7722" s="2" t="inlineStr"/>
    </row>
    <row r="7723" ht="15" customHeight="1">
      <c r="A7723" t="inlineStr">
        <is>
          <t>A 61947-2024</t>
        </is>
      </c>
      <c r="B7723" s="1" t="n">
        <v>45646</v>
      </c>
      <c r="C7723" s="1" t="n">
        <v>46075</v>
      </c>
      <c r="D7723" t="inlineStr">
        <is>
          <t>VÄSTERBOTTENS LÄN</t>
        </is>
      </c>
      <c r="E7723" t="inlineStr">
        <is>
          <t>MALÅ</t>
        </is>
      </c>
      <c r="F7723" t="inlineStr">
        <is>
          <t>Sveaskog</t>
        </is>
      </c>
      <c r="G7723" t="n">
        <v>5.2</v>
      </c>
      <c r="H7723" t="n">
        <v>0</v>
      </c>
      <c r="I7723" t="n">
        <v>0</v>
      </c>
      <c r="J7723" t="n">
        <v>0</v>
      </c>
      <c r="K7723" t="n">
        <v>0</v>
      </c>
      <c r="L7723" t="n">
        <v>0</v>
      </c>
      <c r="M7723" t="n">
        <v>0</v>
      </c>
      <c r="N7723" t="n">
        <v>0</v>
      </c>
      <c r="O7723" t="n">
        <v>0</v>
      </c>
      <c r="P7723" t="n">
        <v>0</v>
      </c>
      <c r="Q7723" t="n">
        <v>0</v>
      </c>
      <c r="R7723" s="2" t="inlineStr"/>
    </row>
    <row r="7724" ht="15" customHeight="1">
      <c r="A7724" t="inlineStr">
        <is>
          <t>A 63136-2023</t>
        </is>
      </c>
      <c r="B7724" s="1" t="n">
        <v>45273.46479166667</v>
      </c>
      <c r="C7724" s="1" t="n">
        <v>46075</v>
      </c>
      <c r="D7724" t="inlineStr">
        <is>
          <t>VÄSTERBOTTENS LÄN</t>
        </is>
      </c>
      <c r="E7724" t="inlineStr">
        <is>
          <t>UMEÅ</t>
        </is>
      </c>
      <c r="G7724" t="n">
        <v>0.4</v>
      </c>
      <c r="H7724" t="n">
        <v>0</v>
      </c>
      <c r="I7724" t="n">
        <v>0</v>
      </c>
      <c r="J7724" t="n">
        <v>0</v>
      </c>
      <c r="K7724" t="n">
        <v>0</v>
      </c>
      <c r="L7724" t="n">
        <v>0</v>
      </c>
      <c r="M7724" t="n">
        <v>0</v>
      </c>
      <c r="N7724" t="n">
        <v>0</v>
      </c>
      <c r="O7724" t="n">
        <v>0</v>
      </c>
      <c r="P7724" t="n">
        <v>0</v>
      </c>
      <c r="Q7724" t="n">
        <v>0</v>
      </c>
      <c r="R7724" s="2" t="inlineStr"/>
    </row>
    <row r="7725" ht="15" customHeight="1">
      <c r="A7725" t="inlineStr">
        <is>
          <t>A 57898-2025</t>
        </is>
      </c>
      <c r="B7725" s="1" t="n">
        <v>45981.72505787037</v>
      </c>
      <c r="C7725" s="1" t="n">
        <v>46075</v>
      </c>
      <c r="D7725" t="inlineStr">
        <is>
          <t>VÄSTERBOTTENS LÄN</t>
        </is>
      </c>
      <c r="E7725" t="inlineStr">
        <is>
          <t>NORDMALING</t>
        </is>
      </c>
      <c r="G7725" t="n">
        <v>3.5</v>
      </c>
      <c r="H7725" t="n">
        <v>0</v>
      </c>
      <c r="I7725" t="n">
        <v>0</v>
      </c>
      <c r="J7725" t="n">
        <v>0</v>
      </c>
      <c r="K7725" t="n">
        <v>0</v>
      </c>
      <c r="L7725" t="n">
        <v>0</v>
      </c>
      <c r="M7725" t="n">
        <v>0</v>
      </c>
      <c r="N7725" t="n">
        <v>0</v>
      </c>
      <c r="O7725" t="n">
        <v>0</v>
      </c>
      <c r="P7725" t="n">
        <v>0</v>
      </c>
      <c r="Q7725" t="n">
        <v>0</v>
      </c>
      <c r="R7725" s="2" t="inlineStr"/>
    </row>
    <row r="7726" ht="15" customHeight="1">
      <c r="A7726" t="inlineStr">
        <is>
          <t>A 57624-2025</t>
        </is>
      </c>
      <c r="B7726" s="1" t="n">
        <v>45981.34559027778</v>
      </c>
      <c r="C7726" s="1" t="n">
        <v>46075</v>
      </c>
      <c r="D7726" t="inlineStr">
        <is>
          <t>VÄSTERBOTTENS LÄN</t>
        </is>
      </c>
      <c r="E7726" t="inlineStr">
        <is>
          <t>SKELLEFTEÅ</t>
        </is>
      </c>
      <c r="G7726" t="n">
        <v>4.9</v>
      </c>
      <c r="H7726" t="n">
        <v>0</v>
      </c>
      <c r="I7726" t="n">
        <v>0</v>
      </c>
      <c r="J7726" t="n">
        <v>0</v>
      </c>
      <c r="K7726" t="n">
        <v>0</v>
      </c>
      <c r="L7726" t="n">
        <v>0</v>
      </c>
      <c r="M7726" t="n">
        <v>0</v>
      </c>
      <c r="N7726" t="n">
        <v>0</v>
      </c>
      <c r="O7726" t="n">
        <v>0</v>
      </c>
      <c r="P7726" t="n">
        <v>0</v>
      </c>
      <c r="Q7726" t="n">
        <v>0</v>
      </c>
      <c r="R7726" s="2" t="inlineStr"/>
    </row>
    <row r="7727" ht="15" customHeight="1">
      <c r="A7727" t="inlineStr">
        <is>
          <t>A 57797-2025</t>
        </is>
      </c>
      <c r="B7727" s="1" t="n">
        <v>45981.5828587963</v>
      </c>
      <c r="C7727" s="1" t="n">
        <v>46075</v>
      </c>
      <c r="D7727" t="inlineStr">
        <is>
          <t>VÄSTERBOTTENS LÄN</t>
        </is>
      </c>
      <c r="E7727" t="inlineStr">
        <is>
          <t>SKELLEFTEÅ</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57326-2025</t>
        </is>
      </c>
      <c r="B7728" s="1" t="n">
        <v>45980.33506944445</v>
      </c>
      <c r="C7728" s="1" t="n">
        <v>46075</v>
      </c>
      <c r="D7728" t="inlineStr">
        <is>
          <t>VÄSTERBOTTENS LÄN</t>
        </is>
      </c>
      <c r="E7728" t="inlineStr">
        <is>
          <t>VINDELN</t>
        </is>
      </c>
      <c r="F7728" t="inlineStr">
        <is>
          <t>Holmen skog AB</t>
        </is>
      </c>
      <c r="G7728" t="n">
        <v>2.8</v>
      </c>
      <c r="H7728" t="n">
        <v>0</v>
      </c>
      <c r="I7728" t="n">
        <v>0</v>
      </c>
      <c r="J7728" t="n">
        <v>0</v>
      </c>
      <c r="K7728" t="n">
        <v>0</v>
      </c>
      <c r="L7728" t="n">
        <v>0</v>
      </c>
      <c r="M7728" t="n">
        <v>0</v>
      </c>
      <c r="N7728" t="n">
        <v>0</v>
      </c>
      <c r="O7728" t="n">
        <v>0</v>
      </c>
      <c r="P7728" t="n">
        <v>0</v>
      </c>
      <c r="Q7728" t="n">
        <v>0</v>
      </c>
      <c r="R7728" s="2" t="inlineStr"/>
    </row>
    <row r="7729" ht="15" customHeight="1">
      <c r="A7729" t="inlineStr">
        <is>
          <t>A 57519-2025</t>
        </is>
      </c>
      <c r="B7729" s="1" t="n">
        <v>45980.62025462963</v>
      </c>
      <c r="C7729" s="1" t="n">
        <v>46075</v>
      </c>
      <c r="D7729" t="inlineStr">
        <is>
          <t>VÄSTERBOTTENS LÄN</t>
        </is>
      </c>
      <c r="E7729" t="inlineStr">
        <is>
          <t>SKELLEFTEÅ</t>
        </is>
      </c>
      <c r="G7729" t="n">
        <v>5.3</v>
      </c>
      <c r="H7729" t="n">
        <v>0</v>
      </c>
      <c r="I7729" t="n">
        <v>0</v>
      </c>
      <c r="J7729" t="n">
        <v>0</v>
      </c>
      <c r="K7729" t="n">
        <v>0</v>
      </c>
      <c r="L7729" t="n">
        <v>0</v>
      </c>
      <c r="M7729" t="n">
        <v>0</v>
      </c>
      <c r="N7729" t="n">
        <v>0</v>
      </c>
      <c r="O7729" t="n">
        <v>0</v>
      </c>
      <c r="P7729" t="n">
        <v>0</v>
      </c>
      <c r="Q7729" t="n">
        <v>0</v>
      </c>
      <c r="R7729" s="2" t="inlineStr"/>
    </row>
    <row r="7730" ht="15" customHeight="1">
      <c r="A7730" t="inlineStr">
        <is>
          <t>A 57531-2025</t>
        </is>
      </c>
      <c r="B7730" s="1" t="n">
        <v>45980.63579861111</v>
      </c>
      <c r="C7730" s="1" t="n">
        <v>46075</v>
      </c>
      <c r="D7730" t="inlineStr">
        <is>
          <t>VÄSTERBOTTENS LÄN</t>
        </is>
      </c>
      <c r="E7730" t="inlineStr">
        <is>
          <t>LYCKSELE</t>
        </is>
      </c>
      <c r="G7730" t="n">
        <v>5.8</v>
      </c>
      <c r="H7730" t="n">
        <v>0</v>
      </c>
      <c r="I7730" t="n">
        <v>0</v>
      </c>
      <c r="J7730" t="n">
        <v>0</v>
      </c>
      <c r="K7730" t="n">
        <v>0</v>
      </c>
      <c r="L7730" t="n">
        <v>0</v>
      </c>
      <c r="M7730" t="n">
        <v>0</v>
      </c>
      <c r="N7730" t="n">
        <v>0</v>
      </c>
      <c r="O7730" t="n">
        <v>0</v>
      </c>
      <c r="P7730" t="n">
        <v>0</v>
      </c>
      <c r="Q7730" t="n">
        <v>0</v>
      </c>
      <c r="R7730" s="2" t="inlineStr"/>
    </row>
    <row r="7731" ht="15" customHeight="1">
      <c r="A7731" t="inlineStr">
        <is>
          <t>A 57542-2025</t>
        </is>
      </c>
      <c r="B7731" s="1" t="n">
        <v>45980</v>
      </c>
      <c r="C7731" s="1" t="n">
        <v>46075</v>
      </c>
      <c r="D7731" t="inlineStr">
        <is>
          <t>VÄSTERBOTTENS LÄN</t>
        </is>
      </c>
      <c r="E7731" t="inlineStr">
        <is>
          <t>SORSELE</t>
        </is>
      </c>
      <c r="G7731" t="n">
        <v>0.4</v>
      </c>
      <c r="H7731" t="n">
        <v>0</v>
      </c>
      <c r="I7731" t="n">
        <v>0</v>
      </c>
      <c r="J7731" t="n">
        <v>0</v>
      </c>
      <c r="K7731" t="n">
        <v>0</v>
      </c>
      <c r="L7731" t="n">
        <v>0</v>
      </c>
      <c r="M7731" t="n">
        <v>0</v>
      </c>
      <c r="N7731" t="n">
        <v>0</v>
      </c>
      <c r="O7731" t="n">
        <v>0</v>
      </c>
      <c r="P7731" t="n">
        <v>0</v>
      </c>
      <c r="Q7731" t="n">
        <v>0</v>
      </c>
      <c r="R7731" s="2" t="inlineStr"/>
    </row>
    <row r="7732" ht="15" customHeight="1">
      <c r="A7732" t="inlineStr">
        <is>
          <t>A 57502-2025</t>
        </is>
      </c>
      <c r="B7732" s="1" t="n">
        <v>45980.59350694445</v>
      </c>
      <c r="C7732" s="1" t="n">
        <v>46075</v>
      </c>
      <c r="D7732" t="inlineStr">
        <is>
          <t>VÄSTERBOTTENS LÄN</t>
        </is>
      </c>
      <c r="E7732" t="inlineStr">
        <is>
          <t>VINDELN</t>
        </is>
      </c>
      <c r="F7732" t="inlineStr">
        <is>
          <t>Holmen skog AB</t>
        </is>
      </c>
      <c r="G7732" t="n">
        <v>3.7</v>
      </c>
      <c r="H7732" t="n">
        <v>0</v>
      </c>
      <c r="I7732" t="n">
        <v>0</v>
      </c>
      <c r="J7732" t="n">
        <v>0</v>
      </c>
      <c r="K7732" t="n">
        <v>0</v>
      </c>
      <c r="L7732" t="n">
        <v>0</v>
      </c>
      <c r="M7732" t="n">
        <v>0</v>
      </c>
      <c r="N7732" t="n">
        <v>0</v>
      </c>
      <c r="O7732" t="n">
        <v>0</v>
      </c>
      <c r="P7732" t="n">
        <v>0</v>
      </c>
      <c r="Q7732" t="n">
        <v>0</v>
      </c>
      <c r="R7732" s="2" t="inlineStr"/>
    </row>
    <row r="7733" ht="15" customHeight="1">
      <c r="A7733" t="inlineStr">
        <is>
          <t>A 57516-2025</t>
        </is>
      </c>
      <c r="B7733" s="1" t="n">
        <v>45980.61847222222</v>
      </c>
      <c r="C7733" s="1" t="n">
        <v>46075</v>
      </c>
      <c r="D7733" t="inlineStr">
        <is>
          <t>VÄSTERBOTTENS LÄN</t>
        </is>
      </c>
      <c r="E7733" t="inlineStr">
        <is>
          <t>SKELLEFTEÅ</t>
        </is>
      </c>
      <c r="G7733" t="n">
        <v>3.6</v>
      </c>
      <c r="H7733" t="n">
        <v>0</v>
      </c>
      <c r="I7733" t="n">
        <v>0</v>
      </c>
      <c r="J7733" t="n">
        <v>0</v>
      </c>
      <c r="K7733" t="n">
        <v>0</v>
      </c>
      <c r="L7733" t="n">
        <v>0</v>
      </c>
      <c r="M7733" t="n">
        <v>0</v>
      </c>
      <c r="N7733" t="n">
        <v>0</v>
      </c>
      <c r="O7733" t="n">
        <v>0</v>
      </c>
      <c r="P7733" t="n">
        <v>0</v>
      </c>
      <c r="Q7733" t="n">
        <v>0</v>
      </c>
      <c r="R7733" s="2" t="inlineStr"/>
    </row>
    <row r="7734" ht="15" customHeight="1">
      <c r="A7734" t="inlineStr">
        <is>
          <t>A 61858-2022</t>
        </is>
      </c>
      <c r="B7734" s="1" t="n">
        <v>44917</v>
      </c>
      <c r="C7734" s="1" t="n">
        <v>46075</v>
      </c>
      <c r="D7734" t="inlineStr">
        <is>
          <t>VÄSTERBOTTENS LÄN</t>
        </is>
      </c>
      <c r="E7734" t="inlineStr">
        <is>
          <t>VINDELN</t>
        </is>
      </c>
      <c r="G7734" t="n">
        <v>6.8</v>
      </c>
      <c r="H7734" t="n">
        <v>0</v>
      </c>
      <c r="I7734" t="n">
        <v>0</v>
      </c>
      <c r="J7734" t="n">
        <v>0</v>
      </c>
      <c r="K7734" t="n">
        <v>0</v>
      </c>
      <c r="L7734" t="n">
        <v>0</v>
      </c>
      <c r="M7734" t="n">
        <v>0</v>
      </c>
      <c r="N7734" t="n">
        <v>0</v>
      </c>
      <c r="O7734" t="n">
        <v>0</v>
      </c>
      <c r="P7734" t="n">
        <v>0</v>
      </c>
      <c r="Q7734" t="n">
        <v>0</v>
      </c>
      <c r="R7734" s="2" t="inlineStr"/>
    </row>
    <row r="7735" ht="15" customHeight="1">
      <c r="A7735" t="inlineStr">
        <is>
          <t>A 57897-2025</t>
        </is>
      </c>
      <c r="B7735" s="1" t="n">
        <v>45981.71798611111</v>
      </c>
      <c r="C7735" s="1" t="n">
        <v>46075</v>
      </c>
      <c r="D7735" t="inlineStr">
        <is>
          <t>VÄSTERBOTTENS LÄN</t>
        </is>
      </c>
      <c r="E7735" t="inlineStr">
        <is>
          <t>NORDMALING</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19865-2024</t>
        </is>
      </c>
      <c r="B7736" s="1" t="n">
        <v>45433</v>
      </c>
      <c r="C7736" s="1" t="n">
        <v>46075</v>
      </c>
      <c r="D7736" t="inlineStr">
        <is>
          <t>VÄSTERBOTTENS LÄN</t>
        </is>
      </c>
      <c r="E7736" t="inlineStr">
        <is>
          <t>NORDMALING</t>
        </is>
      </c>
      <c r="G7736" t="n">
        <v>4.1</v>
      </c>
      <c r="H7736" t="n">
        <v>0</v>
      </c>
      <c r="I7736" t="n">
        <v>0</v>
      </c>
      <c r="J7736" t="n">
        <v>0</v>
      </c>
      <c r="K7736" t="n">
        <v>0</v>
      </c>
      <c r="L7736" t="n">
        <v>0</v>
      </c>
      <c r="M7736" t="n">
        <v>0</v>
      </c>
      <c r="N7736" t="n">
        <v>0</v>
      </c>
      <c r="O7736" t="n">
        <v>0</v>
      </c>
      <c r="P7736" t="n">
        <v>0</v>
      </c>
      <c r="Q7736" t="n">
        <v>0</v>
      </c>
      <c r="R7736" s="2" t="inlineStr"/>
    </row>
    <row r="7737" ht="15" customHeight="1">
      <c r="A7737" t="inlineStr">
        <is>
          <t>A 57668-2025</t>
        </is>
      </c>
      <c r="B7737" s="1" t="n">
        <v>45981.42790509259</v>
      </c>
      <c r="C7737" s="1" t="n">
        <v>46075</v>
      </c>
      <c r="D7737" t="inlineStr">
        <is>
          <t>VÄSTERBOTTENS LÄN</t>
        </is>
      </c>
      <c r="E7737" t="inlineStr">
        <is>
          <t>LYCKSELE</t>
        </is>
      </c>
      <c r="G7737" t="n">
        <v>1.9</v>
      </c>
      <c r="H7737" t="n">
        <v>0</v>
      </c>
      <c r="I7737" t="n">
        <v>0</v>
      </c>
      <c r="J7737" t="n">
        <v>0</v>
      </c>
      <c r="K7737" t="n">
        <v>0</v>
      </c>
      <c r="L7737" t="n">
        <v>0</v>
      </c>
      <c r="M7737" t="n">
        <v>0</v>
      </c>
      <c r="N7737" t="n">
        <v>0</v>
      </c>
      <c r="O7737" t="n">
        <v>0</v>
      </c>
      <c r="P7737" t="n">
        <v>0</v>
      </c>
      <c r="Q7737" t="n">
        <v>0</v>
      </c>
      <c r="R7737" s="2" t="inlineStr"/>
    </row>
    <row r="7738" ht="15" customHeight="1">
      <c r="A7738" t="inlineStr">
        <is>
          <t>A 57698-2025</t>
        </is>
      </c>
      <c r="B7738" s="1" t="n">
        <v>45981.45725694444</v>
      </c>
      <c r="C7738" s="1" t="n">
        <v>46075</v>
      </c>
      <c r="D7738" t="inlineStr">
        <is>
          <t>VÄSTERBOTTENS LÄN</t>
        </is>
      </c>
      <c r="E7738" t="inlineStr">
        <is>
          <t>ROBERTSFORS</t>
        </is>
      </c>
      <c r="F7738" t="inlineStr">
        <is>
          <t>Holmen skog AB</t>
        </is>
      </c>
      <c r="G7738" t="n">
        <v>2.1</v>
      </c>
      <c r="H7738" t="n">
        <v>0</v>
      </c>
      <c r="I7738" t="n">
        <v>0</v>
      </c>
      <c r="J7738" t="n">
        <v>0</v>
      </c>
      <c r="K7738" t="n">
        <v>0</v>
      </c>
      <c r="L7738" t="n">
        <v>0</v>
      </c>
      <c r="M7738" t="n">
        <v>0</v>
      </c>
      <c r="N7738" t="n">
        <v>0</v>
      </c>
      <c r="O7738" t="n">
        <v>0</v>
      </c>
      <c r="P7738" t="n">
        <v>0</v>
      </c>
      <c r="Q7738" t="n">
        <v>0</v>
      </c>
      <c r="R7738" s="2" t="inlineStr"/>
    </row>
    <row r="7739" ht="15" customHeight="1">
      <c r="A7739" t="inlineStr">
        <is>
          <t>A 57702-2025</t>
        </is>
      </c>
      <c r="B7739" s="1" t="n">
        <v>45981.46765046296</v>
      </c>
      <c r="C7739" s="1" t="n">
        <v>46075</v>
      </c>
      <c r="D7739" t="inlineStr">
        <is>
          <t>VÄSTERBOTTENS LÄN</t>
        </is>
      </c>
      <c r="E7739" t="inlineStr">
        <is>
          <t>SKELLEFTEÅ</t>
        </is>
      </c>
      <c r="G7739" t="n">
        <v>3.3</v>
      </c>
      <c r="H7739" t="n">
        <v>0</v>
      </c>
      <c r="I7739" t="n">
        <v>0</v>
      </c>
      <c r="J7739" t="n">
        <v>0</v>
      </c>
      <c r="K7739" t="n">
        <v>0</v>
      </c>
      <c r="L7739" t="n">
        <v>0</v>
      </c>
      <c r="M7739" t="n">
        <v>0</v>
      </c>
      <c r="N7739" t="n">
        <v>0</v>
      </c>
      <c r="O7739" t="n">
        <v>0</v>
      </c>
      <c r="P7739" t="n">
        <v>0</v>
      </c>
      <c r="Q7739" t="n">
        <v>0</v>
      </c>
      <c r="R7739" s="2" t="inlineStr"/>
    </row>
    <row r="7740" ht="15" customHeight="1">
      <c r="A7740" t="inlineStr">
        <is>
          <t>A 57793-2025</t>
        </is>
      </c>
      <c r="B7740" s="1" t="n">
        <v>45981.57976851852</v>
      </c>
      <c r="C7740" s="1" t="n">
        <v>46075</v>
      </c>
      <c r="D7740" t="inlineStr">
        <is>
          <t>VÄSTERBOTTENS LÄN</t>
        </is>
      </c>
      <c r="E7740" t="inlineStr">
        <is>
          <t>ROBERTSFORS</t>
        </is>
      </c>
      <c r="G7740" t="n">
        <v>0.5</v>
      </c>
      <c r="H7740" t="n">
        <v>0</v>
      </c>
      <c r="I7740" t="n">
        <v>0</v>
      </c>
      <c r="J7740" t="n">
        <v>0</v>
      </c>
      <c r="K7740" t="n">
        <v>0</v>
      </c>
      <c r="L7740" t="n">
        <v>0</v>
      </c>
      <c r="M7740" t="n">
        <v>0</v>
      </c>
      <c r="N7740" t="n">
        <v>0</v>
      </c>
      <c r="O7740" t="n">
        <v>0</v>
      </c>
      <c r="P7740" t="n">
        <v>0</v>
      </c>
      <c r="Q7740" t="n">
        <v>0</v>
      </c>
      <c r="R7740" s="2" t="inlineStr"/>
    </row>
    <row r="7741" ht="15" customHeight="1">
      <c r="A7741" t="inlineStr">
        <is>
          <t>A 39022-2023</t>
        </is>
      </c>
      <c r="B7741" s="1" t="n">
        <v>45163.80377314815</v>
      </c>
      <c r="C7741" s="1" t="n">
        <v>46075</v>
      </c>
      <c r="D7741" t="inlineStr">
        <is>
          <t>VÄSTERBOTTENS LÄN</t>
        </is>
      </c>
      <c r="E7741" t="inlineStr">
        <is>
          <t>VINDELN</t>
        </is>
      </c>
      <c r="G7741" t="n">
        <v>7.9</v>
      </c>
      <c r="H7741" t="n">
        <v>0</v>
      </c>
      <c r="I7741" t="n">
        <v>0</v>
      </c>
      <c r="J7741" t="n">
        <v>0</v>
      </c>
      <c r="K7741" t="n">
        <v>0</v>
      </c>
      <c r="L7741" t="n">
        <v>0</v>
      </c>
      <c r="M7741" t="n">
        <v>0</v>
      </c>
      <c r="N7741" t="n">
        <v>0</v>
      </c>
      <c r="O7741" t="n">
        <v>0</v>
      </c>
      <c r="P7741" t="n">
        <v>0</v>
      </c>
      <c r="Q7741" t="n">
        <v>0</v>
      </c>
      <c r="R7741" s="2" t="inlineStr"/>
    </row>
    <row r="7742" ht="15" customHeight="1">
      <c r="A7742" t="inlineStr">
        <is>
          <t>A 57426-2025</t>
        </is>
      </c>
      <c r="B7742" s="1" t="n">
        <v>45980.46651620371</v>
      </c>
      <c r="C7742" s="1" t="n">
        <v>46075</v>
      </c>
      <c r="D7742" t="inlineStr">
        <is>
          <t>VÄSTERBOTTENS LÄN</t>
        </is>
      </c>
      <c r="E7742" t="inlineStr">
        <is>
          <t>STORUMAN</t>
        </is>
      </c>
      <c r="F7742" t="inlineStr">
        <is>
          <t>Sveaskog</t>
        </is>
      </c>
      <c r="G7742" t="n">
        <v>22.6</v>
      </c>
      <c r="H7742" t="n">
        <v>0</v>
      </c>
      <c r="I7742" t="n">
        <v>0</v>
      </c>
      <c r="J7742" t="n">
        <v>0</v>
      </c>
      <c r="K7742" t="n">
        <v>0</v>
      </c>
      <c r="L7742" t="n">
        <v>0</v>
      </c>
      <c r="M7742" t="n">
        <v>0</v>
      </c>
      <c r="N7742" t="n">
        <v>0</v>
      </c>
      <c r="O7742" t="n">
        <v>0</v>
      </c>
      <c r="P7742" t="n">
        <v>0</v>
      </c>
      <c r="Q7742" t="n">
        <v>0</v>
      </c>
      <c r="R7742" s="2" t="inlineStr"/>
    </row>
    <row r="7743" ht="15" customHeight="1">
      <c r="A7743" t="inlineStr">
        <is>
          <t>A 57529-2025</t>
        </is>
      </c>
      <c r="B7743" s="1" t="n">
        <v>45980.63456018519</v>
      </c>
      <c r="C7743" s="1" t="n">
        <v>46075</v>
      </c>
      <c r="D7743" t="inlineStr">
        <is>
          <t>VÄSTERBOTTENS LÄN</t>
        </is>
      </c>
      <c r="E7743" t="inlineStr">
        <is>
          <t>NORDMALING</t>
        </is>
      </c>
      <c r="G7743" t="n">
        <v>6</v>
      </c>
      <c r="H7743" t="n">
        <v>0</v>
      </c>
      <c r="I7743" t="n">
        <v>0</v>
      </c>
      <c r="J7743" t="n">
        <v>0</v>
      </c>
      <c r="K7743" t="n">
        <v>0</v>
      </c>
      <c r="L7743" t="n">
        <v>0</v>
      </c>
      <c r="M7743" t="n">
        <v>0</v>
      </c>
      <c r="N7743" t="n">
        <v>0</v>
      </c>
      <c r="O7743" t="n">
        <v>0</v>
      </c>
      <c r="P7743" t="n">
        <v>0</v>
      </c>
      <c r="Q7743" t="n">
        <v>0</v>
      </c>
      <c r="R7743" s="2" t="inlineStr"/>
    </row>
    <row r="7744" ht="15" customHeight="1">
      <c r="A7744" t="inlineStr">
        <is>
          <t>A 57591-2025</t>
        </is>
      </c>
      <c r="B7744" s="1" t="n">
        <v>45980</v>
      </c>
      <c r="C7744" s="1" t="n">
        <v>46075</v>
      </c>
      <c r="D7744" t="inlineStr">
        <is>
          <t>VÄSTERBOTTENS LÄN</t>
        </is>
      </c>
      <c r="E7744" t="inlineStr">
        <is>
          <t>SORSELE</t>
        </is>
      </c>
      <c r="G7744" t="n">
        <v>12.4</v>
      </c>
      <c r="H7744" t="n">
        <v>0</v>
      </c>
      <c r="I7744" t="n">
        <v>0</v>
      </c>
      <c r="J7744" t="n">
        <v>0</v>
      </c>
      <c r="K7744" t="n">
        <v>0</v>
      </c>
      <c r="L7744" t="n">
        <v>0</v>
      </c>
      <c r="M7744" t="n">
        <v>0</v>
      </c>
      <c r="N7744" t="n">
        <v>0</v>
      </c>
      <c r="O7744" t="n">
        <v>0</v>
      </c>
      <c r="P7744" t="n">
        <v>0</v>
      </c>
      <c r="Q7744" t="n">
        <v>0</v>
      </c>
      <c r="R7744" s="2" t="inlineStr"/>
    </row>
    <row r="7745" ht="15" customHeight="1">
      <c r="A7745" t="inlineStr">
        <is>
          <t>A 57623-2025</t>
        </is>
      </c>
      <c r="B7745" s="1" t="n">
        <v>45981.34552083333</v>
      </c>
      <c r="C7745" s="1" t="n">
        <v>46075</v>
      </c>
      <c r="D7745" t="inlineStr">
        <is>
          <t>VÄSTERBOTTENS LÄN</t>
        </is>
      </c>
      <c r="E7745" t="inlineStr">
        <is>
          <t>NORSJÖ</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57625-2025</t>
        </is>
      </c>
      <c r="B7746" s="1" t="n">
        <v>45981.34565972222</v>
      </c>
      <c r="C7746" s="1" t="n">
        <v>46075</v>
      </c>
      <c r="D7746" t="inlineStr">
        <is>
          <t>VÄSTERBOTTENS LÄN</t>
        </is>
      </c>
      <c r="E7746" t="inlineStr">
        <is>
          <t>NORSJÖ</t>
        </is>
      </c>
      <c r="G7746" t="n">
        <v>2</v>
      </c>
      <c r="H7746" t="n">
        <v>0</v>
      </c>
      <c r="I7746" t="n">
        <v>0</v>
      </c>
      <c r="J7746" t="n">
        <v>0</v>
      </c>
      <c r="K7746" t="n">
        <v>0</v>
      </c>
      <c r="L7746" t="n">
        <v>0</v>
      </c>
      <c r="M7746" t="n">
        <v>0</v>
      </c>
      <c r="N7746" t="n">
        <v>0</v>
      </c>
      <c r="O7746" t="n">
        <v>0</v>
      </c>
      <c r="P7746" t="n">
        <v>0</v>
      </c>
      <c r="Q7746" t="n">
        <v>0</v>
      </c>
      <c r="R7746" s="2" t="inlineStr"/>
    </row>
    <row r="7747" ht="15" customHeight="1">
      <c r="A7747" t="inlineStr">
        <is>
          <t>A 57626-2025</t>
        </is>
      </c>
      <c r="B7747" s="1" t="n">
        <v>45981.34576388889</v>
      </c>
      <c r="C7747" s="1" t="n">
        <v>46075</v>
      </c>
      <c r="D7747" t="inlineStr">
        <is>
          <t>VÄSTERBOTTENS LÄN</t>
        </is>
      </c>
      <c r="E7747" t="inlineStr">
        <is>
          <t>SKELLEFTEÅ</t>
        </is>
      </c>
      <c r="G7747" t="n">
        <v>4.7</v>
      </c>
      <c r="H7747" t="n">
        <v>0</v>
      </c>
      <c r="I7747" t="n">
        <v>0</v>
      </c>
      <c r="J7747" t="n">
        <v>0</v>
      </c>
      <c r="K7747" t="n">
        <v>0</v>
      </c>
      <c r="L7747" t="n">
        <v>0</v>
      </c>
      <c r="M7747" t="n">
        <v>0</v>
      </c>
      <c r="N7747" t="n">
        <v>0</v>
      </c>
      <c r="O7747" t="n">
        <v>0</v>
      </c>
      <c r="P7747" t="n">
        <v>0</v>
      </c>
      <c r="Q7747" t="n">
        <v>0</v>
      </c>
      <c r="R7747" s="2" t="inlineStr"/>
    </row>
    <row r="7748" ht="15" customHeight="1">
      <c r="A7748" t="inlineStr">
        <is>
          <t>A 57578-2025</t>
        </is>
      </c>
      <c r="B7748" s="1" t="n">
        <v>45980</v>
      </c>
      <c r="C7748" s="1" t="n">
        <v>46075</v>
      </c>
      <c r="D7748" t="inlineStr">
        <is>
          <t>VÄSTERBOTTENS LÄN</t>
        </is>
      </c>
      <c r="E7748" t="inlineStr">
        <is>
          <t>STORUMAN</t>
        </is>
      </c>
      <c r="G7748" t="n">
        <v>7.2</v>
      </c>
      <c r="H7748" t="n">
        <v>0</v>
      </c>
      <c r="I7748" t="n">
        <v>0</v>
      </c>
      <c r="J7748" t="n">
        <v>0</v>
      </c>
      <c r="K7748" t="n">
        <v>0</v>
      </c>
      <c r="L7748" t="n">
        <v>0</v>
      </c>
      <c r="M7748" t="n">
        <v>0</v>
      </c>
      <c r="N7748" t="n">
        <v>0</v>
      </c>
      <c r="O7748" t="n">
        <v>0</v>
      </c>
      <c r="P7748" t="n">
        <v>0</v>
      </c>
      <c r="Q7748" t="n">
        <v>0</v>
      </c>
      <c r="R7748" s="2" t="inlineStr"/>
    </row>
    <row r="7749" ht="15" customHeight="1">
      <c r="A7749" t="inlineStr">
        <is>
          <t>A 57521-2025</t>
        </is>
      </c>
      <c r="B7749" s="1" t="n">
        <v>45980.62366898148</v>
      </c>
      <c r="C7749" s="1" t="n">
        <v>46075</v>
      </c>
      <c r="D7749" t="inlineStr">
        <is>
          <t>VÄSTERBOTTENS LÄN</t>
        </is>
      </c>
      <c r="E7749" t="inlineStr">
        <is>
          <t>SKELLEFTEÅ</t>
        </is>
      </c>
      <c r="G7749" t="n">
        <v>9.6</v>
      </c>
      <c r="H7749" t="n">
        <v>0</v>
      </c>
      <c r="I7749" t="n">
        <v>0</v>
      </c>
      <c r="J7749" t="n">
        <v>0</v>
      </c>
      <c r="K7749" t="n">
        <v>0</v>
      </c>
      <c r="L7749" t="n">
        <v>0</v>
      </c>
      <c r="M7749" t="n">
        <v>0</v>
      </c>
      <c r="N7749" t="n">
        <v>0</v>
      </c>
      <c r="O7749" t="n">
        <v>0</v>
      </c>
      <c r="P7749" t="n">
        <v>0</v>
      </c>
      <c r="Q7749" t="n">
        <v>0</v>
      </c>
      <c r="R7749" s="2" t="inlineStr"/>
    </row>
    <row r="7750" ht="15" customHeight="1">
      <c r="A7750" t="inlineStr">
        <is>
          <t>A 67685-2021</t>
        </is>
      </c>
      <c r="B7750" s="1" t="n">
        <v>44524</v>
      </c>
      <c r="C7750" s="1" t="n">
        <v>46075</v>
      </c>
      <c r="D7750" t="inlineStr">
        <is>
          <t>VÄSTERBOTTENS LÄN</t>
        </is>
      </c>
      <c r="E7750" t="inlineStr">
        <is>
          <t>ÅSELE</t>
        </is>
      </c>
      <c r="F7750" t="inlineStr">
        <is>
          <t>SCA</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57345-2025</t>
        </is>
      </c>
      <c r="B7751" s="1" t="n">
        <v>45980.35304398148</v>
      </c>
      <c r="C7751" s="1" t="n">
        <v>46075</v>
      </c>
      <c r="D7751" t="inlineStr">
        <is>
          <t>VÄSTERBOTTENS LÄN</t>
        </is>
      </c>
      <c r="E7751" t="inlineStr">
        <is>
          <t>SKELLEFTEÅ</t>
        </is>
      </c>
      <c r="F7751" t="inlineStr">
        <is>
          <t>Sveaskog</t>
        </is>
      </c>
      <c r="G7751" t="n">
        <v>21</v>
      </c>
      <c r="H7751" t="n">
        <v>0</v>
      </c>
      <c r="I7751" t="n">
        <v>0</v>
      </c>
      <c r="J7751" t="n">
        <v>0</v>
      </c>
      <c r="K7751" t="n">
        <v>0</v>
      </c>
      <c r="L7751" t="n">
        <v>0</v>
      </c>
      <c r="M7751" t="n">
        <v>0</v>
      </c>
      <c r="N7751" t="n">
        <v>0</v>
      </c>
      <c r="O7751" t="n">
        <v>0</v>
      </c>
      <c r="P7751" t="n">
        <v>0</v>
      </c>
      <c r="Q7751" t="n">
        <v>0</v>
      </c>
      <c r="R7751" s="2" t="inlineStr"/>
    </row>
    <row r="7752" ht="15" customHeight="1">
      <c r="A7752" t="inlineStr">
        <is>
          <t>A 15542-2025</t>
        </is>
      </c>
      <c r="B7752" s="1" t="n">
        <v>45747.65768518519</v>
      </c>
      <c r="C7752" s="1" t="n">
        <v>46075</v>
      </c>
      <c r="D7752" t="inlineStr">
        <is>
          <t>VÄSTERBOTTENS LÄN</t>
        </is>
      </c>
      <c r="E7752" t="inlineStr">
        <is>
          <t>SKELLEFTEÅ</t>
        </is>
      </c>
      <c r="F7752" t="inlineStr">
        <is>
          <t>Övriga Aktiebolag</t>
        </is>
      </c>
      <c r="G7752" t="n">
        <v>11.6</v>
      </c>
      <c r="H7752" t="n">
        <v>0</v>
      </c>
      <c r="I7752" t="n">
        <v>0</v>
      </c>
      <c r="J7752" t="n">
        <v>0</v>
      </c>
      <c r="K7752" t="n">
        <v>0</v>
      </c>
      <c r="L7752" t="n">
        <v>0</v>
      </c>
      <c r="M7752" t="n">
        <v>0</v>
      </c>
      <c r="N7752" t="n">
        <v>0</v>
      </c>
      <c r="O7752" t="n">
        <v>0</v>
      </c>
      <c r="P7752" t="n">
        <v>0</v>
      </c>
      <c r="Q7752" t="n">
        <v>0</v>
      </c>
      <c r="R7752" s="2" t="inlineStr"/>
    </row>
    <row r="7753" ht="15" customHeight="1">
      <c r="A7753" t="inlineStr">
        <is>
          <t>A 57888-2025</t>
        </is>
      </c>
      <c r="B7753" s="1" t="n">
        <v>45981.67790509259</v>
      </c>
      <c r="C7753" s="1" t="n">
        <v>46075</v>
      </c>
      <c r="D7753" t="inlineStr">
        <is>
          <t>VÄSTERBOTTENS LÄN</t>
        </is>
      </c>
      <c r="E7753" t="inlineStr">
        <is>
          <t>SKELLEFTEÅ</t>
        </is>
      </c>
      <c r="G7753" t="n">
        <v>2.7</v>
      </c>
      <c r="H7753" t="n">
        <v>0</v>
      </c>
      <c r="I7753" t="n">
        <v>0</v>
      </c>
      <c r="J7753" t="n">
        <v>0</v>
      </c>
      <c r="K7753" t="n">
        <v>0</v>
      </c>
      <c r="L7753" t="n">
        <v>0</v>
      </c>
      <c r="M7753" t="n">
        <v>0</v>
      </c>
      <c r="N7753" t="n">
        <v>0</v>
      </c>
      <c r="O7753" t="n">
        <v>0</v>
      </c>
      <c r="P7753" t="n">
        <v>0</v>
      </c>
      <c r="Q7753" t="n">
        <v>0</v>
      </c>
      <c r="R7753" s="2" t="inlineStr"/>
    </row>
    <row r="7754" ht="15" customHeight="1">
      <c r="A7754" t="inlineStr">
        <is>
          <t>A 57136-2025</t>
        </is>
      </c>
      <c r="B7754" s="1" t="n">
        <v>45979</v>
      </c>
      <c r="C7754" s="1" t="n">
        <v>46075</v>
      </c>
      <c r="D7754" t="inlineStr">
        <is>
          <t>VÄSTERBOTTENS LÄN</t>
        </is>
      </c>
      <c r="E7754" t="inlineStr">
        <is>
          <t>SKELLEFTEÅ</t>
        </is>
      </c>
      <c r="G7754" t="n">
        <v>16.5</v>
      </c>
      <c r="H7754" t="n">
        <v>0</v>
      </c>
      <c r="I7754" t="n">
        <v>0</v>
      </c>
      <c r="J7754" t="n">
        <v>0</v>
      </c>
      <c r="K7754" t="n">
        <v>0</v>
      </c>
      <c r="L7754" t="n">
        <v>0</v>
      </c>
      <c r="M7754" t="n">
        <v>0</v>
      </c>
      <c r="N7754" t="n">
        <v>0</v>
      </c>
      <c r="O7754" t="n">
        <v>0</v>
      </c>
      <c r="P7754" t="n">
        <v>0</v>
      </c>
      <c r="Q7754" t="n">
        <v>0</v>
      </c>
      <c r="R7754" s="2" t="inlineStr"/>
    </row>
    <row r="7755" ht="15" customHeight="1">
      <c r="A7755" t="inlineStr">
        <is>
          <t>A 57394-2025</t>
        </is>
      </c>
      <c r="B7755" s="1" t="n">
        <v>45980.42696759259</v>
      </c>
      <c r="C7755" s="1" t="n">
        <v>46075</v>
      </c>
      <c r="D7755" t="inlineStr">
        <is>
          <t>VÄSTERBOTTENS LÄN</t>
        </is>
      </c>
      <c r="E7755" t="inlineStr">
        <is>
          <t>VINDELN</t>
        </is>
      </c>
      <c r="F7755" t="inlineStr">
        <is>
          <t>Sveaskog</t>
        </is>
      </c>
      <c r="G7755" t="n">
        <v>4.8</v>
      </c>
      <c r="H7755" t="n">
        <v>0</v>
      </c>
      <c r="I7755" t="n">
        <v>0</v>
      </c>
      <c r="J7755" t="n">
        <v>0</v>
      </c>
      <c r="K7755" t="n">
        <v>0</v>
      </c>
      <c r="L7755" t="n">
        <v>0</v>
      </c>
      <c r="M7755" t="n">
        <v>0</v>
      </c>
      <c r="N7755" t="n">
        <v>0</v>
      </c>
      <c r="O7755" t="n">
        <v>0</v>
      </c>
      <c r="P7755" t="n">
        <v>0</v>
      </c>
      <c r="Q7755" t="n">
        <v>0</v>
      </c>
      <c r="R7755" s="2" t="inlineStr"/>
    </row>
    <row r="7756" ht="15" customHeight="1">
      <c r="A7756" t="inlineStr">
        <is>
          <t>A 57419-2025</t>
        </is>
      </c>
      <c r="B7756" s="1" t="n">
        <v>45980.45418981482</v>
      </c>
      <c r="C7756" s="1" t="n">
        <v>46075</v>
      </c>
      <c r="D7756" t="inlineStr">
        <is>
          <t>VÄSTERBOTTENS LÄN</t>
        </is>
      </c>
      <c r="E7756" t="inlineStr">
        <is>
          <t>VINDELN</t>
        </is>
      </c>
      <c r="F7756" t="inlineStr">
        <is>
          <t>Sveaskog</t>
        </is>
      </c>
      <c r="G7756" t="n">
        <v>9.5</v>
      </c>
      <c r="H7756" t="n">
        <v>0</v>
      </c>
      <c r="I7756" t="n">
        <v>0</v>
      </c>
      <c r="J7756" t="n">
        <v>0</v>
      </c>
      <c r="K7756" t="n">
        <v>0</v>
      </c>
      <c r="L7756" t="n">
        <v>0</v>
      </c>
      <c r="M7756" t="n">
        <v>0</v>
      </c>
      <c r="N7756" t="n">
        <v>0</v>
      </c>
      <c r="O7756" t="n">
        <v>0</v>
      </c>
      <c r="P7756" t="n">
        <v>0</v>
      </c>
      <c r="Q7756" t="n">
        <v>0</v>
      </c>
      <c r="R7756" s="2" t="inlineStr"/>
    </row>
    <row r="7757" ht="15" customHeight="1">
      <c r="A7757" t="inlineStr">
        <is>
          <t>A 58138-2025</t>
        </is>
      </c>
      <c r="B7757" s="1" t="n">
        <v>45981</v>
      </c>
      <c r="C7757" s="1" t="n">
        <v>46075</v>
      </c>
      <c r="D7757" t="inlineStr">
        <is>
          <t>VÄSTERBOTTENS LÄN</t>
        </is>
      </c>
      <c r="E7757" t="inlineStr">
        <is>
          <t>STORUMAN</t>
        </is>
      </c>
      <c r="G7757" t="n">
        <v>2.5</v>
      </c>
      <c r="H7757" t="n">
        <v>0</v>
      </c>
      <c r="I7757" t="n">
        <v>0</v>
      </c>
      <c r="J7757" t="n">
        <v>0</v>
      </c>
      <c r="K7757" t="n">
        <v>0</v>
      </c>
      <c r="L7757" t="n">
        <v>0</v>
      </c>
      <c r="M7757" t="n">
        <v>0</v>
      </c>
      <c r="N7757" t="n">
        <v>0</v>
      </c>
      <c r="O7757" t="n">
        <v>0</v>
      </c>
      <c r="P7757" t="n">
        <v>0</v>
      </c>
      <c r="Q7757" t="n">
        <v>0</v>
      </c>
      <c r="R7757" s="2" t="inlineStr"/>
    </row>
    <row r="7758" ht="15" customHeight="1">
      <c r="A7758" t="inlineStr">
        <is>
          <t>A 57683-2025</t>
        </is>
      </c>
      <c r="B7758" s="1" t="n">
        <v>45981.43561342593</v>
      </c>
      <c r="C7758" s="1" t="n">
        <v>46075</v>
      </c>
      <c r="D7758" t="inlineStr">
        <is>
          <t>VÄSTERBOTTENS LÄN</t>
        </is>
      </c>
      <c r="E7758" t="inlineStr">
        <is>
          <t>SKELLEFTEÅ</t>
        </is>
      </c>
      <c r="G7758" t="n">
        <v>2.3</v>
      </c>
      <c r="H7758" t="n">
        <v>0</v>
      </c>
      <c r="I7758" t="n">
        <v>0</v>
      </c>
      <c r="J7758" t="n">
        <v>0</v>
      </c>
      <c r="K7758" t="n">
        <v>0</v>
      </c>
      <c r="L7758" t="n">
        <v>0</v>
      </c>
      <c r="M7758" t="n">
        <v>0</v>
      </c>
      <c r="N7758" t="n">
        <v>0</v>
      </c>
      <c r="O7758" t="n">
        <v>0</v>
      </c>
      <c r="P7758" t="n">
        <v>0</v>
      </c>
      <c r="Q7758" t="n">
        <v>0</v>
      </c>
      <c r="R7758" s="2" t="inlineStr"/>
    </row>
    <row r="7759" ht="15" customHeight="1">
      <c r="A7759" t="inlineStr">
        <is>
          <t>A 36354-2024</t>
        </is>
      </c>
      <c r="B7759" s="1" t="n">
        <v>45534</v>
      </c>
      <c r="C7759" s="1" t="n">
        <v>46075</v>
      </c>
      <c r="D7759" t="inlineStr">
        <is>
          <t>VÄSTERBOTTENS LÄN</t>
        </is>
      </c>
      <c r="E7759" t="inlineStr">
        <is>
          <t>DOROTEA</t>
        </is>
      </c>
      <c r="F7759" t="inlineStr">
        <is>
          <t>SCA</t>
        </is>
      </c>
      <c r="G7759" t="n">
        <v>4.2</v>
      </c>
      <c r="H7759" t="n">
        <v>0</v>
      </c>
      <c r="I7759" t="n">
        <v>0</v>
      </c>
      <c r="J7759" t="n">
        <v>0</v>
      </c>
      <c r="K7759" t="n">
        <v>0</v>
      </c>
      <c r="L7759" t="n">
        <v>0</v>
      </c>
      <c r="M7759" t="n">
        <v>0</v>
      </c>
      <c r="N7759" t="n">
        <v>0</v>
      </c>
      <c r="O7759" t="n">
        <v>0</v>
      </c>
      <c r="P7759" t="n">
        <v>0</v>
      </c>
      <c r="Q7759" t="n">
        <v>0</v>
      </c>
      <c r="R7759" s="2" t="inlineStr"/>
    </row>
    <row r="7760" ht="15" customHeight="1">
      <c r="A7760" t="inlineStr">
        <is>
          <t>A 57691-2025</t>
        </is>
      </c>
      <c r="B7760" s="1" t="n">
        <v>45981.44681712963</v>
      </c>
      <c r="C7760" s="1" t="n">
        <v>46075</v>
      </c>
      <c r="D7760" t="inlineStr">
        <is>
          <t>VÄSTERBOTTENS LÄN</t>
        </is>
      </c>
      <c r="E7760" t="inlineStr">
        <is>
          <t>SKELLEFTEÅ</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57424-2025</t>
        </is>
      </c>
      <c r="B7761" s="1" t="n">
        <v>45980.46134259259</v>
      </c>
      <c r="C7761" s="1" t="n">
        <v>46075</v>
      </c>
      <c r="D7761" t="inlineStr">
        <is>
          <t>VÄSTERBOTTENS LÄN</t>
        </is>
      </c>
      <c r="E7761" t="inlineStr">
        <is>
          <t>VÄNNÄS</t>
        </is>
      </c>
      <c r="F7761" t="inlineStr">
        <is>
          <t>Sveaskog</t>
        </is>
      </c>
      <c r="G7761" t="n">
        <v>3.7</v>
      </c>
      <c r="H7761" t="n">
        <v>0</v>
      </c>
      <c r="I7761" t="n">
        <v>0</v>
      </c>
      <c r="J7761" t="n">
        <v>0</v>
      </c>
      <c r="K7761" t="n">
        <v>0</v>
      </c>
      <c r="L7761" t="n">
        <v>0</v>
      </c>
      <c r="M7761" t="n">
        <v>0</v>
      </c>
      <c r="N7761" t="n">
        <v>0</v>
      </c>
      <c r="O7761" t="n">
        <v>0</v>
      </c>
      <c r="P7761" t="n">
        <v>0</v>
      </c>
      <c r="Q7761" t="n">
        <v>0</v>
      </c>
      <c r="R7761" s="2" t="inlineStr"/>
    </row>
    <row r="7762" ht="15" customHeight="1">
      <c r="A7762" t="inlineStr">
        <is>
          <t>A 28525-2023</t>
        </is>
      </c>
      <c r="B7762" s="1" t="n">
        <v>45103</v>
      </c>
      <c r="C7762" s="1" t="n">
        <v>46075</v>
      </c>
      <c r="D7762" t="inlineStr">
        <is>
          <t>VÄSTERBOTTENS LÄN</t>
        </is>
      </c>
      <c r="E7762" t="inlineStr">
        <is>
          <t>LYCKSELE</t>
        </is>
      </c>
      <c r="F7762" t="inlineStr">
        <is>
          <t>Sveaskog</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28545-2023</t>
        </is>
      </c>
      <c r="B7763" s="1" t="n">
        <v>45103.50075231482</v>
      </c>
      <c r="C7763" s="1" t="n">
        <v>46075</v>
      </c>
      <c r="D7763" t="inlineStr">
        <is>
          <t>VÄSTERBOTTENS LÄN</t>
        </is>
      </c>
      <c r="E7763" t="inlineStr">
        <is>
          <t>LYCKSELE</t>
        </is>
      </c>
      <c r="F7763" t="inlineStr">
        <is>
          <t>Sveaskog</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57456-2025</t>
        </is>
      </c>
      <c r="B7764" s="1" t="n">
        <v>45980.52962962963</v>
      </c>
      <c r="C7764" s="1" t="n">
        <v>46075</v>
      </c>
      <c r="D7764" t="inlineStr">
        <is>
          <t>VÄSTERBOTTENS LÄN</t>
        </is>
      </c>
      <c r="E7764" t="inlineStr">
        <is>
          <t>SKELLEFTEÅ</t>
        </is>
      </c>
      <c r="G7764" t="n">
        <v>2.4</v>
      </c>
      <c r="H7764" t="n">
        <v>0</v>
      </c>
      <c r="I7764" t="n">
        <v>0</v>
      </c>
      <c r="J7764" t="n">
        <v>0</v>
      </c>
      <c r="K7764" t="n">
        <v>0</v>
      </c>
      <c r="L7764" t="n">
        <v>0</v>
      </c>
      <c r="M7764" t="n">
        <v>0</v>
      </c>
      <c r="N7764" t="n">
        <v>0</v>
      </c>
      <c r="O7764" t="n">
        <v>0</v>
      </c>
      <c r="P7764" t="n">
        <v>0</v>
      </c>
      <c r="Q7764" t="n">
        <v>0</v>
      </c>
      <c r="R7764" s="2" t="inlineStr"/>
    </row>
    <row r="7765" ht="15" customHeight="1">
      <c r="A7765" t="inlineStr">
        <is>
          <t>A 57491-2025</t>
        </is>
      </c>
      <c r="B7765" s="1" t="n">
        <v>45980</v>
      </c>
      <c r="C7765" s="1" t="n">
        <v>46075</v>
      </c>
      <c r="D7765" t="inlineStr">
        <is>
          <t>VÄSTERBOTTENS LÄN</t>
        </is>
      </c>
      <c r="E7765" t="inlineStr">
        <is>
          <t>SORSELE</t>
        </is>
      </c>
      <c r="G7765" t="n">
        <v>7.9</v>
      </c>
      <c r="H7765" t="n">
        <v>0</v>
      </c>
      <c r="I7765" t="n">
        <v>0</v>
      </c>
      <c r="J7765" t="n">
        <v>0</v>
      </c>
      <c r="K7765" t="n">
        <v>0</v>
      </c>
      <c r="L7765" t="n">
        <v>0</v>
      </c>
      <c r="M7765" t="n">
        <v>0</v>
      </c>
      <c r="N7765" t="n">
        <v>0</v>
      </c>
      <c r="O7765" t="n">
        <v>0</v>
      </c>
      <c r="P7765" t="n">
        <v>0</v>
      </c>
      <c r="Q7765" t="n">
        <v>0</v>
      </c>
      <c r="R7765" s="2" t="inlineStr"/>
    </row>
    <row r="7766" ht="15" customHeight="1">
      <c r="A7766" t="inlineStr">
        <is>
          <t>A 43311-2024</t>
        </is>
      </c>
      <c r="B7766" s="1" t="n">
        <v>45568.44950231481</v>
      </c>
      <c r="C7766" s="1" t="n">
        <v>46075</v>
      </c>
      <c r="D7766" t="inlineStr">
        <is>
          <t>VÄSTERBOTTENS LÄN</t>
        </is>
      </c>
      <c r="E7766" t="inlineStr">
        <is>
          <t>BJURHOLM</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39047-2023</t>
        </is>
      </c>
      <c r="B7767" s="1" t="n">
        <v>45163.92709490741</v>
      </c>
      <c r="C7767" s="1" t="n">
        <v>46075</v>
      </c>
      <c r="D7767" t="inlineStr">
        <is>
          <t>VÄSTERBOTTENS LÄN</t>
        </is>
      </c>
      <c r="E7767" t="inlineStr">
        <is>
          <t>LYCKSELE</t>
        </is>
      </c>
      <c r="G7767" t="n">
        <v>3.4</v>
      </c>
      <c r="H7767" t="n">
        <v>0</v>
      </c>
      <c r="I7767" t="n">
        <v>0</v>
      </c>
      <c r="J7767" t="n">
        <v>0</v>
      </c>
      <c r="K7767" t="n">
        <v>0</v>
      </c>
      <c r="L7767" t="n">
        <v>0</v>
      </c>
      <c r="M7767" t="n">
        <v>0</v>
      </c>
      <c r="N7767" t="n">
        <v>0</v>
      </c>
      <c r="O7767" t="n">
        <v>0</v>
      </c>
      <c r="P7767" t="n">
        <v>0</v>
      </c>
      <c r="Q7767" t="n">
        <v>0</v>
      </c>
      <c r="R7767" s="2" t="inlineStr"/>
    </row>
    <row r="7768" ht="15" customHeight="1">
      <c r="A7768" t="inlineStr">
        <is>
          <t>A 7668-2024</t>
        </is>
      </c>
      <c r="B7768" s="1" t="n">
        <v>45348</v>
      </c>
      <c r="C7768" s="1" t="n">
        <v>46075</v>
      </c>
      <c r="D7768" t="inlineStr">
        <is>
          <t>VÄSTERBOTTENS LÄN</t>
        </is>
      </c>
      <c r="E7768" t="inlineStr">
        <is>
          <t>SKELLEFTEÅ</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8964-2024</t>
        </is>
      </c>
      <c r="B7769" s="1" t="n">
        <v>45357.47782407407</v>
      </c>
      <c r="C7769" s="1" t="n">
        <v>46075</v>
      </c>
      <c r="D7769" t="inlineStr">
        <is>
          <t>VÄSTERBOTTENS LÄN</t>
        </is>
      </c>
      <c r="E7769" t="inlineStr">
        <is>
          <t>LYCKSELE</t>
        </is>
      </c>
      <c r="G7769" t="n">
        <v>7.3</v>
      </c>
      <c r="H7769" t="n">
        <v>0</v>
      </c>
      <c r="I7769" t="n">
        <v>0</v>
      </c>
      <c r="J7769" t="n">
        <v>0</v>
      </c>
      <c r="K7769" t="n">
        <v>0</v>
      </c>
      <c r="L7769" t="n">
        <v>0</v>
      </c>
      <c r="M7769" t="n">
        <v>0</v>
      </c>
      <c r="N7769" t="n">
        <v>0</v>
      </c>
      <c r="O7769" t="n">
        <v>0</v>
      </c>
      <c r="P7769" t="n">
        <v>0</v>
      </c>
      <c r="Q7769" t="n">
        <v>0</v>
      </c>
      <c r="R7769" s="2" t="inlineStr"/>
    </row>
    <row r="7770" ht="15" customHeight="1">
      <c r="A7770" t="inlineStr">
        <is>
          <t>A 58054-2025</t>
        </is>
      </c>
      <c r="B7770" s="1" t="n">
        <v>45982.52274305555</v>
      </c>
      <c r="C7770" s="1" t="n">
        <v>46075</v>
      </c>
      <c r="D7770" t="inlineStr">
        <is>
          <t>VÄSTERBOTTENS LÄN</t>
        </is>
      </c>
      <c r="E7770" t="inlineStr">
        <is>
          <t>SKELLEFTEÅ</t>
        </is>
      </c>
      <c r="F7770" t="inlineStr">
        <is>
          <t>Sveaskog</t>
        </is>
      </c>
      <c r="G7770" t="n">
        <v>2.9</v>
      </c>
      <c r="H7770" t="n">
        <v>0</v>
      </c>
      <c r="I7770" t="n">
        <v>0</v>
      </c>
      <c r="J7770" t="n">
        <v>0</v>
      </c>
      <c r="K7770" t="n">
        <v>0</v>
      </c>
      <c r="L7770" t="n">
        <v>0</v>
      </c>
      <c r="M7770" t="n">
        <v>0</v>
      </c>
      <c r="N7770" t="n">
        <v>0</v>
      </c>
      <c r="O7770" t="n">
        <v>0</v>
      </c>
      <c r="P7770" t="n">
        <v>0</v>
      </c>
      <c r="Q7770" t="n">
        <v>0</v>
      </c>
      <c r="R7770" s="2" t="inlineStr"/>
    </row>
    <row r="7771" ht="15" customHeight="1">
      <c r="A7771" t="inlineStr">
        <is>
          <t>A 58060-2025</t>
        </is>
      </c>
      <c r="B7771" s="1" t="n">
        <v>45982.53171296296</v>
      </c>
      <c r="C7771" s="1" t="n">
        <v>46075</v>
      </c>
      <c r="D7771" t="inlineStr">
        <is>
          <t>VÄSTERBOTTENS LÄN</t>
        </is>
      </c>
      <c r="E7771" t="inlineStr">
        <is>
          <t>SKELLEFTEÅ</t>
        </is>
      </c>
      <c r="G7771" t="n">
        <v>1.9</v>
      </c>
      <c r="H7771" t="n">
        <v>0</v>
      </c>
      <c r="I7771" t="n">
        <v>0</v>
      </c>
      <c r="J7771" t="n">
        <v>0</v>
      </c>
      <c r="K7771" t="n">
        <v>0</v>
      </c>
      <c r="L7771" t="n">
        <v>0</v>
      </c>
      <c r="M7771" t="n">
        <v>0</v>
      </c>
      <c r="N7771" t="n">
        <v>0</v>
      </c>
      <c r="O7771" t="n">
        <v>0</v>
      </c>
      <c r="P7771" t="n">
        <v>0</v>
      </c>
      <c r="Q7771" t="n">
        <v>0</v>
      </c>
      <c r="R7771" s="2" t="inlineStr"/>
    </row>
    <row r="7772" ht="15" customHeight="1">
      <c r="A7772" t="inlineStr">
        <is>
          <t>A 58067-2025</t>
        </is>
      </c>
      <c r="B7772" s="1" t="n">
        <v>45982.54563657408</v>
      </c>
      <c r="C7772" s="1" t="n">
        <v>46075</v>
      </c>
      <c r="D7772" t="inlineStr">
        <is>
          <t>VÄSTERBOTTENS LÄN</t>
        </is>
      </c>
      <c r="E7772" t="inlineStr">
        <is>
          <t>VINDELN</t>
        </is>
      </c>
      <c r="F7772" t="inlineStr">
        <is>
          <t>Sveaskog</t>
        </is>
      </c>
      <c r="G7772" t="n">
        <v>10.9</v>
      </c>
      <c r="H7772" t="n">
        <v>0</v>
      </c>
      <c r="I7772" t="n">
        <v>0</v>
      </c>
      <c r="J7772" t="n">
        <v>0</v>
      </c>
      <c r="K7772" t="n">
        <v>0</v>
      </c>
      <c r="L7772" t="n">
        <v>0</v>
      </c>
      <c r="M7772" t="n">
        <v>0</v>
      </c>
      <c r="N7772" t="n">
        <v>0</v>
      </c>
      <c r="O7772" t="n">
        <v>0</v>
      </c>
      <c r="P7772" t="n">
        <v>0</v>
      </c>
      <c r="Q7772" t="n">
        <v>0</v>
      </c>
      <c r="R7772" s="2" t="inlineStr"/>
    </row>
    <row r="7773" ht="15" customHeight="1">
      <c r="A7773" t="inlineStr">
        <is>
          <t>A 58068-2025</t>
        </is>
      </c>
      <c r="B7773" s="1" t="n">
        <v>45982.54613425926</v>
      </c>
      <c r="C7773" s="1" t="n">
        <v>46075</v>
      </c>
      <c r="D7773" t="inlineStr">
        <is>
          <t>VÄSTERBOTTENS LÄN</t>
        </is>
      </c>
      <c r="E7773" t="inlineStr">
        <is>
          <t>SKELLEFTEÅ</t>
        </is>
      </c>
      <c r="G7773" t="n">
        <v>2.7</v>
      </c>
      <c r="H7773" t="n">
        <v>0</v>
      </c>
      <c r="I7773" t="n">
        <v>0</v>
      </c>
      <c r="J7773" t="n">
        <v>0</v>
      </c>
      <c r="K7773" t="n">
        <v>0</v>
      </c>
      <c r="L7773" t="n">
        <v>0</v>
      </c>
      <c r="M7773" t="n">
        <v>0</v>
      </c>
      <c r="N7773" t="n">
        <v>0</v>
      </c>
      <c r="O7773" t="n">
        <v>0</v>
      </c>
      <c r="P7773" t="n">
        <v>0</v>
      </c>
      <c r="Q7773" t="n">
        <v>0</v>
      </c>
      <c r="R7773" s="2" t="inlineStr"/>
    </row>
    <row r="7774" ht="15" customHeight="1">
      <c r="A7774" t="inlineStr">
        <is>
          <t>A 58084-2025</t>
        </is>
      </c>
      <c r="B7774" s="1" t="n">
        <v>45982.56637731481</v>
      </c>
      <c r="C7774" s="1" t="n">
        <v>46075</v>
      </c>
      <c r="D7774" t="inlineStr">
        <is>
          <t>VÄSTERBOTTENS LÄN</t>
        </is>
      </c>
      <c r="E7774" t="inlineStr">
        <is>
          <t>SKELLEFTEÅ</t>
        </is>
      </c>
      <c r="G7774" t="n">
        <v>19.7</v>
      </c>
      <c r="H7774" t="n">
        <v>0</v>
      </c>
      <c r="I7774" t="n">
        <v>0</v>
      </c>
      <c r="J7774" t="n">
        <v>0</v>
      </c>
      <c r="K7774" t="n">
        <v>0</v>
      </c>
      <c r="L7774" t="n">
        <v>0</v>
      </c>
      <c r="M7774" t="n">
        <v>0</v>
      </c>
      <c r="N7774" t="n">
        <v>0</v>
      </c>
      <c r="O7774" t="n">
        <v>0</v>
      </c>
      <c r="P7774" t="n">
        <v>0</v>
      </c>
      <c r="Q7774" t="n">
        <v>0</v>
      </c>
      <c r="R7774" s="2" t="inlineStr"/>
    </row>
    <row r="7775" ht="15" customHeight="1">
      <c r="A7775" t="inlineStr">
        <is>
          <t>A 58097-2025</t>
        </is>
      </c>
      <c r="B7775" s="1" t="n">
        <v>45982.58362268518</v>
      </c>
      <c r="C7775" s="1" t="n">
        <v>46075</v>
      </c>
      <c r="D7775" t="inlineStr">
        <is>
          <t>VÄSTERBOTTENS LÄN</t>
        </is>
      </c>
      <c r="E7775" t="inlineStr">
        <is>
          <t>LYCKSELE</t>
        </is>
      </c>
      <c r="F7775" t="inlineStr">
        <is>
          <t>Sveaskog</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36851-2023</t>
        </is>
      </c>
      <c r="B7776" s="1" t="n">
        <v>45154.53600694444</v>
      </c>
      <c r="C7776" s="1" t="n">
        <v>46075</v>
      </c>
      <c r="D7776" t="inlineStr">
        <is>
          <t>VÄSTERBOTTENS LÄN</t>
        </is>
      </c>
      <c r="E7776" t="inlineStr">
        <is>
          <t>LYCKSELE</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8987-2025</t>
        </is>
      </c>
      <c r="B7777" s="1" t="n">
        <v>45713.53717592593</v>
      </c>
      <c r="C7777" s="1" t="n">
        <v>46075</v>
      </c>
      <c r="D7777" t="inlineStr">
        <is>
          <t>VÄSTERBOTTENS LÄN</t>
        </is>
      </c>
      <c r="E7777" t="inlineStr">
        <is>
          <t>SORSELE</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19959-2023</t>
        </is>
      </c>
      <c r="B7778" s="1" t="n">
        <v>45054</v>
      </c>
      <c r="C7778" s="1" t="n">
        <v>46075</v>
      </c>
      <c r="D7778" t="inlineStr">
        <is>
          <t>VÄSTERBOTTENS LÄN</t>
        </is>
      </c>
      <c r="E7778" t="inlineStr">
        <is>
          <t>SORSELE</t>
        </is>
      </c>
      <c r="F7778" t="inlineStr">
        <is>
          <t>Sveaskog</t>
        </is>
      </c>
      <c r="G7778" t="n">
        <v>36.9</v>
      </c>
      <c r="H7778" t="n">
        <v>0</v>
      </c>
      <c r="I7778" t="n">
        <v>0</v>
      </c>
      <c r="J7778" t="n">
        <v>0</v>
      </c>
      <c r="K7778" t="n">
        <v>0</v>
      </c>
      <c r="L7778" t="n">
        <v>0</v>
      </c>
      <c r="M7778" t="n">
        <v>0</v>
      </c>
      <c r="N7778" t="n">
        <v>0</v>
      </c>
      <c r="O7778" t="n">
        <v>0</v>
      </c>
      <c r="P7778" t="n">
        <v>0</v>
      </c>
      <c r="Q7778" t="n">
        <v>0</v>
      </c>
      <c r="R7778" s="2" t="inlineStr"/>
    </row>
    <row r="7779" ht="15" customHeight="1">
      <c r="A7779" t="inlineStr">
        <is>
          <t>A 58146-2025</t>
        </is>
      </c>
      <c r="B7779" s="1" t="n">
        <v>45982.6434375</v>
      </c>
      <c r="C7779" s="1" t="n">
        <v>46075</v>
      </c>
      <c r="D7779" t="inlineStr">
        <is>
          <t>VÄSTERBOTTENS LÄN</t>
        </is>
      </c>
      <c r="E7779" t="inlineStr">
        <is>
          <t>SORSELE</t>
        </is>
      </c>
      <c r="F7779" t="inlineStr">
        <is>
          <t>Övriga statliga verk och myndigheter</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58147-2025</t>
        </is>
      </c>
      <c r="B7780" s="1" t="n">
        <v>45982.64435185185</v>
      </c>
      <c r="C7780" s="1" t="n">
        <v>46075</v>
      </c>
      <c r="D7780" t="inlineStr">
        <is>
          <t>VÄSTERBOTTENS LÄN</t>
        </is>
      </c>
      <c r="E7780" t="inlineStr">
        <is>
          <t>SORSELE</t>
        </is>
      </c>
      <c r="F7780" t="inlineStr">
        <is>
          <t>Övriga statliga verk och myndigheter</t>
        </is>
      </c>
      <c r="G7780" t="n">
        <v>2.3</v>
      </c>
      <c r="H7780" t="n">
        <v>0</v>
      </c>
      <c r="I7780" t="n">
        <v>0</v>
      </c>
      <c r="J7780" t="n">
        <v>0</v>
      </c>
      <c r="K7780" t="n">
        <v>0</v>
      </c>
      <c r="L7780" t="n">
        <v>0</v>
      </c>
      <c r="M7780" t="n">
        <v>0</v>
      </c>
      <c r="N7780" t="n">
        <v>0</v>
      </c>
      <c r="O7780" t="n">
        <v>0</v>
      </c>
      <c r="P7780" t="n">
        <v>0</v>
      </c>
      <c r="Q7780" t="n">
        <v>0</v>
      </c>
      <c r="R7780" s="2" t="inlineStr"/>
    </row>
    <row r="7781" ht="15" customHeight="1">
      <c r="A7781" t="inlineStr">
        <is>
          <t>A 49992-2022</t>
        </is>
      </c>
      <c r="B7781" s="1" t="n">
        <v>44860</v>
      </c>
      <c r="C7781" s="1" t="n">
        <v>46075</v>
      </c>
      <c r="D7781" t="inlineStr">
        <is>
          <t>VÄSTERBOTTENS LÄN</t>
        </is>
      </c>
      <c r="E7781" t="inlineStr">
        <is>
          <t>SKELLEFTEÅ</t>
        </is>
      </c>
      <c r="G7781" t="n">
        <v>3.6</v>
      </c>
      <c r="H7781" t="n">
        <v>0</v>
      </c>
      <c r="I7781" t="n">
        <v>0</v>
      </c>
      <c r="J7781" t="n">
        <v>0</v>
      </c>
      <c r="K7781" t="n">
        <v>0</v>
      </c>
      <c r="L7781" t="n">
        <v>0</v>
      </c>
      <c r="M7781" t="n">
        <v>0</v>
      </c>
      <c r="N7781" t="n">
        <v>0</v>
      </c>
      <c r="O7781" t="n">
        <v>0</v>
      </c>
      <c r="P7781" t="n">
        <v>0</v>
      </c>
      <c r="Q7781" t="n">
        <v>0</v>
      </c>
      <c r="R7781" s="2" t="inlineStr"/>
    </row>
    <row r="7782" ht="15" customHeight="1">
      <c r="A7782" t="inlineStr">
        <is>
          <t>A 72888-2021</t>
        </is>
      </c>
      <c r="B7782" s="1" t="n">
        <v>44546</v>
      </c>
      <c r="C7782" s="1" t="n">
        <v>46075</v>
      </c>
      <c r="D7782" t="inlineStr">
        <is>
          <t>VÄSTERBOTTENS LÄN</t>
        </is>
      </c>
      <c r="E7782" t="inlineStr">
        <is>
          <t>SORSELE</t>
        </is>
      </c>
      <c r="G7782" t="n">
        <v>10.7</v>
      </c>
      <c r="H7782" t="n">
        <v>0</v>
      </c>
      <c r="I7782" t="n">
        <v>0</v>
      </c>
      <c r="J7782" t="n">
        <v>0</v>
      </c>
      <c r="K7782" t="n">
        <v>0</v>
      </c>
      <c r="L7782" t="n">
        <v>0</v>
      </c>
      <c r="M7782" t="n">
        <v>0</v>
      </c>
      <c r="N7782" t="n">
        <v>0</v>
      </c>
      <c r="O7782" t="n">
        <v>0</v>
      </c>
      <c r="P7782" t="n">
        <v>0</v>
      </c>
      <c r="Q7782" t="n">
        <v>0</v>
      </c>
      <c r="R7782" s="2" t="inlineStr"/>
    </row>
    <row r="7783" ht="15" customHeight="1">
      <c r="A7783" t="inlineStr">
        <is>
          <t>A 72892-2021</t>
        </is>
      </c>
      <c r="B7783" s="1" t="n">
        <v>44546</v>
      </c>
      <c r="C7783" s="1" t="n">
        <v>46075</v>
      </c>
      <c r="D7783" t="inlineStr">
        <is>
          <t>VÄSTERBOTTENS LÄN</t>
        </is>
      </c>
      <c r="E7783" t="inlineStr">
        <is>
          <t>SORSELE</t>
        </is>
      </c>
      <c r="G7783" t="n">
        <v>7.7</v>
      </c>
      <c r="H7783" t="n">
        <v>0</v>
      </c>
      <c r="I7783" t="n">
        <v>0</v>
      </c>
      <c r="J7783" t="n">
        <v>0</v>
      </c>
      <c r="K7783" t="n">
        <v>0</v>
      </c>
      <c r="L7783" t="n">
        <v>0</v>
      </c>
      <c r="M7783" t="n">
        <v>0</v>
      </c>
      <c r="N7783" t="n">
        <v>0</v>
      </c>
      <c r="O7783" t="n">
        <v>0</v>
      </c>
      <c r="P7783" t="n">
        <v>0</v>
      </c>
      <c r="Q7783" t="n">
        <v>0</v>
      </c>
      <c r="R7783" s="2" t="inlineStr"/>
    </row>
    <row r="7784" ht="15" customHeight="1">
      <c r="A7784" t="inlineStr">
        <is>
          <t>A 58309-2025</t>
        </is>
      </c>
      <c r="B7784" s="1" t="n">
        <v>45985.46605324074</v>
      </c>
      <c r="C7784" s="1" t="n">
        <v>46075</v>
      </c>
      <c r="D7784" t="inlineStr">
        <is>
          <t>VÄSTERBOTTENS LÄN</t>
        </is>
      </c>
      <c r="E7784" t="inlineStr">
        <is>
          <t>UMEÅ</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58044-2025</t>
        </is>
      </c>
      <c r="B7785" s="1" t="n">
        <v>45982.5025</v>
      </c>
      <c r="C7785" s="1" t="n">
        <v>46075</v>
      </c>
      <c r="D7785" t="inlineStr">
        <is>
          <t>VÄSTERBOTTENS LÄN</t>
        </is>
      </c>
      <c r="E7785" t="inlineStr">
        <is>
          <t>UMEÅ</t>
        </is>
      </c>
      <c r="F7785" t="inlineStr">
        <is>
          <t>Holmen skog AB</t>
        </is>
      </c>
      <c r="G7785" t="n">
        <v>2.2</v>
      </c>
      <c r="H7785" t="n">
        <v>0</v>
      </c>
      <c r="I7785" t="n">
        <v>0</v>
      </c>
      <c r="J7785" t="n">
        <v>0</v>
      </c>
      <c r="K7785" t="n">
        <v>0</v>
      </c>
      <c r="L7785" t="n">
        <v>0</v>
      </c>
      <c r="M7785" t="n">
        <v>0</v>
      </c>
      <c r="N7785" t="n">
        <v>0</v>
      </c>
      <c r="O7785" t="n">
        <v>0</v>
      </c>
      <c r="P7785" t="n">
        <v>0</v>
      </c>
      <c r="Q7785" t="n">
        <v>0</v>
      </c>
      <c r="R7785" s="2" t="inlineStr"/>
    </row>
    <row r="7786" ht="15" customHeight="1">
      <c r="A7786" t="inlineStr">
        <is>
          <t>A 58080-2025</t>
        </is>
      </c>
      <c r="B7786" s="1" t="n">
        <v>45982.55920138889</v>
      </c>
      <c r="C7786" s="1" t="n">
        <v>46075</v>
      </c>
      <c r="D7786" t="inlineStr">
        <is>
          <t>VÄSTERBOTTENS LÄN</t>
        </is>
      </c>
      <c r="E7786" t="inlineStr">
        <is>
          <t>UMEÅ</t>
        </is>
      </c>
      <c r="G7786" t="n">
        <v>2.4</v>
      </c>
      <c r="H7786" t="n">
        <v>0</v>
      </c>
      <c r="I7786" t="n">
        <v>0</v>
      </c>
      <c r="J7786" t="n">
        <v>0</v>
      </c>
      <c r="K7786" t="n">
        <v>0</v>
      </c>
      <c r="L7786" t="n">
        <v>0</v>
      </c>
      <c r="M7786" t="n">
        <v>0</v>
      </c>
      <c r="N7786" t="n">
        <v>0</v>
      </c>
      <c r="O7786" t="n">
        <v>0</v>
      </c>
      <c r="P7786" t="n">
        <v>0</v>
      </c>
      <c r="Q7786" t="n">
        <v>0</v>
      </c>
      <c r="R7786" s="2" t="inlineStr"/>
    </row>
    <row r="7787" ht="15" customHeight="1">
      <c r="A7787" t="inlineStr">
        <is>
          <t>A 39054-2024</t>
        </is>
      </c>
      <c r="B7787" s="1" t="n">
        <v>45548.49337962963</v>
      </c>
      <c r="C7787" s="1" t="n">
        <v>46075</v>
      </c>
      <c r="D7787" t="inlineStr">
        <is>
          <t>VÄSTERBOTTENS LÄN</t>
        </is>
      </c>
      <c r="E7787" t="inlineStr">
        <is>
          <t>SKELLEFTEÅ</t>
        </is>
      </c>
      <c r="F7787" t="inlineStr">
        <is>
          <t>Sveaskog</t>
        </is>
      </c>
      <c r="G7787" t="n">
        <v>12.3</v>
      </c>
      <c r="H7787" t="n">
        <v>0</v>
      </c>
      <c r="I7787" t="n">
        <v>0</v>
      </c>
      <c r="J7787" t="n">
        <v>0</v>
      </c>
      <c r="K7787" t="n">
        <v>0</v>
      </c>
      <c r="L7787" t="n">
        <v>0</v>
      </c>
      <c r="M7787" t="n">
        <v>0</v>
      </c>
      <c r="N7787" t="n">
        <v>0</v>
      </c>
      <c r="O7787" t="n">
        <v>0</v>
      </c>
      <c r="P7787" t="n">
        <v>0</v>
      </c>
      <c r="Q7787" t="n">
        <v>0</v>
      </c>
      <c r="R7787" s="2" t="inlineStr"/>
    </row>
    <row r="7788" ht="15" customHeight="1">
      <c r="A7788" t="inlineStr">
        <is>
          <t>A 58094-2025</t>
        </is>
      </c>
      <c r="B7788" s="1" t="n">
        <v>45982.57611111111</v>
      </c>
      <c r="C7788" s="1" t="n">
        <v>46075</v>
      </c>
      <c r="D7788" t="inlineStr">
        <is>
          <t>VÄSTERBOTTENS LÄN</t>
        </is>
      </c>
      <c r="E7788" t="inlineStr">
        <is>
          <t>LYCKSELE</t>
        </is>
      </c>
      <c r="F7788" t="inlineStr">
        <is>
          <t>Sveaskog</t>
        </is>
      </c>
      <c r="G7788" t="n">
        <v>2.1</v>
      </c>
      <c r="H7788" t="n">
        <v>0</v>
      </c>
      <c r="I7788" t="n">
        <v>0</v>
      </c>
      <c r="J7788" t="n">
        <v>0</v>
      </c>
      <c r="K7788" t="n">
        <v>0</v>
      </c>
      <c r="L7788" t="n">
        <v>0</v>
      </c>
      <c r="M7788" t="n">
        <v>0</v>
      </c>
      <c r="N7788" t="n">
        <v>0</v>
      </c>
      <c r="O7788" t="n">
        <v>0</v>
      </c>
      <c r="P7788" t="n">
        <v>0</v>
      </c>
      <c r="Q7788" t="n">
        <v>0</v>
      </c>
      <c r="R7788" s="2" t="inlineStr"/>
    </row>
    <row r="7789" ht="15" customHeight="1">
      <c r="A7789" t="inlineStr">
        <is>
          <t>A 58223-2025</t>
        </is>
      </c>
      <c r="B7789" s="1" t="n">
        <v>45985.36523148148</v>
      </c>
      <c r="C7789" s="1" t="n">
        <v>46075</v>
      </c>
      <c r="D7789" t="inlineStr">
        <is>
          <t>VÄSTERBOTTENS LÄN</t>
        </is>
      </c>
      <c r="E7789" t="inlineStr">
        <is>
          <t>LYCKSELE</t>
        </is>
      </c>
      <c r="F7789" t="inlineStr">
        <is>
          <t>Sveaskog</t>
        </is>
      </c>
      <c r="G7789" t="n">
        <v>5</v>
      </c>
      <c r="H7789" t="n">
        <v>0</v>
      </c>
      <c r="I7789" t="n">
        <v>0</v>
      </c>
      <c r="J7789" t="n">
        <v>0</v>
      </c>
      <c r="K7789" t="n">
        <v>0</v>
      </c>
      <c r="L7789" t="n">
        <v>0</v>
      </c>
      <c r="M7789" t="n">
        <v>0</v>
      </c>
      <c r="N7789" t="n">
        <v>0</v>
      </c>
      <c r="O7789" t="n">
        <v>0</v>
      </c>
      <c r="P7789" t="n">
        <v>0</v>
      </c>
      <c r="Q7789" t="n">
        <v>0</v>
      </c>
      <c r="R7789" s="2" t="inlineStr"/>
    </row>
    <row r="7790" ht="15" customHeight="1">
      <c r="A7790" t="inlineStr">
        <is>
          <t>A 39101-2024</t>
        </is>
      </c>
      <c r="B7790" s="1" t="n">
        <v>45548.56578703703</v>
      </c>
      <c r="C7790" s="1" t="n">
        <v>46075</v>
      </c>
      <c r="D7790" t="inlineStr">
        <is>
          <t>VÄSTERBOTTENS LÄN</t>
        </is>
      </c>
      <c r="E7790" t="inlineStr">
        <is>
          <t>BJURHOLM</t>
        </is>
      </c>
      <c r="G7790" t="n">
        <v>5.1</v>
      </c>
      <c r="H7790" t="n">
        <v>0</v>
      </c>
      <c r="I7790" t="n">
        <v>0</v>
      </c>
      <c r="J7790" t="n">
        <v>0</v>
      </c>
      <c r="K7790" t="n">
        <v>0</v>
      </c>
      <c r="L7790" t="n">
        <v>0</v>
      </c>
      <c r="M7790" t="n">
        <v>0</v>
      </c>
      <c r="N7790" t="n">
        <v>0</v>
      </c>
      <c r="O7790" t="n">
        <v>0</v>
      </c>
      <c r="P7790" t="n">
        <v>0</v>
      </c>
      <c r="Q7790" t="n">
        <v>0</v>
      </c>
      <c r="R7790" s="2" t="inlineStr"/>
    </row>
    <row r="7791" ht="15" customHeight="1">
      <c r="A7791" t="inlineStr">
        <is>
          <t>A 47887-2023</t>
        </is>
      </c>
      <c r="B7791" s="1" t="n">
        <v>45198</v>
      </c>
      <c r="C7791" s="1" t="n">
        <v>46075</v>
      </c>
      <c r="D7791" t="inlineStr">
        <is>
          <t>VÄSTERBOTTENS LÄN</t>
        </is>
      </c>
      <c r="E7791" t="inlineStr">
        <is>
          <t>SORSELE</t>
        </is>
      </c>
      <c r="F7791" t="inlineStr">
        <is>
          <t>Övriga statliga verk och myndigheter</t>
        </is>
      </c>
      <c r="G7791" t="n">
        <v>20.4</v>
      </c>
      <c r="H7791" t="n">
        <v>0</v>
      </c>
      <c r="I7791" t="n">
        <v>0</v>
      </c>
      <c r="J7791" t="n">
        <v>0</v>
      </c>
      <c r="K7791" t="n">
        <v>0</v>
      </c>
      <c r="L7791" t="n">
        <v>0</v>
      </c>
      <c r="M7791" t="n">
        <v>0</v>
      </c>
      <c r="N7791" t="n">
        <v>0</v>
      </c>
      <c r="O7791" t="n">
        <v>0</v>
      </c>
      <c r="P7791" t="n">
        <v>0</v>
      </c>
      <c r="Q7791" t="n">
        <v>0</v>
      </c>
      <c r="R7791" s="2" t="inlineStr"/>
    </row>
    <row r="7792" ht="15" customHeight="1">
      <c r="A7792" t="inlineStr">
        <is>
          <t>A 57947-2025</t>
        </is>
      </c>
      <c r="B7792" s="1" t="n">
        <v>45982.34423611111</v>
      </c>
      <c r="C7792" s="1" t="n">
        <v>46075</v>
      </c>
      <c r="D7792" t="inlineStr">
        <is>
          <t>VÄSTERBOTTENS LÄN</t>
        </is>
      </c>
      <c r="E7792" t="inlineStr">
        <is>
          <t>DOROTEA</t>
        </is>
      </c>
      <c r="F7792" t="inlineStr">
        <is>
          <t>SCA</t>
        </is>
      </c>
      <c r="G7792" t="n">
        <v>3</v>
      </c>
      <c r="H7792" t="n">
        <v>0</v>
      </c>
      <c r="I7792" t="n">
        <v>0</v>
      </c>
      <c r="J7792" t="n">
        <v>0</v>
      </c>
      <c r="K7792" t="n">
        <v>0</v>
      </c>
      <c r="L7792" t="n">
        <v>0</v>
      </c>
      <c r="M7792" t="n">
        <v>0</v>
      </c>
      <c r="N7792" t="n">
        <v>0</v>
      </c>
      <c r="O7792" t="n">
        <v>0</v>
      </c>
      <c r="P7792" t="n">
        <v>0</v>
      </c>
      <c r="Q7792" t="n">
        <v>0</v>
      </c>
      <c r="R7792" s="2" t="inlineStr"/>
    </row>
    <row r="7793" ht="15" customHeight="1">
      <c r="A7793" t="inlineStr">
        <is>
          <t>A 58105-2025</t>
        </is>
      </c>
      <c r="B7793" s="1" t="n">
        <v>45982.59347222222</v>
      </c>
      <c r="C7793" s="1" t="n">
        <v>46075</v>
      </c>
      <c r="D7793" t="inlineStr">
        <is>
          <t>VÄSTERBOTTENS LÄN</t>
        </is>
      </c>
      <c r="E7793" t="inlineStr">
        <is>
          <t>SKELLEFTEÅ</t>
        </is>
      </c>
      <c r="G7793" t="n">
        <v>6.6</v>
      </c>
      <c r="H7793" t="n">
        <v>0</v>
      </c>
      <c r="I7793" t="n">
        <v>0</v>
      </c>
      <c r="J7793" t="n">
        <v>0</v>
      </c>
      <c r="K7793" t="n">
        <v>0</v>
      </c>
      <c r="L7793" t="n">
        <v>0</v>
      </c>
      <c r="M7793" t="n">
        <v>0</v>
      </c>
      <c r="N7793" t="n">
        <v>0</v>
      </c>
      <c r="O7793" t="n">
        <v>0</v>
      </c>
      <c r="P7793" t="n">
        <v>0</v>
      </c>
      <c r="Q7793" t="n">
        <v>0</v>
      </c>
      <c r="R7793" s="2" t="inlineStr"/>
    </row>
    <row r="7794" ht="15" customHeight="1">
      <c r="A7794" t="inlineStr">
        <is>
          <t>A 58171-2025</t>
        </is>
      </c>
      <c r="B7794" s="1" t="n">
        <v>45982.7372337963</v>
      </c>
      <c r="C7794" s="1" t="n">
        <v>46075</v>
      </c>
      <c r="D7794" t="inlineStr">
        <is>
          <t>VÄSTERBOTTENS LÄN</t>
        </is>
      </c>
      <c r="E7794" t="inlineStr">
        <is>
          <t>LYCKSELE</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40008-2023</t>
        </is>
      </c>
      <c r="B7795" s="1" t="n">
        <v>45167</v>
      </c>
      <c r="C7795" s="1" t="n">
        <v>46075</v>
      </c>
      <c r="D7795" t="inlineStr">
        <is>
          <t>VÄSTERBOTTENS LÄN</t>
        </is>
      </c>
      <c r="E7795" t="inlineStr">
        <is>
          <t>NORDMALING</t>
        </is>
      </c>
      <c r="G7795" t="n">
        <v>2.6</v>
      </c>
      <c r="H7795" t="n">
        <v>0</v>
      </c>
      <c r="I7795" t="n">
        <v>0</v>
      </c>
      <c r="J7795" t="n">
        <v>0</v>
      </c>
      <c r="K7795" t="n">
        <v>0</v>
      </c>
      <c r="L7795" t="n">
        <v>0</v>
      </c>
      <c r="M7795" t="n">
        <v>0</v>
      </c>
      <c r="N7795" t="n">
        <v>0</v>
      </c>
      <c r="O7795" t="n">
        <v>0</v>
      </c>
      <c r="P7795" t="n">
        <v>0</v>
      </c>
      <c r="Q7795" t="n">
        <v>0</v>
      </c>
      <c r="R7795" s="2" t="inlineStr"/>
    </row>
    <row r="7796" ht="15" customHeight="1">
      <c r="A7796" t="inlineStr">
        <is>
          <t>A 40019-2023</t>
        </is>
      </c>
      <c r="B7796" s="1" t="n">
        <v>45167</v>
      </c>
      <c r="C7796" s="1" t="n">
        <v>46075</v>
      </c>
      <c r="D7796" t="inlineStr">
        <is>
          <t>VÄSTERBOTTENS LÄN</t>
        </is>
      </c>
      <c r="E7796" t="inlineStr">
        <is>
          <t>MALÅ</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40032-2023</t>
        </is>
      </c>
      <c r="B7797" s="1" t="n">
        <v>45167</v>
      </c>
      <c r="C7797" s="1" t="n">
        <v>46075</v>
      </c>
      <c r="D7797" t="inlineStr">
        <is>
          <t>VÄSTERBOTTENS LÄN</t>
        </is>
      </c>
      <c r="E7797" t="inlineStr">
        <is>
          <t>UMEÅ</t>
        </is>
      </c>
      <c r="G7797" t="n">
        <v>5.5</v>
      </c>
      <c r="H7797" t="n">
        <v>0</v>
      </c>
      <c r="I7797" t="n">
        <v>0</v>
      </c>
      <c r="J7797" t="n">
        <v>0</v>
      </c>
      <c r="K7797" t="n">
        <v>0</v>
      </c>
      <c r="L7797" t="n">
        <v>0</v>
      </c>
      <c r="M7797" t="n">
        <v>0</v>
      </c>
      <c r="N7797" t="n">
        <v>0</v>
      </c>
      <c r="O7797" t="n">
        <v>0</v>
      </c>
      <c r="P7797" t="n">
        <v>0</v>
      </c>
      <c r="Q7797" t="n">
        <v>0</v>
      </c>
      <c r="R7797" s="2" t="inlineStr"/>
    </row>
    <row r="7798" ht="15" customHeight="1">
      <c r="A7798" t="inlineStr">
        <is>
          <t>A 57998-2025</t>
        </is>
      </c>
      <c r="B7798" s="1" t="n">
        <v>45982.43335648148</v>
      </c>
      <c r="C7798" s="1" t="n">
        <v>46075</v>
      </c>
      <c r="D7798" t="inlineStr">
        <is>
          <t>VÄSTERBOTTENS LÄN</t>
        </is>
      </c>
      <c r="E7798" t="inlineStr">
        <is>
          <t>UMEÅ</t>
        </is>
      </c>
      <c r="F7798" t="inlineStr">
        <is>
          <t>Holmen skog AB</t>
        </is>
      </c>
      <c r="G7798" t="n">
        <v>2.9</v>
      </c>
      <c r="H7798" t="n">
        <v>0</v>
      </c>
      <c r="I7798" t="n">
        <v>0</v>
      </c>
      <c r="J7798" t="n">
        <v>0</v>
      </c>
      <c r="K7798" t="n">
        <v>0</v>
      </c>
      <c r="L7798" t="n">
        <v>0</v>
      </c>
      <c r="M7798" t="n">
        <v>0</v>
      </c>
      <c r="N7798" t="n">
        <v>0</v>
      </c>
      <c r="O7798" t="n">
        <v>0</v>
      </c>
      <c r="P7798" t="n">
        <v>0</v>
      </c>
      <c r="Q7798" t="n">
        <v>0</v>
      </c>
      <c r="R7798" s="2" t="inlineStr"/>
    </row>
    <row r="7799" ht="15" customHeight="1">
      <c r="A7799" t="inlineStr">
        <is>
          <t>A 58028-2025</t>
        </is>
      </c>
      <c r="B7799" s="1" t="n">
        <v>45982.48462962963</v>
      </c>
      <c r="C7799" s="1" t="n">
        <v>46075</v>
      </c>
      <c r="D7799" t="inlineStr">
        <is>
          <t>VÄSTERBOTTENS LÄN</t>
        </is>
      </c>
      <c r="E7799" t="inlineStr">
        <is>
          <t>UMEÅ</t>
        </is>
      </c>
      <c r="G7799" t="n">
        <v>3.4</v>
      </c>
      <c r="H7799" t="n">
        <v>0</v>
      </c>
      <c r="I7799" t="n">
        <v>0</v>
      </c>
      <c r="J7799" t="n">
        <v>0</v>
      </c>
      <c r="K7799" t="n">
        <v>0</v>
      </c>
      <c r="L7799" t="n">
        <v>0</v>
      </c>
      <c r="M7799" t="n">
        <v>0</v>
      </c>
      <c r="N7799" t="n">
        <v>0</v>
      </c>
      <c r="O7799" t="n">
        <v>0</v>
      </c>
      <c r="P7799" t="n">
        <v>0</v>
      </c>
      <c r="Q7799" t="n">
        <v>0</v>
      </c>
      <c r="R7799" s="2" t="inlineStr"/>
    </row>
    <row r="7800" ht="15" customHeight="1">
      <c r="A7800" t="inlineStr">
        <is>
          <t>A 2804-2025</t>
        </is>
      </c>
      <c r="B7800" s="1" t="n">
        <v>45677.58578703704</v>
      </c>
      <c r="C7800" s="1" t="n">
        <v>46075</v>
      </c>
      <c r="D7800" t="inlineStr">
        <is>
          <t>VÄSTERBOTTENS LÄN</t>
        </is>
      </c>
      <c r="E7800" t="inlineStr">
        <is>
          <t>VINDELN</t>
        </is>
      </c>
      <c r="G7800" t="n">
        <v>4.4</v>
      </c>
      <c r="H7800" t="n">
        <v>0</v>
      </c>
      <c r="I7800" t="n">
        <v>0</v>
      </c>
      <c r="J7800" t="n">
        <v>0</v>
      </c>
      <c r="K7800" t="n">
        <v>0</v>
      </c>
      <c r="L7800" t="n">
        <v>0</v>
      </c>
      <c r="M7800" t="n">
        <v>0</v>
      </c>
      <c r="N7800" t="n">
        <v>0</v>
      </c>
      <c r="O7800" t="n">
        <v>0</v>
      </c>
      <c r="P7800" t="n">
        <v>0</v>
      </c>
      <c r="Q7800" t="n">
        <v>0</v>
      </c>
      <c r="R7800" s="2" t="inlineStr"/>
    </row>
    <row r="7801" ht="15" customHeight="1">
      <c r="A7801" t="inlineStr">
        <is>
          <t>A 12410-2025</t>
        </is>
      </c>
      <c r="B7801" s="1" t="n">
        <v>45730.43505787037</v>
      </c>
      <c r="C7801" s="1" t="n">
        <v>46075</v>
      </c>
      <c r="D7801" t="inlineStr">
        <is>
          <t>VÄSTERBOTTENS LÄN</t>
        </is>
      </c>
      <c r="E7801" t="inlineStr">
        <is>
          <t>VÄNNÄS</t>
        </is>
      </c>
      <c r="G7801" t="n">
        <v>3.4</v>
      </c>
      <c r="H7801" t="n">
        <v>0</v>
      </c>
      <c r="I7801" t="n">
        <v>0</v>
      </c>
      <c r="J7801" t="n">
        <v>0</v>
      </c>
      <c r="K7801" t="n">
        <v>0</v>
      </c>
      <c r="L7801" t="n">
        <v>0</v>
      </c>
      <c r="M7801" t="n">
        <v>0</v>
      </c>
      <c r="N7801" t="n">
        <v>0</v>
      </c>
      <c r="O7801" t="n">
        <v>0</v>
      </c>
      <c r="P7801" t="n">
        <v>0</v>
      </c>
      <c r="Q7801" t="n">
        <v>0</v>
      </c>
      <c r="R7801" s="2" t="inlineStr"/>
    </row>
    <row r="7802" ht="15" customHeight="1">
      <c r="A7802" t="inlineStr">
        <is>
          <t>A 12424-2025</t>
        </is>
      </c>
      <c r="B7802" s="1" t="n">
        <v>45730.45533564815</v>
      </c>
      <c r="C7802" s="1" t="n">
        <v>46075</v>
      </c>
      <c r="D7802" t="inlineStr">
        <is>
          <t>VÄSTERBOTTENS LÄN</t>
        </is>
      </c>
      <c r="E7802" t="inlineStr">
        <is>
          <t>LYCKSELE</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58441-2025</t>
        </is>
      </c>
      <c r="B7803" s="1" t="n">
        <v>45985.61600694444</v>
      </c>
      <c r="C7803" s="1" t="n">
        <v>46075</v>
      </c>
      <c r="D7803" t="inlineStr">
        <is>
          <t>VÄSTERBOTTENS LÄN</t>
        </is>
      </c>
      <c r="E7803" t="inlineStr">
        <is>
          <t>ÅSELE</t>
        </is>
      </c>
      <c r="F7803" t="inlineStr">
        <is>
          <t>Sveaskog</t>
        </is>
      </c>
      <c r="G7803" t="n">
        <v>7.4</v>
      </c>
      <c r="H7803" t="n">
        <v>0</v>
      </c>
      <c r="I7803" t="n">
        <v>0</v>
      </c>
      <c r="J7803" t="n">
        <v>0</v>
      </c>
      <c r="K7803" t="n">
        <v>0</v>
      </c>
      <c r="L7803" t="n">
        <v>0</v>
      </c>
      <c r="M7803" t="n">
        <v>0</v>
      </c>
      <c r="N7803" t="n">
        <v>0</v>
      </c>
      <c r="O7803" t="n">
        <v>0</v>
      </c>
      <c r="P7803" t="n">
        <v>0</v>
      </c>
      <c r="Q7803" t="n">
        <v>0</v>
      </c>
      <c r="R7803" s="2" t="inlineStr"/>
    </row>
    <row r="7804" ht="15" customHeight="1">
      <c r="A7804" t="inlineStr">
        <is>
          <t>A 52746-2023</t>
        </is>
      </c>
      <c r="B7804" s="1" t="n">
        <v>45225.96753472222</v>
      </c>
      <c r="C7804" s="1" t="n">
        <v>46075</v>
      </c>
      <c r="D7804" t="inlineStr">
        <is>
          <t>VÄSTERBOTTENS LÄN</t>
        </is>
      </c>
      <c r="E7804" t="inlineStr">
        <is>
          <t>VILHELMINA</t>
        </is>
      </c>
      <c r="F7804" t="inlineStr">
        <is>
          <t>SCA</t>
        </is>
      </c>
      <c r="G7804" t="n">
        <v>10.4</v>
      </c>
      <c r="H7804" t="n">
        <v>0</v>
      </c>
      <c r="I7804" t="n">
        <v>0</v>
      </c>
      <c r="J7804" t="n">
        <v>0</v>
      </c>
      <c r="K7804" t="n">
        <v>0</v>
      </c>
      <c r="L7804" t="n">
        <v>0</v>
      </c>
      <c r="M7804" t="n">
        <v>0</v>
      </c>
      <c r="N7804" t="n">
        <v>0</v>
      </c>
      <c r="O7804" t="n">
        <v>0</v>
      </c>
      <c r="P7804" t="n">
        <v>0</v>
      </c>
      <c r="Q7804" t="n">
        <v>0</v>
      </c>
      <c r="R7804" s="2" t="inlineStr"/>
    </row>
    <row r="7805" ht="15" customHeight="1">
      <c r="A7805" t="inlineStr">
        <is>
          <t>A 73113-2021</t>
        </is>
      </c>
      <c r="B7805" s="1" t="n">
        <v>44550</v>
      </c>
      <c r="C7805" s="1" t="n">
        <v>46075</v>
      </c>
      <c r="D7805" t="inlineStr">
        <is>
          <t>VÄSTERBOTTENS LÄN</t>
        </is>
      </c>
      <c r="E7805" t="inlineStr">
        <is>
          <t>LYCKSELE</t>
        </is>
      </c>
      <c r="G7805" t="n">
        <v>2.2</v>
      </c>
      <c r="H7805" t="n">
        <v>0</v>
      </c>
      <c r="I7805" t="n">
        <v>0</v>
      </c>
      <c r="J7805" t="n">
        <v>0</v>
      </c>
      <c r="K7805" t="n">
        <v>0</v>
      </c>
      <c r="L7805" t="n">
        <v>0</v>
      </c>
      <c r="M7805" t="n">
        <v>0</v>
      </c>
      <c r="N7805" t="n">
        <v>0</v>
      </c>
      <c r="O7805" t="n">
        <v>0</v>
      </c>
      <c r="P7805" t="n">
        <v>0</v>
      </c>
      <c r="Q7805" t="n">
        <v>0</v>
      </c>
      <c r="R7805" s="2" t="inlineStr"/>
    </row>
    <row r="7806" ht="15" customHeight="1">
      <c r="A7806" t="inlineStr">
        <is>
          <t>A 7837-2023</t>
        </is>
      </c>
      <c r="B7806" s="1" t="n">
        <v>44973.48649305556</v>
      </c>
      <c r="C7806" s="1" t="n">
        <v>46075</v>
      </c>
      <c r="D7806" t="inlineStr">
        <is>
          <t>VÄSTERBOTTENS LÄN</t>
        </is>
      </c>
      <c r="E7806" t="inlineStr">
        <is>
          <t>LYCKSELE</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12333-2024</t>
        </is>
      </c>
      <c r="B7807" s="1" t="n">
        <v>45378</v>
      </c>
      <c r="C7807" s="1" t="n">
        <v>46075</v>
      </c>
      <c r="D7807" t="inlineStr">
        <is>
          <t>VÄSTERBOTTENS LÄN</t>
        </is>
      </c>
      <c r="E7807" t="inlineStr">
        <is>
          <t>LYCKSELE</t>
        </is>
      </c>
      <c r="G7807" t="n">
        <v>2.3</v>
      </c>
      <c r="H7807" t="n">
        <v>0</v>
      </c>
      <c r="I7807" t="n">
        <v>0</v>
      </c>
      <c r="J7807" t="n">
        <v>0</v>
      </c>
      <c r="K7807" t="n">
        <v>0</v>
      </c>
      <c r="L7807" t="n">
        <v>0</v>
      </c>
      <c r="M7807" t="n">
        <v>0</v>
      </c>
      <c r="N7807" t="n">
        <v>0</v>
      </c>
      <c r="O7807" t="n">
        <v>0</v>
      </c>
      <c r="P7807" t="n">
        <v>0</v>
      </c>
      <c r="Q7807" t="n">
        <v>0</v>
      </c>
      <c r="R7807" s="2" t="inlineStr"/>
    </row>
    <row r="7808" ht="15" customHeight="1">
      <c r="A7808" t="inlineStr">
        <is>
          <t>A 12375-2024</t>
        </is>
      </c>
      <c r="B7808" s="1" t="n">
        <v>45378</v>
      </c>
      <c r="C7808" s="1" t="n">
        <v>46075</v>
      </c>
      <c r="D7808" t="inlineStr">
        <is>
          <t>VÄSTERBOTTENS LÄN</t>
        </is>
      </c>
      <c r="E7808" t="inlineStr">
        <is>
          <t>NORDMALING</t>
        </is>
      </c>
      <c r="G7808" t="n">
        <v>5.8</v>
      </c>
      <c r="H7808" t="n">
        <v>0</v>
      </c>
      <c r="I7808" t="n">
        <v>0</v>
      </c>
      <c r="J7808" t="n">
        <v>0</v>
      </c>
      <c r="K7808" t="n">
        <v>0</v>
      </c>
      <c r="L7808" t="n">
        <v>0</v>
      </c>
      <c r="M7808" t="n">
        <v>0</v>
      </c>
      <c r="N7808" t="n">
        <v>0</v>
      </c>
      <c r="O7808" t="n">
        <v>0</v>
      </c>
      <c r="P7808" t="n">
        <v>0</v>
      </c>
      <c r="Q7808" t="n">
        <v>0</v>
      </c>
      <c r="R7808" s="2" t="inlineStr"/>
    </row>
    <row r="7809" ht="15" customHeight="1">
      <c r="A7809" t="inlineStr">
        <is>
          <t>A 57903-2025</t>
        </is>
      </c>
      <c r="B7809" s="1" t="n">
        <v>45981.75262731482</v>
      </c>
      <c r="C7809" s="1" t="n">
        <v>46075</v>
      </c>
      <c r="D7809" t="inlineStr">
        <is>
          <t>VÄSTERBOTTENS LÄN</t>
        </is>
      </c>
      <c r="E7809" t="inlineStr">
        <is>
          <t>NORDMALING</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58491-2025</t>
        </is>
      </c>
      <c r="B7810" s="1" t="n">
        <v>45985.67225694445</v>
      </c>
      <c r="C7810" s="1" t="n">
        <v>46075</v>
      </c>
      <c r="D7810" t="inlineStr">
        <is>
          <t>VÄSTERBOTTENS LÄN</t>
        </is>
      </c>
      <c r="E7810" t="inlineStr">
        <is>
          <t>VINDELN</t>
        </is>
      </c>
      <c r="G7810" t="n">
        <v>4.5</v>
      </c>
      <c r="H7810" t="n">
        <v>0</v>
      </c>
      <c r="I7810" t="n">
        <v>0</v>
      </c>
      <c r="J7810" t="n">
        <v>0</v>
      </c>
      <c r="K7810" t="n">
        <v>0</v>
      </c>
      <c r="L7810" t="n">
        <v>0</v>
      </c>
      <c r="M7810" t="n">
        <v>0</v>
      </c>
      <c r="N7810" t="n">
        <v>0</v>
      </c>
      <c r="O7810" t="n">
        <v>0</v>
      </c>
      <c r="P7810" t="n">
        <v>0</v>
      </c>
      <c r="Q7810" t="n">
        <v>0</v>
      </c>
      <c r="R7810" s="2" t="inlineStr"/>
    </row>
    <row r="7811" ht="15" customHeight="1">
      <c r="A7811" t="inlineStr">
        <is>
          <t>A 58420-2025</t>
        </is>
      </c>
      <c r="B7811" s="1" t="n">
        <v>45985.58819444444</v>
      </c>
      <c r="C7811" s="1" t="n">
        <v>46075</v>
      </c>
      <c r="D7811" t="inlineStr">
        <is>
          <t>VÄSTERBOTTENS LÄN</t>
        </is>
      </c>
      <c r="E7811" t="inlineStr">
        <is>
          <t>VILHELMINA</t>
        </is>
      </c>
      <c r="F7811" t="inlineStr">
        <is>
          <t>Sveaskog</t>
        </is>
      </c>
      <c r="G7811" t="n">
        <v>2.8</v>
      </c>
      <c r="H7811" t="n">
        <v>0</v>
      </c>
      <c r="I7811" t="n">
        <v>0</v>
      </c>
      <c r="J7811" t="n">
        <v>0</v>
      </c>
      <c r="K7811" t="n">
        <v>0</v>
      </c>
      <c r="L7811" t="n">
        <v>0</v>
      </c>
      <c r="M7811" t="n">
        <v>0</v>
      </c>
      <c r="N7811" t="n">
        <v>0</v>
      </c>
      <c r="O7811" t="n">
        <v>0</v>
      </c>
      <c r="P7811" t="n">
        <v>0</v>
      </c>
      <c r="Q7811" t="n">
        <v>0</v>
      </c>
      <c r="R7811" s="2" t="inlineStr"/>
    </row>
    <row r="7812" ht="15" customHeight="1">
      <c r="A7812" t="inlineStr">
        <is>
          <t>A 58423-2025</t>
        </is>
      </c>
      <c r="B7812" s="1" t="n">
        <v>45985.59456018519</v>
      </c>
      <c r="C7812" s="1" t="n">
        <v>46075</v>
      </c>
      <c r="D7812" t="inlineStr">
        <is>
          <t>VÄSTERBOTTENS LÄN</t>
        </is>
      </c>
      <c r="E7812" t="inlineStr">
        <is>
          <t>ÅSELE</t>
        </is>
      </c>
      <c r="F7812" t="inlineStr">
        <is>
          <t>Sveaskog</t>
        </is>
      </c>
      <c r="G7812" t="n">
        <v>3.5</v>
      </c>
      <c r="H7812" t="n">
        <v>0</v>
      </c>
      <c r="I7812" t="n">
        <v>0</v>
      </c>
      <c r="J7812" t="n">
        <v>0</v>
      </c>
      <c r="K7812" t="n">
        <v>0</v>
      </c>
      <c r="L7812" t="n">
        <v>0</v>
      </c>
      <c r="M7812" t="n">
        <v>0</v>
      </c>
      <c r="N7812" t="n">
        <v>0</v>
      </c>
      <c r="O7812" t="n">
        <v>0</v>
      </c>
      <c r="P7812" t="n">
        <v>0</v>
      </c>
      <c r="Q7812" t="n">
        <v>0</v>
      </c>
      <c r="R7812" s="2" t="inlineStr"/>
    </row>
    <row r="7813" ht="15" customHeight="1">
      <c r="A7813" t="inlineStr">
        <is>
          <t>A 17168-2025</t>
        </is>
      </c>
      <c r="B7813" s="1" t="n">
        <v>45755</v>
      </c>
      <c r="C7813" s="1" t="n">
        <v>46075</v>
      </c>
      <c r="D7813" t="inlineStr">
        <is>
          <t>VÄSTERBOTTENS LÄN</t>
        </is>
      </c>
      <c r="E7813" t="inlineStr">
        <is>
          <t>SKELLEFTEÅ</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17217-2025</t>
        </is>
      </c>
      <c r="B7814" s="1" t="n">
        <v>45756.4490625</v>
      </c>
      <c r="C7814" s="1" t="n">
        <v>46075</v>
      </c>
      <c r="D7814" t="inlineStr">
        <is>
          <t>VÄSTERBOTTENS LÄN</t>
        </is>
      </c>
      <c r="E7814" t="inlineStr">
        <is>
          <t>SORSELE</t>
        </is>
      </c>
      <c r="G7814" t="n">
        <v>3.4</v>
      </c>
      <c r="H7814" t="n">
        <v>0</v>
      </c>
      <c r="I7814" t="n">
        <v>0</v>
      </c>
      <c r="J7814" t="n">
        <v>0</v>
      </c>
      <c r="K7814" t="n">
        <v>0</v>
      </c>
      <c r="L7814" t="n">
        <v>0</v>
      </c>
      <c r="M7814" t="n">
        <v>0</v>
      </c>
      <c r="N7814" t="n">
        <v>0</v>
      </c>
      <c r="O7814" t="n">
        <v>0</v>
      </c>
      <c r="P7814" t="n">
        <v>0</v>
      </c>
      <c r="Q7814" t="n">
        <v>0</v>
      </c>
      <c r="R7814" s="2" t="inlineStr"/>
    </row>
    <row r="7815" ht="15" customHeight="1">
      <c r="A7815" t="inlineStr">
        <is>
          <t>A 58471-2025</t>
        </is>
      </c>
      <c r="B7815" s="1" t="n">
        <v>45985</v>
      </c>
      <c r="C7815" s="1" t="n">
        <v>46075</v>
      </c>
      <c r="D7815" t="inlineStr">
        <is>
          <t>VÄSTERBOTTENS LÄN</t>
        </is>
      </c>
      <c r="E7815" t="inlineStr">
        <is>
          <t>VILHELMINA</t>
        </is>
      </c>
      <c r="G7815" t="n">
        <v>4.5</v>
      </c>
      <c r="H7815" t="n">
        <v>0</v>
      </c>
      <c r="I7815" t="n">
        <v>0</v>
      </c>
      <c r="J7815" t="n">
        <v>0</v>
      </c>
      <c r="K7815" t="n">
        <v>0</v>
      </c>
      <c r="L7815" t="n">
        <v>0</v>
      </c>
      <c r="M7815" t="n">
        <v>0</v>
      </c>
      <c r="N7815" t="n">
        <v>0</v>
      </c>
      <c r="O7815" t="n">
        <v>0</v>
      </c>
      <c r="P7815" t="n">
        <v>0</v>
      </c>
      <c r="Q7815" t="n">
        <v>0</v>
      </c>
      <c r="R7815" s="2" t="inlineStr"/>
    </row>
    <row r="7816" ht="15" customHeight="1">
      <c r="A7816" t="inlineStr">
        <is>
          <t>A 17228-2025</t>
        </is>
      </c>
      <c r="B7816" s="1" t="n">
        <v>45756.46568287037</v>
      </c>
      <c r="C7816" s="1" t="n">
        <v>46075</v>
      </c>
      <c r="D7816" t="inlineStr">
        <is>
          <t>VÄSTERBOTTENS LÄN</t>
        </is>
      </c>
      <c r="E7816" t="inlineStr">
        <is>
          <t>NORSJÖ</t>
        </is>
      </c>
      <c r="F7816" t="inlineStr">
        <is>
          <t>Holmen skog AB</t>
        </is>
      </c>
      <c r="G7816" t="n">
        <v>2.8</v>
      </c>
      <c r="H7816" t="n">
        <v>0</v>
      </c>
      <c r="I7816" t="n">
        <v>0</v>
      </c>
      <c r="J7816" t="n">
        <v>0</v>
      </c>
      <c r="K7816" t="n">
        <v>0</v>
      </c>
      <c r="L7816" t="n">
        <v>0</v>
      </c>
      <c r="M7816" t="n">
        <v>0</v>
      </c>
      <c r="N7816" t="n">
        <v>0</v>
      </c>
      <c r="O7816" t="n">
        <v>0</v>
      </c>
      <c r="P7816" t="n">
        <v>0</v>
      </c>
      <c r="Q7816" t="n">
        <v>0</v>
      </c>
      <c r="R7816" s="2" t="inlineStr"/>
    </row>
    <row r="7817" ht="15" customHeight="1">
      <c r="A7817" t="inlineStr">
        <is>
          <t>A 39804-2023</t>
        </is>
      </c>
      <c r="B7817" s="1" t="n">
        <v>45167</v>
      </c>
      <c r="C7817" s="1" t="n">
        <v>46075</v>
      </c>
      <c r="D7817" t="inlineStr">
        <is>
          <t>VÄSTERBOTTENS LÄN</t>
        </is>
      </c>
      <c r="E7817" t="inlineStr">
        <is>
          <t>NORSJÖ</t>
        </is>
      </c>
      <c r="F7817" t="inlineStr">
        <is>
          <t>Övriga Aktiebolag</t>
        </is>
      </c>
      <c r="G7817" t="n">
        <v>4</v>
      </c>
      <c r="H7817" t="n">
        <v>0</v>
      </c>
      <c r="I7817" t="n">
        <v>0</v>
      </c>
      <c r="J7817" t="n">
        <v>0</v>
      </c>
      <c r="K7817" t="n">
        <v>0</v>
      </c>
      <c r="L7817" t="n">
        <v>0</v>
      </c>
      <c r="M7817" t="n">
        <v>0</v>
      </c>
      <c r="N7817" t="n">
        <v>0</v>
      </c>
      <c r="O7817" t="n">
        <v>0</v>
      </c>
      <c r="P7817" t="n">
        <v>0</v>
      </c>
      <c r="Q7817" t="n">
        <v>0</v>
      </c>
      <c r="R7817" s="2" t="inlineStr"/>
    </row>
    <row r="7818" ht="15" customHeight="1">
      <c r="A7818" t="inlineStr">
        <is>
          <t>A 58465-2025</t>
        </is>
      </c>
      <c r="B7818" s="1" t="n">
        <v>45985.63663194444</v>
      </c>
      <c r="C7818" s="1" t="n">
        <v>46075</v>
      </c>
      <c r="D7818" t="inlineStr">
        <is>
          <t>VÄSTERBOTTENS LÄN</t>
        </is>
      </c>
      <c r="E7818" t="inlineStr">
        <is>
          <t>ÅSELE</t>
        </is>
      </c>
      <c r="F7818" t="inlineStr">
        <is>
          <t>SCA</t>
        </is>
      </c>
      <c r="G7818" t="n">
        <v>3.1</v>
      </c>
      <c r="H7818" t="n">
        <v>0</v>
      </c>
      <c r="I7818" t="n">
        <v>0</v>
      </c>
      <c r="J7818" t="n">
        <v>0</v>
      </c>
      <c r="K7818" t="n">
        <v>0</v>
      </c>
      <c r="L7818" t="n">
        <v>0</v>
      </c>
      <c r="M7818" t="n">
        <v>0</v>
      </c>
      <c r="N7818" t="n">
        <v>0</v>
      </c>
      <c r="O7818" t="n">
        <v>0</v>
      </c>
      <c r="P7818" t="n">
        <v>0</v>
      </c>
      <c r="Q7818" t="n">
        <v>0</v>
      </c>
      <c r="R7818" s="2" t="inlineStr"/>
    </row>
    <row r="7819" ht="15" customHeight="1">
      <c r="A7819" t="inlineStr">
        <is>
          <t>A 40385-2023</t>
        </is>
      </c>
      <c r="B7819" s="1" t="n">
        <v>45169</v>
      </c>
      <c r="C7819" s="1" t="n">
        <v>46075</v>
      </c>
      <c r="D7819" t="inlineStr">
        <is>
          <t>VÄSTERBOTTENS LÄN</t>
        </is>
      </c>
      <c r="E7819" t="inlineStr">
        <is>
          <t>NORSJÖ</t>
        </is>
      </c>
      <c r="G7819" t="n">
        <v>37.1</v>
      </c>
      <c r="H7819" t="n">
        <v>0</v>
      </c>
      <c r="I7819" t="n">
        <v>0</v>
      </c>
      <c r="J7819" t="n">
        <v>0</v>
      </c>
      <c r="K7819" t="n">
        <v>0</v>
      </c>
      <c r="L7819" t="n">
        <v>0</v>
      </c>
      <c r="M7819" t="n">
        <v>0</v>
      </c>
      <c r="N7819" t="n">
        <v>0</v>
      </c>
      <c r="O7819" t="n">
        <v>0</v>
      </c>
      <c r="P7819" t="n">
        <v>0</v>
      </c>
      <c r="Q7819" t="n">
        <v>0</v>
      </c>
      <c r="R7819" s="2" t="inlineStr"/>
    </row>
    <row r="7820" ht="15" customHeight="1">
      <c r="A7820" t="inlineStr">
        <is>
          <t>A 1947-2022</t>
        </is>
      </c>
      <c r="B7820" s="1" t="n">
        <v>44575</v>
      </c>
      <c r="C7820" s="1" t="n">
        <v>46075</v>
      </c>
      <c r="D7820" t="inlineStr">
        <is>
          <t>VÄSTERBOTTENS LÄN</t>
        </is>
      </c>
      <c r="E7820" t="inlineStr">
        <is>
          <t>MALÅ</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58005-2025</t>
        </is>
      </c>
      <c r="B7821" s="1" t="n">
        <v>45982.44800925926</v>
      </c>
      <c r="C7821" s="1" t="n">
        <v>46075</v>
      </c>
      <c r="D7821" t="inlineStr">
        <is>
          <t>VÄSTERBOTTENS LÄN</t>
        </is>
      </c>
      <c r="E7821" t="inlineStr">
        <is>
          <t>BJURHOLM</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58036-2025</t>
        </is>
      </c>
      <c r="B7822" s="1" t="n">
        <v>45982.49006944444</v>
      </c>
      <c r="C7822" s="1" t="n">
        <v>46075</v>
      </c>
      <c r="D7822" t="inlineStr">
        <is>
          <t>VÄSTERBOTTENS LÄN</t>
        </is>
      </c>
      <c r="E7822" t="inlineStr">
        <is>
          <t>SORSELE</t>
        </is>
      </c>
      <c r="G7822" t="n">
        <v>5.9</v>
      </c>
      <c r="H7822" t="n">
        <v>0</v>
      </c>
      <c r="I7822" t="n">
        <v>0</v>
      </c>
      <c r="J7822" t="n">
        <v>0</v>
      </c>
      <c r="K7822" t="n">
        <v>0</v>
      </c>
      <c r="L7822" t="n">
        <v>0</v>
      </c>
      <c r="M7822" t="n">
        <v>0</v>
      </c>
      <c r="N7822" t="n">
        <v>0</v>
      </c>
      <c r="O7822" t="n">
        <v>0</v>
      </c>
      <c r="P7822" t="n">
        <v>0</v>
      </c>
      <c r="Q7822" t="n">
        <v>0</v>
      </c>
      <c r="R7822" s="2" t="inlineStr"/>
    </row>
    <row r="7823" ht="15" customHeight="1">
      <c r="A7823" t="inlineStr">
        <is>
          <t>A 58061-2025</t>
        </is>
      </c>
      <c r="B7823" s="1" t="n">
        <v>45982.53173611111</v>
      </c>
      <c r="C7823" s="1" t="n">
        <v>46075</v>
      </c>
      <c r="D7823" t="inlineStr">
        <is>
          <t>VÄSTERBOTTENS LÄN</t>
        </is>
      </c>
      <c r="E7823" t="inlineStr">
        <is>
          <t>SKELLEFTEÅ</t>
        </is>
      </c>
      <c r="G7823" t="n">
        <v>4.6</v>
      </c>
      <c r="H7823" t="n">
        <v>0</v>
      </c>
      <c r="I7823" t="n">
        <v>0</v>
      </c>
      <c r="J7823" t="n">
        <v>0</v>
      </c>
      <c r="K7823" t="n">
        <v>0</v>
      </c>
      <c r="L7823" t="n">
        <v>0</v>
      </c>
      <c r="M7823" t="n">
        <v>0</v>
      </c>
      <c r="N7823" t="n">
        <v>0</v>
      </c>
      <c r="O7823" t="n">
        <v>0</v>
      </c>
      <c r="P7823" t="n">
        <v>0</v>
      </c>
      <c r="Q7823" t="n">
        <v>0</v>
      </c>
      <c r="R7823" s="2" t="inlineStr"/>
    </row>
    <row r="7824" ht="15" customHeight="1">
      <c r="A7824" t="inlineStr">
        <is>
          <t>A 24136-2023</t>
        </is>
      </c>
      <c r="B7824" s="1" t="n">
        <v>45076</v>
      </c>
      <c r="C7824" s="1" t="n">
        <v>46075</v>
      </c>
      <c r="D7824" t="inlineStr">
        <is>
          <t>VÄSTERBOTTENS LÄN</t>
        </is>
      </c>
      <c r="E7824" t="inlineStr">
        <is>
          <t>ROBERTSFORS</t>
        </is>
      </c>
      <c r="G7824" t="n">
        <v>1.8</v>
      </c>
      <c r="H7824" t="n">
        <v>0</v>
      </c>
      <c r="I7824" t="n">
        <v>0</v>
      </c>
      <c r="J7824" t="n">
        <v>0</v>
      </c>
      <c r="K7824" t="n">
        <v>0</v>
      </c>
      <c r="L7824" t="n">
        <v>0</v>
      </c>
      <c r="M7824" t="n">
        <v>0</v>
      </c>
      <c r="N7824" t="n">
        <v>0</v>
      </c>
      <c r="O7824" t="n">
        <v>0</v>
      </c>
      <c r="P7824" t="n">
        <v>0</v>
      </c>
      <c r="Q7824" t="n">
        <v>0</v>
      </c>
      <c r="R7824" s="2" t="inlineStr"/>
    </row>
    <row r="7825" ht="15" customHeight="1">
      <c r="A7825" t="inlineStr">
        <is>
          <t>A 58088-2025</t>
        </is>
      </c>
      <c r="B7825" s="1" t="n">
        <v>45982.57263888889</v>
      </c>
      <c r="C7825" s="1" t="n">
        <v>46075</v>
      </c>
      <c r="D7825" t="inlineStr">
        <is>
          <t>VÄSTERBOTTENS LÄN</t>
        </is>
      </c>
      <c r="E7825" t="inlineStr">
        <is>
          <t>UMEÅ</t>
        </is>
      </c>
      <c r="G7825" t="n">
        <v>2.2</v>
      </c>
      <c r="H7825" t="n">
        <v>0</v>
      </c>
      <c r="I7825" t="n">
        <v>0</v>
      </c>
      <c r="J7825" t="n">
        <v>0</v>
      </c>
      <c r="K7825" t="n">
        <v>0</v>
      </c>
      <c r="L7825" t="n">
        <v>0</v>
      </c>
      <c r="M7825" t="n">
        <v>0</v>
      </c>
      <c r="N7825" t="n">
        <v>0</v>
      </c>
      <c r="O7825" t="n">
        <v>0</v>
      </c>
      <c r="P7825" t="n">
        <v>0</v>
      </c>
      <c r="Q7825" t="n">
        <v>0</v>
      </c>
      <c r="R7825" s="2" t="inlineStr"/>
    </row>
    <row r="7826" ht="15" customHeight="1">
      <c r="A7826" t="inlineStr">
        <is>
          <t>A 2909-2023</t>
        </is>
      </c>
      <c r="B7826" s="1" t="n">
        <v>44945</v>
      </c>
      <c r="C7826" s="1" t="n">
        <v>46075</v>
      </c>
      <c r="D7826" t="inlineStr">
        <is>
          <t>VÄSTERBOTTENS LÄN</t>
        </is>
      </c>
      <c r="E7826" t="inlineStr">
        <is>
          <t>NORSJÖ</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58070-2025</t>
        </is>
      </c>
      <c r="B7827" s="1" t="n">
        <v>45982.55038194444</v>
      </c>
      <c r="C7827" s="1" t="n">
        <v>46075</v>
      </c>
      <c r="D7827" t="inlineStr">
        <is>
          <t>VÄSTERBOTTENS LÄN</t>
        </is>
      </c>
      <c r="E7827" t="inlineStr">
        <is>
          <t>SKELLEFTEÅ</t>
        </is>
      </c>
      <c r="G7827" t="n">
        <v>3.2</v>
      </c>
      <c r="H7827" t="n">
        <v>0</v>
      </c>
      <c r="I7827" t="n">
        <v>0</v>
      </c>
      <c r="J7827" t="n">
        <v>0</v>
      </c>
      <c r="K7827" t="n">
        <v>0</v>
      </c>
      <c r="L7827" t="n">
        <v>0</v>
      </c>
      <c r="M7827" t="n">
        <v>0</v>
      </c>
      <c r="N7827" t="n">
        <v>0</v>
      </c>
      <c r="O7827" t="n">
        <v>0</v>
      </c>
      <c r="P7827" t="n">
        <v>0</v>
      </c>
      <c r="Q7827" t="n">
        <v>0</v>
      </c>
      <c r="R7827" s="2" t="inlineStr"/>
    </row>
    <row r="7828" ht="15" customHeight="1">
      <c r="A7828" t="inlineStr">
        <is>
          <t>A 58074-2025</t>
        </is>
      </c>
      <c r="B7828" s="1" t="n">
        <v>45982.55253472222</v>
      </c>
      <c r="C7828" s="1" t="n">
        <v>46075</v>
      </c>
      <c r="D7828" t="inlineStr">
        <is>
          <t>VÄSTERBOTTENS LÄN</t>
        </is>
      </c>
      <c r="E7828" t="inlineStr">
        <is>
          <t>VILHELMINA</t>
        </is>
      </c>
      <c r="F7828" t="inlineStr">
        <is>
          <t>SCA</t>
        </is>
      </c>
      <c r="G7828" t="n">
        <v>12.4</v>
      </c>
      <c r="H7828" t="n">
        <v>0</v>
      </c>
      <c r="I7828" t="n">
        <v>0</v>
      </c>
      <c r="J7828" t="n">
        <v>0</v>
      </c>
      <c r="K7828" t="n">
        <v>0</v>
      </c>
      <c r="L7828" t="n">
        <v>0</v>
      </c>
      <c r="M7828" t="n">
        <v>0</v>
      </c>
      <c r="N7828" t="n">
        <v>0</v>
      </c>
      <c r="O7828" t="n">
        <v>0</v>
      </c>
      <c r="P7828" t="n">
        <v>0</v>
      </c>
      <c r="Q7828" t="n">
        <v>0</v>
      </c>
      <c r="R7828" s="2" t="inlineStr"/>
    </row>
    <row r="7829" ht="15" customHeight="1">
      <c r="A7829" t="inlineStr">
        <is>
          <t>A 52441-2023</t>
        </is>
      </c>
      <c r="B7829" s="1" t="n">
        <v>45225.36881944445</v>
      </c>
      <c r="C7829" s="1" t="n">
        <v>46075</v>
      </c>
      <c r="D7829" t="inlineStr">
        <is>
          <t>VÄSTERBOTTENS LÄN</t>
        </is>
      </c>
      <c r="E7829" t="inlineStr">
        <is>
          <t>SKELLEFTEÅ</t>
        </is>
      </c>
      <c r="G7829" t="n">
        <v>3.9</v>
      </c>
      <c r="H7829" t="n">
        <v>0</v>
      </c>
      <c r="I7829" t="n">
        <v>0</v>
      </c>
      <c r="J7829" t="n">
        <v>0</v>
      </c>
      <c r="K7829" t="n">
        <v>0</v>
      </c>
      <c r="L7829" t="n">
        <v>0</v>
      </c>
      <c r="M7829" t="n">
        <v>0</v>
      </c>
      <c r="N7829" t="n">
        <v>0</v>
      </c>
      <c r="O7829" t="n">
        <v>0</v>
      </c>
      <c r="P7829" t="n">
        <v>0</v>
      </c>
      <c r="Q7829" t="n">
        <v>0</v>
      </c>
      <c r="R7829" s="2" t="inlineStr"/>
    </row>
    <row r="7830" ht="15" customHeight="1">
      <c r="A7830" t="inlineStr">
        <is>
          <t>A 58075-2025</t>
        </is>
      </c>
      <c r="B7830" s="1" t="n">
        <v>45982.55265046296</v>
      </c>
      <c r="C7830" s="1" t="n">
        <v>46075</v>
      </c>
      <c r="D7830" t="inlineStr">
        <is>
          <t>VÄSTERBOTTENS LÄN</t>
        </is>
      </c>
      <c r="E7830" t="inlineStr">
        <is>
          <t>NORDMALING</t>
        </is>
      </c>
      <c r="F7830" t="inlineStr">
        <is>
          <t>SCA</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57967-2025</t>
        </is>
      </c>
      <c r="B7831" s="1" t="n">
        <v>45982.38572916666</v>
      </c>
      <c r="C7831" s="1" t="n">
        <v>46075</v>
      </c>
      <c r="D7831" t="inlineStr">
        <is>
          <t>VÄSTERBOTTENS LÄN</t>
        </is>
      </c>
      <c r="E7831" t="inlineStr">
        <is>
          <t>SKELLEFTEÅ</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41567-2023</t>
        </is>
      </c>
      <c r="B7832" s="1" t="n">
        <v>45175</v>
      </c>
      <c r="C7832" s="1" t="n">
        <v>46075</v>
      </c>
      <c r="D7832" t="inlineStr">
        <is>
          <t>VÄSTERBOTTENS LÄN</t>
        </is>
      </c>
      <c r="E7832" t="inlineStr">
        <is>
          <t>MALÅ</t>
        </is>
      </c>
      <c r="G7832" t="n">
        <v>4.6</v>
      </c>
      <c r="H7832" t="n">
        <v>0</v>
      </c>
      <c r="I7832" t="n">
        <v>0</v>
      </c>
      <c r="J7832" t="n">
        <v>0</v>
      </c>
      <c r="K7832" t="n">
        <v>0</v>
      </c>
      <c r="L7832" t="n">
        <v>0</v>
      </c>
      <c r="M7832" t="n">
        <v>0</v>
      </c>
      <c r="N7832" t="n">
        <v>0</v>
      </c>
      <c r="O7832" t="n">
        <v>0</v>
      </c>
      <c r="P7832" t="n">
        <v>0</v>
      </c>
      <c r="Q7832" t="n">
        <v>0</v>
      </c>
      <c r="R7832" s="2" t="inlineStr"/>
    </row>
    <row r="7833" ht="15" customHeight="1">
      <c r="A7833" t="inlineStr">
        <is>
          <t>A 57984-2025</t>
        </is>
      </c>
      <c r="B7833" s="1" t="n">
        <v>45982.41556712963</v>
      </c>
      <c r="C7833" s="1" t="n">
        <v>46075</v>
      </c>
      <c r="D7833" t="inlineStr">
        <is>
          <t>VÄSTERBOTTENS LÄN</t>
        </is>
      </c>
      <c r="E7833" t="inlineStr">
        <is>
          <t>LYCKSELE</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58150-2025</t>
        </is>
      </c>
      <c r="B7834" s="1" t="n">
        <v>45982.64979166666</v>
      </c>
      <c r="C7834" s="1" t="n">
        <v>46075</v>
      </c>
      <c r="D7834" t="inlineStr">
        <is>
          <t>VÄSTERBOTTENS LÄN</t>
        </is>
      </c>
      <c r="E7834" t="inlineStr">
        <is>
          <t>BJURHOLM</t>
        </is>
      </c>
      <c r="G7834" t="n">
        <v>3.4</v>
      </c>
      <c r="H7834" t="n">
        <v>0</v>
      </c>
      <c r="I7834" t="n">
        <v>0</v>
      </c>
      <c r="J7834" t="n">
        <v>0</v>
      </c>
      <c r="K7834" t="n">
        <v>0</v>
      </c>
      <c r="L7834" t="n">
        <v>0</v>
      </c>
      <c r="M7834" t="n">
        <v>0</v>
      </c>
      <c r="N7834" t="n">
        <v>0</v>
      </c>
      <c r="O7834" t="n">
        <v>0</v>
      </c>
      <c r="P7834" t="n">
        <v>0</v>
      </c>
      <c r="Q7834" t="n">
        <v>0</v>
      </c>
      <c r="R7834" s="2" t="inlineStr"/>
    </row>
    <row r="7835" ht="15" customHeight="1">
      <c r="A7835" t="inlineStr">
        <is>
          <t>A 41646-2023</t>
        </is>
      </c>
      <c r="B7835" s="1" t="n">
        <v>45175.92457175926</v>
      </c>
      <c r="C7835" s="1" t="n">
        <v>46075</v>
      </c>
      <c r="D7835" t="inlineStr">
        <is>
          <t>VÄSTERBOTTENS LÄN</t>
        </is>
      </c>
      <c r="E7835" t="inlineStr">
        <is>
          <t>NORSJÖ</t>
        </is>
      </c>
      <c r="G7835" t="n">
        <v>8.1</v>
      </c>
      <c r="H7835" t="n">
        <v>0</v>
      </c>
      <c r="I7835" t="n">
        <v>0</v>
      </c>
      <c r="J7835" t="n">
        <v>0</v>
      </c>
      <c r="K7835" t="n">
        <v>0</v>
      </c>
      <c r="L7835" t="n">
        <v>0</v>
      </c>
      <c r="M7835" t="n">
        <v>0</v>
      </c>
      <c r="N7835" t="n">
        <v>0</v>
      </c>
      <c r="O7835" t="n">
        <v>0</v>
      </c>
      <c r="P7835" t="n">
        <v>0</v>
      </c>
      <c r="Q7835" t="n">
        <v>0</v>
      </c>
      <c r="R7835" s="2" t="inlineStr"/>
    </row>
    <row r="7836" ht="15" customHeight="1">
      <c r="A7836" t="inlineStr">
        <is>
          <t>A 38405-2024</t>
        </is>
      </c>
      <c r="B7836" s="1" t="n">
        <v>45546.34490740741</v>
      </c>
      <c r="C7836" s="1" t="n">
        <v>46075</v>
      </c>
      <c r="D7836" t="inlineStr">
        <is>
          <t>VÄSTERBOTTENS LÄN</t>
        </is>
      </c>
      <c r="E7836" t="inlineStr">
        <is>
          <t>ÅSELE</t>
        </is>
      </c>
      <c r="F7836" t="inlineStr">
        <is>
          <t>SCA</t>
        </is>
      </c>
      <c r="G7836" t="n">
        <v>3.5</v>
      </c>
      <c r="H7836" t="n">
        <v>0</v>
      </c>
      <c r="I7836" t="n">
        <v>0</v>
      </c>
      <c r="J7836" t="n">
        <v>0</v>
      </c>
      <c r="K7836" t="n">
        <v>0</v>
      </c>
      <c r="L7836" t="n">
        <v>0</v>
      </c>
      <c r="M7836" t="n">
        <v>0</v>
      </c>
      <c r="N7836" t="n">
        <v>0</v>
      </c>
      <c r="O7836" t="n">
        <v>0</v>
      </c>
      <c r="P7836" t="n">
        <v>0</v>
      </c>
      <c r="Q7836" t="n">
        <v>0</v>
      </c>
      <c r="R7836" s="2" t="inlineStr"/>
    </row>
    <row r="7837" ht="15" customHeight="1">
      <c r="A7837" t="inlineStr">
        <is>
          <t>A 58460-2025</t>
        </is>
      </c>
      <c r="B7837" s="1" t="n">
        <v>45985.63626157407</v>
      </c>
      <c r="C7837" s="1" t="n">
        <v>46075</v>
      </c>
      <c r="D7837" t="inlineStr">
        <is>
          <t>VÄSTERBOTTENS LÄN</t>
        </is>
      </c>
      <c r="E7837" t="inlineStr">
        <is>
          <t>ÅSELE</t>
        </is>
      </c>
      <c r="F7837" t="inlineStr">
        <is>
          <t>SCA</t>
        </is>
      </c>
      <c r="G7837" t="n">
        <v>4.4</v>
      </c>
      <c r="H7837" t="n">
        <v>0</v>
      </c>
      <c r="I7837" t="n">
        <v>0</v>
      </c>
      <c r="J7837" t="n">
        <v>0</v>
      </c>
      <c r="K7837" t="n">
        <v>0</v>
      </c>
      <c r="L7837" t="n">
        <v>0</v>
      </c>
      <c r="M7837" t="n">
        <v>0</v>
      </c>
      <c r="N7837" t="n">
        <v>0</v>
      </c>
      <c r="O7837" t="n">
        <v>0</v>
      </c>
      <c r="P7837" t="n">
        <v>0</v>
      </c>
      <c r="Q7837" t="n">
        <v>0</v>
      </c>
      <c r="R7837" s="2" t="inlineStr"/>
    </row>
    <row r="7838" ht="15" customHeight="1">
      <c r="A7838" t="inlineStr">
        <is>
          <t>A 48940-2022</t>
        </is>
      </c>
      <c r="B7838" s="1" t="n">
        <v>44859.9572337963</v>
      </c>
      <c r="C7838" s="1" t="n">
        <v>46075</v>
      </c>
      <c r="D7838" t="inlineStr">
        <is>
          <t>VÄSTERBOTTENS LÄN</t>
        </is>
      </c>
      <c r="E7838" t="inlineStr">
        <is>
          <t>NORDMALING</t>
        </is>
      </c>
      <c r="F7838" t="inlineStr">
        <is>
          <t>SCA</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18566-2025</t>
        </is>
      </c>
      <c r="B7839" s="1" t="n">
        <v>45763.45278935185</v>
      </c>
      <c r="C7839" s="1" t="n">
        <v>46075</v>
      </c>
      <c r="D7839" t="inlineStr">
        <is>
          <t>VÄSTERBOTTENS LÄN</t>
        </is>
      </c>
      <c r="E7839" t="inlineStr">
        <is>
          <t>LYCKSELE</t>
        </is>
      </c>
      <c r="F7839" t="inlineStr">
        <is>
          <t>Holmen skog AB</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18598-2025</t>
        </is>
      </c>
      <c r="B7840" s="1" t="n">
        <v>45763.48916666667</v>
      </c>
      <c r="C7840" s="1" t="n">
        <v>46075</v>
      </c>
      <c r="D7840" t="inlineStr">
        <is>
          <t>VÄSTERBOTTENS LÄN</t>
        </is>
      </c>
      <c r="E7840" t="inlineStr">
        <is>
          <t>VINDELN</t>
        </is>
      </c>
      <c r="F7840" t="inlineStr">
        <is>
          <t>Naturvårdsverket</t>
        </is>
      </c>
      <c r="G7840" t="n">
        <v>4.6</v>
      </c>
      <c r="H7840" t="n">
        <v>0</v>
      </c>
      <c r="I7840" t="n">
        <v>0</v>
      </c>
      <c r="J7840" t="n">
        <v>0</v>
      </c>
      <c r="K7840" t="n">
        <v>0</v>
      </c>
      <c r="L7840" t="n">
        <v>0</v>
      </c>
      <c r="M7840" t="n">
        <v>0</v>
      </c>
      <c r="N7840" t="n">
        <v>0</v>
      </c>
      <c r="O7840" t="n">
        <v>0</v>
      </c>
      <c r="P7840" t="n">
        <v>0</v>
      </c>
      <c r="Q7840" t="n">
        <v>0</v>
      </c>
      <c r="R7840" s="2" t="inlineStr"/>
    </row>
    <row r="7841" ht="15" customHeight="1">
      <c r="A7841" t="inlineStr">
        <is>
          <t>A 58263-2025</t>
        </is>
      </c>
      <c r="B7841" s="1" t="n">
        <v>45985.41804398148</v>
      </c>
      <c r="C7841" s="1" t="n">
        <v>46075</v>
      </c>
      <c r="D7841" t="inlineStr">
        <is>
          <t>VÄSTERBOTTENS LÄN</t>
        </is>
      </c>
      <c r="E7841" t="inlineStr">
        <is>
          <t>LYCKSELE</t>
        </is>
      </c>
      <c r="G7841" t="n">
        <v>4.3</v>
      </c>
      <c r="H7841" t="n">
        <v>0</v>
      </c>
      <c r="I7841" t="n">
        <v>0</v>
      </c>
      <c r="J7841" t="n">
        <v>0</v>
      </c>
      <c r="K7841" t="n">
        <v>0</v>
      </c>
      <c r="L7841" t="n">
        <v>0</v>
      </c>
      <c r="M7841" t="n">
        <v>0</v>
      </c>
      <c r="N7841" t="n">
        <v>0</v>
      </c>
      <c r="O7841" t="n">
        <v>0</v>
      </c>
      <c r="P7841" t="n">
        <v>0</v>
      </c>
      <c r="Q7841" t="n">
        <v>0</v>
      </c>
      <c r="R7841" s="2" t="inlineStr"/>
    </row>
    <row r="7842" ht="15" customHeight="1">
      <c r="A7842" t="inlineStr">
        <is>
          <t>A 58102-2025</t>
        </is>
      </c>
      <c r="B7842" s="1" t="n">
        <v>45982.589375</v>
      </c>
      <c r="C7842" s="1" t="n">
        <v>46075</v>
      </c>
      <c r="D7842" t="inlineStr">
        <is>
          <t>VÄSTERBOTTENS LÄN</t>
        </is>
      </c>
      <c r="E7842" t="inlineStr">
        <is>
          <t>UMEÅ</t>
        </is>
      </c>
      <c r="F7842" t="inlineStr">
        <is>
          <t>Holmen skog AB</t>
        </is>
      </c>
      <c r="G7842" t="n">
        <v>20.8</v>
      </c>
      <c r="H7842" t="n">
        <v>0</v>
      </c>
      <c r="I7842" t="n">
        <v>0</v>
      </c>
      <c r="J7842" t="n">
        <v>0</v>
      </c>
      <c r="K7842" t="n">
        <v>0</v>
      </c>
      <c r="L7842" t="n">
        <v>0</v>
      </c>
      <c r="M7842" t="n">
        <v>0</v>
      </c>
      <c r="N7842" t="n">
        <v>0</v>
      </c>
      <c r="O7842" t="n">
        <v>0</v>
      </c>
      <c r="P7842" t="n">
        <v>0</v>
      </c>
      <c r="Q7842" t="n">
        <v>0</v>
      </c>
      <c r="R7842" s="2" t="inlineStr"/>
    </row>
    <row r="7843" ht="15" customHeight="1">
      <c r="A7843" t="inlineStr">
        <is>
          <t>A 15528-2023</t>
        </is>
      </c>
      <c r="B7843" s="1" t="n">
        <v>45020</v>
      </c>
      <c r="C7843" s="1" t="n">
        <v>46075</v>
      </c>
      <c r="D7843" t="inlineStr">
        <is>
          <t>VÄSTERBOTTENS LÄN</t>
        </is>
      </c>
      <c r="E7843" t="inlineStr">
        <is>
          <t>ROBERTSFORS</t>
        </is>
      </c>
      <c r="F7843" t="inlineStr">
        <is>
          <t>Sveaskog</t>
        </is>
      </c>
      <c r="G7843" t="n">
        <v>7</v>
      </c>
      <c r="H7843" t="n">
        <v>0</v>
      </c>
      <c r="I7843" t="n">
        <v>0</v>
      </c>
      <c r="J7843" t="n">
        <v>0</v>
      </c>
      <c r="K7843" t="n">
        <v>0</v>
      </c>
      <c r="L7843" t="n">
        <v>0</v>
      </c>
      <c r="M7843" t="n">
        <v>0</v>
      </c>
      <c r="N7843" t="n">
        <v>0</v>
      </c>
      <c r="O7843" t="n">
        <v>0</v>
      </c>
      <c r="P7843" t="n">
        <v>0</v>
      </c>
      <c r="Q7843" t="n">
        <v>0</v>
      </c>
      <c r="R7843" s="2" t="inlineStr"/>
    </row>
    <row r="7844" ht="15" customHeight="1">
      <c r="A7844" t="inlineStr">
        <is>
          <t>A 58264-2025</t>
        </is>
      </c>
      <c r="B7844" s="1" t="n">
        <v>45985.41994212963</v>
      </c>
      <c r="C7844" s="1" t="n">
        <v>46075</v>
      </c>
      <c r="D7844" t="inlineStr">
        <is>
          <t>VÄSTERBOTTENS LÄN</t>
        </is>
      </c>
      <c r="E7844" t="inlineStr">
        <is>
          <t>STORUMAN</t>
        </is>
      </c>
      <c r="F7844" t="inlineStr">
        <is>
          <t>Övriga statliga verk och myndigheter</t>
        </is>
      </c>
      <c r="G7844" t="n">
        <v>102.4</v>
      </c>
      <c r="H7844" t="n">
        <v>0</v>
      </c>
      <c r="I7844" t="n">
        <v>0</v>
      </c>
      <c r="J7844" t="n">
        <v>0</v>
      </c>
      <c r="K7844" t="n">
        <v>0</v>
      </c>
      <c r="L7844" t="n">
        <v>0</v>
      </c>
      <c r="M7844" t="n">
        <v>0</v>
      </c>
      <c r="N7844" t="n">
        <v>0</v>
      </c>
      <c r="O7844" t="n">
        <v>0</v>
      </c>
      <c r="P7844" t="n">
        <v>0</v>
      </c>
      <c r="Q7844" t="n">
        <v>0</v>
      </c>
      <c r="R7844" s="2" t="inlineStr"/>
    </row>
    <row r="7845" ht="15" customHeight="1">
      <c r="A7845" t="inlineStr">
        <is>
          <t>A 46377-2023</t>
        </is>
      </c>
      <c r="B7845" s="1" t="n">
        <v>45193</v>
      </c>
      <c r="C7845" s="1" t="n">
        <v>46075</v>
      </c>
      <c r="D7845" t="inlineStr">
        <is>
          <t>VÄSTERBOTTENS LÄN</t>
        </is>
      </c>
      <c r="E7845" t="inlineStr">
        <is>
          <t>MALÅ</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46393-2023</t>
        </is>
      </c>
      <c r="B7846" s="1" t="n">
        <v>45193</v>
      </c>
      <c r="C7846" s="1" t="n">
        <v>46075</v>
      </c>
      <c r="D7846" t="inlineStr">
        <is>
          <t>VÄSTERBOTTENS LÄN</t>
        </is>
      </c>
      <c r="E7846" t="inlineStr">
        <is>
          <t>MALÅ</t>
        </is>
      </c>
      <c r="G7846" t="n">
        <v>0.5</v>
      </c>
      <c r="H7846" t="n">
        <v>0</v>
      </c>
      <c r="I7846" t="n">
        <v>0</v>
      </c>
      <c r="J7846" t="n">
        <v>0</v>
      </c>
      <c r="K7846" t="n">
        <v>0</v>
      </c>
      <c r="L7846" t="n">
        <v>0</v>
      </c>
      <c r="M7846" t="n">
        <v>0</v>
      </c>
      <c r="N7846" t="n">
        <v>0</v>
      </c>
      <c r="O7846" t="n">
        <v>0</v>
      </c>
      <c r="P7846" t="n">
        <v>0</v>
      </c>
      <c r="Q7846" t="n">
        <v>0</v>
      </c>
      <c r="R7846" s="2" t="inlineStr"/>
    </row>
    <row r="7847" ht="15" customHeight="1">
      <c r="A7847" t="inlineStr">
        <is>
          <t>A 58300-2025</t>
        </is>
      </c>
      <c r="B7847" s="1" t="n">
        <v>45985</v>
      </c>
      <c r="C7847" s="1" t="n">
        <v>46075</v>
      </c>
      <c r="D7847" t="inlineStr">
        <is>
          <t>VÄSTERBOTTENS LÄN</t>
        </is>
      </c>
      <c r="E7847" t="inlineStr">
        <is>
          <t>VILHELMINA</t>
        </is>
      </c>
      <c r="G7847" t="n">
        <v>2.4</v>
      </c>
      <c r="H7847" t="n">
        <v>0</v>
      </c>
      <c r="I7847" t="n">
        <v>0</v>
      </c>
      <c r="J7847" t="n">
        <v>0</v>
      </c>
      <c r="K7847" t="n">
        <v>0</v>
      </c>
      <c r="L7847" t="n">
        <v>0</v>
      </c>
      <c r="M7847" t="n">
        <v>0</v>
      </c>
      <c r="N7847" t="n">
        <v>0</v>
      </c>
      <c r="O7847" t="n">
        <v>0</v>
      </c>
      <c r="P7847" t="n">
        <v>0</v>
      </c>
      <c r="Q7847" t="n">
        <v>0</v>
      </c>
      <c r="R7847" s="2" t="inlineStr"/>
    </row>
    <row r="7848" ht="15" customHeight="1">
      <c r="A7848" t="inlineStr">
        <is>
          <t>A 58409-2025</t>
        </is>
      </c>
      <c r="B7848" s="1" t="n">
        <v>45985.57230324074</v>
      </c>
      <c r="C7848" s="1" t="n">
        <v>46075</v>
      </c>
      <c r="D7848" t="inlineStr">
        <is>
          <t>VÄSTERBOTTENS LÄN</t>
        </is>
      </c>
      <c r="E7848" t="inlineStr">
        <is>
          <t>SKELLEFTEÅ</t>
        </is>
      </c>
      <c r="F7848" t="inlineStr">
        <is>
          <t>Sveaskog</t>
        </is>
      </c>
      <c r="G7848" t="n">
        <v>20.8</v>
      </c>
      <c r="H7848" t="n">
        <v>0</v>
      </c>
      <c r="I7848" t="n">
        <v>0</v>
      </c>
      <c r="J7848" t="n">
        <v>0</v>
      </c>
      <c r="K7848" t="n">
        <v>0</v>
      </c>
      <c r="L7848" t="n">
        <v>0</v>
      </c>
      <c r="M7848" t="n">
        <v>0</v>
      </c>
      <c r="N7848" t="n">
        <v>0</v>
      </c>
      <c r="O7848" t="n">
        <v>0</v>
      </c>
      <c r="P7848" t="n">
        <v>0</v>
      </c>
      <c r="Q7848" t="n">
        <v>0</v>
      </c>
      <c r="R7848" s="2" t="inlineStr"/>
    </row>
    <row r="7849" ht="15" customHeight="1">
      <c r="A7849" t="inlineStr">
        <is>
          <t>A 23270-2021</t>
        </is>
      </c>
      <c r="B7849" s="1" t="n">
        <v>44328</v>
      </c>
      <c r="C7849" s="1" t="n">
        <v>46075</v>
      </c>
      <c r="D7849" t="inlineStr">
        <is>
          <t>VÄSTERBOTTENS LÄN</t>
        </is>
      </c>
      <c r="E7849" t="inlineStr">
        <is>
          <t>VILHELMINA</t>
        </is>
      </c>
      <c r="F7849" t="inlineStr">
        <is>
          <t>Allmännings- och besparingsskogar</t>
        </is>
      </c>
      <c r="G7849" t="n">
        <v>14.7</v>
      </c>
      <c r="H7849" t="n">
        <v>0</v>
      </c>
      <c r="I7849" t="n">
        <v>0</v>
      </c>
      <c r="J7849" t="n">
        <v>0</v>
      </c>
      <c r="K7849" t="n">
        <v>0</v>
      </c>
      <c r="L7849" t="n">
        <v>0</v>
      </c>
      <c r="M7849" t="n">
        <v>0</v>
      </c>
      <c r="N7849" t="n">
        <v>0</v>
      </c>
      <c r="O7849" t="n">
        <v>0</v>
      </c>
      <c r="P7849" t="n">
        <v>0</v>
      </c>
      <c r="Q7849" t="n">
        <v>0</v>
      </c>
      <c r="R7849" s="2" t="inlineStr"/>
    </row>
    <row r="7850" ht="15" customHeight="1">
      <c r="A7850" t="inlineStr">
        <is>
          <t>A 40930-2023</t>
        </is>
      </c>
      <c r="B7850" s="1" t="n">
        <v>45173.4409375</v>
      </c>
      <c r="C7850" s="1" t="n">
        <v>46075</v>
      </c>
      <c r="D7850" t="inlineStr">
        <is>
          <t>VÄSTERBOTTENS LÄN</t>
        </is>
      </c>
      <c r="E7850" t="inlineStr">
        <is>
          <t>LYCKSELE</t>
        </is>
      </c>
      <c r="F7850" t="inlineStr">
        <is>
          <t>Holmen skog AB</t>
        </is>
      </c>
      <c r="G7850" t="n">
        <v>3.6</v>
      </c>
      <c r="H7850" t="n">
        <v>0</v>
      </c>
      <c r="I7850" t="n">
        <v>0</v>
      </c>
      <c r="J7850" t="n">
        <v>0</v>
      </c>
      <c r="K7850" t="n">
        <v>0</v>
      </c>
      <c r="L7850" t="n">
        <v>0</v>
      </c>
      <c r="M7850" t="n">
        <v>0</v>
      </c>
      <c r="N7850" t="n">
        <v>0</v>
      </c>
      <c r="O7850" t="n">
        <v>0</v>
      </c>
      <c r="P7850" t="n">
        <v>0</v>
      </c>
      <c r="Q7850" t="n">
        <v>0</v>
      </c>
      <c r="R7850" s="2" t="inlineStr"/>
    </row>
    <row r="7851" ht="15" customHeight="1">
      <c r="A7851" t="inlineStr">
        <is>
          <t>A 58261-2025</t>
        </is>
      </c>
      <c r="B7851" s="1" t="n">
        <v>45985.41515046296</v>
      </c>
      <c r="C7851" s="1" t="n">
        <v>46075</v>
      </c>
      <c r="D7851" t="inlineStr">
        <is>
          <t>VÄSTERBOTTENS LÄN</t>
        </is>
      </c>
      <c r="E7851" t="inlineStr">
        <is>
          <t>LYCKSELE</t>
        </is>
      </c>
      <c r="G7851" t="n">
        <v>3</v>
      </c>
      <c r="H7851" t="n">
        <v>0</v>
      </c>
      <c r="I7851" t="n">
        <v>0</v>
      </c>
      <c r="J7851" t="n">
        <v>0</v>
      </c>
      <c r="K7851" t="n">
        <v>0</v>
      </c>
      <c r="L7851" t="n">
        <v>0</v>
      </c>
      <c r="M7851" t="n">
        <v>0</v>
      </c>
      <c r="N7851" t="n">
        <v>0</v>
      </c>
      <c r="O7851" t="n">
        <v>0</v>
      </c>
      <c r="P7851" t="n">
        <v>0</v>
      </c>
      <c r="Q7851" t="n">
        <v>0</v>
      </c>
      <c r="R7851" s="2" t="inlineStr"/>
    </row>
    <row r="7852" ht="15" customHeight="1">
      <c r="A7852" t="inlineStr">
        <is>
          <t>A 57989-2025</t>
        </is>
      </c>
      <c r="B7852" s="1" t="n">
        <v>45982.42314814815</v>
      </c>
      <c r="C7852" s="1" t="n">
        <v>46075</v>
      </c>
      <c r="D7852" t="inlineStr">
        <is>
          <t>VÄSTERBOTTENS LÄN</t>
        </is>
      </c>
      <c r="E7852" t="inlineStr">
        <is>
          <t>SKELLEFTEÅ</t>
        </is>
      </c>
      <c r="F7852" t="inlineStr">
        <is>
          <t>Sveaskog</t>
        </is>
      </c>
      <c r="G7852" t="n">
        <v>20.8</v>
      </c>
      <c r="H7852" t="n">
        <v>0</v>
      </c>
      <c r="I7852" t="n">
        <v>0</v>
      </c>
      <c r="J7852" t="n">
        <v>0</v>
      </c>
      <c r="K7852" t="n">
        <v>0</v>
      </c>
      <c r="L7852" t="n">
        <v>0</v>
      </c>
      <c r="M7852" t="n">
        <v>0</v>
      </c>
      <c r="N7852" t="n">
        <v>0</v>
      </c>
      <c r="O7852" t="n">
        <v>0</v>
      </c>
      <c r="P7852" t="n">
        <v>0</v>
      </c>
      <c r="Q7852" t="n">
        <v>0</v>
      </c>
      <c r="R7852" s="2" t="inlineStr"/>
    </row>
    <row r="7853" ht="15" customHeight="1">
      <c r="A7853" t="inlineStr">
        <is>
          <t>A 58143-2025</t>
        </is>
      </c>
      <c r="B7853" s="1" t="n">
        <v>45982.63961805555</v>
      </c>
      <c r="C7853" s="1" t="n">
        <v>46075</v>
      </c>
      <c r="D7853" t="inlineStr">
        <is>
          <t>VÄSTERBOTTENS LÄN</t>
        </is>
      </c>
      <c r="E7853" t="inlineStr">
        <is>
          <t>SORSELE</t>
        </is>
      </c>
      <c r="F7853" t="inlineStr">
        <is>
          <t>Övriga statliga verk och myndigheter</t>
        </is>
      </c>
      <c r="G7853" t="n">
        <v>13.4</v>
      </c>
      <c r="H7853" t="n">
        <v>0</v>
      </c>
      <c r="I7853" t="n">
        <v>0</v>
      </c>
      <c r="J7853" t="n">
        <v>0</v>
      </c>
      <c r="K7853" t="n">
        <v>0</v>
      </c>
      <c r="L7853" t="n">
        <v>0</v>
      </c>
      <c r="M7853" t="n">
        <v>0</v>
      </c>
      <c r="N7853" t="n">
        <v>0</v>
      </c>
      <c r="O7853" t="n">
        <v>0</v>
      </c>
      <c r="P7853" t="n">
        <v>0</v>
      </c>
      <c r="Q7853" t="n">
        <v>0</v>
      </c>
      <c r="R7853" s="2" t="inlineStr"/>
    </row>
    <row r="7854" ht="15" customHeight="1">
      <c r="A7854" t="inlineStr">
        <is>
          <t>A 58145-2025</t>
        </is>
      </c>
      <c r="B7854" s="1" t="n">
        <v>45982.64233796296</v>
      </c>
      <c r="C7854" s="1" t="n">
        <v>46075</v>
      </c>
      <c r="D7854" t="inlineStr">
        <is>
          <t>VÄSTERBOTTENS LÄN</t>
        </is>
      </c>
      <c r="E7854" t="inlineStr">
        <is>
          <t>SORSELE</t>
        </is>
      </c>
      <c r="F7854" t="inlineStr">
        <is>
          <t>Övriga statliga verk och myndigheter</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58149-2025</t>
        </is>
      </c>
      <c r="B7855" s="1" t="n">
        <v>45982.64745370371</v>
      </c>
      <c r="C7855" s="1" t="n">
        <v>46075</v>
      </c>
      <c r="D7855" t="inlineStr">
        <is>
          <t>VÄSTERBOTTENS LÄN</t>
        </is>
      </c>
      <c r="E7855" t="inlineStr">
        <is>
          <t>SORSELE</t>
        </is>
      </c>
      <c r="F7855" t="inlineStr">
        <is>
          <t>Övriga statliga verk och myndigheter</t>
        </is>
      </c>
      <c r="G7855" t="n">
        <v>7.6</v>
      </c>
      <c r="H7855" t="n">
        <v>0</v>
      </c>
      <c r="I7855" t="n">
        <v>0</v>
      </c>
      <c r="J7855" t="n">
        <v>0</v>
      </c>
      <c r="K7855" t="n">
        <v>0</v>
      </c>
      <c r="L7855" t="n">
        <v>0</v>
      </c>
      <c r="M7855" t="n">
        <v>0</v>
      </c>
      <c r="N7855" t="n">
        <v>0</v>
      </c>
      <c r="O7855" t="n">
        <v>0</v>
      </c>
      <c r="P7855" t="n">
        <v>0</v>
      </c>
      <c r="Q7855" t="n">
        <v>0</v>
      </c>
      <c r="R7855" s="2" t="inlineStr"/>
    </row>
    <row r="7856" ht="15" customHeight="1">
      <c r="A7856" t="inlineStr">
        <is>
          <t>A 49241-2024</t>
        </is>
      </c>
      <c r="B7856" s="1" t="n">
        <v>45595</v>
      </c>
      <c r="C7856" s="1" t="n">
        <v>46075</v>
      </c>
      <c r="D7856" t="inlineStr">
        <is>
          <t>VÄSTERBOTTENS LÄN</t>
        </is>
      </c>
      <c r="E7856" t="inlineStr">
        <is>
          <t>VILHELMINA</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10418-2023</t>
        </is>
      </c>
      <c r="B7857" s="1" t="n">
        <v>44987</v>
      </c>
      <c r="C7857" s="1" t="n">
        <v>46075</v>
      </c>
      <c r="D7857" t="inlineStr">
        <is>
          <t>VÄSTERBOTTENS LÄN</t>
        </is>
      </c>
      <c r="E7857" t="inlineStr">
        <is>
          <t>VILHELMINA</t>
        </is>
      </c>
      <c r="G7857" t="n">
        <v>3.2</v>
      </c>
      <c r="H7857" t="n">
        <v>0</v>
      </c>
      <c r="I7857" t="n">
        <v>0</v>
      </c>
      <c r="J7857" t="n">
        <v>0</v>
      </c>
      <c r="K7857" t="n">
        <v>0</v>
      </c>
      <c r="L7857" t="n">
        <v>0</v>
      </c>
      <c r="M7857" t="n">
        <v>0</v>
      </c>
      <c r="N7857" t="n">
        <v>0</v>
      </c>
      <c r="O7857" t="n">
        <v>0</v>
      </c>
      <c r="P7857" t="n">
        <v>0</v>
      </c>
      <c r="Q7857" t="n">
        <v>0</v>
      </c>
      <c r="R7857" s="2" t="inlineStr"/>
    </row>
    <row r="7858" ht="15" customHeight="1">
      <c r="A7858" t="inlineStr">
        <is>
          <t>A 24377-2024</t>
        </is>
      </c>
      <c r="B7858" s="1" t="n">
        <v>45457.61990740741</v>
      </c>
      <c r="C7858" s="1" t="n">
        <v>46075</v>
      </c>
      <c r="D7858" t="inlineStr">
        <is>
          <t>VÄSTERBOTTENS LÄN</t>
        </is>
      </c>
      <c r="E7858" t="inlineStr">
        <is>
          <t>LYCKSELE</t>
        </is>
      </c>
      <c r="F7858" t="inlineStr">
        <is>
          <t>Holmen skog AB</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58014-2025</t>
        </is>
      </c>
      <c r="B7859" s="1" t="n">
        <v>45982.46956018519</v>
      </c>
      <c r="C7859" s="1" t="n">
        <v>46075</v>
      </c>
      <c r="D7859" t="inlineStr">
        <is>
          <t>VÄSTERBOTTENS LÄN</t>
        </is>
      </c>
      <c r="E7859" t="inlineStr">
        <is>
          <t>DOROTEA</t>
        </is>
      </c>
      <c r="F7859" t="inlineStr">
        <is>
          <t>SCA</t>
        </is>
      </c>
      <c r="G7859" t="n">
        <v>18.2</v>
      </c>
      <c r="H7859" t="n">
        <v>0</v>
      </c>
      <c r="I7859" t="n">
        <v>0</v>
      </c>
      <c r="J7859" t="n">
        <v>0</v>
      </c>
      <c r="K7859" t="n">
        <v>0</v>
      </c>
      <c r="L7859" t="n">
        <v>0</v>
      </c>
      <c r="M7859" t="n">
        <v>0</v>
      </c>
      <c r="N7859" t="n">
        <v>0</v>
      </c>
      <c r="O7859" t="n">
        <v>0</v>
      </c>
      <c r="P7859" t="n">
        <v>0</v>
      </c>
      <c r="Q7859" t="n">
        <v>0</v>
      </c>
      <c r="R7859" s="2" t="inlineStr"/>
    </row>
    <row r="7860" ht="15" customHeight="1">
      <c r="A7860" t="inlineStr">
        <is>
          <t>A 63607-2025</t>
        </is>
      </c>
      <c r="B7860" s="1" t="n">
        <v>46014</v>
      </c>
      <c r="C7860" s="1" t="n">
        <v>46075</v>
      </c>
      <c r="D7860" t="inlineStr">
        <is>
          <t>VÄSTERBOTTENS LÄN</t>
        </is>
      </c>
      <c r="E7860" t="inlineStr">
        <is>
          <t>SORSELE</t>
        </is>
      </c>
      <c r="G7860" t="n">
        <v>36.4</v>
      </c>
      <c r="H7860" t="n">
        <v>0</v>
      </c>
      <c r="I7860" t="n">
        <v>0</v>
      </c>
      <c r="J7860" t="n">
        <v>0</v>
      </c>
      <c r="K7860" t="n">
        <v>0</v>
      </c>
      <c r="L7860" t="n">
        <v>0</v>
      </c>
      <c r="M7860" t="n">
        <v>0</v>
      </c>
      <c r="N7860" t="n">
        <v>0</v>
      </c>
      <c r="O7860" t="n">
        <v>0</v>
      </c>
      <c r="P7860" t="n">
        <v>0</v>
      </c>
      <c r="Q7860" t="n">
        <v>0</v>
      </c>
      <c r="R7860" s="2" t="inlineStr"/>
    </row>
    <row r="7861" ht="15" customHeight="1">
      <c r="A7861" t="inlineStr">
        <is>
          <t>A 58218-2025</t>
        </is>
      </c>
      <c r="B7861" s="1" t="n">
        <v>45985.36025462963</v>
      </c>
      <c r="C7861" s="1" t="n">
        <v>46075</v>
      </c>
      <c r="D7861" t="inlineStr">
        <is>
          <t>VÄSTERBOTTENS LÄN</t>
        </is>
      </c>
      <c r="E7861" t="inlineStr">
        <is>
          <t>STORUMAN</t>
        </is>
      </c>
      <c r="G7861" t="n">
        <v>19.9</v>
      </c>
      <c r="H7861" t="n">
        <v>0</v>
      </c>
      <c r="I7861" t="n">
        <v>0</v>
      </c>
      <c r="J7861" t="n">
        <v>0</v>
      </c>
      <c r="K7861" t="n">
        <v>0</v>
      </c>
      <c r="L7861" t="n">
        <v>0</v>
      </c>
      <c r="M7861" t="n">
        <v>0</v>
      </c>
      <c r="N7861" t="n">
        <v>0</v>
      </c>
      <c r="O7861" t="n">
        <v>0</v>
      </c>
      <c r="P7861" t="n">
        <v>0</v>
      </c>
      <c r="Q7861" t="n">
        <v>0</v>
      </c>
      <c r="R7861" s="2" t="inlineStr"/>
    </row>
    <row r="7862" ht="15" customHeight="1">
      <c r="A7862" t="inlineStr">
        <is>
          <t>A 57923-2025</t>
        </is>
      </c>
      <c r="B7862" s="1" t="n">
        <v>45981.82354166666</v>
      </c>
      <c r="C7862" s="1" t="n">
        <v>46075</v>
      </c>
      <c r="D7862" t="inlineStr">
        <is>
          <t>VÄSTERBOTTENS LÄN</t>
        </is>
      </c>
      <c r="E7862" t="inlineStr">
        <is>
          <t>SORSELE</t>
        </is>
      </c>
      <c r="G7862" t="n">
        <v>2.4</v>
      </c>
      <c r="H7862" t="n">
        <v>0</v>
      </c>
      <c r="I7862" t="n">
        <v>0</v>
      </c>
      <c r="J7862" t="n">
        <v>0</v>
      </c>
      <c r="K7862" t="n">
        <v>0</v>
      </c>
      <c r="L7862" t="n">
        <v>0</v>
      </c>
      <c r="M7862" t="n">
        <v>0</v>
      </c>
      <c r="N7862" t="n">
        <v>0</v>
      </c>
      <c r="O7862" t="n">
        <v>0</v>
      </c>
      <c r="P7862" t="n">
        <v>0</v>
      </c>
      <c r="Q7862" t="n">
        <v>0</v>
      </c>
      <c r="R7862" s="2" t="inlineStr"/>
    </row>
    <row r="7863" ht="15" customHeight="1">
      <c r="A7863" t="inlineStr">
        <is>
          <t>A 16132-2025</t>
        </is>
      </c>
      <c r="B7863" s="1" t="n">
        <v>45750.43831018519</v>
      </c>
      <c r="C7863" s="1" t="n">
        <v>46075</v>
      </c>
      <c r="D7863" t="inlineStr">
        <is>
          <t>VÄSTERBOTTENS LÄN</t>
        </is>
      </c>
      <c r="E7863" t="inlineStr">
        <is>
          <t>VINDELN</t>
        </is>
      </c>
      <c r="F7863" t="inlineStr">
        <is>
          <t>Holmen skog AB</t>
        </is>
      </c>
      <c r="G7863" t="n">
        <v>5.8</v>
      </c>
      <c r="H7863" t="n">
        <v>0</v>
      </c>
      <c r="I7863" t="n">
        <v>0</v>
      </c>
      <c r="J7863" t="n">
        <v>0</v>
      </c>
      <c r="K7863" t="n">
        <v>0</v>
      </c>
      <c r="L7863" t="n">
        <v>0</v>
      </c>
      <c r="M7863" t="n">
        <v>0</v>
      </c>
      <c r="N7863" t="n">
        <v>0</v>
      </c>
      <c r="O7863" t="n">
        <v>0</v>
      </c>
      <c r="P7863" t="n">
        <v>0</v>
      </c>
      <c r="Q7863" t="n">
        <v>0</v>
      </c>
      <c r="R7863" s="2" t="inlineStr"/>
    </row>
    <row r="7864" ht="15" customHeight="1">
      <c r="A7864" t="inlineStr">
        <is>
          <t>A 58322-2025</t>
        </is>
      </c>
      <c r="B7864" s="1" t="n">
        <v>45985.47521990741</v>
      </c>
      <c r="C7864" s="1" t="n">
        <v>46075</v>
      </c>
      <c r="D7864" t="inlineStr">
        <is>
          <t>VÄSTERBOTTENS LÄN</t>
        </is>
      </c>
      <c r="E7864" t="inlineStr">
        <is>
          <t>VINDELN</t>
        </is>
      </c>
      <c r="G7864" t="n">
        <v>1.7</v>
      </c>
      <c r="H7864" t="n">
        <v>0</v>
      </c>
      <c r="I7864" t="n">
        <v>0</v>
      </c>
      <c r="J7864" t="n">
        <v>0</v>
      </c>
      <c r="K7864" t="n">
        <v>0</v>
      </c>
      <c r="L7864" t="n">
        <v>0</v>
      </c>
      <c r="M7864" t="n">
        <v>0</v>
      </c>
      <c r="N7864" t="n">
        <v>0</v>
      </c>
      <c r="O7864" t="n">
        <v>0</v>
      </c>
      <c r="P7864" t="n">
        <v>0</v>
      </c>
      <c r="Q7864" t="n">
        <v>0</v>
      </c>
      <c r="R7864" s="2" t="inlineStr"/>
    </row>
    <row r="7865" ht="15" customHeight="1">
      <c r="A7865" t="inlineStr">
        <is>
          <t>A 42642-2024</t>
        </is>
      </c>
      <c r="B7865" s="1" t="n">
        <v>45566</v>
      </c>
      <c r="C7865" s="1" t="n">
        <v>46075</v>
      </c>
      <c r="D7865" t="inlineStr">
        <is>
          <t>VÄSTERBOTTENS LÄN</t>
        </is>
      </c>
      <c r="E7865" t="inlineStr">
        <is>
          <t>ÅSELE</t>
        </is>
      </c>
      <c r="F7865" t="inlineStr">
        <is>
          <t>Sveaskog</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55469-2021</t>
        </is>
      </c>
      <c r="B7866" s="1" t="n">
        <v>44475</v>
      </c>
      <c r="C7866" s="1" t="n">
        <v>46075</v>
      </c>
      <c r="D7866" t="inlineStr">
        <is>
          <t>VÄSTERBOTTENS LÄN</t>
        </is>
      </c>
      <c r="E7866" t="inlineStr">
        <is>
          <t>ROBERTSFORS</t>
        </is>
      </c>
      <c r="G7866" t="n">
        <v>3.5</v>
      </c>
      <c r="H7866" t="n">
        <v>0</v>
      </c>
      <c r="I7866" t="n">
        <v>0</v>
      </c>
      <c r="J7866" t="n">
        <v>0</v>
      </c>
      <c r="K7866" t="n">
        <v>0</v>
      </c>
      <c r="L7866" t="n">
        <v>0</v>
      </c>
      <c r="M7866" t="n">
        <v>0</v>
      </c>
      <c r="N7866" t="n">
        <v>0</v>
      </c>
      <c r="O7866" t="n">
        <v>0</v>
      </c>
      <c r="P7866" t="n">
        <v>0</v>
      </c>
      <c r="Q7866" t="n">
        <v>0</v>
      </c>
      <c r="R7866" s="2" t="inlineStr"/>
    </row>
    <row r="7867" ht="15" customHeight="1">
      <c r="A7867" t="inlineStr">
        <is>
          <t>A 25099-2024</t>
        </is>
      </c>
      <c r="B7867" s="1" t="n">
        <v>45462.41755787037</v>
      </c>
      <c r="C7867" s="1" t="n">
        <v>46075</v>
      </c>
      <c r="D7867" t="inlineStr">
        <is>
          <t>VÄSTERBOTTENS LÄN</t>
        </is>
      </c>
      <c r="E7867" t="inlineStr">
        <is>
          <t>SKELLEFTEÅ</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18317-2025</t>
        </is>
      </c>
      <c r="B7868" s="1" t="n">
        <v>45762.45550925926</v>
      </c>
      <c r="C7868" s="1" t="n">
        <v>46075</v>
      </c>
      <c r="D7868" t="inlineStr">
        <is>
          <t>VÄSTERBOTTENS LÄN</t>
        </is>
      </c>
      <c r="E7868" t="inlineStr">
        <is>
          <t>ÅSELE</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42689-2024</t>
        </is>
      </c>
      <c r="B7869" s="1" t="n">
        <v>45566.40032407407</v>
      </c>
      <c r="C7869" s="1" t="n">
        <v>46075</v>
      </c>
      <c r="D7869" t="inlineStr">
        <is>
          <t>VÄSTERBOTTENS LÄN</t>
        </is>
      </c>
      <c r="E7869" t="inlineStr">
        <is>
          <t>ÅSELE</t>
        </is>
      </c>
      <c r="F7869" t="inlineStr">
        <is>
          <t>Holmen skog AB</t>
        </is>
      </c>
      <c r="G7869" t="n">
        <v>2</v>
      </c>
      <c r="H7869" t="n">
        <v>0</v>
      </c>
      <c r="I7869" t="n">
        <v>0</v>
      </c>
      <c r="J7869" t="n">
        <v>0</v>
      </c>
      <c r="K7869" t="n">
        <v>0</v>
      </c>
      <c r="L7869" t="n">
        <v>0</v>
      </c>
      <c r="M7869" t="n">
        <v>0</v>
      </c>
      <c r="N7869" t="n">
        <v>0</v>
      </c>
      <c r="O7869" t="n">
        <v>0</v>
      </c>
      <c r="P7869" t="n">
        <v>0</v>
      </c>
      <c r="Q7869" t="n">
        <v>0</v>
      </c>
      <c r="R7869" s="2" t="inlineStr"/>
    </row>
    <row r="7870" ht="15" customHeight="1">
      <c r="A7870" t="inlineStr">
        <is>
          <t>A 19412-2024</t>
        </is>
      </c>
      <c r="B7870" s="1" t="n">
        <v>45429.40755787037</v>
      </c>
      <c r="C7870" s="1" t="n">
        <v>46075</v>
      </c>
      <c r="D7870" t="inlineStr">
        <is>
          <t>VÄSTERBOTTENS LÄN</t>
        </is>
      </c>
      <c r="E7870" t="inlineStr">
        <is>
          <t>NORSJÖ</t>
        </is>
      </c>
      <c r="F7870" t="inlineStr">
        <is>
          <t>Holmen skog AB</t>
        </is>
      </c>
      <c r="G7870" t="n">
        <v>8.6</v>
      </c>
      <c r="H7870" t="n">
        <v>0</v>
      </c>
      <c r="I7870" t="n">
        <v>0</v>
      </c>
      <c r="J7870" t="n">
        <v>0</v>
      </c>
      <c r="K7870" t="n">
        <v>0</v>
      </c>
      <c r="L7870" t="n">
        <v>0</v>
      </c>
      <c r="M7870" t="n">
        <v>0</v>
      </c>
      <c r="N7870" t="n">
        <v>0</v>
      </c>
      <c r="O7870" t="n">
        <v>0</v>
      </c>
      <c r="P7870" t="n">
        <v>0</v>
      </c>
      <c r="Q7870" t="n">
        <v>0</v>
      </c>
      <c r="R7870" s="2" t="inlineStr"/>
    </row>
    <row r="7871" ht="15" customHeight="1">
      <c r="A7871" t="inlineStr">
        <is>
          <t>A 17148-2025</t>
        </is>
      </c>
      <c r="B7871" s="1" t="n">
        <v>45756.30644675926</v>
      </c>
      <c r="C7871" s="1" t="n">
        <v>46075</v>
      </c>
      <c r="D7871" t="inlineStr">
        <is>
          <t>VÄSTERBOTTENS LÄN</t>
        </is>
      </c>
      <c r="E7871" t="inlineStr">
        <is>
          <t>ÅSELE</t>
        </is>
      </c>
      <c r="G7871" t="n">
        <v>5.3</v>
      </c>
      <c r="H7871" t="n">
        <v>0</v>
      </c>
      <c r="I7871" t="n">
        <v>0</v>
      </c>
      <c r="J7871" t="n">
        <v>0</v>
      </c>
      <c r="K7871" t="n">
        <v>0</v>
      </c>
      <c r="L7871" t="n">
        <v>0</v>
      </c>
      <c r="M7871" t="n">
        <v>0</v>
      </c>
      <c r="N7871" t="n">
        <v>0</v>
      </c>
      <c r="O7871" t="n">
        <v>0</v>
      </c>
      <c r="P7871" t="n">
        <v>0</v>
      </c>
      <c r="Q7871" t="n">
        <v>0</v>
      </c>
      <c r="R7871" s="2" t="inlineStr"/>
    </row>
    <row r="7872" ht="15" customHeight="1">
      <c r="A7872" t="inlineStr">
        <is>
          <t>A 58358-2025</t>
        </is>
      </c>
      <c r="B7872" s="1" t="n">
        <v>45985.51590277778</v>
      </c>
      <c r="C7872" s="1" t="n">
        <v>46075</v>
      </c>
      <c r="D7872" t="inlineStr">
        <is>
          <t>VÄSTERBOTTENS LÄN</t>
        </is>
      </c>
      <c r="E7872" t="inlineStr">
        <is>
          <t>SKELLEFTEÅ</t>
        </is>
      </c>
      <c r="G7872" t="n">
        <v>3.7</v>
      </c>
      <c r="H7872" t="n">
        <v>0</v>
      </c>
      <c r="I7872" t="n">
        <v>0</v>
      </c>
      <c r="J7872" t="n">
        <v>0</v>
      </c>
      <c r="K7872" t="n">
        <v>0</v>
      </c>
      <c r="L7872" t="n">
        <v>0</v>
      </c>
      <c r="M7872" t="n">
        <v>0</v>
      </c>
      <c r="N7872" t="n">
        <v>0</v>
      </c>
      <c r="O7872" t="n">
        <v>0</v>
      </c>
      <c r="P7872" t="n">
        <v>0</v>
      </c>
      <c r="Q7872" t="n">
        <v>0</v>
      </c>
      <c r="R7872" s="2" t="inlineStr"/>
    </row>
    <row r="7873" ht="15" customHeight="1">
      <c r="A7873" t="inlineStr">
        <is>
          <t>A 17162-2025</t>
        </is>
      </c>
      <c r="B7873" s="1" t="n">
        <v>45756.3552199074</v>
      </c>
      <c r="C7873" s="1" t="n">
        <v>46075</v>
      </c>
      <c r="D7873" t="inlineStr">
        <is>
          <t>VÄSTERBOTTENS LÄN</t>
        </is>
      </c>
      <c r="E7873" t="inlineStr">
        <is>
          <t>SKELLEFTEÅ</t>
        </is>
      </c>
      <c r="G7873" t="n">
        <v>23.9</v>
      </c>
      <c r="H7873" t="n">
        <v>0</v>
      </c>
      <c r="I7873" t="n">
        <v>0</v>
      </c>
      <c r="J7873" t="n">
        <v>0</v>
      </c>
      <c r="K7873" t="n">
        <v>0</v>
      </c>
      <c r="L7873" t="n">
        <v>0</v>
      </c>
      <c r="M7873" t="n">
        <v>0</v>
      </c>
      <c r="N7873" t="n">
        <v>0</v>
      </c>
      <c r="O7873" t="n">
        <v>0</v>
      </c>
      <c r="P7873" t="n">
        <v>0</v>
      </c>
      <c r="Q7873" t="n">
        <v>0</v>
      </c>
      <c r="R7873" s="2" t="inlineStr"/>
    </row>
    <row r="7874" ht="15" customHeight="1">
      <c r="A7874" t="inlineStr">
        <is>
          <t>A 47095-2024</t>
        </is>
      </c>
      <c r="B7874" s="1" t="n">
        <v>45586.52850694444</v>
      </c>
      <c r="C7874" s="1" t="n">
        <v>46075</v>
      </c>
      <c r="D7874" t="inlineStr">
        <is>
          <t>VÄSTERBOTTENS LÄN</t>
        </is>
      </c>
      <c r="E7874" t="inlineStr">
        <is>
          <t>LYCKSELE</t>
        </is>
      </c>
      <c r="F7874" t="inlineStr">
        <is>
          <t>Naturvårdsverket</t>
        </is>
      </c>
      <c r="G7874" t="n">
        <v>6</v>
      </c>
      <c r="H7874" t="n">
        <v>0</v>
      </c>
      <c r="I7874" t="n">
        <v>0</v>
      </c>
      <c r="J7874" t="n">
        <v>0</v>
      </c>
      <c r="K7874" t="n">
        <v>0</v>
      </c>
      <c r="L7874" t="n">
        <v>0</v>
      </c>
      <c r="M7874" t="n">
        <v>0</v>
      </c>
      <c r="N7874" t="n">
        <v>0</v>
      </c>
      <c r="O7874" t="n">
        <v>0</v>
      </c>
      <c r="P7874" t="n">
        <v>0</v>
      </c>
      <c r="Q7874" t="n">
        <v>0</v>
      </c>
      <c r="R7874" s="2" t="inlineStr"/>
    </row>
    <row r="7875" ht="15" customHeight="1">
      <c r="A7875" t="inlineStr">
        <is>
          <t>A 433-2025</t>
        </is>
      </c>
      <c r="B7875" s="1" t="n">
        <v>45664.3709837963</v>
      </c>
      <c r="C7875" s="1" t="n">
        <v>46075</v>
      </c>
      <c r="D7875" t="inlineStr">
        <is>
          <t>VÄSTERBOTTENS LÄN</t>
        </is>
      </c>
      <c r="E7875" t="inlineStr">
        <is>
          <t>MALÅ</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52987-2025</t>
        </is>
      </c>
      <c r="B7876" s="1" t="n">
        <v>45957.70400462963</v>
      </c>
      <c r="C7876" s="1" t="n">
        <v>46075</v>
      </c>
      <c r="D7876" t="inlineStr">
        <is>
          <t>VÄSTERBOTTENS LÄN</t>
        </is>
      </c>
      <c r="E7876" t="inlineStr">
        <is>
          <t>SKELLEFTEÅ</t>
        </is>
      </c>
      <c r="G7876" t="n">
        <v>2.4</v>
      </c>
      <c r="H7876" t="n">
        <v>0</v>
      </c>
      <c r="I7876" t="n">
        <v>0</v>
      </c>
      <c r="J7876" t="n">
        <v>0</v>
      </c>
      <c r="K7876" t="n">
        <v>0</v>
      </c>
      <c r="L7876" t="n">
        <v>0</v>
      </c>
      <c r="M7876" t="n">
        <v>0</v>
      </c>
      <c r="N7876" t="n">
        <v>0</v>
      </c>
      <c r="O7876" t="n">
        <v>0</v>
      </c>
      <c r="P7876" t="n">
        <v>0</v>
      </c>
      <c r="Q7876" t="n">
        <v>0</v>
      </c>
      <c r="R7876" s="2" t="inlineStr"/>
    </row>
    <row r="7877" ht="15" customHeight="1">
      <c r="A7877" t="inlineStr">
        <is>
          <t>A 35313-2023</t>
        </is>
      </c>
      <c r="B7877" s="1" t="n">
        <v>45146.38486111111</v>
      </c>
      <c r="C7877" s="1" t="n">
        <v>46075</v>
      </c>
      <c r="D7877" t="inlineStr">
        <is>
          <t>VÄSTERBOTTENS LÄN</t>
        </is>
      </c>
      <c r="E7877" t="inlineStr">
        <is>
          <t>ROBERTSFORS</t>
        </is>
      </c>
      <c r="F7877" t="inlineStr">
        <is>
          <t>Holmen skog AB</t>
        </is>
      </c>
      <c r="G7877" t="n">
        <v>2.4</v>
      </c>
      <c r="H7877" t="n">
        <v>0</v>
      </c>
      <c r="I7877" t="n">
        <v>0</v>
      </c>
      <c r="J7877" t="n">
        <v>0</v>
      </c>
      <c r="K7877" t="n">
        <v>0</v>
      </c>
      <c r="L7877" t="n">
        <v>0</v>
      </c>
      <c r="M7877" t="n">
        <v>0</v>
      </c>
      <c r="N7877" t="n">
        <v>0</v>
      </c>
      <c r="O7877" t="n">
        <v>0</v>
      </c>
      <c r="P7877" t="n">
        <v>0</v>
      </c>
      <c r="Q7877" t="n">
        <v>0</v>
      </c>
      <c r="R7877" s="2" t="inlineStr"/>
    </row>
    <row r="7878" ht="15" customHeight="1">
      <c r="A7878" t="inlineStr">
        <is>
          <t>A 58368-2025</t>
        </is>
      </c>
      <c r="B7878" s="1" t="n">
        <v>45985.5278125</v>
      </c>
      <c r="C7878" s="1" t="n">
        <v>46075</v>
      </c>
      <c r="D7878" t="inlineStr">
        <is>
          <t>VÄSTERBOTTENS LÄN</t>
        </is>
      </c>
      <c r="E7878" t="inlineStr">
        <is>
          <t>LYCKSELE</t>
        </is>
      </c>
      <c r="G7878" t="n">
        <v>23</v>
      </c>
      <c r="H7878" t="n">
        <v>0</v>
      </c>
      <c r="I7878" t="n">
        <v>0</v>
      </c>
      <c r="J7878" t="n">
        <v>0</v>
      </c>
      <c r="K7878" t="n">
        <v>0</v>
      </c>
      <c r="L7878" t="n">
        <v>0</v>
      </c>
      <c r="M7878" t="n">
        <v>0</v>
      </c>
      <c r="N7878" t="n">
        <v>0</v>
      </c>
      <c r="O7878" t="n">
        <v>0</v>
      </c>
      <c r="P7878" t="n">
        <v>0</v>
      </c>
      <c r="Q7878" t="n">
        <v>0</v>
      </c>
      <c r="R7878" s="2" t="inlineStr"/>
    </row>
    <row r="7879" ht="15" customHeight="1">
      <c r="A7879" t="inlineStr">
        <is>
          <t>A 14774-2025</t>
        </is>
      </c>
      <c r="B7879" s="1" t="n">
        <v>45742.69414351852</v>
      </c>
      <c r="C7879" s="1" t="n">
        <v>46075</v>
      </c>
      <c r="D7879" t="inlineStr">
        <is>
          <t>VÄSTERBOTTENS LÄN</t>
        </is>
      </c>
      <c r="E7879" t="inlineStr">
        <is>
          <t>SKELLEFTEÅ</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19119-2025</t>
        </is>
      </c>
      <c r="B7880" s="1" t="n">
        <v>45768.82230324074</v>
      </c>
      <c r="C7880" s="1" t="n">
        <v>46075</v>
      </c>
      <c r="D7880" t="inlineStr">
        <is>
          <t>VÄSTERBOTTENS LÄN</t>
        </is>
      </c>
      <c r="E7880" t="inlineStr">
        <is>
          <t>SKELLEFTEÅ</t>
        </is>
      </c>
      <c r="G7880" t="n">
        <v>4.7</v>
      </c>
      <c r="H7880" t="n">
        <v>0</v>
      </c>
      <c r="I7880" t="n">
        <v>0</v>
      </c>
      <c r="J7880" t="n">
        <v>0</v>
      </c>
      <c r="K7880" t="n">
        <v>0</v>
      </c>
      <c r="L7880" t="n">
        <v>0</v>
      </c>
      <c r="M7880" t="n">
        <v>0</v>
      </c>
      <c r="N7880" t="n">
        <v>0</v>
      </c>
      <c r="O7880" t="n">
        <v>0</v>
      </c>
      <c r="P7880" t="n">
        <v>0</v>
      </c>
      <c r="Q7880" t="n">
        <v>0</v>
      </c>
      <c r="R7880" s="2" t="inlineStr"/>
    </row>
    <row r="7881" ht="15" customHeight="1">
      <c r="A7881" t="inlineStr">
        <is>
          <t>A 58222-2025</t>
        </is>
      </c>
      <c r="B7881" s="1" t="n">
        <v>45985.36491898148</v>
      </c>
      <c r="C7881" s="1" t="n">
        <v>46075</v>
      </c>
      <c r="D7881" t="inlineStr">
        <is>
          <t>VÄSTERBOTTENS LÄN</t>
        </is>
      </c>
      <c r="E7881" t="inlineStr">
        <is>
          <t>STORUMAN</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58249-2025</t>
        </is>
      </c>
      <c r="B7882" s="1" t="n">
        <v>45985.3935300926</v>
      </c>
      <c r="C7882" s="1" t="n">
        <v>46075</v>
      </c>
      <c r="D7882" t="inlineStr">
        <is>
          <t>VÄSTERBOTTENS LÄN</t>
        </is>
      </c>
      <c r="E7882" t="inlineStr">
        <is>
          <t>VINDELN</t>
        </is>
      </c>
      <c r="G7882" t="n">
        <v>5.2</v>
      </c>
      <c r="H7882" t="n">
        <v>0</v>
      </c>
      <c r="I7882" t="n">
        <v>0</v>
      </c>
      <c r="J7882" t="n">
        <v>0</v>
      </c>
      <c r="K7882" t="n">
        <v>0</v>
      </c>
      <c r="L7882" t="n">
        <v>0</v>
      </c>
      <c r="M7882" t="n">
        <v>0</v>
      </c>
      <c r="N7882" t="n">
        <v>0</v>
      </c>
      <c r="O7882" t="n">
        <v>0</v>
      </c>
      <c r="P7882" t="n">
        <v>0</v>
      </c>
      <c r="Q7882" t="n">
        <v>0</v>
      </c>
      <c r="R7882" s="2" t="inlineStr"/>
    </row>
    <row r="7883" ht="15" customHeight="1">
      <c r="A7883" t="inlineStr">
        <is>
          <t>A 58258-2025</t>
        </is>
      </c>
      <c r="B7883" s="1" t="n">
        <v>45985</v>
      </c>
      <c r="C7883" s="1" t="n">
        <v>46075</v>
      </c>
      <c r="D7883" t="inlineStr">
        <is>
          <t>VÄSTERBOTTENS LÄN</t>
        </is>
      </c>
      <c r="E7883" t="inlineStr">
        <is>
          <t>MALÅ</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58434-2025</t>
        </is>
      </c>
      <c r="B7884" s="1" t="n">
        <v>45985.61247685185</v>
      </c>
      <c r="C7884" s="1" t="n">
        <v>46075</v>
      </c>
      <c r="D7884" t="inlineStr">
        <is>
          <t>VÄSTERBOTTENS LÄN</t>
        </is>
      </c>
      <c r="E7884" t="inlineStr">
        <is>
          <t>ÅSELE</t>
        </is>
      </c>
      <c r="F7884" t="inlineStr">
        <is>
          <t>Sveaskog</t>
        </is>
      </c>
      <c r="G7884" t="n">
        <v>6.1</v>
      </c>
      <c r="H7884" t="n">
        <v>0</v>
      </c>
      <c r="I7884" t="n">
        <v>0</v>
      </c>
      <c r="J7884" t="n">
        <v>0</v>
      </c>
      <c r="K7884" t="n">
        <v>0</v>
      </c>
      <c r="L7884" t="n">
        <v>0</v>
      </c>
      <c r="M7884" t="n">
        <v>0</v>
      </c>
      <c r="N7884" t="n">
        <v>0</v>
      </c>
      <c r="O7884" t="n">
        <v>0</v>
      </c>
      <c r="P7884" t="n">
        <v>0</v>
      </c>
      <c r="Q7884" t="n">
        <v>0</v>
      </c>
      <c r="R7884" s="2" t="inlineStr"/>
    </row>
    <row r="7885" ht="15" customHeight="1">
      <c r="A7885" t="inlineStr">
        <is>
          <t>A 61953-2024</t>
        </is>
      </c>
      <c r="B7885" s="1" t="n">
        <v>45653.5150462963</v>
      </c>
      <c r="C7885" s="1" t="n">
        <v>46075</v>
      </c>
      <c r="D7885" t="inlineStr">
        <is>
          <t>VÄSTERBOTTENS LÄN</t>
        </is>
      </c>
      <c r="E7885" t="inlineStr">
        <is>
          <t>VILHELMINA</t>
        </is>
      </c>
      <c r="F7885" t="inlineStr">
        <is>
          <t>Kommuner</t>
        </is>
      </c>
      <c r="G7885" t="n">
        <v>10.2</v>
      </c>
      <c r="H7885" t="n">
        <v>0</v>
      </c>
      <c r="I7885" t="n">
        <v>0</v>
      </c>
      <c r="J7885" t="n">
        <v>0</v>
      </c>
      <c r="K7885" t="n">
        <v>0</v>
      </c>
      <c r="L7885" t="n">
        <v>0</v>
      </c>
      <c r="M7885" t="n">
        <v>0</v>
      </c>
      <c r="N7885" t="n">
        <v>0</v>
      </c>
      <c r="O7885" t="n">
        <v>0</v>
      </c>
      <c r="P7885" t="n">
        <v>0</v>
      </c>
      <c r="Q7885" t="n">
        <v>0</v>
      </c>
      <c r="R7885" s="2" t="inlineStr"/>
    </row>
    <row r="7886" ht="15" customHeight="1">
      <c r="A7886" t="inlineStr">
        <is>
          <t>A 36448-2024</t>
        </is>
      </c>
      <c r="B7886" s="1" t="n">
        <v>45537</v>
      </c>
      <c r="C7886" s="1" t="n">
        <v>46075</v>
      </c>
      <c r="D7886" t="inlineStr">
        <is>
          <t>VÄSTERBOTTENS LÄN</t>
        </is>
      </c>
      <c r="E7886" t="inlineStr">
        <is>
          <t>BJURHOLM</t>
        </is>
      </c>
      <c r="G7886" t="n">
        <v>0.4</v>
      </c>
      <c r="H7886" t="n">
        <v>0</v>
      </c>
      <c r="I7886" t="n">
        <v>0</v>
      </c>
      <c r="J7886" t="n">
        <v>0</v>
      </c>
      <c r="K7886" t="n">
        <v>0</v>
      </c>
      <c r="L7886" t="n">
        <v>0</v>
      </c>
      <c r="M7886" t="n">
        <v>0</v>
      </c>
      <c r="N7886" t="n">
        <v>0</v>
      </c>
      <c r="O7886" t="n">
        <v>0</v>
      </c>
      <c r="P7886" t="n">
        <v>0</v>
      </c>
      <c r="Q7886" t="n">
        <v>0</v>
      </c>
      <c r="R7886" s="2" t="inlineStr"/>
    </row>
    <row r="7887" ht="15" customHeight="1">
      <c r="A7887" t="inlineStr">
        <is>
          <t>A 58213-2025</t>
        </is>
      </c>
      <c r="B7887" s="1" t="n">
        <v>45985.3491087963</v>
      </c>
      <c r="C7887" s="1" t="n">
        <v>46075</v>
      </c>
      <c r="D7887" t="inlineStr">
        <is>
          <t>VÄSTERBOTTENS LÄN</t>
        </is>
      </c>
      <c r="E7887" t="inlineStr">
        <is>
          <t>SKELLEFTEÅ</t>
        </is>
      </c>
      <c r="F7887" t="inlineStr">
        <is>
          <t>Sveaskog</t>
        </is>
      </c>
      <c r="G7887" t="n">
        <v>22.1</v>
      </c>
      <c r="H7887" t="n">
        <v>0</v>
      </c>
      <c r="I7887" t="n">
        <v>0</v>
      </c>
      <c r="J7887" t="n">
        <v>0</v>
      </c>
      <c r="K7887" t="n">
        <v>0</v>
      </c>
      <c r="L7887" t="n">
        <v>0</v>
      </c>
      <c r="M7887" t="n">
        <v>0</v>
      </c>
      <c r="N7887" t="n">
        <v>0</v>
      </c>
      <c r="O7887" t="n">
        <v>0</v>
      </c>
      <c r="P7887" t="n">
        <v>0</v>
      </c>
      <c r="Q7887" t="n">
        <v>0</v>
      </c>
      <c r="R7887" s="2" t="inlineStr"/>
    </row>
    <row r="7888" ht="15" customHeight="1">
      <c r="A7888" t="inlineStr">
        <is>
          <t>A 32586-2023</t>
        </is>
      </c>
      <c r="B7888" s="1" t="n">
        <v>45121</v>
      </c>
      <c r="C7888" s="1" t="n">
        <v>46075</v>
      </c>
      <c r="D7888" t="inlineStr">
        <is>
          <t>VÄSTERBOTTENS LÄN</t>
        </is>
      </c>
      <c r="E7888" t="inlineStr">
        <is>
          <t>ÅSELE</t>
        </is>
      </c>
      <c r="F7888" t="inlineStr">
        <is>
          <t>Holmen skog AB</t>
        </is>
      </c>
      <c r="G7888" t="n">
        <v>5.5</v>
      </c>
      <c r="H7888" t="n">
        <v>0</v>
      </c>
      <c r="I7888" t="n">
        <v>0</v>
      </c>
      <c r="J7888" t="n">
        <v>0</v>
      </c>
      <c r="K7888" t="n">
        <v>0</v>
      </c>
      <c r="L7888" t="n">
        <v>0</v>
      </c>
      <c r="M7888" t="n">
        <v>0</v>
      </c>
      <c r="N7888" t="n">
        <v>0</v>
      </c>
      <c r="O7888" t="n">
        <v>0</v>
      </c>
      <c r="P7888" t="n">
        <v>0</v>
      </c>
      <c r="Q7888" t="n">
        <v>0</v>
      </c>
      <c r="R7888" s="2" t="inlineStr"/>
    </row>
    <row r="7889" ht="15" customHeight="1">
      <c r="A7889" t="inlineStr">
        <is>
          <t>A 56040-2025</t>
        </is>
      </c>
      <c r="B7889" s="1" t="n">
        <v>45973</v>
      </c>
      <c r="C7889" s="1" t="n">
        <v>46075</v>
      </c>
      <c r="D7889" t="inlineStr">
        <is>
          <t>VÄSTERBOTTENS LÄN</t>
        </is>
      </c>
      <c r="E7889" t="inlineStr">
        <is>
          <t>MALÅ</t>
        </is>
      </c>
      <c r="G7889" t="n">
        <v>4.5</v>
      </c>
      <c r="H7889" t="n">
        <v>0</v>
      </c>
      <c r="I7889" t="n">
        <v>0</v>
      </c>
      <c r="J7889" t="n">
        <v>0</v>
      </c>
      <c r="K7889" t="n">
        <v>0</v>
      </c>
      <c r="L7889" t="n">
        <v>0</v>
      </c>
      <c r="M7889" t="n">
        <v>0</v>
      </c>
      <c r="N7889" t="n">
        <v>0</v>
      </c>
      <c r="O7889" t="n">
        <v>0</v>
      </c>
      <c r="P7889" t="n">
        <v>0</v>
      </c>
      <c r="Q7889" t="n">
        <v>0</v>
      </c>
      <c r="R7889" s="2" t="inlineStr"/>
    </row>
    <row r="7890" ht="15" customHeight="1">
      <c r="A7890" t="inlineStr">
        <is>
          <t>A 58635-2025</t>
        </is>
      </c>
      <c r="B7890" s="1" t="n">
        <v>45986.48967592593</v>
      </c>
      <c r="C7890" s="1" t="n">
        <v>46075</v>
      </c>
      <c r="D7890" t="inlineStr">
        <is>
          <t>VÄSTERBOTTENS LÄN</t>
        </is>
      </c>
      <c r="E7890" t="inlineStr">
        <is>
          <t>SORSELE</t>
        </is>
      </c>
      <c r="G7890" t="n">
        <v>26.4</v>
      </c>
      <c r="H7890" t="n">
        <v>0</v>
      </c>
      <c r="I7890" t="n">
        <v>0</v>
      </c>
      <c r="J7890" t="n">
        <v>0</v>
      </c>
      <c r="K7890" t="n">
        <v>0</v>
      </c>
      <c r="L7890" t="n">
        <v>0</v>
      </c>
      <c r="M7890" t="n">
        <v>0</v>
      </c>
      <c r="N7890" t="n">
        <v>0</v>
      </c>
      <c r="O7890" t="n">
        <v>0</v>
      </c>
      <c r="P7890" t="n">
        <v>0</v>
      </c>
      <c r="Q7890" t="n">
        <v>0</v>
      </c>
      <c r="R7890" s="2" t="inlineStr"/>
    </row>
    <row r="7891" ht="15" customHeight="1">
      <c r="A7891" t="inlineStr">
        <is>
          <t>A 58642-2025</t>
        </is>
      </c>
      <c r="B7891" s="1" t="n">
        <v>45986.49467592593</v>
      </c>
      <c r="C7891" s="1" t="n">
        <v>46075</v>
      </c>
      <c r="D7891" t="inlineStr">
        <is>
          <t>VÄSTERBOTTENS LÄN</t>
        </is>
      </c>
      <c r="E7891" t="inlineStr">
        <is>
          <t>SORSELE</t>
        </is>
      </c>
      <c r="G7891" t="n">
        <v>12.3</v>
      </c>
      <c r="H7891" t="n">
        <v>0</v>
      </c>
      <c r="I7891" t="n">
        <v>0</v>
      </c>
      <c r="J7891" t="n">
        <v>0</v>
      </c>
      <c r="K7891" t="n">
        <v>0</v>
      </c>
      <c r="L7891" t="n">
        <v>0</v>
      </c>
      <c r="M7891" t="n">
        <v>0</v>
      </c>
      <c r="N7891" t="n">
        <v>0</v>
      </c>
      <c r="O7891" t="n">
        <v>0</v>
      </c>
      <c r="P7891" t="n">
        <v>0</v>
      </c>
      <c r="Q7891" t="n">
        <v>0</v>
      </c>
      <c r="R7891" s="2" t="inlineStr"/>
    </row>
    <row r="7892" ht="15" customHeight="1">
      <c r="A7892" t="inlineStr">
        <is>
          <t>A 38987-2023</t>
        </is>
      </c>
      <c r="B7892" s="1" t="n">
        <v>45163</v>
      </c>
      <c r="C7892" s="1" t="n">
        <v>46075</v>
      </c>
      <c r="D7892" t="inlineStr">
        <is>
          <t>VÄSTERBOTTENS LÄN</t>
        </is>
      </c>
      <c r="E7892" t="inlineStr">
        <is>
          <t>VINDELN</t>
        </is>
      </c>
      <c r="F7892" t="inlineStr">
        <is>
          <t>Holmen skog AB</t>
        </is>
      </c>
      <c r="G7892" t="n">
        <v>0.7</v>
      </c>
      <c r="H7892" t="n">
        <v>0</v>
      </c>
      <c r="I7892" t="n">
        <v>0</v>
      </c>
      <c r="J7892" t="n">
        <v>0</v>
      </c>
      <c r="K7892" t="n">
        <v>0</v>
      </c>
      <c r="L7892" t="n">
        <v>0</v>
      </c>
      <c r="M7892" t="n">
        <v>0</v>
      </c>
      <c r="N7892" t="n">
        <v>0</v>
      </c>
      <c r="O7892" t="n">
        <v>0</v>
      </c>
      <c r="P7892" t="n">
        <v>0</v>
      </c>
      <c r="Q7892" t="n">
        <v>0</v>
      </c>
      <c r="R7892" s="2" t="inlineStr"/>
    </row>
    <row r="7893" ht="15" customHeight="1">
      <c r="A7893" t="inlineStr">
        <is>
          <t>A 23104-2025</t>
        </is>
      </c>
      <c r="B7893" s="1" t="n">
        <v>45791</v>
      </c>
      <c r="C7893" s="1" t="n">
        <v>46075</v>
      </c>
      <c r="D7893" t="inlineStr">
        <is>
          <t>VÄSTERBOTTENS LÄN</t>
        </is>
      </c>
      <c r="E7893" t="inlineStr">
        <is>
          <t>SKELLEFTEÅ</t>
        </is>
      </c>
      <c r="F7893" t="inlineStr">
        <is>
          <t>Holmen skog AB</t>
        </is>
      </c>
      <c r="G7893" t="n">
        <v>5.2</v>
      </c>
      <c r="H7893" t="n">
        <v>0</v>
      </c>
      <c r="I7893" t="n">
        <v>0</v>
      </c>
      <c r="J7893" t="n">
        <v>0</v>
      </c>
      <c r="K7893" t="n">
        <v>0</v>
      </c>
      <c r="L7893" t="n">
        <v>0</v>
      </c>
      <c r="M7893" t="n">
        <v>0</v>
      </c>
      <c r="N7893" t="n">
        <v>0</v>
      </c>
      <c r="O7893" t="n">
        <v>0</v>
      </c>
      <c r="P7893" t="n">
        <v>0</v>
      </c>
      <c r="Q7893" t="n">
        <v>0</v>
      </c>
      <c r="R7893" s="2" t="inlineStr"/>
    </row>
    <row r="7894" ht="15" customHeight="1">
      <c r="A7894" t="inlineStr">
        <is>
          <t>A 58579-2025</t>
        </is>
      </c>
      <c r="B7894" s="1" t="n">
        <v>45986.38587962963</v>
      </c>
      <c r="C7894" s="1" t="n">
        <v>46075</v>
      </c>
      <c r="D7894" t="inlineStr">
        <is>
          <t>VÄSTERBOTTENS LÄN</t>
        </is>
      </c>
      <c r="E7894" t="inlineStr">
        <is>
          <t>NORDMALING</t>
        </is>
      </c>
      <c r="F7894" t="inlineStr">
        <is>
          <t>SCA</t>
        </is>
      </c>
      <c r="G7894" t="n">
        <v>1.9</v>
      </c>
      <c r="H7894" t="n">
        <v>0</v>
      </c>
      <c r="I7894" t="n">
        <v>0</v>
      </c>
      <c r="J7894" t="n">
        <v>0</v>
      </c>
      <c r="K7894" t="n">
        <v>0</v>
      </c>
      <c r="L7894" t="n">
        <v>0</v>
      </c>
      <c r="M7894" t="n">
        <v>0</v>
      </c>
      <c r="N7894" t="n">
        <v>0</v>
      </c>
      <c r="O7894" t="n">
        <v>0</v>
      </c>
      <c r="P7894" t="n">
        <v>0</v>
      </c>
      <c r="Q7894" t="n">
        <v>0</v>
      </c>
      <c r="R7894" s="2" t="inlineStr"/>
    </row>
    <row r="7895" ht="15" customHeight="1">
      <c r="A7895" t="inlineStr">
        <is>
          <t>A 58729-2025</t>
        </is>
      </c>
      <c r="B7895" s="1" t="n">
        <v>45986.62428240741</v>
      </c>
      <c r="C7895" s="1" t="n">
        <v>46075</v>
      </c>
      <c r="D7895" t="inlineStr">
        <is>
          <t>VÄSTERBOTTENS LÄN</t>
        </is>
      </c>
      <c r="E7895" t="inlineStr">
        <is>
          <t>BJURHOLM</t>
        </is>
      </c>
      <c r="G7895" t="n">
        <v>1.4</v>
      </c>
      <c r="H7895" t="n">
        <v>0</v>
      </c>
      <c r="I7895" t="n">
        <v>0</v>
      </c>
      <c r="J7895" t="n">
        <v>0</v>
      </c>
      <c r="K7895" t="n">
        <v>0</v>
      </c>
      <c r="L7895" t="n">
        <v>0</v>
      </c>
      <c r="M7895" t="n">
        <v>0</v>
      </c>
      <c r="N7895" t="n">
        <v>0</v>
      </c>
      <c r="O7895" t="n">
        <v>0</v>
      </c>
      <c r="P7895" t="n">
        <v>0</v>
      </c>
      <c r="Q7895" t="n">
        <v>0</v>
      </c>
      <c r="R7895" s="2" t="inlineStr"/>
    </row>
    <row r="7896" ht="15" customHeight="1">
      <c r="A7896" t="inlineStr">
        <is>
          <t>A 17323-2024</t>
        </is>
      </c>
      <c r="B7896" s="1" t="n">
        <v>45414</v>
      </c>
      <c r="C7896" s="1" t="n">
        <v>46075</v>
      </c>
      <c r="D7896" t="inlineStr">
        <is>
          <t>VÄSTERBOTTENS LÄN</t>
        </is>
      </c>
      <c r="E7896" t="inlineStr">
        <is>
          <t>SORSELE</t>
        </is>
      </c>
      <c r="G7896" t="n">
        <v>5.7</v>
      </c>
      <c r="H7896" t="n">
        <v>0</v>
      </c>
      <c r="I7896" t="n">
        <v>0</v>
      </c>
      <c r="J7896" t="n">
        <v>0</v>
      </c>
      <c r="K7896" t="n">
        <v>0</v>
      </c>
      <c r="L7896" t="n">
        <v>0</v>
      </c>
      <c r="M7896" t="n">
        <v>0</v>
      </c>
      <c r="N7896" t="n">
        <v>0</v>
      </c>
      <c r="O7896" t="n">
        <v>0</v>
      </c>
      <c r="P7896" t="n">
        <v>0</v>
      </c>
      <c r="Q7896" t="n">
        <v>0</v>
      </c>
      <c r="R7896" s="2" t="inlineStr"/>
    </row>
    <row r="7897" ht="15" customHeight="1">
      <c r="A7897" t="inlineStr">
        <is>
          <t>A 43975-2024</t>
        </is>
      </c>
      <c r="B7897" s="1" t="n">
        <v>45572.49075231481</v>
      </c>
      <c r="C7897" s="1" t="n">
        <v>46075</v>
      </c>
      <c r="D7897" t="inlineStr">
        <is>
          <t>VÄSTERBOTTENS LÄN</t>
        </is>
      </c>
      <c r="E7897" t="inlineStr">
        <is>
          <t>UMEÅ</t>
        </is>
      </c>
      <c r="G7897" t="n">
        <v>6.8</v>
      </c>
      <c r="H7897" t="n">
        <v>0</v>
      </c>
      <c r="I7897" t="n">
        <v>0</v>
      </c>
      <c r="J7897" t="n">
        <v>0</v>
      </c>
      <c r="K7897" t="n">
        <v>0</v>
      </c>
      <c r="L7897" t="n">
        <v>0</v>
      </c>
      <c r="M7897" t="n">
        <v>0</v>
      </c>
      <c r="N7897" t="n">
        <v>0</v>
      </c>
      <c r="O7897" t="n">
        <v>0</v>
      </c>
      <c r="P7897" t="n">
        <v>0</v>
      </c>
      <c r="Q7897" t="n">
        <v>0</v>
      </c>
      <c r="R7897" s="2" t="inlineStr"/>
    </row>
    <row r="7898" ht="15" customHeight="1">
      <c r="A7898" t="inlineStr">
        <is>
          <t>A 45552-2023</t>
        </is>
      </c>
      <c r="B7898" s="1" t="n">
        <v>45194.57376157407</v>
      </c>
      <c r="C7898" s="1" t="n">
        <v>46075</v>
      </c>
      <c r="D7898" t="inlineStr">
        <is>
          <t>VÄSTERBOTTENS LÄN</t>
        </is>
      </c>
      <c r="E7898" t="inlineStr">
        <is>
          <t>SKELLEFTEÅ</t>
        </is>
      </c>
      <c r="G7898" t="n">
        <v>18.3</v>
      </c>
      <c r="H7898" t="n">
        <v>0</v>
      </c>
      <c r="I7898" t="n">
        <v>0</v>
      </c>
      <c r="J7898" t="n">
        <v>0</v>
      </c>
      <c r="K7898" t="n">
        <v>0</v>
      </c>
      <c r="L7898" t="n">
        <v>0</v>
      </c>
      <c r="M7898" t="n">
        <v>0</v>
      </c>
      <c r="N7898" t="n">
        <v>0</v>
      </c>
      <c r="O7898" t="n">
        <v>0</v>
      </c>
      <c r="P7898" t="n">
        <v>0</v>
      </c>
      <c r="Q7898" t="n">
        <v>0</v>
      </c>
      <c r="R7898" s="2" t="inlineStr"/>
    </row>
    <row r="7899" ht="15" customHeight="1">
      <c r="A7899" t="inlineStr">
        <is>
          <t>A 54016-2024</t>
        </is>
      </c>
      <c r="B7899" s="1" t="n">
        <v>45616.38167824074</v>
      </c>
      <c r="C7899" s="1" t="n">
        <v>46075</v>
      </c>
      <c r="D7899" t="inlineStr">
        <is>
          <t>VÄSTERBOTTENS LÄN</t>
        </is>
      </c>
      <c r="E7899" t="inlineStr">
        <is>
          <t>VINDELN</t>
        </is>
      </c>
      <c r="F7899" t="inlineStr">
        <is>
          <t>Sveaskog</t>
        </is>
      </c>
      <c r="G7899" t="n">
        <v>2.4</v>
      </c>
      <c r="H7899" t="n">
        <v>0</v>
      </c>
      <c r="I7899" t="n">
        <v>0</v>
      </c>
      <c r="J7899" t="n">
        <v>0</v>
      </c>
      <c r="K7899" t="n">
        <v>0</v>
      </c>
      <c r="L7899" t="n">
        <v>0</v>
      </c>
      <c r="M7899" t="n">
        <v>0</v>
      </c>
      <c r="N7899" t="n">
        <v>0</v>
      </c>
      <c r="O7899" t="n">
        <v>0</v>
      </c>
      <c r="P7899" t="n">
        <v>0</v>
      </c>
      <c r="Q7899" t="n">
        <v>0</v>
      </c>
      <c r="R7899" s="2" t="inlineStr"/>
    </row>
    <row r="7900" ht="15" customHeight="1">
      <c r="A7900" t="inlineStr">
        <is>
          <t>A 11254-2025</t>
        </is>
      </c>
      <c r="B7900" s="1" t="n">
        <v>45726</v>
      </c>
      <c r="C7900" s="1" t="n">
        <v>46075</v>
      </c>
      <c r="D7900" t="inlineStr">
        <is>
          <t>VÄSTERBOTTENS LÄN</t>
        </is>
      </c>
      <c r="E7900" t="inlineStr">
        <is>
          <t>SKELLEFTEÅ</t>
        </is>
      </c>
      <c r="G7900" t="n">
        <v>12.6</v>
      </c>
      <c r="H7900" t="n">
        <v>0</v>
      </c>
      <c r="I7900" t="n">
        <v>0</v>
      </c>
      <c r="J7900" t="n">
        <v>0</v>
      </c>
      <c r="K7900" t="n">
        <v>0</v>
      </c>
      <c r="L7900" t="n">
        <v>0</v>
      </c>
      <c r="M7900" t="n">
        <v>0</v>
      </c>
      <c r="N7900" t="n">
        <v>0</v>
      </c>
      <c r="O7900" t="n">
        <v>0</v>
      </c>
      <c r="P7900" t="n">
        <v>0</v>
      </c>
      <c r="Q7900" t="n">
        <v>0</v>
      </c>
      <c r="R7900" s="2" t="inlineStr"/>
    </row>
    <row r="7901" ht="15" customHeight="1">
      <c r="A7901" t="inlineStr">
        <is>
          <t>A 47171-2024</t>
        </is>
      </c>
      <c r="B7901" s="1" t="n">
        <v>45586</v>
      </c>
      <c r="C7901" s="1" t="n">
        <v>46075</v>
      </c>
      <c r="D7901" t="inlineStr">
        <is>
          <t>VÄSTERBOTTENS LÄN</t>
        </is>
      </c>
      <c r="E7901" t="inlineStr">
        <is>
          <t>UMEÅ</t>
        </is>
      </c>
      <c r="F7901" t="inlineStr">
        <is>
          <t>Holmen skog AB</t>
        </is>
      </c>
      <c r="G7901" t="n">
        <v>5.2</v>
      </c>
      <c r="H7901" t="n">
        <v>0</v>
      </c>
      <c r="I7901" t="n">
        <v>0</v>
      </c>
      <c r="J7901" t="n">
        <v>0</v>
      </c>
      <c r="K7901" t="n">
        <v>0</v>
      </c>
      <c r="L7901" t="n">
        <v>0</v>
      </c>
      <c r="M7901" t="n">
        <v>0</v>
      </c>
      <c r="N7901" t="n">
        <v>0</v>
      </c>
      <c r="O7901" t="n">
        <v>0</v>
      </c>
      <c r="P7901" t="n">
        <v>0</v>
      </c>
      <c r="Q7901" t="n">
        <v>0</v>
      </c>
      <c r="R7901" s="2" t="inlineStr"/>
    </row>
    <row r="7902" ht="15" customHeight="1">
      <c r="A7902" t="inlineStr">
        <is>
          <t>A 58631-2025</t>
        </is>
      </c>
      <c r="B7902" s="1" t="n">
        <v>45986.48609953704</v>
      </c>
      <c r="C7902" s="1" t="n">
        <v>46075</v>
      </c>
      <c r="D7902" t="inlineStr">
        <is>
          <t>VÄSTERBOTTENS LÄN</t>
        </is>
      </c>
      <c r="E7902" t="inlineStr">
        <is>
          <t>LYCKSELE</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54874-2024</t>
        </is>
      </c>
      <c r="B7903" s="1" t="n">
        <v>45618.60230324074</v>
      </c>
      <c r="C7903" s="1" t="n">
        <v>46075</v>
      </c>
      <c r="D7903" t="inlineStr">
        <is>
          <t>VÄSTERBOTTENS LÄN</t>
        </is>
      </c>
      <c r="E7903" t="inlineStr">
        <is>
          <t>SKELLEFTEÅ</t>
        </is>
      </c>
      <c r="F7903" t="inlineStr">
        <is>
          <t>Sveaskog</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54893-2024</t>
        </is>
      </c>
      <c r="B7904" s="1" t="n">
        <v>45618.63597222222</v>
      </c>
      <c r="C7904" s="1" t="n">
        <v>46075</v>
      </c>
      <c r="D7904" t="inlineStr">
        <is>
          <t>VÄSTERBOTTENS LÄN</t>
        </is>
      </c>
      <c r="E7904" t="inlineStr">
        <is>
          <t>NORDMALING</t>
        </is>
      </c>
      <c r="F7904" t="inlineStr">
        <is>
          <t>SCA</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58666-2025</t>
        </is>
      </c>
      <c r="B7905" s="1" t="n">
        <v>45986.54143518519</v>
      </c>
      <c r="C7905" s="1" t="n">
        <v>46075</v>
      </c>
      <c r="D7905" t="inlineStr">
        <is>
          <t>VÄSTERBOTTENS LÄN</t>
        </is>
      </c>
      <c r="E7905" t="inlineStr">
        <is>
          <t>LYCKSELE</t>
        </is>
      </c>
      <c r="G7905" t="n">
        <v>9.1</v>
      </c>
      <c r="H7905" t="n">
        <v>0</v>
      </c>
      <c r="I7905" t="n">
        <v>0</v>
      </c>
      <c r="J7905" t="n">
        <v>0</v>
      </c>
      <c r="K7905" t="n">
        <v>0</v>
      </c>
      <c r="L7905" t="n">
        <v>0</v>
      </c>
      <c r="M7905" t="n">
        <v>0</v>
      </c>
      <c r="N7905" t="n">
        <v>0</v>
      </c>
      <c r="O7905" t="n">
        <v>0</v>
      </c>
      <c r="P7905" t="n">
        <v>0</v>
      </c>
      <c r="Q7905" t="n">
        <v>0</v>
      </c>
      <c r="R7905" s="2" t="inlineStr"/>
    </row>
    <row r="7906" ht="15" customHeight="1">
      <c r="A7906" t="inlineStr">
        <is>
          <t>A 58850-2025</t>
        </is>
      </c>
      <c r="B7906" s="1" t="n">
        <v>45987.40146990741</v>
      </c>
      <c r="C7906" s="1" t="n">
        <v>46075</v>
      </c>
      <c r="D7906" t="inlineStr">
        <is>
          <t>VÄSTERBOTTENS LÄN</t>
        </is>
      </c>
      <c r="E7906" t="inlineStr">
        <is>
          <t>ROBERTSFORS</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58860-2025</t>
        </is>
      </c>
      <c r="B7907" s="1" t="n">
        <v>45987.42810185185</v>
      </c>
      <c r="C7907" s="1" t="n">
        <v>46075</v>
      </c>
      <c r="D7907" t="inlineStr">
        <is>
          <t>VÄSTERBOTTENS LÄN</t>
        </is>
      </c>
      <c r="E7907" t="inlineStr">
        <is>
          <t>NORSJÖ</t>
        </is>
      </c>
      <c r="G7907" t="n">
        <v>14.1</v>
      </c>
      <c r="H7907" t="n">
        <v>0</v>
      </c>
      <c r="I7907" t="n">
        <v>0</v>
      </c>
      <c r="J7907" t="n">
        <v>0</v>
      </c>
      <c r="K7907" t="n">
        <v>0</v>
      </c>
      <c r="L7907" t="n">
        <v>0</v>
      </c>
      <c r="M7907" t="n">
        <v>0</v>
      </c>
      <c r="N7907" t="n">
        <v>0</v>
      </c>
      <c r="O7907" t="n">
        <v>0</v>
      </c>
      <c r="P7907" t="n">
        <v>0</v>
      </c>
      <c r="Q7907" t="n">
        <v>0</v>
      </c>
      <c r="R7907" s="2" t="inlineStr"/>
    </row>
    <row r="7908" ht="15" customHeight="1">
      <c r="A7908" t="inlineStr">
        <is>
          <t>A 37950-2022</t>
        </is>
      </c>
      <c r="B7908" s="1" t="n">
        <v>44811.48826388889</v>
      </c>
      <c r="C7908" s="1" t="n">
        <v>46075</v>
      </c>
      <c r="D7908" t="inlineStr">
        <is>
          <t>VÄSTERBOTTENS LÄN</t>
        </is>
      </c>
      <c r="E7908" t="inlineStr">
        <is>
          <t>SKELLEFTEÅ</t>
        </is>
      </c>
      <c r="G7908" t="n">
        <v>2.7</v>
      </c>
      <c r="H7908" t="n">
        <v>0</v>
      </c>
      <c r="I7908" t="n">
        <v>0</v>
      </c>
      <c r="J7908" t="n">
        <v>0</v>
      </c>
      <c r="K7908" t="n">
        <v>0</v>
      </c>
      <c r="L7908" t="n">
        <v>0</v>
      </c>
      <c r="M7908" t="n">
        <v>0</v>
      </c>
      <c r="N7908" t="n">
        <v>0</v>
      </c>
      <c r="O7908" t="n">
        <v>0</v>
      </c>
      <c r="P7908" t="n">
        <v>0</v>
      </c>
      <c r="Q7908" t="n">
        <v>0</v>
      </c>
      <c r="R7908" s="2" t="inlineStr"/>
    </row>
    <row r="7909" ht="15" customHeight="1">
      <c r="A7909" t="inlineStr">
        <is>
          <t>A 58699-2025</t>
        </is>
      </c>
      <c r="B7909" s="1" t="n">
        <v>45986.58903935185</v>
      </c>
      <c r="C7909" s="1" t="n">
        <v>46075</v>
      </c>
      <c r="D7909" t="inlineStr">
        <is>
          <t>VÄSTERBOTTENS LÄN</t>
        </is>
      </c>
      <c r="E7909" t="inlineStr">
        <is>
          <t>UMEÅ</t>
        </is>
      </c>
      <c r="F7909" t="inlineStr">
        <is>
          <t>Sveaskog</t>
        </is>
      </c>
      <c r="G7909" t="n">
        <v>3.8</v>
      </c>
      <c r="H7909" t="n">
        <v>0</v>
      </c>
      <c r="I7909" t="n">
        <v>0</v>
      </c>
      <c r="J7909" t="n">
        <v>0</v>
      </c>
      <c r="K7909" t="n">
        <v>0</v>
      </c>
      <c r="L7909" t="n">
        <v>0</v>
      </c>
      <c r="M7909" t="n">
        <v>0</v>
      </c>
      <c r="N7909" t="n">
        <v>0</v>
      </c>
      <c r="O7909" t="n">
        <v>0</v>
      </c>
      <c r="P7909" t="n">
        <v>0</v>
      </c>
      <c r="Q7909" t="n">
        <v>0</v>
      </c>
      <c r="R7909" s="2" t="inlineStr"/>
    </row>
    <row r="7910" ht="15" customHeight="1">
      <c r="A7910" t="inlineStr">
        <is>
          <t>A 56066-2025</t>
        </is>
      </c>
      <c r="B7910" s="1" t="n">
        <v>45973</v>
      </c>
      <c r="C7910" s="1" t="n">
        <v>46075</v>
      </c>
      <c r="D7910" t="inlineStr">
        <is>
          <t>VÄSTERBOTTENS LÄN</t>
        </is>
      </c>
      <c r="E7910" t="inlineStr">
        <is>
          <t>MALÅ</t>
        </is>
      </c>
      <c r="G7910" t="n">
        <v>6.7</v>
      </c>
      <c r="H7910" t="n">
        <v>0</v>
      </c>
      <c r="I7910" t="n">
        <v>0</v>
      </c>
      <c r="J7910" t="n">
        <v>0</v>
      </c>
      <c r="K7910" t="n">
        <v>0</v>
      </c>
      <c r="L7910" t="n">
        <v>0</v>
      </c>
      <c r="M7910" t="n">
        <v>0</v>
      </c>
      <c r="N7910" t="n">
        <v>0</v>
      </c>
      <c r="O7910" t="n">
        <v>0</v>
      </c>
      <c r="P7910" t="n">
        <v>0</v>
      </c>
      <c r="Q7910" t="n">
        <v>0</v>
      </c>
      <c r="R7910" s="2" t="inlineStr"/>
    </row>
    <row r="7911" ht="15" customHeight="1">
      <c r="A7911" t="inlineStr">
        <is>
          <t>A 44187-2023</t>
        </is>
      </c>
      <c r="B7911" s="1" t="n">
        <v>45183</v>
      </c>
      <c r="C7911" s="1" t="n">
        <v>46075</v>
      </c>
      <c r="D7911" t="inlineStr">
        <is>
          <t>VÄSTERBOTTENS LÄN</t>
        </is>
      </c>
      <c r="E7911" t="inlineStr">
        <is>
          <t>BJURHOLM</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12004-2024</t>
        </is>
      </c>
      <c r="B7912" s="1" t="n">
        <v>45377.31299768519</v>
      </c>
      <c r="C7912" s="1" t="n">
        <v>46075</v>
      </c>
      <c r="D7912" t="inlineStr">
        <is>
          <t>VÄSTERBOTTENS LÄN</t>
        </is>
      </c>
      <c r="E7912" t="inlineStr">
        <is>
          <t>SKELLEFTEÅ</t>
        </is>
      </c>
      <c r="G7912" t="n">
        <v>8.4</v>
      </c>
      <c r="H7912" t="n">
        <v>0</v>
      </c>
      <c r="I7912" t="n">
        <v>0</v>
      </c>
      <c r="J7912" t="n">
        <v>0</v>
      </c>
      <c r="K7912" t="n">
        <v>0</v>
      </c>
      <c r="L7912" t="n">
        <v>0</v>
      </c>
      <c r="M7912" t="n">
        <v>0</v>
      </c>
      <c r="N7912" t="n">
        <v>0</v>
      </c>
      <c r="O7912" t="n">
        <v>0</v>
      </c>
      <c r="P7912" t="n">
        <v>0</v>
      </c>
      <c r="Q7912" t="n">
        <v>0</v>
      </c>
      <c r="R7912" s="2" t="inlineStr"/>
    </row>
    <row r="7913" ht="15" customHeight="1">
      <c r="A7913" t="inlineStr">
        <is>
          <t>A 51991-2024</t>
        </is>
      </c>
      <c r="B7913" s="1" t="n">
        <v>45607</v>
      </c>
      <c r="C7913" s="1" t="n">
        <v>46075</v>
      </c>
      <c r="D7913" t="inlineStr">
        <is>
          <t>VÄSTERBOTTENS LÄN</t>
        </is>
      </c>
      <c r="E7913" t="inlineStr">
        <is>
          <t>SKELLEFTEÅ</t>
        </is>
      </c>
      <c r="F7913" t="inlineStr">
        <is>
          <t>Kommuner</t>
        </is>
      </c>
      <c r="G7913" t="n">
        <v>1.8</v>
      </c>
      <c r="H7913" t="n">
        <v>0</v>
      </c>
      <c r="I7913" t="n">
        <v>0</v>
      </c>
      <c r="J7913" t="n">
        <v>0</v>
      </c>
      <c r="K7913" t="n">
        <v>0</v>
      </c>
      <c r="L7913" t="n">
        <v>0</v>
      </c>
      <c r="M7913" t="n">
        <v>0</v>
      </c>
      <c r="N7913" t="n">
        <v>0</v>
      </c>
      <c r="O7913" t="n">
        <v>0</v>
      </c>
      <c r="P7913" t="n">
        <v>0</v>
      </c>
      <c r="Q7913" t="n">
        <v>0</v>
      </c>
      <c r="R7913" s="2" t="inlineStr"/>
    </row>
    <row r="7914" ht="15" customHeight="1">
      <c r="A7914" t="inlineStr">
        <is>
          <t>A 56094-2025</t>
        </is>
      </c>
      <c r="B7914" s="1" t="n">
        <v>45973</v>
      </c>
      <c r="C7914" s="1" t="n">
        <v>46075</v>
      </c>
      <c r="D7914" t="inlineStr">
        <is>
          <t>VÄSTERBOTTENS LÄN</t>
        </is>
      </c>
      <c r="E7914" t="inlineStr">
        <is>
          <t>MALÅ</t>
        </is>
      </c>
      <c r="G7914" t="n">
        <v>20.7</v>
      </c>
      <c r="H7914" t="n">
        <v>0</v>
      </c>
      <c r="I7914" t="n">
        <v>0</v>
      </c>
      <c r="J7914" t="n">
        <v>0</v>
      </c>
      <c r="K7914" t="n">
        <v>0</v>
      </c>
      <c r="L7914" t="n">
        <v>0</v>
      </c>
      <c r="M7914" t="n">
        <v>0</v>
      </c>
      <c r="N7914" t="n">
        <v>0</v>
      </c>
      <c r="O7914" t="n">
        <v>0</v>
      </c>
      <c r="P7914" t="n">
        <v>0</v>
      </c>
      <c r="Q7914" t="n">
        <v>0</v>
      </c>
      <c r="R7914" s="2" t="inlineStr"/>
    </row>
    <row r="7915" ht="15" customHeight="1">
      <c r="A7915" t="inlineStr">
        <is>
          <t>A 17443-2021</t>
        </is>
      </c>
      <c r="B7915" s="1" t="n">
        <v>44298</v>
      </c>
      <c r="C7915" s="1" t="n">
        <v>46075</v>
      </c>
      <c r="D7915" t="inlineStr">
        <is>
          <t>VÄSTERBOTTENS LÄN</t>
        </is>
      </c>
      <c r="E7915" t="inlineStr">
        <is>
          <t>SORSELE</t>
        </is>
      </c>
      <c r="G7915" t="n">
        <v>158</v>
      </c>
      <c r="H7915" t="n">
        <v>0</v>
      </c>
      <c r="I7915" t="n">
        <v>0</v>
      </c>
      <c r="J7915" t="n">
        <v>0</v>
      </c>
      <c r="K7915" t="n">
        <v>0</v>
      </c>
      <c r="L7915" t="n">
        <v>0</v>
      </c>
      <c r="M7915" t="n">
        <v>0</v>
      </c>
      <c r="N7915" t="n">
        <v>0</v>
      </c>
      <c r="O7915" t="n">
        <v>0</v>
      </c>
      <c r="P7915" t="n">
        <v>0</v>
      </c>
      <c r="Q7915" t="n">
        <v>0</v>
      </c>
      <c r="R7915" s="2" t="inlineStr"/>
    </row>
    <row r="7916" ht="15" customHeight="1">
      <c r="A7916" t="inlineStr">
        <is>
          <t>A 58586-2025</t>
        </is>
      </c>
      <c r="B7916" s="1" t="n">
        <v>45986.39921296296</v>
      </c>
      <c r="C7916" s="1" t="n">
        <v>46075</v>
      </c>
      <c r="D7916" t="inlineStr">
        <is>
          <t>VÄSTERBOTTENS LÄN</t>
        </is>
      </c>
      <c r="E7916" t="inlineStr">
        <is>
          <t>NORSJÖ</t>
        </is>
      </c>
      <c r="F7916" t="inlineStr">
        <is>
          <t>Holmen skog AB</t>
        </is>
      </c>
      <c r="G7916" t="n">
        <v>22.9</v>
      </c>
      <c r="H7916" t="n">
        <v>0</v>
      </c>
      <c r="I7916" t="n">
        <v>0</v>
      </c>
      <c r="J7916" t="n">
        <v>0</v>
      </c>
      <c r="K7916" t="n">
        <v>0</v>
      </c>
      <c r="L7916" t="n">
        <v>0</v>
      </c>
      <c r="M7916" t="n">
        <v>0</v>
      </c>
      <c r="N7916" t="n">
        <v>0</v>
      </c>
      <c r="O7916" t="n">
        <v>0</v>
      </c>
      <c r="P7916" t="n">
        <v>0</v>
      </c>
      <c r="Q7916" t="n">
        <v>0</v>
      </c>
      <c r="R7916" s="2" t="inlineStr"/>
    </row>
    <row r="7917" ht="15" customHeight="1">
      <c r="A7917" t="inlineStr">
        <is>
          <t>A 58621-2025</t>
        </is>
      </c>
      <c r="B7917" s="1" t="n">
        <v>45986.46953703704</v>
      </c>
      <c r="C7917" s="1" t="n">
        <v>46075</v>
      </c>
      <c r="D7917" t="inlineStr">
        <is>
          <t>VÄSTERBOTTENS LÄN</t>
        </is>
      </c>
      <c r="E7917" t="inlineStr">
        <is>
          <t>NORDMALING</t>
        </is>
      </c>
      <c r="G7917" t="n">
        <v>0.5</v>
      </c>
      <c r="H7917" t="n">
        <v>0</v>
      </c>
      <c r="I7917" t="n">
        <v>0</v>
      </c>
      <c r="J7917" t="n">
        <v>0</v>
      </c>
      <c r="K7917" t="n">
        <v>0</v>
      </c>
      <c r="L7917" t="n">
        <v>0</v>
      </c>
      <c r="M7917" t="n">
        <v>0</v>
      </c>
      <c r="N7917" t="n">
        <v>0</v>
      </c>
      <c r="O7917" t="n">
        <v>0</v>
      </c>
      <c r="P7917" t="n">
        <v>0</v>
      </c>
      <c r="Q7917" t="n">
        <v>0</v>
      </c>
      <c r="R7917" s="2" t="inlineStr"/>
    </row>
    <row r="7918" ht="15" customHeight="1">
      <c r="A7918" t="inlineStr">
        <is>
          <t>A 58637-2025</t>
        </is>
      </c>
      <c r="B7918" s="1" t="n">
        <v>45986.49008101852</v>
      </c>
      <c r="C7918" s="1" t="n">
        <v>46075</v>
      </c>
      <c r="D7918" t="inlineStr">
        <is>
          <t>VÄSTERBOTTENS LÄN</t>
        </is>
      </c>
      <c r="E7918" t="inlineStr">
        <is>
          <t>VÄNNÄS</t>
        </is>
      </c>
      <c r="G7918" t="n">
        <v>4.4</v>
      </c>
      <c r="H7918" t="n">
        <v>0</v>
      </c>
      <c r="I7918" t="n">
        <v>0</v>
      </c>
      <c r="J7918" t="n">
        <v>0</v>
      </c>
      <c r="K7918" t="n">
        <v>0</v>
      </c>
      <c r="L7918" t="n">
        <v>0</v>
      </c>
      <c r="M7918" t="n">
        <v>0</v>
      </c>
      <c r="N7918" t="n">
        <v>0</v>
      </c>
      <c r="O7918" t="n">
        <v>0</v>
      </c>
      <c r="P7918" t="n">
        <v>0</v>
      </c>
      <c r="Q7918" t="n">
        <v>0</v>
      </c>
      <c r="R7918" s="2" t="inlineStr"/>
    </row>
    <row r="7919" ht="15" customHeight="1">
      <c r="A7919" t="inlineStr">
        <is>
          <t>A 46841-2024</t>
        </is>
      </c>
      <c r="B7919" s="1" t="n">
        <v>45583</v>
      </c>
      <c r="C7919" s="1" t="n">
        <v>46075</v>
      </c>
      <c r="D7919" t="inlineStr">
        <is>
          <t>VÄSTERBOTTENS LÄN</t>
        </is>
      </c>
      <c r="E7919" t="inlineStr">
        <is>
          <t>SKELLEFTEÅ</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60682-2022</t>
        </is>
      </c>
      <c r="B7920" s="1" t="n">
        <v>44911.94</v>
      </c>
      <c r="C7920" s="1" t="n">
        <v>46075</v>
      </c>
      <c r="D7920" t="inlineStr">
        <is>
          <t>VÄSTERBOTTENS LÄN</t>
        </is>
      </c>
      <c r="E7920" t="inlineStr">
        <is>
          <t>VILHELMINA</t>
        </is>
      </c>
      <c r="F7920" t="inlineStr">
        <is>
          <t>SCA</t>
        </is>
      </c>
      <c r="G7920" t="n">
        <v>2.9</v>
      </c>
      <c r="H7920" t="n">
        <v>0</v>
      </c>
      <c r="I7920" t="n">
        <v>0</v>
      </c>
      <c r="J7920" t="n">
        <v>0</v>
      </c>
      <c r="K7920" t="n">
        <v>0</v>
      </c>
      <c r="L7920" t="n">
        <v>0</v>
      </c>
      <c r="M7920" t="n">
        <v>0</v>
      </c>
      <c r="N7920" t="n">
        <v>0</v>
      </c>
      <c r="O7920" t="n">
        <v>0</v>
      </c>
      <c r="P7920" t="n">
        <v>0</v>
      </c>
      <c r="Q7920" t="n">
        <v>0</v>
      </c>
      <c r="R7920" s="2" t="inlineStr"/>
    </row>
    <row r="7921" ht="15" customHeight="1">
      <c r="A7921" t="inlineStr">
        <is>
          <t>A 60692-2022</t>
        </is>
      </c>
      <c r="B7921" s="1" t="n">
        <v>44911.94085648148</v>
      </c>
      <c r="C7921" s="1" t="n">
        <v>46075</v>
      </c>
      <c r="D7921" t="inlineStr">
        <is>
          <t>VÄSTERBOTTENS LÄN</t>
        </is>
      </c>
      <c r="E7921" t="inlineStr">
        <is>
          <t>BJURHOLM</t>
        </is>
      </c>
      <c r="F7921" t="inlineStr">
        <is>
          <t>SCA</t>
        </is>
      </c>
      <c r="G7921" t="n">
        <v>0.7</v>
      </c>
      <c r="H7921" t="n">
        <v>0</v>
      </c>
      <c r="I7921" t="n">
        <v>0</v>
      </c>
      <c r="J7921" t="n">
        <v>0</v>
      </c>
      <c r="K7921" t="n">
        <v>0</v>
      </c>
      <c r="L7921" t="n">
        <v>0</v>
      </c>
      <c r="M7921" t="n">
        <v>0</v>
      </c>
      <c r="N7921" t="n">
        <v>0</v>
      </c>
      <c r="O7921" t="n">
        <v>0</v>
      </c>
      <c r="P7921" t="n">
        <v>0</v>
      </c>
      <c r="Q7921" t="n">
        <v>0</v>
      </c>
      <c r="R7921" s="2" t="inlineStr"/>
    </row>
    <row r="7922" ht="15" customHeight="1">
      <c r="A7922" t="inlineStr">
        <is>
          <t>A 58976-2025</t>
        </is>
      </c>
      <c r="B7922" s="1" t="n">
        <v>45987.61980324074</v>
      </c>
      <c r="C7922" s="1" t="n">
        <v>46075</v>
      </c>
      <c r="D7922" t="inlineStr">
        <is>
          <t>VÄSTERBOTTENS LÄN</t>
        </is>
      </c>
      <c r="E7922" t="inlineStr">
        <is>
          <t>SKELLEFTEÅ</t>
        </is>
      </c>
      <c r="F7922" t="inlineStr">
        <is>
          <t>Holmen skog AB</t>
        </is>
      </c>
      <c r="G7922" t="n">
        <v>7.8</v>
      </c>
      <c r="H7922" t="n">
        <v>0</v>
      </c>
      <c r="I7922" t="n">
        <v>0</v>
      </c>
      <c r="J7922" t="n">
        <v>0</v>
      </c>
      <c r="K7922" t="n">
        <v>0</v>
      </c>
      <c r="L7922" t="n">
        <v>0</v>
      </c>
      <c r="M7922" t="n">
        <v>0</v>
      </c>
      <c r="N7922" t="n">
        <v>0</v>
      </c>
      <c r="O7922" t="n">
        <v>0</v>
      </c>
      <c r="P7922" t="n">
        <v>0</v>
      </c>
      <c r="Q7922" t="n">
        <v>0</v>
      </c>
      <c r="R7922" s="2" t="inlineStr"/>
    </row>
    <row r="7923" ht="15" customHeight="1">
      <c r="A7923" t="inlineStr">
        <is>
          <t>A 15085-2022</t>
        </is>
      </c>
      <c r="B7923" s="1" t="n">
        <v>44657.93243055556</v>
      </c>
      <c r="C7923" s="1" t="n">
        <v>46075</v>
      </c>
      <c r="D7923" t="inlineStr">
        <is>
          <t>VÄSTERBOTTENS LÄN</t>
        </is>
      </c>
      <c r="E7923" t="inlineStr">
        <is>
          <t>NORSJÖ</t>
        </is>
      </c>
      <c r="F7923" t="inlineStr">
        <is>
          <t>Kyrkan</t>
        </is>
      </c>
      <c r="G7923" t="n">
        <v>4.4</v>
      </c>
      <c r="H7923" t="n">
        <v>0</v>
      </c>
      <c r="I7923" t="n">
        <v>0</v>
      </c>
      <c r="J7923" t="n">
        <v>0</v>
      </c>
      <c r="K7923" t="n">
        <v>0</v>
      </c>
      <c r="L7923" t="n">
        <v>0</v>
      </c>
      <c r="M7923" t="n">
        <v>0</v>
      </c>
      <c r="N7923" t="n">
        <v>0</v>
      </c>
      <c r="O7923" t="n">
        <v>0</v>
      </c>
      <c r="P7923" t="n">
        <v>0</v>
      </c>
      <c r="Q7923" t="n">
        <v>0</v>
      </c>
      <c r="R7923" s="2" t="inlineStr"/>
    </row>
    <row r="7924" ht="15" customHeight="1">
      <c r="A7924" t="inlineStr">
        <is>
          <t>A 15607-2025</t>
        </is>
      </c>
      <c r="B7924" s="1" t="n">
        <v>45747</v>
      </c>
      <c r="C7924" s="1" t="n">
        <v>46075</v>
      </c>
      <c r="D7924" t="inlineStr">
        <is>
          <t>VÄSTERBOTTENS LÄN</t>
        </is>
      </c>
      <c r="E7924" t="inlineStr">
        <is>
          <t>SORSELE</t>
        </is>
      </c>
      <c r="G7924" t="n">
        <v>3.2</v>
      </c>
      <c r="H7924" t="n">
        <v>0</v>
      </c>
      <c r="I7924" t="n">
        <v>0</v>
      </c>
      <c r="J7924" t="n">
        <v>0</v>
      </c>
      <c r="K7924" t="n">
        <v>0</v>
      </c>
      <c r="L7924" t="n">
        <v>0</v>
      </c>
      <c r="M7924" t="n">
        <v>0</v>
      </c>
      <c r="N7924" t="n">
        <v>0</v>
      </c>
      <c r="O7924" t="n">
        <v>0</v>
      </c>
      <c r="P7924" t="n">
        <v>0</v>
      </c>
      <c r="Q7924" t="n">
        <v>0</v>
      </c>
      <c r="R7924" s="2" t="inlineStr"/>
    </row>
    <row r="7925" ht="15" customHeight="1">
      <c r="A7925" t="inlineStr">
        <is>
          <t>A 56078-2025</t>
        </is>
      </c>
      <c r="B7925" s="1" t="n">
        <v>45973</v>
      </c>
      <c r="C7925" s="1" t="n">
        <v>46075</v>
      </c>
      <c r="D7925" t="inlineStr">
        <is>
          <t>VÄSTERBOTTENS LÄN</t>
        </is>
      </c>
      <c r="E7925" t="inlineStr">
        <is>
          <t>MALÅ</t>
        </is>
      </c>
      <c r="G7925" t="n">
        <v>20.2</v>
      </c>
      <c r="H7925" t="n">
        <v>0</v>
      </c>
      <c r="I7925" t="n">
        <v>0</v>
      </c>
      <c r="J7925" t="n">
        <v>0</v>
      </c>
      <c r="K7925" t="n">
        <v>0</v>
      </c>
      <c r="L7925" t="n">
        <v>0</v>
      </c>
      <c r="M7925" t="n">
        <v>0</v>
      </c>
      <c r="N7925" t="n">
        <v>0</v>
      </c>
      <c r="O7925" t="n">
        <v>0</v>
      </c>
      <c r="P7925" t="n">
        <v>0</v>
      </c>
      <c r="Q7925" t="n">
        <v>0</v>
      </c>
      <c r="R7925" s="2" t="inlineStr"/>
    </row>
    <row r="7926" ht="15" customHeight="1">
      <c r="A7926" t="inlineStr">
        <is>
          <t>A 58600-2025</t>
        </is>
      </c>
      <c r="B7926" s="1" t="n">
        <v>45986.42753472222</v>
      </c>
      <c r="C7926" s="1" t="n">
        <v>46075</v>
      </c>
      <c r="D7926" t="inlineStr">
        <is>
          <t>VÄSTERBOTTENS LÄN</t>
        </is>
      </c>
      <c r="E7926" t="inlineStr">
        <is>
          <t>DOROTEA</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58610-2025</t>
        </is>
      </c>
      <c r="B7927" s="1" t="n">
        <v>45986.45059027777</v>
      </c>
      <c r="C7927" s="1" t="n">
        <v>46075</v>
      </c>
      <c r="D7927" t="inlineStr">
        <is>
          <t>VÄSTERBOTTENS LÄN</t>
        </is>
      </c>
      <c r="E7927" t="inlineStr">
        <is>
          <t>LYCKSELE</t>
        </is>
      </c>
      <c r="F7927" t="inlineStr">
        <is>
          <t>Sveaskog</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36308-2025</t>
        </is>
      </c>
      <c r="B7928" s="1" t="n">
        <v>45868</v>
      </c>
      <c r="C7928" s="1" t="n">
        <v>46075</v>
      </c>
      <c r="D7928" t="inlineStr">
        <is>
          <t>VÄSTERBOTTENS LÄN</t>
        </is>
      </c>
      <c r="E7928" t="inlineStr">
        <is>
          <t>STORUMAN</t>
        </is>
      </c>
      <c r="G7928" t="n">
        <v>25.3</v>
      </c>
      <c r="H7928" t="n">
        <v>0</v>
      </c>
      <c r="I7928" t="n">
        <v>0</v>
      </c>
      <c r="J7928" t="n">
        <v>0</v>
      </c>
      <c r="K7928" t="n">
        <v>0</v>
      </c>
      <c r="L7928" t="n">
        <v>0</v>
      </c>
      <c r="M7928" t="n">
        <v>0</v>
      </c>
      <c r="N7928" t="n">
        <v>0</v>
      </c>
      <c r="O7928" t="n">
        <v>0</v>
      </c>
      <c r="P7928" t="n">
        <v>0</v>
      </c>
      <c r="Q7928" t="n">
        <v>0</v>
      </c>
      <c r="R7928" s="2" t="inlineStr"/>
    </row>
    <row r="7929" ht="15" customHeight="1">
      <c r="A7929" t="inlineStr">
        <is>
          <t>A 52521-2024</t>
        </is>
      </c>
      <c r="B7929" s="1" t="n">
        <v>45609.60005787037</v>
      </c>
      <c r="C7929" s="1" t="n">
        <v>46075</v>
      </c>
      <c r="D7929" t="inlineStr">
        <is>
          <t>VÄSTERBOTTENS LÄN</t>
        </is>
      </c>
      <c r="E7929" t="inlineStr">
        <is>
          <t>STORUMAN</t>
        </is>
      </c>
      <c r="F7929" t="inlineStr">
        <is>
          <t>Sveaskog</t>
        </is>
      </c>
      <c r="G7929" t="n">
        <v>4.3</v>
      </c>
      <c r="H7929" t="n">
        <v>0</v>
      </c>
      <c r="I7929" t="n">
        <v>0</v>
      </c>
      <c r="J7929" t="n">
        <v>0</v>
      </c>
      <c r="K7929" t="n">
        <v>0</v>
      </c>
      <c r="L7929" t="n">
        <v>0</v>
      </c>
      <c r="M7929" t="n">
        <v>0</v>
      </c>
      <c r="N7929" t="n">
        <v>0</v>
      </c>
      <c r="O7929" t="n">
        <v>0</v>
      </c>
      <c r="P7929" t="n">
        <v>0</v>
      </c>
      <c r="Q7929" t="n">
        <v>0</v>
      </c>
      <c r="R7929" s="2" t="inlineStr"/>
    </row>
    <row r="7930" ht="15" customHeight="1">
      <c r="A7930" t="inlineStr">
        <is>
          <t>A 52568-2024</t>
        </is>
      </c>
      <c r="B7930" s="1" t="n">
        <v>45609.66168981481</v>
      </c>
      <c r="C7930" s="1" t="n">
        <v>46075</v>
      </c>
      <c r="D7930" t="inlineStr">
        <is>
          <t>VÄSTERBOTTENS LÄN</t>
        </is>
      </c>
      <c r="E7930" t="inlineStr">
        <is>
          <t>NORSJÖ</t>
        </is>
      </c>
      <c r="G7930" t="n">
        <v>4</v>
      </c>
      <c r="H7930" t="n">
        <v>0</v>
      </c>
      <c r="I7930" t="n">
        <v>0</v>
      </c>
      <c r="J7930" t="n">
        <v>0</v>
      </c>
      <c r="K7930" t="n">
        <v>0</v>
      </c>
      <c r="L7930" t="n">
        <v>0</v>
      </c>
      <c r="M7930" t="n">
        <v>0</v>
      </c>
      <c r="N7930" t="n">
        <v>0</v>
      </c>
      <c r="O7930" t="n">
        <v>0</v>
      </c>
      <c r="P7930" t="n">
        <v>0</v>
      </c>
      <c r="Q7930" t="n">
        <v>0</v>
      </c>
      <c r="R7930" s="2" t="inlineStr"/>
    </row>
    <row r="7931" ht="15" customHeight="1">
      <c r="A7931" t="inlineStr">
        <is>
          <t>A 58620-2025</t>
        </is>
      </c>
      <c r="B7931" s="1" t="n">
        <v>45986.46951388889</v>
      </c>
      <c r="C7931" s="1" t="n">
        <v>46075</v>
      </c>
      <c r="D7931" t="inlineStr">
        <is>
          <t>VÄSTERBOTTENS LÄN</t>
        </is>
      </c>
      <c r="E7931" t="inlineStr">
        <is>
          <t>NORDMALING</t>
        </is>
      </c>
      <c r="G7931" t="n">
        <v>5.1</v>
      </c>
      <c r="H7931" t="n">
        <v>0</v>
      </c>
      <c r="I7931" t="n">
        <v>0</v>
      </c>
      <c r="J7931" t="n">
        <v>0</v>
      </c>
      <c r="K7931" t="n">
        <v>0</v>
      </c>
      <c r="L7931" t="n">
        <v>0</v>
      </c>
      <c r="M7931" t="n">
        <v>0</v>
      </c>
      <c r="N7931" t="n">
        <v>0</v>
      </c>
      <c r="O7931" t="n">
        <v>0</v>
      </c>
      <c r="P7931" t="n">
        <v>0</v>
      </c>
      <c r="Q7931" t="n">
        <v>0</v>
      </c>
      <c r="R7931" s="2" t="inlineStr"/>
    </row>
    <row r="7932" ht="15" customHeight="1">
      <c r="A7932" t="inlineStr">
        <is>
          <t>A 58724-2025</t>
        </is>
      </c>
      <c r="B7932" s="1" t="n">
        <v>45986.61917824074</v>
      </c>
      <c r="C7932" s="1" t="n">
        <v>46075</v>
      </c>
      <c r="D7932" t="inlineStr">
        <is>
          <t>VÄSTERBOTTENS LÄN</t>
        </is>
      </c>
      <c r="E7932" t="inlineStr">
        <is>
          <t>BJURHOLM</t>
        </is>
      </c>
      <c r="G7932" t="n">
        <v>4.4</v>
      </c>
      <c r="H7932" t="n">
        <v>0</v>
      </c>
      <c r="I7932" t="n">
        <v>0</v>
      </c>
      <c r="J7932" t="n">
        <v>0</v>
      </c>
      <c r="K7932" t="n">
        <v>0</v>
      </c>
      <c r="L7932" t="n">
        <v>0</v>
      </c>
      <c r="M7932" t="n">
        <v>0</v>
      </c>
      <c r="N7932" t="n">
        <v>0</v>
      </c>
      <c r="O7932" t="n">
        <v>0</v>
      </c>
      <c r="P7932" t="n">
        <v>0</v>
      </c>
      <c r="Q7932" t="n">
        <v>0</v>
      </c>
      <c r="R7932" s="2" t="inlineStr"/>
    </row>
    <row r="7933" ht="15" customHeight="1">
      <c r="A7933" t="inlineStr">
        <is>
          <t>A 15059-2025</t>
        </is>
      </c>
      <c r="B7933" s="1" t="n">
        <v>45743</v>
      </c>
      <c r="C7933" s="1" t="n">
        <v>46075</v>
      </c>
      <c r="D7933" t="inlineStr">
        <is>
          <t>VÄSTERBOTTENS LÄN</t>
        </is>
      </c>
      <c r="E7933" t="inlineStr">
        <is>
          <t>ÅSELE</t>
        </is>
      </c>
      <c r="F7933" t="inlineStr">
        <is>
          <t>Holmen skog AB</t>
        </is>
      </c>
      <c r="G7933" t="n">
        <v>13.7</v>
      </c>
      <c r="H7933" t="n">
        <v>0</v>
      </c>
      <c r="I7933" t="n">
        <v>0</v>
      </c>
      <c r="J7933" t="n">
        <v>0</v>
      </c>
      <c r="K7933" t="n">
        <v>0</v>
      </c>
      <c r="L7933" t="n">
        <v>0</v>
      </c>
      <c r="M7933" t="n">
        <v>0</v>
      </c>
      <c r="N7933" t="n">
        <v>0</v>
      </c>
      <c r="O7933" t="n">
        <v>0</v>
      </c>
      <c r="P7933" t="n">
        <v>0</v>
      </c>
      <c r="Q7933" t="n">
        <v>0</v>
      </c>
      <c r="R7933" s="2" t="inlineStr"/>
    </row>
    <row r="7934" ht="15" customHeight="1">
      <c r="A7934" t="inlineStr">
        <is>
          <t>A 58893-2025</t>
        </is>
      </c>
      <c r="B7934" s="1" t="n">
        <v>45987.49075231481</v>
      </c>
      <c r="C7934" s="1" t="n">
        <v>46075</v>
      </c>
      <c r="D7934" t="inlineStr">
        <is>
          <t>VÄSTERBOTTENS LÄN</t>
        </is>
      </c>
      <c r="E7934" t="inlineStr">
        <is>
          <t>MALÅ</t>
        </is>
      </c>
      <c r="G7934" t="n">
        <v>19.2</v>
      </c>
      <c r="H7934" t="n">
        <v>0</v>
      </c>
      <c r="I7934" t="n">
        <v>0</v>
      </c>
      <c r="J7934" t="n">
        <v>0</v>
      </c>
      <c r="K7934" t="n">
        <v>0</v>
      </c>
      <c r="L7934" t="n">
        <v>0</v>
      </c>
      <c r="M7934" t="n">
        <v>0</v>
      </c>
      <c r="N7934" t="n">
        <v>0</v>
      </c>
      <c r="O7934" t="n">
        <v>0</v>
      </c>
      <c r="P7934" t="n">
        <v>0</v>
      </c>
      <c r="Q7934" t="n">
        <v>0</v>
      </c>
      <c r="R7934" s="2" t="inlineStr"/>
    </row>
    <row r="7935" ht="15" customHeight="1">
      <c r="A7935" t="inlineStr">
        <is>
          <t>A 30899-2024</t>
        </is>
      </c>
      <c r="B7935" s="1" t="n">
        <v>45498.47368055556</v>
      </c>
      <c r="C7935" s="1" t="n">
        <v>46075</v>
      </c>
      <c r="D7935" t="inlineStr">
        <is>
          <t>VÄSTERBOTTENS LÄN</t>
        </is>
      </c>
      <c r="E7935" t="inlineStr">
        <is>
          <t>LYCKSELE</t>
        </is>
      </c>
      <c r="G7935" t="n">
        <v>14.4</v>
      </c>
      <c r="H7935" t="n">
        <v>0</v>
      </c>
      <c r="I7935" t="n">
        <v>0</v>
      </c>
      <c r="J7935" t="n">
        <v>0</v>
      </c>
      <c r="K7935" t="n">
        <v>0</v>
      </c>
      <c r="L7935" t="n">
        <v>0</v>
      </c>
      <c r="M7935" t="n">
        <v>0</v>
      </c>
      <c r="N7935" t="n">
        <v>0</v>
      </c>
      <c r="O7935" t="n">
        <v>0</v>
      </c>
      <c r="P7935" t="n">
        <v>0</v>
      </c>
      <c r="Q7935" t="n">
        <v>0</v>
      </c>
      <c r="R7935" s="2" t="inlineStr"/>
    </row>
    <row r="7936" ht="15" customHeight="1">
      <c r="A7936" t="inlineStr">
        <is>
          <t>A 30901-2024</t>
        </is>
      </c>
      <c r="B7936" s="1" t="n">
        <v>45498</v>
      </c>
      <c r="C7936" s="1" t="n">
        <v>46075</v>
      </c>
      <c r="D7936" t="inlineStr">
        <is>
          <t>VÄSTERBOTTENS LÄN</t>
        </is>
      </c>
      <c r="E7936" t="inlineStr">
        <is>
          <t>SKELLEFTEÅ</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58862-2025</t>
        </is>
      </c>
      <c r="B7937" s="1" t="n">
        <v>45987.43667824074</v>
      </c>
      <c r="C7937" s="1" t="n">
        <v>46075</v>
      </c>
      <c r="D7937" t="inlineStr">
        <is>
          <t>VÄSTERBOTTENS LÄN</t>
        </is>
      </c>
      <c r="E7937" t="inlineStr">
        <is>
          <t>SKELLEFTEÅ</t>
        </is>
      </c>
      <c r="F7937" t="inlineStr">
        <is>
          <t>Holmen skog AB</t>
        </is>
      </c>
      <c r="G7937" t="n">
        <v>16.8</v>
      </c>
      <c r="H7937" t="n">
        <v>0</v>
      </c>
      <c r="I7937" t="n">
        <v>0</v>
      </c>
      <c r="J7937" t="n">
        <v>0</v>
      </c>
      <c r="K7937" t="n">
        <v>0</v>
      </c>
      <c r="L7937" t="n">
        <v>0</v>
      </c>
      <c r="M7937" t="n">
        <v>0</v>
      </c>
      <c r="N7937" t="n">
        <v>0</v>
      </c>
      <c r="O7937" t="n">
        <v>0</v>
      </c>
      <c r="P7937" t="n">
        <v>0</v>
      </c>
      <c r="Q7937" t="n">
        <v>0</v>
      </c>
      <c r="R7937" s="2" t="inlineStr"/>
    </row>
    <row r="7938" ht="15" customHeight="1">
      <c r="A7938" t="inlineStr">
        <is>
          <t>A 58894-2025</t>
        </is>
      </c>
      <c r="B7938" s="1" t="n">
        <v>45987.49078703704</v>
      </c>
      <c r="C7938" s="1" t="n">
        <v>46075</v>
      </c>
      <c r="D7938" t="inlineStr">
        <is>
          <t>VÄSTERBOTTENS LÄN</t>
        </is>
      </c>
      <c r="E7938" t="inlineStr">
        <is>
          <t>MALÅ</t>
        </is>
      </c>
      <c r="G7938" t="n">
        <v>1.7</v>
      </c>
      <c r="H7938" t="n">
        <v>0</v>
      </c>
      <c r="I7938" t="n">
        <v>0</v>
      </c>
      <c r="J7938" t="n">
        <v>0</v>
      </c>
      <c r="K7938" t="n">
        <v>0</v>
      </c>
      <c r="L7938" t="n">
        <v>0</v>
      </c>
      <c r="M7938" t="n">
        <v>0</v>
      </c>
      <c r="N7938" t="n">
        <v>0</v>
      </c>
      <c r="O7938" t="n">
        <v>0</v>
      </c>
      <c r="P7938" t="n">
        <v>0</v>
      </c>
      <c r="Q7938" t="n">
        <v>0</v>
      </c>
      <c r="R7938" s="2" t="inlineStr"/>
    </row>
    <row r="7939" ht="15" customHeight="1">
      <c r="A7939" t="inlineStr">
        <is>
          <t>A 21109-2023</t>
        </is>
      </c>
      <c r="B7939" s="1" t="n">
        <v>45061.94275462963</v>
      </c>
      <c r="C7939" s="1" t="n">
        <v>46075</v>
      </c>
      <c r="D7939" t="inlineStr">
        <is>
          <t>VÄSTERBOTTENS LÄN</t>
        </is>
      </c>
      <c r="E7939" t="inlineStr">
        <is>
          <t>LYCKSELE</t>
        </is>
      </c>
      <c r="F7939" t="inlineStr">
        <is>
          <t>SCA</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58566-2025</t>
        </is>
      </c>
      <c r="B7940" s="1" t="n">
        <v>45986.36526620371</v>
      </c>
      <c r="C7940" s="1" t="n">
        <v>46075</v>
      </c>
      <c r="D7940" t="inlineStr">
        <is>
          <t>VÄSTERBOTTENS LÄN</t>
        </is>
      </c>
      <c r="E7940" t="inlineStr">
        <is>
          <t>SKELLEFTEÅ</t>
        </is>
      </c>
      <c r="G7940" t="n">
        <v>2.8</v>
      </c>
      <c r="H7940" t="n">
        <v>0</v>
      </c>
      <c r="I7940" t="n">
        <v>0</v>
      </c>
      <c r="J7940" t="n">
        <v>0</v>
      </c>
      <c r="K7940" t="n">
        <v>0</v>
      </c>
      <c r="L7940" t="n">
        <v>0</v>
      </c>
      <c r="M7940" t="n">
        <v>0</v>
      </c>
      <c r="N7940" t="n">
        <v>0</v>
      </c>
      <c r="O7940" t="n">
        <v>0</v>
      </c>
      <c r="P7940" t="n">
        <v>0</v>
      </c>
      <c r="Q7940" t="n">
        <v>0</v>
      </c>
      <c r="R7940" s="2" t="inlineStr"/>
    </row>
    <row r="7941" ht="15" customHeight="1">
      <c r="A7941" t="inlineStr">
        <is>
          <t>A 58548-2025</t>
        </is>
      </c>
      <c r="B7941" s="1" t="n">
        <v>45986.32143518519</v>
      </c>
      <c r="C7941" s="1" t="n">
        <v>46075</v>
      </c>
      <c r="D7941" t="inlineStr">
        <is>
          <t>VÄSTERBOTTENS LÄN</t>
        </is>
      </c>
      <c r="E7941" t="inlineStr">
        <is>
          <t>SORSELE</t>
        </is>
      </c>
      <c r="F7941" t="inlineStr">
        <is>
          <t>Sveaskog</t>
        </is>
      </c>
      <c r="G7941" t="n">
        <v>1.4</v>
      </c>
      <c r="H7941" t="n">
        <v>0</v>
      </c>
      <c r="I7941" t="n">
        <v>0</v>
      </c>
      <c r="J7941" t="n">
        <v>0</v>
      </c>
      <c r="K7941" t="n">
        <v>0</v>
      </c>
      <c r="L7941" t="n">
        <v>0</v>
      </c>
      <c r="M7941" t="n">
        <v>0</v>
      </c>
      <c r="N7941" t="n">
        <v>0</v>
      </c>
      <c r="O7941" t="n">
        <v>0</v>
      </c>
      <c r="P7941" t="n">
        <v>0</v>
      </c>
      <c r="Q7941" t="n">
        <v>0</v>
      </c>
      <c r="R7941" s="2" t="inlineStr"/>
    </row>
    <row r="7942" ht="15" customHeight="1">
      <c r="A7942" t="inlineStr">
        <is>
          <t>A 60092-2021</t>
        </is>
      </c>
      <c r="B7942" s="1" t="n">
        <v>44494</v>
      </c>
      <c r="C7942" s="1" t="n">
        <v>46075</v>
      </c>
      <c r="D7942" t="inlineStr">
        <is>
          <t>VÄSTERBOTTENS LÄN</t>
        </is>
      </c>
      <c r="E7942" t="inlineStr">
        <is>
          <t>VINDELN</t>
        </is>
      </c>
      <c r="G7942" t="n">
        <v>0.5</v>
      </c>
      <c r="H7942" t="n">
        <v>0</v>
      </c>
      <c r="I7942" t="n">
        <v>0</v>
      </c>
      <c r="J7942" t="n">
        <v>0</v>
      </c>
      <c r="K7942" t="n">
        <v>0</v>
      </c>
      <c r="L7942" t="n">
        <v>0</v>
      </c>
      <c r="M7942" t="n">
        <v>0</v>
      </c>
      <c r="N7942" t="n">
        <v>0</v>
      </c>
      <c r="O7942" t="n">
        <v>0</v>
      </c>
      <c r="P7942" t="n">
        <v>0</v>
      </c>
      <c r="Q7942" t="n">
        <v>0</v>
      </c>
      <c r="R7942" s="2" t="inlineStr"/>
    </row>
    <row r="7943" ht="15" customHeight="1">
      <c r="A7943" t="inlineStr">
        <is>
          <t>A 58569-2025</t>
        </is>
      </c>
      <c r="B7943" s="1" t="n">
        <v>45986.37128472222</v>
      </c>
      <c r="C7943" s="1" t="n">
        <v>46075</v>
      </c>
      <c r="D7943" t="inlineStr">
        <is>
          <t>VÄSTERBOTTENS LÄN</t>
        </is>
      </c>
      <c r="E7943" t="inlineStr">
        <is>
          <t>BJURHOLM</t>
        </is>
      </c>
      <c r="G7943" t="n">
        <v>2.5</v>
      </c>
      <c r="H7943" t="n">
        <v>0</v>
      </c>
      <c r="I7943" t="n">
        <v>0</v>
      </c>
      <c r="J7943" t="n">
        <v>0</v>
      </c>
      <c r="K7943" t="n">
        <v>0</v>
      </c>
      <c r="L7943" t="n">
        <v>0</v>
      </c>
      <c r="M7943" t="n">
        <v>0</v>
      </c>
      <c r="N7943" t="n">
        <v>0</v>
      </c>
      <c r="O7943" t="n">
        <v>0</v>
      </c>
      <c r="P7943" t="n">
        <v>0</v>
      </c>
      <c r="Q7943" t="n">
        <v>0</v>
      </c>
      <c r="R7943" s="2" t="inlineStr"/>
    </row>
    <row r="7944" ht="15" customHeight="1">
      <c r="A7944" t="inlineStr">
        <is>
          <t>A 23536-2024</t>
        </is>
      </c>
      <c r="B7944" s="1" t="n">
        <v>45453.95199074074</v>
      </c>
      <c r="C7944" s="1" t="n">
        <v>46075</v>
      </c>
      <c r="D7944" t="inlineStr">
        <is>
          <t>VÄSTERBOTTENS LÄN</t>
        </is>
      </c>
      <c r="E7944" t="inlineStr">
        <is>
          <t>VILHELMINA</t>
        </is>
      </c>
      <c r="F7944" t="inlineStr">
        <is>
          <t>SCA</t>
        </is>
      </c>
      <c r="G7944" t="n">
        <v>1.6</v>
      </c>
      <c r="H7944" t="n">
        <v>0</v>
      </c>
      <c r="I7944" t="n">
        <v>0</v>
      </c>
      <c r="J7944" t="n">
        <v>0</v>
      </c>
      <c r="K7944" t="n">
        <v>0</v>
      </c>
      <c r="L7944" t="n">
        <v>0</v>
      </c>
      <c r="M7944" t="n">
        <v>0</v>
      </c>
      <c r="N7944" t="n">
        <v>0</v>
      </c>
      <c r="O7944" t="n">
        <v>0</v>
      </c>
      <c r="P7944" t="n">
        <v>0</v>
      </c>
      <c r="Q7944" t="n">
        <v>0</v>
      </c>
      <c r="R7944" s="2" t="inlineStr"/>
    </row>
    <row r="7945" ht="15" customHeight="1">
      <c r="A7945" t="inlineStr">
        <is>
          <t>A 39973-2021</t>
        </is>
      </c>
      <c r="B7945" s="1" t="n">
        <v>44417</v>
      </c>
      <c r="C7945" s="1" t="n">
        <v>46075</v>
      </c>
      <c r="D7945" t="inlineStr">
        <is>
          <t>VÄSTERBOTTENS LÄN</t>
        </is>
      </c>
      <c r="E7945" t="inlineStr">
        <is>
          <t>STORUMAN</t>
        </is>
      </c>
      <c r="G7945" t="n">
        <v>34.6</v>
      </c>
      <c r="H7945" t="n">
        <v>0</v>
      </c>
      <c r="I7945" t="n">
        <v>0</v>
      </c>
      <c r="J7945" t="n">
        <v>0</v>
      </c>
      <c r="K7945" t="n">
        <v>0</v>
      </c>
      <c r="L7945" t="n">
        <v>0</v>
      </c>
      <c r="M7945" t="n">
        <v>0</v>
      </c>
      <c r="N7945" t="n">
        <v>0</v>
      </c>
      <c r="O7945" t="n">
        <v>0</v>
      </c>
      <c r="P7945" t="n">
        <v>0</v>
      </c>
      <c r="Q7945" t="n">
        <v>0</v>
      </c>
      <c r="R7945" s="2" t="inlineStr"/>
    </row>
    <row r="7946" ht="15" customHeight="1">
      <c r="A7946" t="inlineStr">
        <is>
          <t>A 58584-2025</t>
        </is>
      </c>
      <c r="B7946" s="1" t="n">
        <v>45986.39486111111</v>
      </c>
      <c r="C7946" s="1" t="n">
        <v>46075</v>
      </c>
      <c r="D7946" t="inlineStr">
        <is>
          <t>VÄSTERBOTTENS LÄN</t>
        </is>
      </c>
      <c r="E7946" t="inlineStr">
        <is>
          <t>VÄNNÄS</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58572-2025</t>
        </is>
      </c>
      <c r="B7947" s="1" t="n">
        <v>45986.37571759259</v>
      </c>
      <c r="C7947" s="1" t="n">
        <v>46075</v>
      </c>
      <c r="D7947" t="inlineStr">
        <is>
          <t>VÄSTERBOTTENS LÄN</t>
        </is>
      </c>
      <c r="E7947" t="inlineStr">
        <is>
          <t>SKELLEFTEÅ</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12857-2024</t>
        </is>
      </c>
      <c r="B7948" s="1" t="n">
        <v>45384</v>
      </c>
      <c r="C7948" s="1" t="n">
        <v>46075</v>
      </c>
      <c r="D7948" t="inlineStr">
        <is>
          <t>VÄSTERBOTTENS LÄN</t>
        </is>
      </c>
      <c r="E7948" t="inlineStr">
        <is>
          <t>MALÅ</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58608-2025</t>
        </is>
      </c>
      <c r="B7949" s="1" t="n">
        <v>45986.44831018519</v>
      </c>
      <c r="C7949" s="1" t="n">
        <v>46075</v>
      </c>
      <c r="D7949" t="inlineStr">
        <is>
          <t>VÄSTERBOTTENS LÄN</t>
        </is>
      </c>
      <c r="E7949" t="inlineStr">
        <is>
          <t>UMEÅ</t>
        </is>
      </c>
      <c r="G7949" t="n">
        <v>2.5</v>
      </c>
      <c r="H7949" t="n">
        <v>0</v>
      </c>
      <c r="I7949" t="n">
        <v>0</v>
      </c>
      <c r="J7949" t="n">
        <v>0</v>
      </c>
      <c r="K7949" t="n">
        <v>0</v>
      </c>
      <c r="L7949" t="n">
        <v>0</v>
      </c>
      <c r="M7949" t="n">
        <v>0</v>
      </c>
      <c r="N7949" t="n">
        <v>0</v>
      </c>
      <c r="O7949" t="n">
        <v>0</v>
      </c>
      <c r="P7949" t="n">
        <v>0</v>
      </c>
      <c r="Q7949" t="n">
        <v>0</v>
      </c>
      <c r="R7949" s="2" t="inlineStr"/>
    </row>
    <row r="7950" ht="15" customHeight="1">
      <c r="A7950" t="inlineStr">
        <is>
          <t>A 24234-2021</t>
        </is>
      </c>
      <c r="B7950" s="1" t="n">
        <v>44336.9184375</v>
      </c>
      <c r="C7950" s="1" t="n">
        <v>46075</v>
      </c>
      <c r="D7950" t="inlineStr">
        <is>
          <t>VÄSTERBOTTENS LÄN</t>
        </is>
      </c>
      <c r="E7950" t="inlineStr">
        <is>
          <t>NORDMALING</t>
        </is>
      </c>
      <c r="G7950" t="n">
        <v>4.2</v>
      </c>
      <c r="H7950" t="n">
        <v>0</v>
      </c>
      <c r="I7950" t="n">
        <v>0</v>
      </c>
      <c r="J7950" t="n">
        <v>0</v>
      </c>
      <c r="K7950" t="n">
        <v>0</v>
      </c>
      <c r="L7950" t="n">
        <v>0</v>
      </c>
      <c r="M7950" t="n">
        <v>0</v>
      </c>
      <c r="N7950" t="n">
        <v>0</v>
      </c>
      <c r="O7950" t="n">
        <v>0</v>
      </c>
      <c r="P7950" t="n">
        <v>0</v>
      </c>
      <c r="Q7950" t="n">
        <v>0</v>
      </c>
      <c r="R7950" s="2" t="inlineStr"/>
    </row>
    <row r="7951" ht="15" customHeight="1">
      <c r="A7951" t="inlineStr">
        <is>
          <t>A 18907-2023</t>
        </is>
      </c>
      <c r="B7951" s="1" t="n">
        <v>45043</v>
      </c>
      <c r="C7951" s="1" t="n">
        <v>46075</v>
      </c>
      <c r="D7951" t="inlineStr">
        <is>
          <t>VÄSTERBOTTENS LÄN</t>
        </is>
      </c>
      <c r="E7951" t="inlineStr">
        <is>
          <t>UMEÅ</t>
        </is>
      </c>
      <c r="G7951" t="n">
        <v>4.6</v>
      </c>
      <c r="H7951" t="n">
        <v>0</v>
      </c>
      <c r="I7951" t="n">
        <v>0</v>
      </c>
      <c r="J7951" t="n">
        <v>0</v>
      </c>
      <c r="K7951" t="n">
        <v>0</v>
      </c>
      <c r="L7951" t="n">
        <v>0</v>
      </c>
      <c r="M7951" t="n">
        <v>0</v>
      </c>
      <c r="N7951" t="n">
        <v>0</v>
      </c>
      <c r="O7951" t="n">
        <v>0</v>
      </c>
      <c r="P7951" t="n">
        <v>0</v>
      </c>
      <c r="Q7951" t="n">
        <v>0</v>
      </c>
      <c r="R7951" s="2" t="inlineStr"/>
    </row>
    <row r="7952" ht="15" customHeight="1">
      <c r="A7952" t="inlineStr">
        <is>
          <t>A 26288-2024</t>
        </is>
      </c>
      <c r="B7952" s="1" t="n">
        <v>45468</v>
      </c>
      <c r="C7952" s="1" t="n">
        <v>46075</v>
      </c>
      <c r="D7952" t="inlineStr">
        <is>
          <t>VÄSTERBOTTENS LÄN</t>
        </is>
      </c>
      <c r="E7952" t="inlineStr">
        <is>
          <t>MALÅ</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58880-2025</t>
        </is>
      </c>
      <c r="B7953" s="1" t="n">
        <v>45987.47384259259</v>
      </c>
      <c r="C7953" s="1" t="n">
        <v>46075</v>
      </c>
      <c r="D7953" t="inlineStr">
        <is>
          <t>VÄSTERBOTTENS LÄN</t>
        </is>
      </c>
      <c r="E7953" t="inlineStr">
        <is>
          <t>SKELLEFTEÅ</t>
        </is>
      </c>
      <c r="G7953" t="n">
        <v>5.5</v>
      </c>
      <c r="H7953" t="n">
        <v>0</v>
      </c>
      <c r="I7953" t="n">
        <v>0</v>
      </c>
      <c r="J7953" t="n">
        <v>0</v>
      </c>
      <c r="K7953" t="n">
        <v>0</v>
      </c>
      <c r="L7953" t="n">
        <v>0</v>
      </c>
      <c r="M7953" t="n">
        <v>0</v>
      </c>
      <c r="N7953" t="n">
        <v>0</v>
      </c>
      <c r="O7953" t="n">
        <v>0</v>
      </c>
      <c r="P7953" t="n">
        <v>0</v>
      </c>
      <c r="Q7953" t="n">
        <v>0</v>
      </c>
      <c r="R7953" s="2" t="inlineStr"/>
    </row>
    <row r="7954" ht="15" customHeight="1">
      <c r="A7954" t="inlineStr">
        <is>
          <t>A 58704-2025</t>
        </is>
      </c>
      <c r="B7954" s="1" t="n">
        <v>45986.598125</v>
      </c>
      <c r="C7954" s="1" t="n">
        <v>46075</v>
      </c>
      <c r="D7954" t="inlineStr">
        <is>
          <t>VÄSTERBOTTENS LÄN</t>
        </is>
      </c>
      <c r="E7954" t="inlineStr">
        <is>
          <t>ÅSELE</t>
        </is>
      </c>
      <c r="F7954" t="inlineStr">
        <is>
          <t>Holmen skog AB</t>
        </is>
      </c>
      <c r="G7954" t="n">
        <v>2.4</v>
      </c>
      <c r="H7954" t="n">
        <v>0</v>
      </c>
      <c r="I7954" t="n">
        <v>0</v>
      </c>
      <c r="J7954" t="n">
        <v>0</v>
      </c>
      <c r="K7954" t="n">
        <v>0</v>
      </c>
      <c r="L7954" t="n">
        <v>0</v>
      </c>
      <c r="M7954" t="n">
        <v>0</v>
      </c>
      <c r="N7954" t="n">
        <v>0</v>
      </c>
      <c r="O7954" t="n">
        <v>0</v>
      </c>
      <c r="P7954" t="n">
        <v>0</v>
      </c>
      <c r="Q7954" t="n">
        <v>0</v>
      </c>
      <c r="R7954" s="2" t="inlineStr"/>
    </row>
    <row r="7955" ht="15" customHeight="1">
      <c r="A7955" t="inlineStr">
        <is>
          <t>A 58803-2025</t>
        </is>
      </c>
      <c r="B7955" s="1" t="n">
        <v>45986.88215277778</v>
      </c>
      <c r="C7955" s="1" t="n">
        <v>46075</v>
      </c>
      <c r="D7955" t="inlineStr">
        <is>
          <t>VÄSTERBOTTENS LÄN</t>
        </is>
      </c>
      <c r="E7955" t="inlineStr">
        <is>
          <t>SKELLEFTEÅ</t>
        </is>
      </c>
      <c r="F7955" t="inlineStr">
        <is>
          <t>Sveaskog</t>
        </is>
      </c>
      <c r="G7955" t="n">
        <v>19.4</v>
      </c>
      <c r="H7955" t="n">
        <v>0</v>
      </c>
      <c r="I7955" t="n">
        <v>0</v>
      </c>
      <c r="J7955" t="n">
        <v>0</v>
      </c>
      <c r="K7955" t="n">
        <v>0</v>
      </c>
      <c r="L7955" t="n">
        <v>0</v>
      </c>
      <c r="M7955" t="n">
        <v>0</v>
      </c>
      <c r="N7955" t="n">
        <v>0</v>
      </c>
      <c r="O7955" t="n">
        <v>0</v>
      </c>
      <c r="P7955" t="n">
        <v>0</v>
      </c>
      <c r="Q7955" t="n">
        <v>0</v>
      </c>
      <c r="R7955" s="2" t="inlineStr"/>
    </row>
    <row r="7956" ht="15" customHeight="1">
      <c r="A7956" t="inlineStr">
        <is>
          <t>A 55420-2023</t>
        </is>
      </c>
      <c r="B7956" s="1" t="n">
        <v>45231</v>
      </c>
      <c r="C7956" s="1" t="n">
        <v>46075</v>
      </c>
      <c r="D7956" t="inlineStr">
        <is>
          <t>VÄSTERBOTTENS LÄN</t>
        </is>
      </c>
      <c r="E7956" t="inlineStr">
        <is>
          <t>SKELLEFTEÅ</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31273-2024</t>
        </is>
      </c>
      <c r="B7957" s="1" t="n">
        <v>45504</v>
      </c>
      <c r="C7957" s="1" t="n">
        <v>46075</v>
      </c>
      <c r="D7957" t="inlineStr">
        <is>
          <t>VÄSTERBOTTENS LÄN</t>
        </is>
      </c>
      <c r="E7957" t="inlineStr">
        <is>
          <t>MALÅ</t>
        </is>
      </c>
      <c r="G7957" t="n">
        <v>9.800000000000001</v>
      </c>
      <c r="H7957" t="n">
        <v>0</v>
      </c>
      <c r="I7957" t="n">
        <v>0</v>
      </c>
      <c r="J7957" t="n">
        <v>0</v>
      </c>
      <c r="K7957" t="n">
        <v>0</v>
      </c>
      <c r="L7957" t="n">
        <v>0</v>
      </c>
      <c r="M7957" t="n">
        <v>0</v>
      </c>
      <c r="N7957" t="n">
        <v>0</v>
      </c>
      <c r="O7957" t="n">
        <v>0</v>
      </c>
      <c r="P7957" t="n">
        <v>0</v>
      </c>
      <c r="Q7957" t="n">
        <v>0</v>
      </c>
      <c r="R7957" s="2" t="inlineStr"/>
    </row>
    <row r="7958" ht="15" customHeight="1">
      <c r="A7958" t="inlineStr">
        <is>
          <t>A 30461-2024</t>
        </is>
      </c>
      <c r="B7958" s="1" t="n">
        <v>45491</v>
      </c>
      <c r="C7958" s="1" t="n">
        <v>46075</v>
      </c>
      <c r="D7958" t="inlineStr">
        <is>
          <t>VÄSTERBOTTENS LÄN</t>
        </is>
      </c>
      <c r="E7958" t="inlineStr">
        <is>
          <t>DOROTEA</t>
        </is>
      </c>
      <c r="F7958" t="inlineStr">
        <is>
          <t>SCA</t>
        </is>
      </c>
      <c r="G7958" t="n">
        <v>7.1</v>
      </c>
      <c r="H7958" t="n">
        <v>0</v>
      </c>
      <c r="I7958" t="n">
        <v>0</v>
      </c>
      <c r="J7958" t="n">
        <v>0</v>
      </c>
      <c r="K7958" t="n">
        <v>0</v>
      </c>
      <c r="L7958" t="n">
        <v>0</v>
      </c>
      <c r="M7958" t="n">
        <v>0</v>
      </c>
      <c r="N7958" t="n">
        <v>0</v>
      </c>
      <c r="O7958" t="n">
        <v>0</v>
      </c>
      <c r="P7958" t="n">
        <v>0</v>
      </c>
      <c r="Q7958" t="n">
        <v>0</v>
      </c>
      <c r="R7958" s="2" t="inlineStr"/>
    </row>
    <row r="7959" ht="15" customHeight="1">
      <c r="A7959" t="inlineStr">
        <is>
          <t>A 58619-2025</t>
        </is>
      </c>
      <c r="B7959" s="1" t="n">
        <v>45986.46949074074</v>
      </c>
      <c r="C7959" s="1" t="n">
        <v>46075</v>
      </c>
      <c r="D7959" t="inlineStr">
        <is>
          <t>VÄSTERBOTTENS LÄN</t>
        </is>
      </c>
      <c r="E7959" t="inlineStr">
        <is>
          <t>NORDMALING</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58622-2025</t>
        </is>
      </c>
      <c r="B7960" s="1" t="n">
        <v>45986.46958333333</v>
      </c>
      <c r="C7960" s="1" t="n">
        <v>46075</v>
      </c>
      <c r="D7960" t="inlineStr">
        <is>
          <t>VÄSTERBOTTENS LÄN</t>
        </is>
      </c>
      <c r="E7960" t="inlineStr">
        <is>
          <t>ÅSELE</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59257-2025</t>
        </is>
      </c>
      <c r="B7961" s="1" t="n">
        <v>45988.65670138889</v>
      </c>
      <c r="C7961" s="1" t="n">
        <v>46075</v>
      </c>
      <c r="D7961" t="inlineStr">
        <is>
          <t>VÄSTERBOTTENS LÄN</t>
        </is>
      </c>
      <c r="E7961" t="inlineStr">
        <is>
          <t>NORDMALING</t>
        </is>
      </c>
      <c r="G7961" t="n">
        <v>2.3</v>
      </c>
      <c r="H7961" t="n">
        <v>0</v>
      </c>
      <c r="I7961" t="n">
        <v>0</v>
      </c>
      <c r="J7961" t="n">
        <v>0</v>
      </c>
      <c r="K7961" t="n">
        <v>0</v>
      </c>
      <c r="L7961" t="n">
        <v>0</v>
      </c>
      <c r="M7961" t="n">
        <v>0</v>
      </c>
      <c r="N7961" t="n">
        <v>0</v>
      </c>
      <c r="O7961" t="n">
        <v>0</v>
      </c>
      <c r="P7961" t="n">
        <v>0</v>
      </c>
      <c r="Q7961" t="n">
        <v>0</v>
      </c>
      <c r="R7961" s="2" t="inlineStr"/>
    </row>
    <row r="7962" ht="15" customHeight="1">
      <c r="A7962" t="inlineStr">
        <is>
          <t>A 59280-2025</t>
        </is>
      </c>
      <c r="B7962" s="1" t="n">
        <v>45988.72273148148</v>
      </c>
      <c r="C7962" s="1" t="n">
        <v>46075</v>
      </c>
      <c r="D7962" t="inlineStr">
        <is>
          <t>VÄSTERBOTTENS LÄN</t>
        </is>
      </c>
      <c r="E7962" t="inlineStr">
        <is>
          <t>SKELLEFTEÅ</t>
        </is>
      </c>
      <c r="F7962" t="inlineStr">
        <is>
          <t>Sveaskog</t>
        </is>
      </c>
      <c r="G7962" t="n">
        <v>8</v>
      </c>
      <c r="H7962" t="n">
        <v>0</v>
      </c>
      <c r="I7962" t="n">
        <v>0</v>
      </c>
      <c r="J7962" t="n">
        <v>0</v>
      </c>
      <c r="K7962" t="n">
        <v>0</v>
      </c>
      <c r="L7962" t="n">
        <v>0</v>
      </c>
      <c r="M7962" t="n">
        <v>0</v>
      </c>
      <c r="N7962" t="n">
        <v>0</v>
      </c>
      <c r="O7962" t="n">
        <v>0</v>
      </c>
      <c r="P7962" t="n">
        <v>0</v>
      </c>
      <c r="Q7962" t="n">
        <v>0</v>
      </c>
      <c r="R7962" s="2" t="inlineStr"/>
    </row>
    <row r="7963" ht="15" customHeight="1">
      <c r="A7963" t="inlineStr">
        <is>
          <t>A 20328-2024</t>
        </is>
      </c>
      <c r="B7963" s="1" t="n">
        <v>45435</v>
      </c>
      <c r="C7963" s="1" t="n">
        <v>46075</v>
      </c>
      <c r="D7963" t="inlineStr">
        <is>
          <t>VÄSTERBOTTENS LÄN</t>
        </is>
      </c>
      <c r="E7963" t="inlineStr">
        <is>
          <t>NORDMALING</t>
        </is>
      </c>
      <c r="G7963" t="n">
        <v>3.6</v>
      </c>
      <c r="H7963" t="n">
        <v>0</v>
      </c>
      <c r="I7963" t="n">
        <v>0</v>
      </c>
      <c r="J7963" t="n">
        <v>0</v>
      </c>
      <c r="K7963" t="n">
        <v>0</v>
      </c>
      <c r="L7963" t="n">
        <v>0</v>
      </c>
      <c r="M7963" t="n">
        <v>0</v>
      </c>
      <c r="N7963" t="n">
        <v>0</v>
      </c>
      <c r="O7963" t="n">
        <v>0</v>
      </c>
      <c r="P7963" t="n">
        <v>0</v>
      </c>
      <c r="Q7963" t="n">
        <v>0</v>
      </c>
      <c r="R7963" s="2" t="inlineStr"/>
    </row>
    <row r="7964" ht="15" customHeight="1">
      <c r="A7964" t="inlineStr">
        <is>
          <t>A 59329-2025</t>
        </is>
      </c>
      <c r="B7964" s="1" t="n">
        <v>45988</v>
      </c>
      <c r="C7964" s="1" t="n">
        <v>46075</v>
      </c>
      <c r="D7964" t="inlineStr">
        <is>
          <t>VÄSTERBOTTENS LÄN</t>
        </is>
      </c>
      <c r="E7964" t="inlineStr">
        <is>
          <t>DOROTEA</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59338-2025</t>
        </is>
      </c>
      <c r="B7965" s="1" t="n">
        <v>45988</v>
      </c>
      <c r="C7965" s="1" t="n">
        <v>46075</v>
      </c>
      <c r="D7965" t="inlineStr">
        <is>
          <t>VÄSTERBOTTENS LÄN</t>
        </is>
      </c>
      <c r="E7965" t="inlineStr">
        <is>
          <t>DOROTEA</t>
        </is>
      </c>
      <c r="G7965" t="n">
        <v>0.8</v>
      </c>
      <c r="H7965" t="n">
        <v>0</v>
      </c>
      <c r="I7965" t="n">
        <v>0</v>
      </c>
      <c r="J7965" t="n">
        <v>0</v>
      </c>
      <c r="K7965" t="n">
        <v>0</v>
      </c>
      <c r="L7965" t="n">
        <v>0</v>
      </c>
      <c r="M7965" t="n">
        <v>0</v>
      </c>
      <c r="N7965" t="n">
        <v>0</v>
      </c>
      <c r="O7965" t="n">
        <v>0</v>
      </c>
      <c r="P7965" t="n">
        <v>0</v>
      </c>
      <c r="Q7965" t="n">
        <v>0</v>
      </c>
      <c r="R7965" s="2" t="inlineStr"/>
    </row>
    <row r="7966" ht="15" customHeight="1">
      <c r="A7966" t="inlineStr">
        <is>
          <t>A 59345-2025</t>
        </is>
      </c>
      <c r="B7966" s="1" t="n">
        <v>45989.39247685186</v>
      </c>
      <c r="C7966" s="1" t="n">
        <v>46075</v>
      </c>
      <c r="D7966" t="inlineStr">
        <is>
          <t>VÄSTERBOTTENS LÄN</t>
        </is>
      </c>
      <c r="E7966" t="inlineStr">
        <is>
          <t>SKELLEFTEÅ</t>
        </is>
      </c>
      <c r="F7966" t="inlineStr">
        <is>
          <t>Holmen skog AB</t>
        </is>
      </c>
      <c r="G7966" t="n">
        <v>6.8</v>
      </c>
      <c r="H7966" t="n">
        <v>0</v>
      </c>
      <c r="I7966" t="n">
        <v>0</v>
      </c>
      <c r="J7966" t="n">
        <v>0</v>
      </c>
      <c r="K7966" t="n">
        <v>0</v>
      </c>
      <c r="L7966" t="n">
        <v>0</v>
      </c>
      <c r="M7966" t="n">
        <v>0</v>
      </c>
      <c r="N7966" t="n">
        <v>0</v>
      </c>
      <c r="O7966" t="n">
        <v>0</v>
      </c>
      <c r="P7966" t="n">
        <v>0</v>
      </c>
      <c r="Q7966" t="n">
        <v>0</v>
      </c>
      <c r="R7966" s="2" t="inlineStr"/>
    </row>
    <row r="7967" ht="15" customHeight="1">
      <c r="A7967" t="inlineStr">
        <is>
          <t>A 59351-2025</t>
        </is>
      </c>
      <c r="B7967" s="1" t="n">
        <v>45989.40489583334</v>
      </c>
      <c r="C7967" s="1" t="n">
        <v>46075</v>
      </c>
      <c r="D7967" t="inlineStr">
        <is>
          <t>VÄSTERBOTTENS LÄN</t>
        </is>
      </c>
      <c r="E7967" t="inlineStr">
        <is>
          <t>STORUMAN</t>
        </is>
      </c>
      <c r="F7967" t="inlineStr">
        <is>
          <t>Övriga statliga verk och myndigheter</t>
        </is>
      </c>
      <c r="G7967" t="n">
        <v>67.59999999999999</v>
      </c>
      <c r="H7967" t="n">
        <v>0</v>
      </c>
      <c r="I7967" t="n">
        <v>0</v>
      </c>
      <c r="J7967" t="n">
        <v>0</v>
      </c>
      <c r="K7967" t="n">
        <v>0</v>
      </c>
      <c r="L7967" t="n">
        <v>0</v>
      </c>
      <c r="M7967" t="n">
        <v>0</v>
      </c>
      <c r="N7967" t="n">
        <v>0</v>
      </c>
      <c r="O7967" t="n">
        <v>0</v>
      </c>
      <c r="P7967" t="n">
        <v>0</v>
      </c>
      <c r="Q7967" t="n">
        <v>0</v>
      </c>
      <c r="R7967" s="2" t="inlineStr"/>
    </row>
    <row r="7968" ht="15" customHeight="1">
      <c r="A7968" t="inlineStr">
        <is>
          <t>A 51401-2024</t>
        </is>
      </c>
      <c r="B7968" s="1" t="n">
        <v>45604.42592592593</v>
      </c>
      <c r="C7968" s="1" t="n">
        <v>46075</v>
      </c>
      <c r="D7968" t="inlineStr">
        <is>
          <t>VÄSTERBOTTENS LÄN</t>
        </is>
      </c>
      <c r="E7968" t="inlineStr">
        <is>
          <t>NORSJÖ</t>
        </is>
      </c>
      <c r="F7968" t="inlineStr">
        <is>
          <t>Holmen skog AB</t>
        </is>
      </c>
      <c r="G7968" t="n">
        <v>2.1</v>
      </c>
      <c r="H7968" t="n">
        <v>0</v>
      </c>
      <c r="I7968" t="n">
        <v>0</v>
      </c>
      <c r="J7968" t="n">
        <v>0</v>
      </c>
      <c r="K7968" t="n">
        <v>0</v>
      </c>
      <c r="L7968" t="n">
        <v>0</v>
      </c>
      <c r="M7968" t="n">
        <v>0</v>
      </c>
      <c r="N7968" t="n">
        <v>0</v>
      </c>
      <c r="O7968" t="n">
        <v>0</v>
      </c>
      <c r="P7968" t="n">
        <v>0</v>
      </c>
      <c r="Q7968" t="n">
        <v>0</v>
      </c>
      <c r="R7968" s="2" t="inlineStr"/>
    </row>
    <row r="7969" ht="15" customHeight="1">
      <c r="A7969" t="inlineStr">
        <is>
          <t>A 51406-2024</t>
        </is>
      </c>
      <c r="B7969" s="1" t="n">
        <v>45604.42814814814</v>
      </c>
      <c r="C7969" s="1" t="n">
        <v>46075</v>
      </c>
      <c r="D7969" t="inlineStr">
        <is>
          <t>VÄSTERBOTTENS LÄN</t>
        </is>
      </c>
      <c r="E7969" t="inlineStr">
        <is>
          <t>LYCKSELE</t>
        </is>
      </c>
      <c r="F7969" t="inlineStr">
        <is>
          <t>SCA</t>
        </is>
      </c>
      <c r="G7969" t="n">
        <v>8.199999999999999</v>
      </c>
      <c r="H7969" t="n">
        <v>0</v>
      </c>
      <c r="I7969" t="n">
        <v>0</v>
      </c>
      <c r="J7969" t="n">
        <v>0</v>
      </c>
      <c r="K7969" t="n">
        <v>0</v>
      </c>
      <c r="L7969" t="n">
        <v>0</v>
      </c>
      <c r="M7969" t="n">
        <v>0</v>
      </c>
      <c r="N7969" t="n">
        <v>0</v>
      </c>
      <c r="O7969" t="n">
        <v>0</v>
      </c>
      <c r="P7969" t="n">
        <v>0</v>
      </c>
      <c r="Q7969" t="n">
        <v>0</v>
      </c>
      <c r="R7969" s="2" t="inlineStr"/>
    </row>
    <row r="7970" ht="15" customHeight="1">
      <c r="A7970" t="inlineStr">
        <is>
          <t>A 59168-2025</t>
        </is>
      </c>
      <c r="B7970" s="1" t="n">
        <v>45988</v>
      </c>
      <c r="C7970" s="1" t="n">
        <v>46075</v>
      </c>
      <c r="D7970" t="inlineStr">
        <is>
          <t>VÄSTERBOTTENS LÄN</t>
        </is>
      </c>
      <c r="E7970" t="inlineStr">
        <is>
          <t>UMEÅ</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20976-2021</t>
        </is>
      </c>
      <c r="B7971" s="1" t="n">
        <v>44318</v>
      </c>
      <c r="C7971" s="1" t="n">
        <v>46075</v>
      </c>
      <c r="D7971" t="inlineStr">
        <is>
          <t>VÄSTERBOTTENS LÄN</t>
        </is>
      </c>
      <c r="E7971" t="inlineStr">
        <is>
          <t>NORDMALING</t>
        </is>
      </c>
      <c r="G7971" t="n">
        <v>2.8</v>
      </c>
      <c r="H7971" t="n">
        <v>0</v>
      </c>
      <c r="I7971" t="n">
        <v>0</v>
      </c>
      <c r="J7971" t="n">
        <v>0</v>
      </c>
      <c r="K7971" t="n">
        <v>0</v>
      </c>
      <c r="L7971" t="n">
        <v>0</v>
      </c>
      <c r="M7971" t="n">
        <v>0</v>
      </c>
      <c r="N7971" t="n">
        <v>0</v>
      </c>
      <c r="O7971" t="n">
        <v>0</v>
      </c>
      <c r="P7971" t="n">
        <v>0</v>
      </c>
      <c r="Q7971" t="n">
        <v>0</v>
      </c>
      <c r="R7971" s="2" t="inlineStr"/>
    </row>
    <row r="7972" ht="15" customHeight="1">
      <c r="A7972" t="inlineStr">
        <is>
          <t>A 35181-2024</t>
        </is>
      </c>
      <c r="B7972" s="1" t="n">
        <v>45530.44527777778</v>
      </c>
      <c r="C7972" s="1" t="n">
        <v>46075</v>
      </c>
      <c r="D7972" t="inlineStr">
        <is>
          <t>VÄSTERBOTTENS LÄN</t>
        </is>
      </c>
      <c r="E7972" t="inlineStr">
        <is>
          <t>NORSJÖ</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48762-2024</t>
        </is>
      </c>
      <c r="B7973" s="1" t="n">
        <v>45593</v>
      </c>
      <c r="C7973" s="1" t="n">
        <v>46075</v>
      </c>
      <c r="D7973" t="inlineStr">
        <is>
          <t>VÄSTERBOTTENS LÄN</t>
        </is>
      </c>
      <c r="E7973" t="inlineStr">
        <is>
          <t>STORUMAN</t>
        </is>
      </c>
      <c r="G7973" t="n">
        <v>17.4</v>
      </c>
      <c r="H7973" t="n">
        <v>0</v>
      </c>
      <c r="I7973" t="n">
        <v>0</v>
      </c>
      <c r="J7973" t="n">
        <v>0</v>
      </c>
      <c r="K7973" t="n">
        <v>0</v>
      </c>
      <c r="L7973" t="n">
        <v>0</v>
      </c>
      <c r="M7973" t="n">
        <v>0</v>
      </c>
      <c r="N7973" t="n">
        <v>0</v>
      </c>
      <c r="O7973" t="n">
        <v>0</v>
      </c>
      <c r="P7973" t="n">
        <v>0</v>
      </c>
      <c r="Q7973" t="n">
        <v>0</v>
      </c>
      <c r="R7973" s="2" t="inlineStr"/>
    </row>
    <row r="7974" ht="15" customHeight="1">
      <c r="A7974" t="inlineStr">
        <is>
          <t>A 59027-2025</t>
        </is>
      </c>
      <c r="B7974" s="1" t="n">
        <v>45988</v>
      </c>
      <c r="C7974" s="1" t="n">
        <v>46075</v>
      </c>
      <c r="D7974" t="inlineStr">
        <is>
          <t>VÄSTERBOTTENS LÄN</t>
        </is>
      </c>
      <c r="E7974" t="inlineStr">
        <is>
          <t>SKELLEFTEÅ</t>
        </is>
      </c>
      <c r="G7974" t="n">
        <v>2.1</v>
      </c>
      <c r="H7974" t="n">
        <v>0</v>
      </c>
      <c r="I7974" t="n">
        <v>0</v>
      </c>
      <c r="J7974" t="n">
        <v>0</v>
      </c>
      <c r="K7974" t="n">
        <v>0</v>
      </c>
      <c r="L7974" t="n">
        <v>0</v>
      </c>
      <c r="M7974" t="n">
        <v>0</v>
      </c>
      <c r="N7974" t="n">
        <v>0</v>
      </c>
      <c r="O7974" t="n">
        <v>0</v>
      </c>
      <c r="P7974" t="n">
        <v>0</v>
      </c>
      <c r="Q7974" t="n">
        <v>0</v>
      </c>
      <c r="R7974" s="2" t="inlineStr"/>
    </row>
    <row r="7975" ht="15" customHeight="1">
      <c r="A7975" t="inlineStr">
        <is>
          <t>A 51710-2023</t>
        </is>
      </c>
      <c r="B7975" s="1" t="n">
        <v>45222</v>
      </c>
      <c r="C7975" s="1" t="n">
        <v>46075</v>
      </c>
      <c r="D7975" t="inlineStr">
        <is>
          <t>VÄSTERBOTTENS LÄN</t>
        </is>
      </c>
      <c r="E7975" t="inlineStr">
        <is>
          <t>MALÅ</t>
        </is>
      </c>
      <c r="F7975" t="inlineStr">
        <is>
          <t>Sveaskog</t>
        </is>
      </c>
      <c r="G7975" t="n">
        <v>7.9</v>
      </c>
      <c r="H7975" t="n">
        <v>0</v>
      </c>
      <c r="I7975" t="n">
        <v>0</v>
      </c>
      <c r="J7975" t="n">
        <v>0</v>
      </c>
      <c r="K7975" t="n">
        <v>0</v>
      </c>
      <c r="L7975" t="n">
        <v>0</v>
      </c>
      <c r="M7975" t="n">
        <v>0</v>
      </c>
      <c r="N7975" t="n">
        <v>0</v>
      </c>
      <c r="O7975" t="n">
        <v>0</v>
      </c>
      <c r="P7975" t="n">
        <v>0</v>
      </c>
      <c r="Q7975" t="n">
        <v>0</v>
      </c>
      <c r="R7975" s="2" t="inlineStr"/>
    </row>
    <row r="7976" ht="15" customHeight="1">
      <c r="A7976" t="inlineStr">
        <is>
          <t>A 59071-2025</t>
        </is>
      </c>
      <c r="B7976" s="1" t="n">
        <v>45988.42387731482</v>
      </c>
      <c r="C7976" s="1" t="n">
        <v>46075</v>
      </c>
      <c r="D7976" t="inlineStr">
        <is>
          <t>VÄSTERBOTTENS LÄN</t>
        </is>
      </c>
      <c r="E7976" t="inlineStr">
        <is>
          <t>NORDMALING</t>
        </is>
      </c>
      <c r="G7976" t="n">
        <v>5.7</v>
      </c>
      <c r="H7976" t="n">
        <v>0</v>
      </c>
      <c r="I7976" t="n">
        <v>0</v>
      </c>
      <c r="J7976" t="n">
        <v>0</v>
      </c>
      <c r="K7976" t="n">
        <v>0</v>
      </c>
      <c r="L7976" t="n">
        <v>0</v>
      </c>
      <c r="M7976" t="n">
        <v>0</v>
      </c>
      <c r="N7976" t="n">
        <v>0</v>
      </c>
      <c r="O7976" t="n">
        <v>0</v>
      </c>
      <c r="P7976" t="n">
        <v>0</v>
      </c>
      <c r="Q7976" t="n">
        <v>0</v>
      </c>
      <c r="R7976" s="2" t="inlineStr"/>
    </row>
    <row r="7977" ht="15" customHeight="1">
      <c r="A7977" t="inlineStr">
        <is>
          <t>A 59080-2025</t>
        </is>
      </c>
      <c r="B7977" s="1" t="n">
        <v>45988.43402777778</v>
      </c>
      <c r="C7977" s="1" t="n">
        <v>46075</v>
      </c>
      <c r="D7977" t="inlineStr">
        <is>
          <t>VÄSTERBOTTENS LÄN</t>
        </is>
      </c>
      <c r="E7977" t="inlineStr">
        <is>
          <t>LYCKSELE</t>
        </is>
      </c>
      <c r="F7977" t="inlineStr">
        <is>
          <t>Sveaskog</t>
        </is>
      </c>
      <c r="G7977" t="n">
        <v>1.7</v>
      </c>
      <c r="H7977" t="n">
        <v>0</v>
      </c>
      <c r="I7977" t="n">
        <v>0</v>
      </c>
      <c r="J7977" t="n">
        <v>0</v>
      </c>
      <c r="K7977" t="n">
        <v>0</v>
      </c>
      <c r="L7977" t="n">
        <v>0</v>
      </c>
      <c r="M7977" t="n">
        <v>0</v>
      </c>
      <c r="N7977" t="n">
        <v>0</v>
      </c>
      <c r="O7977" t="n">
        <v>0</v>
      </c>
      <c r="P7977" t="n">
        <v>0</v>
      </c>
      <c r="Q7977" t="n">
        <v>0</v>
      </c>
      <c r="R7977" s="2" t="inlineStr"/>
    </row>
    <row r="7978" ht="15" customHeight="1">
      <c r="A7978" t="inlineStr">
        <is>
          <t>A 59299-2025</t>
        </is>
      </c>
      <c r="B7978" s="1" t="n">
        <v>45988.84578703704</v>
      </c>
      <c r="C7978" s="1" t="n">
        <v>46075</v>
      </c>
      <c r="D7978" t="inlineStr">
        <is>
          <t>VÄSTERBOTTENS LÄN</t>
        </is>
      </c>
      <c r="E7978" t="inlineStr">
        <is>
          <t>ÅSELE</t>
        </is>
      </c>
      <c r="G7978" t="n">
        <v>3.1</v>
      </c>
      <c r="H7978" t="n">
        <v>0</v>
      </c>
      <c r="I7978" t="n">
        <v>0</v>
      </c>
      <c r="J7978" t="n">
        <v>0</v>
      </c>
      <c r="K7978" t="n">
        <v>0</v>
      </c>
      <c r="L7978" t="n">
        <v>0</v>
      </c>
      <c r="M7978" t="n">
        <v>0</v>
      </c>
      <c r="N7978" t="n">
        <v>0</v>
      </c>
      <c r="O7978" t="n">
        <v>0</v>
      </c>
      <c r="P7978" t="n">
        <v>0</v>
      </c>
      <c r="Q7978" t="n">
        <v>0</v>
      </c>
      <c r="R7978" s="2" t="inlineStr"/>
    </row>
    <row r="7979" ht="15" customHeight="1">
      <c r="A7979" t="inlineStr">
        <is>
          <t>A 59453-2025</t>
        </is>
      </c>
      <c r="B7979" s="1" t="n">
        <v>45989.57416666667</v>
      </c>
      <c r="C7979" s="1" t="n">
        <v>46075</v>
      </c>
      <c r="D7979" t="inlineStr">
        <is>
          <t>VÄSTERBOTTENS LÄN</t>
        </is>
      </c>
      <c r="E7979" t="inlineStr">
        <is>
          <t>NORSJÖ</t>
        </is>
      </c>
      <c r="F7979" t="inlineStr">
        <is>
          <t>Sveaskog</t>
        </is>
      </c>
      <c r="G7979" t="n">
        <v>11.9</v>
      </c>
      <c r="H7979" t="n">
        <v>0</v>
      </c>
      <c r="I7979" t="n">
        <v>0</v>
      </c>
      <c r="J7979" t="n">
        <v>0</v>
      </c>
      <c r="K7979" t="n">
        <v>0</v>
      </c>
      <c r="L7979" t="n">
        <v>0</v>
      </c>
      <c r="M7979" t="n">
        <v>0</v>
      </c>
      <c r="N7979" t="n">
        <v>0</v>
      </c>
      <c r="O7979" t="n">
        <v>0</v>
      </c>
      <c r="P7979" t="n">
        <v>0</v>
      </c>
      <c r="Q7979" t="n">
        <v>0</v>
      </c>
      <c r="R7979" s="2" t="inlineStr"/>
    </row>
    <row r="7980" ht="15" customHeight="1">
      <c r="A7980" t="inlineStr">
        <is>
          <t>A 59467-2025</t>
        </is>
      </c>
      <c r="B7980" s="1" t="n">
        <v>45989.58118055556</v>
      </c>
      <c r="C7980" s="1" t="n">
        <v>46075</v>
      </c>
      <c r="D7980" t="inlineStr">
        <is>
          <t>VÄSTERBOTTENS LÄN</t>
        </is>
      </c>
      <c r="E7980" t="inlineStr">
        <is>
          <t>LYCKSELE</t>
        </is>
      </c>
      <c r="G7980" t="n">
        <v>2.4</v>
      </c>
      <c r="H7980" t="n">
        <v>0</v>
      </c>
      <c r="I7980" t="n">
        <v>0</v>
      </c>
      <c r="J7980" t="n">
        <v>0</v>
      </c>
      <c r="K7980" t="n">
        <v>0</v>
      </c>
      <c r="L7980" t="n">
        <v>0</v>
      </c>
      <c r="M7980" t="n">
        <v>0</v>
      </c>
      <c r="N7980" t="n">
        <v>0</v>
      </c>
      <c r="O7980" t="n">
        <v>0</v>
      </c>
      <c r="P7980" t="n">
        <v>0</v>
      </c>
      <c r="Q7980" t="n">
        <v>0</v>
      </c>
      <c r="R7980" s="2" t="inlineStr"/>
    </row>
    <row r="7981" ht="15" customHeight="1">
      <c r="A7981" t="inlineStr">
        <is>
          <t>A 59349-2025</t>
        </is>
      </c>
      <c r="B7981" s="1" t="n">
        <v>45989.40206018519</v>
      </c>
      <c r="C7981" s="1" t="n">
        <v>46075</v>
      </c>
      <c r="D7981" t="inlineStr">
        <is>
          <t>VÄSTERBOTTENS LÄN</t>
        </is>
      </c>
      <c r="E7981" t="inlineStr">
        <is>
          <t>SKELLEFTEÅ</t>
        </is>
      </c>
      <c r="F7981" t="inlineStr">
        <is>
          <t>Holmen skog AB</t>
        </is>
      </c>
      <c r="G7981" t="n">
        <v>4.1</v>
      </c>
      <c r="H7981" t="n">
        <v>0</v>
      </c>
      <c r="I7981" t="n">
        <v>0</v>
      </c>
      <c r="J7981" t="n">
        <v>0</v>
      </c>
      <c r="K7981" t="n">
        <v>0</v>
      </c>
      <c r="L7981" t="n">
        <v>0</v>
      </c>
      <c r="M7981" t="n">
        <v>0</v>
      </c>
      <c r="N7981" t="n">
        <v>0</v>
      </c>
      <c r="O7981" t="n">
        <v>0</v>
      </c>
      <c r="P7981" t="n">
        <v>0</v>
      </c>
      <c r="Q7981" t="n">
        <v>0</v>
      </c>
      <c r="R7981" s="2" t="inlineStr"/>
    </row>
    <row r="7982" ht="15" customHeight="1">
      <c r="A7982" t="inlineStr">
        <is>
          <t>A 59386-2025</t>
        </is>
      </c>
      <c r="B7982" s="1" t="n">
        <v>45989.45841435185</v>
      </c>
      <c r="C7982" s="1" t="n">
        <v>46075</v>
      </c>
      <c r="D7982" t="inlineStr">
        <is>
          <t>VÄSTERBOTTENS LÄN</t>
        </is>
      </c>
      <c r="E7982" t="inlineStr">
        <is>
          <t>BJURHOLM</t>
        </is>
      </c>
      <c r="F7982" t="inlineStr">
        <is>
          <t>Holmen skog AB</t>
        </is>
      </c>
      <c r="G7982" t="n">
        <v>2</v>
      </c>
      <c r="H7982" t="n">
        <v>0</v>
      </c>
      <c r="I7982" t="n">
        <v>0</v>
      </c>
      <c r="J7982" t="n">
        <v>0</v>
      </c>
      <c r="K7982" t="n">
        <v>0</v>
      </c>
      <c r="L7982" t="n">
        <v>0</v>
      </c>
      <c r="M7982" t="n">
        <v>0</v>
      </c>
      <c r="N7982" t="n">
        <v>0</v>
      </c>
      <c r="O7982" t="n">
        <v>0</v>
      </c>
      <c r="P7982" t="n">
        <v>0</v>
      </c>
      <c r="Q7982" t="n">
        <v>0</v>
      </c>
      <c r="R7982" s="2" t="inlineStr"/>
    </row>
    <row r="7983" ht="15" customHeight="1">
      <c r="A7983" t="inlineStr">
        <is>
          <t>A 16570-2023</t>
        </is>
      </c>
      <c r="B7983" s="1" t="n">
        <v>45029.94212962963</v>
      </c>
      <c r="C7983" s="1" t="n">
        <v>46075</v>
      </c>
      <c r="D7983" t="inlineStr">
        <is>
          <t>VÄSTERBOTTENS LÄN</t>
        </is>
      </c>
      <c r="E7983" t="inlineStr">
        <is>
          <t>ÅSELE</t>
        </is>
      </c>
      <c r="F7983" t="inlineStr">
        <is>
          <t>SCA</t>
        </is>
      </c>
      <c r="G7983" t="n">
        <v>3.3</v>
      </c>
      <c r="H7983" t="n">
        <v>0</v>
      </c>
      <c r="I7983" t="n">
        <v>0</v>
      </c>
      <c r="J7983" t="n">
        <v>0</v>
      </c>
      <c r="K7983" t="n">
        <v>0</v>
      </c>
      <c r="L7983" t="n">
        <v>0</v>
      </c>
      <c r="M7983" t="n">
        <v>0</v>
      </c>
      <c r="N7983" t="n">
        <v>0</v>
      </c>
      <c r="O7983" t="n">
        <v>0</v>
      </c>
      <c r="P7983" t="n">
        <v>0</v>
      </c>
      <c r="Q7983" t="n">
        <v>0</v>
      </c>
      <c r="R7983" s="2" t="inlineStr"/>
    </row>
    <row r="7984" ht="15" customHeight="1">
      <c r="A7984" t="inlineStr">
        <is>
          <t>A 45981-2024</t>
        </is>
      </c>
      <c r="B7984" s="1" t="n">
        <v>45580.60790509259</v>
      </c>
      <c r="C7984" s="1" t="n">
        <v>46075</v>
      </c>
      <c r="D7984" t="inlineStr">
        <is>
          <t>VÄSTERBOTTENS LÄN</t>
        </is>
      </c>
      <c r="E7984" t="inlineStr">
        <is>
          <t>SKELLEFTEÅ</t>
        </is>
      </c>
      <c r="F7984" t="inlineStr">
        <is>
          <t>Holmen skog AB</t>
        </is>
      </c>
      <c r="G7984" t="n">
        <v>9.6</v>
      </c>
      <c r="H7984" t="n">
        <v>0</v>
      </c>
      <c r="I7984" t="n">
        <v>0</v>
      </c>
      <c r="J7984" t="n">
        <v>0</v>
      </c>
      <c r="K7984" t="n">
        <v>0</v>
      </c>
      <c r="L7984" t="n">
        <v>0</v>
      </c>
      <c r="M7984" t="n">
        <v>0</v>
      </c>
      <c r="N7984" t="n">
        <v>0</v>
      </c>
      <c r="O7984" t="n">
        <v>0</v>
      </c>
      <c r="P7984" t="n">
        <v>0</v>
      </c>
      <c r="Q7984" t="n">
        <v>0</v>
      </c>
      <c r="R7984" s="2" t="inlineStr"/>
    </row>
    <row r="7985" ht="15" customHeight="1">
      <c r="A7985" t="inlineStr">
        <is>
          <t>A 46049-2024</t>
        </is>
      </c>
      <c r="B7985" s="1" t="n">
        <v>45580.85546296297</v>
      </c>
      <c r="C7985" s="1" t="n">
        <v>46075</v>
      </c>
      <c r="D7985" t="inlineStr">
        <is>
          <t>VÄSTERBOTTENS LÄN</t>
        </is>
      </c>
      <c r="E7985" t="inlineStr">
        <is>
          <t>SKELLEFTEÅ</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12045-2024</t>
        </is>
      </c>
      <c r="B7986" s="1" t="n">
        <v>45377</v>
      </c>
      <c r="C7986" s="1" t="n">
        <v>46075</v>
      </c>
      <c r="D7986" t="inlineStr">
        <is>
          <t>VÄSTERBOTTENS LÄN</t>
        </is>
      </c>
      <c r="E7986" t="inlineStr">
        <is>
          <t>SKELLEFTEÅ</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59382-2025</t>
        </is>
      </c>
      <c r="B7987" s="1" t="n">
        <v>45989.45534722223</v>
      </c>
      <c r="C7987" s="1" t="n">
        <v>46075</v>
      </c>
      <c r="D7987" t="inlineStr">
        <is>
          <t>VÄSTERBOTTENS LÄN</t>
        </is>
      </c>
      <c r="E7987" t="inlineStr">
        <is>
          <t>SKELLEFTEÅ</t>
        </is>
      </c>
      <c r="F7987" t="inlineStr">
        <is>
          <t>Holmen skog AB</t>
        </is>
      </c>
      <c r="G7987" t="n">
        <v>6.4</v>
      </c>
      <c r="H7987" t="n">
        <v>0</v>
      </c>
      <c r="I7987" t="n">
        <v>0</v>
      </c>
      <c r="J7987" t="n">
        <v>0</v>
      </c>
      <c r="K7987" t="n">
        <v>0</v>
      </c>
      <c r="L7987" t="n">
        <v>0</v>
      </c>
      <c r="M7987" t="n">
        <v>0</v>
      </c>
      <c r="N7987" t="n">
        <v>0</v>
      </c>
      <c r="O7987" t="n">
        <v>0</v>
      </c>
      <c r="P7987" t="n">
        <v>0</v>
      </c>
      <c r="Q7987" t="n">
        <v>0</v>
      </c>
      <c r="R7987" s="2" t="inlineStr"/>
    </row>
    <row r="7988" ht="15" customHeight="1">
      <c r="A7988" t="inlineStr">
        <is>
          <t>A 59044-2025</t>
        </is>
      </c>
      <c r="B7988" s="1" t="n">
        <v>45988.37289351852</v>
      </c>
      <c r="C7988" s="1" t="n">
        <v>46075</v>
      </c>
      <c r="D7988" t="inlineStr">
        <is>
          <t>VÄSTERBOTTENS LÄN</t>
        </is>
      </c>
      <c r="E7988" t="inlineStr">
        <is>
          <t>SKELLEFTEÅ</t>
        </is>
      </c>
      <c r="G7988" t="n">
        <v>11.8</v>
      </c>
      <c r="H7988" t="n">
        <v>0</v>
      </c>
      <c r="I7988" t="n">
        <v>0</v>
      </c>
      <c r="J7988" t="n">
        <v>0</v>
      </c>
      <c r="K7988" t="n">
        <v>0</v>
      </c>
      <c r="L7988" t="n">
        <v>0</v>
      </c>
      <c r="M7988" t="n">
        <v>0</v>
      </c>
      <c r="N7988" t="n">
        <v>0</v>
      </c>
      <c r="O7988" t="n">
        <v>0</v>
      </c>
      <c r="P7988" t="n">
        <v>0</v>
      </c>
      <c r="Q7988" t="n">
        <v>0</v>
      </c>
      <c r="R7988" s="2" t="inlineStr"/>
    </row>
    <row r="7989" ht="15" customHeight="1">
      <c r="A7989" t="inlineStr">
        <is>
          <t>A 59419-2025</t>
        </is>
      </c>
      <c r="B7989" s="1" t="n">
        <v>45989.51962962963</v>
      </c>
      <c r="C7989" s="1" t="n">
        <v>46075</v>
      </c>
      <c r="D7989" t="inlineStr">
        <is>
          <t>VÄSTERBOTTENS LÄN</t>
        </is>
      </c>
      <c r="E7989" t="inlineStr">
        <is>
          <t>SKELLEFTEÅ</t>
        </is>
      </c>
      <c r="F7989" t="inlineStr">
        <is>
          <t>Holmen skog AB</t>
        </is>
      </c>
      <c r="G7989" t="n">
        <v>2.7</v>
      </c>
      <c r="H7989" t="n">
        <v>0</v>
      </c>
      <c r="I7989" t="n">
        <v>0</v>
      </c>
      <c r="J7989" t="n">
        <v>0</v>
      </c>
      <c r="K7989" t="n">
        <v>0</v>
      </c>
      <c r="L7989" t="n">
        <v>0</v>
      </c>
      <c r="M7989" t="n">
        <v>0</v>
      </c>
      <c r="N7989" t="n">
        <v>0</v>
      </c>
      <c r="O7989" t="n">
        <v>0</v>
      </c>
      <c r="P7989" t="n">
        <v>0</v>
      </c>
      <c r="Q7989" t="n">
        <v>0</v>
      </c>
      <c r="R7989" s="2" t="inlineStr"/>
    </row>
    <row r="7990" ht="15" customHeight="1">
      <c r="A7990" t="inlineStr">
        <is>
          <t>A 59505-2025</t>
        </is>
      </c>
      <c r="B7990" s="1" t="n">
        <v>45989</v>
      </c>
      <c r="C7990" s="1" t="n">
        <v>46075</v>
      </c>
      <c r="D7990" t="inlineStr">
        <is>
          <t>VÄSTERBOTTENS LÄN</t>
        </is>
      </c>
      <c r="E7990" t="inlineStr">
        <is>
          <t>VILHELMINA</t>
        </is>
      </c>
      <c r="G7990" t="n">
        <v>5.9</v>
      </c>
      <c r="H7990" t="n">
        <v>0</v>
      </c>
      <c r="I7990" t="n">
        <v>0</v>
      </c>
      <c r="J7990" t="n">
        <v>0</v>
      </c>
      <c r="K7990" t="n">
        <v>0</v>
      </c>
      <c r="L7990" t="n">
        <v>0</v>
      </c>
      <c r="M7990" t="n">
        <v>0</v>
      </c>
      <c r="N7990" t="n">
        <v>0</v>
      </c>
      <c r="O7990" t="n">
        <v>0</v>
      </c>
      <c r="P7990" t="n">
        <v>0</v>
      </c>
      <c r="Q7990" t="n">
        <v>0</v>
      </c>
      <c r="R7990" s="2" t="inlineStr"/>
    </row>
    <row r="7991" ht="15" customHeight="1">
      <c r="A7991" t="inlineStr">
        <is>
          <t>A 59506-2025</t>
        </is>
      </c>
      <c r="B7991" s="1" t="n">
        <v>45989</v>
      </c>
      <c r="C7991" s="1" t="n">
        <v>46075</v>
      </c>
      <c r="D7991" t="inlineStr">
        <is>
          <t>VÄSTERBOTTENS LÄN</t>
        </is>
      </c>
      <c r="E7991" t="inlineStr">
        <is>
          <t>VILHELMINA</t>
        </is>
      </c>
      <c r="G7991" t="n">
        <v>4.9</v>
      </c>
      <c r="H7991" t="n">
        <v>0</v>
      </c>
      <c r="I7991" t="n">
        <v>0</v>
      </c>
      <c r="J7991" t="n">
        <v>0</v>
      </c>
      <c r="K7991" t="n">
        <v>0</v>
      </c>
      <c r="L7991" t="n">
        <v>0</v>
      </c>
      <c r="M7991" t="n">
        <v>0</v>
      </c>
      <c r="N7991" t="n">
        <v>0</v>
      </c>
      <c r="O7991" t="n">
        <v>0</v>
      </c>
      <c r="P7991" t="n">
        <v>0</v>
      </c>
      <c r="Q7991" t="n">
        <v>0</v>
      </c>
      <c r="R7991" s="2" t="inlineStr"/>
    </row>
    <row r="7992" ht="15" customHeight="1">
      <c r="A7992" t="inlineStr">
        <is>
          <t>A 59416-2025</t>
        </is>
      </c>
      <c r="B7992" s="1" t="n">
        <v>45989.50570601852</v>
      </c>
      <c r="C7992" s="1" t="n">
        <v>46075</v>
      </c>
      <c r="D7992" t="inlineStr">
        <is>
          <t>VÄSTERBOTTENS LÄN</t>
        </is>
      </c>
      <c r="E7992" t="inlineStr">
        <is>
          <t>SKELLEFTEÅ</t>
        </is>
      </c>
      <c r="G7992" t="n">
        <v>5.2</v>
      </c>
      <c r="H7992" t="n">
        <v>0</v>
      </c>
      <c r="I7992" t="n">
        <v>0</v>
      </c>
      <c r="J7992" t="n">
        <v>0</v>
      </c>
      <c r="K7992" t="n">
        <v>0</v>
      </c>
      <c r="L7992" t="n">
        <v>0</v>
      </c>
      <c r="M7992" t="n">
        <v>0</v>
      </c>
      <c r="N7992" t="n">
        <v>0</v>
      </c>
      <c r="O7992" t="n">
        <v>0</v>
      </c>
      <c r="P7992" t="n">
        <v>0</v>
      </c>
      <c r="Q7992" t="n">
        <v>0</v>
      </c>
      <c r="R7992" s="2" t="inlineStr"/>
    </row>
    <row r="7993" ht="15" customHeight="1">
      <c r="A7993" t="inlineStr">
        <is>
          <t>A 59465-2025</t>
        </is>
      </c>
      <c r="B7993" s="1" t="n">
        <v>45989.57978009259</v>
      </c>
      <c r="C7993" s="1" t="n">
        <v>46075</v>
      </c>
      <c r="D7993" t="inlineStr">
        <is>
          <t>VÄSTERBOTTENS LÄN</t>
        </is>
      </c>
      <c r="E7993" t="inlineStr">
        <is>
          <t>MALÅ</t>
        </is>
      </c>
      <c r="F7993" t="inlineStr">
        <is>
          <t>Sveaskog</t>
        </is>
      </c>
      <c r="G7993" t="n">
        <v>2.3</v>
      </c>
      <c r="H7993" t="n">
        <v>0</v>
      </c>
      <c r="I7993" t="n">
        <v>0</v>
      </c>
      <c r="J7993" t="n">
        <v>0</v>
      </c>
      <c r="K7993" t="n">
        <v>0</v>
      </c>
      <c r="L7993" t="n">
        <v>0</v>
      </c>
      <c r="M7993" t="n">
        <v>0</v>
      </c>
      <c r="N7993" t="n">
        <v>0</v>
      </c>
      <c r="O7993" t="n">
        <v>0</v>
      </c>
      <c r="P7993" t="n">
        <v>0</v>
      </c>
      <c r="Q7993" t="n">
        <v>0</v>
      </c>
      <c r="R7993" s="2" t="inlineStr"/>
    </row>
    <row r="7994" ht="15" customHeight="1">
      <c r="A7994" t="inlineStr">
        <is>
          <t>A 59053-2025</t>
        </is>
      </c>
      <c r="B7994" s="1" t="n">
        <v>45988.38655092593</v>
      </c>
      <c r="C7994" s="1" t="n">
        <v>46075</v>
      </c>
      <c r="D7994" t="inlineStr">
        <is>
          <t>VÄSTERBOTTENS LÄN</t>
        </is>
      </c>
      <c r="E7994" t="inlineStr">
        <is>
          <t>MALÅ</t>
        </is>
      </c>
      <c r="G7994" t="n">
        <v>2.4</v>
      </c>
      <c r="H7994" t="n">
        <v>0</v>
      </c>
      <c r="I7994" t="n">
        <v>0</v>
      </c>
      <c r="J7994" t="n">
        <v>0</v>
      </c>
      <c r="K7994" t="n">
        <v>0</v>
      </c>
      <c r="L7994" t="n">
        <v>0</v>
      </c>
      <c r="M7994" t="n">
        <v>0</v>
      </c>
      <c r="N7994" t="n">
        <v>0</v>
      </c>
      <c r="O7994" t="n">
        <v>0</v>
      </c>
      <c r="P7994" t="n">
        <v>0</v>
      </c>
      <c r="Q7994" t="n">
        <v>0</v>
      </c>
      <c r="R7994" s="2" t="inlineStr"/>
    </row>
    <row r="7995" ht="15" customHeight="1">
      <c r="A7995" t="inlineStr">
        <is>
          <t>A 59054-2025</t>
        </is>
      </c>
      <c r="B7995" s="1" t="n">
        <v>45988.38663194444</v>
      </c>
      <c r="C7995" s="1" t="n">
        <v>46075</v>
      </c>
      <c r="D7995" t="inlineStr">
        <is>
          <t>VÄSTERBOTTENS LÄN</t>
        </is>
      </c>
      <c r="E7995" t="inlineStr">
        <is>
          <t>DOROTEA</t>
        </is>
      </c>
      <c r="G7995" t="n">
        <v>4</v>
      </c>
      <c r="H7995" t="n">
        <v>0</v>
      </c>
      <c r="I7995" t="n">
        <v>0</v>
      </c>
      <c r="J7995" t="n">
        <v>0</v>
      </c>
      <c r="K7995" t="n">
        <v>0</v>
      </c>
      <c r="L7995" t="n">
        <v>0</v>
      </c>
      <c r="M7995" t="n">
        <v>0</v>
      </c>
      <c r="N7995" t="n">
        <v>0</v>
      </c>
      <c r="O7995" t="n">
        <v>0</v>
      </c>
      <c r="P7995" t="n">
        <v>0</v>
      </c>
      <c r="Q7995" t="n">
        <v>0</v>
      </c>
      <c r="R7995" s="2" t="inlineStr"/>
    </row>
    <row r="7996" ht="15" customHeight="1">
      <c r="A7996" t="inlineStr">
        <is>
          <t>A 745-2022</t>
        </is>
      </c>
      <c r="B7996" s="1" t="n">
        <v>44568.92145833333</v>
      </c>
      <c r="C7996" s="1" t="n">
        <v>46075</v>
      </c>
      <c r="D7996" t="inlineStr">
        <is>
          <t>VÄSTERBOTTENS LÄN</t>
        </is>
      </c>
      <c r="E7996" t="inlineStr">
        <is>
          <t>DOROTEA</t>
        </is>
      </c>
      <c r="G7996" t="n">
        <v>5.4</v>
      </c>
      <c r="H7996" t="n">
        <v>0</v>
      </c>
      <c r="I7996" t="n">
        <v>0</v>
      </c>
      <c r="J7996" t="n">
        <v>0</v>
      </c>
      <c r="K7996" t="n">
        <v>0</v>
      </c>
      <c r="L7996" t="n">
        <v>0</v>
      </c>
      <c r="M7996" t="n">
        <v>0</v>
      </c>
      <c r="N7996" t="n">
        <v>0</v>
      </c>
      <c r="O7996" t="n">
        <v>0</v>
      </c>
      <c r="P7996" t="n">
        <v>0</v>
      </c>
      <c r="Q7996" t="n">
        <v>0</v>
      </c>
      <c r="R7996" s="2" t="inlineStr"/>
    </row>
    <row r="7997" ht="15" customHeight="1">
      <c r="A7997" t="inlineStr">
        <is>
          <t>A 61044-2024</t>
        </is>
      </c>
      <c r="B7997" s="1" t="n">
        <v>45645.47677083333</v>
      </c>
      <c r="C7997" s="1" t="n">
        <v>46075</v>
      </c>
      <c r="D7997" t="inlineStr">
        <is>
          <t>VÄSTERBOTTENS LÄN</t>
        </is>
      </c>
      <c r="E7997" t="inlineStr">
        <is>
          <t>VINDELN</t>
        </is>
      </c>
      <c r="G7997" t="n">
        <v>2.2</v>
      </c>
      <c r="H7997" t="n">
        <v>0</v>
      </c>
      <c r="I7997" t="n">
        <v>0</v>
      </c>
      <c r="J7997" t="n">
        <v>0</v>
      </c>
      <c r="K7997" t="n">
        <v>0</v>
      </c>
      <c r="L7997" t="n">
        <v>0</v>
      </c>
      <c r="M7997" t="n">
        <v>0</v>
      </c>
      <c r="N7997" t="n">
        <v>0</v>
      </c>
      <c r="O7997" t="n">
        <v>0</v>
      </c>
      <c r="P7997" t="n">
        <v>0</v>
      </c>
      <c r="Q7997" t="n">
        <v>0</v>
      </c>
      <c r="R7997" s="2" t="inlineStr"/>
    </row>
    <row r="7998" ht="15" customHeight="1">
      <c r="A7998" t="inlineStr">
        <is>
          <t>A 59113-2025</t>
        </is>
      </c>
      <c r="B7998" s="1" t="n">
        <v>45988.48623842592</v>
      </c>
      <c r="C7998" s="1" t="n">
        <v>46075</v>
      </c>
      <c r="D7998" t="inlineStr">
        <is>
          <t>VÄSTERBOTTENS LÄN</t>
        </is>
      </c>
      <c r="E7998" t="inlineStr">
        <is>
          <t>UMEÅ</t>
        </is>
      </c>
      <c r="G7998" t="n">
        <v>11.6</v>
      </c>
      <c r="H7998" t="n">
        <v>0</v>
      </c>
      <c r="I7998" t="n">
        <v>0</v>
      </c>
      <c r="J7998" t="n">
        <v>0</v>
      </c>
      <c r="K7998" t="n">
        <v>0</v>
      </c>
      <c r="L7998" t="n">
        <v>0</v>
      </c>
      <c r="M7998" t="n">
        <v>0</v>
      </c>
      <c r="N7998" t="n">
        <v>0</v>
      </c>
      <c r="O7998" t="n">
        <v>0</v>
      </c>
      <c r="P7998" t="n">
        <v>0</v>
      </c>
      <c r="Q7998" t="n">
        <v>0</v>
      </c>
      <c r="R7998" s="2" t="inlineStr"/>
    </row>
    <row r="7999" ht="15" customHeight="1">
      <c r="A7999" t="inlineStr">
        <is>
          <t>A 59025-2025</t>
        </is>
      </c>
      <c r="B7999" s="1" t="n">
        <v>45988.34513888889</v>
      </c>
      <c r="C7999" s="1" t="n">
        <v>46075</v>
      </c>
      <c r="D7999" t="inlineStr">
        <is>
          <t>VÄSTERBOTTENS LÄN</t>
        </is>
      </c>
      <c r="E7999" t="inlineStr">
        <is>
          <t>SKELLEFTEÅ</t>
        </is>
      </c>
      <c r="G7999" t="n">
        <v>0.4</v>
      </c>
      <c r="H7999" t="n">
        <v>0</v>
      </c>
      <c r="I7999" t="n">
        <v>0</v>
      </c>
      <c r="J7999" t="n">
        <v>0</v>
      </c>
      <c r="K7999" t="n">
        <v>0</v>
      </c>
      <c r="L7999" t="n">
        <v>0</v>
      </c>
      <c r="M7999" t="n">
        <v>0</v>
      </c>
      <c r="N7999" t="n">
        <v>0</v>
      </c>
      <c r="O7999" t="n">
        <v>0</v>
      </c>
      <c r="P7999" t="n">
        <v>0</v>
      </c>
      <c r="Q7999" t="n">
        <v>0</v>
      </c>
      <c r="R7999" s="2" t="inlineStr"/>
    </row>
    <row r="8000" ht="15" customHeight="1">
      <c r="A8000" t="inlineStr">
        <is>
          <t>A 59346-2025</t>
        </is>
      </c>
      <c r="B8000" s="1" t="n">
        <v>45989.39722222222</v>
      </c>
      <c r="C8000" s="1" t="n">
        <v>46075</v>
      </c>
      <c r="D8000" t="inlineStr">
        <is>
          <t>VÄSTERBOTTENS LÄN</t>
        </is>
      </c>
      <c r="E8000" t="inlineStr">
        <is>
          <t>SKELLEFTEÅ</t>
        </is>
      </c>
      <c r="F8000" t="inlineStr">
        <is>
          <t>Holmen skog AB</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12118-2025</t>
        </is>
      </c>
      <c r="B8001" s="1" t="n">
        <v>45729.36533564814</v>
      </c>
      <c r="C8001" s="1" t="n">
        <v>46075</v>
      </c>
      <c r="D8001" t="inlineStr">
        <is>
          <t>VÄSTERBOTTENS LÄN</t>
        </is>
      </c>
      <c r="E8001" t="inlineStr">
        <is>
          <t>DOROTEA</t>
        </is>
      </c>
      <c r="F8001" t="inlineStr">
        <is>
          <t>SCA</t>
        </is>
      </c>
      <c r="G8001" t="n">
        <v>13.5</v>
      </c>
      <c r="H8001" t="n">
        <v>0</v>
      </c>
      <c r="I8001" t="n">
        <v>0</v>
      </c>
      <c r="J8001" t="n">
        <v>0</v>
      </c>
      <c r="K8001" t="n">
        <v>0</v>
      </c>
      <c r="L8001" t="n">
        <v>0</v>
      </c>
      <c r="M8001" t="n">
        <v>0</v>
      </c>
      <c r="N8001" t="n">
        <v>0</v>
      </c>
      <c r="O8001" t="n">
        <v>0</v>
      </c>
      <c r="P8001" t="n">
        <v>0</v>
      </c>
      <c r="Q8001" t="n">
        <v>0</v>
      </c>
      <c r="R8001" s="2" t="inlineStr"/>
    </row>
    <row r="8002" ht="15" customHeight="1">
      <c r="A8002" t="inlineStr">
        <is>
          <t>A 44078-2023</t>
        </is>
      </c>
      <c r="B8002" s="1" t="n">
        <v>45188.41950231481</v>
      </c>
      <c r="C8002" s="1" t="n">
        <v>46075</v>
      </c>
      <c r="D8002" t="inlineStr">
        <is>
          <t>VÄSTERBOTTENS LÄN</t>
        </is>
      </c>
      <c r="E8002" t="inlineStr">
        <is>
          <t>SKELLEFTEÅ</t>
        </is>
      </c>
      <c r="F8002" t="inlineStr">
        <is>
          <t>Holmen skog AB</t>
        </is>
      </c>
      <c r="G8002" t="n">
        <v>13.7</v>
      </c>
      <c r="H8002" t="n">
        <v>0</v>
      </c>
      <c r="I8002" t="n">
        <v>0</v>
      </c>
      <c r="J8002" t="n">
        <v>0</v>
      </c>
      <c r="K8002" t="n">
        <v>0</v>
      </c>
      <c r="L8002" t="n">
        <v>0</v>
      </c>
      <c r="M8002" t="n">
        <v>0</v>
      </c>
      <c r="N8002" t="n">
        <v>0</v>
      </c>
      <c r="O8002" t="n">
        <v>0</v>
      </c>
      <c r="P8002" t="n">
        <v>0</v>
      </c>
      <c r="Q8002" t="n">
        <v>0</v>
      </c>
      <c r="R8002" s="2" t="inlineStr"/>
    </row>
    <row r="8003" ht="15" customHeight="1">
      <c r="A8003" t="inlineStr">
        <is>
          <t>A 73684-2021</t>
        </is>
      </c>
      <c r="B8003" s="1" t="n">
        <v>44551</v>
      </c>
      <c r="C8003" s="1" t="n">
        <v>46075</v>
      </c>
      <c r="D8003" t="inlineStr">
        <is>
          <t>VÄSTERBOTTENS LÄN</t>
        </is>
      </c>
      <c r="E8003" t="inlineStr">
        <is>
          <t>SKELLEFTEÅ</t>
        </is>
      </c>
      <c r="G8003" t="n">
        <v>3.6</v>
      </c>
      <c r="H8003" t="n">
        <v>0</v>
      </c>
      <c r="I8003" t="n">
        <v>0</v>
      </c>
      <c r="J8003" t="n">
        <v>0</v>
      </c>
      <c r="K8003" t="n">
        <v>0</v>
      </c>
      <c r="L8003" t="n">
        <v>0</v>
      </c>
      <c r="M8003" t="n">
        <v>0</v>
      </c>
      <c r="N8003" t="n">
        <v>0</v>
      </c>
      <c r="O8003" t="n">
        <v>0</v>
      </c>
      <c r="P8003" t="n">
        <v>0</v>
      </c>
      <c r="Q8003" t="n">
        <v>0</v>
      </c>
      <c r="R8003" s="2" t="inlineStr"/>
    </row>
    <row r="8004" ht="15" customHeight="1">
      <c r="A8004" t="inlineStr">
        <is>
          <t>A 59278-2025</t>
        </is>
      </c>
      <c r="B8004" s="1" t="n">
        <v>45988.70458333333</v>
      </c>
      <c r="C8004" s="1" t="n">
        <v>46075</v>
      </c>
      <c r="D8004" t="inlineStr">
        <is>
          <t>VÄSTERBOTTENS LÄN</t>
        </is>
      </c>
      <c r="E8004" t="inlineStr">
        <is>
          <t>BJURHOLM</t>
        </is>
      </c>
      <c r="G8004" t="n">
        <v>3.8</v>
      </c>
      <c r="H8004" t="n">
        <v>0</v>
      </c>
      <c r="I8004" t="n">
        <v>0</v>
      </c>
      <c r="J8004" t="n">
        <v>0</v>
      </c>
      <c r="K8004" t="n">
        <v>0</v>
      </c>
      <c r="L8004" t="n">
        <v>0</v>
      </c>
      <c r="M8004" t="n">
        <v>0</v>
      </c>
      <c r="N8004" t="n">
        <v>0</v>
      </c>
      <c r="O8004" t="n">
        <v>0</v>
      </c>
      <c r="P8004" t="n">
        <v>0</v>
      </c>
      <c r="Q8004" t="n">
        <v>0</v>
      </c>
      <c r="R8004" s="2" t="inlineStr"/>
    </row>
    <row r="8005" ht="15" customHeight="1">
      <c r="A8005" t="inlineStr">
        <is>
          <t>A 59173-2025</t>
        </is>
      </c>
      <c r="B8005" s="1" t="n">
        <v>45988.56671296297</v>
      </c>
      <c r="C8005" s="1" t="n">
        <v>46075</v>
      </c>
      <c r="D8005" t="inlineStr">
        <is>
          <t>VÄSTERBOTTENS LÄN</t>
        </is>
      </c>
      <c r="E8005" t="inlineStr">
        <is>
          <t>SKELLEFTEÅ</t>
        </is>
      </c>
      <c r="F8005" t="inlineStr">
        <is>
          <t>Holmen skog AB</t>
        </is>
      </c>
      <c r="G8005" t="n">
        <v>2.5</v>
      </c>
      <c r="H8005" t="n">
        <v>0</v>
      </c>
      <c r="I8005" t="n">
        <v>0</v>
      </c>
      <c r="J8005" t="n">
        <v>0</v>
      </c>
      <c r="K8005" t="n">
        <v>0</v>
      </c>
      <c r="L8005" t="n">
        <v>0</v>
      </c>
      <c r="M8005" t="n">
        <v>0</v>
      </c>
      <c r="N8005" t="n">
        <v>0</v>
      </c>
      <c r="O8005" t="n">
        <v>0</v>
      </c>
      <c r="P8005" t="n">
        <v>0</v>
      </c>
      <c r="Q8005" t="n">
        <v>0</v>
      </c>
      <c r="R8005" s="2" t="inlineStr"/>
    </row>
    <row r="8006" ht="15" customHeight="1">
      <c r="A8006" t="inlineStr">
        <is>
          <t>A 59201-2025</t>
        </is>
      </c>
      <c r="B8006" s="1" t="n">
        <v>45988.60271990741</v>
      </c>
      <c r="C8006" s="1" t="n">
        <v>46075</v>
      </c>
      <c r="D8006" t="inlineStr">
        <is>
          <t>VÄSTERBOTTENS LÄN</t>
        </is>
      </c>
      <c r="E8006" t="inlineStr">
        <is>
          <t>SKELLEFTEÅ</t>
        </is>
      </c>
      <c r="F8006" t="inlineStr">
        <is>
          <t>Holmen skog AB</t>
        </is>
      </c>
      <c r="G8006" t="n">
        <v>4.2</v>
      </c>
      <c r="H8006" t="n">
        <v>0</v>
      </c>
      <c r="I8006" t="n">
        <v>0</v>
      </c>
      <c r="J8006" t="n">
        <v>0</v>
      </c>
      <c r="K8006" t="n">
        <v>0</v>
      </c>
      <c r="L8006" t="n">
        <v>0</v>
      </c>
      <c r="M8006" t="n">
        <v>0</v>
      </c>
      <c r="N8006" t="n">
        <v>0</v>
      </c>
      <c r="O8006" t="n">
        <v>0</v>
      </c>
      <c r="P8006" t="n">
        <v>0</v>
      </c>
      <c r="Q8006" t="n">
        <v>0</v>
      </c>
      <c r="R8006" s="2" t="inlineStr"/>
    </row>
    <row r="8007" ht="15" customHeight="1">
      <c r="A8007" t="inlineStr">
        <is>
          <t>A 59208-2025</t>
        </is>
      </c>
      <c r="B8007" s="1" t="n">
        <v>45988.61494212963</v>
      </c>
      <c r="C8007" s="1" t="n">
        <v>46075</v>
      </c>
      <c r="D8007" t="inlineStr">
        <is>
          <t>VÄSTERBOTTENS LÄN</t>
        </is>
      </c>
      <c r="E8007" t="inlineStr">
        <is>
          <t>SKELLEFTEÅ</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59224-2025</t>
        </is>
      </c>
      <c r="B8008" s="1" t="n">
        <v>45988.61928240741</v>
      </c>
      <c r="C8008" s="1" t="n">
        <v>46075</v>
      </c>
      <c r="D8008" t="inlineStr">
        <is>
          <t>VÄSTERBOTTENS LÄN</t>
        </is>
      </c>
      <c r="E8008" t="inlineStr">
        <is>
          <t>SKELLEFTEÅ</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59226-2025</t>
        </is>
      </c>
      <c r="B8009" s="1" t="n">
        <v>45988.62199074074</v>
      </c>
      <c r="C8009" s="1" t="n">
        <v>46075</v>
      </c>
      <c r="D8009" t="inlineStr">
        <is>
          <t>VÄSTERBOTTENS LÄN</t>
        </is>
      </c>
      <c r="E8009" t="inlineStr">
        <is>
          <t>SKELLEFTEÅ</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59448-2025</t>
        </is>
      </c>
      <c r="B8010" s="1" t="n">
        <v>45989.56814814815</v>
      </c>
      <c r="C8010" s="1" t="n">
        <v>46075</v>
      </c>
      <c r="D8010" t="inlineStr">
        <is>
          <t>VÄSTERBOTTENS LÄN</t>
        </is>
      </c>
      <c r="E8010" t="inlineStr">
        <is>
          <t>MALÅ</t>
        </is>
      </c>
      <c r="F8010" t="inlineStr">
        <is>
          <t>Sveaskog</t>
        </is>
      </c>
      <c r="G8010" t="n">
        <v>5.5</v>
      </c>
      <c r="H8010" t="n">
        <v>0</v>
      </c>
      <c r="I8010" t="n">
        <v>0</v>
      </c>
      <c r="J8010" t="n">
        <v>0</v>
      </c>
      <c r="K8010" t="n">
        <v>0</v>
      </c>
      <c r="L8010" t="n">
        <v>0</v>
      </c>
      <c r="M8010" t="n">
        <v>0</v>
      </c>
      <c r="N8010" t="n">
        <v>0</v>
      </c>
      <c r="O8010" t="n">
        <v>0</v>
      </c>
      <c r="P8010" t="n">
        <v>0</v>
      </c>
      <c r="Q8010" t="n">
        <v>0</v>
      </c>
      <c r="R8010" s="2" t="inlineStr"/>
    </row>
    <row r="8011" ht="15" customHeight="1">
      <c r="A8011" t="inlineStr">
        <is>
          <t>A 59460-2025</t>
        </is>
      </c>
      <c r="B8011" s="1" t="n">
        <v>45989.57853009259</v>
      </c>
      <c r="C8011" s="1" t="n">
        <v>46075</v>
      </c>
      <c r="D8011" t="inlineStr">
        <is>
          <t>VÄSTERBOTTENS LÄN</t>
        </is>
      </c>
      <c r="E8011" t="inlineStr">
        <is>
          <t>MALÅ</t>
        </is>
      </c>
      <c r="F8011" t="inlineStr">
        <is>
          <t>Sveaskog</t>
        </is>
      </c>
      <c r="G8011" t="n">
        <v>1.3</v>
      </c>
      <c r="H8011" t="n">
        <v>0</v>
      </c>
      <c r="I8011" t="n">
        <v>0</v>
      </c>
      <c r="J8011" t="n">
        <v>0</v>
      </c>
      <c r="K8011" t="n">
        <v>0</v>
      </c>
      <c r="L8011" t="n">
        <v>0</v>
      </c>
      <c r="M8011" t="n">
        <v>0</v>
      </c>
      <c r="N8011" t="n">
        <v>0</v>
      </c>
      <c r="O8011" t="n">
        <v>0</v>
      </c>
      <c r="P8011" t="n">
        <v>0</v>
      </c>
      <c r="Q8011" t="n">
        <v>0</v>
      </c>
      <c r="R8011" s="2" t="inlineStr"/>
    </row>
    <row r="8012" ht="15" customHeight="1">
      <c r="A8012" t="inlineStr">
        <is>
          <t>A 59026-2025</t>
        </is>
      </c>
      <c r="B8012" s="1" t="n">
        <v>45988</v>
      </c>
      <c r="C8012" s="1" t="n">
        <v>46075</v>
      </c>
      <c r="D8012" t="inlineStr">
        <is>
          <t>VÄSTERBOTTENS LÄN</t>
        </is>
      </c>
      <c r="E8012" t="inlineStr">
        <is>
          <t>NORSJÖ</t>
        </is>
      </c>
      <c r="G8012" t="n">
        <v>3.9</v>
      </c>
      <c r="H8012" t="n">
        <v>0</v>
      </c>
      <c r="I8012" t="n">
        <v>0</v>
      </c>
      <c r="J8012" t="n">
        <v>0</v>
      </c>
      <c r="K8012" t="n">
        <v>0</v>
      </c>
      <c r="L8012" t="n">
        <v>0</v>
      </c>
      <c r="M8012" t="n">
        <v>0</v>
      </c>
      <c r="N8012" t="n">
        <v>0</v>
      </c>
      <c r="O8012" t="n">
        <v>0</v>
      </c>
      <c r="P8012" t="n">
        <v>0</v>
      </c>
      <c r="Q8012" t="n">
        <v>0</v>
      </c>
      <c r="R8012" s="2" t="inlineStr"/>
    </row>
    <row r="8013" ht="15" customHeight="1">
      <c r="A8013" t="inlineStr">
        <is>
          <t>A 59059-2025</t>
        </is>
      </c>
      <c r="B8013" s="1" t="n">
        <v>45988.40299768518</v>
      </c>
      <c r="C8013" s="1" t="n">
        <v>46075</v>
      </c>
      <c r="D8013" t="inlineStr">
        <is>
          <t>VÄSTERBOTTENS LÄN</t>
        </is>
      </c>
      <c r="E8013" t="inlineStr">
        <is>
          <t>SKELLEFTEÅ</t>
        </is>
      </c>
      <c r="F8013" t="inlineStr">
        <is>
          <t>Sveaskog</t>
        </is>
      </c>
      <c r="G8013" t="n">
        <v>33.4</v>
      </c>
      <c r="H8013" t="n">
        <v>0</v>
      </c>
      <c r="I8013" t="n">
        <v>0</v>
      </c>
      <c r="J8013" t="n">
        <v>0</v>
      </c>
      <c r="K8013" t="n">
        <v>0</v>
      </c>
      <c r="L8013" t="n">
        <v>0</v>
      </c>
      <c r="M8013" t="n">
        <v>0</v>
      </c>
      <c r="N8013" t="n">
        <v>0</v>
      </c>
      <c r="O8013" t="n">
        <v>0</v>
      </c>
      <c r="P8013" t="n">
        <v>0</v>
      </c>
      <c r="Q8013" t="n">
        <v>0</v>
      </c>
      <c r="R8013" s="2" t="inlineStr"/>
    </row>
    <row r="8014" ht="15" customHeight="1">
      <c r="A8014" t="inlineStr">
        <is>
          <t>A 579-2023</t>
        </is>
      </c>
      <c r="B8014" s="1" t="n">
        <v>44925</v>
      </c>
      <c r="C8014" s="1" t="n">
        <v>46075</v>
      </c>
      <c r="D8014" t="inlineStr">
        <is>
          <t>VÄSTERBOTTENS LÄN</t>
        </is>
      </c>
      <c r="E8014" t="inlineStr">
        <is>
          <t>VINDELN</t>
        </is>
      </c>
      <c r="G8014" t="n">
        <v>3.6</v>
      </c>
      <c r="H8014" t="n">
        <v>0</v>
      </c>
      <c r="I8014" t="n">
        <v>0</v>
      </c>
      <c r="J8014" t="n">
        <v>0</v>
      </c>
      <c r="K8014" t="n">
        <v>0</v>
      </c>
      <c r="L8014" t="n">
        <v>0</v>
      </c>
      <c r="M8014" t="n">
        <v>0</v>
      </c>
      <c r="N8014" t="n">
        <v>0</v>
      </c>
      <c r="O8014" t="n">
        <v>0</v>
      </c>
      <c r="P8014" t="n">
        <v>0</v>
      </c>
      <c r="Q8014" t="n">
        <v>0</v>
      </c>
      <c r="R8014" s="2" t="inlineStr"/>
    </row>
    <row r="8015" ht="15" customHeight="1">
      <c r="A8015" t="inlineStr">
        <is>
          <t>A 6684-2023</t>
        </is>
      </c>
      <c r="B8015" s="1" t="n">
        <v>44963</v>
      </c>
      <c r="C8015" s="1" t="n">
        <v>46075</v>
      </c>
      <c r="D8015" t="inlineStr">
        <is>
          <t>VÄSTERBOTTENS LÄN</t>
        </is>
      </c>
      <c r="E8015" t="inlineStr">
        <is>
          <t>LYCKSELE</t>
        </is>
      </c>
      <c r="G8015" t="n">
        <v>2.7</v>
      </c>
      <c r="H8015" t="n">
        <v>0</v>
      </c>
      <c r="I8015" t="n">
        <v>0</v>
      </c>
      <c r="J8015" t="n">
        <v>0</v>
      </c>
      <c r="K8015" t="n">
        <v>0</v>
      </c>
      <c r="L8015" t="n">
        <v>0</v>
      </c>
      <c r="M8015" t="n">
        <v>0</v>
      </c>
      <c r="N8015" t="n">
        <v>0</v>
      </c>
      <c r="O8015" t="n">
        <v>0</v>
      </c>
      <c r="P8015" t="n">
        <v>0</v>
      </c>
      <c r="Q8015" t="n">
        <v>0</v>
      </c>
      <c r="R8015" s="2" t="inlineStr"/>
    </row>
    <row r="8016" ht="15" customHeight="1">
      <c r="A8016" t="inlineStr">
        <is>
          <t>A 59463-2025</t>
        </is>
      </c>
      <c r="B8016" s="1" t="n">
        <v>45989.57953703704</v>
      </c>
      <c r="C8016" s="1" t="n">
        <v>46075</v>
      </c>
      <c r="D8016" t="inlineStr">
        <is>
          <t>VÄSTERBOTTENS LÄN</t>
        </is>
      </c>
      <c r="E8016" t="inlineStr">
        <is>
          <t>MALÅ</t>
        </is>
      </c>
      <c r="G8016" t="n">
        <v>7.2</v>
      </c>
      <c r="H8016" t="n">
        <v>0</v>
      </c>
      <c r="I8016" t="n">
        <v>0</v>
      </c>
      <c r="J8016" t="n">
        <v>0</v>
      </c>
      <c r="K8016" t="n">
        <v>0</v>
      </c>
      <c r="L8016" t="n">
        <v>0</v>
      </c>
      <c r="M8016" t="n">
        <v>0</v>
      </c>
      <c r="N8016" t="n">
        <v>0</v>
      </c>
      <c r="O8016" t="n">
        <v>0</v>
      </c>
      <c r="P8016" t="n">
        <v>0</v>
      </c>
      <c r="Q8016" t="n">
        <v>0</v>
      </c>
      <c r="R8016" s="2" t="inlineStr"/>
    </row>
    <row r="8017" ht="15" customHeight="1">
      <c r="A8017" t="inlineStr">
        <is>
          <t>A 49631-2023</t>
        </is>
      </c>
      <c r="B8017" s="1" t="n">
        <v>45211</v>
      </c>
      <c r="C8017" s="1" t="n">
        <v>46075</v>
      </c>
      <c r="D8017" t="inlineStr">
        <is>
          <t>VÄSTERBOTTENS LÄN</t>
        </is>
      </c>
      <c r="E8017" t="inlineStr">
        <is>
          <t>LYCKSELE</t>
        </is>
      </c>
      <c r="F8017" t="inlineStr">
        <is>
          <t>Kommuner</t>
        </is>
      </c>
      <c r="G8017" t="n">
        <v>0.1</v>
      </c>
      <c r="H8017" t="n">
        <v>0</v>
      </c>
      <c r="I8017" t="n">
        <v>0</v>
      </c>
      <c r="J8017" t="n">
        <v>0</v>
      </c>
      <c r="K8017" t="n">
        <v>0</v>
      </c>
      <c r="L8017" t="n">
        <v>0</v>
      </c>
      <c r="M8017" t="n">
        <v>0</v>
      </c>
      <c r="N8017" t="n">
        <v>0</v>
      </c>
      <c r="O8017" t="n">
        <v>0</v>
      </c>
      <c r="P8017" t="n">
        <v>0</v>
      </c>
      <c r="Q8017" t="n">
        <v>0</v>
      </c>
      <c r="R8017" s="2" t="inlineStr"/>
    </row>
    <row r="8018" ht="15" customHeight="1">
      <c r="A8018" t="inlineStr">
        <is>
          <t>A 6699-2023</t>
        </is>
      </c>
      <c r="B8018" s="1" t="n">
        <v>44966.67196759259</v>
      </c>
      <c r="C8018" s="1" t="n">
        <v>46075</v>
      </c>
      <c r="D8018" t="inlineStr">
        <is>
          <t>VÄSTERBOTTENS LÄN</t>
        </is>
      </c>
      <c r="E8018" t="inlineStr">
        <is>
          <t>BJURHOLM</t>
        </is>
      </c>
      <c r="F8018" t="inlineStr">
        <is>
          <t>Holmen skog AB</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59425-2025</t>
        </is>
      </c>
      <c r="B8019" s="1" t="n">
        <v>45989.53918981482</v>
      </c>
      <c r="C8019" s="1" t="n">
        <v>46075</v>
      </c>
      <c r="D8019" t="inlineStr">
        <is>
          <t>VÄSTERBOTTENS LÄN</t>
        </is>
      </c>
      <c r="E8019" t="inlineStr">
        <is>
          <t>VINDELN</t>
        </is>
      </c>
      <c r="F8019" t="inlineStr">
        <is>
          <t>Sveaskog</t>
        </is>
      </c>
      <c r="G8019" t="n">
        <v>3.6</v>
      </c>
      <c r="H8019" t="n">
        <v>0</v>
      </c>
      <c r="I8019" t="n">
        <v>0</v>
      </c>
      <c r="J8019" t="n">
        <v>0</v>
      </c>
      <c r="K8019" t="n">
        <v>0</v>
      </c>
      <c r="L8019" t="n">
        <v>0</v>
      </c>
      <c r="M8019" t="n">
        <v>0</v>
      </c>
      <c r="N8019" t="n">
        <v>0</v>
      </c>
      <c r="O8019" t="n">
        <v>0</v>
      </c>
      <c r="P8019" t="n">
        <v>0</v>
      </c>
      <c r="Q8019" t="n">
        <v>0</v>
      </c>
      <c r="R8019" s="2" t="inlineStr"/>
    </row>
    <row r="8020" ht="15" customHeight="1">
      <c r="A8020" t="inlineStr">
        <is>
          <t>A 59033-2025</t>
        </is>
      </c>
      <c r="B8020" s="1" t="n">
        <v>45988.36071759259</v>
      </c>
      <c r="C8020" s="1" t="n">
        <v>46075</v>
      </c>
      <c r="D8020" t="inlineStr">
        <is>
          <t>VÄSTERBOTTENS LÄN</t>
        </is>
      </c>
      <c r="E8020" t="inlineStr">
        <is>
          <t>SKELLEFTEÅ</t>
        </is>
      </c>
      <c r="G8020" t="n">
        <v>2.4</v>
      </c>
      <c r="H8020" t="n">
        <v>0</v>
      </c>
      <c r="I8020" t="n">
        <v>0</v>
      </c>
      <c r="J8020" t="n">
        <v>0</v>
      </c>
      <c r="K8020" t="n">
        <v>0</v>
      </c>
      <c r="L8020" t="n">
        <v>0</v>
      </c>
      <c r="M8020" t="n">
        <v>0</v>
      </c>
      <c r="N8020" t="n">
        <v>0</v>
      </c>
      <c r="O8020" t="n">
        <v>0</v>
      </c>
      <c r="P8020" t="n">
        <v>0</v>
      </c>
      <c r="Q8020" t="n">
        <v>0</v>
      </c>
      <c r="R8020" s="2" t="inlineStr"/>
    </row>
    <row r="8021" ht="15" customHeight="1">
      <c r="A8021" t="inlineStr">
        <is>
          <t>A 37346-2024</t>
        </is>
      </c>
      <c r="B8021" s="1" t="n">
        <v>45540</v>
      </c>
      <c r="C8021" s="1" t="n">
        <v>46075</v>
      </c>
      <c r="D8021" t="inlineStr">
        <is>
          <t>VÄSTERBOTTENS LÄN</t>
        </is>
      </c>
      <c r="E8021" t="inlineStr">
        <is>
          <t>VILHELMINA</t>
        </is>
      </c>
      <c r="G8021" t="n">
        <v>96.3</v>
      </c>
      <c r="H8021" t="n">
        <v>0</v>
      </c>
      <c r="I8021" t="n">
        <v>0</v>
      </c>
      <c r="J8021" t="n">
        <v>0</v>
      </c>
      <c r="K8021" t="n">
        <v>0</v>
      </c>
      <c r="L8021" t="n">
        <v>0</v>
      </c>
      <c r="M8021" t="n">
        <v>0</v>
      </c>
      <c r="N8021" t="n">
        <v>0</v>
      </c>
      <c r="O8021" t="n">
        <v>0</v>
      </c>
      <c r="P8021" t="n">
        <v>0</v>
      </c>
      <c r="Q8021" t="n">
        <v>0</v>
      </c>
      <c r="R8021" s="2" t="inlineStr"/>
    </row>
    <row r="8022" ht="15" customHeight="1">
      <c r="A8022" t="inlineStr">
        <is>
          <t>A 41854-2024</t>
        </is>
      </c>
      <c r="B8022" s="1" t="n">
        <v>45561.44042824074</v>
      </c>
      <c r="C8022" s="1" t="n">
        <v>46075</v>
      </c>
      <c r="D8022" t="inlineStr">
        <is>
          <t>VÄSTERBOTTENS LÄN</t>
        </is>
      </c>
      <c r="E8022" t="inlineStr">
        <is>
          <t>STORUMAN</t>
        </is>
      </c>
      <c r="F8022" t="inlineStr">
        <is>
          <t>Sveaskog</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38478-2024</t>
        </is>
      </c>
      <c r="B8023" s="1" t="n">
        <v>45546</v>
      </c>
      <c r="C8023" s="1" t="n">
        <v>46075</v>
      </c>
      <c r="D8023" t="inlineStr">
        <is>
          <t>VÄSTERBOTTENS LÄN</t>
        </is>
      </c>
      <c r="E8023" t="inlineStr">
        <is>
          <t>LYCKSELE</t>
        </is>
      </c>
      <c r="G8023" t="n">
        <v>0.1</v>
      </c>
      <c r="H8023" t="n">
        <v>0</v>
      </c>
      <c r="I8023" t="n">
        <v>0</v>
      </c>
      <c r="J8023" t="n">
        <v>0</v>
      </c>
      <c r="K8023" t="n">
        <v>0</v>
      </c>
      <c r="L8023" t="n">
        <v>0</v>
      </c>
      <c r="M8023" t="n">
        <v>0</v>
      </c>
      <c r="N8023" t="n">
        <v>0</v>
      </c>
      <c r="O8023" t="n">
        <v>0</v>
      </c>
      <c r="P8023" t="n">
        <v>0</v>
      </c>
      <c r="Q8023" t="n">
        <v>0</v>
      </c>
      <c r="R8023" s="2" t="inlineStr"/>
    </row>
    <row r="8024" ht="15" customHeight="1">
      <c r="A8024" t="inlineStr">
        <is>
          <t>A 50462-2023</t>
        </is>
      </c>
      <c r="B8024" s="1" t="n">
        <v>45216.84662037037</v>
      </c>
      <c r="C8024" s="1" t="n">
        <v>46075</v>
      </c>
      <c r="D8024" t="inlineStr">
        <is>
          <t>VÄSTERBOTTENS LÄN</t>
        </is>
      </c>
      <c r="E8024" t="inlineStr">
        <is>
          <t>SKELLEFTEÅ</t>
        </is>
      </c>
      <c r="G8024" t="n">
        <v>12.4</v>
      </c>
      <c r="H8024" t="n">
        <v>0</v>
      </c>
      <c r="I8024" t="n">
        <v>0</v>
      </c>
      <c r="J8024" t="n">
        <v>0</v>
      </c>
      <c r="K8024" t="n">
        <v>0</v>
      </c>
      <c r="L8024" t="n">
        <v>0</v>
      </c>
      <c r="M8024" t="n">
        <v>0</v>
      </c>
      <c r="N8024" t="n">
        <v>0</v>
      </c>
      <c r="O8024" t="n">
        <v>0</v>
      </c>
      <c r="P8024" t="n">
        <v>0</v>
      </c>
      <c r="Q8024" t="n">
        <v>0</v>
      </c>
      <c r="R8024" s="2" t="inlineStr"/>
    </row>
    <row r="8025" ht="15" customHeight="1">
      <c r="A8025" t="inlineStr">
        <is>
          <t>A 59473-2025</t>
        </is>
      </c>
      <c r="B8025" s="1" t="n">
        <v>45989.5844212963</v>
      </c>
      <c r="C8025" s="1" t="n">
        <v>46075</v>
      </c>
      <c r="D8025" t="inlineStr">
        <is>
          <t>VÄSTERBOTTENS LÄN</t>
        </is>
      </c>
      <c r="E8025" t="inlineStr">
        <is>
          <t>LYCKSELE</t>
        </is>
      </c>
      <c r="G8025" t="n">
        <v>5.5</v>
      </c>
      <c r="H8025" t="n">
        <v>0</v>
      </c>
      <c r="I8025" t="n">
        <v>0</v>
      </c>
      <c r="J8025" t="n">
        <v>0</v>
      </c>
      <c r="K8025" t="n">
        <v>0</v>
      </c>
      <c r="L8025" t="n">
        <v>0</v>
      </c>
      <c r="M8025" t="n">
        <v>0</v>
      </c>
      <c r="N8025" t="n">
        <v>0</v>
      </c>
      <c r="O8025" t="n">
        <v>0</v>
      </c>
      <c r="P8025" t="n">
        <v>0</v>
      </c>
      <c r="Q8025" t="n">
        <v>0</v>
      </c>
      <c r="R8025" s="2" t="inlineStr"/>
    </row>
    <row r="8026" ht="15" customHeight="1">
      <c r="A8026" t="inlineStr">
        <is>
          <t>A 59513-2025</t>
        </is>
      </c>
      <c r="B8026" s="1" t="n">
        <v>45989</v>
      </c>
      <c r="C8026" s="1" t="n">
        <v>46075</v>
      </c>
      <c r="D8026" t="inlineStr">
        <is>
          <t>VÄSTERBOTTENS LÄN</t>
        </is>
      </c>
      <c r="E8026" t="inlineStr">
        <is>
          <t>NORSJÖ</t>
        </is>
      </c>
      <c r="G8026" t="n">
        <v>6.7</v>
      </c>
      <c r="H8026" t="n">
        <v>0</v>
      </c>
      <c r="I8026" t="n">
        <v>0</v>
      </c>
      <c r="J8026" t="n">
        <v>0</v>
      </c>
      <c r="K8026" t="n">
        <v>0</v>
      </c>
      <c r="L8026" t="n">
        <v>0</v>
      </c>
      <c r="M8026" t="n">
        <v>0</v>
      </c>
      <c r="N8026" t="n">
        <v>0</v>
      </c>
      <c r="O8026" t="n">
        <v>0</v>
      </c>
      <c r="P8026" t="n">
        <v>0</v>
      </c>
      <c r="Q8026" t="n">
        <v>0</v>
      </c>
      <c r="R8026" s="2" t="inlineStr"/>
    </row>
    <row r="8027" ht="15" customHeight="1">
      <c r="A8027" t="inlineStr">
        <is>
          <t>A 59324-2025</t>
        </is>
      </c>
      <c r="B8027" s="1" t="n">
        <v>45989.3446412037</v>
      </c>
      <c r="C8027" s="1" t="n">
        <v>46075</v>
      </c>
      <c r="D8027" t="inlineStr">
        <is>
          <t>VÄSTERBOTTENS LÄN</t>
        </is>
      </c>
      <c r="E8027" t="inlineStr">
        <is>
          <t>BJURHOLM</t>
        </is>
      </c>
      <c r="F8027" t="inlineStr">
        <is>
          <t>SCA</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59343-2025</t>
        </is>
      </c>
      <c r="B8028" s="1" t="n">
        <v>45989.38943287037</v>
      </c>
      <c r="C8028" s="1" t="n">
        <v>46075</v>
      </c>
      <c r="D8028" t="inlineStr">
        <is>
          <t>VÄSTERBOTTENS LÄN</t>
        </is>
      </c>
      <c r="E8028" t="inlineStr">
        <is>
          <t>SKELLEFTEÅ</t>
        </is>
      </c>
      <c r="F8028" t="inlineStr">
        <is>
          <t>Holmen skog AB</t>
        </is>
      </c>
      <c r="G8028" t="n">
        <v>4.1</v>
      </c>
      <c r="H8028" t="n">
        <v>0</v>
      </c>
      <c r="I8028" t="n">
        <v>0</v>
      </c>
      <c r="J8028" t="n">
        <v>0</v>
      </c>
      <c r="K8028" t="n">
        <v>0</v>
      </c>
      <c r="L8028" t="n">
        <v>0</v>
      </c>
      <c r="M8028" t="n">
        <v>0</v>
      </c>
      <c r="N8028" t="n">
        <v>0</v>
      </c>
      <c r="O8028" t="n">
        <v>0</v>
      </c>
      <c r="P8028" t="n">
        <v>0</v>
      </c>
      <c r="Q8028" t="n">
        <v>0</v>
      </c>
      <c r="R8028" s="2" t="inlineStr"/>
    </row>
    <row r="8029" ht="15" customHeight="1">
      <c r="A8029" t="inlineStr">
        <is>
          <t>A 59354-2025</t>
        </is>
      </c>
      <c r="B8029" s="1" t="n">
        <v>45989.41605324074</v>
      </c>
      <c r="C8029" s="1" t="n">
        <v>46075</v>
      </c>
      <c r="D8029" t="inlineStr">
        <is>
          <t>VÄSTERBOTTENS LÄN</t>
        </is>
      </c>
      <c r="E8029" t="inlineStr">
        <is>
          <t>SKELLEFTEÅ</t>
        </is>
      </c>
      <c r="F8029" t="inlineStr">
        <is>
          <t>Holmen skog AB</t>
        </is>
      </c>
      <c r="G8029" t="n">
        <v>8.9</v>
      </c>
      <c r="H8029" t="n">
        <v>0</v>
      </c>
      <c r="I8029" t="n">
        <v>0</v>
      </c>
      <c r="J8029" t="n">
        <v>0</v>
      </c>
      <c r="K8029" t="n">
        <v>0</v>
      </c>
      <c r="L8029" t="n">
        <v>0</v>
      </c>
      <c r="M8029" t="n">
        <v>0</v>
      </c>
      <c r="N8029" t="n">
        <v>0</v>
      </c>
      <c r="O8029" t="n">
        <v>0</v>
      </c>
      <c r="P8029" t="n">
        <v>0</v>
      </c>
      <c r="Q8029" t="n">
        <v>0</v>
      </c>
      <c r="R8029" s="2" t="inlineStr"/>
    </row>
    <row r="8030" ht="15" customHeight="1">
      <c r="A8030" t="inlineStr">
        <is>
          <t>A 59356-2025</t>
        </is>
      </c>
      <c r="B8030" s="1" t="n">
        <v>45989.42163194445</v>
      </c>
      <c r="C8030" s="1" t="n">
        <v>46075</v>
      </c>
      <c r="D8030" t="inlineStr">
        <is>
          <t>VÄSTERBOTTENS LÄN</t>
        </is>
      </c>
      <c r="E8030" t="inlineStr">
        <is>
          <t>SKELLEFTEÅ</t>
        </is>
      </c>
      <c r="F8030" t="inlineStr">
        <is>
          <t>Holmen skog AB</t>
        </is>
      </c>
      <c r="G8030" t="n">
        <v>24.4</v>
      </c>
      <c r="H8030" t="n">
        <v>0</v>
      </c>
      <c r="I8030" t="n">
        <v>0</v>
      </c>
      <c r="J8030" t="n">
        <v>0</v>
      </c>
      <c r="K8030" t="n">
        <v>0</v>
      </c>
      <c r="L8030" t="n">
        <v>0</v>
      </c>
      <c r="M8030" t="n">
        <v>0</v>
      </c>
      <c r="N8030" t="n">
        <v>0</v>
      </c>
      <c r="O8030" t="n">
        <v>0</v>
      </c>
      <c r="P8030" t="n">
        <v>0</v>
      </c>
      <c r="Q8030" t="n">
        <v>0</v>
      </c>
      <c r="R8030" s="2" t="inlineStr"/>
    </row>
    <row r="8031" ht="15" customHeight="1">
      <c r="A8031" t="inlineStr">
        <is>
          <t>A 59375-2025</t>
        </is>
      </c>
      <c r="B8031" s="1" t="n">
        <v>45989.44947916667</v>
      </c>
      <c r="C8031" s="1" t="n">
        <v>46075</v>
      </c>
      <c r="D8031" t="inlineStr">
        <is>
          <t>VÄSTERBOTTENS LÄN</t>
        </is>
      </c>
      <c r="E8031" t="inlineStr">
        <is>
          <t>NORSJÖ</t>
        </is>
      </c>
      <c r="G8031" t="n">
        <v>4.2</v>
      </c>
      <c r="H8031" t="n">
        <v>0</v>
      </c>
      <c r="I8031" t="n">
        <v>0</v>
      </c>
      <c r="J8031" t="n">
        <v>0</v>
      </c>
      <c r="K8031" t="n">
        <v>0</v>
      </c>
      <c r="L8031" t="n">
        <v>0</v>
      </c>
      <c r="M8031" t="n">
        <v>0</v>
      </c>
      <c r="N8031" t="n">
        <v>0</v>
      </c>
      <c r="O8031" t="n">
        <v>0</v>
      </c>
      <c r="P8031" t="n">
        <v>0</v>
      </c>
      <c r="Q8031" t="n">
        <v>0</v>
      </c>
      <c r="R8031" s="2" t="inlineStr"/>
    </row>
    <row r="8032" ht="15" customHeight="1">
      <c r="A8032" t="inlineStr">
        <is>
          <t>A 37508-2024</t>
        </is>
      </c>
      <c r="B8032" s="1" t="n">
        <v>45541.38083333334</v>
      </c>
      <c r="C8032" s="1" t="n">
        <v>46075</v>
      </c>
      <c r="D8032" t="inlineStr">
        <is>
          <t>VÄSTERBOTTENS LÄN</t>
        </is>
      </c>
      <c r="E8032" t="inlineStr">
        <is>
          <t>LYCKSELE</t>
        </is>
      </c>
      <c r="F8032" t="inlineStr">
        <is>
          <t>Holmen skog AB</t>
        </is>
      </c>
      <c r="G8032" t="n">
        <v>1.4</v>
      </c>
      <c r="H8032" t="n">
        <v>0</v>
      </c>
      <c r="I8032" t="n">
        <v>0</v>
      </c>
      <c r="J8032" t="n">
        <v>0</v>
      </c>
      <c r="K8032" t="n">
        <v>0</v>
      </c>
      <c r="L8032" t="n">
        <v>0</v>
      </c>
      <c r="M8032" t="n">
        <v>0</v>
      </c>
      <c r="N8032" t="n">
        <v>0</v>
      </c>
      <c r="O8032" t="n">
        <v>0</v>
      </c>
      <c r="P8032" t="n">
        <v>0</v>
      </c>
      <c r="Q8032" t="n">
        <v>0</v>
      </c>
      <c r="R8032" s="2" t="inlineStr"/>
    </row>
    <row r="8033" ht="15" customHeight="1">
      <c r="A8033" t="inlineStr">
        <is>
          <t>A 59440-2025</t>
        </is>
      </c>
      <c r="B8033" s="1" t="n">
        <v>45989.56008101852</v>
      </c>
      <c r="C8033" s="1" t="n">
        <v>46075</v>
      </c>
      <c r="D8033" t="inlineStr">
        <is>
          <t>VÄSTERBOTTENS LÄN</t>
        </is>
      </c>
      <c r="E8033" t="inlineStr">
        <is>
          <t>MALÅ</t>
        </is>
      </c>
      <c r="F8033" t="inlineStr">
        <is>
          <t>Sveaskog</t>
        </is>
      </c>
      <c r="G8033" t="n">
        <v>2.8</v>
      </c>
      <c r="H8033" t="n">
        <v>0</v>
      </c>
      <c r="I8033" t="n">
        <v>0</v>
      </c>
      <c r="J8033" t="n">
        <v>0</v>
      </c>
      <c r="K8033" t="n">
        <v>0</v>
      </c>
      <c r="L8033" t="n">
        <v>0</v>
      </c>
      <c r="M8033" t="n">
        <v>0</v>
      </c>
      <c r="N8033" t="n">
        <v>0</v>
      </c>
      <c r="O8033" t="n">
        <v>0</v>
      </c>
      <c r="P8033" t="n">
        <v>0</v>
      </c>
      <c r="Q8033" t="n">
        <v>0</v>
      </c>
      <c r="R8033" s="2" t="inlineStr"/>
    </row>
    <row r="8034" ht="15" customHeight="1">
      <c r="A8034" t="inlineStr">
        <is>
          <t>A 59443-2025</t>
        </is>
      </c>
      <c r="B8034" s="1" t="n">
        <v>45989.56253472222</v>
      </c>
      <c r="C8034" s="1" t="n">
        <v>46075</v>
      </c>
      <c r="D8034" t="inlineStr">
        <is>
          <t>VÄSTERBOTTENS LÄN</t>
        </is>
      </c>
      <c r="E8034" t="inlineStr">
        <is>
          <t>MALÅ</t>
        </is>
      </c>
      <c r="F8034" t="inlineStr">
        <is>
          <t>Sveaskog</t>
        </is>
      </c>
      <c r="G8034" t="n">
        <v>4.4</v>
      </c>
      <c r="H8034" t="n">
        <v>0</v>
      </c>
      <c r="I8034" t="n">
        <v>0</v>
      </c>
      <c r="J8034" t="n">
        <v>0</v>
      </c>
      <c r="K8034" t="n">
        <v>0</v>
      </c>
      <c r="L8034" t="n">
        <v>0</v>
      </c>
      <c r="M8034" t="n">
        <v>0</v>
      </c>
      <c r="N8034" t="n">
        <v>0</v>
      </c>
      <c r="O8034" t="n">
        <v>0</v>
      </c>
      <c r="P8034" t="n">
        <v>0</v>
      </c>
      <c r="Q8034" t="n">
        <v>0</v>
      </c>
      <c r="R8034" s="2" t="inlineStr"/>
    </row>
    <row r="8035" ht="15" customHeight="1">
      <c r="A8035" t="inlineStr">
        <is>
          <t>A 59457-2025</t>
        </is>
      </c>
      <c r="B8035" s="1" t="n">
        <v>45989.57658564814</v>
      </c>
      <c r="C8035" s="1" t="n">
        <v>46075</v>
      </c>
      <c r="D8035" t="inlineStr">
        <is>
          <t>VÄSTERBOTTENS LÄN</t>
        </is>
      </c>
      <c r="E8035" t="inlineStr">
        <is>
          <t>MALÅ</t>
        </is>
      </c>
      <c r="F8035" t="inlineStr">
        <is>
          <t>Sveaskog</t>
        </is>
      </c>
      <c r="G8035" t="n">
        <v>12.4</v>
      </c>
      <c r="H8035" t="n">
        <v>0</v>
      </c>
      <c r="I8035" t="n">
        <v>0</v>
      </c>
      <c r="J8035" t="n">
        <v>0</v>
      </c>
      <c r="K8035" t="n">
        <v>0</v>
      </c>
      <c r="L8035" t="n">
        <v>0</v>
      </c>
      <c r="M8035" t="n">
        <v>0</v>
      </c>
      <c r="N8035" t="n">
        <v>0</v>
      </c>
      <c r="O8035" t="n">
        <v>0</v>
      </c>
      <c r="P8035" t="n">
        <v>0</v>
      </c>
      <c r="Q8035" t="n">
        <v>0</v>
      </c>
      <c r="R8035" s="2" t="inlineStr"/>
    </row>
    <row r="8036" ht="15" customHeight="1">
      <c r="A8036" t="inlineStr">
        <is>
          <t>A 59458-2025</t>
        </is>
      </c>
      <c r="B8036" s="1" t="n">
        <v>45989.5778125</v>
      </c>
      <c r="C8036" s="1" t="n">
        <v>46075</v>
      </c>
      <c r="D8036" t="inlineStr">
        <is>
          <t>VÄSTERBOTTENS LÄN</t>
        </is>
      </c>
      <c r="E8036" t="inlineStr">
        <is>
          <t>LYCKSELE</t>
        </is>
      </c>
      <c r="G8036" t="n">
        <v>5.9</v>
      </c>
      <c r="H8036" t="n">
        <v>0</v>
      </c>
      <c r="I8036" t="n">
        <v>0</v>
      </c>
      <c r="J8036" t="n">
        <v>0</v>
      </c>
      <c r="K8036" t="n">
        <v>0</v>
      </c>
      <c r="L8036" t="n">
        <v>0</v>
      </c>
      <c r="M8036" t="n">
        <v>0</v>
      </c>
      <c r="N8036" t="n">
        <v>0</v>
      </c>
      <c r="O8036" t="n">
        <v>0</v>
      </c>
      <c r="P8036" t="n">
        <v>0</v>
      </c>
      <c r="Q8036" t="n">
        <v>0</v>
      </c>
      <c r="R8036" s="2" t="inlineStr"/>
    </row>
    <row r="8037" ht="15" customHeight="1">
      <c r="A8037" t="inlineStr">
        <is>
          <t>A 49226-2024</t>
        </is>
      </c>
      <c r="B8037" s="1" t="n">
        <v>45595.41861111111</v>
      </c>
      <c r="C8037" s="1" t="n">
        <v>46075</v>
      </c>
      <c r="D8037" t="inlineStr">
        <is>
          <t>VÄSTERBOTTENS LÄN</t>
        </is>
      </c>
      <c r="E8037" t="inlineStr">
        <is>
          <t>MALÅ</t>
        </is>
      </c>
      <c r="F8037" t="inlineStr">
        <is>
          <t>Sveaskog</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5403-2025</t>
        </is>
      </c>
      <c r="B8038" s="1" t="n">
        <v>45692.64475694444</v>
      </c>
      <c r="C8038" s="1" t="n">
        <v>46075</v>
      </c>
      <c r="D8038" t="inlineStr">
        <is>
          <t>VÄSTERBOTTENS LÄN</t>
        </is>
      </c>
      <c r="E8038" t="inlineStr">
        <is>
          <t>VILHELMINA</t>
        </is>
      </c>
      <c r="F8038" t="inlineStr">
        <is>
          <t>Kommuner</t>
        </is>
      </c>
      <c r="G8038" t="n">
        <v>14.9</v>
      </c>
      <c r="H8038" t="n">
        <v>0</v>
      </c>
      <c r="I8038" t="n">
        <v>0</v>
      </c>
      <c r="J8038" t="n">
        <v>0</v>
      </c>
      <c r="K8038" t="n">
        <v>0</v>
      </c>
      <c r="L8038" t="n">
        <v>0</v>
      </c>
      <c r="M8038" t="n">
        <v>0</v>
      </c>
      <c r="N8038" t="n">
        <v>0</v>
      </c>
      <c r="O8038" t="n">
        <v>0</v>
      </c>
      <c r="P8038" t="n">
        <v>0</v>
      </c>
      <c r="Q8038" t="n">
        <v>0</v>
      </c>
      <c r="R8038" s="2" t="inlineStr"/>
    </row>
    <row r="8039" ht="15" customHeight="1">
      <c r="A8039" t="inlineStr">
        <is>
          <t>A 59182-2025</t>
        </is>
      </c>
      <c r="B8039" s="1" t="n">
        <v>45988.57400462963</v>
      </c>
      <c r="C8039" s="1" t="n">
        <v>46075</v>
      </c>
      <c r="D8039" t="inlineStr">
        <is>
          <t>VÄSTERBOTTENS LÄN</t>
        </is>
      </c>
      <c r="E8039" t="inlineStr">
        <is>
          <t>VINDELN</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45965-2023</t>
        </is>
      </c>
      <c r="B8040" s="1" t="n">
        <v>45195.94755787037</v>
      </c>
      <c r="C8040" s="1" t="n">
        <v>46075</v>
      </c>
      <c r="D8040" t="inlineStr">
        <is>
          <t>VÄSTERBOTTENS LÄN</t>
        </is>
      </c>
      <c r="E8040" t="inlineStr">
        <is>
          <t>VILHELMINA</t>
        </is>
      </c>
      <c r="F8040" t="inlineStr">
        <is>
          <t>SCA</t>
        </is>
      </c>
      <c r="G8040" t="n">
        <v>1.8</v>
      </c>
      <c r="H8040" t="n">
        <v>0</v>
      </c>
      <c r="I8040" t="n">
        <v>0</v>
      </c>
      <c r="J8040" t="n">
        <v>0</v>
      </c>
      <c r="K8040" t="n">
        <v>0</v>
      </c>
      <c r="L8040" t="n">
        <v>0</v>
      </c>
      <c r="M8040" t="n">
        <v>0</v>
      </c>
      <c r="N8040" t="n">
        <v>0</v>
      </c>
      <c r="O8040" t="n">
        <v>0</v>
      </c>
      <c r="P8040" t="n">
        <v>0</v>
      </c>
      <c r="Q8040" t="n">
        <v>0</v>
      </c>
      <c r="R8040" s="2" t="inlineStr"/>
    </row>
    <row r="8041" ht="15" customHeight="1">
      <c r="A8041" t="inlineStr">
        <is>
          <t>A 47603-2022</t>
        </is>
      </c>
      <c r="B8041" s="1" t="n">
        <v>44852</v>
      </c>
      <c r="C8041" s="1" t="n">
        <v>46075</v>
      </c>
      <c r="D8041" t="inlineStr">
        <is>
          <t>VÄSTERBOTTENS LÄN</t>
        </is>
      </c>
      <c r="E8041" t="inlineStr">
        <is>
          <t>SORSELE</t>
        </is>
      </c>
      <c r="G8041" t="n">
        <v>5</v>
      </c>
      <c r="H8041" t="n">
        <v>0</v>
      </c>
      <c r="I8041" t="n">
        <v>0</v>
      </c>
      <c r="J8041" t="n">
        <v>0</v>
      </c>
      <c r="K8041" t="n">
        <v>0</v>
      </c>
      <c r="L8041" t="n">
        <v>0</v>
      </c>
      <c r="M8041" t="n">
        <v>0</v>
      </c>
      <c r="N8041" t="n">
        <v>0</v>
      </c>
      <c r="O8041" t="n">
        <v>0</v>
      </c>
      <c r="P8041" t="n">
        <v>0</v>
      </c>
      <c r="Q8041" t="n">
        <v>0</v>
      </c>
      <c r="R8041" s="2" t="inlineStr"/>
    </row>
    <row r="8042" ht="15" customHeight="1">
      <c r="A8042" t="inlineStr">
        <is>
          <t>A 59073-2025</t>
        </is>
      </c>
      <c r="B8042" s="1" t="n">
        <v>45988.42684027777</v>
      </c>
      <c r="C8042" s="1" t="n">
        <v>46075</v>
      </c>
      <c r="D8042" t="inlineStr">
        <is>
          <t>VÄSTERBOTTENS LÄN</t>
        </is>
      </c>
      <c r="E8042" t="inlineStr">
        <is>
          <t>BJURHOLM</t>
        </is>
      </c>
      <c r="F8042" t="inlineStr">
        <is>
          <t>Holmen skog AB</t>
        </is>
      </c>
      <c r="G8042" t="n">
        <v>11.8</v>
      </c>
      <c r="H8042" t="n">
        <v>0</v>
      </c>
      <c r="I8042" t="n">
        <v>0</v>
      </c>
      <c r="J8042" t="n">
        <v>0</v>
      </c>
      <c r="K8042" t="n">
        <v>0</v>
      </c>
      <c r="L8042" t="n">
        <v>0</v>
      </c>
      <c r="M8042" t="n">
        <v>0</v>
      </c>
      <c r="N8042" t="n">
        <v>0</v>
      </c>
      <c r="O8042" t="n">
        <v>0</v>
      </c>
      <c r="P8042" t="n">
        <v>0</v>
      </c>
      <c r="Q8042" t="n">
        <v>0</v>
      </c>
      <c r="R8042" s="2" t="inlineStr"/>
    </row>
    <row r="8043" ht="15" customHeight="1">
      <c r="A8043" t="inlineStr">
        <is>
          <t>A 10063-2025</t>
        </is>
      </c>
      <c r="B8043" s="1" t="n">
        <v>45719</v>
      </c>
      <c r="C8043" s="1" t="n">
        <v>46075</v>
      </c>
      <c r="D8043" t="inlineStr">
        <is>
          <t>VÄSTERBOTTENS LÄN</t>
        </is>
      </c>
      <c r="E8043" t="inlineStr">
        <is>
          <t>SKELLEFTEÅ</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46176-2023</t>
        </is>
      </c>
      <c r="B8044" s="1" t="n">
        <v>45196.60607638889</v>
      </c>
      <c r="C8044" s="1" t="n">
        <v>46075</v>
      </c>
      <c r="D8044" t="inlineStr">
        <is>
          <t>VÄSTERBOTTENS LÄN</t>
        </is>
      </c>
      <c r="E8044" t="inlineStr">
        <is>
          <t>LYCKSELE</t>
        </is>
      </c>
      <c r="F8044" t="inlineStr">
        <is>
          <t>Sveaskog</t>
        </is>
      </c>
      <c r="G8044" t="n">
        <v>5.5</v>
      </c>
      <c r="H8044" t="n">
        <v>0</v>
      </c>
      <c r="I8044" t="n">
        <v>0</v>
      </c>
      <c r="J8044" t="n">
        <v>0</v>
      </c>
      <c r="K8044" t="n">
        <v>0</v>
      </c>
      <c r="L8044" t="n">
        <v>0</v>
      </c>
      <c r="M8044" t="n">
        <v>0</v>
      </c>
      <c r="N8044" t="n">
        <v>0</v>
      </c>
      <c r="O8044" t="n">
        <v>0</v>
      </c>
      <c r="P8044" t="n">
        <v>0</v>
      </c>
      <c r="Q8044" t="n">
        <v>0</v>
      </c>
      <c r="R8044" s="2" t="inlineStr"/>
    </row>
    <row r="8045" ht="15" customHeight="1">
      <c r="A8045" t="inlineStr">
        <is>
          <t>A 59115-2025</t>
        </is>
      </c>
      <c r="B8045" s="1" t="n">
        <v>45988.48995370371</v>
      </c>
      <c r="C8045" s="1" t="n">
        <v>46075</v>
      </c>
      <c r="D8045" t="inlineStr">
        <is>
          <t>VÄSTERBOTTENS LÄN</t>
        </is>
      </c>
      <c r="E8045" t="inlineStr">
        <is>
          <t>UMEÅ</t>
        </is>
      </c>
      <c r="G8045" t="n">
        <v>2.4</v>
      </c>
      <c r="H8045" t="n">
        <v>0</v>
      </c>
      <c r="I8045" t="n">
        <v>0</v>
      </c>
      <c r="J8045" t="n">
        <v>0</v>
      </c>
      <c r="K8045" t="n">
        <v>0</v>
      </c>
      <c r="L8045" t="n">
        <v>0</v>
      </c>
      <c r="M8045" t="n">
        <v>0</v>
      </c>
      <c r="N8045" t="n">
        <v>0</v>
      </c>
      <c r="O8045" t="n">
        <v>0</v>
      </c>
      <c r="P8045" t="n">
        <v>0</v>
      </c>
      <c r="Q8045" t="n">
        <v>0</v>
      </c>
      <c r="R8045" s="2" t="inlineStr"/>
    </row>
    <row r="8046" ht="15" customHeight="1">
      <c r="A8046" t="inlineStr">
        <is>
          <t>A 59344-2025</t>
        </is>
      </c>
      <c r="B8046" s="1" t="n">
        <v>45989.39167824074</v>
      </c>
      <c r="C8046" s="1" t="n">
        <v>46075</v>
      </c>
      <c r="D8046" t="inlineStr">
        <is>
          <t>VÄSTERBOTTENS LÄN</t>
        </is>
      </c>
      <c r="E8046" t="inlineStr">
        <is>
          <t>UMEÅ</t>
        </is>
      </c>
      <c r="G8046" t="n">
        <v>0.3</v>
      </c>
      <c r="H8046" t="n">
        <v>0</v>
      </c>
      <c r="I8046" t="n">
        <v>0</v>
      </c>
      <c r="J8046" t="n">
        <v>0</v>
      </c>
      <c r="K8046" t="n">
        <v>0</v>
      </c>
      <c r="L8046" t="n">
        <v>0</v>
      </c>
      <c r="M8046" t="n">
        <v>0</v>
      </c>
      <c r="N8046" t="n">
        <v>0</v>
      </c>
      <c r="O8046" t="n">
        <v>0</v>
      </c>
      <c r="P8046" t="n">
        <v>0</v>
      </c>
      <c r="Q8046" t="n">
        <v>0</v>
      </c>
      <c r="R8046" s="2" t="inlineStr"/>
    </row>
    <row r="8047" ht="15" customHeight="1">
      <c r="A8047" t="inlineStr">
        <is>
          <t>A 59347-2025</t>
        </is>
      </c>
      <c r="B8047" s="1" t="n">
        <v>45989.39966435185</v>
      </c>
      <c r="C8047" s="1" t="n">
        <v>46075</v>
      </c>
      <c r="D8047" t="inlineStr">
        <is>
          <t>VÄSTERBOTTENS LÄN</t>
        </is>
      </c>
      <c r="E8047" t="inlineStr">
        <is>
          <t>SKELLEFTEÅ</t>
        </is>
      </c>
      <c r="F8047" t="inlineStr">
        <is>
          <t>Holmen skog AB</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59254-2025</t>
        </is>
      </c>
      <c r="B8048" s="1" t="n">
        <v>45988.6530324074</v>
      </c>
      <c r="C8048" s="1" t="n">
        <v>46075</v>
      </c>
      <c r="D8048" t="inlineStr">
        <is>
          <t>VÄSTERBOTTENS LÄN</t>
        </is>
      </c>
      <c r="E8048" t="inlineStr">
        <is>
          <t>SKELLEFTEÅ</t>
        </is>
      </c>
      <c r="G8048" t="n">
        <v>13.5</v>
      </c>
      <c r="H8048" t="n">
        <v>0</v>
      </c>
      <c r="I8048" t="n">
        <v>0</v>
      </c>
      <c r="J8048" t="n">
        <v>0</v>
      </c>
      <c r="K8048" t="n">
        <v>0</v>
      </c>
      <c r="L8048" t="n">
        <v>0</v>
      </c>
      <c r="M8048" t="n">
        <v>0</v>
      </c>
      <c r="N8048" t="n">
        <v>0</v>
      </c>
      <c r="O8048" t="n">
        <v>0</v>
      </c>
      <c r="P8048" t="n">
        <v>0</v>
      </c>
      <c r="Q8048" t="n">
        <v>0</v>
      </c>
      <c r="R8048" s="2" t="inlineStr"/>
    </row>
    <row r="8049" ht="15" customHeight="1">
      <c r="A8049" t="inlineStr">
        <is>
          <t>A 59066-2025</t>
        </is>
      </c>
      <c r="B8049" s="1" t="n">
        <v>45988.40792824074</v>
      </c>
      <c r="C8049" s="1" t="n">
        <v>46075</v>
      </c>
      <c r="D8049" t="inlineStr">
        <is>
          <t>VÄSTERBOTTENS LÄN</t>
        </is>
      </c>
      <c r="E8049" t="inlineStr">
        <is>
          <t>DOROTEA</t>
        </is>
      </c>
      <c r="G8049" t="n">
        <v>3.6</v>
      </c>
      <c r="H8049" t="n">
        <v>0</v>
      </c>
      <c r="I8049" t="n">
        <v>0</v>
      </c>
      <c r="J8049" t="n">
        <v>0</v>
      </c>
      <c r="K8049" t="n">
        <v>0</v>
      </c>
      <c r="L8049" t="n">
        <v>0</v>
      </c>
      <c r="M8049" t="n">
        <v>0</v>
      </c>
      <c r="N8049" t="n">
        <v>0</v>
      </c>
      <c r="O8049" t="n">
        <v>0</v>
      </c>
      <c r="P8049" t="n">
        <v>0</v>
      </c>
      <c r="Q8049" t="n">
        <v>0</v>
      </c>
      <c r="R8049" s="2" t="inlineStr"/>
    </row>
    <row r="8050" ht="15" customHeight="1">
      <c r="A8050" t="inlineStr">
        <is>
          <t>A 1875-2024</t>
        </is>
      </c>
      <c r="B8050" s="1" t="n">
        <v>45307.92592592593</v>
      </c>
      <c r="C8050" s="1" t="n">
        <v>46075</v>
      </c>
      <c r="D8050" t="inlineStr">
        <is>
          <t>VÄSTERBOTTENS LÄN</t>
        </is>
      </c>
      <c r="E8050" t="inlineStr">
        <is>
          <t>BJURHOLM</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55414-2024</t>
        </is>
      </c>
      <c r="B8051" s="1" t="n">
        <v>45622.37261574074</v>
      </c>
      <c r="C8051" s="1" t="n">
        <v>46075</v>
      </c>
      <c r="D8051" t="inlineStr">
        <is>
          <t>VÄSTERBOTTENS LÄN</t>
        </is>
      </c>
      <c r="E8051" t="inlineStr">
        <is>
          <t>VINDELN</t>
        </is>
      </c>
      <c r="G8051" t="n">
        <v>2</v>
      </c>
      <c r="H8051" t="n">
        <v>0</v>
      </c>
      <c r="I8051" t="n">
        <v>0</v>
      </c>
      <c r="J8051" t="n">
        <v>0</v>
      </c>
      <c r="K8051" t="n">
        <v>0</v>
      </c>
      <c r="L8051" t="n">
        <v>0</v>
      </c>
      <c r="M8051" t="n">
        <v>0</v>
      </c>
      <c r="N8051" t="n">
        <v>0</v>
      </c>
      <c r="O8051" t="n">
        <v>0</v>
      </c>
      <c r="P8051" t="n">
        <v>0</v>
      </c>
      <c r="Q8051" t="n">
        <v>0</v>
      </c>
      <c r="R8051" s="2" t="inlineStr"/>
    </row>
    <row r="8052" ht="15" customHeight="1">
      <c r="A8052" t="inlineStr">
        <is>
          <t>A 58553-2023</t>
        </is>
      </c>
      <c r="B8052" s="1" t="n">
        <v>45251</v>
      </c>
      <c r="C8052" s="1" t="n">
        <v>46075</v>
      </c>
      <c r="D8052" t="inlineStr">
        <is>
          <t>VÄSTERBOTTENS LÄN</t>
        </is>
      </c>
      <c r="E8052" t="inlineStr">
        <is>
          <t>LYCKSELE</t>
        </is>
      </c>
      <c r="F8052" t="inlineStr">
        <is>
          <t>Sveaskog</t>
        </is>
      </c>
      <c r="G8052" t="n">
        <v>1.9</v>
      </c>
      <c r="H8052" t="n">
        <v>0</v>
      </c>
      <c r="I8052" t="n">
        <v>0</v>
      </c>
      <c r="J8052" t="n">
        <v>0</v>
      </c>
      <c r="K8052" t="n">
        <v>0</v>
      </c>
      <c r="L8052" t="n">
        <v>0</v>
      </c>
      <c r="M8052" t="n">
        <v>0</v>
      </c>
      <c r="N8052" t="n">
        <v>0</v>
      </c>
      <c r="O8052" t="n">
        <v>0</v>
      </c>
      <c r="P8052" t="n">
        <v>0</v>
      </c>
      <c r="Q8052" t="n">
        <v>0</v>
      </c>
      <c r="R8052" s="2" t="inlineStr"/>
    </row>
    <row r="8053" ht="15" customHeight="1">
      <c r="A8053" t="inlineStr">
        <is>
          <t>A 1731-2026</t>
        </is>
      </c>
      <c r="B8053" s="1" t="n">
        <v>46034.63575231482</v>
      </c>
      <c r="C8053" s="1" t="n">
        <v>46075</v>
      </c>
      <c r="D8053" t="inlineStr">
        <is>
          <t>VÄSTERBOTTENS LÄN</t>
        </is>
      </c>
      <c r="E8053" t="inlineStr">
        <is>
          <t>SORSELE</t>
        </is>
      </c>
      <c r="G8053" t="n">
        <v>3</v>
      </c>
      <c r="H8053" t="n">
        <v>0</v>
      </c>
      <c r="I8053" t="n">
        <v>0</v>
      </c>
      <c r="J8053" t="n">
        <v>0</v>
      </c>
      <c r="K8053" t="n">
        <v>0</v>
      </c>
      <c r="L8053" t="n">
        <v>0</v>
      </c>
      <c r="M8053" t="n">
        <v>0</v>
      </c>
      <c r="N8053" t="n">
        <v>0</v>
      </c>
      <c r="O8053" t="n">
        <v>0</v>
      </c>
      <c r="P8053" t="n">
        <v>0</v>
      </c>
      <c r="Q8053" t="n">
        <v>0</v>
      </c>
      <c r="R8053" s="2" t="inlineStr"/>
    </row>
    <row r="8054" ht="15" customHeight="1">
      <c r="A8054" t="inlineStr">
        <is>
          <t>A 1814-2026</t>
        </is>
      </c>
      <c r="B8054" s="1" t="n">
        <v>46035.34442129629</v>
      </c>
      <c r="C8054" s="1" t="n">
        <v>46075</v>
      </c>
      <c r="D8054" t="inlineStr">
        <is>
          <t>VÄSTERBOTTENS LÄN</t>
        </is>
      </c>
      <c r="E8054" t="inlineStr">
        <is>
          <t>NORSJÖ</t>
        </is>
      </c>
      <c r="G8054" t="n">
        <v>3.1</v>
      </c>
      <c r="H8054" t="n">
        <v>0</v>
      </c>
      <c r="I8054" t="n">
        <v>0</v>
      </c>
      <c r="J8054" t="n">
        <v>0</v>
      </c>
      <c r="K8054" t="n">
        <v>0</v>
      </c>
      <c r="L8054" t="n">
        <v>0</v>
      </c>
      <c r="M8054" t="n">
        <v>0</v>
      </c>
      <c r="N8054" t="n">
        <v>0</v>
      </c>
      <c r="O8054" t="n">
        <v>0</v>
      </c>
      <c r="P8054" t="n">
        <v>0</v>
      </c>
      <c r="Q8054" t="n">
        <v>0</v>
      </c>
      <c r="R8054" s="2" t="inlineStr"/>
    </row>
    <row r="8055" ht="15" customHeight="1">
      <c r="A8055" t="inlineStr">
        <is>
          <t>A 54778-2024</t>
        </is>
      </c>
      <c r="B8055" s="1" t="n">
        <v>45618</v>
      </c>
      <c r="C8055" s="1" t="n">
        <v>46075</v>
      </c>
      <c r="D8055" t="inlineStr">
        <is>
          <t>VÄSTERBOTTENS LÄN</t>
        </is>
      </c>
      <c r="E8055" t="inlineStr">
        <is>
          <t>LYCKSELE</t>
        </is>
      </c>
      <c r="F8055" t="inlineStr">
        <is>
          <t>Sveaskog</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60065-2025</t>
        </is>
      </c>
      <c r="B8056" s="1" t="n">
        <v>45993.65892361111</v>
      </c>
      <c r="C8056" s="1" t="n">
        <v>46075</v>
      </c>
      <c r="D8056" t="inlineStr">
        <is>
          <t>VÄSTERBOTTENS LÄN</t>
        </is>
      </c>
      <c r="E8056" t="inlineStr">
        <is>
          <t>VILHELMINA</t>
        </is>
      </c>
      <c r="G8056" t="n">
        <v>5.8</v>
      </c>
      <c r="H8056" t="n">
        <v>0</v>
      </c>
      <c r="I8056" t="n">
        <v>0</v>
      </c>
      <c r="J8056" t="n">
        <v>0</v>
      </c>
      <c r="K8056" t="n">
        <v>0</v>
      </c>
      <c r="L8056" t="n">
        <v>0</v>
      </c>
      <c r="M8056" t="n">
        <v>0</v>
      </c>
      <c r="N8056" t="n">
        <v>0</v>
      </c>
      <c r="O8056" t="n">
        <v>0</v>
      </c>
      <c r="P8056" t="n">
        <v>0</v>
      </c>
      <c r="Q8056" t="n">
        <v>0</v>
      </c>
      <c r="R8056" s="2" t="inlineStr"/>
    </row>
    <row r="8057" ht="15" customHeight="1">
      <c r="A8057" t="inlineStr">
        <is>
          <t>A 60275-2025</t>
        </is>
      </c>
      <c r="B8057" s="1" t="n">
        <v>45993</v>
      </c>
      <c r="C8057" s="1" t="n">
        <v>46075</v>
      </c>
      <c r="D8057" t="inlineStr">
        <is>
          <t>VÄSTERBOTTENS LÄN</t>
        </is>
      </c>
      <c r="E8057" t="inlineStr">
        <is>
          <t>ÅSELE</t>
        </is>
      </c>
      <c r="G8057" t="n">
        <v>5.3</v>
      </c>
      <c r="H8057" t="n">
        <v>0</v>
      </c>
      <c r="I8057" t="n">
        <v>0</v>
      </c>
      <c r="J8057" t="n">
        <v>0</v>
      </c>
      <c r="K8057" t="n">
        <v>0</v>
      </c>
      <c r="L8057" t="n">
        <v>0</v>
      </c>
      <c r="M8057" t="n">
        <v>0</v>
      </c>
      <c r="N8057" t="n">
        <v>0</v>
      </c>
      <c r="O8057" t="n">
        <v>0</v>
      </c>
      <c r="P8057" t="n">
        <v>0</v>
      </c>
      <c r="Q8057" t="n">
        <v>0</v>
      </c>
      <c r="R8057" s="2" t="inlineStr"/>
    </row>
    <row r="8058" ht="15" customHeight="1">
      <c r="A8058" t="inlineStr">
        <is>
          <t>A 16706-2025</t>
        </is>
      </c>
      <c r="B8058" s="1" t="n">
        <v>45751</v>
      </c>
      <c r="C8058" s="1" t="n">
        <v>46075</v>
      </c>
      <c r="D8058" t="inlineStr">
        <is>
          <t>VÄSTERBOTTENS LÄN</t>
        </is>
      </c>
      <c r="E8058" t="inlineStr">
        <is>
          <t>SKELLEFTEÅ</t>
        </is>
      </c>
      <c r="G8058" t="n">
        <v>3.4</v>
      </c>
      <c r="H8058" t="n">
        <v>0</v>
      </c>
      <c r="I8058" t="n">
        <v>0</v>
      </c>
      <c r="J8058" t="n">
        <v>0</v>
      </c>
      <c r="K8058" t="n">
        <v>0</v>
      </c>
      <c r="L8058" t="n">
        <v>0</v>
      </c>
      <c r="M8058" t="n">
        <v>0</v>
      </c>
      <c r="N8058" t="n">
        <v>0</v>
      </c>
      <c r="O8058" t="n">
        <v>0</v>
      </c>
      <c r="P8058" t="n">
        <v>0</v>
      </c>
      <c r="Q8058" t="n">
        <v>0</v>
      </c>
      <c r="R8058" s="2" t="inlineStr"/>
    </row>
    <row r="8059" ht="15" customHeight="1">
      <c r="A8059" t="inlineStr">
        <is>
          <t>A 16707-2025</t>
        </is>
      </c>
      <c r="B8059" s="1" t="n">
        <v>45751</v>
      </c>
      <c r="C8059" s="1" t="n">
        <v>46075</v>
      </c>
      <c r="D8059" t="inlineStr">
        <is>
          <t>VÄSTERBOTTENS LÄN</t>
        </is>
      </c>
      <c r="E8059" t="inlineStr">
        <is>
          <t>SKELLEFTEÅ</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57325-2024</t>
        </is>
      </c>
      <c r="B8060" s="1" t="n">
        <v>45629.62143518519</v>
      </c>
      <c r="C8060" s="1" t="n">
        <v>46075</v>
      </c>
      <c r="D8060" t="inlineStr">
        <is>
          <t>VÄSTERBOTTENS LÄN</t>
        </is>
      </c>
      <c r="E8060" t="inlineStr">
        <is>
          <t>VINDELN</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13164-2024</t>
        </is>
      </c>
      <c r="B8061" s="1" t="n">
        <v>45386</v>
      </c>
      <c r="C8061" s="1" t="n">
        <v>46075</v>
      </c>
      <c r="D8061" t="inlineStr">
        <is>
          <t>VÄSTERBOTTENS LÄN</t>
        </is>
      </c>
      <c r="E8061" t="inlineStr">
        <is>
          <t>ROBERTSFORS</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37496-2023</t>
        </is>
      </c>
      <c r="B8062" s="1" t="n">
        <v>45157</v>
      </c>
      <c r="C8062" s="1" t="n">
        <v>46075</v>
      </c>
      <c r="D8062" t="inlineStr">
        <is>
          <t>VÄSTERBOTTENS LÄN</t>
        </is>
      </c>
      <c r="E8062" t="inlineStr">
        <is>
          <t>NORSJÖ</t>
        </is>
      </c>
      <c r="G8062" t="n">
        <v>2.7</v>
      </c>
      <c r="H8062" t="n">
        <v>0</v>
      </c>
      <c r="I8062" t="n">
        <v>0</v>
      </c>
      <c r="J8062" t="n">
        <v>0</v>
      </c>
      <c r="K8062" t="n">
        <v>0</v>
      </c>
      <c r="L8062" t="n">
        <v>0</v>
      </c>
      <c r="M8062" t="n">
        <v>0</v>
      </c>
      <c r="N8062" t="n">
        <v>0</v>
      </c>
      <c r="O8062" t="n">
        <v>0</v>
      </c>
      <c r="P8062" t="n">
        <v>0</v>
      </c>
      <c r="Q8062" t="n">
        <v>0</v>
      </c>
      <c r="R8062" s="2" t="inlineStr"/>
    </row>
    <row r="8063" ht="15" customHeight="1">
      <c r="A8063" t="inlineStr">
        <is>
          <t>A 20142-2025</t>
        </is>
      </c>
      <c r="B8063" s="1" t="n">
        <v>45772.52554398148</v>
      </c>
      <c r="C8063" s="1" t="n">
        <v>46075</v>
      </c>
      <c r="D8063" t="inlineStr">
        <is>
          <t>VÄSTERBOTTENS LÄN</t>
        </is>
      </c>
      <c r="E8063" t="inlineStr">
        <is>
          <t>UMEÅ</t>
        </is>
      </c>
      <c r="G8063" t="n">
        <v>2.1</v>
      </c>
      <c r="H8063" t="n">
        <v>0</v>
      </c>
      <c r="I8063" t="n">
        <v>0</v>
      </c>
      <c r="J8063" t="n">
        <v>0</v>
      </c>
      <c r="K8063" t="n">
        <v>0</v>
      </c>
      <c r="L8063" t="n">
        <v>0</v>
      </c>
      <c r="M8063" t="n">
        <v>0</v>
      </c>
      <c r="N8063" t="n">
        <v>0</v>
      </c>
      <c r="O8063" t="n">
        <v>0</v>
      </c>
      <c r="P8063" t="n">
        <v>0</v>
      </c>
      <c r="Q8063" t="n">
        <v>0</v>
      </c>
      <c r="R8063" s="2" t="inlineStr"/>
    </row>
    <row r="8064" ht="15" customHeight="1">
      <c r="A8064" t="inlineStr">
        <is>
          <t>A 59821-2025</t>
        </is>
      </c>
      <c r="B8064" s="1" t="n">
        <v>45992.64299768519</v>
      </c>
      <c r="C8064" s="1" t="n">
        <v>46075</v>
      </c>
      <c r="D8064" t="inlineStr">
        <is>
          <t>VÄSTERBOTTENS LÄN</t>
        </is>
      </c>
      <c r="E8064" t="inlineStr">
        <is>
          <t>LYCKSELE</t>
        </is>
      </c>
      <c r="F8064" t="inlineStr">
        <is>
          <t>Sveaskog</t>
        </is>
      </c>
      <c r="G8064" t="n">
        <v>3.3</v>
      </c>
      <c r="H8064" t="n">
        <v>0</v>
      </c>
      <c r="I8064" t="n">
        <v>0</v>
      </c>
      <c r="J8064" t="n">
        <v>0</v>
      </c>
      <c r="K8064" t="n">
        <v>0</v>
      </c>
      <c r="L8064" t="n">
        <v>0</v>
      </c>
      <c r="M8064" t="n">
        <v>0</v>
      </c>
      <c r="N8064" t="n">
        <v>0</v>
      </c>
      <c r="O8064" t="n">
        <v>0</v>
      </c>
      <c r="P8064" t="n">
        <v>0</v>
      </c>
      <c r="Q8064" t="n">
        <v>0</v>
      </c>
      <c r="R8064" s="2" t="inlineStr"/>
    </row>
    <row r="8065" ht="15" customHeight="1">
      <c r="A8065" t="inlineStr">
        <is>
          <t>A 59825-2025</t>
        </is>
      </c>
      <c r="B8065" s="1" t="n">
        <v>45992.65414351852</v>
      </c>
      <c r="C8065" s="1" t="n">
        <v>46075</v>
      </c>
      <c r="D8065" t="inlineStr">
        <is>
          <t>VÄSTERBOTTENS LÄN</t>
        </is>
      </c>
      <c r="E8065" t="inlineStr">
        <is>
          <t>LYCKSELE</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31449-2024</t>
        </is>
      </c>
      <c r="B8066" s="1" t="n">
        <v>45505.9299537037</v>
      </c>
      <c r="C8066" s="1" t="n">
        <v>46075</v>
      </c>
      <c r="D8066" t="inlineStr">
        <is>
          <t>VÄSTERBOTTENS LÄN</t>
        </is>
      </c>
      <c r="E8066" t="inlineStr">
        <is>
          <t>VILHELMINA</t>
        </is>
      </c>
      <c r="G8066" t="n">
        <v>3.5</v>
      </c>
      <c r="H8066" t="n">
        <v>0</v>
      </c>
      <c r="I8066" t="n">
        <v>0</v>
      </c>
      <c r="J8066" t="n">
        <v>0</v>
      </c>
      <c r="K8066" t="n">
        <v>0</v>
      </c>
      <c r="L8066" t="n">
        <v>0</v>
      </c>
      <c r="M8066" t="n">
        <v>0</v>
      </c>
      <c r="N8066" t="n">
        <v>0</v>
      </c>
      <c r="O8066" t="n">
        <v>0</v>
      </c>
      <c r="P8066" t="n">
        <v>0</v>
      </c>
      <c r="Q8066" t="n">
        <v>0</v>
      </c>
      <c r="R8066" s="2" t="inlineStr"/>
    </row>
    <row r="8067" ht="15" customHeight="1">
      <c r="A8067" t="inlineStr">
        <is>
          <t>A 7709-2023</t>
        </is>
      </c>
      <c r="B8067" s="1" t="n">
        <v>44969</v>
      </c>
      <c r="C8067" s="1" t="n">
        <v>46075</v>
      </c>
      <c r="D8067" t="inlineStr">
        <is>
          <t>VÄSTERBOTTENS LÄN</t>
        </is>
      </c>
      <c r="E8067" t="inlineStr">
        <is>
          <t>SORSELE</t>
        </is>
      </c>
      <c r="G8067" t="n">
        <v>7.9</v>
      </c>
      <c r="H8067" t="n">
        <v>0</v>
      </c>
      <c r="I8067" t="n">
        <v>0</v>
      </c>
      <c r="J8067" t="n">
        <v>0</v>
      </c>
      <c r="K8067" t="n">
        <v>0</v>
      </c>
      <c r="L8067" t="n">
        <v>0</v>
      </c>
      <c r="M8067" t="n">
        <v>0</v>
      </c>
      <c r="N8067" t="n">
        <v>0</v>
      </c>
      <c r="O8067" t="n">
        <v>0</v>
      </c>
      <c r="P8067" t="n">
        <v>0</v>
      </c>
      <c r="Q8067" t="n">
        <v>0</v>
      </c>
      <c r="R8067" s="2" t="inlineStr"/>
    </row>
    <row r="8068" ht="15" customHeight="1">
      <c r="A8068" t="inlineStr">
        <is>
          <t>A 19293-2025</t>
        </is>
      </c>
      <c r="B8068" s="1" t="n">
        <v>45769.56047453704</v>
      </c>
      <c r="C8068" s="1" t="n">
        <v>46075</v>
      </c>
      <c r="D8068" t="inlineStr">
        <is>
          <t>VÄSTERBOTTENS LÄN</t>
        </is>
      </c>
      <c r="E8068" t="inlineStr">
        <is>
          <t>SKELLEFTEÅ</t>
        </is>
      </c>
      <c r="G8068" t="n">
        <v>3.7</v>
      </c>
      <c r="H8068" t="n">
        <v>0</v>
      </c>
      <c r="I8068" t="n">
        <v>0</v>
      </c>
      <c r="J8068" t="n">
        <v>0</v>
      </c>
      <c r="K8068" t="n">
        <v>0</v>
      </c>
      <c r="L8068" t="n">
        <v>0</v>
      </c>
      <c r="M8068" t="n">
        <v>0</v>
      </c>
      <c r="N8068" t="n">
        <v>0</v>
      </c>
      <c r="O8068" t="n">
        <v>0</v>
      </c>
      <c r="P8068" t="n">
        <v>0</v>
      </c>
      <c r="Q8068" t="n">
        <v>0</v>
      </c>
      <c r="R8068" s="2" t="inlineStr"/>
    </row>
    <row r="8069" ht="15" customHeight="1">
      <c r="A8069" t="inlineStr">
        <is>
          <t>A 24696-2024</t>
        </is>
      </c>
      <c r="B8069" s="1" t="n">
        <v>45460</v>
      </c>
      <c r="C8069" s="1" t="n">
        <v>46075</v>
      </c>
      <c r="D8069" t="inlineStr">
        <is>
          <t>VÄSTERBOTTENS LÄN</t>
        </is>
      </c>
      <c r="E8069" t="inlineStr">
        <is>
          <t>SKELLEFTEÅ</t>
        </is>
      </c>
      <c r="F8069" t="inlineStr">
        <is>
          <t>Holmen skog AB</t>
        </is>
      </c>
      <c r="G8069" t="n">
        <v>4.9</v>
      </c>
      <c r="H8069" t="n">
        <v>0</v>
      </c>
      <c r="I8069" t="n">
        <v>0</v>
      </c>
      <c r="J8069" t="n">
        <v>0</v>
      </c>
      <c r="K8069" t="n">
        <v>0</v>
      </c>
      <c r="L8069" t="n">
        <v>0</v>
      </c>
      <c r="M8069" t="n">
        <v>0</v>
      </c>
      <c r="N8069" t="n">
        <v>0</v>
      </c>
      <c r="O8069" t="n">
        <v>0</v>
      </c>
      <c r="P8069" t="n">
        <v>0</v>
      </c>
      <c r="Q8069" t="n">
        <v>0</v>
      </c>
      <c r="R8069" s="2" t="inlineStr"/>
    </row>
    <row r="8070" ht="15" customHeight="1">
      <c r="A8070" t="inlineStr">
        <is>
          <t>A 59678-2025</t>
        </is>
      </c>
      <c r="B8070" s="1" t="n">
        <v>45992.46927083333</v>
      </c>
      <c r="C8070" s="1" t="n">
        <v>46075</v>
      </c>
      <c r="D8070" t="inlineStr">
        <is>
          <t>VÄSTERBOTTENS LÄN</t>
        </is>
      </c>
      <c r="E8070" t="inlineStr">
        <is>
          <t>SKELLEFTEÅ</t>
        </is>
      </c>
      <c r="G8070" t="n">
        <v>6.7</v>
      </c>
      <c r="H8070" t="n">
        <v>0</v>
      </c>
      <c r="I8070" t="n">
        <v>0</v>
      </c>
      <c r="J8070" t="n">
        <v>0</v>
      </c>
      <c r="K8070" t="n">
        <v>0</v>
      </c>
      <c r="L8070" t="n">
        <v>0</v>
      </c>
      <c r="M8070" t="n">
        <v>0</v>
      </c>
      <c r="N8070" t="n">
        <v>0</v>
      </c>
      <c r="O8070" t="n">
        <v>0</v>
      </c>
      <c r="P8070" t="n">
        <v>0</v>
      </c>
      <c r="Q8070" t="n">
        <v>0</v>
      </c>
      <c r="R8070" s="2" t="inlineStr"/>
    </row>
    <row r="8071" ht="15" customHeight="1">
      <c r="A8071" t="inlineStr">
        <is>
          <t>A 19616-2025</t>
        </is>
      </c>
      <c r="B8071" s="1" t="n">
        <v>45770.61537037037</v>
      </c>
      <c r="C8071" s="1" t="n">
        <v>46075</v>
      </c>
      <c r="D8071" t="inlineStr">
        <is>
          <t>VÄSTERBOTTENS LÄN</t>
        </is>
      </c>
      <c r="E8071" t="inlineStr">
        <is>
          <t>DOROTEA</t>
        </is>
      </c>
      <c r="F8071" t="inlineStr">
        <is>
          <t>SCA</t>
        </is>
      </c>
      <c r="G8071" t="n">
        <v>8.4</v>
      </c>
      <c r="H8071" t="n">
        <v>0</v>
      </c>
      <c r="I8071" t="n">
        <v>0</v>
      </c>
      <c r="J8071" t="n">
        <v>0</v>
      </c>
      <c r="K8071" t="n">
        <v>0</v>
      </c>
      <c r="L8071" t="n">
        <v>0</v>
      </c>
      <c r="M8071" t="n">
        <v>0</v>
      </c>
      <c r="N8071" t="n">
        <v>0</v>
      </c>
      <c r="O8071" t="n">
        <v>0</v>
      </c>
      <c r="P8071" t="n">
        <v>0</v>
      </c>
      <c r="Q8071" t="n">
        <v>0</v>
      </c>
      <c r="R8071" s="2" t="inlineStr"/>
    </row>
    <row r="8072" ht="15" customHeight="1">
      <c r="A8072" t="inlineStr">
        <is>
          <t>A 59940-2025</t>
        </is>
      </c>
      <c r="B8072" s="1" t="n">
        <v>45993.42767361111</v>
      </c>
      <c r="C8072" s="1" t="n">
        <v>46075</v>
      </c>
      <c r="D8072" t="inlineStr">
        <is>
          <t>VÄSTERBOTTENS LÄN</t>
        </is>
      </c>
      <c r="E8072" t="inlineStr">
        <is>
          <t>DOROTEA</t>
        </is>
      </c>
      <c r="F8072" t="inlineStr">
        <is>
          <t>SCA</t>
        </is>
      </c>
      <c r="G8072" t="n">
        <v>0.5</v>
      </c>
      <c r="H8072" t="n">
        <v>0</v>
      </c>
      <c r="I8072" t="n">
        <v>0</v>
      </c>
      <c r="J8072" t="n">
        <v>0</v>
      </c>
      <c r="K8072" t="n">
        <v>0</v>
      </c>
      <c r="L8072" t="n">
        <v>0</v>
      </c>
      <c r="M8072" t="n">
        <v>0</v>
      </c>
      <c r="N8072" t="n">
        <v>0</v>
      </c>
      <c r="O8072" t="n">
        <v>0</v>
      </c>
      <c r="P8072" t="n">
        <v>0</v>
      </c>
      <c r="Q8072" t="n">
        <v>0</v>
      </c>
      <c r="R8072" s="2" t="inlineStr"/>
    </row>
    <row r="8073" ht="15" customHeight="1">
      <c r="A8073" t="inlineStr">
        <is>
          <t>A 59945-2025</t>
        </is>
      </c>
      <c r="B8073" s="1" t="n">
        <v>45993.44833333333</v>
      </c>
      <c r="C8073" s="1" t="n">
        <v>46075</v>
      </c>
      <c r="D8073" t="inlineStr">
        <is>
          <t>VÄSTERBOTTENS LÄN</t>
        </is>
      </c>
      <c r="E8073" t="inlineStr">
        <is>
          <t>NORDMALING</t>
        </is>
      </c>
      <c r="F8073" t="inlineStr">
        <is>
          <t>SCA</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11747-2025</t>
        </is>
      </c>
      <c r="B8074" s="1" t="n">
        <v>45727.6358912037</v>
      </c>
      <c r="C8074" s="1" t="n">
        <v>46075</v>
      </c>
      <c r="D8074" t="inlineStr">
        <is>
          <t>VÄSTERBOTTENS LÄN</t>
        </is>
      </c>
      <c r="E8074" t="inlineStr">
        <is>
          <t>NORSJÖ</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8103-2025</t>
        </is>
      </c>
      <c r="B8075" s="1" t="n">
        <v>45707</v>
      </c>
      <c r="C8075" s="1" t="n">
        <v>46075</v>
      </c>
      <c r="D8075" t="inlineStr">
        <is>
          <t>VÄSTERBOTTENS LÄN</t>
        </is>
      </c>
      <c r="E8075" t="inlineStr">
        <is>
          <t>NORDMALING</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59816-2025</t>
        </is>
      </c>
      <c r="B8076" s="1" t="n">
        <v>45992</v>
      </c>
      <c r="C8076" s="1" t="n">
        <v>46075</v>
      </c>
      <c r="D8076" t="inlineStr">
        <is>
          <t>VÄSTERBOTTENS LÄN</t>
        </is>
      </c>
      <c r="E8076" t="inlineStr">
        <is>
          <t>LYCKSELE</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59818-2025</t>
        </is>
      </c>
      <c r="B8077" s="1" t="n">
        <v>45992.63871527778</v>
      </c>
      <c r="C8077" s="1" t="n">
        <v>46075</v>
      </c>
      <c r="D8077" t="inlineStr">
        <is>
          <t>VÄSTERBOTTENS LÄN</t>
        </is>
      </c>
      <c r="E8077" t="inlineStr">
        <is>
          <t>LYCKSELE</t>
        </is>
      </c>
      <c r="F8077" t="inlineStr">
        <is>
          <t>Sveaskog</t>
        </is>
      </c>
      <c r="G8077" t="n">
        <v>3.5</v>
      </c>
      <c r="H8077" t="n">
        <v>0</v>
      </c>
      <c r="I8077" t="n">
        <v>0</v>
      </c>
      <c r="J8077" t="n">
        <v>0</v>
      </c>
      <c r="K8077" t="n">
        <v>0</v>
      </c>
      <c r="L8077" t="n">
        <v>0</v>
      </c>
      <c r="M8077" t="n">
        <v>0</v>
      </c>
      <c r="N8077" t="n">
        <v>0</v>
      </c>
      <c r="O8077" t="n">
        <v>0</v>
      </c>
      <c r="P8077" t="n">
        <v>0</v>
      </c>
      <c r="Q8077" t="n">
        <v>0</v>
      </c>
      <c r="R8077" s="2" t="inlineStr"/>
    </row>
    <row r="8078" ht="15" customHeight="1">
      <c r="A8078" t="inlineStr">
        <is>
          <t>A 82-2025</t>
        </is>
      </c>
      <c r="B8078" s="1" t="n">
        <v>45659</v>
      </c>
      <c r="C8078" s="1" t="n">
        <v>46075</v>
      </c>
      <c r="D8078" t="inlineStr">
        <is>
          <t>VÄSTERBOTTENS LÄN</t>
        </is>
      </c>
      <c r="E8078" t="inlineStr">
        <is>
          <t>BJURHOLM</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14316-2025</t>
        </is>
      </c>
      <c r="B8079" s="1" t="n">
        <v>45740</v>
      </c>
      <c r="C8079" s="1" t="n">
        <v>46075</v>
      </c>
      <c r="D8079" t="inlineStr">
        <is>
          <t>VÄSTERBOTTENS LÄN</t>
        </is>
      </c>
      <c r="E8079" t="inlineStr">
        <is>
          <t>UMEÅ</t>
        </is>
      </c>
      <c r="G8079" t="n">
        <v>10</v>
      </c>
      <c r="H8079" t="n">
        <v>0</v>
      </c>
      <c r="I8079" t="n">
        <v>0</v>
      </c>
      <c r="J8079" t="n">
        <v>0</v>
      </c>
      <c r="K8079" t="n">
        <v>0</v>
      </c>
      <c r="L8079" t="n">
        <v>0</v>
      </c>
      <c r="M8079" t="n">
        <v>0</v>
      </c>
      <c r="N8079" t="n">
        <v>0</v>
      </c>
      <c r="O8079" t="n">
        <v>0</v>
      </c>
      <c r="P8079" t="n">
        <v>0</v>
      </c>
      <c r="Q8079" t="n">
        <v>0</v>
      </c>
      <c r="R8079" s="2" t="inlineStr"/>
    </row>
    <row r="8080" ht="15" customHeight="1">
      <c r="A8080" t="inlineStr">
        <is>
          <t>A 1700-2026</t>
        </is>
      </c>
      <c r="B8080" s="1" t="n">
        <v>46034.5943287037</v>
      </c>
      <c r="C8080" s="1" t="n">
        <v>46075</v>
      </c>
      <c r="D8080" t="inlineStr">
        <is>
          <t>VÄSTERBOTTENS LÄN</t>
        </is>
      </c>
      <c r="E8080" t="inlineStr">
        <is>
          <t>SORSELE</t>
        </is>
      </c>
      <c r="G8080" t="n">
        <v>29.6</v>
      </c>
      <c r="H8080" t="n">
        <v>0</v>
      </c>
      <c r="I8080" t="n">
        <v>0</v>
      </c>
      <c r="J8080" t="n">
        <v>0</v>
      </c>
      <c r="K8080" t="n">
        <v>0</v>
      </c>
      <c r="L8080" t="n">
        <v>0</v>
      </c>
      <c r="M8080" t="n">
        <v>0</v>
      </c>
      <c r="N8080" t="n">
        <v>0</v>
      </c>
      <c r="O8080" t="n">
        <v>0</v>
      </c>
      <c r="P8080" t="n">
        <v>0</v>
      </c>
      <c r="Q8080" t="n">
        <v>0</v>
      </c>
      <c r="R8080" s="2" t="inlineStr"/>
    </row>
    <row r="8081" ht="15" customHeight="1">
      <c r="A8081" t="inlineStr">
        <is>
          <t>A 1732-2026</t>
        </is>
      </c>
      <c r="B8081" s="1" t="n">
        <v>46034.63582175926</v>
      </c>
      <c r="C8081" s="1" t="n">
        <v>46075</v>
      </c>
      <c r="D8081" t="inlineStr">
        <is>
          <t>VÄSTERBOTTENS LÄN</t>
        </is>
      </c>
      <c r="E8081" t="inlineStr">
        <is>
          <t>SKELLEFTEÅ</t>
        </is>
      </c>
      <c r="G8081" t="n">
        <v>2.7</v>
      </c>
      <c r="H8081" t="n">
        <v>0</v>
      </c>
      <c r="I8081" t="n">
        <v>0</v>
      </c>
      <c r="J8081" t="n">
        <v>0</v>
      </c>
      <c r="K8081" t="n">
        <v>0</v>
      </c>
      <c r="L8081" t="n">
        <v>0</v>
      </c>
      <c r="M8081" t="n">
        <v>0</v>
      </c>
      <c r="N8081" t="n">
        <v>0</v>
      </c>
      <c r="O8081" t="n">
        <v>0</v>
      </c>
      <c r="P8081" t="n">
        <v>0</v>
      </c>
      <c r="Q8081" t="n">
        <v>0</v>
      </c>
      <c r="R8081" s="2" t="inlineStr"/>
    </row>
    <row r="8082" ht="15" customHeight="1">
      <c r="A8082" t="inlineStr">
        <is>
          <t>A 1751-2026</t>
        </is>
      </c>
      <c r="B8082" s="1" t="n">
        <v>46034.65690972222</v>
      </c>
      <c r="C8082" s="1" t="n">
        <v>46075</v>
      </c>
      <c r="D8082" t="inlineStr">
        <is>
          <t>VÄSTERBOTTENS LÄN</t>
        </is>
      </c>
      <c r="E8082" t="inlineStr">
        <is>
          <t>LYCKSELE</t>
        </is>
      </c>
      <c r="G8082" t="n">
        <v>8.4</v>
      </c>
      <c r="H8082" t="n">
        <v>0</v>
      </c>
      <c r="I8082" t="n">
        <v>0</v>
      </c>
      <c r="J8082" t="n">
        <v>0</v>
      </c>
      <c r="K8082" t="n">
        <v>0</v>
      </c>
      <c r="L8082" t="n">
        <v>0</v>
      </c>
      <c r="M8082" t="n">
        <v>0</v>
      </c>
      <c r="N8082" t="n">
        <v>0</v>
      </c>
      <c r="O8082" t="n">
        <v>0</v>
      </c>
      <c r="P8082" t="n">
        <v>0</v>
      </c>
      <c r="Q8082" t="n">
        <v>0</v>
      </c>
      <c r="R8082" s="2" t="inlineStr"/>
    </row>
    <row r="8083" ht="15" customHeight="1">
      <c r="A8083" t="inlineStr">
        <is>
          <t>A 57883-2022</t>
        </is>
      </c>
      <c r="B8083" s="1" t="n">
        <v>44899.94689814815</v>
      </c>
      <c r="C8083" s="1" t="n">
        <v>46075</v>
      </c>
      <c r="D8083" t="inlineStr">
        <is>
          <t>VÄSTERBOTTENS LÄN</t>
        </is>
      </c>
      <c r="E8083" t="inlineStr">
        <is>
          <t>BJURHOLM</t>
        </is>
      </c>
      <c r="F8083" t="inlineStr">
        <is>
          <t>SCA</t>
        </is>
      </c>
      <c r="G8083" t="n">
        <v>3.2</v>
      </c>
      <c r="H8083" t="n">
        <v>0</v>
      </c>
      <c r="I8083" t="n">
        <v>0</v>
      </c>
      <c r="J8083" t="n">
        <v>0</v>
      </c>
      <c r="K8083" t="n">
        <v>0</v>
      </c>
      <c r="L8083" t="n">
        <v>0</v>
      </c>
      <c r="M8083" t="n">
        <v>0</v>
      </c>
      <c r="N8083" t="n">
        <v>0</v>
      </c>
      <c r="O8083" t="n">
        <v>0</v>
      </c>
      <c r="P8083" t="n">
        <v>0</v>
      </c>
      <c r="Q8083" t="n">
        <v>0</v>
      </c>
      <c r="R8083" s="2" t="inlineStr"/>
    </row>
    <row r="8084" ht="15" customHeight="1">
      <c r="A8084" t="inlineStr">
        <is>
          <t>A 18165-2024</t>
        </is>
      </c>
      <c r="B8084" s="1" t="n">
        <v>45420.62534722222</v>
      </c>
      <c r="C8084" s="1" t="n">
        <v>46075</v>
      </c>
      <c r="D8084" t="inlineStr">
        <is>
          <t>VÄSTERBOTTENS LÄN</t>
        </is>
      </c>
      <c r="E8084" t="inlineStr">
        <is>
          <t>NORSJÖ</t>
        </is>
      </c>
      <c r="F8084" t="inlineStr">
        <is>
          <t>Holmen skog AB</t>
        </is>
      </c>
      <c r="G8084" t="n">
        <v>6.3</v>
      </c>
      <c r="H8084" t="n">
        <v>0</v>
      </c>
      <c r="I8084" t="n">
        <v>0</v>
      </c>
      <c r="J8084" t="n">
        <v>0</v>
      </c>
      <c r="K8084" t="n">
        <v>0</v>
      </c>
      <c r="L8084" t="n">
        <v>0</v>
      </c>
      <c r="M8084" t="n">
        <v>0</v>
      </c>
      <c r="N8084" t="n">
        <v>0</v>
      </c>
      <c r="O8084" t="n">
        <v>0</v>
      </c>
      <c r="P8084" t="n">
        <v>0</v>
      </c>
      <c r="Q8084" t="n">
        <v>0</v>
      </c>
      <c r="R8084" s="2" t="inlineStr"/>
    </row>
    <row r="8085" ht="15" customHeight="1">
      <c r="A8085" t="inlineStr">
        <is>
          <t>A 1813-2026</t>
        </is>
      </c>
      <c r="B8085" s="1" t="n">
        <v>46035.34439814815</v>
      </c>
      <c r="C8085" s="1" t="n">
        <v>46075</v>
      </c>
      <c r="D8085" t="inlineStr">
        <is>
          <t>VÄSTERBOTTENS LÄN</t>
        </is>
      </c>
      <c r="E8085" t="inlineStr">
        <is>
          <t>NORSJÖ</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8733-2023</t>
        </is>
      </c>
      <c r="B8086" s="1" t="n">
        <v>44972</v>
      </c>
      <c r="C8086" s="1" t="n">
        <v>46075</v>
      </c>
      <c r="D8086" t="inlineStr">
        <is>
          <t>VÄSTERBOTTENS LÄN</t>
        </is>
      </c>
      <c r="E8086" t="inlineStr">
        <is>
          <t>VILHELMINA</t>
        </is>
      </c>
      <c r="F8086" t="inlineStr">
        <is>
          <t>Allmännings- och besparingsskogar</t>
        </is>
      </c>
      <c r="G8086" t="n">
        <v>20</v>
      </c>
      <c r="H8086" t="n">
        <v>0</v>
      </c>
      <c r="I8086" t="n">
        <v>0</v>
      </c>
      <c r="J8086" t="n">
        <v>0</v>
      </c>
      <c r="K8086" t="n">
        <v>0</v>
      </c>
      <c r="L8086" t="n">
        <v>0</v>
      </c>
      <c r="M8086" t="n">
        <v>0</v>
      </c>
      <c r="N8086" t="n">
        <v>0</v>
      </c>
      <c r="O8086" t="n">
        <v>0</v>
      </c>
      <c r="P8086" t="n">
        <v>0</v>
      </c>
      <c r="Q8086" t="n">
        <v>0</v>
      </c>
      <c r="R8086" s="2" t="inlineStr"/>
    </row>
    <row r="8087" ht="15" customHeight="1">
      <c r="A8087" t="inlineStr">
        <is>
          <t>A 34760-2023</t>
        </is>
      </c>
      <c r="B8087" s="1" t="n">
        <v>45139</v>
      </c>
      <c r="C8087" s="1" t="n">
        <v>46075</v>
      </c>
      <c r="D8087" t="inlineStr">
        <is>
          <t>VÄSTERBOTTENS LÄN</t>
        </is>
      </c>
      <c r="E8087" t="inlineStr">
        <is>
          <t>VÄNNÄS</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1883-2026</t>
        </is>
      </c>
      <c r="B8088" s="1" t="n">
        <v>46035.48497685185</v>
      </c>
      <c r="C8088" s="1" t="n">
        <v>46075</v>
      </c>
      <c r="D8088" t="inlineStr">
        <is>
          <t>VÄSTERBOTTENS LÄN</t>
        </is>
      </c>
      <c r="E8088" t="inlineStr">
        <is>
          <t>VINDELN</t>
        </is>
      </c>
      <c r="G8088" t="n">
        <v>2.8</v>
      </c>
      <c r="H8088" t="n">
        <v>0</v>
      </c>
      <c r="I8088" t="n">
        <v>0</v>
      </c>
      <c r="J8088" t="n">
        <v>0</v>
      </c>
      <c r="K8088" t="n">
        <v>0</v>
      </c>
      <c r="L8088" t="n">
        <v>0</v>
      </c>
      <c r="M8088" t="n">
        <v>0</v>
      </c>
      <c r="N8088" t="n">
        <v>0</v>
      </c>
      <c r="O8088" t="n">
        <v>0</v>
      </c>
      <c r="P8088" t="n">
        <v>0</v>
      </c>
      <c r="Q8088" t="n">
        <v>0</v>
      </c>
      <c r="R8088" s="2" t="inlineStr"/>
    </row>
    <row r="8089" ht="15" customHeight="1">
      <c r="A8089" t="inlineStr">
        <is>
          <t>A 59574-2025</t>
        </is>
      </c>
      <c r="B8089" s="1" t="n">
        <v>45992.29917824074</v>
      </c>
      <c r="C8089" s="1" t="n">
        <v>46075</v>
      </c>
      <c r="D8089" t="inlineStr">
        <is>
          <t>VÄSTERBOTTENS LÄN</t>
        </is>
      </c>
      <c r="E8089" t="inlineStr">
        <is>
          <t>ROBERTSFORS</t>
        </is>
      </c>
      <c r="G8089" t="n">
        <v>3.9</v>
      </c>
      <c r="H8089" t="n">
        <v>0</v>
      </c>
      <c r="I8089" t="n">
        <v>0</v>
      </c>
      <c r="J8089" t="n">
        <v>0</v>
      </c>
      <c r="K8089" t="n">
        <v>0</v>
      </c>
      <c r="L8089" t="n">
        <v>0</v>
      </c>
      <c r="M8089" t="n">
        <v>0</v>
      </c>
      <c r="N8089" t="n">
        <v>0</v>
      </c>
      <c r="O8089" t="n">
        <v>0</v>
      </c>
      <c r="P8089" t="n">
        <v>0</v>
      </c>
      <c r="Q8089" t="n">
        <v>0</v>
      </c>
      <c r="R8089" s="2" t="inlineStr"/>
    </row>
    <row r="8090" ht="15" customHeight="1">
      <c r="A8090" t="inlineStr">
        <is>
          <t>A 59734-2025</t>
        </is>
      </c>
      <c r="B8090" s="1" t="n">
        <v>45992.57311342593</v>
      </c>
      <c r="C8090" s="1" t="n">
        <v>46075</v>
      </c>
      <c r="D8090" t="inlineStr">
        <is>
          <t>VÄSTERBOTTENS LÄN</t>
        </is>
      </c>
      <c r="E8090" t="inlineStr">
        <is>
          <t>UMEÅ</t>
        </is>
      </c>
      <c r="F8090" t="inlineStr">
        <is>
          <t>Holmen skog AB</t>
        </is>
      </c>
      <c r="G8090" t="n">
        <v>1.3</v>
      </c>
      <c r="H8090" t="n">
        <v>0</v>
      </c>
      <c r="I8090" t="n">
        <v>0</v>
      </c>
      <c r="J8090" t="n">
        <v>0</v>
      </c>
      <c r="K8090" t="n">
        <v>0</v>
      </c>
      <c r="L8090" t="n">
        <v>0</v>
      </c>
      <c r="M8090" t="n">
        <v>0</v>
      </c>
      <c r="N8090" t="n">
        <v>0</v>
      </c>
      <c r="O8090" t="n">
        <v>0</v>
      </c>
      <c r="P8090" t="n">
        <v>0</v>
      </c>
      <c r="Q8090" t="n">
        <v>0</v>
      </c>
      <c r="R8090" s="2" t="inlineStr"/>
    </row>
    <row r="8091" ht="15" customHeight="1">
      <c r="A8091" t="inlineStr">
        <is>
          <t>A 59934-2025</t>
        </is>
      </c>
      <c r="B8091" s="1" t="n">
        <v>45993.40670138889</v>
      </c>
      <c r="C8091" s="1" t="n">
        <v>46075</v>
      </c>
      <c r="D8091" t="inlineStr">
        <is>
          <t>VÄSTERBOTTENS LÄN</t>
        </is>
      </c>
      <c r="E8091" t="inlineStr">
        <is>
          <t>DOROTEA</t>
        </is>
      </c>
      <c r="F8091" t="inlineStr">
        <is>
          <t>SCA</t>
        </is>
      </c>
      <c r="G8091" t="n">
        <v>2.6</v>
      </c>
      <c r="H8091" t="n">
        <v>0</v>
      </c>
      <c r="I8091" t="n">
        <v>0</v>
      </c>
      <c r="J8091" t="n">
        <v>0</v>
      </c>
      <c r="K8091" t="n">
        <v>0</v>
      </c>
      <c r="L8091" t="n">
        <v>0</v>
      </c>
      <c r="M8091" t="n">
        <v>0</v>
      </c>
      <c r="N8091" t="n">
        <v>0</v>
      </c>
      <c r="O8091" t="n">
        <v>0</v>
      </c>
      <c r="P8091" t="n">
        <v>0</v>
      </c>
      <c r="Q8091" t="n">
        <v>0</v>
      </c>
      <c r="R8091" s="2" t="inlineStr"/>
    </row>
    <row r="8092" ht="15" customHeight="1">
      <c r="A8092" t="inlineStr">
        <is>
          <t>A 59939-2025</t>
        </is>
      </c>
      <c r="B8092" s="1" t="n">
        <v>45993.42373842592</v>
      </c>
      <c r="C8092" s="1" t="n">
        <v>46075</v>
      </c>
      <c r="D8092" t="inlineStr">
        <is>
          <t>VÄSTERBOTTENS LÄN</t>
        </is>
      </c>
      <c r="E8092" t="inlineStr">
        <is>
          <t>STORUMAN</t>
        </is>
      </c>
      <c r="G8092" t="n">
        <v>1.9</v>
      </c>
      <c r="H8092" t="n">
        <v>0</v>
      </c>
      <c r="I8092" t="n">
        <v>0</v>
      </c>
      <c r="J8092" t="n">
        <v>0</v>
      </c>
      <c r="K8092" t="n">
        <v>0</v>
      </c>
      <c r="L8092" t="n">
        <v>0</v>
      </c>
      <c r="M8092" t="n">
        <v>0</v>
      </c>
      <c r="N8092" t="n">
        <v>0</v>
      </c>
      <c r="O8092" t="n">
        <v>0</v>
      </c>
      <c r="P8092" t="n">
        <v>0</v>
      </c>
      <c r="Q8092" t="n">
        <v>0</v>
      </c>
      <c r="R8092" s="2" t="inlineStr"/>
    </row>
    <row r="8093" ht="15" customHeight="1">
      <c r="A8093" t="inlineStr">
        <is>
          <t>A 59979-2025</t>
        </is>
      </c>
      <c r="B8093" s="1" t="n">
        <v>45993.52770833333</v>
      </c>
      <c r="C8093" s="1" t="n">
        <v>46075</v>
      </c>
      <c r="D8093" t="inlineStr">
        <is>
          <t>VÄSTERBOTTENS LÄN</t>
        </is>
      </c>
      <c r="E8093" t="inlineStr">
        <is>
          <t>VINDELN</t>
        </is>
      </c>
      <c r="G8093" t="n">
        <v>1.8</v>
      </c>
      <c r="H8093" t="n">
        <v>0</v>
      </c>
      <c r="I8093" t="n">
        <v>0</v>
      </c>
      <c r="J8093" t="n">
        <v>0</v>
      </c>
      <c r="K8093" t="n">
        <v>0</v>
      </c>
      <c r="L8093" t="n">
        <v>0</v>
      </c>
      <c r="M8093" t="n">
        <v>0</v>
      </c>
      <c r="N8093" t="n">
        <v>0</v>
      </c>
      <c r="O8093" t="n">
        <v>0</v>
      </c>
      <c r="P8093" t="n">
        <v>0</v>
      </c>
      <c r="Q8093" t="n">
        <v>0</v>
      </c>
      <c r="R8093" s="2" t="inlineStr"/>
    </row>
    <row r="8094" ht="15" customHeight="1">
      <c r="A8094" t="inlineStr">
        <is>
          <t>A 55459-2024</t>
        </is>
      </c>
      <c r="B8094" s="1" t="n">
        <v>45622.42745370371</v>
      </c>
      <c r="C8094" s="1" t="n">
        <v>46075</v>
      </c>
      <c r="D8094" t="inlineStr">
        <is>
          <t>VÄSTERBOTTENS LÄN</t>
        </is>
      </c>
      <c r="E8094" t="inlineStr">
        <is>
          <t>BJURHOLM</t>
        </is>
      </c>
      <c r="F8094" t="inlineStr">
        <is>
          <t>SCA</t>
        </is>
      </c>
      <c r="G8094" t="n">
        <v>3.7</v>
      </c>
      <c r="H8094" t="n">
        <v>0</v>
      </c>
      <c r="I8094" t="n">
        <v>0</v>
      </c>
      <c r="J8094" t="n">
        <v>0</v>
      </c>
      <c r="K8094" t="n">
        <v>0</v>
      </c>
      <c r="L8094" t="n">
        <v>0</v>
      </c>
      <c r="M8094" t="n">
        <v>0</v>
      </c>
      <c r="N8094" t="n">
        <v>0</v>
      </c>
      <c r="O8094" t="n">
        <v>0</v>
      </c>
      <c r="P8094" t="n">
        <v>0</v>
      </c>
      <c r="Q8094" t="n">
        <v>0</v>
      </c>
      <c r="R8094" s="2" t="inlineStr"/>
    </row>
    <row r="8095" ht="15" customHeight="1">
      <c r="A8095" t="inlineStr">
        <is>
          <t>A 1557-2026</t>
        </is>
      </c>
      <c r="B8095" s="1" t="n">
        <v>46034.38920138889</v>
      </c>
      <c r="C8095" s="1" t="n">
        <v>46075</v>
      </c>
      <c r="D8095" t="inlineStr">
        <is>
          <t>VÄSTERBOTTENS LÄN</t>
        </is>
      </c>
      <c r="E8095" t="inlineStr">
        <is>
          <t>UMEÅ</t>
        </is>
      </c>
      <c r="G8095" t="n">
        <v>3.5</v>
      </c>
      <c r="H8095" t="n">
        <v>0</v>
      </c>
      <c r="I8095" t="n">
        <v>0</v>
      </c>
      <c r="J8095" t="n">
        <v>0</v>
      </c>
      <c r="K8095" t="n">
        <v>0</v>
      </c>
      <c r="L8095" t="n">
        <v>0</v>
      </c>
      <c r="M8095" t="n">
        <v>0</v>
      </c>
      <c r="N8095" t="n">
        <v>0</v>
      </c>
      <c r="O8095" t="n">
        <v>0</v>
      </c>
      <c r="P8095" t="n">
        <v>0</v>
      </c>
      <c r="Q8095" t="n">
        <v>0</v>
      </c>
      <c r="R8095" s="2" t="inlineStr"/>
    </row>
    <row r="8096" ht="15" customHeight="1">
      <c r="A8096" t="inlineStr">
        <is>
          <t>A 31442-2024</t>
        </is>
      </c>
      <c r="B8096" s="1" t="n">
        <v>45505</v>
      </c>
      <c r="C8096" s="1" t="n">
        <v>46075</v>
      </c>
      <c r="D8096" t="inlineStr">
        <is>
          <t>VÄSTERBOTTENS LÄN</t>
        </is>
      </c>
      <c r="E8096" t="inlineStr">
        <is>
          <t>UMEÅ</t>
        </is>
      </c>
      <c r="G8096" t="n">
        <v>0.8</v>
      </c>
      <c r="H8096" t="n">
        <v>0</v>
      </c>
      <c r="I8096" t="n">
        <v>0</v>
      </c>
      <c r="J8096" t="n">
        <v>0</v>
      </c>
      <c r="K8096" t="n">
        <v>0</v>
      </c>
      <c r="L8096" t="n">
        <v>0</v>
      </c>
      <c r="M8096" t="n">
        <v>0</v>
      </c>
      <c r="N8096" t="n">
        <v>0</v>
      </c>
      <c r="O8096" t="n">
        <v>0</v>
      </c>
      <c r="P8096" t="n">
        <v>0</v>
      </c>
      <c r="Q8096" t="n">
        <v>0</v>
      </c>
      <c r="R8096" s="2" t="inlineStr"/>
    </row>
    <row r="8097" ht="15" customHeight="1">
      <c r="A8097" t="inlineStr">
        <is>
          <t>A 31453-2024</t>
        </is>
      </c>
      <c r="B8097" s="1" t="n">
        <v>45505.9484837963</v>
      </c>
      <c r="C8097" s="1" t="n">
        <v>46075</v>
      </c>
      <c r="D8097" t="inlineStr">
        <is>
          <t>VÄSTERBOTTENS LÄN</t>
        </is>
      </c>
      <c r="E8097" t="inlineStr">
        <is>
          <t>LYCKSELE</t>
        </is>
      </c>
      <c r="F8097" t="inlineStr">
        <is>
          <t>SCA</t>
        </is>
      </c>
      <c r="G8097" t="n">
        <v>8.300000000000001</v>
      </c>
      <c r="H8097" t="n">
        <v>0</v>
      </c>
      <c r="I8097" t="n">
        <v>0</v>
      </c>
      <c r="J8097" t="n">
        <v>0</v>
      </c>
      <c r="K8097" t="n">
        <v>0</v>
      </c>
      <c r="L8097" t="n">
        <v>0</v>
      </c>
      <c r="M8097" t="n">
        <v>0</v>
      </c>
      <c r="N8097" t="n">
        <v>0</v>
      </c>
      <c r="O8097" t="n">
        <v>0</v>
      </c>
      <c r="P8097" t="n">
        <v>0</v>
      </c>
      <c r="Q8097" t="n">
        <v>0</v>
      </c>
      <c r="R8097" s="2" t="inlineStr"/>
    </row>
    <row r="8098" ht="15" customHeight="1">
      <c r="A8098" t="inlineStr">
        <is>
          <t>A 9305-2023</t>
        </is>
      </c>
      <c r="B8098" s="1" t="n">
        <v>44980</v>
      </c>
      <c r="C8098" s="1" t="n">
        <v>46075</v>
      </c>
      <c r="D8098" t="inlineStr">
        <is>
          <t>VÄSTERBOTTENS LÄN</t>
        </is>
      </c>
      <c r="E8098" t="inlineStr">
        <is>
          <t>ROBERTSFORS</t>
        </is>
      </c>
      <c r="F8098" t="inlineStr">
        <is>
          <t>Holmen skog AB</t>
        </is>
      </c>
      <c r="G8098" t="n">
        <v>6.3</v>
      </c>
      <c r="H8098" t="n">
        <v>0</v>
      </c>
      <c r="I8098" t="n">
        <v>0</v>
      </c>
      <c r="J8098" t="n">
        <v>0</v>
      </c>
      <c r="K8098" t="n">
        <v>0</v>
      </c>
      <c r="L8098" t="n">
        <v>0</v>
      </c>
      <c r="M8098" t="n">
        <v>0</v>
      </c>
      <c r="N8098" t="n">
        <v>0</v>
      </c>
      <c r="O8098" t="n">
        <v>0</v>
      </c>
      <c r="P8098" t="n">
        <v>0</v>
      </c>
      <c r="Q8098" t="n">
        <v>0</v>
      </c>
      <c r="R8098" s="2" t="inlineStr"/>
    </row>
    <row r="8099" ht="15" customHeight="1">
      <c r="A8099" t="inlineStr">
        <is>
          <t>A 22319-2022</t>
        </is>
      </c>
      <c r="B8099" s="1" t="n">
        <v>44712.92430555556</v>
      </c>
      <c r="C8099" s="1" t="n">
        <v>46075</v>
      </c>
      <c r="D8099" t="inlineStr">
        <is>
          <t>VÄSTERBOTTENS LÄN</t>
        </is>
      </c>
      <c r="E8099" t="inlineStr">
        <is>
          <t>STORUMAN</t>
        </is>
      </c>
      <c r="G8099" t="n">
        <v>3.4</v>
      </c>
      <c r="H8099" t="n">
        <v>0</v>
      </c>
      <c r="I8099" t="n">
        <v>0</v>
      </c>
      <c r="J8099" t="n">
        <v>0</v>
      </c>
      <c r="K8099" t="n">
        <v>0</v>
      </c>
      <c r="L8099" t="n">
        <v>0</v>
      </c>
      <c r="M8099" t="n">
        <v>0</v>
      </c>
      <c r="N8099" t="n">
        <v>0</v>
      </c>
      <c r="O8099" t="n">
        <v>0</v>
      </c>
      <c r="P8099" t="n">
        <v>0</v>
      </c>
      <c r="Q8099" t="n">
        <v>0</v>
      </c>
      <c r="R8099" s="2" t="inlineStr"/>
    </row>
    <row r="8100" ht="15" customHeight="1">
      <c r="A8100" t="inlineStr">
        <is>
          <t>A 28869-2024</t>
        </is>
      </c>
      <c r="B8100" s="1" t="n">
        <v>45478.94722222222</v>
      </c>
      <c r="C8100" s="1" t="n">
        <v>46075</v>
      </c>
      <c r="D8100" t="inlineStr">
        <is>
          <t>VÄSTERBOTTENS LÄN</t>
        </is>
      </c>
      <c r="E8100" t="inlineStr">
        <is>
          <t>VILHELMINA</t>
        </is>
      </c>
      <c r="F8100" t="inlineStr">
        <is>
          <t>SCA</t>
        </is>
      </c>
      <c r="G8100" t="n">
        <v>3.4</v>
      </c>
      <c r="H8100" t="n">
        <v>0</v>
      </c>
      <c r="I8100" t="n">
        <v>0</v>
      </c>
      <c r="J8100" t="n">
        <v>0</v>
      </c>
      <c r="K8100" t="n">
        <v>0</v>
      </c>
      <c r="L8100" t="n">
        <v>0</v>
      </c>
      <c r="M8100" t="n">
        <v>0</v>
      </c>
      <c r="N8100" t="n">
        <v>0</v>
      </c>
      <c r="O8100" t="n">
        <v>0</v>
      </c>
      <c r="P8100" t="n">
        <v>0</v>
      </c>
      <c r="Q8100" t="n">
        <v>0</v>
      </c>
      <c r="R8100" s="2" t="inlineStr"/>
    </row>
    <row r="8101" ht="15" customHeight="1">
      <c r="A8101" t="inlineStr">
        <is>
          <t>A 59169-2025</t>
        </is>
      </c>
      <c r="B8101" s="1" t="n">
        <v>45988</v>
      </c>
      <c r="C8101" s="1" t="n">
        <v>46075</v>
      </c>
      <c r="D8101" t="inlineStr">
        <is>
          <t>VÄSTERBOTTENS LÄN</t>
        </is>
      </c>
      <c r="E8101" t="inlineStr">
        <is>
          <t>NORDMALING</t>
        </is>
      </c>
      <c r="G8101" t="n">
        <v>0.4</v>
      </c>
      <c r="H8101" t="n">
        <v>0</v>
      </c>
      <c r="I8101" t="n">
        <v>0</v>
      </c>
      <c r="J8101" t="n">
        <v>0</v>
      </c>
      <c r="K8101" t="n">
        <v>0</v>
      </c>
      <c r="L8101" t="n">
        <v>0</v>
      </c>
      <c r="M8101" t="n">
        <v>0</v>
      </c>
      <c r="N8101" t="n">
        <v>0</v>
      </c>
      <c r="O8101" t="n">
        <v>0</v>
      </c>
      <c r="P8101" t="n">
        <v>0</v>
      </c>
      <c r="Q8101" t="n">
        <v>0</v>
      </c>
      <c r="R8101" s="2" t="inlineStr"/>
    </row>
    <row r="8102" ht="15" customHeight="1">
      <c r="A8102" t="inlineStr">
        <is>
          <t>A 59084-2025</t>
        </is>
      </c>
      <c r="B8102" s="1" t="n">
        <v>45988</v>
      </c>
      <c r="C8102" s="1" t="n">
        <v>46075</v>
      </c>
      <c r="D8102" t="inlineStr">
        <is>
          <t>VÄSTERBOTTENS LÄN</t>
        </is>
      </c>
      <c r="E8102" t="inlineStr">
        <is>
          <t>NORDMALING</t>
        </is>
      </c>
      <c r="G8102" t="n">
        <v>1.8</v>
      </c>
      <c r="H8102" t="n">
        <v>0</v>
      </c>
      <c r="I8102" t="n">
        <v>0</v>
      </c>
      <c r="J8102" t="n">
        <v>0</v>
      </c>
      <c r="K8102" t="n">
        <v>0</v>
      </c>
      <c r="L8102" t="n">
        <v>0</v>
      </c>
      <c r="M8102" t="n">
        <v>0</v>
      </c>
      <c r="N8102" t="n">
        <v>0</v>
      </c>
      <c r="O8102" t="n">
        <v>0</v>
      </c>
      <c r="P8102" t="n">
        <v>0</v>
      </c>
      <c r="Q8102" t="n">
        <v>0</v>
      </c>
      <c r="R8102" s="2" t="inlineStr"/>
    </row>
    <row r="8103" ht="15" customHeight="1">
      <c r="A8103" t="inlineStr">
        <is>
          <t>A 59160-2025</t>
        </is>
      </c>
      <c r="B8103" s="1" t="n">
        <v>45988</v>
      </c>
      <c r="C8103" s="1" t="n">
        <v>46075</v>
      </c>
      <c r="D8103" t="inlineStr">
        <is>
          <t>VÄSTERBOTTENS LÄN</t>
        </is>
      </c>
      <c r="E8103" t="inlineStr">
        <is>
          <t>NORDMALING</t>
        </is>
      </c>
      <c r="G8103" t="n">
        <v>2.6</v>
      </c>
      <c r="H8103" t="n">
        <v>0</v>
      </c>
      <c r="I8103" t="n">
        <v>0</v>
      </c>
      <c r="J8103" t="n">
        <v>0</v>
      </c>
      <c r="K8103" t="n">
        <v>0</v>
      </c>
      <c r="L8103" t="n">
        <v>0</v>
      </c>
      <c r="M8103" t="n">
        <v>0</v>
      </c>
      <c r="N8103" t="n">
        <v>0</v>
      </c>
      <c r="O8103" t="n">
        <v>0</v>
      </c>
      <c r="P8103" t="n">
        <v>0</v>
      </c>
      <c r="Q8103" t="n">
        <v>0</v>
      </c>
      <c r="R8103" s="2" t="inlineStr"/>
    </row>
    <row r="8104" ht="15" customHeight="1">
      <c r="A8104" t="inlineStr">
        <is>
          <t>A 1501-2026</t>
        </is>
      </c>
      <c r="B8104" s="1" t="n">
        <v>46034.33572916667</v>
      </c>
      <c r="C8104" s="1" t="n">
        <v>46075</v>
      </c>
      <c r="D8104" t="inlineStr">
        <is>
          <t>VÄSTERBOTTENS LÄN</t>
        </is>
      </c>
      <c r="E8104" t="inlineStr">
        <is>
          <t>SKELLEFTEÅ</t>
        </is>
      </c>
      <c r="G8104" t="n">
        <v>4.2</v>
      </c>
      <c r="H8104" t="n">
        <v>0</v>
      </c>
      <c r="I8104" t="n">
        <v>0</v>
      </c>
      <c r="J8104" t="n">
        <v>0</v>
      </c>
      <c r="K8104" t="n">
        <v>0</v>
      </c>
      <c r="L8104" t="n">
        <v>0</v>
      </c>
      <c r="M8104" t="n">
        <v>0</v>
      </c>
      <c r="N8104" t="n">
        <v>0</v>
      </c>
      <c r="O8104" t="n">
        <v>0</v>
      </c>
      <c r="P8104" t="n">
        <v>0</v>
      </c>
      <c r="Q8104" t="n">
        <v>0</v>
      </c>
      <c r="R8104" s="2" t="inlineStr"/>
    </row>
    <row r="8105" ht="15" customHeight="1">
      <c r="A8105" t="inlineStr">
        <is>
          <t>A 1524-2026</t>
        </is>
      </c>
      <c r="B8105" s="1" t="n">
        <v>46034.36497685185</v>
      </c>
      <c r="C8105" s="1" t="n">
        <v>46075</v>
      </c>
      <c r="D8105" t="inlineStr">
        <is>
          <t>VÄSTERBOTTENS LÄN</t>
        </is>
      </c>
      <c r="E8105" t="inlineStr">
        <is>
          <t>SKELLEFTEÅ</t>
        </is>
      </c>
      <c r="G8105" t="n">
        <v>20.7</v>
      </c>
      <c r="H8105" t="n">
        <v>0</v>
      </c>
      <c r="I8105" t="n">
        <v>0</v>
      </c>
      <c r="J8105" t="n">
        <v>0</v>
      </c>
      <c r="K8105" t="n">
        <v>0</v>
      </c>
      <c r="L8105" t="n">
        <v>0</v>
      </c>
      <c r="M8105" t="n">
        <v>0</v>
      </c>
      <c r="N8105" t="n">
        <v>0</v>
      </c>
      <c r="O8105" t="n">
        <v>0</v>
      </c>
      <c r="P8105" t="n">
        <v>0</v>
      </c>
      <c r="Q8105" t="n">
        <v>0</v>
      </c>
      <c r="R8105" s="2" t="inlineStr"/>
    </row>
    <row r="8106" ht="15" customHeight="1">
      <c r="A8106" t="inlineStr">
        <is>
          <t>A 30023-2024</t>
        </is>
      </c>
      <c r="B8106" s="1" t="n">
        <v>45485</v>
      </c>
      <c r="C8106" s="1" t="n">
        <v>46075</v>
      </c>
      <c r="D8106" t="inlineStr">
        <is>
          <t>VÄSTERBOTTENS LÄN</t>
        </is>
      </c>
      <c r="E8106" t="inlineStr">
        <is>
          <t>NORSJÖ</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1817-2026</t>
        </is>
      </c>
      <c r="B8107" s="1" t="n">
        <v>46035.34459490741</v>
      </c>
      <c r="C8107" s="1" t="n">
        <v>46075</v>
      </c>
      <c r="D8107" t="inlineStr">
        <is>
          <t>VÄSTERBOTTENS LÄN</t>
        </is>
      </c>
      <c r="E8107" t="inlineStr">
        <is>
          <t>SKELLEFTEÅ</t>
        </is>
      </c>
      <c r="G8107" t="n">
        <v>2.8</v>
      </c>
      <c r="H8107" t="n">
        <v>0</v>
      </c>
      <c r="I8107" t="n">
        <v>0</v>
      </c>
      <c r="J8107" t="n">
        <v>0</v>
      </c>
      <c r="K8107" t="n">
        <v>0</v>
      </c>
      <c r="L8107" t="n">
        <v>0</v>
      </c>
      <c r="M8107" t="n">
        <v>0</v>
      </c>
      <c r="N8107" t="n">
        <v>0</v>
      </c>
      <c r="O8107" t="n">
        <v>0</v>
      </c>
      <c r="P8107" t="n">
        <v>0</v>
      </c>
      <c r="Q8107" t="n">
        <v>0</v>
      </c>
      <c r="R8107" s="2" t="inlineStr"/>
    </row>
    <row r="8108" ht="15" customHeight="1">
      <c r="A8108" t="inlineStr">
        <is>
          <t>A 1863-2026</t>
        </is>
      </c>
      <c r="B8108" s="1" t="n">
        <v>46035.44826388889</v>
      </c>
      <c r="C8108" s="1" t="n">
        <v>46075</v>
      </c>
      <c r="D8108" t="inlineStr">
        <is>
          <t>VÄSTERBOTTENS LÄN</t>
        </is>
      </c>
      <c r="E8108" t="inlineStr">
        <is>
          <t>ÅSELE</t>
        </is>
      </c>
      <c r="G8108" t="n">
        <v>7</v>
      </c>
      <c r="H8108" t="n">
        <v>0</v>
      </c>
      <c r="I8108" t="n">
        <v>0</v>
      </c>
      <c r="J8108" t="n">
        <v>0</v>
      </c>
      <c r="K8108" t="n">
        <v>0</v>
      </c>
      <c r="L8108" t="n">
        <v>0</v>
      </c>
      <c r="M8108" t="n">
        <v>0</v>
      </c>
      <c r="N8108" t="n">
        <v>0</v>
      </c>
      <c r="O8108" t="n">
        <v>0</v>
      </c>
      <c r="P8108" t="n">
        <v>0</v>
      </c>
      <c r="Q8108" t="n">
        <v>0</v>
      </c>
      <c r="R8108" s="2" t="inlineStr"/>
    </row>
    <row r="8109" ht="15" customHeight="1">
      <c r="A8109" t="inlineStr">
        <is>
          <t>A 9355-2023</t>
        </is>
      </c>
      <c r="B8109" s="1" t="n">
        <v>44980.93821759259</v>
      </c>
      <c r="C8109" s="1" t="n">
        <v>46075</v>
      </c>
      <c r="D8109" t="inlineStr">
        <is>
          <t>VÄSTERBOTTENS LÄN</t>
        </is>
      </c>
      <c r="E8109" t="inlineStr">
        <is>
          <t>ÅSELE</t>
        </is>
      </c>
      <c r="F8109" t="inlineStr">
        <is>
          <t>SCA</t>
        </is>
      </c>
      <c r="G8109" t="n">
        <v>2.1</v>
      </c>
      <c r="H8109" t="n">
        <v>0</v>
      </c>
      <c r="I8109" t="n">
        <v>0</v>
      </c>
      <c r="J8109" t="n">
        <v>0</v>
      </c>
      <c r="K8109" t="n">
        <v>0</v>
      </c>
      <c r="L8109" t="n">
        <v>0</v>
      </c>
      <c r="M8109" t="n">
        <v>0</v>
      </c>
      <c r="N8109" t="n">
        <v>0</v>
      </c>
      <c r="O8109" t="n">
        <v>0</v>
      </c>
      <c r="P8109" t="n">
        <v>0</v>
      </c>
      <c r="Q8109" t="n">
        <v>0</v>
      </c>
      <c r="R8109" s="2" t="inlineStr"/>
    </row>
    <row r="8110" ht="15" customHeight="1">
      <c r="A8110" t="inlineStr">
        <is>
          <t>A 59889-2025</t>
        </is>
      </c>
      <c r="B8110" s="1" t="n">
        <v>45993.32875</v>
      </c>
      <c r="C8110" s="1" t="n">
        <v>46075</v>
      </c>
      <c r="D8110" t="inlineStr">
        <is>
          <t>VÄSTERBOTTENS LÄN</t>
        </is>
      </c>
      <c r="E8110" t="inlineStr">
        <is>
          <t>SKELLEFTEÅ</t>
        </is>
      </c>
      <c r="G8110" t="n">
        <v>2.8</v>
      </c>
      <c r="H8110" t="n">
        <v>0</v>
      </c>
      <c r="I8110" t="n">
        <v>0</v>
      </c>
      <c r="J8110" t="n">
        <v>0</v>
      </c>
      <c r="K8110" t="n">
        <v>0</v>
      </c>
      <c r="L8110" t="n">
        <v>0</v>
      </c>
      <c r="M8110" t="n">
        <v>0</v>
      </c>
      <c r="N8110" t="n">
        <v>0</v>
      </c>
      <c r="O8110" t="n">
        <v>0</v>
      </c>
      <c r="P8110" t="n">
        <v>0</v>
      </c>
      <c r="Q8110" t="n">
        <v>0</v>
      </c>
      <c r="R8110" s="2" t="inlineStr"/>
    </row>
    <row r="8111" ht="15" customHeight="1">
      <c r="A8111" t="inlineStr">
        <is>
          <t>A 60081-2025</t>
        </is>
      </c>
      <c r="B8111" s="1" t="n">
        <v>45993.69276620371</v>
      </c>
      <c r="C8111" s="1" t="n">
        <v>46075</v>
      </c>
      <c r="D8111" t="inlineStr">
        <is>
          <t>VÄSTERBOTTENS LÄN</t>
        </is>
      </c>
      <c r="E8111" t="inlineStr">
        <is>
          <t>LYCKSELE</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59835-2025</t>
        </is>
      </c>
      <c r="B8112" s="1" t="n">
        <v>45992.6687037037</v>
      </c>
      <c r="C8112" s="1" t="n">
        <v>46075</v>
      </c>
      <c r="D8112" t="inlineStr">
        <is>
          <t>VÄSTERBOTTENS LÄN</t>
        </is>
      </c>
      <c r="E8112" t="inlineStr">
        <is>
          <t>SKELLEFTEÅ</t>
        </is>
      </c>
      <c r="F8112" t="inlineStr">
        <is>
          <t>Holmen skog AB</t>
        </is>
      </c>
      <c r="G8112" t="n">
        <v>2.8</v>
      </c>
      <c r="H8112" t="n">
        <v>0</v>
      </c>
      <c r="I8112" t="n">
        <v>0</v>
      </c>
      <c r="J8112" t="n">
        <v>0</v>
      </c>
      <c r="K8112" t="n">
        <v>0</v>
      </c>
      <c r="L8112" t="n">
        <v>0</v>
      </c>
      <c r="M8112" t="n">
        <v>0</v>
      </c>
      <c r="N8112" t="n">
        <v>0</v>
      </c>
      <c r="O8112" t="n">
        <v>0</v>
      </c>
      <c r="P8112" t="n">
        <v>0</v>
      </c>
      <c r="Q8112" t="n">
        <v>0</v>
      </c>
      <c r="R8112" s="2" t="inlineStr"/>
    </row>
    <row r="8113" ht="15" customHeight="1">
      <c r="A8113" t="inlineStr">
        <is>
          <t>A 9490-2023</t>
        </is>
      </c>
      <c r="B8113" s="1" t="n">
        <v>44977</v>
      </c>
      <c r="C8113" s="1" t="n">
        <v>46075</v>
      </c>
      <c r="D8113" t="inlineStr">
        <is>
          <t>VÄSTERBOTTENS LÄN</t>
        </is>
      </c>
      <c r="E8113" t="inlineStr">
        <is>
          <t>NORDMALING</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59855-2025</t>
        </is>
      </c>
      <c r="B8114" s="1" t="n">
        <v>45992.73780092593</v>
      </c>
      <c r="C8114" s="1" t="n">
        <v>46075</v>
      </c>
      <c r="D8114" t="inlineStr">
        <is>
          <t>VÄSTERBOTTENS LÄN</t>
        </is>
      </c>
      <c r="E8114" t="inlineStr">
        <is>
          <t>ROBERTSFORS</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34684-2023</t>
        </is>
      </c>
      <c r="B8115" s="1" t="n">
        <v>45140</v>
      </c>
      <c r="C8115" s="1" t="n">
        <v>46075</v>
      </c>
      <c r="D8115" t="inlineStr">
        <is>
          <t>VÄSTERBOTTENS LÄN</t>
        </is>
      </c>
      <c r="E8115" t="inlineStr">
        <is>
          <t>ÅSELE</t>
        </is>
      </c>
      <c r="G8115" t="n">
        <v>5.9</v>
      </c>
      <c r="H8115" t="n">
        <v>0</v>
      </c>
      <c r="I8115" t="n">
        <v>0</v>
      </c>
      <c r="J8115" t="n">
        <v>0</v>
      </c>
      <c r="K8115" t="n">
        <v>0</v>
      </c>
      <c r="L8115" t="n">
        <v>0</v>
      </c>
      <c r="M8115" t="n">
        <v>0</v>
      </c>
      <c r="N8115" t="n">
        <v>0</v>
      </c>
      <c r="O8115" t="n">
        <v>0</v>
      </c>
      <c r="P8115" t="n">
        <v>0</v>
      </c>
      <c r="Q8115" t="n">
        <v>0</v>
      </c>
      <c r="R8115" s="2" t="inlineStr"/>
    </row>
    <row r="8116" ht="15" customHeight="1">
      <c r="A8116" t="inlineStr">
        <is>
          <t>A 59348-2024</t>
        </is>
      </c>
      <c r="B8116" s="1" t="n">
        <v>45638</v>
      </c>
      <c r="C8116" s="1" t="n">
        <v>46075</v>
      </c>
      <c r="D8116" t="inlineStr">
        <is>
          <t>VÄSTERBOTTENS LÄN</t>
        </is>
      </c>
      <c r="E8116" t="inlineStr">
        <is>
          <t>NORDMALING</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59677-2025</t>
        </is>
      </c>
      <c r="B8117" s="1" t="n">
        <v>45992.46918981482</v>
      </c>
      <c r="C8117" s="1" t="n">
        <v>46075</v>
      </c>
      <c r="D8117" t="inlineStr">
        <is>
          <t>VÄSTERBOTTENS LÄN</t>
        </is>
      </c>
      <c r="E8117" t="inlineStr">
        <is>
          <t>SKELLEFTEÅ</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60088-2025</t>
        </is>
      </c>
      <c r="B8118" s="1" t="n">
        <v>45993.71936342592</v>
      </c>
      <c r="C8118" s="1" t="n">
        <v>46075</v>
      </c>
      <c r="D8118" t="inlineStr">
        <is>
          <t>VÄSTERBOTTENS LÄN</t>
        </is>
      </c>
      <c r="E8118" t="inlineStr">
        <is>
          <t>UMEÅ</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58777-2025</t>
        </is>
      </c>
      <c r="B8119" s="1" t="n">
        <v>45986.69869212963</v>
      </c>
      <c r="C8119" s="1" t="n">
        <v>46075</v>
      </c>
      <c r="D8119" t="inlineStr">
        <is>
          <t>VÄSTERBOTTENS LÄN</t>
        </is>
      </c>
      <c r="E8119" t="inlineStr">
        <is>
          <t>LYCKSELE</t>
        </is>
      </c>
      <c r="F8119" t="inlineStr">
        <is>
          <t>SCA</t>
        </is>
      </c>
      <c r="G8119" t="n">
        <v>3.3</v>
      </c>
      <c r="H8119" t="n">
        <v>0</v>
      </c>
      <c r="I8119" t="n">
        <v>0</v>
      </c>
      <c r="J8119" t="n">
        <v>0</v>
      </c>
      <c r="K8119" t="n">
        <v>0</v>
      </c>
      <c r="L8119" t="n">
        <v>0</v>
      </c>
      <c r="M8119" t="n">
        <v>0</v>
      </c>
      <c r="N8119" t="n">
        <v>0</v>
      </c>
      <c r="O8119" t="n">
        <v>0</v>
      </c>
      <c r="P8119" t="n">
        <v>0</v>
      </c>
      <c r="Q8119" t="n">
        <v>0</v>
      </c>
      <c r="R8119" s="2" t="inlineStr"/>
    </row>
    <row r="8120" ht="15" customHeight="1">
      <c r="A8120" t="inlineStr">
        <is>
          <t>A 5490-2023</t>
        </is>
      </c>
      <c r="B8120" s="1" t="n">
        <v>44957</v>
      </c>
      <c r="C8120" s="1" t="n">
        <v>46075</v>
      </c>
      <c r="D8120" t="inlineStr">
        <is>
          <t>VÄSTERBOTTENS LÄN</t>
        </is>
      </c>
      <c r="E8120" t="inlineStr">
        <is>
          <t>SKELLEFTEÅ</t>
        </is>
      </c>
      <c r="G8120" t="n">
        <v>3</v>
      </c>
      <c r="H8120" t="n">
        <v>0</v>
      </c>
      <c r="I8120" t="n">
        <v>0</v>
      </c>
      <c r="J8120" t="n">
        <v>0</v>
      </c>
      <c r="K8120" t="n">
        <v>0</v>
      </c>
      <c r="L8120" t="n">
        <v>0</v>
      </c>
      <c r="M8120" t="n">
        <v>0</v>
      </c>
      <c r="N8120" t="n">
        <v>0</v>
      </c>
      <c r="O8120" t="n">
        <v>0</v>
      </c>
      <c r="P8120" t="n">
        <v>0</v>
      </c>
      <c r="Q8120" t="n">
        <v>0</v>
      </c>
      <c r="R8120" s="2" t="inlineStr"/>
    </row>
    <row r="8121" ht="15" customHeight="1">
      <c r="A8121" t="inlineStr">
        <is>
          <t>A 59927-2025</t>
        </is>
      </c>
      <c r="B8121" s="1" t="n">
        <v>45993.39420138889</v>
      </c>
      <c r="C8121" s="1" t="n">
        <v>46075</v>
      </c>
      <c r="D8121" t="inlineStr">
        <is>
          <t>VÄSTERBOTTENS LÄN</t>
        </is>
      </c>
      <c r="E8121" t="inlineStr">
        <is>
          <t>LYCKSELE</t>
        </is>
      </c>
      <c r="G8121" t="n">
        <v>2.9</v>
      </c>
      <c r="H8121" t="n">
        <v>0</v>
      </c>
      <c r="I8121" t="n">
        <v>0</v>
      </c>
      <c r="J8121" t="n">
        <v>0</v>
      </c>
      <c r="K8121" t="n">
        <v>0</v>
      </c>
      <c r="L8121" t="n">
        <v>0</v>
      </c>
      <c r="M8121" t="n">
        <v>0</v>
      </c>
      <c r="N8121" t="n">
        <v>0</v>
      </c>
      <c r="O8121" t="n">
        <v>0</v>
      </c>
      <c r="P8121" t="n">
        <v>0</v>
      </c>
      <c r="Q8121" t="n">
        <v>0</v>
      </c>
      <c r="R8121" s="2" t="inlineStr"/>
    </row>
    <row r="8122" ht="15" customHeight="1">
      <c r="A8122" t="inlineStr">
        <is>
          <t>A 1561-2026</t>
        </is>
      </c>
      <c r="B8122" s="1" t="n">
        <v>46034.39422453703</v>
      </c>
      <c r="C8122" s="1" t="n">
        <v>46075</v>
      </c>
      <c r="D8122" t="inlineStr">
        <is>
          <t>VÄSTERBOTTENS LÄN</t>
        </is>
      </c>
      <c r="E8122" t="inlineStr">
        <is>
          <t>LYCKSELE</t>
        </is>
      </c>
      <c r="G8122" t="n">
        <v>10.7</v>
      </c>
      <c r="H8122" t="n">
        <v>0</v>
      </c>
      <c r="I8122" t="n">
        <v>0</v>
      </c>
      <c r="J8122" t="n">
        <v>0</v>
      </c>
      <c r="K8122" t="n">
        <v>0</v>
      </c>
      <c r="L8122" t="n">
        <v>0</v>
      </c>
      <c r="M8122" t="n">
        <v>0</v>
      </c>
      <c r="N8122" t="n">
        <v>0</v>
      </c>
      <c r="O8122" t="n">
        <v>0</v>
      </c>
      <c r="P8122" t="n">
        <v>0</v>
      </c>
      <c r="Q8122" t="n">
        <v>0</v>
      </c>
      <c r="R8122" s="2" t="inlineStr"/>
    </row>
    <row r="8123" ht="15" customHeight="1">
      <c r="A8123" t="inlineStr">
        <is>
          <t>A 1613-2026</t>
        </is>
      </c>
      <c r="B8123" s="1" t="n">
        <v>46034.46943287037</v>
      </c>
      <c r="C8123" s="1" t="n">
        <v>46075</v>
      </c>
      <c r="D8123" t="inlineStr">
        <is>
          <t>VÄSTERBOTTENS LÄN</t>
        </is>
      </c>
      <c r="E8123" t="inlineStr">
        <is>
          <t>LYCKSELE</t>
        </is>
      </c>
      <c r="G8123" t="n">
        <v>3</v>
      </c>
      <c r="H8123" t="n">
        <v>0</v>
      </c>
      <c r="I8123" t="n">
        <v>0</v>
      </c>
      <c r="J8123" t="n">
        <v>0</v>
      </c>
      <c r="K8123" t="n">
        <v>0</v>
      </c>
      <c r="L8123" t="n">
        <v>0</v>
      </c>
      <c r="M8123" t="n">
        <v>0</v>
      </c>
      <c r="N8123" t="n">
        <v>0</v>
      </c>
      <c r="O8123" t="n">
        <v>0</v>
      </c>
      <c r="P8123" t="n">
        <v>0</v>
      </c>
      <c r="Q8123" t="n">
        <v>0</v>
      </c>
      <c r="R8123" s="2" t="inlineStr"/>
    </row>
    <row r="8124" ht="15" customHeight="1">
      <c r="A8124" t="inlineStr">
        <is>
          <t>A 1244-2025</t>
        </is>
      </c>
      <c r="B8124" s="1" t="n">
        <v>45667.45741898148</v>
      </c>
      <c r="C8124" s="1" t="n">
        <v>46075</v>
      </c>
      <c r="D8124" t="inlineStr">
        <is>
          <t>VÄSTERBOTTENS LÄN</t>
        </is>
      </c>
      <c r="E8124" t="inlineStr">
        <is>
          <t>SKELLEFTEÅ</t>
        </is>
      </c>
      <c r="G8124" t="n">
        <v>1.9</v>
      </c>
      <c r="H8124" t="n">
        <v>0</v>
      </c>
      <c r="I8124" t="n">
        <v>0</v>
      </c>
      <c r="J8124" t="n">
        <v>0</v>
      </c>
      <c r="K8124" t="n">
        <v>0</v>
      </c>
      <c r="L8124" t="n">
        <v>0</v>
      </c>
      <c r="M8124" t="n">
        <v>0</v>
      </c>
      <c r="N8124" t="n">
        <v>0</v>
      </c>
      <c r="O8124" t="n">
        <v>0</v>
      </c>
      <c r="P8124" t="n">
        <v>0</v>
      </c>
      <c r="Q8124" t="n">
        <v>0</v>
      </c>
      <c r="R8124" s="2" t="inlineStr"/>
    </row>
    <row r="8125" ht="15" customHeight="1">
      <c r="A8125" t="inlineStr">
        <is>
          <t>A 1761-2026</t>
        </is>
      </c>
      <c r="B8125" s="1" t="n">
        <v>46034.67740740741</v>
      </c>
      <c r="C8125" s="1" t="n">
        <v>46075</v>
      </c>
      <c r="D8125" t="inlineStr">
        <is>
          <t>VÄSTERBOTTENS LÄN</t>
        </is>
      </c>
      <c r="E8125" t="inlineStr">
        <is>
          <t>SKELLEFTEÅ</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1764-2026</t>
        </is>
      </c>
      <c r="B8126" s="1" t="n">
        <v>46034.6775462963</v>
      </c>
      <c r="C8126" s="1" t="n">
        <v>46075</v>
      </c>
      <c r="D8126" t="inlineStr">
        <is>
          <t>VÄSTERBOTTENS LÄN</t>
        </is>
      </c>
      <c r="E8126" t="inlineStr">
        <is>
          <t>STORUMAN</t>
        </is>
      </c>
      <c r="G8126" t="n">
        <v>5.5</v>
      </c>
      <c r="H8126" t="n">
        <v>0</v>
      </c>
      <c r="I8126" t="n">
        <v>0</v>
      </c>
      <c r="J8126" t="n">
        <v>0</v>
      </c>
      <c r="K8126" t="n">
        <v>0</v>
      </c>
      <c r="L8126" t="n">
        <v>0</v>
      </c>
      <c r="M8126" t="n">
        <v>0</v>
      </c>
      <c r="N8126" t="n">
        <v>0</v>
      </c>
      <c r="O8126" t="n">
        <v>0</v>
      </c>
      <c r="P8126" t="n">
        <v>0</v>
      </c>
      <c r="Q8126" t="n">
        <v>0</v>
      </c>
      <c r="R8126" s="2" t="inlineStr"/>
    </row>
    <row r="8127" ht="15" customHeight="1">
      <c r="A8127" t="inlineStr">
        <is>
          <t>A 57571-2025</t>
        </is>
      </c>
      <c r="B8127" s="1" t="n">
        <v>45980.7933912037</v>
      </c>
      <c r="C8127" s="1" t="n">
        <v>46075</v>
      </c>
      <c r="D8127" t="inlineStr">
        <is>
          <t>VÄSTERBOTTENS LÄN</t>
        </is>
      </c>
      <c r="E8127" t="inlineStr">
        <is>
          <t>LYCKSELE</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49923-2025</t>
        </is>
      </c>
      <c r="B8128" s="1" t="n">
        <v>45939</v>
      </c>
      <c r="C8128" s="1" t="n">
        <v>46075</v>
      </c>
      <c r="D8128" t="inlineStr">
        <is>
          <t>VÄSTERBOTTENS LÄN</t>
        </is>
      </c>
      <c r="E8128" t="inlineStr">
        <is>
          <t>STORUMAN</t>
        </is>
      </c>
      <c r="G8128" t="n">
        <v>1.6</v>
      </c>
      <c r="H8128" t="n">
        <v>0</v>
      </c>
      <c r="I8128" t="n">
        <v>0</v>
      </c>
      <c r="J8128" t="n">
        <v>0</v>
      </c>
      <c r="K8128" t="n">
        <v>0</v>
      </c>
      <c r="L8128" t="n">
        <v>0</v>
      </c>
      <c r="M8128" t="n">
        <v>0</v>
      </c>
      <c r="N8128" t="n">
        <v>0</v>
      </c>
      <c r="O8128" t="n">
        <v>0</v>
      </c>
      <c r="P8128" t="n">
        <v>0</v>
      </c>
      <c r="Q8128" t="n">
        <v>0</v>
      </c>
      <c r="R8128" s="2" t="inlineStr"/>
    </row>
    <row r="8129" ht="15" customHeight="1">
      <c r="A8129" t="inlineStr">
        <is>
          <t>A 39544-2023</t>
        </is>
      </c>
      <c r="B8129" s="1" t="n">
        <v>45167.35682870371</v>
      </c>
      <c r="C8129" s="1" t="n">
        <v>46075</v>
      </c>
      <c r="D8129" t="inlineStr">
        <is>
          <t>VÄSTERBOTTENS LÄN</t>
        </is>
      </c>
      <c r="E8129" t="inlineStr">
        <is>
          <t>SKELLEFTEÅ</t>
        </is>
      </c>
      <c r="F8129" t="inlineStr">
        <is>
          <t>Sveaskog</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39553-2023</t>
        </is>
      </c>
      <c r="B8130" s="1" t="n">
        <v>45167</v>
      </c>
      <c r="C8130" s="1" t="n">
        <v>46075</v>
      </c>
      <c r="D8130" t="inlineStr">
        <is>
          <t>VÄSTERBOTTENS LÄN</t>
        </is>
      </c>
      <c r="E8130" t="inlineStr">
        <is>
          <t>SKELLEFTEÅ</t>
        </is>
      </c>
      <c r="F8130" t="inlineStr">
        <is>
          <t>Holmen skog AB</t>
        </is>
      </c>
      <c r="G8130" t="n">
        <v>6.9</v>
      </c>
      <c r="H8130" t="n">
        <v>0</v>
      </c>
      <c r="I8130" t="n">
        <v>0</v>
      </c>
      <c r="J8130" t="n">
        <v>0</v>
      </c>
      <c r="K8130" t="n">
        <v>0</v>
      </c>
      <c r="L8130" t="n">
        <v>0</v>
      </c>
      <c r="M8130" t="n">
        <v>0</v>
      </c>
      <c r="N8130" t="n">
        <v>0</v>
      </c>
      <c r="O8130" t="n">
        <v>0</v>
      </c>
      <c r="P8130" t="n">
        <v>0</v>
      </c>
      <c r="Q8130" t="n">
        <v>0</v>
      </c>
      <c r="R8130" s="2" t="inlineStr"/>
    </row>
    <row r="8131" ht="15" customHeight="1">
      <c r="A8131" t="inlineStr">
        <is>
          <t>A 13187-2023</t>
        </is>
      </c>
      <c r="B8131" s="1" t="n">
        <v>45002</v>
      </c>
      <c r="C8131" s="1" t="n">
        <v>46075</v>
      </c>
      <c r="D8131" t="inlineStr">
        <is>
          <t>VÄSTERBOTTENS LÄN</t>
        </is>
      </c>
      <c r="E8131" t="inlineStr">
        <is>
          <t>ROBERTSFORS</t>
        </is>
      </c>
      <c r="G8131" t="n">
        <v>3.8</v>
      </c>
      <c r="H8131" t="n">
        <v>0</v>
      </c>
      <c r="I8131" t="n">
        <v>0</v>
      </c>
      <c r="J8131" t="n">
        <v>0</v>
      </c>
      <c r="K8131" t="n">
        <v>0</v>
      </c>
      <c r="L8131" t="n">
        <v>0</v>
      </c>
      <c r="M8131" t="n">
        <v>0</v>
      </c>
      <c r="N8131" t="n">
        <v>0</v>
      </c>
      <c r="O8131" t="n">
        <v>0</v>
      </c>
      <c r="P8131" t="n">
        <v>0</v>
      </c>
      <c r="Q8131" t="n">
        <v>0</v>
      </c>
      <c r="R8131" s="2" t="inlineStr"/>
    </row>
    <row r="8132" ht="15" customHeight="1">
      <c r="A8132" t="inlineStr">
        <is>
          <t>A 60075-2025</t>
        </is>
      </c>
      <c r="B8132" s="1" t="n">
        <v>45993.67761574074</v>
      </c>
      <c r="C8132" s="1" t="n">
        <v>46075</v>
      </c>
      <c r="D8132" t="inlineStr">
        <is>
          <t>VÄSTERBOTTENS LÄN</t>
        </is>
      </c>
      <c r="E8132" t="inlineStr">
        <is>
          <t>VILHELMINA</t>
        </is>
      </c>
      <c r="G8132" t="n">
        <v>36.9</v>
      </c>
      <c r="H8132" t="n">
        <v>0</v>
      </c>
      <c r="I8132" t="n">
        <v>0</v>
      </c>
      <c r="J8132" t="n">
        <v>0</v>
      </c>
      <c r="K8132" t="n">
        <v>0</v>
      </c>
      <c r="L8132" t="n">
        <v>0</v>
      </c>
      <c r="M8132" t="n">
        <v>0</v>
      </c>
      <c r="N8132" t="n">
        <v>0</v>
      </c>
      <c r="O8132" t="n">
        <v>0</v>
      </c>
      <c r="P8132" t="n">
        <v>0</v>
      </c>
      <c r="Q8132" t="n">
        <v>0</v>
      </c>
      <c r="R8132" s="2" t="inlineStr"/>
    </row>
    <row r="8133" ht="15" customHeight="1">
      <c r="A8133" t="inlineStr">
        <is>
          <t>A 59753-2025</t>
        </is>
      </c>
      <c r="B8133" s="1" t="n">
        <v>45992.58590277778</v>
      </c>
      <c r="C8133" s="1" t="n">
        <v>46075</v>
      </c>
      <c r="D8133" t="inlineStr">
        <is>
          <t>VÄSTERBOTTENS LÄN</t>
        </is>
      </c>
      <c r="E8133" t="inlineStr">
        <is>
          <t>UMEÅ</t>
        </is>
      </c>
      <c r="F8133" t="inlineStr">
        <is>
          <t>Holmen skog AB</t>
        </is>
      </c>
      <c r="G8133" t="n">
        <v>1.4</v>
      </c>
      <c r="H8133" t="n">
        <v>0</v>
      </c>
      <c r="I8133" t="n">
        <v>0</v>
      </c>
      <c r="J8133" t="n">
        <v>0</v>
      </c>
      <c r="K8133" t="n">
        <v>0</v>
      </c>
      <c r="L8133" t="n">
        <v>0</v>
      </c>
      <c r="M8133" t="n">
        <v>0</v>
      </c>
      <c r="N8133" t="n">
        <v>0</v>
      </c>
      <c r="O8133" t="n">
        <v>0</v>
      </c>
      <c r="P8133" t="n">
        <v>0</v>
      </c>
      <c r="Q8133" t="n">
        <v>0</v>
      </c>
      <c r="R8133" s="2" t="inlineStr"/>
    </row>
    <row r="8134" ht="15" customHeight="1">
      <c r="A8134" t="inlineStr">
        <is>
          <t>A 59760-2025</t>
        </is>
      </c>
      <c r="B8134" s="1" t="n">
        <v>45992.59212962963</v>
      </c>
      <c r="C8134" s="1" t="n">
        <v>46075</v>
      </c>
      <c r="D8134" t="inlineStr">
        <is>
          <t>VÄSTERBOTTENS LÄN</t>
        </is>
      </c>
      <c r="E8134" t="inlineStr">
        <is>
          <t>UMEÅ</t>
        </is>
      </c>
      <c r="G8134" t="n">
        <v>2.6</v>
      </c>
      <c r="H8134" t="n">
        <v>0</v>
      </c>
      <c r="I8134" t="n">
        <v>0</v>
      </c>
      <c r="J8134" t="n">
        <v>0</v>
      </c>
      <c r="K8134" t="n">
        <v>0</v>
      </c>
      <c r="L8134" t="n">
        <v>0</v>
      </c>
      <c r="M8134" t="n">
        <v>0</v>
      </c>
      <c r="N8134" t="n">
        <v>0</v>
      </c>
      <c r="O8134" t="n">
        <v>0</v>
      </c>
      <c r="P8134" t="n">
        <v>0</v>
      </c>
      <c r="Q8134" t="n">
        <v>0</v>
      </c>
      <c r="R8134" s="2" t="inlineStr"/>
    </row>
    <row r="8135" ht="15" customHeight="1">
      <c r="A8135" t="inlineStr">
        <is>
          <t>A 13131-2022</t>
        </is>
      </c>
      <c r="B8135" s="1" t="n">
        <v>44644.38203703704</v>
      </c>
      <c r="C8135" s="1" t="n">
        <v>46075</v>
      </c>
      <c r="D8135" t="inlineStr">
        <is>
          <t>VÄSTERBOTTENS LÄN</t>
        </is>
      </c>
      <c r="E8135" t="inlineStr">
        <is>
          <t>SKELLEFTEÅ</t>
        </is>
      </c>
      <c r="G8135" t="n">
        <v>3.7</v>
      </c>
      <c r="H8135" t="n">
        <v>0</v>
      </c>
      <c r="I8135" t="n">
        <v>0</v>
      </c>
      <c r="J8135" t="n">
        <v>0</v>
      </c>
      <c r="K8135" t="n">
        <v>0</v>
      </c>
      <c r="L8135" t="n">
        <v>0</v>
      </c>
      <c r="M8135" t="n">
        <v>0</v>
      </c>
      <c r="N8135" t="n">
        <v>0</v>
      </c>
      <c r="O8135" t="n">
        <v>0</v>
      </c>
      <c r="P8135" t="n">
        <v>0</v>
      </c>
      <c r="Q8135" t="n">
        <v>0</v>
      </c>
      <c r="R8135" s="2" t="inlineStr"/>
    </row>
    <row r="8136" ht="15" customHeight="1">
      <c r="A8136" t="inlineStr">
        <is>
          <t>A 7440-2025</t>
        </is>
      </c>
      <c r="B8136" s="1" t="n">
        <v>45705</v>
      </c>
      <c r="C8136" s="1" t="n">
        <v>46075</v>
      </c>
      <c r="D8136" t="inlineStr">
        <is>
          <t>VÄSTERBOTTENS LÄN</t>
        </is>
      </c>
      <c r="E8136" t="inlineStr">
        <is>
          <t>BJURHOLM</t>
        </is>
      </c>
      <c r="G8136" t="n">
        <v>4.5</v>
      </c>
      <c r="H8136" t="n">
        <v>0</v>
      </c>
      <c r="I8136" t="n">
        <v>0</v>
      </c>
      <c r="J8136" t="n">
        <v>0</v>
      </c>
      <c r="K8136" t="n">
        <v>0</v>
      </c>
      <c r="L8136" t="n">
        <v>0</v>
      </c>
      <c r="M8136" t="n">
        <v>0</v>
      </c>
      <c r="N8136" t="n">
        <v>0</v>
      </c>
      <c r="O8136" t="n">
        <v>0</v>
      </c>
      <c r="P8136" t="n">
        <v>0</v>
      </c>
      <c r="Q8136" t="n">
        <v>0</v>
      </c>
      <c r="R8136" s="2" t="inlineStr"/>
    </row>
    <row r="8137" ht="15" customHeight="1">
      <c r="A8137" t="inlineStr">
        <is>
          <t>A 7446-2025</t>
        </is>
      </c>
      <c r="B8137" s="1" t="n">
        <v>45705</v>
      </c>
      <c r="C8137" s="1" t="n">
        <v>46075</v>
      </c>
      <c r="D8137" t="inlineStr">
        <is>
          <t>VÄSTERBOTTENS LÄN</t>
        </is>
      </c>
      <c r="E8137" t="inlineStr">
        <is>
          <t>STORUMAN</t>
        </is>
      </c>
      <c r="G8137" t="n">
        <v>3.9</v>
      </c>
      <c r="H8137" t="n">
        <v>0</v>
      </c>
      <c r="I8137" t="n">
        <v>0</v>
      </c>
      <c r="J8137" t="n">
        <v>0</v>
      </c>
      <c r="K8137" t="n">
        <v>0</v>
      </c>
      <c r="L8137" t="n">
        <v>0</v>
      </c>
      <c r="M8137" t="n">
        <v>0</v>
      </c>
      <c r="N8137" t="n">
        <v>0</v>
      </c>
      <c r="O8137" t="n">
        <v>0</v>
      </c>
      <c r="P8137" t="n">
        <v>0</v>
      </c>
      <c r="Q8137" t="n">
        <v>0</v>
      </c>
      <c r="R8137" s="2" t="inlineStr"/>
    </row>
    <row r="8138" ht="15" customHeight="1">
      <c r="A8138" t="inlineStr">
        <is>
          <t>A 4626-2025</t>
        </is>
      </c>
      <c r="B8138" s="1" t="n">
        <v>45687.62158564815</v>
      </c>
      <c r="C8138" s="1" t="n">
        <v>46075</v>
      </c>
      <c r="D8138" t="inlineStr">
        <is>
          <t>VÄSTERBOTTENS LÄN</t>
        </is>
      </c>
      <c r="E8138" t="inlineStr">
        <is>
          <t>SKELLEFTEÅ</t>
        </is>
      </c>
      <c r="G8138" t="n">
        <v>6</v>
      </c>
      <c r="H8138" t="n">
        <v>0</v>
      </c>
      <c r="I8138" t="n">
        <v>0</v>
      </c>
      <c r="J8138" t="n">
        <v>0</v>
      </c>
      <c r="K8138" t="n">
        <v>0</v>
      </c>
      <c r="L8138" t="n">
        <v>0</v>
      </c>
      <c r="M8138" t="n">
        <v>0</v>
      </c>
      <c r="N8138" t="n">
        <v>0</v>
      </c>
      <c r="O8138" t="n">
        <v>0</v>
      </c>
      <c r="P8138" t="n">
        <v>0</v>
      </c>
      <c r="Q8138" t="n">
        <v>0</v>
      </c>
      <c r="R8138" s="2" t="inlineStr"/>
    </row>
    <row r="8139" ht="15" customHeight="1">
      <c r="A8139" t="inlineStr">
        <is>
          <t>A 22663-2021</t>
        </is>
      </c>
      <c r="B8139" s="1" t="n">
        <v>44327</v>
      </c>
      <c r="C8139" s="1" t="n">
        <v>46075</v>
      </c>
      <c r="D8139" t="inlineStr">
        <is>
          <t>VÄSTERBOTTENS LÄN</t>
        </is>
      </c>
      <c r="E8139" t="inlineStr">
        <is>
          <t>SKELLEFTEÅ</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35844-2023</t>
        </is>
      </c>
      <c r="B8140" s="1" t="n">
        <v>45148</v>
      </c>
      <c r="C8140" s="1" t="n">
        <v>46075</v>
      </c>
      <c r="D8140" t="inlineStr">
        <is>
          <t>VÄSTERBOTTENS LÄN</t>
        </is>
      </c>
      <c r="E8140" t="inlineStr">
        <is>
          <t>MALÅ</t>
        </is>
      </c>
      <c r="G8140" t="n">
        <v>26.3</v>
      </c>
      <c r="H8140" t="n">
        <v>0</v>
      </c>
      <c r="I8140" t="n">
        <v>0</v>
      </c>
      <c r="J8140" t="n">
        <v>0</v>
      </c>
      <c r="K8140" t="n">
        <v>0</v>
      </c>
      <c r="L8140" t="n">
        <v>0</v>
      </c>
      <c r="M8140" t="n">
        <v>0</v>
      </c>
      <c r="N8140" t="n">
        <v>0</v>
      </c>
      <c r="O8140" t="n">
        <v>0</v>
      </c>
      <c r="P8140" t="n">
        <v>0</v>
      </c>
      <c r="Q8140" t="n">
        <v>0</v>
      </c>
      <c r="R8140" s="2" t="inlineStr"/>
    </row>
    <row r="8141" ht="15" customHeight="1">
      <c r="A8141" t="inlineStr">
        <is>
          <t>A 20850-2023</t>
        </is>
      </c>
      <c r="B8141" s="1" t="n">
        <v>45056</v>
      </c>
      <c r="C8141" s="1" t="n">
        <v>46075</v>
      </c>
      <c r="D8141" t="inlineStr">
        <is>
          <t>VÄSTERBOTTENS LÄN</t>
        </is>
      </c>
      <c r="E8141" t="inlineStr">
        <is>
          <t>SORSELE</t>
        </is>
      </c>
      <c r="G8141" t="n">
        <v>5.3</v>
      </c>
      <c r="H8141" t="n">
        <v>0</v>
      </c>
      <c r="I8141" t="n">
        <v>0</v>
      </c>
      <c r="J8141" t="n">
        <v>0</v>
      </c>
      <c r="K8141" t="n">
        <v>0</v>
      </c>
      <c r="L8141" t="n">
        <v>0</v>
      </c>
      <c r="M8141" t="n">
        <v>0</v>
      </c>
      <c r="N8141" t="n">
        <v>0</v>
      </c>
      <c r="O8141" t="n">
        <v>0</v>
      </c>
      <c r="P8141" t="n">
        <v>0</v>
      </c>
      <c r="Q8141" t="n">
        <v>0</v>
      </c>
      <c r="R8141" s="2" t="inlineStr"/>
    </row>
    <row r="8142" ht="15" customHeight="1">
      <c r="A8142" t="inlineStr">
        <is>
          <t>A 59900-2025</t>
        </is>
      </c>
      <c r="B8142" s="1" t="n">
        <v>45993.34473379629</v>
      </c>
      <c r="C8142" s="1" t="n">
        <v>46075</v>
      </c>
      <c r="D8142" t="inlineStr">
        <is>
          <t>VÄSTERBOTTENS LÄN</t>
        </is>
      </c>
      <c r="E8142" t="inlineStr">
        <is>
          <t>NORSJÖ</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59912-2025</t>
        </is>
      </c>
      <c r="B8143" s="1" t="n">
        <v>45993.36509259259</v>
      </c>
      <c r="C8143" s="1" t="n">
        <v>46075</v>
      </c>
      <c r="D8143" t="inlineStr">
        <is>
          <t>VÄSTERBOTTENS LÄN</t>
        </is>
      </c>
      <c r="E8143" t="inlineStr">
        <is>
          <t>ÅSELE</t>
        </is>
      </c>
      <c r="G8143" t="n">
        <v>5.1</v>
      </c>
      <c r="H8143" t="n">
        <v>0</v>
      </c>
      <c r="I8143" t="n">
        <v>0</v>
      </c>
      <c r="J8143" t="n">
        <v>0</v>
      </c>
      <c r="K8143" t="n">
        <v>0</v>
      </c>
      <c r="L8143" t="n">
        <v>0</v>
      </c>
      <c r="M8143" t="n">
        <v>0</v>
      </c>
      <c r="N8143" t="n">
        <v>0</v>
      </c>
      <c r="O8143" t="n">
        <v>0</v>
      </c>
      <c r="P8143" t="n">
        <v>0</v>
      </c>
      <c r="Q8143" t="n">
        <v>0</v>
      </c>
      <c r="R8143" s="2" t="inlineStr"/>
    </row>
    <row r="8144" ht="15" customHeight="1">
      <c r="A8144" t="inlineStr">
        <is>
          <t>A 59959-2025</t>
        </is>
      </c>
      <c r="B8144" s="1" t="n">
        <v>45993</v>
      </c>
      <c r="C8144" s="1" t="n">
        <v>46075</v>
      </c>
      <c r="D8144" t="inlineStr">
        <is>
          <t>VÄSTERBOTTENS LÄN</t>
        </is>
      </c>
      <c r="E8144" t="inlineStr">
        <is>
          <t>NORSJÖ</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59279-2025</t>
        </is>
      </c>
      <c r="B8145" s="1" t="n">
        <v>45988</v>
      </c>
      <c r="C8145" s="1" t="n">
        <v>46075</v>
      </c>
      <c r="D8145" t="inlineStr">
        <is>
          <t>VÄSTERBOTTENS LÄN</t>
        </is>
      </c>
      <c r="E8145" t="inlineStr">
        <is>
          <t>BJURHOLM</t>
        </is>
      </c>
      <c r="G8145" t="n">
        <v>0.6</v>
      </c>
      <c r="H8145" t="n">
        <v>0</v>
      </c>
      <c r="I8145" t="n">
        <v>0</v>
      </c>
      <c r="J8145" t="n">
        <v>0</v>
      </c>
      <c r="K8145" t="n">
        <v>0</v>
      </c>
      <c r="L8145" t="n">
        <v>0</v>
      </c>
      <c r="M8145" t="n">
        <v>0</v>
      </c>
      <c r="N8145" t="n">
        <v>0</v>
      </c>
      <c r="O8145" t="n">
        <v>0</v>
      </c>
      <c r="P8145" t="n">
        <v>0</v>
      </c>
      <c r="Q8145" t="n">
        <v>0</v>
      </c>
      <c r="R8145" s="2" t="inlineStr"/>
    </row>
    <row r="8146" ht="15" customHeight="1">
      <c r="A8146" t="inlineStr">
        <is>
          <t>A 56603-2024</t>
        </is>
      </c>
      <c r="B8146" s="1" t="n">
        <v>45625.63980324074</v>
      </c>
      <c r="C8146" s="1" t="n">
        <v>46075</v>
      </c>
      <c r="D8146" t="inlineStr">
        <is>
          <t>VÄSTERBOTTENS LÄN</t>
        </is>
      </c>
      <c r="E8146" t="inlineStr">
        <is>
          <t>LYCKSELE</t>
        </is>
      </c>
      <c r="F8146" t="inlineStr">
        <is>
          <t>Holmen skog AB</t>
        </is>
      </c>
      <c r="G8146" t="n">
        <v>17.1</v>
      </c>
      <c r="H8146" t="n">
        <v>0</v>
      </c>
      <c r="I8146" t="n">
        <v>0</v>
      </c>
      <c r="J8146" t="n">
        <v>0</v>
      </c>
      <c r="K8146" t="n">
        <v>0</v>
      </c>
      <c r="L8146" t="n">
        <v>0</v>
      </c>
      <c r="M8146" t="n">
        <v>0</v>
      </c>
      <c r="N8146" t="n">
        <v>0</v>
      </c>
      <c r="O8146" t="n">
        <v>0</v>
      </c>
      <c r="P8146" t="n">
        <v>0</v>
      </c>
      <c r="Q8146" t="n">
        <v>0</v>
      </c>
      <c r="R8146" s="2" t="inlineStr"/>
    </row>
    <row r="8147" ht="15" customHeight="1">
      <c r="A8147" t="inlineStr">
        <is>
          <t>A 15295-2022</t>
        </is>
      </c>
      <c r="B8147" s="1" t="n">
        <v>44659</v>
      </c>
      <c r="C8147" s="1" t="n">
        <v>46075</v>
      </c>
      <c r="D8147" t="inlineStr">
        <is>
          <t>VÄSTERBOTTENS LÄN</t>
        </is>
      </c>
      <c r="E8147" t="inlineStr">
        <is>
          <t>VINDELN</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7498-2025</t>
        </is>
      </c>
      <c r="B8148" s="1" t="n">
        <v>45705</v>
      </c>
      <c r="C8148" s="1" t="n">
        <v>46075</v>
      </c>
      <c r="D8148" t="inlineStr">
        <is>
          <t>VÄSTERBOTTENS LÄN</t>
        </is>
      </c>
      <c r="E8148" t="inlineStr">
        <is>
          <t>ÅSELE</t>
        </is>
      </c>
      <c r="F8148" t="inlineStr">
        <is>
          <t>Holmen skog AB</t>
        </is>
      </c>
      <c r="G8148" t="n">
        <v>10.1</v>
      </c>
      <c r="H8148" t="n">
        <v>0</v>
      </c>
      <c r="I8148" t="n">
        <v>0</v>
      </c>
      <c r="J8148" t="n">
        <v>0</v>
      </c>
      <c r="K8148" t="n">
        <v>0</v>
      </c>
      <c r="L8148" t="n">
        <v>0</v>
      </c>
      <c r="M8148" t="n">
        <v>0</v>
      </c>
      <c r="N8148" t="n">
        <v>0</v>
      </c>
      <c r="O8148" t="n">
        <v>0</v>
      </c>
      <c r="P8148" t="n">
        <v>0</v>
      </c>
      <c r="Q8148" t="n">
        <v>0</v>
      </c>
      <c r="R8148" s="2" t="inlineStr"/>
    </row>
    <row r="8149" ht="15" customHeight="1">
      <c r="A8149" t="inlineStr">
        <is>
          <t>A 7499-2025</t>
        </is>
      </c>
      <c r="B8149" s="1" t="n">
        <v>45705.49078703704</v>
      </c>
      <c r="C8149" s="1" t="n">
        <v>46075</v>
      </c>
      <c r="D8149" t="inlineStr">
        <is>
          <t>VÄSTERBOTTENS LÄN</t>
        </is>
      </c>
      <c r="E8149" t="inlineStr">
        <is>
          <t>LYCKSELE</t>
        </is>
      </c>
      <c r="G8149" t="n">
        <v>5.6</v>
      </c>
      <c r="H8149" t="n">
        <v>0</v>
      </c>
      <c r="I8149" t="n">
        <v>0</v>
      </c>
      <c r="J8149" t="n">
        <v>0</v>
      </c>
      <c r="K8149" t="n">
        <v>0</v>
      </c>
      <c r="L8149" t="n">
        <v>0</v>
      </c>
      <c r="M8149" t="n">
        <v>0</v>
      </c>
      <c r="N8149" t="n">
        <v>0</v>
      </c>
      <c r="O8149" t="n">
        <v>0</v>
      </c>
      <c r="P8149" t="n">
        <v>0</v>
      </c>
      <c r="Q8149" t="n">
        <v>0</v>
      </c>
      <c r="R8149" s="2" t="inlineStr"/>
    </row>
    <row r="8150" ht="15" customHeight="1">
      <c r="A8150" t="inlineStr">
        <is>
          <t>A 36814-2024</t>
        </is>
      </c>
      <c r="B8150" s="1" t="n">
        <v>45538</v>
      </c>
      <c r="C8150" s="1" t="n">
        <v>46075</v>
      </c>
      <c r="D8150" t="inlineStr">
        <is>
          <t>VÄSTERBOTTENS LÄN</t>
        </is>
      </c>
      <c r="E8150" t="inlineStr">
        <is>
          <t>NORDMALING</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36823-2024</t>
        </is>
      </c>
      <c r="B8151" s="1" t="n">
        <v>45538.50298611111</v>
      </c>
      <c r="C8151" s="1" t="n">
        <v>46075</v>
      </c>
      <c r="D8151" t="inlineStr">
        <is>
          <t>VÄSTERBOTTENS LÄN</t>
        </is>
      </c>
      <c r="E8151" t="inlineStr">
        <is>
          <t>SKELLEFTEÅ</t>
        </is>
      </c>
      <c r="F8151" t="inlineStr">
        <is>
          <t>Holmen skog AB</t>
        </is>
      </c>
      <c r="G8151" t="n">
        <v>6</v>
      </c>
      <c r="H8151" t="n">
        <v>0</v>
      </c>
      <c r="I8151" t="n">
        <v>0</v>
      </c>
      <c r="J8151" t="n">
        <v>0</v>
      </c>
      <c r="K8151" t="n">
        <v>0</v>
      </c>
      <c r="L8151" t="n">
        <v>0</v>
      </c>
      <c r="M8151" t="n">
        <v>0</v>
      </c>
      <c r="N8151" t="n">
        <v>0</v>
      </c>
      <c r="O8151" t="n">
        <v>0</v>
      </c>
      <c r="P8151" t="n">
        <v>0</v>
      </c>
      <c r="Q8151" t="n">
        <v>0</v>
      </c>
      <c r="R8151" s="2" t="inlineStr"/>
    </row>
    <row r="8152" ht="15" customHeight="1">
      <c r="A8152" t="inlineStr">
        <is>
          <t>A 1746-2026</t>
        </is>
      </c>
      <c r="B8152" s="1" t="n">
        <v>46034.65533564815</v>
      </c>
      <c r="C8152" s="1" t="n">
        <v>46075</v>
      </c>
      <c r="D8152" t="inlineStr">
        <is>
          <t>VÄSTERBOTTENS LÄN</t>
        </is>
      </c>
      <c r="E8152" t="inlineStr">
        <is>
          <t>LYCKSELE</t>
        </is>
      </c>
      <c r="G8152" t="n">
        <v>3.1</v>
      </c>
      <c r="H8152" t="n">
        <v>0</v>
      </c>
      <c r="I8152" t="n">
        <v>0</v>
      </c>
      <c r="J8152" t="n">
        <v>0</v>
      </c>
      <c r="K8152" t="n">
        <v>0</v>
      </c>
      <c r="L8152" t="n">
        <v>0</v>
      </c>
      <c r="M8152" t="n">
        <v>0</v>
      </c>
      <c r="N8152" t="n">
        <v>0</v>
      </c>
      <c r="O8152" t="n">
        <v>0</v>
      </c>
      <c r="P8152" t="n">
        <v>0</v>
      </c>
      <c r="Q8152" t="n">
        <v>0</v>
      </c>
      <c r="R8152" s="2" t="inlineStr"/>
    </row>
    <row r="8153" ht="15" customHeight="1">
      <c r="A8153" t="inlineStr">
        <is>
          <t>A 1770-2026</t>
        </is>
      </c>
      <c r="B8153" s="1" t="n">
        <v>46034.69831018519</v>
      </c>
      <c r="C8153" s="1" t="n">
        <v>46075</v>
      </c>
      <c r="D8153" t="inlineStr">
        <is>
          <t>VÄSTERBOTTENS LÄN</t>
        </is>
      </c>
      <c r="E8153" t="inlineStr">
        <is>
          <t>STORUMAN</t>
        </is>
      </c>
      <c r="G8153" t="n">
        <v>4.1</v>
      </c>
      <c r="H8153" t="n">
        <v>0</v>
      </c>
      <c r="I8153" t="n">
        <v>0</v>
      </c>
      <c r="J8153" t="n">
        <v>0</v>
      </c>
      <c r="K8153" t="n">
        <v>0</v>
      </c>
      <c r="L8153" t="n">
        <v>0</v>
      </c>
      <c r="M8153" t="n">
        <v>0</v>
      </c>
      <c r="N8153" t="n">
        <v>0</v>
      </c>
      <c r="O8153" t="n">
        <v>0</v>
      </c>
      <c r="P8153" t="n">
        <v>0</v>
      </c>
      <c r="Q8153" t="n">
        <v>0</v>
      </c>
      <c r="R8153" s="2" t="inlineStr"/>
    </row>
    <row r="8154" ht="15" customHeight="1">
      <c r="A8154" t="inlineStr">
        <is>
          <t>A 55652-2024</t>
        </is>
      </c>
      <c r="B8154" s="1" t="n">
        <v>45621</v>
      </c>
      <c r="C8154" s="1" t="n">
        <v>46075</v>
      </c>
      <c r="D8154" t="inlineStr">
        <is>
          <t>VÄSTERBOTTENS LÄN</t>
        </is>
      </c>
      <c r="E8154" t="inlineStr">
        <is>
          <t>SKELLEFTEÅ</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1548-2026</t>
        </is>
      </c>
      <c r="B8155" s="1" t="n">
        <v>46034.3870949074</v>
      </c>
      <c r="C8155" s="1" t="n">
        <v>46075</v>
      </c>
      <c r="D8155" t="inlineStr">
        <is>
          <t>VÄSTERBOTTENS LÄN</t>
        </is>
      </c>
      <c r="E8155" t="inlineStr">
        <is>
          <t>SKELLEFTEÅ</t>
        </is>
      </c>
      <c r="G8155" t="n">
        <v>5.1</v>
      </c>
      <c r="H8155" t="n">
        <v>0</v>
      </c>
      <c r="I8155" t="n">
        <v>0</v>
      </c>
      <c r="J8155" t="n">
        <v>0</v>
      </c>
      <c r="K8155" t="n">
        <v>0</v>
      </c>
      <c r="L8155" t="n">
        <v>0</v>
      </c>
      <c r="M8155" t="n">
        <v>0</v>
      </c>
      <c r="N8155" t="n">
        <v>0</v>
      </c>
      <c r="O8155" t="n">
        <v>0</v>
      </c>
      <c r="P8155" t="n">
        <v>0</v>
      </c>
      <c r="Q8155" t="n">
        <v>0</v>
      </c>
      <c r="R8155" s="2" t="inlineStr"/>
    </row>
    <row r="8156" ht="15" customHeight="1">
      <c r="A8156" t="inlineStr">
        <is>
          <t>A 17060-2025</t>
        </is>
      </c>
      <c r="B8156" s="1" t="n">
        <v>45755.60756944444</v>
      </c>
      <c r="C8156" s="1" t="n">
        <v>46075</v>
      </c>
      <c r="D8156" t="inlineStr">
        <is>
          <t>VÄSTERBOTTENS LÄN</t>
        </is>
      </c>
      <c r="E8156" t="inlineStr">
        <is>
          <t>BJURHOLM</t>
        </is>
      </c>
      <c r="G8156" t="n">
        <v>7.7</v>
      </c>
      <c r="H8156" t="n">
        <v>0</v>
      </c>
      <c r="I8156" t="n">
        <v>0</v>
      </c>
      <c r="J8156" t="n">
        <v>0</v>
      </c>
      <c r="K8156" t="n">
        <v>0</v>
      </c>
      <c r="L8156" t="n">
        <v>0</v>
      </c>
      <c r="M8156" t="n">
        <v>0</v>
      </c>
      <c r="N8156" t="n">
        <v>0</v>
      </c>
      <c r="O8156" t="n">
        <v>0</v>
      </c>
      <c r="P8156" t="n">
        <v>0</v>
      </c>
      <c r="Q8156" t="n">
        <v>0</v>
      </c>
      <c r="R8156" s="2" t="inlineStr"/>
    </row>
    <row r="8157" ht="15" customHeight="1">
      <c r="A8157" t="inlineStr">
        <is>
          <t>A 17073-2025</t>
        </is>
      </c>
      <c r="B8157" s="1" t="n">
        <v>45754</v>
      </c>
      <c r="C8157" s="1" t="n">
        <v>46075</v>
      </c>
      <c r="D8157" t="inlineStr">
        <is>
          <t>VÄSTERBOTTENS LÄN</t>
        </is>
      </c>
      <c r="E8157" t="inlineStr">
        <is>
          <t>VÄNNÄS</t>
        </is>
      </c>
      <c r="G8157" t="n">
        <v>2.3</v>
      </c>
      <c r="H8157" t="n">
        <v>0</v>
      </c>
      <c r="I8157" t="n">
        <v>0</v>
      </c>
      <c r="J8157" t="n">
        <v>0</v>
      </c>
      <c r="K8157" t="n">
        <v>0</v>
      </c>
      <c r="L8157" t="n">
        <v>0</v>
      </c>
      <c r="M8157" t="n">
        <v>0</v>
      </c>
      <c r="N8157" t="n">
        <v>0</v>
      </c>
      <c r="O8157" t="n">
        <v>0</v>
      </c>
      <c r="P8157" t="n">
        <v>0</v>
      </c>
      <c r="Q8157" t="n">
        <v>0</v>
      </c>
      <c r="R8157" s="2" t="inlineStr"/>
    </row>
    <row r="8158" ht="15" customHeight="1">
      <c r="A8158" t="inlineStr">
        <is>
          <t>A 17081-2025</t>
        </is>
      </c>
      <c r="B8158" s="1" t="n">
        <v>45755</v>
      </c>
      <c r="C8158" s="1" t="n">
        <v>46075</v>
      </c>
      <c r="D8158" t="inlineStr">
        <is>
          <t>VÄSTERBOTTENS LÄN</t>
        </is>
      </c>
      <c r="E8158" t="inlineStr">
        <is>
          <t>UMEÅ</t>
        </is>
      </c>
      <c r="G8158" t="n">
        <v>3.3</v>
      </c>
      <c r="H8158" t="n">
        <v>0</v>
      </c>
      <c r="I8158" t="n">
        <v>0</v>
      </c>
      <c r="J8158" t="n">
        <v>0</v>
      </c>
      <c r="K8158" t="n">
        <v>0</v>
      </c>
      <c r="L8158" t="n">
        <v>0</v>
      </c>
      <c r="M8158" t="n">
        <v>0</v>
      </c>
      <c r="N8158" t="n">
        <v>0</v>
      </c>
      <c r="O8158" t="n">
        <v>0</v>
      </c>
      <c r="P8158" t="n">
        <v>0</v>
      </c>
      <c r="Q8158" t="n">
        <v>0</v>
      </c>
      <c r="R8158" s="2" t="inlineStr"/>
    </row>
    <row r="8159" ht="15" customHeight="1">
      <c r="A8159" t="inlineStr">
        <is>
          <t>A 59732-2025</t>
        </is>
      </c>
      <c r="B8159" s="1" t="n">
        <v>45992.57090277778</v>
      </c>
      <c r="C8159" s="1" t="n">
        <v>46075</v>
      </c>
      <c r="D8159" t="inlineStr">
        <is>
          <t>VÄSTERBOTTENS LÄN</t>
        </is>
      </c>
      <c r="E8159" t="inlineStr">
        <is>
          <t>SKELLEFTEÅ</t>
        </is>
      </c>
      <c r="F8159" t="inlineStr">
        <is>
          <t>Sveaskog</t>
        </is>
      </c>
      <c r="G8159" t="n">
        <v>3.3</v>
      </c>
      <c r="H8159" t="n">
        <v>0</v>
      </c>
      <c r="I8159" t="n">
        <v>0</v>
      </c>
      <c r="J8159" t="n">
        <v>0</v>
      </c>
      <c r="K8159" t="n">
        <v>0</v>
      </c>
      <c r="L8159" t="n">
        <v>0</v>
      </c>
      <c r="M8159" t="n">
        <v>0</v>
      </c>
      <c r="N8159" t="n">
        <v>0</v>
      </c>
      <c r="O8159" t="n">
        <v>0</v>
      </c>
      <c r="P8159" t="n">
        <v>0</v>
      </c>
      <c r="Q8159" t="n">
        <v>0</v>
      </c>
      <c r="R8159" s="2" t="inlineStr"/>
    </row>
    <row r="8160" ht="15" customHeight="1">
      <c r="A8160" t="inlineStr">
        <is>
          <t>A 11369-2023</t>
        </is>
      </c>
      <c r="B8160" s="1" t="n">
        <v>44993.43899305556</v>
      </c>
      <c r="C8160" s="1" t="n">
        <v>46075</v>
      </c>
      <c r="D8160" t="inlineStr">
        <is>
          <t>VÄSTERBOTTENS LÄN</t>
        </is>
      </c>
      <c r="E8160" t="inlineStr">
        <is>
          <t>NORDMALING</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59867-2025</t>
        </is>
      </c>
      <c r="B8161" s="1" t="n">
        <v>45992.87564814815</v>
      </c>
      <c r="C8161" s="1" t="n">
        <v>46075</v>
      </c>
      <c r="D8161" t="inlineStr">
        <is>
          <t>VÄSTERBOTTENS LÄN</t>
        </is>
      </c>
      <c r="E8161" t="inlineStr">
        <is>
          <t>VÄNNÄS</t>
        </is>
      </c>
      <c r="G8161" t="n">
        <v>0.3</v>
      </c>
      <c r="H8161" t="n">
        <v>0</v>
      </c>
      <c r="I8161" t="n">
        <v>0</v>
      </c>
      <c r="J8161" t="n">
        <v>0</v>
      </c>
      <c r="K8161" t="n">
        <v>0</v>
      </c>
      <c r="L8161" t="n">
        <v>0</v>
      </c>
      <c r="M8161" t="n">
        <v>0</v>
      </c>
      <c r="N8161" t="n">
        <v>0</v>
      </c>
      <c r="O8161" t="n">
        <v>0</v>
      </c>
      <c r="P8161" t="n">
        <v>0</v>
      </c>
      <c r="Q8161" t="n">
        <v>0</v>
      </c>
      <c r="R8161" s="2" t="inlineStr"/>
    </row>
    <row r="8162" ht="15" customHeight="1">
      <c r="A8162" t="inlineStr">
        <is>
          <t>A 29862-2022</t>
        </is>
      </c>
      <c r="B8162" s="1" t="n">
        <v>44756.38809027777</v>
      </c>
      <c r="C8162" s="1" t="n">
        <v>46075</v>
      </c>
      <c r="D8162" t="inlineStr">
        <is>
          <t>VÄSTERBOTTENS LÄN</t>
        </is>
      </c>
      <c r="E8162" t="inlineStr">
        <is>
          <t>DOROTEA</t>
        </is>
      </c>
      <c r="G8162" t="n">
        <v>13.6</v>
      </c>
      <c r="H8162" t="n">
        <v>0</v>
      </c>
      <c r="I8162" t="n">
        <v>0</v>
      </c>
      <c r="J8162" t="n">
        <v>0</v>
      </c>
      <c r="K8162" t="n">
        <v>0</v>
      </c>
      <c r="L8162" t="n">
        <v>0</v>
      </c>
      <c r="M8162" t="n">
        <v>0</v>
      </c>
      <c r="N8162" t="n">
        <v>0</v>
      </c>
      <c r="O8162" t="n">
        <v>0</v>
      </c>
      <c r="P8162" t="n">
        <v>0</v>
      </c>
      <c r="Q8162" t="n">
        <v>0</v>
      </c>
      <c r="R8162" s="2" t="inlineStr"/>
    </row>
    <row r="8163" ht="15" customHeight="1">
      <c r="A8163" t="inlineStr">
        <is>
          <t>A 1633-2026</t>
        </is>
      </c>
      <c r="B8163" s="1" t="n">
        <v>46034.49119212963</v>
      </c>
      <c r="C8163" s="1" t="n">
        <v>46075</v>
      </c>
      <c r="D8163" t="inlineStr">
        <is>
          <t>VÄSTERBOTTENS LÄN</t>
        </is>
      </c>
      <c r="E8163" t="inlineStr">
        <is>
          <t>VÄNNÄS</t>
        </is>
      </c>
      <c r="G8163" t="n">
        <v>1.9</v>
      </c>
      <c r="H8163" t="n">
        <v>0</v>
      </c>
      <c r="I8163" t="n">
        <v>0</v>
      </c>
      <c r="J8163" t="n">
        <v>0</v>
      </c>
      <c r="K8163" t="n">
        <v>0</v>
      </c>
      <c r="L8163" t="n">
        <v>0</v>
      </c>
      <c r="M8163" t="n">
        <v>0</v>
      </c>
      <c r="N8163" t="n">
        <v>0</v>
      </c>
      <c r="O8163" t="n">
        <v>0</v>
      </c>
      <c r="P8163" t="n">
        <v>0</v>
      </c>
      <c r="Q8163" t="n">
        <v>0</v>
      </c>
      <c r="R8163" s="2" t="inlineStr"/>
    </row>
    <row r="8164" ht="15" customHeight="1">
      <c r="A8164" t="inlineStr">
        <is>
          <t>A 60057-2025</t>
        </is>
      </c>
      <c r="B8164" s="1" t="n">
        <v>45993.65197916667</v>
      </c>
      <c r="C8164" s="1" t="n">
        <v>46075</v>
      </c>
      <c r="D8164" t="inlineStr">
        <is>
          <t>VÄSTERBOTTENS LÄN</t>
        </is>
      </c>
      <c r="E8164" t="inlineStr">
        <is>
          <t>VILHELMINA</t>
        </is>
      </c>
      <c r="G8164" t="n">
        <v>0.6</v>
      </c>
      <c r="H8164" t="n">
        <v>0</v>
      </c>
      <c r="I8164" t="n">
        <v>0</v>
      </c>
      <c r="J8164" t="n">
        <v>0</v>
      </c>
      <c r="K8164" t="n">
        <v>0</v>
      </c>
      <c r="L8164" t="n">
        <v>0</v>
      </c>
      <c r="M8164" t="n">
        <v>0</v>
      </c>
      <c r="N8164" t="n">
        <v>0</v>
      </c>
      <c r="O8164" t="n">
        <v>0</v>
      </c>
      <c r="P8164" t="n">
        <v>0</v>
      </c>
      <c r="Q8164" t="n">
        <v>0</v>
      </c>
      <c r="R8164" s="2" t="inlineStr"/>
    </row>
    <row r="8165" ht="15" customHeight="1">
      <c r="A8165" t="inlineStr">
        <is>
          <t>A 60060-2025</t>
        </is>
      </c>
      <c r="B8165" s="1" t="n">
        <v>45993.65642361111</v>
      </c>
      <c r="C8165" s="1" t="n">
        <v>46075</v>
      </c>
      <c r="D8165" t="inlineStr">
        <is>
          <t>VÄSTERBOTTENS LÄN</t>
        </is>
      </c>
      <c r="E8165" t="inlineStr">
        <is>
          <t>BJURHOLM</t>
        </is>
      </c>
      <c r="G8165" t="n">
        <v>2.4</v>
      </c>
      <c r="H8165" t="n">
        <v>0</v>
      </c>
      <c r="I8165" t="n">
        <v>0</v>
      </c>
      <c r="J8165" t="n">
        <v>0</v>
      </c>
      <c r="K8165" t="n">
        <v>0</v>
      </c>
      <c r="L8165" t="n">
        <v>0</v>
      </c>
      <c r="M8165" t="n">
        <v>0</v>
      </c>
      <c r="N8165" t="n">
        <v>0</v>
      </c>
      <c r="O8165" t="n">
        <v>0</v>
      </c>
      <c r="P8165" t="n">
        <v>0</v>
      </c>
      <c r="Q8165" t="n">
        <v>0</v>
      </c>
      <c r="R8165" s="2" t="inlineStr"/>
    </row>
    <row r="8166" ht="15" customHeight="1">
      <c r="A8166" t="inlineStr">
        <is>
          <t>A 53363-2021</t>
        </is>
      </c>
      <c r="B8166" s="1" t="n">
        <v>44468</v>
      </c>
      <c r="C8166" s="1" t="n">
        <v>46075</v>
      </c>
      <c r="D8166" t="inlineStr">
        <is>
          <t>VÄSTERBOTTENS LÄN</t>
        </is>
      </c>
      <c r="E8166" t="inlineStr">
        <is>
          <t>SORSELE</t>
        </is>
      </c>
      <c r="G8166" t="n">
        <v>4.6</v>
      </c>
      <c r="H8166" t="n">
        <v>0</v>
      </c>
      <c r="I8166" t="n">
        <v>0</v>
      </c>
      <c r="J8166" t="n">
        <v>0</v>
      </c>
      <c r="K8166" t="n">
        <v>0</v>
      </c>
      <c r="L8166" t="n">
        <v>0</v>
      </c>
      <c r="M8166" t="n">
        <v>0</v>
      </c>
      <c r="N8166" t="n">
        <v>0</v>
      </c>
      <c r="O8166" t="n">
        <v>0</v>
      </c>
      <c r="P8166" t="n">
        <v>0</v>
      </c>
      <c r="Q8166" t="n">
        <v>0</v>
      </c>
      <c r="R8166" s="2" t="inlineStr"/>
    </row>
    <row r="8167" ht="15" customHeight="1">
      <c r="A8167" t="inlineStr">
        <is>
          <t>A 1763-2026</t>
        </is>
      </c>
      <c r="B8167" s="1" t="n">
        <v>46034.6775</v>
      </c>
      <c r="C8167" s="1" t="n">
        <v>46075</v>
      </c>
      <c r="D8167" t="inlineStr">
        <is>
          <t>VÄSTERBOTTENS LÄN</t>
        </is>
      </c>
      <c r="E8167" t="inlineStr">
        <is>
          <t>SKELLEFTEÅ</t>
        </is>
      </c>
      <c r="G8167" t="n">
        <v>2.2</v>
      </c>
      <c r="H8167" t="n">
        <v>0</v>
      </c>
      <c r="I8167" t="n">
        <v>0</v>
      </c>
      <c r="J8167" t="n">
        <v>0</v>
      </c>
      <c r="K8167" t="n">
        <v>0</v>
      </c>
      <c r="L8167" t="n">
        <v>0</v>
      </c>
      <c r="M8167" t="n">
        <v>0</v>
      </c>
      <c r="N8167" t="n">
        <v>0</v>
      </c>
      <c r="O8167" t="n">
        <v>0</v>
      </c>
      <c r="P8167" t="n">
        <v>0</v>
      </c>
      <c r="Q8167" t="n">
        <v>0</v>
      </c>
      <c r="R8167" s="2" t="inlineStr"/>
    </row>
    <row r="8168" ht="15" customHeight="1">
      <c r="A8168" t="inlineStr">
        <is>
          <t>A 1769-2026</t>
        </is>
      </c>
      <c r="B8168" s="1" t="n">
        <v>46034.69822916666</v>
      </c>
      <c r="C8168" s="1" t="n">
        <v>46075</v>
      </c>
      <c r="D8168" t="inlineStr">
        <is>
          <t>VÄSTERBOTTENS LÄN</t>
        </is>
      </c>
      <c r="E8168" t="inlineStr">
        <is>
          <t>STORUMAN</t>
        </is>
      </c>
      <c r="G8168" t="n">
        <v>3.8</v>
      </c>
      <c r="H8168" t="n">
        <v>0</v>
      </c>
      <c r="I8168" t="n">
        <v>0</v>
      </c>
      <c r="J8168" t="n">
        <v>0</v>
      </c>
      <c r="K8168" t="n">
        <v>0</v>
      </c>
      <c r="L8168" t="n">
        <v>0</v>
      </c>
      <c r="M8168" t="n">
        <v>0</v>
      </c>
      <c r="N8168" t="n">
        <v>0</v>
      </c>
      <c r="O8168" t="n">
        <v>0</v>
      </c>
      <c r="P8168" t="n">
        <v>0</v>
      </c>
      <c r="Q8168" t="n">
        <v>0</v>
      </c>
      <c r="R8168" s="2" t="inlineStr"/>
    </row>
    <row r="8169" ht="15" customHeight="1">
      <c r="A8169" t="inlineStr">
        <is>
          <t>A 60045-2025</t>
        </is>
      </c>
      <c r="B8169" s="1" t="n">
        <v>45993.6283912037</v>
      </c>
      <c r="C8169" s="1" t="n">
        <v>46075</v>
      </c>
      <c r="D8169" t="inlineStr">
        <is>
          <t>VÄSTERBOTTENS LÄN</t>
        </is>
      </c>
      <c r="E8169" t="inlineStr">
        <is>
          <t>SKELLEFTEÅ</t>
        </is>
      </c>
      <c r="G8169" t="n">
        <v>4.1</v>
      </c>
      <c r="H8169" t="n">
        <v>0</v>
      </c>
      <c r="I8169" t="n">
        <v>0</v>
      </c>
      <c r="J8169" t="n">
        <v>0</v>
      </c>
      <c r="K8169" t="n">
        <v>0</v>
      </c>
      <c r="L8169" t="n">
        <v>0</v>
      </c>
      <c r="M8169" t="n">
        <v>0</v>
      </c>
      <c r="N8169" t="n">
        <v>0</v>
      </c>
      <c r="O8169" t="n">
        <v>0</v>
      </c>
      <c r="P8169" t="n">
        <v>0</v>
      </c>
      <c r="Q8169" t="n">
        <v>0</v>
      </c>
      <c r="R8169" s="2" t="inlineStr"/>
    </row>
    <row r="8170" ht="15" customHeight="1">
      <c r="A8170" t="inlineStr">
        <is>
          <t>A 11824-2023</t>
        </is>
      </c>
      <c r="B8170" s="1" t="n">
        <v>44994</v>
      </c>
      <c r="C8170" s="1" t="n">
        <v>46075</v>
      </c>
      <c r="D8170" t="inlineStr">
        <is>
          <t>VÄSTERBOTTENS LÄN</t>
        </is>
      </c>
      <c r="E8170" t="inlineStr">
        <is>
          <t>MALÅ</t>
        </is>
      </c>
      <c r="G8170" t="n">
        <v>7.7</v>
      </c>
      <c r="H8170" t="n">
        <v>0</v>
      </c>
      <c r="I8170" t="n">
        <v>0</v>
      </c>
      <c r="J8170" t="n">
        <v>0</v>
      </c>
      <c r="K8170" t="n">
        <v>0</v>
      </c>
      <c r="L8170" t="n">
        <v>0</v>
      </c>
      <c r="M8170" t="n">
        <v>0</v>
      </c>
      <c r="N8170" t="n">
        <v>0</v>
      </c>
      <c r="O8170" t="n">
        <v>0</v>
      </c>
      <c r="P8170" t="n">
        <v>0</v>
      </c>
      <c r="Q8170" t="n">
        <v>0</v>
      </c>
      <c r="R8170" s="2" t="inlineStr"/>
    </row>
    <row r="8171" ht="15" customHeight="1">
      <c r="A8171" t="inlineStr">
        <is>
          <t>A 60064-2025</t>
        </is>
      </c>
      <c r="B8171" s="1" t="n">
        <v>45993.65728009259</v>
      </c>
      <c r="C8171" s="1" t="n">
        <v>46075</v>
      </c>
      <c r="D8171" t="inlineStr">
        <is>
          <t>VÄSTERBOTTENS LÄN</t>
        </is>
      </c>
      <c r="E8171" t="inlineStr">
        <is>
          <t>NORDMALING</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60069-2025</t>
        </is>
      </c>
      <c r="B8172" s="1" t="n">
        <v>45993.66409722222</v>
      </c>
      <c r="C8172" s="1" t="n">
        <v>46075</v>
      </c>
      <c r="D8172" t="inlineStr">
        <is>
          <t>VÄSTERBOTTENS LÄN</t>
        </is>
      </c>
      <c r="E8172" t="inlineStr">
        <is>
          <t>VILHELMINA</t>
        </is>
      </c>
      <c r="G8172" t="n">
        <v>2.6</v>
      </c>
      <c r="H8172" t="n">
        <v>0</v>
      </c>
      <c r="I8172" t="n">
        <v>0</v>
      </c>
      <c r="J8172" t="n">
        <v>0</v>
      </c>
      <c r="K8172" t="n">
        <v>0</v>
      </c>
      <c r="L8172" t="n">
        <v>0</v>
      </c>
      <c r="M8172" t="n">
        <v>0</v>
      </c>
      <c r="N8172" t="n">
        <v>0</v>
      </c>
      <c r="O8172" t="n">
        <v>0</v>
      </c>
      <c r="P8172" t="n">
        <v>0</v>
      </c>
      <c r="Q8172" t="n">
        <v>0</v>
      </c>
      <c r="R8172" s="2" t="inlineStr"/>
    </row>
    <row r="8173" ht="15" customHeight="1">
      <c r="A8173" t="inlineStr">
        <is>
          <t>A 1429-2026</t>
        </is>
      </c>
      <c r="B8173" s="1" t="n">
        <v>46032.39072916667</v>
      </c>
      <c r="C8173" s="1" t="n">
        <v>46075</v>
      </c>
      <c r="D8173" t="inlineStr">
        <is>
          <t>VÄSTERBOTTENS LÄN</t>
        </is>
      </c>
      <c r="E8173" t="inlineStr">
        <is>
          <t>NORDMALING</t>
        </is>
      </c>
      <c r="F8173" t="inlineStr">
        <is>
          <t>Holmen skog AB</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60074-2025</t>
        </is>
      </c>
      <c r="B8174" s="1" t="n">
        <v>45993.67747685185</v>
      </c>
      <c r="C8174" s="1" t="n">
        <v>46075</v>
      </c>
      <c r="D8174" t="inlineStr">
        <is>
          <t>VÄSTERBOTTENS LÄN</t>
        </is>
      </c>
      <c r="E8174" t="inlineStr">
        <is>
          <t>UMEÅ</t>
        </is>
      </c>
      <c r="G8174" t="n">
        <v>9.9</v>
      </c>
      <c r="H8174" t="n">
        <v>0</v>
      </c>
      <c r="I8174" t="n">
        <v>0</v>
      </c>
      <c r="J8174" t="n">
        <v>0</v>
      </c>
      <c r="K8174" t="n">
        <v>0</v>
      </c>
      <c r="L8174" t="n">
        <v>0</v>
      </c>
      <c r="M8174" t="n">
        <v>0</v>
      </c>
      <c r="N8174" t="n">
        <v>0</v>
      </c>
      <c r="O8174" t="n">
        <v>0</v>
      </c>
      <c r="P8174" t="n">
        <v>0</v>
      </c>
      <c r="Q8174" t="n">
        <v>0</v>
      </c>
      <c r="R8174" s="2" t="inlineStr"/>
    </row>
    <row r="8175" ht="15" customHeight="1">
      <c r="A8175" t="inlineStr">
        <is>
          <t>A 1882-2026</t>
        </is>
      </c>
      <c r="B8175" s="1" t="n">
        <v>46035.47445601852</v>
      </c>
      <c r="C8175" s="1" t="n">
        <v>46075</v>
      </c>
      <c r="D8175" t="inlineStr">
        <is>
          <t>VÄSTERBOTTENS LÄN</t>
        </is>
      </c>
      <c r="E8175" t="inlineStr">
        <is>
          <t>NORSJÖ</t>
        </is>
      </c>
      <c r="G8175" t="n">
        <v>3.9</v>
      </c>
      <c r="H8175" t="n">
        <v>0</v>
      </c>
      <c r="I8175" t="n">
        <v>0</v>
      </c>
      <c r="J8175" t="n">
        <v>0</v>
      </c>
      <c r="K8175" t="n">
        <v>0</v>
      </c>
      <c r="L8175" t="n">
        <v>0</v>
      </c>
      <c r="M8175" t="n">
        <v>0</v>
      </c>
      <c r="N8175" t="n">
        <v>0</v>
      </c>
      <c r="O8175" t="n">
        <v>0</v>
      </c>
      <c r="P8175" t="n">
        <v>0</v>
      </c>
      <c r="Q8175" t="n">
        <v>0</v>
      </c>
      <c r="R8175" s="2" t="inlineStr"/>
    </row>
    <row r="8176" ht="15" customHeight="1">
      <c r="A8176" t="inlineStr">
        <is>
          <t>A 1894-2026</t>
        </is>
      </c>
      <c r="B8176" s="1" t="n">
        <v>46035.50423611111</v>
      </c>
      <c r="C8176" s="1" t="n">
        <v>46075</v>
      </c>
      <c r="D8176" t="inlineStr">
        <is>
          <t>VÄSTERBOTTENS LÄN</t>
        </is>
      </c>
      <c r="E8176" t="inlineStr">
        <is>
          <t>NORSJÖ</t>
        </is>
      </c>
      <c r="G8176" t="n">
        <v>2.3</v>
      </c>
      <c r="H8176" t="n">
        <v>0</v>
      </c>
      <c r="I8176" t="n">
        <v>0</v>
      </c>
      <c r="J8176" t="n">
        <v>0</v>
      </c>
      <c r="K8176" t="n">
        <v>0</v>
      </c>
      <c r="L8176" t="n">
        <v>0</v>
      </c>
      <c r="M8176" t="n">
        <v>0</v>
      </c>
      <c r="N8176" t="n">
        <v>0</v>
      </c>
      <c r="O8176" t="n">
        <v>0</v>
      </c>
      <c r="P8176" t="n">
        <v>0</v>
      </c>
      <c r="Q8176" t="n">
        <v>0</v>
      </c>
      <c r="R8176" s="2" t="inlineStr"/>
    </row>
    <row r="8177" ht="15" customHeight="1">
      <c r="A8177" t="inlineStr">
        <is>
          <t>A 1896-2026</t>
        </is>
      </c>
      <c r="B8177" s="1" t="n">
        <v>46035.50795138889</v>
      </c>
      <c r="C8177" s="1" t="n">
        <v>46075</v>
      </c>
      <c r="D8177" t="inlineStr">
        <is>
          <t>VÄSTERBOTTENS LÄN</t>
        </is>
      </c>
      <c r="E8177" t="inlineStr">
        <is>
          <t>SKELLEFTEÅ</t>
        </is>
      </c>
      <c r="G8177" t="n">
        <v>4.9</v>
      </c>
      <c r="H8177" t="n">
        <v>0</v>
      </c>
      <c r="I8177" t="n">
        <v>0</v>
      </c>
      <c r="J8177" t="n">
        <v>0</v>
      </c>
      <c r="K8177" t="n">
        <v>0</v>
      </c>
      <c r="L8177" t="n">
        <v>0</v>
      </c>
      <c r="M8177" t="n">
        <v>0</v>
      </c>
      <c r="N8177" t="n">
        <v>0</v>
      </c>
      <c r="O8177" t="n">
        <v>0</v>
      </c>
      <c r="P8177" t="n">
        <v>0</v>
      </c>
      <c r="Q8177" t="n">
        <v>0</v>
      </c>
      <c r="R8177" s="2" t="inlineStr"/>
    </row>
    <row r="8178" ht="15" customHeight="1">
      <c r="A8178" t="inlineStr">
        <is>
          <t>A 1966-2026</t>
        </is>
      </c>
      <c r="B8178" s="1" t="n">
        <v>46035.6363425926</v>
      </c>
      <c r="C8178" s="1" t="n">
        <v>46075</v>
      </c>
      <c r="D8178" t="inlineStr">
        <is>
          <t>VÄSTERBOTTENS LÄN</t>
        </is>
      </c>
      <c r="E8178" t="inlineStr">
        <is>
          <t>NORSJÖ</t>
        </is>
      </c>
      <c r="G8178" t="n">
        <v>4.6</v>
      </c>
      <c r="H8178" t="n">
        <v>0</v>
      </c>
      <c r="I8178" t="n">
        <v>0</v>
      </c>
      <c r="J8178" t="n">
        <v>0</v>
      </c>
      <c r="K8178" t="n">
        <v>0</v>
      </c>
      <c r="L8178" t="n">
        <v>0</v>
      </c>
      <c r="M8178" t="n">
        <v>0</v>
      </c>
      <c r="N8178" t="n">
        <v>0</v>
      </c>
      <c r="O8178" t="n">
        <v>0</v>
      </c>
      <c r="P8178" t="n">
        <v>0</v>
      </c>
      <c r="Q8178" t="n">
        <v>0</v>
      </c>
      <c r="R8178" s="2" t="inlineStr"/>
    </row>
    <row r="8179" ht="15" customHeight="1">
      <c r="A8179" t="inlineStr">
        <is>
          <t>A 59793-2023</t>
        </is>
      </c>
      <c r="B8179" s="1" t="n">
        <v>45257.4577199074</v>
      </c>
      <c r="C8179" s="1" t="n">
        <v>46075</v>
      </c>
      <c r="D8179" t="inlineStr">
        <is>
          <t>VÄSTERBOTTENS LÄN</t>
        </is>
      </c>
      <c r="E8179" t="inlineStr">
        <is>
          <t>SKELLEFTEÅ</t>
        </is>
      </c>
      <c r="G8179" t="n">
        <v>1.7</v>
      </c>
      <c r="H8179" t="n">
        <v>0</v>
      </c>
      <c r="I8179" t="n">
        <v>0</v>
      </c>
      <c r="J8179" t="n">
        <v>0</v>
      </c>
      <c r="K8179" t="n">
        <v>0</v>
      </c>
      <c r="L8179" t="n">
        <v>0</v>
      </c>
      <c r="M8179" t="n">
        <v>0</v>
      </c>
      <c r="N8179" t="n">
        <v>0</v>
      </c>
      <c r="O8179" t="n">
        <v>0</v>
      </c>
      <c r="P8179" t="n">
        <v>0</v>
      </c>
      <c r="Q8179" t="n">
        <v>0</v>
      </c>
      <c r="R8179" s="2" t="inlineStr"/>
    </row>
    <row r="8180" ht="15" customHeight="1">
      <c r="A8180" t="inlineStr">
        <is>
          <t>A 38816-2023</t>
        </is>
      </c>
      <c r="B8180" s="1" t="n">
        <v>45163</v>
      </c>
      <c r="C8180" s="1" t="n">
        <v>46075</v>
      </c>
      <c r="D8180" t="inlineStr">
        <is>
          <t>VÄSTERBOTTENS LÄN</t>
        </is>
      </c>
      <c r="E8180" t="inlineStr">
        <is>
          <t>NORSJÖ</t>
        </is>
      </c>
      <c r="G8180" t="n">
        <v>8.199999999999999</v>
      </c>
      <c r="H8180" t="n">
        <v>0</v>
      </c>
      <c r="I8180" t="n">
        <v>0</v>
      </c>
      <c r="J8180" t="n">
        <v>0</v>
      </c>
      <c r="K8180" t="n">
        <v>0</v>
      </c>
      <c r="L8180" t="n">
        <v>0</v>
      </c>
      <c r="M8180" t="n">
        <v>0</v>
      </c>
      <c r="N8180" t="n">
        <v>0</v>
      </c>
      <c r="O8180" t="n">
        <v>0</v>
      </c>
      <c r="P8180" t="n">
        <v>0</v>
      </c>
      <c r="Q8180" t="n">
        <v>0</v>
      </c>
      <c r="R8180" s="2" t="inlineStr"/>
    </row>
    <row r="8181" ht="15" customHeight="1">
      <c r="A8181" t="inlineStr">
        <is>
          <t>A 38819-2023</t>
        </is>
      </c>
      <c r="B8181" s="1" t="n">
        <v>45163</v>
      </c>
      <c r="C8181" s="1" t="n">
        <v>46075</v>
      </c>
      <c r="D8181" t="inlineStr">
        <is>
          <t>VÄSTERBOTTENS LÄN</t>
        </is>
      </c>
      <c r="E8181" t="inlineStr">
        <is>
          <t>NORSJÖ</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47010-2024</t>
        </is>
      </c>
      <c r="B8182" s="1" t="n">
        <v>45586</v>
      </c>
      <c r="C8182" s="1" t="n">
        <v>46075</v>
      </c>
      <c r="D8182" t="inlineStr">
        <is>
          <t>VÄSTERBOTTENS LÄN</t>
        </is>
      </c>
      <c r="E8182" t="inlineStr">
        <is>
          <t>VILHELMINA</t>
        </is>
      </c>
      <c r="F8182" t="inlineStr">
        <is>
          <t>SCA</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23648-2023</t>
        </is>
      </c>
      <c r="B8183" s="1" t="n">
        <v>45077.54615740741</v>
      </c>
      <c r="C8183" s="1" t="n">
        <v>46075</v>
      </c>
      <c r="D8183" t="inlineStr">
        <is>
          <t>VÄSTERBOTTENS LÄN</t>
        </is>
      </c>
      <c r="E8183" t="inlineStr">
        <is>
          <t>ÅSELE</t>
        </is>
      </c>
      <c r="F8183" t="inlineStr">
        <is>
          <t>Naturvårdsverket</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59629-2025</t>
        </is>
      </c>
      <c r="B8184" s="1" t="n">
        <v>45992.39248842592</v>
      </c>
      <c r="C8184" s="1" t="n">
        <v>46075</v>
      </c>
      <c r="D8184" t="inlineStr">
        <is>
          <t>VÄSTERBOTTENS LÄN</t>
        </is>
      </c>
      <c r="E8184" t="inlineStr">
        <is>
          <t>VILHELMINA</t>
        </is>
      </c>
      <c r="G8184" t="n">
        <v>12.6</v>
      </c>
      <c r="H8184" t="n">
        <v>0</v>
      </c>
      <c r="I8184" t="n">
        <v>0</v>
      </c>
      <c r="J8184" t="n">
        <v>0</v>
      </c>
      <c r="K8184" t="n">
        <v>0</v>
      </c>
      <c r="L8184" t="n">
        <v>0</v>
      </c>
      <c r="M8184" t="n">
        <v>0</v>
      </c>
      <c r="N8184" t="n">
        <v>0</v>
      </c>
      <c r="O8184" t="n">
        <v>0</v>
      </c>
      <c r="P8184" t="n">
        <v>0</v>
      </c>
      <c r="Q8184" t="n">
        <v>0</v>
      </c>
      <c r="R8184" s="2" t="inlineStr"/>
    </row>
    <row r="8185" ht="15" customHeight="1">
      <c r="A8185" t="inlineStr">
        <is>
          <t>A 59958-2025</t>
        </is>
      </c>
      <c r="B8185" s="1" t="n">
        <v>45993.46925925926</v>
      </c>
      <c r="C8185" s="1" t="n">
        <v>46075</v>
      </c>
      <c r="D8185" t="inlineStr">
        <is>
          <t>VÄSTERBOTTENS LÄN</t>
        </is>
      </c>
      <c r="E8185" t="inlineStr">
        <is>
          <t>NORSJÖ</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59960-2025</t>
        </is>
      </c>
      <c r="B8186" s="1" t="n">
        <v>45993.4699537037</v>
      </c>
      <c r="C8186" s="1" t="n">
        <v>46075</v>
      </c>
      <c r="D8186" t="inlineStr">
        <is>
          <t>VÄSTERBOTTENS LÄN</t>
        </is>
      </c>
      <c r="E8186" t="inlineStr">
        <is>
          <t>VINDELN</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40908-2024</t>
        </is>
      </c>
      <c r="B8187" s="1" t="n">
        <v>45558.62386574074</v>
      </c>
      <c r="C8187" s="1" t="n">
        <v>46075</v>
      </c>
      <c r="D8187" t="inlineStr">
        <is>
          <t>VÄSTERBOTTENS LÄN</t>
        </is>
      </c>
      <c r="E8187" t="inlineStr">
        <is>
          <t>LYCKSELE</t>
        </is>
      </c>
      <c r="F8187" t="inlineStr">
        <is>
          <t>Sveaskog</t>
        </is>
      </c>
      <c r="G8187" t="n">
        <v>6</v>
      </c>
      <c r="H8187" t="n">
        <v>0</v>
      </c>
      <c r="I8187" t="n">
        <v>0</v>
      </c>
      <c r="J8187" t="n">
        <v>0</v>
      </c>
      <c r="K8187" t="n">
        <v>0</v>
      </c>
      <c r="L8187" t="n">
        <v>0</v>
      </c>
      <c r="M8187" t="n">
        <v>0</v>
      </c>
      <c r="N8187" t="n">
        <v>0</v>
      </c>
      <c r="O8187" t="n">
        <v>0</v>
      </c>
      <c r="P8187" t="n">
        <v>0</v>
      </c>
      <c r="Q8187" t="n">
        <v>0</v>
      </c>
      <c r="R8187" s="2" t="inlineStr"/>
    </row>
    <row r="8188" ht="15" customHeight="1">
      <c r="A8188" t="inlineStr">
        <is>
          <t>A 40912-2024</t>
        </is>
      </c>
      <c r="B8188" s="1" t="n">
        <v>45558.62707175926</v>
      </c>
      <c r="C8188" s="1" t="n">
        <v>46075</v>
      </c>
      <c r="D8188" t="inlineStr">
        <is>
          <t>VÄSTERBOTTENS LÄN</t>
        </is>
      </c>
      <c r="E8188" t="inlineStr">
        <is>
          <t>LYCKSELE</t>
        </is>
      </c>
      <c r="F8188" t="inlineStr">
        <is>
          <t>Sveaskog</t>
        </is>
      </c>
      <c r="G8188" t="n">
        <v>11.1</v>
      </c>
      <c r="H8188" t="n">
        <v>0</v>
      </c>
      <c r="I8188" t="n">
        <v>0</v>
      </c>
      <c r="J8188" t="n">
        <v>0</v>
      </c>
      <c r="K8188" t="n">
        <v>0</v>
      </c>
      <c r="L8188" t="n">
        <v>0</v>
      </c>
      <c r="M8188" t="n">
        <v>0</v>
      </c>
      <c r="N8188" t="n">
        <v>0</v>
      </c>
      <c r="O8188" t="n">
        <v>0</v>
      </c>
      <c r="P8188" t="n">
        <v>0</v>
      </c>
      <c r="Q8188" t="n">
        <v>0</v>
      </c>
      <c r="R8188" s="2" t="inlineStr"/>
    </row>
    <row r="8189" ht="15" customHeight="1">
      <c r="A8189" t="inlineStr">
        <is>
          <t>A 1665-2026</t>
        </is>
      </c>
      <c r="B8189" s="1" t="n">
        <v>46034.55868055556</v>
      </c>
      <c r="C8189" s="1" t="n">
        <v>46075</v>
      </c>
      <c r="D8189" t="inlineStr">
        <is>
          <t>VÄSTERBOTTENS LÄN</t>
        </is>
      </c>
      <c r="E8189" t="inlineStr">
        <is>
          <t>SKELLEFTEÅ</t>
        </is>
      </c>
      <c r="G8189" t="n">
        <v>4.5</v>
      </c>
      <c r="H8189" t="n">
        <v>0</v>
      </c>
      <c r="I8189" t="n">
        <v>0</v>
      </c>
      <c r="J8189" t="n">
        <v>0</v>
      </c>
      <c r="K8189" t="n">
        <v>0</v>
      </c>
      <c r="L8189" t="n">
        <v>0</v>
      </c>
      <c r="M8189" t="n">
        <v>0</v>
      </c>
      <c r="N8189" t="n">
        <v>0</v>
      </c>
      <c r="O8189" t="n">
        <v>0</v>
      </c>
      <c r="P8189" t="n">
        <v>0</v>
      </c>
      <c r="Q8189" t="n">
        <v>0</v>
      </c>
      <c r="R8189" s="2" t="inlineStr"/>
    </row>
    <row r="8190" ht="15" customHeight="1">
      <c r="A8190" t="inlineStr">
        <is>
          <t>A 1550-2026</t>
        </is>
      </c>
      <c r="B8190" s="1" t="n">
        <v>46034.38722222222</v>
      </c>
      <c r="C8190" s="1" t="n">
        <v>46075</v>
      </c>
      <c r="D8190" t="inlineStr">
        <is>
          <t>VÄSTERBOTTENS LÄN</t>
        </is>
      </c>
      <c r="E8190" t="inlineStr">
        <is>
          <t>SKELLEFTEÅ</t>
        </is>
      </c>
      <c r="G8190" t="n">
        <v>2.2</v>
      </c>
      <c r="H8190" t="n">
        <v>0</v>
      </c>
      <c r="I8190" t="n">
        <v>0</v>
      </c>
      <c r="J8190" t="n">
        <v>0</v>
      </c>
      <c r="K8190" t="n">
        <v>0</v>
      </c>
      <c r="L8190" t="n">
        <v>0</v>
      </c>
      <c r="M8190" t="n">
        <v>0</v>
      </c>
      <c r="N8190" t="n">
        <v>0</v>
      </c>
      <c r="O8190" t="n">
        <v>0</v>
      </c>
      <c r="P8190" t="n">
        <v>0</v>
      </c>
      <c r="Q8190" t="n">
        <v>0</v>
      </c>
      <c r="R8190" s="2" t="inlineStr"/>
    </row>
    <row r="8191" ht="15" customHeight="1">
      <c r="A8191" t="inlineStr">
        <is>
          <t>A 53241-2022</t>
        </is>
      </c>
      <c r="B8191" s="1" t="n">
        <v>44876</v>
      </c>
      <c r="C8191" s="1" t="n">
        <v>46075</v>
      </c>
      <c r="D8191" t="inlineStr">
        <is>
          <t>VÄSTERBOTTENS LÄN</t>
        </is>
      </c>
      <c r="E8191" t="inlineStr">
        <is>
          <t>LYCKSELE</t>
        </is>
      </c>
      <c r="F8191" t="inlineStr">
        <is>
          <t>Holmen skog AB</t>
        </is>
      </c>
      <c r="G8191" t="n">
        <v>2.1</v>
      </c>
      <c r="H8191" t="n">
        <v>0</v>
      </c>
      <c r="I8191" t="n">
        <v>0</v>
      </c>
      <c r="J8191" t="n">
        <v>0</v>
      </c>
      <c r="K8191" t="n">
        <v>0</v>
      </c>
      <c r="L8191" t="n">
        <v>0</v>
      </c>
      <c r="M8191" t="n">
        <v>0</v>
      </c>
      <c r="N8191" t="n">
        <v>0</v>
      </c>
      <c r="O8191" t="n">
        <v>0</v>
      </c>
      <c r="P8191" t="n">
        <v>0</v>
      </c>
      <c r="Q8191" t="n">
        <v>0</v>
      </c>
      <c r="R8191" s="2" t="inlineStr"/>
    </row>
    <row r="8192" ht="15" customHeight="1">
      <c r="A8192" t="inlineStr">
        <is>
          <t>A 32655-2021</t>
        </is>
      </c>
      <c r="B8192" s="1" t="n">
        <v>44371</v>
      </c>
      <c r="C8192" s="1" t="n">
        <v>46075</v>
      </c>
      <c r="D8192" t="inlineStr">
        <is>
          <t>VÄSTERBOTTENS LÄN</t>
        </is>
      </c>
      <c r="E8192" t="inlineStr">
        <is>
          <t>VILHELMINA</t>
        </is>
      </c>
      <c r="G8192" t="n">
        <v>0.2</v>
      </c>
      <c r="H8192" t="n">
        <v>0</v>
      </c>
      <c r="I8192" t="n">
        <v>0</v>
      </c>
      <c r="J8192" t="n">
        <v>0</v>
      </c>
      <c r="K8192" t="n">
        <v>0</v>
      </c>
      <c r="L8192" t="n">
        <v>0</v>
      </c>
      <c r="M8192" t="n">
        <v>0</v>
      </c>
      <c r="N8192" t="n">
        <v>0</v>
      </c>
      <c r="O8192" t="n">
        <v>0</v>
      </c>
      <c r="P8192" t="n">
        <v>0</v>
      </c>
      <c r="Q8192" t="n">
        <v>0</v>
      </c>
      <c r="R8192" s="2" t="inlineStr"/>
    </row>
    <row r="8193" ht="15" customHeight="1">
      <c r="A8193" t="inlineStr">
        <is>
          <t>A 59982-2025</t>
        </is>
      </c>
      <c r="B8193" s="1" t="n">
        <v>45993.53934027778</v>
      </c>
      <c r="C8193" s="1" t="n">
        <v>46075</v>
      </c>
      <c r="D8193" t="inlineStr">
        <is>
          <t>VÄSTERBOTTENS LÄN</t>
        </is>
      </c>
      <c r="E8193" t="inlineStr">
        <is>
          <t>UMEÅ</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62975-2021</t>
        </is>
      </c>
      <c r="B8194" s="1" t="n">
        <v>44505</v>
      </c>
      <c r="C8194" s="1" t="n">
        <v>46075</v>
      </c>
      <c r="D8194" t="inlineStr">
        <is>
          <t>VÄSTERBOTTENS LÄN</t>
        </is>
      </c>
      <c r="E8194" t="inlineStr">
        <is>
          <t>ÅSELE</t>
        </is>
      </c>
      <c r="F8194" t="inlineStr">
        <is>
          <t>Holmen skog AB</t>
        </is>
      </c>
      <c r="G8194" t="n">
        <v>2.1</v>
      </c>
      <c r="H8194" t="n">
        <v>0</v>
      </c>
      <c r="I8194" t="n">
        <v>0</v>
      </c>
      <c r="J8194" t="n">
        <v>0</v>
      </c>
      <c r="K8194" t="n">
        <v>0</v>
      </c>
      <c r="L8194" t="n">
        <v>0</v>
      </c>
      <c r="M8194" t="n">
        <v>0</v>
      </c>
      <c r="N8194" t="n">
        <v>0</v>
      </c>
      <c r="O8194" t="n">
        <v>0</v>
      </c>
      <c r="P8194" t="n">
        <v>0</v>
      </c>
      <c r="Q8194" t="n">
        <v>0</v>
      </c>
      <c r="R8194" s="2" t="inlineStr"/>
    </row>
    <row r="8195" ht="15" customHeight="1">
      <c r="A8195" t="inlineStr">
        <is>
          <t>A 59923-2025</t>
        </is>
      </c>
      <c r="B8195" s="1" t="n">
        <v>45993</v>
      </c>
      <c r="C8195" s="1" t="n">
        <v>46075</v>
      </c>
      <c r="D8195" t="inlineStr">
        <is>
          <t>VÄSTERBOTTENS LÄN</t>
        </is>
      </c>
      <c r="E8195" t="inlineStr">
        <is>
          <t>NORSJÖ</t>
        </is>
      </c>
      <c r="G8195" t="n">
        <v>7.9</v>
      </c>
      <c r="H8195" t="n">
        <v>0</v>
      </c>
      <c r="I8195" t="n">
        <v>0</v>
      </c>
      <c r="J8195" t="n">
        <v>0</v>
      </c>
      <c r="K8195" t="n">
        <v>0</v>
      </c>
      <c r="L8195" t="n">
        <v>0</v>
      </c>
      <c r="M8195" t="n">
        <v>0</v>
      </c>
      <c r="N8195" t="n">
        <v>0</v>
      </c>
      <c r="O8195" t="n">
        <v>0</v>
      </c>
      <c r="P8195" t="n">
        <v>0</v>
      </c>
      <c r="Q8195" t="n">
        <v>0</v>
      </c>
      <c r="R8195" s="2" t="inlineStr"/>
    </row>
    <row r="8196" ht="15" customHeight="1">
      <c r="A8196" t="inlineStr">
        <is>
          <t>A 59928-2025</t>
        </is>
      </c>
      <c r="B8196" s="1" t="n">
        <v>45993.39608796296</v>
      </c>
      <c r="C8196" s="1" t="n">
        <v>46075</v>
      </c>
      <c r="D8196" t="inlineStr">
        <is>
          <t>VÄSTERBOTTENS LÄN</t>
        </is>
      </c>
      <c r="E8196" t="inlineStr">
        <is>
          <t>LYCKSELE</t>
        </is>
      </c>
      <c r="G8196" t="n">
        <v>18.7</v>
      </c>
      <c r="H8196" t="n">
        <v>0</v>
      </c>
      <c r="I8196" t="n">
        <v>0</v>
      </c>
      <c r="J8196" t="n">
        <v>0</v>
      </c>
      <c r="K8196" t="n">
        <v>0</v>
      </c>
      <c r="L8196" t="n">
        <v>0</v>
      </c>
      <c r="M8196" t="n">
        <v>0</v>
      </c>
      <c r="N8196" t="n">
        <v>0</v>
      </c>
      <c r="O8196" t="n">
        <v>0</v>
      </c>
      <c r="P8196" t="n">
        <v>0</v>
      </c>
      <c r="Q8196" t="n">
        <v>0</v>
      </c>
      <c r="R8196" s="2" t="inlineStr"/>
    </row>
    <row r="8197" ht="15" customHeight="1">
      <c r="A8197" t="inlineStr">
        <is>
          <t>A 59932-2025</t>
        </is>
      </c>
      <c r="B8197" s="1" t="n">
        <v>45993.4018287037</v>
      </c>
      <c r="C8197" s="1" t="n">
        <v>46075</v>
      </c>
      <c r="D8197" t="inlineStr">
        <is>
          <t>VÄSTERBOTTENS LÄN</t>
        </is>
      </c>
      <c r="E8197" t="inlineStr">
        <is>
          <t>STORUMAN</t>
        </is>
      </c>
      <c r="G8197" t="n">
        <v>1.9</v>
      </c>
      <c r="H8197" t="n">
        <v>0</v>
      </c>
      <c r="I8197" t="n">
        <v>0</v>
      </c>
      <c r="J8197" t="n">
        <v>0</v>
      </c>
      <c r="K8197" t="n">
        <v>0</v>
      </c>
      <c r="L8197" t="n">
        <v>0</v>
      </c>
      <c r="M8197" t="n">
        <v>0</v>
      </c>
      <c r="N8197" t="n">
        <v>0</v>
      </c>
      <c r="O8197" t="n">
        <v>0</v>
      </c>
      <c r="P8197" t="n">
        <v>0</v>
      </c>
      <c r="Q8197" t="n">
        <v>0</v>
      </c>
      <c r="R8197" s="2" t="inlineStr"/>
    </row>
    <row r="8198" ht="15" customHeight="1">
      <c r="A8198" t="inlineStr">
        <is>
          <t>A 59915-2025</t>
        </is>
      </c>
      <c r="B8198" s="1" t="n">
        <v>45993</v>
      </c>
      <c r="C8198" s="1" t="n">
        <v>46075</v>
      </c>
      <c r="D8198" t="inlineStr">
        <is>
          <t>VÄSTERBOTTENS LÄN</t>
        </is>
      </c>
      <c r="E8198" t="inlineStr">
        <is>
          <t>VILHELMINA</t>
        </is>
      </c>
      <c r="G8198" t="n">
        <v>27.8</v>
      </c>
      <c r="H8198" t="n">
        <v>0</v>
      </c>
      <c r="I8198" t="n">
        <v>0</v>
      </c>
      <c r="J8198" t="n">
        <v>0</v>
      </c>
      <c r="K8198" t="n">
        <v>0</v>
      </c>
      <c r="L8198" t="n">
        <v>0</v>
      </c>
      <c r="M8198" t="n">
        <v>0</v>
      </c>
      <c r="N8198" t="n">
        <v>0</v>
      </c>
      <c r="O8198" t="n">
        <v>0</v>
      </c>
      <c r="P8198" t="n">
        <v>0</v>
      </c>
      <c r="Q8198" t="n">
        <v>0</v>
      </c>
      <c r="R8198" s="2" t="inlineStr"/>
    </row>
    <row r="8199" ht="15" customHeight="1">
      <c r="A8199" t="inlineStr">
        <is>
          <t>A 59157-2025</t>
        </is>
      </c>
      <c r="B8199" s="1" t="n">
        <v>45988</v>
      </c>
      <c r="C8199" s="1" t="n">
        <v>46075</v>
      </c>
      <c r="D8199" t="inlineStr">
        <is>
          <t>VÄSTERBOTTENS LÄN</t>
        </is>
      </c>
      <c r="E8199" t="inlineStr">
        <is>
          <t>NORDMALING</t>
        </is>
      </c>
      <c r="G8199" t="n">
        <v>0.4</v>
      </c>
      <c r="H8199" t="n">
        <v>0</v>
      </c>
      <c r="I8199" t="n">
        <v>0</v>
      </c>
      <c r="J8199" t="n">
        <v>0</v>
      </c>
      <c r="K8199" t="n">
        <v>0</v>
      </c>
      <c r="L8199" t="n">
        <v>0</v>
      </c>
      <c r="M8199" t="n">
        <v>0</v>
      </c>
      <c r="N8199" t="n">
        <v>0</v>
      </c>
      <c r="O8199" t="n">
        <v>0</v>
      </c>
      <c r="P8199" t="n">
        <v>0</v>
      </c>
      <c r="Q8199" t="n">
        <v>0</v>
      </c>
      <c r="R8199" s="2" t="inlineStr"/>
    </row>
    <row r="8200" ht="15" customHeight="1">
      <c r="A8200" t="inlineStr">
        <is>
          <t>A 23710-2023</t>
        </is>
      </c>
      <c r="B8200" s="1" t="n">
        <v>45075</v>
      </c>
      <c r="C8200" s="1" t="n">
        <v>46075</v>
      </c>
      <c r="D8200" t="inlineStr">
        <is>
          <t>VÄSTERBOTTENS LÄN</t>
        </is>
      </c>
      <c r="E8200" t="inlineStr">
        <is>
          <t>SKELLEFTEÅ</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1698-2026</t>
        </is>
      </c>
      <c r="B8201" s="1" t="n">
        <v>46034.59423611111</v>
      </c>
      <c r="C8201" s="1" t="n">
        <v>46075</v>
      </c>
      <c r="D8201" t="inlineStr">
        <is>
          <t>VÄSTERBOTTENS LÄN</t>
        </is>
      </c>
      <c r="E8201" t="inlineStr">
        <is>
          <t>SORSELE</t>
        </is>
      </c>
      <c r="G8201" t="n">
        <v>15.4</v>
      </c>
      <c r="H8201" t="n">
        <v>0</v>
      </c>
      <c r="I8201" t="n">
        <v>0</v>
      </c>
      <c r="J8201" t="n">
        <v>0</v>
      </c>
      <c r="K8201" t="n">
        <v>0</v>
      </c>
      <c r="L8201" t="n">
        <v>0</v>
      </c>
      <c r="M8201" t="n">
        <v>0</v>
      </c>
      <c r="N8201" t="n">
        <v>0</v>
      </c>
      <c r="O8201" t="n">
        <v>0</v>
      </c>
      <c r="P8201" t="n">
        <v>0</v>
      </c>
      <c r="Q8201" t="n">
        <v>0</v>
      </c>
      <c r="R8201" s="2" t="inlineStr"/>
    </row>
    <row r="8202" ht="15" customHeight="1">
      <c r="A8202" t="inlineStr">
        <is>
          <t>A 1699-2026</t>
        </is>
      </c>
      <c r="B8202" s="1" t="n">
        <v>46034.59425925926</v>
      </c>
      <c r="C8202" s="1" t="n">
        <v>46075</v>
      </c>
      <c r="D8202" t="inlineStr">
        <is>
          <t>VÄSTERBOTTENS LÄN</t>
        </is>
      </c>
      <c r="E8202" t="inlineStr">
        <is>
          <t>SORSELE</t>
        </is>
      </c>
      <c r="G8202" t="n">
        <v>11.8</v>
      </c>
      <c r="H8202" t="n">
        <v>0</v>
      </c>
      <c r="I8202" t="n">
        <v>0</v>
      </c>
      <c r="J8202" t="n">
        <v>0</v>
      </c>
      <c r="K8202" t="n">
        <v>0</v>
      </c>
      <c r="L8202" t="n">
        <v>0</v>
      </c>
      <c r="M8202" t="n">
        <v>0</v>
      </c>
      <c r="N8202" t="n">
        <v>0</v>
      </c>
      <c r="O8202" t="n">
        <v>0</v>
      </c>
      <c r="P8202" t="n">
        <v>0</v>
      </c>
      <c r="Q8202" t="n">
        <v>0</v>
      </c>
      <c r="R8202" s="2" t="inlineStr"/>
    </row>
    <row r="8203" ht="15" customHeight="1">
      <c r="A8203" t="inlineStr">
        <is>
          <t>A 1551-2026</t>
        </is>
      </c>
      <c r="B8203" s="1" t="n">
        <v>46034.38724537037</v>
      </c>
      <c r="C8203" s="1" t="n">
        <v>46075</v>
      </c>
      <c r="D8203" t="inlineStr">
        <is>
          <t>VÄSTERBOTTENS LÄN</t>
        </is>
      </c>
      <c r="E8203" t="inlineStr">
        <is>
          <t>SKELLEFTEÅ</t>
        </is>
      </c>
      <c r="G8203" t="n">
        <v>2.5</v>
      </c>
      <c r="H8203" t="n">
        <v>0</v>
      </c>
      <c r="I8203" t="n">
        <v>0</v>
      </c>
      <c r="J8203" t="n">
        <v>0</v>
      </c>
      <c r="K8203" t="n">
        <v>0</v>
      </c>
      <c r="L8203" t="n">
        <v>0</v>
      </c>
      <c r="M8203" t="n">
        <v>0</v>
      </c>
      <c r="N8203" t="n">
        <v>0</v>
      </c>
      <c r="O8203" t="n">
        <v>0</v>
      </c>
      <c r="P8203" t="n">
        <v>0</v>
      </c>
      <c r="Q8203" t="n">
        <v>0</v>
      </c>
      <c r="R8203" s="2" t="inlineStr"/>
    </row>
    <row r="8204" ht="15" customHeight="1">
      <c r="A8204" t="inlineStr">
        <is>
          <t>A 58776-2025</t>
        </is>
      </c>
      <c r="B8204" s="1" t="n">
        <v>45986.69864583333</v>
      </c>
      <c r="C8204" s="1" t="n">
        <v>46075</v>
      </c>
      <c r="D8204" t="inlineStr">
        <is>
          <t>VÄSTERBOTTENS LÄN</t>
        </is>
      </c>
      <c r="E8204" t="inlineStr">
        <is>
          <t>LYCKSELE</t>
        </is>
      </c>
      <c r="F8204" t="inlineStr">
        <is>
          <t>SCA</t>
        </is>
      </c>
      <c r="G8204" t="n">
        <v>2.3</v>
      </c>
      <c r="H8204" t="n">
        <v>0</v>
      </c>
      <c r="I8204" t="n">
        <v>0</v>
      </c>
      <c r="J8204" t="n">
        <v>0</v>
      </c>
      <c r="K8204" t="n">
        <v>0</v>
      </c>
      <c r="L8204" t="n">
        <v>0</v>
      </c>
      <c r="M8204" t="n">
        <v>0</v>
      </c>
      <c r="N8204" t="n">
        <v>0</v>
      </c>
      <c r="O8204" t="n">
        <v>0</v>
      </c>
      <c r="P8204" t="n">
        <v>0</v>
      </c>
      <c r="Q8204" t="n">
        <v>0</v>
      </c>
      <c r="R8204" s="2" t="inlineStr"/>
    </row>
    <row r="8205" ht="15" customHeight="1">
      <c r="A8205" t="inlineStr">
        <is>
          <t>A 11499-2025</t>
        </is>
      </c>
      <c r="B8205" s="1" t="n">
        <v>45726.77245370371</v>
      </c>
      <c r="C8205" s="1" t="n">
        <v>46075</v>
      </c>
      <c r="D8205" t="inlineStr">
        <is>
          <t>VÄSTERBOTTENS LÄN</t>
        </is>
      </c>
      <c r="E8205" t="inlineStr">
        <is>
          <t>SORSELE</t>
        </is>
      </c>
      <c r="G8205" t="n">
        <v>8.1</v>
      </c>
      <c r="H8205" t="n">
        <v>0</v>
      </c>
      <c r="I8205" t="n">
        <v>0</v>
      </c>
      <c r="J8205" t="n">
        <v>0</v>
      </c>
      <c r="K8205" t="n">
        <v>0</v>
      </c>
      <c r="L8205" t="n">
        <v>0</v>
      </c>
      <c r="M8205" t="n">
        <v>0</v>
      </c>
      <c r="N8205" t="n">
        <v>0</v>
      </c>
      <c r="O8205" t="n">
        <v>0</v>
      </c>
      <c r="P8205" t="n">
        <v>0</v>
      </c>
      <c r="Q8205" t="n">
        <v>0</v>
      </c>
      <c r="R8205" s="2" t="inlineStr"/>
    </row>
    <row r="8206" ht="15" customHeight="1">
      <c r="A8206" t="inlineStr">
        <is>
          <t>A 37959-2023</t>
        </is>
      </c>
      <c r="B8206" s="1" t="n">
        <v>45159</v>
      </c>
      <c r="C8206" s="1" t="n">
        <v>46075</v>
      </c>
      <c r="D8206" t="inlineStr">
        <is>
          <t>VÄSTERBOTTENS LÄN</t>
        </is>
      </c>
      <c r="E8206" t="inlineStr">
        <is>
          <t>VINDELN</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8860-2024</t>
        </is>
      </c>
      <c r="B8207" s="1" t="n">
        <v>45356</v>
      </c>
      <c r="C8207" s="1" t="n">
        <v>46075</v>
      </c>
      <c r="D8207" t="inlineStr">
        <is>
          <t>VÄSTERBOTTENS LÄN</t>
        </is>
      </c>
      <c r="E8207" t="inlineStr">
        <is>
          <t>STORUMAN</t>
        </is>
      </c>
      <c r="G8207" t="n">
        <v>3.1</v>
      </c>
      <c r="H8207" t="n">
        <v>0</v>
      </c>
      <c r="I8207" t="n">
        <v>0</v>
      </c>
      <c r="J8207" t="n">
        <v>0</v>
      </c>
      <c r="K8207" t="n">
        <v>0</v>
      </c>
      <c r="L8207" t="n">
        <v>0</v>
      </c>
      <c r="M8207" t="n">
        <v>0</v>
      </c>
      <c r="N8207" t="n">
        <v>0</v>
      </c>
      <c r="O8207" t="n">
        <v>0</v>
      </c>
      <c r="P8207" t="n">
        <v>0</v>
      </c>
      <c r="Q8207" t="n">
        <v>0</v>
      </c>
      <c r="R8207" s="2" t="inlineStr"/>
    </row>
    <row r="8208" ht="15" customHeight="1">
      <c r="A8208" t="inlineStr">
        <is>
          <t>A 1891-2026</t>
        </is>
      </c>
      <c r="B8208" s="1" t="n">
        <v>46035.49623842593</v>
      </c>
      <c r="C8208" s="1" t="n">
        <v>46075</v>
      </c>
      <c r="D8208" t="inlineStr">
        <is>
          <t>VÄSTERBOTTENS LÄN</t>
        </is>
      </c>
      <c r="E8208" t="inlineStr">
        <is>
          <t>NORSJÖ</t>
        </is>
      </c>
      <c r="G8208" t="n">
        <v>7</v>
      </c>
      <c r="H8208" t="n">
        <v>0</v>
      </c>
      <c r="I8208" t="n">
        <v>0</v>
      </c>
      <c r="J8208" t="n">
        <v>0</v>
      </c>
      <c r="K8208" t="n">
        <v>0</v>
      </c>
      <c r="L8208" t="n">
        <v>0</v>
      </c>
      <c r="M8208" t="n">
        <v>0</v>
      </c>
      <c r="N8208" t="n">
        <v>0</v>
      </c>
      <c r="O8208" t="n">
        <v>0</v>
      </c>
      <c r="P8208" t="n">
        <v>0</v>
      </c>
      <c r="Q8208" t="n">
        <v>0</v>
      </c>
      <c r="R8208" s="2" t="inlineStr"/>
    </row>
    <row r="8209" ht="15" customHeight="1">
      <c r="A8209" t="inlineStr">
        <is>
          <t>A 59862-2025</t>
        </is>
      </c>
      <c r="B8209" s="1" t="n">
        <v>45992.81230324074</v>
      </c>
      <c r="C8209" s="1" t="n">
        <v>46075</v>
      </c>
      <c r="D8209" t="inlineStr">
        <is>
          <t>VÄSTERBOTTENS LÄN</t>
        </is>
      </c>
      <c r="E8209" t="inlineStr">
        <is>
          <t>ÅSELE</t>
        </is>
      </c>
      <c r="G8209" t="n">
        <v>2.2</v>
      </c>
      <c r="H8209" t="n">
        <v>0</v>
      </c>
      <c r="I8209" t="n">
        <v>0</v>
      </c>
      <c r="J8209" t="n">
        <v>0</v>
      </c>
      <c r="K8209" t="n">
        <v>0</v>
      </c>
      <c r="L8209" t="n">
        <v>0</v>
      </c>
      <c r="M8209" t="n">
        <v>0</v>
      </c>
      <c r="N8209" t="n">
        <v>0</v>
      </c>
      <c r="O8209" t="n">
        <v>0</v>
      </c>
      <c r="P8209" t="n">
        <v>0</v>
      </c>
      <c r="Q8209" t="n">
        <v>0</v>
      </c>
      <c r="R8209" s="2" t="inlineStr"/>
    </row>
    <row r="8210" ht="15" customHeight="1">
      <c r="A8210" t="inlineStr">
        <is>
          <t>A 59879-2025</t>
        </is>
      </c>
      <c r="B8210" s="1" t="n">
        <v>45993.2980787037</v>
      </c>
      <c r="C8210" s="1" t="n">
        <v>46075</v>
      </c>
      <c r="D8210" t="inlineStr">
        <is>
          <t>VÄSTERBOTTENS LÄN</t>
        </is>
      </c>
      <c r="E8210" t="inlineStr">
        <is>
          <t>SKELLEFTEÅ</t>
        </is>
      </c>
      <c r="G8210" t="n">
        <v>9.199999999999999</v>
      </c>
      <c r="H8210" t="n">
        <v>0</v>
      </c>
      <c r="I8210" t="n">
        <v>0</v>
      </c>
      <c r="J8210" t="n">
        <v>0</v>
      </c>
      <c r="K8210" t="n">
        <v>0</v>
      </c>
      <c r="L8210" t="n">
        <v>0</v>
      </c>
      <c r="M8210" t="n">
        <v>0</v>
      </c>
      <c r="N8210" t="n">
        <v>0</v>
      </c>
      <c r="O8210" t="n">
        <v>0</v>
      </c>
      <c r="P8210" t="n">
        <v>0</v>
      </c>
      <c r="Q8210" t="n">
        <v>0</v>
      </c>
      <c r="R8210" s="2" t="inlineStr"/>
    </row>
    <row r="8211" ht="15" customHeight="1">
      <c r="A8211" t="inlineStr">
        <is>
          <t>A 16323-2025</t>
        </is>
      </c>
      <c r="B8211" s="1" t="n">
        <v>45751.34894675926</v>
      </c>
      <c r="C8211" s="1" t="n">
        <v>46075</v>
      </c>
      <c r="D8211" t="inlineStr">
        <is>
          <t>VÄSTERBOTTENS LÄN</t>
        </is>
      </c>
      <c r="E8211" t="inlineStr">
        <is>
          <t>NORDMALING</t>
        </is>
      </c>
      <c r="G8211" t="n">
        <v>1.8</v>
      </c>
      <c r="H8211" t="n">
        <v>0</v>
      </c>
      <c r="I8211" t="n">
        <v>0</v>
      </c>
      <c r="J8211" t="n">
        <v>0</v>
      </c>
      <c r="K8211" t="n">
        <v>0</v>
      </c>
      <c r="L8211" t="n">
        <v>0</v>
      </c>
      <c r="M8211" t="n">
        <v>0</v>
      </c>
      <c r="N8211" t="n">
        <v>0</v>
      </c>
      <c r="O8211" t="n">
        <v>0</v>
      </c>
      <c r="P8211" t="n">
        <v>0</v>
      </c>
      <c r="Q8211" t="n">
        <v>0</v>
      </c>
      <c r="R8211" s="2" t="inlineStr"/>
    </row>
    <row r="8212" ht="15" customHeight="1">
      <c r="A8212" t="inlineStr">
        <is>
          <t>A 59901-2025</t>
        </is>
      </c>
      <c r="B8212" s="1" t="n">
        <v>45993.34475694445</v>
      </c>
      <c r="C8212" s="1" t="n">
        <v>46075</v>
      </c>
      <c r="D8212" t="inlineStr">
        <is>
          <t>VÄSTERBOTTENS LÄN</t>
        </is>
      </c>
      <c r="E8212" t="inlineStr">
        <is>
          <t>NORSJÖ</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59120-2025</t>
        </is>
      </c>
      <c r="B8213" s="1" t="n">
        <v>45988</v>
      </c>
      <c r="C8213" s="1" t="n">
        <v>46075</v>
      </c>
      <c r="D8213" t="inlineStr">
        <is>
          <t>VÄSTERBOTTENS LÄN</t>
        </is>
      </c>
      <c r="E8213" t="inlineStr">
        <is>
          <t>NORDMALING</t>
        </is>
      </c>
      <c r="G8213" t="n">
        <v>2</v>
      </c>
      <c r="H8213" t="n">
        <v>0</v>
      </c>
      <c r="I8213" t="n">
        <v>0</v>
      </c>
      <c r="J8213" t="n">
        <v>0</v>
      </c>
      <c r="K8213" t="n">
        <v>0</v>
      </c>
      <c r="L8213" t="n">
        <v>0</v>
      </c>
      <c r="M8213" t="n">
        <v>0</v>
      </c>
      <c r="N8213" t="n">
        <v>0</v>
      </c>
      <c r="O8213" t="n">
        <v>0</v>
      </c>
      <c r="P8213" t="n">
        <v>0</v>
      </c>
      <c r="Q8213" t="n">
        <v>0</v>
      </c>
      <c r="R8213" s="2" t="inlineStr"/>
    </row>
    <row r="8214" ht="15" customHeight="1">
      <c r="A8214" t="inlineStr">
        <is>
          <t>A 59925-2025</t>
        </is>
      </c>
      <c r="B8214" s="1" t="n">
        <v>45993.39003472222</v>
      </c>
      <c r="C8214" s="1" t="n">
        <v>46075</v>
      </c>
      <c r="D8214" t="inlineStr">
        <is>
          <t>VÄSTERBOTTENS LÄN</t>
        </is>
      </c>
      <c r="E8214" t="inlineStr">
        <is>
          <t>VINDELN</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59936-2025</t>
        </is>
      </c>
      <c r="B8215" s="1" t="n">
        <v>45993.41787037037</v>
      </c>
      <c r="C8215" s="1" t="n">
        <v>46075</v>
      </c>
      <c r="D8215" t="inlineStr">
        <is>
          <t>VÄSTERBOTTENS LÄN</t>
        </is>
      </c>
      <c r="E8215" t="inlineStr">
        <is>
          <t>STORUMAN</t>
        </is>
      </c>
      <c r="G8215" t="n">
        <v>5.1</v>
      </c>
      <c r="H8215" t="n">
        <v>0</v>
      </c>
      <c r="I8215" t="n">
        <v>0</v>
      </c>
      <c r="J8215" t="n">
        <v>0</v>
      </c>
      <c r="K8215" t="n">
        <v>0</v>
      </c>
      <c r="L8215" t="n">
        <v>0</v>
      </c>
      <c r="M8215" t="n">
        <v>0</v>
      </c>
      <c r="N8215" t="n">
        <v>0</v>
      </c>
      <c r="O8215" t="n">
        <v>0</v>
      </c>
      <c r="P8215" t="n">
        <v>0</v>
      </c>
      <c r="Q8215" t="n">
        <v>0</v>
      </c>
      <c r="R8215" s="2" t="inlineStr"/>
    </row>
    <row r="8216" ht="15" customHeight="1">
      <c r="A8216" t="inlineStr">
        <is>
          <t>A 1900-2026</t>
        </is>
      </c>
      <c r="B8216" s="1" t="n">
        <v>46035.52957175926</v>
      </c>
      <c r="C8216" s="1" t="n">
        <v>46075</v>
      </c>
      <c r="D8216" t="inlineStr">
        <is>
          <t>VÄSTERBOTTENS LÄN</t>
        </is>
      </c>
      <c r="E8216" t="inlineStr">
        <is>
          <t>MALÅ</t>
        </is>
      </c>
      <c r="F8216" t="inlineStr">
        <is>
          <t>Sveaskog</t>
        </is>
      </c>
      <c r="G8216" t="n">
        <v>16</v>
      </c>
      <c r="H8216" t="n">
        <v>0</v>
      </c>
      <c r="I8216" t="n">
        <v>0</v>
      </c>
      <c r="J8216" t="n">
        <v>0</v>
      </c>
      <c r="K8216" t="n">
        <v>0</v>
      </c>
      <c r="L8216" t="n">
        <v>0</v>
      </c>
      <c r="M8216" t="n">
        <v>0</v>
      </c>
      <c r="N8216" t="n">
        <v>0</v>
      </c>
      <c r="O8216" t="n">
        <v>0</v>
      </c>
      <c r="P8216" t="n">
        <v>0</v>
      </c>
      <c r="Q8216" t="n">
        <v>0</v>
      </c>
      <c r="R8216" s="2" t="inlineStr"/>
    </row>
    <row r="8217" ht="15" customHeight="1">
      <c r="A8217" t="inlineStr">
        <is>
          <t>A 2742-2023</t>
        </is>
      </c>
      <c r="B8217" s="1" t="n">
        <v>44943</v>
      </c>
      <c r="C8217" s="1" t="n">
        <v>46075</v>
      </c>
      <c r="D8217" t="inlineStr">
        <is>
          <t>VÄSTERBOTTENS LÄN</t>
        </is>
      </c>
      <c r="E8217" t="inlineStr">
        <is>
          <t>VILHELMINA</t>
        </is>
      </c>
      <c r="G8217" t="n">
        <v>34.8</v>
      </c>
      <c r="H8217" t="n">
        <v>0</v>
      </c>
      <c r="I8217" t="n">
        <v>0</v>
      </c>
      <c r="J8217" t="n">
        <v>0</v>
      </c>
      <c r="K8217" t="n">
        <v>0</v>
      </c>
      <c r="L8217" t="n">
        <v>0</v>
      </c>
      <c r="M8217" t="n">
        <v>0</v>
      </c>
      <c r="N8217" t="n">
        <v>0</v>
      </c>
      <c r="O8217" t="n">
        <v>0</v>
      </c>
      <c r="P8217" t="n">
        <v>0</v>
      </c>
      <c r="Q8217" t="n">
        <v>0</v>
      </c>
      <c r="R8217" s="2" t="inlineStr"/>
    </row>
    <row r="8218" ht="15" customHeight="1">
      <c r="A8218" t="inlineStr">
        <is>
          <t>A 1523-2026</t>
        </is>
      </c>
      <c r="B8218" s="1" t="n">
        <v>46034.36490740741</v>
      </c>
      <c r="C8218" s="1" t="n">
        <v>46075</v>
      </c>
      <c r="D8218" t="inlineStr">
        <is>
          <t>VÄSTERBOTTENS LÄN</t>
        </is>
      </c>
      <c r="E8218" t="inlineStr">
        <is>
          <t>SKELLEFTEÅ</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2684-2023</t>
        </is>
      </c>
      <c r="B8219" s="1" t="n">
        <v>44944</v>
      </c>
      <c r="C8219" s="1" t="n">
        <v>46075</v>
      </c>
      <c r="D8219" t="inlineStr">
        <is>
          <t>VÄSTERBOTTENS LÄN</t>
        </is>
      </c>
      <c r="E8219" t="inlineStr">
        <is>
          <t>VINDELN</t>
        </is>
      </c>
      <c r="F8219" t="inlineStr">
        <is>
          <t>Sveaskog</t>
        </is>
      </c>
      <c r="G8219" t="n">
        <v>0.5</v>
      </c>
      <c r="H8219" t="n">
        <v>0</v>
      </c>
      <c r="I8219" t="n">
        <v>0</v>
      </c>
      <c r="J8219" t="n">
        <v>0</v>
      </c>
      <c r="K8219" t="n">
        <v>0</v>
      </c>
      <c r="L8219" t="n">
        <v>0</v>
      </c>
      <c r="M8219" t="n">
        <v>0</v>
      </c>
      <c r="N8219" t="n">
        <v>0</v>
      </c>
      <c r="O8219" t="n">
        <v>0</v>
      </c>
      <c r="P8219" t="n">
        <v>0</v>
      </c>
      <c r="Q8219" t="n">
        <v>0</v>
      </c>
      <c r="R8219" s="2" t="inlineStr"/>
    </row>
    <row r="8220" ht="15" customHeight="1">
      <c r="A8220" t="inlineStr">
        <is>
          <t>A 59662-2025</t>
        </is>
      </c>
      <c r="B8220" s="1" t="n">
        <v>45992.44856481482</v>
      </c>
      <c r="C8220" s="1" t="n">
        <v>46075</v>
      </c>
      <c r="D8220" t="inlineStr">
        <is>
          <t>VÄSTERBOTTENS LÄN</t>
        </is>
      </c>
      <c r="E8220" t="inlineStr">
        <is>
          <t>SKELLEFTEÅ</t>
        </is>
      </c>
      <c r="G8220" t="n">
        <v>3.6</v>
      </c>
      <c r="H8220" t="n">
        <v>0</v>
      </c>
      <c r="I8220" t="n">
        <v>0</v>
      </c>
      <c r="J8220" t="n">
        <v>0</v>
      </c>
      <c r="K8220" t="n">
        <v>0</v>
      </c>
      <c r="L8220" t="n">
        <v>0</v>
      </c>
      <c r="M8220" t="n">
        <v>0</v>
      </c>
      <c r="N8220" t="n">
        <v>0</v>
      </c>
      <c r="O8220" t="n">
        <v>0</v>
      </c>
      <c r="P8220" t="n">
        <v>0</v>
      </c>
      <c r="Q8220" t="n">
        <v>0</v>
      </c>
      <c r="R8220" s="2" t="inlineStr"/>
    </row>
    <row r="8221" ht="15" customHeight="1">
      <c r="A8221" t="inlineStr">
        <is>
          <t>A 1986-2026</t>
        </is>
      </c>
      <c r="B8221" s="1" t="n">
        <v>46035.65704861111</v>
      </c>
      <c r="C8221" s="1" t="n">
        <v>46075</v>
      </c>
      <c r="D8221" t="inlineStr">
        <is>
          <t>VÄSTERBOTTENS LÄN</t>
        </is>
      </c>
      <c r="E8221" t="inlineStr">
        <is>
          <t>SORSELE</t>
        </is>
      </c>
      <c r="G8221" t="n">
        <v>4.3</v>
      </c>
      <c r="H8221" t="n">
        <v>0</v>
      </c>
      <c r="I8221" t="n">
        <v>0</v>
      </c>
      <c r="J8221" t="n">
        <v>0</v>
      </c>
      <c r="K8221" t="n">
        <v>0</v>
      </c>
      <c r="L8221" t="n">
        <v>0</v>
      </c>
      <c r="M8221" t="n">
        <v>0</v>
      </c>
      <c r="N8221" t="n">
        <v>0</v>
      </c>
      <c r="O8221" t="n">
        <v>0</v>
      </c>
      <c r="P8221" t="n">
        <v>0</v>
      </c>
      <c r="Q8221" t="n">
        <v>0</v>
      </c>
      <c r="R8221" s="2" t="inlineStr"/>
    </row>
    <row r="8222" ht="15" customHeight="1">
      <c r="A8222" t="inlineStr">
        <is>
          <t>A 2695-2023</t>
        </is>
      </c>
      <c r="B8222" s="1" t="n">
        <v>44944</v>
      </c>
      <c r="C8222" s="1" t="n">
        <v>46075</v>
      </c>
      <c r="D8222" t="inlineStr">
        <is>
          <t>VÄSTERBOTTENS LÄN</t>
        </is>
      </c>
      <c r="E8222" t="inlineStr">
        <is>
          <t>UMEÅ</t>
        </is>
      </c>
      <c r="G8222" t="n">
        <v>0.8</v>
      </c>
      <c r="H8222" t="n">
        <v>0</v>
      </c>
      <c r="I8222" t="n">
        <v>0</v>
      </c>
      <c r="J8222" t="n">
        <v>0</v>
      </c>
      <c r="K8222" t="n">
        <v>0</v>
      </c>
      <c r="L8222" t="n">
        <v>0</v>
      </c>
      <c r="M8222" t="n">
        <v>0</v>
      </c>
      <c r="N8222" t="n">
        <v>0</v>
      </c>
      <c r="O8222" t="n">
        <v>0</v>
      </c>
      <c r="P8222" t="n">
        <v>0</v>
      </c>
      <c r="Q8222" t="n">
        <v>0</v>
      </c>
      <c r="R8222" s="2" t="inlineStr"/>
    </row>
    <row r="8223" ht="15" customHeight="1">
      <c r="A8223" t="inlineStr">
        <is>
          <t>A 1614-2026</t>
        </is>
      </c>
      <c r="B8223" s="1" t="n">
        <v>46034.46947916667</v>
      </c>
      <c r="C8223" s="1" t="n">
        <v>46075</v>
      </c>
      <c r="D8223" t="inlineStr">
        <is>
          <t>VÄSTERBOTTENS LÄN</t>
        </is>
      </c>
      <c r="E8223" t="inlineStr">
        <is>
          <t>VÄNNÄS</t>
        </is>
      </c>
      <c r="G8223" t="n">
        <v>9.1</v>
      </c>
      <c r="H8223" t="n">
        <v>0</v>
      </c>
      <c r="I8223" t="n">
        <v>0</v>
      </c>
      <c r="J8223" t="n">
        <v>0</v>
      </c>
      <c r="K8223" t="n">
        <v>0</v>
      </c>
      <c r="L8223" t="n">
        <v>0</v>
      </c>
      <c r="M8223" t="n">
        <v>0</v>
      </c>
      <c r="N8223" t="n">
        <v>0</v>
      </c>
      <c r="O8223" t="n">
        <v>0</v>
      </c>
      <c r="P8223" t="n">
        <v>0</v>
      </c>
      <c r="Q8223" t="n">
        <v>0</v>
      </c>
      <c r="R8223" s="2" t="inlineStr"/>
    </row>
    <row r="8224" ht="15" customHeight="1">
      <c r="A8224" t="inlineStr">
        <is>
          <t>A 59133-2025</t>
        </is>
      </c>
      <c r="B8224" s="1" t="n">
        <v>45988</v>
      </c>
      <c r="C8224" s="1" t="n">
        <v>46075</v>
      </c>
      <c r="D8224" t="inlineStr">
        <is>
          <t>VÄSTERBOTTENS LÄN</t>
        </is>
      </c>
      <c r="E8224" t="inlineStr">
        <is>
          <t>NORDMALING</t>
        </is>
      </c>
      <c r="G8224" t="n">
        <v>1.9</v>
      </c>
      <c r="H8224" t="n">
        <v>0</v>
      </c>
      <c r="I8224" t="n">
        <v>0</v>
      </c>
      <c r="J8224" t="n">
        <v>0</v>
      </c>
      <c r="K8224" t="n">
        <v>0</v>
      </c>
      <c r="L8224" t="n">
        <v>0</v>
      </c>
      <c r="M8224" t="n">
        <v>0</v>
      </c>
      <c r="N8224" t="n">
        <v>0</v>
      </c>
      <c r="O8224" t="n">
        <v>0</v>
      </c>
      <c r="P8224" t="n">
        <v>0</v>
      </c>
      <c r="Q8224" t="n">
        <v>0</v>
      </c>
      <c r="R8224" s="2" t="inlineStr"/>
    </row>
    <row r="8225" ht="15" customHeight="1">
      <c r="A8225" t="inlineStr">
        <is>
          <t>A 59178-2025</t>
        </is>
      </c>
      <c r="B8225" s="1" t="n">
        <v>45988</v>
      </c>
      <c r="C8225" s="1" t="n">
        <v>46075</v>
      </c>
      <c r="D8225" t="inlineStr">
        <is>
          <t>VÄSTERBOTTENS LÄN</t>
        </is>
      </c>
      <c r="E8225" t="inlineStr">
        <is>
          <t>NORDMALING</t>
        </is>
      </c>
      <c r="G8225" t="n">
        <v>1.5</v>
      </c>
      <c r="H8225" t="n">
        <v>0</v>
      </c>
      <c r="I8225" t="n">
        <v>0</v>
      </c>
      <c r="J8225" t="n">
        <v>0</v>
      </c>
      <c r="K8225" t="n">
        <v>0</v>
      </c>
      <c r="L8225" t="n">
        <v>0</v>
      </c>
      <c r="M8225" t="n">
        <v>0</v>
      </c>
      <c r="N8225" t="n">
        <v>0</v>
      </c>
      <c r="O8225" t="n">
        <v>0</v>
      </c>
      <c r="P8225" t="n">
        <v>0</v>
      </c>
      <c r="Q8225" t="n">
        <v>0</v>
      </c>
      <c r="R8225" s="2" t="inlineStr"/>
    </row>
    <row r="8226" ht="15" customHeight="1">
      <c r="A8226" t="inlineStr">
        <is>
          <t>A 60323-2024</t>
        </is>
      </c>
      <c r="B8226" s="1" t="n">
        <v>45641</v>
      </c>
      <c r="C8226" s="1" t="n">
        <v>46075</v>
      </c>
      <c r="D8226" t="inlineStr">
        <is>
          <t>VÄSTERBOTTENS LÄN</t>
        </is>
      </c>
      <c r="E8226" t="inlineStr">
        <is>
          <t>UMEÅ</t>
        </is>
      </c>
      <c r="G8226" t="n">
        <v>1</v>
      </c>
      <c r="H8226" t="n">
        <v>0</v>
      </c>
      <c r="I8226" t="n">
        <v>0</v>
      </c>
      <c r="J8226" t="n">
        <v>0</v>
      </c>
      <c r="K8226" t="n">
        <v>0</v>
      </c>
      <c r="L8226" t="n">
        <v>0</v>
      </c>
      <c r="M8226" t="n">
        <v>0</v>
      </c>
      <c r="N8226" t="n">
        <v>0</v>
      </c>
      <c r="O8226" t="n">
        <v>0</v>
      </c>
      <c r="P8226" t="n">
        <v>0</v>
      </c>
      <c r="Q8226" t="n">
        <v>0</v>
      </c>
      <c r="R8226" s="2" t="inlineStr"/>
    </row>
    <row r="8227" ht="15" customHeight="1">
      <c r="A8227" t="inlineStr">
        <is>
          <t>A 17173-2025</t>
        </is>
      </c>
      <c r="B8227" s="1" t="n">
        <v>45756.37224537037</v>
      </c>
      <c r="C8227" s="1" t="n">
        <v>46075</v>
      </c>
      <c r="D8227" t="inlineStr">
        <is>
          <t>VÄSTERBOTTENS LÄN</t>
        </is>
      </c>
      <c r="E8227" t="inlineStr">
        <is>
          <t>SKELLEFTEÅ</t>
        </is>
      </c>
      <c r="G8227" t="n">
        <v>5.6</v>
      </c>
      <c r="H8227" t="n">
        <v>0</v>
      </c>
      <c r="I8227" t="n">
        <v>0</v>
      </c>
      <c r="J8227" t="n">
        <v>0</v>
      </c>
      <c r="K8227" t="n">
        <v>0</v>
      </c>
      <c r="L8227" t="n">
        <v>0</v>
      </c>
      <c r="M8227" t="n">
        <v>0</v>
      </c>
      <c r="N8227" t="n">
        <v>0</v>
      </c>
      <c r="O8227" t="n">
        <v>0</v>
      </c>
      <c r="P8227" t="n">
        <v>0</v>
      </c>
      <c r="Q8227" t="n">
        <v>0</v>
      </c>
      <c r="R8227" s="2" t="inlineStr"/>
    </row>
    <row r="8228" ht="15" customHeight="1">
      <c r="A8228" t="inlineStr">
        <is>
          <t>A 60039-2025</t>
        </is>
      </c>
      <c r="B8228" s="1" t="n">
        <v>45993.62074074074</v>
      </c>
      <c r="C8228" s="1" t="n">
        <v>46075</v>
      </c>
      <c r="D8228" t="inlineStr">
        <is>
          <t>VÄSTERBOTTENS LÄN</t>
        </is>
      </c>
      <c r="E8228" t="inlineStr">
        <is>
          <t>UMEÅ</t>
        </is>
      </c>
      <c r="F8228" t="inlineStr">
        <is>
          <t>Sveaskog</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1987-2026</t>
        </is>
      </c>
      <c r="B8229" s="1" t="n">
        <v>46035.65710648148</v>
      </c>
      <c r="C8229" s="1" t="n">
        <v>46075</v>
      </c>
      <c r="D8229" t="inlineStr">
        <is>
          <t>VÄSTERBOTTENS LÄN</t>
        </is>
      </c>
      <c r="E8229" t="inlineStr">
        <is>
          <t>NORSJÖ</t>
        </is>
      </c>
      <c r="G8229" t="n">
        <v>5.7</v>
      </c>
      <c r="H8229" t="n">
        <v>0</v>
      </c>
      <c r="I8229" t="n">
        <v>0</v>
      </c>
      <c r="J8229" t="n">
        <v>0</v>
      </c>
      <c r="K8229" t="n">
        <v>0</v>
      </c>
      <c r="L8229" t="n">
        <v>0</v>
      </c>
      <c r="M8229" t="n">
        <v>0</v>
      </c>
      <c r="N8229" t="n">
        <v>0</v>
      </c>
      <c r="O8229" t="n">
        <v>0</v>
      </c>
      <c r="P8229" t="n">
        <v>0</v>
      </c>
      <c r="Q8229" t="n">
        <v>0</v>
      </c>
      <c r="R8229" s="2" t="inlineStr"/>
    </row>
    <row r="8230" ht="15" customHeight="1">
      <c r="A8230" t="inlineStr">
        <is>
          <t>A 1578-2026</t>
        </is>
      </c>
      <c r="B8230" s="1" t="n">
        <v>46034.42350694445</v>
      </c>
      <c r="C8230" s="1" t="n">
        <v>46075</v>
      </c>
      <c r="D8230" t="inlineStr">
        <is>
          <t>VÄSTERBOTTENS LÄN</t>
        </is>
      </c>
      <c r="E8230" t="inlineStr">
        <is>
          <t>SKELLEFTEÅ</t>
        </is>
      </c>
      <c r="G8230" t="n">
        <v>0.6</v>
      </c>
      <c r="H8230" t="n">
        <v>0</v>
      </c>
      <c r="I8230" t="n">
        <v>0</v>
      </c>
      <c r="J8230" t="n">
        <v>0</v>
      </c>
      <c r="K8230" t="n">
        <v>0</v>
      </c>
      <c r="L8230" t="n">
        <v>0</v>
      </c>
      <c r="M8230" t="n">
        <v>0</v>
      </c>
      <c r="N8230" t="n">
        <v>0</v>
      </c>
      <c r="O8230" t="n">
        <v>0</v>
      </c>
      <c r="P8230" t="n">
        <v>0</v>
      </c>
      <c r="Q8230" t="n">
        <v>0</v>
      </c>
      <c r="R8230" s="2" t="inlineStr"/>
    </row>
    <row r="8231" ht="15" customHeight="1">
      <c r="A8231" t="inlineStr">
        <is>
          <t>A 59736-2025</t>
        </is>
      </c>
      <c r="B8231" s="1" t="n">
        <v>45992.57357638889</v>
      </c>
      <c r="C8231" s="1" t="n">
        <v>46075</v>
      </c>
      <c r="D8231" t="inlineStr">
        <is>
          <t>VÄSTERBOTTENS LÄN</t>
        </is>
      </c>
      <c r="E8231" t="inlineStr">
        <is>
          <t>LYCKSELE</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59812-2025</t>
        </is>
      </c>
      <c r="B8232" s="1" t="n">
        <v>45992.63262731482</v>
      </c>
      <c r="C8232" s="1" t="n">
        <v>46075</v>
      </c>
      <c r="D8232" t="inlineStr">
        <is>
          <t>VÄSTERBOTTENS LÄN</t>
        </is>
      </c>
      <c r="E8232" t="inlineStr">
        <is>
          <t>LYCKSELE</t>
        </is>
      </c>
      <c r="F8232" t="inlineStr">
        <is>
          <t>Sveaskog</t>
        </is>
      </c>
      <c r="G8232" t="n">
        <v>3.7</v>
      </c>
      <c r="H8232" t="n">
        <v>0</v>
      </c>
      <c r="I8232" t="n">
        <v>0</v>
      </c>
      <c r="J8232" t="n">
        <v>0</v>
      </c>
      <c r="K8232" t="n">
        <v>0</v>
      </c>
      <c r="L8232" t="n">
        <v>0</v>
      </c>
      <c r="M8232" t="n">
        <v>0</v>
      </c>
      <c r="N8232" t="n">
        <v>0</v>
      </c>
      <c r="O8232" t="n">
        <v>0</v>
      </c>
      <c r="P8232" t="n">
        <v>0</v>
      </c>
      <c r="Q8232" t="n">
        <v>0</v>
      </c>
      <c r="R8232" s="2" t="inlineStr"/>
    </row>
    <row r="8233" ht="15" customHeight="1">
      <c r="A8233" t="inlineStr">
        <is>
          <t>A 52693-2024</t>
        </is>
      </c>
      <c r="B8233" s="1" t="n">
        <v>45610.39756944445</v>
      </c>
      <c r="C8233" s="1" t="n">
        <v>46075</v>
      </c>
      <c r="D8233" t="inlineStr">
        <is>
          <t>VÄSTERBOTTENS LÄN</t>
        </is>
      </c>
      <c r="E8233" t="inlineStr">
        <is>
          <t>SKELLEFTEÅ</t>
        </is>
      </c>
      <c r="F8233" t="inlineStr">
        <is>
          <t>Holmen skog AB</t>
        </is>
      </c>
      <c r="G8233" t="n">
        <v>8.4</v>
      </c>
      <c r="H8233" t="n">
        <v>0</v>
      </c>
      <c r="I8233" t="n">
        <v>0</v>
      </c>
      <c r="J8233" t="n">
        <v>0</v>
      </c>
      <c r="K8233" t="n">
        <v>0</v>
      </c>
      <c r="L8233" t="n">
        <v>0</v>
      </c>
      <c r="M8233" t="n">
        <v>0</v>
      </c>
      <c r="N8233" t="n">
        <v>0</v>
      </c>
      <c r="O8233" t="n">
        <v>0</v>
      </c>
      <c r="P8233" t="n">
        <v>0</v>
      </c>
      <c r="Q8233" t="n">
        <v>0</v>
      </c>
      <c r="R8233" s="2" t="inlineStr"/>
    </row>
    <row r="8234" ht="15" customHeight="1">
      <c r="A8234" t="inlineStr">
        <is>
          <t>A 2724-2026</t>
        </is>
      </c>
      <c r="B8234" s="1" t="n">
        <v>46037.81715277778</v>
      </c>
      <c r="C8234" s="1" t="n">
        <v>46075</v>
      </c>
      <c r="D8234" t="inlineStr">
        <is>
          <t>VÄSTERBOTTENS LÄN</t>
        </is>
      </c>
      <c r="E8234" t="inlineStr">
        <is>
          <t>NORDMALING</t>
        </is>
      </c>
      <c r="G8234" t="n">
        <v>0.5</v>
      </c>
      <c r="H8234" t="n">
        <v>0</v>
      </c>
      <c r="I8234" t="n">
        <v>0</v>
      </c>
      <c r="J8234" t="n">
        <v>0</v>
      </c>
      <c r="K8234" t="n">
        <v>0</v>
      </c>
      <c r="L8234" t="n">
        <v>0</v>
      </c>
      <c r="M8234" t="n">
        <v>0</v>
      </c>
      <c r="N8234" t="n">
        <v>0</v>
      </c>
      <c r="O8234" t="n">
        <v>0</v>
      </c>
      <c r="P8234" t="n">
        <v>0</v>
      </c>
      <c r="Q8234" t="n">
        <v>0</v>
      </c>
      <c r="R8234" s="2" t="inlineStr"/>
    </row>
    <row r="8235" ht="15" customHeight="1">
      <c r="A8235" t="inlineStr">
        <is>
          <t>A 9517-2025</t>
        </is>
      </c>
      <c r="B8235" s="1" t="n">
        <v>45715.55240740741</v>
      </c>
      <c r="C8235" s="1" t="n">
        <v>46075</v>
      </c>
      <c r="D8235" t="inlineStr">
        <is>
          <t>VÄSTERBOTTENS LÄN</t>
        </is>
      </c>
      <c r="E8235" t="inlineStr">
        <is>
          <t>LYCKSELE</t>
        </is>
      </c>
      <c r="F8235" t="inlineStr">
        <is>
          <t>SCA</t>
        </is>
      </c>
      <c r="G8235" t="n">
        <v>4.5</v>
      </c>
      <c r="H8235" t="n">
        <v>0</v>
      </c>
      <c r="I8235" t="n">
        <v>0</v>
      </c>
      <c r="J8235" t="n">
        <v>0</v>
      </c>
      <c r="K8235" t="n">
        <v>0</v>
      </c>
      <c r="L8235" t="n">
        <v>0</v>
      </c>
      <c r="M8235" t="n">
        <v>0</v>
      </c>
      <c r="N8235" t="n">
        <v>0</v>
      </c>
      <c r="O8235" t="n">
        <v>0</v>
      </c>
      <c r="P8235" t="n">
        <v>0</v>
      </c>
      <c r="Q8235" t="n">
        <v>0</v>
      </c>
      <c r="R8235" s="2" t="inlineStr"/>
    </row>
    <row r="8236" ht="15" customHeight="1">
      <c r="A8236" t="inlineStr">
        <is>
          <t>A 60556-2025</t>
        </is>
      </c>
      <c r="B8236" s="1" t="n">
        <v>45995.74164351852</v>
      </c>
      <c r="C8236" s="1" t="n">
        <v>46075</v>
      </c>
      <c r="D8236" t="inlineStr">
        <is>
          <t>VÄSTERBOTTENS LÄN</t>
        </is>
      </c>
      <c r="E8236" t="inlineStr">
        <is>
          <t>SKELLEFTEÅ</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60561-2025</t>
        </is>
      </c>
      <c r="B8237" s="1" t="n">
        <v>45994</v>
      </c>
      <c r="C8237" s="1" t="n">
        <v>46075</v>
      </c>
      <c r="D8237" t="inlineStr">
        <is>
          <t>VÄSTERBOTTENS LÄN</t>
        </is>
      </c>
      <c r="E8237" t="inlineStr">
        <is>
          <t>SORSELE</t>
        </is>
      </c>
      <c r="G8237" t="n">
        <v>6.7</v>
      </c>
      <c r="H8237" t="n">
        <v>0</v>
      </c>
      <c r="I8237" t="n">
        <v>0</v>
      </c>
      <c r="J8237" t="n">
        <v>0</v>
      </c>
      <c r="K8237" t="n">
        <v>0</v>
      </c>
      <c r="L8237" t="n">
        <v>0</v>
      </c>
      <c r="M8237" t="n">
        <v>0</v>
      </c>
      <c r="N8237" t="n">
        <v>0</v>
      </c>
      <c r="O8237" t="n">
        <v>0</v>
      </c>
      <c r="P8237" t="n">
        <v>0</v>
      </c>
      <c r="Q8237" t="n">
        <v>0</v>
      </c>
      <c r="R8237" s="2" t="inlineStr"/>
    </row>
    <row r="8238" ht="15" customHeight="1">
      <c r="A8238" t="inlineStr">
        <is>
          <t>A 62586-2022</t>
        </is>
      </c>
      <c r="B8238" s="1" t="n">
        <v>44924.94077546296</v>
      </c>
      <c r="C8238" s="1" t="n">
        <v>46075</v>
      </c>
      <c r="D8238" t="inlineStr">
        <is>
          <t>VÄSTERBOTTENS LÄN</t>
        </is>
      </c>
      <c r="E8238" t="inlineStr">
        <is>
          <t>LYCKSELE</t>
        </is>
      </c>
      <c r="F8238" t="inlineStr">
        <is>
          <t>SCA</t>
        </is>
      </c>
      <c r="G8238" t="n">
        <v>2.8</v>
      </c>
      <c r="H8238" t="n">
        <v>0</v>
      </c>
      <c r="I8238" t="n">
        <v>0</v>
      </c>
      <c r="J8238" t="n">
        <v>0</v>
      </c>
      <c r="K8238" t="n">
        <v>0</v>
      </c>
      <c r="L8238" t="n">
        <v>0</v>
      </c>
      <c r="M8238" t="n">
        <v>0</v>
      </c>
      <c r="N8238" t="n">
        <v>0</v>
      </c>
      <c r="O8238" t="n">
        <v>0</v>
      </c>
      <c r="P8238" t="n">
        <v>0</v>
      </c>
      <c r="Q8238" t="n">
        <v>0</v>
      </c>
      <c r="R8238" s="2" t="inlineStr"/>
    </row>
    <row r="8239" ht="15" customHeight="1">
      <c r="A8239" t="inlineStr">
        <is>
          <t>A 53432-2024</t>
        </is>
      </c>
      <c r="B8239" s="1" t="n">
        <v>45614.52643518519</v>
      </c>
      <c r="C8239" s="1" t="n">
        <v>46075</v>
      </c>
      <c r="D8239" t="inlineStr">
        <is>
          <t>VÄSTERBOTTENS LÄN</t>
        </is>
      </c>
      <c r="E8239" t="inlineStr">
        <is>
          <t>ROBERTSFORS</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53442-2024</t>
        </is>
      </c>
      <c r="B8240" s="1" t="n">
        <v>45614.5381712963</v>
      </c>
      <c r="C8240" s="1" t="n">
        <v>46075</v>
      </c>
      <c r="D8240" t="inlineStr">
        <is>
          <t>VÄSTERBOTTENS LÄN</t>
        </is>
      </c>
      <c r="E8240" t="inlineStr">
        <is>
          <t>NORSJÖ</t>
        </is>
      </c>
      <c r="F8240" t="inlineStr">
        <is>
          <t>Holmen skog AB</t>
        </is>
      </c>
      <c r="G8240" t="n">
        <v>3.5</v>
      </c>
      <c r="H8240" t="n">
        <v>0</v>
      </c>
      <c r="I8240" t="n">
        <v>0</v>
      </c>
      <c r="J8240" t="n">
        <v>0</v>
      </c>
      <c r="K8240" t="n">
        <v>0</v>
      </c>
      <c r="L8240" t="n">
        <v>0</v>
      </c>
      <c r="M8240" t="n">
        <v>0</v>
      </c>
      <c r="N8240" t="n">
        <v>0</v>
      </c>
      <c r="O8240" t="n">
        <v>0</v>
      </c>
      <c r="P8240" t="n">
        <v>0</v>
      </c>
      <c r="Q8240" t="n">
        <v>0</v>
      </c>
      <c r="R8240" s="2" t="inlineStr"/>
    </row>
    <row r="8241" ht="15" customHeight="1">
      <c r="A8241" t="inlineStr">
        <is>
          <t>A 8978-2025</t>
        </is>
      </c>
      <c r="B8241" s="1" t="n">
        <v>45713</v>
      </c>
      <c r="C8241" s="1" t="n">
        <v>46075</v>
      </c>
      <c r="D8241" t="inlineStr">
        <is>
          <t>VÄSTERBOTTENS LÄN</t>
        </is>
      </c>
      <c r="E8241" t="inlineStr">
        <is>
          <t>SORSELE</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9800-2023</t>
        </is>
      </c>
      <c r="B8242" s="1" t="n">
        <v>44978</v>
      </c>
      <c r="C8242" s="1" t="n">
        <v>46075</v>
      </c>
      <c r="D8242" t="inlineStr">
        <is>
          <t>VÄSTERBOTTENS LÄN</t>
        </is>
      </c>
      <c r="E8242" t="inlineStr">
        <is>
          <t>SORSELE</t>
        </is>
      </c>
      <c r="G8242" t="n">
        <v>5.8</v>
      </c>
      <c r="H8242" t="n">
        <v>0</v>
      </c>
      <c r="I8242" t="n">
        <v>0</v>
      </c>
      <c r="J8242" t="n">
        <v>0</v>
      </c>
      <c r="K8242" t="n">
        <v>0</v>
      </c>
      <c r="L8242" t="n">
        <v>0</v>
      </c>
      <c r="M8242" t="n">
        <v>0</v>
      </c>
      <c r="N8242" t="n">
        <v>0</v>
      </c>
      <c r="O8242" t="n">
        <v>0</v>
      </c>
      <c r="P8242" t="n">
        <v>0</v>
      </c>
      <c r="Q8242" t="n">
        <v>0</v>
      </c>
      <c r="R8242" s="2" t="inlineStr"/>
    </row>
    <row r="8243" ht="15" customHeight="1">
      <c r="A8243" t="inlineStr">
        <is>
          <t>A 7254-2024</t>
        </is>
      </c>
      <c r="B8243" s="1" t="n">
        <v>45344</v>
      </c>
      <c r="C8243" s="1" t="n">
        <v>46075</v>
      </c>
      <c r="D8243" t="inlineStr">
        <is>
          <t>VÄSTERBOTTENS LÄN</t>
        </is>
      </c>
      <c r="E8243" t="inlineStr">
        <is>
          <t>NORDMALING</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60113-2025</t>
        </is>
      </c>
      <c r="B8244" s="1" t="n">
        <v>45994.31009259259</v>
      </c>
      <c r="C8244" s="1" t="n">
        <v>46075</v>
      </c>
      <c r="D8244" t="inlineStr">
        <is>
          <t>VÄSTERBOTTENS LÄN</t>
        </is>
      </c>
      <c r="E8244" t="inlineStr">
        <is>
          <t>NORDMALING</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11973-2023</t>
        </is>
      </c>
      <c r="B8245" s="1" t="n">
        <v>44994</v>
      </c>
      <c r="C8245" s="1" t="n">
        <v>46075</v>
      </c>
      <c r="D8245" t="inlineStr">
        <is>
          <t>VÄSTERBOTTENS LÄN</t>
        </is>
      </c>
      <c r="E8245" t="inlineStr">
        <is>
          <t>SKELLEFTEÅ</t>
        </is>
      </c>
      <c r="G8245" t="n">
        <v>7</v>
      </c>
      <c r="H8245" t="n">
        <v>0</v>
      </c>
      <c r="I8245" t="n">
        <v>0</v>
      </c>
      <c r="J8245" t="n">
        <v>0</v>
      </c>
      <c r="K8245" t="n">
        <v>0</v>
      </c>
      <c r="L8245" t="n">
        <v>0</v>
      </c>
      <c r="M8245" t="n">
        <v>0</v>
      </c>
      <c r="N8245" t="n">
        <v>0</v>
      </c>
      <c r="O8245" t="n">
        <v>0</v>
      </c>
      <c r="P8245" t="n">
        <v>0</v>
      </c>
      <c r="Q8245" t="n">
        <v>0</v>
      </c>
      <c r="R8245" s="2" t="inlineStr"/>
    </row>
    <row r="8246" ht="15" customHeight="1">
      <c r="A8246" t="inlineStr">
        <is>
          <t>A 39400-2024</t>
        </is>
      </c>
      <c r="B8246" s="1" t="n">
        <v>45551.55501157408</v>
      </c>
      <c r="C8246" s="1" t="n">
        <v>46075</v>
      </c>
      <c r="D8246" t="inlineStr">
        <is>
          <t>VÄSTERBOTTENS LÄN</t>
        </is>
      </c>
      <c r="E8246" t="inlineStr">
        <is>
          <t>NORSJÖ</t>
        </is>
      </c>
      <c r="F8246" t="inlineStr">
        <is>
          <t>Holmen skog AB</t>
        </is>
      </c>
      <c r="G8246" t="n">
        <v>6.6</v>
      </c>
      <c r="H8246" t="n">
        <v>0</v>
      </c>
      <c r="I8246" t="n">
        <v>0</v>
      </c>
      <c r="J8246" t="n">
        <v>0</v>
      </c>
      <c r="K8246" t="n">
        <v>0</v>
      </c>
      <c r="L8246" t="n">
        <v>0</v>
      </c>
      <c r="M8246" t="n">
        <v>0</v>
      </c>
      <c r="N8246" t="n">
        <v>0</v>
      </c>
      <c r="O8246" t="n">
        <v>0</v>
      </c>
      <c r="P8246" t="n">
        <v>0</v>
      </c>
      <c r="Q8246" t="n">
        <v>0</v>
      </c>
      <c r="R8246" s="2" t="inlineStr"/>
    </row>
    <row r="8247" ht="15" customHeight="1">
      <c r="A8247" t="inlineStr">
        <is>
          <t>A 55134-2022</t>
        </is>
      </c>
      <c r="B8247" s="1" t="n">
        <v>44886</v>
      </c>
      <c r="C8247" s="1" t="n">
        <v>46075</v>
      </c>
      <c r="D8247" t="inlineStr">
        <is>
          <t>VÄSTERBOTTENS LÄN</t>
        </is>
      </c>
      <c r="E8247" t="inlineStr">
        <is>
          <t>VINDELN</t>
        </is>
      </c>
      <c r="G8247" t="n">
        <v>0.2</v>
      </c>
      <c r="H8247" t="n">
        <v>0</v>
      </c>
      <c r="I8247" t="n">
        <v>0</v>
      </c>
      <c r="J8247" t="n">
        <v>0</v>
      </c>
      <c r="K8247" t="n">
        <v>0</v>
      </c>
      <c r="L8247" t="n">
        <v>0</v>
      </c>
      <c r="M8247" t="n">
        <v>0</v>
      </c>
      <c r="N8247" t="n">
        <v>0</v>
      </c>
      <c r="O8247" t="n">
        <v>0</v>
      </c>
      <c r="P8247" t="n">
        <v>0</v>
      </c>
      <c r="Q8247" t="n">
        <v>0</v>
      </c>
      <c r="R8247" s="2" t="inlineStr"/>
    </row>
    <row r="8248" ht="15" customHeight="1">
      <c r="A8248" t="inlineStr">
        <is>
          <t>A 25009-2022</t>
        </is>
      </c>
      <c r="B8248" s="1" t="n">
        <v>44728.92866898148</v>
      </c>
      <c r="C8248" s="1" t="n">
        <v>46075</v>
      </c>
      <c r="D8248" t="inlineStr">
        <is>
          <t>VÄSTERBOTTENS LÄN</t>
        </is>
      </c>
      <c r="E8248" t="inlineStr">
        <is>
          <t>SKELLEFTEÅ</t>
        </is>
      </c>
      <c r="G8248" t="n">
        <v>0.7</v>
      </c>
      <c r="H8248" t="n">
        <v>0</v>
      </c>
      <c r="I8248" t="n">
        <v>0</v>
      </c>
      <c r="J8248" t="n">
        <v>0</v>
      </c>
      <c r="K8248" t="n">
        <v>0</v>
      </c>
      <c r="L8248" t="n">
        <v>0</v>
      </c>
      <c r="M8248" t="n">
        <v>0</v>
      </c>
      <c r="N8248" t="n">
        <v>0</v>
      </c>
      <c r="O8248" t="n">
        <v>0</v>
      </c>
      <c r="P8248" t="n">
        <v>0</v>
      </c>
      <c r="Q8248" t="n">
        <v>0</v>
      </c>
      <c r="R8248" s="2" t="inlineStr"/>
    </row>
    <row r="8249" ht="15" customHeight="1">
      <c r="A8249" t="inlineStr">
        <is>
          <t>A 60137-2025</t>
        </is>
      </c>
      <c r="B8249" s="1" t="n">
        <v>45994.35525462963</v>
      </c>
      <c r="C8249" s="1" t="n">
        <v>46075</v>
      </c>
      <c r="D8249" t="inlineStr">
        <is>
          <t>VÄSTERBOTTENS LÄN</t>
        </is>
      </c>
      <c r="E8249" t="inlineStr">
        <is>
          <t>VINDELN</t>
        </is>
      </c>
      <c r="G8249" t="n">
        <v>4.3</v>
      </c>
      <c r="H8249" t="n">
        <v>0</v>
      </c>
      <c r="I8249" t="n">
        <v>0</v>
      </c>
      <c r="J8249" t="n">
        <v>0</v>
      </c>
      <c r="K8249" t="n">
        <v>0</v>
      </c>
      <c r="L8249" t="n">
        <v>0</v>
      </c>
      <c r="M8249" t="n">
        <v>0</v>
      </c>
      <c r="N8249" t="n">
        <v>0</v>
      </c>
      <c r="O8249" t="n">
        <v>0</v>
      </c>
      <c r="P8249" t="n">
        <v>0</v>
      </c>
      <c r="Q8249" t="n">
        <v>0</v>
      </c>
      <c r="R8249" s="2" t="inlineStr"/>
    </row>
    <row r="8250" ht="15" customHeight="1">
      <c r="A8250" t="inlineStr">
        <is>
          <t>A 61131-2022</t>
        </is>
      </c>
      <c r="B8250" s="1" t="n">
        <v>44915.44746527778</v>
      </c>
      <c r="C8250" s="1" t="n">
        <v>46075</v>
      </c>
      <c r="D8250" t="inlineStr">
        <is>
          <t>VÄSTERBOTTENS LÄN</t>
        </is>
      </c>
      <c r="E8250" t="inlineStr">
        <is>
          <t>LYCKSELE</t>
        </is>
      </c>
      <c r="F8250" t="inlineStr">
        <is>
          <t>Sveaskog</t>
        </is>
      </c>
      <c r="G8250" t="n">
        <v>5.1</v>
      </c>
      <c r="H8250" t="n">
        <v>0</v>
      </c>
      <c r="I8250" t="n">
        <v>0</v>
      </c>
      <c r="J8250" t="n">
        <v>0</v>
      </c>
      <c r="K8250" t="n">
        <v>0</v>
      </c>
      <c r="L8250" t="n">
        <v>0</v>
      </c>
      <c r="M8250" t="n">
        <v>0</v>
      </c>
      <c r="N8250" t="n">
        <v>0</v>
      </c>
      <c r="O8250" t="n">
        <v>0</v>
      </c>
      <c r="P8250" t="n">
        <v>0</v>
      </c>
      <c r="Q8250" t="n">
        <v>0</v>
      </c>
      <c r="R8250" s="2" t="inlineStr"/>
    </row>
    <row r="8251" ht="15" customHeight="1">
      <c r="A8251" t="inlineStr">
        <is>
          <t>A 2111-2026</t>
        </is>
      </c>
      <c r="B8251" s="1" t="n">
        <v>46036.37813657407</v>
      </c>
      <c r="C8251" s="1" t="n">
        <v>46075</v>
      </c>
      <c r="D8251" t="inlineStr">
        <is>
          <t>VÄSTERBOTTENS LÄN</t>
        </is>
      </c>
      <c r="E8251" t="inlineStr">
        <is>
          <t>SKELLEFTEÅ</t>
        </is>
      </c>
      <c r="G8251" t="n">
        <v>4.3</v>
      </c>
      <c r="H8251" t="n">
        <v>0</v>
      </c>
      <c r="I8251" t="n">
        <v>0</v>
      </c>
      <c r="J8251" t="n">
        <v>0</v>
      </c>
      <c r="K8251" t="n">
        <v>0</v>
      </c>
      <c r="L8251" t="n">
        <v>0</v>
      </c>
      <c r="M8251" t="n">
        <v>0</v>
      </c>
      <c r="N8251" t="n">
        <v>0</v>
      </c>
      <c r="O8251" t="n">
        <v>0</v>
      </c>
      <c r="P8251" t="n">
        <v>0</v>
      </c>
      <c r="Q8251" t="n">
        <v>0</v>
      </c>
      <c r="R8251" s="2" t="inlineStr"/>
    </row>
    <row r="8252" ht="15" customHeight="1">
      <c r="A8252" t="inlineStr">
        <is>
          <t>A 61281-2022</t>
        </is>
      </c>
      <c r="B8252" s="1" t="n">
        <v>44909</v>
      </c>
      <c r="C8252" s="1" t="n">
        <v>46075</v>
      </c>
      <c r="D8252" t="inlineStr">
        <is>
          <t>VÄSTERBOTTENS LÄN</t>
        </is>
      </c>
      <c r="E8252" t="inlineStr">
        <is>
          <t>LYCKSELE</t>
        </is>
      </c>
      <c r="G8252" t="n">
        <v>0.2</v>
      </c>
      <c r="H8252" t="n">
        <v>0</v>
      </c>
      <c r="I8252" t="n">
        <v>0</v>
      </c>
      <c r="J8252" t="n">
        <v>0</v>
      </c>
      <c r="K8252" t="n">
        <v>0</v>
      </c>
      <c r="L8252" t="n">
        <v>0</v>
      </c>
      <c r="M8252" t="n">
        <v>0</v>
      </c>
      <c r="N8252" t="n">
        <v>0</v>
      </c>
      <c r="O8252" t="n">
        <v>0</v>
      </c>
      <c r="P8252" t="n">
        <v>0</v>
      </c>
      <c r="Q8252" t="n">
        <v>0</v>
      </c>
      <c r="R8252" s="2" t="inlineStr"/>
    </row>
    <row r="8253" ht="15" customHeight="1">
      <c r="A8253" t="inlineStr">
        <is>
          <t>A 3546-2024</t>
        </is>
      </c>
      <c r="B8253" s="1" t="n">
        <v>45320</v>
      </c>
      <c r="C8253" s="1" t="n">
        <v>46075</v>
      </c>
      <c r="D8253" t="inlineStr">
        <is>
          <t>VÄSTERBOTTENS LÄN</t>
        </is>
      </c>
      <c r="E8253" t="inlineStr">
        <is>
          <t>LYCKSELE</t>
        </is>
      </c>
      <c r="G8253" t="n">
        <v>4.2</v>
      </c>
      <c r="H8253" t="n">
        <v>0</v>
      </c>
      <c r="I8253" t="n">
        <v>0</v>
      </c>
      <c r="J8253" t="n">
        <v>0</v>
      </c>
      <c r="K8253" t="n">
        <v>0</v>
      </c>
      <c r="L8253" t="n">
        <v>0</v>
      </c>
      <c r="M8253" t="n">
        <v>0</v>
      </c>
      <c r="N8253" t="n">
        <v>0</v>
      </c>
      <c r="O8253" t="n">
        <v>0</v>
      </c>
      <c r="P8253" t="n">
        <v>0</v>
      </c>
      <c r="Q8253" t="n">
        <v>0</v>
      </c>
      <c r="R8253" s="2" t="inlineStr"/>
    </row>
    <row r="8254" ht="15" customHeight="1">
      <c r="A8254" t="inlineStr">
        <is>
          <t>A 2651-2026</t>
        </is>
      </c>
      <c r="B8254" s="1" t="n">
        <v>46037.62767361111</v>
      </c>
      <c r="C8254" s="1" t="n">
        <v>46075</v>
      </c>
      <c r="D8254" t="inlineStr">
        <is>
          <t>VÄSTERBOTTENS LÄN</t>
        </is>
      </c>
      <c r="E8254" t="inlineStr">
        <is>
          <t>ROBERTSFORS</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2725-2026</t>
        </is>
      </c>
      <c r="B8255" s="1" t="n">
        <v>46037.8172337963</v>
      </c>
      <c r="C8255" s="1" t="n">
        <v>46075</v>
      </c>
      <c r="D8255" t="inlineStr">
        <is>
          <t>VÄSTERBOTTENS LÄN</t>
        </is>
      </c>
      <c r="E8255" t="inlineStr">
        <is>
          <t>NORDMALING</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60111-2025</t>
        </is>
      </c>
      <c r="B8256" s="1" t="n">
        <v>45994.30788194444</v>
      </c>
      <c r="C8256" s="1" t="n">
        <v>46075</v>
      </c>
      <c r="D8256" t="inlineStr">
        <is>
          <t>VÄSTERBOTTENS LÄN</t>
        </is>
      </c>
      <c r="E8256" t="inlineStr">
        <is>
          <t>NORDMALING</t>
        </is>
      </c>
      <c r="G8256" t="n">
        <v>0.4</v>
      </c>
      <c r="H8256" t="n">
        <v>0</v>
      </c>
      <c r="I8256" t="n">
        <v>0</v>
      </c>
      <c r="J8256" t="n">
        <v>0</v>
      </c>
      <c r="K8256" t="n">
        <v>0</v>
      </c>
      <c r="L8256" t="n">
        <v>0</v>
      </c>
      <c r="M8256" t="n">
        <v>0</v>
      </c>
      <c r="N8256" t="n">
        <v>0</v>
      </c>
      <c r="O8256" t="n">
        <v>0</v>
      </c>
      <c r="P8256" t="n">
        <v>0</v>
      </c>
      <c r="Q8256" t="n">
        <v>0</v>
      </c>
      <c r="R8256" s="2" t="inlineStr"/>
    </row>
    <row r="8257" ht="15" customHeight="1">
      <c r="A8257" t="inlineStr">
        <is>
          <t>A 60127-2025</t>
        </is>
      </c>
      <c r="B8257" s="1" t="n">
        <v>45994.34417824074</v>
      </c>
      <c r="C8257" s="1" t="n">
        <v>46075</v>
      </c>
      <c r="D8257" t="inlineStr">
        <is>
          <t>VÄSTERBOTTENS LÄN</t>
        </is>
      </c>
      <c r="E8257" t="inlineStr">
        <is>
          <t>ROBERTSFORS</t>
        </is>
      </c>
      <c r="G8257" t="n">
        <v>3.9</v>
      </c>
      <c r="H8257" t="n">
        <v>0</v>
      </c>
      <c r="I8257" t="n">
        <v>0</v>
      </c>
      <c r="J8257" t="n">
        <v>0</v>
      </c>
      <c r="K8257" t="n">
        <v>0</v>
      </c>
      <c r="L8257" t="n">
        <v>0</v>
      </c>
      <c r="M8257" t="n">
        <v>0</v>
      </c>
      <c r="N8257" t="n">
        <v>0</v>
      </c>
      <c r="O8257" t="n">
        <v>0</v>
      </c>
      <c r="P8257" t="n">
        <v>0</v>
      </c>
      <c r="Q8257" t="n">
        <v>0</v>
      </c>
      <c r="R8257" s="2" t="inlineStr"/>
    </row>
    <row r="8258" ht="15" customHeight="1">
      <c r="A8258" t="inlineStr">
        <is>
          <t>A 60249-2025</t>
        </is>
      </c>
      <c r="B8258" s="1" t="n">
        <v>45994.59440972222</v>
      </c>
      <c r="C8258" s="1" t="n">
        <v>46075</v>
      </c>
      <c r="D8258" t="inlineStr">
        <is>
          <t>VÄSTERBOTTENS LÄN</t>
        </is>
      </c>
      <c r="E8258" t="inlineStr">
        <is>
          <t>SKELLEFTEÅ</t>
        </is>
      </c>
      <c r="G8258" t="n">
        <v>2.5</v>
      </c>
      <c r="H8258" t="n">
        <v>0</v>
      </c>
      <c r="I8258" t="n">
        <v>0</v>
      </c>
      <c r="J8258" t="n">
        <v>0</v>
      </c>
      <c r="K8258" t="n">
        <v>0</v>
      </c>
      <c r="L8258" t="n">
        <v>0</v>
      </c>
      <c r="M8258" t="n">
        <v>0</v>
      </c>
      <c r="N8258" t="n">
        <v>0</v>
      </c>
      <c r="O8258" t="n">
        <v>0</v>
      </c>
      <c r="P8258" t="n">
        <v>0</v>
      </c>
      <c r="Q8258" t="n">
        <v>0</v>
      </c>
      <c r="R8258" s="2" t="inlineStr"/>
    </row>
    <row r="8259" ht="15" customHeight="1">
      <c r="A8259" t="inlineStr">
        <is>
          <t>A 60270-2025</t>
        </is>
      </c>
      <c r="B8259" s="1" t="n">
        <v>45994.62560185185</v>
      </c>
      <c r="C8259" s="1" t="n">
        <v>46075</v>
      </c>
      <c r="D8259" t="inlineStr">
        <is>
          <t>VÄSTERBOTTENS LÄN</t>
        </is>
      </c>
      <c r="E8259" t="inlineStr">
        <is>
          <t>SKELLEFTEÅ</t>
        </is>
      </c>
      <c r="G8259" t="n">
        <v>7.6</v>
      </c>
      <c r="H8259" t="n">
        <v>0</v>
      </c>
      <c r="I8259" t="n">
        <v>0</v>
      </c>
      <c r="J8259" t="n">
        <v>0</v>
      </c>
      <c r="K8259" t="n">
        <v>0</v>
      </c>
      <c r="L8259" t="n">
        <v>0</v>
      </c>
      <c r="M8259" t="n">
        <v>0</v>
      </c>
      <c r="N8259" t="n">
        <v>0</v>
      </c>
      <c r="O8259" t="n">
        <v>0</v>
      </c>
      <c r="P8259" t="n">
        <v>0</v>
      </c>
      <c r="Q8259" t="n">
        <v>0</v>
      </c>
      <c r="R8259" s="2" t="inlineStr"/>
    </row>
    <row r="8260" ht="15" customHeight="1">
      <c r="A8260" t="inlineStr">
        <is>
          <t>A 36655-2024</t>
        </is>
      </c>
      <c r="B8260" s="1" t="n">
        <v>45537</v>
      </c>
      <c r="C8260" s="1" t="n">
        <v>46075</v>
      </c>
      <c r="D8260" t="inlineStr">
        <is>
          <t>VÄSTERBOTTENS LÄN</t>
        </is>
      </c>
      <c r="E8260" t="inlineStr">
        <is>
          <t>VINDELN</t>
        </is>
      </c>
      <c r="F8260" t="inlineStr">
        <is>
          <t>Sveaskog</t>
        </is>
      </c>
      <c r="G8260" t="n">
        <v>11.2</v>
      </c>
      <c r="H8260" t="n">
        <v>0</v>
      </c>
      <c r="I8260" t="n">
        <v>0</v>
      </c>
      <c r="J8260" t="n">
        <v>0</v>
      </c>
      <c r="K8260" t="n">
        <v>0</v>
      </c>
      <c r="L8260" t="n">
        <v>0</v>
      </c>
      <c r="M8260" t="n">
        <v>0</v>
      </c>
      <c r="N8260" t="n">
        <v>0</v>
      </c>
      <c r="O8260" t="n">
        <v>0</v>
      </c>
      <c r="P8260" t="n">
        <v>0</v>
      </c>
      <c r="Q8260" t="n">
        <v>0</v>
      </c>
      <c r="R8260" s="2" t="inlineStr"/>
    </row>
    <row r="8261" ht="15" customHeight="1">
      <c r="A8261" t="inlineStr">
        <is>
          <t>A 36657-2024</t>
        </is>
      </c>
      <c r="B8261" s="1" t="n">
        <v>45537</v>
      </c>
      <c r="C8261" s="1" t="n">
        <v>46075</v>
      </c>
      <c r="D8261" t="inlineStr">
        <is>
          <t>VÄSTERBOTTENS LÄN</t>
        </is>
      </c>
      <c r="E8261" t="inlineStr">
        <is>
          <t>VINDELN</t>
        </is>
      </c>
      <c r="F8261" t="inlineStr">
        <is>
          <t>Sveaskog</t>
        </is>
      </c>
      <c r="G8261" t="n">
        <v>3.5</v>
      </c>
      <c r="H8261" t="n">
        <v>0</v>
      </c>
      <c r="I8261" t="n">
        <v>0</v>
      </c>
      <c r="J8261" t="n">
        <v>0</v>
      </c>
      <c r="K8261" t="n">
        <v>0</v>
      </c>
      <c r="L8261" t="n">
        <v>0</v>
      </c>
      <c r="M8261" t="n">
        <v>0</v>
      </c>
      <c r="N8261" t="n">
        <v>0</v>
      </c>
      <c r="O8261" t="n">
        <v>0</v>
      </c>
      <c r="P8261" t="n">
        <v>0</v>
      </c>
      <c r="Q8261" t="n">
        <v>0</v>
      </c>
      <c r="R8261" s="2" t="inlineStr"/>
    </row>
    <row r="8262" ht="15" customHeight="1">
      <c r="A8262" t="inlineStr">
        <is>
          <t>A 55688-2023</t>
        </is>
      </c>
      <c r="B8262" s="1" t="n">
        <v>45232</v>
      </c>
      <c r="C8262" s="1" t="n">
        <v>46075</v>
      </c>
      <c r="D8262" t="inlineStr">
        <is>
          <t>VÄSTERBOTTENS LÄN</t>
        </is>
      </c>
      <c r="E8262" t="inlineStr">
        <is>
          <t>VILHELMINA</t>
        </is>
      </c>
      <c r="G8262" t="n">
        <v>6.4</v>
      </c>
      <c r="H8262" t="n">
        <v>0</v>
      </c>
      <c r="I8262" t="n">
        <v>0</v>
      </c>
      <c r="J8262" t="n">
        <v>0</v>
      </c>
      <c r="K8262" t="n">
        <v>0</v>
      </c>
      <c r="L8262" t="n">
        <v>0</v>
      </c>
      <c r="M8262" t="n">
        <v>0</v>
      </c>
      <c r="N8262" t="n">
        <v>0</v>
      </c>
      <c r="O8262" t="n">
        <v>0</v>
      </c>
      <c r="P8262" t="n">
        <v>0</v>
      </c>
      <c r="Q8262" t="n">
        <v>0</v>
      </c>
      <c r="R8262" s="2" t="inlineStr"/>
    </row>
    <row r="8263" ht="15" customHeight="1">
      <c r="A8263" t="inlineStr">
        <is>
          <t>A 2456-2026</t>
        </is>
      </c>
      <c r="B8263" s="1" t="n">
        <v>46037.34474537037</v>
      </c>
      <c r="C8263" s="1" t="n">
        <v>46075</v>
      </c>
      <c r="D8263" t="inlineStr">
        <is>
          <t>VÄSTERBOTTENS LÄN</t>
        </is>
      </c>
      <c r="E8263" t="inlineStr">
        <is>
          <t>SKELLEFTEÅ</t>
        </is>
      </c>
      <c r="G8263" t="n">
        <v>3.4</v>
      </c>
      <c r="H8263" t="n">
        <v>0</v>
      </c>
      <c r="I8263" t="n">
        <v>0</v>
      </c>
      <c r="J8263" t="n">
        <v>0</v>
      </c>
      <c r="K8263" t="n">
        <v>0</v>
      </c>
      <c r="L8263" t="n">
        <v>0</v>
      </c>
      <c r="M8263" t="n">
        <v>0</v>
      </c>
      <c r="N8263" t="n">
        <v>0</v>
      </c>
      <c r="O8263" t="n">
        <v>0</v>
      </c>
      <c r="P8263" t="n">
        <v>0</v>
      </c>
      <c r="Q8263" t="n">
        <v>0</v>
      </c>
      <c r="R8263" s="2" t="inlineStr"/>
    </row>
    <row r="8264" ht="15" customHeight="1">
      <c r="A8264" t="inlineStr">
        <is>
          <t>A 20949-2023</t>
        </is>
      </c>
      <c r="B8264" s="1" t="n">
        <v>45056</v>
      </c>
      <c r="C8264" s="1" t="n">
        <v>46075</v>
      </c>
      <c r="D8264" t="inlineStr">
        <is>
          <t>VÄSTERBOTTENS LÄN</t>
        </is>
      </c>
      <c r="E8264" t="inlineStr">
        <is>
          <t>BJURHOLM</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56114-2024</t>
        </is>
      </c>
      <c r="B8265" s="1" t="n">
        <v>45623</v>
      </c>
      <c r="C8265" s="1" t="n">
        <v>46075</v>
      </c>
      <c r="D8265" t="inlineStr">
        <is>
          <t>VÄSTERBOTTENS LÄN</t>
        </is>
      </c>
      <c r="E8265" t="inlineStr">
        <is>
          <t>BJURHOLM</t>
        </is>
      </c>
      <c r="G8265" t="n">
        <v>9.699999999999999</v>
      </c>
      <c r="H8265" t="n">
        <v>0</v>
      </c>
      <c r="I8265" t="n">
        <v>0</v>
      </c>
      <c r="J8265" t="n">
        <v>0</v>
      </c>
      <c r="K8265" t="n">
        <v>0</v>
      </c>
      <c r="L8265" t="n">
        <v>0</v>
      </c>
      <c r="M8265" t="n">
        <v>0</v>
      </c>
      <c r="N8265" t="n">
        <v>0</v>
      </c>
      <c r="O8265" t="n">
        <v>0</v>
      </c>
      <c r="P8265" t="n">
        <v>0</v>
      </c>
      <c r="Q8265" t="n">
        <v>0</v>
      </c>
      <c r="R8265" s="2" t="inlineStr"/>
    </row>
    <row r="8266" ht="15" customHeight="1">
      <c r="A8266" t="inlineStr">
        <is>
          <t>A 35937-2025</t>
        </is>
      </c>
      <c r="B8266" s="1" t="n">
        <v>45862</v>
      </c>
      <c r="C8266" s="1" t="n">
        <v>46075</v>
      </c>
      <c r="D8266" t="inlineStr">
        <is>
          <t>VÄSTERBOTTENS LÄN</t>
        </is>
      </c>
      <c r="E8266" t="inlineStr">
        <is>
          <t>DOROTEA</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60518-2025</t>
        </is>
      </c>
      <c r="B8267" s="1" t="n">
        <v>45994</v>
      </c>
      <c r="C8267" s="1" t="n">
        <v>46075</v>
      </c>
      <c r="D8267" t="inlineStr">
        <is>
          <t>VÄSTERBOTTENS LÄN</t>
        </is>
      </c>
      <c r="E8267" t="inlineStr">
        <is>
          <t>VILHELMINA</t>
        </is>
      </c>
      <c r="G8267" t="n">
        <v>6.7</v>
      </c>
      <c r="H8267" t="n">
        <v>0</v>
      </c>
      <c r="I8267" t="n">
        <v>0</v>
      </c>
      <c r="J8267" t="n">
        <v>0</v>
      </c>
      <c r="K8267" t="n">
        <v>0</v>
      </c>
      <c r="L8267" t="n">
        <v>0</v>
      </c>
      <c r="M8267" t="n">
        <v>0</v>
      </c>
      <c r="N8267" t="n">
        <v>0</v>
      </c>
      <c r="O8267" t="n">
        <v>0</v>
      </c>
      <c r="P8267" t="n">
        <v>0</v>
      </c>
      <c r="Q8267" t="n">
        <v>0</v>
      </c>
      <c r="R8267" s="2" t="inlineStr"/>
    </row>
    <row r="8268" ht="15" customHeight="1">
      <c r="A8268" t="inlineStr">
        <is>
          <t>A 12797-2023</t>
        </is>
      </c>
      <c r="B8268" s="1" t="n">
        <v>45000</v>
      </c>
      <c r="C8268" s="1" t="n">
        <v>46075</v>
      </c>
      <c r="D8268" t="inlineStr">
        <is>
          <t>VÄSTERBOTTENS LÄN</t>
        </is>
      </c>
      <c r="E8268" t="inlineStr">
        <is>
          <t>MALÅ</t>
        </is>
      </c>
      <c r="G8268" t="n">
        <v>2.2</v>
      </c>
      <c r="H8268" t="n">
        <v>0</v>
      </c>
      <c r="I8268" t="n">
        <v>0</v>
      </c>
      <c r="J8268" t="n">
        <v>0</v>
      </c>
      <c r="K8268" t="n">
        <v>0</v>
      </c>
      <c r="L8268" t="n">
        <v>0</v>
      </c>
      <c r="M8268" t="n">
        <v>0</v>
      </c>
      <c r="N8268" t="n">
        <v>0</v>
      </c>
      <c r="O8268" t="n">
        <v>0</v>
      </c>
      <c r="P8268" t="n">
        <v>0</v>
      </c>
      <c r="Q8268" t="n">
        <v>0</v>
      </c>
      <c r="R8268" s="2" t="inlineStr"/>
    </row>
    <row r="8269" ht="15" customHeight="1">
      <c r="A8269" t="inlineStr">
        <is>
          <t>A 60565-2025</t>
        </is>
      </c>
      <c r="B8269" s="1" t="n">
        <v>45994</v>
      </c>
      <c r="C8269" s="1" t="n">
        <v>46075</v>
      </c>
      <c r="D8269" t="inlineStr">
        <is>
          <t>VÄSTERBOTTENS LÄN</t>
        </is>
      </c>
      <c r="E8269" t="inlineStr">
        <is>
          <t>SKELLEFTEÅ</t>
        </is>
      </c>
      <c r="F8269" t="inlineStr">
        <is>
          <t>Kommuner</t>
        </is>
      </c>
      <c r="G8269" t="n">
        <v>3.2</v>
      </c>
      <c r="H8269" t="n">
        <v>0</v>
      </c>
      <c r="I8269" t="n">
        <v>0</v>
      </c>
      <c r="J8269" t="n">
        <v>0</v>
      </c>
      <c r="K8269" t="n">
        <v>0</v>
      </c>
      <c r="L8269" t="n">
        <v>0</v>
      </c>
      <c r="M8269" t="n">
        <v>0</v>
      </c>
      <c r="N8269" t="n">
        <v>0</v>
      </c>
      <c r="O8269" t="n">
        <v>0</v>
      </c>
      <c r="P8269" t="n">
        <v>0</v>
      </c>
      <c r="Q8269" t="n">
        <v>0</v>
      </c>
      <c r="R8269" s="2" t="inlineStr"/>
    </row>
    <row r="8270" ht="15" customHeight="1">
      <c r="A8270" t="inlineStr">
        <is>
          <t>A 33438-2023</t>
        </is>
      </c>
      <c r="B8270" s="1" t="n">
        <v>45129.5255787037</v>
      </c>
      <c r="C8270" s="1" t="n">
        <v>46075</v>
      </c>
      <c r="D8270" t="inlineStr">
        <is>
          <t>VÄSTERBOTTENS LÄN</t>
        </is>
      </c>
      <c r="E8270" t="inlineStr">
        <is>
          <t>ROBERTSFORS</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60735-2025</t>
        </is>
      </c>
      <c r="B8271" s="1" t="n">
        <v>45995</v>
      </c>
      <c r="C8271" s="1" t="n">
        <v>46075</v>
      </c>
      <c r="D8271" t="inlineStr">
        <is>
          <t>VÄSTERBOTTENS LÄN</t>
        </is>
      </c>
      <c r="E8271" t="inlineStr">
        <is>
          <t>MALÅ</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2146-2026</t>
        </is>
      </c>
      <c r="B8272" s="1" t="n">
        <v>46036.40693287037</v>
      </c>
      <c r="C8272" s="1" t="n">
        <v>46075</v>
      </c>
      <c r="D8272" t="inlineStr">
        <is>
          <t>VÄSTERBOTTENS LÄN</t>
        </is>
      </c>
      <c r="E8272" t="inlineStr">
        <is>
          <t>DOROTEA</t>
        </is>
      </c>
      <c r="F8272" t="inlineStr">
        <is>
          <t>SCA</t>
        </is>
      </c>
      <c r="G8272" t="n">
        <v>2.8</v>
      </c>
      <c r="H8272" t="n">
        <v>0</v>
      </c>
      <c r="I8272" t="n">
        <v>0</v>
      </c>
      <c r="J8272" t="n">
        <v>0</v>
      </c>
      <c r="K8272" t="n">
        <v>0</v>
      </c>
      <c r="L8272" t="n">
        <v>0</v>
      </c>
      <c r="M8272" t="n">
        <v>0</v>
      </c>
      <c r="N8272" t="n">
        <v>0</v>
      </c>
      <c r="O8272" t="n">
        <v>0</v>
      </c>
      <c r="P8272" t="n">
        <v>0</v>
      </c>
      <c r="Q8272" t="n">
        <v>0</v>
      </c>
      <c r="R8272" s="2" t="inlineStr"/>
    </row>
    <row r="8273" ht="15" customHeight="1">
      <c r="A8273" t="inlineStr">
        <is>
          <t>A 43027-2023</t>
        </is>
      </c>
      <c r="B8273" s="1" t="n">
        <v>45182.65770833333</v>
      </c>
      <c r="C8273" s="1" t="n">
        <v>46075</v>
      </c>
      <c r="D8273" t="inlineStr">
        <is>
          <t>VÄSTERBOTTENS LÄN</t>
        </is>
      </c>
      <c r="E8273" t="inlineStr">
        <is>
          <t>ROBERTSFORS</t>
        </is>
      </c>
      <c r="G8273" t="n">
        <v>2</v>
      </c>
      <c r="H8273" t="n">
        <v>0</v>
      </c>
      <c r="I8273" t="n">
        <v>0</v>
      </c>
      <c r="J8273" t="n">
        <v>0</v>
      </c>
      <c r="K8273" t="n">
        <v>0</v>
      </c>
      <c r="L8273" t="n">
        <v>0</v>
      </c>
      <c r="M8273" t="n">
        <v>0</v>
      </c>
      <c r="N8273" t="n">
        <v>0</v>
      </c>
      <c r="O8273" t="n">
        <v>0</v>
      </c>
      <c r="P8273" t="n">
        <v>0</v>
      </c>
      <c r="Q8273" t="n">
        <v>0</v>
      </c>
      <c r="R8273" s="2" t="inlineStr"/>
    </row>
    <row r="8274" ht="15" customHeight="1">
      <c r="A8274" t="inlineStr">
        <is>
          <t>A 38935-2024</t>
        </is>
      </c>
      <c r="B8274" s="1" t="n">
        <v>45548.3350462963</v>
      </c>
      <c r="C8274" s="1" t="n">
        <v>46075</v>
      </c>
      <c r="D8274" t="inlineStr">
        <is>
          <t>VÄSTERBOTTENS LÄN</t>
        </is>
      </c>
      <c r="E8274" t="inlineStr">
        <is>
          <t>SKELLEFTEÅ</t>
        </is>
      </c>
      <c r="G8274" t="n">
        <v>2.5</v>
      </c>
      <c r="H8274" t="n">
        <v>0</v>
      </c>
      <c r="I8274" t="n">
        <v>0</v>
      </c>
      <c r="J8274" t="n">
        <v>0</v>
      </c>
      <c r="K8274" t="n">
        <v>0</v>
      </c>
      <c r="L8274" t="n">
        <v>0</v>
      </c>
      <c r="M8274" t="n">
        <v>0</v>
      </c>
      <c r="N8274" t="n">
        <v>0</v>
      </c>
      <c r="O8274" t="n">
        <v>0</v>
      </c>
      <c r="P8274" t="n">
        <v>0</v>
      </c>
      <c r="Q8274" t="n">
        <v>0</v>
      </c>
      <c r="R8274" s="2" t="inlineStr"/>
    </row>
    <row r="8275" ht="15" customHeight="1">
      <c r="A8275" t="inlineStr">
        <is>
          <t>A 38948-2024</t>
        </is>
      </c>
      <c r="B8275" s="1" t="n">
        <v>45548.34556712963</v>
      </c>
      <c r="C8275" s="1" t="n">
        <v>46075</v>
      </c>
      <c r="D8275" t="inlineStr">
        <is>
          <t>VÄSTERBOTTENS LÄN</t>
        </is>
      </c>
      <c r="E8275" t="inlineStr">
        <is>
          <t>SORSELE</t>
        </is>
      </c>
      <c r="F8275" t="inlineStr">
        <is>
          <t>SCA</t>
        </is>
      </c>
      <c r="G8275" t="n">
        <v>2.5</v>
      </c>
      <c r="H8275" t="n">
        <v>0</v>
      </c>
      <c r="I8275" t="n">
        <v>0</v>
      </c>
      <c r="J8275" t="n">
        <v>0</v>
      </c>
      <c r="K8275" t="n">
        <v>0</v>
      </c>
      <c r="L8275" t="n">
        <v>0</v>
      </c>
      <c r="M8275" t="n">
        <v>0</v>
      </c>
      <c r="N8275" t="n">
        <v>0</v>
      </c>
      <c r="O8275" t="n">
        <v>0</v>
      </c>
      <c r="P8275" t="n">
        <v>0</v>
      </c>
      <c r="Q8275" t="n">
        <v>0</v>
      </c>
      <c r="R8275" s="2" t="inlineStr"/>
    </row>
    <row r="8276" ht="15" customHeight="1">
      <c r="A8276" t="inlineStr">
        <is>
          <t>A 37813-2023</t>
        </is>
      </c>
      <c r="B8276" s="1" t="n">
        <v>45159</v>
      </c>
      <c r="C8276" s="1" t="n">
        <v>46075</v>
      </c>
      <c r="D8276" t="inlineStr">
        <is>
          <t>VÄSTERBOTTENS LÄN</t>
        </is>
      </c>
      <c r="E8276" t="inlineStr">
        <is>
          <t>SORSELE</t>
        </is>
      </c>
      <c r="F8276" t="inlineStr">
        <is>
          <t>SCA</t>
        </is>
      </c>
      <c r="G8276" t="n">
        <v>2.4</v>
      </c>
      <c r="H8276" t="n">
        <v>0</v>
      </c>
      <c r="I8276" t="n">
        <v>0</v>
      </c>
      <c r="J8276" t="n">
        <v>0</v>
      </c>
      <c r="K8276" t="n">
        <v>0</v>
      </c>
      <c r="L8276" t="n">
        <v>0</v>
      </c>
      <c r="M8276" t="n">
        <v>0</v>
      </c>
      <c r="N8276" t="n">
        <v>0</v>
      </c>
      <c r="O8276" t="n">
        <v>0</v>
      </c>
      <c r="P8276" t="n">
        <v>0</v>
      </c>
      <c r="Q8276" t="n">
        <v>0</v>
      </c>
      <c r="R8276" s="2" t="inlineStr"/>
    </row>
    <row r="8277" ht="15" customHeight="1">
      <c r="A8277" t="inlineStr">
        <is>
          <t>A 60290-2025</t>
        </is>
      </c>
      <c r="B8277" s="1" t="n">
        <v>45994.65283564815</v>
      </c>
      <c r="C8277" s="1" t="n">
        <v>46075</v>
      </c>
      <c r="D8277" t="inlineStr">
        <is>
          <t>VÄSTERBOTTENS LÄN</t>
        </is>
      </c>
      <c r="E8277" t="inlineStr">
        <is>
          <t>VINDELN</t>
        </is>
      </c>
      <c r="F8277" t="inlineStr">
        <is>
          <t>Sveaskog</t>
        </is>
      </c>
      <c r="G8277" t="n">
        <v>3.7</v>
      </c>
      <c r="H8277" t="n">
        <v>0</v>
      </c>
      <c r="I8277" t="n">
        <v>0</v>
      </c>
      <c r="J8277" t="n">
        <v>0</v>
      </c>
      <c r="K8277" t="n">
        <v>0</v>
      </c>
      <c r="L8277" t="n">
        <v>0</v>
      </c>
      <c r="M8277" t="n">
        <v>0</v>
      </c>
      <c r="N8277" t="n">
        <v>0</v>
      </c>
      <c r="O8277" t="n">
        <v>0</v>
      </c>
      <c r="P8277" t="n">
        <v>0</v>
      </c>
      <c r="Q8277" t="n">
        <v>0</v>
      </c>
      <c r="R8277" s="2" t="inlineStr"/>
    </row>
    <row r="8278" ht="15" customHeight="1">
      <c r="A8278" t="inlineStr">
        <is>
          <t>A 14959-2022</t>
        </is>
      </c>
      <c r="B8278" s="1" t="n">
        <v>44657</v>
      </c>
      <c r="C8278" s="1" t="n">
        <v>46075</v>
      </c>
      <c r="D8278" t="inlineStr">
        <is>
          <t>VÄSTERBOTTENS LÄN</t>
        </is>
      </c>
      <c r="E8278" t="inlineStr">
        <is>
          <t>VILHELMINA</t>
        </is>
      </c>
      <c r="G8278" t="n">
        <v>71.8</v>
      </c>
      <c r="H8278" t="n">
        <v>0</v>
      </c>
      <c r="I8278" t="n">
        <v>0</v>
      </c>
      <c r="J8278" t="n">
        <v>0</v>
      </c>
      <c r="K8278" t="n">
        <v>0</v>
      </c>
      <c r="L8278" t="n">
        <v>0</v>
      </c>
      <c r="M8278" t="n">
        <v>0</v>
      </c>
      <c r="N8278" t="n">
        <v>0</v>
      </c>
      <c r="O8278" t="n">
        <v>0</v>
      </c>
      <c r="P8278" t="n">
        <v>0</v>
      </c>
      <c r="Q8278" t="n">
        <v>0</v>
      </c>
      <c r="R8278" s="2" t="inlineStr"/>
    </row>
    <row r="8279" ht="15" customHeight="1">
      <c r="A8279" t="inlineStr">
        <is>
          <t>A 33496-2022</t>
        </is>
      </c>
      <c r="B8279" s="1" t="n">
        <v>44788.92680555556</v>
      </c>
      <c r="C8279" s="1" t="n">
        <v>46075</v>
      </c>
      <c r="D8279" t="inlineStr">
        <is>
          <t>VÄSTERBOTTENS LÄN</t>
        </is>
      </c>
      <c r="E8279" t="inlineStr">
        <is>
          <t>NORDMALING</t>
        </is>
      </c>
      <c r="G8279" t="n">
        <v>6.5</v>
      </c>
      <c r="H8279" t="n">
        <v>0</v>
      </c>
      <c r="I8279" t="n">
        <v>0</v>
      </c>
      <c r="J8279" t="n">
        <v>0</v>
      </c>
      <c r="K8279" t="n">
        <v>0</v>
      </c>
      <c r="L8279" t="n">
        <v>0</v>
      </c>
      <c r="M8279" t="n">
        <v>0</v>
      </c>
      <c r="N8279" t="n">
        <v>0</v>
      </c>
      <c r="O8279" t="n">
        <v>0</v>
      </c>
      <c r="P8279" t="n">
        <v>0</v>
      </c>
      <c r="Q8279" t="n">
        <v>0</v>
      </c>
      <c r="R8279" s="2" t="inlineStr"/>
    </row>
    <row r="8280" ht="15" customHeight="1">
      <c r="A8280" t="inlineStr">
        <is>
          <t>A 33529-2022</t>
        </is>
      </c>
      <c r="B8280" s="1" t="n">
        <v>44789.33445601852</v>
      </c>
      <c r="C8280" s="1" t="n">
        <v>46075</v>
      </c>
      <c r="D8280" t="inlineStr">
        <is>
          <t>VÄSTERBOTTENS LÄN</t>
        </is>
      </c>
      <c r="E8280" t="inlineStr">
        <is>
          <t>SKELLEFTEÅ</t>
        </is>
      </c>
      <c r="G8280" t="n">
        <v>2</v>
      </c>
      <c r="H8280" t="n">
        <v>0</v>
      </c>
      <c r="I8280" t="n">
        <v>0</v>
      </c>
      <c r="J8280" t="n">
        <v>0</v>
      </c>
      <c r="K8280" t="n">
        <v>0</v>
      </c>
      <c r="L8280" t="n">
        <v>0</v>
      </c>
      <c r="M8280" t="n">
        <v>0</v>
      </c>
      <c r="N8280" t="n">
        <v>0</v>
      </c>
      <c r="O8280" t="n">
        <v>0</v>
      </c>
      <c r="P8280" t="n">
        <v>0</v>
      </c>
      <c r="Q8280" t="n">
        <v>0</v>
      </c>
      <c r="R8280" s="2" t="inlineStr"/>
    </row>
    <row r="8281" ht="15" customHeight="1">
      <c r="A8281" t="inlineStr">
        <is>
          <t>A 15805-2025</t>
        </is>
      </c>
      <c r="B8281" s="1" t="n">
        <v>45748</v>
      </c>
      <c r="C8281" s="1" t="n">
        <v>46075</v>
      </c>
      <c r="D8281" t="inlineStr">
        <is>
          <t>VÄSTERBOTTENS LÄN</t>
        </is>
      </c>
      <c r="E8281" t="inlineStr">
        <is>
          <t>VILHELMINA</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30485-2023</t>
        </is>
      </c>
      <c r="B8282" s="1" t="n">
        <v>45111.60275462963</v>
      </c>
      <c r="C8282" s="1" t="n">
        <v>46075</v>
      </c>
      <c r="D8282" t="inlineStr">
        <is>
          <t>VÄSTERBOTTENS LÄN</t>
        </is>
      </c>
      <c r="E8282" t="inlineStr">
        <is>
          <t>SKELLEFTEÅ</t>
        </is>
      </c>
      <c r="F8282" t="inlineStr">
        <is>
          <t>Sveaskog</t>
        </is>
      </c>
      <c r="G8282" t="n">
        <v>6.3</v>
      </c>
      <c r="H8282" t="n">
        <v>0</v>
      </c>
      <c r="I8282" t="n">
        <v>0</v>
      </c>
      <c r="J8282" t="n">
        <v>0</v>
      </c>
      <c r="K8282" t="n">
        <v>0</v>
      </c>
      <c r="L8282" t="n">
        <v>0</v>
      </c>
      <c r="M8282" t="n">
        <v>0</v>
      </c>
      <c r="N8282" t="n">
        <v>0</v>
      </c>
      <c r="O8282" t="n">
        <v>0</v>
      </c>
      <c r="P8282" t="n">
        <v>0</v>
      </c>
      <c r="Q8282" t="n">
        <v>0</v>
      </c>
      <c r="R8282" s="2" t="inlineStr"/>
    </row>
    <row r="8283" ht="15" customHeight="1">
      <c r="A8283" t="inlineStr">
        <is>
          <t>A 2294-2026</t>
        </is>
      </c>
      <c r="B8283" s="1" t="n">
        <v>46036.58723379629</v>
      </c>
      <c r="C8283" s="1" t="n">
        <v>46075</v>
      </c>
      <c r="D8283" t="inlineStr">
        <is>
          <t>VÄSTERBOTTENS LÄN</t>
        </is>
      </c>
      <c r="E8283" t="inlineStr">
        <is>
          <t>ÅSELE</t>
        </is>
      </c>
      <c r="F8283" t="inlineStr">
        <is>
          <t>Sveaskog</t>
        </is>
      </c>
      <c r="G8283" t="n">
        <v>7.4</v>
      </c>
      <c r="H8283" t="n">
        <v>0</v>
      </c>
      <c r="I8283" t="n">
        <v>0</v>
      </c>
      <c r="J8283" t="n">
        <v>0</v>
      </c>
      <c r="K8283" t="n">
        <v>0</v>
      </c>
      <c r="L8283" t="n">
        <v>0</v>
      </c>
      <c r="M8283" t="n">
        <v>0</v>
      </c>
      <c r="N8283" t="n">
        <v>0</v>
      </c>
      <c r="O8283" t="n">
        <v>0</v>
      </c>
      <c r="P8283" t="n">
        <v>0</v>
      </c>
      <c r="Q8283" t="n">
        <v>0</v>
      </c>
      <c r="R8283" s="2" t="inlineStr"/>
    </row>
    <row r="8284" ht="15" customHeight="1">
      <c r="A8284" t="inlineStr">
        <is>
          <t>A 21035-2022</t>
        </is>
      </c>
      <c r="B8284" s="1" t="n">
        <v>44704</v>
      </c>
      <c r="C8284" s="1" t="n">
        <v>46075</v>
      </c>
      <c r="D8284" t="inlineStr">
        <is>
          <t>VÄSTERBOTTENS LÄN</t>
        </is>
      </c>
      <c r="E8284" t="inlineStr">
        <is>
          <t>SKELLEFTEÅ</t>
        </is>
      </c>
      <c r="G8284" t="n">
        <v>26.9</v>
      </c>
      <c r="H8284" t="n">
        <v>0</v>
      </c>
      <c r="I8284" t="n">
        <v>0</v>
      </c>
      <c r="J8284" t="n">
        <v>0</v>
      </c>
      <c r="K8284" t="n">
        <v>0</v>
      </c>
      <c r="L8284" t="n">
        <v>0</v>
      </c>
      <c r="M8284" t="n">
        <v>0</v>
      </c>
      <c r="N8284" t="n">
        <v>0</v>
      </c>
      <c r="O8284" t="n">
        <v>0</v>
      </c>
      <c r="P8284" t="n">
        <v>0</v>
      </c>
      <c r="Q8284" t="n">
        <v>0</v>
      </c>
      <c r="R8284" s="2" t="inlineStr"/>
    </row>
    <row r="8285" ht="15" customHeight="1">
      <c r="A8285" t="inlineStr">
        <is>
          <t>A 10079-2025</t>
        </is>
      </c>
      <c r="B8285" s="1" t="n">
        <v>45719</v>
      </c>
      <c r="C8285" s="1" t="n">
        <v>46075</v>
      </c>
      <c r="D8285" t="inlineStr">
        <is>
          <t>VÄSTERBOTTENS LÄN</t>
        </is>
      </c>
      <c r="E8285" t="inlineStr">
        <is>
          <t>SKELLEFTEÅ</t>
        </is>
      </c>
      <c r="G8285" t="n">
        <v>3.1</v>
      </c>
      <c r="H8285" t="n">
        <v>0</v>
      </c>
      <c r="I8285" t="n">
        <v>0</v>
      </c>
      <c r="J8285" t="n">
        <v>0</v>
      </c>
      <c r="K8285" t="n">
        <v>0</v>
      </c>
      <c r="L8285" t="n">
        <v>0</v>
      </c>
      <c r="M8285" t="n">
        <v>0</v>
      </c>
      <c r="N8285" t="n">
        <v>0</v>
      </c>
      <c r="O8285" t="n">
        <v>0</v>
      </c>
      <c r="P8285" t="n">
        <v>0</v>
      </c>
      <c r="Q8285" t="n">
        <v>0</v>
      </c>
      <c r="R8285" s="2" t="inlineStr"/>
    </row>
    <row r="8286" ht="15" customHeight="1">
      <c r="A8286" t="inlineStr">
        <is>
          <t>A 2232-2026</t>
        </is>
      </c>
      <c r="B8286" s="1" t="n">
        <v>46036.53188657408</v>
      </c>
      <c r="C8286" s="1" t="n">
        <v>46075</v>
      </c>
      <c r="D8286" t="inlineStr">
        <is>
          <t>VÄSTERBOTTENS LÄN</t>
        </is>
      </c>
      <c r="E8286" t="inlineStr">
        <is>
          <t>VILHELMINA</t>
        </is>
      </c>
      <c r="F8286" t="inlineStr">
        <is>
          <t>SCA</t>
        </is>
      </c>
      <c r="G8286" t="n">
        <v>2.9</v>
      </c>
      <c r="H8286" t="n">
        <v>0</v>
      </c>
      <c r="I8286" t="n">
        <v>0</v>
      </c>
      <c r="J8286" t="n">
        <v>0</v>
      </c>
      <c r="K8286" t="n">
        <v>0</v>
      </c>
      <c r="L8286" t="n">
        <v>0</v>
      </c>
      <c r="M8286" t="n">
        <v>0</v>
      </c>
      <c r="N8286" t="n">
        <v>0</v>
      </c>
      <c r="O8286" t="n">
        <v>0</v>
      </c>
      <c r="P8286" t="n">
        <v>0</v>
      </c>
      <c r="Q8286" t="n">
        <v>0</v>
      </c>
      <c r="R8286" s="2" t="inlineStr"/>
    </row>
    <row r="8287" ht="15" customHeight="1">
      <c r="A8287" t="inlineStr">
        <is>
          <t>A 2247-2026</t>
        </is>
      </c>
      <c r="B8287" s="1" t="n">
        <v>46036.54668981482</v>
      </c>
      <c r="C8287" s="1" t="n">
        <v>46075</v>
      </c>
      <c r="D8287" t="inlineStr">
        <is>
          <t>VÄSTERBOTTENS LÄN</t>
        </is>
      </c>
      <c r="E8287" t="inlineStr">
        <is>
          <t>SKELLEFTEÅ</t>
        </is>
      </c>
      <c r="G8287" t="n">
        <v>3.3</v>
      </c>
      <c r="H8287" t="n">
        <v>0</v>
      </c>
      <c r="I8287" t="n">
        <v>0</v>
      </c>
      <c r="J8287" t="n">
        <v>0</v>
      </c>
      <c r="K8287" t="n">
        <v>0</v>
      </c>
      <c r="L8287" t="n">
        <v>0</v>
      </c>
      <c r="M8287" t="n">
        <v>0</v>
      </c>
      <c r="N8287" t="n">
        <v>0</v>
      </c>
      <c r="O8287" t="n">
        <v>0</v>
      </c>
      <c r="P8287" t="n">
        <v>0</v>
      </c>
      <c r="Q8287" t="n">
        <v>0</v>
      </c>
      <c r="R8287" s="2" t="inlineStr"/>
    </row>
    <row r="8288" ht="15" customHeight="1">
      <c r="A8288" t="inlineStr">
        <is>
          <t>A 38080-2023</t>
        </is>
      </c>
      <c r="B8288" s="1" t="n">
        <v>45160</v>
      </c>
      <c r="C8288" s="1" t="n">
        <v>46075</v>
      </c>
      <c r="D8288" t="inlineStr">
        <is>
          <t>VÄSTERBOTTENS LÄN</t>
        </is>
      </c>
      <c r="E8288" t="inlineStr">
        <is>
          <t>NORSJÖ</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49428-2022</t>
        </is>
      </c>
      <c r="B8289" s="1" t="n">
        <v>44859</v>
      </c>
      <c r="C8289" s="1" t="n">
        <v>46075</v>
      </c>
      <c r="D8289" t="inlineStr">
        <is>
          <t>VÄSTERBOTTENS LÄN</t>
        </is>
      </c>
      <c r="E8289" t="inlineStr">
        <is>
          <t>ÅSELE</t>
        </is>
      </c>
      <c r="G8289" t="n">
        <v>4.6</v>
      </c>
      <c r="H8289" t="n">
        <v>0</v>
      </c>
      <c r="I8289" t="n">
        <v>0</v>
      </c>
      <c r="J8289" t="n">
        <v>0</v>
      </c>
      <c r="K8289" t="n">
        <v>0</v>
      </c>
      <c r="L8289" t="n">
        <v>0</v>
      </c>
      <c r="M8289" t="n">
        <v>0</v>
      </c>
      <c r="N8289" t="n">
        <v>0</v>
      </c>
      <c r="O8289" t="n">
        <v>0</v>
      </c>
      <c r="P8289" t="n">
        <v>0</v>
      </c>
      <c r="Q8289" t="n">
        <v>0</v>
      </c>
      <c r="R8289" s="2" t="inlineStr"/>
    </row>
    <row r="8290" ht="15" customHeight="1">
      <c r="A8290" t="inlineStr">
        <is>
          <t>A 48635-2024</t>
        </is>
      </c>
      <c r="B8290" s="1" t="n">
        <v>45593.46998842592</v>
      </c>
      <c r="C8290" s="1" t="n">
        <v>46075</v>
      </c>
      <c r="D8290" t="inlineStr">
        <is>
          <t>VÄSTERBOTTENS LÄN</t>
        </is>
      </c>
      <c r="E8290" t="inlineStr">
        <is>
          <t>UMEÅ</t>
        </is>
      </c>
      <c r="F8290" t="inlineStr">
        <is>
          <t>Holmen skog AB</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49514-2022</t>
        </is>
      </c>
      <c r="B8291" s="1" t="n">
        <v>44861</v>
      </c>
      <c r="C8291" s="1" t="n">
        <v>46075</v>
      </c>
      <c r="D8291" t="inlineStr">
        <is>
          <t>VÄSTERBOTTENS LÄN</t>
        </is>
      </c>
      <c r="E8291" t="inlineStr">
        <is>
          <t>LYCKSELE</t>
        </is>
      </c>
      <c r="F8291" t="inlineStr">
        <is>
          <t>SCA</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2394-2026</t>
        </is>
      </c>
      <c r="B8292" s="1" t="n">
        <v>46036.67759259259</v>
      </c>
      <c r="C8292" s="1" t="n">
        <v>46075</v>
      </c>
      <c r="D8292" t="inlineStr">
        <is>
          <t>VÄSTERBOTTENS LÄN</t>
        </is>
      </c>
      <c r="E8292" t="inlineStr">
        <is>
          <t>DOROTEA</t>
        </is>
      </c>
      <c r="F8292" t="inlineStr">
        <is>
          <t>SCA</t>
        </is>
      </c>
      <c r="G8292" t="n">
        <v>9.300000000000001</v>
      </c>
      <c r="H8292" t="n">
        <v>0</v>
      </c>
      <c r="I8292" t="n">
        <v>0</v>
      </c>
      <c r="J8292" t="n">
        <v>0</v>
      </c>
      <c r="K8292" t="n">
        <v>0</v>
      </c>
      <c r="L8292" t="n">
        <v>0</v>
      </c>
      <c r="M8292" t="n">
        <v>0</v>
      </c>
      <c r="N8292" t="n">
        <v>0</v>
      </c>
      <c r="O8292" t="n">
        <v>0</v>
      </c>
      <c r="P8292" t="n">
        <v>0</v>
      </c>
      <c r="Q8292" t="n">
        <v>0</v>
      </c>
      <c r="R8292" s="2" t="inlineStr"/>
    </row>
    <row r="8293" ht="15" customHeight="1">
      <c r="A8293" t="inlineStr">
        <is>
          <t>A 2402-2026</t>
        </is>
      </c>
      <c r="B8293" s="1" t="n">
        <v>46034</v>
      </c>
      <c r="C8293" s="1" t="n">
        <v>46075</v>
      </c>
      <c r="D8293" t="inlineStr">
        <is>
          <t>VÄSTERBOTTENS LÄN</t>
        </is>
      </c>
      <c r="E8293" t="inlineStr">
        <is>
          <t>BJURHOLM</t>
        </is>
      </c>
      <c r="G8293" t="n">
        <v>3.8</v>
      </c>
      <c r="H8293" t="n">
        <v>0</v>
      </c>
      <c r="I8293" t="n">
        <v>0</v>
      </c>
      <c r="J8293" t="n">
        <v>0</v>
      </c>
      <c r="K8293" t="n">
        <v>0</v>
      </c>
      <c r="L8293" t="n">
        <v>0</v>
      </c>
      <c r="M8293" t="n">
        <v>0</v>
      </c>
      <c r="N8293" t="n">
        <v>0</v>
      </c>
      <c r="O8293" t="n">
        <v>0</v>
      </c>
      <c r="P8293" t="n">
        <v>0</v>
      </c>
      <c r="Q8293" t="n">
        <v>0</v>
      </c>
      <c r="R8293" s="2" t="inlineStr"/>
    </row>
    <row r="8294" ht="15" customHeight="1">
      <c r="A8294" t="inlineStr">
        <is>
          <t>A 2357-2026</t>
        </is>
      </c>
      <c r="B8294" s="1" t="n">
        <v>46036.63644675926</v>
      </c>
      <c r="C8294" s="1" t="n">
        <v>46075</v>
      </c>
      <c r="D8294" t="inlineStr">
        <is>
          <t>VÄSTERBOTTENS LÄN</t>
        </is>
      </c>
      <c r="E8294" t="inlineStr">
        <is>
          <t>NORSJÖ</t>
        </is>
      </c>
      <c r="G8294" t="n">
        <v>13.4</v>
      </c>
      <c r="H8294" t="n">
        <v>0</v>
      </c>
      <c r="I8294" t="n">
        <v>0</v>
      </c>
      <c r="J8294" t="n">
        <v>0</v>
      </c>
      <c r="K8294" t="n">
        <v>0</v>
      </c>
      <c r="L8294" t="n">
        <v>0</v>
      </c>
      <c r="M8294" t="n">
        <v>0</v>
      </c>
      <c r="N8294" t="n">
        <v>0</v>
      </c>
      <c r="O8294" t="n">
        <v>0</v>
      </c>
      <c r="P8294" t="n">
        <v>0</v>
      </c>
      <c r="Q8294" t="n">
        <v>0</v>
      </c>
      <c r="R8294" s="2" t="inlineStr"/>
    </row>
    <row r="8295" ht="15" customHeight="1">
      <c r="A8295" t="inlineStr">
        <is>
          <t>A 23718-2024</t>
        </is>
      </c>
      <c r="B8295" s="1" t="n">
        <v>45454.81177083333</v>
      </c>
      <c r="C8295" s="1" t="n">
        <v>46075</v>
      </c>
      <c r="D8295" t="inlineStr">
        <is>
          <t>VÄSTERBOTTENS LÄN</t>
        </is>
      </c>
      <c r="E8295" t="inlineStr">
        <is>
          <t>UMEÅ</t>
        </is>
      </c>
      <c r="F8295" t="inlineStr">
        <is>
          <t>Holmen skog AB</t>
        </is>
      </c>
      <c r="G8295" t="n">
        <v>3.3</v>
      </c>
      <c r="H8295" t="n">
        <v>0</v>
      </c>
      <c r="I8295" t="n">
        <v>0</v>
      </c>
      <c r="J8295" t="n">
        <v>0</v>
      </c>
      <c r="K8295" t="n">
        <v>0</v>
      </c>
      <c r="L8295" t="n">
        <v>0</v>
      </c>
      <c r="M8295" t="n">
        <v>0</v>
      </c>
      <c r="N8295" t="n">
        <v>0</v>
      </c>
      <c r="O8295" t="n">
        <v>0</v>
      </c>
      <c r="P8295" t="n">
        <v>0</v>
      </c>
      <c r="Q8295" t="n">
        <v>0</v>
      </c>
      <c r="R8295" s="2" t="inlineStr"/>
    </row>
    <row r="8296" ht="15" customHeight="1">
      <c r="A8296" t="inlineStr">
        <is>
          <t>A 2113-2026</t>
        </is>
      </c>
      <c r="B8296" s="1" t="n">
        <v>46036.37971064815</v>
      </c>
      <c r="C8296" s="1" t="n">
        <v>46075</v>
      </c>
      <c r="D8296" t="inlineStr">
        <is>
          <t>VÄSTERBOTTENS LÄN</t>
        </is>
      </c>
      <c r="E8296" t="inlineStr">
        <is>
          <t>SKELLEFTEÅ</t>
        </is>
      </c>
      <c r="G8296" t="n">
        <v>4.7</v>
      </c>
      <c r="H8296" t="n">
        <v>0</v>
      </c>
      <c r="I8296" t="n">
        <v>0</v>
      </c>
      <c r="J8296" t="n">
        <v>0</v>
      </c>
      <c r="K8296" t="n">
        <v>0</v>
      </c>
      <c r="L8296" t="n">
        <v>0</v>
      </c>
      <c r="M8296" t="n">
        <v>0</v>
      </c>
      <c r="N8296" t="n">
        <v>0</v>
      </c>
      <c r="O8296" t="n">
        <v>0</v>
      </c>
      <c r="P8296" t="n">
        <v>0</v>
      </c>
      <c r="Q8296" t="n">
        <v>0</v>
      </c>
      <c r="R8296" s="2" t="inlineStr"/>
    </row>
    <row r="8297" ht="15" customHeight="1">
      <c r="A8297" t="inlineStr">
        <is>
          <t>A 2642-2023</t>
        </is>
      </c>
      <c r="B8297" s="1" t="n">
        <v>44944.41868055556</v>
      </c>
      <c r="C8297" s="1" t="n">
        <v>46075</v>
      </c>
      <c r="D8297" t="inlineStr">
        <is>
          <t>VÄSTERBOTTENS LÄN</t>
        </is>
      </c>
      <c r="E8297" t="inlineStr">
        <is>
          <t>NORSJÖ</t>
        </is>
      </c>
      <c r="G8297" t="n">
        <v>6.2</v>
      </c>
      <c r="H8297" t="n">
        <v>0</v>
      </c>
      <c r="I8297" t="n">
        <v>0</v>
      </c>
      <c r="J8297" t="n">
        <v>0</v>
      </c>
      <c r="K8297" t="n">
        <v>0</v>
      </c>
      <c r="L8297" t="n">
        <v>0</v>
      </c>
      <c r="M8297" t="n">
        <v>0</v>
      </c>
      <c r="N8297" t="n">
        <v>0</v>
      </c>
      <c r="O8297" t="n">
        <v>0</v>
      </c>
      <c r="P8297" t="n">
        <v>0</v>
      </c>
      <c r="Q8297" t="n">
        <v>0</v>
      </c>
      <c r="R8297" s="2" t="inlineStr"/>
    </row>
    <row r="8298" ht="15" customHeight="1">
      <c r="A8298" t="inlineStr">
        <is>
          <t>A 2680-2023</t>
        </is>
      </c>
      <c r="B8298" s="1" t="n">
        <v>44944</v>
      </c>
      <c r="C8298" s="1" t="n">
        <v>46075</v>
      </c>
      <c r="D8298" t="inlineStr">
        <is>
          <t>VÄSTERBOTTENS LÄN</t>
        </is>
      </c>
      <c r="E8298" t="inlineStr">
        <is>
          <t>VINDELN</t>
        </is>
      </c>
      <c r="F8298" t="inlineStr">
        <is>
          <t>Sveaskog</t>
        </is>
      </c>
      <c r="G8298" t="n">
        <v>0.4</v>
      </c>
      <c r="H8298" t="n">
        <v>0</v>
      </c>
      <c r="I8298" t="n">
        <v>0</v>
      </c>
      <c r="J8298" t="n">
        <v>0</v>
      </c>
      <c r="K8298" t="n">
        <v>0</v>
      </c>
      <c r="L8298" t="n">
        <v>0</v>
      </c>
      <c r="M8298" t="n">
        <v>0</v>
      </c>
      <c r="N8298" t="n">
        <v>0</v>
      </c>
      <c r="O8298" t="n">
        <v>0</v>
      </c>
      <c r="P8298" t="n">
        <v>0</v>
      </c>
      <c r="Q8298" t="n">
        <v>0</v>
      </c>
      <c r="R8298" s="2" t="inlineStr"/>
    </row>
    <row r="8299" ht="15" customHeight="1">
      <c r="A8299" t="inlineStr">
        <is>
          <t>A 60420-2025</t>
        </is>
      </c>
      <c r="B8299" s="1" t="n">
        <v>45995.46668981481</v>
      </c>
      <c r="C8299" s="1" t="n">
        <v>46075</v>
      </c>
      <c r="D8299" t="inlineStr">
        <is>
          <t>VÄSTERBOTTENS LÄN</t>
        </is>
      </c>
      <c r="E8299" t="inlineStr">
        <is>
          <t>SKELLEFTEÅ</t>
        </is>
      </c>
      <c r="G8299" t="n">
        <v>7.8</v>
      </c>
      <c r="H8299" t="n">
        <v>0</v>
      </c>
      <c r="I8299" t="n">
        <v>0</v>
      </c>
      <c r="J8299" t="n">
        <v>0</v>
      </c>
      <c r="K8299" t="n">
        <v>0</v>
      </c>
      <c r="L8299" t="n">
        <v>0</v>
      </c>
      <c r="M8299" t="n">
        <v>0</v>
      </c>
      <c r="N8299" t="n">
        <v>0</v>
      </c>
      <c r="O8299" t="n">
        <v>0</v>
      </c>
      <c r="P8299" t="n">
        <v>0</v>
      </c>
      <c r="Q8299" t="n">
        <v>0</v>
      </c>
      <c r="R8299" s="2" t="inlineStr"/>
    </row>
    <row r="8300" ht="15" customHeight="1">
      <c r="A8300" t="inlineStr">
        <is>
          <t>A 59077-2025</t>
        </is>
      </c>
      <c r="B8300" s="1" t="n">
        <v>45988</v>
      </c>
      <c r="C8300" s="1" t="n">
        <v>46075</v>
      </c>
      <c r="D8300" t="inlineStr">
        <is>
          <t>VÄSTERBOTTENS LÄN</t>
        </is>
      </c>
      <c r="E8300" t="inlineStr">
        <is>
          <t>SKELLEFTEÅ</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2101-2026</t>
        </is>
      </c>
      <c r="B8301" s="1" t="n">
        <v>46036.37449074074</v>
      </c>
      <c r="C8301" s="1" t="n">
        <v>46075</v>
      </c>
      <c r="D8301" t="inlineStr">
        <is>
          <t>VÄSTERBOTTENS LÄN</t>
        </is>
      </c>
      <c r="E8301" t="inlineStr">
        <is>
          <t>ÅSELE</t>
        </is>
      </c>
      <c r="F8301" t="inlineStr">
        <is>
          <t>Sveaskog</t>
        </is>
      </c>
      <c r="G8301" t="n">
        <v>6.6</v>
      </c>
      <c r="H8301" t="n">
        <v>0</v>
      </c>
      <c r="I8301" t="n">
        <v>0</v>
      </c>
      <c r="J8301" t="n">
        <v>0</v>
      </c>
      <c r="K8301" t="n">
        <v>0</v>
      </c>
      <c r="L8301" t="n">
        <v>0</v>
      </c>
      <c r="M8301" t="n">
        <v>0</v>
      </c>
      <c r="N8301" t="n">
        <v>0</v>
      </c>
      <c r="O8301" t="n">
        <v>0</v>
      </c>
      <c r="P8301" t="n">
        <v>0</v>
      </c>
      <c r="Q8301" t="n">
        <v>0</v>
      </c>
      <c r="R8301" s="2" t="inlineStr"/>
    </row>
    <row r="8302" ht="15" customHeight="1">
      <c r="A8302" t="inlineStr">
        <is>
          <t>A 2254-2026</t>
        </is>
      </c>
      <c r="B8302" s="1" t="n">
        <v>46036.55858796297</v>
      </c>
      <c r="C8302" s="1" t="n">
        <v>46075</v>
      </c>
      <c r="D8302" t="inlineStr">
        <is>
          <t>VÄSTERBOTTENS LÄN</t>
        </is>
      </c>
      <c r="E8302" t="inlineStr">
        <is>
          <t>SKELLEFTEÅ</t>
        </is>
      </c>
      <c r="G8302" t="n">
        <v>3.4</v>
      </c>
      <c r="H8302" t="n">
        <v>0</v>
      </c>
      <c r="I8302" t="n">
        <v>0</v>
      </c>
      <c r="J8302" t="n">
        <v>0</v>
      </c>
      <c r="K8302" t="n">
        <v>0</v>
      </c>
      <c r="L8302" t="n">
        <v>0</v>
      </c>
      <c r="M8302" t="n">
        <v>0</v>
      </c>
      <c r="N8302" t="n">
        <v>0</v>
      </c>
      <c r="O8302" t="n">
        <v>0</v>
      </c>
      <c r="P8302" t="n">
        <v>0</v>
      </c>
      <c r="Q8302" t="n">
        <v>0</v>
      </c>
      <c r="R8302" s="2" t="inlineStr"/>
    </row>
    <row r="8303" ht="15" customHeight="1">
      <c r="A8303" t="inlineStr">
        <is>
          <t>A 2496-2026</t>
        </is>
      </c>
      <c r="B8303" s="1" t="n">
        <v>46037.40002314815</v>
      </c>
      <c r="C8303" s="1" t="n">
        <v>46075</v>
      </c>
      <c r="D8303" t="inlineStr">
        <is>
          <t>VÄSTERBOTTENS LÄN</t>
        </is>
      </c>
      <c r="E8303" t="inlineStr">
        <is>
          <t>VÄNNÄS</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48722-2022</t>
        </is>
      </c>
      <c r="B8304" s="1" t="n">
        <v>44855</v>
      </c>
      <c r="C8304" s="1" t="n">
        <v>46075</v>
      </c>
      <c r="D8304" t="inlineStr">
        <is>
          <t>VÄSTERBOTTENS LÄN</t>
        </is>
      </c>
      <c r="E8304" t="inlineStr">
        <is>
          <t>SKELLEFTEÅ</t>
        </is>
      </c>
      <c r="G8304" t="n">
        <v>1.5</v>
      </c>
      <c r="H8304" t="n">
        <v>0</v>
      </c>
      <c r="I8304" t="n">
        <v>0</v>
      </c>
      <c r="J8304" t="n">
        <v>0</v>
      </c>
      <c r="K8304" t="n">
        <v>0</v>
      </c>
      <c r="L8304" t="n">
        <v>0</v>
      </c>
      <c r="M8304" t="n">
        <v>0</v>
      </c>
      <c r="N8304" t="n">
        <v>0</v>
      </c>
      <c r="O8304" t="n">
        <v>0</v>
      </c>
      <c r="P8304" t="n">
        <v>0</v>
      </c>
      <c r="Q8304" t="n">
        <v>0</v>
      </c>
      <c r="R8304" s="2" t="inlineStr"/>
    </row>
    <row r="8305" ht="15" customHeight="1">
      <c r="A8305" t="inlineStr">
        <is>
          <t>A 53646-2022</t>
        </is>
      </c>
      <c r="B8305" s="1" t="n">
        <v>44879</v>
      </c>
      <c r="C8305" s="1" t="n">
        <v>46075</v>
      </c>
      <c r="D8305" t="inlineStr">
        <is>
          <t>VÄSTERBOTTENS LÄN</t>
        </is>
      </c>
      <c r="E8305" t="inlineStr">
        <is>
          <t>SKELLEFTEÅ</t>
        </is>
      </c>
      <c r="G8305" t="n">
        <v>10.6</v>
      </c>
      <c r="H8305" t="n">
        <v>0</v>
      </c>
      <c r="I8305" t="n">
        <v>0</v>
      </c>
      <c r="J8305" t="n">
        <v>0</v>
      </c>
      <c r="K8305" t="n">
        <v>0</v>
      </c>
      <c r="L8305" t="n">
        <v>0</v>
      </c>
      <c r="M8305" t="n">
        <v>0</v>
      </c>
      <c r="N8305" t="n">
        <v>0</v>
      </c>
      <c r="O8305" t="n">
        <v>0</v>
      </c>
      <c r="P8305" t="n">
        <v>0</v>
      </c>
      <c r="Q8305" t="n">
        <v>0</v>
      </c>
      <c r="R8305" s="2" t="inlineStr"/>
    </row>
    <row r="8306" ht="15" customHeight="1">
      <c r="A8306" t="inlineStr">
        <is>
          <t>A 20769-2024</t>
        </is>
      </c>
      <c r="B8306" s="1" t="n">
        <v>45436.94604166667</v>
      </c>
      <c r="C8306" s="1" t="n">
        <v>46075</v>
      </c>
      <c r="D8306" t="inlineStr">
        <is>
          <t>VÄSTERBOTTENS LÄN</t>
        </is>
      </c>
      <c r="E8306" t="inlineStr">
        <is>
          <t>VILHELMINA</t>
        </is>
      </c>
      <c r="F8306" t="inlineStr">
        <is>
          <t>SCA</t>
        </is>
      </c>
      <c r="G8306" t="n">
        <v>7</v>
      </c>
      <c r="H8306" t="n">
        <v>0</v>
      </c>
      <c r="I8306" t="n">
        <v>0</v>
      </c>
      <c r="J8306" t="n">
        <v>0</v>
      </c>
      <c r="K8306" t="n">
        <v>0</v>
      </c>
      <c r="L8306" t="n">
        <v>0</v>
      </c>
      <c r="M8306" t="n">
        <v>0</v>
      </c>
      <c r="N8306" t="n">
        <v>0</v>
      </c>
      <c r="O8306" t="n">
        <v>0</v>
      </c>
      <c r="P8306" t="n">
        <v>0</v>
      </c>
      <c r="Q8306" t="n">
        <v>0</v>
      </c>
      <c r="R8306" s="2" t="inlineStr"/>
    </row>
    <row r="8307" ht="15" customHeight="1">
      <c r="A8307" t="inlineStr">
        <is>
          <t>A 2726-2026</t>
        </is>
      </c>
      <c r="B8307" s="1" t="n">
        <v>46037.81732638889</v>
      </c>
      <c r="C8307" s="1" t="n">
        <v>46075</v>
      </c>
      <c r="D8307" t="inlineStr">
        <is>
          <t>VÄSTERBOTTENS LÄN</t>
        </is>
      </c>
      <c r="E8307" t="inlineStr">
        <is>
          <t>NORDMALING</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2727-2026</t>
        </is>
      </c>
      <c r="B8308" s="1" t="n">
        <v>46037.8174537037</v>
      </c>
      <c r="C8308" s="1" t="n">
        <v>46075</v>
      </c>
      <c r="D8308" t="inlineStr">
        <is>
          <t>VÄSTERBOTTENS LÄN</t>
        </is>
      </c>
      <c r="E8308" t="inlineStr">
        <is>
          <t>NORDMALING</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2086-2026</t>
        </is>
      </c>
      <c r="B8309" s="1" t="n">
        <v>46034</v>
      </c>
      <c r="C8309" s="1" t="n">
        <v>46075</v>
      </c>
      <c r="D8309" t="inlineStr">
        <is>
          <t>VÄSTERBOTTENS LÄN</t>
        </is>
      </c>
      <c r="E8309" t="inlineStr">
        <is>
          <t>VILHELMINA</t>
        </is>
      </c>
      <c r="G8309" t="n">
        <v>1.9</v>
      </c>
      <c r="H8309" t="n">
        <v>0</v>
      </c>
      <c r="I8309" t="n">
        <v>0</v>
      </c>
      <c r="J8309" t="n">
        <v>0</v>
      </c>
      <c r="K8309" t="n">
        <v>0</v>
      </c>
      <c r="L8309" t="n">
        <v>0</v>
      </c>
      <c r="M8309" t="n">
        <v>0</v>
      </c>
      <c r="N8309" t="n">
        <v>0</v>
      </c>
      <c r="O8309" t="n">
        <v>0</v>
      </c>
      <c r="P8309" t="n">
        <v>0</v>
      </c>
      <c r="Q8309" t="n">
        <v>0</v>
      </c>
      <c r="R8309" s="2" t="inlineStr"/>
    </row>
    <row r="8310" ht="15" customHeight="1">
      <c r="A8310" t="inlineStr">
        <is>
          <t>A 2100-2026</t>
        </is>
      </c>
      <c r="B8310" s="1" t="n">
        <v>46036.37225694444</v>
      </c>
      <c r="C8310" s="1" t="n">
        <v>46075</v>
      </c>
      <c r="D8310" t="inlineStr">
        <is>
          <t>VÄSTERBOTTENS LÄN</t>
        </is>
      </c>
      <c r="E8310" t="inlineStr">
        <is>
          <t>ÅSELE</t>
        </is>
      </c>
      <c r="F8310" t="inlineStr">
        <is>
          <t>Sveaskog</t>
        </is>
      </c>
      <c r="G8310" t="n">
        <v>12.3</v>
      </c>
      <c r="H8310" t="n">
        <v>0</v>
      </c>
      <c r="I8310" t="n">
        <v>0</v>
      </c>
      <c r="J8310" t="n">
        <v>0</v>
      </c>
      <c r="K8310" t="n">
        <v>0</v>
      </c>
      <c r="L8310" t="n">
        <v>0</v>
      </c>
      <c r="M8310" t="n">
        <v>0</v>
      </c>
      <c r="N8310" t="n">
        <v>0</v>
      </c>
      <c r="O8310" t="n">
        <v>0</v>
      </c>
      <c r="P8310" t="n">
        <v>0</v>
      </c>
      <c r="Q8310" t="n">
        <v>0</v>
      </c>
      <c r="R8310" s="2" t="inlineStr"/>
    </row>
    <row r="8311" ht="15" customHeight="1">
      <c r="A8311" t="inlineStr">
        <is>
          <t>A 60242-2025</t>
        </is>
      </c>
      <c r="B8311" s="1" t="n">
        <v>45994.58628472222</v>
      </c>
      <c r="C8311" s="1" t="n">
        <v>46075</v>
      </c>
      <c r="D8311" t="inlineStr">
        <is>
          <t>VÄSTERBOTTENS LÄN</t>
        </is>
      </c>
      <c r="E8311" t="inlineStr">
        <is>
          <t>SKELLEFTEÅ</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53472-2024</t>
        </is>
      </c>
      <c r="B8312" s="1" t="n">
        <v>45614.55703703704</v>
      </c>
      <c r="C8312" s="1" t="n">
        <v>46075</v>
      </c>
      <c r="D8312" t="inlineStr">
        <is>
          <t>VÄSTERBOTTENS LÄN</t>
        </is>
      </c>
      <c r="E8312" t="inlineStr">
        <is>
          <t>NORSJÖ</t>
        </is>
      </c>
      <c r="F8312" t="inlineStr">
        <is>
          <t>Holmen skog AB</t>
        </is>
      </c>
      <c r="G8312" t="n">
        <v>2.1</v>
      </c>
      <c r="H8312" t="n">
        <v>0</v>
      </c>
      <c r="I8312" t="n">
        <v>0</v>
      </c>
      <c r="J8312" t="n">
        <v>0</v>
      </c>
      <c r="K8312" t="n">
        <v>0</v>
      </c>
      <c r="L8312" t="n">
        <v>0</v>
      </c>
      <c r="M8312" t="n">
        <v>0</v>
      </c>
      <c r="N8312" t="n">
        <v>0</v>
      </c>
      <c r="O8312" t="n">
        <v>0</v>
      </c>
      <c r="P8312" t="n">
        <v>0</v>
      </c>
      <c r="Q8312" t="n">
        <v>0</v>
      </c>
      <c r="R8312" s="2" t="inlineStr"/>
    </row>
    <row r="8313" ht="15" customHeight="1">
      <c r="A8313" t="inlineStr">
        <is>
          <t>A 2594-2026</t>
        </is>
      </c>
      <c r="B8313" s="1" t="n">
        <v>46037.55253472222</v>
      </c>
      <c r="C8313" s="1" t="n">
        <v>46075</v>
      </c>
      <c r="D8313" t="inlineStr">
        <is>
          <t>VÄSTERBOTTENS LÄN</t>
        </is>
      </c>
      <c r="E8313" t="inlineStr">
        <is>
          <t>SKELLEFTEÅ</t>
        </is>
      </c>
      <c r="G8313" t="n">
        <v>6.1</v>
      </c>
      <c r="H8313" t="n">
        <v>0</v>
      </c>
      <c r="I8313" t="n">
        <v>0</v>
      </c>
      <c r="J8313" t="n">
        <v>0</v>
      </c>
      <c r="K8313" t="n">
        <v>0</v>
      </c>
      <c r="L8313" t="n">
        <v>0</v>
      </c>
      <c r="M8313" t="n">
        <v>0</v>
      </c>
      <c r="N8313" t="n">
        <v>0</v>
      </c>
      <c r="O8313" t="n">
        <v>0</v>
      </c>
      <c r="P8313" t="n">
        <v>0</v>
      </c>
      <c r="Q8313" t="n">
        <v>0</v>
      </c>
      <c r="R8313" s="2" t="inlineStr"/>
    </row>
    <row r="8314" ht="15" customHeight="1">
      <c r="A8314" t="inlineStr">
        <is>
          <t>A 4008-2024</t>
        </is>
      </c>
      <c r="B8314" s="1" t="n">
        <v>45323</v>
      </c>
      <c r="C8314" s="1" t="n">
        <v>46075</v>
      </c>
      <c r="D8314" t="inlineStr">
        <is>
          <t>VÄSTERBOTTENS LÄN</t>
        </is>
      </c>
      <c r="E8314" t="inlineStr">
        <is>
          <t>SKELLEFTEÅ</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63817-2023</t>
        </is>
      </c>
      <c r="B8315" s="1" t="n">
        <v>45275</v>
      </c>
      <c r="C8315" s="1" t="n">
        <v>46075</v>
      </c>
      <c r="D8315" t="inlineStr">
        <is>
          <t>VÄSTERBOTTENS LÄN</t>
        </is>
      </c>
      <c r="E8315" t="inlineStr">
        <is>
          <t>VÄNNÄS</t>
        </is>
      </c>
      <c r="G8315" t="n">
        <v>6.7</v>
      </c>
      <c r="H8315" t="n">
        <v>0</v>
      </c>
      <c r="I8315" t="n">
        <v>0</v>
      </c>
      <c r="J8315" t="n">
        <v>0</v>
      </c>
      <c r="K8315" t="n">
        <v>0</v>
      </c>
      <c r="L8315" t="n">
        <v>0</v>
      </c>
      <c r="M8315" t="n">
        <v>0</v>
      </c>
      <c r="N8315" t="n">
        <v>0</v>
      </c>
      <c r="O8315" t="n">
        <v>0</v>
      </c>
      <c r="P8315" t="n">
        <v>0</v>
      </c>
      <c r="Q8315" t="n">
        <v>0</v>
      </c>
      <c r="R8315" s="2" t="inlineStr"/>
    </row>
    <row r="8316" ht="15" customHeight="1">
      <c r="A8316" t="inlineStr">
        <is>
          <t>A 59962-2025</t>
        </is>
      </c>
      <c r="B8316" s="1" t="n">
        <v>45993.47164351852</v>
      </c>
      <c r="C8316" s="1" t="n">
        <v>46075</v>
      </c>
      <c r="D8316" t="inlineStr">
        <is>
          <t>VÄSTERBOTTENS LÄN</t>
        </is>
      </c>
      <c r="E8316" t="inlineStr">
        <is>
          <t>LYCKSELE</t>
        </is>
      </c>
      <c r="G8316" t="n">
        <v>5.4</v>
      </c>
      <c r="H8316" t="n">
        <v>0</v>
      </c>
      <c r="I8316" t="n">
        <v>0</v>
      </c>
      <c r="J8316" t="n">
        <v>0</v>
      </c>
      <c r="K8316" t="n">
        <v>0</v>
      </c>
      <c r="L8316" t="n">
        <v>0</v>
      </c>
      <c r="M8316" t="n">
        <v>0</v>
      </c>
      <c r="N8316" t="n">
        <v>0</v>
      </c>
      <c r="O8316" t="n">
        <v>0</v>
      </c>
      <c r="P8316" t="n">
        <v>0</v>
      </c>
      <c r="Q8316" t="n">
        <v>0</v>
      </c>
      <c r="R8316" s="2" t="inlineStr"/>
    </row>
    <row r="8317" ht="15" customHeight="1">
      <c r="A8317" t="inlineStr">
        <is>
          <t>A 60545-2025</t>
        </is>
      </c>
      <c r="B8317" s="1" t="n">
        <v>45995.6921412037</v>
      </c>
      <c r="C8317" s="1" t="n">
        <v>46075</v>
      </c>
      <c r="D8317" t="inlineStr">
        <is>
          <t>VÄSTERBOTTENS LÄN</t>
        </is>
      </c>
      <c r="E8317" t="inlineStr">
        <is>
          <t>VINDELN</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60612-2023</t>
        </is>
      </c>
      <c r="B8318" s="1" t="n">
        <v>45260</v>
      </c>
      <c r="C8318" s="1" t="n">
        <v>46075</v>
      </c>
      <c r="D8318" t="inlineStr">
        <is>
          <t>VÄSTERBOTTENS LÄN</t>
        </is>
      </c>
      <c r="E8318" t="inlineStr">
        <is>
          <t>SKELLEFTEÅ</t>
        </is>
      </c>
      <c r="G8318" t="n">
        <v>0.4</v>
      </c>
      <c r="H8318" t="n">
        <v>0</v>
      </c>
      <c r="I8318" t="n">
        <v>0</v>
      </c>
      <c r="J8318" t="n">
        <v>0</v>
      </c>
      <c r="K8318" t="n">
        <v>0</v>
      </c>
      <c r="L8318" t="n">
        <v>0</v>
      </c>
      <c r="M8318" t="n">
        <v>0</v>
      </c>
      <c r="N8318" t="n">
        <v>0</v>
      </c>
      <c r="O8318" t="n">
        <v>0</v>
      </c>
      <c r="P8318" t="n">
        <v>0</v>
      </c>
      <c r="Q8318" t="n">
        <v>0</v>
      </c>
      <c r="R8318" s="2" t="inlineStr"/>
    </row>
    <row r="8319" ht="15" customHeight="1">
      <c r="A8319" t="inlineStr">
        <is>
          <t>A 2209-2026</t>
        </is>
      </c>
      <c r="B8319" s="1" t="n">
        <v>46036.48923611111</v>
      </c>
      <c r="C8319" s="1" t="n">
        <v>46075</v>
      </c>
      <c r="D8319" t="inlineStr">
        <is>
          <t>VÄSTERBOTTENS LÄN</t>
        </is>
      </c>
      <c r="E8319" t="inlineStr">
        <is>
          <t>STORUMAN</t>
        </is>
      </c>
      <c r="G8319" t="n">
        <v>17.6</v>
      </c>
      <c r="H8319" t="n">
        <v>0</v>
      </c>
      <c r="I8319" t="n">
        <v>0</v>
      </c>
      <c r="J8319" t="n">
        <v>0</v>
      </c>
      <c r="K8319" t="n">
        <v>0</v>
      </c>
      <c r="L8319" t="n">
        <v>0</v>
      </c>
      <c r="M8319" t="n">
        <v>0</v>
      </c>
      <c r="N8319" t="n">
        <v>0</v>
      </c>
      <c r="O8319" t="n">
        <v>0</v>
      </c>
      <c r="P8319" t="n">
        <v>0</v>
      </c>
      <c r="Q8319" t="n">
        <v>0</v>
      </c>
      <c r="R8319" s="2" t="inlineStr"/>
    </row>
    <row r="8320" ht="15" customHeight="1">
      <c r="A8320" t="inlineStr">
        <is>
          <t>A 60659-2023</t>
        </is>
      </c>
      <c r="B8320" s="1" t="n">
        <v>45259</v>
      </c>
      <c r="C8320" s="1" t="n">
        <v>46075</v>
      </c>
      <c r="D8320" t="inlineStr">
        <is>
          <t>VÄSTERBOTTENS LÄN</t>
        </is>
      </c>
      <c r="E8320" t="inlineStr">
        <is>
          <t>BJURHOLM</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16461-2025</t>
        </is>
      </c>
      <c r="B8321" s="1" t="n">
        <v>45750</v>
      </c>
      <c r="C8321" s="1" t="n">
        <v>46075</v>
      </c>
      <c r="D8321" t="inlineStr">
        <is>
          <t>VÄSTERBOTTENS LÄN</t>
        </is>
      </c>
      <c r="E8321" t="inlineStr">
        <is>
          <t>SKELLEFTEÅ</t>
        </is>
      </c>
      <c r="G8321" t="n">
        <v>7.3</v>
      </c>
      <c r="H8321" t="n">
        <v>0</v>
      </c>
      <c r="I8321" t="n">
        <v>0</v>
      </c>
      <c r="J8321" t="n">
        <v>0</v>
      </c>
      <c r="K8321" t="n">
        <v>0</v>
      </c>
      <c r="L8321" t="n">
        <v>0</v>
      </c>
      <c r="M8321" t="n">
        <v>0</v>
      </c>
      <c r="N8321" t="n">
        <v>0</v>
      </c>
      <c r="O8321" t="n">
        <v>0</v>
      </c>
      <c r="P8321" t="n">
        <v>0</v>
      </c>
      <c r="Q8321" t="n">
        <v>0</v>
      </c>
      <c r="R8321" s="2" t="inlineStr"/>
    </row>
    <row r="8322" ht="15" customHeight="1">
      <c r="A8322" t="inlineStr">
        <is>
          <t>A 48761-2024</t>
        </is>
      </c>
      <c r="B8322" s="1" t="n">
        <v>45593</v>
      </c>
      <c r="C8322" s="1" t="n">
        <v>46075</v>
      </c>
      <c r="D8322" t="inlineStr">
        <is>
          <t>VÄSTERBOTTENS LÄN</t>
        </is>
      </c>
      <c r="E8322" t="inlineStr">
        <is>
          <t>STORUMAN</t>
        </is>
      </c>
      <c r="G8322" t="n">
        <v>35.7</v>
      </c>
      <c r="H8322" t="n">
        <v>0</v>
      </c>
      <c r="I8322" t="n">
        <v>0</v>
      </c>
      <c r="J8322" t="n">
        <v>0</v>
      </c>
      <c r="K8322" t="n">
        <v>0</v>
      </c>
      <c r="L8322" t="n">
        <v>0</v>
      </c>
      <c r="M8322" t="n">
        <v>0</v>
      </c>
      <c r="N8322" t="n">
        <v>0</v>
      </c>
      <c r="O8322" t="n">
        <v>0</v>
      </c>
      <c r="P8322" t="n">
        <v>0</v>
      </c>
      <c r="Q8322" t="n">
        <v>0</v>
      </c>
      <c r="R8322" s="2" t="inlineStr"/>
    </row>
    <row r="8323" ht="15" customHeight="1">
      <c r="A8323" t="inlineStr">
        <is>
          <t>A 29789-2025</t>
        </is>
      </c>
      <c r="B8323" s="1" t="n">
        <v>45825</v>
      </c>
      <c r="C8323" s="1" t="n">
        <v>46075</v>
      </c>
      <c r="D8323" t="inlineStr">
        <is>
          <t>VÄSTERBOTTENS LÄN</t>
        </is>
      </c>
      <c r="E8323" t="inlineStr">
        <is>
          <t>SORSELE</t>
        </is>
      </c>
      <c r="F8323" t="inlineStr">
        <is>
          <t>Allmännings- och besparingsskogar</t>
        </is>
      </c>
      <c r="G8323" t="n">
        <v>24</v>
      </c>
      <c r="H8323" t="n">
        <v>0</v>
      </c>
      <c r="I8323" t="n">
        <v>0</v>
      </c>
      <c r="J8323" t="n">
        <v>0</v>
      </c>
      <c r="K8323" t="n">
        <v>0</v>
      </c>
      <c r="L8323" t="n">
        <v>0</v>
      </c>
      <c r="M8323" t="n">
        <v>0</v>
      </c>
      <c r="N8323" t="n">
        <v>0</v>
      </c>
      <c r="O8323" t="n">
        <v>0</v>
      </c>
      <c r="P8323" t="n">
        <v>0</v>
      </c>
      <c r="Q8323" t="n">
        <v>0</v>
      </c>
      <c r="R8323" s="2" t="inlineStr"/>
    </row>
    <row r="8324" ht="15" customHeight="1">
      <c r="A8324" t="inlineStr">
        <is>
          <t>A 2929-2025</t>
        </is>
      </c>
      <c r="B8324" s="1" t="n">
        <v>45678</v>
      </c>
      <c r="C8324" s="1" t="n">
        <v>46075</v>
      </c>
      <c r="D8324" t="inlineStr">
        <is>
          <t>VÄSTERBOTTENS LÄN</t>
        </is>
      </c>
      <c r="E8324" t="inlineStr">
        <is>
          <t>SORSELE</t>
        </is>
      </c>
      <c r="G8324" t="n">
        <v>49.7</v>
      </c>
      <c r="H8324" t="n">
        <v>0</v>
      </c>
      <c r="I8324" t="n">
        <v>0</v>
      </c>
      <c r="J8324" t="n">
        <v>0</v>
      </c>
      <c r="K8324" t="n">
        <v>0</v>
      </c>
      <c r="L8324" t="n">
        <v>0</v>
      </c>
      <c r="M8324" t="n">
        <v>0</v>
      </c>
      <c r="N8324" t="n">
        <v>0</v>
      </c>
      <c r="O8324" t="n">
        <v>0</v>
      </c>
      <c r="P8324" t="n">
        <v>0</v>
      </c>
      <c r="Q8324" t="n">
        <v>0</v>
      </c>
      <c r="R8324" s="2" t="inlineStr"/>
    </row>
    <row r="8325" ht="15" customHeight="1">
      <c r="A8325" t="inlineStr">
        <is>
          <t>A 12851-2025</t>
        </is>
      </c>
      <c r="B8325" s="1" t="n">
        <v>45733</v>
      </c>
      <c r="C8325" s="1" t="n">
        <v>46075</v>
      </c>
      <c r="D8325" t="inlineStr">
        <is>
          <t>VÄSTERBOTTENS LÄN</t>
        </is>
      </c>
      <c r="E8325" t="inlineStr">
        <is>
          <t>SKELLEFTEÅ</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37498-2023</t>
        </is>
      </c>
      <c r="B8326" s="1" t="n">
        <v>45157</v>
      </c>
      <c r="C8326" s="1" t="n">
        <v>46075</v>
      </c>
      <c r="D8326" t="inlineStr">
        <is>
          <t>VÄSTERBOTTENS LÄN</t>
        </is>
      </c>
      <c r="E8326" t="inlineStr">
        <is>
          <t>NORSJÖ</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13004-2023</t>
        </is>
      </c>
      <c r="B8327" s="1" t="n">
        <v>45002</v>
      </c>
      <c r="C8327" s="1" t="n">
        <v>46075</v>
      </c>
      <c r="D8327" t="inlineStr">
        <is>
          <t>VÄSTERBOTTENS LÄN</t>
        </is>
      </c>
      <c r="E8327" t="inlineStr">
        <is>
          <t>MALÅ</t>
        </is>
      </c>
      <c r="F8327" t="inlineStr">
        <is>
          <t>SCA</t>
        </is>
      </c>
      <c r="G8327" t="n">
        <v>2.4</v>
      </c>
      <c r="H8327" t="n">
        <v>0</v>
      </c>
      <c r="I8327" t="n">
        <v>0</v>
      </c>
      <c r="J8327" t="n">
        <v>0</v>
      </c>
      <c r="K8327" t="n">
        <v>0</v>
      </c>
      <c r="L8327" t="n">
        <v>0</v>
      </c>
      <c r="M8327" t="n">
        <v>0</v>
      </c>
      <c r="N8327" t="n">
        <v>0</v>
      </c>
      <c r="O8327" t="n">
        <v>0</v>
      </c>
      <c r="P8327" t="n">
        <v>0</v>
      </c>
      <c r="Q8327" t="n">
        <v>0</v>
      </c>
      <c r="R8327" s="2" t="inlineStr"/>
    </row>
    <row r="8328" ht="15" customHeight="1">
      <c r="A8328" t="inlineStr">
        <is>
          <t>A 60421-2025</t>
        </is>
      </c>
      <c r="B8328" s="1" t="n">
        <v>45995.46840277778</v>
      </c>
      <c r="C8328" s="1" t="n">
        <v>46075</v>
      </c>
      <c r="D8328" t="inlineStr">
        <is>
          <t>VÄSTERBOTTENS LÄN</t>
        </is>
      </c>
      <c r="E8328" t="inlineStr">
        <is>
          <t>VINDELN</t>
        </is>
      </c>
      <c r="F8328" t="inlineStr">
        <is>
          <t>Sveaskog</t>
        </is>
      </c>
      <c r="G8328" t="n">
        <v>2</v>
      </c>
      <c r="H8328" t="n">
        <v>0</v>
      </c>
      <c r="I8328" t="n">
        <v>0</v>
      </c>
      <c r="J8328" t="n">
        <v>0</v>
      </c>
      <c r="K8328" t="n">
        <v>0</v>
      </c>
      <c r="L8328" t="n">
        <v>0</v>
      </c>
      <c r="M8328" t="n">
        <v>0</v>
      </c>
      <c r="N8328" t="n">
        <v>0</v>
      </c>
      <c r="O8328" t="n">
        <v>0</v>
      </c>
      <c r="P8328" t="n">
        <v>0</v>
      </c>
      <c r="Q8328" t="n">
        <v>0</v>
      </c>
      <c r="R8328" s="2" t="inlineStr"/>
    </row>
    <row r="8329" ht="15" customHeight="1">
      <c r="A8329" t="inlineStr">
        <is>
          <t>A 60418-2025</t>
        </is>
      </c>
      <c r="B8329" s="1" t="n">
        <v>45995.45458333333</v>
      </c>
      <c r="C8329" s="1" t="n">
        <v>46075</v>
      </c>
      <c r="D8329" t="inlineStr">
        <is>
          <t>VÄSTERBOTTENS LÄN</t>
        </is>
      </c>
      <c r="E8329" t="inlineStr">
        <is>
          <t>VINDELN</t>
        </is>
      </c>
      <c r="F8329" t="inlineStr">
        <is>
          <t>Sveaskog</t>
        </is>
      </c>
      <c r="G8329" t="n">
        <v>2.4</v>
      </c>
      <c r="H8329" t="n">
        <v>0</v>
      </c>
      <c r="I8329" t="n">
        <v>0</v>
      </c>
      <c r="J8329" t="n">
        <v>0</v>
      </c>
      <c r="K8329" t="n">
        <v>0</v>
      </c>
      <c r="L8329" t="n">
        <v>0</v>
      </c>
      <c r="M8329" t="n">
        <v>0</v>
      </c>
      <c r="N8329" t="n">
        <v>0</v>
      </c>
      <c r="O8329" t="n">
        <v>0</v>
      </c>
      <c r="P8329" t="n">
        <v>0</v>
      </c>
      <c r="Q8329" t="n">
        <v>0</v>
      </c>
      <c r="R8329" s="2" t="inlineStr"/>
    </row>
    <row r="8330" ht="15" customHeight="1">
      <c r="A8330" t="inlineStr">
        <is>
          <t>A 10381-2025</t>
        </is>
      </c>
      <c r="B8330" s="1" t="n">
        <v>45720.57324074074</v>
      </c>
      <c r="C8330" s="1" t="n">
        <v>46075</v>
      </c>
      <c r="D8330" t="inlineStr">
        <is>
          <t>VÄSTERBOTTENS LÄN</t>
        </is>
      </c>
      <c r="E8330" t="inlineStr">
        <is>
          <t>ÅSELE</t>
        </is>
      </c>
      <c r="F8330" t="inlineStr">
        <is>
          <t>SCA</t>
        </is>
      </c>
      <c r="G8330" t="n">
        <v>2.6</v>
      </c>
      <c r="H8330" t="n">
        <v>0</v>
      </c>
      <c r="I8330" t="n">
        <v>0</v>
      </c>
      <c r="J8330" t="n">
        <v>0</v>
      </c>
      <c r="K8330" t="n">
        <v>0</v>
      </c>
      <c r="L8330" t="n">
        <v>0</v>
      </c>
      <c r="M8330" t="n">
        <v>0</v>
      </c>
      <c r="N8330" t="n">
        <v>0</v>
      </c>
      <c r="O8330" t="n">
        <v>0</v>
      </c>
      <c r="P8330" t="n">
        <v>0</v>
      </c>
      <c r="Q8330" t="n">
        <v>0</v>
      </c>
      <c r="R8330" s="2" t="inlineStr"/>
    </row>
    <row r="8331" ht="15" customHeight="1">
      <c r="A8331" t="inlineStr">
        <is>
          <t>A 60440-2025</t>
        </is>
      </c>
      <c r="B8331" s="1" t="n">
        <v>45995.49024305555</v>
      </c>
      <c r="C8331" s="1" t="n">
        <v>46075</v>
      </c>
      <c r="D8331" t="inlineStr">
        <is>
          <t>VÄSTERBOTTENS LÄN</t>
        </is>
      </c>
      <c r="E8331" t="inlineStr">
        <is>
          <t>SKELLEFTEÅ</t>
        </is>
      </c>
      <c r="G8331" t="n">
        <v>3.1</v>
      </c>
      <c r="H8331" t="n">
        <v>0</v>
      </c>
      <c r="I8331" t="n">
        <v>0</v>
      </c>
      <c r="J8331" t="n">
        <v>0</v>
      </c>
      <c r="K8331" t="n">
        <v>0</v>
      </c>
      <c r="L8331" t="n">
        <v>0</v>
      </c>
      <c r="M8331" t="n">
        <v>0</v>
      </c>
      <c r="N8331" t="n">
        <v>0</v>
      </c>
      <c r="O8331" t="n">
        <v>0</v>
      </c>
      <c r="P8331" t="n">
        <v>0</v>
      </c>
      <c r="Q8331" t="n">
        <v>0</v>
      </c>
      <c r="R8331" s="2" t="inlineStr"/>
    </row>
    <row r="8332" ht="15" customHeight="1">
      <c r="A8332" t="inlineStr">
        <is>
          <t>A 41198-2024</t>
        </is>
      </c>
      <c r="B8332" s="1" t="n">
        <v>45559.51533564815</v>
      </c>
      <c r="C8332" s="1" t="n">
        <v>46075</v>
      </c>
      <c r="D8332" t="inlineStr">
        <is>
          <t>VÄSTERBOTTENS LÄN</t>
        </is>
      </c>
      <c r="E8332" t="inlineStr">
        <is>
          <t>SKELLEFTEÅ</t>
        </is>
      </c>
      <c r="F8332" t="inlineStr">
        <is>
          <t>Holmen skog AB</t>
        </is>
      </c>
      <c r="G8332" t="n">
        <v>1.4</v>
      </c>
      <c r="H8332" t="n">
        <v>0</v>
      </c>
      <c r="I8332" t="n">
        <v>0</v>
      </c>
      <c r="J8332" t="n">
        <v>0</v>
      </c>
      <c r="K8332" t="n">
        <v>0</v>
      </c>
      <c r="L8332" t="n">
        <v>0</v>
      </c>
      <c r="M8332" t="n">
        <v>0</v>
      </c>
      <c r="N8332" t="n">
        <v>0</v>
      </c>
      <c r="O8332" t="n">
        <v>0</v>
      </c>
      <c r="P8332" t="n">
        <v>0</v>
      </c>
      <c r="Q8332" t="n">
        <v>0</v>
      </c>
      <c r="R8332" s="2" t="inlineStr"/>
    </row>
    <row r="8333" ht="15" customHeight="1">
      <c r="A8333" t="inlineStr">
        <is>
          <t>A 8326-2022</t>
        </is>
      </c>
      <c r="B8333" s="1" t="n">
        <v>44610</v>
      </c>
      <c r="C8333" s="1" t="n">
        <v>46075</v>
      </c>
      <c r="D8333" t="inlineStr">
        <is>
          <t>VÄSTERBOTTENS LÄN</t>
        </is>
      </c>
      <c r="E8333" t="inlineStr">
        <is>
          <t>VINDELN</t>
        </is>
      </c>
      <c r="G8333" t="n">
        <v>3.9</v>
      </c>
      <c r="H8333" t="n">
        <v>0</v>
      </c>
      <c r="I8333" t="n">
        <v>0</v>
      </c>
      <c r="J8333" t="n">
        <v>0</v>
      </c>
      <c r="K8333" t="n">
        <v>0</v>
      </c>
      <c r="L8333" t="n">
        <v>0</v>
      </c>
      <c r="M8333" t="n">
        <v>0</v>
      </c>
      <c r="N8333" t="n">
        <v>0</v>
      </c>
      <c r="O8333" t="n">
        <v>0</v>
      </c>
      <c r="P8333" t="n">
        <v>0</v>
      </c>
      <c r="Q8333" t="n">
        <v>0</v>
      </c>
      <c r="R8333" s="2" t="inlineStr"/>
    </row>
    <row r="8334" ht="15" customHeight="1">
      <c r="A8334" t="inlineStr">
        <is>
          <t>A 26788-2023</t>
        </is>
      </c>
      <c r="B8334" s="1" t="n">
        <v>45090</v>
      </c>
      <c r="C8334" s="1" t="n">
        <v>46075</v>
      </c>
      <c r="D8334" t="inlineStr">
        <is>
          <t>VÄSTERBOTTENS LÄN</t>
        </is>
      </c>
      <c r="E8334" t="inlineStr">
        <is>
          <t>ROBERTSFORS</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53986-2022</t>
        </is>
      </c>
      <c r="B8335" s="1" t="n">
        <v>44881.35148148148</v>
      </c>
      <c r="C8335" s="1" t="n">
        <v>46075</v>
      </c>
      <c r="D8335" t="inlineStr">
        <is>
          <t>VÄSTERBOTTENS LÄN</t>
        </is>
      </c>
      <c r="E8335" t="inlineStr">
        <is>
          <t>NORDMALING</t>
        </is>
      </c>
      <c r="G8335" t="n">
        <v>2.1</v>
      </c>
      <c r="H8335" t="n">
        <v>0</v>
      </c>
      <c r="I8335" t="n">
        <v>0</v>
      </c>
      <c r="J8335" t="n">
        <v>0</v>
      </c>
      <c r="K8335" t="n">
        <v>0</v>
      </c>
      <c r="L8335" t="n">
        <v>0</v>
      </c>
      <c r="M8335" t="n">
        <v>0</v>
      </c>
      <c r="N8335" t="n">
        <v>0</v>
      </c>
      <c r="O8335" t="n">
        <v>0</v>
      </c>
      <c r="P8335" t="n">
        <v>0</v>
      </c>
      <c r="Q8335" t="n">
        <v>0</v>
      </c>
      <c r="R8335" s="2" t="inlineStr"/>
    </row>
    <row r="8336" ht="15" customHeight="1">
      <c r="A8336" t="inlineStr">
        <is>
          <t>A 17949-2023</t>
        </is>
      </c>
      <c r="B8336" s="1" t="n">
        <v>45037</v>
      </c>
      <c r="C8336" s="1" t="n">
        <v>46075</v>
      </c>
      <c r="D8336" t="inlineStr">
        <is>
          <t>VÄSTERBOTTENS LÄN</t>
        </is>
      </c>
      <c r="E8336" t="inlineStr">
        <is>
          <t>UMEÅ</t>
        </is>
      </c>
      <c r="G8336" t="n">
        <v>4.5</v>
      </c>
      <c r="H8336" t="n">
        <v>0</v>
      </c>
      <c r="I8336" t="n">
        <v>0</v>
      </c>
      <c r="J8336" t="n">
        <v>0</v>
      </c>
      <c r="K8336" t="n">
        <v>0</v>
      </c>
      <c r="L8336" t="n">
        <v>0</v>
      </c>
      <c r="M8336" t="n">
        <v>0</v>
      </c>
      <c r="N8336" t="n">
        <v>0</v>
      </c>
      <c r="O8336" t="n">
        <v>0</v>
      </c>
      <c r="P8336" t="n">
        <v>0</v>
      </c>
      <c r="Q8336" t="n">
        <v>0</v>
      </c>
      <c r="R8336" s="2" t="inlineStr"/>
    </row>
    <row r="8337" ht="15" customHeight="1">
      <c r="A8337" t="inlineStr">
        <is>
          <t>A 21935-2021</t>
        </is>
      </c>
      <c r="B8337" s="1" t="n">
        <v>44322.93407407407</v>
      </c>
      <c r="C8337" s="1" t="n">
        <v>46075</v>
      </c>
      <c r="D8337" t="inlineStr">
        <is>
          <t>VÄSTERBOTTENS LÄN</t>
        </is>
      </c>
      <c r="E8337" t="inlineStr">
        <is>
          <t>ÅSELE</t>
        </is>
      </c>
      <c r="F8337" t="inlineStr">
        <is>
          <t>SCA</t>
        </is>
      </c>
      <c r="G8337" t="n">
        <v>2.2</v>
      </c>
      <c r="H8337" t="n">
        <v>0</v>
      </c>
      <c r="I8337" t="n">
        <v>0</v>
      </c>
      <c r="J8337" t="n">
        <v>0</v>
      </c>
      <c r="K8337" t="n">
        <v>0</v>
      </c>
      <c r="L8337" t="n">
        <v>0</v>
      </c>
      <c r="M8337" t="n">
        <v>0</v>
      </c>
      <c r="N8337" t="n">
        <v>0</v>
      </c>
      <c r="O8337" t="n">
        <v>0</v>
      </c>
      <c r="P8337" t="n">
        <v>0</v>
      </c>
      <c r="Q8337" t="n">
        <v>0</v>
      </c>
      <c r="R8337" s="2" t="inlineStr"/>
    </row>
    <row r="8338" ht="15" customHeight="1">
      <c r="A8338" t="inlineStr">
        <is>
          <t>A 60464-2025</t>
        </is>
      </c>
      <c r="B8338" s="1" t="n">
        <v>45995</v>
      </c>
      <c r="C8338" s="1" t="n">
        <v>46075</v>
      </c>
      <c r="D8338" t="inlineStr">
        <is>
          <t>VÄSTERBOTTENS LÄN</t>
        </is>
      </c>
      <c r="E8338" t="inlineStr">
        <is>
          <t>DOROTEA</t>
        </is>
      </c>
      <c r="G8338" t="n">
        <v>9.5</v>
      </c>
      <c r="H8338" t="n">
        <v>0</v>
      </c>
      <c r="I8338" t="n">
        <v>0</v>
      </c>
      <c r="J8338" t="n">
        <v>0</v>
      </c>
      <c r="K8338" t="n">
        <v>0</v>
      </c>
      <c r="L8338" t="n">
        <v>0</v>
      </c>
      <c r="M8338" t="n">
        <v>0</v>
      </c>
      <c r="N8338" t="n">
        <v>0</v>
      </c>
      <c r="O8338" t="n">
        <v>0</v>
      </c>
      <c r="P8338" t="n">
        <v>0</v>
      </c>
      <c r="Q8338" t="n">
        <v>0</v>
      </c>
      <c r="R8338" s="2" t="inlineStr"/>
    </row>
    <row r="8339" ht="15" customHeight="1">
      <c r="A8339" t="inlineStr">
        <is>
          <t>A 21955-2021</t>
        </is>
      </c>
      <c r="B8339" s="1" t="n">
        <v>44322</v>
      </c>
      <c r="C8339" s="1" t="n">
        <v>46075</v>
      </c>
      <c r="D8339" t="inlineStr">
        <is>
          <t>VÄSTERBOTTENS LÄN</t>
        </is>
      </c>
      <c r="E8339" t="inlineStr">
        <is>
          <t>STORUMAN</t>
        </is>
      </c>
      <c r="G8339" t="n">
        <v>0.5</v>
      </c>
      <c r="H8339" t="n">
        <v>0</v>
      </c>
      <c r="I8339" t="n">
        <v>0</v>
      </c>
      <c r="J8339" t="n">
        <v>0</v>
      </c>
      <c r="K8339" t="n">
        <v>0</v>
      </c>
      <c r="L8339" t="n">
        <v>0</v>
      </c>
      <c r="M8339" t="n">
        <v>0</v>
      </c>
      <c r="N8339" t="n">
        <v>0</v>
      </c>
      <c r="O8339" t="n">
        <v>0</v>
      </c>
      <c r="P8339" t="n">
        <v>0</v>
      </c>
      <c r="Q8339" t="n">
        <v>0</v>
      </c>
      <c r="R8339" s="2" t="inlineStr"/>
    </row>
    <row r="8340" ht="15" customHeight="1">
      <c r="A8340" t="inlineStr">
        <is>
          <t>A 40577-2024</t>
        </is>
      </c>
      <c r="B8340" s="1" t="n">
        <v>45555</v>
      </c>
      <c r="C8340" s="1" t="n">
        <v>46075</v>
      </c>
      <c r="D8340" t="inlineStr">
        <is>
          <t>VÄSTERBOTTENS LÄN</t>
        </is>
      </c>
      <c r="E8340" t="inlineStr">
        <is>
          <t>BJURHOLM</t>
        </is>
      </c>
      <c r="F8340" t="inlineStr">
        <is>
          <t>SCA</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60336-2025</t>
        </is>
      </c>
      <c r="B8341" s="1" t="n">
        <v>45994.78555555556</v>
      </c>
      <c r="C8341" s="1" t="n">
        <v>46075</v>
      </c>
      <c r="D8341" t="inlineStr">
        <is>
          <t>VÄSTERBOTTENS LÄN</t>
        </is>
      </c>
      <c r="E8341" t="inlineStr">
        <is>
          <t>STORUMAN</t>
        </is>
      </c>
      <c r="G8341" t="n">
        <v>28.6</v>
      </c>
      <c r="H8341" t="n">
        <v>0</v>
      </c>
      <c r="I8341" t="n">
        <v>0</v>
      </c>
      <c r="J8341" t="n">
        <v>0</v>
      </c>
      <c r="K8341" t="n">
        <v>0</v>
      </c>
      <c r="L8341" t="n">
        <v>0</v>
      </c>
      <c r="M8341" t="n">
        <v>0</v>
      </c>
      <c r="N8341" t="n">
        <v>0</v>
      </c>
      <c r="O8341" t="n">
        <v>0</v>
      </c>
      <c r="P8341" t="n">
        <v>0</v>
      </c>
      <c r="Q8341" t="n">
        <v>0</v>
      </c>
      <c r="R8341" s="2" t="inlineStr"/>
    </row>
    <row r="8342" ht="15" customHeight="1">
      <c r="A8342" t="inlineStr">
        <is>
          <t>A 35491-2022</t>
        </is>
      </c>
      <c r="B8342" s="1" t="n">
        <v>44798</v>
      </c>
      <c r="C8342" s="1" t="n">
        <v>46075</v>
      </c>
      <c r="D8342" t="inlineStr">
        <is>
          <t>VÄSTERBOTTENS LÄN</t>
        </is>
      </c>
      <c r="E8342" t="inlineStr">
        <is>
          <t>SKELLEFTEÅ</t>
        </is>
      </c>
      <c r="F8342" t="inlineStr">
        <is>
          <t>Sveaskog</t>
        </is>
      </c>
      <c r="G8342" t="n">
        <v>2.8</v>
      </c>
      <c r="H8342" t="n">
        <v>0</v>
      </c>
      <c r="I8342" t="n">
        <v>0</v>
      </c>
      <c r="J8342" t="n">
        <v>0</v>
      </c>
      <c r="K8342" t="n">
        <v>0</v>
      </c>
      <c r="L8342" t="n">
        <v>0</v>
      </c>
      <c r="M8342" t="n">
        <v>0</v>
      </c>
      <c r="N8342" t="n">
        <v>0</v>
      </c>
      <c r="O8342" t="n">
        <v>0</v>
      </c>
      <c r="P8342" t="n">
        <v>0</v>
      </c>
      <c r="Q8342" t="n">
        <v>0</v>
      </c>
      <c r="R8342" s="2" t="inlineStr"/>
    </row>
    <row r="8343" ht="15" customHeight="1">
      <c r="A8343" t="inlineStr">
        <is>
          <t>A 2091-2026</t>
        </is>
      </c>
      <c r="B8343" s="1" t="n">
        <v>46036.36160879629</v>
      </c>
      <c r="C8343" s="1" t="n">
        <v>46075</v>
      </c>
      <c r="D8343" t="inlineStr">
        <is>
          <t>VÄSTERBOTTENS LÄN</t>
        </is>
      </c>
      <c r="E8343" t="inlineStr">
        <is>
          <t>SKELLEFTEÅ</t>
        </is>
      </c>
      <c r="G8343" t="n">
        <v>9.9</v>
      </c>
      <c r="H8343" t="n">
        <v>0</v>
      </c>
      <c r="I8343" t="n">
        <v>0</v>
      </c>
      <c r="J8343" t="n">
        <v>0</v>
      </c>
      <c r="K8343" t="n">
        <v>0</v>
      </c>
      <c r="L8343" t="n">
        <v>0</v>
      </c>
      <c r="M8343" t="n">
        <v>0</v>
      </c>
      <c r="N8343" t="n">
        <v>0</v>
      </c>
      <c r="O8343" t="n">
        <v>0</v>
      </c>
      <c r="P8343" t="n">
        <v>0</v>
      </c>
      <c r="Q8343" t="n">
        <v>0</v>
      </c>
      <c r="R8343" s="2" t="inlineStr"/>
    </row>
    <row r="8344" ht="15" customHeight="1">
      <c r="A8344" t="inlineStr">
        <is>
          <t>A 36892-2024</t>
        </is>
      </c>
      <c r="B8344" s="1" t="n">
        <v>45538.61142361111</v>
      </c>
      <c r="C8344" s="1" t="n">
        <v>46075</v>
      </c>
      <c r="D8344" t="inlineStr">
        <is>
          <t>VÄSTERBOTTENS LÄN</t>
        </is>
      </c>
      <c r="E8344" t="inlineStr">
        <is>
          <t>VINDELN</t>
        </is>
      </c>
      <c r="F8344" t="inlineStr">
        <is>
          <t>Holmen skog AB</t>
        </is>
      </c>
      <c r="G8344" t="n">
        <v>2.3</v>
      </c>
      <c r="H8344" t="n">
        <v>0</v>
      </c>
      <c r="I8344" t="n">
        <v>0</v>
      </c>
      <c r="J8344" t="n">
        <v>0</v>
      </c>
      <c r="K8344" t="n">
        <v>0</v>
      </c>
      <c r="L8344" t="n">
        <v>0</v>
      </c>
      <c r="M8344" t="n">
        <v>0</v>
      </c>
      <c r="N8344" t="n">
        <v>0</v>
      </c>
      <c r="O8344" t="n">
        <v>0</v>
      </c>
      <c r="P8344" t="n">
        <v>0</v>
      </c>
      <c r="Q8344" t="n">
        <v>0</v>
      </c>
      <c r="R8344" s="2" t="inlineStr"/>
    </row>
    <row r="8345" ht="15" customHeight="1">
      <c r="A8345" t="inlineStr">
        <is>
          <t>A 5368-2024</t>
        </is>
      </c>
      <c r="B8345" s="1" t="n">
        <v>45331</v>
      </c>
      <c r="C8345" s="1" t="n">
        <v>46075</v>
      </c>
      <c r="D8345" t="inlineStr">
        <is>
          <t>VÄSTERBOTTENS LÄN</t>
        </is>
      </c>
      <c r="E8345" t="inlineStr">
        <is>
          <t>VINDELN</t>
        </is>
      </c>
      <c r="F8345" t="inlineStr">
        <is>
          <t>Sveaskog</t>
        </is>
      </c>
      <c r="G8345" t="n">
        <v>4.1</v>
      </c>
      <c r="H8345" t="n">
        <v>0</v>
      </c>
      <c r="I8345" t="n">
        <v>0</v>
      </c>
      <c r="J8345" t="n">
        <v>0</v>
      </c>
      <c r="K8345" t="n">
        <v>0</v>
      </c>
      <c r="L8345" t="n">
        <v>0</v>
      </c>
      <c r="M8345" t="n">
        <v>0</v>
      </c>
      <c r="N8345" t="n">
        <v>0</v>
      </c>
      <c r="O8345" t="n">
        <v>0</v>
      </c>
      <c r="P8345" t="n">
        <v>0</v>
      </c>
      <c r="Q8345" t="n">
        <v>0</v>
      </c>
      <c r="R8345" s="2" t="inlineStr"/>
    </row>
    <row r="8346" ht="15" customHeight="1">
      <c r="A8346" t="inlineStr">
        <is>
          <t>A 33289-2023</t>
        </is>
      </c>
      <c r="B8346" s="1" t="n">
        <v>45116</v>
      </c>
      <c r="C8346" s="1" t="n">
        <v>46075</v>
      </c>
      <c r="D8346" t="inlineStr">
        <is>
          <t>VÄSTERBOTTENS LÄN</t>
        </is>
      </c>
      <c r="E8346" t="inlineStr">
        <is>
          <t>SKELLEFTEÅ</t>
        </is>
      </c>
      <c r="G8346" t="n">
        <v>4.5</v>
      </c>
      <c r="H8346" t="n">
        <v>0</v>
      </c>
      <c r="I8346" t="n">
        <v>0</v>
      </c>
      <c r="J8346" t="n">
        <v>0</v>
      </c>
      <c r="K8346" t="n">
        <v>0</v>
      </c>
      <c r="L8346" t="n">
        <v>0</v>
      </c>
      <c r="M8346" t="n">
        <v>0</v>
      </c>
      <c r="N8346" t="n">
        <v>0</v>
      </c>
      <c r="O8346" t="n">
        <v>0</v>
      </c>
      <c r="P8346" t="n">
        <v>0</v>
      </c>
      <c r="Q8346" t="n">
        <v>0</v>
      </c>
      <c r="R8346" s="2" t="inlineStr"/>
    </row>
    <row r="8347" ht="15" customHeight="1">
      <c r="A8347" t="inlineStr">
        <is>
          <t>A 2321-2026</t>
        </is>
      </c>
      <c r="B8347" s="1" t="n">
        <v>46036.603125</v>
      </c>
      <c r="C8347" s="1" t="n">
        <v>46075</v>
      </c>
      <c r="D8347" t="inlineStr">
        <is>
          <t>VÄSTERBOTTENS LÄN</t>
        </is>
      </c>
      <c r="E8347" t="inlineStr">
        <is>
          <t>ÅSELE</t>
        </is>
      </c>
      <c r="F8347" t="inlineStr">
        <is>
          <t>Sveaskog</t>
        </is>
      </c>
      <c r="G8347" t="n">
        <v>3.1</v>
      </c>
      <c r="H8347" t="n">
        <v>0</v>
      </c>
      <c r="I8347" t="n">
        <v>0</v>
      </c>
      <c r="J8347" t="n">
        <v>0</v>
      </c>
      <c r="K8347" t="n">
        <v>0</v>
      </c>
      <c r="L8347" t="n">
        <v>0</v>
      </c>
      <c r="M8347" t="n">
        <v>0</v>
      </c>
      <c r="N8347" t="n">
        <v>0</v>
      </c>
      <c r="O8347" t="n">
        <v>0</v>
      </c>
      <c r="P8347" t="n">
        <v>0</v>
      </c>
      <c r="Q8347" t="n">
        <v>0</v>
      </c>
      <c r="R8347" s="2" t="inlineStr"/>
    </row>
    <row r="8348" ht="15" customHeight="1">
      <c r="A8348" t="inlineStr">
        <is>
          <t>A 20453-2025</t>
        </is>
      </c>
      <c r="B8348" s="1" t="n">
        <v>45775.50346064815</v>
      </c>
      <c r="C8348" s="1" t="n">
        <v>46075</v>
      </c>
      <c r="D8348" t="inlineStr">
        <is>
          <t>VÄSTERBOTTENS LÄN</t>
        </is>
      </c>
      <c r="E8348" t="inlineStr">
        <is>
          <t>SORSELE</t>
        </is>
      </c>
      <c r="G8348" t="n">
        <v>5.3</v>
      </c>
      <c r="H8348" t="n">
        <v>0</v>
      </c>
      <c r="I8348" t="n">
        <v>0</v>
      </c>
      <c r="J8348" t="n">
        <v>0</v>
      </c>
      <c r="K8348" t="n">
        <v>0</v>
      </c>
      <c r="L8348" t="n">
        <v>0</v>
      </c>
      <c r="M8348" t="n">
        <v>0</v>
      </c>
      <c r="N8348" t="n">
        <v>0</v>
      </c>
      <c r="O8348" t="n">
        <v>0</v>
      </c>
      <c r="P8348" t="n">
        <v>0</v>
      </c>
      <c r="Q8348" t="n">
        <v>0</v>
      </c>
      <c r="R8348" s="2" t="inlineStr"/>
    </row>
    <row r="8349" ht="15" customHeight="1">
      <c r="A8349" t="inlineStr">
        <is>
          <t>A 14432-2022</t>
        </is>
      </c>
      <c r="B8349" s="1" t="n">
        <v>44652.92743055556</v>
      </c>
      <c r="C8349" s="1" t="n">
        <v>46075</v>
      </c>
      <c r="D8349" t="inlineStr">
        <is>
          <t>VÄSTERBOTTENS LÄN</t>
        </is>
      </c>
      <c r="E8349" t="inlineStr">
        <is>
          <t>UMEÅ</t>
        </is>
      </c>
      <c r="G8349" t="n">
        <v>1.4</v>
      </c>
      <c r="H8349" t="n">
        <v>0</v>
      </c>
      <c r="I8349" t="n">
        <v>0</v>
      </c>
      <c r="J8349" t="n">
        <v>0</v>
      </c>
      <c r="K8349" t="n">
        <v>0</v>
      </c>
      <c r="L8349" t="n">
        <v>0</v>
      </c>
      <c r="M8349" t="n">
        <v>0</v>
      </c>
      <c r="N8349" t="n">
        <v>0</v>
      </c>
      <c r="O8349" t="n">
        <v>0</v>
      </c>
      <c r="P8349" t="n">
        <v>0</v>
      </c>
      <c r="Q8349" t="n">
        <v>0</v>
      </c>
      <c r="R8349" s="2" t="inlineStr"/>
    </row>
    <row r="8350" ht="15" customHeight="1">
      <c r="A8350" t="inlineStr">
        <is>
          <t>A 54769-2021</t>
        </is>
      </c>
      <c r="B8350" s="1" t="n">
        <v>44473</v>
      </c>
      <c r="C8350" s="1" t="n">
        <v>46075</v>
      </c>
      <c r="D8350" t="inlineStr">
        <is>
          <t>VÄSTERBOTTENS LÄN</t>
        </is>
      </c>
      <c r="E8350" t="inlineStr">
        <is>
          <t>SORSELE</t>
        </is>
      </c>
      <c r="F8350" t="inlineStr">
        <is>
          <t>SCA</t>
        </is>
      </c>
      <c r="G8350" t="n">
        <v>15.8</v>
      </c>
      <c r="H8350" t="n">
        <v>0</v>
      </c>
      <c r="I8350" t="n">
        <v>0</v>
      </c>
      <c r="J8350" t="n">
        <v>0</v>
      </c>
      <c r="K8350" t="n">
        <v>0</v>
      </c>
      <c r="L8350" t="n">
        <v>0</v>
      </c>
      <c r="M8350" t="n">
        <v>0</v>
      </c>
      <c r="N8350" t="n">
        <v>0</v>
      </c>
      <c r="O8350" t="n">
        <v>0</v>
      </c>
      <c r="P8350" t="n">
        <v>0</v>
      </c>
      <c r="Q8350" t="n">
        <v>0</v>
      </c>
      <c r="R8350" s="2" t="inlineStr"/>
    </row>
    <row r="8351" ht="15" customHeight="1">
      <c r="A8351" t="inlineStr">
        <is>
          <t>A 4900-2024</t>
        </is>
      </c>
      <c r="B8351" s="1" t="n">
        <v>45329</v>
      </c>
      <c r="C8351" s="1" t="n">
        <v>46075</v>
      </c>
      <c r="D8351" t="inlineStr">
        <is>
          <t>VÄSTERBOTTENS LÄN</t>
        </is>
      </c>
      <c r="E8351" t="inlineStr">
        <is>
          <t>SKELLEFTEÅ</t>
        </is>
      </c>
      <c r="G8351" t="n">
        <v>2.5</v>
      </c>
      <c r="H8351" t="n">
        <v>0</v>
      </c>
      <c r="I8351" t="n">
        <v>0</v>
      </c>
      <c r="J8351" t="n">
        <v>0</v>
      </c>
      <c r="K8351" t="n">
        <v>0</v>
      </c>
      <c r="L8351" t="n">
        <v>0</v>
      </c>
      <c r="M8351" t="n">
        <v>0</v>
      </c>
      <c r="N8351" t="n">
        <v>0</v>
      </c>
      <c r="O8351" t="n">
        <v>0</v>
      </c>
      <c r="P8351" t="n">
        <v>0</v>
      </c>
      <c r="Q8351" t="n">
        <v>0</v>
      </c>
      <c r="R8351" s="2" t="inlineStr"/>
    </row>
    <row r="8352" ht="15" customHeight="1">
      <c r="A8352" t="inlineStr">
        <is>
          <t>A 24532-2023</t>
        </is>
      </c>
      <c r="B8352" s="1" t="n">
        <v>45082.75269675926</v>
      </c>
      <c r="C8352" s="1" t="n">
        <v>46075</v>
      </c>
      <c r="D8352" t="inlineStr">
        <is>
          <t>VÄSTERBOTTENS LÄN</t>
        </is>
      </c>
      <c r="E8352" t="inlineStr">
        <is>
          <t>UMEÅ</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26557-2023</t>
        </is>
      </c>
      <c r="B8353" s="1" t="n">
        <v>45089</v>
      </c>
      <c r="C8353" s="1" t="n">
        <v>46075</v>
      </c>
      <c r="D8353" t="inlineStr">
        <is>
          <t>VÄSTERBOTTENS LÄN</t>
        </is>
      </c>
      <c r="E8353" t="inlineStr">
        <is>
          <t>VILHELMINA</t>
        </is>
      </c>
      <c r="G8353" t="n">
        <v>0.5</v>
      </c>
      <c r="H8353" t="n">
        <v>0</v>
      </c>
      <c r="I8353" t="n">
        <v>0</v>
      </c>
      <c r="J8353" t="n">
        <v>0</v>
      </c>
      <c r="K8353" t="n">
        <v>0</v>
      </c>
      <c r="L8353" t="n">
        <v>0</v>
      </c>
      <c r="M8353" t="n">
        <v>0</v>
      </c>
      <c r="N8353" t="n">
        <v>0</v>
      </c>
      <c r="O8353" t="n">
        <v>0</v>
      </c>
      <c r="P8353" t="n">
        <v>0</v>
      </c>
      <c r="Q8353" t="n">
        <v>0</v>
      </c>
      <c r="R8353" s="2" t="inlineStr"/>
    </row>
    <row r="8354" ht="15" customHeight="1">
      <c r="A8354" t="inlineStr">
        <is>
          <t>A 60405-2025</t>
        </is>
      </c>
      <c r="B8354" s="1" t="n">
        <v>45995.42971064815</v>
      </c>
      <c r="C8354" s="1" t="n">
        <v>46075</v>
      </c>
      <c r="D8354" t="inlineStr">
        <is>
          <t>VÄSTERBOTTENS LÄN</t>
        </is>
      </c>
      <c r="E8354" t="inlineStr">
        <is>
          <t>SKELLEFTEÅ</t>
        </is>
      </c>
      <c r="G8354" t="n">
        <v>1.5</v>
      </c>
      <c r="H8354" t="n">
        <v>0</v>
      </c>
      <c r="I8354" t="n">
        <v>0</v>
      </c>
      <c r="J8354" t="n">
        <v>0</v>
      </c>
      <c r="K8354" t="n">
        <v>0</v>
      </c>
      <c r="L8354" t="n">
        <v>0</v>
      </c>
      <c r="M8354" t="n">
        <v>0</v>
      </c>
      <c r="N8354" t="n">
        <v>0</v>
      </c>
      <c r="O8354" t="n">
        <v>0</v>
      </c>
      <c r="P8354" t="n">
        <v>0</v>
      </c>
      <c r="Q8354" t="n">
        <v>0</v>
      </c>
      <c r="R8354" s="2" t="inlineStr"/>
    </row>
    <row r="8355" ht="15" customHeight="1">
      <c r="A8355" t="inlineStr">
        <is>
          <t>A 26645-2023</t>
        </is>
      </c>
      <c r="B8355" s="1" t="n">
        <v>45092.92415509259</v>
      </c>
      <c r="C8355" s="1" t="n">
        <v>46075</v>
      </c>
      <c r="D8355" t="inlineStr">
        <is>
          <t>VÄSTERBOTTENS LÄN</t>
        </is>
      </c>
      <c r="E8355" t="inlineStr">
        <is>
          <t>SKELLEFTEÅ</t>
        </is>
      </c>
      <c r="G8355" t="n">
        <v>2.1</v>
      </c>
      <c r="H8355" t="n">
        <v>0</v>
      </c>
      <c r="I8355" t="n">
        <v>0</v>
      </c>
      <c r="J8355" t="n">
        <v>0</v>
      </c>
      <c r="K8355" t="n">
        <v>0</v>
      </c>
      <c r="L8355" t="n">
        <v>0</v>
      </c>
      <c r="M8355" t="n">
        <v>0</v>
      </c>
      <c r="N8355" t="n">
        <v>0</v>
      </c>
      <c r="O8355" t="n">
        <v>0</v>
      </c>
      <c r="P8355" t="n">
        <v>0</v>
      </c>
      <c r="Q8355" t="n">
        <v>0</v>
      </c>
      <c r="R8355" s="2" t="inlineStr"/>
    </row>
    <row r="8356" ht="15" customHeight="1">
      <c r="A8356" t="inlineStr">
        <is>
          <t>A 54784-2021</t>
        </is>
      </c>
      <c r="B8356" s="1" t="n">
        <v>44473.94143518519</v>
      </c>
      <c r="C8356" s="1" t="n">
        <v>46075</v>
      </c>
      <c r="D8356" t="inlineStr">
        <is>
          <t>VÄSTERBOTTENS LÄN</t>
        </is>
      </c>
      <c r="E8356" t="inlineStr">
        <is>
          <t>NORDMALING</t>
        </is>
      </c>
      <c r="F8356" t="inlineStr">
        <is>
          <t>SCA</t>
        </is>
      </c>
      <c r="G8356" t="n">
        <v>1.8</v>
      </c>
      <c r="H8356" t="n">
        <v>0</v>
      </c>
      <c r="I8356" t="n">
        <v>0</v>
      </c>
      <c r="J8356" t="n">
        <v>0</v>
      </c>
      <c r="K8356" t="n">
        <v>0</v>
      </c>
      <c r="L8356" t="n">
        <v>0</v>
      </c>
      <c r="M8356" t="n">
        <v>0</v>
      </c>
      <c r="N8356" t="n">
        <v>0</v>
      </c>
      <c r="O8356" t="n">
        <v>0</v>
      </c>
      <c r="P8356" t="n">
        <v>0</v>
      </c>
      <c r="Q8356" t="n">
        <v>0</v>
      </c>
      <c r="R8356" s="2" t="inlineStr"/>
    </row>
    <row r="8357" ht="15" customHeight="1">
      <c r="A8357" t="inlineStr">
        <is>
          <t>A 1917-2026</t>
        </is>
      </c>
      <c r="B8357" s="1" t="n">
        <v>46035</v>
      </c>
      <c r="C8357" s="1" t="n">
        <v>46075</v>
      </c>
      <c r="D8357" t="inlineStr">
        <is>
          <t>VÄSTERBOTTENS LÄN</t>
        </is>
      </c>
      <c r="E8357" t="inlineStr">
        <is>
          <t>SKELLEFTEÅ</t>
        </is>
      </c>
      <c r="G8357" t="n">
        <v>0.1</v>
      </c>
      <c r="H8357" t="n">
        <v>0</v>
      </c>
      <c r="I8357" t="n">
        <v>0</v>
      </c>
      <c r="J8357" t="n">
        <v>0</v>
      </c>
      <c r="K8357" t="n">
        <v>0</v>
      </c>
      <c r="L8357" t="n">
        <v>0</v>
      </c>
      <c r="M8357" t="n">
        <v>0</v>
      </c>
      <c r="N8357" t="n">
        <v>0</v>
      </c>
      <c r="O8357" t="n">
        <v>0</v>
      </c>
      <c r="P8357" t="n">
        <v>0</v>
      </c>
      <c r="Q8357" t="n">
        <v>0</v>
      </c>
      <c r="R8357" s="2" t="inlineStr"/>
    </row>
    <row r="8358" ht="15" customHeight="1">
      <c r="A8358" t="inlineStr">
        <is>
          <t>A 12256-2025</t>
        </is>
      </c>
      <c r="B8358" s="1" t="n">
        <v>45729.61527777778</v>
      </c>
      <c r="C8358" s="1" t="n">
        <v>46075</v>
      </c>
      <c r="D8358" t="inlineStr">
        <is>
          <t>VÄSTERBOTTENS LÄN</t>
        </is>
      </c>
      <c r="E8358" t="inlineStr">
        <is>
          <t>SKELLEFTEÅ</t>
        </is>
      </c>
      <c r="G8358" t="n">
        <v>3.5</v>
      </c>
      <c r="H8358" t="n">
        <v>0</v>
      </c>
      <c r="I8358" t="n">
        <v>0</v>
      </c>
      <c r="J8358" t="n">
        <v>0</v>
      </c>
      <c r="K8358" t="n">
        <v>0</v>
      </c>
      <c r="L8358" t="n">
        <v>0</v>
      </c>
      <c r="M8358" t="n">
        <v>0</v>
      </c>
      <c r="N8358" t="n">
        <v>0</v>
      </c>
      <c r="O8358" t="n">
        <v>0</v>
      </c>
      <c r="P8358" t="n">
        <v>0</v>
      </c>
      <c r="Q8358" t="n">
        <v>0</v>
      </c>
      <c r="R8358" s="2" t="inlineStr"/>
    </row>
    <row r="8359" ht="15" customHeight="1">
      <c r="A8359" t="inlineStr">
        <is>
          <t>A 32821-2024</t>
        </is>
      </c>
      <c r="B8359" s="1" t="n">
        <v>45516</v>
      </c>
      <c r="C8359" s="1" t="n">
        <v>46075</v>
      </c>
      <c r="D8359" t="inlineStr">
        <is>
          <t>VÄSTERBOTTENS LÄN</t>
        </is>
      </c>
      <c r="E8359" t="inlineStr">
        <is>
          <t>DOROTEA</t>
        </is>
      </c>
      <c r="G8359" t="n">
        <v>3.5</v>
      </c>
      <c r="H8359" t="n">
        <v>0</v>
      </c>
      <c r="I8359" t="n">
        <v>0</v>
      </c>
      <c r="J8359" t="n">
        <v>0</v>
      </c>
      <c r="K8359" t="n">
        <v>0</v>
      </c>
      <c r="L8359" t="n">
        <v>0</v>
      </c>
      <c r="M8359" t="n">
        <v>0</v>
      </c>
      <c r="N8359" t="n">
        <v>0</v>
      </c>
      <c r="O8359" t="n">
        <v>0</v>
      </c>
      <c r="P8359" t="n">
        <v>0</v>
      </c>
      <c r="Q8359" t="n">
        <v>0</v>
      </c>
      <c r="R8359" s="2" t="inlineStr"/>
    </row>
    <row r="8360" ht="15" customHeight="1">
      <c r="A8360" t="inlineStr">
        <is>
          <t>A 60237-2022</t>
        </is>
      </c>
      <c r="B8360" s="1" t="n">
        <v>44903</v>
      </c>
      <c r="C8360" s="1" t="n">
        <v>46075</v>
      </c>
      <c r="D8360" t="inlineStr">
        <is>
          <t>VÄSTERBOTTENS LÄN</t>
        </is>
      </c>
      <c r="E8360" t="inlineStr">
        <is>
          <t>SKELLEFTEÅ</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54316-2022</t>
        </is>
      </c>
      <c r="B8361" s="1" t="n">
        <v>44879</v>
      </c>
      <c r="C8361" s="1" t="n">
        <v>46075</v>
      </c>
      <c r="D8361" t="inlineStr">
        <is>
          <t>VÄSTERBOTTENS LÄN</t>
        </is>
      </c>
      <c r="E8361" t="inlineStr">
        <is>
          <t>SKELLEFTEÅ</t>
        </is>
      </c>
      <c r="G8361" t="n">
        <v>5.8</v>
      </c>
      <c r="H8361" t="n">
        <v>0</v>
      </c>
      <c r="I8361" t="n">
        <v>0</v>
      </c>
      <c r="J8361" t="n">
        <v>0</v>
      </c>
      <c r="K8361" t="n">
        <v>0</v>
      </c>
      <c r="L8361" t="n">
        <v>0</v>
      </c>
      <c r="M8361" t="n">
        <v>0</v>
      </c>
      <c r="N8361" t="n">
        <v>0</v>
      </c>
      <c r="O8361" t="n">
        <v>0</v>
      </c>
      <c r="P8361" t="n">
        <v>0</v>
      </c>
      <c r="Q8361" t="n">
        <v>0</v>
      </c>
      <c r="R8361" s="2" t="inlineStr"/>
    </row>
    <row r="8362" ht="15" customHeight="1">
      <c r="A8362" t="inlineStr">
        <is>
          <t>A 21844-2024</t>
        </is>
      </c>
      <c r="B8362" s="1" t="n">
        <v>45442</v>
      </c>
      <c r="C8362" s="1" t="n">
        <v>46075</v>
      </c>
      <c r="D8362" t="inlineStr">
        <is>
          <t>VÄSTERBOTTENS LÄN</t>
        </is>
      </c>
      <c r="E8362" t="inlineStr">
        <is>
          <t>VILHELMINA</t>
        </is>
      </c>
      <c r="F8362" t="inlineStr">
        <is>
          <t>SCA</t>
        </is>
      </c>
      <c r="G8362" t="n">
        <v>1.4</v>
      </c>
      <c r="H8362" t="n">
        <v>0</v>
      </c>
      <c r="I8362" t="n">
        <v>0</v>
      </c>
      <c r="J8362" t="n">
        <v>0</v>
      </c>
      <c r="K8362" t="n">
        <v>0</v>
      </c>
      <c r="L8362" t="n">
        <v>0</v>
      </c>
      <c r="M8362" t="n">
        <v>0</v>
      </c>
      <c r="N8362" t="n">
        <v>0</v>
      </c>
      <c r="O8362" t="n">
        <v>0</v>
      </c>
      <c r="P8362" t="n">
        <v>0</v>
      </c>
      <c r="Q8362" t="n">
        <v>0</v>
      </c>
      <c r="R8362" s="2" t="inlineStr"/>
    </row>
    <row r="8363" ht="15" customHeight="1">
      <c r="A8363" t="inlineStr">
        <is>
          <t>A 60409-2025</t>
        </is>
      </c>
      <c r="B8363" s="1" t="n">
        <v>45995.4475</v>
      </c>
      <c r="C8363" s="1" t="n">
        <v>46075</v>
      </c>
      <c r="D8363" t="inlineStr">
        <is>
          <t>VÄSTERBOTTENS LÄN</t>
        </is>
      </c>
      <c r="E8363" t="inlineStr">
        <is>
          <t>SKELLEFTEÅ</t>
        </is>
      </c>
      <c r="G8363" t="n">
        <v>1.3</v>
      </c>
      <c r="H8363" t="n">
        <v>0</v>
      </c>
      <c r="I8363" t="n">
        <v>0</v>
      </c>
      <c r="J8363" t="n">
        <v>0</v>
      </c>
      <c r="K8363" t="n">
        <v>0</v>
      </c>
      <c r="L8363" t="n">
        <v>0</v>
      </c>
      <c r="M8363" t="n">
        <v>0</v>
      </c>
      <c r="N8363" t="n">
        <v>0</v>
      </c>
      <c r="O8363" t="n">
        <v>0</v>
      </c>
      <c r="P8363" t="n">
        <v>0</v>
      </c>
      <c r="Q8363" t="n">
        <v>0</v>
      </c>
      <c r="R8363" s="2" t="inlineStr"/>
    </row>
    <row r="8364" ht="15" customHeight="1">
      <c r="A8364" t="inlineStr">
        <is>
          <t>A 49274-2024</t>
        </is>
      </c>
      <c r="B8364" s="1" t="n">
        <v>45595.5080787037</v>
      </c>
      <c r="C8364" s="1" t="n">
        <v>46075</v>
      </c>
      <c r="D8364" t="inlineStr">
        <is>
          <t>VÄSTERBOTTENS LÄN</t>
        </is>
      </c>
      <c r="E8364" t="inlineStr">
        <is>
          <t>MALÅ</t>
        </is>
      </c>
      <c r="G8364" t="n">
        <v>5.7</v>
      </c>
      <c r="H8364" t="n">
        <v>0</v>
      </c>
      <c r="I8364" t="n">
        <v>0</v>
      </c>
      <c r="J8364" t="n">
        <v>0</v>
      </c>
      <c r="K8364" t="n">
        <v>0</v>
      </c>
      <c r="L8364" t="n">
        <v>0</v>
      </c>
      <c r="M8364" t="n">
        <v>0</v>
      </c>
      <c r="N8364" t="n">
        <v>0</v>
      </c>
      <c r="O8364" t="n">
        <v>0</v>
      </c>
      <c r="P8364" t="n">
        <v>0</v>
      </c>
      <c r="Q8364" t="n">
        <v>0</v>
      </c>
      <c r="R8364" s="2" t="inlineStr"/>
    </row>
    <row r="8365" ht="15" customHeight="1">
      <c r="A8365" t="inlineStr">
        <is>
          <t>A 60125-2025</t>
        </is>
      </c>
      <c r="B8365" s="1" t="n">
        <v>45994.34052083334</v>
      </c>
      <c r="C8365" s="1" t="n">
        <v>46075</v>
      </c>
      <c r="D8365" t="inlineStr">
        <is>
          <t>VÄSTERBOTTENS LÄN</t>
        </is>
      </c>
      <c r="E8365" t="inlineStr">
        <is>
          <t>VINDELN</t>
        </is>
      </c>
      <c r="G8365" t="n">
        <v>1.4</v>
      </c>
      <c r="H8365" t="n">
        <v>0</v>
      </c>
      <c r="I8365" t="n">
        <v>0</v>
      </c>
      <c r="J8365" t="n">
        <v>0</v>
      </c>
      <c r="K8365" t="n">
        <v>0</v>
      </c>
      <c r="L8365" t="n">
        <v>0</v>
      </c>
      <c r="M8365" t="n">
        <v>0</v>
      </c>
      <c r="N8365" t="n">
        <v>0</v>
      </c>
      <c r="O8365" t="n">
        <v>0</v>
      </c>
      <c r="P8365" t="n">
        <v>0</v>
      </c>
      <c r="Q8365" t="n">
        <v>0</v>
      </c>
      <c r="R8365" s="2" t="inlineStr"/>
    </row>
    <row r="8366" ht="15" customHeight="1">
      <c r="A8366" t="inlineStr">
        <is>
          <t>A 16606-2022</t>
        </is>
      </c>
      <c r="B8366" s="1" t="n">
        <v>44672</v>
      </c>
      <c r="C8366" s="1" t="n">
        <v>46075</v>
      </c>
      <c r="D8366" t="inlineStr">
        <is>
          <t>VÄSTERBOTTENS LÄN</t>
        </is>
      </c>
      <c r="E8366" t="inlineStr">
        <is>
          <t>UMEÅ</t>
        </is>
      </c>
      <c r="G8366" t="n">
        <v>1.8</v>
      </c>
      <c r="H8366" t="n">
        <v>0</v>
      </c>
      <c r="I8366" t="n">
        <v>0</v>
      </c>
      <c r="J8366" t="n">
        <v>0</v>
      </c>
      <c r="K8366" t="n">
        <v>0</v>
      </c>
      <c r="L8366" t="n">
        <v>0</v>
      </c>
      <c r="M8366" t="n">
        <v>0</v>
      </c>
      <c r="N8366" t="n">
        <v>0</v>
      </c>
      <c r="O8366" t="n">
        <v>0</v>
      </c>
      <c r="P8366" t="n">
        <v>0</v>
      </c>
      <c r="Q8366" t="n">
        <v>0</v>
      </c>
      <c r="R8366" s="2" t="inlineStr"/>
    </row>
    <row r="8367" ht="15" customHeight="1">
      <c r="A8367" t="inlineStr">
        <is>
          <t>A 2072-2026</t>
        </is>
      </c>
      <c r="B8367" s="1" t="n">
        <v>46036.33851851852</v>
      </c>
      <c r="C8367" s="1" t="n">
        <v>46075</v>
      </c>
      <c r="D8367" t="inlineStr">
        <is>
          <t>VÄSTERBOTTENS LÄN</t>
        </is>
      </c>
      <c r="E8367" t="inlineStr">
        <is>
          <t>VÄNNÄS</t>
        </is>
      </c>
      <c r="G8367" t="n">
        <v>0.7</v>
      </c>
      <c r="H8367" t="n">
        <v>0</v>
      </c>
      <c r="I8367" t="n">
        <v>0</v>
      </c>
      <c r="J8367" t="n">
        <v>0</v>
      </c>
      <c r="K8367" t="n">
        <v>0</v>
      </c>
      <c r="L8367" t="n">
        <v>0</v>
      </c>
      <c r="M8367" t="n">
        <v>0</v>
      </c>
      <c r="N8367" t="n">
        <v>0</v>
      </c>
      <c r="O8367" t="n">
        <v>0</v>
      </c>
      <c r="P8367" t="n">
        <v>0</v>
      </c>
      <c r="Q8367" t="n">
        <v>0</v>
      </c>
      <c r="R8367" s="2" t="inlineStr"/>
    </row>
    <row r="8368" ht="15" customHeight="1">
      <c r="A8368" t="inlineStr">
        <is>
          <t>A 2378-2026</t>
        </is>
      </c>
      <c r="B8368" s="1" t="n">
        <v>46036.65756944445</v>
      </c>
      <c r="C8368" s="1" t="n">
        <v>46075</v>
      </c>
      <c r="D8368" t="inlineStr">
        <is>
          <t>VÄSTERBOTTENS LÄN</t>
        </is>
      </c>
      <c r="E8368" t="inlineStr">
        <is>
          <t>ÅSELE</t>
        </is>
      </c>
      <c r="F8368" t="inlineStr">
        <is>
          <t>Sveaskog</t>
        </is>
      </c>
      <c r="G8368" t="n">
        <v>17.1</v>
      </c>
      <c r="H8368" t="n">
        <v>0</v>
      </c>
      <c r="I8368" t="n">
        <v>0</v>
      </c>
      <c r="J8368" t="n">
        <v>0</v>
      </c>
      <c r="K8368" t="n">
        <v>0</v>
      </c>
      <c r="L8368" t="n">
        <v>0</v>
      </c>
      <c r="M8368" t="n">
        <v>0</v>
      </c>
      <c r="N8368" t="n">
        <v>0</v>
      </c>
      <c r="O8368" t="n">
        <v>0</v>
      </c>
      <c r="P8368" t="n">
        <v>0</v>
      </c>
      <c r="Q8368" t="n">
        <v>0</v>
      </c>
      <c r="R8368" s="2" t="inlineStr"/>
    </row>
    <row r="8369" ht="15" customHeight="1">
      <c r="A8369" t="inlineStr">
        <is>
          <t>A 5302-2025</t>
        </is>
      </c>
      <c r="B8369" s="1" t="n">
        <v>45692.47335648148</v>
      </c>
      <c r="C8369" s="1" t="n">
        <v>46075</v>
      </c>
      <c r="D8369" t="inlineStr">
        <is>
          <t>VÄSTERBOTTENS LÄN</t>
        </is>
      </c>
      <c r="E8369" t="inlineStr">
        <is>
          <t>UMEÅ</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60647-2025</t>
        </is>
      </c>
      <c r="B8370" s="1" t="n">
        <v>45995</v>
      </c>
      <c r="C8370" s="1" t="n">
        <v>46075</v>
      </c>
      <c r="D8370" t="inlineStr">
        <is>
          <t>VÄSTERBOTTENS LÄN</t>
        </is>
      </c>
      <c r="E8370" t="inlineStr">
        <is>
          <t>ROBERTSFORS</t>
        </is>
      </c>
      <c r="G8370" t="n">
        <v>1.6</v>
      </c>
      <c r="H8370" t="n">
        <v>0</v>
      </c>
      <c r="I8370" t="n">
        <v>0</v>
      </c>
      <c r="J8370" t="n">
        <v>0</v>
      </c>
      <c r="K8370" t="n">
        <v>0</v>
      </c>
      <c r="L8370" t="n">
        <v>0</v>
      </c>
      <c r="M8370" t="n">
        <v>0</v>
      </c>
      <c r="N8370" t="n">
        <v>0</v>
      </c>
      <c r="O8370" t="n">
        <v>0</v>
      </c>
      <c r="P8370" t="n">
        <v>0</v>
      </c>
      <c r="Q8370" t="n">
        <v>0</v>
      </c>
      <c r="R8370" s="2" t="inlineStr"/>
    </row>
    <row r="8371" ht="15" customHeight="1">
      <c r="A8371" t="inlineStr">
        <is>
          <t>A 60309-2025</t>
        </is>
      </c>
      <c r="B8371" s="1" t="n">
        <v>45994.68822916667</v>
      </c>
      <c r="C8371" s="1" t="n">
        <v>46075</v>
      </c>
      <c r="D8371" t="inlineStr">
        <is>
          <t>VÄSTERBOTTENS LÄN</t>
        </is>
      </c>
      <c r="E8371" t="inlineStr">
        <is>
          <t>LYCKSELE</t>
        </is>
      </c>
      <c r="G8371" t="n">
        <v>3.6</v>
      </c>
      <c r="H8371" t="n">
        <v>0</v>
      </c>
      <c r="I8371" t="n">
        <v>0</v>
      </c>
      <c r="J8371" t="n">
        <v>0</v>
      </c>
      <c r="K8371" t="n">
        <v>0</v>
      </c>
      <c r="L8371" t="n">
        <v>0</v>
      </c>
      <c r="M8371" t="n">
        <v>0</v>
      </c>
      <c r="N8371" t="n">
        <v>0</v>
      </c>
      <c r="O8371" t="n">
        <v>0</v>
      </c>
      <c r="P8371" t="n">
        <v>0</v>
      </c>
      <c r="Q8371" t="n">
        <v>0</v>
      </c>
      <c r="R8371" s="2" t="inlineStr"/>
    </row>
    <row r="8372" ht="15" customHeight="1">
      <c r="A8372" t="inlineStr">
        <is>
          <t>A 38026-2021</t>
        </is>
      </c>
      <c r="B8372" s="1" t="n">
        <v>44404</v>
      </c>
      <c r="C8372" s="1" t="n">
        <v>46075</v>
      </c>
      <c r="D8372" t="inlineStr">
        <is>
          <t>VÄSTERBOTTENS LÄN</t>
        </is>
      </c>
      <c r="E8372" t="inlineStr">
        <is>
          <t>SKELLEFTEÅ</t>
        </is>
      </c>
      <c r="F8372" t="inlineStr">
        <is>
          <t>Holmen skog AB</t>
        </is>
      </c>
      <c r="G8372" t="n">
        <v>7.8</v>
      </c>
      <c r="H8372" t="n">
        <v>0</v>
      </c>
      <c r="I8372" t="n">
        <v>0</v>
      </c>
      <c r="J8372" t="n">
        <v>0</v>
      </c>
      <c r="K8372" t="n">
        <v>0</v>
      </c>
      <c r="L8372" t="n">
        <v>0</v>
      </c>
      <c r="M8372" t="n">
        <v>0</v>
      </c>
      <c r="N8372" t="n">
        <v>0</v>
      </c>
      <c r="O8372" t="n">
        <v>0</v>
      </c>
      <c r="P8372" t="n">
        <v>0</v>
      </c>
      <c r="Q8372" t="n">
        <v>0</v>
      </c>
      <c r="R8372" s="2" t="inlineStr"/>
    </row>
    <row r="8373" ht="15" customHeight="1">
      <c r="A8373" t="inlineStr">
        <is>
          <t>A 60247-2025</t>
        </is>
      </c>
      <c r="B8373" s="1" t="n">
        <v>45994.5903125</v>
      </c>
      <c r="C8373" s="1" t="n">
        <v>46075</v>
      </c>
      <c r="D8373" t="inlineStr">
        <is>
          <t>VÄSTERBOTTENS LÄN</t>
        </is>
      </c>
      <c r="E8373" t="inlineStr">
        <is>
          <t>SKELLEFTEÅ</t>
        </is>
      </c>
      <c r="G8373" t="n">
        <v>3</v>
      </c>
      <c r="H8373" t="n">
        <v>0</v>
      </c>
      <c r="I8373" t="n">
        <v>0</v>
      </c>
      <c r="J8373" t="n">
        <v>0</v>
      </c>
      <c r="K8373" t="n">
        <v>0</v>
      </c>
      <c r="L8373" t="n">
        <v>0</v>
      </c>
      <c r="M8373" t="n">
        <v>0</v>
      </c>
      <c r="N8373" t="n">
        <v>0</v>
      </c>
      <c r="O8373" t="n">
        <v>0</v>
      </c>
      <c r="P8373" t="n">
        <v>0</v>
      </c>
      <c r="Q8373" t="n">
        <v>0</v>
      </c>
      <c r="R8373" s="2" t="inlineStr"/>
    </row>
    <row r="8374" ht="15" customHeight="1">
      <c r="A8374" t="inlineStr">
        <is>
          <t>A 16407-2024</t>
        </is>
      </c>
      <c r="B8374" s="1" t="n">
        <v>45407.63806712963</v>
      </c>
      <c r="C8374" s="1" t="n">
        <v>46075</v>
      </c>
      <c r="D8374" t="inlineStr">
        <is>
          <t>VÄSTERBOTTENS LÄN</t>
        </is>
      </c>
      <c r="E8374" t="inlineStr">
        <is>
          <t>NORSJÖ</t>
        </is>
      </c>
      <c r="F8374" t="inlineStr">
        <is>
          <t>Sveaskog</t>
        </is>
      </c>
      <c r="G8374" t="n">
        <v>11.1</v>
      </c>
      <c r="H8374" t="n">
        <v>0</v>
      </c>
      <c r="I8374" t="n">
        <v>0</v>
      </c>
      <c r="J8374" t="n">
        <v>0</v>
      </c>
      <c r="K8374" t="n">
        <v>0</v>
      </c>
      <c r="L8374" t="n">
        <v>0</v>
      </c>
      <c r="M8374" t="n">
        <v>0</v>
      </c>
      <c r="N8374" t="n">
        <v>0</v>
      </c>
      <c r="O8374" t="n">
        <v>0</v>
      </c>
      <c r="P8374" t="n">
        <v>0</v>
      </c>
      <c r="Q8374" t="n">
        <v>0</v>
      </c>
      <c r="R8374" s="2" t="inlineStr"/>
    </row>
    <row r="8375" ht="15" customHeight="1">
      <c r="A8375" t="inlineStr">
        <is>
          <t>A 16520-2022</t>
        </is>
      </c>
      <c r="B8375" s="1" t="n">
        <v>44671</v>
      </c>
      <c r="C8375" s="1" t="n">
        <v>46075</v>
      </c>
      <c r="D8375" t="inlineStr">
        <is>
          <t>VÄSTERBOTTENS LÄN</t>
        </is>
      </c>
      <c r="E8375" t="inlineStr">
        <is>
          <t>STORUMAN</t>
        </is>
      </c>
      <c r="G8375" t="n">
        <v>20.1</v>
      </c>
      <c r="H8375" t="n">
        <v>0</v>
      </c>
      <c r="I8375" t="n">
        <v>0</v>
      </c>
      <c r="J8375" t="n">
        <v>0</v>
      </c>
      <c r="K8375" t="n">
        <v>0</v>
      </c>
      <c r="L8375" t="n">
        <v>0</v>
      </c>
      <c r="M8375" t="n">
        <v>0</v>
      </c>
      <c r="N8375" t="n">
        <v>0</v>
      </c>
      <c r="O8375" t="n">
        <v>0</v>
      </c>
      <c r="P8375" t="n">
        <v>0</v>
      </c>
      <c r="Q8375" t="n">
        <v>0</v>
      </c>
      <c r="R8375" s="2" t="inlineStr"/>
    </row>
    <row r="8376" ht="15" customHeight="1">
      <c r="A8376" t="inlineStr">
        <is>
          <t>A 60294-2025</t>
        </is>
      </c>
      <c r="B8376" s="1" t="n">
        <v>45994.65636574074</v>
      </c>
      <c r="C8376" s="1" t="n">
        <v>46075</v>
      </c>
      <c r="D8376" t="inlineStr">
        <is>
          <t>VÄSTERBOTTENS LÄN</t>
        </is>
      </c>
      <c r="E8376" t="inlineStr">
        <is>
          <t>VINDELN</t>
        </is>
      </c>
      <c r="F8376" t="inlineStr">
        <is>
          <t>Sveaskog</t>
        </is>
      </c>
      <c r="G8376" t="n">
        <v>2.8</v>
      </c>
      <c r="H8376" t="n">
        <v>0</v>
      </c>
      <c r="I8376" t="n">
        <v>0</v>
      </c>
      <c r="J8376" t="n">
        <v>0</v>
      </c>
      <c r="K8376" t="n">
        <v>0</v>
      </c>
      <c r="L8376" t="n">
        <v>0</v>
      </c>
      <c r="M8376" t="n">
        <v>0</v>
      </c>
      <c r="N8376" t="n">
        <v>0</v>
      </c>
      <c r="O8376" t="n">
        <v>0</v>
      </c>
      <c r="P8376" t="n">
        <v>0</v>
      </c>
      <c r="Q8376" t="n">
        <v>0</v>
      </c>
      <c r="R8376" s="2" t="inlineStr"/>
    </row>
    <row r="8377" ht="15" customHeight="1">
      <c r="A8377" t="inlineStr">
        <is>
          <t>A 538-2025</t>
        </is>
      </c>
      <c r="B8377" s="1" t="n">
        <v>45660</v>
      </c>
      <c r="C8377" s="1" t="n">
        <v>46075</v>
      </c>
      <c r="D8377" t="inlineStr">
        <is>
          <t>VÄSTERBOTTENS LÄN</t>
        </is>
      </c>
      <c r="E8377" t="inlineStr">
        <is>
          <t>MALÅ</t>
        </is>
      </c>
      <c r="G8377" t="n">
        <v>7.5</v>
      </c>
      <c r="H8377" t="n">
        <v>0</v>
      </c>
      <c r="I8377" t="n">
        <v>0</v>
      </c>
      <c r="J8377" t="n">
        <v>0</v>
      </c>
      <c r="K8377" t="n">
        <v>0</v>
      </c>
      <c r="L8377" t="n">
        <v>0</v>
      </c>
      <c r="M8377" t="n">
        <v>0</v>
      </c>
      <c r="N8377" t="n">
        <v>0</v>
      </c>
      <c r="O8377" t="n">
        <v>0</v>
      </c>
      <c r="P8377" t="n">
        <v>0</v>
      </c>
      <c r="Q8377" t="n">
        <v>0</v>
      </c>
      <c r="R8377" s="2" t="inlineStr"/>
    </row>
    <row r="8378" ht="15" customHeight="1">
      <c r="A8378" t="inlineStr">
        <is>
          <t>A 549-2025</t>
        </is>
      </c>
      <c r="B8378" s="1" t="n">
        <v>45660</v>
      </c>
      <c r="C8378" s="1" t="n">
        <v>46075</v>
      </c>
      <c r="D8378" t="inlineStr">
        <is>
          <t>VÄSTERBOTTENS LÄN</t>
        </is>
      </c>
      <c r="E8378" t="inlineStr">
        <is>
          <t>MALÅ</t>
        </is>
      </c>
      <c r="G8378" t="n">
        <v>8.9</v>
      </c>
      <c r="H8378" t="n">
        <v>0</v>
      </c>
      <c r="I8378" t="n">
        <v>0</v>
      </c>
      <c r="J8378" t="n">
        <v>0</v>
      </c>
      <c r="K8378" t="n">
        <v>0</v>
      </c>
      <c r="L8378" t="n">
        <v>0</v>
      </c>
      <c r="M8378" t="n">
        <v>0</v>
      </c>
      <c r="N8378" t="n">
        <v>0</v>
      </c>
      <c r="O8378" t="n">
        <v>0</v>
      </c>
      <c r="P8378" t="n">
        <v>0</v>
      </c>
      <c r="Q8378" t="n">
        <v>0</v>
      </c>
      <c r="R8378" s="2" t="inlineStr"/>
    </row>
    <row r="8379" ht="15" customHeight="1">
      <c r="A8379" t="inlineStr">
        <is>
          <t>A 50494-2023</t>
        </is>
      </c>
      <c r="B8379" s="1" t="n">
        <v>45216.95604166666</v>
      </c>
      <c r="C8379" s="1" t="n">
        <v>46075</v>
      </c>
      <c r="D8379" t="inlineStr">
        <is>
          <t>VÄSTERBOTTENS LÄN</t>
        </is>
      </c>
      <c r="E8379" t="inlineStr">
        <is>
          <t>VILHELMINA</t>
        </is>
      </c>
      <c r="F8379" t="inlineStr">
        <is>
          <t>SCA</t>
        </is>
      </c>
      <c r="G8379" t="n">
        <v>2.6</v>
      </c>
      <c r="H8379" t="n">
        <v>0</v>
      </c>
      <c r="I8379" t="n">
        <v>0</v>
      </c>
      <c r="J8379" t="n">
        <v>0</v>
      </c>
      <c r="K8379" t="n">
        <v>0</v>
      </c>
      <c r="L8379" t="n">
        <v>0</v>
      </c>
      <c r="M8379" t="n">
        <v>0</v>
      </c>
      <c r="N8379" t="n">
        <v>0</v>
      </c>
      <c r="O8379" t="n">
        <v>0</v>
      </c>
      <c r="P8379" t="n">
        <v>0</v>
      </c>
      <c r="Q8379" t="n">
        <v>0</v>
      </c>
      <c r="R8379" s="2" t="inlineStr"/>
    </row>
    <row r="8380" ht="15" customHeight="1">
      <c r="A8380" t="inlineStr">
        <is>
          <t>A 50512-2023</t>
        </is>
      </c>
      <c r="B8380" s="1" t="n">
        <v>45216.95886574074</v>
      </c>
      <c r="C8380" s="1" t="n">
        <v>46075</v>
      </c>
      <c r="D8380" t="inlineStr">
        <is>
          <t>VÄSTERBOTTENS LÄN</t>
        </is>
      </c>
      <c r="E8380" t="inlineStr">
        <is>
          <t>VINDELN</t>
        </is>
      </c>
      <c r="F8380" t="inlineStr">
        <is>
          <t>SCA</t>
        </is>
      </c>
      <c r="G8380" t="n">
        <v>2.8</v>
      </c>
      <c r="H8380" t="n">
        <v>0</v>
      </c>
      <c r="I8380" t="n">
        <v>0</v>
      </c>
      <c r="J8380" t="n">
        <v>0</v>
      </c>
      <c r="K8380" t="n">
        <v>0</v>
      </c>
      <c r="L8380" t="n">
        <v>0</v>
      </c>
      <c r="M8380" t="n">
        <v>0</v>
      </c>
      <c r="N8380" t="n">
        <v>0</v>
      </c>
      <c r="O8380" t="n">
        <v>0</v>
      </c>
      <c r="P8380" t="n">
        <v>0</v>
      </c>
      <c r="Q8380" t="n">
        <v>0</v>
      </c>
      <c r="R8380" s="2" t="inlineStr"/>
    </row>
    <row r="8381" ht="15" customHeight="1">
      <c r="A8381" t="inlineStr">
        <is>
          <t>A 18357-2023</t>
        </is>
      </c>
      <c r="B8381" s="1" t="n">
        <v>45041</v>
      </c>
      <c r="C8381" s="1" t="n">
        <v>46075</v>
      </c>
      <c r="D8381" t="inlineStr">
        <is>
          <t>VÄSTERBOTTENS LÄN</t>
        </is>
      </c>
      <c r="E8381" t="inlineStr">
        <is>
          <t>SKELLEFTEÅ</t>
        </is>
      </c>
      <c r="G8381" t="n">
        <v>11.2</v>
      </c>
      <c r="H8381" t="n">
        <v>0</v>
      </c>
      <c r="I8381" t="n">
        <v>0</v>
      </c>
      <c r="J8381" t="n">
        <v>0</v>
      </c>
      <c r="K8381" t="n">
        <v>0</v>
      </c>
      <c r="L8381" t="n">
        <v>0</v>
      </c>
      <c r="M8381" t="n">
        <v>0</v>
      </c>
      <c r="N8381" t="n">
        <v>0</v>
      </c>
      <c r="O8381" t="n">
        <v>0</v>
      </c>
      <c r="P8381" t="n">
        <v>0</v>
      </c>
      <c r="Q8381" t="n">
        <v>0</v>
      </c>
      <c r="R8381" s="2" t="inlineStr"/>
    </row>
    <row r="8382" ht="15" customHeight="1">
      <c r="A8382" t="inlineStr">
        <is>
          <t>A 33828-2024</t>
        </is>
      </c>
      <c r="B8382" s="1" t="n">
        <v>45520.61695601852</v>
      </c>
      <c r="C8382" s="1" t="n">
        <v>46075</v>
      </c>
      <c r="D8382" t="inlineStr">
        <is>
          <t>VÄSTERBOTTENS LÄN</t>
        </is>
      </c>
      <c r="E8382" t="inlineStr">
        <is>
          <t>VILHELMINA</t>
        </is>
      </c>
      <c r="F8382" t="inlineStr">
        <is>
          <t>SCA</t>
        </is>
      </c>
      <c r="G8382" t="n">
        <v>2.4</v>
      </c>
      <c r="H8382" t="n">
        <v>0</v>
      </c>
      <c r="I8382" t="n">
        <v>0</v>
      </c>
      <c r="J8382" t="n">
        <v>0</v>
      </c>
      <c r="K8382" t="n">
        <v>0</v>
      </c>
      <c r="L8382" t="n">
        <v>0</v>
      </c>
      <c r="M8382" t="n">
        <v>0</v>
      </c>
      <c r="N8382" t="n">
        <v>0</v>
      </c>
      <c r="O8382" t="n">
        <v>0</v>
      </c>
      <c r="P8382" t="n">
        <v>0</v>
      </c>
      <c r="Q8382" t="n">
        <v>0</v>
      </c>
      <c r="R8382" s="2" t="inlineStr"/>
    </row>
    <row r="8383" ht="15" customHeight="1">
      <c r="A8383" t="inlineStr">
        <is>
          <t>A 60507-2025</t>
        </is>
      </c>
      <c r="B8383" s="1" t="n">
        <v>45995.6294212963</v>
      </c>
      <c r="C8383" s="1" t="n">
        <v>46075</v>
      </c>
      <c r="D8383" t="inlineStr">
        <is>
          <t>VÄSTERBOTTENS LÄN</t>
        </is>
      </c>
      <c r="E8383" t="inlineStr">
        <is>
          <t>SKELLEFTEÅ</t>
        </is>
      </c>
      <c r="G8383" t="n">
        <v>13.7</v>
      </c>
      <c r="H8383" t="n">
        <v>0</v>
      </c>
      <c r="I8383" t="n">
        <v>0</v>
      </c>
      <c r="J8383" t="n">
        <v>0</v>
      </c>
      <c r="K8383" t="n">
        <v>0</v>
      </c>
      <c r="L8383" t="n">
        <v>0</v>
      </c>
      <c r="M8383" t="n">
        <v>0</v>
      </c>
      <c r="N8383" t="n">
        <v>0</v>
      </c>
      <c r="O8383" t="n">
        <v>0</v>
      </c>
      <c r="P8383" t="n">
        <v>0</v>
      </c>
      <c r="Q8383" t="n">
        <v>0</v>
      </c>
      <c r="R8383" s="2" t="inlineStr"/>
    </row>
    <row r="8384" ht="15" customHeight="1">
      <c r="A8384" t="inlineStr">
        <is>
          <t>A 60533-2025</t>
        </is>
      </c>
      <c r="B8384" s="1" t="n">
        <v>45995.65939814815</v>
      </c>
      <c r="C8384" s="1" t="n">
        <v>46075</v>
      </c>
      <c r="D8384" t="inlineStr">
        <is>
          <t>VÄSTERBOTTENS LÄN</t>
        </is>
      </c>
      <c r="E8384" t="inlineStr">
        <is>
          <t>VÄNNÄS</t>
        </is>
      </c>
      <c r="G8384" t="n">
        <v>0.9</v>
      </c>
      <c r="H8384" t="n">
        <v>0</v>
      </c>
      <c r="I8384" t="n">
        <v>0</v>
      </c>
      <c r="J8384" t="n">
        <v>0</v>
      </c>
      <c r="K8384" t="n">
        <v>0</v>
      </c>
      <c r="L8384" t="n">
        <v>0</v>
      </c>
      <c r="M8384" t="n">
        <v>0</v>
      </c>
      <c r="N8384" t="n">
        <v>0</v>
      </c>
      <c r="O8384" t="n">
        <v>0</v>
      </c>
      <c r="P8384" t="n">
        <v>0</v>
      </c>
      <c r="Q8384" t="n">
        <v>0</v>
      </c>
      <c r="R8384" s="2" t="inlineStr"/>
    </row>
    <row r="8385" ht="15" customHeight="1">
      <c r="A8385" t="inlineStr">
        <is>
          <t>A 60554-2025</t>
        </is>
      </c>
      <c r="B8385" s="1" t="n">
        <v>45995.73587962963</v>
      </c>
      <c r="C8385" s="1" t="n">
        <v>46075</v>
      </c>
      <c r="D8385" t="inlineStr">
        <is>
          <t>VÄSTERBOTTENS LÄN</t>
        </is>
      </c>
      <c r="E8385" t="inlineStr">
        <is>
          <t>SKELLEFTEÅ</t>
        </is>
      </c>
      <c r="G8385" t="n">
        <v>2.5</v>
      </c>
      <c r="H8385" t="n">
        <v>0</v>
      </c>
      <c r="I8385" t="n">
        <v>0</v>
      </c>
      <c r="J8385" t="n">
        <v>0</v>
      </c>
      <c r="K8385" t="n">
        <v>0</v>
      </c>
      <c r="L8385" t="n">
        <v>0</v>
      </c>
      <c r="M8385" t="n">
        <v>0</v>
      </c>
      <c r="N8385" t="n">
        <v>0</v>
      </c>
      <c r="O8385" t="n">
        <v>0</v>
      </c>
      <c r="P8385" t="n">
        <v>0</v>
      </c>
      <c r="Q8385" t="n">
        <v>0</v>
      </c>
      <c r="R8385" s="2" t="inlineStr"/>
    </row>
    <row r="8386" ht="15" customHeight="1">
      <c r="A8386" t="inlineStr">
        <is>
          <t>A 38395-2023</t>
        </is>
      </c>
      <c r="B8386" s="1" t="n">
        <v>45162.31554398148</v>
      </c>
      <c r="C8386" s="1" t="n">
        <v>46075</v>
      </c>
      <c r="D8386" t="inlineStr">
        <is>
          <t>VÄSTERBOTTENS LÄN</t>
        </is>
      </c>
      <c r="E8386" t="inlineStr">
        <is>
          <t>SKELLEFTEÅ</t>
        </is>
      </c>
      <c r="F8386" t="inlineStr">
        <is>
          <t>Sveaskog</t>
        </is>
      </c>
      <c r="G8386" t="n">
        <v>18.9</v>
      </c>
      <c r="H8386" t="n">
        <v>0</v>
      </c>
      <c r="I8386" t="n">
        <v>0</v>
      </c>
      <c r="J8386" t="n">
        <v>0</v>
      </c>
      <c r="K8386" t="n">
        <v>0</v>
      </c>
      <c r="L8386" t="n">
        <v>0</v>
      </c>
      <c r="M8386" t="n">
        <v>0</v>
      </c>
      <c r="N8386" t="n">
        <v>0</v>
      </c>
      <c r="O8386" t="n">
        <v>0</v>
      </c>
      <c r="P8386" t="n">
        <v>0</v>
      </c>
      <c r="Q8386" t="n">
        <v>0</v>
      </c>
      <c r="R8386" s="2" t="inlineStr"/>
    </row>
    <row r="8387" ht="15" customHeight="1">
      <c r="A8387" t="inlineStr">
        <is>
          <t>A 37678-2023</t>
        </is>
      </c>
      <c r="B8387" s="1" t="n">
        <v>45156</v>
      </c>
      <c r="C8387" s="1" t="n">
        <v>46075</v>
      </c>
      <c r="D8387" t="inlineStr">
        <is>
          <t>VÄSTERBOTTENS LÄN</t>
        </is>
      </c>
      <c r="E8387" t="inlineStr">
        <is>
          <t>MALÅ</t>
        </is>
      </c>
      <c r="G8387" t="n">
        <v>7.3</v>
      </c>
      <c r="H8387" t="n">
        <v>0</v>
      </c>
      <c r="I8387" t="n">
        <v>0</v>
      </c>
      <c r="J8387" t="n">
        <v>0</v>
      </c>
      <c r="K8387" t="n">
        <v>0</v>
      </c>
      <c r="L8387" t="n">
        <v>0</v>
      </c>
      <c r="M8387" t="n">
        <v>0</v>
      </c>
      <c r="N8387" t="n">
        <v>0</v>
      </c>
      <c r="O8387" t="n">
        <v>0</v>
      </c>
      <c r="P8387" t="n">
        <v>0</v>
      </c>
      <c r="Q8387" t="n">
        <v>0</v>
      </c>
      <c r="R8387" s="2" t="inlineStr"/>
    </row>
    <row r="8388" ht="15" customHeight="1">
      <c r="A8388" t="inlineStr">
        <is>
          <t>A 1437-2025</t>
        </is>
      </c>
      <c r="B8388" s="1" t="n">
        <v>45669.67790509259</v>
      </c>
      <c r="C8388" s="1" t="n">
        <v>46075</v>
      </c>
      <c r="D8388" t="inlineStr">
        <is>
          <t>VÄSTERBOTTENS LÄN</t>
        </is>
      </c>
      <c r="E8388" t="inlineStr">
        <is>
          <t>VÄNNÄS</t>
        </is>
      </c>
      <c r="G8388" t="n">
        <v>11.7</v>
      </c>
      <c r="H8388" t="n">
        <v>0</v>
      </c>
      <c r="I8388" t="n">
        <v>0</v>
      </c>
      <c r="J8388" t="n">
        <v>0</v>
      </c>
      <c r="K8388" t="n">
        <v>0</v>
      </c>
      <c r="L8388" t="n">
        <v>0</v>
      </c>
      <c r="M8388" t="n">
        <v>0</v>
      </c>
      <c r="N8388" t="n">
        <v>0</v>
      </c>
      <c r="O8388" t="n">
        <v>0</v>
      </c>
      <c r="P8388" t="n">
        <v>0</v>
      </c>
      <c r="Q8388" t="n">
        <v>0</v>
      </c>
      <c r="R8388" s="2" t="inlineStr"/>
    </row>
    <row r="8389" ht="15" customHeight="1">
      <c r="A8389" t="inlineStr">
        <is>
          <t>A 1557-2025</t>
        </is>
      </c>
      <c r="B8389" s="1" t="n">
        <v>45670</v>
      </c>
      <c r="C8389" s="1" t="n">
        <v>46075</v>
      </c>
      <c r="D8389" t="inlineStr">
        <is>
          <t>VÄSTERBOTTENS LÄN</t>
        </is>
      </c>
      <c r="E8389" t="inlineStr">
        <is>
          <t>NORSJÖ</t>
        </is>
      </c>
      <c r="G8389" t="n">
        <v>8.9</v>
      </c>
      <c r="H8389" t="n">
        <v>0</v>
      </c>
      <c r="I8389" t="n">
        <v>0</v>
      </c>
      <c r="J8389" t="n">
        <v>0</v>
      </c>
      <c r="K8389" t="n">
        <v>0</v>
      </c>
      <c r="L8389" t="n">
        <v>0</v>
      </c>
      <c r="M8389" t="n">
        <v>0</v>
      </c>
      <c r="N8389" t="n">
        <v>0</v>
      </c>
      <c r="O8389" t="n">
        <v>0</v>
      </c>
      <c r="P8389" t="n">
        <v>0</v>
      </c>
      <c r="Q8389" t="n">
        <v>0</v>
      </c>
      <c r="R8389" s="2" t="inlineStr"/>
    </row>
    <row r="8390" ht="15" customHeight="1">
      <c r="A8390" t="inlineStr">
        <is>
          <t>A 60469-2025</t>
        </is>
      </c>
      <c r="B8390" s="1" t="n">
        <v>45995.56527777778</v>
      </c>
      <c r="C8390" s="1" t="n">
        <v>46075</v>
      </c>
      <c r="D8390" t="inlineStr">
        <is>
          <t>VÄSTERBOTTENS LÄN</t>
        </is>
      </c>
      <c r="E8390" t="inlineStr">
        <is>
          <t>ÅSELE</t>
        </is>
      </c>
      <c r="G8390" t="n">
        <v>0.1</v>
      </c>
      <c r="H8390" t="n">
        <v>0</v>
      </c>
      <c r="I8390" t="n">
        <v>0</v>
      </c>
      <c r="J8390" t="n">
        <v>0</v>
      </c>
      <c r="K8390" t="n">
        <v>0</v>
      </c>
      <c r="L8390" t="n">
        <v>0</v>
      </c>
      <c r="M8390" t="n">
        <v>0</v>
      </c>
      <c r="N8390" t="n">
        <v>0</v>
      </c>
      <c r="O8390" t="n">
        <v>0</v>
      </c>
      <c r="P8390" t="n">
        <v>0</v>
      </c>
      <c r="Q8390" t="n">
        <v>0</v>
      </c>
      <c r="R8390" s="2" t="inlineStr"/>
    </row>
    <row r="8391" ht="15" customHeight="1">
      <c r="A8391" t="inlineStr">
        <is>
          <t>A 2440-2026</t>
        </is>
      </c>
      <c r="B8391" s="1" t="n">
        <v>46037.26846064815</v>
      </c>
      <c r="C8391" s="1" t="n">
        <v>46075</v>
      </c>
      <c r="D8391" t="inlineStr">
        <is>
          <t>VÄSTERBOTTENS LÄN</t>
        </is>
      </c>
      <c r="E8391" t="inlineStr">
        <is>
          <t>SKELLEFTEÅ</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1562-2025</t>
        </is>
      </c>
      <c r="B8392" s="1" t="n">
        <v>45670.54126157407</v>
      </c>
      <c r="C8392" s="1" t="n">
        <v>46075</v>
      </c>
      <c r="D8392" t="inlineStr">
        <is>
          <t>VÄSTERBOTTENS LÄN</t>
        </is>
      </c>
      <c r="E8392" t="inlineStr">
        <is>
          <t>NORSJÖ</t>
        </is>
      </c>
      <c r="G8392" t="n">
        <v>3.8</v>
      </c>
      <c r="H8392" t="n">
        <v>0</v>
      </c>
      <c r="I8392" t="n">
        <v>0</v>
      </c>
      <c r="J8392" t="n">
        <v>0</v>
      </c>
      <c r="K8392" t="n">
        <v>0</v>
      </c>
      <c r="L8392" t="n">
        <v>0</v>
      </c>
      <c r="M8392" t="n">
        <v>0</v>
      </c>
      <c r="N8392" t="n">
        <v>0</v>
      </c>
      <c r="O8392" t="n">
        <v>0</v>
      </c>
      <c r="P8392" t="n">
        <v>0</v>
      </c>
      <c r="Q8392" t="n">
        <v>0</v>
      </c>
      <c r="R8392" s="2" t="inlineStr"/>
    </row>
    <row r="8393" ht="15" customHeight="1">
      <c r="A8393" t="inlineStr">
        <is>
          <t>A 28169-2025</t>
        </is>
      </c>
      <c r="B8393" s="1" t="n">
        <v>45818</v>
      </c>
      <c r="C8393" s="1" t="n">
        <v>46075</v>
      </c>
      <c r="D8393" t="inlineStr">
        <is>
          <t>VÄSTERBOTTENS LÄN</t>
        </is>
      </c>
      <c r="E8393" t="inlineStr">
        <is>
          <t>SKELLEFTEÅ</t>
        </is>
      </c>
      <c r="F8393" t="inlineStr">
        <is>
          <t>Holmen skog AB</t>
        </is>
      </c>
      <c r="G8393" t="n">
        <v>0.2</v>
      </c>
      <c r="H8393" t="n">
        <v>0</v>
      </c>
      <c r="I8393" t="n">
        <v>0</v>
      </c>
      <c r="J8393" t="n">
        <v>0</v>
      </c>
      <c r="K8393" t="n">
        <v>0</v>
      </c>
      <c r="L8393" t="n">
        <v>0</v>
      </c>
      <c r="M8393" t="n">
        <v>0</v>
      </c>
      <c r="N8393" t="n">
        <v>0</v>
      </c>
      <c r="O8393" t="n">
        <v>0</v>
      </c>
      <c r="P8393" t="n">
        <v>0</v>
      </c>
      <c r="Q8393" t="n">
        <v>0</v>
      </c>
      <c r="R8393" s="2" t="inlineStr"/>
    </row>
    <row r="8394" ht="15" customHeight="1">
      <c r="A8394" t="inlineStr">
        <is>
          <t>A 2549-2026</t>
        </is>
      </c>
      <c r="B8394" s="1" t="n">
        <v>46037.46994212963</v>
      </c>
      <c r="C8394" s="1" t="n">
        <v>46075</v>
      </c>
      <c r="D8394" t="inlineStr">
        <is>
          <t>VÄSTERBOTTENS LÄN</t>
        </is>
      </c>
      <c r="E8394" t="inlineStr">
        <is>
          <t>UMEÅ</t>
        </is>
      </c>
      <c r="G8394" t="n">
        <v>5.3</v>
      </c>
      <c r="H8394" t="n">
        <v>0</v>
      </c>
      <c r="I8394" t="n">
        <v>0</v>
      </c>
      <c r="J8394" t="n">
        <v>0</v>
      </c>
      <c r="K8394" t="n">
        <v>0</v>
      </c>
      <c r="L8394" t="n">
        <v>0</v>
      </c>
      <c r="M8394" t="n">
        <v>0</v>
      </c>
      <c r="N8394" t="n">
        <v>0</v>
      </c>
      <c r="O8394" t="n">
        <v>0</v>
      </c>
      <c r="P8394" t="n">
        <v>0</v>
      </c>
      <c r="Q8394" t="n">
        <v>0</v>
      </c>
      <c r="R8394" s="2" t="inlineStr"/>
    </row>
    <row r="8395" ht="15" customHeight="1">
      <c r="A8395" t="inlineStr">
        <is>
          <t>A 44588-2024</t>
        </is>
      </c>
      <c r="B8395" s="1" t="n">
        <v>45574.5038425926</v>
      </c>
      <c r="C8395" s="1" t="n">
        <v>46075</v>
      </c>
      <c r="D8395" t="inlineStr">
        <is>
          <t>VÄSTERBOTTENS LÄN</t>
        </is>
      </c>
      <c r="E8395" t="inlineStr">
        <is>
          <t>LYCKSELE</t>
        </is>
      </c>
      <c r="F8395" t="inlineStr">
        <is>
          <t>Sveaskog</t>
        </is>
      </c>
      <c r="G8395" t="n">
        <v>5</v>
      </c>
      <c r="H8395" t="n">
        <v>0</v>
      </c>
      <c r="I8395" t="n">
        <v>0</v>
      </c>
      <c r="J8395" t="n">
        <v>0</v>
      </c>
      <c r="K8395" t="n">
        <v>0</v>
      </c>
      <c r="L8395" t="n">
        <v>0</v>
      </c>
      <c r="M8395" t="n">
        <v>0</v>
      </c>
      <c r="N8395" t="n">
        <v>0</v>
      </c>
      <c r="O8395" t="n">
        <v>0</v>
      </c>
      <c r="P8395" t="n">
        <v>0</v>
      </c>
      <c r="Q8395" t="n">
        <v>0</v>
      </c>
      <c r="R8395" s="2" t="inlineStr"/>
    </row>
    <row r="8396" ht="15" customHeight="1">
      <c r="A8396" t="inlineStr">
        <is>
          <t>A 17890-2024</t>
        </is>
      </c>
      <c r="B8396" s="1" t="n">
        <v>45419.47606481481</v>
      </c>
      <c r="C8396" s="1" t="n">
        <v>46075</v>
      </c>
      <c r="D8396" t="inlineStr">
        <is>
          <t>VÄSTERBOTTENS LÄN</t>
        </is>
      </c>
      <c r="E8396" t="inlineStr">
        <is>
          <t>NORDMALING</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60504-2025</t>
        </is>
      </c>
      <c r="B8397" s="1" t="n">
        <v>45995.62278935185</v>
      </c>
      <c r="C8397" s="1" t="n">
        <v>46075</v>
      </c>
      <c r="D8397" t="inlineStr">
        <is>
          <t>VÄSTERBOTTENS LÄN</t>
        </is>
      </c>
      <c r="E8397" t="inlineStr">
        <is>
          <t>SKELLEFTEÅ</t>
        </is>
      </c>
      <c r="F8397" t="inlineStr">
        <is>
          <t>Kommuner</t>
        </is>
      </c>
      <c r="G8397" t="n">
        <v>4.5</v>
      </c>
      <c r="H8397" t="n">
        <v>0</v>
      </c>
      <c r="I8397" t="n">
        <v>0</v>
      </c>
      <c r="J8397" t="n">
        <v>0</v>
      </c>
      <c r="K8397" t="n">
        <v>0</v>
      </c>
      <c r="L8397" t="n">
        <v>0</v>
      </c>
      <c r="M8397" t="n">
        <v>0</v>
      </c>
      <c r="N8397" t="n">
        <v>0</v>
      </c>
      <c r="O8397" t="n">
        <v>0</v>
      </c>
      <c r="P8397" t="n">
        <v>0</v>
      </c>
      <c r="Q8397" t="n">
        <v>0</v>
      </c>
      <c r="R8397" s="2" t="inlineStr"/>
    </row>
    <row r="8398" ht="15" customHeight="1">
      <c r="A8398" t="inlineStr">
        <is>
          <t>A 60341-2025</t>
        </is>
      </c>
      <c r="B8398" s="1" t="n">
        <v>45994.83516203704</v>
      </c>
      <c r="C8398" s="1" t="n">
        <v>46075</v>
      </c>
      <c r="D8398" t="inlineStr">
        <is>
          <t>VÄSTERBOTTENS LÄN</t>
        </is>
      </c>
      <c r="E8398" t="inlineStr">
        <is>
          <t>STORUMAN</t>
        </is>
      </c>
      <c r="G8398" t="n">
        <v>24.6</v>
      </c>
      <c r="H8398" t="n">
        <v>0</v>
      </c>
      <c r="I8398" t="n">
        <v>0</v>
      </c>
      <c r="J8398" t="n">
        <v>0</v>
      </c>
      <c r="K8398" t="n">
        <v>0</v>
      </c>
      <c r="L8398" t="n">
        <v>0</v>
      </c>
      <c r="M8398" t="n">
        <v>0</v>
      </c>
      <c r="N8398" t="n">
        <v>0</v>
      </c>
      <c r="O8398" t="n">
        <v>0</v>
      </c>
      <c r="P8398" t="n">
        <v>0</v>
      </c>
      <c r="Q8398" t="n">
        <v>0</v>
      </c>
      <c r="R8398" s="2" t="inlineStr"/>
    </row>
    <row r="8399" ht="15" customHeight="1">
      <c r="A8399" t="inlineStr">
        <is>
          <t>A 58554-2024</t>
        </is>
      </c>
      <c r="B8399" s="1" t="n">
        <v>45635</v>
      </c>
      <c r="C8399" s="1" t="n">
        <v>46075</v>
      </c>
      <c r="D8399" t="inlineStr">
        <is>
          <t>VÄSTERBOTTENS LÄN</t>
        </is>
      </c>
      <c r="E8399" t="inlineStr">
        <is>
          <t>VINDELN</t>
        </is>
      </c>
      <c r="F8399" t="inlineStr">
        <is>
          <t>Holmen skog AB</t>
        </is>
      </c>
      <c r="G8399" t="n">
        <v>9.5</v>
      </c>
      <c r="H8399" t="n">
        <v>0</v>
      </c>
      <c r="I8399" t="n">
        <v>0</v>
      </c>
      <c r="J8399" t="n">
        <v>0</v>
      </c>
      <c r="K8399" t="n">
        <v>0</v>
      </c>
      <c r="L8399" t="n">
        <v>0</v>
      </c>
      <c r="M8399" t="n">
        <v>0</v>
      </c>
      <c r="N8399" t="n">
        <v>0</v>
      </c>
      <c r="O8399" t="n">
        <v>0</v>
      </c>
      <c r="P8399" t="n">
        <v>0</v>
      </c>
      <c r="Q8399" t="n">
        <v>0</v>
      </c>
      <c r="R8399" s="2" t="inlineStr"/>
    </row>
    <row r="8400" ht="15" customHeight="1">
      <c r="A8400" t="inlineStr">
        <is>
          <t>A 10360-2023</t>
        </is>
      </c>
      <c r="B8400" s="1" t="n">
        <v>44980</v>
      </c>
      <c r="C8400" s="1" t="n">
        <v>46075</v>
      </c>
      <c r="D8400" t="inlineStr">
        <is>
          <t>VÄSTERBOTTENS LÄN</t>
        </is>
      </c>
      <c r="E8400" t="inlineStr">
        <is>
          <t>DOROTEA</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60644-2025</t>
        </is>
      </c>
      <c r="B8401" s="1" t="n">
        <v>45996</v>
      </c>
      <c r="C8401" s="1" t="n">
        <v>46075</v>
      </c>
      <c r="D8401" t="inlineStr">
        <is>
          <t>VÄSTERBOTTENS LÄN</t>
        </is>
      </c>
      <c r="E8401" t="inlineStr">
        <is>
          <t>SKELLEFTEÅ</t>
        </is>
      </c>
      <c r="G8401" t="n">
        <v>3.1</v>
      </c>
      <c r="H8401" t="n">
        <v>0</v>
      </c>
      <c r="I8401" t="n">
        <v>0</v>
      </c>
      <c r="J8401" t="n">
        <v>0</v>
      </c>
      <c r="K8401" t="n">
        <v>0</v>
      </c>
      <c r="L8401" t="n">
        <v>0</v>
      </c>
      <c r="M8401" t="n">
        <v>0</v>
      </c>
      <c r="N8401" t="n">
        <v>0</v>
      </c>
      <c r="O8401" t="n">
        <v>0</v>
      </c>
      <c r="P8401" t="n">
        <v>0</v>
      </c>
      <c r="Q8401" t="n">
        <v>0</v>
      </c>
      <c r="R8401" s="2" t="inlineStr"/>
    </row>
    <row r="8402" ht="15" customHeight="1">
      <c r="A8402" t="inlineStr">
        <is>
          <t>A 60689-2025</t>
        </is>
      </c>
      <c r="B8402" s="1" t="n">
        <v>45996.58799768519</v>
      </c>
      <c r="C8402" s="1" t="n">
        <v>46075</v>
      </c>
      <c r="D8402" t="inlineStr">
        <is>
          <t>VÄSTERBOTTENS LÄN</t>
        </is>
      </c>
      <c r="E8402" t="inlineStr">
        <is>
          <t>SKELLEFTEÅ</t>
        </is>
      </c>
      <c r="F8402" t="inlineStr">
        <is>
          <t>Holmen skog AB</t>
        </is>
      </c>
      <c r="G8402" t="n">
        <v>15.3</v>
      </c>
      <c r="H8402" t="n">
        <v>0</v>
      </c>
      <c r="I8402" t="n">
        <v>0</v>
      </c>
      <c r="J8402" t="n">
        <v>0</v>
      </c>
      <c r="K8402" t="n">
        <v>0</v>
      </c>
      <c r="L8402" t="n">
        <v>0</v>
      </c>
      <c r="M8402" t="n">
        <v>0</v>
      </c>
      <c r="N8402" t="n">
        <v>0</v>
      </c>
      <c r="O8402" t="n">
        <v>0</v>
      </c>
      <c r="P8402" t="n">
        <v>0</v>
      </c>
      <c r="Q8402" t="n">
        <v>0</v>
      </c>
      <c r="R8402" s="2" t="inlineStr"/>
    </row>
    <row r="8403" ht="15" customHeight="1">
      <c r="A8403" t="inlineStr">
        <is>
          <t>A 60713-2025</t>
        </is>
      </c>
      <c r="B8403" s="1" t="n">
        <v>45996.63483796296</v>
      </c>
      <c r="C8403" s="1" t="n">
        <v>46075</v>
      </c>
      <c r="D8403" t="inlineStr">
        <is>
          <t>VÄSTERBOTTENS LÄN</t>
        </is>
      </c>
      <c r="E8403" t="inlineStr">
        <is>
          <t>VILHELMINA</t>
        </is>
      </c>
      <c r="G8403" t="n">
        <v>2.4</v>
      </c>
      <c r="H8403" t="n">
        <v>0</v>
      </c>
      <c r="I8403" t="n">
        <v>0</v>
      </c>
      <c r="J8403" t="n">
        <v>0</v>
      </c>
      <c r="K8403" t="n">
        <v>0</v>
      </c>
      <c r="L8403" t="n">
        <v>0</v>
      </c>
      <c r="M8403" t="n">
        <v>0</v>
      </c>
      <c r="N8403" t="n">
        <v>0</v>
      </c>
      <c r="O8403" t="n">
        <v>0</v>
      </c>
      <c r="P8403" t="n">
        <v>0</v>
      </c>
      <c r="Q8403" t="n">
        <v>0</v>
      </c>
      <c r="R8403" s="2" t="inlineStr"/>
    </row>
    <row r="8404" ht="15" customHeight="1">
      <c r="A8404" t="inlineStr">
        <is>
          <t>A 60724-2025</t>
        </is>
      </c>
      <c r="B8404" s="1" t="n">
        <v>45996</v>
      </c>
      <c r="C8404" s="1" t="n">
        <v>46075</v>
      </c>
      <c r="D8404" t="inlineStr">
        <is>
          <t>VÄSTERBOTTENS LÄN</t>
        </is>
      </c>
      <c r="E8404" t="inlineStr">
        <is>
          <t>DOROTEA</t>
        </is>
      </c>
      <c r="G8404" t="n">
        <v>23.9</v>
      </c>
      <c r="H8404" t="n">
        <v>0</v>
      </c>
      <c r="I8404" t="n">
        <v>0</v>
      </c>
      <c r="J8404" t="n">
        <v>0</v>
      </c>
      <c r="K8404" t="n">
        <v>0</v>
      </c>
      <c r="L8404" t="n">
        <v>0</v>
      </c>
      <c r="M8404" t="n">
        <v>0</v>
      </c>
      <c r="N8404" t="n">
        <v>0</v>
      </c>
      <c r="O8404" t="n">
        <v>0</v>
      </c>
      <c r="P8404" t="n">
        <v>0</v>
      </c>
      <c r="Q8404" t="n">
        <v>0</v>
      </c>
      <c r="R8404" s="2" t="inlineStr"/>
    </row>
    <row r="8405" ht="15" customHeight="1">
      <c r="A8405" t="inlineStr">
        <is>
          <t>A 16690-2025</t>
        </is>
      </c>
      <c r="B8405" s="1" t="n">
        <v>45754.45789351852</v>
      </c>
      <c r="C8405" s="1" t="n">
        <v>46075</v>
      </c>
      <c r="D8405" t="inlineStr">
        <is>
          <t>VÄSTERBOTTENS LÄN</t>
        </is>
      </c>
      <c r="E8405" t="inlineStr">
        <is>
          <t>NORDMALING</t>
        </is>
      </c>
      <c r="G8405" t="n">
        <v>2.5</v>
      </c>
      <c r="H8405" t="n">
        <v>0</v>
      </c>
      <c r="I8405" t="n">
        <v>0</v>
      </c>
      <c r="J8405" t="n">
        <v>0</v>
      </c>
      <c r="K8405" t="n">
        <v>0</v>
      </c>
      <c r="L8405" t="n">
        <v>0</v>
      </c>
      <c r="M8405" t="n">
        <v>0</v>
      </c>
      <c r="N8405" t="n">
        <v>0</v>
      </c>
      <c r="O8405" t="n">
        <v>0</v>
      </c>
      <c r="P8405" t="n">
        <v>0</v>
      </c>
      <c r="Q8405" t="n">
        <v>0</v>
      </c>
      <c r="R8405" s="2" t="inlineStr"/>
    </row>
    <row r="8406" ht="15" customHeight="1">
      <c r="A8406" t="inlineStr">
        <is>
          <t>A 60824-2025</t>
        </is>
      </c>
      <c r="B8406" s="1" t="n">
        <v>45999.45894675926</v>
      </c>
      <c r="C8406" s="1" t="n">
        <v>46075</v>
      </c>
      <c r="D8406" t="inlineStr">
        <is>
          <t>VÄSTERBOTTENS LÄN</t>
        </is>
      </c>
      <c r="E8406" t="inlineStr">
        <is>
          <t>SKELLEFTEÅ</t>
        </is>
      </c>
      <c r="G8406" t="n">
        <v>2.5</v>
      </c>
      <c r="H8406" t="n">
        <v>0</v>
      </c>
      <c r="I8406" t="n">
        <v>0</v>
      </c>
      <c r="J8406" t="n">
        <v>0</v>
      </c>
      <c r="K8406" t="n">
        <v>0</v>
      </c>
      <c r="L8406" t="n">
        <v>0</v>
      </c>
      <c r="M8406" t="n">
        <v>0</v>
      </c>
      <c r="N8406" t="n">
        <v>0</v>
      </c>
      <c r="O8406" t="n">
        <v>0</v>
      </c>
      <c r="P8406" t="n">
        <v>0</v>
      </c>
      <c r="Q8406" t="n">
        <v>0</v>
      </c>
      <c r="R8406" s="2" t="inlineStr"/>
    </row>
    <row r="8407" ht="15" customHeight="1">
      <c r="A8407" t="inlineStr">
        <is>
          <t>A 31167-2024</t>
        </is>
      </c>
      <c r="B8407" s="1" t="n">
        <v>45503.39758101852</v>
      </c>
      <c r="C8407" s="1" t="n">
        <v>46075</v>
      </c>
      <c r="D8407" t="inlineStr">
        <is>
          <t>VÄSTERBOTTENS LÄN</t>
        </is>
      </c>
      <c r="E8407" t="inlineStr">
        <is>
          <t>SKELLEFTEÅ</t>
        </is>
      </c>
      <c r="F8407" t="inlineStr">
        <is>
          <t>Holmen skog AB</t>
        </is>
      </c>
      <c r="G8407" t="n">
        <v>3.2</v>
      </c>
      <c r="H8407" t="n">
        <v>0</v>
      </c>
      <c r="I8407" t="n">
        <v>0</v>
      </c>
      <c r="J8407" t="n">
        <v>0</v>
      </c>
      <c r="K8407" t="n">
        <v>0</v>
      </c>
      <c r="L8407" t="n">
        <v>0</v>
      </c>
      <c r="M8407" t="n">
        <v>0</v>
      </c>
      <c r="N8407" t="n">
        <v>0</v>
      </c>
      <c r="O8407" t="n">
        <v>0</v>
      </c>
      <c r="P8407" t="n">
        <v>0</v>
      </c>
      <c r="Q8407" t="n">
        <v>0</v>
      </c>
      <c r="R8407" s="2" t="inlineStr"/>
    </row>
    <row r="8408" ht="15" customHeight="1">
      <c r="A8408" t="inlineStr">
        <is>
          <t>A 23823-2024</t>
        </is>
      </c>
      <c r="B8408" s="1" t="n">
        <v>45455</v>
      </c>
      <c r="C8408" s="1" t="n">
        <v>46075</v>
      </c>
      <c r="D8408" t="inlineStr">
        <is>
          <t>VÄSTERBOTTENS LÄN</t>
        </is>
      </c>
      <c r="E8408" t="inlineStr">
        <is>
          <t>SKELLEFTEÅ</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60619-2025</t>
        </is>
      </c>
      <c r="B8409" s="1" t="n">
        <v>45996.38447916666</v>
      </c>
      <c r="C8409" s="1" t="n">
        <v>46075</v>
      </c>
      <c r="D8409" t="inlineStr">
        <is>
          <t>VÄSTERBOTTENS LÄN</t>
        </is>
      </c>
      <c r="E8409" t="inlineStr">
        <is>
          <t>VÄNNÄS</t>
        </is>
      </c>
      <c r="G8409" t="n">
        <v>2.5</v>
      </c>
      <c r="H8409" t="n">
        <v>0</v>
      </c>
      <c r="I8409" t="n">
        <v>0</v>
      </c>
      <c r="J8409" t="n">
        <v>0</v>
      </c>
      <c r="K8409" t="n">
        <v>0</v>
      </c>
      <c r="L8409" t="n">
        <v>0</v>
      </c>
      <c r="M8409" t="n">
        <v>0</v>
      </c>
      <c r="N8409" t="n">
        <v>0</v>
      </c>
      <c r="O8409" t="n">
        <v>0</v>
      </c>
      <c r="P8409" t="n">
        <v>0</v>
      </c>
      <c r="Q8409" t="n">
        <v>0</v>
      </c>
      <c r="R8409" s="2" t="inlineStr"/>
    </row>
    <row r="8410" ht="15" customHeight="1">
      <c r="A8410" t="inlineStr">
        <is>
          <t>A 31258-2024</t>
        </is>
      </c>
      <c r="B8410" s="1" t="n">
        <v>45503.70638888889</v>
      </c>
      <c r="C8410" s="1" t="n">
        <v>46075</v>
      </c>
      <c r="D8410" t="inlineStr">
        <is>
          <t>VÄSTERBOTTENS LÄN</t>
        </is>
      </c>
      <c r="E8410" t="inlineStr">
        <is>
          <t>NORDMALING</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39220-2024</t>
        </is>
      </c>
      <c r="B8411" s="1" t="n">
        <v>45549</v>
      </c>
      <c r="C8411" s="1" t="n">
        <v>46075</v>
      </c>
      <c r="D8411" t="inlineStr">
        <is>
          <t>VÄSTERBOTTENS LÄN</t>
        </is>
      </c>
      <c r="E8411" t="inlineStr">
        <is>
          <t>VÄNNÄS</t>
        </is>
      </c>
      <c r="G8411" t="n">
        <v>0.4</v>
      </c>
      <c r="H8411" t="n">
        <v>0</v>
      </c>
      <c r="I8411" t="n">
        <v>0</v>
      </c>
      <c r="J8411" t="n">
        <v>0</v>
      </c>
      <c r="K8411" t="n">
        <v>0</v>
      </c>
      <c r="L8411" t="n">
        <v>0</v>
      </c>
      <c r="M8411" t="n">
        <v>0</v>
      </c>
      <c r="N8411" t="n">
        <v>0</v>
      </c>
      <c r="O8411" t="n">
        <v>0</v>
      </c>
      <c r="P8411" t="n">
        <v>0</v>
      </c>
      <c r="Q8411" t="n">
        <v>0</v>
      </c>
      <c r="R8411" s="2" t="inlineStr"/>
    </row>
    <row r="8412" ht="15" customHeight="1">
      <c r="A8412" t="inlineStr">
        <is>
          <t>A 48394-2023</t>
        </is>
      </c>
      <c r="B8412" s="1" t="n">
        <v>45201</v>
      </c>
      <c r="C8412" s="1" t="n">
        <v>46075</v>
      </c>
      <c r="D8412" t="inlineStr">
        <is>
          <t>VÄSTERBOTTENS LÄN</t>
        </is>
      </c>
      <c r="E8412" t="inlineStr">
        <is>
          <t>SKELLEFTEÅ</t>
        </is>
      </c>
      <c r="G8412" t="n">
        <v>2.8</v>
      </c>
      <c r="H8412" t="n">
        <v>0</v>
      </c>
      <c r="I8412" t="n">
        <v>0</v>
      </c>
      <c r="J8412" t="n">
        <v>0</v>
      </c>
      <c r="K8412" t="n">
        <v>0</v>
      </c>
      <c r="L8412" t="n">
        <v>0</v>
      </c>
      <c r="M8412" t="n">
        <v>0</v>
      </c>
      <c r="N8412" t="n">
        <v>0</v>
      </c>
      <c r="O8412" t="n">
        <v>0</v>
      </c>
      <c r="P8412" t="n">
        <v>0</v>
      </c>
      <c r="Q8412" t="n">
        <v>0</v>
      </c>
      <c r="R8412" s="2" t="inlineStr"/>
    </row>
    <row r="8413" ht="15" customHeight="1">
      <c r="A8413" t="inlineStr">
        <is>
          <t>A 61005-2025</t>
        </is>
      </c>
      <c r="B8413" s="1" t="n">
        <v>45996</v>
      </c>
      <c r="C8413" s="1" t="n">
        <v>46075</v>
      </c>
      <c r="D8413" t="inlineStr">
        <is>
          <t>VÄSTERBOTTENS LÄN</t>
        </is>
      </c>
      <c r="E8413" t="inlineStr">
        <is>
          <t>VINDELN</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31184-2023</t>
        </is>
      </c>
      <c r="B8414" s="1" t="n">
        <v>45113</v>
      </c>
      <c r="C8414" s="1" t="n">
        <v>46075</v>
      </c>
      <c r="D8414" t="inlineStr">
        <is>
          <t>VÄSTERBOTTENS LÄN</t>
        </is>
      </c>
      <c r="E8414" t="inlineStr">
        <is>
          <t>ÅSELE</t>
        </is>
      </c>
      <c r="F8414" t="inlineStr">
        <is>
          <t>SCA</t>
        </is>
      </c>
      <c r="G8414" t="n">
        <v>7.2</v>
      </c>
      <c r="H8414" t="n">
        <v>0</v>
      </c>
      <c r="I8414" t="n">
        <v>0</v>
      </c>
      <c r="J8414" t="n">
        <v>0</v>
      </c>
      <c r="K8414" t="n">
        <v>0</v>
      </c>
      <c r="L8414" t="n">
        <v>0</v>
      </c>
      <c r="M8414" t="n">
        <v>0</v>
      </c>
      <c r="N8414" t="n">
        <v>0</v>
      </c>
      <c r="O8414" t="n">
        <v>0</v>
      </c>
      <c r="P8414" t="n">
        <v>0</v>
      </c>
      <c r="Q8414" t="n">
        <v>0</v>
      </c>
      <c r="R8414" s="2" t="inlineStr"/>
    </row>
    <row r="8415" ht="15" customHeight="1">
      <c r="A8415" t="inlineStr">
        <is>
          <t>A 2955-2026</t>
        </is>
      </c>
      <c r="B8415" s="1" t="n">
        <v>46038.60483796296</v>
      </c>
      <c r="C8415" s="1" t="n">
        <v>46075</v>
      </c>
      <c r="D8415" t="inlineStr">
        <is>
          <t>VÄSTERBOTTENS LÄN</t>
        </is>
      </c>
      <c r="E8415" t="inlineStr">
        <is>
          <t>NORDMALING</t>
        </is>
      </c>
      <c r="G8415" t="n">
        <v>5.6</v>
      </c>
      <c r="H8415" t="n">
        <v>0</v>
      </c>
      <c r="I8415" t="n">
        <v>0</v>
      </c>
      <c r="J8415" t="n">
        <v>0</v>
      </c>
      <c r="K8415" t="n">
        <v>0</v>
      </c>
      <c r="L8415" t="n">
        <v>0</v>
      </c>
      <c r="M8415" t="n">
        <v>0</v>
      </c>
      <c r="N8415" t="n">
        <v>0</v>
      </c>
      <c r="O8415" t="n">
        <v>0</v>
      </c>
      <c r="P8415" t="n">
        <v>0</v>
      </c>
      <c r="Q8415" t="n">
        <v>0</v>
      </c>
      <c r="R8415" s="2" t="inlineStr"/>
    </row>
    <row r="8416" ht="15" customHeight="1">
      <c r="A8416" t="inlineStr">
        <is>
          <t>A 3032-2026</t>
        </is>
      </c>
      <c r="B8416" s="1" t="n">
        <v>46038.71721064814</v>
      </c>
      <c r="C8416" s="1" t="n">
        <v>46075</v>
      </c>
      <c r="D8416" t="inlineStr">
        <is>
          <t>VÄSTERBOTTENS LÄN</t>
        </is>
      </c>
      <c r="E8416" t="inlineStr">
        <is>
          <t>SKELLEFTEÅ</t>
        </is>
      </c>
      <c r="G8416" t="n">
        <v>0.6</v>
      </c>
      <c r="H8416" t="n">
        <v>0</v>
      </c>
      <c r="I8416" t="n">
        <v>0</v>
      </c>
      <c r="J8416" t="n">
        <v>0</v>
      </c>
      <c r="K8416" t="n">
        <v>0</v>
      </c>
      <c r="L8416" t="n">
        <v>0</v>
      </c>
      <c r="M8416" t="n">
        <v>0</v>
      </c>
      <c r="N8416" t="n">
        <v>0</v>
      </c>
      <c r="O8416" t="n">
        <v>0</v>
      </c>
      <c r="P8416" t="n">
        <v>0</v>
      </c>
      <c r="Q8416" t="n">
        <v>0</v>
      </c>
      <c r="R8416" s="2" t="inlineStr"/>
    </row>
    <row r="8417" ht="15" customHeight="1">
      <c r="A8417" t="inlineStr">
        <is>
          <t>A 54234-2023</t>
        </is>
      </c>
      <c r="B8417" s="1" t="n">
        <v>45232.60467592593</v>
      </c>
      <c r="C8417" s="1" t="n">
        <v>46075</v>
      </c>
      <c r="D8417" t="inlineStr">
        <is>
          <t>VÄSTERBOTTENS LÄN</t>
        </is>
      </c>
      <c r="E8417" t="inlineStr">
        <is>
          <t>LYCKSELE</t>
        </is>
      </c>
      <c r="F8417" t="inlineStr">
        <is>
          <t>Holmen skog AB</t>
        </is>
      </c>
      <c r="G8417" t="n">
        <v>4.2</v>
      </c>
      <c r="H8417" t="n">
        <v>0</v>
      </c>
      <c r="I8417" t="n">
        <v>0</v>
      </c>
      <c r="J8417" t="n">
        <v>0</v>
      </c>
      <c r="K8417" t="n">
        <v>0</v>
      </c>
      <c r="L8417" t="n">
        <v>0</v>
      </c>
      <c r="M8417" t="n">
        <v>0</v>
      </c>
      <c r="N8417" t="n">
        <v>0</v>
      </c>
      <c r="O8417" t="n">
        <v>0</v>
      </c>
      <c r="P8417" t="n">
        <v>0</v>
      </c>
      <c r="Q8417" t="n">
        <v>0</v>
      </c>
      <c r="R8417" s="2" t="inlineStr"/>
    </row>
    <row r="8418" ht="15" customHeight="1">
      <c r="A8418" t="inlineStr">
        <is>
          <t>A 60788-2025</t>
        </is>
      </c>
      <c r="B8418" s="1" t="n">
        <v>45999.41087962963</v>
      </c>
      <c r="C8418" s="1" t="n">
        <v>46075</v>
      </c>
      <c r="D8418" t="inlineStr">
        <is>
          <t>VÄSTERBOTTENS LÄN</t>
        </is>
      </c>
      <c r="E8418" t="inlineStr">
        <is>
          <t>SKELLEFTEÅ</t>
        </is>
      </c>
      <c r="F8418" t="inlineStr">
        <is>
          <t>Sveaskog</t>
        </is>
      </c>
      <c r="G8418" t="n">
        <v>7.2</v>
      </c>
      <c r="H8418" t="n">
        <v>0</v>
      </c>
      <c r="I8418" t="n">
        <v>0</v>
      </c>
      <c r="J8418" t="n">
        <v>0</v>
      </c>
      <c r="K8418" t="n">
        <v>0</v>
      </c>
      <c r="L8418" t="n">
        <v>0</v>
      </c>
      <c r="M8418" t="n">
        <v>0</v>
      </c>
      <c r="N8418" t="n">
        <v>0</v>
      </c>
      <c r="O8418" t="n">
        <v>0</v>
      </c>
      <c r="P8418" t="n">
        <v>0</v>
      </c>
      <c r="Q8418" t="n">
        <v>0</v>
      </c>
      <c r="R8418" s="2" t="inlineStr"/>
    </row>
    <row r="8419" ht="15" customHeight="1">
      <c r="A8419" t="inlineStr">
        <is>
          <t>A 53640-2023</t>
        </is>
      </c>
      <c r="B8419" s="1" t="n">
        <v>45230.59909722222</v>
      </c>
      <c r="C8419" s="1" t="n">
        <v>46075</v>
      </c>
      <c r="D8419" t="inlineStr">
        <is>
          <t>VÄSTERBOTTENS LÄN</t>
        </is>
      </c>
      <c r="E8419" t="inlineStr">
        <is>
          <t>VINDELN</t>
        </is>
      </c>
      <c r="F8419" t="inlineStr">
        <is>
          <t>Sveaskog</t>
        </is>
      </c>
      <c r="G8419" t="n">
        <v>15.5</v>
      </c>
      <c r="H8419" t="n">
        <v>0</v>
      </c>
      <c r="I8419" t="n">
        <v>0</v>
      </c>
      <c r="J8419" t="n">
        <v>0</v>
      </c>
      <c r="K8419" t="n">
        <v>0</v>
      </c>
      <c r="L8419" t="n">
        <v>0</v>
      </c>
      <c r="M8419" t="n">
        <v>0</v>
      </c>
      <c r="N8419" t="n">
        <v>0</v>
      </c>
      <c r="O8419" t="n">
        <v>0</v>
      </c>
      <c r="P8419" t="n">
        <v>0</v>
      </c>
      <c r="Q8419" t="n">
        <v>0</v>
      </c>
      <c r="R8419" s="2" t="inlineStr"/>
    </row>
    <row r="8420" ht="15" customHeight="1">
      <c r="A8420" t="inlineStr">
        <is>
          <t>A 73419-2021</t>
        </is>
      </c>
      <c r="B8420" s="1" t="n">
        <v>44551</v>
      </c>
      <c r="C8420" s="1" t="n">
        <v>46075</v>
      </c>
      <c r="D8420" t="inlineStr">
        <is>
          <t>VÄSTERBOTTENS LÄN</t>
        </is>
      </c>
      <c r="E8420" t="inlineStr">
        <is>
          <t>ÅSELE</t>
        </is>
      </c>
      <c r="G8420" t="n">
        <v>14</v>
      </c>
      <c r="H8420" t="n">
        <v>0</v>
      </c>
      <c r="I8420" t="n">
        <v>0</v>
      </c>
      <c r="J8420" t="n">
        <v>0</v>
      </c>
      <c r="K8420" t="n">
        <v>0</v>
      </c>
      <c r="L8420" t="n">
        <v>0</v>
      </c>
      <c r="M8420" t="n">
        <v>0</v>
      </c>
      <c r="N8420" t="n">
        <v>0</v>
      </c>
      <c r="O8420" t="n">
        <v>0</v>
      </c>
      <c r="P8420" t="n">
        <v>0</v>
      </c>
      <c r="Q8420" t="n">
        <v>0</v>
      </c>
      <c r="R8420" s="2" t="inlineStr"/>
    </row>
    <row r="8421" ht="15" customHeight="1">
      <c r="A8421" t="inlineStr">
        <is>
          <t>A 15701-2025</t>
        </is>
      </c>
      <c r="B8421" s="1" t="n">
        <v>45748.47508101852</v>
      </c>
      <c r="C8421" s="1" t="n">
        <v>46075</v>
      </c>
      <c r="D8421" t="inlineStr">
        <is>
          <t>VÄSTERBOTTENS LÄN</t>
        </is>
      </c>
      <c r="E8421" t="inlineStr">
        <is>
          <t>UMEÅ</t>
        </is>
      </c>
      <c r="G8421" t="n">
        <v>7.9</v>
      </c>
      <c r="H8421" t="n">
        <v>0</v>
      </c>
      <c r="I8421" t="n">
        <v>0</v>
      </c>
      <c r="J8421" t="n">
        <v>0</v>
      </c>
      <c r="K8421" t="n">
        <v>0</v>
      </c>
      <c r="L8421" t="n">
        <v>0</v>
      </c>
      <c r="M8421" t="n">
        <v>0</v>
      </c>
      <c r="N8421" t="n">
        <v>0</v>
      </c>
      <c r="O8421" t="n">
        <v>0</v>
      </c>
      <c r="P8421" t="n">
        <v>0</v>
      </c>
      <c r="Q8421" t="n">
        <v>0</v>
      </c>
      <c r="R8421" s="2" t="inlineStr"/>
    </row>
    <row r="8422" ht="15" customHeight="1">
      <c r="A8422" t="inlineStr">
        <is>
          <t>A 60693-2025</t>
        </is>
      </c>
      <c r="B8422" s="1" t="n">
        <v>45996.59361111111</v>
      </c>
      <c r="C8422" s="1" t="n">
        <v>46075</v>
      </c>
      <c r="D8422" t="inlineStr">
        <is>
          <t>VÄSTERBOTTENS LÄN</t>
        </is>
      </c>
      <c r="E8422" t="inlineStr">
        <is>
          <t>ROBERTSFORS</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60694-2025</t>
        </is>
      </c>
      <c r="B8423" s="1" t="n">
        <v>45996.59578703704</v>
      </c>
      <c r="C8423" s="1" t="n">
        <v>46075</v>
      </c>
      <c r="D8423" t="inlineStr">
        <is>
          <t>VÄSTERBOTTENS LÄN</t>
        </is>
      </c>
      <c r="E8423" t="inlineStr">
        <is>
          <t>SKELLEFTEÅ</t>
        </is>
      </c>
      <c r="F8423" t="inlineStr">
        <is>
          <t>Holmen skog AB</t>
        </is>
      </c>
      <c r="G8423" t="n">
        <v>6.2</v>
      </c>
      <c r="H8423" t="n">
        <v>0</v>
      </c>
      <c r="I8423" t="n">
        <v>0</v>
      </c>
      <c r="J8423" t="n">
        <v>0</v>
      </c>
      <c r="K8423" t="n">
        <v>0</v>
      </c>
      <c r="L8423" t="n">
        <v>0</v>
      </c>
      <c r="M8423" t="n">
        <v>0</v>
      </c>
      <c r="N8423" t="n">
        <v>0</v>
      </c>
      <c r="O8423" t="n">
        <v>0</v>
      </c>
      <c r="P8423" t="n">
        <v>0</v>
      </c>
      <c r="Q8423" t="n">
        <v>0</v>
      </c>
      <c r="R8423" s="2" t="inlineStr"/>
    </row>
    <row r="8424" ht="15" customHeight="1">
      <c r="A8424" t="inlineStr">
        <is>
          <t>A 60755-2025</t>
        </is>
      </c>
      <c r="B8424" s="1" t="n">
        <v>45999.38409722222</v>
      </c>
      <c r="C8424" s="1" t="n">
        <v>46075</v>
      </c>
      <c r="D8424" t="inlineStr">
        <is>
          <t>VÄSTERBOTTENS LÄN</t>
        </is>
      </c>
      <c r="E8424" t="inlineStr">
        <is>
          <t>SKELLEFTEÅ</t>
        </is>
      </c>
      <c r="G8424" t="n">
        <v>4.6</v>
      </c>
      <c r="H8424" t="n">
        <v>0</v>
      </c>
      <c r="I8424" t="n">
        <v>0</v>
      </c>
      <c r="J8424" t="n">
        <v>0</v>
      </c>
      <c r="K8424" t="n">
        <v>0</v>
      </c>
      <c r="L8424" t="n">
        <v>0</v>
      </c>
      <c r="M8424" t="n">
        <v>0</v>
      </c>
      <c r="N8424" t="n">
        <v>0</v>
      </c>
      <c r="O8424" t="n">
        <v>0</v>
      </c>
      <c r="P8424" t="n">
        <v>0</v>
      </c>
      <c r="Q8424" t="n">
        <v>0</v>
      </c>
      <c r="R8424" s="2" t="inlineStr"/>
    </row>
    <row r="8425" ht="15" customHeight="1">
      <c r="A8425" t="inlineStr">
        <is>
          <t>A 60778-2025</t>
        </is>
      </c>
      <c r="B8425" s="1" t="n">
        <v>45999.39202546296</v>
      </c>
      <c r="C8425" s="1" t="n">
        <v>46075</v>
      </c>
      <c r="D8425" t="inlineStr">
        <is>
          <t>VÄSTERBOTTENS LÄN</t>
        </is>
      </c>
      <c r="E8425" t="inlineStr">
        <is>
          <t>SKELLEFTEÅ</t>
        </is>
      </c>
      <c r="G8425" t="n">
        <v>3.1</v>
      </c>
      <c r="H8425" t="n">
        <v>0</v>
      </c>
      <c r="I8425" t="n">
        <v>0</v>
      </c>
      <c r="J8425" t="n">
        <v>0</v>
      </c>
      <c r="K8425" t="n">
        <v>0</v>
      </c>
      <c r="L8425" t="n">
        <v>0</v>
      </c>
      <c r="M8425" t="n">
        <v>0</v>
      </c>
      <c r="N8425" t="n">
        <v>0</v>
      </c>
      <c r="O8425" t="n">
        <v>0</v>
      </c>
      <c r="P8425" t="n">
        <v>0</v>
      </c>
      <c r="Q8425" t="n">
        <v>0</v>
      </c>
      <c r="R8425" s="2" t="inlineStr"/>
    </row>
    <row r="8426" ht="15" customHeight="1">
      <c r="A8426" t="inlineStr">
        <is>
          <t>A 15674-2025</t>
        </is>
      </c>
      <c r="B8426" s="1" t="n">
        <v>45748.44657407407</v>
      </c>
      <c r="C8426" s="1" t="n">
        <v>46075</v>
      </c>
      <c r="D8426" t="inlineStr">
        <is>
          <t>VÄSTERBOTTENS LÄN</t>
        </is>
      </c>
      <c r="E8426" t="inlineStr">
        <is>
          <t>VÄNNÄS</t>
        </is>
      </c>
      <c r="G8426" t="n">
        <v>2</v>
      </c>
      <c r="H8426" t="n">
        <v>0</v>
      </c>
      <c r="I8426" t="n">
        <v>0</v>
      </c>
      <c r="J8426" t="n">
        <v>0</v>
      </c>
      <c r="K8426" t="n">
        <v>0</v>
      </c>
      <c r="L8426" t="n">
        <v>0</v>
      </c>
      <c r="M8426" t="n">
        <v>0</v>
      </c>
      <c r="N8426" t="n">
        <v>0</v>
      </c>
      <c r="O8426" t="n">
        <v>0</v>
      </c>
      <c r="P8426" t="n">
        <v>0</v>
      </c>
      <c r="Q8426" t="n">
        <v>0</v>
      </c>
      <c r="R8426" s="2" t="inlineStr"/>
    </row>
    <row r="8427" ht="15" customHeight="1">
      <c r="A8427" t="inlineStr">
        <is>
          <t>A 27909-2024</t>
        </is>
      </c>
      <c r="B8427" s="1" t="n">
        <v>45475</v>
      </c>
      <c r="C8427" s="1" t="n">
        <v>46075</v>
      </c>
      <c r="D8427" t="inlineStr">
        <is>
          <t>VÄSTERBOTTENS LÄN</t>
        </is>
      </c>
      <c r="E8427" t="inlineStr">
        <is>
          <t>DOROTEA</t>
        </is>
      </c>
      <c r="F8427" t="inlineStr">
        <is>
          <t>SCA</t>
        </is>
      </c>
      <c r="G8427" t="n">
        <v>13.2</v>
      </c>
      <c r="H8427" t="n">
        <v>0</v>
      </c>
      <c r="I8427" t="n">
        <v>0</v>
      </c>
      <c r="J8427" t="n">
        <v>0</v>
      </c>
      <c r="K8427" t="n">
        <v>0</v>
      </c>
      <c r="L8427" t="n">
        <v>0</v>
      </c>
      <c r="M8427" t="n">
        <v>0</v>
      </c>
      <c r="N8427" t="n">
        <v>0</v>
      </c>
      <c r="O8427" t="n">
        <v>0</v>
      </c>
      <c r="P8427" t="n">
        <v>0</v>
      </c>
      <c r="Q8427" t="n">
        <v>0</v>
      </c>
      <c r="R8427" s="2" t="inlineStr"/>
    </row>
    <row r="8428" ht="15" customHeight="1">
      <c r="A8428" t="inlineStr">
        <is>
          <t>A 50796-2022</t>
        </is>
      </c>
      <c r="B8428" s="1" t="n">
        <v>44867</v>
      </c>
      <c r="C8428" s="1" t="n">
        <v>46075</v>
      </c>
      <c r="D8428" t="inlineStr">
        <is>
          <t>VÄSTERBOTTENS LÄN</t>
        </is>
      </c>
      <c r="E8428" t="inlineStr">
        <is>
          <t>NORSJÖ</t>
        </is>
      </c>
      <c r="F8428" t="inlineStr">
        <is>
          <t>Holmen skog AB</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14746-2025</t>
        </is>
      </c>
      <c r="B8429" s="1" t="n">
        <v>45742.65662037037</v>
      </c>
      <c r="C8429" s="1" t="n">
        <v>46075</v>
      </c>
      <c r="D8429" t="inlineStr">
        <is>
          <t>VÄSTERBOTTENS LÄN</t>
        </is>
      </c>
      <c r="E8429" t="inlineStr">
        <is>
          <t>NORSJÖ</t>
        </is>
      </c>
      <c r="G8429" t="n">
        <v>1.5</v>
      </c>
      <c r="H8429" t="n">
        <v>0</v>
      </c>
      <c r="I8429" t="n">
        <v>0</v>
      </c>
      <c r="J8429" t="n">
        <v>0</v>
      </c>
      <c r="K8429" t="n">
        <v>0</v>
      </c>
      <c r="L8429" t="n">
        <v>0</v>
      </c>
      <c r="M8429" t="n">
        <v>0</v>
      </c>
      <c r="N8429" t="n">
        <v>0</v>
      </c>
      <c r="O8429" t="n">
        <v>0</v>
      </c>
      <c r="P8429" t="n">
        <v>0</v>
      </c>
      <c r="Q8429" t="n">
        <v>0</v>
      </c>
      <c r="R8429" s="2" t="inlineStr"/>
    </row>
    <row r="8430" ht="15" customHeight="1">
      <c r="A8430" t="inlineStr">
        <is>
          <t>A 14795-2025</t>
        </is>
      </c>
      <c r="B8430" s="1" t="n">
        <v>45742.87837962963</v>
      </c>
      <c r="C8430" s="1" t="n">
        <v>46075</v>
      </c>
      <c r="D8430" t="inlineStr">
        <is>
          <t>VÄSTERBOTTENS LÄN</t>
        </is>
      </c>
      <c r="E8430" t="inlineStr">
        <is>
          <t>LYCKSELE</t>
        </is>
      </c>
      <c r="G8430" t="n">
        <v>3.6</v>
      </c>
      <c r="H8430" t="n">
        <v>0</v>
      </c>
      <c r="I8430" t="n">
        <v>0</v>
      </c>
      <c r="J8430" t="n">
        <v>0</v>
      </c>
      <c r="K8430" t="n">
        <v>0</v>
      </c>
      <c r="L8430" t="n">
        <v>0</v>
      </c>
      <c r="M8430" t="n">
        <v>0</v>
      </c>
      <c r="N8430" t="n">
        <v>0</v>
      </c>
      <c r="O8430" t="n">
        <v>0</v>
      </c>
      <c r="P8430" t="n">
        <v>0</v>
      </c>
      <c r="Q8430" t="n">
        <v>0</v>
      </c>
      <c r="R8430" s="2" t="inlineStr"/>
    </row>
    <row r="8431" ht="15" customHeight="1">
      <c r="A8431" t="inlineStr">
        <is>
          <t>A 61730-2023</t>
        </is>
      </c>
      <c r="B8431" s="1" t="n">
        <v>45264</v>
      </c>
      <c r="C8431" s="1" t="n">
        <v>46075</v>
      </c>
      <c r="D8431" t="inlineStr">
        <is>
          <t>VÄSTERBOTTENS LÄN</t>
        </is>
      </c>
      <c r="E8431" t="inlineStr">
        <is>
          <t>SKELLEFTEÅ</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61792-2023</t>
        </is>
      </c>
      <c r="B8432" s="1" t="n">
        <v>45265</v>
      </c>
      <c r="C8432" s="1" t="n">
        <v>46075</v>
      </c>
      <c r="D8432" t="inlineStr">
        <is>
          <t>VÄSTERBOTTENS LÄN</t>
        </is>
      </c>
      <c r="E8432" t="inlineStr">
        <is>
          <t>NORDMALING</t>
        </is>
      </c>
      <c r="F8432" t="inlineStr">
        <is>
          <t>SCA</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60993-2025</t>
        </is>
      </c>
      <c r="B8433" s="1" t="n">
        <v>45999.7365162037</v>
      </c>
      <c r="C8433" s="1" t="n">
        <v>46075</v>
      </c>
      <c r="D8433" t="inlineStr">
        <is>
          <t>VÄSTERBOTTENS LÄN</t>
        </is>
      </c>
      <c r="E8433" t="inlineStr">
        <is>
          <t>VILHELMINA</t>
        </is>
      </c>
      <c r="G8433" t="n">
        <v>7.9</v>
      </c>
      <c r="H8433" t="n">
        <v>0</v>
      </c>
      <c r="I8433" t="n">
        <v>0</v>
      </c>
      <c r="J8433" t="n">
        <v>0</v>
      </c>
      <c r="K8433" t="n">
        <v>0</v>
      </c>
      <c r="L8433" t="n">
        <v>0</v>
      </c>
      <c r="M8433" t="n">
        <v>0</v>
      </c>
      <c r="N8433" t="n">
        <v>0</v>
      </c>
      <c r="O8433" t="n">
        <v>0</v>
      </c>
      <c r="P8433" t="n">
        <v>0</v>
      </c>
      <c r="Q8433" t="n">
        <v>0</v>
      </c>
      <c r="R8433" s="2" t="inlineStr"/>
    </row>
    <row r="8434" ht="15" customHeight="1">
      <c r="A8434" t="inlineStr">
        <is>
          <t>A 60994-2025</t>
        </is>
      </c>
      <c r="B8434" s="1" t="n">
        <v>45999.74017361111</v>
      </c>
      <c r="C8434" s="1" t="n">
        <v>46075</v>
      </c>
      <c r="D8434" t="inlineStr">
        <is>
          <t>VÄSTERBOTTENS LÄN</t>
        </is>
      </c>
      <c r="E8434" t="inlineStr">
        <is>
          <t>VILHELMINA</t>
        </is>
      </c>
      <c r="G8434" t="n">
        <v>5.4</v>
      </c>
      <c r="H8434" t="n">
        <v>0</v>
      </c>
      <c r="I8434" t="n">
        <v>0</v>
      </c>
      <c r="J8434" t="n">
        <v>0</v>
      </c>
      <c r="K8434" t="n">
        <v>0</v>
      </c>
      <c r="L8434" t="n">
        <v>0</v>
      </c>
      <c r="M8434" t="n">
        <v>0</v>
      </c>
      <c r="N8434" t="n">
        <v>0</v>
      </c>
      <c r="O8434" t="n">
        <v>0</v>
      </c>
      <c r="P8434" t="n">
        <v>0</v>
      </c>
      <c r="Q8434" t="n">
        <v>0</v>
      </c>
      <c r="R8434" s="2" t="inlineStr"/>
    </row>
    <row r="8435" ht="15" customHeight="1">
      <c r="A8435" t="inlineStr">
        <is>
          <t>A 60998-2025</t>
        </is>
      </c>
      <c r="B8435" s="1" t="n">
        <v>45999.74972222222</v>
      </c>
      <c r="C8435" s="1" t="n">
        <v>46075</v>
      </c>
      <c r="D8435" t="inlineStr">
        <is>
          <t>VÄSTERBOTTENS LÄN</t>
        </is>
      </c>
      <c r="E8435" t="inlineStr">
        <is>
          <t>VILHELMINA</t>
        </is>
      </c>
      <c r="G8435" t="n">
        <v>2.5</v>
      </c>
      <c r="H8435" t="n">
        <v>0</v>
      </c>
      <c r="I8435" t="n">
        <v>0</v>
      </c>
      <c r="J8435" t="n">
        <v>0</v>
      </c>
      <c r="K8435" t="n">
        <v>0</v>
      </c>
      <c r="L8435" t="n">
        <v>0</v>
      </c>
      <c r="M8435" t="n">
        <v>0</v>
      </c>
      <c r="N8435" t="n">
        <v>0</v>
      </c>
      <c r="O8435" t="n">
        <v>0</v>
      </c>
      <c r="P8435" t="n">
        <v>0</v>
      </c>
      <c r="Q8435" t="n">
        <v>0</v>
      </c>
      <c r="R8435" s="2" t="inlineStr"/>
    </row>
    <row r="8436" ht="15" customHeight="1">
      <c r="A8436" t="inlineStr">
        <is>
          <t>A 35011-2024</t>
        </is>
      </c>
      <c r="B8436" s="1" t="n">
        <v>45527</v>
      </c>
      <c r="C8436" s="1" t="n">
        <v>46075</v>
      </c>
      <c r="D8436" t="inlineStr">
        <is>
          <t>VÄSTERBOTTENS LÄN</t>
        </is>
      </c>
      <c r="E8436" t="inlineStr">
        <is>
          <t>VÄNNÄS</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35035-2024</t>
        </is>
      </c>
      <c r="B8437" s="1" t="n">
        <v>45527.61482638889</v>
      </c>
      <c r="C8437" s="1" t="n">
        <v>46075</v>
      </c>
      <c r="D8437" t="inlineStr">
        <is>
          <t>VÄSTERBOTTENS LÄN</t>
        </is>
      </c>
      <c r="E8437" t="inlineStr">
        <is>
          <t>SKELLEFTEÅ</t>
        </is>
      </c>
      <c r="F8437" t="inlineStr">
        <is>
          <t>Holmen skog AB</t>
        </is>
      </c>
      <c r="G8437" t="n">
        <v>2.2</v>
      </c>
      <c r="H8437" t="n">
        <v>0</v>
      </c>
      <c r="I8437" t="n">
        <v>0</v>
      </c>
      <c r="J8437" t="n">
        <v>0</v>
      </c>
      <c r="K8437" t="n">
        <v>0</v>
      </c>
      <c r="L8437" t="n">
        <v>0</v>
      </c>
      <c r="M8437" t="n">
        <v>0</v>
      </c>
      <c r="N8437" t="n">
        <v>0</v>
      </c>
      <c r="O8437" t="n">
        <v>0</v>
      </c>
      <c r="P8437" t="n">
        <v>0</v>
      </c>
      <c r="Q8437" t="n">
        <v>0</v>
      </c>
      <c r="R8437" s="2" t="inlineStr"/>
    </row>
    <row r="8438" ht="15" customHeight="1">
      <c r="A8438" t="inlineStr">
        <is>
          <t>A 2763-2026</t>
        </is>
      </c>
      <c r="B8438" s="1" t="n">
        <v>46038.34892361111</v>
      </c>
      <c r="C8438" s="1" t="n">
        <v>46075</v>
      </c>
      <c r="D8438" t="inlineStr">
        <is>
          <t>VÄSTERBOTTENS LÄN</t>
        </is>
      </c>
      <c r="E8438" t="inlineStr">
        <is>
          <t>ÅSELE</t>
        </is>
      </c>
      <c r="F8438" t="inlineStr">
        <is>
          <t>Sveaskog</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2772-2026</t>
        </is>
      </c>
      <c r="B8439" s="1" t="n">
        <v>46038.37417824074</v>
      </c>
      <c r="C8439" s="1" t="n">
        <v>46075</v>
      </c>
      <c r="D8439" t="inlineStr">
        <is>
          <t>VÄSTERBOTTENS LÄN</t>
        </is>
      </c>
      <c r="E8439" t="inlineStr">
        <is>
          <t>VÄNNÄS</t>
        </is>
      </c>
      <c r="G8439" t="n">
        <v>7.7</v>
      </c>
      <c r="H8439" t="n">
        <v>0</v>
      </c>
      <c r="I8439" t="n">
        <v>0</v>
      </c>
      <c r="J8439" t="n">
        <v>0</v>
      </c>
      <c r="K8439" t="n">
        <v>0</v>
      </c>
      <c r="L8439" t="n">
        <v>0</v>
      </c>
      <c r="M8439" t="n">
        <v>0</v>
      </c>
      <c r="N8439" t="n">
        <v>0</v>
      </c>
      <c r="O8439" t="n">
        <v>0</v>
      </c>
      <c r="P8439" t="n">
        <v>0</v>
      </c>
      <c r="Q8439" t="n">
        <v>0</v>
      </c>
      <c r="R8439" s="2" t="inlineStr"/>
    </row>
    <row r="8440" ht="15" customHeight="1">
      <c r="A8440" t="inlineStr">
        <is>
          <t>A 16368-2023</t>
        </is>
      </c>
      <c r="B8440" s="1" t="n">
        <v>45028.94060185185</v>
      </c>
      <c r="C8440" s="1" t="n">
        <v>46075</v>
      </c>
      <c r="D8440" t="inlineStr">
        <is>
          <t>VÄSTERBOTTENS LÄN</t>
        </is>
      </c>
      <c r="E8440" t="inlineStr">
        <is>
          <t>BJURHOLM</t>
        </is>
      </c>
      <c r="F8440" t="inlineStr">
        <is>
          <t>SCA</t>
        </is>
      </c>
      <c r="G8440" t="n">
        <v>2.6</v>
      </c>
      <c r="H8440" t="n">
        <v>0</v>
      </c>
      <c r="I8440" t="n">
        <v>0</v>
      </c>
      <c r="J8440" t="n">
        <v>0</v>
      </c>
      <c r="K8440" t="n">
        <v>0</v>
      </c>
      <c r="L8440" t="n">
        <v>0</v>
      </c>
      <c r="M8440" t="n">
        <v>0</v>
      </c>
      <c r="N8440" t="n">
        <v>0</v>
      </c>
      <c r="O8440" t="n">
        <v>0</v>
      </c>
      <c r="P8440" t="n">
        <v>0</v>
      </c>
      <c r="Q8440" t="n">
        <v>0</v>
      </c>
      <c r="R8440" s="2" t="inlineStr"/>
    </row>
    <row r="8441" ht="15" customHeight="1">
      <c r="A8441" t="inlineStr">
        <is>
          <t>A 60631-2025</t>
        </is>
      </c>
      <c r="B8441" s="1" t="n">
        <v>45996</v>
      </c>
      <c r="C8441" s="1" t="n">
        <v>46075</v>
      </c>
      <c r="D8441" t="inlineStr">
        <is>
          <t>VÄSTERBOTTENS LÄN</t>
        </is>
      </c>
      <c r="E8441" t="inlineStr">
        <is>
          <t>SKELLEFTEÅ</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60757-2022</t>
        </is>
      </c>
      <c r="B8442" s="1" t="n">
        <v>44914.33509259259</v>
      </c>
      <c r="C8442" s="1" t="n">
        <v>46075</v>
      </c>
      <c r="D8442" t="inlineStr">
        <is>
          <t>VÄSTERBOTTENS LÄN</t>
        </is>
      </c>
      <c r="E8442" t="inlineStr">
        <is>
          <t>VINDELN</t>
        </is>
      </c>
      <c r="F8442" t="inlineStr">
        <is>
          <t>Sveaskog</t>
        </is>
      </c>
      <c r="G8442" t="n">
        <v>1.6</v>
      </c>
      <c r="H8442" t="n">
        <v>0</v>
      </c>
      <c r="I8442" t="n">
        <v>0</v>
      </c>
      <c r="J8442" t="n">
        <v>0</v>
      </c>
      <c r="K8442" t="n">
        <v>0</v>
      </c>
      <c r="L8442" t="n">
        <v>0</v>
      </c>
      <c r="M8442" t="n">
        <v>0</v>
      </c>
      <c r="N8442" t="n">
        <v>0</v>
      </c>
      <c r="O8442" t="n">
        <v>0</v>
      </c>
      <c r="P8442" t="n">
        <v>0</v>
      </c>
      <c r="Q8442" t="n">
        <v>0</v>
      </c>
      <c r="R8442" s="2" t="inlineStr"/>
    </row>
    <row r="8443" ht="15" customHeight="1">
      <c r="A8443" t="inlineStr">
        <is>
          <t>A 51949-2025</t>
        </is>
      </c>
      <c r="B8443" s="1" t="n">
        <v>45952</v>
      </c>
      <c r="C8443" s="1" t="n">
        <v>46075</v>
      </c>
      <c r="D8443" t="inlineStr">
        <is>
          <t>VÄSTERBOTTENS LÄN</t>
        </is>
      </c>
      <c r="E8443" t="inlineStr">
        <is>
          <t>STORUMAN</t>
        </is>
      </c>
      <c r="G8443" t="n">
        <v>48</v>
      </c>
      <c r="H8443" t="n">
        <v>0</v>
      </c>
      <c r="I8443" t="n">
        <v>0</v>
      </c>
      <c r="J8443" t="n">
        <v>0</v>
      </c>
      <c r="K8443" t="n">
        <v>0</v>
      </c>
      <c r="L8443" t="n">
        <v>0</v>
      </c>
      <c r="M8443" t="n">
        <v>0</v>
      </c>
      <c r="N8443" t="n">
        <v>0</v>
      </c>
      <c r="O8443" t="n">
        <v>0</v>
      </c>
      <c r="P8443" t="n">
        <v>0</v>
      </c>
      <c r="Q8443" t="n">
        <v>0</v>
      </c>
      <c r="R8443" s="2" t="inlineStr"/>
    </row>
    <row r="8444" ht="15" customHeight="1">
      <c r="A8444" t="inlineStr">
        <is>
          <t>A 55940-2024</t>
        </is>
      </c>
      <c r="B8444" s="1" t="n">
        <v>45623.61108796296</v>
      </c>
      <c r="C8444" s="1" t="n">
        <v>46075</v>
      </c>
      <c r="D8444" t="inlineStr">
        <is>
          <t>VÄSTERBOTTENS LÄN</t>
        </is>
      </c>
      <c r="E8444" t="inlineStr">
        <is>
          <t>SKELLEFTEÅ</t>
        </is>
      </c>
      <c r="F8444" t="inlineStr">
        <is>
          <t>Holmen skog AB</t>
        </is>
      </c>
      <c r="G8444" t="n">
        <v>3.9</v>
      </c>
      <c r="H8444" t="n">
        <v>0</v>
      </c>
      <c r="I8444" t="n">
        <v>0</v>
      </c>
      <c r="J8444" t="n">
        <v>0</v>
      </c>
      <c r="K8444" t="n">
        <v>0</v>
      </c>
      <c r="L8444" t="n">
        <v>0</v>
      </c>
      <c r="M8444" t="n">
        <v>0</v>
      </c>
      <c r="N8444" t="n">
        <v>0</v>
      </c>
      <c r="O8444" t="n">
        <v>0</v>
      </c>
      <c r="P8444" t="n">
        <v>0</v>
      </c>
      <c r="Q8444" t="n">
        <v>0</v>
      </c>
      <c r="R8444" s="2" t="inlineStr"/>
    </row>
    <row r="8445" ht="15" customHeight="1">
      <c r="A8445" t="inlineStr">
        <is>
          <t>A 59814-2023</t>
        </is>
      </c>
      <c r="B8445" s="1" t="n">
        <v>45257.50859953704</v>
      </c>
      <c r="C8445" s="1" t="n">
        <v>46075</v>
      </c>
      <c r="D8445" t="inlineStr">
        <is>
          <t>VÄSTERBOTTENS LÄN</t>
        </is>
      </c>
      <c r="E8445" t="inlineStr">
        <is>
          <t>NORSJÖ</t>
        </is>
      </c>
      <c r="G8445" t="n">
        <v>28.6</v>
      </c>
      <c r="H8445" t="n">
        <v>0</v>
      </c>
      <c r="I8445" t="n">
        <v>0</v>
      </c>
      <c r="J8445" t="n">
        <v>0</v>
      </c>
      <c r="K8445" t="n">
        <v>0</v>
      </c>
      <c r="L8445" t="n">
        <v>0</v>
      </c>
      <c r="M8445" t="n">
        <v>0</v>
      </c>
      <c r="N8445" t="n">
        <v>0</v>
      </c>
      <c r="O8445" t="n">
        <v>0</v>
      </c>
      <c r="P8445" t="n">
        <v>0</v>
      </c>
      <c r="Q8445" t="n">
        <v>0</v>
      </c>
      <c r="R8445" s="2" t="inlineStr"/>
    </row>
    <row r="8446" ht="15" customHeight="1">
      <c r="A8446" t="inlineStr">
        <is>
          <t>A 31466-2021</t>
        </is>
      </c>
      <c r="B8446" s="1" t="n">
        <v>44369</v>
      </c>
      <c r="C8446" s="1" t="n">
        <v>46075</v>
      </c>
      <c r="D8446" t="inlineStr">
        <is>
          <t>VÄSTERBOTTENS LÄN</t>
        </is>
      </c>
      <c r="E8446" t="inlineStr">
        <is>
          <t>LYCKSELE</t>
        </is>
      </c>
      <c r="F8446" t="inlineStr">
        <is>
          <t>Sveaskog</t>
        </is>
      </c>
      <c r="G8446" t="n">
        <v>18.3</v>
      </c>
      <c r="H8446" t="n">
        <v>0</v>
      </c>
      <c r="I8446" t="n">
        <v>0</v>
      </c>
      <c r="J8446" t="n">
        <v>0</v>
      </c>
      <c r="K8446" t="n">
        <v>0</v>
      </c>
      <c r="L8446" t="n">
        <v>0</v>
      </c>
      <c r="M8446" t="n">
        <v>0</v>
      </c>
      <c r="N8446" t="n">
        <v>0</v>
      </c>
      <c r="O8446" t="n">
        <v>0</v>
      </c>
      <c r="P8446" t="n">
        <v>0</v>
      </c>
      <c r="Q8446" t="n">
        <v>0</v>
      </c>
      <c r="R8446" s="2" t="inlineStr"/>
    </row>
    <row r="8447" ht="15" customHeight="1">
      <c r="A8447" t="inlineStr">
        <is>
          <t>A 50725-2024</t>
        </is>
      </c>
      <c r="B8447" s="1" t="n">
        <v>45602.38738425926</v>
      </c>
      <c r="C8447" s="1" t="n">
        <v>46075</v>
      </c>
      <c r="D8447" t="inlineStr">
        <is>
          <t>VÄSTERBOTTENS LÄN</t>
        </is>
      </c>
      <c r="E8447" t="inlineStr">
        <is>
          <t>NORSJÖ</t>
        </is>
      </c>
      <c r="G8447" t="n">
        <v>13.5</v>
      </c>
      <c r="H8447" t="n">
        <v>0</v>
      </c>
      <c r="I8447" t="n">
        <v>0</v>
      </c>
      <c r="J8447" t="n">
        <v>0</v>
      </c>
      <c r="K8447" t="n">
        <v>0</v>
      </c>
      <c r="L8447" t="n">
        <v>0</v>
      </c>
      <c r="M8447" t="n">
        <v>0</v>
      </c>
      <c r="N8447" t="n">
        <v>0</v>
      </c>
      <c r="O8447" t="n">
        <v>0</v>
      </c>
      <c r="P8447" t="n">
        <v>0</v>
      </c>
      <c r="Q8447" t="n">
        <v>0</v>
      </c>
      <c r="R8447" s="2" t="inlineStr"/>
    </row>
    <row r="8448" ht="15" customHeight="1">
      <c r="A8448" t="inlineStr">
        <is>
          <t>A 60780-2025</t>
        </is>
      </c>
      <c r="B8448" s="1" t="n">
        <v>45999.39217592592</v>
      </c>
      <c r="C8448" s="1" t="n">
        <v>46075</v>
      </c>
      <c r="D8448" t="inlineStr">
        <is>
          <t>VÄSTERBOTTENS LÄN</t>
        </is>
      </c>
      <c r="E8448" t="inlineStr">
        <is>
          <t>NORDMALING</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22946-2024</t>
        </is>
      </c>
      <c r="B8449" s="1" t="n">
        <v>45448.94579861111</v>
      </c>
      <c r="C8449" s="1" t="n">
        <v>46075</v>
      </c>
      <c r="D8449" t="inlineStr">
        <is>
          <t>VÄSTERBOTTENS LÄN</t>
        </is>
      </c>
      <c r="E8449" t="inlineStr">
        <is>
          <t>DOROTEA</t>
        </is>
      </c>
      <c r="F8449" t="inlineStr">
        <is>
          <t>SCA</t>
        </is>
      </c>
      <c r="G8449" t="n">
        <v>3.8</v>
      </c>
      <c r="H8449" t="n">
        <v>0</v>
      </c>
      <c r="I8449" t="n">
        <v>0</v>
      </c>
      <c r="J8449" t="n">
        <v>0</v>
      </c>
      <c r="K8449" t="n">
        <v>0</v>
      </c>
      <c r="L8449" t="n">
        <v>0</v>
      </c>
      <c r="M8449" t="n">
        <v>0</v>
      </c>
      <c r="N8449" t="n">
        <v>0</v>
      </c>
      <c r="O8449" t="n">
        <v>0</v>
      </c>
      <c r="P8449" t="n">
        <v>0</v>
      </c>
      <c r="Q8449" t="n">
        <v>0</v>
      </c>
      <c r="R8449" s="2" t="inlineStr"/>
    </row>
    <row r="8450" ht="15" customHeight="1">
      <c r="A8450" t="inlineStr">
        <is>
          <t>A 2946-2026</t>
        </is>
      </c>
      <c r="B8450" s="1" t="n">
        <v>46038.59427083333</v>
      </c>
      <c r="C8450" s="1" t="n">
        <v>46075</v>
      </c>
      <c r="D8450" t="inlineStr">
        <is>
          <t>VÄSTERBOTTENS LÄN</t>
        </is>
      </c>
      <c r="E8450" t="inlineStr">
        <is>
          <t>VILHELMINA</t>
        </is>
      </c>
      <c r="F8450" t="inlineStr">
        <is>
          <t>SCA</t>
        </is>
      </c>
      <c r="G8450" t="n">
        <v>3.1</v>
      </c>
      <c r="H8450" t="n">
        <v>0</v>
      </c>
      <c r="I8450" t="n">
        <v>0</v>
      </c>
      <c r="J8450" t="n">
        <v>0</v>
      </c>
      <c r="K8450" t="n">
        <v>0</v>
      </c>
      <c r="L8450" t="n">
        <v>0</v>
      </c>
      <c r="M8450" t="n">
        <v>0</v>
      </c>
      <c r="N8450" t="n">
        <v>0</v>
      </c>
      <c r="O8450" t="n">
        <v>0</v>
      </c>
      <c r="P8450" t="n">
        <v>0</v>
      </c>
      <c r="Q8450" t="n">
        <v>0</v>
      </c>
      <c r="R8450" s="2" t="inlineStr"/>
    </row>
    <row r="8451" ht="15" customHeight="1">
      <c r="A8451" t="inlineStr">
        <is>
          <t>A 2947-2026</t>
        </is>
      </c>
      <c r="B8451" s="1" t="n">
        <v>46038.59554398148</v>
      </c>
      <c r="C8451" s="1" t="n">
        <v>46075</v>
      </c>
      <c r="D8451" t="inlineStr">
        <is>
          <t>VÄSTERBOTTENS LÄN</t>
        </is>
      </c>
      <c r="E8451" t="inlineStr">
        <is>
          <t>NORDMALING</t>
        </is>
      </c>
      <c r="G8451" t="n">
        <v>4.3</v>
      </c>
      <c r="H8451" t="n">
        <v>0</v>
      </c>
      <c r="I8451" t="n">
        <v>0</v>
      </c>
      <c r="J8451" t="n">
        <v>0</v>
      </c>
      <c r="K8451" t="n">
        <v>0</v>
      </c>
      <c r="L8451" t="n">
        <v>0</v>
      </c>
      <c r="M8451" t="n">
        <v>0</v>
      </c>
      <c r="N8451" t="n">
        <v>0</v>
      </c>
      <c r="O8451" t="n">
        <v>0</v>
      </c>
      <c r="P8451" t="n">
        <v>0</v>
      </c>
      <c r="Q8451" t="n">
        <v>0</v>
      </c>
      <c r="R8451" s="2" t="inlineStr"/>
    </row>
    <row r="8452" ht="15" customHeight="1">
      <c r="A8452" t="inlineStr">
        <is>
          <t>A 60916-2025</t>
        </is>
      </c>
      <c r="B8452" s="1" t="n">
        <v>45999.61329861111</v>
      </c>
      <c r="C8452" s="1" t="n">
        <v>46075</v>
      </c>
      <c r="D8452" t="inlineStr">
        <is>
          <t>VÄSTERBOTTENS LÄN</t>
        </is>
      </c>
      <c r="E8452" t="inlineStr">
        <is>
          <t>STORUMAN</t>
        </is>
      </c>
      <c r="F8452" t="inlineStr">
        <is>
          <t>Naturvårdsverket</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68334-2021</t>
        </is>
      </c>
      <c r="B8453" s="1" t="n">
        <v>44527</v>
      </c>
      <c r="C8453" s="1" t="n">
        <v>46075</v>
      </c>
      <c r="D8453" t="inlineStr">
        <is>
          <t>VÄSTERBOTTENS LÄN</t>
        </is>
      </c>
      <c r="E8453" t="inlineStr">
        <is>
          <t>SKELLEFTEÅ</t>
        </is>
      </c>
      <c r="G8453" t="n">
        <v>1.4</v>
      </c>
      <c r="H8453" t="n">
        <v>0</v>
      </c>
      <c r="I8453" t="n">
        <v>0</v>
      </c>
      <c r="J8453" t="n">
        <v>0</v>
      </c>
      <c r="K8453" t="n">
        <v>0</v>
      </c>
      <c r="L8453" t="n">
        <v>0</v>
      </c>
      <c r="M8453" t="n">
        <v>0</v>
      </c>
      <c r="N8453" t="n">
        <v>0</v>
      </c>
      <c r="O8453" t="n">
        <v>0</v>
      </c>
      <c r="P8453" t="n">
        <v>0</v>
      </c>
      <c r="Q8453" t="n">
        <v>0</v>
      </c>
      <c r="R8453" s="2" t="inlineStr"/>
    </row>
    <row r="8454" ht="15" customHeight="1">
      <c r="A8454" t="inlineStr">
        <is>
          <t>A 28870-2024</t>
        </is>
      </c>
      <c r="B8454" s="1" t="n">
        <v>45478.94733796296</v>
      </c>
      <c r="C8454" s="1" t="n">
        <v>46075</v>
      </c>
      <c r="D8454" t="inlineStr">
        <is>
          <t>VÄSTERBOTTENS LÄN</t>
        </is>
      </c>
      <c r="E8454" t="inlineStr">
        <is>
          <t>VILHELMINA</t>
        </is>
      </c>
      <c r="F8454" t="inlineStr">
        <is>
          <t>SCA</t>
        </is>
      </c>
      <c r="G8454" t="n">
        <v>2.8</v>
      </c>
      <c r="H8454" t="n">
        <v>0</v>
      </c>
      <c r="I8454" t="n">
        <v>0</v>
      </c>
      <c r="J8454" t="n">
        <v>0</v>
      </c>
      <c r="K8454" t="n">
        <v>0</v>
      </c>
      <c r="L8454" t="n">
        <v>0</v>
      </c>
      <c r="M8454" t="n">
        <v>0</v>
      </c>
      <c r="N8454" t="n">
        <v>0</v>
      </c>
      <c r="O8454" t="n">
        <v>0</v>
      </c>
      <c r="P8454" t="n">
        <v>0</v>
      </c>
      <c r="Q8454" t="n">
        <v>0</v>
      </c>
      <c r="R8454" s="2" t="inlineStr"/>
    </row>
    <row r="8455" ht="15" customHeight="1">
      <c r="A8455" t="inlineStr">
        <is>
          <t>A 60697-2025</t>
        </is>
      </c>
      <c r="B8455" s="1" t="n">
        <v>45996.59995370371</v>
      </c>
      <c r="C8455" s="1" t="n">
        <v>46075</v>
      </c>
      <c r="D8455" t="inlineStr">
        <is>
          <t>VÄSTERBOTTENS LÄN</t>
        </is>
      </c>
      <c r="E8455" t="inlineStr">
        <is>
          <t>VILHELMINA</t>
        </is>
      </c>
      <c r="G8455" t="n">
        <v>2.1</v>
      </c>
      <c r="H8455" t="n">
        <v>0</v>
      </c>
      <c r="I8455" t="n">
        <v>0</v>
      </c>
      <c r="J8455" t="n">
        <v>0</v>
      </c>
      <c r="K8455" t="n">
        <v>0</v>
      </c>
      <c r="L8455" t="n">
        <v>0</v>
      </c>
      <c r="M8455" t="n">
        <v>0</v>
      </c>
      <c r="N8455" t="n">
        <v>0</v>
      </c>
      <c r="O8455" t="n">
        <v>0</v>
      </c>
      <c r="P8455" t="n">
        <v>0</v>
      </c>
      <c r="Q8455" t="n">
        <v>0</v>
      </c>
      <c r="R8455" s="2" t="inlineStr"/>
    </row>
    <row r="8456" ht="15" customHeight="1">
      <c r="A8456" t="inlineStr">
        <is>
          <t>A 60701-2025</t>
        </is>
      </c>
      <c r="B8456" s="1" t="n">
        <v>45996.60284722222</v>
      </c>
      <c r="C8456" s="1" t="n">
        <v>46075</v>
      </c>
      <c r="D8456" t="inlineStr">
        <is>
          <t>VÄSTERBOTTENS LÄN</t>
        </is>
      </c>
      <c r="E8456" t="inlineStr">
        <is>
          <t>VILHELMINA</t>
        </is>
      </c>
      <c r="G8456" t="n">
        <v>6.2</v>
      </c>
      <c r="H8456" t="n">
        <v>0</v>
      </c>
      <c r="I8456" t="n">
        <v>0</v>
      </c>
      <c r="J8456" t="n">
        <v>0</v>
      </c>
      <c r="K8456" t="n">
        <v>0</v>
      </c>
      <c r="L8456" t="n">
        <v>0</v>
      </c>
      <c r="M8456" t="n">
        <v>0</v>
      </c>
      <c r="N8456" t="n">
        <v>0</v>
      </c>
      <c r="O8456" t="n">
        <v>0</v>
      </c>
      <c r="P8456" t="n">
        <v>0</v>
      </c>
      <c r="Q8456" t="n">
        <v>0</v>
      </c>
      <c r="R8456" s="2" t="inlineStr"/>
    </row>
    <row r="8457" ht="15" customHeight="1">
      <c r="A8457" t="inlineStr">
        <is>
          <t>A 28889-2024</t>
        </is>
      </c>
      <c r="B8457" s="1" t="n">
        <v>45479.9489699074</v>
      </c>
      <c r="C8457" s="1" t="n">
        <v>46075</v>
      </c>
      <c r="D8457" t="inlineStr">
        <is>
          <t>VÄSTERBOTTENS LÄN</t>
        </is>
      </c>
      <c r="E8457" t="inlineStr">
        <is>
          <t>ÅSELE</t>
        </is>
      </c>
      <c r="F8457" t="inlineStr">
        <is>
          <t>SCA</t>
        </is>
      </c>
      <c r="G8457" t="n">
        <v>10.9</v>
      </c>
      <c r="H8457" t="n">
        <v>0</v>
      </c>
      <c r="I8457" t="n">
        <v>0</v>
      </c>
      <c r="J8457" t="n">
        <v>0</v>
      </c>
      <c r="K8457" t="n">
        <v>0</v>
      </c>
      <c r="L8457" t="n">
        <v>0</v>
      </c>
      <c r="M8457" t="n">
        <v>0</v>
      </c>
      <c r="N8457" t="n">
        <v>0</v>
      </c>
      <c r="O8457" t="n">
        <v>0</v>
      </c>
      <c r="P8457" t="n">
        <v>0</v>
      </c>
      <c r="Q8457" t="n">
        <v>0</v>
      </c>
      <c r="R8457" s="2" t="inlineStr"/>
    </row>
    <row r="8458" ht="15" customHeight="1">
      <c r="A8458" t="inlineStr">
        <is>
          <t>A 16410-2025</t>
        </is>
      </c>
      <c r="B8458" s="1" t="n">
        <v>45751</v>
      </c>
      <c r="C8458" s="1" t="n">
        <v>46075</v>
      </c>
      <c r="D8458" t="inlineStr">
        <is>
          <t>VÄSTERBOTTENS LÄN</t>
        </is>
      </c>
      <c r="E8458" t="inlineStr">
        <is>
          <t>SKELLEFTEÅ</t>
        </is>
      </c>
      <c r="G8458" t="n">
        <v>1.1</v>
      </c>
      <c r="H8458" t="n">
        <v>0</v>
      </c>
      <c r="I8458" t="n">
        <v>0</v>
      </c>
      <c r="J8458" t="n">
        <v>0</v>
      </c>
      <c r="K8458" t="n">
        <v>0</v>
      </c>
      <c r="L8458" t="n">
        <v>0</v>
      </c>
      <c r="M8458" t="n">
        <v>0</v>
      </c>
      <c r="N8458" t="n">
        <v>0</v>
      </c>
      <c r="O8458" t="n">
        <v>0</v>
      </c>
      <c r="P8458" t="n">
        <v>0</v>
      </c>
      <c r="Q8458" t="n">
        <v>0</v>
      </c>
      <c r="R8458" s="2" t="inlineStr"/>
      <c r="U8458">
        <f>HYPERLINK("https://klasma.github.io/Logging_2482/knärot/A 16410-2025 karta knärot.png", "A 16410-2025")</f>
        <v/>
      </c>
      <c r="V8458">
        <f>HYPERLINK("https://klasma.github.io/Logging_2482/klagomål/A 16410-2025 FSC-klagomål.docx", "A 16410-2025")</f>
        <v/>
      </c>
      <c r="W8458">
        <f>HYPERLINK("https://klasma.github.io/Logging_2482/klagomålsmail/A 16410-2025 FSC-klagomål mail.docx", "A 16410-2025")</f>
        <v/>
      </c>
      <c r="X8458">
        <f>HYPERLINK("https://klasma.github.io/Logging_2482/tillsyn/A 16410-2025 tillsynsbegäran.docx", "A 16410-2025")</f>
        <v/>
      </c>
      <c r="Y8458">
        <f>HYPERLINK("https://klasma.github.io/Logging_2482/tillsynsmail/A 16410-2025 tillsynsbegäran mail.docx", "A 16410-2025")</f>
        <v/>
      </c>
    </row>
    <row r="8459" ht="15" customHeight="1">
      <c r="A8459" t="inlineStr">
        <is>
          <t>A 2842-2026</t>
        </is>
      </c>
      <c r="B8459" s="1" t="n">
        <v>46038.46935185185</v>
      </c>
      <c r="C8459" s="1" t="n">
        <v>46075</v>
      </c>
      <c r="D8459" t="inlineStr">
        <is>
          <t>VÄSTERBOTTENS LÄN</t>
        </is>
      </c>
      <c r="E8459" t="inlineStr">
        <is>
          <t>DOROTEA</t>
        </is>
      </c>
      <c r="F8459" t="inlineStr">
        <is>
          <t>SCA</t>
        </is>
      </c>
      <c r="G8459" t="n">
        <v>2.8</v>
      </c>
      <c r="H8459" t="n">
        <v>0</v>
      </c>
      <c r="I8459" t="n">
        <v>0</v>
      </c>
      <c r="J8459" t="n">
        <v>0</v>
      </c>
      <c r="K8459" t="n">
        <v>0</v>
      </c>
      <c r="L8459" t="n">
        <v>0</v>
      </c>
      <c r="M8459" t="n">
        <v>0</v>
      </c>
      <c r="N8459" t="n">
        <v>0</v>
      </c>
      <c r="O8459" t="n">
        <v>0</v>
      </c>
      <c r="P8459" t="n">
        <v>0</v>
      </c>
      <c r="Q8459" t="n">
        <v>0</v>
      </c>
      <c r="R8459" s="2" t="inlineStr"/>
    </row>
    <row r="8460" ht="15" customHeight="1">
      <c r="A8460" t="inlineStr">
        <is>
          <t>A 60794-2025</t>
        </is>
      </c>
      <c r="B8460" s="1" t="n">
        <v>45999.42116898148</v>
      </c>
      <c r="C8460" s="1" t="n">
        <v>46075</v>
      </c>
      <c r="D8460" t="inlineStr">
        <is>
          <t>VÄSTERBOTTENS LÄN</t>
        </is>
      </c>
      <c r="E8460" t="inlineStr">
        <is>
          <t>SKELLEFTEÅ</t>
        </is>
      </c>
      <c r="G8460" t="n">
        <v>4.7</v>
      </c>
      <c r="H8460" t="n">
        <v>0</v>
      </c>
      <c r="I8460" t="n">
        <v>0</v>
      </c>
      <c r="J8460" t="n">
        <v>0</v>
      </c>
      <c r="K8460" t="n">
        <v>0</v>
      </c>
      <c r="L8460" t="n">
        <v>0</v>
      </c>
      <c r="M8460" t="n">
        <v>0</v>
      </c>
      <c r="N8460" t="n">
        <v>0</v>
      </c>
      <c r="O8460" t="n">
        <v>0</v>
      </c>
      <c r="P8460" t="n">
        <v>0</v>
      </c>
      <c r="Q8460" t="n">
        <v>0</v>
      </c>
      <c r="R8460" s="2" t="inlineStr"/>
    </row>
    <row r="8461" ht="15" customHeight="1">
      <c r="A8461" t="inlineStr">
        <is>
          <t>A 36853-2023</t>
        </is>
      </c>
      <c r="B8461" s="1" t="n">
        <v>45154</v>
      </c>
      <c r="C8461" s="1" t="n">
        <v>46075</v>
      </c>
      <c r="D8461" t="inlineStr">
        <is>
          <t>VÄSTERBOTTENS LÄN</t>
        </is>
      </c>
      <c r="E8461" t="inlineStr">
        <is>
          <t>SORSELE</t>
        </is>
      </c>
      <c r="G8461" t="n">
        <v>16.9</v>
      </c>
      <c r="H8461" t="n">
        <v>0</v>
      </c>
      <c r="I8461" t="n">
        <v>0</v>
      </c>
      <c r="J8461" t="n">
        <v>0</v>
      </c>
      <c r="K8461" t="n">
        <v>0</v>
      </c>
      <c r="L8461" t="n">
        <v>0</v>
      </c>
      <c r="M8461" t="n">
        <v>0</v>
      </c>
      <c r="N8461" t="n">
        <v>0</v>
      </c>
      <c r="O8461" t="n">
        <v>0</v>
      </c>
      <c r="P8461" t="n">
        <v>0</v>
      </c>
      <c r="Q8461" t="n">
        <v>0</v>
      </c>
      <c r="R8461" s="2" t="inlineStr"/>
    </row>
    <row r="8462" ht="15" customHeight="1">
      <c r="A8462" t="inlineStr">
        <is>
          <t>A 28890-2024</t>
        </is>
      </c>
      <c r="B8462" s="1" t="n">
        <v>45479.94907407407</v>
      </c>
      <c r="C8462" s="1" t="n">
        <v>46075</v>
      </c>
      <c r="D8462" t="inlineStr">
        <is>
          <t>VÄSTERBOTTENS LÄN</t>
        </is>
      </c>
      <c r="E8462" t="inlineStr">
        <is>
          <t>LYCKSELE</t>
        </is>
      </c>
      <c r="F8462" t="inlineStr">
        <is>
          <t>SCA</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28892-2024</t>
        </is>
      </c>
      <c r="B8463" s="1" t="n">
        <v>45479.94927083333</v>
      </c>
      <c r="C8463" s="1" t="n">
        <v>46075</v>
      </c>
      <c r="D8463" t="inlineStr">
        <is>
          <t>VÄSTERBOTTENS LÄN</t>
        </is>
      </c>
      <c r="E8463" t="inlineStr">
        <is>
          <t>LYCKSELE</t>
        </is>
      </c>
      <c r="F8463" t="inlineStr">
        <is>
          <t>SCA</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60798-2025</t>
        </is>
      </c>
      <c r="B8464" s="1" t="n">
        <v>45999.42503472222</v>
      </c>
      <c r="C8464" s="1" t="n">
        <v>46075</v>
      </c>
      <c r="D8464" t="inlineStr">
        <is>
          <t>VÄSTERBOTTENS LÄN</t>
        </is>
      </c>
      <c r="E8464" t="inlineStr">
        <is>
          <t>UMEÅ</t>
        </is>
      </c>
      <c r="G8464" t="n">
        <v>4</v>
      </c>
      <c r="H8464" t="n">
        <v>0</v>
      </c>
      <c r="I8464" t="n">
        <v>0</v>
      </c>
      <c r="J8464" t="n">
        <v>0</v>
      </c>
      <c r="K8464" t="n">
        <v>0</v>
      </c>
      <c r="L8464" t="n">
        <v>0</v>
      </c>
      <c r="M8464" t="n">
        <v>0</v>
      </c>
      <c r="N8464" t="n">
        <v>0</v>
      </c>
      <c r="O8464" t="n">
        <v>0</v>
      </c>
      <c r="P8464" t="n">
        <v>0</v>
      </c>
      <c r="Q8464" t="n">
        <v>0</v>
      </c>
      <c r="R8464" s="2" t="inlineStr"/>
    </row>
    <row r="8465" ht="15" customHeight="1">
      <c r="A8465" t="inlineStr">
        <is>
          <t>A 3104-2026</t>
        </is>
      </c>
      <c r="B8465" s="1" t="n">
        <v>46041.34425925926</v>
      </c>
      <c r="C8465" s="1" t="n">
        <v>46075</v>
      </c>
      <c r="D8465" t="inlineStr">
        <is>
          <t>VÄSTERBOTTENS LÄN</t>
        </is>
      </c>
      <c r="E8465" t="inlineStr">
        <is>
          <t>NORDMALING</t>
        </is>
      </c>
      <c r="G8465" t="n">
        <v>5.7</v>
      </c>
      <c r="H8465" t="n">
        <v>0</v>
      </c>
      <c r="I8465" t="n">
        <v>0</v>
      </c>
      <c r="J8465" t="n">
        <v>0</v>
      </c>
      <c r="K8465" t="n">
        <v>0</v>
      </c>
      <c r="L8465" t="n">
        <v>0</v>
      </c>
      <c r="M8465" t="n">
        <v>0</v>
      </c>
      <c r="N8465" t="n">
        <v>0</v>
      </c>
      <c r="O8465" t="n">
        <v>0</v>
      </c>
      <c r="P8465" t="n">
        <v>0</v>
      </c>
      <c r="Q8465" t="n">
        <v>0</v>
      </c>
      <c r="R8465" s="2" t="inlineStr"/>
    </row>
    <row r="8466" ht="15" customHeight="1">
      <c r="A8466" t="inlineStr">
        <is>
          <t>A 18478-2023</t>
        </is>
      </c>
      <c r="B8466" s="1" t="n">
        <v>45042.58392361111</v>
      </c>
      <c r="C8466" s="1" t="n">
        <v>46075</v>
      </c>
      <c r="D8466" t="inlineStr">
        <is>
          <t>VÄSTERBOTTENS LÄN</t>
        </is>
      </c>
      <c r="E8466" t="inlineStr">
        <is>
          <t>SKELLEFTEÅ</t>
        </is>
      </c>
      <c r="G8466" t="n">
        <v>2.7</v>
      </c>
      <c r="H8466" t="n">
        <v>0</v>
      </c>
      <c r="I8466" t="n">
        <v>0</v>
      </c>
      <c r="J8466" t="n">
        <v>0</v>
      </c>
      <c r="K8466" t="n">
        <v>0</v>
      </c>
      <c r="L8466" t="n">
        <v>0</v>
      </c>
      <c r="M8466" t="n">
        <v>0</v>
      </c>
      <c r="N8466" t="n">
        <v>0</v>
      </c>
      <c r="O8466" t="n">
        <v>0</v>
      </c>
      <c r="P8466" t="n">
        <v>0</v>
      </c>
      <c r="Q8466" t="n">
        <v>0</v>
      </c>
      <c r="R8466" s="2" t="inlineStr"/>
    </row>
    <row r="8467" ht="15" customHeight="1">
      <c r="A8467" t="inlineStr">
        <is>
          <t>A 18527-2023</t>
        </is>
      </c>
      <c r="B8467" s="1" t="n">
        <v>45041</v>
      </c>
      <c r="C8467" s="1" t="n">
        <v>46075</v>
      </c>
      <c r="D8467" t="inlineStr">
        <is>
          <t>VÄSTERBOTTENS LÄN</t>
        </is>
      </c>
      <c r="E8467" t="inlineStr">
        <is>
          <t>UMEÅ</t>
        </is>
      </c>
      <c r="F8467" t="inlineStr">
        <is>
          <t>Kommuner</t>
        </is>
      </c>
      <c r="G8467" t="n">
        <v>3.2</v>
      </c>
      <c r="H8467" t="n">
        <v>0</v>
      </c>
      <c r="I8467" t="n">
        <v>0</v>
      </c>
      <c r="J8467" t="n">
        <v>0</v>
      </c>
      <c r="K8467" t="n">
        <v>0</v>
      </c>
      <c r="L8467" t="n">
        <v>0</v>
      </c>
      <c r="M8467" t="n">
        <v>0</v>
      </c>
      <c r="N8467" t="n">
        <v>0</v>
      </c>
      <c r="O8467" t="n">
        <v>0</v>
      </c>
      <c r="P8467" t="n">
        <v>0</v>
      </c>
      <c r="Q8467" t="n">
        <v>0</v>
      </c>
      <c r="R8467" s="2" t="inlineStr"/>
    </row>
    <row r="8468" ht="15" customHeight="1">
      <c r="A8468" t="inlineStr">
        <is>
          <t>A 19025-2024</t>
        </is>
      </c>
      <c r="B8468" s="1" t="n">
        <v>45427</v>
      </c>
      <c r="C8468" s="1" t="n">
        <v>46075</v>
      </c>
      <c r="D8468" t="inlineStr">
        <is>
          <t>VÄSTERBOTTENS LÄN</t>
        </is>
      </c>
      <c r="E8468" t="inlineStr">
        <is>
          <t>UMEÅ</t>
        </is>
      </c>
      <c r="G8468" t="n">
        <v>0.6</v>
      </c>
      <c r="H8468" t="n">
        <v>0</v>
      </c>
      <c r="I8468" t="n">
        <v>0</v>
      </c>
      <c r="J8468" t="n">
        <v>0</v>
      </c>
      <c r="K8468" t="n">
        <v>0</v>
      </c>
      <c r="L8468" t="n">
        <v>0</v>
      </c>
      <c r="M8468" t="n">
        <v>0</v>
      </c>
      <c r="N8468" t="n">
        <v>0</v>
      </c>
      <c r="O8468" t="n">
        <v>0</v>
      </c>
      <c r="P8468" t="n">
        <v>0</v>
      </c>
      <c r="Q8468" t="n">
        <v>0</v>
      </c>
      <c r="R8468" s="2" t="inlineStr"/>
    </row>
    <row r="8469" ht="15" customHeight="1">
      <c r="A8469" t="inlineStr">
        <is>
          <t>A 2774-2026</t>
        </is>
      </c>
      <c r="B8469" s="1" t="n">
        <v>46038.37543981482</v>
      </c>
      <c r="C8469" s="1" t="n">
        <v>46075</v>
      </c>
      <c r="D8469" t="inlineStr">
        <is>
          <t>VÄSTERBOTTENS LÄN</t>
        </is>
      </c>
      <c r="E8469" t="inlineStr">
        <is>
          <t>VÄNNÄS</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15028-2025</t>
        </is>
      </c>
      <c r="B8470" s="1" t="n">
        <v>45743.65723379629</v>
      </c>
      <c r="C8470" s="1" t="n">
        <v>46075</v>
      </c>
      <c r="D8470" t="inlineStr">
        <is>
          <t>VÄSTERBOTTENS LÄN</t>
        </is>
      </c>
      <c r="E8470" t="inlineStr">
        <is>
          <t>NORDMALING</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56640-2023</t>
        </is>
      </c>
      <c r="B8471" s="1" t="n">
        <v>45243.72438657407</v>
      </c>
      <c r="C8471" s="1" t="n">
        <v>46075</v>
      </c>
      <c r="D8471" t="inlineStr">
        <is>
          <t>VÄSTERBOTTENS LÄN</t>
        </is>
      </c>
      <c r="E8471" t="inlineStr">
        <is>
          <t>VINDELN</t>
        </is>
      </c>
      <c r="G8471" t="n">
        <v>0.7</v>
      </c>
      <c r="H8471" t="n">
        <v>0</v>
      </c>
      <c r="I8471" t="n">
        <v>0</v>
      </c>
      <c r="J8471" t="n">
        <v>0</v>
      </c>
      <c r="K8471" t="n">
        <v>0</v>
      </c>
      <c r="L8471" t="n">
        <v>0</v>
      </c>
      <c r="M8471" t="n">
        <v>0</v>
      </c>
      <c r="N8471" t="n">
        <v>0</v>
      </c>
      <c r="O8471" t="n">
        <v>0</v>
      </c>
      <c r="P8471" t="n">
        <v>0</v>
      </c>
      <c r="Q8471" t="n">
        <v>0</v>
      </c>
      <c r="R8471" s="2" t="inlineStr"/>
    </row>
    <row r="8472" ht="15" customHeight="1">
      <c r="A8472" t="inlineStr">
        <is>
          <t>A 15799-2024</t>
        </is>
      </c>
      <c r="B8472" s="1" t="n">
        <v>45404.63964120371</v>
      </c>
      <c r="C8472" s="1" t="n">
        <v>46075</v>
      </c>
      <c r="D8472" t="inlineStr">
        <is>
          <t>VÄSTERBOTTENS LÄN</t>
        </is>
      </c>
      <c r="E8472" t="inlineStr">
        <is>
          <t>ROBERTSFORS</t>
        </is>
      </c>
      <c r="G8472" t="n">
        <v>2.6</v>
      </c>
      <c r="H8472" t="n">
        <v>0</v>
      </c>
      <c r="I8472" t="n">
        <v>0</v>
      </c>
      <c r="J8472" t="n">
        <v>0</v>
      </c>
      <c r="K8472" t="n">
        <v>0</v>
      </c>
      <c r="L8472" t="n">
        <v>0</v>
      </c>
      <c r="M8472" t="n">
        <v>0</v>
      </c>
      <c r="N8472" t="n">
        <v>0</v>
      </c>
      <c r="O8472" t="n">
        <v>0</v>
      </c>
      <c r="P8472" t="n">
        <v>0</v>
      </c>
      <c r="Q8472" t="n">
        <v>0</v>
      </c>
      <c r="R8472" s="2" t="inlineStr"/>
    </row>
    <row r="8473" ht="15" customHeight="1">
      <c r="A8473" t="inlineStr">
        <is>
          <t>A 60991-2025</t>
        </is>
      </c>
      <c r="B8473" s="1" t="n">
        <v>45999.72875</v>
      </c>
      <c r="C8473" s="1" t="n">
        <v>46075</v>
      </c>
      <c r="D8473" t="inlineStr">
        <is>
          <t>VÄSTERBOTTENS LÄN</t>
        </is>
      </c>
      <c r="E8473" t="inlineStr">
        <is>
          <t>VILHELMINA</t>
        </is>
      </c>
      <c r="G8473" t="n">
        <v>4.6</v>
      </c>
      <c r="H8473" t="n">
        <v>0</v>
      </c>
      <c r="I8473" t="n">
        <v>0</v>
      </c>
      <c r="J8473" t="n">
        <v>0</v>
      </c>
      <c r="K8473" t="n">
        <v>0</v>
      </c>
      <c r="L8473" t="n">
        <v>0</v>
      </c>
      <c r="M8473" t="n">
        <v>0</v>
      </c>
      <c r="N8473" t="n">
        <v>0</v>
      </c>
      <c r="O8473" t="n">
        <v>0</v>
      </c>
      <c r="P8473" t="n">
        <v>0</v>
      </c>
      <c r="Q8473" t="n">
        <v>0</v>
      </c>
      <c r="R8473" s="2" t="inlineStr"/>
    </row>
    <row r="8474" ht="15" customHeight="1">
      <c r="A8474" t="inlineStr">
        <is>
          <t>A 2822-2026</t>
        </is>
      </c>
      <c r="B8474" s="1" t="n">
        <v>46038.43719907408</v>
      </c>
      <c r="C8474" s="1" t="n">
        <v>46075</v>
      </c>
      <c r="D8474" t="inlineStr">
        <is>
          <t>VÄSTERBOTTENS LÄN</t>
        </is>
      </c>
      <c r="E8474" t="inlineStr">
        <is>
          <t>VILHELMINA</t>
        </is>
      </c>
      <c r="G8474" t="n">
        <v>3.6</v>
      </c>
      <c r="H8474" t="n">
        <v>0</v>
      </c>
      <c r="I8474" t="n">
        <v>0</v>
      </c>
      <c r="J8474" t="n">
        <v>0</v>
      </c>
      <c r="K8474" t="n">
        <v>0</v>
      </c>
      <c r="L8474" t="n">
        <v>0</v>
      </c>
      <c r="M8474" t="n">
        <v>0</v>
      </c>
      <c r="N8474" t="n">
        <v>0</v>
      </c>
      <c r="O8474" t="n">
        <v>0</v>
      </c>
      <c r="P8474" t="n">
        <v>0</v>
      </c>
      <c r="Q8474" t="n">
        <v>0</v>
      </c>
      <c r="R8474" s="2" t="inlineStr"/>
    </row>
    <row r="8475" ht="15" customHeight="1">
      <c r="A8475" t="inlineStr">
        <is>
          <t>A 37792-2021</t>
        </is>
      </c>
      <c r="B8475" s="1" t="n">
        <v>44401</v>
      </c>
      <c r="C8475" s="1" t="n">
        <v>46075</v>
      </c>
      <c r="D8475" t="inlineStr">
        <is>
          <t>VÄSTERBOTTENS LÄN</t>
        </is>
      </c>
      <c r="E8475" t="inlineStr">
        <is>
          <t>SKELLEFTEÅ</t>
        </is>
      </c>
      <c r="G8475" t="n">
        <v>2.5</v>
      </c>
      <c r="H8475" t="n">
        <v>0</v>
      </c>
      <c r="I8475" t="n">
        <v>0</v>
      </c>
      <c r="J8475" t="n">
        <v>0</v>
      </c>
      <c r="K8475" t="n">
        <v>0</v>
      </c>
      <c r="L8475" t="n">
        <v>0</v>
      </c>
      <c r="M8475" t="n">
        <v>0</v>
      </c>
      <c r="N8475" t="n">
        <v>0</v>
      </c>
      <c r="O8475" t="n">
        <v>0</v>
      </c>
      <c r="P8475" t="n">
        <v>0</v>
      </c>
      <c r="Q8475" t="n">
        <v>0</v>
      </c>
      <c r="R8475" s="2" t="inlineStr"/>
    </row>
    <row r="8476" ht="15" customHeight="1">
      <c r="A8476" t="inlineStr">
        <is>
          <t>A 22733-2023</t>
        </is>
      </c>
      <c r="B8476" s="1" t="n">
        <v>45071</v>
      </c>
      <c r="C8476" s="1" t="n">
        <v>46075</v>
      </c>
      <c r="D8476" t="inlineStr">
        <is>
          <t>VÄSTERBOTTENS LÄN</t>
        </is>
      </c>
      <c r="E8476" t="inlineStr">
        <is>
          <t>DOROTEA</t>
        </is>
      </c>
      <c r="G8476" t="n">
        <v>5.2</v>
      </c>
      <c r="H8476" t="n">
        <v>0</v>
      </c>
      <c r="I8476" t="n">
        <v>0</v>
      </c>
      <c r="J8476" t="n">
        <v>0</v>
      </c>
      <c r="K8476" t="n">
        <v>0</v>
      </c>
      <c r="L8476" t="n">
        <v>0</v>
      </c>
      <c r="M8476" t="n">
        <v>0</v>
      </c>
      <c r="N8476" t="n">
        <v>0</v>
      </c>
      <c r="O8476" t="n">
        <v>0</v>
      </c>
      <c r="P8476" t="n">
        <v>0</v>
      </c>
      <c r="Q8476" t="n">
        <v>0</v>
      </c>
      <c r="R8476" s="2" t="inlineStr"/>
    </row>
    <row r="8477" ht="15" customHeight="1">
      <c r="A8477" t="inlineStr">
        <is>
          <t>A 22735-2023</t>
        </is>
      </c>
      <c r="B8477" s="1" t="n">
        <v>45071</v>
      </c>
      <c r="C8477" s="1" t="n">
        <v>46075</v>
      </c>
      <c r="D8477" t="inlineStr">
        <is>
          <t>VÄSTERBOTTENS LÄN</t>
        </is>
      </c>
      <c r="E8477" t="inlineStr">
        <is>
          <t>SKELLEFTEÅ</t>
        </is>
      </c>
      <c r="G8477" t="n">
        <v>3.9</v>
      </c>
      <c r="H8477" t="n">
        <v>0</v>
      </c>
      <c r="I8477" t="n">
        <v>0</v>
      </c>
      <c r="J8477" t="n">
        <v>0</v>
      </c>
      <c r="K8477" t="n">
        <v>0</v>
      </c>
      <c r="L8477" t="n">
        <v>0</v>
      </c>
      <c r="M8477" t="n">
        <v>0</v>
      </c>
      <c r="N8477" t="n">
        <v>0</v>
      </c>
      <c r="O8477" t="n">
        <v>0</v>
      </c>
      <c r="P8477" t="n">
        <v>0</v>
      </c>
      <c r="Q8477" t="n">
        <v>0</v>
      </c>
      <c r="R8477" s="2" t="inlineStr"/>
    </row>
    <row r="8478" ht="15" customHeight="1">
      <c r="A8478" t="inlineStr">
        <is>
          <t>A 39148-2023</t>
        </is>
      </c>
      <c r="B8478" s="1" t="n">
        <v>45166</v>
      </c>
      <c r="C8478" s="1" t="n">
        <v>46075</v>
      </c>
      <c r="D8478" t="inlineStr">
        <is>
          <t>VÄSTERBOTTENS LÄN</t>
        </is>
      </c>
      <c r="E8478" t="inlineStr">
        <is>
          <t>MALÅ</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40370-2023</t>
        </is>
      </c>
      <c r="B8479" s="1" t="n">
        <v>45168</v>
      </c>
      <c r="C8479" s="1" t="n">
        <v>46075</v>
      </c>
      <c r="D8479" t="inlineStr">
        <is>
          <t>VÄSTERBOTTENS LÄN</t>
        </is>
      </c>
      <c r="E8479" t="inlineStr">
        <is>
          <t>MALÅ</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2876-2026</t>
        </is>
      </c>
      <c r="B8480" s="1" t="n">
        <v>46038.51819444444</v>
      </c>
      <c r="C8480" s="1" t="n">
        <v>46075</v>
      </c>
      <c r="D8480" t="inlineStr">
        <is>
          <t>VÄSTERBOTTENS LÄN</t>
        </is>
      </c>
      <c r="E8480" t="inlineStr">
        <is>
          <t>SKELLEFTEÅ</t>
        </is>
      </c>
      <c r="G8480" t="n">
        <v>7.2</v>
      </c>
      <c r="H8480" t="n">
        <v>0</v>
      </c>
      <c r="I8480" t="n">
        <v>0</v>
      </c>
      <c r="J8480" t="n">
        <v>0</v>
      </c>
      <c r="K8480" t="n">
        <v>0</v>
      </c>
      <c r="L8480" t="n">
        <v>0</v>
      </c>
      <c r="M8480" t="n">
        <v>0</v>
      </c>
      <c r="N8480" t="n">
        <v>0</v>
      </c>
      <c r="O8480" t="n">
        <v>0</v>
      </c>
      <c r="P8480" t="n">
        <v>0</v>
      </c>
      <c r="Q8480" t="n">
        <v>0</v>
      </c>
      <c r="R8480" s="2" t="inlineStr"/>
    </row>
    <row r="8481" ht="15" customHeight="1">
      <c r="A8481" t="inlineStr">
        <is>
          <t>A 1872-2023</t>
        </is>
      </c>
      <c r="B8481" s="1" t="n">
        <v>44938.93849537037</v>
      </c>
      <c r="C8481" s="1" t="n">
        <v>46075</v>
      </c>
      <c r="D8481" t="inlineStr">
        <is>
          <t>VÄSTERBOTTENS LÄN</t>
        </is>
      </c>
      <c r="E8481" t="inlineStr">
        <is>
          <t>ÅSELE</t>
        </is>
      </c>
      <c r="F8481" t="inlineStr">
        <is>
          <t>SCA</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38777-2023</t>
        </is>
      </c>
      <c r="B8482" s="1" t="n">
        <v>45163</v>
      </c>
      <c r="C8482" s="1" t="n">
        <v>46075</v>
      </c>
      <c r="D8482" t="inlineStr">
        <is>
          <t>VÄSTERBOTTENS LÄN</t>
        </is>
      </c>
      <c r="E8482" t="inlineStr">
        <is>
          <t>ROBERTSFORS</t>
        </is>
      </c>
      <c r="F8482" t="inlineStr">
        <is>
          <t>Holmen skog AB</t>
        </is>
      </c>
      <c r="G8482" t="n">
        <v>5.9</v>
      </c>
      <c r="H8482" t="n">
        <v>0</v>
      </c>
      <c r="I8482" t="n">
        <v>0</v>
      </c>
      <c r="J8482" t="n">
        <v>0</v>
      </c>
      <c r="K8482" t="n">
        <v>0</v>
      </c>
      <c r="L8482" t="n">
        <v>0</v>
      </c>
      <c r="M8482" t="n">
        <v>0</v>
      </c>
      <c r="N8482" t="n">
        <v>0</v>
      </c>
      <c r="O8482" t="n">
        <v>0</v>
      </c>
      <c r="P8482" t="n">
        <v>0</v>
      </c>
      <c r="Q8482" t="n">
        <v>0</v>
      </c>
      <c r="R8482" s="2" t="inlineStr"/>
    </row>
    <row r="8483" ht="15" customHeight="1">
      <c r="A8483" t="inlineStr">
        <is>
          <t>A 38808-2023</t>
        </is>
      </c>
      <c r="B8483" s="1" t="n">
        <v>45161</v>
      </c>
      <c r="C8483" s="1" t="n">
        <v>46075</v>
      </c>
      <c r="D8483" t="inlineStr">
        <is>
          <t>VÄSTERBOTTENS LÄN</t>
        </is>
      </c>
      <c r="E8483" t="inlineStr">
        <is>
          <t>NORSJÖ</t>
        </is>
      </c>
      <c r="G8483" t="n">
        <v>20.4</v>
      </c>
      <c r="H8483" t="n">
        <v>0</v>
      </c>
      <c r="I8483" t="n">
        <v>0</v>
      </c>
      <c r="J8483" t="n">
        <v>0</v>
      </c>
      <c r="K8483" t="n">
        <v>0</v>
      </c>
      <c r="L8483" t="n">
        <v>0</v>
      </c>
      <c r="M8483" t="n">
        <v>0</v>
      </c>
      <c r="N8483" t="n">
        <v>0</v>
      </c>
      <c r="O8483" t="n">
        <v>0</v>
      </c>
      <c r="P8483" t="n">
        <v>0</v>
      </c>
      <c r="Q8483" t="n">
        <v>0</v>
      </c>
      <c r="R8483" s="2" t="inlineStr"/>
    </row>
    <row r="8484" ht="15" customHeight="1">
      <c r="A8484" t="inlineStr">
        <is>
          <t>A 995-2026</t>
        </is>
      </c>
      <c r="B8484" s="1" t="n">
        <v>46029</v>
      </c>
      <c r="C8484" s="1" t="n">
        <v>46075</v>
      </c>
      <c r="D8484" t="inlineStr">
        <is>
          <t>VÄSTERBOTTENS LÄN</t>
        </is>
      </c>
      <c r="E8484" t="inlineStr">
        <is>
          <t>DOROTEA</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60918-2025</t>
        </is>
      </c>
      <c r="B8485" s="1" t="n">
        <v>45999.61577546296</v>
      </c>
      <c r="C8485" s="1" t="n">
        <v>46075</v>
      </c>
      <c r="D8485" t="inlineStr">
        <is>
          <t>VÄSTERBOTTENS LÄN</t>
        </is>
      </c>
      <c r="E8485" t="inlineStr">
        <is>
          <t>STORUMAN</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54151-2024</t>
        </is>
      </c>
      <c r="B8486" s="1" t="n">
        <v>45616</v>
      </c>
      <c r="C8486" s="1" t="n">
        <v>46075</v>
      </c>
      <c r="D8486" t="inlineStr">
        <is>
          <t>VÄSTERBOTTENS LÄN</t>
        </is>
      </c>
      <c r="E8486" t="inlineStr">
        <is>
          <t>BJURHOLM</t>
        </is>
      </c>
      <c r="G8486" t="n">
        <v>4.8</v>
      </c>
      <c r="H8486" t="n">
        <v>0</v>
      </c>
      <c r="I8486" t="n">
        <v>0</v>
      </c>
      <c r="J8486" t="n">
        <v>0</v>
      </c>
      <c r="K8486" t="n">
        <v>0</v>
      </c>
      <c r="L8486" t="n">
        <v>0</v>
      </c>
      <c r="M8486" t="n">
        <v>0</v>
      </c>
      <c r="N8486" t="n">
        <v>0</v>
      </c>
      <c r="O8486" t="n">
        <v>0</v>
      </c>
      <c r="P8486" t="n">
        <v>0</v>
      </c>
      <c r="Q8486" t="n">
        <v>0</v>
      </c>
      <c r="R8486" s="2" t="inlineStr"/>
    </row>
    <row r="8487" ht="15" customHeight="1">
      <c r="A8487" t="inlineStr">
        <is>
          <t>A 52900-2023</t>
        </is>
      </c>
      <c r="B8487" s="1" t="n">
        <v>45226</v>
      </c>
      <c r="C8487" s="1" t="n">
        <v>46075</v>
      </c>
      <c r="D8487" t="inlineStr">
        <is>
          <t>VÄSTERBOTTENS LÄN</t>
        </is>
      </c>
      <c r="E8487" t="inlineStr">
        <is>
          <t>UMEÅ</t>
        </is>
      </c>
      <c r="F8487" t="inlineStr">
        <is>
          <t>Holmen skog AB</t>
        </is>
      </c>
      <c r="G8487" t="n">
        <v>5</v>
      </c>
      <c r="H8487" t="n">
        <v>0</v>
      </c>
      <c r="I8487" t="n">
        <v>0</v>
      </c>
      <c r="J8487" t="n">
        <v>0</v>
      </c>
      <c r="K8487" t="n">
        <v>0</v>
      </c>
      <c r="L8487" t="n">
        <v>0</v>
      </c>
      <c r="M8487" t="n">
        <v>0</v>
      </c>
      <c r="N8487" t="n">
        <v>0</v>
      </c>
      <c r="O8487" t="n">
        <v>0</v>
      </c>
      <c r="P8487" t="n">
        <v>0</v>
      </c>
      <c r="Q8487" t="n">
        <v>0</v>
      </c>
      <c r="R8487" s="2" t="inlineStr"/>
    </row>
    <row r="8488" ht="15" customHeight="1">
      <c r="A8488" t="inlineStr">
        <is>
          <t>A 9189-2025</t>
        </is>
      </c>
      <c r="B8488" s="1" t="n">
        <v>45714.45583333333</v>
      </c>
      <c r="C8488" s="1" t="n">
        <v>46075</v>
      </c>
      <c r="D8488" t="inlineStr">
        <is>
          <t>VÄSTERBOTTENS LÄN</t>
        </is>
      </c>
      <c r="E8488" t="inlineStr">
        <is>
          <t>MALÅ</t>
        </is>
      </c>
      <c r="F8488" t="inlineStr">
        <is>
          <t>Sveaskog</t>
        </is>
      </c>
      <c r="G8488" t="n">
        <v>14.2</v>
      </c>
      <c r="H8488" t="n">
        <v>0</v>
      </c>
      <c r="I8488" t="n">
        <v>0</v>
      </c>
      <c r="J8488" t="n">
        <v>0</v>
      </c>
      <c r="K8488" t="n">
        <v>0</v>
      </c>
      <c r="L8488" t="n">
        <v>0</v>
      </c>
      <c r="M8488" t="n">
        <v>0</v>
      </c>
      <c r="N8488" t="n">
        <v>0</v>
      </c>
      <c r="O8488" t="n">
        <v>0</v>
      </c>
      <c r="P8488" t="n">
        <v>0</v>
      </c>
      <c r="Q8488" t="n">
        <v>0</v>
      </c>
      <c r="R8488" s="2" t="inlineStr"/>
    </row>
    <row r="8489" ht="15" customHeight="1">
      <c r="A8489" t="inlineStr">
        <is>
          <t>A 60851-2025</t>
        </is>
      </c>
      <c r="B8489" s="1" t="n">
        <v>45999.5027662037</v>
      </c>
      <c r="C8489" s="1" t="n">
        <v>46075</v>
      </c>
      <c r="D8489" t="inlineStr">
        <is>
          <t>VÄSTERBOTTENS LÄN</t>
        </is>
      </c>
      <c r="E8489" t="inlineStr">
        <is>
          <t>NORDMALING</t>
        </is>
      </c>
      <c r="G8489" t="n">
        <v>1.9</v>
      </c>
      <c r="H8489" t="n">
        <v>0</v>
      </c>
      <c r="I8489" t="n">
        <v>0</v>
      </c>
      <c r="J8489" t="n">
        <v>0</v>
      </c>
      <c r="K8489" t="n">
        <v>0</v>
      </c>
      <c r="L8489" t="n">
        <v>0</v>
      </c>
      <c r="M8489" t="n">
        <v>0</v>
      </c>
      <c r="N8489" t="n">
        <v>0</v>
      </c>
      <c r="O8489" t="n">
        <v>0</v>
      </c>
      <c r="P8489" t="n">
        <v>0</v>
      </c>
      <c r="Q8489" t="n">
        <v>0</v>
      </c>
      <c r="R8489" s="2" t="inlineStr"/>
    </row>
    <row r="8490" ht="15" customHeight="1">
      <c r="A8490" t="inlineStr">
        <is>
          <t>A 60563-2025</t>
        </is>
      </c>
      <c r="B8490" s="1" t="n">
        <v>45994</v>
      </c>
      <c r="C8490" s="1" t="n">
        <v>46075</v>
      </c>
      <c r="D8490" t="inlineStr">
        <is>
          <t>VÄSTERBOTTENS LÄN</t>
        </is>
      </c>
      <c r="E8490" t="inlineStr">
        <is>
          <t>LYCKSELE</t>
        </is>
      </c>
      <c r="G8490" t="n">
        <v>3.1</v>
      </c>
      <c r="H8490" t="n">
        <v>0</v>
      </c>
      <c r="I8490" t="n">
        <v>0</v>
      </c>
      <c r="J8490" t="n">
        <v>0</v>
      </c>
      <c r="K8490" t="n">
        <v>0</v>
      </c>
      <c r="L8490" t="n">
        <v>0</v>
      </c>
      <c r="M8490" t="n">
        <v>0</v>
      </c>
      <c r="N8490" t="n">
        <v>0</v>
      </c>
      <c r="O8490" t="n">
        <v>0</v>
      </c>
      <c r="P8490" t="n">
        <v>0</v>
      </c>
      <c r="Q8490" t="n">
        <v>0</v>
      </c>
      <c r="R8490" s="2" t="inlineStr"/>
    </row>
    <row r="8491" ht="15" customHeight="1">
      <c r="A8491" t="inlineStr">
        <is>
          <t>A 60891-2025</t>
        </is>
      </c>
      <c r="B8491" s="1" t="n">
        <v>45999.57126157408</v>
      </c>
      <c r="C8491" s="1" t="n">
        <v>46075</v>
      </c>
      <c r="D8491" t="inlineStr">
        <is>
          <t>VÄSTERBOTTENS LÄN</t>
        </is>
      </c>
      <c r="E8491" t="inlineStr">
        <is>
          <t>SKELLEFTEÅ</t>
        </is>
      </c>
      <c r="G8491" t="n">
        <v>4.9</v>
      </c>
      <c r="H8491" t="n">
        <v>0</v>
      </c>
      <c r="I8491" t="n">
        <v>0</v>
      </c>
      <c r="J8491" t="n">
        <v>0</v>
      </c>
      <c r="K8491" t="n">
        <v>0</v>
      </c>
      <c r="L8491" t="n">
        <v>0</v>
      </c>
      <c r="M8491" t="n">
        <v>0</v>
      </c>
      <c r="N8491" t="n">
        <v>0</v>
      </c>
      <c r="O8491" t="n">
        <v>0</v>
      </c>
      <c r="P8491" t="n">
        <v>0</v>
      </c>
      <c r="Q8491" t="n">
        <v>0</v>
      </c>
      <c r="R8491" s="2" t="inlineStr"/>
    </row>
    <row r="8492" ht="15" customHeight="1">
      <c r="A8492" t="inlineStr">
        <is>
          <t>A 44240-2024</t>
        </is>
      </c>
      <c r="B8492" s="1" t="n">
        <v>45573.42513888889</v>
      </c>
      <c r="C8492" s="1" t="n">
        <v>46075</v>
      </c>
      <c r="D8492" t="inlineStr">
        <is>
          <t>VÄSTERBOTTENS LÄN</t>
        </is>
      </c>
      <c r="E8492" t="inlineStr">
        <is>
          <t>SKELLEFTEÅ</t>
        </is>
      </c>
      <c r="G8492" t="n">
        <v>0.5</v>
      </c>
      <c r="H8492" t="n">
        <v>0</v>
      </c>
      <c r="I8492" t="n">
        <v>0</v>
      </c>
      <c r="J8492" t="n">
        <v>0</v>
      </c>
      <c r="K8492" t="n">
        <v>0</v>
      </c>
      <c r="L8492" t="n">
        <v>0</v>
      </c>
      <c r="M8492" t="n">
        <v>0</v>
      </c>
      <c r="N8492" t="n">
        <v>0</v>
      </c>
      <c r="O8492" t="n">
        <v>0</v>
      </c>
      <c r="P8492" t="n">
        <v>0</v>
      </c>
      <c r="Q8492" t="n">
        <v>0</v>
      </c>
      <c r="R8492" s="2" t="inlineStr"/>
    </row>
    <row r="8493" ht="15" customHeight="1">
      <c r="A8493" t="inlineStr">
        <is>
          <t>A 44367-2024</t>
        </is>
      </c>
      <c r="B8493" s="1" t="n">
        <v>45573.65248842593</v>
      </c>
      <c r="C8493" s="1" t="n">
        <v>46075</v>
      </c>
      <c r="D8493" t="inlineStr">
        <is>
          <t>VÄSTERBOTTENS LÄN</t>
        </is>
      </c>
      <c r="E8493" t="inlineStr">
        <is>
          <t>NORSJÖ</t>
        </is>
      </c>
      <c r="F8493" t="inlineStr">
        <is>
          <t>Kommuner</t>
        </is>
      </c>
      <c r="G8493" t="n">
        <v>1.9</v>
      </c>
      <c r="H8493" t="n">
        <v>0</v>
      </c>
      <c r="I8493" t="n">
        <v>0</v>
      </c>
      <c r="J8493" t="n">
        <v>0</v>
      </c>
      <c r="K8493" t="n">
        <v>0</v>
      </c>
      <c r="L8493" t="n">
        <v>0</v>
      </c>
      <c r="M8493" t="n">
        <v>0</v>
      </c>
      <c r="N8493" t="n">
        <v>0</v>
      </c>
      <c r="O8493" t="n">
        <v>0</v>
      </c>
      <c r="P8493" t="n">
        <v>0</v>
      </c>
      <c r="Q8493" t="n">
        <v>0</v>
      </c>
      <c r="R8493" s="2" t="inlineStr"/>
    </row>
    <row r="8494" ht="15" customHeight="1">
      <c r="A8494" t="inlineStr">
        <is>
          <t>A 19020-2025</t>
        </is>
      </c>
      <c r="B8494" s="1" t="n">
        <v>45764.61490740741</v>
      </c>
      <c r="C8494" s="1" t="n">
        <v>46075</v>
      </c>
      <c r="D8494" t="inlineStr">
        <is>
          <t>VÄSTERBOTTENS LÄN</t>
        </is>
      </c>
      <c r="E8494" t="inlineStr">
        <is>
          <t>DOROTEA</t>
        </is>
      </c>
      <c r="F8494" t="inlineStr">
        <is>
          <t>SCA</t>
        </is>
      </c>
      <c r="G8494" t="n">
        <v>3.4</v>
      </c>
      <c r="H8494" t="n">
        <v>0</v>
      </c>
      <c r="I8494" t="n">
        <v>0</v>
      </c>
      <c r="J8494" t="n">
        <v>0</v>
      </c>
      <c r="K8494" t="n">
        <v>0</v>
      </c>
      <c r="L8494" t="n">
        <v>0</v>
      </c>
      <c r="M8494" t="n">
        <v>0</v>
      </c>
      <c r="N8494" t="n">
        <v>0</v>
      </c>
      <c r="O8494" t="n">
        <v>0</v>
      </c>
      <c r="P8494" t="n">
        <v>0</v>
      </c>
      <c r="Q8494" t="n">
        <v>0</v>
      </c>
      <c r="R8494" s="2" t="inlineStr"/>
    </row>
    <row r="8495" ht="15" customHeight="1">
      <c r="A8495" t="inlineStr">
        <is>
          <t>A 58187-2023</t>
        </is>
      </c>
      <c r="B8495" s="1" t="n">
        <v>45250.42211805555</v>
      </c>
      <c r="C8495" s="1" t="n">
        <v>46075</v>
      </c>
      <c r="D8495" t="inlineStr">
        <is>
          <t>VÄSTERBOTTENS LÄN</t>
        </is>
      </c>
      <c r="E8495" t="inlineStr">
        <is>
          <t>VINDELN</t>
        </is>
      </c>
      <c r="G8495" t="n">
        <v>5.1</v>
      </c>
      <c r="H8495" t="n">
        <v>0</v>
      </c>
      <c r="I8495" t="n">
        <v>0</v>
      </c>
      <c r="J8495" t="n">
        <v>0</v>
      </c>
      <c r="K8495" t="n">
        <v>0</v>
      </c>
      <c r="L8495" t="n">
        <v>0</v>
      </c>
      <c r="M8495" t="n">
        <v>0</v>
      </c>
      <c r="N8495" t="n">
        <v>0</v>
      </c>
      <c r="O8495" t="n">
        <v>0</v>
      </c>
      <c r="P8495" t="n">
        <v>0</v>
      </c>
      <c r="Q8495" t="n">
        <v>0</v>
      </c>
      <c r="R8495" s="2" t="inlineStr"/>
    </row>
    <row r="8496" ht="15" customHeight="1">
      <c r="A8496" t="inlineStr">
        <is>
          <t>A 60719-2025</t>
        </is>
      </c>
      <c r="B8496" s="1" t="n">
        <v>45996.64038194445</v>
      </c>
      <c r="C8496" s="1" t="n">
        <v>46075</v>
      </c>
      <c r="D8496" t="inlineStr">
        <is>
          <t>VÄSTERBOTTENS LÄN</t>
        </is>
      </c>
      <c r="E8496" t="inlineStr">
        <is>
          <t>SKELLEFTEÅ</t>
        </is>
      </c>
      <c r="G8496" t="n">
        <v>2.3</v>
      </c>
      <c r="H8496" t="n">
        <v>0</v>
      </c>
      <c r="I8496" t="n">
        <v>0</v>
      </c>
      <c r="J8496" t="n">
        <v>0</v>
      </c>
      <c r="K8496" t="n">
        <v>0</v>
      </c>
      <c r="L8496" t="n">
        <v>0</v>
      </c>
      <c r="M8496" t="n">
        <v>0</v>
      </c>
      <c r="N8496" t="n">
        <v>0</v>
      </c>
      <c r="O8496" t="n">
        <v>0</v>
      </c>
      <c r="P8496" t="n">
        <v>0</v>
      </c>
      <c r="Q8496" t="n">
        <v>0</v>
      </c>
      <c r="R8496" s="2" t="inlineStr"/>
    </row>
    <row r="8497" ht="15" customHeight="1">
      <c r="A8497" t="inlineStr">
        <is>
          <t>A 60722-2025</t>
        </is>
      </c>
      <c r="B8497" s="1" t="n">
        <v>45996.65273148148</v>
      </c>
      <c r="C8497" s="1" t="n">
        <v>46075</v>
      </c>
      <c r="D8497" t="inlineStr">
        <is>
          <t>VÄSTERBOTTENS LÄN</t>
        </is>
      </c>
      <c r="E8497" t="inlineStr">
        <is>
          <t>SKELLEFTEÅ</t>
        </is>
      </c>
      <c r="F8497" t="inlineStr">
        <is>
          <t>Sveaskog</t>
        </is>
      </c>
      <c r="G8497" t="n">
        <v>24.9</v>
      </c>
      <c r="H8497" t="n">
        <v>0</v>
      </c>
      <c r="I8497" t="n">
        <v>0</v>
      </c>
      <c r="J8497" t="n">
        <v>0</v>
      </c>
      <c r="K8497" t="n">
        <v>0</v>
      </c>
      <c r="L8497" t="n">
        <v>0</v>
      </c>
      <c r="M8497" t="n">
        <v>0</v>
      </c>
      <c r="N8497" t="n">
        <v>0</v>
      </c>
      <c r="O8497" t="n">
        <v>0</v>
      </c>
      <c r="P8497" t="n">
        <v>0</v>
      </c>
      <c r="Q8497" t="n">
        <v>0</v>
      </c>
      <c r="R8497" s="2" t="inlineStr"/>
    </row>
    <row r="8498" ht="15" customHeight="1">
      <c r="A8498" t="inlineStr">
        <is>
          <t>A 60723-2025</t>
        </is>
      </c>
      <c r="B8498" s="1" t="n">
        <v>45996.65587962963</v>
      </c>
      <c r="C8498" s="1" t="n">
        <v>46075</v>
      </c>
      <c r="D8498" t="inlineStr">
        <is>
          <t>VÄSTERBOTTENS LÄN</t>
        </is>
      </c>
      <c r="E8498" t="inlineStr">
        <is>
          <t>ÅSELE</t>
        </is>
      </c>
      <c r="F8498" t="inlineStr">
        <is>
          <t>Holmen skog AB</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25652-2024</t>
        </is>
      </c>
      <c r="B8499" s="1" t="n">
        <v>45463</v>
      </c>
      <c r="C8499" s="1" t="n">
        <v>46075</v>
      </c>
      <c r="D8499" t="inlineStr">
        <is>
          <t>VÄSTERBOTTENS LÄN</t>
        </is>
      </c>
      <c r="E8499" t="inlineStr">
        <is>
          <t>VINDELN</t>
        </is>
      </c>
      <c r="F8499" t="inlineStr">
        <is>
          <t>Naturvårdsverket</t>
        </is>
      </c>
      <c r="G8499" t="n">
        <v>2</v>
      </c>
      <c r="H8499" t="n">
        <v>0</v>
      </c>
      <c r="I8499" t="n">
        <v>0</v>
      </c>
      <c r="J8499" t="n">
        <v>0</v>
      </c>
      <c r="K8499" t="n">
        <v>0</v>
      </c>
      <c r="L8499" t="n">
        <v>0</v>
      </c>
      <c r="M8499" t="n">
        <v>0</v>
      </c>
      <c r="N8499" t="n">
        <v>0</v>
      </c>
      <c r="O8499" t="n">
        <v>0</v>
      </c>
      <c r="P8499" t="n">
        <v>0</v>
      </c>
      <c r="Q8499" t="n">
        <v>0</v>
      </c>
      <c r="R8499" s="2" t="inlineStr"/>
    </row>
    <row r="8500" ht="15" customHeight="1">
      <c r="A8500" t="inlineStr">
        <is>
          <t>A 3465-2024</t>
        </is>
      </c>
      <c r="B8500" s="1" t="n">
        <v>45320.40229166667</v>
      </c>
      <c r="C8500" s="1" t="n">
        <v>46075</v>
      </c>
      <c r="D8500" t="inlineStr">
        <is>
          <t>VÄSTERBOTTENS LÄN</t>
        </is>
      </c>
      <c r="E8500" t="inlineStr">
        <is>
          <t>SKELLEFTEÅ</t>
        </is>
      </c>
      <c r="G8500" t="n">
        <v>17.4</v>
      </c>
      <c r="H8500" t="n">
        <v>0</v>
      </c>
      <c r="I8500" t="n">
        <v>0</v>
      </c>
      <c r="J8500" t="n">
        <v>0</v>
      </c>
      <c r="K8500" t="n">
        <v>0</v>
      </c>
      <c r="L8500" t="n">
        <v>0</v>
      </c>
      <c r="M8500" t="n">
        <v>0</v>
      </c>
      <c r="N8500" t="n">
        <v>0</v>
      </c>
      <c r="O8500" t="n">
        <v>0</v>
      </c>
      <c r="P8500" t="n">
        <v>0</v>
      </c>
      <c r="Q8500" t="n">
        <v>0</v>
      </c>
      <c r="R8500" s="2" t="inlineStr"/>
    </row>
    <row r="8501" ht="15" customHeight="1">
      <c r="A8501" t="inlineStr">
        <is>
          <t>A 52835-2024</t>
        </is>
      </c>
      <c r="B8501" s="1" t="n">
        <v>45610.59471064815</v>
      </c>
      <c r="C8501" s="1" t="n">
        <v>46075</v>
      </c>
      <c r="D8501" t="inlineStr">
        <is>
          <t>VÄSTERBOTTENS LÄN</t>
        </is>
      </c>
      <c r="E8501" t="inlineStr">
        <is>
          <t>ROBERTSFORS</t>
        </is>
      </c>
      <c r="F8501" t="inlineStr">
        <is>
          <t>SCA</t>
        </is>
      </c>
      <c r="G8501" t="n">
        <v>0.6</v>
      </c>
      <c r="H8501" t="n">
        <v>0</v>
      </c>
      <c r="I8501" t="n">
        <v>0</v>
      </c>
      <c r="J8501" t="n">
        <v>0</v>
      </c>
      <c r="K8501" t="n">
        <v>0</v>
      </c>
      <c r="L8501" t="n">
        <v>0</v>
      </c>
      <c r="M8501" t="n">
        <v>0</v>
      </c>
      <c r="N8501" t="n">
        <v>0</v>
      </c>
      <c r="O8501" t="n">
        <v>0</v>
      </c>
      <c r="P8501" t="n">
        <v>0</v>
      </c>
      <c r="Q8501" t="n">
        <v>0</v>
      </c>
      <c r="R8501" s="2" t="inlineStr"/>
    </row>
    <row r="8502" ht="15" customHeight="1">
      <c r="A8502" t="inlineStr">
        <is>
          <t>A 54251-2024</t>
        </is>
      </c>
      <c r="B8502" s="1" t="n">
        <v>45616.69726851852</v>
      </c>
      <c r="C8502" s="1" t="n">
        <v>46075</v>
      </c>
      <c r="D8502" t="inlineStr">
        <is>
          <t>VÄSTERBOTTENS LÄN</t>
        </is>
      </c>
      <c r="E8502" t="inlineStr">
        <is>
          <t>SKELLEFTEÅ</t>
        </is>
      </c>
      <c r="G8502" t="n">
        <v>0.6</v>
      </c>
      <c r="H8502" t="n">
        <v>0</v>
      </c>
      <c r="I8502" t="n">
        <v>0</v>
      </c>
      <c r="J8502" t="n">
        <v>0</v>
      </c>
      <c r="K8502" t="n">
        <v>0</v>
      </c>
      <c r="L8502" t="n">
        <v>0</v>
      </c>
      <c r="M8502" t="n">
        <v>0</v>
      </c>
      <c r="N8502" t="n">
        <v>0</v>
      </c>
      <c r="O8502" t="n">
        <v>0</v>
      </c>
      <c r="P8502" t="n">
        <v>0</v>
      </c>
      <c r="Q8502" t="n">
        <v>0</v>
      </c>
      <c r="R8502" s="2" t="inlineStr"/>
    </row>
    <row r="8503" ht="15" customHeight="1">
      <c r="A8503" t="inlineStr">
        <is>
          <t>A 52650-2024</t>
        </is>
      </c>
      <c r="B8503" s="1" t="n">
        <v>45610.34976851852</v>
      </c>
      <c r="C8503" s="1" t="n">
        <v>46075</v>
      </c>
      <c r="D8503" t="inlineStr">
        <is>
          <t>VÄSTERBOTTENS LÄN</t>
        </is>
      </c>
      <c r="E8503" t="inlineStr">
        <is>
          <t>ROBERTSFORS</t>
        </is>
      </c>
      <c r="G8503" t="n">
        <v>3.8</v>
      </c>
      <c r="H8503" t="n">
        <v>0</v>
      </c>
      <c r="I8503" t="n">
        <v>0</v>
      </c>
      <c r="J8503" t="n">
        <v>0</v>
      </c>
      <c r="K8503" t="n">
        <v>0</v>
      </c>
      <c r="L8503" t="n">
        <v>0</v>
      </c>
      <c r="M8503" t="n">
        <v>0</v>
      </c>
      <c r="N8503" t="n">
        <v>0</v>
      </c>
      <c r="O8503" t="n">
        <v>0</v>
      </c>
      <c r="P8503" t="n">
        <v>0</v>
      </c>
      <c r="Q8503" t="n">
        <v>0</v>
      </c>
      <c r="R8503" s="2" t="inlineStr"/>
    </row>
    <row r="8504" ht="15" customHeight="1">
      <c r="A8504" t="inlineStr">
        <is>
          <t>A 54287-2024</t>
        </is>
      </c>
      <c r="B8504" s="1" t="n">
        <v>45617.26189814815</v>
      </c>
      <c r="C8504" s="1" t="n">
        <v>46075</v>
      </c>
      <c r="D8504" t="inlineStr">
        <is>
          <t>VÄSTERBOTTENS LÄN</t>
        </is>
      </c>
      <c r="E8504" t="inlineStr">
        <is>
          <t>LYCKSELE</t>
        </is>
      </c>
      <c r="F8504" t="inlineStr">
        <is>
          <t>Sveaskog</t>
        </is>
      </c>
      <c r="G8504" t="n">
        <v>4.1</v>
      </c>
      <c r="H8504" t="n">
        <v>0</v>
      </c>
      <c r="I8504" t="n">
        <v>0</v>
      </c>
      <c r="J8504" t="n">
        <v>0</v>
      </c>
      <c r="K8504" t="n">
        <v>0</v>
      </c>
      <c r="L8504" t="n">
        <v>0</v>
      </c>
      <c r="M8504" t="n">
        <v>0</v>
      </c>
      <c r="N8504" t="n">
        <v>0</v>
      </c>
      <c r="O8504" t="n">
        <v>0</v>
      </c>
      <c r="P8504" t="n">
        <v>0</v>
      </c>
      <c r="Q8504" t="n">
        <v>0</v>
      </c>
      <c r="R8504" s="2" t="inlineStr"/>
    </row>
    <row r="8505" ht="15" customHeight="1">
      <c r="A8505" t="inlineStr">
        <is>
          <t>A 32739-2021</t>
        </is>
      </c>
      <c r="B8505" s="1" t="n">
        <v>44375</v>
      </c>
      <c r="C8505" s="1" t="n">
        <v>46075</v>
      </c>
      <c r="D8505" t="inlineStr">
        <is>
          <t>VÄSTERBOTTENS LÄN</t>
        </is>
      </c>
      <c r="E8505" t="inlineStr">
        <is>
          <t>VÄNNÄS</t>
        </is>
      </c>
      <c r="G8505" t="n">
        <v>2.7</v>
      </c>
      <c r="H8505" t="n">
        <v>0</v>
      </c>
      <c r="I8505" t="n">
        <v>0</v>
      </c>
      <c r="J8505" t="n">
        <v>0</v>
      </c>
      <c r="K8505" t="n">
        <v>0</v>
      </c>
      <c r="L8505" t="n">
        <v>0</v>
      </c>
      <c r="M8505" t="n">
        <v>0</v>
      </c>
      <c r="N8505" t="n">
        <v>0</v>
      </c>
      <c r="O8505" t="n">
        <v>0</v>
      </c>
      <c r="P8505" t="n">
        <v>0</v>
      </c>
      <c r="Q8505" t="n">
        <v>0</v>
      </c>
      <c r="R8505" s="2" t="inlineStr"/>
    </row>
    <row r="8506" ht="15" customHeight="1">
      <c r="A8506" t="inlineStr">
        <is>
          <t>A 47063-2024</t>
        </is>
      </c>
      <c r="B8506" s="1" t="n">
        <v>45586.47215277778</v>
      </c>
      <c r="C8506" s="1" t="n">
        <v>46075</v>
      </c>
      <c r="D8506" t="inlineStr">
        <is>
          <t>VÄSTERBOTTENS LÄN</t>
        </is>
      </c>
      <c r="E8506" t="inlineStr">
        <is>
          <t>NORDMALING</t>
        </is>
      </c>
      <c r="G8506" t="n">
        <v>0.5</v>
      </c>
      <c r="H8506" t="n">
        <v>0</v>
      </c>
      <c r="I8506" t="n">
        <v>0</v>
      </c>
      <c r="J8506" t="n">
        <v>0</v>
      </c>
      <c r="K8506" t="n">
        <v>0</v>
      </c>
      <c r="L8506" t="n">
        <v>0</v>
      </c>
      <c r="M8506" t="n">
        <v>0</v>
      </c>
      <c r="N8506" t="n">
        <v>0</v>
      </c>
      <c r="O8506" t="n">
        <v>0</v>
      </c>
      <c r="P8506" t="n">
        <v>0</v>
      </c>
      <c r="Q8506" t="n">
        <v>0</v>
      </c>
      <c r="R8506" s="2" t="inlineStr"/>
    </row>
    <row r="8507" ht="15" customHeight="1">
      <c r="A8507" t="inlineStr">
        <is>
          <t>A 60636-2025</t>
        </is>
      </c>
      <c r="B8507" s="1" t="n">
        <v>45996</v>
      </c>
      <c r="C8507" s="1" t="n">
        <v>46075</v>
      </c>
      <c r="D8507" t="inlineStr">
        <is>
          <t>VÄSTERBOTTENS LÄN</t>
        </is>
      </c>
      <c r="E8507" t="inlineStr">
        <is>
          <t>SKELLEFTEÅ</t>
        </is>
      </c>
      <c r="G8507" t="n">
        <v>8.199999999999999</v>
      </c>
      <c r="H8507" t="n">
        <v>0</v>
      </c>
      <c r="I8507" t="n">
        <v>0</v>
      </c>
      <c r="J8507" t="n">
        <v>0</v>
      </c>
      <c r="K8507" t="n">
        <v>0</v>
      </c>
      <c r="L8507" t="n">
        <v>0</v>
      </c>
      <c r="M8507" t="n">
        <v>0</v>
      </c>
      <c r="N8507" t="n">
        <v>0</v>
      </c>
      <c r="O8507" t="n">
        <v>0</v>
      </c>
      <c r="P8507" t="n">
        <v>0</v>
      </c>
      <c r="Q8507" t="n">
        <v>0</v>
      </c>
      <c r="R8507" s="2" t="inlineStr"/>
    </row>
    <row r="8508" ht="15" customHeight="1">
      <c r="A8508" t="inlineStr">
        <is>
          <t>A 60669-2025</t>
        </is>
      </c>
      <c r="B8508" s="1" t="n">
        <v>45996.52368055555</v>
      </c>
      <c r="C8508" s="1" t="n">
        <v>46075</v>
      </c>
      <c r="D8508" t="inlineStr">
        <is>
          <t>VÄSTERBOTTENS LÄN</t>
        </is>
      </c>
      <c r="E8508" t="inlineStr">
        <is>
          <t>NORDMALING</t>
        </is>
      </c>
      <c r="G8508" t="n">
        <v>4.3</v>
      </c>
      <c r="H8508" t="n">
        <v>0</v>
      </c>
      <c r="I8508" t="n">
        <v>0</v>
      </c>
      <c r="J8508" t="n">
        <v>0</v>
      </c>
      <c r="K8508" t="n">
        <v>0</v>
      </c>
      <c r="L8508" t="n">
        <v>0</v>
      </c>
      <c r="M8508" t="n">
        <v>0</v>
      </c>
      <c r="N8508" t="n">
        <v>0</v>
      </c>
      <c r="O8508" t="n">
        <v>0</v>
      </c>
      <c r="P8508" t="n">
        <v>0</v>
      </c>
      <c r="Q8508" t="n">
        <v>0</v>
      </c>
      <c r="R8508" s="2" t="inlineStr"/>
    </row>
    <row r="8509" ht="15" customHeight="1">
      <c r="A8509" t="inlineStr">
        <is>
          <t>A 60726-2025</t>
        </is>
      </c>
      <c r="B8509" s="1" t="n">
        <v>45996.66350694445</v>
      </c>
      <c r="C8509" s="1" t="n">
        <v>46075</v>
      </c>
      <c r="D8509" t="inlineStr">
        <is>
          <t>VÄSTERBOTTENS LÄN</t>
        </is>
      </c>
      <c r="E8509" t="inlineStr">
        <is>
          <t>LYCKSELE</t>
        </is>
      </c>
      <c r="G8509" t="n">
        <v>1.7</v>
      </c>
      <c r="H8509" t="n">
        <v>0</v>
      </c>
      <c r="I8509" t="n">
        <v>0</v>
      </c>
      <c r="J8509" t="n">
        <v>0</v>
      </c>
      <c r="K8509" t="n">
        <v>0</v>
      </c>
      <c r="L8509" t="n">
        <v>0</v>
      </c>
      <c r="M8509" t="n">
        <v>0</v>
      </c>
      <c r="N8509" t="n">
        <v>0</v>
      </c>
      <c r="O8509" t="n">
        <v>0</v>
      </c>
      <c r="P8509" t="n">
        <v>0</v>
      </c>
      <c r="Q8509" t="n">
        <v>0</v>
      </c>
      <c r="R8509" s="2" t="inlineStr"/>
    </row>
    <row r="8510" ht="15" customHeight="1">
      <c r="A8510" t="inlineStr">
        <is>
          <t>A 60860-2025</t>
        </is>
      </c>
      <c r="B8510" s="1" t="n">
        <v>45999.52586805556</v>
      </c>
      <c r="C8510" s="1" t="n">
        <v>46075</v>
      </c>
      <c r="D8510" t="inlineStr">
        <is>
          <t>VÄSTERBOTTENS LÄN</t>
        </is>
      </c>
      <c r="E8510" t="inlineStr">
        <is>
          <t>NORSJÖ</t>
        </is>
      </c>
      <c r="G8510" t="n">
        <v>2.4</v>
      </c>
      <c r="H8510" t="n">
        <v>0</v>
      </c>
      <c r="I8510" t="n">
        <v>0</v>
      </c>
      <c r="J8510" t="n">
        <v>0</v>
      </c>
      <c r="K8510" t="n">
        <v>0</v>
      </c>
      <c r="L8510" t="n">
        <v>0</v>
      </c>
      <c r="M8510" t="n">
        <v>0</v>
      </c>
      <c r="N8510" t="n">
        <v>0</v>
      </c>
      <c r="O8510" t="n">
        <v>0</v>
      </c>
      <c r="P8510" t="n">
        <v>0</v>
      </c>
      <c r="Q8510" t="n">
        <v>0</v>
      </c>
      <c r="R8510" s="2" t="inlineStr"/>
    </row>
    <row r="8511" ht="15" customHeight="1">
      <c r="A8511" t="inlineStr">
        <is>
          <t>A 60862-2025</t>
        </is>
      </c>
      <c r="B8511" s="1" t="n">
        <v>45999.52920138889</v>
      </c>
      <c r="C8511" s="1" t="n">
        <v>46075</v>
      </c>
      <c r="D8511" t="inlineStr">
        <is>
          <t>VÄSTERBOTTENS LÄN</t>
        </is>
      </c>
      <c r="E8511" t="inlineStr">
        <is>
          <t>SKELLEFTEÅ</t>
        </is>
      </c>
      <c r="F8511" t="inlineStr">
        <is>
          <t>Holmen skog AB</t>
        </is>
      </c>
      <c r="G8511" t="n">
        <v>3.8</v>
      </c>
      <c r="H8511" t="n">
        <v>0</v>
      </c>
      <c r="I8511" t="n">
        <v>0</v>
      </c>
      <c r="J8511" t="n">
        <v>0</v>
      </c>
      <c r="K8511" t="n">
        <v>0</v>
      </c>
      <c r="L8511" t="n">
        <v>0</v>
      </c>
      <c r="M8511" t="n">
        <v>0</v>
      </c>
      <c r="N8511" t="n">
        <v>0</v>
      </c>
      <c r="O8511" t="n">
        <v>0</v>
      </c>
      <c r="P8511" t="n">
        <v>0</v>
      </c>
      <c r="Q8511" t="n">
        <v>0</v>
      </c>
      <c r="R8511" s="2" t="inlineStr"/>
    </row>
    <row r="8512" ht="15" customHeight="1">
      <c r="A8512" t="inlineStr">
        <is>
          <t>A 6075-2024</t>
        </is>
      </c>
      <c r="B8512" s="1" t="n">
        <v>45336.93761574074</v>
      </c>
      <c r="C8512" s="1" t="n">
        <v>46075</v>
      </c>
      <c r="D8512" t="inlineStr">
        <is>
          <t>VÄSTERBOTTENS LÄN</t>
        </is>
      </c>
      <c r="E8512" t="inlineStr">
        <is>
          <t>NORSJÖ</t>
        </is>
      </c>
      <c r="G8512" t="n">
        <v>3.7</v>
      </c>
      <c r="H8512" t="n">
        <v>0</v>
      </c>
      <c r="I8512" t="n">
        <v>0</v>
      </c>
      <c r="J8512" t="n">
        <v>0</v>
      </c>
      <c r="K8512" t="n">
        <v>0</v>
      </c>
      <c r="L8512" t="n">
        <v>0</v>
      </c>
      <c r="M8512" t="n">
        <v>0</v>
      </c>
      <c r="N8512" t="n">
        <v>0</v>
      </c>
      <c r="O8512" t="n">
        <v>0</v>
      </c>
      <c r="P8512" t="n">
        <v>0</v>
      </c>
      <c r="Q8512" t="n">
        <v>0</v>
      </c>
      <c r="R8512" s="2" t="inlineStr"/>
    </row>
    <row r="8513" ht="15" customHeight="1">
      <c r="A8513" t="inlineStr">
        <is>
          <t>A 42988-2023</t>
        </is>
      </c>
      <c r="B8513" s="1" t="n">
        <v>45182</v>
      </c>
      <c r="C8513" s="1" t="n">
        <v>46075</v>
      </c>
      <c r="D8513" t="inlineStr">
        <is>
          <t>VÄSTERBOTTENS LÄN</t>
        </is>
      </c>
      <c r="E8513" t="inlineStr">
        <is>
          <t>MALÅ</t>
        </is>
      </c>
      <c r="G8513" t="n">
        <v>10.5</v>
      </c>
      <c r="H8513" t="n">
        <v>0</v>
      </c>
      <c r="I8513" t="n">
        <v>0</v>
      </c>
      <c r="J8513" t="n">
        <v>0</v>
      </c>
      <c r="K8513" t="n">
        <v>0</v>
      </c>
      <c r="L8513" t="n">
        <v>0</v>
      </c>
      <c r="M8513" t="n">
        <v>0</v>
      </c>
      <c r="N8513" t="n">
        <v>0</v>
      </c>
      <c r="O8513" t="n">
        <v>0</v>
      </c>
      <c r="P8513" t="n">
        <v>0</v>
      </c>
      <c r="Q8513" t="n">
        <v>0</v>
      </c>
      <c r="R8513" s="2" t="inlineStr"/>
    </row>
    <row r="8514" ht="15" customHeight="1">
      <c r="A8514" t="inlineStr">
        <is>
          <t>A 60640-2025</t>
        </is>
      </c>
      <c r="B8514" s="1" t="n">
        <v>45996</v>
      </c>
      <c r="C8514" s="1" t="n">
        <v>46075</v>
      </c>
      <c r="D8514" t="inlineStr">
        <is>
          <t>VÄSTERBOTTENS LÄN</t>
        </is>
      </c>
      <c r="E8514" t="inlineStr">
        <is>
          <t>SKELLEFTEÅ</t>
        </is>
      </c>
      <c r="G8514" t="n">
        <v>2.1</v>
      </c>
      <c r="H8514" t="n">
        <v>0</v>
      </c>
      <c r="I8514" t="n">
        <v>0</v>
      </c>
      <c r="J8514" t="n">
        <v>0</v>
      </c>
      <c r="K8514" t="n">
        <v>0</v>
      </c>
      <c r="L8514" t="n">
        <v>0</v>
      </c>
      <c r="M8514" t="n">
        <v>0</v>
      </c>
      <c r="N8514" t="n">
        <v>0</v>
      </c>
      <c r="O8514" t="n">
        <v>0</v>
      </c>
      <c r="P8514" t="n">
        <v>0</v>
      </c>
      <c r="Q8514" t="n">
        <v>0</v>
      </c>
      <c r="R8514" s="2" t="inlineStr"/>
    </row>
    <row r="8515" ht="15" customHeight="1">
      <c r="A8515" t="inlineStr">
        <is>
          <t>A 60876-2025</t>
        </is>
      </c>
      <c r="B8515" s="1" t="n">
        <v>45999.55606481482</v>
      </c>
      <c r="C8515" s="1" t="n">
        <v>46075</v>
      </c>
      <c r="D8515" t="inlineStr">
        <is>
          <t>VÄSTERBOTTENS LÄN</t>
        </is>
      </c>
      <c r="E8515" t="inlineStr">
        <is>
          <t>SKELLEFTEÅ</t>
        </is>
      </c>
      <c r="F8515" t="inlineStr">
        <is>
          <t>Holmen skog AB</t>
        </is>
      </c>
      <c r="G8515" t="n">
        <v>5.2</v>
      </c>
      <c r="H8515" t="n">
        <v>0</v>
      </c>
      <c r="I8515" t="n">
        <v>0</v>
      </c>
      <c r="J8515" t="n">
        <v>0</v>
      </c>
      <c r="K8515" t="n">
        <v>0</v>
      </c>
      <c r="L8515" t="n">
        <v>0</v>
      </c>
      <c r="M8515" t="n">
        <v>0</v>
      </c>
      <c r="N8515" t="n">
        <v>0</v>
      </c>
      <c r="O8515" t="n">
        <v>0</v>
      </c>
      <c r="P8515" t="n">
        <v>0</v>
      </c>
      <c r="Q8515" t="n">
        <v>0</v>
      </c>
      <c r="R8515" s="2" t="inlineStr"/>
    </row>
    <row r="8516" ht="15" customHeight="1">
      <c r="A8516" t="inlineStr">
        <is>
          <t>A 2992-2026</t>
        </is>
      </c>
      <c r="B8516" s="1" t="n">
        <v>46038.63686342593</v>
      </c>
      <c r="C8516" s="1" t="n">
        <v>46075</v>
      </c>
      <c r="D8516" t="inlineStr">
        <is>
          <t>VÄSTERBOTTENS LÄN</t>
        </is>
      </c>
      <c r="E8516" t="inlineStr">
        <is>
          <t>SKELLEFTEÅ</t>
        </is>
      </c>
      <c r="G8516" t="n">
        <v>2.2</v>
      </c>
      <c r="H8516" t="n">
        <v>0</v>
      </c>
      <c r="I8516" t="n">
        <v>0</v>
      </c>
      <c r="J8516" t="n">
        <v>0</v>
      </c>
      <c r="K8516" t="n">
        <v>0</v>
      </c>
      <c r="L8516" t="n">
        <v>0</v>
      </c>
      <c r="M8516" t="n">
        <v>0</v>
      </c>
      <c r="N8516" t="n">
        <v>0</v>
      </c>
      <c r="O8516" t="n">
        <v>0</v>
      </c>
      <c r="P8516" t="n">
        <v>0</v>
      </c>
      <c r="Q8516" t="n">
        <v>0</v>
      </c>
      <c r="R8516" s="2" t="inlineStr"/>
    </row>
    <row r="8517" ht="15" customHeight="1">
      <c r="A8517" t="inlineStr">
        <is>
          <t>A 3310-2026</t>
        </is>
      </c>
      <c r="B8517" s="1" t="n">
        <v>46041.66850694444</v>
      </c>
      <c r="C8517" s="1" t="n">
        <v>46075</v>
      </c>
      <c r="D8517" t="inlineStr">
        <is>
          <t>VÄSTERBOTTENS LÄN</t>
        </is>
      </c>
      <c r="E8517" t="inlineStr">
        <is>
          <t>SKELLEFTEÅ</t>
        </is>
      </c>
      <c r="G8517" t="n">
        <v>2.6</v>
      </c>
      <c r="H8517" t="n">
        <v>0</v>
      </c>
      <c r="I8517" t="n">
        <v>0</v>
      </c>
      <c r="J8517" t="n">
        <v>0</v>
      </c>
      <c r="K8517" t="n">
        <v>0</v>
      </c>
      <c r="L8517" t="n">
        <v>0</v>
      </c>
      <c r="M8517" t="n">
        <v>0</v>
      </c>
      <c r="N8517" t="n">
        <v>0</v>
      </c>
      <c r="O8517" t="n">
        <v>0</v>
      </c>
      <c r="P8517" t="n">
        <v>0</v>
      </c>
      <c r="Q8517" t="n">
        <v>0</v>
      </c>
      <c r="R8517" s="2" t="inlineStr"/>
    </row>
    <row r="8518" ht="15" customHeight="1">
      <c r="A8518" t="inlineStr">
        <is>
          <t>A 60567-2025</t>
        </is>
      </c>
      <c r="B8518" s="1" t="n">
        <v>45995.84512731482</v>
      </c>
      <c r="C8518" s="1" t="n">
        <v>46075</v>
      </c>
      <c r="D8518" t="inlineStr">
        <is>
          <t>VÄSTERBOTTENS LÄN</t>
        </is>
      </c>
      <c r="E8518" t="inlineStr">
        <is>
          <t>SKELLEFTEÅ</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1117-2024</t>
        </is>
      </c>
      <c r="B8519" s="1" t="n">
        <v>45302.43986111111</v>
      </c>
      <c r="C8519" s="1" t="n">
        <v>46075</v>
      </c>
      <c r="D8519" t="inlineStr">
        <is>
          <t>VÄSTERBOTTENS LÄN</t>
        </is>
      </c>
      <c r="E8519" t="inlineStr">
        <is>
          <t>ROBERTSFORS</t>
        </is>
      </c>
      <c r="G8519" t="n">
        <v>0.3</v>
      </c>
      <c r="H8519" t="n">
        <v>0</v>
      </c>
      <c r="I8519" t="n">
        <v>0</v>
      </c>
      <c r="J8519" t="n">
        <v>0</v>
      </c>
      <c r="K8519" t="n">
        <v>0</v>
      </c>
      <c r="L8519" t="n">
        <v>0</v>
      </c>
      <c r="M8519" t="n">
        <v>0</v>
      </c>
      <c r="N8519" t="n">
        <v>0</v>
      </c>
      <c r="O8519" t="n">
        <v>0</v>
      </c>
      <c r="P8519" t="n">
        <v>0</v>
      </c>
      <c r="Q8519" t="n">
        <v>0</v>
      </c>
      <c r="R8519" s="2" t="inlineStr"/>
    </row>
    <row r="8520" ht="15" customHeight="1">
      <c r="A8520" t="inlineStr">
        <is>
          <t>A 48082-2021</t>
        </is>
      </c>
      <c r="B8520" s="1" t="n">
        <v>44449.42745370371</v>
      </c>
      <c r="C8520" s="1" t="n">
        <v>46075</v>
      </c>
      <c r="D8520" t="inlineStr">
        <is>
          <t>VÄSTERBOTTENS LÄN</t>
        </is>
      </c>
      <c r="E8520" t="inlineStr">
        <is>
          <t>ÅSELE</t>
        </is>
      </c>
      <c r="F8520" t="inlineStr">
        <is>
          <t>Holmen skog AB</t>
        </is>
      </c>
      <c r="G8520" t="n">
        <v>9.800000000000001</v>
      </c>
      <c r="H8520" t="n">
        <v>0</v>
      </c>
      <c r="I8520" t="n">
        <v>0</v>
      </c>
      <c r="J8520" t="n">
        <v>0</v>
      </c>
      <c r="K8520" t="n">
        <v>0</v>
      </c>
      <c r="L8520" t="n">
        <v>0</v>
      </c>
      <c r="M8520" t="n">
        <v>0</v>
      </c>
      <c r="N8520" t="n">
        <v>0</v>
      </c>
      <c r="O8520" t="n">
        <v>0</v>
      </c>
      <c r="P8520" t="n">
        <v>0</v>
      </c>
      <c r="Q8520" t="n">
        <v>0</v>
      </c>
      <c r="R8520" s="2" t="inlineStr"/>
    </row>
    <row r="8521" ht="15" customHeight="1">
      <c r="A8521" t="inlineStr">
        <is>
          <t>A 57815-2025</t>
        </is>
      </c>
      <c r="B8521" s="1" t="n">
        <v>45981</v>
      </c>
      <c r="C8521" s="1" t="n">
        <v>46075</v>
      </c>
      <c r="D8521" t="inlineStr">
        <is>
          <t>VÄSTERBOTTENS LÄN</t>
        </is>
      </c>
      <c r="E8521" t="inlineStr">
        <is>
          <t>DOROTEA</t>
        </is>
      </c>
      <c r="G8521" t="n">
        <v>29.9</v>
      </c>
      <c r="H8521" t="n">
        <v>0</v>
      </c>
      <c r="I8521" t="n">
        <v>0</v>
      </c>
      <c r="J8521" t="n">
        <v>0</v>
      </c>
      <c r="K8521" t="n">
        <v>0</v>
      </c>
      <c r="L8521" t="n">
        <v>0</v>
      </c>
      <c r="M8521" t="n">
        <v>0</v>
      </c>
      <c r="N8521" t="n">
        <v>0</v>
      </c>
      <c r="O8521" t="n">
        <v>0</v>
      </c>
      <c r="P8521" t="n">
        <v>0</v>
      </c>
      <c r="Q8521" t="n">
        <v>0</v>
      </c>
      <c r="R8521" s="2" t="inlineStr"/>
    </row>
    <row r="8522" ht="15" customHeight="1">
      <c r="A8522" t="inlineStr">
        <is>
          <t>A 19390-2024</t>
        </is>
      </c>
      <c r="B8522" s="1" t="n">
        <v>45429.37934027778</v>
      </c>
      <c r="C8522" s="1" t="n">
        <v>46075</v>
      </c>
      <c r="D8522" t="inlineStr">
        <is>
          <t>VÄSTERBOTTENS LÄN</t>
        </is>
      </c>
      <c r="E8522" t="inlineStr">
        <is>
          <t>LYCKSELE</t>
        </is>
      </c>
      <c r="F8522" t="inlineStr">
        <is>
          <t>Holmen skog AB</t>
        </is>
      </c>
      <c r="G8522" t="n">
        <v>2.4</v>
      </c>
      <c r="H8522" t="n">
        <v>0</v>
      </c>
      <c r="I8522" t="n">
        <v>0</v>
      </c>
      <c r="J8522" t="n">
        <v>0</v>
      </c>
      <c r="K8522" t="n">
        <v>0</v>
      </c>
      <c r="L8522" t="n">
        <v>0</v>
      </c>
      <c r="M8522" t="n">
        <v>0</v>
      </c>
      <c r="N8522" t="n">
        <v>0</v>
      </c>
      <c r="O8522" t="n">
        <v>0</v>
      </c>
      <c r="P8522" t="n">
        <v>0</v>
      </c>
      <c r="Q8522" t="n">
        <v>0</v>
      </c>
      <c r="R8522" s="2" t="inlineStr"/>
    </row>
    <row r="8523" ht="15" customHeight="1">
      <c r="A8523" t="inlineStr">
        <is>
          <t>A 30413-2021</t>
        </is>
      </c>
      <c r="B8523" s="1" t="n">
        <v>44364</v>
      </c>
      <c r="C8523" s="1" t="n">
        <v>46075</v>
      </c>
      <c r="D8523" t="inlineStr">
        <is>
          <t>VÄSTERBOTTENS LÄN</t>
        </is>
      </c>
      <c r="E8523" t="inlineStr">
        <is>
          <t>SORSELE</t>
        </is>
      </c>
      <c r="G8523" t="n">
        <v>8</v>
      </c>
      <c r="H8523" t="n">
        <v>0</v>
      </c>
      <c r="I8523" t="n">
        <v>0</v>
      </c>
      <c r="J8523" t="n">
        <v>0</v>
      </c>
      <c r="K8523" t="n">
        <v>0</v>
      </c>
      <c r="L8523" t="n">
        <v>0</v>
      </c>
      <c r="M8523" t="n">
        <v>0</v>
      </c>
      <c r="N8523" t="n">
        <v>0</v>
      </c>
      <c r="O8523" t="n">
        <v>0</v>
      </c>
      <c r="P8523" t="n">
        <v>0</v>
      </c>
      <c r="Q8523" t="n">
        <v>0</v>
      </c>
      <c r="R8523" s="2" t="inlineStr"/>
    </row>
    <row r="8524" ht="15" customHeight="1">
      <c r="A8524" t="inlineStr">
        <is>
          <t>A 60896-2025</t>
        </is>
      </c>
      <c r="B8524" s="1" t="n">
        <v>45999.57694444444</v>
      </c>
      <c r="C8524" s="1" t="n">
        <v>46075</v>
      </c>
      <c r="D8524" t="inlineStr">
        <is>
          <t>VÄSTERBOTTENS LÄN</t>
        </is>
      </c>
      <c r="E8524" t="inlineStr">
        <is>
          <t>SORSELE</t>
        </is>
      </c>
      <c r="F8524" t="inlineStr">
        <is>
          <t>Sveaskog</t>
        </is>
      </c>
      <c r="G8524" t="n">
        <v>3.9</v>
      </c>
      <c r="H8524" t="n">
        <v>0</v>
      </c>
      <c r="I8524" t="n">
        <v>0</v>
      </c>
      <c r="J8524" t="n">
        <v>0</v>
      </c>
      <c r="K8524" t="n">
        <v>0</v>
      </c>
      <c r="L8524" t="n">
        <v>0</v>
      </c>
      <c r="M8524" t="n">
        <v>0</v>
      </c>
      <c r="N8524" t="n">
        <v>0</v>
      </c>
      <c r="O8524" t="n">
        <v>0</v>
      </c>
      <c r="P8524" t="n">
        <v>0</v>
      </c>
      <c r="Q8524" t="n">
        <v>0</v>
      </c>
      <c r="R8524" s="2" t="inlineStr"/>
    </row>
    <row r="8525" ht="15" customHeight="1">
      <c r="A8525" t="inlineStr">
        <is>
          <t>A 60927-2025</t>
        </is>
      </c>
      <c r="B8525" s="1" t="n">
        <v>45999.63164351852</v>
      </c>
      <c r="C8525" s="1" t="n">
        <v>46075</v>
      </c>
      <c r="D8525" t="inlineStr">
        <is>
          <t>VÄSTERBOTTENS LÄN</t>
        </is>
      </c>
      <c r="E8525" t="inlineStr">
        <is>
          <t>VINDELN</t>
        </is>
      </c>
      <c r="G8525" t="n">
        <v>11.9</v>
      </c>
      <c r="H8525" t="n">
        <v>0</v>
      </c>
      <c r="I8525" t="n">
        <v>0</v>
      </c>
      <c r="J8525" t="n">
        <v>0</v>
      </c>
      <c r="K8525" t="n">
        <v>0</v>
      </c>
      <c r="L8525" t="n">
        <v>0</v>
      </c>
      <c r="M8525" t="n">
        <v>0</v>
      </c>
      <c r="N8525" t="n">
        <v>0</v>
      </c>
      <c r="O8525" t="n">
        <v>0</v>
      </c>
      <c r="P8525" t="n">
        <v>0</v>
      </c>
      <c r="Q8525" t="n">
        <v>0</v>
      </c>
      <c r="R8525" s="2" t="inlineStr"/>
    </row>
    <row r="8526" ht="15" customHeight="1">
      <c r="A8526" t="inlineStr">
        <is>
          <t>A 3099-2025</t>
        </is>
      </c>
      <c r="B8526" s="1" t="n">
        <v>45678.66674768519</v>
      </c>
      <c r="C8526" s="1" t="n">
        <v>46075</v>
      </c>
      <c r="D8526" t="inlineStr">
        <is>
          <t>VÄSTERBOTTENS LÄN</t>
        </is>
      </c>
      <c r="E8526" t="inlineStr">
        <is>
          <t>DOROTEA</t>
        </is>
      </c>
      <c r="G8526" t="n">
        <v>9.699999999999999</v>
      </c>
      <c r="H8526" t="n">
        <v>0</v>
      </c>
      <c r="I8526" t="n">
        <v>0</v>
      </c>
      <c r="J8526" t="n">
        <v>0</v>
      </c>
      <c r="K8526" t="n">
        <v>0</v>
      </c>
      <c r="L8526" t="n">
        <v>0</v>
      </c>
      <c r="M8526" t="n">
        <v>0</v>
      </c>
      <c r="N8526" t="n">
        <v>0</v>
      </c>
      <c r="O8526" t="n">
        <v>0</v>
      </c>
      <c r="P8526" t="n">
        <v>0</v>
      </c>
      <c r="Q8526" t="n">
        <v>0</v>
      </c>
      <c r="R8526" s="2" t="inlineStr"/>
    </row>
    <row r="8527" ht="15" customHeight="1">
      <c r="A8527" t="inlineStr">
        <is>
          <t>A 60785-2022</t>
        </is>
      </c>
      <c r="B8527" s="1" t="n">
        <v>44907</v>
      </c>
      <c r="C8527" s="1" t="n">
        <v>46075</v>
      </c>
      <c r="D8527" t="inlineStr">
        <is>
          <t>VÄSTERBOTTENS LÄN</t>
        </is>
      </c>
      <c r="E8527" t="inlineStr">
        <is>
          <t>SKELLEFTEÅ</t>
        </is>
      </c>
      <c r="G8527" t="n">
        <v>4.9</v>
      </c>
      <c r="H8527" t="n">
        <v>0</v>
      </c>
      <c r="I8527" t="n">
        <v>0</v>
      </c>
      <c r="J8527" t="n">
        <v>0</v>
      </c>
      <c r="K8527" t="n">
        <v>0</v>
      </c>
      <c r="L8527" t="n">
        <v>0</v>
      </c>
      <c r="M8527" t="n">
        <v>0</v>
      </c>
      <c r="N8527" t="n">
        <v>0</v>
      </c>
      <c r="O8527" t="n">
        <v>0</v>
      </c>
      <c r="P8527" t="n">
        <v>0</v>
      </c>
      <c r="Q8527" t="n">
        <v>0</v>
      </c>
      <c r="R8527" s="2" t="inlineStr"/>
    </row>
    <row r="8528" ht="15" customHeight="1">
      <c r="A8528" t="inlineStr">
        <is>
          <t>A 60594-2025</t>
        </is>
      </c>
      <c r="B8528" s="1" t="n">
        <v>45996.34412037037</v>
      </c>
      <c r="C8528" s="1" t="n">
        <v>46075</v>
      </c>
      <c r="D8528" t="inlineStr">
        <is>
          <t>VÄSTERBOTTENS LÄN</t>
        </is>
      </c>
      <c r="E8528" t="inlineStr">
        <is>
          <t>LYCKSELE</t>
        </is>
      </c>
      <c r="G8528" t="n">
        <v>3.8</v>
      </c>
      <c r="H8528" t="n">
        <v>0</v>
      </c>
      <c r="I8528" t="n">
        <v>0</v>
      </c>
      <c r="J8528" t="n">
        <v>0</v>
      </c>
      <c r="K8528" t="n">
        <v>0</v>
      </c>
      <c r="L8528" t="n">
        <v>0</v>
      </c>
      <c r="M8528" t="n">
        <v>0</v>
      </c>
      <c r="N8528" t="n">
        <v>0</v>
      </c>
      <c r="O8528" t="n">
        <v>0</v>
      </c>
      <c r="P8528" t="n">
        <v>0</v>
      </c>
      <c r="Q8528" t="n">
        <v>0</v>
      </c>
      <c r="R8528" s="2" t="inlineStr"/>
    </row>
    <row r="8529" ht="15" customHeight="1">
      <c r="A8529" t="inlineStr">
        <is>
          <t>A 3300-2026</t>
        </is>
      </c>
      <c r="B8529" s="1" t="n">
        <v>46041.65482638889</v>
      </c>
      <c r="C8529" s="1" t="n">
        <v>46075</v>
      </c>
      <c r="D8529" t="inlineStr">
        <is>
          <t>VÄSTERBOTTENS LÄN</t>
        </is>
      </c>
      <c r="E8529" t="inlineStr">
        <is>
          <t>VINDELN</t>
        </is>
      </c>
      <c r="G8529" t="n">
        <v>3.6</v>
      </c>
      <c r="H8529" t="n">
        <v>0</v>
      </c>
      <c r="I8529" t="n">
        <v>0</v>
      </c>
      <c r="J8529" t="n">
        <v>0</v>
      </c>
      <c r="K8529" t="n">
        <v>0</v>
      </c>
      <c r="L8529" t="n">
        <v>0</v>
      </c>
      <c r="M8529" t="n">
        <v>0</v>
      </c>
      <c r="N8529" t="n">
        <v>0</v>
      </c>
      <c r="O8529" t="n">
        <v>0</v>
      </c>
      <c r="P8529" t="n">
        <v>0</v>
      </c>
      <c r="Q8529" t="n">
        <v>0</v>
      </c>
      <c r="R8529" s="2" t="inlineStr"/>
    </row>
    <row r="8530" ht="15" customHeight="1">
      <c r="A8530" t="inlineStr">
        <is>
          <t>A 60654-2025</t>
        </is>
      </c>
      <c r="B8530" s="1" t="n">
        <v>45996.46918981482</v>
      </c>
      <c r="C8530" s="1" t="n">
        <v>46075</v>
      </c>
      <c r="D8530" t="inlineStr">
        <is>
          <t>VÄSTERBOTTENS LÄN</t>
        </is>
      </c>
      <c r="E8530" t="inlineStr">
        <is>
          <t>SKELLEFTEÅ</t>
        </is>
      </c>
      <c r="G8530" t="n">
        <v>0.6</v>
      </c>
      <c r="H8530" t="n">
        <v>0</v>
      </c>
      <c r="I8530" t="n">
        <v>0</v>
      </c>
      <c r="J8530" t="n">
        <v>0</v>
      </c>
      <c r="K8530" t="n">
        <v>0</v>
      </c>
      <c r="L8530" t="n">
        <v>0</v>
      </c>
      <c r="M8530" t="n">
        <v>0</v>
      </c>
      <c r="N8530" t="n">
        <v>0</v>
      </c>
      <c r="O8530" t="n">
        <v>0</v>
      </c>
      <c r="P8530" t="n">
        <v>0</v>
      </c>
      <c r="Q8530" t="n">
        <v>0</v>
      </c>
      <c r="R8530" s="2" t="inlineStr"/>
    </row>
    <row r="8531" ht="15" customHeight="1">
      <c r="A8531" t="inlineStr">
        <is>
          <t>A 20523-2024</t>
        </is>
      </c>
      <c r="B8531" s="1" t="n">
        <v>45435.94553240741</v>
      </c>
      <c r="C8531" s="1" t="n">
        <v>46075</v>
      </c>
      <c r="D8531" t="inlineStr">
        <is>
          <t>VÄSTERBOTTENS LÄN</t>
        </is>
      </c>
      <c r="E8531" t="inlineStr">
        <is>
          <t>VILHELMINA</t>
        </is>
      </c>
      <c r="F8531" t="inlineStr">
        <is>
          <t>SCA</t>
        </is>
      </c>
      <c r="G8531" t="n">
        <v>3.2</v>
      </c>
      <c r="H8531" t="n">
        <v>0</v>
      </c>
      <c r="I8531" t="n">
        <v>0</v>
      </c>
      <c r="J8531" t="n">
        <v>0</v>
      </c>
      <c r="K8531" t="n">
        <v>0</v>
      </c>
      <c r="L8531" t="n">
        <v>0</v>
      </c>
      <c r="M8531" t="n">
        <v>0</v>
      </c>
      <c r="N8531" t="n">
        <v>0</v>
      </c>
      <c r="O8531" t="n">
        <v>0</v>
      </c>
      <c r="P8531" t="n">
        <v>0</v>
      </c>
      <c r="Q8531" t="n">
        <v>0</v>
      </c>
      <c r="R8531" s="2" t="inlineStr"/>
    </row>
    <row r="8532" ht="15" customHeight="1">
      <c r="A8532" t="inlineStr">
        <is>
          <t>A 61249-2025</t>
        </is>
      </c>
      <c r="B8532" s="1" t="n">
        <v>45999</v>
      </c>
      <c r="C8532" s="1" t="n">
        <v>46075</v>
      </c>
      <c r="D8532" t="inlineStr">
        <is>
          <t>VÄSTERBOTTENS LÄN</t>
        </is>
      </c>
      <c r="E8532" t="inlineStr">
        <is>
          <t>ROBERTSFORS</t>
        </is>
      </c>
      <c r="G8532" t="n">
        <v>1.9</v>
      </c>
      <c r="H8532" t="n">
        <v>0</v>
      </c>
      <c r="I8532" t="n">
        <v>0</v>
      </c>
      <c r="J8532" t="n">
        <v>0</v>
      </c>
      <c r="K8532" t="n">
        <v>0</v>
      </c>
      <c r="L8532" t="n">
        <v>0</v>
      </c>
      <c r="M8532" t="n">
        <v>0</v>
      </c>
      <c r="N8532" t="n">
        <v>0</v>
      </c>
      <c r="O8532" t="n">
        <v>0</v>
      </c>
      <c r="P8532" t="n">
        <v>0</v>
      </c>
      <c r="Q8532" t="n">
        <v>0</v>
      </c>
      <c r="R8532" s="2" t="inlineStr"/>
    </row>
    <row r="8533" ht="15" customHeight="1">
      <c r="A8533" t="inlineStr">
        <is>
          <t>A 3215-2026</t>
        </is>
      </c>
      <c r="B8533" s="1" t="n">
        <v>46041.50340277778</v>
      </c>
      <c r="C8533" s="1" t="n">
        <v>46075</v>
      </c>
      <c r="D8533" t="inlineStr">
        <is>
          <t>VÄSTERBOTTENS LÄN</t>
        </is>
      </c>
      <c r="E8533" t="inlineStr">
        <is>
          <t>UMEÅ</t>
        </is>
      </c>
      <c r="F8533" t="inlineStr">
        <is>
          <t>Sveaskog</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10871-2025</t>
        </is>
      </c>
      <c r="B8534" s="1" t="n">
        <v>45722</v>
      </c>
      <c r="C8534" s="1" t="n">
        <v>46075</v>
      </c>
      <c r="D8534" t="inlineStr">
        <is>
          <t>VÄSTERBOTTENS LÄN</t>
        </is>
      </c>
      <c r="E8534" t="inlineStr">
        <is>
          <t>MALÅ</t>
        </is>
      </c>
      <c r="G8534" t="n">
        <v>8.4</v>
      </c>
      <c r="H8534" t="n">
        <v>0</v>
      </c>
      <c r="I8534" t="n">
        <v>0</v>
      </c>
      <c r="J8534" t="n">
        <v>0</v>
      </c>
      <c r="K8534" t="n">
        <v>0</v>
      </c>
      <c r="L8534" t="n">
        <v>0</v>
      </c>
      <c r="M8534" t="n">
        <v>0</v>
      </c>
      <c r="N8534" t="n">
        <v>0</v>
      </c>
      <c r="O8534" t="n">
        <v>0</v>
      </c>
      <c r="P8534" t="n">
        <v>0</v>
      </c>
      <c r="Q8534" t="n">
        <v>0</v>
      </c>
      <c r="R8534" s="2" t="inlineStr"/>
    </row>
    <row r="8535" ht="15" customHeight="1">
      <c r="A8535" t="inlineStr">
        <is>
          <t>A 60712-2025</t>
        </is>
      </c>
      <c r="B8535" s="1" t="n">
        <v>45996.63384259259</v>
      </c>
      <c r="C8535" s="1" t="n">
        <v>46075</v>
      </c>
      <c r="D8535" t="inlineStr">
        <is>
          <t>VÄSTERBOTTENS LÄN</t>
        </is>
      </c>
      <c r="E8535" t="inlineStr">
        <is>
          <t>SKELLEFTEÅ</t>
        </is>
      </c>
      <c r="G8535" t="n">
        <v>0.6</v>
      </c>
      <c r="H8535" t="n">
        <v>0</v>
      </c>
      <c r="I8535" t="n">
        <v>0</v>
      </c>
      <c r="J8535" t="n">
        <v>0</v>
      </c>
      <c r="K8535" t="n">
        <v>0</v>
      </c>
      <c r="L8535" t="n">
        <v>0</v>
      </c>
      <c r="M8535" t="n">
        <v>0</v>
      </c>
      <c r="N8535" t="n">
        <v>0</v>
      </c>
      <c r="O8535" t="n">
        <v>0</v>
      </c>
      <c r="P8535" t="n">
        <v>0</v>
      </c>
      <c r="Q8535" t="n">
        <v>0</v>
      </c>
      <c r="R8535" s="2" t="inlineStr"/>
    </row>
    <row r="8536" ht="15" customHeight="1">
      <c r="A8536" t="inlineStr">
        <is>
          <t>A 60715-2025</t>
        </is>
      </c>
      <c r="B8536" s="1" t="n">
        <v>45996.63627314815</v>
      </c>
      <c r="C8536" s="1" t="n">
        <v>46075</v>
      </c>
      <c r="D8536" t="inlineStr">
        <is>
          <t>VÄSTERBOTTENS LÄN</t>
        </is>
      </c>
      <c r="E8536" t="inlineStr">
        <is>
          <t>SKELLEFTEÅ</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60996-2025</t>
        </is>
      </c>
      <c r="B8537" s="1" t="n">
        <v>45999.74579861111</v>
      </c>
      <c r="C8537" s="1" t="n">
        <v>46075</v>
      </c>
      <c r="D8537" t="inlineStr">
        <is>
          <t>VÄSTERBOTTENS LÄN</t>
        </is>
      </c>
      <c r="E8537" t="inlineStr">
        <is>
          <t>VILHELMINA</t>
        </is>
      </c>
      <c r="G8537" t="n">
        <v>4.6</v>
      </c>
      <c r="H8537" t="n">
        <v>0</v>
      </c>
      <c r="I8537" t="n">
        <v>0</v>
      </c>
      <c r="J8537" t="n">
        <v>0</v>
      </c>
      <c r="K8537" t="n">
        <v>0</v>
      </c>
      <c r="L8537" t="n">
        <v>0</v>
      </c>
      <c r="M8537" t="n">
        <v>0</v>
      </c>
      <c r="N8537" t="n">
        <v>0</v>
      </c>
      <c r="O8537" t="n">
        <v>0</v>
      </c>
      <c r="P8537" t="n">
        <v>0</v>
      </c>
      <c r="Q8537" t="n">
        <v>0</v>
      </c>
      <c r="R8537" s="2" t="inlineStr"/>
    </row>
    <row r="8538" ht="15" customHeight="1">
      <c r="A8538" t="inlineStr">
        <is>
          <t>A 10899-2025</t>
        </is>
      </c>
      <c r="B8538" s="1" t="n">
        <v>45722</v>
      </c>
      <c r="C8538" s="1" t="n">
        <v>46075</v>
      </c>
      <c r="D8538" t="inlineStr">
        <is>
          <t>VÄSTERBOTTENS LÄN</t>
        </is>
      </c>
      <c r="E8538" t="inlineStr">
        <is>
          <t>UMEÅ</t>
        </is>
      </c>
      <c r="G8538" t="n">
        <v>6.8</v>
      </c>
      <c r="H8538" t="n">
        <v>0</v>
      </c>
      <c r="I8538" t="n">
        <v>0</v>
      </c>
      <c r="J8538" t="n">
        <v>0</v>
      </c>
      <c r="K8538" t="n">
        <v>0</v>
      </c>
      <c r="L8538" t="n">
        <v>0</v>
      </c>
      <c r="M8538" t="n">
        <v>0</v>
      </c>
      <c r="N8538" t="n">
        <v>0</v>
      </c>
      <c r="O8538" t="n">
        <v>0</v>
      </c>
      <c r="P8538" t="n">
        <v>0</v>
      </c>
      <c r="Q8538" t="n">
        <v>0</v>
      </c>
      <c r="R8538" s="2" t="inlineStr"/>
    </row>
    <row r="8539" ht="15" customHeight="1">
      <c r="A8539" t="inlineStr">
        <is>
          <t>A 60786-2025</t>
        </is>
      </c>
      <c r="B8539" s="1" t="n">
        <v>45999</v>
      </c>
      <c r="C8539" s="1" t="n">
        <v>46075</v>
      </c>
      <c r="D8539" t="inlineStr">
        <is>
          <t>VÄSTERBOTTENS LÄN</t>
        </is>
      </c>
      <c r="E8539" t="inlineStr">
        <is>
          <t>MALÅ</t>
        </is>
      </c>
      <c r="G8539" t="n">
        <v>0.7</v>
      </c>
      <c r="H8539" t="n">
        <v>0</v>
      </c>
      <c r="I8539" t="n">
        <v>0</v>
      </c>
      <c r="J8539" t="n">
        <v>0</v>
      </c>
      <c r="K8539" t="n">
        <v>0</v>
      </c>
      <c r="L8539" t="n">
        <v>0</v>
      </c>
      <c r="M8539" t="n">
        <v>0</v>
      </c>
      <c r="N8539" t="n">
        <v>0</v>
      </c>
      <c r="O8539" t="n">
        <v>0</v>
      </c>
      <c r="P8539" t="n">
        <v>0</v>
      </c>
      <c r="Q8539" t="n">
        <v>0</v>
      </c>
      <c r="R8539" s="2" t="inlineStr"/>
    </row>
    <row r="8540" ht="15" customHeight="1">
      <c r="A8540" t="inlineStr">
        <is>
          <t>A 60808-2025</t>
        </is>
      </c>
      <c r="B8540" s="1" t="n">
        <v>45999.43951388889</v>
      </c>
      <c r="C8540" s="1" t="n">
        <v>46075</v>
      </c>
      <c r="D8540" t="inlineStr">
        <is>
          <t>VÄSTERBOTTENS LÄN</t>
        </is>
      </c>
      <c r="E8540" t="inlineStr">
        <is>
          <t>UMEÅ</t>
        </is>
      </c>
      <c r="F8540" t="inlineStr">
        <is>
          <t>Holmen skog AB</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14294-2025</t>
        </is>
      </c>
      <c r="B8541" s="1" t="n">
        <v>45740.67822916667</v>
      </c>
      <c r="C8541" s="1" t="n">
        <v>46075</v>
      </c>
      <c r="D8541" t="inlineStr">
        <is>
          <t>VÄSTERBOTTENS LÄN</t>
        </is>
      </c>
      <c r="E8541" t="inlineStr">
        <is>
          <t>DOROTEA</t>
        </is>
      </c>
      <c r="F8541" t="inlineStr">
        <is>
          <t>SCA</t>
        </is>
      </c>
      <c r="G8541" t="n">
        <v>2.4</v>
      </c>
      <c r="H8541" t="n">
        <v>0</v>
      </c>
      <c r="I8541" t="n">
        <v>0</v>
      </c>
      <c r="J8541" t="n">
        <v>0</v>
      </c>
      <c r="K8541" t="n">
        <v>0</v>
      </c>
      <c r="L8541" t="n">
        <v>0</v>
      </c>
      <c r="M8541" t="n">
        <v>0</v>
      </c>
      <c r="N8541" t="n">
        <v>0</v>
      </c>
      <c r="O8541" t="n">
        <v>0</v>
      </c>
      <c r="P8541" t="n">
        <v>0</v>
      </c>
      <c r="Q8541" t="n">
        <v>0</v>
      </c>
      <c r="R8541" s="2" t="inlineStr"/>
    </row>
    <row r="8542" ht="15" customHeight="1">
      <c r="A8542" t="inlineStr">
        <is>
          <t>A 61261-2025</t>
        </is>
      </c>
      <c r="B8542" s="1" t="n">
        <v>45999</v>
      </c>
      <c r="C8542" s="1" t="n">
        <v>46075</v>
      </c>
      <c r="D8542" t="inlineStr">
        <is>
          <t>VÄSTERBOTTENS LÄN</t>
        </is>
      </c>
      <c r="E8542" t="inlineStr">
        <is>
          <t>ROBERTSFORS</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12005-2023</t>
        </is>
      </c>
      <c r="B8543" s="1" t="n">
        <v>44994</v>
      </c>
      <c r="C8543" s="1" t="n">
        <v>46075</v>
      </c>
      <c r="D8543" t="inlineStr">
        <is>
          <t>VÄSTERBOTTENS LÄN</t>
        </is>
      </c>
      <c r="E8543" t="inlineStr">
        <is>
          <t>DOROTEA</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53105-2022</t>
        </is>
      </c>
      <c r="B8544" s="1" t="n">
        <v>44876</v>
      </c>
      <c r="C8544" s="1" t="n">
        <v>46075</v>
      </c>
      <c r="D8544" t="inlineStr">
        <is>
          <t>VÄSTERBOTTENS LÄN</t>
        </is>
      </c>
      <c r="E8544" t="inlineStr">
        <is>
          <t>NORSJÖ</t>
        </is>
      </c>
      <c r="F8544" t="inlineStr">
        <is>
          <t>Holmen skog AB</t>
        </is>
      </c>
      <c r="G8544" t="n">
        <v>2</v>
      </c>
      <c r="H8544" t="n">
        <v>0</v>
      </c>
      <c r="I8544" t="n">
        <v>0</v>
      </c>
      <c r="J8544" t="n">
        <v>0</v>
      </c>
      <c r="K8544" t="n">
        <v>0</v>
      </c>
      <c r="L8544" t="n">
        <v>0</v>
      </c>
      <c r="M8544" t="n">
        <v>0</v>
      </c>
      <c r="N8544" t="n">
        <v>0</v>
      </c>
      <c r="O8544" t="n">
        <v>0</v>
      </c>
      <c r="P8544" t="n">
        <v>0</v>
      </c>
      <c r="Q8544" t="n">
        <v>0</v>
      </c>
      <c r="R8544" s="2" t="inlineStr"/>
    </row>
    <row r="8545" ht="15" customHeight="1">
      <c r="A8545" t="inlineStr">
        <is>
          <t>A 62249-2022</t>
        </is>
      </c>
      <c r="B8545" s="1" t="n">
        <v>44922.92351851852</v>
      </c>
      <c r="C8545" s="1" t="n">
        <v>46075</v>
      </c>
      <c r="D8545" t="inlineStr">
        <is>
          <t>VÄSTERBOTTENS LÄN</t>
        </is>
      </c>
      <c r="E8545" t="inlineStr">
        <is>
          <t>SKELLEFTEÅ</t>
        </is>
      </c>
      <c r="G8545" t="n">
        <v>18.2</v>
      </c>
      <c r="H8545" t="n">
        <v>0</v>
      </c>
      <c r="I8545" t="n">
        <v>0</v>
      </c>
      <c r="J8545" t="n">
        <v>0</v>
      </c>
      <c r="K8545" t="n">
        <v>0</v>
      </c>
      <c r="L8545" t="n">
        <v>0</v>
      </c>
      <c r="M8545" t="n">
        <v>0</v>
      </c>
      <c r="N8545" t="n">
        <v>0</v>
      </c>
      <c r="O8545" t="n">
        <v>0</v>
      </c>
      <c r="P8545" t="n">
        <v>0</v>
      </c>
      <c r="Q8545" t="n">
        <v>0</v>
      </c>
      <c r="R8545" s="2" t="inlineStr"/>
    </row>
    <row r="8546" ht="15" customHeight="1">
      <c r="A8546" t="inlineStr">
        <is>
          <t>A 15057-2024</t>
        </is>
      </c>
      <c r="B8546" s="1" t="n">
        <v>45399</v>
      </c>
      <c r="C8546" s="1" t="n">
        <v>46075</v>
      </c>
      <c r="D8546" t="inlineStr">
        <is>
          <t>VÄSTERBOTTENS LÄN</t>
        </is>
      </c>
      <c r="E8546" t="inlineStr">
        <is>
          <t>DOROTEA</t>
        </is>
      </c>
      <c r="G8546" t="n">
        <v>2.4</v>
      </c>
      <c r="H8546" t="n">
        <v>0</v>
      </c>
      <c r="I8546" t="n">
        <v>0</v>
      </c>
      <c r="J8546" t="n">
        <v>0</v>
      </c>
      <c r="K8546" t="n">
        <v>0</v>
      </c>
      <c r="L8546" t="n">
        <v>0</v>
      </c>
      <c r="M8546" t="n">
        <v>0</v>
      </c>
      <c r="N8546" t="n">
        <v>0</v>
      </c>
      <c r="O8546" t="n">
        <v>0</v>
      </c>
      <c r="P8546" t="n">
        <v>0</v>
      </c>
      <c r="Q8546" t="n">
        <v>0</v>
      </c>
      <c r="R8546" s="2" t="inlineStr"/>
    </row>
    <row r="8547" ht="15" customHeight="1">
      <c r="A8547" t="inlineStr">
        <is>
          <t>A 15059-2024</t>
        </is>
      </c>
      <c r="B8547" s="1" t="n">
        <v>45399</v>
      </c>
      <c r="C8547" s="1" t="n">
        <v>46075</v>
      </c>
      <c r="D8547" t="inlineStr">
        <is>
          <t>VÄSTERBOTTENS LÄN</t>
        </is>
      </c>
      <c r="E8547" t="inlineStr">
        <is>
          <t>VILHELMINA</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61086-2025</t>
        </is>
      </c>
      <c r="B8548" s="1" t="n">
        <v>46000.42480324074</v>
      </c>
      <c r="C8548" s="1" t="n">
        <v>46075</v>
      </c>
      <c r="D8548" t="inlineStr">
        <is>
          <t>VÄSTERBOTTENS LÄN</t>
        </is>
      </c>
      <c r="E8548" t="inlineStr">
        <is>
          <t>LYCKSELE</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20397-2025</t>
        </is>
      </c>
      <c r="B8549" s="1" t="n">
        <v>45775.45503472222</v>
      </c>
      <c r="C8549" s="1" t="n">
        <v>46075</v>
      </c>
      <c r="D8549" t="inlineStr">
        <is>
          <t>VÄSTERBOTTENS LÄN</t>
        </is>
      </c>
      <c r="E8549" t="inlineStr">
        <is>
          <t>ÅSELE</t>
        </is>
      </c>
      <c r="G8549" t="n">
        <v>11.9</v>
      </c>
      <c r="H8549" t="n">
        <v>0</v>
      </c>
      <c r="I8549" t="n">
        <v>0</v>
      </c>
      <c r="J8549" t="n">
        <v>0</v>
      </c>
      <c r="K8549" t="n">
        <v>0</v>
      </c>
      <c r="L8549" t="n">
        <v>0</v>
      </c>
      <c r="M8549" t="n">
        <v>0</v>
      </c>
      <c r="N8549" t="n">
        <v>0</v>
      </c>
      <c r="O8549" t="n">
        <v>0</v>
      </c>
      <c r="P8549" t="n">
        <v>0</v>
      </c>
      <c r="Q8549" t="n">
        <v>0</v>
      </c>
      <c r="R8549" s="2" t="inlineStr"/>
    </row>
    <row r="8550" ht="15" customHeight="1">
      <c r="A8550" t="inlineStr">
        <is>
          <t>A 60577-2022</t>
        </is>
      </c>
      <c r="B8550" s="1" t="n">
        <v>44911</v>
      </c>
      <c r="C8550" s="1" t="n">
        <v>46075</v>
      </c>
      <c r="D8550" t="inlineStr">
        <is>
          <t>VÄSTERBOTTENS LÄN</t>
        </is>
      </c>
      <c r="E8550" t="inlineStr">
        <is>
          <t>MALÅ</t>
        </is>
      </c>
      <c r="G8550" t="n">
        <v>6.4</v>
      </c>
      <c r="H8550" t="n">
        <v>0</v>
      </c>
      <c r="I8550" t="n">
        <v>0</v>
      </c>
      <c r="J8550" t="n">
        <v>0</v>
      </c>
      <c r="K8550" t="n">
        <v>0</v>
      </c>
      <c r="L8550" t="n">
        <v>0</v>
      </c>
      <c r="M8550" t="n">
        <v>0</v>
      </c>
      <c r="N8550" t="n">
        <v>0</v>
      </c>
      <c r="O8550" t="n">
        <v>0</v>
      </c>
      <c r="P8550" t="n">
        <v>0</v>
      </c>
      <c r="Q8550" t="n">
        <v>0</v>
      </c>
      <c r="R8550" s="2" t="inlineStr"/>
    </row>
    <row r="8551" ht="15" customHeight="1">
      <c r="A8551" t="inlineStr">
        <is>
          <t>A 14888-2024</t>
        </is>
      </c>
      <c r="B8551" s="1" t="n">
        <v>45398</v>
      </c>
      <c r="C8551" s="1" t="n">
        <v>46075</v>
      </c>
      <c r="D8551" t="inlineStr">
        <is>
          <t>VÄSTERBOTTENS LÄN</t>
        </is>
      </c>
      <c r="E8551" t="inlineStr">
        <is>
          <t>BJURHOLM</t>
        </is>
      </c>
      <c r="F8551" t="inlineStr">
        <is>
          <t>Holmen skog AB</t>
        </is>
      </c>
      <c r="G8551" t="n">
        <v>6.3</v>
      </c>
      <c r="H8551" t="n">
        <v>0</v>
      </c>
      <c r="I8551" t="n">
        <v>0</v>
      </c>
      <c r="J8551" t="n">
        <v>0</v>
      </c>
      <c r="K8551" t="n">
        <v>0</v>
      </c>
      <c r="L8551" t="n">
        <v>0</v>
      </c>
      <c r="M8551" t="n">
        <v>0</v>
      </c>
      <c r="N8551" t="n">
        <v>0</v>
      </c>
      <c r="O8551" t="n">
        <v>0</v>
      </c>
      <c r="P8551" t="n">
        <v>0</v>
      </c>
      <c r="Q8551" t="n">
        <v>0</v>
      </c>
      <c r="R8551" s="2" t="inlineStr"/>
    </row>
    <row r="8552" ht="15" customHeight="1">
      <c r="A8552" t="inlineStr">
        <is>
          <t>A 56154-2024</t>
        </is>
      </c>
      <c r="B8552" s="1" t="n">
        <v>45623</v>
      </c>
      <c r="C8552" s="1" t="n">
        <v>46075</v>
      </c>
      <c r="D8552" t="inlineStr">
        <is>
          <t>VÄSTERBOTTENS LÄN</t>
        </is>
      </c>
      <c r="E8552" t="inlineStr">
        <is>
          <t>SKELLEFTEÅ</t>
        </is>
      </c>
      <c r="G8552" t="n">
        <v>0.9</v>
      </c>
      <c r="H8552" t="n">
        <v>0</v>
      </c>
      <c r="I8552" t="n">
        <v>0</v>
      </c>
      <c r="J8552" t="n">
        <v>0</v>
      </c>
      <c r="K8552" t="n">
        <v>0</v>
      </c>
      <c r="L8552" t="n">
        <v>0</v>
      </c>
      <c r="M8552" t="n">
        <v>0</v>
      </c>
      <c r="N8552" t="n">
        <v>0</v>
      </c>
      <c r="O8552" t="n">
        <v>0</v>
      </c>
      <c r="P8552" t="n">
        <v>0</v>
      </c>
      <c r="Q8552" t="n">
        <v>0</v>
      </c>
      <c r="R8552" s="2" t="inlineStr"/>
    </row>
    <row r="8553" ht="15" customHeight="1">
      <c r="A8553" t="inlineStr">
        <is>
          <t>A 33341-2021</t>
        </is>
      </c>
      <c r="B8553" s="1" t="n">
        <v>44377</v>
      </c>
      <c r="C8553" s="1" t="n">
        <v>46075</v>
      </c>
      <c r="D8553" t="inlineStr">
        <is>
          <t>VÄSTERBOTTENS LÄN</t>
        </is>
      </c>
      <c r="E8553" t="inlineStr">
        <is>
          <t>STORUMAN</t>
        </is>
      </c>
      <c r="F8553" t="inlineStr">
        <is>
          <t>Allmännings- och besparingsskogar</t>
        </is>
      </c>
      <c r="G8553" t="n">
        <v>4.5</v>
      </c>
      <c r="H8553" t="n">
        <v>0</v>
      </c>
      <c r="I8553" t="n">
        <v>0</v>
      </c>
      <c r="J8553" t="n">
        <v>0</v>
      </c>
      <c r="K8553" t="n">
        <v>0</v>
      </c>
      <c r="L8553" t="n">
        <v>0</v>
      </c>
      <c r="M8553" t="n">
        <v>0</v>
      </c>
      <c r="N8553" t="n">
        <v>0</v>
      </c>
      <c r="O8553" t="n">
        <v>0</v>
      </c>
      <c r="P8553" t="n">
        <v>0</v>
      </c>
      <c r="Q8553" t="n">
        <v>0</v>
      </c>
      <c r="R8553" s="2" t="inlineStr"/>
    </row>
    <row r="8554" ht="15" customHeight="1">
      <c r="A8554" t="inlineStr">
        <is>
          <t>A 3724-2026</t>
        </is>
      </c>
      <c r="B8554" s="1" t="n">
        <v>46043</v>
      </c>
      <c r="C8554" s="1" t="n">
        <v>46075</v>
      </c>
      <c r="D8554" t="inlineStr">
        <is>
          <t>VÄSTERBOTTENS LÄN</t>
        </is>
      </c>
      <c r="E8554" t="inlineStr">
        <is>
          <t>NORDMALING</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3726-2026</t>
        </is>
      </c>
      <c r="B8555" s="1" t="n">
        <v>46043.50471064815</v>
      </c>
      <c r="C8555" s="1" t="n">
        <v>46075</v>
      </c>
      <c r="D8555" t="inlineStr">
        <is>
          <t>VÄSTERBOTTENS LÄN</t>
        </is>
      </c>
      <c r="E8555" t="inlineStr">
        <is>
          <t>UMEÅ</t>
        </is>
      </c>
      <c r="G8555" t="n">
        <v>1.1</v>
      </c>
      <c r="H8555" t="n">
        <v>0</v>
      </c>
      <c r="I8555" t="n">
        <v>0</v>
      </c>
      <c r="J8555" t="n">
        <v>0</v>
      </c>
      <c r="K8555" t="n">
        <v>0</v>
      </c>
      <c r="L8555" t="n">
        <v>0</v>
      </c>
      <c r="M8555" t="n">
        <v>0</v>
      </c>
      <c r="N8555" t="n">
        <v>0</v>
      </c>
      <c r="O8555" t="n">
        <v>0</v>
      </c>
      <c r="P8555" t="n">
        <v>0</v>
      </c>
      <c r="Q8555" t="n">
        <v>0</v>
      </c>
      <c r="R8555" s="2" t="inlineStr"/>
    </row>
    <row r="8556" ht="15" customHeight="1">
      <c r="A8556" t="inlineStr">
        <is>
          <t>A 61115-2025</t>
        </is>
      </c>
      <c r="B8556" s="1" t="n">
        <v>46000.45931712963</v>
      </c>
      <c r="C8556" s="1" t="n">
        <v>46075</v>
      </c>
      <c r="D8556" t="inlineStr">
        <is>
          <t>VÄSTERBOTTENS LÄN</t>
        </is>
      </c>
      <c r="E8556" t="inlineStr">
        <is>
          <t>LYCKSELE</t>
        </is>
      </c>
      <c r="F8556" t="inlineStr">
        <is>
          <t>Sveaskog</t>
        </is>
      </c>
      <c r="G8556" t="n">
        <v>7.1</v>
      </c>
      <c r="H8556" t="n">
        <v>0</v>
      </c>
      <c r="I8556" t="n">
        <v>0</v>
      </c>
      <c r="J8556" t="n">
        <v>0</v>
      </c>
      <c r="K8556" t="n">
        <v>0</v>
      </c>
      <c r="L8556" t="n">
        <v>0</v>
      </c>
      <c r="M8556" t="n">
        <v>0</v>
      </c>
      <c r="N8556" t="n">
        <v>0</v>
      </c>
      <c r="O8556" t="n">
        <v>0</v>
      </c>
      <c r="P8556" t="n">
        <v>0</v>
      </c>
      <c r="Q8556" t="n">
        <v>0</v>
      </c>
      <c r="R8556" s="2" t="inlineStr"/>
    </row>
    <row r="8557" ht="15" customHeight="1">
      <c r="A8557" t="inlineStr">
        <is>
          <t>A 61132-2025</t>
        </is>
      </c>
      <c r="B8557" s="1" t="n">
        <v>46000.49335648148</v>
      </c>
      <c r="C8557" s="1" t="n">
        <v>46075</v>
      </c>
      <c r="D8557" t="inlineStr">
        <is>
          <t>VÄSTERBOTTENS LÄN</t>
        </is>
      </c>
      <c r="E8557" t="inlineStr">
        <is>
          <t>VINDELN</t>
        </is>
      </c>
      <c r="G8557" t="n">
        <v>6.9</v>
      </c>
      <c r="H8557" t="n">
        <v>0</v>
      </c>
      <c r="I8557" t="n">
        <v>0</v>
      </c>
      <c r="J8557" t="n">
        <v>0</v>
      </c>
      <c r="K8557" t="n">
        <v>0</v>
      </c>
      <c r="L8557" t="n">
        <v>0</v>
      </c>
      <c r="M8557" t="n">
        <v>0</v>
      </c>
      <c r="N8557" t="n">
        <v>0</v>
      </c>
      <c r="O8557" t="n">
        <v>0</v>
      </c>
      <c r="P8557" t="n">
        <v>0</v>
      </c>
      <c r="Q8557" t="n">
        <v>0</v>
      </c>
      <c r="R8557" s="2" t="inlineStr"/>
    </row>
    <row r="8558" ht="15" customHeight="1">
      <c r="A8558" t="inlineStr">
        <is>
          <t>A 39353-2024</t>
        </is>
      </c>
      <c r="B8558" s="1" t="n">
        <v>45551.45835648148</v>
      </c>
      <c r="C8558" s="1" t="n">
        <v>46075</v>
      </c>
      <c r="D8558" t="inlineStr">
        <is>
          <t>VÄSTERBOTTENS LÄN</t>
        </is>
      </c>
      <c r="E8558" t="inlineStr">
        <is>
          <t>NORSJÖ</t>
        </is>
      </c>
      <c r="F8558" t="inlineStr">
        <is>
          <t>Holmen skog AB</t>
        </is>
      </c>
      <c r="G8558" t="n">
        <v>4.4</v>
      </c>
      <c r="H8558" t="n">
        <v>0</v>
      </c>
      <c r="I8558" t="n">
        <v>0</v>
      </c>
      <c r="J8558" t="n">
        <v>0</v>
      </c>
      <c r="K8558" t="n">
        <v>0</v>
      </c>
      <c r="L8558" t="n">
        <v>0</v>
      </c>
      <c r="M8558" t="n">
        <v>0</v>
      </c>
      <c r="N8558" t="n">
        <v>0</v>
      </c>
      <c r="O8558" t="n">
        <v>0</v>
      </c>
      <c r="P8558" t="n">
        <v>0</v>
      </c>
      <c r="Q8558" t="n">
        <v>0</v>
      </c>
      <c r="R8558" s="2" t="inlineStr"/>
    </row>
    <row r="8559" ht="15" customHeight="1">
      <c r="A8559" t="inlineStr">
        <is>
          <t>A 2930-2026</t>
        </is>
      </c>
      <c r="B8559" s="1" t="n">
        <v>46038</v>
      </c>
      <c r="C8559" s="1" t="n">
        <v>46075</v>
      </c>
      <c r="D8559" t="inlineStr">
        <is>
          <t>VÄSTERBOTTENS LÄN</t>
        </is>
      </c>
      <c r="E8559" t="inlineStr">
        <is>
          <t>UMEÅ</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3371-2026</t>
        </is>
      </c>
      <c r="B8560" s="1" t="n">
        <v>46042.34534722222</v>
      </c>
      <c r="C8560" s="1" t="n">
        <v>46075</v>
      </c>
      <c r="D8560" t="inlineStr">
        <is>
          <t>VÄSTERBOTTENS LÄN</t>
        </is>
      </c>
      <c r="E8560" t="inlineStr">
        <is>
          <t>UMEÅ</t>
        </is>
      </c>
      <c r="F8560" t="inlineStr">
        <is>
          <t>Holmen skog AB</t>
        </is>
      </c>
      <c r="G8560" t="n">
        <v>3.9</v>
      </c>
      <c r="H8560" t="n">
        <v>0</v>
      </c>
      <c r="I8560" t="n">
        <v>0</v>
      </c>
      <c r="J8560" t="n">
        <v>0</v>
      </c>
      <c r="K8560" t="n">
        <v>0</v>
      </c>
      <c r="L8560" t="n">
        <v>0</v>
      </c>
      <c r="M8560" t="n">
        <v>0</v>
      </c>
      <c r="N8560" t="n">
        <v>0</v>
      </c>
      <c r="O8560" t="n">
        <v>0</v>
      </c>
      <c r="P8560" t="n">
        <v>0</v>
      </c>
      <c r="Q8560" t="n">
        <v>0</v>
      </c>
      <c r="R8560" s="2" t="inlineStr"/>
    </row>
    <row r="8561" ht="15" customHeight="1">
      <c r="A8561" t="inlineStr">
        <is>
          <t>A 3404-2026</t>
        </is>
      </c>
      <c r="B8561" s="1" t="n">
        <v>46042.39696759259</v>
      </c>
      <c r="C8561" s="1" t="n">
        <v>46075</v>
      </c>
      <c r="D8561" t="inlineStr">
        <is>
          <t>VÄSTERBOTTENS LÄN</t>
        </is>
      </c>
      <c r="E8561" t="inlineStr">
        <is>
          <t>SKELLEFTEÅ</t>
        </is>
      </c>
      <c r="F8561" t="inlineStr">
        <is>
          <t>Sveaskog</t>
        </is>
      </c>
      <c r="G8561" t="n">
        <v>62.4</v>
      </c>
      <c r="H8561" t="n">
        <v>0</v>
      </c>
      <c r="I8561" t="n">
        <v>0</v>
      </c>
      <c r="J8561" t="n">
        <v>0</v>
      </c>
      <c r="K8561" t="n">
        <v>0</v>
      </c>
      <c r="L8561" t="n">
        <v>0</v>
      </c>
      <c r="M8561" t="n">
        <v>0</v>
      </c>
      <c r="N8561" t="n">
        <v>0</v>
      </c>
      <c r="O8561" t="n">
        <v>0</v>
      </c>
      <c r="P8561" t="n">
        <v>0</v>
      </c>
      <c r="Q8561" t="n">
        <v>0</v>
      </c>
      <c r="R8561" s="2" t="inlineStr"/>
    </row>
    <row r="8562" ht="15" customHeight="1">
      <c r="A8562" t="inlineStr">
        <is>
          <t>A 37462-2024</t>
        </is>
      </c>
      <c r="B8562" s="1" t="n">
        <v>45540</v>
      </c>
      <c r="C8562" s="1" t="n">
        <v>46075</v>
      </c>
      <c r="D8562" t="inlineStr">
        <is>
          <t>VÄSTERBOTTENS LÄN</t>
        </is>
      </c>
      <c r="E8562" t="inlineStr">
        <is>
          <t>MALÅ</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37467-2024</t>
        </is>
      </c>
      <c r="B8563" s="1" t="n">
        <v>45540</v>
      </c>
      <c r="C8563" s="1" t="n">
        <v>46075</v>
      </c>
      <c r="D8563" t="inlineStr">
        <is>
          <t>VÄSTERBOTTENS LÄN</t>
        </is>
      </c>
      <c r="E8563" t="inlineStr">
        <is>
          <t>MALÅ</t>
        </is>
      </c>
      <c r="G8563" t="n">
        <v>0.9</v>
      </c>
      <c r="H8563" t="n">
        <v>0</v>
      </c>
      <c r="I8563" t="n">
        <v>0</v>
      </c>
      <c r="J8563" t="n">
        <v>0</v>
      </c>
      <c r="K8563" t="n">
        <v>0</v>
      </c>
      <c r="L8563" t="n">
        <v>0</v>
      </c>
      <c r="M8563" t="n">
        <v>0</v>
      </c>
      <c r="N8563" t="n">
        <v>0</v>
      </c>
      <c r="O8563" t="n">
        <v>0</v>
      </c>
      <c r="P8563" t="n">
        <v>0</v>
      </c>
      <c r="Q8563" t="n">
        <v>0</v>
      </c>
      <c r="R8563" s="2" t="inlineStr"/>
    </row>
    <row r="8564" ht="15" customHeight="1">
      <c r="A8564" t="inlineStr">
        <is>
          <t>A 3442-2026</t>
        </is>
      </c>
      <c r="B8564" s="1" t="n">
        <v>46042.47619212963</v>
      </c>
      <c r="C8564" s="1" t="n">
        <v>46075</v>
      </c>
      <c r="D8564" t="inlineStr">
        <is>
          <t>VÄSTERBOTTENS LÄN</t>
        </is>
      </c>
      <c r="E8564" t="inlineStr">
        <is>
          <t>SKELLEFTEÅ</t>
        </is>
      </c>
      <c r="G8564" t="n">
        <v>3.8</v>
      </c>
      <c r="H8564" t="n">
        <v>0</v>
      </c>
      <c r="I8564" t="n">
        <v>0</v>
      </c>
      <c r="J8564" t="n">
        <v>0</v>
      </c>
      <c r="K8564" t="n">
        <v>0</v>
      </c>
      <c r="L8564" t="n">
        <v>0</v>
      </c>
      <c r="M8564" t="n">
        <v>0</v>
      </c>
      <c r="N8564" t="n">
        <v>0</v>
      </c>
      <c r="O8564" t="n">
        <v>0</v>
      </c>
      <c r="P8564" t="n">
        <v>0</v>
      </c>
      <c r="Q8564" t="n">
        <v>0</v>
      </c>
      <c r="R8564" s="2" t="inlineStr"/>
    </row>
    <row r="8565" ht="15" customHeight="1">
      <c r="A8565" t="inlineStr">
        <is>
          <t>A 61448-2025</t>
        </is>
      </c>
      <c r="B8565" s="1" t="n">
        <v>46001.57563657407</v>
      </c>
      <c r="C8565" s="1" t="n">
        <v>46075</v>
      </c>
      <c r="D8565" t="inlineStr">
        <is>
          <t>VÄSTERBOTTENS LÄN</t>
        </is>
      </c>
      <c r="E8565" t="inlineStr">
        <is>
          <t>UMEÅ</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36639-2024</t>
        </is>
      </c>
      <c r="B8566" s="1" t="n">
        <v>45537.59991898148</v>
      </c>
      <c r="C8566" s="1" t="n">
        <v>46075</v>
      </c>
      <c r="D8566" t="inlineStr">
        <is>
          <t>VÄSTERBOTTENS LÄN</t>
        </is>
      </c>
      <c r="E8566" t="inlineStr">
        <is>
          <t>ROBERTSFORS</t>
        </is>
      </c>
      <c r="F8566" t="inlineStr">
        <is>
          <t>Holmen skog AB</t>
        </is>
      </c>
      <c r="G8566" t="n">
        <v>1.7</v>
      </c>
      <c r="H8566" t="n">
        <v>0</v>
      </c>
      <c r="I8566" t="n">
        <v>0</v>
      </c>
      <c r="J8566" t="n">
        <v>0</v>
      </c>
      <c r="K8566" t="n">
        <v>0</v>
      </c>
      <c r="L8566" t="n">
        <v>0</v>
      </c>
      <c r="M8566" t="n">
        <v>0</v>
      </c>
      <c r="N8566" t="n">
        <v>0</v>
      </c>
      <c r="O8566" t="n">
        <v>0</v>
      </c>
      <c r="P8566" t="n">
        <v>0</v>
      </c>
      <c r="Q8566" t="n">
        <v>0</v>
      </c>
      <c r="R8566" s="2" t="inlineStr"/>
    </row>
    <row r="8567" ht="15" customHeight="1">
      <c r="A8567" t="inlineStr">
        <is>
          <t>A 61450-2025</t>
        </is>
      </c>
      <c r="B8567" s="1" t="n">
        <v>46001.57803240741</v>
      </c>
      <c r="C8567" s="1" t="n">
        <v>46075</v>
      </c>
      <c r="D8567" t="inlineStr">
        <is>
          <t>VÄSTERBOTTENS LÄN</t>
        </is>
      </c>
      <c r="E8567" t="inlineStr">
        <is>
          <t>ÅSELE</t>
        </is>
      </c>
      <c r="F8567" t="inlineStr">
        <is>
          <t>Sveaskog</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61464-2025</t>
        </is>
      </c>
      <c r="B8568" s="1" t="n">
        <v>46001.60319444445</v>
      </c>
      <c r="C8568" s="1" t="n">
        <v>46075</v>
      </c>
      <c r="D8568" t="inlineStr">
        <is>
          <t>VÄSTERBOTTENS LÄN</t>
        </is>
      </c>
      <c r="E8568" t="inlineStr">
        <is>
          <t>VILHELMINA</t>
        </is>
      </c>
      <c r="G8568" t="n">
        <v>5.8</v>
      </c>
      <c r="H8568" t="n">
        <v>0</v>
      </c>
      <c r="I8568" t="n">
        <v>0</v>
      </c>
      <c r="J8568" t="n">
        <v>0</v>
      </c>
      <c r="K8568" t="n">
        <v>0</v>
      </c>
      <c r="L8568" t="n">
        <v>0</v>
      </c>
      <c r="M8568" t="n">
        <v>0</v>
      </c>
      <c r="N8568" t="n">
        <v>0</v>
      </c>
      <c r="O8568" t="n">
        <v>0</v>
      </c>
      <c r="P8568" t="n">
        <v>0</v>
      </c>
      <c r="Q8568" t="n">
        <v>0</v>
      </c>
      <c r="R8568" s="2" t="inlineStr"/>
    </row>
    <row r="8569" ht="15" customHeight="1">
      <c r="A8569" t="inlineStr">
        <is>
          <t>A 15613-2025</t>
        </is>
      </c>
      <c r="B8569" s="1" t="n">
        <v>45748.35021990741</v>
      </c>
      <c r="C8569" s="1" t="n">
        <v>46075</v>
      </c>
      <c r="D8569" t="inlineStr">
        <is>
          <t>VÄSTERBOTTENS LÄN</t>
        </is>
      </c>
      <c r="E8569" t="inlineStr">
        <is>
          <t>VINDELN</t>
        </is>
      </c>
      <c r="F8569" t="inlineStr">
        <is>
          <t>Holmen skog AB</t>
        </is>
      </c>
      <c r="G8569" t="n">
        <v>1.6</v>
      </c>
      <c r="H8569" t="n">
        <v>0</v>
      </c>
      <c r="I8569" t="n">
        <v>0</v>
      </c>
      <c r="J8569" t="n">
        <v>0</v>
      </c>
      <c r="K8569" t="n">
        <v>0</v>
      </c>
      <c r="L8569" t="n">
        <v>0</v>
      </c>
      <c r="M8569" t="n">
        <v>0</v>
      </c>
      <c r="N8569" t="n">
        <v>0</v>
      </c>
      <c r="O8569" t="n">
        <v>0</v>
      </c>
      <c r="P8569" t="n">
        <v>0</v>
      </c>
      <c r="Q8569" t="n">
        <v>0</v>
      </c>
      <c r="R8569" s="2" t="inlineStr"/>
    </row>
    <row r="8570" ht="15" customHeight="1">
      <c r="A8570" t="inlineStr">
        <is>
          <t>A 3931-2026</t>
        </is>
      </c>
      <c r="B8570" s="1" t="n">
        <v>46043.78642361111</v>
      </c>
      <c r="C8570" s="1" t="n">
        <v>46075</v>
      </c>
      <c r="D8570" t="inlineStr">
        <is>
          <t>VÄSTERBOTTENS LÄN</t>
        </is>
      </c>
      <c r="E8570" t="inlineStr">
        <is>
          <t>NORDMALING</t>
        </is>
      </c>
      <c r="G8570" t="n">
        <v>2.3</v>
      </c>
      <c r="H8570" t="n">
        <v>0</v>
      </c>
      <c r="I8570" t="n">
        <v>0</v>
      </c>
      <c r="J8570" t="n">
        <v>0</v>
      </c>
      <c r="K8570" t="n">
        <v>0</v>
      </c>
      <c r="L8570" t="n">
        <v>0</v>
      </c>
      <c r="M8570" t="n">
        <v>0</v>
      </c>
      <c r="N8570" t="n">
        <v>0</v>
      </c>
      <c r="O8570" t="n">
        <v>0</v>
      </c>
      <c r="P8570" t="n">
        <v>0</v>
      </c>
      <c r="Q8570" t="n">
        <v>0</v>
      </c>
      <c r="R8570" s="2" t="inlineStr"/>
    </row>
    <row r="8571" ht="15" customHeight="1">
      <c r="A8571" t="inlineStr">
        <is>
          <t>A 53419-2024</t>
        </is>
      </c>
      <c r="B8571" s="1" t="n">
        <v>45614.51157407407</v>
      </c>
      <c r="C8571" s="1" t="n">
        <v>46075</v>
      </c>
      <c r="D8571" t="inlineStr">
        <is>
          <t>VÄSTERBOTTENS LÄN</t>
        </is>
      </c>
      <c r="E8571" t="inlineStr">
        <is>
          <t>SKELLEFTEÅ</t>
        </is>
      </c>
      <c r="G8571" t="n">
        <v>4.2</v>
      </c>
      <c r="H8571" t="n">
        <v>0</v>
      </c>
      <c r="I8571" t="n">
        <v>0</v>
      </c>
      <c r="J8571" t="n">
        <v>0</v>
      </c>
      <c r="K8571" t="n">
        <v>0</v>
      </c>
      <c r="L8571" t="n">
        <v>0</v>
      </c>
      <c r="M8571" t="n">
        <v>0</v>
      </c>
      <c r="N8571" t="n">
        <v>0</v>
      </c>
      <c r="O8571" t="n">
        <v>0</v>
      </c>
      <c r="P8571" t="n">
        <v>0</v>
      </c>
      <c r="Q8571" t="n">
        <v>0</v>
      </c>
      <c r="R8571" s="2" t="inlineStr"/>
    </row>
    <row r="8572" ht="15" customHeight="1">
      <c r="A8572" t="inlineStr">
        <is>
          <t>A 53469-2024</t>
        </is>
      </c>
      <c r="B8572" s="1" t="n">
        <v>45611</v>
      </c>
      <c r="C8572" s="1" t="n">
        <v>46075</v>
      </c>
      <c r="D8572" t="inlineStr">
        <is>
          <t>VÄSTERBOTTENS LÄN</t>
        </is>
      </c>
      <c r="E8572" t="inlineStr">
        <is>
          <t>DOROTEA</t>
        </is>
      </c>
      <c r="G8572" t="n">
        <v>5.5</v>
      </c>
      <c r="H8572" t="n">
        <v>0</v>
      </c>
      <c r="I8572" t="n">
        <v>0</v>
      </c>
      <c r="J8572" t="n">
        <v>0</v>
      </c>
      <c r="K8572" t="n">
        <v>0</v>
      </c>
      <c r="L8572" t="n">
        <v>0</v>
      </c>
      <c r="M8572" t="n">
        <v>0</v>
      </c>
      <c r="N8572" t="n">
        <v>0</v>
      </c>
      <c r="O8572" t="n">
        <v>0</v>
      </c>
      <c r="P8572" t="n">
        <v>0</v>
      </c>
      <c r="Q8572" t="n">
        <v>0</v>
      </c>
      <c r="R8572" s="2" t="inlineStr"/>
    </row>
    <row r="8573" ht="15" customHeight="1">
      <c r="A8573" t="inlineStr">
        <is>
          <t>A 47224-2024</t>
        </is>
      </c>
      <c r="B8573" s="1" t="n">
        <v>45586.67015046296</v>
      </c>
      <c r="C8573" s="1" t="n">
        <v>46075</v>
      </c>
      <c r="D8573" t="inlineStr">
        <is>
          <t>VÄSTERBOTTENS LÄN</t>
        </is>
      </c>
      <c r="E8573" t="inlineStr">
        <is>
          <t>NORSJÖ</t>
        </is>
      </c>
      <c r="F8573" t="inlineStr">
        <is>
          <t>Sveaskog</t>
        </is>
      </c>
      <c r="G8573" t="n">
        <v>7.8</v>
      </c>
      <c r="H8573" t="n">
        <v>0</v>
      </c>
      <c r="I8573" t="n">
        <v>0</v>
      </c>
      <c r="J8573" t="n">
        <v>0</v>
      </c>
      <c r="K8573" t="n">
        <v>0</v>
      </c>
      <c r="L8573" t="n">
        <v>0</v>
      </c>
      <c r="M8573" t="n">
        <v>0</v>
      </c>
      <c r="N8573" t="n">
        <v>0</v>
      </c>
      <c r="O8573" t="n">
        <v>0</v>
      </c>
      <c r="P8573" t="n">
        <v>0</v>
      </c>
      <c r="Q8573" t="n">
        <v>0</v>
      </c>
      <c r="R8573" s="2" t="inlineStr"/>
    </row>
    <row r="8574" ht="15" customHeight="1">
      <c r="A8574" t="inlineStr">
        <is>
          <t>A 53564-2024</t>
        </is>
      </c>
      <c r="B8574" s="1" t="n">
        <v>45611</v>
      </c>
      <c r="C8574" s="1" t="n">
        <v>46075</v>
      </c>
      <c r="D8574" t="inlineStr">
        <is>
          <t>VÄSTERBOTTENS LÄN</t>
        </is>
      </c>
      <c r="E8574" t="inlineStr">
        <is>
          <t>ROBERTSFORS</t>
        </is>
      </c>
      <c r="G8574" t="n">
        <v>5.8</v>
      </c>
      <c r="H8574" t="n">
        <v>0</v>
      </c>
      <c r="I8574" t="n">
        <v>0</v>
      </c>
      <c r="J8574" t="n">
        <v>0</v>
      </c>
      <c r="K8574" t="n">
        <v>0</v>
      </c>
      <c r="L8574" t="n">
        <v>0</v>
      </c>
      <c r="M8574" t="n">
        <v>0</v>
      </c>
      <c r="N8574" t="n">
        <v>0</v>
      </c>
      <c r="O8574" t="n">
        <v>0</v>
      </c>
      <c r="P8574" t="n">
        <v>0</v>
      </c>
      <c r="Q8574" t="n">
        <v>0</v>
      </c>
      <c r="R8574" s="2" t="inlineStr"/>
    </row>
    <row r="8575" ht="15" customHeight="1">
      <c r="A8575" t="inlineStr">
        <is>
          <t>A 33687-2021</t>
        </is>
      </c>
      <c r="B8575" s="1" t="n">
        <v>44378</v>
      </c>
      <c r="C8575" s="1" t="n">
        <v>46075</v>
      </c>
      <c r="D8575" t="inlineStr">
        <is>
          <t>VÄSTERBOTTENS LÄN</t>
        </is>
      </c>
      <c r="E8575" t="inlineStr">
        <is>
          <t>SKELLEFTEÅ</t>
        </is>
      </c>
      <c r="G8575" t="n">
        <v>0.1</v>
      </c>
      <c r="H8575" t="n">
        <v>0</v>
      </c>
      <c r="I8575" t="n">
        <v>0</v>
      </c>
      <c r="J8575" t="n">
        <v>0</v>
      </c>
      <c r="K8575" t="n">
        <v>0</v>
      </c>
      <c r="L8575" t="n">
        <v>0</v>
      </c>
      <c r="M8575" t="n">
        <v>0</v>
      </c>
      <c r="N8575" t="n">
        <v>0</v>
      </c>
      <c r="O8575" t="n">
        <v>0</v>
      </c>
      <c r="P8575" t="n">
        <v>0</v>
      </c>
      <c r="Q8575" t="n">
        <v>0</v>
      </c>
      <c r="R8575" s="2" t="inlineStr"/>
    </row>
    <row r="8576" ht="15" customHeight="1">
      <c r="A8576" t="inlineStr">
        <is>
          <t>A 17367-2023</t>
        </is>
      </c>
      <c r="B8576" s="1" t="n">
        <v>45034</v>
      </c>
      <c r="C8576" s="1" t="n">
        <v>46075</v>
      </c>
      <c r="D8576" t="inlineStr">
        <is>
          <t>VÄSTERBOTTENS LÄN</t>
        </is>
      </c>
      <c r="E8576" t="inlineStr">
        <is>
          <t>SORSELE</t>
        </is>
      </c>
      <c r="F8576" t="inlineStr">
        <is>
          <t>Övriga statliga verk och myndigheter</t>
        </is>
      </c>
      <c r="G8576" t="n">
        <v>132.9</v>
      </c>
      <c r="H8576" t="n">
        <v>0</v>
      </c>
      <c r="I8576" t="n">
        <v>0</v>
      </c>
      <c r="J8576" t="n">
        <v>0</v>
      </c>
      <c r="K8576" t="n">
        <v>0</v>
      </c>
      <c r="L8576" t="n">
        <v>0</v>
      </c>
      <c r="M8576" t="n">
        <v>0</v>
      </c>
      <c r="N8576" t="n">
        <v>0</v>
      </c>
      <c r="O8576" t="n">
        <v>0</v>
      </c>
      <c r="P8576" t="n">
        <v>0</v>
      </c>
      <c r="Q8576" t="n">
        <v>0</v>
      </c>
      <c r="R8576" s="2" t="inlineStr"/>
    </row>
    <row r="8577" ht="15" customHeight="1">
      <c r="A8577" t="inlineStr">
        <is>
          <t>A 47299-2023</t>
        </is>
      </c>
      <c r="B8577" s="1" t="n">
        <v>45196</v>
      </c>
      <c r="C8577" s="1" t="n">
        <v>46075</v>
      </c>
      <c r="D8577" t="inlineStr">
        <is>
          <t>VÄSTERBOTTENS LÄN</t>
        </is>
      </c>
      <c r="E8577" t="inlineStr">
        <is>
          <t>STORUMAN</t>
        </is>
      </c>
      <c r="G8577" t="n">
        <v>12.3</v>
      </c>
      <c r="H8577" t="n">
        <v>0</v>
      </c>
      <c r="I8577" t="n">
        <v>0</v>
      </c>
      <c r="J8577" t="n">
        <v>0</v>
      </c>
      <c r="K8577" t="n">
        <v>0</v>
      </c>
      <c r="L8577" t="n">
        <v>0</v>
      </c>
      <c r="M8577" t="n">
        <v>0</v>
      </c>
      <c r="N8577" t="n">
        <v>0</v>
      </c>
      <c r="O8577" t="n">
        <v>0</v>
      </c>
      <c r="P8577" t="n">
        <v>0</v>
      </c>
      <c r="Q8577" t="n">
        <v>0</v>
      </c>
      <c r="R8577" s="2" t="inlineStr"/>
    </row>
    <row r="8578" ht="15" customHeight="1">
      <c r="A8578" t="inlineStr">
        <is>
          <t>A 1649-2026</t>
        </is>
      </c>
      <c r="B8578" s="1" t="n">
        <v>46034</v>
      </c>
      <c r="C8578" s="1" t="n">
        <v>46075</v>
      </c>
      <c r="D8578" t="inlineStr">
        <is>
          <t>VÄSTERBOTTENS LÄN</t>
        </is>
      </c>
      <c r="E8578" t="inlineStr">
        <is>
          <t>SKELLEFTEÅ</t>
        </is>
      </c>
      <c r="F8578" t="inlineStr">
        <is>
          <t>Holmen skog AB</t>
        </is>
      </c>
      <c r="G8578" t="n">
        <v>1.7</v>
      </c>
      <c r="H8578" t="n">
        <v>0</v>
      </c>
      <c r="I8578" t="n">
        <v>0</v>
      </c>
      <c r="J8578" t="n">
        <v>0</v>
      </c>
      <c r="K8578" t="n">
        <v>0</v>
      </c>
      <c r="L8578" t="n">
        <v>0</v>
      </c>
      <c r="M8578" t="n">
        <v>0</v>
      </c>
      <c r="N8578" t="n">
        <v>0</v>
      </c>
      <c r="O8578" t="n">
        <v>0</v>
      </c>
      <c r="P8578" t="n">
        <v>0</v>
      </c>
      <c r="Q8578" t="n">
        <v>0</v>
      </c>
      <c r="R8578" s="2" t="inlineStr"/>
    </row>
    <row r="8579" ht="15" customHeight="1">
      <c r="A8579" t="inlineStr">
        <is>
          <t>A 1992-2025</t>
        </is>
      </c>
      <c r="B8579" s="1" t="n">
        <v>45672.43625</v>
      </c>
      <c r="C8579" s="1" t="n">
        <v>46075</v>
      </c>
      <c r="D8579" t="inlineStr">
        <is>
          <t>VÄSTERBOTTENS LÄN</t>
        </is>
      </c>
      <c r="E8579" t="inlineStr">
        <is>
          <t>DOROTEA</t>
        </is>
      </c>
      <c r="F8579" t="inlineStr">
        <is>
          <t>Kommuner</t>
        </is>
      </c>
      <c r="G8579" t="n">
        <v>11.1</v>
      </c>
      <c r="H8579" t="n">
        <v>0</v>
      </c>
      <c r="I8579" t="n">
        <v>0</v>
      </c>
      <c r="J8579" t="n">
        <v>0</v>
      </c>
      <c r="K8579" t="n">
        <v>0</v>
      </c>
      <c r="L8579" t="n">
        <v>0</v>
      </c>
      <c r="M8579" t="n">
        <v>0</v>
      </c>
      <c r="N8579" t="n">
        <v>0</v>
      </c>
      <c r="O8579" t="n">
        <v>0</v>
      </c>
      <c r="P8579" t="n">
        <v>0</v>
      </c>
      <c r="Q8579" t="n">
        <v>0</v>
      </c>
      <c r="R8579" s="2" t="inlineStr"/>
    </row>
    <row r="8580" ht="15" customHeight="1">
      <c r="A8580" t="inlineStr">
        <is>
          <t>A 3434-2026</t>
        </is>
      </c>
      <c r="B8580" s="1" t="n">
        <v>46042.46931712963</v>
      </c>
      <c r="C8580" s="1" t="n">
        <v>46075</v>
      </c>
      <c r="D8580" t="inlineStr">
        <is>
          <t>VÄSTERBOTTENS LÄN</t>
        </is>
      </c>
      <c r="E8580" t="inlineStr">
        <is>
          <t>DOROTEA</t>
        </is>
      </c>
      <c r="F8580" t="inlineStr">
        <is>
          <t>SCA</t>
        </is>
      </c>
      <c r="G8580" t="n">
        <v>7.8</v>
      </c>
      <c r="H8580" t="n">
        <v>0</v>
      </c>
      <c r="I8580" t="n">
        <v>0</v>
      </c>
      <c r="J8580" t="n">
        <v>0</v>
      </c>
      <c r="K8580" t="n">
        <v>0</v>
      </c>
      <c r="L8580" t="n">
        <v>0</v>
      </c>
      <c r="M8580" t="n">
        <v>0</v>
      </c>
      <c r="N8580" t="n">
        <v>0</v>
      </c>
      <c r="O8580" t="n">
        <v>0</v>
      </c>
      <c r="P8580" t="n">
        <v>0</v>
      </c>
      <c r="Q8580" t="n">
        <v>0</v>
      </c>
      <c r="R8580" s="2" t="inlineStr"/>
    </row>
    <row r="8581" ht="15" customHeight="1">
      <c r="A8581" t="inlineStr">
        <is>
          <t>A 3446-2026</t>
        </is>
      </c>
      <c r="B8581" s="1" t="n">
        <v>46042.481875</v>
      </c>
      <c r="C8581" s="1" t="n">
        <v>46075</v>
      </c>
      <c r="D8581" t="inlineStr">
        <is>
          <t>VÄSTERBOTTENS LÄN</t>
        </is>
      </c>
      <c r="E8581" t="inlineStr">
        <is>
          <t>SKELLEFTEÅ</t>
        </is>
      </c>
      <c r="G8581" t="n">
        <v>1.6</v>
      </c>
      <c r="H8581" t="n">
        <v>0</v>
      </c>
      <c r="I8581" t="n">
        <v>0</v>
      </c>
      <c r="J8581" t="n">
        <v>0</v>
      </c>
      <c r="K8581" t="n">
        <v>0</v>
      </c>
      <c r="L8581" t="n">
        <v>0</v>
      </c>
      <c r="M8581" t="n">
        <v>0</v>
      </c>
      <c r="N8581" t="n">
        <v>0</v>
      </c>
      <c r="O8581" t="n">
        <v>0</v>
      </c>
      <c r="P8581" t="n">
        <v>0</v>
      </c>
      <c r="Q8581" t="n">
        <v>0</v>
      </c>
      <c r="R8581" s="2" t="inlineStr"/>
    </row>
    <row r="8582" ht="15" customHeight="1">
      <c r="A8582" t="inlineStr">
        <is>
          <t>A 51334-2023</t>
        </is>
      </c>
      <c r="B8582" s="1" t="n">
        <v>45219</v>
      </c>
      <c r="C8582" s="1" t="n">
        <v>46075</v>
      </c>
      <c r="D8582" t="inlineStr">
        <is>
          <t>VÄSTERBOTTENS LÄN</t>
        </is>
      </c>
      <c r="E8582" t="inlineStr">
        <is>
          <t>STORUMAN</t>
        </is>
      </c>
      <c r="G8582" t="n">
        <v>0.3</v>
      </c>
      <c r="H8582" t="n">
        <v>0</v>
      </c>
      <c r="I8582" t="n">
        <v>0</v>
      </c>
      <c r="J8582" t="n">
        <v>0</v>
      </c>
      <c r="K8582" t="n">
        <v>0</v>
      </c>
      <c r="L8582" t="n">
        <v>0</v>
      </c>
      <c r="M8582" t="n">
        <v>0</v>
      </c>
      <c r="N8582" t="n">
        <v>0</v>
      </c>
      <c r="O8582" t="n">
        <v>0</v>
      </c>
      <c r="P8582" t="n">
        <v>0</v>
      </c>
      <c r="Q8582" t="n">
        <v>0</v>
      </c>
      <c r="R8582" s="2" t="inlineStr"/>
    </row>
    <row r="8583" ht="15" customHeight="1">
      <c r="A8583" t="inlineStr">
        <is>
          <t>A 51357-2023</t>
        </is>
      </c>
      <c r="B8583" s="1" t="n">
        <v>45219</v>
      </c>
      <c r="C8583" s="1" t="n">
        <v>46075</v>
      </c>
      <c r="D8583" t="inlineStr">
        <is>
          <t>VÄSTERBOTTENS LÄN</t>
        </is>
      </c>
      <c r="E8583" t="inlineStr">
        <is>
          <t>MALÅ</t>
        </is>
      </c>
      <c r="F8583" t="inlineStr">
        <is>
          <t>Sveaskog</t>
        </is>
      </c>
      <c r="G8583" t="n">
        <v>10.8</v>
      </c>
      <c r="H8583" t="n">
        <v>0</v>
      </c>
      <c r="I8583" t="n">
        <v>0</v>
      </c>
      <c r="J8583" t="n">
        <v>0</v>
      </c>
      <c r="K8583" t="n">
        <v>0</v>
      </c>
      <c r="L8583" t="n">
        <v>0</v>
      </c>
      <c r="M8583" t="n">
        <v>0</v>
      </c>
      <c r="N8583" t="n">
        <v>0</v>
      </c>
      <c r="O8583" t="n">
        <v>0</v>
      </c>
      <c r="P8583" t="n">
        <v>0</v>
      </c>
      <c r="Q8583" t="n">
        <v>0</v>
      </c>
      <c r="R8583" s="2" t="inlineStr"/>
    </row>
    <row r="8584" ht="15" customHeight="1">
      <c r="A8584" t="inlineStr">
        <is>
          <t>A 16971-2025</t>
        </is>
      </c>
      <c r="B8584" s="1" t="n">
        <v>45755.46940972222</v>
      </c>
      <c r="C8584" s="1" t="n">
        <v>46075</v>
      </c>
      <c r="D8584" t="inlineStr">
        <is>
          <t>VÄSTERBOTTENS LÄN</t>
        </is>
      </c>
      <c r="E8584" t="inlineStr">
        <is>
          <t>SKELLEFTEÅ</t>
        </is>
      </c>
      <c r="G8584" t="n">
        <v>2.3</v>
      </c>
      <c r="H8584" t="n">
        <v>0</v>
      </c>
      <c r="I8584" t="n">
        <v>0</v>
      </c>
      <c r="J8584" t="n">
        <v>0</v>
      </c>
      <c r="K8584" t="n">
        <v>0</v>
      </c>
      <c r="L8584" t="n">
        <v>0</v>
      </c>
      <c r="M8584" t="n">
        <v>0</v>
      </c>
      <c r="N8584" t="n">
        <v>0</v>
      </c>
      <c r="O8584" t="n">
        <v>0</v>
      </c>
      <c r="P8584" t="n">
        <v>0</v>
      </c>
      <c r="Q8584" t="n">
        <v>0</v>
      </c>
      <c r="R8584" s="2" t="inlineStr"/>
    </row>
    <row r="8585" ht="15" customHeight="1">
      <c r="A8585" t="inlineStr">
        <is>
          <t>A 17008-2025</t>
        </is>
      </c>
      <c r="B8585" s="1" t="n">
        <v>45755.54644675926</v>
      </c>
      <c r="C8585" s="1" t="n">
        <v>46075</v>
      </c>
      <c r="D8585" t="inlineStr">
        <is>
          <t>VÄSTERBOTTENS LÄN</t>
        </is>
      </c>
      <c r="E8585" t="inlineStr">
        <is>
          <t>SKELLEFTEÅ</t>
        </is>
      </c>
      <c r="G8585" t="n">
        <v>7.6</v>
      </c>
      <c r="H8585" t="n">
        <v>0</v>
      </c>
      <c r="I8585" t="n">
        <v>0</v>
      </c>
      <c r="J8585" t="n">
        <v>0</v>
      </c>
      <c r="K8585" t="n">
        <v>0</v>
      </c>
      <c r="L8585" t="n">
        <v>0</v>
      </c>
      <c r="M8585" t="n">
        <v>0</v>
      </c>
      <c r="N8585" t="n">
        <v>0</v>
      </c>
      <c r="O8585" t="n">
        <v>0</v>
      </c>
      <c r="P8585" t="n">
        <v>0</v>
      </c>
      <c r="Q8585" t="n">
        <v>0</v>
      </c>
      <c r="R8585" s="2" t="inlineStr"/>
    </row>
    <row r="8586" ht="15" customHeight="1">
      <c r="A8586" t="inlineStr">
        <is>
          <t>A 54198-2025</t>
        </is>
      </c>
      <c r="B8586" s="1" t="n">
        <v>45964</v>
      </c>
      <c r="C8586" s="1" t="n">
        <v>46075</v>
      </c>
      <c r="D8586" t="inlineStr">
        <is>
          <t>VÄSTERBOTTENS LÄN</t>
        </is>
      </c>
      <c r="E8586" t="inlineStr">
        <is>
          <t>MALÅ</t>
        </is>
      </c>
      <c r="G8586" t="n">
        <v>19.5</v>
      </c>
      <c r="H8586" t="n">
        <v>0</v>
      </c>
      <c r="I8586" t="n">
        <v>0</v>
      </c>
      <c r="J8586" t="n">
        <v>0</v>
      </c>
      <c r="K8586" t="n">
        <v>0</v>
      </c>
      <c r="L8586" t="n">
        <v>0</v>
      </c>
      <c r="M8586" t="n">
        <v>0</v>
      </c>
      <c r="N8586" t="n">
        <v>0</v>
      </c>
      <c r="O8586" t="n">
        <v>0</v>
      </c>
      <c r="P8586" t="n">
        <v>0</v>
      </c>
      <c r="Q8586" t="n">
        <v>0</v>
      </c>
      <c r="R8586" s="2" t="inlineStr"/>
    </row>
    <row r="8587" ht="15" customHeight="1">
      <c r="A8587" t="inlineStr">
        <is>
          <t>A 61334-2025</t>
        </is>
      </c>
      <c r="B8587" s="1" t="n">
        <v>46001.34428240741</v>
      </c>
      <c r="C8587" s="1" t="n">
        <v>46075</v>
      </c>
      <c r="D8587" t="inlineStr">
        <is>
          <t>VÄSTERBOTTENS LÄN</t>
        </is>
      </c>
      <c r="E8587" t="inlineStr">
        <is>
          <t>LYCKSELE</t>
        </is>
      </c>
      <c r="G8587" t="n">
        <v>8.9</v>
      </c>
      <c r="H8587" t="n">
        <v>0</v>
      </c>
      <c r="I8587" t="n">
        <v>0</v>
      </c>
      <c r="J8587" t="n">
        <v>0</v>
      </c>
      <c r="K8587" t="n">
        <v>0</v>
      </c>
      <c r="L8587" t="n">
        <v>0</v>
      </c>
      <c r="M8587" t="n">
        <v>0</v>
      </c>
      <c r="N8587" t="n">
        <v>0</v>
      </c>
      <c r="O8587" t="n">
        <v>0</v>
      </c>
      <c r="P8587" t="n">
        <v>0</v>
      </c>
      <c r="Q8587" t="n">
        <v>0</v>
      </c>
      <c r="R8587" s="2" t="inlineStr"/>
    </row>
    <row r="8588" ht="15" customHeight="1">
      <c r="A8588" t="inlineStr">
        <is>
          <t>A 61336-2025</t>
        </is>
      </c>
      <c r="B8588" s="1" t="n">
        <v>46001.34512731482</v>
      </c>
      <c r="C8588" s="1" t="n">
        <v>46075</v>
      </c>
      <c r="D8588" t="inlineStr">
        <is>
          <t>VÄSTERBOTTENS LÄN</t>
        </is>
      </c>
      <c r="E8588" t="inlineStr">
        <is>
          <t>NORSJÖ</t>
        </is>
      </c>
      <c r="G8588" t="n">
        <v>4.3</v>
      </c>
      <c r="H8588" t="n">
        <v>0</v>
      </c>
      <c r="I8588" t="n">
        <v>0</v>
      </c>
      <c r="J8588" t="n">
        <v>0</v>
      </c>
      <c r="K8588" t="n">
        <v>0</v>
      </c>
      <c r="L8588" t="n">
        <v>0</v>
      </c>
      <c r="M8588" t="n">
        <v>0</v>
      </c>
      <c r="N8588" t="n">
        <v>0</v>
      </c>
      <c r="O8588" t="n">
        <v>0</v>
      </c>
      <c r="P8588" t="n">
        <v>0</v>
      </c>
      <c r="Q8588" t="n">
        <v>0</v>
      </c>
      <c r="R8588" s="2" t="inlineStr"/>
    </row>
    <row r="8589" ht="15" customHeight="1">
      <c r="A8589" t="inlineStr">
        <is>
          <t>A 61345-2025</t>
        </is>
      </c>
      <c r="B8589" s="1" t="n">
        <v>46001.36390046297</v>
      </c>
      <c r="C8589" s="1" t="n">
        <v>46075</v>
      </c>
      <c r="D8589" t="inlineStr">
        <is>
          <t>VÄSTERBOTTENS LÄN</t>
        </is>
      </c>
      <c r="E8589" t="inlineStr">
        <is>
          <t>NORSJÖ</t>
        </is>
      </c>
      <c r="F8589" t="inlineStr">
        <is>
          <t>Sveaskog</t>
        </is>
      </c>
      <c r="G8589" t="n">
        <v>6.6</v>
      </c>
      <c r="H8589" t="n">
        <v>0</v>
      </c>
      <c r="I8589" t="n">
        <v>0</v>
      </c>
      <c r="J8589" t="n">
        <v>0</v>
      </c>
      <c r="K8589" t="n">
        <v>0</v>
      </c>
      <c r="L8589" t="n">
        <v>0</v>
      </c>
      <c r="M8589" t="n">
        <v>0</v>
      </c>
      <c r="N8589" t="n">
        <v>0</v>
      </c>
      <c r="O8589" t="n">
        <v>0</v>
      </c>
      <c r="P8589" t="n">
        <v>0</v>
      </c>
      <c r="Q8589" t="n">
        <v>0</v>
      </c>
      <c r="R8589" s="2" t="inlineStr"/>
    </row>
    <row r="8590" ht="15" customHeight="1">
      <c r="A8590" t="inlineStr">
        <is>
          <t>A 61346-2025</t>
        </is>
      </c>
      <c r="B8590" s="1" t="n">
        <v>46001.36603009259</v>
      </c>
      <c r="C8590" s="1" t="n">
        <v>46075</v>
      </c>
      <c r="D8590" t="inlineStr">
        <is>
          <t>VÄSTERBOTTENS LÄN</t>
        </is>
      </c>
      <c r="E8590" t="inlineStr">
        <is>
          <t>SKELLEFTEÅ</t>
        </is>
      </c>
      <c r="G8590" t="n">
        <v>6.6</v>
      </c>
      <c r="H8590" t="n">
        <v>0</v>
      </c>
      <c r="I8590" t="n">
        <v>0</v>
      </c>
      <c r="J8590" t="n">
        <v>0</v>
      </c>
      <c r="K8590" t="n">
        <v>0</v>
      </c>
      <c r="L8590" t="n">
        <v>0</v>
      </c>
      <c r="M8590" t="n">
        <v>0</v>
      </c>
      <c r="N8590" t="n">
        <v>0</v>
      </c>
      <c r="O8590" t="n">
        <v>0</v>
      </c>
      <c r="P8590" t="n">
        <v>0</v>
      </c>
      <c r="Q8590" t="n">
        <v>0</v>
      </c>
      <c r="R8590" s="2" t="inlineStr"/>
    </row>
    <row r="8591" ht="15" customHeight="1">
      <c r="A8591" t="inlineStr">
        <is>
          <t>A 55620-2024</t>
        </is>
      </c>
      <c r="B8591" s="1" t="n">
        <v>45622</v>
      </c>
      <c r="C8591" s="1" t="n">
        <v>46075</v>
      </c>
      <c r="D8591" t="inlineStr">
        <is>
          <t>VÄSTERBOTTENS LÄN</t>
        </is>
      </c>
      <c r="E8591" t="inlineStr">
        <is>
          <t>VILHELMINA</t>
        </is>
      </c>
      <c r="F8591" t="inlineStr">
        <is>
          <t>SCA</t>
        </is>
      </c>
      <c r="G8591" t="n">
        <v>21.4</v>
      </c>
      <c r="H8591" t="n">
        <v>0</v>
      </c>
      <c r="I8591" t="n">
        <v>0</v>
      </c>
      <c r="J8591" t="n">
        <v>0</v>
      </c>
      <c r="K8591" t="n">
        <v>0</v>
      </c>
      <c r="L8591" t="n">
        <v>0</v>
      </c>
      <c r="M8591" t="n">
        <v>0</v>
      </c>
      <c r="N8591" t="n">
        <v>0</v>
      </c>
      <c r="O8591" t="n">
        <v>0</v>
      </c>
      <c r="P8591" t="n">
        <v>0</v>
      </c>
      <c r="Q8591" t="n">
        <v>0</v>
      </c>
      <c r="R8591" s="2" t="inlineStr"/>
    </row>
    <row r="8592" ht="15" customHeight="1">
      <c r="A8592" t="inlineStr">
        <is>
          <t>A 55645-2024</t>
        </is>
      </c>
      <c r="B8592" s="1" t="n">
        <v>45621</v>
      </c>
      <c r="C8592" s="1" t="n">
        <v>46075</v>
      </c>
      <c r="D8592" t="inlineStr">
        <is>
          <t>VÄSTERBOTTENS LÄN</t>
        </is>
      </c>
      <c r="E8592" t="inlineStr">
        <is>
          <t>SKELLEFTEÅ</t>
        </is>
      </c>
      <c r="G8592" t="n">
        <v>2.8</v>
      </c>
      <c r="H8592" t="n">
        <v>0</v>
      </c>
      <c r="I8592" t="n">
        <v>0</v>
      </c>
      <c r="J8592" t="n">
        <v>0</v>
      </c>
      <c r="K8592" t="n">
        <v>0</v>
      </c>
      <c r="L8592" t="n">
        <v>0</v>
      </c>
      <c r="M8592" t="n">
        <v>0</v>
      </c>
      <c r="N8592" t="n">
        <v>0</v>
      </c>
      <c r="O8592" t="n">
        <v>0</v>
      </c>
      <c r="P8592" t="n">
        <v>0</v>
      </c>
      <c r="Q8592" t="n">
        <v>0</v>
      </c>
      <c r="R8592" s="2" t="inlineStr"/>
    </row>
    <row r="8593" ht="15" customHeight="1">
      <c r="A8593" t="inlineStr">
        <is>
          <t>A 55657-2024</t>
        </is>
      </c>
      <c r="B8593" s="1" t="n">
        <v>45622.63604166666</v>
      </c>
      <c r="C8593" s="1" t="n">
        <v>46075</v>
      </c>
      <c r="D8593" t="inlineStr">
        <is>
          <t>VÄSTERBOTTENS LÄN</t>
        </is>
      </c>
      <c r="E8593" t="inlineStr">
        <is>
          <t>ÅSELE</t>
        </is>
      </c>
      <c r="F8593" t="inlineStr">
        <is>
          <t>SCA</t>
        </is>
      </c>
      <c r="G8593" t="n">
        <v>0.9</v>
      </c>
      <c r="H8593" t="n">
        <v>0</v>
      </c>
      <c r="I8593" t="n">
        <v>0</v>
      </c>
      <c r="J8593" t="n">
        <v>0</v>
      </c>
      <c r="K8593" t="n">
        <v>0</v>
      </c>
      <c r="L8593" t="n">
        <v>0</v>
      </c>
      <c r="M8593" t="n">
        <v>0</v>
      </c>
      <c r="N8593" t="n">
        <v>0</v>
      </c>
      <c r="O8593" t="n">
        <v>0</v>
      </c>
      <c r="P8593" t="n">
        <v>0</v>
      </c>
      <c r="Q8593" t="n">
        <v>0</v>
      </c>
      <c r="R8593" s="2" t="inlineStr"/>
    </row>
    <row r="8594" ht="15" customHeight="1">
      <c r="A8594" t="inlineStr">
        <is>
          <t>A 3494-2026</t>
        </is>
      </c>
      <c r="B8594" s="1" t="n">
        <v>46042.57334490741</v>
      </c>
      <c r="C8594" s="1" t="n">
        <v>46075</v>
      </c>
      <c r="D8594" t="inlineStr">
        <is>
          <t>VÄSTERBOTTENS LÄN</t>
        </is>
      </c>
      <c r="E8594" t="inlineStr">
        <is>
          <t>NORDMALING</t>
        </is>
      </c>
      <c r="G8594" t="n">
        <v>1.9</v>
      </c>
      <c r="H8594" t="n">
        <v>0</v>
      </c>
      <c r="I8594" t="n">
        <v>0</v>
      </c>
      <c r="J8594" t="n">
        <v>0</v>
      </c>
      <c r="K8594" t="n">
        <v>0</v>
      </c>
      <c r="L8594" t="n">
        <v>0</v>
      </c>
      <c r="M8594" t="n">
        <v>0</v>
      </c>
      <c r="N8594" t="n">
        <v>0</v>
      </c>
      <c r="O8594" t="n">
        <v>0</v>
      </c>
      <c r="P8594" t="n">
        <v>0</v>
      </c>
      <c r="Q8594" t="n">
        <v>0</v>
      </c>
      <c r="R8594" s="2" t="inlineStr"/>
    </row>
    <row r="8595" ht="15" customHeight="1">
      <c r="A8595" t="inlineStr">
        <is>
          <t>A 3503-2026</t>
        </is>
      </c>
      <c r="B8595" s="1" t="n">
        <v>46042.57971064815</v>
      </c>
      <c r="C8595" s="1" t="n">
        <v>46075</v>
      </c>
      <c r="D8595" t="inlineStr">
        <is>
          <t>VÄSTERBOTTENS LÄN</t>
        </is>
      </c>
      <c r="E8595" t="inlineStr">
        <is>
          <t>NORDMALING</t>
        </is>
      </c>
      <c r="G8595" t="n">
        <v>5</v>
      </c>
      <c r="H8595" t="n">
        <v>0</v>
      </c>
      <c r="I8595" t="n">
        <v>0</v>
      </c>
      <c r="J8595" t="n">
        <v>0</v>
      </c>
      <c r="K8595" t="n">
        <v>0</v>
      </c>
      <c r="L8595" t="n">
        <v>0</v>
      </c>
      <c r="M8595" t="n">
        <v>0</v>
      </c>
      <c r="N8595" t="n">
        <v>0</v>
      </c>
      <c r="O8595" t="n">
        <v>0</v>
      </c>
      <c r="P8595" t="n">
        <v>0</v>
      </c>
      <c r="Q8595" t="n">
        <v>0</v>
      </c>
      <c r="R8595" s="2" t="inlineStr"/>
    </row>
    <row r="8596" ht="15" customHeight="1">
      <c r="A8596" t="inlineStr">
        <is>
          <t>A 61088-2025</t>
        </is>
      </c>
      <c r="B8596" s="1" t="n">
        <v>46000.42715277777</v>
      </c>
      <c r="C8596" s="1" t="n">
        <v>46075</v>
      </c>
      <c r="D8596" t="inlineStr">
        <is>
          <t>VÄSTERBOTTENS LÄN</t>
        </is>
      </c>
      <c r="E8596" t="inlineStr">
        <is>
          <t>LYCKSELE</t>
        </is>
      </c>
      <c r="G8596" t="n">
        <v>0.5</v>
      </c>
      <c r="H8596" t="n">
        <v>0</v>
      </c>
      <c r="I8596" t="n">
        <v>0</v>
      </c>
      <c r="J8596" t="n">
        <v>0</v>
      </c>
      <c r="K8596" t="n">
        <v>0</v>
      </c>
      <c r="L8596" t="n">
        <v>0</v>
      </c>
      <c r="M8596" t="n">
        <v>0</v>
      </c>
      <c r="N8596" t="n">
        <v>0</v>
      </c>
      <c r="O8596" t="n">
        <v>0</v>
      </c>
      <c r="P8596" t="n">
        <v>0</v>
      </c>
      <c r="Q8596" t="n">
        <v>0</v>
      </c>
      <c r="R8596" s="2" t="inlineStr"/>
    </row>
    <row r="8597" ht="15" customHeight="1">
      <c r="A8597" t="inlineStr">
        <is>
          <t>A 60999-2025</t>
        </is>
      </c>
      <c r="B8597" s="1" t="n">
        <v>45999.76028935185</v>
      </c>
      <c r="C8597" s="1" t="n">
        <v>46075</v>
      </c>
      <c r="D8597" t="inlineStr">
        <is>
          <t>VÄSTERBOTTENS LÄN</t>
        </is>
      </c>
      <c r="E8597" t="inlineStr">
        <is>
          <t>VILHELMINA</t>
        </is>
      </c>
      <c r="G8597" t="n">
        <v>1.9</v>
      </c>
      <c r="H8597" t="n">
        <v>0</v>
      </c>
      <c r="I8597" t="n">
        <v>0</v>
      </c>
      <c r="J8597" t="n">
        <v>0</v>
      </c>
      <c r="K8597" t="n">
        <v>0</v>
      </c>
      <c r="L8597" t="n">
        <v>0</v>
      </c>
      <c r="M8597" t="n">
        <v>0</v>
      </c>
      <c r="N8597" t="n">
        <v>0</v>
      </c>
      <c r="O8597" t="n">
        <v>0</v>
      </c>
      <c r="P8597" t="n">
        <v>0</v>
      </c>
      <c r="Q8597" t="n">
        <v>0</v>
      </c>
      <c r="R8597" s="2" t="inlineStr"/>
    </row>
    <row r="8598" ht="15" customHeight="1">
      <c r="A8598" t="inlineStr">
        <is>
          <t>A 61506-2025</t>
        </is>
      </c>
      <c r="B8598" s="1" t="n">
        <v>46001.68094907407</v>
      </c>
      <c r="C8598" s="1" t="n">
        <v>46075</v>
      </c>
      <c r="D8598" t="inlineStr">
        <is>
          <t>VÄSTERBOTTENS LÄN</t>
        </is>
      </c>
      <c r="E8598" t="inlineStr">
        <is>
          <t>ÅSELE</t>
        </is>
      </c>
      <c r="F8598" t="inlineStr">
        <is>
          <t>SCA</t>
        </is>
      </c>
      <c r="G8598" t="n">
        <v>3</v>
      </c>
      <c r="H8598" t="n">
        <v>0</v>
      </c>
      <c r="I8598" t="n">
        <v>0</v>
      </c>
      <c r="J8598" t="n">
        <v>0</v>
      </c>
      <c r="K8598" t="n">
        <v>0</v>
      </c>
      <c r="L8598" t="n">
        <v>0</v>
      </c>
      <c r="M8598" t="n">
        <v>0</v>
      </c>
      <c r="N8598" t="n">
        <v>0</v>
      </c>
      <c r="O8598" t="n">
        <v>0</v>
      </c>
      <c r="P8598" t="n">
        <v>0</v>
      </c>
      <c r="Q8598" t="n">
        <v>0</v>
      </c>
      <c r="R8598" s="2" t="inlineStr"/>
    </row>
    <row r="8599" ht="15" customHeight="1">
      <c r="A8599" t="inlineStr">
        <is>
          <t>A 3827-2026</t>
        </is>
      </c>
      <c r="B8599" s="1" t="n">
        <v>46043.58608796296</v>
      </c>
      <c r="C8599" s="1" t="n">
        <v>46075</v>
      </c>
      <c r="D8599" t="inlineStr">
        <is>
          <t>VÄSTERBOTTENS LÄN</t>
        </is>
      </c>
      <c r="E8599" t="inlineStr">
        <is>
          <t>SKELLEFTEÅ</t>
        </is>
      </c>
      <c r="G8599" t="n">
        <v>10.8</v>
      </c>
      <c r="H8599" t="n">
        <v>0</v>
      </c>
      <c r="I8599" t="n">
        <v>0</v>
      </c>
      <c r="J8599" t="n">
        <v>0</v>
      </c>
      <c r="K8599" t="n">
        <v>0</v>
      </c>
      <c r="L8599" t="n">
        <v>0</v>
      </c>
      <c r="M8599" t="n">
        <v>0</v>
      </c>
      <c r="N8599" t="n">
        <v>0</v>
      </c>
      <c r="O8599" t="n">
        <v>0</v>
      </c>
      <c r="P8599" t="n">
        <v>0</v>
      </c>
      <c r="Q8599" t="n">
        <v>0</v>
      </c>
      <c r="R8599" s="2" t="inlineStr"/>
    </row>
    <row r="8600" ht="15" customHeight="1">
      <c r="A8600" t="inlineStr">
        <is>
          <t>A 53011-2024</t>
        </is>
      </c>
      <c r="B8600" s="1" t="n">
        <v>45611.40226851852</v>
      </c>
      <c r="C8600" s="1" t="n">
        <v>46075</v>
      </c>
      <c r="D8600" t="inlineStr">
        <is>
          <t>VÄSTERBOTTENS LÄN</t>
        </is>
      </c>
      <c r="E8600" t="inlineStr">
        <is>
          <t>LYCKSELE</t>
        </is>
      </c>
      <c r="F8600" t="inlineStr">
        <is>
          <t>Sveaskog</t>
        </is>
      </c>
      <c r="G8600" t="n">
        <v>7.1</v>
      </c>
      <c r="H8600" t="n">
        <v>0</v>
      </c>
      <c r="I8600" t="n">
        <v>0</v>
      </c>
      <c r="J8600" t="n">
        <v>0</v>
      </c>
      <c r="K8600" t="n">
        <v>0</v>
      </c>
      <c r="L8600" t="n">
        <v>0</v>
      </c>
      <c r="M8600" t="n">
        <v>0</v>
      </c>
      <c r="N8600" t="n">
        <v>0</v>
      </c>
      <c r="O8600" t="n">
        <v>0</v>
      </c>
      <c r="P8600" t="n">
        <v>0</v>
      </c>
      <c r="Q8600" t="n">
        <v>0</v>
      </c>
      <c r="R8600" s="2" t="inlineStr"/>
    </row>
    <row r="8601" ht="15" customHeight="1">
      <c r="A8601" t="inlineStr">
        <is>
          <t>A 61176-2025</t>
        </is>
      </c>
      <c r="B8601" s="1" t="n">
        <v>46000.57684027778</v>
      </c>
      <c r="C8601" s="1" t="n">
        <v>46075</v>
      </c>
      <c r="D8601" t="inlineStr">
        <is>
          <t>VÄSTERBOTTENS LÄN</t>
        </is>
      </c>
      <c r="E8601" t="inlineStr">
        <is>
          <t>VÄNNÄS</t>
        </is>
      </c>
      <c r="G8601" t="n">
        <v>8.300000000000001</v>
      </c>
      <c r="H8601" t="n">
        <v>0</v>
      </c>
      <c r="I8601" t="n">
        <v>0</v>
      </c>
      <c r="J8601" t="n">
        <v>0</v>
      </c>
      <c r="K8601" t="n">
        <v>0</v>
      </c>
      <c r="L8601" t="n">
        <v>0</v>
      </c>
      <c r="M8601" t="n">
        <v>0</v>
      </c>
      <c r="N8601" t="n">
        <v>0</v>
      </c>
      <c r="O8601" t="n">
        <v>0</v>
      </c>
      <c r="P8601" t="n">
        <v>0</v>
      </c>
      <c r="Q8601" t="n">
        <v>0</v>
      </c>
      <c r="R8601" s="2" t="inlineStr"/>
    </row>
    <row r="8602" ht="15" customHeight="1">
      <c r="A8602" t="inlineStr">
        <is>
          <t>A 15461-2025</t>
        </is>
      </c>
      <c r="B8602" s="1" t="n">
        <v>45747.51061342593</v>
      </c>
      <c r="C8602" s="1" t="n">
        <v>46075</v>
      </c>
      <c r="D8602" t="inlineStr">
        <is>
          <t>VÄSTERBOTTENS LÄN</t>
        </is>
      </c>
      <c r="E8602" t="inlineStr">
        <is>
          <t>SKELLEFTEÅ</t>
        </is>
      </c>
      <c r="F8602" t="inlineStr">
        <is>
          <t>Holmen skog AB</t>
        </is>
      </c>
      <c r="G8602" t="n">
        <v>9.800000000000001</v>
      </c>
      <c r="H8602" t="n">
        <v>0</v>
      </c>
      <c r="I8602" t="n">
        <v>0</v>
      </c>
      <c r="J8602" t="n">
        <v>0</v>
      </c>
      <c r="K8602" t="n">
        <v>0</v>
      </c>
      <c r="L8602" t="n">
        <v>0</v>
      </c>
      <c r="M8602" t="n">
        <v>0</v>
      </c>
      <c r="N8602" t="n">
        <v>0</v>
      </c>
      <c r="O8602" t="n">
        <v>0</v>
      </c>
      <c r="P8602" t="n">
        <v>0</v>
      </c>
      <c r="Q8602" t="n">
        <v>0</v>
      </c>
      <c r="R8602" s="2" t="inlineStr"/>
    </row>
    <row r="8603" ht="15" customHeight="1">
      <c r="A8603" t="inlineStr">
        <is>
          <t>A 16202-2025</t>
        </is>
      </c>
      <c r="B8603" s="1" t="n">
        <v>45750.61587962963</v>
      </c>
      <c r="C8603" s="1" t="n">
        <v>46075</v>
      </c>
      <c r="D8603" t="inlineStr">
        <is>
          <t>VÄSTERBOTTENS LÄN</t>
        </is>
      </c>
      <c r="E8603" t="inlineStr">
        <is>
          <t>SKELLEFTEÅ</t>
        </is>
      </c>
      <c r="G8603" t="n">
        <v>7.3</v>
      </c>
      <c r="H8603" t="n">
        <v>0</v>
      </c>
      <c r="I8603" t="n">
        <v>0</v>
      </c>
      <c r="J8603" t="n">
        <v>0</v>
      </c>
      <c r="K8603" t="n">
        <v>0</v>
      </c>
      <c r="L8603" t="n">
        <v>0</v>
      </c>
      <c r="M8603" t="n">
        <v>0</v>
      </c>
      <c r="N8603" t="n">
        <v>0</v>
      </c>
      <c r="O8603" t="n">
        <v>0</v>
      </c>
      <c r="P8603" t="n">
        <v>0</v>
      </c>
      <c r="Q8603" t="n">
        <v>0</v>
      </c>
      <c r="R8603" s="2" t="inlineStr"/>
    </row>
    <row r="8604" ht="15" customHeight="1">
      <c r="A8604" t="inlineStr">
        <is>
          <t>A 61214-2025</t>
        </is>
      </c>
      <c r="B8604" s="1" t="n">
        <v>46000.61884259259</v>
      </c>
      <c r="C8604" s="1" t="n">
        <v>46075</v>
      </c>
      <c r="D8604" t="inlineStr">
        <is>
          <t>VÄSTERBOTTENS LÄN</t>
        </is>
      </c>
      <c r="E8604" t="inlineStr">
        <is>
          <t>UMEÅ</t>
        </is>
      </c>
      <c r="G8604" t="n">
        <v>5.9</v>
      </c>
      <c r="H8604" t="n">
        <v>0</v>
      </c>
      <c r="I8604" t="n">
        <v>0</v>
      </c>
      <c r="J8604" t="n">
        <v>0</v>
      </c>
      <c r="K8604" t="n">
        <v>0</v>
      </c>
      <c r="L8604" t="n">
        <v>0</v>
      </c>
      <c r="M8604" t="n">
        <v>0</v>
      </c>
      <c r="N8604" t="n">
        <v>0</v>
      </c>
      <c r="O8604" t="n">
        <v>0</v>
      </c>
      <c r="P8604" t="n">
        <v>0</v>
      </c>
      <c r="Q8604" t="n">
        <v>0</v>
      </c>
      <c r="R8604" s="2" t="inlineStr"/>
    </row>
    <row r="8605" ht="15" customHeight="1">
      <c r="A8605" t="inlineStr">
        <is>
          <t>A 17133-2025</t>
        </is>
      </c>
      <c r="B8605" s="1" t="n">
        <v>45755</v>
      </c>
      <c r="C8605" s="1" t="n">
        <v>46075</v>
      </c>
      <c r="D8605" t="inlineStr">
        <is>
          <t>VÄSTERBOTTENS LÄN</t>
        </is>
      </c>
      <c r="E8605" t="inlineStr">
        <is>
          <t>DOROTEA</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24067-2023</t>
        </is>
      </c>
      <c r="B8606" s="1" t="n">
        <v>45078.94167824074</v>
      </c>
      <c r="C8606" s="1" t="n">
        <v>46075</v>
      </c>
      <c r="D8606" t="inlineStr">
        <is>
          <t>VÄSTERBOTTENS LÄN</t>
        </is>
      </c>
      <c r="E8606" t="inlineStr">
        <is>
          <t>ÅSELE</t>
        </is>
      </c>
      <c r="F8606" t="inlineStr">
        <is>
          <t>SCA</t>
        </is>
      </c>
      <c r="G8606" t="n">
        <v>2</v>
      </c>
      <c r="H8606" t="n">
        <v>0</v>
      </c>
      <c r="I8606" t="n">
        <v>0</v>
      </c>
      <c r="J8606" t="n">
        <v>0</v>
      </c>
      <c r="K8606" t="n">
        <v>0</v>
      </c>
      <c r="L8606" t="n">
        <v>0</v>
      </c>
      <c r="M8606" t="n">
        <v>0</v>
      </c>
      <c r="N8606" t="n">
        <v>0</v>
      </c>
      <c r="O8606" t="n">
        <v>0</v>
      </c>
      <c r="P8606" t="n">
        <v>0</v>
      </c>
      <c r="Q8606" t="n">
        <v>0</v>
      </c>
      <c r="R8606" s="2" t="inlineStr"/>
    </row>
    <row r="8607" ht="15" customHeight="1">
      <c r="A8607" t="inlineStr">
        <is>
          <t>A 61323-2025</t>
        </is>
      </c>
      <c r="B8607" s="1" t="n">
        <v>46000</v>
      </c>
      <c r="C8607" s="1" t="n">
        <v>46075</v>
      </c>
      <c r="D8607" t="inlineStr">
        <is>
          <t>VÄSTERBOTTENS LÄN</t>
        </is>
      </c>
      <c r="E8607" t="inlineStr">
        <is>
          <t>BJURHOLM</t>
        </is>
      </c>
      <c r="G8607" t="n">
        <v>2.1</v>
      </c>
      <c r="H8607" t="n">
        <v>0</v>
      </c>
      <c r="I8607" t="n">
        <v>0</v>
      </c>
      <c r="J8607" t="n">
        <v>0</v>
      </c>
      <c r="K8607" t="n">
        <v>0</v>
      </c>
      <c r="L8607" t="n">
        <v>0</v>
      </c>
      <c r="M8607" t="n">
        <v>0</v>
      </c>
      <c r="N8607" t="n">
        <v>0</v>
      </c>
      <c r="O8607" t="n">
        <v>0</v>
      </c>
      <c r="P8607" t="n">
        <v>0</v>
      </c>
      <c r="Q8607" t="n">
        <v>0</v>
      </c>
      <c r="R8607" s="2" t="inlineStr"/>
    </row>
    <row r="8608" ht="15" customHeight="1">
      <c r="A8608" t="inlineStr">
        <is>
          <t>A 61329-2025</t>
        </is>
      </c>
      <c r="B8608" s="1" t="n">
        <v>46001.33212962963</v>
      </c>
      <c r="C8608" s="1" t="n">
        <v>46075</v>
      </c>
      <c r="D8608" t="inlineStr">
        <is>
          <t>VÄSTERBOTTENS LÄN</t>
        </is>
      </c>
      <c r="E8608" t="inlineStr">
        <is>
          <t>SKELLEFTEÅ</t>
        </is>
      </c>
      <c r="F8608" t="inlineStr">
        <is>
          <t>Kommuner</t>
        </is>
      </c>
      <c r="G8608" t="n">
        <v>11.3</v>
      </c>
      <c r="H8608" t="n">
        <v>0</v>
      </c>
      <c r="I8608" t="n">
        <v>0</v>
      </c>
      <c r="J8608" t="n">
        <v>0</v>
      </c>
      <c r="K8608" t="n">
        <v>0</v>
      </c>
      <c r="L8608" t="n">
        <v>0</v>
      </c>
      <c r="M8608" t="n">
        <v>0</v>
      </c>
      <c r="N8608" t="n">
        <v>0</v>
      </c>
      <c r="O8608" t="n">
        <v>0</v>
      </c>
      <c r="P8608" t="n">
        <v>0</v>
      </c>
      <c r="Q8608" t="n">
        <v>0</v>
      </c>
      <c r="R8608" s="2" t="inlineStr"/>
    </row>
    <row r="8609" ht="15" customHeight="1">
      <c r="A8609" t="inlineStr">
        <is>
          <t>A 60896-2023</t>
        </is>
      </c>
      <c r="B8609" s="1" t="n">
        <v>45261</v>
      </c>
      <c r="C8609" s="1" t="n">
        <v>46075</v>
      </c>
      <c r="D8609" t="inlineStr">
        <is>
          <t>VÄSTERBOTTENS LÄN</t>
        </is>
      </c>
      <c r="E8609" t="inlineStr">
        <is>
          <t>SKELLEFTEÅ</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60898-2023</t>
        </is>
      </c>
      <c r="B8610" s="1" t="n">
        <v>45261.35170138889</v>
      </c>
      <c r="C8610" s="1" t="n">
        <v>46075</v>
      </c>
      <c r="D8610" t="inlineStr">
        <is>
          <t>VÄSTERBOTTENS LÄN</t>
        </is>
      </c>
      <c r="E8610" t="inlineStr">
        <is>
          <t>SKELLEFTEÅ</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3471-2026</t>
        </is>
      </c>
      <c r="B8611" s="1" t="n">
        <v>46042.538125</v>
      </c>
      <c r="C8611" s="1" t="n">
        <v>46075</v>
      </c>
      <c r="D8611" t="inlineStr">
        <is>
          <t>VÄSTERBOTTENS LÄN</t>
        </is>
      </c>
      <c r="E8611" t="inlineStr">
        <is>
          <t>MALÅ</t>
        </is>
      </c>
      <c r="F8611" t="inlineStr">
        <is>
          <t>Sveaskog</t>
        </is>
      </c>
      <c r="G8611" t="n">
        <v>7.5</v>
      </c>
      <c r="H8611" t="n">
        <v>0</v>
      </c>
      <c r="I8611" t="n">
        <v>0</v>
      </c>
      <c r="J8611" t="n">
        <v>0</v>
      </c>
      <c r="K8611" t="n">
        <v>0</v>
      </c>
      <c r="L8611" t="n">
        <v>0</v>
      </c>
      <c r="M8611" t="n">
        <v>0</v>
      </c>
      <c r="N8611" t="n">
        <v>0</v>
      </c>
      <c r="O8611" t="n">
        <v>0</v>
      </c>
      <c r="P8611" t="n">
        <v>0</v>
      </c>
      <c r="Q8611" t="n">
        <v>0</v>
      </c>
      <c r="R8611" s="2" t="inlineStr"/>
    </row>
    <row r="8612" ht="15" customHeight="1">
      <c r="A8612" t="inlineStr">
        <is>
          <t>A 61217-2025</t>
        </is>
      </c>
      <c r="B8612" s="1" t="n">
        <v>46000.62106481481</v>
      </c>
      <c r="C8612" s="1" t="n">
        <v>46075</v>
      </c>
      <c r="D8612" t="inlineStr">
        <is>
          <t>VÄSTERBOTTENS LÄN</t>
        </is>
      </c>
      <c r="E8612" t="inlineStr">
        <is>
          <t>STORUMAN</t>
        </is>
      </c>
      <c r="G8612" t="n">
        <v>2.1</v>
      </c>
      <c r="H8612" t="n">
        <v>0</v>
      </c>
      <c r="I8612" t="n">
        <v>0</v>
      </c>
      <c r="J8612" t="n">
        <v>0</v>
      </c>
      <c r="K8612" t="n">
        <v>0</v>
      </c>
      <c r="L8612" t="n">
        <v>0</v>
      </c>
      <c r="M8612" t="n">
        <v>0</v>
      </c>
      <c r="N8612" t="n">
        <v>0</v>
      </c>
      <c r="O8612" t="n">
        <v>0</v>
      </c>
      <c r="P8612" t="n">
        <v>0</v>
      </c>
      <c r="Q8612" t="n">
        <v>0</v>
      </c>
      <c r="R8612" s="2" t="inlineStr"/>
    </row>
    <row r="8613" ht="15" customHeight="1">
      <c r="A8613" t="inlineStr">
        <is>
          <t>A 57236-2022</t>
        </is>
      </c>
      <c r="B8613" s="1" t="n">
        <v>44889</v>
      </c>
      <c r="C8613" s="1" t="n">
        <v>46075</v>
      </c>
      <c r="D8613" t="inlineStr">
        <is>
          <t>VÄSTERBOTTENS LÄN</t>
        </is>
      </c>
      <c r="E8613" t="inlineStr">
        <is>
          <t>DOROTEA</t>
        </is>
      </c>
      <c r="G8613" t="n">
        <v>3.8</v>
      </c>
      <c r="H8613" t="n">
        <v>0</v>
      </c>
      <c r="I8613" t="n">
        <v>0</v>
      </c>
      <c r="J8613" t="n">
        <v>0</v>
      </c>
      <c r="K8613" t="n">
        <v>0</v>
      </c>
      <c r="L8613" t="n">
        <v>0</v>
      </c>
      <c r="M8613" t="n">
        <v>0</v>
      </c>
      <c r="N8613" t="n">
        <v>0</v>
      </c>
      <c r="O8613" t="n">
        <v>0</v>
      </c>
      <c r="P8613" t="n">
        <v>0</v>
      </c>
      <c r="Q8613" t="n">
        <v>0</v>
      </c>
      <c r="R8613" s="2" t="inlineStr"/>
    </row>
    <row r="8614" ht="15" customHeight="1">
      <c r="A8614" t="inlineStr">
        <is>
          <t>A 43134-2023</t>
        </is>
      </c>
      <c r="B8614" s="1" t="n">
        <v>45182</v>
      </c>
      <c r="C8614" s="1" t="n">
        <v>46075</v>
      </c>
      <c r="D8614" t="inlineStr">
        <is>
          <t>VÄSTERBOTTENS LÄN</t>
        </is>
      </c>
      <c r="E8614" t="inlineStr">
        <is>
          <t>LYCKSELE</t>
        </is>
      </c>
      <c r="F8614" t="inlineStr">
        <is>
          <t>SCA</t>
        </is>
      </c>
      <c r="G8614" t="n">
        <v>2</v>
      </c>
      <c r="H8614" t="n">
        <v>0</v>
      </c>
      <c r="I8614" t="n">
        <v>0</v>
      </c>
      <c r="J8614" t="n">
        <v>0</v>
      </c>
      <c r="K8614" t="n">
        <v>0</v>
      </c>
      <c r="L8614" t="n">
        <v>0</v>
      </c>
      <c r="M8614" t="n">
        <v>0</v>
      </c>
      <c r="N8614" t="n">
        <v>0</v>
      </c>
      <c r="O8614" t="n">
        <v>0</v>
      </c>
      <c r="P8614" t="n">
        <v>0</v>
      </c>
      <c r="Q8614" t="n">
        <v>0</v>
      </c>
      <c r="R8614" s="2" t="inlineStr"/>
    </row>
    <row r="8615" ht="15" customHeight="1">
      <c r="A8615" t="inlineStr">
        <is>
          <t>A 61354-2025</t>
        </is>
      </c>
      <c r="B8615" s="1" t="n">
        <v>46001.38726851852</v>
      </c>
      <c r="C8615" s="1" t="n">
        <v>46075</v>
      </c>
      <c r="D8615" t="inlineStr">
        <is>
          <t>VÄSTERBOTTENS LÄN</t>
        </is>
      </c>
      <c r="E8615" t="inlineStr">
        <is>
          <t>SKELLEFTEÅ</t>
        </is>
      </c>
      <c r="G8615" t="n">
        <v>1.9</v>
      </c>
      <c r="H8615" t="n">
        <v>0</v>
      </c>
      <c r="I8615" t="n">
        <v>0</v>
      </c>
      <c r="J8615" t="n">
        <v>0</v>
      </c>
      <c r="K8615" t="n">
        <v>0</v>
      </c>
      <c r="L8615" t="n">
        <v>0</v>
      </c>
      <c r="M8615" t="n">
        <v>0</v>
      </c>
      <c r="N8615" t="n">
        <v>0</v>
      </c>
      <c r="O8615" t="n">
        <v>0</v>
      </c>
      <c r="P8615" t="n">
        <v>0</v>
      </c>
      <c r="Q8615" t="n">
        <v>0</v>
      </c>
      <c r="R8615" s="2" t="inlineStr"/>
    </row>
    <row r="8616" ht="15" customHeight="1">
      <c r="A8616" t="inlineStr">
        <is>
          <t>A 61221-2025</t>
        </is>
      </c>
      <c r="B8616" s="1" t="n">
        <v>46000</v>
      </c>
      <c r="C8616" s="1" t="n">
        <v>46075</v>
      </c>
      <c r="D8616" t="inlineStr">
        <is>
          <t>VÄSTERBOTTENS LÄN</t>
        </is>
      </c>
      <c r="E8616" t="inlineStr">
        <is>
          <t>VÄNNÄS</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17869-2025</t>
        </is>
      </c>
      <c r="B8617" s="1" t="n">
        <v>45758.63265046296</v>
      </c>
      <c r="C8617" s="1" t="n">
        <v>46075</v>
      </c>
      <c r="D8617" t="inlineStr">
        <is>
          <t>VÄSTERBOTTENS LÄN</t>
        </is>
      </c>
      <c r="E8617" t="inlineStr">
        <is>
          <t>SORSELE</t>
        </is>
      </c>
      <c r="G8617" t="n">
        <v>13.5</v>
      </c>
      <c r="H8617" t="n">
        <v>0</v>
      </c>
      <c r="I8617" t="n">
        <v>0</v>
      </c>
      <c r="J8617" t="n">
        <v>0</v>
      </c>
      <c r="K8617" t="n">
        <v>0</v>
      </c>
      <c r="L8617" t="n">
        <v>0</v>
      </c>
      <c r="M8617" t="n">
        <v>0</v>
      </c>
      <c r="N8617" t="n">
        <v>0</v>
      </c>
      <c r="O8617" t="n">
        <v>0</v>
      </c>
      <c r="P8617" t="n">
        <v>0</v>
      </c>
      <c r="Q8617" t="n">
        <v>0</v>
      </c>
      <c r="R8617" s="2" t="inlineStr"/>
    </row>
    <row r="8618" ht="15" customHeight="1">
      <c r="A8618" t="inlineStr">
        <is>
          <t>A 2252-2026</t>
        </is>
      </c>
      <c r="B8618" s="1" t="n">
        <v>46034</v>
      </c>
      <c r="C8618" s="1" t="n">
        <v>46075</v>
      </c>
      <c r="D8618" t="inlineStr">
        <is>
          <t>VÄSTERBOTTENS LÄN</t>
        </is>
      </c>
      <c r="E8618" t="inlineStr">
        <is>
          <t>UMEÅ</t>
        </is>
      </c>
      <c r="G8618" t="n">
        <v>10.7</v>
      </c>
      <c r="H8618" t="n">
        <v>0</v>
      </c>
      <c r="I8618" t="n">
        <v>0</v>
      </c>
      <c r="J8618" t="n">
        <v>0</v>
      </c>
      <c r="K8618" t="n">
        <v>0</v>
      </c>
      <c r="L8618" t="n">
        <v>0</v>
      </c>
      <c r="M8618" t="n">
        <v>0</v>
      </c>
      <c r="N8618" t="n">
        <v>0</v>
      </c>
      <c r="O8618" t="n">
        <v>0</v>
      </c>
      <c r="P8618" t="n">
        <v>0</v>
      </c>
      <c r="Q8618" t="n">
        <v>0</v>
      </c>
      <c r="R8618" s="2" t="inlineStr"/>
    </row>
    <row r="8619" ht="15" customHeight="1">
      <c r="A8619" t="inlineStr">
        <is>
          <t>A 30574-2024</t>
        </is>
      </c>
      <c r="B8619" s="1" t="n">
        <v>45492.9580324074</v>
      </c>
      <c r="C8619" s="1" t="n">
        <v>46075</v>
      </c>
      <c r="D8619" t="inlineStr">
        <is>
          <t>VÄSTERBOTTENS LÄN</t>
        </is>
      </c>
      <c r="E8619" t="inlineStr">
        <is>
          <t>VILHELMINA</t>
        </is>
      </c>
      <c r="F8619" t="inlineStr">
        <is>
          <t>SCA</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30584-2024</t>
        </is>
      </c>
      <c r="B8620" s="1" t="n">
        <v>45492.96185185185</v>
      </c>
      <c r="C8620" s="1" t="n">
        <v>46075</v>
      </c>
      <c r="D8620" t="inlineStr">
        <is>
          <t>VÄSTERBOTTENS LÄN</t>
        </is>
      </c>
      <c r="E8620" t="inlineStr">
        <is>
          <t>STORUMAN</t>
        </is>
      </c>
      <c r="F8620" t="inlineStr">
        <is>
          <t>SCA</t>
        </is>
      </c>
      <c r="G8620" t="n">
        <v>1.9</v>
      </c>
      <c r="H8620" t="n">
        <v>0</v>
      </c>
      <c r="I8620" t="n">
        <v>0</v>
      </c>
      <c r="J8620" t="n">
        <v>0</v>
      </c>
      <c r="K8620" t="n">
        <v>0</v>
      </c>
      <c r="L8620" t="n">
        <v>0</v>
      </c>
      <c r="M8620" t="n">
        <v>0</v>
      </c>
      <c r="N8620" t="n">
        <v>0</v>
      </c>
      <c r="O8620" t="n">
        <v>0</v>
      </c>
      <c r="P8620" t="n">
        <v>0</v>
      </c>
      <c r="Q8620" t="n">
        <v>0</v>
      </c>
      <c r="R8620" s="2" t="inlineStr"/>
    </row>
    <row r="8621" ht="15" customHeight="1">
      <c r="A8621" t="inlineStr">
        <is>
          <t>A 3845-2026</t>
        </is>
      </c>
      <c r="B8621" s="1" t="n">
        <v>46043.6028125</v>
      </c>
      <c r="C8621" s="1" t="n">
        <v>46075</v>
      </c>
      <c r="D8621" t="inlineStr">
        <is>
          <t>VÄSTERBOTTENS LÄN</t>
        </is>
      </c>
      <c r="E8621" t="inlineStr">
        <is>
          <t>DOROTEA</t>
        </is>
      </c>
      <c r="F8621" t="inlineStr">
        <is>
          <t>SCA</t>
        </is>
      </c>
      <c r="G8621" t="n">
        <v>5.5</v>
      </c>
      <c r="H8621" t="n">
        <v>0</v>
      </c>
      <c r="I8621" t="n">
        <v>0</v>
      </c>
      <c r="J8621" t="n">
        <v>0</v>
      </c>
      <c r="K8621" t="n">
        <v>0</v>
      </c>
      <c r="L8621" t="n">
        <v>0</v>
      </c>
      <c r="M8621" t="n">
        <v>0</v>
      </c>
      <c r="N8621" t="n">
        <v>0</v>
      </c>
      <c r="O8621" t="n">
        <v>0</v>
      </c>
      <c r="P8621" t="n">
        <v>0</v>
      </c>
      <c r="Q8621" t="n">
        <v>0</v>
      </c>
      <c r="R8621" s="2" t="inlineStr"/>
    </row>
    <row r="8622" ht="15" customHeight="1">
      <c r="A8622" t="inlineStr">
        <is>
          <t>A 55722-2023</t>
        </is>
      </c>
      <c r="B8622" s="1" t="n">
        <v>45232</v>
      </c>
      <c r="C8622" s="1" t="n">
        <v>46075</v>
      </c>
      <c r="D8622" t="inlineStr">
        <is>
          <t>VÄSTERBOTTENS LÄN</t>
        </is>
      </c>
      <c r="E8622" t="inlineStr">
        <is>
          <t>VILHELMINA</t>
        </is>
      </c>
      <c r="G8622" t="n">
        <v>5.8</v>
      </c>
      <c r="H8622" t="n">
        <v>0</v>
      </c>
      <c r="I8622" t="n">
        <v>0</v>
      </c>
      <c r="J8622" t="n">
        <v>0</v>
      </c>
      <c r="K8622" t="n">
        <v>0</v>
      </c>
      <c r="L8622" t="n">
        <v>0</v>
      </c>
      <c r="M8622" t="n">
        <v>0</v>
      </c>
      <c r="N8622" t="n">
        <v>0</v>
      </c>
      <c r="O8622" t="n">
        <v>0</v>
      </c>
      <c r="P8622" t="n">
        <v>0</v>
      </c>
      <c r="Q8622" t="n">
        <v>0</v>
      </c>
      <c r="R8622" s="2" t="inlineStr"/>
    </row>
    <row r="8623" ht="15" customHeight="1">
      <c r="A8623" t="inlineStr">
        <is>
          <t>A 61218-2025</t>
        </is>
      </c>
      <c r="B8623" s="1" t="n">
        <v>46000.6234837963</v>
      </c>
      <c r="C8623" s="1" t="n">
        <v>46075</v>
      </c>
      <c r="D8623" t="inlineStr">
        <is>
          <t>VÄSTERBOTTENS LÄN</t>
        </is>
      </c>
      <c r="E8623" t="inlineStr">
        <is>
          <t>UMEÅ</t>
        </is>
      </c>
      <c r="F8623" t="inlineStr">
        <is>
          <t>Sveaskog</t>
        </is>
      </c>
      <c r="G8623" t="n">
        <v>2.7</v>
      </c>
      <c r="H8623" t="n">
        <v>0</v>
      </c>
      <c r="I8623" t="n">
        <v>0</v>
      </c>
      <c r="J8623" t="n">
        <v>0</v>
      </c>
      <c r="K8623" t="n">
        <v>0</v>
      </c>
      <c r="L8623" t="n">
        <v>0</v>
      </c>
      <c r="M8623" t="n">
        <v>0</v>
      </c>
      <c r="N8623" t="n">
        <v>0</v>
      </c>
      <c r="O8623" t="n">
        <v>0</v>
      </c>
      <c r="P8623" t="n">
        <v>0</v>
      </c>
      <c r="Q8623" t="n">
        <v>0</v>
      </c>
      <c r="R8623" s="2" t="inlineStr"/>
    </row>
    <row r="8624" ht="15" customHeight="1">
      <c r="A8624" t="inlineStr">
        <is>
          <t>A 61220-2025</t>
        </is>
      </c>
      <c r="B8624" s="1" t="n">
        <v>46000.62729166666</v>
      </c>
      <c r="C8624" s="1" t="n">
        <v>46075</v>
      </c>
      <c r="D8624" t="inlineStr">
        <is>
          <t>VÄSTERBOTTENS LÄN</t>
        </is>
      </c>
      <c r="E8624" t="inlineStr">
        <is>
          <t>STORUMAN</t>
        </is>
      </c>
      <c r="G8624" t="n">
        <v>4.5</v>
      </c>
      <c r="H8624" t="n">
        <v>0</v>
      </c>
      <c r="I8624" t="n">
        <v>0</v>
      </c>
      <c r="J8624" t="n">
        <v>0</v>
      </c>
      <c r="K8624" t="n">
        <v>0</v>
      </c>
      <c r="L8624" t="n">
        <v>0</v>
      </c>
      <c r="M8624" t="n">
        <v>0</v>
      </c>
      <c r="N8624" t="n">
        <v>0</v>
      </c>
      <c r="O8624" t="n">
        <v>0</v>
      </c>
      <c r="P8624" t="n">
        <v>0</v>
      </c>
      <c r="Q8624" t="n">
        <v>0</v>
      </c>
      <c r="R8624" s="2" t="inlineStr"/>
    </row>
    <row r="8625" ht="15" customHeight="1">
      <c r="A8625" t="inlineStr">
        <is>
          <t>A 57799-2023</t>
        </is>
      </c>
      <c r="B8625" s="1" t="n">
        <v>45246.96910879629</v>
      </c>
      <c r="C8625" s="1" t="n">
        <v>46075</v>
      </c>
      <c r="D8625" t="inlineStr">
        <is>
          <t>VÄSTERBOTTENS LÄN</t>
        </is>
      </c>
      <c r="E8625" t="inlineStr">
        <is>
          <t>BJURHOLM</t>
        </is>
      </c>
      <c r="F8625" t="inlineStr">
        <is>
          <t>SCA</t>
        </is>
      </c>
      <c r="G8625" t="n">
        <v>0.8</v>
      </c>
      <c r="H8625" t="n">
        <v>0</v>
      </c>
      <c r="I8625" t="n">
        <v>0</v>
      </c>
      <c r="J8625" t="n">
        <v>0</v>
      </c>
      <c r="K8625" t="n">
        <v>0</v>
      </c>
      <c r="L8625" t="n">
        <v>0</v>
      </c>
      <c r="M8625" t="n">
        <v>0</v>
      </c>
      <c r="N8625" t="n">
        <v>0</v>
      </c>
      <c r="O8625" t="n">
        <v>0</v>
      </c>
      <c r="P8625" t="n">
        <v>0</v>
      </c>
      <c r="Q8625" t="n">
        <v>0</v>
      </c>
      <c r="R8625" s="2" t="inlineStr"/>
    </row>
    <row r="8626" ht="15" customHeight="1">
      <c r="A8626" t="inlineStr">
        <is>
          <t>A 57800-2023</t>
        </is>
      </c>
      <c r="B8626" s="1" t="n">
        <v>45246.96921296296</v>
      </c>
      <c r="C8626" s="1" t="n">
        <v>46075</v>
      </c>
      <c r="D8626" t="inlineStr">
        <is>
          <t>VÄSTERBOTTENS LÄN</t>
        </is>
      </c>
      <c r="E8626" t="inlineStr">
        <is>
          <t>ÅSELE</t>
        </is>
      </c>
      <c r="F8626" t="inlineStr">
        <is>
          <t>SCA</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61223-2025</t>
        </is>
      </c>
      <c r="B8627" s="1" t="n">
        <v>46000.62924768519</v>
      </c>
      <c r="C8627" s="1" t="n">
        <v>46075</v>
      </c>
      <c r="D8627" t="inlineStr">
        <is>
          <t>VÄSTERBOTTENS LÄN</t>
        </is>
      </c>
      <c r="E8627" t="inlineStr">
        <is>
          <t>UMEÅ</t>
        </is>
      </c>
      <c r="F8627" t="inlineStr">
        <is>
          <t>Sveaskog</t>
        </is>
      </c>
      <c r="G8627" t="n">
        <v>1.2</v>
      </c>
      <c r="H8627" t="n">
        <v>0</v>
      </c>
      <c r="I8627" t="n">
        <v>0</v>
      </c>
      <c r="J8627" t="n">
        <v>0</v>
      </c>
      <c r="K8627" t="n">
        <v>0</v>
      </c>
      <c r="L8627" t="n">
        <v>0</v>
      </c>
      <c r="M8627" t="n">
        <v>0</v>
      </c>
      <c r="N8627" t="n">
        <v>0</v>
      </c>
      <c r="O8627" t="n">
        <v>0</v>
      </c>
      <c r="P8627" t="n">
        <v>0</v>
      </c>
      <c r="Q8627" t="n">
        <v>0</v>
      </c>
      <c r="R8627" s="2" t="inlineStr"/>
    </row>
    <row r="8628" ht="15" customHeight="1">
      <c r="A8628" t="inlineStr">
        <is>
          <t>A 56123-2024</t>
        </is>
      </c>
      <c r="B8628" s="1" t="n">
        <v>45624.46928240741</v>
      </c>
      <c r="C8628" s="1" t="n">
        <v>46075</v>
      </c>
      <c r="D8628" t="inlineStr">
        <is>
          <t>VÄSTERBOTTENS LÄN</t>
        </is>
      </c>
      <c r="E8628" t="inlineStr">
        <is>
          <t>LYCKSELE</t>
        </is>
      </c>
      <c r="F8628" t="inlineStr">
        <is>
          <t>SCA</t>
        </is>
      </c>
      <c r="G8628" t="n">
        <v>14.7</v>
      </c>
      <c r="H8628" t="n">
        <v>0</v>
      </c>
      <c r="I8628" t="n">
        <v>0</v>
      </c>
      <c r="J8628" t="n">
        <v>0</v>
      </c>
      <c r="K8628" t="n">
        <v>0</v>
      </c>
      <c r="L8628" t="n">
        <v>0</v>
      </c>
      <c r="M8628" t="n">
        <v>0</v>
      </c>
      <c r="N8628" t="n">
        <v>0</v>
      </c>
      <c r="O8628" t="n">
        <v>0</v>
      </c>
      <c r="P8628" t="n">
        <v>0</v>
      </c>
      <c r="Q8628" t="n">
        <v>0</v>
      </c>
      <c r="R8628" s="2" t="inlineStr"/>
    </row>
    <row r="8629" ht="15" customHeight="1">
      <c r="A8629" t="inlineStr">
        <is>
          <t>A 42557-2021</t>
        </is>
      </c>
      <c r="B8629" s="1" t="n">
        <v>44428</v>
      </c>
      <c r="C8629" s="1" t="n">
        <v>46075</v>
      </c>
      <c r="D8629" t="inlineStr">
        <is>
          <t>VÄSTERBOTTENS LÄN</t>
        </is>
      </c>
      <c r="E8629" t="inlineStr">
        <is>
          <t>SKELLEFTEÅ</t>
        </is>
      </c>
      <c r="G8629" t="n">
        <v>1.6</v>
      </c>
      <c r="H8629" t="n">
        <v>0</v>
      </c>
      <c r="I8629" t="n">
        <v>0</v>
      </c>
      <c r="J8629" t="n">
        <v>0</v>
      </c>
      <c r="K8629" t="n">
        <v>0</v>
      </c>
      <c r="L8629" t="n">
        <v>0</v>
      </c>
      <c r="M8629" t="n">
        <v>0</v>
      </c>
      <c r="N8629" t="n">
        <v>0</v>
      </c>
      <c r="O8629" t="n">
        <v>0</v>
      </c>
      <c r="P8629" t="n">
        <v>0</v>
      </c>
      <c r="Q8629" t="n">
        <v>0</v>
      </c>
      <c r="R8629" s="2" t="inlineStr"/>
    </row>
    <row r="8630" ht="15" customHeight="1">
      <c r="A8630" t="inlineStr">
        <is>
          <t>A 3517-2026</t>
        </is>
      </c>
      <c r="B8630" s="1" t="n">
        <v>46042.58849537037</v>
      </c>
      <c r="C8630" s="1" t="n">
        <v>46075</v>
      </c>
      <c r="D8630" t="inlineStr">
        <is>
          <t>VÄSTERBOTTENS LÄN</t>
        </is>
      </c>
      <c r="E8630" t="inlineStr">
        <is>
          <t>NORDMALING</t>
        </is>
      </c>
      <c r="G8630" t="n">
        <v>3.5</v>
      </c>
      <c r="H8630" t="n">
        <v>0</v>
      </c>
      <c r="I8630" t="n">
        <v>0</v>
      </c>
      <c r="J8630" t="n">
        <v>0</v>
      </c>
      <c r="K8630" t="n">
        <v>0</v>
      </c>
      <c r="L8630" t="n">
        <v>0</v>
      </c>
      <c r="M8630" t="n">
        <v>0</v>
      </c>
      <c r="N8630" t="n">
        <v>0</v>
      </c>
      <c r="O8630" t="n">
        <v>0</v>
      </c>
      <c r="P8630" t="n">
        <v>0</v>
      </c>
      <c r="Q8630" t="n">
        <v>0</v>
      </c>
      <c r="R8630" s="2" t="inlineStr"/>
    </row>
    <row r="8631" ht="15" customHeight="1">
      <c r="A8631" t="inlineStr">
        <is>
          <t>A 28273-2024</t>
        </is>
      </c>
      <c r="B8631" s="1" t="n">
        <v>45477.4503587963</v>
      </c>
      <c r="C8631" s="1" t="n">
        <v>46075</v>
      </c>
      <c r="D8631" t="inlineStr">
        <is>
          <t>VÄSTERBOTTENS LÄN</t>
        </is>
      </c>
      <c r="E8631" t="inlineStr">
        <is>
          <t>SKELLEFTEÅ</t>
        </is>
      </c>
      <c r="G8631" t="n">
        <v>2.8</v>
      </c>
      <c r="H8631" t="n">
        <v>0</v>
      </c>
      <c r="I8631" t="n">
        <v>0</v>
      </c>
      <c r="J8631" t="n">
        <v>0</v>
      </c>
      <c r="K8631" t="n">
        <v>0</v>
      </c>
      <c r="L8631" t="n">
        <v>0</v>
      </c>
      <c r="M8631" t="n">
        <v>0</v>
      </c>
      <c r="N8631" t="n">
        <v>0</v>
      </c>
      <c r="O8631" t="n">
        <v>0</v>
      </c>
      <c r="P8631" t="n">
        <v>0</v>
      </c>
      <c r="Q8631" t="n">
        <v>0</v>
      </c>
      <c r="R8631" s="2" t="inlineStr"/>
    </row>
    <row r="8632" ht="15" customHeight="1">
      <c r="A8632" t="inlineStr">
        <is>
          <t>A 3540-2026</t>
        </is>
      </c>
      <c r="B8632" s="1" t="n">
        <v>46042.63204861111</v>
      </c>
      <c r="C8632" s="1" t="n">
        <v>46075</v>
      </c>
      <c r="D8632" t="inlineStr">
        <is>
          <t>VÄSTERBOTTENS LÄN</t>
        </is>
      </c>
      <c r="E8632" t="inlineStr">
        <is>
          <t>VÄNNÄS</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3559-2026</t>
        </is>
      </c>
      <c r="B8633" s="1" t="n">
        <v>46042.67120370371</v>
      </c>
      <c r="C8633" s="1" t="n">
        <v>46075</v>
      </c>
      <c r="D8633" t="inlineStr">
        <is>
          <t>VÄSTERBOTTENS LÄN</t>
        </is>
      </c>
      <c r="E8633" t="inlineStr">
        <is>
          <t>DOROTEA</t>
        </is>
      </c>
      <c r="F8633" t="inlineStr">
        <is>
          <t>SCA</t>
        </is>
      </c>
      <c r="G8633" t="n">
        <v>12.9</v>
      </c>
      <c r="H8633" t="n">
        <v>0</v>
      </c>
      <c r="I8633" t="n">
        <v>0</v>
      </c>
      <c r="J8633" t="n">
        <v>0</v>
      </c>
      <c r="K8633" t="n">
        <v>0</v>
      </c>
      <c r="L8633" t="n">
        <v>0</v>
      </c>
      <c r="M8633" t="n">
        <v>0</v>
      </c>
      <c r="N8633" t="n">
        <v>0</v>
      </c>
      <c r="O8633" t="n">
        <v>0</v>
      </c>
      <c r="P8633" t="n">
        <v>0</v>
      </c>
      <c r="Q8633" t="n">
        <v>0</v>
      </c>
      <c r="R8633" s="2" t="inlineStr"/>
    </row>
    <row r="8634" ht="15" customHeight="1">
      <c r="A8634" t="inlineStr">
        <is>
          <t>A 3562-2026</t>
        </is>
      </c>
      <c r="B8634" s="1" t="n">
        <v>46042.67149305555</v>
      </c>
      <c r="C8634" s="1" t="n">
        <v>46075</v>
      </c>
      <c r="D8634" t="inlineStr">
        <is>
          <t>VÄSTERBOTTENS LÄN</t>
        </is>
      </c>
      <c r="E8634" t="inlineStr">
        <is>
          <t>STORUMAN</t>
        </is>
      </c>
      <c r="G8634" t="n">
        <v>3.2</v>
      </c>
      <c r="H8634" t="n">
        <v>0</v>
      </c>
      <c r="I8634" t="n">
        <v>0</v>
      </c>
      <c r="J8634" t="n">
        <v>0</v>
      </c>
      <c r="K8634" t="n">
        <v>0</v>
      </c>
      <c r="L8634" t="n">
        <v>0</v>
      </c>
      <c r="M8634" t="n">
        <v>0</v>
      </c>
      <c r="N8634" t="n">
        <v>0</v>
      </c>
      <c r="O8634" t="n">
        <v>0</v>
      </c>
      <c r="P8634" t="n">
        <v>0</v>
      </c>
      <c r="Q8634" t="n">
        <v>0</v>
      </c>
      <c r="R8634" s="2" t="inlineStr"/>
    </row>
    <row r="8635" ht="15" customHeight="1">
      <c r="A8635" t="inlineStr">
        <is>
          <t>A 55157-2024</t>
        </is>
      </c>
      <c r="B8635" s="1" t="n">
        <v>45618</v>
      </c>
      <c r="C8635" s="1" t="n">
        <v>46075</v>
      </c>
      <c r="D8635" t="inlineStr">
        <is>
          <t>VÄSTERBOTTENS LÄN</t>
        </is>
      </c>
      <c r="E8635" t="inlineStr">
        <is>
          <t>NORSJÖ</t>
        </is>
      </c>
      <c r="G8635" t="n">
        <v>4.1</v>
      </c>
      <c r="H8635" t="n">
        <v>0</v>
      </c>
      <c r="I8635" t="n">
        <v>0</v>
      </c>
      <c r="J8635" t="n">
        <v>0</v>
      </c>
      <c r="K8635" t="n">
        <v>0</v>
      </c>
      <c r="L8635" t="n">
        <v>0</v>
      </c>
      <c r="M8635" t="n">
        <v>0</v>
      </c>
      <c r="N8635" t="n">
        <v>0</v>
      </c>
      <c r="O8635" t="n">
        <v>0</v>
      </c>
      <c r="P8635" t="n">
        <v>0</v>
      </c>
      <c r="Q8635" t="n">
        <v>0</v>
      </c>
      <c r="R8635" s="2" t="inlineStr"/>
    </row>
    <row r="8636" ht="15" customHeight="1">
      <c r="A8636" t="inlineStr">
        <is>
          <t>A 39335-2024</t>
        </is>
      </c>
      <c r="B8636" s="1" t="n">
        <v>45551.43978009259</v>
      </c>
      <c r="C8636" s="1" t="n">
        <v>46075</v>
      </c>
      <c r="D8636" t="inlineStr">
        <is>
          <t>VÄSTERBOTTENS LÄN</t>
        </is>
      </c>
      <c r="E8636" t="inlineStr">
        <is>
          <t>NORSJÖ</t>
        </is>
      </c>
      <c r="F8636" t="inlineStr">
        <is>
          <t>Holmen skog AB</t>
        </is>
      </c>
      <c r="G8636" t="n">
        <v>5.7</v>
      </c>
      <c r="H8636" t="n">
        <v>0</v>
      </c>
      <c r="I8636" t="n">
        <v>0</v>
      </c>
      <c r="J8636" t="n">
        <v>0</v>
      </c>
      <c r="K8636" t="n">
        <v>0</v>
      </c>
      <c r="L8636" t="n">
        <v>0</v>
      </c>
      <c r="M8636" t="n">
        <v>0</v>
      </c>
      <c r="N8636" t="n">
        <v>0</v>
      </c>
      <c r="O8636" t="n">
        <v>0</v>
      </c>
      <c r="P8636" t="n">
        <v>0</v>
      </c>
      <c r="Q8636" t="n">
        <v>0</v>
      </c>
      <c r="R8636" s="2" t="inlineStr"/>
    </row>
    <row r="8637" ht="15" customHeight="1">
      <c r="A8637" t="inlineStr">
        <is>
          <t>A 39343-2024</t>
        </is>
      </c>
      <c r="B8637" s="1" t="n">
        <v>45551.44489583333</v>
      </c>
      <c r="C8637" s="1" t="n">
        <v>46075</v>
      </c>
      <c r="D8637" t="inlineStr">
        <is>
          <t>VÄSTERBOTTENS LÄN</t>
        </is>
      </c>
      <c r="E8637" t="inlineStr">
        <is>
          <t>NORSJÖ</t>
        </is>
      </c>
      <c r="F8637" t="inlineStr">
        <is>
          <t>Holmen skog AB</t>
        </is>
      </c>
      <c r="G8637" t="n">
        <v>6.1</v>
      </c>
      <c r="H8637" t="n">
        <v>0</v>
      </c>
      <c r="I8637" t="n">
        <v>0</v>
      </c>
      <c r="J8637" t="n">
        <v>0</v>
      </c>
      <c r="K8637" t="n">
        <v>0</v>
      </c>
      <c r="L8637" t="n">
        <v>0</v>
      </c>
      <c r="M8637" t="n">
        <v>0</v>
      </c>
      <c r="N8637" t="n">
        <v>0</v>
      </c>
      <c r="O8637" t="n">
        <v>0</v>
      </c>
      <c r="P8637" t="n">
        <v>0</v>
      </c>
      <c r="Q8637" t="n">
        <v>0</v>
      </c>
      <c r="R8637" s="2" t="inlineStr"/>
    </row>
    <row r="8638" ht="15" customHeight="1">
      <c r="A8638" t="inlineStr">
        <is>
          <t>A 61216-2025</t>
        </is>
      </c>
      <c r="B8638" s="1" t="n">
        <v>46000.62005787037</v>
      </c>
      <c r="C8638" s="1" t="n">
        <v>46075</v>
      </c>
      <c r="D8638" t="inlineStr">
        <is>
          <t>VÄSTERBOTTENS LÄN</t>
        </is>
      </c>
      <c r="E8638" t="inlineStr">
        <is>
          <t>VÄNNÄS</t>
        </is>
      </c>
      <c r="G8638" t="n">
        <v>4.2</v>
      </c>
      <c r="H8638" t="n">
        <v>0</v>
      </c>
      <c r="I8638" t="n">
        <v>0</v>
      </c>
      <c r="J8638" t="n">
        <v>0</v>
      </c>
      <c r="K8638" t="n">
        <v>0</v>
      </c>
      <c r="L8638" t="n">
        <v>0</v>
      </c>
      <c r="M8638" t="n">
        <v>0</v>
      </c>
      <c r="N8638" t="n">
        <v>0</v>
      </c>
      <c r="O8638" t="n">
        <v>0</v>
      </c>
      <c r="P8638" t="n">
        <v>0</v>
      </c>
      <c r="Q8638" t="n">
        <v>0</v>
      </c>
      <c r="R8638" s="2" t="inlineStr"/>
    </row>
    <row r="8639" ht="15" customHeight="1">
      <c r="A8639" t="inlineStr">
        <is>
          <t>A 15750-2023</t>
        </is>
      </c>
      <c r="B8639" s="1" t="n">
        <v>45021.6141087963</v>
      </c>
      <c r="C8639" s="1" t="n">
        <v>46075</v>
      </c>
      <c r="D8639" t="inlineStr">
        <is>
          <t>VÄSTERBOTTENS LÄN</t>
        </is>
      </c>
      <c r="E8639" t="inlineStr">
        <is>
          <t>NORDMALING</t>
        </is>
      </c>
      <c r="G8639" t="n">
        <v>0.9</v>
      </c>
      <c r="H8639" t="n">
        <v>0</v>
      </c>
      <c r="I8639" t="n">
        <v>0</v>
      </c>
      <c r="J8639" t="n">
        <v>0</v>
      </c>
      <c r="K8639" t="n">
        <v>0</v>
      </c>
      <c r="L8639" t="n">
        <v>0</v>
      </c>
      <c r="M8639" t="n">
        <v>0</v>
      </c>
      <c r="N8639" t="n">
        <v>0</v>
      </c>
      <c r="O8639" t="n">
        <v>0</v>
      </c>
      <c r="P8639" t="n">
        <v>0</v>
      </c>
      <c r="Q8639" t="n">
        <v>0</v>
      </c>
      <c r="R8639" s="2" t="inlineStr"/>
    </row>
    <row r="8640" ht="15" customHeight="1">
      <c r="A8640" t="inlineStr">
        <is>
          <t>A 52375-2023</t>
        </is>
      </c>
      <c r="B8640" s="1" t="n">
        <v>45224.75395833333</v>
      </c>
      <c r="C8640" s="1" t="n">
        <v>46075</v>
      </c>
      <c r="D8640" t="inlineStr">
        <is>
          <t>VÄSTERBOTTENS LÄN</t>
        </is>
      </c>
      <c r="E8640" t="inlineStr">
        <is>
          <t>BJURHOLM</t>
        </is>
      </c>
      <c r="G8640" t="n">
        <v>4.5</v>
      </c>
      <c r="H8640" t="n">
        <v>0</v>
      </c>
      <c r="I8640" t="n">
        <v>0</v>
      </c>
      <c r="J8640" t="n">
        <v>0</v>
      </c>
      <c r="K8640" t="n">
        <v>0</v>
      </c>
      <c r="L8640" t="n">
        <v>0</v>
      </c>
      <c r="M8640" t="n">
        <v>0</v>
      </c>
      <c r="N8640" t="n">
        <v>0</v>
      </c>
      <c r="O8640" t="n">
        <v>0</v>
      </c>
      <c r="P8640" t="n">
        <v>0</v>
      </c>
      <c r="Q8640" t="n">
        <v>0</v>
      </c>
      <c r="R8640" s="2" t="inlineStr"/>
    </row>
    <row r="8641" ht="15" customHeight="1">
      <c r="A8641" t="inlineStr">
        <is>
          <t>A 61107-2025</t>
        </is>
      </c>
      <c r="B8641" s="1" t="n">
        <v>46000.44934027778</v>
      </c>
      <c r="C8641" s="1" t="n">
        <v>46075</v>
      </c>
      <c r="D8641" t="inlineStr">
        <is>
          <t>VÄSTERBOTTENS LÄN</t>
        </is>
      </c>
      <c r="E8641" t="inlineStr">
        <is>
          <t>ROBERTSFORS</t>
        </is>
      </c>
      <c r="F8641" t="inlineStr">
        <is>
          <t>Sveaskog</t>
        </is>
      </c>
      <c r="G8641" t="n">
        <v>6.3</v>
      </c>
      <c r="H8641" t="n">
        <v>0</v>
      </c>
      <c r="I8641" t="n">
        <v>0</v>
      </c>
      <c r="J8641" t="n">
        <v>0</v>
      </c>
      <c r="K8641" t="n">
        <v>0</v>
      </c>
      <c r="L8641" t="n">
        <v>0</v>
      </c>
      <c r="M8641" t="n">
        <v>0</v>
      </c>
      <c r="N8641" t="n">
        <v>0</v>
      </c>
      <c r="O8641" t="n">
        <v>0</v>
      </c>
      <c r="P8641" t="n">
        <v>0</v>
      </c>
      <c r="Q8641" t="n">
        <v>0</v>
      </c>
      <c r="R8641" s="2" t="inlineStr"/>
    </row>
    <row r="8642" ht="15" customHeight="1">
      <c r="A8642" t="inlineStr">
        <is>
          <t>A 29454-2023</t>
        </is>
      </c>
      <c r="B8642" s="1" t="n">
        <v>45098</v>
      </c>
      <c r="C8642" s="1" t="n">
        <v>46075</v>
      </c>
      <c r="D8642" t="inlineStr">
        <is>
          <t>VÄSTERBOTTENS LÄN</t>
        </is>
      </c>
      <c r="E8642" t="inlineStr">
        <is>
          <t>UMEÅ</t>
        </is>
      </c>
      <c r="G8642" t="n">
        <v>5.7</v>
      </c>
      <c r="H8642" t="n">
        <v>0</v>
      </c>
      <c r="I8642" t="n">
        <v>0</v>
      </c>
      <c r="J8642" t="n">
        <v>0</v>
      </c>
      <c r="K8642" t="n">
        <v>0</v>
      </c>
      <c r="L8642" t="n">
        <v>0</v>
      </c>
      <c r="M8642" t="n">
        <v>0</v>
      </c>
      <c r="N8642" t="n">
        <v>0</v>
      </c>
      <c r="O8642" t="n">
        <v>0</v>
      </c>
      <c r="P8642" t="n">
        <v>0</v>
      </c>
      <c r="Q8642" t="n">
        <v>0</v>
      </c>
      <c r="R8642" s="2" t="inlineStr"/>
    </row>
    <row r="8643" ht="15" customHeight="1">
      <c r="A8643" t="inlineStr">
        <is>
          <t>A 17444-2023</t>
        </is>
      </c>
      <c r="B8643" s="1" t="n">
        <v>45035.94489583333</v>
      </c>
      <c r="C8643" s="1" t="n">
        <v>46075</v>
      </c>
      <c r="D8643" t="inlineStr">
        <is>
          <t>VÄSTERBOTTENS LÄN</t>
        </is>
      </c>
      <c r="E8643" t="inlineStr">
        <is>
          <t>SKELLEFTEÅ</t>
        </is>
      </c>
      <c r="F8643" t="inlineStr">
        <is>
          <t>SCA</t>
        </is>
      </c>
      <c r="G8643" t="n">
        <v>1.7</v>
      </c>
      <c r="H8643" t="n">
        <v>0</v>
      </c>
      <c r="I8643" t="n">
        <v>0</v>
      </c>
      <c r="J8643" t="n">
        <v>0</v>
      </c>
      <c r="K8643" t="n">
        <v>0</v>
      </c>
      <c r="L8643" t="n">
        <v>0</v>
      </c>
      <c r="M8643" t="n">
        <v>0</v>
      </c>
      <c r="N8643" t="n">
        <v>0</v>
      </c>
      <c r="O8643" t="n">
        <v>0</v>
      </c>
      <c r="P8643" t="n">
        <v>0</v>
      </c>
      <c r="Q8643" t="n">
        <v>0</v>
      </c>
      <c r="R8643" s="2" t="inlineStr"/>
    </row>
    <row r="8644" ht="15" customHeight="1">
      <c r="A8644" t="inlineStr">
        <is>
          <t>A 17462-2023</t>
        </is>
      </c>
      <c r="B8644" s="1" t="n">
        <v>45034</v>
      </c>
      <c r="C8644" s="1" t="n">
        <v>46075</v>
      </c>
      <c r="D8644" t="inlineStr">
        <is>
          <t>VÄSTERBOTTENS LÄN</t>
        </is>
      </c>
      <c r="E8644" t="inlineStr">
        <is>
          <t>NORDMALING</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29485-2023</t>
        </is>
      </c>
      <c r="B8645" s="1" t="n">
        <v>45106</v>
      </c>
      <c r="C8645" s="1" t="n">
        <v>46075</v>
      </c>
      <c r="D8645" t="inlineStr">
        <is>
          <t>VÄSTERBOTTENS LÄN</t>
        </is>
      </c>
      <c r="E8645" t="inlineStr">
        <is>
          <t>VÄNNÄS</t>
        </is>
      </c>
      <c r="G8645" t="n">
        <v>5.5</v>
      </c>
      <c r="H8645" t="n">
        <v>0</v>
      </c>
      <c r="I8645" t="n">
        <v>0</v>
      </c>
      <c r="J8645" t="n">
        <v>0</v>
      </c>
      <c r="K8645" t="n">
        <v>0</v>
      </c>
      <c r="L8645" t="n">
        <v>0</v>
      </c>
      <c r="M8645" t="n">
        <v>0</v>
      </c>
      <c r="N8645" t="n">
        <v>0</v>
      </c>
      <c r="O8645" t="n">
        <v>0</v>
      </c>
      <c r="P8645" t="n">
        <v>0</v>
      </c>
      <c r="Q8645" t="n">
        <v>0</v>
      </c>
      <c r="R8645" s="2" t="inlineStr"/>
    </row>
    <row r="8646" ht="15" customHeight="1">
      <c r="A8646" t="inlineStr">
        <is>
          <t>A 2573-2026</t>
        </is>
      </c>
      <c r="B8646" s="1" t="n">
        <v>46037.51077546296</v>
      </c>
      <c r="C8646" s="1" t="n">
        <v>46075</v>
      </c>
      <c r="D8646" t="inlineStr">
        <is>
          <t>VÄSTERBOTTENS LÄN</t>
        </is>
      </c>
      <c r="E8646" t="inlineStr">
        <is>
          <t>SKELLEFTEÅ</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61096-2025</t>
        </is>
      </c>
      <c r="B8647" s="1" t="n">
        <v>46000.43636574074</v>
      </c>
      <c r="C8647" s="1" t="n">
        <v>46075</v>
      </c>
      <c r="D8647" t="inlineStr">
        <is>
          <t>VÄSTERBOTTENS LÄN</t>
        </is>
      </c>
      <c r="E8647" t="inlineStr">
        <is>
          <t>LYCKSELE</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44371-2023</t>
        </is>
      </c>
      <c r="B8648" s="1" t="n">
        <v>45188</v>
      </c>
      <c r="C8648" s="1" t="n">
        <v>46075</v>
      </c>
      <c r="D8648" t="inlineStr">
        <is>
          <t>VÄSTERBOTTENS LÄN</t>
        </is>
      </c>
      <c r="E8648" t="inlineStr">
        <is>
          <t>VILHELMINA</t>
        </is>
      </c>
      <c r="G8648" t="n">
        <v>11</v>
      </c>
      <c r="H8648" t="n">
        <v>0</v>
      </c>
      <c r="I8648" t="n">
        <v>0</v>
      </c>
      <c r="J8648" t="n">
        <v>0</v>
      </c>
      <c r="K8648" t="n">
        <v>0</v>
      </c>
      <c r="L8648" t="n">
        <v>0</v>
      </c>
      <c r="M8648" t="n">
        <v>0</v>
      </c>
      <c r="N8648" t="n">
        <v>0</v>
      </c>
      <c r="O8648" t="n">
        <v>0</v>
      </c>
      <c r="P8648" t="n">
        <v>0</v>
      </c>
      <c r="Q8648" t="n">
        <v>0</v>
      </c>
      <c r="R8648" s="2" t="inlineStr"/>
    </row>
    <row r="8649" ht="15" customHeight="1">
      <c r="A8649" t="inlineStr">
        <is>
          <t>A 27852-2024</t>
        </is>
      </c>
      <c r="B8649" s="1" t="n">
        <v>45475</v>
      </c>
      <c r="C8649" s="1" t="n">
        <v>46075</v>
      </c>
      <c r="D8649" t="inlineStr">
        <is>
          <t>VÄSTERBOTTENS LÄN</t>
        </is>
      </c>
      <c r="E8649" t="inlineStr">
        <is>
          <t>ROBERTSFORS</t>
        </is>
      </c>
      <c r="G8649" t="n">
        <v>10.5</v>
      </c>
      <c r="H8649" t="n">
        <v>0</v>
      </c>
      <c r="I8649" t="n">
        <v>0</v>
      </c>
      <c r="J8649" t="n">
        <v>0</v>
      </c>
      <c r="K8649" t="n">
        <v>0</v>
      </c>
      <c r="L8649" t="n">
        <v>0</v>
      </c>
      <c r="M8649" t="n">
        <v>0</v>
      </c>
      <c r="N8649" t="n">
        <v>0</v>
      </c>
      <c r="O8649" t="n">
        <v>0</v>
      </c>
      <c r="P8649" t="n">
        <v>0</v>
      </c>
      <c r="Q8649" t="n">
        <v>0</v>
      </c>
      <c r="R8649" s="2" t="inlineStr"/>
    </row>
    <row r="8650" ht="15" customHeight="1">
      <c r="A8650" t="inlineStr">
        <is>
          <t>A 61339-2025</t>
        </is>
      </c>
      <c r="B8650" s="1" t="n">
        <v>46001.34778935185</v>
      </c>
      <c r="C8650" s="1" t="n">
        <v>46075</v>
      </c>
      <c r="D8650" t="inlineStr">
        <is>
          <t>VÄSTERBOTTENS LÄN</t>
        </is>
      </c>
      <c r="E8650" t="inlineStr">
        <is>
          <t>NORSJÖ</t>
        </is>
      </c>
      <c r="G8650" t="n">
        <v>2.4</v>
      </c>
      <c r="H8650" t="n">
        <v>0</v>
      </c>
      <c r="I8650" t="n">
        <v>0</v>
      </c>
      <c r="J8650" t="n">
        <v>0</v>
      </c>
      <c r="K8650" t="n">
        <v>0</v>
      </c>
      <c r="L8650" t="n">
        <v>0</v>
      </c>
      <c r="M8650" t="n">
        <v>0</v>
      </c>
      <c r="N8650" t="n">
        <v>0</v>
      </c>
      <c r="O8650" t="n">
        <v>0</v>
      </c>
      <c r="P8650" t="n">
        <v>0</v>
      </c>
      <c r="Q8650" t="n">
        <v>0</v>
      </c>
      <c r="R8650" s="2" t="inlineStr"/>
    </row>
    <row r="8651" ht="15" customHeight="1">
      <c r="A8651" t="inlineStr">
        <is>
          <t>A 61370-2025</t>
        </is>
      </c>
      <c r="B8651" s="1" t="n">
        <v>46001.43599537037</v>
      </c>
      <c r="C8651" s="1" t="n">
        <v>46075</v>
      </c>
      <c r="D8651" t="inlineStr">
        <is>
          <t>VÄSTERBOTTENS LÄN</t>
        </is>
      </c>
      <c r="E8651" t="inlineStr">
        <is>
          <t>BJURHOLM</t>
        </is>
      </c>
      <c r="G8651" t="n">
        <v>4.4</v>
      </c>
      <c r="H8651" t="n">
        <v>0</v>
      </c>
      <c r="I8651" t="n">
        <v>0</v>
      </c>
      <c r="J8651" t="n">
        <v>0</v>
      </c>
      <c r="K8651" t="n">
        <v>0</v>
      </c>
      <c r="L8651" t="n">
        <v>0</v>
      </c>
      <c r="M8651" t="n">
        <v>0</v>
      </c>
      <c r="N8651" t="n">
        <v>0</v>
      </c>
      <c r="O8651" t="n">
        <v>0</v>
      </c>
      <c r="P8651" t="n">
        <v>0</v>
      </c>
      <c r="Q8651" t="n">
        <v>0</v>
      </c>
      <c r="R8651" s="2" t="inlineStr"/>
    </row>
    <row r="8652" ht="15" customHeight="1">
      <c r="A8652" t="inlineStr">
        <is>
          <t>A 61403-2025</t>
        </is>
      </c>
      <c r="B8652" s="1" t="n">
        <v>46001.48989583334</v>
      </c>
      <c r="C8652" s="1" t="n">
        <v>46075</v>
      </c>
      <c r="D8652" t="inlineStr">
        <is>
          <t>VÄSTERBOTTENS LÄN</t>
        </is>
      </c>
      <c r="E8652" t="inlineStr">
        <is>
          <t>VÄNNÄS</t>
        </is>
      </c>
      <c r="G8652" t="n">
        <v>12.8</v>
      </c>
      <c r="H8652" t="n">
        <v>0</v>
      </c>
      <c r="I8652" t="n">
        <v>0</v>
      </c>
      <c r="J8652" t="n">
        <v>0</v>
      </c>
      <c r="K8652" t="n">
        <v>0</v>
      </c>
      <c r="L8652" t="n">
        <v>0</v>
      </c>
      <c r="M8652" t="n">
        <v>0</v>
      </c>
      <c r="N8652" t="n">
        <v>0</v>
      </c>
      <c r="O8652" t="n">
        <v>0</v>
      </c>
      <c r="P8652" t="n">
        <v>0</v>
      </c>
      <c r="Q8652" t="n">
        <v>0</v>
      </c>
      <c r="R8652" s="2" t="inlineStr"/>
    </row>
    <row r="8653" ht="15" customHeight="1">
      <c r="A8653" t="inlineStr">
        <is>
          <t>A 29085-2022</t>
        </is>
      </c>
      <c r="B8653" s="1" t="n">
        <v>44749</v>
      </c>
      <c r="C8653" s="1" t="n">
        <v>46075</v>
      </c>
      <c r="D8653" t="inlineStr">
        <is>
          <t>VÄSTERBOTTENS LÄN</t>
        </is>
      </c>
      <c r="E8653" t="inlineStr">
        <is>
          <t>SKELLEFTEÅ</t>
        </is>
      </c>
      <c r="G8653" t="n">
        <v>3.2</v>
      </c>
      <c r="H8653" t="n">
        <v>0</v>
      </c>
      <c r="I8653" t="n">
        <v>0</v>
      </c>
      <c r="J8653" t="n">
        <v>0</v>
      </c>
      <c r="K8653" t="n">
        <v>0</v>
      </c>
      <c r="L8653" t="n">
        <v>0</v>
      </c>
      <c r="M8653" t="n">
        <v>0</v>
      </c>
      <c r="N8653" t="n">
        <v>0</v>
      </c>
      <c r="O8653" t="n">
        <v>0</v>
      </c>
      <c r="P8653" t="n">
        <v>0</v>
      </c>
      <c r="Q8653" t="n">
        <v>0</v>
      </c>
      <c r="R8653" s="2" t="inlineStr"/>
    </row>
    <row r="8654" ht="15" customHeight="1">
      <c r="A8654" t="inlineStr">
        <is>
          <t>A 61519-2025</t>
        </is>
      </c>
      <c r="B8654" s="1" t="n">
        <v>46001.68630787037</v>
      </c>
      <c r="C8654" s="1" t="n">
        <v>46075</v>
      </c>
      <c r="D8654" t="inlineStr">
        <is>
          <t>VÄSTERBOTTENS LÄN</t>
        </is>
      </c>
      <c r="E8654" t="inlineStr">
        <is>
          <t>ÅSELE</t>
        </is>
      </c>
      <c r="F8654" t="inlineStr">
        <is>
          <t>SCA</t>
        </is>
      </c>
      <c r="G8654" t="n">
        <v>17.4</v>
      </c>
      <c r="H8654" t="n">
        <v>0</v>
      </c>
      <c r="I8654" t="n">
        <v>0</v>
      </c>
      <c r="J8654" t="n">
        <v>0</v>
      </c>
      <c r="K8654" t="n">
        <v>0</v>
      </c>
      <c r="L8654" t="n">
        <v>0</v>
      </c>
      <c r="M8654" t="n">
        <v>0</v>
      </c>
      <c r="N8654" t="n">
        <v>0</v>
      </c>
      <c r="O8654" t="n">
        <v>0</v>
      </c>
      <c r="P8654" t="n">
        <v>0</v>
      </c>
      <c r="Q8654" t="n">
        <v>0</v>
      </c>
      <c r="R8654" s="2" t="inlineStr"/>
    </row>
    <row r="8655" ht="15" customHeight="1">
      <c r="A8655" t="inlineStr">
        <is>
          <t>A 61360-2025</t>
        </is>
      </c>
      <c r="B8655" s="1" t="n">
        <v>46001.4212962963</v>
      </c>
      <c r="C8655" s="1" t="n">
        <v>46075</v>
      </c>
      <c r="D8655" t="inlineStr">
        <is>
          <t>VÄSTERBOTTENS LÄN</t>
        </is>
      </c>
      <c r="E8655" t="inlineStr">
        <is>
          <t>BJURHOLM</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19765-2024</t>
        </is>
      </c>
      <c r="B8656" s="1" t="n">
        <v>45432.70289351852</v>
      </c>
      <c r="C8656" s="1" t="n">
        <v>46075</v>
      </c>
      <c r="D8656" t="inlineStr">
        <is>
          <t>VÄSTERBOTTENS LÄN</t>
        </is>
      </c>
      <c r="E8656" t="inlineStr">
        <is>
          <t>LYCKSELE</t>
        </is>
      </c>
      <c r="G8656" t="n">
        <v>3.7</v>
      </c>
      <c r="H8656" t="n">
        <v>0</v>
      </c>
      <c r="I8656" t="n">
        <v>0</v>
      </c>
      <c r="J8656" t="n">
        <v>0</v>
      </c>
      <c r="K8656" t="n">
        <v>0</v>
      </c>
      <c r="L8656" t="n">
        <v>0</v>
      </c>
      <c r="M8656" t="n">
        <v>0</v>
      </c>
      <c r="N8656" t="n">
        <v>0</v>
      </c>
      <c r="O8656" t="n">
        <v>0</v>
      </c>
      <c r="P8656" t="n">
        <v>0</v>
      </c>
      <c r="Q8656" t="n">
        <v>0</v>
      </c>
      <c r="R8656" s="2" t="inlineStr"/>
    </row>
    <row r="8657" ht="15" customHeight="1">
      <c r="A8657" t="inlineStr">
        <is>
          <t>A 19782-2024</t>
        </is>
      </c>
      <c r="B8657" s="1" t="n">
        <v>45432</v>
      </c>
      <c r="C8657" s="1" t="n">
        <v>46075</v>
      </c>
      <c r="D8657" t="inlineStr">
        <is>
          <t>VÄSTERBOTTENS LÄN</t>
        </is>
      </c>
      <c r="E8657" t="inlineStr">
        <is>
          <t>SKELLEFTEÅ</t>
        </is>
      </c>
      <c r="G8657" t="n">
        <v>0.4</v>
      </c>
      <c r="H8657" t="n">
        <v>0</v>
      </c>
      <c r="I8657" t="n">
        <v>0</v>
      </c>
      <c r="J8657" t="n">
        <v>0</v>
      </c>
      <c r="K8657" t="n">
        <v>0</v>
      </c>
      <c r="L8657" t="n">
        <v>0</v>
      </c>
      <c r="M8657" t="n">
        <v>0</v>
      </c>
      <c r="N8657" t="n">
        <v>0</v>
      </c>
      <c r="O8657" t="n">
        <v>0</v>
      </c>
      <c r="P8657" t="n">
        <v>0</v>
      </c>
      <c r="Q8657" t="n">
        <v>0</v>
      </c>
      <c r="R8657" s="2" t="inlineStr"/>
    </row>
    <row r="8658" ht="15" customHeight="1">
      <c r="A8658" t="inlineStr">
        <is>
          <t>A 61385-2025</t>
        </is>
      </c>
      <c r="B8658" s="1" t="n">
        <v>46001.45038194444</v>
      </c>
      <c r="C8658" s="1" t="n">
        <v>46075</v>
      </c>
      <c r="D8658" t="inlineStr">
        <is>
          <t>VÄSTERBOTTENS LÄN</t>
        </is>
      </c>
      <c r="E8658" t="inlineStr">
        <is>
          <t>BJURHOLM</t>
        </is>
      </c>
      <c r="G8658" t="n">
        <v>1.9</v>
      </c>
      <c r="H8658" t="n">
        <v>0</v>
      </c>
      <c r="I8658" t="n">
        <v>0</v>
      </c>
      <c r="J8658" t="n">
        <v>0</v>
      </c>
      <c r="K8658" t="n">
        <v>0</v>
      </c>
      <c r="L8658" t="n">
        <v>0</v>
      </c>
      <c r="M8658" t="n">
        <v>0</v>
      </c>
      <c r="N8658" t="n">
        <v>0</v>
      </c>
      <c r="O8658" t="n">
        <v>0</v>
      </c>
      <c r="P8658" t="n">
        <v>0</v>
      </c>
      <c r="Q8658" t="n">
        <v>0</v>
      </c>
      <c r="R8658" s="2" t="inlineStr"/>
    </row>
    <row r="8659" ht="15" customHeight="1">
      <c r="A8659" t="inlineStr">
        <is>
          <t>A 61438-2025</t>
        </is>
      </c>
      <c r="B8659" s="1" t="n">
        <v>46001.56597222222</v>
      </c>
      <c r="C8659" s="1" t="n">
        <v>46075</v>
      </c>
      <c r="D8659" t="inlineStr">
        <is>
          <t>VÄSTERBOTTENS LÄN</t>
        </is>
      </c>
      <c r="E8659" t="inlineStr">
        <is>
          <t>SKELLEFTEÅ</t>
        </is>
      </c>
      <c r="F8659" t="inlineStr">
        <is>
          <t>Kommuner</t>
        </is>
      </c>
      <c r="G8659" t="n">
        <v>7.1</v>
      </c>
      <c r="H8659" t="n">
        <v>0</v>
      </c>
      <c r="I8659" t="n">
        <v>0</v>
      </c>
      <c r="J8659" t="n">
        <v>0</v>
      </c>
      <c r="K8659" t="n">
        <v>0</v>
      </c>
      <c r="L8659" t="n">
        <v>0</v>
      </c>
      <c r="M8659" t="n">
        <v>0</v>
      </c>
      <c r="N8659" t="n">
        <v>0</v>
      </c>
      <c r="O8659" t="n">
        <v>0</v>
      </c>
      <c r="P8659" t="n">
        <v>0</v>
      </c>
      <c r="Q8659" t="n">
        <v>0</v>
      </c>
      <c r="R8659" s="2" t="inlineStr"/>
    </row>
    <row r="8660" ht="15" customHeight="1">
      <c r="A8660" t="inlineStr">
        <is>
          <t>A 61462-2025</t>
        </is>
      </c>
      <c r="B8660" s="1" t="n">
        <v>46001.59894675926</v>
      </c>
      <c r="C8660" s="1" t="n">
        <v>46075</v>
      </c>
      <c r="D8660" t="inlineStr">
        <is>
          <t>VÄSTERBOTTENS LÄN</t>
        </is>
      </c>
      <c r="E8660" t="inlineStr">
        <is>
          <t>ÅSELE</t>
        </is>
      </c>
      <c r="F8660" t="inlineStr">
        <is>
          <t>Sveaskog</t>
        </is>
      </c>
      <c r="G8660" t="n">
        <v>1.4</v>
      </c>
      <c r="H8660" t="n">
        <v>0</v>
      </c>
      <c r="I8660" t="n">
        <v>0</v>
      </c>
      <c r="J8660" t="n">
        <v>0</v>
      </c>
      <c r="K8660" t="n">
        <v>0</v>
      </c>
      <c r="L8660" t="n">
        <v>0</v>
      </c>
      <c r="M8660" t="n">
        <v>0</v>
      </c>
      <c r="N8660" t="n">
        <v>0</v>
      </c>
      <c r="O8660" t="n">
        <v>0</v>
      </c>
      <c r="P8660" t="n">
        <v>0</v>
      </c>
      <c r="Q8660" t="n">
        <v>0</v>
      </c>
      <c r="R8660" s="2" t="inlineStr"/>
    </row>
    <row r="8661" ht="15" customHeight="1">
      <c r="A8661" t="inlineStr">
        <is>
          <t>A 13025-2024</t>
        </is>
      </c>
      <c r="B8661" s="1" t="n">
        <v>45385</v>
      </c>
      <c r="C8661" s="1" t="n">
        <v>46075</v>
      </c>
      <c r="D8661" t="inlineStr">
        <is>
          <t>VÄSTERBOTTENS LÄN</t>
        </is>
      </c>
      <c r="E8661" t="inlineStr">
        <is>
          <t>VINDELN</t>
        </is>
      </c>
      <c r="G8661" t="n">
        <v>0.8</v>
      </c>
      <c r="H8661" t="n">
        <v>0</v>
      </c>
      <c r="I8661" t="n">
        <v>0</v>
      </c>
      <c r="J8661" t="n">
        <v>0</v>
      </c>
      <c r="K8661" t="n">
        <v>0</v>
      </c>
      <c r="L8661" t="n">
        <v>0</v>
      </c>
      <c r="M8661" t="n">
        <v>0</v>
      </c>
      <c r="N8661" t="n">
        <v>0</v>
      </c>
      <c r="O8661" t="n">
        <v>0</v>
      </c>
      <c r="P8661" t="n">
        <v>0</v>
      </c>
      <c r="Q8661" t="n">
        <v>0</v>
      </c>
      <c r="R8661" s="2" t="inlineStr"/>
    </row>
    <row r="8662" ht="15" customHeight="1">
      <c r="A8662" t="inlineStr">
        <is>
          <t>A 61426-2025</t>
        </is>
      </c>
      <c r="B8662" s="1" t="n">
        <v>46001.54938657407</v>
      </c>
      <c r="C8662" s="1" t="n">
        <v>46075</v>
      </c>
      <c r="D8662" t="inlineStr">
        <is>
          <t>VÄSTERBOTTENS LÄN</t>
        </is>
      </c>
      <c r="E8662" t="inlineStr">
        <is>
          <t>VILHELMINA</t>
        </is>
      </c>
      <c r="G8662" t="n">
        <v>12.2</v>
      </c>
      <c r="H8662" t="n">
        <v>0</v>
      </c>
      <c r="I8662" t="n">
        <v>0</v>
      </c>
      <c r="J8662" t="n">
        <v>0</v>
      </c>
      <c r="K8662" t="n">
        <v>0</v>
      </c>
      <c r="L8662" t="n">
        <v>0</v>
      </c>
      <c r="M8662" t="n">
        <v>0</v>
      </c>
      <c r="N8662" t="n">
        <v>0</v>
      </c>
      <c r="O8662" t="n">
        <v>0</v>
      </c>
      <c r="P8662" t="n">
        <v>0</v>
      </c>
      <c r="Q8662" t="n">
        <v>0</v>
      </c>
      <c r="R8662" s="2" t="inlineStr"/>
    </row>
    <row r="8663" ht="15" customHeight="1">
      <c r="A8663" t="inlineStr">
        <is>
          <t>A 28540-2023</t>
        </is>
      </c>
      <c r="B8663" s="1" t="n">
        <v>45103.49182870371</v>
      </c>
      <c r="C8663" s="1" t="n">
        <v>46075</v>
      </c>
      <c r="D8663" t="inlineStr">
        <is>
          <t>VÄSTERBOTTENS LÄN</t>
        </is>
      </c>
      <c r="E8663" t="inlineStr">
        <is>
          <t>LYCKSELE</t>
        </is>
      </c>
      <c r="F8663" t="inlineStr">
        <is>
          <t>Sveaskog</t>
        </is>
      </c>
      <c r="G8663" t="n">
        <v>6.8</v>
      </c>
      <c r="H8663" t="n">
        <v>0</v>
      </c>
      <c r="I8663" t="n">
        <v>0</v>
      </c>
      <c r="J8663" t="n">
        <v>0</v>
      </c>
      <c r="K8663" t="n">
        <v>0</v>
      </c>
      <c r="L8663" t="n">
        <v>0</v>
      </c>
      <c r="M8663" t="n">
        <v>0</v>
      </c>
      <c r="N8663" t="n">
        <v>0</v>
      </c>
      <c r="O8663" t="n">
        <v>0</v>
      </c>
      <c r="P8663" t="n">
        <v>0</v>
      </c>
      <c r="Q8663" t="n">
        <v>0</v>
      </c>
      <c r="R8663" s="2" t="inlineStr"/>
    </row>
    <row r="8664" ht="15" customHeight="1">
      <c r="A8664" t="inlineStr">
        <is>
          <t>A 3576-2026</t>
        </is>
      </c>
      <c r="B8664" s="1" t="n">
        <v>46042.71438657407</v>
      </c>
      <c r="C8664" s="1" t="n">
        <v>46075</v>
      </c>
      <c r="D8664" t="inlineStr">
        <is>
          <t>VÄSTERBOTTENS LÄN</t>
        </is>
      </c>
      <c r="E8664" t="inlineStr">
        <is>
          <t>ROBERTSFORS</t>
        </is>
      </c>
      <c r="G8664" t="n">
        <v>4.2</v>
      </c>
      <c r="H8664" t="n">
        <v>0</v>
      </c>
      <c r="I8664" t="n">
        <v>0</v>
      </c>
      <c r="J8664" t="n">
        <v>0</v>
      </c>
      <c r="K8664" t="n">
        <v>0</v>
      </c>
      <c r="L8664" t="n">
        <v>0</v>
      </c>
      <c r="M8664" t="n">
        <v>0</v>
      </c>
      <c r="N8664" t="n">
        <v>0</v>
      </c>
      <c r="O8664" t="n">
        <v>0</v>
      </c>
      <c r="P8664" t="n">
        <v>0</v>
      </c>
      <c r="Q8664" t="n">
        <v>0</v>
      </c>
      <c r="R8664" s="2" t="inlineStr"/>
    </row>
    <row r="8665" ht="15" customHeight="1">
      <c r="A8665" t="inlineStr">
        <is>
          <t>A 64498-2023</t>
        </is>
      </c>
      <c r="B8665" s="1" t="n">
        <v>45280.94288194444</v>
      </c>
      <c r="C8665" s="1" t="n">
        <v>46075</v>
      </c>
      <c r="D8665" t="inlineStr">
        <is>
          <t>VÄSTERBOTTENS LÄN</t>
        </is>
      </c>
      <c r="E8665" t="inlineStr">
        <is>
          <t>NORDMALING</t>
        </is>
      </c>
      <c r="F8665" t="inlineStr">
        <is>
          <t>SCA</t>
        </is>
      </c>
      <c r="G8665" t="n">
        <v>5</v>
      </c>
      <c r="H8665" t="n">
        <v>0</v>
      </c>
      <c r="I8665" t="n">
        <v>0</v>
      </c>
      <c r="J8665" t="n">
        <v>0</v>
      </c>
      <c r="K8665" t="n">
        <v>0</v>
      </c>
      <c r="L8665" t="n">
        <v>0</v>
      </c>
      <c r="M8665" t="n">
        <v>0</v>
      </c>
      <c r="N8665" t="n">
        <v>0</v>
      </c>
      <c r="O8665" t="n">
        <v>0</v>
      </c>
      <c r="P8665" t="n">
        <v>0</v>
      </c>
      <c r="Q8665" t="n">
        <v>0</v>
      </c>
      <c r="R8665" s="2" t="inlineStr"/>
    </row>
    <row r="8666" ht="15" customHeight="1">
      <c r="A8666" t="inlineStr">
        <is>
          <t>A 37901-2023</t>
        </is>
      </c>
      <c r="B8666" s="1" t="n">
        <v>45160.4729050926</v>
      </c>
      <c r="C8666" s="1" t="n">
        <v>46075</v>
      </c>
      <c r="D8666" t="inlineStr">
        <is>
          <t>VÄSTERBOTTENS LÄN</t>
        </is>
      </c>
      <c r="E8666" t="inlineStr">
        <is>
          <t>ROBERTSFORS</t>
        </is>
      </c>
      <c r="F8666" t="inlineStr">
        <is>
          <t>Holmen skog AB</t>
        </is>
      </c>
      <c r="G8666" t="n">
        <v>3.5</v>
      </c>
      <c r="H8666" t="n">
        <v>0</v>
      </c>
      <c r="I8666" t="n">
        <v>0</v>
      </c>
      <c r="J8666" t="n">
        <v>0</v>
      </c>
      <c r="K8666" t="n">
        <v>0</v>
      </c>
      <c r="L8666" t="n">
        <v>0</v>
      </c>
      <c r="M8666" t="n">
        <v>0</v>
      </c>
      <c r="N8666" t="n">
        <v>0</v>
      </c>
      <c r="O8666" t="n">
        <v>0</v>
      </c>
      <c r="P8666" t="n">
        <v>0</v>
      </c>
      <c r="Q8666" t="n">
        <v>0</v>
      </c>
      <c r="R8666" s="2" t="inlineStr"/>
    </row>
    <row r="8667" ht="15" customHeight="1">
      <c r="A8667" t="inlineStr">
        <is>
          <t>A 64503-2023</t>
        </is>
      </c>
      <c r="B8667" s="1" t="n">
        <v>45280.94380787037</v>
      </c>
      <c r="C8667" s="1" t="n">
        <v>46075</v>
      </c>
      <c r="D8667" t="inlineStr">
        <is>
          <t>VÄSTERBOTTENS LÄN</t>
        </is>
      </c>
      <c r="E8667" t="inlineStr">
        <is>
          <t>BJURHOLM</t>
        </is>
      </c>
      <c r="F8667" t="inlineStr">
        <is>
          <t>SCA</t>
        </is>
      </c>
      <c r="G8667" t="n">
        <v>2.9</v>
      </c>
      <c r="H8667" t="n">
        <v>0</v>
      </c>
      <c r="I8667" t="n">
        <v>0</v>
      </c>
      <c r="J8667" t="n">
        <v>0</v>
      </c>
      <c r="K8667" t="n">
        <v>0</v>
      </c>
      <c r="L8667" t="n">
        <v>0</v>
      </c>
      <c r="M8667" t="n">
        <v>0</v>
      </c>
      <c r="N8667" t="n">
        <v>0</v>
      </c>
      <c r="O8667" t="n">
        <v>0</v>
      </c>
      <c r="P8667" t="n">
        <v>0</v>
      </c>
      <c r="Q8667" t="n">
        <v>0</v>
      </c>
      <c r="R8667" s="2" t="inlineStr"/>
    </row>
    <row r="8668" ht="15" customHeight="1">
      <c r="A8668" t="inlineStr">
        <is>
          <t>A 3601-2026</t>
        </is>
      </c>
      <c r="B8668" s="1" t="n">
        <v>46042.81972222222</v>
      </c>
      <c r="C8668" s="1" t="n">
        <v>46075</v>
      </c>
      <c r="D8668" t="inlineStr">
        <is>
          <t>VÄSTERBOTTENS LÄN</t>
        </is>
      </c>
      <c r="E8668" t="inlineStr">
        <is>
          <t>SORSELE</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61090-2025</t>
        </is>
      </c>
      <c r="B8669" s="1" t="n">
        <v>46000.42769675926</v>
      </c>
      <c r="C8669" s="1" t="n">
        <v>46075</v>
      </c>
      <c r="D8669" t="inlineStr">
        <is>
          <t>VÄSTERBOTTENS LÄN</t>
        </is>
      </c>
      <c r="E8669" t="inlineStr">
        <is>
          <t>NORDMALING</t>
        </is>
      </c>
      <c r="F8669" t="inlineStr">
        <is>
          <t>SCA</t>
        </is>
      </c>
      <c r="G8669" t="n">
        <v>1.3</v>
      </c>
      <c r="H8669" t="n">
        <v>0</v>
      </c>
      <c r="I8669" t="n">
        <v>0</v>
      </c>
      <c r="J8669" t="n">
        <v>0</v>
      </c>
      <c r="K8669" t="n">
        <v>0</v>
      </c>
      <c r="L8669" t="n">
        <v>0</v>
      </c>
      <c r="M8669" t="n">
        <v>0</v>
      </c>
      <c r="N8669" t="n">
        <v>0</v>
      </c>
      <c r="O8669" t="n">
        <v>0</v>
      </c>
      <c r="P8669" t="n">
        <v>0</v>
      </c>
      <c r="Q8669" t="n">
        <v>0</v>
      </c>
      <c r="R8669" s="2" t="inlineStr"/>
    </row>
    <row r="8670" ht="15" customHeight="1">
      <c r="A8670" t="inlineStr">
        <is>
          <t>A 23181-2024</t>
        </is>
      </c>
      <c r="B8670" s="1" t="n">
        <v>45450</v>
      </c>
      <c r="C8670" s="1" t="n">
        <v>46075</v>
      </c>
      <c r="D8670" t="inlineStr">
        <is>
          <t>VÄSTERBOTTENS LÄN</t>
        </is>
      </c>
      <c r="E8670" t="inlineStr">
        <is>
          <t>BJURHOLM</t>
        </is>
      </c>
      <c r="F8670" t="inlineStr">
        <is>
          <t>SCA</t>
        </is>
      </c>
      <c r="G8670" t="n">
        <v>2.6</v>
      </c>
      <c r="H8670" t="n">
        <v>0</v>
      </c>
      <c r="I8670" t="n">
        <v>0</v>
      </c>
      <c r="J8670" t="n">
        <v>0</v>
      </c>
      <c r="K8670" t="n">
        <v>0</v>
      </c>
      <c r="L8670" t="n">
        <v>0</v>
      </c>
      <c r="M8670" t="n">
        <v>0</v>
      </c>
      <c r="N8670" t="n">
        <v>0</v>
      </c>
      <c r="O8670" t="n">
        <v>0</v>
      </c>
      <c r="P8670" t="n">
        <v>0</v>
      </c>
      <c r="Q8670" t="n">
        <v>0</v>
      </c>
      <c r="R8670" s="2" t="inlineStr"/>
    </row>
    <row r="8671" ht="15" customHeight="1">
      <c r="A8671" t="inlineStr">
        <is>
          <t>A 61142-2025</t>
        </is>
      </c>
      <c r="B8671" s="1" t="n">
        <v>46000.51967592593</v>
      </c>
      <c r="C8671" s="1" t="n">
        <v>46075</v>
      </c>
      <c r="D8671" t="inlineStr">
        <is>
          <t>VÄSTERBOTTENS LÄN</t>
        </is>
      </c>
      <c r="E8671" t="inlineStr">
        <is>
          <t>VÄNNÄS</t>
        </is>
      </c>
      <c r="G8671" t="n">
        <v>1.9</v>
      </c>
      <c r="H8671" t="n">
        <v>0</v>
      </c>
      <c r="I8671" t="n">
        <v>0</v>
      </c>
      <c r="J8671" t="n">
        <v>0</v>
      </c>
      <c r="K8671" t="n">
        <v>0</v>
      </c>
      <c r="L8671" t="n">
        <v>0</v>
      </c>
      <c r="M8671" t="n">
        <v>0</v>
      </c>
      <c r="N8671" t="n">
        <v>0</v>
      </c>
      <c r="O8671" t="n">
        <v>0</v>
      </c>
      <c r="P8671" t="n">
        <v>0</v>
      </c>
      <c r="Q8671" t="n">
        <v>0</v>
      </c>
      <c r="R8671" s="2" t="inlineStr"/>
    </row>
    <row r="8672" ht="15" customHeight="1">
      <c r="A8672" t="inlineStr">
        <is>
          <t>A 61155-2025</t>
        </is>
      </c>
      <c r="B8672" s="1" t="n">
        <v>46000.54702546296</v>
      </c>
      <c r="C8672" s="1" t="n">
        <v>46075</v>
      </c>
      <c r="D8672" t="inlineStr">
        <is>
          <t>VÄSTERBOTTENS LÄN</t>
        </is>
      </c>
      <c r="E8672" t="inlineStr">
        <is>
          <t>VÄNNÄS</t>
        </is>
      </c>
      <c r="G8672" t="n">
        <v>2.4</v>
      </c>
      <c r="H8672" t="n">
        <v>0</v>
      </c>
      <c r="I8672" t="n">
        <v>0</v>
      </c>
      <c r="J8672" t="n">
        <v>0</v>
      </c>
      <c r="K8672" t="n">
        <v>0</v>
      </c>
      <c r="L8672" t="n">
        <v>0</v>
      </c>
      <c r="M8672" t="n">
        <v>0</v>
      </c>
      <c r="N8672" t="n">
        <v>0</v>
      </c>
      <c r="O8672" t="n">
        <v>0</v>
      </c>
      <c r="P8672" t="n">
        <v>0</v>
      </c>
      <c r="Q8672" t="n">
        <v>0</v>
      </c>
      <c r="R8672" s="2" t="inlineStr"/>
    </row>
    <row r="8673" ht="15" customHeight="1">
      <c r="A8673" t="inlineStr">
        <is>
          <t>A 61158-2025</t>
        </is>
      </c>
      <c r="B8673" s="1" t="n">
        <v>46000.55134259259</v>
      </c>
      <c r="C8673" s="1" t="n">
        <v>46075</v>
      </c>
      <c r="D8673" t="inlineStr">
        <is>
          <t>VÄSTERBOTTENS LÄN</t>
        </is>
      </c>
      <c r="E8673" t="inlineStr">
        <is>
          <t>VÄNNÄS</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61167-2025</t>
        </is>
      </c>
      <c r="B8674" s="1" t="n">
        <v>46000.56664351852</v>
      </c>
      <c r="C8674" s="1" t="n">
        <v>46075</v>
      </c>
      <c r="D8674" t="inlineStr">
        <is>
          <t>VÄSTERBOTTENS LÄN</t>
        </is>
      </c>
      <c r="E8674" t="inlineStr">
        <is>
          <t>NORDMALING</t>
        </is>
      </c>
      <c r="G8674" t="n">
        <v>2.7</v>
      </c>
      <c r="H8674" t="n">
        <v>0</v>
      </c>
      <c r="I8674" t="n">
        <v>0</v>
      </c>
      <c r="J8674" t="n">
        <v>0</v>
      </c>
      <c r="K8674" t="n">
        <v>0</v>
      </c>
      <c r="L8674" t="n">
        <v>0</v>
      </c>
      <c r="M8674" t="n">
        <v>0</v>
      </c>
      <c r="N8674" t="n">
        <v>0</v>
      </c>
      <c r="O8674" t="n">
        <v>0</v>
      </c>
      <c r="P8674" t="n">
        <v>0</v>
      </c>
      <c r="Q8674" t="n">
        <v>0</v>
      </c>
      <c r="R8674" s="2" t="inlineStr"/>
    </row>
    <row r="8675" ht="15" customHeight="1">
      <c r="A8675" t="inlineStr">
        <is>
          <t>A 3040-2022</t>
        </is>
      </c>
      <c r="B8675" s="1" t="n">
        <v>44581</v>
      </c>
      <c r="C8675" s="1" t="n">
        <v>46075</v>
      </c>
      <c r="D8675" t="inlineStr">
        <is>
          <t>VÄSTERBOTTENS LÄN</t>
        </is>
      </c>
      <c r="E8675" t="inlineStr">
        <is>
          <t>STORUMAN</t>
        </is>
      </c>
      <c r="G8675" t="n">
        <v>14.2</v>
      </c>
      <c r="H8675" t="n">
        <v>0</v>
      </c>
      <c r="I8675" t="n">
        <v>0</v>
      </c>
      <c r="J8675" t="n">
        <v>0</v>
      </c>
      <c r="K8675" t="n">
        <v>0</v>
      </c>
      <c r="L8675" t="n">
        <v>0</v>
      </c>
      <c r="M8675" t="n">
        <v>0</v>
      </c>
      <c r="N8675" t="n">
        <v>0</v>
      </c>
      <c r="O8675" t="n">
        <v>0</v>
      </c>
      <c r="P8675" t="n">
        <v>0</v>
      </c>
      <c r="Q8675" t="n">
        <v>0</v>
      </c>
      <c r="R8675" s="2" t="inlineStr"/>
    </row>
    <row r="8676" ht="15" customHeight="1">
      <c r="A8676" t="inlineStr">
        <is>
          <t>A 57653-2024</t>
        </is>
      </c>
      <c r="B8676" s="1" t="n">
        <v>45630</v>
      </c>
      <c r="C8676" s="1" t="n">
        <v>46075</v>
      </c>
      <c r="D8676" t="inlineStr">
        <is>
          <t>VÄSTERBOTTENS LÄN</t>
        </is>
      </c>
      <c r="E8676" t="inlineStr">
        <is>
          <t>ROBERTSFORS</t>
        </is>
      </c>
      <c r="G8676" t="n">
        <v>6</v>
      </c>
      <c r="H8676" t="n">
        <v>0</v>
      </c>
      <c r="I8676" t="n">
        <v>0</v>
      </c>
      <c r="J8676" t="n">
        <v>0</v>
      </c>
      <c r="K8676" t="n">
        <v>0</v>
      </c>
      <c r="L8676" t="n">
        <v>0</v>
      </c>
      <c r="M8676" t="n">
        <v>0</v>
      </c>
      <c r="N8676" t="n">
        <v>0</v>
      </c>
      <c r="O8676" t="n">
        <v>0</v>
      </c>
      <c r="P8676" t="n">
        <v>0</v>
      </c>
      <c r="Q8676" t="n">
        <v>0</v>
      </c>
      <c r="R8676" s="2" t="inlineStr"/>
    </row>
    <row r="8677" ht="15" customHeight="1">
      <c r="A8677" t="inlineStr">
        <is>
          <t>A 60033-2024</t>
        </is>
      </c>
      <c r="B8677" s="1" t="n">
        <v>45642.46236111111</v>
      </c>
      <c r="C8677" s="1" t="n">
        <v>46075</v>
      </c>
      <c r="D8677" t="inlineStr">
        <is>
          <t>VÄSTERBOTTENS LÄN</t>
        </is>
      </c>
      <c r="E8677" t="inlineStr">
        <is>
          <t>VÄNNÄS</t>
        </is>
      </c>
      <c r="G8677" t="n">
        <v>5.3</v>
      </c>
      <c r="H8677" t="n">
        <v>0</v>
      </c>
      <c r="I8677" t="n">
        <v>0</v>
      </c>
      <c r="J8677" t="n">
        <v>0</v>
      </c>
      <c r="K8677" t="n">
        <v>0</v>
      </c>
      <c r="L8677" t="n">
        <v>0</v>
      </c>
      <c r="M8677" t="n">
        <v>0</v>
      </c>
      <c r="N8677" t="n">
        <v>0</v>
      </c>
      <c r="O8677" t="n">
        <v>0</v>
      </c>
      <c r="P8677" t="n">
        <v>0</v>
      </c>
      <c r="Q8677" t="n">
        <v>0</v>
      </c>
      <c r="R8677" s="2" t="inlineStr"/>
    </row>
    <row r="8678" ht="15" customHeight="1">
      <c r="A8678" t="inlineStr">
        <is>
          <t>A 24832-2022</t>
        </is>
      </c>
      <c r="B8678" s="1" t="n">
        <v>44728</v>
      </c>
      <c r="C8678" s="1" t="n">
        <v>46075</v>
      </c>
      <c r="D8678" t="inlineStr">
        <is>
          <t>VÄSTERBOTTENS LÄN</t>
        </is>
      </c>
      <c r="E8678" t="inlineStr">
        <is>
          <t>SKELLEFTEÅ</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61182-2025</t>
        </is>
      </c>
      <c r="B8679" s="1" t="n">
        <v>46000.58409722222</v>
      </c>
      <c r="C8679" s="1" t="n">
        <v>46075</v>
      </c>
      <c r="D8679" t="inlineStr">
        <is>
          <t>VÄSTERBOTTENS LÄN</t>
        </is>
      </c>
      <c r="E8679" t="inlineStr">
        <is>
          <t>VÄNNÄS</t>
        </is>
      </c>
      <c r="G8679" t="n">
        <v>1.8</v>
      </c>
      <c r="H8679" t="n">
        <v>0</v>
      </c>
      <c r="I8679" t="n">
        <v>0</v>
      </c>
      <c r="J8679" t="n">
        <v>0</v>
      </c>
      <c r="K8679" t="n">
        <v>0</v>
      </c>
      <c r="L8679" t="n">
        <v>0</v>
      </c>
      <c r="M8679" t="n">
        <v>0</v>
      </c>
      <c r="N8679" t="n">
        <v>0</v>
      </c>
      <c r="O8679" t="n">
        <v>0</v>
      </c>
      <c r="P8679" t="n">
        <v>0</v>
      </c>
      <c r="Q8679" t="n">
        <v>0</v>
      </c>
      <c r="R8679" s="2" t="inlineStr"/>
    </row>
    <row r="8680" ht="15" customHeight="1">
      <c r="A8680" t="inlineStr">
        <is>
          <t>A 61199-2025</t>
        </is>
      </c>
      <c r="B8680" s="1" t="n">
        <v>46000.60853009259</v>
      </c>
      <c r="C8680" s="1" t="n">
        <v>46075</v>
      </c>
      <c r="D8680" t="inlineStr">
        <is>
          <t>VÄSTERBOTTENS LÄN</t>
        </is>
      </c>
      <c r="E8680" t="inlineStr">
        <is>
          <t>STORUMAN</t>
        </is>
      </c>
      <c r="G8680" t="n">
        <v>19</v>
      </c>
      <c r="H8680" t="n">
        <v>0</v>
      </c>
      <c r="I8680" t="n">
        <v>0</v>
      </c>
      <c r="J8680" t="n">
        <v>0</v>
      </c>
      <c r="K8680" t="n">
        <v>0</v>
      </c>
      <c r="L8680" t="n">
        <v>0</v>
      </c>
      <c r="M8680" t="n">
        <v>0</v>
      </c>
      <c r="N8680" t="n">
        <v>0</v>
      </c>
      <c r="O8680" t="n">
        <v>0</v>
      </c>
      <c r="P8680" t="n">
        <v>0</v>
      </c>
      <c r="Q8680" t="n">
        <v>0</v>
      </c>
      <c r="R8680" s="2" t="inlineStr"/>
    </row>
    <row r="8681" ht="15" customHeight="1">
      <c r="A8681" t="inlineStr">
        <is>
          <t>A 61204-2025</t>
        </is>
      </c>
      <c r="B8681" s="1" t="n">
        <v>46000.61395833334</v>
      </c>
      <c r="C8681" s="1" t="n">
        <v>46075</v>
      </c>
      <c r="D8681" t="inlineStr">
        <is>
          <t>VÄSTERBOTTENS LÄN</t>
        </is>
      </c>
      <c r="E8681" t="inlineStr">
        <is>
          <t>VÄNNÄS</t>
        </is>
      </c>
      <c r="G8681" t="n">
        <v>2</v>
      </c>
      <c r="H8681" t="n">
        <v>0</v>
      </c>
      <c r="I8681" t="n">
        <v>0</v>
      </c>
      <c r="J8681" t="n">
        <v>0</v>
      </c>
      <c r="K8681" t="n">
        <v>0</v>
      </c>
      <c r="L8681" t="n">
        <v>0</v>
      </c>
      <c r="M8681" t="n">
        <v>0</v>
      </c>
      <c r="N8681" t="n">
        <v>0</v>
      </c>
      <c r="O8681" t="n">
        <v>0</v>
      </c>
      <c r="P8681" t="n">
        <v>0</v>
      </c>
      <c r="Q8681" t="n">
        <v>0</v>
      </c>
      <c r="R8681" s="2" t="inlineStr"/>
    </row>
    <row r="8682" ht="15" customHeight="1">
      <c r="A8682" t="inlineStr">
        <is>
          <t>A 2776-2026</t>
        </is>
      </c>
      <c r="B8682" s="1" t="n">
        <v>46036</v>
      </c>
      <c r="C8682" s="1" t="n">
        <v>46075</v>
      </c>
      <c r="D8682" t="inlineStr">
        <is>
          <t>VÄSTERBOTTENS LÄN</t>
        </is>
      </c>
      <c r="E8682" t="inlineStr">
        <is>
          <t>SKELLEFTEÅ</t>
        </is>
      </c>
      <c r="G8682" t="n">
        <v>5.5</v>
      </c>
      <c r="H8682" t="n">
        <v>0</v>
      </c>
      <c r="I8682" t="n">
        <v>0</v>
      </c>
      <c r="J8682" t="n">
        <v>0</v>
      </c>
      <c r="K8682" t="n">
        <v>0</v>
      </c>
      <c r="L8682" t="n">
        <v>0</v>
      </c>
      <c r="M8682" t="n">
        <v>0</v>
      </c>
      <c r="N8682" t="n">
        <v>0</v>
      </c>
      <c r="O8682" t="n">
        <v>0</v>
      </c>
      <c r="P8682" t="n">
        <v>0</v>
      </c>
      <c r="Q8682" t="n">
        <v>0</v>
      </c>
      <c r="R8682" s="2" t="inlineStr"/>
    </row>
    <row r="8683" ht="15" customHeight="1">
      <c r="A8683" t="inlineStr">
        <is>
          <t>A 14403-2025</t>
        </is>
      </c>
      <c r="B8683" s="1" t="n">
        <v>45741.46083333333</v>
      </c>
      <c r="C8683" s="1" t="n">
        <v>46075</v>
      </c>
      <c r="D8683" t="inlineStr">
        <is>
          <t>VÄSTERBOTTENS LÄN</t>
        </is>
      </c>
      <c r="E8683" t="inlineStr">
        <is>
          <t>UMEÅ</t>
        </is>
      </c>
      <c r="G8683" t="n">
        <v>1.8</v>
      </c>
      <c r="H8683" t="n">
        <v>0</v>
      </c>
      <c r="I8683" t="n">
        <v>0</v>
      </c>
      <c r="J8683" t="n">
        <v>0</v>
      </c>
      <c r="K8683" t="n">
        <v>0</v>
      </c>
      <c r="L8683" t="n">
        <v>0</v>
      </c>
      <c r="M8683" t="n">
        <v>0</v>
      </c>
      <c r="N8683" t="n">
        <v>0</v>
      </c>
      <c r="O8683" t="n">
        <v>0</v>
      </c>
      <c r="P8683" t="n">
        <v>0</v>
      </c>
      <c r="Q8683" t="n">
        <v>0</v>
      </c>
      <c r="R8683" s="2" t="inlineStr"/>
    </row>
    <row r="8684" ht="15" customHeight="1">
      <c r="A8684" t="inlineStr">
        <is>
          <t>A 54968-2024</t>
        </is>
      </c>
      <c r="B8684" s="1" t="n">
        <v>45620.4262962963</v>
      </c>
      <c r="C8684" s="1" t="n">
        <v>46075</v>
      </c>
      <c r="D8684" t="inlineStr">
        <is>
          <t>VÄSTERBOTTENS LÄN</t>
        </is>
      </c>
      <c r="E8684" t="inlineStr">
        <is>
          <t>ROBERTSFORS</t>
        </is>
      </c>
      <c r="G8684" t="n">
        <v>5.9</v>
      </c>
      <c r="H8684" t="n">
        <v>0</v>
      </c>
      <c r="I8684" t="n">
        <v>0</v>
      </c>
      <c r="J8684" t="n">
        <v>0</v>
      </c>
      <c r="K8684" t="n">
        <v>0</v>
      </c>
      <c r="L8684" t="n">
        <v>0</v>
      </c>
      <c r="M8684" t="n">
        <v>0</v>
      </c>
      <c r="N8684" t="n">
        <v>0</v>
      </c>
      <c r="O8684" t="n">
        <v>0</v>
      </c>
      <c r="P8684" t="n">
        <v>0</v>
      </c>
      <c r="Q8684" t="n">
        <v>0</v>
      </c>
      <c r="R8684" s="2" t="inlineStr"/>
    </row>
    <row r="8685" ht="15" customHeight="1">
      <c r="A8685" t="inlineStr">
        <is>
          <t>A 61185-2025</t>
        </is>
      </c>
      <c r="B8685" s="1" t="n">
        <v>46000.5859837963</v>
      </c>
      <c r="C8685" s="1" t="n">
        <v>46075</v>
      </c>
      <c r="D8685" t="inlineStr">
        <is>
          <t>VÄSTERBOTTENS LÄN</t>
        </is>
      </c>
      <c r="E8685" t="inlineStr">
        <is>
          <t>ROBERTSFORS</t>
        </is>
      </c>
      <c r="G8685" t="n">
        <v>0.5</v>
      </c>
      <c r="H8685" t="n">
        <v>0</v>
      </c>
      <c r="I8685" t="n">
        <v>0</v>
      </c>
      <c r="J8685" t="n">
        <v>0</v>
      </c>
      <c r="K8685" t="n">
        <v>0</v>
      </c>
      <c r="L8685" t="n">
        <v>0</v>
      </c>
      <c r="M8685" t="n">
        <v>0</v>
      </c>
      <c r="N8685" t="n">
        <v>0</v>
      </c>
      <c r="O8685" t="n">
        <v>0</v>
      </c>
      <c r="P8685" t="n">
        <v>0</v>
      </c>
      <c r="Q8685" t="n">
        <v>0</v>
      </c>
      <c r="R8685" s="2" t="inlineStr"/>
    </row>
    <row r="8686" ht="15" customHeight="1">
      <c r="A8686" t="inlineStr">
        <is>
          <t>A 61208-2025</t>
        </is>
      </c>
      <c r="B8686" s="1" t="n">
        <v>46000.61475694444</v>
      </c>
      <c r="C8686" s="1" t="n">
        <v>46075</v>
      </c>
      <c r="D8686" t="inlineStr">
        <is>
          <t>VÄSTERBOTTENS LÄN</t>
        </is>
      </c>
      <c r="E8686" t="inlineStr">
        <is>
          <t>STORUMAN</t>
        </is>
      </c>
      <c r="G8686" t="n">
        <v>1.9</v>
      </c>
      <c r="H8686" t="n">
        <v>0</v>
      </c>
      <c r="I8686" t="n">
        <v>0</v>
      </c>
      <c r="J8686" t="n">
        <v>0</v>
      </c>
      <c r="K8686" t="n">
        <v>0</v>
      </c>
      <c r="L8686" t="n">
        <v>0</v>
      </c>
      <c r="M8686" t="n">
        <v>0</v>
      </c>
      <c r="N8686" t="n">
        <v>0</v>
      </c>
      <c r="O8686" t="n">
        <v>0</v>
      </c>
      <c r="P8686" t="n">
        <v>0</v>
      </c>
      <c r="Q8686" t="n">
        <v>0</v>
      </c>
      <c r="R8686" s="2" t="inlineStr"/>
    </row>
    <row r="8687" ht="15" customHeight="1">
      <c r="A8687" t="inlineStr">
        <is>
          <t>A 32435-2024</t>
        </is>
      </c>
      <c r="B8687" s="1" t="n">
        <v>45512.92917824074</v>
      </c>
      <c r="C8687" s="1" t="n">
        <v>46075</v>
      </c>
      <c r="D8687" t="inlineStr">
        <is>
          <t>VÄSTERBOTTENS LÄN</t>
        </is>
      </c>
      <c r="E8687" t="inlineStr">
        <is>
          <t>VINDELN</t>
        </is>
      </c>
      <c r="G8687" t="n">
        <v>9.5</v>
      </c>
      <c r="H8687" t="n">
        <v>0</v>
      </c>
      <c r="I8687" t="n">
        <v>0</v>
      </c>
      <c r="J8687" t="n">
        <v>0</v>
      </c>
      <c r="K8687" t="n">
        <v>0</v>
      </c>
      <c r="L8687" t="n">
        <v>0</v>
      </c>
      <c r="M8687" t="n">
        <v>0</v>
      </c>
      <c r="N8687" t="n">
        <v>0</v>
      </c>
      <c r="O8687" t="n">
        <v>0</v>
      </c>
      <c r="P8687" t="n">
        <v>0</v>
      </c>
      <c r="Q8687" t="n">
        <v>0</v>
      </c>
      <c r="R8687" s="2" t="inlineStr"/>
    </row>
    <row r="8688" ht="15" customHeight="1">
      <c r="A8688" t="inlineStr">
        <is>
          <t>A 27818-2024</t>
        </is>
      </c>
      <c r="B8688" s="1" t="n">
        <v>45475.60128472222</v>
      </c>
      <c r="C8688" s="1" t="n">
        <v>46075</v>
      </c>
      <c r="D8688" t="inlineStr">
        <is>
          <t>VÄSTERBOTTENS LÄN</t>
        </is>
      </c>
      <c r="E8688" t="inlineStr">
        <is>
          <t>LYCKSELE</t>
        </is>
      </c>
      <c r="G8688" t="n">
        <v>3</v>
      </c>
      <c r="H8688" t="n">
        <v>0</v>
      </c>
      <c r="I8688" t="n">
        <v>0</v>
      </c>
      <c r="J8688" t="n">
        <v>0</v>
      </c>
      <c r="K8688" t="n">
        <v>0</v>
      </c>
      <c r="L8688" t="n">
        <v>0</v>
      </c>
      <c r="M8688" t="n">
        <v>0</v>
      </c>
      <c r="N8688" t="n">
        <v>0</v>
      </c>
      <c r="O8688" t="n">
        <v>0</v>
      </c>
      <c r="P8688" t="n">
        <v>0</v>
      </c>
      <c r="Q8688" t="n">
        <v>0</v>
      </c>
      <c r="R8688" s="2" t="inlineStr"/>
    </row>
    <row r="8689" ht="15" customHeight="1">
      <c r="A8689" t="inlineStr">
        <is>
          <t>A 61003-2025</t>
        </is>
      </c>
      <c r="B8689" s="1" t="n">
        <v>45999.77453703704</v>
      </c>
      <c r="C8689" s="1" t="n">
        <v>46075</v>
      </c>
      <c r="D8689" t="inlineStr">
        <is>
          <t>VÄSTERBOTTENS LÄN</t>
        </is>
      </c>
      <c r="E8689" t="inlineStr">
        <is>
          <t>VILHELMINA</t>
        </is>
      </c>
      <c r="G8689" t="n">
        <v>3</v>
      </c>
      <c r="H8689" t="n">
        <v>0</v>
      </c>
      <c r="I8689" t="n">
        <v>0</v>
      </c>
      <c r="J8689" t="n">
        <v>0</v>
      </c>
      <c r="K8689" t="n">
        <v>0</v>
      </c>
      <c r="L8689" t="n">
        <v>0</v>
      </c>
      <c r="M8689" t="n">
        <v>0</v>
      </c>
      <c r="N8689" t="n">
        <v>0</v>
      </c>
      <c r="O8689" t="n">
        <v>0</v>
      </c>
      <c r="P8689" t="n">
        <v>0</v>
      </c>
      <c r="Q8689" t="n">
        <v>0</v>
      </c>
      <c r="R8689" s="2" t="inlineStr"/>
    </row>
    <row r="8690" ht="15" customHeight="1">
      <c r="A8690" t="inlineStr">
        <is>
          <t>A 2177-2023</t>
        </is>
      </c>
      <c r="B8690" s="1" t="n">
        <v>44942.29836805556</v>
      </c>
      <c r="C8690" s="1" t="n">
        <v>46075</v>
      </c>
      <c r="D8690" t="inlineStr">
        <is>
          <t>VÄSTERBOTTENS LÄN</t>
        </is>
      </c>
      <c r="E8690" t="inlineStr">
        <is>
          <t>SKELLEFTEÅ</t>
        </is>
      </c>
      <c r="G8690" t="n">
        <v>2.9</v>
      </c>
      <c r="H8690" t="n">
        <v>0</v>
      </c>
      <c r="I8690" t="n">
        <v>0</v>
      </c>
      <c r="J8690" t="n">
        <v>0</v>
      </c>
      <c r="K8690" t="n">
        <v>0</v>
      </c>
      <c r="L8690" t="n">
        <v>0</v>
      </c>
      <c r="M8690" t="n">
        <v>0</v>
      </c>
      <c r="N8690" t="n">
        <v>0</v>
      </c>
      <c r="O8690" t="n">
        <v>0</v>
      </c>
      <c r="P8690" t="n">
        <v>0</v>
      </c>
      <c r="Q8690" t="n">
        <v>0</v>
      </c>
      <c r="R8690" s="2" t="inlineStr"/>
    </row>
    <row r="8691" ht="15" customHeight="1">
      <c r="A8691" t="inlineStr">
        <is>
          <t>A 2193-2023</t>
        </is>
      </c>
      <c r="B8691" s="1" t="n">
        <v>44942.36244212963</v>
      </c>
      <c r="C8691" s="1" t="n">
        <v>46075</v>
      </c>
      <c r="D8691" t="inlineStr">
        <is>
          <t>VÄSTERBOTTENS LÄN</t>
        </is>
      </c>
      <c r="E8691" t="inlineStr">
        <is>
          <t>LYCKSELE</t>
        </is>
      </c>
      <c r="G8691" t="n">
        <v>2.8</v>
      </c>
      <c r="H8691" t="n">
        <v>0</v>
      </c>
      <c r="I8691" t="n">
        <v>0</v>
      </c>
      <c r="J8691" t="n">
        <v>0</v>
      </c>
      <c r="K8691" t="n">
        <v>0</v>
      </c>
      <c r="L8691" t="n">
        <v>0</v>
      </c>
      <c r="M8691" t="n">
        <v>0</v>
      </c>
      <c r="N8691" t="n">
        <v>0</v>
      </c>
      <c r="O8691" t="n">
        <v>0</v>
      </c>
      <c r="P8691" t="n">
        <v>0</v>
      </c>
      <c r="Q8691" t="n">
        <v>0</v>
      </c>
      <c r="R8691" s="2" t="inlineStr"/>
    </row>
    <row r="8692" ht="15" customHeight="1">
      <c r="A8692" t="inlineStr">
        <is>
          <t>A 61051-2025</t>
        </is>
      </c>
      <c r="B8692" s="1" t="n">
        <v>46000.32271990741</v>
      </c>
      <c r="C8692" s="1" t="n">
        <v>46075</v>
      </c>
      <c r="D8692" t="inlineStr">
        <is>
          <t>VÄSTERBOTTENS LÄN</t>
        </is>
      </c>
      <c r="E8692" t="inlineStr">
        <is>
          <t>VINDELN</t>
        </is>
      </c>
      <c r="G8692" t="n">
        <v>2.4</v>
      </c>
      <c r="H8692" t="n">
        <v>0</v>
      </c>
      <c r="I8692" t="n">
        <v>0</v>
      </c>
      <c r="J8692" t="n">
        <v>0</v>
      </c>
      <c r="K8692" t="n">
        <v>0</v>
      </c>
      <c r="L8692" t="n">
        <v>0</v>
      </c>
      <c r="M8692" t="n">
        <v>0</v>
      </c>
      <c r="N8692" t="n">
        <v>0</v>
      </c>
      <c r="O8692" t="n">
        <v>0</v>
      </c>
      <c r="P8692" t="n">
        <v>0</v>
      </c>
      <c r="Q8692" t="n">
        <v>0</v>
      </c>
      <c r="R8692" s="2" t="inlineStr"/>
    </row>
    <row r="8693" ht="15" customHeight="1">
      <c r="A8693" t="inlineStr">
        <is>
          <t>A 61056-2025</t>
        </is>
      </c>
      <c r="B8693" s="1" t="n">
        <v>46000.34428240741</v>
      </c>
      <c r="C8693" s="1" t="n">
        <v>46075</v>
      </c>
      <c r="D8693" t="inlineStr">
        <is>
          <t>VÄSTERBOTTENS LÄN</t>
        </is>
      </c>
      <c r="E8693" t="inlineStr">
        <is>
          <t>SKELLEFTEÅ</t>
        </is>
      </c>
      <c r="G8693" t="n">
        <v>2.5</v>
      </c>
      <c r="H8693" t="n">
        <v>0</v>
      </c>
      <c r="I8693" t="n">
        <v>0</v>
      </c>
      <c r="J8693" t="n">
        <v>0</v>
      </c>
      <c r="K8693" t="n">
        <v>0</v>
      </c>
      <c r="L8693" t="n">
        <v>0</v>
      </c>
      <c r="M8693" t="n">
        <v>0</v>
      </c>
      <c r="N8693" t="n">
        <v>0</v>
      </c>
      <c r="O8693" t="n">
        <v>0</v>
      </c>
      <c r="P8693" t="n">
        <v>0</v>
      </c>
      <c r="Q8693" t="n">
        <v>0</v>
      </c>
      <c r="R8693" s="2" t="inlineStr"/>
    </row>
    <row r="8694" ht="15" customHeight="1">
      <c r="A8694" t="inlineStr">
        <is>
          <t>A 39445-2023</t>
        </is>
      </c>
      <c r="B8694" s="1" t="n">
        <v>45166</v>
      </c>
      <c r="C8694" s="1" t="n">
        <v>46075</v>
      </c>
      <c r="D8694" t="inlineStr">
        <is>
          <t>VÄSTERBOTTENS LÄN</t>
        </is>
      </c>
      <c r="E8694" t="inlineStr">
        <is>
          <t>UMEÅ</t>
        </is>
      </c>
      <c r="G8694" t="n">
        <v>33.4</v>
      </c>
      <c r="H8694" t="n">
        <v>0</v>
      </c>
      <c r="I8694" t="n">
        <v>0</v>
      </c>
      <c r="J8694" t="n">
        <v>0</v>
      </c>
      <c r="K8694" t="n">
        <v>0</v>
      </c>
      <c r="L8694" t="n">
        <v>0</v>
      </c>
      <c r="M8694" t="n">
        <v>0</v>
      </c>
      <c r="N8694" t="n">
        <v>0</v>
      </c>
      <c r="O8694" t="n">
        <v>0</v>
      </c>
      <c r="P8694" t="n">
        <v>0</v>
      </c>
      <c r="Q8694" t="n">
        <v>0</v>
      </c>
      <c r="R8694" s="2" t="inlineStr"/>
    </row>
    <row r="8695" ht="15" customHeight="1">
      <c r="A8695" t="inlineStr">
        <is>
          <t>A 61091-2025</t>
        </is>
      </c>
      <c r="B8695" s="1" t="n">
        <v>46000.43297453703</v>
      </c>
      <c r="C8695" s="1" t="n">
        <v>46075</v>
      </c>
      <c r="D8695" t="inlineStr">
        <is>
          <t>VÄSTERBOTTENS LÄN</t>
        </is>
      </c>
      <c r="E8695" t="inlineStr">
        <is>
          <t>LYCKSELE</t>
        </is>
      </c>
      <c r="G8695" t="n">
        <v>6.3</v>
      </c>
      <c r="H8695" t="n">
        <v>0</v>
      </c>
      <c r="I8695" t="n">
        <v>0</v>
      </c>
      <c r="J8695" t="n">
        <v>0</v>
      </c>
      <c r="K8695" t="n">
        <v>0</v>
      </c>
      <c r="L8695" t="n">
        <v>0</v>
      </c>
      <c r="M8695" t="n">
        <v>0</v>
      </c>
      <c r="N8695" t="n">
        <v>0</v>
      </c>
      <c r="O8695" t="n">
        <v>0</v>
      </c>
      <c r="P8695" t="n">
        <v>0</v>
      </c>
      <c r="Q8695" t="n">
        <v>0</v>
      </c>
      <c r="R8695" s="2" t="inlineStr"/>
    </row>
    <row r="8696" ht="15" customHeight="1">
      <c r="A8696" t="inlineStr">
        <is>
          <t>A 61103-2025</t>
        </is>
      </c>
      <c r="B8696" s="1" t="n">
        <v>46000.44599537037</v>
      </c>
      <c r="C8696" s="1" t="n">
        <v>46075</v>
      </c>
      <c r="D8696" t="inlineStr">
        <is>
          <t>VÄSTERBOTTENS LÄN</t>
        </is>
      </c>
      <c r="E8696" t="inlineStr">
        <is>
          <t>SKELLEFTEÅ</t>
        </is>
      </c>
      <c r="F8696" t="inlineStr">
        <is>
          <t>Holmen skog AB</t>
        </is>
      </c>
      <c r="G8696" t="n">
        <v>4.3</v>
      </c>
      <c r="H8696" t="n">
        <v>0</v>
      </c>
      <c r="I8696" t="n">
        <v>0</v>
      </c>
      <c r="J8696" t="n">
        <v>0</v>
      </c>
      <c r="K8696" t="n">
        <v>0</v>
      </c>
      <c r="L8696" t="n">
        <v>0</v>
      </c>
      <c r="M8696" t="n">
        <v>0</v>
      </c>
      <c r="N8696" t="n">
        <v>0</v>
      </c>
      <c r="O8696" t="n">
        <v>0</v>
      </c>
      <c r="P8696" t="n">
        <v>0</v>
      </c>
      <c r="Q8696" t="n">
        <v>0</v>
      </c>
      <c r="R8696" s="2" t="inlineStr"/>
    </row>
    <row r="8697" ht="15" customHeight="1">
      <c r="A8697" t="inlineStr">
        <is>
          <t>A 61114-2025</t>
        </is>
      </c>
      <c r="B8697" s="1" t="n">
        <v>46000.45891203704</v>
      </c>
      <c r="C8697" s="1" t="n">
        <v>46075</v>
      </c>
      <c r="D8697" t="inlineStr">
        <is>
          <t>VÄSTERBOTTENS LÄN</t>
        </is>
      </c>
      <c r="E8697" t="inlineStr">
        <is>
          <t>ROBERTSFORS</t>
        </is>
      </c>
      <c r="F8697" t="inlineStr">
        <is>
          <t>Sveaskog</t>
        </is>
      </c>
      <c r="G8697" t="n">
        <v>9.199999999999999</v>
      </c>
      <c r="H8697" t="n">
        <v>0</v>
      </c>
      <c r="I8697" t="n">
        <v>0</v>
      </c>
      <c r="J8697" t="n">
        <v>0</v>
      </c>
      <c r="K8697" t="n">
        <v>0</v>
      </c>
      <c r="L8697" t="n">
        <v>0</v>
      </c>
      <c r="M8697" t="n">
        <v>0</v>
      </c>
      <c r="N8697" t="n">
        <v>0</v>
      </c>
      <c r="O8697" t="n">
        <v>0</v>
      </c>
      <c r="P8697" t="n">
        <v>0</v>
      </c>
      <c r="Q8697" t="n">
        <v>0</v>
      </c>
      <c r="R8697" s="2" t="inlineStr"/>
    </row>
    <row r="8698" ht="15" customHeight="1">
      <c r="A8698" t="inlineStr">
        <is>
          <t>A 61127-2025</t>
        </is>
      </c>
      <c r="B8698" s="1" t="n">
        <v>46000.48337962963</v>
      </c>
      <c r="C8698" s="1" t="n">
        <v>46075</v>
      </c>
      <c r="D8698" t="inlineStr">
        <is>
          <t>VÄSTERBOTTENS LÄN</t>
        </is>
      </c>
      <c r="E8698" t="inlineStr">
        <is>
          <t>VÄNNÄS</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61128-2025</t>
        </is>
      </c>
      <c r="B8699" s="1" t="n">
        <v>46000.48476851852</v>
      </c>
      <c r="C8699" s="1" t="n">
        <v>46075</v>
      </c>
      <c r="D8699" t="inlineStr">
        <is>
          <t>VÄSTERBOTTENS LÄN</t>
        </is>
      </c>
      <c r="E8699" t="inlineStr">
        <is>
          <t>LYCKSELE</t>
        </is>
      </c>
      <c r="F8699" t="inlineStr">
        <is>
          <t>Sveaskog</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61135-2025</t>
        </is>
      </c>
      <c r="B8700" s="1" t="n">
        <v>46000.50047453704</v>
      </c>
      <c r="C8700" s="1" t="n">
        <v>46075</v>
      </c>
      <c r="D8700" t="inlineStr">
        <is>
          <t>VÄSTERBOTTENS LÄN</t>
        </is>
      </c>
      <c r="E8700" t="inlineStr">
        <is>
          <t>SKELLEFTEÅ</t>
        </is>
      </c>
      <c r="F8700" t="inlineStr">
        <is>
          <t>Holmen skog AB</t>
        </is>
      </c>
      <c r="G8700" t="n">
        <v>9.199999999999999</v>
      </c>
      <c r="H8700" t="n">
        <v>0</v>
      </c>
      <c r="I8700" t="n">
        <v>0</v>
      </c>
      <c r="J8700" t="n">
        <v>0</v>
      </c>
      <c r="K8700" t="n">
        <v>0</v>
      </c>
      <c r="L8700" t="n">
        <v>0</v>
      </c>
      <c r="M8700" t="n">
        <v>0</v>
      </c>
      <c r="N8700" t="n">
        <v>0</v>
      </c>
      <c r="O8700" t="n">
        <v>0</v>
      </c>
      <c r="P8700" t="n">
        <v>0</v>
      </c>
      <c r="Q8700" t="n">
        <v>0</v>
      </c>
      <c r="R8700" s="2" t="inlineStr"/>
      <c r="U8700">
        <f>HYPERLINK("https://klasma.github.io/Logging_2482/knärot/A 61135-2025 karta knärot.png", "A 61135-2025")</f>
        <v/>
      </c>
      <c r="V8700">
        <f>HYPERLINK("https://klasma.github.io/Logging_2482/klagomål/A 61135-2025 FSC-klagomål.docx", "A 61135-2025")</f>
        <v/>
      </c>
      <c r="W8700">
        <f>HYPERLINK("https://klasma.github.io/Logging_2482/klagomålsmail/A 61135-2025 FSC-klagomål mail.docx", "A 61135-2025")</f>
        <v/>
      </c>
      <c r="X8700">
        <f>HYPERLINK("https://klasma.github.io/Logging_2482/tillsyn/A 61135-2025 tillsynsbegäran.docx", "A 61135-2025")</f>
        <v/>
      </c>
      <c r="Y8700">
        <f>HYPERLINK("https://klasma.github.io/Logging_2482/tillsynsmail/A 61135-2025 tillsynsbegäran mail.docx", "A 61135-2025")</f>
        <v/>
      </c>
    </row>
    <row r="8701" ht="15" customHeight="1">
      <c r="A8701" t="inlineStr">
        <is>
          <t>A 3368-2026</t>
        </is>
      </c>
      <c r="B8701" s="1" t="n">
        <v>46042.34465277778</v>
      </c>
      <c r="C8701" s="1" t="n">
        <v>46075</v>
      </c>
      <c r="D8701" t="inlineStr">
        <is>
          <t>VÄSTERBOTTENS LÄN</t>
        </is>
      </c>
      <c r="E8701" t="inlineStr">
        <is>
          <t>DOROTEA</t>
        </is>
      </c>
      <c r="F8701" t="inlineStr">
        <is>
          <t>SCA</t>
        </is>
      </c>
      <c r="G8701" t="n">
        <v>11.9</v>
      </c>
      <c r="H8701" t="n">
        <v>0</v>
      </c>
      <c r="I8701" t="n">
        <v>0</v>
      </c>
      <c r="J8701" t="n">
        <v>0</v>
      </c>
      <c r="K8701" t="n">
        <v>0</v>
      </c>
      <c r="L8701" t="n">
        <v>0</v>
      </c>
      <c r="M8701" t="n">
        <v>0</v>
      </c>
      <c r="N8701" t="n">
        <v>0</v>
      </c>
      <c r="O8701" t="n">
        <v>0</v>
      </c>
      <c r="P8701" t="n">
        <v>0</v>
      </c>
      <c r="Q8701" t="n">
        <v>0</v>
      </c>
      <c r="R8701" s="2" t="inlineStr"/>
    </row>
    <row r="8702" ht="15" customHeight="1">
      <c r="A8702" t="inlineStr">
        <is>
          <t>A 62483-2022</t>
        </is>
      </c>
      <c r="B8702" s="1" t="n">
        <v>44924.56034722222</v>
      </c>
      <c r="C8702" s="1" t="n">
        <v>46075</v>
      </c>
      <c r="D8702" t="inlineStr">
        <is>
          <t>VÄSTERBOTTENS LÄN</t>
        </is>
      </c>
      <c r="E8702" t="inlineStr">
        <is>
          <t>SKELLEFTEÅ</t>
        </is>
      </c>
      <c r="G8702" t="n">
        <v>6.3</v>
      </c>
      <c r="H8702" t="n">
        <v>0</v>
      </c>
      <c r="I8702" t="n">
        <v>0</v>
      </c>
      <c r="J8702" t="n">
        <v>0</v>
      </c>
      <c r="K8702" t="n">
        <v>0</v>
      </c>
      <c r="L8702" t="n">
        <v>0</v>
      </c>
      <c r="M8702" t="n">
        <v>0</v>
      </c>
      <c r="N8702" t="n">
        <v>0</v>
      </c>
      <c r="O8702" t="n">
        <v>0</v>
      </c>
      <c r="P8702" t="n">
        <v>0</v>
      </c>
      <c r="Q8702" t="n">
        <v>0</v>
      </c>
      <c r="R8702" s="2" t="inlineStr"/>
    </row>
    <row r="8703" ht="15" customHeight="1">
      <c r="A8703" t="inlineStr">
        <is>
          <t>A 19349-2024</t>
        </is>
      </c>
      <c r="B8703" s="1" t="n">
        <v>45428.97231481481</v>
      </c>
      <c r="C8703" s="1" t="n">
        <v>46075</v>
      </c>
      <c r="D8703" t="inlineStr">
        <is>
          <t>VÄSTERBOTTENS LÄN</t>
        </is>
      </c>
      <c r="E8703" t="inlineStr">
        <is>
          <t>VILHELMINA</t>
        </is>
      </c>
      <c r="F8703" t="inlineStr">
        <is>
          <t>SCA</t>
        </is>
      </c>
      <c r="G8703" t="n">
        <v>2.6</v>
      </c>
      <c r="H8703" t="n">
        <v>0</v>
      </c>
      <c r="I8703" t="n">
        <v>0</v>
      </c>
      <c r="J8703" t="n">
        <v>0</v>
      </c>
      <c r="K8703" t="n">
        <v>0</v>
      </c>
      <c r="L8703" t="n">
        <v>0</v>
      </c>
      <c r="M8703" t="n">
        <v>0</v>
      </c>
      <c r="N8703" t="n">
        <v>0</v>
      </c>
      <c r="O8703" t="n">
        <v>0</v>
      </c>
      <c r="P8703" t="n">
        <v>0</v>
      </c>
      <c r="Q8703" t="n">
        <v>0</v>
      </c>
      <c r="R8703" s="2" t="inlineStr"/>
    </row>
    <row r="8704" ht="15" customHeight="1">
      <c r="A8704" t="inlineStr">
        <is>
          <t>A 61063-2025</t>
        </is>
      </c>
      <c r="B8704" s="1" t="n">
        <v>46000.36539351852</v>
      </c>
      <c r="C8704" s="1" t="n">
        <v>46075</v>
      </c>
      <c r="D8704" t="inlineStr">
        <is>
          <t>VÄSTERBOTTENS LÄN</t>
        </is>
      </c>
      <c r="E8704" t="inlineStr">
        <is>
          <t>SKELLEFTEÅ</t>
        </is>
      </c>
      <c r="G8704" t="n">
        <v>4.1</v>
      </c>
      <c r="H8704" t="n">
        <v>0</v>
      </c>
      <c r="I8704" t="n">
        <v>0</v>
      </c>
      <c r="J8704" t="n">
        <v>0</v>
      </c>
      <c r="K8704" t="n">
        <v>0</v>
      </c>
      <c r="L8704" t="n">
        <v>0</v>
      </c>
      <c r="M8704" t="n">
        <v>0</v>
      </c>
      <c r="N8704" t="n">
        <v>0</v>
      </c>
      <c r="O8704" t="n">
        <v>0</v>
      </c>
      <c r="P8704" t="n">
        <v>0</v>
      </c>
      <c r="Q8704" t="n">
        <v>0</v>
      </c>
      <c r="R8704" s="2" t="inlineStr"/>
    </row>
    <row r="8705" ht="15" customHeight="1">
      <c r="A8705" t="inlineStr">
        <is>
          <t>A 61092-2025</t>
        </is>
      </c>
      <c r="B8705" s="1" t="n">
        <v>46000.43319444444</v>
      </c>
      <c r="C8705" s="1" t="n">
        <v>46075</v>
      </c>
      <c r="D8705" t="inlineStr">
        <is>
          <t>VÄSTERBOTTENS LÄN</t>
        </is>
      </c>
      <c r="E8705" t="inlineStr">
        <is>
          <t>ROBERTSFORS</t>
        </is>
      </c>
      <c r="F8705" t="inlineStr">
        <is>
          <t>Sveaskog</t>
        </is>
      </c>
      <c r="G8705" t="n">
        <v>2.8</v>
      </c>
      <c r="H8705" t="n">
        <v>0</v>
      </c>
      <c r="I8705" t="n">
        <v>0</v>
      </c>
      <c r="J8705" t="n">
        <v>0</v>
      </c>
      <c r="K8705" t="n">
        <v>0</v>
      </c>
      <c r="L8705" t="n">
        <v>0</v>
      </c>
      <c r="M8705" t="n">
        <v>0</v>
      </c>
      <c r="N8705" t="n">
        <v>0</v>
      </c>
      <c r="O8705" t="n">
        <v>0</v>
      </c>
      <c r="P8705" t="n">
        <v>0</v>
      </c>
      <c r="Q8705" t="n">
        <v>0</v>
      </c>
      <c r="R8705" s="2" t="inlineStr"/>
    </row>
    <row r="8706" ht="15" customHeight="1">
      <c r="A8706" t="inlineStr">
        <is>
          <t>A 3535-2026</t>
        </is>
      </c>
      <c r="B8706" s="1" t="n">
        <v>46042.62834490741</v>
      </c>
      <c r="C8706" s="1" t="n">
        <v>46075</v>
      </c>
      <c r="D8706" t="inlineStr">
        <is>
          <t>VÄSTERBOTTENS LÄN</t>
        </is>
      </c>
      <c r="E8706" t="inlineStr">
        <is>
          <t>NORSJÖ</t>
        </is>
      </c>
      <c r="G8706" t="n">
        <v>4.5</v>
      </c>
      <c r="H8706" t="n">
        <v>0</v>
      </c>
      <c r="I8706" t="n">
        <v>0</v>
      </c>
      <c r="J8706" t="n">
        <v>0</v>
      </c>
      <c r="K8706" t="n">
        <v>0</v>
      </c>
      <c r="L8706" t="n">
        <v>0</v>
      </c>
      <c r="M8706" t="n">
        <v>0</v>
      </c>
      <c r="N8706" t="n">
        <v>0</v>
      </c>
      <c r="O8706" t="n">
        <v>0</v>
      </c>
      <c r="P8706" t="n">
        <v>0</v>
      </c>
      <c r="Q8706" t="n">
        <v>0</v>
      </c>
      <c r="R8706" s="2" t="inlineStr"/>
    </row>
    <row r="8707" ht="15" customHeight="1">
      <c r="A8707" t="inlineStr">
        <is>
          <t>A 3538-2026</t>
        </is>
      </c>
      <c r="B8707" s="1" t="n">
        <v>46042.6296412037</v>
      </c>
      <c r="C8707" s="1" t="n">
        <v>46075</v>
      </c>
      <c r="D8707" t="inlineStr">
        <is>
          <t>VÄSTERBOTTENS LÄN</t>
        </is>
      </c>
      <c r="E8707" t="inlineStr">
        <is>
          <t>VÄNNÄS</t>
        </is>
      </c>
      <c r="G8707" t="n">
        <v>2.4</v>
      </c>
      <c r="H8707" t="n">
        <v>0</v>
      </c>
      <c r="I8707" t="n">
        <v>0</v>
      </c>
      <c r="J8707" t="n">
        <v>0</v>
      </c>
      <c r="K8707" t="n">
        <v>0</v>
      </c>
      <c r="L8707" t="n">
        <v>0</v>
      </c>
      <c r="M8707" t="n">
        <v>0</v>
      </c>
      <c r="N8707" t="n">
        <v>0</v>
      </c>
      <c r="O8707" t="n">
        <v>0</v>
      </c>
      <c r="P8707" t="n">
        <v>0</v>
      </c>
      <c r="Q8707" t="n">
        <v>0</v>
      </c>
      <c r="R8707" s="2" t="inlineStr"/>
    </row>
    <row r="8708" ht="15" customHeight="1">
      <c r="A8708" t="inlineStr">
        <is>
          <t>A 42216-2022</t>
        </is>
      </c>
      <c r="B8708" s="1" t="n">
        <v>44830</v>
      </c>
      <c r="C8708" s="1" t="n">
        <v>46075</v>
      </c>
      <c r="D8708" t="inlineStr">
        <is>
          <t>VÄSTERBOTTENS LÄN</t>
        </is>
      </c>
      <c r="E8708" t="inlineStr">
        <is>
          <t>LYCKSELE</t>
        </is>
      </c>
      <c r="G8708" t="n">
        <v>15.9</v>
      </c>
      <c r="H8708" t="n">
        <v>0</v>
      </c>
      <c r="I8708" t="n">
        <v>0</v>
      </c>
      <c r="J8708" t="n">
        <v>0</v>
      </c>
      <c r="K8708" t="n">
        <v>0</v>
      </c>
      <c r="L8708" t="n">
        <v>0</v>
      </c>
      <c r="M8708" t="n">
        <v>0</v>
      </c>
      <c r="N8708" t="n">
        <v>0</v>
      </c>
      <c r="O8708" t="n">
        <v>0</v>
      </c>
      <c r="P8708" t="n">
        <v>0</v>
      </c>
      <c r="Q8708" t="n">
        <v>0</v>
      </c>
      <c r="R8708" s="2" t="inlineStr"/>
    </row>
    <row r="8709" ht="15" customHeight="1">
      <c r="A8709" t="inlineStr">
        <is>
          <t>A 45727-2023</t>
        </is>
      </c>
      <c r="B8709" s="1" t="n">
        <v>45189</v>
      </c>
      <c r="C8709" s="1" t="n">
        <v>46075</v>
      </c>
      <c r="D8709" t="inlineStr">
        <is>
          <t>VÄSTERBOTTENS LÄN</t>
        </is>
      </c>
      <c r="E8709" t="inlineStr">
        <is>
          <t>SKELLEFTEÅ</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45744-2023</t>
        </is>
      </c>
      <c r="B8710" s="1" t="n">
        <v>45193</v>
      </c>
      <c r="C8710" s="1" t="n">
        <v>46075</v>
      </c>
      <c r="D8710" t="inlineStr">
        <is>
          <t>VÄSTERBOTTENS LÄN</t>
        </is>
      </c>
      <c r="E8710" t="inlineStr">
        <is>
          <t>MALÅ</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45800-2023</t>
        </is>
      </c>
      <c r="B8711" s="1" t="n">
        <v>45189</v>
      </c>
      <c r="C8711" s="1" t="n">
        <v>46075</v>
      </c>
      <c r="D8711" t="inlineStr">
        <is>
          <t>VÄSTERBOTTENS LÄN</t>
        </is>
      </c>
      <c r="E8711" t="inlineStr">
        <is>
          <t>ÅSELE</t>
        </is>
      </c>
      <c r="G8711" t="n">
        <v>42.1</v>
      </c>
      <c r="H8711" t="n">
        <v>0</v>
      </c>
      <c r="I8711" t="n">
        <v>0</v>
      </c>
      <c r="J8711" t="n">
        <v>0</v>
      </c>
      <c r="K8711" t="n">
        <v>0</v>
      </c>
      <c r="L8711" t="n">
        <v>0</v>
      </c>
      <c r="M8711" t="n">
        <v>0</v>
      </c>
      <c r="N8711" t="n">
        <v>0</v>
      </c>
      <c r="O8711" t="n">
        <v>0</v>
      </c>
      <c r="P8711" t="n">
        <v>0</v>
      </c>
      <c r="Q8711" t="n">
        <v>0</v>
      </c>
      <c r="R8711" s="2" t="inlineStr"/>
    </row>
    <row r="8712" ht="15" customHeight="1">
      <c r="A8712" t="inlineStr">
        <is>
          <t>A 45812-2023</t>
        </is>
      </c>
      <c r="B8712" s="1" t="n">
        <v>45189</v>
      </c>
      <c r="C8712" s="1" t="n">
        <v>46075</v>
      </c>
      <c r="D8712" t="inlineStr">
        <is>
          <t>VÄSTERBOTTENS LÄN</t>
        </is>
      </c>
      <c r="E8712" t="inlineStr">
        <is>
          <t>MALÅ</t>
        </is>
      </c>
      <c r="G8712" t="n">
        <v>7</v>
      </c>
      <c r="H8712" t="n">
        <v>0</v>
      </c>
      <c r="I8712" t="n">
        <v>0</v>
      </c>
      <c r="J8712" t="n">
        <v>0</v>
      </c>
      <c r="K8712" t="n">
        <v>0</v>
      </c>
      <c r="L8712" t="n">
        <v>0</v>
      </c>
      <c r="M8712" t="n">
        <v>0</v>
      </c>
      <c r="N8712" t="n">
        <v>0</v>
      </c>
      <c r="O8712" t="n">
        <v>0</v>
      </c>
      <c r="P8712" t="n">
        <v>0</v>
      </c>
      <c r="Q8712" t="n">
        <v>0</v>
      </c>
      <c r="R8712" s="2" t="inlineStr"/>
    </row>
    <row r="8713" ht="15" customHeight="1">
      <c r="A8713" t="inlineStr">
        <is>
          <t>A 72886-2021</t>
        </is>
      </c>
      <c r="B8713" s="1" t="n">
        <v>44546</v>
      </c>
      <c r="C8713" s="1" t="n">
        <v>46075</v>
      </c>
      <c r="D8713" t="inlineStr">
        <is>
          <t>VÄSTERBOTTENS LÄN</t>
        </is>
      </c>
      <c r="E8713" t="inlineStr">
        <is>
          <t>SORSELE</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58852-2024</t>
        </is>
      </c>
      <c r="B8714" s="1" t="n">
        <v>45635</v>
      </c>
      <c r="C8714" s="1" t="n">
        <v>46075</v>
      </c>
      <c r="D8714" t="inlineStr">
        <is>
          <t>VÄSTERBOTTENS LÄN</t>
        </is>
      </c>
      <c r="E8714" t="inlineStr">
        <is>
          <t>STORUMAN</t>
        </is>
      </c>
      <c r="F8714" t="inlineStr">
        <is>
          <t>Allmännings- och besparingsskogar</t>
        </is>
      </c>
      <c r="G8714" t="n">
        <v>455.1</v>
      </c>
      <c r="H8714" t="n">
        <v>0</v>
      </c>
      <c r="I8714" t="n">
        <v>0</v>
      </c>
      <c r="J8714" t="n">
        <v>0</v>
      </c>
      <c r="K8714" t="n">
        <v>0</v>
      </c>
      <c r="L8714" t="n">
        <v>0</v>
      </c>
      <c r="M8714" t="n">
        <v>0</v>
      </c>
      <c r="N8714" t="n">
        <v>0</v>
      </c>
      <c r="O8714" t="n">
        <v>0</v>
      </c>
      <c r="P8714" t="n">
        <v>0</v>
      </c>
      <c r="Q8714" t="n">
        <v>0</v>
      </c>
      <c r="R8714" s="2" t="inlineStr"/>
    </row>
    <row r="8715" ht="15" customHeight="1">
      <c r="A8715" t="inlineStr">
        <is>
          <t>A 44742-2024</t>
        </is>
      </c>
      <c r="B8715" s="1" t="n">
        <v>45574.59653935185</v>
      </c>
      <c r="C8715" s="1" t="n">
        <v>46075</v>
      </c>
      <c r="D8715" t="inlineStr">
        <is>
          <t>VÄSTERBOTTENS LÄN</t>
        </is>
      </c>
      <c r="E8715" t="inlineStr">
        <is>
          <t>ÅSELE</t>
        </is>
      </c>
      <c r="F8715" t="inlineStr">
        <is>
          <t>Sveaskog</t>
        </is>
      </c>
      <c r="G8715" t="n">
        <v>5.9</v>
      </c>
      <c r="H8715" t="n">
        <v>0</v>
      </c>
      <c r="I8715" t="n">
        <v>0</v>
      </c>
      <c r="J8715" t="n">
        <v>0</v>
      </c>
      <c r="K8715" t="n">
        <v>0</v>
      </c>
      <c r="L8715" t="n">
        <v>0</v>
      </c>
      <c r="M8715" t="n">
        <v>0</v>
      </c>
      <c r="N8715" t="n">
        <v>0</v>
      </c>
      <c r="O8715" t="n">
        <v>0</v>
      </c>
      <c r="P8715" t="n">
        <v>0</v>
      </c>
      <c r="Q8715" t="n">
        <v>0</v>
      </c>
      <c r="R8715" s="2" t="inlineStr"/>
    </row>
    <row r="8716" ht="15" customHeight="1">
      <c r="A8716" t="inlineStr">
        <is>
          <t>A 11971-2025</t>
        </is>
      </c>
      <c r="B8716" s="1" t="n">
        <v>45728</v>
      </c>
      <c r="C8716" s="1" t="n">
        <v>46075</v>
      </c>
      <c r="D8716" t="inlineStr">
        <is>
          <t>VÄSTERBOTTENS LÄN</t>
        </is>
      </c>
      <c r="E8716" t="inlineStr">
        <is>
          <t>SKELLEFTEÅ</t>
        </is>
      </c>
      <c r="G8716" t="n">
        <v>0.6</v>
      </c>
      <c r="H8716" t="n">
        <v>0</v>
      </c>
      <c r="I8716" t="n">
        <v>0</v>
      </c>
      <c r="J8716" t="n">
        <v>0</v>
      </c>
      <c r="K8716" t="n">
        <v>0</v>
      </c>
      <c r="L8716" t="n">
        <v>0</v>
      </c>
      <c r="M8716" t="n">
        <v>0</v>
      </c>
      <c r="N8716" t="n">
        <v>0</v>
      </c>
      <c r="O8716" t="n">
        <v>0</v>
      </c>
      <c r="P8716" t="n">
        <v>0</v>
      </c>
      <c r="Q8716" t="n">
        <v>0</v>
      </c>
      <c r="R8716" s="2" t="inlineStr"/>
    </row>
    <row r="8717" ht="15" customHeight="1">
      <c r="A8717" t="inlineStr">
        <is>
          <t>A 5232-2025</t>
        </is>
      </c>
      <c r="B8717" s="1" t="n">
        <v>45691</v>
      </c>
      <c r="C8717" s="1" t="n">
        <v>46075</v>
      </c>
      <c r="D8717" t="inlineStr">
        <is>
          <t>VÄSTERBOTTENS LÄN</t>
        </is>
      </c>
      <c r="E8717" t="inlineStr">
        <is>
          <t>UMEÅ</t>
        </is>
      </c>
      <c r="G8717" t="n">
        <v>4</v>
      </c>
      <c r="H8717" t="n">
        <v>0</v>
      </c>
      <c r="I8717" t="n">
        <v>0</v>
      </c>
      <c r="J8717" t="n">
        <v>0</v>
      </c>
      <c r="K8717" t="n">
        <v>0</v>
      </c>
      <c r="L8717" t="n">
        <v>0</v>
      </c>
      <c r="M8717" t="n">
        <v>0</v>
      </c>
      <c r="N8717" t="n">
        <v>0</v>
      </c>
      <c r="O8717" t="n">
        <v>0</v>
      </c>
      <c r="P8717" t="n">
        <v>0</v>
      </c>
      <c r="Q8717" t="n">
        <v>0</v>
      </c>
      <c r="R8717" s="2" t="inlineStr"/>
    </row>
    <row r="8718" ht="15" customHeight="1">
      <c r="A8718" t="inlineStr">
        <is>
          <t>A 3829-2026</t>
        </is>
      </c>
      <c r="B8718" s="1" t="n">
        <v>46043.58797453704</v>
      </c>
      <c r="C8718" s="1" t="n">
        <v>46075</v>
      </c>
      <c r="D8718" t="inlineStr">
        <is>
          <t>VÄSTERBOTTENS LÄN</t>
        </is>
      </c>
      <c r="E8718" t="inlineStr">
        <is>
          <t>UMEÅ</t>
        </is>
      </c>
      <c r="G8718" t="n">
        <v>3.4</v>
      </c>
      <c r="H8718" t="n">
        <v>0</v>
      </c>
      <c r="I8718" t="n">
        <v>0</v>
      </c>
      <c r="J8718" t="n">
        <v>0</v>
      </c>
      <c r="K8718" t="n">
        <v>0</v>
      </c>
      <c r="L8718" t="n">
        <v>0</v>
      </c>
      <c r="M8718" t="n">
        <v>0</v>
      </c>
      <c r="N8718" t="n">
        <v>0</v>
      </c>
      <c r="O8718" t="n">
        <v>0</v>
      </c>
      <c r="P8718" t="n">
        <v>0</v>
      </c>
      <c r="Q8718" t="n">
        <v>0</v>
      </c>
      <c r="R8718" s="2" t="inlineStr"/>
    </row>
    <row r="8719" ht="15" customHeight="1">
      <c r="A8719" t="inlineStr">
        <is>
          <t>A 3858-2026</t>
        </is>
      </c>
      <c r="B8719" s="1" t="n">
        <v>46043.61787037037</v>
      </c>
      <c r="C8719" s="1" t="n">
        <v>46075</v>
      </c>
      <c r="D8719" t="inlineStr">
        <is>
          <t>VÄSTERBOTTENS LÄN</t>
        </is>
      </c>
      <c r="E8719" t="inlineStr">
        <is>
          <t>NORDMALING</t>
        </is>
      </c>
      <c r="G8719" t="n">
        <v>3.7</v>
      </c>
      <c r="H8719" t="n">
        <v>0</v>
      </c>
      <c r="I8719" t="n">
        <v>0</v>
      </c>
      <c r="J8719" t="n">
        <v>0</v>
      </c>
      <c r="K8719" t="n">
        <v>0</v>
      </c>
      <c r="L8719" t="n">
        <v>0</v>
      </c>
      <c r="M8719" t="n">
        <v>0</v>
      </c>
      <c r="N8719" t="n">
        <v>0</v>
      </c>
      <c r="O8719" t="n">
        <v>0</v>
      </c>
      <c r="P8719" t="n">
        <v>0</v>
      </c>
      <c r="Q8719" t="n">
        <v>0</v>
      </c>
      <c r="R8719" s="2" t="inlineStr"/>
    </row>
    <row r="8720" ht="15" customHeight="1">
      <c r="A8720" t="inlineStr">
        <is>
          <t>A 52671-2024</t>
        </is>
      </c>
      <c r="B8720" s="1" t="n">
        <v>45610.38056712963</v>
      </c>
      <c r="C8720" s="1" t="n">
        <v>46075</v>
      </c>
      <c r="D8720" t="inlineStr">
        <is>
          <t>VÄSTERBOTTENS LÄN</t>
        </is>
      </c>
      <c r="E8720" t="inlineStr">
        <is>
          <t>BJURHOLM</t>
        </is>
      </c>
      <c r="F8720" t="inlineStr">
        <is>
          <t>Holmen skog AB</t>
        </is>
      </c>
      <c r="G8720" t="n">
        <v>4.4</v>
      </c>
      <c r="H8720" t="n">
        <v>0</v>
      </c>
      <c r="I8720" t="n">
        <v>0</v>
      </c>
      <c r="J8720" t="n">
        <v>0</v>
      </c>
      <c r="K8720" t="n">
        <v>0</v>
      </c>
      <c r="L8720" t="n">
        <v>0</v>
      </c>
      <c r="M8720" t="n">
        <v>0</v>
      </c>
      <c r="N8720" t="n">
        <v>0</v>
      </c>
      <c r="O8720" t="n">
        <v>0</v>
      </c>
      <c r="P8720" t="n">
        <v>0</v>
      </c>
      <c r="Q8720" t="n">
        <v>0</v>
      </c>
      <c r="R8720" s="2" t="inlineStr"/>
    </row>
    <row r="8721" ht="15" customHeight="1">
      <c r="A8721" t="inlineStr">
        <is>
          <t>A 3879-2026</t>
        </is>
      </c>
      <c r="B8721" s="1" t="n">
        <v>46043</v>
      </c>
      <c r="C8721" s="1" t="n">
        <v>46075</v>
      </c>
      <c r="D8721" t="inlineStr">
        <is>
          <t>VÄSTERBOTTENS LÄN</t>
        </is>
      </c>
      <c r="E8721" t="inlineStr">
        <is>
          <t>SORSELE</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67677-2021</t>
        </is>
      </c>
      <c r="B8722" s="1" t="n">
        <v>44524.9221412037</v>
      </c>
      <c r="C8722" s="1" t="n">
        <v>46075</v>
      </c>
      <c r="D8722" t="inlineStr">
        <is>
          <t>VÄSTERBOTTENS LÄN</t>
        </is>
      </c>
      <c r="E8722" t="inlineStr">
        <is>
          <t>NORSJÖ</t>
        </is>
      </c>
      <c r="G8722" t="n">
        <v>2.4</v>
      </c>
      <c r="H8722" t="n">
        <v>0</v>
      </c>
      <c r="I8722" t="n">
        <v>0</v>
      </c>
      <c r="J8722" t="n">
        <v>0</v>
      </c>
      <c r="K8722" t="n">
        <v>0</v>
      </c>
      <c r="L8722" t="n">
        <v>0</v>
      </c>
      <c r="M8722" t="n">
        <v>0</v>
      </c>
      <c r="N8722" t="n">
        <v>0</v>
      </c>
      <c r="O8722" t="n">
        <v>0</v>
      </c>
      <c r="P8722" t="n">
        <v>0</v>
      </c>
      <c r="Q8722" t="n">
        <v>0</v>
      </c>
      <c r="R8722" s="2" t="inlineStr"/>
    </row>
    <row r="8723" ht="15" customHeight="1">
      <c r="A8723" t="inlineStr">
        <is>
          <t>A 67679-2021</t>
        </is>
      </c>
      <c r="B8723" s="1" t="n">
        <v>44524</v>
      </c>
      <c r="C8723" s="1" t="n">
        <v>46075</v>
      </c>
      <c r="D8723" t="inlineStr">
        <is>
          <t>VÄSTERBOTTENS LÄN</t>
        </is>
      </c>
      <c r="E8723" t="inlineStr">
        <is>
          <t>MALÅ</t>
        </is>
      </c>
      <c r="G8723" t="n">
        <v>3</v>
      </c>
      <c r="H8723" t="n">
        <v>0</v>
      </c>
      <c r="I8723" t="n">
        <v>0</v>
      </c>
      <c r="J8723" t="n">
        <v>0</v>
      </c>
      <c r="K8723" t="n">
        <v>0</v>
      </c>
      <c r="L8723" t="n">
        <v>0</v>
      </c>
      <c r="M8723" t="n">
        <v>0</v>
      </c>
      <c r="N8723" t="n">
        <v>0</v>
      </c>
      <c r="O8723" t="n">
        <v>0</v>
      </c>
      <c r="P8723" t="n">
        <v>0</v>
      </c>
      <c r="Q8723" t="n">
        <v>0</v>
      </c>
      <c r="R8723" s="2" t="inlineStr"/>
    </row>
    <row r="8724" ht="15" customHeight="1">
      <c r="A8724" t="inlineStr">
        <is>
          <t>A 67686-2021</t>
        </is>
      </c>
      <c r="B8724" s="1" t="n">
        <v>44524</v>
      </c>
      <c r="C8724" s="1" t="n">
        <v>46075</v>
      </c>
      <c r="D8724" t="inlineStr">
        <is>
          <t>VÄSTERBOTTENS LÄN</t>
        </is>
      </c>
      <c r="E8724" t="inlineStr">
        <is>
          <t>DOROTEA</t>
        </is>
      </c>
      <c r="F8724" t="inlineStr">
        <is>
          <t>SCA</t>
        </is>
      </c>
      <c r="G8724" t="n">
        <v>4</v>
      </c>
      <c r="H8724" t="n">
        <v>0</v>
      </c>
      <c r="I8724" t="n">
        <v>0</v>
      </c>
      <c r="J8724" t="n">
        <v>0</v>
      </c>
      <c r="K8724" t="n">
        <v>0</v>
      </c>
      <c r="L8724" t="n">
        <v>0</v>
      </c>
      <c r="M8724" t="n">
        <v>0</v>
      </c>
      <c r="N8724" t="n">
        <v>0</v>
      </c>
      <c r="O8724" t="n">
        <v>0</v>
      </c>
      <c r="P8724" t="n">
        <v>0</v>
      </c>
      <c r="Q8724" t="n">
        <v>0</v>
      </c>
      <c r="R8724" s="2" t="inlineStr"/>
    </row>
    <row r="8725" ht="15" customHeight="1">
      <c r="A8725" t="inlineStr">
        <is>
          <t>A 3373-2025</t>
        </is>
      </c>
      <c r="B8725" s="1" t="n">
        <v>45680.30523148148</v>
      </c>
      <c r="C8725" s="1" t="n">
        <v>46075</v>
      </c>
      <c r="D8725" t="inlineStr">
        <is>
          <t>VÄSTERBOTTENS LÄN</t>
        </is>
      </c>
      <c r="E8725" t="inlineStr">
        <is>
          <t>SKELLEFTEÅ</t>
        </is>
      </c>
      <c r="G8725" t="n">
        <v>8</v>
      </c>
      <c r="H8725" t="n">
        <v>0</v>
      </c>
      <c r="I8725" t="n">
        <v>0</v>
      </c>
      <c r="J8725" t="n">
        <v>0</v>
      </c>
      <c r="K8725" t="n">
        <v>0</v>
      </c>
      <c r="L8725" t="n">
        <v>0</v>
      </c>
      <c r="M8725" t="n">
        <v>0</v>
      </c>
      <c r="N8725" t="n">
        <v>0</v>
      </c>
      <c r="O8725" t="n">
        <v>0</v>
      </c>
      <c r="P8725" t="n">
        <v>0</v>
      </c>
      <c r="Q8725" t="n">
        <v>0</v>
      </c>
      <c r="R8725" s="2" t="inlineStr"/>
    </row>
    <row r="8726" ht="15" customHeight="1">
      <c r="A8726" t="inlineStr">
        <is>
          <t>A 64179-2021</t>
        </is>
      </c>
      <c r="B8726" s="1" t="n">
        <v>44510</v>
      </c>
      <c r="C8726" s="1" t="n">
        <v>46075</v>
      </c>
      <c r="D8726" t="inlineStr">
        <is>
          <t>VÄSTERBOTTENS LÄN</t>
        </is>
      </c>
      <c r="E8726" t="inlineStr">
        <is>
          <t>NORSJÖ</t>
        </is>
      </c>
      <c r="F8726" t="inlineStr">
        <is>
          <t>Holmen skog AB</t>
        </is>
      </c>
      <c r="G8726" t="n">
        <v>1.6</v>
      </c>
      <c r="H8726" t="n">
        <v>0</v>
      </c>
      <c r="I8726" t="n">
        <v>0</v>
      </c>
      <c r="J8726" t="n">
        <v>0</v>
      </c>
      <c r="K8726" t="n">
        <v>0</v>
      </c>
      <c r="L8726" t="n">
        <v>0</v>
      </c>
      <c r="M8726" t="n">
        <v>0</v>
      </c>
      <c r="N8726" t="n">
        <v>0</v>
      </c>
      <c r="O8726" t="n">
        <v>0</v>
      </c>
      <c r="P8726" t="n">
        <v>0</v>
      </c>
      <c r="Q8726" t="n">
        <v>0</v>
      </c>
      <c r="R8726" s="2" t="inlineStr"/>
    </row>
    <row r="8727" ht="15" customHeight="1">
      <c r="A8727" t="inlineStr">
        <is>
          <t>A 3558-2026</t>
        </is>
      </c>
      <c r="B8727" s="1" t="n">
        <v>46042.67096064815</v>
      </c>
      <c r="C8727" s="1" t="n">
        <v>46075</v>
      </c>
      <c r="D8727" t="inlineStr">
        <is>
          <t>VÄSTERBOTTENS LÄN</t>
        </is>
      </c>
      <c r="E8727" t="inlineStr">
        <is>
          <t>ÅSELE</t>
        </is>
      </c>
      <c r="F8727" t="inlineStr">
        <is>
          <t>SCA</t>
        </is>
      </c>
      <c r="G8727" t="n">
        <v>6.1</v>
      </c>
      <c r="H8727" t="n">
        <v>0</v>
      </c>
      <c r="I8727" t="n">
        <v>0</v>
      </c>
      <c r="J8727" t="n">
        <v>0</v>
      </c>
      <c r="K8727" t="n">
        <v>0</v>
      </c>
      <c r="L8727" t="n">
        <v>0</v>
      </c>
      <c r="M8727" t="n">
        <v>0</v>
      </c>
      <c r="N8727" t="n">
        <v>0</v>
      </c>
      <c r="O8727" t="n">
        <v>0</v>
      </c>
      <c r="P8727" t="n">
        <v>0</v>
      </c>
      <c r="Q8727" t="n">
        <v>0</v>
      </c>
      <c r="R8727" s="2" t="inlineStr"/>
    </row>
    <row r="8728" ht="15" customHeight="1">
      <c r="A8728" t="inlineStr">
        <is>
          <t>A 59442-2024</t>
        </is>
      </c>
      <c r="B8728" s="1" t="n">
        <v>45638.44524305555</v>
      </c>
      <c r="C8728" s="1" t="n">
        <v>46075</v>
      </c>
      <c r="D8728" t="inlineStr">
        <is>
          <t>VÄSTERBOTTENS LÄN</t>
        </is>
      </c>
      <c r="E8728" t="inlineStr">
        <is>
          <t>SKELLEFTEÅ</t>
        </is>
      </c>
      <c r="F8728" t="inlineStr">
        <is>
          <t>Holmen skog AB</t>
        </is>
      </c>
      <c r="G8728" t="n">
        <v>3.9</v>
      </c>
      <c r="H8728" t="n">
        <v>0</v>
      </c>
      <c r="I8728" t="n">
        <v>0</v>
      </c>
      <c r="J8728" t="n">
        <v>0</v>
      </c>
      <c r="K8728" t="n">
        <v>0</v>
      </c>
      <c r="L8728" t="n">
        <v>0</v>
      </c>
      <c r="M8728" t="n">
        <v>0</v>
      </c>
      <c r="N8728" t="n">
        <v>0</v>
      </c>
      <c r="O8728" t="n">
        <v>0</v>
      </c>
      <c r="P8728" t="n">
        <v>0</v>
      </c>
      <c r="Q8728" t="n">
        <v>0</v>
      </c>
      <c r="R8728" s="2" t="inlineStr"/>
    </row>
    <row r="8729" ht="15" customHeight="1">
      <c r="A8729" t="inlineStr">
        <is>
          <t>A 59443-2024</t>
        </is>
      </c>
      <c r="B8729" s="1" t="n">
        <v>45638.44944444444</v>
      </c>
      <c r="C8729" s="1" t="n">
        <v>46075</v>
      </c>
      <c r="D8729" t="inlineStr">
        <is>
          <t>VÄSTERBOTTENS LÄN</t>
        </is>
      </c>
      <c r="E8729" t="inlineStr">
        <is>
          <t>SKELLEFTEÅ</t>
        </is>
      </c>
      <c r="F8729" t="inlineStr">
        <is>
          <t>Sveaskog</t>
        </is>
      </c>
      <c r="G8729" t="n">
        <v>11.7</v>
      </c>
      <c r="H8729" t="n">
        <v>0</v>
      </c>
      <c r="I8729" t="n">
        <v>0</v>
      </c>
      <c r="J8729" t="n">
        <v>0</v>
      </c>
      <c r="K8729" t="n">
        <v>0</v>
      </c>
      <c r="L8729" t="n">
        <v>0</v>
      </c>
      <c r="M8729" t="n">
        <v>0</v>
      </c>
      <c r="N8729" t="n">
        <v>0</v>
      </c>
      <c r="O8729" t="n">
        <v>0</v>
      </c>
      <c r="P8729" t="n">
        <v>0</v>
      </c>
      <c r="Q8729" t="n">
        <v>0</v>
      </c>
      <c r="R8729" s="2" t="inlineStr"/>
    </row>
    <row r="8730" ht="15" customHeight="1">
      <c r="A8730" t="inlineStr">
        <is>
          <t>A 8441-2025</t>
        </is>
      </c>
      <c r="B8730" s="1" t="n">
        <v>45709.44854166666</v>
      </c>
      <c r="C8730" s="1" t="n">
        <v>46075</v>
      </c>
      <c r="D8730" t="inlineStr">
        <is>
          <t>VÄSTERBOTTENS LÄN</t>
        </is>
      </c>
      <c r="E8730" t="inlineStr">
        <is>
          <t>MALÅ</t>
        </is>
      </c>
      <c r="F8730" t="inlineStr">
        <is>
          <t>SCA</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3644-2026</t>
        </is>
      </c>
      <c r="B8731" s="1" t="n">
        <v>46043.35940972222</v>
      </c>
      <c r="C8731" s="1" t="n">
        <v>46075</v>
      </c>
      <c r="D8731" t="inlineStr">
        <is>
          <t>VÄSTERBOTTENS LÄN</t>
        </is>
      </c>
      <c r="E8731" t="inlineStr">
        <is>
          <t>SKELLEFTEÅ</t>
        </is>
      </c>
      <c r="G8731" t="n">
        <v>1.8</v>
      </c>
      <c r="H8731" t="n">
        <v>0</v>
      </c>
      <c r="I8731" t="n">
        <v>0</v>
      </c>
      <c r="J8731" t="n">
        <v>0</v>
      </c>
      <c r="K8731" t="n">
        <v>0</v>
      </c>
      <c r="L8731" t="n">
        <v>0</v>
      </c>
      <c r="M8731" t="n">
        <v>0</v>
      </c>
      <c r="N8731" t="n">
        <v>0</v>
      </c>
      <c r="O8731" t="n">
        <v>0</v>
      </c>
      <c r="P8731" t="n">
        <v>0</v>
      </c>
      <c r="Q8731" t="n">
        <v>0</v>
      </c>
      <c r="R8731" s="2" t="inlineStr"/>
    </row>
    <row r="8732" ht="15" customHeight="1">
      <c r="A8732" t="inlineStr">
        <is>
          <t>A 60810-2023</t>
        </is>
      </c>
      <c r="B8732" s="1" t="n">
        <v>45260</v>
      </c>
      <c r="C8732" s="1" t="n">
        <v>46075</v>
      </c>
      <c r="D8732" t="inlineStr">
        <is>
          <t>VÄSTERBOTTENS LÄN</t>
        </is>
      </c>
      <c r="E8732" t="inlineStr">
        <is>
          <t>VINDELN</t>
        </is>
      </c>
      <c r="G8732" t="n">
        <v>2.8</v>
      </c>
      <c r="H8732" t="n">
        <v>0</v>
      </c>
      <c r="I8732" t="n">
        <v>0</v>
      </c>
      <c r="J8732" t="n">
        <v>0</v>
      </c>
      <c r="K8732" t="n">
        <v>0</v>
      </c>
      <c r="L8732" t="n">
        <v>0</v>
      </c>
      <c r="M8732" t="n">
        <v>0</v>
      </c>
      <c r="N8732" t="n">
        <v>0</v>
      </c>
      <c r="O8732" t="n">
        <v>0</v>
      </c>
      <c r="P8732" t="n">
        <v>0</v>
      </c>
      <c r="Q8732" t="n">
        <v>0</v>
      </c>
      <c r="R8732" s="2" t="inlineStr"/>
    </row>
    <row r="8733" ht="15" customHeight="1">
      <c r="A8733" t="inlineStr">
        <is>
          <t>A 32200-2022</t>
        </is>
      </c>
      <c r="B8733" s="1" t="n">
        <v>44781</v>
      </c>
      <c r="C8733" s="1" t="n">
        <v>46075</v>
      </c>
      <c r="D8733" t="inlineStr">
        <is>
          <t>VÄSTERBOTTENS LÄN</t>
        </is>
      </c>
      <c r="E8733" t="inlineStr">
        <is>
          <t>SKELLEFTEÅ</t>
        </is>
      </c>
      <c r="F8733" t="inlineStr">
        <is>
          <t>Kommuner</t>
        </is>
      </c>
      <c r="G8733" t="n">
        <v>20.6</v>
      </c>
      <c r="H8733" t="n">
        <v>0</v>
      </c>
      <c r="I8733" t="n">
        <v>0</v>
      </c>
      <c r="J8733" t="n">
        <v>0</v>
      </c>
      <c r="K8733" t="n">
        <v>0</v>
      </c>
      <c r="L8733" t="n">
        <v>0</v>
      </c>
      <c r="M8733" t="n">
        <v>0</v>
      </c>
      <c r="N8733" t="n">
        <v>0</v>
      </c>
      <c r="O8733" t="n">
        <v>0</v>
      </c>
      <c r="P8733" t="n">
        <v>0</v>
      </c>
      <c r="Q8733" t="n">
        <v>0</v>
      </c>
      <c r="R8733" s="2" t="inlineStr"/>
    </row>
    <row r="8734" ht="15" customHeight="1">
      <c r="A8734" t="inlineStr">
        <is>
          <t>A 57543-2025</t>
        </is>
      </c>
      <c r="B8734" s="1" t="n">
        <v>45980</v>
      </c>
      <c r="C8734" s="1" t="n">
        <v>46075</v>
      </c>
      <c r="D8734" t="inlineStr">
        <is>
          <t>VÄSTERBOTTENS LÄN</t>
        </is>
      </c>
      <c r="E8734" t="inlineStr">
        <is>
          <t>SKELLEFTEÅ</t>
        </is>
      </c>
      <c r="G8734" t="n">
        <v>2.8</v>
      </c>
      <c r="H8734" t="n">
        <v>0</v>
      </c>
      <c r="I8734" t="n">
        <v>0</v>
      </c>
      <c r="J8734" t="n">
        <v>0</v>
      </c>
      <c r="K8734" t="n">
        <v>0</v>
      </c>
      <c r="L8734" t="n">
        <v>0</v>
      </c>
      <c r="M8734" t="n">
        <v>0</v>
      </c>
      <c r="N8734" t="n">
        <v>0</v>
      </c>
      <c r="O8734" t="n">
        <v>0</v>
      </c>
      <c r="P8734" t="n">
        <v>0</v>
      </c>
      <c r="Q8734" t="n">
        <v>0</v>
      </c>
      <c r="R8734" s="2" t="inlineStr"/>
    </row>
    <row r="8735" ht="15" customHeight="1">
      <c r="A8735" t="inlineStr">
        <is>
          <t>A 46440-2023</t>
        </is>
      </c>
      <c r="B8735" s="1" t="n">
        <v>45197.5899537037</v>
      </c>
      <c r="C8735" s="1" t="n">
        <v>46075</v>
      </c>
      <c r="D8735" t="inlineStr">
        <is>
          <t>VÄSTERBOTTENS LÄN</t>
        </is>
      </c>
      <c r="E8735" t="inlineStr">
        <is>
          <t>SKELLEFTEÅ</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61335-2025</t>
        </is>
      </c>
      <c r="B8736" s="1" t="n">
        <v>46001.3443287037</v>
      </c>
      <c r="C8736" s="1" t="n">
        <v>46075</v>
      </c>
      <c r="D8736" t="inlineStr">
        <is>
          <t>VÄSTERBOTTENS LÄN</t>
        </is>
      </c>
      <c r="E8736" t="inlineStr">
        <is>
          <t>LYCKSELE</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61338-2025</t>
        </is>
      </c>
      <c r="B8737" s="1" t="n">
        <v>46001.34715277778</v>
      </c>
      <c r="C8737" s="1" t="n">
        <v>46075</v>
      </c>
      <c r="D8737" t="inlineStr">
        <is>
          <t>VÄSTERBOTTENS LÄN</t>
        </is>
      </c>
      <c r="E8737" t="inlineStr">
        <is>
          <t>NORSJÖ</t>
        </is>
      </c>
      <c r="G8737" t="n">
        <v>2.1</v>
      </c>
      <c r="H8737" t="n">
        <v>0</v>
      </c>
      <c r="I8737" t="n">
        <v>0</v>
      </c>
      <c r="J8737" t="n">
        <v>0</v>
      </c>
      <c r="K8737" t="n">
        <v>0</v>
      </c>
      <c r="L8737" t="n">
        <v>0</v>
      </c>
      <c r="M8737" t="n">
        <v>0</v>
      </c>
      <c r="N8737" t="n">
        <v>0</v>
      </c>
      <c r="O8737" t="n">
        <v>0</v>
      </c>
      <c r="P8737" t="n">
        <v>0</v>
      </c>
      <c r="Q8737" t="n">
        <v>0</v>
      </c>
      <c r="R8737" s="2" t="inlineStr"/>
    </row>
    <row r="8738" ht="15" customHeight="1">
      <c r="A8738" t="inlineStr">
        <is>
          <t>A 41793-2024</t>
        </is>
      </c>
      <c r="B8738" s="1" t="n">
        <v>45561.35800925926</v>
      </c>
      <c r="C8738" s="1" t="n">
        <v>46075</v>
      </c>
      <c r="D8738" t="inlineStr">
        <is>
          <t>VÄSTERBOTTENS LÄN</t>
        </is>
      </c>
      <c r="E8738" t="inlineStr">
        <is>
          <t>LYCKSELE</t>
        </is>
      </c>
      <c r="F8738" t="inlineStr">
        <is>
          <t>Sveaskog</t>
        </is>
      </c>
      <c r="G8738" t="n">
        <v>7.1</v>
      </c>
      <c r="H8738" t="n">
        <v>0</v>
      </c>
      <c r="I8738" t="n">
        <v>0</v>
      </c>
      <c r="J8738" t="n">
        <v>0</v>
      </c>
      <c r="K8738" t="n">
        <v>0</v>
      </c>
      <c r="L8738" t="n">
        <v>0</v>
      </c>
      <c r="M8738" t="n">
        <v>0</v>
      </c>
      <c r="N8738" t="n">
        <v>0</v>
      </c>
      <c r="O8738" t="n">
        <v>0</v>
      </c>
      <c r="P8738" t="n">
        <v>0</v>
      </c>
      <c r="Q8738" t="n">
        <v>0</v>
      </c>
      <c r="R8738" s="2" t="inlineStr"/>
    </row>
    <row r="8739" ht="15" customHeight="1">
      <c r="A8739" t="inlineStr">
        <is>
          <t>A 61118-2025</t>
        </is>
      </c>
      <c r="B8739" s="1" t="n">
        <v>46000.46293981482</v>
      </c>
      <c r="C8739" s="1" t="n">
        <v>46075</v>
      </c>
      <c r="D8739" t="inlineStr">
        <is>
          <t>VÄSTERBOTTENS LÄN</t>
        </is>
      </c>
      <c r="E8739" t="inlineStr">
        <is>
          <t>VÄNNÄS</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61153-2025</t>
        </is>
      </c>
      <c r="B8740" s="1" t="n">
        <v>46000.54172453703</v>
      </c>
      <c r="C8740" s="1" t="n">
        <v>46075</v>
      </c>
      <c r="D8740" t="inlineStr">
        <is>
          <t>VÄSTERBOTTENS LÄN</t>
        </is>
      </c>
      <c r="E8740" t="inlineStr">
        <is>
          <t>BJURHOLM</t>
        </is>
      </c>
      <c r="G8740" t="n">
        <v>6.4</v>
      </c>
      <c r="H8740" t="n">
        <v>0</v>
      </c>
      <c r="I8740" t="n">
        <v>0</v>
      </c>
      <c r="J8740" t="n">
        <v>0</v>
      </c>
      <c r="K8740" t="n">
        <v>0</v>
      </c>
      <c r="L8740" t="n">
        <v>0</v>
      </c>
      <c r="M8740" t="n">
        <v>0</v>
      </c>
      <c r="N8740" t="n">
        <v>0</v>
      </c>
      <c r="O8740" t="n">
        <v>0</v>
      </c>
      <c r="P8740" t="n">
        <v>0</v>
      </c>
      <c r="Q8740" t="n">
        <v>0</v>
      </c>
      <c r="R8740" s="2" t="inlineStr"/>
    </row>
    <row r="8741" ht="15" customHeight="1">
      <c r="A8741" t="inlineStr">
        <is>
          <t>A 61353-2025</t>
        </is>
      </c>
      <c r="B8741" s="1" t="n">
        <v>46001.38703703704</v>
      </c>
      <c r="C8741" s="1" t="n">
        <v>46075</v>
      </c>
      <c r="D8741" t="inlineStr">
        <is>
          <t>VÄSTERBOTTENS LÄN</t>
        </is>
      </c>
      <c r="E8741" t="inlineStr">
        <is>
          <t>LYCKSELE</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34784-2023</t>
        </is>
      </c>
      <c r="B8742" s="1" t="n">
        <v>45141</v>
      </c>
      <c r="C8742" s="1" t="n">
        <v>46075</v>
      </c>
      <c r="D8742" t="inlineStr">
        <is>
          <t>VÄSTERBOTTENS LÄN</t>
        </is>
      </c>
      <c r="E8742" t="inlineStr">
        <is>
          <t>BJURHOLM</t>
        </is>
      </c>
      <c r="F8742" t="inlineStr">
        <is>
          <t>Holmen skog AB</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3814-2026</t>
        </is>
      </c>
      <c r="B8743" s="1" t="n">
        <v>46043.58465277778</v>
      </c>
      <c r="C8743" s="1" t="n">
        <v>46075</v>
      </c>
      <c r="D8743" t="inlineStr">
        <is>
          <t>VÄSTERBOTTENS LÄN</t>
        </is>
      </c>
      <c r="E8743" t="inlineStr">
        <is>
          <t>SKELLEFTEÅ</t>
        </is>
      </c>
      <c r="G8743" t="n">
        <v>6.4</v>
      </c>
      <c r="H8743" t="n">
        <v>0</v>
      </c>
      <c r="I8743" t="n">
        <v>0</v>
      </c>
      <c r="J8743" t="n">
        <v>0</v>
      </c>
      <c r="K8743" t="n">
        <v>0</v>
      </c>
      <c r="L8743" t="n">
        <v>0</v>
      </c>
      <c r="M8743" t="n">
        <v>0</v>
      </c>
      <c r="N8743" t="n">
        <v>0</v>
      </c>
      <c r="O8743" t="n">
        <v>0</v>
      </c>
      <c r="P8743" t="n">
        <v>0</v>
      </c>
      <c r="Q8743" t="n">
        <v>0</v>
      </c>
      <c r="R8743" s="2" t="inlineStr"/>
    </row>
    <row r="8744" ht="15" customHeight="1">
      <c r="A8744" t="inlineStr">
        <is>
          <t>A 61351-2025</t>
        </is>
      </c>
      <c r="B8744" s="1" t="n">
        <v>46001.38690972222</v>
      </c>
      <c r="C8744" s="1" t="n">
        <v>46075</v>
      </c>
      <c r="D8744" t="inlineStr">
        <is>
          <t>VÄSTERBOTTENS LÄN</t>
        </is>
      </c>
      <c r="E8744" t="inlineStr">
        <is>
          <t>LYCKSELE</t>
        </is>
      </c>
      <c r="G8744" t="n">
        <v>8.199999999999999</v>
      </c>
      <c r="H8744" t="n">
        <v>0</v>
      </c>
      <c r="I8744" t="n">
        <v>0</v>
      </c>
      <c r="J8744" t="n">
        <v>0</v>
      </c>
      <c r="K8744" t="n">
        <v>0</v>
      </c>
      <c r="L8744" t="n">
        <v>0</v>
      </c>
      <c r="M8744" t="n">
        <v>0</v>
      </c>
      <c r="N8744" t="n">
        <v>0</v>
      </c>
      <c r="O8744" t="n">
        <v>0</v>
      </c>
      <c r="P8744" t="n">
        <v>0</v>
      </c>
      <c r="Q8744" t="n">
        <v>0</v>
      </c>
      <c r="R8744" s="2" t="inlineStr"/>
    </row>
    <row r="8745" ht="15" customHeight="1">
      <c r="A8745" t="inlineStr">
        <is>
          <t>A 12839-2022</t>
        </is>
      </c>
      <c r="B8745" s="1" t="n">
        <v>44642</v>
      </c>
      <c r="C8745" s="1" t="n">
        <v>46075</v>
      </c>
      <c r="D8745" t="inlineStr">
        <is>
          <t>VÄSTERBOTTENS LÄN</t>
        </is>
      </c>
      <c r="E8745" t="inlineStr">
        <is>
          <t>LYCKSELE</t>
        </is>
      </c>
      <c r="G8745" t="n">
        <v>7.3</v>
      </c>
      <c r="H8745" t="n">
        <v>0</v>
      </c>
      <c r="I8745" t="n">
        <v>0</v>
      </c>
      <c r="J8745" t="n">
        <v>0</v>
      </c>
      <c r="K8745" t="n">
        <v>0</v>
      </c>
      <c r="L8745" t="n">
        <v>0</v>
      </c>
      <c r="M8745" t="n">
        <v>0</v>
      </c>
      <c r="N8745" t="n">
        <v>0</v>
      </c>
      <c r="O8745" t="n">
        <v>0</v>
      </c>
      <c r="P8745" t="n">
        <v>0</v>
      </c>
      <c r="Q8745" t="n">
        <v>0</v>
      </c>
      <c r="R8745" s="2" t="inlineStr"/>
    </row>
    <row r="8746" ht="15" customHeight="1">
      <c r="A8746" t="inlineStr">
        <is>
          <t>A 6463-2024</t>
        </is>
      </c>
      <c r="B8746" s="1" t="n">
        <v>45338</v>
      </c>
      <c r="C8746" s="1" t="n">
        <v>46075</v>
      </c>
      <c r="D8746" t="inlineStr">
        <is>
          <t>VÄSTERBOTTENS LÄN</t>
        </is>
      </c>
      <c r="E8746" t="inlineStr">
        <is>
          <t>VINDELN</t>
        </is>
      </c>
      <c r="G8746" t="n">
        <v>3.8</v>
      </c>
      <c r="H8746" t="n">
        <v>0</v>
      </c>
      <c r="I8746" t="n">
        <v>0</v>
      </c>
      <c r="J8746" t="n">
        <v>0</v>
      </c>
      <c r="K8746" t="n">
        <v>0</v>
      </c>
      <c r="L8746" t="n">
        <v>0</v>
      </c>
      <c r="M8746" t="n">
        <v>0</v>
      </c>
      <c r="N8746" t="n">
        <v>0</v>
      </c>
      <c r="O8746" t="n">
        <v>0</v>
      </c>
      <c r="P8746" t="n">
        <v>0</v>
      </c>
      <c r="Q8746" t="n">
        <v>0</v>
      </c>
      <c r="R8746" s="2" t="inlineStr"/>
    </row>
    <row r="8747" ht="15" customHeight="1">
      <c r="A8747" t="inlineStr">
        <is>
          <t>A 12589-2024</t>
        </is>
      </c>
      <c r="B8747" s="1" t="n">
        <v>45379.93677083333</v>
      </c>
      <c r="C8747" s="1" t="n">
        <v>46075</v>
      </c>
      <c r="D8747" t="inlineStr">
        <is>
          <t>VÄSTERBOTTENS LÄN</t>
        </is>
      </c>
      <c r="E8747" t="inlineStr">
        <is>
          <t>ÅSELE</t>
        </is>
      </c>
      <c r="F8747" t="inlineStr">
        <is>
          <t>SCA</t>
        </is>
      </c>
      <c r="G8747" t="n">
        <v>6.2</v>
      </c>
      <c r="H8747" t="n">
        <v>0</v>
      </c>
      <c r="I8747" t="n">
        <v>0</v>
      </c>
      <c r="J8747" t="n">
        <v>0</v>
      </c>
      <c r="K8747" t="n">
        <v>0</v>
      </c>
      <c r="L8747" t="n">
        <v>0</v>
      </c>
      <c r="M8747" t="n">
        <v>0</v>
      </c>
      <c r="N8747" t="n">
        <v>0</v>
      </c>
      <c r="O8747" t="n">
        <v>0</v>
      </c>
      <c r="P8747" t="n">
        <v>0</v>
      </c>
      <c r="Q8747" t="n">
        <v>0</v>
      </c>
      <c r="R8747" s="2" t="inlineStr"/>
    </row>
    <row r="8748" ht="15" customHeight="1">
      <c r="A8748" t="inlineStr">
        <is>
          <t>A 61458-2025</t>
        </is>
      </c>
      <c r="B8748" s="1" t="n">
        <v>46001.59408564815</v>
      </c>
      <c r="C8748" s="1" t="n">
        <v>46075</v>
      </c>
      <c r="D8748" t="inlineStr">
        <is>
          <t>VÄSTERBOTTENS LÄN</t>
        </is>
      </c>
      <c r="E8748" t="inlineStr">
        <is>
          <t>UMEÅ</t>
        </is>
      </c>
      <c r="G8748" t="n">
        <v>1.9</v>
      </c>
      <c r="H8748" t="n">
        <v>0</v>
      </c>
      <c r="I8748" t="n">
        <v>0</v>
      </c>
      <c r="J8748" t="n">
        <v>0</v>
      </c>
      <c r="K8748" t="n">
        <v>0</v>
      </c>
      <c r="L8748" t="n">
        <v>0</v>
      </c>
      <c r="M8748" t="n">
        <v>0</v>
      </c>
      <c r="N8748" t="n">
        <v>0</v>
      </c>
      <c r="O8748" t="n">
        <v>0</v>
      </c>
      <c r="P8748" t="n">
        <v>0</v>
      </c>
      <c r="Q8748" t="n">
        <v>0</v>
      </c>
      <c r="R8748" s="2" t="inlineStr"/>
    </row>
    <row r="8749" ht="15" customHeight="1">
      <c r="A8749" t="inlineStr">
        <is>
          <t>A 47399-2022</t>
        </is>
      </c>
      <c r="B8749" s="1" t="n">
        <v>44853</v>
      </c>
      <c r="C8749" s="1" t="n">
        <v>46075</v>
      </c>
      <c r="D8749" t="inlineStr">
        <is>
          <t>VÄSTERBOTTENS LÄN</t>
        </is>
      </c>
      <c r="E8749" t="inlineStr">
        <is>
          <t>NORSJÖ</t>
        </is>
      </c>
      <c r="F8749" t="inlineStr">
        <is>
          <t>Holmen skog AB</t>
        </is>
      </c>
      <c r="G8749" t="n">
        <v>2.4</v>
      </c>
      <c r="H8749" t="n">
        <v>0</v>
      </c>
      <c r="I8749" t="n">
        <v>0</v>
      </c>
      <c r="J8749" t="n">
        <v>0</v>
      </c>
      <c r="K8749" t="n">
        <v>0</v>
      </c>
      <c r="L8749" t="n">
        <v>0</v>
      </c>
      <c r="M8749" t="n">
        <v>0</v>
      </c>
      <c r="N8749" t="n">
        <v>0</v>
      </c>
      <c r="O8749" t="n">
        <v>0</v>
      </c>
      <c r="P8749" t="n">
        <v>0</v>
      </c>
      <c r="Q8749" t="n">
        <v>0</v>
      </c>
      <c r="R8749" s="2" t="inlineStr"/>
    </row>
    <row r="8750" ht="15" customHeight="1">
      <c r="A8750" t="inlineStr">
        <is>
          <t>A 59583-2025</t>
        </is>
      </c>
      <c r="B8750" s="1" t="n">
        <v>45992</v>
      </c>
      <c r="C8750" s="1" t="n">
        <v>46075</v>
      </c>
      <c r="D8750" t="inlineStr">
        <is>
          <t>VÄSTERBOTTENS LÄN</t>
        </is>
      </c>
      <c r="E8750" t="inlineStr">
        <is>
          <t>STORUMAN</t>
        </is>
      </c>
      <c r="G8750" t="n">
        <v>15</v>
      </c>
      <c r="H8750" t="n">
        <v>0</v>
      </c>
      <c r="I8750" t="n">
        <v>0</v>
      </c>
      <c r="J8750" t="n">
        <v>0</v>
      </c>
      <c r="K8750" t="n">
        <v>0</v>
      </c>
      <c r="L8750" t="n">
        <v>0</v>
      </c>
      <c r="M8750" t="n">
        <v>0</v>
      </c>
      <c r="N8750" t="n">
        <v>0</v>
      </c>
      <c r="O8750" t="n">
        <v>0</v>
      </c>
      <c r="P8750" t="n">
        <v>0</v>
      </c>
      <c r="Q8750" t="n">
        <v>0</v>
      </c>
      <c r="R8750" s="2" t="inlineStr"/>
    </row>
    <row r="8751" ht="15" customHeight="1">
      <c r="A8751" t="inlineStr">
        <is>
          <t>A 59598-2025</t>
        </is>
      </c>
      <c r="B8751" s="1" t="n">
        <v>45992</v>
      </c>
      <c r="C8751" s="1" t="n">
        <v>46075</v>
      </c>
      <c r="D8751" t="inlineStr">
        <is>
          <t>VÄSTERBOTTENS LÄN</t>
        </is>
      </c>
      <c r="E8751" t="inlineStr">
        <is>
          <t>STORUMAN</t>
        </is>
      </c>
      <c r="G8751" t="n">
        <v>16.8</v>
      </c>
      <c r="H8751" t="n">
        <v>0</v>
      </c>
      <c r="I8751" t="n">
        <v>0</v>
      </c>
      <c r="J8751" t="n">
        <v>0</v>
      </c>
      <c r="K8751" t="n">
        <v>0</v>
      </c>
      <c r="L8751" t="n">
        <v>0</v>
      </c>
      <c r="M8751" t="n">
        <v>0</v>
      </c>
      <c r="N8751" t="n">
        <v>0</v>
      </c>
      <c r="O8751" t="n">
        <v>0</v>
      </c>
      <c r="P8751" t="n">
        <v>0</v>
      </c>
      <c r="Q8751" t="n">
        <v>0</v>
      </c>
      <c r="R8751" s="2" t="inlineStr"/>
    </row>
    <row r="8752" ht="15" customHeight="1">
      <c r="A8752" t="inlineStr">
        <is>
          <t>A 58517-2023</t>
        </is>
      </c>
      <c r="B8752" s="1" t="n">
        <v>45251</v>
      </c>
      <c r="C8752" s="1" t="n">
        <v>46075</v>
      </c>
      <c r="D8752" t="inlineStr">
        <is>
          <t>VÄSTERBOTTENS LÄN</t>
        </is>
      </c>
      <c r="E8752" t="inlineStr">
        <is>
          <t>SKELLEFTEÅ</t>
        </is>
      </c>
      <c r="G8752" t="n">
        <v>3.1</v>
      </c>
      <c r="H8752" t="n">
        <v>0</v>
      </c>
      <c r="I8752" t="n">
        <v>0</v>
      </c>
      <c r="J8752" t="n">
        <v>0</v>
      </c>
      <c r="K8752" t="n">
        <v>0</v>
      </c>
      <c r="L8752" t="n">
        <v>0</v>
      </c>
      <c r="M8752" t="n">
        <v>0</v>
      </c>
      <c r="N8752" t="n">
        <v>0</v>
      </c>
      <c r="O8752" t="n">
        <v>0</v>
      </c>
      <c r="P8752" t="n">
        <v>0</v>
      </c>
      <c r="Q8752" t="n">
        <v>0</v>
      </c>
      <c r="R8752" s="2" t="inlineStr"/>
    </row>
    <row r="8753" ht="15" customHeight="1">
      <c r="A8753" t="inlineStr">
        <is>
          <t>A 3590-2026</t>
        </is>
      </c>
      <c r="B8753" s="1" t="n">
        <v>46042.76789351852</v>
      </c>
      <c r="C8753" s="1" t="n">
        <v>46075</v>
      </c>
      <c r="D8753" t="inlineStr">
        <is>
          <t>VÄSTERBOTTENS LÄN</t>
        </is>
      </c>
      <c r="E8753" t="inlineStr">
        <is>
          <t>ROBERTSFORS</t>
        </is>
      </c>
      <c r="G8753" t="n">
        <v>7</v>
      </c>
      <c r="H8753" t="n">
        <v>0</v>
      </c>
      <c r="I8753" t="n">
        <v>0</v>
      </c>
      <c r="J8753" t="n">
        <v>0</v>
      </c>
      <c r="K8753" t="n">
        <v>0</v>
      </c>
      <c r="L8753" t="n">
        <v>0</v>
      </c>
      <c r="M8753" t="n">
        <v>0</v>
      </c>
      <c r="N8753" t="n">
        <v>0</v>
      </c>
      <c r="O8753" t="n">
        <v>0</v>
      </c>
      <c r="P8753" t="n">
        <v>0</v>
      </c>
      <c r="Q8753" t="n">
        <v>0</v>
      </c>
      <c r="R8753" s="2" t="inlineStr"/>
    </row>
    <row r="8754" ht="15" customHeight="1">
      <c r="A8754" t="inlineStr">
        <is>
          <t>A 39266-2024</t>
        </is>
      </c>
      <c r="B8754" s="1" t="n">
        <v>45551.34447916667</v>
      </c>
      <c r="C8754" s="1" t="n">
        <v>46075</v>
      </c>
      <c r="D8754" t="inlineStr">
        <is>
          <t>VÄSTERBOTTENS LÄN</t>
        </is>
      </c>
      <c r="E8754" t="inlineStr">
        <is>
          <t>ÅSELE</t>
        </is>
      </c>
      <c r="F8754" t="inlineStr">
        <is>
          <t>SCA</t>
        </is>
      </c>
      <c r="G8754" t="n">
        <v>11.7</v>
      </c>
      <c r="H8754" t="n">
        <v>0</v>
      </c>
      <c r="I8754" t="n">
        <v>0</v>
      </c>
      <c r="J8754" t="n">
        <v>0</v>
      </c>
      <c r="K8754" t="n">
        <v>0</v>
      </c>
      <c r="L8754" t="n">
        <v>0</v>
      </c>
      <c r="M8754" t="n">
        <v>0</v>
      </c>
      <c r="N8754" t="n">
        <v>0</v>
      </c>
      <c r="O8754" t="n">
        <v>0</v>
      </c>
      <c r="P8754" t="n">
        <v>0</v>
      </c>
      <c r="Q8754" t="n">
        <v>0</v>
      </c>
      <c r="R8754" s="2" t="inlineStr"/>
    </row>
    <row r="8755" ht="15" customHeight="1">
      <c r="A8755" t="inlineStr">
        <is>
          <t>A 44516-2024</t>
        </is>
      </c>
      <c r="B8755" s="1" t="n">
        <v>45574</v>
      </c>
      <c r="C8755" s="1" t="n">
        <v>46075</v>
      </c>
      <c r="D8755" t="inlineStr">
        <is>
          <t>VÄSTERBOTTENS LÄN</t>
        </is>
      </c>
      <c r="E8755" t="inlineStr">
        <is>
          <t>VILHELMINA</t>
        </is>
      </c>
      <c r="G8755" t="n">
        <v>2.9</v>
      </c>
      <c r="H8755" t="n">
        <v>0</v>
      </c>
      <c r="I8755" t="n">
        <v>0</v>
      </c>
      <c r="J8755" t="n">
        <v>0</v>
      </c>
      <c r="K8755" t="n">
        <v>0</v>
      </c>
      <c r="L8755" t="n">
        <v>0</v>
      </c>
      <c r="M8755" t="n">
        <v>0</v>
      </c>
      <c r="N8755" t="n">
        <v>0</v>
      </c>
      <c r="O8755" t="n">
        <v>0</v>
      </c>
      <c r="P8755" t="n">
        <v>0</v>
      </c>
      <c r="Q8755" t="n">
        <v>0</v>
      </c>
      <c r="R8755" s="2" t="inlineStr"/>
    </row>
    <row r="8756" ht="15" customHeight="1">
      <c r="A8756" t="inlineStr">
        <is>
          <t>A 61517-2025</t>
        </is>
      </c>
      <c r="B8756" s="1" t="n">
        <v>46001.68586805555</v>
      </c>
      <c r="C8756" s="1" t="n">
        <v>46075</v>
      </c>
      <c r="D8756" t="inlineStr">
        <is>
          <t>VÄSTERBOTTENS LÄN</t>
        </is>
      </c>
      <c r="E8756" t="inlineStr">
        <is>
          <t>VILHELMINA</t>
        </is>
      </c>
      <c r="F8756" t="inlineStr">
        <is>
          <t>SCA</t>
        </is>
      </c>
      <c r="G8756" t="n">
        <v>3.1</v>
      </c>
      <c r="H8756" t="n">
        <v>0</v>
      </c>
      <c r="I8756" t="n">
        <v>0</v>
      </c>
      <c r="J8756" t="n">
        <v>0</v>
      </c>
      <c r="K8756" t="n">
        <v>0</v>
      </c>
      <c r="L8756" t="n">
        <v>0</v>
      </c>
      <c r="M8756" t="n">
        <v>0</v>
      </c>
      <c r="N8756" t="n">
        <v>0</v>
      </c>
      <c r="O8756" t="n">
        <v>0</v>
      </c>
      <c r="P8756" t="n">
        <v>0</v>
      </c>
      <c r="Q8756" t="n">
        <v>0</v>
      </c>
      <c r="R8756" s="2" t="inlineStr"/>
    </row>
    <row r="8757" ht="15" customHeight="1">
      <c r="A8757" t="inlineStr">
        <is>
          <t>A 61518-2025</t>
        </is>
      </c>
      <c r="B8757" s="1" t="n">
        <v>46001.68611111111</v>
      </c>
      <c r="C8757" s="1" t="n">
        <v>46075</v>
      </c>
      <c r="D8757" t="inlineStr">
        <is>
          <t>VÄSTERBOTTENS LÄN</t>
        </is>
      </c>
      <c r="E8757" t="inlineStr">
        <is>
          <t>BJURHOLM</t>
        </is>
      </c>
      <c r="F8757" t="inlineStr">
        <is>
          <t>SCA</t>
        </is>
      </c>
      <c r="G8757" t="n">
        <v>23.4</v>
      </c>
      <c r="H8757" t="n">
        <v>0</v>
      </c>
      <c r="I8757" t="n">
        <v>0</v>
      </c>
      <c r="J8757" t="n">
        <v>0</v>
      </c>
      <c r="K8757" t="n">
        <v>0</v>
      </c>
      <c r="L8757" t="n">
        <v>0</v>
      </c>
      <c r="M8757" t="n">
        <v>0</v>
      </c>
      <c r="N8757" t="n">
        <v>0</v>
      </c>
      <c r="O8757" t="n">
        <v>0</v>
      </c>
      <c r="P8757" t="n">
        <v>0</v>
      </c>
      <c r="Q8757" t="n">
        <v>0</v>
      </c>
      <c r="R8757" s="2" t="inlineStr"/>
    </row>
    <row r="8758" ht="15" customHeight="1">
      <c r="A8758" t="inlineStr">
        <is>
          <t>A 24415-2024</t>
        </is>
      </c>
      <c r="B8758" s="1" t="n">
        <v>45457</v>
      </c>
      <c r="C8758" s="1" t="n">
        <v>46075</v>
      </c>
      <c r="D8758" t="inlineStr">
        <is>
          <t>VÄSTERBOTTENS LÄN</t>
        </is>
      </c>
      <c r="E8758" t="inlineStr">
        <is>
          <t>NORDMALING</t>
        </is>
      </c>
      <c r="G8758" t="n">
        <v>0.5</v>
      </c>
      <c r="H8758" t="n">
        <v>0</v>
      </c>
      <c r="I8758" t="n">
        <v>0</v>
      </c>
      <c r="J8758" t="n">
        <v>0</v>
      </c>
      <c r="K8758" t="n">
        <v>0</v>
      </c>
      <c r="L8758" t="n">
        <v>0</v>
      </c>
      <c r="M8758" t="n">
        <v>0</v>
      </c>
      <c r="N8758" t="n">
        <v>0</v>
      </c>
      <c r="O8758" t="n">
        <v>0</v>
      </c>
      <c r="P8758" t="n">
        <v>0</v>
      </c>
      <c r="Q8758" t="n">
        <v>0</v>
      </c>
      <c r="R8758" s="2" t="inlineStr"/>
    </row>
    <row r="8759" ht="15" customHeight="1">
      <c r="A8759" t="inlineStr">
        <is>
          <t>A 58684-2024</t>
        </is>
      </c>
      <c r="B8759" s="1" t="n">
        <v>45635.61909722222</v>
      </c>
      <c r="C8759" s="1" t="n">
        <v>46075</v>
      </c>
      <c r="D8759" t="inlineStr">
        <is>
          <t>VÄSTERBOTTENS LÄN</t>
        </is>
      </c>
      <c r="E8759" t="inlineStr">
        <is>
          <t>LYCKSELE</t>
        </is>
      </c>
      <c r="F8759" t="inlineStr">
        <is>
          <t>Sveaskog</t>
        </is>
      </c>
      <c r="G8759" t="n">
        <v>4.5</v>
      </c>
      <c r="H8759" t="n">
        <v>0</v>
      </c>
      <c r="I8759" t="n">
        <v>0</v>
      </c>
      <c r="J8759" t="n">
        <v>0</v>
      </c>
      <c r="K8759" t="n">
        <v>0</v>
      </c>
      <c r="L8759" t="n">
        <v>0</v>
      </c>
      <c r="M8759" t="n">
        <v>0</v>
      </c>
      <c r="N8759" t="n">
        <v>0</v>
      </c>
      <c r="O8759" t="n">
        <v>0</v>
      </c>
      <c r="P8759" t="n">
        <v>0</v>
      </c>
      <c r="Q8759" t="n">
        <v>0</v>
      </c>
      <c r="R8759" s="2" t="inlineStr"/>
    </row>
    <row r="8760" ht="15" customHeight="1">
      <c r="A8760" t="inlineStr">
        <is>
          <t>A 58712-2024</t>
        </is>
      </c>
      <c r="B8760" s="1" t="n">
        <v>45635</v>
      </c>
      <c r="C8760" s="1" t="n">
        <v>46075</v>
      </c>
      <c r="D8760" t="inlineStr">
        <is>
          <t>VÄSTERBOTTENS LÄN</t>
        </is>
      </c>
      <c r="E8760" t="inlineStr">
        <is>
          <t>ROBERTSFORS</t>
        </is>
      </c>
      <c r="G8760" t="n">
        <v>6.8</v>
      </c>
      <c r="H8760" t="n">
        <v>0</v>
      </c>
      <c r="I8760" t="n">
        <v>0</v>
      </c>
      <c r="J8760" t="n">
        <v>0</v>
      </c>
      <c r="K8760" t="n">
        <v>0</v>
      </c>
      <c r="L8760" t="n">
        <v>0</v>
      </c>
      <c r="M8760" t="n">
        <v>0</v>
      </c>
      <c r="N8760" t="n">
        <v>0</v>
      </c>
      <c r="O8760" t="n">
        <v>0</v>
      </c>
      <c r="P8760" t="n">
        <v>0</v>
      </c>
      <c r="Q8760" t="n">
        <v>0</v>
      </c>
      <c r="R8760" s="2" t="inlineStr"/>
    </row>
    <row r="8761" ht="15" customHeight="1">
      <c r="A8761" t="inlineStr">
        <is>
          <t>A 58716-2024</t>
        </is>
      </c>
      <c r="B8761" s="1" t="n">
        <v>45635.65770833333</v>
      </c>
      <c r="C8761" s="1" t="n">
        <v>46075</v>
      </c>
      <c r="D8761" t="inlineStr">
        <is>
          <t>VÄSTERBOTTENS LÄN</t>
        </is>
      </c>
      <c r="E8761" t="inlineStr">
        <is>
          <t>LYCKSELE</t>
        </is>
      </c>
      <c r="F8761" t="inlineStr">
        <is>
          <t>Holmen skog AB</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3746-2026</t>
        </is>
      </c>
      <c r="B8762" s="1" t="n">
        <v>46043.54019675926</v>
      </c>
      <c r="C8762" s="1" t="n">
        <v>46075</v>
      </c>
      <c r="D8762" t="inlineStr">
        <is>
          <t>VÄSTERBOTTENS LÄN</t>
        </is>
      </c>
      <c r="E8762" t="inlineStr">
        <is>
          <t>SKELLEFTEÅ</t>
        </is>
      </c>
      <c r="G8762" t="n">
        <v>4.1</v>
      </c>
      <c r="H8762" t="n">
        <v>0</v>
      </c>
      <c r="I8762" t="n">
        <v>0</v>
      </c>
      <c r="J8762" t="n">
        <v>0</v>
      </c>
      <c r="K8762" t="n">
        <v>0</v>
      </c>
      <c r="L8762" t="n">
        <v>0</v>
      </c>
      <c r="M8762" t="n">
        <v>0</v>
      </c>
      <c r="N8762" t="n">
        <v>0</v>
      </c>
      <c r="O8762" t="n">
        <v>0</v>
      </c>
      <c r="P8762" t="n">
        <v>0</v>
      </c>
      <c r="Q8762" t="n">
        <v>0</v>
      </c>
      <c r="R8762" s="2" t="inlineStr"/>
    </row>
    <row r="8763" ht="15" customHeight="1">
      <c r="A8763" t="inlineStr">
        <is>
          <t>A 61440-2025</t>
        </is>
      </c>
      <c r="B8763" s="1" t="n">
        <v>46001.57054398148</v>
      </c>
      <c r="C8763" s="1" t="n">
        <v>46075</v>
      </c>
      <c r="D8763" t="inlineStr">
        <is>
          <t>VÄSTERBOTTENS LÄN</t>
        </is>
      </c>
      <c r="E8763" t="inlineStr">
        <is>
          <t>SKELLEFTEÅ</t>
        </is>
      </c>
      <c r="G8763" t="n">
        <v>19.7</v>
      </c>
      <c r="H8763" t="n">
        <v>0</v>
      </c>
      <c r="I8763" t="n">
        <v>0</v>
      </c>
      <c r="J8763" t="n">
        <v>0</v>
      </c>
      <c r="K8763" t="n">
        <v>0</v>
      </c>
      <c r="L8763" t="n">
        <v>0</v>
      </c>
      <c r="M8763" t="n">
        <v>0</v>
      </c>
      <c r="N8763" t="n">
        <v>0</v>
      </c>
      <c r="O8763" t="n">
        <v>0</v>
      </c>
      <c r="P8763" t="n">
        <v>0</v>
      </c>
      <c r="Q8763" t="n">
        <v>0</v>
      </c>
      <c r="R8763" s="2" t="inlineStr"/>
    </row>
    <row r="8764" ht="15" customHeight="1">
      <c r="A8764" t="inlineStr">
        <is>
          <t>A 61457-2025</t>
        </is>
      </c>
      <c r="B8764" s="1" t="n">
        <v>46001.59224537037</v>
      </c>
      <c r="C8764" s="1" t="n">
        <v>46075</v>
      </c>
      <c r="D8764" t="inlineStr">
        <is>
          <t>VÄSTERBOTTENS LÄN</t>
        </is>
      </c>
      <c r="E8764" t="inlineStr">
        <is>
          <t>ÅSELE</t>
        </is>
      </c>
      <c r="F8764" t="inlineStr">
        <is>
          <t>Sveaskog</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61472-2025</t>
        </is>
      </c>
      <c r="B8765" s="1" t="n">
        <v>46001.61549768518</v>
      </c>
      <c r="C8765" s="1" t="n">
        <v>46075</v>
      </c>
      <c r="D8765" t="inlineStr">
        <is>
          <t>VÄSTERBOTTENS LÄN</t>
        </is>
      </c>
      <c r="E8765" t="inlineStr">
        <is>
          <t>LYCKSELE</t>
        </is>
      </c>
      <c r="G8765" t="n">
        <v>1.1</v>
      </c>
      <c r="H8765" t="n">
        <v>0</v>
      </c>
      <c r="I8765" t="n">
        <v>0</v>
      </c>
      <c r="J8765" t="n">
        <v>0</v>
      </c>
      <c r="K8765" t="n">
        <v>0</v>
      </c>
      <c r="L8765" t="n">
        <v>0</v>
      </c>
      <c r="M8765" t="n">
        <v>0</v>
      </c>
      <c r="N8765" t="n">
        <v>0</v>
      </c>
      <c r="O8765" t="n">
        <v>0</v>
      </c>
      <c r="P8765" t="n">
        <v>0</v>
      </c>
      <c r="Q8765" t="n">
        <v>0</v>
      </c>
      <c r="R8765" s="2" t="inlineStr"/>
    </row>
    <row r="8766" ht="15" customHeight="1">
      <c r="A8766" t="inlineStr">
        <is>
          <t>A 61480-2025</t>
        </is>
      </c>
      <c r="B8766" s="1" t="n">
        <v>46001.62689814815</v>
      </c>
      <c r="C8766" s="1" t="n">
        <v>46075</v>
      </c>
      <c r="D8766" t="inlineStr">
        <is>
          <t>VÄSTERBOTTENS LÄN</t>
        </is>
      </c>
      <c r="E8766" t="inlineStr">
        <is>
          <t>MALÅ</t>
        </is>
      </c>
      <c r="F8766" t="inlineStr">
        <is>
          <t>Sveaskog</t>
        </is>
      </c>
      <c r="G8766" t="n">
        <v>12.7</v>
      </c>
      <c r="H8766" t="n">
        <v>0</v>
      </c>
      <c r="I8766" t="n">
        <v>0</v>
      </c>
      <c r="J8766" t="n">
        <v>0</v>
      </c>
      <c r="K8766" t="n">
        <v>0</v>
      </c>
      <c r="L8766" t="n">
        <v>0</v>
      </c>
      <c r="M8766" t="n">
        <v>0</v>
      </c>
      <c r="N8766" t="n">
        <v>0</v>
      </c>
      <c r="O8766" t="n">
        <v>0</v>
      </c>
      <c r="P8766" t="n">
        <v>0</v>
      </c>
      <c r="Q8766" t="n">
        <v>0</v>
      </c>
      <c r="R8766" s="2" t="inlineStr"/>
    </row>
    <row r="8767" ht="15" customHeight="1">
      <c r="A8767" t="inlineStr">
        <is>
          <t>A 39067-2024</t>
        </is>
      </c>
      <c r="B8767" s="1" t="n">
        <v>45548.53137731482</v>
      </c>
      <c r="C8767" s="1" t="n">
        <v>46075</v>
      </c>
      <c r="D8767" t="inlineStr">
        <is>
          <t>VÄSTERBOTTENS LÄN</t>
        </is>
      </c>
      <c r="E8767" t="inlineStr">
        <is>
          <t>NORSJÖ</t>
        </is>
      </c>
      <c r="F8767" t="inlineStr">
        <is>
          <t>Holmen skog AB</t>
        </is>
      </c>
      <c r="G8767" t="n">
        <v>1.9</v>
      </c>
      <c r="H8767" t="n">
        <v>0</v>
      </c>
      <c r="I8767" t="n">
        <v>0</v>
      </c>
      <c r="J8767" t="n">
        <v>0</v>
      </c>
      <c r="K8767" t="n">
        <v>0</v>
      </c>
      <c r="L8767" t="n">
        <v>0</v>
      </c>
      <c r="M8767" t="n">
        <v>0</v>
      </c>
      <c r="N8767" t="n">
        <v>0</v>
      </c>
      <c r="O8767" t="n">
        <v>0</v>
      </c>
      <c r="P8767" t="n">
        <v>0</v>
      </c>
      <c r="Q8767" t="n">
        <v>0</v>
      </c>
      <c r="R8767" s="2" t="inlineStr"/>
    </row>
    <row r="8768" ht="15" customHeight="1">
      <c r="A8768" t="inlineStr">
        <is>
          <t>A 61399-2024</t>
        </is>
      </c>
      <c r="B8768" s="1" t="n">
        <v>45646.42921296296</v>
      </c>
      <c r="C8768" s="1" t="n">
        <v>46075</v>
      </c>
      <c r="D8768" t="inlineStr">
        <is>
          <t>VÄSTERBOTTENS LÄN</t>
        </is>
      </c>
      <c r="E8768" t="inlineStr">
        <is>
          <t>ROBERTSFORS</t>
        </is>
      </c>
      <c r="G8768" t="n">
        <v>1.7</v>
      </c>
      <c r="H8768" t="n">
        <v>0</v>
      </c>
      <c r="I8768" t="n">
        <v>0</v>
      </c>
      <c r="J8768" t="n">
        <v>0</v>
      </c>
      <c r="K8768" t="n">
        <v>0</v>
      </c>
      <c r="L8768" t="n">
        <v>0</v>
      </c>
      <c r="M8768" t="n">
        <v>0</v>
      </c>
      <c r="N8768" t="n">
        <v>0</v>
      </c>
      <c r="O8768" t="n">
        <v>0</v>
      </c>
      <c r="P8768" t="n">
        <v>0</v>
      </c>
      <c r="Q8768" t="n">
        <v>0</v>
      </c>
      <c r="R8768" s="2" t="inlineStr"/>
    </row>
    <row r="8769" ht="15" customHeight="1">
      <c r="A8769" t="inlineStr">
        <is>
          <t>A 61241-2025</t>
        </is>
      </c>
      <c r="B8769" s="1" t="n">
        <v>46000.65633101852</v>
      </c>
      <c r="C8769" s="1" t="n">
        <v>46075</v>
      </c>
      <c r="D8769" t="inlineStr">
        <is>
          <t>VÄSTERBOTTENS LÄN</t>
        </is>
      </c>
      <c r="E8769" t="inlineStr">
        <is>
          <t>UMEÅ</t>
        </is>
      </c>
      <c r="G8769" t="n">
        <v>2.4</v>
      </c>
      <c r="H8769" t="n">
        <v>0</v>
      </c>
      <c r="I8769" t="n">
        <v>0</v>
      </c>
      <c r="J8769" t="n">
        <v>0</v>
      </c>
      <c r="K8769" t="n">
        <v>0</v>
      </c>
      <c r="L8769" t="n">
        <v>0</v>
      </c>
      <c r="M8769" t="n">
        <v>0</v>
      </c>
      <c r="N8769" t="n">
        <v>0</v>
      </c>
      <c r="O8769" t="n">
        <v>0</v>
      </c>
      <c r="P8769" t="n">
        <v>0</v>
      </c>
      <c r="Q8769" t="n">
        <v>0</v>
      </c>
      <c r="R8769" s="2" t="inlineStr"/>
    </row>
    <row r="8770" ht="15" customHeight="1">
      <c r="A8770" t="inlineStr">
        <is>
          <t>A 61243-2025</t>
        </is>
      </c>
      <c r="B8770" s="1" t="n">
        <v>46000.65924768519</v>
      </c>
      <c r="C8770" s="1" t="n">
        <v>46075</v>
      </c>
      <c r="D8770" t="inlineStr">
        <is>
          <t>VÄSTERBOTTENS LÄN</t>
        </is>
      </c>
      <c r="E8770" t="inlineStr">
        <is>
          <t>UMEÅ</t>
        </is>
      </c>
      <c r="G8770" t="n">
        <v>2.6</v>
      </c>
      <c r="H8770" t="n">
        <v>0</v>
      </c>
      <c r="I8770" t="n">
        <v>0</v>
      </c>
      <c r="J8770" t="n">
        <v>0</v>
      </c>
      <c r="K8770" t="n">
        <v>0</v>
      </c>
      <c r="L8770" t="n">
        <v>0</v>
      </c>
      <c r="M8770" t="n">
        <v>0</v>
      </c>
      <c r="N8770" t="n">
        <v>0</v>
      </c>
      <c r="O8770" t="n">
        <v>0</v>
      </c>
      <c r="P8770" t="n">
        <v>0</v>
      </c>
      <c r="Q8770" t="n">
        <v>0</v>
      </c>
      <c r="R8770" s="2" t="inlineStr"/>
    </row>
    <row r="8771" ht="15" customHeight="1">
      <c r="A8771" t="inlineStr">
        <is>
          <t>A 12871-2025</t>
        </is>
      </c>
      <c r="B8771" s="1" t="n">
        <v>45733.67770833334</v>
      </c>
      <c r="C8771" s="1" t="n">
        <v>46075</v>
      </c>
      <c r="D8771" t="inlineStr">
        <is>
          <t>VÄSTERBOTTENS LÄN</t>
        </is>
      </c>
      <c r="E8771" t="inlineStr">
        <is>
          <t>DOROTEA</t>
        </is>
      </c>
      <c r="F8771" t="inlineStr">
        <is>
          <t>SCA</t>
        </is>
      </c>
      <c r="G8771" t="n">
        <v>8.300000000000001</v>
      </c>
      <c r="H8771" t="n">
        <v>0</v>
      </c>
      <c r="I8771" t="n">
        <v>0</v>
      </c>
      <c r="J8771" t="n">
        <v>0</v>
      </c>
      <c r="K8771" t="n">
        <v>0</v>
      </c>
      <c r="L8771" t="n">
        <v>0</v>
      </c>
      <c r="M8771" t="n">
        <v>0</v>
      </c>
      <c r="N8771" t="n">
        <v>0</v>
      </c>
      <c r="O8771" t="n">
        <v>0</v>
      </c>
      <c r="P8771" t="n">
        <v>0</v>
      </c>
      <c r="Q8771" t="n">
        <v>0</v>
      </c>
      <c r="R8771" s="2" t="inlineStr"/>
    </row>
    <row r="8772" ht="15" customHeight="1">
      <c r="A8772" t="inlineStr">
        <is>
          <t>A 34733-2024</t>
        </is>
      </c>
      <c r="B8772" s="1" t="n">
        <v>45526</v>
      </c>
      <c r="C8772" s="1" t="n">
        <v>46075</v>
      </c>
      <c r="D8772" t="inlineStr">
        <is>
          <t>VÄSTERBOTTENS LÄN</t>
        </is>
      </c>
      <c r="E8772" t="inlineStr">
        <is>
          <t>VINDELN</t>
        </is>
      </c>
      <c r="F8772" t="inlineStr">
        <is>
          <t>Sveaskog</t>
        </is>
      </c>
      <c r="G8772" t="n">
        <v>7.1</v>
      </c>
      <c r="H8772" t="n">
        <v>0</v>
      </c>
      <c r="I8772" t="n">
        <v>0</v>
      </c>
      <c r="J8772" t="n">
        <v>0</v>
      </c>
      <c r="K8772" t="n">
        <v>0</v>
      </c>
      <c r="L8772" t="n">
        <v>0</v>
      </c>
      <c r="M8772" t="n">
        <v>0</v>
      </c>
      <c r="N8772" t="n">
        <v>0</v>
      </c>
      <c r="O8772" t="n">
        <v>0</v>
      </c>
      <c r="P8772" t="n">
        <v>0</v>
      </c>
      <c r="Q8772" t="n">
        <v>0</v>
      </c>
      <c r="R8772" s="2" t="inlineStr"/>
    </row>
    <row r="8773" ht="15" customHeight="1">
      <c r="A8773" t="inlineStr">
        <is>
          <t>A 32672-2022</t>
        </is>
      </c>
      <c r="B8773" s="1" t="n">
        <v>44783.54429398148</v>
      </c>
      <c r="C8773" s="1" t="n">
        <v>46075</v>
      </c>
      <c r="D8773" t="inlineStr">
        <is>
          <t>VÄSTERBOTTENS LÄN</t>
        </is>
      </c>
      <c r="E8773" t="inlineStr">
        <is>
          <t>VINDELN</t>
        </is>
      </c>
      <c r="F8773" t="inlineStr">
        <is>
          <t>Holmen skog AB</t>
        </is>
      </c>
      <c r="G8773" t="n">
        <v>17.6</v>
      </c>
      <c r="H8773" t="n">
        <v>0</v>
      </c>
      <c r="I8773" t="n">
        <v>0</v>
      </c>
      <c r="J8773" t="n">
        <v>0</v>
      </c>
      <c r="K8773" t="n">
        <v>0</v>
      </c>
      <c r="L8773" t="n">
        <v>0</v>
      </c>
      <c r="M8773" t="n">
        <v>0</v>
      </c>
      <c r="N8773" t="n">
        <v>0</v>
      </c>
      <c r="O8773" t="n">
        <v>0</v>
      </c>
      <c r="P8773" t="n">
        <v>0</v>
      </c>
      <c r="Q8773" t="n">
        <v>0</v>
      </c>
      <c r="R8773" s="2" t="inlineStr"/>
    </row>
    <row r="8774" ht="15" customHeight="1">
      <c r="A8774" t="inlineStr">
        <is>
          <t>A 61137-2025</t>
        </is>
      </c>
      <c r="B8774" s="1" t="n">
        <v>46000.50599537037</v>
      </c>
      <c r="C8774" s="1" t="n">
        <v>46075</v>
      </c>
      <c r="D8774" t="inlineStr">
        <is>
          <t>VÄSTERBOTTENS LÄN</t>
        </is>
      </c>
      <c r="E8774" t="inlineStr">
        <is>
          <t>VINDELN</t>
        </is>
      </c>
      <c r="F8774" t="inlineStr">
        <is>
          <t>Holmen skog AB</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61138-2025</t>
        </is>
      </c>
      <c r="B8775" s="1" t="n">
        <v>46000.51100694444</v>
      </c>
      <c r="C8775" s="1" t="n">
        <v>46075</v>
      </c>
      <c r="D8775" t="inlineStr">
        <is>
          <t>VÄSTERBOTTENS LÄN</t>
        </is>
      </c>
      <c r="E8775" t="inlineStr">
        <is>
          <t>NORDMALING</t>
        </is>
      </c>
      <c r="F8775" t="inlineStr">
        <is>
          <t>SCA</t>
        </is>
      </c>
      <c r="G8775" t="n">
        <v>2.9</v>
      </c>
      <c r="H8775" t="n">
        <v>0</v>
      </c>
      <c r="I8775" t="n">
        <v>0</v>
      </c>
      <c r="J8775" t="n">
        <v>0</v>
      </c>
      <c r="K8775" t="n">
        <v>0</v>
      </c>
      <c r="L8775" t="n">
        <v>0</v>
      </c>
      <c r="M8775" t="n">
        <v>0</v>
      </c>
      <c r="N8775" t="n">
        <v>0</v>
      </c>
      <c r="O8775" t="n">
        <v>0</v>
      </c>
      <c r="P8775" t="n">
        <v>0</v>
      </c>
      <c r="Q8775" t="n">
        <v>0</v>
      </c>
      <c r="R8775" s="2" t="inlineStr"/>
    </row>
    <row r="8776" ht="15" customHeight="1">
      <c r="A8776" t="inlineStr">
        <is>
          <t>A 56517-2021</t>
        </is>
      </c>
      <c r="B8776" s="1" t="n">
        <v>44480</v>
      </c>
      <c r="C8776" s="1" t="n">
        <v>46075</v>
      </c>
      <c r="D8776" t="inlineStr">
        <is>
          <t>VÄSTERBOTTENS LÄN</t>
        </is>
      </c>
      <c r="E8776" t="inlineStr">
        <is>
          <t>STORUMAN</t>
        </is>
      </c>
      <c r="G8776" t="n">
        <v>9.9</v>
      </c>
      <c r="H8776" t="n">
        <v>0</v>
      </c>
      <c r="I8776" t="n">
        <v>0</v>
      </c>
      <c r="J8776" t="n">
        <v>0</v>
      </c>
      <c r="K8776" t="n">
        <v>0</v>
      </c>
      <c r="L8776" t="n">
        <v>0</v>
      </c>
      <c r="M8776" t="n">
        <v>0</v>
      </c>
      <c r="N8776" t="n">
        <v>0</v>
      </c>
      <c r="O8776" t="n">
        <v>0</v>
      </c>
      <c r="P8776" t="n">
        <v>0</v>
      </c>
      <c r="Q8776" t="n">
        <v>0</v>
      </c>
      <c r="R8776" s="2" t="inlineStr"/>
    </row>
    <row r="8777" ht="15" customHeight="1">
      <c r="A8777" t="inlineStr">
        <is>
          <t>A 61767-2025</t>
        </is>
      </c>
      <c r="B8777" s="1" t="n">
        <v>46002.63262731482</v>
      </c>
      <c r="C8777" s="1" t="n">
        <v>46075</v>
      </c>
      <c r="D8777" t="inlineStr">
        <is>
          <t>VÄSTERBOTTENS LÄN</t>
        </is>
      </c>
      <c r="E8777" t="inlineStr">
        <is>
          <t>SKELLEFTEÅ</t>
        </is>
      </c>
      <c r="F8777" t="inlineStr">
        <is>
          <t>Kommuner</t>
        </is>
      </c>
      <c r="G8777" t="n">
        <v>9.699999999999999</v>
      </c>
      <c r="H8777" t="n">
        <v>0</v>
      </c>
      <c r="I8777" t="n">
        <v>0</v>
      </c>
      <c r="J8777" t="n">
        <v>0</v>
      </c>
      <c r="K8777" t="n">
        <v>0</v>
      </c>
      <c r="L8777" t="n">
        <v>0</v>
      </c>
      <c r="M8777" t="n">
        <v>0</v>
      </c>
      <c r="N8777" t="n">
        <v>0</v>
      </c>
      <c r="O8777" t="n">
        <v>0</v>
      </c>
      <c r="P8777" t="n">
        <v>0</v>
      </c>
      <c r="Q8777" t="n">
        <v>0</v>
      </c>
      <c r="R8777" s="2" t="inlineStr"/>
    </row>
    <row r="8778" ht="15" customHeight="1">
      <c r="A8778" t="inlineStr">
        <is>
          <t>A 24457-2024</t>
        </is>
      </c>
      <c r="B8778" s="1" t="n">
        <v>45457.96708333334</v>
      </c>
      <c r="C8778" s="1" t="n">
        <v>46075</v>
      </c>
      <c r="D8778" t="inlineStr">
        <is>
          <t>VÄSTERBOTTENS LÄN</t>
        </is>
      </c>
      <c r="E8778" t="inlineStr">
        <is>
          <t>VILHELMINA</t>
        </is>
      </c>
      <c r="F8778" t="inlineStr">
        <is>
          <t>SCA</t>
        </is>
      </c>
      <c r="G8778" t="n">
        <v>2.5</v>
      </c>
      <c r="H8778" t="n">
        <v>0</v>
      </c>
      <c r="I8778" t="n">
        <v>0</v>
      </c>
      <c r="J8778" t="n">
        <v>0</v>
      </c>
      <c r="K8778" t="n">
        <v>0</v>
      </c>
      <c r="L8778" t="n">
        <v>0</v>
      </c>
      <c r="M8778" t="n">
        <v>0</v>
      </c>
      <c r="N8778" t="n">
        <v>0</v>
      </c>
      <c r="O8778" t="n">
        <v>0</v>
      </c>
      <c r="P8778" t="n">
        <v>0</v>
      </c>
      <c r="Q8778" t="n">
        <v>0</v>
      </c>
      <c r="R8778" s="2" t="inlineStr"/>
    </row>
    <row r="8779" ht="15" customHeight="1">
      <c r="A8779" t="inlineStr">
        <is>
          <t>A 61783-2025</t>
        </is>
      </c>
      <c r="B8779" s="1" t="n">
        <v>46002.6754050926</v>
      </c>
      <c r="C8779" s="1" t="n">
        <v>46075</v>
      </c>
      <c r="D8779" t="inlineStr">
        <is>
          <t>VÄSTERBOTTENS LÄN</t>
        </is>
      </c>
      <c r="E8779" t="inlineStr">
        <is>
          <t>NORDMALING</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61785-2025</t>
        </is>
      </c>
      <c r="B8780" s="1" t="n">
        <v>46002</v>
      </c>
      <c r="C8780" s="1" t="n">
        <v>46075</v>
      </c>
      <c r="D8780" t="inlineStr">
        <is>
          <t>VÄSTERBOTTENS LÄN</t>
        </is>
      </c>
      <c r="E8780" t="inlineStr">
        <is>
          <t>MALÅ</t>
        </is>
      </c>
      <c r="G8780" t="n">
        <v>9.1</v>
      </c>
      <c r="H8780" t="n">
        <v>0</v>
      </c>
      <c r="I8780" t="n">
        <v>0</v>
      </c>
      <c r="J8780" t="n">
        <v>0</v>
      </c>
      <c r="K8780" t="n">
        <v>0</v>
      </c>
      <c r="L8780" t="n">
        <v>0</v>
      </c>
      <c r="M8780" t="n">
        <v>0</v>
      </c>
      <c r="N8780" t="n">
        <v>0</v>
      </c>
      <c r="O8780" t="n">
        <v>0</v>
      </c>
      <c r="P8780" t="n">
        <v>0</v>
      </c>
      <c r="Q8780" t="n">
        <v>0</v>
      </c>
      <c r="R8780" s="2" t="inlineStr"/>
    </row>
    <row r="8781" ht="15" customHeight="1">
      <c r="A8781" t="inlineStr">
        <is>
          <t>A 12837-2023</t>
        </is>
      </c>
      <c r="B8781" s="1" t="n">
        <v>45001</v>
      </c>
      <c r="C8781" s="1" t="n">
        <v>46075</v>
      </c>
      <c r="D8781" t="inlineStr">
        <is>
          <t>VÄSTERBOTTENS LÄN</t>
        </is>
      </c>
      <c r="E8781" t="inlineStr">
        <is>
          <t>VINDELN</t>
        </is>
      </c>
      <c r="F8781" t="inlineStr">
        <is>
          <t>Holmen skog AB</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24467-2024</t>
        </is>
      </c>
      <c r="B8782" s="1" t="n">
        <v>45458.29769675926</v>
      </c>
      <c r="C8782" s="1" t="n">
        <v>46075</v>
      </c>
      <c r="D8782" t="inlineStr">
        <is>
          <t>VÄSTERBOTTENS LÄN</t>
        </is>
      </c>
      <c r="E8782" t="inlineStr">
        <is>
          <t>ROBERTSFORS</t>
        </is>
      </c>
      <c r="G8782" t="n">
        <v>0.6</v>
      </c>
      <c r="H8782" t="n">
        <v>0</v>
      </c>
      <c r="I8782" t="n">
        <v>0</v>
      </c>
      <c r="J8782" t="n">
        <v>0</v>
      </c>
      <c r="K8782" t="n">
        <v>0</v>
      </c>
      <c r="L8782" t="n">
        <v>0</v>
      </c>
      <c r="M8782" t="n">
        <v>0</v>
      </c>
      <c r="N8782" t="n">
        <v>0</v>
      </c>
      <c r="O8782" t="n">
        <v>0</v>
      </c>
      <c r="P8782" t="n">
        <v>0</v>
      </c>
      <c r="Q8782" t="n">
        <v>0</v>
      </c>
      <c r="R8782" s="2" t="inlineStr"/>
    </row>
    <row r="8783" ht="15" customHeight="1">
      <c r="A8783" t="inlineStr">
        <is>
          <t>A 33801-2024</t>
        </is>
      </c>
      <c r="B8783" s="1" t="n">
        <v>45520.59993055555</v>
      </c>
      <c r="C8783" s="1" t="n">
        <v>46075</v>
      </c>
      <c r="D8783" t="inlineStr">
        <is>
          <t>VÄSTERBOTTENS LÄN</t>
        </is>
      </c>
      <c r="E8783" t="inlineStr">
        <is>
          <t>STORUMAN</t>
        </is>
      </c>
      <c r="F8783" t="inlineStr">
        <is>
          <t>Sveaskog</t>
        </is>
      </c>
      <c r="G8783" t="n">
        <v>6</v>
      </c>
      <c r="H8783" t="n">
        <v>0</v>
      </c>
      <c r="I8783" t="n">
        <v>0</v>
      </c>
      <c r="J8783" t="n">
        <v>0</v>
      </c>
      <c r="K8783" t="n">
        <v>0</v>
      </c>
      <c r="L8783" t="n">
        <v>0</v>
      </c>
      <c r="M8783" t="n">
        <v>0</v>
      </c>
      <c r="N8783" t="n">
        <v>0</v>
      </c>
      <c r="O8783" t="n">
        <v>0</v>
      </c>
      <c r="P8783" t="n">
        <v>0</v>
      </c>
      <c r="Q8783" t="n">
        <v>0</v>
      </c>
      <c r="R8783" s="2" t="inlineStr"/>
    </row>
    <row r="8784" ht="15" customHeight="1">
      <c r="A8784" t="inlineStr">
        <is>
          <t>A 33805-2024</t>
        </is>
      </c>
      <c r="B8784" s="1" t="n">
        <v>45520.6030787037</v>
      </c>
      <c r="C8784" s="1" t="n">
        <v>46075</v>
      </c>
      <c r="D8784" t="inlineStr">
        <is>
          <t>VÄSTERBOTTENS LÄN</t>
        </is>
      </c>
      <c r="E8784" t="inlineStr">
        <is>
          <t>STORUMAN</t>
        </is>
      </c>
      <c r="F8784" t="inlineStr">
        <is>
          <t>Sveaskog</t>
        </is>
      </c>
      <c r="G8784" t="n">
        <v>2.6</v>
      </c>
      <c r="H8784" t="n">
        <v>0</v>
      </c>
      <c r="I8784" t="n">
        <v>0</v>
      </c>
      <c r="J8784" t="n">
        <v>0</v>
      </c>
      <c r="K8784" t="n">
        <v>0</v>
      </c>
      <c r="L8784" t="n">
        <v>0</v>
      </c>
      <c r="M8784" t="n">
        <v>0</v>
      </c>
      <c r="N8784" t="n">
        <v>0</v>
      </c>
      <c r="O8784" t="n">
        <v>0</v>
      </c>
      <c r="P8784" t="n">
        <v>0</v>
      </c>
      <c r="Q8784" t="n">
        <v>0</v>
      </c>
      <c r="R8784" s="2" t="inlineStr"/>
    </row>
    <row r="8785" ht="15" customHeight="1">
      <c r="A8785" t="inlineStr">
        <is>
          <t>A 61590-2025</t>
        </is>
      </c>
      <c r="B8785" s="1" t="n">
        <v>46002.34627314815</v>
      </c>
      <c r="C8785" s="1" t="n">
        <v>46075</v>
      </c>
      <c r="D8785" t="inlineStr">
        <is>
          <t>VÄSTERBOTTENS LÄN</t>
        </is>
      </c>
      <c r="E8785" t="inlineStr">
        <is>
          <t>LYCKSELE</t>
        </is>
      </c>
      <c r="G8785" t="n">
        <v>12.4</v>
      </c>
      <c r="H8785" t="n">
        <v>0</v>
      </c>
      <c r="I8785" t="n">
        <v>0</v>
      </c>
      <c r="J8785" t="n">
        <v>0</v>
      </c>
      <c r="K8785" t="n">
        <v>0</v>
      </c>
      <c r="L8785" t="n">
        <v>0</v>
      </c>
      <c r="M8785" t="n">
        <v>0</v>
      </c>
      <c r="N8785" t="n">
        <v>0</v>
      </c>
      <c r="O8785" t="n">
        <v>0</v>
      </c>
      <c r="P8785" t="n">
        <v>0</v>
      </c>
      <c r="Q8785" t="n">
        <v>0</v>
      </c>
      <c r="R8785" s="2" t="inlineStr"/>
    </row>
    <row r="8786" ht="15" customHeight="1">
      <c r="A8786" t="inlineStr">
        <is>
          <t>A 61592-2025</t>
        </is>
      </c>
      <c r="B8786" s="1" t="n">
        <v>46002.34806712963</v>
      </c>
      <c r="C8786" s="1" t="n">
        <v>46075</v>
      </c>
      <c r="D8786" t="inlineStr">
        <is>
          <t>VÄSTERBOTTENS LÄN</t>
        </is>
      </c>
      <c r="E8786" t="inlineStr">
        <is>
          <t>VINDELN</t>
        </is>
      </c>
      <c r="G8786" t="n">
        <v>13.5</v>
      </c>
      <c r="H8786" t="n">
        <v>0</v>
      </c>
      <c r="I8786" t="n">
        <v>0</v>
      </c>
      <c r="J8786" t="n">
        <v>0</v>
      </c>
      <c r="K8786" t="n">
        <v>0</v>
      </c>
      <c r="L8786" t="n">
        <v>0</v>
      </c>
      <c r="M8786" t="n">
        <v>0</v>
      </c>
      <c r="N8786" t="n">
        <v>0</v>
      </c>
      <c r="O8786" t="n">
        <v>0</v>
      </c>
      <c r="P8786" t="n">
        <v>0</v>
      </c>
      <c r="Q8786" t="n">
        <v>0</v>
      </c>
      <c r="R8786" s="2" t="inlineStr"/>
    </row>
    <row r="8787" ht="15" customHeight="1">
      <c r="A8787" t="inlineStr">
        <is>
          <t>A 44121-2022</t>
        </is>
      </c>
      <c r="B8787" s="1" t="n">
        <v>44839</v>
      </c>
      <c r="C8787" s="1" t="n">
        <v>46075</v>
      </c>
      <c r="D8787" t="inlineStr">
        <is>
          <t>VÄSTERBOTTENS LÄN</t>
        </is>
      </c>
      <c r="E8787" t="inlineStr">
        <is>
          <t>UMEÅ</t>
        </is>
      </c>
      <c r="G8787" t="n">
        <v>0.6</v>
      </c>
      <c r="H8787" t="n">
        <v>0</v>
      </c>
      <c r="I8787" t="n">
        <v>0</v>
      </c>
      <c r="J8787" t="n">
        <v>0</v>
      </c>
      <c r="K8787" t="n">
        <v>0</v>
      </c>
      <c r="L8787" t="n">
        <v>0</v>
      </c>
      <c r="M8787" t="n">
        <v>0</v>
      </c>
      <c r="N8787" t="n">
        <v>0</v>
      </c>
      <c r="O8787" t="n">
        <v>0</v>
      </c>
      <c r="P8787" t="n">
        <v>0</v>
      </c>
      <c r="Q8787" t="n">
        <v>0</v>
      </c>
      <c r="R8787" s="2" t="inlineStr"/>
    </row>
    <row r="8788" ht="15" customHeight="1">
      <c r="A8788" t="inlineStr">
        <is>
          <t>A 49230-2024</t>
        </is>
      </c>
      <c r="B8788" s="1" t="n">
        <v>45595</v>
      </c>
      <c r="C8788" s="1" t="n">
        <v>46075</v>
      </c>
      <c r="D8788" t="inlineStr">
        <is>
          <t>VÄSTERBOTTENS LÄN</t>
        </is>
      </c>
      <c r="E8788" t="inlineStr">
        <is>
          <t>LYCKSELE</t>
        </is>
      </c>
      <c r="F8788" t="inlineStr">
        <is>
          <t>SCA</t>
        </is>
      </c>
      <c r="G8788" t="n">
        <v>7.1</v>
      </c>
      <c r="H8788" t="n">
        <v>0</v>
      </c>
      <c r="I8788" t="n">
        <v>0</v>
      </c>
      <c r="J8788" t="n">
        <v>0</v>
      </c>
      <c r="K8788" t="n">
        <v>0</v>
      </c>
      <c r="L8788" t="n">
        <v>0</v>
      </c>
      <c r="M8788" t="n">
        <v>0</v>
      </c>
      <c r="N8788" t="n">
        <v>0</v>
      </c>
      <c r="O8788" t="n">
        <v>0</v>
      </c>
      <c r="P8788" t="n">
        <v>0</v>
      </c>
      <c r="Q8788" t="n">
        <v>0</v>
      </c>
      <c r="R8788" s="2" t="inlineStr"/>
    </row>
    <row r="8789" ht="15" customHeight="1">
      <c r="A8789" t="inlineStr">
        <is>
          <t>A 3964-2026</t>
        </is>
      </c>
      <c r="B8789" s="1" t="n">
        <v>46044.34483796296</v>
      </c>
      <c r="C8789" s="1" t="n">
        <v>46075</v>
      </c>
      <c r="D8789" t="inlineStr">
        <is>
          <t>VÄSTERBOTTENS LÄN</t>
        </is>
      </c>
      <c r="E8789" t="inlineStr">
        <is>
          <t>UMEÅ</t>
        </is>
      </c>
      <c r="G8789" t="n">
        <v>2.6</v>
      </c>
      <c r="H8789" t="n">
        <v>0</v>
      </c>
      <c r="I8789" t="n">
        <v>0</v>
      </c>
      <c r="J8789" t="n">
        <v>0</v>
      </c>
      <c r="K8789" t="n">
        <v>0</v>
      </c>
      <c r="L8789" t="n">
        <v>0</v>
      </c>
      <c r="M8789" t="n">
        <v>0</v>
      </c>
      <c r="N8789" t="n">
        <v>0</v>
      </c>
      <c r="O8789" t="n">
        <v>0</v>
      </c>
      <c r="P8789" t="n">
        <v>0</v>
      </c>
      <c r="Q8789" t="n">
        <v>0</v>
      </c>
      <c r="R8789" s="2" t="inlineStr"/>
    </row>
    <row r="8790" ht="15" customHeight="1">
      <c r="A8790" t="inlineStr">
        <is>
          <t>A 3966-2026</t>
        </is>
      </c>
      <c r="B8790" s="1" t="n">
        <v>46044.34902777777</v>
      </c>
      <c r="C8790" s="1" t="n">
        <v>46075</v>
      </c>
      <c r="D8790" t="inlineStr">
        <is>
          <t>VÄSTERBOTTENS LÄN</t>
        </is>
      </c>
      <c r="E8790" t="inlineStr">
        <is>
          <t>UMEÅ</t>
        </is>
      </c>
      <c r="G8790" t="n">
        <v>1.4</v>
      </c>
      <c r="H8790" t="n">
        <v>0</v>
      </c>
      <c r="I8790" t="n">
        <v>0</v>
      </c>
      <c r="J8790" t="n">
        <v>0</v>
      </c>
      <c r="K8790" t="n">
        <v>0</v>
      </c>
      <c r="L8790" t="n">
        <v>0</v>
      </c>
      <c r="M8790" t="n">
        <v>0</v>
      </c>
      <c r="N8790" t="n">
        <v>0</v>
      </c>
      <c r="O8790" t="n">
        <v>0</v>
      </c>
      <c r="P8790" t="n">
        <v>0</v>
      </c>
      <c r="Q8790" t="n">
        <v>0</v>
      </c>
      <c r="R8790" s="2" t="inlineStr"/>
    </row>
    <row r="8791" ht="15" customHeight="1">
      <c r="A8791" t="inlineStr">
        <is>
          <t>A 3967-2026</t>
        </is>
      </c>
      <c r="B8791" s="1" t="n">
        <v>46044.35032407408</v>
      </c>
      <c r="C8791" s="1" t="n">
        <v>46075</v>
      </c>
      <c r="D8791" t="inlineStr">
        <is>
          <t>VÄSTERBOTTENS LÄN</t>
        </is>
      </c>
      <c r="E8791" t="inlineStr">
        <is>
          <t>LYCKSELE</t>
        </is>
      </c>
      <c r="G8791" t="n">
        <v>5.9</v>
      </c>
      <c r="H8791" t="n">
        <v>0</v>
      </c>
      <c r="I8791" t="n">
        <v>0</v>
      </c>
      <c r="J8791" t="n">
        <v>0</v>
      </c>
      <c r="K8791" t="n">
        <v>0</v>
      </c>
      <c r="L8791" t="n">
        <v>0</v>
      </c>
      <c r="M8791" t="n">
        <v>0</v>
      </c>
      <c r="N8791" t="n">
        <v>0</v>
      </c>
      <c r="O8791" t="n">
        <v>0</v>
      </c>
      <c r="P8791" t="n">
        <v>0</v>
      </c>
      <c r="Q8791" t="n">
        <v>0</v>
      </c>
      <c r="R8791" s="2" t="inlineStr"/>
    </row>
    <row r="8792" ht="15" customHeight="1">
      <c r="A8792" t="inlineStr">
        <is>
          <t>A 61821-2025</t>
        </is>
      </c>
      <c r="B8792" s="1" t="n">
        <v>46003.33113425926</v>
      </c>
      <c r="C8792" s="1" t="n">
        <v>46075</v>
      </c>
      <c r="D8792" t="inlineStr">
        <is>
          <t>VÄSTERBOTTENS LÄN</t>
        </is>
      </c>
      <c r="E8792" t="inlineStr">
        <is>
          <t>VILHELMINA</t>
        </is>
      </c>
      <c r="G8792" t="n">
        <v>13.3</v>
      </c>
      <c r="H8792" t="n">
        <v>0</v>
      </c>
      <c r="I8792" t="n">
        <v>0</v>
      </c>
      <c r="J8792" t="n">
        <v>0</v>
      </c>
      <c r="K8792" t="n">
        <v>0</v>
      </c>
      <c r="L8792" t="n">
        <v>0</v>
      </c>
      <c r="M8792" t="n">
        <v>0</v>
      </c>
      <c r="N8792" t="n">
        <v>0</v>
      </c>
      <c r="O8792" t="n">
        <v>0</v>
      </c>
      <c r="P8792" t="n">
        <v>0</v>
      </c>
      <c r="Q8792" t="n">
        <v>0</v>
      </c>
      <c r="R8792" s="2" t="inlineStr"/>
    </row>
    <row r="8793" ht="15" customHeight="1">
      <c r="A8793" t="inlineStr">
        <is>
          <t>A 61844-2025</t>
        </is>
      </c>
      <c r="B8793" s="1" t="n">
        <v>46003.36516203704</v>
      </c>
      <c r="C8793" s="1" t="n">
        <v>46075</v>
      </c>
      <c r="D8793" t="inlineStr">
        <is>
          <t>VÄSTERBOTTENS LÄN</t>
        </is>
      </c>
      <c r="E8793" t="inlineStr">
        <is>
          <t>MALÅ</t>
        </is>
      </c>
      <c r="G8793" t="n">
        <v>3.2</v>
      </c>
      <c r="H8793" t="n">
        <v>0</v>
      </c>
      <c r="I8793" t="n">
        <v>0</v>
      </c>
      <c r="J8793" t="n">
        <v>0</v>
      </c>
      <c r="K8793" t="n">
        <v>0</v>
      </c>
      <c r="L8793" t="n">
        <v>0</v>
      </c>
      <c r="M8793" t="n">
        <v>0</v>
      </c>
      <c r="N8793" t="n">
        <v>0</v>
      </c>
      <c r="O8793" t="n">
        <v>0</v>
      </c>
      <c r="P8793" t="n">
        <v>0</v>
      </c>
      <c r="Q8793" t="n">
        <v>0</v>
      </c>
      <c r="R8793" s="2" t="inlineStr"/>
    </row>
    <row r="8794" ht="15" customHeight="1">
      <c r="A8794" t="inlineStr">
        <is>
          <t>A 61872-2025</t>
        </is>
      </c>
      <c r="B8794" s="1" t="n">
        <v>46003.40660879629</v>
      </c>
      <c r="C8794" s="1" t="n">
        <v>46075</v>
      </c>
      <c r="D8794" t="inlineStr">
        <is>
          <t>VÄSTERBOTTENS LÄN</t>
        </is>
      </c>
      <c r="E8794" t="inlineStr">
        <is>
          <t>UMEÅ</t>
        </is>
      </c>
      <c r="G8794" t="n">
        <v>0.5</v>
      </c>
      <c r="H8794" t="n">
        <v>0</v>
      </c>
      <c r="I8794" t="n">
        <v>0</v>
      </c>
      <c r="J8794" t="n">
        <v>0</v>
      </c>
      <c r="K8794" t="n">
        <v>0</v>
      </c>
      <c r="L8794" t="n">
        <v>0</v>
      </c>
      <c r="M8794" t="n">
        <v>0</v>
      </c>
      <c r="N8794" t="n">
        <v>0</v>
      </c>
      <c r="O8794" t="n">
        <v>0</v>
      </c>
      <c r="P8794" t="n">
        <v>0</v>
      </c>
      <c r="Q8794" t="n">
        <v>0</v>
      </c>
      <c r="R8794" s="2" t="inlineStr"/>
    </row>
    <row r="8795" ht="15" customHeight="1">
      <c r="A8795" t="inlineStr">
        <is>
          <t>A 57170-2025</t>
        </is>
      </c>
      <c r="B8795" s="1" t="n">
        <v>45978</v>
      </c>
      <c r="C8795" s="1" t="n">
        <v>46075</v>
      </c>
      <c r="D8795" t="inlineStr">
        <is>
          <t>VÄSTERBOTTENS LÄN</t>
        </is>
      </c>
      <c r="E8795" t="inlineStr">
        <is>
          <t>DOROTEA</t>
        </is>
      </c>
      <c r="G8795" t="n">
        <v>3.8</v>
      </c>
      <c r="H8795" t="n">
        <v>0</v>
      </c>
      <c r="I8795" t="n">
        <v>0</v>
      </c>
      <c r="J8795" t="n">
        <v>0</v>
      </c>
      <c r="K8795" t="n">
        <v>0</v>
      </c>
      <c r="L8795" t="n">
        <v>0</v>
      </c>
      <c r="M8795" t="n">
        <v>0</v>
      </c>
      <c r="N8795" t="n">
        <v>0</v>
      </c>
      <c r="O8795" t="n">
        <v>0</v>
      </c>
      <c r="P8795" t="n">
        <v>0</v>
      </c>
      <c r="Q8795" t="n">
        <v>0</v>
      </c>
      <c r="R8795" s="2" t="inlineStr"/>
    </row>
    <row r="8796" ht="15" customHeight="1">
      <c r="A8796" t="inlineStr">
        <is>
          <t>A 62315-2025</t>
        </is>
      </c>
      <c r="B8796" s="1" t="n">
        <v>46003</v>
      </c>
      <c r="C8796" s="1" t="n">
        <v>46075</v>
      </c>
      <c r="D8796" t="inlineStr">
        <is>
          <t>VÄSTERBOTTENS LÄN</t>
        </is>
      </c>
      <c r="E8796" t="inlineStr">
        <is>
          <t>SORSELE</t>
        </is>
      </c>
      <c r="G8796" t="n">
        <v>9.199999999999999</v>
      </c>
      <c r="H8796" t="n">
        <v>0</v>
      </c>
      <c r="I8796" t="n">
        <v>0</v>
      </c>
      <c r="J8796" t="n">
        <v>0</v>
      </c>
      <c r="K8796" t="n">
        <v>0</v>
      </c>
      <c r="L8796" t="n">
        <v>0</v>
      </c>
      <c r="M8796" t="n">
        <v>0</v>
      </c>
      <c r="N8796" t="n">
        <v>0</v>
      </c>
      <c r="O8796" t="n">
        <v>0</v>
      </c>
      <c r="P8796" t="n">
        <v>0</v>
      </c>
      <c r="Q8796" t="n">
        <v>0</v>
      </c>
      <c r="R8796" s="2" t="inlineStr"/>
    </row>
    <row r="8797" ht="15" customHeight="1">
      <c r="A8797" t="inlineStr">
        <is>
          <t>A 61555-2025</t>
        </is>
      </c>
      <c r="B8797" s="1" t="n">
        <v>46001.79376157407</v>
      </c>
      <c r="C8797" s="1" t="n">
        <v>46075</v>
      </c>
      <c r="D8797" t="inlineStr">
        <is>
          <t>VÄSTERBOTTENS LÄN</t>
        </is>
      </c>
      <c r="E8797" t="inlineStr">
        <is>
          <t>VINDELN</t>
        </is>
      </c>
      <c r="G8797" t="n">
        <v>3.1</v>
      </c>
      <c r="H8797" t="n">
        <v>0</v>
      </c>
      <c r="I8797" t="n">
        <v>0</v>
      </c>
      <c r="J8797" t="n">
        <v>0</v>
      </c>
      <c r="K8797" t="n">
        <v>0</v>
      </c>
      <c r="L8797" t="n">
        <v>0</v>
      </c>
      <c r="M8797" t="n">
        <v>0</v>
      </c>
      <c r="N8797" t="n">
        <v>0</v>
      </c>
      <c r="O8797" t="n">
        <v>0</v>
      </c>
      <c r="P8797" t="n">
        <v>0</v>
      </c>
      <c r="Q8797" t="n">
        <v>0</v>
      </c>
      <c r="R8797" s="2" t="inlineStr"/>
    </row>
    <row r="8798" ht="15" customHeight="1">
      <c r="A8798" t="inlineStr">
        <is>
          <t>A 4102-2026</t>
        </is>
      </c>
      <c r="B8798" s="1" t="n">
        <v>46044.57730324074</v>
      </c>
      <c r="C8798" s="1" t="n">
        <v>46075</v>
      </c>
      <c r="D8798" t="inlineStr">
        <is>
          <t>VÄSTERBOTTENS LÄN</t>
        </is>
      </c>
      <c r="E8798" t="inlineStr">
        <is>
          <t>LYCKSELE</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4109-2026</t>
        </is>
      </c>
      <c r="B8799" s="1" t="n">
        <v>46044.59418981482</v>
      </c>
      <c r="C8799" s="1" t="n">
        <v>46075</v>
      </c>
      <c r="D8799" t="inlineStr">
        <is>
          <t>VÄSTERBOTTENS LÄN</t>
        </is>
      </c>
      <c r="E8799" t="inlineStr">
        <is>
          <t>VÄNNÄS</t>
        </is>
      </c>
      <c r="G8799" t="n">
        <v>5.3</v>
      </c>
      <c r="H8799" t="n">
        <v>0</v>
      </c>
      <c r="I8799" t="n">
        <v>0</v>
      </c>
      <c r="J8799" t="n">
        <v>0</v>
      </c>
      <c r="K8799" t="n">
        <v>0</v>
      </c>
      <c r="L8799" t="n">
        <v>0</v>
      </c>
      <c r="M8799" t="n">
        <v>0</v>
      </c>
      <c r="N8799" t="n">
        <v>0</v>
      </c>
      <c r="O8799" t="n">
        <v>0</v>
      </c>
      <c r="P8799" t="n">
        <v>0</v>
      </c>
      <c r="Q8799" t="n">
        <v>0</v>
      </c>
      <c r="R8799" s="2" t="inlineStr"/>
    </row>
    <row r="8800" ht="15" customHeight="1">
      <c r="A8800" t="inlineStr">
        <is>
          <t>A 64898-2023</t>
        </is>
      </c>
      <c r="B8800" s="1" t="n">
        <v>45282.61475694444</v>
      </c>
      <c r="C8800" s="1" t="n">
        <v>46075</v>
      </c>
      <c r="D8800" t="inlineStr">
        <is>
          <t>VÄSTERBOTTENS LÄN</t>
        </is>
      </c>
      <c r="E8800" t="inlineStr">
        <is>
          <t>ÅSELE</t>
        </is>
      </c>
      <c r="G8800" t="n">
        <v>4.1</v>
      </c>
      <c r="H8800" t="n">
        <v>0</v>
      </c>
      <c r="I8800" t="n">
        <v>0</v>
      </c>
      <c r="J8800" t="n">
        <v>0</v>
      </c>
      <c r="K8800" t="n">
        <v>0</v>
      </c>
      <c r="L8800" t="n">
        <v>0</v>
      </c>
      <c r="M8800" t="n">
        <v>0</v>
      </c>
      <c r="N8800" t="n">
        <v>0</v>
      </c>
      <c r="O8800" t="n">
        <v>0</v>
      </c>
      <c r="P8800" t="n">
        <v>0</v>
      </c>
      <c r="Q8800" t="n">
        <v>0</v>
      </c>
      <c r="R8800" s="2" t="inlineStr"/>
    </row>
    <row r="8801" ht="15" customHeight="1">
      <c r="A8801" t="inlineStr">
        <is>
          <t>A 19606-2025</t>
        </is>
      </c>
      <c r="B8801" s="1" t="n">
        <v>45770.59820601852</v>
      </c>
      <c r="C8801" s="1" t="n">
        <v>46075</v>
      </c>
      <c r="D8801" t="inlineStr">
        <is>
          <t>VÄSTERBOTTENS LÄN</t>
        </is>
      </c>
      <c r="E8801" t="inlineStr">
        <is>
          <t>LYCKSELE</t>
        </is>
      </c>
      <c r="F8801" t="inlineStr">
        <is>
          <t>Holmen skog AB</t>
        </is>
      </c>
      <c r="G8801" t="n">
        <v>1.9</v>
      </c>
      <c r="H8801" t="n">
        <v>0</v>
      </c>
      <c r="I8801" t="n">
        <v>0</v>
      </c>
      <c r="J8801" t="n">
        <v>0</v>
      </c>
      <c r="K8801" t="n">
        <v>0</v>
      </c>
      <c r="L8801" t="n">
        <v>0</v>
      </c>
      <c r="M8801" t="n">
        <v>0</v>
      </c>
      <c r="N8801" t="n">
        <v>0</v>
      </c>
      <c r="O8801" t="n">
        <v>0</v>
      </c>
      <c r="P8801" t="n">
        <v>0</v>
      </c>
      <c r="Q8801" t="n">
        <v>0</v>
      </c>
      <c r="R8801" s="2" t="inlineStr"/>
    </row>
    <row r="8802" ht="15" customHeight="1">
      <c r="A8802" t="inlineStr">
        <is>
          <t>A 54019-2024</t>
        </is>
      </c>
      <c r="B8802" s="1" t="n">
        <v>45616.38535879629</v>
      </c>
      <c r="C8802" s="1" t="n">
        <v>46075</v>
      </c>
      <c r="D8802" t="inlineStr">
        <is>
          <t>VÄSTERBOTTENS LÄN</t>
        </is>
      </c>
      <c r="E8802" t="inlineStr">
        <is>
          <t>VINDELN</t>
        </is>
      </c>
      <c r="F8802" t="inlineStr">
        <is>
          <t>Sveaskog</t>
        </is>
      </c>
      <c r="G8802" t="n">
        <v>2.1</v>
      </c>
      <c r="H8802" t="n">
        <v>0</v>
      </c>
      <c r="I8802" t="n">
        <v>0</v>
      </c>
      <c r="J8802" t="n">
        <v>0</v>
      </c>
      <c r="K8802" t="n">
        <v>0</v>
      </c>
      <c r="L8802" t="n">
        <v>0</v>
      </c>
      <c r="M8802" t="n">
        <v>0</v>
      </c>
      <c r="N8802" t="n">
        <v>0</v>
      </c>
      <c r="O8802" t="n">
        <v>0</v>
      </c>
      <c r="P8802" t="n">
        <v>0</v>
      </c>
      <c r="Q8802" t="n">
        <v>0</v>
      </c>
      <c r="R8802" s="2" t="inlineStr"/>
    </row>
    <row r="8803" ht="15" customHeight="1">
      <c r="A8803" t="inlineStr">
        <is>
          <t>A 54030-2024</t>
        </is>
      </c>
      <c r="B8803" s="1" t="n">
        <v>45616.4003125</v>
      </c>
      <c r="C8803" s="1" t="n">
        <v>46075</v>
      </c>
      <c r="D8803" t="inlineStr">
        <is>
          <t>VÄSTERBOTTENS LÄN</t>
        </is>
      </c>
      <c r="E8803" t="inlineStr">
        <is>
          <t>VINDELN</t>
        </is>
      </c>
      <c r="F8803" t="inlineStr">
        <is>
          <t>Sveaskog</t>
        </is>
      </c>
      <c r="G8803" t="n">
        <v>1.9</v>
      </c>
      <c r="H8803" t="n">
        <v>0</v>
      </c>
      <c r="I8803" t="n">
        <v>0</v>
      </c>
      <c r="J8803" t="n">
        <v>0</v>
      </c>
      <c r="K8803" t="n">
        <v>0</v>
      </c>
      <c r="L8803" t="n">
        <v>0</v>
      </c>
      <c r="M8803" t="n">
        <v>0</v>
      </c>
      <c r="N8803" t="n">
        <v>0</v>
      </c>
      <c r="O8803" t="n">
        <v>0</v>
      </c>
      <c r="P8803" t="n">
        <v>0</v>
      </c>
      <c r="Q8803" t="n">
        <v>0</v>
      </c>
      <c r="R8803" s="2" t="inlineStr"/>
    </row>
    <row r="8804" ht="15" customHeight="1">
      <c r="A8804" t="inlineStr">
        <is>
          <t>A 54033-2024</t>
        </is>
      </c>
      <c r="B8804" s="1" t="n">
        <v>45616.41386574074</v>
      </c>
      <c r="C8804" s="1" t="n">
        <v>46075</v>
      </c>
      <c r="D8804" t="inlineStr">
        <is>
          <t>VÄSTERBOTTENS LÄN</t>
        </is>
      </c>
      <c r="E8804" t="inlineStr">
        <is>
          <t>VINDELN</t>
        </is>
      </c>
      <c r="F8804" t="inlineStr">
        <is>
          <t>Sveaskog</t>
        </is>
      </c>
      <c r="G8804" t="n">
        <v>11.2</v>
      </c>
      <c r="H8804" t="n">
        <v>0</v>
      </c>
      <c r="I8804" t="n">
        <v>0</v>
      </c>
      <c r="J8804" t="n">
        <v>0</v>
      </c>
      <c r="K8804" t="n">
        <v>0</v>
      </c>
      <c r="L8804" t="n">
        <v>0</v>
      </c>
      <c r="M8804" t="n">
        <v>0</v>
      </c>
      <c r="N8804" t="n">
        <v>0</v>
      </c>
      <c r="O8804" t="n">
        <v>0</v>
      </c>
      <c r="P8804" t="n">
        <v>0</v>
      </c>
      <c r="Q8804" t="n">
        <v>0</v>
      </c>
      <c r="R8804" s="2" t="inlineStr"/>
    </row>
    <row r="8805" ht="15" customHeight="1">
      <c r="A8805" t="inlineStr">
        <is>
          <t>A 2955-2024</t>
        </is>
      </c>
      <c r="B8805" s="1" t="n">
        <v>45315.64509259259</v>
      </c>
      <c r="C8805" s="1" t="n">
        <v>46075</v>
      </c>
      <c r="D8805" t="inlineStr">
        <is>
          <t>VÄSTERBOTTENS LÄN</t>
        </is>
      </c>
      <c r="E8805" t="inlineStr">
        <is>
          <t>SKELLEFTEÅ</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54037-2024</t>
        </is>
      </c>
      <c r="B8806" s="1" t="n">
        <v>45616.42424768519</v>
      </c>
      <c r="C8806" s="1" t="n">
        <v>46075</v>
      </c>
      <c r="D8806" t="inlineStr">
        <is>
          <t>VÄSTERBOTTENS LÄN</t>
        </is>
      </c>
      <c r="E8806" t="inlineStr">
        <is>
          <t>SKELLEFTEÅ</t>
        </is>
      </c>
      <c r="G8806" t="n">
        <v>0.5</v>
      </c>
      <c r="H8806" t="n">
        <v>0</v>
      </c>
      <c r="I8806" t="n">
        <v>0</v>
      </c>
      <c r="J8806" t="n">
        <v>0</v>
      </c>
      <c r="K8806" t="n">
        <v>0</v>
      </c>
      <c r="L8806" t="n">
        <v>0</v>
      </c>
      <c r="M8806" t="n">
        <v>0</v>
      </c>
      <c r="N8806" t="n">
        <v>0</v>
      </c>
      <c r="O8806" t="n">
        <v>0</v>
      </c>
      <c r="P8806" t="n">
        <v>0</v>
      </c>
      <c r="Q8806" t="n">
        <v>0</v>
      </c>
      <c r="R8806" s="2" t="inlineStr"/>
    </row>
    <row r="8807" ht="15" customHeight="1">
      <c r="A8807" t="inlineStr">
        <is>
          <t>A 58918-2024</t>
        </is>
      </c>
      <c r="B8807" s="1" t="n">
        <v>45635</v>
      </c>
      <c r="C8807" s="1" t="n">
        <v>46075</v>
      </c>
      <c r="D8807" t="inlineStr">
        <is>
          <t>VÄSTERBOTTENS LÄN</t>
        </is>
      </c>
      <c r="E8807" t="inlineStr">
        <is>
          <t>STORUMAN</t>
        </is>
      </c>
      <c r="F8807" t="inlineStr">
        <is>
          <t>Allmännings- och besparingsskogar</t>
        </is>
      </c>
      <c r="G8807" t="n">
        <v>75.59999999999999</v>
      </c>
      <c r="H8807" t="n">
        <v>0</v>
      </c>
      <c r="I8807" t="n">
        <v>0</v>
      </c>
      <c r="J8807" t="n">
        <v>0</v>
      </c>
      <c r="K8807" t="n">
        <v>0</v>
      </c>
      <c r="L8807" t="n">
        <v>0</v>
      </c>
      <c r="M8807" t="n">
        <v>0</v>
      </c>
      <c r="N8807" t="n">
        <v>0</v>
      </c>
      <c r="O8807" t="n">
        <v>0</v>
      </c>
      <c r="P8807" t="n">
        <v>0</v>
      </c>
      <c r="Q8807" t="n">
        <v>0</v>
      </c>
      <c r="R8807" s="2" t="inlineStr"/>
    </row>
    <row r="8808" ht="15" customHeight="1">
      <c r="A8808" t="inlineStr">
        <is>
          <t>A 61728-2025</t>
        </is>
      </c>
      <c r="B8808" s="1" t="n">
        <v>46002.58956018519</v>
      </c>
      <c r="C8808" s="1" t="n">
        <v>46075</v>
      </c>
      <c r="D8808" t="inlineStr">
        <is>
          <t>VÄSTERBOTTENS LÄN</t>
        </is>
      </c>
      <c r="E8808" t="inlineStr">
        <is>
          <t>VINDELN</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48116-2024</t>
        </is>
      </c>
      <c r="B8809" s="1" t="n">
        <v>45589.634375</v>
      </c>
      <c r="C8809" s="1" t="n">
        <v>46075</v>
      </c>
      <c r="D8809" t="inlineStr">
        <is>
          <t>VÄSTERBOTTENS LÄN</t>
        </is>
      </c>
      <c r="E8809" t="inlineStr">
        <is>
          <t>SKELLEFTEÅ</t>
        </is>
      </c>
      <c r="F8809" t="inlineStr">
        <is>
          <t>Kommuner</t>
        </is>
      </c>
      <c r="G8809" t="n">
        <v>9.1</v>
      </c>
      <c r="H8809" t="n">
        <v>0</v>
      </c>
      <c r="I8809" t="n">
        <v>0</v>
      </c>
      <c r="J8809" t="n">
        <v>0</v>
      </c>
      <c r="K8809" t="n">
        <v>0</v>
      </c>
      <c r="L8809" t="n">
        <v>0</v>
      </c>
      <c r="M8809" t="n">
        <v>0</v>
      </c>
      <c r="N8809" t="n">
        <v>0</v>
      </c>
      <c r="O8809" t="n">
        <v>0</v>
      </c>
      <c r="P8809" t="n">
        <v>0</v>
      </c>
      <c r="Q8809" t="n">
        <v>0</v>
      </c>
      <c r="R8809" s="2" t="inlineStr"/>
    </row>
    <row r="8810" ht="15" customHeight="1">
      <c r="A8810" t="inlineStr">
        <is>
          <t>A 19748-2021</t>
        </is>
      </c>
      <c r="B8810" s="1" t="n">
        <v>44312</v>
      </c>
      <c r="C8810" s="1" t="n">
        <v>46075</v>
      </c>
      <c r="D8810" t="inlineStr">
        <is>
          <t>VÄSTERBOTTENS LÄN</t>
        </is>
      </c>
      <c r="E8810" t="inlineStr">
        <is>
          <t>SKELLEFTEÅ</t>
        </is>
      </c>
      <c r="G8810" t="n">
        <v>0.9</v>
      </c>
      <c r="H8810" t="n">
        <v>0</v>
      </c>
      <c r="I8810" t="n">
        <v>0</v>
      </c>
      <c r="J8810" t="n">
        <v>0</v>
      </c>
      <c r="K8810" t="n">
        <v>0</v>
      </c>
      <c r="L8810" t="n">
        <v>0</v>
      </c>
      <c r="M8810" t="n">
        <v>0</v>
      </c>
      <c r="N8810" t="n">
        <v>0</v>
      </c>
      <c r="O8810" t="n">
        <v>0</v>
      </c>
      <c r="P8810" t="n">
        <v>0</v>
      </c>
      <c r="Q8810" t="n">
        <v>0</v>
      </c>
      <c r="R8810" s="2" t="inlineStr"/>
    </row>
    <row r="8811" ht="15" customHeight="1">
      <c r="A8811" t="inlineStr">
        <is>
          <t>A 37014-2024</t>
        </is>
      </c>
      <c r="B8811" s="1" t="n">
        <v>45539</v>
      </c>
      <c r="C8811" s="1" t="n">
        <v>46075</v>
      </c>
      <c r="D8811" t="inlineStr">
        <is>
          <t>VÄSTERBOTTENS LÄN</t>
        </is>
      </c>
      <c r="E8811" t="inlineStr">
        <is>
          <t>UMEÅ</t>
        </is>
      </c>
      <c r="G8811" t="n">
        <v>3.2</v>
      </c>
      <c r="H8811" t="n">
        <v>0</v>
      </c>
      <c r="I8811" t="n">
        <v>0</v>
      </c>
      <c r="J8811" t="n">
        <v>0</v>
      </c>
      <c r="K8811" t="n">
        <v>0</v>
      </c>
      <c r="L8811" t="n">
        <v>0</v>
      </c>
      <c r="M8811" t="n">
        <v>0</v>
      </c>
      <c r="N8811" t="n">
        <v>0</v>
      </c>
      <c r="O8811" t="n">
        <v>0</v>
      </c>
      <c r="P8811" t="n">
        <v>0</v>
      </c>
      <c r="Q8811" t="n">
        <v>0</v>
      </c>
      <c r="R8811" s="2" t="inlineStr"/>
    </row>
    <row r="8812" ht="15" customHeight="1">
      <c r="A8812" t="inlineStr">
        <is>
          <t>A 61831-2025</t>
        </is>
      </c>
      <c r="B8812" s="1" t="n">
        <v>46003.34439814815</v>
      </c>
      <c r="C8812" s="1" t="n">
        <v>46075</v>
      </c>
      <c r="D8812" t="inlineStr">
        <is>
          <t>VÄSTERBOTTENS LÄN</t>
        </is>
      </c>
      <c r="E8812" t="inlineStr">
        <is>
          <t>DOROTEA</t>
        </is>
      </c>
      <c r="F8812" t="inlineStr">
        <is>
          <t>SCA</t>
        </is>
      </c>
      <c r="G8812" t="n">
        <v>6</v>
      </c>
      <c r="H8812" t="n">
        <v>0</v>
      </c>
      <c r="I8812" t="n">
        <v>0</v>
      </c>
      <c r="J8812" t="n">
        <v>0</v>
      </c>
      <c r="K8812" t="n">
        <v>0</v>
      </c>
      <c r="L8812" t="n">
        <v>0</v>
      </c>
      <c r="M8812" t="n">
        <v>0</v>
      </c>
      <c r="N8812" t="n">
        <v>0</v>
      </c>
      <c r="O8812" t="n">
        <v>0</v>
      </c>
      <c r="P8812" t="n">
        <v>0</v>
      </c>
      <c r="Q8812" t="n">
        <v>0</v>
      </c>
      <c r="R8812" s="2" t="inlineStr"/>
    </row>
    <row r="8813" ht="15" customHeight="1">
      <c r="A8813" t="inlineStr">
        <is>
          <t>A 46392-2024</t>
        </is>
      </c>
      <c r="B8813" s="1" t="n">
        <v>45582</v>
      </c>
      <c r="C8813" s="1" t="n">
        <v>46075</v>
      </c>
      <c r="D8813" t="inlineStr">
        <is>
          <t>VÄSTERBOTTENS LÄN</t>
        </is>
      </c>
      <c r="E8813" t="inlineStr">
        <is>
          <t>VILHELMINA</t>
        </is>
      </c>
      <c r="F8813" t="inlineStr">
        <is>
          <t>SCA</t>
        </is>
      </c>
      <c r="G8813" t="n">
        <v>2.5</v>
      </c>
      <c r="H8813" t="n">
        <v>0</v>
      </c>
      <c r="I8813" t="n">
        <v>0</v>
      </c>
      <c r="J8813" t="n">
        <v>0</v>
      </c>
      <c r="K8813" t="n">
        <v>0</v>
      </c>
      <c r="L8813" t="n">
        <v>0</v>
      </c>
      <c r="M8813" t="n">
        <v>0</v>
      </c>
      <c r="N8813" t="n">
        <v>0</v>
      </c>
      <c r="O8813" t="n">
        <v>0</v>
      </c>
      <c r="P8813" t="n">
        <v>0</v>
      </c>
      <c r="Q8813" t="n">
        <v>0</v>
      </c>
      <c r="R8813" s="2" t="inlineStr"/>
    </row>
    <row r="8814" ht="15" customHeight="1">
      <c r="A8814" t="inlineStr">
        <is>
          <t>A 32463-2023</t>
        </is>
      </c>
      <c r="B8814" s="1" t="n">
        <v>45120.92644675926</v>
      </c>
      <c r="C8814" s="1" t="n">
        <v>46075</v>
      </c>
      <c r="D8814" t="inlineStr">
        <is>
          <t>VÄSTERBOTTENS LÄN</t>
        </is>
      </c>
      <c r="E8814" t="inlineStr">
        <is>
          <t>UMEÅ</t>
        </is>
      </c>
      <c r="G8814" t="n">
        <v>1</v>
      </c>
      <c r="H8814" t="n">
        <v>0</v>
      </c>
      <c r="I8814" t="n">
        <v>0</v>
      </c>
      <c r="J8814" t="n">
        <v>0</v>
      </c>
      <c r="K8814" t="n">
        <v>0</v>
      </c>
      <c r="L8814" t="n">
        <v>0</v>
      </c>
      <c r="M8814" t="n">
        <v>0</v>
      </c>
      <c r="N8814" t="n">
        <v>0</v>
      </c>
      <c r="O8814" t="n">
        <v>0</v>
      </c>
      <c r="P8814" t="n">
        <v>0</v>
      </c>
      <c r="Q8814" t="n">
        <v>0</v>
      </c>
      <c r="R8814" s="2" t="inlineStr"/>
    </row>
    <row r="8815" ht="15" customHeight="1">
      <c r="A8815" t="inlineStr">
        <is>
          <t>A 32467-2023</t>
        </is>
      </c>
      <c r="B8815" s="1" t="n">
        <v>45120.92667824074</v>
      </c>
      <c r="C8815" s="1" t="n">
        <v>46075</v>
      </c>
      <c r="D8815" t="inlineStr">
        <is>
          <t>VÄSTERBOTTENS LÄN</t>
        </is>
      </c>
      <c r="E8815" t="inlineStr">
        <is>
          <t>UMEÅ</t>
        </is>
      </c>
      <c r="G8815" t="n">
        <v>3.1</v>
      </c>
      <c r="H8815" t="n">
        <v>0</v>
      </c>
      <c r="I8815" t="n">
        <v>0</v>
      </c>
      <c r="J8815" t="n">
        <v>0</v>
      </c>
      <c r="K8815" t="n">
        <v>0</v>
      </c>
      <c r="L8815" t="n">
        <v>0</v>
      </c>
      <c r="M8815" t="n">
        <v>0</v>
      </c>
      <c r="N8815" t="n">
        <v>0</v>
      </c>
      <c r="O8815" t="n">
        <v>0</v>
      </c>
      <c r="P8815" t="n">
        <v>0</v>
      </c>
      <c r="Q8815" t="n">
        <v>0</v>
      </c>
      <c r="R8815" s="2" t="inlineStr"/>
    </row>
    <row r="8816" ht="15" customHeight="1">
      <c r="A8816" t="inlineStr">
        <is>
          <t>A 23022-2021</t>
        </is>
      </c>
      <c r="B8816" s="1" t="n">
        <v>44328</v>
      </c>
      <c r="C8816" s="1" t="n">
        <v>46075</v>
      </c>
      <c r="D8816" t="inlineStr">
        <is>
          <t>VÄSTERBOTTENS LÄN</t>
        </is>
      </c>
      <c r="E8816" t="inlineStr">
        <is>
          <t>ÅSELE</t>
        </is>
      </c>
      <c r="F8816" t="inlineStr">
        <is>
          <t>SCA</t>
        </is>
      </c>
      <c r="G8816" t="n">
        <v>3.2</v>
      </c>
      <c r="H8816" t="n">
        <v>0</v>
      </c>
      <c r="I8816" t="n">
        <v>0</v>
      </c>
      <c r="J8816" t="n">
        <v>0</v>
      </c>
      <c r="K8816" t="n">
        <v>0</v>
      </c>
      <c r="L8816" t="n">
        <v>0</v>
      </c>
      <c r="M8816" t="n">
        <v>0</v>
      </c>
      <c r="N8816" t="n">
        <v>0</v>
      </c>
      <c r="O8816" t="n">
        <v>0</v>
      </c>
      <c r="P8816" t="n">
        <v>0</v>
      </c>
      <c r="Q8816" t="n">
        <v>0</v>
      </c>
      <c r="R8816" s="2" t="inlineStr"/>
    </row>
    <row r="8817" ht="15" customHeight="1">
      <c r="A8817" t="inlineStr">
        <is>
          <t>A 61881-2025</t>
        </is>
      </c>
      <c r="B8817" s="1" t="n">
        <v>46003.42759259259</v>
      </c>
      <c r="C8817" s="1" t="n">
        <v>46075</v>
      </c>
      <c r="D8817" t="inlineStr">
        <is>
          <t>VÄSTERBOTTENS LÄN</t>
        </is>
      </c>
      <c r="E8817" t="inlineStr">
        <is>
          <t>NORDMALING</t>
        </is>
      </c>
      <c r="F8817" t="inlineStr">
        <is>
          <t>SCA</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61900-2025</t>
        </is>
      </c>
      <c r="B8818" s="1" t="n">
        <v>46003.46922453704</v>
      </c>
      <c r="C8818" s="1" t="n">
        <v>46075</v>
      </c>
      <c r="D8818" t="inlineStr">
        <is>
          <t>VÄSTERBOTTENS LÄN</t>
        </is>
      </c>
      <c r="E8818" t="inlineStr">
        <is>
          <t>NORDMALING</t>
        </is>
      </c>
      <c r="F8818" t="inlineStr">
        <is>
          <t>SCA</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36745-2023</t>
        </is>
      </c>
      <c r="B8819" s="1" t="n">
        <v>45153</v>
      </c>
      <c r="C8819" s="1" t="n">
        <v>46075</v>
      </c>
      <c r="D8819" t="inlineStr">
        <is>
          <t>VÄSTERBOTTENS LÄN</t>
        </is>
      </c>
      <c r="E8819" t="inlineStr">
        <is>
          <t>MALÅ</t>
        </is>
      </c>
      <c r="G8819" t="n">
        <v>5.2</v>
      </c>
      <c r="H8819" t="n">
        <v>0</v>
      </c>
      <c r="I8819" t="n">
        <v>0</v>
      </c>
      <c r="J8819" t="n">
        <v>0</v>
      </c>
      <c r="K8819" t="n">
        <v>0</v>
      </c>
      <c r="L8819" t="n">
        <v>0</v>
      </c>
      <c r="M8819" t="n">
        <v>0</v>
      </c>
      <c r="N8819" t="n">
        <v>0</v>
      </c>
      <c r="O8819" t="n">
        <v>0</v>
      </c>
      <c r="P8819" t="n">
        <v>0</v>
      </c>
      <c r="Q8819" t="n">
        <v>0</v>
      </c>
      <c r="R8819" s="2" t="inlineStr"/>
    </row>
    <row r="8820" ht="15" customHeight="1">
      <c r="A8820" t="inlineStr">
        <is>
          <t>A 61876-2025</t>
        </is>
      </c>
      <c r="B8820" s="1" t="n">
        <v>46003.41054398148</v>
      </c>
      <c r="C8820" s="1" t="n">
        <v>46075</v>
      </c>
      <c r="D8820" t="inlineStr">
        <is>
          <t>VÄSTERBOTTENS LÄN</t>
        </is>
      </c>
      <c r="E8820" t="inlineStr">
        <is>
          <t>LYCKSELE</t>
        </is>
      </c>
      <c r="F8820" t="inlineStr">
        <is>
          <t>Sveaskog</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31132-2023</t>
        </is>
      </c>
      <c r="B8821" s="1" t="n">
        <v>45103</v>
      </c>
      <c r="C8821" s="1" t="n">
        <v>46075</v>
      </c>
      <c r="D8821" t="inlineStr">
        <is>
          <t>VÄSTERBOTTENS LÄN</t>
        </is>
      </c>
      <c r="E8821" t="inlineStr">
        <is>
          <t>VÄNNÄS</t>
        </is>
      </c>
      <c r="G8821" t="n">
        <v>4.2</v>
      </c>
      <c r="H8821" t="n">
        <v>0</v>
      </c>
      <c r="I8821" t="n">
        <v>0</v>
      </c>
      <c r="J8821" t="n">
        <v>0</v>
      </c>
      <c r="K8821" t="n">
        <v>0</v>
      </c>
      <c r="L8821" t="n">
        <v>0</v>
      </c>
      <c r="M8821" t="n">
        <v>0</v>
      </c>
      <c r="N8821" t="n">
        <v>0</v>
      </c>
      <c r="O8821" t="n">
        <v>0</v>
      </c>
      <c r="P8821" t="n">
        <v>0</v>
      </c>
      <c r="Q8821" t="n">
        <v>0</v>
      </c>
      <c r="R8821" s="2" t="inlineStr"/>
    </row>
    <row r="8822" ht="15" customHeight="1">
      <c r="A8822" t="inlineStr">
        <is>
          <t>A 4362-2026</t>
        </is>
      </c>
      <c r="B8822" s="1" t="n">
        <v>46045.54386574074</v>
      </c>
      <c r="C8822" s="1" t="n">
        <v>46075</v>
      </c>
      <c r="D8822" t="inlineStr">
        <is>
          <t>VÄSTERBOTTENS LÄN</t>
        </is>
      </c>
      <c r="E8822" t="inlineStr">
        <is>
          <t>UMEÅ</t>
        </is>
      </c>
      <c r="G8822" t="n">
        <v>2</v>
      </c>
      <c r="H8822" t="n">
        <v>0</v>
      </c>
      <c r="I8822" t="n">
        <v>0</v>
      </c>
      <c r="J8822" t="n">
        <v>0</v>
      </c>
      <c r="K8822" t="n">
        <v>0</v>
      </c>
      <c r="L8822" t="n">
        <v>0</v>
      </c>
      <c r="M8822" t="n">
        <v>0</v>
      </c>
      <c r="N8822" t="n">
        <v>0</v>
      </c>
      <c r="O8822" t="n">
        <v>0</v>
      </c>
      <c r="P8822" t="n">
        <v>0</v>
      </c>
      <c r="Q8822" t="n">
        <v>0</v>
      </c>
      <c r="R8822" s="2" t="inlineStr"/>
    </row>
    <row r="8823" ht="15" customHeight="1">
      <c r="A8823" t="inlineStr">
        <is>
          <t>A 3972-2026</t>
        </is>
      </c>
      <c r="B8823" s="1" t="n">
        <v>46044.3530787037</v>
      </c>
      <c r="C8823" s="1" t="n">
        <v>46075</v>
      </c>
      <c r="D8823" t="inlineStr">
        <is>
          <t>VÄSTERBOTTENS LÄN</t>
        </is>
      </c>
      <c r="E8823" t="inlineStr">
        <is>
          <t>UMEÅ</t>
        </is>
      </c>
      <c r="G8823" t="n">
        <v>1.7</v>
      </c>
      <c r="H8823" t="n">
        <v>0</v>
      </c>
      <c r="I8823" t="n">
        <v>0</v>
      </c>
      <c r="J8823" t="n">
        <v>0</v>
      </c>
      <c r="K8823" t="n">
        <v>0</v>
      </c>
      <c r="L8823" t="n">
        <v>0</v>
      </c>
      <c r="M8823" t="n">
        <v>0</v>
      </c>
      <c r="N8823" t="n">
        <v>0</v>
      </c>
      <c r="O8823" t="n">
        <v>0</v>
      </c>
      <c r="P8823" t="n">
        <v>0</v>
      </c>
      <c r="Q8823" t="n">
        <v>0</v>
      </c>
      <c r="R8823" s="2" t="inlineStr"/>
    </row>
    <row r="8824" ht="15" customHeight="1">
      <c r="A8824" t="inlineStr">
        <is>
          <t>A 58114-2022</t>
        </is>
      </c>
      <c r="B8824" s="1" t="n">
        <v>44893</v>
      </c>
      <c r="C8824" s="1" t="n">
        <v>46075</v>
      </c>
      <c r="D8824" t="inlineStr">
        <is>
          <t>VÄSTERBOTTENS LÄN</t>
        </is>
      </c>
      <c r="E8824" t="inlineStr">
        <is>
          <t>SKELLEFTEÅ</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58132-2022</t>
        </is>
      </c>
      <c r="B8825" s="1" t="n">
        <v>44900.68913194445</v>
      </c>
      <c r="C8825" s="1" t="n">
        <v>46075</v>
      </c>
      <c r="D8825" t="inlineStr">
        <is>
          <t>VÄSTERBOTTENS LÄN</t>
        </is>
      </c>
      <c r="E8825" t="inlineStr">
        <is>
          <t>UMEÅ</t>
        </is>
      </c>
      <c r="G8825" t="n">
        <v>3.6</v>
      </c>
      <c r="H8825" t="n">
        <v>0</v>
      </c>
      <c r="I8825" t="n">
        <v>0</v>
      </c>
      <c r="J8825" t="n">
        <v>0</v>
      </c>
      <c r="K8825" t="n">
        <v>0</v>
      </c>
      <c r="L8825" t="n">
        <v>0</v>
      </c>
      <c r="M8825" t="n">
        <v>0</v>
      </c>
      <c r="N8825" t="n">
        <v>0</v>
      </c>
      <c r="O8825" t="n">
        <v>0</v>
      </c>
      <c r="P8825" t="n">
        <v>0</v>
      </c>
      <c r="Q8825" t="n">
        <v>0</v>
      </c>
      <c r="R8825" s="2" t="inlineStr"/>
    </row>
    <row r="8826" ht="15" customHeight="1">
      <c r="A8826" t="inlineStr">
        <is>
          <t>A 6619-2023</t>
        </is>
      </c>
      <c r="B8826" s="1" t="n">
        <v>44963</v>
      </c>
      <c r="C8826" s="1" t="n">
        <v>46075</v>
      </c>
      <c r="D8826" t="inlineStr">
        <is>
          <t>VÄSTERBOTTENS LÄN</t>
        </is>
      </c>
      <c r="E8826" t="inlineStr">
        <is>
          <t>NORSJÖ</t>
        </is>
      </c>
      <c r="G8826" t="n">
        <v>0.5</v>
      </c>
      <c r="H8826" t="n">
        <v>0</v>
      </c>
      <c r="I8826" t="n">
        <v>0</v>
      </c>
      <c r="J8826" t="n">
        <v>0</v>
      </c>
      <c r="K8826" t="n">
        <v>0</v>
      </c>
      <c r="L8826" t="n">
        <v>0</v>
      </c>
      <c r="M8826" t="n">
        <v>0</v>
      </c>
      <c r="N8826" t="n">
        <v>0</v>
      </c>
      <c r="O8826" t="n">
        <v>0</v>
      </c>
      <c r="P8826" t="n">
        <v>0</v>
      </c>
      <c r="Q8826" t="n">
        <v>0</v>
      </c>
      <c r="R8826" s="2" t="inlineStr"/>
    </row>
    <row r="8827" ht="15" customHeight="1">
      <c r="A8827" t="inlineStr">
        <is>
          <t>A 6621-2023</t>
        </is>
      </c>
      <c r="B8827" s="1" t="n">
        <v>44960</v>
      </c>
      <c r="C8827" s="1" t="n">
        <v>46075</v>
      </c>
      <c r="D8827" t="inlineStr">
        <is>
          <t>VÄSTERBOTTENS LÄN</t>
        </is>
      </c>
      <c r="E8827" t="inlineStr">
        <is>
          <t>DOROTEA</t>
        </is>
      </c>
      <c r="G8827" t="n">
        <v>4.4</v>
      </c>
      <c r="H8827" t="n">
        <v>0</v>
      </c>
      <c r="I8827" t="n">
        <v>0</v>
      </c>
      <c r="J8827" t="n">
        <v>0</v>
      </c>
      <c r="K8827" t="n">
        <v>0</v>
      </c>
      <c r="L8827" t="n">
        <v>0</v>
      </c>
      <c r="M8827" t="n">
        <v>0</v>
      </c>
      <c r="N8827" t="n">
        <v>0</v>
      </c>
      <c r="O8827" t="n">
        <v>0</v>
      </c>
      <c r="P8827" t="n">
        <v>0</v>
      </c>
      <c r="Q8827" t="n">
        <v>0</v>
      </c>
      <c r="R8827" s="2" t="inlineStr"/>
    </row>
    <row r="8828" ht="15" customHeight="1">
      <c r="A8828" t="inlineStr">
        <is>
          <t>A 6656-2023</t>
        </is>
      </c>
      <c r="B8828" s="1" t="n">
        <v>44963</v>
      </c>
      <c r="C8828" s="1" t="n">
        <v>46075</v>
      </c>
      <c r="D8828" t="inlineStr">
        <is>
          <t>VÄSTERBOTTENS LÄN</t>
        </is>
      </c>
      <c r="E8828" t="inlineStr">
        <is>
          <t>SKELLEFTEÅ</t>
        </is>
      </c>
      <c r="G8828" t="n">
        <v>2.5</v>
      </c>
      <c r="H8828" t="n">
        <v>0</v>
      </c>
      <c r="I8828" t="n">
        <v>0</v>
      </c>
      <c r="J8828" t="n">
        <v>0</v>
      </c>
      <c r="K8828" t="n">
        <v>0</v>
      </c>
      <c r="L8828" t="n">
        <v>0</v>
      </c>
      <c r="M8828" t="n">
        <v>0</v>
      </c>
      <c r="N8828" t="n">
        <v>0</v>
      </c>
      <c r="O8828" t="n">
        <v>0</v>
      </c>
      <c r="P8828" t="n">
        <v>0</v>
      </c>
      <c r="Q8828" t="n">
        <v>0</v>
      </c>
      <c r="R8828" s="2" t="inlineStr"/>
    </row>
    <row r="8829" ht="15" customHeight="1">
      <c r="A8829" t="inlineStr">
        <is>
          <t>A 44790-2023</t>
        </is>
      </c>
      <c r="B8829" s="1" t="n">
        <v>45190.45606481482</v>
      </c>
      <c r="C8829" s="1" t="n">
        <v>46075</v>
      </c>
      <c r="D8829" t="inlineStr">
        <is>
          <t>VÄSTERBOTTENS LÄN</t>
        </is>
      </c>
      <c r="E8829" t="inlineStr">
        <is>
          <t>BJURHOLM</t>
        </is>
      </c>
      <c r="F8829" t="inlineStr">
        <is>
          <t>Holmen skog AB</t>
        </is>
      </c>
      <c r="G8829" t="n">
        <v>21.7</v>
      </c>
      <c r="H8829" t="n">
        <v>0</v>
      </c>
      <c r="I8829" t="n">
        <v>0</v>
      </c>
      <c r="J8829" t="n">
        <v>0</v>
      </c>
      <c r="K8829" t="n">
        <v>0</v>
      </c>
      <c r="L8829" t="n">
        <v>0</v>
      </c>
      <c r="M8829" t="n">
        <v>0</v>
      </c>
      <c r="N8829" t="n">
        <v>0</v>
      </c>
      <c r="O8829" t="n">
        <v>0</v>
      </c>
      <c r="P8829" t="n">
        <v>0</v>
      </c>
      <c r="Q8829" t="n">
        <v>0</v>
      </c>
      <c r="R8829" s="2" t="inlineStr"/>
    </row>
    <row r="8830" ht="15" customHeight="1">
      <c r="A8830" t="inlineStr">
        <is>
          <t>A 4110-2026</t>
        </is>
      </c>
      <c r="B8830" s="1" t="n">
        <v>46043</v>
      </c>
      <c r="C8830" s="1" t="n">
        <v>46075</v>
      </c>
      <c r="D8830" t="inlineStr">
        <is>
          <t>VÄSTERBOTTENS LÄN</t>
        </is>
      </c>
      <c r="E8830" t="inlineStr">
        <is>
          <t>UMEÅ</t>
        </is>
      </c>
      <c r="G8830" t="n">
        <v>7.6</v>
      </c>
      <c r="H8830" t="n">
        <v>0</v>
      </c>
      <c r="I8830" t="n">
        <v>0</v>
      </c>
      <c r="J8830" t="n">
        <v>0</v>
      </c>
      <c r="K8830" t="n">
        <v>0</v>
      </c>
      <c r="L8830" t="n">
        <v>0</v>
      </c>
      <c r="M8830" t="n">
        <v>0</v>
      </c>
      <c r="N8830" t="n">
        <v>0</v>
      </c>
      <c r="O8830" t="n">
        <v>0</v>
      </c>
      <c r="P8830" t="n">
        <v>0</v>
      </c>
      <c r="Q8830" t="n">
        <v>0</v>
      </c>
      <c r="R8830" s="2" t="inlineStr"/>
    </row>
    <row r="8831" ht="15" customHeight="1">
      <c r="A8831" t="inlineStr">
        <is>
          <t>A 57962-2024</t>
        </is>
      </c>
      <c r="B8831" s="1" t="n">
        <v>45631</v>
      </c>
      <c r="C8831" s="1" t="n">
        <v>46075</v>
      </c>
      <c r="D8831" t="inlineStr">
        <is>
          <t>VÄSTERBOTTENS LÄN</t>
        </is>
      </c>
      <c r="E8831" t="inlineStr">
        <is>
          <t>STORUMAN</t>
        </is>
      </c>
      <c r="F8831" t="inlineStr">
        <is>
          <t>Allmännings- och besparingsskogar</t>
        </is>
      </c>
      <c r="G8831" t="n">
        <v>855.7</v>
      </c>
      <c r="H8831" t="n">
        <v>0</v>
      </c>
      <c r="I8831" t="n">
        <v>0</v>
      </c>
      <c r="J8831" t="n">
        <v>0</v>
      </c>
      <c r="K8831" t="n">
        <v>0</v>
      </c>
      <c r="L8831" t="n">
        <v>0</v>
      </c>
      <c r="M8831" t="n">
        <v>0</v>
      </c>
      <c r="N8831" t="n">
        <v>0</v>
      </c>
      <c r="O8831" t="n">
        <v>0</v>
      </c>
      <c r="P8831" t="n">
        <v>0</v>
      </c>
      <c r="Q8831" t="n">
        <v>0</v>
      </c>
      <c r="R8831" s="2" t="inlineStr"/>
    </row>
    <row r="8832" ht="15" customHeight="1">
      <c r="A8832" t="inlineStr">
        <is>
          <t>A 16626-2024</t>
        </is>
      </c>
      <c r="B8832" s="1" t="n">
        <v>45408</v>
      </c>
      <c r="C8832" s="1" t="n">
        <v>46075</v>
      </c>
      <c r="D8832" t="inlineStr">
        <is>
          <t>VÄSTERBOTTENS LÄN</t>
        </is>
      </c>
      <c r="E8832" t="inlineStr">
        <is>
          <t>VILHELMINA</t>
        </is>
      </c>
      <c r="G8832" t="n">
        <v>15.5</v>
      </c>
      <c r="H8832" t="n">
        <v>0</v>
      </c>
      <c r="I8832" t="n">
        <v>0</v>
      </c>
      <c r="J8832" t="n">
        <v>0</v>
      </c>
      <c r="K8832" t="n">
        <v>0</v>
      </c>
      <c r="L8832" t="n">
        <v>0</v>
      </c>
      <c r="M8832" t="n">
        <v>0</v>
      </c>
      <c r="N8832" t="n">
        <v>0</v>
      </c>
      <c r="O8832" t="n">
        <v>0</v>
      </c>
      <c r="P8832" t="n">
        <v>0</v>
      </c>
      <c r="Q8832" t="n">
        <v>0</v>
      </c>
      <c r="R8832" s="2" t="inlineStr"/>
    </row>
    <row r="8833" ht="15" customHeight="1">
      <c r="A8833" t="inlineStr">
        <is>
          <t>A 45475-2024</t>
        </is>
      </c>
      <c r="B8833" s="1" t="n">
        <v>45576.82554398148</v>
      </c>
      <c r="C8833" s="1" t="n">
        <v>46075</v>
      </c>
      <c r="D8833" t="inlineStr">
        <is>
          <t>VÄSTERBOTTENS LÄN</t>
        </is>
      </c>
      <c r="E8833" t="inlineStr">
        <is>
          <t>ÅSELE</t>
        </is>
      </c>
      <c r="F8833" t="inlineStr">
        <is>
          <t>Sveaskog</t>
        </is>
      </c>
      <c r="G8833" t="n">
        <v>2.2</v>
      </c>
      <c r="H8833" t="n">
        <v>0</v>
      </c>
      <c r="I8833" t="n">
        <v>0</v>
      </c>
      <c r="J8833" t="n">
        <v>0</v>
      </c>
      <c r="K8833" t="n">
        <v>0</v>
      </c>
      <c r="L8833" t="n">
        <v>0</v>
      </c>
      <c r="M8833" t="n">
        <v>0</v>
      </c>
      <c r="N8833" t="n">
        <v>0</v>
      </c>
      <c r="O8833" t="n">
        <v>0</v>
      </c>
      <c r="P8833" t="n">
        <v>0</v>
      </c>
      <c r="Q8833" t="n">
        <v>0</v>
      </c>
      <c r="R8833" s="2" t="inlineStr"/>
    </row>
    <row r="8834" ht="15" customHeight="1">
      <c r="A8834" t="inlineStr">
        <is>
          <t>A 57579-2024</t>
        </is>
      </c>
      <c r="B8834" s="1" t="n">
        <v>45630.47672453704</v>
      </c>
      <c r="C8834" s="1" t="n">
        <v>46075</v>
      </c>
      <c r="D8834" t="inlineStr">
        <is>
          <t>VÄSTERBOTTENS LÄN</t>
        </is>
      </c>
      <c r="E8834" t="inlineStr">
        <is>
          <t>VINDELN</t>
        </is>
      </c>
      <c r="F8834" t="inlineStr">
        <is>
          <t>Sveaskog</t>
        </is>
      </c>
      <c r="G8834" t="n">
        <v>14.4</v>
      </c>
      <c r="H8834" t="n">
        <v>0</v>
      </c>
      <c r="I8834" t="n">
        <v>0</v>
      </c>
      <c r="J8834" t="n">
        <v>0</v>
      </c>
      <c r="K8834" t="n">
        <v>0</v>
      </c>
      <c r="L8834" t="n">
        <v>0</v>
      </c>
      <c r="M8834" t="n">
        <v>0</v>
      </c>
      <c r="N8834" t="n">
        <v>0</v>
      </c>
      <c r="O8834" t="n">
        <v>0</v>
      </c>
      <c r="P8834" t="n">
        <v>0</v>
      </c>
      <c r="Q8834" t="n">
        <v>0</v>
      </c>
      <c r="R8834" s="2" t="inlineStr"/>
    </row>
    <row r="8835" ht="15" customHeight="1">
      <c r="A8835" t="inlineStr">
        <is>
          <t>A 4332-2026</t>
        </is>
      </c>
      <c r="B8835" s="1" t="n">
        <v>46045.48094907407</v>
      </c>
      <c r="C8835" s="1" t="n">
        <v>46075</v>
      </c>
      <c r="D8835" t="inlineStr">
        <is>
          <t>VÄSTERBOTTENS LÄN</t>
        </is>
      </c>
      <c r="E8835" t="inlineStr">
        <is>
          <t>NORDMALING</t>
        </is>
      </c>
      <c r="G8835" t="n">
        <v>22.4</v>
      </c>
      <c r="H8835" t="n">
        <v>0</v>
      </c>
      <c r="I8835" t="n">
        <v>0</v>
      </c>
      <c r="J8835" t="n">
        <v>0</v>
      </c>
      <c r="K8835" t="n">
        <v>0</v>
      </c>
      <c r="L8835" t="n">
        <v>0</v>
      </c>
      <c r="M8835" t="n">
        <v>0</v>
      </c>
      <c r="N8835" t="n">
        <v>0</v>
      </c>
      <c r="O8835" t="n">
        <v>0</v>
      </c>
      <c r="P8835" t="n">
        <v>0</v>
      </c>
      <c r="Q8835" t="n">
        <v>0</v>
      </c>
      <c r="R8835" s="2" t="inlineStr"/>
    </row>
    <row r="8836" ht="15" customHeight="1">
      <c r="A8836" t="inlineStr">
        <is>
          <t>A 54354-2021</t>
        </is>
      </c>
      <c r="B8836" s="1" t="n">
        <v>44473</v>
      </c>
      <c r="C8836" s="1" t="n">
        <v>46075</v>
      </c>
      <c r="D8836" t="inlineStr">
        <is>
          <t>VÄSTERBOTTENS LÄN</t>
        </is>
      </c>
      <c r="E8836" t="inlineStr">
        <is>
          <t>UMEÅ</t>
        </is>
      </c>
      <c r="F8836" t="inlineStr">
        <is>
          <t>Holmen skog AB</t>
        </is>
      </c>
      <c r="G8836" t="n">
        <v>2.2</v>
      </c>
      <c r="H8836" t="n">
        <v>0</v>
      </c>
      <c r="I8836" t="n">
        <v>0</v>
      </c>
      <c r="J8836" t="n">
        <v>0</v>
      </c>
      <c r="K8836" t="n">
        <v>0</v>
      </c>
      <c r="L8836" t="n">
        <v>0</v>
      </c>
      <c r="M8836" t="n">
        <v>0</v>
      </c>
      <c r="N8836" t="n">
        <v>0</v>
      </c>
      <c r="O8836" t="n">
        <v>0</v>
      </c>
      <c r="P8836" t="n">
        <v>0</v>
      </c>
      <c r="Q8836" t="n">
        <v>0</v>
      </c>
      <c r="R8836" s="2" t="inlineStr"/>
    </row>
    <row r="8837" ht="15" customHeight="1">
      <c r="A8837" t="inlineStr">
        <is>
          <t>A 54439-2021</t>
        </is>
      </c>
      <c r="B8837" s="1" t="n">
        <v>44473</v>
      </c>
      <c r="C8837" s="1" t="n">
        <v>46075</v>
      </c>
      <c r="D8837" t="inlineStr">
        <is>
          <t>VÄSTERBOTTENS LÄN</t>
        </is>
      </c>
      <c r="E8837" t="inlineStr">
        <is>
          <t>UMEÅ</t>
        </is>
      </c>
      <c r="F8837" t="inlineStr">
        <is>
          <t>Holmen skog AB</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57603-2024</t>
        </is>
      </c>
      <c r="B8838" s="1" t="n">
        <v>45630.53160879629</v>
      </c>
      <c r="C8838" s="1" t="n">
        <v>46075</v>
      </c>
      <c r="D8838" t="inlineStr">
        <is>
          <t>VÄSTERBOTTENS LÄN</t>
        </is>
      </c>
      <c r="E8838" t="inlineStr">
        <is>
          <t>SORSELE</t>
        </is>
      </c>
      <c r="F8838" t="inlineStr">
        <is>
          <t>SCA</t>
        </is>
      </c>
      <c r="G8838" t="n">
        <v>2.3</v>
      </c>
      <c r="H8838" t="n">
        <v>0</v>
      </c>
      <c r="I8838" t="n">
        <v>0</v>
      </c>
      <c r="J8838" t="n">
        <v>0</v>
      </c>
      <c r="K8838" t="n">
        <v>0</v>
      </c>
      <c r="L8838" t="n">
        <v>0</v>
      </c>
      <c r="M8838" t="n">
        <v>0</v>
      </c>
      <c r="N8838" t="n">
        <v>0</v>
      </c>
      <c r="O8838" t="n">
        <v>0</v>
      </c>
      <c r="P8838" t="n">
        <v>0</v>
      </c>
      <c r="Q8838" t="n">
        <v>0</v>
      </c>
      <c r="R8838" s="2" t="inlineStr"/>
    </row>
    <row r="8839" ht="15" customHeight="1">
      <c r="A8839" t="inlineStr">
        <is>
          <t>A 35349-2023</t>
        </is>
      </c>
      <c r="B8839" s="1" t="n">
        <v>45146</v>
      </c>
      <c r="C8839" s="1" t="n">
        <v>46075</v>
      </c>
      <c r="D8839" t="inlineStr">
        <is>
          <t>VÄSTERBOTTENS LÄN</t>
        </is>
      </c>
      <c r="E8839" t="inlineStr">
        <is>
          <t>VÄNNÄS</t>
        </is>
      </c>
      <c r="G8839" t="n">
        <v>5.4</v>
      </c>
      <c r="H8839" t="n">
        <v>0</v>
      </c>
      <c r="I8839" t="n">
        <v>0</v>
      </c>
      <c r="J8839" t="n">
        <v>0</v>
      </c>
      <c r="K8839" t="n">
        <v>0</v>
      </c>
      <c r="L8839" t="n">
        <v>0</v>
      </c>
      <c r="M8839" t="n">
        <v>0</v>
      </c>
      <c r="N8839" t="n">
        <v>0</v>
      </c>
      <c r="O8839" t="n">
        <v>0</v>
      </c>
      <c r="P8839" t="n">
        <v>0</v>
      </c>
      <c r="Q8839" t="n">
        <v>0</v>
      </c>
      <c r="R8839" s="2" t="inlineStr"/>
    </row>
    <row r="8840" ht="15" customHeight="1">
      <c r="A8840" t="inlineStr">
        <is>
          <t>A 15379-2021</t>
        </is>
      </c>
      <c r="B8840" s="1" t="n">
        <v>44284</v>
      </c>
      <c r="C8840" s="1" t="n">
        <v>46075</v>
      </c>
      <c r="D8840" t="inlineStr">
        <is>
          <t>VÄSTERBOTTENS LÄN</t>
        </is>
      </c>
      <c r="E8840" t="inlineStr">
        <is>
          <t>NORSJÖ</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3046-2025</t>
        </is>
      </c>
      <c r="B8841" s="1" t="n">
        <v>45678</v>
      </c>
      <c r="C8841" s="1" t="n">
        <v>46075</v>
      </c>
      <c r="D8841" t="inlineStr">
        <is>
          <t>VÄSTERBOTTENS LÄN</t>
        </is>
      </c>
      <c r="E8841" t="inlineStr">
        <is>
          <t>ROBERTSFORS</t>
        </is>
      </c>
      <c r="F8841" t="inlineStr">
        <is>
          <t>Holmen skog AB</t>
        </is>
      </c>
      <c r="G8841" t="n">
        <v>8.9</v>
      </c>
      <c r="H8841" t="n">
        <v>0</v>
      </c>
      <c r="I8841" t="n">
        <v>0</v>
      </c>
      <c r="J8841" t="n">
        <v>0</v>
      </c>
      <c r="K8841" t="n">
        <v>0</v>
      </c>
      <c r="L8841" t="n">
        <v>0</v>
      </c>
      <c r="M8841" t="n">
        <v>0</v>
      </c>
      <c r="N8841" t="n">
        <v>0</v>
      </c>
      <c r="O8841" t="n">
        <v>0</v>
      </c>
      <c r="P8841" t="n">
        <v>0</v>
      </c>
      <c r="Q8841" t="n">
        <v>0</v>
      </c>
      <c r="R8841" s="2" t="inlineStr"/>
    </row>
    <row r="8842" ht="15" customHeight="1">
      <c r="A8842" t="inlineStr">
        <is>
          <t>A 13913-2025</t>
        </is>
      </c>
      <c r="B8842" s="1" t="n">
        <v>45737.65015046296</v>
      </c>
      <c r="C8842" s="1" t="n">
        <v>46075</v>
      </c>
      <c r="D8842" t="inlineStr">
        <is>
          <t>VÄSTERBOTTENS LÄN</t>
        </is>
      </c>
      <c r="E8842" t="inlineStr">
        <is>
          <t>NORDMALING</t>
        </is>
      </c>
      <c r="G8842" t="n">
        <v>0.6</v>
      </c>
      <c r="H8842" t="n">
        <v>0</v>
      </c>
      <c r="I8842" t="n">
        <v>0</v>
      </c>
      <c r="J8842" t="n">
        <v>0</v>
      </c>
      <c r="K8842" t="n">
        <v>0</v>
      </c>
      <c r="L8842" t="n">
        <v>0</v>
      </c>
      <c r="M8842" t="n">
        <v>0</v>
      </c>
      <c r="N8842" t="n">
        <v>0</v>
      </c>
      <c r="O8842" t="n">
        <v>0</v>
      </c>
      <c r="P8842" t="n">
        <v>0</v>
      </c>
      <c r="Q8842" t="n">
        <v>0</v>
      </c>
      <c r="R8842" s="2" t="inlineStr"/>
    </row>
    <row r="8843" ht="15" customHeight="1">
      <c r="A8843" t="inlineStr">
        <is>
          <t>A 9531-2023</t>
        </is>
      </c>
      <c r="B8843" s="1" t="n">
        <v>44981</v>
      </c>
      <c r="C8843" s="1" t="n">
        <v>46075</v>
      </c>
      <c r="D8843" t="inlineStr">
        <is>
          <t>VÄSTERBOTTENS LÄN</t>
        </is>
      </c>
      <c r="E8843" t="inlineStr">
        <is>
          <t>UMEÅ</t>
        </is>
      </c>
      <c r="G8843" t="n">
        <v>3.7</v>
      </c>
      <c r="H8843" t="n">
        <v>0</v>
      </c>
      <c r="I8843" t="n">
        <v>0</v>
      </c>
      <c r="J8843" t="n">
        <v>0</v>
      </c>
      <c r="K8843" t="n">
        <v>0</v>
      </c>
      <c r="L8843" t="n">
        <v>0</v>
      </c>
      <c r="M8843" t="n">
        <v>0</v>
      </c>
      <c r="N8843" t="n">
        <v>0</v>
      </c>
      <c r="O8843" t="n">
        <v>0</v>
      </c>
      <c r="P8843" t="n">
        <v>0</v>
      </c>
      <c r="Q8843" t="n">
        <v>0</v>
      </c>
      <c r="R8843" s="2" t="inlineStr"/>
    </row>
    <row r="8844" ht="15" customHeight="1">
      <c r="A8844" t="inlineStr">
        <is>
          <t>A 62180-2025</t>
        </is>
      </c>
      <c r="B8844" s="1" t="n">
        <v>46003</v>
      </c>
      <c r="C8844" s="1" t="n">
        <v>46075</v>
      </c>
      <c r="D8844" t="inlineStr">
        <is>
          <t>VÄSTERBOTTENS LÄN</t>
        </is>
      </c>
      <c r="E8844" t="inlineStr">
        <is>
          <t>DOROTEA</t>
        </is>
      </c>
      <c r="G8844" t="n">
        <v>3.3</v>
      </c>
      <c r="H8844" t="n">
        <v>0</v>
      </c>
      <c r="I8844" t="n">
        <v>0</v>
      </c>
      <c r="J8844" t="n">
        <v>0</v>
      </c>
      <c r="K8844" t="n">
        <v>0</v>
      </c>
      <c r="L8844" t="n">
        <v>0</v>
      </c>
      <c r="M8844" t="n">
        <v>0</v>
      </c>
      <c r="N8844" t="n">
        <v>0</v>
      </c>
      <c r="O8844" t="n">
        <v>0</v>
      </c>
      <c r="P8844" t="n">
        <v>0</v>
      </c>
      <c r="Q8844" t="n">
        <v>0</v>
      </c>
      <c r="R8844" s="2" t="inlineStr"/>
    </row>
    <row r="8845" ht="15" customHeight="1">
      <c r="A8845" t="inlineStr">
        <is>
          <t>A 62193-2025</t>
        </is>
      </c>
      <c r="B8845" s="1" t="n">
        <v>46003</v>
      </c>
      <c r="C8845" s="1" t="n">
        <v>46075</v>
      </c>
      <c r="D8845" t="inlineStr">
        <is>
          <t>VÄSTERBOTTENS LÄN</t>
        </is>
      </c>
      <c r="E8845" t="inlineStr">
        <is>
          <t>DOROTEA</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49026-2025</t>
        </is>
      </c>
      <c r="B8846" s="1" t="n">
        <v>45936</v>
      </c>
      <c r="C8846" s="1" t="n">
        <v>46075</v>
      </c>
      <c r="D8846" t="inlineStr">
        <is>
          <t>VÄSTERBOTTENS LÄN</t>
        </is>
      </c>
      <c r="E8846" t="inlineStr">
        <is>
          <t>NORSJÖ</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10265-2025</t>
        </is>
      </c>
      <c r="B8847" s="1" t="n">
        <v>45720.38559027778</v>
      </c>
      <c r="C8847" s="1" t="n">
        <v>46075</v>
      </c>
      <c r="D8847" t="inlineStr">
        <is>
          <t>VÄSTERBOTTENS LÄN</t>
        </is>
      </c>
      <c r="E8847" t="inlineStr">
        <is>
          <t>UMEÅ</t>
        </is>
      </c>
      <c r="G8847" t="n">
        <v>10.6</v>
      </c>
      <c r="H8847" t="n">
        <v>0</v>
      </c>
      <c r="I8847" t="n">
        <v>0</v>
      </c>
      <c r="J8847" t="n">
        <v>0</v>
      </c>
      <c r="K8847" t="n">
        <v>0</v>
      </c>
      <c r="L8847" t="n">
        <v>0</v>
      </c>
      <c r="M8847" t="n">
        <v>0</v>
      </c>
      <c r="N8847" t="n">
        <v>0</v>
      </c>
      <c r="O8847" t="n">
        <v>0</v>
      </c>
      <c r="P8847" t="n">
        <v>0</v>
      </c>
      <c r="Q8847" t="n">
        <v>0</v>
      </c>
      <c r="R8847" s="2" t="inlineStr"/>
    </row>
    <row r="8848" ht="15" customHeight="1">
      <c r="A8848" t="inlineStr">
        <is>
          <t>A 10268-2025</t>
        </is>
      </c>
      <c r="B8848" s="1" t="n">
        <v>45720</v>
      </c>
      <c r="C8848" s="1" t="n">
        <v>46075</v>
      </c>
      <c r="D8848" t="inlineStr">
        <is>
          <t>VÄSTERBOTTENS LÄN</t>
        </is>
      </c>
      <c r="E8848" t="inlineStr">
        <is>
          <t>VILHELMINA</t>
        </is>
      </c>
      <c r="G8848" t="n">
        <v>1.9</v>
      </c>
      <c r="H8848" t="n">
        <v>0</v>
      </c>
      <c r="I8848" t="n">
        <v>0</v>
      </c>
      <c r="J8848" t="n">
        <v>0</v>
      </c>
      <c r="K8848" t="n">
        <v>0</v>
      </c>
      <c r="L8848" t="n">
        <v>0</v>
      </c>
      <c r="M8848" t="n">
        <v>0</v>
      </c>
      <c r="N8848" t="n">
        <v>0</v>
      </c>
      <c r="O8848" t="n">
        <v>0</v>
      </c>
      <c r="P8848" t="n">
        <v>0</v>
      </c>
      <c r="Q8848" t="n">
        <v>0</v>
      </c>
      <c r="R8848" s="2" t="inlineStr"/>
    </row>
    <row r="8849" ht="15" customHeight="1">
      <c r="A8849" t="inlineStr">
        <is>
          <t>A 53899-2024</t>
        </is>
      </c>
      <c r="B8849" s="1" t="n">
        <v>45615.7033912037</v>
      </c>
      <c r="C8849" s="1" t="n">
        <v>46075</v>
      </c>
      <c r="D8849" t="inlineStr">
        <is>
          <t>VÄSTERBOTTENS LÄN</t>
        </is>
      </c>
      <c r="E8849" t="inlineStr">
        <is>
          <t>BJURHOLM</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4311-2026</t>
        </is>
      </c>
      <c r="B8850" s="1" t="n">
        <v>46045.44380787037</v>
      </c>
      <c r="C8850" s="1" t="n">
        <v>46075</v>
      </c>
      <c r="D8850" t="inlineStr">
        <is>
          <t>VÄSTERBOTTENS LÄN</t>
        </is>
      </c>
      <c r="E8850" t="inlineStr">
        <is>
          <t>ÅSELE</t>
        </is>
      </c>
      <c r="G8850" t="n">
        <v>7.9</v>
      </c>
      <c r="H8850" t="n">
        <v>0</v>
      </c>
      <c r="I8850" t="n">
        <v>0</v>
      </c>
      <c r="J8850" t="n">
        <v>0</v>
      </c>
      <c r="K8850" t="n">
        <v>0</v>
      </c>
      <c r="L8850" t="n">
        <v>0</v>
      </c>
      <c r="M8850" t="n">
        <v>0</v>
      </c>
      <c r="N8850" t="n">
        <v>0</v>
      </c>
      <c r="O8850" t="n">
        <v>0</v>
      </c>
      <c r="P8850" t="n">
        <v>0</v>
      </c>
      <c r="Q8850" t="n">
        <v>0</v>
      </c>
      <c r="R8850" s="2" t="inlineStr"/>
    </row>
    <row r="8851" ht="15" customHeight="1">
      <c r="A8851" t="inlineStr">
        <is>
          <t>A 4379-2024</t>
        </is>
      </c>
      <c r="B8851" s="1" t="n">
        <v>45326.97043981482</v>
      </c>
      <c r="C8851" s="1" t="n">
        <v>46075</v>
      </c>
      <c r="D8851" t="inlineStr">
        <is>
          <t>VÄSTERBOTTENS LÄN</t>
        </is>
      </c>
      <c r="E8851" t="inlineStr">
        <is>
          <t>VINDELN</t>
        </is>
      </c>
      <c r="F8851" t="inlineStr">
        <is>
          <t>Holmen skog AB</t>
        </is>
      </c>
      <c r="G8851" t="n">
        <v>0.5</v>
      </c>
      <c r="H8851" t="n">
        <v>0</v>
      </c>
      <c r="I8851" t="n">
        <v>0</v>
      </c>
      <c r="J8851" t="n">
        <v>0</v>
      </c>
      <c r="K8851" t="n">
        <v>0</v>
      </c>
      <c r="L8851" t="n">
        <v>0</v>
      </c>
      <c r="M8851" t="n">
        <v>0</v>
      </c>
      <c r="N8851" t="n">
        <v>0</v>
      </c>
      <c r="O8851" t="n">
        <v>0</v>
      </c>
      <c r="P8851" t="n">
        <v>0</v>
      </c>
      <c r="Q8851" t="n">
        <v>0</v>
      </c>
      <c r="R8851" s="2" t="inlineStr"/>
    </row>
    <row r="8852" ht="15" customHeight="1">
      <c r="A8852" t="inlineStr">
        <is>
          <t>A 4496-2024</t>
        </is>
      </c>
      <c r="B8852" s="1" t="n">
        <v>45327.60730324074</v>
      </c>
      <c r="C8852" s="1" t="n">
        <v>46075</v>
      </c>
      <c r="D8852" t="inlineStr">
        <is>
          <t>VÄSTERBOTTENS LÄN</t>
        </is>
      </c>
      <c r="E8852" t="inlineStr">
        <is>
          <t>NORDMALING</t>
        </is>
      </c>
      <c r="G8852" t="n">
        <v>1</v>
      </c>
      <c r="H8852" t="n">
        <v>0</v>
      </c>
      <c r="I8852" t="n">
        <v>0</v>
      </c>
      <c r="J8852" t="n">
        <v>0</v>
      </c>
      <c r="K8852" t="n">
        <v>0</v>
      </c>
      <c r="L8852" t="n">
        <v>0</v>
      </c>
      <c r="M8852" t="n">
        <v>0</v>
      </c>
      <c r="N8852" t="n">
        <v>0</v>
      </c>
      <c r="O8852" t="n">
        <v>0</v>
      </c>
      <c r="P8852" t="n">
        <v>0</v>
      </c>
      <c r="Q8852" t="n">
        <v>0</v>
      </c>
      <c r="R8852" s="2" t="inlineStr"/>
    </row>
    <row r="8853" ht="15" customHeight="1">
      <c r="A8853" t="inlineStr">
        <is>
          <t>A 43317-2024</t>
        </is>
      </c>
      <c r="B8853" s="1" t="n">
        <v>45568</v>
      </c>
      <c r="C8853" s="1" t="n">
        <v>46075</v>
      </c>
      <c r="D8853" t="inlineStr">
        <is>
          <t>VÄSTERBOTTENS LÄN</t>
        </is>
      </c>
      <c r="E8853" t="inlineStr">
        <is>
          <t>BJURHOLM</t>
        </is>
      </c>
      <c r="G8853" t="n">
        <v>4.5</v>
      </c>
      <c r="H8853" t="n">
        <v>0</v>
      </c>
      <c r="I8853" t="n">
        <v>0</v>
      </c>
      <c r="J8853" t="n">
        <v>0</v>
      </c>
      <c r="K8853" t="n">
        <v>0</v>
      </c>
      <c r="L8853" t="n">
        <v>0</v>
      </c>
      <c r="M8853" t="n">
        <v>0</v>
      </c>
      <c r="N8853" t="n">
        <v>0</v>
      </c>
      <c r="O8853" t="n">
        <v>0</v>
      </c>
      <c r="P8853" t="n">
        <v>0</v>
      </c>
      <c r="Q8853" t="n">
        <v>0</v>
      </c>
      <c r="R8853" s="2" t="inlineStr"/>
    </row>
    <row r="8854" ht="15" customHeight="1">
      <c r="A8854" t="inlineStr">
        <is>
          <t>A 61919-2025</t>
        </is>
      </c>
      <c r="B8854" s="1" t="n">
        <v>46003.51107638889</v>
      </c>
      <c r="C8854" s="1" t="n">
        <v>46075</v>
      </c>
      <c r="D8854" t="inlineStr">
        <is>
          <t>VÄSTERBOTTENS LÄN</t>
        </is>
      </c>
      <c r="E8854" t="inlineStr">
        <is>
          <t>NORSJÖ</t>
        </is>
      </c>
      <c r="G8854" t="n">
        <v>12.9</v>
      </c>
      <c r="H8854" t="n">
        <v>0</v>
      </c>
      <c r="I8854" t="n">
        <v>0</v>
      </c>
      <c r="J8854" t="n">
        <v>0</v>
      </c>
      <c r="K8854" t="n">
        <v>0</v>
      </c>
      <c r="L8854" t="n">
        <v>0</v>
      </c>
      <c r="M8854" t="n">
        <v>0</v>
      </c>
      <c r="N8854" t="n">
        <v>0</v>
      </c>
      <c r="O8854" t="n">
        <v>0</v>
      </c>
      <c r="P8854" t="n">
        <v>0</v>
      </c>
      <c r="Q8854" t="n">
        <v>0</v>
      </c>
      <c r="R8854" s="2" t="inlineStr"/>
    </row>
    <row r="8855" ht="15" customHeight="1">
      <c r="A8855" t="inlineStr">
        <is>
          <t>A 44366-2024</t>
        </is>
      </c>
      <c r="B8855" s="1" t="n">
        <v>45573.64682870371</v>
      </c>
      <c r="C8855" s="1" t="n">
        <v>46075</v>
      </c>
      <c r="D8855" t="inlineStr">
        <is>
          <t>VÄSTERBOTTENS LÄN</t>
        </is>
      </c>
      <c r="E8855" t="inlineStr">
        <is>
          <t>NORSJÖ</t>
        </is>
      </c>
      <c r="F8855" t="inlineStr">
        <is>
          <t>Holmen skog AB</t>
        </is>
      </c>
      <c r="G8855" t="n">
        <v>2.7</v>
      </c>
      <c r="H8855" t="n">
        <v>0</v>
      </c>
      <c r="I8855" t="n">
        <v>0</v>
      </c>
      <c r="J8855" t="n">
        <v>0</v>
      </c>
      <c r="K8855" t="n">
        <v>0</v>
      </c>
      <c r="L8855" t="n">
        <v>0</v>
      </c>
      <c r="M8855" t="n">
        <v>0</v>
      </c>
      <c r="N8855" t="n">
        <v>0</v>
      </c>
      <c r="O8855" t="n">
        <v>0</v>
      </c>
      <c r="P8855" t="n">
        <v>0</v>
      </c>
      <c r="Q8855" t="n">
        <v>0</v>
      </c>
      <c r="R8855" s="2" t="inlineStr"/>
    </row>
    <row r="8856" ht="15" customHeight="1">
      <c r="A8856" t="inlineStr">
        <is>
          <t>A 40828-2021</t>
        </is>
      </c>
      <c r="B8856" s="1" t="n">
        <v>44421.39377314815</v>
      </c>
      <c r="C8856" s="1" t="n">
        <v>46075</v>
      </c>
      <c r="D8856" t="inlineStr">
        <is>
          <t>VÄSTERBOTTENS LÄN</t>
        </is>
      </c>
      <c r="E8856" t="inlineStr">
        <is>
          <t>SKELLEFTEÅ</t>
        </is>
      </c>
      <c r="G8856" t="n">
        <v>23</v>
      </c>
      <c r="H8856" t="n">
        <v>0</v>
      </c>
      <c r="I8856" t="n">
        <v>0</v>
      </c>
      <c r="J8856" t="n">
        <v>0</v>
      </c>
      <c r="K8856" t="n">
        <v>0</v>
      </c>
      <c r="L8856" t="n">
        <v>0</v>
      </c>
      <c r="M8856" t="n">
        <v>0</v>
      </c>
      <c r="N8856" t="n">
        <v>0</v>
      </c>
      <c r="O8856" t="n">
        <v>0</v>
      </c>
      <c r="P8856" t="n">
        <v>0</v>
      </c>
      <c r="Q8856" t="n">
        <v>0</v>
      </c>
      <c r="R8856" s="2" t="inlineStr"/>
    </row>
    <row r="8857" ht="15" customHeight="1">
      <c r="A8857" t="inlineStr">
        <is>
          <t>A 61975-2025</t>
        </is>
      </c>
      <c r="B8857" s="1" t="n">
        <v>46003</v>
      </c>
      <c r="C8857" s="1" t="n">
        <v>46075</v>
      </c>
      <c r="D8857" t="inlineStr">
        <is>
          <t>VÄSTERBOTTENS LÄN</t>
        </is>
      </c>
      <c r="E8857" t="inlineStr">
        <is>
          <t>LYCKSELE</t>
        </is>
      </c>
      <c r="G8857" t="n">
        <v>5.6</v>
      </c>
      <c r="H8857" t="n">
        <v>0</v>
      </c>
      <c r="I8857" t="n">
        <v>0</v>
      </c>
      <c r="J8857" t="n">
        <v>0</v>
      </c>
      <c r="K8857" t="n">
        <v>0</v>
      </c>
      <c r="L8857" t="n">
        <v>0</v>
      </c>
      <c r="M8857" t="n">
        <v>0</v>
      </c>
      <c r="N8857" t="n">
        <v>0</v>
      </c>
      <c r="O8857" t="n">
        <v>0</v>
      </c>
      <c r="P8857" t="n">
        <v>0</v>
      </c>
      <c r="Q8857" t="n">
        <v>0</v>
      </c>
      <c r="R8857" s="2" t="inlineStr"/>
    </row>
    <row r="8858" ht="15" customHeight="1">
      <c r="A8858" t="inlineStr">
        <is>
          <t>A 18533-2023</t>
        </is>
      </c>
      <c r="B8858" s="1" t="n">
        <v>45041</v>
      </c>
      <c r="C8858" s="1" t="n">
        <v>46075</v>
      </c>
      <c r="D8858" t="inlineStr">
        <is>
          <t>VÄSTERBOTTENS LÄN</t>
        </is>
      </c>
      <c r="E8858" t="inlineStr">
        <is>
          <t>ROBERTSFORS</t>
        </is>
      </c>
      <c r="G8858" t="n">
        <v>6.6</v>
      </c>
      <c r="H8858" t="n">
        <v>0</v>
      </c>
      <c r="I8858" t="n">
        <v>0</v>
      </c>
      <c r="J8858" t="n">
        <v>0</v>
      </c>
      <c r="K8858" t="n">
        <v>0</v>
      </c>
      <c r="L8858" t="n">
        <v>0</v>
      </c>
      <c r="M8858" t="n">
        <v>0</v>
      </c>
      <c r="N8858" t="n">
        <v>0</v>
      </c>
      <c r="O8858" t="n">
        <v>0</v>
      </c>
      <c r="P8858" t="n">
        <v>0</v>
      </c>
      <c r="Q8858" t="n">
        <v>0</v>
      </c>
      <c r="R8858" s="2" t="inlineStr"/>
    </row>
    <row r="8859" ht="15" customHeight="1">
      <c r="A8859" t="inlineStr">
        <is>
          <t>A 23543-2024</t>
        </is>
      </c>
      <c r="B8859" s="1" t="n">
        <v>45453</v>
      </c>
      <c r="C8859" s="1" t="n">
        <v>46075</v>
      </c>
      <c r="D8859" t="inlineStr">
        <is>
          <t>VÄSTERBOTTENS LÄN</t>
        </is>
      </c>
      <c r="E8859" t="inlineStr">
        <is>
          <t>VILHELMINA</t>
        </is>
      </c>
      <c r="F8859" t="inlineStr">
        <is>
          <t>SCA</t>
        </is>
      </c>
      <c r="G8859" t="n">
        <v>1.6</v>
      </c>
      <c r="H8859" t="n">
        <v>0</v>
      </c>
      <c r="I8859" t="n">
        <v>0</v>
      </c>
      <c r="J8859" t="n">
        <v>0</v>
      </c>
      <c r="K8859" t="n">
        <v>0</v>
      </c>
      <c r="L8859" t="n">
        <v>0</v>
      </c>
      <c r="M8859" t="n">
        <v>0</v>
      </c>
      <c r="N8859" t="n">
        <v>0</v>
      </c>
      <c r="O8859" t="n">
        <v>0</v>
      </c>
      <c r="P8859" t="n">
        <v>0</v>
      </c>
      <c r="Q8859" t="n">
        <v>0</v>
      </c>
      <c r="R8859" s="2" t="inlineStr"/>
    </row>
    <row r="8860" ht="15" customHeight="1">
      <c r="A8860" t="inlineStr">
        <is>
          <t>A 22107-2024</t>
        </is>
      </c>
      <c r="B8860" s="1" t="n">
        <v>45443</v>
      </c>
      <c r="C8860" s="1" t="n">
        <v>46075</v>
      </c>
      <c r="D8860" t="inlineStr">
        <is>
          <t>VÄSTERBOTTENS LÄN</t>
        </is>
      </c>
      <c r="E8860" t="inlineStr">
        <is>
          <t>VILHELMINA</t>
        </is>
      </c>
      <c r="F8860" t="inlineStr">
        <is>
          <t>SCA</t>
        </is>
      </c>
      <c r="G8860" t="n">
        <v>1.8</v>
      </c>
      <c r="H8860" t="n">
        <v>0</v>
      </c>
      <c r="I8860" t="n">
        <v>0</v>
      </c>
      <c r="J8860" t="n">
        <v>0</v>
      </c>
      <c r="K8860" t="n">
        <v>0</v>
      </c>
      <c r="L8860" t="n">
        <v>0</v>
      </c>
      <c r="M8860" t="n">
        <v>0</v>
      </c>
      <c r="N8860" t="n">
        <v>0</v>
      </c>
      <c r="O8860" t="n">
        <v>0</v>
      </c>
      <c r="P8860" t="n">
        <v>0</v>
      </c>
      <c r="Q8860" t="n">
        <v>0</v>
      </c>
      <c r="R8860" s="2" t="inlineStr"/>
    </row>
    <row r="8861" ht="15" customHeight="1">
      <c r="A8861" t="inlineStr">
        <is>
          <t>A 61655-2025</t>
        </is>
      </c>
      <c r="B8861" s="1" t="n">
        <v>46002.44863425926</v>
      </c>
      <c r="C8861" s="1" t="n">
        <v>46075</v>
      </c>
      <c r="D8861" t="inlineStr">
        <is>
          <t>VÄSTERBOTTENS LÄN</t>
        </is>
      </c>
      <c r="E8861" t="inlineStr">
        <is>
          <t>SORSELE</t>
        </is>
      </c>
      <c r="F8861" t="inlineStr">
        <is>
          <t>SCA</t>
        </is>
      </c>
      <c r="G8861" t="n">
        <v>3.7</v>
      </c>
      <c r="H8861" t="n">
        <v>0</v>
      </c>
      <c r="I8861" t="n">
        <v>0</v>
      </c>
      <c r="J8861" t="n">
        <v>0</v>
      </c>
      <c r="K8861" t="n">
        <v>0</v>
      </c>
      <c r="L8861" t="n">
        <v>0</v>
      </c>
      <c r="M8861" t="n">
        <v>0</v>
      </c>
      <c r="N8861" t="n">
        <v>0</v>
      </c>
      <c r="O8861" t="n">
        <v>0</v>
      </c>
      <c r="P8861" t="n">
        <v>0</v>
      </c>
      <c r="Q8861" t="n">
        <v>0</v>
      </c>
      <c r="R8861" s="2" t="inlineStr"/>
    </row>
    <row r="8862" ht="15" customHeight="1">
      <c r="A8862" t="inlineStr">
        <is>
          <t>A 61703-2025</t>
        </is>
      </c>
      <c r="B8862" s="1" t="n">
        <v>46002.5459375</v>
      </c>
      <c r="C8862" s="1" t="n">
        <v>46075</v>
      </c>
      <c r="D8862" t="inlineStr">
        <is>
          <t>VÄSTERBOTTENS LÄN</t>
        </is>
      </c>
      <c r="E8862" t="inlineStr">
        <is>
          <t>NORDMALING</t>
        </is>
      </c>
      <c r="G8862" t="n">
        <v>1.6</v>
      </c>
      <c r="H8862" t="n">
        <v>0</v>
      </c>
      <c r="I8862" t="n">
        <v>0</v>
      </c>
      <c r="J8862" t="n">
        <v>0</v>
      </c>
      <c r="K8862" t="n">
        <v>0</v>
      </c>
      <c r="L8862" t="n">
        <v>0</v>
      </c>
      <c r="M8862" t="n">
        <v>0</v>
      </c>
      <c r="N8862" t="n">
        <v>0</v>
      </c>
      <c r="O8862" t="n">
        <v>0</v>
      </c>
      <c r="P8862" t="n">
        <v>0</v>
      </c>
      <c r="Q8862" t="n">
        <v>0</v>
      </c>
      <c r="R8862" s="2" t="inlineStr"/>
    </row>
    <row r="8863" ht="15" customHeight="1">
      <c r="A8863" t="inlineStr">
        <is>
          <t>A 61743-2025</t>
        </is>
      </c>
      <c r="B8863" s="1" t="n">
        <v>46002.60291666666</v>
      </c>
      <c r="C8863" s="1" t="n">
        <v>46075</v>
      </c>
      <c r="D8863" t="inlineStr">
        <is>
          <t>VÄSTERBOTTENS LÄN</t>
        </is>
      </c>
      <c r="E8863" t="inlineStr">
        <is>
          <t>BJURHOLM</t>
        </is>
      </c>
      <c r="G8863" t="n">
        <v>5.5</v>
      </c>
      <c r="H8863" t="n">
        <v>0</v>
      </c>
      <c r="I8863" t="n">
        <v>0</v>
      </c>
      <c r="J8863" t="n">
        <v>0</v>
      </c>
      <c r="K8863" t="n">
        <v>0</v>
      </c>
      <c r="L8863" t="n">
        <v>0</v>
      </c>
      <c r="M8863" t="n">
        <v>0</v>
      </c>
      <c r="N8863" t="n">
        <v>0</v>
      </c>
      <c r="O8863" t="n">
        <v>0</v>
      </c>
      <c r="P8863" t="n">
        <v>0</v>
      </c>
      <c r="Q8863" t="n">
        <v>0</v>
      </c>
      <c r="R8863" s="2" t="inlineStr"/>
    </row>
    <row r="8864" ht="15" customHeight="1">
      <c r="A8864" t="inlineStr">
        <is>
          <t>A 5247-2024</t>
        </is>
      </c>
      <c r="B8864" s="1" t="n">
        <v>45330.93173611111</v>
      </c>
      <c r="C8864" s="1" t="n">
        <v>46075</v>
      </c>
      <c r="D8864" t="inlineStr">
        <is>
          <t>VÄSTERBOTTENS LÄN</t>
        </is>
      </c>
      <c r="E8864" t="inlineStr">
        <is>
          <t>ÅSELE</t>
        </is>
      </c>
      <c r="G8864" t="n">
        <v>2.6</v>
      </c>
      <c r="H8864" t="n">
        <v>0</v>
      </c>
      <c r="I8864" t="n">
        <v>0</v>
      </c>
      <c r="J8864" t="n">
        <v>0</v>
      </c>
      <c r="K8864" t="n">
        <v>0</v>
      </c>
      <c r="L8864" t="n">
        <v>0</v>
      </c>
      <c r="M8864" t="n">
        <v>0</v>
      </c>
      <c r="N8864" t="n">
        <v>0</v>
      </c>
      <c r="O8864" t="n">
        <v>0</v>
      </c>
      <c r="P8864" t="n">
        <v>0</v>
      </c>
      <c r="Q8864" t="n">
        <v>0</v>
      </c>
      <c r="R8864" s="2" t="inlineStr"/>
    </row>
    <row r="8865" ht="15" customHeight="1">
      <c r="A8865" t="inlineStr">
        <is>
          <t>A 44481-2022</t>
        </is>
      </c>
      <c r="B8865" s="1" t="n">
        <v>44840</v>
      </c>
      <c r="C8865" s="1" t="n">
        <v>46075</v>
      </c>
      <c r="D8865" t="inlineStr">
        <is>
          <t>VÄSTERBOTTENS LÄN</t>
        </is>
      </c>
      <c r="E8865" t="inlineStr">
        <is>
          <t>UMEÅ</t>
        </is>
      </c>
      <c r="F8865" t="inlineStr">
        <is>
          <t>Holmen skog AB</t>
        </is>
      </c>
      <c r="G8865" t="n">
        <v>2.1</v>
      </c>
      <c r="H8865" t="n">
        <v>0</v>
      </c>
      <c r="I8865" t="n">
        <v>0</v>
      </c>
      <c r="J8865" t="n">
        <v>0</v>
      </c>
      <c r="K8865" t="n">
        <v>0</v>
      </c>
      <c r="L8865" t="n">
        <v>0</v>
      </c>
      <c r="M8865" t="n">
        <v>0</v>
      </c>
      <c r="N8865" t="n">
        <v>0</v>
      </c>
      <c r="O8865" t="n">
        <v>0</v>
      </c>
      <c r="P8865" t="n">
        <v>0</v>
      </c>
      <c r="Q8865" t="n">
        <v>0</v>
      </c>
      <c r="R8865" s="2" t="inlineStr"/>
    </row>
    <row r="8866" ht="15" customHeight="1">
      <c r="A8866" t="inlineStr">
        <is>
          <t>A 70851-2021</t>
        </is>
      </c>
      <c r="B8866" s="1" t="n">
        <v>44536</v>
      </c>
      <c r="C8866" s="1" t="n">
        <v>46075</v>
      </c>
      <c r="D8866" t="inlineStr">
        <is>
          <t>VÄSTERBOTTENS LÄN</t>
        </is>
      </c>
      <c r="E8866" t="inlineStr">
        <is>
          <t>SKELLEFTEÅ</t>
        </is>
      </c>
      <c r="G8866" t="n">
        <v>1.6</v>
      </c>
      <c r="H8866" t="n">
        <v>0</v>
      </c>
      <c r="I8866" t="n">
        <v>0</v>
      </c>
      <c r="J8866" t="n">
        <v>0</v>
      </c>
      <c r="K8866" t="n">
        <v>0</v>
      </c>
      <c r="L8866" t="n">
        <v>0</v>
      </c>
      <c r="M8866" t="n">
        <v>0</v>
      </c>
      <c r="N8866" t="n">
        <v>0</v>
      </c>
      <c r="O8866" t="n">
        <v>0</v>
      </c>
      <c r="P8866" t="n">
        <v>0</v>
      </c>
      <c r="Q8866" t="n">
        <v>0</v>
      </c>
      <c r="R8866" s="2" t="inlineStr"/>
    </row>
    <row r="8867" ht="15" customHeight="1">
      <c r="A8867" t="inlineStr">
        <is>
          <t>A 45114-2021</t>
        </is>
      </c>
      <c r="B8867" s="1" t="n">
        <v>44439</v>
      </c>
      <c r="C8867" s="1" t="n">
        <v>46075</v>
      </c>
      <c r="D8867" t="inlineStr">
        <is>
          <t>VÄSTERBOTTENS LÄN</t>
        </is>
      </c>
      <c r="E8867" t="inlineStr">
        <is>
          <t>MALÅ</t>
        </is>
      </c>
      <c r="F8867" t="inlineStr">
        <is>
          <t>Sveaskog</t>
        </is>
      </c>
      <c r="G8867" t="n">
        <v>48.3</v>
      </c>
      <c r="H8867" t="n">
        <v>0</v>
      </c>
      <c r="I8867" t="n">
        <v>0</v>
      </c>
      <c r="J8867" t="n">
        <v>0</v>
      </c>
      <c r="K8867" t="n">
        <v>0</v>
      </c>
      <c r="L8867" t="n">
        <v>0</v>
      </c>
      <c r="M8867" t="n">
        <v>0</v>
      </c>
      <c r="N8867" t="n">
        <v>0</v>
      </c>
      <c r="O8867" t="n">
        <v>0</v>
      </c>
      <c r="P8867" t="n">
        <v>0</v>
      </c>
      <c r="Q8867" t="n">
        <v>0</v>
      </c>
      <c r="R8867" s="2" t="inlineStr"/>
    </row>
    <row r="8868" ht="15" customHeight="1">
      <c r="A8868" t="inlineStr">
        <is>
          <t>A 4254-2026</t>
        </is>
      </c>
      <c r="B8868" s="1" t="n">
        <v>46045.3296875</v>
      </c>
      <c r="C8868" s="1" t="n">
        <v>46075</v>
      </c>
      <c r="D8868" t="inlineStr">
        <is>
          <t>VÄSTERBOTTENS LÄN</t>
        </is>
      </c>
      <c r="E8868" t="inlineStr">
        <is>
          <t>LYCKSELE</t>
        </is>
      </c>
      <c r="G8868" t="n">
        <v>4.2</v>
      </c>
      <c r="H8868" t="n">
        <v>0</v>
      </c>
      <c r="I8868" t="n">
        <v>0</v>
      </c>
      <c r="J8868" t="n">
        <v>0</v>
      </c>
      <c r="K8868" t="n">
        <v>0</v>
      </c>
      <c r="L8868" t="n">
        <v>0</v>
      </c>
      <c r="M8868" t="n">
        <v>0</v>
      </c>
      <c r="N8868" t="n">
        <v>0</v>
      </c>
      <c r="O8868" t="n">
        <v>0</v>
      </c>
      <c r="P8868" t="n">
        <v>0</v>
      </c>
      <c r="Q8868" t="n">
        <v>0</v>
      </c>
      <c r="R8868" s="2" t="inlineStr"/>
    </row>
    <row r="8869" ht="15" customHeight="1">
      <c r="A8869" t="inlineStr">
        <is>
          <t>A 58052-2025</t>
        </is>
      </c>
      <c r="B8869" s="1" t="n">
        <v>45982.51892361111</v>
      </c>
      <c r="C8869" s="1" t="n">
        <v>46075</v>
      </c>
      <c r="D8869" t="inlineStr">
        <is>
          <t>VÄSTERBOTTENS LÄN</t>
        </is>
      </c>
      <c r="E8869" t="inlineStr">
        <is>
          <t>SKELLEFTEÅ</t>
        </is>
      </c>
      <c r="F8869" t="inlineStr">
        <is>
          <t>Sveaskog</t>
        </is>
      </c>
      <c r="G8869" t="n">
        <v>2.1</v>
      </c>
      <c r="H8869" t="n">
        <v>0</v>
      </c>
      <c r="I8869" t="n">
        <v>0</v>
      </c>
      <c r="J8869" t="n">
        <v>0</v>
      </c>
      <c r="K8869" t="n">
        <v>0</v>
      </c>
      <c r="L8869" t="n">
        <v>0</v>
      </c>
      <c r="M8869" t="n">
        <v>0</v>
      </c>
      <c r="N8869" t="n">
        <v>0</v>
      </c>
      <c r="O8869" t="n">
        <v>0</v>
      </c>
      <c r="P8869" t="n">
        <v>0</v>
      </c>
      <c r="Q8869" t="n">
        <v>0</v>
      </c>
      <c r="R8869" s="2" t="inlineStr"/>
    </row>
    <row r="8870" ht="15" customHeight="1">
      <c r="A8870" t="inlineStr">
        <is>
          <t>A 22935-2024</t>
        </is>
      </c>
      <c r="B8870" s="1" t="n">
        <v>45448.94409722222</v>
      </c>
      <c r="C8870" s="1" t="n">
        <v>46075</v>
      </c>
      <c r="D8870" t="inlineStr">
        <is>
          <t>VÄSTERBOTTENS LÄN</t>
        </is>
      </c>
      <c r="E8870" t="inlineStr">
        <is>
          <t>ÅSELE</t>
        </is>
      </c>
      <c r="F8870" t="inlineStr">
        <is>
          <t>SCA</t>
        </is>
      </c>
      <c r="G8870" t="n">
        <v>3.3</v>
      </c>
      <c r="H8870" t="n">
        <v>0</v>
      </c>
      <c r="I8870" t="n">
        <v>0</v>
      </c>
      <c r="J8870" t="n">
        <v>0</v>
      </c>
      <c r="K8870" t="n">
        <v>0</v>
      </c>
      <c r="L8870" t="n">
        <v>0</v>
      </c>
      <c r="M8870" t="n">
        <v>0</v>
      </c>
      <c r="N8870" t="n">
        <v>0</v>
      </c>
      <c r="O8870" t="n">
        <v>0</v>
      </c>
      <c r="P8870" t="n">
        <v>0</v>
      </c>
      <c r="Q8870" t="n">
        <v>0</v>
      </c>
      <c r="R8870" s="2" t="inlineStr"/>
    </row>
    <row r="8871" ht="15" customHeight="1">
      <c r="A8871" t="inlineStr">
        <is>
          <t>A 61550-2025</t>
        </is>
      </c>
      <c r="B8871" s="1" t="n">
        <v>46001.76815972223</v>
      </c>
      <c r="C8871" s="1" t="n">
        <v>46075</v>
      </c>
      <c r="D8871" t="inlineStr">
        <is>
          <t>VÄSTERBOTTENS LÄN</t>
        </is>
      </c>
      <c r="E8871" t="inlineStr">
        <is>
          <t>VINDELN</t>
        </is>
      </c>
      <c r="G8871" t="n">
        <v>4.6</v>
      </c>
      <c r="H8871" t="n">
        <v>0</v>
      </c>
      <c r="I8871" t="n">
        <v>0</v>
      </c>
      <c r="J8871" t="n">
        <v>0</v>
      </c>
      <c r="K8871" t="n">
        <v>0</v>
      </c>
      <c r="L8871" t="n">
        <v>0</v>
      </c>
      <c r="M8871" t="n">
        <v>0</v>
      </c>
      <c r="N8871" t="n">
        <v>0</v>
      </c>
      <c r="O8871" t="n">
        <v>0</v>
      </c>
      <c r="P8871" t="n">
        <v>0</v>
      </c>
      <c r="Q8871" t="n">
        <v>0</v>
      </c>
      <c r="R8871" s="2" t="inlineStr"/>
    </row>
    <row r="8872" ht="15" customHeight="1">
      <c r="A8872" t="inlineStr">
        <is>
          <t>A 62327-2025</t>
        </is>
      </c>
      <c r="B8872" s="1" t="n">
        <v>46003</v>
      </c>
      <c r="C8872" s="1" t="n">
        <v>46075</v>
      </c>
      <c r="D8872" t="inlineStr">
        <is>
          <t>VÄSTERBOTTENS LÄN</t>
        </is>
      </c>
      <c r="E8872" t="inlineStr">
        <is>
          <t>SKELLEFTEÅ</t>
        </is>
      </c>
      <c r="G8872" t="n">
        <v>2.3</v>
      </c>
      <c r="H8872" t="n">
        <v>0</v>
      </c>
      <c r="I8872" t="n">
        <v>0</v>
      </c>
      <c r="J8872" t="n">
        <v>0</v>
      </c>
      <c r="K8872" t="n">
        <v>0</v>
      </c>
      <c r="L8872" t="n">
        <v>0</v>
      </c>
      <c r="M8872" t="n">
        <v>0</v>
      </c>
      <c r="N8872" t="n">
        <v>0</v>
      </c>
      <c r="O8872" t="n">
        <v>0</v>
      </c>
      <c r="P8872" t="n">
        <v>0</v>
      </c>
      <c r="Q8872" t="n">
        <v>0</v>
      </c>
      <c r="R8872" s="2" t="inlineStr"/>
    </row>
    <row r="8873" ht="15" customHeight="1">
      <c r="A8873" t="inlineStr">
        <is>
          <t>A 27582-2024</t>
        </is>
      </c>
      <c r="B8873" s="1" t="n">
        <v>45474</v>
      </c>
      <c r="C8873" s="1" t="n">
        <v>46075</v>
      </c>
      <c r="D8873" t="inlineStr">
        <is>
          <t>VÄSTERBOTTENS LÄN</t>
        </is>
      </c>
      <c r="E8873" t="inlineStr">
        <is>
          <t>VINDELN</t>
        </is>
      </c>
      <c r="F8873" t="inlineStr">
        <is>
          <t>Holmen skog AB</t>
        </is>
      </c>
      <c r="G8873" t="n">
        <v>5.4</v>
      </c>
      <c r="H8873" t="n">
        <v>0</v>
      </c>
      <c r="I8873" t="n">
        <v>0</v>
      </c>
      <c r="J8873" t="n">
        <v>0</v>
      </c>
      <c r="K8873" t="n">
        <v>0</v>
      </c>
      <c r="L8873" t="n">
        <v>0</v>
      </c>
      <c r="M8873" t="n">
        <v>0</v>
      </c>
      <c r="N8873" t="n">
        <v>0</v>
      </c>
      <c r="O8873" t="n">
        <v>0</v>
      </c>
      <c r="P8873" t="n">
        <v>0</v>
      </c>
      <c r="Q8873" t="n">
        <v>0</v>
      </c>
      <c r="R8873" s="2" t="inlineStr"/>
    </row>
    <row r="8874" ht="15" customHeight="1">
      <c r="A8874" t="inlineStr">
        <is>
          <t>A 55695-2024</t>
        </is>
      </c>
      <c r="B8874" s="1" t="n">
        <v>45622</v>
      </c>
      <c r="C8874" s="1" t="n">
        <v>46075</v>
      </c>
      <c r="D8874" t="inlineStr">
        <is>
          <t>VÄSTERBOTTENS LÄN</t>
        </is>
      </c>
      <c r="E8874" t="inlineStr">
        <is>
          <t>VILHELMINA</t>
        </is>
      </c>
      <c r="G8874" t="n">
        <v>7</v>
      </c>
      <c r="H8874" t="n">
        <v>0</v>
      </c>
      <c r="I8874" t="n">
        <v>0</v>
      </c>
      <c r="J8874" t="n">
        <v>0</v>
      </c>
      <c r="K8874" t="n">
        <v>0</v>
      </c>
      <c r="L8874" t="n">
        <v>0</v>
      </c>
      <c r="M8874" t="n">
        <v>0</v>
      </c>
      <c r="N8874" t="n">
        <v>0</v>
      </c>
      <c r="O8874" t="n">
        <v>0</v>
      </c>
      <c r="P8874" t="n">
        <v>0</v>
      </c>
      <c r="Q8874" t="n">
        <v>0</v>
      </c>
      <c r="R8874" s="2" t="inlineStr"/>
    </row>
    <row r="8875" ht="15" customHeight="1">
      <c r="A8875" t="inlineStr">
        <is>
          <t>A 34111-2025</t>
        </is>
      </c>
      <c r="B8875" s="1" t="n">
        <v>45845.50052083333</v>
      </c>
      <c r="C8875" s="1" t="n">
        <v>46075</v>
      </c>
      <c r="D8875" t="inlineStr">
        <is>
          <t>VÄSTERBOTTENS LÄN</t>
        </is>
      </c>
      <c r="E8875" t="inlineStr">
        <is>
          <t>LYCKSELE</t>
        </is>
      </c>
      <c r="F8875" t="inlineStr">
        <is>
          <t>Holmen skog AB</t>
        </is>
      </c>
      <c r="G8875" t="n">
        <v>8.4</v>
      </c>
      <c r="H8875" t="n">
        <v>0</v>
      </c>
      <c r="I8875" t="n">
        <v>0</v>
      </c>
      <c r="J8875" t="n">
        <v>0</v>
      </c>
      <c r="K8875" t="n">
        <v>0</v>
      </c>
      <c r="L8875" t="n">
        <v>0</v>
      </c>
      <c r="M8875" t="n">
        <v>0</v>
      </c>
      <c r="N8875" t="n">
        <v>0</v>
      </c>
      <c r="O8875" t="n">
        <v>0</v>
      </c>
      <c r="P8875" t="n">
        <v>0</v>
      </c>
      <c r="Q8875" t="n">
        <v>0</v>
      </c>
      <c r="R8875" s="2" t="inlineStr"/>
    </row>
    <row r="8876" ht="15" customHeight="1">
      <c r="A8876" t="inlineStr">
        <is>
          <t>A 4388-2026</t>
        </is>
      </c>
      <c r="B8876" s="1" t="n">
        <v>46045.56986111111</v>
      </c>
      <c r="C8876" s="1" t="n">
        <v>46075</v>
      </c>
      <c r="D8876" t="inlineStr">
        <is>
          <t>VÄSTERBOTTENS LÄN</t>
        </is>
      </c>
      <c r="E8876" t="inlineStr">
        <is>
          <t>LYCKSELE</t>
        </is>
      </c>
      <c r="G8876" t="n">
        <v>4.4</v>
      </c>
      <c r="H8876" t="n">
        <v>0</v>
      </c>
      <c r="I8876" t="n">
        <v>0</v>
      </c>
      <c r="J8876" t="n">
        <v>0</v>
      </c>
      <c r="K8876" t="n">
        <v>0</v>
      </c>
      <c r="L8876" t="n">
        <v>0</v>
      </c>
      <c r="M8876" t="n">
        <v>0</v>
      </c>
      <c r="N8876" t="n">
        <v>0</v>
      </c>
      <c r="O8876" t="n">
        <v>0</v>
      </c>
      <c r="P8876" t="n">
        <v>0</v>
      </c>
      <c r="Q8876" t="n">
        <v>0</v>
      </c>
      <c r="R8876" s="2" t="inlineStr"/>
    </row>
    <row r="8877" ht="15" customHeight="1">
      <c r="A8877" t="inlineStr">
        <is>
          <t>A 55671-2023</t>
        </is>
      </c>
      <c r="B8877" s="1" t="n">
        <v>45238</v>
      </c>
      <c r="C8877" s="1" t="n">
        <v>46075</v>
      </c>
      <c r="D8877" t="inlineStr">
        <is>
          <t>VÄSTERBOTTENS LÄN</t>
        </is>
      </c>
      <c r="E8877" t="inlineStr">
        <is>
          <t>MALÅ</t>
        </is>
      </c>
      <c r="F8877" t="inlineStr">
        <is>
          <t>SCA</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14235-2025</t>
        </is>
      </c>
      <c r="B8878" s="1" t="n">
        <v>45740.60420138889</v>
      </c>
      <c r="C8878" s="1" t="n">
        <v>46075</v>
      </c>
      <c r="D8878" t="inlineStr">
        <is>
          <t>VÄSTERBOTTENS LÄN</t>
        </is>
      </c>
      <c r="E8878" t="inlineStr">
        <is>
          <t>VINDELN</t>
        </is>
      </c>
      <c r="G8878" t="n">
        <v>8.199999999999999</v>
      </c>
      <c r="H8878" t="n">
        <v>0</v>
      </c>
      <c r="I8878" t="n">
        <v>0</v>
      </c>
      <c r="J8878" t="n">
        <v>0</v>
      </c>
      <c r="K8878" t="n">
        <v>0</v>
      </c>
      <c r="L8878" t="n">
        <v>0</v>
      </c>
      <c r="M8878" t="n">
        <v>0</v>
      </c>
      <c r="N8878" t="n">
        <v>0</v>
      </c>
      <c r="O8878" t="n">
        <v>0</v>
      </c>
      <c r="P8878" t="n">
        <v>0</v>
      </c>
      <c r="Q8878" t="n">
        <v>0</v>
      </c>
      <c r="R8878" s="2" t="inlineStr"/>
    </row>
    <row r="8879" ht="15" customHeight="1">
      <c r="A8879" t="inlineStr">
        <is>
          <t>A 61894-2025</t>
        </is>
      </c>
      <c r="B8879" s="1" t="n">
        <v>46003.45953703704</v>
      </c>
      <c r="C8879" s="1" t="n">
        <v>46075</v>
      </c>
      <c r="D8879" t="inlineStr">
        <is>
          <t>VÄSTERBOTTENS LÄN</t>
        </is>
      </c>
      <c r="E8879" t="inlineStr">
        <is>
          <t>SKELLEFTEÅ</t>
        </is>
      </c>
      <c r="F8879" t="inlineStr">
        <is>
          <t>Övriga Aktiebolag</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14276-2025</t>
        </is>
      </c>
      <c r="B8880" s="1" t="n">
        <v>45740.64665509259</v>
      </c>
      <c r="C8880" s="1" t="n">
        <v>46075</v>
      </c>
      <c r="D8880" t="inlineStr">
        <is>
          <t>VÄSTERBOTTENS LÄN</t>
        </is>
      </c>
      <c r="E8880" t="inlineStr">
        <is>
          <t>LYCKSELE</t>
        </is>
      </c>
      <c r="G8880" t="n">
        <v>34.9</v>
      </c>
      <c r="H8880" t="n">
        <v>0</v>
      </c>
      <c r="I8880" t="n">
        <v>0</v>
      </c>
      <c r="J8880" t="n">
        <v>0</v>
      </c>
      <c r="K8880" t="n">
        <v>0</v>
      </c>
      <c r="L8880" t="n">
        <v>0</v>
      </c>
      <c r="M8880" t="n">
        <v>0</v>
      </c>
      <c r="N8880" t="n">
        <v>0</v>
      </c>
      <c r="O8880" t="n">
        <v>0</v>
      </c>
      <c r="P8880" t="n">
        <v>0</v>
      </c>
      <c r="Q8880" t="n">
        <v>0</v>
      </c>
      <c r="R8880" s="2" t="inlineStr"/>
    </row>
    <row r="8881" ht="15" customHeight="1">
      <c r="A8881" t="inlineStr">
        <is>
          <t>A 3616-2025</t>
        </is>
      </c>
      <c r="B8881" s="1" t="n">
        <v>45681.36523148148</v>
      </c>
      <c r="C8881" s="1" t="n">
        <v>46075</v>
      </c>
      <c r="D8881" t="inlineStr">
        <is>
          <t>VÄSTERBOTTENS LÄN</t>
        </is>
      </c>
      <c r="E8881" t="inlineStr">
        <is>
          <t>DOROTEA</t>
        </is>
      </c>
      <c r="F8881" t="inlineStr">
        <is>
          <t>SCA</t>
        </is>
      </c>
      <c r="G8881" t="n">
        <v>6.9</v>
      </c>
      <c r="H8881" t="n">
        <v>0</v>
      </c>
      <c r="I8881" t="n">
        <v>0</v>
      </c>
      <c r="J8881" t="n">
        <v>0</v>
      </c>
      <c r="K8881" t="n">
        <v>0</v>
      </c>
      <c r="L8881" t="n">
        <v>0</v>
      </c>
      <c r="M8881" t="n">
        <v>0</v>
      </c>
      <c r="N8881" t="n">
        <v>0</v>
      </c>
      <c r="O8881" t="n">
        <v>0</v>
      </c>
      <c r="P8881" t="n">
        <v>0</v>
      </c>
      <c r="Q8881" t="n">
        <v>0</v>
      </c>
      <c r="R8881" s="2" t="inlineStr"/>
    </row>
    <row r="8882" ht="15" customHeight="1">
      <c r="A8882" t="inlineStr">
        <is>
          <t>A 20304-2025</t>
        </is>
      </c>
      <c r="B8882" s="1" t="n">
        <v>45774</v>
      </c>
      <c r="C8882" s="1" t="n">
        <v>46075</v>
      </c>
      <c r="D8882" t="inlineStr">
        <is>
          <t>VÄSTERBOTTENS LÄN</t>
        </is>
      </c>
      <c r="E8882" t="inlineStr">
        <is>
          <t>ÅSELE</t>
        </is>
      </c>
      <c r="G8882" t="n">
        <v>2.2</v>
      </c>
      <c r="H8882" t="n">
        <v>0</v>
      </c>
      <c r="I8882" t="n">
        <v>0</v>
      </c>
      <c r="J8882" t="n">
        <v>0</v>
      </c>
      <c r="K8882" t="n">
        <v>0</v>
      </c>
      <c r="L8882" t="n">
        <v>0</v>
      </c>
      <c r="M8882" t="n">
        <v>0</v>
      </c>
      <c r="N8882" t="n">
        <v>0</v>
      </c>
      <c r="O8882" t="n">
        <v>0</v>
      </c>
      <c r="P8882" t="n">
        <v>0</v>
      </c>
      <c r="Q8882" t="n">
        <v>0</v>
      </c>
      <c r="R8882" s="2" t="inlineStr"/>
    </row>
    <row r="8883" ht="15" customHeight="1">
      <c r="A8883" t="inlineStr">
        <is>
          <t>A 43286-2025</t>
        </is>
      </c>
      <c r="B8883" s="1" t="n">
        <v>45910</v>
      </c>
      <c r="C8883" s="1" t="n">
        <v>46075</v>
      </c>
      <c r="D8883" t="inlineStr">
        <is>
          <t>VÄSTERBOTTENS LÄN</t>
        </is>
      </c>
      <c r="E8883" t="inlineStr">
        <is>
          <t>ÅSELE</t>
        </is>
      </c>
      <c r="F8883" t="inlineStr">
        <is>
          <t>Kyrkan</t>
        </is>
      </c>
      <c r="G8883" t="n">
        <v>7.6</v>
      </c>
      <c r="H8883" t="n">
        <v>0</v>
      </c>
      <c r="I8883" t="n">
        <v>0</v>
      </c>
      <c r="J8883" t="n">
        <v>0</v>
      </c>
      <c r="K8883" t="n">
        <v>0</v>
      </c>
      <c r="L8883" t="n">
        <v>0</v>
      </c>
      <c r="M8883" t="n">
        <v>0</v>
      </c>
      <c r="N8883" t="n">
        <v>0</v>
      </c>
      <c r="O8883" t="n">
        <v>0</v>
      </c>
      <c r="P8883" t="n">
        <v>0</v>
      </c>
      <c r="Q8883" t="n">
        <v>0</v>
      </c>
      <c r="R8883" s="2" t="inlineStr"/>
    </row>
    <row r="8884" ht="15" customHeight="1">
      <c r="A8884" t="inlineStr">
        <is>
          <t>A 4334-2026</t>
        </is>
      </c>
      <c r="B8884" s="1" t="n">
        <v>46045.49011574074</v>
      </c>
      <c r="C8884" s="1" t="n">
        <v>46075</v>
      </c>
      <c r="D8884" t="inlineStr">
        <is>
          <t>VÄSTERBOTTENS LÄN</t>
        </is>
      </c>
      <c r="E8884" t="inlineStr">
        <is>
          <t>VILHELMINA</t>
        </is>
      </c>
      <c r="F8884" t="inlineStr">
        <is>
          <t>SCA</t>
        </is>
      </c>
      <c r="G8884" t="n">
        <v>6.2</v>
      </c>
      <c r="H8884" t="n">
        <v>0</v>
      </c>
      <c r="I8884" t="n">
        <v>0</v>
      </c>
      <c r="J8884" t="n">
        <v>0</v>
      </c>
      <c r="K8884" t="n">
        <v>0</v>
      </c>
      <c r="L8884" t="n">
        <v>0</v>
      </c>
      <c r="M8884" t="n">
        <v>0</v>
      </c>
      <c r="N8884" t="n">
        <v>0</v>
      </c>
      <c r="O8884" t="n">
        <v>0</v>
      </c>
      <c r="P8884" t="n">
        <v>0</v>
      </c>
      <c r="Q8884" t="n">
        <v>0</v>
      </c>
      <c r="R8884" s="2" t="inlineStr"/>
    </row>
    <row r="8885" ht="15" customHeight="1">
      <c r="A8885" t="inlineStr">
        <is>
          <t>A 4341-2026</t>
        </is>
      </c>
      <c r="B8885" s="1" t="n">
        <v>46045.50896990741</v>
      </c>
      <c r="C8885" s="1" t="n">
        <v>46075</v>
      </c>
      <c r="D8885" t="inlineStr">
        <is>
          <t>VÄSTERBOTTENS LÄN</t>
        </is>
      </c>
      <c r="E8885" t="inlineStr">
        <is>
          <t>SKELLEFTEÅ</t>
        </is>
      </c>
      <c r="G8885" t="n">
        <v>5.5</v>
      </c>
      <c r="H8885" t="n">
        <v>0</v>
      </c>
      <c r="I8885" t="n">
        <v>0</v>
      </c>
      <c r="J8885" t="n">
        <v>0</v>
      </c>
      <c r="K8885" t="n">
        <v>0</v>
      </c>
      <c r="L8885" t="n">
        <v>0</v>
      </c>
      <c r="M8885" t="n">
        <v>0</v>
      </c>
      <c r="N8885" t="n">
        <v>0</v>
      </c>
      <c r="O8885" t="n">
        <v>0</v>
      </c>
      <c r="P8885" t="n">
        <v>0</v>
      </c>
      <c r="Q8885" t="n">
        <v>0</v>
      </c>
      <c r="R8885" s="2" t="inlineStr"/>
    </row>
    <row r="8886" ht="15" customHeight="1">
      <c r="A8886" t="inlineStr">
        <is>
          <t>A 3953-2026</t>
        </is>
      </c>
      <c r="B8886" s="1" t="n">
        <v>46043</v>
      </c>
      <c r="C8886" s="1" t="n">
        <v>46075</v>
      </c>
      <c r="D8886" t="inlineStr">
        <is>
          <t>VÄSTERBOTTENS LÄN</t>
        </is>
      </c>
      <c r="E8886" t="inlineStr">
        <is>
          <t>SORSELE</t>
        </is>
      </c>
      <c r="G8886" t="n">
        <v>3.1</v>
      </c>
      <c r="H8886" t="n">
        <v>0</v>
      </c>
      <c r="I8886" t="n">
        <v>0</v>
      </c>
      <c r="J8886" t="n">
        <v>0</v>
      </c>
      <c r="K8886" t="n">
        <v>0</v>
      </c>
      <c r="L8886" t="n">
        <v>0</v>
      </c>
      <c r="M8886" t="n">
        <v>0</v>
      </c>
      <c r="N8886" t="n">
        <v>0</v>
      </c>
      <c r="O8886" t="n">
        <v>0</v>
      </c>
      <c r="P8886" t="n">
        <v>0</v>
      </c>
      <c r="Q8886" t="n">
        <v>0</v>
      </c>
      <c r="R8886" s="2" t="inlineStr"/>
    </row>
    <row r="8887" ht="15" customHeight="1">
      <c r="A8887" t="inlineStr">
        <is>
          <t>A 4069-2026</t>
        </is>
      </c>
      <c r="B8887" s="1" t="n">
        <v>46044.52517361111</v>
      </c>
      <c r="C8887" s="1" t="n">
        <v>46075</v>
      </c>
      <c r="D8887" t="inlineStr">
        <is>
          <t>VÄSTERBOTTENS LÄN</t>
        </is>
      </c>
      <c r="E8887" t="inlineStr">
        <is>
          <t>SKELLEFTEÅ</t>
        </is>
      </c>
      <c r="G8887" t="n">
        <v>2.1</v>
      </c>
      <c r="H8887" t="n">
        <v>0</v>
      </c>
      <c r="I8887" t="n">
        <v>0</v>
      </c>
      <c r="J8887" t="n">
        <v>0</v>
      </c>
      <c r="K8887" t="n">
        <v>0</v>
      </c>
      <c r="L8887" t="n">
        <v>0</v>
      </c>
      <c r="M8887" t="n">
        <v>0</v>
      </c>
      <c r="N8887" t="n">
        <v>0</v>
      </c>
      <c r="O8887" t="n">
        <v>0</v>
      </c>
      <c r="P8887" t="n">
        <v>0</v>
      </c>
      <c r="Q8887" t="n">
        <v>0</v>
      </c>
      <c r="R8887" s="2" t="inlineStr"/>
    </row>
    <row r="8888" ht="15" customHeight="1">
      <c r="A8888" t="inlineStr">
        <is>
          <t>A 44513-2023</t>
        </is>
      </c>
      <c r="B8888" s="1" t="n">
        <v>45189</v>
      </c>
      <c r="C8888" s="1" t="n">
        <v>46075</v>
      </c>
      <c r="D8888" t="inlineStr">
        <is>
          <t>VÄSTERBOTTENS LÄN</t>
        </is>
      </c>
      <c r="E8888" t="inlineStr">
        <is>
          <t>MALÅ</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26232-2024</t>
        </is>
      </c>
      <c r="B8889" s="1" t="n">
        <v>45468</v>
      </c>
      <c r="C8889" s="1" t="n">
        <v>46075</v>
      </c>
      <c r="D8889" t="inlineStr">
        <is>
          <t>VÄSTERBOTTENS LÄN</t>
        </is>
      </c>
      <c r="E8889" t="inlineStr">
        <is>
          <t>VINDELN</t>
        </is>
      </c>
      <c r="F8889" t="inlineStr">
        <is>
          <t>Holmen skog AB</t>
        </is>
      </c>
      <c r="G8889" t="n">
        <v>16.5</v>
      </c>
      <c r="H8889" t="n">
        <v>0</v>
      </c>
      <c r="I8889" t="n">
        <v>0</v>
      </c>
      <c r="J8889" t="n">
        <v>0</v>
      </c>
      <c r="K8889" t="n">
        <v>0</v>
      </c>
      <c r="L8889" t="n">
        <v>0</v>
      </c>
      <c r="M8889" t="n">
        <v>0</v>
      </c>
      <c r="N8889" t="n">
        <v>0</v>
      </c>
      <c r="O8889" t="n">
        <v>0</v>
      </c>
      <c r="P8889" t="n">
        <v>0</v>
      </c>
      <c r="Q8889" t="n">
        <v>0</v>
      </c>
      <c r="R8889" s="2" t="inlineStr"/>
    </row>
    <row r="8890" ht="15" customHeight="1">
      <c r="A8890" t="inlineStr">
        <is>
          <t>A 54729-2022</t>
        </is>
      </c>
      <c r="B8890" s="1" t="n">
        <v>44881</v>
      </c>
      <c r="C8890" s="1" t="n">
        <v>46075</v>
      </c>
      <c r="D8890" t="inlineStr">
        <is>
          <t>VÄSTERBOTTENS LÄN</t>
        </is>
      </c>
      <c r="E8890" t="inlineStr">
        <is>
          <t>VILHELMINA</t>
        </is>
      </c>
      <c r="G8890" t="n">
        <v>19.2</v>
      </c>
      <c r="H8890" t="n">
        <v>0</v>
      </c>
      <c r="I8890" t="n">
        <v>0</v>
      </c>
      <c r="J8890" t="n">
        <v>0</v>
      </c>
      <c r="K8890" t="n">
        <v>0</v>
      </c>
      <c r="L8890" t="n">
        <v>0</v>
      </c>
      <c r="M8890" t="n">
        <v>0</v>
      </c>
      <c r="N8890" t="n">
        <v>0</v>
      </c>
      <c r="O8890" t="n">
        <v>0</v>
      </c>
      <c r="P8890" t="n">
        <v>0</v>
      </c>
      <c r="Q8890" t="n">
        <v>0</v>
      </c>
      <c r="R8890" s="2" t="inlineStr"/>
    </row>
    <row r="8891" ht="15" customHeight="1">
      <c r="A8891" t="inlineStr">
        <is>
          <t>A 4084-2026</t>
        </is>
      </c>
      <c r="B8891" s="1" t="n">
        <v>46044.54697916667</v>
      </c>
      <c r="C8891" s="1" t="n">
        <v>46075</v>
      </c>
      <c r="D8891" t="inlineStr">
        <is>
          <t>VÄSTERBOTTENS LÄN</t>
        </is>
      </c>
      <c r="E8891" t="inlineStr">
        <is>
          <t>SKELLEFTEÅ</t>
        </is>
      </c>
      <c r="G8891" t="n">
        <v>2.7</v>
      </c>
      <c r="H8891" t="n">
        <v>0</v>
      </c>
      <c r="I8891" t="n">
        <v>0</v>
      </c>
      <c r="J8891" t="n">
        <v>0</v>
      </c>
      <c r="K8891" t="n">
        <v>0</v>
      </c>
      <c r="L8891" t="n">
        <v>0</v>
      </c>
      <c r="M8891" t="n">
        <v>0</v>
      </c>
      <c r="N8891" t="n">
        <v>0</v>
      </c>
      <c r="O8891" t="n">
        <v>0</v>
      </c>
      <c r="P8891" t="n">
        <v>0</v>
      </c>
      <c r="Q8891" t="n">
        <v>0</v>
      </c>
      <c r="R8891" s="2" t="inlineStr"/>
    </row>
    <row r="8892" ht="15" customHeight="1">
      <c r="A8892" t="inlineStr">
        <is>
          <t>A 4090-2026</t>
        </is>
      </c>
      <c r="B8892" s="1" t="n">
        <v>46044.55434027778</v>
      </c>
      <c r="C8892" s="1" t="n">
        <v>46075</v>
      </c>
      <c r="D8892" t="inlineStr">
        <is>
          <t>VÄSTERBOTTENS LÄN</t>
        </is>
      </c>
      <c r="E8892" t="inlineStr">
        <is>
          <t>VÄNNÄS</t>
        </is>
      </c>
      <c r="G8892" t="n">
        <v>0.2</v>
      </c>
      <c r="H8892" t="n">
        <v>0</v>
      </c>
      <c r="I8892" t="n">
        <v>0</v>
      </c>
      <c r="J8892" t="n">
        <v>0</v>
      </c>
      <c r="K8892" t="n">
        <v>0</v>
      </c>
      <c r="L8892" t="n">
        <v>0</v>
      </c>
      <c r="M8892" t="n">
        <v>0</v>
      </c>
      <c r="N8892" t="n">
        <v>0</v>
      </c>
      <c r="O8892" t="n">
        <v>0</v>
      </c>
      <c r="P8892" t="n">
        <v>0</v>
      </c>
      <c r="Q8892" t="n">
        <v>0</v>
      </c>
      <c r="R8892" s="2" t="inlineStr"/>
    </row>
    <row r="8893" ht="15" customHeight="1">
      <c r="A8893" t="inlineStr">
        <is>
          <t>A 41072-2024</t>
        </is>
      </c>
      <c r="B8893" s="1" t="n">
        <v>45559.39484953704</v>
      </c>
      <c r="C8893" s="1" t="n">
        <v>46075</v>
      </c>
      <c r="D8893" t="inlineStr">
        <is>
          <t>VÄSTERBOTTENS LÄN</t>
        </is>
      </c>
      <c r="E8893" t="inlineStr">
        <is>
          <t>SKELLEFTEÅ</t>
        </is>
      </c>
      <c r="F8893" t="inlineStr">
        <is>
          <t>Holmen skog AB</t>
        </is>
      </c>
      <c r="G8893" t="n">
        <v>2.8</v>
      </c>
      <c r="H8893" t="n">
        <v>0</v>
      </c>
      <c r="I8893" t="n">
        <v>0</v>
      </c>
      <c r="J8893" t="n">
        <v>0</v>
      </c>
      <c r="K8893" t="n">
        <v>0</v>
      </c>
      <c r="L8893" t="n">
        <v>0</v>
      </c>
      <c r="M8893" t="n">
        <v>0</v>
      </c>
      <c r="N8893" t="n">
        <v>0</v>
      </c>
      <c r="O8893" t="n">
        <v>0</v>
      </c>
      <c r="P8893" t="n">
        <v>0</v>
      </c>
      <c r="Q8893" t="n">
        <v>0</v>
      </c>
      <c r="R8893" s="2" t="inlineStr"/>
    </row>
    <row r="8894" ht="15" customHeight="1">
      <c r="A8894" t="inlineStr">
        <is>
          <t>A 17700-2023</t>
        </is>
      </c>
      <c r="B8894" s="1" t="n">
        <v>45037.35241898148</v>
      </c>
      <c r="C8894" s="1" t="n">
        <v>46075</v>
      </c>
      <c r="D8894" t="inlineStr">
        <is>
          <t>VÄSTERBOTTENS LÄN</t>
        </is>
      </c>
      <c r="E8894" t="inlineStr">
        <is>
          <t>NORSJÖ</t>
        </is>
      </c>
      <c r="G8894" t="n">
        <v>6.3</v>
      </c>
      <c r="H8894" t="n">
        <v>0</v>
      </c>
      <c r="I8894" t="n">
        <v>0</v>
      </c>
      <c r="J8894" t="n">
        <v>0</v>
      </c>
      <c r="K8894" t="n">
        <v>0</v>
      </c>
      <c r="L8894" t="n">
        <v>0</v>
      </c>
      <c r="M8894" t="n">
        <v>0</v>
      </c>
      <c r="N8894" t="n">
        <v>0</v>
      </c>
      <c r="O8894" t="n">
        <v>0</v>
      </c>
      <c r="P8894" t="n">
        <v>0</v>
      </c>
      <c r="Q8894" t="n">
        <v>0</v>
      </c>
      <c r="R8894" s="2" t="inlineStr"/>
    </row>
    <row r="8895" ht="15" customHeight="1">
      <c r="A8895" t="inlineStr">
        <is>
          <t>A 21289-2025</t>
        </is>
      </c>
      <c r="B8895" s="1" t="n">
        <v>45779</v>
      </c>
      <c r="C8895" s="1" t="n">
        <v>46075</v>
      </c>
      <c r="D8895" t="inlineStr">
        <is>
          <t>VÄSTERBOTTENS LÄN</t>
        </is>
      </c>
      <c r="E8895" t="inlineStr">
        <is>
          <t>LYCKSELE</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61610-2025</t>
        </is>
      </c>
      <c r="B8896" s="1" t="n">
        <v>46002.38136574074</v>
      </c>
      <c r="C8896" s="1" t="n">
        <v>46075</v>
      </c>
      <c r="D8896" t="inlineStr">
        <is>
          <t>VÄSTERBOTTENS LÄN</t>
        </is>
      </c>
      <c r="E8896" t="inlineStr">
        <is>
          <t>LYCKSELE</t>
        </is>
      </c>
      <c r="G8896" t="n">
        <v>6.4</v>
      </c>
      <c r="H8896" t="n">
        <v>0</v>
      </c>
      <c r="I8896" t="n">
        <v>0</v>
      </c>
      <c r="J8896" t="n">
        <v>0</v>
      </c>
      <c r="K8896" t="n">
        <v>0</v>
      </c>
      <c r="L8896" t="n">
        <v>0</v>
      </c>
      <c r="M8896" t="n">
        <v>0</v>
      </c>
      <c r="N8896" t="n">
        <v>0</v>
      </c>
      <c r="O8896" t="n">
        <v>0</v>
      </c>
      <c r="P8896" t="n">
        <v>0</v>
      </c>
      <c r="Q8896" t="n">
        <v>0</v>
      </c>
      <c r="R8896" s="2" t="inlineStr"/>
    </row>
    <row r="8897" ht="15" customHeight="1">
      <c r="A8897" t="inlineStr">
        <is>
          <t>A 14479-2022</t>
        </is>
      </c>
      <c r="B8897" s="1" t="n">
        <v>44650</v>
      </c>
      <c r="C8897" s="1" t="n">
        <v>46075</v>
      </c>
      <c r="D8897" t="inlineStr">
        <is>
          <t>VÄSTERBOTTENS LÄN</t>
        </is>
      </c>
      <c r="E8897" t="inlineStr">
        <is>
          <t>STORUMAN</t>
        </is>
      </c>
      <c r="F8897" t="inlineStr">
        <is>
          <t>Övriga statliga verk och myndigheter</t>
        </is>
      </c>
      <c r="G8897" t="n">
        <v>5.9</v>
      </c>
      <c r="H8897" t="n">
        <v>0</v>
      </c>
      <c r="I8897" t="n">
        <v>0</v>
      </c>
      <c r="J8897" t="n">
        <v>0</v>
      </c>
      <c r="K8897" t="n">
        <v>0</v>
      </c>
      <c r="L8897" t="n">
        <v>0</v>
      </c>
      <c r="M8897" t="n">
        <v>0</v>
      </c>
      <c r="N8897" t="n">
        <v>0</v>
      </c>
      <c r="O8897" t="n">
        <v>0</v>
      </c>
      <c r="P8897" t="n">
        <v>0</v>
      </c>
      <c r="Q8897" t="n">
        <v>0</v>
      </c>
      <c r="R8897" s="2" t="inlineStr"/>
    </row>
    <row r="8898" ht="15" customHeight="1">
      <c r="A8898" t="inlineStr">
        <is>
          <t>A 61608-2025</t>
        </is>
      </c>
      <c r="B8898" s="1" t="n">
        <v>46002.37701388889</v>
      </c>
      <c r="C8898" s="1" t="n">
        <v>46075</v>
      </c>
      <c r="D8898" t="inlineStr">
        <is>
          <t>VÄSTERBOTTENS LÄN</t>
        </is>
      </c>
      <c r="E8898" t="inlineStr">
        <is>
          <t>ROBERTSFORS</t>
        </is>
      </c>
      <c r="G8898" t="n">
        <v>30.4</v>
      </c>
      <c r="H8898" t="n">
        <v>0</v>
      </c>
      <c r="I8898" t="n">
        <v>0</v>
      </c>
      <c r="J8898" t="n">
        <v>0</v>
      </c>
      <c r="K8898" t="n">
        <v>0</v>
      </c>
      <c r="L8898" t="n">
        <v>0</v>
      </c>
      <c r="M8898" t="n">
        <v>0</v>
      </c>
      <c r="N8898" t="n">
        <v>0</v>
      </c>
      <c r="O8898" t="n">
        <v>0</v>
      </c>
      <c r="P8898" t="n">
        <v>0</v>
      </c>
      <c r="Q8898" t="n">
        <v>0</v>
      </c>
      <c r="R8898" s="2" t="inlineStr"/>
    </row>
    <row r="8899" ht="15" customHeight="1">
      <c r="A8899" t="inlineStr">
        <is>
          <t>A 61614-2025</t>
        </is>
      </c>
      <c r="B8899" s="1" t="n">
        <v>46002.38613425926</v>
      </c>
      <c r="C8899" s="1" t="n">
        <v>46075</v>
      </c>
      <c r="D8899" t="inlineStr">
        <is>
          <t>VÄSTERBOTTENS LÄN</t>
        </is>
      </c>
      <c r="E8899" t="inlineStr">
        <is>
          <t>SKELLEFTEÅ</t>
        </is>
      </c>
      <c r="G8899" t="n">
        <v>2.6</v>
      </c>
      <c r="H8899" t="n">
        <v>0</v>
      </c>
      <c r="I8899" t="n">
        <v>0</v>
      </c>
      <c r="J8899" t="n">
        <v>0</v>
      </c>
      <c r="K8899" t="n">
        <v>0</v>
      </c>
      <c r="L8899" t="n">
        <v>0</v>
      </c>
      <c r="M8899" t="n">
        <v>0</v>
      </c>
      <c r="N8899" t="n">
        <v>0</v>
      </c>
      <c r="O8899" t="n">
        <v>0</v>
      </c>
      <c r="P8899" t="n">
        <v>0</v>
      </c>
      <c r="Q8899" t="n">
        <v>0</v>
      </c>
      <c r="R8899" s="2" t="inlineStr"/>
    </row>
    <row r="8900" ht="15" customHeight="1">
      <c r="A8900" t="inlineStr">
        <is>
          <t>A 61615-2025</t>
        </is>
      </c>
      <c r="B8900" s="1" t="n">
        <v>46002.3862037037</v>
      </c>
      <c r="C8900" s="1" t="n">
        <v>46075</v>
      </c>
      <c r="D8900" t="inlineStr">
        <is>
          <t>VÄSTERBOTTENS LÄN</t>
        </is>
      </c>
      <c r="E8900" t="inlineStr">
        <is>
          <t>SKELLEFTEÅ</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62020-2025</t>
        </is>
      </c>
      <c r="B8901" s="1" t="n">
        <v>46003.69472222222</v>
      </c>
      <c r="C8901" s="1" t="n">
        <v>46075</v>
      </c>
      <c r="D8901" t="inlineStr">
        <is>
          <t>VÄSTERBOTTENS LÄN</t>
        </is>
      </c>
      <c r="E8901" t="inlineStr">
        <is>
          <t>ROBERTSFORS</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3969-2026</t>
        </is>
      </c>
      <c r="B8902" s="1" t="n">
        <v>46044.35217592592</v>
      </c>
      <c r="C8902" s="1" t="n">
        <v>46075</v>
      </c>
      <c r="D8902" t="inlineStr">
        <is>
          <t>VÄSTERBOTTENS LÄN</t>
        </is>
      </c>
      <c r="E8902" t="inlineStr">
        <is>
          <t>UMEÅ</t>
        </is>
      </c>
      <c r="G8902" t="n">
        <v>2.8</v>
      </c>
      <c r="H8902" t="n">
        <v>0</v>
      </c>
      <c r="I8902" t="n">
        <v>0</v>
      </c>
      <c r="J8902" t="n">
        <v>0</v>
      </c>
      <c r="K8902" t="n">
        <v>0</v>
      </c>
      <c r="L8902" t="n">
        <v>0</v>
      </c>
      <c r="M8902" t="n">
        <v>0</v>
      </c>
      <c r="N8902" t="n">
        <v>0</v>
      </c>
      <c r="O8902" t="n">
        <v>0</v>
      </c>
      <c r="P8902" t="n">
        <v>0</v>
      </c>
      <c r="Q8902" t="n">
        <v>0</v>
      </c>
      <c r="R8902" s="2" t="inlineStr"/>
    </row>
    <row r="8903" ht="15" customHeight="1">
      <c r="A8903" t="inlineStr">
        <is>
          <t>A 61707-2025</t>
        </is>
      </c>
      <c r="B8903" s="1" t="n">
        <v>46002.55287037037</v>
      </c>
      <c r="C8903" s="1" t="n">
        <v>46075</v>
      </c>
      <c r="D8903" t="inlineStr">
        <is>
          <t>VÄSTERBOTTENS LÄN</t>
        </is>
      </c>
      <c r="E8903" t="inlineStr">
        <is>
          <t>STORUMAN</t>
        </is>
      </c>
      <c r="F8903" t="inlineStr">
        <is>
          <t>Sveaskog</t>
        </is>
      </c>
      <c r="G8903" t="n">
        <v>6.1</v>
      </c>
      <c r="H8903" t="n">
        <v>0</v>
      </c>
      <c r="I8903" t="n">
        <v>0</v>
      </c>
      <c r="J8903" t="n">
        <v>0</v>
      </c>
      <c r="K8903" t="n">
        <v>0</v>
      </c>
      <c r="L8903" t="n">
        <v>0</v>
      </c>
      <c r="M8903" t="n">
        <v>0</v>
      </c>
      <c r="N8903" t="n">
        <v>0</v>
      </c>
      <c r="O8903" t="n">
        <v>0</v>
      </c>
      <c r="P8903" t="n">
        <v>0</v>
      </c>
      <c r="Q8903" t="n">
        <v>0</v>
      </c>
      <c r="R8903" s="2" t="inlineStr"/>
    </row>
    <row r="8904" ht="15" customHeight="1">
      <c r="A8904" t="inlineStr">
        <is>
          <t>A 61724-2025</t>
        </is>
      </c>
      <c r="B8904" s="1" t="n">
        <v>46002.58393518518</v>
      </c>
      <c r="C8904" s="1" t="n">
        <v>46075</v>
      </c>
      <c r="D8904" t="inlineStr">
        <is>
          <t>VÄSTERBOTTENS LÄN</t>
        </is>
      </c>
      <c r="E8904" t="inlineStr">
        <is>
          <t>VINDELN</t>
        </is>
      </c>
      <c r="G8904" t="n">
        <v>3.4</v>
      </c>
      <c r="H8904" t="n">
        <v>0</v>
      </c>
      <c r="I8904" t="n">
        <v>0</v>
      </c>
      <c r="J8904" t="n">
        <v>0</v>
      </c>
      <c r="K8904" t="n">
        <v>0</v>
      </c>
      <c r="L8904" t="n">
        <v>0</v>
      </c>
      <c r="M8904" t="n">
        <v>0</v>
      </c>
      <c r="N8904" t="n">
        <v>0</v>
      </c>
      <c r="O8904" t="n">
        <v>0</v>
      </c>
      <c r="P8904" t="n">
        <v>0</v>
      </c>
      <c r="Q8904" t="n">
        <v>0</v>
      </c>
      <c r="R8904" s="2" t="inlineStr"/>
    </row>
    <row r="8905" ht="15" customHeight="1">
      <c r="A8905" t="inlineStr">
        <is>
          <t>A 61594-2025</t>
        </is>
      </c>
      <c r="B8905" s="1" t="n">
        <v>46002.35224537037</v>
      </c>
      <c r="C8905" s="1" t="n">
        <v>46075</v>
      </c>
      <c r="D8905" t="inlineStr">
        <is>
          <t>VÄSTERBOTTENS LÄN</t>
        </is>
      </c>
      <c r="E8905" t="inlineStr">
        <is>
          <t>VINDELN</t>
        </is>
      </c>
      <c r="G8905" t="n">
        <v>11.7</v>
      </c>
      <c r="H8905" t="n">
        <v>0</v>
      </c>
      <c r="I8905" t="n">
        <v>0</v>
      </c>
      <c r="J8905" t="n">
        <v>0</v>
      </c>
      <c r="K8905" t="n">
        <v>0</v>
      </c>
      <c r="L8905" t="n">
        <v>0</v>
      </c>
      <c r="M8905" t="n">
        <v>0</v>
      </c>
      <c r="N8905" t="n">
        <v>0</v>
      </c>
      <c r="O8905" t="n">
        <v>0</v>
      </c>
      <c r="P8905" t="n">
        <v>0</v>
      </c>
      <c r="Q8905" t="n">
        <v>0</v>
      </c>
      <c r="R8905" s="2" t="inlineStr"/>
    </row>
    <row r="8906" ht="15" customHeight="1">
      <c r="A8906" t="inlineStr">
        <is>
          <t>A 61637-2025</t>
        </is>
      </c>
      <c r="B8906" s="1" t="n">
        <v>46002.42745370371</v>
      </c>
      <c r="C8906" s="1" t="n">
        <v>46075</v>
      </c>
      <c r="D8906" t="inlineStr">
        <is>
          <t>VÄSTERBOTTENS LÄN</t>
        </is>
      </c>
      <c r="E8906" t="inlineStr">
        <is>
          <t>SKELLEFTEÅ</t>
        </is>
      </c>
      <c r="G8906" t="n">
        <v>0.8</v>
      </c>
      <c r="H8906" t="n">
        <v>0</v>
      </c>
      <c r="I8906" t="n">
        <v>0</v>
      </c>
      <c r="J8906" t="n">
        <v>0</v>
      </c>
      <c r="K8906" t="n">
        <v>0</v>
      </c>
      <c r="L8906" t="n">
        <v>0</v>
      </c>
      <c r="M8906" t="n">
        <v>0</v>
      </c>
      <c r="N8906" t="n">
        <v>0</v>
      </c>
      <c r="O8906" t="n">
        <v>0</v>
      </c>
      <c r="P8906" t="n">
        <v>0</v>
      </c>
      <c r="Q8906" t="n">
        <v>0</v>
      </c>
      <c r="R8906" s="2" t="inlineStr"/>
    </row>
    <row r="8907" ht="15" customHeight="1">
      <c r="A8907" t="inlineStr">
        <is>
          <t>A 61644-2025</t>
        </is>
      </c>
      <c r="B8907" s="1" t="n">
        <v>46002.43589120371</v>
      </c>
      <c r="C8907" s="1" t="n">
        <v>46075</v>
      </c>
      <c r="D8907" t="inlineStr">
        <is>
          <t>VÄSTERBOTTENS LÄN</t>
        </is>
      </c>
      <c r="E8907" t="inlineStr">
        <is>
          <t>NORDMALING</t>
        </is>
      </c>
      <c r="G8907" t="n">
        <v>3.2</v>
      </c>
      <c r="H8907" t="n">
        <v>0</v>
      </c>
      <c r="I8907" t="n">
        <v>0</v>
      </c>
      <c r="J8907" t="n">
        <v>0</v>
      </c>
      <c r="K8907" t="n">
        <v>0</v>
      </c>
      <c r="L8907" t="n">
        <v>0</v>
      </c>
      <c r="M8907" t="n">
        <v>0</v>
      </c>
      <c r="N8907" t="n">
        <v>0</v>
      </c>
      <c r="O8907" t="n">
        <v>0</v>
      </c>
      <c r="P8907" t="n">
        <v>0</v>
      </c>
      <c r="Q8907" t="n">
        <v>0</v>
      </c>
      <c r="R8907" s="2" t="inlineStr"/>
    </row>
    <row r="8908" ht="15" customHeight="1">
      <c r="A8908" t="inlineStr">
        <is>
          <t>A 51000-2022</t>
        </is>
      </c>
      <c r="B8908" s="1" t="n">
        <v>44867</v>
      </c>
      <c r="C8908" s="1" t="n">
        <v>46075</v>
      </c>
      <c r="D8908" t="inlineStr">
        <is>
          <t>VÄSTERBOTTENS LÄN</t>
        </is>
      </c>
      <c r="E8908" t="inlineStr">
        <is>
          <t>NORSJÖ</t>
        </is>
      </c>
      <c r="G8908" t="n">
        <v>4</v>
      </c>
      <c r="H8908" t="n">
        <v>0</v>
      </c>
      <c r="I8908" t="n">
        <v>0</v>
      </c>
      <c r="J8908" t="n">
        <v>0</v>
      </c>
      <c r="K8908" t="n">
        <v>0</v>
      </c>
      <c r="L8908" t="n">
        <v>0</v>
      </c>
      <c r="M8908" t="n">
        <v>0</v>
      </c>
      <c r="N8908" t="n">
        <v>0</v>
      </c>
      <c r="O8908" t="n">
        <v>0</v>
      </c>
      <c r="P8908" t="n">
        <v>0</v>
      </c>
      <c r="Q8908" t="n">
        <v>0</v>
      </c>
      <c r="R8908" s="2" t="inlineStr"/>
    </row>
    <row r="8909" ht="15" customHeight="1">
      <c r="A8909" t="inlineStr">
        <is>
          <t>A 32420-2022</t>
        </is>
      </c>
      <c r="B8909" s="1" t="n">
        <v>44782</v>
      </c>
      <c r="C8909" s="1" t="n">
        <v>46075</v>
      </c>
      <c r="D8909" t="inlineStr">
        <is>
          <t>VÄSTERBOTTENS LÄN</t>
        </is>
      </c>
      <c r="E8909" t="inlineStr">
        <is>
          <t>SKELLEFTEÅ</t>
        </is>
      </c>
      <c r="F8909" t="inlineStr">
        <is>
          <t>Kommuner</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32427-2022</t>
        </is>
      </c>
      <c r="B8910" s="1" t="n">
        <v>44782</v>
      </c>
      <c r="C8910" s="1" t="n">
        <v>46075</v>
      </c>
      <c r="D8910" t="inlineStr">
        <is>
          <t>VÄSTERBOTTENS LÄN</t>
        </is>
      </c>
      <c r="E8910" t="inlineStr">
        <is>
          <t>SKELLEFTEÅ</t>
        </is>
      </c>
      <c r="F8910" t="inlineStr">
        <is>
          <t>Kommuner</t>
        </is>
      </c>
      <c r="G8910" t="n">
        <v>7.9</v>
      </c>
      <c r="H8910" t="n">
        <v>0</v>
      </c>
      <c r="I8910" t="n">
        <v>0</v>
      </c>
      <c r="J8910" t="n">
        <v>0</v>
      </c>
      <c r="K8910" t="n">
        <v>0</v>
      </c>
      <c r="L8910" t="n">
        <v>0</v>
      </c>
      <c r="M8910" t="n">
        <v>0</v>
      </c>
      <c r="N8910" t="n">
        <v>0</v>
      </c>
      <c r="O8910" t="n">
        <v>0</v>
      </c>
      <c r="P8910" t="n">
        <v>0</v>
      </c>
      <c r="Q8910" t="n">
        <v>0</v>
      </c>
      <c r="R8910" s="2" t="inlineStr"/>
    </row>
    <row r="8911" ht="15" customHeight="1">
      <c r="A8911" t="inlineStr">
        <is>
          <t>A 706-2023</t>
        </is>
      </c>
      <c r="B8911" s="1" t="n">
        <v>44930</v>
      </c>
      <c r="C8911" s="1" t="n">
        <v>46075</v>
      </c>
      <c r="D8911" t="inlineStr">
        <is>
          <t>VÄSTERBOTTENS LÄN</t>
        </is>
      </c>
      <c r="E8911" t="inlineStr">
        <is>
          <t>SKELLEFTEÅ</t>
        </is>
      </c>
      <c r="G8911" t="n">
        <v>4.3</v>
      </c>
      <c r="H8911" t="n">
        <v>0</v>
      </c>
      <c r="I8911" t="n">
        <v>0</v>
      </c>
      <c r="J8911" t="n">
        <v>0</v>
      </c>
      <c r="K8911" t="n">
        <v>0</v>
      </c>
      <c r="L8911" t="n">
        <v>0</v>
      </c>
      <c r="M8911" t="n">
        <v>0</v>
      </c>
      <c r="N8911" t="n">
        <v>0</v>
      </c>
      <c r="O8911" t="n">
        <v>0</v>
      </c>
      <c r="P8911" t="n">
        <v>0</v>
      </c>
      <c r="Q8911" t="n">
        <v>0</v>
      </c>
      <c r="R8911" s="2" t="inlineStr"/>
    </row>
    <row r="8912" ht="15" customHeight="1">
      <c r="A8912" t="inlineStr">
        <is>
          <t>A 19915-2025</t>
        </is>
      </c>
      <c r="B8912" s="1" t="n">
        <v>45771</v>
      </c>
      <c r="C8912" s="1" t="n">
        <v>46075</v>
      </c>
      <c r="D8912" t="inlineStr">
        <is>
          <t>VÄSTERBOTTENS LÄN</t>
        </is>
      </c>
      <c r="E8912" t="inlineStr">
        <is>
          <t>DOROTEA</t>
        </is>
      </c>
      <c r="F8912" t="inlineStr">
        <is>
          <t>SCA</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61834-2025</t>
        </is>
      </c>
      <c r="B8913" s="1" t="n">
        <v>46003.34474537037</v>
      </c>
      <c r="C8913" s="1" t="n">
        <v>46075</v>
      </c>
      <c r="D8913" t="inlineStr">
        <is>
          <t>VÄSTERBOTTENS LÄN</t>
        </is>
      </c>
      <c r="E8913" t="inlineStr">
        <is>
          <t>SKELLEFTEÅ</t>
        </is>
      </c>
      <c r="G8913" t="n">
        <v>0.6</v>
      </c>
      <c r="H8913" t="n">
        <v>0</v>
      </c>
      <c r="I8913" t="n">
        <v>0</v>
      </c>
      <c r="J8913" t="n">
        <v>0</v>
      </c>
      <c r="K8913" t="n">
        <v>0</v>
      </c>
      <c r="L8913" t="n">
        <v>0</v>
      </c>
      <c r="M8913" t="n">
        <v>0</v>
      </c>
      <c r="N8913" t="n">
        <v>0</v>
      </c>
      <c r="O8913" t="n">
        <v>0</v>
      </c>
      <c r="P8913" t="n">
        <v>0</v>
      </c>
      <c r="Q8913" t="n">
        <v>0</v>
      </c>
      <c r="R8913" s="2" t="inlineStr"/>
    </row>
    <row r="8914" ht="15" customHeight="1">
      <c r="A8914" t="inlineStr">
        <is>
          <t>A 61837-2025</t>
        </is>
      </c>
      <c r="B8914" s="1" t="n">
        <v>46003.35475694444</v>
      </c>
      <c r="C8914" s="1" t="n">
        <v>46075</v>
      </c>
      <c r="D8914" t="inlineStr">
        <is>
          <t>VÄSTERBOTTENS LÄN</t>
        </is>
      </c>
      <c r="E8914" t="inlineStr">
        <is>
          <t>SKELLEFTEÅ</t>
        </is>
      </c>
      <c r="G8914" t="n">
        <v>5.8</v>
      </c>
      <c r="H8914" t="n">
        <v>0</v>
      </c>
      <c r="I8914" t="n">
        <v>0</v>
      </c>
      <c r="J8914" t="n">
        <v>0</v>
      </c>
      <c r="K8914" t="n">
        <v>0</v>
      </c>
      <c r="L8914" t="n">
        <v>0</v>
      </c>
      <c r="M8914" t="n">
        <v>0</v>
      </c>
      <c r="N8914" t="n">
        <v>0</v>
      </c>
      <c r="O8914" t="n">
        <v>0</v>
      </c>
      <c r="P8914" t="n">
        <v>0</v>
      </c>
      <c r="Q8914" t="n">
        <v>0</v>
      </c>
      <c r="R8914" s="2" t="inlineStr"/>
    </row>
    <row r="8915" ht="15" customHeight="1">
      <c r="A8915" t="inlineStr">
        <is>
          <t>A 11660-2025</t>
        </is>
      </c>
      <c r="B8915" s="1" t="n">
        <v>45727.49515046296</v>
      </c>
      <c r="C8915" s="1" t="n">
        <v>46075</v>
      </c>
      <c r="D8915" t="inlineStr">
        <is>
          <t>VÄSTERBOTTENS LÄN</t>
        </is>
      </c>
      <c r="E8915" t="inlineStr">
        <is>
          <t>NORDMALING</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11662-2025</t>
        </is>
      </c>
      <c r="B8916" s="1" t="n">
        <v>45727.50065972222</v>
      </c>
      <c r="C8916" s="1" t="n">
        <v>46075</v>
      </c>
      <c r="D8916" t="inlineStr">
        <is>
          <t>VÄSTERBOTTENS LÄN</t>
        </is>
      </c>
      <c r="E8916" t="inlineStr">
        <is>
          <t>NORDMALING</t>
        </is>
      </c>
      <c r="G8916" t="n">
        <v>0.9</v>
      </c>
      <c r="H8916" t="n">
        <v>0</v>
      </c>
      <c r="I8916" t="n">
        <v>0</v>
      </c>
      <c r="J8916" t="n">
        <v>0</v>
      </c>
      <c r="K8916" t="n">
        <v>0</v>
      </c>
      <c r="L8916" t="n">
        <v>0</v>
      </c>
      <c r="M8916" t="n">
        <v>0</v>
      </c>
      <c r="N8916" t="n">
        <v>0</v>
      </c>
      <c r="O8916" t="n">
        <v>0</v>
      </c>
      <c r="P8916" t="n">
        <v>0</v>
      </c>
      <c r="Q8916" t="n">
        <v>0</v>
      </c>
      <c r="R8916" s="2" t="inlineStr"/>
    </row>
    <row r="8917" ht="15" customHeight="1">
      <c r="A8917" t="inlineStr">
        <is>
          <t>A 36208-2022</t>
        </is>
      </c>
      <c r="B8917" s="1" t="n">
        <v>44803</v>
      </c>
      <c r="C8917" s="1" t="n">
        <v>46075</v>
      </c>
      <c r="D8917" t="inlineStr">
        <is>
          <t>VÄSTERBOTTENS LÄN</t>
        </is>
      </c>
      <c r="E8917" t="inlineStr">
        <is>
          <t>SKELLEFTEÅ</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4022-2026</t>
        </is>
      </c>
      <c r="B8918" s="1" t="n">
        <v>46044.42758101852</v>
      </c>
      <c r="C8918" s="1" t="n">
        <v>46075</v>
      </c>
      <c r="D8918" t="inlineStr">
        <is>
          <t>VÄSTERBOTTENS LÄN</t>
        </is>
      </c>
      <c r="E8918" t="inlineStr">
        <is>
          <t>SKELLEFTEÅ</t>
        </is>
      </c>
      <c r="G8918" t="n">
        <v>3.2</v>
      </c>
      <c r="H8918" t="n">
        <v>0</v>
      </c>
      <c r="I8918" t="n">
        <v>0</v>
      </c>
      <c r="J8918" t="n">
        <v>0</v>
      </c>
      <c r="K8918" t="n">
        <v>0</v>
      </c>
      <c r="L8918" t="n">
        <v>0</v>
      </c>
      <c r="M8918" t="n">
        <v>0</v>
      </c>
      <c r="N8918" t="n">
        <v>0</v>
      </c>
      <c r="O8918" t="n">
        <v>0</v>
      </c>
      <c r="P8918" t="n">
        <v>0</v>
      </c>
      <c r="Q8918" t="n">
        <v>0</v>
      </c>
      <c r="R8918" s="2" t="inlineStr"/>
    </row>
    <row r="8919" ht="15" customHeight="1">
      <c r="A8919" t="inlineStr">
        <is>
          <t>A 34331-2024</t>
        </is>
      </c>
      <c r="B8919" s="1" t="n">
        <v>45524</v>
      </c>
      <c r="C8919" s="1" t="n">
        <v>46075</v>
      </c>
      <c r="D8919" t="inlineStr">
        <is>
          <t>VÄSTERBOTTENS LÄN</t>
        </is>
      </c>
      <c r="E8919" t="inlineStr">
        <is>
          <t>UMEÅ</t>
        </is>
      </c>
      <c r="F8919" t="inlineStr">
        <is>
          <t>Holmen skog AB</t>
        </is>
      </c>
      <c r="G8919" t="n">
        <v>3.4</v>
      </c>
      <c r="H8919" t="n">
        <v>0</v>
      </c>
      <c r="I8919" t="n">
        <v>0</v>
      </c>
      <c r="J8919" t="n">
        <v>0</v>
      </c>
      <c r="K8919" t="n">
        <v>0</v>
      </c>
      <c r="L8919" t="n">
        <v>0</v>
      </c>
      <c r="M8919" t="n">
        <v>0</v>
      </c>
      <c r="N8919" t="n">
        <v>0</v>
      </c>
      <c r="O8919" t="n">
        <v>0</v>
      </c>
      <c r="P8919" t="n">
        <v>0</v>
      </c>
      <c r="Q8919" t="n">
        <v>0</v>
      </c>
      <c r="R8919" s="2" t="inlineStr"/>
    </row>
    <row r="8920" ht="15" customHeight="1">
      <c r="A8920" t="inlineStr">
        <is>
          <t>A 24921-2025</t>
        </is>
      </c>
      <c r="B8920" s="1" t="n">
        <v>45799</v>
      </c>
      <c r="C8920" s="1" t="n">
        <v>46075</v>
      </c>
      <c r="D8920" t="inlineStr">
        <is>
          <t>VÄSTERBOTTENS LÄN</t>
        </is>
      </c>
      <c r="E8920" t="inlineStr">
        <is>
          <t>DOROTEA</t>
        </is>
      </c>
      <c r="F8920" t="inlineStr">
        <is>
          <t>SCA</t>
        </is>
      </c>
      <c r="G8920" t="n">
        <v>31.5</v>
      </c>
      <c r="H8920" t="n">
        <v>0</v>
      </c>
      <c r="I8920" t="n">
        <v>0</v>
      </c>
      <c r="J8920" t="n">
        <v>0</v>
      </c>
      <c r="K8920" t="n">
        <v>0</v>
      </c>
      <c r="L8920" t="n">
        <v>0</v>
      </c>
      <c r="M8920" t="n">
        <v>0</v>
      </c>
      <c r="N8920" t="n">
        <v>0</v>
      </c>
      <c r="O8920" t="n">
        <v>0</v>
      </c>
      <c r="P8920" t="n">
        <v>0</v>
      </c>
      <c r="Q8920" t="n">
        <v>0</v>
      </c>
      <c r="R8920" s="2" t="inlineStr"/>
    </row>
    <row r="8921" ht="15" customHeight="1">
      <c r="A8921" t="inlineStr">
        <is>
          <t>A 61593-2025</t>
        </is>
      </c>
      <c r="B8921" s="1" t="n">
        <v>46002</v>
      </c>
      <c r="C8921" s="1" t="n">
        <v>46075</v>
      </c>
      <c r="D8921" t="inlineStr">
        <is>
          <t>VÄSTERBOTTENS LÄN</t>
        </is>
      </c>
      <c r="E8921" t="inlineStr">
        <is>
          <t>LYCKSELE</t>
        </is>
      </c>
      <c r="F8921" t="inlineStr">
        <is>
          <t>Sveaskog</t>
        </is>
      </c>
      <c r="G8921" t="n">
        <v>25.2</v>
      </c>
      <c r="H8921" t="n">
        <v>0</v>
      </c>
      <c r="I8921" t="n">
        <v>0</v>
      </c>
      <c r="J8921" t="n">
        <v>0</v>
      </c>
      <c r="K8921" t="n">
        <v>0</v>
      </c>
      <c r="L8921" t="n">
        <v>0</v>
      </c>
      <c r="M8921" t="n">
        <v>0</v>
      </c>
      <c r="N8921" t="n">
        <v>0</v>
      </c>
      <c r="O8921" t="n">
        <v>0</v>
      </c>
      <c r="P8921" t="n">
        <v>0</v>
      </c>
      <c r="Q8921" t="n">
        <v>0</v>
      </c>
      <c r="R8921" s="2" t="inlineStr"/>
    </row>
    <row r="8922" ht="15" customHeight="1">
      <c r="A8922" t="inlineStr">
        <is>
          <t>A 53889-2024</t>
        </is>
      </c>
      <c r="B8922" s="1" t="n">
        <v>45615.67903935185</v>
      </c>
      <c r="C8922" s="1" t="n">
        <v>46075</v>
      </c>
      <c r="D8922" t="inlineStr">
        <is>
          <t>VÄSTERBOTTENS LÄN</t>
        </is>
      </c>
      <c r="E8922" t="inlineStr">
        <is>
          <t>NORDMALING</t>
        </is>
      </c>
      <c r="G8922" t="n">
        <v>2</v>
      </c>
      <c r="H8922" t="n">
        <v>0</v>
      </c>
      <c r="I8922" t="n">
        <v>0</v>
      </c>
      <c r="J8922" t="n">
        <v>0</v>
      </c>
      <c r="K8922" t="n">
        <v>0</v>
      </c>
      <c r="L8922" t="n">
        <v>0</v>
      </c>
      <c r="M8922" t="n">
        <v>0</v>
      </c>
      <c r="N8922" t="n">
        <v>0</v>
      </c>
      <c r="O8922" t="n">
        <v>0</v>
      </c>
      <c r="P8922" t="n">
        <v>0</v>
      </c>
      <c r="Q8922" t="n">
        <v>0</v>
      </c>
      <c r="R8922" s="2" t="inlineStr"/>
    </row>
    <row r="8923" ht="15" customHeight="1">
      <c r="A8923" t="inlineStr">
        <is>
          <t>A 50582-2024</t>
        </is>
      </c>
      <c r="B8923" s="1" t="n">
        <v>45600</v>
      </c>
      <c r="C8923" s="1" t="n">
        <v>46075</v>
      </c>
      <c r="D8923" t="inlineStr">
        <is>
          <t>VÄSTERBOTTENS LÄN</t>
        </is>
      </c>
      <c r="E8923" t="inlineStr">
        <is>
          <t>DOROTEA</t>
        </is>
      </c>
      <c r="G8923" t="n">
        <v>3</v>
      </c>
      <c r="H8923" t="n">
        <v>0</v>
      </c>
      <c r="I8923" t="n">
        <v>0</v>
      </c>
      <c r="J8923" t="n">
        <v>0</v>
      </c>
      <c r="K8923" t="n">
        <v>0</v>
      </c>
      <c r="L8923" t="n">
        <v>0</v>
      </c>
      <c r="M8923" t="n">
        <v>0</v>
      </c>
      <c r="N8923" t="n">
        <v>0</v>
      </c>
      <c r="O8923" t="n">
        <v>0</v>
      </c>
      <c r="P8923" t="n">
        <v>0</v>
      </c>
      <c r="Q8923" t="n">
        <v>0</v>
      </c>
      <c r="R8923" s="2" t="inlineStr"/>
    </row>
    <row r="8924" ht="15" customHeight="1">
      <c r="A8924" t="inlineStr">
        <is>
          <t>A 61639-2025</t>
        </is>
      </c>
      <c r="B8924" s="1" t="n">
        <v>46002.43023148148</v>
      </c>
      <c r="C8924" s="1" t="n">
        <v>46075</v>
      </c>
      <c r="D8924" t="inlineStr">
        <is>
          <t>VÄSTERBOTTENS LÄN</t>
        </is>
      </c>
      <c r="E8924" t="inlineStr">
        <is>
          <t>NORDMALING</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50617-2024</t>
        </is>
      </c>
      <c r="B8925" s="1" t="n">
        <v>45601.6375462963</v>
      </c>
      <c r="C8925" s="1" t="n">
        <v>46075</v>
      </c>
      <c r="D8925" t="inlineStr">
        <is>
          <t>VÄSTERBOTTENS LÄN</t>
        </is>
      </c>
      <c r="E8925" t="inlineStr">
        <is>
          <t>NORSJÖ</t>
        </is>
      </c>
      <c r="G8925" t="n">
        <v>10.6</v>
      </c>
      <c r="H8925" t="n">
        <v>0</v>
      </c>
      <c r="I8925" t="n">
        <v>0</v>
      </c>
      <c r="J8925" t="n">
        <v>0</v>
      </c>
      <c r="K8925" t="n">
        <v>0</v>
      </c>
      <c r="L8925" t="n">
        <v>0</v>
      </c>
      <c r="M8925" t="n">
        <v>0</v>
      </c>
      <c r="N8925" t="n">
        <v>0</v>
      </c>
      <c r="O8925" t="n">
        <v>0</v>
      </c>
      <c r="P8925" t="n">
        <v>0</v>
      </c>
      <c r="Q8925" t="n">
        <v>0</v>
      </c>
      <c r="R8925" s="2" t="inlineStr"/>
    </row>
    <row r="8926" ht="15" customHeight="1">
      <c r="A8926" t="inlineStr">
        <is>
          <t>A 50621-2024</t>
        </is>
      </c>
      <c r="B8926" s="1" t="n">
        <v>45601</v>
      </c>
      <c r="C8926" s="1" t="n">
        <v>46075</v>
      </c>
      <c r="D8926" t="inlineStr">
        <is>
          <t>VÄSTERBOTTENS LÄN</t>
        </is>
      </c>
      <c r="E8926" t="inlineStr">
        <is>
          <t>VINDELN</t>
        </is>
      </c>
      <c r="G8926" t="n">
        <v>2.1</v>
      </c>
      <c r="H8926" t="n">
        <v>0</v>
      </c>
      <c r="I8926" t="n">
        <v>0</v>
      </c>
      <c r="J8926" t="n">
        <v>0</v>
      </c>
      <c r="K8926" t="n">
        <v>0</v>
      </c>
      <c r="L8926" t="n">
        <v>0</v>
      </c>
      <c r="M8926" t="n">
        <v>0</v>
      </c>
      <c r="N8926" t="n">
        <v>0</v>
      </c>
      <c r="O8926" t="n">
        <v>0</v>
      </c>
      <c r="P8926" t="n">
        <v>0</v>
      </c>
      <c r="Q8926" t="n">
        <v>0</v>
      </c>
      <c r="R8926" s="2" t="inlineStr"/>
    </row>
    <row r="8927" ht="15" customHeight="1">
      <c r="A8927" t="inlineStr">
        <is>
          <t>A 4108-2026</t>
        </is>
      </c>
      <c r="B8927" s="1" t="n">
        <v>46044.59416666667</v>
      </c>
      <c r="C8927" s="1" t="n">
        <v>46075</v>
      </c>
      <c r="D8927" t="inlineStr">
        <is>
          <t>VÄSTERBOTTENS LÄN</t>
        </is>
      </c>
      <c r="E8927" t="inlineStr">
        <is>
          <t>VÄNNÄS</t>
        </is>
      </c>
      <c r="G8927" t="n">
        <v>0.5</v>
      </c>
      <c r="H8927" t="n">
        <v>0</v>
      </c>
      <c r="I8927" t="n">
        <v>0</v>
      </c>
      <c r="J8927" t="n">
        <v>0</v>
      </c>
      <c r="K8927" t="n">
        <v>0</v>
      </c>
      <c r="L8927" t="n">
        <v>0</v>
      </c>
      <c r="M8927" t="n">
        <v>0</v>
      </c>
      <c r="N8927" t="n">
        <v>0</v>
      </c>
      <c r="O8927" t="n">
        <v>0</v>
      </c>
      <c r="P8927" t="n">
        <v>0</v>
      </c>
      <c r="Q8927" t="n">
        <v>0</v>
      </c>
      <c r="R8927" s="2" t="inlineStr"/>
    </row>
    <row r="8928" ht="15" customHeight="1">
      <c r="A8928" t="inlineStr">
        <is>
          <t>A 62877-2023</t>
        </is>
      </c>
      <c r="B8928" s="1" t="n">
        <v>45271</v>
      </c>
      <c r="C8928" s="1" t="n">
        <v>46075</v>
      </c>
      <c r="D8928" t="inlineStr">
        <is>
          <t>VÄSTERBOTTENS LÄN</t>
        </is>
      </c>
      <c r="E8928" t="inlineStr">
        <is>
          <t>LYCKSELE</t>
        </is>
      </c>
      <c r="G8928" t="n">
        <v>1.7</v>
      </c>
      <c r="H8928" t="n">
        <v>0</v>
      </c>
      <c r="I8928" t="n">
        <v>0</v>
      </c>
      <c r="J8928" t="n">
        <v>0</v>
      </c>
      <c r="K8928" t="n">
        <v>0</v>
      </c>
      <c r="L8928" t="n">
        <v>0</v>
      </c>
      <c r="M8928" t="n">
        <v>0</v>
      </c>
      <c r="N8928" t="n">
        <v>0</v>
      </c>
      <c r="O8928" t="n">
        <v>0</v>
      </c>
      <c r="P8928" t="n">
        <v>0</v>
      </c>
      <c r="Q8928" t="n">
        <v>0</v>
      </c>
      <c r="R8928" s="2" t="inlineStr"/>
    </row>
    <row r="8929" ht="15" customHeight="1">
      <c r="A8929" t="inlineStr">
        <is>
          <t>A 12798-2024</t>
        </is>
      </c>
      <c r="B8929" s="1" t="n">
        <v>45384</v>
      </c>
      <c r="C8929" s="1" t="n">
        <v>46075</v>
      </c>
      <c r="D8929" t="inlineStr">
        <is>
          <t>VÄSTERBOTTENS LÄN</t>
        </is>
      </c>
      <c r="E8929" t="inlineStr">
        <is>
          <t>SKELLEFTEÅ</t>
        </is>
      </c>
      <c r="G8929" t="n">
        <v>2</v>
      </c>
      <c r="H8929" t="n">
        <v>0</v>
      </c>
      <c r="I8929" t="n">
        <v>0</v>
      </c>
      <c r="J8929" t="n">
        <v>0</v>
      </c>
      <c r="K8929" t="n">
        <v>0</v>
      </c>
      <c r="L8929" t="n">
        <v>0</v>
      </c>
      <c r="M8929" t="n">
        <v>0</v>
      </c>
      <c r="N8929" t="n">
        <v>0</v>
      </c>
      <c r="O8929" t="n">
        <v>0</v>
      </c>
      <c r="P8929" t="n">
        <v>0</v>
      </c>
      <c r="Q8929" t="n">
        <v>0</v>
      </c>
      <c r="R8929" s="2" t="inlineStr"/>
    </row>
    <row r="8930" ht="15" customHeight="1">
      <c r="A8930" t="inlineStr">
        <is>
          <t>A 3993-2026</t>
        </is>
      </c>
      <c r="B8930" s="1" t="n">
        <v>46044.38584490741</v>
      </c>
      <c r="C8930" s="1" t="n">
        <v>46075</v>
      </c>
      <c r="D8930" t="inlineStr">
        <is>
          <t>VÄSTERBOTTENS LÄN</t>
        </is>
      </c>
      <c r="E8930" t="inlineStr">
        <is>
          <t>SKELLEFTEÅ</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4024-2026</t>
        </is>
      </c>
      <c r="B8931" s="1" t="n">
        <v>46044.43145833333</v>
      </c>
      <c r="C8931" s="1" t="n">
        <v>46075</v>
      </c>
      <c r="D8931" t="inlineStr">
        <is>
          <t>VÄSTERBOTTENS LÄN</t>
        </is>
      </c>
      <c r="E8931" t="inlineStr">
        <is>
          <t>SKELLEFTEÅ</t>
        </is>
      </c>
      <c r="G8931" t="n">
        <v>10</v>
      </c>
      <c r="H8931" t="n">
        <v>0</v>
      </c>
      <c r="I8931" t="n">
        <v>0</v>
      </c>
      <c r="J8931" t="n">
        <v>0</v>
      </c>
      <c r="K8931" t="n">
        <v>0</v>
      </c>
      <c r="L8931" t="n">
        <v>0</v>
      </c>
      <c r="M8931" t="n">
        <v>0</v>
      </c>
      <c r="N8931" t="n">
        <v>0</v>
      </c>
      <c r="O8931" t="n">
        <v>0</v>
      </c>
      <c r="P8931" t="n">
        <v>0</v>
      </c>
      <c r="Q8931" t="n">
        <v>0</v>
      </c>
      <c r="R8931" s="2" t="inlineStr"/>
    </row>
    <row r="8932" ht="15" customHeight="1">
      <c r="A8932" t="inlineStr">
        <is>
          <t>A 54207-2024</t>
        </is>
      </c>
      <c r="B8932" s="1" t="n">
        <v>45616.65459490741</v>
      </c>
      <c r="C8932" s="1" t="n">
        <v>46075</v>
      </c>
      <c r="D8932" t="inlineStr">
        <is>
          <t>VÄSTERBOTTENS LÄN</t>
        </is>
      </c>
      <c r="E8932" t="inlineStr">
        <is>
          <t>NORDMALING</t>
        </is>
      </c>
      <c r="G8932" t="n">
        <v>2.7</v>
      </c>
      <c r="H8932" t="n">
        <v>0</v>
      </c>
      <c r="I8932" t="n">
        <v>0</v>
      </c>
      <c r="J8932" t="n">
        <v>0</v>
      </c>
      <c r="K8932" t="n">
        <v>0</v>
      </c>
      <c r="L8932" t="n">
        <v>0</v>
      </c>
      <c r="M8932" t="n">
        <v>0</v>
      </c>
      <c r="N8932" t="n">
        <v>0</v>
      </c>
      <c r="O8932" t="n">
        <v>0</v>
      </c>
      <c r="P8932" t="n">
        <v>0</v>
      </c>
      <c r="Q8932" t="n">
        <v>0</v>
      </c>
      <c r="R8932" s="2" t="inlineStr"/>
    </row>
    <row r="8933" ht="15" customHeight="1">
      <c r="A8933" t="inlineStr">
        <is>
          <t>A 4676-2023</t>
        </is>
      </c>
      <c r="B8933" s="1" t="n">
        <v>44953</v>
      </c>
      <c r="C8933" s="1" t="n">
        <v>46075</v>
      </c>
      <c r="D8933" t="inlineStr">
        <is>
          <t>VÄSTERBOTTENS LÄN</t>
        </is>
      </c>
      <c r="E8933" t="inlineStr">
        <is>
          <t>VÄNNÄS</t>
        </is>
      </c>
      <c r="G8933" t="n">
        <v>2.3</v>
      </c>
      <c r="H8933" t="n">
        <v>0</v>
      </c>
      <c r="I8933" t="n">
        <v>0</v>
      </c>
      <c r="J8933" t="n">
        <v>0</v>
      </c>
      <c r="K8933" t="n">
        <v>0</v>
      </c>
      <c r="L8933" t="n">
        <v>0</v>
      </c>
      <c r="M8933" t="n">
        <v>0</v>
      </c>
      <c r="N8933" t="n">
        <v>0</v>
      </c>
      <c r="O8933" t="n">
        <v>0</v>
      </c>
      <c r="P8933" t="n">
        <v>0</v>
      </c>
      <c r="Q8933" t="n">
        <v>0</v>
      </c>
      <c r="R8933" s="2" t="inlineStr"/>
    </row>
    <row r="8934" ht="15" customHeight="1">
      <c r="A8934" t="inlineStr">
        <is>
          <t>A 4075-2026</t>
        </is>
      </c>
      <c r="B8934" s="1" t="n">
        <v>46044.533125</v>
      </c>
      <c r="C8934" s="1" t="n">
        <v>46075</v>
      </c>
      <c r="D8934" t="inlineStr">
        <is>
          <t>VÄSTERBOTTENS LÄN</t>
        </is>
      </c>
      <c r="E8934" t="inlineStr">
        <is>
          <t>SKELLEFTEÅ</t>
        </is>
      </c>
      <c r="G8934" t="n">
        <v>2.1</v>
      </c>
      <c r="H8934" t="n">
        <v>0</v>
      </c>
      <c r="I8934" t="n">
        <v>0</v>
      </c>
      <c r="J8934" t="n">
        <v>0</v>
      </c>
      <c r="K8934" t="n">
        <v>0</v>
      </c>
      <c r="L8934" t="n">
        <v>0</v>
      </c>
      <c r="M8934" t="n">
        <v>0</v>
      </c>
      <c r="N8934" t="n">
        <v>0</v>
      </c>
      <c r="O8934" t="n">
        <v>0</v>
      </c>
      <c r="P8934" t="n">
        <v>0</v>
      </c>
      <c r="Q8934" t="n">
        <v>0</v>
      </c>
      <c r="R8934" s="2" t="inlineStr"/>
    </row>
    <row r="8935" ht="15" customHeight="1">
      <c r="A8935" t="inlineStr">
        <is>
          <t>A 61636-2025</t>
        </is>
      </c>
      <c r="B8935" s="1" t="n">
        <v>46002.42744212963</v>
      </c>
      <c r="C8935" s="1" t="n">
        <v>46075</v>
      </c>
      <c r="D8935" t="inlineStr">
        <is>
          <t>VÄSTERBOTTENS LÄN</t>
        </is>
      </c>
      <c r="E8935" t="inlineStr">
        <is>
          <t>SKELLEFTEÅ</t>
        </is>
      </c>
      <c r="G8935" t="n">
        <v>11.3</v>
      </c>
      <c r="H8935" t="n">
        <v>0</v>
      </c>
      <c r="I8935" t="n">
        <v>0</v>
      </c>
      <c r="J8935" t="n">
        <v>0</v>
      </c>
      <c r="K8935" t="n">
        <v>0</v>
      </c>
      <c r="L8935" t="n">
        <v>0</v>
      </c>
      <c r="M8935" t="n">
        <v>0</v>
      </c>
      <c r="N8935" t="n">
        <v>0</v>
      </c>
      <c r="O8935" t="n">
        <v>0</v>
      </c>
      <c r="P8935" t="n">
        <v>0</v>
      </c>
      <c r="Q8935" t="n">
        <v>0</v>
      </c>
      <c r="R8935" s="2" t="inlineStr"/>
    </row>
    <row r="8936" ht="15" customHeight="1">
      <c r="A8936" t="inlineStr">
        <is>
          <t>A 61640-2025</t>
        </is>
      </c>
      <c r="B8936" s="1" t="n">
        <v>46002.43112268519</v>
      </c>
      <c r="C8936" s="1" t="n">
        <v>46075</v>
      </c>
      <c r="D8936" t="inlineStr">
        <is>
          <t>VÄSTERBOTTENS LÄN</t>
        </is>
      </c>
      <c r="E8936" t="inlineStr">
        <is>
          <t>STORUMAN</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61657-2025</t>
        </is>
      </c>
      <c r="B8937" s="1" t="n">
        <v>46002.44877314815</v>
      </c>
      <c r="C8937" s="1" t="n">
        <v>46075</v>
      </c>
      <c r="D8937" t="inlineStr">
        <is>
          <t>VÄSTERBOTTENS LÄN</t>
        </is>
      </c>
      <c r="E8937" t="inlineStr">
        <is>
          <t>SKELLEFTEÅ</t>
        </is>
      </c>
      <c r="G8937" t="n">
        <v>7</v>
      </c>
      <c r="H8937" t="n">
        <v>0</v>
      </c>
      <c r="I8937" t="n">
        <v>0</v>
      </c>
      <c r="J8937" t="n">
        <v>0</v>
      </c>
      <c r="K8937" t="n">
        <v>0</v>
      </c>
      <c r="L8937" t="n">
        <v>0</v>
      </c>
      <c r="M8937" t="n">
        <v>0</v>
      </c>
      <c r="N8937" t="n">
        <v>0</v>
      </c>
      <c r="O8937" t="n">
        <v>0</v>
      </c>
      <c r="P8937" t="n">
        <v>0</v>
      </c>
      <c r="Q8937" t="n">
        <v>0</v>
      </c>
      <c r="R8937" s="2" t="inlineStr"/>
    </row>
    <row r="8938" ht="15" customHeight="1">
      <c r="A8938" t="inlineStr">
        <is>
          <t>A 62732-2022</t>
        </is>
      </c>
      <c r="B8938" s="1" t="n">
        <v>44925.66795138889</v>
      </c>
      <c r="C8938" s="1" t="n">
        <v>46075</v>
      </c>
      <c r="D8938" t="inlineStr">
        <is>
          <t>VÄSTERBOTTENS LÄN</t>
        </is>
      </c>
      <c r="E8938" t="inlineStr">
        <is>
          <t>VINDELN</t>
        </is>
      </c>
      <c r="G8938" t="n">
        <v>1.9</v>
      </c>
      <c r="H8938" t="n">
        <v>0</v>
      </c>
      <c r="I8938" t="n">
        <v>0</v>
      </c>
      <c r="J8938" t="n">
        <v>0</v>
      </c>
      <c r="K8938" t="n">
        <v>0</v>
      </c>
      <c r="L8938" t="n">
        <v>0</v>
      </c>
      <c r="M8938" t="n">
        <v>0</v>
      </c>
      <c r="N8938" t="n">
        <v>0</v>
      </c>
      <c r="O8938" t="n">
        <v>0</v>
      </c>
      <c r="P8938" t="n">
        <v>0</v>
      </c>
      <c r="Q8938" t="n">
        <v>0</v>
      </c>
      <c r="R8938" s="2" t="inlineStr"/>
    </row>
    <row r="8939" ht="15" customHeight="1">
      <c r="A8939" t="inlineStr">
        <is>
          <t>A 4081-2026</t>
        </is>
      </c>
      <c r="B8939" s="1" t="n">
        <v>46044</v>
      </c>
      <c r="C8939" s="1" t="n">
        <v>46075</v>
      </c>
      <c r="D8939" t="inlineStr">
        <is>
          <t>VÄSTERBOTTENS LÄN</t>
        </is>
      </c>
      <c r="E8939" t="inlineStr">
        <is>
          <t>VÄNNÄS</t>
        </is>
      </c>
      <c r="G8939" t="n">
        <v>0.2</v>
      </c>
      <c r="H8939" t="n">
        <v>0</v>
      </c>
      <c r="I8939" t="n">
        <v>0</v>
      </c>
      <c r="J8939" t="n">
        <v>0</v>
      </c>
      <c r="K8939" t="n">
        <v>0</v>
      </c>
      <c r="L8939" t="n">
        <v>0</v>
      </c>
      <c r="M8939" t="n">
        <v>0</v>
      </c>
      <c r="N8939" t="n">
        <v>0</v>
      </c>
      <c r="O8939" t="n">
        <v>0</v>
      </c>
      <c r="P8939" t="n">
        <v>0</v>
      </c>
      <c r="Q8939" t="n">
        <v>0</v>
      </c>
      <c r="R8939" s="2" t="inlineStr"/>
    </row>
    <row r="8940" ht="15" customHeight="1">
      <c r="A8940" t="inlineStr">
        <is>
          <t>A 13762-2025</t>
        </is>
      </c>
      <c r="B8940" s="1" t="n">
        <v>45737.43103009259</v>
      </c>
      <c r="C8940" s="1" t="n">
        <v>46075</v>
      </c>
      <c r="D8940" t="inlineStr">
        <is>
          <t>VÄSTERBOTTENS LÄN</t>
        </is>
      </c>
      <c r="E8940" t="inlineStr">
        <is>
          <t>VÄNNÄS</t>
        </is>
      </c>
      <c r="G8940" t="n">
        <v>2.6</v>
      </c>
      <c r="H8940" t="n">
        <v>0</v>
      </c>
      <c r="I8940" t="n">
        <v>0</v>
      </c>
      <c r="J8940" t="n">
        <v>0</v>
      </c>
      <c r="K8940" t="n">
        <v>0</v>
      </c>
      <c r="L8940" t="n">
        <v>0</v>
      </c>
      <c r="M8940" t="n">
        <v>0</v>
      </c>
      <c r="N8940" t="n">
        <v>0</v>
      </c>
      <c r="O8940" t="n">
        <v>0</v>
      </c>
      <c r="P8940" t="n">
        <v>0</v>
      </c>
      <c r="Q8940" t="n">
        <v>0</v>
      </c>
      <c r="R8940" s="2" t="inlineStr"/>
    </row>
    <row r="8941" ht="15" customHeight="1">
      <c r="A8941" t="inlineStr">
        <is>
          <t>A 29321-2024</t>
        </is>
      </c>
      <c r="B8941" s="1" t="n">
        <v>45483.4243287037</v>
      </c>
      <c r="C8941" s="1" t="n">
        <v>46075</v>
      </c>
      <c r="D8941" t="inlineStr">
        <is>
          <t>VÄSTERBOTTENS LÄN</t>
        </is>
      </c>
      <c r="E8941" t="inlineStr">
        <is>
          <t>SKELLEFTEÅ</t>
        </is>
      </c>
      <c r="G8941" t="n">
        <v>3.8</v>
      </c>
      <c r="H8941" t="n">
        <v>0</v>
      </c>
      <c r="I8941" t="n">
        <v>0</v>
      </c>
      <c r="J8941" t="n">
        <v>0</v>
      </c>
      <c r="K8941" t="n">
        <v>0</v>
      </c>
      <c r="L8941" t="n">
        <v>0</v>
      </c>
      <c r="M8941" t="n">
        <v>0</v>
      </c>
      <c r="N8941" t="n">
        <v>0</v>
      </c>
      <c r="O8941" t="n">
        <v>0</v>
      </c>
      <c r="P8941" t="n">
        <v>0</v>
      </c>
      <c r="Q8941" t="n">
        <v>0</v>
      </c>
      <c r="R8941" s="2" t="inlineStr"/>
    </row>
    <row r="8942" ht="15" customHeight="1">
      <c r="A8942" t="inlineStr">
        <is>
          <t>A 3957-2026</t>
        </is>
      </c>
      <c r="B8942" s="1" t="n">
        <v>46044.33671296296</v>
      </c>
      <c r="C8942" s="1" t="n">
        <v>46075</v>
      </c>
      <c r="D8942" t="inlineStr">
        <is>
          <t>VÄSTERBOTTENS LÄN</t>
        </is>
      </c>
      <c r="E8942" t="inlineStr">
        <is>
          <t>UMEÅ</t>
        </is>
      </c>
      <c r="G8942" t="n">
        <v>0.8</v>
      </c>
      <c r="H8942" t="n">
        <v>0</v>
      </c>
      <c r="I8942" t="n">
        <v>0</v>
      </c>
      <c r="J8942" t="n">
        <v>0</v>
      </c>
      <c r="K8942" t="n">
        <v>0</v>
      </c>
      <c r="L8942" t="n">
        <v>0</v>
      </c>
      <c r="M8942" t="n">
        <v>0</v>
      </c>
      <c r="N8942" t="n">
        <v>0</v>
      </c>
      <c r="O8942" t="n">
        <v>0</v>
      </c>
      <c r="P8942" t="n">
        <v>0</v>
      </c>
      <c r="Q8942" t="n">
        <v>0</v>
      </c>
      <c r="R8942" s="2" t="inlineStr"/>
    </row>
    <row r="8943" ht="15" customHeight="1">
      <c r="A8943" t="inlineStr">
        <is>
          <t>A 13822-2025</t>
        </is>
      </c>
      <c r="B8943" s="1" t="n">
        <v>45737.53160879629</v>
      </c>
      <c r="C8943" s="1" t="n">
        <v>46075</v>
      </c>
      <c r="D8943" t="inlineStr">
        <is>
          <t>VÄSTERBOTTENS LÄN</t>
        </is>
      </c>
      <c r="E8943" t="inlineStr">
        <is>
          <t>UMEÅ</t>
        </is>
      </c>
      <c r="G8943" t="n">
        <v>3.4</v>
      </c>
      <c r="H8943" t="n">
        <v>0</v>
      </c>
      <c r="I8943" t="n">
        <v>0</v>
      </c>
      <c r="J8943" t="n">
        <v>0</v>
      </c>
      <c r="K8943" t="n">
        <v>0</v>
      </c>
      <c r="L8943" t="n">
        <v>0</v>
      </c>
      <c r="M8943" t="n">
        <v>0</v>
      </c>
      <c r="N8943" t="n">
        <v>0</v>
      </c>
      <c r="O8943" t="n">
        <v>0</v>
      </c>
      <c r="P8943" t="n">
        <v>0</v>
      </c>
      <c r="Q8943" t="n">
        <v>0</v>
      </c>
      <c r="R8943" s="2" t="inlineStr"/>
    </row>
    <row r="8944" ht="15" customHeight="1">
      <c r="A8944" t="inlineStr">
        <is>
          <t>A 13829-2025</t>
        </is>
      </c>
      <c r="B8944" s="1" t="n">
        <v>45737</v>
      </c>
      <c r="C8944" s="1" t="n">
        <v>46075</v>
      </c>
      <c r="D8944" t="inlineStr">
        <is>
          <t>VÄSTERBOTTENS LÄN</t>
        </is>
      </c>
      <c r="E8944" t="inlineStr">
        <is>
          <t>VILHELMINA</t>
        </is>
      </c>
      <c r="F8944" t="inlineStr">
        <is>
          <t>Övriga statliga verk och myndigheter</t>
        </is>
      </c>
      <c r="G8944" t="n">
        <v>39.7</v>
      </c>
      <c r="H8944" t="n">
        <v>0</v>
      </c>
      <c r="I8944" t="n">
        <v>0</v>
      </c>
      <c r="J8944" t="n">
        <v>0</v>
      </c>
      <c r="K8944" t="n">
        <v>0</v>
      </c>
      <c r="L8944" t="n">
        <v>0</v>
      </c>
      <c r="M8944" t="n">
        <v>0</v>
      </c>
      <c r="N8944" t="n">
        <v>0</v>
      </c>
      <c r="O8944" t="n">
        <v>0</v>
      </c>
      <c r="P8944" t="n">
        <v>0</v>
      </c>
      <c r="Q8944" t="n">
        <v>0</v>
      </c>
      <c r="R8944" s="2" t="inlineStr"/>
    </row>
    <row r="8945" ht="15" customHeight="1">
      <c r="A8945" t="inlineStr">
        <is>
          <t>A 40898-2021</t>
        </is>
      </c>
      <c r="B8945" s="1" t="n">
        <v>44421.48540509259</v>
      </c>
      <c r="C8945" s="1" t="n">
        <v>46075</v>
      </c>
      <c r="D8945" t="inlineStr">
        <is>
          <t>VÄSTERBOTTENS LÄN</t>
        </is>
      </c>
      <c r="E8945" t="inlineStr">
        <is>
          <t>SKELLEFTEÅ</t>
        </is>
      </c>
      <c r="G8945" t="n">
        <v>5.3</v>
      </c>
      <c r="H8945" t="n">
        <v>0</v>
      </c>
      <c r="I8945" t="n">
        <v>0</v>
      </c>
      <c r="J8945" t="n">
        <v>0</v>
      </c>
      <c r="K8945" t="n">
        <v>0</v>
      </c>
      <c r="L8945" t="n">
        <v>0</v>
      </c>
      <c r="M8945" t="n">
        <v>0</v>
      </c>
      <c r="N8945" t="n">
        <v>0</v>
      </c>
      <c r="O8945" t="n">
        <v>0</v>
      </c>
      <c r="P8945" t="n">
        <v>0</v>
      </c>
      <c r="Q8945" t="n">
        <v>0</v>
      </c>
      <c r="R8945" s="2" t="inlineStr"/>
    </row>
    <row r="8946" ht="15" customHeight="1">
      <c r="A8946" t="inlineStr">
        <is>
          <t>A 41271-2024</t>
        </is>
      </c>
      <c r="B8946" s="1" t="n">
        <v>45559</v>
      </c>
      <c r="C8946" s="1" t="n">
        <v>46075</v>
      </c>
      <c r="D8946" t="inlineStr">
        <is>
          <t>VÄSTERBOTTENS LÄN</t>
        </is>
      </c>
      <c r="E8946" t="inlineStr">
        <is>
          <t>ROBERTSFORS</t>
        </is>
      </c>
      <c r="F8946" t="inlineStr">
        <is>
          <t>Sveaskog</t>
        </is>
      </c>
      <c r="G8946" t="n">
        <v>11.1</v>
      </c>
      <c r="H8946" t="n">
        <v>0</v>
      </c>
      <c r="I8946" t="n">
        <v>0</v>
      </c>
      <c r="J8946" t="n">
        <v>0</v>
      </c>
      <c r="K8946" t="n">
        <v>0</v>
      </c>
      <c r="L8946" t="n">
        <v>0</v>
      </c>
      <c r="M8946" t="n">
        <v>0</v>
      </c>
      <c r="N8946" t="n">
        <v>0</v>
      </c>
      <c r="O8946" t="n">
        <v>0</v>
      </c>
      <c r="P8946" t="n">
        <v>0</v>
      </c>
      <c r="Q8946" t="n">
        <v>0</v>
      </c>
      <c r="R8946" s="2" t="inlineStr"/>
    </row>
    <row r="8947" ht="15" customHeight="1">
      <c r="A8947" t="inlineStr">
        <is>
          <t>A 41285-2024</t>
        </is>
      </c>
      <c r="B8947" s="1" t="n">
        <v>45559.5952662037</v>
      </c>
      <c r="C8947" s="1" t="n">
        <v>46075</v>
      </c>
      <c r="D8947" t="inlineStr">
        <is>
          <t>VÄSTERBOTTENS LÄN</t>
        </is>
      </c>
      <c r="E8947" t="inlineStr">
        <is>
          <t>LYCKSELE</t>
        </is>
      </c>
      <c r="F8947" t="inlineStr">
        <is>
          <t>Holmen skog AB</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41398-2024</t>
        </is>
      </c>
      <c r="B8948" s="1" t="n">
        <v>45560</v>
      </c>
      <c r="C8948" s="1" t="n">
        <v>46075</v>
      </c>
      <c r="D8948" t="inlineStr">
        <is>
          <t>VÄSTERBOTTENS LÄN</t>
        </is>
      </c>
      <c r="E8948" t="inlineStr">
        <is>
          <t>VINDELN</t>
        </is>
      </c>
      <c r="F8948" t="inlineStr">
        <is>
          <t>Naturvårdsverket</t>
        </is>
      </c>
      <c r="G8948" t="n">
        <v>3.1</v>
      </c>
      <c r="H8948" t="n">
        <v>0</v>
      </c>
      <c r="I8948" t="n">
        <v>0</v>
      </c>
      <c r="J8948" t="n">
        <v>0</v>
      </c>
      <c r="K8948" t="n">
        <v>0</v>
      </c>
      <c r="L8948" t="n">
        <v>0</v>
      </c>
      <c r="M8948" t="n">
        <v>0</v>
      </c>
      <c r="N8948" t="n">
        <v>0</v>
      </c>
      <c r="O8948" t="n">
        <v>0</v>
      </c>
      <c r="P8948" t="n">
        <v>0</v>
      </c>
      <c r="Q8948" t="n">
        <v>0</v>
      </c>
      <c r="R8948" s="2" t="inlineStr"/>
    </row>
    <row r="8949" ht="15" customHeight="1">
      <c r="A8949" t="inlineStr">
        <is>
          <t>A 41402-2024</t>
        </is>
      </c>
      <c r="B8949" s="1" t="n">
        <v>45560.33498842592</v>
      </c>
      <c r="C8949" s="1" t="n">
        <v>46075</v>
      </c>
      <c r="D8949" t="inlineStr">
        <is>
          <t>VÄSTERBOTTENS LÄN</t>
        </is>
      </c>
      <c r="E8949" t="inlineStr">
        <is>
          <t>ÅSELE</t>
        </is>
      </c>
      <c r="F8949" t="inlineStr">
        <is>
          <t>Holmen skog AB</t>
        </is>
      </c>
      <c r="G8949" t="n">
        <v>4.5</v>
      </c>
      <c r="H8949" t="n">
        <v>0</v>
      </c>
      <c r="I8949" t="n">
        <v>0</v>
      </c>
      <c r="J8949" t="n">
        <v>0</v>
      </c>
      <c r="K8949" t="n">
        <v>0</v>
      </c>
      <c r="L8949" t="n">
        <v>0</v>
      </c>
      <c r="M8949" t="n">
        <v>0</v>
      </c>
      <c r="N8949" t="n">
        <v>0</v>
      </c>
      <c r="O8949" t="n">
        <v>0</v>
      </c>
      <c r="P8949" t="n">
        <v>0</v>
      </c>
      <c r="Q8949" t="n">
        <v>0</v>
      </c>
      <c r="R8949" s="2" t="inlineStr"/>
    </row>
    <row r="8950" ht="15" customHeight="1">
      <c r="A8950" t="inlineStr">
        <is>
          <t>A 5794-2025</t>
        </is>
      </c>
      <c r="B8950" s="1" t="n">
        <v>45694.65726851852</v>
      </c>
      <c r="C8950" s="1" t="n">
        <v>46075</v>
      </c>
      <c r="D8950" t="inlineStr">
        <is>
          <t>VÄSTERBOTTENS LÄN</t>
        </is>
      </c>
      <c r="E8950" t="inlineStr">
        <is>
          <t>MALÅ</t>
        </is>
      </c>
      <c r="F8950" t="inlineStr">
        <is>
          <t>SCA</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61960-2025</t>
        </is>
      </c>
      <c r="B8951" s="1" t="n">
        <v>46003.58871527778</v>
      </c>
      <c r="C8951" s="1" t="n">
        <v>46075</v>
      </c>
      <c r="D8951" t="inlineStr">
        <is>
          <t>VÄSTERBOTTENS LÄN</t>
        </is>
      </c>
      <c r="E8951" t="inlineStr">
        <is>
          <t>SKELLEFTEÅ</t>
        </is>
      </c>
      <c r="G8951" t="n">
        <v>3.9</v>
      </c>
      <c r="H8951" t="n">
        <v>0</v>
      </c>
      <c r="I8951" t="n">
        <v>0</v>
      </c>
      <c r="J8951" t="n">
        <v>0</v>
      </c>
      <c r="K8951" t="n">
        <v>0</v>
      </c>
      <c r="L8951" t="n">
        <v>0</v>
      </c>
      <c r="M8951" t="n">
        <v>0</v>
      </c>
      <c r="N8951" t="n">
        <v>0</v>
      </c>
      <c r="O8951" t="n">
        <v>0</v>
      </c>
      <c r="P8951" t="n">
        <v>0</v>
      </c>
      <c r="Q8951" t="n">
        <v>0</v>
      </c>
      <c r="R8951" s="2" t="inlineStr"/>
    </row>
    <row r="8952" ht="15" customHeight="1">
      <c r="A8952" t="inlineStr">
        <is>
          <t>A 5894-2025</t>
        </is>
      </c>
      <c r="B8952" s="1" t="n">
        <v>45695.39059027778</v>
      </c>
      <c r="C8952" s="1" t="n">
        <v>46075</v>
      </c>
      <c r="D8952" t="inlineStr">
        <is>
          <t>VÄSTERBOTTENS LÄN</t>
        </is>
      </c>
      <c r="E8952" t="inlineStr">
        <is>
          <t>MALÅ</t>
        </is>
      </c>
      <c r="F8952" t="inlineStr">
        <is>
          <t>Sveaskog</t>
        </is>
      </c>
      <c r="G8952" t="n">
        <v>18.7</v>
      </c>
      <c r="H8952" t="n">
        <v>0</v>
      </c>
      <c r="I8952" t="n">
        <v>0</v>
      </c>
      <c r="J8952" t="n">
        <v>0</v>
      </c>
      <c r="K8952" t="n">
        <v>0</v>
      </c>
      <c r="L8952" t="n">
        <v>0</v>
      </c>
      <c r="M8952" t="n">
        <v>0</v>
      </c>
      <c r="N8952" t="n">
        <v>0</v>
      </c>
      <c r="O8952" t="n">
        <v>0</v>
      </c>
      <c r="P8952" t="n">
        <v>0</v>
      </c>
      <c r="Q8952" t="n">
        <v>0</v>
      </c>
      <c r="R8952" s="2" t="inlineStr"/>
    </row>
    <row r="8953" ht="15" customHeight="1">
      <c r="A8953" t="inlineStr">
        <is>
          <t>A 4292-2026</t>
        </is>
      </c>
      <c r="B8953" s="1" t="n">
        <v>46045.41581018519</v>
      </c>
      <c r="C8953" s="1" t="n">
        <v>46075</v>
      </c>
      <c r="D8953" t="inlineStr">
        <is>
          <t>VÄSTERBOTTENS LÄN</t>
        </is>
      </c>
      <c r="E8953" t="inlineStr">
        <is>
          <t>SKELLEFTEÅ</t>
        </is>
      </c>
      <c r="G8953" t="n">
        <v>2.7</v>
      </c>
      <c r="H8953" t="n">
        <v>0</v>
      </c>
      <c r="I8953" t="n">
        <v>0</v>
      </c>
      <c r="J8953" t="n">
        <v>0</v>
      </c>
      <c r="K8953" t="n">
        <v>0</v>
      </c>
      <c r="L8953" t="n">
        <v>0</v>
      </c>
      <c r="M8953" t="n">
        <v>0</v>
      </c>
      <c r="N8953" t="n">
        <v>0</v>
      </c>
      <c r="O8953" t="n">
        <v>0</v>
      </c>
      <c r="P8953" t="n">
        <v>0</v>
      </c>
      <c r="Q8953" t="n">
        <v>0</v>
      </c>
      <c r="R8953" s="2" t="inlineStr"/>
    </row>
    <row r="8954" ht="15" customHeight="1">
      <c r="A8954" t="inlineStr">
        <is>
          <t>A 62396-2025</t>
        </is>
      </c>
      <c r="B8954" s="1" t="n">
        <v>46007.40012731482</v>
      </c>
      <c r="C8954" s="1" t="n">
        <v>46075</v>
      </c>
      <c r="D8954" t="inlineStr">
        <is>
          <t>VÄSTERBOTTENS LÄN</t>
        </is>
      </c>
      <c r="E8954" t="inlineStr">
        <is>
          <t>SKELLEFTEÅ</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62398-2025</t>
        </is>
      </c>
      <c r="B8955" s="1" t="n">
        <v>46007.40207175926</v>
      </c>
      <c r="C8955" s="1" t="n">
        <v>46075</v>
      </c>
      <c r="D8955" t="inlineStr">
        <is>
          <t>VÄSTERBOTTENS LÄN</t>
        </is>
      </c>
      <c r="E8955" t="inlineStr">
        <is>
          <t>SKELLEFTEÅ</t>
        </is>
      </c>
      <c r="G8955" t="n">
        <v>2.7</v>
      </c>
      <c r="H8955" t="n">
        <v>0</v>
      </c>
      <c r="I8955" t="n">
        <v>0</v>
      </c>
      <c r="J8955" t="n">
        <v>0</v>
      </c>
      <c r="K8955" t="n">
        <v>0</v>
      </c>
      <c r="L8955" t="n">
        <v>0</v>
      </c>
      <c r="M8955" t="n">
        <v>0</v>
      </c>
      <c r="N8955" t="n">
        <v>0</v>
      </c>
      <c r="O8955" t="n">
        <v>0</v>
      </c>
      <c r="P8955" t="n">
        <v>0</v>
      </c>
      <c r="Q8955" t="n">
        <v>0</v>
      </c>
      <c r="R8955" s="2" t="inlineStr"/>
    </row>
    <row r="8956" ht="15" customHeight="1">
      <c r="A8956" t="inlineStr">
        <is>
          <t>A 33771-2023</t>
        </is>
      </c>
      <c r="B8956" s="1" t="n">
        <v>45133.49151620371</v>
      </c>
      <c r="C8956" s="1" t="n">
        <v>46075</v>
      </c>
      <c r="D8956" t="inlineStr">
        <is>
          <t>VÄSTERBOTTENS LÄN</t>
        </is>
      </c>
      <c r="E8956" t="inlineStr">
        <is>
          <t>SKELLEFTEÅ</t>
        </is>
      </c>
      <c r="F8956" t="inlineStr">
        <is>
          <t>Holmen skog AB</t>
        </is>
      </c>
      <c r="G8956" t="n">
        <v>2.6</v>
      </c>
      <c r="H8956" t="n">
        <v>0</v>
      </c>
      <c r="I8956" t="n">
        <v>0</v>
      </c>
      <c r="J8956" t="n">
        <v>0</v>
      </c>
      <c r="K8956" t="n">
        <v>0</v>
      </c>
      <c r="L8956" t="n">
        <v>0</v>
      </c>
      <c r="M8956" t="n">
        <v>0</v>
      </c>
      <c r="N8956" t="n">
        <v>0</v>
      </c>
      <c r="O8956" t="n">
        <v>0</v>
      </c>
      <c r="P8956" t="n">
        <v>0</v>
      </c>
      <c r="Q8956" t="n">
        <v>0</v>
      </c>
      <c r="R8956" s="2" t="inlineStr"/>
    </row>
    <row r="8957" ht="15" customHeight="1">
      <c r="A8957" t="inlineStr">
        <is>
          <t>A 33821-2023</t>
        </is>
      </c>
      <c r="B8957" s="1" t="n">
        <v>45133</v>
      </c>
      <c r="C8957" s="1" t="n">
        <v>46075</v>
      </c>
      <c r="D8957" t="inlineStr">
        <is>
          <t>VÄSTERBOTTENS LÄN</t>
        </is>
      </c>
      <c r="E8957" t="inlineStr">
        <is>
          <t>ROBERTSFORS</t>
        </is>
      </c>
      <c r="F8957" t="inlineStr">
        <is>
          <t>Holmen skog AB</t>
        </is>
      </c>
      <c r="G8957" t="n">
        <v>1.4</v>
      </c>
      <c r="H8957" t="n">
        <v>0</v>
      </c>
      <c r="I8957" t="n">
        <v>0</v>
      </c>
      <c r="J8957" t="n">
        <v>0</v>
      </c>
      <c r="K8957" t="n">
        <v>0</v>
      </c>
      <c r="L8957" t="n">
        <v>0</v>
      </c>
      <c r="M8957" t="n">
        <v>0</v>
      </c>
      <c r="N8957" t="n">
        <v>0</v>
      </c>
      <c r="O8957" t="n">
        <v>0</v>
      </c>
      <c r="P8957" t="n">
        <v>0</v>
      </c>
      <c r="Q8957" t="n">
        <v>0</v>
      </c>
      <c r="R8957" s="2" t="inlineStr"/>
    </row>
    <row r="8958" ht="15" customHeight="1">
      <c r="A8958" t="inlineStr">
        <is>
          <t>A 62422-2025</t>
        </is>
      </c>
      <c r="B8958" s="1" t="n">
        <v>46007.44863425926</v>
      </c>
      <c r="C8958" s="1" t="n">
        <v>46075</v>
      </c>
      <c r="D8958" t="inlineStr">
        <is>
          <t>VÄSTERBOTTENS LÄN</t>
        </is>
      </c>
      <c r="E8958" t="inlineStr">
        <is>
          <t>DOROTEA</t>
        </is>
      </c>
      <c r="G8958" t="n">
        <v>6.4</v>
      </c>
      <c r="H8958" t="n">
        <v>0</v>
      </c>
      <c r="I8958" t="n">
        <v>0</v>
      </c>
      <c r="J8958" t="n">
        <v>0</v>
      </c>
      <c r="K8958" t="n">
        <v>0</v>
      </c>
      <c r="L8958" t="n">
        <v>0</v>
      </c>
      <c r="M8958" t="n">
        <v>0</v>
      </c>
      <c r="N8958" t="n">
        <v>0</v>
      </c>
      <c r="O8958" t="n">
        <v>0</v>
      </c>
      <c r="P8958" t="n">
        <v>0</v>
      </c>
      <c r="Q8958" t="n">
        <v>0</v>
      </c>
      <c r="R8958" s="2" t="inlineStr"/>
    </row>
    <row r="8959" ht="15" customHeight="1">
      <c r="A8959" t="inlineStr">
        <is>
          <t>A 62485-2025</t>
        </is>
      </c>
      <c r="B8959" s="1" t="n">
        <v>46007.56543981482</v>
      </c>
      <c r="C8959" s="1" t="n">
        <v>46075</v>
      </c>
      <c r="D8959" t="inlineStr">
        <is>
          <t>VÄSTERBOTTENS LÄN</t>
        </is>
      </c>
      <c r="E8959" t="inlineStr">
        <is>
          <t>SKELLEFTEÅ</t>
        </is>
      </c>
      <c r="F8959" t="inlineStr">
        <is>
          <t>Sveaskog</t>
        </is>
      </c>
      <c r="G8959" t="n">
        <v>6.2</v>
      </c>
      <c r="H8959" t="n">
        <v>0</v>
      </c>
      <c r="I8959" t="n">
        <v>0</v>
      </c>
      <c r="J8959" t="n">
        <v>0</v>
      </c>
      <c r="K8959" t="n">
        <v>0</v>
      </c>
      <c r="L8959" t="n">
        <v>0</v>
      </c>
      <c r="M8959" t="n">
        <v>0</v>
      </c>
      <c r="N8959" t="n">
        <v>0</v>
      </c>
      <c r="O8959" t="n">
        <v>0</v>
      </c>
      <c r="P8959" t="n">
        <v>0</v>
      </c>
      <c r="Q8959" t="n">
        <v>0</v>
      </c>
      <c r="R8959" s="2" t="inlineStr"/>
    </row>
    <row r="8960" ht="15" customHeight="1">
      <c r="A8960" t="inlineStr">
        <is>
          <t>A 62399-2025</t>
        </is>
      </c>
      <c r="B8960" s="1" t="n">
        <v>46007.40666666667</v>
      </c>
      <c r="C8960" s="1" t="n">
        <v>46075</v>
      </c>
      <c r="D8960" t="inlineStr">
        <is>
          <t>VÄSTERBOTTENS LÄN</t>
        </is>
      </c>
      <c r="E8960" t="inlineStr">
        <is>
          <t>DOROTEA</t>
        </is>
      </c>
      <c r="G8960" t="n">
        <v>16.7</v>
      </c>
      <c r="H8960" t="n">
        <v>0</v>
      </c>
      <c r="I8960" t="n">
        <v>0</v>
      </c>
      <c r="J8960" t="n">
        <v>0</v>
      </c>
      <c r="K8960" t="n">
        <v>0</v>
      </c>
      <c r="L8960" t="n">
        <v>0</v>
      </c>
      <c r="M8960" t="n">
        <v>0</v>
      </c>
      <c r="N8960" t="n">
        <v>0</v>
      </c>
      <c r="O8960" t="n">
        <v>0</v>
      </c>
      <c r="P8960" t="n">
        <v>0</v>
      </c>
      <c r="Q8960" t="n">
        <v>0</v>
      </c>
      <c r="R8960" s="2" t="inlineStr"/>
    </row>
    <row r="8961" ht="15" customHeight="1">
      <c r="A8961" t="inlineStr">
        <is>
          <t>A 4608-2026</t>
        </is>
      </c>
      <c r="B8961" s="1" t="n">
        <v>46048.35949074074</v>
      </c>
      <c r="C8961" s="1" t="n">
        <v>46075</v>
      </c>
      <c r="D8961" t="inlineStr">
        <is>
          <t>VÄSTERBOTTENS LÄN</t>
        </is>
      </c>
      <c r="E8961" t="inlineStr">
        <is>
          <t>NORDMALING</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62081-2025</t>
        </is>
      </c>
      <c r="B8962" s="1" t="n">
        <v>46006.37280092593</v>
      </c>
      <c r="C8962" s="1" t="n">
        <v>46075</v>
      </c>
      <c r="D8962" t="inlineStr">
        <is>
          <t>VÄSTERBOTTENS LÄN</t>
        </is>
      </c>
      <c r="E8962" t="inlineStr">
        <is>
          <t>SKELLEFTEÅ</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62146-2025</t>
        </is>
      </c>
      <c r="B8963" s="1" t="n">
        <v>46006.47486111111</v>
      </c>
      <c r="C8963" s="1" t="n">
        <v>46075</v>
      </c>
      <c r="D8963" t="inlineStr">
        <is>
          <t>VÄSTERBOTTENS LÄN</t>
        </is>
      </c>
      <c r="E8963" t="inlineStr">
        <is>
          <t>VINDELN</t>
        </is>
      </c>
      <c r="F8963" t="inlineStr">
        <is>
          <t>Sveaskog</t>
        </is>
      </c>
      <c r="G8963" t="n">
        <v>2.4</v>
      </c>
      <c r="H8963" t="n">
        <v>0</v>
      </c>
      <c r="I8963" t="n">
        <v>0</v>
      </c>
      <c r="J8963" t="n">
        <v>0</v>
      </c>
      <c r="K8963" t="n">
        <v>0</v>
      </c>
      <c r="L8963" t="n">
        <v>0</v>
      </c>
      <c r="M8963" t="n">
        <v>0</v>
      </c>
      <c r="N8963" t="n">
        <v>0</v>
      </c>
      <c r="O8963" t="n">
        <v>0</v>
      </c>
      <c r="P8963" t="n">
        <v>0</v>
      </c>
      <c r="Q8963" t="n">
        <v>0</v>
      </c>
      <c r="R8963" s="2" t="inlineStr"/>
    </row>
    <row r="8964" ht="15" customHeight="1">
      <c r="A8964" t="inlineStr">
        <is>
          <t>A 61367-2024</t>
        </is>
      </c>
      <c r="B8964" s="1" t="n">
        <v>45646.38721064815</v>
      </c>
      <c r="C8964" s="1" t="n">
        <v>46075</v>
      </c>
      <c r="D8964" t="inlineStr">
        <is>
          <t>VÄSTERBOTTENS LÄN</t>
        </is>
      </c>
      <c r="E8964" t="inlineStr">
        <is>
          <t>LYCKSELE</t>
        </is>
      </c>
      <c r="G8964" t="n">
        <v>10.4</v>
      </c>
      <c r="H8964" t="n">
        <v>0</v>
      </c>
      <c r="I8964" t="n">
        <v>0</v>
      </c>
      <c r="J8964" t="n">
        <v>0</v>
      </c>
      <c r="K8964" t="n">
        <v>0</v>
      </c>
      <c r="L8964" t="n">
        <v>0</v>
      </c>
      <c r="M8964" t="n">
        <v>0</v>
      </c>
      <c r="N8964" t="n">
        <v>0</v>
      </c>
      <c r="O8964" t="n">
        <v>0</v>
      </c>
      <c r="P8964" t="n">
        <v>0</v>
      </c>
      <c r="Q8964" t="n">
        <v>0</v>
      </c>
      <c r="R8964" s="2" t="inlineStr"/>
    </row>
    <row r="8965" ht="15" customHeight="1">
      <c r="A8965" t="inlineStr">
        <is>
          <t>A 61382-2024</t>
        </is>
      </c>
      <c r="B8965" s="1" t="n">
        <v>45646.40891203703</v>
      </c>
      <c r="C8965" s="1" t="n">
        <v>46075</v>
      </c>
      <c r="D8965" t="inlineStr">
        <is>
          <t>VÄSTERBOTTENS LÄN</t>
        </is>
      </c>
      <c r="E8965" t="inlineStr">
        <is>
          <t>LYCKSELE</t>
        </is>
      </c>
      <c r="G8965" t="n">
        <v>1.6</v>
      </c>
      <c r="H8965" t="n">
        <v>0</v>
      </c>
      <c r="I8965" t="n">
        <v>0</v>
      </c>
      <c r="J8965" t="n">
        <v>0</v>
      </c>
      <c r="K8965" t="n">
        <v>0</v>
      </c>
      <c r="L8965" t="n">
        <v>0</v>
      </c>
      <c r="M8965" t="n">
        <v>0</v>
      </c>
      <c r="N8965" t="n">
        <v>0</v>
      </c>
      <c r="O8965" t="n">
        <v>0</v>
      </c>
      <c r="P8965" t="n">
        <v>0</v>
      </c>
      <c r="Q8965" t="n">
        <v>0</v>
      </c>
      <c r="R8965" s="2" t="inlineStr"/>
    </row>
    <row r="8966" ht="15" customHeight="1">
      <c r="A8966" t="inlineStr">
        <is>
          <t>A 61386-2024</t>
        </is>
      </c>
      <c r="B8966" s="1" t="n">
        <v>45646.41387731482</v>
      </c>
      <c r="C8966" s="1" t="n">
        <v>46075</v>
      </c>
      <c r="D8966" t="inlineStr">
        <is>
          <t>VÄSTERBOTTENS LÄN</t>
        </is>
      </c>
      <c r="E8966" t="inlineStr">
        <is>
          <t>ROBERTSFORS</t>
        </is>
      </c>
      <c r="G8966" t="n">
        <v>1.3</v>
      </c>
      <c r="H8966" t="n">
        <v>0</v>
      </c>
      <c r="I8966" t="n">
        <v>0</v>
      </c>
      <c r="J8966" t="n">
        <v>0</v>
      </c>
      <c r="K8966" t="n">
        <v>0</v>
      </c>
      <c r="L8966" t="n">
        <v>0</v>
      </c>
      <c r="M8966" t="n">
        <v>0</v>
      </c>
      <c r="N8966" t="n">
        <v>0</v>
      </c>
      <c r="O8966" t="n">
        <v>0</v>
      </c>
      <c r="P8966" t="n">
        <v>0</v>
      </c>
      <c r="Q8966" t="n">
        <v>0</v>
      </c>
      <c r="R8966" s="2" t="inlineStr"/>
    </row>
    <row r="8967" ht="15" customHeight="1">
      <c r="A8967" t="inlineStr">
        <is>
          <t>A 62148-2025</t>
        </is>
      </c>
      <c r="B8967" s="1" t="n">
        <v>46006.47850694445</v>
      </c>
      <c r="C8967" s="1" t="n">
        <v>46075</v>
      </c>
      <c r="D8967" t="inlineStr">
        <is>
          <t>VÄSTERBOTTENS LÄN</t>
        </is>
      </c>
      <c r="E8967" t="inlineStr">
        <is>
          <t>SKELLEFTEÅ</t>
        </is>
      </c>
      <c r="F8967" t="inlineStr">
        <is>
          <t>Holmen skog AB</t>
        </is>
      </c>
      <c r="G8967" t="n">
        <v>2.4</v>
      </c>
      <c r="H8967" t="n">
        <v>0</v>
      </c>
      <c r="I8967" t="n">
        <v>0</v>
      </c>
      <c r="J8967" t="n">
        <v>0</v>
      </c>
      <c r="K8967" t="n">
        <v>0</v>
      </c>
      <c r="L8967" t="n">
        <v>0</v>
      </c>
      <c r="M8967" t="n">
        <v>0</v>
      </c>
      <c r="N8967" t="n">
        <v>0</v>
      </c>
      <c r="O8967" t="n">
        <v>0</v>
      </c>
      <c r="P8967" t="n">
        <v>0</v>
      </c>
      <c r="Q8967" t="n">
        <v>0</v>
      </c>
      <c r="R8967" s="2" t="inlineStr"/>
    </row>
    <row r="8968" ht="15" customHeight="1">
      <c r="A8968" t="inlineStr">
        <is>
          <t>A 62169-2025</t>
        </is>
      </c>
      <c r="B8968" s="1" t="n">
        <v>46006.51091435185</v>
      </c>
      <c r="C8968" s="1" t="n">
        <v>46075</v>
      </c>
      <c r="D8968" t="inlineStr">
        <is>
          <t>VÄSTERBOTTENS LÄN</t>
        </is>
      </c>
      <c r="E8968" t="inlineStr">
        <is>
          <t>BJURHOLM</t>
        </is>
      </c>
      <c r="F8968" t="inlineStr">
        <is>
          <t>SCA</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62179-2025</t>
        </is>
      </c>
      <c r="B8969" s="1" t="n">
        <v>46006.52695601852</v>
      </c>
      <c r="C8969" s="1" t="n">
        <v>46075</v>
      </c>
      <c r="D8969" t="inlineStr">
        <is>
          <t>VÄSTERBOTTENS LÄN</t>
        </is>
      </c>
      <c r="E8969" t="inlineStr">
        <is>
          <t>ÅSELE</t>
        </is>
      </c>
      <c r="F8969" t="inlineStr">
        <is>
          <t>Holmen skog AB</t>
        </is>
      </c>
      <c r="G8969" t="n">
        <v>4.8</v>
      </c>
      <c r="H8969" t="n">
        <v>0</v>
      </c>
      <c r="I8969" t="n">
        <v>0</v>
      </c>
      <c r="J8969" t="n">
        <v>0</v>
      </c>
      <c r="K8969" t="n">
        <v>0</v>
      </c>
      <c r="L8969" t="n">
        <v>0</v>
      </c>
      <c r="M8969" t="n">
        <v>0</v>
      </c>
      <c r="N8969" t="n">
        <v>0</v>
      </c>
      <c r="O8969" t="n">
        <v>0</v>
      </c>
      <c r="P8969" t="n">
        <v>0</v>
      </c>
      <c r="Q8969" t="n">
        <v>0</v>
      </c>
      <c r="R8969" s="2" t="inlineStr"/>
    </row>
    <row r="8970" ht="15" customHeight="1">
      <c r="A8970" t="inlineStr">
        <is>
          <t>A 62194-2025</t>
        </is>
      </c>
      <c r="B8970" s="1" t="n">
        <v>46006.55251157407</v>
      </c>
      <c r="C8970" s="1" t="n">
        <v>46075</v>
      </c>
      <c r="D8970" t="inlineStr">
        <is>
          <t>VÄSTERBOTTENS LÄN</t>
        </is>
      </c>
      <c r="E8970" t="inlineStr">
        <is>
          <t>VINDELN</t>
        </is>
      </c>
      <c r="F8970" t="inlineStr">
        <is>
          <t>Sveaskog</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24577-2022</t>
        </is>
      </c>
      <c r="B8971" s="1" t="n">
        <v>44727</v>
      </c>
      <c r="C8971" s="1" t="n">
        <v>46075</v>
      </c>
      <c r="D8971" t="inlineStr">
        <is>
          <t>VÄSTERBOTTENS LÄN</t>
        </is>
      </c>
      <c r="E8971" t="inlineStr">
        <is>
          <t>SKELLEFTEÅ</t>
        </is>
      </c>
      <c r="G8971" t="n">
        <v>0.8</v>
      </c>
      <c r="H8971" t="n">
        <v>0</v>
      </c>
      <c r="I8971" t="n">
        <v>0</v>
      </c>
      <c r="J8971" t="n">
        <v>0</v>
      </c>
      <c r="K8971" t="n">
        <v>0</v>
      </c>
      <c r="L8971" t="n">
        <v>0</v>
      </c>
      <c r="M8971" t="n">
        <v>0</v>
      </c>
      <c r="N8971" t="n">
        <v>0</v>
      </c>
      <c r="O8971" t="n">
        <v>0</v>
      </c>
      <c r="P8971" t="n">
        <v>0</v>
      </c>
      <c r="Q8971" t="n">
        <v>0</v>
      </c>
      <c r="R8971" s="2" t="inlineStr"/>
    </row>
    <row r="8972" ht="15" customHeight="1">
      <c r="A8972" t="inlineStr">
        <is>
          <t>A 4689-2026</t>
        </is>
      </c>
      <c r="B8972" s="1" t="n">
        <v>46048.43972222223</v>
      </c>
      <c r="C8972" s="1" t="n">
        <v>46075</v>
      </c>
      <c r="D8972" t="inlineStr">
        <is>
          <t>VÄSTERBOTTENS LÄN</t>
        </is>
      </c>
      <c r="E8972" t="inlineStr">
        <is>
          <t>VILHELMINA</t>
        </is>
      </c>
      <c r="G8972" t="n">
        <v>3.5</v>
      </c>
      <c r="H8972" t="n">
        <v>0</v>
      </c>
      <c r="I8972" t="n">
        <v>0</v>
      </c>
      <c r="J8972" t="n">
        <v>0</v>
      </c>
      <c r="K8972" t="n">
        <v>0</v>
      </c>
      <c r="L8972" t="n">
        <v>0</v>
      </c>
      <c r="M8972" t="n">
        <v>0</v>
      </c>
      <c r="N8972" t="n">
        <v>0</v>
      </c>
      <c r="O8972" t="n">
        <v>0</v>
      </c>
      <c r="P8972" t="n">
        <v>0</v>
      </c>
      <c r="Q8972" t="n">
        <v>0</v>
      </c>
      <c r="R8972" s="2" t="inlineStr"/>
    </row>
    <row r="8973" ht="15" customHeight="1">
      <c r="A8973" t="inlineStr">
        <is>
          <t>A 24583-2022</t>
        </is>
      </c>
      <c r="B8973" s="1" t="n">
        <v>44727</v>
      </c>
      <c r="C8973" s="1" t="n">
        <v>46075</v>
      </c>
      <c r="D8973" t="inlineStr">
        <is>
          <t>VÄSTERBOTTENS LÄN</t>
        </is>
      </c>
      <c r="E8973" t="inlineStr">
        <is>
          <t>SKELLEFTEÅ</t>
        </is>
      </c>
      <c r="G8973" t="n">
        <v>0.2</v>
      </c>
      <c r="H8973" t="n">
        <v>0</v>
      </c>
      <c r="I8973" t="n">
        <v>0</v>
      </c>
      <c r="J8973" t="n">
        <v>0</v>
      </c>
      <c r="K8973" t="n">
        <v>0</v>
      </c>
      <c r="L8973" t="n">
        <v>0</v>
      </c>
      <c r="M8973" t="n">
        <v>0</v>
      </c>
      <c r="N8973" t="n">
        <v>0</v>
      </c>
      <c r="O8973" t="n">
        <v>0</v>
      </c>
      <c r="P8973" t="n">
        <v>0</v>
      </c>
      <c r="Q8973" t="n">
        <v>0</v>
      </c>
      <c r="R8973" s="2" t="inlineStr"/>
    </row>
    <row r="8974" ht="15" customHeight="1">
      <c r="A8974" t="inlineStr">
        <is>
          <t>A 56806-2024</t>
        </is>
      </c>
      <c r="B8974" s="1" t="n">
        <v>45628.47483796296</v>
      </c>
      <c r="C8974" s="1" t="n">
        <v>46075</v>
      </c>
      <c r="D8974" t="inlineStr">
        <is>
          <t>VÄSTERBOTTENS LÄN</t>
        </is>
      </c>
      <c r="E8974" t="inlineStr">
        <is>
          <t>SKELLEFTEÅ</t>
        </is>
      </c>
      <c r="F8974" t="inlineStr">
        <is>
          <t>Holmen skog AB</t>
        </is>
      </c>
      <c r="G8974" t="n">
        <v>6.2</v>
      </c>
      <c r="H8974" t="n">
        <v>0</v>
      </c>
      <c r="I8974" t="n">
        <v>0</v>
      </c>
      <c r="J8974" t="n">
        <v>0</v>
      </c>
      <c r="K8974" t="n">
        <v>0</v>
      </c>
      <c r="L8974" t="n">
        <v>0</v>
      </c>
      <c r="M8974" t="n">
        <v>0</v>
      </c>
      <c r="N8974" t="n">
        <v>0</v>
      </c>
      <c r="O8974" t="n">
        <v>0</v>
      </c>
      <c r="P8974" t="n">
        <v>0</v>
      </c>
      <c r="Q8974" t="n">
        <v>0</v>
      </c>
      <c r="R8974" s="2" t="inlineStr"/>
    </row>
    <row r="8975" ht="15" customHeight="1">
      <c r="A8975" t="inlineStr">
        <is>
          <t>A 56821-2024</t>
        </is>
      </c>
      <c r="B8975" s="1" t="n">
        <v>45628.48769675926</v>
      </c>
      <c r="C8975" s="1" t="n">
        <v>46075</v>
      </c>
      <c r="D8975" t="inlineStr">
        <is>
          <t>VÄSTERBOTTENS LÄN</t>
        </is>
      </c>
      <c r="E8975" t="inlineStr">
        <is>
          <t>VINDELN</t>
        </is>
      </c>
      <c r="G8975" t="n">
        <v>6.2</v>
      </c>
      <c r="H8975" t="n">
        <v>0</v>
      </c>
      <c r="I8975" t="n">
        <v>0</v>
      </c>
      <c r="J8975" t="n">
        <v>0</v>
      </c>
      <c r="K8975" t="n">
        <v>0</v>
      </c>
      <c r="L8975" t="n">
        <v>0</v>
      </c>
      <c r="M8975" t="n">
        <v>0</v>
      </c>
      <c r="N8975" t="n">
        <v>0</v>
      </c>
      <c r="O8975" t="n">
        <v>0</v>
      </c>
      <c r="P8975" t="n">
        <v>0</v>
      </c>
      <c r="Q8975" t="n">
        <v>0</v>
      </c>
      <c r="R8975" s="2" t="inlineStr"/>
    </row>
    <row r="8976" ht="15" customHeight="1">
      <c r="A8976" t="inlineStr">
        <is>
          <t>A 56965-2024</t>
        </is>
      </c>
      <c r="B8976" s="1" t="n">
        <v>45628.65949074074</v>
      </c>
      <c r="C8976" s="1" t="n">
        <v>46075</v>
      </c>
      <c r="D8976" t="inlineStr">
        <is>
          <t>VÄSTERBOTTENS LÄN</t>
        </is>
      </c>
      <c r="E8976" t="inlineStr">
        <is>
          <t>SKELLEFTEÅ</t>
        </is>
      </c>
      <c r="F8976" t="inlineStr">
        <is>
          <t>Holmen skog AB</t>
        </is>
      </c>
      <c r="G8976" t="n">
        <v>1.2</v>
      </c>
      <c r="H8976" t="n">
        <v>0</v>
      </c>
      <c r="I8976" t="n">
        <v>0</v>
      </c>
      <c r="J8976" t="n">
        <v>0</v>
      </c>
      <c r="K8976" t="n">
        <v>0</v>
      </c>
      <c r="L8976" t="n">
        <v>0</v>
      </c>
      <c r="M8976" t="n">
        <v>0</v>
      </c>
      <c r="N8976" t="n">
        <v>0</v>
      </c>
      <c r="O8976" t="n">
        <v>0</v>
      </c>
      <c r="P8976" t="n">
        <v>0</v>
      </c>
      <c r="Q8976" t="n">
        <v>0</v>
      </c>
      <c r="R8976" s="2" t="inlineStr"/>
    </row>
    <row r="8977" ht="15" customHeight="1">
      <c r="A8977" t="inlineStr">
        <is>
          <t>A 62124-2025</t>
        </is>
      </c>
      <c r="B8977" s="1" t="n">
        <v>46006.44425925926</v>
      </c>
      <c r="C8977" s="1" t="n">
        <v>46075</v>
      </c>
      <c r="D8977" t="inlineStr">
        <is>
          <t>VÄSTERBOTTENS LÄN</t>
        </is>
      </c>
      <c r="E8977" t="inlineStr">
        <is>
          <t>SKELLEFTEÅ</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62516-2025</t>
        </is>
      </c>
      <c r="B8978" s="1" t="n">
        <v>46007.60645833334</v>
      </c>
      <c r="C8978" s="1" t="n">
        <v>46075</v>
      </c>
      <c r="D8978" t="inlineStr">
        <is>
          <t>VÄSTERBOTTENS LÄN</t>
        </is>
      </c>
      <c r="E8978" t="inlineStr">
        <is>
          <t>UMEÅ</t>
        </is>
      </c>
      <c r="F8978" t="inlineStr">
        <is>
          <t>Kommuner</t>
        </is>
      </c>
      <c r="G8978" t="n">
        <v>1.4</v>
      </c>
      <c r="H8978" t="n">
        <v>0</v>
      </c>
      <c r="I8978" t="n">
        <v>0</v>
      </c>
      <c r="J8978" t="n">
        <v>0</v>
      </c>
      <c r="K8978" t="n">
        <v>0</v>
      </c>
      <c r="L8978" t="n">
        <v>0</v>
      </c>
      <c r="M8978" t="n">
        <v>0</v>
      </c>
      <c r="N8978" t="n">
        <v>0</v>
      </c>
      <c r="O8978" t="n">
        <v>0</v>
      </c>
      <c r="P8978" t="n">
        <v>0</v>
      </c>
      <c r="Q8978" t="n">
        <v>0</v>
      </c>
      <c r="R8978" s="2" t="inlineStr"/>
    </row>
    <row r="8979" ht="15" customHeight="1">
      <c r="A8979" t="inlineStr">
        <is>
          <t>A 15986-2023</t>
        </is>
      </c>
      <c r="B8979" s="1" t="n">
        <v>45022.94265046297</v>
      </c>
      <c r="C8979" s="1" t="n">
        <v>46075</v>
      </c>
      <c r="D8979" t="inlineStr">
        <is>
          <t>VÄSTERBOTTENS LÄN</t>
        </is>
      </c>
      <c r="E8979" t="inlineStr">
        <is>
          <t>NORDMALING</t>
        </is>
      </c>
      <c r="F8979" t="inlineStr">
        <is>
          <t>SCA</t>
        </is>
      </c>
      <c r="G8979" t="n">
        <v>3.2</v>
      </c>
      <c r="H8979" t="n">
        <v>0</v>
      </c>
      <c r="I8979" t="n">
        <v>0</v>
      </c>
      <c r="J8979" t="n">
        <v>0</v>
      </c>
      <c r="K8979" t="n">
        <v>0</v>
      </c>
      <c r="L8979" t="n">
        <v>0</v>
      </c>
      <c r="M8979" t="n">
        <v>0</v>
      </c>
      <c r="N8979" t="n">
        <v>0</v>
      </c>
      <c r="O8979" t="n">
        <v>0</v>
      </c>
      <c r="P8979" t="n">
        <v>0</v>
      </c>
      <c r="Q8979" t="n">
        <v>0</v>
      </c>
      <c r="R8979" s="2" t="inlineStr"/>
    </row>
    <row r="8980" ht="15" customHeight="1">
      <c r="A8980" t="inlineStr">
        <is>
          <t>A 34550-2023</t>
        </is>
      </c>
      <c r="B8980" s="1" t="n">
        <v>45140.49451388889</v>
      </c>
      <c r="C8980" s="1" t="n">
        <v>46075</v>
      </c>
      <c r="D8980" t="inlineStr">
        <is>
          <t>VÄSTERBOTTENS LÄN</t>
        </is>
      </c>
      <c r="E8980" t="inlineStr">
        <is>
          <t>UMEÅ</t>
        </is>
      </c>
      <c r="F8980" t="inlineStr">
        <is>
          <t>Holmen skog AB</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34567-2023</t>
        </is>
      </c>
      <c r="B8981" s="1" t="n">
        <v>45140</v>
      </c>
      <c r="C8981" s="1" t="n">
        <v>46075</v>
      </c>
      <c r="D8981" t="inlineStr">
        <is>
          <t>VÄSTERBOTTENS LÄN</t>
        </is>
      </c>
      <c r="E8981" t="inlineStr">
        <is>
          <t>LYCKSELE</t>
        </is>
      </c>
      <c r="F8981" t="inlineStr">
        <is>
          <t>Sveaskog</t>
        </is>
      </c>
      <c r="G8981" t="n">
        <v>1.3</v>
      </c>
      <c r="H8981" t="n">
        <v>0</v>
      </c>
      <c r="I8981" t="n">
        <v>0</v>
      </c>
      <c r="J8981" t="n">
        <v>0</v>
      </c>
      <c r="K8981" t="n">
        <v>0</v>
      </c>
      <c r="L8981" t="n">
        <v>0</v>
      </c>
      <c r="M8981" t="n">
        <v>0</v>
      </c>
      <c r="N8981" t="n">
        <v>0</v>
      </c>
      <c r="O8981" t="n">
        <v>0</v>
      </c>
      <c r="P8981" t="n">
        <v>0</v>
      </c>
      <c r="Q8981" t="n">
        <v>0</v>
      </c>
      <c r="R8981" s="2" t="inlineStr"/>
    </row>
    <row r="8982" ht="15" customHeight="1">
      <c r="A8982" t="inlineStr">
        <is>
          <t>A 39670-2024</t>
        </is>
      </c>
      <c r="B8982" s="1" t="n">
        <v>45552.5315162037</v>
      </c>
      <c r="C8982" s="1" t="n">
        <v>46075</v>
      </c>
      <c r="D8982" t="inlineStr">
        <is>
          <t>VÄSTERBOTTENS LÄN</t>
        </is>
      </c>
      <c r="E8982" t="inlineStr">
        <is>
          <t>VILHELMINA</t>
        </is>
      </c>
      <c r="F8982" t="inlineStr">
        <is>
          <t>SCA</t>
        </is>
      </c>
      <c r="G8982" t="n">
        <v>3.9</v>
      </c>
      <c r="H8982" t="n">
        <v>0</v>
      </c>
      <c r="I8982" t="n">
        <v>0</v>
      </c>
      <c r="J8982" t="n">
        <v>0</v>
      </c>
      <c r="K8982" t="n">
        <v>0</v>
      </c>
      <c r="L8982" t="n">
        <v>0</v>
      </c>
      <c r="M8982" t="n">
        <v>0</v>
      </c>
      <c r="N8982" t="n">
        <v>0</v>
      </c>
      <c r="O8982" t="n">
        <v>0</v>
      </c>
      <c r="P8982" t="n">
        <v>0</v>
      </c>
      <c r="Q8982" t="n">
        <v>0</v>
      </c>
      <c r="R8982" s="2" t="inlineStr"/>
    </row>
    <row r="8983" ht="15" customHeight="1">
      <c r="A8983" t="inlineStr">
        <is>
          <t>A 46968-2024</t>
        </is>
      </c>
      <c r="B8983" s="1" t="n">
        <v>45586</v>
      </c>
      <c r="C8983" s="1" t="n">
        <v>46075</v>
      </c>
      <c r="D8983" t="inlineStr">
        <is>
          <t>VÄSTERBOTTENS LÄN</t>
        </is>
      </c>
      <c r="E8983" t="inlineStr">
        <is>
          <t>SKELLEFTEÅ</t>
        </is>
      </c>
      <c r="F8983" t="inlineStr">
        <is>
          <t>Sveaskog</t>
        </is>
      </c>
      <c r="G8983" t="n">
        <v>9</v>
      </c>
      <c r="H8983" t="n">
        <v>0</v>
      </c>
      <c r="I8983" t="n">
        <v>0</v>
      </c>
      <c r="J8983" t="n">
        <v>0</v>
      </c>
      <c r="K8983" t="n">
        <v>0</v>
      </c>
      <c r="L8983" t="n">
        <v>0</v>
      </c>
      <c r="M8983" t="n">
        <v>0</v>
      </c>
      <c r="N8983" t="n">
        <v>0</v>
      </c>
      <c r="O8983" t="n">
        <v>0</v>
      </c>
      <c r="P8983" t="n">
        <v>0</v>
      </c>
      <c r="Q8983" t="n">
        <v>0</v>
      </c>
      <c r="R8983" s="2" t="inlineStr"/>
    </row>
    <row r="8984" ht="15" customHeight="1">
      <c r="A8984" t="inlineStr">
        <is>
          <t>A 4870-2026</t>
        </is>
      </c>
      <c r="B8984" s="1" t="n">
        <v>46048.6465625</v>
      </c>
      <c r="C8984" s="1" t="n">
        <v>46075</v>
      </c>
      <c r="D8984" t="inlineStr">
        <is>
          <t>VÄSTERBOTTENS LÄN</t>
        </is>
      </c>
      <c r="E8984" t="inlineStr">
        <is>
          <t>VÄNNÄS</t>
        </is>
      </c>
      <c r="G8984" t="n">
        <v>2.4</v>
      </c>
      <c r="H8984" t="n">
        <v>0</v>
      </c>
      <c r="I8984" t="n">
        <v>0</v>
      </c>
      <c r="J8984" t="n">
        <v>0</v>
      </c>
      <c r="K8984" t="n">
        <v>0</v>
      </c>
      <c r="L8984" t="n">
        <v>0</v>
      </c>
      <c r="M8984" t="n">
        <v>0</v>
      </c>
      <c r="N8984" t="n">
        <v>0</v>
      </c>
      <c r="O8984" t="n">
        <v>0</v>
      </c>
      <c r="P8984" t="n">
        <v>0</v>
      </c>
      <c r="Q8984" t="n">
        <v>0</v>
      </c>
      <c r="R8984" s="2" t="inlineStr"/>
    </row>
    <row r="8985" ht="15" customHeight="1">
      <c r="A8985" t="inlineStr">
        <is>
          <t>A 39721-2024</t>
        </is>
      </c>
      <c r="B8985" s="1" t="n">
        <v>45552</v>
      </c>
      <c r="C8985" s="1" t="n">
        <v>46075</v>
      </c>
      <c r="D8985" t="inlineStr">
        <is>
          <t>VÄSTERBOTTENS LÄN</t>
        </is>
      </c>
      <c r="E8985" t="inlineStr">
        <is>
          <t>DOROTEA</t>
        </is>
      </c>
      <c r="F8985" t="inlineStr">
        <is>
          <t>SCA</t>
        </is>
      </c>
      <c r="G8985" t="n">
        <v>2.2</v>
      </c>
      <c r="H8985" t="n">
        <v>0</v>
      </c>
      <c r="I8985" t="n">
        <v>0</v>
      </c>
      <c r="J8985" t="n">
        <v>0</v>
      </c>
      <c r="K8985" t="n">
        <v>0</v>
      </c>
      <c r="L8985" t="n">
        <v>0</v>
      </c>
      <c r="M8985" t="n">
        <v>0</v>
      </c>
      <c r="N8985" t="n">
        <v>0</v>
      </c>
      <c r="O8985" t="n">
        <v>0</v>
      </c>
      <c r="P8985" t="n">
        <v>0</v>
      </c>
      <c r="Q8985" t="n">
        <v>0</v>
      </c>
      <c r="R8985" s="2" t="inlineStr"/>
    </row>
    <row r="8986" ht="15" customHeight="1">
      <c r="A8986" t="inlineStr">
        <is>
          <t>A 25512-2021</t>
        </is>
      </c>
      <c r="B8986" s="1" t="n">
        <v>44342</v>
      </c>
      <c r="C8986" s="1" t="n">
        <v>46075</v>
      </c>
      <c r="D8986" t="inlineStr">
        <is>
          <t>VÄSTERBOTTENS LÄN</t>
        </is>
      </c>
      <c r="E8986" t="inlineStr">
        <is>
          <t>SKELLEFTEÅ</t>
        </is>
      </c>
      <c r="F8986" t="inlineStr">
        <is>
          <t>SCA</t>
        </is>
      </c>
      <c r="G8986" t="n">
        <v>6.4</v>
      </c>
      <c r="H8986" t="n">
        <v>0</v>
      </c>
      <c r="I8986" t="n">
        <v>0</v>
      </c>
      <c r="J8986" t="n">
        <v>0</v>
      </c>
      <c r="K8986" t="n">
        <v>0</v>
      </c>
      <c r="L8986" t="n">
        <v>0</v>
      </c>
      <c r="M8986" t="n">
        <v>0</v>
      </c>
      <c r="N8986" t="n">
        <v>0</v>
      </c>
      <c r="O8986" t="n">
        <v>0</v>
      </c>
      <c r="P8986" t="n">
        <v>0</v>
      </c>
      <c r="Q8986" t="n">
        <v>0</v>
      </c>
      <c r="R8986" s="2" t="inlineStr"/>
    </row>
    <row r="8987" ht="15" customHeight="1">
      <c r="A8987" t="inlineStr">
        <is>
          <t>A 62208-2025</t>
        </is>
      </c>
      <c r="B8987" s="1" t="n">
        <v>46006.56528935185</v>
      </c>
      <c r="C8987" s="1" t="n">
        <v>46075</v>
      </c>
      <c r="D8987" t="inlineStr">
        <is>
          <t>VÄSTERBOTTENS LÄN</t>
        </is>
      </c>
      <c r="E8987" t="inlineStr">
        <is>
          <t>UMEÅ</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62231-2025</t>
        </is>
      </c>
      <c r="B8988" s="1" t="n">
        <v>46006.59229166667</v>
      </c>
      <c r="C8988" s="1" t="n">
        <v>46075</v>
      </c>
      <c r="D8988" t="inlineStr">
        <is>
          <t>VÄSTERBOTTENS LÄN</t>
        </is>
      </c>
      <c r="E8988" t="inlineStr">
        <is>
          <t>UMEÅ</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62269-2025</t>
        </is>
      </c>
      <c r="B8989" s="1" t="n">
        <v>46006.6196412037</v>
      </c>
      <c r="C8989" s="1" t="n">
        <v>46075</v>
      </c>
      <c r="D8989" t="inlineStr">
        <is>
          <t>VÄSTERBOTTENS LÄN</t>
        </is>
      </c>
      <c r="E8989" t="inlineStr">
        <is>
          <t>UMEÅ</t>
        </is>
      </c>
      <c r="F8989" t="inlineStr">
        <is>
          <t>Holmen skog AB</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62309-2025</t>
        </is>
      </c>
      <c r="B8990" s="1" t="n">
        <v>46006.67302083333</v>
      </c>
      <c r="C8990" s="1" t="n">
        <v>46075</v>
      </c>
      <c r="D8990" t="inlineStr">
        <is>
          <t>VÄSTERBOTTENS LÄN</t>
        </is>
      </c>
      <c r="E8990" t="inlineStr">
        <is>
          <t>ÅSELE</t>
        </is>
      </c>
      <c r="F8990" t="inlineStr">
        <is>
          <t>Naturvårdsverket</t>
        </is>
      </c>
      <c r="G8990" t="n">
        <v>4.5</v>
      </c>
      <c r="H8990" t="n">
        <v>0</v>
      </c>
      <c r="I8990" t="n">
        <v>0</v>
      </c>
      <c r="J8990" t="n">
        <v>0</v>
      </c>
      <c r="K8990" t="n">
        <v>0</v>
      </c>
      <c r="L8990" t="n">
        <v>0</v>
      </c>
      <c r="M8990" t="n">
        <v>0</v>
      </c>
      <c r="N8990" t="n">
        <v>0</v>
      </c>
      <c r="O8990" t="n">
        <v>0</v>
      </c>
      <c r="P8990" t="n">
        <v>0</v>
      </c>
      <c r="Q8990" t="n">
        <v>0</v>
      </c>
      <c r="R8990" s="2" t="inlineStr"/>
    </row>
    <row r="8991" ht="15" customHeight="1">
      <c r="A8991" t="inlineStr">
        <is>
          <t>A 19765-2025</t>
        </is>
      </c>
      <c r="B8991" s="1" t="n">
        <v>45771.4071875</v>
      </c>
      <c r="C8991" s="1" t="n">
        <v>46075</v>
      </c>
      <c r="D8991" t="inlineStr">
        <is>
          <t>VÄSTERBOTTENS LÄN</t>
        </is>
      </c>
      <c r="E8991" t="inlineStr">
        <is>
          <t>SKELLEFTEÅ</t>
        </is>
      </c>
      <c r="G8991" t="n">
        <v>2.3</v>
      </c>
      <c r="H8991" t="n">
        <v>0</v>
      </c>
      <c r="I8991" t="n">
        <v>0</v>
      </c>
      <c r="J8991" t="n">
        <v>0</v>
      </c>
      <c r="K8991" t="n">
        <v>0</v>
      </c>
      <c r="L8991" t="n">
        <v>0</v>
      </c>
      <c r="M8991" t="n">
        <v>0</v>
      </c>
      <c r="N8991" t="n">
        <v>0</v>
      </c>
      <c r="O8991" t="n">
        <v>0</v>
      </c>
      <c r="P8991" t="n">
        <v>0</v>
      </c>
      <c r="Q8991" t="n">
        <v>0</v>
      </c>
      <c r="R8991" s="2" t="inlineStr"/>
    </row>
    <row r="8992" ht="15" customHeight="1">
      <c r="A8992" t="inlineStr">
        <is>
          <t>A 19779-2025</t>
        </is>
      </c>
      <c r="B8992" s="1" t="n">
        <v>45771.42736111111</v>
      </c>
      <c r="C8992" s="1" t="n">
        <v>46075</v>
      </c>
      <c r="D8992" t="inlineStr">
        <is>
          <t>VÄSTERBOTTENS LÄN</t>
        </is>
      </c>
      <c r="E8992" t="inlineStr">
        <is>
          <t>SKELLEFTEÅ</t>
        </is>
      </c>
      <c r="G8992" t="n">
        <v>7.8</v>
      </c>
      <c r="H8992" t="n">
        <v>0</v>
      </c>
      <c r="I8992" t="n">
        <v>0</v>
      </c>
      <c r="J8992" t="n">
        <v>0</v>
      </c>
      <c r="K8992" t="n">
        <v>0</v>
      </c>
      <c r="L8992" t="n">
        <v>0</v>
      </c>
      <c r="M8992" t="n">
        <v>0</v>
      </c>
      <c r="N8992" t="n">
        <v>0</v>
      </c>
      <c r="O8992" t="n">
        <v>0</v>
      </c>
      <c r="P8992" t="n">
        <v>0</v>
      </c>
      <c r="Q8992" t="n">
        <v>0</v>
      </c>
      <c r="R8992" s="2" t="inlineStr"/>
    </row>
    <row r="8993" ht="15" customHeight="1">
      <c r="A8993" t="inlineStr">
        <is>
          <t>A 28710-2022</t>
        </is>
      </c>
      <c r="B8993" s="1" t="n">
        <v>44748.92878472222</v>
      </c>
      <c r="C8993" s="1" t="n">
        <v>46075</v>
      </c>
      <c r="D8993" t="inlineStr">
        <is>
          <t>VÄSTERBOTTENS LÄN</t>
        </is>
      </c>
      <c r="E8993" t="inlineStr">
        <is>
          <t>STORUMAN</t>
        </is>
      </c>
      <c r="G8993" t="n">
        <v>5.9</v>
      </c>
      <c r="H8993" t="n">
        <v>0</v>
      </c>
      <c r="I8993" t="n">
        <v>0</v>
      </c>
      <c r="J8993" t="n">
        <v>0</v>
      </c>
      <c r="K8993" t="n">
        <v>0</v>
      </c>
      <c r="L8993" t="n">
        <v>0</v>
      </c>
      <c r="M8993" t="n">
        <v>0</v>
      </c>
      <c r="N8993" t="n">
        <v>0</v>
      </c>
      <c r="O8993" t="n">
        <v>0</v>
      </c>
      <c r="P8993" t="n">
        <v>0</v>
      </c>
      <c r="Q8993" t="n">
        <v>0</v>
      </c>
      <c r="R8993" s="2" t="inlineStr"/>
    </row>
    <row r="8994" ht="15" customHeight="1">
      <c r="A8994" t="inlineStr">
        <is>
          <t>A 4554-2026</t>
        </is>
      </c>
      <c r="B8994" s="1" t="n">
        <v>46047.59396990741</v>
      </c>
      <c r="C8994" s="1" t="n">
        <v>46075</v>
      </c>
      <c r="D8994" t="inlineStr">
        <is>
          <t>VÄSTERBOTTENS LÄN</t>
        </is>
      </c>
      <c r="E8994" t="inlineStr">
        <is>
          <t>DOROTEA</t>
        </is>
      </c>
      <c r="G8994" t="n">
        <v>6.1</v>
      </c>
      <c r="H8994" t="n">
        <v>0</v>
      </c>
      <c r="I8994" t="n">
        <v>0</v>
      </c>
      <c r="J8994" t="n">
        <v>0</v>
      </c>
      <c r="K8994" t="n">
        <v>0</v>
      </c>
      <c r="L8994" t="n">
        <v>0</v>
      </c>
      <c r="M8994" t="n">
        <v>0</v>
      </c>
      <c r="N8994" t="n">
        <v>0</v>
      </c>
      <c r="O8994" t="n">
        <v>0</v>
      </c>
      <c r="P8994" t="n">
        <v>0</v>
      </c>
      <c r="Q8994" t="n">
        <v>0</v>
      </c>
      <c r="R8994" s="2" t="inlineStr"/>
    </row>
    <row r="8995" ht="15" customHeight="1">
      <c r="A8995" t="inlineStr">
        <is>
          <t>A 62364-2025</t>
        </is>
      </c>
      <c r="B8995" s="1" t="n">
        <v>46007.32546296297</v>
      </c>
      <c r="C8995" s="1" t="n">
        <v>46075</v>
      </c>
      <c r="D8995" t="inlineStr">
        <is>
          <t>VÄSTERBOTTENS LÄN</t>
        </is>
      </c>
      <c r="E8995" t="inlineStr">
        <is>
          <t>ÅSELE</t>
        </is>
      </c>
      <c r="F8995" t="inlineStr">
        <is>
          <t>Sveaskog</t>
        </is>
      </c>
      <c r="G8995" t="n">
        <v>3.8</v>
      </c>
      <c r="H8995" t="n">
        <v>0</v>
      </c>
      <c r="I8995" t="n">
        <v>0</v>
      </c>
      <c r="J8995" t="n">
        <v>0</v>
      </c>
      <c r="K8995" t="n">
        <v>0</v>
      </c>
      <c r="L8995" t="n">
        <v>0</v>
      </c>
      <c r="M8995" t="n">
        <v>0</v>
      </c>
      <c r="N8995" t="n">
        <v>0</v>
      </c>
      <c r="O8995" t="n">
        <v>0</v>
      </c>
      <c r="P8995" t="n">
        <v>0</v>
      </c>
      <c r="Q8995" t="n">
        <v>0</v>
      </c>
      <c r="R8995" s="2" t="inlineStr"/>
    </row>
    <row r="8996" ht="15" customHeight="1">
      <c r="A8996" t="inlineStr">
        <is>
          <t>A 19831-2025</t>
        </is>
      </c>
      <c r="B8996" s="1" t="n">
        <v>45771.46961805555</v>
      </c>
      <c r="C8996" s="1" t="n">
        <v>46075</v>
      </c>
      <c r="D8996" t="inlineStr">
        <is>
          <t>VÄSTERBOTTENS LÄN</t>
        </is>
      </c>
      <c r="E8996" t="inlineStr">
        <is>
          <t>UMEÅ</t>
        </is>
      </c>
      <c r="G8996" t="n">
        <v>1.5</v>
      </c>
      <c r="H8996" t="n">
        <v>0</v>
      </c>
      <c r="I8996" t="n">
        <v>0</v>
      </c>
      <c r="J8996" t="n">
        <v>0</v>
      </c>
      <c r="K8996" t="n">
        <v>0</v>
      </c>
      <c r="L8996" t="n">
        <v>0</v>
      </c>
      <c r="M8996" t="n">
        <v>0</v>
      </c>
      <c r="N8996" t="n">
        <v>0</v>
      </c>
      <c r="O8996" t="n">
        <v>0</v>
      </c>
      <c r="P8996" t="n">
        <v>0</v>
      </c>
      <c r="Q8996" t="n">
        <v>0</v>
      </c>
      <c r="R8996" s="2" t="inlineStr"/>
    </row>
    <row r="8997" ht="15" customHeight="1">
      <c r="A8997" t="inlineStr">
        <is>
          <t>A 4914-2026</t>
        </is>
      </c>
      <c r="B8997" s="1" t="n">
        <v>46048.73274305555</v>
      </c>
      <c r="C8997" s="1" t="n">
        <v>46075</v>
      </c>
      <c r="D8997" t="inlineStr">
        <is>
          <t>VÄSTERBOTTENS LÄN</t>
        </is>
      </c>
      <c r="E8997" t="inlineStr">
        <is>
          <t>UMEÅ</t>
        </is>
      </c>
      <c r="G8997" t="n">
        <v>1.2</v>
      </c>
      <c r="H8997" t="n">
        <v>0</v>
      </c>
      <c r="I8997" t="n">
        <v>0</v>
      </c>
      <c r="J8997" t="n">
        <v>0</v>
      </c>
      <c r="K8997" t="n">
        <v>0</v>
      </c>
      <c r="L8997" t="n">
        <v>0</v>
      </c>
      <c r="M8997" t="n">
        <v>0</v>
      </c>
      <c r="N8997" t="n">
        <v>0</v>
      </c>
      <c r="O8997" t="n">
        <v>0</v>
      </c>
      <c r="P8997" t="n">
        <v>0</v>
      </c>
      <c r="Q8997" t="n">
        <v>0</v>
      </c>
      <c r="R8997" s="2" t="inlineStr"/>
    </row>
    <row r="8998" ht="15" customHeight="1">
      <c r="A8998" t="inlineStr">
        <is>
          <t>A 39851-2023</t>
        </is>
      </c>
      <c r="B8998" s="1" t="n">
        <v>45166</v>
      </c>
      <c r="C8998" s="1" t="n">
        <v>46075</v>
      </c>
      <c r="D8998" t="inlineStr">
        <is>
          <t>VÄSTERBOTTENS LÄN</t>
        </is>
      </c>
      <c r="E8998" t="inlineStr">
        <is>
          <t>NORDMALING</t>
        </is>
      </c>
      <c r="G8998" t="n">
        <v>2.2</v>
      </c>
      <c r="H8998" t="n">
        <v>0</v>
      </c>
      <c r="I8998" t="n">
        <v>0</v>
      </c>
      <c r="J8998" t="n">
        <v>0</v>
      </c>
      <c r="K8998" t="n">
        <v>0</v>
      </c>
      <c r="L8998" t="n">
        <v>0</v>
      </c>
      <c r="M8998" t="n">
        <v>0</v>
      </c>
      <c r="N8998" t="n">
        <v>0</v>
      </c>
      <c r="O8998" t="n">
        <v>0</v>
      </c>
      <c r="P8998" t="n">
        <v>0</v>
      </c>
      <c r="Q8998" t="n">
        <v>0</v>
      </c>
      <c r="R8998" s="2" t="inlineStr"/>
    </row>
    <row r="8999" ht="15" customHeight="1">
      <c r="A8999" t="inlineStr">
        <is>
          <t>A 5011-2026</t>
        </is>
      </c>
      <c r="B8999" s="1" t="n">
        <v>46049.43063657408</v>
      </c>
      <c r="C8999" s="1" t="n">
        <v>46075</v>
      </c>
      <c r="D8999" t="inlineStr">
        <is>
          <t>VÄSTERBOTTENS LÄN</t>
        </is>
      </c>
      <c r="E8999" t="inlineStr">
        <is>
          <t>UMEÅ</t>
        </is>
      </c>
      <c r="G8999" t="n">
        <v>2.3</v>
      </c>
      <c r="H8999" t="n">
        <v>0</v>
      </c>
      <c r="I8999" t="n">
        <v>0</v>
      </c>
      <c r="J8999" t="n">
        <v>0</v>
      </c>
      <c r="K8999" t="n">
        <v>0</v>
      </c>
      <c r="L8999" t="n">
        <v>0</v>
      </c>
      <c r="M8999" t="n">
        <v>0</v>
      </c>
      <c r="N8999" t="n">
        <v>0</v>
      </c>
      <c r="O8999" t="n">
        <v>0</v>
      </c>
      <c r="P8999" t="n">
        <v>0</v>
      </c>
      <c r="Q8999" t="n">
        <v>0</v>
      </c>
      <c r="R8999" s="2" t="inlineStr"/>
    </row>
    <row r="9000" ht="15" customHeight="1">
      <c r="A9000" t="inlineStr">
        <is>
          <t>A 5014-2026</t>
        </is>
      </c>
      <c r="B9000" s="1" t="n">
        <v>46049.43175925926</v>
      </c>
      <c r="C9000" s="1" t="n">
        <v>46075</v>
      </c>
      <c r="D9000" t="inlineStr">
        <is>
          <t>VÄSTERBOTTENS LÄN</t>
        </is>
      </c>
      <c r="E9000" t="inlineStr">
        <is>
          <t>NORDMALING</t>
        </is>
      </c>
      <c r="G9000" t="n">
        <v>1.6</v>
      </c>
      <c r="H9000" t="n">
        <v>0</v>
      </c>
      <c r="I9000" t="n">
        <v>0</v>
      </c>
      <c r="J9000" t="n">
        <v>0</v>
      </c>
      <c r="K9000" t="n">
        <v>0</v>
      </c>
      <c r="L9000" t="n">
        <v>0</v>
      </c>
      <c r="M9000" t="n">
        <v>0</v>
      </c>
      <c r="N9000" t="n">
        <v>0</v>
      </c>
      <c r="O9000" t="n">
        <v>0</v>
      </c>
      <c r="P9000" t="n">
        <v>0</v>
      </c>
      <c r="Q9000" t="n">
        <v>0</v>
      </c>
      <c r="R9000" s="2" t="inlineStr"/>
    </row>
    <row r="9001" ht="15" customHeight="1">
      <c r="A9001" t="inlineStr">
        <is>
          <t>A 30900-2024</t>
        </is>
      </c>
      <c r="B9001" s="1" t="n">
        <v>45498</v>
      </c>
      <c r="C9001" s="1" t="n">
        <v>46075</v>
      </c>
      <c r="D9001" t="inlineStr">
        <is>
          <t>VÄSTERBOTTENS LÄN</t>
        </is>
      </c>
      <c r="E9001" t="inlineStr">
        <is>
          <t>SKELLEFTEÅ</t>
        </is>
      </c>
      <c r="G9001" t="n">
        <v>17.5</v>
      </c>
      <c r="H9001" t="n">
        <v>0</v>
      </c>
      <c r="I9001" t="n">
        <v>0</v>
      </c>
      <c r="J9001" t="n">
        <v>0</v>
      </c>
      <c r="K9001" t="n">
        <v>0</v>
      </c>
      <c r="L9001" t="n">
        <v>0</v>
      </c>
      <c r="M9001" t="n">
        <v>0</v>
      </c>
      <c r="N9001" t="n">
        <v>0</v>
      </c>
      <c r="O9001" t="n">
        <v>0</v>
      </c>
      <c r="P9001" t="n">
        <v>0</v>
      </c>
      <c r="Q9001" t="n">
        <v>0</v>
      </c>
      <c r="R9001" s="2" t="inlineStr"/>
    </row>
    <row r="9002" ht="15" customHeight="1">
      <c r="A9002" t="inlineStr">
        <is>
          <t>A 14384-2025</t>
        </is>
      </c>
      <c r="B9002" s="1" t="n">
        <v>45741.41962962963</v>
      </c>
      <c r="C9002" s="1" t="n">
        <v>46075</v>
      </c>
      <c r="D9002" t="inlineStr">
        <is>
          <t>VÄSTERBOTTENS LÄN</t>
        </is>
      </c>
      <c r="E9002" t="inlineStr">
        <is>
          <t>SKELLEFTEÅ</t>
        </is>
      </c>
      <c r="G9002" t="n">
        <v>1.7</v>
      </c>
      <c r="H9002" t="n">
        <v>0</v>
      </c>
      <c r="I9002" t="n">
        <v>0</v>
      </c>
      <c r="J9002" t="n">
        <v>0</v>
      </c>
      <c r="K9002" t="n">
        <v>0</v>
      </c>
      <c r="L9002" t="n">
        <v>0</v>
      </c>
      <c r="M9002" t="n">
        <v>0</v>
      </c>
      <c r="N9002" t="n">
        <v>0</v>
      </c>
      <c r="O9002" t="n">
        <v>0</v>
      </c>
      <c r="P9002" t="n">
        <v>0</v>
      </c>
      <c r="Q9002" t="n">
        <v>0</v>
      </c>
      <c r="R9002" s="2" t="inlineStr"/>
    </row>
    <row r="9003" ht="15" customHeight="1">
      <c r="A9003" t="inlineStr">
        <is>
          <t>A 14418-2025</t>
        </is>
      </c>
      <c r="B9003" s="1" t="n">
        <v>45741</v>
      </c>
      <c r="C9003" s="1" t="n">
        <v>46075</v>
      </c>
      <c r="D9003" t="inlineStr">
        <is>
          <t>VÄSTERBOTTENS LÄN</t>
        </is>
      </c>
      <c r="E9003" t="inlineStr">
        <is>
          <t>ROBERTSFORS</t>
        </is>
      </c>
      <c r="G9003" t="n">
        <v>3.5</v>
      </c>
      <c r="H9003" t="n">
        <v>0</v>
      </c>
      <c r="I9003" t="n">
        <v>0</v>
      </c>
      <c r="J9003" t="n">
        <v>0</v>
      </c>
      <c r="K9003" t="n">
        <v>0</v>
      </c>
      <c r="L9003" t="n">
        <v>0</v>
      </c>
      <c r="M9003" t="n">
        <v>0</v>
      </c>
      <c r="N9003" t="n">
        <v>0</v>
      </c>
      <c r="O9003" t="n">
        <v>0</v>
      </c>
      <c r="P9003" t="n">
        <v>0</v>
      </c>
      <c r="Q9003" t="n">
        <v>0</v>
      </c>
      <c r="R9003" s="2" t="inlineStr"/>
    </row>
    <row r="9004" ht="15" customHeight="1">
      <c r="A9004" t="inlineStr">
        <is>
          <t>A 14461-2025</t>
        </is>
      </c>
      <c r="B9004" s="1" t="n">
        <v>45741.56851851852</v>
      </c>
      <c r="C9004" s="1" t="n">
        <v>46075</v>
      </c>
      <c r="D9004" t="inlineStr">
        <is>
          <t>VÄSTERBOTTENS LÄN</t>
        </is>
      </c>
      <c r="E9004" t="inlineStr">
        <is>
          <t>MALÅ</t>
        </is>
      </c>
      <c r="G9004" t="n">
        <v>3.3</v>
      </c>
      <c r="H9004" t="n">
        <v>0</v>
      </c>
      <c r="I9004" t="n">
        <v>0</v>
      </c>
      <c r="J9004" t="n">
        <v>0</v>
      </c>
      <c r="K9004" t="n">
        <v>0</v>
      </c>
      <c r="L9004" t="n">
        <v>0</v>
      </c>
      <c r="M9004" t="n">
        <v>0</v>
      </c>
      <c r="N9004" t="n">
        <v>0</v>
      </c>
      <c r="O9004" t="n">
        <v>0</v>
      </c>
      <c r="P9004" t="n">
        <v>0</v>
      </c>
      <c r="Q9004" t="n">
        <v>0</v>
      </c>
      <c r="R9004" s="2" t="inlineStr"/>
    </row>
    <row r="9005" ht="15" customHeight="1">
      <c r="A9005" t="inlineStr">
        <is>
          <t>A 36070-2023</t>
        </is>
      </c>
      <c r="B9005" s="1" t="n">
        <v>45149</v>
      </c>
      <c r="C9005" s="1" t="n">
        <v>46075</v>
      </c>
      <c r="D9005" t="inlineStr">
        <is>
          <t>VÄSTERBOTTENS LÄN</t>
        </is>
      </c>
      <c r="E9005" t="inlineStr">
        <is>
          <t>ÅSELE</t>
        </is>
      </c>
      <c r="F9005" t="inlineStr">
        <is>
          <t>Holmen skog AB</t>
        </is>
      </c>
      <c r="G9005" t="n">
        <v>1</v>
      </c>
      <c r="H9005" t="n">
        <v>0</v>
      </c>
      <c r="I9005" t="n">
        <v>0</v>
      </c>
      <c r="J9005" t="n">
        <v>0</v>
      </c>
      <c r="K9005" t="n">
        <v>0</v>
      </c>
      <c r="L9005" t="n">
        <v>0</v>
      </c>
      <c r="M9005" t="n">
        <v>0</v>
      </c>
      <c r="N9005" t="n">
        <v>0</v>
      </c>
      <c r="O9005" t="n">
        <v>0</v>
      </c>
      <c r="P9005" t="n">
        <v>0</v>
      </c>
      <c r="Q9005" t="n">
        <v>0</v>
      </c>
      <c r="R9005" s="2" t="inlineStr"/>
    </row>
    <row r="9006" ht="15" customHeight="1">
      <c r="A9006" t="inlineStr">
        <is>
          <t>A 2894-2025</t>
        </is>
      </c>
      <c r="B9006" s="1" t="n">
        <v>45677</v>
      </c>
      <c r="C9006" s="1" t="n">
        <v>46075</v>
      </c>
      <c r="D9006" t="inlineStr">
        <is>
          <t>VÄSTERBOTTENS LÄN</t>
        </is>
      </c>
      <c r="E9006" t="inlineStr">
        <is>
          <t>ÅSELE</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23454-2024</t>
        </is>
      </c>
      <c r="B9007" s="1" t="n">
        <v>45453</v>
      </c>
      <c r="C9007" s="1" t="n">
        <v>46075</v>
      </c>
      <c r="D9007" t="inlineStr">
        <is>
          <t>VÄSTERBOTTENS LÄN</t>
        </is>
      </c>
      <c r="E9007" t="inlineStr">
        <is>
          <t>STORUMAN</t>
        </is>
      </c>
      <c r="F9007" t="inlineStr">
        <is>
          <t>Sveaskog</t>
        </is>
      </c>
      <c r="G9007" t="n">
        <v>26.6</v>
      </c>
      <c r="H9007" t="n">
        <v>0</v>
      </c>
      <c r="I9007" t="n">
        <v>0</v>
      </c>
      <c r="J9007" t="n">
        <v>0</v>
      </c>
      <c r="K9007" t="n">
        <v>0</v>
      </c>
      <c r="L9007" t="n">
        <v>0</v>
      </c>
      <c r="M9007" t="n">
        <v>0</v>
      </c>
      <c r="N9007" t="n">
        <v>0</v>
      </c>
      <c r="O9007" t="n">
        <v>0</v>
      </c>
      <c r="P9007" t="n">
        <v>0</v>
      </c>
      <c r="Q9007" t="n">
        <v>0</v>
      </c>
      <c r="R9007" s="2" t="inlineStr"/>
    </row>
    <row r="9008" ht="15" customHeight="1">
      <c r="A9008" t="inlineStr">
        <is>
          <t>A 5006-2026</t>
        </is>
      </c>
      <c r="B9008" s="1" t="n">
        <v>46049.42791666667</v>
      </c>
      <c r="C9008" s="1" t="n">
        <v>46075</v>
      </c>
      <c r="D9008" t="inlineStr">
        <is>
          <t>VÄSTERBOTTENS LÄN</t>
        </is>
      </c>
      <c r="E9008" t="inlineStr">
        <is>
          <t>VILHELMINA</t>
        </is>
      </c>
      <c r="F9008" t="inlineStr">
        <is>
          <t>SCA</t>
        </is>
      </c>
      <c r="G9008" t="n">
        <v>4.7</v>
      </c>
      <c r="H9008" t="n">
        <v>0</v>
      </c>
      <c r="I9008" t="n">
        <v>0</v>
      </c>
      <c r="J9008" t="n">
        <v>0</v>
      </c>
      <c r="K9008" t="n">
        <v>0</v>
      </c>
      <c r="L9008" t="n">
        <v>0</v>
      </c>
      <c r="M9008" t="n">
        <v>0</v>
      </c>
      <c r="N9008" t="n">
        <v>0</v>
      </c>
      <c r="O9008" t="n">
        <v>0</v>
      </c>
      <c r="P9008" t="n">
        <v>0</v>
      </c>
      <c r="Q9008" t="n">
        <v>0</v>
      </c>
      <c r="R9008" s="2" t="inlineStr"/>
    </row>
    <row r="9009" ht="15" customHeight="1">
      <c r="A9009" t="inlineStr">
        <is>
          <t>A 36124-2023</t>
        </is>
      </c>
      <c r="B9009" s="1" t="n">
        <v>45149</v>
      </c>
      <c r="C9009" s="1" t="n">
        <v>46075</v>
      </c>
      <c r="D9009" t="inlineStr">
        <is>
          <t>VÄSTERBOTTENS LÄN</t>
        </is>
      </c>
      <c r="E9009" t="inlineStr">
        <is>
          <t>MALÅ</t>
        </is>
      </c>
      <c r="G9009" t="n">
        <v>26.9</v>
      </c>
      <c r="H9009" t="n">
        <v>0</v>
      </c>
      <c r="I9009" t="n">
        <v>0</v>
      </c>
      <c r="J9009" t="n">
        <v>0</v>
      </c>
      <c r="K9009" t="n">
        <v>0</v>
      </c>
      <c r="L9009" t="n">
        <v>0</v>
      </c>
      <c r="M9009" t="n">
        <v>0</v>
      </c>
      <c r="N9009" t="n">
        <v>0</v>
      </c>
      <c r="O9009" t="n">
        <v>0</v>
      </c>
      <c r="P9009" t="n">
        <v>0</v>
      </c>
      <c r="Q9009" t="n">
        <v>0</v>
      </c>
      <c r="R9009" s="2" t="inlineStr"/>
    </row>
    <row r="9010" ht="15" customHeight="1">
      <c r="A9010" t="inlineStr">
        <is>
          <t>A 36132-2023</t>
        </is>
      </c>
      <c r="B9010" s="1" t="n">
        <v>45149</v>
      </c>
      <c r="C9010" s="1" t="n">
        <v>46075</v>
      </c>
      <c r="D9010" t="inlineStr">
        <is>
          <t>VÄSTERBOTTENS LÄN</t>
        </is>
      </c>
      <c r="E9010" t="inlineStr">
        <is>
          <t>LYCKSELE</t>
        </is>
      </c>
      <c r="G9010" t="n">
        <v>4.3</v>
      </c>
      <c r="H9010" t="n">
        <v>0</v>
      </c>
      <c r="I9010" t="n">
        <v>0</v>
      </c>
      <c r="J9010" t="n">
        <v>0</v>
      </c>
      <c r="K9010" t="n">
        <v>0</v>
      </c>
      <c r="L9010" t="n">
        <v>0</v>
      </c>
      <c r="M9010" t="n">
        <v>0</v>
      </c>
      <c r="N9010" t="n">
        <v>0</v>
      </c>
      <c r="O9010" t="n">
        <v>0</v>
      </c>
      <c r="P9010" t="n">
        <v>0</v>
      </c>
      <c r="Q9010" t="n">
        <v>0</v>
      </c>
      <c r="R9010" s="2" t="inlineStr"/>
    </row>
    <row r="9011" ht="15" customHeight="1">
      <c r="A9011" t="inlineStr">
        <is>
          <t>A 36137-2023</t>
        </is>
      </c>
      <c r="B9011" s="1" t="n">
        <v>45149</v>
      </c>
      <c r="C9011" s="1" t="n">
        <v>46075</v>
      </c>
      <c r="D9011" t="inlineStr">
        <is>
          <t>VÄSTERBOTTENS LÄN</t>
        </is>
      </c>
      <c r="E9011" t="inlineStr">
        <is>
          <t>DOROTEA</t>
        </is>
      </c>
      <c r="G9011" t="n">
        <v>5.4</v>
      </c>
      <c r="H9011" t="n">
        <v>0</v>
      </c>
      <c r="I9011" t="n">
        <v>0</v>
      </c>
      <c r="J9011" t="n">
        <v>0</v>
      </c>
      <c r="K9011" t="n">
        <v>0</v>
      </c>
      <c r="L9011" t="n">
        <v>0</v>
      </c>
      <c r="M9011" t="n">
        <v>0</v>
      </c>
      <c r="N9011" t="n">
        <v>0</v>
      </c>
      <c r="O9011" t="n">
        <v>0</v>
      </c>
      <c r="P9011" t="n">
        <v>0</v>
      </c>
      <c r="Q9011" t="n">
        <v>0</v>
      </c>
      <c r="R9011" s="2" t="inlineStr"/>
    </row>
    <row r="9012" ht="15" customHeight="1">
      <c r="A9012" t="inlineStr">
        <is>
          <t>A 62267-2025</t>
        </is>
      </c>
      <c r="B9012" s="1" t="n">
        <v>46006.61762731482</v>
      </c>
      <c r="C9012" s="1" t="n">
        <v>46075</v>
      </c>
      <c r="D9012" t="inlineStr">
        <is>
          <t>VÄSTERBOTTENS LÄN</t>
        </is>
      </c>
      <c r="E9012" t="inlineStr">
        <is>
          <t>VINDELN</t>
        </is>
      </c>
      <c r="G9012" t="n">
        <v>1.6</v>
      </c>
      <c r="H9012" t="n">
        <v>0</v>
      </c>
      <c r="I9012" t="n">
        <v>0</v>
      </c>
      <c r="J9012" t="n">
        <v>0</v>
      </c>
      <c r="K9012" t="n">
        <v>0</v>
      </c>
      <c r="L9012" t="n">
        <v>0</v>
      </c>
      <c r="M9012" t="n">
        <v>0</v>
      </c>
      <c r="N9012" t="n">
        <v>0</v>
      </c>
      <c r="O9012" t="n">
        <v>0</v>
      </c>
      <c r="P9012" t="n">
        <v>0</v>
      </c>
      <c r="Q9012" t="n">
        <v>0</v>
      </c>
      <c r="R9012" s="2" t="inlineStr"/>
    </row>
    <row r="9013" ht="15" customHeight="1">
      <c r="A9013" t="inlineStr">
        <is>
          <t>A 62275-2025</t>
        </is>
      </c>
      <c r="B9013" s="1" t="n">
        <v>46006.6294212963</v>
      </c>
      <c r="C9013" s="1" t="n">
        <v>46075</v>
      </c>
      <c r="D9013" t="inlineStr">
        <is>
          <t>VÄSTERBOTTENS LÄN</t>
        </is>
      </c>
      <c r="E9013" t="inlineStr">
        <is>
          <t>SKELLEFTEÅ</t>
        </is>
      </c>
      <c r="F9013" t="inlineStr">
        <is>
          <t>Kommuner</t>
        </is>
      </c>
      <c r="G9013" t="n">
        <v>1.4</v>
      </c>
      <c r="H9013" t="n">
        <v>0</v>
      </c>
      <c r="I9013" t="n">
        <v>0</v>
      </c>
      <c r="J9013" t="n">
        <v>0</v>
      </c>
      <c r="K9013" t="n">
        <v>0</v>
      </c>
      <c r="L9013" t="n">
        <v>0</v>
      </c>
      <c r="M9013" t="n">
        <v>0</v>
      </c>
      <c r="N9013" t="n">
        <v>0</v>
      </c>
      <c r="O9013" t="n">
        <v>0</v>
      </c>
      <c r="P9013" t="n">
        <v>0</v>
      </c>
      <c r="Q9013" t="n">
        <v>0</v>
      </c>
      <c r="R9013" s="2" t="inlineStr"/>
    </row>
    <row r="9014" ht="15" customHeight="1">
      <c r="A9014" t="inlineStr">
        <is>
          <t>A 66460-2021</t>
        </is>
      </c>
      <c r="B9014" s="1" t="n">
        <v>44518.92194444445</v>
      </c>
      <c r="C9014" s="1" t="n">
        <v>46075</v>
      </c>
      <c r="D9014" t="inlineStr">
        <is>
          <t>VÄSTERBOTTENS LÄN</t>
        </is>
      </c>
      <c r="E9014" t="inlineStr">
        <is>
          <t>LYCKSELE</t>
        </is>
      </c>
      <c r="G9014" t="n">
        <v>6.3</v>
      </c>
      <c r="H9014" t="n">
        <v>0</v>
      </c>
      <c r="I9014" t="n">
        <v>0</v>
      </c>
      <c r="J9014" t="n">
        <v>0</v>
      </c>
      <c r="K9014" t="n">
        <v>0</v>
      </c>
      <c r="L9014" t="n">
        <v>0</v>
      </c>
      <c r="M9014" t="n">
        <v>0</v>
      </c>
      <c r="N9014" t="n">
        <v>0</v>
      </c>
      <c r="O9014" t="n">
        <v>0</v>
      </c>
      <c r="P9014" t="n">
        <v>0</v>
      </c>
      <c r="Q9014" t="n">
        <v>0</v>
      </c>
      <c r="R9014" s="2" t="inlineStr"/>
    </row>
    <row r="9015" ht="15" customHeight="1">
      <c r="A9015" t="inlineStr">
        <is>
          <t>A 17186-2025</t>
        </is>
      </c>
      <c r="B9015" s="1" t="n">
        <v>45756</v>
      </c>
      <c r="C9015" s="1" t="n">
        <v>46075</v>
      </c>
      <c r="D9015" t="inlineStr">
        <is>
          <t>VÄSTERBOTTENS LÄN</t>
        </is>
      </c>
      <c r="E9015" t="inlineStr">
        <is>
          <t>VILHELMINA</t>
        </is>
      </c>
      <c r="F9015" t="inlineStr">
        <is>
          <t>SCA</t>
        </is>
      </c>
      <c r="G9015" t="n">
        <v>12.3</v>
      </c>
      <c r="H9015" t="n">
        <v>0</v>
      </c>
      <c r="I9015" t="n">
        <v>0</v>
      </c>
      <c r="J9015" t="n">
        <v>0</v>
      </c>
      <c r="K9015" t="n">
        <v>0</v>
      </c>
      <c r="L9015" t="n">
        <v>0</v>
      </c>
      <c r="M9015" t="n">
        <v>0</v>
      </c>
      <c r="N9015" t="n">
        <v>0</v>
      </c>
      <c r="O9015" t="n">
        <v>0</v>
      </c>
      <c r="P9015" t="n">
        <v>0</v>
      </c>
      <c r="Q9015" t="n">
        <v>0</v>
      </c>
      <c r="R9015" s="2" t="inlineStr"/>
    </row>
    <row r="9016" ht="15" customHeight="1">
      <c r="A9016" t="inlineStr">
        <is>
          <t>A 62318-2025</t>
        </is>
      </c>
      <c r="B9016" s="1" t="n">
        <v>46006</v>
      </c>
      <c r="C9016" s="1" t="n">
        <v>46075</v>
      </c>
      <c r="D9016" t="inlineStr">
        <is>
          <t>VÄSTERBOTTENS LÄN</t>
        </is>
      </c>
      <c r="E9016" t="inlineStr">
        <is>
          <t>VILHELMINA</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17192-2025</t>
        </is>
      </c>
      <c r="B9017" s="1" t="n">
        <v>45756.39481481481</v>
      </c>
      <c r="C9017" s="1" t="n">
        <v>46075</v>
      </c>
      <c r="D9017" t="inlineStr">
        <is>
          <t>VÄSTERBOTTENS LÄN</t>
        </is>
      </c>
      <c r="E9017" t="inlineStr">
        <is>
          <t>LYCKSELE</t>
        </is>
      </c>
      <c r="F9017" t="inlineStr">
        <is>
          <t>Holmen skog AB</t>
        </is>
      </c>
      <c r="G9017" t="n">
        <v>0.5</v>
      </c>
      <c r="H9017" t="n">
        <v>0</v>
      </c>
      <c r="I9017" t="n">
        <v>0</v>
      </c>
      <c r="J9017" t="n">
        <v>0</v>
      </c>
      <c r="K9017" t="n">
        <v>0</v>
      </c>
      <c r="L9017" t="n">
        <v>0</v>
      </c>
      <c r="M9017" t="n">
        <v>0</v>
      </c>
      <c r="N9017" t="n">
        <v>0</v>
      </c>
      <c r="O9017" t="n">
        <v>0</v>
      </c>
      <c r="P9017" t="n">
        <v>0</v>
      </c>
      <c r="Q9017" t="n">
        <v>0</v>
      </c>
      <c r="R9017" s="2" t="inlineStr"/>
    </row>
    <row r="9018" ht="15" customHeight="1">
      <c r="A9018" t="inlineStr">
        <is>
          <t>A 48505-2023</t>
        </is>
      </c>
      <c r="B9018" s="1" t="n">
        <v>45207.93900462963</v>
      </c>
      <c r="C9018" s="1" t="n">
        <v>46075</v>
      </c>
      <c r="D9018" t="inlineStr">
        <is>
          <t>VÄSTERBOTTENS LÄN</t>
        </is>
      </c>
      <c r="E9018" t="inlineStr">
        <is>
          <t>VILHELMINA</t>
        </is>
      </c>
      <c r="F9018" t="inlineStr">
        <is>
          <t>SCA</t>
        </is>
      </c>
      <c r="G9018" t="n">
        <v>2</v>
      </c>
      <c r="H9018" t="n">
        <v>0</v>
      </c>
      <c r="I9018" t="n">
        <v>0</v>
      </c>
      <c r="J9018" t="n">
        <v>0</v>
      </c>
      <c r="K9018" t="n">
        <v>0</v>
      </c>
      <c r="L9018" t="n">
        <v>0</v>
      </c>
      <c r="M9018" t="n">
        <v>0</v>
      </c>
      <c r="N9018" t="n">
        <v>0</v>
      </c>
      <c r="O9018" t="n">
        <v>0</v>
      </c>
      <c r="P9018" t="n">
        <v>0</v>
      </c>
      <c r="Q9018" t="n">
        <v>0</v>
      </c>
      <c r="R9018" s="2" t="inlineStr"/>
    </row>
    <row r="9019" ht="15" customHeight="1">
      <c r="A9019" t="inlineStr">
        <is>
          <t>A 17210-2025</t>
        </is>
      </c>
      <c r="B9019" s="1" t="n">
        <v>45756.4359375</v>
      </c>
      <c r="C9019" s="1" t="n">
        <v>46075</v>
      </c>
      <c r="D9019" t="inlineStr">
        <is>
          <t>VÄSTERBOTTENS LÄN</t>
        </is>
      </c>
      <c r="E9019" t="inlineStr">
        <is>
          <t>ROBERTSFORS</t>
        </is>
      </c>
      <c r="G9019" t="n">
        <v>2.5</v>
      </c>
      <c r="H9019" t="n">
        <v>0</v>
      </c>
      <c r="I9019" t="n">
        <v>0</v>
      </c>
      <c r="J9019" t="n">
        <v>0</v>
      </c>
      <c r="K9019" t="n">
        <v>0</v>
      </c>
      <c r="L9019" t="n">
        <v>0</v>
      </c>
      <c r="M9019" t="n">
        <v>0</v>
      </c>
      <c r="N9019" t="n">
        <v>0</v>
      </c>
      <c r="O9019" t="n">
        <v>0</v>
      </c>
      <c r="P9019" t="n">
        <v>0</v>
      </c>
      <c r="Q9019" t="n">
        <v>0</v>
      </c>
      <c r="R9019" s="2" t="inlineStr"/>
    </row>
    <row r="9020" ht="15" customHeight="1">
      <c r="A9020" t="inlineStr">
        <is>
          <t>A 15352-2025</t>
        </is>
      </c>
      <c r="B9020" s="1" t="n">
        <v>45747</v>
      </c>
      <c r="C9020" s="1" t="n">
        <v>46075</v>
      </c>
      <c r="D9020" t="inlineStr">
        <is>
          <t>VÄSTERBOTTENS LÄN</t>
        </is>
      </c>
      <c r="E9020" t="inlineStr">
        <is>
          <t>DOROTEA</t>
        </is>
      </c>
      <c r="G9020" t="n">
        <v>10.3</v>
      </c>
      <c r="H9020" t="n">
        <v>0</v>
      </c>
      <c r="I9020" t="n">
        <v>0</v>
      </c>
      <c r="J9020" t="n">
        <v>0</v>
      </c>
      <c r="K9020" t="n">
        <v>0</v>
      </c>
      <c r="L9020" t="n">
        <v>0</v>
      </c>
      <c r="M9020" t="n">
        <v>0</v>
      </c>
      <c r="N9020" t="n">
        <v>0</v>
      </c>
      <c r="O9020" t="n">
        <v>0</v>
      </c>
      <c r="P9020" t="n">
        <v>0</v>
      </c>
      <c r="Q9020" t="n">
        <v>0</v>
      </c>
      <c r="R9020" s="2" t="inlineStr"/>
    </row>
    <row r="9021" ht="15" customHeight="1">
      <c r="A9021" t="inlineStr">
        <is>
          <t>A 44872-2023</t>
        </is>
      </c>
      <c r="B9021" s="1" t="n">
        <v>45190.60226851852</v>
      </c>
      <c r="C9021" s="1" t="n">
        <v>46075</v>
      </c>
      <c r="D9021" t="inlineStr">
        <is>
          <t>VÄSTERBOTTENS LÄN</t>
        </is>
      </c>
      <c r="E9021" t="inlineStr">
        <is>
          <t>SKELLEFTEÅ</t>
        </is>
      </c>
      <c r="F9021" t="inlineStr">
        <is>
          <t>Holmen skog AB</t>
        </is>
      </c>
      <c r="G9021" t="n">
        <v>2.3</v>
      </c>
      <c r="H9021" t="n">
        <v>0</v>
      </c>
      <c r="I9021" t="n">
        <v>0</v>
      </c>
      <c r="J9021" t="n">
        <v>0</v>
      </c>
      <c r="K9021" t="n">
        <v>0</v>
      </c>
      <c r="L9021" t="n">
        <v>0</v>
      </c>
      <c r="M9021" t="n">
        <v>0</v>
      </c>
      <c r="N9021" t="n">
        <v>0</v>
      </c>
      <c r="O9021" t="n">
        <v>0</v>
      </c>
      <c r="P9021" t="n">
        <v>0</v>
      </c>
      <c r="Q9021" t="n">
        <v>0</v>
      </c>
      <c r="R9021" s="2" t="inlineStr"/>
    </row>
    <row r="9022" ht="15" customHeight="1">
      <c r="A9022" t="inlineStr">
        <is>
          <t>A 44880-2023</t>
        </is>
      </c>
      <c r="B9022" s="1" t="n">
        <v>45190.60920138889</v>
      </c>
      <c r="C9022" s="1" t="n">
        <v>46075</v>
      </c>
      <c r="D9022" t="inlineStr">
        <is>
          <t>VÄSTERBOTTENS LÄN</t>
        </is>
      </c>
      <c r="E9022" t="inlineStr">
        <is>
          <t>BJURHOLM</t>
        </is>
      </c>
      <c r="F9022" t="inlineStr">
        <is>
          <t>Holmen skog AB</t>
        </is>
      </c>
      <c r="G9022" t="n">
        <v>10.5</v>
      </c>
      <c r="H9022" t="n">
        <v>0</v>
      </c>
      <c r="I9022" t="n">
        <v>0</v>
      </c>
      <c r="J9022" t="n">
        <v>0</v>
      </c>
      <c r="K9022" t="n">
        <v>0</v>
      </c>
      <c r="L9022" t="n">
        <v>0</v>
      </c>
      <c r="M9022" t="n">
        <v>0</v>
      </c>
      <c r="N9022" t="n">
        <v>0</v>
      </c>
      <c r="O9022" t="n">
        <v>0</v>
      </c>
      <c r="P9022" t="n">
        <v>0</v>
      </c>
      <c r="Q9022" t="n">
        <v>0</v>
      </c>
      <c r="R9022" s="2" t="inlineStr"/>
    </row>
    <row r="9023" ht="15" customHeight="1">
      <c r="A9023" t="inlineStr">
        <is>
          <t>A 62062-2025</t>
        </is>
      </c>
      <c r="B9023" s="1" t="n">
        <v>46006.34454861111</v>
      </c>
      <c r="C9023" s="1" t="n">
        <v>46075</v>
      </c>
      <c r="D9023" t="inlineStr">
        <is>
          <t>VÄSTERBOTTENS LÄN</t>
        </is>
      </c>
      <c r="E9023" t="inlineStr">
        <is>
          <t>LYCKSELE</t>
        </is>
      </c>
      <c r="F9023" t="inlineStr">
        <is>
          <t>SCA</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62074-2025</t>
        </is>
      </c>
      <c r="B9024" s="1" t="n">
        <v>46006.36336805556</v>
      </c>
      <c r="C9024" s="1" t="n">
        <v>46075</v>
      </c>
      <c r="D9024" t="inlineStr">
        <is>
          <t>VÄSTERBOTTENS LÄN</t>
        </is>
      </c>
      <c r="E9024" t="inlineStr">
        <is>
          <t>SKELLEFTEÅ</t>
        </is>
      </c>
      <c r="G9024" t="n">
        <v>4.9</v>
      </c>
      <c r="H9024" t="n">
        <v>0</v>
      </c>
      <c r="I9024" t="n">
        <v>0</v>
      </c>
      <c r="J9024" t="n">
        <v>0</v>
      </c>
      <c r="K9024" t="n">
        <v>0</v>
      </c>
      <c r="L9024" t="n">
        <v>0</v>
      </c>
      <c r="M9024" t="n">
        <v>0</v>
      </c>
      <c r="N9024" t="n">
        <v>0</v>
      </c>
      <c r="O9024" t="n">
        <v>0</v>
      </c>
      <c r="P9024" t="n">
        <v>0</v>
      </c>
      <c r="Q9024" t="n">
        <v>0</v>
      </c>
      <c r="R9024" s="2" t="inlineStr"/>
    </row>
    <row r="9025" ht="15" customHeight="1">
      <c r="A9025" t="inlineStr">
        <is>
          <t>A 62089-2025</t>
        </is>
      </c>
      <c r="B9025" s="1" t="n">
        <v>46006.37834490741</v>
      </c>
      <c r="C9025" s="1" t="n">
        <v>46075</v>
      </c>
      <c r="D9025" t="inlineStr">
        <is>
          <t>VÄSTERBOTTENS LÄN</t>
        </is>
      </c>
      <c r="E9025" t="inlineStr">
        <is>
          <t>UMEÅ</t>
        </is>
      </c>
      <c r="G9025" t="n">
        <v>0.5</v>
      </c>
      <c r="H9025" t="n">
        <v>0</v>
      </c>
      <c r="I9025" t="n">
        <v>0</v>
      </c>
      <c r="J9025" t="n">
        <v>0</v>
      </c>
      <c r="K9025" t="n">
        <v>0</v>
      </c>
      <c r="L9025" t="n">
        <v>0</v>
      </c>
      <c r="M9025" t="n">
        <v>0</v>
      </c>
      <c r="N9025" t="n">
        <v>0</v>
      </c>
      <c r="O9025" t="n">
        <v>0</v>
      </c>
      <c r="P9025" t="n">
        <v>0</v>
      </c>
      <c r="Q9025" t="n">
        <v>0</v>
      </c>
      <c r="R9025" s="2" t="inlineStr"/>
    </row>
    <row r="9026" ht="15" customHeight="1">
      <c r="A9026" t="inlineStr">
        <is>
          <t>A 5013-2026</t>
        </is>
      </c>
      <c r="B9026" s="1" t="n">
        <v>46049.43133101852</v>
      </c>
      <c r="C9026" s="1" t="n">
        <v>46075</v>
      </c>
      <c r="D9026" t="inlineStr">
        <is>
          <t>VÄSTERBOTTENS LÄN</t>
        </is>
      </c>
      <c r="E9026" t="inlineStr">
        <is>
          <t>UMEÅ</t>
        </is>
      </c>
      <c r="G9026" t="n">
        <v>3.8</v>
      </c>
      <c r="H9026" t="n">
        <v>0</v>
      </c>
      <c r="I9026" t="n">
        <v>0</v>
      </c>
      <c r="J9026" t="n">
        <v>0</v>
      </c>
      <c r="K9026" t="n">
        <v>0</v>
      </c>
      <c r="L9026" t="n">
        <v>0</v>
      </c>
      <c r="M9026" t="n">
        <v>0</v>
      </c>
      <c r="N9026" t="n">
        <v>0</v>
      </c>
      <c r="O9026" t="n">
        <v>0</v>
      </c>
      <c r="P9026" t="n">
        <v>0</v>
      </c>
      <c r="Q9026" t="n">
        <v>0</v>
      </c>
      <c r="R9026" s="2" t="inlineStr"/>
    </row>
    <row r="9027" ht="15" customHeight="1">
      <c r="A9027" t="inlineStr">
        <is>
          <t>A 2769-2026</t>
        </is>
      </c>
      <c r="B9027" s="1" t="n">
        <v>46036</v>
      </c>
      <c r="C9027" s="1" t="n">
        <v>46075</v>
      </c>
      <c r="D9027" t="inlineStr">
        <is>
          <t>VÄSTERBOTTENS LÄN</t>
        </is>
      </c>
      <c r="E9027" t="inlineStr">
        <is>
          <t>DOROTEA</t>
        </is>
      </c>
      <c r="G9027" t="n">
        <v>11.8</v>
      </c>
      <c r="H9027" t="n">
        <v>0</v>
      </c>
      <c r="I9027" t="n">
        <v>0</v>
      </c>
      <c r="J9027" t="n">
        <v>0</v>
      </c>
      <c r="K9027" t="n">
        <v>0</v>
      </c>
      <c r="L9027" t="n">
        <v>0</v>
      </c>
      <c r="M9027" t="n">
        <v>0</v>
      </c>
      <c r="N9027" t="n">
        <v>0</v>
      </c>
      <c r="O9027" t="n">
        <v>0</v>
      </c>
      <c r="P9027" t="n">
        <v>0</v>
      </c>
      <c r="Q9027" t="n">
        <v>0</v>
      </c>
      <c r="R9027" s="2" t="inlineStr"/>
    </row>
    <row r="9028" ht="15" customHeight="1">
      <c r="A9028" t="inlineStr">
        <is>
          <t>A 9102-2023</t>
        </is>
      </c>
      <c r="B9028" s="1" t="n">
        <v>44979</v>
      </c>
      <c r="C9028" s="1" t="n">
        <v>46075</v>
      </c>
      <c r="D9028" t="inlineStr">
        <is>
          <t>VÄSTERBOTTENS LÄN</t>
        </is>
      </c>
      <c r="E9028" t="inlineStr">
        <is>
          <t>DOROTEA</t>
        </is>
      </c>
      <c r="F9028" t="inlineStr">
        <is>
          <t>SCA</t>
        </is>
      </c>
      <c r="G9028" t="n">
        <v>9.4</v>
      </c>
      <c r="H9028" t="n">
        <v>0</v>
      </c>
      <c r="I9028" t="n">
        <v>0</v>
      </c>
      <c r="J9028" t="n">
        <v>0</v>
      </c>
      <c r="K9028" t="n">
        <v>0</v>
      </c>
      <c r="L9028" t="n">
        <v>0</v>
      </c>
      <c r="M9028" t="n">
        <v>0</v>
      </c>
      <c r="N9028" t="n">
        <v>0</v>
      </c>
      <c r="O9028" t="n">
        <v>0</v>
      </c>
      <c r="P9028" t="n">
        <v>0</v>
      </c>
      <c r="Q9028" t="n">
        <v>0</v>
      </c>
      <c r="R9028" s="2" t="inlineStr"/>
    </row>
    <row r="9029" ht="15" customHeight="1">
      <c r="A9029" t="inlineStr">
        <is>
          <t>A 19905-2024</t>
        </is>
      </c>
      <c r="B9029" s="1" t="n">
        <v>45433.56965277778</v>
      </c>
      <c r="C9029" s="1" t="n">
        <v>46075</v>
      </c>
      <c r="D9029" t="inlineStr">
        <is>
          <t>VÄSTERBOTTENS LÄN</t>
        </is>
      </c>
      <c r="E9029" t="inlineStr">
        <is>
          <t>SKELLEFTEÅ</t>
        </is>
      </c>
      <c r="F9029" t="inlineStr">
        <is>
          <t>Holmen skog AB</t>
        </is>
      </c>
      <c r="G9029" t="n">
        <v>3.5</v>
      </c>
      <c r="H9029" t="n">
        <v>0</v>
      </c>
      <c r="I9029" t="n">
        <v>0</v>
      </c>
      <c r="J9029" t="n">
        <v>0</v>
      </c>
      <c r="K9029" t="n">
        <v>0</v>
      </c>
      <c r="L9029" t="n">
        <v>0</v>
      </c>
      <c r="M9029" t="n">
        <v>0</v>
      </c>
      <c r="N9029" t="n">
        <v>0</v>
      </c>
      <c r="O9029" t="n">
        <v>0</v>
      </c>
      <c r="P9029" t="n">
        <v>0</v>
      </c>
      <c r="Q9029" t="n">
        <v>0</v>
      </c>
      <c r="R9029" s="2" t="inlineStr"/>
    </row>
    <row r="9030" ht="15" customHeight="1">
      <c r="A9030" t="inlineStr">
        <is>
          <t>A 52749-2023</t>
        </is>
      </c>
      <c r="B9030" s="1" t="n">
        <v>45225.9678587963</v>
      </c>
      <c r="C9030" s="1" t="n">
        <v>46075</v>
      </c>
      <c r="D9030" t="inlineStr">
        <is>
          <t>VÄSTERBOTTENS LÄN</t>
        </is>
      </c>
      <c r="E9030" t="inlineStr">
        <is>
          <t>VILHELMINA</t>
        </is>
      </c>
      <c r="F9030" t="inlineStr">
        <is>
          <t>SCA</t>
        </is>
      </c>
      <c r="G9030" t="n">
        <v>3.1</v>
      </c>
      <c r="H9030" t="n">
        <v>0</v>
      </c>
      <c r="I9030" t="n">
        <v>0</v>
      </c>
      <c r="J9030" t="n">
        <v>0</v>
      </c>
      <c r="K9030" t="n">
        <v>0</v>
      </c>
      <c r="L9030" t="n">
        <v>0</v>
      </c>
      <c r="M9030" t="n">
        <v>0</v>
      </c>
      <c r="N9030" t="n">
        <v>0</v>
      </c>
      <c r="O9030" t="n">
        <v>0</v>
      </c>
      <c r="P9030" t="n">
        <v>0</v>
      </c>
      <c r="Q9030" t="n">
        <v>0</v>
      </c>
      <c r="R9030" s="2" t="inlineStr"/>
    </row>
    <row r="9031" ht="15" customHeight="1">
      <c r="A9031" t="inlineStr">
        <is>
          <t>A 52755-2023</t>
        </is>
      </c>
      <c r="B9031" s="1" t="n">
        <v>45225.96839120371</v>
      </c>
      <c r="C9031" s="1" t="n">
        <v>46075</v>
      </c>
      <c r="D9031" t="inlineStr">
        <is>
          <t>VÄSTERBOTTENS LÄN</t>
        </is>
      </c>
      <c r="E9031" t="inlineStr">
        <is>
          <t>LYCKSELE</t>
        </is>
      </c>
      <c r="F9031" t="inlineStr">
        <is>
          <t>SCA</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62403-2025</t>
        </is>
      </c>
      <c r="B9032" s="1" t="n">
        <v>46007.42085648148</v>
      </c>
      <c r="C9032" s="1" t="n">
        <v>46075</v>
      </c>
      <c r="D9032" t="inlineStr">
        <is>
          <t>VÄSTERBOTTENS LÄN</t>
        </is>
      </c>
      <c r="E9032" t="inlineStr">
        <is>
          <t>SKELLEFTEÅ</t>
        </is>
      </c>
      <c r="G9032" t="n">
        <v>1.8</v>
      </c>
      <c r="H9032" t="n">
        <v>0</v>
      </c>
      <c r="I9032" t="n">
        <v>0</v>
      </c>
      <c r="J9032" t="n">
        <v>0</v>
      </c>
      <c r="K9032" t="n">
        <v>0</v>
      </c>
      <c r="L9032" t="n">
        <v>0</v>
      </c>
      <c r="M9032" t="n">
        <v>0</v>
      </c>
      <c r="N9032" t="n">
        <v>0</v>
      </c>
      <c r="O9032" t="n">
        <v>0</v>
      </c>
      <c r="P9032" t="n">
        <v>0</v>
      </c>
      <c r="Q9032" t="n">
        <v>0</v>
      </c>
      <c r="R9032" s="2" t="inlineStr"/>
    </row>
    <row r="9033" ht="15" customHeight="1">
      <c r="A9033" t="inlineStr">
        <is>
          <t>A 62247-2025</t>
        </is>
      </c>
      <c r="B9033" s="1" t="n">
        <v>46006.60643518518</v>
      </c>
      <c r="C9033" s="1" t="n">
        <v>46075</v>
      </c>
      <c r="D9033" t="inlineStr">
        <is>
          <t>VÄSTERBOTTENS LÄN</t>
        </is>
      </c>
      <c r="E9033" t="inlineStr">
        <is>
          <t>NORDMALING</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3042-2025</t>
        </is>
      </c>
      <c r="B9034" s="1" t="n">
        <v>45678</v>
      </c>
      <c r="C9034" s="1" t="n">
        <v>46075</v>
      </c>
      <c r="D9034" t="inlineStr">
        <is>
          <t>VÄSTERBOTTENS LÄN</t>
        </is>
      </c>
      <c r="E9034" t="inlineStr">
        <is>
          <t>ROBERTSFORS</t>
        </is>
      </c>
      <c r="F9034" t="inlineStr">
        <is>
          <t>Holmen skog AB</t>
        </is>
      </c>
      <c r="G9034" t="n">
        <v>9.4</v>
      </c>
      <c r="H9034" t="n">
        <v>0</v>
      </c>
      <c r="I9034" t="n">
        <v>0</v>
      </c>
      <c r="J9034" t="n">
        <v>0</v>
      </c>
      <c r="K9034" t="n">
        <v>0</v>
      </c>
      <c r="L9034" t="n">
        <v>0</v>
      </c>
      <c r="M9034" t="n">
        <v>0</v>
      </c>
      <c r="N9034" t="n">
        <v>0</v>
      </c>
      <c r="O9034" t="n">
        <v>0</v>
      </c>
      <c r="P9034" t="n">
        <v>0</v>
      </c>
      <c r="Q9034" t="n">
        <v>0</v>
      </c>
      <c r="R9034" s="2" t="inlineStr"/>
    </row>
    <row r="9035" ht="15" customHeight="1">
      <c r="A9035" t="inlineStr">
        <is>
          <t>A 4973-2026</t>
        </is>
      </c>
      <c r="B9035" s="1" t="n">
        <v>46049</v>
      </c>
      <c r="C9035" s="1" t="n">
        <v>46075</v>
      </c>
      <c r="D9035" t="inlineStr">
        <is>
          <t>VÄSTERBOTTENS LÄN</t>
        </is>
      </c>
      <c r="E9035" t="inlineStr">
        <is>
          <t>ROBERTSFORS</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62263-2025</t>
        </is>
      </c>
      <c r="B9036" s="1" t="n">
        <v>46006.61631944445</v>
      </c>
      <c r="C9036" s="1" t="n">
        <v>46075</v>
      </c>
      <c r="D9036" t="inlineStr">
        <is>
          <t>VÄSTERBOTTENS LÄN</t>
        </is>
      </c>
      <c r="E9036" t="inlineStr">
        <is>
          <t>VINDELN</t>
        </is>
      </c>
      <c r="G9036" t="n">
        <v>4.2</v>
      </c>
      <c r="H9036" t="n">
        <v>0</v>
      </c>
      <c r="I9036" t="n">
        <v>0</v>
      </c>
      <c r="J9036" t="n">
        <v>0</v>
      </c>
      <c r="K9036" t="n">
        <v>0</v>
      </c>
      <c r="L9036" t="n">
        <v>0</v>
      </c>
      <c r="M9036" t="n">
        <v>0</v>
      </c>
      <c r="N9036" t="n">
        <v>0</v>
      </c>
      <c r="O9036" t="n">
        <v>0</v>
      </c>
      <c r="P9036" t="n">
        <v>0</v>
      </c>
      <c r="Q9036" t="n">
        <v>0</v>
      </c>
      <c r="R9036" s="2" t="inlineStr"/>
    </row>
    <row r="9037" ht="15" customHeight="1">
      <c r="A9037" t="inlineStr">
        <is>
          <t>A 9550-2025</t>
        </is>
      </c>
      <c r="B9037" s="1" t="n">
        <v>45715.59436342592</v>
      </c>
      <c r="C9037" s="1" t="n">
        <v>46075</v>
      </c>
      <c r="D9037" t="inlineStr">
        <is>
          <t>VÄSTERBOTTENS LÄN</t>
        </is>
      </c>
      <c r="E9037" t="inlineStr">
        <is>
          <t>LYCKSELE</t>
        </is>
      </c>
      <c r="F9037" t="inlineStr">
        <is>
          <t>SCA</t>
        </is>
      </c>
      <c r="G9037" t="n">
        <v>20.6</v>
      </c>
      <c r="H9037" t="n">
        <v>0</v>
      </c>
      <c r="I9037" t="n">
        <v>0</v>
      </c>
      <c r="J9037" t="n">
        <v>0</v>
      </c>
      <c r="K9037" t="n">
        <v>0</v>
      </c>
      <c r="L9037" t="n">
        <v>0</v>
      </c>
      <c r="M9037" t="n">
        <v>0</v>
      </c>
      <c r="N9037" t="n">
        <v>0</v>
      </c>
      <c r="O9037" t="n">
        <v>0</v>
      </c>
      <c r="P9037" t="n">
        <v>0</v>
      </c>
      <c r="Q9037" t="n">
        <v>0</v>
      </c>
      <c r="R9037" s="2" t="inlineStr"/>
    </row>
    <row r="9038" ht="15" customHeight="1">
      <c r="A9038" t="inlineStr">
        <is>
          <t>A 19939-2025</t>
        </is>
      </c>
      <c r="B9038" s="1" t="n">
        <v>45771.64439814815</v>
      </c>
      <c r="C9038" s="1" t="n">
        <v>46075</v>
      </c>
      <c r="D9038" t="inlineStr">
        <is>
          <t>VÄSTERBOTTENS LÄN</t>
        </is>
      </c>
      <c r="E9038" t="inlineStr">
        <is>
          <t>VINDELN</t>
        </is>
      </c>
      <c r="F9038" t="inlineStr">
        <is>
          <t>Holmen skog AB</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62317-2025</t>
        </is>
      </c>
      <c r="B9039" s="1" t="n">
        <v>46006.69200231481</v>
      </c>
      <c r="C9039" s="1" t="n">
        <v>46075</v>
      </c>
      <c r="D9039" t="inlineStr">
        <is>
          <t>VÄSTERBOTTENS LÄN</t>
        </is>
      </c>
      <c r="E9039" t="inlineStr">
        <is>
          <t>LYCKSELE</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62325-2025</t>
        </is>
      </c>
      <c r="B9040" s="1" t="n">
        <v>46006.7149074074</v>
      </c>
      <c r="C9040" s="1" t="n">
        <v>46075</v>
      </c>
      <c r="D9040" t="inlineStr">
        <is>
          <t>VÄSTERBOTTENS LÄN</t>
        </is>
      </c>
      <c r="E9040" t="inlineStr">
        <is>
          <t>VILHELMINA</t>
        </is>
      </c>
      <c r="G9040" t="n">
        <v>3.9</v>
      </c>
      <c r="H9040" t="n">
        <v>0</v>
      </c>
      <c r="I9040" t="n">
        <v>0</v>
      </c>
      <c r="J9040" t="n">
        <v>0</v>
      </c>
      <c r="K9040" t="n">
        <v>0</v>
      </c>
      <c r="L9040" t="n">
        <v>0</v>
      </c>
      <c r="M9040" t="n">
        <v>0</v>
      </c>
      <c r="N9040" t="n">
        <v>0</v>
      </c>
      <c r="O9040" t="n">
        <v>0</v>
      </c>
      <c r="P9040" t="n">
        <v>0</v>
      </c>
      <c r="Q9040" t="n">
        <v>0</v>
      </c>
      <c r="R9040" s="2" t="inlineStr"/>
    </row>
    <row r="9041" ht="15" customHeight="1">
      <c r="A9041" t="inlineStr">
        <is>
          <t>A 62219-2025</t>
        </is>
      </c>
      <c r="B9041" s="1" t="n">
        <v>46006.58076388889</v>
      </c>
      <c r="C9041" s="1" t="n">
        <v>46075</v>
      </c>
      <c r="D9041" t="inlineStr">
        <is>
          <t>VÄSTERBOTTENS LÄN</t>
        </is>
      </c>
      <c r="E9041" t="inlineStr">
        <is>
          <t>NORDMALING</t>
        </is>
      </c>
      <c r="G9041" t="n">
        <v>6.4</v>
      </c>
      <c r="H9041" t="n">
        <v>0</v>
      </c>
      <c r="I9041" t="n">
        <v>0</v>
      </c>
      <c r="J9041" t="n">
        <v>0</v>
      </c>
      <c r="K9041" t="n">
        <v>0</v>
      </c>
      <c r="L9041" t="n">
        <v>0</v>
      </c>
      <c r="M9041" t="n">
        <v>0</v>
      </c>
      <c r="N9041" t="n">
        <v>0</v>
      </c>
      <c r="O9041" t="n">
        <v>0</v>
      </c>
      <c r="P9041" t="n">
        <v>0</v>
      </c>
      <c r="Q9041" t="n">
        <v>0</v>
      </c>
      <c r="R9041" s="2" t="inlineStr"/>
    </row>
    <row r="9042" ht="15" customHeight="1">
      <c r="A9042" t="inlineStr">
        <is>
          <t>A 62224-2025</t>
        </is>
      </c>
      <c r="B9042" s="1" t="n">
        <v>46006.58546296296</v>
      </c>
      <c r="C9042" s="1" t="n">
        <v>46075</v>
      </c>
      <c r="D9042" t="inlineStr">
        <is>
          <t>VÄSTERBOTTENS LÄN</t>
        </is>
      </c>
      <c r="E9042" t="inlineStr">
        <is>
          <t>UMEÅ</t>
        </is>
      </c>
      <c r="G9042" t="n">
        <v>1.4</v>
      </c>
      <c r="H9042" t="n">
        <v>0</v>
      </c>
      <c r="I9042" t="n">
        <v>0</v>
      </c>
      <c r="J9042" t="n">
        <v>0</v>
      </c>
      <c r="K9042" t="n">
        <v>0</v>
      </c>
      <c r="L9042" t="n">
        <v>0</v>
      </c>
      <c r="M9042" t="n">
        <v>0</v>
      </c>
      <c r="N9042" t="n">
        <v>0</v>
      </c>
      <c r="O9042" t="n">
        <v>0</v>
      </c>
      <c r="P9042" t="n">
        <v>0</v>
      </c>
      <c r="Q9042" t="n">
        <v>0</v>
      </c>
      <c r="R9042" s="2" t="inlineStr"/>
    </row>
    <row r="9043" ht="15" customHeight="1">
      <c r="A9043" t="inlineStr">
        <is>
          <t>A 4602-2026</t>
        </is>
      </c>
      <c r="B9043" s="1" t="n">
        <v>46048.35572916667</v>
      </c>
      <c r="C9043" s="1" t="n">
        <v>46075</v>
      </c>
      <c r="D9043" t="inlineStr">
        <is>
          <t>VÄSTERBOTTENS LÄN</t>
        </is>
      </c>
      <c r="E9043" t="inlineStr">
        <is>
          <t>NORDMALING</t>
        </is>
      </c>
      <c r="G9043" t="n">
        <v>2.4</v>
      </c>
      <c r="H9043" t="n">
        <v>0</v>
      </c>
      <c r="I9043" t="n">
        <v>0</v>
      </c>
      <c r="J9043" t="n">
        <v>0</v>
      </c>
      <c r="K9043" t="n">
        <v>0</v>
      </c>
      <c r="L9043" t="n">
        <v>0</v>
      </c>
      <c r="M9043" t="n">
        <v>0</v>
      </c>
      <c r="N9043" t="n">
        <v>0</v>
      </c>
      <c r="O9043" t="n">
        <v>0</v>
      </c>
      <c r="P9043" t="n">
        <v>0</v>
      </c>
      <c r="Q9043" t="n">
        <v>0</v>
      </c>
      <c r="R9043" s="2" t="inlineStr"/>
    </row>
    <row r="9044" ht="15" customHeight="1">
      <c r="A9044" t="inlineStr">
        <is>
          <t>A 40966-2024</t>
        </is>
      </c>
      <c r="B9044" s="1" t="n">
        <v>45558.67207175926</v>
      </c>
      <c r="C9044" s="1" t="n">
        <v>46075</v>
      </c>
      <c r="D9044" t="inlineStr">
        <is>
          <t>VÄSTERBOTTENS LÄN</t>
        </is>
      </c>
      <c r="E9044" t="inlineStr">
        <is>
          <t>SKELLEFTEÅ</t>
        </is>
      </c>
      <c r="F9044" t="inlineStr">
        <is>
          <t>Holmen skog AB</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48970-2024</t>
        </is>
      </c>
      <c r="B9045" s="1" t="n">
        <v>45594.4621412037</v>
      </c>
      <c r="C9045" s="1" t="n">
        <v>46075</v>
      </c>
      <c r="D9045" t="inlineStr">
        <is>
          <t>VÄSTERBOTTENS LÄN</t>
        </is>
      </c>
      <c r="E9045" t="inlineStr">
        <is>
          <t>SORSELE</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62232-2025</t>
        </is>
      </c>
      <c r="B9046" s="1" t="n">
        <v>46006.59313657408</v>
      </c>
      <c r="C9046" s="1" t="n">
        <v>46075</v>
      </c>
      <c r="D9046" t="inlineStr">
        <is>
          <t>VÄSTERBOTTENS LÄN</t>
        </is>
      </c>
      <c r="E9046" t="inlineStr">
        <is>
          <t>UMEÅ</t>
        </is>
      </c>
      <c r="G9046" t="n">
        <v>2</v>
      </c>
      <c r="H9046" t="n">
        <v>0</v>
      </c>
      <c r="I9046" t="n">
        <v>0</v>
      </c>
      <c r="J9046" t="n">
        <v>0</v>
      </c>
      <c r="K9046" t="n">
        <v>0</v>
      </c>
      <c r="L9046" t="n">
        <v>0</v>
      </c>
      <c r="M9046" t="n">
        <v>0</v>
      </c>
      <c r="N9046" t="n">
        <v>0</v>
      </c>
      <c r="O9046" t="n">
        <v>0</v>
      </c>
      <c r="P9046" t="n">
        <v>0</v>
      </c>
      <c r="Q9046" t="n">
        <v>0</v>
      </c>
      <c r="R9046" s="2" t="inlineStr"/>
    </row>
    <row r="9047" ht="15" customHeight="1">
      <c r="A9047" t="inlineStr">
        <is>
          <t>A 62423-2025</t>
        </is>
      </c>
      <c r="B9047" s="1" t="n">
        <v>46007.4487037037</v>
      </c>
      <c r="C9047" s="1" t="n">
        <v>46075</v>
      </c>
      <c r="D9047" t="inlineStr">
        <is>
          <t>VÄSTERBOTTENS LÄN</t>
        </is>
      </c>
      <c r="E9047" t="inlineStr">
        <is>
          <t>DOROTEA</t>
        </is>
      </c>
      <c r="G9047" t="n">
        <v>13.2</v>
      </c>
      <c r="H9047" t="n">
        <v>0</v>
      </c>
      <c r="I9047" t="n">
        <v>0</v>
      </c>
      <c r="J9047" t="n">
        <v>0</v>
      </c>
      <c r="K9047" t="n">
        <v>0</v>
      </c>
      <c r="L9047" t="n">
        <v>0</v>
      </c>
      <c r="M9047" t="n">
        <v>0</v>
      </c>
      <c r="N9047" t="n">
        <v>0</v>
      </c>
      <c r="O9047" t="n">
        <v>0</v>
      </c>
      <c r="P9047" t="n">
        <v>0</v>
      </c>
      <c r="Q9047" t="n">
        <v>0</v>
      </c>
      <c r="R9047" s="2" t="inlineStr"/>
    </row>
    <row r="9048" ht="15" customHeight="1">
      <c r="A9048" t="inlineStr">
        <is>
          <t>A 42463-2023</t>
        </is>
      </c>
      <c r="B9048" s="1" t="n">
        <v>45180.67883101852</v>
      </c>
      <c r="C9048" s="1" t="n">
        <v>46075</v>
      </c>
      <c r="D9048" t="inlineStr">
        <is>
          <t>VÄSTERBOTTENS LÄN</t>
        </is>
      </c>
      <c r="E9048" t="inlineStr">
        <is>
          <t>UMEÅ</t>
        </is>
      </c>
      <c r="G9048" t="n">
        <v>3.5</v>
      </c>
      <c r="H9048" t="n">
        <v>0</v>
      </c>
      <c r="I9048" t="n">
        <v>0</v>
      </c>
      <c r="J9048" t="n">
        <v>0</v>
      </c>
      <c r="K9048" t="n">
        <v>0</v>
      </c>
      <c r="L9048" t="n">
        <v>0</v>
      </c>
      <c r="M9048" t="n">
        <v>0</v>
      </c>
      <c r="N9048" t="n">
        <v>0</v>
      </c>
      <c r="O9048" t="n">
        <v>0</v>
      </c>
      <c r="P9048" t="n">
        <v>0</v>
      </c>
      <c r="Q9048" t="n">
        <v>0</v>
      </c>
      <c r="R9048" s="2" t="inlineStr"/>
    </row>
    <row r="9049" ht="15" customHeight="1">
      <c r="A9049" t="inlineStr">
        <is>
          <t>A 62459-2025</t>
        </is>
      </c>
      <c r="B9049" s="1" t="n">
        <v>46007.50287037037</v>
      </c>
      <c r="C9049" s="1" t="n">
        <v>46075</v>
      </c>
      <c r="D9049" t="inlineStr">
        <is>
          <t>VÄSTERBOTTENS LÄN</t>
        </is>
      </c>
      <c r="E9049" t="inlineStr">
        <is>
          <t>BJURHOLM</t>
        </is>
      </c>
      <c r="G9049" t="n">
        <v>5.7</v>
      </c>
      <c r="H9049" t="n">
        <v>0</v>
      </c>
      <c r="I9049" t="n">
        <v>0</v>
      </c>
      <c r="J9049" t="n">
        <v>0</v>
      </c>
      <c r="K9049" t="n">
        <v>0</v>
      </c>
      <c r="L9049" t="n">
        <v>0</v>
      </c>
      <c r="M9049" t="n">
        <v>0</v>
      </c>
      <c r="N9049" t="n">
        <v>0</v>
      </c>
      <c r="O9049" t="n">
        <v>0</v>
      </c>
      <c r="P9049" t="n">
        <v>0</v>
      </c>
      <c r="Q9049" t="n">
        <v>0</v>
      </c>
      <c r="R9049" s="2" t="inlineStr"/>
    </row>
    <row r="9050" ht="15" customHeight="1">
      <c r="A9050" t="inlineStr">
        <is>
          <t>A 14857-2023</t>
        </is>
      </c>
      <c r="B9050" s="1" t="n">
        <v>45014</v>
      </c>
      <c r="C9050" s="1" t="n">
        <v>46075</v>
      </c>
      <c r="D9050" t="inlineStr">
        <is>
          <t>VÄSTERBOTTENS LÄN</t>
        </is>
      </c>
      <c r="E9050" t="inlineStr">
        <is>
          <t>LYCKSELE</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47799-2023</t>
        </is>
      </c>
      <c r="B9051" s="1" t="n">
        <v>45203</v>
      </c>
      <c r="C9051" s="1" t="n">
        <v>46075</v>
      </c>
      <c r="D9051" t="inlineStr">
        <is>
          <t>VÄSTERBOTTENS LÄN</t>
        </is>
      </c>
      <c r="E9051" t="inlineStr">
        <is>
          <t>MALÅ</t>
        </is>
      </c>
      <c r="G9051" t="n">
        <v>7.5</v>
      </c>
      <c r="H9051" t="n">
        <v>0</v>
      </c>
      <c r="I9051" t="n">
        <v>0</v>
      </c>
      <c r="J9051" t="n">
        <v>0</v>
      </c>
      <c r="K9051" t="n">
        <v>0</v>
      </c>
      <c r="L9051" t="n">
        <v>0</v>
      </c>
      <c r="M9051" t="n">
        <v>0</v>
      </c>
      <c r="N9051" t="n">
        <v>0</v>
      </c>
      <c r="O9051" t="n">
        <v>0</v>
      </c>
      <c r="P9051" t="n">
        <v>0</v>
      </c>
      <c r="Q9051" t="n">
        <v>0</v>
      </c>
      <c r="R9051" s="2" t="inlineStr"/>
    </row>
    <row r="9052" ht="15" customHeight="1">
      <c r="A9052" t="inlineStr">
        <is>
          <t>A 17132-2025</t>
        </is>
      </c>
      <c r="B9052" s="1" t="n">
        <v>45755</v>
      </c>
      <c r="C9052" s="1" t="n">
        <v>46075</v>
      </c>
      <c r="D9052" t="inlineStr">
        <is>
          <t>VÄSTERBOTTENS LÄN</t>
        </is>
      </c>
      <c r="E9052" t="inlineStr">
        <is>
          <t>DOROTEA</t>
        </is>
      </c>
      <c r="G9052" t="n">
        <v>7.6</v>
      </c>
      <c r="H9052" t="n">
        <v>0</v>
      </c>
      <c r="I9052" t="n">
        <v>0</v>
      </c>
      <c r="J9052" t="n">
        <v>0</v>
      </c>
      <c r="K9052" t="n">
        <v>0</v>
      </c>
      <c r="L9052" t="n">
        <v>0</v>
      </c>
      <c r="M9052" t="n">
        <v>0</v>
      </c>
      <c r="N9052" t="n">
        <v>0</v>
      </c>
      <c r="O9052" t="n">
        <v>0</v>
      </c>
      <c r="P9052" t="n">
        <v>0</v>
      </c>
      <c r="Q9052" t="n">
        <v>0</v>
      </c>
      <c r="R9052" s="2" t="inlineStr"/>
    </row>
    <row r="9053" ht="15" customHeight="1">
      <c r="A9053" t="inlineStr">
        <is>
          <t>A 53083-2022</t>
        </is>
      </c>
      <c r="B9053" s="1" t="n">
        <v>44876</v>
      </c>
      <c r="C9053" s="1" t="n">
        <v>46075</v>
      </c>
      <c r="D9053" t="inlineStr">
        <is>
          <t>VÄSTERBOTTENS LÄN</t>
        </is>
      </c>
      <c r="E9053" t="inlineStr">
        <is>
          <t>SKELLEFTEÅ</t>
        </is>
      </c>
      <c r="G9053" t="n">
        <v>4.2</v>
      </c>
      <c r="H9053" t="n">
        <v>0</v>
      </c>
      <c r="I9053" t="n">
        <v>0</v>
      </c>
      <c r="J9053" t="n">
        <v>0</v>
      </c>
      <c r="K9053" t="n">
        <v>0</v>
      </c>
      <c r="L9053" t="n">
        <v>0</v>
      </c>
      <c r="M9053" t="n">
        <v>0</v>
      </c>
      <c r="N9053" t="n">
        <v>0</v>
      </c>
      <c r="O9053" t="n">
        <v>0</v>
      </c>
      <c r="P9053" t="n">
        <v>0</v>
      </c>
      <c r="Q9053" t="n">
        <v>0</v>
      </c>
      <c r="R9053" s="2" t="inlineStr"/>
    </row>
    <row r="9054" ht="15" customHeight="1">
      <c r="A9054" t="inlineStr">
        <is>
          <t>A 4796-2026</t>
        </is>
      </c>
      <c r="B9054" s="1" t="n">
        <v>46048.5734375</v>
      </c>
      <c r="C9054" s="1" t="n">
        <v>46075</v>
      </c>
      <c r="D9054" t="inlineStr">
        <is>
          <t>VÄSTERBOTTENS LÄN</t>
        </is>
      </c>
      <c r="E9054" t="inlineStr">
        <is>
          <t>VILHELMINA</t>
        </is>
      </c>
      <c r="G9054" t="n">
        <v>2.4</v>
      </c>
      <c r="H9054" t="n">
        <v>0</v>
      </c>
      <c r="I9054" t="n">
        <v>0</v>
      </c>
      <c r="J9054" t="n">
        <v>0</v>
      </c>
      <c r="K9054" t="n">
        <v>0</v>
      </c>
      <c r="L9054" t="n">
        <v>0</v>
      </c>
      <c r="M9054" t="n">
        <v>0</v>
      </c>
      <c r="N9054" t="n">
        <v>0</v>
      </c>
      <c r="O9054" t="n">
        <v>0</v>
      </c>
      <c r="P9054" t="n">
        <v>0</v>
      </c>
      <c r="Q9054" t="n">
        <v>0</v>
      </c>
      <c r="R9054" s="2" t="inlineStr"/>
    </row>
    <row r="9055" ht="15" customHeight="1">
      <c r="A9055" t="inlineStr">
        <is>
          <t>A 18448-2023</t>
        </is>
      </c>
      <c r="B9055" s="1" t="n">
        <v>45042</v>
      </c>
      <c r="C9055" s="1" t="n">
        <v>46075</v>
      </c>
      <c r="D9055" t="inlineStr">
        <is>
          <t>VÄSTERBOTTENS LÄN</t>
        </is>
      </c>
      <c r="E9055" t="inlineStr">
        <is>
          <t>UMEÅ</t>
        </is>
      </c>
      <c r="G9055" t="n">
        <v>7.3</v>
      </c>
      <c r="H9055" t="n">
        <v>0</v>
      </c>
      <c r="I9055" t="n">
        <v>0</v>
      </c>
      <c r="J9055" t="n">
        <v>0</v>
      </c>
      <c r="K9055" t="n">
        <v>0</v>
      </c>
      <c r="L9055" t="n">
        <v>0</v>
      </c>
      <c r="M9055" t="n">
        <v>0</v>
      </c>
      <c r="N9055" t="n">
        <v>0</v>
      </c>
      <c r="O9055" t="n">
        <v>0</v>
      </c>
      <c r="P9055" t="n">
        <v>0</v>
      </c>
      <c r="Q9055" t="n">
        <v>0</v>
      </c>
      <c r="R9055" s="2" t="inlineStr"/>
    </row>
    <row r="9056" ht="15" customHeight="1">
      <c r="A9056" t="inlineStr">
        <is>
          <t>A 62061-2025</t>
        </is>
      </c>
      <c r="B9056" s="1" t="n">
        <v>46006.34446759259</v>
      </c>
      <c r="C9056" s="1" t="n">
        <v>46075</v>
      </c>
      <c r="D9056" t="inlineStr">
        <is>
          <t>VÄSTERBOTTENS LÄN</t>
        </is>
      </c>
      <c r="E9056" t="inlineStr">
        <is>
          <t>NORDMALING</t>
        </is>
      </c>
      <c r="G9056" t="n">
        <v>11.3</v>
      </c>
      <c r="H9056" t="n">
        <v>0</v>
      </c>
      <c r="I9056" t="n">
        <v>0</v>
      </c>
      <c r="J9056" t="n">
        <v>0</v>
      </c>
      <c r="K9056" t="n">
        <v>0</v>
      </c>
      <c r="L9056" t="n">
        <v>0</v>
      </c>
      <c r="M9056" t="n">
        <v>0</v>
      </c>
      <c r="N9056" t="n">
        <v>0</v>
      </c>
      <c r="O9056" t="n">
        <v>0</v>
      </c>
      <c r="P9056" t="n">
        <v>0</v>
      </c>
      <c r="Q9056" t="n">
        <v>0</v>
      </c>
      <c r="R9056" s="2" t="inlineStr"/>
    </row>
    <row r="9057" ht="15" customHeight="1">
      <c r="A9057" t="inlineStr">
        <is>
          <t>A 62085-2025</t>
        </is>
      </c>
      <c r="B9057" s="1" t="n">
        <v>46006.37502314815</v>
      </c>
      <c r="C9057" s="1" t="n">
        <v>46075</v>
      </c>
      <c r="D9057" t="inlineStr">
        <is>
          <t>VÄSTERBOTTENS LÄN</t>
        </is>
      </c>
      <c r="E9057" t="inlineStr">
        <is>
          <t>SKELLEFTEÅ</t>
        </is>
      </c>
      <c r="G9057" t="n">
        <v>0.5</v>
      </c>
      <c r="H9057" t="n">
        <v>0</v>
      </c>
      <c r="I9057" t="n">
        <v>0</v>
      </c>
      <c r="J9057" t="n">
        <v>0</v>
      </c>
      <c r="K9057" t="n">
        <v>0</v>
      </c>
      <c r="L9057" t="n">
        <v>0</v>
      </c>
      <c r="M9057" t="n">
        <v>0</v>
      </c>
      <c r="N9057" t="n">
        <v>0</v>
      </c>
      <c r="O9057" t="n">
        <v>0</v>
      </c>
      <c r="P9057" t="n">
        <v>0</v>
      </c>
      <c r="Q9057" t="n">
        <v>0</v>
      </c>
      <c r="R9057" s="2" t="inlineStr"/>
    </row>
    <row r="9058" ht="15" customHeight="1">
      <c r="A9058" t="inlineStr">
        <is>
          <t>A 62127-2025</t>
        </is>
      </c>
      <c r="B9058" s="1" t="n">
        <v>46006.44607638889</v>
      </c>
      <c r="C9058" s="1" t="n">
        <v>46075</v>
      </c>
      <c r="D9058" t="inlineStr">
        <is>
          <t>VÄSTERBOTTENS LÄN</t>
        </is>
      </c>
      <c r="E9058" t="inlineStr">
        <is>
          <t>SKELLEFTEÅ</t>
        </is>
      </c>
      <c r="G9058" t="n">
        <v>2.8</v>
      </c>
      <c r="H9058" t="n">
        <v>0</v>
      </c>
      <c r="I9058" t="n">
        <v>0</v>
      </c>
      <c r="J9058" t="n">
        <v>0</v>
      </c>
      <c r="K9058" t="n">
        <v>0</v>
      </c>
      <c r="L9058" t="n">
        <v>0</v>
      </c>
      <c r="M9058" t="n">
        <v>0</v>
      </c>
      <c r="N9058" t="n">
        <v>0</v>
      </c>
      <c r="O9058" t="n">
        <v>0</v>
      </c>
      <c r="P9058" t="n">
        <v>0</v>
      </c>
      <c r="Q9058" t="n">
        <v>0</v>
      </c>
      <c r="R9058" s="2" t="inlineStr"/>
    </row>
    <row r="9059" ht="15" customHeight="1">
      <c r="A9059" t="inlineStr">
        <is>
          <t>A 62151-2025</t>
        </is>
      </c>
      <c r="B9059" s="1" t="n">
        <v>46006.48128472222</v>
      </c>
      <c r="C9059" s="1" t="n">
        <v>46075</v>
      </c>
      <c r="D9059" t="inlineStr">
        <is>
          <t>VÄSTERBOTTENS LÄN</t>
        </is>
      </c>
      <c r="E9059" t="inlineStr">
        <is>
          <t>NORDMALING</t>
        </is>
      </c>
      <c r="G9059" t="n">
        <v>2.5</v>
      </c>
      <c r="H9059" t="n">
        <v>0</v>
      </c>
      <c r="I9059" t="n">
        <v>0</v>
      </c>
      <c r="J9059" t="n">
        <v>0</v>
      </c>
      <c r="K9059" t="n">
        <v>0</v>
      </c>
      <c r="L9059" t="n">
        <v>0</v>
      </c>
      <c r="M9059" t="n">
        <v>0</v>
      </c>
      <c r="N9059" t="n">
        <v>0</v>
      </c>
      <c r="O9059" t="n">
        <v>0</v>
      </c>
      <c r="P9059" t="n">
        <v>0</v>
      </c>
      <c r="Q9059" t="n">
        <v>0</v>
      </c>
      <c r="R9059" s="2" t="inlineStr"/>
    </row>
    <row r="9060" ht="15" customHeight="1">
      <c r="A9060" t="inlineStr">
        <is>
          <t>A 62157-2025</t>
        </is>
      </c>
      <c r="B9060" s="1" t="n">
        <v>46006.49039351852</v>
      </c>
      <c r="C9060" s="1" t="n">
        <v>46075</v>
      </c>
      <c r="D9060" t="inlineStr">
        <is>
          <t>VÄSTERBOTTENS LÄN</t>
        </is>
      </c>
      <c r="E9060" t="inlineStr">
        <is>
          <t>NORDMALING</t>
        </is>
      </c>
      <c r="G9060" t="n">
        <v>0.5</v>
      </c>
      <c r="H9060" t="n">
        <v>0</v>
      </c>
      <c r="I9060" t="n">
        <v>0</v>
      </c>
      <c r="J9060" t="n">
        <v>0</v>
      </c>
      <c r="K9060" t="n">
        <v>0</v>
      </c>
      <c r="L9060" t="n">
        <v>0</v>
      </c>
      <c r="M9060" t="n">
        <v>0</v>
      </c>
      <c r="N9060" t="n">
        <v>0</v>
      </c>
      <c r="O9060" t="n">
        <v>0</v>
      </c>
      <c r="P9060" t="n">
        <v>0</v>
      </c>
      <c r="Q9060" t="n">
        <v>0</v>
      </c>
      <c r="R9060" s="2" t="inlineStr"/>
    </row>
    <row r="9061" ht="15" customHeight="1">
      <c r="A9061" t="inlineStr">
        <is>
          <t>A 5008-2026</t>
        </is>
      </c>
      <c r="B9061" s="1" t="n">
        <v>46049.42824074074</v>
      </c>
      <c r="C9061" s="1" t="n">
        <v>46075</v>
      </c>
      <c r="D9061" t="inlineStr">
        <is>
          <t>VÄSTERBOTTENS LÄN</t>
        </is>
      </c>
      <c r="E9061" t="inlineStr">
        <is>
          <t>ÅSELE</t>
        </is>
      </c>
      <c r="F9061" t="inlineStr">
        <is>
          <t>SCA</t>
        </is>
      </c>
      <c r="G9061" t="n">
        <v>6.4</v>
      </c>
      <c r="H9061" t="n">
        <v>0</v>
      </c>
      <c r="I9061" t="n">
        <v>0</v>
      </c>
      <c r="J9061" t="n">
        <v>0</v>
      </c>
      <c r="K9061" t="n">
        <v>0</v>
      </c>
      <c r="L9061" t="n">
        <v>0</v>
      </c>
      <c r="M9061" t="n">
        <v>0</v>
      </c>
      <c r="N9061" t="n">
        <v>0</v>
      </c>
      <c r="O9061" t="n">
        <v>0</v>
      </c>
      <c r="P9061" t="n">
        <v>0</v>
      </c>
      <c r="Q9061" t="n">
        <v>0</v>
      </c>
      <c r="R9061" s="2" t="inlineStr"/>
    </row>
    <row r="9062" ht="15" customHeight="1">
      <c r="A9062" t="inlineStr">
        <is>
          <t>A 62642-2022</t>
        </is>
      </c>
      <c r="B9062" s="1" t="n">
        <v>44925</v>
      </c>
      <c r="C9062" s="1" t="n">
        <v>46075</v>
      </c>
      <c r="D9062" t="inlineStr">
        <is>
          <t>VÄSTERBOTTENS LÄN</t>
        </is>
      </c>
      <c r="E9062" t="inlineStr">
        <is>
          <t>SKELLEFTEÅ</t>
        </is>
      </c>
      <c r="F9062" t="inlineStr">
        <is>
          <t>Holmen skog AB</t>
        </is>
      </c>
      <c r="G9062" t="n">
        <v>5.7</v>
      </c>
      <c r="H9062" t="n">
        <v>0</v>
      </c>
      <c r="I9062" t="n">
        <v>0</v>
      </c>
      <c r="J9062" t="n">
        <v>0</v>
      </c>
      <c r="K9062" t="n">
        <v>0</v>
      </c>
      <c r="L9062" t="n">
        <v>0</v>
      </c>
      <c r="M9062" t="n">
        <v>0</v>
      </c>
      <c r="N9062" t="n">
        <v>0</v>
      </c>
      <c r="O9062" t="n">
        <v>0</v>
      </c>
      <c r="P9062" t="n">
        <v>0</v>
      </c>
      <c r="Q9062" t="n">
        <v>0</v>
      </c>
      <c r="R9062" s="2" t="inlineStr"/>
    </row>
    <row r="9063" ht="15" customHeight="1">
      <c r="A9063" t="inlineStr">
        <is>
          <t>A 62438-2025</t>
        </is>
      </c>
      <c r="B9063" s="1" t="n">
        <v>46007.46914351852</v>
      </c>
      <c r="C9063" s="1" t="n">
        <v>46075</v>
      </c>
      <c r="D9063" t="inlineStr">
        <is>
          <t>VÄSTERBOTTENS LÄN</t>
        </is>
      </c>
      <c r="E9063" t="inlineStr">
        <is>
          <t>DOROTEA</t>
        </is>
      </c>
      <c r="G9063" t="n">
        <v>11.9</v>
      </c>
      <c r="H9063" t="n">
        <v>0</v>
      </c>
      <c r="I9063" t="n">
        <v>0</v>
      </c>
      <c r="J9063" t="n">
        <v>0</v>
      </c>
      <c r="K9063" t="n">
        <v>0</v>
      </c>
      <c r="L9063" t="n">
        <v>0</v>
      </c>
      <c r="M9063" t="n">
        <v>0</v>
      </c>
      <c r="N9063" t="n">
        <v>0</v>
      </c>
      <c r="O9063" t="n">
        <v>0</v>
      </c>
      <c r="P9063" t="n">
        <v>0</v>
      </c>
      <c r="Q9063" t="n">
        <v>0</v>
      </c>
      <c r="R9063" s="2" t="inlineStr"/>
    </row>
    <row r="9064" ht="15" customHeight="1">
      <c r="A9064" t="inlineStr">
        <is>
          <t>A 62468-2025</t>
        </is>
      </c>
      <c r="B9064" s="1" t="n">
        <v>46007.51100694444</v>
      </c>
      <c r="C9064" s="1" t="n">
        <v>46075</v>
      </c>
      <c r="D9064" t="inlineStr">
        <is>
          <t>VÄSTERBOTTENS LÄN</t>
        </is>
      </c>
      <c r="E9064" t="inlineStr">
        <is>
          <t>SORSELE</t>
        </is>
      </c>
      <c r="G9064" t="n">
        <v>14.6</v>
      </c>
      <c r="H9064" t="n">
        <v>0</v>
      </c>
      <c r="I9064" t="n">
        <v>0</v>
      </c>
      <c r="J9064" t="n">
        <v>0</v>
      </c>
      <c r="K9064" t="n">
        <v>0</v>
      </c>
      <c r="L9064" t="n">
        <v>0</v>
      </c>
      <c r="M9064" t="n">
        <v>0</v>
      </c>
      <c r="N9064" t="n">
        <v>0</v>
      </c>
      <c r="O9064" t="n">
        <v>0</v>
      </c>
      <c r="P9064" t="n">
        <v>0</v>
      </c>
      <c r="Q9064" t="n">
        <v>0</v>
      </c>
      <c r="R9064" s="2" t="inlineStr"/>
    </row>
    <row r="9065" ht="15" customHeight="1">
      <c r="A9065" t="inlineStr">
        <is>
          <t>A 62497-2025</t>
        </is>
      </c>
      <c r="B9065" s="1" t="n">
        <v>46007.57502314815</v>
      </c>
      <c r="C9065" s="1" t="n">
        <v>46075</v>
      </c>
      <c r="D9065" t="inlineStr">
        <is>
          <t>VÄSTERBOTTENS LÄN</t>
        </is>
      </c>
      <c r="E9065" t="inlineStr">
        <is>
          <t>SKELLEFTEÅ</t>
        </is>
      </c>
      <c r="G9065" t="n">
        <v>2.6</v>
      </c>
      <c r="H9065" t="n">
        <v>0</v>
      </c>
      <c r="I9065" t="n">
        <v>0</v>
      </c>
      <c r="J9065" t="n">
        <v>0</v>
      </c>
      <c r="K9065" t="n">
        <v>0</v>
      </c>
      <c r="L9065" t="n">
        <v>0</v>
      </c>
      <c r="M9065" t="n">
        <v>0</v>
      </c>
      <c r="N9065" t="n">
        <v>0</v>
      </c>
      <c r="O9065" t="n">
        <v>0</v>
      </c>
      <c r="P9065" t="n">
        <v>0</v>
      </c>
      <c r="Q9065" t="n">
        <v>0</v>
      </c>
      <c r="R9065" s="2" t="inlineStr"/>
    </row>
    <row r="9066" ht="15" customHeight="1">
      <c r="A9066" t="inlineStr">
        <is>
          <t>A 43172-2023</t>
        </is>
      </c>
      <c r="B9066" s="1" t="n">
        <v>45183</v>
      </c>
      <c r="C9066" s="1" t="n">
        <v>46075</v>
      </c>
      <c r="D9066" t="inlineStr">
        <is>
          <t>VÄSTERBOTTENS LÄN</t>
        </is>
      </c>
      <c r="E9066" t="inlineStr">
        <is>
          <t>BJURHOLM</t>
        </is>
      </c>
      <c r="F9066" t="inlineStr">
        <is>
          <t>Holmen skog AB</t>
        </is>
      </c>
      <c r="G9066" t="n">
        <v>1.1</v>
      </c>
      <c r="H9066" t="n">
        <v>0</v>
      </c>
      <c r="I9066" t="n">
        <v>0</v>
      </c>
      <c r="J9066" t="n">
        <v>0</v>
      </c>
      <c r="K9066" t="n">
        <v>0</v>
      </c>
      <c r="L9066" t="n">
        <v>0</v>
      </c>
      <c r="M9066" t="n">
        <v>0</v>
      </c>
      <c r="N9066" t="n">
        <v>0</v>
      </c>
      <c r="O9066" t="n">
        <v>0</v>
      </c>
      <c r="P9066" t="n">
        <v>0</v>
      </c>
      <c r="Q9066" t="n">
        <v>0</v>
      </c>
      <c r="R9066" s="2" t="inlineStr"/>
    </row>
    <row r="9067" ht="15" customHeight="1">
      <c r="A9067" t="inlineStr">
        <is>
          <t>A 38696-2023</t>
        </is>
      </c>
      <c r="B9067" s="1" t="n">
        <v>45162.94581018519</v>
      </c>
      <c r="C9067" s="1" t="n">
        <v>46075</v>
      </c>
      <c r="D9067" t="inlineStr">
        <is>
          <t>VÄSTERBOTTENS LÄN</t>
        </is>
      </c>
      <c r="E9067" t="inlineStr">
        <is>
          <t>VINDELN</t>
        </is>
      </c>
      <c r="F9067" t="inlineStr">
        <is>
          <t>SCA</t>
        </is>
      </c>
      <c r="G9067" t="n">
        <v>2.5</v>
      </c>
      <c r="H9067" t="n">
        <v>0</v>
      </c>
      <c r="I9067" t="n">
        <v>0</v>
      </c>
      <c r="J9067" t="n">
        <v>0</v>
      </c>
      <c r="K9067" t="n">
        <v>0</v>
      </c>
      <c r="L9067" t="n">
        <v>0</v>
      </c>
      <c r="M9067" t="n">
        <v>0</v>
      </c>
      <c r="N9067" t="n">
        <v>0</v>
      </c>
      <c r="O9067" t="n">
        <v>0</v>
      </c>
      <c r="P9067" t="n">
        <v>0</v>
      </c>
      <c r="Q9067" t="n">
        <v>0</v>
      </c>
      <c r="R9067" s="2" t="inlineStr"/>
    </row>
    <row r="9068" ht="15" customHeight="1">
      <c r="A9068" t="inlineStr">
        <is>
          <t>A 62933-2023</t>
        </is>
      </c>
      <c r="B9068" s="1" t="n">
        <v>45271</v>
      </c>
      <c r="C9068" s="1" t="n">
        <v>46075</v>
      </c>
      <c r="D9068" t="inlineStr">
        <is>
          <t>VÄSTERBOTTENS LÄN</t>
        </is>
      </c>
      <c r="E9068" t="inlineStr">
        <is>
          <t>ROBERTSFORS</t>
        </is>
      </c>
      <c r="G9068" t="n">
        <v>2.8</v>
      </c>
      <c r="H9068" t="n">
        <v>0</v>
      </c>
      <c r="I9068" t="n">
        <v>0</v>
      </c>
      <c r="J9068" t="n">
        <v>0</v>
      </c>
      <c r="K9068" t="n">
        <v>0</v>
      </c>
      <c r="L9068" t="n">
        <v>0</v>
      </c>
      <c r="M9068" t="n">
        <v>0</v>
      </c>
      <c r="N9068" t="n">
        <v>0</v>
      </c>
      <c r="O9068" t="n">
        <v>0</v>
      </c>
      <c r="P9068" t="n">
        <v>0</v>
      </c>
      <c r="Q9068" t="n">
        <v>0</v>
      </c>
      <c r="R9068" s="2" t="inlineStr"/>
    </row>
    <row r="9069" ht="15" customHeight="1">
      <c r="A9069" t="inlineStr">
        <is>
          <t>A 54113-2023</t>
        </is>
      </c>
      <c r="B9069" s="1" t="n">
        <v>45232.39173611111</v>
      </c>
      <c r="C9069" s="1" t="n">
        <v>46075</v>
      </c>
      <c r="D9069" t="inlineStr">
        <is>
          <t>VÄSTERBOTTENS LÄN</t>
        </is>
      </c>
      <c r="E9069" t="inlineStr">
        <is>
          <t>SKELLEFTEÅ</t>
        </is>
      </c>
      <c r="G9069" t="n">
        <v>2.1</v>
      </c>
      <c r="H9069" t="n">
        <v>0</v>
      </c>
      <c r="I9069" t="n">
        <v>0</v>
      </c>
      <c r="J9069" t="n">
        <v>0</v>
      </c>
      <c r="K9069" t="n">
        <v>0</v>
      </c>
      <c r="L9069" t="n">
        <v>0</v>
      </c>
      <c r="M9069" t="n">
        <v>0</v>
      </c>
      <c r="N9069" t="n">
        <v>0</v>
      </c>
      <c r="O9069" t="n">
        <v>0</v>
      </c>
      <c r="P9069" t="n">
        <v>0</v>
      </c>
      <c r="Q9069" t="n">
        <v>0</v>
      </c>
      <c r="R9069" s="2" t="inlineStr"/>
    </row>
    <row r="9070" ht="15" customHeight="1">
      <c r="A9070" t="inlineStr">
        <is>
          <t>A 62319-2025</t>
        </is>
      </c>
      <c r="B9070" s="1" t="n">
        <v>46006.69791666666</v>
      </c>
      <c r="C9070" s="1" t="n">
        <v>46075</v>
      </c>
      <c r="D9070" t="inlineStr">
        <is>
          <t>VÄSTERBOTTENS LÄN</t>
        </is>
      </c>
      <c r="E9070" t="inlineStr">
        <is>
          <t>VILHELMINA</t>
        </is>
      </c>
      <c r="G9070" t="n">
        <v>8.5</v>
      </c>
      <c r="H9070" t="n">
        <v>0</v>
      </c>
      <c r="I9070" t="n">
        <v>0</v>
      </c>
      <c r="J9070" t="n">
        <v>0</v>
      </c>
      <c r="K9070" t="n">
        <v>0</v>
      </c>
      <c r="L9070" t="n">
        <v>0</v>
      </c>
      <c r="M9070" t="n">
        <v>0</v>
      </c>
      <c r="N9070" t="n">
        <v>0</v>
      </c>
      <c r="O9070" t="n">
        <v>0</v>
      </c>
      <c r="P9070" t="n">
        <v>0</v>
      </c>
      <c r="Q9070" t="n">
        <v>0</v>
      </c>
      <c r="R9070" s="2" t="inlineStr"/>
    </row>
    <row r="9071" ht="15" customHeight="1">
      <c r="A9071" t="inlineStr">
        <is>
          <t>A 39437-2024</t>
        </is>
      </c>
      <c r="B9071" s="1" t="n">
        <v>45551</v>
      </c>
      <c r="C9071" s="1" t="n">
        <v>46075</v>
      </c>
      <c r="D9071" t="inlineStr">
        <is>
          <t>VÄSTERBOTTENS LÄN</t>
        </is>
      </c>
      <c r="E9071" t="inlineStr">
        <is>
          <t>ROBERTSFORS</t>
        </is>
      </c>
      <c r="G9071" t="n">
        <v>1.2</v>
      </c>
      <c r="H9071" t="n">
        <v>0</v>
      </c>
      <c r="I9071" t="n">
        <v>0</v>
      </c>
      <c r="J9071" t="n">
        <v>0</v>
      </c>
      <c r="K9071" t="n">
        <v>0</v>
      </c>
      <c r="L9071" t="n">
        <v>0</v>
      </c>
      <c r="M9071" t="n">
        <v>0</v>
      </c>
      <c r="N9071" t="n">
        <v>0</v>
      </c>
      <c r="O9071" t="n">
        <v>0</v>
      </c>
      <c r="P9071" t="n">
        <v>0</v>
      </c>
      <c r="Q9071" t="n">
        <v>0</v>
      </c>
      <c r="R9071" s="2" t="inlineStr"/>
    </row>
    <row r="9072" ht="15" customHeight="1">
      <c r="A9072" t="inlineStr">
        <is>
          <t>A 39442-2024</t>
        </is>
      </c>
      <c r="B9072" s="1" t="n">
        <v>45551.61047453704</v>
      </c>
      <c r="C9072" s="1" t="n">
        <v>46075</v>
      </c>
      <c r="D9072" t="inlineStr">
        <is>
          <t>VÄSTERBOTTENS LÄN</t>
        </is>
      </c>
      <c r="E9072" t="inlineStr">
        <is>
          <t>MALÅ</t>
        </is>
      </c>
      <c r="F9072" t="inlineStr">
        <is>
          <t>Sveaskog</t>
        </is>
      </c>
      <c r="G9072" t="n">
        <v>11.4</v>
      </c>
      <c r="H9072" t="n">
        <v>0</v>
      </c>
      <c r="I9072" t="n">
        <v>0</v>
      </c>
      <c r="J9072" t="n">
        <v>0</v>
      </c>
      <c r="K9072" t="n">
        <v>0</v>
      </c>
      <c r="L9072" t="n">
        <v>0</v>
      </c>
      <c r="M9072" t="n">
        <v>0</v>
      </c>
      <c r="N9072" t="n">
        <v>0</v>
      </c>
      <c r="O9072" t="n">
        <v>0</v>
      </c>
      <c r="P9072" t="n">
        <v>0</v>
      </c>
      <c r="Q9072" t="n">
        <v>0</v>
      </c>
      <c r="R9072" s="2" t="inlineStr"/>
    </row>
    <row r="9073" ht="15" customHeight="1">
      <c r="A9073" t="inlineStr">
        <is>
          <t>A 39450-2024</t>
        </is>
      </c>
      <c r="B9073" s="1" t="n">
        <v>45551.61681712963</v>
      </c>
      <c r="C9073" s="1" t="n">
        <v>46075</v>
      </c>
      <c r="D9073" t="inlineStr">
        <is>
          <t>VÄSTERBOTTENS LÄN</t>
        </is>
      </c>
      <c r="E9073" t="inlineStr">
        <is>
          <t>ÅSELE</t>
        </is>
      </c>
      <c r="G9073" t="n">
        <v>1.8</v>
      </c>
      <c r="H9073" t="n">
        <v>0</v>
      </c>
      <c r="I9073" t="n">
        <v>0</v>
      </c>
      <c r="J9073" t="n">
        <v>0</v>
      </c>
      <c r="K9073" t="n">
        <v>0</v>
      </c>
      <c r="L9073" t="n">
        <v>0</v>
      </c>
      <c r="M9073" t="n">
        <v>0</v>
      </c>
      <c r="N9073" t="n">
        <v>0</v>
      </c>
      <c r="O9073" t="n">
        <v>0</v>
      </c>
      <c r="P9073" t="n">
        <v>0</v>
      </c>
      <c r="Q9073" t="n">
        <v>0</v>
      </c>
      <c r="R9073" s="2" t="inlineStr"/>
    </row>
    <row r="9074" ht="15" customHeight="1">
      <c r="A9074" t="inlineStr">
        <is>
          <t>A 62046-2025</t>
        </is>
      </c>
      <c r="B9074" s="1" t="n">
        <v>46006.27789351852</v>
      </c>
      <c r="C9074" s="1" t="n">
        <v>46075</v>
      </c>
      <c r="D9074" t="inlineStr">
        <is>
          <t>VÄSTERBOTTENS LÄN</t>
        </is>
      </c>
      <c r="E9074" t="inlineStr">
        <is>
          <t>SKELLEFTEÅ</t>
        </is>
      </c>
      <c r="G9074" t="n">
        <v>2.4</v>
      </c>
      <c r="H9074" t="n">
        <v>0</v>
      </c>
      <c r="I9074" t="n">
        <v>0</v>
      </c>
      <c r="J9074" t="n">
        <v>0</v>
      </c>
      <c r="K9074" t="n">
        <v>0</v>
      </c>
      <c r="L9074" t="n">
        <v>0</v>
      </c>
      <c r="M9074" t="n">
        <v>0</v>
      </c>
      <c r="N9074" t="n">
        <v>0</v>
      </c>
      <c r="O9074" t="n">
        <v>0</v>
      </c>
      <c r="P9074" t="n">
        <v>0</v>
      </c>
      <c r="Q9074" t="n">
        <v>0</v>
      </c>
      <c r="R9074" s="2" t="inlineStr"/>
    </row>
    <row r="9075" ht="15" customHeight="1">
      <c r="A9075" t="inlineStr">
        <is>
          <t>A 62053-2025</t>
        </is>
      </c>
      <c r="B9075" s="1" t="n">
        <v>46006.33436342593</v>
      </c>
      <c r="C9075" s="1" t="n">
        <v>46075</v>
      </c>
      <c r="D9075" t="inlineStr">
        <is>
          <t>VÄSTERBOTTENS LÄN</t>
        </is>
      </c>
      <c r="E9075" t="inlineStr">
        <is>
          <t>NORDMALING</t>
        </is>
      </c>
      <c r="G9075" t="n">
        <v>2.9</v>
      </c>
      <c r="H9075" t="n">
        <v>0</v>
      </c>
      <c r="I9075" t="n">
        <v>0</v>
      </c>
      <c r="J9075" t="n">
        <v>0</v>
      </c>
      <c r="K9075" t="n">
        <v>0</v>
      </c>
      <c r="L9075" t="n">
        <v>0</v>
      </c>
      <c r="M9075" t="n">
        <v>0</v>
      </c>
      <c r="N9075" t="n">
        <v>0</v>
      </c>
      <c r="O9075" t="n">
        <v>0</v>
      </c>
      <c r="P9075" t="n">
        <v>0</v>
      </c>
      <c r="Q9075" t="n">
        <v>0</v>
      </c>
      <c r="R9075" s="2" t="inlineStr"/>
    </row>
    <row r="9076" ht="15" customHeight="1">
      <c r="A9076" t="inlineStr">
        <is>
          <t>A 4898-2026</t>
        </is>
      </c>
      <c r="B9076" s="1" t="n">
        <v>46048.67756944444</v>
      </c>
      <c r="C9076" s="1" t="n">
        <v>46075</v>
      </c>
      <c r="D9076" t="inlineStr">
        <is>
          <t>VÄSTERBOTTENS LÄN</t>
        </is>
      </c>
      <c r="E9076" t="inlineStr">
        <is>
          <t>NORDMALING</t>
        </is>
      </c>
      <c r="G9076" t="n">
        <v>0.1</v>
      </c>
      <c r="H9076" t="n">
        <v>0</v>
      </c>
      <c r="I9076" t="n">
        <v>0</v>
      </c>
      <c r="J9076" t="n">
        <v>0</v>
      </c>
      <c r="K9076" t="n">
        <v>0</v>
      </c>
      <c r="L9076" t="n">
        <v>0</v>
      </c>
      <c r="M9076" t="n">
        <v>0</v>
      </c>
      <c r="N9076" t="n">
        <v>0</v>
      </c>
      <c r="O9076" t="n">
        <v>0</v>
      </c>
      <c r="P9076" t="n">
        <v>0</v>
      </c>
      <c r="Q9076" t="n">
        <v>0</v>
      </c>
      <c r="R9076" s="2" t="inlineStr"/>
    </row>
    <row r="9077" ht="15" customHeight="1">
      <c r="A9077" t="inlineStr">
        <is>
          <t>A 13887-2023</t>
        </is>
      </c>
      <c r="B9077" s="1" t="n">
        <v>45007.95096064815</v>
      </c>
      <c r="C9077" s="1" t="n">
        <v>46075</v>
      </c>
      <c r="D9077" t="inlineStr">
        <is>
          <t>VÄSTERBOTTENS LÄN</t>
        </is>
      </c>
      <c r="E9077" t="inlineStr">
        <is>
          <t>VINDELN</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17483-2023</t>
        </is>
      </c>
      <c r="B9078" s="1" t="n">
        <v>45034</v>
      </c>
      <c r="C9078" s="1" t="n">
        <v>46075</v>
      </c>
      <c r="D9078" t="inlineStr">
        <is>
          <t>VÄSTERBOTTENS LÄN</t>
        </is>
      </c>
      <c r="E9078" t="inlineStr">
        <is>
          <t>SKELLEFTEÅ</t>
        </is>
      </c>
      <c r="G9078" t="n">
        <v>3.7</v>
      </c>
      <c r="H9078" t="n">
        <v>0</v>
      </c>
      <c r="I9078" t="n">
        <v>0</v>
      </c>
      <c r="J9078" t="n">
        <v>0</v>
      </c>
      <c r="K9078" t="n">
        <v>0</v>
      </c>
      <c r="L9078" t="n">
        <v>0</v>
      </c>
      <c r="M9078" t="n">
        <v>0</v>
      </c>
      <c r="N9078" t="n">
        <v>0</v>
      </c>
      <c r="O9078" t="n">
        <v>0</v>
      </c>
      <c r="P9078" t="n">
        <v>0</v>
      </c>
      <c r="Q9078" t="n">
        <v>0</v>
      </c>
      <c r="R9078" s="2" t="inlineStr"/>
    </row>
    <row r="9079" ht="15" customHeight="1">
      <c r="A9079" t="inlineStr">
        <is>
          <t>A 62122-2025</t>
        </is>
      </c>
      <c r="B9079" s="1" t="n">
        <v>46006.44251157407</v>
      </c>
      <c r="C9079" s="1" t="n">
        <v>46075</v>
      </c>
      <c r="D9079" t="inlineStr">
        <is>
          <t>VÄSTERBOTTENS LÄN</t>
        </is>
      </c>
      <c r="E9079" t="inlineStr">
        <is>
          <t>VINDELN</t>
        </is>
      </c>
      <c r="F9079" t="inlineStr">
        <is>
          <t>Sveaskog</t>
        </is>
      </c>
      <c r="G9079" t="n">
        <v>1.7</v>
      </c>
      <c r="H9079" t="n">
        <v>0</v>
      </c>
      <c r="I9079" t="n">
        <v>0</v>
      </c>
      <c r="J9079" t="n">
        <v>0</v>
      </c>
      <c r="K9079" t="n">
        <v>0</v>
      </c>
      <c r="L9079" t="n">
        <v>0</v>
      </c>
      <c r="M9079" t="n">
        <v>0</v>
      </c>
      <c r="N9079" t="n">
        <v>0</v>
      </c>
      <c r="O9079" t="n">
        <v>0</v>
      </c>
      <c r="P9079" t="n">
        <v>0</v>
      </c>
      <c r="Q9079" t="n">
        <v>0</v>
      </c>
      <c r="R9079" s="2" t="inlineStr"/>
    </row>
    <row r="9080" ht="15" customHeight="1">
      <c r="A9080" t="inlineStr">
        <is>
          <t>A 62058-2025</t>
        </is>
      </c>
      <c r="B9080" s="1" t="n">
        <v>46006.34244212963</v>
      </c>
      <c r="C9080" s="1" t="n">
        <v>46075</v>
      </c>
      <c r="D9080" t="inlineStr">
        <is>
          <t>VÄSTERBOTTENS LÄN</t>
        </is>
      </c>
      <c r="E9080" t="inlineStr">
        <is>
          <t>NORDMALING</t>
        </is>
      </c>
      <c r="F9080" t="inlineStr">
        <is>
          <t>Holmen skog AB</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62078-2025</t>
        </is>
      </c>
      <c r="B9081" s="1" t="n">
        <v>46006.36768518519</v>
      </c>
      <c r="C9081" s="1" t="n">
        <v>46075</v>
      </c>
      <c r="D9081" t="inlineStr">
        <is>
          <t>VÄSTERBOTTENS LÄN</t>
        </is>
      </c>
      <c r="E9081" t="inlineStr">
        <is>
          <t>NORDMALING</t>
        </is>
      </c>
      <c r="G9081" t="n">
        <v>11.6</v>
      </c>
      <c r="H9081" t="n">
        <v>0</v>
      </c>
      <c r="I9081" t="n">
        <v>0</v>
      </c>
      <c r="J9081" t="n">
        <v>0</v>
      </c>
      <c r="K9081" t="n">
        <v>0</v>
      </c>
      <c r="L9081" t="n">
        <v>0</v>
      </c>
      <c r="M9081" t="n">
        <v>0</v>
      </c>
      <c r="N9081" t="n">
        <v>0</v>
      </c>
      <c r="O9081" t="n">
        <v>0</v>
      </c>
      <c r="P9081" t="n">
        <v>0</v>
      </c>
      <c r="Q9081" t="n">
        <v>0</v>
      </c>
      <c r="R9081" s="2" t="inlineStr"/>
    </row>
    <row r="9082" ht="15" customHeight="1">
      <c r="A9082" t="inlineStr">
        <is>
          <t>A 49557-2024</t>
        </is>
      </c>
      <c r="B9082" s="1" t="n">
        <v>45596.46950231482</v>
      </c>
      <c r="C9082" s="1" t="n">
        <v>46075</v>
      </c>
      <c r="D9082" t="inlineStr">
        <is>
          <t>VÄSTERBOTTENS LÄN</t>
        </is>
      </c>
      <c r="E9082" t="inlineStr">
        <is>
          <t>VINDELN</t>
        </is>
      </c>
      <c r="F9082" t="inlineStr">
        <is>
          <t>SCA</t>
        </is>
      </c>
      <c r="G9082" t="n">
        <v>2.8</v>
      </c>
      <c r="H9082" t="n">
        <v>0</v>
      </c>
      <c r="I9082" t="n">
        <v>0</v>
      </c>
      <c r="J9082" t="n">
        <v>0</v>
      </c>
      <c r="K9082" t="n">
        <v>0</v>
      </c>
      <c r="L9082" t="n">
        <v>0</v>
      </c>
      <c r="M9082" t="n">
        <v>0</v>
      </c>
      <c r="N9082" t="n">
        <v>0</v>
      </c>
      <c r="O9082" t="n">
        <v>0</v>
      </c>
      <c r="P9082" t="n">
        <v>0</v>
      </c>
      <c r="Q9082" t="n">
        <v>0</v>
      </c>
      <c r="R9082" s="2" t="inlineStr"/>
    </row>
    <row r="9083" ht="15" customHeight="1">
      <c r="A9083" t="inlineStr">
        <is>
          <t>A 37387-2024</t>
        </is>
      </c>
      <c r="B9083" s="1" t="n">
        <v>45540.58892361111</v>
      </c>
      <c r="C9083" s="1" t="n">
        <v>46075</v>
      </c>
      <c r="D9083" t="inlineStr">
        <is>
          <t>VÄSTERBOTTENS LÄN</t>
        </is>
      </c>
      <c r="E9083" t="inlineStr">
        <is>
          <t>VINDELN</t>
        </is>
      </c>
      <c r="F9083" t="inlineStr">
        <is>
          <t>Holmen skog AB</t>
        </is>
      </c>
      <c r="G9083" t="n">
        <v>3.4</v>
      </c>
      <c r="H9083" t="n">
        <v>0</v>
      </c>
      <c r="I9083" t="n">
        <v>0</v>
      </c>
      <c r="J9083" t="n">
        <v>0</v>
      </c>
      <c r="K9083" t="n">
        <v>0</v>
      </c>
      <c r="L9083" t="n">
        <v>0</v>
      </c>
      <c r="M9083" t="n">
        <v>0</v>
      </c>
      <c r="N9083" t="n">
        <v>0</v>
      </c>
      <c r="O9083" t="n">
        <v>0</v>
      </c>
      <c r="P9083" t="n">
        <v>0</v>
      </c>
      <c r="Q9083" t="n">
        <v>0</v>
      </c>
      <c r="R9083" s="2" t="inlineStr"/>
    </row>
    <row r="9084" ht="15" customHeight="1">
      <c r="A9084" t="inlineStr">
        <is>
          <t>A 37391-2024</t>
        </is>
      </c>
      <c r="B9084" s="1" t="n">
        <v>45540.59409722222</v>
      </c>
      <c r="C9084" s="1" t="n">
        <v>46075</v>
      </c>
      <c r="D9084" t="inlineStr">
        <is>
          <t>VÄSTERBOTTENS LÄN</t>
        </is>
      </c>
      <c r="E9084" t="inlineStr">
        <is>
          <t>LYCKSELE</t>
        </is>
      </c>
      <c r="F9084" t="inlineStr">
        <is>
          <t>SCA</t>
        </is>
      </c>
      <c r="G9084" t="n">
        <v>6.7</v>
      </c>
      <c r="H9084" t="n">
        <v>0</v>
      </c>
      <c r="I9084" t="n">
        <v>0</v>
      </c>
      <c r="J9084" t="n">
        <v>0</v>
      </c>
      <c r="K9084" t="n">
        <v>0</v>
      </c>
      <c r="L9084" t="n">
        <v>0</v>
      </c>
      <c r="M9084" t="n">
        <v>0</v>
      </c>
      <c r="N9084" t="n">
        <v>0</v>
      </c>
      <c r="O9084" t="n">
        <v>0</v>
      </c>
      <c r="P9084" t="n">
        <v>0</v>
      </c>
      <c r="Q9084" t="n">
        <v>0</v>
      </c>
      <c r="R9084" s="2" t="inlineStr"/>
    </row>
    <row r="9085" ht="15" customHeight="1">
      <c r="A9085" t="inlineStr">
        <is>
          <t>A 62424-2025</t>
        </is>
      </c>
      <c r="B9085" s="1" t="n">
        <v>46007.44877314815</v>
      </c>
      <c r="C9085" s="1" t="n">
        <v>46075</v>
      </c>
      <c r="D9085" t="inlineStr">
        <is>
          <t>VÄSTERBOTTENS LÄN</t>
        </is>
      </c>
      <c r="E9085" t="inlineStr">
        <is>
          <t>DOROTEA</t>
        </is>
      </c>
      <c r="G9085" t="n">
        <v>12.3</v>
      </c>
      <c r="H9085" t="n">
        <v>0</v>
      </c>
      <c r="I9085" t="n">
        <v>0</v>
      </c>
      <c r="J9085" t="n">
        <v>0</v>
      </c>
      <c r="K9085" t="n">
        <v>0</v>
      </c>
      <c r="L9085" t="n">
        <v>0</v>
      </c>
      <c r="M9085" t="n">
        <v>0</v>
      </c>
      <c r="N9085" t="n">
        <v>0</v>
      </c>
      <c r="O9085" t="n">
        <v>0</v>
      </c>
      <c r="P9085" t="n">
        <v>0</v>
      </c>
      <c r="Q9085" t="n">
        <v>0</v>
      </c>
      <c r="R9085" s="2" t="inlineStr"/>
    </row>
    <row r="9086" ht="15" customHeight="1">
      <c r="A9086" t="inlineStr">
        <is>
          <t>A 37395-2024</t>
        </is>
      </c>
      <c r="B9086" s="1" t="n">
        <v>45540.59734953703</v>
      </c>
      <c r="C9086" s="1" t="n">
        <v>46075</v>
      </c>
      <c r="D9086" t="inlineStr">
        <is>
          <t>VÄSTERBOTTENS LÄN</t>
        </is>
      </c>
      <c r="E9086" t="inlineStr">
        <is>
          <t>NORSJÖ</t>
        </is>
      </c>
      <c r="F9086" t="inlineStr">
        <is>
          <t>Holmen skog AB</t>
        </is>
      </c>
      <c r="G9086" t="n">
        <v>1.2</v>
      </c>
      <c r="H9086" t="n">
        <v>0</v>
      </c>
      <c r="I9086" t="n">
        <v>0</v>
      </c>
      <c r="J9086" t="n">
        <v>0</v>
      </c>
      <c r="K9086" t="n">
        <v>0</v>
      </c>
      <c r="L9086" t="n">
        <v>0</v>
      </c>
      <c r="M9086" t="n">
        <v>0</v>
      </c>
      <c r="N9086" t="n">
        <v>0</v>
      </c>
      <c r="O9086" t="n">
        <v>0</v>
      </c>
      <c r="P9086" t="n">
        <v>0</v>
      </c>
      <c r="Q9086" t="n">
        <v>0</v>
      </c>
      <c r="R9086" s="2" t="inlineStr"/>
    </row>
    <row r="9087" ht="15" customHeight="1">
      <c r="A9087" t="inlineStr">
        <is>
          <t>A 62476-2025</t>
        </is>
      </c>
      <c r="B9087" s="1" t="n">
        <v>46007.55145833334</v>
      </c>
      <c r="C9087" s="1" t="n">
        <v>46075</v>
      </c>
      <c r="D9087" t="inlineStr">
        <is>
          <t>VÄSTERBOTTENS LÄN</t>
        </is>
      </c>
      <c r="E9087" t="inlineStr">
        <is>
          <t>LYCKSELE</t>
        </is>
      </c>
      <c r="G9087" t="n">
        <v>36.8</v>
      </c>
      <c r="H9087" t="n">
        <v>0</v>
      </c>
      <c r="I9087" t="n">
        <v>0</v>
      </c>
      <c r="J9087" t="n">
        <v>0</v>
      </c>
      <c r="K9087" t="n">
        <v>0</v>
      </c>
      <c r="L9087" t="n">
        <v>0</v>
      </c>
      <c r="M9087" t="n">
        <v>0</v>
      </c>
      <c r="N9087" t="n">
        <v>0</v>
      </c>
      <c r="O9087" t="n">
        <v>0</v>
      </c>
      <c r="P9087" t="n">
        <v>0</v>
      </c>
      <c r="Q9087" t="n">
        <v>0</v>
      </c>
      <c r="R9087" s="2" t="inlineStr"/>
    </row>
    <row r="9088" ht="15" customHeight="1">
      <c r="A9088" t="inlineStr">
        <is>
          <t>A 62480-2025</t>
        </is>
      </c>
      <c r="B9088" s="1" t="n">
        <v>46007.55927083334</v>
      </c>
      <c r="C9088" s="1" t="n">
        <v>46075</v>
      </c>
      <c r="D9088" t="inlineStr">
        <is>
          <t>VÄSTERBOTTENS LÄN</t>
        </is>
      </c>
      <c r="E9088" t="inlineStr">
        <is>
          <t>SKELLEFTEÅ</t>
        </is>
      </c>
      <c r="F9088" t="inlineStr">
        <is>
          <t>Kommuner</t>
        </is>
      </c>
      <c r="G9088" t="n">
        <v>4.4</v>
      </c>
      <c r="H9088" t="n">
        <v>0</v>
      </c>
      <c r="I9088" t="n">
        <v>0</v>
      </c>
      <c r="J9088" t="n">
        <v>0</v>
      </c>
      <c r="K9088" t="n">
        <v>0</v>
      </c>
      <c r="L9088" t="n">
        <v>0</v>
      </c>
      <c r="M9088" t="n">
        <v>0</v>
      </c>
      <c r="N9088" t="n">
        <v>0</v>
      </c>
      <c r="O9088" t="n">
        <v>0</v>
      </c>
      <c r="P9088" t="n">
        <v>0</v>
      </c>
      <c r="Q9088" t="n">
        <v>0</v>
      </c>
      <c r="R9088" s="2" t="inlineStr"/>
    </row>
    <row r="9089" ht="15" customHeight="1">
      <c r="A9089" t="inlineStr">
        <is>
          <t>A 62498-2025</t>
        </is>
      </c>
      <c r="B9089" s="1" t="n">
        <v>46007.57701388889</v>
      </c>
      <c r="C9089" s="1" t="n">
        <v>46075</v>
      </c>
      <c r="D9089" t="inlineStr">
        <is>
          <t>VÄSTERBOTTENS LÄN</t>
        </is>
      </c>
      <c r="E9089" t="inlineStr">
        <is>
          <t>SKELLEFTEÅ</t>
        </is>
      </c>
      <c r="G9089" t="n">
        <v>3.4</v>
      </c>
      <c r="H9089" t="n">
        <v>0</v>
      </c>
      <c r="I9089" t="n">
        <v>0</v>
      </c>
      <c r="J9089" t="n">
        <v>0</v>
      </c>
      <c r="K9089" t="n">
        <v>0</v>
      </c>
      <c r="L9089" t="n">
        <v>0</v>
      </c>
      <c r="M9089" t="n">
        <v>0</v>
      </c>
      <c r="N9089" t="n">
        <v>0</v>
      </c>
      <c r="O9089" t="n">
        <v>0</v>
      </c>
      <c r="P9089" t="n">
        <v>0</v>
      </c>
      <c r="Q9089" t="n">
        <v>0</v>
      </c>
      <c r="R9089" s="2" t="inlineStr"/>
    </row>
    <row r="9090" ht="15" customHeight="1">
      <c r="A9090" t="inlineStr">
        <is>
          <t>A 24003-2025</t>
        </is>
      </c>
      <c r="B9090" s="1" t="n">
        <v>45796</v>
      </c>
      <c r="C9090" s="1" t="n">
        <v>46075</v>
      </c>
      <c r="D9090" t="inlineStr">
        <is>
          <t>VÄSTERBOTTENS LÄN</t>
        </is>
      </c>
      <c r="E9090" t="inlineStr">
        <is>
          <t>DOROTEA</t>
        </is>
      </c>
      <c r="F9090" t="inlineStr">
        <is>
          <t>SCA</t>
        </is>
      </c>
      <c r="G9090" t="n">
        <v>6.1</v>
      </c>
      <c r="H9090" t="n">
        <v>0</v>
      </c>
      <c r="I9090" t="n">
        <v>0</v>
      </c>
      <c r="J9090" t="n">
        <v>0</v>
      </c>
      <c r="K9090" t="n">
        <v>0</v>
      </c>
      <c r="L9090" t="n">
        <v>0</v>
      </c>
      <c r="M9090" t="n">
        <v>0</v>
      </c>
      <c r="N9090" t="n">
        <v>0</v>
      </c>
      <c r="O9090" t="n">
        <v>0</v>
      </c>
      <c r="P9090" t="n">
        <v>0</v>
      </c>
      <c r="Q9090" t="n">
        <v>0</v>
      </c>
      <c r="R9090" s="2" t="inlineStr"/>
    </row>
    <row r="9091" ht="15" customHeight="1">
      <c r="A9091" t="inlineStr">
        <is>
          <t>A 2859-2022</t>
        </is>
      </c>
      <c r="B9091" s="1" t="n">
        <v>44581</v>
      </c>
      <c r="C9091" s="1" t="n">
        <v>46075</v>
      </c>
      <c r="D9091" t="inlineStr">
        <is>
          <t>VÄSTERBOTTENS LÄN</t>
        </is>
      </c>
      <c r="E9091" t="inlineStr">
        <is>
          <t>LYCKSELE</t>
        </is>
      </c>
      <c r="G9091" t="n">
        <v>2.8</v>
      </c>
      <c r="H9091" t="n">
        <v>0</v>
      </c>
      <c r="I9091" t="n">
        <v>0</v>
      </c>
      <c r="J9091" t="n">
        <v>0</v>
      </c>
      <c r="K9091" t="n">
        <v>0</v>
      </c>
      <c r="L9091" t="n">
        <v>0</v>
      </c>
      <c r="M9091" t="n">
        <v>0</v>
      </c>
      <c r="N9091" t="n">
        <v>0</v>
      </c>
      <c r="O9091" t="n">
        <v>0</v>
      </c>
      <c r="P9091" t="n">
        <v>0</v>
      </c>
      <c r="Q9091" t="n">
        <v>0</v>
      </c>
      <c r="R9091" s="2" t="inlineStr"/>
    </row>
    <row r="9092" ht="15" customHeight="1">
      <c r="A9092" t="inlineStr">
        <is>
          <t>A 62128-2025</t>
        </is>
      </c>
      <c r="B9092" s="1" t="n">
        <v>46006</v>
      </c>
      <c r="C9092" s="1" t="n">
        <v>46075</v>
      </c>
      <c r="D9092" t="inlineStr">
        <is>
          <t>VÄSTERBOTTENS LÄN</t>
        </is>
      </c>
      <c r="E9092" t="inlineStr">
        <is>
          <t>SKELLEFTEÅ</t>
        </is>
      </c>
      <c r="G9092" t="n">
        <v>0.5</v>
      </c>
      <c r="H9092" t="n">
        <v>0</v>
      </c>
      <c r="I9092" t="n">
        <v>0</v>
      </c>
      <c r="J9092" t="n">
        <v>0</v>
      </c>
      <c r="K9092" t="n">
        <v>0</v>
      </c>
      <c r="L9092" t="n">
        <v>0</v>
      </c>
      <c r="M9092" t="n">
        <v>0</v>
      </c>
      <c r="N9092" t="n">
        <v>0</v>
      </c>
      <c r="O9092" t="n">
        <v>0</v>
      </c>
      <c r="P9092" t="n">
        <v>0</v>
      </c>
      <c r="Q9092" t="n">
        <v>0</v>
      </c>
      <c r="R9092" s="2" t="inlineStr"/>
    </row>
    <row r="9093" ht="15" customHeight="1">
      <c r="A9093" t="inlineStr">
        <is>
          <t>A 62130-2025</t>
        </is>
      </c>
      <c r="B9093" s="1" t="n">
        <v>46006.45099537037</v>
      </c>
      <c r="C9093" s="1" t="n">
        <v>46075</v>
      </c>
      <c r="D9093" t="inlineStr">
        <is>
          <t>VÄSTERBOTTENS LÄN</t>
        </is>
      </c>
      <c r="E9093" t="inlineStr">
        <is>
          <t>UMEÅ</t>
        </is>
      </c>
      <c r="F9093" t="inlineStr">
        <is>
          <t>Holmen skog AB</t>
        </is>
      </c>
      <c r="G9093" t="n">
        <v>6.1</v>
      </c>
      <c r="H9093" t="n">
        <v>0</v>
      </c>
      <c r="I9093" t="n">
        <v>0</v>
      </c>
      <c r="J9093" t="n">
        <v>0</v>
      </c>
      <c r="K9093" t="n">
        <v>0</v>
      </c>
      <c r="L9093" t="n">
        <v>0</v>
      </c>
      <c r="M9093" t="n">
        <v>0</v>
      </c>
      <c r="N9093" t="n">
        <v>0</v>
      </c>
      <c r="O9093" t="n">
        <v>0</v>
      </c>
      <c r="P9093" t="n">
        <v>0</v>
      </c>
      <c r="Q9093" t="n">
        <v>0</v>
      </c>
      <c r="R9093" s="2" t="inlineStr"/>
    </row>
    <row r="9094" ht="15" customHeight="1">
      <c r="A9094" t="inlineStr">
        <is>
          <t>A 62165-2025</t>
        </is>
      </c>
      <c r="B9094" s="1" t="n">
        <v>46006.49802083334</v>
      </c>
      <c r="C9094" s="1" t="n">
        <v>46075</v>
      </c>
      <c r="D9094" t="inlineStr">
        <is>
          <t>VÄSTERBOTTENS LÄN</t>
        </is>
      </c>
      <c r="E9094" t="inlineStr">
        <is>
          <t>NORDMALING</t>
        </is>
      </c>
      <c r="G9094" t="n">
        <v>3.1</v>
      </c>
      <c r="H9094" t="n">
        <v>0</v>
      </c>
      <c r="I9094" t="n">
        <v>0</v>
      </c>
      <c r="J9094" t="n">
        <v>0</v>
      </c>
      <c r="K9094" t="n">
        <v>0</v>
      </c>
      <c r="L9094" t="n">
        <v>0</v>
      </c>
      <c r="M9094" t="n">
        <v>0</v>
      </c>
      <c r="N9094" t="n">
        <v>0</v>
      </c>
      <c r="O9094" t="n">
        <v>0</v>
      </c>
      <c r="P9094" t="n">
        <v>0</v>
      </c>
      <c r="Q9094" t="n">
        <v>0</v>
      </c>
      <c r="R9094" s="2" t="inlineStr"/>
    </row>
    <row r="9095" ht="15" customHeight="1">
      <c r="A9095" t="inlineStr">
        <is>
          <t>A 62487-2025</t>
        </is>
      </c>
      <c r="B9095" s="1" t="n">
        <v>46007.56681712963</v>
      </c>
      <c r="C9095" s="1" t="n">
        <v>46075</v>
      </c>
      <c r="D9095" t="inlineStr">
        <is>
          <t>VÄSTERBOTTENS LÄN</t>
        </is>
      </c>
      <c r="E9095" t="inlineStr">
        <is>
          <t>SKELLEFTEÅ</t>
        </is>
      </c>
      <c r="F9095" t="inlineStr">
        <is>
          <t>Holmen skog AB</t>
        </is>
      </c>
      <c r="G9095" t="n">
        <v>1.4</v>
      </c>
      <c r="H9095" t="n">
        <v>0</v>
      </c>
      <c r="I9095" t="n">
        <v>0</v>
      </c>
      <c r="J9095" t="n">
        <v>0</v>
      </c>
      <c r="K9095" t="n">
        <v>0</v>
      </c>
      <c r="L9095" t="n">
        <v>0</v>
      </c>
      <c r="M9095" t="n">
        <v>0</v>
      </c>
      <c r="N9095" t="n">
        <v>0</v>
      </c>
      <c r="O9095" t="n">
        <v>0</v>
      </c>
      <c r="P9095" t="n">
        <v>0</v>
      </c>
      <c r="Q9095" t="n">
        <v>0</v>
      </c>
      <c r="R9095" s="2" t="inlineStr"/>
    </row>
    <row r="9096" ht="15" customHeight="1">
      <c r="A9096" t="inlineStr">
        <is>
          <t>A 62488-2025</t>
        </is>
      </c>
      <c r="B9096" s="1" t="n">
        <v>46007</v>
      </c>
      <c r="C9096" s="1" t="n">
        <v>46075</v>
      </c>
      <c r="D9096" t="inlineStr">
        <is>
          <t>VÄSTERBOTTENS LÄN</t>
        </is>
      </c>
      <c r="E9096" t="inlineStr">
        <is>
          <t>SKELLEFTEÅ</t>
        </is>
      </c>
      <c r="F9096" t="inlineStr">
        <is>
          <t>Kommuner</t>
        </is>
      </c>
      <c r="G9096" t="n">
        <v>4.9</v>
      </c>
      <c r="H9096" t="n">
        <v>0</v>
      </c>
      <c r="I9096" t="n">
        <v>0</v>
      </c>
      <c r="J9096" t="n">
        <v>0</v>
      </c>
      <c r="K9096" t="n">
        <v>0</v>
      </c>
      <c r="L9096" t="n">
        <v>0</v>
      </c>
      <c r="M9096" t="n">
        <v>0</v>
      </c>
      <c r="N9096" t="n">
        <v>0</v>
      </c>
      <c r="O9096" t="n">
        <v>0</v>
      </c>
      <c r="P9096" t="n">
        <v>0</v>
      </c>
      <c r="Q9096" t="n">
        <v>0</v>
      </c>
      <c r="R9096" s="2" t="inlineStr"/>
    </row>
    <row r="9097" ht="15" customHeight="1">
      <c r="A9097" t="inlineStr">
        <is>
          <t>A 5249-2024</t>
        </is>
      </c>
      <c r="B9097" s="1" t="n">
        <v>45330.93196759259</v>
      </c>
      <c r="C9097" s="1" t="n">
        <v>46075</v>
      </c>
      <c r="D9097" t="inlineStr">
        <is>
          <t>VÄSTERBOTTENS LÄN</t>
        </is>
      </c>
      <c r="E9097" t="inlineStr">
        <is>
          <t>ÅSELE</t>
        </is>
      </c>
      <c r="G9097" t="n">
        <v>8.699999999999999</v>
      </c>
      <c r="H9097" t="n">
        <v>0</v>
      </c>
      <c r="I9097" t="n">
        <v>0</v>
      </c>
      <c r="J9097" t="n">
        <v>0</v>
      </c>
      <c r="K9097" t="n">
        <v>0</v>
      </c>
      <c r="L9097" t="n">
        <v>0</v>
      </c>
      <c r="M9097" t="n">
        <v>0</v>
      </c>
      <c r="N9097" t="n">
        <v>0</v>
      </c>
      <c r="O9097" t="n">
        <v>0</v>
      </c>
      <c r="P9097" t="n">
        <v>0</v>
      </c>
      <c r="Q9097" t="n">
        <v>0</v>
      </c>
      <c r="R9097" s="2" t="inlineStr"/>
    </row>
    <row r="9098" ht="15" customHeight="1">
      <c r="A9098" t="inlineStr">
        <is>
          <t>A 5258-2024</t>
        </is>
      </c>
      <c r="B9098" s="1" t="n">
        <v>45330</v>
      </c>
      <c r="C9098" s="1" t="n">
        <v>46075</v>
      </c>
      <c r="D9098" t="inlineStr">
        <is>
          <t>VÄSTERBOTTENS LÄN</t>
        </is>
      </c>
      <c r="E9098" t="inlineStr">
        <is>
          <t>NORDMALING</t>
        </is>
      </c>
      <c r="F9098" t="inlineStr">
        <is>
          <t>SCA</t>
        </is>
      </c>
      <c r="G9098" t="n">
        <v>0.3</v>
      </c>
      <c r="H9098" t="n">
        <v>0</v>
      </c>
      <c r="I9098" t="n">
        <v>0</v>
      </c>
      <c r="J9098" t="n">
        <v>0</v>
      </c>
      <c r="K9098" t="n">
        <v>0</v>
      </c>
      <c r="L9098" t="n">
        <v>0</v>
      </c>
      <c r="M9098" t="n">
        <v>0</v>
      </c>
      <c r="N9098" t="n">
        <v>0</v>
      </c>
      <c r="O9098" t="n">
        <v>0</v>
      </c>
      <c r="P9098" t="n">
        <v>0</v>
      </c>
      <c r="Q9098" t="n">
        <v>0</v>
      </c>
      <c r="R9098" s="2" t="inlineStr"/>
    </row>
    <row r="9099" ht="15" customHeight="1">
      <c r="A9099" t="inlineStr">
        <is>
          <t>A 35738-2021</t>
        </is>
      </c>
      <c r="B9099" s="1" t="n">
        <v>44386.55082175926</v>
      </c>
      <c r="C9099" s="1" t="n">
        <v>46075</v>
      </c>
      <c r="D9099" t="inlineStr">
        <is>
          <t>VÄSTERBOTTENS LÄN</t>
        </is>
      </c>
      <c r="E9099" t="inlineStr">
        <is>
          <t>UMEÅ</t>
        </is>
      </c>
      <c r="G9099" t="n">
        <v>3.1</v>
      </c>
      <c r="H9099" t="n">
        <v>0</v>
      </c>
      <c r="I9099" t="n">
        <v>0</v>
      </c>
      <c r="J9099" t="n">
        <v>0</v>
      </c>
      <c r="K9099" t="n">
        <v>0</v>
      </c>
      <c r="L9099" t="n">
        <v>0</v>
      </c>
      <c r="M9099" t="n">
        <v>0</v>
      </c>
      <c r="N9099" t="n">
        <v>0</v>
      </c>
      <c r="O9099" t="n">
        <v>0</v>
      </c>
      <c r="P9099" t="n">
        <v>0</v>
      </c>
      <c r="Q9099" t="n">
        <v>0</v>
      </c>
      <c r="R9099" s="2" t="inlineStr"/>
    </row>
    <row r="9100" ht="15" customHeight="1">
      <c r="A9100" t="inlineStr">
        <is>
          <t>A 50365-2024</t>
        </is>
      </c>
      <c r="B9100" s="1" t="n">
        <v>45600</v>
      </c>
      <c r="C9100" s="1" t="n">
        <v>46075</v>
      </c>
      <c r="D9100" t="inlineStr">
        <is>
          <t>VÄSTERBOTTENS LÄN</t>
        </is>
      </c>
      <c r="E9100" t="inlineStr">
        <is>
          <t>LYCKSELE</t>
        </is>
      </c>
      <c r="G9100" t="n">
        <v>6</v>
      </c>
      <c r="H9100" t="n">
        <v>0</v>
      </c>
      <c r="I9100" t="n">
        <v>0</v>
      </c>
      <c r="J9100" t="n">
        <v>0</v>
      </c>
      <c r="K9100" t="n">
        <v>0</v>
      </c>
      <c r="L9100" t="n">
        <v>0</v>
      </c>
      <c r="M9100" t="n">
        <v>0</v>
      </c>
      <c r="N9100" t="n">
        <v>0</v>
      </c>
      <c r="O9100" t="n">
        <v>0</v>
      </c>
      <c r="P9100" t="n">
        <v>0</v>
      </c>
      <c r="Q9100" t="n">
        <v>0</v>
      </c>
      <c r="R9100" s="2" t="inlineStr"/>
    </row>
    <row r="9101" ht="15" customHeight="1">
      <c r="A9101" t="inlineStr">
        <is>
          <t>A 5184-2026</t>
        </is>
      </c>
      <c r="B9101" s="1" t="n">
        <v>46049.65674768519</v>
      </c>
      <c r="C9101" s="1" t="n">
        <v>46075</v>
      </c>
      <c r="D9101" t="inlineStr">
        <is>
          <t>VÄSTERBOTTENS LÄN</t>
        </is>
      </c>
      <c r="E9101" t="inlineStr">
        <is>
          <t>SKELLEFTEÅ</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5061-2026</t>
        </is>
      </c>
      <c r="B9102" s="1" t="n">
        <v>46049.48510416667</v>
      </c>
      <c r="C9102" s="1" t="n">
        <v>46075</v>
      </c>
      <c r="D9102" t="inlineStr">
        <is>
          <t>VÄSTERBOTTENS LÄN</t>
        </is>
      </c>
      <c r="E9102" t="inlineStr">
        <is>
          <t>VINDELN</t>
        </is>
      </c>
      <c r="G9102" t="n">
        <v>3.5</v>
      </c>
      <c r="H9102" t="n">
        <v>0</v>
      </c>
      <c r="I9102" t="n">
        <v>0</v>
      </c>
      <c r="J9102" t="n">
        <v>0</v>
      </c>
      <c r="K9102" t="n">
        <v>0</v>
      </c>
      <c r="L9102" t="n">
        <v>0</v>
      </c>
      <c r="M9102" t="n">
        <v>0</v>
      </c>
      <c r="N9102" t="n">
        <v>0</v>
      </c>
      <c r="O9102" t="n">
        <v>0</v>
      </c>
      <c r="P9102" t="n">
        <v>0</v>
      </c>
      <c r="Q9102" t="n">
        <v>0</v>
      </c>
      <c r="R9102" s="2" t="inlineStr"/>
    </row>
    <row r="9103" ht="15" customHeight="1">
      <c r="A9103" t="inlineStr">
        <is>
          <t>A 30456-2022</t>
        </is>
      </c>
      <c r="B9103" s="1" t="n">
        <v>44761</v>
      </c>
      <c r="C9103" s="1" t="n">
        <v>46075</v>
      </c>
      <c r="D9103" t="inlineStr">
        <is>
          <t>VÄSTERBOTTENS LÄN</t>
        </is>
      </c>
      <c r="E9103" t="inlineStr">
        <is>
          <t>DOROTEA</t>
        </is>
      </c>
      <c r="G9103" t="n">
        <v>10.6</v>
      </c>
      <c r="H9103" t="n">
        <v>0</v>
      </c>
      <c r="I9103" t="n">
        <v>0</v>
      </c>
      <c r="J9103" t="n">
        <v>0</v>
      </c>
      <c r="K9103" t="n">
        <v>0</v>
      </c>
      <c r="L9103" t="n">
        <v>0</v>
      </c>
      <c r="M9103" t="n">
        <v>0</v>
      </c>
      <c r="N9103" t="n">
        <v>0</v>
      </c>
      <c r="O9103" t="n">
        <v>0</v>
      </c>
      <c r="P9103" t="n">
        <v>0</v>
      </c>
      <c r="Q9103" t="n">
        <v>0</v>
      </c>
      <c r="R9103" s="2" t="inlineStr"/>
    </row>
    <row r="9104" ht="15" customHeight="1">
      <c r="A9104" t="inlineStr">
        <is>
          <t>A 48945-2022</t>
        </is>
      </c>
      <c r="B9104" s="1" t="n">
        <v>44859.95755787037</v>
      </c>
      <c r="C9104" s="1" t="n">
        <v>46075</v>
      </c>
      <c r="D9104" t="inlineStr">
        <is>
          <t>VÄSTERBOTTENS LÄN</t>
        </is>
      </c>
      <c r="E9104" t="inlineStr">
        <is>
          <t>NORDMALING</t>
        </is>
      </c>
      <c r="F9104" t="inlineStr">
        <is>
          <t>SCA</t>
        </is>
      </c>
      <c r="G9104" t="n">
        <v>3.5</v>
      </c>
      <c r="H9104" t="n">
        <v>0</v>
      </c>
      <c r="I9104" t="n">
        <v>0</v>
      </c>
      <c r="J9104" t="n">
        <v>0</v>
      </c>
      <c r="K9104" t="n">
        <v>0</v>
      </c>
      <c r="L9104" t="n">
        <v>0</v>
      </c>
      <c r="M9104" t="n">
        <v>0</v>
      </c>
      <c r="N9104" t="n">
        <v>0</v>
      </c>
      <c r="O9104" t="n">
        <v>0</v>
      </c>
      <c r="P9104" t="n">
        <v>0</v>
      </c>
      <c r="Q9104" t="n">
        <v>0</v>
      </c>
      <c r="R9104" s="2" t="inlineStr"/>
    </row>
    <row r="9105" ht="15" customHeight="1">
      <c r="A9105" t="inlineStr">
        <is>
          <t>A 22831-2023</t>
        </is>
      </c>
      <c r="B9105" s="1" t="n">
        <v>45072.42990740741</v>
      </c>
      <c r="C9105" s="1" t="n">
        <v>46075</v>
      </c>
      <c r="D9105" t="inlineStr">
        <is>
          <t>VÄSTERBOTTENS LÄN</t>
        </is>
      </c>
      <c r="E9105" t="inlineStr">
        <is>
          <t>ÅSELE</t>
        </is>
      </c>
      <c r="F9105" t="inlineStr">
        <is>
          <t>Holmen skog AB</t>
        </is>
      </c>
      <c r="G9105" t="n">
        <v>1.7</v>
      </c>
      <c r="H9105" t="n">
        <v>0</v>
      </c>
      <c r="I9105" t="n">
        <v>0</v>
      </c>
      <c r="J9105" t="n">
        <v>0</v>
      </c>
      <c r="K9105" t="n">
        <v>0</v>
      </c>
      <c r="L9105" t="n">
        <v>0</v>
      </c>
      <c r="M9105" t="n">
        <v>0</v>
      </c>
      <c r="N9105" t="n">
        <v>0</v>
      </c>
      <c r="O9105" t="n">
        <v>0</v>
      </c>
      <c r="P9105" t="n">
        <v>0</v>
      </c>
      <c r="Q9105" t="n">
        <v>0</v>
      </c>
      <c r="R9105" s="2" t="inlineStr"/>
    </row>
    <row r="9106" ht="15" customHeight="1">
      <c r="A9106" t="inlineStr">
        <is>
          <t>A 56923-2024</t>
        </is>
      </c>
      <c r="B9106" s="1" t="n">
        <v>45628.60170138889</v>
      </c>
      <c r="C9106" s="1" t="n">
        <v>46075</v>
      </c>
      <c r="D9106" t="inlineStr">
        <is>
          <t>VÄSTERBOTTENS LÄN</t>
        </is>
      </c>
      <c r="E9106" t="inlineStr">
        <is>
          <t>SKELLEFTEÅ</t>
        </is>
      </c>
      <c r="F9106" t="inlineStr">
        <is>
          <t>Holmen skog AB</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37078-2023</t>
        </is>
      </c>
      <c r="B9107" s="1" t="n">
        <v>45155</v>
      </c>
      <c r="C9107" s="1" t="n">
        <v>46075</v>
      </c>
      <c r="D9107" t="inlineStr">
        <is>
          <t>VÄSTERBOTTENS LÄN</t>
        </is>
      </c>
      <c r="E9107" t="inlineStr">
        <is>
          <t>MALÅ</t>
        </is>
      </c>
      <c r="G9107" t="n">
        <v>48.2</v>
      </c>
      <c r="H9107" t="n">
        <v>0</v>
      </c>
      <c r="I9107" t="n">
        <v>0</v>
      </c>
      <c r="J9107" t="n">
        <v>0</v>
      </c>
      <c r="K9107" t="n">
        <v>0</v>
      </c>
      <c r="L9107" t="n">
        <v>0</v>
      </c>
      <c r="M9107" t="n">
        <v>0</v>
      </c>
      <c r="N9107" t="n">
        <v>0</v>
      </c>
      <c r="O9107" t="n">
        <v>0</v>
      </c>
      <c r="P9107" t="n">
        <v>0</v>
      </c>
      <c r="Q9107" t="n">
        <v>0</v>
      </c>
      <c r="R9107" s="2" t="inlineStr"/>
    </row>
    <row r="9108" ht="15" customHeight="1">
      <c r="A9108" t="inlineStr">
        <is>
          <t>A 37181-2023</t>
        </is>
      </c>
      <c r="B9108" s="1" t="n">
        <v>45154</v>
      </c>
      <c r="C9108" s="1" t="n">
        <v>46075</v>
      </c>
      <c r="D9108" t="inlineStr">
        <is>
          <t>VÄSTERBOTTENS LÄN</t>
        </is>
      </c>
      <c r="E9108" t="inlineStr">
        <is>
          <t>MALÅ</t>
        </is>
      </c>
      <c r="G9108" t="n">
        <v>2.1</v>
      </c>
      <c r="H9108" t="n">
        <v>0</v>
      </c>
      <c r="I9108" t="n">
        <v>0</v>
      </c>
      <c r="J9108" t="n">
        <v>0</v>
      </c>
      <c r="K9108" t="n">
        <v>0</v>
      </c>
      <c r="L9108" t="n">
        <v>0</v>
      </c>
      <c r="M9108" t="n">
        <v>0</v>
      </c>
      <c r="N9108" t="n">
        <v>0</v>
      </c>
      <c r="O9108" t="n">
        <v>0</v>
      </c>
      <c r="P9108" t="n">
        <v>0</v>
      </c>
      <c r="Q9108" t="n">
        <v>0</v>
      </c>
      <c r="R9108" s="2" t="inlineStr"/>
    </row>
    <row r="9109" ht="15" customHeight="1">
      <c r="A9109" t="inlineStr">
        <is>
          <t>A 14928-2023</t>
        </is>
      </c>
      <c r="B9109" s="1" t="n">
        <v>45014</v>
      </c>
      <c r="C9109" s="1" t="n">
        <v>46075</v>
      </c>
      <c r="D9109" t="inlineStr">
        <is>
          <t>VÄSTERBOTTENS LÄN</t>
        </is>
      </c>
      <c r="E9109" t="inlineStr">
        <is>
          <t>UMEÅ</t>
        </is>
      </c>
      <c r="F9109" t="inlineStr">
        <is>
          <t>Kommuner</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58284-2021</t>
        </is>
      </c>
      <c r="B9110" s="1" t="n">
        <v>44487.97035879629</v>
      </c>
      <c r="C9110" s="1" t="n">
        <v>46075</v>
      </c>
      <c r="D9110" t="inlineStr">
        <is>
          <t>VÄSTERBOTTENS LÄN</t>
        </is>
      </c>
      <c r="E9110" t="inlineStr">
        <is>
          <t>UMEÅ</t>
        </is>
      </c>
      <c r="F9110" t="inlineStr">
        <is>
          <t>Kommuner</t>
        </is>
      </c>
      <c r="G9110" t="n">
        <v>1.9</v>
      </c>
      <c r="H9110" t="n">
        <v>0</v>
      </c>
      <c r="I9110" t="n">
        <v>0</v>
      </c>
      <c r="J9110" t="n">
        <v>0</v>
      </c>
      <c r="K9110" t="n">
        <v>0</v>
      </c>
      <c r="L9110" t="n">
        <v>0</v>
      </c>
      <c r="M9110" t="n">
        <v>0</v>
      </c>
      <c r="N9110" t="n">
        <v>0</v>
      </c>
      <c r="O9110" t="n">
        <v>0</v>
      </c>
      <c r="P9110" t="n">
        <v>0</v>
      </c>
      <c r="Q9110" t="n">
        <v>0</v>
      </c>
      <c r="R9110" s="2" t="inlineStr"/>
    </row>
    <row r="9111" ht="15" customHeight="1">
      <c r="A9111" t="inlineStr">
        <is>
          <t>A 7706-2025</t>
        </is>
      </c>
      <c r="B9111" s="1" t="n">
        <v>45706</v>
      </c>
      <c r="C9111" s="1" t="n">
        <v>46075</v>
      </c>
      <c r="D9111" t="inlineStr">
        <is>
          <t>VÄSTERBOTTENS LÄN</t>
        </is>
      </c>
      <c r="E9111" t="inlineStr">
        <is>
          <t>ÅSELE</t>
        </is>
      </c>
      <c r="F9111" t="inlineStr">
        <is>
          <t>Sveaskog</t>
        </is>
      </c>
      <c r="G9111" t="n">
        <v>24.8</v>
      </c>
      <c r="H9111" t="n">
        <v>0</v>
      </c>
      <c r="I9111" t="n">
        <v>0</v>
      </c>
      <c r="J9111" t="n">
        <v>0</v>
      </c>
      <c r="K9111" t="n">
        <v>0</v>
      </c>
      <c r="L9111" t="n">
        <v>0</v>
      </c>
      <c r="M9111" t="n">
        <v>0</v>
      </c>
      <c r="N9111" t="n">
        <v>0</v>
      </c>
      <c r="O9111" t="n">
        <v>0</v>
      </c>
      <c r="P9111" t="n">
        <v>0</v>
      </c>
      <c r="Q9111" t="n">
        <v>0</v>
      </c>
      <c r="R9111" s="2" t="inlineStr"/>
    </row>
    <row r="9112" ht="15" customHeight="1">
      <c r="A9112" t="inlineStr">
        <is>
          <t>A 62104-2025</t>
        </is>
      </c>
      <c r="B9112" s="1" t="n">
        <v>46006.41694444444</v>
      </c>
      <c r="C9112" s="1" t="n">
        <v>46075</v>
      </c>
      <c r="D9112" t="inlineStr">
        <is>
          <t>VÄSTERBOTTENS LÄN</t>
        </is>
      </c>
      <c r="E9112" t="inlineStr">
        <is>
          <t>UMEÅ</t>
        </is>
      </c>
      <c r="G9112" t="n">
        <v>2.9</v>
      </c>
      <c r="H9112" t="n">
        <v>0</v>
      </c>
      <c r="I9112" t="n">
        <v>0</v>
      </c>
      <c r="J9112" t="n">
        <v>0</v>
      </c>
      <c r="K9112" t="n">
        <v>0</v>
      </c>
      <c r="L9112" t="n">
        <v>0</v>
      </c>
      <c r="M9112" t="n">
        <v>0</v>
      </c>
      <c r="N9112" t="n">
        <v>0</v>
      </c>
      <c r="O9112" t="n">
        <v>0</v>
      </c>
      <c r="P9112" t="n">
        <v>0</v>
      </c>
      <c r="Q9112" t="n">
        <v>0</v>
      </c>
      <c r="R9112" s="2" t="inlineStr"/>
    </row>
    <row r="9113" ht="15" customHeight="1">
      <c r="A9113" t="inlineStr">
        <is>
          <t>A 62134-2025</t>
        </is>
      </c>
      <c r="B9113" s="1" t="n">
        <v>46006.45762731481</v>
      </c>
      <c r="C9113" s="1" t="n">
        <v>46075</v>
      </c>
      <c r="D9113" t="inlineStr">
        <is>
          <t>VÄSTERBOTTENS LÄN</t>
        </is>
      </c>
      <c r="E9113" t="inlineStr">
        <is>
          <t>SKELLEFTEÅ</t>
        </is>
      </c>
      <c r="G9113" t="n">
        <v>11.5</v>
      </c>
      <c r="H9113" t="n">
        <v>0</v>
      </c>
      <c r="I9113" t="n">
        <v>0</v>
      </c>
      <c r="J9113" t="n">
        <v>0</v>
      </c>
      <c r="K9113" t="n">
        <v>0</v>
      </c>
      <c r="L9113" t="n">
        <v>0</v>
      </c>
      <c r="M9113" t="n">
        <v>0</v>
      </c>
      <c r="N9113" t="n">
        <v>0</v>
      </c>
      <c r="O9113" t="n">
        <v>0</v>
      </c>
      <c r="P9113" t="n">
        <v>0</v>
      </c>
      <c r="Q9113" t="n">
        <v>0</v>
      </c>
      <c r="R9113" s="2" t="inlineStr"/>
    </row>
    <row r="9114" ht="15" customHeight="1">
      <c r="A9114" t="inlineStr">
        <is>
          <t>A 5145-2026</t>
        </is>
      </c>
      <c r="B9114" s="1" t="n">
        <v>46048</v>
      </c>
      <c r="C9114" s="1" t="n">
        <v>46075</v>
      </c>
      <c r="D9114" t="inlineStr">
        <is>
          <t>VÄSTERBOTTENS LÄN</t>
        </is>
      </c>
      <c r="E9114" t="inlineStr">
        <is>
          <t>ÅSELE</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7853-2025</t>
        </is>
      </c>
      <c r="B9115" s="1" t="n">
        <v>45706.67732638889</v>
      </c>
      <c r="C9115" s="1" t="n">
        <v>46075</v>
      </c>
      <c r="D9115" t="inlineStr">
        <is>
          <t>VÄSTERBOTTENS LÄN</t>
        </is>
      </c>
      <c r="E9115" t="inlineStr">
        <is>
          <t>UMEÅ</t>
        </is>
      </c>
      <c r="G9115" t="n">
        <v>1.6</v>
      </c>
      <c r="H9115" t="n">
        <v>0</v>
      </c>
      <c r="I9115" t="n">
        <v>0</v>
      </c>
      <c r="J9115" t="n">
        <v>0</v>
      </c>
      <c r="K9115" t="n">
        <v>0</v>
      </c>
      <c r="L9115" t="n">
        <v>0</v>
      </c>
      <c r="M9115" t="n">
        <v>0</v>
      </c>
      <c r="N9115" t="n">
        <v>0</v>
      </c>
      <c r="O9115" t="n">
        <v>0</v>
      </c>
      <c r="P9115" t="n">
        <v>0</v>
      </c>
      <c r="Q9115" t="n">
        <v>0</v>
      </c>
      <c r="R9115" s="2" t="inlineStr"/>
    </row>
    <row r="9116" ht="15" customHeight="1">
      <c r="A9116" t="inlineStr">
        <is>
          <t>A 62489-2025</t>
        </is>
      </c>
      <c r="B9116" s="1" t="n">
        <v>46007.56927083333</v>
      </c>
      <c r="C9116" s="1" t="n">
        <v>46075</v>
      </c>
      <c r="D9116" t="inlineStr">
        <is>
          <t>VÄSTERBOTTENS LÄN</t>
        </is>
      </c>
      <c r="E9116" t="inlineStr">
        <is>
          <t>SKELLEFTEÅ</t>
        </is>
      </c>
      <c r="G9116" t="n">
        <v>5.3</v>
      </c>
      <c r="H9116" t="n">
        <v>0</v>
      </c>
      <c r="I9116" t="n">
        <v>0</v>
      </c>
      <c r="J9116" t="n">
        <v>0</v>
      </c>
      <c r="K9116" t="n">
        <v>0</v>
      </c>
      <c r="L9116" t="n">
        <v>0</v>
      </c>
      <c r="M9116" t="n">
        <v>0</v>
      </c>
      <c r="N9116" t="n">
        <v>0</v>
      </c>
      <c r="O9116" t="n">
        <v>0</v>
      </c>
      <c r="P9116" t="n">
        <v>0</v>
      </c>
      <c r="Q9116" t="n">
        <v>0</v>
      </c>
      <c r="R9116" s="2" t="inlineStr"/>
    </row>
    <row r="9117" ht="15" customHeight="1">
      <c r="A9117" t="inlineStr">
        <is>
          <t>A 13821-2025</t>
        </is>
      </c>
      <c r="B9117" s="1" t="n">
        <v>45737.53157407408</v>
      </c>
      <c r="C9117" s="1" t="n">
        <v>46075</v>
      </c>
      <c r="D9117" t="inlineStr">
        <is>
          <t>VÄSTERBOTTENS LÄN</t>
        </is>
      </c>
      <c r="E9117" t="inlineStr">
        <is>
          <t>UMEÅ</t>
        </is>
      </c>
      <c r="G9117" t="n">
        <v>7.1</v>
      </c>
      <c r="H9117" t="n">
        <v>0</v>
      </c>
      <c r="I9117" t="n">
        <v>0</v>
      </c>
      <c r="J9117" t="n">
        <v>0</v>
      </c>
      <c r="K9117" t="n">
        <v>0</v>
      </c>
      <c r="L9117" t="n">
        <v>0</v>
      </c>
      <c r="M9117" t="n">
        <v>0</v>
      </c>
      <c r="N9117" t="n">
        <v>0</v>
      </c>
      <c r="O9117" t="n">
        <v>0</v>
      </c>
      <c r="P9117" t="n">
        <v>0</v>
      </c>
      <c r="Q9117" t="n">
        <v>0</v>
      </c>
      <c r="R9117" s="2" t="inlineStr"/>
    </row>
    <row r="9118" ht="15" customHeight="1">
      <c r="A9118" t="inlineStr">
        <is>
          <t>A 13828-2025</t>
        </is>
      </c>
      <c r="B9118" s="1" t="n">
        <v>45737.54446759259</v>
      </c>
      <c r="C9118" s="1" t="n">
        <v>46075</v>
      </c>
      <c r="D9118" t="inlineStr">
        <is>
          <t>VÄSTERBOTTENS LÄN</t>
        </is>
      </c>
      <c r="E9118" t="inlineStr">
        <is>
          <t>BJURHOLM</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5026-2026</t>
        </is>
      </c>
      <c r="B9119" s="1" t="n">
        <v>46049.44804398148</v>
      </c>
      <c r="C9119" s="1" t="n">
        <v>46075</v>
      </c>
      <c r="D9119" t="inlineStr">
        <is>
          <t>VÄSTERBOTTENS LÄN</t>
        </is>
      </c>
      <c r="E9119" t="inlineStr">
        <is>
          <t>LYCKSELE</t>
        </is>
      </c>
      <c r="F9119" t="inlineStr">
        <is>
          <t>Sveaskog</t>
        </is>
      </c>
      <c r="G9119" t="n">
        <v>24.6</v>
      </c>
      <c r="H9119" t="n">
        <v>0</v>
      </c>
      <c r="I9119" t="n">
        <v>0</v>
      </c>
      <c r="J9119" t="n">
        <v>0</v>
      </c>
      <c r="K9119" t="n">
        <v>0</v>
      </c>
      <c r="L9119" t="n">
        <v>0</v>
      </c>
      <c r="M9119" t="n">
        <v>0</v>
      </c>
      <c r="N9119" t="n">
        <v>0</v>
      </c>
      <c r="O9119" t="n">
        <v>0</v>
      </c>
      <c r="P9119" t="n">
        <v>0</v>
      </c>
      <c r="Q9119" t="n">
        <v>0</v>
      </c>
      <c r="R9119" s="2" t="inlineStr"/>
    </row>
    <row r="9120" ht="15" customHeight="1">
      <c r="A9120" t="inlineStr">
        <is>
          <t>A 5003-2026</t>
        </is>
      </c>
      <c r="B9120" s="1" t="n">
        <v>46049.42774305555</v>
      </c>
      <c r="C9120" s="1" t="n">
        <v>46075</v>
      </c>
      <c r="D9120" t="inlineStr">
        <is>
          <t>VÄSTERBOTTENS LÄN</t>
        </is>
      </c>
      <c r="E9120" t="inlineStr">
        <is>
          <t>ÅSELE</t>
        </is>
      </c>
      <c r="F9120" t="inlineStr">
        <is>
          <t>SCA</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62715-2022</t>
        </is>
      </c>
      <c r="B9121" s="1" t="n">
        <v>44925.63133101852</v>
      </c>
      <c r="C9121" s="1" t="n">
        <v>46075</v>
      </c>
      <c r="D9121" t="inlineStr">
        <is>
          <t>VÄSTERBOTTENS LÄN</t>
        </is>
      </c>
      <c r="E9121" t="inlineStr">
        <is>
          <t>LYCKSELE</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63031-2025</t>
        </is>
      </c>
      <c r="B9122" s="1" t="n">
        <v>46009.60197916667</v>
      </c>
      <c r="C9122" s="1" t="n">
        <v>46075</v>
      </c>
      <c r="D9122" t="inlineStr">
        <is>
          <t>VÄSTERBOTTENS LÄN</t>
        </is>
      </c>
      <c r="E9122" t="inlineStr">
        <is>
          <t>NORDMALING</t>
        </is>
      </c>
      <c r="G9122" t="n">
        <v>10.3</v>
      </c>
      <c r="H9122" t="n">
        <v>0</v>
      </c>
      <c r="I9122" t="n">
        <v>0</v>
      </c>
      <c r="J9122" t="n">
        <v>0</v>
      </c>
      <c r="K9122" t="n">
        <v>0</v>
      </c>
      <c r="L9122" t="n">
        <v>0</v>
      </c>
      <c r="M9122" t="n">
        <v>0</v>
      </c>
      <c r="N9122" t="n">
        <v>0</v>
      </c>
      <c r="O9122" t="n">
        <v>0</v>
      </c>
      <c r="P9122" t="n">
        <v>0</v>
      </c>
      <c r="Q9122" t="n">
        <v>0</v>
      </c>
      <c r="R9122" s="2" t="inlineStr"/>
    </row>
    <row r="9123" ht="15" customHeight="1">
      <c r="A9123" t="inlineStr">
        <is>
          <t>A 62726-2022</t>
        </is>
      </c>
      <c r="B9123" s="1" t="n">
        <v>44925</v>
      </c>
      <c r="C9123" s="1" t="n">
        <v>46075</v>
      </c>
      <c r="D9123" t="inlineStr">
        <is>
          <t>VÄSTERBOTTENS LÄN</t>
        </is>
      </c>
      <c r="E9123" t="inlineStr">
        <is>
          <t>VINDELN</t>
        </is>
      </c>
      <c r="G9123" t="n">
        <v>10.5</v>
      </c>
      <c r="H9123" t="n">
        <v>0</v>
      </c>
      <c r="I9123" t="n">
        <v>0</v>
      </c>
      <c r="J9123" t="n">
        <v>0</v>
      </c>
      <c r="K9123" t="n">
        <v>0</v>
      </c>
      <c r="L9123" t="n">
        <v>0</v>
      </c>
      <c r="M9123" t="n">
        <v>0</v>
      </c>
      <c r="N9123" t="n">
        <v>0</v>
      </c>
      <c r="O9123" t="n">
        <v>0</v>
      </c>
      <c r="P9123" t="n">
        <v>0</v>
      </c>
      <c r="Q9123" t="n">
        <v>0</v>
      </c>
      <c r="R9123" s="2" t="inlineStr"/>
    </row>
    <row r="9124" ht="15" customHeight="1">
      <c r="A9124" t="inlineStr">
        <is>
          <t>A 62727-2022</t>
        </is>
      </c>
      <c r="B9124" s="1" t="n">
        <v>44925</v>
      </c>
      <c r="C9124" s="1" t="n">
        <v>46075</v>
      </c>
      <c r="D9124" t="inlineStr">
        <is>
          <t>VÄSTERBOTTENS LÄN</t>
        </is>
      </c>
      <c r="E9124" t="inlineStr">
        <is>
          <t>VINDELN</t>
        </is>
      </c>
      <c r="G9124" t="n">
        <v>8.1</v>
      </c>
      <c r="H9124" t="n">
        <v>0</v>
      </c>
      <c r="I9124" t="n">
        <v>0</v>
      </c>
      <c r="J9124" t="n">
        <v>0</v>
      </c>
      <c r="K9124" t="n">
        <v>0</v>
      </c>
      <c r="L9124" t="n">
        <v>0</v>
      </c>
      <c r="M9124" t="n">
        <v>0</v>
      </c>
      <c r="N9124" t="n">
        <v>0</v>
      </c>
      <c r="O9124" t="n">
        <v>0</v>
      </c>
      <c r="P9124" t="n">
        <v>0</v>
      </c>
      <c r="Q9124" t="n">
        <v>0</v>
      </c>
      <c r="R9124" s="2" t="inlineStr"/>
    </row>
    <row r="9125" ht="15" customHeight="1">
      <c r="A9125" t="inlineStr">
        <is>
          <t>A 62753-2022</t>
        </is>
      </c>
      <c r="B9125" s="1" t="n">
        <v>44925</v>
      </c>
      <c r="C9125" s="1" t="n">
        <v>46075</v>
      </c>
      <c r="D9125" t="inlineStr">
        <is>
          <t>VÄSTERBOTTENS LÄN</t>
        </is>
      </c>
      <c r="E9125" t="inlineStr">
        <is>
          <t>VINDELN</t>
        </is>
      </c>
      <c r="F9125" t="inlineStr">
        <is>
          <t>SCA</t>
        </is>
      </c>
      <c r="G9125" t="n">
        <v>1.2</v>
      </c>
      <c r="H9125" t="n">
        <v>0</v>
      </c>
      <c r="I9125" t="n">
        <v>0</v>
      </c>
      <c r="J9125" t="n">
        <v>0</v>
      </c>
      <c r="K9125" t="n">
        <v>0</v>
      </c>
      <c r="L9125" t="n">
        <v>0</v>
      </c>
      <c r="M9125" t="n">
        <v>0</v>
      </c>
      <c r="N9125" t="n">
        <v>0</v>
      </c>
      <c r="O9125" t="n">
        <v>0</v>
      </c>
      <c r="P9125" t="n">
        <v>0</v>
      </c>
      <c r="Q9125" t="n">
        <v>0</v>
      </c>
      <c r="R9125" s="2" t="inlineStr"/>
    </row>
    <row r="9126" ht="15" customHeight="1">
      <c r="A9126" t="inlineStr">
        <is>
          <t>A 22072-2024</t>
        </is>
      </c>
      <c r="B9126" s="1" t="n">
        <v>45443.63575231482</v>
      </c>
      <c r="C9126" s="1" t="n">
        <v>46075</v>
      </c>
      <c r="D9126" t="inlineStr">
        <is>
          <t>VÄSTERBOTTENS LÄN</t>
        </is>
      </c>
      <c r="E9126" t="inlineStr">
        <is>
          <t>SKELLEFTEÅ</t>
        </is>
      </c>
      <c r="F9126" t="inlineStr">
        <is>
          <t>Holmen skog AB</t>
        </is>
      </c>
      <c r="G9126" t="n">
        <v>6</v>
      </c>
      <c r="H9126" t="n">
        <v>0</v>
      </c>
      <c r="I9126" t="n">
        <v>0</v>
      </c>
      <c r="J9126" t="n">
        <v>0</v>
      </c>
      <c r="K9126" t="n">
        <v>0</v>
      </c>
      <c r="L9126" t="n">
        <v>0</v>
      </c>
      <c r="M9126" t="n">
        <v>0</v>
      </c>
      <c r="N9126" t="n">
        <v>0</v>
      </c>
      <c r="O9126" t="n">
        <v>0</v>
      </c>
      <c r="P9126" t="n">
        <v>0</v>
      </c>
      <c r="Q9126" t="n">
        <v>0</v>
      </c>
      <c r="R9126" s="2" t="inlineStr"/>
    </row>
    <row r="9127" ht="15" customHeight="1">
      <c r="A9127" t="inlineStr">
        <is>
          <t>A 62618-2025</t>
        </is>
      </c>
      <c r="B9127" s="1" t="n">
        <v>46008.33600694445</v>
      </c>
      <c r="C9127" s="1" t="n">
        <v>46075</v>
      </c>
      <c r="D9127" t="inlineStr">
        <is>
          <t>VÄSTERBOTTENS LÄN</t>
        </is>
      </c>
      <c r="E9127" t="inlineStr">
        <is>
          <t>SKELLEFTEÅ</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5739-2026</t>
        </is>
      </c>
      <c r="B9128" s="1" t="n">
        <v>46051.57848379629</v>
      </c>
      <c r="C9128" s="1" t="n">
        <v>46075</v>
      </c>
      <c r="D9128" t="inlineStr">
        <is>
          <t>VÄSTERBOTTENS LÄN</t>
        </is>
      </c>
      <c r="E9128" t="inlineStr">
        <is>
          <t>SKELLEFTEÅ</t>
        </is>
      </c>
      <c r="G9128" t="n">
        <v>1.2</v>
      </c>
      <c r="H9128" t="n">
        <v>0</v>
      </c>
      <c r="I9128" t="n">
        <v>0</v>
      </c>
      <c r="J9128" t="n">
        <v>0</v>
      </c>
      <c r="K9128" t="n">
        <v>0</v>
      </c>
      <c r="L9128" t="n">
        <v>0</v>
      </c>
      <c r="M9128" t="n">
        <v>0</v>
      </c>
      <c r="N9128" t="n">
        <v>0</v>
      </c>
      <c r="O9128" t="n">
        <v>0</v>
      </c>
      <c r="P9128" t="n">
        <v>0</v>
      </c>
      <c r="Q9128" t="n">
        <v>0</v>
      </c>
      <c r="R9128" s="2" t="inlineStr"/>
    </row>
    <row r="9129" ht="15" customHeight="1">
      <c r="A9129" t="inlineStr">
        <is>
          <t>A 43630-2023</t>
        </is>
      </c>
      <c r="B9129" s="1" t="n">
        <v>45184</v>
      </c>
      <c r="C9129" s="1" t="n">
        <v>46075</v>
      </c>
      <c r="D9129" t="inlineStr">
        <is>
          <t>VÄSTERBOTTENS LÄN</t>
        </is>
      </c>
      <c r="E9129" t="inlineStr">
        <is>
          <t>NORSJÖ</t>
        </is>
      </c>
      <c r="G9129" t="n">
        <v>3.4</v>
      </c>
      <c r="H9129" t="n">
        <v>0</v>
      </c>
      <c r="I9129" t="n">
        <v>0</v>
      </c>
      <c r="J9129" t="n">
        <v>0</v>
      </c>
      <c r="K9129" t="n">
        <v>0</v>
      </c>
      <c r="L9129" t="n">
        <v>0</v>
      </c>
      <c r="M9129" t="n">
        <v>0</v>
      </c>
      <c r="N9129" t="n">
        <v>0</v>
      </c>
      <c r="O9129" t="n">
        <v>0</v>
      </c>
      <c r="P9129" t="n">
        <v>0</v>
      </c>
      <c r="Q9129" t="n">
        <v>0</v>
      </c>
      <c r="R9129" s="2" t="inlineStr"/>
    </row>
    <row r="9130" ht="15" customHeight="1">
      <c r="A9130" t="inlineStr">
        <is>
          <t>A 7019-2025</t>
        </is>
      </c>
      <c r="B9130" s="1" t="n">
        <v>45701.61490740741</v>
      </c>
      <c r="C9130" s="1" t="n">
        <v>46075</v>
      </c>
      <c r="D9130" t="inlineStr">
        <is>
          <t>VÄSTERBOTTENS LÄN</t>
        </is>
      </c>
      <c r="E9130" t="inlineStr">
        <is>
          <t>NORDMALING</t>
        </is>
      </c>
      <c r="G9130" t="n">
        <v>12.5</v>
      </c>
      <c r="H9130" t="n">
        <v>0</v>
      </c>
      <c r="I9130" t="n">
        <v>0</v>
      </c>
      <c r="J9130" t="n">
        <v>0</v>
      </c>
      <c r="K9130" t="n">
        <v>0</v>
      </c>
      <c r="L9130" t="n">
        <v>0</v>
      </c>
      <c r="M9130" t="n">
        <v>0</v>
      </c>
      <c r="N9130" t="n">
        <v>0</v>
      </c>
      <c r="O9130" t="n">
        <v>0</v>
      </c>
      <c r="P9130" t="n">
        <v>0</v>
      </c>
      <c r="Q9130" t="n">
        <v>0</v>
      </c>
      <c r="R9130" s="2" t="inlineStr"/>
    </row>
    <row r="9131" ht="15" customHeight="1">
      <c r="A9131" t="inlineStr">
        <is>
          <t>A 7027-2025</t>
        </is>
      </c>
      <c r="B9131" s="1" t="n">
        <v>45701.63026620371</v>
      </c>
      <c r="C9131" s="1" t="n">
        <v>46075</v>
      </c>
      <c r="D9131" t="inlineStr">
        <is>
          <t>VÄSTERBOTTENS LÄN</t>
        </is>
      </c>
      <c r="E9131" t="inlineStr">
        <is>
          <t>SKELLEFTEÅ</t>
        </is>
      </c>
      <c r="G9131" t="n">
        <v>5.4</v>
      </c>
      <c r="H9131" t="n">
        <v>0</v>
      </c>
      <c r="I9131" t="n">
        <v>0</v>
      </c>
      <c r="J9131" t="n">
        <v>0</v>
      </c>
      <c r="K9131" t="n">
        <v>0</v>
      </c>
      <c r="L9131" t="n">
        <v>0</v>
      </c>
      <c r="M9131" t="n">
        <v>0</v>
      </c>
      <c r="N9131" t="n">
        <v>0</v>
      </c>
      <c r="O9131" t="n">
        <v>0</v>
      </c>
      <c r="P9131" t="n">
        <v>0</v>
      </c>
      <c r="Q9131" t="n">
        <v>0</v>
      </c>
      <c r="R9131" s="2" t="inlineStr"/>
    </row>
    <row r="9132" ht="15" customHeight="1">
      <c r="A9132" t="inlineStr">
        <is>
          <t>A 62890-2025</t>
        </is>
      </c>
      <c r="B9132" s="1" t="n">
        <v>46009.32591435185</v>
      </c>
      <c r="C9132" s="1" t="n">
        <v>46075</v>
      </c>
      <c r="D9132" t="inlineStr">
        <is>
          <t>VÄSTERBOTTENS LÄN</t>
        </is>
      </c>
      <c r="E9132" t="inlineStr">
        <is>
          <t>SKELLEFTEÅ</t>
        </is>
      </c>
      <c r="G9132" t="n">
        <v>6</v>
      </c>
      <c r="H9132" t="n">
        <v>0</v>
      </c>
      <c r="I9132" t="n">
        <v>0</v>
      </c>
      <c r="J9132" t="n">
        <v>0</v>
      </c>
      <c r="K9132" t="n">
        <v>0</v>
      </c>
      <c r="L9132" t="n">
        <v>0</v>
      </c>
      <c r="M9132" t="n">
        <v>0</v>
      </c>
      <c r="N9132" t="n">
        <v>0</v>
      </c>
      <c r="O9132" t="n">
        <v>0</v>
      </c>
      <c r="P9132" t="n">
        <v>0</v>
      </c>
      <c r="Q9132" t="n">
        <v>0</v>
      </c>
      <c r="R9132" s="2" t="inlineStr"/>
    </row>
    <row r="9133" ht="15" customHeight="1">
      <c r="A9133" t="inlineStr">
        <is>
          <t>A 62970-2025</t>
        </is>
      </c>
      <c r="B9133" s="1" t="n">
        <v>46009.46313657407</v>
      </c>
      <c r="C9133" s="1" t="n">
        <v>46075</v>
      </c>
      <c r="D9133" t="inlineStr">
        <is>
          <t>VÄSTERBOTTENS LÄN</t>
        </is>
      </c>
      <c r="E9133" t="inlineStr">
        <is>
          <t>SKELLEFTEÅ</t>
        </is>
      </c>
      <c r="G9133" t="n">
        <v>7.2</v>
      </c>
      <c r="H9133" t="n">
        <v>0</v>
      </c>
      <c r="I9133" t="n">
        <v>0</v>
      </c>
      <c r="J9133" t="n">
        <v>0</v>
      </c>
      <c r="K9133" t="n">
        <v>0</v>
      </c>
      <c r="L9133" t="n">
        <v>0</v>
      </c>
      <c r="M9133" t="n">
        <v>0</v>
      </c>
      <c r="N9133" t="n">
        <v>0</v>
      </c>
      <c r="O9133" t="n">
        <v>0</v>
      </c>
      <c r="P9133" t="n">
        <v>0</v>
      </c>
      <c r="Q9133" t="n">
        <v>0</v>
      </c>
      <c r="R9133" s="2" t="inlineStr"/>
    </row>
    <row r="9134" ht="15" customHeight="1">
      <c r="A9134" t="inlineStr">
        <is>
          <t>A 62891-2025</t>
        </is>
      </c>
      <c r="B9134" s="1" t="n">
        <v>46009.33181712963</v>
      </c>
      <c r="C9134" s="1" t="n">
        <v>46075</v>
      </c>
      <c r="D9134" t="inlineStr">
        <is>
          <t>VÄSTERBOTTENS LÄN</t>
        </is>
      </c>
      <c r="E9134" t="inlineStr">
        <is>
          <t>SKELLEFTEÅ</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33952-2022</t>
        </is>
      </c>
      <c r="B9135" s="1" t="n">
        <v>44790</v>
      </c>
      <c r="C9135" s="1" t="n">
        <v>46075</v>
      </c>
      <c r="D9135" t="inlineStr">
        <is>
          <t>VÄSTERBOTTENS LÄN</t>
        </is>
      </c>
      <c r="E9135" t="inlineStr">
        <is>
          <t>UMEÅ</t>
        </is>
      </c>
      <c r="G9135" t="n">
        <v>3.6</v>
      </c>
      <c r="H9135" t="n">
        <v>0</v>
      </c>
      <c r="I9135" t="n">
        <v>0</v>
      </c>
      <c r="J9135" t="n">
        <v>0</v>
      </c>
      <c r="K9135" t="n">
        <v>0</v>
      </c>
      <c r="L9135" t="n">
        <v>0</v>
      </c>
      <c r="M9135" t="n">
        <v>0</v>
      </c>
      <c r="N9135" t="n">
        <v>0</v>
      </c>
      <c r="O9135" t="n">
        <v>0</v>
      </c>
      <c r="P9135" t="n">
        <v>0</v>
      </c>
      <c r="Q9135" t="n">
        <v>0</v>
      </c>
      <c r="R9135" s="2" t="inlineStr"/>
    </row>
    <row r="9136" ht="15" customHeight="1">
      <c r="A9136" t="inlineStr">
        <is>
          <t>A 63110-2025</t>
        </is>
      </c>
      <c r="B9136" s="1" t="n">
        <v>46009</v>
      </c>
      <c r="C9136" s="1" t="n">
        <v>46075</v>
      </c>
      <c r="D9136" t="inlineStr">
        <is>
          <t>VÄSTERBOTTENS LÄN</t>
        </is>
      </c>
      <c r="E9136" t="inlineStr">
        <is>
          <t>VILHELMINA</t>
        </is>
      </c>
      <c r="G9136" t="n">
        <v>6.8</v>
      </c>
      <c r="H9136" t="n">
        <v>0</v>
      </c>
      <c r="I9136" t="n">
        <v>0</v>
      </c>
      <c r="J9136" t="n">
        <v>0</v>
      </c>
      <c r="K9136" t="n">
        <v>0</v>
      </c>
      <c r="L9136" t="n">
        <v>0</v>
      </c>
      <c r="M9136" t="n">
        <v>0</v>
      </c>
      <c r="N9136" t="n">
        <v>0</v>
      </c>
      <c r="O9136" t="n">
        <v>0</v>
      </c>
      <c r="P9136" t="n">
        <v>0</v>
      </c>
      <c r="Q9136" t="n">
        <v>0</v>
      </c>
      <c r="R9136" s="2" t="inlineStr"/>
    </row>
    <row r="9137" ht="15" customHeight="1">
      <c r="A9137" t="inlineStr">
        <is>
          <t>A 62504-2023</t>
        </is>
      </c>
      <c r="B9137" s="1" t="n">
        <v>45268</v>
      </c>
      <c r="C9137" s="1" t="n">
        <v>46075</v>
      </c>
      <c r="D9137" t="inlineStr">
        <is>
          <t>VÄSTERBOTTENS LÄN</t>
        </is>
      </c>
      <c r="E9137" t="inlineStr">
        <is>
          <t>SKELLEFTEÅ</t>
        </is>
      </c>
      <c r="G9137" t="n">
        <v>0.5</v>
      </c>
      <c r="H9137" t="n">
        <v>0</v>
      </c>
      <c r="I9137" t="n">
        <v>0</v>
      </c>
      <c r="J9137" t="n">
        <v>0</v>
      </c>
      <c r="K9137" t="n">
        <v>0</v>
      </c>
      <c r="L9137" t="n">
        <v>0</v>
      </c>
      <c r="M9137" t="n">
        <v>0</v>
      </c>
      <c r="N9137" t="n">
        <v>0</v>
      </c>
      <c r="O9137" t="n">
        <v>0</v>
      </c>
      <c r="P9137" t="n">
        <v>0</v>
      </c>
      <c r="Q9137" t="n">
        <v>0</v>
      </c>
      <c r="R9137" s="2" t="inlineStr"/>
    </row>
    <row r="9138" ht="15" customHeight="1">
      <c r="A9138" t="inlineStr">
        <is>
          <t>A 62506-2023</t>
        </is>
      </c>
      <c r="B9138" s="1" t="n">
        <v>45268</v>
      </c>
      <c r="C9138" s="1" t="n">
        <v>46075</v>
      </c>
      <c r="D9138" t="inlineStr">
        <is>
          <t>VÄSTERBOTTENS LÄN</t>
        </is>
      </c>
      <c r="E9138" t="inlineStr">
        <is>
          <t>ROBERTSFORS</t>
        </is>
      </c>
      <c r="G9138" t="n">
        <v>0.1</v>
      </c>
      <c r="H9138" t="n">
        <v>0</v>
      </c>
      <c r="I9138" t="n">
        <v>0</v>
      </c>
      <c r="J9138" t="n">
        <v>0</v>
      </c>
      <c r="K9138" t="n">
        <v>0</v>
      </c>
      <c r="L9138" t="n">
        <v>0</v>
      </c>
      <c r="M9138" t="n">
        <v>0</v>
      </c>
      <c r="N9138" t="n">
        <v>0</v>
      </c>
      <c r="O9138" t="n">
        <v>0</v>
      </c>
      <c r="P9138" t="n">
        <v>0</v>
      </c>
      <c r="Q9138" t="n">
        <v>0</v>
      </c>
      <c r="R9138" s="2" t="inlineStr"/>
    </row>
    <row r="9139" ht="15" customHeight="1">
      <c r="A9139" t="inlineStr">
        <is>
          <t>A 62538-2023</t>
        </is>
      </c>
      <c r="B9139" s="1" t="n">
        <v>45267</v>
      </c>
      <c r="C9139" s="1" t="n">
        <v>46075</v>
      </c>
      <c r="D9139" t="inlineStr">
        <is>
          <t>VÄSTERBOTTENS LÄN</t>
        </is>
      </c>
      <c r="E9139" t="inlineStr">
        <is>
          <t>UMEÅ</t>
        </is>
      </c>
      <c r="G9139" t="n">
        <v>2.7</v>
      </c>
      <c r="H9139" t="n">
        <v>0</v>
      </c>
      <c r="I9139" t="n">
        <v>0</v>
      </c>
      <c r="J9139" t="n">
        <v>0</v>
      </c>
      <c r="K9139" t="n">
        <v>0</v>
      </c>
      <c r="L9139" t="n">
        <v>0</v>
      </c>
      <c r="M9139" t="n">
        <v>0</v>
      </c>
      <c r="N9139" t="n">
        <v>0</v>
      </c>
      <c r="O9139" t="n">
        <v>0</v>
      </c>
      <c r="P9139" t="n">
        <v>0</v>
      </c>
      <c r="Q9139" t="n">
        <v>0</v>
      </c>
      <c r="R9139" s="2" t="inlineStr"/>
    </row>
    <row r="9140" ht="15" customHeight="1">
      <c r="A9140" t="inlineStr">
        <is>
          <t>A 62949-2025</t>
        </is>
      </c>
      <c r="B9140" s="1" t="n">
        <v>46009.44704861111</v>
      </c>
      <c r="C9140" s="1" t="n">
        <v>46075</v>
      </c>
      <c r="D9140" t="inlineStr">
        <is>
          <t>VÄSTERBOTTENS LÄN</t>
        </is>
      </c>
      <c r="E9140" t="inlineStr">
        <is>
          <t>SKELLEFTEÅ</t>
        </is>
      </c>
      <c r="F9140" t="inlineStr">
        <is>
          <t>Holmen skog AB</t>
        </is>
      </c>
      <c r="G9140" t="n">
        <v>2.5</v>
      </c>
      <c r="H9140" t="n">
        <v>0</v>
      </c>
      <c r="I9140" t="n">
        <v>0</v>
      </c>
      <c r="J9140" t="n">
        <v>0</v>
      </c>
      <c r="K9140" t="n">
        <v>0</v>
      </c>
      <c r="L9140" t="n">
        <v>0</v>
      </c>
      <c r="M9140" t="n">
        <v>0</v>
      </c>
      <c r="N9140" t="n">
        <v>0</v>
      </c>
      <c r="O9140" t="n">
        <v>0</v>
      </c>
      <c r="P9140" t="n">
        <v>0</v>
      </c>
      <c r="Q9140" t="n">
        <v>0</v>
      </c>
      <c r="R9140" s="2" t="inlineStr"/>
    </row>
    <row r="9141" ht="15" customHeight="1">
      <c r="A9141" t="inlineStr">
        <is>
          <t>A 5282-2026</t>
        </is>
      </c>
      <c r="B9141" s="1" t="n">
        <v>46050.34429398148</v>
      </c>
      <c r="C9141" s="1" t="n">
        <v>46075</v>
      </c>
      <c r="D9141" t="inlineStr">
        <is>
          <t>VÄSTERBOTTENS LÄN</t>
        </is>
      </c>
      <c r="E9141" t="inlineStr">
        <is>
          <t>ROBERTSFORS</t>
        </is>
      </c>
      <c r="G9141" t="n">
        <v>3.2</v>
      </c>
      <c r="H9141" t="n">
        <v>0</v>
      </c>
      <c r="I9141" t="n">
        <v>0</v>
      </c>
      <c r="J9141" t="n">
        <v>0</v>
      </c>
      <c r="K9141" t="n">
        <v>0</v>
      </c>
      <c r="L9141" t="n">
        <v>0</v>
      </c>
      <c r="M9141" t="n">
        <v>0</v>
      </c>
      <c r="N9141" t="n">
        <v>0</v>
      </c>
      <c r="O9141" t="n">
        <v>0</v>
      </c>
      <c r="P9141" t="n">
        <v>0</v>
      </c>
      <c r="Q9141" t="n">
        <v>0</v>
      </c>
      <c r="R9141" s="2" t="inlineStr"/>
    </row>
    <row r="9142" ht="15" customHeight="1">
      <c r="A9142" t="inlineStr">
        <is>
          <t>A 5284-2026</t>
        </is>
      </c>
      <c r="B9142" s="1" t="n">
        <v>46050.34435185185</v>
      </c>
      <c r="C9142" s="1" t="n">
        <v>46075</v>
      </c>
      <c r="D9142" t="inlineStr">
        <is>
          <t>VÄSTERBOTTENS LÄN</t>
        </is>
      </c>
      <c r="E9142" t="inlineStr">
        <is>
          <t>ROBERTSFORS</t>
        </is>
      </c>
      <c r="G9142" t="n">
        <v>3.1</v>
      </c>
      <c r="H9142" t="n">
        <v>0</v>
      </c>
      <c r="I9142" t="n">
        <v>0</v>
      </c>
      <c r="J9142" t="n">
        <v>0</v>
      </c>
      <c r="K9142" t="n">
        <v>0</v>
      </c>
      <c r="L9142" t="n">
        <v>0</v>
      </c>
      <c r="M9142" t="n">
        <v>0</v>
      </c>
      <c r="N9142" t="n">
        <v>0</v>
      </c>
      <c r="O9142" t="n">
        <v>0</v>
      </c>
      <c r="P9142" t="n">
        <v>0</v>
      </c>
      <c r="Q9142" t="n">
        <v>0</v>
      </c>
      <c r="R9142" s="2" t="inlineStr"/>
    </row>
    <row r="9143" ht="15" customHeight="1">
      <c r="A9143" t="inlineStr">
        <is>
          <t>A 20560-2025</t>
        </is>
      </c>
      <c r="B9143" s="1" t="n">
        <v>45775.65394675926</v>
      </c>
      <c r="C9143" s="1" t="n">
        <v>46075</v>
      </c>
      <c r="D9143" t="inlineStr">
        <is>
          <t>VÄSTERBOTTENS LÄN</t>
        </is>
      </c>
      <c r="E9143" t="inlineStr">
        <is>
          <t>LYCKSELE</t>
        </is>
      </c>
      <c r="G9143" t="n">
        <v>1.5</v>
      </c>
      <c r="H9143" t="n">
        <v>0</v>
      </c>
      <c r="I9143" t="n">
        <v>0</v>
      </c>
      <c r="J9143" t="n">
        <v>0</v>
      </c>
      <c r="K9143" t="n">
        <v>0</v>
      </c>
      <c r="L9143" t="n">
        <v>0</v>
      </c>
      <c r="M9143" t="n">
        <v>0</v>
      </c>
      <c r="N9143" t="n">
        <v>0</v>
      </c>
      <c r="O9143" t="n">
        <v>0</v>
      </c>
      <c r="P9143" t="n">
        <v>0</v>
      </c>
      <c r="Q9143" t="n">
        <v>0</v>
      </c>
      <c r="R9143" s="2" t="inlineStr"/>
    </row>
    <row r="9144" ht="15" customHeight="1">
      <c r="A9144" t="inlineStr">
        <is>
          <t>A 61024-2024</t>
        </is>
      </c>
      <c r="B9144" s="1" t="n">
        <v>45645.45579861111</v>
      </c>
      <c r="C9144" s="1" t="n">
        <v>46075</v>
      </c>
      <c r="D9144" t="inlineStr">
        <is>
          <t>VÄSTERBOTTENS LÄN</t>
        </is>
      </c>
      <c r="E9144" t="inlineStr">
        <is>
          <t>VINDELN</t>
        </is>
      </c>
      <c r="G9144" t="n">
        <v>3.8</v>
      </c>
      <c r="H9144" t="n">
        <v>0</v>
      </c>
      <c r="I9144" t="n">
        <v>0</v>
      </c>
      <c r="J9144" t="n">
        <v>0</v>
      </c>
      <c r="K9144" t="n">
        <v>0</v>
      </c>
      <c r="L9144" t="n">
        <v>0</v>
      </c>
      <c r="M9144" t="n">
        <v>0</v>
      </c>
      <c r="N9144" t="n">
        <v>0</v>
      </c>
      <c r="O9144" t="n">
        <v>0</v>
      </c>
      <c r="P9144" t="n">
        <v>0</v>
      </c>
      <c r="Q9144" t="n">
        <v>0</v>
      </c>
      <c r="R9144" s="2" t="inlineStr"/>
    </row>
    <row r="9145" ht="15" customHeight="1">
      <c r="A9145" t="inlineStr">
        <is>
          <t>A 52460-2023</t>
        </is>
      </c>
      <c r="B9145" s="1" t="n">
        <v>45225.40269675926</v>
      </c>
      <c r="C9145" s="1" t="n">
        <v>46075</v>
      </c>
      <c r="D9145" t="inlineStr">
        <is>
          <t>VÄSTERBOTTENS LÄN</t>
        </is>
      </c>
      <c r="E9145" t="inlineStr">
        <is>
          <t>VINDELN</t>
        </is>
      </c>
      <c r="G9145" t="n">
        <v>1.8</v>
      </c>
      <c r="H9145" t="n">
        <v>0</v>
      </c>
      <c r="I9145" t="n">
        <v>0</v>
      </c>
      <c r="J9145" t="n">
        <v>0</v>
      </c>
      <c r="K9145" t="n">
        <v>0</v>
      </c>
      <c r="L9145" t="n">
        <v>0</v>
      </c>
      <c r="M9145" t="n">
        <v>0</v>
      </c>
      <c r="N9145" t="n">
        <v>0</v>
      </c>
      <c r="O9145" t="n">
        <v>0</v>
      </c>
      <c r="P9145" t="n">
        <v>0</v>
      </c>
      <c r="Q9145" t="n">
        <v>0</v>
      </c>
      <c r="R9145" s="2" t="inlineStr"/>
    </row>
    <row r="9146" ht="15" customHeight="1">
      <c r="A9146" t="inlineStr">
        <is>
          <t>A 35971-2023</t>
        </is>
      </c>
      <c r="B9146" s="1" t="n">
        <v>45148</v>
      </c>
      <c r="C9146" s="1" t="n">
        <v>46075</v>
      </c>
      <c r="D9146" t="inlineStr">
        <is>
          <t>VÄSTERBOTTENS LÄN</t>
        </is>
      </c>
      <c r="E9146" t="inlineStr">
        <is>
          <t>ÅSELE</t>
        </is>
      </c>
      <c r="G9146" t="n">
        <v>0.6</v>
      </c>
      <c r="H9146" t="n">
        <v>0</v>
      </c>
      <c r="I9146" t="n">
        <v>0</v>
      </c>
      <c r="J9146" t="n">
        <v>0</v>
      </c>
      <c r="K9146" t="n">
        <v>0</v>
      </c>
      <c r="L9146" t="n">
        <v>0</v>
      </c>
      <c r="M9146" t="n">
        <v>0</v>
      </c>
      <c r="N9146" t="n">
        <v>0</v>
      </c>
      <c r="O9146" t="n">
        <v>0</v>
      </c>
      <c r="P9146" t="n">
        <v>0</v>
      </c>
      <c r="Q9146" t="n">
        <v>0</v>
      </c>
      <c r="R9146" s="2" t="inlineStr"/>
    </row>
    <row r="9147" ht="15" customHeight="1">
      <c r="A9147" t="inlineStr">
        <is>
          <t>A 5291-2026</t>
        </is>
      </c>
      <c r="B9147" s="1" t="n">
        <v>46050.3446412037</v>
      </c>
      <c r="C9147" s="1" t="n">
        <v>46075</v>
      </c>
      <c r="D9147" t="inlineStr">
        <is>
          <t>VÄSTERBOTTENS LÄN</t>
        </is>
      </c>
      <c r="E9147" t="inlineStr">
        <is>
          <t>UMEÅ</t>
        </is>
      </c>
      <c r="G9147" t="n">
        <v>0.6</v>
      </c>
      <c r="H9147" t="n">
        <v>0</v>
      </c>
      <c r="I9147" t="n">
        <v>0</v>
      </c>
      <c r="J9147" t="n">
        <v>0</v>
      </c>
      <c r="K9147" t="n">
        <v>0</v>
      </c>
      <c r="L9147" t="n">
        <v>0</v>
      </c>
      <c r="M9147" t="n">
        <v>0</v>
      </c>
      <c r="N9147" t="n">
        <v>0</v>
      </c>
      <c r="O9147" t="n">
        <v>0</v>
      </c>
      <c r="P9147" t="n">
        <v>0</v>
      </c>
      <c r="Q9147" t="n">
        <v>0</v>
      </c>
      <c r="R9147" s="2" t="inlineStr"/>
    </row>
    <row r="9148" ht="15" customHeight="1">
      <c r="A9148" t="inlineStr">
        <is>
          <t>A 5293-2026</t>
        </is>
      </c>
      <c r="B9148" s="1" t="n">
        <v>46050.34474537037</v>
      </c>
      <c r="C9148" s="1" t="n">
        <v>46075</v>
      </c>
      <c r="D9148" t="inlineStr">
        <is>
          <t>VÄSTERBOTTENS LÄN</t>
        </is>
      </c>
      <c r="E9148" t="inlineStr">
        <is>
          <t>UMEÅ</t>
        </is>
      </c>
      <c r="G9148" t="n">
        <v>2.4</v>
      </c>
      <c r="H9148" t="n">
        <v>0</v>
      </c>
      <c r="I9148" t="n">
        <v>0</v>
      </c>
      <c r="J9148" t="n">
        <v>0</v>
      </c>
      <c r="K9148" t="n">
        <v>0</v>
      </c>
      <c r="L9148" t="n">
        <v>0</v>
      </c>
      <c r="M9148" t="n">
        <v>0</v>
      </c>
      <c r="N9148" t="n">
        <v>0</v>
      </c>
      <c r="O9148" t="n">
        <v>0</v>
      </c>
      <c r="P9148" t="n">
        <v>0</v>
      </c>
      <c r="Q9148" t="n">
        <v>0</v>
      </c>
      <c r="R9148" s="2" t="inlineStr"/>
    </row>
    <row r="9149" ht="15" customHeight="1">
      <c r="A9149" t="inlineStr">
        <is>
          <t>A 35984-2023</t>
        </is>
      </c>
      <c r="B9149" s="1" t="n">
        <v>45148.96195601852</v>
      </c>
      <c r="C9149" s="1" t="n">
        <v>46075</v>
      </c>
      <c r="D9149" t="inlineStr">
        <is>
          <t>VÄSTERBOTTENS LÄN</t>
        </is>
      </c>
      <c r="E9149" t="inlineStr">
        <is>
          <t>VILHELMINA</t>
        </is>
      </c>
      <c r="F9149" t="inlineStr">
        <is>
          <t>SCA</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48422-2023</t>
        </is>
      </c>
      <c r="B9150" s="1" t="n">
        <v>45205</v>
      </c>
      <c r="C9150" s="1" t="n">
        <v>46075</v>
      </c>
      <c r="D9150" t="inlineStr">
        <is>
          <t>VÄSTERBOTTENS LÄN</t>
        </is>
      </c>
      <c r="E9150" t="inlineStr">
        <is>
          <t>VILHELMINA</t>
        </is>
      </c>
      <c r="F9150" t="inlineStr">
        <is>
          <t>SCA</t>
        </is>
      </c>
      <c r="G9150" t="n">
        <v>4.6</v>
      </c>
      <c r="H9150" t="n">
        <v>0</v>
      </c>
      <c r="I9150" t="n">
        <v>0</v>
      </c>
      <c r="J9150" t="n">
        <v>0</v>
      </c>
      <c r="K9150" t="n">
        <v>0</v>
      </c>
      <c r="L9150" t="n">
        <v>0</v>
      </c>
      <c r="M9150" t="n">
        <v>0</v>
      </c>
      <c r="N9150" t="n">
        <v>0</v>
      </c>
      <c r="O9150" t="n">
        <v>0</v>
      </c>
      <c r="P9150" t="n">
        <v>0</v>
      </c>
      <c r="Q9150" t="n">
        <v>0</v>
      </c>
      <c r="R9150" s="2" t="inlineStr"/>
    </row>
    <row r="9151" ht="15" customHeight="1">
      <c r="A9151" t="inlineStr">
        <is>
          <t>A 62739-2025</t>
        </is>
      </c>
      <c r="B9151" s="1" t="n">
        <v>46008.57351851852</v>
      </c>
      <c r="C9151" s="1" t="n">
        <v>46075</v>
      </c>
      <c r="D9151" t="inlineStr">
        <is>
          <t>VÄSTERBOTTENS LÄN</t>
        </is>
      </c>
      <c r="E9151" t="inlineStr">
        <is>
          <t>SKELLEFTEÅ</t>
        </is>
      </c>
      <c r="G9151" t="n">
        <v>7.7</v>
      </c>
      <c r="H9151" t="n">
        <v>0</v>
      </c>
      <c r="I9151" t="n">
        <v>0</v>
      </c>
      <c r="J9151" t="n">
        <v>0</v>
      </c>
      <c r="K9151" t="n">
        <v>0</v>
      </c>
      <c r="L9151" t="n">
        <v>0</v>
      </c>
      <c r="M9151" t="n">
        <v>0</v>
      </c>
      <c r="N9151" t="n">
        <v>0</v>
      </c>
      <c r="O9151" t="n">
        <v>0</v>
      </c>
      <c r="P9151" t="n">
        <v>0</v>
      </c>
      <c r="Q9151" t="n">
        <v>0</v>
      </c>
      <c r="R9151" s="2" t="inlineStr"/>
    </row>
    <row r="9152" ht="15" customHeight="1">
      <c r="A9152" t="inlineStr">
        <is>
          <t>A 62767-2025</t>
        </is>
      </c>
      <c r="B9152" s="1" t="n">
        <v>46008.5975925926</v>
      </c>
      <c r="C9152" s="1" t="n">
        <v>46075</v>
      </c>
      <c r="D9152" t="inlineStr">
        <is>
          <t>VÄSTERBOTTENS LÄN</t>
        </is>
      </c>
      <c r="E9152" t="inlineStr">
        <is>
          <t>UMEÅ</t>
        </is>
      </c>
      <c r="G9152" t="n">
        <v>4.3</v>
      </c>
      <c r="H9152" t="n">
        <v>0</v>
      </c>
      <c r="I9152" t="n">
        <v>0</v>
      </c>
      <c r="J9152" t="n">
        <v>0</v>
      </c>
      <c r="K9152" t="n">
        <v>0</v>
      </c>
      <c r="L9152" t="n">
        <v>0</v>
      </c>
      <c r="M9152" t="n">
        <v>0</v>
      </c>
      <c r="N9152" t="n">
        <v>0</v>
      </c>
      <c r="O9152" t="n">
        <v>0</v>
      </c>
      <c r="P9152" t="n">
        <v>0</v>
      </c>
      <c r="Q9152" t="n">
        <v>0</v>
      </c>
      <c r="R9152" s="2" t="inlineStr"/>
    </row>
    <row r="9153" ht="15" customHeight="1">
      <c r="A9153" t="inlineStr">
        <is>
          <t>A 53987-2021</t>
        </is>
      </c>
      <c r="B9153" s="1" t="n">
        <v>44470.31884259259</v>
      </c>
      <c r="C9153" s="1" t="n">
        <v>46075</v>
      </c>
      <c r="D9153" t="inlineStr">
        <is>
          <t>VÄSTERBOTTENS LÄN</t>
        </is>
      </c>
      <c r="E9153" t="inlineStr">
        <is>
          <t>VILHELMINA</t>
        </is>
      </c>
      <c r="F9153" t="inlineStr">
        <is>
          <t>Kommuner</t>
        </is>
      </c>
      <c r="G9153" t="n">
        <v>10</v>
      </c>
      <c r="H9153" t="n">
        <v>0</v>
      </c>
      <c r="I9153" t="n">
        <v>0</v>
      </c>
      <c r="J9153" t="n">
        <v>0</v>
      </c>
      <c r="K9153" t="n">
        <v>0</v>
      </c>
      <c r="L9153" t="n">
        <v>0</v>
      </c>
      <c r="M9153" t="n">
        <v>0</v>
      </c>
      <c r="N9153" t="n">
        <v>0</v>
      </c>
      <c r="O9153" t="n">
        <v>0</v>
      </c>
      <c r="P9153" t="n">
        <v>0</v>
      </c>
      <c r="Q9153" t="n">
        <v>0</v>
      </c>
      <c r="R9153" s="2" t="inlineStr"/>
    </row>
    <row r="9154" ht="15" customHeight="1">
      <c r="A9154" t="inlineStr">
        <is>
          <t>A 39288-2024</t>
        </is>
      </c>
      <c r="B9154" s="1" t="n">
        <v>45551.36658564815</v>
      </c>
      <c r="C9154" s="1" t="n">
        <v>46075</v>
      </c>
      <c r="D9154" t="inlineStr">
        <is>
          <t>VÄSTERBOTTENS LÄN</t>
        </is>
      </c>
      <c r="E9154" t="inlineStr">
        <is>
          <t>NORSJÖ</t>
        </is>
      </c>
      <c r="G9154" t="n">
        <v>0.5</v>
      </c>
      <c r="H9154" t="n">
        <v>0</v>
      </c>
      <c r="I9154" t="n">
        <v>0</v>
      </c>
      <c r="J9154" t="n">
        <v>0</v>
      </c>
      <c r="K9154" t="n">
        <v>0</v>
      </c>
      <c r="L9154" t="n">
        <v>0</v>
      </c>
      <c r="M9154" t="n">
        <v>0</v>
      </c>
      <c r="N9154" t="n">
        <v>0</v>
      </c>
      <c r="O9154" t="n">
        <v>0</v>
      </c>
      <c r="P9154" t="n">
        <v>0</v>
      </c>
      <c r="Q9154" t="n">
        <v>0</v>
      </c>
      <c r="R9154" s="2" t="inlineStr"/>
    </row>
    <row r="9155" ht="15" customHeight="1">
      <c r="A9155" t="inlineStr">
        <is>
          <t>A 5483-2026</t>
        </is>
      </c>
      <c r="B9155" s="1" t="n">
        <v>46050.60630787037</v>
      </c>
      <c r="C9155" s="1" t="n">
        <v>46075</v>
      </c>
      <c r="D9155" t="inlineStr">
        <is>
          <t>VÄSTERBOTTENS LÄN</t>
        </is>
      </c>
      <c r="E9155" t="inlineStr">
        <is>
          <t>NORDMALING</t>
        </is>
      </c>
      <c r="G9155" t="n">
        <v>7.2</v>
      </c>
      <c r="H9155" t="n">
        <v>0</v>
      </c>
      <c r="I9155" t="n">
        <v>0</v>
      </c>
      <c r="J9155" t="n">
        <v>0</v>
      </c>
      <c r="K9155" t="n">
        <v>0</v>
      </c>
      <c r="L9155" t="n">
        <v>0</v>
      </c>
      <c r="M9155" t="n">
        <v>0</v>
      </c>
      <c r="N9155" t="n">
        <v>0</v>
      </c>
      <c r="O9155" t="n">
        <v>0</v>
      </c>
      <c r="P9155" t="n">
        <v>0</v>
      </c>
      <c r="Q9155" t="n">
        <v>0</v>
      </c>
      <c r="R9155" s="2" t="inlineStr"/>
    </row>
    <row r="9156" ht="15" customHeight="1">
      <c r="A9156" t="inlineStr">
        <is>
          <t>A 5517-2026</t>
        </is>
      </c>
      <c r="B9156" s="1" t="n">
        <v>46050.6424537037</v>
      </c>
      <c r="C9156" s="1" t="n">
        <v>46075</v>
      </c>
      <c r="D9156" t="inlineStr">
        <is>
          <t>VÄSTERBOTTENS LÄN</t>
        </is>
      </c>
      <c r="E9156" t="inlineStr">
        <is>
          <t>NORDMALING</t>
        </is>
      </c>
      <c r="G9156" t="n">
        <v>1.6</v>
      </c>
      <c r="H9156" t="n">
        <v>0</v>
      </c>
      <c r="I9156" t="n">
        <v>0</v>
      </c>
      <c r="J9156" t="n">
        <v>0</v>
      </c>
      <c r="K9156" t="n">
        <v>0</v>
      </c>
      <c r="L9156" t="n">
        <v>0</v>
      </c>
      <c r="M9156" t="n">
        <v>0</v>
      </c>
      <c r="N9156" t="n">
        <v>0</v>
      </c>
      <c r="O9156" t="n">
        <v>0</v>
      </c>
      <c r="P9156" t="n">
        <v>0</v>
      </c>
      <c r="Q9156" t="n">
        <v>0</v>
      </c>
      <c r="R9156" s="2" t="inlineStr"/>
    </row>
    <row r="9157" ht="15" customHeight="1">
      <c r="A9157" t="inlineStr">
        <is>
          <t>A 5336-2026</t>
        </is>
      </c>
      <c r="B9157" s="1" t="n">
        <v>46050.40957175926</v>
      </c>
      <c r="C9157" s="1" t="n">
        <v>46075</v>
      </c>
      <c r="D9157" t="inlineStr">
        <is>
          <t>VÄSTERBOTTENS LÄN</t>
        </is>
      </c>
      <c r="E9157" t="inlineStr">
        <is>
          <t>VINDELN</t>
        </is>
      </c>
      <c r="G9157" t="n">
        <v>2.5</v>
      </c>
      <c r="H9157" t="n">
        <v>0</v>
      </c>
      <c r="I9157" t="n">
        <v>0</v>
      </c>
      <c r="J9157" t="n">
        <v>0</v>
      </c>
      <c r="K9157" t="n">
        <v>0</v>
      </c>
      <c r="L9157" t="n">
        <v>0</v>
      </c>
      <c r="M9157" t="n">
        <v>0</v>
      </c>
      <c r="N9157" t="n">
        <v>0</v>
      </c>
      <c r="O9157" t="n">
        <v>0</v>
      </c>
      <c r="P9157" t="n">
        <v>0</v>
      </c>
      <c r="Q9157" t="n">
        <v>0</v>
      </c>
      <c r="R9157" s="2" t="inlineStr"/>
    </row>
    <row r="9158" ht="15" customHeight="1">
      <c r="A9158" t="inlineStr">
        <is>
          <t>A 5502-2026</t>
        </is>
      </c>
      <c r="B9158" s="1" t="n">
        <v>46049</v>
      </c>
      <c r="C9158" s="1" t="n">
        <v>46075</v>
      </c>
      <c r="D9158" t="inlineStr">
        <is>
          <t>VÄSTERBOTTENS LÄN</t>
        </is>
      </c>
      <c r="E9158" t="inlineStr">
        <is>
          <t>SKELLEFTEÅ</t>
        </is>
      </c>
      <c r="G9158" t="n">
        <v>4.5</v>
      </c>
      <c r="H9158" t="n">
        <v>0</v>
      </c>
      <c r="I9158" t="n">
        <v>0</v>
      </c>
      <c r="J9158" t="n">
        <v>0</v>
      </c>
      <c r="K9158" t="n">
        <v>0</v>
      </c>
      <c r="L9158" t="n">
        <v>0</v>
      </c>
      <c r="M9158" t="n">
        <v>0</v>
      </c>
      <c r="N9158" t="n">
        <v>0</v>
      </c>
      <c r="O9158" t="n">
        <v>0</v>
      </c>
      <c r="P9158" t="n">
        <v>0</v>
      </c>
      <c r="Q9158" t="n">
        <v>0</v>
      </c>
      <c r="R9158" s="2" t="inlineStr"/>
    </row>
    <row r="9159" ht="15" customHeight="1">
      <c r="A9159" t="inlineStr">
        <is>
          <t>A 62591-2025</t>
        </is>
      </c>
      <c r="B9159" s="1" t="n">
        <v>46007.88758101852</v>
      </c>
      <c r="C9159" s="1" t="n">
        <v>46075</v>
      </c>
      <c r="D9159" t="inlineStr">
        <is>
          <t>VÄSTERBOTTENS LÄN</t>
        </is>
      </c>
      <c r="E9159" t="inlineStr">
        <is>
          <t>BJURHOLM</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34622-2024</t>
        </is>
      </c>
      <c r="B9160" s="1" t="n">
        <v>45526.44155092593</v>
      </c>
      <c r="C9160" s="1" t="n">
        <v>46075</v>
      </c>
      <c r="D9160" t="inlineStr">
        <is>
          <t>VÄSTERBOTTENS LÄN</t>
        </is>
      </c>
      <c r="E9160" t="inlineStr">
        <is>
          <t>SKELLEFTEÅ</t>
        </is>
      </c>
      <c r="F9160" t="inlineStr">
        <is>
          <t>Holmen skog AB</t>
        </is>
      </c>
      <c r="G9160" t="n">
        <v>3.3</v>
      </c>
      <c r="H9160" t="n">
        <v>0</v>
      </c>
      <c r="I9160" t="n">
        <v>0</v>
      </c>
      <c r="J9160" t="n">
        <v>0</v>
      </c>
      <c r="K9160" t="n">
        <v>0</v>
      </c>
      <c r="L9160" t="n">
        <v>0</v>
      </c>
      <c r="M9160" t="n">
        <v>0</v>
      </c>
      <c r="N9160" t="n">
        <v>0</v>
      </c>
      <c r="O9160" t="n">
        <v>0</v>
      </c>
      <c r="P9160" t="n">
        <v>0</v>
      </c>
      <c r="Q9160" t="n">
        <v>0</v>
      </c>
      <c r="R9160" s="2" t="inlineStr"/>
    </row>
    <row r="9161" ht="15" customHeight="1">
      <c r="A9161" t="inlineStr">
        <is>
          <t>A 62699-2025</t>
        </is>
      </c>
      <c r="B9161" s="1" t="n">
        <v>46008.49003472222</v>
      </c>
      <c r="C9161" s="1" t="n">
        <v>46075</v>
      </c>
      <c r="D9161" t="inlineStr">
        <is>
          <t>VÄSTERBOTTENS LÄN</t>
        </is>
      </c>
      <c r="E9161" t="inlineStr">
        <is>
          <t>VINDELN</t>
        </is>
      </c>
      <c r="G9161" t="n">
        <v>2.7</v>
      </c>
      <c r="H9161" t="n">
        <v>0</v>
      </c>
      <c r="I9161" t="n">
        <v>0</v>
      </c>
      <c r="J9161" t="n">
        <v>0</v>
      </c>
      <c r="K9161" t="n">
        <v>0</v>
      </c>
      <c r="L9161" t="n">
        <v>0</v>
      </c>
      <c r="M9161" t="n">
        <v>0</v>
      </c>
      <c r="N9161" t="n">
        <v>0</v>
      </c>
      <c r="O9161" t="n">
        <v>0</v>
      </c>
      <c r="P9161" t="n">
        <v>0</v>
      </c>
      <c r="Q9161" t="n">
        <v>0</v>
      </c>
      <c r="R9161" s="2" t="inlineStr"/>
    </row>
    <row r="9162" ht="15" customHeight="1">
      <c r="A9162" t="inlineStr">
        <is>
          <t>A 62700-2025</t>
        </is>
      </c>
      <c r="B9162" s="1" t="n">
        <v>46008.49011574074</v>
      </c>
      <c r="C9162" s="1" t="n">
        <v>46075</v>
      </c>
      <c r="D9162" t="inlineStr">
        <is>
          <t>VÄSTERBOTTENS LÄN</t>
        </is>
      </c>
      <c r="E9162" t="inlineStr">
        <is>
          <t>BJURHOLM</t>
        </is>
      </c>
      <c r="G9162" t="n">
        <v>2.1</v>
      </c>
      <c r="H9162" t="n">
        <v>0</v>
      </c>
      <c r="I9162" t="n">
        <v>0</v>
      </c>
      <c r="J9162" t="n">
        <v>0</v>
      </c>
      <c r="K9162" t="n">
        <v>0</v>
      </c>
      <c r="L9162" t="n">
        <v>0</v>
      </c>
      <c r="M9162" t="n">
        <v>0</v>
      </c>
      <c r="N9162" t="n">
        <v>0</v>
      </c>
      <c r="O9162" t="n">
        <v>0</v>
      </c>
      <c r="P9162" t="n">
        <v>0</v>
      </c>
      <c r="Q9162" t="n">
        <v>0</v>
      </c>
      <c r="R9162" s="2" t="inlineStr"/>
    </row>
    <row r="9163" ht="15" customHeight="1">
      <c r="A9163" t="inlineStr">
        <is>
          <t>A 62701-2025</t>
        </is>
      </c>
      <c r="B9163" s="1" t="n">
        <v>46008.49018518518</v>
      </c>
      <c r="C9163" s="1" t="n">
        <v>46075</v>
      </c>
      <c r="D9163" t="inlineStr">
        <is>
          <t>VÄSTERBOTTENS LÄN</t>
        </is>
      </c>
      <c r="E9163" t="inlineStr">
        <is>
          <t>BJURHOLM</t>
        </is>
      </c>
      <c r="G9163" t="n">
        <v>3.7</v>
      </c>
      <c r="H9163" t="n">
        <v>0</v>
      </c>
      <c r="I9163" t="n">
        <v>0</v>
      </c>
      <c r="J9163" t="n">
        <v>0</v>
      </c>
      <c r="K9163" t="n">
        <v>0</v>
      </c>
      <c r="L9163" t="n">
        <v>0</v>
      </c>
      <c r="M9163" t="n">
        <v>0</v>
      </c>
      <c r="N9163" t="n">
        <v>0</v>
      </c>
      <c r="O9163" t="n">
        <v>0</v>
      </c>
      <c r="P9163" t="n">
        <v>0</v>
      </c>
      <c r="Q9163" t="n">
        <v>0</v>
      </c>
      <c r="R9163" s="2" t="inlineStr"/>
    </row>
    <row r="9164" ht="15" customHeight="1">
      <c r="A9164" t="inlineStr">
        <is>
          <t>A 62605-2025</t>
        </is>
      </c>
      <c r="B9164" s="1" t="n">
        <v>46008.27005787037</v>
      </c>
      <c r="C9164" s="1" t="n">
        <v>46075</v>
      </c>
      <c r="D9164" t="inlineStr">
        <is>
          <t>VÄSTERBOTTENS LÄN</t>
        </is>
      </c>
      <c r="E9164" t="inlineStr">
        <is>
          <t>SKELLEFTEÅ</t>
        </is>
      </c>
      <c r="G9164" t="n">
        <v>1.4</v>
      </c>
      <c r="H9164" t="n">
        <v>0</v>
      </c>
      <c r="I9164" t="n">
        <v>0</v>
      </c>
      <c r="J9164" t="n">
        <v>0</v>
      </c>
      <c r="K9164" t="n">
        <v>0</v>
      </c>
      <c r="L9164" t="n">
        <v>0</v>
      </c>
      <c r="M9164" t="n">
        <v>0</v>
      </c>
      <c r="N9164" t="n">
        <v>0</v>
      </c>
      <c r="O9164" t="n">
        <v>0</v>
      </c>
      <c r="P9164" t="n">
        <v>0</v>
      </c>
      <c r="Q9164" t="n">
        <v>0</v>
      </c>
      <c r="R9164" s="2" t="inlineStr"/>
    </row>
    <row r="9165" ht="15" customHeight="1">
      <c r="A9165" t="inlineStr">
        <is>
          <t>A 62606-2025</t>
        </is>
      </c>
      <c r="B9165" s="1" t="n">
        <v>46008.28149305555</v>
      </c>
      <c r="C9165" s="1" t="n">
        <v>46075</v>
      </c>
      <c r="D9165" t="inlineStr">
        <is>
          <t>VÄSTERBOTTENS LÄN</t>
        </is>
      </c>
      <c r="E9165" t="inlineStr">
        <is>
          <t>SKELLEFTEÅ</t>
        </is>
      </c>
      <c r="G9165" t="n">
        <v>1.5</v>
      </c>
      <c r="H9165" t="n">
        <v>0</v>
      </c>
      <c r="I9165" t="n">
        <v>0</v>
      </c>
      <c r="J9165" t="n">
        <v>0</v>
      </c>
      <c r="K9165" t="n">
        <v>0</v>
      </c>
      <c r="L9165" t="n">
        <v>0</v>
      </c>
      <c r="M9165" t="n">
        <v>0</v>
      </c>
      <c r="N9165" t="n">
        <v>0</v>
      </c>
      <c r="O9165" t="n">
        <v>0</v>
      </c>
      <c r="P9165" t="n">
        <v>0</v>
      </c>
      <c r="Q9165" t="n">
        <v>0</v>
      </c>
      <c r="R9165" s="2" t="inlineStr"/>
    </row>
    <row r="9166" ht="15" customHeight="1">
      <c r="A9166" t="inlineStr">
        <is>
          <t>A 1713-2024</t>
        </is>
      </c>
      <c r="B9166" s="1" t="n">
        <v>45307</v>
      </c>
      <c r="C9166" s="1" t="n">
        <v>46075</v>
      </c>
      <c r="D9166" t="inlineStr">
        <is>
          <t>VÄSTERBOTTENS LÄN</t>
        </is>
      </c>
      <c r="E9166" t="inlineStr">
        <is>
          <t>ROBERTSFORS</t>
        </is>
      </c>
      <c r="G9166" t="n">
        <v>12.1</v>
      </c>
      <c r="H9166" t="n">
        <v>0</v>
      </c>
      <c r="I9166" t="n">
        <v>0</v>
      </c>
      <c r="J9166" t="n">
        <v>0</v>
      </c>
      <c r="K9166" t="n">
        <v>0</v>
      </c>
      <c r="L9166" t="n">
        <v>0</v>
      </c>
      <c r="M9166" t="n">
        <v>0</v>
      </c>
      <c r="N9166" t="n">
        <v>0</v>
      </c>
      <c r="O9166" t="n">
        <v>0</v>
      </c>
      <c r="P9166" t="n">
        <v>0</v>
      </c>
      <c r="Q9166" t="n">
        <v>0</v>
      </c>
      <c r="R9166" s="2" t="inlineStr"/>
    </row>
    <row r="9167" ht="15" customHeight="1">
      <c r="A9167" t="inlineStr">
        <is>
          <t>A 1802-2024</t>
        </is>
      </c>
      <c r="B9167" s="1" t="n">
        <v>45307</v>
      </c>
      <c r="C9167" s="1" t="n">
        <v>46075</v>
      </c>
      <c r="D9167" t="inlineStr">
        <is>
          <t>VÄSTERBOTTENS LÄN</t>
        </is>
      </c>
      <c r="E9167" t="inlineStr">
        <is>
          <t>VINDELN</t>
        </is>
      </c>
      <c r="F9167" t="inlineStr">
        <is>
          <t>Sveaskog</t>
        </is>
      </c>
      <c r="G9167" t="n">
        <v>35.5</v>
      </c>
      <c r="H9167" t="n">
        <v>0</v>
      </c>
      <c r="I9167" t="n">
        <v>0</v>
      </c>
      <c r="J9167" t="n">
        <v>0</v>
      </c>
      <c r="K9167" t="n">
        <v>0</v>
      </c>
      <c r="L9167" t="n">
        <v>0</v>
      </c>
      <c r="M9167" t="n">
        <v>0</v>
      </c>
      <c r="N9167" t="n">
        <v>0</v>
      </c>
      <c r="O9167" t="n">
        <v>0</v>
      </c>
      <c r="P9167" t="n">
        <v>0</v>
      </c>
      <c r="Q9167" t="n">
        <v>0</v>
      </c>
      <c r="R9167" s="2" t="inlineStr"/>
    </row>
    <row r="9168" ht="15" customHeight="1">
      <c r="A9168" t="inlineStr">
        <is>
          <t>A 62617-2025</t>
        </is>
      </c>
      <c r="B9168" s="1" t="n">
        <v>46008.32707175926</v>
      </c>
      <c r="C9168" s="1" t="n">
        <v>46075</v>
      </c>
      <c r="D9168" t="inlineStr">
        <is>
          <t>VÄSTERBOTTENS LÄN</t>
        </is>
      </c>
      <c r="E9168" t="inlineStr">
        <is>
          <t>SKELLEFTEÅ</t>
        </is>
      </c>
      <c r="G9168" t="n">
        <v>1.1</v>
      </c>
      <c r="H9168" t="n">
        <v>0</v>
      </c>
      <c r="I9168" t="n">
        <v>0</v>
      </c>
      <c r="J9168" t="n">
        <v>0</v>
      </c>
      <c r="K9168" t="n">
        <v>0</v>
      </c>
      <c r="L9168" t="n">
        <v>0</v>
      </c>
      <c r="M9168" t="n">
        <v>0</v>
      </c>
      <c r="N9168" t="n">
        <v>0</v>
      </c>
      <c r="O9168" t="n">
        <v>0</v>
      </c>
      <c r="P9168" t="n">
        <v>0</v>
      </c>
      <c r="Q9168" t="n">
        <v>0</v>
      </c>
      <c r="R9168" s="2" t="inlineStr"/>
    </row>
    <row r="9169" ht="15" customHeight="1">
      <c r="A9169" t="inlineStr">
        <is>
          <t>A 62800-2025</t>
        </is>
      </c>
      <c r="B9169" s="1" t="n">
        <v>46008.63922453704</v>
      </c>
      <c r="C9169" s="1" t="n">
        <v>46075</v>
      </c>
      <c r="D9169" t="inlineStr">
        <is>
          <t>VÄSTERBOTTENS LÄN</t>
        </is>
      </c>
      <c r="E9169" t="inlineStr">
        <is>
          <t>STORUMAN</t>
        </is>
      </c>
      <c r="F9169" t="inlineStr">
        <is>
          <t>Sveaskog</t>
        </is>
      </c>
      <c r="G9169" t="n">
        <v>1.7</v>
      </c>
      <c r="H9169" t="n">
        <v>0</v>
      </c>
      <c r="I9169" t="n">
        <v>0</v>
      </c>
      <c r="J9169" t="n">
        <v>0</v>
      </c>
      <c r="K9169" t="n">
        <v>0</v>
      </c>
      <c r="L9169" t="n">
        <v>0</v>
      </c>
      <c r="M9169" t="n">
        <v>0</v>
      </c>
      <c r="N9169" t="n">
        <v>0</v>
      </c>
      <c r="O9169" t="n">
        <v>0</v>
      </c>
      <c r="P9169" t="n">
        <v>0</v>
      </c>
      <c r="Q9169" t="n">
        <v>0</v>
      </c>
      <c r="R9169" s="2" t="inlineStr"/>
    </row>
    <row r="9170" ht="15" customHeight="1">
      <c r="A9170" t="inlineStr">
        <is>
          <t>A 62813-2025</t>
        </is>
      </c>
      <c r="B9170" s="1" t="n">
        <v>46008.64984953704</v>
      </c>
      <c r="C9170" s="1" t="n">
        <v>46075</v>
      </c>
      <c r="D9170" t="inlineStr">
        <is>
          <t>VÄSTERBOTTENS LÄN</t>
        </is>
      </c>
      <c r="E9170" t="inlineStr">
        <is>
          <t>UMEÅ</t>
        </is>
      </c>
      <c r="G9170" t="n">
        <v>0.5</v>
      </c>
      <c r="H9170" t="n">
        <v>0</v>
      </c>
      <c r="I9170" t="n">
        <v>0</v>
      </c>
      <c r="J9170" t="n">
        <v>0</v>
      </c>
      <c r="K9170" t="n">
        <v>0</v>
      </c>
      <c r="L9170" t="n">
        <v>0</v>
      </c>
      <c r="M9170" t="n">
        <v>0</v>
      </c>
      <c r="N9170" t="n">
        <v>0</v>
      </c>
      <c r="O9170" t="n">
        <v>0</v>
      </c>
      <c r="P9170" t="n">
        <v>0</v>
      </c>
      <c r="Q9170" t="n">
        <v>0</v>
      </c>
      <c r="R9170" s="2" t="inlineStr"/>
    </row>
    <row r="9171" ht="15" customHeight="1">
      <c r="A9171" t="inlineStr">
        <is>
          <t>A 18587-2023</t>
        </is>
      </c>
      <c r="B9171" s="1" t="n">
        <v>45041</v>
      </c>
      <c r="C9171" s="1" t="n">
        <v>46075</v>
      </c>
      <c r="D9171" t="inlineStr">
        <is>
          <t>VÄSTERBOTTENS LÄN</t>
        </is>
      </c>
      <c r="E9171" t="inlineStr">
        <is>
          <t>LYCKSELE</t>
        </is>
      </c>
      <c r="G9171" t="n">
        <v>2</v>
      </c>
      <c r="H9171" t="n">
        <v>0</v>
      </c>
      <c r="I9171" t="n">
        <v>0</v>
      </c>
      <c r="J9171" t="n">
        <v>0</v>
      </c>
      <c r="K9171" t="n">
        <v>0</v>
      </c>
      <c r="L9171" t="n">
        <v>0</v>
      </c>
      <c r="M9171" t="n">
        <v>0</v>
      </c>
      <c r="N9171" t="n">
        <v>0</v>
      </c>
      <c r="O9171" t="n">
        <v>0</v>
      </c>
      <c r="P9171" t="n">
        <v>0</v>
      </c>
      <c r="Q9171" t="n">
        <v>0</v>
      </c>
      <c r="R9171" s="2" t="inlineStr"/>
    </row>
    <row r="9172" ht="15" customHeight="1">
      <c r="A9172" t="inlineStr">
        <is>
          <t>A 61082-2024</t>
        </is>
      </c>
      <c r="B9172" s="1" t="n">
        <v>45644</v>
      </c>
      <c r="C9172" s="1" t="n">
        <v>46075</v>
      </c>
      <c r="D9172" t="inlineStr">
        <is>
          <t>VÄSTERBOTTENS LÄN</t>
        </is>
      </c>
      <c r="E9172" t="inlineStr">
        <is>
          <t>DOROTEA</t>
        </is>
      </c>
      <c r="G9172" t="n">
        <v>5.5</v>
      </c>
      <c r="H9172" t="n">
        <v>0</v>
      </c>
      <c r="I9172" t="n">
        <v>0</v>
      </c>
      <c r="J9172" t="n">
        <v>0</v>
      </c>
      <c r="K9172" t="n">
        <v>0</v>
      </c>
      <c r="L9172" t="n">
        <v>0</v>
      </c>
      <c r="M9172" t="n">
        <v>0</v>
      </c>
      <c r="N9172" t="n">
        <v>0</v>
      </c>
      <c r="O9172" t="n">
        <v>0</v>
      </c>
      <c r="P9172" t="n">
        <v>0</v>
      </c>
      <c r="Q9172" t="n">
        <v>0</v>
      </c>
      <c r="R9172" s="2" t="inlineStr"/>
    </row>
    <row r="9173" ht="15" customHeight="1">
      <c r="A9173" t="inlineStr">
        <is>
          <t>A 29524-2023</t>
        </is>
      </c>
      <c r="B9173" s="1" t="n">
        <v>45106.62175925926</v>
      </c>
      <c r="C9173" s="1" t="n">
        <v>46075</v>
      </c>
      <c r="D9173" t="inlineStr">
        <is>
          <t>VÄSTERBOTTENS LÄN</t>
        </is>
      </c>
      <c r="E9173" t="inlineStr">
        <is>
          <t>LYCKSELE</t>
        </is>
      </c>
      <c r="F9173" t="inlineStr">
        <is>
          <t>Holmen skog AB</t>
        </is>
      </c>
      <c r="G9173" t="n">
        <v>4.6</v>
      </c>
      <c r="H9173" t="n">
        <v>0</v>
      </c>
      <c r="I9173" t="n">
        <v>0</v>
      </c>
      <c r="J9173" t="n">
        <v>0</v>
      </c>
      <c r="K9173" t="n">
        <v>0</v>
      </c>
      <c r="L9173" t="n">
        <v>0</v>
      </c>
      <c r="M9173" t="n">
        <v>0</v>
      </c>
      <c r="N9173" t="n">
        <v>0</v>
      </c>
      <c r="O9173" t="n">
        <v>0</v>
      </c>
      <c r="P9173" t="n">
        <v>0</v>
      </c>
      <c r="Q9173" t="n">
        <v>0</v>
      </c>
      <c r="R9173" s="2" t="inlineStr"/>
    </row>
    <row r="9174" ht="15" customHeight="1">
      <c r="A9174" t="inlineStr">
        <is>
          <t>A 21041-2024</t>
        </is>
      </c>
      <c r="B9174" s="1" t="n">
        <v>45439.666875</v>
      </c>
      <c r="C9174" s="1" t="n">
        <v>46075</v>
      </c>
      <c r="D9174" t="inlineStr">
        <is>
          <t>VÄSTERBOTTENS LÄN</t>
        </is>
      </c>
      <c r="E9174" t="inlineStr">
        <is>
          <t>VÄNNÄS</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21077-2024</t>
        </is>
      </c>
      <c r="B9175" s="1" t="n">
        <v>45439.92695601852</v>
      </c>
      <c r="C9175" s="1" t="n">
        <v>46075</v>
      </c>
      <c r="D9175" t="inlineStr">
        <is>
          <t>VÄSTERBOTTENS LÄN</t>
        </is>
      </c>
      <c r="E9175" t="inlineStr">
        <is>
          <t>SKELLEFTEÅ</t>
        </is>
      </c>
      <c r="G9175" t="n">
        <v>4.3</v>
      </c>
      <c r="H9175" t="n">
        <v>0</v>
      </c>
      <c r="I9175" t="n">
        <v>0</v>
      </c>
      <c r="J9175" t="n">
        <v>0</v>
      </c>
      <c r="K9175" t="n">
        <v>0</v>
      </c>
      <c r="L9175" t="n">
        <v>0</v>
      </c>
      <c r="M9175" t="n">
        <v>0</v>
      </c>
      <c r="N9175" t="n">
        <v>0</v>
      </c>
      <c r="O9175" t="n">
        <v>0</v>
      </c>
      <c r="P9175" t="n">
        <v>0</v>
      </c>
      <c r="Q9175" t="n">
        <v>0</v>
      </c>
      <c r="R9175" s="2" t="inlineStr"/>
    </row>
    <row r="9176" ht="15" customHeight="1">
      <c r="A9176" t="inlineStr">
        <is>
          <t>A 62758-2025</t>
        </is>
      </c>
      <c r="B9176" s="1" t="n">
        <v>46008</v>
      </c>
      <c r="C9176" s="1" t="n">
        <v>46075</v>
      </c>
      <c r="D9176" t="inlineStr">
        <is>
          <t>VÄSTERBOTTENS LÄN</t>
        </is>
      </c>
      <c r="E9176" t="inlineStr">
        <is>
          <t>NORSJÖ</t>
        </is>
      </c>
      <c r="G9176" t="n">
        <v>2.7</v>
      </c>
      <c r="H9176" t="n">
        <v>0</v>
      </c>
      <c r="I9176" t="n">
        <v>0</v>
      </c>
      <c r="J9176" t="n">
        <v>0</v>
      </c>
      <c r="K9176" t="n">
        <v>0</v>
      </c>
      <c r="L9176" t="n">
        <v>0</v>
      </c>
      <c r="M9176" t="n">
        <v>0</v>
      </c>
      <c r="N9176" t="n">
        <v>0</v>
      </c>
      <c r="O9176" t="n">
        <v>0</v>
      </c>
      <c r="P9176" t="n">
        <v>0</v>
      </c>
      <c r="Q9176" t="n">
        <v>0</v>
      </c>
      <c r="R9176" s="2" t="inlineStr"/>
    </row>
    <row r="9177" ht="15" customHeight="1">
      <c r="A9177" t="inlineStr">
        <is>
          <t>A 63073-2025</t>
        </is>
      </c>
      <c r="B9177" s="1" t="n">
        <v>46009.66118055556</v>
      </c>
      <c r="C9177" s="1" t="n">
        <v>46075</v>
      </c>
      <c r="D9177" t="inlineStr">
        <is>
          <t>VÄSTERBOTTENS LÄN</t>
        </is>
      </c>
      <c r="E9177" t="inlineStr">
        <is>
          <t>NORDMALING</t>
        </is>
      </c>
      <c r="G9177" t="n">
        <v>0.7</v>
      </c>
      <c r="H9177" t="n">
        <v>0</v>
      </c>
      <c r="I9177" t="n">
        <v>0</v>
      </c>
      <c r="J9177" t="n">
        <v>0</v>
      </c>
      <c r="K9177" t="n">
        <v>0</v>
      </c>
      <c r="L9177" t="n">
        <v>0</v>
      </c>
      <c r="M9177" t="n">
        <v>0</v>
      </c>
      <c r="N9177" t="n">
        <v>0</v>
      </c>
      <c r="O9177" t="n">
        <v>0</v>
      </c>
      <c r="P9177" t="n">
        <v>0</v>
      </c>
      <c r="Q9177" t="n">
        <v>0</v>
      </c>
      <c r="R9177" s="2" t="inlineStr"/>
    </row>
    <row r="9178" ht="15" customHeight="1">
      <c r="A9178" t="inlineStr">
        <is>
          <t>A 21084-2024</t>
        </is>
      </c>
      <c r="B9178" s="1" t="n">
        <v>45439</v>
      </c>
      <c r="C9178" s="1" t="n">
        <v>46075</v>
      </c>
      <c r="D9178" t="inlineStr">
        <is>
          <t>VÄSTERBOTTENS LÄN</t>
        </is>
      </c>
      <c r="E9178" t="inlineStr">
        <is>
          <t>UMEÅ</t>
        </is>
      </c>
      <c r="F9178" t="inlineStr">
        <is>
          <t>Kommuner</t>
        </is>
      </c>
      <c r="G9178" t="n">
        <v>1</v>
      </c>
      <c r="H9178" t="n">
        <v>0</v>
      </c>
      <c r="I9178" t="n">
        <v>0</v>
      </c>
      <c r="J9178" t="n">
        <v>0</v>
      </c>
      <c r="K9178" t="n">
        <v>0</v>
      </c>
      <c r="L9178" t="n">
        <v>0</v>
      </c>
      <c r="M9178" t="n">
        <v>0</v>
      </c>
      <c r="N9178" t="n">
        <v>0</v>
      </c>
      <c r="O9178" t="n">
        <v>0</v>
      </c>
      <c r="P9178" t="n">
        <v>0</v>
      </c>
      <c r="Q9178" t="n">
        <v>0</v>
      </c>
      <c r="R9178" s="2" t="inlineStr"/>
    </row>
    <row r="9179" ht="15" customHeight="1">
      <c r="A9179" t="inlineStr">
        <is>
          <t>A 408-2023</t>
        </is>
      </c>
      <c r="B9179" s="1" t="n">
        <v>44924</v>
      </c>
      <c r="C9179" s="1" t="n">
        <v>46075</v>
      </c>
      <c r="D9179" t="inlineStr">
        <is>
          <t>VÄSTERBOTTENS LÄN</t>
        </is>
      </c>
      <c r="E9179" t="inlineStr">
        <is>
          <t>LYCKSELE</t>
        </is>
      </c>
      <c r="G9179" t="n">
        <v>11.9</v>
      </c>
      <c r="H9179" t="n">
        <v>0</v>
      </c>
      <c r="I9179" t="n">
        <v>0</v>
      </c>
      <c r="J9179" t="n">
        <v>0</v>
      </c>
      <c r="K9179" t="n">
        <v>0</v>
      </c>
      <c r="L9179" t="n">
        <v>0</v>
      </c>
      <c r="M9179" t="n">
        <v>0</v>
      </c>
      <c r="N9179" t="n">
        <v>0</v>
      </c>
      <c r="O9179" t="n">
        <v>0</v>
      </c>
      <c r="P9179" t="n">
        <v>0</v>
      </c>
      <c r="Q9179" t="n">
        <v>0</v>
      </c>
      <c r="R9179" s="2" t="inlineStr"/>
    </row>
    <row r="9180" ht="15" customHeight="1">
      <c r="A9180" t="inlineStr">
        <is>
          <t>A 5361-2026</t>
        </is>
      </c>
      <c r="B9180" s="1" t="n">
        <v>46050.44866898148</v>
      </c>
      <c r="C9180" s="1" t="n">
        <v>46075</v>
      </c>
      <c r="D9180" t="inlineStr">
        <is>
          <t>VÄSTERBOTTENS LÄN</t>
        </is>
      </c>
      <c r="E9180" t="inlineStr">
        <is>
          <t>SKELLEFTEÅ</t>
        </is>
      </c>
      <c r="G9180" t="n">
        <v>5</v>
      </c>
      <c r="H9180" t="n">
        <v>0</v>
      </c>
      <c r="I9180" t="n">
        <v>0</v>
      </c>
      <c r="J9180" t="n">
        <v>0</v>
      </c>
      <c r="K9180" t="n">
        <v>0</v>
      </c>
      <c r="L9180" t="n">
        <v>0</v>
      </c>
      <c r="M9180" t="n">
        <v>0</v>
      </c>
      <c r="N9180" t="n">
        <v>0</v>
      </c>
      <c r="O9180" t="n">
        <v>0</v>
      </c>
      <c r="P9180" t="n">
        <v>0</v>
      </c>
      <c r="Q9180" t="n">
        <v>0</v>
      </c>
      <c r="R9180" s="2" t="inlineStr"/>
    </row>
    <row r="9181" ht="15" customHeight="1">
      <c r="A9181" t="inlineStr">
        <is>
          <t>A 62974-2025</t>
        </is>
      </c>
      <c r="B9181" s="1" t="n">
        <v>46009.46942129629</v>
      </c>
      <c r="C9181" s="1" t="n">
        <v>46075</v>
      </c>
      <c r="D9181" t="inlineStr">
        <is>
          <t>VÄSTERBOTTENS LÄN</t>
        </is>
      </c>
      <c r="E9181" t="inlineStr">
        <is>
          <t>DOROTEA</t>
        </is>
      </c>
      <c r="F9181" t="inlineStr">
        <is>
          <t>SCA</t>
        </is>
      </c>
      <c r="G9181" t="n">
        <v>9.4</v>
      </c>
      <c r="H9181" t="n">
        <v>0</v>
      </c>
      <c r="I9181" t="n">
        <v>0</v>
      </c>
      <c r="J9181" t="n">
        <v>0</v>
      </c>
      <c r="K9181" t="n">
        <v>0</v>
      </c>
      <c r="L9181" t="n">
        <v>0</v>
      </c>
      <c r="M9181" t="n">
        <v>0</v>
      </c>
      <c r="N9181" t="n">
        <v>0</v>
      </c>
      <c r="O9181" t="n">
        <v>0</v>
      </c>
      <c r="P9181" t="n">
        <v>0</v>
      </c>
      <c r="Q9181" t="n">
        <v>0</v>
      </c>
      <c r="R9181" s="2" t="inlineStr"/>
    </row>
    <row r="9182" ht="15" customHeight="1">
      <c r="A9182" t="inlineStr">
        <is>
          <t>A 62996-2025</t>
        </is>
      </c>
      <c r="B9182" s="1" t="n">
        <v>46009.55274305555</v>
      </c>
      <c r="C9182" s="1" t="n">
        <v>46075</v>
      </c>
      <c r="D9182" t="inlineStr">
        <is>
          <t>VÄSTERBOTTENS LÄN</t>
        </is>
      </c>
      <c r="E9182" t="inlineStr">
        <is>
          <t>VINDELN</t>
        </is>
      </c>
      <c r="G9182" t="n">
        <v>5.3</v>
      </c>
      <c r="H9182" t="n">
        <v>0</v>
      </c>
      <c r="I9182" t="n">
        <v>0</v>
      </c>
      <c r="J9182" t="n">
        <v>0</v>
      </c>
      <c r="K9182" t="n">
        <v>0</v>
      </c>
      <c r="L9182" t="n">
        <v>0</v>
      </c>
      <c r="M9182" t="n">
        <v>0</v>
      </c>
      <c r="N9182" t="n">
        <v>0</v>
      </c>
      <c r="O9182" t="n">
        <v>0</v>
      </c>
      <c r="P9182" t="n">
        <v>0</v>
      </c>
      <c r="Q9182" t="n">
        <v>0</v>
      </c>
      <c r="R9182" s="2" t="inlineStr"/>
    </row>
    <row r="9183" ht="15" customHeight="1">
      <c r="A9183" t="inlineStr">
        <is>
          <t>A 15082-2023</t>
        </is>
      </c>
      <c r="B9183" s="1" t="n">
        <v>45016</v>
      </c>
      <c r="C9183" s="1" t="n">
        <v>46075</v>
      </c>
      <c r="D9183" t="inlineStr">
        <is>
          <t>VÄSTERBOTTENS LÄN</t>
        </is>
      </c>
      <c r="E9183" t="inlineStr">
        <is>
          <t>ÅSELE</t>
        </is>
      </c>
      <c r="F9183" t="inlineStr">
        <is>
          <t>SCA</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37072-2024</t>
        </is>
      </c>
      <c r="B9184" s="1" t="n">
        <v>45539</v>
      </c>
      <c r="C9184" s="1" t="n">
        <v>46075</v>
      </c>
      <c r="D9184" t="inlineStr">
        <is>
          <t>VÄSTERBOTTENS LÄN</t>
        </is>
      </c>
      <c r="E9184" t="inlineStr">
        <is>
          <t>DOROTEA</t>
        </is>
      </c>
      <c r="F9184" t="inlineStr">
        <is>
          <t>SCA</t>
        </is>
      </c>
      <c r="G9184" t="n">
        <v>8.199999999999999</v>
      </c>
      <c r="H9184" t="n">
        <v>0</v>
      </c>
      <c r="I9184" t="n">
        <v>0</v>
      </c>
      <c r="J9184" t="n">
        <v>0</v>
      </c>
      <c r="K9184" t="n">
        <v>0</v>
      </c>
      <c r="L9184" t="n">
        <v>0</v>
      </c>
      <c r="M9184" t="n">
        <v>0</v>
      </c>
      <c r="N9184" t="n">
        <v>0</v>
      </c>
      <c r="O9184" t="n">
        <v>0</v>
      </c>
      <c r="P9184" t="n">
        <v>0</v>
      </c>
      <c r="Q9184" t="n">
        <v>0</v>
      </c>
      <c r="R9184" s="2" t="inlineStr"/>
    </row>
    <row r="9185" ht="15" customHeight="1">
      <c r="A9185" t="inlineStr">
        <is>
          <t>A 62928-2025</t>
        </is>
      </c>
      <c r="B9185" s="1" t="n">
        <v>46009.38614583333</v>
      </c>
      <c r="C9185" s="1" t="n">
        <v>46075</v>
      </c>
      <c r="D9185" t="inlineStr">
        <is>
          <t>VÄSTERBOTTENS LÄN</t>
        </is>
      </c>
      <c r="E9185" t="inlineStr">
        <is>
          <t>NORDMALING</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48951-2024</t>
        </is>
      </c>
      <c r="B9186" s="1" t="n">
        <v>45594.43097222222</v>
      </c>
      <c r="C9186" s="1" t="n">
        <v>46075</v>
      </c>
      <c r="D9186" t="inlineStr">
        <is>
          <t>VÄSTERBOTTENS LÄN</t>
        </is>
      </c>
      <c r="E9186" t="inlineStr">
        <is>
          <t>NORDMALING</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61990-2024</t>
        </is>
      </c>
      <c r="B9187" s="1" t="n">
        <v>45646</v>
      </c>
      <c r="C9187" s="1" t="n">
        <v>46075</v>
      </c>
      <c r="D9187" t="inlineStr">
        <is>
          <t>VÄSTERBOTTENS LÄN</t>
        </is>
      </c>
      <c r="E9187" t="inlineStr">
        <is>
          <t>MALÅ</t>
        </is>
      </c>
      <c r="F9187" t="inlineStr">
        <is>
          <t>Sveaskog</t>
        </is>
      </c>
      <c r="G9187" t="n">
        <v>2.2</v>
      </c>
      <c r="H9187" t="n">
        <v>0</v>
      </c>
      <c r="I9187" t="n">
        <v>0</v>
      </c>
      <c r="J9187" t="n">
        <v>0</v>
      </c>
      <c r="K9187" t="n">
        <v>0</v>
      </c>
      <c r="L9187" t="n">
        <v>0</v>
      </c>
      <c r="M9187" t="n">
        <v>0</v>
      </c>
      <c r="N9187" t="n">
        <v>0</v>
      </c>
      <c r="O9187" t="n">
        <v>0</v>
      </c>
      <c r="P9187" t="n">
        <v>0</v>
      </c>
      <c r="Q9187" t="n">
        <v>0</v>
      </c>
      <c r="R9187" s="2" t="inlineStr"/>
    </row>
    <row r="9188" ht="15" customHeight="1">
      <c r="A9188" t="inlineStr">
        <is>
          <t>A 5281-2026</t>
        </is>
      </c>
      <c r="B9188" s="1" t="n">
        <v>46050.34427083333</v>
      </c>
      <c r="C9188" s="1" t="n">
        <v>46075</v>
      </c>
      <c r="D9188" t="inlineStr">
        <is>
          <t>VÄSTERBOTTENS LÄN</t>
        </is>
      </c>
      <c r="E9188" t="inlineStr">
        <is>
          <t>ROBERTSFORS</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62908-2025</t>
        </is>
      </c>
      <c r="B9189" s="1" t="n">
        <v>46009.3637962963</v>
      </c>
      <c r="C9189" s="1" t="n">
        <v>46075</v>
      </c>
      <c r="D9189" t="inlineStr">
        <is>
          <t>VÄSTERBOTTENS LÄN</t>
        </is>
      </c>
      <c r="E9189" t="inlineStr">
        <is>
          <t>SKELLEFTEÅ</t>
        </is>
      </c>
      <c r="G9189" t="n">
        <v>2.2</v>
      </c>
      <c r="H9189" t="n">
        <v>0</v>
      </c>
      <c r="I9189" t="n">
        <v>0</v>
      </c>
      <c r="J9189" t="n">
        <v>0</v>
      </c>
      <c r="K9189" t="n">
        <v>0</v>
      </c>
      <c r="L9189" t="n">
        <v>0</v>
      </c>
      <c r="M9189" t="n">
        <v>0</v>
      </c>
      <c r="N9189" t="n">
        <v>0</v>
      </c>
      <c r="O9189" t="n">
        <v>0</v>
      </c>
      <c r="P9189" t="n">
        <v>0</v>
      </c>
      <c r="Q9189" t="n">
        <v>0</v>
      </c>
      <c r="R9189" s="2" t="inlineStr"/>
    </row>
    <row r="9190" ht="15" customHeight="1">
      <c r="A9190" t="inlineStr">
        <is>
          <t>A 62940-2025</t>
        </is>
      </c>
      <c r="B9190" s="1" t="n">
        <v>46009.4275</v>
      </c>
      <c r="C9190" s="1" t="n">
        <v>46075</v>
      </c>
      <c r="D9190" t="inlineStr">
        <is>
          <t>VÄSTERBOTTENS LÄN</t>
        </is>
      </c>
      <c r="E9190" t="inlineStr">
        <is>
          <t>SKELLEFTEÅ</t>
        </is>
      </c>
      <c r="G9190" t="n">
        <v>14.4</v>
      </c>
      <c r="H9190" t="n">
        <v>0</v>
      </c>
      <c r="I9190" t="n">
        <v>0</v>
      </c>
      <c r="J9190" t="n">
        <v>0</v>
      </c>
      <c r="K9190" t="n">
        <v>0</v>
      </c>
      <c r="L9190" t="n">
        <v>0</v>
      </c>
      <c r="M9190" t="n">
        <v>0</v>
      </c>
      <c r="N9190" t="n">
        <v>0</v>
      </c>
      <c r="O9190" t="n">
        <v>0</v>
      </c>
      <c r="P9190" t="n">
        <v>0</v>
      </c>
      <c r="Q9190" t="n">
        <v>0</v>
      </c>
      <c r="R9190" s="2" t="inlineStr"/>
    </row>
    <row r="9191" ht="15" customHeight="1">
      <c r="A9191" t="inlineStr">
        <is>
          <t>A 36588-2024</t>
        </is>
      </c>
      <c r="B9191" s="1" t="n">
        <v>45537</v>
      </c>
      <c r="C9191" s="1" t="n">
        <v>46075</v>
      </c>
      <c r="D9191" t="inlineStr">
        <is>
          <t>VÄSTERBOTTENS LÄN</t>
        </is>
      </c>
      <c r="E9191" t="inlineStr">
        <is>
          <t>VINDELN</t>
        </is>
      </c>
      <c r="F9191" t="inlineStr">
        <is>
          <t>Sveaskog</t>
        </is>
      </c>
      <c r="G9191" t="n">
        <v>5.2</v>
      </c>
      <c r="H9191" t="n">
        <v>0</v>
      </c>
      <c r="I9191" t="n">
        <v>0</v>
      </c>
      <c r="J9191" t="n">
        <v>0</v>
      </c>
      <c r="K9191" t="n">
        <v>0</v>
      </c>
      <c r="L9191" t="n">
        <v>0</v>
      </c>
      <c r="M9191" t="n">
        <v>0</v>
      </c>
      <c r="N9191" t="n">
        <v>0</v>
      </c>
      <c r="O9191" t="n">
        <v>0</v>
      </c>
      <c r="P9191" t="n">
        <v>0</v>
      </c>
      <c r="Q9191" t="n">
        <v>0</v>
      </c>
      <c r="R9191" s="2" t="inlineStr"/>
    </row>
    <row r="9192" ht="15" customHeight="1">
      <c r="A9192" t="inlineStr">
        <is>
          <t>A 36594-2024</t>
        </is>
      </c>
      <c r="B9192" s="1" t="n">
        <v>45537</v>
      </c>
      <c r="C9192" s="1" t="n">
        <v>46075</v>
      </c>
      <c r="D9192" t="inlineStr">
        <is>
          <t>VÄSTERBOTTENS LÄN</t>
        </is>
      </c>
      <c r="E9192" t="inlineStr">
        <is>
          <t>BJURHOLM</t>
        </is>
      </c>
      <c r="G9192" t="n">
        <v>17.7</v>
      </c>
      <c r="H9192" t="n">
        <v>0</v>
      </c>
      <c r="I9192" t="n">
        <v>0</v>
      </c>
      <c r="J9192" t="n">
        <v>0</v>
      </c>
      <c r="K9192" t="n">
        <v>0</v>
      </c>
      <c r="L9192" t="n">
        <v>0</v>
      </c>
      <c r="M9192" t="n">
        <v>0</v>
      </c>
      <c r="N9192" t="n">
        <v>0</v>
      </c>
      <c r="O9192" t="n">
        <v>0</v>
      </c>
      <c r="P9192" t="n">
        <v>0</v>
      </c>
      <c r="Q9192" t="n">
        <v>0</v>
      </c>
      <c r="R9192" s="2" t="inlineStr"/>
    </row>
    <row r="9193" ht="15" customHeight="1">
      <c r="A9193" t="inlineStr">
        <is>
          <t>A 63033-2025</t>
        </is>
      </c>
      <c r="B9193" s="1" t="n">
        <v>46009.60849537037</v>
      </c>
      <c r="C9193" s="1" t="n">
        <v>46075</v>
      </c>
      <c r="D9193" t="inlineStr">
        <is>
          <t>VÄSTERBOTTENS LÄN</t>
        </is>
      </c>
      <c r="E9193" t="inlineStr">
        <is>
          <t>NORDMALING</t>
        </is>
      </c>
      <c r="G9193" t="n">
        <v>2.2</v>
      </c>
      <c r="H9193" t="n">
        <v>0</v>
      </c>
      <c r="I9193" t="n">
        <v>0</v>
      </c>
      <c r="J9193" t="n">
        <v>0</v>
      </c>
      <c r="K9193" t="n">
        <v>0</v>
      </c>
      <c r="L9193" t="n">
        <v>0</v>
      </c>
      <c r="M9193" t="n">
        <v>0</v>
      </c>
      <c r="N9193" t="n">
        <v>0</v>
      </c>
      <c r="O9193" t="n">
        <v>0</v>
      </c>
      <c r="P9193" t="n">
        <v>0</v>
      </c>
      <c r="Q9193" t="n">
        <v>0</v>
      </c>
      <c r="R9193" s="2" t="inlineStr"/>
    </row>
    <row r="9194" ht="15" customHeight="1">
      <c r="A9194" t="inlineStr">
        <is>
          <t>A 63077-2025</t>
        </is>
      </c>
      <c r="B9194" s="1" t="n">
        <v>46009.66359953704</v>
      </c>
      <c r="C9194" s="1" t="n">
        <v>46075</v>
      </c>
      <c r="D9194" t="inlineStr">
        <is>
          <t>VÄSTERBOTTENS LÄN</t>
        </is>
      </c>
      <c r="E9194" t="inlineStr">
        <is>
          <t>NORDMALING</t>
        </is>
      </c>
      <c r="G9194" t="n">
        <v>10.4</v>
      </c>
      <c r="H9194" t="n">
        <v>0</v>
      </c>
      <c r="I9194" t="n">
        <v>0</v>
      </c>
      <c r="J9194" t="n">
        <v>0</v>
      </c>
      <c r="K9194" t="n">
        <v>0</v>
      </c>
      <c r="L9194" t="n">
        <v>0</v>
      </c>
      <c r="M9194" t="n">
        <v>0</v>
      </c>
      <c r="N9194" t="n">
        <v>0</v>
      </c>
      <c r="O9194" t="n">
        <v>0</v>
      </c>
      <c r="P9194" t="n">
        <v>0</v>
      </c>
      <c r="Q9194" t="n">
        <v>0</v>
      </c>
      <c r="R9194" s="2" t="inlineStr"/>
    </row>
    <row r="9195" ht="15" customHeight="1">
      <c r="A9195" t="inlineStr">
        <is>
          <t>A 63100-2025</t>
        </is>
      </c>
      <c r="B9195" s="1" t="n">
        <v>46009.69855324074</v>
      </c>
      <c r="C9195" s="1" t="n">
        <v>46075</v>
      </c>
      <c r="D9195" t="inlineStr">
        <is>
          <t>VÄSTERBOTTENS LÄN</t>
        </is>
      </c>
      <c r="E9195" t="inlineStr">
        <is>
          <t>LYCKSELE</t>
        </is>
      </c>
      <c r="G9195" t="n">
        <v>1.9</v>
      </c>
      <c r="H9195" t="n">
        <v>0</v>
      </c>
      <c r="I9195" t="n">
        <v>0</v>
      </c>
      <c r="J9195" t="n">
        <v>0</v>
      </c>
      <c r="K9195" t="n">
        <v>0</v>
      </c>
      <c r="L9195" t="n">
        <v>0</v>
      </c>
      <c r="M9195" t="n">
        <v>0</v>
      </c>
      <c r="N9195" t="n">
        <v>0</v>
      </c>
      <c r="O9195" t="n">
        <v>0</v>
      </c>
      <c r="P9195" t="n">
        <v>0</v>
      </c>
      <c r="Q9195" t="n">
        <v>0</v>
      </c>
      <c r="R9195" s="2" t="inlineStr"/>
    </row>
    <row r="9196" ht="15" customHeight="1">
      <c r="A9196" t="inlineStr">
        <is>
          <t>A 5544-2026</t>
        </is>
      </c>
      <c r="B9196" s="1" t="n">
        <v>46050.68443287037</v>
      </c>
      <c r="C9196" s="1" t="n">
        <v>46075</v>
      </c>
      <c r="D9196" t="inlineStr">
        <is>
          <t>VÄSTERBOTTENS LÄN</t>
        </is>
      </c>
      <c r="E9196" t="inlineStr">
        <is>
          <t>NORDMALING</t>
        </is>
      </c>
      <c r="G9196" t="n">
        <v>16.1</v>
      </c>
      <c r="H9196" t="n">
        <v>0</v>
      </c>
      <c r="I9196" t="n">
        <v>0</v>
      </c>
      <c r="J9196" t="n">
        <v>0</v>
      </c>
      <c r="K9196" t="n">
        <v>0</v>
      </c>
      <c r="L9196" t="n">
        <v>0</v>
      </c>
      <c r="M9196" t="n">
        <v>0</v>
      </c>
      <c r="N9196" t="n">
        <v>0</v>
      </c>
      <c r="O9196" t="n">
        <v>0</v>
      </c>
      <c r="P9196" t="n">
        <v>0</v>
      </c>
      <c r="Q9196" t="n">
        <v>0</v>
      </c>
      <c r="R9196" s="2" t="inlineStr"/>
    </row>
    <row r="9197" ht="15" customHeight="1">
      <c r="A9197" t="inlineStr">
        <is>
          <t>A 60765-2024</t>
        </is>
      </c>
      <c r="B9197" s="1" t="n">
        <v>45644.57631944444</v>
      </c>
      <c r="C9197" s="1" t="n">
        <v>46075</v>
      </c>
      <c r="D9197" t="inlineStr">
        <is>
          <t>VÄSTERBOTTENS LÄN</t>
        </is>
      </c>
      <c r="E9197" t="inlineStr">
        <is>
          <t>NORDMALING</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4731-2026</t>
        </is>
      </c>
      <c r="B9198" s="1" t="n">
        <v>46045</v>
      </c>
      <c r="C9198" s="1" t="n">
        <v>46075</v>
      </c>
      <c r="D9198" t="inlineStr">
        <is>
          <t>VÄSTERBOTTENS LÄN</t>
        </is>
      </c>
      <c r="E9198" t="inlineStr">
        <is>
          <t>DOROTEA</t>
        </is>
      </c>
      <c r="G9198" t="n">
        <v>21.5</v>
      </c>
      <c r="H9198" t="n">
        <v>0</v>
      </c>
      <c r="I9198" t="n">
        <v>0</v>
      </c>
      <c r="J9198" t="n">
        <v>0</v>
      </c>
      <c r="K9198" t="n">
        <v>0</v>
      </c>
      <c r="L9198" t="n">
        <v>0</v>
      </c>
      <c r="M9198" t="n">
        <v>0</v>
      </c>
      <c r="N9198" t="n">
        <v>0</v>
      </c>
      <c r="O9198" t="n">
        <v>0</v>
      </c>
      <c r="P9198" t="n">
        <v>0</v>
      </c>
      <c r="Q9198" t="n">
        <v>0</v>
      </c>
      <c r="R9198" s="2" t="inlineStr"/>
    </row>
    <row r="9199" ht="15" customHeight="1">
      <c r="A9199" t="inlineStr">
        <is>
          <t>A 2659-2023</t>
        </is>
      </c>
      <c r="B9199" s="1" t="n">
        <v>44944</v>
      </c>
      <c r="C9199" s="1" t="n">
        <v>46075</v>
      </c>
      <c r="D9199" t="inlineStr">
        <is>
          <t>VÄSTERBOTTENS LÄN</t>
        </is>
      </c>
      <c r="E9199" t="inlineStr">
        <is>
          <t>UMEÅ</t>
        </is>
      </c>
      <c r="G9199" t="n">
        <v>0.5</v>
      </c>
      <c r="H9199" t="n">
        <v>0</v>
      </c>
      <c r="I9199" t="n">
        <v>0</v>
      </c>
      <c r="J9199" t="n">
        <v>0</v>
      </c>
      <c r="K9199" t="n">
        <v>0</v>
      </c>
      <c r="L9199" t="n">
        <v>0</v>
      </c>
      <c r="M9199" t="n">
        <v>0</v>
      </c>
      <c r="N9199" t="n">
        <v>0</v>
      </c>
      <c r="O9199" t="n">
        <v>0</v>
      </c>
      <c r="P9199" t="n">
        <v>0</v>
      </c>
      <c r="Q9199" t="n">
        <v>0</v>
      </c>
      <c r="R9199" s="2" t="inlineStr"/>
    </row>
    <row r="9200" ht="15" customHeight="1">
      <c r="A9200" t="inlineStr">
        <is>
          <t>A 27627-2024</t>
        </is>
      </c>
      <c r="B9200" s="1" t="n">
        <v>45474.9281712963</v>
      </c>
      <c r="C9200" s="1" t="n">
        <v>46075</v>
      </c>
      <c r="D9200" t="inlineStr">
        <is>
          <t>VÄSTERBOTTENS LÄN</t>
        </is>
      </c>
      <c r="E9200" t="inlineStr">
        <is>
          <t>SKELLEFTEÅ</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62787-2025</t>
        </is>
      </c>
      <c r="B9201" s="1" t="n">
        <v>46008.61939814815</v>
      </c>
      <c r="C9201" s="1" t="n">
        <v>46075</v>
      </c>
      <c r="D9201" t="inlineStr">
        <is>
          <t>VÄSTERBOTTENS LÄN</t>
        </is>
      </c>
      <c r="E9201" t="inlineStr">
        <is>
          <t>VÄNNÄS</t>
        </is>
      </c>
      <c r="G9201" t="n">
        <v>4.9</v>
      </c>
      <c r="H9201" t="n">
        <v>0</v>
      </c>
      <c r="I9201" t="n">
        <v>0</v>
      </c>
      <c r="J9201" t="n">
        <v>0</v>
      </c>
      <c r="K9201" t="n">
        <v>0</v>
      </c>
      <c r="L9201" t="n">
        <v>0</v>
      </c>
      <c r="M9201" t="n">
        <v>0</v>
      </c>
      <c r="N9201" t="n">
        <v>0</v>
      </c>
      <c r="O9201" t="n">
        <v>0</v>
      </c>
      <c r="P9201" t="n">
        <v>0</v>
      </c>
      <c r="Q9201" t="n">
        <v>0</v>
      </c>
      <c r="R9201" s="2" t="inlineStr"/>
    </row>
    <row r="9202" ht="15" customHeight="1">
      <c r="A9202" t="inlineStr">
        <is>
          <t>A 62809-2025</t>
        </is>
      </c>
      <c r="B9202" s="1" t="n">
        <v>46008.64582175926</v>
      </c>
      <c r="C9202" s="1" t="n">
        <v>46075</v>
      </c>
      <c r="D9202" t="inlineStr">
        <is>
          <t>VÄSTERBOTTENS LÄN</t>
        </is>
      </c>
      <c r="E9202" t="inlineStr">
        <is>
          <t>SKELLEFTEÅ</t>
        </is>
      </c>
      <c r="G9202" t="n">
        <v>5.8</v>
      </c>
      <c r="H9202" t="n">
        <v>0</v>
      </c>
      <c r="I9202" t="n">
        <v>0</v>
      </c>
      <c r="J9202" t="n">
        <v>0</v>
      </c>
      <c r="K9202" t="n">
        <v>0</v>
      </c>
      <c r="L9202" t="n">
        <v>0</v>
      </c>
      <c r="M9202" t="n">
        <v>0</v>
      </c>
      <c r="N9202" t="n">
        <v>0</v>
      </c>
      <c r="O9202" t="n">
        <v>0</v>
      </c>
      <c r="P9202" t="n">
        <v>0</v>
      </c>
      <c r="Q9202" t="n">
        <v>0</v>
      </c>
      <c r="R9202" s="2" t="inlineStr"/>
    </row>
    <row r="9203" ht="15" customHeight="1">
      <c r="A9203" t="inlineStr">
        <is>
          <t>A 5322-2026</t>
        </is>
      </c>
      <c r="B9203" s="1" t="n">
        <v>46050.38971064815</v>
      </c>
      <c r="C9203" s="1" t="n">
        <v>46075</v>
      </c>
      <c r="D9203" t="inlineStr">
        <is>
          <t>VÄSTERBOTTENS LÄN</t>
        </is>
      </c>
      <c r="E9203" t="inlineStr">
        <is>
          <t>UMEÅ</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32772-2024</t>
        </is>
      </c>
      <c r="B9204" s="1" t="n">
        <v>45516</v>
      </c>
      <c r="C9204" s="1" t="n">
        <v>46075</v>
      </c>
      <c r="D9204" t="inlineStr">
        <is>
          <t>VÄSTERBOTTENS LÄN</t>
        </is>
      </c>
      <c r="E9204" t="inlineStr">
        <is>
          <t>MALÅ</t>
        </is>
      </c>
      <c r="G9204" t="n">
        <v>0.2</v>
      </c>
      <c r="H9204" t="n">
        <v>0</v>
      </c>
      <c r="I9204" t="n">
        <v>0</v>
      </c>
      <c r="J9204" t="n">
        <v>0</v>
      </c>
      <c r="K9204" t="n">
        <v>0</v>
      </c>
      <c r="L9204" t="n">
        <v>0</v>
      </c>
      <c r="M9204" t="n">
        <v>0</v>
      </c>
      <c r="N9204" t="n">
        <v>0</v>
      </c>
      <c r="O9204" t="n">
        <v>0</v>
      </c>
      <c r="P9204" t="n">
        <v>0</v>
      </c>
      <c r="Q9204" t="n">
        <v>0</v>
      </c>
      <c r="R9204" s="2" t="inlineStr"/>
    </row>
    <row r="9205" ht="15" customHeight="1">
      <c r="A9205" t="inlineStr">
        <is>
          <t>A 32800-2024</t>
        </is>
      </c>
      <c r="B9205" s="1" t="n">
        <v>45516.56430555556</v>
      </c>
      <c r="C9205" s="1" t="n">
        <v>46075</v>
      </c>
      <c r="D9205" t="inlineStr">
        <is>
          <t>VÄSTERBOTTENS LÄN</t>
        </is>
      </c>
      <c r="E9205" t="inlineStr">
        <is>
          <t>LYCKSELE</t>
        </is>
      </c>
      <c r="F9205" t="inlineStr">
        <is>
          <t>Sveaskog</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17776-2023</t>
        </is>
      </c>
      <c r="B9206" s="1" t="n">
        <v>45036</v>
      </c>
      <c r="C9206" s="1" t="n">
        <v>46075</v>
      </c>
      <c r="D9206" t="inlineStr">
        <is>
          <t>VÄSTERBOTTENS LÄN</t>
        </is>
      </c>
      <c r="E9206" t="inlineStr">
        <is>
          <t>DOROTEA</t>
        </is>
      </c>
      <c r="G9206" t="n">
        <v>4.2</v>
      </c>
      <c r="H9206" t="n">
        <v>0</v>
      </c>
      <c r="I9206" t="n">
        <v>0</v>
      </c>
      <c r="J9206" t="n">
        <v>0</v>
      </c>
      <c r="K9206" t="n">
        <v>0</v>
      </c>
      <c r="L9206" t="n">
        <v>0</v>
      </c>
      <c r="M9206" t="n">
        <v>0</v>
      </c>
      <c r="N9206" t="n">
        <v>0</v>
      </c>
      <c r="O9206" t="n">
        <v>0</v>
      </c>
      <c r="P9206" t="n">
        <v>0</v>
      </c>
      <c r="Q9206" t="n">
        <v>0</v>
      </c>
      <c r="R9206" s="2" t="inlineStr"/>
    </row>
    <row r="9207" ht="15" customHeight="1">
      <c r="A9207" t="inlineStr">
        <is>
          <t>A 62906-2025</t>
        </is>
      </c>
      <c r="B9207" s="1" t="n">
        <v>46009</v>
      </c>
      <c r="C9207" s="1" t="n">
        <v>46075</v>
      </c>
      <c r="D9207" t="inlineStr">
        <is>
          <t>VÄSTERBOTTENS LÄN</t>
        </is>
      </c>
      <c r="E9207" t="inlineStr">
        <is>
          <t>LYCKSELE</t>
        </is>
      </c>
      <c r="F9207" t="inlineStr">
        <is>
          <t>Holmen skog AB</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44616-2022</t>
        </is>
      </c>
      <c r="B9208" s="1" t="n">
        <v>44839</v>
      </c>
      <c r="C9208" s="1" t="n">
        <v>46075</v>
      </c>
      <c r="D9208" t="inlineStr">
        <is>
          <t>VÄSTERBOTTENS LÄN</t>
        </is>
      </c>
      <c r="E9208" t="inlineStr">
        <is>
          <t>SKELLEFTEÅ</t>
        </is>
      </c>
      <c r="G9208" t="n">
        <v>4.8</v>
      </c>
      <c r="H9208" t="n">
        <v>0</v>
      </c>
      <c r="I9208" t="n">
        <v>0</v>
      </c>
      <c r="J9208" t="n">
        <v>0</v>
      </c>
      <c r="K9208" t="n">
        <v>0</v>
      </c>
      <c r="L9208" t="n">
        <v>0</v>
      </c>
      <c r="M9208" t="n">
        <v>0</v>
      </c>
      <c r="N9208" t="n">
        <v>0</v>
      </c>
      <c r="O9208" t="n">
        <v>0</v>
      </c>
      <c r="P9208" t="n">
        <v>0</v>
      </c>
      <c r="Q9208" t="n">
        <v>0</v>
      </c>
      <c r="R9208" s="2" t="inlineStr"/>
    </row>
    <row r="9209" ht="15" customHeight="1">
      <c r="A9209" t="inlineStr">
        <is>
          <t>A 64893-2021</t>
        </is>
      </c>
      <c r="B9209" s="1" t="n">
        <v>44512.6299537037</v>
      </c>
      <c r="C9209" s="1" t="n">
        <v>46075</v>
      </c>
      <c r="D9209" t="inlineStr">
        <is>
          <t>VÄSTERBOTTENS LÄN</t>
        </is>
      </c>
      <c r="E9209" t="inlineStr">
        <is>
          <t>LYCKSELE</t>
        </is>
      </c>
      <c r="G9209" t="n">
        <v>7.3</v>
      </c>
      <c r="H9209" t="n">
        <v>0</v>
      </c>
      <c r="I9209" t="n">
        <v>0</v>
      </c>
      <c r="J9209" t="n">
        <v>0</v>
      </c>
      <c r="K9209" t="n">
        <v>0</v>
      </c>
      <c r="L9209" t="n">
        <v>0</v>
      </c>
      <c r="M9209" t="n">
        <v>0</v>
      </c>
      <c r="N9209" t="n">
        <v>0</v>
      </c>
      <c r="O9209" t="n">
        <v>0</v>
      </c>
      <c r="P9209" t="n">
        <v>0</v>
      </c>
      <c r="Q9209" t="n">
        <v>0</v>
      </c>
      <c r="R9209" s="2" t="inlineStr"/>
    </row>
    <row r="9210" ht="15" customHeight="1">
      <c r="A9210" t="inlineStr">
        <is>
          <t>A 62607-2025</t>
        </is>
      </c>
      <c r="B9210" s="1" t="n">
        <v>46008.28662037037</v>
      </c>
      <c r="C9210" s="1" t="n">
        <v>46075</v>
      </c>
      <c r="D9210" t="inlineStr">
        <is>
          <t>VÄSTERBOTTENS LÄN</t>
        </is>
      </c>
      <c r="E9210" t="inlineStr">
        <is>
          <t>SKELLEFTEÅ</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63037-2025</t>
        </is>
      </c>
      <c r="B9211" s="1" t="n">
        <v>46009.61435185185</v>
      </c>
      <c r="C9211" s="1" t="n">
        <v>46075</v>
      </c>
      <c r="D9211" t="inlineStr">
        <is>
          <t>VÄSTERBOTTENS LÄN</t>
        </is>
      </c>
      <c r="E9211" t="inlineStr">
        <is>
          <t>NORDMALING</t>
        </is>
      </c>
      <c r="G9211" t="n">
        <v>0.3</v>
      </c>
      <c r="H9211" t="n">
        <v>0</v>
      </c>
      <c r="I9211" t="n">
        <v>0</v>
      </c>
      <c r="J9211" t="n">
        <v>0</v>
      </c>
      <c r="K9211" t="n">
        <v>0</v>
      </c>
      <c r="L9211" t="n">
        <v>0</v>
      </c>
      <c r="M9211" t="n">
        <v>0</v>
      </c>
      <c r="N9211" t="n">
        <v>0</v>
      </c>
      <c r="O9211" t="n">
        <v>0</v>
      </c>
      <c r="P9211" t="n">
        <v>0</v>
      </c>
      <c r="Q9211" t="n">
        <v>0</v>
      </c>
      <c r="R9211" s="2" t="inlineStr"/>
    </row>
    <row r="9212" ht="15" customHeight="1">
      <c r="A9212" t="inlineStr">
        <is>
          <t>A 4222-2025</t>
        </is>
      </c>
      <c r="B9212" s="1" t="n">
        <v>45685</v>
      </c>
      <c r="C9212" s="1" t="n">
        <v>46075</v>
      </c>
      <c r="D9212" t="inlineStr">
        <is>
          <t>VÄSTERBOTTENS LÄN</t>
        </is>
      </c>
      <c r="E9212" t="inlineStr">
        <is>
          <t>VINDELN</t>
        </is>
      </c>
      <c r="G9212" t="n">
        <v>4.1</v>
      </c>
      <c r="H9212" t="n">
        <v>0</v>
      </c>
      <c r="I9212" t="n">
        <v>0</v>
      </c>
      <c r="J9212" t="n">
        <v>0</v>
      </c>
      <c r="K9212" t="n">
        <v>0</v>
      </c>
      <c r="L9212" t="n">
        <v>0</v>
      </c>
      <c r="M9212" t="n">
        <v>0</v>
      </c>
      <c r="N9212" t="n">
        <v>0</v>
      </c>
      <c r="O9212" t="n">
        <v>0</v>
      </c>
      <c r="P9212" t="n">
        <v>0</v>
      </c>
      <c r="Q9212" t="n">
        <v>0</v>
      </c>
      <c r="R9212" s="2" t="inlineStr"/>
    </row>
    <row r="9213" ht="15" customHeight="1">
      <c r="A9213" t="inlineStr">
        <is>
          <t>A 34098-2023</t>
        </is>
      </c>
      <c r="B9213" s="1" t="n">
        <v>45135.58939814815</v>
      </c>
      <c r="C9213" s="1" t="n">
        <v>46075</v>
      </c>
      <c r="D9213" t="inlineStr">
        <is>
          <t>VÄSTERBOTTENS LÄN</t>
        </is>
      </c>
      <c r="E9213" t="inlineStr">
        <is>
          <t>VINDELN</t>
        </is>
      </c>
      <c r="F9213" t="inlineStr">
        <is>
          <t>Holmen skog AB</t>
        </is>
      </c>
      <c r="G9213" t="n">
        <v>5</v>
      </c>
      <c r="H9213" t="n">
        <v>0</v>
      </c>
      <c r="I9213" t="n">
        <v>0</v>
      </c>
      <c r="J9213" t="n">
        <v>0</v>
      </c>
      <c r="K9213" t="n">
        <v>0</v>
      </c>
      <c r="L9213" t="n">
        <v>0</v>
      </c>
      <c r="M9213" t="n">
        <v>0</v>
      </c>
      <c r="N9213" t="n">
        <v>0</v>
      </c>
      <c r="O9213" t="n">
        <v>0</v>
      </c>
      <c r="P9213" t="n">
        <v>0</v>
      </c>
      <c r="Q9213" t="n">
        <v>0</v>
      </c>
      <c r="R9213" s="2" t="inlineStr"/>
    </row>
    <row r="9214" ht="15" customHeight="1">
      <c r="A9214" t="inlineStr">
        <is>
          <t>A 5664-2026</t>
        </is>
      </c>
      <c r="B9214" s="1" t="n">
        <v>46051.46328703704</v>
      </c>
      <c r="C9214" s="1" t="n">
        <v>46075</v>
      </c>
      <c r="D9214" t="inlineStr">
        <is>
          <t>VÄSTERBOTTENS LÄN</t>
        </is>
      </c>
      <c r="E9214" t="inlineStr">
        <is>
          <t>NORDMALING</t>
        </is>
      </c>
      <c r="G9214" t="n">
        <v>1.4</v>
      </c>
      <c r="H9214" t="n">
        <v>0</v>
      </c>
      <c r="I9214" t="n">
        <v>0</v>
      </c>
      <c r="J9214" t="n">
        <v>0</v>
      </c>
      <c r="K9214" t="n">
        <v>0</v>
      </c>
      <c r="L9214" t="n">
        <v>0</v>
      </c>
      <c r="M9214" t="n">
        <v>0</v>
      </c>
      <c r="N9214" t="n">
        <v>0</v>
      </c>
      <c r="O9214" t="n">
        <v>0</v>
      </c>
      <c r="P9214" t="n">
        <v>0</v>
      </c>
      <c r="Q9214" t="n">
        <v>0</v>
      </c>
      <c r="R9214" s="2" t="inlineStr"/>
    </row>
    <row r="9215" ht="15" customHeight="1">
      <c r="A9215" t="inlineStr">
        <is>
          <t>A 5743-2026</t>
        </is>
      </c>
      <c r="B9215" s="1" t="n">
        <v>46051.59429398148</v>
      </c>
      <c r="C9215" s="1" t="n">
        <v>46075</v>
      </c>
      <c r="D9215" t="inlineStr">
        <is>
          <t>VÄSTERBOTTENS LÄN</t>
        </is>
      </c>
      <c r="E9215" t="inlineStr">
        <is>
          <t>DOROTEA</t>
        </is>
      </c>
      <c r="F9215" t="inlineStr">
        <is>
          <t>SCA</t>
        </is>
      </c>
      <c r="G9215" t="n">
        <v>2.6</v>
      </c>
      <c r="H9215" t="n">
        <v>0</v>
      </c>
      <c r="I9215" t="n">
        <v>0</v>
      </c>
      <c r="J9215" t="n">
        <v>0</v>
      </c>
      <c r="K9215" t="n">
        <v>0</v>
      </c>
      <c r="L9215" t="n">
        <v>0</v>
      </c>
      <c r="M9215" t="n">
        <v>0</v>
      </c>
      <c r="N9215" t="n">
        <v>0</v>
      </c>
      <c r="O9215" t="n">
        <v>0</v>
      </c>
      <c r="P9215" t="n">
        <v>0</v>
      </c>
      <c r="Q9215" t="n">
        <v>0</v>
      </c>
      <c r="R9215" s="2" t="inlineStr"/>
    </row>
    <row r="9216" ht="15" customHeight="1">
      <c r="A9216" t="inlineStr">
        <is>
          <t>A 51966-2024</t>
        </is>
      </c>
      <c r="B9216" s="1" t="n">
        <v>45607.65512731481</v>
      </c>
      <c r="C9216" s="1" t="n">
        <v>46075</v>
      </c>
      <c r="D9216" t="inlineStr">
        <is>
          <t>VÄSTERBOTTENS LÄN</t>
        </is>
      </c>
      <c r="E9216" t="inlineStr">
        <is>
          <t>ROBERTSFORS</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33524-2021</t>
        </is>
      </c>
      <c r="B9217" s="1" t="n">
        <v>44377</v>
      </c>
      <c r="C9217" s="1" t="n">
        <v>46075</v>
      </c>
      <c r="D9217" t="inlineStr">
        <is>
          <t>VÄSTERBOTTENS LÄN</t>
        </is>
      </c>
      <c r="E9217" t="inlineStr">
        <is>
          <t>ÅSELE</t>
        </is>
      </c>
      <c r="G9217" t="n">
        <v>6.8</v>
      </c>
      <c r="H9217" t="n">
        <v>0</v>
      </c>
      <c r="I9217" t="n">
        <v>0</v>
      </c>
      <c r="J9217" t="n">
        <v>0</v>
      </c>
      <c r="K9217" t="n">
        <v>0</v>
      </c>
      <c r="L9217" t="n">
        <v>0</v>
      </c>
      <c r="M9217" t="n">
        <v>0</v>
      </c>
      <c r="N9217" t="n">
        <v>0</v>
      </c>
      <c r="O9217" t="n">
        <v>0</v>
      </c>
      <c r="P9217" t="n">
        <v>0</v>
      </c>
      <c r="Q9217" t="n">
        <v>0</v>
      </c>
      <c r="R9217" s="2" t="inlineStr"/>
    </row>
    <row r="9218" ht="15" customHeight="1">
      <c r="A9218" t="inlineStr">
        <is>
          <t>A 5787-2026</t>
        </is>
      </c>
      <c r="B9218" s="1" t="n">
        <v>46051.67016203704</v>
      </c>
      <c r="C9218" s="1" t="n">
        <v>46075</v>
      </c>
      <c r="D9218" t="inlineStr">
        <is>
          <t>VÄSTERBOTTENS LÄN</t>
        </is>
      </c>
      <c r="E9218" t="inlineStr">
        <is>
          <t>SKELLEFTEÅ</t>
        </is>
      </c>
      <c r="G9218" t="n">
        <v>14.6</v>
      </c>
      <c r="H9218" t="n">
        <v>0</v>
      </c>
      <c r="I9218" t="n">
        <v>0</v>
      </c>
      <c r="J9218" t="n">
        <v>0</v>
      </c>
      <c r="K9218" t="n">
        <v>0</v>
      </c>
      <c r="L9218" t="n">
        <v>0</v>
      </c>
      <c r="M9218" t="n">
        <v>0</v>
      </c>
      <c r="N9218" t="n">
        <v>0</v>
      </c>
      <c r="O9218" t="n">
        <v>0</v>
      </c>
      <c r="P9218" t="n">
        <v>0</v>
      </c>
      <c r="Q9218" t="n">
        <v>0</v>
      </c>
      <c r="R9218" s="2" t="inlineStr"/>
    </row>
    <row r="9219" ht="15" customHeight="1">
      <c r="A9219" t="inlineStr">
        <is>
          <t>A 5790-2026</t>
        </is>
      </c>
      <c r="B9219" s="1" t="n">
        <v>46051.68773148148</v>
      </c>
      <c r="C9219" s="1" t="n">
        <v>46075</v>
      </c>
      <c r="D9219" t="inlineStr">
        <is>
          <t>VÄSTERBOTTENS LÄN</t>
        </is>
      </c>
      <c r="E9219" t="inlineStr">
        <is>
          <t>SKELLEFTEÅ</t>
        </is>
      </c>
      <c r="G9219" t="n">
        <v>19.5</v>
      </c>
      <c r="H9219" t="n">
        <v>0</v>
      </c>
      <c r="I9219" t="n">
        <v>0</v>
      </c>
      <c r="J9219" t="n">
        <v>0</v>
      </c>
      <c r="K9219" t="n">
        <v>0</v>
      </c>
      <c r="L9219" t="n">
        <v>0</v>
      </c>
      <c r="M9219" t="n">
        <v>0</v>
      </c>
      <c r="N9219" t="n">
        <v>0</v>
      </c>
      <c r="O9219" t="n">
        <v>0</v>
      </c>
      <c r="P9219" t="n">
        <v>0</v>
      </c>
      <c r="Q9219" t="n">
        <v>0</v>
      </c>
      <c r="R9219" s="2" t="inlineStr"/>
    </row>
    <row r="9220" ht="15" customHeight="1">
      <c r="A9220" t="inlineStr">
        <is>
          <t>A 5795-2026</t>
        </is>
      </c>
      <c r="B9220" s="1" t="n">
        <v>46051.70982638889</v>
      </c>
      <c r="C9220" s="1" t="n">
        <v>46075</v>
      </c>
      <c r="D9220" t="inlineStr">
        <is>
          <t>VÄSTERBOTTENS LÄN</t>
        </is>
      </c>
      <c r="E9220" t="inlineStr">
        <is>
          <t>ROBERTSFORS</t>
        </is>
      </c>
      <c r="G9220" t="n">
        <v>6.3</v>
      </c>
      <c r="H9220" t="n">
        <v>0</v>
      </c>
      <c r="I9220" t="n">
        <v>0</v>
      </c>
      <c r="J9220" t="n">
        <v>0</v>
      </c>
      <c r="K9220" t="n">
        <v>0</v>
      </c>
      <c r="L9220" t="n">
        <v>0</v>
      </c>
      <c r="M9220" t="n">
        <v>0</v>
      </c>
      <c r="N9220" t="n">
        <v>0</v>
      </c>
      <c r="O9220" t="n">
        <v>0</v>
      </c>
      <c r="P9220" t="n">
        <v>0</v>
      </c>
      <c r="Q9220" t="n">
        <v>0</v>
      </c>
      <c r="R9220" s="2" t="inlineStr"/>
    </row>
    <row r="9221" ht="15" customHeight="1">
      <c r="A9221" t="inlineStr">
        <is>
          <t>A 53117-2025</t>
        </is>
      </c>
      <c r="B9221" s="1" t="n">
        <v>45958</v>
      </c>
      <c r="C9221" s="1" t="n">
        <v>46075</v>
      </c>
      <c r="D9221" t="inlineStr">
        <is>
          <t>VÄSTERBOTTENS LÄN</t>
        </is>
      </c>
      <c r="E9221" t="inlineStr">
        <is>
          <t>BJURHOLM</t>
        </is>
      </c>
      <c r="G9221" t="n">
        <v>1</v>
      </c>
      <c r="H9221" t="n">
        <v>0</v>
      </c>
      <c r="I9221" t="n">
        <v>0</v>
      </c>
      <c r="J9221" t="n">
        <v>0</v>
      </c>
      <c r="K9221" t="n">
        <v>0</v>
      </c>
      <c r="L9221" t="n">
        <v>0</v>
      </c>
      <c r="M9221" t="n">
        <v>0</v>
      </c>
      <c r="N9221" t="n">
        <v>0</v>
      </c>
      <c r="O9221" t="n">
        <v>0</v>
      </c>
      <c r="P9221" t="n">
        <v>0</v>
      </c>
      <c r="Q9221" t="n">
        <v>0</v>
      </c>
      <c r="R9221" s="2" t="inlineStr"/>
    </row>
    <row r="9222" ht="15" customHeight="1">
      <c r="A9222" t="inlineStr">
        <is>
          <t>A 35172-2022</t>
        </is>
      </c>
      <c r="B9222" s="1" t="n">
        <v>44797</v>
      </c>
      <c r="C9222" s="1" t="n">
        <v>46075</v>
      </c>
      <c r="D9222" t="inlineStr">
        <is>
          <t>VÄSTERBOTTENS LÄN</t>
        </is>
      </c>
      <c r="E9222" t="inlineStr">
        <is>
          <t>SORSELE</t>
        </is>
      </c>
      <c r="G9222" t="n">
        <v>1.9</v>
      </c>
      <c r="H9222" t="n">
        <v>0</v>
      </c>
      <c r="I9222" t="n">
        <v>0</v>
      </c>
      <c r="J9222" t="n">
        <v>0</v>
      </c>
      <c r="K9222" t="n">
        <v>0</v>
      </c>
      <c r="L9222" t="n">
        <v>0</v>
      </c>
      <c r="M9222" t="n">
        <v>0</v>
      </c>
      <c r="N9222" t="n">
        <v>0</v>
      </c>
      <c r="O9222" t="n">
        <v>0</v>
      </c>
      <c r="P9222" t="n">
        <v>0</v>
      </c>
      <c r="Q9222" t="n">
        <v>0</v>
      </c>
      <c r="R9222" s="2" t="inlineStr"/>
    </row>
    <row r="9223" ht="15" customHeight="1">
      <c r="A9223" t="inlineStr">
        <is>
          <t>A 13830-2024</t>
        </is>
      </c>
      <c r="B9223" s="1" t="n">
        <v>45390</v>
      </c>
      <c r="C9223" s="1" t="n">
        <v>46075</v>
      </c>
      <c r="D9223" t="inlineStr">
        <is>
          <t>VÄSTERBOTTENS LÄN</t>
        </is>
      </c>
      <c r="E9223" t="inlineStr">
        <is>
          <t>VINDELN</t>
        </is>
      </c>
      <c r="G9223" t="n">
        <v>0.6</v>
      </c>
      <c r="H9223" t="n">
        <v>0</v>
      </c>
      <c r="I9223" t="n">
        <v>0</v>
      </c>
      <c r="J9223" t="n">
        <v>0</v>
      </c>
      <c r="K9223" t="n">
        <v>0</v>
      </c>
      <c r="L9223" t="n">
        <v>0</v>
      </c>
      <c r="M9223" t="n">
        <v>0</v>
      </c>
      <c r="N9223" t="n">
        <v>0</v>
      </c>
      <c r="O9223" t="n">
        <v>0</v>
      </c>
      <c r="P9223" t="n">
        <v>0</v>
      </c>
      <c r="Q9223" t="n">
        <v>0</v>
      </c>
      <c r="R9223" s="2" t="inlineStr"/>
    </row>
    <row r="9224" ht="15" customHeight="1">
      <c r="A9224" t="inlineStr">
        <is>
          <t>A 63065-2025</t>
        </is>
      </c>
      <c r="B9224" s="1" t="n">
        <v>46009.65525462963</v>
      </c>
      <c r="C9224" s="1" t="n">
        <v>46075</v>
      </c>
      <c r="D9224" t="inlineStr">
        <is>
          <t>VÄSTERBOTTENS LÄN</t>
        </is>
      </c>
      <c r="E9224" t="inlineStr">
        <is>
          <t>NORDMALING</t>
        </is>
      </c>
      <c r="G9224" t="n">
        <v>1.5</v>
      </c>
      <c r="H9224" t="n">
        <v>0</v>
      </c>
      <c r="I9224" t="n">
        <v>0</v>
      </c>
      <c r="J9224" t="n">
        <v>0</v>
      </c>
      <c r="K9224" t="n">
        <v>0</v>
      </c>
      <c r="L9224" t="n">
        <v>0</v>
      </c>
      <c r="M9224" t="n">
        <v>0</v>
      </c>
      <c r="N9224" t="n">
        <v>0</v>
      </c>
      <c r="O9224" t="n">
        <v>0</v>
      </c>
      <c r="P9224" t="n">
        <v>0</v>
      </c>
      <c r="Q9224" t="n">
        <v>0</v>
      </c>
      <c r="R9224" s="2" t="inlineStr"/>
    </row>
    <row r="9225" ht="15" customHeight="1">
      <c r="A9225" t="inlineStr">
        <is>
          <t>A 5380-2026</t>
        </is>
      </c>
      <c r="B9225" s="1" t="n">
        <v>46050.4628125</v>
      </c>
      <c r="C9225" s="1" t="n">
        <v>46075</v>
      </c>
      <c r="D9225" t="inlineStr">
        <is>
          <t>VÄSTERBOTTENS LÄN</t>
        </is>
      </c>
      <c r="E9225" t="inlineStr">
        <is>
          <t>SKELLEFTEÅ</t>
        </is>
      </c>
      <c r="G9225" t="n">
        <v>9.699999999999999</v>
      </c>
      <c r="H9225" t="n">
        <v>0</v>
      </c>
      <c r="I9225" t="n">
        <v>0</v>
      </c>
      <c r="J9225" t="n">
        <v>0</v>
      </c>
      <c r="K9225" t="n">
        <v>0</v>
      </c>
      <c r="L9225" t="n">
        <v>0</v>
      </c>
      <c r="M9225" t="n">
        <v>0</v>
      </c>
      <c r="N9225" t="n">
        <v>0</v>
      </c>
      <c r="O9225" t="n">
        <v>0</v>
      </c>
      <c r="P9225" t="n">
        <v>0</v>
      </c>
      <c r="Q9225" t="n">
        <v>0</v>
      </c>
      <c r="R9225" s="2" t="inlineStr"/>
    </row>
    <row r="9226" ht="15" customHeight="1">
      <c r="A9226" t="inlineStr">
        <is>
          <t>A 45389-2021</t>
        </is>
      </c>
      <c r="B9226" s="1" t="n">
        <v>44440</v>
      </c>
      <c r="C9226" s="1" t="n">
        <v>46075</v>
      </c>
      <c r="D9226" t="inlineStr">
        <is>
          <t>VÄSTERBOTTENS LÄN</t>
        </is>
      </c>
      <c r="E9226" t="inlineStr">
        <is>
          <t>SKELLEFTEÅ</t>
        </is>
      </c>
      <c r="G9226" t="n">
        <v>0.3</v>
      </c>
      <c r="H9226" t="n">
        <v>0</v>
      </c>
      <c r="I9226" t="n">
        <v>0</v>
      </c>
      <c r="J9226" t="n">
        <v>0</v>
      </c>
      <c r="K9226" t="n">
        <v>0</v>
      </c>
      <c r="L9226" t="n">
        <v>0</v>
      </c>
      <c r="M9226" t="n">
        <v>0</v>
      </c>
      <c r="N9226" t="n">
        <v>0</v>
      </c>
      <c r="O9226" t="n">
        <v>0</v>
      </c>
      <c r="P9226" t="n">
        <v>0</v>
      </c>
      <c r="Q9226" t="n">
        <v>0</v>
      </c>
      <c r="R9226" s="2" t="inlineStr"/>
    </row>
    <row r="9227" ht="15" customHeight="1">
      <c r="A9227" t="inlineStr">
        <is>
          <t>A 16471-2025</t>
        </is>
      </c>
      <c r="B9227" s="1" t="n">
        <v>45751.54825231482</v>
      </c>
      <c r="C9227" s="1" t="n">
        <v>46075</v>
      </c>
      <c r="D9227" t="inlineStr">
        <is>
          <t>VÄSTERBOTTENS LÄN</t>
        </is>
      </c>
      <c r="E9227" t="inlineStr">
        <is>
          <t>VÄNNÄS</t>
        </is>
      </c>
      <c r="G9227" t="n">
        <v>2.3</v>
      </c>
      <c r="H9227" t="n">
        <v>0</v>
      </c>
      <c r="I9227" t="n">
        <v>0</v>
      </c>
      <c r="J9227" t="n">
        <v>0</v>
      </c>
      <c r="K9227" t="n">
        <v>0</v>
      </c>
      <c r="L9227" t="n">
        <v>0</v>
      </c>
      <c r="M9227" t="n">
        <v>0</v>
      </c>
      <c r="N9227" t="n">
        <v>0</v>
      </c>
      <c r="O9227" t="n">
        <v>0</v>
      </c>
      <c r="P9227" t="n">
        <v>0</v>
      </c>
      <c r="Q9227" t="n">
        <v>0</v>
      </c>
      <c r="R9227" s="2" t="inlineStr"/>
    </row>
    <row r="9228" ht="15" customHeight="1">
      <c r="A9228" t="inlineStr">
        <is>
          <t>A 5508-2026</t>
        </is>
      </c>
      <c r="B9228" s="1" t="n">
        <v>46050.62871527778</v>
      </c>
      <c r="C9228" s="1" t="n">
        <v>46075</v>
      </c>
      <c r="D9228" t="inlineStr">
        <is>
          <t>VÄSTERBOTTENS LÄN</t>
        </is>
      </c>
      <c r="E9228" t="inlineStr">
        <is>
          <t>LYCKSELE</t>
        </is>
      </c>
      <c r="F9228" t="inlineStr">
        <is>
          <t>Sveaskog</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16542-2025</t>
        </is>
      </c>
      <c r="B9229" s="1" t="n">
        <v>45751.67792824074</v>
      </c>
      <c r="C9229" s="1" t="n">
        <v>46075</v>
      </c>
      <c r="D9229" t="inlineStr">
        <is>
          <t>VÄSTERBOTTENS LÄN</t>
        </is>
      </c>
      <c r="E9229" t="inlineStr">
        <is>
          <t>VINDELN</t>
        </is>
      </c>
      <c r="F9229" t="inlineStr">
        <is>
          <t>Holmen skog AB</t>
        </is>
      </c>
      <c r="G9229" t="n">
        <v>2.2</v>
      </c>
      <c r="H9229" t="n">
        <v>0</v>
      </c>
      <c r="I9229" t="n">
        <v>0</v>
      </c>
      <c r="J9229" t="n">
        <v>0</v>
      </c>
      <c r="K9229" t="n">
        <v>0</v>
      </c>
      <c r="L9229" t="n">
        <v>0</v>
      </c>
      <c r="M9229" t="n">
        <v>0</v>
      </c>
      <c r="N9229" t="n">
        <v>0</v>
      </c>
      <c r="O9229" t="n">
        <v>0</v>
      </c>
      <c r="P9229" t="n">
        <v>0</v>
      </c>
      <c r="Q9229" t="n">
        <v>0</v>
      </c>
      <c r="R9229" s="2" t="inlineStr"/>
    </row>
    <row r="9230" ht="15" customHeight="1">
      <c r="A9230" t="inlineStr">
        <is>
          <t>A 36895-2024</t>
        </is>
      </c>
      <c r="B9230" s="1" t="n">
        <v>45538.61855324074</v>
      </c>
      <c r="C9230" s="1" t="n">
        <v>46075</v>
      </c>
      <c r="D9230" t="inlineStr">
        <is>
          <t>VÄSTERBOTTENS LÄN</t>
        </is>
      </c>
      <c r="E9230" t="inlineStr">
        <is>
          <t>SKELLEFTEÅ</t>
        </is>
      </c>
      <c r="F9230" t="inlineStr">
        <is>
          <t>Holmen skog AB</t>
        </is>
      </c>
      <c r="G9230" t="n">
        <v>2.2</v>
      </c>
      <c r="H9230" t="n">
        <v>0</v>
      </c>
      <c r="I9230" t="n">
        <v>0</v>
      </c>
      <c r="J9230" t="n">
        <v>0</v>
      </c>
      <c r="K9230" t="n">
        <v>0</v>
      </c>
      <c r="L9230" t="n">
        <v>0</v>
      </c>
      <c r="M9230" t="n">
        <v>0</v>
      </c>
      <c r="N9230" t="n">
        <v>0</v>
      </c>
      <c r="O9230" t="n">
        <v>0</v>
      </c>
      <c r="P9230" t="n">
        <v>0</v>
      </c>
      <c r="Q9230" t="n">
        <v>0</v>
      </c>
      <c r="R9230" s="2" t="inlineStr"/>
    </row>
    <row r="9231" ht="15" customHeight="1">
      <c r="A9231" t="inlineStr">
        <is>
          <t>A 8173-2022</t>
        </is>
      </c>
      <c r="B9231" s="1" t="n">
        <v>44609.64921296296</v>
      </c>
      <c r="C9231" s="1" t="n">
        <v>46075</v>
      </c>
      <c r="D9231" t="inlineStr">
        <is>
          <t>VÄSTERBOTTENS LÄN</t>
        </is>
      </c>
      <c r="E9231" t="inlineStr">
        <is>
          <t>NORDMALING</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18846-2023</t>
        </is>
      </c>
      <c r="B9232" s="1" t="n">
        <v>45042</v>
      </c>
      <c r="C9232" s="1" t="n">
        <v>46075</v>
      </c>
      <c r="D9232" t="inlineStr">
        <is>
          <t>VÄSTERBOTTENS LÄN</t>
        </is>
      </c>
      <c r="E9232" t="inlineStr">
        <is>
          <t>STORUMAN</t>
        </is>
      </c>
      <c r="G9232" t="n">
        <v>17.7</v>
      </c>
      <c r="H9232" t="n">
        <v>0</v>
      </c>
      <c r="I9232" t="n">
        <v>0</v>
      </c>
      <c r="J9232" t="n">
        <v>0</v>
      </c>
      <c r="K9232" t="n">
        <v>0</v>
      </c>
      <c r="L9232" t="n">
        <v>0</v>
      </c>
      <c r="M9232" t="n">
        <v>0</v>
      </c>
      <c r="N9232" t="n">
        <v>0</v>
      </c>
      <c r="O9232" t="n">
        <v>0</v>
      </c>
      <c r="P9232" t="n">
        <v>0</v>
      </c>
      <c r="Q9232" t="n">
        <v>0</v>
      </c>
      <c r="R9232" s="2" t="inlineStr"/>
    </row>
    <row r="9233" ht="15" customHeight="1">
      <c r="A9233" t="inlineStr">
        <is>
          <t>A 54837-2024</t>
        </is>
      </c>
      <c r="B9233" s="1" t="n">
        <v>45618.56424768519</v>
      </c>
      <c r="C9233" s="1" t="n">
        <v>46075</v>
      </c>
      <c r="D9233" t="inlineStr">
        <is>
          <t>VÄSTERBOTTENS LÄN</t>
        </is>
      </c>
      <c r="E9233" t="inlineStr">
        <is>
          <t>NORDMALING</t>
        </is>
      </c>
      <c r="G9233" t="n">
        <v>10</v>
      </c>
      <c r="H9233" t="n">
        <v>0</v>
      </c>
      <c r="I9233" t="n">
        <v>0</v>
      </c>
      <c r="J9233" t="n">
        <v>0</v>
      </c>
      <c r="K9233" t="n">
        <v>0</v>
      </c>
      <c r="L9233" t="n">
        <v>0</v>
      </c>
      <c r="M9233" t="n">
        <v>0</v>
      </c>
      <c r="N9233" t="n">
        <v>0</v>
      </c>
      <c r="O9233" t="n">
        <v>0</v>
      </c>
      <c r="P9233" t="n">
        <v>0</v>
      </c>
      <c r="Q9233" t="n">
        <v>0</v>
      </c>
      <c r="R9233" s="2" t="inlineStr"/>
    </row>
    <row r="9234" ht="15" customHeight="1">
      <c r="A9234" t="inlineStr">
        <is>
          <t>A 4685-2026</t>
        </is>
      </c>
      <c r="B9234" s="1" t="n">
        <v>46048.43700231481</v>
      </c>
      <c r="C9234" s="1" t="n">
        <v>46075</v>
      </c>
      <c r="D9234" t="inlineStr">
        <is>
          <t>VÄSTERBOTTENS LÄN</t>
        </is>
      </c>
      <c r="E9234" t="inlineStr">
        <is>
          <t>VÄNNÄS</t>
        </is>
      </c>
      <c r="G9234" t="n">
        <v>0.8</v>
      </c>
      <c r="H9234" t="n">
        <v>0</v>
      </c>
      <c r="I9234" t="n">
        <v>0</v>
      </c>
      <c r="J9234" t="n">
        <v>0</v>
      </c>
      <c r="K9234" t="n">
        <v>0</v>
      </c>
      <c r="L9234" t="n">
        <v>0</v>
      </c>
      <c r="M9234" t="n">
        <v>0</v>
      </c>
      <c r="N9234" t="n">
        <v>0</v>
      </c>
      <c r="O9234" t="n">
        <v>0</v>
      </c>
      <c r="P9234" t="n">
        <v>0</v>
      </c>
      <c r="Q9234" t="n">
        <v>0</v>
      </c>
      <c r="R9234" s="2" t="inlineStr"/>
    </row>
    <row r="9235" ht="15" customHeight="1">
      <c r="A9235" t="inlineStr">
        <is>
          <t>A 62894-2025</t>
        </is>
      </c>
      <c r="B9235" s="1" t="n">
        <v>46009.33802083333</v>
      </c>
      <c r="C9235" s="1" t="n">
        <v>46075</v>
      </c>
      <c r="D9235" t="inlineStr">
        <is>
          <t>VÄSTERBOTTENS LÄN</t>
        </is>
      </c>
      <c r="E9235" t="inlineStr">
        <is>
          <t>SKELLEFTEÅ</t>
        </is>
      </c>
      <c r="G9235" t="n">
        <v>2.6</v>
      </c>
      <c r="H9235" t="n">
        <v>0</v>
      </c>
      <c r="I9235" t="n">
        <v>0</v>
      </c>
      <c r="J9235" t="n">
        <v>0</v>
      </c>
      <c r="K9235" t="n">
        <v>0</v>
      </c>
      <c r="L9235" t="n">
        <v>0</v>
      </c>
      <c r="M9235" t="n">
        <v>0</v>
      </c>
      <c r="N9235" t="n">
        <v>0</v>
      </c>
      <c r="O9235" t="n">
        <v>0</v>
      </c>
      <c r="P9235" t="n">
        <v>0</v>
      </c>
      <c r="Q9235" t="n">
        <v>0</v>
      </c>
      <c r="R9235" s="2" t="inlineStr"/>
    </row>
    <row r="9236" ht="15" customHeight="1">
      <c r="A9236" t="inlineStr">
        <is>
          <t>A 62910-2025</t>
        </is>
      </c>
      <c r="B9236" s="1" t="n">
        <v>46009.36521990741</v>
      </c>
      <c r="C9236" s="1" t="n">
        <v>46075</v>
      </c>
      <c r="D9236" t="inlineStr">
        <is>
          <t>VÄSTERBOTTENS LÄN</t>
        </is>
      </c>
      <c r="E9236" t="inlineStr">
        <is>
          <t>DOROTEA</t>
        </is>
      </c>
      <c r="F9236" t="inlineStr">
        <is>
          <t>SCA</t>
        </is>
      </c>
      <c r="G9236" t="n">
        <v>3.1</v>
      </c>
      <c r="H9236" t="n">
        <v>0</v>
      </c>
      <c r="I9236" t="n">
        <v>0</v>
      </c>
      <c r="J9236" t="n">
        <v>0</v>
      </c>
      <c r="K9236" t="n">
        <v>0</v>
      </c>
      <c r="L9236" t="n">
        <v>0</v>
      </c>
      <c r="M9236" t="n">
        <v>0</v>
      </c>
      <c r="N9236" t="n">
        <v>0</v>
      </c>
      <c r="O9236" t="n">
        <v>0</v>
      </c>
      <c r="P9236" t="n">
        <v>0</v>
      </c>
      <c r="Q9236" t="n">
        <v>0</v>
      </c>
      <c r="R9236" s="2" t="inlineStr"/>
    </row>
    <row r="9237" ht="15" customHeight="1">
      <c r="A9237" t="inlineStr">
        <is>
          <t>A 41642-2024</t>
        </is>
      </c>
      <c r="B9237" s="1" t="n">
        <v>45560.63359953704</v>
      </c>
      <c r="C9237" s="1" t="n">
        <v>46075</v>
      </c>
      <c r="D9237" t="inlineStr">
        <is>
          <t>VÄSTERBOTTENS LÄN</t>
        </is>
      </c>
      <c r="E9237" t="inlineStr">
        <is>
          <t>SKELLEFTEÅ</t>
        </is>
      </c>
      <c r="F9237" t="inlineStr">
        <is>
          <t>Holmen skog AB</t>
        </is>
      </c>
      <c r="G9237" t="n">
        <v>4.5</v>
      </c>
      <c r="H9237" t="n">
        <v>0</v>
      </c>
      <c r="I9237" t="n">
        <v>0</v>
      </c>
      <c r="J9237" t="n">
        <v>0</v>
      </c>
      <c r="K9237" t="n">
        <v>0</v>
      </c>
      <c r="L9237" t="n">
        <v>0</v>
      </c>
      <c r="M9237" t="n">
        <v>0</v>
      </c>
      <c r="N9237" t="n">
        <v>0</v>
      </c>
      <c r="O9237" t="n">
        <v>0</v>
      </c>
      <c r="P9237" t="n">
        <v>0</v>
      </c>
      <c r="Q9237" t="n">
        <v>0</v>
      </c>
      <c r="R9237" s="2" t="inlineStr"/>
    </row>
    <row r="9238" ht="15" customHeight="1">
      <c r="A9238" t="inlineStr">
        <is>
          <t>A 13931-2024</t>
        </is>
      </c>
      <c r="B9238" s="1" t="n">
        <v>45391</v>
      </c>
      <c r="C9238" s="1" t="n">
        <v>46075</v>
      </c>
      <c r="D9238" t="inlineStr">
        <is>
          <t>VÄSTERBOTTENS LÄN</t>
        </is>
      </c>
      <c r="E9238" t="inlineStr">
        <is>
          <t>STORUMAN</t>
        </is>
      </c>
      <c r="G9238" t="n">
        <v>13.8</v>
      </c>
      <c r="H9238" t="n">
        <v>0</v>
      </c>
      <c r="I9238" t="n">
        <v>0</v>
      </c>
      <c r="J9238" t="n">
        <v>0</v>
      </c>
      <c r="K9238" t="n">
        <v>0</v>
      </c>
      <c r="L9238" t="n">
        <v>0</v>
      </c>
      <c r="M9238" t="n">
        <v>0</v>
      </c>
      <c r="N9238" t="n">
        <v>0</v>
      </c>
      <c r="O9238" t="n">
        <v>0</v>
      </c>
      <c r="P9238" t="n">
        <v>0</v>
      </c>
      <c r="Q9238" t="n">
        <v>0</v>
      </c>
      <c r="R9238" s="2" t="inlineStr"/>
    </row>
    <row r="9239" ht="15" customHeight="1">
      <c r="A9239" t="inlineStr">
        <is>
          <t>A 64500-2023</t>
        </is>
      </c>
      <c r="B9239" s="1" t="n">
        <v>45280.94303240741</v>
      </c>
      <c r="C9239" s="1" t="n">
        <v>46075</v>
      </c>
      <c r="D9239" t="inlineStr">
        <is>
          <t>VÄSTERBOTTENS LÄN</t>
        </is>
      </c>
      <c r="E9239" t="inlineStr">
        <is>
          <t>BJURHOLM</t>
        </is>
      </c>
      <c r="F9239" t="inlineStr">
        <is>
          <t>SCA</t>
        </is>
      </c>
      <c r="G9239" t="n">
        <v>2.3</v>
      </c>
      <c r="H9239" t="n">
        <v>0</v>
      </c>
      <c r="I9239" t="n">
        <v>0</v>
      </c>
      <c r="J9239" t="n">
        <v>0</v>
      </c>
      <c r="K9239" t="n">
        <v>0</v>
      </c>
      <c r="L9239" t="n">
        <v>0</v>
      </c>
      <c r="M9239" t="n">
        <v>0</v>
      </c>
      <c r="N9239" t="n">
        <v>0</v>
      </c>
      <c r="O9239" t="n">
        <v>0</v>
      </c>
      <c r="P9239" t="n">
        <v>0</v>
      </c>
      <c r="Q9239" t="n">
        <v>0</v>
      </c>
      <c r="R9239" s="2" t="inlineStr"/>
    </row>
    <row r="9240" ht="15" customHeight="1">
      <c r="A9240" t="inlineStr">
        <is>
          <t>A 5533-2026</t>
        </is>
      </c>
      <c r="B9240" s="1" t="n">
        <v>46050.65700231482</v>
      </c>
      <c r="C9240" s="1" t="n">
        <v>46075</v>
      </c>
      <c r="D9240" t="inlineStr">
        <is>
          <t>VÄSTERBOTTENS LÄN</t>
        </is>
      </c>
      <c r="E9240" t="inlineStr">
        <is>
          <t>SKELLEFTEÅ</t>
        </is>
      </c>
      <c r="G9240" t="n">
        <v>4.7</v>
      </c>
      <c r="H9240" t="n">
        <v>0</v>
      </c>
      <c r="I9240" t="n">
        <v>0</v>
      </c>
      <c r="J9240" t="n">
        <v>0</v>
      </c>
      <c r="K9240" t="n">
        <v>0</v>
      </c>
      <c r="L9240" t="n">
        <v>0</v>
      </c>
      <c r="M9240" t="n">
        <v>0</v>
      </c>
      <c r="N9240" t="n">
        <v>0</v>
      </c>
      <c r="O9240" t="n">
        <v>0</v>
      </c>
      <c r="P9240" t="n">
        <v>0</v>
      </c>
      <c r="Q9240" t="n">
        <v>0</v>
      </c>
      <c r="R9240" s="2" t="inlineStr"/>
    </row>
    <row r="9241" ht="15" customHeight="1">
      <c r="A9241" t="inlineStr">
        <is>
          <t>A 5467-2026</t>
        </is>
      </c>
      <c r="B9241" s="1" t="n">
        <v>46048</v>
      </c>
      <c r="C9241" s="1" t="n">
        <v>46075</v>
      </c>
      <c r="D9241" t="inlineStr">
        <is>
          <t>VÄSTERBOTTENS LÄN</t>
        </is>
      </c>
      <c r="E9241" t="inlineStr">
        <is>
          <t>UMEÅ</t>
        </is>
      </c>
      <c r="G9241" t="n">
        <v>2.6</v>
      </c>
      <c r="H9241" t="n">
        <v>0</v>
      </c>
      <c r="I9241" t="n">
        <v>0</v>
      </c>
      <c r="J9241" t="n">
        <v>0</v>
      </c>
      <c r="K9241" t="n">
        <v>0</v>
      </c>
      <c r="L9241" t="n">
        <v>0</v>
      </c>
      <c r="M9241" t="n">
        <v>0</v>
      </c>
      <c r="N9241" t="n">
        <v>0</v>
      </c>
      <c r="O9241" t="n">
        <v>0</v>
      </c>
      <c r="P9241" t="n">
        <v>0</v>
      </c>
      <c r="Q9241" t="n">
        <v>0</v>
      </c>
      <c r="R9241" s="2" t="inlineStr"/>
    </row>
    <row r="9242" ht="15" customHeight="1">
      <c r="A9242" t="inlineStr">
        <is>
          <t>A 46826-2023</t>
        </is>
      </c>
      <c r="B9242" s="1" t="n">
        <v>45198.93778935185</v>
      </c>
      <c r="C9242" s="1" t="n">
        <v>46075</v>
      </c>
      <c r="D9242" t="inlineStr">
        <is>
          <t>VÄSTERBOTTENS LÄN</t>
        </is>
      </c>
      <c r="E9242" t="inlineStr">
        <is>
          <t>LYCKSELE</t>
        </is>
      </c>
      <c r="F9242" t="inlineStr">
        <is>
          <t>SCA</t>
        </is>
      </c>
      <c r="G9242" t="n">
        <v>2.7</v>
      </c>
      <c r="H9242" t="n">
        <v>0</v>
      </c>
      <c r="I9242" t="n">
        <v>0</v>
      </c>
      <c r="J9242" t="n">
        <v>0</v>
      </c>
      <c r="K9242" t="n">
        <v>0</v>
      </c>
      <c r="L9242" t="n">
        <v>0</v>
      </c>
      <c r="M9242" t="n">
        <v>0</v>
      </c>
      <c r="N9242" t="n">
        <v>0</v>
      </c>
      <c r="O9242" t="n">
        <v>0</v>
      </c>
      <c r="P9242" t="n">
        <v>0</v>
      </c>
      <c r="Q9242" t="n">
        <v>0</v>
      </c>
      <c r="R9242" s="2" t="inlineStr"/>
    </row>
    <row r="9243" ht="15" customHeight="1">
      <c r="A9243" t="inlineStr">
        <is>
          <t>A 54985-2023</t>
        </is>
      </c>
      <c r="B9243" s="1" t="n">
        <v>45236</v>
      </c>
      <c r="C9243" s="1" t="n">
        <v>46075</v>
      </c>
      <c r="D9243" t="inlineStr">
        <is>
          <t>VÄSTERBOTTENS LÄN</t>
        </is>
      </c>
      <c r="E9243" t="inlineStr">
        <is>
          <t>VILHELMINA</t>
        </is>
      </c>
      <c r="F9243" t="inlineStr">
        <is>
          <t>SCA</t>
        </is>
      </c>
      <c r="G9243" t="n">
        <v>7.5</v>
      </c>
      <c r="H9243" t="n">
        <v>0</v>
      </c>
      <c r="I9243" t="n">
        <v>0</v>
      </c>
      <c r="J9243" t="n">
        <v>0</v>
      </c>
      <c r="K9243" t="n">
        <v>0</v>
      </c>
      <c r="L9243" t="n">
        <v>0</v>
      </c>
      <c r="M9243" t="n">
        <v>0</v>
      </c>
      <c r="N9243" t="n">
        <v>0</v>
      </c>
      <c r="O9243" t="n">
        <v>0</v>
      </c>
      <c r="P9243" t="n">
        <v>0</v>
      </c>
      <c r="Q9243" t="n">
        <v>0</v>
      </c>
      <c r="R9243" s="2" t="inlineStr"/>
    </row>
    <row r="9244" ht="15" customHeight="1">
      <c r="A9244" t="inlineStr">
        <is>
          <t>A 5652-2026</t>
        </is>
      </c>
      <c r="B9244" s="1" t="n">
        <v>46051.4339699074</v>
      </c>
      <c r="C9244" s="1" t="n">
        <v>46075</v>
      </c>
      <c r="D9244" t="inlineStr">
        <is>
          <t>VÄSTERBOTTENS LÄN</t>
        </is>
      </c>
      <c r="E9244" t="inlineStr">
        <is>
          <t>SKELLEFTEÅ</t>
        </is>
      </c>
      <c r="F9244" t="inlineStr">
        <is>
          <t>Holmen skog AB</t>
        </is>
      </c>
      <c r="G9244" t="n">
        <v>2.8</v>
      </c>
      <c r="H9244" t="n">
        <v>0</v>
      </c>
      <c r="I9244" t="n">
        <v>0</v>
      </c>
      <c r="J9244" t="n">
        <v>0</v>
      </c>
      <c r="K9244" t="n">
        <v>0</v>
      </c>
      <c r="L9244" t="n">
        <v>0</v>
      </c>
      <c r="M9244" t="n">
        <v>0</v>
      </c>
      <c r="N9244" t="n">
        <v>0</v>
      </c>
      <c r="O9244" t="n">
        <v>0</v>
      </c>
      <c r="P9244" t="n">
        <v>0</v>
      </c>
      <c r="Q9244" t="n">
        <v>0</v>
      </c>
      <c r="R9244" s="2" t="inlineStr"/>
    </row>
    <row r="9245" ht="15" customHeight="1">
      <c r="A9245" t="inlineStr">
        <is>
          <t>A 4462-2023</t>
        </is>
      </c>
      <c r="B9245" s="1" t="n">
        <v>44952</v>
      </c>
      <c r="C9245" s="1" t="n">
        <v>46075</v>
      </c>
      <c r="D9245" t="inlineStr">
        <is>
          <t>VÄSTERBOTTENS LÄN</t>
        </is>
      </c>
      <c r="E9245" t="inlineStr">
        <is>
          <t>ÅSELE</t>
        </is>
      </c>
      <c r="G9245" t="n">
        <v>0.9</v>
      </c>
      <c r="H9245" t="n">
        <v>0</v>
      </c>
      <c r="I9245" t="n">
        <v>0</v>
      </c>
      <c r="J9245" t="n">
        <v>0</v>
      </c>
      <c r="K9245" t="n">
        <v>0</v>
      </c>
      <c r="L9245" t="n">
        <v>0</v>
      </c>
      <c r="M9245" t="n">
        <v>0</v>
      </c>
      <c r="N9245" t="n">
        <v>0</v>
      </c>
      <c r="O9245" t="n">
        <v>0</v>
      </c>
      <c r="P9245" t="n">
        <v>0</v>
      </c>
      <c r="Q9245" t="n">
        <v>0</v>
      </c>
      <c r="R9245" s="2" t="inlineStr"/>
    </row>
    <row r="9246" ht="15" customHeight="1">
      <c r="A9246" t="inlineStr">
        <is>
          <t>A 62854-2025</t>
        </is>
      </c>
      <c r="B9246" s="1" t="n">
        <v>46008.73527777778</v>
      </c>
      <c r="C9246" s="1" t="n">
        <v>46075</v>
      </c>
      <c r="D9246" t="inlineStr">
        <is>
          <t>VÄSTERBOTTENS LÄN</t>
        </is>
      </c>
      <c r="E9246" t="inlineStr">
        <is>
          <t>SKELLEFTEÅ</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50084-2024</t>
        </is>
      </c>
      <c r="B9247" s="1" t="n">
        <v>45597</v>
      </c>
      <c r="C9247" s="1" t="n">
        <v>46075</v>
      </c>
      <c r="D9247" t="inlineStr">
        <is>
          <t>VÄSTERBOTTENS LÄN</t>
        </is>
      </c>
      <c r="E9247" t="inlineStr">
        <is>
          <t>VINDELN</t>
        </is>
      </c>
      <c r="G9247" t="n">
        <v>6.4</v>
      </c>
      <c r="H9247" t="n">
        <v>0</v>
      </c>
      <c r="I9247" t="n">
        <v>0</v>
      </c>
      <c r="J9247" t="n">
        <v>0</v>
      </c>
      <c r="K9247" t="n">
        <v>0</v>
      </c>
      <c r="L9247" t="n">
        <v>0</v>
      </c>
      <c r="M9247" t="n">
        <v>0</v>
      </c>
      <c r="N9247" t="n">
        <v>0</v>
      </c>
      <c r="O9247" t="n">
        <v>0</v>
      </c>
      <c r="P9247" t="n">
        <v>0</v>
      </c>
      <c r="Q9247" t="n">
        <v>0</v>
      </c>
      <c r="R9247" s="2" t="inlineStr"/>
    </row>
    <row r="9248" ht="15" customHeight="1">
      <c r="A9248" t="inlineStr">
        <is>
          <t>A 38178-2022</t>
        </is>
      </c>
      <c r="B9248" s="1" t="n">
        <v>44812</v>
      </c>
      <c r="C9248" s="1" t="n">
        <v>46075</v>
      </c>
      <c r="D9248" t="inlineStr">
        <is>
          <t>VÄSTERBOTTENS LÄN</t>
        </is>
      </c>
      <c r="E9248" t="inlineStr">
        <is>
          <t>LYCKSELE</t>
        </is>
      </c>
      <c r="F9248" t="inlineStr">
        <is>
          <t>Holmen skog AB</t>
        </is>
      </c>
      <c r="G9248" t="n">
        <v>6.5</v>
      </c>
      <c r="H9248" t="n">
        <v>0</v>
      </c>
      <c r="I9248" t="n">
        <v>0</v>
      </c>
      <c r="J9248" t="n">
        <v>0</v>
      </c>
      <c r="K9248" t="n">
        <v>0</v>
      </c>
      <c r="L9248" t="n">
        <v>0</v>
      </c>
      <c r="M9248" t="n">
        <v>0</v>
      </c>
      <c r="N9248" t="n">
        <v>0</v>
      </c>
      <c r="O9248" t="n">
        <v>0</v>
      </c>
      <c r="P9248" t="n">
        <v>0</v>
      </c>
      <c r="Q9248" t="n">
        <v>0</v>
      </c>
      <c r="R9248" s="2" t="inlineStr"/>
    </row>
    <row r="9249" ht="15" customHeight="1">
      <c r="A9249" t="inlineStr">
        <is>
          <t>A 5744-2026</t>
        </is>
      </c>
      <c r="B9249" s="1" t="n">
        <v>46051.59449074074</v>
      </c>
      <c r="C9249" s="1" t="n">
        <v>46075</v>
      </c>
      <c r="D9249" t="inlineStr">
        <is>
          <t>VÄSTERBOTTENS LÄN</t>
        </is>
      </c>
      <c r="E9249" t="inlineStr">
        <is>
          <t>DOROTEA</t>
        </is>
      </c>
      <c r="F9249" t="inlineStr">
        <is>
          <t>SCA</t>
        </is>
      </c>
      <c r="G9249" t="n">
        <v>1.7</v>
      </c>
      <c r="H9249" t="n">
        <v>0</v>
      </c>
      <c r="I9249" t="n">
        <v>0</v>
      </c>
      <c r="J9249" t="n">
        <v>0</v>
      </c>
      <c r="K9249" t="n">
        <v>0</v>
      </c>
      <c r="L9249" t="n">
        <v>0</v>
      </c>
      <c r="M9249" t="n">
        <v>0</v>
      </c>
      <c r="N9249" t="n">
        <v>0</v>
      </c>
      <c r="O9249" t="n">
        <v>0</v>
      </c>
      <c r="P9249" t="n">
        <v>0</v>
      </c>
      <c r="Q9249" t="n">
        <v>0</v>
      </c>
      <c r="R9249" s="2" t="inlineStr"/>
    </row>
    <row r="9250" ht="15" customHeight="1">
      <c r="A9250" t="inlineStr">
        <is>
          <t>A 63096-2025</t>
        </is>
      </c>
      <c r="B9250" s="1" t="n">
        <v>46009.69010416666</v>
      </c>
      <c r="C9250" s="1" t="n">
        <v>46075</v>
      </c>
      <c r="D9250" t="inlineStr">
        <is>
          <t>VÄSTERBOTTENS LÄN</t>
        </is>
      </c>
      <c r="E9250" t="inlineStr">
        <is>
          <t>LYCKSELE</t>
        </is>
      </c>
      <c r="G9250" t="n">
        <v>7</v>
      </c>
      <c r="H9250" t="n">
        <v>0</v>
      </c>
      <c r="I9250" t="n">
        <v>0</v>
      </c>
      <c r="J9250" t="n">
        <v>0</v>
      </c>
      <c r="K9250" t="n">
        <v>0</v>
      </c>
      <c r="L9250" t="n">
        <v>0</v>
      </c>
      <c r="M9250" t="n">
        <v>0</v>
      </c>
      <c r="N9250" t="n">
        <v>0</v>
      </c>
      <c r="O9250" t="n">
        <v>0</v>
      </c>
      <c r="P9250" t="n">
        <v>0</v>
      </c>
      <c r="Q9250" t="n">
        <v>0</v>
      </c>
      <c r="R9250" s="2" t="inlineStr"/>
    </row>
    <row r="9251" ht="15" customHeight="1">
      <c r="A9251" t="inlineStr">
        <is>
          <t>A 1933-2023</t>
        </is>
      </c>
      <c r="B9251" s="1" t="n">
        <v>44938</v>
      </c>
      <c r="C9251" s="1" t="n">
        <v>46075</v>
      </c>
      <c r="D9251" t="inlineStr">
        <is>
          <t>VÄSTERBOTTENS LÄN</t>
        </is>
      </c>
      <c r="E9251" t="inlineStr">
        <is>
          <t>SKELLEFTEÅ</t>
        </is>
      </c>
      <c r="G9251" t="n">
        <v>4.6</v>
      </c>
      <c r="H9251" t="n">
        <v>0</v>
      </c>
      <c r="I9251" t="n">
        <v>0</v>
      </c>
      <c r="J9251" t="n">
        <v>0</v>
      </c>
      <c r="K9251" t="n">
        <v>0</v>
      </c>
      <c r="L9251" t="n">
        <v>0</v>
      </c>
      <c r="M9251" t="n">
        <v>0</v>
      </c>
      <c r="N9251" t="n">
        <v>0</v>
      </c>
      <c r="O9251" t="n">
        <v>0</v>
      </c>
      <c r="P9251" t="n">
        <v>0</v>
      </c>
      <c r="Q9251" t="n">
        <v>0</v>
      </c>
      <c r="R9251" s="2" t="inlineStr"/>
    </row>
    <row r="9252" ht="15" customHeight="1">
      <c r="A9252" t="inlineStr">
        <is>
          <t>A 63021-2025</t>
        </is>
      </c>
      <c r="B9252" s="1" t="n">
        <v>46009.59429398148</v>
      </c>
      <c r="C9252" s="1" t="n">
        <v>46075</v>
      </c>
      <c r="D9252" t="inlineStr">
        <is>
          <t>VÄSTERBOTTENS LÄN</t>
        </is>
      </c>
      <c r="E9252" t="inlineStr">
        <is>
          <t>VINDELN</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62644-2025</t>
        </is>
      </c>
      <c r="B9253" s="1" t="n">
        <v>46008.38592592593</v>
      </c>
      <c r="C9253" s="1" t="n">
        <v>46075</v>
      </c>
      <c r="D9253" t="inlineStr">
        <is>
          <t>VÄSTERBOTTENS LÄN</t>
        </is>
      </c>
      <c r="E9253" t="inlineStr">
        <is>
          <t>SKELLEFTEÅ</t>
        </is>
      </c>
      <c r="G9253" t="n">
        <v>2.2</v>
      </c>
      <c r="H9253" t="n">
        <v>0</v>
      </c>
      <c r="I9253" t="n">
        <v>0</v>
      </c>
      <c r="J9253" t="n">
        <v>0</v>
      </c>
      <c r="K9253" t="n">
        <v>0</v>
      </c>
      <c r="L9253" t="n">
        <v>0</v>
      </c>
      <c r="M9253" t="n">
        <v>0</v>
      </c>
      <c r="N9253" t="n">
        <v>0</v>
      </c>
      <c r="O9253" t="n">
        <v>0</v>
      </c>
      <c r="P9253" t="n">
        <v>0</v>
      </c>
      <c r="Q9253" t="n">
        <v>0</v>
      </c>
      <c r="R9253" s="2" t="inlineStr"/>
    </row>
    <row r="9254" ht="15" customHeight="1">
      <c r="A9254" t="inlineStr">
        <is>
          <t>A 47014-2024</t>
        </is>
      </c>
      <c r="B9254" s="1" t="n">
        <v>45586.38862268518</v>
      </c>
      <c r="C9254" s="1" t="n">
        <v>46075</v>
      </c>
      <c r="D9254" t="inlineStr">
        <is>
          <t>VÄSTERBOTTENS LÄN</t>
        </is>
      </c>
      <c r="E9254" t="inlineStr">
        <is>
          <t>SKELLEFTEÅ</t>
        </is>
      </c>
      <c r="G9254" t="n">
        <v>14.7</v>
      </c>
      <c r="H9254" t="n">
        <v>0</v>
      </c>
      <c r="I9254" t="n">
        <v>0</v>
      </c>
      <c r="J9254" t="n">
        <v>0</v>
      </c>
      <c r="K9254" t="n">
        <v>0</v>
      </c>
      <c r="L9254" t="n">
        <v>0</v>
      </c>
      <c r="M9254" t="n">
        <v>0</v>
      </c>
      <c r="N9254" t="n">
        <v>0</v>
      </c>
      <c r="O9254" t="n">
        <v>0</v>
      </c>
      <c r="P9254" t="n">
        <v>0</v>
      </c>
      <c r="Q9254" t="n">
        <v>0</v>
      </c>
      <c r="R9254" s="2" t="inlineStr"/>
    </row>
    <row r="9255" ht="15" customHeight="1">
      <c r="A9255" t="inlineStr">
        <is>
          <t>A 34054-2023</t>
        </is>
      </c>
      <c r="B9255" s="1" t="n">
        <v>45135.45417824074</v>
      </c>
      <c r="C9255" s="1" t="n">
        <v>46075</v>
      </c>
      <c r="D9255" t="inlineStr">
        <is>
          <t>VÄSTERBOTTENS LÄN</t>
        </is>
      </c>
      <c r="E9255" t="inlineStr">
        <is>
          <t>ÅSELE</t>
        </is>
      </c>
      <c r="F9255" t="inlineStr">
        <is>
          <t>Holmen skog AB</t>
        </is>
      </c>
      <c r="G9255" t="n">
        <v>3</v>
      </c>
      <c r="H9255" t="n">
        <v>0</v>
      </c>
      <c r="I9255" t="n">
        <v>0</v>
      </c>
      <c r="J9255" t="n">
        <v>0</v>
      </c>
      <c r="K9255" t="n">
        <v>0</v>
      </c>
      <c r="L9255" t="n">
        <v>0</v>
      </c>
      <c r="M9255" t="n">
        <v>0</v>
      </c>
      <c r="N9255" t="n">
        <v>0</v>
      </c>
      <c r="O9255" t="n">
        <v>0</v>
      </c>
      <c r="P9255" t="n">
        <v>0</v>
      </c>
      <c r="Q9255" t="n">
        <v>0</v>
      </c>
      <c r="R9255" s="2" t="inlineStr"/>
    </row>
    <row r="9256" ht="15" customHeight="1">
      <c r="A9256" t="inlineStr">
        <is>
          <t>A 34063-2023</t>
        </is>
      </c>
      <c r="B9256" s="1" t="n">
        <v>45135.4729050926</v>
      </c>
      <c r="C9256" s="1" t="n">
        <v>46075</v>
      </c>
      <c r="D9256" t="inlineStr">
        <is>
          <t>VÄSTERBOTTENS LÄN</t>
        </is>
      </c>
      <c r="E9256" t="inlineStr">
        <is>
          <t>SKELLEFTEÅ</t>
        </is>
      </c>
      <c r="F9256" t="inlineStr">
        <is>
          <t>Holmen skog AB</t>
        </is>
      </c>
      <c r="G9256" t="n">
        <v>9.5</v>
      </c>
      <c r="H9256" t="n">
        <v>0</v>
      </c>
      <c r="I9256" t="n">
        <v>0</v>
      </c>
      <c r="J9256" t="n">
        <v>0</v>
      </c>
      <c r="K9256" t="n">
        <v>0</v>
      </c>
      <c r="L9256" t="n">
        <v>0</v>
      </c>
      <c r="M9256" t="n">
        <v>0</v>
      </c>
      <c r="N9256" t="n">
        <v>0</v>
      </c>
      <c r="O9256" t="n">
        <v>0</v>
      </c>
      <c r="P9256" t="n">
        <v>0</v>
      </c>
      <c r="Q9256" t="n">
        <v>0</v>
      </c>
      <c r="R9256" s="2" t="inlineStr"/>
    </row>
    <row r="9257" ht="15" customHeight="1">
      <c r="A9257" t="inlineStr">
        <is>
          <t>A 62797-2025</t>
        </is>
      </c>
      <c r="B9257" s="1" t="n">
        <v>46008.63690972222</v>
      </c>
      <c r="C9257" s="1" t="n">
        <v>46075</v>
      </c>
      <c r="D9257" t="inlineStr">
        <is>
          <t>VÄSTERBOTTENS LÄN</t>
        </is>
      </c>
      <c r="E9257" t="inlineStr">
        <is>
          <t>SKELLEFTEÅ</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17928-2023</t>
        </is>
      </c>
      <c r="B9258" s="1" t="n">
        <v>45037</v>
      </c>
      <c r="C9258" s="1" t="n">
        <v>46075</v>
      </c>
      <c r="D9258" t="inlineStr">
        <is>
          <t>VÄSTERBOTTENS LÄN</t>
        </is>
      </c>
      <c r="E9258" t="inlineStr">
        <is>
          <t>UMEÅ</t>
        </is>
      </c>
      <c r="F9258" t="inlineStr">
        <is>
          <t>Kommuner</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50917-2022</t>
        </is>
      </c>
      <c r="B9259" s="1" t="n">
        <v>44867</v>
      </c>
      <c r="C9259" s="1" t="n">
        <v>46075</v>
      </c>
      <c r="D9259" t="inlineStr">
        <is>
          <t>VÄSTERBOTTENS LÄN</t>
        </is>
      </c>
      <c r="E9259" t="inlineStr">
        <is>
          <t>STORUMAN</t>
        </is>
      </c>
      <c r="F9259" t="inlineStr">
        <is>
          <t>Sveaskog</t>
        </is>
      </c>
      <c r="G9259" t="n">
        <v>22</v>
      </c>
      <c r="H9259" t="n">
        <v>0</v>
      </c>
      <c r="I9259" t="n">
        <v>0</v>
      </c>
      <c r="J9259" t="n">
        <v>0</v>
      </c>
      <c r="K9259" t="n">
        <v>0</v>
      </c>
      <c r="L9259" t="n">
        <v>0</v>
      </c>
      <c r="M9259" t="n">
        <v>0</v>
      </c>
      <c r="N9259" t="n">
        <v>0</v>
      </c>
      <c r="O9259" t="n">
        <v>0</v>
      </c>
      <c r="P9259" t="n">
        <v>0</v>
      </c>
      <c r="Q9259" t="n">
        <v>0</v>
      </c>
      <c r="R9259" s="2" t="inlineStr"/>
    </row>
    <row r="9260" ht="15" customHeight="1">
      <c r="A9260" t="inlineStr">
        <is>
          <t>A 62921-2025</t>
        </is>
      </c>
      <c r="B9260" s="1" t="n">
        <v>46009.37679398148</v>
      </c>
      <c r="C9260" s="1" t="n">
        <v>46075</v>
      </c>
      <c r="D9260" t="inlineStr">
        <is>
          <t>VÄSTERBOTTENS LÄN</t>
        </is>
      </c>
      <c r="E9260" t="inlineStr">
        <is>
          <t>SKELLEFTEÅ</t>
        </is>
      </c>
      <c r="G9260" t="n">
        <v>0.6</v>
      </c>
      <c r="H9260" t="n">
        <v>0</v>
      </c>
      <c r="I9260" t="n">
        <v>0</v>
      </c>
      <c r="J9260" t="n">
        <v>0</v>
      </c>
      <c r="K9260" t="n">
        <v>0</v>
      </c>
      <c r="L9260" t="n">
        <v>0</v>
      </c>
      <c r="M9260" t="n">
        <v>0</v>
      </c>
      <c r="N9260" t="n">
        <v>0</v>
      </c>
      <c r="O9260" t="n">
        <v>0</v>
      </c>
      <c r="P9260" t="n">
        <v>0</v>
      </c>
      <c r="Q9260" t="n">
        <v>0</v>
      </c>
      <c r="R9260" s="2" t="inlineStr"/>
    </row>
    <row r="9261" ht="15" customHeight="1">
      <c r="A9261" t="inlineStr">
        <is>
          <t>A 26894-2024</t>
        </is>
      </c>
      <c r="B9261" s="1" t="n">
        <v>45470.66340277778</v>
      </c>
      <c r="C9261" s="1" t="n">
        <v>46075</v>
      </c>
      <c r="D9261" t="inlineStr">
        <is>
          <t>VÄSTERBOTTENS LÄN</t>
        </is>
      </c>
      <c r="E9261" t="inlineStr">
        <is>
          <t>ROBERTSFORS</t>
        </is>
      </c>
      <c r="G9261" t="n">
        <v>3.7</v>
      </c>
      <c r="H9261" t="n">
        <v>0</v>
      </c>
      <c r="I9261" t="n">
        <v>0</v>
      </c>
      <c r="J9261" t="n">
        <v>0</v>
      </c>
      <c r="K9261" t="n">
        <v>0</v>
      </c>
      <c r="L9261" t="n">
        <v>0</v>
      </c>
      <c r="M9261" t="n">
        <v>0</v>
      </c>
      <c r="N9261" t="n">
        <v>0</v>
      </c>
      <c r="O9261" t="n">
        <v>0</v>
      </c>
      <c r="P9261" t="n">
        <v>0</v>
      </c>
      <c r="Q9261" t="n">
        <v>0</v>
      </c>
      <c r="R9261" s="2" t="inlineStr"/>
    </row>
    <row r="9262" ht="15" customHeight="1">
      <c r="A9262" t="inlineStr">
        <is>
          <t>A 26933-2024</t>
        </is>
      </c>
      <c r="B9262" s="1" t="n">
        <v>45470</v>
      </c>
      <c r="C9262" s="1" t="n">
        <v>46075</v>
      </c>
      <c r="D9262" t="inlineStr">
        <is>
          <t>VÄSTERBOTTENS LÄN</t>
        </is>
      </c>
      <c r="E9262" t="inlineStr">
        <is>
          <t>UMEÅ</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62794-2025</t>
        </is>
      </c>
      <c r="B9263" s="1" t="n">
        <v>46008.63635416667</v>
      </c>
      <c r="C9263" s="1" t="n">
        <v>46075</v>
      </c>
      <c r="D9263" t="inlineStr">
        <is>
          <t>VÄSTERBOTTENS LÄN</t>
        </is>
      </c>
      <c r="E9263" t="inlineStr">
        <is>
          <t>NORSJÖ</t>
        </is>
      </c>
      <c r="G9263" t="n">
        <v>4.1</v>
      </c>
      <c r="H9263" t="n">
        <v>0</v>
      </c>
      <c r="I9263" t="n">
        <v>0</v>
      </c>
      <c r="J9263" t="n">
        <v>0</v>
      </c>
      <c r="K9263" t="n">
        <v>0</v>
      </c>
      <c r="L9263" t="n">
        <v>0</v>
      </c>
      <c r="M9263" t="n">
        <v>0</v>
      </c>
      <c r="N9263" t="n">
        <v>0</v>
      </c>
      <c r="O9263" t="n">
        <v>0</v>
      </c>
      <c r="P9263" t="n">
        <v>0</v>
      </c>
      <c r="Q9263" t="n">
        <v>0</v>
      </c>
      <c r="R9263" s="2" t="inlineStr"/>
    </row>
    <row r="9264" ht="15" customHeight="1">
      <c r="A9264" t="inlineStr">
        <is>
          <t>A 58926-2022</t>
        </is>
      </c>
      <c r="B9264" s="1" t="n">
        <v>44896</v>
      </c>
      <c r="C9264" s="1" t="n">
        <v>46075</v>
      </c>
      <c r="D9264" t="inlineStr">
        <is>
          <t>VÄSTERBOTTENS LÄN</t>
        </is>
      </c>
      <c r="E9264" t="inlineStr">
        <is>
          <t>SKELLEFTEÅ</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19839-2024</t>
        </is>
      </c>
      <c r="B9265" s="1" t="n">
        <v>45433</v>
      </c>
      <c r="C9265" s="1" t="n">
        <v>46075</v>
      </c>
      <c r="D9265" t="inlineStr">
        <is>
          <t>VÄSTERBOTTENS LÄN</t>
        </is>
      </c>
      <c r="E9265" t="inlineStr">
        <is>
          <t>SKELLEFTEÅ</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59030-2022</t>
        </is>
      </c>
      <c r="B9266" s="1" t="n">
        <v>44903</v>
      </c>
      <c r="C9266" s="1" t="n">
        <v>46075</v>
      </c>
      <c r="D9266" t="inlineStr">
        <is>
          <t>VÄSTERBOTTENS LÄN</t>
        </is>
      </c>
      <c r="E9266" t="inlineStr">
        <is>
          <t>VILHELMINA</t>
        </is>
      </c>
      <c r="G9266" t="n">
        <v>17.8</v>
      </c>
      <c r="H9266" t="n">
        <v>0</v>
      </c>
      <c r="I9266" t="n">
        <v>0</v>
      </c>
      <c r="J9266" t="n">
        <v>0</v>
      </c>
      <c r="K9266" t="n">
        <v>0</v>
      </c>
      <c r="L9266" t="n">
        <v>0</v>
      </c>
      <c r="M9266" t="n">
        <v>0</v>
      </c>
      <c r="N9266" t="n">
        <v>0</v>
      </c>
      <c r="O9266" t="n">
        <v>0</v>
      </c>
      <c r="P9266" t="n">
        <v>0</v>
      </c>
      <c r="Q9266" t="n">
        <v>0</v>
      </c>
      <c r="R9266" s="2" t="inlineStr"/>
    </row>
    <row r="9267" ht="15" customHeight="1">
      <c r="A9267" t="inlineStr">
        <is>
          <t>A 59031-2022</t>
        </is>
      </c>
      <c r="B9267" s="1" t="n">
        <v>44903.92716435185</v>
      </c>
      <c r="C9267" s="1" t="n">
        <v>46075</v>
      </c>
      <c r="D9267" t="inlineStr">
        <is>
          <t>VÄSTERBOTTENS LÄN</t>
        </is>
      </c>
      <c r="E9267" t="inlineStr">
        <is>
          <t>LYCKSELE</t>
        </is>
      </c>
      <c r="G9267" t="n">
        <v>3</v>
      </c>
      <c r="H9267" t="n">
        <v>0</v>
      </c>
      <c r="I9267" t="n">
        <v>0</v>
      </c>
      <c r="J9267" t="n">
        <v>0</v>
      </c>
      <c r="K9267" t="n">
        <v>0</v>
      </c>
      <c r="L9267" t="n">
        <v>0</v>
      </c>
      <c r="M9267" t="n">
        <v>0</v>
      </c>
      <c r="N9267" t="n">
        <v>0</v>
      </c>
      <c r="O9267" t="n">
        <v>0</v>
      </c>
      <c r="P9267" t="n">
        <v>0</v>
      </c>
      <c r="Q9267" t="n">
        <v>0</v>
      </c>
      <c r="R9267" s="2" t="inlineStr"/>
    </row>
    <row r="9268" ht="15" customHeight="1">
      <c r="A9268" t="inlineStr">
        <is>
          <t>A 62663-2025</t>
        </is>
      </c>
      <c r="B9268" s="1" t="n">
        <v>46008.43460648148</v>
      </c>
      <c r="C9268" s="1" t="n">
        <v>46075</v>
      </c>
      <c r="D9268" t="inlineStr">
        <is>
          <t>VÄSTERBOTTENS LÄN</t>
        </is>
      </c>
      <c r="E9268" t="inlineStr">
        <is>
          <t>UMEÅ</t>
        </is>
      </c>
      <c r="F9268" t="inlineStr">
        <is>
          <t>Holmen skog AB</t>
        </is>
      </c>
      <c r="G9268" t="n">
        <v>1.3</v>
      </c>
      <c r="H9268" t="n">
        <v>0</v>
      </c>
      <c r="I9268" t="n">
        <v>0</v>
      </c>
      <c r="J9268" t="n">
        <v>0</v>
      </c>
      <c r="K9268" t="n">
        <v>0</v>
      </c>
      <c r="L9268" t="n">
        <v>0</v>
      </c>
      <c r="M9268" t="n">
        <v>0</v>
      </c>
      <c r="N9268" t="n">
        <v>0</v>
      </c>
      <c r="O9268" t="n">
        <v>0</v>
      </c>
      <c r="P9268" t="n">
        <v>0</v>
      </c>
      <c r="Q9268" t="n">
        <v>0</v>
      </c>
      <c r="R9268" s="2" t="inlineStr"/>
    </row>
    <row r="9269" ht="15" customHeight="1">
      <c r="A9269" t="inlineStr">
        <is>
          <t>A 62712-2025</t>
        </is>
      </c>
      <c r="B9269" s="1" t="n">
        <v>46008.51109953703</v>
      </c>
      <c r="C9269" s="1" t="n">
        <v>46075</v>
      </c>
      <c r="D9269" t="inlineStr">
        <is>
          <t>VÄSTERBOTTENS LÄN</t>
        </is>
      </c>
      <c r="E9269" t="inlineStr">
        <is>
          <t>BJURHOLM</t>
        </is>
      </c>
      <c r="G9269" t="n">
        <v>2.5</v>
      </c>
      <c r="H9269" t="n">
        <v>0</v>
      </c>
      <c r="I9269" t="n">
        <v>0</v>
      </c>
      <c r="J9269" t="n">
        <v>0</v>
      </c>
      <c r="K9269" t="n">
        <v>0</v>
      </c>
      <c r="L9269" t="n">
        <v>0</v>
      </c>
      <c r="M9269" t="n">
        <v>0</v>
      </c>
      <c r="N9269" t="n">
        <v>0</v>
      </c>
      <c r="O9269" t="n">
        <v>0</v>
      </c>
      <c r="P9269" t="n">
        <v>0</v>
      </c>
      <c r="Q9269" t="n">
        <v>0</v>
      </c>
      <c r="R9269" s="2" t="inlineStr"/>
    </row>
    <row r="9270" ht="15" customHeight="1">
      <c r="A9270" t="inlineStr">
        <is>
          <t>A 5604-2026</t>
        </is>
      </c>
      <c r="B9270" s="1" t="n">
        <v>46051.3494212963</v>
      </c>
      <c r="C9270" s="1" t="n">
        <v>46075</v>
      </c>
      <c r="D9270" t="inlineStr">
        <is>
          <t>VÄSTERBOTTENS LÄN</t>
        </is>
      </c>
      <c r="E9270" t="inlineStr">
        <is>
          <t>ÅSELE</t>
        </is>
      </c>
      <c r="F9270" t="inlineStr">
        <is>
          <t>Sveaskog</t>
        </is>
      </c>
      <c r="G9270" t="n">
        <v>4.8</v>
      </c>
      <c r="H9270" t="n">
        <v>0</v>
      </c>
      <c r="I9270" t="n">
        <v>0</v>
      </c>
      <c r="J9270" t="n">
        <v>0</v>
      </c>
      <c r="K9270" t="n">
        <v>0</v>
      </c>
      <c r="L9270" t="n">
        <v>0</v>
      </c>
      <c r="M9270" t="n">
        <v>0</v>
      </c>
      <c r="N9270" t="n">
        <v>0</v>
      </c>
      <c r="O9270" t="n">
        <v>0</v>
      </c>
      <c r="P9270" t="n">
        <v>0</v>
      </c>
      <c r="Q9270" t="n">
        <v>0</v>
      </c>
      <c r="R9270" s="2" t="inlineStr"/>
    </row>
    <row r="9271" ht="15" customHeight="1">
      <c r="A9271" t="inlineStr">
        <is>
          <t>A 5613-2026</t>
        </is>
      </c>
      <c r="B9271" s="1" t="n">
        <v>46051.36532407408</v>
      </c>
      <c r="C9271" s="1" t="n">
        <v>46075</v>
      </c>
      <c r="D9271" t="inlineStr">
        <is>
          <t>VÄSTERBOTTENS LÄN</t>
        </is>
      </c>
      <c r="E9271" t="inlineStr">
        <is>
          <t>ÅSELE</t>
        </is>
      </c>
      <c r="G9271" t="n">
        <v>5</v>
      </c>
      <c r="H9271" t="n">
        <v>0</v>
      </c>
      <c r="I9271" t="n">
        <v>0</v>
      </c>
      <c r="J9271" t="n">
        <v>0</v>
      </c>
      <c r="K9271" t="n">
        <v>0</v>
      </c>
      <c r="L9271" t="n">
        <v>0</v>
      </c>
      <c r="M9271" t="n">
        <v>0</v>
      </c>
      <c r="N9271" t="n">
        <v>0</v>
      </c>
      <c r="O9271" t="n">
        <v>0</v>
      </c>
      <c r="P9271" t="n">
        <v>0</v>
      </c>
      <c r="Q9271" t="n">
        <v>0</v>
      </c>
      <c r="R9271" s="2" t="inlineStr"/>
    </row>
    <row r="9272" ht="15" customHeight="1">
      <c r="A9272" t="inlineStr">
        <is>
          <t>A 5614-2026</t>
        </is>
      </c>
      <c r="B9272" s="1" t="n">
        <v>46051.36545138889</v>
      </c>
      <c r="C9272" s="1" t="n">
        <v>46075</v>
      </c>
      <c r="D9272" t="inlineStr">
        <is>
          <t>VÄSTERBOTTENS LÄN</t>
        </is>
      </c>
      <c r="E9272" t="inlineStr">
        <is>
          <t>ÅSELE</t>
        </is>
      </c>
      <c r="G9272" t="n">
        <v>2.7</v>
      </c>
      <c r="H9272" t="n">
        <v>0</v>
      </c>
      <c r="I9272" t="n">
        <v>0</v>
      </c>
      <c r="J9272" t="n">
        <v>0</v>
      </c>
      <c r="K9272" t="n">
        <v>0</v>
      </c>
      <c r="L9272" t="n">
        <v>0</v>
      </c>
      <c r="M9272" t="n">
        <v>0</v>
      </c>
      <c r="N9272" t="n">
        <v>0</v>
      </c>
      <c r="O9272" t="n">
        <v>0</v>
      </c>
      <c r="P9272" t="n">
        <v>0</v>
      </c>
      <c r="Q9272" t="n">
        <v>0</v>
      </c>
      <c r="R9272" s="2" t="inlineStr"/>
    </row>
    <row r="9273" ht="15" customHeight="1">
      <c r="A9273" t="inlineStr">
        <is>
          <t>A 9916-2021</t>
        </is>
      </c>
      <c r="B9273" s="1" t="n">
        <v>44253</v>
      </c>
      <c r="C9273" s="1" t="n">
        <v>46075</v>
      </c>
      <c r="D9273" t="inlineStr">
        <is>
          <t>VÄSTERBOTTENS LÄN</t>
        </is>
      </c>
      <c r="E9273" t="inlineStr">
        <is>
          <t>VILHELMINA</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44203-2023</t>
        </is>
      </c>
      <c r="B9274" s="1" t="n">
        <v>45183</v>
      </c>
      <c r="C9274" s="1" t="n">
        <v>46075</v>
      </c>
      <c r="D9274" t="inlineStr">
        <is>
          <t>VÄSTERBOTTENS LÄN</t>
        </is>
      </c>
      <c r="E9274" t="inlineStr">
        <is>
          <t>STORUMAN</t>
        </is>
      </c>
      <c r="G9274" t="n">
        <v>33.7</v>
      </c>
      <c r="H9274" t="n">
        <v>0</v>
      </c>
      <c r="I9274" t="n">
        <v>0</v>
      </c>
      <c r="J9274" t="n">
        <v>0</v>
      </c>
      <c r="K9274" t="n">
        <v>0</v>
      </c>
      <c r="L9274" t="n">
        <v>0</v>
      </c>
      <c r="M9274" t="n">
        <v>0</v>
      </c>
      <c r="N9274" t="n">
        <v>0</v>
      </c>
      <c r="O9274" t="n">
        <v>0</v>
      </c>
      <c r="P9274" t="n">
        <v>0</v>
      </c>
      <c r="Q9274" t="n">
        <v>0</v>
      </c>
      <c r="R9274" s="2" t="inlineStr"/>
    </row>
    <row r="9275" ht="15" customHeight="1">
      <c r="A9275" t="inlineStr">
        <is>
          <t>A 60499-2023</t>
        </is>
      </c>
      <c r="B9275" s="1" t="n">
        <v>45259</v>
      </c>
      <c r="C9275" s="1" t="n">
        <v>46075</v>
      </c>
      <c r="D9275" t="inlineStr">
        <is>
          <t>VÄSTERBOTTENS LÄN</t>
        </is>
      </c>
      <c r="E9275" t="inlineStr">
        <is>
          <t>BJURHOLM</t>
        </is>
      </c>
      <c r="G9275" t="n">
        <v>9.5</v>
      </c>
      <c r="H9275" t="n">
        <v>0</v>
      </c>
      <c r="I9275" t="n">
        <v>0</v>
      </c>
      <c r="J9275" t="n">
        <v>0</v>
      </c>
      <c r="K9275" t="n">
        <v>0</v>
      </c>
      <c r="L9275" t="n">
        <v>0</v>
      </c>
      <c r="M9275" t="n">
        <v>0</v>
      </c>
      <c r="N9275" t="n">
        <v>0</v>
      </c>
      <c r="O9275" t="n">
        <v>0</v>
      </c>
      <c r="P9275" t="n">
        <v>0</v>
      </c>
      <c r="Q9275" t="n">
        <v>0</v>
      </c>
      <c r="R9275" s="2" t="inlineStr"/>
    </row>
    <row r="9276" ht="15" customHeight="1">
      <c r="A9276" t="inlineStr">
        <is>
          <t>A 62976-2025</t>
        </is>
      </c>
      <c r="B9276" s="1" t="n">
        <v>46009.46953703704</v>
      </c>
      <c r="C9276" s="1" t="n">
        <v>46075</v>
      </c>
      <c r="D9276" t="inlineStr">
        <is>
          <t>VÄSTERBOTTENS LÄN</t>
        </is>
      </c>
      <c r="E9276" t="inlineStr">
        <is>
          <t>VINDELN</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51825-2023</t>
        </is>
      </c>
      <c r="B9277" s="1" t="n">
        <v>45222</v>
      </c>
      <c r="C9277" s="1" t="n">
        <v>46075</v>
      </c>
      <c r="D9277" t="inlineStr">
        <is>
          <t>VÄSTERBOTTENS LÄN</t>
        </is>
      </c>
      <c r="E9277" t="inlineStr">
        <is>
          <t>VILHELMINA</t>
        </is>
      </c>
      <c r="F9277" t="inlineStr">
        <is>
          <t>SCA</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63007-2025</t>
        </is>
      </c>
      <c r="B9278" s="1" t="n">
        <v>46009.57525462963</v>
      </c>
      <c r="C9278" s="1" t="n">
        <v>46075</v>
      </c>
      <c r="D9278" t="inlineStr">
        <is>
          <t>VÄSTERBOTTENS LÄN</t>
        </is>
      </c>
      <c r="E9278" t="inlineStr">
        <is>
          <t>NORDMALING</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5454-2026</t>
        </is>
      </c>
      <c r="B9279" s="1" t="n">
        <v>46048</v>
      </c>
      <c r="C9279" s="1" t="n">
        <v>46075</v>
      </c>
      <c r="D9279" t="inlineStr">
        <is>
          <t>VÄSTERBOTTENS LÄN</t>
        </is>
      </c>
      <c r="E9279" t="inlineStr">
        <is>
          <t>UMEÅ</t>
        </is>
      </c>
      <c r="G9279" t="n">
        <v>3.2</v>
      </c>
      <c r="H9279" t="n">
        <v>0</v>
      </c>
      <c r="I9279" t="n">
        <v>0</v>
      </c>
      <c r="J9279" t="n">
        <v>0</v>
      </c>
      <c r="K9279" t="n">
        <v>0</v>
      </c>
      <c r="L9279" t="n">
        <v>0</v>
      </c>
      <c r="M9279" t="n">
        <v>0</v>
      </c>
      <c r="N9279" t="n">
        <v>0</v>
      </c>
      <c r="O9279" t="n">
        <v>0</v>
      </c>
      <c r="P9279" t="n">
        <v>0</v>
      </c>
      <c r="Q9279" t="n">
        <v>0</v>
      </c>
      <c r="R9279" s="2" t="inlineStr"/>
    </row>
    <row r="9280" ht="15" customHeight="1">
      <c r="A9280" t="inlineStr">
        <is>
          <t>A 5474-2026</t>
        </is>
      </c>
      <c r="B9280" s="1" t="n">
        <v>46048</v>
      </c>
      <c r="C9280" s="1" t="n">
        <v>46075</v>
      </c>
      <c r="D9280" t="inlineStr">
        <is>
          <t>VÄSTERBOTTENS LÄN</t>
        </is>
      </c>
      <c r="E9280" t="inlineStr">
        <is>
          <t>ROBERTSFORS</t>
        </is>
      </c>
      <c r="G9280" t="n">
        <v>9.9</v>
      </c>
      <c r="H9280" t="n">
        <v>0</v>
      </c>
      <c r="I9280" t="n">
        <v>0</v>
      </c>
      <c r="J9280" t="n">
        <v>0</v>
      </c>
      <c r="K9280" t="n">
        <v>0</v>
      </c>
      <c r="L9280" t="n">
        <v>0</v>
      </c>
      <c r="M9280" t="n">
        <v>0</v>
      </c>
      <c r="N9280" t="n">
        <v>0</v>
      </c>
      <c r="O9280" t="n">
        <v>0</v>
      </c>
      <c r="P9280" t="n">
        <v>0</v>
      </c>
      <c r="Q9280" t="n">
        <v>0</v>
      </c>
      <c r="R9280" s="2" t="inlineStr"/>
    </row>
    <row r="9281" ht="15" customHeight="1">
      <c r="A9281" t="inlineStr">
        <is>
          <t>A 27585-2024</t>
        </is>
      </c>
      <c r="B9281" s="1" t="n">
        <v>45474</v>
      </c>
      <c r="C9281" s="1" t="n">
        <v>46075</v>
      </c>
      <c r="D9281" t="inlineStr">
        <is>
          <t>VÄSTERBOTTENS LÄN</t>
        </is>
      </c>
      <c r="E9281" t="inlineStr">
        <is>
          <t>STORUMAN</t>
        </is>
      </c>
      <c r="F9281" t="inlineStr">
        <is>
          <t>Sveaskog</t>
        </is>
      </c>
      <c r="G9281" t="n">
        <v>8.199999999999999</v>
      </c>
      <c r="H9281" t="n">
        <v>0</v>
      </c>
      <c r="I9281" t="n">
        <v>0</v>
      </c>
      <c r="J9281" t="n">
        <v>0</v>
      </c>
      <c r="K9281" t="n">
        <v>0</v>
      </c>
      <c r="L9281" t="n">
        <v>0</v>
      </c>
      <c r="M9281" t="n">
        <v>0</v>
      </c>
      <c r="N9281" t="n">
        <v>0</v>
      </c>
      <c r="O9281" t="n">
        <v>0</v>
      </c>
      <c r="P9281" t="n">
        <v>0</v>
      </c>
      <c r="Q9281" t="n">
        <v>0</v>
      </c>
      <c r="R9281" s="2" t="inlineStr"/>
    </row>
    <row r="9282" ht="15" customHeight="1">
      <c r="A9282" t="inlineStr">
        <is>
          <t>A 41113-2021</t>
        </is>
      </c>
      <c r="B9282" s="1" t="n">
        <v>44423.50511574074</v>
      </c>
      <c r="C9282" s="1" t="n">
        <v>46075</v>
      </c>
      <c r="D9282" t="inlineStr">
        <is>
          <t>VÄSTERBOTTENS LÄN</t>
        </is>
      </c>
      <c r="E9282" t="inlineStr">
        <is>
          <t>VINDELN</t>
        </is>
      </c>
      <c r="G9282" t="n">
        <v>7.6</v>
      </c>
      <c r="H9282" t="n">
        <v>0</v>
      </c>
      <c r="I9282" t="n">
        <v>0</v>
      </c>
      <c r="J9282" t="n">
        <v>0</v>
      </c>
      <c r="K9282" t="n">
        <v>0</v>
      </c>
      <c r="L9282" t="n">
        <v>0</v>
      </c>
      <c r="M9282" t="n">
        <v>0</v>
      </c>
      <c r="N9282" t="n">
        <v>0</v>
      </c>
      <c r="O9282" t="n">
        <v>0</v>
      </c>
      <c r="P9282" t="n">
        <v>0</v>
      </c>
      <c r="Q9282" t="n">
        <v>0</v>
      </c>
      <c r="R9282" s="2" t="inlineStr"/>
    </row>
    <row r="9283" ht="15" customHeight="1">
      <c r="A9283" t="inlineStr">
        <is>
          <t>A 21395-2022</t>
        </is>
      </c>
      <c r="B9283" s="1" t="n">
        <v>44705.92563657407</v>
      </c>
      <c r="C9283" s="1" t="n">
        <v>46075</v>
      </c>
      <c r="D9283" t="inlineStr">
        <is>
          <t>VÄSTERBOTTENS LÄN</t>
        </is>
      </c>
      <c r="E9283" t="inlineStr">
        <is>
          <t>SKELLEFTEÅ</t>
        </is>
      </c>
      <c r="G9283" t="n">
        <v>4.8</v>
      </c>
      <c r="H9283" t="n">
        <v>0</v>
      </c>
      <c r="I9283" t="n">
        <v>0</v>
      </c>
      <c r="J9283" t="n">
        <v>0</v>
      </c>
      <c r="K9283" t="n">
        <v>0</v>
      </c>
      <c r="L9283" t="n">
        <v>0</v>
      </c>
      <c r="M9283" t="n">
        <v>0</v>
      </c>
      <c r="N9283" t="n">
        <v>0</v>
      </c>
      <c r="O9283" t="n">
        <v>0</v>
      </c>
      <c r="P9283" t="n">
        <v>0</v>
      </c>
      <c r="Q9283" t="n">
        <v>0</v>
      </c>
      <c r="R9283" s="2" t="inlineStr"/>
    </row>
    <row r="9284" ht="15" customHeight="1">
      <c r="A9284" t="inlineStr">
        <is>
          <t>A 11260-2022</t>
        </is>
      </c>
      <c r="B9284" s="1" t="n">
        <v>44629</v>
      </c>
      <c r="C9284" s="1" t="n">
        <v>46075</v>
      </c>
      <c r="D9284" t="inlineStr">
        <is>
          <t>VÄSTERBOTTENS LÄN</t>
        </is>
      </c>
      <c r="E9284" t="inlineStr">
        <is>
          <t>SKELLEFTEÅ</t>
        </is>
      </c>
      <c r="G9284" t="n">
        <v>3.3</v>
      </c>
      <c r="H9284" t="n">
        <v>0</v>
      </c>
      <c r="I9284" t="n">
        <v>0</v>
      </c>
      <c r="J9284" t="n">
        <v>0</v>
      </c>
      <c r="K9284" t="n">
        <v>0</v>
      </c>
      <c r="L9284" t="n">
        <v>0</v>
      </c>
      <c r="M9284" t="n">
        <v>0</v>
      </c>
      <c r="N9284" t="n">
        <v>0</v>
      </c>
      <c r="O9284" t="n">
        <v>0</v>
      </c>
      <c r="P9284" t="n">
        <v>0</v>
      </c>
      <c r="Q9284" t="n">
        <v>0</v>
      </c>
      <c r="R9284" s="2" t="inlineStr"/>
    </row>
    <row r="9285" ht="15" customHeight="1">
      <c r="A9285" t="inlineStr">
        <is>
          <t>A 43649-2024</t>
        </is>
      </c>
      <c r="B9285" s="1" t="n">
        <v>45569.53054398148</v>
      </c>
      <c r="C9285" s="1" t="n">
        <v>46075</v>
      </c>
      <c r="D9285" t="inlineStr">
        <is>
          <t>VÄSTERBOTTENS LÄN</t>
        </is>
      </c>
      <c r="E9285" t="inlineStr">
        <is>
          <t>UMEÅ</t>
        </is>
      </c>
      <c r="F9285" t="inlineStr">
        <is>
          <t>Kommuner</t>
        </is>
      </c>
      <c r="G9285" t="n">
        <v>4.3</v>
      </c>
      <c r="H9285" t="n">
        <v>0</v>
      </c>
      <c r="I9285" t="n">
        <v>0</v>
      </c>
      <c r="J9285" t="n">
        <v>0</v>
      </c>
      <c r="K9285" t="n">
        <v>0</v>
      </c>
      <c r="L9285" t="n">
        <v>0</v>
      </c>
      <c r="M9285" t="n">
        <v>0</v>
      </c>
      <c r="N9285" t="n">
        <v>0</v>
      </c>
      <c r="O9285" t="n">
        <v>0</v>
      </c>
      <c r="P9285" t="n">
        <v>0</v>
      </c>
      <c r="Q9285" t="n">
        <v>0</v>
      </c>
      <c r="R9285" s="2" t="inlineStr"/>
    </row>
    <row r="9286" ht="15" customHeight="1">
      <c r="A9286" t="inlineStr">
        <is>
          <t>A 63022-2025</t>
        </is>
      </c>
      <c r="B9286" s="1" t="n">
        <v>46009.59435185185</v>
      </c>
      <c r="C9286" s="1" t="n">
        <v>46075</v>
      </c>
      <c r="D9286" t="inlineStr">
        <is>
          <t>VÄSTERBOTTENS LÄN</t>
        </is>
      </c>
      <c r="E9286" t="inlineStr">
        <is>
          <t>VINDELN</t>
        </is>
      </c>
      <c r="G9286" t="n">
        <v>1.7</v>
      </c>
      <c r="H9286" t="n">
        <v>0</v>
      </c>
      <c r="I9286" t="n">
        <v>0</v>
      </c>
      <c r="J9286" t="n">
        <v>0</v>
      </c>
      <c r="K9286" t="n">
        <v>0</v>
      </c>
      <c r="L9286" t="n">
        <v>0</v>
      </c>
      <c r="M9286" t="n">
        <v>0</v>
      </c>
      <c r="N9286" t="n">
        <v>0</v>
      </c>
      <c r="O9286" t="n">
        <v>0</v>
      </c>
      <c r="P9286" t="n">
        <v>0</v>
      </c>
      <c r="Q9286" t="n">
        <v>0</v>
      </c>
      <c r="R9286" s="2" t="inlineStr"/>
    </row>
    <row r="9287" ht="15" customHeight="1">
      <c r="A9287" t="inlineStr">
        <is>
          <t>A 5959-2023</t>
        </is>
      </c>
      <c r="B9287" s="1" t="n">
        <v>44963.95042824074</v>
      </c>
      <c r="C9287" s="1" t="n">
        <v>46075</v>
      </c>
      <c r="D9287" t="inlineStr">
        <is>
          <t>VÄSTERBOTTENS LÄN</t>
        </is>
      </c>
      <c r="E9287" t="inlineStr">
        <is>
          <t>SKELLEFTEÅ</t>
        </is>
      </c>
      <c r="G9287" t="n">
        <v>4.3</v>
      </c>
      <c r="H9287" t="n">
        <v>0</v>
      </c>
      <c r="I9287" t="n">
        <v>0</v>
      </c>
      <c r="J9287" t="n">
        <v>0</v>
      </c>
      <c r="K9287" t="n">
        <v>0</v>
      </c>
      <c r="L9287" t="n">
        <v>0</v>
      </c>
      <c r="M9287" t="n">
        <v>0</v>
      </c>
      <c r="N9287" t="n">
        <v>0</v>
      </c>
      <c r="O9287" t="n">
        <v>0</v>
      </c>
      <c r="P9287" t="n">
        <v>0</v>
      </c>
      <c r="Q9287" t="n">
        <v>0</v>
      </c>
      <c r="R9287" s="2" t="inlineStr"/>
    </row>
    <row r="9288" ht="15" customHeight="1">
      <c r="A9288" t="inlineStr">
        <is>
          <t>A 63019-2025</t>
        </is>
      </c>
      <c r="B9288" s="1" t="n">
        <v>46009.59363425926</v>
      </c>
      <c r="C9288" s="1" t="n">
        <v>46075</v>
      </c>
      <c r="D9288" t="inlineStr">
        <is>
          <t>VÄSTERBOTTENS LÄN</t>
        </is>
      </c>
      <c r="E9288" t="inlineStr">
        <is>
          <t>NORDMALING</t>
        </is>
      </c>
      <c r="G9288" t="n">
        <v>4.4</v>
      </c>
      <c r="H9288" t="n">
        <v>0</v>
      </c>
      <c r="I9288" t="n">
        <v>0</v>
      </c>
      <c r="J9288" t="n">
        <v>0</v>
      </c>
      <c r="K9288" t="n">
        <v>0</v>
      </c>
      <c r="L9288" t="n">
        <v>0</v>
      </c>
      <c r="M9288" t="n">
        <v>0</v>
      </c>
      <c r="N9288" t="n">
        <v>0</v>
      </c>
      <c r="O9288" t="n">
        <v>0</v>
      </c>
      <c r="P9288" t="n">
        <v>0</v>
      </c>
      <c r="Q9288" t="n">
        <v>0</v>
      </c>
      <c r="R9288" s="2" t="inlineStr"/>
    </row>
    <row r="9289" ht="15" customHeight="1">
      <c r="A9289" t="inlineStr">
        <is>
          <t>A 18010-2025</t>
        </is>
      </c>
      <c r="B9289" s="1" t="n">
        <v>45761.43072916667</v>
      </c>
      <c r="C9289" s="1" t="n">
        <v>46075</v>
      </c>
      <c r="D9289" t="inlineStr">
        <is>
          <t>VÄSTERBOTTENS LÄN</t>
        </is>
      </c>
      <c r="E9289" t="inlineStr">
        <is>
          <t>UMEÅ</t>
        </is>
      </c>
      <c r="F9289" t="inlineStr">
        <is>
          <t>Holmen skog AB</t>
        </is>
      </c>
      <c r="G9289" t="n">
        <v>1.5</v>
      </c>
      <c r="H9289" t="n">
        <v>0</v>
      </c>
      <c r="I9289" t="n">
        <v>0</v>
      </c>
      <c r="J9289" t="n">
        <v>0</v>
      </c>
      <c r="K9289" t="n">
        <v>0</v>
      </c>
      <c r="L9289" t="n">
        <v>0</v>
      </c>
      <c r="M9289" t="n">
        <v>0</v>
      </c>
      <c r="N9289" t="n">
        <v>0</v>
      </c>
      <c r="O9289" t="n">
        <v>0</v>
      </c>
      <c r="P9289" t="n">
        <v>0</v>
      </c>
      <c r="Q9289" t="n">
        <v>0</v>
      </c>
      <c r="R9289" s="2" t="inlineStr"/>
    </row>
    <row r="9290" ht="15" customHeight="1">
      <c r="A9290" t="inlineStr">
        <is>
          <t>A 991-2024</t>
        </is>
      </c>
      <c r="B9290" s="1" t="n">
        <v>45301</v>
      </c>
      <c r="C9290" s="1" t="n">
        <v>46075</v>
      </c>
      <c r="D9290" t="inlineStr">
        <is>
          <t>VÄSTERBOTTENS LÄN</t>
        </is>
      </c>
      <c r="E9290" t="inlineStr">
        <is>
          <t>ROBERTSFORS</t>
        </is>
      </c>
      <c r="G9290" t="n">
        <v>8.800000000000001</v>
      </c>
      <c r="H9290" t="n">
        <v>0</v>
      </c>
      <c r="I9290" t="n">
        <v>0</v>
      </c>
      <c r="J9290" t="n">
        <v>0</v>
      </c>
      <c r="K9290" t="n">
        <v>0</v>
      </c>
      <c r="L9290" t="n">
        <v>0</v>
      </c>
      <c r="M9290" t="n">
        <v>0</v>
      </c>
      <c r="N9290" t="n">
        <v>0</v>
      </c>
      <c r="O9290" t="n">
        <v>0</v>
      </c>
      <c r="P9290" t="n">
        <v>0</v>
      </c>
      <c r="Q9290" t="n">
        <v>0</v>
      </c>
      <c r="R9290" s="2" t="inlineStr"/>
    </row>
    <row r="9291" ht="15" customHeight="1">
      <c r="A9291" t="inlineStr">
        <is>
          <t>A 63035-2025</t>
        </is>
      </c>
      <c r="B9291" s="1" t="n">
        <v>46009.61186342593</v>
      </c>
      <c r="C9291" s="1" t="n">
        <v>46075</v>
      </c>
      <c r="D9291" t="inlineStr">
        <is>
          <t>VÄSTERBOTTENS LÄN</t>
        </is>
      </c>
      <c r="E9291" t="inlineStr">
        <is>
          <t>NORDMALING</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19585-2024</t>
        </is>
      </c>
      <c r="B9292" s="1" t="n">
        <v>45429</v>
      </c>
      <c r="C9292" s="1" t="n">
        <v>46075</v>
      </c>
      <c r="D9292" t="inlineStr">
        <is>
          <t>VÄSTERBOTTENS LÄN</t>
        </is>
      </c>
      <c r="E9292" t="inlineStr">
        <is>
          <t>VILHELMINA</t>
        </is>
      </c>
      <c r="F9292" t="inlineStr">
        <is>
          <t>SCA</t>
        </is>
      </c>
      <c r="G9292" t="n">
        <v>2.4</v>
      </c>
      <c r="H9292" t="n">
        <v>0</v>
      </c>
      <c r="I9292" t="n">
        <v>0</v>
      </c>
      <c r="J9292" t="n">
        <v>0</v>
      </c>
      <c r="K9292" t="n">
        <v>0</v>
      </c>
      <c r="L9292" t="n">
        <v>0</v>
      </c>
      <c r="M9292" t="n">
        <v>0</v>
      </c>
      <c r="N9292" t="n">
        <v>0</v>
      </c>
      <c r="O9292" t="n">
        <v>0</v>
      </c>
      <c r="P9292" t="n">
        <v>0</v>
      </c>
      <c r="Q9292" t="n">
        <v>0</v>
      </c>
      <c r="R9292" s="2" t="inlineStr"/>
    </row>
    <row r="9293" ht="15" customHeight="1">
      <c r="A9293" t="inlineStr">
        <is>
          <t>A 62631-2025</t>
        </is>
      </c>
      <c r="B9293" s="1" t="n">
        <v>46008.35678240741</v>
      </c>
      <c r="C9293" s="1" t="n">
        <v>46075</v>
      </c>
      <c r="D9293" t="inlineStr">
        <is>
          <t>VÄSTERBOTTENS LÄN</t>
        </is>
      </c>
      <c r="E9293" t="inlineStr">
        <is>
          <t>SKELLEFTEÅ</t>
        </is>
      </c>
      <c r="G9293" t="n">
        <v>3</v>
      </c>
      <c r="H9293" t="n">
        <v>0</v>
      </c>
      <c r="I9293" t="n">
        <v>0</v>
      </c>
      <c r="J9293" t="n">
        <v>0</v>
      </c>
      <c r="K9293" t="n">
        <v>0</v>
      </c>
      <c r="L9293" t="n">
        <v>0</v>
      </c>
      <c r="M9293" t="n">
        <v>0</v>
      </c>
      <c r="N9293" t="n">
        <v>0</v>
      </c>
      <c r="O9293" t="n">
        <v>0</v>
      </c>
      <c r="P9293" t="n">
        <v>0</v>
      </c>
      <c r="Q9293" t="n">
        <v>0</v>
      </c>
      <c r="R9293" s="2" t="inlineStr"/>
    </row>
    <row r="9294" ht="15" customHeight="1">
      <c r="A9294" t="inlineStr">
        <is>
          <t>A 5439-2026</t>
        </is>
      </c>
      <c r="B9294" s="1" t="n">
        <v>46050.5652662037</v>
      </c>
      <c r="C9294" s="1" t="n">
        <v>46075</v>
      </c>
      <c r="D9294" t="inlineStr">
        <is>
          <t>VÄSTERBOTTENS LÄN</t>
        </is>
      </c>
      <c r="E9294" t="inlineStr">
        <is>
          <t>LYCKSELE</t>
        </is>
      </c>
      <c r="G9294" t="n">
        <v>5.5</v>
      </c>
      <c r="H9294" t="n">
        <v>0</v>
      </c>
      <c r="I9294" t="n">
        <v>0</v>
      </c>
      <c r="J9294" t="n">
        <v>0</v>
      </c>
      <c r="K9294" t="n">
        <v>0</v>
      </c>
      <c r="L9294" t="n">
        <v>0</v>
      </c>
      <c r="M9294" t="n">
        <v>0</v>
      </c>
      <c r="N9294" t="n">
        <v>0</v>
      </c>
      <c r="O9294" t="n">
        <v>0</v>
      </c>
      <c r="P9294" t="n">
        <v>0</v>
      </c>
      <c r="Q9294" t="n">
        <v>0</v>
      </c>
      <c r="R9294" s="2" t="inlineStr"/>
    </row>
    <row r="9295" ht="15" customHeight="1">
      <c r="A9295" t="inlineStr">
        <is>
          <t>A 1089-2024</t>
        </is>
      </c>
      <c r="B9295" s="1" t="n">
        <v>45301</v>
      </c>
      <c r="C9295" s="1" t="n">
        <v>46075</v>
      </c>
      <c r="D9295" t="inlineStr">
        <is>
          <t>VÄSTERBOTTENS LÄN</t>
        </is>
      </c>
      <c r="E9295" t="inlineStr">
        <is>
          <t>UMEÅ</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53937-2025</t>
        </is>
      </c>
      <c r="B9296" s="1" t="n">
        <v>45960</v>
      </c>
      <c r="C9296" s="1" t="n">
        <v>46075</v>
      </c>
      <c r="D9296" t="inlineStr">
        <is>
          <t>VÄSTERBOTTENS LÄN</t>
        </is>
      </c>
      <c r="E9296" t="inlineStr">
        <is>
          <t>LYCKSELE</t>
        </is>
      </c>
      <c r="G9296" t="n">
        <v>9.699999999999999</v>
      </c>
      <c r="H9296" t="n">
        <v>0</v>
      </c>
      <c r="I9296" t="n">
        <v>0</v>
      </c>
      <c r="J9296" t="n">
        <v>0</v>
      </c>
      <c r="K9296" t="n">
        <v>0</v>
      </c>
      <c r="L9296" t="n">
        <v>0</v>
      </c>
      <c r="M9296" t="n">
        <v>0</v>
      </c>
      <c r="N9296" t="n">
        <v>0</v>
      </c>
      <c r="O9296" t="n">
        <v>0</v>
      </c>
      <c r="P9296" t="n">
        <v>0</v>
      </c>
      <c r="Q9296" t="n">
        <v>0</v>
      </c>
      <c r="R9296" s="2" t="inlineStr"/>
    </row>
    <row r="9297" ht="15" customHeight="1">
      <c r="A9297" t="inlineStr">
        <is>
          <t>A 34713-2024</t>
        </is>
      </c>
      <c r="B9297" s="1" t="n">
        <v>45526.56255787037</v>
      </c>
      <c r="C9297" s="1" t="n">
        <v>46075</v>
      </c>
      <c r="D9297" t="inlineStr">
        <is>
          <t>VÄSTERBOTTENS LÄN</t>
        </is>
      </c>
      <c r="E9297" t="inlineStr">
        <is>
          <t>SKELLEFTEÅ</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8686-2025</t>
        </is>
      </c>
      <c r="B9298" s="1" t="n">
        <v>45712.45840277777</v>
      </c>
      <c r="C9298" s="1" t="n">
        <v>46075</v>
      </c>
      <c r="D9298" t="inlineStr">
        <is>
          <t>VÄSTERBOTTENS LÄN</t>
        </is>
      </c>
      <c r="E9298" t="inlineStr">
        <is>
          <t>ROBERTSFORS</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8689-2025</t>
        </is>
      </c>
      <c r="B9299" s="1" t="n">
        <v>45712</v>
      </c>
      <c r="C9299" s="1" t="n">
        <v>46075</v>
      </c>
      <c r="D9299" t="inlineStr">
        <is>
          <t>VÄSTERBOTTENS LÄN</t>
        </is>
      </c>
      <c r="E9299" t="inlineStr">
        <is>
          <t>SKELLEFTEÅ</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64157-2025</t>
        </is>
      </c>
      <c r="B9300" s="1" t="n">
        <v>46013</v>
      </c>
      <c r="C9300" s="1" t="n">
        <v>46075</v>
      </c>
      <c r="D9300" t="inlineStr">
        <is>
          <t>VÄSTERBOTTENS LÄN</t>
        </is>
      </c>
      <c r="E9300" t="inlineStr">
        <is>
          <t>UMEÅ</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35786-2023</t>
        </is>
      </c>
      <c r="B9301" s="1" t="n">
        <v>45147</v>
      </c>
      <c r="C9301" s="1" t="n">
        <v>46075</v>
      </c>
      <c r="D9301" t="inlineStr">
        <is>
          <t>VÄSTERBOTTENS LÄN</t>
        </is>
      </c>
      <c r="E9301" t="inlineStr">
        <is>
          <t>NORDMALING</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35801-2023</t>
        </is>
      </c>
      <c r="B9302" s="1" t="n">
        <v>45147</v>
      </c>
      <c r="C9302" s="1" t="n">
        <v>46075</v>
      </c>
      <c r="D9302" t="inlineStr">
        <is>
          <t>VÄSTERBOTTENS LÄN</t>
        </is>
      </c>
      <c r="E9302" t="inlineStr">
        <is>
          <t>NORDMALING</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6179-2025</t>
        </is>
      </c>
      <c r="B9303" s="1" t="n">
        <v>45698.44835648148</v>
      </c>
      <c r="C9303" s="1" t="n">
        <v>46075</v>
      </c>
      <c r="D9303" t="inlineStr">
        <is>
          <t>VÄSTERBOTTENS LÄN</t>
        </is>
      </c>
      <c r="E9303" t="inlineStr">
        <is>
          <t>VÄNNÄS</t>
        </is>
      </c>
      <c r="G9303" t="n">
        <v>4.9</v>
      </c>
      <c r="H9303" t="n">
        <v>0</v>
      </c>
      <c r="I9303" t="n">
        <v>0</v>
      </c>
      <c r="J9303" t="n">
        <v>0</v>
      </c>
      <c r="K9303" t="n">
        <v>0</v>
      </c>
      <c r="L9303" t="n">
        <v>0</v>
      </c>
      <c r="M9303" t="n">
        <v>0</v>
      </c>
      <c r="N9303" t="n">
        <v>0</v>
      </c>
      <c r="O9303" t="n">
        <v>0</v>
      </c>
      <c r="P9303" t="n">
        <v>0</v>
      </c>
      <c r="Q9303" t="n">
        <v>0</v>
      </c>
      <c r="R9303" s="2" t="inlineStr"/>
    </row>
    <row r="9304" ht="15" customHeight="1">
      <c r="A9304" t="inlineStr">
        <is>
          <t>A 2024-2024</t>
        </is>
      </c>
      <c r="B9304" s="1" t="n">
        <v>45308</v>
      </c>
      <c r="C9304" s="1" t="n">
        <v>46075</v>
      </c>
      <c r="D9304" t="inlineStr">
        <is>
          <t>VÄSTERBOTTENS LÄN</t>
        </is>
      </c>
      <c r="E9304" t="inlineStr">
        <is>
          <t>STORUMAN</t>
        </is>
      </c>
      <c r="G9304" t="n">
        <v>1.3</v>
      </c>
      <c r="H9304" t="n">
        <v>0</v>
      </c>
      <c r="I9304" t="n">
        <v>0</v>
      </c>
      <c r="J9304" t="n">
        <v>0</v>
      </c>
      <c r="K9304" t="n">
        <v>0</v>
      </c>
      <c r="L9304" t="n">
        <v>0</v>
      </c>
      <c r="M9304" t="n">
        <v>0</v>
      </c>
      <c r="N9304" t="n">
        <v>0</v>
      </c>
      <c r="O9304" t="n">
        <v>0</v>
      </c>
      <c r="P9304" t="n">
        <v>0</v>
      </c>
      <c r="Q9304" t="n">
        <v>0</v>
      </c>
      <c r="R9304" s="2" t="inlineStr"/>
    </row>
    <row r="9305" ht="15" customHeight="1">
      <c r="A9305" t="inlineStr">
        <is>
          <t>A 48033-2024</t>
        </is>
      </c>
      <c r="B9305" s="1" t="n">
        <v>45589.49001157407</v>
      </c>
      <c r="C9305" s="1" t="n">
        <v>46075</v>
      </c>
      <c r="D9305" t="inlineStr">
        <is>
          <t>VÄSTERBOTTENS LÄN</t>
        </is>
      </c>
      <c r="E9305" t="inlineStr">
        <is>
          <t>ÅSELE</t>
        </is>
      </c>
      <c r="F9305" t="inlineStr">
        <is>
          <t>SCA</t>
        </is>
      </c>
      <c r="G9305" t="n">
        <v>3.1</v>
      </c>
      <c r="H9305" t="n">
        <v>0</v>
      </c>
      <c r="I9305" t="n">
        <v>0</v>
      </c>
      <c r="J9305" t="n">
        <v>0</v>
      </c>
      <c r="K9305" t="n">
        <v>0</v>
      </c>
      <c r="L9305" t="n">
        <v>0</v>
      </c>
      <c r="M9305" t="n">
        <v>0</v>
      </c>
      <c r="N9305" t="n">
        <v>0</v>
      </c>
      <c r="O9305" t="n">
        <v>0</v>
      </c>
      <c r="P9305" t="n">
        <v>0</v>
      </c>
      <c r="Q9305" t="n">
        <v>0</v>
      </c>
      <c r="R9305" s="2" t="inlineStr"/>
    </row>
    <row r="9306" ht="15" customHeight="1">
      <c r="A9306" t="inlineStr">
        <is>
          <t>A 51308-2023</t>
        </is>
      </c>
      <c r="B9306" s="1" t="n">
        <v>45212</v>
      </c>
      <c r="C9306" s="1" t="n">
        <v>46075</v>
      </c>
      <c r="D9306" t="inlineStr">
        <is>
          <t>VÄSTERBOTTENS LÄN</t>
        </is>
      </c>
      <c r="E9306" t="inlineStr">
        <is>
          <t>MALÅ</t>
        </is>
      </c>
      <c r="G9306" t="n">
        <v>0.8</v>
      </c>
      <c r="H9306" t="n">
        <v>0</v>
      </c>
      <c r="I9306" t="n">
        <v>0</v>
      </c>
      <c r="J9306" t="n">
        <v>0</v>
      </c>
      <c r="K9306" t="n">
        <v>0</v>
      </c>
      <c r="L9306" t="n">
        <v>0</v>
      </c>
      <c r="M9306" t="n">
        <v>0</v>
      </c>
      <c r="N9306" t="n">
        <v>0</v>
      </c>
      <c r="O9306" t="n">
        <v>0</v>
      </c>
      <c r="P9306" t="n">
        <v>0</v>
      </c>
      <c r="Q9306" t="n">
        <v>0</v>
      </c>
      <c r="R9306" s="2" t="inlineStr"/>
    </row>
    <row r="9307" ht="15" customHeight="1">
      <c r="A9307" t="inlineStr">
        <is>
          <t>A 54264-2024</t>
        </is>
      </c>
      <c r="B9307" s="1" t="n">
        <v>45616</v>
      </c>
      <c r="C9307" s="1" t="n">
        <v>46075</v>
      </c>
      <c r="D9307" t="inlineStr">
        <is>
          <t>VÄSTERBOTTENS LÄN</t>
        </is>
      </c>
      <c r="E9307" t="inlineStr">
        <is>
          <t>SKELLEFTEÅ</t>
        </is>
      </c>
      <c r="G9307" t="n">
        <v>1</v>
      </c>
      <c r="H9307" t="n">
        <v>0</v>
      </c>
      <c r="I9307" t="n">
        <v>0</v>
      </c>
      <c r="J9307" t="n">
        <v>0</v>
      </c>
      <c r="K9307" t="n">
        <v>0</v>
      </c>
      <c r="L9307" t="n">
        <v>0</v>
      </c>
      <c r="M9307" t="n">
        <v>0</v>
      </c>
      <c r="N9307" t="n">
        <v>0</v>
      </c>
      <c r="O9307" t="n">
        <v>0</v>
      </c>
      <c r="P9307" t="n">
        <v>0</v>
      </c>
      <c r="Q9307" t="n">
        <v>0</v>
      </c>
      <c r="R9307" s="2" t="inlineStr"/>
    </row>
    <row r="9308" ht="15" customHeight="1">
      <c r="A9308" t="inlineStr">
        <is>
          <t>A 24875-2023</t>
        </is>
      </c>
      <c r="B9308" s="1" t="n">
        <v>45078</v>
      </c>
      <c r="C9308" s="1" t="n">
        <v>46075</v>
      </c>
      <c r="D9308" t="inlineStr">
        <is>
          <t>VÄSTERBOTTENS LÄN</t>
        </is>
      </c>
      <c r="E9308" t="inlineStr">
        <is>
          <t>UMEÅ</t>
        </is>
      </c>
      <c r="G9308" t="n">
        <v>3.6</v>
      </c>
      <c r="H9308" t="n">
        <v>0</v>
      </c>
      <c r="I9308" t="n">
        <v>0</v>
      </c>
      <c r="J9308" t="n">
        <v>0</v>
      </c>
      <c r="K9308" t="n">
        <v>0</v>
      </c>
      <c r="L9308" t="n">
        <v>0</v>
      </c>
      <c r="M9308" t="n">
        <v>0</v>
      </c>
      <c r="N9308" t="n">
        <v>0</v>
      </c>
      <c r="O9308" t="n">
        <v>0</v>
      </c>
      <c r="P9308" t="n">
        <v>0</v>
      </c>
      <c r="Q9308" t="n">
        <v>0</v>
      </c>
      <c r="R9308" s="2" t="inlineStr"/>
    </row>
    <row r="9309" ht="15" customHeight="1">
      <c r="A9309" t="inlineStr">
        <is>
          <t>A 34296-2022</t>
        </is>
      </c>
      <c r="B9309" s="1" t="n">
        <v>44792.35222222222</v>
      </c>
      <c r="C9309" s="1" t="n">
        <v>46075</v>
      </c>
      <c r="D9309" t="inlineStr">
        <is>
          <t>VÄSTERBOTTENS LÄN</t>
        </is>
      </c>
      <c r="E9309" t="inlineStr">
        <is>
          <t>BJURHOLM</t>
        </is>
      </c>
      <c r="G9309" t="n">
        <v>9.1</v>
      </c>
      <c r="H9309" t="n">
        <v>0</v>
      </c>
      <c r="I9309" t="n">
        <v>0</v>
      </c>
      <c r="J9309" t="n">
        <v>0</v>
      </c>
      <c r="K9309" t="n">
        <v>0</v>
      </c>
      <c r="L9309" t="n">
        <v>0</v>
      </c>
      <c r="M9309" t="n">
        <v>0</v>
      </c>
      <c r="N9309" t="n">
        <v>0</v>
      </c>
      <c r="O9309" t="n">
        <v>0</v>
      </c>
      <c r="P9309" t="n">
        <v>0</v>
      </c>
      <c r="Q9309" t="n">
        <v>0</v>
      </c>
      <c r="R9309" s="2" t="inlineStr"/>
    </row>
    <row r="9310" ht="15" customHeight="1">
      <c r="A9310" t="inlineStr">
        <is>
          <t>A 62553-2021</t>
        </is>
      </c>
      <c r="B9310" s="1" t="n">
        <v>44501</v>
      </c>
      <c r="C9310" s="1" t="n">
        <v>46075</v>
      </c>
      <c r="D9310" t="inlineStr">
        <is>
          <t>VÄSTERBOTTENS LÄN</t>
        </is>
      </c>
      <c r="E9310" t="inlineStr">
        <is>
          <t>VÄNNÄS</t>
        </is>
      </c>
      <c r="G9310" t="n">
        <v>10.2</v>
      </c>
      <c r="H9310" t="n">
        <v>0</v>
      </c>
      <c r="I9310" t="n">
        <v>0</v>
      </c>
      <c r="J9310" t="n">
        <v>0</v>
      </c>
      <c r="K9310" t="n">
        <v>0</v>
      </c>
      <c r="L9310" t="n">
        <v>0</v>
      </c>
      <c r="M9310" t="n">
        <v>0</v>
      </c>
      <c r="N9310" t="n">
        <v>0</v>
      </c>
      <c r="O9310" t="n">
        <v>0</v>
      </c>
      <c r="P9310" t="n">
        <v>0</v>
      </c>
      <c r="Q9310" t="n">
        <v>0</v>
      </c>
      <c r="R9310" s="2" t="inlineStr"/>
    </row>
    <row r="9311" ht="15" customHeight="1">
      <c r="A9311" t="inlineStr">
        <is>
          <t>A 63218-2025</t>
        </is>
      </c>
      <c r="B9311" s="1" t="n">
        <v>46010.48998842593</v>
      </c>
      <c r="C9311" s="1" t="n">
        <v>46075</v>
      </c>
      <c r="D9311" t="inlineStr">
        <is>
          <t>VÄSTERBOTTENS LÄN</t>
        </is>
      </c>
      <c r="E9311" t="inlineStr">
        <is>
          <t>UMEÅ</t>
        </is>
      </c>
      <c r="G9311" t="n">
        <v>2.5</v>
      </c>
      <c r="H9311" t="n">
        <v>0</v>
      </c>
      <c r="I9311" t="n">
        <v>0</v>
      </c>
      <c r="J9311" t="n">
        <v>0</v>
      </c>
      <c r="K9311" t="n">
        <v>0</v>
      </c>
      <c r="L9311" t="n">
        <v>0</v>
      </c>
      <c r="M9311" t="n">
        <v>0</v>
      </c>
      <c r="N9311" t="n">
        <v>0</v>
      </c>
      <c r="O9311" t="n">
        <v>0</v>
      </c>
      <c r="P9311" t="n">
        <v>0</v>
      </c>
      <c r="Q9311" t="n">
        <v>0</v>
      </c>
      <c r="R9311" s="2" t="inlineStr"/>
    </row>
    <row r="9312" ht="15" customHeight="1">
      <c r="A9312" t="inlineStr">
        <is>
          <t>A 63219-2025</t>
        </is>
      </c>
      <c r="B9312" s="1" t="n">
        <v>46010.49005787037</v>
      </c>
      <c r="C9312" s="1" t="n">
        <v>46075</v>
      </c>
      <c r="D9312" t="inlineStr">
        <is>
          <t>VÄSTERBOTTENS LÄN</t>
        </is>
      </c>
      <c r="E9312" t="inlineStr">
        <is>
          <t>UMEÅ</t>
        </is>
      </c>
      <c r="G9312" t="n">
        <v>4.2</v>
      </c>
      <c r="H9312" t="n">
        <v>0</v>
      </c>
      <c r="I9312" t="n">
        <v>0</v>
      </c>
      <c r="J9312" t="n">
        <v>0</v>
      </c>
      <c r="K9312" t="n">
        <v>0</v>
      </c>
      <c r="L9312" t="n">
        <v>0</v>
      </c>
      <c r="M9312" t="n">
        <v>0</v>
      </c>
      <c r="N9312" t="n">
        <v>0</v>
      </c>
      <c r="O9312" t="n">
        <v>0</v>
      </c>
      <c r="P9312" t="n">
        <v>0</v>
      </c>
      <c r="Q9312" t="n">
        <v>0</v>
      </c>
      <c r="R9312" s="2" t="inlineStr"/>
    </row>
    <row r="9313" ht="15" customHeight="1">
      <c r="A9313" t="inlineStr">
        <is>
          <t>A 63223-2025</t>
        </is>
      </c>
      <c r="B9313" s="1" t="n">
        <v>46010.49422453704</v>
      </c>
      <c r="C9313" s="1" t="n">
        <v>46075</v>
      </c>
      <c r="D9313" t="inlineStr">
        <is>
          <t>VÄSTERBOTTENS LÄN</t>
        </is>
      </c>
      <c r="E9313" t="inlineStr">
        <is>
          <t>LYCKSELE</t>
        </is>
      </c>
      <c r="G9313" t="n">
        <v>2.1</v>
      </c>
      <c r="H9313" t="n">
        <v>0</v>
      </c>
      <c r="I9313" t="n">
        <v>0</v>
      </c>
      <c r="J9313" t="n">
        <v>0</v>
      </c>
      <c r="K9313" t="n">
        <v>0</v>
      </c>
      <c r="L9313" t="n">
        <v>0</v>
      </c>
      <c r="M9313" t="n">
        <v>0</v>
      </c>
      <c r="N9313" t="n">
        <v>0</v>
      </c>
      <c r="O9313" t="n">
        <v>0</v>
      </c>
      <c r="P9313" t="n">
        <v>0</v>
      </c>
      <c r="Q9313" t="n">
        <v>0</v>
      </c>
      <c r="R9313" s="2" t="inlineStr"/>
    </row>
    <row r="9314" ht="15" customHeight="1">
      <c r="A9314" t="inlineStr">
        <is>
          <t>A 61395-2022</t>
        </is>
      </c>
      <c r="B9314" s="1" t="n">
        <v>44915</v>
      </c>
      <c r="C9314" s="1" t="n">
        <v>46075</v>
      </c>
      <c r="D9314" t="inlineStr">
        <is>
          <t>VÄSTERBOTTENS LÄN</t>
        </is>
      </c>
      <c r="E9314" t="inlineStr">
        <is>
          <t>VINDELN</t>
        </is>
      </c>
      <c r="F9314" t="inlineStr">
        <is>
          <t>SCA</t>
        </is>
      </c>
      <c r="G9314" t="n">
        <v>0.5</v>
      </c>
      <c r="H9314" t="n">
        <v>0</v>
      </c>
      <c r="I9314" t="n">
        <v>0</v>
      </c>
      <c r="J9314" t="n">
        <v>0</v>
      </c>
      <c r="K9314" t="n">
        <v>0</v>
      </c>
      <c r="L9314" t="n">
        <v>0</v>
      </c>
      <c r="M9314" t="n">
        <v>0</v>
      </c>
      <c r="N9314" t="n">
        <v>0</v>
      </c>
      <c r="O9314" t="n">
        <v>0</v>
      </c>
      <c r="P9314" t="n">
        <v>0</v>
      </c>
      <c r="Q9314" t="n">
        <v>0</v>
      </c>
      <c r="R9314" s="2" t="inlineStr"/>
    </row>
    <row r="9315" ht="15" customHeight="1">
      <c r="A9315" t="inlineStr">
        <is>
          <t>A 6134-2026</t>
        </is>
      </c>
      <c r="B9315" s="1" t="n">
        <v>46054.53177083333</v>
      </c>
      <c r="C9315" s="1" t="n">
        <v>46075</v>
      </c>
      <c r="D9315" t="inlineStr">
        <is>
          <t>VÄSTERBOTTENS LÄN</t>
        </is>
      </c>
      <c r="E9315" t="inlineStr">
        <is>
          <t>DOROTEA</t>
        </is>
      </c>
      <c r="F9315" t="inlineStr">
        <is>
          <t>SCA</t>
        </is>
      </c>
      <c r="G9315" t="n">
        <v>4.6</v>
      </c>
      <c r="H9315" t="n">
        <v>0</v>
      </c>
      <c r="I9315" t="n">
        <v>0</v>
      </c>
      <c r="J9315" t="n">
        <v>0</v>
      </c>
      <c r="K9315" t="n">
        <v>0</v>
      </c>
      <c r="L9315" t="n">
        <v>0</v>
      </c>
      <c r="M9315" t="n">
        <v>0</v>
      </c>
      <c r="N9315" t="n">
        <v>0</v>
      </c>
      <c r="O9315" t="n">
        <v>0</v>
      </c>
      <c r="P9315" t="n">
        <v>0</v>
      </c>
      <c r="Q9315" t="n">
        <v>0</v>
      </c>
      <c r="R9315" s="2" t="inlineStr"/>
    </row>
    <row r="9316" ht="15" customHeight="1">
      <c r="A9316" t="inlineStr">
        <is>
          <t>A 12680-2022</t>
        </is>
      </c>
      <c r="B9316" s="1" t="n">
        <v>44641</v>
      </c>
      <c r="C9316" s="1" t="n">
        <v>46075</v>
      </c>
      <c r="D9316" t="inlineStr">
        <is>
          <t>VÄSTERBOTTENS LÄN</t>
        </is>
      </c>
      <c r="E9316" t="inlineStr">
        <is>
          <t>MALÅ</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61911-2025</t>
        </is>
      </c>
      <c r="B9317" s="1" t="n">
        <v>46003</v>
      </c>
      <c r="C9317" s="1" t="n">
        <v>46075</v>
      </c>
      <c r="D9317" t="inlineStr">
        <is>
          <t>VÄSTERBOTTENS LÄN</t>
        </is>
      </c>
      <c r="E9317" t="inlineStr">
        <is>
          <t>VILHELMINA</t>
        </is>
      </c>
      <c r="G9317" t="n">
        <v>23.1</v>
      </c>
      <c r="H9317" t="n">
        <v>0</v>
      </c>
      <c r="I9317" t="n">
        <v>0</v>
      </c>
      <c r="J9317" t="n">
        <v>0</v>
      </c>
      <c r="K9317" t="n">
        <v>0</v>
      </c>
      <c r="L9317" t="n">
        <v>0</v>
      </c>
      <c r="M9317" t="n">
        <v>0</v>
      </c>
      <c r="N9317" t="n">
        <v>0</v>
      </c>
      <c r="O9317" t="n">
        <v>0</v>
      </c>
      <c r="P9317" t="n">
        <v>0</v>
      </c>
      <c r="Q9317" t="n">
        <v>0</v>
      </c>
      <c r="R9317" s="2" t="inlineStr"/>
    </row>
    <row r="9318" ht="15" customHeight="1">
      <c r="A9318" t="inlineStr">
        <is>
          <t>A 63575-2025</t>
        </is>
      </c>
      <c r="B9318" s="1" t="n">
        <v>46013.66325231481</v>
      </c>
      <c r="C9318" s="1" t="n">
        <v>46075</v>
      </c>
      <c r="D9318" t="inlineStr">
        <is>
          <t>VÄSTERBOTTENS LÄN</t>
        </is>
      </c>
      <c r="E9318" t="inlineStr">
        <is>
          <t>DOROTEA</t>
        </is>
      </c>
      <c r="G9318" t="n">
        <v>6.6</v>
      </c>
      <c r="H9318" t="n">
        <v>0</v>
      </c>
      <c r="I9318" t="n">
        <v>0</v>
      </c>
      <c r="J9318" t="n">
        <v>0</v>
      </c>
      <c r="K9318" t="n">
        <v>0</v>
      </c>
      <c r="L9318" t="n">
        <v>0</v>
      </c>
      <c r="M9318" t="n">
        <v>0</v>
      </c>
      <c r="N9318" t="n">
        <v>0</v>
      </c>
      <c r="O9318" t="n">
        <v>0</v>
      </c>
      <c r="P9318" t="n">
        <v>0</v>
      </c>
      <c r="Q9318" t="n">
        <v>0</v>
      </c>
      <c r="R9318" s="2" t="inlineStr"/>
    </row>
    <row r="9319" ht="15" customHeight="1">
      <c r="A9319" t="inlineStr">
        <is>
          <t>A 38999-2023</t>
        </is>
      </c>
      <c r="B9319" s="1" t="n">
        <v>45162</v>
      </c>
      <c r="C9319" s="1" t="n">
        <v>46075</v>
      </c>
      <c r="D9319" t="inlineStr">
        <is>
          <t>VÄSTERBOTTENS LÄN</t>
        </is>
      </c>
      <c r="E9319" t="inlineStr">
        <is>
          <t>MALÅ</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39042-2023</t>
        </is>
      </c>
      <c r="B9320" s="1" t="n">
        <v>45163.92680555556</v>
      </c>
      <c r="C9320" s="1" t="n">
        <v>46075</v>
      </c>
      <c r="D9320" t="inlineStr">
        <is>
          <t>VÄSTERBOTTENS LÄN</t>
        </is>
      </c>
      <c r="E9320" t="inlineStr">
        <is>
          <t>NORSJÖ</t>
        </is>
      </c>
      <c r="G9320" t="n">
        <v>1.4</v>
      </c>
      <c r="H9320" t="n">
        <v>0</v>
      </c>
      <c r="I9320" t="n">
        <v>0</v>
      </c>
      <c r="J9320" t="n">
        <v>0</v>
      </c>
      <c r="K9320" t="n">
        <v>0</v>
      </c>
      <c r="L9320" t="n">
        <v>0</v>
      </c>
      <c r="M9320" t="n">
        <v>0</v>
      </c>
      <c r="N9320" t="n">
        <v>0</v>
      </c>
      <c r="O9320" t="n">
        <v>0</v>
      </c>
      <c r="P9320" t="n">
        <v>0</v>
      </c>
      <c r="Q9320" t="n">
        <v>0</v>
      </c>
      <c r="R9320" s="2" t="inlineStr"/>
    </row>
    <row r="9321" ht="15" customHeight="1">
      <c r="A9321" t="inlineStr">
        <is>
          <t>A 22530-2025</t>
        </is>
      </c>
      <c r="B9321" s="1" t="n">
        <v>45786</v>
      </c>
      <c r="C9321" s="1" t="n">
        <v>46075</v>
      </c>
      <c r="D9321" t="inlineStr">
        <is>
          <t>VÄSTERBOTTENS LÄN</t>
        </is>
      </c>
      <c r="E9321" t="inlineStr">
        <is>
          <t>SKELLEFTEÅ</t>
        </is>
      </c>
      <c r="G9321" t="n">
        <v>2.2</v>
      </c>
      <c r="H9321" t="n">
        <v>0</v>
      </c>
      <c r="I9321" t="n">
        <v>0</v>
      </c>
      <c r="J9321" t="n">
        <v>0</v>
      </c>
      <c r="K9321" t="n">
        <v>0</v>
      </c>
      <c r="L9321" t="n">
        <v>0</v>
      </c>
      <c r="M9321" t="n">
        <v>0</v>
      </c>
      <c r="N9321" t="n">
        <v>0</v>
      </c>
      <c r="O9321" t="n">
        <v>0</v>
      </c>
      <c r="P9321" t="n">
        <v>0</v>
      </c>
      <c r="Q9321" t="n">
        <v>0</v>
      </c>
      <c r="R9321" s="2" t="inlineStr"/>
    </row>
    <row r="9322" ht="15" customHeight="1">
      <c r="A9322" t="inlineStr">
        <is>
          <t>A 57295-2025</t>
        </is>
      </c>
      <c r="B9322" s="1" t="n">
        <v>45979</v>
      </c>
      <c r="C9322" s="1" t="n">
        <v>46075</v>
      </c>
      <c r="D9322" t="inlineStr">
        <is>
          <t>VÄSTERBOTTENS LÄN</t>
        </is>
      </c>
      <c r="E9322" t="inlineStr">
        <is>
          <t>LYCKSELE</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57297-2025</t>
        </is>
      </c>
      <c r="B9323" s="1" t="n">
        <v>45979</v>
      </c>
      <c r="C9323" s="1" t="n">
        <v>46075</v>
      </c>
      <c r="D9323" t="inlineStr">
        <is>
          <t>VÄSTERBOTTENS LÄN</t>
        </is>
      </c>
      <c r="E9323" t="inlineStr">
        <is>
          <t>LYCKSELE</t>
        </is>
      </c>
      <c r="G9323" t="n">
        <v>1</v>
      </c>
      <c r="H9323" t="n">
        <v>0</v>
      </c>
      <c r="I9323" t="n">
        <v>0</v>
      </c>
      <c r="J9323" t="n">
        <v>0</v>
      </c>
      <c r="K9323" t="n">
        <v>0</v>
      </c>
      <c r="L9323" t="n">
        <v>0</v>
      </c>
      <c r="M9323" t="n">
        <v>0</v>
      </c>
      <c r="N9323" t="n">
        <v>0</v>
      </c>
      <c r="O9323" t="n">
        <v>0</v>
      </c>
      <c r="P9323" t="n">
        <v>0</v>
      </c>
      <c r="Q9323" t="n">
        <v>0</v>
      </c>
      <c r="R9323" s="2" t="inlineStr"/>
    </row>
    <row r="9324" ht="15" customHeight="1">
      <c r="A9324" t="inlineStr">
        <is>
          <t>A 57298-2025</t>
        </is>
      </c>
      <c r="B9324" s="1" t="n">
        <v>45979</v>
      </c>
      <c r="C9324" s="1" t="n">
        <v>46075</v>
      </c>
      <c r="D9324" t="inlineStr">
        <is>
          <t>VÄSTERBOTTENS LÄN</t>
        </is>
      </c>
      <c r="E9324" t="inlineStr">
        <is>
          <t>LYCKSELE</t>
        </is>
      </c>
      <c r="G9324" t="n">
        <v>0.4</v>
      </c>
      <c r="H9324" t="n">
        <v>0</v>
      </c>
      <c r="I9324" t="n">
        <v>0</v>
      </c>
      <c r="J9324" t="n">
        <v>0</v>
      </c>
      <c r="K9324" t="n">
        <v>0</v>
      </c>
      <c r="L9324" t="n">
        <v>0</v>
      </c>
      <c r="M9324" t="n">
        <v>0</v>
      </c>
      <c r="N9324" t="n">
        <v>0</v>
      </c>
      <c r="O9324" t="n">
        <v>0</v>
      </c>
      <c r="P9324" t="n">
        <v>0</v>
      </c>
      <c r="Q9324" t="n">
        <v>0</v>
      </c>
      <c r="R9324" s="2" t="inlineStr"/>
    </row>
    <row r="9325" ht="15" customHeight="1">
      <c r="A9325" t="inlineStr">
        <is>
          <t>A 63191-2025</t>
        </is>
      </c>
      <c r="B9325" s="1" t="n">
        <v>46010.45041666667</v>
      </c>
      <c r="C9325" s="1" t="n">
        <v>46075</v>
      </c>
      <c r="D9325" t="inlineStr">
        <is>
          <t>VÄSTERBOTTENS LÄN</t>
        </is>
      </c>
      <c r="E9325" t="inlineStr">
        <is>
          <t>BJURHOLM</t>
        </is>
      </c>
      <c r="G9325" t="n">
        <v>7.1</v>
      </c>
      <c r="H9325" t="n">
        <v>0</v>
      </c>
      <c r="I9325" t="n">
        <v>0</v>
      </c>
      <c r="J9325" t="n">
        <v>0</v>
      </c>
      <c r="K9325" t="n">
        <v>0</v>
      </c>
      <c r="L9325" t="n">
        <v>0</v>
      </c>
      <c r="M9325" t="n">
        <v>0</v>
      </c>
      <c r="N9325" t="n">
        <v>0</v>
      </c>
      <c r="O9325" t="n">
        <v>0</v>
      </c>
      <c r="P9325" t="n">
        <v>0</v>
      </c>
      <c r="Q9325" t="n">
        <v>0</v>
      </c>
      <c r="R9325" s="2" t="inlineStr"/>
    </row>
    <row r="9326" ht="15" customHeight="1">
      <c r="A9326" t="inlineStr">
        <is>
          <t>A 29640-2023</t>
        </is>
      </c>
      <c r="B9326" s="1" t="n">
        <v>45106</v>
      </c>
      <c r="C9326" s="1" t="n">
        <v>46075</v>
      </c>
      <c r="D9326" t="inlineStr">
        <is>
          <t>VÄSTERBOTTENS LÄN</t>
        </is>
      </c>
      <c r="E9326" t="inlineStr">
        <is>
          <t>UMEÅ</t>
        </is>
      </c>
      <c r="G9326" t="n">
        <v>0.8</v>
      </c>
      <c r="H9326" t="n">
        <v>0</v>
      </c>
      <c r="I9326" t="n">
        <v>0</v>
      </c>
      <c r="J9326" t="n">
        <v>0</v>
      </c>
      <c r="K9326" t="n">
        <v>0</v>
      </c>
      <c r="L9326" t="n">
        <v>0</v>
      </c>
      <c r="M9326" t="n">
        <v>0</v>
      </c>
      <c r="N9326" t="n">
        <v>0</v>
      </c>
      <c r="O9326" t="n">
        <v>0</v>
      </c>
      <c r="P9326" t="n">
        <v>0</v>
      </c>
      <c r="Q9326" t="n">
        <v>0</v>
      </c>
      <c r="R9326" s="2" t="inlineStr"/>
    </row>
    <row r="9327" ht="15" customHeight="1">
      <c r="A9327" t="inlineStr">
        <is>
          <t>A 6191-2026</t>
        </is>
      </c>
      <c r="B9327" s="1" t="n">
        <v>46055.38575231482</v>
      </c>
      <c r="C9327" s="1" t="n">
        <v>46075</v>
      </c>
      <c r="D9327" t="inlineStr">
        <is>
          <t>VÄSTERBOTTENS LÄN</t>
        </is>
      </c>
      <c r="E9327" t="inlineStr">
        <is>
          <t>BJURHOLM</t>
        </is>
      </c>
      <c r="G9327" t="n">
        <v>2.7</v>
      </c>
      <c r="H9327" t="n">
        <v>0</v>
      </c>
      <c r="I9327" t="n">
        <v>0</v>
      </c>
      <c r="J9327" t="n">
        <v>0</v>
      </c>
      <c r="K9327" t="n">
        <v>0</v>
      </c>
      <c r="L9327" t="n">
        <v>0</v>
      </c>
      <c r="M9327" t="n">
        <v>0</v>
      </c>
      <c r="N9327" t="n">
        <v>0</v>
      </c>
      <c r="O9327" t="n">
        <v>0</v>
      </c>
      <c r="P9327" t="n">
        <v>0</v>
      </c>
      <c r="Q9327" t="n">
        <v>0</v>
      </c>
      <c r="R9327" s="2" t="inlineStr"/>
    </row>
    <row r="9328" ht="15" customHeight="1">
      <c r="A9328" t="inlineStr">
        <is>
          <t>A 6265-2026</t>
        </is>
      </c>
      <c r="B9328" s="1" t="n">
        <v>46055.48990740741</v>
      </c>
      <c r="C9328" s="1" t="n">
        <v>46075</v>
      </c>
      <c r="D9328" t="inlineStr">
        <is>
          <t>VÄSTERBOTTENS LÄN</t>
        </is>
      </c>
      <c r="E9328" t="inlineStr">
        <is>
          <t>VILHELMINA</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63192-2025</t>
        </is>
      </c>
      <c r="B9329" s="1" t="n">
        <v>46010</v>
      </c>
      <c r="C9329" s="1" t="n">
        <v>46075</v>
      </c>
      <c r="D9329" t="inlineStr">
        <is>
          <t>VÄSTERBOTTENS LÄN</t>
        </is>
      </c>
      <c r="E9329" t="inlineStr">
        <is>
          <t>BJURHOLM</t>
        </is>
      </c>
      <c r="G9329" t="n">
        <v>6.7</v>
      </c>
      <c r="H9329" t="n">
        <v>0</v>
      </c>
      <c r="I9329" t="n">
        <v>0</v>
      </c>
      <c r="J9329" t="n">
        <v>0</v>
      </c>
      <c r="K9329" t="n">
        <v>0</v>
      </c>
      <c r="L9329" t="n">
        <v>0</v>
      </c>
      <c r="M9329" t="n">
        <v>0</v>
      </c>
      <c r="N9329" t="n">
        <v>0</v>
      </c>
      <c r="O9329" t="n">
        <v>0</v>
      </c>
      <c r="P9329" t="n">
        <v>0</v>
      </c>
      <c r="Q9329" t="n">
        <v>0</v>
      </c>
      <c r="R9329" s="2" t="inlineStr"/>
    </row>
    <row r="9330" ht="15" customHeight="1">
      <c r="A9330" t="inlineStr">
        <is>
          <t>A 56719-2025</t>
        </is>
      </c>
      <c r="B9330" s="1" t="n">
        <v>45975</v>
      </c>
      <c r="C9330" s="1" t="n">
        <v>46075</v>
      </c>
      <c r="D9330" t="inlineStr">
        <is>
          <t>VÄSTERBOTTENS LÄN</t>
        </is>
      </c>
      <c r="E9330" t="inlineStr">
        <is>
          <t>SKELLEFTEÅ</t>
        </is>
      </c>
      <c r="G9330" t="n">
        <v>2.5</v>
      </c>
      <c r="H9330" t="n">
        <v>0</v>
      </c>
      <c r="I9330" t="n">
        <v>0</v>
      </c>
      <c r="J9330" t="n">
        <v>0</v>
      </c>
      <c r="K9330" t="n">
        <v>0</v>
      </c>
      <c r="L9330" t="n">
        <v>0</v>
      </c>
      <c r="M9330" t="n">
        <v>0</v>
      </c>
      <c r="N9330" t="n">
        <v>0</v>
      </c>
      <c r="O9330" t="n">
        <v>0</v>
      </c>
      <c r="P9330" t="n">
        <v>0</v>
      </c>
      <c r="Q9330" t="n">
        <v>0</v>
      </c>
      <c r="R9330" s="2" t="inlineStr"/>
    </row>
    <row r="9331" ht="15" customHeight="1">
      <c r="A9331" t="inlineStr">
        <is>
          <t>A 2893-2025</t>
        </is>
      </c>
      <c r="B9331" s="1" t="n">
        <v>45677</v>
      </c>
      <c r="C9331" s="1" t="n">
        <v>46075</v>
      </c>
      <c r="D9331" t="inlineStr">
        <is>
          <t>VÄSTERBOTTENS LÄN</t>
        </is>
      </c>
      <c r="E9331" t="inlineStr">
        <is>
          <t>ÅSELE</t>
        </is>
      </c>
      <c r="G9331" t="n">
        <v>2.9</v>
      </c>
      <c r="H9331" t="n">
        <v>0</v>
      </c>
      <c r="I9331" t="n">
        <v>0</v>
      </c>
      <c r="J9331" t="n">
        <v>0</v>
      </c>
      <c r="K9331" t="n">
        <v>0</v>
      </c>
      <c r="L9331" t="n">
        <v>0</v>
      </c>
      <c r="M9331" t="n">
        <v>0</v>
      </c>
      <c r="N9331" t="n">
        <v>0</v>
      </c>
      <c r="O9331" t="n">
        <v>0</v>
      </c>
      <c r="P9331" t="n">
        <v>0</v>
      </c>
      <c r="Q9331" t="n">
        <v>0</v>
      </c>
      <c r="R9331" s="2" t="inlineStr"/>
    </row>
    <row r="9332" ht="15" customHeight="1">
      <c r="A9332" t="inlineStr">
        <is>
          <t>A 6335-2026</t>
        </is>
      </c>
      <c r="B9332" s="1" t="n">
        <v>46055.59488425926</v>
      </c>
      <c r="C9332" s="1" t="n">
        <v>46075</v>
      </c>
      <c r="D9332" t="inlineStr">
        <is>
          <t>VÄSTERBOTTENS LÄN</t>
        </is>
      </c>
      <c r="E9332" t="inlineStr">
        <is>
          <t>ÅSELE</t>
        </is>
      </c>
      <c r="F9332" t="inlineStr">
        <is>
          <t>SCA</t>
        </is>
      </c>
      <c r="G9332" t="n">
        <v>5.9</v>
      </c>
      <c r="H9332" t="n">
        <v>0</v>
      </c>
      <c r="I9332" t="n">
        <v>0</v>
      </c>
      <c r="J9332" t="n">
        <v>0</v>
      </c>
      <c r="K9332" t="n">
        <v>0</v>
      </c>
      <c r="L9332" t="n">
        <v>0</v>
      </c>
      <c r="M9332" t="n">
        <v>0</v>
      </c>
      <c r="N9332" t="n">
        <v>0</v>
      </c>
      <c r="O9332" t="n">
        <v>0</v>
      </c>
      <c r="P9332" t="n">
        <v>0</v>
      </c>
      <c r="Q9332" t="n">
        <v>0</v>
      </c>
      <c r="R9332" s="2" t="inlineStr"/>
    </row>
    <row r="9333" ht="15" customHeight="1">
      <c r="A9333" t="inlineStr">
        <is>
          <t>A 2942-2025</t>
        </is>
      </c>
      <c r="B9333" s="1" t="n">
        <v>45678.39038194445</v>
      </c>
      <c r="C9333" s="1" t="n">
        <v>46075</v>
      </c>
      <c r="D9333" t="inlineStr">
        <is>
          <t>VÄSTERBOTTENS LÄN</t>
        </is>
      </c>
      <c r="E9333" t="inlineStr">
        <is>
          <t>VÄNNÄS</t>
        </is>
      </c>
      <c r="G9333" t="n">
        <v>2.4</v>
      </c>
      <c r="H9333" t="n">
        <v>0</v>
      </c>
      <c r="I9333" t="n">
        <v>0</v>
      </c>
      <c r="J9333" t="n">
        <v>0</v>
      </c>
      <c r="K9333" t="n">
        <v>0</v>
      </c>
      <c r="L9333" t="n">
        <v>0</v>
      </c>
      <c r="M9333" t="n">
        <v>0</v>
      </c>
      <c r="N9333" t="n">
        <v>0</v>
      </c>
      <c r="O9333" t="n">
        <v>0</v>
      </c>
      <c r="P9333" t="n">
        <v>0</v>
      </c>
      <c r="Q9333" t="n">
        <v>0</v>
      </c>
      <c r="R9333" s="2" t="inlineStr"/>
    </row>
    <row r="9334" ht="15" customHeight="1">
      <c r="A9334" t="inlineStr">
        <is>
          <t>A 6185-2026</t>
        </is>
      </c>
      <c r="B9334" s="1" t="n">
        <v>46055.36503472222</v>
      </c>
      <c r="C9334" s="1" t="n">
        <v>46075</v>
      </c>
      <c r="D9334" t="inlineStr">
        <is>
          <t>VÄSTERBOTTENS LÄN</t>
        </is>
      </c>
      <c r="E9334" t="inlineStr">
        <is>
          <t>ÅSELE</t>
        </is>
      </c>
      <c r="F9334" t="inlineStr">
        <is>
          <t>SCA</t>
        </is>
      </c>
      <c r="G9334" t="n">
        <v>6.4</v>
      </c>
      <c r="H9334" t="n">
        <v>0</v>
      </c>
      <c r="I9334" t="n">
        <v>0</v>
      </c>
      <c r="J9334" t="n">
        <v>0</v>
      </c>
      <c r="K9334" t="n">
        <v>0</v>
      </c>
      <c r="L9334" t="n">
        <v>0</v>
      </c>
      <c r="M9334" t="n">
        <v>0</v>
      </c>
      <c r="N9334" t="n">
        <v>0</v>
      </c>
      <c r="O9334" t="n">
        <v>0</v>
      </c>
      <c r="P9334" t="n">
        <v>0</v>
      </c>
      <c r="Q9334" t="n">
        <v>0</v>
      </c>
      <c r="R9334" s="2" t="inlineStr"/>
    </row>
    <row r="9335" ht="15" customHeight="1">
      <c r="A9335" t="inlineStr">
        <is>
          <t>A 6201-2026</t>
        </is>
      </c>
      <c r="B9335" s="1" t="n">
        <v>46055.40685185185</v>
      </c>
      <c r="C9335" s="1" t="n">
        <v>46075</v>
      </c>
      <c r="D9335" t="inlineStr">
        <is>
          <t>VÄSTERBOTTENS LÄN</t>
        </is>
      </c>
      <c r="E9335" t="inlineStr">
        <is>
          <t>VILHELMINA</t>
        </is>
      </c>
      <c r="G9335" t="n">
        <v>2.8</v>
      </c>
      <c r="H9335" t="n">
        <v>0</v>
      </c>
      <c r="I9335" t="n">
        <v>0</v>
      </c>
      <c r="J9335" t="n">
        <v>0</v>
      </c>
      <c r="K9335" t="n">
        <v>0</v>
      </c>
      <c r="L9335" t="n">
        <v>0</v>
      </c>
      <c r="M9335" t="n">
        <v>0</v>
      </c>
      <c r="N9335" t="n">
        <v>0</v>
      </c>
      <c r="O9335" t="n">
        <v>0</v>
      </c>
      <c r="P9335" t="n">
        <v>0</v>
      </c>
      <c r="Q9335" t="n">
        <v>0</v>
      </c>
      <c r="R9335" s="2" t="inlineStr"/>
    </row>
    <row r="9336" ht="15" customHeight="1">
      <c r="A9336" t="inlineStr">
        <is>
          <t>A 5758-2026</t>
        </is>
      </c>
      <c r="B9336" s="1" t="n">
        <v>46051</v>
      </c>
      <c r="C9336" s="1" t="n">
        <v>46075</v>
      </c>
      <c r="D9336" t="inlineStr">
        <is>
          <t>VÄSTERBOTTENS LÄN</t>
        </is>
      </c>
      <c r="E9336" t="inlineStr">
        <is>
          <t>DOROTEA</t>
        </is>
      </c>
      <c r="F9336" t="inlineStr">
        <is>
          <t>SCA</t>
        </is>
      </c>
      <c r="G9336" t="n">
        <v>2.6</v>
      </c>
      <c r="H9336" t="n">
        <v>0</v>
      </c>
      <c r="I9336" t="n">
        <v>0</v>
      </c>
      <c r="J9336" t="n">
        <v>0</v>
      </c>
      <c r="K9336" t="n">
        <v>0</v>
      </c>
      <c r="L9336" t="n">
        <v>0</v>
      </c>
      <c r="M9336" t="n">
        <v>0</v>
      </c>
      <c r="N9336" t="n">
        <v>0</v>
      </c>
      <c r="O9336" t="n">
        <v>0</v>
      </c>
      <c r="P9336" t="n">
        <v>0</v>
      </c>
      <c r="Q9336" t="n">
        <v>0</v>
      </c>
      <c r="R9336" s="2" t="inlineStr"/>
    </row>
    <row r="9337" ht="15" customHeight="1">
      <c r="A9337" t="inlineStr">
        <is>
          <t>A 33792-2024</t>
        </is>
      </c>
      <c r="B9337" s="1" t="n">
        <v>45520</v>
      </c>
      <c r="C9337" s="1" t="n">
        <v>46075</v>
      </c>
      <c r="D9337" t="inlineStr">
        <is>
          <t>VÄSTERBOTTENS LÄN</t>
        </is>
      </c>
      <c r="E9337" t="inlineStr">
        <is>
          <t>SKELLEFTEÅ</t>
        </is>
      </c>
      <c r="G9337" t="n">
        <v>1.8</v>
      </c>
      <c r="H9337" t="n">
        <v>0</v>
      </c>
      <c r="I9337" t="n">
        <v>0</v>
      </c>
      <c r="J9337" t="n">
        <v>0</v>
      </c>
      <c r="K9337" t="n">
        <v>0</v>
      </c>
      <c r="L9337" t="n">
        <v>0</v>
      </c>
      <c r="M9337" t="n">
        <v>0</v>
      </c>
      <c r="N9337" t="n">
        <v>0</v>
      </c>
      <c r="O9337" t="n">
        <v>0</v>
      </c>
      <c r="P9337" t="n">
        <v>0</v>
      </c>
      <c r="Q9337" t="n">
        <v>0</v>
      </c>
      <c r="R9337" s="2" t="inlineStr"/>
    </row>
    <row r="9338" ht="15" customHeight="1">
      <c r="A9338" t="inlineStr">
        <is>
          <t>A 55697-2024</t>
        </is>
      </c>
      <c r="B9338" s="1" t="n">
        <v>45622</v>
      </c>
      <c r="C9338" s="1" t="n">
        <v>46075</v>
      </c>
      <c r="D9338" t="inlineStr">
        <is>
          <t>VÄSTERBOTTENS LÄN</t>
        </is>
      </c>
      <c r="E9338" t="inlineStr">
        <is>
          <t>VILHELMINA</t>
        </is>
      </c>
      <c r="G9338" t="n">
        <v>3.2</v>
      </c>
      <c r="H9338" t="n">
        <v>0</v>
      </c>
      <c r="I9338" t="n">
        <v>0</v>
      </c>
      <c r="J9338" t="n">
        <v>0</v>
      </c>
      <c r="K9338" t="n">
        <v>0</v>
      </c>
      <c r="L9338" t="n">
        <v>0</v>
      </c>
      <c r="M9338" t="n">
        <v>0</v>
      </c>
      <c r="N9338" t="n">
        <v>0</v>
      </c>
      <c r="O9338" t="n">
        <v>0</v>
      </c>
      <c r="P9338" t="n">
        <v>0</v>
      </c>
      <c r="Q9338" t="n">
        <v>0</v>
      </c>
      <c r="R9338" s="2" t="inlineStr"/>
    </row>
    <row r="9339" ht="15" customHeight="1">
      <c r="A9339" t="inlineStr">
        <is>
          <t>A 63298-2025</t>
        </is>
      </c>
      <c r="B9339" s="1" t="n">
        <v>46010.60195601852</v>
      </c>
      <c r="C9339" s="1" t="n">
        <v>46075</v>
      </c>
      <c r="D9339" t="inlineStr">
        <is>
          <t>VÄSTERBOTTENS LÄN</t>
        </is>
      </c>
      <c r="E9339" t="inlineStr">
        <is>
          <t>VINDELN</t>
        </is>
      </c>
      <c r="G9339" t="n">
        <v>10.2</v>
      </c>
      <c r="H9339" t="n">
        <v>0</v>
      </c>
      <c r="I9339" t="n">
        <v>0</v>
      </c>
      <c r="J9339" t="n">
        <v>0</v>
      </c>
      <c r="K9339" t="n">
        <v>0</v>
      </c>
      <c r="L9339" t="n">
        <v>0</v>
      </c>
      <c r="M9339" t="n">
        <v>0</v>
      </c>
      <c r="N9339" t="n">
        <v>0</v>
      </c>
      <c r="O9339" t="n">
        <v>0</v>
      </c>
      <c r="P9339" t="n">
        <v>0</v>
      </c>
      <c r="Q9339" t="n">
        <v>0</v>
      </c>
      <c r="R9339" s="2" t="inlineStr"/>
    </row>
    <row r="9340" ht="15" customHeight="1">
      <c r="A9340" t="inlineStr">
        <is>
          <t>A 63306-2025</t>
        </is>
      </c>
      <c r="B9340" s="1" t="n">
        <v>46010.61240740741</v>
      </c>
      <c r="C9340" s="1" t="n">
        <v>46075</v>
      </c>
      <c r="D9340" t="inlineStr">
        <is>
          <t>VÄSTERBOTTENS LÄN</t>
        </is>
      </c>
      <c r="E9340" t="inlineStr">
        <is>
          <t>SKELLEFTEÅ</t>
        </is>
      </c>
      <c r="G9340" t="n">
        <v>11.5</v>
      </c>
      <c r="H9340" t="n">
        <v>0</v>
      </c>
      <c r="I9340" t="n">
        <v>0</v>
      </c>
      <c r="J9340" t="n">
        <v>0</v>
      </c>
      <c r="K9340" t="n">
        <v>0</v>
      </c>
      <c r="L9340" t="n">
        <v>0</v>
      </c>
      <c r="M9340" t="n">
        <v>0</v>
      </c>
      <c r="N9340" t="n">
        <v>0</v>
      </c>
      <c r="O9340" t="n">
        <v>0</v>
      </c>
      <c r="P9340" t="n">
        <v>0</v>
      </c>
      <c r="Q9340" t="n">
        <v>0</v>
      </c>
      <c r="R9340" s="2" t="inlineStr"/>
    </row>
    <row r="9341" ht="15" customHeight="1">
      <c r="A9341" t="inlineStr">
        <is>
          <t>A 63203-2025</t>
        </is>
      </c>
      <c r="B9341" s="1" t="n">
        <v>46010.46840277778</v>
      </c>
      <c r="C9341" s="1" t="n">
        <v>46075</v>
      </c>
      <c r="D9341" t="inlineStr">
        <is>
          <t>VÄSTERBOTTENS LÄN</t>
        </is>
      </c>
      <c r="E9341" t="inlineStr">
        <is>
          <t>SKELLEFTEÅ</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27631-2022</t>
        </is>
      </c>
      <c r="B9342" s="1" t="n">
        <v>44743</v>
      </c>
      <c r="C9342" s="1" t="n">
        <v>46075</v>
      </c>
      <c r="D9342" t="inlineStr">
        <is>
          <t>VÄSTERBOTTENS LÄN</t>
        </is>
      </c>
      <c r="E9342" t="inlineStr">
        <is>
          <t>SKELLEFTEÅ</t>
        </is>
      </c>
      <c r="G9342" t="n">
        <v>0.4</v>
      </c>
      <c r="H9342" t="n">
        <v>0</v>
      </c>
      <c r="I9342" t="n">
        <v>0</v>
      </c>
      <c r="J9342" t="n">
        <v>0</v>
      </c>
      <c r="K9342" t="n">
        <v>0</v>
      </c>
      <c r="L9342" t="n">
        <v>0</v>
      </c>
      <c r="M9342" t="n">
        <v>0</v>
      </c>
      <c r="N9342" t="n">
        <v>0</v>
      </c>
      <c r="O9342" t="n">
        <v>0</v>
      </c>
      <c r="P9342" t="n">
        <v>0</v>
      </c>
      <c r="Q9342" t="n">
        <v>0</v>
      </c>
      <c r="R9342" s="2" t="inlineStr"/>
    </row>
    <row r="9343" ht="15" customHeight="1">
      <c r="A9343" t="inlineStr">
        <is>
          <t>A 22531-2025</t>
        </is>
      </c>
      <c r="B9343" s="1" t="n">
        <v>45786</v>
      </c>
      <c r="C9343" s="1" t="n">
        <v>46075</v>
      </c>
      <c r="D9343" t="inlineStr">
        <is>
          <t>VÄSTERBOTTENS LÄN</t>
        </is>
      </c>
      <c r="E9343" t="inlineStr">
        <is>
          <t>SKELLEFTEÅ</t>
        </is>
      </c>
      <c r="G9343" t="n">
        <v>7.3</v>
      </c>
      <c r="H9343" t="n">
        <v>0</v>
      </c>
      <c r="I9343" t="n">
        <v>0</v>
      </c>
      <c r="J9343" t="n">
        <v>0</v>
      </c>
      <c r="K9343" t="n">
        <v>0</v>
      </c>
      <c r="L9343" t="n">
        <v>0</v>
      </c>
      <c r="M9343" t="n">
        <v>0</v>
      </c>
      <c r="N9343" t="n">
        <v>0</v>
      </c>
      <c r="O9343" t="n">
        <v>0</v>
      </c>
      <c r="P9343" t="n">
        <v>0</v>
      </c>
      <c r="Q9343" t="n">
        <v>0</v>
      </c>
      <c r="R9343" s="2" t="inlineStr"/>
    </row>
    <row r="9344" ht="15" customHeight="1">
      <c r="A9344" t="inlineStr">
        <is>
          <t>A 59777-2024</t>
        </is>
      </c>
      <c r="B9344" s="1" t="n">
        <v>45638</v>
      </c>
      <c r="C9344" s="1" t="n">
        <v>46075</v>
      </c>
      <c r="D9344" t="inlineStr">
        <is>
          <t>VÄSTERBOTTENS LÄN</t>
        </is>
      </c>
      <c r="E9344" t="inlineStr">
        <is>
          <t>STORUMAN</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23532-2023</t>
        </is>
      </c>
      <c r="B9345" s="1" t="n">
        <v>45076.94684027778</v>
      </c>
      <c r="C9345" s="1" t="n">
        <v>46075</v>
      </c>
      <c r="D9345" t="inlineStr">
        <is>
          <t>VÄSTERBOTTENS LÄN</t>
        </is>
      </c>
      <c r="E9345" t="inlineStr">
        <is>
          <t>VINDELN</t>
        </is>
      </c>
      <c r="F9345" t="inlineStr">
        <is>
          <t>SCA</t>
        </is>
      </c>
      <c r="G9345" t="n">
        <v>8.6</v>
      </c>
      <c r="H9345" t="n">
        <v>0</v>
      </c>
      <c r="I9345" t="n">
        <v>0</v>
      </c>
      <c r="J9345" t="n">
        <v>0</v>
      </c>
      <c r="K9345" t="n">
        <v>0</v>
      </c>
      <c r="L9345" t="n">
        <v>0</v>
      </c>
      <c r="M9345" t="n">
        <v>0</v>
      </c>
      <c r="N9345" t="n">
        <v>0</v>
      </c>
      <c r="O9345" t="n">
        <v>0</v>
      </c>
      <c r="P9345" t="n">
        <v>0</v>
      </c>
      <c r="Q9345" t="n">
        <v>0</v>
      </c>
      <c r="R9345" s="2" t="inlineStr"/>
    </row>
    <row r="9346" ht="15" customHeight="1">
      <c r="A9346" t="inlineStr">
        <is>
          <t>A 63574-2025</t>
        </is>
      </c>
      <c r="B9346" s="1" t="n">
        <v>46013.66307870371</v>
      </c>
      <c r="C9346" s="1" t="n">
        <v>46075</v>
      </c>
      <c r="D9346" t="inlineStr">
        <is>
          <t>VÄSTERBOTTENS LÄN</t>
        </is>
      </c>
      <c r="E9346" t="inlineStr">
        <is>
          <t>VÄNNÄS</t>
        </is>
      </c>
      <c r="G9346" t="n">
        <v>2</v>
      </c>
      <c r="H9346" t="n">
        <v>0</v>
      </c>
      <c r="I9346" t="n">
        <v>0</v>
      </c>
      <c r="J9346" t="n">
        <v>0</v>
      </c>
      <c r="K9346" t="n">
        <v>0</v>
      </c>
      <c r="L9346" t="n">
        <v>0</v>
      </c>
      <c r="M9346" t="n">
        <v>0</v>
      </c>
      <c r="N9346" t="n">
        <v>0</v>
      </c>
      <c r="O9346" t="n">
        <v>0</v>
      </c>
      <c r="P9346" t="n">
        <v>0</v>
      </c>
      <c r="Q9346" t="n">
        <v>0</v>
      </c>
      <c r="R9346" s="2" t="inlineStr"/>
    </row>
    <row r="9347" ht="15" customHeight="1">
      <c r="A9347" t="inlineStr">
        <is>
          <t>A 35792-2023</t>
        </is>
      </c>
      <c r="B9347" s="1" t="n">
        <v>45147</v>
      </c>
      <c r="C9347" s="1" t="n">
        <v>46075</v>
      </c>
      <c r="D9347" t="inlineStr">
        <is>
          <t>VÄSTERBOTTENS LÄN</t>
        </is>
      </c>
      <c r="E9347" t="inlineStr">
        <is>
          <t>NORDMALING</t>
        </is>
      </c>
      <c r="G9347" t="n">
        <v>1.8</v>
      </c>
      <c r="H9347" t="n">
        <v>0</v>
      </c>
      <c r="I9347" t="n">
        <v>0</v>
      </c>
      <c r="J9347" t="n">
        <v>0</v>
      </c>
      <c r="K9347" t="n">
        <v>0</v>
      </c>
      <c r="L9347" t="n">
        <v>0</v>
      </c>
      <c r="M9347" t="n">
        <v>0</v>
      </c>
      <c r="N9347" t="n">
        <v>0</v>
      </c>
      <c r="O9347" t="n">
        <v>0</v>
      </c>
      <c r="P9347" t="n">
        <v>0</v>
      </c>
      <c r="Q9347" t="n">
        <v>0</v>
      </c>
      <c r="R9347" s="2" t="inlineStr"/>
    </row>
    <row r="9348" ht="15" customHeight="1">
      <c r="A9348" t="inlineStr">
        <is>
          <t>A 49239-2025</t>
        </is>
      </c>
      <c r="B9348" s="1" t="n">
        <v>45937</v>
      </c>
      <c r="C9348" s="1" t="n">
        <v>46075</v>
      </c>
      <c r="D9348" t="inlineStr">
        <is>
          <t>VÄSTERBOTTENS LÄN</t>
        </is>
      </c>
      <c r="E9348" t="inlineStr">
        <is>
          <t>SKELLEFTEÅ</t>
        </is>
      </c>
      <c r="G9348" t="n">
        <v>2.8</v>
      </c>
      <c r="H9348" t="n">
        <v>0</v>
      </c>
      <c r="I9348" t="n">
        <v>0</v>
      </c>
      <c r="J9348" t="n">
        <v>0</v>
      </c>
      <c r="K9348" t="n">
        <v>0</v>
      </c>
      <c r="L9348" t="n">
        <v>0</v>
      </c>
      <c r="M9348" t="n">
        <v>0</v>
      </c>
      <c r="N9348" t="n">
        <v>0</v>
      </c>
      <c r="O9348" t="n">
        <v>0</v>
      </c>
      <c r="P9348" t="n">
        <v>0</v>
      </c>
      <c r="Q9348" t="n">
        <v>0</v>
      </c>
      <c r="R9348" s="2" t="inlineStr"/>
    </row>
    <row r="9349" ht="15" customHeight="1">
      <c r="A9349" t="inlineStr">
        <is>
          <t>A 49242-2025</t>
        </is>
      </c>
      <c r="B9349" s="1" t="n">
        <v>45937</v>
      </c>
      <c r="C9349" s="1" t="n">
        <v>46075</v>
      </c>
      <c r="D9349" t="inlineStr">
        <is>
          <t>VÄSTERBOTTENS LÄN</t>
        </is>
      </c>
      <c r="E9349" t="inlineStr">
        <is>
          <t>SKELLEFTEÅ</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54459-2024</t>
        </is>
      </c>
      <c r="B9350" s="1" t="n">
        <v>45617</v>
      </c>
      <c r="C9350" s="1" t="n">
        <v>46075</v>
      </c>
      <c r="D9350" t="inlineStr">
        <is>
          <t>VÄSTERBOTTENS LÄN</t>
        </is>
      </c>
      <c r="E9350" t="inlineStr">
        <is>
          <t>VILHELMINA</t>
        </is>
      </c>
      <c r="F9350" t="inlineStr">
        <is>
          <t>SCA</t>
        </is>
      </c>
      <c r="G9350" t="n">
        <v>2</v>
      </c>
      <c r="H9350" t="n">
        <v>0</v>
      </c>
      <c r="I9350" t="n">
        <v>0</v>
      </c>
      <c r="J9350" t="n">
        <v>0</v>
      </c>
      <c r="K9350" t="n">
        <v>0</v>
      </c>
      <c r="L9350" t="n">
        <v>0</v>
      </c>
      <c r="M9350" t="n">
        <v>0</v>
      </c>
      <c r="N9350" t="n">
        <v>0</v>
      </c>
      <c r="O9350" t="n">
        <v>0</v>
      </c>
      <c r="P9350" t="n">
        <v>0</v>
      </c>
      <c r="Q9350" t="n">
        <v>0</v>
      </c>
      <c r="R9350" s="2" t="inlineStr"/>
    </row>
    <row r="9351" ht="15" customHeight="1">
      <c r="A9351" t="inlineStr">
        <is>
          <t>A 56203-2023</t>
        </is>
      </c>
      <c r="B9351" s="1" t="n">
        <v>45240</v>
      </c>
      <c r="C9351" s="1" t="n">
        <v>46075</v>
      </c>
      <c r="D9351" t="inlineStr">
        <is>
          <t>VÄSTERBOTTENS LÄN</t>
        </is>
      </c>
      <c r="E9351" t="inlineStr">
        <is>
          <t>SKELLEFTEÅ</t>
        </is>
      </c>
      <c r="F9351" t="inlineStr">
        <is>
          <t>Holmen skog AB</t>
        </is>
      </c>
      <c r="G9351" t="n">
        <v>29</v>
      </c>
      <c r="H9351" t="n">
        <v>0</v>
      </c>
      <c r="I9351" t="n">
        <v>0</v>
      </c>
      <c r="J9351" t="n">
        <v>0</v>
      </c>
      <c r="K9351" t="n">
        <v>0</v>
      </c>
      <c r="L9351" t="n">
        <v>0</v>
      </c>
      <c r="M9351" t="n">
        <v>0</v>
      </c>
      <c r="N9351" t="n">
        <v>0</v>
      </c>
      <c r="O9351" t="n">
        <v>0</v>
      </c>
      <c r="P9351" t="n">
        <v>0</v>
      </c>
      <c r="Q9351" t="n">
        <v>0</v>
      </c>
      <c r="R9351" s="2" t="inlineStr"/>
    </row>
    <row r="9352" ht="15" customHeight="1">
      <c r="A9352" t="inlineStr">
        <is>
          <t>A 11091-2025</t>
        </is>
      </c>
      <c r="B9352" s="1" t="n">
        <v>45723.57409722222</v>
      </c>
      <c r="C9352" s="1" t="n">
        <v>46075</v>
      </c>
      <c r="D9352" t="inlineStr">
        <is>
          <t>VÄSTERBOTTENS LÄN</t>
        </is>
      </c>
      <c r="E9352" t="inlineStr">
        <is>
          <t>DOROTEA</t>
        </is>
      </c>
      <c r="F9352" t="inlineStr">
        <is>
          <t>SCA</t>
        </is>
      </c>
      <c r="G9352" t="n">
        <v>18.6</v>
      </c>
      <c r="H9352" t="n">
        <v>0</v>
      </c>
      <c r="I9352" t="n">
        <v>0</v>
      </c>
      <c r="J9352" t="n">
        <v>0</v>
      </c>
      <c r="K9352" t="n">
        <v>0</v>
      </c>
      <c r="L9352" t="n">
        <v>0</v>
      </c>
      <c r="M9352" t="n">
        <v>0</v>
      </c>
      <c r="N9352" t="n">
        <v>0</v>
      </c>
      <c r="O9352" t="n">
        <v>0</v>
      </c>
      <c r="P9352" t="n">
        <v>0</v>
      </c>
      <c r="Q9352" t="n">
        <v>0</v>
      </c>
      <c r="R9352" s="2" t="inlineStr"/>
    </row>
    <row r="9353" ht="15" customHeight="1">
      <c r="A9353" t="inlineStr">
        <is>
          <t>A 35797-2023</t>
        </is>
      </c>
      <c r="B9353" s="1" t="n">
        <v>45147</v>
      </c>
      <c r="C9353" s="1" t="n">
        <v>46075</v>
      </c>
      <c r="D9353" t="inlineStr">
        <is>
          <t>VÄSTERBOTTENS LÄN</t>
        </is>
      </c>
      <c r="E9353" t="inlineStr">
        <is>
          <t>NORDMALING</t>
        </is>
      </c>
      <c r="G9353" t="n">
        <v>3.2</v>
      </c>
      <c r="H9353" t="n">
        <v>0</v>
      </c>
      <c r="I9353" t="n">
        <v>0</v>
      </c>
      <c r="J9353" t="n">
        <v>0</v>
      </c>
      <c r="K9353" t="n">
        <v>0</v>
      </c>
      <c r="L9353" t="n">
        <v>0</v>
      </c>
      <c r="M9353" t="n">
        <v>0</v>
      </c>
      <c r="N9353" t="n">
        <v>0</v>
      </c>
      <c r="O9353" t="n">
        <v>0</v>
      </c>
      <c r="P9353" t="n">
        <v>0</v>
      </c>
      <c r="Q9353" t="n">
        <v>0</v>
      </c>
      <c r="R9353" s="2" t="inlineStr"/>
    </row>
    <row r="9354" ht="15" customHeight="1">
      <c r="A9354" t="inlineStr">
        <is>
          <t>A 56258-2023</t>
        </is>
      </c>
      <c r="B9354" s="1" t="n">
        <v>45240.94754629629</v>
      </c>
      <c r="C9354" s="1" t="n">
        <v>46075</v>
      </c>
      <c r="D9354" t="inlineStr">
        <is>
          <t>VÄSTERBOTTENS LÄN</t>
        </is>
      </c>
      <c r="E9354" t="inlineStr">
        <is>
          <t>ÅSELE</t>
        </is>
      </c>
      <c r="F9354" t="inlineStr">
        <is>
          <t>SCA</t>
        </is>
      </c>
      <c r="G9354" t="n">
        <v>4.6</v>
      </c>
      <c r="H9354" t="n">
        <v>0</v>
      </c>
      <c r="I9354" t="n">
        <v>0</v>
      </c>
      <c r="J9354" t="n">
        <v>0</v>
      </c>
      <c r="K9354" t="n">
        <v>0</v>
      </c>
      <c r="L9354" t="n">
        <v>0</v>
      </c>
      <c r="M9354" t="n">
        <v>0</v>
      </c>
      <c r="N9354" t="n">
        <v>0</v>
      </c>
      <c r="O9354" t="n">
        <v>0</v>
      </c>
      <c r="P9354" t="n">
        <v>0</v>
      </c>
      <c r="Q9354" t="n">
        <v>0</v>
      </c>
      <c r="R9354" s="2" t="inlineStr"/>
    </row>
    <row r="9355" ht="15" customHeight="1">
      <c r="A9355" t="inlineStr">
        <is>
          <t>A 16231-2025</t>
        </is>
      </c>
      <c r="B9355" s="1" t="n">
        <v>45750.65398148148</v>
      </c>
      <c r="C9355" s="1" t="n">
        <v>46075</v>
      </c>
      <c r="D9355" t="inlineStr">
        <is>
          <t>VÄSTERBOTTENS LÄN</t>
        </is>
      </c>
      <c r="E9355" t="inlineStr">
        <is>
          <t>NORSJÖ</t>
        </is>
      </c>
      <c r="G9355" t="n">
        <v>5.8</v>
      </c>
      <c r="H9355" t="n">
        <v>0</v>
      </c>
      <c r="I9355" t="n">
        <v>0</v>
      </c>
      <c r="J9355" t="n">
        <v>0</v>
      </c>
      <c r="K9355" t="n">
        <v>0</v>
      </c>
      <c r="L9355" t="n">
        <v>0</v>
      </c>
      <c r="M9355" t="n">
        <v>0</v>
      </c>
      <c r="N9355" t="n">
        <v>0</v>
      </c>
      <c r="O9355" t="n">
        <v>0</v>
      </c>
      <c r="P9355" t="n">
        <v>0</v>
      </c>
      <c r="Q9355" t="n">
        <v>0</v>
      </c>
      <c r="R9355" s="2" t="inlineStr"/>
    </row>
    <row r="9356" ht="15" customHeight="1">
      <c r="A9356" t="inlineStr">
        <is>
          <t>A 5912-2026</t>
        </is>
      </c>
      <c r="B9356" s="1" t="n">
        <v>46052.4488425926</v>
      </c>
      <c r="C9356" s="1" t="n">
        <v>46075</v>
      </c>
      <c r="D9356" t="inlineStr">
        <is>
          <t>VÄSTERBOTTENS LÄN</t>
        </is>
      </c>
      <c r="E9356" t="inlineStr">
        <is>
          <t>UMEÅ</t>
        </is>
      </c>
      <c r="G9356" t="n">
        <v>1.3</v>
      </c>
      <c r="H9356" t="n">
        <v>0</v>
      </c>
      <c r="I9356" t="n">
        <v>0</v>
      </c>
      <c r="J9356" t="n">
        <v>0</v>
      </c>
      <c r="K9356" t="n">
        <v>0</v>
      </c>
      <c r="L9356" t="n">
        <v>0</v>
      </c>
      <c r="M9356" t="n">
        <v>0</v>
      </c>
      <c r="N9356" t="n">
        <v>0</v>
      </c>
      <c r="O9356" t="n">
        <v>0</v>
      </c>
      <c r="P9356" t="n">
        <v>0</v>
      </c>
      <c r="Q9356" t="n">
        <v>0</v>
      </c>
      <c r="R9356" s="2" t="inlineStr"/>
    </row>
    <row r="9357" ht="15" customHeight="1">
      <c r="A9357" t="inlineStr">
        <is>
          <t>A 46181-2022</t>
        </is>
      </c>
      <c r="B9357" s="1" t="n">
        <v>44845</v>
      </c>
      <c r="C9357" s="1" t="n">
        <v>46075</v>
      </c>
      <c r="D9357" t="inlineStr">
        <is>
          <t>VÄSTERBOTTENS LÄN</t>
        </is>
      </c>
      <c r="E9357" t="inlineStr">
        <is>
          <t>SKELLEFTEÅ</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45444-2024</t>
        </is>
      </c>
      <c r="B9358" s="1" t="n">
        <v>45576.64476851852</v>
      </c>
      <c r="C9358" s="1" t="n">
        <v>46075</v>
      </c>
      <c r="D9358" t="inlineStr">
        <is>
          <t>VÄSTERBOTTENS LÄN</t>
        </is>
      </c>
      <c r="E9358" t="inlineStr">
        <is>
          <t>LYCKSELE</t>
        </is>
      </c>
      <c r="F9358" t="inlineStr">
        <is>
          <t>Sveaskog</t>
        </is>
      </c>
      <c r="G9358" t="n">
        <v>2.8</v>
      </c>
      <c r="H9358" t="n">
        <v>0</v>
      </c>
      <c r="I9358" t="n">
        <v>0</v>
      </c>
      <c r="J9358" t="n">
        <v>0</v>
      </c>
      <c r="K9358" t="n">
        <v>0</v>
      </c>
      <c r="L9358" t="n">
        <v>0</v>
      </c>
      <c r="M9358" t="n">
        <v>0</v>
      </c>
      <c r="N9358" t="n">
        <v>0</v>
      </c>
      <c r="O9358" t="n">
        <v>0</v>
      </c>
      <c r="P9358" t="n">
        <v>0</v>
      </c>
      <c r="Q9358" t="n">
        <v>0</v>
      </c>
      <c r="R9358" s="2" t="inlineStr"/>
    </row>
    <row r="9359" ht="15" customHeight="1">
      <c r="A9359" t="inlineStr">
        <is>
          <t>A 6202-2026</t>
        </is>
      </c>
      <c r="B9359" s="1" t="n">
        <v>46055.40693287037</v>
      </c>
      <c r="C9359" s="1" t="n">
        <v>46075</v>
      </c>
      <c r="D9359" t="inlineStr">
        <is>
          <t>VÄSTERBOTTENS LÄN</t>
        </is>
      </c>
      <c r="E9359" t="inlineStr">
        <is>
          <t>VILHELMINA</t>
        </is>
      </c>
      <c r="G9359" t="n">
        <v>0.3</v>
      </c>
      <c r="H9359" t="n">
        <v>0</v>
      </c>
      <c r="I9359" t="n">
        <v>0</v>
      </c>
      <c r="J9359" t="n">
        <v>0</v>
      </c>
      <c r="K9359" t="n">
        <v>0</v>
      </c>
      <c r="L9359" t="n">
        <v>0</v>
      </c>
      <c r="M9359" t="n">
        <v>0</v>
      </c>
      <c r="N9359" t="n">
        <v>0</v>
      </c>
      <c r="O9359" t="n">
        <v>0</v>
      </c>
      <c r="P9359" t="n">
        <v>0</v>
      </c>
      <c r="Q9359" t="n">
        <v>0</v>
      </c>
      <c r="R9359" s="2" t="inlineStr"/>
    </row>
    <row r="9360" ht="15" customHeight="1">
      <c r="A9360" t="inlineStr">
        <is>
          <t>A 4650-2025</t>
        </is>
      </c>
      <c r="B9360" s="1" t="n">
        <v>45687.66449074074</v>
      </c>
      <c r="C9360" s="1" t="n">
        <v>46075</v>
      </c>
      <c r="D9360" t="inlineStr">
        <is>
          <t>VÄSTERBOTTENS LÄN</t>
        </is>
      </c>
      <c r="E9360" t="inlineStr">
        <is>
          <t>UMEÅ</t>
        </is>
      </c>
      <c r="F9360" t="inlineStr">
        <is>
          <t>Holmen skog AB</t>
        </is>
      </c>
      <c r="G9360" t="n">
        <v>20.8</v>
      </c>
      <c r="H9360" t="n">
        <v>0</v>
      </c>
      <c r="I9360" t="n">
        <v>0</v>
      </c>
      <c r="J9360" t="n">
        <v>0</v>
      </c>
      <c r="K9360" t="n">
        <v>0</v>
      </c>
      <c r="L9360" t="n">
        <v>0</v>
      </c>
      <c r="M9360" t="n">
        <v>0</v>
      </c>
      <c r="N9360" t="n">
        <v>0</v>
      </c>
      <c r="O9360" t="n">
        <v>0</v>
      </c>
      <c r="P9360" t="n">
        <v>0</v>
      </c>
      <c r="Q9360" t="n">
        <v>0</v>
      </c>
      <c r="R9360" s="2" t="inlineStr"/>
    </row>
    <row r="9361" ht="15" customHeight="1">
      <c r="A9361" t="inlineStr">
        <is>
          <t>A 63160-2025</t>
        </is>
      </c>
      <c r="B9361" s="1" t="n">
        <v>46010.37174768518</v>
      </c>
      <c r="C9361" s="1" t="n">
        <v>46075</v>
      </c>
      <c r="D9361" t="inlineStr">
        <is>
          <t>VÄSTERBOTTENS LÄN</t>
        </is>
      </c>
      <c r="E9361" t="inlineStr">
        <is>
          <t>VÄNNÄS</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63169-2025</t>
        </is>
      </c>
      <c r="B9362" s="1" t="n">
        <v>46010.39408564815</v>
      </c>
      <c r="C9362" s="1" t="n">
        <v>46075</v>
      </c>
      <c r="D9362" t="inlineStr">
        <is>
          <t>VÄSTERBOTTENS LÄN</t>
        </is>
      </c>
      <c r="E9362" t="inlineStr">
        <is>
          <t>BJURHOLM</t>
        </is>
      </c>
      <c r="G9362" t="n">
        <v>3.3</v>
      </c>
      <c r="H9362" t="n">
        <v>0</v>
      </c>
      <c r="I9362" t="n">
        <v>0</v>
      </c>
      <c r="J9362" t="n">
        <v>0</v>
      </c>
      <c r="K9362" t="n">
        <v>0</v>
      </c>
      <c r="L9362" t="n">
        <v>0</v>
      </c>
      <c r="M9362" t="n">
        <v>0</v>
      </c>
      <c r="N9362" t="n">
        <v>0</v>
      </c>
      <c r="O9362" t="n">
        <v>0</v>
      </c>
      <c r="P9362" t="n">
        <v>0</v>
      </c>
      <c r="Q9362" t="n">
        <v>0</v>
      </c>
      <c r="R9362" s="2" t="inlineStr"/>
    </row>
    <row r="9363" ht="15" customHeight="1">
      <c r="A9363" t="inlineStr">
        <is>
          <t>A 4671-2025</t>
        </is>
      </c>
      <c r="B9363" s="1" t="n">
        <v>45687</v>
      </c>
      <c r="C9363" s="1" t="n">
        <v>46075</v>
      </c>
      <c r="D9363" t="inlineStr">
        <is>
          <t>VÄSTERBOTTENS LÄN</t>
        </is>
      </c>
      <c r="E9363" t="inlineStr">
        <is>
          <t>LYCKSELE</t>
        </is>
      </c>
      <c r="G9363" t="n">
        <v>3.4</v>
      </c>
      <c r="H9363" t="n">
        <v>0</v>
      </c>
      <c r="I9363" t="n">
        <v>0</v>
      </c>
      <c r="J9363" t="n">
        <v>0</v>
      </c>
      <c r="K9363" t="n">
        <v>0</v>
      </c>
      <c r="L9363" t="n">
        <v>0</v>
      </c>
      <c r="M9363" t="n">
        <v>0</v>
      </c>
      <c r="N9363" t="n">
        <v>0</v>
      </c>
      <c r="O9363" t="n">
        <v>0</v>
      </c>
      <c r="P9363" t="n">
        <v>0</v>
      </c>
      <c r="Q9363" t="n">
        <v>0</v>
      </c>
      <c r="R9363" s="2" t="inlineStr"/>
    </row>
    <row r="9364" ht="15" customHeight="1">
      <c r="A9364" t="inlineStr">
        <is>
          <t>A 14070-2024</t>
        </is>
      </c>
      <c r="B9364" s="1" t="n">
        <v>45392.57258101852</v>
      </c>
      <c r="C9364" s="1" t="n">
        <v>46075</v>
      </c>
      <c r="D9364" t="inlineStr">
        <is>
          <t>VÄSTERBOTTENS LÄN</t>
        </is>
      </c>
      <c r="E9364" t="inlineStr">
        <is>
          <t>LYCKSELE</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63253-2025</t>
        </is>
      </c>
      <c r="B9365" s="1" t="n">
        <v>46010.54806712963</v>
      </c>
      <c r="C9365" s="1" t="n">
        <v>46075</v>
      </c>
      <c r="D9365" t="inlineStr">
        <is>
          <t>VÄSTERBOTTENS LÄN</t>
        </is>
      </c>
      <c r="E9365" t="inlineStr">
        <is>
          <t>NORDMALING</t>
        </is>
      </c>
      <c r="G9365" t="n">
        <v>4.8</v>
      </c>
      <c r="H9365" t="n">
        <v>0</v>
      </c>
      <c r="I9365" t="n">
        <v>0</v>
      </c>
      <c r="J9365" t="n">
        <v>0</v>
      </c>
      <c r="K9365" t="n">
        <v>0</v>
      </c>
      <c r="L9365" t="n">
        <v>0</v>
      </c>
      <c r="M9365" t="n">
        <v>0</v>
      </c>
      <c r="N9365" t="n">
        <v>0</v>
      </c>
      <c r="O9365" t="n">
        <v>0</v>
      </c>
      <c r="P9365" t="n">
        <v>0</v>
      </c>
      <c r="Q9365" t="n">
        <v>0</v>
      </c>
      <c r="R9365" s="2" t="inlineStr"/>
    </row>
    <row r="9366" ht="15" customHeight="1">
      <c r="A9366" t="inlineStr">
        <is>
          <t>A 63256-2025</t>
        </is>
      </c>
      <c r="B9366" s="1" t="n">
        <v>46010.55255787037</v>
      </c>
      <c r="C9366" s="1" t="n">
        <v>46075</v>
      </c>
      <c r="D9366" t="inlineStr">
        <is>
          <t>VÄSTERBOTTENS LÄN</t>
        </is>
      </c>
      <c r="E9366" t="inlineStr">
        <is>
          <t>NORDMALING</t>
        </is>
      </c>
      <c r="G9366" t="n">
        <v>2.4</v>
      </c>
      <c r="H9366" t="n">
        <v>0</v>
      </c>
      <c r="I9366" t="n">
        <v>0</v>
      </c>
      <c r="J9366" t="n">
        <v>0</v>
      </c>
      <c r="K9366" t="n">
        <v>0</v>
      </c>
      <c r="L9366" t="n">
        <v>0</v>
      </c>
      <c r="M9366" t="n">
        <v>0</v>
      </c>
      <c r="N9366" t="n">
        <v>0</v>
      </c>
      <c r="O9366" t="n">
        <v>0</v>
      </c>
      <c r="P9366" t="n">
        <v>0</v>
      </c>
      <c r="Q9366" t="n">
        <v>0</v>
      </c>
      <c r="R9366" s="2" t="inlineStr"/>
    </row>
    <row r="9367" ht="15" customHeight="1">
      <c r="A9367" t="inlineStr">
        <is>
          <t>A 53903-2022</t>
        </is>
      </c>
      <c r="B9367" s="1" t="n">
        <v>44880</v>
      </c>
      <c r="C9367" s="1" t="n">
        <v>46075</v>
      </c>
      <c r="D9367" t="inlineStr">
        <is>
          <t>VÄSTERBOTTENS LÄN</t>
        </is>
      </c>
      <c r="E9367" t="inlineStr">
        <is>
          <t>SKELLEFTEÅ</t>
        </is>
      </c>
      <c r="F9367" t="inlineStr">
        <is>
          <t>Sveaskog</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54993-2025</t>
        </is>
      </c>
      <c r="B9368" s="1" t="n">
        <v>45967</v>
      </c>
      <c r="C9368" s="1" t="n">
        <v>46075</v>
      </c>
      <c r="D9368" t="inlineStr">
        <is>
          <t>VÄSTERBOTTENS LÄN</t>
        </is>
      </c>
      <c r="E9368" t="inlineStr">
        <is>
          <t>LYCKSELE</t>
        </is>
      </c>
      <c r="G9368" t="n">
        <v>2.2</v>
      </c>
      <c r="H9368" t="n">
        <v>0</v>
      </c>
      <c r="I9368" t="n">
        <v>0</v>
      </c>
      <c r="J9368" t="n">
        <v>0</v>
      </c>
      <c r="K9368" t="n">
        <v>0</v>
      </c>
      <c r="L9368" t="n">
        <v>0</v>
      </c>
      <c r="M9368" t="n">
        <v>0</v>
      </c>
      <c r="N9368" t="n">
        <v>0</v>
      </c>
      <c r="O9368" t="n">
        <v>0</v>
      </c>
      <c r="P9368" t="n">
        <v>0</v>
      </c>
      <c r="Q9368" t="n">
        <v>0</v>
      </c>
      <c r="R9368" s="2" t="inlineStr"/>
    </row>
    <row r="9369" ht="15" customHeight="1">
      <c r="A9369" t="inlineStr">
        <is>
          <t>A 61553-2023</t>
        </is>
      </c>
      <c r="B9369" s="1" t="n">
        <v>45261</v>
      </c>
      <c r="C9369" s="1" t="n">
        <v>46075</v>
      </c>
      <c r="D9369" t="inlineStr">
        <is>
          <t>VÄSTERBOTTENS LÄN</t>
        </is>
      </c>
      <c r="E9369" t="inlineStr">
        <is>
          <t>ROBERTSFORS</t>
        </is>
      </c>
      <c r="G9369" t="n">
        <v>5.2</v>
      </c>
      <c r="H9369" t="n">
        <v>0</v>
      </c>
      <c r="I9369" t="n">
        <v>0</v>
      </c>
      <c r="J9369" t="n">
        <v>0</v>
      </c>
      <c r="K9369" t="n">
        <v>0</v>
      </c>
      <c r="L9369" t="n">
        <v>0</v>
      </c>
      <c r="M9369" t="n">
        <v>0</v>
      </c>
      <c r="N9369" t="n">
        <v>0</v>
      </c>
      <c r="O9369" t="n">
        <v>0</v>
      </c>
      <c r="P9369" t="n">
        <v>0</v>
      </c>
      <c r="Q9369" t="n">
        <v>0</v>
      </c>
      <c r="R9369" s="2" t="inlineStr"/>
    </row>
    <row r="9370" ht="15" customHeight="1">
      <c r="A9370" t="inlineStr">
        <is>
          <t>A 63549-2025</t>
        </is>
      </c>
      <c r="B9370" s="1" t="n">
        <v>46013.60505787037</v>
      </c>
      <c r="C9370" s="1" t="n">
        <v>46075</v>
      </c>
      <c r="D9370" t="inlineStr">
        <is>
          <t>VÄSTERBOTTENS LÄN</t>
        </is>
      </c>
      <c r="E9370" t="inlineStr">
        <is>
          <t>SKELLEFTEÅ</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6099-2026</t>
        </is>
      </c>
      <c r="B9371" s="1" t="n">
        <v>46052.77422453704</v>
      </c>
      <c r="C9371" s="1" t="n">
        <v>46075</v>
      </c>
      <c r="D9371" t="inlineStr">
        <is>
          <t>VÄSTERBOTTENS LÄN</t>
        </is>
      </c>
      <c r="E9371" t="inlineStr">
        <is>
          <t>NORDMALING</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19246-2025</t>
        </is>
      </c>
      <c r="B9372" s="1" t="n">
        <v>45769.48415509259</v>
      </c>
      <c r="C9372" s="1" t="n">
        <v>46075</v>
      </c>
      <c r="D9372" t="inlineStr">
        <is>
          <t>VÄSTERBOTTENS LÄN</t>
        </is>
      </c>
      <c r="E9372" t="inlineStr">
        <is>
          <t>LYCKSELE</t>
        </is>
      </c>
      <c r="G9372" t="n">
        <v>9.4</v>
      </c>
      <c r="H9372" t="n">
        <v>0</v>
      </c>
      <c r="I9372" t="n">
        <v>0</v>
      </c>
      <c r="J9372" t="n">
        <v>0</v>
      </c>
      <c r="K9372" t="n">
        <v>0</v>
      </c>
      <c r="L9372" t="n">
        <v>0</v>
      </c>
      <c r="M9372" t="n">
        <v>0</v>
      </c>
      <c r="N9372" t="n">
        <v>0</v>
      </c>
      <c r="O9372" t="n">
        <v>0</v>
      </c>
      <c r="P9372" t="n">
        <v>0</v>
      </c>
      <c r="Q9372" t="n">
        <v>0</v>
      </c>
      <c r="R9372" s="2" t="inlineStr"/>
    </row>
    <row r="9373" ht="15" customHeight="1">
      <c r="A9373" t="inlineStr">
        <is>
          <t>A 36779-2024</t>
        </is>
      </c>
      <c r="B9373" s="1" t="n">
        <v>45538.41059027778</v>
      </c>
      <c r="C9373" s="1" t="n">
        <v>46075</v>
      </c>
      <c r="D9373" t="inlineStr">
        <is>
          <t>VÄSTERBOTTENS LÄN</t>
        </is>
      </c>
      <c r="E9373" t="inlineStr">
        <is>
          <t>SKELLEFTEÅ</t>
        </is>
      </c>
      <c r="F9373" t="inlineStr">
        <is>
          <t>Holmen skog AB</t>
        </is>
      </c>
      <c r="G9373" t="n">
        <v>2.7</v>
      </c>
      <c r="H9373" t="n">
        <v>0</v>
      </c>
      <c r="I9373" t="n">
        <v>0</v>
      </c>
      <c r="J9373" t="n">
        <v>0</v>
      </c>
      <c r="K9373" t="n">
        <v>0</v>
      </c>
      <c r="L9373" t="n">
        <v>0</v>
      </c>
      <c r="M9373" t="n">
        <v>0</v>
      </c>
      <c r="N9373" t="n">
        <v>0</v>
      </c>
      <c r="O9373" t="n">
        <v>0</v>
      </c>
      <c r="P9373" t="n">
        <v>0</v>
      </c>
      <c r="Q9373" t="n">
        <v>0</v>
      </c>
      <c r="R9373" s="2" t="inlineStr"/>
    </row>
    <row r="9374" ht="15" customHeight="1">
      <c r="A9374" t="inlineStr">
        <is>
          <t>A 6178-2026</t>
        </is>
      </c>
      <c r="B9374" s="1" t="n">
        <v>46055</v>
      </c>
      <c r="C9374" s="1" t="n">
        <v>46075</v>
      </c>
      <c r="D9374" t="inlineStr">
        <is>
          <t>VÄSTERBOTTENS LÄN</t>
        </is>
      </c>
      <c r="E9374" t="inlineStr">
        <is>
          <t>UMEÅ</t>
        </is>
      </c>
      <c r="G9374" t="n">
        <v>3.8</v>
      </c>
      <c r="H9374" t="n">
        <v>0</v>
      </c>
      <c r="I9374" t="n">
        <v>0</v>
      </c>
      <c r="J9374" t="n">
        <v>0</v>
      </c>
      <c r="K9374" t="n">
        <v>0</v>
      </c>
      <c r="L9374" t="n">
        <v>0</v>
      </c>
      <c r="M9374" t="n">
        <v>0</v>
      </c>
      <c r="N9374" t="n">
        <v>0</v>
      </c>
      <c r="O9374" t="n">
        <v>0</v>
      </c>
      <c r="P9374" t="n">
        <v>0</v>
      </c>
      <c r="Q9374" t="n">
        <v>0</v>
      </c>
      <c r="R9374" s="2" t="inlineStr"/>
    </row>
    <row r="9375" ht="15" customHeight="1">
      <c r="A9375" t="inlineStr">
        <is>
          <t>A 63939-2025</t>
        </is>
      </c>
      <c r="B9375" s="1" t="n">
        <v>46010</v>
      </c>
      <c r="C9375" s="1" t="n">
        <v>46075</v>
      </c>
      <c r="D9375" t="inlineStr">
        <is>
          <t>VÄSTERBOTTENS LÄN</t>
        </is>
      </c>
      <c r="E9375" t="inlineStr">
        <is>
          <t>DOROTEA</t>
        </is>
      </c>
      <c r="G9375" t="n">
        <v>5.2</v>
      </c>
      <c r="H9375" t="n">
        <v>0</v>
      </c>
      <c r="I9375" t="n">
        <v>0</v>
      </c>
      <c r="J9375" t="n">
        <v>0</v>
      </c>
      <c r="K9375" t="n">
        <v>0</v>
      </c>
      <c r="L9375" t="n">
        <v>0</v>
      </c>
      <c r="M9375" t="n">
        <v>0</v>
      </c>
      <c r="N9375" t="n">
        <v>0</v>
      </c>
      <c r="O9375" t="n">
        <v>0</v>
      </c>
      <c r="P9375" t="n">
        <v>0</v>
      </c>
      <c r="Q9375" t="n">
        <v>0</v>
      </c>
      <c r="R9375" s="2" t="inlineStr"/>
    </row>
    <row r="9376" ht="15" customHeight="1">
      <c r="A9376" t="inlineStr">
        <is>
          <t>A 25549-2024</t>
        </is>
      </c>
      <c r="B9376" s="1" t="n">
        <v>45463</v>
      </c>
      <c r="C9376" s="1" t="n">
        <v>46075</v>
      </c>
      <c r="D9376" t="inlineStr">
        <is>
          <t>VÄSTERBOTTENS LÄN</t>
        </is>
      </c>
      <c r="E9376" t="inlineStr">
        <is>
          <t>ÅSELE</t>
        </is>
      </c>
      <c r="F9376" t="inlineStr">
        <is>
          <t>Sveaskog</t>
        </is>
      </c>
      <c r="G9376" t="n">
        <v>3.8</v>
      </c>
      <c r="H9376" t="n">
        <v>0</v>
      </c>
      <c r="I9376" t="n">
        <v>0</v>
      </c>
      <c r="J9376" t="n">
        <v>0</v>
      </c>
      <c r="K9376" t="n">
        <v>0</v>
      </c>
      <c r="L9376" t="n">
        <v>0</v>
      </c>
      <c r="M9376" t="n">
        <v>0</v>
      </c>
      <c r="N9376" t="n">
        <v>0</v>
      </c>
      <c r="O9376" t="n">
        <v>0</v>
      </c>
      <c r="P9376" t="n">
        <v>0</v>
      </c>
      <c r="Q9376" t="n">
        <v>0</v>
      </c>
      <c r="R9376" s="2" t="inlineStr"/>
    </row>
    <row r="9377" ht="15" customHeight="1">
      <c r="A9377" t="inlineStr">
        <is>
          <t>A 14163-2024</t>
        </is>
      </c>
      <c r="B9377" s="1" t="n">
        <v>45392.95734953704</v>
      </c>
      <c r="C9377" s="1" t="n">
        <v>46075</v>
      </c>
      <c r="D9377" t="inlineStr">
        <is>
          <t>VÄSTERBOTTENS LÄN</t>
        </is>
      </c>
      <c r="E9377" t="inlineStr">
        <is>
          <t>DOROTEA</t>
        </is>
      </c>
      <c r="F9377" t="inlineStr">
        <is>
          <t>SCA</t>
        </is>
      </c>
      <c r="G9377" t="n">
        <v>3.4</v>
      </c>
      <c r="H9377" t="n">
        <v>0</v>
      </c>
      <c r="I9377" t="n">
        <v>0</v>
      </c>
      <c r="J9377" t="n">
        <v>0</v>
      </c>
      <c r="K9377" t="n">
        <v>0</v>
      </c>
      <c r="L9377" t="n">
        <v>0</v>
      </c>
      <c r="M9377" t="n">
        <v>0</v>
      </c>
      <c r="N9377" t="n">
        <v>0</v>
      </c>
      <c r="O9377" t="n">
        <v>0</v>
      </c>
      <c r="P9377" t="n">
        <v>0</v>
      </c>
      <c r="Q9377" t="n">
        <v>0</v>
      </c>
      <c r="R9377" s="2" t="inlineStr"/>
    </row>
    <row r="9378" ht="15" customHeight="1">
      <c r="A9378" t="inlineStr">
        <is>
          <t>A 25574-2024</t>
        </is>
      </c>
      <c r="B9378" s="1" t="n">
        <v>45463.58829861111</v>
      </c>
      <c r="C9378" s="1" t="n">
        <v>46075</v>
      </c>
      <c r="D9378" t="inlineStr">
        <is>
          <t>VÄSTERBOTTENS LÄN</t>
        </is>
      </c>
      <c r="E9378" t="inlineStr">
        <is>
          <t>ÅSELE</t>
        </is>
      </c>
      <c r="F9378" t="inlineStr">
        <is>
          <t>Sveaskog</t>
        </is>
      </c>
      <c r="G9378" t="n">
        <v>4.6</v>
      </c>
      <c r="H9378" t="n">
        <v>0</v>
      </c>
      <c r="I9378" t="n">
        <v>0</v>
      </c>
      <c r="J9378" t="n">
        <v>0</v>
      </c>
      <c r="K9378" t="n">
        <v>0</v>
      </c>
      <c r="L9378" t="n">
        <v>0</v>
      </c>
      <c r="M9378" t="n">
        <v>0</v>
      </c>
      <c r="N9378" t="n">
        <v>0</v>
      </c>
      <c r="O9378" t="n">
        <v>0</v>
      </c>
      <c r="P9378" t="n">
        <v>0</v>
      </c>
      <c r="Q9378" t="n">
        <v>0</v>
      </c>
      <c r="R9378" s="2" t="inlineStr"/>
    </row>
    <row r="9379" ht="15" customHeight="1">
      <c r="A9379" t="inlineStr">
        <is>
          <t>A 23213-2022</t>
        </is>
      </c>
      <c r="B9379" s="1" t="n">
        <v>44719.94283564815</v>
      </c>
      <c r="C9379" s="1" t="n">
        <v>46075</v>
      </c>
      <c r="D9379" t="inlineStr">
        <is>
          <t>VÄSTERBOTTENS LÄN</t>
        </is>
      </c>
      <c r="E9379" t="inlineStr">
        <is>
          <t>DOROTEA</t>
        </is>
      </c>
      <c r="F9379" t="inlineStr">
        <is>
          <t>SCA</t>
        </is>
      </c>
      <c r="G9379" t="n">
        <v>0.9</v>
      </c>
      <c r="H9379" t="n">
        <v>0</v>
      </c>
      <c r="I9379" t="n">
        <v>0</v>
      </c>
      <c r="J9379" t="n">
        <v>0</v>
      </c>
      <c r="K9379" t="n">
        <v>0</v>
      </c>
      <c r="L9379" t="n">
        <v>0</v>
      </c>
      <c r="M9379" t="n">
        <v>0</v>
      </c>
      <c r="N9379" t="n">
        <v>0</v>
      </c>
      <c r="O9379" t="n">
        <v>0</v>
      </c>
      <c r="P9379" t="n">
        <v>0</v>
      </c>
      <c r="Q9379" t="n">
        <v>0</v>
      </c>
      <c r="R9379" s="2" t="inlineStr"/>
    </row>
    <row r="9380" ht="15" customHeight="1">
      <c r="A9380" t="inlineStr">
        <is>
          <t>A 23234-2022</t>
        </is>
      </c>
      <c r="B9380" s="1" t="n">
        <v>44719</v>
      </c>
      <c r="C9380" s="1" t="n">
        <v>46075</v>
      </c>
      <c r="D9380" t="inlineStr">
        <is>
          <t>VÄSTERBOTTENS LÄN</t>
        </is>
      </c>
      <c r="E9380" t="inlineStr">
        <is>
          <t>SORSELE</t>
        </is>
      </c>
      <c r="G9380" t="n">
        <v>19.3</v>
      </c>
      <c r="H9380" t="n">
        <v>0</v>
      </c>
      <c r="I9380" t="n">
        <v>0</v>
      </c>
      <c r="J9380" t="n">
        <v>0</v>
      </c>
      <c r="K9380" t="n">
        <v>0</v>
      </c>
      <c r="L9380" t="n">
        <v>0</v>
      </c>
      <c r="M9380" t="n">
        <v>0</v>
      </c>
      <c r="N9380" t="n">
        <v>0</v>
      </c>
      <c r="O9380" t="n">
        <v>0</v>
      </c>
      <c r="P9380" t="n">
        <v>0</v>
      </c>
      <c r="Q9380" t="n">
        <v>0</v>
      </c>
      <c r="R9380" s="2" t="inlineStr"/>
    </row>
    <row r="9381" ht="15" customHeight="1">
      <c r="A9381" t="inlineStr">
        <is>
          <t>A 6070-2026</t>
        </is>
      </c>
      <c r="B9381" s="1" t="n">
        <v>46052</v>
      </c>
      <c r="C9381" s="1" t="n">
        <v>46075</v>
      </c>
      <c r="D9381" t="inlineStr">
        <is>
          <t>VÄSTERBOTTENS LÄN</t>
        </is>
      </c>
      <c r="E9381" t="inlineStr">
        <is>
          <t>UMEÅ</t>
        </is>
      </c>
      <c r="G9381" t="n">
        <v>0.6</v>
      </c>
      <c r="H9381" t="n">
        <v>0</v>
      </c>
      <c r="I9381" t="n">
        <v>0</v>
      </c>
      <c r="J9381" t="n">
        <v>0</v>
      </c>
      <c r="K9381" t="n">
        <v>0</v>
      </c>
      <c r="L9381" t="n">
        <v>0</v>
      </c>
      <c r="M9381" t="n">
        <v>0</v>
      </c>
      <c r="N9381" t="n">
        <v>0</v>
      </c>
      <c r="O9381" t="n">
        <v>0</v>
      </c>
      <c r="P9381" t="n">
        <v>0</v>
      </c>
      <c r="Q9381" t="n">
        <v>0</v>
      </c>
      <c r="R9381" s="2" t="inlineStr"/>
    </row>
    <row r="9382" ht="15" customHeight="1">
      <c r="A9382" t="inlineStr">
        <is>
          <t>A 45011-2022</t>
        </is>
      </c>
      <c r="B9382" s="1" t="n">
        <v>44840</v>
      </c>
      <c r="C9382" s="1" t="n">
        <v>46075</v>
      </c>
      <c r="D9382" t="inlineStr">
        <is>
          <t>VÄSTERBOTTENS LÄN</t>
        </is>
      </c>
      <c r="E9382" t="inlineStr">
        <is>
          <t>SKELLEFTEÅ</t>
        </is>
      </c>
      <c r="G9382" t="n">
        <v>4.8</v>
      </c>
      <c r="H9382" t="n">
        <v>0</v>
      </c>
      <c r="I9382" t="n">
        <v>0</v>
      </c>
      <c r="J9382" t="n">
        <v>0</v>
      </c>
      <c r="K9382" t="n">
        <v>0</v>
      </c>
      <c r="L9382" t="n">
        <v>0</v>
      </c>
      <c r="M9382" t="n">
        <v>0</v>
      </c>
      <c r="N9382" t="n">
        <v>0</v>
      </c>
      <c r="O9382" t="n">
        <v>0</v>
      </c>
      <c r="P9382" t="n">
        <v>0</v>
      </c>
      <c r="Q9382" t="n">
        <v>0</v>
      </c>
      <c r="R9382" s="2" t="inlineStr"/>
    </row>
    <row r="9383" ht="15" customHeight="1">
      <c r="A9383" t="inlineStr">
        <is>
          <t>A 41231-2024</t>
        </is>
      </c>
      <c r="B9383" s="1" t="n">
        <v>45559.56412037037</v>
      </c>
      <c r="C9383" s="1" t="n">
        <v>46075</v>
      </c>
      <c r="D9383" t="inlineStr">
        <is>
          <t>VÄSTERBOTTENS LÄN</t>
        </is>
      </c>
      <c r="E9383" t="inlineStr">
        <is>
          <t>SKELLEFTEÅ</t>
        </is>
      </c>
      <c r="G9383" t="n">
        <v>4.2</v>
      </c>
      <c r="H9383" t="n">
        <v>0</v>
      </c>
      <c r="I9383" t="n">
        <v>0</v>
      </c>
      <c r="J9383" t="n">
        <v>0</v>
      </c>
      <c r="K9383" t="n">
        <v>0</v>
      </c>
      <c r="L9383" t="n">
        <v>0</v>
      </c>
      <c r="M9383" t="n">
        <v>0</v>
      </c>
      <c r="N9383" t="n">
        <v>0</v>
      </c>
      <c r="O9383" t="n">
        <v>0</v>
      </c>
      <c r="P9383" t="n">
        <v>0</v>
      </c>
      <c r="Q9383" t="n">
        <v>0</v>
      </c>
      <c r="R9383" s="2" t="inlineStr"/>
    </row>
    <row r="9384" ht="15" customHeight="1">
      <c r="A9384" t="inlineStr">
        <is>
          <t>A 61534-2024</t>
        </is>
      </c>
      <c r="B9384" s="1" t="n">
        <v>45645</v>
      </c>
      <c r="C9384" s="1" t="n">
        <v>46075</v>
      </c>
      <c r="D9384" t="inlineStr">
        <is>
          <t>VÄSTERBOTTENS LÄN</t>
        </is>
      </c>
      <c r="E9384" t="inlineStr">
        <is>
          <t>ÅSELE</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63289-2025</t>
        </is>
      </c>
      <c r="B9385" s="1" t="n">
        <v>46010.59076388889</v>
      </c>
      <c r="C9385" s="1" t="n">
        <v>46075</v>
      </c>
      <c r="D9385" t="inlineStr">
        <is>
          <t>VÄSTERBOTTENS LÄN</t>
        </is>
      </c>
      <c r="E9385" t="inlineStr">
        <is>
          <t>VÄNNÄS</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54344-2024</t>
        </is>
      </c>
      <c r="B9386" s="1" t="n">
        <v>45617.39003472222</v>
      </c>
      <c r="C9386" s="1" t="n">
        <v>46075</v>
      </c>
      <c r="D9386" t="inlineStr">
        <is>
          <t>VÄSTERBOTTENS LÄN</t>
        </is>
      </c>
      <c r="E9386" t="inlineStr">
        <is>
          <t>ROBERTSFORS</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20479-2025</t>
        </is>
      </c>
      <c r="B9387" s="1" t="n">
        <v>45775</v>
      </c>
      <c r="C9387" s="1" t="n">
        <v>46075</v>
      </c>
      <c r="D9387" t="inlineStr">
        <is>
          <t>VÄSTERBOTTENS LÄN</t>
        </is>
      </c>
      <c r="E9387" t="inlineStr">
        <is>
          <t>NORDMALING</t>
        </is>
      </c>
      <c r="G9387" t="n">
        <v>2.8</v>
      </c>
      <c r="H9387" t="n">
        <v>0</v>
      </c>
      <c r="I9387" t="n">
        <v>0</v>
      </c>
      <c r="J9387" t="n">
        <v>0</v>
      </c>
      <c r="K9387" t="n">
        <v>0</v>
      </c>
      <c r="L9387" t="n">
        <v>0</v>
      </c>
      <c r="M9387" t="n">
        <v>0</v>
      </c>
      <c r="N9387" t="n">
        <v>0</v>
      </c>
      <c r="O9387" t="n">
        <v>0</v>
      </c>
      <c r="P9387" t="n">
        <v>0</v>
      </c>
      <c r="Q9387" t="n">
        <v>0</v>
      </c>
      <c r="R9387" s="2" t="inlineStr"/>
    </row>
    <row r="9388" ht="15" customHeight="1">
      <c r="A9388" t="inlineStr">
        <is>
          <t>A 20481-2025</t>
        </is>
      </c>
      <c r="B9388" s="1" t="n">
        <v>45775</v>
      </c>
      <c r="C9388" s="1" t="n">
        <v>46075</v>
      </c>
      <c r="D9388" t="inlineStr">
        <is>
          <t>VÄSTERBOTTENS LÄN</t>
        </is>
      </c>
      <c r="E9388" t="inlineStr">
        <is>
          <t>NORDMALING</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24317-2024</t>
        </is>
      </c>
      <c r="B9389" s="1" t="n">
        <v>45457</v>
      </c>
      <c r="C9389" s="1" t="n">
        <v>46075</v>
      </c>
      <c r="D9389" t="inlineStr">
        <is>
          <t>VÄSTERBOTTENS LÄN</t>
        </is>
      </c>
      <c r="E9389" t="inlineStr">
        <is>
          <t>VINDELN</t>
        </is>
      </c>
      <c r="F9389" t="inlineStr">
        <is>
          <t>Holmen skog AB</t>
        </is>
      </c>
      <c r="G9389" t="n">
        <v>3.8</v>
      </c>
      <c r="H9389" t="n">
        <v>0</v>
      </c>
      <c r="I9389" t="n">
        <v>0</v>
      </c>
      <c r="J9389" t="n">
        <v>0</v>
      </c>
      <c r="K9389" t="n">
        <v>0</v>
      </c>
      <c r="L9389" t="n">
        <v>0</v>
      </c>
      <c r="M9389" t="n">
        <v>0</v>
      </c>
      <c r="N9389" t="n">
        <v>0</v>
      </c>
      <c r="O9389" t="n">
        <v>0</v>
      </c>
      <c r="P9389" t="n">
        <v>0</v>
      </c>
      <c r="Q9389" t="n">
        <v>0</v>
      </c>
      <c r="R9389" s="2" t="inlineStr"/>
    </row>
    <row r="9390" ht="15" customHeight="1">
      <c r="A9390" t="inlineStr">
        <is>
          <t>A 38270-2023</t>
        </is>
      </c>
      <c r="B9390" s="1" t="n">
        <v>45160</v>
      </c>
      <c r="C9390" s="1" t="n">
        <v>46075</v>
      </c>
      <c r="D9390" t="inlineStr">
        <is>
          <t>VÄSTERBOTTENS LÄN</t>
        </is>
      </c>
      <c r="E9390" t="inlineStr">
        <is>
          <t>ROBERTSFORS</t>
        </is>
      </c>
      <c r="G9390" t="n">
        <v>2.2</v>
      </c>
      <c r="H9390" t="n">
        <v>0</v>
      </c>
      <c r="I9390" t="n">
        <v>0</v>
      </c>
      <c r="J9390" t="n">
        <v>0</v>
      </c>
      <c r="K9390" t="n">
        <v>0</v>
      </c>
      <c r="L9390" t="n">
        <v>0</v>
      </c>
      <c r="M9390" t="n">
        <v>0</v>
      </c>
      <c r="N9390" t="n">
        <v>0</v>
      </c>
      <c r="O9390" t="n">
        <v>0</v>
      </c>
      <c r="P9390" t="n">
        <v>0</v>
      </c>
      <c r="Q9390" t="n">
        <v>0</v>
      </c>
      <c r="R9390" s="2" t="inlineStr"/>
    </row>
    <row r="9391" ht="15" customHeight="1">
      <c r="A9391" t="inlineStr">
        <is>
          <t>A 63255-2025</t>
        </is>
      </c>
      <c r="B9391" s="1" t="n">
        <v>46010.54994212963</v>
      </c>
      <c r="C9391" s="1" t="n">
        <v>46075</v>
      </c>
      <c r="D9391" t="inlineStr">
        <is>
          <t>VÄSTERBOTTENS LÄN</t>
        </is>
      </c>
      <c r="E9391" t="inlineStr">
        <is>
          <t>SKELLEFTEÅ</t>
        </is>
      </c>
      <c r="G9391" t="n">
        <v>20.7</v>
      </c>
      <c r="H9391" t="n">
        <v>0</v>
      </c>
      <c r="I9391" t="n">
        <v>0</v>
      </c>
      <c r="J9391" t="n">
        <v>0</v>
      </c>
      <c r="K9391" t="n">
        <v>0</v>
      </c>
      <c r="L9391" t="n">
        <v>0</v>
      </c>
      <c r="M9391" t="n">
        <v>0</v>
      </c>
      <c r="N9391" t="n">
        <v>0</v>
      </c>
      <c r="O9391" t="n">
        <v>0</v>
      </c>
      <c r="P9391" t="n">
        <v>0</v>
      </c>
      <c r="Q9391" t="n">
        <v>0</v>
      </c>
      <c r="R9391" s="2" t="inlineStr"/>
    </row>
    <row r="9392" ht="15" customHeight="1">
      <c r="A9392" t="inlineStr">
        <is>
          <t>A 21917-2023</t>
        </is>
      </c>
      <c r="B9392" s="1" t="n">
        <v>45065</v>
      </c>
      <c r="C9392" s="1" t="n">
        <v>46075</v>
      </c>
      <c r="D9392" t="inlineStr">
        <is>
          <t>VÄSTERBOTTENS LÄN</t>
        </is>
      </c>
      <c r="E9392" t="inlineStr">
        <is>
          <t>UMEÅ</t>
        </is>
      </c>
      <c r="G9392" t="n">
        <v>2.9</v>
      </c>
      <c r="H9392" t="n">
        <v>0</v>
      </c>
      <c r="I9392" t="n">
        <v>0</v>
      </c>
      <c r="J9392" t="n">
        <v>0</v>
      </c>
      <c r="K9392" t="n">
        <v>0</v>
      </c>
      <c r="L9392" t="n">
        <v>0</v>
      </c>
      <c r="M9392" t="n">
        <v>0</v>
      </c>
      <c r="N9392" t="n">
        <v>0</v>
      </c>
      <c r="O9392" t="n">
        <v>0</v>
      </c>
      <c r="P9392" t="n">
        <v>0</v>
      </c>
      <c r="Q9392" t="n">
        <v>0</v>
      </c>
      <c r="R9392" s="2" t="inlineStr"/>
    </row>
    <row r="9393" ht="15" customHeight="1">
      <c r="A9393" t="inlineStr">
        <is>
          <t>A 21440-2024</t>
        </is>
      </c>
      <c r="B9393" s="1" t="n">
        <v>45441</v>
      </c>
      <c r="C9393" s="1" t="n">
        <v>46075</v>
      </c>
      <c r="D9393" t="inlineStr">
        <is>
          <t>VÄSTERBOTTENS LÄN</t>
        </is>
      </c>
      <c r="E9393" t="inlineStr">
        <is>
          <t>UMEÅ</t>
        </is>
      </c>
      <c r="G9393" t="n">
        <v>0.5</v>
      </c>
      <c r="H9393" t="n">
        <v>0</v>
      </c>
      <c r="I9393" t="n">
        <v>0</v>
      </c>
      <c r="J9393" t="n">
        <v>0</v>
      </c>
      <c r="K9393" t="n">
        <v>0</v>
      </c>
      <c r="L9393" t="n">
        <v>0</v>
      </c>
      <c r="M9393" t="n">
        <v>0</v>
      </c>
      <c r="N9393" t="n">
        <v>0</v>
      </c>
      <c r="O9393" t="n">
        <v>0</v>
      </c>
      <c r="P9393" t="n">
        <v>0</v>
      </c>
      <c r="Q9393" t="n">
        <v>0</v>
      </c>
      <c r="R9393" s="2" t="inlineStr"/>
    </row>
    <row r="9394" ht="15" customHeight="1">
      <c r="A9394" t="inlineStr">
        <is>
          <t>A 33696-2024</t>
        </is>
      </c>
      <c r="B9394" s="1" t="n">
        <v>45520.51991898148</v>
      </c>
      <c r="C9394" s="1" t="n">
        <v>46075</v>
      </c>
      <c r="D9394" t="inlineStr">
        <is>
          <t>VÄSTERBOTTENS LÄN</t>
        </is>
      </c>
      <c r="E9394" t="inlineStr">
        <is>
          <t>VINDELN</t>
        </is>
      </c>
      <c r="F9394" t="inlineStr">
        <is>
          <t>Holmen skog AB</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63484-2025</t>
        </is>
      </c>
      <c r="B9395" s="1" t="n">
        <v>46013.46725694444</v>
      </c>
      <c r="C9395" s="1" t="n">
        <v>46075</v>
      </c>
      <c r="D9395" t="inlineStr">
        <is>
          <t>VÄSTERBOTTENS LÄN</t>
        </is>
      </c>
      <c r="E9395" t="inlineStr">
        <is>
          <t>SKELLEFTEÅ</t>
        </is>
      </c>
      <c r="F9395" t="inlineStr">
        <is>
          <t>Holmen skog AB</t>
        </is>
      </c>
      <c r="G9395" t="n">
        <v>1.9</v>
      </c>
      <c r="H9395" t="n">
        <v>0</v>
      </c>
      <c r="I9395" t="n">
        <v>0</v>
      </c>
      <c r="J9395" t="n">
        <v>0</v>
      </c>
      <c r="K9395" t="n">
        <v>0</v>
      </c>
      <c r="L9395" t="n">
        <v>0</v>
      </c>
      <c r="M9395" t="n">
        <v>0</v>
      </c>
      <c r="N9395" t="n">
        <v>0</v>
      </c>
      <c r="O9395" t="n">
        <v>0</v>
      </c>
      <c r="P9395" t="n">
        <v>0</v>
      </c>
      <c r="Q9395" t="n">
        <v>0</v>
      </c>
      <c r="R9395" s="2" t="inlineStr"/>
    </row>
    <row r="9396" ht="15" customHeight="1">
      <c r="A9396" t="inlineStr">
        <is>
          <t>A 63131-2025</t>
        </is>
      </c>
      <c r="B9396" s="1" t="n">
        <v>46010.24019675926</v>
      </c>
      <c r="C9396" s="1" t="n">
        <v>46075</v>
      </c>
      <c r="D9396" t="inlineStr">
        <is>
          <t>VÄSTERBOTTENS LÄN</t>
        </is>
      </c>
      <c r="E9396" t="inlineStr">
        <is>
          <t>UMEÅ</t>
        </is>
      </c>
      <c r="G9396" t="n">
        <v>0.6</v>
      </c>
      <c r="H9396" t="n">
        <v>0</v>
      </c>
      <c r="I9396" t="n">
        <v>0</v>
      </c>
      <c r="J9396" t="n">
        <v>0</v>
      </c>
      <c r="K9396" t="n">
        <v>0</v>
      </c>
      <c r="L9396" t="n">
        <v>0</v>
      </c>
      <c r="M9396" t="n">
        <v>0</v>
      </c>
      <c r="N9396" t="n">
        <v>0</v>
      </c>
      <c r="O9396" t="n">
        <v>0</v>
      </c>
      <c r="P9396" t="n">
        <v>0</v>
      </c>
      <c r="Q9396" t="n">
        <v>0</v>
      </c>
      <c r="R9396" s="2" t="inlineStr"/>
    </row>
    <row r="9397" ht="15" customHeight="1">
      <c r="A9397" t="inlineStr">
        <is>
          <t>A 63132-2025</t>
        </is>
      </c>
      <c r="B9397" s="1" t="n">
        <v>46010.27672453703</v>
      </c>
      <c r="C9397" s="1" t="n">
        <v>46075</v>
      </c>
      <c r="D9397" t="inlineStr">
        <is>
          <t>VÄSTERBOTTENS LÄN</t>
        </is>
      </c>
      <c r="E9397" t="inlineStr">
        <is>
          <t>UMEÅ</t>
        </is>
      </c>
      <c r="G9397" t="n">
        <v>2.8</v>
      </c>
      <c r="H9397" t="n">
        <v>0</v>
      </c>
      <c r="I9397" t="n">
        <v>0</v>
      </c>
      <c r="J9397" t="n">
        <v>0</v>
      </c>
      <c r="K9397" t="n">
        <v>0</v>
      </c>
      <c r="L9397" t="n">
        <v>0</v>
      </c>
      <c r="M9397" t="n">
        <v>0</v>
      </c>
      <c r="N9397" t="n">
        <v>0</v>
      </c>
      <c r="O9397" t="n">
        <v>0</v>
      </c>
      <c r="P9397" t="n">
        <v>0</v>
      </c>
      <c r="Q9397" t="n">
        <v>0</v>
      </c>
      <c r="R9397" s="2" t="inlineStr"/>
    </row>
    <row r="9398" ht="15" customHeight="1">
      <c r="A9398" t="inlineStr">
        <is>
          <t>A 12229-2022</t>
        </is>
      </c>
      <c r="B9398" s="1" t="n">
        <v>44637</v>
      </c>
      <c r="C9398" s="1" t="n">
        <v>46075</v>
      </c>
      <c r="D9398" t="inlineStr">
        <is>
          <t>VÄSTERBOTTENS LÄN</t>
        </is>
      </c>
      <c r="E9398" t="inlineStr">
        <is>
          <t>VILHELMINA</t>
        </is>
      </c>
      <c r="G9398" t="n">
        <v>5</v>
      </c>
      <c r="H9398" t="n">
        <v>0</v>
      </c>
      <c r="I9398" t="n">
        <v>0</v>
      </c>
      <c r="J9398" t="n">
        <v>0</v>
      </c>
      <c r="K9398" t="n">
        <v>0</v>
      </c>
      <c r="L9398" t="n">
        <v>0</v>
      </c>
      <c r="M9398" t="n">
        <v>0</v>
      </c>
      <c r="N9398" t="n">
        <v>0</v>
      </c>
      <c r="O9398" t="n">
        <v>0</v>
      </c>
      <c r="P9398" t="n">
        <v>0</v>
      </c>
      <c r="Q9398" t="n">
        <v>0</v>
      </c>
      <c r="R9398" s="2" t="inlineStr"/>
    </row>
    <row r="9399" ht="15" customHeight="1">
      <c r="A9399" t="inlineStr">
        <is>
          <t>A 4785-2026</t>
        </is>
      </c>
      <c r="B9399" s="1" t="n">
        <v>46048</v>
      </c>
      <c r="C9399" s="1" t="n">
        <v>46075</v>
      </c>
      <c r="D9399" t="inlineStr">
        <is>
          <t>VÄSTERBOTTENS LÄN</t>
        </is>
      </c>
      <c r="E9399" t="inlineStr">
        <is>
          <t>VILHELMINA</t>
        </is>
      </c>
      <c r="G9399" t="n">
        <v>9.6</v>
      </c>
      <c r="H9399" t="n">
        <v>0</v>
      </c>
      <c r="I9399" t="n">
        <v>0</v>
      </c>
      <c r="J9399" t="n">
        <v>0</v>
      </c>
      <c r="K9399" t="n">
        <v>0</v>
      </c>
      <c r="L9399" t="n">
        <v>0</v>
      </c>
      <c r="M9399" t="n">
        <v>0</v>
      </c>
      <c r="N9399" t="n">
        <v>0</v>
      </c>
      <c r="O9399" t="n">
        <v>0</v>
      </c>
      <c r="P9399" t="n">
        <v>0</v>
      </c>
      <c r="Q9399" t="n">
        <v>0</v>
      </c>
      <c r="R9399" s="2" t="inlineStr"/>
    </row>
    <row r="9400" ht="15" customHeight="1">
      <c r="A9400" t="inlineStr">
        <is>
          <t>A 42010-2024</t>
        </is>
      </c>
      <c r="B9400" s="1" t="n">
        <v>45561</v>
      </c>
      <c r="C9400" s="1" t="n">
        <v>46075</v>
      </c>
      <c r="D9400" t="inlineStr">
        <is>
          <t>VÄSTERBOTTENS LÄN</t>
        </is>
      </c>
      <c r="E9400" t="inlineStr">
        <is>
          <t>UMEÅ</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63266-2025</t>
        </is>
      </c>
      <c r="B9401" s="1" t="n">
        <v>46010.56211805555</v>
      </c>
      <c r="C9401" s="1" t="n">
        <v>46075</v>
      </c>
      <c r="D9401" t="inlineStr">
        <is>
          <t>VÄSTERBOTTENS LÄN</t>
        </is>
      </c>
      <c r="E9401" t="inlineStr">
        <is>
          <t>NORDMALING</t>
        </is>
      </c>
      <c r="G9401" t="n">
        <v>7.5</v>
      </c>
      <c r="H9401" t="n">
        <v>0</v>
      </c>
      <c r="I9401" t="n">
        <v>0</v>
      </c>
      <c r="J9401" t="n">
        <v>0</v>
      </c>
      <c r="K9401" t="n">
        <v>0</v>
      </c>
      <c r="L9401" t="n">
        <v>0</v>
      </c>
      <c r="M9401" t="n">
        <v>0</v>
      </c>
      <c r="N9401" t="n">
        <v>0</v>
      </c>
      <c r="O9401" t="n">
        <v>0</v>
      </c>
      <c r="P9401" t="n">
        <v>0</v>
      </c>
      <c r="Q9401" t="n">
        <v>0</v>
      </c>
      <c r="R9401" s="2" t="inlineStr"/>
    </row>
    <row r="9402" ht="15" customHeight="1">
      <c r="A9402" t="inlineStr">
        <is>
          <t>A 63130-2025</t>
        </is>
      </c>
      <c r="B9402" s="1" t="n">
        <v>46010.23451388889</v>
      </c>
      <c r="C9402" s="1" t="n">
        <v>46075</v>
      </c>
      <c r="D9402" t="inlineStr">
        <is>
          <t>VÄSTERBOTTENS LÄN</t>
        </is>
      </c>
      <c r="E9402" t="inlineStr">
        <is>
          <t>UMEÅ</t>
        </is>
      </c>
      <c r="G9402" t="n">
        <v>7.2</v>
      </c>
      <c r="H9402" t="n">
        <v>0</v>
      </c>
      <c r="I9402" t="n">
        <v>0</v>
      </c>
      <c r="J9402" t="n">
        <v>0</v>
      </c>
      <c r="K9402" t="n">
        <v>0</v>
      </c>
      <c r="L9402" t="n">
        <v>0</v>
      </c>
      <c r="M9402" t="n">
        <v>0</v>
      </c>
      <c r="N9402" t="n">
        <v>0</v>
      </c>
      <c r="O9402" t="n">
        <v>0</v>
      </c>
      <c r="P9402" t="n">
        <v>0</v>
      </c>
      <c r="Q9402" t="n">
        <v>0</v>
      </c>
      <c r="R9402" s="2" t="inlineStr"/>
    </row>
    <row r="9403" ht="15" customHeight="1">
      <c r="A9403" t="inlineStr">
        <is>
          <t>A 63155-2025</t>
        </is>
      </c>
      <c r="B9403" s="1" t="n">
        <v>46010.3641087963</v>
      </c>
      <c r="C9403" s="1" t="n">
        <v>46075</v>
      </c>
      <c r="D9403" t="inlineStr">
        <is>
          <t>VÄSTERBOTTENS LÄN</t>
        </is>
      </c>
      <c r="E9403" t="inlineStr">
        <is>
          <t>UMEÅ</t>
        </is>
      </c>
      <c r="G9403" t="n">
        <v>3.4</v>
      </c>
      <c r="H9403" t="n">
        <v>0</v>
      </c>
      <c r="I9403" t="n">
        <v>0</v>
      </c>
      <c r="J9403" t="n">
        <v>0</v>
      </c>
      <c r="K9403" t="n">
        <v>0</v>
      </c>
      <c r="L9403" t="n">
        <v>0</v>
      </c>
      <c r="M9403" t="n">
        <v>0</v>
      </c>
      <c r="N9403" t="n">
        <v>0</v>
      </c>
      <c r="O9403" t="n">
        <v>0</v>
      </c>
      <c r="P9403" t="n">
        <v>0</v>
      </c>
      <c r="Q9403" t="n">
        <v>0</v>
      </c>
      <c r="R9403" s="2" t="inlineStr"/>
    </row>
    <row r="9404" ht="15" customHeight="1">
      <c r="A9404" t="inlineStr">
        <is>
          <t>A 63166-2025</t>
        </is>
      </c>
      <c r="B9404" s="1" t="n">
        <v>46010</v>
      </c>
      <c r="C9404" s="1" t="n">
        <v>46075</v>
      </c>
      <c r="D9404" t="inlineStr">
        <is>
          <t>VÄSTERBOTTENS LÄN</t>
        </is>
      </c>
      <c r="E9404" t="inlineStr">
        <is>
          <t>BJURHOLM</t>
        </is>
      </c>
      <c r="G9404" t="n">
        <v>8.300000000000001</v>
      </c>
      <c r="H9404" t="n">
        <v>0</v>
      </c>
      <c r="I9404" t="n">
        <v>0</v>
      </c>
      <c r="J9404" t="n">
        <v>0</v>
      </c>
      <c r="K9404" t="n">
        <v>0</v>
      </c>
      <c r="L9404" t="n">
        <v>0</v>
      </c>
      <c r="M9404" t="n">
        <v>0</v>
      </c>
      <c r="N9404" t="n">
        <v>0</v>
      </c>
      <c r="O9404" t="n">
        <v>0</v>
      </c>
      <c r="P9404" t="n">
        <v>0</v>
      </c>
      <c r="Q9404" t="n">
        <v>0</v>
      </c>
      <c r="R9404" s="2" t="inlineStr"/>
    </row>
    <row r="9405" ht="15" customHeight="1">
      <c r="A9405" t="inlineStr">
        <is>
          <t>A 22755-2024</t>
        </is>
      </c>
      <c r="B9405" s="1" t="n">
        <v>45448.42561342593</v>
      </c>
      <c r="C9405" s="1" t="n">
        <v>46075</v>
      </c>
      <c r="D9405" t="inlineStr">
        <is>
          <t>VÄSTERBOTTENS LÄN</t>
        </is>
      </c>
      <c r="E9405" t="inlineStr">
        <is>
          <t>UMEÅ</t>
        </is>
      </c>
      <c r="F9405" t="inlineStr">
        <is>
          <t>Holmen skog AB</t>
        </is>
      </c>
      <c r="G9405" t="n">
        <v>0.9</v>
      </c>
      <c r="H9405" t="n">
        <v>0</v>
      </c>
      <c r="I9405" t="n">
        <v>0</v>
      </c>
      <c r="J9405" t="n">
        <v>0</v>
      </c>
      <c r="K9405" t="n">
        <v>0</v>
      </c>
      <c r="L9405" t="n">
        <v>0</v>
      </c>
      <c r="M9405" t="n">
        <v>0</v>
      </c>
      <c r="N9405" t="n">
        <v>0</v>
      </c>
      <c r="O9405" t="n">
        <v>0</v>
      </c>
      <c r="P9405" t="n">
        <v>0</v>
      </c>
      <c r="Q9405" t="n">
        <v>0</v>
      </c>
      <c r="R9405" s="2" t="inlineStr"/>
    </row>
    <row r="9406" ht="15" customHeight="1">
      <c r="A9406" t="inlineStr">
        <is>
          <t>A 63170-2025</t>
        </is>
      </c>
      <c r="B9406" s="1" t="n">
        <v>46010.39568287037</v>
      </c>
      <c r="C9406" s="1" t="n">
        <v>46075</v>
      </c>
      <c r="D9406" t="inlineStr">
        <is>
          <t>VÄSTERBOTTENS LÄN</t>
        </is>
      </c>
      <c r="E9406" t="inlineStr">
        <is>
          <t>BJURHOLM</t>
        </is>
      </c>
      <c r="G9406" t="n">
        <v>3.9</v>
      </c>
      <c r="H9406" t="n">
        <v>0</v>
      </c>
      <c r="I9406" t="n">
        <v>0</v>
      </c>
      <c r="J9406" t="n">
        <v>0</v>
      </c>
      <c r="K9406" t="n">
        <v>0</v>
      </c>
      <c r="L9406" t="n">
        <v>0</v>
      </c>
      <c r="M9406" t="n">
        <v>0</v>
      </c>
      <c r="N9406" t="n">
        <v>0</v>
      </c>
      <c r="O9406" t="n">
        <v>0</v>
      </c>
      <c r="P9406" t="n">
        <v>0</v>
      </c>
      <c r="Q9406" t="n">
        <v>0</v>
      </c>
      <c r="R9406" s="2" t="inlineStr"/>
    </row>
    <row r="9407" ht="15" customHeight="1">
      <c r="A9407" t="inlineStr">
        <is>
          <t>A 63447-2025</t>
        </is>
      </c>
      <c r="B9407" s="1" t="n">
        <v>46013.4020949074</v>
      </c>
      <c r="C9407" s="1" t="n">
        <v>46075</v>
      </c>
      <c r="D9407" t="inlineStr">
        <is>
          <t>VÄSTERBOTTENS LÄN</t>
        </is>
      </c>
      <c r="E9407" t="inlineStr">
        <is>
          <t>VÄNNÄS</t>
        </is>
      </c>
      <c r="F9407" t="inlineStr">
        <is>
          <t>Sveaskog</t>
        </is>
      </c>
      <c r="G9407" t="n">
        <v>21.4</v>
      </c>
      <c r="H9407" t="n">
        <v>0</v>
      </c>
      <c r="I9407" t="n">
        <v>0</v>
      </c>
      <c r="J9407" t="n">
        <v>0</v>
      </c>
      <c r="K9407" t="n">
        <v>0</v>
      </c>
      <c r="L9407" t="n">
        <v>0</v>
      </c>
      <c r="M9407" t="n">
        <v>0</v>
      </c>
      <c r="N9407" t="n">
        <v>0</v>
      </c>
      <c r="O9407" t="n">
        <v>0</v>
      </c>
      <c r="P9407" t="n">
        <v>0</v>
      </c>
      <c r="Q9407" t="n">
        <v>0</v>
      </c>
      <c r="R9407" s="2" t="inlineStr"/>
    </row>
    <row r="9408" ht="15" customHeight="1">
      <c r="A9408" t="inlineStr">
        <is>
          <t>A 38312-2023</t>
        </is>
      </c>
      <c r="B9408" s="1" t="n">
        <v>45161</v>
      </c>
      <c r="C9408" s="1" t="n">
        <v>46075</v>
      </c>
      <c r="D9408" t="inlineStr">
        <is>
          <t>VÄSTERBOTTENS LÄN</t>
        </is>
      </c>
      <c r="E9408" t="inlineStr">
        <is>
          <t>MALÅ</t>
        </is>
      </c>
      <c r="F9408" t="inlineStr">
        <is>
          <t>Sveaskog</t>
        </is>
      </c>
      <c r="G9408" t="n">
        <v>63.6</v>
      </c>
      <c r="H9408" t="n">
        <v>0</v>
      </c>
      <c r="I9408" t="n">
        <v>0</v>
      </c>
      <c r="J9408" t="n">
        <v>0</v>
      </c>
      <c r="K9408" t="n">
        <v>0</v>
      </c>
      <c r="L9408" t="n">
        <v>0</v>
      </c>
      <c r="M9408" t="n">
        <v>0</v>
      </c>
      <c r="N9408" t="n">
        <v>0</v>
      </c>
      <c r="O9408" t="n">
        <v>0</v>
      </c>
      <c r="P9408" t="n">
        <v>0</v>
      </c>
      <c r="Q9408" t="n">
        <v>0</v>
      </c>
      <c r="R9408" s="2" t="inlineStr"/>
    </row>
    <row r="9409" ht="15" customHeight="1">
      <c r="A9409" t="inlineStr">
        <is>
          <t>A 6045-2026</t>
        </is>
      </c>
      <c r="B9409" s="1" t="n">
        <v>46052.62574074074</v>
      </c>
      <c r="C9409" s="1" t="n">
        <v>46075</v>
      </c>
      <c r="D9409" t="inlineStr">
        <is>
          <t>VÄSTERBOTTENS LÄN</t>
        </is>
      </c>
      <c r="E9409" t="inlineStr">
        <is>
          <t>NORDMALING</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21495-2024</t>
        </is>
      </c>
      <c r="B9410" s="1" t="n">
        <v>45441</v>
      </c>
      <c r="C9410" s="1" t="n">
        <v>46075</v>
      </c>
      <c r="D9410" t="inlineStr">
        <is>
          <t>VÄSTERBOTTENS LÄN</t>
        </is>
      </c>
      <c r="E9410" t="inlineStr">
        <is>
          <t>SKELLEFTEÅ</t>
        </is>
      </c>
      <c r="G9410" t="n">
        <v>0.5</v>
      </c>
      <c r="H9410" t="n">
        <v>0</v>
      </c>
      <c r="I9410" t="n">
        <v>0</v>
      </c>
      <c r="J9410" t="n">
        <v>0</v>
      </c>
      <c r="K9410" t="n">
        <v>0</v>
      </c>
      <c r="L9410" t="n">
        <v>0</v>
      </c>
      <c r="M9410" t="n">
        <v>0</v>
      </c>
      <c r="N9410" t="n">
        <v>0</v>
      </c>
      <c r="O9410" t="n">
        <v>0</v>
      </c>
      <c r="P9410" t="n">
        <v>0</v>
      </c>
      <c r="Q9410" t="n">
        <v>0</v>
      </c>
      <c r="R9410" s="2" t="inlineStr"/>
    </row>
    <row r="9411" ht="15" customHeight="1">
      <c r="A9411" t="inlineStr">
        <is>
          <t>A 40435-2023</t>
        </is>
      </c>
      <c r="B9411" s="1" t="n">
        <v>45169</v>
      </c>
      <c r="C9411" s="1" t="n">
        <v>46075</v>
      </c>
      <c r="D9411" t="inlineStr">
        <is>
          <t>VÄSTERBOTTENS LÄN</t>
        </is>
      </c>
      <c r="E9411" t="inlineStr">
        <is>
          <t>DOROTEA</t>
        </is>
      </c>
      <c r="F9411" t="inlineStr">
        <is>
          <t>SCA</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40436-2023</t>
        </is>
      </c>
      <c r="B9412" s="1" t="n">
        <v>45169.9409837963</v>
      </c>
      <c r="C9412" s="1" t="n">
        <v>46075</v>
      </c>
      <c r="D9412" t="inlineStr">
        <is>
          <t>VÄSTERBOTTENS LÄN</t>
        </is>
      </c>
      <c r="E9412" t="inlineStr">
        <is>
          <t>DOROTEA</t>
        </is>
      </c>
      <c r="F9412" t="inlineStr">
        <is>
          <t>SCA</t>
        </is>
      </c>
      <c r="G9412" t="n">
        <v>2.6</v>
      </c>
      <c r="H9412" t="n">
        <v>0</v>
      </c>
      <c r="I9412" t="n">
        <v>0</v>
      </c>
      <c r="J9412" t="n">
        <v>0</v>
      </c>
      <c r="K9412" t="n">
        <v>0</v>
      </c>
      <c r="L9412" t="n">
        <v>0</v>
      </c>
      <c r="M9412" t="n">
        <v>0</v>
      </c>
      <c r="N9412" t="n">
        <v>0</v>
      </c>
      <c r="O9412" t="n">
        <v>0</v>
      </c>
      <c r="P9412" t="n">
        <v>0</v>
      </c>
      <c r="Q9412" t="n">
        <v>0</v>
      </c>
      <c r="R9412" s="2" t="inlineStr"/>
    </row>
    <row r="9413" ht="15" customHeight="1">
      <c r="A9413" t="inlineStr">
        <is>
          <t>A 40437-2023</t>
        </is>
      </c>
      <c r="B9413" s="1" t="n">
        <v>45169.94105324074</v>
      </c>
      <c r="C9413" s="1" t="n">
        <v>46075</v>
      </c>
      <c r="D9413" t="inlineStr">
        <is>
          <t>VÄSTERBOTTENS LÄN</t>
        </is>
      </c>
      <c r="E9413" t="inlineStr">
        <is>
          <t>DOROTEA</t>
        </is>
      </c>
      <c r="F9413" t="inlineStr">
        <is>
          <t>SCA</t>
        </is>
      </c>
      <c r="G9413" t="n">
        <v>1.6</v>
      </c>
      <c r="H9413" t="n">
        <v>0</v>
      </c>
      <c r="I9413" t="n">
        <v>0</v>
      </c>
      <c r="J9413" t="n">
        <v>0</v>
      </c>
      <c r="K9413" t="n">
        <v>0</v>
      </c>
      <c r="L9413" t="n">
        <v>0</v>
      </c>
      <c r="M9413" t="n">
        <v>0</v>
      </c>
      <c r="N9413" t="n">
        <v>0</v>
      </c>
      <c r="O9413" t="n">
        <v>0</v>
      </c>
      <c r="P9413" t="n">
        <v>0</v>
      </c>
      <c r="Q9413" t="n">
        <v>0</v>
      </c>
      <c r="R9413" s="2" t="inlineStr"/>
    </row>
    <row r="9414" ht="15" customHeight="1">
      <c r="A9414" t="inlineStr">
        <is>
          <t>A 52999-2024</t>
        </is>
      </c>
      <c r="B9414" s="1" t="n">
        <v>45611.38667824074</v>
      </c>
      <c r="C9414" s="1" t="n">
        <v>46075</v>
      </c>
      <c r="D9414" t="inlineStr">
        <is>
          <t>VÄSTERBOTTENS LÄN</t>
        </is>
      </c>
      <c r="E9414" t="inlineStr">
        <is>
          <t>SKELLEFTEÅ</t>
        </is>
      </c>
      <c r="G9414" t="n">
        <v>6.3</v>
      </c>
      <c r="H9414" t="n">
        <v>0</v>
      </c>
      <c r="I9414" t="n">
        <v>0</v>
      </c>
      <c r="J9414" t="n">
        <v>0</v>
      </c>
      <c r="K9414" t="n">
        <v>0</v>
      </c>
      <c r="L9414" t="n">
        <v>0</v>
      </c>
      <c r="M9414" t="n">
        <v>0</v>
      </c>
      <c r="N9414" t="n">
        <v>0</v>
      </c>
      <c r="O9414" t="n">
        <v>0</v>
      </c>
      <c r="P9414" t="n">
        <v>0</v>
      </c>
      <c r="Q9414" t="n">
        <v>0</v>
      </c>
      <c r="R9414" s="2" t="inlineStr"/>
    </row>
    <row r="9415" ht="15" customHeight="1">
      <c r="A9415" t="inlineStr">
        <is>
          <t>A 6105-2026</t>
        </is>
      </c>
      <c r="B9415" s="1" t="n">
        <v>46052.96436342593</v>
      </c>
      <c r="C9415" s="1" t="n">
        <v>46075</v>
      </c>
      <c r="D9415" t="inlineStr">
        <is>
          <t>VÄSTERBOTTENS LÄN</t>
        </is>
      </c>
      <c r="E9415" t="inlineStr">
        <is>
          <t>SKELLEFTEÅ</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40442-2023</t>
        </is>
      </c>
      <c r="B9416" s="1" t="n">
        <v>45170.27015046297</v>
      </c>
      <c r="C9416" s="1" t="n">
        <v>46075</v>
      </c>
      <c r="D9416" t="inlineStr">
        <is>
          <t>VÄSTERBOTTENS LÄN</t>
        </is>
      </c>
      <c r="E9416" t="inlineStr">
        <is>
          <t>SKELLEFTEÅ</t>
        </is>
      </c>
      <c r="G9416" t="n">
        <v>2.3</v>
      </c>
      <c r="H9416" t="n">
        <v>0</v>
      </c>
      <c r="I9416" t="n">
        <v>0</v>
      </c>
      <c r="J9416" t="n">
        <v>0</v>
      </c>
      <c r="K9416" t="n">
        <v>0</v>
      </c>
      <c r="L9416" t="n">
        <v>0</v>
      </c>
      <c r="M9416" t="n">
        <v>0</v>
      </c>
      <c r="N9416" t="n">
        <v>0</v>
      </c>
      <c r="O9416" t="n">
        <v>0</v>
      </c>
      <c r="P9416" t="n">
        <v>0</v>
      </c>
      <c r="Q9416" t="n">
        <v>0</v>
      </c>
      <c r="R9416" s="2" t="inlineStr"/>
    </row>
    <row r="9417" ht="15" customHeight="1">
      <c r="A9417" t="inlineStr">
        <is>
          <t>A 63294-2025</t>
        </is>
      </c>
      <c r="B9417" s="1" t="n">
        <v>46010.59421296296</v>
      </c>
      <c r="C9417" s="1" t="n">
        <v>46075</v>
      </c>
      <c r="D9417" t="inlineStr">
        <is>
          <t>VÄSTERBOTTENS LÄN</t>
        </is>
      </c>
      <c r="E9417" t="inlineStr">
        <is>
          <t>DOROTEA</t>
        </is>
      </c>
      <c r="G9417" t="n">
        <v>1.3</v>
      </c>
      <c r="H9417" t="n">
        <v>0</v>
      </c>
      <c r="I9417" t="n">
        <v>0</v>
      </c>
      <c r="J9417" t="n">
        <v>0</v>
      </c>
      <c r="K9417" t="n">
        <v>0</v>
      </c>
      <c r="L9417" t="n">
        <v>0</v>
      </c>
      <c r="M9417" t="n">
        <v>0</v>
      </c>
      <c r="N9417" t="n">
        <v>0</v>
      </c>
      <c r="O9417" t="n">
        <v>0</v>
      </c>
      <c r="P9417" t="n">
        <v>0</v>
      </c>
      <c r="Q9417" t="n">
        <v>0</v>
      </c>
      <c r="R9417" s="2" t="inlineStr"/>
    </row>
    <row r="9418" ht="15" customHeight="1">
      <c r="A9418" t="inlineStr">
        <is>
          <t>A 63553-2025</t>
        </is>
      </c>
      <c r="B9418" s="1" t="n">
        <v>46013.61215277778</v>
      </c>
      <c r="C9418" s="1" t="n">
        <v>46075</v>
      </c>
      <c r="D9418" t="inlineStr">
        <is>
          <t>VÄSTERBOTTENS LÄN</t>
        </is>
      </c>
      <c r="E9418" t="inlineStr">
        <is>
          <t>BJURHOLM</t>
        </is>
      </c>
      <c r="F9418" t="inlineStr">
        <is>
          <t>Holmen skog AB</t>
        </is>
      </c>
      <c r="G9418" t="n">
        <v>7.5</v>
      </c>
      <c r="H9418" t="n">
        <v>0</v>
      </c>
      <c r="I9418" t="n">
        <v>0</v>
      </c>
      <c r="J9418" t="n">
        <v>0</v>
      </c>
      <c r="K9418" t="n">
        <v>0</v>
      </c>
      <c r="L9418" t="n">
        <v>0</v>
      </c>
      <c r="M9418" t="n">
        <v>0</v>
      </c>
      <c r="N9418" t="n">
        <v>0</v>
      </c>
      <c r="O9418" t="n">
        <v>0</v>
      </c>
      <c r="P9418" t="n">
        <v>0</v>
      </c>
      <c r="Q9418" t="n">
        <v>0</v>
      </c>
      <c r="R9418" s="2" t="inlineStr"/>
    </row>
    <row r="9419" ht="15" customHeight="1">
      <c r="A9419" t="inlineStr">
        <is>
          <t>A 51723-2023</t>
        </is>
      </c>
      <c r="B9419" s="1" t="n">
        <v>45222</v>
      </c>
      <c r="C9419" s="1" t="n">
        <v>46075</v>
      </c>
      <c r="D9419" t="inlineStr">
        <is>
          <t>VÄSTERBOTTENS LÄN</t>
        </is>
      </c>
      <c r="E9419" t="inlineStr">
        <is>
          <t>MALÅ</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11381-2025</t>
        </is>
      </c>
      <c r="B9420" s="1" t="n">
        <v>45724</v>
      </c>
      <c r="C9420" s="1" t="n">
        <v>46075</v>
      </c>
      <c r="D9420" t="inlineStr">
        <is>
          <t>VÄSTERBOTTENS LÄN</t>
        </is>
      </c>
      <c r="E9420" t="inlineStr">
        <is>
          <t>STORUMAN</t>
        </is>
      </c>
      <c r="G9420" t="n">
        <v>9.800000000000001</v>
      </c>
      <c r="H9420" t="n">
        <v>0</v>
      </c>
      <c r="I9420" t="n">
        <v>0</v>
      </c>
      <c r="J9420" t="n">
        <v>0</v>
      </c>
      <c r="K9420" t="n">
        <v>0</v>
      </c>
      <c r="L9420" t="n">
        <v>0</v>
      </c>
      <c r="M9420" t="n">
        <v>0</v>
      </c>
      <c r="N9420" t="n">
        <v>0</v>
      </c>
      <c r="O9420" t="n">
        <v>0</v>
      </c>
      <c r="P9420" t="n">
        <v>0</v>
      </c>
      <c r="Q9420" t="n">
        <v>0</v>
      </c>
      <c r="R9420" s="2" t="inlineStr"/>
    </row>
    <row r="9421" ht="15" customHeight="1">
      <c r="A9421" t="inlineStr">
        <is>
          <t>A 27917-2024</t>
        </is>
      </c>
      <c r="B9421" s="1" t="n">
        <v>45475.94844907407</v>
      </c>
      <c r="C9421" s="1" t="n">
        <v>46075</v>
      </c>
      <c r="D9421" t="inlineStr">
        <is>
          <t>VÄSTERBOTTENS LÄN</t>
        </is>
      </c>
      <c r="E9421" t="inlineStr">
        <is>
          <t>VILHELMINA</t>
        </is>
      </c>
      <c r="F9421" t="inlineStr">
        <is>
          <t>SCA</t>
        </is>
      </c>
      <c r="G9421" t="n">
        <v>3.1</v>
      </c>
      <c r="H9421" t="n">
        <v>0</v>
      </c>
      <c r="I9421" t="n">
        <v>0</v>
      </c>
      <c r="J9421" t="n">
        <v>0</v>
      </c>
      <c r="K9421" t="n">
        <v>0</v>
      </c>
      <c r="L9421" t="n">
        <v>0</v>
      </c>
      <c r="M9421" t="n">
        <v>0</v>
      </c>
      <c r="N9421" t="n">
        <v>0</v>
      </c>
      <c r="O9421" t="n">
        <v>0</v>
      </c>
      <c r="P9421" t="n">
        <v>0</v>
      </c>
      <c r="Q9421" t="n">
        <v>0</v>
      </c>
      <c r="R9421" s="2" t="inlineStr"/>
    </row>
    <row r="9422" ht="15" customHeight="1">
      <c r="A9422" t="inlineStr">
        <is>
          <t>A 27951-2024</t>
        </is>
      </c>
      <c r="B9422" s="1" t="n">
        <v>45476.32990740741</v>
      </c>
      <c r="C9422" s="1" t="n">
        <v>46075</v>
      </c>
      <c r="D9422" t="inlineStr">
        <is>
          <t>VÄSTERBOTTENS LÄN</t>
        </is>
      </c>
      <c r="E9422" t="inlineStr">
        <is>
          <t>ÅSELE</t>
        </is>
      </c>
      <c r="F9422" t="inlineStr">
        <is>
          <t>Sveaskog</t>
        </is>
      </c>
      <c r="G9422" t="n">
        <v>4</v>
      </c>
      <c r="H9422" t="n">
        <v>0</v>
      </c>
      <c r="I9422" t="n">
        <v>0</v>
      </c>
      <c r="J9422" t="n">
        <v>0</v>
      </c>
      <c r="K9422" t="n">
        <v>0</v>
      </c>
      <c r="L9422" t="n">
        <v>0</v>
      </c>
      <c r="M9422" t="n">
        <v>0</v>
      </c>
      <c r="N9422" t="n">
        <v>0</v>
      </c>
      <c r="O9422" t="n">
        <v>0</v>
      </c>
      <c r="P9422" t="n">
        <v>0</v>
      </c>
      <c r="Q9422" t="n">
        <v>0</v>
      </c>
      <c r="R9422" s="2" t="inlineStr"/>
    </row>
    <row r="9423" ht="15" customHeight="1">
      <c r="A9423" t="inlineStr">
        <is>
          <t>A 27953-2024</t>
        </is>
      </c>
      <c r="B9423" s="1" t="n">
        <v>45476</v>
      </c>
      <c r="C9423" s="1" t="n">
        <v>46075</v>
      </c>
      <c r="D9423" t="inlineStr">
        <is>
          <t>VÄSTERBOTTENS LÄN</t>
        </is>
      </c>
      <c r="E9423" t="inlineStr">
        <is>
          <t>BJURHOLM</t>
        </is>
      </c>
      <c r="F9423" t="inlineStr">
        <is>
          <t>Holmen skog AB</t>
        </is>
      </c>
      <c r="G9423" t="n">
        <v>1.8</v>
      </c>
      <c r="H9423" t="n">
        <v>0</v>
      </c>
      <c r="I9423" t="n">
        <v>0</v>
      </c>
      <c r="J9423" t="n">
        <v>0</v>
      </c>
      <c r="K9423" t="n">
        <v>0</v>
      </c>
      <c r="L9423" t="n">
        <v>0</v>
      </c>
      <c r="M9423" t="n">
        <v>0</v>
      </c>
      <c r="N9423" t="n">
        <v>0</v>
      </c>
      <c r="O9423" t="n">
        <v>0</v>
      </c>
      <c r="P9423" t="n">
        <v>0</v>
      </c>
      <c r="Q9423" t="n">
        <v>0</v>
      </c>
      <c r="R9423" s="2" t="inlineStr"/>
    </row>
    <row r="9424" ht="15" customHeight="1">
      <c r="A9424" t="inlineStr">
        <is>
          <t>A 63207-2025</t>
        </is>
      </c>
      <c r="B9424" s="1" t="n">
        <v>46010.47295138889</v>
      </c>
      <c r="C9424" s="1" t="n">
        <v>46075</v>
      </c>
      <c r="D9424" t="inlineStr">
        <is>
          <t>VÄSTERBOTTENS LÄN</t>
        </is>
      </c>
      <c r="E9424" t="inlineStr">
        <is>
          <t>SKELLEFTEÅ</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6381-2026</t>
        </is>
      </c>
      <c r="B9425" s="1" t="n">
        <v>46055.63590277778</v>
      </c>
      <c r="C9425" s="1" t="n">
        <v>46075</v>
      </c>
      <c r="D9425" t="inlineStr">
        <is>
          <t>VÄSTERBOTTENS LÄN</t>
        </is>
      </c>
      <c r="E9425" t="inlineStr">
        <is>
          <t>DOROTEA</t>
        </is>
      </c>
      <c r="F9425" t="inlineStr">
        <is>
          <t>SCA</t>
        </is>
      </c>
      <c r="G9425" t="n">
        <v>3.2</v>
      </c>
      <c r="H9425" t="n">
        <v>0</v>
      </c>
      <c r="I9425" t="n">
        <v>0</v>
      </c>
      <c r="J9425" t="n">
        <v>0</v>
      </c>
      <c r="K9425" t="n">
        <v>0</v>
      </c>
      <c r="L9425" t="n">
        <v>0</v>
      </c>
      <c r="M9425" t="n">
        <v>0</v>
      </c>
      <c r="N9425" t="n">
        <v>0</v>
      </c>
      <c r="O9425" t="n">
        <v>0</v>
      </c>
      <c r="P9425" t="n">
        <v>0</v>
      </c>
      <c r="Q9425" t="n">
        <v>0</v>
      </c>
      <c r="R9425" s="2" t="inlineStr"/>
    </row>
    <row r="9426" ht="15" customHeight="1">
      <c r="A9426" t="inlineStr">
        <is>
          <t>A 63221-2025</t>
        </is>
      </c>
      <c r="B9426" s="1" t="n">
        <v>46010.49079861111</v>
      </c>
      <c r="C9426" s="1" t="n">
        <v>46075</v>
      </c>
      <c r="D9426" t="inlineStr">
        <is>
          <t>VÄSTERBOTTENS LÄN</t>
        </is>
      </c>
      <c r="E9426" t="inlineStr">
        <is>
          <t>SKELLEFTEÅ</t>
        </is>
      </c>
      <c r="G9426" t="n">
        <v>7.5</v>
      </c>
      <c r="H9426" t="n">
        <v>0</v>
      </c>
      <c r="I9426" t="n">
        <v>0</v>
      </c>
      <c r="J9426" t="n">
        <v>0</v>
      </c>
      <c r="K9426" t="n">
        <v>0</v>
      </c>
      <c r="L9426" t="n">
        <v>0</v>
      </c>
      <c r="M9426" t="n">
        <v>0</v>
      </c>
      <c r="N9426" t="n">
        <v>0</v>
      </c>
      <c r="O9426" t="n">
        <v>0</v>
      </c>
      <c r="P9426" t="n">
        <v>0</v>
      </c>
      <c r="Q9426" t="n">
        <v>0</v>
      </c>
      <c r="R9426" s="2" t="inlineStr"/>
    </row>
    <row r="9427" ht="15" customHeight="1">
      <c r="A9427" t="inlineStr">
        <is>
          <t>A 26489-2024</t>
        </is>
      </c>
      <c r="B9427" s="1" t="n">
        <v>45469.5581712963</v>
      </c>
      <c r="C9427" s="1" t="n">
        <v>46075</v>
      </c>
      <c r="D9427" t="inlineStr">
        <is>
          <t>VÄSTERBOTTENS LÄN</t>
        </is>
      </c>
      <c r="E9427" t="inlineStr">
        <is>
          <t>VINDELN</t>
        </is>
      </c>
      <c r="F9427" t="inlineStr">
        <is>
          <t>Holmen skog AB</t>
        </is>
      </c>
      <c r="G9427" t="n">
        <v>2.3</v>
      </c>
      <c r="H9427" t="n">
        <v>0</v>
      </c>
      <c r="I9427" t="n">
        <v>0</v>
      </c>
      <c r="J9427" t="n">
        <v>0</v>
      </c>
      <c r="K9427" t="n">
        <v>0</v>
      </c>
      <c r="L9427" t="n">
        <v>0</v>
      </c>
      <c r="M9427" t="n">
        <v>0</v>
      </c>
      <c r="N9427" t="n">
        <v>0</v>
      </c>
      <c r="O9427" t="n">
        <v>0</v>
      </c>
      <c r="P9427" t="n">
        <v>0</v>
      </c>
      <c r="Q9427" t="n">
        <v>0</v>
      </c>
      <c r="R9427" s="2" t="inlineStr"/>
    </row>
    <row r="9428" ht="15" customHeight="1">
      <c r="A9428" t="inlineStr">
        <is>
          <t>A 56727-2022</t>
        </is>
      </c>
      <c r="B9428" s="1" t="n">
        <v>44893</v>
      </c>
      <c r="C9428" s="1" t="n">
        <v>46075</v>
      </c>
      <c r="D9428" t="inlineStr">
        <is>
          <t>VÄSTERBOTTENS LÄN</t>
        </is>
      </c>
      <c r="E9428" t="inlineStr">
        <is>
          <t>MALÅ</t>
        </is>
      </c>
      <c r="G9428" t="n">
        <v>3</v>
      </c>
      <c r="H9428" t="n">
        <v>0</v>
      </c>
      <c r="I9428" t="n">
        <v>0</v>
      </c>
      <c r="J9428" t="n">
        <v>0</v>
      </c>
      <c r="K9428" t="n">
        <v>0</v>
      </c>
      <c r="L9428" t="n">
        <v>0</v>
      </c>
      <c r="M9428" t="n">
        <v>0</v>
      </c>
      <c r="N9428" t="n">
        <v>0</v>
      </c>
      <c r="O9428" t="n">
        <v>0</v>
      </c>
      <c r="P9428" t="n">
        <v>0</v>
      </c>
      <c r="Q9428" t="n">
        <v>0</v>
      </c>
      <c r="R9428" s="2" t="inlineStr"/>
    </row>
    <row r="9429" ht="15" customHeight="1">
      <c r="A9429" t="inlineStr">
        <is>
          <t>A 41914-2024</t>
        </is>
      </c>
      <c r="B9429" s="1" t="n">
        <v>45561.55239583334</v>
      </c>
      <c r="C9429" s="1" t="n">
        <v>46075</v>
      </c>
      <c r="D9429" t="inlineStr">
        <is>
          <t>VÄSTERBOTTENS LÄN</t>
        </is>
      </c>
      <c r="E9429" t="inlineStr">
        <is>
          <t>ROBERTSFORS</t>
        </is>
      </c>
      <c r="G9429" t="n">
        <v>6.4</v>
      </c>
      <c r="H9429" t="n">
        <v>0</v>
      </c>
      <c r="I9429" t="n">
        <v>0</v>
      </c>
      <c r="J9429" t="n">
        <v>0</v>
      </c>
      <c r="K9429" t="n">
        <v>0</v>
      </c>
      <c r="L9429" t="n">
        <v>0</v>
      </c>
      <c r="M9429" t="n">
        <v>0</v>
      </c>
      <c r="N9429" t="n">
        <v>0</v>
      </c>
      <c r="O9429" t="n">
        <v>0</v>
      </c>
      <c r="P9429" t="n">
        <v>0</v>
      </c>
      <c r="Q9429" t="n">
        <v>0</v>
      </c>
      <c r="R9429" s="2" t="inlineStr"/>
    </row>
    <row r="9430" ht="15" customHeight="1">
      <c r="A9430" t="inlineStr">
        <is>
          <t>A 33571-2021</t>
        </is>
      </c>
      <c r="B9430" s="1" t="n">
        <v>44377</v>
      </c>
      <c r="C9430" s="1" t="n">
        <v>46075</v>
      </c>
      <c r="D9430" t="inlineStr">
        <is>
          <t>VÄSTERBOTTENS LÄN</t>
        </is>
      </c>
      <c r="E9430" t="inlineStr">
        <is>
          <t>ÅSELE</t>
        </is>
      </c>
      <c r="F9430" t="inlineStr">
        <is>
          <t>SCA</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60606-2023</t>
        </is>
      </c>
      <c r="B9431" s="1" t="n">
        <v>45260.34408564815</v>
      </c>
      <c r="C9431" s="1" t="n">
        <v>46075</v>
      </c>
      <c r="D9431" t="inlineStr">
        <is>
          <t>VÄSTERBOTTENS LÄN</t>
        </is>
      </c>
      <c r="E9431" t="inlineStr">
        <is>
          <t>BJURHOLM</t>
        </is>
      </c>
      <c r="G9431" t="n">
        <v>7.5</v>
      </c>
      <c r="H9431" t="n">
        <v>0</v>
      </c>
      <c r="I9431" t="n">
        <v>0</v>
      </c>
      <c r="J9431" t="n">
        <v>0</v>
      </c>
      <c r="K9431" t="n">
        <v>0</v>
      </c>
      <c r="L9431" t="n">
        <v>0</v>
      </c>
      <c r="M9431" t="n">
        <v>0</v>
      </c>
      <c r="N9431" t="n">
        <v>0</v>
      </c>
      <c r="O9431" t="n">
        <v>0</v>
      </c>
      <c r="P9431" t="n">
        <v>0</v>
      </c>
      <c r="Q9431" t="n">
        <v>0</v>
      </c>
      <c r="R9431" s="2" t="inlineStr"/>
    </row>
    <row r="9432" ht="15" customHeight="1">
      <c r="A9432" t="inlineStr">
        <is>
          <t>A 60614-2023</t>
        </is>
      </c>
      <c r="B9432" s="1" t="n">
        <v>45260</v>
      </c>
      <c r="C9432" s="1" t="n">
        <v>46075</v>
      </c>
      <c r="D9432" t="inlineStr">
        <is>
          <t>VÄSTERBOTTENS LÄN</t>
        </is>
      </c>
      <c r="E9432" t="inlineStr">
        <is>
          <t>SKELLEFTEÅ</t>
        </is>
      </c>
      <c r="G9432" t="n">
        <v>0.4</v>
      </c>
      <c r="H9432" t="n">
        <v>0</v>
      </c>
      <c r="I9432" t="n">
        <v>0</v>
      </c>
      <c r="J9432" t="n">
        <v>0</v>
      </c>
      <c r="K9432" t="n">
        <v>0</v>
      </c>
      <c r="L9432" t="n">
        <v>0</v>
      </c>
      <c r="M9432" t="n">
        <v>0</v>
      </c>
      <c r="N9432" t="n">
        <v>0</v>
      </c>
      <c r="O9432" t="n">
        <v>0</v>
      </c>
      <c r="P9432" t="n">
        <v>0</v>
      </c>
      <c r="Q9432" t="n">
        <v>0</v>
      </c>
      <c r="R9432" s="2" t="inlineStr"/>
    </row>
    <row r="9433" ht="15" customHeight="1">
      <c r="A9433" t="inlineStr">
        <is>
          <t>A 51437-2023</t>
        </is>
      </c>
      <c r="B9433" s="1" t="n">
        <v>45219.96467592593</v>
      </c>
      <c r="C9433" s="1" t="n">
        <v>46075</v>
      </c>
      <c r="D9433" t="inlineStr">
        <is>
          <t>VÄSTERBOTTENS LÄN</t>
        </is>
      </c>
      <c r="E9433" t="inlineStr">
        <is>
          <t>SORSELE</t>
        </is>
      </c>
      <c r="F9433" t="inlineStr">
        <is>
          <t>SCA</t>
        </is>
      </c>
      <c r="G9433" t="n">
        <v>2.5</v>
      </c>
      <c r="H9433" t="n">
        <v>0</v>
      </c>
      <c r="I9433" t="n">
        <v>0</v>
      </c>
      <c r="J9433" t="n">
        <v>0</v>
      </c>
      <c r="K9433" t="n">
        <v>0</v>
      </c>
      <c r="L9433" t="n">
        <v>0</v>
      </c>
      <c r="M9433" t="n">
        <v>0</v>
      </c>
      <c r="N9433" t="n">
        <v>0</v>
      </c>
      <c r="O9433" t="n">
        <v>0</v>
      </c>
      <c r="P9433" t="n">
        <v>0</v>
      </c>
      <c r="Q9433" t="n">
        <v>0</v>
      </c>
      <c r="R9433" s="2" t="inlineStr"/>
    </row>
    <row r="9434" ht="15" customHeight="1">
      <c r="A9434" t="inlineStr">
        <is>
          <t>A 63481-2025</t>
        </is>
      </c>
      <c r="B9434" s="1" t="n">
        <v>46013.46344907407</v>
      </c>
      <c r="C9434" s="1" t="n">
        <v>46075</v>
      </c>
      <c r="D9434" t="inlineStr">
        <is>
          <t>VÄSTERBOTTENS LÄN</t>
        </is>
      </c>
      <c r="E9434" t="inlineStr">
        <is>
          <t>SKELLEFTEÅ</t>
        </is>
      </c>
      <c r="F9434" t="inlineStr">
        <is>
          <t>Holmen skog AB</t>
        </is>
      </c>
      <c r="G9434" t="n">
        <v>8.9</v>
      </c>
      <c r="H9434" t="n">
        <v>0</v>
      </c>
      <c r="I9434" t="n">
        <v>0</v>
      </c>
      <c r="J9434" t="n">
        <v>0</v>
      </c>
      <c r="K9434" t="n">
        <v>0</v>
      </c>
      <c r="L9434" t="n">
        <v>0</v>
      </c>
      <c r="M9434" t="n">
        <v>0</v>
      </c>
      <c r="N9434" t="n">
        <v>0</v>
      </c>
      <c r="O9434" t="n">
        <v>0</v>
      </c>
      <c r="P9434" t="n">
        <v>0</v>
      </c>
      <c r="Q9434" t="n">
        <v>0</v>
      </c>
      <c r="R9434" s="2" t="inlineStr"/>
    </row>
    <row r="9435" ht="15" customHeight="1">
      <c r="A9435" t="inlineStr">
        <is>
          <t>A 63495-2025</t>
        </is>
      </c>
      <c r="B9435" s="1" t="n">
        <v>46013.48013888889</v>
      </c>
      <c r="C9435" s="1" t="n">
        <v>46075</v>
      </c>
      <c r="D9435" t="inlineStr">
        <is>
          <t>VÄSTERBOTTENS LÄN</t>
        </is>
      </c>
      <c r="E9435" t="inlineStr">
        <is>
          <t>SKELLEFTEÅ</t>
        </is>
      </c>
      <c r="F9435" t="inlineStr">
        <is>
          <t>Holmen skog AB</t>
        </is>
      </c>
      <c r="G9435" t="n">
        <v>14.6</v>
      </c>
      <c r="H9435" t="n">
        <v>0</v>
      </c>
      <c r="I9435" t="n">
        <v>0</v>
      </c>
      <c r="J9435" t="n">
        <v>0</v>
      </c>
      <c r="K9435" t="n">
        <v>0</v>
      </c>
      <c r="L9435" t="n">
        <v>0</v>
      </c>
      <c r="M9435" t="n">
        <v>0</v>
      </c>
      <c r="N9435" t="n">
        <v>0</v>
      </c>
      <c r="O9435" t="n">
        <v>0</v>
      </c>
      <c r="P9435" t="n">
        <v>0</v>
      </c>
      <c r="Q9435" t="n">
        <v>0</v>
      </c>
      <c r="R9435" s="2" t="inlineStr"/>
    </row>
    <row r="9436" ht="15" customHeight="1">
      <c r="A9436" t="inlineStr">
        <is>
          <t>A 7700-2024</t>
        </is>
      </c>
      <c r="B9436" s="1" t="n">
        <v>45349</v>
      </c>
      <c r="C9436" s="1" t="n">
        <v>46075</v>
      </c>
      <c r="D9436" t="inlineStr">
        <is>
          <t>VÄSTERBOTTENS LÄN</t>
        </is>
      </c>
      <c r="E9436" t="inlineStr">
        <is>
          <t>NORDMALING</t>
        </is>
      </c>
      <c r="G9436" t="n">
        <v>1.2</v>
      </c>
      <c r="H9436" t="n">
        <v>0</v>
      </c>
      <c r="I9436" t="n">
        <v>0</v>
      </c>
      <c r="J9436" t="n">
        <v>0</v>
      </c>
      <c r="K9436" t="n">
        <v>0</v>
      </c>
      <c r="L9436" t="n">
        <v>0</v>
      </c>
      <c r="M9436" t="n">
        <v>0</v>
      </c>
      <c r="N9436" t="n">
        <v>0</v>
      </c>
      <c r="O9436" t="n">
        <v>0</v>
      </c>
      <c r="P9436" t="n">
        <v>0</v>
      </c>
      <c r="Q9436" t="n">
        <v>0</v>
      </c>
      <c r="R9436" s="2" t="inlineStr"/>
    </row>
    <row r="9437" ht="15" customHeight="1">
      <c r="A9437" t="inlineStr">
        <is>
          <t>A 28061-2022</t>
        </is>
      </c>
      <c r="B9437" s="1" t="n">
        <v>44746</v>
      </c>
      <c r="C9437" s="1" t="n">
        <v>46075</v>
      </c>
      <c r="D9437" t="inlineStr">
        <is>
          <t>VÄSTERBOTTENS LÄN</t>
        </is>
      </c>
      <c r="E9437" t="inlineStr">
        <is>
          <t>STORUMAN</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63571-2025</t>
        </is>
      </c>
      <c r="B9438" s="1" t="n">
        <v>46013.6524537037</v>
      </c>
      <c r="C9438" s="1" t="n">
        <v>46075</v>
      </c>
      <c r="D9438" t="inlineStr">
        <is>
          <t>VÄSTERBOTTENS LÄN</t>
        </is>
      </c>
      <c r="E9438" t="inlineStr">
        <is>
          <t>SKELLEFTEÅ</t>
        </is>
      </c>
      <c r="G9438" t="n">
        <v>12.9</v>
      </c>
      <c r="H9438" t="n">
        <v>0</v>
      </c>
      <c r="I9438" t="n">
        <v>0</v>
      </c>
      <c r="J9438" t="n">
        <v>0</v>
      </c>
      <c r="K9438" t="n">
        <v>0</v>
      </c>
      <c r="L9438" t="n">
        <v>0</v>
      </c>
      <c r="M9438" t="n">
        <v>0</v>
      </c>
      <c r="N9438" t="n">
        <v>0</v>
      </c>
      <c r="O9438" t="n">
        <v>0</v>
      </c>
      <c r="P9438" t="n">
        <v>0</v>
      </c>
      <c r="Q9438" t="n">
        <v>0</v>
      </c>
      <c r="R9438" s="2" t="inlineStr"/>
    </row>
    <row r="9439" ht="15" customHeight="1">
      <c r="A9439" t="inlineStr">
        <is>
          <t>A 63529-2025</t>
        </is>
      </c>
      <c r="B9439" s="1" t="n">
        <v>46013.56108796296</v>
      </c>
      <c r="C9439" s="1" t="n">
        <v>46075</v>
      </c>
      <c r="D9439" t="inlineStr">
        <is>
          <t>VÄSTERBOTTENS LÄN</t>
        </is>
      </c>
      <c r="E9439" t="inlineStr">
        <is>
          <t>SKELLEFTEÅ</t>
        </is>
      </c>
      <c r="G9439" t="n">
        <v>1.1</v>
      </c>
      <c r="H9439" t="n">
        <v>0</v>
      </c>
      <c r="I9439" t="n">
        <v>0</v>
      </c>
      <c r="J9439" t="n">
        <v>0</v>
      </c>
      <c r="K9439" t="n">
        <v>0</v>
      </c>
      <c r="L9439" t="n">
        <v>0</v>
      </c>
      <c r="M9439" t="n">
        <v>0</v>
      </c>
      <c r="N9439" t="n">
        <v>0</v>
      </c>
      <c r="O9439" t="n">
        <v>0</v>
      </c>
      <c r="P9439" t="n">
        <v>0</v>
      </c>
      <c r="Q9439" t="n">
        <v>0</v>
      </c>
      <c r="R9439" s="2" t="inlineStr"/>
    </row>
    <row r="9440" ht="15" customHeight="1">
      <c r="A9440" t="inlineStr">
        <is>
          <t>A 56722-2025</t>
        </is>
      </c>
      <c r="B9440" s="1" t="n">
        <v>45975</v>
      </c>
      <c r="C9440" s="1" t="n">
        <v>46075</v>
      </c>
      <c r="D9440" t="inlineStr">
        <is>
          <t>VÄSTERBOTTENS LÄN</t>
        </is>
      </c>
      <c r="E9440" t="inlineStr">
        <is>
          <t>SKELLEFTEÅ</t>
        </is>
      </c>
      <c r="G9440" t="n">
        <v>0.3</v>
      </c>
      <c r="H9440" t="n">
        <v>0</v>
      </c>
      <c r="I9440" t="n">
        <v>0</v>
      </c>
      <c r="J9440" t="n">
        <v>0</v>
      </c>
      <c r="K9440" t="n">
        <v>0</v>
      </c>
      <c r="L9440" t="n">
        <v>0</v>
      </c>
      <c r="M9440" t="n">
        <v>0</v>
      </c>
      <c r="N9440" t="n">
        <v>0</v>
      </c>
      <c r="O9440" t="n">
        <v>0</v>
      </c>
      <c r="P9440" t="n">
        <v>0</v>
      </c>
      <c r="Q9440" t="n">
        <v>0</v>
      </c>
      <c r="R9440" s="2" t="inlineStr"/>
    </row>
    <row r="9441" ht="15" customHeight="1">
      <c r="A9441" t="inlineStr">
        <is>
          <t>A 63315-2025</t>
        </is>
      </c>
      <c r="B9441" s="1" t="n">
        <v>46010.63096064814</v>
      </c>
      <c r="C9441" s="1" t="n">
        <v>46075</v>
      </c>
      <c r="D9441" t="inlineStr">
        <is>
          <t>VÄSTERBOTTENS LÄN</t>
        </is>
      </c>
      <c r="E9441" t="inlineStr">
        <is>
          <t>LYCKSELE</t>
        </is>
      </c>
      <c r="G9441" t="n">
        <v>9.199999999999999</v>
      </c>
      <c r="H9441" t="n">
        <v>0</v>
      </c>
      <c r="I9441" t="n">
        <v>0</v>
      </c>
      <c r="J9441" t="n">
        <v>0</v>
      </c>
      <c r="K9441" t="n">
        <v>0</v>
      </c>
      <c r="L9441" t="n">
        <v>0</v>
      </c>
      <c r="M9441" t="n">
        <v>0</v>
      </c>
      <c r="N9441" t="n">
        <v>0</v>
      </c>
      <c r="O9441" t="n">
        <v>0</v>
      </c>
      <c r="P9441" t="n">
        <v>0</v>
      </c>
      <c r="Q9441" t="n">
        <v>0</v>
      </c>
      <c r="R9441" s="2" t="inlineStr"/>
    </row>
    <row r="9442" ht="15" customHeight="1">
      <c r="A9442" t="inlineStr">
        <is>
          <t>A 63323-2025</t>
        </is>
      </c>
      <c r="B9442" s="1" t="n">
        <v>46010.63744212963</v>
      </c>
      <c r="C9442" s="1" t="n">
        <v>46075</v>
      </c>
      <c r="D9442" t="inlineStr">
        <is>
          <t>VÄSTERBOTTENS LÄN</t>
        </is>
      </c>
      <c r="E9442" t="inlineStr">
        <is>
          <t>SKELLEFTEÅ</t>
        </is>
      </c>
      <c r="F9442" t="inlineStr">
        <is>
          <t>Holmen skog AB</t>
        </is>
      </c>
      <c r="G9442" t="n">
        <v>9.9</v>
      </c>
      <c r="H9442" t="n">
        <v>0</v>
      </c>
      <c r="I9442" t="n">
        <v>0</v>
      </c>
      <c r="J9442" t="n">
        <v>0</v>
      </c>
      <c r="K9442" t="n">
        <v>0</v>
      </c>
      <c r="L9442" t="n">
        <v>0</v>
      </c>
      <c r="M9442" t="n">
        <v>0</v>
      </c>
      <c r="N9442" t="n">
        <v>0</v>
      </c>
      <c r="O9442" t="n">
        <v>0</v>
      </c>
      <c r="P9442" t="n">
        <v>0</v>
      </c>
      <c r="Q9442" t="n">
        <v>0</v>
      </c>
      <c r="R9442" s="2" t="inlineStr"/>
    </row>
    <row r="9443" ht="15" customHeight="1">
      <c r="A9443" t="inlineStr">
        <is>
          <t>A 6275-2026</t>
        </is>
      </c>
      <c r="B9443" s="1" t="n">
        <v>46055.5090625</v>
      </c>
      <c r="C9443" s="1" t="n">
        <v>46075</v>
      </c>
      <c r="D9443" t="inlineStr">
        <is>
          <t>VÄSTERBOTTENS LÄN</t>
        </is>
      </c>
      <c r="E9443" t="inlineStr">
        <is>
          <t>SKELLEFTEÅ</t>
        </is>
      </c>
      <c r="G9443" t="n">
        <v>0.5</v>
      </c>
      <c r="H9443" t="n">
        <v>0</v>
      </c>
      <c r="I9443" t="n">
        <v>0</v>
      </c>
      <c r="J9443" t="n">
        <v>0</v>
      </c>
      <c r="K9443" t="n">
        <v>0</v>
      </c>
      <c r="L9443" t="n">
        <v>0</v>
      </c>
      <c r="M9443" t="n">
        <v>0</v>
      </c>
      <c r="N9443" t="n">
        <v>0</v>
      </c>
      <c r="O9443" t="n">
        <v>0</v>
      </c>
      <c r="P9443" t="n">
        <v>0</v>
      </c>
      <c r="Q9443" t="n">
        <v>0</v>
      </c>
      <c r="R9443" s="2" t="inlineStr"/>
    </row>
    <row r="9444" ht="15" customHeight="1">
      <c r="A9444" t="inlineStr">
        <is>
          <t>A 2814-2025</t>
        </is>
      </c>
      <c r="B9444" s="1" t="n">
        <v>45677</v>
      </c>
      <c r="C9444" s="1" t="n">
        <v>46075</v>
      </c>
      <c r="D9444" t="inlineStr">
        <is>
          <t>VÄSTERBOTTENS LÄN</t>
        </is>
      </c>
      <c r="E9444" t="inlineStr">
        <is>
          <t>DOROTEA</t>
        </is>
      </c>
      <c r="G9444" t="n">
        <v>1.5</v>
      </c>
      <c r="H9444" t="n">
        <v>0</v>
      </c>
      <c r="I9444" t="n">
        <v>0</v>
      </c>
      <c r="J9444" t="n">
        <v>0</v>
      </c>
      <c r="K9444" t="n">
        <v>0</v>
      </c>
      <c r="L9444" t="n">
        <v>0</v>
      </c>
      <c r="M9444" t="n">
        <v>0</v>
      </c>
      <c r="N9444" t="n">
        <v>0</v>
      </c>
      <c r="O9444" t="n">
        <v>0</v>
      </c>
      <c r="P9444" t="n">
        <v>0</v>
      </c>
      <c r="Q9444" t="n">
        <v>0</v>
      </c>
      <c r="R9444" s="2" t="inlineStr"/>
    </row>
    <row r="9445" ht="15" customHeight="1">
      <c r="A9445" t="inlineStr">
        <is>
          <t>A 56258-2024</t>
        </is>
      </c>
      <c r="B9445" s="1" t="n">
        <v>45624.64472222222</v>
      </c>
      <c r="C9445" s="1" t="n">
        <v>46075</v>
      </c>
      <c r="D9445" t="inlineStr">
        <is>
          <t>VÄSTERBOTTENS LÄN</t>
        </is>
      </c>
      <c r="E9445" t="inlineStr">
        <is>
          <t>VÄNNÄS</t>
        </is>
      </c>
      <c r="G9445" t="n">
        <v>0.6</v>
      </c>
      <c r="H9445" t="n">
        <v>0</v>
      </c>
      <c r="I9445" t="n">
        <v>0</v>
      </c>
      <c r="J9445" t="n">
        <v>0</v>
      </c>
      <c r="K9445" t="n">
        <v>0</v>
      </c>
      <c r="L9445" t="n">
        <v>0</v>
      </c>
      <c r="M9445" t="n">
        <v>0</v>
      </c>
      <c r="N9445" t="n">
        <v>0</v>
      </c>
      <c r="O9445" t="n">
        <v>0</v>
      </c>
      <c r="P9445" t="n">
        <v>0</v>
      </c>
      <c r="Q9445" t="n">
        <v>0</v>
      </c>
      <c r="R9445" s="2" t="inlineStr"/>
    </row>
    <row r="9446" ht="15" customHeight="1">
      <c r="A9446" t="inlineStr">
        <is>
          <t>A 56262-2024</t>
        </is>
      </c>
      <c r="B9446" s="1" t="n">
        <v>45624.65004629629</v>
      </c>
      <c r="C9446" s="1" t="n">
        <v>46075</v>
      </c>
      <c r="D9446" t="inlineStr">
        <is>
          <t>VÄSTERBOTTENS LÄN</t>
        </is>
      </c>
      <c r="E9446" t="inlineStr">
        <is>
          <t>VÄNNÄS</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38076-2023</t>
        </is>
      </c>
      <c r="B9447" s="1" t="n">
        <v>45160</v>
      </c>
      <c r="C9447" s="1" t="n">
        <v>46075</v>
      </c>
      <c r="D9447" t="inlineStr">
        <is>
          <t>VÄSTERBOTTENS LÄN</t>
        </is>
      </c>
      <c r="E9447" t="inlineStr">
        <is>
          <t>ÅSELE</t>
        </is>
      </c>
      <c r="G9447" t="n">
        <v>3.1</v>
      </c>
      <c r="H9447" t="n">
        <v>0</v>
      </c>
      <c r="I9447" t="n">
        <v>0</v>
      </c>
      <c r="J9447" t="n">
        <v>0</v>
      </c>
      <c r="K9447" t="n">
        <v>0</v>
      </c>
      <c r="L9447" t="n">
        <v>0</v>
      </c>
      <c r="M9447" t="n">
        <v>0</v>
      </c>
      <c r="N9447" t="n">
        <v>0</v>
      </c>
      <c r="O9447" t="n">
        <v>0</v>
      </c>
      <c r="P9447" t="n">
        <v>0</v>
      </c>
      <c r="Q9447" t="n">
        <v>0</v>
      </c>
      <c r="R9447" s="2" t="inlineStr"/>
    </row>
    <row r="9448" ht="15" customHeight="1">
      <c r="A9448" t="inlineStr">
        <is>
          <t>A 46232-2024</t>
        </is>
      </c>
      <c r="B9448" s="1" t="n">
        <v>45581.57825231482</v>
      </c>
      <c r="C9448" s="1" t="n">
        <v>46075</v>
      </c>
      <c r="D9448" t="inlineStr">
        <is>
          <t>VÄSTERBOTTENS LÄN</t>
        </is>
      </c>
      <c r="E9448" t="inlineStr">
        <is>
          <t>UMEÅ</t>
        </is>
      </c>
      <c r="G9448" t="n">
        <v>4.1</v>
      </c>
      <c r="H9448" t="n">
        <v>0</v>
      </c>
      <c r="I9448" t="n">
        <v>0</v>
      </c>
      <c r="J9448" t="n">
        <v>0</v>
      </c>
      <c r="K9448" t="n">
        <v>0</v>
      </c>
      <c r="L9448" t="n">
        <v>0</v>
      </c>
      <c r="M9448" t="n">
        <v>0</v>
      </c>
      <c r="N9448" t="n">
        <v>0</v>
      </c>
      <c r="O9448" t="n">
        <v>0</v>
      </c>
      <c r="P9448" t="n">
        <v>0</v>
      </c>
      <c r="Q9448" t="n">
        <v>0</v>
      </c>
      <c r="R9448" s="2" t="inlineStr"/>
    </row>
    <row r="9449" ht="15" customHeight="1">
      <c r="A9449" t="inlineStr">
        <is>
          <t>A 6342-2026</t>
        </is>
      </c>
      <c r="B9449" s="1" t="n">
        <v>46055.60136574074</v>
      </c>
      <c r="C9449" s="1" t="n">
        <v>46075</v>
      </c>
      <c r="D9449" t="inlineStr">
        <is>
          <t>VÄSTERBOTTENS LÄN</t>
        </is>
      </c>
      <c r="E9449" t="inlineStr">
        <is>
          <t>NORDMALING</t>
        </is>
      </c>
      <c r="G9449" t="n">
        <v>7.8</v>
      </c>
      <c r="H9449" t="n">
        <v>0</v>
      </c>
      <c r="I9449" t="n">
        <v>0</v>
      </c>
      <c r="J9449" t="n">
        <v>0</v>
      </c>
      <c r="K9449" t="n">
        <v>0</v>
      </c>
      <c r="L9449" t="n">
        <v>0</v>
      </c>
      <c r="M9449" t="n">
        <v>0</v>
      </c>
      <c r="N9449" t="n">
        <v>0</v>
      </c>
      <c r="O9449" t="n">
        <v>0</v>
      </c>
      <c r="P9449" t="n">
        <v>0</v>
      </c>
      <c r="Q9449" t="n">
        <v>0</v>
      </c>
      <c r="R9449" s="2" t="inlineStr"/>
    </row>
    <row r="9450" ht="15" customHeight="1">
      <c r="A9450" t="inlineStr">
        <is>
          <t>A 63121-2025</t>
        </is>
      </c>
      <c r="B9450" s="1" t="n">
        <v>46009.87304398148</v>
      </c>
      <c r="C9450" s="1" t="n">
        <v>46075</v>
      </c>
      <c r="D9450" t="inlineStr">
        <is>
          <t>VÄSTERBOTTENS LÄN</t>
        </is>
      </c>
      <c r="E9450" t="inlineStr">
        <is>
          <t>SKELLEFTEÅ</t>
        </is>
      </c>
      <c r="F9450" t="inlineStr">
        <is>
          <t>Sveaskog</t>
        </is>
      </c>
      <c r="G9450" t="n">
        <v>2.4</v>
      </c>
      <c r="H9450" t="n">
        <v>0</v>
      </c>
      <c r="I9450" t="n">
        <v>0</v>
      </c>
      <c r="J9450" t="n">
        <v>0</v>
      </c>
      <c r="K9450" t="n">
        <v>0</v>
      </c>
      <c r="L9450" t="n">
        <v>0</v>
      </c>
      <c r="M9450" t="n">
        <v>0</v>
      </c>
      <c r="N9450" t="n">
        <v>0</v>
      </c>
      <c r="O9450" t="n">
        <v>0</v>
      </c>
      <c r="P9450" t="n">
        <v>0</v>
      </c>
      <c r="Q9450" t="n">
        <v>0</v>
      </c>
      <c r="R9450" s="2" t="inlineStr"/>
    </row>
    <row r="9451" ht="15" customHeight="1">
      <c r="A9451" t="inlineStr">
        <is>
          <t>A 63244-2025</t>
        </is>
      </c>
      <c r="B9451" s="1" t="n">
        <v>46010.5324537037</v>
      </c>
      <c r="C9451" s="1" t="n">
        <v>46075</v>
      </c>
      <c r="D9451" t="inlineStr">
        <is>
          <t>VÄSTERBOTTENS LÄN</t>
        </is>
      </c>
      <c r="E9451" t="inlineStr">
        <is>
          <t>UMEÅ</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63250-2025</t>
        </is>
      </c>
      <c r="B9452" s="1" t="n">
        <v>46010.54357638889</v>
      </c>
      <c r="C9452" s="1" t="n">
        <v>46075</v>
      </c>
      <c r="D9452" t="inlineStr">
        <is>
          <t>VÄSTERBOTTENS LÄN</t>
        </is>
      </c>
      <c r="E9452" t="inlineStr">
        <is>
          <t>SKELLEFTEÅ</t>
        </is>
      </c>
      <c r="G9452" t="n">
        <v>2.9</v>
      </c>
      <c r="H9452" t="n">
        <v>0</v>
      </c>
      <c r="I9452" t="n">
        <v>0</v>
      </c>
      <c r="J9452" t="n">
        <v>0</v>
      </c>
      <c r="K9452" t="n">
        <v>0</v>
      </c>
      <c r="L9452" t="n">
        <v>0</v>
      </c>
      <c r="M9452" t="n">
        <v>0</v>
      </c>
      <c r="N9452" t="n">
        <v>0</v>
      </c>
      <c r="O9452" t="n">
        <v>0</v>
      </c>
      <c r="P9452" t="n">
        <v>0</v>
      </c>
      <c r="Q9452" t="n">
        <v>0</v>
      </c>
      <c r="R9452" s="2" t="inlineStr"/>
    </row>
    <row r="9453" ht="15" customHeight="1">
      <c r="A9453" t="inlineStr">
        <is>
          <t>A 15825-2023</t>
        </is>
      </c>
      <c r="B9453" s="1" t="n">
        <v>45021.94521990741</v>
      </c>
      <c r="C9453" s="1" t="n">
        <v>46075</v>
      </c>
      <c r="D9453" t="inlineStr">
        <is>
          <t>VÄSTERBOTTENS LÄN</t>
        </is>
      </c>
      <c r="E9453" t="inlineStr">
        <is>
          <t>SKELLEFTEÅ</t>
        </is>
      </c>
      <c r="F9453" t="inlineStr">
        <is>
          <t>SCA</t>
        </is>
      </c>
      <c r="G9453" t="n">
        <v>16.8</v>
      </c>
      <c r="H9453" t="n">
        <v>0</v>
      </c>
      <c r="I9453" t="n">
        <v>0</v>
      </c>
      <c r="J9453" t="n">
        <v>0</v>
      </c>
      <c r="K9453" t="n">
        <v>0</v>
      </c>
      <c r="L9453" t="n">
        <v>0</v>
      </c>
      <c r="M9453" t="n">
        <v>0</v>
      </c>
      <c r="N9453" t="n">
        <v>0</v>
      </c>
      <c r="O9453" t="n">
        <v>0</v>
      </c>
      <c r="P9453" t="n">
        <v>0</v>
      </c>
      <c r="Q9453" t="n">
        <v>0</v>
      </c>
      <c r="R9453" s="2" t="inlineStr"/>
    </row>
    <row r="9454" ht="15" customHeight="1">
      <c r="A9454" t="inlineStr">
        <is>
          <t>A 49324-2025</t>
        </is>
      </c>
      <c r="B9454" s="1" t="n">
        <v>45938</v>
      </c>
      <c r="C9454" s="1" t="n">
        <v>46075</v>
      </c>
      <c r="D9454" t="inlineStr">
        <is>
          <t>VÄSTERBOTTENS LÄN</t>
        </is>
      </c>
      <c r="E9454" t="inlineStr">
        <is>
          <t>NORSJÖ</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6106-2026</t>
        </is>
      </c>
      <c r="B9455" s="1" t="n">
        <v>46052.97040509259</v>
      </c>
      <c r="C9455" s="1" t="n">
        <v>46075</v>
      </c>
      <c r="D9455" t="inlineStr">
        <is>
          <t>VÄSTERBOTTENS LÄN</t>
        </is>
      </c>
      <c r="E9455" t="inlineStr">
        <is>
          <t>SKELLEFTEÅ</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40262-2022</t>
        </is>
      </c>
      <c r="B9456" s="1" t="n">
        <v>44820</v>
      </c>
      <c r="C9456" s="1" t="n">
        <v>46075</v>
      </c>
      <c r="D9456" t="inlineStr">
        <is>
          <t>VÄSTERBOTTENS LÄN</t>
        </is>
      </c>
      <c r="E9456" t="inlineStr">
        <is>
          <t>LYCKSELE</t>
        </is>
      </c>
      <c r="G9456" t="n">
        <v>2</v>
      </c>
      <c r="H9456" t="n">
        <v>0</v>
      </c>
      <c r="I9456" t="n">
        <v>0</v>
      </c>
      <c r="J9456" t="n">
        <v>0</v>
      </c>
      <c r="K9456" t="n">
        <v>0</v>
      </c>
      <c r="L9456" t="n">
        <v>0</v>
      </c>
      <c r="M9456" t="n">
        <v>0</v>
      </c>
      <c r="N9456" t="n">
        <v>0</v>
      </c>
      <c r="O9456" t="n">
        <v>0</v>
      </c>
      <c r="P9456" t="n">
        <v>0</v>
      </c>
      <c r="Q9456" t="n">
        <v>0</v>
      </c>
      <c r="R9456" s="2" t="inlineStr"/>
    </row>
    <row r="9457" ht="15" customHeight="1">
      <c r="A9457" t="inlineStr">
        <is>
          <t>A 48202-2024</t>
        </is>
      </c>
      <c r="B9457" s="1" t="n">
        <v>45589</v>
      </c>
      <c r="C9457" s="1" t="n">
        <v>46075</v>
      </c>
      <c r="D9457" t="inlineStr">
        <is>
          <t>VÄSTERBOTTENS LÄN</t>
        </is>
      </c>
      <c r="E9457" t="inlineStr">
        <is>
          <t>SKELLEFTEÅ</t>
        </is>
      </c>
      <c r="G9457" t="n">
        <v>3.5</v>
      </c>
      <c r="H9457" t="n">
        <v>0</v>
      </c>
      <c r="I9457" t="n">
        <v>0</v>
      </c>
      <c r="J9457" t="n">
        <v>0</v>
      </c>
      <c r="K9457" t="n">
        <v>0</v>
      </c>
      <c r="L9457" t="n">
        <v>0</v>
      </c>
      <c r="M9457" t="n">
        <v>0</v>
      </c>
      <c r="N9457" t="n">
        <v>0</v>
      </c>
      <c r="O9457" t="n">
        <v>0</v>
      </c>
      <c r="P9457" t="n">
        <v>0</v>
      </c>
      <c r="Q9457" t="n">
        <v>0</v>
      </c>
      <c r="R9457" s="2" t="inlineStr"/>
    </row>
    <row r="9458" ht="15" customHeight="1">
      <c r="A9458" t="inlineStr">
        <is>
          <t>A 48224-2024</t>
        </is>
      </c>
      <c r="B9458" s="1" t="n">
        <v>45590</v>
      </c>
      <c r="C9458" s="1" t="n">
        <v>46075</v>
      </c>
      <c r="D9458" t="inlineStr">
        <is>
          <t>VÄSTERBOTTENS LÄN</t>
        </is>
      </c>
      <c r="E9458" t="inlineStr">
        <is>
          <t>MALÅ</t>
        </is>
      </c>
      <c r="G9458" t="n">
        <v>2</v>
      </c>
      <c r="H9458" t="n">
        <v>0</v>
      </c>
      <c r="I9458" t="n">
        <v>0</v>
      </c>
      <c r="J9458" t="n">
        <v>0</v>
      </c>
      <c r="K9458" t="n">
        <v>0</v>
      </c>
      <c r="L9458" t="n">
        <v>0</v>
      </c>
      <c r="M9458" t="n">
        <v>0</v>
      </c>
      <c r="N9458" t="n">
        <v>0</v>
      </c>
      <c r="O9458" t="n">
        <v>0</v>
      </c>
      <c r="P9458" t="n">
        <v>0</v>
      </c>
      <c r="Q9458" t="n">
        <v>0</v>
      </c>
      <c r="R9458" s="2" t="inlineStr"/>
    </row>
    <row r="9459" ht="15" customHeight="1">
      <c r="A9459" t="inlineStr">
        <is>
          <t>A 36201-2024</t>
        </is>
      </c>
      <c r="B9459" s="1" t="n">
        <v>45534.43785879629</v>
      </c>
      <c r="C9459" s="1" t="n">
        <v>46075</v>
      </c>
      <c r="D9459" t="inlineStr">
        <is>
          <t>VÄSTERBOTTENS LÄN</t>
        </is>
      </c>
      <c r="E9459" t="inlineStr">
        <is>
          <t>SKELLEFTEÅ</t>
        </is>
      </c>
      <c r="F9459" t="inlineStr">
        <is>
          <t>Holmen skog AB</t>
        </is>
      </c>
      <c r="G9459" t="n">
        <v>6.2</v>
      </c>
      <c r="H9459" t="n">
        <v>0</v>
      </c>
      <c r="I9459" t="n">
        <v>0</v>
      </c>
      <c r="J9459" t="n">
        <v>0</v>
      </c>
      <c r="K9459" t="n">
        <v>0</v>
      </c>
      <c r="L9459" t="n">
        <v>0</v>
      </c>
      <c r="M9459" t="n">
        <v>0</v>
      </c>
      <c r="N9459" t="n">
        <v>0</v>
      </c>
      <c r="O9459" t="n">
        <v>0</v>
      </c>
      <c r="P9459" t="n">
        <v>0</v>
      </c>
      <c r="Q9459" t="n">
        <v>0</v>
      </c>
      <c r="R9459" s="2" t="inlineStr"/>
    </row>
    <row r="9460" ht="15" customHeight="1">
      <c r="A9460" t="inlineStr">
        <is>
          <t>A 6203-2026</t>
        </is>
      </c>
      <c r="B9460" s="1" t="n">
        <v>46055.40695601852</v>
      </c>
      <c r="C9460" s="1" t="n">
        <v>46075</v>
      </c>
      <c r="D9460" t="inlineStr">
        <is>
          <t>VÄSTERBOTTENS LÄN</t>
        </is>
      </c>
      <c r="E9460" t="inlineStr">
        <is>
          <t>VILHELMINA</t>
        </is>
      </c>
      <c r="G9460" t="n">
        <v>1.8</v>
      </c>
      <c r="H9460" t="n">
        <v>0</v>
      </c>
      <c r="I9460" t="n">
        <v>0</v>
      </c>
      <c r="J9460" t="n">
        <v>0</v>
      </c>
      <c r="K9460" t="n">
        <v>0</v>
      </c>
      <c r="L9460" t="n">
        <v>0</v>
      </c>
      <c r="M9460" t="n">
        <v>0</v>
      </c>
      <c r="N9460" t="n">
        <v>0</v>
      </c>
      <c r="O9460" t="n">
        <v>0</v>
      </c>
      <c r="P9460" t="n">
        <v>0</v>
      </c>
      <c r="Q9460" t="n">
        <v>0</v>
      </c>
      <c r="R9460" s="2" t="inlineStr"/>
    </row>
    <row r="9461" ht="15" customHeight="1">
      <c r="A9461" t="inlineStr">
        <is>
          <t>A 6215-2026</t>
        </is>
      </c>
      <c r="B9461" s="1" t="n">
        <v>46055.42748842593</v>
      </c>
      <c r="C9461" s="1" t="n">
        <v>46075</v>
      </c>
      <c r="D9461" t="inlineStr">
        <is>
          <t>VÄSTERBOTTENS LÄN</t>
        </is>
      </c>
      <c r="E9461" t="inlineStr">
        <is>
          <t>NORSJÖ</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51048-2023</t>
        </is>
      </c>
      <c r="B9462" s="1" t="n">
        <v>45218.63373842592</v>
      </c>
      <c r="C9462" s="1" t="n">
        <v>46075</v>
      </c>
      <c r="D9462" t="inlineStr">
        <is>
          <t>VÄSTERBOTTENS LÄN</t>
        </is>
      </c>
      <c r="E9462" t="inlineStr">
        <is>
          <t>LYCKSELE</t>
        </is>
      </c>
      <c r="F9462" t="inlineStr">
        <is>
          <t>Sveaskog</t>
        </is>
      </c>
      <c r="G9462" t="n">
        <v>2.5</v>
      </c>
      <c r="H9462" t="n">
        <v>0</v>
      </c>
      <c r="I9462" t="n">
        <v>0</v>
      </c>
      <c r="J9462" t="n">
        <v>0</v>
      </c>
      <c r="K9462" t="n">
        <v>0</v>
      </c>
      <c r="L9462" t="n">
        <v>0</v>
      </c>
      <c r="M9462" t="n">
        <v>0</v>
      </c>
      <c r="N9462" t="n">
        <v>0</v>
      </c>
      <c r="O9462" t="n">
        <v>0</v>
      </c>
      <c r="P9462" t="n">
        <v>0</v>
      </c>
      <c r="Q9462" t="n">
        <v>0</v>
      </c>
      <c r="R9462" s="2" t="inlineStr"/>
    </row>
    <row r="9463" ht="15" customHeight="1">
      <c r="A9463" t="inlineStr">
        <is>
          <t>A 52621-2022</t>
        </is>
      </c>
      <c r="B9463" s="1" t="n">
        <v>44869</v>
      </c>
      <c r="C9463" s="1" t="n">
        <v>46075</v>
      </c>
      <c r="D9463" t="inlineStr">
        <is>
          <t>VÄSTERBOTTENS LÄN</t>
        </is>
      </c>
      <c r="E9463" t="inlineStr">
        <is>
          <t>SORSELE</t>
        </is>
      </c>
      <c r="F9463" t="inlineStr">
        <is>
          <t>Allmännings- och besparingsskogar</t>
        </is>
      </c>
      <c r="G9463" t="n">
        <v>17.3</v>
      </c>
      <c r="H9463" t="n">
        <v>0</v>
      </c>
      <c r="I9463" t="n">
        <v>0</v>
      </c>
      <c r="J9463" t="n">
        <v>0</v>
      </c>
      <c r="K9463" t="n">
        <v>0</v>
      </c>
      <c r="L9463" t="n">
        <v>0</v>
      </c>
      <c r="M9463" t="n">
        <v>0</v>
      </c>
      <c r="N9463" t="n">
        <v>0</v>
      </c>
      <c r="O9463" t="n">
        <v>0</v>
      </c>
      <c r="P9463" t="n">
        <v>0</v>
      </c>
      <c r="Q9463" t="n">
        <v>0</v>
      </c>
      <c r="R9463" s="2" t="inlineStr"/>
    </row>
    <row r="9464" ht="15" customHeight="1">
      <c r="A9464" t="inlineStr">
        <is>
          <t>A 63424-2023</t>
        </is>
      </c>
      <c r="B9464" s="1" t="n">
        <v>45274</v>
      </c>
      <c r="C9464" s="1" t="n">
        <v>46075</v>
      </c>
      <c r="D9464" t="inlineStr">
        <is>
          <t>VÄSTERBOTTENS LÄN</t>
        </is>
      </c>
      <c r="E9464" t="inlineStr">
        <is>
          <t>NORSJÖ</t>
        </is>
      </c>
      <c r="F9464" t="inlineStr">
        <is>
          <t>Sveaskog</t>
        </is>
      </c>
      <c r="G9464" t="n">
        <v>9.199999999999999</v>
      </c>
      <c r="H9464" t="n">
        <v>0</v>
      </c>
      <c r="I9464" t="n">
        <v>0</v>
      </c>
      <c r="J9464" t="n">
        <v>0</v>
      </c>
      <c r="K9464" t="n">
        <v>0</v>
      </c>
      <c r="L9464" t="n">
        <v>0</v>
      </c>
      <c r="M9464" t="n">
        <v>0</v>
      </c>
      <c r="N9464" t="n">
        <v>0</v>
      </c>
      <c r="O9464" t="n">
        <v>0</v>
      </c>
      <c r="P9464" t="n">
        <v>0</v>
      </c>
      <c r="Q9464" t="n">
        <v>0</v>
      </c>
      <c r="R9464" s="2" t="inlineStr"/>
    </row>
    <row r="9465" ht="15" customHeight="1">
      <c r="A9465" t="inlineStr">
        <is>
          <t>A 12763-2024</t>
        </is>
      </c>
      <c r="B9465" s="1" t="n">
        <v>45384</v>
      </c>
      <c r="C9465" s="1" t="n">
        <v>46075</v>
      </c>
      <c r="D9465" t="inlineStr">
        <is>
          <t>VÄSTERBOTTENS LÄN</t>
        </is>
      </c>
      <c r="E9465" t="inlineStr">
        <is>
          <t>SKELLEFTEÅ</t>
        </is>
      </c>
      <c r="G9465" t="n">
        <v>2.1</v>
      </c>
      <c r="H9465" t="n">
        <v>0</v>
      </c>
      <c r="I9465" t="n">
        <v>0</v>
      </c>
      <c r="J9465" t="n">
        <v>0</v>
      </c>
      <c r="K9465" t="n">
        <v>0</v>
      </c>
      <c r="L9465" t="n">
        <v>0</v>
      </c>
      <c r="M9465" t="n">
        <v>0</v>
      </c>
      <c r="N9465" t="n">
        <v>0</v>
      </c>
      <c r="O9465" t="n">
        <v>0</v>
      </c>
      <c r="P9465" t="n">
        <v>0</v>
      </c>
      <c r="Q9465" t="n">
        <v>0</v>
      </c>
      <c r="R9465" s="2" t="inlineStr"/>
    </row>
    <row r="9466" ht="15" customHeight="1">
      <c r="A9466" t="inlineStr">
        <is>
          <t>A 35803-2023</t>
        </is>
      </c>
      <c r="B9466" s="1" t="n">
        <v>45147</v>
      </c>
      <c r="C9466" s="1" t="n">
        <v>46075</v>
      </c>
      <c r="D9466" t="inlineStr">
        <is>
          <t>VÄSTERBOTTENS LÄN</t>
        </is>
      </c>
      <c r="E9466" t="inlineStr">
        <is>
          <t>NORDMALING</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45560-2022</t>
        </is>
      </c>
      <c r="B9467" s="1" t="n">
        <v>44841</v>
      </c>
      <c r="C9467" s="1" t="n">
        <v>46075</v>
      </c>
      <c r="D9467" t="inlineStr">
        <is>
          <t>VÄSTERBOTTENS LÄN</t>
        </is>
      </c>
      <c r="E9467" t="inlineStr">
        <is>
          <t>SORSELE</t>
        </is>
      </c>
      <c r="G9467" t="n">
        <v>26.2</v>
      </c>
      <c r="H9467" t="n">
        <v>0</v>
      </c>
      <c r="I9467" t="n">
        <v>0</v>
      </c>
      <c r="J9467" t="n">
        <v>0</v>
      </c>
      <c r="K9467" t="n">
        <v>0</v>
      </c>
      <c r="L9467" t="n">
        <v>0</v>
      </c>
      <c r="M9467" t="n">
        <v>0</v>
      </c>
      <c r="N9467" t="n">
        <v>0</v>
      </c>
      <c r="O9467" t="n">
        <v>0</v>
      </c>
      <c r="P9467" t="n">
        <v>0</v>
      </c>
      <c r="Q9467" t="n">
        <v>0</v>
      </c>
      <c r="R9467" s="2" t="inlineStr"/>
    </row>
    <row r="9468" ht="15" customHeight="1">
      <c r="A9468" t="inlineStr">
        <is>
          <t>A 28975-2024</t>
        </is>
      </c>
      <c r="B9468" s="1" t="n">
        <v>45481.45671296296</v>
      </c>
      <c r="C9468" s="1" t="n">
        <v>46075</v>
      </c>
      <c r="D9468" t="inlineStr">
        <is>
          <t>VÄSTERBOTTENS LÄN</t>
        </is>
      </c>
      <c r="E9468" t="inlineStr">
        <is>
          <t>VINDELN</t>
        </is>
      </c>
      <c r="F9468" t="inlineStr">
        <is>
          <t>Holmen skog AB</t>
        </is>
      </c>
      <c r="G9468" t="n">
        <v>4.1</v>
      </c>
      <c r="H9468" t="n">
        <v>0</v>
      </c>
      <c r="I9468" t="n">
        <v>0</v>
      </c>
      <c r="J9468" t="n">
        <v>0</v>
      </c>
      <c r="K9468" t="n">
        <v>0</v>
      </c>
      <c r="L9468" t="n">
        <v>0</v>
      </c>
      <c r="M9468" t="n">
        <v>0</v>
      </c>
      <c r="N9468" t="n">
        <v>0</v>
      </c>
      <c r="O9468" t="n">
        <v>0</v>
      </c>
      <c r="P9468" t="n">
        <v>0</v>
      </c>
      <c r="Q9468" t="n">
        <v>0</v>
      </c>
      <c r="R9468" s="2" t="inlineStr"/>
    </row>
    <row r="9469" ht="15" customHeight="1">
      <c r="A9469" t="inlineStr">
        <is>
          <t>A 24041-2023</t>
        </is>
      </c>
      <c r="B9469" s="1" t="n">
        <v>45078</v>
      </c>
      <c r="C9469" s="1" t="n">
        <v>46075</v>
      </c>
      <c r="D9469" t="inlineStr">
        <is>
          <t>VÄSTERBOTTENS LÄN</t>
        </is>
      </c>
      <c r="E9469" t="inlineStr">
        <is>
          <t>LYCKSELE</t>
        </is>
      </c>
      <c r="F9469" t="inlineStr">
        <is>
          <t>SCA</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47493-2023</t>
        </is>
      </c>
      <c r="B9470" s="1" t="n">
        <v>45202</v>
      </c>
      <c r="C9470" s="1" t="n">
        <v>46075</v>
      </c>
      <c r="D9470" t="inlineStr">
        <is>
          <t>VÄSTERBOTTENS LÄN</t>
        </is>
      </c>
      <c r="E9470" t="inlineStr">
        <is>
          <t>DOROTEA</t>
        </is>
      </c>
      <c r="F9470" t="inlineStr">
        <is>
          <t>SCA</t>
        </is>
      </c>
      <c r="G9470" t="n">
        <v>4.9</v>
      </c>
      <c r="H9470" t="n">
        <v>0</v>
      </c>
      <c r="I9470" t="n">
        <v>0</v>
      </c>
      <c r="J9470" t="n">
        <v>0</v>
      </c>
      <c r="K9470" t="n">
        <v>0</v>
      </c>
      <c r="L9470" t="n">
        <v>0</v>
      </c>
      <c r="M9470" t="n">
        <v>0</v>
      </c>
      <c r="N9470" t="n">
        <v>0</v>
      </c>
      <c r="O9470" t="n">
        <v>0</v>
      </c>
      <c r="P9470" t="n">
        <v>0</v>
      </c>
      <c r="Q9470" t="n">
        <v>0</v>
      </c>
      <c r="R9470" s="2" t="inlineStr"/>
    </row>
    <row r="9471" ht="15" customHeight="1">
      <c r="A9471" t="inlineStr">
        <is>
          <t>A 22111-2024</t>
        </is>
      </c>
      <c r="B9471" s="1" t="n">
        <v>45443</v>
      </c>
      <c r="C9471" s="1" t="n">
        <v>46075</v>
      </c>
      <c r="D9471" t="inlineStr">
        <is>
          <t>VÄSTERBOTTENS LÄN</t>
        </is>
      </c>
      <c r="E9471" t="inlineStr">
        <is>
          <t>ÅSELE</t>
        </is>
      </c>
      <c r="F9471" t="inlineStr">
        <is>
          <t>SCA</t>
        </is>
      </c>
      <c r="G9471" t="n">
        <v>5.6</v>
      </c>
      <c r="H9471" t="n">
        <v>0</v>
      </c>
      <c r="I9471" t="n">
        <v>0</v>
      </c>
      <c r="J9471" t="n">
        <v>0</v>
      </c>
      <c r="K9471" t="n">
        <v>0</v>
      </c>
      <c r="L9471" t="n">
        <v>0</v>
      </c>
      <c r="M9471" t="n">
        <v>0</v>
      </c>
      <c r="N9471" t="n">
        <v>0</v>
      </c>
      <c r="O9471" t="n">
        <v>0</v>
      </c>
      <c r="P9471" t="n">
        <v>0</v>
      </c>
      <c r="Q9471" t="n">
        <v>0</v>
      </c>
      <c r="R9471" s="2" t="inlineStr"/>
    </row>
    <row r="9472" ht="15" customHeight="1">
      <c r="A9472" t="inlineStr">
        <is>
          <t>A 38577-2023</t>
        </is>
      </c>
      <c r="B9472" s="1" t="n">
        <v>45161</v>
      </c>
      <c r="C9472" s="1" t="n">
        <v>46075</v>
      </c>
      <c r="D9472" t="inlineStr">
        <is>
          <t>VÄSTERBOTTENS LÄN</t>
        </is>
      </c>
      <c r="E9472" t="inlineStr">
        <is>
          <t>SKELLEFTEÅ</t>
        </is>
      </c>
      <c r="G9472" t="n">
        <v>0.8</v>
      </c>
      <c r="H9472" t="n">
        <v>0</v>
      </c>
      <c r="I9472" t="n">
        <v>0</v>
      </c>
      <c r="J9472" t="n">
        <v>0</v>
      </c>
      <c r="K9472" t="n">
        <v>0</v>
      </c>
      <c r="L9472" t="n">
        <v>0</v>
      </c>
      <c r="M9472" t="n">
        <v>0</v>
      </c>
      <c r="N9472" t="n">
        <v>0</v>
      </c>
      <c r="O9472" t="n">
        <v>0</v>
      </c>
      <c r="P9472" t="n">
        <v>0</v>
      </c>
      <c r="Q9472" t="n">
        <v>0</v>
      </c>
      <c r="R9472" s="2" t="inlineStr"/>
    </row>
    <row r="9473" ht="15" customHeight="1">
      <c r="A9473" t="inlineStr">
        <is>
          <t>A 47534-2023</t>
        </is>
      </c>
      <c r="B9473" s="1" t="n">
        <v>45203.36484953704</v>
      </c>
      <c r="C9473" s="1" t="n">
        <v>46075</v>
      </c>
      <c r="D9473" t="inlineStr">
        <is>
          <t>VÄSTERBOTTENS LÄN</t>
        </is>
      </c>
      <c r="E9473" t="inlineStr">
        <is>
          <t>SKELLEFTEÅ</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6811-2026</t>
        </is>
      </c>
      <c r="B9474" s="1" t="n">
        <v>46055</v>
      </c>
      <c r="C9474" s="1" t="n">
        <v>46075</v>
      </c>
      <c r="D9474" t="inlineStr">
        <is>
          <t>VÄSTERBOTTENS LÄN</t>
        </is>
      </c>
      <c r="E9474" t="inlineStr">
        <is>
          <t>BJURHOLM</t>
        </is>
      </c>
      <c r="G9474" t="n">
        <v>3.9</v>
      </c>
      <c r="H9474" t="n">
        <v>0</v>
      </c>
      <c r="I9474" t="n">
        <v>0</v>
      </c>
      <c r="J9474" t="n">
        <v>0</v>
      </c>
      <c r="K9474" t="n">
        <v>0</v>
      </c>
      <c r="L9474" t="n">
        <v>0</v>
      </c>
      <c r="M9474" t="n">
        <v>0</v>
      </c>
      <c r="N9474" t="n">
        <v>0</v>
      </c>
      <c r="O9474" t="n">
        <v>0</v>
      </c>
      <c r="P9474" t="n">
        <v>0</v>
      </c>
      <c r="Q9474" t="n">
        <v>0</v>
      </c>
      <c r="R9474" s="2" t="inlineStr"/>
    </row>
    <row r="9475" ht="15" customHeight="1">
      <c r="A9475" t="inlineStr">
        <is>
          <t>A 37468-2024</t>
        </is>
      </c>
      <c r="B9475" s="1" t="n">
        <v>45540</v>
      </c>
      <c r="C9475" s="1" t="n">
        <v>46075</v>
      </c>
      <c r="D9475" t="inlineStr">
        <is>
          <t>VÄSTERBOTTENS LÄN</t>
        </is>
      </c>
      <c r="E9475" t="inlineStr">
        <is>
          <t>MALÅ</t>
        </is>
      </c>
      <c r="G9475" t="n">
        <v>4.9</v>
      </c>
      <c r="H9475" t="n">
        <v>0</v>
      </c>
      <c r="I9475" t="n">
        <v>0</v>
      </c>
      <c r="J9475" t="n">
        <v>0</v>
      </c>
      <c r="K9475" t="n">
        <v>0</v>
      </c>
      <c r="L9475" t="n">
        <v>0</v>
      </c>
      <c r="M9475" t="n">
        <v>0</v>
      </c>
      <c r="N9475" t="n">
        <v>0</v>
      </c>
      <c r="O9475" t="n">
        <v>0</v>
      </c>
      <c r="P9475" t="n">
        <v>0</v>
      </c>
      <c r="Q9475" t="n">
        <v>0</v>
      </c>
      <c r="R9475" s="2" t="inlineStr"/>
    </row>
    <row r="9476" ht="15" customHeight="1">
      <c r="A9476" t="inlineStr">
        <is>
          <t>A 38285-2022</t>
        </is>
      </c>
      <c r="B9476" s="1" t="n">
        <v>44812</v>
      </c>
      <c r="C9476" s="1" t="n">
        <v>46075</v>
      </c>
      <c r="D9476" t="inlineStr">
        <is>
          <t>VÄSTERBOTTENS LÄN</t>
        </is>
      </c>
      <c r="E9476" t="inlineStr">
        <is>
          <t>NORDMALING</t>
        </is>
      </c>
      <c r="G9476" t="n">
        <v>4.8</v>
      </c>
      <c r="H9476" t="n">
        <v>0</v>
      </c>
      <c r="I9476" t="n">
        <v>0</v>
      </c>
      <c r="J9476" t="n">
        <v>0</v>
      </c>
      <c r="K9476" t="n">
        <v>0</v>
      </c>
      <c r="L9476" t="n">
        <v>0</v>
      </c>
      <c r="M9476" t="n">
        <v>0</v>
      </c>
      <c r="N9476" t="n">
        <v>0</v>
      </c>
      <c r="O9476" t="n">
        <v>0</v>
      </c>
      <c r="P9476" t="n">
        <v>0</v>
      </c>
      <c r="Q9476" t="n">
        <v>0</v>
      </c>
      <c r="R9476" s="2" t="inlineStr"/>
    </row>
    <row r="9477" ht="15" customHeight="1">
      <c r="A9477" t="inlineStr">
        <is>
          <t>A 11743-2023</t>
        </is>
      </c>
      <c r="B9477" s="1" t="n">
        <v>44994.59267361111</v>
      </c>
      <c r="C9477" s="1" t="n">
        <v>46075</v>
      </c>
      <c r="D9477" t="inlineStr">
        <is>
          <t>VÄSTERBOTTENS LÄN</t>
        </is>
      </c>
      <c r="E9477" t="inlineStr">
        <is>
          <t>LYCKSELE</t>
        </is>
      </c>
      <c r="G9477" t="n">
        <v>2.2</v>
      </c>
      <c r="H9477" t="n">
        <v>0</v>
      </c>
      <c r="I9477" t="n">
        <v>0</v>
      </c>
      <c r="J9477" t="n">
        <v>0</v>
      </c>
      <c r="K9477" t="n">
        <v>0</v>
      </c>
      <c r="L9477" t="n">
        <v>0</v>
      </c>
      <c r="M9477" t="n">
        <v>0</v>
      </c>
      <c r="N9477" t="n">
        <v>0</v>
      </c>
      <c r="O9477" t="n">
        <v>0</v>
      </c>
      <c r="P9477" t="n">
        <v>0</v>
      </c>
      <c r="Q9477" t="n">
        <v>0</v>
      </c>
      <c r="R9477" s="2" t="inlineStr"/>
    </row>
    <row r="9478" ht="15" customHeight="1">
      <c r="A9478" t="inlineStr">
        <is>
          <t>A 6581-2026</t>
        </is>
      </c>
      <c r="B9478" s="1" t="n">
        <v>46056.45396990741</v>
      </c>
      <c r="C9478" s="1" t="n">
        <v>46075</v>
      </c>
      <c r="D9478" t="inlineStr">
        <is>
          <t>VÄSTERBOTTENS LÄN</t>
        </is>
      </c>
      <c r="E9478" t="inlineStr">
        <is>
          <t>VILHELMINA</t>
        </is>
      </c>
      <c r="G9478" t="n">
        <v>10.3</v>
      </c>
      <c r="H9478" t="n">
        <v>0</v>
      </c>
      <c r="I9478" t="n">
        <v>0</v>
      </c>
      <c r="J9478" t="n">
        <v>0</v>
      </c>
      <c r="K9478" t="n">
        <v>0</v>
      </c>
      <c r="L9478" t="n">
        <v>0</v>
      </c>
      <c r="M9478" t="n">
        <v>0</v>
      </c>
      <c r="N9478" t="n">
        <v>0</v>
      </c>
      <c r="O9478" t="n">
        <v>0</v>
      </c>
      <c r="P9478" t="n">
        <v>0</v>
      </c>
      <c r="Q9478" t="n">
        <v>0</v>
      </c>
      <c r="R9478" s="2" t="inlineStr"/>
    </row>
    <row r="9479" ht="15" customHeight="1">
      <c r="A9479" t="inlineStr">
        <is>
          <t>A 6910-2026</t>
        </is>
      </c>
      <c r="B9479" s="1" t="n">
        <v>46057.51086805556</v>
      </c>
      <c r="C9479" s="1" t="n">
        <v>46075</v>
      </c>
      <c r="D9479" t="inlineStr">
        <is>
          <t>VÄSTERBOTTENS LÄN</t>
        </is>
      </c>
      <c r="E9479" t="inlineStr">
        <is>
          <t>ÅSELE</t>
        </is>
      </c>
      <c r="F9479" t="inlineStr">
        <is>
          <t>SCA</t>
        </is>
      </c>
      <c r="G9479" t="n">
        <v>3.5</v>
      </c>
      <c r="H9479" t="n">
        <v>0</v>
      </c>
      <c r="I9479" t="n">
        <v>0</v>
      </c>
      <c r="J9479" t="n">
        <v>0</v>
      </c>
      <c r="K9479" t="n">
        <v>0</v>
      </c>
      <c r="L9479" t="n">
        <v>0</v>
      </c>
      <c r="M9479" t="n">
        <v>0</v>
      </c>
      <c r="N9479" t="n">
        <v>0</v>
      </c>
      <c r="O9479" t="n">
        <v>0</v>
      </c>
      <c r="P9479" t="n">
        <v>0</v>
      </c>
      <c r="Q9479" t="n">
        <v>0</v>
      </c>
      <c r="R9479" s="2" t="inlineStr"/>
    </row>
    <row r="9480" ht="15" customHeight="1">
      <c r="A9480" t="inlineStr">
        <is>
          <t>A 52531-2024</t>
        </is>
      </c>
      <c r="B9480" s="1" t="n">
        <v>45609.61578703704</v>
      </c>
      <c r="C9480" s="1" t="n">
        <v>46075</v>
      </c>
      <c r="D9480" t="inlineStr">
        <is>
          <t>VÄSTERBOTTENS LÄN</t>
        </is>
      </c>
      <c r="E9480" t="inlineStr">
        <is>
          <t>VÄNNÄS</t>
        </is>
      </c>
      <c r="G9480" t="n">
        <v>1.2</v>
      </c>
      <c r="H9480" t="n">
        <v>0</v>
      </c>
      <c r="I9480" t="n">
        <v>0</v>
      </c>
      <c r="J9480" t="n">
        <v>0</v>
      </c>
      <c r="K9480" t="n">
        <v>0</v>
      </c>
      <c r="L9480" t="n">
        <v>0</v>
      </c>
      <c r="M9480" t="n">
        <v>0</v>
      </c>
      <c r="N9480" t="n">
        <v>0</v>
      </c>
      <c r="O9480" t="n">
        <v>0</v>
      </c>
      <c r="P9480" t="n">
        <v>0</v>
      </c>
      <c r="Q9480" t="n">
        <v>0</v>
      </c>
      <c r="R9480" s="2" t="inlineStr"/>
    </row>
    <row r="9481" ht="15" customHeight="1">
      <c r="A9481" t="inlineStr">
        <is>
          <t>A 52533-2024</t>
        </is>
      </c>
      <c r="B9481" s="1" t="n">
        <v>45609.61697916667</v>
      </c>
      <c r="C9481" s="1" t="n">
        <v>46075</v>
      </c>
      <c r="D9481" t="inlineStr">
        <is>
          <t>VÄSTERBOTTENS LÄN</t>
        </is>
      </c>
      <c r="E9481" t="inlineStr">
        <is>
          <t>VÄNNÄS</t>
        </is>
      </c>
      <c r="G9481" t="n">
        <v>2.9</v>
      </c>
      <c r="H9481" t="n">
        <v>0</v>
      </c>
      <c r="I9481" t="n">
        <v>0</v>
      </c>
      <c r="J9481" t="n">
        <v>0</v>
      </c>
      <c r="K9481" t="n">
        <v>0</v>
      </c>
      <c r="L9481" t="n">
        <v>0</v>
      </c>
      <c r="M9481" t="n">
        <v>0</v>
      </c>
      <c r="N9481" t="n">
        <v>0</v>
      </c>
      <c r="O9481" t="n">
        <v>0</v>
      </c>
      <c r="P9481" t="n">
        <v>0</v>
      </c>
      <c r="Q9481" t="n">
        <v>0</v>
      </c>
      <c r="R9481" s="2" t="inlineStr"/>
    </row>
    <row r="9482" ht="15" customHeight="1">
      <c r="A9482" t="inlineStr">
        <is>
          <t>A 23563-2024</t>
        </is>
      </c>
      <c r="B9482" s="1" t="n">
        <v>45453</v>
      </c>
      <c r="C9482" s="1" t="n">
        <v>46075</v>
      </c>
      <c r="D9482" t="inlineStr">
        <is>
          <t>VÄSTERBOTTENS LÄN</t>
        </is>
      </c>
      <c r="E9482" t="inlineStr">
        <is>
          <t>VINDELN</t>
        </is>
      </c>
      <c r="F9482" t="inlineStr">
        <is>
          <t>SCA</t>
        </is>
      </c>
      <c r="G9482" t="n">
        <v>1.8</v>
      </c>
      <c r="H9482" t="n">
        <v>0</v>
      </c>
      <c r="I9482" t="n">
        <v>0</v>
      </c>
      <c r="J9482" t="n">
        <v>0</v>
      </c>
      <c r="K9482" t="n">
        <v>0</v>
      </c>
      <c r="L9482" t="n">
        <v>0</v>
      </c>
      <c r="M9482" t="n">
        <v>0</v>
      </c>
      <c r="N9482" t="n">
        <v>0</v>
      </c>
      <c r="O9482" t="n">
        <v>0</v>
      </c>
      <c r="P9482" t="n">
        <v>0</v>
      </c>
      <c r="Q9482" t="n">
        <v>0</v>
      </c>
      <c r="R9482" s="2" t="inlineStr"/>
    </row>
    <row r="9483" ht="15" customHeight="1">
      <c r="A9483" t="inlineStr">
        <is>
          <t>A 23565-2024</t>
        </is>
      </c>
      <c r="B9483" s="1" t="n">
        <v>45453.95523148148</v>
      </c>
      <c r="C9483" s="1" t="n">
        <v>46075</v>
      </c>
      <c r="D9483" t="inlineStr">
        <is>
          <t>VÄSTERBOTTENS LÄN</t>
        </is>
      </c>
      <c r="E9483" t="inlineStr">
        <is>
          <t>NORDMALING</t>
        </is>
      </c>
      <c r="F9483" t="inlineStr">
        <is>
          <t>SCA</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6750-2026</t>
        </is>
      </c>
      <c r="B9484" s="1" t="n">
        <v>46056.75780092592</v>
      </c>
      <c r="C9484" s="1" t="n">
        <v>46075</v>
      </c>
      <c r="D9484" t="inlineStr">
        <is>
          <t>VÄSTERBOTTENS LÄN</t>
        </is>
      </c>
      <c r="E9484" t="inlineStr">
        <is>
          <t>ROBERTSFORS</t>
        </is>
      </c>
      <c r="G9484" t="n">
        <v>6.3</v>
      </c>
      <c r="H9484" t="n">
        <v>0</v>
      </c>
      <c r="I9484" t="n">
        <v>0</v>
      </c>
      <c r="J9484" t="n">
        <v>0</v>
      </c>
      <c r="K9484" t="n">
        <v>0</v>
      </c>
      <c r="L9484" t="n">
        <v>0</v>
      </c>
      <c r="M9484" t="n">
        <v>0</v>
      </c>
      <c r="N9484" t="n">
        <v>0</v>
      </c>
      <c r="O9484" t="n">
        <v>0</v>
      </c>
      <c r="P9484" t="n">
        <v>0</v>
      </c>
      <c r="Q9484" t="n">
        <v>0</v>
      </c>
      <c r="R9484" s="2" t="inlineStr"/>
    </row>
    <row r="9485" ht="15" customHeight="1">
      <c r="A9485" t="inlineStr">
        <is>
          <t>A 6966-2026</t>
        </is>
      </c>
      <c r="B9485" s="1" t="n">
        <v>46057.58739583333</v>
      </c>
      <c r="C9485" s="1" t="n">
        <v>46075</v>
      </c>
      <c r="D9485" t="inlineStr">
        <is>
          <t>VÄSTERBOTTENS LÄN</t>
        </is>
      </c>
      <c r="E9485" t="inlineStr">
        <is>
          <t>BJURHOLM</t>
        </is>
      </c>
      <c r="G9485" t="n">
        <v>3.7</v>
      </c>
      <c r="H9485" t="n">
        <v>0</v>
      </c>
      <c r="I9485" t="n">
        <v>0</v>
      </c>
      <c r="J9485" t="n">
        <v>0</v>
      </c>
      <c r="K9485" t="n">
        <v>0</v>
      </c>
      <c r="L9485" t="n">
        <v>0</v>
      </c>
      <c r="M9485" t="n">
        <v>0</v>
      </c>
      <c r="N9485" t="n">
        <v>0</v>
      </c>
      <c r="O9485" t="n">
        <v>0</v>
      </c>
      <c r="P9485" t="n">
        <v>0</v>
      </c>
      <c r="Q9485" t="n">
        <v>0</v>
      </c>
      <c r="R9485" s="2" t="inlineStr"/>
    </row>
    <row r="9486" ht="15" customHeight="1">
      <c r="A9486" t="inlineStr">
        <is>
          <t>A 29573-2023</t>
        </is>
      </c>
      <c r="B9486" s="1" t="n">
        <v>45098</v>
      </c>
      <c r="C9486" s="1" t="n">
        <v>46075</v>
      </c>
      <c r="D9486" t="inlineStr">
        <is>
          <t>VÄSTERBOTTENS LÄN</t>
        </is>
      </c>
      <c r="E9486" t="inlineStr">
        <is>
          <t>VÄNNÄS</t>
        </is>
      </c>
      <c r="G9486" t="n">
        <v>5.3</v>
      </c>
      <c r="H9486" t="n">
        <v>0</v>
      </c>
      <c r="I9486" t="n">
        <v>0</v>
      </c>
      <c r="J9486" t="n">
        <v>0</v>
      </c>
      <c r="K9486" t="n">
        <v>0</v>
      </c>
      <c r="L9486" t="n">
        <v>0</v>
      </c>
      <c r="M9486" t="n">
        <v>0</v>
      </c>
      <c r="N9486" t="n">
        <v>0</v>
      </c>
      <c r="O9486" t="n">
        <v>0</v>
      </c>
      <c r="P9486" t="n">
        <v>0</v>
      </c>
      <c r="Q9486" t="n">
        <v>0</v>
      </c>
      <c r="R9486" s="2" t="inlineStr"/>
    </row>
    <row r="9487" ht="15" customHeight="1">
      <c r="A9487" t="inlineStr">
        <is>
          <t>A 61584-2024</t>
        </is>
      </c>
      <c r="B9487" s="1" t="n">
        <v>45646.62739583333</v>
      </c>
      <c r="C9487" s="1" t="n">
        <v>46075</v>
      </c>
      <c r="D9487" t="inlineStr">
        <is>
          <t>VÄSTERBOTTENS LÄN</t>
        </is>
      </c>
      <c r="E9487" t="inlineStr">
        <is>
          <t>SKELLEFTEÅ</t>
        </is>
      </c>
      <c r="F9487" t="inlineStr">
        <is>
          <t>Sveaskog</t>
        </is>
      </c>
      <c r="G9487" t="n">
        <v>7.1</v>
      </c>
      <c r="H9487" t="n">
        <v>0</v>
      </c>
      <c r="I9487" t="n">
        <v>0</v>
      </c>
      <c r="J9487" t="n">
        <v>0</v>
      </c>
      <c r="K9487" t="n">
        <v>0</v>
      </c>
      <c r="L9487" t="n">
        <v>0</v>
      </c>
      <c r="M9487" t="n">
        <v>0</v>
      </c>
      <c r="N9487" t="n">
        <v>0</v>
      </c>
      <c r="O9487" t="n">
        <v>0</v>
      </c>
      <c r="P9487" t="n">
        <v>0</v>
      </c>
      <c r="Q9487" t="n">
        <v>0</v>
      </c>
      <c r="R9487" s="2" t="inlineStr"/>
    </row>
    <row r="9488" ht="15" customHeight="1">
      <c r="A9488" t="inlineStr">
        <is>
          <t>A 61591-2024</t>
        </is>
      </c>
      <c r="B9488" s="1" t="n">
        <v>45646.63126157408</v>
      </c>
      <c r="C9488" s="1" t="n">
        <v>46075</v>
      </c>
      <c r="D9488" t="inlineStr">
        <is>
          <t>VÄSTERBOTTENS LÄN</t>
        </is>
      </c>
      <c r="E9488" t="inlineStr">
        <is>
          <t>VINDELN</t>
        </is>
      </c>
      <c r="G9488" t="n">
        <v>3.7</v>
      </c>
      <c r="H9488" t="n">
        <v>0</v>
      </c>
      <c r="I9488" t="n">
        <v>0</v>
      </c>
      <c r="J9488" t="n">
        <v>0</v>
      </c>
      <c r="K9488" t="n">
        <v>0</v>
      </c>
      <c r="L9488" t="n">
        <v>0</v>
      </c>
      <c r="M9488" t="n">
        <v>0</v>
      </c>
      <c r="N9488" t="n">
        <v>0</v>
      </c>
      <c r="O9488" t="n">
        <v>0</v>
      </c>
      <c r="P9488" t="n">
        <v>0</v>
      </c>
      <c r="Q9488" t="n">
        <v>0</v>
      </c>
      <c r="R9488" s="2" t="inlineStr"/>
    </row>
    <row r="9489" ht="15" customHeight="1">
      <c r="A9489" t="inlineStr">
        <is>
          <t>A 61609-2024</t>
        </is>
      </c>
      <c r="B9489" s="1" t="n">
        <v>45645</v>
      </c>
      <c r="C9489" s="1" t="n">
        <v>46075</v>
      </c>
      <c r="D9489" t="inlineStr">
        <is>
          <t>VÄSTERBOTTENS LÄN</t>
        </is>
      </c>
      <c r="E9489" t="inlineStr">
        <is>
          <t>MALÅ</t>
        </is>
      </c>
      <c r="F9489" t="inlineStr">
        <is>
          <t>Sveaskog</t>
        </is>
      </c>
      <c r="G9489" t="n">
        <v>11.2</v>
      </c>
      <c r="H9489" t="n">
        <v>0</v>
      </c>
      <c r="I9489" t="n">
        <v>0</v>
      </c>
      <c r="J9489" t="n">
        <v>0</v>
      </c>
      <c r="K9489" t="n">
        <v>0</v>
      </c>
      <c r="L9489" t="n">
        <v>0</v>
      </c>
      <c r="M9489" t="n">
        <v>0</v>
      </c>
      <c r="N9489" t="n">
        <v>0</v>
      </c>
      <c r="O9489" t="n">
        <v>0</v>
      </c>
      <c r="P9489" t="n">
        <v>0</v>
      </c>
      <c r="Q9489" t="n">
        <v>0</v>
      </c>
      <c r="R9489" s="2" t="inlineStr"/>
    </row>
    <row r="9490" ht="15" customHeight="1">
      <c r="A9490" t="inlineStr">
        <is>
          <t>A 2486-2022</t>
        </is>
      </c>
      <c r="B9490" s="1" t="n">
        <v>44579</v>
      </c>
      <c r="C9490" s="1" t="n">
        <v>46075</v>
      </c>
      <c r="D9490" t="inlineStr">
        <is>
          <t>VÄSTERBOTTENS LÄN</t>
        </is>
      </c>
      <c r="E9490" t="inlineStr">
        <is>
          <t>SKELLEFTEÅ</t>
        </is>
      </c>
      <c r="G9490" t="n">
        <v>2.4</v>
      </c>
      <c r="H9490" t="n">
        <v>0</v>
      </c>
      <c r="I9490" t="n">
        <v>0</v>
      </c>
      <c r="J9490" t="n">
        <v>0</v>
      </c>
      <c r="K9490" t="n">
        <v>0</v>
      </c>
      <c r="L9490" t="n">
        <v>0</v>
      </c>
      <c r="M9490" t="n">
        <v>0</v>
      </c>
      <c r="N9490" t="n">
        <v>0</v>
      </c>
      <c r="O9490" t="n">
        <v>0</v>
      </c>
      <c r="P9490" t="n">
        <v>0</v>
      </c>
      <c r="Q9490" t="n">
        <v>0</v>
      </c>
      <c r="R9490" s="2" t="inlineStr"/>
    </row>
    <row r="9491" ht="15" customHeight="1">
      <c r="A9491" t="inlineStr">
        <is>
          <t>A 31659-2024</t>
        </is>
      </c>
      <c r="B9491" s="1" t="n">
        <v>45506</v>
      </c>
      <c r="C9491" s="1" t="n">
        <v>46075</v>
      </c>
      <c r="D9491" t="inlineStr">
        <is>
          <t>VÄSTERBOTTENS LÄN</t>
        </is>
      </c>
      <c r="E9491" t="inlineStr">
        <is>
          <t>ÅSELE</t>
        </is>
      </c>
      <c r="G9491" t="n">
        <v>41.1</v>
      </c>
      <c r="H9491" t="n">
        <v>0</v>
      </c>
      <c r="I9491" t="n">
        <v>0</v>
      </c>
      <c r="J9491" t="n">
        <v>0</v>
      </c>
      <c r="K9491" t="n">
        <v>0</v>
      </c>
      <c r="L9491" t="n">
        <v>0</v>
      </c>
      <c r="M9491" t="n">
        <v>0</v>
      </c>
      <c r="N9491" t="n">
        <v>0</v>
      </c>
      <c r="O9491" t="n">
        <v>0</v>
      </c>
      <c r="P9491" t="n">
        <v>0</v>
      </c>
      <c r="Q9491" t="n">
        <v>0</v>
      </c>
      <c r="R9491" s="2" t="inlineStr"/>
    </row>
    <row r="9492" ht="15" customHeight="1">
      <c r="A9492" t="inlineStr">
        <is>
          <t>A 32226-2024</t>
        </is>
      </c>
      <c r="B9492" s="1" t="n">
        <v>45511.92831018518</v>
      </c>
      <c r="C9492" s="1" t="n">
        <v>46075</v>
      </c>
      <c r="D9492" t="inlineStr">
        <is>
          <t>VÄSTERBOTTENS LÄN</t>
        </is>
      </c>
      <c r="E9492" t="inlineStr">
        <is>
          <t>NORSJÖ</t>
        </is>
      </c>
      <c r="G9492" t="n">
        <v>2.3</v>
      </c>
      <c r="H9492" t="n">
        <v>0</v>
      </c>
      <c r="I9492" t="n">
        <v>0</v>
      </c>
      <c r="J9492" t="n">
        <v>0</v>
      </c>
      <c r="K9492" t="n">
        <v>0</v>
      </c>
      <c r="L9492" t="n">
        <v>0</v>
      </c>
      <c r="M9492" t="n">
        <v>0</v>
      </c>
      <c r="N9492" t="n">
        <v>0</v>
      </c>
      <c r="O9492" t="n">
        <v>0</v>
      </c>
      <c r="P9492" t="n">
        <v>0</v>
      </c>
      <c r="Q9492" t="n">
        <v>0</v>
      </c>
      <c r="R9492" s="2" t="inlineStr"/>
    </row>
    <row r="9493" ht="15" customHeight="1">
      <c r="A9493" t="inlineStr">
        <is>
          <t>A 32234-2024</t>
        </is>
      </c>
      <c r="B9493" s="1" t="n">
        <v>45511.92890046296</v>
      </c>
      <c r="C9493" s="1" t="n">
        <v>46075</v>
      </c>
      <c r="D9493" t="inlineStr">
        <is>
          <t>VÄSTERBOTTENS LÄN</t>
        </is>
      </c>
      <c r="E9493" t="inlineStr">
        <is>
          <t>NORSJÖ</t>
        </is>
      </c>
      <c r="G9493" t="n">
        <v>10.9</v>
      </c>
      <c r="H9493" t="n">
        <v>0</v>
      </c>
      <c r="I9493" t="n">
        <v>0</v>
      </c>
      <c r="J9493" t="n">
        <v>0</v>
      </c>
      <c r="K9493" t="n">
        <v>0</v>
      </c>
      <c r="L9493" t="n">
        <v>0</v>
      </c>
      <c r="M9493" t="n">
        <v>0</v>
      </c>
      <c r="N9493" t="n">
        <v>0</v>
      </c>
      <c r="O9493" t="n">
        <v>0</v>
      </c>
      <c r="P9493" t="n">
        <v>0</v>
      </c>
      <c r="Q9493" t="n">
        <v>0</v>
      </c>
      <c r="R9493" s="2" t="inlineStr"/>
    </row>
    <row r="9494" ht="15" customHeight="1">
      <c r="A9494" t="inlineStr">
        <is>
          <t>A 32241-2024</t>
        </is>
      </c>
      <c r="B9494" s="1" t="n">
        <v>45511.92940972222</v>
      </c>
      <c r="C9494" s="1" t="n">
        <v>46075</v>
      </c>
      <c r="D9494" t="inlineStr">
        <is>
          <t>VÄSTERBOTTENS LÄN</t>
        </is>
      </c>
      <c r="E9494" t="inlineStr">
        <is>
          <t>NORSJÖ</t>
        </is>
      </c>
      <c r="G9494" t="n">
        <v>2.2</v>
      </c>
      <c r="H9494" t="n">
        <v>0</v>
      </c>
      <c r="I9494" t="n">
        <v>0</v>
      </c>
      <c r="J9494" t="n">
        <v>0</v>
      </c>
      <c r="K9494" t="n">
        <v>0</v>
      </c>
      <c r="L9494" t="n">
        <v>0</v>
      </c>
      <c r="M9494" t="n">
        <v>0</v>
      </c>
      <c r="N9494" t="n">
        <v>0</v>
      </c>
      <c r="O9494" t="n">
        <v>0</v>
      </c>
      <c r="P9494" t="n">
        <v>0</v>
      </c>
      <c r="Q9494" t="n">
        <v>0</v>
      </c>
      <c r="R9494" s="2" t="inlineStr"/>
    </row>
    <row r="9495" ht="15" customHeight="1">
      <c r="A9495" t="inlineStr">
        <is>
          <t>A 32282-2024</t>
        </is>
      </c>
      <c r="B9495" s="1" t="n">
        <v>45512</v>
      </c>
      <c r="C9495" s="1" t="n">
        <v>46075</v>
      </c>
      <c r="D9495" t="inlineStr">
        <is>
          <t>VÄSTERBOTTENS LÄN</t>
        </is>
      </c>
      <c r="E9495" t="inlineStr">
        <is>
          <t>UMEÅ</t>
        </is>
      </c>
      <c r="G9495" t="n">
        <v>9.5</v>
      </c>
      <c r="H9495" t="n">
        <v>0</v>
      </c>
      <c r="I9495" t="n">
        <v>0</v>
      </c>
      <c r="J9495" t="n">
        <v>0</v>
      </c>
      <c r="K9495" t="n">
        <v>0</v>
      </c>
      <c r="L9495" t="n">
        <v>0</v>
      </c>
      <c r="M9495" t="n">
        <v>0</v>
      </c>
      <c r="N9495" t="n">
        <v>0</v>
      </c>
      <c r="O9495" t="n">
        <v>0</v>
      </c>
      <c r="P9495" t="n">
        <v>0</v>
      </c>
      <c r="Q9495" t="n">
        <v>0</v>
      </c>
      <c r="R9495" s="2" t="inlineStr"/>
    </row>
    <row r="9496" ht="15" customHeight="1">
      <c r="A9496" t="inlineStr">
        <is>
          <t>A 46726-2024</t>
        </is>
      </c>
      <c r="B9496" s="1" t="n">
        <v>45583.46103009259</v>
      </c>
      <c r="C9496" s="1" t="n">
        <v>46075</v>
      </c>
      <c r="D9496" t="inlineStr">
        <is>
          <t>VÄSTERBOTTENS LÄN</t>
        </is>
      </c>
      <c r="E9496" t="inlineStr">
        <is>
          <t>VÄNNÄS</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46731-2024</t>
        </is>
      </c>
      <c r="B9497" s="1" t="n">
        <v>45583</v>
      </c>
      <c r="C9497" s="1" t="n">
        <v>46075</v>
      </c>
      <c r="D9497" t="inlineStr">
        <is>
          <t>VÄSTERBOTTENS LÄN</t>
        </is>
      </c>
      <c r="E9497" t="inlineStr">
        <is>
          <t>SKELLEFTEÅ</t>
        </is>
      </c>
      <c r="F9497" t="inlineStr">
        <is>
          <t>Holmen skog AB</t>
        </is>
      </c>
      <c r="G9497" t="n">
        <v>3.7</v>
      </c>
      <c r="H9497" t="n">
        <v>0</v>
      </c>
      <c r="I9497" t="n">
        <v>0</v>
      </c>
      <c r="J9497" t="n">
        <v>0</v>
      </c>
      <c r="K9497" t="n">
        <v>0</v>
      </c>
      <c r="L9497" t="n">
        <v>0</v>
      </c>
      <c r="M9497" t="n">
        <v>0</v>
      </c>
      <c r="N9497" t="n">
        <v>0</v>
      </c>
      <c r="O9497" t="n">
        <v>0</v>
      </c>
      <c r="P9497" t="n">
        <v>0</v>
      </c>
      <c r="Q9497" t="n">
        <v>0</v>
      </c>
      <c r="R9497" s="2" t="inlineStr"/>
    </row>
    <row r="9498" ht="15" customHeight="1">
      <c r="A9498" t="inlineStr">
        <is>
          <t>A 41850-2023</t>
        </is>
      </c>
      <c r="B9498" s="1" t="n">
        <v>45176</v>
      </c>
      <c r="C9498" s="1" t="n">
        <v>46075</v>
      </c>
      <c r="D9498" t="inlineStr">
        <is>
          <t>VÄSTERBOTTENS LÄN</t>
        </is>
      </c>
      <c r="E9498" t="inlineStr">
        <is>
          <t>ROBERTSFORS</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40409-2023</t>
        </is>
      </c>
      <c r="B9499" s="1" t="n">
        <v>45169.93868055556</v>
      </c>
      <c r="C9499" s="1" t="n">
        <v>46075</v>
      </c>
      <c r="D9499" t="inlineStr">
        <is>
          <t>VÄSTERBOTTENS LÄN</t>
        </is>
      </c>
      <c r="E9499" t="inlineStr">
        <is>
          <t>BJURHOLM</t>
        </is>
      </c>
      <c r="F9499" t="inlineStr">
        <is>
          <t>SCA</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40434-2023</t>
        </is>
      </c>
      <c r="B9500" s="1" t="n">
        <v>45169.94084490741</v>
      </c>
      <c r="C9500" s="1" t="n">
        <v>46075</v>
      </c>
      <c r="D9500" t="inlineStr">
        <is>
          <t>VÄSTERBOTTENS LÄN</t>
        </is>
      </c>
      <c r="E9500" t="inlineStr">
        <is>
          <t>DOROTEA</t>
        </is>
      </c>
      <c r="F9500" t="inlineStr">
        <is>
          <t>SCA</t>
        </is>
      </c>
      <c r="G9500" t="n">
        <v>13.9</v>
      </c>
      <c r="H9500" t="n">
        <v>0</v>
      </c>
      <c r="I9500" t="n">
        <v>0</v>
      </c>
      <c r="J9500" t="n">
        <v>0</v>
      </c>
      <c r="K9500" t="n">
        <v>0</v>
      </c>
      <c r="L9500" t="n">
        <v>0</v>
      </c>
      <c r="M9500" t="n">
        <v>0</v>
      </c>
      <c r="N9500" t="n">
        <v>0</v>
      </c>
      <c r="O9500" t="n">
        <v>0</v>
      </c>
      <c r="P9500" t="n">
        <v>0</v>
      </c>
      <c r="Q9500" t="n">
        <v>0</v>
      </c>
      <c r="R9500" s="2" t="inlineStr"/>
    </row>
    <row r="9501" ht="15" customHeight="1">
      <c r="A9501" t="inlineStr">
        <is>
          <t>A 63685-2025</t>
        </is>
      </c>
      <c r="B9501" s="1" t="n">
        <v>46014.52336805555</v>
      </c>
      <c r="C9501" s="1" t="n">
        <v>46075</v>
      </c>
      <c r="D9501" t="inlineStr">
        <is>
          <t>VÄSTERBOTTENS LÄN</t>
        </is>
      </c>
      <c r="E9501" t="inlineStr">
        <is>
          <t>SKELLEFTEÅ</t>
        </is>
      </c>
      <c r="G9501" t="n">
        <v>9</v>
      </c>
      <c r="H9501" t="n">
        <v>0</v>
      </c>
      <c r="I9501" t="n">
        <v>0</v>
      </c>
      <c r="J9501" t="n">
        <v>0</v>
      </c>
      <c r="K9501" t="n">
        <v>0</v>
      </c>
      <c r="L9501" t="n">
        <v>0</v>
      </c>
      <c r="M9501" t="n">
        <v>0</v>
      </c>
      <c r="N9501" t="n">
        <v>0</v>
      </c>
      <c r="O9501" t="n">
        <v>0</v>
      </c>
      <c r="P9501" t="n">
        <v>0</v>
      </c>
      <c r="Q9501" t="n">
        <v>0</v>
      </c>
      <c r="R9501" s="2" t="inlineStr"/>
    </row>
    <row r="9502" ht="15" customHeight="1">
      <c r="A9502" t="inlineStr">
        <is>
          <t>A 6778-2026</t>
        </is>
      </c>
      <c r="B9502" s="1" t="n">
        <v>46057.2996412037</v>
      </c>
      <c r="C9502" s="1" t="n">
        <v>46075</v>
      </c>
      <c r="D9502" t="inlineStr">
        <is>
          <t>VÄSTERBOTTENS LÄN</t>
        </is>
      </c>
      <c r="E9502" t="inlineStr">
        <is>
          <t>BJURHOLM</t>
        </is>
      </c>
      <c r="G9502" t="n">
        <v>1.2</v>
      </c>
      <c r="H9502" t="n">
        <v>0</v>
      </c>
      <c r="I9502" t="n">
        <v>0</v>
      </c>
      <c r="J9502" t="n">
        <v>0</v>
      </c>
      <c r="K9502" t="n">
        <v>0</v>
      </c>
      <c r="L9502" t="n">
        <v>0</v>
      </c>
      <c r="M9502" t="n">
        <v>0</v>
      </c>
      <c r="N9502" t="n">
        <v>0</v>
      </c>
      <c r="O9502" t="n">
        <v>0</v>
      </c>
      <c r="P9502" t="n">
        <v>0</v>
      </c>
      <c r="Q9502" t="n">
        <v>0</v>
      </c>
      <c r="R9502" s="2" t="inlineStr"/>
    </row>
    <row r="9503" ht="15" customHeight="1">
      <c r="A9503" t="inlineStr">
        <is>
          <t>A 5329-2026</t>
        </is>
      </c>
      <c r="B9503" s="1" t="n">
        <v>46050</v>
      </c>
      <c r="C9503" s="1" t="n">
        <v>46075</v>
      </c>
      <c r="D9503" t="inlineStr">
        <is>
          <t>VÄSTERBOTTENS LÄN</t>
        </is>
      </c>
      <c r="E9503" t="inlineStr">
        <is>
          <t>UMEÅ</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63612-2025</t>
        </is>
      </c>
      <c r="B9504" s="1" t="n">
        <v>46014.3443287037</v>
      </c>
      <c r="C9504" s="1" t="n">
        <v>46075</v>
      </c>
      <c r="D9504" t="inlineStr">
        <is>
          <t>VÄSTERBOTTENS LÄN</t>
        </is>
      </c>
      <c r="E9504" t="inlineStr">
        <is>
          <t>SKELLEFTEÅ</t>
        </is>
      </c>
      <c r="G9504" t="n">
        <v>4.4</v>
      </c>
      <c r="H9504" t="n">
        <v>0</v>
      </c>
      <c r="I9504" t="n">
        <v>0</v>
      </c>
      <c r="J9504" t="n">
        <v>0</v>
      </c>
      <c r="K9504" t="n">
        <v>0</v>
      </c>
      <c r="L9504" t="n">
        <v>0</v>
      </c>
      <c r="M9504" t="n">
        <v>0</v>
      </c>
      <c r="N9504" t="n">
        <v>0</v>
      </c>
      <c r="O9504" t="n">
        <v>0</v>
      </c>
      <c r="P9504" t="n">
        <v>0</v>
      </c>
      <c r="Q9504" t="n">
        <v>0</v>
      </c>
      <c r="R9504" s="2" t="inlineStr"/>
    </row>
    <row r="9505" ht="15" customHeight="1">
      <c r="A9505" t="inlineStr">
        <is>
          <t>A 6995-2026</t>
        </is>
      </c>
      <c r="B9505" s="1" t="n">
        <v>46057.61146990741</v>
      </c>
      <c r="C9505" s="1" t="n">
        <v>46075</v>
      </c>
      <c r="D9505" t="inlineStr">
        <is>
          <t>VÄSTERBOTTENS LÄN</t>
        </is>
      </c>
      <c r="E9505" t="inlineStr">
        <is>
          <t>NORDMALING</t>
        </is>
      </c>
      <c r="G9505" t="n">
        <v>5.2</v>
      </c>
      <c r="H9505" t="n">
        <v>0</v>
      </c>
      <c r="I9505" t="n">
        <v>0</v>
      </c>
      <c r="J9505" t="n">
        <v>0</v>
      </c>
      <c r="K9505" t="n">
        <v>0</v>
      </c>
      <c r="L9505" t="n">
        <v>0</v>
      </c>
      <c r="M9505" t="n">
        <v>0</v>
      </c>
      <c r="N9505" t="n">
        <v>0</v>
      </c>
      <c r="O9505" t="n">
        <v>0</v>
      </c>
      <c r="P9505" t="n">
        <v>0</v>
      </c>
      <c r="Q9505" t="n">
        <v>0</v>
      </c>
      <c r="R9505" s="2" t="inlineStr"/>
    </row>
    <row r="9506" ht="15" customHeight="1">
      <c r="A9506" t="inlineStr">
        <is>
          <t>A 6888-2026</t>
        </is>
      </c>
      <c r="B9506" s="1" t="n">
        <v>46057.46924768519</v>
      </c>
      <c r="C9506" s="1" t="n">
        <v>46075</v>
      </c>
      <c r="D9506" t="inlineStr">
        <is>
          <t>VÄSTERBOTTENS LÄN</t>
        </is>
      </c>
      <c r="E9506" t="inlineStr">
        <is>
          <t>ÅSELE</t>
        </is>
      </c>
      <c r="F9506" t="inlineStr">
        <is>
          <t>SCA</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6903-2026</t>
        </is>
      </c>
      <c r="B9507" s="1" t="n">
        <v>46057.490625</v>
      </c>
      <c r="C9507" s="1" t="n">
        <v>46075</v>
      </c>
      <c r="D9507" t="inlineStr">
        <is>
          <t>VÄSTERBOTTENS LÄN</t>
        </is>
      </c>
      <c r="E9507" t="inlineStr">
        <is>
          <t>ÅSELE</t>
        </is>
      </c>
      <c r="F9507" t="inlineStr">
        <is>
          <t>SCA</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4958-2023</t>
        </is>
      </c>
      <c r="B9508" s="1" t="n">
        <v>44956</v>
      </c>
      <c r="C9508" s="1" t="n">
        <v>46075</v>
      </c>
      <c r="D9508" t="inlineStr">
        <is>
          <t>VÄSTERBOTTENS LÄN</t>
        </is>
      </c>
      <c r="E9508" t="inlineStr">
        <is>
          <t>DOROTEA</t>
        </is>
      </c>
      <c r="G9508" t="n">
        <v>2.7</v>
      </c>
      <c r="H9508" t="n">
        <v>0</v>
      </c>
      <c r="I9508" t="n">
        <v>0</v>
      </c>
      <c r="J9508" t="n">
        <v>0</v>
      </c>
      <c r="K9508" t="n">
        <v>0</v>
      </c>
      <c r="L9508" t="n">
        <v>0</v>
      </c>
      <c r="M9508" t="n">
        <v>0</v>
      </c>
      <c r="N9508" t="n">
        <v>0</v>
      </c>
      <c r="O9508" t="n">
        <v>0</v>
      </c>
      <c r="P9508" t="n">
        <v>0</v>
      </c>
      <c r="Q9508" t="n">
        <v>0</v>
      </c>
      <c r="R9508" s="2" t="inlineStr"/>
    </row>
    <row r="9509" ht="15" customHeight="1">
      <c r="A9509" t="inlineStr">
        <is>
          <t>A 19270-2024</t>
        </is>
      </c>
      <c r="B9509" s="1" t="n">
        <v>45428</v>
      </c>
      <c r="C9509" s="1" t="n">
        <v>46075</v>
      </c>
      <c r="D9509" t="inlineStr">
        <is>
          <t>VÄSTERBOTTENS LÄN</t>
        </is>
      </c>
      <c r="E9509" t="inlineStr">
        <is>
          <t>LYCKSELE</t>
        </is>
      </c>
      <c r="F9509" t="inlineStr">
        <is>
          <t>Holmen skog AB</t>
        </is>
      </c>
      <c r="G9509" t="n">
        <v>11.1</v>
      </c>
      <c r="H9509" t="n">
        <v>0</v>
      </c>
      <c r="I9509" t="n">
        <v>0</v>
      </c>
      <c r="J9509" t="n">
        <v>0</v>
      </c>
      <c r="K9509" t="n">
        <v>0</v>
      </c>
      <c r="L9509" t="n">
        <v>0</v>
      </c>
      <c r="M9509" t="n">
        <v>0</v>
      </c>
      <c r="N9509" t="n">
        <v>0</v>
      </c>
      <c r="O9509" t="n">
        <v>0</v>
      </c>
      <c r="P9509" t="n">
        <v>0</v>
      </c>
      <c r="Q9509" t="n">
        <v>0</v>
      </c>
      <c r="R9509" s="2" t="inlineStr"/>
    </row>
    <row r="9510" ht="15" customHeight="1">
      <c r="A9510" t="inlineStr">
        <is>
          <t>A 41353-2022</t>
        </is>
      </c>
      <c r="B9510" s="1" t="n">
        <v>44824</v>
      </c>
      <c r="C9510" s="1" t="n">
        <v>46075</v>
      </c>
      <c r="D9510" t="inlineStr">
        <is>
          <t>VÄSTERBOTTENS LÄN</t>
        </is>
      </c>
      <c r="E9510" t="inlineStr">
        <is>
          <t>DOROTEA</t>
        </is>
      </c>
      <c r="F9510" t="inlineStr">
        <is>
          <t>SCA</t>
        </is>
      </c>
      <c r="G9510" t="n">
        <v>7.1</v>
      </c>
      <c r="H9510" t="n">
        <v>0</v>
      </c>
      <c r="I9510" t="n">
        <v>0</v>
      </c>
      <c r="J9510" t="n">
        <v>0</v>
      </c>
      <c r="K9510" t="n">
        <v>0</v>
      </c>
      <c r="L9510" t="n">
        <v>0</v>
      </c>
      <c r="M9510" t="n">
        <v>0</v>
      </c>
      <c r="N9510" t="n">
        <v>0</v>
      </c>
      <c r="O9510" t="n">
        <v>0</v>
      </c>
      <c r="P9510" t="n">
        <v>0</v>
      </c>
      <c r="Q9510" t="n">
        <v>0</v>
      </c>
      <c r="R9510" s="2" t="inlineStr"/>
    </row>
    <row r="9511" ht="15" customHeight="1">
      <c r="A9511" t="inlineStr">
        <is>
          <t>A 19600-2025</t>
        </is>
      </c>
      <c r="B9511" s="1" t="n">
        <v>45770</v>
      </c>
      <c r="C9511" s="1" t="n">
        <v>46075</v>
      </c>
      <c r="D9511" t="inlineStr">
        <is>
          <t>VÄSTERBOTTENS LÄN</t>
        </is>
      </c>
      <c r="E9511" t="inlineStr">
        <is>
          <t>VILHELMINA</t>
        </is>
      </c>
      <c r="G9511" t="n">
        <v>3.7</v>
      </c>
      <c r="H9511" t="n">
        <v>0</v>
      </c>
      <c r="I9511" t="n">
        <v>0</v>
      </c>
      <c r="J9511" t="n">
        <v>0</v>
      </c>
      <c r="K9511" t="n">
        <v>0</v>
      </c>
      <c r="L9511" t="n">
        <v>0</v>
      </c>
      <c r="M9511" t="n">
        <v>0</v>
      </c>
      <c r="N9511" t="n">
        <v>0</v>
      </c>
      <c r="O9511" t="n">
        <v>0</v>
      </c>
      <c r="P9511" t="n">
        <v>0</v>
      </c>
      <c r="Q9511" t="n">
        <v>0</v>
      </c>
      <c r="R9511" s="2" t="inlineStr"/>
    </row>
    <row r="9512" ht="15" customHeight="1">
      <c r="A9512" t="inlineStr">
        <is>
          <t>A 41468-2022</t>
        </is>
      </c>
      <c r="B9512" s="1" t="n">
        <v>44826</v>
      </c>
      <c r="C9512" s="1" t="n">
        <v>46075</v>
      </c>
      <c r="D9512" t="inlineStr">
        <is>
          <t>VÄSTERBOTTENS LÄN</t>
        </is>
      </c>
      <c r="E9512" t="inlineStr">
        <is>
          <t>ÅSELE</t>
        </is>
      </c>
      <c r="F9512" t="inlineStr">
        <is>
          <t>SCA</t>
        </is>
      </c>
      <c r="G9512" t="n">
        <v>5.8</v>
      </c>
      <c r="H9512" t="n">
        <v>0</v>
      </c>
      <c r="I9512" t="n">
        <v>0</v>
      </c>
      <c r="J9512" t="n">
        <v>0</v>
      </c>
      <c r="K9512" t="n">
        <v>0</v>
      </c>
      <c r="L9512" t="n">
        <v>0</v>
      </c>
      <c r="M9512" t="n">
        <v>0</v>
      </c>
      <c r="N9512" t="n">
        <v>0</v>
      </c>
      <c r="O9512" t="n">
        <v>0</v>
      </c>
      <c r="P9512" t="n">
        <v>0</v>
      </c>
      <c r="Q9512" t="n">
        <v>0</v>
      </c>
      <c r="R9512" s="2" t="inlineStr"/>
    </row>
    <row r="9513" ht="15" customHeight="1">
      <c r="A9513" t="inlineStr">
        <is>
          <t>A 64966-2023</t>
        </is>
      </c>
      <c r="B9513" s="1" t="n">
        <v>45283</v>
      </c>
      <c r="C9513" s="1" t="n">
        <v>46075</v>
      </c>
      <c r="D9513" t="inlineStr">
        <is>
          <t>VÄSTERBOTTENS LÄN</t>
        </is>
      </c>
      <c r="E9513" t="inlineStr">
        <is>
          <t>VÄNNÄS</t>
        </is>
      </c>
      <c r="G9513" t="n">
        <v>1.3</v>
      </c>
      <c r="H9513" t="n">
        <v>0</v>
      </c>
      <c r="I9513" t="n">
        <v>0</v>
      </c>
      <c r="J9513" t="n">
        <v>0</v>
      </c>
      <c r="K9513" t="n">
        <v>0</v>
      </c>
      <c r="L9513" t="n">
        <v>0</v>
      </c>
      <c r="M9513" t="n">
        <v>0</v>
      </c>
      <c r="N9513" t="n">
        <v>0</v>
      </c>
      <c r="O9513" t="n">
        <v>0</v>
      </c>
      <c r="P9513" t="n">
        <v>0</v>
      </c>
      <c r="Q9513" t="n">
        <v>0</v>
      </c>
      <c r="R9513" s="2" t="inlineStr"/>
    </row>
    <row r="9514" ht="15" customHeight="1">
      <c r="A9514" t="inlineStr">
        <is>
          <t>A 15740-2022</t>
        </is>
      </c>
      <c r="B9514" s="1" t="n">
        <v>44663.51881944444</v>
      </c>
      <c r="C9514" s="1" t="n">
        <v>46075</v>
      </c>
      <c r="D9514" t="inlineStr">
        <is>
          <t>VÄSTERBOTTENS LÄN</t>
        </is>
      </c>
      <c r="E9514" t="inlineStr">
        <is>
          <t>SKELLEFTEÅ</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16653-2022</t>
        </is>
      </c>
      <c r="B9515" s="1" t="n">
        <v>44672</v>
      </c>
      <c r="C9515" s="1" t="n">
        <v>46075</v>
      </c>
      <c r="D9515" t="inlineStr">
        <is>
          <t>VÄSTERBOTTENS LÄN</t>
        </is>
      </c>
      <c r="E9515" t="inlineStr">
        <is>
          <t>SKELLEFTEÅ</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65011-2023</t>
        </is>
      </c>
      <c r="B9516" s="1" t="n">
        <v>45287.38302083333</v>
      </c>
      <c r="C9516" s="1" t="n">
        <v>46075</v>
      </c>
      <c r="D9516" t="inlineStr">
        <is>
          <t>VÄSTERBOTTENS LÄN</t>
        </is>
      </c>
      <c r="E9516" t="inlineStr">
        <is>
          <t>SKELLEFTEÅ</t>
        </is>
      </c>
      <c r="G9516" t="n">
        <v>4.7</v>
      </c>
      <c r="H9516" t="n">
        <v>0</v>
      </c>
      <c r="I9516" t="n">
        <v>0</v>
      </c>
      <c r="J9516" t="n">
        <v>0</v>
      </c>
      <c r="K9516" t="n">
        <v>0</v>
      </c>
      <c r="L9516" t="n">
        <v>0</v>
      </c>
      <c r="M9516" t="n">
        <v>0</v>
      </c>
      <c r="N9516" t="n">
        <v>0</v>
      </c>
      <c r="O9516" t="n">
        <v>0</v>
      </c>
      <c r="P9516" t="n">
        <v>0</v>
      </c>
      <c r="Q9516" t="n">
        <v>0</v>
      </c>
      <c r="R9516" s="2" t="inlineStr"/>
    </row>
    <row r="9517" ht="15" customHeight="1">
      <c r="A9517" t="inlineStr">
        <is>
          <t>A 16792-2022</t>
        </is>
      </c>
      <c r="B9517" s="1" t="n">
        <v>44673</v>
      </c>
      <c r="C9517" s="1" t="n">
        <v>46075</v>
      </c>
      <c r="D9517" t="inlineStr">
        <is>
          <t>VÄSTERBOTTENS LÄN</t>
        </is>
      </c>
      <c r="E9517" t="inlineStr">
        <is>
          <t>BJURHOLM</t>
        </is>
      </c>
      <c r="G9517" t="n">
        <v>3.1</v>
      </c>
      <c r="H9517" t="n">
        <v>0</v>
      </c>
      <c r="I9517" t="n">
        <v>0</v>
      </c>
      <c r="J9517" t="n">
        <v>0</v>
      </c>
      <c r="K9517" t="n">
        <v>0</v>
      </c>
      <c r="L9517" t="n">
        <v>0</v>
      </c>
      <c r="M9517" t="n">
        <v>0</v>
      </c>
      <c r="N9517" t="n">
        <v>0</v>
      </c>
      <c r="O9517" t="n">
        <v>0</v>
      </c>
      <c r="P9517" t="n">
        <v>0</v>
      </c>
      <c r="Q9517" t="n">
        <v>0</v>
      </c>
      <c r="R9517" s="2" t="inlineStr"/>
    </row>
    <row r="9518" ht="15" customHeight="1">
      <c r="A9518" t="inlineStr">
        <is>
          <t>A 39385-2023</t>
        </is>
      </c>
      <c r="B9518" s="1" t="n">
        <v>45166</v>
      </c>
      <c r="C9518" s="1" t="n">
        <v>46075</v>
      </c>
      <c r="D9518" t="inlineStr">
        <is>
          <t>VÄSTERBOTTENS LÄN</t>
        </is>
      </c>
      <c r="E9518" t="inlineStr">
        <is>
          <t>MALÅ</t>
        </is>
      </c>
      <c r="F9518" t="inlineStr">
        <is>
          <t>Sveaskog</t>
        </is>
      </c>
      <c r="G9518" t="n">
        <v>2.8</v>
      </c>
      <c r="H9518" t="n">
        <v>0</v>
      </c>
      <c r="I9518" t="n">
        <v>0</v>
      </c>
      <c r="J9518" t="n">
        <v>0</v>
      </c>
      <c r="K9518" t="n">
        <v>0</v>
      </c>
      <c r="L9518" t="n">
        <v>0</v>
      </c>
      <c r="M9518" t="n">
        <v>0</v>
      </c>
      <c r="N9518" t="n">
        <v>0</v>
      </c>
      <c r="O9518" t="n">
        <v>0</v>
      </c>
      <c r="P9518" t="n">
        <v>0</v>
      </c>
      <c r="Q9518" t="n">
        <v>0</v>
      </c>
      <c r="R9518" s="2" t="inlineStr"/>
    </row>
    <row r="9519" ht="15" customHeight="1">
      <c r="A9519" t="inlineStr">
        <is>
          <t>A 39553-2021</t>
        </is>
      </c>
      <c r="B9519" s="1" t="n">
        <v>44416</v>
      </c>
      <c r="C9519" s="1" t="n">
        <v>46075</v>
      </c>
      <c r="D9519" t="inlineStr">
        <is>
          <t>VÄSTERBOTTENS LÄN</t>
        </is>
      </c>
      <c r="E9519" t="inlineStr">
        <is>
          <t>SKELLEFTEÅ</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63598-2025</t>
        </is>
      </c>
      <c r="B9520" s="1" t="n">
        <v>46014.29841435186</v>
      </c>
      <c r="C9520" s="1" t="n">
        <v>46075</v>
      </c>
      <c r="D9520" t="inlineStr">
        <is>
          <t>VÄSTERBOTTENS LÄN</t>
        </is>
      </c>
      <c r="E9520" t="inlineStr">
        <is>
          <t>SKELLEFTEÅ</t>
        </is>
      </c>
      <c r="G9520" t="n">
        <v>3</v>
      </c>
      <c r="H9520" t="n">
        <v>0</v>
      </c>
      <c r="I9520" t="n">
        <v>0</v>
      </c>
      <c r="J9520" t="n">
        <v>0</v>
      </c>
      <c r="K9520" t="n">
        <v>0</v>
      </c>
      <c r="L9520" t="n">
        <v>0</v>
      </c>
      <c r="M9520" t="n">
        <v>0</v>
      </c>
      <c r="N9520" t="n">
        <v>0</v>
      </c>
      <c r="O9520" t="n">
        <v>0</v>
      </c>
      <c r="P9520" t="n">
        <v>0</v>
      </c>
      <c r="Q9520" t="n">
        <v>0</v>
      </c>
      <c r="R9520" s="2" t="inlineStr"/>
    </row>
    <row r="9521" ht="15" customHeight="1">
      <c r="A9521" t="inlineStr">
        <is>
          <t>A 63600-2025</t>
        </is>
      </c>
      <c r="B9521" s="1" t="n">
        <v>46014.31091435185</v>
      </c>
      <c r="C9521" s="1" t="n">
        <v>46075</v>
      </c>
      <c r="D9521" t="inlineStr">
        <is>
          <t>VÄSTERBOTTENS LÄN</t>
        </is>
      </c>
      <c r="E9521" t="inlineStr">
        <is>
          <t>UMEÅ</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6776-2026</t>
        </is>
      </c>
      <c r="B9522" s="1" t="n">
        <v>46057.29667824074</v>
      </c>
      <c r="C9522" s="1" t="n">
        <v>46075</v>
      </c>
      <c r="D9522" t="inlineStr">
        <is>
          <t>VÄSTERBOTTENS LÄN</t>
        </is>
      </c>
      <c r="E9522" t="inlineStr">
        <is>
          <t>BJURHOLM</t>
        </is>
      </c>
      <c r="G9522" t="n">
        <v>1.4</v>
      </c>
      <c r="H9522" t="n">
        <v>0</v>
      </c>
      <c r="I9522" t="n">
        <v>0</v>
      </c>
      <c r="J9522" t="n">
        <v>0</v>
      </c>
      <c r="K9522" t="n">
        <v>0</v>
      </c>
      <c r="L9522" t="n">
        <v>0</v>
      </c>
      <c r="M9522" t="n">
        <v>0</v>
      </c>
      <c r="N9522" t="n">
        <v>0</v>
      </c>
      <c r="O9522" t="n">
        <v>0</v>
      </c>
      <c r="P9522" t="n">
        <v>0</v>
      </c>
      <c r="Q9522" t="n">
        <v>0</v>
      </c>
      <c r="R9522" s="2" t="inlineStr"/>
    </row>
    <row r="9523" ht="15" customHeight="1">
      <c r="A9523" t="inlineStr">
        <is>
          <t>A 34810-2024</t>
        </is>
      </c>
      <c r="B9523" s="1" t="n">
        <v>45526.69534722222</v>
      </c>
      <c r="C9523" s="1" t="n">
        <v>46075</v>
      </c>
      <c r="D9523" t="inlineStr">
        <is>
          <t>VÄSTERBOTTENS LÄN</t>
        </is>
      </c>
      <c r="E9523" t="inlineStr">
        <is>
          <t>LYCKSELE</t>
        </is>
      </c>
      <c r="F9523" t="inlineStr">
        <is>
          <t>Sveaskog</t>
        </is>
      </c>
      <c r="G9523" t="n">
        <v>2.4</v>
      </c>
      <c r="H9523" t="n">
        <v>0</v>
      </c>
      <c r="I9523" t="n">
        <v>0</v>
      </c>
      <c r="J9523" t="n">
        <v>0</v>
      </c>
      <c r="K9523" t="n">
        <v>0</v>
      </c>
      <c r="L9523" t="n">
        <v>0</v>
      </c>
      <c r="M9523" t="n">
        <v>0</v>
      </c>
      <c r="N9523" t="n">
        <v>0</v>
      </c>
      <c r="O9523" t="n">
        <v>0</v>
      </c>
      <c r="P9523" t="n">
        <v>0</v>
      </c>
      <c r="Q9523" t="n">
        <v>0</v>
      </c>
      <c r="R9523" s="2" t="inlineStr"/>
    </row>
    <row r="9524" ht="15" customHeight="1">
      <c r="A9524" t="inlineStr">
        <is>
          <t>A 34819-2024</t>
        </is>
      </c>
      <c r="B9524" s="1" t="n">
        <v>45526.71134259259</v>
      </c>
      <c r="C9524" s="1" t="n">
        <v>46075</v>
      </c>
      <c r="D9524" t="inlineStr">
        <is>
          <t>VÄSTERBOTTENS LÄN</t>
        </is>
      </c>
      <c r="E9524" t="inlineStr">
        <is>
          <t>VILHELMINA</t>
        </is>
      </c>
      <c r="F9524" t="inlineStr">
        <is>
          <t>SCA</t>
        </is>
      </c>
      <c r="G9524" t="n">
        <v>2.1</v>
      </c>
      <c r="H9524" t="n">
        <v>0</v>
      </c>
      <c r="I9524" t="n">
        <v>0</v>
      </c>
      <c r="J9524" t="n">
        <v>0</v>
      </c>
      <c r="K9524" t="n">
        <v>0</v>
      </c>
      <c r="L9524" t="n">
        <v>0</v>
      </c>
      <c r="M9524" t="n">
        <v>0</v>
      </c>
      <c r="N9524" t="n">
        <v>0</v>
      </c>
      <c r="O9524" t="n">
        <v>0</v>
      </c>
      <c r="P9524" t="n">
        <v>0</v>
      </c>
      <c r="Q9524" t="n">
        <v>0</v>
      </c>
      <c r="R9524" s="2" t="inlineStr"/>
    </row>
    <row r="9525" ht="15" customHeight="1">
      <c r="A9525" t="inlineStr">
        <is>
          <t>A 5374-2022</t>
        </is>
      </c>
      <c r="B9525" s="1" t="n">
        <v>44594.92151620371</v>
      </c>
      <c r="C9525" s="1" t="n">
        <v>46075</v>
      </c>
      <c r="D9525" t="inlineStr">
        <is>
          <t>VÄSTERBOTTENS LÄN</t>
        </is>
      </c>
      <c r="E9525" t="inlineStr">
        <is>
          <t>UMEÅ</t>
        </is>
      </c>
      <c r="G9525" t="n">
        <v>4.6</v>
      </c>
      <c r="H9525" t="n">
        <v>0</v>
      </c>
      <c r="I9525" t="n">
        <v>0</v>
      </c>
      <c r="J9525" t="n">
        <v>0</v>
      </c>
      <c r="K9525" t="n">
        <v>0</v>
      </c>
      <c r="L9525" t="n">
        <v>0</v>
      </c>
      <c r="M9525" t="n">
        <v>0</v>
      </c>
      <c r="N9525" t="n">
        <v>0</v>
      </c>
      <c r="O9525" t="n">
        <v>0</v>
      </c>
      <c r="P9525" t="n">
        <v>0</v>
      </c>
      <c r="Q9525" t="n">
        <v>0</v>
      </c>
      <c r="R9525" s="2" t="inlineStr"/>
    </row>
    <row r="9526" ht="15" customHeight="1">
      <c r="A9526" t="inlineStr">
        <is>
          <t>A 55919-2024</t>
        </is>
      </c>
      <c r="B9526" s="1" t="n">
        <v>45623.59846064815</v>
      </c>
      <c r="C9526" s="1" t="n">
        <v>46075</v>
      </c>
      <c r="D9526" t="inlineStr">
        <is>
          <t>VÄSTERBOTTENS LÄN</t>
        </is>
      </c>
      <c r="E9526" t="inlineStr">
        <is>
          <t>NORSJÖ</t>
        </is>
      </c>
      <c r="G9526" t="n">
        <v>0.9</v>
      </c>
      <c r="H9526" t="n">
        <v>0</v>
      </c>
      <c r="I9526" t="n">
        <v>0</v>
      </c>
      <c r="J9526" t="n">
        <v>0</v>
      </c>
      <c r="K9526" t="n">
        <v>0</v>
      </c>
      <c r="L9526" t="n">
        <v>0</v>
      </c>
      <c r="M9526" t="n">
        <v>0</v>
      </c>
      <c r="N9526" t="n">
        <v>0</v>
      </c>
      <c r="O9526" t="n">
        <v>0</v>
      </c>
      <c r="P9526" t="n">
        <v>0</v>
      </c>
      <c r="Q9526" t="n">
        <v>0</v>
      </c>
      <c r="R9526" s="2" t="inlineStr"/>
    </row>
    <row r="9527" ht="15" customHeight="1">
      <c r="A9527" t="inlineStr">
        <is>
          <t>A 6519-2026</t>
        </is>
      </c>
      <c r="B9527" s="1" t="n">
        <v>46056.40042824074</v>
      </c>
      <c r="C9527" s="1" t="n">
        <v>46075</v>
      </c>
      <c r="D9527" t="inlineStr">
        <is>
          <t>VÄSTERBOTTENS LÄN</t>
        </is>
      </c>
      <c r="E9527" t="inlineStr">
        <is>
          <t>UMEÅ</t>
        </is>
      </c>
      <c r="G9527" t="n">
        <v>2.1</v>
      </c>
      <c r="H9527" t="n">
        <v>0</v>
      </c>
      <c r="I9527" t="n">
        <v>0</v>
      </c>
      <c r="J9527" t="n">
        <v>0</v>
      </c>
      <c r="K9527" t="n">
        <v>0</v>
      </c>
      <c r="L9527" t="n">
        <v>0</v>
      </c>
      <c r="M9527" t="n">
        <v>0</v>
      </c>
      <c r="N9527" t="n">
        <v>0</v>
      </c>
      <c r="O9527" t="n">
        <v>0</v>
      </c>
      <c r="P9527" t="n">
        <v>0</v>
      </c>
      <c r="Q9527" t="n">
        <v>0</v>
      </c>
      <c r="R9527" s="2" t="inlineStr"/>
    </row>
    <row r="9528" ht="15" customHeight="1">
      <c r="A9528" t="inlineStr">
        <is>
          <t>A 2723-2026</t>
        </is>
      </c>
      <c r="B9528" s="1" t="n">
        <v>46037</v>
      </c>
      <c r="C9528" s="1" t="n">
        <v>46075</v>
      </c>
      <c r="D9528" t="inlineStr">
        <is>
          <t>VÄSTERBOTTENS LÄN</t>
        </is>
      </c>
      <c r="E9528" t="inlineStr">
        <is>
          <t>NORDMALING</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6788-2026</t>
        </is>
      </c>
      <c r="B9529" s="1" t="n">
        <v>46057.33616898148</v>
      </c>
      <c r="C9529" s="1" t="n">
        <v>46075</v>
      </c>
      <c r="D9529" t="inlineStr">
        <is>
          <t>VÄSTERBOTTENS LÄN</t>
        </is>
      </c>
      <c r="E9529" t="inlineStr">
        <is>
          <t>NORDMALING</t>
        </is>
      </c>
      <c r="G9529" t="n">
        <v>3.8</v>
      </c>
      <c r="H9529" t="n">
        <v>0</v>
      </c>
      <c r="I9529" t="n">
        <v>0</v>
      </c>
      <c r="J9529" t="n">
        <v>0</v>
      </c>
      <c r="K9529" t="n">
        <v>0</v>
      </c>
      <c r="L9529" t="n">
        <v>0</v>
      </c>
      <c r="M9529" t="n">
        <v>0</v>
      </c>
      <c r="N9529" t="n">
        <v>0</v>
      </c>
      <c r="O9529" t="n">
        <v>0</v>
      </c>
      <c r="P9529" t="n">
        <v>0</v>
      </c>
      <c r="Q9529" t="n">
        <v>0</v>
      </c>
      <c r="R9529" s="2" t="inlineStr"/>
    </row>
    <row r="9530" ht="15" customHeight="1">
      <c r="A9530" t="inlineStr">
        <is>
          <t>A 55170-2022</t>
        </is>
      </c>
      <c r="B9530" s="1" t="n">
        <v>44886</v>
      </c>
      <c r="C9530" s="1" t="n">
        <v>46075</v>
      </c>
      <c r="D9530" t="inlineStr">
        <is>
          <t>VÄSTERBOTTENS LÄN</t>
        </is>
      </c>
      <c r="E9530" t="inlineStr">
        <is>
          <t>LYCKSELE</t>
        </is>
      </c>
      <c r="F9530" t="inlineStr">
        <is>
          <t>Holmen skog AB</t>
        </is>
      </c>
      <c r="G9530" t="n">
        <v>9</v>
      </c>
      <c r="H9530" t="n">
        <v>0</v>
      </c>
      <c r="I9530" t="n">
        <v>0</v>
      </c>
      <c r="J9530" t="n">
        <v>0</v>
      </c>
      <c r="K9530" t="n">
        <v>0</v>
      </c>
      <c r="L9530" t="n">
        <v>0</v>
      </c>
      <c r="M9530" t="n">
        <v>0</v>
      </c>
      <c r="N9530" t="n">
        <v>0</v>
      </c>
      <c r="O9530" t="n">
        <v>0</v>
      </c>
      <c r="P9530" t="n">
        <v>0</v>
      </c>
      <c r="Q9530" t="n">
        <v>0</v>
      </c>
      <c r="R9530" s="2" t="inlineStr"/>
    </row>
    <row r="9531" ht="15" customHeight="1">
      <c r="A9531" t="inlineStr">
        <is>
          <t>A 10330-2024</t>
        </is>
      </c>
      <c r="B9531" s="1" t="n">
        <v>45365</v>
      </c>
      <c r="C9531" s="1" t="n">
        <v>46075</v>
      </c>
      <c r="D9531" t="inlineStr">
        <is>
          <t>VÄSTERBOTTENS LÄN</t>
        </is>
      </c>
      <c r="E9531" t="inlineStr">
        <is>
          <t>ROBERTSFORS</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57795-2023</t>
        </is>
      </c>
      <c r="B9532" s="1" t="n">
        <v>45246.96861111111</v>
      </c>
      <c r="C9532" s="1" t="n">
        <v>46075</v>
      </c>
      <c r="D9532" t="inlineStr">
        <is>
          <t>VÄSTERBOTTENS LÄN</t>
        </is>
      </c>
      <c r="E9532" t="inlineStr">
        <is>
          <t>VILHELMINA</t>
        </is>
      </c>
      <c r="F9532" t="inlineStr">
        <is>
          <t>SCA</t>
        </is>
      </c>
      <c r="G9532" t="n">
        <v>3.1</v>
      </c>
      <c r="H9532" t="n">
        <v>0</v>
      </c>
      <c r="I9532" t="n">
        <v>0</v>
      </c>
      <c r="J9532" t="n">
        <v>0</v>
      </c>
      <c r="K9532" t="n">
        <v>0</v>
      </c>
      <c r="L9532" t="n">
        <v>0</v>
      </c>
      <c r="M9532" t="n">
        <v>0</v>
      </c>
      <c r="N9532" t="n">
        <v>0</v>
      </c>
      <c r="O9532" t="n">
        <v>0</v>
      </c>
      <c r="P9532" t="n">
        <v>0</v>
      </c>
      <c r="Q9532" t="n">
        <v>0</v>
      </c>
      <c r="R9532" s="2" t="inlineStr"/>
    </row>
    <row r="9533" ht="15" customHeight="1">
      <c r="A9533" t="inlineStr">
        <is>
          <t>A 57819-2023</t>
        </is>
      </c>
      <c r="B9533" s="1" t="n">
        <v>45244</v>
      </c>
      <c r="C9533" s="1" t="n">
        <v>46075</v>
      </c>
      <c r="D9533" t="inlineStr">
        <is>
          <t>VÄSTERBOTTENS LÄN</t>
        </is>
      </c>
      <c r="E9533" t="inlineStr">
        <is>
          <t>VINDELN</t>
        </is>
      </c>
      <c r="G9533" t="n">
        <v>3.3</v>
      </c>
      <c r="H9533" t="n">
        <v>0</v>
      </c>
      <c r="I9533" t="n">
        <v>0</v>
      </c>
      <c r="J9533" t="n">
        <v>0</v>
      </c>
      <c r="K9533" t="n">
        <v>0</v>
      </c>
      <c r="L9533" t="n">
        <v>0</v>
      </c>
      <c r="M9533" t="n">
        <v>0</v>
      </c>
      <c r="N9533" t="n">
        <v>0</v>
      </c>
      <c r="O9533" t="n">
        <v>0</v>
      </c>
      <c r="P9533" t="n">
        <v>0</v>
      </c>
      <c r="Q9533" t="n">
        <v>0</v>
      </c>
      <c r="R9533" s="2" t="inlineStr"/>
    </row>
    <row r="9534" ht="15" customHeight="1">
      <c r="A9534" t="inlineStr">
        <is>
          <t>A 6503-2026</t>
        </is>
      </c>
      <c r="B9534" s="1" t="n">
        <v>46056.3709837963</v>
      </c>
      <c r="C9534" s="1" t="n">
        <v>46075</v>
      </c>
      <c r="D9534" t="inlineStr">
        <is>
          <t>VÄSTERBOTTENS LÄN</t>
        </is>
      </c>
      <c r="E9534" t="inlineStr">
        <is>
          <t>NORDMALING</t>
        </is>
      </c>
      <c r="G9534" t="n">
        <v>5</v>
      </c>
      <c r="H9534" t="n">
        <v>0</v>
      </c>
      <c r="I9534" t="n">
        <v>0</v>
      </c>
      <c r="J9534" t="n">
        <v>0</v>
      </c>
      <c r="K9534" t="n">
        <v>0</v>
      </c>
      <c r="L9534" t="n">
        <v>0</v>
      </c>
      <c r="M9534" t="n">
        <v>0</v>
      </c>
      <c r="N9534" t="n">
        <v>0</v>
      </c>
      <c r="O9534" t="n">
        <v>0</v>
      </c>
      <c r="P9534" t="n">
        <v>0</v>
      </c>
      <c r="Q9534" t="n">
        <v>0</v>
      </c>
      <c r="R9534" s="2" t="inlineStr"/>
    </row>
    <row r="9535" ht="15" customHeight="1">
      <c r="A9535" t="inlineStr">
        <is>
          <t>A 14983-2023</t>
        </is>
      </c>
      <c r="B9535" s="1" t="n">
        <v>45014</v>
      </c>
      <c r="C9535" s="1" t="n">
        <v>46075</v>
      </c>
      <c r="D9535" t="inlineStr">
        <is>
          <t>VÄSTERBOTTENS LÄN</t>
        </is>
      </c>
      <c r="E9535" t="inlineStr">
        <is>
          <t>SKELLEFTEÅ</t>
        </is>
      </c>
      <c r="G9535" t="n">
        <v>2.1</v>
      </c>
      <c r="H9535" t="n">
        <v>0</v>
      </c>
      <c r="I9535" t="n">
        <v>0</v>
      </c>
      <c r="J9535" t="n">
        <v>0</v>
      </c>
      <c r="K9535" t="n">
        <v>0</v>
      </c>
      <c r="L9535" t="n">
        <v>0</v>
      </c>
      <c r="M9535" t="n">
        <v>0</v>
      </c>
      <c r="N9535" t="n">
        <v>0</v>
      </c>
      <c r="O9535" t="n">
        <v>0</v>
      </c>
      <c r="P9535" t="n">
        <v>0</v>
      </c>
      <c r="Q9535" t="n">
        <v>0</v>
      </c>
      <c r="R9535" s="2" t="inlineStr"/>
    </row>
    <row r="9536" ht="15" customHeight="1">
      <c r="A9536" t="inlineStr">
        <is>
          <t>A 56435-2022</t>
        </is>
      </c>
      <c r="B9536" s="1" t="n">
        <v>44892.39662037037</v>
      </c>
      <c r="C9536" s="1" t="n">
        <v>46075</v>
      </c>
      <c r="D9536" t="inlineStr">
        <is>
          <t>VÄSTERBOTTENS LÄN</t>
        </is>
      </c>
      <c r="E9536" t="inlineStr">
        <is>
          <t>SKELLEFTEÅ</t>
        </is>
      </c>
      <c r="G9536" t="n">
        <v>3.6</v>
      </c>
      <c r="H9536" t="n">
        <v>0</v>
      </c>
      <c r="I9536" t="n">
        <v>0</v>
      </c>
      <c r="J9536" t="n">
        <v>0</v>
      </c>
      <c r="K9536" t="n">
        <v>0</v>
      </c>
      <c r="L9536" t="n">
        <v>0</v>
      </c>
      <c r="M9536" t="n">
        <v>0</v>
      </c>
      <c r="N9536" t="n">
        <v>0</v>
      </c>
      <c r="O9536" t="n">
        <v>0</v>
      </c>
      <c r="P9536" t="n">
        <v>0</v>
      </c>
      <c r="Q9536" t="n">
        <v>0</v>
      </c>
      <c r="R9536" s="2" t="inlineStr"/>
    </row>
    <row r="9537" ht="15" customHeight="1">
      <c r="A9537" t="inlineStr">
        <is>
          <t>A 6624-2026</t>
        </is>
      </c>
      <c r="B9537" s="1" t="n">
        <v>46056.51085648148</v>
      </c>
      <c r="C9537" s="1" t="n">
        <v>46075</v>
      </c>
      <c r="D9537" t="inlineStr">
        <is>
          <t>VÄSTERBOTTENS LÄN</t>
        </is>
      </c>
      <c r="E9537" t="inlineStr">
        <is>
          <t>NORDMALING</t>
        </is>
      </c>
      <c r="F9537" t="inlineStr">
        <is>
          <t>SCA</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63639-2025</t>
        </is>
      </c>
      <c r="B9538" s="1" t="n">
        <v>46014.39515046297</v>
      </c>
      <c r="C9538" s="1" t="n">
        <v>46075</v>
      </c>
      <c r="D9538" t="inlineStr">
        <is>
          <t>VÄSTERBOTTENS LÄN</t>
        </is>
      </c>
      <c r="E9538" t="inlineStr">
        <is>
          <t>LYCKSELE</t>
        </is>
      </c>
      <c r="F9538" t="inlineStr">
        <is>
          <t>Sveaskog</t>
        </is>
      </c>
      <c r="G9538" t="n">
        <v>10.6</v>
      </c>
      <c r="H9538" t="n">
        <v>0</v>
      </c>
      <c r="I9538" t="n">
        <v>0</v>
      </c>
      <c r="J9538" t="n">
        <v>0</v>
      </c>
      <c r="K9538" t="n">
        <v>0</v>
      </c>
      <c r="L9538" t="n">
        <v>0</v>
      </c>
      <c r="M9538" t="n">
        <v>0</v>
      </c>
      <c r="N9538" t="n">
        <v>0</v>
      </c>
      <c r="O9538" t="n">
        <v>0</v>
      </c>
      <c r="P9538" t="n">
        <v>0</v>
      </c>
      <c r="Q9538" t="n">
        <v>0</v>
      </c>
      <c r="R9538" s="2" t="inlineStr"/>
    </row>
    <row r="9539" ht="15" customHeight="1">
      <c r="A9539" t="inlineStr">
        <is>
          <t>A 63687-2025</t>
        </is>
      </c>
      <c r="B9539" s="1" t="n">
        <v>46014.53261574074</v>
      </c>
      <c r="C9539" s="1" t="n">
        <v>46075</v>
      </c>
      <c r="D9539" t="inlineStr">
        <is>
          <t>VÄSTERBOTTENS LÄN</t>
        </is>
      </c>
      <c r="E9539" t="inlineStr">
        <is>
          <t>SKELLEFTEÅ</t>
        </is>
      </c>
      <c r="G9539" t="n">
        <v>1.7</v>
      </c>
      <c r="H9539" t="n">
        <v>0</v>
      </c>
      <c r="I9539" t="n">
        <v>0</v>
      </c>
      <c r="J9539" t="n">
        <v>0</v>
      </c>
      <c r="K9539" t="n">
        <v>0</v>
      </c>
      <c r="L9539" t="n">
        <v>0</v>
      </c>
      <c r="M9539" t="n">
        <v>0</v>
      </c>
      <c r="N9539" t="n">
        <v>0</v>
      </c>
      <c r="O9539" t="n">
        <v>0</v>
      </c>
      <c r="P9539" t="n">
        <v>0</v>
      </c>
      <c r="Q9539" t="n">
        <v>0</v>
      </c>
      <c r="R9539" s="2" t="inlineStr"/>
    </row>
    <row r="9540" ht="15" customHeight="1">
      <c r="A9540" t="inlineStr">
        <is>
          <t>A 32214-2022</t>
        </is>
      </c>
      <c r="B9540" s="1" t="n">
        <v>44781</v>
      </c>
      <c r="C9540" s="1" t="n">
        <v>46075</v>
      </c>
      <c r="D9540" t="inlineStr">
        <is>
          <t>VÄSTERBOTTENS LÄN</t>
        </is>
      </c>
      <c r="E9540" t="inlineStr">
        <is>
          <t>ÅSELE</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3045-2024</t>
        </is>
      </c>
      <c r="B9541" s="1" t="n">
        <v>45316</v>
      </c>
      <c r="C9541" s="1" t="n">
        <v>46075</v>
      </c>
      <c r="D9541" t="inlineStr">
        <is>
          <t>VÄSTERBOTTENS LÄN</t>
        </is>
      </c>
      <c r="E9541" t="inlineStr">
        <is>
          <t>SKELLEFTEÅ</t>
        </is>
      </c>
      <c r="G9541" t="n">
        <v>3.6</v>
      </c>
      <c r="H9541" t="n">
        <v>0</v>
      </c>
      <c r="I9541" t="n">
        <v>0</v>
      </c>
      <c r="J9541" t="n">
        <v>0</v>
      </c>
      <c r="K9541" t="n">
        <v>0</v>
      </c>
      <c r="L9541" t="n">
        <v>0</v>
      </c>
      <c r="M9541" t="n">
        <v>0</v>
      </c>
      <c r="N9541" t="n">
        <v>0</v>
      </c>
      <c r="O9541" t="n">
        <v>0</v>
      </c>
      <c r="P9541" t="n">
        <v>0</v>
      </c>
      <c r="Q9541" t="n">
        <v>0</v>
      </c>
      <c r="R9541" s="2" t="inlineStr"/>
    </row>
    <row r="9542" ht="15" customHeight="1">
      <c r="A9542" t="inlineStr">
        <is>
          <t>A 3059-2024</t>
        </is>
      </c>
      <c r="B9542" s="1" t="n">
        <v>45316</v>
      </c>
      <c r="C9542" s="1" t="n">
        <v>46075</v>
      </c>
      <c r="D9542" t="inlineStr">
        <is>
          <t>VÄSTERBOTTENS LÄN</t>
        </is>
      </c>
      <c r="E9542" t="inlineStr">
        <is>
          <t>ÅSELE</t>
        </is>
      </c>
      <c r="G9542" t="n">
        <v>0.7</v>
      </c>
      <c r="H9542" t="n">
        <v>0</v>
      </c>
      <c r="I9542" t="n">
        <v>0</v>
      </c>
      <c r="J9542" t="n">
        <v>0</v>
      </c>
      <c r="K9542" t="n">
        <v>0</v>
      </c>
      <c r="L9542" t="n">
        <v>0</v>
      </c>
      <c r="M9542" t="n">
        <v>0</v>
      </c>
      <c r="N9542" t="n">
        <v>0</v>
      </c>
      <c r="O9542" t="n">
        <v>0</v>
      </c>
      <c r="P9542" t="n">
        <v>0</v>
      </c>
      <c r="Q9542" t="n">
        <v>0</v>
      </c>
      <c r="R9542" s="2" t="inlineStr"/>
    </row>
    <row r="9543" ht="15" customHeight="1">
      <c r="A9543" t="inlineStr">
        <is>
          <t>A 63658-2025</t>
        </is>
      </c>
      <c r="B9543" s="1" t="n">
        <v>46014.44509259259</v>
      </c>
      <c r="C9543" s="1" t="n">
        <v>46075</v>
      </c>
      <c r="D9543" t="inlineStr">
        <is>
          <t>VÄSTERBOTTENS LÄN</t>
        </is>
      </c>
      <c r="E9543" t="inlineStr">
        <is>
          <t>VINDELN</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63670-2025</t>
        </is>
      </c>
      <c r="B9544" s="1" t="n">
        <v>46014.46296296296</v>
      </c>
      <c r="C9544" s="1" t="n">
        <v>46075</v>
      </c>
      <c r="D9544" t="inlineStr">
        <is>
          <t>VÄSTERBOTTENS LÄN</t>
        </is>
      </c>
      <c r="E9544" t="inlineStr">
        <is>
          <t>BJURHOLM</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43-2026</t>
        </is>
      </c>
      <c r="B9545" s="1" t="n">
        <v>46014</v>
      </c>
      <c r="C9545" s="1" t="n">
        <v>46075</v>
      </c>
      <c r="D9545" t="inlineStr">
        <is>
          <t>VÄSTERBOTTENS LÄN</t>
        </is>
      </c>
      <c r="E9545" t="inlineStr">
        <is>
          <t>NORDMALING</t>
        </is>
      </c>
      <c r="G9545" t="n">
        <v>10.6</v>
      </c>
      <c r="H9545" t="n">
        <v>0</v>
      </c>
      <c r="I9545" t="n">
        <v>0</v>
      </c>
      <c r="J9545" t="n">
        <v>0</v>
      </c>
      <c r="K9545" t="n">
        <v>0</v>
      </c>
      <c r="L9545" t="n">
        <v>0</v>
      </c>
      <c r="M9545" t="n">
        <v>0</v>
      </c>
      <c r="N9545" t="n">
        <v>0</v>
      </c>
      <c r="O9545" t="n">
        <v>0</v>
      </c>
      <c r="P9545" t="n">
        <v>0</v>
      </c>
      <c r="Q9545" t="n">
        <v>0</v>
      </c>
      <c r="R9545" s="2" t="inlineStr"/>
    </row>
    <row r="9546" ht="15" customHeight="1">
      <c r="A9546" t="inlineStr">
        <is>
          <t>A 6553-2026</t>
        </is>
      </c>
      <c r="B9546" s="1" t="n">
        <v>46056.42962962963</v>
      </c>
      <c r="C9546" s="1" t="n">
        <v>46075</v>
      </c>
      <c r="D9546" t="inlineStr">
        <is>
          <t>VÄSTERBOTTENS LÄN</t>
        </is>
      </c>
      <c r="E9546" t="inlineStr">
        <is>
          <t>ÅSELE</t>
        </is>
      </c>
      <c r="G9546" t="n">
        <v>2.5</v>
      </c>
      <c r="H9546" t="n">
        <v>0</v>
      </c>
      <c r="I9546" t="n">
        <v>0</v>
      </c>
      <c r="J9546" t="n">
        <v>0</v>
      </c>
      <c r="K9546" t="n">
        <v>0</v>
      </c>
      <c r="L9546" t="n">
        <v>0</v>
      </c>
      <c r="M9546" t="n">
        <v>0</v>
      </c>
      <c r="N9546" t="n">
        <v>0</v>
      </c>
      <c r="O9546" t="n">
        <v>0</v>
      </c>
      <c r="P9546" t="n">
        <v>0</v>
      </c>
      <c r="Q9546" t="n">
        <v>0</v>
      </c>
      <c r="R9546" s="2" t="inlineStr"/>
    </row>
    <row r="9547" ht="15" customHeight="1">
      <c r="A9547" t="inlineStr">
        <is>
          <t>A 28347-2022</t>
        </is>
      </c>
      <c r="B9547" s="1" t="n">
        <v>44747.45532407407</v>
      </c>
      <c r="C9547" s="1" t="n">
        <v>46075</v>
      </c>
      <c r="D9547" t="inlineStr">
        <is>
          <t>VÄSTERBOTTENS LÄN</t>
        </is>
      </c>
      <c r="E9547" t="inlineStr">
        <is>
          <t>VÄNNÄS</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14238-2025</t>
        </is>
      </c>
      <c r="B9548" s="1" t="n">
        <v>45740.6105787037</v>
      </c>
      <c r="C9548" s="1" t="n">
        <v>46075</v>
      </c>
      <c r="D9548" t="inlineStr">
        <is>
          <t>VÄSTERBOTTENS LÄN</t>
        </is>
      </c>
      <c r="E9548" t="inlineStr">
        <is>
          <t>SKELLEFTEÅ</t>
        </is>
      </c>
      <c r="G9548" t="n">
        <v>10.1</v>
      </c>
      <c r="H9548" t="n">
        <v>0</v>
      </c>
      <c r="I9548" t="n">
        <v>0</v>
      </c>
      <c r="J9548" t="n">
        <v>0</v>
      </c>
      <c r="K9548" t="n">
        <v>0</v>
      </c>
      <c r="L9548" t="n">
        <v>0</v>
      </c>
      <c r="M9548" t="n">
        <v>0</v>
      </c>
      <c r="N9548" t="n">
        <v>0</v>
      </c>
      <c r="O9548" t="n">
        <v>0</v>
      </c>
      <c r="P9548" t="n">
        <v>0</v>
      </c>
      <c r="Q9548" t="n">
        <v>0</v>
      </c>
      <c r="R9548" s="2" t="inlineStr"/>
    </row>
    <row r="9549" ht="15" customHeight="1">
      <c r="A9549" t="inlineStr">
        <is>
          <t>A 5016-2026</t>
        </is>
      </c>
      <c r="B9549" s="1" t="n">
        <v>46049</v>
      </c>
      <c r="C9549" s="1" t="n">
        <v>46075</v>
      </c>
      <c r="D9549" t="inlineStr">
        <is>
          <t>VÄSTERBOTTENS LÄN</t>
        </is>
      </c>
      <c r="E9549" t="inlineStr">
        <is>
          <t>UMEÅ</t>
        </is>
      </c>
      <c r="G9549" t="n">
        <v>1.2</v>
      </c>
      <c r="H9549" t="n">
        <v>0</v>
      </c>
      <c r="I9549" t="n">
        <v>0</v>
      </c>
      <c r="J9549" t="n">
        <v>0</v>
      </c>
      <c r="K9549" t="n">
        <v>0</v>
      </c>
      <c r="L9549" t="n">
        <v>0</v>
      </c>
      <c r="M9549" t="n">
        <v>0</v>
      </c>
      <c r="N9549" t="n">
        <v>0</v>
      </c>
      <c r="O9549" t="n">
        <v>0</v>
      </c>
      <c r="P9549" t="n">
        <v>0</v>
      </c>
      <c r="Q9549" t="n">
        <v>0</v>
      </c>
      <c r="R9549" s="2" t="inlineStr"/>
    </row>
    <row r="9550" ht="15" customHeight="1">
      <c r="A9550" t="inlineStr">
        <is>
          <t>A 6902-2026</t>
        </is>
      </c>
      <c r="B9550" s="1" t="n">
        <v>46057.49060185185</v>
      </c>
      <c r="C9550" s="1" t="n">
        <v>46075</v>
      </c>
      <c r="D9550" t="inlineStr">
        <is>
          <t>VÄSTERBOTTENS LÄN</t>
        </is>
      </c>
      <c r="E9550" t="inlineStr">
        <is>
          <t>ÅSELE</t>
        </is>
      </c>
      <c r="F9550" t="inlineStr">
        <is>
          <t>SCA</t>
        </is>
      </c>
      <c r="G9550" t="n">
        <v>0.3</v>
      </c>
      <c r="H9550" t="n">
        <v>0</v>
      </c>
      <c r="I9550" t="n">
        <v>0</v>
      </c>
      <c r="J9550" t="n">
        <v>0</v>
      </c>
      <c r="K9550" t="n">
        <v>0</v>
      </c>
      <c r="L9550" t="n">
        <v>0</v>
      </c>
      <c r="M9550" t="n">
        <v>0</v>
      </c>
      <c r="N9550" t="n">
        <v>0</v>
      </c>
      <c r="O9550" t="n">
        <v>0</v>
      </c>
      <c r="P9550" t="n">
        <v>0</v>
      </c>
      <c r="Q9550" t="n">
        <v>0</v>
      </c>
      <c r="R9550" s="2" t="inlineStr"/>
    </row>
    <row r="9551" ht="15" customHeight="1">
      <c r="A9551" t="inlineStr">
        <is>
          <t>A 42109-2022</t>
        </is>
      </c>
      <c r="B9551" s="1" t="n">
        <v>44827</v>
      </c>
      <c r="C9551" s="1" t="n">
        <v>46075</v>
      </c>
      <c r="D9551" t="inlineStr">
        <is>
          <t>VÄSTERBOTTENS LÄN</t>
        </is>
      </c>
      <c r="E9551" t="inlineStr">
        <is>
          <t>SKELLEFTEÅ</t>
        </is>
      </c>
      <c r="G9551" t="n">
        <v>1.8</v>
      </c>
      <c r="H9551" t="n">
        <v>0</v>
      </c>
      <c r="I9551" t="n">
        <v>0</v>
      </c>
      <c r="J9551" t="n">
        <v>0</v>
      </c>
      <c r="K9551" t="n">
        <v>0</v>
      </c>
      <c r="L9551" t="n">
        <v>0</v>
      </c>
      <c r="M9551" t="n">
        <v>0</v>
      </c>
      <c r="N9551" t="n">
        <v>0</v>
      </c>
      <c r="O9551" t="n">
        <v>0</v>
      </c>
      <c r="P9551" t="n">
        <v>0</v>
      </c>
      <c r="Q9551" t="n">
        <v>0</v>
      </c>
      <c r="R9551" s="2" t="inlineStr"/>
    </row>
    <row r="9552" ht="15" customHeight="1">
      <c r="A9552" t="inlineStr">
        <is>
          <t>A 14091-2023</t>
        </is>
      </c>
      <c r="B9552" s="1" t="n">
        <v>45007</v>
      </c>
      <c r="C9552" s="1" t="n">
        <v>46075</v>
      </c>
      <c r="D9552" t="inlineStr">
        <is>
          <t>VÄSTERBOTTENS LÄN</t>
        </is>
      </c>
      <c r="E9552" t="inlineStr">
        <is>
          <t>UMEÅ</t>
        </is>
      </c>
      <c r="F9552" t="inlineStr">
        <is>
          <t>Kommuner</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3116-2026</t>
        </is>
      </c>
      <c r="B9553" s="1" t="n">
        <v>46041</v>
      </c>
      <c r="C9553" s="1" t="n">
        <v>46075</v>
      </c>
      <c r="D9553" t="inlineStr">
        <is>
          <t>VÄSTERBOTTENS LÄN</t>
        </is>
      </c>
      <c r="E9553" t="inlineStr">
        <is>
          <t>BJURHOLM</t>
        </is>
      </c>
      <c r="F9553" t="inlineStr">
        <is>
          <t>Holmen skog AB</t>
        </is>
      </c>
      <c r="G9553" t="n">
        <v>0.8</v>
      </c>
      <c r="H9553" t="n">
        <v>0</v>
      </c>
      <c r="I9553" t="n">
        <v>0</v>
      </c>
      <c r="J9553" t="n">
        <v>0</v>
      </c>
      <c r="K9553" t="n">
        <v>0</v>
      </c>
      <c r="L9553" t="n">
        <v>0</v>
      </c>
      <c r="M9553" t="n">
        <v>0</v>
      </c>
      <c r="N9553" t="n">
        <v>0</v>
      </c>
      <c r="O9553" t="n">
        <v>0</v>
      </c>
      <c r="P9553" t="n">
        <v>0</v>
      </c>
      <c r="Q9553" t="n">
        <v>0</v>
      </c>
      <c r="R9553" s="2" t="inlineStr"/>
    </row>
    <row r="9554" ht="15" customHeight="1">
      <c r="A9554" t="inlineStr">
        <is>
          <t>A 53967-2024</t>
        </is>
      </c>
      <c r="B9554" s="1" t="n">
        <v>45616.31673611111</v>
      </c>
      <c r="C9554" s="1" t="n">
        <v>46075</v>
      </c>
      <c r="D9554" t="inlineStr">
        <is>
          <t>VÄSTERBOTTENS LÄN</t>
        </is>
      </c>
      <c r="E9554" t="inlineStr">
        <is>
          <t>VINDELN</t>
        </is>
      </c>
      <c r="G9554" t="n">
        <v>10.8</v>
      </c>
      <c r="H9554" t="n">
        <v>0</v>
      </c>
      <c r="I9554" t="n">
        <v>0</v>
      </c>
      <c r="J9554" t="n">
        <v>0</v>
      </c>
      <c r="K9554" t="n">
        <v>0</v>
      </c>
      <c r="L9554" t="n">
        <v>0</v>
      </c>
      <c r="M9554" t="n">
        <v>0</v>
      </c>
      <c r="N9554" t="n">
        <v>0</v>
      </c>
      <c r="O9554" t="n">
        <v>0</v>
      </c>
      <c r="P9554" t="n">
        <v>0</v>
      </c>
      <c r="Q9554" t="n">
        <v>0</v>
      </c>
      <c r="R9554" s="2" t="inlineStr"/>
    </row>
    <row r="9555" ht="15" customHeight="1">
      <c r="A9555" t="inlineStr">
        <is>
          <t>A 56151-2024</t>
        </is>
      </c>
      <c r="B9555" s="1" t="n">
        <v>45623</v>
      </c>
      <c r="C9555" s="1" t="n">
        <v>46075</v>
      </c>
      <c r="D9555" t="inlineStr">
        <is>
          <t>VÄSTERBOTTENS LÄN</t>
        </is>
      </c>
      <c r="E9555" t="inlineStr">
        <is>
          <t>BJURHOLM</t>
        </is>
      </c>
      <c r="G9555" t="n">
        <v>2.4</v>
      </c>
      <c r="H9555" t="n">
        <v>0</v>
      </c>
      <c r="I9555" t="n">
        <v>0</v>
      </c>
      <c r="J9555" t="n">
        <v>0</v>
      </c>
      <c r="K9555" t="n">
        <v>0</v>
      </c>
      <c r="L9555" t="n">
        <v>0</v>
      </c>
      <c r="M9555" t="n">
        <v>0</v>
      </c>
      <c r="N9555" t="n">
        <v>0</v>
      </c>
      <c r="O9555" t="n">
        <v>0</v>
      </c>
      <c r="P9555" t="n">
        <v>0</v>
      </c>
      <c r="Q9555" t="n">
        <v>0</v>
      </c>
      <c r="R9555" s="2" t="inlineStr"/>
    </row>
    <row r="9556" ht="15" customHeight="1">
      <c r="A9556" t="inlineStr">
        <is>
          <t>A 56167-2024</t>
        </is>
      </c>
      <c r="B9556" s="1" t="n">
        <v>45624</v>
      </c>
      <c r="C9556" s="1" t="n">
        <v>46075</v>
      </c>
      <c r="D9556" t="inlineStr">
        <is>
          <t>VÄSTERBOTTENS LÄN</t>
        </is>
      </c>
      <c r="E9556" t="inlineStr">
        <is>
          <t>DOROTEA</t>
        </is>
      </c>
      <c r="F9556" t="inlineStr">
        <is>
          <t>SCA</t>
        </is>
      </c>
      <c r="G9556" t="n">
        <v>2.2</v>
      </c>
      <c r="H9556" t="n">
        <v>0</v>
      </c>
      <c r="I9556" t="n">
        <v>0</v>
      </c>
      <c r="J9556" t="n">
        <v>0</v>
      </c>
      <c r="K9556" t="n">
        <v>0</v>
      </c>
      <c r="L9556" t="n">
        <v>0</v>
      </c>
      <c r="M9556" t="n">
        <v>0</v>
      </c>
      <c r="N9556" t="n">
        <v>0</v>
      </c>
      <c r="O9556" t="n">
        <v>0</v>
      </c>
      <c r="P9556" t="n">
        <v>0</v>
      </c>
      <c r="Q9556" t="n">
        <v>0</v>
      </c>
      <c r="R9556" s="2" t="inlineStr"/>
    </row>
    <row r="9557" ht="15" customHeight="1">
      <c r="A9557" t="inlineStr">
        <is>
          <t>A 26531-2024</t>
        </is>
      </c>
      <c r="B9557" s="1" t="n">
        <v>45469</v>
      </c>
      <c r="C9557" s="1" t="n">
        <v>46075</v>
      </c>
      <c r="D9557" t="inlineStr">
        <is>
          <t>VÄSTERBOTTENS LÄN</t>
        </is>
      </c>
      <c r="E9557" t="inlineStr">
        <is>
          <t>LYCKSELE</t>
        </is>
      </c>
      <c r="G9557" t="n">
        <v>2.6</v>
      </c>
      <c r="H9557" t="n">
        <v>0</v>
      </c>
      <c r="I9557" t="n">
        <v>0</v>
      </c>
      <c r="J9557" t="n">
        <v>0</v>
      </c>
      <c r="K9557" t="n">
        <v>0</v>
      </c>
      <c r="L9557" t="n">
        <v>0</v>
      </c>
      <c r="M9557" t="n">
        <v>0</v>
      </c>
      <c r="N9557" t="n">
        <v>0</v>
      </c>
      <c r="O9557" t="n">
        <v>0</v>
      </c>
      <c r="P9557" t="n">
        <v>0</v>
      </c>
      <c r="Q9557" t="n">
        <v>0</v>
      </c>
      <c r="R9557" s="2" t="inlineStr"/>
    </row>
    <row r="9558" ht="15" customHeight="1">
      <c r="A9558" t="inlineStr">
        <is>
          <t>A 56175-2024</t>
        </is>
      </c>
      <c r="B9558" s="1" t="n">
        <v>45624.55708333333</v>
      </c>
      <c r="C9558" s="1" t="n">
        <v>46075</v>
      </c>
      <c r="D9558" t="inlineStr">
        <is>
          <t>VÄSTERBOTTENS LÄN</t>
        </is>
      </c>
      <c r="E9558" t="inlineStr">
        <is>
          <t>MALÅ</t>
        </is>
      </c>
      <c r="F9558" t="inlineStr">
        <is>
          <t>Sveaskog</t>
        </is>
      </c>
      <c r="G9558" t="n">
        <v>3.8</v>
      </c>
      <c r="H9558" t="n">
        <v>0</v>
      </c>
      <c r="I9558" t="n">
        <v>0</v>
      </c>
      <c r="J9558" t="n">
        <v>0</v>
      </c>
      <c r="K9558" t="n">
        <v>0</v>
      </c>
      <c r="L9558" t="n">
        <v>0</v>
      </c>
      <c r="M9558" t="n">
        <v>0</v>
      </c>
      <c r="N9558" t="n">
        <v>0</v>
      </c>
      <c r="O9558" t="n">
        <v>0</v>
      </c>
      <c r="P9558" t="n">
        <v>0</v>
      </c>
      <c r="Q9558" t="n">
        <v>0</v>
      </c>
      <c r="R9558" s="2" t="inlineStr"/>
    </row>
    <row r="9559" ht="15" customHeight="1">
      <c r="A9559" t="inlineStr">
        <is>
          <t>A 36792-2024</t>
        </is>
      </c>
      <c r="B9559" s="1" t="n">
        <v>45538.44001157407</v>
      </c>
      <c r="C9559" s="1" t="n">
        <v>46075</v>
      </c>
      <c r="D9559" t="inlineStr">
        <is>
          <t>VÄSTERBOTTENS LÄN</t>
        </is>
      </c>
      <c r="E9559" t="inlineStr">
        <is>
          <t>SKELLEFTEÅ</t>
        </is>
      </c>
      <c r="F9559" t="inlineStr">
        <is>
          <t>Sveaskog</t>
        </is>
      </c>
      <c r="G9559" t="n">
        <v>3.1</v>
      </c>
      <c r="H9559" t="n">
        <v>0</v>
      </c>
      <c r="I9559" t="n">
        <v>0</v>
      </c>
      <c r="J9559" t="n">
        <v>0</v>
      </c>
      <c r="K9559" t="n">
        <v>0</v>
      </c>
      <c r="L9559" t="n">
        <v>0</v>
      </c>
      <c r="M9559" t="n">
        <v>0</v>
      </c>
      <c r="N9559" t="n">
        <v>0</v>
      </c>
      <c r="O9559" t="n">
        <v>0</v>
      </c>
      <c r="P9559" t="n">
        <v>0</v>
      </c>
      <c r="Q9559" t="n">
        <v>0</v>
      </c>
      <c r="R9559" s="2" t="inlineStr"/>
    </row>
    <row r="9560" ht="15" customHeight="1">
      <c r="A9560" t="inlineStr">
        <is>
          <t>A 36794-2024</t>
        </is>
      </c>
      <c r="B9560" s="1" t="n">
        <v>45538.44354166667</v>
      </c>
      <c r="C9560" s="1" t="n">
        <v>46075</v>
      </c>
      <c r="D9560" t="inlineStr">
        <is>
          <t>VÄSTERBOTTENS LÄN</t>
        </is>
      </c>
      <c r="E9560" t="inlineStr">
        <is>
          <t>SKELLEFTEÅ</t>
        </is>
      </c>
      <c r="F9560" t="inlineStr">
        <is>
          <t>Sveaskog</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38949-2024</t>
        </is>
      </c>
      <c r="B9561" s="1" t="n">
        <v>45548</v>
      </c>
      <c r="C9561" s="1" t="n">
        <v>46075</v>
      </c>
      <c r="D9561" t="inlineStr">
        <is>
          <t>VÄSTERBOTTENS LÄN</t>
        </is>
      </c>
      <c r="E9561" t="inlineStr">
        <is>
          <t>ROBERTSFORS</t>
        </is>
      </c>
      <c r="G9561" t="n">
        <v>0.8</v>
      </c>
      <c r="H9561" t="n">
        <v>0</v>
      </c>
      <c r="I9561" t="n">
        <v>0</v>
      </c>
      <c r="J9561" t="n">
        <v>0</v>
      </c>
      <c r="K9561" t="n">
        <v>0</v>
      </c>
      <c r="L9561" t="n">
        <v>0</v>
      </c>
      <c r="M9561" t="n">
        <v>0</v>
      </c>
      <c r="N9561" t="n">
        <v>0</v>
      </c>
      <c r="O9561" t="n">
        <v>0</v>
      </c>
      <c r="P9561" t="n">
        <v>0</v>
      </c>
      <c r="Q9561" t="n">
        <v>0</v>
      </c>
      <c r="R9561" s="2" t="inlineStr"/>
    </row>
    <row r="9562" ht="15" customHeight="1">
      <c r="A9562" t="inlineStr">
        <is>
          <t>A 12515-2024</t>
        </is>
      </c>
      <c r="B9562" s="1" t="n">
        <v>45379</v>
      </c>
      <c r="C9562" s="1" t="n">
        <v>46075</v>
      </c>
      <c r="D9562" t="inlineStr">
        <is>
          <t>VÄSTERBOTTENS LÄN</t>
        </is>
      </c>
      <c r="E9562" t="inlineStr">
        <is>
          <t>SKELLEFTEÅ</t>
        </is>
      </c>
      <c r="G9562" t="n">
        <v>2.5</v>
      </c>
      <c r="H9562" t="n">
        <v>0</v>
      </c>
      <c r="I9562" t="n">
        <v>0</v>
      </c>
      <c r="J9562" t="n">
        <v>0</v>
      </c>
      <c r="K9562" t="n">
        <v>0</v>
      </c>
      <c r="L9562" t="n">
        <v>0</v>
      </c>
      <c r="M9562" t="n">
        <v>0</v>
      </c>
      <c r="N9562" t="n">
        <v>0</v>
      </c>
      <c r="O9562" t="n">
        <v>0</v>
      </c>
      <c r="P9562" t="n">
        <v>0</v>
      </c>
      <c r="Q9562" t="n">
        <v>0</v>
      </c>
      <c r="R9562" s="2" t="inlineStr"/>
    </row>
    <row r="9563" ht="15" customHeight="1">
      <c r="A9563" t="inlineStr">
        <is>
          <t>A 63655-2025</t>
        </is>
      </c>
      <c r="B9563" s="1" t="n">
        <v>46014.44158564815</v>
      </c>
      <c r="C9563" s="1" t="n">
        <v>46075</v>
      </c>
      <c r="D9563" t="inlineStr">
        <is>
          <t>VÄSTERBOTTENS LÄN</t>
        </is>
      </c>
      <c r="E9563" t="inlineStr">
        <is>
          <t>VINDELN</t>
        </is>
      </c>
      <c r="G9563" t="n">
        <v>3</v>
      </c>
      <c r="H9563" t="n">
        <v>0</v>
      </c>
      <c r="I9563" t="n">
        <v>0</v>
      </c>
      <c r="J9563" t="n">
        <v>0</v>
      </c>
      <c r="K9563" t="n">
        <v>0</v>
      </c>
      <c r="L9563" t="n">
        <v>0</v>
      </c>
      <c r="M9563" t="n">
        <v>0</v>
      </c>
      <c r="N9563" t="n">
        <v>0</v>
      </c>
      <c r="O9563" t="n">
        <v>0</v>
      </c>
      <c r="P9563" t="n">
        <v>0</v>
      </c>
      <c r="Q9563" t="n">
        <v>0</v>
      </c>
      <c r="R9563" s="2" t="inlineStr"/>
    </row>
    <row r="9564" ht="15" customHeight="1">
      <c r="A9564" t="inlineStr">
        <is>
          <t>A 3852-2023</t>
        </is>
      </c>
      <c r="B9564" s="1" t="n">
        <v>44950</v>
      </c>
      <c r="C9564" s="1" t="n">
        <v>46075</v>
      </c>
      <c r="D9564" t="inlineStr">
        <is>
          <t>VÄSTERBOTTENS LÄN</t>
        </is>
      </c>
      <c r="E9564" t="inlineStr">
        <is>
          <t>SKELLEFTEÅ</t>
        </is>
      </c>
      <c r="G9564" t="n">
        <v>0.5</v>
      </c>
      <c r="H9564" t="n">
        <v>0</v>
      </c>
      <c r="I9564" t="n">
        <v>0</v>
      </c>
      <c r="J9564" t="n">
        <v>0</v>
      </c>
      <c r="K9564" t="n">
        <v>0</v>
      </c>
      <c r="L9564" t="n">
        <v>0</v>
      </c>
      <c r="M9564" t="n">
        <v>0</v>
      </c>
      <c r="N9564" t="n">
        <v>0</v>
      </c>
      <c r="O9564" t="n">
        <v>0</v>
      </c>
      <c r="P9564" t="n">
        <v>0</v>
      </c>
      <c r="Q9564" t="n">
        <v>0</v>
      </c>
      <c r="R9564" s="2" t="inlineStr"/>
    </row>
    <row r="9565" ht="15" customHeight="1">
      <c r="A9565" t="inlineStr">
        <is>
          <t>A 58960-2024</t>
        </is>
      </c>
      <c r="B9565" s="1" t="n">
        <v>45635</v>
      </c>
      <c r="C9565" s="1" t="n">
        <v>46075</v>
      </c>
      <c r="D9565" t="inlineStr">
        <is>
          <t>VÄSTERBOTTENS LÄN</t>
        </is>
      </c>
      <c r="E9565" t="inlineStr">
        <is>
          <t>SKELLEFTEÅ</t>
        </is>
      </c>
      <c r="G9565" t="n">
        <v>4.6</v>
      </c>
      <c r="H9565" t="n">
        <v>0</v>
      </c>
      <c r="I9565" t="n">
        <v>0</v>
      </c>
      <c r="J9565" t="n">
        <v>0</v>
      </c>
      <c r="K9565" t="n">
        <v>0</v>
      </c>
      <c r="L9565" t="n">
        <v>0</v>
      </c>
      <c r="M9565" t="n">
        <v>0</v>
      </c>
      <c r="N9565" t="n">
        <v>0</v>
      </c>
      <c r="O9565" t="n">
        <v>0</v>
      </c>
      <c r="P9565" t="n">
        <v>0</v>
      </c>
      <c r="Q9565" t="n">
        <v>0</v>
      </c>
      <c r="R9565" s="2" t="inlineStr"/>
    </row>
    <row r="9566" ht="15" customHeight="1">
      <c r="A9566" t="inlineStr">
        <is>
          <t>A 23840-2024</t>
        </is>
      </c>
      <c r="B9566" s="1" t="n">
        <v>45455</v>
      </c>
      <c r="C9566" s="1" t="n">
        <v>46075</v>
      </c>
      <c r="D9566" t="inlineStr">
        <is>
          <t>VÄSTERBOTTENS LÄN</t>
        </is>
      </c>
      <c r="E9566" t="inlineStr">
        <is>
          <t>UMEÅ</t>
        </is>
      </c>
      <c r="G9566" t="n">
        <v>10.8</v>
      </c>
      <c r="H9566" t="n">
        <v>0</v>
      </c>
      <c r="I9566" t="n">
        <v>0</v>
      </c>
      <c r="J9566" t="n">
        <v>0</v>
      </c>
      <c r="K9566" t="n">
        <v>0</v>
      </c>
      <c r="L9566" t="n">
        <v>0</v>
      </c>
      <c r="M9566" t="n">
        <v>0</v>
      </c>
      <c r="N9566" t="n">
        <v>0</v>
      </c>
      <c r="O9566" t="n">
        <v>0</v>
      </c>
      <c r="P9566" t="n">
        <v>0</v>
      </c>
      <c r="Q9566" t="n">
        <v>0</v>
      </c>
      <c r="R9566" s="2" t="inlineStr"/>
    </row>
    <row r="9567" ht="15" customHeight="1">
      <c r="A9567" t="inlineStr">
        <is>
          <t>A 36214-2023</t>
        </is>
      </c>
      <c r="B9567" s="1" t="n">
        <v>45149.95256944445</v>
      </c>
      <c r="C9567" s="1" t="n">
        <v>46075</v>
      </c>
      <c r="D9567" t="inlineStr">
        <is>
          <t>VÄSTERBOTTENS LÄN</t>
        </is>
      </c>
      <c r="E9567" t="inlineStr">
        <is>
          <t>VILHELMINA</t>
        </is>
      </c>
      <c r="F9567" t="inlineStr">
        <is>
          <t>SCA</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43424-2024</t>
        </is>
      </c>
      <c r="B9568" s="1" t="n">
        <v>45568</v>
      </c>
      <c r="C9568" s="1" t="n">
        <v>46075</v>
      </c>
      <c r="D9568" t="inlineStr">
        <is>
          <t>VÄSTERBOTTENS LÄN</t>
        </is>
      </c>
      <c r="E9568" t="inlineStr">
        <is>
          <t>ROBERTSFORS</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43491-2024</t>
        </is>
      </c>
      <c r="B9569" s="1" t="n">
        <v>45568</v>
      </c>
      <c r="C9569" s="1" t="n">
        <v>46075</v>
      </c>
      <c r="D9569" t="inlineStr">
        <is>
          <t>VÄSTERBOTTENS LÄN</t>
        </is>
      </c>
      <c r="E9569" t="inlineStr">
        <is>
          <t>NORDMALING</t>
        </is>
      </c>
      <c r="G9569" t="n">
        <v>0.9</v>
      </c>
      <c r="H9569" t="n">
        <v>0</v>
      </c>
      <c r="I9569" t="n">
        <v>0</v>
      </c>
      <c r="J9569" t="n">
        <v>0</v>
      </c>
      <c r="K9569" t="n">
        <v>0</v>
      </c>
      <c r="L9569" t="n">
        <v>0</v>
      </c>
      <c r="M9569" t="n">
        <v>0</v>
      </c>
      <c r="N9569" t="n">
        <v>0</v>
      </c>
      <c r="O9569" t="n">
        <v>0</v>
      </c>
      <c r="P9569" t="n">
        <v>0</v>
      </c>
      <c r="Q9569" t="n">
        <v>0</v>
      </c>
      <c r="R9569" s="2" t="inlineStr"/>
    </row>
    <row r="9570" ht="15" customHeight="1">
      <c r="A9570" t="inlineStr">
        <is>
          <t>A 43492-2024</t>
        </is>
      </c>
      <c r="B9570" s="1" t="n">
        <v>45568.92467592593</v>
      </c>
      <c r="C9570" s="1" t="n">
        <v>46075</v>
      </c>
      <c r="D9570" t="inlineStr">
        <is>
          <t>VÄSTERBOTTENS LÄN</t>
        </is>
      </c>
      <c r="E9570" t="inlineStr">
        <is>
          <t>NORDMALING</t>
        </is>
      </c>
      <c r="G9570" t="n">
        <v>1.6</v>
      </c>
      <c r="H9570" t="n">
        <v>0</v>
      </c>
      <c r="I9570" t="n">
        <v>0</v>
      </c>
      <c r="J9570" t="n">
        <v>0</v>
      </c>
      <c r="K9570" t="n">
        <v>0</v>
      </c>
      <c r="L9570" t="n">
        <v>0</v>
      </c>
      <c r="M9570" t="n">
        <v>0</v>
      </c>
      <c r="N9570" t="n">
        <v>0</v>
      </c>
      <c r="O9570" t="n">
        <v>0</v>
      </c>
      <c r="P9570" t="n">
        <v>0</v>
      </c>
      <c r="Q9570" t="n">
        <v>0</v>
      </c>
      <c r="R9570" s="2" t="inlineStr"/>
    </row>
    <row r="9571" ht="15" customHeight="1">
      <c r="A9571" t="inlineStr">
        <is>
          <t>A 43535-2024</t>
        </is>
      </c>
      <c r="B9571" s="1" t="n">
        <v>45569.35552083333</v>
      </c>
      <c r="C9571" s="1" t="n">
        <v>46075</v>
      </c>
      <c r="D9571" t="inlineStr">
        <is>
          <t>VÄSTERBOTTENS LÄN</t>
        </is>
      </c>
      <c r="E9571" t="inlineStr">
        <is>
          <t>VINDELN</t>
        </is>
      </c>
      <c r="G9571" t="n">
        <v>4.5</v>
      </c>
      <c r="H9571" t="n">
        <v>0</v>
      </c>
      <c r="I9571" t="n">
        <v>0</v>
      </c>
      <c r="J9571" t="n">
        <v>0</v>
      </c>
      <c r="K9571" t="n">
        <v>0</v>
      </c>
      <c r="L9571" t="n">
        <v>0</v>
      </c>
      <c r="M9571" t="n">
        <v>0</v>
      </c>
      <c r="N9571" t="n">
        <v>0</v>
      </c>
      <c r="O9571" t="n">
        <v>0</v>
      </c>
      <c r="P9571" t="n">
        <v>0</v>
      </c>
      <c r="Q9571" t="n">
        <v>0</v>
      </c>
      <c r="R9571" s="2" t="inlineStr"/>
    </row>
    <row r="9572" ht="15" customHeight="1">
      <c r="A9572" t="inlineStr">
        <is>
          <t>A 60304-2022</t>
        </is>
      </c>
      <c r="B9572" s="1" t="n">
        <v>44910</v>
      </c>
      <c r="C9572" s="1" t="n">
        <v>46075</v>
      </c>
      <c r="D9572" t="inlineStr">
        <is>
          <t>VÄSTERBOTTENS LÄN</t>
        </is>
      </c>
      <c r="E9572" t="inlineStr">
        <is>
          <t>DOROTEA</t>
        </is>
      </c>
      <c r="F9572" t="inlineStr">
        <is>
          <t>SCA</t>
        </is>
      </c>
      <c r="G9572" t="n">
        <v>4.9</v>
      </c>
      <c r="H9572" t="n">
        <v>0</v>
      </c>
      <c r="I9572" t="n">
        <v>0</v>
      </c>
      <c r="J9572" t="n">
        <v>0</v>
      </c>
      <c r="K9572" t="n">
        <v>0</v>
      </c>
      <c r="L9572" t="n">
        <v>0</v>
      </c>
      <c r="M9572" t="n">
        <v>0</v>
      </c>
      <c r="N9572" t="n">
        <v>0</v>
      </c>
      <c r="O9572" t="n">
        <v>0</v>
      </c>
      <c r="P9572" t="n">
        <v>0</v>
      </c>
      <c r="Q9572" t="n">
        <v>0</v>
      </c>
      <c r="R9572" s="2" t="inlineStr"/>
    </row>
    <row r="9573" ht="15" customHeight="1">
      <c r="A9573" t="inlineStr">
        <is>
          <t>A 57084-2024</t>
        </is>
      </c>
      <c r="B9573" s="1" t="n">
        <v>45629.35606481481</v>
      </c>
      <c r="C9573" s="1" t="n">
        <v>46075</v>
      </c>
      <c r="D9573" t="inlineStr">
        <is>
          <t>VÄSTERBOTTENS LÄN</t>
        </is>
      </c>
      <c r="E9573" t="inlineStr">
        <is>
          <t>LYCKSELE</t>
        </is>
      </c>
      <c r="G9573" t="n">
        <v>1.8</v>
      </c>
      <c r="H9573" t="n">
        <v>0</v>
      </c>
      <c r="I9573" t="n">
        <v>0</v>
      </c>
      <c r="J9573" t="n">
        <v>0</v>
      </c>
      <c r="K9573" t="n">
        <v>0</v>
      </c>
      <c r="L9573" t="n">
        <v>0</v>
      </c>
      <c r="M9573" t="n">
        <v>0</v>
      </c>
      <c r="N9573" t="n">
        <v>0</v>
      </c>
      <c r="O9573" t="n">
        <v>0</v>
      </c>
      <c r="P9573" t="n">
        <v>0</v>
      </c>
      <c r="Q9573" t="n">
        <v>0</v>
      </c>
      <c r="R9573" s="2" t="inlineStr"/>
    </row>
    <row r="9574" ht="15" customHeight="1">
      <c r="A9574" t="inlineStr">
        <is>
          <t>A 60311-2022</t>
        </is>
      </c>
      <c r="B9574" s="1" t="n">
        <v>44910</v>
      </c>
      <c r="C9574" s="1" t="n">
        <v>46075</v>
      </c>
      <c r="D9574" t="inlineStr">
        <is>
          <t>VÄSTERBOTTENS LÄN</t>
        </is>
      </c>
      <c r="E9574" t="inlineStr">
        <is>
          <t>VINDELN</t>
        </is>
      </c>
      <c r="F9574" t="inlineStr">
        <is>
          <t>Sveaskog</t>
        </is>
      </c>
      <c r="G9574" t="n">
        <v>7.6</v>
      </c>
      <c r="H9574" t="n">
        <v>0</v>
      </c>
      <c r="I9574" t="n">
        <v>0</v>
      </c>
      <c r="J9574" t="n">
        <v>0</v>
      </c>
      <c r="K9574" t="n">
        <v>0</v>
      </c>
      <c r="L9574" t="n">
        <v>0</v>
      </c>
      <c r="M9574" t="n">
        <v>0</v>
      </c>
      <c r="N9574" t="n">
        <v>0</v>
      </c>
      <c r="O9574" t="n">
        <v>0</v>
      </c>
      <c r="P9574" t="n">
        <v>0</v>
      </c>
      <c r="Q9574" t="n">
        <v>0</v>
      </c>
      <c r="R9574" s="2" t="inlineStr"/>
    </row>
    <row r="9575" ht="15" customHeight="1">
      <c r="A9575" t="inlineStr">
        <is>
          <t>A 63659-2025</t>
        </is>
      </c>
      <c r="B9575" s="1" t="n">
        <v>46014.44659722222</v>
      </c>
      <c r="C9575" s="1" t="n">
        <v>46075</v>
      </c>
      <c r="D9575" t="inlineStr">
        <is>
          <t>VÄSTERBOTTENS LÄN</t>
        </is>
      </c>
      <c r="E9575" t="inlineStr">
        <is>
          <t>VINDELN</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2603-2026</t>
        </is>
      </c>
      <c r="B9576" s="1" t="n">
        <v>46037</v>
      </c>
      <c r="C9576" s="1" t="n">
        <v>46075</v>
      </c>
      <c r="D9576" t="inlineStr">
        <is>
          <t>VÄSTERBOTTENS LÄN</t>
        </is>
      </c>
      <c r="E9576" t="inlineStr">
        <is>
          <t>UMEÅ</t>
        </is>
      </c>
      <c r="G9576" t="n">
        <v>2.2</v>
      </c>
      <c r="H9576" t="n">
        <v>0</v>
      </c>
      <c r="I9576" t="n">
        <v>0</v>
      </c>
      <c r="J9576" t="n">
        <v>0</v>
      </c>
      <c r="K9576" t="n">
        <v>0</v>
      </c>
      <c r="L9576" t="n">
        <v>0</v>
      </c>
      <c r="M9576" t="n">
        <v>0</v>
      </c>
      <c r="N9576" t="n">
        <v>0</v>
      </c>
      <c r="O9576" t="n">
        <v>0</v>
      </c>
      <c r="P9576" t="n">
        <v>0</v>
      </c>
      <c r="Q9576" t="n">
        <v>0</v>
      </c>
      <c r="R9576" s="2" t="inlineStr"/>
    </row>
    <row r="9577" ht="15" customHeight="1">
      <c r="A9577" t="inlineStr">
        <is>
          <t>A 25683-2025</t>
        </is>
      </c>
      <c r="B9577" s="1" t="n">
        <v>45803</v>
      </c>
      <c r="C9577" s="1" t="n">
        <v>46075</v>
      </c>
      <c r="D9577" t="inlineStr">
        <is>
          <t>VÄSTERBOTTENS LÄN</t>
        </is>
      </c>
      <c r="E9577" t="inlineStr">
        <is>
          <t>UMEÅ</t>
        </is>
      </c>
      <c r="G9577" t="n">
        <v>4.9</v>
      </c>
      <c r="H9577" t="n">
        <v>0</v>
      </c>
      <c r="I9577" t="n">
        <v>0</v>
      </c>
      <c r="J9577" t="n">
        <v>0</v>
      </c>
      <c r="K9577" t="n">
        <v>0</v>
      </c>
      <c r="L9577" t="n">
        <v>0</v>
      </c>
      <c r="M9577" t="n">
        <v>0</v>
      </c>
      <c r="N9577" t="n">
        <v>0</v>
      </c>
      <c r="O9577" t="n">
        <v>0</v>
      </c>
      <c r="P9577" t="n">
        <v>0</v>
      </c>
      <c r="Q9577" t="n">
        <v>0</v>
      </c>
      <c r="R9577" s="2" t="inlineStr"/>
    </row>
    <row r="9578" ht="15" customHeight="1">
      <c r="A9578" t="inlineStr">
        <is>
          <t>A 6565-2026</t>
        </is>
      </c>
      <c r="B9578" s="1" t="n">
        <v>46056.4393287037</v>
      </c>
      <c r="C9578" s="1" t="n">
        <v>46075</v>
      </c>
      <c r="D9578" t="inlineStr">
        <is>
          <t>VÄSTERBOTTENS LÄN</t>
        </is>
      </c>
      <c r="E9578" t="inlineStr">
        <is>
          <t>ÅSELE</t>
        </is>
      </c>
      <c r="G9578" t="n">
        <v>2.3</v>
      </c>
      <c r="H9578" t="n">
        <v>0</v>
      </c>
      <c r="I9578" t="n">
        <v>0</v>
      </c>
      <c r="J9578" t="n">
        <v>0</v>
      </c>
      <c r="K9578" t="n">
        <v>0</v>
      </c>
      <c r="L9578" t="n">
        <v>0</v>
      </c>
      <c r="M9578" t="n">
        <v>0</v>
      </c>
      <c r="N9578" t="n">
        <v>0</v>
      </c>
      <c r="O9578" t="n">
        <v>0</v>
      </c>
      <c r="P9578" t="n">
        <v>0</v>
      </c>
      <c r="Q9578" t="n">
        <v>0</v>
      </c>
      <c r="R9578" s="2" t="inlineStr"/>
    </row>
    <row r="9579" ht="15" customHeight="1">
      <c r="A9579" t="inlineStr">
        <is>
          <t>A 43637-2023</t>
        </is>
      </c>
      <c r="B9579" s="1" t="n">
        <v>45186.51590277778</v>
      </c>
      <c r="C9579" s="1" t="n">
        <v>46075</v>
      </c>
      <c r="D9579" t="inlineStr">
        <is>
          <t>VÄSTERBOTTENS LÄN</t>
        </is>
      </c>
      <c r="E9579" t="inlineStr">
        <is>
          <t>VILHELMINA</t>
        </is>
      </c>
      <c r="G9579" t="n">
        <v>3.3</v>
      </c>
      <c r="H9579" t="n">
        <v>0</v>
      </c>
      <c r="I9579" t="n">
        <v>0</v>
      </c>
      <c r="J9579" t="n">
        <v>0</v>
      </c>
      <c r="K9579" t="n">
        <v>0</v>
      </c>
      <c r="L9579" t="n">
        <v>0</v>
      </c>
      <c r="M9579" t="n">
        <v>0</v>
      </c>
      <c r="N9579" t="n">
        <v>0</v>
      </c>
      <c r="O9579" t="n">
        <v>0</v>
      </c>
      <c r="P9579" t="n">
        <v>0</v>
      </c>
      <c r="Q9579" t="n">
        <v>0</v>
      </c>
      <c r="R9579" s="2" t="inlineStr"/>
    </row>
    <row r="9580" ht="15" customHeight="1">
      <c r="A9580" t="inlineStr">
        <is>
          <t>A 44622-2024</t>
        </is>
      </c>
      <c r="B9580" s="1" t="n">
        <v>45574.51344907407</v>
      </c>
      <c r="C9580" s="1" t="n">
        <v>46075</v>
      </c>
      <c r="D9580" t="inlineStr">
        <is>
          <t>VÄSTERBOTTENS LÄN</t>
        </is>
      </c>
      <c r="E9580" t="inlineStr">
        <is>
          <t>ÅSELE</t>
        </is>
      </c>
      <c r="F9580" t="inlineStr">
        <is>
          <t>SCA</t>
        </is>
      </c>
      <c r="G9580" t="n">
        <v>14.9</v>
      </c>
      <c r="H9580" t="n">
        <v>0</v>
      </c>
      <c r="I9580" t="n">
        <v>0</v>
      </c>
      <c r="J9580" t="n">
        <v>0</v>
      </c>
      <c r="K9580" t="n">
        <v>0</v>
      </c>
      <c r="L9580" t="n">
        <v>0</v>
      </c>
      <c r="M9580" t="n">
        <v>0</v>
      </c>
      <c r="N9580" t="n">
        <v>0</v>
      </c>
      <c r="O9580" t="n">
        <v>0</v>
      </c>
      <c r="P9580" t="n">
        <v>0</v>
      </c>
      <c r="Q9580" t="n">
        <v>0</v>
      </c>
      <c r="R9580" s="2" t="inlineStr"/>
    </row>
    <row r="9581" ht="15" customHeight="1">
      <c r="A9581" t="inlineStr">
        <is>
          <t>A 22121-2023</t>
        </is>
      </c>
      <c r="B9581" s="1" t="n">
        <v>45069.57740740741</v>
      </c>
      <c r="C9581" s="1" t="n">
        <v>46075</v>
      </c>
      <c r="D9581" t="inlineStr">
        <is>
          <t>VÄSTERBOTTENS LÄN</t>
        </is>
      </c>
      <c r="E9581" t="inlineStr">
        <is>
          <t>SKELLEFTEÅ</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6911-2026</t>
        </is>
      </c>
      <c r="B9582" s="1" t="n">
        <v>46057.51104166666</v>
      </c>
      <c r="C9582" s="1" t="n">
        <v>46075</v>
      </c>
      <c r="D9582" t="inlineStr">
        <is>
          <t>VÄSTERBOTTENS LÄN</t>
        </is>
      </c>
      <c r="E9582" t="inlineStr">
        <is>
          <t>ÅSELE</t>
        </is>
      </c>
      <c r="F9582" t="inlineStr">
        <is>
          <t>SCA</t>
        </is>
      </c>
      <c r="G9582" t="n">
        <v>3.2</v>
      </c>
      <c r="H9582" t="n">
        <v>0</v>
      </c>
      <c r="I9582" t="n">
        <v>0</v>
      </c>
      <c r="J9582" t="n">
        <v>0</v>
      </c>
      <c r="K9582" t="n">
        <v>0</v>
      </c>
      <c r="L9582" t="n">
        <v>0</v>
      </c>
      <c r="M9582" t="n">
        <v>0</v>
      </c>
      <c r="N9582" t="n">
        <v>0</v>
      </c>
      <c r="O9582" t="n">
        <v>0</v>
      </c>
      <c r="P9582" t="n">
        <v>0</v>
      </c>
      <c r="Q9582" t="n">
        <v>0</v>
      </c>
      <c r="R9582" s="2" t="inlineStr"/>
    </row>
    <row r="9583" ht="15" customHeight="1">
      <c r="A9583" t="inlineStr">
        <is>
          <t>A 27199-2024</t>
        </is>
      </c>
      <c r="B9583" s="1" t="n">
        <v>45471</v>
      </c>
      <c r="C9583" s="1" t="n">
        <v>46075</v>
      </c>
      <c r="D9583" t="inlineStr">
        <is>
          <t>VÄSTERBOTTENS LÄN</t>
        </is>
      </c>
      <c r="E9583" t="inlineStr">
        <is>
          <t>DOROTEA</t>
        </is>
      </c>
      <c r="F9583" t="inlineStr">
        <is>
          <t>SCA</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6919-2026</t>
        </is>
      </c>
      <c r="B9584" s="1" t="n">
        <v>46057.53539351852</v>
      </c>
      <c r="C9584" s="1" t="n">
        <v>46075</v>
      </c>
      <c r="D9584" t="inlineStr">
        <is>
          <t>VÄSTERBOTTENS LÄN</t>
        </is>
      </c>
      <c r="E9584" t="inlineStr">
        <is>
          <t>UMEÅ</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39471-2024</t>
        </is>
      </c>
      <c r="B9585" s="1" t="n">
        <v>45551.63643518519</v>
      </c>
      <c r="C9585" s="1" t="n">
        <v>46075</v>
      </c>
      <c r="D9585" t="inlineStr">
        <is>
          <t>VÄSTERBOTTENS LÄN</t>
        </is>
      </c>
      <c r="E9585" t="inlineStr">
        <is>
          <t>DOROTEA</t>
        </is>
      </c>
      <c r="G9585" t="n">
        <v>1.9</v>
      </c>
      <c r="H9585" t="n">
        <v>0</v>
      </c>
      <c r="I9585" t="n">
        <v>0</v>
      </c>
      <c r="J9585" t="n">
        <v>0</v>
      </c>
      <c r="K9585" t="n">
        <v>0</v>
      </c>
      <c r="L9585" t="n">
        <v>0</v>
      </c>
      <c r="M9585" t="n">
        <v>0</v>
      </c>
      <c r="N9585" t="n">
        <v>0</v>
      </c>
      <c r="O9585" t="n">
        <v>0</v>
      </c>
      <c r="P9585" t="n">
        <v>0</v>
      </c>
      <c r="Q9585" t="n">
        <v>0</v>
      </c>
      <c r="R9585" s="2" t="inlineStr"/>
    </row>
    <row r="9586" ht="15" customHeight="1">
      <c r="A9586" t="inlineStr">
        <is>
          <t>A 6958-2026</t>
        </is>
      </c>
      <c r="B9586" s="1" t="n">
        <v>46057.58056712963</v>
      </c>
      <c r="C9586" s="1" t="n">
        <v>46075</v>
      </c>
      <c r="D9586" t="inlineStr">
        <is>
          <t>VÄSTERBOTTENS LÄN</t>
        </is>
      </c>
      <c r="E9586" t="inlineStr">
        <is>
          <t>BJURHOLM</t>
        </is>
      </c>
      <c r="G9586" t="n">
        <v>5.2</v>
      </c>
      <c r="H9586" t="n">
        <v>0</v>
      </c>
      <c r="I9586" t="n">
        <v>0</v>
      </c>
      <c r="J9586" t="n">
        <v>0</v>
      </c>
      <c r="K9586" t="n">
        <v>0</v>
      </c>
      <c r="L9586" t="n">
        <v>0</v>
      </c>
      <c r="M9586" t="n">
        <v>0</v>
      </c>
      <c r="N9586" t="n">
        <v>0</v>
      </c>
      <c r="O9586" t="n">
        <v>0</v>
      </c>
      <c r="P9586" t="n">
        <v>0</v>
      </c>
      <c r="Q9586" t="n">
        <v>0</v>
      </c>
      <c r="R9586" s="2" t="inlineStr"/>
    </row>
    <row r="9587" ht="15" customHeight="1">
      <c r="A9587" t="inlineStr">
        <is>
          <t>A 40865-2024</t>
        </is>
      </c>
      <c r="B9587" s="1" t="n">
        <v>45558.59092592593</v>
      </c>
      <c r="C9587" s="1" t="n">
        <v>46075</v>
      </c>
      <c r="D9587" t="inlineStr">
        <is>
          <t>VÄSTERBOTTENS LÄN</t>
        </is>
      </c>
      <c r="E9587" t="inlineStr">
        <is>
          <t>STORUMAN</t>
        </is>
      </c>
      <c r="G9587" t="n">
        <v>8.5</v>
      </c>
      <c r="H9587" t="n">
        <v>0</v>
      </c>
      <c r="I9587" t="n">
        <v>0</v>
      </c>
      <c r="J9587" t="n">
        <v>0</v>
      </c>
      <c r="K9587" t="n">
        <v>0</v>
      </c>
      <c r="L9587" t="n">
        <v>0</v>
      </c>
      <c r="M9587" t="n">
        <v>0</v>
      </c>
      <c r="N9587" t="n">
        <v>0</v>
      </c>
      <c r="O9587" t="n">
        <v>0</v>
      </c>
      <c r="P9587" t="n">
        <v>0</v>
      </c>
      <c r="Q9587" t="n">
        <v>0</v>
      </c>
      <c r="R9587" s="2" t="inlineStr"/>
    </row>
    <row r="9588" ht="15" customHeight="1">
      <c r="A9588" t="inlineStr">
        <is>
          <t>A 45515-2022</t>
        </is>
      </c>
      <c r="B9588" s="1" t="n">
        <v>44841</v>
      </c>
      <c r="C9588" s="1" t="n">
        <v>46075</v>
      </c>
      <c r="D9588" t="inlineStr">
        <is>
          <t>VÄSTERBOTTENS LÄN</t>
        </is>
      </c>
      <c r="E9588" t="inlineStr">
        <is>
          <t>SORSELE</t>
        </is>
      </c>
      <c r="G9588" t="n">
        <v>33.5</v>
      </c>
      <c r="H9588" t="n">
        <v>0</v>
      </c>
      <c r="I9588" t="n">
        <v>0</v>
      </c>
      <c r="J9588" t="n">
        <v>0</v>
      </c>
      <c r="K9588" t="n">
        <v>0</v>
      </c>
      <c r="L9588" t="n">
        <v>0</v>
      </c>
      <c r="M9588" t="n">
        <v>0</v>
      </c>
      <c r="N9588" t="n">
        <v>0</v>
      </c>
      <c r="O9588" t="n">
        <v>0</v>
      </c>
      <c r="P9588" t="n">
        <v>0</v>
      </c>
      <c r="Q9588" t="n">
        <v>0</v>
      </c>
      <c r="R9588" s="2" t="inlineStr"/>
    </row>
    <row r="9589" ht="15" customHeight="1">
      <c r="A9589" t="inlineStr">
        <is>
          <t>A 20759-2023</t>
        </is>
      </c>
      <c r="B9589" s="1" t="n">
        <v>45055</v>
      </c>
      <c r="C9589" s="1" t="n">
        <v>46075</v>
      </c>
      <c r="D9589" t="inlineStr">
        <is>
          <t>VÄSTERBOTTENS LÄN</t>
        </is>
      </c>
      <c r="E9589" t="inlineStr">
        <is>
          <t>DOROTEA</t>
        </is>
      </c>
      <c r="F9589" t="inlineStr">
        <is>
          <t>Övriga statliga verk och myndigheter</t>
        </is>
      </c>
      <c r="G9589" t="n">
        <v>13.9</v>
      </c>
      <c r="H9589" t="n">
        <v>0</v>
      </c>
      <c r="I9589" t="n">
        <v>0</v>
      </c>
      <c r="J9589" t="n">
        <v>0</v>
      </c>
      <c r="K9589" t="n">
        <v>0</v>
      </c>
      <c r="L9589" t="n">
        <v>0</v>
      </c>
      <c r="M9589" t="n">
        <v>0</v>
      </c>
      <c r="N9589" t="n">
        <v>0</v>
      </c>
      <c r="O9589" t="n">
        <v>0</v>
      </c>
      <c r="P9589" t="n">
        <v>0</v>
      </c>
      <c r="Q9589" t="n">
        <v>0</v>
      </c>
      <c r="R9589" s="2" t="inlineStr"/>
    </row>
    <row r="9590" ht="15" customHeight="1">
      <c r="A9590" t="inlineStr">
        <is>
          <t>A 28728-2023</t>
        </is>
      </c>
      <c r="B9590" s="1" t="n">
        <v>45103</v>
      </c>
      <c r="C9590" s="1" t="n">
        <v>46075</v>
      </c>
      <c r="D9590" t="inlineStr">
        <is>
          <t>VÄSTERBOTTENS LÄN</t>
        </is>
      </c>
      <c r="E9590" t="inlineStr">
        <is>
          <t>ÅSELE</t>
        </is>
      </c>
      <c r="F9590" t="inlineStr">
        <is>
          <t>Sveaskog</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7029-2026</t>
        </is>
      </c>
      <c r="B9591" s="1" t="n">
        <v>46057.67790509259</v>
      </c>
      <c r="C9591" s="1" t="n">
        <v>46075</v>
      </c>
      <c r="D9591" t="inlineStr">
        <is>
          <t>VÄSTERBOTTENS LÄN</t>
        </is>
      </c>
      <c r="E9591" t="inlineStr">
        <is>
          <t>ÅSELE</t>
        </is>
      </c>
      <c r="F9591" t="inlineStr">
        <is>
          <t>SCA</t>
        </is>
      </c>
      <c r="G9591" t="n">
        <v>3.7</v>
      </c>
      <c r="H9591" t="n">
        <v>0</v>
      </c>
      <c r="I9591" t="n">
        <v>0</v>
      </c>
      <c r="J9591" t="n">
        <v>0</v>
      </c>
      <c r="K9591" t="n">
        <v>0</v>
      </c>
      <c r="L9591" t="n">
        <v>0</v>
      </c>
      <c r="M9591" t="n">
        <v>0</v>
      </c>
      <c r="N9591" t="n">
        <v>0</v>
      </c>
      <c r="O9591" t="n">
        <v>0</v>
      </c>
      <c r="P9591" t="n">
        <v>0</v>
      </c>
      <c r="Q9591" t="n">
        <v>0</v>
      </c>
      <c r="R9591" s="2" t="inlineStr"/>
    </row>
    <row r="9592" ht="15" customHeight="1">
      <c r="A9592" t="inlineStr">
        <is>
          <t>A 58386-2022</t>
        </is>
      </c>
      <c r="B9592" s="1" t="n">
        <v>44894</v>
      </c>
      <c r="C9592" s="1" t="n">
        <v>46075</v>
      </c>
      <c r="D9592" t="inlineStr">
        <is>
          <t>VÄSTERBOTTENS LÄN</t>
        </is>
      </c>
      <c r="E9592" t="inlineStr">
        <is>
          <t>ÅSELE</t>
        </is>
      </c>
      <c r="F9592" t="inlineStr">
        <is>
          <t>Kommuner</t>
        </is>
      </c>
      <c r="G9592" t="n">
        <v>25</v>
      </c>
      <c r="H9592" t="n">
        <v>0</v>
      </c>
      <c r="I9592" t="n">
        <v>0</v>
      </c>
      <c r="J9592" t="n">
        <v>0</v>
      </c>
      <c r="K9592" t="n">
        <v>0</v>
      </c>
      <c r="L9592" t="n">
        <v>0</v>
      </c>
      <c r="M9592" t="n">
        <v>0</v>
      </c>
      <c r="N9592" t="n">
        <v>0</v>
      </c>
      <c r="O9592" t="n">
        <v>0</v>
      </c>
      <c r="P9592" t="n">
        <v>0</v>
      </c>
      <c r="Q9592" t="n">
        <v>0</v>
      </c>
      <c r="R9592" s="2" t="inlineStr"/>
    </row>
    <row r="9593" ht="15" customHeight="1">
      <c r="A9593" t="inlineStr">
        <is>
          <t>A 61149-2022</t>
        </is>
      </c>
      <c r="B9593" s="1" t="n">
        <v>44908</v>
      </c>
      <c r="C9593" s="1" t="n">
        <v>46075</v>
      </c>
      <c r="D9593" t="inlineStr">
        <is>
          <t>VÄSTERBOTTENS LÄN</t>
        </is>
      </c>
      <c r="E9593" t="inlineStr">
        <is>
          <t>NORDMALING</t>
        </is>
      </c>
      <c r="G9593" t="n">
        <v>2.7</v>
      </c>
      <c r="H9593" t="n">
        <v>0</v>
      </c>
      <c r="I9593" t="n">
        <v>0</v>
      </c>
      <c r="J9593" t="n">
        <v>0</v>
      </c>
      <c r="K9593" t="n">
        <v>0</v>
      </c>
      <c r="L9593" t="n">
        <v>0</v>
      </c>
      <c r="M9593" t="n">
        <v>0</v>
      </c>
      <c r="N9593" t="n">
        <v>0</v>
      </c>
      <c r="O9593" t="n">
        <v>0</v>
      </c>
      <c r="P9593" t="n">
        <v>0</v>
      </c>
      <c r="Q9593" t="n">
        <v>0</v>
      </c>
      <c r="R9593" s="2" t="inlineStr"/>
    </row>
    <row r="9594" ht="15" customHeight="1">
      <c r="A9594" t="inlineStr">
        <is>
          <t>A 702-2023</t>
        </is>
      </c>
      <c r="B9594" s="1" t="n">
        <v>44930.92688657407</v>
      </c>
      <c r="C9594" s="1" t="n">
        <v>46075</v>
      </c>
      <c r="D9594" t="inlineStr">
        <is>
          <t>VÄSTERBOTTENS LÄN</t>
        </is>
      </c>
      <c r="E9594" t="inlineStr">
        <is>
          <t>SKELLEFTEÅ</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6900-2026</t>
        </is>
      </c>
      <c r="B9595" s="1" t="n">
        <v>46057.49017361111</v>
      </c>
      <c r="C9595" s="1" t="n">
        <v>46075</v>
      </c>
      <c r="D9595" t="inlineStr">
        <is>
          <t>VÄSTERBOTTENS LÄN</t>
        </is>
      </c>
      <c r="E9595" t="inlineStr">
        <is>
          <t>ÅSELE</t>
        </is>
      </c>
      <c r="F9595" t="inlineStr">
        <is>
          <t>SCA</t>
        </is>
      </c>
      <c r="G9595" t="n">
        <v>1.7</v>
      </c>
      <c r="H9595" t="n">
        <v>0</v>
      </c>
      <c r="I9595" t="n">
        <v>0</v>
      </c>
      <c r="J9595" t="n">
        <v>0</v>
      </c>
      <c r="K9595" t="n">
        <v>0</v>
      </c>
      <c r="L9595" t="n">
        <v>0</v>
      </c>
      <c r="M9595" t="n">
        <v>0</v>
      </c>
      <c r="N9595" t="n">
        <v>0</v>
      </c>
      <c r="O9595" t="n">
        <v>0</v>
      </c>
      <c r="P9595" t="n">
        <v>0</v>
      </c>
      <c r="Q9595" t="n">
        <v>0</v>
      </c>
      <c r="R9595" s="2" t="inlineStr"/>
    </row>
    <row r="9596" ht="15" customHeight="1">
      <c r="A9596" t="inlineStr">
        <is>
          <t>A 6533-2026</t>
        </is>
      </c>
      <c r="B9596" s="1" t="n">
        <v>46056.41567129629</v>
      </c>
      <c r="C9596" s="1" t="n">
        <v>46075</v>
      </c>
      <c r="D9596" t="inlineStr">
        <is>
          <t>VÄSTERBOTTENS LÄN</t>
        </is>
      </c>
      <c r="E9596" t="inlineStr">
        <is>
          <t>BJURHOLM</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6540-2026</t>
        </is>
      </c>
      <c r="B9597" s="1" t="n">
        <v>46056.42645833334</v>
      </c>
      <c r="C9597" s="1" t="n">
        <v>46075</v>
      </c>
      <c r="D9597" t="inlineStr">
        <is>
          <t>VÄSTERBOTTENS LÄN</t>
        </is>
      </c>
      <c r="E9597" t="inlineStr">
        <is>
          <t>BJURHOLM</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17086-2023</t>
        </is>
      </c>
      <c r="B9598" s="1" t="n">
        <v>45030</v>
      </c>
      <c r="C9598" s="1" t="n">
        <v>46075</v>
      </c>
      <c r="D9598" t="inlineStr">
        <is>
          <t>VÄSTERBOTTENS LÄN</t>
        </is>
      </c>
      <c r="E9598" t="inlineStr">
        <is>
          <t>SKELLEFTEÅ</t>
        </is>
      </c>
      <c r="G9598" t="n">
        <v>2.6</v>
      </c>
      <c r="H9598" t="n">
        <v>0</v>
      </c>
      <c r="I9598" t="n">
        <v>0</v>
      </c>
      <c r="J9598" t="n">
        <v>0</v>
      </c>
      <c r="K9598" t="n">
        <v>0</v>
      </c>
      <c r="L9598" t="n">
        <v>0</v>
      </c>
      <c r="M9598" t="n">
        <v>0</v>
      </c>
      <c r="N9598" t="n">
        <v>0</v>
      </c>
      <c r="O9598" t="n">
        <v>0</v>
      </c>
      <c r="P9598" t="n">
        <v>0</v>
      </c>
      <c r="Q9598" t="n">
        <v>0</v>
      </c>
      <c r="R9598" s="2" t="inlineStr"/>
    </row>
    <row r="9599" ht="15" customHeight="1">
      <c r="A9599" t="inlineStr">
        <is>
          <t>A 17110-2023</t>
        </is>
      </c>
      <c r="B9599" s="1" t="n">
        <v>45030</v>
      </c>
      <c r="C9599" s="1" t="n">
        <v>46075</v>
      </c>
      <c r="D9599" t="inlineStr">
        <is>
          <t>VÄSTERBOTTENS LÄN</t>
        </is>
      </c>
      <c r="E9599" t="inlineStr">
        <is>
          <t>UMEÅ</t>
        </is>
      </c>
      <c r="G9599" t="n">
        <v>3.1</v>
      </c>
      <c r="H9599" t="n">
        <v>0</v>
      </c>
      <c r="I9599" t="n">
        <v>0</v>
      </c>
      <c r="J9599" t="n">
        <v>0</v>
      </c>
      <c r="K9599" t="n">
        <v>0</v>
      </c>
      <c r="L9599" t="n">
        <v>0</v>
      </c>
      <c r="M9599" t="n">
        <v>0</v>
      </c>
      <c r="N9599" t="n">
        <v>0</v>
      </c>
      <c r="O9599" t="n">
        <v>0</v>
      </c>
      <c r="P9599" t="n">
        <v>0</v>
      </c>
      <c r="Q9599" t="n">
        <v>0</v>
      </c>
      <c r="R9599" s="2" t="inlineStr"/>
    </row>
    <row r="9600" ht="15" customHeight="1">
      <c r="A9600" t="inlineStr">
        <is>
          <t>A 6508-2026</t>
        </is>
      </c>
      <c r="B9600" s="1" t="n">
        <v>46056.38537037037</v>
      </c>
      <c r="C9600" s="1" t="n">
        <v>46075</v>
      </c>
      <c r="D9600" t="inlineStr">
        <is>
          <t>VÄSTERBOTTENS LÄN</t>
        </is>
      </c>
      <c r="E9600" t="inlineStr">
        <is>
          <t>NORDMALING</t>
        </is>
      </c>
      <c r="G9600" t="n">
        <v>2.5</v>
      </c>
      <c r="H9600" t="n">
        <v>0</v>
      </c>
      <c r="I9600" t="n">
        <v>0</v>
      </c>
      <c r="J9600" t="n">
        <v>0</v>
      </c>
      <c r="K9600" t="n">
        <v>0</v>
      </c>
      <c r="L9600" t="n">
        <v>0</v>
      </c>
      <c r="M9600" t="n">
        <v>0</v>
      </c>
      <c r="N9600" t="n">
        <v>0</v>
      </c>
      <c r="O9600" t="n">
        <v>0</v>
      </c>
      <c r="P9600" t="n">
        <v>0</v>
      </c>
      <c r="Q9600" t="n">
        <v>0</v>
      </c>
      <c r="R9600" s="2" t="inlineStr"/>
    </row>
    <row r="9601" ht="15" customHeight="1">
      <c r="A9601" t="inlineStr">
        <is>
          <t>A 6563-2026</t>
        </is>
      </c>
      <c r="B9601" s="1" t="n">
        <v>46056.43702546296</v>
      </c>
      <c r="C9601" s="1" t="n">
        <v>46075</v>
      </c>
      <c r="D9601" t="inlineStr">
        <is>
          <t>VÄSTERBOTTENS LÄN</t>
        </is>
      </c>
      <c r="E9601" t="inlineStr">
        <is>
          <t>UMEÅ</t>
        </is>
      </c>
      <c r="G9601" t="n">
        <v>2.7</v>
      </c>
      <c r="H9601" t="n">
        <v>0</v>
      </c>
      <c r="I9601" t="n">
        <v>0</v>
      </c>
      <c r="J9601" t="n">
        <v>0</v>
      </c>
      <c r="K9601" t="n">
        <v>0</v>
      </c>
      <c r="L9601" t="n">
        <v>0</v>
      </c>
      <c r="M9601" t="n">
        <v>0</v>
      </c>
      <c r="N9601" t="n">
        <v>0</v>
      </c>
      <c r="O9601" t="n">
        <v>0</v>
      </c>
      <c r="P9601" t="n">
        <v>0</v>
      </c>
      <c r="Q9601" t="n">
        <v>0</v>
      </c>
      <c r="R9601" s="2" t="inlineStr"/>
    </row>
    <row r="9602" ht="15" customHeight="1">
      <c r="A9602" t="inlineStr">
        <is>
          <t>A 36334-2023</t>
        </is>
      </c>
      <c r="B9602" s="1" t="n">
        <v>45152.44956018519</v>
      </c>
      <c r="C9602" s="1" t="n">
        <v>46075</v>
      </c>
      <c r="D9602" t="inlineStr">
        <is>
          <t>VÄSTERBOTTENS LÄN</t>
        </is>
      </c>
      <c r="E9602" t="inlineStr">
        <is>
          <t>VINDELN</t>
        </is>
      </c>
      <c r="F9602" t="inlineStr">
        <is>
          <t>Holmen skog AB</t>
        </is>
      </c>
      <c r="G9602" t="n">
        <v>5.4</v>
      </c>
      <c r="H9602" t="n">
        <v>0</v>
      </c>
      <c r="I9602" t="n">
        <v>0</v>
      </c>
      <c r="J9602" t="n">
        <v>0</v>
      </c>
      <c r="K9602" t="n">
        <v>0</v>
      </c>
      <c r="L9602" t="n">
        <v>0</v>
      </c>
      <c r="M9602" t="n">
        <v>0</v>
      </c>
      <c r="N9602" t="n">
        <v>0</v>
      </c>
      <c r="O9602" t="n">
        <v>0</v>
      </c>
      <c r="P9602" t="n">
        <v>0</v>
      </c>
      <c r="Q9602" t="n">
        <v>0</v>
      </c>
      <c r="R9602" s="2" t="inlineStr"/>
    </row>
    <row r="9603" ht="15" customHeight="1">
      <c r="A9603" t="inlineStr">
        <is>
          <t>A 59653-2022</t>
        </is>
      </c>
      <c r="B9603" s="1" t="n">
        <v>44907</v>
      </c>
      <c r="C9603" s="1" t="n">
        <v>46075</v>
      </c>
      <c r="D9603" t="inlineStr">
        <is>
          <t>VÄSTERBOTTENS LÄN</t>
        </is>
      </c>
      <c r="E9603" t="inlineStr">
        <is>
          <t>LYCKSELE</t>
        </is>
      </c>
      <c r="G9603" t="n">
        <v>2.5</v>
      </c>
      <c r="H9603" t="n">
        <v>0</v>
      </c>
      <c r="I9603" t="n">
        <v>0</v>
      </c>
      <c r="J9603" t="n">
        <v>0</v>
      </c>
      <c r="K9603" t="n">
        <v>0</v>
      </c>
      <c r="L9603" t="n">
        <v>0</v>
      </c>
      <c r="M9603" t="n">
        <v>0</v>
      </c>
      <c r="N9603" t="n">
        <v>0</v>
      </c>
      <c r="O9603" t="n">
        <v>0</v>
      </c>
      <c r="P9603" t="n">
        <v>0</v>
      </c>
      <c r="Q9603" t="n">
        <v>0</v>
      </c>
      <c r="R9603" s="2" t="inlineStr"/>
    </row>
    <row r="9604" ht="15" customHeight="1">
      <c r="A9604" t="inlineStr">
        <is>
          <t>A 36408-2023</t>
        </is>
      </c>
      <c r="B9604" s="1" t="n">
        <v>45152</v>
      </c>
      <c r="C9604" s="1" t="n">
        <v>46075</v>
      </c>
      <c r="D9604" t="inlineStr">
        <is>
          <t>VÄSTERBOTTENS LÄN</t>
        </is>
      </c>
      <c r="E9604" t="inlineStr">
        <is>
          <t>VILHELMINA</t>
        </is>
      </c>
      <c r="G9604" t="n">
        <v>4.4</v>
      </c>
      <c r="H9604" t="n">
        <v>0</v>
      </c>
      <c r="I9604" t="n">
        <v>0</v>
      </c>
      <c r="J9604" t="n">
        <v>0</v>
      </c>
      <c r="K9604" t="n">
        <v>0</v>
      </c>
      <c r="L9604" t="n">
        <v>0</v>
      </c>
      <c r="M9604" t="n">
        <v>0</v>
      </c>
      <c r="N9604" t="n">
        <v>0</v>
      </c>
      <c r="O9604" t="n">
        <v>0</v>
      </c>
      <c r="P9604" t="n">
        <v>0</v>
      </c>
      <c r="Q9604" t="n">
        <v>0</v>
      </c>
      <c r="R9604" s="2" t="inlineStr"/>
    </row>
    <row r="9605" ht="15" customHeight="1">
      <c r="A9605" t="inlineStr">
        <is>
          <t>A 5631-2026</t>
        </is>
      </c>
      <c r="B9605" s="1" t="n">
        <v>46051</v>
      </c>
      <c r="C9605" s="1" t="n">
        <v>46075</v>
      </c>
      <c r="D9605" t="inlineStr">
        <is>
          <t>VÄSTERBOTTENS LÄN</t>
        </is>
      </c>
      <c r="E9605" t="inlineStr">
        <is>
          <t>SKELLEFTEÅ</t>
        </is>
      </c>
      <c r="G9605" t="n">
        <v>0.7</v>
      </c>
      <c r="H9605" t="n">
        <v>0</v>
      </c>
      <c r="I9605" t="n">
        <v>0</v>
      </c>
      <c r="J9605" t="n">
        <v>0</v>
      </c>
      <c r="K9605" t="n">
        <v>0</v>
      </c>
      <c r="L9605" t="n">
        <v>0</v>
      </c>
      <c r="M9605" t="n">
        <v>0</v>
      </c>
      <c r="N9605" t="n">
        <v>0</v>
      </c>
      <c r="O9605" t="n">
        <v>0</v>
      </c>
      <c r="P9605" t="n">
        <v>0</v>
      </c>
      <c r="Q9605" t="n">
        <v>0</v>
      </c>
      <c r="R9605" s="2" t="inlineStr"/>
    </row>
    <row r="9606" ht="15" customHeight="1">
      <c r="A9606" t="inlineStr">
        <is>
          <t>A 35983-2023</t>
        </is>
      </c>
      <c r="B9606" s="1" t="n">
        <v>45148.96185185185</v>
      </c>
      <c r="C9606" s="1" t="n">
        <v>46075</v>
      </c>
      <c r="D9606" t="inlineStr">
        <is>
          <t>VÄSTERBOTTENS LÄN</t>
        </is>
      </c>
      <c r="E9606" t="inlineStr">
        <is>
          <t>VILHELMINA</t>
        </is>
      </c>
      <c r="F9606" t="inlineStr">
        <is>
          <t>SCA</t>
        </is>
      </c>
      <c r="G9606" t="n">
        <v>2</v>
      </c>
      <c r="H9606" t="n">
        <v>0</v>
      </c>
      <c r="I9606" t="n">
        <v>0</v>
      </c>
      <c r="J9606" t="n">
        <v>0</v>
      </c>
      <c r="K9606" t="n">
        <v>0</v>
      </c>
      <c r="L9606" t="n">
        <v>0</v>
      </c>
      <c r="M9606" t="n">
        <v>0</v>
      </c>
      <c r="N9606" t="n">
        <v>0</v>
      </c>
      <c r="O9606" t="n">
        <v>0</v>
      </c>
      <c r="P9606" t="n">
        <v>0</v>
      </c>
      <c r="Q9606" t="n">
        <v>0</v>
      </c>
      <c r="R9606" s="2" t="inlineStr"/>
    </row>
    <row r="9607" ht="15" customHeight="1">
      <c r="A9607" t="inlineStr">
        <is>
          <t>A 53102-2024</t>
        </is>
      </c>
      <c r="B9607" s="1" t="n">
        <v>45611</v>
      </c>
      <c r="C9607" s="1" t="n">
        <v>46075</v>
      </c>
      <c r="D9607" t="inlineStr">
        <is>
          <t>VÄSTERBOTTENS LÄN</t>
        </is>
      </c>
      <c r="E9607" t="inlineStr">
        <is>
          <t>SORSELE</t>
        </is>
      </c>
      <c r="F9607" t="inlineStr">
        <is>
          <t>Sveaskog</t>
        </is>
      </c>
      <c r="G9607" t="n">
        <v>44.9</v>
      </c>
      <c r="H9607" t="n">
        <v>0</v>
      </c>
      <c r="I9607" t="n">
        <v>0</v>
      </c>
      <c r="J9607" t="n">
        <v>0</v>
      </c>
      <c r="K9607" t="n">
        <v>0</v>
      </c>
      <c r="L9607" t="n">
        <v>0</v>
      </c>
      <c r="M9607" t="n">
        <v>0</v>
      </c>
      <c r="N9607" t="n">
        <v>0</v>
      </c>
      <c r="O9607" t="n">
        <v>0</v>
      </c>
      <c r="P9607" t="n">
        <v>0</v>
      </c>
      <c r="Q9607" t="n">
        <v>0</v>
      </c>
      <c r="R9607" s="2" t="inlineStr"/>
    </row>
    <row r="9608" ht="15" customHeight="1">
      <c r="A9608" t="inlineStr">
        <is>
          <t>A 7317-2026</t>
        </is>
      </c>
      <c r="B9608" s="1" t="n">
        <v>46058.67178240741</v>
      </c>
      <c r="C9608" s="1" t="n">
        <v>46075</v>
      </c>
      <c r="D9608" t="inlineStr">
        <is>
          <t>VÄSTERBOTTENS LÄN</t>
        </is>
      </c>
      <c r="E9608" t="inlineStr">
        <is>
          <t>SKELLEFTEÅ</t>
        </is>
      </c>
      <c r="F9608" t="inlineStr">
        <is>
          <t>Sveaskog</t>
        </is>
      </c>
      <c r="G9608" t="n">
        <v>2.2</v>
      </c>
      <c r="H9608" t="n">
        <v>0</v>
      </c>
      <c r="I9608" t="n">
        <v>0</v>
      </c>
      <c r="J9608" t="n">
        <v>0</v>
      </c>
      <c r="K9608" t="n">
        <v>0</v>
      </c>
      <c r="L9608" t="n">
        <v>0</v>
      </c>
      <c r="M9608" t="n">
        <v>0</v>
      </c>
      <c r="N9608" t="n">
        <v>0</v>
      </c>
      <c r="O9608" t="n">
        <v>0</v>
      </c>
      <c r="P9608" t="n">
        <v>0</v>
      </c>
      <c r="Q9608" t="n">
        <v>0</v>
      </c>
      <c r="R9608" s="2" t="inlineStr"/>
    </row>
    <row r="9609" ht="15" customHeight="1">
      <c r="A9609" t="inlineStr">
        <is>
          <t>A 50728-2024</t>
        </is>
      </c>
      <c r="B9609" s="1" t="n">
        <v>45602.38762731481</v>
      </c>
      <c r="C9609" s="1" t="n">
        <v>46075</v>
      </c>
      <c r="D9609" t="inlineStr">
        <is>
          <t>VÄSTERBOTTENS LÄN</t>
        </is>
      </c>
      <c r="E9609" t="inlineStr">
        <is>
          <t>BJURHOLM</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11320-2024</t>
        </is>
      </c>
      <c r="B9610" s="1" t="n">
        <v>45371</v>
      </c>
      <c r="C9610" s="1" t="n">
        <v>46075</v>
      </c>
      <c r="D9610" t="inlineStr">
        <is>
          <t>VÄSTERBOTTENS LÄN</t>
        </is>
      </c>
      <c r="E9610" t="inlineStr">
        <is>
          <t>SORSELE</t>
        </is>
      </c>
      <c r="G9610" t="n">
        <v>18.2</v>
      </c>
      <c r="H9610" t="n">
        <v>0</v>
      </c>
      <c r="I9610" t="n">
        <v>0</v>
      </c>
      <c r="J9610" t="n">
        <v>0</v>
      </c>
      <c r="K9610" t="n">
        <v>0</v>
      </c>
      <c r="L9610" t="n">
        <v>0</v>
      </c>
      <c r="M9610" t="n">
        <v>0</v>
      </c>
      <c r="N9610" t="n">
        <v>0</v>
      </c>
      <c r="O9610" t="n">
        <v>0</v>
      </c>
      <c r="P9610" t="n">
        <v>0</v>
      </c>
      <c r="Q9610" t="n">
        <v>0</v>
      </c>
      <c r="R9610" s="2" t="inlineStr"/>
    </row>
    <row r="9611" ht="15" customHeight="1">
      <c r="A9611" t="inlineStr">
        <is>
          <t>A 7996-2023</t>
        </is>
      </c>
      <c r="B9611" s="1" t="n">
        <v>44973.80899305556</v>
      </c>
      <c r="C9611" s="1" t="n">
        <v>46075</v>
      </c>
      <c r="D9611" t="inlineStr">
        <is>
          <t>VÄSTERBOTTENS LÄN</t>
        </is>
      </c>
      <c r="E9611" t="inlineStr">
        <is>
          <t>VINDELN</t>
        </is>
      </c>
      <c r="F9611" t="inlineStr">
        <is>
          <t>Holmen skog AB</t>
        </is>
      </c>
      <c r="G9611" t="n">
        <v>2.7</v>
      </c>
      <c r="H9611" t="n">
        <v>0</v>
      </c>
      <c r="I9611" t="n">
        <v>0</v>
      </c>
      <c r="J9611" t="n">
        <v>0</v>
      </c>
      <c r="K9611" t="n">
        <v>0</v>
      </c>
      <c r="L9611" t="n">
        <v>0</v>
      </c>
      <c r="M9611" t="n">
        <v>0</v>
      </c>
      <c r="N9611" t="n">
        <v>0</v>
      </c>
      <c r="O9611" t="n">
        <v>0</v>
      </c>
      <c r="P9611" t="n">
        <v>0</v>
      </c>
      <c r="Q9611" t="n">
        <v>0</v>
      </c>
      <c r="R9611" s="2" t="inlineStr"/>
    </row>
    <row r="9612" ht="15" customHeight="1">
      <c r="A9612" t="inlineStr">
        <is>
          <t>A 14431-2024</t>
        </is>
      </c>
      <c r="B9612" s="1" t="n">
        <v>45394</v>
      </c>
      <c r="C9612" s="1" t="n">
        <v>46075</v>
      </c>
      <c r="D9612" t="inlineStr">
        <is>
          <t>VÄSTERBOTTENS LÄN</t>
        </is>
      </c>
      <c r="E9612" t="inlineStr">
        <is>
          <t>NORDMALING</t>
        </is>
      </c>
      <c r="G9612" t="n">
        <v>1.8</v>
      </c>
      <c r="H9612" t="n">
        <v>0</v>
      </c>
      <c r="I9612" t="n">
        <v>0</v>
      </c>
      <c r="J9612" t="n">
        <v>0</v>
      </c>
      <c r="K9612" t="n">
        <v>0</v>
      </c>
      <c r="L9612" t="n">
        <v>0</v>
      </c>
      <c r="M9612" t="n">
        <v>0</v>
      </c>
      <c r="N9612" t="n">
        <v>0</v>
      </c>
      <c r="O9612" t="n">
        <v>0</v>
      </c>
      <c r="P9612" t="n">
        <v>0</v>
      </c>
      <c r="Q9612" t="n">
        <v>0</v>
      </c>
      <c r="R9612" s="2" t="inlineStr"/>
    </row>
    <row r="9613" ht="15" customHeight="1">
      <c r="A9613" t="inlineStr">
        <is>
          <t>A 7371-2026</t>
        </is>
      </c>
      <c r="B9613" s="1" t="n">
        <v>46059.34295138889</v>
      </c>
      <c r="C9613" s="1" t="n">
        <v>46075</v>
      </c>
      <c r="D9613" t="inlineStr">
        <is>
          <t>VÄSTERBOTTENS LÄN</t>
        </is>
      </c>
      <c r="E9613" t="inlineStr">
        <is>
          <t>UMEÅ</t>
        </is>
      </c>
      <c r="G9613" t="n">
        <v>3</v>
      </c>
      <c r="H9613" t="n">
        <v>0</v>
      </c>
      <c r="I9613" t="n">
        <v>0</v>
      </c>
      <c r="J9613" t="n">
        <v>0</v>
      </c>
      <c r="K9613" t="n">
        <v>0</v>
      </c>
      <c r="L9613" t="n">
        <v>0</v>
      </c>
      <c r="M9613" t="n">
        <v>0</v>
      </c>
      <c r="N9613" t="n">
        <v>0</v>
      </c>
      <c r="O9613" t="n">
        <v>0</v>
      </c>
      <c r="P9613" t="n">
        <v>0</v>
      </c>
      <c r="Q9613" t="n">
        <v>0</v>
      </c>
      <c r="R9613" s="2" t="inlineStr"/>
    </row>
    <row r="9614" ht="15" customHeight="1">
      <c r="A9614" t="inlineStr">
        <is>
          <t>A 3411-2023</t>
        </is>
      </c>
      <c r="B9614" s="1" t="n">
        <v>44949.55421296296</v>
      </c>
      <c r="C9614" s="1" t="n">
        <v>46075</v>
      </c>
      <c r="D9614" t="inlineStr">
        <is>
          <t>VÄSTERBOTTENS LÄN</t>
        </is>
      </c>
      <c r="E9614" t="inlineStr">
        <is>
          <t>UMEÅ</t>
        </is>
      </c>
      <c r="G9614" t="n">
        <v>2</v>
      </c>
      <c r="H9614" t="n">
        <v>0</v>
      </c>
      <c r="I9614" t="n">
        <v>0</v>
      </c>
      <c r="J9614" t="n">
        <v>0</v>
      </c>
      <c r="K9614" t="n">
        <v>0</v>
      </c>
      <c r="L9614" t="n">
        <v>0</v>
      </c>
      <c r="M9614" t="n">
        <v>0</v>
      </c>
      <c r="N9614" t="n">
        <v>0</v>
      </c>
      <c r="O9614" t="n">
        <v>0</v>
      </c>
      <c r="P9614" t="n">
        <v>0</v>
      </c>
      <c r="Q9614" t="n">
        <v>0</v>
      </c>
      <c r="R9614" s="2" t="inlineStr"/>
    </row>
    <row r="9615" ht="15" customHeight="1">
      <c r="A9615" t="inlineStr">
        <is>
          <t>A 44930-2025</t>
        </is>
      </c>
      <c r="B9615" s="1" t="n">
        <v>45918</v>
      </c>
      <c r="C9615" s="1" t="n">
        <v>46075</v>
      </c>
      <c r="D9615" t="inlineStr">
        <is>
          <t>VÄSTERBOTTENS LÄN</t>
        </is>
      </c>
      <c r="E9615" t="inlineStr">
        <is>
          <t>STORUMAN</t>
        </is>
      </c>
      <c r="F9615" t="inlineStr">
        <is>
          <t>Övriga statliga verk och myndigheter</t>
        </is>
      </c>
      <c r="G9615" t="n">
        <v>3</v>
      </c>
      <c r="H9615" t="n">
        <v>0</v>
      </c>
      <c r="I9615" t="n">
        <v>0</v>
      </c>
      <c r="J9615" t="n">
        <v>0</v>
      </c>
      <c r="K9615" t="n">
        <v>0</v>
      </c>
      <c r="L9615" t="n">
        <v>0</v>
      </c>
      <c r="M9615" t="n">
        <v>0</v>
      </c>
      <c r="N9615" t="n">
        <v>0</v>
      </c>
      <c r="O9615" t="n">
        <v>0</v>
      </c>
      <c r="P9615" t="n">
        <v>0</v>
      </c>
      <c r="Q9615" t="n">
        <v>0</v>
      </c>
      <c r="R9615" s="2" t="inlineStr"/>
    </row>
    <row r="9616" ht="15" customHeight="1">
      <c r="A9616" t="inlineStr">
        <is>
          <t>A 7159-2026</t>
        </is>
      </c>
      <c r="B9616" s="1" t="n">
        <v>46058.44041666666</v>
      </c>
      <c r="C9616" s="1" t="n">
        <v>46075</v>
      </c>
      <c r="D9616" t="inlineStr">
        <is>
          <t>VÄSTERBOTTENS LÄN</t>
        </is>
      </c>
      <c r="E9616" t="inlineStr">
        <is>
          <t>NORDMALING</t>
        </is>
      </c>
      <c r="G9616" t="n">
        <v>19.1</v>
      </c>
      <c r="H9616" t="n">
        <v>0</v>
      </c>
      <c r="I9616" t="n">
        <v>0</v>
      </c>
      <c r="J9616" t="n">
        <v>0</v>
      </c>
      <c r="K9616" t="n">
        <v>0</v>
      </c>
      <c r="L9616" t="n">
        <v>0</v>
      </c>
      <c r="M9616" t="n">
        <v>0</v>
      </c>
      <c r="N9616" t="n">
        <v>0</v>
      </c>
      <c r="O9616" t="n">
        <v>0</v>
      </c>
      <c r="P9616" t="n">
        <v>0</v>
      </c>
      <c r="Q9616" t="n">
        <v>0</v>
      </c>
      <c r="R9616" s="2" t="inlineStr"/>
    </row>
    <row r="9617" ht="15" customHeight="1">
      <c r="A9617" t="inlineStr">
        <is>
          <t>A 61792-2022</t>
        </is>
      </c>
      <c r="B9617" s="1" t="n">
        <v>44917.53623842593</v>
      </c>
      <c r="C9617" s="1" t="n">
        <v>46075</v>
      </c>
      <c r="D9617" t="inlineStr">
        <is>
          <t>VÄSTERBOTTENS LÄN</t>
        </is>
      </c>
      <c r="E9617" t="inlineStr">
        <is>
          <t>SORSELE</t>
        </is>
      </c>
      <c r="F9617" t="inlineStr">
        <is>
          <t>Sveaskog</t>
        </is>
      </c>
      <c r="G9617" t="n">
        <v>22</v>
      </c>
      <c r="H9617" t="n">
        <v>0</v>
      </c>
      <c r="I9617" t="n">
        <v>0</v>
      </c>
      <c r="J9617" t="n">
        <v>0</v>
      </c>
      <c r="K9617" t="n">
        <v>0</v>
      </c>
      <c r="L9617" t="n">
        <v>0</v>
      </c>
      <c r="M9617" t="n">
        <v>0</v>
      </c>
      <c r="N9617" t="n">
        <v>0</v>
      </c>
      <c r="O9617" t="n">
        <v>0</v>
      </c>
      <c r="P9617" t="n">
        <v>0</v>
      </c>
      <c r="Q9617" t="n">
        <v>0</v>
      </c>
      <c r="R9617" s="2" t="inlineStr"/>
    </row>
    <row r="9618" ht="15" customHeight="1">
      <c r="A9618" t="inlineStr">
        <is>
          <t>A 7482-2026</t>
        </is>
      </c>
      <c r="B9618" s="1" t="n">
        <v>46059.51925925926</v>
      </c>
      <c r="C9618" s="1" t="n">
        <v>46075</v>
      </c>
      <c r="D9618" t="inlineStr">
        <is>
          <t>VÄSTERBOTTENS LÄN</t>
        </is>
      </c>
      <c r="E9618" t="inlineStr">
        <is>
          <t>ROBERTSFORS</t>
        </is>
      </c>
      <c r="G9618" t="n">
        <v>3.3</v>
      </c>
      <c r="H9618" t="n">
        <v>0</v>
      </c>
      <c r="I9618" t="n">
        <v>0</v>
      </c>
      <c r="J9618" t="n">
        <v>0</v>
      </c>
      <c r="K9618" t="n">
        <v>0</v>
      </c>
      <c r="L9618" t="n">
        <v>0</v>
      </c>
      <c r="M9618" t="n">
        <v>0</v>
      </c>
      <c r="N9618" t="n">
        <v>0</v>
      </c>
      <c r="O9618" t="n">
        <v>0</v>
      </c>
      <c r="P9618" t="n">
        <v>0</v>
      </c>
      <c r="Q9618" t="n">
        <v>0</v>
      </c>
      <c r="R9618" s="2" t="inlineStr"/>
    </row>
    <row r="9619" ht="15" customHeight="1">
      <c r="A9619" t="inlineStr">
        <is>
          <t>A 7485-2026</t>
        </is>
      </c>
      <c r="B9619" s="1" t="n">
        <v>46059.5268287037</v>
      </c>
      <c r="C9619" s="1" t="n">
        <v>46075</v>
      </c>
      <c r="D9619" t="inlineStr">
        <is>
          <t>VÄSTERBOTTENS LÄN</t>
        </is>
      </c>
      <c r="E9619" t="inlineStr">
        <is>
          <t>SKELLEFTEÅ</t>
        </is>
      </c>
      <c r="G9619" t="n">
        <v>2.6</v>
      </c>
      <c r="H9619" t="n">
        <v>0</v>
      </c>
      <c r="I9619" t="n">
        <v>0</v>
      </c>
      <c r="J9619" t="n">
        <v>0</v>
      </c>
      <c r="K9619" t="n">
        <v>0</v>
      </c>
      <c r="L9619" t="n">
        <v>0</v>
      </c>
      <c r="M9619" t="n">
        <v>0</v>
      </c>
      <c r="N9619" t="n">
        <v>0</v>
      </c>
      <c r="O9619" t="n">
        <v>0</v>
      </c>
      <c r="P9619" t="n">
        <v>0</v>
      </c>
      <c r="Q9619" t="n">
        <v>0</v>
      </c>
      <c r="R9619" s="2" t="inlineStr"/>
    </row>
    <row r="9620" ht="15" customHeight="1">
      <c r="A9620" t="inlineStr">
        <is>
          <t>A 7363-2026</t>
        </is>
      </c>
      <c r="B9620" s="1" t="n">
        <v>46059.3128125</v>
      </c>
      <c r="C9620" s="1" t="n">
        <v>46075</v>
      </c>
      <c r="D9620" t="inlineStr">
        <is>
          <t>VÄSTERBOTTENS LÄN</t>
        </is>
      </c>
      <c r="E9620" t="inlineStr">
        <is>
          <t>SKELLEFTEÅ</t>
        </is>
      </c>
      <c r="G9620" t="n">
        <v>1.8</v>
      </c>
      <c r="H9620" t="n">
        <v>0</v>
      </c>
      <c r="I9620" t="n">
        <v>0</v>
      </c>
      <c r="J9620" t="n">
        <v>0</v>
      </c>
      <c r="K9620" t="n">
        <v>0</v>
      </c>
      <c r="L9620" t="n">
        <v>0</v>
      </c>
      <c r="M9620" t="n">
        <v>0</v>
      </c>
      <c r="N9620" t="n">
        <v>0</v>
      </c>
      <c r="O9620" t="n">
        <v>0</v>
      </c>
      <c r="P9620" t="n">
        <v>0</v>
      </c>
      <c r="Q9620" t="n">
        <v>0</v>
      </c>
      <c r="R9620" s="2" t="inlineStr"/>
    </row>
    <row r="9621" ht="15" customHeight="1">
      <c r="A9621" t="inlineStr">
        <is>
          <t>A 7398-2026</t>
        </is>
      </c>
      <c r="B9621" s="1" t="n">
        <v>46059.3803125</v>
      </c>
      <c r="C9621" s="1" t="n">
        <v>46075</v>
      </c>
      <c r="D9621" t="inlineStr">
        <is>
          <t>VÄSTERBOTTENS LÄN</t>
        </is>
      </c>
      <c r="E9621" t="inlineStr">
        <is>
          <t>VINDELN</t>
        </is>
      </c>
      <c r="F9621" t="inlineStr">
        <is>
          <t>Holmen skog AB</t>
        </is>
      </c>
      <c r="G9621" t="n">
        <v>21.9</v>
      </c>
      <c r="H9621" t="n">
        <v>0</v>
      </c>
      <c r="I9621" t="n">
        <v>0</v>
      </c>
      <c r="J9621" t="n">
        <v>0</v>
      </c>
      <c r="K9621" t="n">
        <v>0</v>
      </c>
      <c r="L9621" t="n">
        <v>0</v>
      </c>
      <c r="M9621" t="n">
        <v>0</v>
      </c>
      <c r="N9621" t="n">
        <v>0</v>
      </c>
      <c r="O9621" t="n">
        <v>0</v>
      </c>
      <c r="P9621" t="n">
        <v>0</v>
      </c>
      <c r="Q9621" t="n">
        <v>0</v>
      </c>
      <c r="R9621" s="2" t="inlineStr"/>
    </row>
    <row r="9622" ht="15" customHeight="1">
      <c r="A9622" t="inlineStr">
        <is>
          <t>A 32253-2024</t>
        </is>
      </c>
      <c r="B9622" s="1" t="n">
        <v>45511.95214120371</v>
      </c>
      <c r="C9622" s="1" t="n">
        <v>46075</v>
      </c>
      <c r="D9622" t="inlineStr">
        <is>
          <t>VÄSTERBOTTENS LÄN</t>
        </is>
      </c>
      <c r="E9622" t="inlineStr">
        <is>
          <t>VILHELMINA</t>
        </is>
      </c>
      <c r="F9622" t="inlineStr">
        <is>
          <t>SCA</t>
        </is>
      </c>
      <c r="G9622" t="n">
        <v>0.8</v>
      </c>
      <c r="H9622" t="n">
        <v>0</v>
      </c>
      <c r="I9622" t="n">
        <v>0</v>
      </c>
      <c r="J9622" t="n">
        <v>0</v>
      </c>
      <c r="K9622" t="n">
        <v>0</v>
      </c>
      <c r="L9622" t="n">
        <v>0</v>
      </c>
      <c r="M9622" t="n">
        <v>0</v>
      </c>
      <c r="N9622" t="n">
        <v>0</v>
      </c>
      <c r="O9622" t="n">
        <v>0</v>
      </c>
      <c r="P9622" t="n">
        <v>0</v>
      </c>
      <c r="Q9622" t="n">
        <v>0</v>
      </c>
      <c r="R9622" s="2" t="inlineStr"/>
    </row>
    <row r="9623" ht="15" customHeight="1">
      <c r="A9623" t="inlineStr">
        <is>
          <t>A 7426-2026</t>
        </is>
      </c>
      <c r="B9623" s="1" t="n">
        <v>46059.4309375</v>
      </c>
      <c r="C9623" s="1" t="n">
        <v>46075</v>
      </c>
      <c r="D9623" t="inlineStr">
        <is>
          <t>VÄSTERBOTTENS LÄN</t>
        </is>
      </c>
      <c r="E9623" t="inlineStr">
        <is>
          <t>VÄNNÄS</t>
        </is>
      </c>
      <c r="G9623" t="n">
        <v>4.1</v>
      </c>
      <c r="H9623" t="n">
        <v>0</v>
      </c>
      <c r="I9623" t="n">
        <v>0</v>
      </c>
      <c r="J9623" t="n">
        <v>0</v>
      </c>
      <c r="K9623" t="n">
        <v>0</v>
      </c>
      <c r="L9623" t="n">
        <v>0</v>
      </c>
      <c r="M9623" t="n">
        <v>0</v>
      </c>
      <c r="N9623" t="n">
        <v>0</v>
      </c>
      <c r="O9623" t="n">
        <v>0</v>
      </c>
      <c r="P9623" t="n">
        <v>0</v>
      </c>
      <c r="Q9623" t="n">
        <v>0</v>
      </c>
      <c r="R9623" s="2" t="inlineStr"/>
    </row>
    <row r="9624" ht="15" customHeight="1">
      <c r="A9624" t="inlineStr">
        <is>
          <t>A 40438-2023</t>
        </is>
      </c>
      <c r="B9624" s="1" t="n">
        <v>45169.94112268519</v>
      </c>
      <c r="C9624" s="1" t="n">
        <v>46075</v>
      </c>
      <c r="D9624" t="inlineStr">
        <is>
          <t>VÄSTERBOTTENS LÄN</t>
        </is>
      </c>
      <c r="E9624" t="inlineStr">
        <is>
          <t>DOROTEA</t>
        </is>
      </c>
      <c r="F9624" t="inlineStr">
        <is>
          <t>SCA</t>
        </is>
      </c>
      <c r="G9624" t="n">
        <v>2.3</v>
      </c>
      <c r="H9624" t="n">
        <v>0</v>
      </c>
      <c r="I9624" t="n">
        <v>0</v>
      </c>
      <c r="J9624" t="n">
        <v>0</v>
      </c>
      <c r="K9624" t="n">
        <v>0</v>
      </c>
      <c r="L9624" t="n">
        <v>0</v>
      </c>
      <c r="M9624" t="n">
        <v>0</v>
      </c>
      <c r="N9624" t="n">
        <v>0</v>
      </c>
      <c r="O9624" t="n">
        <v>0</v>
      </c>
      <c r="P9624" t="n">
        <v>0</v>
      </c>
      <c r="Q9624" t="n">
        <v>0</v>
      </c>
      <c r="R9624" s="2" t="inlineStr"/>
    </row>
    <row r="9625" ht="15" customHeight="1">
      <c r="A9625" t="inlineStr">
        <is>
          <t>A 60585-2022</t>
        </is>
      </c>
      <c r="B9625" s="1" t="n">
        <v>44911.58148148148</v>
      </c>
      <c r="C9625" s="1" t="n">
        <v>46075</v>
      </c>
      <c r="D9625" t="inlineStr">
        <is>
          <t>VÄSTERBOTTENS LÄN</t>
        </is>
      </c>
      <c r="E9625" t="inlineStr">
        <is>
          <t>SKELLEFTEÅ</t>
        </is>
      </c>
      <c r="F9625" t="inlineStr">
        <is>
          <t>Sveaskog</t>
        </is>
      </c>
      <c r="G9625" t="n">
        <v>6.1</v>
      </c>
      <c r="H9625" t="n">
        <v>0</v>
      </c>
      <c r="I9625" t="n">
        <v>0</v>
      </c>
      <c r="J9625" t="n">
        <v>0</v>
      </c>
      <c r="K9625" t="n">
        <v>0</v>
      </c>
      <c r="L9625" t="n">
        <v>0</v>
      </c>
      <c r="M9625" t="n">
        <v>0</v>
      </c>
      <c r="N9625" t="n">
        <v>0</v>
      </c>
      <c r="O9625" t="n">
        <v>0</v>
      </c>
      <c r="P9625" t="n">
        <v>0</v>
      </c>
      <c r="Q9625" t="n">
        <v>0</v>
      </c>
      <c r="R9625" s="2" t="inlineStr"/>
    </row>
    <row r="9626" ht="15" customHeight="1">
      <c r="A9626" t="inlineStr">
        <is>
          <t>A 7435-2026</t>
        </is>
      </c>
      <c r="B9626" s="1" t="n">
        <v>46058</v>
      </c>
      <c r="C9626" s="1" t="n">
        <v>46075</v>
      </c>
      <c r="D9626" t="inlineStr">
        <is>
          <t>VÄSTERBOTTENS LÄN</t>
        </is>
      </c>
      <c r="E9626" t="inlineStr">
        <is>
          <t>SKELLEFTEÅ</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1311-2025</t>
        </is>
      </c>
      <c r="B9627" s="1" t="n">
        <v>45667</v>
      </c>
      <c r="C9627" s="1" t="n">
        <v>46075</v>
      </c>
      <c r="D9627" t="inlineStr">
        <is>
          <t>VÄSTERBOTTENS LÄN</t>
        </is>
      </c>
      <c r="E9627" t="inlineStr">
        <is>
          <t>ROBERTSFORS</t>
        </is>
      </c>
      <c r="F9627" t="inlineStr">
        <is>
          <t>Holmen skog AB</t>
        </is>
      </c>
      <c r="G9627" t="n">
        <v>3</v>
      </c>
      <c r="H9627" t="n">
        <v>0</v>
      </c>
      <c r="I9627" t="n">
        <v>0</v>
      </c>
      <c r="J9627" t="n">
        <v>0</v>
      </c>
      <c r="K9627" t="n">
        <v>0</v>
      </c>
      <c r="L9627" t="n">
        <v>0</v>
      </c>
      <c r="M9627" t="n">
        <v>0</v>
      </c>
      <c r="N9627" t="n">
        <v>0</v>
      </c>
      <c r="O9627" t="n">
        <v>0</v>
      </c>
      <c r="P9627" t="n">
        <v>0</v>
      </c>
      <c r="Q9627" t="n">
        <v>0</v>
      </c>
      <c r="R9627" s="2" t="inlineStr"/>
    </row>
    <row r="9628" ht="15" customHeight="1">
      <c r="A9628" t="inlineStr">
        <is>
          <t>A 7123-2026</t>
        </is>
      </c>
      <c r="B9628" s="1" t="n">
        <v>46058.38614583333</v>
      </c>
      <c r="C9628" s="1" t="n">
        <v>46075</v>
      </c>
      <c r="D9628" t="inlineStr">
        <is>
          <t>VÄSTERBOTTENS LÄN</t>
        </is>
      </c>
      <c r="E9628" t="inlineStr">
        <is>
          <t>NORDMALING</t>
        </is>
      </c>
      <c r="G9628" t="n">
        <v>1.6</v>
      </c>
      <c r="H9628" t="n">
        <v>0</v>
      </c>
      <c r="I9628" t="n">
        <v>0</v>
      </c>
      <c r="J9628" t="n">
        <v>0</v>
      </c>
      <c r="K9628" t="n">
        <v>0</v>
      </c>
      <c r="L9628" t="n">
        <v>0</v>
      </c>
      <c r="M9628" t="n">
        <v>0</v>
      </c>
      <c r="N9628" t="n">
        <v>0</v>
      </c>
      <c r="O9628" t="n">
        <v>0</v>
      </c>
      <c r="P9628" t="n">
        <v>0</v>
      </c>
      <c r="Q9628" t="n">
        <v>0</v>
      </c>
      <c r="R9628" s="2" t="inlineStr"/>
    </row>
    <row r="9629" ht="15" customHeight="1">
      <c r="A9629" t="inlineStr">
        <is>
          <t>A 7157-2026</t>
        </is>
      </c>
      <c r="B9629" s="1" t="n">
        <v>46058.43872685185</v>
      </c>
      <c r="C9629" s="1" t="n">
        <v>46075</v>
      </c>
      <c r="D9629" t="inlineStr">
        <is>
          <t>VÄSTERBOTTENS LÄN</t>
        </is>
      </c>
      <c r="E9629" t="inlineStr">
        <is>
          <t>LYCKSELE</t>
        </is>
      </c>
      <c r="G9629" t="n">
        <v>4.1</v>
      </c>
      <c r="H9629" t="n">
        <v>0</v>
      </c>
      <c r="I9629" t="n">
        <v>0</v>
      </c>
      <c r="J9629" t="n">
        <v>0</v>
      </c>
      <c r="K9629" t="n">
        <v>0</v>
      </c>
      <c r="L9629" t="n">
        <v>0</v>
      </c>
      <c r="M9629" t="n">
        <v>0</v>
      </c>
      <c r="N9629" t="n">
        <v>0</v>
      </c>
      <c r="O9629" t="n">
        <v>0</v>
      </c>
      <c r="P9629" t="n">
        <v>0</v>
      </c>
      <c r="Q9629" t="n">
        <v>0</v>
      </c>
      <c r="R9629" s="2" t="inlineStr"/>
    </row>
    <row r="9630" ht="15" customHeight="1">
      <c r="A9630" t="inlineStr">
        <is>
          <t>A 12109-2024</t>
        </is>
      </c>
      <c r="B9630" s="1" t="n">
        <v>45376</v>
      </c>
      <c r="C9630" s="1" t="n">
        <v>46075</v>
      </c>
      <c r="D9630" t="inlineStr">
        <is>
          <t>VÄSTERBOTTENS LÄN</t>
        </is>
      </c>
      <c r="E9630" t="inlineStr">
        <is>
          <t>SORSELE</t>
        </is>
      </c>
      <c r="G9630" t="n">
        <v>75</v>
      </c>
      <c r="H9630" t="n">
        <v>0</v>
      </c>
      <c r="I9630" t="n">
        <v>0</v>
      </c>
      <c r="J9630" t="n">
        <v>0</v>
      </c>
      <c r="K9630" t="n">
        <v>0</v>
      </c>
      <c r="L9630" t="n">
        <v>0</v>
      </c>
      <c r="M9630" t="n">
        <v>0</v>
      </c>
      <c r="N9630" t="n">
        <v>0</v>
      </c>
      <c r="O9630" t="n">
        <v>0</v>
      </c>
      <c r="P9630" t="n">
        <v>0</v>
      </c>
      <c r="Q9630" t="n">
        <v>0</v>
      </c>
      <c r="R9630" s="2" t="inlineStr"/>
    </row>
    <row r="9631" ht="15" customHeight="1">
      <c r="A9631" t="inlineStr">
        <is>
          <t>A 5955-2024</t>
        </is>
      </c>
      <c r="B9631" s="1" t="n">
        <v>45336.44858796296</v>
      </c>
      <c r="C9631" s="1" t="n">
        <v>46075</v>
      </c>
      <c r="D9631" t="inlineStr">
        <is>
          <t>VÄSTERBOTTENS LÄN</t>
        </is>
      </c>
      <c r="E9631" t="inlineStr">
        <is>
          <t>ÅSELE</t>
        </is>
      </c>
      <c r="F9631" t="inlineStr">
        <is>
          <t>Naturvårdsverket</t>
        </is>
      </c>
      <c r="G9631" t="n">
        <v>22.6</v>
      </c>
      <c r="H9631" t="n">
        <v>0</v>
      </c>
      <c r="I9631" t="n">
        <v>0</v>
      </c>
      <c r="J9631" t="n">
        <v>0</v>
      </c>
      <c r="K9631" t="n">
        <v>0</v>
      </c>
      <c r="L9631" t="n">
        <v>0</v>
      </c>
      <c r="M9631" t="n">
        <v>0</v>
      </c>
      <c r="N9631" t="n">
        <v>0</v>
      </c>
      <c r="O9631" t="n">
        <v>0</v>
      </c>
      <c r="P9631" t="n">
        <v>0</v>
      </c>
      <c r="Q9631" t="n">
        <v>0</v>
      </c>
      <c r="R9631" s="2" t="inlineStr"/>
    </row>
    <row r="9632" ht="15" customHeight="1">
      <c r="A9632" t="inlineStr">
        <is>
          <t>A 7258-2026</t>
        </is>
      </c>
      <c r="B9632" s="1" t="n">
        <v>46058.59902777777</v>
      </c>
      <c r="C9632" s="1" t="n">
        <v>46075</v>
      </c>
      <c r="D9632" t="inlineStr">
        <is>
          <t>VÄSTERBOTTENS LÄN</t>
        </is>
      </c>
      <c r="E9632" t="inlineStr">
        <is>
          <t>SKELLEFTEÅ</t>
        </is>
      </c>
      <c r="G9632" t="n">
        <v>12.9</v>
      </c>
      <c r="H9632" t="n">
        <v>0</v>
      </c>
      <c r="I9632" t="n">
        <v>0</v>
      </c>
      <c r="J9632" t="n">
        <v>0</v>
      </c>
      <c r="K9632" t="n">
        <v>0</v>
      </c>
      <c r="L9632" t="n">
        <v>0</v>
      </c>
      <c r="M9632" t="n">
        <v>0</v>
      </c>
      <c r="N9632" t="n">
        <v>0</v>
      </c>
      <c r="O9632" t="n">
        <v>0</v>
      </c>
      <c r="P9632" t="n">
        <v>0</v>
      </c>
      <c r="Q9632" t="n">
        <v>0</v>
      </c>
      <c r="R9632" s="2" t="inlineStr"/>
    </row>
    <row r="9633" ht="15" customHeight="1">
      <c r="A9633" t="inlineStr">
        <is>
          <t>A 56083-2024</t>
        </is>
      </c>
      <c r="B9633" s="1" t="n">
        <v>45623</v>
      </c>
      <c r="C9633" s="1" t="n">
        <v>46075</v>
      </c>
      <c r="D9633" t="inlineStr">
        <is>
          <t>VÄSTERBOTTENS LÄN</t>
        </is>
      </c>
      <c r="E9633" t="inlineStr">
        <is>
          <t>UMEÅ</t>
        </is>
      </c>
      <c r="G9633" t="n">
        <v>1.9</v>
      </c>
      <c r="H9633" t="n">
        <v>0</v>
      </c>
      <c r="I9633" t="n">
        <v>0</v>
      </c>
      <c r="J9633" t="n">
        <v>0</v>
      </c>
      <c r="K9633" t="n">
        <v>0</v>
      </c>
      <c r="L9633" t="n">
        <v>0</v>
      </c>
      <c r="M9633" t="n">
        <v>0</v>
      </c>
      <c r="N9633" t="n">
        <v>0</v>
      </c>
      <c r="O9633" t="n">
        <v>0</v>
      </c>
      <c r="P9633" t="n">
        <v>0</v>
      </c>
      <c r="Q9633" t="n">
        <v>0</v>
      </c>
      <c r="R9633" s="2" t="inlineStr"/>
    </row>
    <row r="9634" ht="15" customHeight="1">
      <c r="A9634" t="inlineStr">
        <is>
          <t>A 7389-2026</t>
        </is>
      </c>
      <c r="B9634" s="1" t="n">
        <v>46059.36795138889</v>
      </c>
      <c r="C9634" s="1" t="n">
        <v>46075</v>
      </c>
      <c r="D9634" t="inlineStr">
        <is>
          <t>VÄSTERBOTTENS LÄN</t>
        </is>
      </c>
      <c r="E9634" t="inlineStr">
        <is>
          <t>UMEÅ</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7407-2026</t>
        </is>
      </c>
      <c r="B9635" s="1" t="n">
        <v>46059.40054398148</v>
      </c>
      <c r="C9635" s="1" t="n">
        <v>46075</v>
      </c>
      <c r="D9635" t="inlineStr">
        <is>
          <t>VÄSTERBOTTENS LÄN</t>
        </is>
      </c>
      <c r="E9635" t="inlineStr">
        <is>
          <t>VINDELN</t>
        </is>
      </c>
      <c r="F9635" t="inlineStr">
        <is>
          <t>Holmen skog AB</t>
        </is>
      </c>
      <c r="G9635" t="n">
        <v>2.5</v>
      </c>
      <c r="H9635" t="n">
        <v>0</v>
      </c>
      <c r="I9635" t="n">
        <v>0</v>
      </c>
      <c r="J9635" t="n">
        <v>0</v>
      </c>
      <c r="K9635" t="n">
        <v>0</v>
      </c>
      <c r="L9635" t="n">
        <v>0</v>
      </c>
      <c r="M9635" t="n">
        <v>0</v>
      </c>
      <c r="N9635" t="n">
        <v>0</v>
      </c>
      <c r="O9635" t="n">
        <v>0</v>
      </c>
      <c r="P9635" t="n">
        <v>0</v>
      </c>
      <c r="Q9635" t="n">
        <v>0</v>
      </c>
      <c r="R9635" s="2" t="inlineStr"/>
    </row>
    <row r="9636" ht="15" customHeight="1">
      <c r="A9636" t="inlineStr">
        <is>
          <t>A 52832-2024</t>
        </is>
      </c>
      <c r="B9636" s="1" t="n">
        <v>45610.59431712963</v>
      </c>
      <c r="C9636" s="1" t="n">
        <v>46075</v>
      </c>
      <c r="D9636" t="inlineStr">
        <is>
          <t>VÄSTERBOTTENS LÄN</t>
        </is>
      </c>
      <c r="E9636" t="inlineStr">
        <is>
          <t>ROBERTSFORS</t>
        </is>
      </c>
      <c r="F9636" t="inlineStr">
        <is>
          <t>SCA</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20534-2025</t>
        </is>
      </c>
      <c r="B9637" s="1" t="n">
        <v>45775.61550925926</v>
      </c>
      <c r="C9637" s="1" t="n">
        <v>46075</v>
      </c>
      <c r="D9637" t="inlineStr">
        <is>
          <t>VÄSTERBOTTENS LÄN</t>
        </is>
      </c>
      <c r="E9637" t="inlineStr">
        <is>
          <t>VILHELMINA</t>
        </is>
      </c>
      <c r="F9637" t="inlineStr">
        <is>
          <t>SCA</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56500-2024</t>
        </is>
      </c>
      <c r="B9638" s="1" t="n">
        <v>45625.49765046296</v>
      </c>
      <c r="C9638" s="1" t="n">
        <v>46075</v>
      </c>
      <c r="D9638" t="inlineStr">
        <is>
          <t>VÄSTERBOTTENS LÄN</t>
        </is>
      </c>
      <c r="E9638" t="inlineStr">
        <is>
          <t>SKELLEFTEÅ</t>
        </is>
      </c>
      <c r="F9638" t="inlineStr">
        <is>
          <t>Holmen skog AB</t>
        </is>
      </c>
      <c r="G9638" t="n">
        <v>1.9</v>
      </c>
      <c r="H9638" t="n">
        <v>0</v>
      </c>
      <c r="I9638" t="n">
        <v>0</v>
      </c>
      <c r="J9638" t="n">
        <v>0</v>
      </c>
      <c r="K9638" t="n">
        <v>0</v>
      </c>
      <c r="L9638" t="n">
        <v>0</v>
      </c>
      <c r="M9638" t="n">
        <v>0</v>
      </c>
      <c r="N9638" t="n">
        <v>0</v>
      </c>
      <c r="O9638" t="n">
        <v>0</v>
      </c>
      <c r="P9638" t="n">
        <v>0</v>
      </c>
      <c r="Q9638" t="n">
        <v>0</v>
      </c>
      <c r="R9638" s="2" t="inlineStr"/>
    </row>
    <row r="9639" ht="15" customHeight="1">
      <c r="A9639" t="inlineStr">
        <is>
          <t>A 56501-2024</t>
        </is>
      </c>
      <c r="B9639" s="1" t="n">
        <v>45625.49784722222</v>
      </c>
      <c r="C9639" s="1" t="n">
        <v>46075</v>
      </c>
      <c r="D9639" t="inlineStr">
        <is>
          <t>VÄSTERBOTTENS LÄN</t>
        </is>
      </c>
      <c r="E9639" t="inlineStr">
        <is>
          <t>SKELLEFTEÅ</t>
        </is>
      </c>
      <c r="G9639" t="n">
        <v>6</v>
      </c>
      <c r="H9639" t="n">
        <v>0</v>
      </c>
      <c r="I9639" t="n">
        <v>0</v>
      </c>
      <c r="J9639" t="n">
        <v>0</v>
      </c>
      <c r="K9639" t="n">
        <v>0</v>
      </c>
      <c r="L9639" t="n">
        <v>0</v>
      </c>
      <c r="M9639" t="n">
        <v>0</v>
      </c>
      <c r="N9639" t="n">
        <v>0</v>
      </c>
      <c r="O9639" t="n">
        <v>0</v>
      </c>
      <c r="P9639" t="n">
        <v>0</v>
      </c>
      <c r="Q9639" t="n">
        <v>0</v>
      </c>
      <c r="R9639" s="2" t="inlineStr"/>
    </row>
    <row r="9640" ht="15" customHeight="1">
      <c r="A9640" t="inlineStr">
        <is>
          <t>A 6610-2026</t>
        </is>
      </c>
      <c r="B9640" s="1" t="n">
        <v>46056.48768518519</v>
      </c>
      <c r="C9640" s="1" t="n">
        <v>46075</v>
      </c>
      <c r="D9640" t="inlineStr">
        <is>
          <t>VÄSTERBOTTENS LÄN</t>
        </is>
      </c>
      <c r="E9640" t="inlineStr">
        <is>
          <t>BJURHOLM</t>
        </is>
      </c>
      <c r="G9640" t="n">
        <v>1</v>
      </c>
      <c r="H9640" t="n">
        <v>0</v>
      </c>
      <c r="I9640" t="n">
        <v>0</v>
      </c>
      <c r="J9640" t="n">
        <v>0</v>
      </c>
      <c r="K9640" t="n">
        <v>0</v>
      </c>
      <c r="L9640" t="n">
        <v>0</v>
      </c>
      <c r="M9640" t="n">
        <v>0</v>
      </c>
      <c r="N9640" t="n">
        <v>0</v>
      </c>
      <c r="O9640" t="n">
        <v>0</v>
      </c>
      <c r="P9640" t="n">
        <v>0</v>
      </c>
      <c r="Q9640" t="n">
        <v>0</v>
      </c>
      <c r="R9640" s="2" t="inlineStr"/>
    </row>
    <row r="9641" ht="15" customHeight="1">
      <c r="A9641" t="inlineStr">
        <is>
          <t>A 41218-2023</t>
        </is>
      </c>
      <c r="B9641" s="1" t="n">
        <v>45174.45435185185</v>
      </c>
      <c r="C9641" s="1" t="n">
        <v>46075</v>
      </c>
      <c r="D9641" t="inlineStr">
        <is>
          <t>VÄSTERBOTTENS LÄN</t>
        </is>
      </c>
      <c r="E9641" t="inlineStr">
        <is>
          <t>UMEÅ</t>
        </is>
      </c>
      <c r="F9641" t="inlineStr">
        <is>
          <t>Holmen skog AB</t>
        </is>
      </c>
      <c r="G9641" t="n">
        <v>3.1</v>
      </c>
      <c r="H9641" t="n">
        <v>0</v>
      </c>
      <c r="I9641" t="n">
        <v>0</v>
      </c>
      <c r="J9641" t="n">
        <v>0</v>
      </c>
      <c r="K9641" t="n">
        <v>0</v>
      </c>
      <c r="L9641" t="n">
        <v>0</v>
      </c>
      <c r="M9641" t="n">
        <v>0</v>
      </c>
      <c r="N9641" t="n">
        <v>0</v>
      </c>
      <c r="O9641" t="n">
        <v>0</v>
      </c>
      <c r="P9641" t="n">
        <v>0</v>
      </c>
      <c r="Q9641" t="n">
        <v>0</v>
      </c>
      <c r="R9641" s="2" t="inlineStr"/>
    </row>
    <row r="9642" ht="15" customHeight="1">
      <c r="A9642" t="inlineStr">
        <is>
          <t>A 56562-2024</t>
        </is>
      </c>
      <c r="B9642" s="1" t="n">
        <v>45625.58225694444</v>
      </c>
      <c r="C9642" s="1" t="n">
        <v>46075</v>
      </c>
      <c r="D9642" t="inlineStr">
        <is>
          <t>VÄSTERBOTTENS LÄN</t>
        </is>
      </c>
      <c r="E9642" t="inlineStr">
        <is>
          <t>VINDELN</t>
        </is>
      </c>
      <c r="G9642" t="n">
        <v>0.4</v>
      </c>
      <c r="H9642" t="n">
        <v>0</v>
      </c>
      <c r="I9642" t="n">
        <v>0</v>
      </c>
      <c r="J9642" t="n">
        <v>0</v>
      </c>
      <c r="K9642" t="n">
        <v>0</v>
      </c>
      <c r="L9642" t="n">
        <v>0</v>
      </c>
      <c r="M9642" t="n">
        <v>0</v>
      </c>
      <c r="N9642" t="n">
        <v>0</v>
      </c>
      <c r="O9642" t="n">
        <v>0</v>
      </c>
      <c r="P9642" t="n">
        <v>0</v>
      </c>
      <c r="Q9642" t="n">
        <v>0</v>
      </c>
      <c r="R9642" s="2" t="inlineStr"/>
    </row>
    <row r="9643" ht="15" customHeight="1">
      <c r="A9643" t="inlineStr">
        <is>
          <t>A 21812-2024</t>
        </is>
      </c>
      <c r="B9643" s="1" t="n">
        <v>45442.67990740741</v>
      </c>
      <c r="C9643" s="1" t="n">
        <v>46075</v>
      </c>
      <c r="D9643" t="inlineStr">
        <is>
          <t>VÄSTERBOTTENS LÄN</t>
        </is>
      </c>
      <c r="E9643" t="inlineStr">
        <is>
          <t>SKELLEFTEÅ</t>
        </is>
      </c>
      <c r="F9643" t="inlineStr">
        <is>
          <t>Holmen skog AB</t>
        </is>
      </c>
      <c r="G9643" t="n">
        <v>10.1</v>
      </c>
      <c r="H9643" t="n">
        <v>0</v>
      </c>
      <c r="I9643" t="n">
        <v>0</v>
      </c>
      <c r="J9643" t="n">
        <v>0</v>
      </c>
      <c r="K9643" t="n">
        <v>0</v>
      </c>
      <c r="L9643" t="n">
        <v>0</v>
      </c>
      <c r="M9643" t="n">
        <v>0</v>
      </c>
      <c r="N9643" t="n">
        <v>0</v>
      </c>
      <c r="O9643" t="n">
        <v>0</v>
      </c>
      <c r="P9643" t="n">
        <v>0</v>
      </c>
      <c r="Q9643" t="n">
        <v>0</v>
      </c>
      <c r="R9643" s="2" t="inlineStr"/>
    </row>
    <row r="9644" ht="15" customHeight="1">
      <c r="A9644" t="inlineStr">
        <is>
          <t>A 11322-2024</t>
        </is>
      </c>
      <c r="B9644" s="1" t="n">
        <v>45371</v>
      </c>
      <c r="C9644" s="1" t="n">
        <v>46075</v>
      </c>
      <c r="D9644" t="inlineStr">
        <is>
          <t>VÄSTERBOTTENS LÄN</t>
        </is>
      </c>
      <c r="E9644" t="inlineStr">
        <is>
          <t>SORSELE</t>
        </is>
      </c>
      <c r="G9644" t="n">
        <v>18.7</v>
      </c>
      <c r="H9644" t="n">
        <v>0</v>
      </c>
      <c r="I9644" t="n">
        <v>0</v>
      </c>
      <c r="J9644" t="n">
        <v>0</v>
      </c>
      <c r="K9644" t="n">
        <v>0</v>
      </c>
      <c r="L9644" t="n">
        <v>0</v>
      </c>
      <c r="M9644" t="n">
        <v>0</v>
      </c>
      <c r="N9644" t="n">
        <v>0</v>
      </c>
      <c r="O9644" t="n">
        <v>0</v>
      </c>
      <c r="P9644" t="n">
        <v>0</v>
      </c>
      <c r="Q9644" t="n">
        <v>0</v>
      </c>
      <c r="R9644" s="2" t="inlineStr"/>
    </row>
    <row r="9645" ht="15" customHeight="1">
      <c r="A9645" t="inlineStr">
        <is>
          <t>A 7240-2026</t>
        </is>
      </c>
      <c r="B9645" s="1" t="n">
        <v>46058.58349537037</v>
      </c>
      <c r="C9645" s="1" t="n">
        <v>46075</v>
      </c>
      <c r="D9645" t="inlineStr">
        <is>
          <t>VÄSTERBOTTENS LÄN</t>
        </is>
      </c>
      <c r="E9645" t="inlineStr">
        <is>
          <t>SKELLEFTEÅ</t>
        </is>
      </c>
      <c r="G9645" t="n">
        <v>4.3</v>
      </c>
      <c r="H9645" t="n">
        <v>0</v>
      </c>
      <c r="I9645" t="n">
        <v>0</v>
      </c>
      <c r="J9645" t="n">
        <v>0</v>
      </c>
      <c r="K9645" t="n">
        <v>0</v>
      </c>
      <c r="L9645" t="n">
        <v>0</v>
      </c>
      <c r="M9645" t="n">
        <v>0</v>
      </c>
      <c r="N9645" t="n">
        <v>0</v>
      </c>
      <c r="O9645" t="n">
        <v>0</v>
      </c>
      <c r="P9645" t="n">
        <v>0</v>
      </c>
      <c r="Q9645" t="n">
        <v>0</v>
      </c>
      <c r="R9645" s="2" t="inlineStr"/>
    </row>
    <row r="9646" ht="15" customHeight="1">
      <c r="A9646" t="inlineStr">
        <is>
          <t>A 44042-2024</t>
        </is>
      </c>
      <c r="B9646" s="1" t="n">
        <v>45572</v>
      </c>
      <c r="C9646" s="1" t="n">
        <v>46075</v>
      </c>
      <c r="D9646" t="inlineStr">
        <is>
          <t>VÄSTERBOTTENS LÄN</t>
        </is>
      </c>
      <c r="E9646" t="inlineStr">
        <is>
          <t>UMEÅ</t>
        </is>
      </c>
      <c r="G9646" t="n">
        <v>1.4</v>
      </c>
      <c r="H9646" t="n">
        <v>0</v>
      </c>
      <c r="I9646" t="n">
        <v>0</v>
      </c>
      <c r="J9646" t="n">
        <v>0</v>
      </c>
      <c r="K9646" t="n">
        <v>0</v>
      </c>
      <c r="L9646" t="n">
        <v>0</v>
      </c>
      <c r="M9646" t="n">
        <v>0</v>
      </c>
      <c r="N9646" t="n">
        <v>0</v>
      </c>
      <c r="O9646" t="n">
        <v>0</v>
      </c>
      <c r="P9646" t="n">
        <v>0</v>
      </c>
      <c r="Q9646" t="n">
        <v>0</v>
      </c>
      <c r="R9646" s="2" t="inlineStr"/>
    </row>
    <row r="9647" ht="15" customHeight="1">
      <c r="A9647" t="inlineStr">
        <is>
          <t>A 71407-2021</t>
        </is>
      </c>
      <c r="B9647" s="1" t="n">
        <v>44540.38878472222</v>
      </c>
      <c r="C9647" s="1" t="n">
        <v>46075</v>
      </c>
      <c r="D9647" t="inlineStr">
        <is>
          <t>VÄSTERBOTTENS LÄN</t>
        </is>
      </c>
      <c r="E9647" t="inlineStr">
        <is>
          <t>LYCKSELE</t>
        </is>
      </c>
      <c r="G9647" t="n">
        <v>9.4</v>
      </c>
      <c r="H9647" t="n">
        <v>0</v>
      </c>
      <c r="I9647" t="n">
        <v>0</v>
      </c>
      <c r="J9647" t="n">
        <v>0</v>
      </c>
      <c r="K9647" t="n">
        <v>0</v>
      </c>
      <c r="L9647" t="n">
        <v>0</v>
      </c>
      <c r="M9647" t="n">
        <v>0</v>
      </c>
      <c r="N9647" t="n">
        <v>0</v>
      </c>
      <c r="O9647" t="n">
        <v>0</v>
      </c>
      <c r="P9647" t="n">
        <v>0</v>
      </c>
      <c r="Q9647" t="n">
        <v>0</v>
      </c>
      <c r="R9647" s="2" t="inlineStr"/>
    </row>
    <row r="9648" ht="15" customHeight="1">
      <c r="A9648" t="inlineStr">
        <is>
          <t>A 45850-2024</t>
        </is>
      </c>
      <c r="B9648" s="1" t="n">
        <v>45580</v>
      </c>
      <c r="C9648" s="1" t="n">
        <v>46075</v>
      </c>
      <c r="D9648" t="inlineStr">
        <is>
          <t>VÄSTERBOTTENS LÄN</t>
        </is>
      </c>
      <c r="E9648" t="inlineStr">
        <is>
          <t>SKELLEFTEÅ</t>
        </is>
      </c>
      <c r="G9648" t="n">
        <v>4.7</v>
      </c>
      <c r="H9648" t="n">
        <v>0</v>
      </c>
      <c r="I9648" t="n">
        <v>0</v>
      </c>
      <c r="J9648" t="n">
        <v>0</v>
      </c>
      <c r="K9648" t="n">
        <v>0</v>
      </c>
      <c r="L9648" t="n">
        <v>0</v>
      </c>
      <c r="M9648" t="n">
        <v>0</v>
      </c>
      <c r="N9648" t="n">
        <v>0</v>
      </c>
      <c r="O9648" t="n">
        <v>0</v>
      </c>
      <c r="P9648" t="n">
        <v>0</v>
      </c>
      <c r="Q9648" t="n">
        <v>0</v>
      </c>
      <c r="R9648" s="2" t="inlineStr"/>
    </row>
    <row r="9649" ht="15" customHeight="1">
      <c r="A9649" t="inlineStr">
        <is>
          <t>A 46482-2024</t>
        </is>
      </c>
      <c r="B9649" s="1" t="n">
        <v>45582.57383101852</v>
      </c>
      <c r="C9649" s="1" t="n">
        <v>46075</v>
      </c>
      <c r="D9649" t="inlineStr">
        <is>
          <t>VÄSTERBOTTENS LÄN</t>
        </is>
      </c>
      <c r="E9649" t="inlineStr">
        <is>
          <t>SKELLEFTEÅ</t>
        </is>
      </c>
      <c r="G9649" t="n">
        <v>2.4</v>
      </c>
      <c r="H9649" t="n">
        <v>0</v>
      </c>
      <c r="I9649" t="n">
        <v>0</v>
      </c>
      <c r="J9649" t="n">
        <v>0</v>
      </c>
      <c r="K9649" t="n">
        <v>0</v>
      </c>
      <c r="L9649" t="n">
        <v>0</v>
      </c>
      <c r="M9649" t="n">
        <v>0</v>
      </c>
      <c r="N9649" t="n">
        <v>0</v>
      </c>
      <c r="O9649" t="n">
        <v>0</v>
      </c>
      <c r="P9649" t="n">
        <v>0</v>
      </c>
      <c r="Q9649" t="n">
        <v>0</v>
      </c>
      <c r="R9649" s="2" t="inlineStr"/>
    </row>
    <row r="9650" ht="15" customHeight="1">
      <c r="A9650" t="inlineStr">
        <is>
          <t>A 4281-2025</t>
        </is>
      </c>
      <c r="B9650" s="1" t="n">
        <v>45685.64454861111</v>
      </c>
      <c r="C9650" s="1" t="n">
        <v>46075</v>
      </c>
      <c r="D9650" t="inlineStr">
        <is>
          <t>VÄSTERBOTTENS LÄN</t>
        </is>
      </c>
      <c r="E9650" t="inlineStr">
        <is>
          <t>MALÅ</t>
        </is>
      </c>
      <c r="F9650" t="inlineStr">
        <is>
          <t>Sveaskog</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7499-2026</t>
        </is>
      </c>
      <c r="B9651" s="1" t="n">
        <v>46059.55626157407</v>
      </c>
      <c r="C9651" s="1" t="n">
        <v>46075</v>
      </c>
      <c r="D9651" t="inlineStr">
        <is>
          <t>VÄSTERBOTTENS LÄN</t>
        </is>
      </c>
      <c r="E9651" t="inlineStr">
        <is>
          <t>ROBERTSFORS</t>
        </is>
      </c>
      <c r="G9651" t="n">
        <v>2.1</v>
      </c>
      <c r="H9651" t="n">
        <v>0</v>
      </c>
      <c r="I9651" t="n">
        <v>0</v>
      </c>
      <c r="J9651" t="n">
        <v>0</v>
      </c>
      <c r="K9651" t="n">
        <v>0</v>
      </c>
      <c r="L9651" t="n">
        <v>0</v>
      </c>
      <c r="M9651" t="n">
        <v>0</v>
      </c>
      <c r="N9651" t="n">
        <v>0</v>
      </c>
      <c r="O9651" t="n">
        <v>0</v>
      </c>
      <c r="P9651" t="n">
        <v>0</v>
      </c>
      <c r="Q9651" t="n">
        <v>0</v>
      </c>
      <c r="R9651" s="2" t="inlineStr"/>
    </row>
    <row r="9652" ht="15" customHeight="1">
      <c r="A9652" t="inlineStr">
        <is>
          <t>A 57270-2023</t>
        </is>
      </c>
      <c r="B9652" s="1" t="n">
        <v>45245</v>
      </c>
      <c r="C9652" s="1" t="n">
        <v>46075</v>
      </c>
      <c r="D9652" t="inlineStr">
        <is>
          <t>VÄSTERBOTTENS LÄN</t>
        </is>
      </c>
      <c r="E9652" t="inlineStr">
        <is>
          <t>ROBERTSFORS</t>
        </is>
      </c>
      <c r="F9652" t="inlineStr">
        <is>
          <t>Holmen skog AB</t>
        </is>
      </c>
      <c r="G9652" t="n">
        <v>3.4</v>
      </c>
      <c r="H9652" t="n">
        <v>0</v>
      </c>
      <c r="I9652" t="n">
        <v>0</v>
      </c>
      <c r="J9652" t="n">
        <v>0</v>
      </c>
      <c r="K9652" t="n">
        <v>0</v>
      </c>
      <c r="L9652" t="n">
        <v>0</v>
      </c>
      <c r="M9652" t="n">
        <v>0</v>
      </c>
      <c r="N9652" t="n">
        <v>0</v>
      </c>
      <c r="O9652" t="n">
        <v>0</v>
      </c>
      <c r="P9652" t="n">
        <v>0</v>
      </c>
      <c r="Q9652" t="n">
        <v>0</v>
      </c>
      <c r="R9652" s="2" t="inlineStr"/>
    </row>
    <row r="9653" ht="15" customHeight="1">
      <c r="A9653" t="inlineStr">
        <is>
          <t>A 17479-2024</t>
        </is>
      </c>
      <c r="B9653" s="1" t="n">
        <v>45415</v>
      </c>
      <c r="C9653" s="1" t="n">
        <v>46075</v>
      </c>
      <c r="D9653" t="inlineStr">
        <is>
          <t>VÄSTERBOTTENS LÄN</t>
        </is>
      </c>
      <c r="E9653" t="inlineStr">
        <is>
          <t>ROBERTSFORS</t>
        </is>
      </c>
      <c r="G9653" t="n">
        <v>3</v>
      </c>
      <c r="H9653" t="n">
        <v>0</v>
      </c>
      <c r="I9653" t="n">
        <v>0</v>
      </c>
      <c r="J9653" t="n">
        <v>0</v>
      </c>
      <c r="K9653" t="n">
        <v>0</v>
      </c>
      <c r="L9653" t="n">
        <v>0</v>
      </c>
      <c r="M9653" t="n">
        <v>0</v>
      </c>
      <c r="N9653" t="n">
        <v>0</v>
      </c>
      <c r="O9653" t="n">
        <v>0</v>
      </c>
      <c r="P9653" t="n">
        <v>0</v>
      </c>
      <c r="Q9653" t="n">
        <v>0</v>
      </c>
      <c r="R9653" s="2" t="inlineStr"/>
    </row>
    <row r="9654" ht="15" customHeight="1">
      <c r="A9654" t="inlineStr">
        <is>
          <t>A 73995-2021</t>
        </is>
      </c>
      <c r="B9654" s="1" t="n">
        <v>44556.8244212963</v>
      </c>
      <c r="C9654" s="1" t="n">
        <v>46075</v>
      </c>
      <c r="D9654" t="inlineStr">
        <is>
          <t>VÄSTERBOTTENS LÄN</t>
        </is>
      </c>
      <c r="E9654" t="inlineStr">
        <is>
          <t>NORSJÖ</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13005-2023</t>
        </is>
      </c>
      <c r="B9655" s="1" t="n">
        <v>45002</v>
      </c>
      <c r="C9655" s="1" t="n">
        <v>46075</v>
      </c>
      <c r="D9655" t="inlineStr">
        <is>
          <t>VÄSTERBOTTENS LÄN</t>
        </is>
      </c>
      <c r="E9655" t="inlineStr">
        <is>
          <t>MALÅ</t>
        </is>
      </c>
      <c r="F9655" t="inlineStr">
        <is>
          <t>SCA</t>
        </is>
      </c>
      <c r="G9655" t="n">
        <v>18.6</v>
      </c>
      <c r="H9655" t="n">
        <v>0</v>
      </c>
      <c r="I9655" t="n">
        <v>0</v>
      </c>
      <c r="J9655" t="n">
        <v>0</v>
      </c>
      <c r="K9655" t="n">
        <v>0</v>
      </c>
      <c r="L9655" t="n">
        <v>0</v>
      </c>
      <c r="M9655" t="n">
        <v>0</v>
      </c>
      <c r="N9655" t="n">
        <v>0</v>
      </c>
      <c r="O9655" t="n">
        <v>0</v>
      </c>
      <c r="P9655" t="n">
        <v>0</v>
      </c>
      <c r="Q9655" t="n">
        <v>0</v>
      </c>
      <c r="R9655" s="2" t="inlineStr"/>
    </row>
    <row r="9656" ht="15" customHeight="1">
      <c r="A9656" t="inlineStr">
        <is>
          <t>A 7224-2026</t>
        </is>
      </c>
      <c r="B9656" s="1" t="n">
        <v>46058.56734953704</v>
      </c>
      <c r="C9656" s="1" t="n">
        <v>46075</v>
      </c>
      <c r="D9656" t="inlineStr">
        <is>
          <t>VÄSTERBOTTENS LÄN</t>
        </is>
      </c>
      <c r="E9656" t="inlineStr">
        <is>
          <t>STORUMAN</t>
        </is>
      </c>
      <c r="G9656" t="n">
        <v>2</v>
      </c>
      <c r="H9656" t="n">
        <v>0</v>
      </c>
      <c r="I9656" t="n">
        <v>0</v>
      </c>
      <c r="J9656" t="n">
        <v>0</v>
      </c>
      <c r="K9656" t="n">
        <v>0</v>
      </c>
      <c r="L9656" t="n">
        <v>0</v>
      </c>
      <c r="M9656" t="n">
        <v>0</v>
      </c>
      <c r="N9656" t="n">
        <v>0</v>
      </c>
      <c r="O9656" t="n">
        <v>0</v>
      </c>
      <c r="P9656" t="n">
        <v>0</v>
      </c>
      <c r="Q9656" t="n">
        <v>0</v>
      </c>
      <c r="R9656" s="2" t="inlineStr"/>
    </row>
    <row r="9657" ht="15" customHeight="1">
      <c r="A9657" t="inlineStr">
        <is>
          <t>A 7260-2026</t>
        </is>
      </c>
      <c r="B9657" s="1" t="n">
        <v>46058.59981481481</v>
      </c>
      <c r="C9657" s="1" t="n">
        <v>46075</v>
      </c>
      <c r="D9657" t="inlineStr">
        <is>
          <t>VÄSTERBOTTENS LÄN</t>
        </is>
      </c>
      <c r="E9657" t="inlineStr">
        <is>
          <t>VILHELMINA</t>
        </is>
      </c>
      <c r="G9657" t="n">
        <v>6.1</v>
      </c>
      <c r="H9657" t="n">
        <v>0</v>
      </c>
      <c r="I9657" t="n">
        <v>0</v>
      </c>
      <c r="J9657" t="n">
        <v>0</v>
      </c>
      <c r="K9657" t="n">
        <v>0</v>
      </c>
      <c r="L9657" t="n">
        <v>0</v>
      </c>
      <c r="M9657" t="n">
        <v>0</v>
      </c>
      <c r="N9657" t="n">
        <v>0</v>
      </c>
      <c r="O9657" t="n">
        <v>0</v>
      </c>
      <c r="P9657" t="n">
        <v>0</v>
      </c>
      <c r="Q9657" t="n">
        <v>0</v>
      </c>
      <c r="R9657" s="2" t="inlineStr"/>
    </row>
    <row r="9658" ht="15" customHeight="1">
      <c r="A9658" t="inlineStr">
        <is>
          <t>A 7173-2026</t>
        </is>
      </c>
      <c r="B9658" s="1" t="n">
        <v>46058.46115740741</v>
      </c>
      <c r="C9658" s="1" t="n">
        <v>46075</v>
      </c>
      <c r="D9658" t="inlineStr">
        <is>
          <t>VÄSTERBOTTENS LÄN</t>
        </is>
      </c>
      <c r="E9658" t="inlineStr">
        <is>
          <t>SKELLEFTEÅ</t>
        </is>
      </c>
      <c r="G9658" t="n">
        <v>2.7</v>
      </c>
      <c r="H9658" t="n">
        <v>0</v>
      </c>
      <c r="I9658" t="n">
        <v>0</v>
      </c>
      <c r="J9658" t="n">
        <v>0</v>
      </c>
      <c r="K9658" t="n">
        <v>0</v>
      </c>
      <c r="L9658" t="n">
        <v>0</v>
      </c>
      <c r="M9658" t="n">
        <v>0</v>
      </c>
      <c r="N9658" t="n">
        <v>0</v>
      </c>
      <c r="O9658" t="n">
        <v>0</v>
      </c>
      <c r="P9658" t="n">
        <v>0</v>
      </c>
      <c r="Q9658" t="n">
        <v>0</v>
      </c>
      <c r="R9658" s="2" t="inlineStr"/>
    </row>
    <row r="9659" ht="15" customHeight="1">
      <c r="A9659" t="inlineStr">
        <is>
          <t>A 37606-2025</t>
        </is>
      </c>
      <c r="B9659" s="1" t="n">
        <v>45880</v>
      </c>
      <c r="C9659" s="1" t="n">
        <v>46075</v>
      </c>
      <c r="D9659" t="inlineStr">
        <is>
          <t>VÄSTERBOTTENS LÄN</t>
        </is>
      </c>
      <c r="E9659" t="inlineStr">
        <is>
          <t>DOROTEA</t>
        </is>
      </c>
      <c r="F9659" t="inlineStr">
        <is>
          <t>SCA</t>
        </is>
      </c>
      <c r="G9659" t="n">
        <v>5.4</v>
      </c>
      <c r="H9659" t="n">
        <v>0</v>
      </c>
      <c r="I9659" t="n">
        <v>0</v>
      </c>
      <c r="J9659" t="n">
        <v>0</v>
      </c>
      <c r="K9659" t="n">
        <v>0</v>
      </c>
      <c r="L9659" t="n">
        <v>0</v>
      </c>
      <c r="M9659" t="n">
        <v>0</v>
      </c>
      <c r="N9659" t="n">
        <v>0</v>
      </c>
      <c r="O9659" t="n">
        <v>0</v>
      </c>
      <c r="P9659" t="n">
        <v>0</v>
      </c>
      <c r="Q9659" t="n">
        <v>0</v>
      </c>
      <c r="R9659" s="2" t="inlineStr"/>
    </row>
    <row r="9660" ht="15" customHeight="1">
      <c r="A9660" t="inlineStr">
        <is>
          <t>A 45603-2023</t>
        </is>
      </c>
      <c r="B9660" s="1" t="n">
        <v>45194.64578703704</v>
      </c>
      <c r="C9660" s="1" t="n">
        <v>46075</v>
      </c>
      <c r="D9660" t="inlineStr">
        <is>
          <t>VÄSTERBOTTENS LÄN</t>
        </is>
      </c>
      <c r="E9660" t="inlineStr">
        <is>
          <t>UMEÅ</t>
        </is>
      </c>
      <c r="F9660" t="inlineStr">
        <is>
          <t>Holmen skog AB</t>
        </is>
      </c>
      <c r="G9660" t="n">
        <v>2</v>
      </c>
      <c r="H9660" t="n">
        <v>0</v>
      </c>
      <c r="I9660" t="n">
        <v>0</v>
      </c>
      <c r="J9660" t="n">
        <v>0</v>
      </c>
      <c r="K9660" t="n">
        <v>0</v>
      </c>
      <c r="L9660" t="n">
        <v>0</v>
      </c>
      <c r="M9660" t="n">
        <v>0</v>
      </c>
      <c r="N9660" t="n">
        <v>0</v>
      </c>
      <c r="O9660" t="n">
        <v>0</v>
      </c>
      <c r="P9660" t="n">
        <v>0</v>
      </c>
      <c r="Q9660" t="n">
        <v>0</v>
      </c>
      <c r="R9660" s="2" t="inlineStr"/>
    </row>
    <row r="9661" ht="15" customHeight="1">
      <c r="A9661" t="inlineStr">
        <is>
          <t>A 45622-2023</t>
        </is>
      </c>
      <c r="B9661" s="1" t="n">
        <v>45194.66240740741</v>
      </c>
      <c r="C9661" s="1" t="n">
        <v>46075</v>
      </c>
      <c r="D9661" t="inlineStr">
        <is>
          <t>VÄSTERBOTTENS LÄN</t>
        </is>
      </c>
      <c r="E9661" t="inlineStr">
        <is>
          <t>ÅSELE</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2708-2022</t>
        </is>
      </c>
      <c r="B9662" s="1" t="n">
        <v>44580</v>
      </c>
      <c r="C9662" s="1" t="n">
        <v>46075</v>
      </c>
      <c r="D9662" t="inlineStr">
        <is>
          <t>VÄSTERBOTTENS LÄN</t>
        </is>
      </c>
      <c r="E9662" t="inlineStr">
        <is>
          <t>ROBERTSFORS</t>
        </is>
      </c>
      <c r="G9662" t="n">
        <v>1.3</v>
      </c>
      <c r="H9662" t="n">
        <v>0</v>
      </c>
      <c r="I9662" t="n">
        <v>0</v>
      </c>
      <c r="J9662" t="n">
        <v>0</v>
      </c>
      <c r="K9662" t="n">
        <v>0</v>
      </c>
      <c r="L9662" t="n">
        <v>0</v>
      </c>
      <c r="M9662" t="n">
        <v>0</v>
      </c>
      <c r="N9662" t="n">
        <v>0</v>
      </c>
      <c r="O9662" t="n">
        <v>0</v>
      </c>
      <c r="P9662" t="n">
        <v>0</v>
      </c>
      <c r="Q9662" t="n">
        <v>0</v>
      </c>
      <c r="R9662" s="2" t="inlineStr"/>
    </row>
    <row r="9663" ht="15" customHeight="1">
      <c r="A9663" t="inlineStr">
        <is>
          <t>A 52312-2022</t>
        </is>
      </c>
      <c r="B9663" s="1" t="n">
        <v>44873</v>
      </c>
      <c r="C9663" s="1" t="n">
        <v>46075</v>
      </c>
      <c r="D9663" t="inlineStr">
        <is>
          <t>VÄSTERBOTTENS LÄN</t>
        </is>
      </c>
      <c r="E9663" t="inlineStr">
        <is>
          <t>UMEÅ</t>
        </is>
      </c>
      <c r="G9663" t="n">
        <v>1.4</v>
      </c>
      <c r="H9663" t="n">
        <v>0</v>
      </c>
      <c r="I9663" t="n">
        <v>0</v>
      </c>
      <c r="J9663" t="n">
        <v>0</v>
      </c>
      <c r="K9663" t="n">
        <v>0</v>
      </c>
      <c r="L9663" t="n">
        <v>0</v>
      </c>
      <c r="M9663" t="n">
        <v>0</v>
      </c>
      <c r="N9663" t="n">
        <v>0</v>
      </c>
      <c r="O9663" t="n">
        <v>0</v>
      </c>
      <c r="P9663" t="n">
        <v>0</v>
      </c>
      <c r="Q9663" t="n">
        <v>0</v>
      </c>
      <c r="R9663" s="2" t="inlineStr"/>
    </row>
    <row r="9664" ht="15" customHeight="1">
      <c r="A9664" t="inlineStr">
        <is>
          <t>A 34762-2024</t>
        </is>
      </c>
      <c r="B9664" s="1" t="n">
        <v>45526.61637731481</v>
      </c>
      <c r="C9664" s="1" t="n">
        <v>46075</v>
      </c>
      <c r="D9664" t="inlineStr">
        <is>
          <t>VÄSTERBOTTENS LÄN</t>
        </is>
      </c>
      <c r="E9664" t="inlineStr">
        <is>
          <t>VILHELMINA</t>
        </is>
      </c>
      <c r="F9664" t="inlineStr">
        <is>
          <t>SCA</t>
        </is>
      </c>
      <c r="G9664" t="n">
        <v>2.7</v>
      </c>
      <c r="H9664" t="n">
        <v>0</v>
      </c>
      <c r="I9664" t="n">
        <v>0</v>
      </c>
      <c r="J9664" t="n">
        <v>0</v>
      </c>
      <c r="K9664" t="n">
        <v>0</v>
      </c>
      <c r="L9664" t="n">
        <v>0</v>
      </c>
      <c r="M9664" t="n">
        <v>0</v>
      </c>
      <c r="N9664" t="n">
        <v>0</v>
      </c>
      <c r="O9664" t="n">
        <v>0</v>
      </c>
      <c r="P9664" t="n">
        <v>0</v>
      </c>
      <c r="Q9664" t="n">
        <v>0</v>
      </c>
      <c r="R9664" s="2" t="inlineStr"/>
    </row>
    <row r="9665" ht="15" customHeight="1">
      <c r="A9665" t="inlineStr">
        <is>
          <t>A 34768-2024</t>
        </is>
      </c>
      <c r="B9665" s="1" t="n">
        <v>45526</v>
      </c>
      <c r="C9665" s="1" t="n">
        <v>46075</v>
      </c>
      <c r="D9665" t="inlineStr">
        <is>
          <t>VÄSTERBOTTENS LÄN</t>
        </is>
      </c>
      <c r="E9665" t="inlineStr">
        <is>
          <t>DOROTEA</t>
        </is>
      </c>
      <c r="F9665" t="inlineStr">
        <is>
          <t>SCA</t>
        </is>
      </c>
      <c r="G9665" t="n">
        <v>28.1</v>
      </c>
      <c r="H9665" t="n">
        <v>0</v>
      </c>
      <c r="I9665" t="n">
        <v>0</v>
      </c>
      <c r="J9665" t="n">
        <v>0</v>
      </c>
      <c r="K9665" t="n">
        <v>0</v>
      </c>
      <c r="L9665" t="n">
        <v>0</v>
      </c>
      <c r="M9665" t="n">
        <v>0</v>
      </c>
      <c r="N9665" t="n">
        <v>0</v>
      </c>
      <c r="O9665" t="n">
        <v>0</v>
      </c>
      <c r="P9665" t="n">
        <v>0</v>
      </c>
      <c r="Q9665" t="n">
        <v>0</v>
      </c>
      <c r="R9665" s="2" t="inlineStr"/>
    </row>
    <row r="9666" ht="15" customHeight="1">
      <c r="A9666" t="inlineStr">
        <is>
          <t>A 34771-2024</t>
        </is>
      </c>
      <c r="B9666" s="1" t="n">
        <v>45526.62267361111</v>
      </c>
      <c r="C9666" s="1" t="n">
        <v>46075</v>
      </c>
      <c r="D9666" t="inlineStr">
        <is>
          <t>VÄSTERBOTTENS LÄN</t>
        </is>
      </c>
      <c r="E9666" t="inlineStr">
        <is>
          <t>ROBERTSFORS</t>
        </is>
      </c>
      <c r="F9666" t="inlineStr">
        <is>
          <t>Holmen skog AB</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7285-2026</t>
        </is>
      </c>
      <c r="B9667" s="1" t="n">
        <v>46058.6363425926</v>
      </c>
      <c r="C9667" s="1" t="n">
        <v>46075</v>
      </c>
      <c r="D9667" t="inlineStr">
        <is>
          <t>VÄSTERBOTTENS LÄN</t>
        </is>
      </c>
      <c r="E9667" t="inlineStr">
        <is>
          <t>UMEÅ</t>
        </is>
      </c>
      <c r="G9667" t="n">
        <v>7.7</v>
      </c>
      <c r="H9667" t="n">
        <v>0</v>
      </c>
      <c r="I9667" t="n">
        <v>0</v>
      </c>
      <c r="J9667" t="n">
        <v>0</v>
      </c>
      <c r="K9667" t="n">
        <v>0</v>
      </c>
      <c r="L9667" t="n">
        <v>0</v>
      </c>
      <c r="M9667" t="n">
        <v>0</v>
      </c>
      <c r="N9667" t="n">
        <v>0</v>
      </c>
      <c r="O9667" t="n">
        <v>0</v>
      </c>
      <c r="P9667" t="n">
        <v>0</v>
      </c>
      <c r="Q9667" t="n">
        <v>0</v>
      </c>
      <c r="R9667" s="2" t="inlineStr"/>
    </row>
    <row r="9668" ht="15" customHeight="1">
      <c r="A9668" t="inlineStr">
        <is>
          <t>A 7237-2026</t>
        </is>
      </c>
      <c r="B9668" s="1" t="n">
        <v>46058.58234953704</v>
      </c>
      <c r="C9668" s="1" t="n">
        <v>46075</v>
      </c>
      <c r="D9668" t="inlineStr">
        <is>
          <t>VÄSTERBOTTENS LÄN</t>
        </is>
      </c>
      <c r="E9668" t="inlineStr">
        <is>
          <t>SKELLEFTEÅ</t>
        </is>
      </c>
      <c r="G9668" t="n">
        <v>6.8</v>
      </c>
      <c r="H9668" t="n">
        <v>0</v>
      </c>
      <c r="I9668" t="n">
        <v>0</v>
      </c>
      <c r="J9668" t="n">
        <v>0</v>
      </c>
      <c r="K9668" t="n">
        <v>0</v>
      </c>
      <c r="L9668" t="n">
        <v>0</v>
      </c>
      <c r="M9668" t="n">
        <v>0</v>
      </c>
      <c r="N9668" t="n">
        <v>0</v>
      </c>
      <c r="O9668" t="n">
        <v>0</v>
      </c>
      <c r="P9668" t="n">
        <v>0</v>
      </c>
      <c r="Q9668" t="n">
        <v>0</v>
      </c>
      <c r="R9668" s="2" t="inlineStr"/>
    </row>
    <row r="9669" ht="15" customHeight="1">
      <c r="A9669" t="inlineStr">
        <is>
          <t>A 3017-2024</t>
        </is>
      </c>
      <c r="B9669" s="1" t="n">
        <v>45315.9491087963</v>
      </c>
      <c r="C9669" s="1" t="n">
        <v>46075</v>
      </c>
      <c r="D9669" t="inlineStr">
        <is>
          <t>VÄSTERBOTTENS LÄN</t>
        </is>
      </c>
      <c r="E9669" t="inlineStr">
        <is>
          <t>DOROTEA</t>
        </is>
      </c>
      <c r="F9669" t="inlineStr">
        <is>
          <t>SCA</t>
        </is>
      </c>
      <c r="G9669" t="n">
        <v>1.6</v>
      </c>
      <c r="H9669" t="n">
        <v>0</v>
      </c>
      <c r="I9669" t="n">
        <v>0</v>
      </c>
      <c r="J9669" t="n">
        <v>0</v>
      </c>
      <c r="K9669" t="n">
        <v>0</v>
      </c>
      <c r="L9669" t="n">
        <v>0</v>
      </c>
      <c r="M9669" t="n">
        <v>0</v>
      </c>
      <c r="N9669" t="n">
        <v>0</v>
      </c>
      <c r="O9669" t="n">
        <v>0</v>
      </c>
      <c r="P9669" t="n">
        <v>0</v>
      </c>
      <c r="Q9669" t="n">
        <v>0</v>
      </c>
      <c r="R9669" s="2" t="inlineStr"/>
    </row>
    <row r="9670" ht="15" customHeight="1">
      <c r="A9670" t="inlineStr">
        <is>
          <t>A 33612-2022</t>
        </is>
      </c>
      <c r="B9670" s="1" t="n">
        <v>44789</v>
      </c>
      <c r="C9670" s="1" t="n">
        <v>46075</v>
      </c>
      <c r="D9670" t="inlineStr">
        <is>
          <t>VÄSTERBOTTENS LÄN</t>
        </is>
      </c>
      <c r="E9670" t="inlineStr">
        <is>
          <t>NORDMALING</t>
        </is>
      </c>
      <c r="G9670" t="n">
        <v>4.2</v>
      </c>
      <c r="H9670" t="n">
        <v>0</v>
      </c>
      <c r="I9670" t="n">
        <v>0</v>
      </c>
      <c r="J9670" t="n">
        <v>0</v>
      </c>
      <c r="K9670" t="n">
        <v>0</v>
      </c>
      <c r="L9670" t="n">
        <v>0</v>
      </c>
      <c r="M9670" t="n">
        <v>0</v>
      </c>
      <c r="N9670" t="n">
        <v>0</v>
      </c>
      <c r="O9670" t="n">
        <v>0</v>
      </c>
      <c r="P9670" t="n">
        <v>0</v>
      </c>
      <c r="Q9670" t="n">
        <v>0</v>
      </c>
      <c r="R9670" s="2" t="inlineStr"/>
    </row>
    <row r="9671" ht="15" customHeight="1">
      <c r="A9671" t="inlineStr">
        <is>
          <t>A 4078-2025</t>
        </is>
      </c>
      <c r="B9671" s="1" t="n">
        <v>45684.65501157408</v>
      </c>
      <c r="C9671" s="1" t="n">
        <v>46075</v>
      </c>
      <c r="D9671" t="inlineStr">
        <is>
          <t>VÄSTERBOTTENS LÄN</t>
        </is>
      </c>
      <c r="E9671" t="inlineStr">
        <is>
          <t>ÅSELE</t>
        </is>
      </c>
      <c r="G9671" t="n">
        <v>2.4</v>
      </c>
      <c r="H9671" t="n">
        <v>0</v>
      </c>
      <c r="I9671" t="n">
        <v>0</v>
      </c>
      <c r="J9671" t="n">
        <v>0</v>
      </c>
      <c r="K9671" t="n">
        <v>0</v>
      </c>
      <c r="L9671" t="n">
        <v>0</v>
      </c>
      <c r="M9671" t="n">
        <v>0</v>
      </c>
      <c r="N9671" t="n">
        <v>0</v>
      </c>
      <c r="O9671" t="n">
        <v>0</v>
      </c>
      <c r="P9671" t="n">
        <v>0</v>
      </c>
      <c r="Q9671" t="n">
        <v>0</v>
      </c>
      <c r="R9671" s="2" t="inlineStr"/>
    </row>
    <row r="9672" ht="15" customHeight="1">
      <c r="A9672" t="inlineStr">
        <is>
          <t>A 7414-2026</t>
        </is>
      </c>
      <c r="B9672" s="1" t="n">
        <v>46058</v>
      </c>
      <c r="C9672" s="1" t="n">
        <v>46075</v>
      </c>
      <c r="D9672" t="inlineStr">
        <is>
          <t>VÄSTERBOTTENS LÄN</t>
        </is>
      </c>
      <c r="E9672" t="inlineStr">
        <is>
          <t>SKELLEFTEÅ</t>
        </is>
      </c>
      <c r="G9672" t="n">
        <v>2.2</v>
      </c>
      <c r="H9672" t="n">
        <v>0</v>
      </c>
      <c r="I9672" t="n">
        <v>0</v>
      </c>
      <c r="J9672" t="n">
        <v>0</v>
      </c>
      <c r="K9672" t="n">
        <v>0</v>
      </c>
      <c r="L9672" t="n">
        <v>0</v>
      </c>
      <c r="M9672" t="n">
        <v>0</v>
      </c>
      <c r="N9672" t="n">
        <v>0</v>
      </c>
      <c r="O9672" t="n">
        <v>0</v>
      </c>
      <c r="P9672" t="n">
        <v>0</v>
      </c>
      <c r="Q9672" t="n">
        <v>0</v>
      </c>
      <c r="R9672" s="2" t="inlineStr"/>
    </row>
    <row r="9673" ht="15" customHeight="1">
      <c r="A9673" t="inlineStr">
        <is>
          <t>A 28023-2025</t>
        </is>
      </c>
      <c r="B9673" s="1" t="n">
        <v>45817</v>
      </c>
      <c r="C9673" s="1" t="n">
        <v>46075</v>
      </c>
      <c r="D9673" t="inlineStr">
        <is>
          <t>VÄSTERBOTTENS LÄN</t>
        </is>
      </c>
      <c r="E9673" t="inlineStr">
        <is>
          <t>SORSELE</t>
        </is>
      </c>
      <c r="F9673" t="inlineStr">
        <is>
          <t>Övriga statliga verk och myndigheter</t>
        </is>
      </c>
      <c r="G9673" t="n">
        <v>0.6</v>
      </c>
      <c r="H9673" t="n">
        <v>0</v>
      </c>
      <c r="I9673" t="n">
        <v>0</v>
      </c>
      <c r="J9673" t="n">
        <v>0</v>
      </c>
      <c r="K9673" t="n">
        <v>0</v>
      </c>
      <c r="L9673" t="n">
        <v>0</v>
      </c>
      <c r="M9673" t="n">
        <v>0</v>
      </c>
      <c r="N9673" t="n">
        <v>0</v>
      </c>
      <c r="O9673" t="n">
        <v>0</v>
      </c>
      <c r="P9673" t="n">
        <v>0</v>
      </c>
      <c r="Q9673" t="n">
        <v>0</v>
      </c>
      <c r="R9673" s="2" t="inlineStr"/>
    </row>
    <row r="9674" ht="15" customHeight="1">
      <c r="A9674" t="inlineStr">
        <is>
          <t>A 5495-2026</t>
        </is>
      </c>
      <c r="B9674" s="1" t="n">
        <v>46050.61736111111</v>
      </c>
      <c r="C9674" s="1" t="n">
        <v>46075</v>
      </c>
      <c r="D9674" t="inlineStr">
        <is>
          <t>VÄSTERBOTTENS LÄN</t>
        </is>
      </c>
      <c r="E9674" t="inlineStr">
        <is>
          <t>NORDMALING</t>
        </is>
      </c>
      <c r="G9674" t="n">
        <v>2.4</v>
      </c>
      <c r="H9674" t="n">
        <v>0</v>
      </c>
      <c r="I9674" t="n">
        <v>0</v>
      </c>
      <c r="J9674" t="n">
        <v>0</v>
      </c>
      <c r="K9674" t="n">
        <v>0</v>
      </c>
      <c r="L9674" t="n">
        <v>0</v>
      </c>
      <c r="M9674" t="n">
        <v>0</v>
      </c>
      <c r="N9674" t="n">
        <v>0</v>
      </c>
      <c r="O9674" t="n">
        <v>0</v>
      </c>
      <c r="P9674" t="n">
        <v>0</v>
      </c>
      <c r="Q9674" t="n">
        <v>0</v>
      </c>
      <c r="R9674" s="2" t="inlineStr"/>
    </row>
    <row r="9675" ht="15" customHeight="1">
      <c r="A9675" t="inlineStr">
        <is>
          <t>A 5507-2026</t>
        </is>
      </c>
      <c r="B9675" s="1" t="n">
        <v>46050.62748842593</v>
      </c>
      <c r="C9675" s="1" t="n">
        <v>46075</v>
      </c>
      <c r="D9675" t="inlineStr">
        <is>
          <t>VÄSTERBOTTENS LÄN</t>
        </is>
      </c>
      <c r="E9675" t="inlineStr">
        <is>
          <t>NORDMALING</t>
        </is>
      </c>
      <c r="G9675" t="n">
        <v>4.8</v>
      </c>
      <c r="H9675" t="n">
        <v>0</v>
      </c>
      <c r="I9675" t="n">
        <v>0</v>
      </c>
      <c r="J9675" t="n">
        <v>0</v>
      </c>
      <c r="K9675" t="n">
        <v>0</v>
      </c>
      <c r="L9675" t="n">
        <v>0</v>
      </c>
      <c r="M9675" t="n">
        <v>0</v>
      </c>
      <c r="N9675" t="n">
        <v>0</v>
      </c>
      <c r="O9675" t="n">
        <v>0</v>
      </c>
      <c r="P9675" t="n">
        <v>0</v>
      </c>
      <c r="Q9675" t="n">
        <v>0</v>
      </c>
      <c r="R9675" s="2" t="inlineStr"/>
    </row>
    <row r="9676" ht="15" customHeight="1">
      <c r="A9676" t="inlineStr">
        <is>
          <t>A 7432-2026</t>
        </is>
      </c>
      <c r="B9676" s="1" t="n">
        <v>46058</v>
      </c>
      <c r="C9676" s="1" t="n">
        <v>46075</v>
      </c>
      <c r="D9676" t="inlineStr">
        <is>
          <t>VÄSTERBOTTENS LÄN</t>
        </is>
      </c>
      <c r="E9676" t="inlineStr">
        <is>
          <t>SKELLEFTEÅ</t>
        </is>
      </c>
      <c r="G9676" t="n">
        <v>0.8</v>
      </c>
      <c r="H9676" t="n">
        <v>0</v>
      </c>
      <c r="I9676" t="n">
        <v>0</v>
      </c>
      <c r="J9676" t="n">
        <v>0</v>
      </c>
      <c r="K9676" t="n">
        <v>0</v>
      </c>
      <c r="L9676" t="n">
        <v>0</v>
      </c>
      <c r="M9676" t="n">
        <v>0</v>
      </c>
      <c r="N9676" t="n">
        <v>0</v>
      </c>
      <c r="O9676" t="n">
        <v>0</v>
      </c>
      <c r="P9676" t="n">
        <v>0</v>
      </c>
      <c r="Q9676" t="n">
        <v>0</v>
      </c>
      <c r="R9676" s="2" t="inlineStr"/>
    </row>
    <row r="9677" ht="15" customHeight="1">
      <c r="A9677" t="inlineStr">
        <is>
          <t>A 3021-2026</t>
        </is>
      </c>
      <c r="B9677" s="1" t="n">
        <v>46038</v>
      </c>
      <c r="C9677" s="1" t="n">
        <v>46075</v>
      </c>
      <c r="D9677" t="inlineStr">
        <is>
          <t>VÄSTERBOTTENS LÄN</t>
        </is>
      </c>
      <c r="E9677" t="inlineStr">
        <is>
          <t>LYCKSELE</t>
        </is>
      </c>
      <c r="G9677" t="n">
        <v>6.7</v>
      </c>
      <c r="H9677" t="n">
        <v>0</v>
      </c>
      <c r="I9677" t="n">
        <v>0</v>
      </c>
      <c r="J9677" t="n">
        <v>0</v>
      </c>
      <c r="K9677" t="n">
        <v>0</v>
      </c>
      <c r="L9677" t="n">
        <v>0</v>
      </c>
      <c r="M9677" t="n">
        <v>0</v>
      </c>
      <c r="N9677" t="n">
        <v>0</v>
      </c>
      <c r="O9677" t="n">
        <v>0</v>
      </c>
      <c r="P9677" t="n">
        <v>0</v>
      </c>
      <c r="Q9677" t="n">
        <v>0</v>
      </c>
      <c r="R9677" s="2" t="inlineStr"/>
    </row>
    <row r="9678" ht="15" customHeight="1">
      <c r="A9678" t="inlineStr">
        <is>
          <t>A 63745-2025</t>
        </is>
      </c>
      <c r="B9678" s="1" t="n">
        <v>46017.34442129629</v>
      </c>
      <c r="C9678" s="1" t="n">
        <v>46075</v>
      </c>
      <c r="D9678" t="inlineStr">
        <is>
          <t>VÄSTERBOTTENS LÄN</t>
        </is>
      </c>
      <c r="E9678" t="inlineStr">
        <is>
          <t>DOROTEA</t>
        </is>
      </c>
      <c r="F9678" t="inlineStr">
        <is>
          <t>SCA</t>
        </is>
      </c>
      <c r="G9678" t="n">
        <v>8.699999999999999</v>
      </c>
      <c r="H9678" t="n">
        <v>0</v>
      </c>
      <c r="I9678" t="n">
        <v>0</v>
      </c>
      <c r="J9678" t="n">
        <v>0</v>
      </c>
      <c r="K9678" t="n">
        <v>0</v>
      </c>
      <c r="L9678" t="n">
        <v>0</v>
      </c>
      <c r="M9678" t="n">
        <v>0</v>
      </c>
      <c r="N9678" t="n">
        <v>0</v>
      </c>
      <c r="O9678" t="n">
        <v>0</v>
      </c>
      <c r="P9678" t="n">
        <v>0</v>
      </c>
      <c r="Q9678" t="n">
        <v>0</v>
      </c>
      <c r="R9678" s="2" t="inlineStr"/>
    </row>
    <row r="9679" ht="15" customHeight="1">
      <c r="A9679" t="inlineStr">
        <is>
          <t>A 46122-2024</t>
        </is>
      </c>
      <c r="B9679" s="1" t="n">
        <v>45581.41333333333</v>
      </c>
      <c r="C9679" s="1" t="n">
        <v>46075</v>
      </c>
      <c r="D9679" t="inlineStr">
        <is>
          <t>VÄSTERBOTTENS LÄN</t>
        </is>
      </c>
      <c r="E9679" t="inlineStr">
        <is>
          <t>UMEÅ</t>
        </is>
      </c>
      <c r="G9679" t="n">
        <v>3.2</v>
      </c>
      <c r="H9679" t="n">
        <v>0</v>
      </c>
      <c r="I9679" t="n">
        <v>0</v>
      </c>
      <c r="J9679" t="n">
        <v>0</v>
      </c>
      <c r="K9679" t="n">
        <v>0</v>
      </c>
      <c r="L9679" t="n">
        <v>0</v>
      </c>
      <c r="M9679" t="n">
        <v>0</v>
      </c>
      <c r="N9679" t="n">
        <v>0</v>
      </c>
      <c r="O9679" t="n">
        <v>0</v>
      </c>
      <c r="P9679" t="n">
        <v>0</v>
      </c>
      <c r="Q9679" t="n">
        <v>0</v>
      </c>
      <c r="R9679" s="2" t="inlineStr"/>
    </row>
    <row r="9680" ht="15" customHeight="1">
      <c r="A9680" t="inlineStr">
        <is>
          <t>A 7366-2026</t>
        </is>
      </c>
      <c r="B9680" s="1" t="n">
        <v>46059.32621527778</v>
      </c>
      <c r="C9680" s="1" t="n">
        <v>46075</v>
      </c>
      <c r="D9680" t="inlineStr">
        <is>
          <t>VÄSTERBOTTENS LÄN</t>
        </is>
      </c>
      <c r="E9680" t="inlineStr">
        <is>
          <t>SKELLEFTEÅ</t>
        </is>
      </c>
      <c r="G9680" t="n">
        <v>2.4</v>
      </c>
      <c r="H9680" t="n">
        <v>0</v>
      </c>
      <c r="I9680" t="n">
        <v>0</v>
      </c>
      <c r="J9680" t="n">
        <v>0</v>
      </c>
      <c r="K9680" t="n">
        <v>0</v>
      </c>
      <c r="L9680" t="n">
        <v>0</v>
      </c>
      <c r="M9680" t="n">
        <v>0</v>
      </c>
      <c r="N9680" t="n">
        <v>0</v>
      </c>
      <c r="O9680" t="n">
        <v>0</v>
      </c>
      <c r="P9680" t="n">
        <v>0</v>
      </c>
      <c r="Q9680" t="n">
        <v>0</v>
      </c>
      <c r="R9680" s="2" t="inlineStr"/>
    </row>
    <row r="9681" ht="15" customHeight="1">
      <c r="A9681" t="inlineStr">
        <is>
          <t>A 11321-2024</t>
        </is>
      </c>
      <c r="B9681" s="1" t="n">
        <v>45371</v>
      </c>
      <c r="C9681" s="1" t="n">
        <v>46075</v>
      </c>
      <c r="D9681" t="inlineStr">
        <is>
          <t>VÄSTERBOTTENS LÄN</t>
        </is>
      </c>
      <c r="E9681" t="inlineStr">
        <is>
          <t>SORSELE</t>
        </is>
      </c>
      <c r="G9681" t="n">
        <v>12.1</v>
      </c>
      <c r="H9681" t="n">
        <v>0</v>
      </c>
      <c r="I9681" t="n">
        <v>0</v>
      </c>
      <c r="J9681" t="n">
        <v>0</v>
      </c>
      <c r="K9681" t="n">
        <v>0</v>
      </c>
      <c r="L9681" t="n">
        <v>0</v>
      </c>
      <c r="M9681" t="n">
        <v>0</v>
      </c>
      <c r="N9681" t="n">
        <v>0</v>
      </c>
      <c r="O9681" t="n">
        <v>0</v>
      </c>
      <c r="P9681" t="n">
        <v>0</v>
      </c>
      <c r="Q9681" t="n">
        <v>0</v>
      </c>
      <c r="R9681" s="2" t="inlineStr"/>
    </row>
    <row r="9682" ht="15" customHeight="1">
      <c r="A9682" t="inlineStr">
        <is>
          <t>A 11323-2024</t>
        </is>
      </c>
      <c r="B9682" s="1" t="n">
        <v>45371</v>
      </c>
      <c r="C9682" s="1" t="n">
        <v>46075</v>
      </c>
      <c r="D9682" t="inlineStr">
        <is>
          <t>VÄSTERBOTTENS LÄN</t>
        </is>
      </c>
      <c r="E9682" t="inlineStr">
        <is>
          <t>SORSELE</t>
        </is>
      </c>
      <c r="G9682" t="n">
        <v>12.9</v>
      </c>
      <c r="H9682" t="n">
        <v>0</v>
      </c>
      <c r="I9682" t="n">
        <v>0</v>
      </c>
      <c r="J9682" t="n">
        <v>0</v>
      </c>
      <c r="K9682" t="n">
        <v>0</v>
      </c>
      <c r="L9682" t="n">
        <v>0</v>
      </c>
      <c r="M9682" t="n">
        <v>0</v>
      </c>
      <c r="N9682" t="n">
        <v>0</v>
      </c>
      <c r="O9682" t="n">
        <v>0</v>
      </c>
      <c r="P9682" t="n">
        <v>0</v>
      </c>
      <c r="Q9682" t="n">
        <v>0</v>
      </c>
      <c r="R9682" s="2" t="inlineStr"/>
    </row>
    <row r="9683" ht="15" customHeight="1">
      <c r="A9683" t="inlineStr">
        <is>
          <t>A 7170-2026</t>
        </is>
      </c>
      <c r="B9683" s="1" t="n">
        <v>46058.45982638889</v>
      </c>
      <c r="C9683" s="1" t="n">
        <v>46075</v>
      </c>
      <c r="D9683" t="inlineStr">
        <is>
          <t>VÄSTERBOTTENS LÄN</t>
        </is>
      </c>
      <c r="E9683" t="inlineStr">
        <is>
          <t>ROBERTSFORS</t>
        </is>
      </c>
      <c r="F9683" t="inlineStr">
        <is>
          <t>Holmen skog AB</t>
        </is>
      </c>
      <c r="G9683" t="n">
        <v>2.9</v>
      </c>
      <c r="H9683" t="n">
        <v>0</v>
      </c>
      <c r="I9683" t="n">
        <v>0</v>
      </c>
      <c r="J9683" t="n">
        <v>0</v>
      </c>
      <c r="K9683" t="n">
        <v>0</v>
      </c>
      <c r="L9683" t="n">
        <v>0</v>
      </c>
      <c r="M9683" t="n">
        <v>0</v>
      </c>
      <c r="N9683" t="n">
        <v>0</v>
      </c>
      <c r="O9683" t="n">
        <v>0</v>
      </c>
      <c r="P9683" t="n">
        <v>0</v>
      </c>
      <c r="Q9683" t="n">
        <v>0</v>
      </c>
      <c r="R9683" s="2" t="inlineStr"/>
    </row>
    <row r="9684" ht="15" customHeight="1">
      <c r="A9684" t="inlineStr">
        <is>
          <t>A 7122-2026</t>
        </is>
      </c>
      <c r="B9684" s="1" t="n">
        <v>46058.38587962963</v>
      </c>
      <c r="C9684" s="1" t="n">
        <v>46075</v>
      </c>
      <c r="D9684" t="inlineStr">
        <is>
          <t>VÄSTERBOTTENS LÄN</t>
        </is>
      </c>
      <c r="E9684" t="inlineStr">
        <is>
          <t>NORDMALING</t>
        </is>
      </c>
      <c r="F9684" t="inlineStr">
        <is>
          <t>SCA</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7315-2026</t>
        </is>
      </c>
      <c r="B9685" s="1" t="n">
        <v>46058.66857638889</v>
      </c>
      <c r="C9685" s="1" t="n">
        <v>46075</v>
      </c>
      <c r="D9685" t="inlineStr">
        <is>
          <t>VÄSTERBOTTENS LÄN</t>
        </is>
      </c>
      <c r="E9685" t="inlineStr">
        <is>
          <t>SKELLEFTEÅ</t>
        </is>
      </c>
      <c r="F9685" t="inlineStr">
        <is>
          <t>Sveaskog</t>
        </is>
      </c>
      <c r="G9685" t="n">
        <v>2.9</v>
      </c>
      <c r="H9685" t="n">
        <v>0</v>
      </c>
      <c r="I9685" t="n">
        <v>0</v>
      </c>
      <c r="J9685" t="n">
        <v>0</v>
      </c>
      <c r="K9685" t="n">
        <v>0</v>
      </c>
      <c r="L9685" t="n">
        <v>0</v>
      </c>
      <c r="M9685" t="n">
        <v>0</v>
      </c>
      <c r="N9685" t="n">
        <v>0</v>
      </c>
      <c r="O9685" t="n">
        <v>0</v>
      </c>
      <c r="P9685" t="n">
        <v>0</v>
      </c>
      <c r="Q9685" t="n">
        <v>0</v>
      </c>
      <c r="R9685" s="2" t="inlineStr"/>
    </row>
    <row r="9686" ht="15" customHeight="1">
      <c r="A9686" t="inlineStr">
        <is>
          <t>A 31183-2023</t>
        </is>
      </c>
      <c r="B9686" s="1" t="n">
        <v>45113.94913194444</v>
      </c>
      <c r="C9686" s="1" t="n">
        <v>46075</v>
      </c>
      <c r="D9686" t="inlineStr">
        <is>
          <t>VÄSTERBOTTENS LÄN</t>
        </is>
      </c>
      <c r="E9686" t="inlineStr">
        <is>
          <t>ÅSELE</t>
        </is>
      </c>
      <c r="F9686" t="inlineStr">
        <is>
          <t>SCA</t>
        </is>
      </c>
      <c r="G9686" t="n">
        <v>1.3</v>
      </c>
      <c r="H9686" t="n">
        <v>0</v>
      </c>
      <c r="I9686" t="n">
        <v>0</v>
      </c>
      <c r="J9686" t="n">
        <v>0</v>
      </c>
      <c r="K9686" t="n">
        <v>0</v>
      </c>
      <c r="L9686" t="n">
        <v>0</v>
      </c>
      <c r="M9686" t="n">
        <v>0</v>
      </c>
      <c r="N9686" t="n">
        <v>0</v>
      </c>
      <c r="O9686" t="n">
        <v>0</v>
      </c>
      <c r="P9686" t="n">
        <v>0</v>
      </c>
      <c r="Q9686" t="n">
        <v>0</v>
      </c>
      <c r="R9686" s="2" t="inlineStr"/>
    </row>
    <row r="9687" ht="15" customHeight="1">
      <c r="A9687" t="inlineStr">
        <is>
          <t>A 31205-2023</t>
        </is>
      </c>
      <c r="B9687" s="1" t="n">
        <v>45113</v>
      </c>
      <c r="C9687" s="1" t="n">
        <v>46075</v>
      </c>
      <c r="D9687" t="inlineStr">
        <is>
          <t>VÄSTERBOTTENS LÄN</t>
        </is>
      </c>
      <c r="E9687" t="inlineStr">
        <is>
          <t>BJURHOLM</t>
        </is>
      </c>
      <c r="F9687" t="inlineStr">
        <is>
          <t>SCA</t>
        </is>
      </c>
      <c r="G9687" t="n">
        <v>2.2</v>
      </c>
      <c r="H9687" t="n">
        <v>0</v>
      </c>
      <c r="I9687" t="n">
        <v>0</v>
      </c>
      <c r="J9687" t="n">
        <v>0</v>
      </c>
      <c r="K9687" t="n">
        <v>0</v>
      </c>
      <c r="L9687" t="n">
        <v>0</v>
      </c>
      <c r="M9687" t="n">
        <v>0</v>
      </c>
      <c r="N9687" t="n">
        <v>0</v>
      </c>
      <c r="O9687" t="n">
        <v>0</v>
      </c>
      <c r="P9687" t="n">
        <v>0</v>
      </c>
      <c r="Q9687" t="n">
        <v>0</v>
      </c>
      <c r="R9687" s="2" t="inlineStr"/>
    </row>
    <row r="9688" ht="15" customHeight="1">
      <c r="A9688" t="inlineStr">
        <is>
          <t>A 10666-2025</t>
        </is>
      </c>
      <c r="B9688" s="1" t="n">
        <v>45722</v>
      </c>
      <c r="C9688" s="1" t="n">
        <v>46075</v>
      </c>
      <c r="D9688" t="inlineStr">
        <is>
          <t>VÄSTERBOTTENS LÄN</t>
        </is>
      </c>
      <c r="E9688" t="inlineStr">
        <is>
          <t>MALÅ</t>
        </is>
      </c>
      <c r="G9688" t="n">
        <v>28.4</v>
      </c>
      <c r="H9688" t="n">
        <v>0</v>
      </c>
      <c r="I9688" t="n">
        <v>0</v>
      </c>
      <c r="J9688" t="n">
        <v>0</v>
      </c>
      <c r="K9688" t="n">
        <v>0</v>
      </c>
      <c r="L9688" t="n">
        <v>0</v>
      </c>
      <c r="M9688" t="n">
        <v>0</v>
      </c>
      <c r="N9688" t="n">
        <v>0</v>
      </c>
      <c r="O9688" t="n">
        <v>0</v>
      </c>
      <c r="P9688" t="n">
        <v>0</v>
      </c>
      <c r="Q9688" t="n">
        <v>0</v>
      </c>
      <c r="R9688" s="2" t="inlineStr"/>
    </row>
    <row r="9689" ht="15" customHeight="1">
      <c r="A9689" t="inlineStr">
        <is>
          <t>A 16002-2024</t>
        </is>
      </c>
      <c r="B9689" s="1" t="n">
        <v>45405</v>
      </c>
      <c r="C9689" s="1" t="n">
        <v>46075</v>
      </c>
      <c r="D9689" t="inlineStr">
        <is>
          <t>VÄSTERBOTTENS LÄN</t>
        </is>
      </c>
      <c r="E9689" t="inlineStr">
        <is>
          <t>VINDELN</t>
        </is>
      </c>
      <c r="G9689" t="n">
        <v>5.5</v>
      </c>
      <c r="H9689" t="n">
        <v>0</v>
      </c>
      <c r="I9689" t="n">
        <v>0</v>
      </c>
      <c r="J9689" t="n">
        <v>0</v>
      </c>
      <c r="K9689" t="n">
        <v>0</v>
      </c>
      <c r="L9689" t="n">
        <v>0</v>
      </c>
      <c r="M9689" t="n">
        <v>0</v>
      </c>
      <c r="N9689" t="n">
        <v>0</v>
      </c>
      <c r="O9689" t="n">
        <v>0</v>
      </c>
      <c r="P9689" t="n">
        <v>0</v>
      </c>
      <c r="Q9689" t="n">
        <v>0</v>
      </c>
      <c r="R9689" s="2" t="inlineStr"/>
    </row>
    <row r="9690" ht="15" customHeight="1">
      <c r="A9690" t="inlineStr">
        <is>
          <t>A 7713-2026</t>
        </is>
      </c>
      <c r="B9690" s="1" t="n">
        <v>46059</v>
      </c>
      <c r="C9690" s="1" t="n">
        <v>46075</v>
      </c>
      <c r="D9690" t="inlineStr">
        <is>
          <t>VÄSTERBOTTENS LÄN</t>
        </is>
      </c>
      <c r="E9690" t="inlineStr">
        <is>
          <t>DOROTEA</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7716-2026</t>
        </is>
      </c>
      <c r="B9691" s="1" t="n">
        <v>46059</v>
      </c>
      <c r="C9691" s="1" t="n">
        <v>46075</v>
      </c>
      <c r="D9691" t="inlineStr">
        <is>
          <t>VÄSTERBOTTENS LÄN</t>
        </is>
      </c>
      <c r="E9691" t="inlineStr">
        <is>
          <t>DOROTEA</t>
        </is>
      </c>
      <c r="G9691" t="n">
        <v>3.1</v>
      </c>
      <c r="H9691" t="n">
        <v>0</v>
      </c>
      <c r="I9691" t="n">
        <v>0</v>
      </c>
      <c r="J9691" t="n">
        <v>0</v>
      </c>
      <c r="K9691" t="n">
        <v>0</v>
      </c>
      <c r="L9691" t="n">
        <v>0</v>
      </c>
      <c r="M9691" t="n">
        <v>0</v>
      </c>
      <c r="N9691" t="n">
        <v>0</v>
      </c>
      <c r="O9691" t="n">
        <v>0</v>
      </c>
      <c r="P9691" t="n">
        <v>0</v>
      </c>
      <c r="Q9691" t="n">
        <v>0</v>
      </c>
      <c r="R9691" s="2" t="inlineStr"/>
    </row>
    <row r="9692" ht="15" customHeight="1">
      <c r="A9692" t="inlineStr">
        <is>
          <t>A 57609-2024</t>
        </is>
      </c>
      <c r="B9692" s="1" t="n">
        <v>45630</v>
      </c>
      <c r="C9692" s="1" t="n">
        <v>46075</v>
      </c>
      <c r="D9692" t="inlineStr">
        <is>
          <t>VÄSTERBOTTENS LÄN</t>
        </is>
      </c>
      <c r="E9692" t="inlineStr">
        <is>
          <t>BJURHOLM</t>
        </is>
      </c>
      <c r="F9692" t="inlineStr">
        <is>
          <t>Sveaskog</t>
        </is>
      </c>
      <c r="G9692" t="n">
        <v>3.7</v>
      </c>
      <c r="H9692" t="n">
        <v>0</v>
      </c>
      <c r="I9692" t="n">
        <v>0</v>
      </c>
      <c r="J9692" t="n">
        <v>0</v>
      </c>
      <c r="K9692" t="n">
        <v>0</v>
      </c>
      <c r="L9692" t="n">
        <v>0</v>
      </c>
      <c r="M9692" t="n">
        <v>0</v>
      </c>
      <c r="N9692" t="n">
        <v>0</v>
      </c>
      <c r="O9692" t="n">
        <v>0</v>
      </c>
      <c r="P9692" t="n">
        <v>0</v>
      </c>
      <c r="Q9692" t="n">
        <v>0</v>
      </c>
      <c r="R9692" s="2" t="inlineStr"/>
    </row>
    <row r="9693" ht="15" customHeight="1">
      <c r="A9693" t="inlineStr">
        <is>
          <t>A 31851-2024</t>
        </is>
      </c>
      <c r="B9693" s="1" t="n">
        <v>45509</v>
      </c>
      <c r="C9693" s="1" t="n">
        <v>46075</v>
      </c>
      <c r="D9693" t="inlineStr">
        <is>
          <t>VÄSTERBOTTENS LÄN</t>
        </is>
      </c>
      <c r="E9693" t="inlineStr">
        <is>
          <t>VILHELMINA</t>
        </is>
      </c>
      <c r="G9693" t="n">
        <v>5.1</v>
      </c>
      <c r="H9693" t="n">
        <v>0</v>
      </c>
      <c r="I9693" t="n">
        <v>0</v>
      </c>
      <c r="J9693" t="n">
        <v>0</v>
      </c>
      <c r="K9693" t="n">
        <v>0</v>
      </c>
      <c r="L9693" t="n">
        <v>0</v>
      </c>
      <c r="M9693" t="n">
        <v>0</v>
      </c>
      <c r="N9693" t="n">
        <v>0</v>
      </c>
      <c r="O9693" t="n">
        <v>0</v>
      </c>
      <c r="P9693" t="n">
        <v>0</v>
      </c>
      <c r="Q9693" t="n">
        <v>0</v>
      </c>
      <c r="R9693" s="2" t="inlineStr"/>
    </row>
    <row r="9694" ht="15" customHeight="1">
      <c r="A9694" t="inlineStr">
        <is>
          <t>A 40733-2025</t>
        </is>
      </c>
      <c r="B9694" s="1" t="n">
        <v>45897</v>
      </c>
      <c r="C9694" s="1" t="n">
        <v>46075</v>
      </c>
      <c r="D9694" t="inlineStr">
        <is>
          <t>VÄSTERBOTTENS LÄN</t>
        </is>
      </c>
      <c r="E9694" t="inlineStr">
        <is>
          <t>VINDELN</t>
        </is>
      </c>
      <c r="F9694" t="inlineStr">
        <is>
          <t>SCA</t>
        </is>
      </c>
      <c r="G9694" t="n">
        <v>3.1</v>
      </c>
      <c r="H9694" t="n">
        <v>0</v>
      </c>
      <c r="I9694" t="n">
        <v>0</v>
      </c>
      <c r="J9694" t="n">
        <v>0</v>
      </c>
      <c r="K9694" t="n">
        <v>0</v>
      </c>
      <c r="L9694" t="n">
        <v>0</v>
      </c>
      <c r="M9694" t="n">
        <v>0</v>
      </c>
      <c r="N9694" t="n">
        <v>0</v>
      </c>
      <c r="O9694" t="n">
        <v>0</v>
      </c>
      <c r="P9694" t="n">
        <v>0</v>
      </c>
      <c r="Q9694" t="n">
        <v>0</v>
      </c>
      <c r="R9694" s="2" t="inlineStr"/>
    </row>
    <row r="9695" ht="15" customHeight="1">
      <c r="A9695" t="inlineStr">
        <is>
          <t>A 7437-2024</t>
        </is>
      </c>
      <c r="B9695" s="1" t="n">
        <v>45345</v>
      </c>
      <c r="C9695" s="1" t="n">
        <v>46075</v>
      </c>
      <c r="D9695" t="inlineStr">
        <is>
          <t>VÄSTERBOTTENS LÄN</t>
        </is>
      </c>
      <c r="E9695" t="inlineStr">
        <is>
          <t>UMEÅ</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5470-2023</t>
        </is>
      </c>
      <c r="B9696" s="1" t="n">
        <v>44960</v>
      </c>
      <c r="C9696" s="1" t="n">
        <v>46075</v>
      </c>
      <c r="D9696" t="inlineStr">
        <is>
          <t>VÄSTERBOTTENS LÄN</t>
        </is>
      </c>
      <c r="E9696" t="inlineStr">
        <is>
          <t>SKELLEFTEÅ</t>
        </is>
      </c>
      <c r="G9696" t="n">
        <v>0.6</v>
      </c>
      <c r="H9696" t="n">
        <v>0</v>
      </c>
      <c r="I9696" t="n">
        <v>0</v>
      </c>
      <c r="J9696" t="n">
        <v>0</v>
      </c>
      <c r="K9696" t="n">
        <v>0</v>
      </c>
      <c r="L9696" t="n">
        <v>0</v>
      </c>
      <c r="M9696" t="n">
        <v>0</v>
      </c>
      <c r="N9696" t="n">
        <v>0</v>
      </c>
      <c r="O9696" t="n">
        <v>0</v>
      </c>
      <c r="P9696" t="n">
        <v>0</v>
      </c>
      <c r="Q9696" t="n">
        <v>0</v>
      </c>
      <c r="R9696" s="2" t="inlineStr"/>
    </row>
    <row r="9697" ht="15" customHeight="1">
      <c r="A9697" t="inlineStr">
        <is>
          <t>A 34413-2023</t>
        </is>
      </c>
      <c r="B9697" s="1" t="n">
        <v>45139</v>
      </c>
      <c r="C9697" s="1" t="n">
        <v>46075</v>
      </c>
      <c r="D9697" t="inlineStr">
        <is>
          <t>VÄSTERBOTTENS LÄN</t>
        </is>
      </c>
      <c r="E9697" t="inlineStr">
        <is>
          <t>MALÅ</t>
        </is>
      </c>
      <c r="F9697" t="inlineStr">
        <is>
          <t>Sveaskog</t>
        </is>
      </c>
      <c r="G9697" t="n">
        <v>3.9</v>
      </c>
      <c r="H9697" t="n">
        <v>0</v>
      </c>
      <c r="I9697" t="n">
        <v>0</v>
      </c>
      <c r="J9697" t="n">
        <v>0</v>
      </c>
      <c r="K9697" t="n">
        <v>0</v>
      </c>
      <c r="L9697" t="n">
        <v>0</v>
      </c>
      <c r="M9697" t="n">
        <v>0</v>
      </c>
      <c r="N9697" t="n">
        <v>0</v>
      </c>
      <c r="O9697" t="n">
        <v>0</v>
      </c>
      <c r="P9697" t="n">
        <v>0</v>
      </c>
      <c r="Q9697" t="n">
        <v>0</v>
      </c>
      <c r="R9697" s="2" t="inlineStr"/>
    </row>
    <row r="9698" ht="15" customHeight="1">
      <c r="A9698" t="inlineStr">
        <is>
          <t>A 63813-2025</t>
        </is>
      </c>
      <c r="B9698" s="1" t="n">
        <v>46020.33409722222</v>
      </c>
      <c r="C9698" s="1" t="n">
        <v>46075</v>
      </c>
      <c r="D9698" t="inlineStr">
        <is>
          <t>VÄSTERBOTTENS LÄN</t>
        </is>
      </c>
      <c r="E9698" t="inlineStr">
        <is>
          <t>NORDMALING</t>
        </is>
      </c>
      <c r="G9698" t="n">
        <v>2.3</v>
      </c>
      <c r="H9698" t="n">
        <v>0</v>
      </c>
      <c r="I9698" t="n">
        <v>0</v>
      </c>
      <c r="J9698" t="n">
        <v>0</v>
      </c>
      <c r="K9698" t="n">
        <v>0</v>
      </c>
      <c r="L9698" t="n">
        <v>0</v>
      </c>
      <c r="M9698" t="n">
        <v>0</v>
      </c>
      <c r="N9698" t="n">
        <v>0</v>
      </c>
      <c r="O9698" t="n">
        <v>0</v>
      </c>
      <c r="P9698" t="n">
        <v>0</v>
      </c>
      <c r="Q9698" t="n">
        <v>0</v>
      </c>
      <c r="R9698" s="2" t="inlineStr"/>
    </row>
    <row r="9699" ht="15" customHeight="1">
      <c r="A9699" t="inlineStr">
        <is>
          <t>A 34484-2023</t>
        </is>
      </c>
      <c r="B9699" s="1" t="n">
        <v>45139.94689814815</v>
      </c>
      <c r="C9699" s="1" t="n">
        <v>46075</v>
      </c>
      <c r="D9699" t="inlineStr">
        <is>
          <t>VÄSTERBOTTENS LÄN</t>
        </is>
      </c>
      <c r="E9699" t="inlineStr">
        <is>
          <t>NORDMALING</t>
        </is>
      </c>
      <c r="F9699" t="inlineStr">
        <is>
          <t>SCA</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63843-2025</t>
        </is>
      </c>
      <c r="B9700" s="1" t="n">
        <v>46020.43430555556</v>
      </c>
      <c r="C9700" s="1" t="n">
        <v>46075</v>
      </c>
      <c r="D9700" t="inlineStr">
        <is>
          <t>VÄSTERBOTTENS LÄN</t>
        </is>
      </c>
      <c r="E9700" t="inlineStr">
        <is>
          <t>NORSJÖ</t>
        </is>
      </c>
      <c r="G9700" t="n">
        <v>5</v>
      </c>
      <c r="H9700" t="n">
        <v>0</v>
      </c>
      <c r="I9700" t="n">
        <v>0</v>
      </c>
      <c r="J9700" t="n">
        <v>0</v>
      </c>
      <c r="K9700" t="n">
        <v>0</v>
      </c>
      <c r="L9700" t="n">
        <v>0</v>
      </c>
      <c r="M9700" t="n">
        <v>0</v>
      </c>
      <c r="N9700" t="n">
        <v>0</v>
      </c>
      <c r="O9700" t="n">
        <v>0</v>
      </c>
      <c r="P9700" t="n">
        <v>0</v>
      </c>
      <c r="Q9700" t="n">
        <v>0</v>
      </c>
      <c r="R9700" s="2" t="inlineStr"/>
    </row>
    <row r="9701" ht="15" customHeight="1">
      <c r="A9701" t="inlineStr">
        <is>
          <t>A 13725-2025</t>
        </is>
      </c>
      <c r="B9701" s="1" t="n">
        <v>45737.37833333333</v>
      </c>
      <c r="C9701" s="1" t="n">
        <v>46075</v>
      </c>
      <c r="D9701" t="inlineStr">
        <is>
          <t>VÄSTERBOTTENS LÄN</t>
        </is>
      </c>
      <c r="E9701" t="inlineStr">
        <is>
          <t>NORSJÖ</t>
        </is>
      </c>
      <c r="G9701" t="n">
        <v>1.8</v>
      </c>
      <c r="H9701" t="n">
        <v>0</v>
      </c>
      <c r="I9701" t="n">
        <v>0</v>
      </c>
      <c r="J9701" t="n">
        <v>0</v>
      </c>
      <c r="K9701" t="n">
        <v>0</v>
      </c>
      <c r="L9701" t="n">
        <v>0</v>
      </c>
      <c r="M9701" t="n">
        <v>0</v>
      </c>
      <c r="N9701" t="n">
        <v>0</v>
      </c>
      <c r="O9701" t="n">
        <v>0</v>
      </c>
      <c r="P9701" t="n">
        <v>0</v>
      </c>
      <c r="Q9701" t="n">
        <v>0</v>
      </c>
      <c r="R9701" s="2" t="inlineStr"/>
    </row>
    <row r="9702" ht="15" customHeight="1">
      <c r="A9702" t="inlineStr">
        <is>
          <t>A 118-2026</t>
        </is>
      </c>
      <c r="B9702" s="1" t="n">
        <v>46019</v>
      </c>
      <c r="C9702" s="1" t="n">
        <v>46075</v>
      </c>
      <c r="D9702" t="inlineStr">
        <is>
          <t>VÄSTERBOTTENS LÄN</t>
        </is>
      </c>
      <c r="E9702" t="inlineStr">
        <is>
          <t>NORDMALING</t>
        </is>
      </c>
      <c r="G9702" t="n">
        <v>2.5</v>
      </c>
      <c r="H9702" t="n">
        <v>0</v>
      </c>
      <c r="I9702" t="n">
        <v>0</v>
      </c>
      <c r="J9702" t="n">
        <v>0</v>
      </c>
      <c r="K9702" t="n">
        <v>0</v>
      </c>
      <c r="L9702" t="n">
        <v>0</v>
      </c>
      <c r="M9702" t="n">
        <v>0</v>
      </c>
      <c r="N9702" t="n">
        <v>0</v>
      </c>
      <c r="O9702" t="n">
        <v>0</v>
      </c>
      <c r="P9702" t="n">
        <v>0</v>
      </c>
      <c r="Q9702" t="n">
        <v>0</v>
      </c>
      <c r="R9702" s="2" t="inlineStr"/>
    </row>
    <row r="9703" ht="15" customHeight="1">
      <c r="A9703" t="inlineStr">
        <is>
          <t>A 46692-2025</t>
        </is>
      </c>
      <c r="B9703" s="1" t="n">
        <v>45926</v>
      </c>
      <c r="C9703" s="1" t="n">
        <v>46075</v>
      </c>
      <c r="D9703" t="inlineStr">
        <is>
          <t>VÄSTERBOTTENS LÄN</t>
        </is>
      </c>
      <c r="E9703" t="inlineStr">
        <is>
          <t>LYCKSELE</t>
        </is>
      </c>
      <c r="F9703" t="inlineStr">
        <is>
          <t>Holmen skog AB</t>
        </is>
      </c>
      <c r="G9703" t="n">
        <v>3.9</v>
      </c>
      <c r="H9703" t="n">
        <v>0</v>
      </c>
      <c r="I9703" t="n">
        <v>0</v>
      </c>
      <c r="J9703" t="n">
        <v>0</v>
      </c>
      <c r="K9703" t="n">
        <v>0</v>
      </c>
      <c r="L9703" t="n">
        <v>0</v>
      </c>
      <c r="M9703" t="n">
        <v>0</v>
      </c>
      <c r="N9703" t="n">
        <v>0</v>
      </c>
      <c r="O9703" t="n">
        <v>0</v>
      </c>
      <c r="P9703" t="n">
        <v>0</v>
      </c>
      <c r="Q9703" t="n">
        <v>0</v>
      </c>
      <c r="R9703" s="2" t="inlineStr"/>
    </row>
    <row r="9704" ht="15" customHeight="1">
      <c r="A9704" t="inlineStr">
        <is>
          <t>A 46359-2023</t>
        </is>
      </c>
      <c r="B9704" s="1" t="n">
        <v>45193</v>
      </c>
      <c r="C9704" s="1" t="n">
        <v>46075</v>
      </c>
      <c r="D9704" t="inlineStr">
        <is>
          <t>VÄSTERBOTTENS LÄN</t>
        </is>
      </c>
      <c r="E9704" t="inlineStr">
        <is>
          <t>MALÅ</t>
        </is>
      </c>
      <c r="G9704" t="n">
        <v>1.8</v>
      </c>
      <c r="H9704" t="n">
        <v>0</v>
      </c>
      <c r="I9704" t="n">
        <v>0</v>
      </c>
      <c r="J9704" t="n">
        <v>0</v>
      </c>
      <c r="K9704" t="n">
        <v>0</v>
      </c>
      <c r="L9704" t="n">
        <v>0</v>
      </c>
      <c r="M9704" t="n">
        <v>0</v>
      </c>
      <c r="N9704" t="n">
        <v>0</v>
      </c>
      <c r="O9704" t="n">
        <v>0</v>
      </c>
      <c r="P9704" t="n">
        <v>0</v>
      </c>
      <c r="Q9704" t="n">
        <v>0</v>
      </c>
      <c r="R9704" s="2" t="inlineStr"/>
    </row>
    <row r="9705" ht="15" customHeight="1">
      <c r="A9705" t="inlineStr">
        <is>
          <t>A 31558-2023</t>
        </is>
      </c>
      <c r="B9705" s="1" t="n">
        <v>45104</v>
      </c>
      <c r="C9705" s="1" t="n">
        <v>46075</v>
      </c>
      <c r="D9705" t="inlineStr">
        <is>
          <t>VÄSTERBOTTENS LÄN</t>
        </is>
      </c>
      <c r="E9705" t="inlineStr">
        <is>
          <t>SKELLEFTEÅ</t>
        </is>
      </c>
      <c r="G9705" t="n">
        <v>6.2</v>
      </c>
      <c r="H9705" t="n">
        <v>0</v>
      </c>
      <c r="I9705" t="n">
        <v>0</v>
      </c>
      <c r="J9705" t="n">
        <v>0</v>
      </c>
      <c r="K9705" t="n">
        <v>0</v>
      </c>
      <c r="L9705" t="n">
        <v>0</v>
      </c>
      <c r="M9705" t="n">
        <v>0</v>
      </c>
      <c r="N9705" t="n">
        <v>0</v>
      </c>
      <c r="O9705" t="n">
        <v>0</v>
      </c>
      <c r="P9705" t="n">
        <v>0</v>
      </c>
      <c r="Q9705" t="n">
        <v>0</v>
      </c>
      <c r="R9705" s="2" t="inlineStr"/>
    </row>
    <row r="9706" ht="15" customHeight="1">
      <c r="A9706" t="inlineStr">
        <is>
          <t>A 7666-2026</t>
        </is>
      </c>
      <c r="B9706" s="1" t="n">
        <v>46062.40667824074</v>
      </c>
      <c r="C9706" s="1" t="n">
        <v>46075</v>
      </c>
      <c r="D9706" t="inlineStr">
        <is>
          <t>VÄSTERBOTTENS LÄN</t>
        </is>
      </c>
      <c r="E9706" t="inlineStr">
        <is>
          <t>NORSJÖ</t>
        </is>
      </c>
      <c r="G9706" t="n">
        <v>2.4</v>
      </c>
      <c r="H9706" t="n">
        <v>0</v>
      </c>
      <c r="I9706" t="n">
        <v>0</v>
      </c>
      <c r="J9706" t="n">
        <v>0</v>
      </c>
      <c r="K9706" t="n">
        <v>0</v>
      </c>
      <c r="L9706" t="n">
        <v>0</v>
      </c>
      <c r="M9706" t="n">
        <v>0</v>
      </c>
      <c r="N9706" t="n">
        <v>0</v>
      </c>
      <c r="O9706" t="n">
        <v>0</v>
      </c>
      <c r="P9706" t="n">
        <v>0</v>
      </c>
      <c r="Q9706" t="n">
        <v>0</v>
      </c>
      <c r="R9706" s="2" t="inlineStr"/>
    </row>
    <row r="9707" ht="15" customHeight="1">
      <c r="A9707" t="inlineStr">
        <is>
          <t>A 33289-2023</t>
        </is>
      </c>
      <c r="B9707" s="1" t="n">
        <v>45116</v>
      </c>
      <c r="C9707" s="1" t="n">
        <v>46075</v>
      </c>
      <c r="D9707" t="inlineStr">
        <is>
          <t>VÄSTERBOTTENS LÄN</t>
        </is>
      </c>
      <c r="E9707" t="inlineStr">
        <is>
          <t>SKELLEFTEÅ</t>
        </is>
      </c>
      <c r="G9707" t="n">
        <v>0.8</v>
      </c>
      <c r="H9707" t="n">
        <v>0</v>
      </c>
      <c r="I9707" t="n">
        <v>0</v>
      </c>
      <c r="J9707" t="n">
        <v>0</v>
      </c>
      <c r="K9707" t="n">
        <v>0</v>
      </c>
      <c r="L9707" t="n">
        <v>0</v>
      </c>
      <c r="M9707" t="n">
        <v>0</v>
      </c>
      <c r="N9707" t="n">
        <v>0</v>
      </c>
      <c r="O9707" t="n">
        <v>0</v>
      </c>
      <c r="P9707" t="n">
        <v>0</v>
      </c>
      <c r="Q9707" t="n">
        <v>0</v>
      </c>
      <c r="R9707" s="2" t="inlineStr"/>
    </row>
    <row r="9708" ht="15" customHeight="1">
      <c r="A9708" t="inlineStr">
        <is>
          <t>A 50488-2023</t>
        </is>
      </c>
      <c r="B9708" s="1" t="n">
        <v>45216</v>
      </c>
      <c r="C9708" s="1" t="n">
        <v>46075</v>
      </c>
      <c r="D9708" t="inlineStr">
        <is>
          <t>VÄSTERBOTTENS LÄN</t>
        </is>
      </c>
      <c r="E9708" t="inlineStr">
        <is>
          <t>SKELLEFTEÅ</t>
        </is>
      </c>
      <c r="G9708" t="n">
        <v>1.4</v>
      </c>
      <c r="H9708" t="n">
        <v>0</v>
      </c>
      <c r="I9708" t="n">
        <v>0</v>
      </c>
      <c r="J9708" t="n">
        <v>0</v>
      </c>
      <c r="K9708" t="n">
        <v>0</v>
      </c>
      <c r="L9708" t="n">
        <v>0</v>
      </c>
      <c r="M9708" t="n">
        <v>0</v>
      </c>
      <c r="N9708" t="n">
        <v>0</v>
      </c>
      <c r="O9708" t="n">
        <v>0</v>
      </c>
      <c r="P9708" t="n">
        <v>0</v>
      </c>
      <c r="Q9708" t="n">
        <v>0</v>
      </c>
      <c r="R9708" s="2" t="inlineStr"/>
    </row>
    <row r="9709" ht="15" customHeight="1">
      <c r="A9709" t="inlineStr">
        <is>
          <t>A 1962-2024</t>
        </is>
      </c>
      <c r="B9709" s="1" t="n">
        <v>45308</v>
      </c>
      <c r="C9709" s="1" t="n">
        <v>46075</v>
      </c>
      <c r="D9709" t="inlineStr">
        <is>
          <t>VÄSTERBOTTENS LÄN</t>
        </is>
      </c>
      <c r="E9709" t="inlineStr">
        <is>
          <t>LYCKSELE</t>
        </is>
      </c>
      <c r="F9709" t="inlineStr">
        <is>
          <t>Holmen skog AB</t>
        </is>
      </c>
      <c r="G9709" t="n">
        <v>9.300000000000001</v>
      </c>
      <c r="H9709" t="n">
        <v>0</v>
      </c>
      <c r="I9709" t="n">
        <v>0</v>
      </c>
      <c r="J9709" t="n">
        <v>0</v>
      </c>
      <c r="K9709" t="n">
        <v>0</v>
      </c>
      <c r="L9709" t="n">
        <v>0</v>
      </c>
      <c r="M9709" t="n">
        <v>0</v>
      </c>
      <c r="N9709" t="n">
        <v>0</v>
      </c>
      <c r="O9709" t="n">
        <v>0</v>
      </c>
      <c r="P9709" t="n">
        <v>0</v>
      </c>
      <c r="Q9709" t="n">
        <v>0</v>
      </c>
      <c r="R9709" s="2" t="inlineStr"/>
    </row>
    <row r="9710" ht="15" customHeight="1">
      <c r="A9710" t="inlineStr">
        <is>
          <t>A 63756-2025</t>
        </is>
      </c>
      <c r="B9710" s="1" t="n">
        <v>46018.36070601852</v>
      </c>
      <c r="C9710" s="1" t="n">
        <v>46075</v>
      </c>
      <c r="D9710" t="inlineStr">
        <is>
          <t>VÄSTERBOTTENS LÄN</t>
        </is>
      </c>
      <c r="E9710" t="inlineStr">
        <is>
          <t>NORDMALING</t>
        </is>
      </c>
      <c r="G9710" t="n">
        <v>12.8</v>
      </c>
      <c r="H9710" t="n">
        <v>0</v>
      </c>
      <c r="I9710" t="n">
        <v>0</v>
      </c>
      <c r="J9710" t="n">
        <v>0</v>
      </c>
      <c r="K9710" t="n">
        <v>0</v>
      </c>
      <c r="L9710" t="n">
        <v>0</v>
      </c>
      <c r="M9710" t="n">
        <v>0</v>
      </c>
      <c r="N9710" t="n">
        <v>0</v>
      </c>
      <c r="O9710" t="n">
        <v>0</v>
      </c>
      <c r="P9710" t="n">
        <v>0</v>
      </c>
      <c r="Q9710" t="n">
        <v>0</v>
      </c>
      <c r="R9710" s="2" t="inlineStr"/>
    </row>
    <row r="9711" ht="15" customHeight="1">
      <c r="A9711" t="inlineStr">
        <is>
          <t>A 31839-2024</t>
        </is>
      </c>
      <c r="B9711" s="1" t="n">
        <v>45509.65498842593</v>
      </c>
      <c r="C9711" s="1" t="n">
        <v>46075</v>
      </c>
      <c r="D9711" t="inlineStr">
        <is>
          <t>VÄSTERBOTTENS LÄN</t>
        </is>
      </c>
      <c r="E9711" t="inlineStr">
        <is>
          <t>VÄNNÄS</t>
        </is>
      </c>
      <c r="F9711" t="inlineStr">
        <is>
          <t>Holmen skog AB</t>
        </is>
      </c>
      <c r="G9711" t="n">
        <v>1.4</v>
      </c>
      <c r="H9711" t="n">
        <v>0</v>
      </c>
      <c r="I9711" t="n">
        <v>0</v>
      </c>
      <c r="J9711" t="n">
        <v>0</v>
      </c>
      <c r="K9711" t="n">
        <v>0</v>
      </c>
      <c r="L9711" t="n">
        <v>0</v>
      </c>
      <c r="M9711" t="n">
        <v>0</v>
      </c>
      <c r="N9711" t="n">
        <v>0</v>
      </c>
      <c r="O9711" t="n">
        <v>0</v>
      </c>
      <c r="P9711" t="n">
        <v>0</v>
      </c>
      <c r="Q9711" t="n">
        <v>0</v>
      </c>
      <c r="R9711" s="2" t="inlineStr"/>
    </row>
    <row r="9712" ht="15" customHeight="1">
      <c r="A9712" t="inlineStr">
        <is>
          <t>A 31871-2024</t>
        </is>
      </c>
      <c r="B9712" s="1" t="n">
        <v>45509.92899305555</v>
      </c>
      <c r="C9712" s="1" t="n">
        <v>46075</v>
      </c>
      <c r="D9712" t="inlineStr">
        <is>
          <t>VÄSTERBOTTENS LÄN</t>
        </is>
      </c>
      <c r="E9712" t="inlineStr">
        <is>
          <t>SKELLEFTEÅ</t>
        </is>
      </c>
      <c r="G9712" t="n">
        <v>3</v>
      </c>
      <c r="H9712" t="n">
        <v>0</v>
      </c>
      <c r="I9712" t="n">
        <v>0</v>
      </c>
      <c r="J9712" t="n">
        <v>0</v>
      </c>
      <c r="K9712" t="n">
        <v>0</v>
      </c>
      <c r="L9712" t="n">
        <v>0</v>
      </c>
      <c r="M9712" t="n">
        <v>0</v>
      </c>
      <c r="N9712" t="n">
        <v>0</v>
      </c>
      <c r="O9712" t="n">
        <v>0</v>
      </c>
      <c r="P9712" t="n">
        <v>0</v>
      </c>
      <c r="Q9712" t="n">
        <v>0</v>
      </c>
      <c r="R9712" s="2" t="inlineStr"/>
    </row>
    <row r="9713" ht="15" customHeight="1">
      <c r="A9713" t="inlineStr">
        <is>
          <t>A 31896-2024</t>
        </is>
      </c>
      <c r="B9713" s="1" t="n">
        <v>45509</v>
      </c>
      <c r="C9713" s="1" t="n">
        <v>46075</v>
      </c>
      <c r="D9713" t="inlineStr">
        <is>
          <t>VÄSTERBOTTENS LÄN</t>
        </is>
      </c>
      <c r="E9713" t="inlineStr">
        <is>
          <t>VILHELMINA</t>
        </is>
      </c>
      <c r="F9713" t="inlineStr">
        <is>
          <t>SCA</t>
        </is>
      </c>
      <c r="G9713" t="n">
        <v>2.9</v>
      </c>
      <c r="H9713" t="n">
        <v>0</v>
      </c>
      <c r="I9713" t="n">
        <v>0</v>
      </c>
      <c r="J9713" t="n">
        <v>0</v>
      </c>
      <c r="K9713" t="n">
        <v>0</v>
      </c>
      <c r="L9713" t="n">
        <v>0</v>
      </c>
      <c r="M9713" t="n">
        <v>0</v>
      </c>
      <c r="N9713" t="n">
        <v>0</v>
      </c>
      <c r="O9713" t="n">
        <v>0</v>
      </c>
      <c r="P9713" t="n">
        <v>0</v>
      </c>
      <c r="Q9713" t="n">
        <v>0</v>
      </c>
      <c r="R9713" s="2" t="inlineStr"/>
    </row>
    <row r="9714" ht="15" customHeight="1">
      <c r="A9714" t="inlineStr">
        <is>
          <t>A 19776-2024</t>
        </is>
      </c>
      <c r="B9714" s="1" t="n">
        <v>45432</v>
      </c>
      <c r="C9714" s="1" t="n">
        <v>46075</v>
      </c>
      <c r="D9714" t="inlineStr">
        <is>
          <t>VÄSTERBOTTENS LÄN</t>
        </is>
      </c>
      <c r="E9714" t="inlineStr">
        <is>
          <t>ROBERTSFORS</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7677-2026</t>
        </is>
      </c>
      <c r="B9715" s="1" t="n">
        <v>46062.42768518518</v>
      </c>
      <c r="C9715" s="1" t="n">
        <v>46075</v>
      </c>
      <c r="D9715" t="inlineStr">
        <is>
          <t>VÄSTERBOTTENS LÄN</t>
        </is>
      </c>
      <c r="E9715" t="inlineStr">
        <is>
          <t>SKELLEFTEÅ</t>
        </is>
      </c>
      <c r="G9715" t="n">
        <v>5</v>
      </c>
      <c r="H9715" t="n">
        <v>0</v>
      </c>
      <c r="I9715" t="n">
        <v>0</v>
      </c>
      <c r="J9715" t="n">
        <v>0</v>
      </c>
      <c r="K9715" t="n">
        <v>0</v>
      </c>
      <c r="L9715" t="n">
        <v>0</v>
      </c>
      <c r="M9715" t="n">
        <v>0</v>
      </c>
      <c r="N9715" t="n">
        <v>0</v>
      </c>
      <c r="O9715" t="n">
        <v>0</v>
      </c>
      <c r="P9715" t="n">
        <v>0</v>
      </c>
      <c r="Q9715" t="n">
        <v>0</v>
      </c>
      <c r="R9715" s="2" t="inlineStr"/>
    </row>
    <row r="9716" ht="15" customHeight="1">
      <c r="A9716" t="inlineStr">
        <is>
          <t>A 44387-2023</t>
        </is>
      </c>
      <c r="B9716" s="1" t="n">
        <v>45188.94491898148</v>
      </c>
      <c r="C9716" s="1" t="n">
        <v>46075</v>
      </c>
      <c r="D9716" t="inlineStr">
        <is>
          <t>VÄSTERBOTTENS LÄN</t>
        </is>
      </c>
      <c r="E9716" t="inlineStr">
        <is>
          <t>NORDMALING</t>
        </is>
      </c>
      <c r="F9716" t="inlineStr">
        <is>
          <t>SCA</t>
        </is>
      </c>
      <c r="G9716" t="n">
        <v>1.7</v>
      </c>
      <c r="H9716" t="n">
        <v>0</v>
      </c>
      <c r="I9716" t="n">
        <v>0</v>
      </c>
      <c r="J9716" t="n">
        <v>0</v>
      </c>
      <c r="K9716" t="n">
        <v>0</v>
      </c>
      <c r="L9716" t="n">
        <v>0</v>
      </c>
      <c r="M9716" t="n">
        <v>0</v>
      </c>
      <c r="N9716" t="n">
        <v>0</v>
      </c>
      <c r="O9716" t="n">
        <v>0</v>
      </c>
      <c r="P9716" t="n">
        <v>0</v>
      </c>
      <c r="Q9716" t="n">
        <v>0</v>
      </c>
      <c r="R9716" s="2" t="inlineStr"/>
    </row>
    <row r="9717" ht="15" customHeight="1">
      <c r="A9717" t="inlineStr">
        <is>
          <t>A 60000-2022</t>
        </is>
      </c>
      <c r="B9717" s="1" t="n">
        <v>44909.4678125</v>
      </c>
      <c r="C9717" s="1" t="n">
        <v>46075</v>
      </c>
      <c r="D9717" t="inlineStr">
        <is>
          <t>VÄSTERBOTTENS LÄN</t>
        </is>
      </c>
      <c r="E9717" t="inlineStr">
        <is>
          <t>SKELLEFTEÅ</t>
        </is>
      </c>
      <c r="G9717" t="n">
        <v>5.7</v>
      </c>
      <c r="H9717" t="n">
        <v>0</v>
      </c>
      <c r="I9717" t="n">
        <v>0</v>
      </c>
      <c r="J9717" t="n">
        <v>0</v>
      </c>
      <c r="K9717" t="n">
        <v>0</v>
      </c>
      <c r="L9717" t="n">
        <v>0</v>
      </c>
      <c r="M9717" t="n">
        <v>0</v>
      </c>
      <c r="N9717" t="n">
        <v>0</v>
      </c>
      <c r="O9717" t="n">
        <v>0</v>
      </c>
      <c r="P9717" t="n">
        <v>0</v>
      </c>
      <c r="Q9717" t="n">
        <v>0</v>
      </c>
      <c r="R9717" s="2" t="inlineStr"/>
    </row>
    <row r="9718" ht="15" customHeight="1">
      <c r="A9718" t="inlineStr">
        <is>
          <t>A 8090-2026</t>
        </is>
      </c>
      <c r="B9718" s="1" t="n">
        <v>46063.7046412037</v>
      </c>
      <c r="C9718" s="1" t="n">
        <v>46075</v>
      </c>
      <c r="D9718" t="inlineStr">
        <is>
          <t>VÄSTERBOTTENS LÄN</t>
        </is>
      </c>
      <c r="E9718" t="inlineStr">
        <is>
          <t>ROBERTSFORS</t>
        </is>
      </c>
      <c r="G9718" t="n">
        <v>3.5</v>
      </c>
      <c r="H9718" t="n">
        <v>0</v>
      </c>
      <c r="I9718" t="n">
        <v>0</v>
      </c>
      <c r="J9718" t="n">
        <v>0</v>
      </c>
      <c r="K9718" t="n">
        <v>0</v>
      </c>
      <c r="L9718" t="n">
        <v>0</v>
      </c>
      <c r="M9718" t="n">
        <v>0</v>
      </c>
      <c r="N9718" t="n">
        <v>0</v>
      </c>
      <c r="O9718" t="n">
        <v>0</v>
      </c>
      <c r="P9718" t="n">
        <v>0</v>
      </c>
      <c r="Q9718" t="n">
        <v>0</v>
      </c>
      <c r="R9718" s="2" t="inlineStr"/>
    </row>
    <row r="9719" ht="15" customHeight="1">
      <c r="A9719" t="inlineStr">
        <is>
          <t>A 63847-2025</t>
        </is>
      </c>
      <c r="B9719" s="1" t="n">
        <v>46020.44150462963</v>
      </c>
      <c r="C9719" s="1" t="n">
        <v>46075</v>
      </c>
      <c r="D9719" t="inlineStr">
        <is>
          <t>VÄSTERBOTTENS LÄN</t>
        </is>
      </c>
      <c r="E9719" t="inlineStr">
        <is>
          <t>NORSJÖ</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63993-2025</t>
        </is>
      </c>
      <c r="B9720" s="1" t="n">
        <v>46021.37748842593</v>
      </c>
      <c r="C9720" s="1" t="n">
        <v>46075</v>
      </c>
      <c r="D9720" t="inlineStr">
        <is>
          <t>VÄSTERBOTTENS LÄN</t>
        </is>
      </c>
      <c r="E9720" t="inlineStr">
        <is>
          <t>SKELLEFTEÅ</t>
        </is>
      </c>
      <c r="F9720" t="inlineStr">
        <is>
          <t>Sveaskog</t>
        </is>
      </c>
      <c r="G9720" t="n">
        <v>5.5</v>
      </c>
      <c r="H9720" t="n">
        <v>0</v>
      </c>
      <c r="I9720" t="n">
        <v>0</v>
      </c>
      <c r="J9720" t="n">
        <v>0</v>
      </c>
      <c r="K9720" t="n">
        <v>0</v>
      </c>
      <c r="L9720" t="n">
        <v>0</v>
      </c>
      <c r="M9720" t="n">
        <v>0</v>
      </c>
      <c r="N9720" t="n">
        <v>0</v>
      </c>
      <c r="O9720" t="n">
        <v>0</v>
      </c>
      <c r="P9720" t="n">
        <v>0</v>
      </c>
      <c r="Q9720" t="n">
        <v>0</v>
      </c>
      <c r="R9720" s="2" t="inlineStr"/>
    </row>
    <row r="9721" ht="15" customHeight="1">
      <c r="A9721" t="inlineStr">
        <is>
          <t>A 64053-2025</t>
        </is>
      </c>
      <c r="B9721" s="1" t="n">
        <v>46021.59449074074</v>
      </c>
      <c r="C9721" s="1" t="n">
        <v>46075</v>
      </c>
      <c r="D9721" t="inlineStr">
        <is>
          <t>VÄSTERBOTTENS LÄN</t>
        </is>
      </c>
      <c r="E9721" t="inlineStr">
        <is>
          <t>UMEÅ</t>
        </is>
      </c>
      <c r="G9721" t="n">
        <v>5.1</v>
      </c>
      <c r="H9721" t="n">
        <v>0</v>
      </c>
      <c r="I9721" t="n">
        <v>0</v>
      </c>
      <c r="J9721" t="n">
        <v>0</v>
      </c>
      <c r="K9721" t="n">
        <v>0</v>
      </c>
      <c r="L9721" t="n">
        <v>0</v>
      </c>
      <c r="M9721" t="n">
        <v>0</v>
      </c>
      <c r="N9721" t="n">
        <v>0</v>
      </c>
      <c r="O9721" t="n">
        <v>0</v>
      </c>
      <c r="P9721" t="n">
        <v>0</v>
      </c>
      <c r="Q9721" t="n">
        <v>0</v>
      </c>
      <c r="R9721" s="2" t="inlineStr"/>
    </row>
    <row r="9722" ht="15" customHeight="1">
      <c r="A9722" t="inlineStr">
        <is>
          <t>A 58572-2022</t>
        </is>
      </c>
      <c r="B9722" s="1" t="n">
        <v>44902</v>
      </c>
      <c r="C9722" s="1" t="n">
        <v>46075</v>
      </c>
      <c r="D9722" t="inlineStr">
        <is>
          <t>VÄSTERBOTTENS LÄN</t>
        </is>
      </c>
      <c r="E9722" t="inlineStr">
        <is>
          <t>SKELLEFTEÅ</t>
        </is>
      </c>
      <c r="F9722" t="inlineStr">
        <is>
          <t>Sveaskog</t>
        </is>
      </c>
      <c r="G9722" t="n">
        <v>14.7</v>
      </c>
      <c r="H9722" t="n">
        <v>0</v>
      </c>
      <c r="I9722" t="n">
        <v>0</v>
      </c>
      <c r="J9722" t="n">
        <v>0</v>
      </c>
      <c r="K9722" t="n">
        <v>0</v>
      </c>
      <c r="L9722" t="n">
        <v>0</v>
      </c>
      <c r="M9722" t="n">
        <v>0</v>
      </c>
      <c r="N9722" t="n">
        <v>0</v>
      </c>
      <c r="O9722" t="n">
        <v>0</v>
      </c>
      <c r="P9722" t="n">
        <v>0</v>
      </c>
      <c r="Q9722" t="n">
        <v>0</v>
      </c>
      <c r="R9722" s="2" t="inlineStr"/>
    </row>
    <row r="9723" ht="15" customHeight="1">
      <c r="A9723" t="inlineStr">
        <is>
          <t>A 46066-2021</t>
        </is>
      </c>
      <c r="B9723" s="1" t="n">
        <v>44441</v>
      </c>
      <c r="C9723" s="1" t="n">
        <v>46075</v>
      </c>
      <c r="D9723" t="inlineStr">
        <is>
          <t>VÄSTERBOTTENS LÄN</t>
        </is>
      </c>
      <c r="E9723" t="inlineStr">
        <is>
          <t>MALÅ</t>
        </is>
      </c>
      <c r="G9723" t="n">
        <v>1.7</v>
      </c>
      <c r="H9723" t="n">
        <v>0</v>
      </c>
      <c r="I9723" t="n">
        <v>0</v>
      </c>
      <c r="J9723" t="n">
        <v>0</v>
      </c>
      <c r="K9723" t="n">
        <v>0</v>
      </c>
      <c r="L9723" t="n">
        <v>0</v>
      </c>
      <c r="M9723" t="n">
        <v>0</v>
      </c>
      <c r="N9723" t="n">
        <v>0</v>
      </c>
      <c r="O9723" t="n">
        <v>0</v>
      </c>
      <c r="P9723" t="n">
        <v>0</v>
      </c>
      <c r="Q9723" t="n">
        <v>0</v>
      </c>
      <c r="R9723" s="2" t="inlineStr"/>
    </row>
    <row r="9724" ht="15" customHeight="1">
      <c r="A9724" t="inlineStr">
        <is>
          <t>A 44014-2025</t>
        </is>
      </c>
      <c r="B9724" s="1" t="n">
        <v>45915.469375</v>
      </c>
      <c r="C9724" s="1" t="n">
        <v>46075</v>
      </c>
      <c r="D9724" t="inlineStr">
        <is>
          <t>VÄSTERBOTTENS LÄN</t>
        </is>
      </c>
      <c r="E9724" t="inlineStr">
        <is>
          <t>VINDELN</t>
        </is>
      </c>
      <c r="F9724" t="inlineStr">
        <is>
          <t>SCA</t>
        </is>
      </c>
      <c r="G9724" t="n">
        <v>2.6</v>
      </c>
      <c r="H9724" t="n">
        <v>0</v>
      </c>
      <c r="I9724" t="n">
        <v>0</v>
      </c>
      <c r="J9724" t="n">
        <v>0</v>
      </c>
      <c r="K9724" t="n">
        <v>0</v>
      </c>
      <c r="L9724" t="n">
        <v>0</v>
      </c>
      <c r="M9724" t="n">
        <v>0</v>
      </c>
      <c r="N9724" t="n">
        <v>0</v>
      </c>
      <c r="O9724" t="n">
        <v>0</v>
      </c>
      <c r="P9724" t="n">
        <v>0</v>
      </c>
      <c r="Q9724" t="n">
        <v>0</v>
      </c>
      <c r="R9724" s="2" t="inlineStr"/>
    </row>
    <row r="9725" ht="15" customHeight="1">
      <c r="A9725" t="inlineStr">
        <is>
          <t>A 7954-2026</t>
        </is>
      </c>
      <c r="B9725" s="1" t="n">
        <v>46063.42759259259</v>
      </c>
      <c r="C9725" s="1" t="n">
        <v>46075</v>
      </c>
      <c r="D9725" t="inlineStr">
        <is>
          <t>VÄSTERBOTTENS LÄN</t>
        </is>
      </c>
      <c r="E9725" t="inlineStr">
        <is>
          <t>LYCKSELE</t>
        </is>
      </c>
      <c r="F9725" t="inlineStr">
        <is>
          <t>Naturvårdsverket</t>
        </is>
      </c>
      <c r="G9725" t="n">
        <v>6.3</v>
      </c>
      <c r="H9725" t="n">
        <v>0</v>
      </c>
      <c r="I9725" t="n">
        <v>0</v>
      </c>
      <c r="J9725" t="n">
        <v>0</v>
      </c>
      <c r="K9725" t="n">
        <v>0</v>
      </c>
      <c r="L9725" t="n">
        <v>0</v>
      </c>
      <c r="M9725" t="n">
        <v>0</v>
      </c>
      <c r="N9725" t="n">
        <v>0</v>
      </c>
      <c r="O9725" t="n">
        <v>0</v>
      </c>
      <c r="P9725" t="n">
        <v>0</v>
      </c>
      <c r="Q9725" t="n">
        <v>0</v>
      </c>
      <c r="R9725" s="2" t="inlineStr"/>
    </row>
    <row r="9726" ht="15" customHeight="1">
      <c r="A9726" t="inlineStr">
        <is>
          <t>A 8018-2026</t>
        </is>
      </c>
      <c r="B9726" s="1" t="n">
        <v>46063.55266203704</v>
      </c>
      <c r="C9726" s="1" t="n">
        <v>46075</v>
      </c>
      <c r="D9726" t="inlineStr">
        <is>
          <t>VÄSTERBOTTENS LÄN</t>
        </is>
      </c>
      <c r="E9726" t="inlineStr">
        <is>
          <t>LYCKSELE</t>
        </is>
      </c>
      <c r="F9726" t="inlineStr">
        <is>
          <t>Naturvårdsverket</t>
        </is>
      </c>
      <c r="G9726" t="n">
        <v>11.4</v>
      </c>
      <c r="H9726" t="n">
        <v>0</v>
      </c>
      <c r="I9726" t="n">
        <v>0</v>
      </c>
      <c r="J9726" t="n">
        <v>0</v>
      </c>
      <c r="K9726" t="n">
        <v>0</v>
      </c>
      <c r="L9726" t="n">
        <v>0</v>
      </c>
      <c r="M9726" t="n">
        <v>0</v>
      </c>
      <c r="N9726" t="n">
        <v>0</v>
      </c>
      <c r="O9726" t="n">
        <v>0</v>
      </c>
      <c r="P9726" t="n">
        <v>0</v>
      </c>
      <c r="Q9726" t="n">
        <v>0</v>
      </c>
      <c r="R9726" s="2" t="inlineStr"/>
    </row>
    <row r="9727" ht="15" customHeight="1">
      <c r="A9727" t="inlineStr">
        <is>
          <t>A 14803-2024</t>
        </is>
      </c>
      <c r="B9727" s="1" t="n">
        <v>45397.92915509259</v>
      </c>
      <c r="C9727" s="1" t="n">
        <v>46075</v>
      </c>
      <c r="D9727" t="inlineStr">
        <is>
          <t>VÄSTERBOTTENS LÄN</t>
        </is>
      </c>
      <c r="E9727" t="inlineStr">
        <is>
          <t>STORUMAN</t>
        </is>
      </c>
      <c r="G9727" t="n">
        <v>7</v>
      </c>
      <c r="H9727" t="n">
        <v>0</v>
      </c>
      <c r="I9727" t="n">
        <v>0</v>
      </c>
      <c r="J9727" t="n">
        <v>0</v>
      </c>
      <c r="K9727" t="n">
        <v>0</v>
      </c>
      <c r="L9727" t="n">
        <v>0</v>
      </c>
      <c r="M9727" t="n">
        <v>0</v>
      </c>
      <c r="N9727" t="n">
        <v>0</v>
      </c>
      <c r="O9727" t="n">
        <v>0</v>
      </c>
      <c r="P9727" t="n">
        <v>0</v>
      </c>
      <c r="Q9727" t="n">
        <v>0</v>
      </c>
      <c r="R9727" s="2" t="inlineStr"/>
    </row>
    <row r="9728" ht="15" customHeight="1">
      <c r="A9728" t="inlineStr">
        <is>
          <t>A 41361-2023</t>
        </is>
      </c>
      <c r="B9728" s="1" t="n">
        <v>45174</v>
      </c>
      <c r="C9728" s="1" t="n">
        <v>46075</v>
      </c>
      <c r="D9728" t="inlineStr">
        <is>
          <t>VÄSTERBOTTENS LÄN</t>
        </is>
      </c>
      <c r="E9728" t="inlineStr">
        <is>
          <t>LYCKSELE</t>
        </is>
      </c>
      <c r="F9728" t="inlineStr">
        <is>
          <t>Holmen skog AB</t>
        </is>
      </c>
      <c r="G9728" t="n">
        <v>6.6</v>
      </c>
      <c r="H9728" t="n">
        <v>0</v>
      </c>
      <c r="I9728" t="n">
        <v>0</v>
      </c>
      <c r="J9728" t="n">
        <v>0</v>
      </c>
      <c r="K9728" t="n">
        <v>0</v>
      </c>
      <c r="L9728" t="n">
        <v>0</v>
      </c>
      <c r="M9728" t="n">
        <v>0</v>
      </c>
      <c r="N9728" t="n">
        <v>0</v>
      </c>
      <c r="O9728" t="n">
        <v>0</v>
      </c>
      <c r="P9728" t="n">
        <v>0</v>
      </c>
      <c r="Q9728" t="n">
        <v>0</v>
      </c>
      <c r="R9728" s="2" t="inlineStr"/>
    </row>
    <row r="9729" ht="15" customHeight="1">
      <c r="A9729" t="inlineStr">
        <is>
          <t>A 64089-2025</t>
        </is>
      </c>
      <c r="B9729" s="1" t="n">
        <v>46021.72287037037</v>
      </c>
      <c r="C9729" s="1" t="n">
        <v>46075</v>
      </c>
      <c r="D9729" t="inlineStr">
        <is>
          <t>VÄSTERBOTTENS LÄN</t>
        </is>
      </c>
      <c r="E9729" t="inlineStr">
        <is>
          <t>UMEÅ</t>
        </is>
      </c>
      <c r="G9729" t="n">
        <v>1.5</v>
      </c>
      <c r="H9729" t="n">
        <v>0</v>
      </c>
      <c r="I9729" t="n">
        <v>0</v>
      </c>
      <c r="J9729" t="n">
        <v>0</v>
      </c>
      <c r="K9729" t="n">
        <v>0</v>
      </c>
      <c r="L9729" t="n">
        <v>0</v>
      </c>
      <c r="M9729" t="n">
        <v>0</v>
      </c>
      <c r="N9729" t="n">
        <v>0</v>
      </c>
      <c r="O9729" t="n">
        <v>0</v>
      </c>
      <c r="P9729" t="n">
        <v>0</v>
      </c>
      <c r="Q9729" t="n">
        <v>0</v>
      </c>
      <c r="R9729" s="2" t="inlineStr"/>
    </row>
    <row r="9730" ht="15" customHeight="1">
      <c r="A9730" t="inlineStr">
        <is>
          <t>A 64111-2025</t>
        </is>
      </c>
      <c r="B9730" s="1" t="n">
        <v>46013</v>
      </c>
      <c r="C9730" s="1" t="n">
        <v>46075</v>
      </c>
      <c r="D9730" t="inlineStr">
        <is>
          <t>VÄSTERBOTTENS LÄN</t>
        </is>
      </c>
      <c r="E9730" t="inlineStr">
        <is>
          <t>VILHELMINA</t>
        </is>
      </c>
      <c r="G9730" t="n">
        <v>23.6</v>
      </c>
      <c r="H9730" t="n">
        <v>0</v>
      </c>
      <c r="I9730" t="n">
        <v>0</v>
      </c>
      <c r="J9730" t="n">
        <v>0</v>
      </c>
      <c r="K9730" t="n">
        <v>0</v>
      </c>
      <c r="L9730" t="n">
        <v>0</v>
      </c>
      <c r="M9730" t="n">
        <v>0</v>
      </c>
      <c r="N9730" t="n">
        <v>0</v>
      </c>
      <c r="O9730" t="n">
        <v>0</v>
      </c>
      <c r="P9730" t="n">
        <v>0</v>
      </c>
      <c r="Q9730" t="n">
        <v>0</v>
      </c>
      <c r="R9730" s="2" t="inlineStr"/>
    </row>
    <row r="9731" ht="15" customHeight="1">
      <c r="A9731" t="inlineStr">
        <is>
          <t>A 5285-2026</t>
        </is>
      </c>
      <c r="B9731" s="1" t="n">
        <v>46050</v>
      </c>
      <c r="C9731" s="1" t="n">
        <v>46075</v>
      </c>
      <c r="D9731" t="inlineStr">
        <is>
          <t>VÄSTERBOTTENS LÄN</t>
        </is>
      </c>
      <c r="E9731" t="inlineStr">
        <is>
          <t>ROBERTSFORS</t>
        </is>
      </c>
      <c r="G9731" t="n">
        <v>0.5</v>
      </c>
      <c r="H9731" t="n">
        <v>0</v>
      </c>
      <c r="I9731" t="n">
        <v>0</v>
      </c>
      <c r="J9731" t="n">
        <v>0</v>
      </c>
      <c r="K9731" t="n">
        <v>0</v>
      </c>
      <c r="L9731" t="n">
        <v>0</v>
      </c>
      <c r="M9731" t="n">
        <v>0</v>
      </c>
      <c r="N9731" t="n">
        <v>0</v>
      </c>
      <c r="O9731" t="n">
        <v>0</v>
      </c>
      <c r="P9731" t="n">
        <v>0</v>
      </c>
      <c r="Q9731" t="n">
        <v>0</v>
      </c>
      <c r="R9731" s="2" t="inlineStr"/>
    </row>
    <row r="9732" ht="15" customHeight="1">
      <c r="A9732" t="inlineStr">
        <is>
          <t>A 41409-2023</t>
        </is>
      </c>
      <c r="B9732" s="1" t="n">
        <v>45174.93927083333</v>
      </c>
      <c r="C9732" s="1" t="n">
        <v>46075</v>
      </c>
      <c r="D9732" t="inlineStr">
        <is>
          <t>VÄSTERBOTTENS LÄN</t>
        </is>
      </c>
      <c r="E9732" t="inlineStr">
        <is>
          <t>ÅSELE</t>
        </is>
      </c>
      <c r="F9732" t="inlineStr">
        <is>
          <t>SCA</t>
        </is>
      </c>
      <c r="G9732" t="n">
        <v>7.3</v>
      </c>
      <c r="H9732" t="n">
        <v>0</v>
      </c>
      <c r="I9732" t="n">
        <v>0</v>
      </c>
      <c r="J9732" t="n">
        <v>0</v>
      </c>
      <c r="K9732" t="n">
        <v>0</v>
      </c>
      <c r="L9732" t="n">
        <v>0</v>
      </c>
      <c r="M9732" t="n">
        <v>0</v>
      </c>
      <c r="N9732" t="n">
        <v>0</v>
      </c>
      <c r="O9732" t="n">
        <v>0</v>
      </c>
      <c r="P9732" t="n">
        <v>0</v>
      </c>
      <c r="Q9732" t="n">
        <v>0</v>
      </c>
      <c r="R9732" s="2" t="inlineStr"/>
    </row>
    <row r="9733" ht="15" customHeight="1">
      <c r="A9733" t="inlineStr">
        <is>
          <t>A 35935-2024</t>
        </is>
      </c>
      <c r="B9733" s="1" t="n">
        <v>45533.45237268518</v>
      </c>
      <c r="C9733" s="1" t="n">
        <v>46075</v>
      </c>
      <c r="D9733" t="inlineStr">
        <is>
          <t>VÄSTERBOTTENS LÄN</t>
        </is>
      </c>
      <c r="E9733" t="inlineStr">
        <is>
          <t>NORSJÖ</t>
        </is>
      </c>
      <c r="F9733" t="inlineStr">
        <is>
          <t>Holmen skog AB</t>
        </is>
      </c>
      <c r="G9733" t="n">
        <v>7.4</v>
      </c>
      <c r="H9733" t="n">
        <v>0</v>
      </c>
      <c r="I9733" t="n">
        <v>0</v>
      </c>
      <c r="J9733" t="n">
        <v>0</v>
      </c>
      <c r="K9733" t="n">
        <v>0</v>
      </c>
      <c r="L9733" t="n">
        <v>0</v>
      </c>
      <c r="M9733" t="n">
        <v>0</v>
      </c>
      <c r="N9733" t="n">
        <v>0</v>
      </c>
      <c r="O9733" t="n">
        <v>0</v>
      </c>
      <c r="P9733" t="n">
        <v>0</v>
      </c>
      <c r="Q9733" t="n">
        <v>0</v>
      </c>
      <c r="R9733" s="2" t="inlineStr"/>
    </row>
    <row r="9734" ht="15" customHeight="1">
      <c r="A9734" t="inlineStr">
        <is>
          <t>A 33711-2023</t>
        </is>
      </c>
      <c r="B9734" s="1" t="n">
        <v>45132</v>
      </c>
      <c r="C9734" s="1" t="n">
        <v>46075</v>
      </c>
      <c r="D9734" t="inlineStr">
        <is>
          <t>VÄSTERBOTTENS LÄN</t>
        </is>
      </c>
      <c r="E9734" t="inlineStr">
        <is>
          <t>BJURHOLM</t>
        </is>
      </c>
      <c r="F9734" t="inlineStr">
        <is>
          <t>SCA</t>
        </is>
      </c>
      <c r="G9734" t="n">
        <v>70.09999999999999</v>
      </c>
      <c r="H9734" t="n">
        <v>0</v>
      </c>
      <c r="I9734" t="n">
        <v>0</v>
      </c>
      <c r="J9734" t="n">
        <v>0</v>
      </c>
      <c r="K9734" t="n">
        <v>0</v>
      </c>
      <c r="L9734" t="n">
        <v>0</v>
      </c>
      <c r="M9734" t="n">
        <v>0</v>
      </c>
      <c r="N9734" t="n">
        <v>0</v>
      </c>
      <c r="O9734" t="n">
        <v>0</v>
      </c>
      <c r="P9734" t="n">
        <v>0</v>
      </c>
      <c r="Q9734" t="n">
        <v>0</v>
      </c>
      <c r="R9734" s="2" t="inlineStr"/>
    </row>
    <row r="9735" ht="15" customHeight="1">
      <c r="A9735" t="inlineStr">
        <is>
          <t>A 19726-2025</t>
        </is>
      </c>
      <c r="B9735" s="1" t="n">
        <v>45771.36527777778</v>
      </c>
      <c r="C9735" s="1" t="n">
        <v>46075</v>
      </c>
      <c r="D9735" t="inlineStr">
        <is>
          <t>VÄSTERBOTTENS LÄN</t>
        </is>
      </c>
      <c r="E9735" t="inlineStr">
        <is>
          <t>DOROTEA</t>
        </is>
      </c>
      <c r="F9735" t="inlineStr">
        <is>
          <t>SCA</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19734-2025</t>
        </is>
      </c>
      <c r="B9736" s="1" t="n">
        <v>45771.36695601852</v>
      </c>
      <c r="C9736" s="1" t="n">
        <v>46075</v>
      </c>
      <c r="D9736" t="inlineStr">
        <is>
          <t>VÄSTERBOTTENS LÄN</t>
        </is>
      </c>
      <c r="E9736" t="inlineStr">
        <is>
          <t>VÄNNÄS</t>
        </is>
      </c>
      <c r="F9736" t="inlineStr">
        <is>
          <t>Holmen skog AB</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7963-2026</t>
        </is>
      </c>
      <c r="B9737" s="1" t="n">
        <v>46063.44837962963</v>
      </c>
      <c r="C9737" s="1" t="n">
        <v>46075</v>
      </c>
      <c r="D9737" t="inlineStr">
        <is>
          <t>VÄSTERBOTTENS LÄN</t>
        </is>
      </c>
      <c r="E9737" t="inlineStr">
        <is>
          <t>DOROTEA</t>
        </is>
      </c>
      <c r="F9737" t="inlineStr">
        <is>
          <t>SCA</t>
        </is>
      </c>
      <c r="G9737" t="n">
        <v>3</v>
      </c>
      <c r="H9737" t="n">
        <v>0</v>
      </c>
      <c r="I9737" t="n">
        <v>0</v>
      </c>
      <c r="J9737" t="n">
        <v>0</v>
      </c>
      <c r="K9737" t="n">
        <v>0</v>
      </c>
      <c r="L9737" t="n">
        <v>0</v>
      </c>
      <c r="M9737" t="n">
        <v>0</v>
      </c>
      <c r="N9737" t="n">
        <v>0</v>
      </c>
      <c r="O9737" t="n">
        <v>0</v>
      </c>
      <c r="P9737" t="n">
        <v>0</v>
      </c>
      <c r="Q9737" t="n">
        <v>0</v>
      </c>
      <c r="R9737" s="2" t="inlineStr"/>
    </row>
    <row r="9738" ht="15" customHeight="1">
      <c r="A9738" t="inlineStr">
        <is>
          <t>A 7975-2026</t>
        </is>
      </c>
      <c r="B9738" s="1" t="n">
        <v>46063.46784722222</v>
      </c>
      <c r="C9738" s="1" t="n">
        <v>46075</v>
      </c>
      <c r="D9738" t="inlineStr">
        <is>
          <t>VÄSTERBOTTENS LÄN</t>
        </is>
      </c>
      <c r="E9738" t="inlineStr">
        <is>
          <t>UMEÅ</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19928-2025</t>
        </is>
      </c>
      <c r="B9739" s="1" t="n">
        <v>45771</v>
      </c>
      <c r="C9739" s="1" t="n">
        <v>46075</v>
      </c>
      <c r="D9739" t="inlineStr">
        <is>
          <t>VÄSTERBOTTENS LÄN</t>
        </is>
      </c>
      <c r="E9739" t="inlineStr">
        <is>
          <t>ÅSELE</t>
        </is>
      </c>
      <c r="F9739" t="inlineStr">
        <is>
          <t>SCA</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42304-2024</t>
        </is>
      </c>
      <c r="B9740" s="1" t="n">
        <v>45562</v>
      </c>
      <c r="C9740" s="1" t="n">
        <v>46075</v>
      </c>
      <c r="D9740" t="inlineStr">
        <is>
          <t>VÄSTERBOTTENS LÄN</t>
        </is>
      </c>
      <c r="E9740" t="inlineStr">
        <is>
          <t>ÅSELE</t>
        </is>
      </c>
      <c r="F9740" t="inlineStr">
        <is>
          <t>Holmen skog AB</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7874-2026</t>
        </is>
      </c>
      <c r="B9741" s="1" t="n">
        <v>46063.11611111111</v>
      </c>
      <c r="C9741" s="1" t="n">
        <v>46075</v>
      </c>
      <c r="D9741" t="inlineStr">
        <is>
          <t>VÄSTERBOTTENS LÄN</t>
        </is>
      </c>
      <c r="E9741" t="inlineStr">
        <is>
          <t>VÄNNÄS</t>
        </is>
      </c>
      <c r="G9741" t="n">
        <v>4</v>
      </c>
      <c r="H9741" t="n">
        <v>0</v>
      </c>
      <c r="I9741" t="n">
        <v>0</v>
      </c>
      <c r="J9741" t="n">
        <v>0</v>
      </c>
      <c r="K9741" t="n">
        <v>0</v>
      </c>
      <c r="L9741" t="n">
        <v>0</v>
      </c>
      <c r="M9741" t="n">
        <v>0</v>
      </c>
      <c r="N9741" t="n">
        <v>0</v>
      </c>
      <c r="O9741" t="n">
        <v>0</v>
      </c>
      <c r="P9741" t="n">
        <v>0</v>
      </c>
      <c r="Q9741" t="n">
        <v>0</v>
      </c>
      <c r="R9741" s="2" t="inlineStr"/>
    </row>
    <row r="9742" ht="15" customHeight="1">
      <c r="A9742" t="inlineStr">
        <is>
          <t>A 7875-2026</t>
        </is>
      </c>
      <c r="B9742" s="1" t="n">
        <v>46063.11847222222</v>
      </c>
      <c r="C9742" s="1" t="n">
        <v>46075</v>
      </c>
      <c r="D9742" t="inlineStr">
        <is>
          <t>VÄSTERBOTTENS LÄN</t>
        </is>
      </c>
      <c r="E9742" t="inlineStr">
        <is>
          <t>VÄNNÄS</t>
        </is>
      </c>
      <c r="G9742" t="n">
        <v>3</v>
      </c>
      <c r="H9742" t="n">
        <v>0</v>
      </c>
      <c r="I9742" t="n">
        <v>0</v>
      </c>
      <c r="J9742" t="n">
        <v>0</v>
      </c>
      <c r="K9742" t="n">
        <v>0</v>
      </c>
      <c r="L9742" t="n">
        <v>0</v>
      </c>
      <c r="M9742" t="n">
        <v>0</v>
      </c>
      <c r="N9742" t="n">
        <v>0</v>
      </c>
      <c r="O9742" t="n">
        <v>0</v>
      </c>
      <c r="P9742" t="n">
        <v>0</v>
      </c>
      <c r="Q9742" t="n">
        <v>0</v>
      </c>
      <c r="R9742" s="2" t="inlineStr"/>
    </row>
    <row r="9743" ht="15" customHeight="1">
      <c r="A9743" t="inlineStr">
        <is>
          <t>A 5133-2025</t>
        </is>
      </c>
      <c r="B9743" s="1" t="n">
        <v>45691.57523148148</v>
      </c>
      <c r="C9743" s="1" t="n">
        <v>46075</v>
      </c>
      <c r="D9743" t="inlineStr">
        <is>
          <t>VÄSTERBOTTENS LÄN</t>
        </is>
      </c>
      <c r="E9743" t="inlineStr">
        <is>
          <t>SKELLEFTEÅ</t>
        </is>
      </c>
      <c r="G9743" t="n">
        <v>7.1</v>
      </c>
      <c r="H9743" t="n">
        <v>0</v>
      </c>
      <c r="I9743" t="n">
        <v>0</v>
      </c>
      <c r="J9743" t="n">
        <v>0</v>
      </c>
      <c r="K9743" t="n">
        <v>0</v>
      </c>
      <c r="L9743" t="n">
        <v>0</v>
      </c>
      <c r="M9743" t="n">
        <v>0</v>
      </c>
      <c r="N9743" t="n">
        <v>0</v>
      </c>
      <c r="O9743" t="n">
        <v>0</v>
      </c>
      <c r="P9743" t="n">
        <v>0</v>
      </c>
      <c r="Q9743" t="n">
        <v>0</v>
      </c>
      <c r="R9743" s="2" t="inlineStr"/>
    </row>
    <row r="9744" ht="15" customHeight="1">
      <c r="A9744" t="inlineStr">
        <is>
          <t>A 33713-2024</t>
        </is>
      </c>
      <c r="B9744" s="1" t="n">
        <v>45520.53105324074</v>
      </c>
      <c r="C9744" s="1" t="n">
        <v>46075</v>
      </c>
      <c r="D9744" t="inlineStr">
        <is>
          <t>VÄSTERBOTTENS LÄN</t>
        </is>
      </c>
      <c r="E9744" t="inlineStr">
        <is>
          <t>LYCKSELE</t>
        </is>
      </c>
      <c r="F9744" t="inlineStr">
        <is>
          <t>Sveaskog</t>
        </is>
      </c>
      <c r="G9744" t="n">
        <v>7.5</v>
      </c>
      <c r="H9744" t="n">
        <v>0</v>
      </c>
      <c r="I9744" t="n">
        <v>0</v>
      </c>
      <c r="J9744" t="n">
        <v>0</v>
      </c>
      <c r="K9744" t="n">
        <v>0</v>
      </c>
      <c r="L9744" t="n">
        <v>0</v>
      </c>
      <c r="M9744" t="n">
        <v>0</v>
      </c>
      <c r="N9744" t="n">
        <v>0</v>
      </c>
      <c r="O9744" t="n">
        <v>0</v>
      </c>
      <c r="P9744" t="n">
        <v>0</v>
      </c>
      <c r="Q9744" t="n">
        <v>0</v>
      </c>
      <c r="R9744" s="2" t="inlineStr"/>
    </row>
    <row r="9745" ht="15" customHeight="1">
      <c r="A9745" t="inlineStr">
        <is>
          <t>A 5147-2025</t>
        </is>
      </c>
      <c r="B9745" s="1" t="n">
        <v>45691.58826388889</v>
      </c>
      <c r="C9745" s="1" t="n">
        <v>46075</v>
      </c>
      <c r="D9745" t="inlineStr">
        <is>
          <t>VÄSTERBOTTENS LÄN</t>
        </is>
      </c>
      <c r="E9745" t="inlineStr">
        <is>
          <t>SKELLEFTEÅ</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7251-2024</t>
        </is>
      </c>
      <c r="B9746" s="1" t="n">
        <v>45344</v>
      </c>
      <c r="C9746" s="1" t="n">
        <v>46075</v>
      </c>
      <c r="D9746" t="inlineStr">
        <is>
          <t>VÄSTERBOTTENS LÄN</t>
        </is>
      </c>
      <c r="E9746" t="inlineStr">
        <is>
          <t>NORDMALING</t>
        </is>
      </c>
      <c r="G9746" t="n">
        <v>2.2</v>
      </c>
      <c r="H9746" t="n">
        <v>0</v>
      </c>
      <c r="I9746" t="n">
        <v>0</v>
      </c>
      <c r="J9746" t="n">
        <v>0</v>
      </c>
      <c r="K9746" t="n">
        <v>0</v>
      </c>
      <c r="L9746" t="n">
        <v>0</v>
      </c>
      <c r="M9746" t="n">
        <v>0</v>
      </c>
      <c r="N9746" t="n">
        <v>0</v>
      </c>
      <c r="O9746" t="n">
        <v>0</v>
      </c>
      <c r="P9746" t="n">
        <v>0</v>
      </c>
      <c r="Q9746" t="n">
        <v>0</v>
      </c>
      <c r="R9746" s="2" t="inlineStr"/>
    </row>
    <row r="9747" ht="15" customHeight="1">
      <c r="A9747" t="inlineStr">
        <is>
          <t>A 38318-2024</t>
        </is>
      </c>
      <c r="B9747" s="1" t="n">
        <v>45545.66155092593</v>
      </c>
      <c r="C9747" s="1" t="n">
        <v>46075</v>
      </c>
      <c r="D9747" t="inlineStr">
        <is>
          <t>VÄSTERBOTTENS LÄN</t>
        </is>
      </c>
      <c r="E9747" t="inlineStr">
        <is>
          <t>NORSJÖ</t>
        </is>
      </c>
      <c r="F9747" t="inlineStr">
        <is>
          <t>Holmen skog AB</t>
        </is>
      </c>
      <c r="G9747" t="n">
        <v>1.6</v>
      </c>
      <c r="H9747" t="n">
        <v>0</v>
      </c>
      <c r="I9747" t="n">
        <v>0</v>
      </c>
      <c r="J9747" t="n">
        <v>0</v>
      </c>
      <c r="K9747" t="n">
        <v>0</v>
      </c>
      <c r="L9747" t="n">
        <v>0</v>
      </c>
      <c r="M9747" t="n">
        <v>0</v>
      </c>
      <c r="N9747" t="n">
        <v>0</v>
      </c>
      <c r="O9747" t="n">
        <v>0</v>
      </c>
      <c r="P9747" t="n">
        <v>0</v>
      </c>
      <c r="Q9747" t="n">
        <v>0</v>
      </c>
      <c r="R9747" s="2" t="inlineStr"/>
    </row>
    <row r="9748" ht="15" customHeight="1">
      <c r="A9748" t="inlineStr">
        <is>
          <t>A 38398-2024</t>
        </is>
      </c>
      <c r="B9748" s="1" t="n">
        <v>45546.33550925926</v>
      </c>
      <c r="C9748" s="1" t="n">
        <v>46075</v>
      </c>
      <c r="D9748" t="inlineStr">
        <is>
          <t>VÄSTERBOTTENS LÄN</t>
        </is>
      </c>
      <c r="E9748" t="inlineStr">
        <is>
          <t>SKELLEFTEÅ</t>
        </is>
      </c>
      <c r="G9748" t="n">
        <v>0.6</v>
      </c>
      <c r="H9748" t="n">
        <v>0</v>
      </c>
      <c r="I9748" t="n">
        <v>0</v>
      </c>
      <c r="J9748" t="n">
        <v>0</v>
      </c>
      <c r="K9748" t="n">
        <v>0</v>
      </c>
      <c r="L9748" t="n">
        <v>0</v>
      </c>
      <c r="M9748" t="n">
        <v>0</v>
      </c>
      <c r="N9748" t="n">
        <v>0</v>
      </c>
      <c r="O9748" t="n">
        <v>0</v>
      </c>
      <c r="P9748" t="n">
        <v>0</v>
      </c>
      <c r="Q9748" t="n">
        <v>0</v>
      </c>
      <c r="R9748" s="2" t="inlineStr"/>
    </row>
    <row r="9749" ht="15" customHeight="1">
      <c r="A9749" t="inlineStr">
        <is>
          <t>A 15332-2023</t>
        </is>
      </c>
      <c r="B9749" s="1" t="n">
        <v>45016</v>
      </c>
      <c r="C9749" s="1" t="n">
        <v>46075</v>
      </c>
      <c r="D9749" t="inlineStr">
        <is>
          <t>VÄSTERBOTTENS LÄN</t>
        </is>
      </c>
      <c r="E9749" t="inlineStr">
        <is>
          <t>SKELLEFTEÅ</t>
        </is>
      </c>
      <c r="G9749" t="n">
        <v>0.3</v>
      </c>
      <c r="H9749" t="n">
        <v>0</v>
      </c>
      <c r="I9749" t="n">
        <v>0</v>
      </c>
      <c r="J9749" t="n">
        <v>0</v>
      </c>
      <c r="K9749" t="n">
        <v>0</v>
      </c>
      <c r="L9749" t="n">
        <v>0</v>
      </c>
      <c r="M9749" t="n">
        <v>0</v>
      </c>
      <c r="N9749" t="n">
        <v>0</v>
      </c>
      <c r="O9749" t="n">
        <v>0</v>
      </c>
      <c r="P9749" t="n">
        <v>0</v>
      </c>
      <c r="Q9749" t="n">
        <v>0</v>
      </c>
      <c r="R9749" s="2" t="inlineStr"/>
    </row>
    <row r="9750" ht="15" customHeight="1">
      <c r="A9750" t="inlineStr">
        <is>
          <t>A 43251-2024</t>
        </is>
      </c>
      <c r="B9750" s="1" t="n">
        <v>45568.34429398148</v>
      </c>
      <c r="C9750" s="1" t="n">
        <v>46075</v>
      </c>
      <c r="D9750" t="inlineStr">
        <is>
          <t>VÄSTERBOTTENS LÄN</t>
        </is>
      </c>
      <c r="E9750" t="inlineStr">
        <is>
          <t>VILHELMINA</t>
        </is>
      </c>
      <c r="F9750" t="inlineStr">
        <is>
          <t>SCA</t>
        </is>
      </c>
      <c r="G9750" t="n">
        <v>5.4</v>
      </c>
      <c r="H9750" t="n">
        <v>0</v>
      </c>
      <c r="I9750" t="n">
        <v>0</v>
      </c>
      <c r="J9750" t="n">
        <v>0</v>
      </c>
      <c r="K9750" t="n">
        <v>0</v>
      </c>
      <c r="L9750" t="n">
        <v>0</v>
      </c>
      <c r="M9750" t="n">
        <v>0</v>
      </c>
      <c r="N9750" t="n">
        <v>0</v>
      </c>
      <c r="O9750" t="n">
        <v>0</v>
      </c>
      <c r="P9750" t="n">
        <v>0</v>
      </c>
      <c r="Q9750" t="n">
        <v>0</v>
      </c>
      <c r="R9750" s="2" t="inlineStr"/>
    </row>
    <row r="9751" ht="15" customHeight="1">
      <c r="A9751" t="inlineStr">
        <is>
          <t>A 59333-2022</t>
        </is>
      </c>
      <c r="B9751" s="1" t="n">
        <v>44904.65288194444</v>
      </c>
      <c r="C9751" s="1" t="n">
        <v>46075</v>
      </c>
      <c r="D9751" t="inlineStr">
        <is>
          <t>VÄSTERBOTTENS LÄN</t>
        </is>
      </c>
      <c r="E9751" t="inlineStr">
        <is>
          <t>STORUMAN</t>
        </is>
      </c>
      <c r="F9751" t="inlineStr">
        <is>
          <t>Sveaskog</t>
        </is>
      </c>
      <c r="G9751" t="n">
        <v>7</v>
      </c>
      <c r="H9751" t="n">
        <v>0</v>
      </c>
      <c r="I9751" t="n">
        <v>0</v>
      </c>
      <c r="J9751" t="n">
        <v>0</v>
      </c>
      <c r="K9751" t="n">
        <v>0</v>
      </c>
      <c r="L9751" t="n">
        <v>0</v>
      </c>
      <c r="M9751" t="n">
        <v>0</v>
      </c>
      <c r="N9751" t="n">
        <v>0</v>
      </c>
      <c r="O9751" t="n">
        <v>0</v>
      </c>
      <c r="P9751" t="n">
        <v>0</v>
      </c>
      <c r="Q9751" t="n">
        <v>0</v>
      </c>
      <c r="R9751" s="2" t="inlineStr"/>
    </row>
    <row r="9752" ht="15" customHeight="1">
      <c r="A9752" t="inlineStr">
        <is>
          <t>A 19424-2023</t>
        </is>
      </c>
      <c r="B9752" s="1" t="n">
        <v>45049.92751157407</v>
      </c>
      <c r="C9752" s="1" t="n">
        <v>46075</v>
      </c>
      <c r="D9752" t="inlineStr">
        <is>
          <t>VÄSTERBOTTENS LÄN</t>
        </is>
      </c>
      <c r="E9752" t="inlineStr">
        <is>
          <t>SKELLEFTEÅ</t>
        </is>
      </c>
      <c r="G9752" t="n">
        <v>5.6</v>
      </c>
      <c r="H9752" t="n">
        <v>0</v>
      </c>
      <c r="I9752" t="n">
        <v>0</v>
      </c>
      <c r="J9752" t="n">
        <v>0</v>
      </c>
      <c r="K9752" t="n">
        <v>0</v>
      </c>
      <c r="L9752" t="n">
        <v>0</v>
      </c>
      <c r="M9752" t="n">
        <v>0</v>
      </c>
      <c r="N9752" t="n">
        <v>0</v>
      </c>
      <c r="O9752" t="n">
        <v>0</v>
      </c>
      <c r="P9752" t="n">
        <v>0</v>
      </c>
      <c r="Q9752" t="n">
        <v>0</v>
      </c>
      <c r="R9752" s="2" t="inlineStr"/>
    </row>
    <row r="9753" ht="15" customHeight="1">
      <c r="A9753" t="inlineStr">
        <is>
          <t>A 50504-2024</t>
        </is>
      </c>
      <c r="B9753" s="1" t="n">
        <v>45601</v>
      </c>
      <c r="C9753" s="1" t="n">
        <v>46075</v>
      </c>
      <c r="D9753" t="inlineStr">
        <is>
          <t>VÄSTERBOTTENS LÄN</t>
        </is>
      </c>
      <c r="E9753" t="inlineStr">
        <is>
          <t>MALÅ</t>
        </is>
      </c>
      <c r="F9753" t="inlineStr">
        <is>
          <t>SCA</t>
        </is>
      </c>
      <c r="G9753" t="n">
        <v>25.9</v>
      </c>
      <c r="H9753" t="n">
        <v>0</v>
      </c>
      <c r="I9753" t="n">
        <v>0</v>
      </c>
      <c r="J9753" t="n">
        <v>0</v>
      </c>
      <c r="K9753" t="n">
        <v>0</v>
      </c>
      <c r="L9753" t="n">
        <v>0</v>
      </c>
      <c r="M9753" t="n">
        <v>0</v>
      </c>
      <c r="N9753" t="n">
        <v>0</v>
      </c>
      <c r="O9753" t="n">
        <v>0</v>
      </c>
      <c r="P9753" t="n">
        <v>0</v>
      </c>
      <c r="Q9753" t="n">
        <v>0</v>
      </c>
      <c r="R9753" s="2" t="inlineStr"/>
    </row>
    <row r="9754" ht="15" customHeight="1">
      <c r="A9754" t="inlineStr">
        <is>
          <t>A 19428-2023</t>
        </is>
      </c>
      <c r="B9754" s="1" t="n">
        <v>45049.92771990741</v>
      </c>
      <c r="C9754" s="1" t="n">
        <v>46075</v>
      </c>
      <c r="D9754" t="inlineStr">
        <is>
          <t>VÄSTERBOTTENS LÄN</t>
        </is>
      </c>
      <c r="E9754" t="inlineStr">
        <is>
          <t>SKELLEFTEÅ</t>
        </is>
      </c>
      <c r="G9754" t="n">
        <v>5.6</v>
      </c>
      <c r="H9754" t="n">
        <v>0</v>
      </c>
      <c r="I9754" t="n">
        <v>0</v>
      </c>
      <c r="J9754" t="n">
        <v>0</v>
      </c>
      <c r="K9754" t="n">
        <v>0</v>
      </c>
      <c r="L9754" t="n">
        <v>0</v>
      </c>
      <c r="M9754" t="n">
        <v>0</v>
      </c>
      <c r="N9754" t="n">
        <v>0</v>
      </c>
      <c r="O9754" t="n">
        <v>0</v>
      </c>
      <c r="P9754" t="n">
        <v>0</v>
      </c>
      <c r="Q9754" t="n">
        <v>0</v>
      </c>
      <c r="R9754" s="2" t="inlineStr"/>
    </row>
    <row r="9755" ht="15" customHeight="1">
      <c r="A9755" t="inlineStr">
        <is>
          <t>A 63922-2025</t>
        </is>
      </c>
      <c r="B9755" s="1" t="n">
        <v>46020.75583333334</v>
      </c>
      <c r="C9755" s="1" t="n">
        <v>46075</v>
      </c>
      <c r="D9755" t="inlineStr">
        <is>
          <t>VÄSTERBOTTENS LÄN</t>
        </is>
      </c>
      <c r="E9755" t="inlineStr">
        <is>
          <t>NORDMALING</t>
        </is>
      </c>
      <c r="G9755" t="n">
        <v>1.9</v>
      </c>
      <c r="H9755" t="n">
        <v>0</v>
      </c>
      <c r="I9755" t="n">
        <v>0</v>
      </c>
      <c r="J9755" t="n">
        <v>0</v>
      </c>
      <c r="K9755" t="n">
        <v>0</v>
      </c>
      <c r="L9755" t="n">
        <v>0</v>
      </c>
      <c r="M9755" t="n">
        <v>0</v>
      </c>
      <c r="N9755" t="n">
        <v>0</v>
      </c>
      <c r="O9755" t="n">
        <v>0</v>
      </c>
      <c r="P9755" t="n">
        <v>0</v>
      </c>
      <c r="Q9755" t="n">
        <v>0</v>
      </c>
      <c r="R9755" s="2" t="inlineStr"/>
    </row>
    <row r="9756" ht="15" customHeight="1">
      <c r="A9756" t="inlineStr">
        <is>
          <t>A 64017-2025</t>
        </is>
      </c>
      <c r="B9756" s="1" t="n">
        <v>46021.45047453704</v>
      </c>
      <c r="C9756" s="1" t="n">
        <v>46075</v>
      </c>
      <c r="D9756" t="inlineStr">
        <is>
          <t>VÄSTERBOTTENS LÄN</t>
        </is>
      </c>
      <c r="E9756" t="inlineStr">
        <is>
          <t>SKELLEFTEÅ</t>
        </is>
      </c>
      <c r="G9756" t="n">
        <v>6.9</v>
      </c>
      <c r="H9756" t="n">
        <v>0</v>
      </c>
      <c r="I9756" t="n">
        <v>0</v>
      </c>
      <c r="J9756" t="n">
        <v>0</v>
      </c>
      <c r="K9756" t="n">
        <v>0</v>
      </c>
      <c r="L9756" t="n">
        <v>0</v>
      </c>
      <c r="M9756" t="n">
        <v>0</v>
      </c>
      <c r="N9756" t="n">
        <v>0</v>
      </c>
      <c r="O9756" t="n">
        <v>0</v>
      </c>
      <c r="P9756" t="n">
        <v>0</v>
      </c>
      <c r="Q9756" t="n">
        <v>0</v>
      </c>
      <c r="R9756" s="2" t="inlineStr"/>
    </row>
    <row r="9757" ht="15" customHeight="1">
      <c r="A9757" t="inlineStr">
        <is>
          <t>A 63810-2025</t>
        </is>
      </c>
      <c r="B9757" s="1" t="n">
        <v>46020.32105324074</v>
      </c>
      <c r="C9757" s="1" t="n">
        <v>46075</v>
      </c>
      <c r="D9757" t="inlineStr">
        <is>
          <t>VÄSTERBOTTENS LÄN</t>
        </is>
      </c>
      <c r="E9757" t="inlineStr">
        <is>
          <t>UMEÅ</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10145-2025</t>
        </is>
      </c>
      <c r="B9758" s="1" t="n">
        <v>45719.63577546296</v>
      </c>
      <c r="C9758" s="1" t="n">
        <v>46075</v>
      </c>
      <c r="D9758" t="inlineStr">
        <is>
          <t>VÄSTERBOTTENS LÄN</t>
        </is>
      </c>
      <c r="E9758" t="inlineStr">
        <is>
          <t>ROBERTSFORS</t>
        </is>
      </c>
      <c r="G9758" t="n">
        <v>5.3</v>
      </c>
      <c r="H9758" t="n">
        <v>0</v>
      </c>
      <c r="I9758" t="n">
        <v>0</v>
      </c>
      <c r="J9758" t="n">
        <v>0</v>
      </c>
      <c r="K9758" t="n">
        <v>0</v>
      </c>
      <c r="L9758" t="n">
        <v>0</v>
      </c>
      <c r="M9758" t="n">
        <v>0</v>
      </c>
      <c r="N9758" t="n">
        <v>0</v>
      </c>
      <c r="O9758" t="n">
        <v>0</v>
      </c>
      <c r="P9758" t="n">
        <v>0</v>
      </c>
      <c r="Q9758" t="n">
        <v>0</v>
      </c>
      <c r="R9758" s="2" t="inlineStr"/>
    </row>
    <row r="9759" ht="15" customHeight="1">
      <c r="A9759" t="inlineStr">
        <is>
          <t>A 53375-2024</t>
        </is>
      </c>
      <c r="B9759" s="1" t="n">
        <v>45614</v>
      </c>
      <c r="C9759" s="1" t="n">
        <v>46075</v>
      </c>
      <c r="D9759" t="inlineStr">
        <is>
          <t>VÄSTERBOTTENS LÄN</t>
        </is>
      </c>
      <c r="E9759" t="inlineStr">
        <is>
          <t>BJURHOLM</t>
        </is>
      </c>
      <c r="G9759" t="n">
        <v>0.5</v>
      </c>
      <c r="H9759" t="n">
        <v>0</v>
      </c>
      <c r="I9759" t="n">
        <v>0</v>
      </c>
      <c r="J9759" t="n">
        <v>0</v>
      </c>
      <c r="K9759" t="n">
        <v>0</v>
      </c>
      <c r="L9759" t="n">
        <v>0</v>
      </c>
      <c r="M9759" t="n">
        <v>0</v>
      </c>
      <c r="N9759" t="n">
        <v>0</v>
      </c>
      <c r="O9759" t="n">
        <v>0</v>
      </c>
      <c r="P9759" t="n">
        <v>0</v>
      </c>
      <c r="Q9759" t="n">
        <v>0</v>
      </c>
      <c r="R9759" s="2" t="inlineStr"/>
    </row>
    <row r="9760" ht="15" customHeight="1">
      <c r="A9760" t="inlineStr">
        <is>
          <t>A 63754-2025</t>
        </is>
      </c>
      <c r="B9760" s="1" t="n">
        <v>46018.34943287037</v>
      </c>
      <c r="C9760" s="1" t="n">
        <v>46075</v>
      </c>
      <c r="D9760" t="inlineStr">
        <is>
          <t>VÄSTERBOTTENS LÄN</t>
        </is>
      </c>
      <c r="E9760" t="inlineStr">
        <is>
          <t>NORDMALING</t>
        </is>
      </c>
      <c r="G9760" t="n">
        <v>1.9</v>
      </c>
      <c r="H9760" t="n">
        <v>0</v>
      </c>
      <c r="I9760" t="n">
        <v>0</v>
      </c>
      <c r="J9760" t="n">
        <v>0</v>
      </c>
      <c r="K9760" t="n">
        <v>0</v>
      </c>
      <c r="L9760" t="n">
        <v>0</v>
      </c>
      <c r="M9760" t="n">
        <v>0</v>
      </c>
      <c r="N9760" t="n">
        <v>0</v>
      </c>
      <c r="O9760" t="n">
        <v>0</v>
      </c>
      <c r="P9760" t="n">
        <v>0</v>
      </c>
      <c r="Q9760" t="n">
        <v>0</v>
      </c>
      <c r="R9760" s="2" t="inlineStr"/>
    </row>
    <row r="9761" ht="15" customHeight="1">
      <c r="A9761" t="inlineStr">
        <is>
          <t>A 59032-2024</t>
        </is>
      </c>
      <c r="B9761" s="1" t="n">
        <v>45636.69321759259</v>
      </c>
      <c r="C9761" s="1" t="n">
        <v>46075</v>
      </c>
      <c r="D9761" t="inlineStr">
        <is>
          <t>VÄSTERBOTTENS LÄN</t>
        </is>
      </c>
      <c r="E9761" t="inlineStr">
        <is>
          <t>ROBERTSFORS</t>
        </is>
      </c>
      <c r="G9761" t="n">
        <v>1</v>
      </c>
      <c r="H9761" t="n">
        <v>0</v>
      </c>
      <c r="I9761" t="n">
        <v>0</v>
      </c>
      <c r="J9761" t="n">
        <v>0</v>
      </c>
      <c r="K9761" t="n">
        <v>0</v>
      </c>
      <c r="L9761" t="n">
        <v>0</v>
      </c>
      <c r="M9761" t="n">
        <v>0</v>
      </c>
      <c r="N9761" t="n">
        <v>0</v>
      </c>
      <c r="O9761" t="n">
        <v>0</v>
      </c>
      <c r="P9761" t="n">
        <v>0</v>
      </c>
      <c r="Q9761" t="n">
        <v>0</v>
      </c>
      <c r="R9761" s="2" t="inlineStr"/>
    </row>
    <row r="9762" ht="15" customHeight="1">
      <c r="A9762" t="inlineStr">
        <is>
          <t>A 64088-2025</t>
        </is>
      </c>
      <c r="B9762" s="1" t="n">
        <v>46021.72010416666</v>
      </c>
      <c r="C9762" s="1" t="n">
        <v>46075</v>
      </c>
      <c r="D9762" t="inlineStr">
        <is>
          <t>VÄSTERBOTTENS LÄN</t>
        </is>
      </c>
      <c r="E9762" t="inlineStr">
        <is>
          <t>UMEÅ</t>
        </is>
      </c>
      <c r="G9762" t="n">
        <v>1.4</v>
      </c>
      <c r="H9762" t="n">
        <v>0</v>
      </c>
      <c r="I9762" t="n">
        <v>0</v>
      </c>
      <c r="J9762" t="n">
        <v>0</v>
      </c>
      <c r="K9762" t="n">
        <v>0</v>
      </c>
      <c r="L9762" t="n">
        <v>0</v>
      </c>
      <c r="M9762" t="n">
        <v>0</v>
      </c>
      <c r="N9762" t="n">
        <v>0</v>
      </c>
      <c r="O9762" t="n">
        <v>0</v>
      </c>
      <c r="P9762" t="n">
        <v>0</v>
      </c>
      <c r="Q9762" t="n">
        <v>0</v>
      </c>
      <c r="R9762" s="2" t="inlineStr"/>
    </row>
    <row r="9763" ht="15" customHeight="1">
      <c r="A9763" t="inlineStr">
        <is>
          <t>A 29152-2023</t>
        </is>
      </c>
      <c r="B9763" s="1" t="n">
        <v>45105</v>
      </c>
      <c r="C9763" s="1" t="n">
        <v>46075</v>
      </c>
      <c r="D9763" t="inlineStr">
        <is>
          <t>VÄSTERBOTTENS LÄN</t>
        </is>
      </c>
      <c r="E9763" t="inlineStr">
        <is>
          <t>SKELLEFTEÅ</t>
        </is>
      </c>
      <c r="F9763" t="inlineStr">
        <is>
          <t>Holmen skog AB</t>
        </is>
      </c>
      <c r="G9763" t="n">
        <v>18.5</v>
      </c>
      <c r="H9763" t="n">
        <v>0</v>
      </c>
      <c r="I9763" t="n">
        <v>0</v>
      </c>
      <c r="J9763" t="n">
        <v>0</v>
      </c>
      <c r="K9763" t="n">
        <v>0</v>
      </c>
      <c r="L9763" t="n">
        <v>0</v>
      </c>
      <c r="M9763" t="n">
        <v>0</v>
      </c>
      <c r="N9763" t="n">
        <v>0</v>
      </c>
      <c r="O9763" t="n">
        <v>0</v>
      </c>
      <c r="P9763" t="n">
        <v>0</v>
      </c>
      <c r="Q9763" t="n">
        <v>0</v>
      </c>
      <c r="R9763" s="2" t="inlineStr"/>
    </row>
    <row r="9764" ht="15" customHeight="1">
      <c r="A9764" t="inlineStr">
        <is>
          <t>A 35102-2023</t>
        </is>
      </c>
      <c r="B9764" s="1" t="n">
        <v>45145.46237268519</v>
      </c>
      <c r="C9764" s="1" t="n">
        <v>46075</v>
      </c>
      <c r="D9764" t="inlineStr">
        <is>
          <t>VÄSTERBOTTENS LÄN</t>
        </is>
      </c>
      <c r="E9764" t="inlineStr">
        <is>
          <t>SKELLEFTEÅ</t>
        </is>
      </c>
      <c r="F9764" t="inlineStr">
        <is>
          <t>Holmen skog AB</t>
        </is>
      </c>
      <c r="G9764" t="n">
        <v>1.8</v>
      </c>
      <c r="H9764" t="n">
        <v>0</v>
      </c>
      <c r="I9764" t="n">
        <v>0</v>
      </c>
      <c r="J9764" t="n">
        <v>0</v>
      </c>
      <c r="K9764" t="n">
        <v>0</v>
      </c>
      <c r="L9764" t="n">
        <v>0</v>
      </c>
      <c r="M9764" t="n">
        <v>0</v>
      </c>
      <c r="N9764" t="n">
        <v>0</v>
      </c>
      <c r="O9764" t="n">
        <v>0</v>
      </c>
      <c r="P9764" t="n">
        <v>0</v>
      </c>
      <c r="Q9764" t="n">
        <v>0</v>
      </c>
      <c r="R9764" s="2" t="inlineStr"/>
    </row>
    <row r="9765" ht="15" customHeight="1">
      <c r="A9765" t="inlineStr">
        <is>
          <t>A 60882-2024</t>
        </is>
      </c>
      <c r="B9765" s="1" t="n">
        <v>45644</v>
      </c>
      <c r="C9765" s="1" t="n">
        <v>46075</v>
      </c>
      <c r="D9765" t="inlineStr">
        <is>
          <t>VÄSTERBOTTENS LÄN</t>
        </is>
      </c>
      <c r="E9765" t="inlineStr">
        <is>
          <t>ROBERTSFORS</t>
        </is>
      </c>
      <c r="G9765" t="n">
        <v>0.5</v>
      </c>
      <c r="H9765" t="n">
        <v>0</v>
      </c>
      <c r="I9765" t="n">
        <v>0</v>
      </c>
      <c r="J9765" t="n">
        <v>0</v>
      </c>
      <c r="K9765" t="n">
        <v>0</v>
      </c>
      <c r="L9765" t="n">
        <v>0</v>
      </c>
      <c r="M9765" t="n">
        <v>0</v>
      </c>
      <c r="N9765" t="n">
        <v>0</v>
      </c>
      <c r="O9765" t="n">
        <v>0</v>
      </c>
      <c r="P9765" t="n">
        <v>0</v>
      </c>
      <c r="Q9765" t="n">
        <v>0</v>
      </c>
      <c r="R9765" s="2" t="inlineStr"/>
    </row>
    <row r="9766" ht="15" customHeight="1">
      <c r="A9766" t="inlineStr">
        <is>
          <t>A 35123-2023</t>
        </is>
      </c>
      <c r="B9766" s="1" t="n">
        <v>45145.50380787037</v>
      </c>
      <c r="C9766" s="1" t="n">
        <v>46075</v>
      </c>
      <c r="D9766" t="inlineStr">
        <is>
          <t>VÄSTERBOTTENS LÄN</t>
        </is>
      </c>
      <c r="E9766" t="inlineStr">
        <is>
          <t>VÄNNÄS</t>
        </is>
      </c>
      <c r="F9766" t="inlineStr">
        <is>
          <t>Holmen skog AB</t>
        </is>
      </c>
      <c r="G9766" t="n">
        <v>1.8</v>
      </c>
      <c r="H9766" t="n">
        <v>0</v>
      </c>
      <c r="I9766" t="n">
        <v>0</v>
      </c>
      <c r="J9766" t="n">
        <v>0</v>
      </c>
      <c r="K9766" t="n">
        <v>0</v>
      </c>
      <c r="L9766" t="n">
        <v>0</v>
      </c>
      <c r="M9766" t="n">
        <v>0</v>
      </c>
      <c r="N9766" t="n">
        <v>0</v>
      </c>
      <c r="O9766" t="n">
        <v>0</v>
      </c>
      <c r="P9766" t="n">
        <v>0</v>
      </c>
      <c r="Q9766" t="n">
        <v>0</v>
      </c>
      <c r="R9766" s="2" t="inlineStr"/>
    </row>
    <row r="9767" ht="15" customHeight="1">
      <c r="A9767" t="inlineStr">
        <is>
          <t>A 35149-2023</t>
        </is>
      </c>
      <c r="B9767" s="1" t="n">
        <v>45145.55239583334</v>
      </c>
      <c r="C9767" s="1" t="n">
        <v>46075</v>
      </c>
      <c r="D9767" t="inlineStr">
        <is>
          <t>VÄSTERBOTTENS LÄN</t>
        </is>
      </c>
      <c r="E9767" t="inlineStr">
        <is>
          <t>ROBERTSFORS</t>
        </is>
      </c>
      <c r="F9767" t="inlineStr">
        <is>
          <t>Holmen skog AB</t>
        </is>
      </c>
      <c r="G9767" t="n">
        <v>2.5</v>
      </c>
      <c r="H9767" t="n">
        <v>0</v>
      </c>
      <c r="I9767" t="n">
        <v>0</v>
      </c>
      <c r="J9767" t="n">
        <v>0</v>
      </c>
      <c r="K9767" t="n">
        <v>0</v>
      </c>
      <c r="L9767" t="n">
        <v>0</v>
      </c>
      <c r="M9767" t="n">
        <v>0</v>
      </c>
      <c r="N9767" t="n">
        <v>0</v>
      </c>
      <c r="O9767" t="n">
        <v>0</v>
      </c>
      <c r="P9767" t="n">
        <v>0</v>
      </c>
      <c r="Q9767" t="n">
        <v>0</v>
      </c>
      <c r="R9767" s="2" t="inlineStr"/>
    </row>
    <row r="9768" ht="15" customHeight="1">
      <c r="A9768" t="inlineStr">
        <is>
          <t>A 53557-2021</t>
        </is>
      </c>
      <c r="B9768" s="1" t="n">
        <v>44468</v>
      </c>
      <c r="C9768" s="1" t="n">
        <v>46075</v>
      </c>
      <c r="D9768" t="inlineStr">
        <is>
          <t>VÄSTERBOTTENS LÄN</t>
        </is>
      </c>
      <c r="E9768" t="inlineStr">
        <is>
          <t>NORSJÖ</t>
        </is>
      </c>
      <c r="F9768" t="inlineStr">
        <is>
          <t>Övriga Aktiebolag</t>
        </is>
      </c>
      <c r="G9768" t="n">
        <v>2.6</v>
      </c>
      <c r="H9768" t="n">
        <v>0</v>
      </c>
      <c r="I9768" t="n">
        <v>0</v>
      </c>
      <c r="J9768" t="n">
        <v>0</v>
      </c>
      <c r="K9768" t="n">
        <v>0</v>
      </c>
      <c r="L9768" t="n">
        <v>0</v>
      </c>
      <c r="M9768" t="n">
        <v>0</v>
      </c>
      <c r="N9768" t="n">
        <v>0</v>
      </c>
      <c r="O9768" t="n">
        <v>0</v>
      </c>
      <c r="P9768" t="n">
        <v>0</v>
      </c>
      <c r="Q9768" t="n">
        <v>0</v>
      </c>
      <c r="R9768" s="2" t="inlineStr"/>
    </row>
    <row r="9769" ht="15" customHeight="1">
      <c r="A9769" t="inlineStr">
        <is>
          <t>A 53614-2021</t>
        </is>
      </c>
      <c r="B9769" s="1" t="n">
        <v>44469.38017361111</v>
      </c>
      <c r="C9769" s="1" t="n">
        <v>46075</v>
      </c>
      <c r="D9769" t="inlineStr">
        <is>
          <t>VÄSTERBOTTENS LÄN</t>
        </is>
      </c>
      <c r="E9769" t="inlineStr">
        <is>
          <t>LYCKSELE</t>
        </is>
      </c>
      <c r="F9769" t="inlineStr">
        <is>
          <t>Holmen skog AB</t>
        </is>
      </c>
      <c r="G9769" t="n">
        <v>2.1</v>
      </c>
      <c r="H9769" t="n">
        <v>0</v>
      </c>
      <c r="I9769" t="n">
        <v>0</v>
      </c>
      <c r="J9769" t="n">
        <v>0</v>
      </c>
      <c r="K9769" t="n">
        <v>0</v>
      </c>
      <c r="L9769" t="n">
        <v>0</v>
      </c>
      <c r="M9769" t="n">
        <v>0</v>
      </c>
      <c r="N9769" t="n">
        <v>0</v>
      </c>
      <c r="O9769" t="n">
        <v>0</v>
      </c>
      <c r="P9769" t="n">
        <v>0</v>
      </c>
      <c r="Q9769" t="n">
        <v>0</v>
      </c>
      <c r="R9769" s="2" t="inlineStr"/>
    </row>
    <row r="9770" ht="15" customHeight="1">
      <c r="A9770" t="inlineStr">
        <is>
          <t>A 37074-2023</t>
        </is>
      </c>
      <c r="B9770" s="1" t="n">
        <v>45155.48350694445</v>
      </c>
      <c r="C9770" s="1" t="n">
        <v>46075</v>
      </c>
      <c r="D9770" t="inlineStr">
        <is>
          <t>VÄSTERBOTTENS LÄN</t>
        </is>
      </c>
      <c r="E9770" t="inlineStr">
        <is>
          <t>STORUMAN</t>
        </is>
      </c>
      <c r="G9770" t="n">
        <v>10.4</v>
      </c>
      <c r="H9770" t="n">
        <v>0</v>
      </c>
      <c r="I9770" t="n">
        <v>0</v>
      </c>
      <c r="J9770" t="n">
        <v>0</v>
      </c>
      <c r="K9770" t="n">
        <v>0</v>
      </c>
      <c r="L9770" t="n">
        <v>0</v>
      </c>
      <c r="M9770" t="n">
        <v>0</v>
      </c>
      <c r="N9770" t="n">
        <v>0</v>
      </c>
      <c r="O9770" t="n">
        <v>0</v>
      </c>
      <c r="P9770" t="n">
        <v>0</v>
      </c>
      <c r="Q9770" t="n">
        <v>0</v>
      </c>
      <c r="R9770" s="2" t="inlineStr"/>
    </row>
    <row r="9771" ht="15" customHeight="1">
      <c r="A9771" t="inlineStr">
        <is>
          <t>A 7630-2026</t>
        </is>
      </c>
      <c r="B9771" s="1" t="n">
        <v>46062.36101851852</v>
      </c>
      <c r="C9771" s="1" t="n">
        <v>46075</v>
      </c>
      <c r="D9771" t="inlineStr">
        <is>
          <t>VÄSTERBOTTENS LÄN</t>
        </is>
      </c>
      <c r="E9771" t="inlineStr">
        <is>
          <t>SKELLEFTEÅ</t>
        </is>
      </c>
      <c r="G9771" t="n">
        <v>6.1</v>
      </c>
      <c r="H9771" t="n">
        <v>0</v>
      </c>
      <c r="I9771" t="n">
        <v>0</v>
      </c>
      <c r="J9771" t="n">
        <v>0</v>
      </c>
      <c r="K9771" t="n">
        <v>0</v>
      </c>
      <c r="L9771" t="n">
        <v>0</v>
      </c>
      <c r="M9771" t="n">
        <v>0</v>
      </c>
      <c r="N9771" t="n">
        <v>0</v>
      </c>
      <c r="O9771" t="n">
        <v>0</v>
      </c>
      <c r="P9771" t="n">
        <v>0</v>
      </c>
      <c r="Q9771" t="n">
        <v>0</v>
      </c>
      <c r="R9771" s="2" t="inlineStr"/>
    </row>
    <row r="9772" ht="15" customHeight="1">
      <c r="A9772" t="inlineStr">
        <is>
          <t>A 21341-2024</t>
        </is>
      </c>
      <c r="B9772" s="1" t="n">
        <v>45440.92835648148</v>
      </c>
      <c r="C9772" s="1" t="n">
        <v>46075</v>
      </c>
      <c r="D9772" t="inlineStr">
        <is>
          <t>VÄSTERBOTTENS LÄN</t>
        </is>
      </c>
      <c r="E9772" t="inlineStr">
        <is>
          <t>ÅSELE</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21412-2024</t>
        </is>
      </c>
      <c r="B9773" s="1" t="n">
        <v>45441</v>
      </c>
      <c r="C9773" s="1" t="n">
        <v>46075</v>
      </c>
      <c r="D9773" t="inlineStr">
        <is>
          <t>VÄSTERBOTTENS LÄN</t>
        </is>
      </c>
      <c r="E9773" t="inlineStr">
        <is>
          <t>STORUMAN</t>
        </is>
      </c>
      <c r="F9773" t="inlineStr">
        <is>
          <t>Allmännings- och besparingsskogar</t>
        </is>
      </c>
      <c r="G9773" t="n">
        <v>34.6</v>
      </c>
      <c r="H9773" t="n">
        <v>0</v>
      </c>
      <c r="I9773" t="n">
        <v>0</v>
      </c>
      <c r="J9773" t="n">
        <v>0</v>
      </c>
      <c r="K9773" t="n">
        <v>0</v>
      </c>
      <c r="L9773" t="n">
        <v>0</v>
      </c>
      <c r="M9773" t="n">
        <v>0</v>
      </c>
      <c r="N9773" t="n">
        <v>0</v>
      </c>
      <c r="O9773" t="n">
        <v>0</v>
      </c>
      <c r="P9773" t="n">
        <v>0</v>
      </c>
      <c r="Q9773" t="n">
        <v>0</v>
      </c>
      <c r="R9773" s="2" t="inlineStr"/>
    </row>
    <row r="9774" ht="15" customHeight="1">
      <c r="A9774" t="inlineStr">
        <is>
          <t>A 7732-2026</t>
        </is>
      </c>
      <c r="B9774" s="1" t="n">
        <v>46062.52329861111</v>
      </c>
      <c r="C9774" s="1" t="n">
        <v>46075</v>
      </c>
      <c r="D9774" t="inlineStr">
        <is>
          <t>VÄSTERBOTTENS LÄN</t>
        </is>
      </c>
      <c r="E9774" t="inlineStr">
        <is>
          <t>NORDMALING</t>
        </is>
      </c>
      <c r="G9774" t="n">
        <v>0.6</v>
      </c>
      <c r="H9774" t="n">
        <v>0</v>
      </c>
      <c r="I9774" t="n">
        <v>0</v>
      </c>
      <c r="J9774" t="n">
        <v>0</v>
      </c>
      <c r="K9774" t="n">
        <v>0</v>
      </c>
      <c r="L9774" t="n">
        <v>0</v>
      </c>
      <c r="M9774" t="n">
        <v>0</v>
      </c>
      <c r="N9774" t="n">
        <v>0</v>
      </c>
      <c r="O9774" t="n">
        <v>0</v>
      </c>
      <c r="P9774" t="n">
        <v>0</v>
      </c>
      <c r="Q9774" t="n">
        <v>0</v>
      </c>
      <c r="R9774" s="2" t="inlineStr"/>
    </row>
    <row r="9775" ht="15" customHeight="1">
      <c r="A9775" t="inlineStr">
        <is>
          <t>A 21066-2021</t>
        </is>
      </c>
      <c r="B9775" s="1" t="n">
        <v>44319</v>
      </c>
      <c r="C9775" s="1" t="n">
        <v>46075</v>
      </c>
      <c r="D9775" t="inlineStr">
        <is>
          <t>VÄSTERBOTTENS LÄN</t>
        </is>
      </c>
      <c r="E9775" t="inlineStr">
        <is>
          <t>SKELLEFTEÅ</t>
        </is>
      </c>
      <c r="G9775" t="n">
        <v>3.5</v>
      </c>
      <c r="H9775" t="n">
        <v>0</v>
      </c>
      <c r="I9775" t="n">
        <v>0</v>
      </c>
      <c r="J9775" t="n">
        <v>0</v>
      </c>
      <c r="K9775" t="n">
        <v>0</v>
      </c>
      <c r="L9775" t="n">
        <v>0</v>
      </c>
      <c r="M9775" t="n">
        <v>0</v>
      </c>
      <c r="N9775" t="n">
        <v>0</v>
      </c>
      <c r="O9775" t="n">
        <v>0</v>
      </c>
      <c r="P9775" t="n">
        <v>0</v>
      </c>
      <c r="Q9775" t="n">
        <v>0</v>
      </c>
      <c r="R9775" s="2" t="inlineStr"/>
    </row>
    <row r="9776" ht="15" customHeight="1">
      <c r="A9776" t="inlineStr">
        <is>
          <t>A 7637-2026</t>
        </is>
      </c>
      <c r="B9776" s="1" t="n">
        <v>46062.36770833333</v>
      </c>
      <c r="C9776" s="1" t="n">
        <v>46075</v>
      </c>
      <c r="D9776" t="inlineStr">
        <is>
          <t>VÄSTERBOTTENS LÄN</t>
        </is>
      </c>
      <c r="E9776" t="inlineStr">
        <is>
          <t>SKELLEFTEÅ</t>
        </is>
      </c>
      <c r="G9776" t="n">
        <v>8.699999999999999</v>
      </c>
      <c r="H9776" t="n">
        <v>0</v>
      </c>
      <c r="I9776" t="n">
        <v>0</v>
      </c>
      <c r="J9776" t="n">
        <v>0</v>
      </c>
      <c r="K9776" t="n">
        <v>0</v>
      </c>
      <c r="L9776" t="n">
        <v>0</v>
      </c>
      <c r="M9776" t="n">
        <v>0</v>
      </c>
      <c r="N9776" t="n">
        <v>0</v>
      </c>
      <c r="O9776" t="n">
        <v>0</v>
      </c>
      <c r="P9776" t="n">
        <v>0</v>
      </c>
      <c r="Q9776" t="n">
        <v>0</v>
      </c>
      <c r="R9776" s="2" t="inlineStr"/>
    </row>
    <row r="9777" ht="15" customHeight="1">
      <c r="A9777" t="inlineStr">
        <is>
          <t>A 40735-2025</t>
        </is>
      </c>
      <c r="B9777" s="1" t="n">
        <v>45897.36552083334</v>
      </c>
      <c r="C9777" s="1" t="n">
        <v>46075</v>
      </c>
      <c r="D9777" t="inlineStr">
        <is>
          <t>VÄSTERBOTTENS LÄN</t>
        </is>
      </c>
      <c r="E9777" t="inlineStr">
        <is>
          <t>VINDELN</t>
        </is>
      </c>
      <c r="F9777" t="inlineStr">
        <is>
          <t>SCA</t>
        </is>
      </c>
      <c r="G9777" t="n">
        <v>2.1</v>
      </c>
      <c r="H9777" t="n">
        <v>0</v>
      </c>
      <c r="I9777" t="n">
        <v>0</v>
      </c>
      <c r="J9777" t="n">
        <v>0</v>
      </c>
      <c r="K9777" t="n">
        <v>0</v>
      </c>
      <c r="L9777" t="n">
        <v>0</v>
      </c>
      <c r="M9777" t="n">
        <v>0</v>
      </c>
      <c r="N9777" t="n">
        <v>0</v>
      </c>
      <c r="O9777" t="n">
        <v>0</v>
      </c>
      <c r="P9777" t="n">
        <v>0</v>
      </c>
      <c r="Q9777" t="n">
        <v>0</v>
      </c>
      <c r="R9777" s="2" t="inlineStr"/>
    </row>
    <row r="9778" ht="15" customHeight="1">
      <c r="A9778" t="inlineStr">
        <is>
          <t>A 45079-2025</t>
        </is>
      </c>
      <c r="B9778" s="1" t="n">
        <v>45919.36539351852</v>
      </c>
      <c r="C9778" s="1" t="n">
        <v>46075</v>
      </c>
      <c r="D9778" t="inlineStr">
        <is>
          <t>VÄSTERBOTTENS LÄN</t>
        </is>
      </c>
      <c r="E9778" t="inlineStr">
        <is>
          <t>VINDELN</t>
        </is>
      </c>
      <c r="F9778" t="inlineStr">
        <is>
          <t>SCA</t>
        </is>
      </c>
      <c r="G9778" t="n">
        <v>4.4</v>
      </c>
      <c r="H9778" t="n">
        <v>0</v>
      </c>
      <c r="I9778" t="n">
        <v>0</v>
      </c>
      <c r="J9778" t="n">
        <v>0</v>
      </c>
      <c r="K9778" t="n">
        <v>0</v>
      </c>
      <c r="L9778" t="n">
        <v>0</v>
      </c>
      <c r="M9778" t="n">
        <v>0</v>
      </c>
      <c r="N9778" t="n">
        <v>0</v>
      </c>
      <c r="O9778" t="n">
        <v>0</v>
      </c>
      <c r="P9778" t="n">
        <v>0</v>
      </c>
      <c r="Q9778" t="n">
        <v>0</v>
      </c>
      <c r="R9778" s="2" t="inlineStr"/>
    </row>
    <row r="9779" ht="15" customHeight="1">
      <c r="A9779" t="inlineStr">
        <is>
          <t>A 61348-2022</t>
        </is>
      </c>
      <c r="B9779" s="1" t="n">
        <v>44915.69402777778</v>
      </c>
      <c r="C9779" s="1" t="n">
        <v>46075</v>
      </c>
      <c r="D9779" t="inlineStr">
        <is>
          <t>VÄSTERBOTTENS LÄN</t>
        </is>
      </c>
      <c r="E9779" t="inlineStr">
        <is>
          <t>SKELLEFTEÅ</t>
        </is>
      </c>
      <c r="F9779" t="inlineStr">
        <is>
          <t>Sveaskog</t>
        </is>
      </c>
      <c r="G9779" t="n">
        <v>7.9</v>
      </c>
      <c r="H9779" t="n">
        <v>0</v>
      </c>
      <c r="I9779" t="n">
        <v>0</v>
      </c>
      <c r="J9779" t="n">
        <v>0</v>
      </c>
      <c r="K9779" t="n">
        <v>0</v>
      </c>
      <c r="L9779" t="n">
        <v>0</v>
      </c>
      <c r="M9779" t="n">
        <v>0</v>
      </c>
      <c r="N9779" t="n">
        <v>0</v>
      </c>
      <c r="O9779" t="n">
        <v>0</v>
      </c>
      <c r="P9779" t="n">
        <v>0</v>
      </c>
      <c r="Q9779" t="n">
        <v>0</v>
      </c>
      <c r="R9779" s="2" t="inlineStr"/>
    </row>
    <row r="9780" ht="15" customHeight="1">
      <c r="A9780" t="inlineStr">
        <is>
          <t>A 48515-2024</t>
        </is>
      </c>
      <c r="B9780" s="1" t="n">
        <v>45593.31179398148</v>
      </c>
      <c r="C9780" s="1" t="n">
        <v>46075</v>
      </c>
      <c r="D9780" t="inlineStr">
        <is>
          <t>VÄSTERBOTTENS LÄN</t>
        </is>
      </c>
      <c r="E9780" t="inlineStr">
        <is>
          <t>NORDMALING</t>
        </is>
      </c>
      <c r="G9780" t="n">
        <v>0.4</v>
      </c>
      <c r="H9780" t="n">
        <v>0</v>
      </c>
      <c r="I9780" t="n">
        <v>0</v>
      </c>
      <c r="J9780" t="n">
        <v>0</v>
      </c>
      <c r="K9780" t="n">
        <v>0</v>
      </c>
      <c r="L9780" t="n">
        <v>0</v>
      </c>
      <c r="M9780" t="n">
        <v>0</v>
      </c>
      <c r="N9780" t="n">
        <v>0</v>
      </c>
      <c r="O9780" t="n">
        <v>0</v>
      </c>
      <c r="P9780" t="n">
        <v>0</v>
      </c>
      <c r="Q9780" t="n">
        <v>0</v>
      </c>
      <c r="R9780" s="2" t="inlineStr"/>
    </row>
    <row r="9781" ht="15" customHeight="1">
      <c r="A9781" t="inlineStr">
        <is>
          <t>A 30417-2024</t>
        </is>
      </c>
      <c r="B9781" s="1" t="n">
        <v>45491.64728009259</v>
      </c>
      <c r="C9781" s="1" t="n">
        <v>46075</v>
      </c>
      <c r="D9781" t="inlineStr">
        <is>
          <t>VÄSTERBOTTENS LÄN</t>
        </is>
      </c>
      <c r="E9781" t="inlineStr">
        <is>
          <t>SORSELE</t>
        </is>
      </c>
      <c r="F9781" t="inlineStr">
        <is>
          <t>Sveaskog</t>
        </is>
      </c>
      <c r="G9781" t="n">
        <v>13.2</v>
      </c>
      <c r="H9781" t="n">
        <v>0</v>
      </c>
      <c r="I9781" t="n">
        <v>0</v>
      </c>
      <c r="J9781" t="n">
        <v>0</v>
      </c>
      <c r="K9781" t="n">
        <v>0</v>
      </c>
      <c r="L9781" t="n">
        <v>0</v>
      </c>
      <c r="M9781" t="n">
        <v>0</v>
      </c>
      <c r="N9781" t="n">
        <v>0</v>
      </c>
      <c r="O9781" t="n">
        <v>0</v>
      </c>
      <c r="P9781" t="n">
        <v>0</v>
      </c>
      <c r="Q9781" t="n">
        <v>0</v>
      </c>
      <c r="R9781" s="2" t="inlineStr"/>
    </row>
    <row r="9782" ht="15" customHeight="1">
      <c r="A9782" t="inlineStr">
        <is>
          <t>A 70849-2021</t>
        </is>
      </c>
      <c r="B9782" s="1" t="n">
        <v>44532</v>
      </c>
      <c r="C9782" s="1" t="n">
        <v>46075</v>
      </c>
      <c r="D9782" t="inlineStr">
        <is>
          <t>VÄSTERBOTTENS LÄN</t>
        </is>
      </c>
      <c r="E9782" t="inlineStr">
        <is>
          <t>VILHELMINA</t>
        </is>
      </c>
      <c r="G9782" t="n">
        <v>21.4</v>
      </c>
      <c r="H9782" t="n">
        <v>0</v>
      </c>
      <c r="I9782" t="n">
        <v>0</v>
      </c>
      <c r="J9782" t="n">
        <v>0</v>
      </c>
      <c r="K9782" t="n">
        <v>0</v>
      </c>
      <c r="L9782" t="n">
        <v>0</v>
      </c>
      <c r="M9782" t="n">
        <v>0</v>
      </c>
      <c r="N9782" t="n">
        <v>0</v>
      </c>
      <c r="O9782" t="n">
        <v>0</v>
      </c>
      <c r="P9782" t="n">
        <v>0</v>
      </c>
      <c r="Q9782" t="n">
        <v>0</v>
      </c>
      <c r="R9782" s="2" t="inlineStr"/>
    </row>
    <row r="9783" ht="15" customHeight="1">
      <c r="A9783" t="inlineStr">
        <is>
          <t>A 28345-2025</t>
        </is>
      </c>
      <c r="B9783" s="1" t="n">
        <v>45818</v>
      </c>
      <c r="C9783" s="1" t="n">
        <v>46075</v>
      </c>
      <c r="D9783" t="inlineStr">
        <is>
          <t>VÄSTERBOTTENS LÄN</t>
        </is>
      </c>
      <c r="E9783" t="inlineStr">
        <is>
          <t>LYCKSELE</t>
        </is>
      </c>
      <c r="F9783" t="inlineStr">
        <is>
          <t>Holmen skog AB</t>
        </is>
      </c>
      <c r="G9783" t="n">
        <v>16.9</v>
      </c>
      <c r="H9783" t="n">
        <v>0</v>
      </c>
      <c r="I9783" t="n">
        <v>0</v>
      </c>
      <c r="J9783" t="n">
        <v>0</v>
      </c>
      <c r="K9783" t="n">
        <v>0</v>
      </c>
      <c r="L9783" t="n">
        <v>0</v>
      </c>
      <c r="M9783" t="n">
        <v>0</v>
      </c>
      <c r="N9783" t="n">
        <v>0</v>
      </c>
      <c r="O9783" t="n">
        <v>0</v>
      </c>
      <c r="P9783" t="n">
        <v>0</v>
      </c>
      <c r="Q9783" t="n">
        <v>0</v>
      </c>
      <c r="R9783" s="2" t="inlineStr"/>
    </row>
    <row r="9784" ht="15" customHeight="1">
      <c r="A9784" t="inlineStr">
        <is>
          <t>A 25636-2024</t>
        </is>
      </c>
      <c r="B9784" s="1" t="n">
        <v>45463</v>
      </c>
      <c r="C9784" s="1" t="n">
        <v>46075</v>
      </c>
      <c r="D9784" t="inlineStr">
        <is>
          <t>VÄSTERBOTTENS LÄN</t>
        </is>
      </c>
      <c r="E9784" t="inlineStr">
        <is>
          <t>ÅSELE</t>
        </is>
      </c>
      <c r="F9784" t="inlineStr">
        <is>
          <t>Sveaskog</t>
        </is>
      </c>
      <c r="G9784" t="n">
        <v>5.3</v>
      </c>
      <c r="H9784" t="n">
        <v>0</v>
      </c>
      <c r="I9784" t="n">
        <v>0</v>
      </c>
      <c r="J9784" t="n">
        <v>0</v>
      </c>
      <c r="K9784" t="n">
        <v>0</v>
      </c>
      <c r="L9784" t="n">
        <v>0</v>
      </c>
      <c r="M9784" t="n">
        <v>0</v>
      </c>
      <c r="N9784" t="n">
        <v>0</v>
      </c>
      <c r="O9784" t="n">
        <v>0</v>
      </c>
      <c r="P9784" t="n">
        <v>0</v>
      </c>
      <c r="Q9784" t="n">
        <v>0</v>
      </c>
      <c r="R9784" s="2" t="inlineStr"/>
    </row>
    <row r="9785" ht="15" customHeight="1">
      <c r="A9785" t="inlineStr">
        <is>
          <t>A 12043-2023</t>
        </is>
      </c>
      <c r="B9785" s="1" t="n">
        <v>44995</v>
      </c>
      <c r="C9785" s="1" t="n">
        <v>46075</v>
      </c>
      <c r="D9785" t="inlineStr">
        <is>
          <t>VÄSTERBOTTENS LÄN</t>
        </is>
      </c>
      <c r="E9785" t="inlineStr">
        <is>
          <t>VILHELMINA</t>
        </is>
      </c>
      <c r="F9785" t="inlineStr">
        <is>
          <t>SCA</t>
        </is>
      </c>
      <c r="G9785" t="n">
        <v>2.3</v>
      </c>
      <c r="H9785" t="n">
        <v>0</v>
      </c>
      <c r="I9785" t="n">
        <v>0</v>
      </c>
      <c r="J9785" t="n">
        <v>0</v>
      </c>
      <c r="K9785" t="n">
        <v>0</v>
      </c>
      <c r="L9785" t="n">
        <v>0</v>
      </c>
      <c r="M9785" t="n">
        <v>0</v>
      </c>
      <c r="N9785" t="n">
        <v>0</v>
      </c>
      <c r="O9785" t="n">
        <v>0</v>
      </c>
      <c r="P9785" t="n">
        <v>0</v>
      </c>
      <c r="Q9785" t="n">
        <v>0</v>
      </c>
      <c r="R9785" s="2" t="inlineStr"/>
    </row>
    <row r="9786" ht="15" customHeight="1">
      <c r="A9786" t="inlineStr">
        <is>
          <t>A 26396-2022</t>
        </is>
      </c>
      <c r="B9786" s="1" t="n">
        <v>44735</v>
      </c>
      <c r="C9786" s="1" t="n">
        <v>46075</v>
      </c>
      <c r="D9786" t="inlineStr">
        <is>
          <t>VÄSTERBOTTENS LÄN</t>
        </is>
      </c>
      <c r="E9786" t="inlineStr">
        <is>
          <t>LYCKSELE</t>
        </is>
      </c>
      <c r="G9786" t="n">
        <v>4</v>
      </c>
      <c r="H9786" t="n">
        <v>0</v>
      </c>
      <c r="I9786" t="n">
        <v>0</v>
      </c>
      <c r="J9786" t="n">
        <v>0</v>
      </c>
      <c r="K9786" t="n">
        <v>0</v>
      </c>
      <c r="L9786" t="n">
        <v>0</v>
      </c>
      <c r="M9786" t="n">
        <v>0</v>
      </c>
      <c r="N9786" t="n">
        <v>0</v>
      </c>
      <c r="O9786" t="n">
        <v>0</v>
      </c>
      <c r="P9786" t="n">
        <v>0</v>
      </c>
      <c r="Q9786" t="n">
        <v>0</v>
      </c>
      <c r="R9786" s="2" t="inlineStr"/>
    </row>
    <row r="9787" ht="15" customHeight="1">
      <c r="A9787" t="inlineStr">
        <is>
          <t>A 2116-2023</t>
        </is>
      </c>
      <c r="B9787" s="1" t="n">
        <v>44939</v>
      </c>
      <c r="C9787" s="1" t="n">
        <v>46075</v>
      </c>
      <c r="D9787" t="inlineStr">
        <is>
          <t>VÄSTERBOTTENS LÄN</t>
        </is>
      </c>
      <c r="E9787" t="inlineStr">
        <is>
          <t>MALÅ</t>
        </is>
      </c>
      <c r="F9787" t="inlineStr">
        <is>
          <t>SCA</t>
        </is>
      </c>
      <c r="G9787" t="n">
        <v>0.2</v>
      </c>
      <c r="H9787" t="n">
        <v>0</v>
      </c>
      <c r="I9787" t="n">
        <v>0</v>
      </c>
      <c r="J9787" t="n">
        <v>0</v>
      </c>
      <c r="K9787" t="n">
        <v>0</v>
      </c>
      <c r="L9787" t="n">
        <v>0</v>
      </c>
      <c r="M9787" t="n">
        <v>0</v>
      </c>
      <c r="N9787" t="n">
        <v>0</v>
      </c>
      <c r="O9787" t="n">
        <v>0</v>
      </c>
      <c r="P9787" t="n">
        <v>0</v>
      </c>
      <c r="Q9787" t="n">
        <v>0</v>
      </c>
      <c r="R9787" s="2" t="inlineStr"/>
    </row>
    <row r="9788" ht="15" customHeight="1">
      <c r="A9788" t="inlineStr">
        <is>
          <t>A 40734-2025</t>
        </is>
      </c>
      <c r="B9788" s="1" t="n">
        <v>45897.3653125</v>
      </c>
      <c r="C9788" s="1" t="n">
        <v>46075</v>
      </c>
      <c r="D9788" t="inlineStr">
        <is>
          <t>VÄSTERBOTTENS LÄN</t>
        </is>
      </c>
      <c r="E9788" t="inlineStr">
        <is>
          <t>VINDELN</t>
        </is>
      </c>
      <c r="F9788" t="inlineStr">
        <is>
          <t>SCA</t>
        </is>
      </c>
      <c r="G9788" t="n">
        <v>1.8</v>
      </c>
      <c r="H9788" t="n">
        <v>0</v>
      </c>
      <c r="I9788" t="n">
        <v>0</v>
      </c>
      <c r="J9788" t="n">
        <v>0</v>
      </c>
      <c r="K9788" t="n">
        <v>0</v>
      </c>
      <c r="L9788" t="n">
        <v>0</v>
      </c>
      <c r="M9788" t="n">
        <v>0</v>
      </c>
      <c r="N9788" t="n">
        <v>0</v>
      </c>
      <c r="O9788" t="n">
        <v>0</v>
      </c>
      <c r="P9788" t="n">
        <v>0</v>
      </c>
      <c r="Q9788" t="n">
        <v>0</v>
      </c>
      <c r="R9788" s="2" t="inlineStr"/>
    </row>
    <row r="9789" ht="15" customHeight="1">
      <c r="A9789" t="inlineStr">
        <is>
          <t>A 46181-2025</t>
        </is>
      </c>
      <c r="B9789" s="1" t="n">
        <v>45924.65697916667</v>
      </c>
      <c r="C9789" s="1" t="n">
        <v>46075</v>
      </c>
      <c r="D9789" t="inlineStr">
        <is>
          <t>VÄSTERBOTTENS LÄN</t>
        </is>
      </c>
      <c r="E9789" t="inlineStr">
        <is>
          <t>LYCKSELE</t>
        </is>
      </c>
      <c r="F9789" t="inlineStr">
        <is>
          <t>SCA</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123-2026</t>
        </is>
      </c>
      <c r="B9790" s="1" t="n">
        <v>46019</v>
      </c>
      <c r="C9790" s="1" t="n">
        <v>46075</v>
      </c>
      <c r="D9790" t="inlineStr">
        <is>
          <t>VÄSTERBOTTENS LÄN</t>
        </is>
      </c>
      <c r="E9790" t="inlineStr">
        <is>
          <t>NORDMALING</t>
        </is>
      </c>
      <c r="G9790" t="n">
        <v>7.7</v>
      </c>
      <c r="H9790" t="n">
        <v>0</v>
      </c>
      <c r="I9790" t="n">
        <v>0</v>
      </c>
      <c r="J9790" t="n">
        <v>0</v>
      </c>
      <c r="K9790" t="n">
        <v>0</v>
      </c>
      <c r="L9790" t="n">
        <v>0</v>
      </c>
      <c r="M9790" t="n">
        <v>0</v>
      </c>
      <c r="N9790" t="n">
        <v>0</v>
      </c>
      <c r="O9790" t="n">
        <v>0</v>
      </c>
      <c r="P9790" t="n">
        <v>0</v>
      </c>
      <c r="Q9790" t="n">
        <v>0</v>
      </c>
      <c r="R9790" s="2" t="inlineStr"/>
    </row>
    <row r="9791" ht="15" customHeight="1">
      <c r="A9791" t="inlineStr">
        <is>
          <t>A 48530-2024</t>
        </is>
      </c>
      <c r="B9791" s="1" t="n">
        <v>45593.34453703704</v>
      </c>
      <c r="C9791" s="1" t="n">
        <v>46075</v>
      </c>
      <c r="D9791" t="inlineStr">
        <is>
          <t>VÄSTERBOTTENS LÄN</t>
        </is>
      </c>
      <c r="E9791" t="inlineStr">
        <is>
          <t>ÅSELE</t>
        </is>
      </c>
      <c r="F9791" t="inlineStr">
        <is>
          <t>SCA</t>
        </is>
      </c>
      <c r="G9791" t="n">
        <v>8.9</v>
      </c>
      <c r="H9791" t="n">
        <v>0</v>
      </c>
      <c r="I9791" t="n">
        <v>0</v>
      </c>
      <c r="J9791" t="n">
        <v>0</v>
      </c>
      <c r="K9791" t="n">
        <v>0</v>
      </c>
      <c r="L9791" t="n">
        <v>0</v>
      </c>
      <c r="M9791" t="n">
        <v>0</v>
      </c>
      <c r="N9791" t="n">
        <v>0</v>
      </c>
      <c r="O9791" t="n">
        <v>0</v>
      </c>
      <c r="P9791" t="n">
        <v>0</v>
      </c>
      <c r="Q9791" t="n">
        <v>0</v>
      </c>
      <c r="R9791" s="2" t="inlineStr"/>
    </row>
    <row r="9792" ht="15" customHeight="1">
      <c r="A9792" t="inlineStr">
        <is>
          <t>A 58462-2025</t>
        </is>
      </c>
      <c r="B9792" s="1" t="n">
        <v>45985.63643518519</v>
      </c>
      <c r="C9792" s="1" t="n">
        <v>46075</v>
      </c>
      <c r="D9792" t="inlineStr">
        <is>
          <t>VÄSTERBOTTENS LÄN</t>
        </is>
      </c>
      <c r="E9792" t="inlineStr">
        <is>
          <t>LYCKSELE</t>
        </is>
      </c>
      <c r="F9792" t="inlineStr">
        <is>
          <t>SCA</t>
        </is>
      </c>
      <c r="G9792" t="n">
        <v>4.7</v>
      </c>
      <c r="H9792" t="n">
        <v>0</v>
      </c>
      <c r="I9792" t="n">
        <v>0</v>
      </c>
      <c r="J9792" t="n">
        <v>0</v>
      </c>
      <c r="K9792" t="n">
        <v>0</v>
      </c>
      <c r="L9792" t="n">
        <v>0</v>
      </c>
      <c r="M9792" t="n">
        <v>0</v>
      </c>
      <c r="N9792" t="n">
        <v>0</v>
      </c>
      <c r="O9792" t="n">
        <v>0</v>
      </c>
      <c r="P9792" t="n">
        <v>0</v>
      </c>
      <c r="Q9792" t="n">
        <v>0</v>
      </c>
      <c r="R9792" s="2" t="inlineStr"/>
    </row>
    <row r="9793" ht="15" customHeight="1">
      <c r="A9793" t="inlineStr">
        <is>
          <t>A 48531-2024</t>
        </is>
      </c>
      <c r="B9793" s="1" t="n">
        <v>45593</v>
      </c>
      <c r="C9793" s="1" t="n">
        <v>46075</v>
      </c>
      <c r="D9793" t="inlineStr">
        <is>
          <t>VÄSTERBOTTENS LÄN</t>
        </is>
      </c>
      <c r="E9793" t="inlineStr">
        <is>
          <t>ÅSELE</t>
        </is>
      </c>
      <c r="F9793" t="inlineStr">
        <is>
          <t>SCA</t>
        </is>
      </c>
      <c r="G9793" t="n">
        <v>1.6</v>
      </c>
      <c r="H9793" t="n">
        <v>0</v>
      </c>
      <c r="I9793" t="n">
        <v>0</v>
      </c>
      <c r="J9793" t="n">
        <v>0</v>
      </c>
      <c r="K9793" t="n">
        <v>0</v>
      </c>
      <c r="L9793" t="n">
        <v>0</v>
      </c>
      <c r="M9793" t="n">
        <v>0</v>
      </c>
      <c r="N9793" t="n">
        <v>0</v>
      </c>
      <c r="O9793" t="n">
        <v>0</v>
      </c>
      <c r="P9793" t="n">
        <v>0</v>
      </c>
      <c r="Q9793" t="n">
        <v>0</v>
      </c>
      <c r="R9793" s="2" t="inlineStr"/>
    </row>
    <row r="9794" ht="15" customHeight="1">
      <c r="A9794" t="inlineStr">
        <is>
          <t>A 70028-2021</t>
        </is>
      </c>
      <c r="B9794" s="1" t="n">
        <v>44533</v>
      </c>
      <c r="C9794" s="1" t="n">
        <v>46075</v>
      </c>
      <c r="D9794" t="inlineStr">
        <is>
          <t>VÄSTERBOTTENS LÄN</t>
        </is>
      </c>
      <c r="E9794" t="inlineStr">
        <is>
          <t>NORDMALING</t>
        </is>
      </c>
      <c r="G9794" t="n">
        <v>7.1</v>
      </c>
      <c r="H9794" t="n">
        <v>0</v>
      </c>
      <c r="I9794" t="n">
        <v>0</v>
      </c>
      <c r="J9794" t="n">
        <v>0</v>
      </c>
      <c r="K9794" t="n">
        <v>0</v>
      </c>
      <c r="L9794" t="n">
        <v>0</v>
      </c>
      <c r="M9794" t="n">
        <v>0</v>
      </c>
      <c r="N9794" t="n">
        <v>0</v>
      </c>
      <c r="O9794" t="n">
        <v>0</v>
      </c>
      <c r="P9794" t="n">
        <v>0</v>
      </c>
      <c r="Q9794" t="n">
        <v>0</v>
      </c>
      <c r="R9794" s="2" t="inlineStr"/>
    </row>
    <row r="9795" ht="15" customHeight="1">
      <c r="A9795" t="inlineStr">
        <is>
          <t>A 7829-2026</t>
        </is>
      </c>
      <c r="B9795" s="1" t="n">
        <v>46062.64269675926</v>
      </c>
      <c r="C9795" s="1" t="n">
        <v>46075</v>
      </c>
      <c r="D9795" t="inlineStr">
        <is>
          <t>VÄSTERBOTTENS LÄN</t>
        </is>
      </c>
      <c r="E9795" t="inlineStr">
        <is>
          <t>LYCKSELE</t>
        </is>
      </c>
      <c r="G9795" t="n">
        <v>5.3</v>
      </c>
      <c r="H9795" t="n">
        <v>0</v>
      </c>
      <c r="I9795" t="n">
        <v>0</v>
      </c>
      <c r="J9795" t="n">
        <v>0</v>
      </c>
      <c r="K9795" t="n">
        <v>0</v>
      </c>
      <c r="L9795" t="n">
        <v>0</v>
      </c>
      <c r="M9795" t="n">
        <v>0</v>
      </c>
      <c r="N9795" t="n">
        <v>0</v>
      </c>
      <c r="O9795" t="n">
        <v>0</v>
      </c>
      <c r="P9795" t="n">
        <v>0</v>
      </c>
      <c r="Q9795" t="n">
        <v>0</v>
      </c>
      <c r="R9795" s="2" t="inlineStr"/>
    </row>
    <row r="9796" ht="15" customHeight="1">
      <c r="A9796" t="inlineStr">
        <is>
          <t>A 25473-2021</t>
        </is>
      </c>
      <c r="B9796" s="1" t="n">
        <v>44342.76399305555</v>
      </c>
      <c r="C9796" s="1" t="n">
        <v>46075</v>
      </c>
      <c r="D9796" t="inlineStr">
        <is>
          <t>VÄSTERBOTTENS LÄN</t>
        </is>
      </c>
      <c r="E9796" t="inlineStr">
        <is>
          <t>SKELLEFTEÅ</t>
        </is>
      </c>
      <c r="G9796" t="n">
        <v>6.6</v>
      </c>
      <c r="H9796" t="n">
        <v>0</v>
      </c>
      <c r="I9796" t="n">
        <v>0</v>
      </c>
      <c r="J9796" t="n">
        <v>0</v>
      </c>
      <c r="K9796" t="n">
        <v>0</v>
      </c>
      <c r="L9796" t="n">
        <v>0</v>
      </c>
      <c r="M9796" t="n">
        <v>0</v>
      </c>
      <c r="N9796" t="n">
        <v>0</v>
      </c>
      <c r="O9796" t="n">
        <v>0</v>
      </c>
      <c r="P9796" t="n">
        <v>0</v>
      </c>
      <c r="Q9796" t="n">
        <v>0</v>
      </c>
      <c r="R9796" s="2" t="inlineStr"/>
    </row>
    <row r="9797" ht="15" customHeight="1">
      <c r="A9797" t="inlineStr">
        <is>
          <t>A 38271-2022</t>
        </is>
      </c>
      <c r="B9797" s="1" t="n">
        <v>44812</v>
      </c>
      <c r="C9797" s="1" t="n">
        <v>46075</v>
      </c>
      <c r="D9797" t="inlineStr">
        <is>
          <t>VÄSTERBOTTENS LÄN</t>
        </is>
      </c>
      <c r="E9797" t="inlineStr">
        <is>
          <t>NORDMALING</t>
        </is>
      </c>
      <c r="G9797" t="n">
        <v>2.1</v>
      </c>
      <c r="H9797" t="n">
        <v>0</v>
      </c>
      <c r="I9797" t="n">
        <v>0</v>
      </c>
      <c r="J9797" t="n">
        <v>0</v>
      </c>
      <c r="K9797" t="n">
        <v>0</v>
      </c>
      <c r="L9797" t="n">
        <v>0</v>
      </c>
      <c r="M9797" t="n">
        <v>0</v>
      </c>
      <c r="N9797" t="n">
        <v>0</v>
      </c>
      <c r="O9797" t="n">
        <v>0</v>
      </c>
      <c r="P9797" t="n">
        <v>0</v>
      </c>
      <c r="Q9797" t="n">
        <v>0</v>
      </c>
      <c r="R9797" s="2" t="inlineStr"/>
    </row>
    <row r="9798" ht="15" customHeight="1">
      <c r="A9798" t="inlineStr">
        <is>
          <t>A 34488-2021</t>
        </is>
      </c>
      <c r="B9798" s="1" t="n">
        <v>44382.3005787037</v>
      </c>
      <c r="C9798" s="1" t="n">
        <v>46075</v>
      </c>
      <c r="D9798" t="inlineStr">
        <is>
          <t>VÄSTERBOTTENS LÄN</t>
        </is>
      </c>
      <c r="E9798" t="inlineStr">
        <is>
          <t>UMEÅ</t>
        </is>
      </c>
      <c r="F9798" t="inlineStr">
        <is>
          <t>Holmen skog AB</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5602-2023</t>
        </is>
      </c>
      <c r="B9799" s="1" t="n">
        <v>44960.55158564815</v>
      </c>
      <c r="C9799" s="1" t="n">
        <v>46075</v>
      </c>
      <c r="D9799" t="inlineStr">
        <is>
          <t>VÄSTERBOTTENS LÄN</t>
        </is>
      </c>
      <c r="E9799" t="inlineStr">
        <is>
          <t>SKELLEFTEÅ</t>
        </is>
      </c>
      <c r="F9799" t="inlineStr">
        <is>
          <t>Sveaskog</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64020-2025</t>
        </is>
      </c>
      <c r="B9800" s="1" t="n">
        <v>46021.46155092592</v>
      </c>
      <c r="C9800" s="1" t="n">
        <v>46075</v>
      </c>
      <c r="D9800" t="inlineStr">
        <is>
          <t>VÄSTERBOTTENS LÄN</t>
        </is>
      </c>
      <c r="E9800" t="inlineStr">
        <is>
          <t>SKELLEFTEÅ</t>
        </is>
      </c>
      <c r="G9800" t="n">
        <v>4.5</v>
      </c>
      <c r="H9800" t="n">
        <v>0</v>
      </c>
      <c r="I9800" t="n">
        <v>0</v>
      </c>
      <c r="J9800" t="n">
        <v>0</v>
      </c>
      <c r="K9800" t="n">
        <v>0</v>
      </c>
      <c r="L9800" t="n">
        <v>0</v>
      </c>
      <c r="M9800" t="n">
        <v>0</v>
      </c>
      <c r="N9800" t="n">
        <v>0</v>
      </c>
      <c r="O9800" t="n">
        <v>0</v>
      </c>
      <c r="P9800" t="n">
        <v>0</v>
      </c>
      <c r="Q9800" t="n">
        <v>0</v>
      </c>
      <c r="R9800" s="2" t="inlineStr"/>
    </row>
    <row r="9801" ht="15" customHeight="1">
      <c r="A9801" t="inlineStr">
        <is>
          <t>A 60685-2022</t>
        </is>
      </c>
      <c r="B9801" s="1" t="n">
        <v>44911</v>
      </c>
      <c r="C9801" s="1" t="n">
        <v>46075</v>
      </c>
      <c r="D9801" t="inlineStr">
        <is>
          <t>VÄSTERBOTTENS LÄN</t>
        </is>
      </c>
      <c r="E9801" t="inlineStr">
        <is>
          <t>LYCKSELE</t>
        </is>
      </c>
      <c r="F9801" t="inlineStr">
        <is>
          <t>SCA</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7579-2022</t>
        </is>
      </c>
      <c r="B9802" s="1" t="n">
        <v>44607</v>
      </c>
      <c r="C9802" s="1" t="n">
        <v>46075</v>
      </c>
      <c r="D9802" t="inlineStr">
        <is>
          <t>VÄSTERBOTTENS LÄN</t>
        </is>
      </c>
      <c r="E9802" t="inlineStr">
        <is>
          <t>SKELLEFTEÅ</t>
        </is>
      </c>
      <c r="G9802" t="n">
        <v>1.3</v>
      </c>
      <c r="H9802" t="n">
        <v>0</v>
      </c>
      <c r="I9802" t="n">
        <v>0</v>
      </c>
      <c r="J9802" t="n">
        <v>0</v>
      </c>
      <c r="K9802" t="n">
        <v>0</v>
      </c>
      <c r="L9802" t="n">
        <v>0</v>
      </c>
      <c r="M9802" t="n">
        <v>0</v>
      </c>
      <c r="N9802" t="n">
        <v>0</v>
      </c>
      <c r="O9802" t="n">
        <v>0</v>
      </c>
      <c r="P9802" t="n">
        <v>0</v>
      </c>
      <c r="Q9802" t="n">
        <v>0</v>
      </c>
      <c r="R9802" s="2" t="inlineStr"/>
    </row>
    <row r="9803" ht="15" customHeight="1">
      <c r="A9803" t="inlineStr">
        <is>
          <t>A 62319-2022</t>
        </is>
      </c>
      <c r="B9803" s="1" t="n">
        <v>44923</v>
      </c>
      <c r="C9803" s="1" t="n">
        <v>46075</v>
      </c>
      <c r="D9803" t="inlineStr">
        <is>
          <t>VÄSTERBOTTENS LÄN</t>
        </is>
      </c>
      <c r="E9803" t="inlineStr">
        <is>
          <t>SKELLEFTEÅ</t>
        </is>
      </c>
      <c r="F9803" t="inlineStr">
        <is>
          <t>Sveaskog</t>
        </is>
      </c>
      <c r="G9803" t="n">
        <v>3.4</v>
      </c>
      <c r="H9803" t="n">
        <v>0</v>
      </c>
      <c r="I9803" t="n">
        <v>0</v>
      </c>
      <c r="J9803" t="n">
        <v>0</v>
      </c>
      <c r="K9803" t="n">
        <v>0</v>
      </c>
      <c r="L9803" t="n">
        <v>0</v>
      </c>
      <c r="M9803" t="n">
        <v>0</v>
      </c>
      <c r="N9803" t="n">
        <v>0</v>
      </c>
      <c r="O9803" t="n">
        <v>0</v>
      </c>
      <c r="P9803" t="n">
        <v>0</v>
      </c>
      <c r="Q9803" t="n">
        <v>0</v>
      </c>
      <c r="R9803" s="2" t="inlineStr"/>
    </row>
    <row r="9804" ht="15" customHeight="1">
      <c r="A9804" t="inlineStr">
        <is>
          <t>A 52218-2024</t>
        </is>
      </c>
      <c r="B9804" s="1" t="n">
        <v>45608.60149305555</v>
      </c>
      <c r="C9804" s="1" t="n">
        <v>46075</v>
      </c>
      <c r="D9804" t="inlineStr">
        <is>
          <t>VÄSTERBOTTENS LÄN</t>
        </is>
      </c>
      <c r="E9804" t="inlineStr">
        <is>
          <t>SKELLEFTEÅ</t>
        </is>
      </c>
      <c r="G9804" t="n">
        <v>2.2</v>
      </c>
      <c r="H9804" t="n">
        <v>0</v>
      </c>
      <c r="I9804" t="n">
        <v>0</v>
      </c>
      <c r="J9804" t="n">
        <v>0</v>
      </c>
      <c r="K9804" t="n">
        <v>0</v>
      </c>
      <c r="L9804" t="n">
        <v>0</v>
      </c>
      <c r="M9804" t="n">
        <v>0</v>
      </c>
      <c r="N9804" t="n">
        <v>0</v>
      </c>
      <c r="O9804" t="n">
        <v>0</v>
      </c>
      <c r="P9804" t="n">
        <v>0</v>
      </c>
      <c r="Q9804" t="n">
        <v>0</v>
      </c>
      <c r="R9804" s="2" t="inlineStr"/>
    </row>
    <row r="9805" ht="15" customHeight="1">
      <c r="A9805" t="inlineStr">
        <is>
          <t>A 18664-2024</t>
        </is>
      </c>
      <c r="B9805" s="1" t="n">
        <v>45425</v>
      </c>
      <c r="C9805" s="1" t="n">
        <v>46075</v>
      </c>
      <c r="D9805" t="inlineStr">
        <is>
          <t>VÄSTERBOTTENS LÄN</t>
        </is>
      </c>
      <c r="E9805" t="inlineStr">
        <is>
          <t>VINDELN</t>
        </is>
      </c>
      <c r="G9805" t="n">
        <v>14.6</v>
      </c>
      <c r="H9805" t="n">
        <v>0</v>
      </c>
      <c r="I9805" t="n">
        <v>0</v>
      </c>
      <c r="J9805" t="n">
        <v>0</v>
      </c>
      <c r="K9805" t="n">
        <v>0</v>
      </c>
      <c r="L9805" t="n">
        <v>0</v>
      </c>
      <c r="M9805" t="n">
        <v>0</v>
      </c>
      <c r="N9805" t="n">
        <v>0</v>
      </c>
      <c r="O9805" t="n">
        <v>0</v>
      </c>
      <c r="P9805" t="n">
        <v>0</v>
      </c>
      <c r="Q9805" t="n">
        <v>0</v>
      </c>
      <c r="R9805" s="2" t="inlineStr"/>
    </row>
    <row r="9806" ht="15" customHeight="1">
      <c r="A9806" t="inlineStr">
        <is>
          <t>A 7968-2026</t>
        </is>
      </c>
      <c r="B9806" s="1" t="n">
        <v>46063.46484953703</v>
      </c>
      <c r="C9806" s="1" t="n">
        <v>46075</v>
      </c>
      <c r="D9806" t="inlineStr">
        <is>
          <t>VÄSTERBOTTENS LÄN</t>
        </is>
      </c>
      <c r="E9806" t="inlineStr">
        <is>
          <t>ROBERTSFORS</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57085-2023</t>
        </is>
      </c>
      <c r="B9807" s="1" t="n">
        <v>45245.25636574074</v>
      </c>
      <c r="C9807" s="1" t="n">
        <v>46075</v>
      </c>
      <c r="D9807" t="inlineStr">
        <is>
          <t>VÄSTERBOTTENS LÄN</t>
        </is>
      </c>
      <c r="E9807" t="inlineStr">
        <is>
          <t>SKELLEFTEÅ</t>
        </is>
      </c>
      <c r="G9807" t="n">
        <v>2.4</v>
      </c>
      <c r="H9807" t="n">
        <v>0</v>
      </c>
      <c r="I9807" t="n">
        <v>0</v>
      </c>
      <c r="J9807" t="n">
        <v>0</v>
      </c>
      <c r="K9807" t="n">
        <v>0</v>
      </c>
      <c r="L9807" t="n">
        <v>0</v>
      </c>
      <c r="M9807" t="n">
        <v>0</v>
      </c>
      <c r="N9807" t="n">
        <v>0</v>
      </c>
      <c r="O9807" t="n">
        <v>0</v>
      </c>
      <c r="P9807" t="n">
        <v>0</v>
      </c>
      <c r="Q9807" t="n">
        <v>0</v>
      </c>
      <c r="R9807" s="2" t="inlineStr"/>
    </row>
    <row r="9808" ht="15" customHeight="1">
      <c r="A9808" t="inlineStr">
        <is>
          <t>A 57108-2023</t>
        </is>
      </c>
      <c r="B9808" s="1" t="n">
        <v>45239</v>
      </c>
      <c r="C9808" s="1" t="n">
        <v>46075</v>
      </c>
      <c r="D9808" t="inlineStr">
        <is>
          <t>VÄSTERBOTTENS LÄN</t>
        </is>
      </c>
      <c r="E9808" t="inlineStr">
        <is>
          <t>VILHELMINA</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43770-2025</t>
        </is>
      </c>
      <c r="B9809" s="1" t="n">
        <v>45912</v>
      </c>
      <c r="C9809" s="1" t="n">
        <v>46075</v>
      </c>
      <c r="D9809" t="inlineStr">
        <is>
          <t>VÄSTERBOTTENS LÄN</t>
        </is>
      </c>
      <c r="E9809" t="inlineStr">
        <is>
          <t>LYCKSELE</t>
        </is>
      </c>
      <c r="F9809" t="inlineStr">
        <is>
          <t>Holmen skog AB</t>
        </is>
      </c>
      <c r="G9809" t="n">
        <v>9.5</v>
      </c>
      <c r="H9809" t="n">
        <v>0</v>
      </c>
      <c r="I9809" t="n">
        <v>0</v>
      </c>
      <c r="J9809" t="n">
        <v>0</v>
      </c>
      <c r="K9809" t="n">
        <v>0</v>
      </c>
      <c r="L9809" t="n">
        <v>0</v>
      </c>
      <c r="M9809" t="n">
        <v>0</v>
      </c>
      <c r="N9809" t="n">
        <v>0</v>
      </c>
      <c r="O9809" t="n">
        <v>0</v>
      </c>
      <c r="P9809" t="n">
        <v>0</v>
      </c>
      <c r="Q9809" t="n">
        <v>0</v>
      </c>
      <c r="R9809" s="2" t="inlineStr"/>
    </row>
    <row r="9810" ht="15" customHeight="1">
      <c r="A9810" t="inlineStr">
        <is>
          <t>A 112-2026</t>
        </is>
      </c>
      <c r="B9810" s="1" t="n">
        <v>46019</v>
      </c>
      <c r="C9810" s="1" t="n">
        <v>46075</v>
      </c>
      <c r="D9810" t="inlineStr">
        <is>
          <t>VÄSTERBOTTENS LÄN</t>
        </is>
      </c>
      <c r="E9810" t="inlineStr">
        <is>
          <t>NORDMALING</t>
        </is>
      </c>
      <c r="G9810" t="n">
        <v>15.3</v>
      </c>
      <c r="H9810" t="n">
        <v>0</v>
      </c>
      <c r="I9810" t="n">
        <v>0</v>
      </c>
      <c r="J9810" t="n">
        <v>0</v>
      </c>
      <c r="K9810" t="n">
        <v>0</v>
      </c>
      <c r="L9810" t="n">
        <v>0</v>
      </c>
      <c r="M9810" t="n">
        <v>0</v>
      </c>
      <c r="N9810" t="n">
        <v>0</v>
      </c>
      <c r="O9810" t="n">
        <v>0</v>
      </c>
      <c r="P9810" t="n">
        <v>0</v>
      </c>
      <c r="Q9810" t="n">
        <v>0</v>
      </c>
      <c r="R9810" s="2" t="inlineStr"/>
    </row>
    <row r="9811" ht="15" customHeight="1">
      <c r="A9811" t="inlineStr">
        <is>
          <t>A 50448-2024</t>
        </is>
      </c>
      <c r="B9811" s="1" t="n">
        <v>45601.43474537037</v>
      </c>
      <c r="C9811" s="1" t="n">
        <v>46075</v>
      </c>
      <c r="D9811" t="inlineStr">
        <is>
          <t>VÄSTERBOTTENS LÄN</t>
        </is>
      </c>
      <c r="E9811" t="inlineStr">
        <is>
          <t>ROBERTSFORS</t>
        </is>
      </c>
      <c r="F9811" t="inlineStr">
        <is>
          <t>Holmen skog AB</t>
        </is>
      </c>
      <c r="G9811" t="n">
        <v>2.3</v>
      </c>
      <c r="H9811" t="n">
        <v>0</v>
      </c>
      <c r="I9811" t="n">
        <v>0</v>
      </c>
      <c r="J9811" t="n">
        <v>0</v>
      </c>
      <c r="K9811" t="n">
        <v>0</v>
      </c>
      <c r="L9811" t="n">
        <v>0</v>
      </c>
      <c r="M9811" t="n">
        <v>0</v>
      </c>
      <c r="N9811" t="n">
        <v>0</v>
      </c>
      <c r="O9811" t="n">
        <v>0</v>
      </c>
      <c r="P9811" t="n">
        <v>0</v>
      </c>
      <c r="Q9811" t="n">
        <v>0</v>
      </c>
      <c r="R9811" s="2" t="inlineStr"/>
    </row>
    <row r="9812" ht="15" customHeight="1">
      <c r="A9812" t="inlineStr">
        <is>
          <t>A 7792-2026</t>
        </is>
      </c>
      <c r="B9812" s="1" t="n">
        <v>46062.594375</v>
      </c>
      <c r="C9812" s="1" t="n">
        <v>46075</v>
      </c>
      <c r="D9812" t="inlineStr">
        <is>
          <t>VÄSTERBOTTENS LÄN</t>
        </is>
      </c>
      <c r="E9812" t="inlineStr">
        <is>
          <t>SORSELE</t>
        </is>
      </c>
      <c r="F9812" t="inlineStr">
        <is>
          <t>SCA</t>
        </is>
      </c>
      <c r="G9812" t="n">
        <v>5.1</v>
      </c>
      <c r="H9812" t="n">
        <v>0</v>
      </c>
      <c r="I9812" t="n">
        <v>0</v>
      </c>
      <c r="J9812" t="n">
        <v>0</v>
      </c>
      <c r="K9812" t="n">
        <v>0</v>
      </c>
      <c r="L9812" t="n">
        <v>0</v>
      </c>
      <c r="M9812" t="n">
        <v>0</v>
      </c>
      <c r="N9812" t="n">
        <v>0</v>
      </c>
      <c r="O9812" t="n">
        <v>0</v>
      </c>
      <c r="P9812" t="n">
        <v>0</v>
      </c>
      <c r="Q9812" t="n">
        <v>0</v>
      </c>
      <c r="R9812" s="2" t="inlineStr"/>
    </row>
    <row r="9813" ht="15" customHeight="1">
      <c r="A9813" t="inlineStr">
        <is>
          <t>A 63755-2025</t>
        </is>
      </c>
      <c r="B9813" s="1" t="n">
        <v>46018.35533564815</v>
      </c>
      <c r="C9813" s="1" t="n">
        <v>46075</v>
      </c>
      <c r="D9813" t="inlineStr">
        <is>
          <t>VÄSTERBOTTENS LÄN</t>
        </is>
      </c>
      <c r="E9813" t="inlineStr">
        <is>
          <t>NORDMALING</t>
        </is>
      </c>
      <c r="G9813" t="n">
        <v>16.2</v>
      </c>
      <c r="H9813" t="n">
        <v>0</v>
      </c>
      <c r="I9813" t="n">
        <v>0</v>
      </c>
      <c r="J9813" t="n">
        <v>0</v>
      </c>
      <c r="K9813" t="n">
        <v>0</v>
      </c>
      <c r="L9813" t="n">
        <v>0</v>
      </c>
      <c r="M9813" t="n">
        <v>0</v>
      </c>
      <c r="N9813" t="n">
        <v>0</v>
      </c>
      <c r="O9813" t="n">
        <v>0</v>
      </c>
      <c r="P9813" t="n">
        <v>0</v>
      </c>
      <c r="Q9813" t="n">
        <v>0</v>
      </c>
      <c r="R9813" s="2" t="inlineStr"/>
    </row>
    <row r="9814" ht="15" customHeight="1">
      <c r="A9814" t="inlineStr">
        <is>
          <t>A 18674-2025</t>
        </is>
      </c>
      <c r="B9814" s="1" t="n">
        <v>45763.59829861111</v>
      </c>
      <c r="C9814" s="1" t="n">
        <v>46075</v>
      </c>
      <c r="D9814" t="inlineStr">
        <is>
          <t>VÄSTERBOTTENS LÄN</t>
        </is>
      </c>
      <c r="E9814" t="inlineStr">
        <is>
          <t>LYCKSELE</t>
        </is>
      </c>
      <c r="F9814" t="inlineStr">
        <is>
          <t>Holmen skog AB</t>
        </is>
      </c>
      <c r="G9814" t="n">
        <v>7.9</v>
      </c>
      <c r="H9814" t="n">
        <v>0</v>
      </c>
      <c r="I9814" t="n">
        <v>0</v>
      </c>
      <c r="J9814" t="n">
        <v>0</v>
      </c>
      <c r="K9814" t="n">
        <v>0</v>
      </c>
      <c r="L9814" t="n">
        <v>0</v>
      </c>
      <c r="M9814" t="n">
        <v>0</v>
      </c>
      <c r="N9814" t="n">
        <v>0</v>
      </c>
      <c r="O9814" t="n">
        <v>0</v>
      </c>
      <c r="P9814" t="n">
        <v>0</v>
      </c>
      <c r="Q9814" t="n">
        <v>0</v>
      </c>
      <c r="R9814" s="2" t="inlineStr"/>
    </row>
    <row r="9815" ht="15" customHeight="1">
      <c r="A9815" t="inlineStr">
        <is>
          <t>A 8063-2026</t>
        </is>
      </c>
      <c r="B9815" s="1" t="n">
        <v>46063.62898148148</v>
      </c>
      <c r="C9815" s="1" t="n">
        <v>46075</v>
      </c>
      <c r="D9815" t="inlineStr">
        <is>
          <t>VÄSTERBOTTENS LÄN</t>
        </is>
      </c>
      <c r="E9815" t="inlineStr">
        <is>
          <t>STORUMAN</t>
        </is>
      </c>
      <c r="F9815" t="inlineStr">
        <is>
          <t>Sveaskog</t>
        </is>
      </c>
      <c r="G9815" t="n">
        <v>5.5</v>
      </c>
      <c r="H9815" t="n">
        <v>0</v>
      </c>
      <c r="I9815" t="n">
        <v>0</v>
      </c>
      <c r="J9815" t="n">
        <v>0</v>
      </c>
      <c r="K9815" t="n">
        <v>0</v>
      </c>
      <c r="L9815" t="n">
        <v>0</v>
      </c>
      <c r="M9815" t="n">
        <v>0</v>
      </c>
      <c r="N9815" t="n">
        <v>0</v>
      </c>
      <c r="O9815" t="n">
        <v>0</v>
      </c>
      <c r="P9815" t="n">
        <v>0</v>
      </c>
      <c r="Q9815" t="n">
        <v>0</v>
      </c>
      <c r="R9815" s="2" t="inlineStr"/>
    </row>
    <row r="9816" ht="15" customHeight="1">
      <c r="A9816" t="inlineStr">
        <is>
          <t>A 18705-2025</t>
        </is>
      </c>
      <c r="B9816" s="1" t="n">
        <v>45763.63334490741</v>
      </c>
      <c r="C9816" s="1" t="n">
        <v>46075</v>
      </c>
      <c r="D9816" t="inlineStr">
        <is>
          <t>VÄSTERBOTTENS LÄN</t>
        </is>
      </c>
      <c r="E9816" t="inlineStr">
        <is>
          <t>LYCKSELE</t>
        </is>
      </c>
      <c r="F9816" t="inlineStr">
        <is>
          <t>Holmen skog AB</t>
        </is>
      </c>
      <c r="G9816" t="n">
        <v>13.6</v>
      </c>
      <c r="H9816" t="n">
        <v>0</v>
      </c>
      <c r="I9816" t="n">
        <v>0</v>
      </c>
      <c r="J9816" t="n">
        <v>0</v>
      </c>
      <c r="K9816" t="n">
        <v>0</v>
      </c>
      <c r="L9816" t="n">
        <v>0</v>
      </c>
      <c r="M9816" t="n">
        <v>0</v>
      </c>
      <c r="N9816" t="n">
        <v>0</v>
      </c>
      <c r="O9816" t="n">
        <v>0</v>
      </c>
      <c r="P9816" t="n">
        <v>0</v>
      </c>
      <c r="Q9816" t="n">
        <v>0</v>
      </c>
      <c r="R9816" s="2" t="inlineStr"/>
    </row>
    <row r="9817" ht="15" customHeight="1">
      <c r="A9817" t="inlineStr">
        <is>
          <t>A 7381-2026</t>
        </is>
      </c>
      <c r="B9817" s="1" t="n">
        <v>46059</v>
      </c>
      <c r="C9817" s="1" t="n">
        <v>46075</v>
      </c>
      <c r="D9817" t="inlineStr">
        <is>
          <t>VÄSTERBOTTENS LÄN</t>
        </is>
      </c>
      <c r="E9817" t="inlineStr">
        <is>
          <t>UMEÅ</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47807-2024</t>
        </is>
      </c>
      <c r="B9818" s="1" t="n">
        <v>45588</v>
      </c>
      <c r="C9818" s="1" t="n">
        <v>46075</v>
      </c>
      <c r="D9818" t="inlineStr">
        <is>
          <t>VÄSTERBOTTENS LÄN</t>
        </is>
      </c>
      <c r="E9818" t="inlineStr">
        <is>
          <t>LYCKSELE</t>
        </is>
      </c>
      <c r="G9818" t="n">
        <v>0.4</v>
      </c>
      <c r="H9818" t="n">
        <v>0</v>
      </c>
      <c r="I9818" t="n">
        <v>0</v>
      </c>
      <c r="J9818" t="n">
        <v>0</v>
      </c>
      <c r="K9818" t="n">
        <v>0</v>
      </c>
      <c r="L9818" t="n">
        <v>0</v>
      </c>
      <c r="M9818" t="n">
        <v>0</v>
      </c>
      <c r="N9818" t="n">
        <v>0</v>
      </c>
      <c r="O9818" t="n">
        <v>0</v>
      </c>
      <c r="P9818" t="n">
        <v>0</v>
      </c>
      <c r="Q9818" t="n">
        <v>0</v>
      </c>
      <c r="R9818" s="2" t="inlineStr"/>
    </row>
    <row r="9819" ht="15" customHeight="1">
      <c r="A9819" t="inlineStr">
        <is>
          <t>A 7842-2026</t>
        </is>
      </c>
      <c r="B9819" s="1" t="n">
        <v>46062.65269675926</v>
      </c>
      <c r="C9819" s="1" t="n">
        <v>46075</v>
      </c>
      <c r="D9819" t="inlineStr">
        <is>
          <t>VÄSTERBOTTENS LÄN</t>
        </is>
      </c>
      <c r="E9819" t="inlineStr">
        <is>
          <t>LYCKSELE</t>
        </is>
      </c>
      <c r="G9819" t="n">
        <v>3</v>
      </c>
      <c r="H9819" t="n">
        <v>0</v>
      </c>
      <c r="I9819" t="n">
        <v>0</v>
      </c>
      <c r="J9819" t="n">
        <v>0</v>
      </c>
      <c r="K9819" t="n">
        <v>0</v>
      </c>
      <c r="L9819" t="n">
        <v>0</v>
      </c>
      <c r="M9819" t="n">
        <v>0</v>
      </c>
      <c r="N9819" t="n">
        <v>0</v>
      </c>
      <c r="O9819" t="n">
        <v>0</v>
      </c>
      <c r="P9819" t="n">
        <v>0</v>
      </c>
      <c r="Q9819" t="n">
        <v>0</v>
      </c>
      <c r="R9819" s="2" t="inlineStr"/>
    </row>
    <row r="9820" ht="15" customHeight="1">
      <c r="A9820" t="inlineStr">
        <is>
          <t>A 59165-2023</t>
        </is>
      </c>
      <c r="B9820" s="1" t="n">
        <v>45251</v>
      </c>
      <c r="C9820" s="1" t="n">
        <v>46075</v>
      </c>
      <c r="D9820" t="inlineStr">
        <is>
          <t>VÄSTERBOTTENS LÄN</t>
        </is>
      </c>
      <c r="E9820" t="inlineStr">
        <is>
          <t>SKELLEFTEÅ</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26738-2024</t>
        </is>
      </c>
      <c r="B9821" s="1" t="n">
        <v>45470.44721064815</v>
      </c>
      <c r="C9821" s="1" t="n">
        <v>46075</v>
      </c>
      <c r="D9821" t="inlineStr">
        <is>
          <t>VÄSTERBOTTENS LÄN</t>
        </is>
      </c>
      <c r="E9821" t="inlineStr">
        <is>
          <t>UMEÅ</t>
        </is>
      </c>
      <c r="G9821" t="n">
        <v>4.1</v>
      </c>
      <c r="H9821" t="n">
        <v>0</v>
      </c>
      <c r="I9821" t="n">
        <v>0</v>
      </c>
      <c r="J9821" t="n">
        <v>0</v>
      </c>
      <c r="K9821" t="n">
        <v>0</v>
      </c>
      <c r="L9821" t="n">
        <v>0</v>
      </c>
      <c r="M9821" t="n">
        <v>0</v>
      </c>
      <c r="N9821" t="n">
        <v>0</v>
      </c>
      <c r="O9821" t="n">
        <v>0</v>
      </c>
      <c r="P9821" t="n">
        <v>0</v>
      </c>
      <c r="Q9821" t="n">
        <v>0</v>
      </c>
      <c r="R9821" s="2" t="inlineStr"/>
    </row>
    <row r="9822" ht="15" customHeight="1">
      <c r="A9822" t="inlineStr">
        <is>
          <t>A 59228-2023</t>
        </is>
      </c>
      <c r="B9822" s="1" t="n">
        <v>45252</v>
      </c>
      <c r="C9822" s="1" t="n">
        <v>46075</v>
      </c>
      <c r="D9822" t="inlineStr">
        <is>
          <t>VÄSTERBOTTENS LÄN</t>
        </is>
      </c>
      <c r="E9822" t="inlineStr">
        <is>
          <t>UMEÅ</t>
        </is>
      </c>
      <c r="G9822" t="n">
        <v>1.4</v>
      </c>
      <c r="H9822" t="n">
        <v>0</v>
      </c>
      <c r="I9822" t="n">
        <v>0</v>
      </c>
      <c r="J9822" t="n">
        <v>0</v>
      </c>
      <c r="K9822" t="n">
        <v>0</v>
      </c>
      <c r="L9822" t="n">
        <v>0</v>
      </c>
      <c r="M9822" t="n">
        <v>0</v>
      </c>
      <c r="N9822" t="n">
        <v>0</v>
      </c>
      <c r="O9822" t="n">
        <v>0</v>
      </c>
      <c r="P9822" t="n">
        <v>0</v>
      </c>
      <c r="Q9822" t="n">
        <v>0</v>
      </c>
      <c r="R9822" s="2" t="inlineStr"/>
    </row>
    <row r="9823" ht="15" customHeight="1">
      <c r="A9823" t="inlineStr">
        <is>
          <t>A 54992-2024</t>
        </is>
      </c>
      <c r="B9823" s="1" t="n">
        <v>45620.91673611111</v>
      </c>
      <c r="C9823" s="1" t="n">
        <v>46075</v>
      </c>
      <c r="D9823" t="inlineStr">
        <is>
          <t>VÄSTERBOTTENS LÄN</t>
        </is>
      </c>
      <c r="E9823" t="inlineStr">
        <is>
          <t>ÅSELE</t>
        </is>
      </c>
      <c r="G9823" t="n">
        <v>5.7</v>
      </c>
      <c r="H9823" t="n">
        <v>0</v>
      </c>
      <c r="I9823" t="n">
        <v>0</v>
      </c>
      <c r="J9823" t="n">
        <v>0</v>
      </c>
      <c r="K9823" t="n">
        <v>0</v>
      </c>
      <c r="L9823" t="n">
        <v>0</v>
      </c>
      <c r="M9823" t="n">
        <v>0</v>
      </c>
      <c r="N9823" t="n">
        <v>0</v>
      </c>
      <c r="O9823" t="n">
        <v>0</v>
      </c>
      <c r="P9823" t="n">
        <v>0</v>
      </c>
      <c r="Q9823" t="n">
        <v>0</v>
      </c>
      <c r="R9823" s="2" t="inlineStr"/>
    </row>
    <row r="9824" ht="15" customHeight="1">
      <c r="A9824" t="inlineStr">
        <is>
          <t>A 55856-2024</t>
        </is>
      </c>
      <c r="B9824" s="1" t="n">
        <v>45623</v>
      </c>
      <c r="C9824" s="1" t="n">
        <v>46075</v>
      </c>
      <c r="D9824" t="inlineStr">
        <is>
          <t>VÄSTERBOTTENS LÄN</t>
        </is>
      </c>
      <c r="E9824" t="inlineStr">
        <is>
          <t>UMEÅ</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8194-2026</t>
        </is>
      </c>
      <c r="B9825" s="1" t="n">
        <v>46064</v>
      </c>
      <c r="C9825" s="1" t="n">
        <v>46075</v>
      </c>
      <c r="D9825" t="inlineStr">
        <is>
          <t>VÄSTERBOTTENS LÄN</t>
        </is>
      </c>
      <c r="E9825" t="inlineStr">
        <is>
          <t>UMEÅ</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40347-2024</t>
        </is>
      </c>
      <c r="B9826" s="1" t="n">
        <v>45555.35193287037</v>
      </c>
      <c r="C9826" s="1" t="n">
        <v>46075</v>
      </c>
      <c r="D9826" t="inlineStr">
        <is>
          <t>VÄSTERBOTTENS LÄN</t>
        </is>
      </c>
      <c r="E9826" t="inlineStr">
        <is>
          <t>SKELLEFTEÅ</t>
        </is>
      </c>
      <c r="F9826" t="inlineStr">
        <is>
          <t>Kommuner</t>
        </is>
      </c>
      <c r="G9826" t="n">
        <v>2.1</v>
      </c>
      <c r="H9826" t="n">
        <v>0</v>
      </c>
      <c r="I9826" t="n">
        <v>0</v>
      </c>
      <c r="J9826" t="n">
        <v>0</v>
      </c>
      <c r="K9826" t="n">
        <v>0</v>
      </c>
      <c r="L9826" t="n">
        <v>0</v>
      </c>
      <c r="M9826" t="n">
        <v>0</v>
      </c>
      <c r="N9826" t="n">
        <v>0</v>
      </c>
      <c r="O9826" t="n">
        <v>0</v>
      </c>
      <c r="P9826" t="n">
        <v>0</v>
      </c>
      <c r="Q9826" t="n">
        <v>0</v>
      </c>
      <c r="R9826" s="2" t="inlineStr"/>
    </row>
    <row r="9827" ht="15" customHeight="1">
      <c r="A9827" t="inlineStr">
        <is>
          <t>A 54727-2022</t>
        </is>
      </c>
      <c r="B9827" s="1" t="n">
        <v>44881</v>
      </c>
      <c r="C9827" s="1" t="n">
        <v>46075</v>
      </c>
      <c r="D9827" t="inlineStr">
        <is>
          <t>VÄSTERBOTTENS LÄN</t>
        </is>
      </c>
      <c r="E9827" t="inlineStr">
        <is>
          <t>VILHELMINA</t>
        </is>
      </c>
      <c r="G9827" t="n">
        <v>4.3</v>
      </c>
      <c r="H9827" t="n">
        <v>0</v>
      </c>
      <c r="I9827" t="n">
        <v>0</v>
      </c>
      <c r="J9827" t="n">
        <v>0</v>
      </c>
      <c r="K9827" t="n">
        <v>0</v>
      </c>
      <c r="L9827" t="n">
        <v>0</v>
      </c>
      <c r="M9827" t="n">
        <v>0</v>
      </c>
      <c r="N9827" t="n">
        <v>0</v>
      </c>
      <c r="O9827" t="n">
        <v>0</v>
      </c>
      <c r="P9827" t="n">
        <v>0</v>
      </c>
      <c r="Q9827" t="n">
        <v>0</v>
      </c>
      <c r="R9827" s="2" t="inlineStr"/>
    </row>
    <row r="9828" ht="15" customHeight="1">
      <c r="A9828" t="inlineStr">
        <is>
          <t>A 50506-2023</t>
        </is>
      </c>
      <c r="B9828" s="1" t="n">
        <v>45216.9580787037</v>
      </c>
      <c r="C9828" s="1" t="n">
        <v>46075</v>
      </c>
      <c r="D9828" t="inlineStr">
        <is>
          <t>VÄSTERBOTTENS LÄN</t>
        </is>
      </c>
      <c r="E9828" t="inlineStr">
        <is>
          <t>VILHELMINA</t>
        </is>
      </c>
      <c r="F9828" t="inlineStr">
        <is>
          <t>SCA</t>
        </is>
      </c>
      <c r="G9828" t="n">
        <v>3</v>
      </c>
      <c r="H9828" t="n">
        <v>0</v>
      </c>
      <c r="I9828" t="n">
        <v>0</v>
      </c>
      <c r="J9828" t="n">
        <v>0</v>
      </c>
      <c r="K9828" t="n">
        <v>0</v>
      </c>
      <c r="L9828" t="n">
        <v>0</v>
      </c>
      <c r="M9828" t="n">
        <v>0</v>
      </c>
      <c r="N9828" t="n">
        <v>0</v>
      </c>
      <c r="O9828" t="n">
        <v>0</v>
      </c>
      <c r="P9828" t="n">
        <v>0</v>
      </c>
      <c r="Q9828" t="n">
        <v>0</v>
      </c>
      <c r="R9828" s="2" t="inlineStr"/>
    </row>
    <row r="9829" ht="15" customHeight="1">
      <c r="A9829" t="inlineStr">
        <is>
          <t>A 40130-2024</t>
        </is>
      </c>
      <c r="B9829" s="1" t="n">
        <v>45554.47037037037</v>
      </c>
      <c r="C9829" s="1" t="n">
        <v>46075</v>
      </c>
      <c r="D9829" t="inlineStr">
        <is>
          <t>VÄSTERBOTTENS LÄN</t>
        </is>
      </c>
      <c r="E9829" t="inlineStr">
        <is>
          <t>VINDELN</t>
        </is>
      </c>
      <c r="G9829" t="n">
        <v>13</v>
      </c>
      <c r="H9829" t="n">
        <v>0</v>
      </c>
      <c r="I9829" t="n">
        <v>0</v>
      </c>
      <c r="J9829" t="n">
        <v>0</v>
      </c>
      <c r="K9829" t="n">
        <v>0</v>
      </c>
      <c r="L9829" t="n">
        <v>0</v>
      </c>
      <c r="M9829" t="n">
        <v>0</v>
      </c>
      <c r="N9829" t="n">
        <v>0</v>
      </c>
      <c r="O9829" t="n">
        <v>0</v>
      </c>
      <c r="P9829" t="n">
        <v>0</v>
      </c>
      <c r="Q9829" t="n">
        <v>0</v>
      </c>
      <c r="R9829" s="2" t="inlineStr"/>
    </row>
    <row r="9830" ht="15" customHeight="1">
      <c r="A9830" t="inlineStr">
        <is>
          <t>A 11076-2024</t>
        </is>
      </c>
      <c r="B9830" s="1" t="n">
        <v>45370</v>
      </c>
      <c r="C9830" s="1" t="n">
        <v>46075</v>
      </c>
      <c r="D9830" t="inlineStr">
        <is>
          <t>VÄSTERBOTTENS LÄN</t>
        </is>
      </c>
      <c r="E9830" t="inlineStr">
        <is>
          <t>SKELLEFTEÅ</t>
        </is>
      </c>
      <c r="G9830" t="n">
        <v>2.1</v>
      </c>
      <c r="H9830" t="n">
        <v>0</v>
      </c>
      <c r="I9830" t="n">
        <v>0</v>
      </c>
      <c r="J9830" t="n">
        <v>0</v>
      </c>
      <c r="K9830" t="n">
        <v>0</v>
      </c>
      <c r="L9830" t="n">
        <v>0</v>
      </c>
      <c r="M9830" t="n">
        <v>0</v>
      </c>
      <c r="N9830" t="n">
        <v>0</v>
      </c>
      <c r="O9830" t="n">
        <v>0</v>
      </c>
      <c r="P9830" t="n">
        <v>0</v>
      </c>
      <c r="Q9830" t="n">
        <v>0</v>
      </c>
      <c r="R9830" s="2" t="inlineStr"/>
    </row>
    <row r="9831" ht="15" customHeight="1">
      <c r="A9831" t="inlineStr">
        <is>
          <t>A 42887-2024</t>
        </is>
      </c>
      <c r="B9831" s="1" t="n">
        <v>45566.73494212963</v>
      </c>
      <c r="C9831" s="1" t="n">
        <v>46075</v>
      </c>
      <c r="D9831" t="inlineStr">
        <is>
          <t>VÄSTERBOTTENS LÄN</t>
        </is>
      </c>
      <c r="E9831" t="inlineStr">
        <is>
          <t>LYCKSELE</t>
        </is>
      </c>
      <c r="G9831" t="n">
        <v>0.5</v>
      </c>
      <c r="H9831" t="n">
        <v>0</v>
      </c>
      <c r="I9831" t="n">
        <v>0</v>
      </c>
      <c r="J9831" t="n">
        <v>0</v>
      </c>
      <c r="K9831" t="n">
        <v>0</v>
      </c>
      <c r="L9831" t="n">
        <v>0</v>
      </c>
      <c r="M9831" t="n">
        <v>0</v>
      </c>
      <c r="N9831" t="n">
        <v>0</v>
      </c>
      <c r="O9831" t="n">
        <v>0</v>
      </c>
      <c r="P9831" t="n">
        <v>0</v>
      </c>
      <c r="Q9831" t="n">
        <v>0</v>
      </c>
      <c r="R9831" s="2" t="inlineStr"/>
    </row>
    <row r="9832" ht="15" customHeight="1">
      <c r="A9832" t="inlineStr">
        <is>
          <t>A 25596-2022</t>
        </is>
      </c>
      <c r="B9832" s="1" t="n">
        <v>44732</v>
      </c>
      <c r="C9832" s="1" t="n">
        <v>46075</v>
      </c>
      <c r="D9832" t="inlineStr">
        <is>
          <t>VÄSTERBOTTENS LÄN</t>
        </is>
      </c>
      <c r="E9832" t="inlineStr">
        <is>
          <t>SKELLEFTEÅ</t>
        </is>
      </c>
      <c r="G9832" t="n">
        <v>4.7</v>
      </c>
      <c r="H9832" t="n">
        <v>0</v>
      </c>
      <c r="I9832" t="n">
        <v>0</v>
      </c>
      <c r="J9832" t="n">
        <v>0</v>
      </c>
      <c r="K9832" t="n">
        <v>0</v>
      </c>
      <c r="L9832" t="n">
        <v>0</v>
      </c>
      <c r="M9832" t="n">
        <v>0</v>
      </c>
      <c r="N9832" t="n">
        <v>0</v>
      </c>
      <c r="O9832" t="n">
        <v>0</v>
      </c>
      <c r="P9832" t="n">
        <v>0</v>
      </c>
      <c r="Q9832" t="n">
        <v>0</v>
      </c>
      <c r="R9832" s="2" t="inlineStr"/>
    </row>
    <row r="9833" ht="15" customHeight="1">
      <c r="A9833" t="inlineStr">
        <is>
          <t>A 40964-2024</t>
        </is>
      </c>
      <c r="B9833" s="1" t="n">
        <v>45558.67090277778</v>
      </c>
      <c r="C9833" s="1" t="n">
        <v>46075</v>
      </c>
      <c r="D9833" t="inlineStr">
        <is>
          <t>VÄSTERBOTTENS LÄN</t>
        </is>
      </c>
      <c r="E9833" t="inlineStr">
        <is>
          <t>VINDELN</t>
        </is>
      </c>
      <c r="F9833" t="inlineStr">
        <is>
          <t>Sveaskog</t>
        </is>
      </c>
      <c r="G9833" t="n">
        <v>1.9</v>
      </c>
      <c r="H9833" t="n">
        <v>0</v>
      </c>
      <c r="I9833" t="n">
        <v>0</v>
      </c>
      <c r="J9833" t="n">
        <v>0</v>
      </c>
      <c r="K9833" t="n">
        <v>0</v>
      </c>
      <c r="L9833" t="n">
        <v>0</v>
      </c>
      <c r="M9833" t="n">
        <v>0</v>
      </c>
      <c r="N9833" t="n">
        <v>0</v>
      </c>
      <c r="O9833" t="n">
        <v>0</v>
      </c>
      <c r="P9833" t="n">
        <v>0</v>
      </c>
      <c r="Q9833" t="n">
        <v>0</v>
      </c>
      <c r="R9833" s="2" t="inlineStr"/>
    </row>
    <row r="9834" ht="15" customHeight="1">
      <c r="A9834" t="inlineStr">
        <is>
          <t>A 64141-2025</t>
        </is>
      </c>
      <c r="B9834" s="1" t="n">
        <v>46022.43075231482</v>
      </c>
      <c r="C9834" s="1" t="n">
        <v>46075</v>
      </c>
      <c r="D9834" t="inlineStr">
        <is>
          <t>VÄSTERBOTTENS LÄN</t>
        </is>
      </c>
      <c r="E9834" t="inlineStr">
        <is>
          <t>SKELLEFTEÅ</t>
        </is>
      </c>
      <c r="G9834" t="n">
        <v>1.9</v>
      </c>
      <c r="H9834" t="n">
        <v>0</v>
      </c>
      <c r="I9834" t="n">
        <v>0</v>
      </c>
      <c r="J9834" t="n">
        <v>0</v>
      </c>
      <c r="K9834" t="n">
        <v>0</v>
      </c>
      <c r="L9834" t="n">
        <v>0</v>
      </c>
      <c r="M9834" t="n">
        <v>0</v>
      </c>
      <c r="N9834" t="n">
        <v>0</v>
      </c>
      <c r="O9834" t="n">
        <v>0</v>
      </c>
      <c r="P9834" t="n">
        <v>0</v>
      </c>
      <c r="Q9834" t="n">
        <v>0</v>
      </c>
      <c r="R9834" s="2" t="inlineStr"/>
    </row>
    <row r="9835" ht="15" customHeight="1">
      <c r="A9835" t="inlineStr">
        <is>
          <t>A 5834-2023</t>
        </is>
      </c>
      <c r="B9835" s="1" t="n">
        <v>44958</v>
      </c>
      <c r="C9835" s="1" t="n">
        <v>46075</v>
      </c>
      <c r="D9835" t="inlineStr">
        <is>
          <t>VÄSTERBOTTENS LÄN</t>
        </is>
      </c>
      <c r="E9835" t="inlineStr">
        <is>
          <t>DOROTEA</t>
        </is>
      </c>
      <c r="G9835" t="n">
        <v>3.1</v>
      </c>
      <c r="H9835" t="n">
        <v>0</v>
      </c>
      <c r="I9835" t="n">
        <v>0</v>
      </c>
      <c r="J9835" t="n">
        <v>0</v>
      </c>
      <c r="K9835" t="n">
        <v>0</v>
      </c>
      <c r="L9835" t="n">
        <v>0</v>
      </c>
      <c r="M9835" t="n">
        <v>0</v>
      </c>
      <c r="N9835" t="n">
        <v>0</v>
      </c>
      <c r="O9835" t="n">
        <v>0</v>
      </c>
      <c r="P9835" t="n">
        <v>0</v>
      </c>
      <c r="Q9835" t="n">
        <v>0</v>
      </c>
      <c r="R9835" s="2" t="inlineStr"/>
    </row>
    <row r="9836" ht="15" customHeight="1">
      <c r="A9836" t="inlineStr">
        <is>
          <t>A 10208-2024</t>
        </is>
      </c>
      <c r="B9836" s="1" t="n">
        <v>45364</v>
      </c>
      <c r="C9836" s="1" t="n">
        <v>46075</v>
      </c>
      <c r="D9836" t="inlineStr">
        <is>
          <t>VÄSTERBOTTENS LÄN</t>
        </is>
      </c>
      <c r="E9836" t="inlineStr">
        <is>
          <t>LYCKSELE</t>
        </is>
      </c>
      <c r="G9836" t="n">
        <v>9.4</v>
      </c>
      <c r="H9836" t="n">
        <v>0</v>
      </c>
      <c r="I9836" t="n">
        <v>0</v>
      </c>
      <c r="J9836" t="n">
        <v>0</v>
      </c>
      <c r="K9836" t="n">
        <v>0</v>
      </c>
      <c r="L9836" t="n">
        <v>0</v>
      </c>
      <c r="M9836" t="n">
        <v>0</v>
      </c>
      <c r="N9836" t="n">
        <v>0</v>
      </c>
      <c r="O9836" t="n">
        <v>0</v>
      </c>
      <c r="P9836" t="n">
        <v>0</v>
      </c>
      <c r="Q9836" t="n">
        <v>0</v>
      </c>
      <c r="R9836" s="2" t="inlineStr"/>
    </row>
    <row r="9837" ht="15" customHeight="1">
      <c r="A9837" t="inlineStr">
        <is>
          <t>A 33012-2023</t>
        </is>
      </c>
      <c r="B9837" s="1" t="n">
        <v>45113</v>
      </c>
      <c r="C9837" s="1" t="n">
        <v>46075</v>
      </c>
      <c r="D9837" t="inlineStr">
        <is>
          <t>VÄSTERBOTTENS LÄN</t>
        </is>
      </c>
      <c r="E9837" t="inlineStr">
        <is>
          <t>ÅSELE</t>
        </is>
      </c>
      <c r="G9837" t="n">
        <v>6.3</v>
      </c>
      <c r="H9837" t="n">
        <v>0</v>
      </c>
      <c r="I9837" t="n">
        <v>0</v>
      </c>
      <c r="J9837" t="n">
        <v>0</v>
      </c>
      <c r="K9837" t="n">
        <v>0</v>
      </c>
      <c r="L9837" t="n">
        <v>0</v>
      </c>
      <c r="M9837" t="n">
        <v>0</v>
      </c>
      <c r="N9837" t="n">
        <v>0</v>
      </c>
      <c r="O9837" t="n">
        <v>0</v>
      </c>
      <c r="P9837" t="n">
        <v>0</v>
      </c>
      <c r="Q9837" t="n">
        <v>0</v>
      </c>
      <c r="R9837" s="2" t="inlineStr"/>
    </row>
    <row r="9838" ht="15" customHeight="1">
      <c r="A9838" t="inlineStr">
        <is>
          <t>A 8491-2026</t>
        </is>
      </c>
      <c r="B9838" s="1" t="n">
        <v>46065.48565972222</v>
      </c>
      <c r="C9838" s="1" t="n">
        <v>46075</v>
      </c>
      <c r="D9838" t="inlineStr">
        <is>
          <t>VÄSTERBOTTENS LÄN</t>
        </is>
      </c>
      <c r="E9838" t="inlineStr">
        <is>
          <t>LYCKSELE</t>
        </is>
      </c>
      <c r="G9838" t="n">
        <v>5</v>
      </c>
      <c r="H9838" t="n">
        <v>0</v>
      </c>
      <c r="I9838" t="n">
        <v>0</v>
      </c>
      <c r="J9838" t="n">
        <v>0</v>
      </c>
      <c r="K9838" t="n">
        <v>0</v>
      </c>
      <c r="L9838" t="n">
        <v>0</v>
      </c>
      <c r="M9838" t="n">
        <v>0</v>
      </c>
      <c r="N9838" t="n">
        <v>0</v>
      </c>
      <c r="O9838" t="n">
        <v>0</v>
      </c>
      <c r="P9838" t="n">
        <v>0</v>
      </c>
      <c r="Q9838" t="n">
        <v>0</v>
      </c>
      <c r="R9838" s="2" t="inlineStr"/>
    </row>
    <row r="9839" ht="15" customHeight="1">
      <c r="A9839" t="inlineStr">
        <is>
          <t>A 8272-2026</t>
        </is>
      </c>
      <c r="B9839" s="1" t="n">
        <v>46064.55263888889</v>
      </c>
      <c r="C9839" s="1" t="n">
        <v>46075</v>
      </c>
      <c r="D9839" t="inlineStr">
        <is>
          <t>VÄSTERBOTTENS LÄN</t>
        </is>
      </c>
      <c r="E9839" t="inlineStr">
        <is>
          <t>LYCKSELE</t>
        </is>
      </c>
      <c r="F9839" t="inlineStr">
        <is>
          <t>Naturvårdsverket</t>
        </is>
      </c>
      <c r="G9839" t="n">
        <v>4.8</v>
      </c>
      <c r="H9839" t="n">
        <v>0</v>
      </c>
      <c r="I9839" t="n">
        <v>0</v>
      </c>
      <c r="J9839" t="n">
        <v>0</v>
      </c>
      <c r="K9839" t="n">
        <v>0</v>
      </c>
      <c r="L9839" t="n">
        <v>0</v>
      </c>
      <c r="M9839" t="n">
        <v>0</v>
      </c>
      <c r="N9839" t="n">
        <v>0</v>
      </c>
      <c r="O9839" t="n">
        <v>0</v>
      </c>
      <c r="P9839" t="n">
        <v>0</v>
      </c>
      <c r="Q9839" t="n">
        <v>0</v>
      </c>
      <c r="R9839" s="2" t="inlineStr"/>
    </row>
    <row r="9840" ht="15" customHeight="1">
      <c r="A9840" t="inlineStr">
        <is>
          <t>A 11321-2023</t>
        </is>
      </c>
      <c r="B9840" s="1" t="n">
        <v>44993.01305555556</v>
      </c>
      <c r="C9840" s="1" t="n">
        <v>46075</v>
      </c>
      <c r="D9840" t="inlineStr">
        <is>
          <t>VÄSTERBOTTENS LÄN</t>
        </is>
      </c>
      <c r="E9840" t="inlineStr">
        <is>
          <t>ÅSELE</t>
        </is>
      </c>
      <c r="F9840" t="inlineStr">
        <is>
          <t>SCA</t>
        </is>
      </c>
      <c r="G9840" t="n">
        <v>7.1</v>
      </c>
      <c r="H9840" t="n">
        <v>0</v>
      </c>
      <c r="I9840" t="n">
        <v>0</v>
      </c>
      <c r="J9840" t="n">
        <v>0</v>
      </c>
      <c r="K9840" t="n">
        <v>0</v>
      </c>
      <c r="L9840" t="n">
        <v>0</v>
      </c>
      <c r="M9840" t="n">
        <v>0</v>
      </c>
      <c r="N9840" t="n">
        <v>0</v>
      </c>
      <c r="O9840" t="n">
        <v>0</v>
      </c>
      <c r="P9840" t="n">
        <v>0</v>
      </c>
      <c r="Q9840" t="n">
        <v>0</v>
      </c>
      <c r="R9840" s="2" t="inlineStr"/>
    </row>
    <row r="9841" ht="15" customHeight="1">
      <c r="A9841" t="inlineStr">
        <is>
          <t>A 52462-2021</t>
        </is>
      </c>
      <c r="B9841" s="1" t="n">
        <v>44463</v>
      </c>
      <c r="C9841" s="1" t="n">
        <v>46075</v>
      </c>
      <c r="D9841" t="inlineStr">
        <is>
          <t>VÄSTERBOTTENS LÄN</t>
        </is>
      </c>
      <c r="E9841" t="inlineStr">
        <is>
          <t>SKELLEFTEÅ</t>
        </is>
      </c>
      <c r="G9841" t="n">
        <v>3</v>
      </c>
      <c r="H9841" t="n">
        <v>0</v>
      </c>
      <c r="I9841" t="n">
        <v>0</v>
      </c>
      <c r="J9841" t="n">
        <v>0</v>
      </c>
      <c r="K9841" t="n">
        <v>0</v>
      </c>
      <c r="L9841" t="n">
        <v>0</v>
      </c>
      <c r="M9841" t="n">
        <v>0</v>
      </c>
      <c r="N9841" t="n">
        <v>0</v>
      </c>
      <c r="O9841" t="n">
        <v>0</v>
      </c>
      <c r="P9841" t="n">
        <v>0</v>
      </c>
      <c r="Q9841" t="n">
        <v>0</v>
      </c>
      <c r="R9841" s="2" t="inlineStr"/>
    </row>
    <row r="9842" ht="15" customHeight="1">
      <c r="A9842" t="inlineStr">
        <is>
          <t>A 8534-2026</t>
        </is>
      </c>
      <c r="B9842" s="1" t="n">
        <v>46065.60201388889</v>
      </c>
      <c r="C9842" s="1" t="n">
        <v>46075</v>
      </c>
      <c r="D9842" t="inlineStr">
        <is>
          <t>VÄSTERBOTTENS LÄN</t>
        </is>
      </c>
      <c r="E9842" t="inlineStr">
        <is>
          <t>NORDMALING</t>
        </is>
      </c>
      <c r="G9842" t="n">
        <v>7.9</v>
      </c>
      <c r="H9842" t="n">
        <v>0</v>
      </c>
      <c r="I9842" t="n">
        <v>0</v>
      </c>
      <c r="J9842" t="n">
        <v>0</v>
      </c>
      <c r="K9842" t="n">
        <v>0</v>
      </c>
      <c r="L9842" t="n">
        <v>0</v>
      </c>
      <c r="M9842" t="n">
        <v>0</v>
      </c>
      <c r="N9842" t="n">
        <v>0</v>
      </c>
      <c r="O9842" t="n">
        <v>0</v>
      </c>
      <c r="P9842" t="n">
        <v>0</v>
      </c>
      <c r="Q9842" t="n">
        <v>0</v>
      </c>
      <c r="R9842" s="2" t="inlineStr"/>
    </row>
    <row r="9843" ht="15" customHeight="1">
      <c r="A9843" t="inlineStr">
        <is>
          <t>A 8575-2026</t>
        </is>
      </c>
      <c r="B9843" s="1" t="n">
        <v>46065</v>
      </c>
      <c r="C9843" s="1" t="n">
        <v>46075</v>
      </c>
      <c r="D9843" t="inlineStr">
        <is>
          <t>VÄSTERBOTTENS LÄN</t>
        </is>
      </c>
      <c r="E9843" t="inlineStr">
        <is>
          <t>LYCKSELE</t>
        </is>
      </c>
      <c r="G9843" t="n">
        <v>14.9</v>
      </c>
      <c r="H9843" t="n">
        <v>0</v>
      </c>
      <c r="I9843" t="n">
        <v>0</v>
      </c>
      <c r="J9843" t="n">
        <v>0</v>
      </c>
      <c r="K9843" t="n">
        <v>0</v>
      </c>
      <c r="L9843" t="n">
        <v>0</v>
      </c>
      <c r="M9843" t="n">
        <v>0</v>
      </c>
      <c r="N9843" t="n">
        <v>0</v>
      </c>
      <c r="O9843" t="n">
        <v>0</v>
      </c>
      <c r="P9843" t="n">
        <v>0</v>
      </c>
      <c r="Q9843" t="n">
        <v>0</v>
      </c>
      <c r="R9843" s="2" t="inlineStr"/>
    </row>
    <row r="9844" ht="15" customHeight="1">
      <c r="A9844" t="inlineStr">
        <is>
          <t>A 29000-2024</t>
        </is>
      </c>
      <c r="B9844" s="1" t="n">
        <v>45481.50622685185</v>
      </c>
      <c r="C9844" s="1" t="n">
        <v>46075</v>
      </c>
      <c r="D9844" t="inlineStr">
        <is>
          <t>VÄSTERBOTTENS LÄN</t>
        </is>
      </c>
      <c r="E9844" t="inlineStr">
        <is>
          <t>UMEÅ</t>
        </is>
      </c>
      <c r="G9844" t="n">
        <v>1</v>
      </c>
      <c r="H9844" t="n">
        <v>0</v>
      </c>
      <c r="I9844" t="n">
        <v>0</v>
      </c>
      <c r="J9844" t="n">
        <v>0</v>
      </c>
      <c r="K9844" t="n">
        <v>0</v>
      </c>
      <c r="L9844" t="n">
        <v>0</v>
      </c>
      <c r="M9844" t="n">
        <v>0</v>
      </c>
      <c r="N9844" t="n">
        <v>0</v>
      </c>
      <c r="O9844" t="n">
        <v>0</v>
      </c>
      <c r="P9844" t="n">
        <v>0</v>
      </c>
      <c r="Q9844" t="n">
        <v>0</v>
      </c>
      <c r="R9844" s="2" t="inlineStr"/>
    </row>
    <row r="9845" ht="15" customHeight="1">
      <c r="A9845" t="inlineStr">
        <is>
          <t>A 59174-2024</t>
        </is>
      </c>
      <c r="B9845" s="1" t="n">
        <v>45637.49741898148</v>
      </c>
      <c r="C9845" s="1" t="n">
        <v>46075</v>
      </c>
      <c r="D9845" t="inlineStr">
        <is>
          <t>VÄSTERBOTTENS LÄN</t>
        </is>
      </c>
      <c r="E9845" t="inlineStr">
        <is>
          <t>LYCKSELE</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59176-2024</t>
        </is>
      </c>
      <c r="B9846" s="1" t="n">
        <v>45637.50048611111</v>
      </c>
      <c r="C9846" s="1" t="n">
        <v>46075</v>
      </c>
      <c r="D9846" t="inlineStr">
        <is>
          <t>VÄSTERBOTTENS LÄN</t>
        </is>
      </c>
      <c r="E9846" t="inlineStr">
        <is>
          <t>NORDMALING</t>
        </is>
      </c>
      <c r="G9846" t="n">
        <v>1.8</v>
      </c>
      <c r="H9846" t="n">
        <v>0</v>
      </c>
      <c r="I9846" t="n">
        <v>0</v>
      </c>
      <c r="J9846" t="n">
        <v>0</v>
      </c>
      <c r="K9846" t="n">
        <v>0</v>
      </c>
      <c r="L9846" t="n">
        <v>0</v>
      </c>
      <c r="M9846" t="n">
        <v>0</v>
      </c>
      <c r="N9846" t="n">
        <v>0</v>
      </c>
      <c r="O9846" t="n">
        <v>0</v>
      </c>
      <c r="P9846" t="n">
        <v>0</v>
      </c>
      <c r="Q9846" t="n">
        <v>0</v>
      </c>
      <c r="R9846" s="2" t="inlineStr"/>
    </row>
    <row r="9847" ht="15" customHeight="1">
      <c r="A9847" t="inlineStr">
        <is>
          <t>A 8467-2026</t>
        </is>
      </c>
      <c r="B9847" s="1" t="n">
        <v>46065.44840277778</v>
      </c>
      <c r="C9847" s="1" t="n">
        <v>46075</v>
      </c>
      <c r="D9847" t="inlineStr">
        <is>
          <t>VÄSTERBOTTENS LÄN</t>
        </is>
      </c>
      <c r="E9847" t="inlineStr">
        <is>
          <t>LYCKSELE</t>
        </is>
      </c>
      <c r="F9847" t="inlineStr">
        <is>
          <t>SCA</t>
        </is>
      </c>
      <c r="G9847" t="n">
        <v>6.8</v>
      </c>
      <c r="H9847" t="n">
        <v>0</v>
      </c>
      <c r="I9847" t="n">
        <v>0</v>
      </c>
      <c r="J9847" t="n">
        <v>0</v>
      </c>
      <c r="K9847" t="n">
        <v>0</v>
      </c>
      <c r="L9847" t="n">
        <v>0</v>
      </c>
      <c r="M9847" t="n">
        <v>0</v>
      </c>
      <c r="N9847" t="n">
        <v>0</v>
      </c>
      <c r="O9847" t="n">
        <v>0</v>
      </c>
      <c r="P9847" t="n">
        <v>0</v>
      </c>
      <c r="Q9847" t="n">
        <v>0</v>
      </c>
      <c r="R9847" s="2" t="inlineStr"/>
    </row>
    <row r="9848" ht="15" customHeight="1">
      <c r="A9848" t="inlineStr">
        <is>
          <t>A 8472-2026</t>
        </is>
      </c>
      <c r="B9848" s="1" t="n">
        <v>46065.45136574074</v>
      </c>
      <c r="C9848" s="1" t="n">
        <v>46075</v>
      </c>
      <c r="D9848" t="inlineStr">
        <is>
          <t>VÄSTERBOTTENS LÄN</t>
        </is>
      </c>
      <c r="E9848" t="inlineStr">
        <is>
          <t>ROBERTSFORS</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8477-2026</t>
        </is>
      </c>
      <c r="B9849" s="1" t="n">
        <v>46065.45789351852</v>
      </c>
      <c r="C9849" s="1" t="n">
        <v>46075</v>
      </c>
      <c r="D9849" t="inlineStr">
        <is>
          <t>VÄSTERBOTTENS LÄN</t>
        </is>
      </c>
      <c r="E9849" t="inlineStr">
        <is>
          <t>ROBERTSFORS</t>
        </is>
      </c>
      <c r="G9849" t="n">
        <v>4.7</v>
      </c>
      <c r="H9849" t="n">
        <v>0</v>
      </c>
      <c r="I9849" t="n">
        <v>0</v>
      </c>
      <c r="J9849" t="n">
        <v>0</v>
      </c>
      <c r="K9849" t="n">
        <v>0</v>
      </c>
      <c r="L9849" t="n">
        <v>0</v>
      </c>
      <c r="M9849" t="n">
        <v>0</v>
      </c>
      <c r="N9849" t="n">
        <v>0</v>
      </c>
      <c r="O9849" t="n">
        <v>0</v>
      </c>
      <c r="P9849" t="n">
        <v>0</v>
      </c>
      <c r="Q9849" t="n">
        <v>0</v>
      </c>
      <c r="R9849" s="2" t="inlineStr"/>
    </row>
    <row r="9850" ht="15" customHeight="1">
      <c r="A9850" t="inlineStr">
        <is>
          <t>A 56952-2024</t>
        </is>
      </c>
      <c r="B9850" s="1" t="n">
        <v>45628</v>
      </c>
      <c r="C9850" s="1" t="n">
        <v>46075</v>
      </c>
      <c r="D9850" t="inlineStr">
        <is>
          <t>VÄSTERBOTTENS LÄN</t>
        </is>
      </c>
      <c r="E9850" t="inlineStr">
        <is>
          <t>SKELLEFTEÅ</t>
        </is>
      </c>
      <c r="F9850" t="inlineStr">
        <is>
          <t>Holmen skog AB</t>
        </is>
      </c>
      <c r="G9850" t="n">
        <v>0.7</v>
      </c>
      <c r="H9850" t="n">
        <v>0</v>
      </c>
      <c r="I9850" t="n">
        <v>0</v>
      </c>
      <c r="J9850" t="n">
        <v>0</v>
      </c>
      <c r="K9850" t="n">
        <v>0</v>
      </c>
      <c r="L9850" t="n">
        <v>0</v>
      </c>
      <c r="M9850" t="n">
        <v>0</v>
      </c>
      <c r="N9850" t="n">
        <v>0</v>
      </c>
      <c r="O9850" t="n">
        <v>0</v>
      </c>
      <c r="P9850" t="n">
        <v>0</v>
      </c>
      <c r="Q9850" t="n">
        <v>0</v>
      </c>
      <c r="R9850" s="2" t="inlineStr"/>
    </row>
    <row r="9851" ht="15" customHeight="1">
      <c r="A9851" t="inlineStr">
        <is>
          <t>A 8352-2026</t>
        </is>
      </c>
      <c r="B9851" s="1" t="n">
        <v>46064.64462962963</v>
      </c>
      <c r="C9851" s="1" t="n">
        <v>46075</v>
      </c>
      <c r="D9851" t="inlineStr">
        <is>
          <t>VÄSTERBOTTENS LÄN</t>
        </is>
      </c>
      <c r="E9851" t="inlineStr">
        <is>
          <t>SKELLEFTEÅ</t>
        </is>
      </c>
      <c r="G9851" t="n">
        <v>5.6</v>
      </c>
      <c r="H9851" t="n">
        <v>0</v>
      </c>
      <c r="I9851" t="n">
        <v>0</v>
      </c>
      <c r="J9851" t="n">
        <v>0</v>
      </c>
      <c r="K9851" t="n">
        <v>0</v>
      </c>
      <c r="L9851" t="n">
        <v>0</v>
      </c>
      <c r="M9851" t="n">
        <v>0</v>
      </c>
      <c r="N9851" t="n">
        <v>0</v>
      </c>
      <c r="O9851" t="n">
        <v>0</v>
      </c>
      <c r="P9851" t="n">
        <v>0</v>
      </c>
      <c r="Q9851" t="n">
        <v>0</v>
      </c>
      <c r="R9851" s="2" t="inlineStr"/>
    </row>
    <row r="9852" ht="15" customHeight="1">
      <c r="A9852" t="inlineStr">
        <is>
          <t>A 62084-2022</t>
        </is>
      </c>
      <c r="B9852" s="1" t="n">
        <v>44919</v>
      </c>
      <c r="C9852" s="1" t="n">
        <v>46075</v>
      </c>
      <c r="D9852" t="inlineStr">
        <is>
          <t>VÄSTERBOTTENS LÄN</t>
        </is>
      </c>
      <c r="E9852" t="inlineStr">
        <is>
          <t>ROBERTSFORS</t>
        </is>
      </c>
      <c r="G9852" t="n">
        <v>64.7</v>
      </c>
      <c r="H9852" t="n">
        <v>0</v>
      </c>
      <c r="I9852" t="n">
        <v>0</v>
      </c>
      <c r="J9852" t="n">
        <v>0</v>
      </c>
      <c r="K9852" t="n">
        <v>0</v>
      </c>
      <c r="L9852" t="n">
        <v>0</v>
      </c>
      <c r="M9852" t="n">
        <v>0</v>
      </c>
      <c r="N9852" t="n">
        <v>0</v>
      </c>
      <c r="O9852" t="n">
        <v>0</v>
      </c>
      <c r="P9852" t="n">
        <v>0</v>
      </c>
      <c r="Q9852" t="n">
        <v>0</v>
      </c>
      <c r="R9852" s="2" t="inlineStr"/>
    </row>
    <row r="9853" ht="15" customHeight="1">
      <c r="A9853" t="inlineStr">
        <is>
          <t>A 53984-2022</t>
        </is>
      </c>
      <c r="B9853" s="1" t="n">
        <v>44876</v>
      </c>
      <c r="C9853" s="1" t="n">
        <v>46075</v>
      </c>
      <c r="D9853" t="inlineStr">
        <is>
          <t>VÄSTERBOTTENS LÄN</t>
        </is>
      </c>
      <c r="E9853" t="inlineStr">
        <is>
          <t>ROBERTSFORS</t>
        </is>
      </c>
      <c r="G9853" t="n">
        <v>7.5</v>
      </c>
      <c r="H9853" t="n">
        <v>0</v>
      </c>
      <c r="I9853" t="n">
        <v>0</v>
      </c>
      <c r="J9853" t="n">
        <v>0</v>
      </c>
      <c r="K9853" t="n">
        <v>0</v>
      </c>
      <c r="L9853" t="n">
        <v>0</v>
      </c>
      <c r="M9853" t="n">
        <v>0</v>
      </c>
      <c r="N9853" t="n">
        <v>0</v>
      </c>
      <c r="O9853" t="n">
        <v>0</v>
      </c>
      <c r="P9853" t="n">
        <v>0</v>
      </c>
      <c r="Q9853" t="n">
        <v>0</v>
      </c>
      <c r="R9853" s="2" t="inlineStr"/>
    </row>
    <row r="9854" ht="15" customHeight="1">
      <c r="A9854" t="inlineStr">
        <is>
          <t>A 19531-2025</t>
        </is>
      </c>
      <c r="B9854" s="1" t="n">
        <v>45770.46910879629</v>
      </c>
      <c r="C9854" s="1" t="n">
        <v>46075</v>
      </c>
      <c r="D9854" t="inlineStr">
        <is>
          <t>VÄSTERBOTTENS LÄN</t>
        </is>
      </c>
      <c r="E9854" t="inlineStr">
        <is>
          <t>LYCKSELE</t>
        </is>
      </c>
      <c r="G9854" t="n">
        <v>2.4</v>
      </c>
      <c r="H9854" t="n">
        <v>0</v>
      </c>
      <c r="I9854" t="n">
        <v>0</v>
      </c>
      <c r="J9854" t="n">
        <v>0</v>
      </c>
      <c r="K9854" t="n">
        <v>0</v>
      </c>
      <c r="L9854" t="n">
        <v>0</v>
      </c>
      <c r="M9854" t="n">
        <v>0</v>
      </c>
      <c r="N9854" t="n">
        <v>0</v>
      </c>
      <c r="O9854" t="n">
        <v>0</v>
      </c>
      <c r="P9854" t="n">
        <v>0</v>
      </c>
      <c r="Q9854" t="n">
        <v>0</v>
      </c>
      <c r="R9854" s="2" t="inlineStr"/>
    </row>
    <row r="9855" ht="15" customHeight="1">
      <c r="A9855" t="inlineStr">
        <is>
          <t>A 19572-2025</t>
        </is>
      </c>
      <c r="B9855" s="1" t="n">
        <v>45770.55261574074</v>
      </c>
      <c r="C9855" s="1" t="n">
        <v>46075</v>
      </c>
      <c r="D9855" t="inlineStr">
        <is>
          <t>VÄSTERBOTTENS LÄN</t>
        </is>
      </c>
      <c r="E9855" t="inlineStr">
        <is>
          <t>ÅSELE</t>
        </is>
      </c>
      <c r="F9855" t="inlineStr">
        <is>
          <t>SCA</t>
        </is>
      </c>
      <c r="G9855" t="n">
        <v>5.5</v>
      </c>
      <c r="H9855" t="n">
        <v>0</v>
      </c>
      <c r="I9855" t="n">
        <v>0</v>
      </c>
      <c r="J9855" t="n">
        <v>0</v>
      </c>
      <c r="K9855" t="n">
        <v>0</v>
      </c>
      <c r="L9855" t="n">
        <v>0</v>
      </c>
      <c r="M9855" t="n">
        <v>0</v>
      </c>
      <c r="N9855" t="n">
        <v>0</v>
      </c>
      <c r="O9855" t="n">
        <v>0</v>
      </c>
      <c r="P9855" t="n">
        <v>0</v>
      </c>
      <c r="Q9855" t="n">
        <v>0</v>
      </c>
      <c r="R9855" s="2" t="inlineStr"/>
    </row>
    <row r="9856" ht="15" customHeight="1">
      <c r="A9856" t="inlineStr">
        <is>
          <t>A 37183-2023</t>
        </is>
      </c>
      <c r="B9856" s="1" t="n">
        <v>45154</v>
      </c>
      <c r="C9856" s="1" t="n">
        <v>46075</v>
      </c>
      <c r="D9856" t="inlineStr">
        <is>
          <t>VÄSTERBOTTENS LÄN</t>
        </is>
      </c>
      <c r="E9856" t="inlineStr">
        <is>
          <t>MALÅ</t>
        </is>
      </c>
      <c r="G9856" t="n">
        <v>41.2</v>
      </c>
      <c r="H9856" t="n">
        <v>0</v>
      </c>
      <c r="I9856" t="n">
        <v>0</v>
      </c>
      <c r="J9856" t="n">
        <v>0</v>
      </c>
      <c r="K9856" t="n">
        <v>0</v>
      </c>
      <c r="L9856" t="n">
        <v>0</v>
      </c>
      <c r="M9856" t="n">
        <v>0</v>
      </c>
      <c r="N9856" t="n">
        <v>0</v>
      </c>
      <c r="O9856" t="n">
        <v>0</v>
      </c>
      <c r="P9856" t="n">
        <v>0</v>
      </c>
      <c r="Q9856" t="n">
        <v>0</v>
      </c>
      <c r="R9856" s="2" t="inlineStr"/>
    </row>
    <row r="9857" ht="15" customHeight="1">
      <c r="A9857" t="inlineStr">
        <is>
          <t>A 61531-2024</t>
        </is>
      </c>
      <c r="B9857" s="1" t="n">
        <v>45646.58731481482</v>
      </c>
      <c r="C9857" s="1" t="n">
        <v>46075</v>
      </c>
      <c r="D9857" t="inlineStr">
        <is>
          <t>VÄSTERBOTTENS LÄN</t>
        </is>
      </c>
      <c r="E9857" t="inlineStr">
        <is>
          <t>ROBERTSFORS</t>
        </is>
      </c>
      <c r="G9857" t="n">
        <v>4.3</v>
      </c>
      <c r="H9857" t="n">
        <v>0</v>
      </c>
      <c r="I9857" t="n">
        <v>0</v>
      </c>
      <c r="J9857" t="n">
        <v>0</v>
      </c>
      <c r="K9857" t="n">
        <v>0</v>
      </c>
      <c r="L9857" t="n">
        <v>0</v>
      </c>
      <c r="M9857" t="n">
        <v>0</v>
      </c>
      <c r="N9857" t="n">
        <v>0</v>
      </c>
      <c r="O9857" t="n">
        <v>0</v>
      </c>
      <c r="P9857" t="n">
        <v>0</v>
      </c>
      <c r="Q9857" t="n">
        <v>0</v>
      </c>
      <c r="R9857" s="2" t="inlineStr"/>
    </row>
    <row r="9858" ht="15" customHeight="1">
      <c r="A9858" t="inlineStr">
        <is>
          <t>A 37256-2023</t>
        </is>
      </c>
      <c r="B9858" s="1" t="n">
        <v>45155</v>
      </c>
      <c r="C9858" s="1" t="n">
        <v>46075</v>
      </c>
      <c r="D9858" t="inlineStr">
        <is>
          <t>VÄSTERBOTTENS LÄN</t>
        </is>
      </c>
      <c r="E9858" t="inlineStr">
        <is>
          <t>SORSELE</t>
        </is>
      </c>
      <c r="F9858" t="inlineStr">
        <is>
          <t>SCA</t>
        </is>
      </c>
      <c r="G9858" t="n">
        <v>4.4</v>
      </c>
      <c r="H9858" t="n">
        <v>0</v>
      </c>
      <c r="I9858" t="n">
        <v>0</v>
      </c>
      <c r="J9858" t="n">
        <v>0</v>
      </c>
      <c r="K9858" t="n">
        <v>0</v>
      </c>
      <c r="L9858" t="n">
        <v>0</v>
      </c>
      <c r="M9858" t="n">
        <v>0</v>
      </c>
      <c r="N9858" t="n">
        <v>0</v>
      </c>
      <c r="O9858" t="n">
        <v>0</v>
      </c>
      <c r="P9858" t="n">
        <v>0</v>
      </c>
      <c r="Q9858" t="n">
        <v>0</v>
      </c>
      <c r="R9858" s="2" t="inlineStr"/>
    </row>
    <row r="9859" ht="15" customHeight="1">
      <c r="A9859" t="inlineStr">
        <is>
          <t>A 37271-2023</t>
        </is>
      </c>
      <c r="B9859" s="1" t="n">
        <v>45155</v>
      </c>
      <c r="C9859" s="1" t="n">
        <v>46075</v>
      </c>
      <c r="D9859" t="inlineStr">
        <is>
          <t>VÄSTERBOTTENS LÄN</t>
        </is>
      </c>
      <c r="E9859" t="inlineStr">
        <is>
          <t>LYCKSELE</t>
        </is>
      </c>
      <c r="F9859" t="inlineStr">
        <is>
          <t>SCA</t>
        </is>
      </c>
      <c r="G9859" t="n">
        <v>4.7</v>
      </c>
      <c r="H9859" t="n">
        <v>0</v>
      </c>
      <c r="I9859" t="n">
        <v>0</v>
      </c>
      <c r="J9859" t="n">
        <v>0</v>
      </c>
      <c r="K9859" t="n">
        <v>0</v>
      </c>
      <c r="L9859" t="n">
        <v>0</v>
      </c>
      <c r="M9859" t="n">
        <v>0</v>
      </c>
      <c r="N9859" t="n">
        <v>0</v>
      </c>
      <c r="O9859" t="n">
        <v>0</v>
      </c>
      <c r="P9859" t="n">
        <v>0</v>
      </c>
      <c r="Q9859" t="n">
        <v>0</v>
      </c>
      <c r="R9859" s="2" t="inlineStr"/>
    </row>
    <row r="9860" ht="15" customHeight="1">
      <c r="A9860" t="inlineStr">
        <is>
          <t>A 74013-2021</t>
        </is>
      </c>
      <c r="B9860" s="1" t="n">
        <v>44557.42135416667</v>
      </c>
      <c r="C9860" s="1" t="n">
        <v>46075</v>
      </c>
      <c r="D9860" t="inlineStr">
        <is>
          <t>VÄSTERBOTTENS LÄN</t>
        </is>
      </c>
      <c r="E9860" t="inlineStr">
        <is>
          <t>DOROTEA</t>
        </is>
      </c>
      <c r="G9860" t="n">
        <v>3.7</v>
      </c>
      <c r="H9860" t="n">
        <v>0</v>
      </c>
      <c r="I9860" t="n">
        <v>0</v>
      </c>
      <c r="J9860" t="n">
        <v>0</v>
      </c>
      <c r="K9860" t="n">
        <v>0</v>
      </c>
      <c r="L9860" t="n">
        <v>0</v>
      </c>
      <c r="M9860" t="n">
        <v>0</v>
      </c>
      <c r="N9860" t="n">
        <v>0</v>
      </c>
      <c r="O9860" t="n">
        <v>0</v>
      </c>
      <c r="P9860" t="n">
        <v>0</v>
      </c>
      <c r="Q9860" t="n">
        <v>0</v>
      </c>
      <c r="R9860" s="2" t="inlineStr"/>
    </row>
    <row r="9861" ht="15" customHeight="1">
      <c r="A9861" t="inlineStr">
        <is>
          <t>A 8466-2026</t>
        </is>
      </c>
      <c r="B9861" s="1" t="n">
        <v>46065.44672453704</v>
      </c>
      <c r="C9861" s="1" t="n">
        <v>46075</v>
      </c>
      <c r="D9861" t="inlineStr">
        <is>
          <t>VÄSTERBOTTENS LÄN</t>
        </is>
      </c>
      <c r="E9861" t="inlineStr">
        <is>
          <t>VINDELN</t>
        </is>
      </c>
      <c r="F9861" t="inlineStr">
        <is>
          <t>Holmen skog AB</t>
        </is>
      </c>
      <c r="G9861" t="n">
        <v>3.9</v>
      </c>
      <c r="H9861" t="n">
        <v>0</v>
      </c>
      <c r="I9861" t="n">
        <v>0</v>
      </c>
      <c r="J9861" t="n">
        <v>0</v>
      </c>
      <c r="K9861" t="n">
        <v>0</v>
      </c>
      <c r="L9861" t="n">
        <v>0</v>
      </c>
      <c r="M9861" t="n">
        <v>0</v>
      </c>
      <c r="N9861" t="n">
        <v>0</v>
      </c>
      <c r="O9861" t="n">
        <v>0</v>
      </c>
      <c r="P9861" t="n">
        <v>0</v>
      </c>
      <c r="Q9861" t="n">
        <v>0</v>
      </c>
      <c r="R9861" s="2" t="inlineStr"/>
    </row>
    <row r="9862" ht="15" customHeight="1">
      <c r="A9862" t="inlineStr">
        <is>
          <t>A 4680-2024</t>
        </is>
      </c>
      <c r="B9862" s="1" t="n">
        <v>45328</v>
      </c>
      <c r="C9862" s="1" t="n">
        <v>46075</v>
      </c>
      <c r="D9862" t="inlineStr">
        <is>
          <t>VÄSTERBOTTENS LÄN</t>
        </is>
      </c>
      <c r="E9862" t="inlineStr">
        <is>
          <t>VINDELN</t>
        </is>
      </c>
      <c r="G9862" t="n">
        <v>1.8</v>
      </c>
      <c r="H9862" t="n">
        <v>0</v>
      </c>
      <c r="I9862" t="n">
        <v>0</v>
      </c>
      <c r="J9862" t="n">
        <v>0</v>
      </c>
      <c r="K9862" t="n">
        <v>0</v>
      </c>
      <c r="L9862" t="n">
        <v>0</v>
      </c>
      <c r="M9862" t="n">
        <v>0</v>
      </c>
      <c r="N9862" t="n">
        <v>0</v>
      </c>
      <c r="O9862" t="n">
        <v>0</v>
      </c>
      <c r="P9862" t="n">
        <v>0</v>
      </c>
      <c r="Q9862" t="n">
        <v>0</v>
      </c>
      <c r="R9862" s="2" t="inlineStr"/>
    </row>
    <row r="9863" ht="15" customHeight="1">
      <c r="A9863" t="inlineStr">
        <is>
          <t>A 57788-2023</t>
        </is>
      </c>
      <c r="B9863" s="1" t="n">
        <v>45246</v>
      </c>
      <c r="C9863" s="1" t="n">
        <v>46075</v>
      </c>
      <c r="D9863" t="inlineStr">
        <is>
          <t>VÄSTERBOTTENS LÄN</t>
        </is>
      </c>
      <c r="E9863" t="inlineStr">
        <is>
          <t>ÅSELE</t>
        </is>
      </c>
      <c r="F9863" t="inlineStr">
        <is>
          <t>SCA</t>
        </is>
      </c>
      <c r="G9863" t="n">
        <v>7.7</v>
      </c>
      <c r="H9863" t="n">
        <v>0</v>
      </c>
      <c r="I9863" t="n">
        <v>0</v>
      </c>
      <c r="J9863" t="n">
        <v>0</v>
      </c>
      <c r="K9863" t="n">
        <v>0</v>
      </c>
      <c r="L9863" t="n">
        <v>0</v>
      </c>
      <c r="M9863" t="n">
        <v>0</v>
      </c>
      <c r="N9863" t="n">
        <v>0</v>
      </c>
      <c r="O9863" t="n">
        <v>0</v>
      </c>
      <c r="P9863" t="n">
        <v>0</v>
      </c>
      <c r="Q9863" t="n">
        <v>0</v>
      </c>
      <c r="R9863" s="2" t="inlineStr"/>
    </row>
    <row r="9864" ht="15" customHeight="1">
      <c r="A9864" t="inlineStr">
        <is>
          <t>A 8326-2026</t>
        </is>
      </c>
      <c r="B9864" s="1" t="n">
        <v>46064.61513888889</v>
      </c>
      <c r="C9864" s="1" t="n">
        <v>46075</v>
      </c>
      <c r="D9864" t="inlineStr">
        <is>
          <t>VÄSTERBOTTENS LÄN</t>
        </is>
      </c>
      <c r="E9864" t="inlineStr">
        <is>
          <t>VILHELMINA</t>
        </is>
      </c>
      <c r="F9864" t="inlineStr">
        <is>
          <t>SCA</t>
        </is>
      </c>
      <c r="G9864" t="n">
        <v>14.3</v>
      </c>
      <c r="H9864" t="n">
        <v>0</v>
      </c>
      <c r="I9864" t="n">
        <v>0</v>
      </c>
      <c r="J9864" t="n">
        <v>0</v>
      </c>
      <c r="K9864" t="n">
        <v>0</v>
      </c>
      <c r="L9864" t="n">
        <v>0</v>
      </c>
      <c r="M9864" t="n">
        <v>0</v>
      </c>
      <c r="N9864" t="n">
        <v>0</v>
      </c>
      <c r="O9864" t="n">
        <v>0</v>
      </c>
      <c r="P9864" t="n">
        <v>0</v>
      </c>
      <c r="Q9864" t="n">
        <v>0</v>
      </c>
      <c r="R9864" s="2" t="inlineStr"/>
    </row>
    <row r="9865" ht="15" customHeight="1">
      <c r="A9865" t="inlineStr">
        <is>
          <t>A 57794-2023</t>
        </is>
      </c>
      <c r="B9865" s="1" t="n">
        <v>45246.96853009259</v>
      </c>
      <c r="C9865" s="1" t="n">
        <v>46075</v>
      </c>
      <c r="D9865" t="inlineStr">
        <is>
          <t>VÄSTERBOTTENS LÄN</t>
        </is>
      </c>
      <c r="E9865" t="inlineStr">
        <is>
          <t>DOROTEA</t>
        </is>
      </c>
      <c r="F9865" t="inlineStr">
        <is>
          <t>SCA</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29922-2024</t>
        </is>
      </c>
      <c r="B9866" s="1" t="n">
        <v>45487.9563425926</v>
      </c>
      <c r="C9866" s="1" t="n">
        <v>46075</v>
      </c>
      <c r="D9866" t="inlineStr">
        <is>
          <t>VÄSTERBOTTENS LÄN</t>
        </is>
      </c>
      <c r="E9866" t="inlineStr">
        <is>
          <t>VILHELMINA</t>
        </is>
      </c>
      <c r="F9866" t="inlineStr">
        <is>
          <t>SCA</t>
        </is>
      </c>
      <c r="G9866" t="n">
        <v>5.2</v>
      </c>
      <c r="H9866" t="n">
        <v>0</v>
      </c>
      <c r="I9866" t="n">
        <v>0</v>
      </c>
      <c r="J9866" t="n">
        <v>0</v>
      </c>
      <c r="K9866" t="n">
        <v>0</v>
      </c>
      <c r="L9866" t="n">
        <v>0</v>
      </c>
      <c r="M9866" t="n">
        <v>0</v>
      </c>
      <c r="N9866" t="n">
        <v>0</v>
      </c>
      <c r="O9866" t="n">
        <v>0</v>
      </c>
      <c r="P9866" t="n">
        <v>0</v>
      </c>
      <c r="Q9866" t="n">
        <v>0</v>
      </c>
      <c r="R9866" s="2" t="inlineStr"/>
    </row>
    <row r="9867" ht="15" customHeight="1">
      <c r="A9867" t="inlineStr">
        <is>
          <t>A 8193-2026</t>
        </is>
      </c>
      <c r="B9867" s="1" t="n">
        <v>46064.42752314815</v>
      </c>
      <c r="C9867" s="1" t="n">
        <v>46075</v>
      </c>
      <c r="D9867" t="inlineStr">
        <is>
          <t>VÄSTERBOTTENS LÄN</t>
        </is>
      </c>
      <c r="E9867" t="inlineStr">
        <is>
          <t>UMEÅ</t>
        </is>
      </c>
      <c r="G9867" t="n">
        <v>10.5</v>
      </c>
      <c r="H9867" t="n">
        <v>0</v>
      </c>
      <c r="I9867" t="n">
        <v>0</v>
      </c>
      <c r="J9867" t="n">
        <v>0</v>
      </c>
      <c r="K9867" t="n">
        <v>0</v>
      </c>
      <c r="L9867" t="n">
        <v>0</v>
      </c>
      <c r="M9867" t="n">
        <v>0</v>
      </c>
      <c r="N9867" t="n">
        <v>0</v>
      </c>
      <c r="O9867" t="n">
        <v>0</v>
      </c>
      <c r="P9867" t="n">
        <v>0</v>
      </c>
      <c r="Q9867" t="n">
        <v>0</v>
      </c>
      <c r="R9867" s="2" t="inlineStr"/>
    </row>
    <row r="9868" ht="15" customHeight="1">
      <c r="A9868" t="inlineStr">
        <is>
          <t>A 8208-2026</t>
        </is>
      </c>
      <c r="B9868" s="1" t="n">
        <v>46064.4488425926</v>
      </c>
      <c r="C9868" s="1" t="n">
        <v>46075</v>
      </c>
      <c r="D9868" t="inlineStr">
        <is>
          <t>VÄSTERBOTTENS LÄN</t>
        </is>
      </c>
      <c r="E9868" t="inlineStr">
        <is>
          <t>UMEÅ</t>
        </is>
      </c>
      <c r="G9868" t="n">
        <v>19.9</v>
      </c>
      <c r="H9868" t="n">
        <v>0</v>
      </c>
      <c r="I9868" t="n">
        <v>0</v>
      </c>
      <c r="J9868" t="n">
        <v>0</v>
      </c>
      <c r="K9868" t="n">
        <v>0</v>
      </c>
      <c r="L9868" t="n">
        <v>0</v>
      </c>
      <c r="M9868" t="n">
        <v>0</v>
      </c>
      <c r="N9868" t="n">
        <v>0</v>
      </c>
      <c r="O9868" t="n">
        <v>0</v>
      </c>
      <c r="P9868" t="n">
        <v>0</v>
      </c>
      <c r="Q9868" t="n">
        <v>0</v>
      </c>
      <c r="R9868" s="2" t="inlineStr"/>
    </row>
    <row r="9869" ht="15" customHeight="1">
      <c r="A9869" t="inlineStr">
        <is>
          <t>A 61554-2022</t>
        </is>
      </c>
      <c r="B9869" s="1" t="n">
        <v>44916</v>
      </c>
      <c r="C9869" s="1" t="n">
        <v>46075</v>
      </c>
      <c r="D9869" t="inlineStr">
        <is>
          <t>VÄSTERBOTTENS LÄN</t>
        </is>
      </c>
      <c r="E9869" t="inlineStr">
        <is>
          <t>SORSELE</t>
        </is>
      </c>
      <c r="F9869" t="inlineStr">
        <is>
          <t>Sveaskog</t>
        </is>
      </c>
      <c r="G9869" t="n">
        <v>32.6</v>
      </c>
      <c r="H9869" t="n">
        <v>0</v>
      </c>
      <c r="I9869" t="n">
        <v>0</v>
      </c>
      <c r="J9869" t="n">
        <v>0</v>
      </c>
      <c r="K9869" t="n">
        <v>0</v>
      </c>
      <c r="L9869" t="n">
        <v>0</v>
      </c>
      <c r="M9869" t="n">
        <v>0</v>
      </c>
      <c r="N9869" t="n">
        <v>0</v>
      </c>
      <c r="O9869" t="n">
        <v>0</v>
      </c>
      <c r="P9869" t="n">
        <v>0</v>
      </c>
      <c r="Q9869" t="n">
        <v>0</v>
      </c>
      <c r="R9869" s="2" t="inlineStr"/>
    </row>
    <row r="9870" ht="15" customHeight="1">
      <c r="A9870" t="inlineStr">
        <is>
          <t>A 9961-2025</t>
        </is>
      </c>
      <c r="B9870" s="1" t="n">
        <v>45719.36620370371</v>
      </c>
      <c r="C9870" s="1" t="n">
        <v>46075</v>
      </c>
      <c r="D9870" t="inlineStr">
        <is>
          <t>VÄSTERBOTTENS LÄN</t>
        </is>
      </c>
      <c r="E9870" t="inlineStr">
        <is>
          <t>STORUMAN</t>
        </is>
      </c>
      <c r="G9870" t="n">
        <v>13.7</v>
      </c>
      <c r="H9870" t="n">
        <v>0</v>
      </c>
      <c r="I9870" t="n">
        <v>0</v>
      </c>
      <c r="J9870" t="n">
        <v>0</v>
      </c>
      <c r="K9870" t="n">
        <v>0</v>
      </c>
      <c r="L9870" t="n">
        <v>0</v>
      </c>
      <c r="M9870" t="n">
        <v>0</v>
      </c>
      <c r="N9870" t="n">
        <v>0</v>
      </c>
      <c r="O9870" t="n">
        <v>0</v>
      </c>
      <c r="P9870" t="n">
        <v>0</v>
      </c>
      <c r="Q9870" t="n">
        <v>0</v>
      </c>
      <c r="R9870" s="2" t="inlineStr"/>
    </row>
    <row r="9871" ht="15" customHeight="1">
      <c r="A9871" t="inlineStr">
        <is>
          <t>A 55528-2023</t>
        </is>
      </c>
      <c r="B9871" s="1" t="n">
        <v>45238.59362268518</v>
      </c>
      <c r="C9871" s="1" t="n">
        <v>46075</v>
      </c>
      <c r="D9871" t="inlineStr">
        <is>
          <t>VÄSTERBOTTENS LÄN</t>
        </is>
      </c>
      <c r="E9871" t="inlineStr">
        <is>
          <t>SKELLEFTEÅ</t>
        </is>
      </c>
      <c r="G9871" t="n">
        <v>9.6</v>
      </c>
      <c r="H9871" t="n">
        <v>0</v>
      </c>
      <c r="I9871" t="n">
        <v>0</v>
      </c>
      <c r="J9871" t="n">
        <v>0</v>
      </c>
      <c r="K9871" t="n">
        <v>0</v>
      </c>
      <c r="L9871" t="n">
        <v>0</v>
      </c>
      <c r="M9871" t="n">
        <v>0</v>
      </c>
      <c r="N9871" t="n">
        <v>0</v>
      </c>
      <c r="O9871" t="n">
        <v>0</v>
      </c>
      <c r="P9871" t="n">
        <v>0</v>
      </c>
      <c r="Q9871" t="n">
        <v>0</v>
      </c>
      <c r="R9871" s="2" t="inlineStr"/>
    </row>
    <row r="9872" ht="15" customHeight="1">
      <c r="A9872" t="inlineStr">
        <is>
          <t>A 64138-2025</t>
        </is>
      </c>
      <c r="B9872" s="1" t="n">
        <v>46022</v>
      </c>
      <c r="C9872" s="1" t="n">
        <v>46075</v>
      </c>
      <c r="D9872" t="inlineStr">
        <is>
          <t>VÄSTERBOTTENS LÄN</t>
        </is>
      </c>
      <c r="E9872" t="inlineStr">
        <is>
          <t>ROBERTSFORS</t>
        </is>
      </c>
      <c r="G9872" t="n">
        <v>0.7</v>
      </c>
      <c r="H9872" t="n">
        <v>0</v>
      </c>
      <c r="I9872" t="n">
        <v>0</v>
      </c>
      <c r="J9872" t="n">
        <v>0</v>
      </c>
      <c r="K9872" t="n">
        <v>0</v>
      </c>
      <c r="L9872" t="n">
        <v>0</v>
      </c>
      <c r="M9872" t="n">
        <v>0</v>
      </c>
      <c r="N9872" t="n">
        <v>0</v>
      </c>
      <c r="O9872" t="n">
        <v>0</v>
      </c>
      <c r="P9872" t="n">
        <v>0</v>
      </c>
      <c r="Q9872" t="n">
        <v>0</v>
      </c>
      <c r="R9872" s="2" t="inlineStr"/>
    </row>
    <row r="9873" ht="15" customHeight="1">
      <c r="A9873" t="inlineStr">
        <is>
          <t>A 8144-2026</t>
        </is>
      </c>
      <c r="B9873" s="1" t="n">
        <v>46064.34444444445</v>
      </c>
      <c r="C9873" s="1" t="n">
        <v>46075</v>
      </c>
      <c r="D9873" t="inlineStr">
        <is>
          <t>VÄSTERBOTTENS LÄN</t>
        </is>
      </c>
      <c r="E9873" t="inlineStr">
        <is>
          <t>SKELLEFTEÅ</t>
        </is>
      </c>
      <c r="G9873" t="n">
        <v>0.8</v>
      </c>
      <c r="H9873" t="n">
        <v>0</v>
      </c>
      <c r="I9873" t="n">
        <v>0</v>
      </c>
      <c r="J9873" t="n">
        <v>0</v>
      </c>
      <c r="K9873" t="n">
        <v>0</v>
      </c>
      <c r="L9873" t="n">
        <v>0</v>
      </c>
      <c r="M9873" t="n">
        <v>0</v>
      </c>
      <c r="N9873" t="n">
        <v>0</v>
      </c>
      <c r="O9873" t="n">
        <v>0</v>
      </c>
      <c r="P9873" t="n">
        <v>0</v>
      </c>
      <c r="Q9873" t="n">
        <v>0</v>
      </c>
      <c r="R9873" s="2" t="inlineStr"/>
    </row>
    <row r="9874" ht="15" customHeight="1">
      <c r="A9874" t="inlineStr">
        <is>
          <t>A 34489-2024</t>
        </is>
      </c>
      <c r="B9874" s="1" t="n">
        <v>45525.61174768519</v>
      </c>
      <c r="C9874" s="1" t="n">
        <v>46075</v>
      </c>
      <c r="D9874" t="inlineStr">
        <is>
          <t>VÄSTERBOTTENS LÄN</t>
        </is>
      </c>
      <c r="E9874" t="inlineStr">
        <is>
          <t>NORDMALING</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34546-2024</t>
        </is>
      </c>
      <c r="B9875" s="1" t="n">
        <v>45525.78375</v>
      </c>
      <c r="C9875" s="1" t="n">
        <v>46075</v>
      </c>
      <c r="D9875" t="inlineStr">
        <is>
          <t>VÄSTERBOTTENS LÄN</t>
        </is>
      </c>
      <c r="E9875" t="inlineStr">
        <is>
          <t>NORSJÖ</t>
        </is>
      </c>
      <c r="F9875" t="inlineStr">
        <is>
          <t>Holmen skog AB</t>
        </is>
      </c>
      <c r="G9875" t="n">
        <v>4</v>
      </c>
      <c r="H9875" t="n">
        <v>0</v>
      </c>
      <c r="I9875" t="n">
        <v>0</v>
      </c>
      <c r="J9875" t="n">
        <v>0</v>
      </c>
      <c r="K9875" t="n">
        <v>0</v>
      </c>
      <c r="L9875" t="n">
        <v>0</v>
      </c>
      <c r="M9875" t="n">
        <v>0</v>
      </c>
      <c r="N9875" t="n">
        <v>0</v>
      </c>
      <c r="O9875" t="n">
        <v>0</v>
      </c>
      <c r="P9875" t="n">
        <v>0</v>
      </c>
      <c r="Q9875" t="n">
        <v>0</v>
      </c>
      <c r="R9875" s="2" t="inlineStr"/>
    </row>
    <row r="9876" ht="15" customHeight="1">
      <c r="A9876" t="inlineStr">
        <is>
          <t>A 65040-2023</t>
        </is>
      </c>
      <c r="B9876" s="1" t="n">
        <v>45282</v>
      </c>
      <c r="C9876" s="1" t="n">
        <v>46075</v>
      </c>
      <c r="D9876" t="inlineStr">
        <is>
          <t>VÄSTERBOTTENS LÄN</t>
        </is>
      </c>
      <c r="E9876" t="inlineStr">
        <is>
          <t>ÅSELE</t>
        </is>
      </c>
      <c r="G9876" t="n">
        <v>6.6</v>
      </c>
      <c r="H9876" t="n">
        <v>0</v>
      </c>
      <c r="I9876" t="n">
        <v>0</v>
      </c>
      <c r="J9876" t="n">
        <v>0</v>
      </c>
      <c r="K9876" t="n">
        <v>0</v>
      </c>
      <c r="L9876" t="n">
        <v>0</v>
      </c>
      <c r="M9876" t="n">
        <v>0</v>
      </c>
      <c r="N9876" t="n">
        <v>0</v>
      </c>
      <c r="O9876" t="n">
        <v>0</v>
      </c>
      <c r="P9876" t="n">
        <v>0</v>
      </c>
      <c r="Q9876" t="n">
        <v>0</v>
      </c>
      <c r="R9876" s="2" t="inlineStr"/>
    </row>
    <row r="9877" ht="15" customHeight="1">
      <c r="A9877" t="inlineStr">
        <is>
          <t>A 38832-2024</t>
        </is>
      </c>
      <c r="B9877" s="1" t="n">
        <v>45547</v>
      </c>
      <c r="C9877" s="1" t="n">
        <v>46075</v>
      </c>
      <c r="D9877" t="inlineStr">
        <is>
          <t>VÄSTERBOTTENS LÄN</t>
        </is>
      </c>
      <c r="E9877" t="inlineStr">
        <is>
          <t>NORSJÖ</t>
        </is>
      </c>
      <c r="G9877" t="n">
        <v>1.8</v>
      </c>
      <c r="H9877" t="n">
        <v>0</v>
      </c>
      <c r="I9877" t="n">
        <v>0</v>
      </c>
      <c r="J9877" t="n">
        <v>0</v>
      </c>
      <c r="K9877" t="n">
        <v>0</v>
      </c>
      <c r="L9877" t="n">
        <v>0</v>
      </c>
      <c r="M9877" t="n">
        <v>0</v>
      </c>
      <c r="N9877" t="n">
        <v>0</v>
      </c>
      <c r="O9877" t="n">
        <v>0</v>
      </c>
      <c r="P9877" t="n">
        <v>0</v>
      </c>
      <c r="Q9877" t="n">
        <v>0</v>
      </c>
      <c r="R9877" s="2" t="inlineStr"/>
    </row>
    <row r="9878" ht="15" customHeight="1">
      <c r="A9878" t="inlineStr">
        <is>
          <t>A 8527-2026</t>
        </is>
      </c>
      <c r="B9878" s="1" t="n">
        <v>46065.59229166667</v>
      </c>
      <c r="C9878" s="1" t="n">
        <v>46075</v>
      </c>
      <c r="D9878" t="inlineStr">
        <is>
          <t>VÄSTERBOTTENS LÄN</t>
        </is>
      </c>
      <c r="E9878" t="inlineStr">
        <is>
          <t>BJURHOLM</t>
        </is>
      </c>
      <c r="G9878" t="n">
        <v>2</v>
      </c>
      <c r="H9878" t="n">
        <v>0</v>
      </c>
      <c r="I9878" t="n">
        <v>0</v>
      </c>
      <c r="J9878" t="n">
        <v>0</v>
      </c>
      <c r="K9878" t="n">
        <v>0</v>
      </c>
      <c r="L9878" t="n">
        <v>0</v>
      </c>
      <c r="M9878" t="n">
        <v>0</v>
      </c>
      <c r="N9878" t="n">
        <v>0</v>
      </c>
      <c r="O9878" t="n">
        <v>0</v>
      </c>
      <c r="P9878" t="n">
        <v>0</v>
      </c>
      <c r="Q9878" t="n">
        <v>0</v>
      </c>
      <c r="R9878" s="2" t="inlineStr"/>
    </row>
    <row r="9879" ht="15" customHeight="1">
      <c r="A9879" t="inlineStr">
        <is>
          <t>A 8535-2026</t>
        </is>
      </c>
      <c r="B9879" s="1" t="n">
        <v>46065.60232638889</v>
      </c>
      <c r="C9879" s="1" t="n">
        <v>46075</v>
      </c>
      <c r="D9879" t="inlineStr">
        <is>
          <t>VÄSTERBOTTENS LÄN</t>
        </is>
      </c>
      <c r="E9879" t="inlineStr">
        <is>
          <t>NORDMALING</t>
        </is>
      </c>
      <c r="G9879" t="n">
        <v>2.5</v>
      </c>
      <c r="H9879" t="n">
        <v>0</v>
      </c>
      <c r="I9879" t="n">
        <v>0</v>
      </c>
      <c r="J9879" t="n">
        <v>0</v>
      </c>
      <c r="K9879" t="n">
        <v>0</v>
      </c>
      <c r="L9879" t="n">
        <v>0</v>
      </c>
      <c r="M9879" t="n">
        <v>0</v>
      </c>
      <c r="N9879" t="n">
        <v>0</v>
      </c>
      <c r="O9879" t="n">
        <v>0</v>
      </c>
      <c r="P9879" t="n">
        <v>0</v>
      </c>
      <c r="Q9879" t="n">
        <v>0</v>
      </c>
      <c r="R9879" s="2" t="inlineStr"/>
    </row>
    <row r="9880" ht="15" customHeight="1">
      <c r="A9880" t="inlineStr">
        <is>
          <t>A 20163-2025</t>
        </is>
      </c>
      <c r="B9880" s="1" t="n">
        <v>45772.57280092593</v>
      </c>
      <c r="C9880" s="1" t="n">
        <v>46075</v>
      </c>
      <c r="D9880" t="inlineStr">
        <is>
          <t>VÄSTERBOTTENS LÄN</t>
        </is>
      </c>
      <c r="E9880" t="inlineStr">
        <is>
          <t>SKELLEFTEÅ</t>
        </is>
      </c>
      <c r="F9880" t="inlineStr">
        <is>
          <t>Holmen skog AB</t>
        </is>
      </c>
      <c r="G9880" t="n">
        <v>5.9</v>
      </c>
      <c r="H9880" t="n">
        <v>0</v>
      </c>
      <c r="I9880" t="n">
        <v>0</v>
      </c>
      <c r="J9880" t="n">
        <v>0</v>
      </c>
      <c r="K9880" t="n">
        <v>0</v>
      </c>
      <c r="L9880" t="n">
        <v>0</v>
      </c>
      <c r="M9880" t="n">
        <v>0</v>
      </c>
      <c r="N9880" t="n">
        <v>0</v>
      </c>
      <c r="O9880" t="n">
        <v>0</v>
      </c>
      <c r="P9880" t="n">
        <v>0</v>
      </c>
      <c r="Q9880" t="n">
        <v>0</v>
      </c>
      <c r="R9880" s="2" t="inlineStr"/>
    </row>
    <row r="9881" ht="15" customHeight="1">
      <c r="A9881" t="inlineStr">
        <is>
          <t>A 20216-2025</t>
        </is>
      </c>
      <c r="B9881" s="1" t="n">
        <v>45772</v>
      </c>
      <c r="C9881" s="1" t="n">
        <v>46075</v>
      </c>
      <c r="D9881" t="inlineStr">
        <is>
          <t>VÄSTERBOTTENS LÄN</t>
        </is>
      </c>
      <c r="E9881" t="inlineStr">
        <is>
          <t>SKELLEFTEÅ</t>
        </is>
      </c>
      <c r="G9881" t="n">
        <v>8.199999999999999</v>
      </c>
      <c r="H9881" t="n">
        <v>0</v>
      </c>
      <c r="I9881" t="n">
        <v>0</v>
      </c>
      <c r="J9881" t="n">
        <v>0</v>
      </c>
      <c r="K9881" t="n">
        <v>0</v>
      </c>
      <c r="L9881" t="n">
        <v>0</v>
      </c>
      <c r="M9881" t="n">
        <v>0</v>
      </c>
      <c r="N9881" t="n">
        <v>0</v>
      </c>
      <c r="O9881" t="n">
        <v>0</v>
      </c>
      <c r="P9881" t="n">
        <v>0</v>
      </c>
      <c r="Q9881" t="n">
        <v>0</v>
      </c>
      <c r="R9881" s="2" t="inlineStr"/>
    </row>
    <row r="9882" ht="15" customHeight="1">
      <c r="A9882" t="inlineStr">
        <is>
          <t>A 20220-2025</t>
        </is>
      </c>
      <c r="B9882" s="1" t="n">
        <v>45772</v>
      </c>
      <c r="C9882" s="1" t="n">
        <v>46075</v>
      </c>
      <c r="D9882" t="inlineStr">
        <is>
          <t>VÄSTERBOTTENS LÄN</t>
        </is>
      </c>
      <c r="E9882" t="inlineStr">
        <is>
          <t>SKELLEFTEÅ</t>
        </is>
      </c>
      <c r="G9882" t="n">
        <v>18.6</v>
      </c>
      <c r="H9882" t="n">
        <v>0</v>
      </c>
      <c r="I9882" t="n">
        <v>0</v>
      </c>
      <c r="J9882" t="n">
        <v>0</v>
      </c>
      <c r="K9882" t="n">
        <v>0</v>
      </c>
      <c r="L9882" t="n">
        <v>0</v>
      </c>
      <c r="M9882" t="n">
        <v>0</v>
      </c>
      <c r="N9882" t="n">
        <v>0</v>
      </c>
      <c r="O9882" t="n">
        <v>0</v>
      </c>
      <c r="P9882" t="n">
        <v>0</v>
      </c>
      <c r="Q9882" t="n">
        <v>0</v>
      </c>
      <c r="R9882" s="2" t="inlineStr"/>
    </row>
    <row r="9883" ht="15" customHeight="1">
      <c r="A9883" t="inlineStr">
        <is>
          <t>A 19573-2024</t>
        </is>
      </c>
      <c r="B9883" s="1" t="n">
        <v>45429</v>
      </c>
      <c r="C9883" s="1" t="n">
        <v>46075</v>
      </c>
      <c r="D9883" t="inlineStr">
        <is>
          <t>VÄSTERBOTTENS LÄN</t>
        </is>
      </c>
      <c r="E9883" t="inlineStr">
        <is>
          <t>BJURHOLM</t>
        </is>
      </c>
      <c r="G9883" t="n">
        <v>2.9</v>
      </c>
      <c r="H9883" t="n">
        <v>0</v>
      </c>
      <c r="I9883" t="n">
        <v>0</v>
      </c>
      <c r="J9883" t="n">
        <v>0</v>
      </c>
      <c r="K9883" t="n">
        <v>0</v>
      </c>
      <c r="L9883" t="n">
        <v>0</v>
      </c>
      <c r="M9883" t="n">
        <v>0</v>
      </c>
      <c r="N9883" t="n">
        <v>0</v>
      </c>
      <c r="O9883" t="n">
        <v>0</v>
      </c>
      <c r="P9883" t="n">
        <v>0</v>
      </c>
      <c r="Q9883" t="n">
        <v>0</v>
      </c>
      <c r="R9883" s="2" t="inlineStr"/>
    </row>
    <row r="9884" ht="15" customHeight="1">
      <c r="A9884" t="inlineStr">
        <is>
          <t>A 22279-2021</t>
        </is>
      </c>
      <c r="B9884" s="1" t="n">
        <v>44326</v>
      </c>
      <c r="C9884" s="1" t="n">
        <v>46075</v>
      </c>
      <c r="D9884" t="inlineStr">
        <is>
          <t>VÄSTERBOTTENS LÄN</t>
        </is>
      </c>
      <c r="E9884" t="inlineStr">
        <is>
          <t>UMEÅ</t>
        </is>
      </c>
      <c r="G9884" t="n">
        <v>3.2</v>
      </c>
      <c r="H9884" t="n">
        <v>0</v>
      </c>
      <c r="I9884" t="n">
        <v>0</v>
      </c>
      <c r="J9884" t="n">
        <v>0</v>
      </c>
      <c r="K9884" t="n">
        <v>0</v>
      </c>
      <c r="L9884" t="n">
        <v>0</v>
      </c>
      <c r="M9884" t="n">
        <v>0</v>
      </c>
      <c r="N9884" t="n">
        <v>0</v>
      </c>
      <c r="O9884" t="n">
        <v>0</v>
      </c>
      <c r="P9884" t="n">
        <v>0</v>
      </c>
      <c r="Q9884" t="n">
        <v>0</v>
      </c>
      <c r="R9884" s="2" t="inlineStr"/>
    </row>
    <row r="9885" ht="15" customHeight="1">
      <c r="A9885" t="inlineStr">
        <is>
          <t>A 24691-2023</t>
        </is>
      </c>
      <c r="B9885" s="1" t="n">
        <v>45077</v>
      </c>
      <c r="C9885" s="1" t="n">
        <v>46075</v>
      </c>
      <c r="D9885" t="inlineStr">
        <is>
          <t>VÄSTERBOTTENS LÄN</t>
        </is>
      </c>
      <c r="E9885" t="inlineStr">
        <is>
          <t>STORUMAN</t>
        </is>
      </c>
      <c r="G9885" t="n">
        <v>929</v>
      </c>
      <c r="H9885" t="n">
        <v>0</v>
      </c>
      <c r="I9885" t="n">
        <v>0</v>
      </c>
      <c r="J9885" t="n">
        <v>0</v>
      </c>
      <c r="K9885" t="n">
        <v>0</v>
      </c>
      <c r="L9885" t="n">
        <v>0</v>
      </c>
      <c r="M9885" t="n">
        <v>0</v>
      </c>
      <c r="N9885" t="n">
        <v>0</v>
      </c>
      <c r="O9885" t="n">
        <v>0</v>
      </c>
      <c r="P9885" t="n">
        <v>0</v>
      </c>
      <c r="Q9885" t="n">
        <v>0</v>
      </c>
      <c r="R9885" s="2" t="inlineStr"/>
    </row>
    <row r="9886" ht="15" customHeight="1">
      <c r="A9886" t="inlineStr">
        <is>
          <t>A 24712-2023</t>
        </is>
      </c>
      <c r="B9886" s="1" t="n">
        <v>45075</v>
      </c>
      <c r="C9886" s="1" t="n">
        <v>46075</v>
      </c>
      <c r="D9886" t="inlineStr">
        <is>
          <t>VÄSTERBOTTENS LÄN</t>
        </is>
      </c>
      <c r="E9886" t="inlineStr">
        <is>
          <t>NORDMALING</t>
        </is>
      </c>
      <c r="G9886" t="n">
        <v>1.3</v>
      </c>
      <c r="H9886" t="n">
        <v>0</v>
      </c>
      <c r="I9886" t="n">
        <v>0</v>
      </c>
      <c r="J9886" t="n">
        <v>0</v>
      </c>
      <c r="K9886" t="n">
        <v>0</v>
      </c>
      <c r="L9886" t="n">
        <v>0</v>
      </c>
      <c r="M9886" t="n">
        <v>0</v>
      </c>
      <c r="N9886" t="n">
        <v>0</v>
      </c>
      <c r="O9886" t="n">
        <v>0</v>
      </c>
      <c r="P9886" t="n">
        <v>0</v>
      </c>
      <c r="Q9886" t="n">
        <v>0</v>
      </c>
      <c r="R9886" s="2" t="inlineStr"/>
    </row>
    <row r="9887" ht="15" customHeight="1">
      <c r="A9887" t="inlineStr">
        <is>
          <t>A 17237-2025</t>
        </is>
      </c>
      <c r="B9887" s="1" t="n">
        <v>45756.47723379629</v>
      </c>
      <c r="C9887" s="1" t="n">
        <v>46075</v>
      </c>
      <c r="D9887" t="inlineStr">
        <is>
          <t>VÄSTERBOTTENS LÄN</t>
        </is>
      </c>
      <c r="E9887" t="inlineStr">
        <is>
          <t>BJURHOLM</t>
        </is>
      </c>
      <c r="G9887" t="n">
        <v>5.9</v>
      </c>
      <c r="H9887" t="n">
        <v>0</v>
      </c>
      <c r="I9887" t="n">
        <v>0</v>
      </c>
      <c r="J9887" t="n">
        <v>0</v>
      </c>
      <c r="K9887" t="n">
        <v>0</v>
      </c>
      <c r="L9887" t="n">
        <v>0</v>
      </c>
      <c r="M9887" t="n">
        <v>0</v>
      </c>
      <c r="N9887" t="n">
        <v>0</v>
      </c>
      <c r="O9887" t="n">
        <v>0</v>
      </c>
      <c r="P9887" t="n">
        <v>0</v>
      </c>
      <c r="Q9887" t="n">
        <v>0</v>
      </c>
      <c r="R9887" s="2" t="inlineStr"/>
    </row>
    <row r="9888" ht="15" customHeight="1">
      <c r="A9888" t="inlineStr">
        <is>
          <t>A 64158-2025</t>
        </is>
      </c>
      <c r="B9888" s="1" t="n">
        <v>46022.87686342592</v>
      </c>
      <c r="C9888" s="1" t="n">
        <v>46075</v>
      </c>
      <c r="D9888" t="inlineStr">
        <is>
          <t>VÄSTERBOTTENS LÄN</t>
        </is>
      </c>
      <c r="E9888" t="inlineStr">
        <is>
          <t>NORDMALING</t>
        </is>
      </c>
      <c r="G9888" t="n">
        <v>2.3</v>
      </c>
      <c r="H9888" t="n">
        <v>0</v>
      </c>
      <c r="I9888" t="n">
        <v>0</v>
      </c>
      <c r="J9888" t="n">
        <v>0</v>
      </c>
      <c r="K9888" t="n">
        <v>0</v>
      </c>
      <c r="L9888" t="n">
        <v>0</v>
      </c>
      <c r="M9888" t="n">
        <v>0</v>
      </c>
      <c r="N9888" t="n">
        <v>0</v>
      </c>
      <c r="O9888" t="n">
        <v>0</v>
      </c>
      <c r="P9888" t="n">
        <v>0</v>
      </c>
      <c r="Q9888" t="n">
        <v>0</v>
      </c>
      <c r="R9888" s="2" t="inlineStr"/>
    </row>
    <row r="9889" ht="15" customHeight="1">
      <c r="A9889" t="inlineStr">
        <is>
          <t>A 19-2026</t>
        </is>
      </c>
      <c r="B9889" s="1" t="n">
        <v>46023</v>
      </c>
      <c r="C9889" s="1" t="n">
        <v>46075</v>
      </c>
      <c r="D9889" t="inlineStr">
        <is>
          <t>VÄSTERBOTTENS LÄN</t>
        </is>
      </c>
      <c r="E9889" t="inlineStr">
        <is>
          <t>NORDMALING</t>
        </is>
      </c>
      <c r="G9889" t="n">
        <v>2.1</v>
      </c>
      <c r="H9889" t="n">
        <v>0</v>
      </c>
      <c r="I9889" t="n">
        <v>0</v>
      </c>
      <c r="J9889" t="n">
        <v>0</v>
      </c>
      <c r="K9889" t="n">
        <v>0</v>
      </c>
      <c r="L9889" t="n">
        <v>0</v>
      </c>
      <c r="M9889" t="n">
        <v>0</v>
      </c>
      <c r="N9889" t="n">
        <v>0</v>
      </c>
      <c r="O9889" t="n">
        <v>0</v>
      </c>
      <c r="P9889" t="n">
        <v>0</v>
      </c>
      <c r="Q9889" t="n">
        <v>0</v>
      </c>
      <c r="R9889" s="2" t="inlineStr"/>
    </row>
    <row r="9890" ht="15" customHeight="1">
      <c r="A9890" t="inlineStr">
        <is>
          <t>A 17302-2025</t>
        </is>
      </c>
      <c r="B9890" s="1" t="n">
        <v>45756</v>
      </c>
      <c r="C9890" s="1" t="n">
        <v>46075</v>
      </c>
      <c r="D9890" t="inlineStr">
        <is>
          <t>VÄSTERBOTTENS LÄN</t>
        </is>
      </c>
      <c r="E9890" t="inlineStr">
        <is>
          <t>VILHELMINA</t>
        </is>
      </c>
      <c r="G9890" t="n">
        <v>6.6</v>
      </c>
      <c r="H9890" t="n">
        <v>0</v>
      </c>
      <c r="I9890" t="n">
        <v>0</v>
      </c>
      <c r="J9890" t="n">
        <v>0</v>
      </c>
      <c r="K9890" t="n">
        <v>0</v>
      </c>
      <c r="L9890" t="n">
        <v>0</v>
      </c>
      <c r="M9890" t="n">
        <v>0</v>
      </c>
      <c r="N9890" t="n">
        <v>0</v>
      </c>
      <c r="O9890" t="n">
        <v>0</v>
      </c>
      <c r="P9890" t="n">
        <v>0</v>
      </c>
      <c r="Q9890" t="n">
        <v>0</v>
      </c>
      <c r="R9890" s="2" t="inlineStr"/>
    </row>
    <row r="9891" ht="15" customHeight="1">
      <c r="A9891" t="inlineStr">
        <is>
          <t>A 17307-2025</t>
        </is>
      </c>
      <c r="B9891" s="1" t="n">
        <v>45756</v>
      </c>
      <c r="C9891" s="1" t="n">
        <v>46075</v>
      </c>
      <c r="D9891" t="inlineStr">
        <is>
          <t>VÄSTERBOTTENS LÄN</t>
        </is>
      </c>
      <c r="E9891" t="inlineStr">
        <is>
          <t>VILHELMINA</t>
        </is>
      </c>
      <c r="G9891" t="n">
        <v>11.2</v>
      </c>
      <c r="H9891" t="n">
        <v>0</v>
      </c>
      <c r="I9891" t="n">
        <v>0</v>
      </c>
      <c r="J9891" t="n">
        <v>0</v>
      </c>
      <c r="K9891" t="n">
        <v>0</v>
      </c>
      <c r="L9891" t="n">
        <v>0</v>
      </c>
      <c r="M9891" t="n">
        <v>0</v>
      </c>
      <c r="N9891" t="n">
        <v>0</v>
      </c>
      <c r="O9891" t="n">
        <v>0</v>
      </c>
      <c r="P9891" t="n">
        <v>0</v>
      </c>
      <c r="Q9891" t="n">
        <v>0</v>
      </c>
      <c r="R9891" s="2" t="inlineStr"/>
    </row>
    <row r="9892" ht="15" customHeight="1">
      <c r="A9892" t="inlineStr">
        <is>
          <t>A 17314-2025</t>
        </is>
      </c>
      <c r="B9892" s="1" t="n">
        <v>45756</v>
      </c>
      <c r="C9892" s="1" t="n">
        <v>46075</v>
      </c>
      <c r="D9892" t="inlineStr">
        <is>
          <t>VÄSTERBOTTENS LÄN</t>
        </is>
      </c>
      <c r="E9892" t="inlineStr">
        <is>
          <t>VILHELMINA</t>
        </is>
      </c>
      <c r="G9892" t="n">
        <v>3.4</v>
      </c>
      <c r="H9892" t="n">
        <v>0</v>
      </c>
      <c r="I9892" t="n">
        <v>0</v>
      </c>
      <c r="J9892" t="n">
        <v>0</v>
      </c>
      <c r="K9892" t="n">
        <v>0</v>
      </c>
      <c r="L9892" t="n">
        <v>0</v>
      </c>
      <c r="M9892" t="n">
        <v>0</v>
      </c>
      <c r="N9892" t="n">
        <v>0</v>
      </c>
      <c r="O9892" t="n">
        <v>0</v>
      </c>
      <c r="P9892" t="n">
        <v>0</v>
      </c>
      <c r="Q9892" t="n">
        <v>0</v>
      </c>
      <c r="R9892" s="2" t="inlineStr"/>
    </row>
    <row r="9893" ht="15" customHeight="1">
      <c r="A9893" t="inlineStr">
        <is>
          <t>A 25030-2023</t>
        </is>
      </c>
      <c r="B9893" s="1" t="n">
        <v>45085.92760416667</v>
      </c>
      <c r="C9893" s="1" t="n">
        <v>46075</v>
      </c>
      <c r="D9893" t="inlineStr">
        <is>
          <t>VÄSTERBOTTENS LÄN</t>
        </is>
      </c>
      <c r="E9893" t="inlineStr">
        <is>
          <t>NORSJÖ</t>
        </is>
      </c>
      <c r="G9893" t="n">
        <v>2.7</v>
      </c>
      <c r="H9893" t="n">
        <v>0</v>
      </c>
      <c r="I9893" t="n">
        <v>0</v>
      </c>
      <c r="J9893" t="n">
        <v>0</v>
      </c>
      <c r="K9893" t="n">
        <v>0</v>
      </c>
      <c r="L9893" t="n">
        <v>0</v>
      </c>
      <c r="M9893" t="n">
        <v>0</v>
      </c>
      <c r="N9893" t="n">
        <v>0</v>
      </c>
      <c r="O9893" t="n">
        <v>0</v>
      </c>
      <c r="P9893" t="n">
        <v>0</v>
      </c>
      <c r="Q9893" t="n">
        <v>0</v>
      </c>
      <c r="R9893" s="2" t="inlineStr"/>
    </row>
    <row r="9894" ht="15" customHeight="1">
      <c r="A9894" t="inlineStr">
        <is>
          <t>A 8485-2026</t>
        </is>
      </c>
      <c r="B9894" s="1" t="n">
        <v>46065.47439814815</v>
      </c>
      <c r="C9894" s="1" t="n">
        <v>46075</v>
      </c>
      <c r="D9894" t="inlineStr">
        <is>
          <t>VÄSTERBOTTENS LÄN</t>
        </is>
      </c>
      <c r="E9894" t="inlineStr">
        <is>
          <t>LYCKSELE</t>
        </is>
      </c>
      <c r="F9894" t="inlineStr">
        <is>
          <t>Holmen skog AB</t>
        </is>
      </c>
      <c r="G9894" t="n">
        <v>12.1</v>
      </c>
      <c r="H9894" t="n">
        <v>0</v>
      </c>
      <c r="I9894" t="n">
        <v>0</v>
      </c>
      <c r="J9894" t="n">
        <v>0</v>
      </c>
      <c r="K9894" t="n">
        <v>0</v>
      </c>
      <c r="L9894" t="n">
        <v>0</v>
      </c>
      <c r="M9894" t="n">
        <v>0</v>
      </c>
      <c r="N9894" t="n">
        <v>0</v>
      </c>
      <c r="O9894" t="n">
        <v>0</v>
      </c>
      <c r="P9894" t="n">
        <v>0</v>
      </c>
      <c r="Q9894" t="n">
        <v>0</v>
      </c>
      <c r="R9894" s="2" t="inlineStr"/>
    </row>
    <row r="9895" ht="15" customHeight="1">
      <c r="A9895" t="inlineStr">
        <is>
          <t>A 57197-2021</t>
        </is>
      </c>
      <c r="B9895" s="1" t="n">
        <v>44482.92284722222</v>
      </c>
      <c r="C9895" s="1" t="n">
        <v>46075</v>
      </c>
      <c r="D9895" t="inlineStr">
        <is>
          <t>VÄSTERBOTTENS LÄN</t>
        </is>
      </c>
      <c r="E9895" t="inlineStr">
        <is>
          <t>SKELLEFTEÅ</t>
        </is>
      </c>
      <c r="G9895" t="n">
        <v>4.9</v>
      </c>
      <c r="H9895" t="n">
        <v>0</v>
      </c>
      <c r="I9895" t="n">
        <v>0</v>
      </c>
      <c r="J9895" t="n">
        <v>0</v>
      </c>
      <c r="K9895" t="n">
        <v>0</v>
      </c>
      <c r="L9895" t="n">
        <v>0</v>
      </c>
      <c r="M9895" t="n">
        <v>0</v>
      </c>
      <c r="N9895" t="n">
        <v>0</v>
      </c>
      <c r="O9895" t="n">
        <v>0</v>
      </c>
      <c r="P9895" t="n">
        <v>0</v>
      </c>
      <c r="Q9895" t="n">
        <v>0</v>
      </c>
      <c r="R9895" s="2" t="inlineStr"/>
    </row>
    <row r="9896" ht="15" customHeight="1">
      <c r="A9896" t="inlineStr">
        <is>
          <t>A 61506-2021</t>
        </is>
      </c>
      <c r="B9896" s="1" t="n">
        <v>44501</v>
      </c>
      <c r="C9896" s="1" t="n">
        <v>46075</v>
      </c>
      <c r="D9896" t="inlineStr">
        <is>
          <t>VÄSTERBOTTENS LÄN</t>
        </is>
      </c>
      <c r="E9896" t="inlineStr">
        <is>
          <t>LYCKSELE</t>
        </is>
      </c>
      <c r="F9896" t="inlineStr">
        <is>
          <t>Sveaskog</t>
        </is>
      </c>
      <c r="G9896" t="n">
        <v>6.4</v>
      </c>
      <c r="H9896" t="n">
        <v>0</v>
      </c>
      <c r="I9896" t="n">
        <v>0</v>
      </c>
      <c r="J9896" t="n">
        <v>0</v>
      </c>
      <c r="K9896" t="n">
        <v>0</v>
      </c>
      <c r="L9896" t="n">
        <v>0</v>
      </c>
      <c r="M9896" t="n">
        <v>0</v>
      </c>
      <c r="N9896" t="n">
        <v>0</v>
      </c>
      <c r="O9896" t="n">
        <v>0</v>
      </c>
      <c r="P9896" t="n">
        <v>0</v>
      </c>
      <c r="Q9896" t="n">
        <v>0</v>
      </c>
      <c r="R9896" s="2" t="inlineStr"/>
    </row>
    <row r="9897" ht="15" customHeight="1">
      <c r="A9897" t="inlineStr">
        <is>
          <t>A 60267-2022</t>
        </is>
      </c>
      <c r="B9897" s="1" t="n">
        <v>44910</v>
      </c>
      <c r="C9897" s="1" t="n">
        <v>46075</v>
      </c>
      <c r="D9897" t="inlineStr">
        <is>
          <t>VÄSTERBOTTENS LÄN</t>
        </is>
      </c>
      <c r="E9897" t="inlineStr">
        <is>
          <t>LYCKSELE</t>
        </is>
      </c>
      <c r="F9897" t="inlineStr">
        <is>
          <t>Sveaskog</t>
        </is>
      </c>
      <c r="G9897" t="n">
        <v>3.5</v>
      </c>
      <c r="H9897" t="n">
        <v>0</v>
      </c>
      <c r="I9897" t="n">
        <v>0</v>
      </c>
      <c r="J9897" t="n">
        <v>0</v>
      </c>
      <c r="K9897" t="n">
        <v>0</v>
      </c>
      <c r="L9897" t="n">
        <v>0</v>
      </c>
      <c r="M9897" t="n">
        <v>0</v>
      </c>
      <c r="N9897" t="n">
        <v>0</v>
      </c>
      <c r="O9897" t="n">
        <v>0</v>
      </c>
      <c r="P9897" t="n">
        <v>0</v>
      </c>
      <c r="Q9897" t="n">
        <v>0</v>
      </c>
      <c r="R9897" s="2" t="inlineStr"/>
    </row>
    <row r="9898" ht="15" customHeight="1">
      <c r="A9898" t="inlineStr">
        <is>
          <t>A 8499-2024</t>
        </is>
      </c>
      <c r="B9898" s="1" t="n">
        <v>45351</v>
      </c>
      <c r="C9898" s="1" t="n">
        <v>46075</v>
      </c>
      <c r="D9898" t="inlineStr">
        <is>
          <t>VÄSTERBOTTENS LÄN</t>
        </is>
      </c>
      <c r="E9898" t="inlineStr">
        <is>
          <t>BJURHOLM</t>
        </is>
      </c>
      <c r="G9898" t="n">
        <v>0.2</v>
      </c>
      <c r="H9898" t="n">
        <v>0</v>
      </c>
      <c r="I9898" t="n">
        <v>0</v>
      </c>
      <c r="J9898" t="n">
        <v>0</v>
      </c>
      <c r="K9898" t="n">
        <v>0</v>
      </c>
      <c r="L9898" t="n">
        <v>0</v>
      </c>
      <c r="M9898" t="n">
        <v>0</v>
      </c>
      <c r="N9898" t="n">
        <v>0</v>
      </c>
      <c r="O9898" t="n">
        <v>0</v>
      </c>
      <c r="P9898" t="n">
        <v>0</v>
      </c>
      <c r="Q9898" t="n">
        <v>0</v>
      </c>
      <c r="R9898" s="2" t="inlineStr"/>
    </row>
    <row r="9899" ht="15" customHeight="1">
      <c r="A9899" t="inlineStr">
        <is>
          <t>A 7929-2026</t>
        </is>
      </c>
      <c r="B9899" s="1" t="n">
        <v>46063</v>
      </c>
      <c r="C9899" s="1" t="n">
        <v>46075</v>
      </c>
      <c r="D9899" t="inlineStr">
        <is>
          <t>VÄSTERBOTTENS LÄN</t>
        </is>
      </c>
      <c r="E9899" t="inlineStr">
        <is>
          <t>UMEÅ</t>
        </is>
      </c>
      <c r="G9899" t="n">
        <v>4.6</v>
      </c>
      <c r="H9899" t="n">
        <v>0</v>
      </c>
      <c r="I9899" t="n">
        <v>0</v>
      </c>
      <c r="J9899" t="n">
        <v>0</v>
      </c>
      <c r="K9899" t="n">
        <v>0</v>
      </c>
      <c r="L9899" t="n">
        <v>0</v>
      </c>
      <c r="M9899" t="n">
        <v>0</v>
      </c>
      <c r="N9899" t="n">
        <v>0</v>
      </c>
      <c r="O9899" t="n">
        <v>0</v>
      </c>
      <c r="P9899" t="n">
        <v>0</v>
      </c>
      <c r="Q9899" t="n">
        <v>0</v>
      </c>
      <c r="R9899" s="2" t="inlineStr"/>
    </row>
    <row r="9900" ht="15" customHeight="1">
      <c r="A9900" t="inlineStr">
        <is>
          <t>A 34246-2024</t>
        </is>
      </c>
      <c r="B9900" s="1" t="n">
        <v>45524.58476851852</v>
      </c>
      <c r="C9900" s="1" t="n">
        <v>46075</v>
      </c>
      <c r="D9900" t="inlineStr">
        <is>
          <t>VÄSTERBOTTENS LÄN</t>
        </is>
      </c>
      <c r="E9900" t="inlineStr">
        <is>
          <t>NORDMALING</t>
        </is>
      </c>
      <c r="G9900" t="n">
        <v>0.5</v>
      </c>
      <c r="H9900" t="n">
        <v>0</v>
      </c>
      <c r="I9900" t="n">
        <v>0</v>
      </c>
      <c r="J9900" t="n">
        <v>0</v>
      </c>
      <c r="K9900" t="n">
        <v>0</v>
      </c>
      <c r="L9900" t="n">
        <v>0</v>
      </c>
      <c r="M9900" t="n">
        <v>0</v>
      </c>
      <c r="N9900" t="n">
        <v>0</v>
      </c>
      <c r="O9900" t="n">
        <v>0</v>
      </c>
      <c r="P9900" t="n">
        <v>0</v>
      </c>
      <c r="Q9900" t="n">
        <v>0</v>
      </c>
      <c r="R9900" s="2" t="inlineStr"/>
    </row>
    <row r="9901" ht="15" customHeight="1">
      <c r="A9901" t="inlineStr">
        <is>
          <t>A 42484-2024</t>
        </is>
      </c>
      <c r="B9901" s="1" t="n">
        <v>45565.49291666667</v>
      </c>
      <c r="C9901" s="1" t="n">
        <v>46075</v>
      </c>
      <c r="D9901" t="inlineStr">
        <is>
          <t>VÄSTERBOTTENS LÄN</t>
        </is>
      </c>
      <c r="E9901" t="inlineStr">
        <is>
          <t>DOROTEA</t>
        </is>
      </c>
      <c r="F9901" t="inlineStr">
        <is>
          <t>SCA</t>
        </is>
      </c>
      <c r="G9901" t="n">
        <v>1.6</v>
      </c>
      <c r="H9901" t="n">
        <v>0</v>
      </c>
      <c r="I9901" t="n">
        <v>0</v>
      </c>
      <c r="J9901" t="n">
        <v>0</v>
      </c>
      <c r="K9901" t="n">
        <v>0</v>
      </c>
      <c r="L9901" t="n">
        <v>0</v>
      </c>
      <c r="M9901" t="n">
        <v>0</v>
      </c>
      <c r="N9901" t="n">
        <v>0</v>
      </c>
      <c r="O9901" t="n">
        <v>0</v>
      </c>
      <c r="P9901" t="n">
        <v>0</v>
      </c>
      <c r="Q9901" t="n">
        <v>0</v>
      </c>
      <c r="R9901" s="2" t="inlineStr"/>
    </row>
    <row r="9902" ht="15" customHeight="1">
      <c r="A9902" t="inlineStr">
        <is>
          <t>A 8273-2026</t>
        </is>
      </c>
      <c r="B9902" s="1" t="n">
        <v>46064.55283564814</v>
      </c>
      <c r="C9902" s="1" t="n">
        <v>46075</v>
      </c>
      <c r="D9902" t="inlineStr">
        <is>
          <t>VÄSTERBOTTENS LÄN</t>
        </is>
      </c>
      <c r="E9902" t="inlineStr">
        <is>
          <t>LYCKSELE</t>
        </is>
      </c>
      <c r="F9902" t="inlineStr">
        <is>
          <t>Naturvårdsverket</t>
        </is>
      </c>
      <c r="G9902" t="n">
        <v>5</v>
      </c>
      <c r="H9902" t="n">
        <v>0</v>
      </c>
      <c r="I9902" t="n">
        <v>0</v>
      </c>
      <c r="J9902" t="n">
        <v>0</v>
      </c>
      <c r="K9902" t="n">
        <v>0</v>
      </c>
      <c r="L9902" t="n">
        <v>0</v>
      </c>
      <c r="M9902" t="n">
        <v>0</v>
      </c>
      <c r="N9902" t="n">
        <v>0</v>
      </c>
      <c r="O9902" t="n">
        <v>0</v>
      </c>
      <c r="P9902" t="n">
        <v>0</v>
      </c>
      <c r="Q9902" t="n">
        <v>0</v>
      </c>
      <c r="R9902" s="2" t="inlineStr"/>
    </row>
    <row r="9903" ht="15" customHeight="1">
      <c r="A9903" t="inlineStr">
        <is>
          <t>A 40059-2024</t>
        </is>
      </c>
      <c r="B9903" s="1" t="n">
        <v>45553.91163194444</v>
      </c>
      <c r="C9903" s="1" t="n">
        <v>46075</v>
      </c>
      <c r="D9903" t="inlineStr">
        <is>
          <t>VÄSTERBOTTENS LÄN</t>
        </is>
      </c>
      <c r="E9903" t="inlineStr">
        <is>
          <t>STORUMAN</t>
        </is>
      </c>
      <c r="G9903" t="n">
        <v>9.6</v>
      </c>
      <c r="H9903" t="n">
        <v>0</v>
      </c>
      <c r="I9903" t="n">
        <v>0</v>
      </c>
      <c r="J9903" t="n">
        <v>0</v>
      </c>
      <c r="K9903" t="n">
        <v>0</v>
      </c>
      <c r="L9903" t="n">
        <v>0</v>
      </c>
      <c r="M9903" t="n">
        <v>0</v>
      </c>
      <c r="N9903" t="n">
        <v>0</v>
      </c>
      <c r="O9903" t="n">
        <v>0</v>
      </c>
      <c r="P9903" t="n">
        <v>0</v>
      </c>
      <c r="Q9903" t="n">
        <v>0</v>
      </c>
      <c r="R9903" s="2" t="inlineStr"/>
    </row>
    <row r="9904" ht="15" customHeight="1">
      <c r="A9904" t="inlineStr">
        <is>
          <t>A 40115-2024</t>
        </is>
      </c>
      <c r="B9904" s="1" t="n">
        <v>45554.4563425926</v>
      </c>
      <c r="C9904" s="1" t="n">
        <v>46075</v>
      </c>
      <c r="D9904" t="inlineStr">
        <is>
          <t>VÄSTERBOTTENS LÄN</t>
        </is>
      </c>
      <c r="E9904" t="inlineStr">
        <is>
          <t>LYCKSELE</t>
        </is>
      </c>
      <c r="G9904" t="n">
        <v>3.4</v>
      </c>
      <c r="H9904" t="n">
        <v>0</v>
      </c>
      <c r="I9904" t="n">
        <v>0</v>
      </c>
      <c r="J9904" t="n">
        <v>0</v>
      </c>
      <c r="K9904" t="n">
        <v>0</v>
      </c>
      <c r="L9904" t="n">
        <v>0</v>
      </c>
      <c r="M9904" t="n">
        <v>0</v>
      </c>
      <c r="N9904" t="n">
        <v>0</v>
      </c>
      <c r="O9904" t="n">
        <v>0</v>
      </c>
      <c r="P9904" t="n">
        <v>0</v>
      </c>
      <c r="Q9904" t="n">
        <v>0</v>
      </c>
      <c r="R9904" s="2" t="inlineStr"/>
    </row>
    <row r="9905" ht="15" customHeight="1">
      <c r="A9905" t="inlineStr">
        <is>
          <t>A 47039-2021</t>
        </is>
      </c>
      <c r="B9905" s="1" t="n">
        <v>44446</v>
      </c>
      <c r="C9905" s="1" t="n">
        <v>46075</v>
      </c>
      <c r="D9905" t="inlineStr">
        <is>
          <t>VÄSTERBOTTENS LÄN</t>
        </is>
      </c>
      <c r="E9905" t="inlineStr">
        <is>
          <t>SKELLEFTEÅ</t>
        </is>
      </c>
      <c r="G9905" t="n">
        <v>0.6</v>
      </c>
      <c r="H9905" t="n">
        <v>0</v>
      </c>
      <c r="I9905" t="n">
        <v>0</v>
      </c>
      <c r="J9905" t="n">
        <v>0</v>
      </c>
      <c r="K9905" t="n">
        <v>0</v>
      </c>
      <c r="L9905" t="n">
        <v>0</v>
      </c>
      <c r="M9905" t="n">
        <v>0</v>
      </c>
      <c r="N9905" t="n">
        <v>0</v>
      </c>
      <c r="O9905" t="n">
        <v>0</v>
      </c>
      <c r="P9905" t="n">
        <v>0</v>
      </c>
      <c r="Q9905" t="n">
        <v>0</v>
      </c>
      <c r="R9905" s="2" t="inlineStr"/>
    </row>
    <row r="9906" ht="15" customHeight="1">
      <c r="A9906" t="inlineStr">
        <is>
          <t>A 27495-2024</t>
        </is>
      </c>
      <c r="B9906" s="1" t="n">
        <v>45474.4971875</v>
      </c>
      <c r="C9906" s="1" t="n">
        <v>46075</v>
      </c>
      <c r="D9906" t="inlineStr">
        <is>
          <t>VÄSTERBOTTENS LÄN</t>
        </is>
      </c>
      <c r="E9906" t="inlineStr">
        <is>
          <t>LYCKSELE</t>
        </is>
      </c>
      <c r="F9906" t="inlineStr">
        <is>
          <t>Sveaskog</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8745-2023</t>
        </is>
      </c>
      <c r="B9907" s="1" t="n">
        <v>44972</v>
      </c>
      <c r="C9907" s="1" t="n">
        <v>46075</v>
      </c>
      <c r="D9907" t="inlineStr">
        <is>
          <t>VÄSTERBOTTENS LÄN</t>
        </is>
      </c>
      <c r="E9907" t="inlineStr">
        <is>
          <t>VILHELMINA</t>
        </is>
      </c>
      <c r="F9907" t="inlineStr">
        <is>
          <t>Allmännings- och besparingsskogar</t>
        </is>
      </c>
      <c r="G9907" t="n">
        <v>41</v>
      </c>
      <c r="H9907" t="n">
        <v>0</v>
      </c>
      <c r="I9907" t="n">
        <v>0</v>
      </c>
      <c r="J9907" t="n">
        <v>0</v>
      </c>
      <c r="K9907" t="n">
        <v>0</v>
      </c>
      <c r="L9907" t="n">
        <v>0</v>
      </c>
      <c r="M9907" t="n">
        <v>0</v>
      </c>
      <c r="N9907" t="n">
        <v>0</v>
      </c>
      <c r="O9907" t="n">
        <v>0</v>
      </c>
      <c r="P9907" t="n">
        <v>0</v>
      </c>
      <c r="Q9907" t="n">
        <v>0</v>
      </c>
      <c r="R9907" s="2" t="inlineStr"/>
    </row>
    <row r="9908" ht="15" customHeight="1">
      <c r="A9908" t="inlineStr">
        <is>
          <t>A 8425-2023</t>
        </is>
      </c>
      <c r="B9908" s="1" t="n">
        <v>44977.45096064815</v>
      </c>
      <c r="C9908" s="1" t="n">
        <v>46075</v>
      </c>
      <c r="D9908" t="inlineStr">
        <is>
          <t>VÄSTERBOTTENS LÄN</t>
        </is>
      </c>
      <c r="E9908" t="inlineStr">
        <is>
          <t>NORDMALING</t>
        </is>
      </c>
      <c r="F9908" t="inlineStr">
        <is>
          <t>Holmen skog AB</t>
        </is>
      </c>
      <c r="G9908" t="n">
        <v>1.8</v>
      </c>
      <c r="H9908" t="n">
        <v>0</v>
      </c>
      <c r="I9908" t="n">
        <v>0</v>
      </c>
      <c r="J9908" t="n">
        <v>0</v>
      </c>
      <c r="K9908" t="n">
        <v>0</v>
      </c>
      <c r="L9908" t="n">
        <v>0</v>
      </c>
      <c r="M9908" t="n">
        <v>0</v>
      </c>
      <c r="N9908" t="n">
        <v>0</v>
      </c>
      <c r="O9908" t="n">
        <v>0</v>
      </c>
      <c r="P9908" t="n">
        <v>0</v>
      </c>
      <c r="Q9908" t="n">
        <v>0</v>
      </c>
      <c r="R9908" s="2" t="inlineStr"/>
    </row>
    <row r="9909" ht="15" customHeight="1">
      <c r="A9909" t="inlineStr">
        <is>
          <t>A 8516-2026</t>
        </is>
      </c>
      <c r="B9909" s="1" t="n">
        <v>46065.57530092593</v>
      </c>
      <c r="C9909" s="1" t="n">
        <v>46075</v>
      </c>
      <c r="D9909" t="inlineStr">
        <is>
          <t>VÄSTERBOTTENS LÄN</t>
        </is>
      </c>
      <c r="E9909" t="inlineStr">
        <is>
          <t>VÄNNÄS</t>
        </is>
      </c>
      <c r="G9909" t="n">
        <v>0.8</v>
      </c>
      <c r="H9909" t="n">
        <v>0</v>
      </c>
      <c r="I9909" t="n">
        <v>0</v>
      </c>
      <c r="J9909" t="n">
        <v>0</v>
      </c>
      <c r="K9909" t="n">
        <v>0</v>
      </c>
      <c r="L9909" t="n">
        <v>0</v>
      </c>
      <c r="M9909" t="n">
        <v>0</v>
      </c>
      <c r="N9909" t="n">
        <v>0</v>
      </c>
      <c r="O9909" t="n">
        <v>0</v>
      </c>
      <c r="P9909" t="n">
        <v>0</v>
      </c>
      <c r="Q9909" t="n">
        <v>0</v>
      </c>
      <c r="R9909" s="2" t="inlineStr"/>
    </row>
    <row r="9910" ht="15" customHeight="1">
      <c r="A9910" t="inlineStr">
        <is>
          <t>A 11675-2023</t>
        </is>
      </c>
      <c r="B9910" s="1" t="n">
        <v>44994</v>
      </c>
      <c r="C9910" s="1" t="n">
        <v>46075</v>
      </c>
      <c r="D9910" t="inlineStr">
        <is>
          <t>VÄSTERBOTTENS LÄN</t>
        </is>
      </c>
      <c r="E9910" t="inlineStr">
        <is>
          <t>SORSELE</t>
        </is>
      </c>
      <c r="G9910" t="n">
        <v>8.699999999999999</v>
      </c>
      <c r="H9910" t="n">
        <v>0</v>
      </c>
      <c r="I9910" t="n">
        <v>0</v>
      </c>
      <c r="J9910" t="n">
        <v>0</v>
      </c>
      <c r="K9910" t="n">
        <v>0</v>
      </c>
      <c r="L9910" t="n">
        <v>0</v>
      </c>
      <c r="M9910" t="n">
        <v>0</v>
      </c>
      <c r="N9910" t="n">
        <v>0</v>
      </c>
      <c r="O9910" t="n">
        <v>0</v>
      </c>
      <c r="P9910" t="n">
        <v>0</v>
      </c>
      <c r="Q9910" t="n">
        <v>0</v>
      </c>
      <c r="R9910" s="2" t="inlineStr"/>
    </row>
    <row r="9911" ht="15" customHeight="1">
      <c r="A9911" t="inlineStr">
        <is>
          <t>A 1502-2025</t>
        </is>
      </c>
      <c r="B9911" s="1" t="n">
        <v>45670.42223379629</v>
      </c>
      <c r="C9911" s="1" t="n">
        <v>46075</v>
      </c>
      <c r="D9911" t="inlineStr">
        <is>
          <t>VÄSTERBOTTENS LÄN</t>
        </is>
      </c>
      <c r="E9911" t="inlineStr">
        <is>
          <t>UMEÅ</t>
        </is>
      </c>
      <c r="G9911" t="n">
        <v>8.9</v>
      </c>
      <c r="H9911" t="n">
        <v>0</v>
      </c>
      <c r="I9911" t="n">
        <v>0</v>
      </c>
      <c r="J9911" t="n">
        <v>0</v>
      </c>
      <c r="K9911" t="n">
        <v>0</v>
      </c>
      <c r="L9911" t="n">
        <v>0</v>
      </c>
      <c r="M9911" t="n">
        <v>0</v>
      </c>
      <c r="N9911" t="n">
        <v>0</v>
      </c>
      <c r="O9911" t="n">
        <v>0</v>
      </c>
      <c r="P9911" t="n">
        <v>0</v>
      </c>
      <c r="Q9911" t="n">
        <v>0</v>
      </c>
      <c r="R9911" s="2" t="inlineStr"/>
    </row>
    <row r="9912" ht="15" customHeight="1">
      <c r="A9912" t="inlineStr">
        <is>
          <t>A 8192-2026</t>
        </is>
      </c>
      <c r="B9912" s="1" t="n">
        <v>46064.4275</v>
      </c>
      <c r="C9912" s="1" t="n">
        <v>46075</v>
      </c>
      <c r="D9912" t="inlineStr">
        <is>
          <t>VÄSTERBOTTENS LÄN</t>
        </is>
      </c>
      <c r="E9912" t="inlineStr">
        <is>
          <t>UMEÅ</t>
        </is>
      </c>
      <c r="G9912" t="n">
        <v>12.9</v>
      </c>
      <c r="H9912" t="n">
        <v>0</v>
      </c>
      <c r="I9912" t="n">
        <v>0</v>
      </c>
      <c r="J9912" t="n">
        <v>0</v>
      </c>
      <c r="K9912" t="n">
        <v>0</v>
      </c>
      <c r="L9912" t="n">
        <v>0</v>
      </c>
      <c r="M9912" t="n">
        <v>0</v>
      </c>
      <c r="N9912" t="n">
        <v>0</v>
      </c>
      <c r="O9912" t="n">
        <v>0</v>
      </c>
      <c r="P9912" t="n">
        <v>0</v>
      </c>
      <c r="Q9912" t="n">
        <v>0</v>
      </c>
      <c r="R9912" s="2" t="inlineStr"/>
    </row>
    <row r="9913" ht="15" customHeight="1">
      <c r="A9913" t="inlineStr">
        <is>
          <t>A 57899-2022</t>
        </is>
      </c>
      <c r="B9913" s="1" t="n">
        <v>44900</v>
      </c>
      <c r="C9913" s="1" t="n">
        <v>46075</v>
      </c>
      <c r="D9913" t="inlineStr">
        <is>
          <t>VÄSTERBOTTENS LÄN</t>
        </is>
      </c>
      <c r="E9913" t="inlineStr">
        <is>
          <t>SKELLEFTEÅ</t>
        </is>
      </c>
      <c r="G9913" t="n">
        <v>2.2</v>
      </c>
      <c r="H9913" t="n">
        <v>0</v>
      </c>
      <c r="I9913" t="n">
        <v>0</v>
      </c>
      <c r="J9913" t="n">
        <v>0</v>
      </c>
      <c r="K9913" t="n">
        <v>0</v>
      </c>
      <c r="L9913" t="n">
        <v>0</v>
      </c>
      <c r="M9913" t="n">
        <v>0</v>
      </c>
      <c r="N9913" t="n">
        <v>0</v>
      </c>
      <c r="O9913" t="n">
        <v>0</v>
      </c>
      <c r="P9913" t="n">
        <v>0</v>
      </c>
      <c r="Q9913" t="n">
        <v>0</v>
      </c>
      <c r="R9913" s="2" t="inlineStr"/>
    </row>
    <row r="9914" ht="15" customHeight="1">
      <c r="A9914" t="inlineStr">
        <is>
          <t>A 8484-2026</t>
        </is>
      </c>
      <c r="B9914" s="1" t="n">
        <v>46065.47174768519</v>
      </c>
      <c r="C9914" s="1" t="n">
        <v>46075</v>
      </c>
      <c r="D9914" t="inlineStr">
        <is>
          <t>VÄSTERBOTTENS LÄN</t>
        </is>
      </c>
      <c r="E9914" t="inlineStr">
        <is>
          <t>ROBERTSFORS</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29150-2024</t>
        </is>
      </c>
      <c r="B9915" s="1" t="n">
        <v>45482.44936342593</v>
      </c>
      <c r="C9915" s="1" t="n">
        <v>46075</v>
      </c>
      <c r="D9915" t="inlineStr">
        <is>
          <t>VÄSTERBOTTENS LÄN</t>
        </is>
      </c>
      <c r="E9915" t="inlineStr">
        <is>
          <t>NORDMALING</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41594-2023</t>
        </is>
      </c>
      <c r="B9916" s="1" t="n">
        <v>45175</v>
      </c>
      <c r="C9916" s="1" t="n">
        <v>46075</v>
      </c>
      <c r="D9916" t="inlineStr">
        <is>
          <t>VÄSTERBOTTENS LÄN</t>
        </is>
      </c>
      <c r="E9916" t="inlineStr">
        <is>
          <t>UMEÅ</t>
        </is>
      </c>
      <c r="F9916" t="inlineStr">
        <is>
          <t>Holmen skog AB</t>
        </is>
      </c>
      <c r="G9916" t="n">
        <v>3.1</v>
      </c>
      <c r="H9916" t="n">
        <v>0</v>
      </c>
      <c r="I9916" t="n">
        <v>0</v>
      </c>
      <c r="J9916" t="n">
        <v>0</v>
      </c>
      <c r="K9916" t="n">
        <v>0</v>
      </c>
      <c r="L9916" t="n">
        <v>0</v>
      </c>
      <c r="M9916" t="n">
        <v>0</v>
      </c>
      <c r="N9916" t="n">
        <v>0</v>
      </c>
      <c r="O9916" t="n">
        <v>0</v>
      </c>
      <c r="P9916" t="n">
        <v>0</v>
      </c>
      <c r="Q9916" t="n">
        <v>0</v>
      </c>
      <c r="R9916" s="2" t="inlineStr"/>
    </row>
    <row r="9917" ht="15" customHeight="1">
      <c r="A9917" t="inlineStr">
        <is>
          <t>A 8576-2026</t>
        </is>
      </c>
      <c r="B9917" s="1" t="n">
        <v>46065</v>
      </c>
      <c r="C9917" s="1" t="n">
        <v>46075</v>
      </c>
      <c r="D9917" t="inlineStr">
        <is>
          <t>VÄSTERBOTTENS LÄN</t>
        </is>
      </c>
      <c r="E9917" t="inlineStr">
        <is>
          <t>LYCKSELE</t>
        </is>
      </c>
      <c r="G9917" t="n">
        <v>10.9</v>
      </c>
      <c r="H9917" t="n">
        <v>0</v>
      </c>
      <c r="I9917" t="n">
        <v>0</v>
      </c>
      <c r="J9917" t="n">
        <v>0</v>
      </c>
      <c r="K9917" t="n">
        <v>0</v>
      </c>
      <c r="L9917" t="n">
        <v>0</v>
      </c>
      <c r="M9917" t="n">
        <v>0</v>
      </c>
      <c r="N9917" t="n">
        <v>0</v>
      </c>
      <c r="O9917" t="n">
        <v>0</v>
      </c>
      <c r="P9917" t="n">
        <v>0</v>
      </c>
      <c r="Q9917" t="n">
        <v>0</v>
      </c>
      <c r="R9917" s="2" t="inlineStr"/>
    </row>
    <row r="9918" ht="15" customHeight="1">
      <c r="A9918" t="inlineStr">
        <is>
          <t>A 8963-2026</t>
        </is>
      </c>
      <c r="B9918" s="1" t="n">
        <v>46069.41846064815</v>
      </c>
      <c r="C9918" s="1" t="n">
        <v>46075</v>
      </c>
      <c r="D9918" t="inlineStr">
        <is>
          <t>VÄSTERBOTTENS LÄN</t>
        </is>
      </c>
      <c r="E9918" t="inlineStr">
        <is>
          <t>STORUMAN</t>
        </is>
      </c>
      <c r="G9918" t="n">
        <v>19.8</v>
      </c>
      <c r="H9918" t="n">
        <v>0</v>
      </c>
      <c r="I9918" t="n">
        <v>0</v>
      </c>
      <c r="J9918" t="n">
        <v>0</v>
      </c>
      <c r="K9918" t="n">
        <v>0</v>
      </c>
      <c r="L9918" t="n">
        <v>0</v>
      </c>
      <c r="M9918" t="n">
        <v>0</v>
      </c>
      <c r="N9918" t="n">
        <v>0</v>
      </c>
      <c r="O9918" t="n">
        <v>0</v>
      </c>
      <c r="P9918" t="n">
        <v>0</v>
      </c>
      <c r="Q9918" t="n">
        <v>0</v>
      </c>
      <c r="R9918" s="2" t="inlineStr"/>
    </row>
    <row r="9919" ht="15" customHeight="1">
      <c r="A9919" t="inlineStr">
        <is>
          <t>A 34139-2024</t>
        </is>
      </c>
      <c r="B9919" s="1" t="n">
        <v>45524.36006944445</v>
      </c>
      <c r="C9919" s="1" t="n">
        <v>46075</v>
      </c>
      <c r="D9919" t="inlineStr">
        <is>
          <t>VÄSTERBOTTENS LÄN</t>
        </is>
      </c>
      <c r="E9919" t="inlineStr">
        <is>
          <t>ÅSELE</t>
        </is>
      </c>
      <c r="F9919" t="inlineStr">
        <is>
          <t>Sveaskog</t>
        </is>
      </c>
      <c r="G9919" t="n">
        <v>5.9</v>
      </c>
      <c r="H9919" t="n">
        <v>0</v>
      </c>
      <c r="I9919" t="n">
        <v>0</v>
      </c>
      <c r="J9919" t="n">
        <v>0</v>
      </c>
      <c r="K9919" t="n">
        <v>0</v>
      </c>
      <c r="L9919" t="n">
        <v>0</v>
      </c>
      <c r="M9919" t="n">
        <v>0</v>
      </c>
      <c r="N9919" t="n">
        <v>0</v>
      </c>
      <c r="O9919" t="n">
        <v>0</v>
      </c>
      <c r="P9919" t="n">
        <v>0</v>
      </c>
      <c r="Q9919" t="n">
        <v>0</v>
      </c>
      <c r="R9919" s="2" t="inlineStr"/>
    </row>
    <row r="9920" ht="15" customHeight="1">
      <c r="A9920" t="inlineStr">
        <is>
          <t>A 34144-2024</t>
        </is>
      </c>
      <c r="B9920" s="1" t="n">
        <v>45524</v>
      </c>
      <c r="C9920" s="1" t="n">
        <v>46075</v>
      </c>
      <c r="D9920" t="inlineStr">
        <is>
          <t>VÄSTERBOTTENS LÄN</t>
        </is>
      </c>
      <c r="E9920" t="inlineStr">
        <is>
          <t>ÅSELE</t>
        </is>
      </c>
      <c r="F9920" t="inlineStr">
        <is>
          <t>Sveaskog</t>
        </is>
      </c>
      <c r="G9920" t="n">
        <v>10.9</v>
      </c>
      <c r="H9920" t="n">
        <v>0</v>
      </c>
      <c r="I9920" t="n">
        <v>0</v>
      </c>
      <c r="J9920" t="n">
        <v>0</v>
      </c>
      <c r="K9920" t="n">
        <v>0</v>
      </c>
      <c r="L9920" t="n">
        <v>0</v>
      </c>
      <c r="M9920" t="n">
        <v>0</v>
      </c>
      <c r="N9920" t="n">
        <v>0</v>
      </c>
      <c r="O9920" t="n">
        <v>0</v>
      </c>
      <c r="P9920" t="n">
        <v>0</v>
      </c>
      <c r="Q9920" t="n">
        <v>0</v>
      </c>
      <c r="R9920" s="2" t="inlineStr"/>
    </row>
    <row r="9921" ht="15" customHeight="1">
      <c r="A9921" t="inlineStr">
        <is>
          <t>A 55745-2022</t>
        </is>
      </c>
      <c r="B9921" s="1" t="n">
        <v>44886</v>
      </c>
      <c r="C9921" s="1" t="n">
        <v>46075</v>
      </c>
      <c r="D9921" t="inlineStr">
        <is>
          <t>VÄSTERBOTTENS LÄN</t>
        </is>
      </c>
      <c r="E9921" t="inlineStr">
        <is>
          <t>VINDELN</t>
        </is>
      </c>
      <c r="G9921" t="n">
        <v>0.8</v>
      </c>
      <c r="H9921" t="n">
        <v>0</v>
      </c>
      <c r="I9921" t="n">
        <v>0</v>
      </c>
      <c r="J9921" t="n">
        <v>0</v>
      </c>
      <c r="K9921" t="n">
        <v>0</v>
      </c>
      <c r="L9921" t="n">
        <v>0</v>
      </c>
      <c r="M9921" t="n">
        <v>0</v>
      </c>
      <c r="N9921" t="n">
        <v>0</v>
      </c>
      <c r="O9921" t="n">
        <v>0</v>
      </c>
      <c r="P9921" t="n">
        <v>0</v>
      </c>
      <c r="Q9921" t="n">
        <v>0</v>
      </c>
      <c r="R9921" s="2" t="inlineStr"/>
    </row>
    <row r="9922" ht="15" customHeight="1">
      <c r="A9922" t="inlineStr">
        <is>
          <t>A 8229-2022</t>
        </is>
      </c>
      <c r="B9922" s="1" t="n">
        <v>44609</v>
      </c>
      <c r="C9922" s="1" t="n">
        <v>46075</v>
      </c>
      <c r="D9922" t="inlineStr">
        <is>
          <t>VÄSTERBOTTENS LÄN</t>
        </is>
      </c>
      <c r="E9922" t="inlineStr">
        <is>
          <t>VILHELMINA</t>
        </is>
      </c>
      <c r="F9922" t="inlineStr">
        <is>
          <t>SCA</t>
        </is>
      </c>
      <c r="G9922" t="n">
        <v>9.699999999999999</v>
      </c>
      <c r="H9922" t="n">
        <v>0</v>
      </c>
      <c r="I9922" t="n">
        <v>0</v>
      </c>
      <c r="J9922" t="n">
        <v>0</v>
      </c>
      <c r="K9922" t="n">
        <v>0</v>
      </c>
      <c r="L9922" t="n">
        <v>0</v>
      </c>
      <c r="M9922" t="n">
        <v>0</v>
      </c>
      <c r="N9922" t="n">
        <v>0</v>
      </c>
      <c r="O9922" t="n">
        <v>0</v>
      </c>
      <c r="P9922" t="n">
        <v>0</v>
      </c>
      <c r="Q9922" t="n">
        <v>0</v>
      </c>
      <c r="R9922" s="2" t="inlineStr"/>
    </row>
    <row r="9923" ht="15" customHeight="1">
      <c r="A9923" t="inlineStr">
        <is>
          <t>A 252-2025</t>
        </is>
      </c>
      <c r="B9923" s="1" t="n">
        <v>45660.42734953704</v>
      </c>
      <c r="C9923" s="1" t="n">
        <v>46075</v>
      </c>
      <c r="D9923" t="inlineStr">
        <is>
          <t>VÄSTERBOTTENS LÄN</t>
        </is>
      </c>
      <c r="E9923" t="inlineStr">
        <is>
          <t>VILHELMINA</t>
        </is>
      </c>
      <c r="F9923" t="inlineStr">
        <is>
          <t>SCA</t>
        </is>
      </c>
      <c r="G9923" t="n">
        <v>4</v>
      </c>
      <c r="H9923" t="n">
        <v>0</v>
      </c>
      <c r="I9923" t="n">
        <v>0</v>
      </c>
      <c r="J9923" t="n">
        <v>0</v>
      </c>
      <c r="K9923" t="n">
        <v>0</v>
      </c>
      <c r="L9923" t="n">
        <v>0</v>
      </c>
      <c r="M9923" t="n">
        <v>0</v>
      </c>
      <c r="N9923" t="n">
        <v>0</v>
      </c>
      <c r="O9923" t="n">
        <v>0</v>
      </c>
      <c r="P9923" t="n">
        <v>0</v>
      </c>
      <c r="Q9923" t="n">
        <v>0</v>
      </c>
      <c r="R9923" s="2" t="inlineStr"/>
    </row>
    <row r="9924" ht="15" customHeight="1">
      <c r="A9924" t="inlineStr">
        <is>
          <t>A 114-2026</t>
        </is>
      </c>
      <c r="B9924" s="1" t="n">
        <v>46024.55775462963</v>
      </c>
      <c r="C9924" s="1" t="n">
        <v>46075</v>
      </c>
      <c r="D9924" t="inlineStr">
        <is>
          <t>VÄSTERBOTTENS LÄN</t>
        </is>
      </c>
      <c r="E9924" t="inlineStr">
        <is>
          <t>SKELLEFTEÅ</t>
        </is>
      </c>
      <c r="G9924" t="n">
        <v>3.7</v>
      </c>
      <c r="H9924" t="n">
        <v>0</v>
      </c>
      <c r="I9924" t="n">
        <v>0</v>
      </c>
      <c r="J9924" t="n">
        <v>0</v>
      </c>
      <c r="K9924" t="n">
        <v>0</v>
      </c>
      <c r="L9924" t="n">
        <v>0</v>
      </c>
      <c r="M9924" t="n">
        <v>0</v>
      </c>
      <c r="N9924" t="n">
        <v>0</v>
      </c>
      <c r="O9924" t="n">
        <v>0</v>
      </c>
      <c r="P9924" t="n">
        <v>0</v>
      </c>
      <c r="Q9924" t="n">
        <v>0</v>
      </c>
      <c r="R9924" s="2" t="inlineStr"/>
    </row>
    <row r="9925" ht="15" customHeight="1">
      <c r="A9925" t="inlineStr">
        <is>
          <t>A 296-2025</t>
        </is>
      </c>
      <c r="B9925" s="1" t="n">
        <v>45660.53215277778</v>
      </c>
      <c r="C9925" s="1" t="n">
        <v>46075</v>
      </c>
      <c r="D9925" t="inlineStr">
        <is>
          <t>VÄSTERBOTTENS LÄN</t>
        </is>
      </c>
      <c r="E9925" t="inlineStr">
        <is>
          <t>VILHELMINA</t>
        </is>
      </c>
      <c r="F9925" t="inlineStr">
        <is>
          <t>SCA</t>
        </is>
      </c>
      <c r="G9925" t="n">
        <v>1.6</v>
      </c>
      <c r="H9925" t="n">
        <v>0</v>
      </c>
      <c r="I9925" t="n">
        <v>0</v>
      </c>
      <c r="J9925" t="n">
        <v>0</v>
      </c>
      <c r="K9925" t="n">
        <v>0</v>
      </c>
      <c r="L9925" t="n">
        <v>0</v>
      </c>
      <c r="M9925" t="n">
        <v>0</v>
      </c>
      <c r="N9925" t="n">
        <v>0</v>
      </c>
      <c r="O9925" t="n">
        <v>0</v>
      </c>
      <c r="P9925" t="n">
        <v>0</v>
      </c>
      <c r="Q9925" t="n">
        <v>0</v>
      </c>
      <c r="R9925" s="2" t="inlineStr"/>
    </row>
    <row r="9926" ht="15" customHeight="1">
      <c r="A9926" t="inlineStr">
        <is>
          <t>A 8805-2026</t>
        </is>
      </c>
      <c r="B9926" s="1" t="n">
        <v>46066.6034375</v>
      </c>
      <c r="C9926" s="1" t="n">
        <v>46075</v>
      </c>
      <c r="D9926" t="inlineStr">
        <is>
          <t>VÄSTERBOTTENS LÄN</t>
        </is>
      </c>
      <c r="E9926" t="inlineStr">
        <is>
          <t>VINDELN</t>
        </is>
      </c>
      <c r="G9926" t="n">
        <v>1.4</v>
      </c>
      <c r="H9926" t="n">
        <v>0</v>
      </c>
      <c r="I9926" t="n">
        <v>0</v>
      </c>
      <c r="J9926" t="n">
        <v>0</v>
      </c>
      <c r="K9926" t="n">
        <v>0</v>
      </c>
      <c r="L9926" t="n">
        <v>0</v>
      </c>
      <c r="M9926" t="n">
        <v>0</v>
      </c>
      <c r="N9926" t="n">
        <v>0</v>
      </c>
      <c r="O9926" t="n">
        <v>0</v>
      </c>
      <c r="P9926" t="n">
        <v>0</v>
      </c>
      <c r="Q9926" t="n">
        <v>0</v>
      </c>
      <c r="R9926" s="2" t="inlineStr"/>
    </row>
    <row r="9927" ht="15" customHeight="1">
      <c r="A9927" t="inlineStr">
        <is>
          <t>A 38493-2024</t>
        </is>
      </c>
      <c r="B9927" s="1" t="n">
        <v>45546</v>
      </c>
      <c r="C9927" s="1" t="n">
        <v>46075</v>
      </c>
      <c r="D9927" t="inlineStr">
        <is>
          <t>VÄSTERBOTTENS LÄN</t>
        </is>
      </c>
      <c r="E9927" t="inlineStr">
        <is>
          <t>SKELLEFTEÅ</t>
        </is>
      </c>
      <c r="G9927" t="n">
        <v>1.9</v>
      </c>
      <c r="H9927" t="n">
        <v>0</v>
      </c>
      <c r="I9927" t="n">
        <v>0</v>
      </c>
      <c r="J9927" t="n">
        <v>0</v>
      </c>
      <c r="K9927" t="n">
        <v>0</v>
      </c>
      <c r="L9927" t="n">
        <v>0</v>
      </c>
      <c r="M9927" t="n">
        <v>0</v>
      </c>
      <c r="N9927" t="n">
        <v>0</v>
      </c>
      <c r="O9927" t="n">
        <v>0</v>
      </c>
      <c r="P9927" t="n">
        <v>0</v>
      </c>
      <c r="Q9927" t="n">
        <v>0</v>
      </c>
      <c r="R9927" s="2" t="inlineStr"/>
    </row>
    <row r="9928" ht="15" customHeight="1">
      <c r="A9928" t="inlineStr">
        <is>
          <t>A 48206-2024</t>
        </is>
      </c>
      <c r="B9928" s="1" t="n">
        <v>45590</v>
      </c>
      <c r="C9928" s="1" t="n">
        <v>46075</v>
      </c>
      <c r="D9928" t="inlineStr">
        <is>
          <t>VÄSTERBOTTENS LÄN</t>
        </is>
      </c>
      <c r="E9928" t="inlineStr">
        <is>
          <t>ÅSELE</t>
        </is>
      </c>
      <c r="F9928" t="inlineStr">
        <is>
          <t>SCA</t>
        </is>
      </c>
      <c r="G9928" t="n">
        <v>2.6</v>
      </c>
      <c r="H9928" t="n">
        <v>0</v>
      </c>
      <c r="I9928" t="n">
        <v>0</v>
      </c>
      <c r="J9928" t="n">
        <v>0</v>
      </c>
      <c r="K9928" t="n">
        <v>0</v>
      </c>
      <c r="L9928" t="n">
        <v>0</v>
      </c>
      <c r="M9928" t="n">
        <v>0</v>
      </c>
      <c r="N9928" t="n">
        <v>0</v>
      </c>
      <c r="O9928" t="n">
        <v>0</v>
      </c>
      <c r="P9928" t="n">
        <v>0</v>
      </c>
      <c r="Q9928" t="n">
        <v>0</v>
      </c>
      <c r="R9928" s="2" t="inlineStr"/>
    </row>
    <row r="9929" ht="15" customHeight="1">
      <c r="A9929" t="inlineStr">
        <is>
          <t>A 48209-2024</t>
        </is>
      </c>
      <c r="B9929" s="1" t="n">
        <v>45590</v>
      </c>
      <c r="C9929" s="1" t="n">
        <v>46075</v>
      </c>
      <c r="D9929" t="inlineStr">
        <is>
          <t>VÄSTERBOTTENS LÄN</t>
        </is>
      </c>
      <c r="E9929" t="inlineStr">
        <is>
          <t>ÅSELE</t>
        </is>
      </c>
      <c r="F9929" t="inlineStr">
        <is>
          <t>SCA</t>
        </is>
      </c>
      <c r="G9929" t="n">
        <v>5.4</v>
      </c>
      <c r="H9929" t="n">
        <v>0</v>
      </c>
      <c r="I9929" t="n">
        <v>0</v>
      </c>
      <c r="J9929" t="n">
        <v>0</v>
      </c>
      <c r="K9929" t="n">
        <v>0</v>
      </c>
      <c r="L9929" t="n">
        <v>0</v>
      </c>
      <c r="M9929" t="n">
        <v>0</v>
      </c>
      <c r="N9929" t="n">
        <v>0</v>
      </c>
      <c r="O9929" t="n">
        <v>0</v>
      </c>
      <c r="P9929" t="n">
        <v>0</v>
      </c>
      <c r="Q9929" t="n">
        <v>0</v>
      </c>
      <c r="R9929" s="2" t="inlineStr"/>
    </row>
    <row r="9930" ht="15" customHeight="1">
      <c r="A9930" t="inlineStr">
        <is>
          <t>A 16183-2023</t>
        </is>
      </c>
      <c r="B9930" s="1" t="n">
        <v>45027</v>
      </c>
      <c r="C9930" s="1" t="n">
        <v>46075</v>
      </c>
      <c r="D9930" t="inlineStr">
        <is>
          <t>VÄSTERBOTTENS LÄN</t>
        </is>
      </c>
      <c r="E9930" t="inlineStr">
        <is>
          <t>SKELLEFTEÅ</t>
        </is>
      </c>
      <c r="G9930" t="n">
        <v>24.8</v>
      </c>
      <c r="H9930" t="n">
        <v>0</v>
      </c>
      <c r="I9930" t="n">
        <v>0</v>
      </c>
      <c r="J9930" t="n">
        <v>0</v>
      </c>
      <c r="K9930" t="n">
        <v>0</v>
      </c>
      <c r="L9930" t="n">
        <v>0</v>
      </c>
      <c r="M9930" t="n">
        <v>0</v>
      </c>
      <c r="N9930" t="n">
        <v>0</v>
      </c>
      <c r="O9930" t="n">
        <v>0</v>
      </c>
      <c r="P9930" t="n">
        <v>0</v>
      </c>
      <c r="Q9930" t="n">
        <v>0</v>
      </c>
      <c r="R9930" s="2" t="inlineStr"/>
    </row>
    <row r="9931" ht="15" customHeight="1">
      <c r="A9931" t="inlineStr">
        <is>
          <t>A 41003-2023</t>
        </is>
      </c>
      <c r="B9931" s="1" t="n">
        <v>45161</v>
      </c>
      <c r="C9931" s="1" t="n">
        <v>46075</v>
      </c>
      <c r="D9931" t="inlineStr">
        <is>
          <t>VÄSTERBOTTENS LÄN</t>
        </is>
      </c>
      <c r="E9931" t="inlineStr">
        <is>
          <t>NORSJÖ</t>
        </is>
      </c>
      <c r="G9931" t="n">
        <v>8.199999999999999</v>
      </c>
      <c r="H9931" t="n">
        <v>0</v>
      </c>
      <c r="I9931" t="n">
        <v>0</v>
      </c>
      <c r="J9931" t="n">
        <v>0</v>
      </c>
      <c r="K9931" t="n">
        <v>0</v>
      </c>
      <c r="L9931" t="n">
        <v>0</v>
      </c>
      <c r="M9931" t="n">
        <v>0</v>
      </c>
      <c r="N9931" t="n">
        <v>0</v>
      </c>
      <c r="O9931" t="n">
        <v>0</v>
      </c>
      <c r="P9931" t="n">
        <v>0</v>
      </c>
      <c r="Q9931" t="n">
        <v>0</v>
      </c>
      <c r="R9931" s="2" t="inlineStr"/>
    </row>
    <row r="9932" ht="15" customHeight="1">
      <c r="A9932" t="inlineStr">
        <is>
          <t>A 41006-2023</t>
        </is>
      </c>
      <c r="B9932" s="1" t="n">
        <v>45173</v>
      </c>
      <c r="C9932" s="1" t="n">
        <v>46075</v>
      </c>
      <c r="D9932" t="inlineStr">
        <is>
          <t>VÄSTERBOTTENS LÄN</t>
        </is>
      </c>
      <c r="E9932" t="inlineStr">
        <is>
          <t>SKELLEFTEÅ</t>
        </is>
      </c>
      <c r="G9932" t="n">
        <v>7.7</v>
      </c>
      <c r="H9932" t="n">
        <v>0</v>
      </c>
      <c r="I9932" t="n">
        <v>0</v>
      </c>
      <c r="J9932" t="n">
        <v>0</v>
      </c>
      <c r="K9932" t="n">
        <v>0</v>
      </c>
      <c r="L9932" t="n">
        <v>0</v>
      </c>
      <c r="M9932" t="n">
        <v>0</v>
      </c>
      <c r="N9932" t="n">
        <v>0</v>
      </c>
      <c r="O9932" t="n">
        <v>0</v>
      </c>
      <c r="P9932" t="n">
        <v>0</v>
      </c>
      <c r="Q9932" t="n">
        <v>0</v>
      </c>
      <c r="R9932" s="2" t="inlineStr"/>
    </row>
    <row r="9933" ht="15" customHeight="1">
      <c r="A9933" t="inlineStr">
        <is>
          <t>A 17568-2024</t>
        </is>
      </c>
      <c r="B9933" s="1" t="n">
        <v>45415</v>
      </c>
      <c r="C9933" s="1" t="n">
        <v>46075</v>
      </c>
      <c r="D9933" t="inlineStr">
        <is>
          <t>VÄSTERBOTTENS LÄN</t>
        </is>
      </c>
      <c r="E9933" t="inlineStr">
        <is>
          <t>SKELLEFTEÅ</t>
        </is>
      </c>
      <c r="G9933" t="n">
        <v>6.6</v>
      </c>
      <c r="H9933" t="n">
        <v>0</v>
      </c>
      <c r="I9933" t="n">
        <v>0</v>
      </c>
      <c r="J9933" t="n">
        <v>0</v>
      </c>
      <c r="K9933" t="n">
        <v>0</v>
      </c>
      <c r="L9933" t="n">
        <v>0</v>
      </c>
      <c r="M9933" t="n">
        <v>0</v>
      </c>
      <c r="N9933" t="n">
        <v>0</v>
      </c>
      <c r="O9933" t="n">
        <v>0</v>
      </c>
      <c r="P9933" t="n">
        <v>0</v>
      </c>
      <c r="Q9933" t="n">
        <v>0</v>
      </c>
      <c r="R9933" s="2" t="inlineStr"/>
    </row>
    <row r="9934" ht="15" customHeight="1">
      <c r="A9934" t="inlineStr">
        <is>
          <t>A 12127-2023</t>
        </is>
      </c>
      <c r="B9934" s="1" t="n">
        <v>44995</v>
      </c>
      <c r="C9934" s="1" t="n">
        <v>46075</v>
      </c>
      <c r="D9934" t="inlineStr">
        <is>
          <t>VÄSTERBOTTENS LÄN</t>
        </is>
      </c>
      <c r="E9934" t="inlineStr">
        <is>
          <t>VINDELN</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48044-2024</t>
        </is>
      </c>
      <c r="B9935" s="1" t="n">
        <v>45589</v>
      </c>
      <c r="C9935" s="1" t="n">
        <v>46075</v>
      </c>
      <c r="D9935" t="inlineStr">
        <is>
          <t>VÄSTERBOTTENS LÄN</t>
        </is>
      </c>
      <c r="E9935" t="inlineStr">
        <is>
          <t>ÅSELE</t>
        </is>
      </c>
      <c r="F9935" t="inlineStr">
        <is>
          <t>SCA</t>
        </is>
      </c>
      <c r="G9935" t="n">
        <v>2.4</v>
      </c>
      <c r="H9935" t="n">
        <v>0</v>
      </c>
      <c r="I9935" t="n">
        <v>0</v>
      </c>
      <c r="J9935" t="n">
        <v>0</v>
      </c>
      <c r="K9935" t="n">
        <v>0</v>
      </c>
      <c r="L9935" t="n">
        <v>0</v>
      </c>
      <c r="M9935" t="n">
        <v>0</v>
      </c>
      <c r="N9935" t="n">
        <v>0</v>
      </c>
      <c r="O9935" t="n">
        <v>0</v>
      </c>
      <c r="P9935" t="n">
        <v>0</v>
      </c>
      <c r="Q9935" t="n">
        <v>0</v>
      </c>
      <c r="R9935" s="2" t="inlineStr"/>
    </row>
    <row r="9936" ht="15" customHeight="1">
      <c r="A9936" t="inlineStr">
        <is>
          <t>A 9086-2026</t>
        </is>
      </c>
      <c r="B9936" s="1" t="n">
        <v>46069.61508101852</v>
      </c>
      <c r="C9936" s="1" t="n">
        <v>46075</v>
      </c>
      <c r="D9936" t="inlineStr">
        <is>
          <t>VÄSTERBOTTENS LÄN</t>
        </is>
      </c>
      <c r="E9936" t="inlineStr">
        <is>
          <t>STORUMAN</t>
        </is>
      </c>
      <c r="F9936" t="inlineStr">
        <is>
          <t>SCA</t>
        </is>
      </c>
      <c r="G9936" t="n">
        <v>5.4</v>
      </c>
      <c r="H9936" t="n">
        <v>0</v>
      </c>
      <c r="I9936" t="n">
        <v>0</v>
      </c>
      <c r="J9936" t="n">
        <v>0</v>
      </c>
      <c r="K9936" t="n">
        <v>0</v>
      </c>
      <c r="L9936" t="n">
        <v>0</v>
      </c>
      <c r="M9936" t="n">
        <v>0</v>
      </c>
      <c r="N9936" t="n">
        <v>0</v>
      </c>
      <c r="O9936" t="n">
        <v>0</v>
      </c>
      <c r="P9936" t="n">
        <v>0</v>
      </c>
      <c r="Q9936" t="n">
        <v>0</v>
      </c>
      <c r="R9936" s="2" t="inlineStr"/>
    </row>
    <row r="9937" ht="15" customHeight="1">
      <c r="A9937" t="inlineStr">
        <is>
          <t>A 9038-2026</t>
        </is>
      </c>
      <c r="B9937" s="1" t="n">
        <v>46069.53618055556</v>
      </c>
      <c r="C9937" s="1" t="n">
        <v>46075</v>
      </c>
      <c r="D9937" t="inlineStr">
        <is>
          <t>VÄSTERBOTTENS LÄN</t>
        </is>
      </c>
      <c r="E9937" t="inlineStr">
        <is>
          <t>STORUMAN</t>
        </is>
      </c>
      <c r="G9937" t="n">
        <v>6.9</v>
      </c>
      <c r="H9937" t="n">
        <v>0</v>
      </c>
      <c r="I9937" t="n">
        <v>0</v>
      </c>
      <c r="J9937" t="n">
        <v>0</v>
      </c>
      <c r="K9937" t="n">
        <v>0</v>
      </c>
      <c r="L9937" t="n">
        <v>0</v>
      </c>
      <c r="M9937" t="n">
        <v>0</v>
      </c>
      <c r="N9937" t="n">
        <v>0</v>
      </c>
      <c r="O9937" t="n">
        <v>0</v>
      </c>
      <c r="P9937" t="n">
        <v>0</v>
      </c>
      <c r="Q9937" t="n">
        <v>0</v>
      </c>
      <c r="R9937" s="2" t="inlineStr"/>
    </row>
    <row r="9938" ht="15" customHeight="1">
      <c r="A9938" t="inlineStr">
        <is>
          <t>A 25446-2024</t>
        </is>
      </c>
      <c r="B9938" s="1" t="n">
        <v>45463</v>
      </c>
      <c r="C9938" s="1" t="n">
        <v>46075</v>
      </c>
      <c r="D9938" t="inlineStr">
        <is>
          <t>VÄSTERBOTTENS LÄN</t>
        </is>
      </c>
      <c r="E9938" t="inlineStr">
        <is>
          <t>ROBERTSFORS</t>
        </is>
      </c>
      <c r="G9938" t="n">
        <v>0.5</v>
      </c>
      <c r="H9938" t="n">
        <v>0</v>
      </c>
      <c r="I9938" t="n">
        <v>0</v>
      </c>
      <c r="J9938" t="n">
        <v>0</v>
      </c>
      <c r="K9938" t="n">
        <v>0</v>
      </c>
      <c r="L9938" t="n">
        <v>0</v>
      </c>
      <c r="M9938" t="n">
        <v>0</v>
      </c>
      <c r="N9938" t="n">
        <v>0</v>
      </c>
      <c r="O9938" t="n">
        <v>0</v>
      </c>
      <c r="P9938" t="n">
        <v>0</v>
      </c>
      <c r="Q9938" t="n">
        <v>0</v>
      </c>
      <c r="R9938" s="2" t="inlineStr"/>
    </row>
    <row r="9939" ht="15" customHeight="1">
      <c r="A9939" t="inlineStr">
        <is>
          <t>A 9123-2026</t>
        </is>
      </c>
      <c r="B9939" s="1" t="n">
        <v>46069.68662037037</v>
      </c>
      <c r="C9939" s="1" t="n">
        <v>46075</v>
      </c>
      <c r="D9939" t="inlineStr">
        <is>
          <t>VÄSTERBOTTENS LÄN</t>
        </is>
      </c>
      <c r="E9939" t="inlineStr">
        <is>
          <t>UMEÅ</t>
        </is>
      </c>
      <c r="G9939" t="n">
        <v>1.8</v>
      </c>
      <c r="H9939" t="n">
        <v>0</v>
      </c>
      <c r="I9939" t="n">
        <v>0</v>
      </c>
      <c r="J9939" t="n">
        <v>0</v>
      </c>
      <c r="K9939" t="n">
        <v>0</v>
      </c>
      <c r="L9939" t="n">
        <v>0</v>
      </c>
      <c r="M9939" t="n">
        <v>0</v>
      </c>
      <c r="N9939" t="n">
        <v>0</v>
      </c>
      <c r="O9939" t="n">
        <v>0</v>
      </c>
      <c r="P9939" t="n">
        <v>0</v>
      </c>
      <c r="Q9939" t="n">
        <v>0</v>
      </c>
      <c r="R9939" s="2" t="inlineStr"/>
    </row>
    <row r="9940" ht="15" customHeight="1">
      <c r="A9940" t="inlineStr">
        <is>
          <t>A 8636-2026</t>
        </is>
      </c>
      <c r="B9940" s="1" t="n">
        <v>46066.35452546296</v>
      </c>
      <c r="C9940" s="1" t="n">
        <v>46075</v>
      </c>
      <c r="D9940" t="inlineStr">
        <is>
          <t>VÄSTERBOTTENS LÄN</t>
        </is>
      </c>
      <c r="E9940" t="inlineStr">
        <is>
          <t>VILHELMINA</t>
        </is>
      </c>
      <c r="F9940" t="inlineStr">
        <is>
          <t>SCA</t>
        </is>
      </c>
      <c r="G9940" t="n">
        <v>1.7</v>
      </c>
      <c r="H9940" t="n">
        <v>0</v>
      </c>
      <c r="I9940" t="n">
        <v>0</v>
      </c>
      <c r="J9940" t="n">
        <v>0</v>
      </c>
      <c r="K9940" t="n">
        <v>0</v>
      </c>
      <c r="L9940" t="n">
        <v>0</v>
      </c>
      <c r="M9940" t="n">
        <v>0</v>
      </c>
      <c r="N9940" t="n">
        <v>0</v>
      </c>
      <c r="O9940" t="n">
        <v>0</v>
      </c>
      <c r="P9940" t="n">
        <v>0</v>
      </c>
      <c r="Q9940" t="n">
        <v>0</v>
      </c>
      <c r="R9940" s="2" t="inlineStr"/>
    </row>
    <row r="9941" ht="15" customHeight="1">
      <c r="A9941" t="inlineStr">
        <is>
          <t>A 50419-2024</t>
        </is>
      </c>
      <c r="B9941" s="1" t="n">
        <v>45601</v>
      </c>
      <c r="C9941" s="1" t="n">
        <v>46075</v>
      </c>
      <c r="D9941" t="inlineStr">
        <is>
          <t>VÄSTERBOTTENS LÄN</t>
        </is>
      </c>
      <c r="E9941" t="inlineStr">
        <is>
          <t>ÅSELE</t>
        </is>
      </c>
      <c r="F9941" t="inlineStr">
        <is>
          <t>SCA</t>
        </is>
      </c>
      <c r="G9941" t="n">
        <v>5.1</v>
      </c>
      <c r="H9941" t="n">
        <v>0</v>
      </c>
      <c r="I9941" t="n">
        <v>0</v>
      </c>
      <c r="J9941" t="n">
        <v>0</v>
      </c>
      <c r="K9941" t="n">
        <v>0</v>
      </c>
      <c r="L9941" t="n">
        <v>0</v>
      </c>
      <c r="M9941" t="n">
        <v>0</v>
      </c>
      <c r="N9941" t="n">
        <v>0</v>
      </c>
      <c r="O9941" t="n">
        <v>0</v>
      </c>
      <c r="P9941" t="n">
        <v>0</v>
      </c>
      <c r="Q9941" t="n">
        <v>0</v>
      </c>
      <c r="R9941" s="2" t="inlineStr"/>
    </row>
    <row r="9942" ht="15" customHeight="1">
      <c r="A9942" t="inlineStr">
        <is>
          <t>A 51544-2024</t>
        </is>
      </c>
      <c r="B9942" s="1" t="n">
        <v>45604</v>
      </c>
      <c r="C9942" s="1" t="n">
        <v>46075</v>
      </c>
      <c r="D9942" t="inlineStr">
        <is>
          <t>VÄSTERBOTTENS LÄN</t>
        </is>
      </c>
      <c r="E9942" t="inlineStr">
        <is>
          <t>ÅSELE</t>
        </is>
      </c>
      <c r="F9942" t="inlineStr">
        <is>
          <t>SCA</t>
        </is>
      </c>
      <c r="G9942" t="n">
        <v>1.8</v>
      </c>
      <c r="H9942" t="n">
        <v>0</v>
      </c>
      <c r="I9942" t="n">
        <v>0</v>
      </c>
      <c r="J9942" t="n">
        <v>0</v>
      </c>
      <c r="K9942" t="n">
        <v>0</v>
      </c>
      <c r="L9942" t="n">
        <v>0</v>
      </c>
      <c r="M9942" t="n">
        <v>0</v>
      </c>
      <c r="N9942" t="n">
        <v>0</v>
      </c>
      <c r="O9942" t="n">
        <v>0</v>
      </c>
      <c r="P9942" t="n">
        <v>0</v>
      </c>
      <c r="Q9942" t="n">
        <v>0</v>
      </c>
      <c r="R9942" s="2" t="inlineStr"/>
    </row>
    <row r="9943" ht="15" customHeight="1">
      <c r="A9943" t="inlineStr">
        <is>
          <t>A 71517-2021</t>
        </is>
      </c>
      <c r="B9943" s="1" t="n">
        <v>44538</v>
      </c>
      <c r="C9943" s="1" t="n">
        <v>46075</v>
      </c>
      <c r="D9943" t="inlineStr">
        <is>
          <t>VÄSTERBOTTENS LÄN</t>
        </is>
      </c>
      <c r="E9943" t="inlineStr">
        <is>
          <t>SORSELE</t>
        </is>
      </c>
      <c r="G9943" t="n">
        <v>2.8</v>
      </c>
      <c r="H9943" t="n">
        <v>0</v>
      </c>
      <c r="I9943" t="n">
        <v>0</v>
      </c>
      <c r="J9943" t="n">
        <v>0</v>
      </c>
      <c r="K9943" t="n">
        <v>0</v>
      </c>
      <c r="L9943" t="n">
        <v>0</v>
      </c>
      <c r="M9943" t="n">
        <v>0</v>
      </c>
      <c r="N9943" t="n">
        <v>0</v>
      </c>
      <c r="O9943" t="n">
        <v>0</v>
      </c>
      <c r="P9943" t="n">
        <v>0</v>
      </c>
      <c r="Q9943" t="n">
        <v>0</v>
      </c>
      <c r="R9943" s="2" t="inlineStr"/>
    </row>
    <row r="9944" ht="15" customHeight="1">
      <c r="A9944" t="inlineStr">
        <is>
          <t>A 48051-2024</t>
        </is>
      </c>
      <c r="B9944" s="1" t="n">
        <v>45589</v>
      </c>
      <c r="C9944" s="1" t="n">
        <v>46075</v>
      </c>
      <c r="D9944" t="inlineStr">
        <is>
          <t>VÄSTERBOTTENS LÄN</t>
        </is>
      </c>
      <c r="E9944" t="inlineStr">
        <is>
          <t>ÅSELE</t>
        </is>
      </c>
      <c r="F9944" t="inlineStr">
        <is>
          <t>SCA</t>
        </is>
      </c>
      <c r="G9944" t="n">
        <v>4.2</v>
      </c>
      <c r="H9944" t="n">
        <v>0</v>
      </c>
      <c r="I9944" t="n">
        <v>0</v>
      </c>
      <c r="J9944" t="n">
        <v>0</v>
      </c>
      <c r="K9944" t="n">
        <v>0</v>
      </c>
      <c r="L9944" t="n">
        <v>0</v>
      </c>
      <c r="M9944" t="n">
        <v>0</v>
      </c>
      <c r="N9944" t="n">
        <v>0</v>
      </c>
      <c r="O9944" t="n">
        <v>0</v>
      </c>
      <c r="P9944" t="n">
        <v>0</v>
      </c>
      <c r="Q9944" t="n">
        <v>0</v>
      </c>
      <c r="R9944" s="2" t="inlineStr"/>
    </row>
    <row r="9945" ht="15" customHeight="1">
      <c r="A9945" t="inlineStr">
        <is>
          <t>A 31689-2023</t>
        </is>
      </c>
      <c r="B9945" s="1" t="n">
        <v>45117</v>
      </c>
      <c r="C9945" s="1" t="n">
        <v>46075</v>
      </c>
      <c r="D9945" t="inlineStr">
        <is>
          <t>VÄSTERBOTTENS LÄN</t>
        </is>
      </c>
      <c r="E9945" t="inlineStr">
        <is>
          <t>LYCKSELE</t>
        </is>
      </c>
      <c r="F9945" t="inlineStr">
        <is>
          <t>Holmen skog AB</t>
        </is>
      </c>
      <c r="G9945" t="n">
        <v>3.7</v>
      </c>
      <c r="H9945" t="n">
        <v>0</v>
      </c>
      <c r="I9945" t="n">
        <v>0</v>
      </c>
      <c r="J9945" t="n">
        <v>0</v>
      </c>
      <c r="K9945" t="n">
        <v>0</v>
      </c>
      <c r="L9945" t="n">
        <v>0</v>
      </c>
      <c r="M9945" t="n">
        <v>0</v>
      </c>
      <c r="N9945" t="n">
        <v>0</v>
      </c>
      <c r="O9945" t="n">
        <v>0</v>
      </c>
      <c r="P9945" t="n">
        <v>0</v>
      </c>
      <c r="Q9945" t="n">
        <v>0</v>
      </c>
      <c r="R9945" s="2" t="inlineStr"/>
    </row>
    <row r="9946" ht="15" customHeight="1">
      <c r="A9946" t="inlineStr">
        <is>
          <t>A 263-2026</t>
        </is>
      </c>
      <c r="B9946" s="1" t="n">
        <v>46027</v>
      </c>
      <c r="C9946" s="1" t="n">
        <v>46075</v>
      </c>
      <c r="D9946" t="inlineStr">
        <is>
          <t>VÄSTERBOTTENS LÄN</t>
        </is>
      </c>
      <c r="E9946" t="inlineStr">
        <is>
          <t>MALÅ</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55919-2023</t>
        </is>
      </c>
      <c r="B9947" s="1" t="n">
        <v>45239.9687962963</v>
      </c>
      <c r="C9947" s="1" t="n">
        <v>46075</v>
      </c>
      <c r="D9947" t="inlineStr">
        <is>
          <t>VÄSTERBOTTENS LÄN</t>
        </is>
      </c>
      <c r="E9947" t="inlineStr">
        <is>
          <t>DOROTEA</t>
        </is>
      </c>
      <c r="F9947" t="inlineStr">
        <is>
          <t>SCA</t>
        </is>
      </c>
      <c r="G9947" t="n">
        <v>7.2</v>
      </c>
      <c r="H9947" t="n">
        <v>0</v>
      </c>
      <c r="I9947" t="n">
        <v>0</v>
      </c>
      <c r="J9947" t="n">
        <v>0</v>
      </c>
      <c r="K9947" t="n">
        <v>0</v>
      </c>
      <c r="L9947" t="n">
        <v>0</v>
      </c>
      <c r="M9947" t="n">
        <v>0</v>
      </c>
      <c r="N9947" t="n">
        <v>0</v>
      </c>
      <c r="O9947" t="n">
        <v>0</v>
      </c>
      <c r="P9947" t="n">
        <v>0</v>
      </c>
      <c r="Q9947" t="n">
        <v>0</v>
      </c>
      <c r="R9947" s="2" t="inlineStr"/>
    </row>
    <row r="9948" ht="15" customHeight="1">
      <c r="A9948" t="inlineStr">
        <is>
          <t>A 4364-2026</t>
        </is>
      </c>
      <c r="B9948" s="1" t="n">
        <v>46045.54497685185</v>
      </c>
      <c r="C9948" s="1" t="n">
        <v>46075</v>
      </c>
      <c r="D9948" t="inlineStr">
        <is>
          <t>VÄSTERBOTTENS LÄN</t>
        </is>
      </c>
      <c r="E9948" t="inlineStr">
        <is>
          <t>SORSELE</t>
        </is>
      </c>
      <c r="F9948" t="inlineStr">
        <is>
          <t>Sveaskog</t>
        </is>
      </c>
      <c r="G9948" t="n">
        <v>59.7</v>
      </c>
      <c r="H9948" t="n">
        <v>0</v>
      </c>
      <c r="I9948" t="n">
        <v>0</v>
      </c>
      <c r="J9948" t="n">
        <v>0</v>
      </c>
      <c r="K9948" t="n">
        <v>0</v>
      </c>
      <c r="L9948" t="n">
        <v>0</v>
      </c>
      <c r="M9948" t="n">
        <v>0</v>
      </c>
      <c r="N9948" t="n">
        <v>0</v>
      </c>
      <c r="O9948" t="n">
        <v>0</v>
      </c>
      <c r="P9948" t="n">
        <v>0</v>
      </c>
      <c r="Q9948" t="n">
        <v>0</v>
      </c>
      <c r="R9948" s="2" t="inlineStr"/>
    </row>
    <row r="9949" ht="15" customHeight="1">
      <c r="A9949" t="inlineStr">
        <is>
          <t>A 55923-2023</t>
        </is>
      </c>
      <c r="B9949" s="1" t="n">
        <v>45239</v>
      </c>
      <c r="C9949" s="1" t="n">
        <v>46075</v>
      </c>
      <c r="D9949" t="inlineStr">
        <is>
          <t>VÄSTERBOTTENS LÄN</t>
        </is>
      </c>
      <c r="E9949" t="inlineStr">
        <is>
          <t>LYCKSELE</t>
        </is>
      </c>
      <c r="F9949" t="inlineStr">
        <is>
          <t>SCA</t>
        </is>
      </c>
      <c r="G9949" t="n">
        <v>5</v>
      </c>
      <c r="H9949" t="n">
        <v>0</v>
      </c>
      <c r="I9949" t="n">
        <v>0</v>
      </c>
      <c r="J9949" t="n">
        <v>0</v>
      </c>
      <c r="K9949" t="n">
        <v>0</v>
      </c>
      <c r="L9949" t="n">
        <v>0</v>
      </c>
      <c r="M9949" t="n">
        <v>0</v>
      </c>
      <c r="N9949" t="n">
        <v>0</v>
      </c>
      <c r="O9949" t="n">
        <v>0</v>
      </c>
      <c r="P9949" t="n">
        <v>0</v>
      </c>
      <c r="Q9949" t="n">
        <v>0</v>
      </c>
      <c r="R9949" s="2" t="inlineStr"/>
    </row>
    <row r="9950" ht="15" customHeight="1">
      <c r="A9950" t="inlineStr">
        <is>
          <t>A 17892-2024</t>
        </is>
      </c>
      <c r="B9950" s="1" t="n">
        <v>45419.47746527778</v>
      </c>
      <c r="C9950" s="1" t="n">
        <v>46075</v>
      </c>
      <c r="D9950" t="inlineStr">
        <is>
          <t>VÄSTERBOTTENS LÄN</t>
        </is>
      </c>
      <c r="E9950" t="inlineStr">
        <is>
          <t>NORDMALING</t>
        </is>
      </c>
      <c r="G9950" t="n">
        <v>9.6</v>
      </c>
      <c r="H9950" t="n">
        <v>0</v>
      </c>
      <c r="I9950" t="n">
        <v>0</v>
      </c>
      <c r="J9950" t="n">
        <v>0</v>
      </c>
      <c r="K9950" t="n">
        <v>0</v>
      </c>
      <c r="L9950" t="n">
        <v>0</v>
      </c>
      <c r="M9950" t="n">
        <v>0</v>
      </c>
      <c r="N9950" t="n">
        <v>0</v>
      </c>
      <c r="O9950" t="n">
        <v>0</v>
      </c>
      <c r="P9950" t="n">
        <v>0</v>
      </c>
      <c r="Q9950" t="n">
        <v>0</v>
      </c>
      <c r="R9950" s="2" t="inlineStr"/>
    </row>
    <row r="9951" ht="15" customHeight="1">
      <c r="A9951" t="inlineStr">
        <is>
          <t>A 17893-2024</t>
        </is>
      </c>
      <c r="B9951" s="1" t="n">
        <v>45419.48121527778</v>
      </c>
      <c r="C9951" s="1" t="n">
        <v>46075</v>
      </c>
      <c r="D9951" t="inlineStr">
        <is>
          <t>VÄSTERBOTTENS LÄN</t>
        </is>
      </c>
      <c r="E9951" t="inlineStr">
        <is>
          <t>NORDMALING</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36219-2023</t>
        </is>
      </c>
      <c r="B9952" s="1" t="n">
        <v>45149.95310185185</v>
      </c>
      <c r="C9952" s="1" t="n">
        <v>46075</v>
      </c>
      <c r="D9952" t="inlineStr">
        <is>
          <t>VÄSTERBOTTENS LÄN</t>
        </is>
      </c>
      <c r="E9952" t="inlineStr">
        <is>
          <t>VILHELMINA</t>
        </is>
      </c>
      <c r="F9952" t="inlineStr">
        <is>
          <t>SCA</t>
        </is>
      </c>
      <c r="G9952" t="n">
        <v>7.3</v>
      </c>
      <c r="H9952" t="n">
        <v>0</v>
      </c>
      <c r="I9952" t="n">
        <v>0</v>
      </c>
      <c r="J9952" t="n">
        <v>0</v>
      </c>
      <c r="K9952" t="n">
        <v>0</v>
      </c>
      <c r="L9952" t="n">
        <v>0</v>
      </c>
      <c r="M9952" t="n">
        <v>0</v>
      </c>
      <c r="N9952" t="n">
        <v>0</v>
      </c>
      <c r="O9952" t="n">
        <v>0</v>
      </c>
      <c r="P9952" t="n">
        <v>0</v>
      </c>
      <c r="Q9952" t="n">
        <v>0</v>
      </c>
      <c r="R9952" s="2" t="inlineStr"/>
    </row>
    <row r="9953" ht="15" customHeight="1">
      <c r="A9953" t="inlineStr">
        <is>
          <t>A 23983-2023</t>
        </is>
      </c>
      <c r="B9953" s="1" t="n">
        <v>45078</v>
      </c>
      <c r="C9953" s="1" t="n">
        <v>46075</v>
      </c>
      <c r="D9953" t="inlineStr">
        <is>
          <t>VÄSTERBOTTENS LÄN</t>
        </is>
      </c>
      <c r="E9953" t="inlineStr">
        <is>
          <t>UMEÅ</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11437-2025</t>
        </is>
      </c>
      <c r="B9954" s="1" t="n">
        <v>45726.61538194444</v>
      </c>
      <c r="C9954" s="1" t="n">
        <v>46075</v>
      </c>
      <c r="D9954" t="inlineStr">
        <is>
          <t>VÄSTERBOTTENS LÄN</t>
        </is>
      </c>
      <c r="E9954" t="inlineStr">
        <is>
          <t>BJURHOLM</t>
        </is>
      </c>
      <c r="F9954" t="inlineStr">
        <is>
          <t>SCA</t>
        </is>
      </c>
      <c r="G9954" t="n">
        <v>1.2</v>
      </c>
      <c r="H9954" t="n">
        <v>0</v>
      </c>
      <c r="I9954" t="n">
        <v>0</v>
      </c>
      <c r="J9954" t="n">
        <v>0</v>
      </c>
      <c r="K9954" t="n">
        <v>0</v>
      </c>
      <c r="L9954" t="n">
        <v>0</v>
      </c>
      <c r="M9954" t="n">
        <v>0</v>
      </c>
      <c r="N9954" t="n">
        <v>0</v>
      </c>
      <c r="O9954" t="n">
        <v>0</v>
      </c>
      <c r="P9954" t="n">
        <v>0</v>
      </c>
      <c r="Q9954" t="n">
        <v>0</v>
      </c>
      <c r="R9954" s="2" t="inlineStr"/>
    </row>
    <row r="9955" ht="15" customHeight="1">
      <c r="A9955" t="inlineStr">
        <is>
          <t>A 7129-2026</t>
        </is>
      </c>
      <c r="B9955" s="1" t="n">
        <v>46057</v>
      </c>
      <c r="C9955" s="1" t="n">
        <v>46075</v>
      </c>
      <c r="D9955" t="inlineStr">
        <is>
          <t>VÄSTERBOTTENS LÄN</t>
        </is>
      </c>
      <c r="E9955" t="inlineStr">
        <is>
          <t>STORUMAN</t>
        </is>
      </c>
      <c r="F9955" t="inlineStr">
        <is>
          <t>Sveaskog</t>
        </is>
      </c>
      <c r="G9955" t="n">
        <v>3.2</v>
      </c>
      <c r="H9955" t="n">
        <v>0</v>
      </c>
      <c r="I9955" t="n">
        <v>0</v>
      </c>
      <c r="J9955" t="n">
        <v>0</v>
      </c>
      <c r="K9955" t="n">
        <v>0</v>
      </c>
      <c r="L9955" t="n">
        <v>0</v>
      </c>
      <c r="M9955" t="n">
        <v>0</v>
      </c>
      <c r="N9955" t="n">
        <v>0</v>
      </c>
      <c r="O9955" t="n">
        <v>0</v>
      </c>
      <c r="P9955" t="n">
        <v>0</v>
      </c>
      <c r="Q9955" t="n">
        <v>0</v>
      </c>
      <c r="R9955" s="2" t="inlineStr"/>
    </row>
    <row r="9956" ht="15" customHeight="1">
      <c r="A9956" t="inlineStr">
        <is>
          <t>A 9099-2026</t>
        </is>
      </c>
      <c r="B9956" s="1" t="n">
        <v>46069.64003472222</v>
      </c>
      <c r="C9956" s="1" t="n">
        <v>46075</v>
      </c>
      <c r="D9956" t="inlineStr">
        <is>
          <t>VÄSTERBOTTENS LÄN</t>
        </is>
      </c>
      <c r="E9956" t="inlineStr">
        <is>
          <t>STORUMAN</t>
        </is>
      </c>
      <c r="G9956" t="n">
        <v>32</v>
      </c>
      <c r="H9956" t="n">
        <v>0</v>
      </c>
      <c r="I9956" t="n">
        <v>0</v>
      </c>
      <c r="J9956" t="n">
        <v>0</v>
      </c>
      <c r="K9956" t="n">
        <v>0</v>
      </c>
      <c r="L9956" t="n">
        <v>0</v>
      </c>
      <c r="M9956" t="n">
        <v>0</v>
      </c>
      <c r="N9956" t="n">
        <v>0</v>
      </c>
      <c r="O9956" t="n">
        <v>0</v>
      </c>
      <c r="P9956" t="n">
        <v>0</v>
      </c>
      <c r="Q9956" t="n">
        <v>0</v>
      </c>
      <c r="R9956" s="2" t="inlineStr"/>
    </row>
    <row r="9957" ht="15" customHeight="1">
      <c r="A9957" t="inlineStr">
        <is>
          <t>A 32677-2024</t>
        </is>
      </c>
      <c r="B9957" s="1" t="n">
        <v>45514.96219907407</v>
      </c>
      <c r="C9957" s="1" t="n">
        <v>46075</v>
      </c>
      <c r="D9957" t="inlineStr">
        <is>
          <t>VÄSTERBOTTENS LÄN</t>
        </is>
      </c>
      <c r="E9957" t="inlineStr">
        <is>
          <t>VINDELN</t>
        </is>
      </c>
      <c r="F9957" t="inlineStr">
        <is>
          <t>SCA</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32690-2024</t>
        </is>
      </c>
      <c r="B9958" s="1" t="n">
        <v>45515.85923611111</v>
      </c>
      <c r="C9958" s="1" t="n">
        <v>46075</v>
      </c>
      <c r="D9958" t="inlineStr">
        <is>
          <t>VÄSTERBOTTENS LÄN</t>
        </is>
      </c>
      <c r="E9958" t="inlineStr">
        <is>
          <t>LYCKSELE</t>
        </is>
      </c>
      <c r="G9958" t="n">
        <v>2.1</v>
      </c>
      <c r="H9958" t="n">
        <v>0</v>
      </c>
      <c r="I9958" t="n">
        <v>0</v>
      </c>
      <c r="J9958" t="n">
        <v>0</v>
      </c>
      <c r="K9958" t="n">
        <v>0</v>
      </c>
      <c r="L9958" t="n">
        <v>0</v>
      </c>
      <c r="M9958" t="n">
        <v>0</v>
      </c>
      <c r="N9958" t="n">
        <v>0</v>
      </c>
      <c r="O9958" t="n">
        <v>0</v>
      </c>
      <c r="P9958" t="n">
        <v>0</v>
      </c>
      <c r="Q9958" t="n">
        <v>0</v>
      </c>
      <c r="R9958" s="2" t="inlineStr"/>
    </row>
    <row r="9959" ht="15" customHeight="1">
      <c r="A9959" t="inlineStr">
        <is>
          <t>A 30212-2023</t>
        </is>
      </c>
      <c r="B9959" s="1" t="n">
        <v>45110</v>
      </c>
      <c r="C9959" s="1" t="n">
        <v>46075</v>
      </c>
      <c r="D9959" t="inlineStr">
        <is>
          <t>VÄSTERBOTTENS LÄN</t>
        </is>
      </c>
      <c r="E9959" t="inlineStr">
        <is>
          <t>SKELLEFTEÅ</t>
        </is>
      </c>
      <c r="G9959" t="n">
        <v>2.2</v>
      </c>
      <c r="H9959" t="n">
        <v>0</v>
      </c>
      <c r="I9959" t="n">
        <v>0</v>
      </c>
      <c r="J9959" t="n">
        <v>0</v>
      </c>
      <c r="K9959" t="n">
        <v>0</v>
      </c>
      <c r="L9959" t="n">
        <v>0</v>
      </c>
      <c r="M9959" t="n">
        <v>0</v>
      </c>
      <c r="N9959" t="n">
        <v>0</v>
      </c>
      <c r="O9959" t="n">
        <v>0</v>
      </c>
      <c r="P9959" t="n">
        <v>0</v>
      </c>
      <c r="Q9959" t="n">
        <v>0</v>
      </c>
      <c r="R9959" s="2" t="inlineStr"/>
    </row>
    <row r="9960" ht="15" customHeight="1">
      <c r="A9960" t="inlineStr">
        <is>
          <t>A 16865-2023</t>
        </is>
      </c>
      <c r="B9960" s="1" t="n">
        <v>45029</v>
      </c>
      <c r="C9960" s="1" t="n">
        <v>46075</v>
      </c>
      <c r="D9960" t="inlineStr">
        <is>
          <t>VÄSTERBOTTENS LÄN</t>
        </is>
      </c>
      <c r="E9960" t="inlineStr">
        <is>
          <t>ROBERTSFORS</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14407-2024</t>
        </is>
      </c>
      <c r="B9961" s="1" t="n">
        <v>45394</v>
      </c>
      <c r="C9961" s="1" t="n">
        <v>46075</v>
      </c>
      <c r="D9961" t="inlineStr">
        <is>
          <t>VÄSTERBOTTENS LÄN</t>
        </is>
      </c>
      <c r="E9961" t="inlineStr">
        <is>
          <t>BJURHOLM</t>
        </is>
      </c>
      <c r="G9961" t="n">
        <v>4.9</v>
      </c>
      <c r="H9961" t="n">
        <v>0</v>
      </c>
      <c r="I9961" t="n">
        <v>0</v>
      </c>
      <c r="J9961" t="n">
        <v>0</v>
      </c>
      <c r="K9961" t="n">
        <v>0</v>
      </c>
      <c r="L9961" t="n">
        <v>0</v>
      </c>
      <c r="M9961" t="n">
        <v>0</v>
      </c>
      <c r="N9961" t="n">
        <v>0</v>
      </c>
      <c r="O9961" t="n">
        <v>0</v>
      </c>
      <c r="P9961" t="n">
        <v>0</v>
      </c>
      <c r="Q9961" t="n">
        <v>0</v>
      </c>
      <c r="R9961" s="2" t="inlineStr"/>
    </row>
    <row r="9962" ht="15" customHeight="1">
      <c r="A9962" t="inlineStr">
        <is>
          <t>A 8684-2026</t>
        </is>
      </c>
      <c r="B9962" s="1" t="n">
        <v>46066.43094907407</v>
      </c>
      <c r="C9962" s="1" t="n">
        <v>46075</v>
      </c>
      <c r="D9962" t="inlineStr">
        <is>
          <t>VÄSTERBOTTENS LÄN</t>
        </is>
      </c>
      <c r="E9962" t="inlineStr">
        <is>
          <t>NORDMALING</t>
        </is>
      </c>
      <c r="G9962" t="n">
        <v>2.1</v>
      </c>
      <c r="H9962" t="n">
        <v>0</v>
      </c>
      <c r="I9962" t="n">
        <v>0</v>
      </c>
      <c r="J9962" t="n">
        <v>0</v>
      </c>
      <c r="K9962" t="n">
        <v>0</v>
      </c>
      <c r="L9962" t="n">
        <v>0</v>
      </c>
      <c r="M9962" t="n">
        <v>0</v>
      </c>
      <c r="N9962" t="n">
        <v>0</v>
      </c>
      <c r="O9962" t="n">
        <v>0</v>
      </c>
      <c r="P9962" t="n">
        <v>0</v>
      </c>
      <c r="Q9962" t="n">
        <v>0</v>
      </c>
      <c r="R9962" s="2" t="inlineStr"/>
    </row>
    <row r="9963" ht="15" customHeight="1">
      <c r="A9963" t="inlineStr">
        <is>
          <t>A 41503-2021</t>
        </is>
      </c>
      <c r="B9963" s="1" t="n">
        <v>44424</v>
      </c>
      <c r="C9963" s="1" t="n">
        <v>46075</v>
      </c>
      <c r="D9963" t="inlineStr">
        <is>
          <t>VÄSTERBOTTENS LÄN</t>
        </is>
      </c>
      <c r="E9963" t="inlineStr">
        <is>
          <t>BJURHOLM</t>
        </is>
      </c>
      <c r="F9963" t="inlineStr">
        <is>
          <t>SCA</t>
        </is>
      </c>
      <c r="G9963" t="n">
        <v>1.6</v>
      </c>
      <c r="H9963" t="n">
        <v>0</v>
      </c>
      <c r="I9963" t="n">
        <v>0</v>
      </c>
      <c r="J9963" t="n">
        <v>0</v>
      </c>
      <c r="K9963" t="n">
        <v>0</v>
      </c>
      <c r="L9963" t="n">
        <v>0</v>
      </c>
      <c r="M9963" t="n">
        <v>0</v>
      </c>
      <c r="N9963" t="n">
        <v>0</v>
      </c>
      <c r="O9963" t="n">
        <v>0</v>
      </c>
      <c r="P9963" t="n">
        <v>0</v>
      </c>
      <c r="Q9963" t="n">
        <v>0</v>
      </c>
      <c r="R9963" s="2" t="inlineStr"/>
    </row>
    <row r="9964" ht="15" customHeight="1">
      <c r="A9964" t="inlineStr">
        <is>
          <t>A 36875-2023</t>
        </is>
      </c>
      <c r="B9964" s="1" t="n">
        <v>45154</v>
      </c>
      <c r="C9964" s="1" t="n">
        <v>46075</v>
      </c>
      <c r="D9964" t="inlineStr">
        <is>
          <t>VÄSTERBOTTENS LÄN</t>
        </is>
      </c>
      <c r="E9964" t="inlineStr">
        <is>
          <t>LYCKSELE</t>
        </is>
      </c>
      <c r="F9964" t="inlineStr">
        <is>
          <t>Sveaskog</t>
        </is>
      </c>
      <c r="G9964" t="n">
        <v>3.3</v>
      </c>
      <c r="H9964" t="n">
        <v>0</v>
      </c>
      <c r="I9964" t="n">
        <v>0</v>
      </c>
      <c r="J9964" t="n">
        <v>0</v>
      </c>
      <c r="K9964" t="n">
        <v>0</v>
      </c>
      <c r="L9964" t="n">
        <v>0</v>
      </c>
      <c r="M9964" t="n">
        <v>0</v>
      </c>
      <c r="N9964" t="n">
        <v>0</v>
      </c>
      <c r="O9964" t="n">
        <v>0</v>
      </c>
      <c r="P9964" t="n">
        <v>0</v>
      </c>
      <c r="Q9964" t="n">
        <v>0</v>
      </c>
      <c r="R9964" s="2" t="inlineStr"/>
    </row>
    <row r="9965" ht="15" customHeight="1">
      <c r="A9965" t="inlineStr">
        <is>
          <t>A 9048-2026</t>
        </is>
      </c>
      <c r="B9965" s="1" t="n">
        <v>46069.55265046296</v>
      </c>
      <c r="C9965" s="1" t="n">
        <v>46075</v>
      </c>
      <c r="D9965" t="inlineStr">
        <is>
          <t>VÄSTERBOTTENS LÄN</t>
        </is>
      </c>
      <c r="E9965" t="inlineStr">
        <is>
          <t>STORUMAN</t>
        </is>
      </c>
      <c r="F9965" t="inlineStr">
        <is>
          <t>SCA</t>
        </is>
      </c>
      <c r="G9965" t="n">
        <v>2.4</v>
      </c>
      <c r="H9965" t="n">
        <v>0</v>
      </c>
      <c r="I9965" t="n">
        <v>0</v>
      </c>
      <c r="J9965" t="n">
        <v>0</v>
      </c>
      <c r="K9965" t="n">
        <v>0</v>
      </c>
      <c r="L9965" t="n">
        <v>0</v>
      </c>
      <c r="M9965" t="n">
        <v>0</v>
      </c>
      <c r="N9965" t="n">
        <v>0</v>
      </c>
      <c r="O9965" t="n">
        <v>0</v>
      </c>
      <c r="P9965" t="n">
        <v>0</v>
      </c>
      <c r="Q9965" t="n">
        <v>0</v>
      </c>
      <c r="R9965" s="2" t="inlineStr"/>
    </row>
    <row r="9966" ht="15" customHeight="1">
      <c r="A9966" t="inlineStr">
        <is>
          <t>A 281-2026</t>
        </is>
      </c>
      <c r="B9966" s="1" t="n">
        <v>46027</v>
      </c>
      <c r="C9966" s="1" t="n">
        <v>46075</v>
      </c>
      <c r="D9966" t="inlineStr">
        <is>
          <t>VÄSTERBOTTENS LÄN</t>
        </is>
      </c>
      <c r="E9966" t="inlineStr">
        <is>
          <t>UMEÅ</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52209-2024</t>
        </is>
      </c>
      <c r="B9967" s="1" t="n">
        <v>45607</v>
      </c>
      <c r="C9967" s="1" t="n">
        <v>46075</v>
      </c>
      <c r="D9967" t="inlineStr">
        <is>
          <t>VÄSTERBOTTENS LÄN</t>
        </is>
      </c>
      <c r="E9967" t="inlineStr">
        <is>
          <t>STORUMAN</t>
        </is>
      </c>
      <c r="F9967" t="inlineStr">
        <is>
          <t>Allmännings- och besparingsskogar</t>
        </is>
      </c>
      <c r="G9967" t="n">
        <v>16.8</v>
      </c>
      <c r="H9967" t="n">
        <v>0</v>
      </c>
      <c r="I9967" t="n">
        <v>0</v>
      </c>
      <c r="J9967" t="n">
        <v>0</v>
      </c>
      <c r="K9967" t="n">
        <v>0</v>
      </c>
      <c r="L9967" t="n">
        <v>0</v>
      </c>
      <c r="M9967" t="n">
        <v>0</v>
      </c>
      <c r="N9967" t="n">
        <v>0</v>
      </c>
      <c r="O9967" t="n">
        <v>0</v>
      </c>
      <c r="P9967" t="n">
        <v>0</v>
      </c>
      <c r="Q9967" t="n">
        <v>0</v>
      </c>
      <c r="R9967" s="2" t="inlineStr"/>
    </row>
    <row r="9968" ht="15" customHeight="1">
      <c r="A9968" t="inlineStr">
        <is>
          <t>A 54150-2024</t>
        </is>
      </c>
      <c r="B9968" s="1" t="n">
        <v>45616</v>
      </c>
      <c r="C9968" s="1" t="n">
        <v>46075</v>
      </c>
      <c r="D9968" t="inlineStr">
        <is>
          <t>VÄSTERBOTTENS LÄN</t>
        </is>
      </c>
      <c r="E9968" t="inlineStr">
        <is>
          <t>UMEÅ</t>
        </is>
      </c>
      <c r="G9968" t="n">
        <v>0.6</v>
      </c>
      <c r="H9968" t="n">
        <v>0</v>
      </c>
      <c r="I9968" t="n">
        <v>0</v>
      </c>
      <c r="J9968" t="n">
        <v>0</v>
      </c>
      <c r="K9968" t="n">
        <v>0</v>
      </c>
      <c r="L9968" t="n">
        <v>0</v>
      </c>
      <c r="M9968" t="n">
        <v>0</v>
      </c>
      <c r="N9968" t="n">
        <v>0</v>
      </c>
      <c r="O9968" t="n">
        <v>0</v>
      </c>
      <c r="P9968" t="n">
        <v>0</v>
      </c>
      <c r="Q9968" t="n">
        <v>0</v>
      </c>
      <c r="R9968" s="2" t="inlineStr"/>
    </row>
    <row r="9969" ht="15" customHeight="1">
      <c r="A9969" t="inlineStr">
        <is>
          <t>A 54727-2024</t>
        </is>
      </c>
      <c r="B9969" s="1" t="n">
        <v>45618.43804398148</v>
      </c>
      <c r="C9969" s="1" t="n">
        <v>46075</v>
      </c>
      <c r="D9969" t="inlineStr">
        <is>
          <t>VÄSTERBOTTENS LÄN</t>
        </is>
      </c>
      <c r="E9969" t="inlineStr">
        <is>
          <t>VILHELMINA</t>
        </is>
      </c>
      <c r="F9969" t="inlineStr">
        <is>
          <t>SCA</t>
        </is>
      </c>
      <c r="G9969" t="n">
        <v>4</v>
      </c>
      <c r="H9969" t="n">
        <v>0</v>
      </c>
      <c r="I9969" t="n">
        <v>0</v>
      </c>
      <c r="J9969" t="n">
        <v>0</v>
      </c>
      <c r="K9969" t="n">
        <v>0</v>
      </c>
      <c r="L9969" t="n">
        <v>0</v>
      </c>
      <c r="M9969" t="n">
        <v>0</v>
      </c>
      <c r="N9969" t="n">
        <v>0</v>
      </c>
      <c r="O9969" t="n">
        <v>0</v>
      </c>
      <c r="P9969" t="n">
        <v>0</v>
      </c>
      <c r="Q9969" t="n">
        <v>0</v>
      </c>
      <c r="R9969" s="2" t="inlineStr"/>
    </row>
    <row r="9970" ht="15" customHeight="1">
      <c r="A9970" t="inlineStr">
        <is>
          <t>A 8648-2026</t>
        </is>
      </c>
      <c r="B9970" s="1" t="n">
        <v>46066</v>
      </c>
      <c r="C9970" s="1" t="n">
        <v>46075</v>
      </c>
      <c r="D9970" t="inlineStr">
        <is>
          <t>VÄSTERBOTTENS LÄN</t>
        </is>
      </c>
      <c r="E9970" t="inlineStr">
        <is>
          <t>MALÅ</t>
        </is>
      </c>
      <c r="G9970" t="n">
        <v>2.3</v>
      </c>
      <c r="H9970" t="n">
        <v>0</v>
      </c>
      <c r="I9970" t="n">
        <v>0</v>
      </c>
      <c r="J9970" t="n">
        <v>0</v>
      </c>
      <c r="K9970" t="n">
        <v>0</v>
      </c>
      <c r="L9970" t="n">
        <v>0</v>
      </c>
      <c r="M9970" t="n">
        <v>0</v>
      </c>
      <c r="N9970" t="n">
        <v>0</v>
      </c>
      <c r="O9970" t="n">
        <v>0</v>
      </c>
      <c r="P9970" t="n">
        <v>0</v>
      </c>
      <c r="Q9970" t="n">
        <v>0</v>
      </c>
      <c r="R9970" s="2" t="inlineStr"/>
    </row>
    <row r="9971" ht="15" customHeight="1">
      <c r="A9971" t="inlineStr">
        <is>
          <t>A 8668-2026</t>
        </is>
      </c>
      <c r="B9971" s="1" t="n">
        <v>46066.38614583333</v>
      </c>
      <c r="C9971" s="1" t="n">
        <v>46075</v>
      </c>
      <c r="D9971" t="inlineStr">
        <is>
          <t>VÄSTERBOTTENS LÄN</t>
        </is>
      </c>
      <c r="E9971" t="inlineStr">
        <is>
          <t>UMEÅ</t>
        </is>
      </c>
      <c r="G9971" t="n">
        <v>0.7</v>
      </c>
      <c r="H9971" t="n">
        <v>0</v>
      </c>
      <c r="I9971" t="n">
        <v>0</v>
      </c>
      <c r="J9971" t="n">
        <v>0</v>
      </c>
      <c r="K9971" t="n">
        <v>0</v>
      </c>
      <c r="L9971" t="n">
        <v>0</v>
      </c>
      <c r="M9971" t="n">
        <v>0</v>
      </c>
      <c r="N9971" t="n">
        <v>0</v>
      </c>
      <c r="O9971" t="n">
        <v>0</v>
      </c>
      <c r="P9971" t="n">
        <v>0</v>
      </c>
      <c r="Q9971" t="n">
        <v>0</v>
      </c>
      <c r="R9971" s="2" t="inlineStr"/>
    </row>
    <row r="9972" ht="15" customHeight="1">
      <c r="A9972" t="inlineStr">
        <is>
          <t>A 37994-2024</t>
        </is>
      </c>
      <c r="B9972" s="1" t="n">
        <v>45544</v>
      </c>
      <c r="C9972" s="1" t="n">
        <v>46075</v>
      </c>
      <c r="D9972" t="inlineStr">
        <is>
          <t>VÄSTERBOTTENS LÄN</t>
        </is>
      </c>
      <c r="E9972" t="inlineStr">
        <is>
          <t>VINDELN</t>
        </is>
      </c>
      <c r="F9972" t="inlineStr">
        <is>
          <t>Holmen skog AB</t>
        </is>
      </c>
      <c r="G9972" t="n">
        <v>4.4</v>
      </c>
      <c r="H9972" t="n">
        <v>0</v>
      </c>
      <c r="I9972" t="n">
        <v>0</v>
      </c>
      <c r="J9972" t="n">
        <v>0</v>
      </c>
      <c r="K9972" t="n">
        <v>0</v>
      </c>
      <c r="L9972" t="n">
        <v>0</v>
      </c>
      <c r="M9972" t="n">
        <v>0</v>
      </c>
      <c r="N9972" t="n">
        <v>0</v>
      </c>
      <c r="O9972" t="n">
        <v>0</v>
      </c>
      <c r="P9972" t="n">
        <v>0</v>
      </c>
      <c r="Q9972" t="n">
        <v>0</v>
      </c>
      <c r="R9972" s="2" t="inlineStr"/>
    </row>
    <row r="9973" ht="15" customHeight="1">
      <c r="A9973" t="inlineStr">
        <is>
          <t>A 8694-2026</t>
        </is>
      </c>
      <c r="B9973" s="1" t="n">
        <v>46066.44982638889</v>
      </c>
      <c r="C9973" s="1" t="n">
        <v>46075</v>
      </c>
      <c r="D9973" t="inlineStr">
        <is>
          <t>VÄSTERBOTTENS LÄN</t>
        </is>
      </c>
      <c r="E9973" t="inlineStr">
        <is>
          <t>NORDMALING</t>
        </is>
      </c>
      <c r="G9973" t="n">
        <v>5.1</v>
      </c>
      <c r="H9973" t="n">
        <v>0</v>
      </c>
      <c r="I9973" t="n">
        <v>0</v>
      </c>
      <c r="J9973" t="n">
        <v>0</v>
      </c>
      <c r="K9973" t="n">
        <v>0</v>
      </c>
      <c r="L9973" t="n">
        <v>0</v>
      </c>
      <c r="M9973" t="n">
        <v>0</v>
      </c>
      <c r="N9973" t="n">
        <v>0</v>
      </c>
      <c r="O9973" t="n">
        <v>0</v>
      </c>
      <c r="P9973" t="n">
        <v>0</v>
      </c>
      <c r="Q9973" t="n">
        <v>0</v>
      </c>
      <c r="R9973" s="2" t="inlineStr"/>
    </row>
    <row r="9974" ht="15" customHeight="1">
      <c r="A9974" t="inlineStr">
        <is>
          <t>A 8697-2026</t>
        </is>
      </c>
      <c r="B9974" s="1" t="n">
        <v>46066.45375</v>
      </c>
      <c r="C9974" s="1" t="n">
        <v>46075</v>
      </c>
      <c r="D9974" t="inlineStr">
        <is>
          <t>VÄSTERBOTTENS LÄN</t>
        </is>
      </c>
      <c r="E9974" t="inlineStr">
        <is>
          <t>VÄNNÄS</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17007-2024</t>
        </is>
      </c>
      <c r="B9975" s="1" t="n">
        <v>45411</v>
      </c>
      <c r="C9975" s="1" t="n">
        <v>46075</v>
      </c>
      <c r="D9975" t="inlineStr">
        <is>
          <t>VÄSTERBOTTENS LÄN</t>
        </is>
      </c>
      <c r="E9975" t="inlineStr">
        <is>
          <t>STORUMAN</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30395-2024</t>
        </is>
      </c>
      <c r="B9976" s="1" t="n">
        <v>45491</v>
      </c>
      <c r="C9976" s="1" t="n">
        <v>46075</v>
      </c>
      <c r="D9976" t="inlineStr">
        <is>
          <t>VÄSTERBOTTENS LÄN</t>
        </is>
      </c>
      <c r="E9976" t="inlineStr">
        <is>
          <t>SKELLEFTEÅ</t>
        </is>
      </c>
      <c r="F9976" t="inlineStr">
        <is>
          <t>Holmen skog AB</t>
        </is>
      </c>
      <c r="G9976" t="n">
        <v>15.8</v>
      </c>
      <c r="H9976" t="n">
        <v>0</v>
      </c>
      <c r="I9976" t="n">
        <v>0</v>
      </c>
      <c r="J9976" t="n">
        <v>0</v>
      </c>
      <c r="K9976" t="n">
        <v>0</v>
      </c>
      <c r="L9976" t="n">
        <v>0</v>
      </c>
      <c r="M9976" t="n">
        <v>0</v>
      </c>
      <c r="N9976" t="n">
        <v>0</v>
      </c>
      <c r="O9976" t="n">
        <v>0</v>
      </c>
      <c r="P9976" t="n">
        <v>0</v>
      </c>
      <c r="Q9976" t="n">
        <v>0</v>
      </c>
      <c r="R9976" s="2" t="inlineStr"/>
    </row>
    <row r="9977" ht="15" customHeight="1">
      <c r="A9977" t="inlineStr">
        <is>
          <t>A 33738-2024</t>
        </is>
      </c>
      <c r="B9977" s="1" t="n">
        <v>45520</v>
      </c>
      <c r="C9977" s="1" t="n">
        <v>46075</v>
      </c>
      <c r="D9977" t="inlineStr">
        <is>
          <t>VÄSTERBOTTENS LÄN</t>
        </is>
      </c>
      <c r="E9977" t="inlineStr">
        <is>
          <t>DOROTEA</t>
        </is>
      </c>
      <c r="G9977" t="n">
        <v>11.1</v>
      </c>
      <c r="H9977" t="n">
        <v>0</v>
      </c>
      <c r="I9977" t="n">
        <v>0</v>
      </c>
      <c r="J9977" t="n">
        <v>0</v>
      </c>
      <c r="K9977" t="n">
        <v>0</v>
      </c>
      <c r="L9977" t="n">
        <v>0</v>
      </c>
      <c r="M9977" t="n">
        <v>0</v>
      </c>
      <c r="N9977" t="n">
        <v>0</v>
      </c>
      <c r="O9977" t="n">
        <v>0</v>
      </c>
      <c r="P9977" t="n">
        <v>0</v>
      </c>
      <c r="Q9977" t="n">
        <v>0</v>
      </c>
      <c r="R9977" s="2" t="inlineStr"/>
    </row>
    <row r="9978" ht="15" customHeight="1">
      <c r="A9978" t="inlineStr">
        <is>
          <t>A 28732-2024</t>
        </is>
      </c>
      <c r="B9978" s="1" t="n">
        <v>45478</v>
      </c>
      <c r="C9978" s="1" t="n">
        <v>46075</v>
      </c>
      <c r="D9978" t="inlineStr">
        <is>
          <t>VÄSTERBOTTENS LÄN</t>
        </is>
      </c>
      <c r="E9978" t="inlineStr">
        <is>
          <t>VINDELN</t>
        </is>
      </c>
      <c r="F9978" t="inlineStr">
        <is>
          <t>Holmen skog AB</t>
        </is>
      </c>
      <c r="G9978" t="n">
        <v>4.4</v>
      </c>
      <c r="H9978" t="n">
        <v>0</v>
      </c>
      <c r="I9978" t="n">
        <v>0</v>
      </c>
      <c r="J9978" t="n">
        <v>0</v>
      </c>
      <c r="K9978" t="n">
        <v>0</v>
      </c>
      <c r="L9978" t="n">
        <v>0</v>
      </c>
      <c r="M9978" t="n">
        <v>0</v>
      </c>
      <c r="N9978" t="n">
        <v>0</v>
      </c>
      <c r="O9978" t="n">
        <v>0</v>
      </c>
      <c r="P9978" t="n">
        <v>0</v>
      </c>
      <c r="Q9978" t="n">
        <v>0</v>
      </c>
      <c r="R9978" s="2" t="inlineStr"/>
      <c r="U9978">
        <f>HYPERLINK("https://klasma.github.io/Logging_2404/knärot/A 28732-2024 karta knärot.png", "A 28732-2024")</f>
        <v/>
      </c>
      <c r="V9978">
        <f>HYPERLINK("https://klasma.github.io/Logging_2404/klagomål/A 28732-2024 FSC-klagomål.docx", "A 28732-2024")</f>
        <v/>
      </c>
      <c r="W9978">
        <f>HYPERLINK("https://klasma.github.io/Logging_2404/klagomålsmail/A 28732-2024 FSC-klagomål mail.docx", "A 28732-2024")</f>
        <v/>
      </c>
      <c r="X9978">
        <f>HYPERLINK("https://klasma.github.io/Logging_2404/tillsyn/A 28732-2024 tillsynsbegäran.docx", "A 28732-2024")</f>
        <v/>
      </c>
      <c r="Y9978">
        <f>HYPERLINK("https://klasma.github.io/Logging_2404/tillsynsmail/A 28732-2024 tillsynsbegäran mail.docx", "A 28732-2024")</f>
        <v/>
      </c>
    </row>
    <row r="9979" ht="15" customHeight="1">
      <c r="A9979" t="inlineStr">
        <is>
          <t>A 23759-2023</t>
        </is>
      </c>
      <c r="B9979" s="1" t="n">
        <v>45077</v>
      </c>
      <c r="C9979" s="1" t="n">
        <v>46075</v>
      </c>
      <c r="D9979" t="inlineStr">
        <is>
          <t>VÄSTERBOTTENS LÄN</t>
        </is>
      </c>
      <c r="E9979" t="inlineStr">
        <is>
          <t>SKELLEFTEÅ</t>
        </is>
      </c>
      <c r="G9979" t="n">
        <v>2.3</v>
      </c>
      <c r="H9979" t="n">
        <v>0</v>
      </c>
      <c r="I9979" t="n">
        <v>0</v>
      </c>
      <c r="J9979" t="n">
        <v>0</v>
      </c>
      <c r="K9979" t="n">
        <v>0</v>
      </c>
      <c r="L9979" t="n">
        <v>0</v>
      </c>
      <c r="M9979" t="n">
        <v>0</v>
      </c>
      <c r="N9979" t="n">
        <v>0</v>
      </c>
      <c r="O9979" t="n">
        <v>0</v>
      </c>
      <c r="P9979" t="n">
        <v>0</v>
      </c>
      <c r="Q9979" t="n">
        <v>0</v>
      </c>
      <c r="R9979" s="2" t="inlineStr"/>
    </row>
    <row r="9980" ht="15" customHeight="1">
      <c r="A9980" t="inlineStr">
        <is>
          <t>A 50420-2024</t>
        </is>
      </c>
      <c r="B9980" s="1" t="n">
        <v>45601</v>
      </c>
      <c r="C9980" s="1" t="n">
        <v>46075</v>
      </c>
      <c r="D9980" t="inlineStr">
        <is>
          <t>VÄSTERBOTTENS LÄN</t>
        </is>
      </c>
      <c r="E9980" t="inlineStr">
        <is>
          <t>ÅSELE</t>
        </is>
      </c>
      <c r="F9980" t="inlineStr">
        <is>
          <t>SCA</t>
        </is>
      </c>
      <c r="G9980" t="n">
        <v>2.5</v>
      </c>
      <c r="H9980" t="n">
        <v>0</v>
      </c>
      <c r="I9980" t="n">
        <v>0</v>
      </c>
      <c r="J9980" t="n">
        <v>0</v>
      </c>
      <c r="K9980" t="n">
        <v>0</v>
      </c>
      <c r="L9980" t="n">
        <v>0</v>
      </c>
      <c r="M9980" t="n">
        <v>0</v>
      </c>
      <c r="N9980" t="n">
        <v>0</v>
      </c>
      <c r="O9980" t="n">
        <v>0</v>
      </c>
      <c r="P9980" t="n">
        <v>0</v>
      </c>
      <c r="Q9980" t="n">
        <v>0</v>
      </c>
      <c r="R9980" s="2" t="inlineStr"/>
    </row>
    <row r="9981" ht="15" customHeight="1">
      <c r="A9981" t="inlineStr">
        <is>
          <t>A 10533-2023</t>
        </is>
      </c>
      <c r="B9981" s="1" t="n">
        <v>44987.92349537037</v>
      </c>
      <c r="C9981" s="1" t="n">
        <v>46075</v>
      </c>
      <c r="D9981" t="inlineStr">
        <is>
          <t>VÄSTERBOTTENS LÄN</t>
        </is>
      </c>
      <c r="E9981" t="inlineStr">
        <is>
          <t>VÄNNÄS</t>
        </is>
      </c>
      <c r="G9981" t="n">
        <v>3</v>
      </c>
      <c r="H9981" t="n">
        <v>0</v>
      </c>
      <c r="I9981" t="n">
        <v>0</v>
      </c>
      <c r="J9981" t="n">
        <v>0</v>
      </c>
      <c r="K9981" t="n">
        <v>0</v>
      </c>
      <c r="L9981" t="n">
        <v>0</v>
      </c>
      <c r="M9981" t="n">
        <v>0</v>
      </c>
      <c r="N9981" t="n">
        <v>0</v>
      </c>
      <c r="O9981" t="n">
        <v>0</v>
      </c>
      <c r="P9981" t="n">
        <v>0</v>
      </c>
      <c r="Q9981" t="n">
        <v>0</v>
      </c>
      <c r="R9981" s="2" t="inlineStr"/>
    </row>
    <row r="9982" ht="15" customHeight="1">
      <c r="A9982" t="inlineStr">
        <is>
          <t>A 1497-2025</t>
        </is>
      </c>
      <c r="B9982" s="1" t="n">
        <v>45667</v>
      </c>
      <c r="C9982" s="1" t="n">
        <v>46075</v>
      </c>
      <c r="D9982" t="inlineStr">
        <is>
          <t>VÄSTERBOTTENS LÄN</t>
        </is>
      </c>
      <c r="E9982" t="inlineStr">
        <is>
          <t>MALÅ</t>
        </is>
      </c>
      <c r="F9982" t="inlineStr">
        <is>
          <t>Sveaskog</t>
        </is>
      </c>
      <c r="G9982" t="n">
        <v>13.1</v>
      </c>
      <c r="H9982" t="n">
        <v>0</v>
      </c>
      <c r="I9982" t="n">
        <v>0</v>
      </c>
      <c r="J9982" t="n">
        <v>0</v>
      </c>
      <c r="K9982" t="n">
        <v>0</v>
      </c>
      <c r="L9982" t="n">
        <v>0</v>
      </c>
      <c r="M9982" t="n">
        <v>0</v>
      </c>
      <c r="N9982" t="n">
        <v>0</v>
      </c>
      <c r="O9982" t="n">
        <v>0</v>
      </c>
      <c r="P9982" t="n">
        <v>0</v>
      </c>
      <c r="Q9982" t="n">
        <v>0</v>
      </c>
      <c r="R9982" s="2" t="inlineStr"/>
    </row>
    <row r="9983" ht="15" customHeight="1">
      <c r="A9983" t="inlineStr">
        <is>
          <t>A 62257-2023</t>
        </is>
      </c>
      <c r="B9983" s="1" t="n">
        <v>45267</v>
      </c>
      <c r="C9983" s="1" t="n">
        <v>46075</v>
      </c>
      <c r="D9983" t="inlineStr">
        <is>
          <t>VÄSTERBOTTENS LÄN</t>
        </is>
      </c>
      <c r="E9983" t="inlineStr">
        <is>
          <t>MALÅ</t>
        </is>
      </c>
      <c r="F9983" t="inlineStr">
        <is>
          <t>Sveaskog</t>
        </is>
      </c>
      <c r="G9983" t="n">
        <v>4.2</v>
      </c>
      <c r="H9983" t="n">
        <v>0</v>
      </c>
      <c r="I9983" t="n">
        <v>0</v>
      </c>
      <c r="J9983" t="n">
        <v>0</v>
      </c>
      <c r="K9983" t="n">
        <v>0</v>
      </c>
      <c r="L9983" t="n">
        <v>0</v>
      </c>
      <c r="M9983" t="n">
        <v>0</v>
      </c>
      <c r="N9983" t="n">
        <v>0</v>
      </c>
      <c r="O9983" t="n">
        <v>0</v>
      </c>
      <c r="P9983" t="n">
        <v>0</v>
      </c>
      <c r="Q9983" t="n">
        <v>0</v>
      </c>
      <c r="R9983" s="2" t="inlineStr"/>
    </row>
    <row r="9984" ht="15" customHeight="1">
      <c r="A9984" t="inlineStr">
        <is>
          <t>A 18520-2023</t>
        </is>
      </c>
      <c r="B9984" s="1" t="n">
        <v>45041</v>
      </c>
      <c r="C9984" s="1" t="n">
        <v>46075</v>
      </c>
      <c r="D9984" t="inlineStr">
        <is>
          <t>VÄSTERBOTTENS LÄN</t>
        </is>
      </c>
      <c r="E9984" t="inlineStr">
        <is>
          <t>UMEÅ</t>
        </is>
      </c>
      <c r="F9984" t="inlineStr">
        <is>
          <t>Kommuner</t>
        </is>
      </c>
      <c r="G9984" t="n">
        <v>1.8</v>
      </c>
      <c r="H9984" t="n">
        <v>0</v>
      </c>
      <c r="I9984" t="n">
        <v>0</v>
      </c>
      <c r="J9984" t="n">
        <v>0</v>
      </c>
      <c r="K9984" t="n">
        <v>0</v>
      </c>
      <c r="L9984" t="n">
        <v>0</v>
      </c>
      <c r="M9984" t="n">
        <v>0</v>
      </c>
      <c r="N9984" t="n">
        <v>0</v>
      </c>
      <c r="O9984" t="n">
        <v>0</v>
      </c>
      <c r="P9984" t="n">
        <v>0</v>
      </c>
      <c r="Q9984" t="n">
        <v>0</v>
      </c>
      <c r="R9984" s="2" t="inlineStr"/>
    </row>
    <row r="9985" ht="15" customHeight="1">
      <c r="A9985" t="inlineStr">
        <is>
          <t>A 9816-2023</t>
        </is>
      </c>
      <c r="B9985" s="1" t="n">
        <v>44978</v>
      </c>
      <c r="C9985" s="1" t="n">
        <v>46075</v>
      </c>
      <c r="D9985" t="inlineStr">
        <is>
          <t>VÄSTERBOTTENS LÄN</t>
        </is>
      </c>
      <c r="E9985" t="inlineStr">
        <is>
          <t>SORSELE</t>
        </is>
      </c>
      <c r="G9985" t="n">
        <v>2.1</v>
      </c>
      <c r="H9985" t="n">
        <v>0</v>
      </c>
      <c r="I9985" t="n">
        <v>0</v>
      </c>
      <c r="J9985" t="n">
        <v>0</v>
      </c>
      <c r="K9985" t="n">
        <v>0</v>
      </c>
      <c r="L9985" t="n">
        <v>0</v>
      </c>
      <c r="M9985" t="n">
        <v>0</v>
      </c>
      <c r="N9985" t="n">
        <v>0</v>
      </c>
      <c r="O9985" t="n">
        <v>0</v>
      </c>
      <c r="P9985" t="n">
        <v>0</v>
      </c>
      <c r="Q9985" t="n">
        <v>0</v>
      </c>
      <c r="R9985" s="2" t="inlineStr"/>
    </row>
    <row r="9986" ht="15" customHeight="1">
      <c r="A9986" t="inlineStr">
        <is>
          <t>A 19066-2023</t>
        </is>
      </c>
      <c r="B9986" s="1" t="n">
        <v>45043</v>
      </c>
      <c r="C9986" s="1" t="n">
        <v>46075</v>
      </c>
      <c r="D9986" t="inlineStr">
        <is>
          <t>VÄSTERBOTTENS LÄN</t>
        </is>
      </c>
      <c r="E9986" t="inlineStr">
        <is>
          <t>SKELLEFTEÅ</t>
        </is>
      </c>
      <c r="G9986" t="n">
        <v>2.7</v>
      </c>
      <c r="H9986" t="n">
        <v>0</v>
      </c>
      <c r="I9986" t="n">
        <v>0</v>
      </c>
      <c r="J9986" t="n">
        <v>0</v>
      </c>
      <c r="K9986" t="n">
        <v>0</v>
      </c>
      <c r="L9986" t="n">
        <v>0</v>
      </c>
      <c r="M9986" t="n">
        <v>0</v>
      </c>
      <c r="N9986" t="n">
        <v>0</v>
      </c>
      <c r="O9986" t="n">
        <v>0</v>
      </c>
      <c r="P9986" t="n">
        <v>0</v>
      </c>
      <c r="Q9986" t="n">
        <v>0</v>
      </c>
      <c r="R9986" s="2" t="inlineStr"/>
    </row>
    <row r="9987" ht="15" customHeight="1">
      <c r="A9987" t="inlineStr">
        <is>
          <t>A 33046-2024</t>
        </is>
      </c>
      <c r="B9987" s="1" t="n">
        <v>45517.61690972222</v>
      </c>
      <c r="C9987" s="1" t="n">
        <v>46075</v>
      </c>
      <c r="D9987" t="inlineStr">
        <is>
          <t>VÄSTERBOTTENS LÄN</t>
        </is>
      </c>
      <c r="E9987" t="inlineStr">
        <is>
          <t>VINDELN</t>
        </is>
      </c>
      <c r="F9987" t="inlineStr">
        <is>
          <t>Sveaskog</t>
        </is>
      </c>
      <c r="G9987" t="n">
        <v>10.2</v>
      </c>
      <c r="H9987" t="n">
        <v>0</v>
      </c>
      <c r="I9987" t="n">
        <v>0</v>
      </c>
      <c r="J9987" t="n">
        <v>0</v>
      </c>
      <c r="K9987" t="n">
        <v>0</v>
      </c>
      <c r="L9987" t="n">
        <v>0</v>
      </c>
      <c r="M9987" t="n">
        <v>0</v>
      </c>
      <c r="N9987" t="n">
        <v>0</v>
      </c>
      <c r="O9987" t="n">
        <v>0</v>
      </c>
      <c r="P9987" t="n">
        <v>0</v>
      </c>
      <c r="Q9987" t="n">
        <v>0</v>
      </c>
      <c r="R9987" s="2" t="inlineStr"/>
    </row>
    <row r="9988" ht="15" customHeight="1">
      <c r="A9988" t="inlineStr">
        <is>
          <t>A 256-2026</t>
        </is>
      </c>
      <c r="B9988" s="1" t="n">
        <v>46027.43188657407</v>
      </c>
      <c r="C9988" s="1" t="n">
        <v>46075</v>
      </c>
      <c r="D9988" t="inlineStr">
        <is>
          <t>VÄSTERBOTTENS LÄN</t>
        </is>
      </c>
      <c r="E9988" t="inlineStr">
        <is>
          <t>UMEÅ</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22-2026</t>
        </is>
      </c>
      <c r="B9989" s="1" t="n">
        <v>46023.84774305556</v>
      </c>
      <c r="C9989" s="1" t="n">
        <v>46075</v>
      </c>
      <c r="D9989" t="inlineStr">
        <is>
          <t>VÄSTERBOTTENS LÄN</t>
        </is>
      </c>
      <c r="E9989" t="inlineStr">
        <is>
          <t>BJURHOLM</t>
        </is>
      </c>
      <c r="G9989" t="n">
        <v>2.7</v>
      </c>
      <c r="H9989" t="n">
        <v>0</v>
      </c>
      <c r="I9989" t="n">
        <v>0</v>
      </c>
      <c r="J9989" t="n">
        <v>0</v>
      </c>
      <c r="K9989" t="n">
        <v>0</v>
      </c>
      <c r="L9989" t="n">
        <v>0</v>
      </c>
      <c r="M9989" t="n">
        <v>0</v>
      </c>
      <c r="N9989" t="n">
        <v>0</v>
      </c>
      <c r="O9989" t="n">
        <v>0</v>
      </c>
      <c r="P9989" t="n">
        <v>0</v>
      </c>
      <c r="Q9989" t="n">
        <v>0</v>
      </c>
      <c r="R9989" s="2" t="inlineStr"/>
    </row>
    <row r="9990" ht="15" customHeight="1">
      <c r="A9990" t="inlineStr">
        <is>
          <t>A 74-2025</t>
        </is>
      </c>
      <c r="B9990" s="1" t="n">
        <v>45659</v>
      </c>
      <c r="C9990" s="1" t="n">
        <v>46075</v>
      </c>
      <c r="D9990" t="inlineStr">
        <is>
          <t>VÄSTERBOTTENS LÄN</t>
        </is>
      </c>
      <c r="E9990" t="inlineStr">
        <is>
          <t>VILHELMINA</t>
        </is>
      </c>
      <c r="G9990" t="n">
        <v>5.9</v>
      </c>
      <c r="H9990" t="n">
        <v>0</v>
      </c>
      <c r="I9990" t="n">
        <v>0</v>
      </c>
      <c r="J9990" t="n">
        <v>0</v>
      </c>
      <c r="K9990" t="n">
        <v>0</v>
      </c>
      <c r="L9990" t="n">
        <v>0</v>
      </c>
      <c r="M9990" t="n">
        <v>0</v>
      </c>
      <c r="N9990" t="n">
        <v>0</v>
      </c>
      <c r="O9990" t="n">
        <v>0</v>
      </c>
      <c r="P9990" t="n">
        <v>0</v>
      </c>
      <c r="Q9990" t="n">
        <v>0</v>
      </c>
      <c r="R9990" s="2" t="inlineStr"/>
    </row>
    <row r="9991" ht="15" customHeight="1">
      <c r="A9991" t="inlineStr">
        <is>
          <t>A 78-2025</t>
        </is>
      </c>
      <c r="B9991" s="1" t="n">
        <v>45659</v>
      </c>
      <c r="C9991" s="1" t="n">
        <v>46075</v>
      </c>
      <c r="D9991" t="inlineStr">
        <is>
          <t>VÄSTERBOTTENS LÄN</t>
        </is>
      </c>
      <c r="E9991" t="inlineStr">
        <is>
          <t>VILHELMINA</t>
        </is>
      </c>
      <c r="G9991" t="n">
        <v>7.3</v>
      </c>
      <c r="H9991" t="n">
        <v>0</v>
      </c>
      <c r="I9991" t="n">
        <v>0</v>
      </c>
      <c r="J9991" t="n">
        <v>0</v>
      </c>
      <c r="K9991" t="n">
        <v>0</v>
      </c>
      <c r="L9991" t="n">
        <v>0</v>
      </c>
      <c r="M9991" t="n">
        <v>0</v>
      </c>
      <c r="N9991" t="n">
        <v>0</v>
      </c>
      <c r="O9991" t="n">
        <v>0</v>
      </c>
      <c r="P9991" t="n">
        <v>0</v>
      </c>
      <c r="Q9991" t="n">
        <v>0</v>
      </c>
      <c r="R9991" s="2" t="inlineStr"/>
    </row>
    <row r="9992" ht="15" customHeight="1">
      <c r="A9992" t="inlineStr">
        <is>
          <t>A 33194-2024</t>
        </is>
      </c>
      <c r="B9992" s="1" t="n">
        <v>45518</v>
      </c>
      <c r="C9992" s="1" t="n">
        <v>46075</v>
      </c>
      <c r="D9992" t="inlineStr">
        <is>
          <t>VÄSTERBOTTENS LÄN</t>
        </is>
      </c>
      <c r="E9992" t="inlineStr">
        <is>
          <t>ÅSELE</t>
        </is>
      </c>
      <c r="G9992" t="n">
        <v>2.7</v>
      </c>
      <c r="H9992" t="n">
        <v>0</v>
      </c>
      <c r="I9992" t="n">
        <v>0</v>
      </c>
      <c r="J9992" t="n">
        <v>0</v>
      </c>
      <c r="K9992" t="n">
        <v>0</v>
      </c>
      <c r="L9992" t="n">
        <v>0</v>
      </c>
      <c r="M9992" t="n">
        <v>0</v>
      </c>
      <c r="N9992" t="n">
        <v>0</v>
      </c>
      <c r="O9992" t="n">
        <v>0</v>
      </c>
      <c r="P9992" t="n">
        <v>0</v>
      </c>
      <c r="Q9992" t="n">
        <v>0</v>
      </c>
      <c r="R9992" s="2" t="inlineStr"/>
    </row>
    <row r="9993" ht="15" customHeight="1">
      <c r="A9993" t="inlineStr">
        <is>
          <t>A 6416-2026</t>
        </is>
      </c>
      <c r="B9993" s="1" t="n">
        <v>46055</v>
      </c>
      <c r="C9993" s="1" t="n">
        <v>46075</v>
      </c>
      <c r="D9993" t="inlineStr">
        <is>
          <t>VÄSTERBOTTENS LÄN</t>
        </is>
      </c>
      <c r="E9993" t="inlineStr">
        <is>
          <t>SKELLEFTEÅ</t>
        </is>
      </c>
      <c r="G9993" t="n">
        <v>2.5</v>
      </c>
      <c r="H9993" t="n">
        <v>0</v>
      </c>
      <c r="I9993" t="n">
        <v>0</v>
      </c>
      <c r="J9993" t="n">
        <v>0</v>
      </c>
      <c r="K9993" t="n">
        <v>0</v>
      </c>
      <c r="L9993" t="n">
        <v>0</v>
      </c>
      <c r="M9993" t="n">
        <v>0</v>
      </c>
      <c r="N9993" t="n">
        <v>0</v>
      </c>
      <c r="O9993" t="n">
        <v>0</v>
      </c>
      <c r="P9993" t="n">
        <v>0</v>
      </c>
      <c r="Q9993" t="n">
        <v>0</v>
      </c>
      <c r="R9993" s="2" t="inlineStr"/>
    </row>
    <row r="9994" ht="15" customHeight="1">
      <c r="A9994" t="inlineStr">
        <is>
          <t>A 4927-2025</t>
        </is>
      </c>
      <c r="B9994" s="1" t="n">
        <v>45688.68456018518</v>
      </c>
      <c r="C9994" s="1" t="n">
        <v>46075</v>
      </c>
      <c r="D9994" t="inlineStr">
        <is>
          <t>VÄSTERBOTTENS LÄN</t>
        </is>
      </c>
      <c r="E9994" t="inlineStr">
        <is>
          <t>MALÅ</t>
        </is>
      </c>
      <c r="G9994" t="n">
        <v>1.4</v>
      </c>
      <c r="H9994" t="n">
        <v>0</v>
      </c>
      <c r="I9994" t="n">
        <v>0</v>
      </c>
      <c r="J9994" t="n">
        <v>0</v>
      </c>
      <c r="K9994" t="n">
        <v>0</v>
      </c>
      <c r="L9994" t="n">
        <v>0</v>
      </c>
      <c r="M9994" t="n">
        <v>0</v>
      </c>
      <c r="N9994" t="n">
        <v>0</v>
      </c>
      <c r="O9994" t="n">
        <v>0</v>
      </c>
      <c r="P9994" t="n">
        <v>0</v>
      </c>
      <c r="Q9994" t="n">
        <v>0</v>
      </c>
      <c r="R9994" s="2" t="inlineStr"/>
    </row>
    <row r="9995" ht="15" customHeight="1">
      <c r="A9995" t="inlineStr">
        <is>
          <t>A 56444-2024</t>
        </is>
      </c>
      <c r="B9995" s="1" t="n">
        <v>45625.42461805556</v>
      </c>
      <c r="C9995" s="1" t="n">
        <v>46075</v>
      </c>
      <c r="D9995" t="inlineStr">
        <is>
          <t>VÄSTERBOTTENS LÄN</t>
        </is>
      </c>
      <c r="E9995" t="inlineStr">
        <is>
          <t>SKELLEFTEÅ</t>
        </is>
      </c>
      <c r="F9995" t="inlineStr">
        <is>
          <t>Holmen skog AB</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62585-2022</t>
        </is>
      </c>
      <c r="B9996" s="1" t="n">
        <v>44924.94068287037</v>
      </c>
      <c r="C9996" s="1" t="n">
        <v>46075</v>
      </c>
      <c r="D9996" t="inlineStr">
        <is>
          <t>VÄSTERBOTTENS LÄN</t>
        </is>
      </c>
      <c r="E9996" t="inlineStr">
        <is>
          <t>VINDELN</t>
        </is>
      </c>
      <c r="F9996" t="inlineStr">
        <is>
          <t>SCA</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46362-2024</t>
        </is>
      </c>
      <c r="B9997" s="1" t="n">
        <v>45582</v>
      </c>
      <c r="C9997" s="1" t="n">
        <v>46075</v>
      </c>
      <c r="D9997" t="inlineStr">
        <is>
          <t>VÄSTERBOTTENS LÄN</t>
        </is>
      </c>
      <c r="E9997" t="inlineStr">
        <is>
          <t>STORUMAN</t>
        </is>
      </c>
      <c r="G9997" t="n">
        <v>12.5</v>
      </c>
      <c r="H9997" t="n">
        <v>0</v>
      </c>
      <c r="I9997" t="n">
        <v>0</v>
      </c>
      <c r="J9997" t="n">
        <v>0</v>
      </c>
      <c r="K9997" t="n">
        <v>0</v>
      </c>
      <c r="L9997" t="n">
        <v>0</v>
      </c>
      <c r="M9997" t="n">
        <v>0</v>
      </c>
      <c r="N9997" t="n">
        <v>0</v>
      </c>
      <c r="O9997" t="n">
        <v>0</v>
      </c>
      <c r="P9997" t="n">
        <v>0</v>
      </c>
      <c r="Q9997" t="n">
        <v>0</v>
      </c>
      <c r="R9997" s="2" t="inlineStr"/>
    </row>
    <row r="9998" ht="15" customHeight="1">
      <c r="A9998" t="inlineStr">
        <is>
          <t>A 46363-2024</t>
        </is>
      </c>
      <c r="B9998" s="1" t="n">
        <v>45582</v>
      </c>
      <c r="C9998" s="1" t="n">
        <v>46075</v>
      </c>
      <c r="D9998" t="inlineStr">
        <is>
          <t>VÄSTERBOTTENS LÄN</t>
        </is>
      </c>
      <c r="E9998" t="inlineStr">
        <is>
          <t>STORUMAN</t>
        </is>
      </c>
      <c r="G9998" t="n">
        <v>5</v>
      </c>
      <c r="H9998" t="n">
        <v>0</v>
      </c>
      <c r="I9998" t="n">
        <v>0</v>
      </c>
      <c r="J9998" t="n">
        <v>0</v>
      </c>
      <c r="K9998" t="n">
        <v>0</v>
      </c>
      <c r="L9998" t="n">
        <v>0</v>
      </c>
      <c r="M9998" t="n">
        <v>0</v>
      </c>
      <c r="N9998" t="n">
        <v>0</v>
      </c>
      <c r="O9998" t="n">
        <v>0</v>
      </c>
      <c r="P9998" t="n">
        <v>0</v>
      </c>
      <c r="Q9998" t="n">
        <v>0</v>
      </c>
      <c r="R9998" s="2" t="inlineStr"/>
    </row>
    <row r="9999" ht="15" customHeight="1">
      <c r="A9999" t="inlineStr">
        <is>
          <t>A 47070-2024</t>
        </is>
      </c>
      <c r="B9999" s="1" t="n">
        <v>45586.48637731482</v>
      </c>
      <c r="C9999" s="1" t="n">
        <v>46075</v>
      </c>
      <c r="D9999" t="inlineStr">
        <is>
          <t>VÄSTERBOTTENS LÄN</t>
        </is>
      </c>
      <c r="E9999" t="inlineStr">
        <is>
          <t>NORDMALING</t>
        </is>
      </c>
      <c r="G9999" t="n">
        <v>0.4</v>
      </c>
      <c r="H9999" t="n">
        <v>0</v>
      </c>
      <c r="I9999" t="n">
        <v>0</v>
      </c>
      <c r="J9999" t="n">
        <v>0</v>
      </c>
      <c r="K9999" t="n">
        <v>0</v>
      </c>
      <c r="L9999" t="n">
        <v>0</v>
      </c>
      <c r="M9999" t="n">
        <v>0</v>
      </c>
      <c r="N9999" t="n">
        <v>0</v>
      </c>
      <c r="O9999" t="n">
        <v>0</v>
      </c>
      <c r="P9999" t="n">
        <v>0</v>
      </c>
      <c r="Q9999" t="n">
        <v>0</v>
      </c>
      <c r="R9999" s="2" t="inlineStr"/>
    </row>
    <row r="10000" ht="15" customHeight="1">
      <c r="A10000" t="inlineStr">
        <is>
          <t>A 31928-2024</t>
        </is>
      </c>
      <c r="B10000" s="1" t="n">
        <v>45510.40539351852</v>
      </c>
      <c r="C10000" s="1" t="n">
        <v>46075</v>
      </c>
      <c r="D10000" t="inlineStr">
        <is>
          <t>VÄSTERBOTTENS LÄN</t>
        </is>
      </c>
      <c r="E10000" t="inlineStr">
        <is>
          <t>UMEÅ</t>
        </is>
      </c>
      <c r="F10000" t="inlineStr">
        <is>
          <t>Holmen skog AB</t>
        </is>
      </c>
      <c r="G10000" t="n">
        <v>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32502-2024</t>
        </is>
      </c>
      <c r="B10001" s="1" t="n">
        <v>45513</v>
      </c>
      <c r="C10001" s="1" t="n">
        <v>46075</v>
      </c>
      <c r="D10001" t="inlineStr">
        <is>
          <t>VÄSTERBOTTENS LÄN</t>
        </is>
      </c>
      <c r="E10001" t="inlineStr">
        <is>
          <t>BJURHOLM</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8758-2026</t>
        </is>
      </c>
      <c r="B10002" s="1" t="n">
        <v>46066.55392361111</v>
      </c>
      <c r="C10002" s="1" t="n">
        <v>46075</v>
      </c>
      <c r="D10002" t="inlineStr">
        <is>
          <t>VÄSTERBOTTENS LÄN</t>
        </is>
      </c>
      <c r="E10002" t="inlineStr">
        <is>
          <t>STORUMAN</t>
        </is>
      </c>
      <c r="F10002" t="inlineStr">
        <is>
          <t>SCA</t>
        </is>
      </c>
      <c r="G10002" t="n">
        <v>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32570-2024</t>
        </is>
      </c>
      <c r="B10003" s="1" t="n">
        <v>45513.56297453704</v>
      </c>
      <c r="C10003" s="1" t="n">
        <v>46075</v>
      </c>
      <c r="D10003" t="inlineStr">
        <is>
          <t>VÄSTERBOTTENS LÄN</t>
        </is>
      </c>
      <c r="E10003" t="inlineStr">
        <is>
          <t>VINDELN</t>
        </is>
      </c>
      <c r="F10003" t="inlineStr">
        <is>
          <t>Holmen skog AB</t>
        </is>
      </c>
      <c r="G10003" t="n">
        <v>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12990-2025</t>
        </is>
      </c>
      <c r="B10004" s="1" t="n">
        <v>45734</v>
      </c>
      <c r="C10004" s="1" t="n">
        <v>46075</v>
      </c>
      <c r="D10004" t="inlineStr">
        <is>
          <t>VÄSTERBOTTENS LÄN</t>
        </is>
      </c>
      <c r="E10004" t="inlineStr">
        <is>
          <t>VILHELMINA</t>
        </is>
      </c>
      <c r="G10004" t="n">
        <v>11.2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278-2026</t>
        </is>
      </c>
      <c r="B10005" s="1" t="n">
        <v>46027</v>
      </c>
      <c r="C10005" s="1" t="n">
        <v>46075</v>
      </c>
      <c r="D10005" t="inlineStr">
        <is>
          <t>VÄSTERBOTTENS LÄN</t>
        </is>
      </c>
      <c r="E10005" t="inlineStr">
        <is>
          <t>MALÅ</t>
        </is>
      </c>
      <c r="G10005" t="n">
        <v>2.1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300-2026</t>
        </is>
      </c>
      <c r="B10006" s="1" t="n">
        <v>46027.5158912037</v>
      </c>
      <c r="C10006" s="1" t="n">
        <v>46075</v>
      </c>
      <c r="D10006" t="inlineStr">
        <is>
          <t>VÄSTERBOTTENS LÄN</t>
        </is>
      </c>
      <c r="E10006" t="inlineStr">
        <is>
          <t>ROBERTSFORS</t>
        </is>
      </c>
      <c r="G10006" t="n">
        <v>0.5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45690-2024</t>
        </is>
      </c>
      <c r="B10007" s="1" t="n">
        <v>45579</v>
      </c>
      <c r="C10007" s="1" t="n">
        <v>46075</v>
      </c>
      <c r="D10007" t="inlineStr">
        <is>
          <t>VÄSTERBOTTENS LÄN</t>
        </is>
      </c>
      <c r="E10007" t="inlineStr">
        <is>
          <t>SKELLEFTEÅ</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45693-2024</t>
        </is>
      </c>
      <c r="B10008" s="1" t="n">
        <v>45579.555625</v>
      </c>
      <c r="C10008" s="1" t="n">
        <v>46075</v>
      </c>
      <c r="D10008" t="inlineStr">
        <is>
          <t>VÄSTERBOTTENS LÄN</t>
        </is>
      </c>
      <c r="E10008" t="inlineStr">
        <is>
          <t>NORSJÖ</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45708-2024</t>
        </is>
      </c>
      <c r="B10009" s="1" t="n">
        <v>45579.5771875</v>
      </c>
      <c r="C10009" s="1" t="n">
        <v>46075</v>
      </c>
      <c r="D10009" t="inlineStr">
        <is>
          <t>VÄSTERBOTTENS LÄN</t>
        </is>
      </c>
      <c r="E10009" t="inlineStr">
        <is>
          <t>LYCKSELE</t>
        </is>
      </c>
      <c r="G10009" t="n">
        <v>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45797-2024</t>
        </is>
      </c>
      <c r="B10010" s="1" t="n">
        <v>45579.67520833333</v>
      </c>
      <c r="C10010" s="1" t="n">
        <v>46075</v>
      </c>
      <c r="D10010" t="inlineStr">
        <is>
          <t>VÄSTERBOTTENS LÄN</t>
        </is>
      </c>
      <c r="E10010" t="inlineStr">
        <is>
          <t>UMEÅ</t>
        </is>
      </c>
      <c r="F10010" t="inlineStr">
        <is>
          <t>Holmen skog AB</t>
        </is>
      </c>
      <c r="G10010" t="n">
        <v>2.2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62721-2023</t>
        </is>
      </c>
      <c r="B10011" s="1" t="n">
        <v>45271</v>
      </c>
      <c r="C10011" s="1" t="n">
        <v>46075</v>
      </c>
      <c r="D10011" t="inlineStr">
        <is>
          <t>VÄSTERBOTTENS LÄN</t>
        </is>
      </c>
      <c r="E10011" t="inlineStr">
        <is>
          <t>UMEÅ</t>
        </is>
      </c>
      <c r="G10011" t="n">
        <v>0.9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13009-2024</t>
        </is>
      </c>
      <c r="B10012" s="1" t="n">
        <v>45385.57305555556</v>
      </c>
      <c r="C10012" s="1" t="n">
        <v>46075</v>
      </c>
      <c r="D10012" t="inlineStr">
        <is>
          <t>VÄSTERBOTTENS LÄN</t>
        </is>
      </c>
      <c r="E10012" t="inlineStr">
        <is>
          <t>VINDELN</t>
        </is>
      </c>
      <c r="G10012" t="n">
        <v>0.3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10331-2023</t>
        </is>
      </c>
      <c r="B10013" s="1" t="n">
        <v>44980</v>
      </c>
      <c r="C10013" s="1" t="n">
        <v>46075</v>
      </c>
      <c r="D10013" t="inlineStr">
        <is>
          <t>VÄSTERBOTTENS LÄN</t>
        </is>
      </c>
      <c r="E10013" t="inlineStr">
        <is>
          <t>LYCKSELE</t>
        </is>
      </c>
      <c r="G10013" t="n">
        <v>1.8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15161-2025</t>
        </is>
      </c>
      <c r="B10014" s="1" t="n">
        <v>45744</v>
      </c>
      <c r="C10014" s="1" t="n">
        <v>46075</v>
      </c>
      <c r="D10014" t="inlineStr">
        <is>
          <t>VÄSTERBOTTENS LÄN</t>
        </is>
      </c>
      <c r="E10014" t="inlineStr">
        <is>
          <t>UMEÅ</t>
        </is>
      </c>
      <c r="F10014" t="inlineStr">
        <is>
          <t>Kommuner</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35453-2025</t>
        </is>
      </c>
      <c r="B10015" s="1" t="n">
        <v>45855</v>
      </c>
      <c r="C10015" s="1" t="n">
        <v>46075</v>
      </c>
      <c r="D10015" t="inlineStr">
        <is>
          <t>VÄSTERBOTTENS LÄN</t>
        </is>
      </c>
      <c r="E10015" t="inlineStr">
        <is>
          <t>ÅSELE</t>
        </is>
      </c>
      <c r="G10015" t="n">
        <v>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41108-2023</t>
        </is>
      </c>
      <c r="B10016" s="1" t="n">
        <v>45170</v>
      </c>
      <c r="C10016" s="1" t="n">
        <v>46075</v>
      </c>
      <c r="D10016" t="inlineStr">
        <is>
          <t>VÄSTERBOTTENS LÄN</t>
        </is>
      </c>
      <c r="E10016" t="inlineStr">
        <is>
          <t>STORUMAN</t>
        </is>
      </c>
      <c r="G10016" t="n">
        <v>9.699999999999999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11291-2023</t>
        </is>
      </c>
      <c r="B10017" s="1" t="n">
        <v>44992</v>
      </c>
      <c r="C10017" s="1" t="n">
        <v>46075</v>
      </c>
      <c r="D10017" t="inlineStr">
        <is>
          <t>VÄSTERBOTTENS LÄN</t>
        </is>
      </c>
      <c r="E10017" t="inlineStr">
        <is>
          <t>ÅSELE</t>
        </is>
      </c>
      <c r="G10017" t="n">
        <v>0.5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63980-2021</t>
        </is>
      </c>
      <c r="B10018" s="1" t="n">
        <v>44509</v>
      </c>
      <c r="C10018" s="1" t="n">
        <v>46075</v>
      </c>
      <c r="D10018" t="inlineStr">
        <is>
          <t>VÄSTERBOTTENS LÄN</t>
        </is>
      </c>
      <c r="E10018" t="inlineStr">
        <is>
          <t>VÄNNÄS</t>
        </is>
      </c>
      <c r="G10018" t="n">
        <v>2.4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24505-2022</t>
        </is>
      </c>
      <c r="B10019" s="1" t="n">
        <v>44726.92622685185</v>
      </c>
      <c r="C10019" s="1" t="n">
        <v>46075</v>
      </c>
      <c r="D10019" t="inlineStr">
        <is>
          <t>VÄSTERBOTTENS LÄN</t>
        </is>
      </c>
      <c r="E10019" t="inlineStr">
        <is>
          <t>SKELLEFTEÅ</t>
        </is>
      </c>
      <c r="G10019" t="n">
        <v>1.7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55315-2024</t>
        </is>
      </c>
      <c r="B10020" s="1" t="n">
        <v>45621.6587037037</v>
      </c>
      <c r="C10020" s="1" t="n">
        <v>46075</v>
      </c>
      <c r="D10020" t="inlineStr">
        <is>
          <t>VÄSTERBOTTENS LÄN</t>
        </is>
      </c>
      <c r="E10020" t="inlineStr">
        <is>
          <t>LYCKSELE</t>
        </is>
      </c>
      <c r="G10020" t="n">
        <v>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51943-2023</t>
        </is>
      </c>
      <c r="B10021" s="1" t="n">
        <v>45223</v>
      </c>
      <c r="C10021" s="1" t="n">
        <v>46075</v>
      </c>
      <c r="D10021" t="inlineStr">
        <is>
          <t>VÄSTERBOTTENS LÄN</t>
        </is>
      </c>
      <c r="E10021" t="inlineStr">
        <is>
          <t>LYCKSELE</t>
        </is>
      </c>
      <c r="G10021" t="n">
        <v>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30745-2024</t>
        </is>
      </c>
      <c r="B10022" s="1" t="n">
        <v>45496</v>
      </c>
      <c r="C10022" s="1" t="n">
        <v>46075</v>
      </c>
      <c r="D10022" t="inlineStr">
        <is>
          <t>VÄSTERBOTTENS LÄN</t>
        </is>
      </c>
      <c r="E10022" t="inlineStr">
        <is>
          <t>STORUMAN</t>
        </is>
      </c>
      <c r="G10022" t="n">
        <v>3.7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8717-2026</t>
        </is>
      </c>
      <c r="B10023" s="1" t="n">
        <v>46065</v>
      </c>
      <c r="C10023" s="1" t="n">
        <v>46075</v>
      </c>
      <c r="D10023" t="inlineStr">
        <is>
          <t>VÄSTERBOTTENS LÄN</t>
        </is>
      </c>
      <c r="E10023" t="inlineStr">
        <is>
          <t>SKELLEFTEÅ</t>
        </is>
      </c>
      <c r="G10023" t="n">
        <v>0.8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42601-2024</t>
        </is>
      </c>
      <c r="B10024" s="1" t="n">
        <v>45565</v>
      </c>
      <c r="C10024" s="1" t="n">
        <v>46075</v>
      </c>
      <c r="D10024" t="inlineStr">
        <is>
          <t>VÄSTERBOTTENS LÄN</t>
        </is>
      </c>
      <c r="E10024" t="inlineStr">
        <is>
          <t>ÅSELE</t>
        </is>
      </c>
      <c r="F10024" t="inlineStr">
        <is>
          <t>Holmen skog AB</t>
        </is>
      </c>
      <c r="G10024" t="n">
        <v>8.6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27028-2022</t>
        </is>
      </c>
      <c r="B10025" s="1" t="n">
        <v>44740</v>
      </c>
      <c r="C10025" s="1" t="n">
        <v>46075</v>
      </c>
      <c r="D10025" t="inlineStr">
        <is>
          <t>VÄSTERBOTTENS LÄN</t>
        </is>
      </c>
      <c r="E10025" t="inlineStr">
        <is>
          <t>SKELLEFTEÅ</t>
        </is>
      </c>
      <c r="F10025" t="inlineStr">
        <is>
          <t>SCA</t>
        </is>
      </c>
      <c r="G10025" t="n">
        <v>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17359-2023</t>
        </is>
      </c>
      <c r="B10026" s="1" t="n">
        <v>45033</v>
      </c>
      <c r="C10026" s="1" t="n">
        <v>46075</v>
      </c>
      <c r="D10026" t="inlineStr">
        <is>
          <t>VÄSTERBOTTENS LÄN</t>
        </is>
      </c>
      <c r="E10026" t="inlineStr">
        <is>
          <t>UMEÅ</t>
        </is>
      </c>
      <c r="F10026" t="inlineStr">
        <is>
          <t>Kommuner</t>
        </is>
      </c>
      <c r="G10026" t="n">
        <v>2.6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2877-2026</t>
        </is>
      </c>
      <c r="B10027" s="1" t="n">
        <v>46038</v>
      </c>
      <c r="C10027" s="1" t="n">
        <v>46075</v>
      </c>
      <c r="D10027" t="inlineStr">
        <is>
          <t>VÄSTERBOTTENS LÄN</t>
        </is>
      </c>
      <c r="E10027" t="inlineStr">
        <is>
          <t>SKELLEFTEÅ</t>
        </is>
      </c>
      <c r="G10027" t="n">
        <v>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31762-2024</t>
        </is>
      </c>
      <c r="B10028" s="1" t="n">
        <v>45509.45523148148</v>
      </c>
      <c r="C10028" s="1" t="n">
        <v>46075</v>
      </c>
      <c r="D10028" t="inlineStr">
        <is>
          <t>VÄSTERBOTTENS LÄN</t>
        </is>
      </c>
      <c r="E10028" t="inlineStr">
        <is>
          <t>VINDELN</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42228-2024</t>
        </is>
      </c>
      <c r="B10029" s="1" t="n">
        <v>45562.55240740741</v>
      </c>
      <c r="C10029" s="1" t="n">
        <v>46075</v>
      </c>
      <c r="D10029" t="inlineStr">
        <is>
          <t>VÄSTERBOTTENS LÄN</t>
        </is>
      </c>
      <c r="E10029" t="inlineStr">
        <is>
          <t>DOROTEA</t>
        </is>
      </c>
      <c r="F10029" t="inlineStr">
        <is>
          <t>SCA</t>
        </is>
      </c>
      <c r="G10029" t="n">
        <v>7.7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9030-2026</t>
        </is>
      </c>
      <c r="B10030" s="1" t="n">
        <v>46069.5141087963</v>
      </c>
      <c r="C10030" s="1" t="n">
        <v>46075</v>
      </c>
      <c r="D10030" t="inlineStr">
        <is>
          <t>VÄSTERBOTTENS LÄN</t>
        </is>
      </c>
      <c r="E10030" t="inlineStr">
        <is>
          <t>UMEÅ</t>
        </is>
      </c>
      <c r="G10030" t="n">
        <v>0.8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31441-2024</t>
        </is>
      </c>
      <c r="B10031" s="1" t="n">
        <v>45505</v>
      </c>
      <c r="C10031" s="1" t="n">
        <v>46075</v>
      </c>
      <c r="D10031" t="inlineStr">
        <is>
          <t>VÄSTERBOTTENS LÄN</t>
        </is>
      </c>
      <c r="E10031" t="inlineStr">
        <is>
          <t>UMEÅ</t>
        </is>
      </c>
      <c r="G10031" t="n">
        <v>2.7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32104-2024</t>
        </is>
      </c>
      <c r="B10032" s="1" t="n">
        <v>45511.4325925926</v>
      </c>
      <c r="C10032" s="1" t="n">
        <v>46075</v>
      </c>
      <c r="D10032" t="inlineStr">
        <is>
          <t>VÄSTERBOTTENS LÄN</t>
        </is>
      </c>
      <c r="E10032" t="inlineStr">
        <is>
          <t>ROBERTSFORS</t>
        </is>
      </c>
      <c r="G10032" t="n">
        <v>1.6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38250-2023</t>
        </is>
      </c>
      <c r="B10033" s="1" t="n">
        <v>45161.58166666667</v>
      </c>
      <c r="C10033" s="1" t="n">
        <v>46075</v>
      </c>
      <c r="D10033" t="inlineStr">
        <is>
          <t>VÄSTERBOTTENS LÄN</t>
        </is>
      </c>
      <c r="E10033" t="inlineStr">
        <is>
          <t>LYCKSELE</t>
        </is>
      </c>
      <c r="G10033" t="n">
        <v>2.5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62064-2024</t>
        </is>
      </c>
      <c r="B10034" s="1" t="n">
        <v>45656</v>
      </c>
      <c r="C10034" s="1" t="n">
        <v>46075</v>
      </c>
      <c r="D10034" t="inlineStr">
        <is>
          <t>VÄSTERBOTTENS LÄN</t>
        </is>
      </c>
      <c r="E10034" t="inlineStr">
        <is>
          <t>SKELLEFTEÅ</t>
        </is>
      </c>
      <c r="G10034" t="n">
        <v>2.5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8621-2026</t>
        </is>
      </c>
      <c r="B10035" s="1" t="n">
        <v>46066.31010416667</v>
      </c>
      <c r="C10035" s="1" t="n">
        <v>46075</v>
      </c>
      <c r="D10035" t="inlineStr">
        <is>
          <t>VÄSTERBOTTENS LÄN</t>
        </is>
      </c>
      <c r="E10035" t="inlineStr">
        <is>
          <t>ROBERTSFORS</t>
        </is>
      </c>
      <c r="G10035" t="n">
        <v>8.6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8757-2026</t>
        </is>
      </c>
      <c r="B10036" s="1" t="n">
        <v>46066.55268518518</v>
      </c>
      <c r="C10036" s="1" t="n">
        <v>46075</v>
      </c>
      <c r="D10036" t="inlineStr">
        <is>
          <t>VÄSTERBOTTENS LÄN</t>
        </is>
      </c>
      <c r="E10036" t="inlineStr">
        <is>
          <t>MALÅ</t>
        </is>
      </c>
      <c r="F10036" t="inlineStr">
        <is>
          <t>SCA</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8796-2026</t>
        </is>
      </c>
      <c r="B10037" s="1" t="n">
        <v>46066.59456018519</v>
      </c>
      <c r="C10037" s="1" t="n">
        <v>46075</v>
      </c>
      <c r="D10037" t="inlineStr">
        <is>
          <t>VÄSTERBOTTENS LÄN</t>
        </is>
      </c>
      <c r="E10037" t="inlineStr">
        <is>
          <t>BJURHOLM</t>
        </is>
      </c>
      <c r="G10037" t="n">
        <v>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11199-2024</t>
        </is>
      </c>
      <c r="B10038" s="1" t="n">
        <v>45371.55444444445</v>
      </c>
      <c r="C10038" s="1" t="n">
        <v>46075</v>
      </c>
      <c r="D10038" t="inlineStr">
        <is>
          <t>VÄSTERBOTTENS LÄN</t>
        </is>
      </c>
      <c r="E10038" t="inlineStr">
        <is>
          <t>LYCKSELE</t>
        </is>
      </c>
      <c r="F10038" t="inlineStr">
        <is>
          <t>Holmen skog AB</t>
        </is>
      </c>
      <c r="G10038" t="n">
        <v>55.8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18199-2024</t>
        </is>
      </c>
      <c r="B10039" s="1" t="n">
        <v>45420</v>
      </c>
      <c r="C10039" s="1" t="n">
        <v>46075</v>
      </c>
      <c r="D10039" t="inlineStr">
        <is>
          <t>VÄSTERBOTTENS LÄN</t>
        </is>
      </c>
      <c r="E10039" t="inlineStr">
        <is>
          <t>ROBERTSFORS</t>
        </is>
      </c>
      <c r="F10039" t="inlineStr">
        <is>
          <t>Holmen skog AB</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8921-2026</t>
        </is>
      </c>
      <c r="B10040" s="1" t="n">
        <v>46069.33297453704</v>
      </c>
      <c r="C10040" s="1" t="n">
        <v>46075</v>
      </c>
      <c r="D10040" t="inlineStr">
        <is>
          <t>VÄSTERBOTTENS LÄN</t>
        </is>
      </c>
      <c r="E10040" t="inlineStr">
        <is>
          <t>UMEÅ</t>
        </is>
      </c>
      <c r="G10040" t="n">
        <v>3.6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59605-2022</t>
        </is>
      </c>
      <c r="B10041" s="1" t="n">
        <v>44907</v>
      </c>
      <c r="C10041" s="1" t="n">
        <v>46075</v>
      </c>
      <c r="D10041" t="inlineStr">
        <is>
          <t>VÄSTERBOTTENS LÄN</t>
        </is>
      </c>
      <c r="E10041" t="inlineStr">
        <is>
          <t>NORDMALING</t>
        </is>
      </c>
      <c r="G10041" t="n">
        <v>0.4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8681-2026</t>
        </is>
      </c>
      <c r="B10042" s="1" t="n">
        <v>46066.41885416667</v>
      </c>
      <c r="C10042" s="1" t="n">
        <v>46075</v>
      </c>
      <c r="D10042" t="inlineStr">
        <is>
          <t>VÄSTERBOTTENS LÄN</t>
        </is>
      </c>
      <c r="E10042" t="inlineStr">
        <is>
          <t>NORDMALING</t>
        </is>
      </c>
      <c r="G10042" t="n">
        <v>9.699999999999999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9454-2026</t>
        </is>
      </c>
      <c r="B10043" s="1" t="n">
        <v>46071.48370370371</v>
      </c>
      <c r="C10043" s="1" t="n">
        <v>46075</v>
      </c>
      <c r="D10043" t="inlineStr">
        <is>
          <t>VÄSTERBOTTENS LÄN</t>
        </is>
      </c>
      <c r="E10043" t="inlineStr">
        <is>
          <t>UMEÅ</t>
        </is>
      </c>
      <c r="G10043" t="n">
        <v>0.4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37984-2021</t>
        </is>
      </c>
      <c r="B10044" s="1" t="n">
        <v>44403</v>
      </c>
      <c r="C10044" s="1" t="n">
        <v>46075</v>
      </c>
      <c r="D10044" t="inlineStr">
        <is>
          <t>VÄSTERBOTTENS LÄN</t>
        </is>
      </c>
      <c r="E10044" t="inlineStr">
        <is>
          <t>LYCKSELE</t>
        </is>
      </c>
      <c r="G10044" t="n">
        <v>0.5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47007-2024</t>
        </is>
      </c>
      <c r="B10045" s="1" t="n">
        <v>45586.38399305556</v>
      </c>
      <c r="C10045" s="1" t="n">
        <v>46075</v>
      </c>
      <c r="D10045" t="inlineStr">
        <is>
          <t>VÄSTERBOTTENS LÄN</t>
        </is>
      </c>
      <c r="E10045" t="inlineStr">
        <is>
          <t>SKELLEFTEÅ</t>
        </is>
      </c>
      <c r="G10045" t="n">
        <v>22.2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9200-2026</t>
        </is>
      </c>
      <c r="B10046" s="1" t="n">
        <v>46070.40694444445</v>
      </c>
      <c r="C10046" s="1" t="n">
        <v>46075</v>
      </c>
      <c r="D10046" t="inlineStr">
        <is>
          <t>VÄSTERBOTTENS LÄN</t>
        </is>
      </c>
      <c r="E10046" t="inlineStr">
        <is>
          <t>VINDELN</t>
        </is>
      </c>
      <c r="F10046" t="inlineStr">
        <is>
          <t>SCA</t>
        </is>
      </c>
      <c r="G10046" t="n">
        <v>16.4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9217-2026</t>
        </is>
      </c>
      <c r="B10047" s="1" t="n">
        <v>46070</v>
      </c>
      <c r="C10047" s="1" t="n">
        <v>46075</v>
      </c>
      <c r="D10047" t="inlineStr">
        <is>
          <t>VÄSTERBOTTENS LÄN</t>
        </is>
      </c>
      <c r="E10047" t="inlineStr">
        <is>
          <t>VINDELN</t>
        </is>
      </c>
      <c r="F10047" t="inlineStr">
        <is>
          <t>Sveaskog</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41562-2024</t>
        </is>
      </c>
      <c r="B10048" s="1" t="n">
        <v>45560.53184027778</v>
      </c>
      <c r="C10048" s="1" t="n">
        <v>46075</v>
      </c>
      <c r="D10048" t="inlineStr">
        <is>
          <t>VÄSTERBOTTENS LÄN</t>
        </is>
      </c>
      <c r="E10048" t="inlineStr">
        <is>
          <t>DOROTEA</t>
        </is>
      </c>
      <c r="F10048" t="inlineStr">
        <is>
          <t>SCA</t>
        </is>
      </c>
      <c r="G10048" t="n">
        <v>2.1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40210-2022</t>
        </is>
      </c>
      <c r="B10049" s="1" t="n">
        <v>44820</v>
      </c>
      <c r="C10049" s="1" t="n">
        <v>46075</v>
      </c>
      <c r="D10049" t="inlineStr">
        <is>
          <t>VÄSTERBOTTENS LÄN</t>
        </is>
      </c>
      <c r="E10049" t="inlineStr">
        <is>
          <t>NORDMALING</t>
        </is>
      </c>
      <c r="G10049" t="n">
        <v>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44626-2023</t>
        </is>
      </c>
      <c r="B10050" s="1" t="n">
        <v>45184</v>
      </c>
      <c r="C10050" s="1" t="n">
        <v>46075</v>
      </c>
      <c r="D10050" t="inlineStr">
        <is>
          <t>VÄSTERBOTTENS LÄN</t>
        </is>
      </c>
      <c r="E10050" t="inlineStr">
        <is>
          <t>MALÅ</t>
        </is>
      </c>
      <c r="G10050" t="n">
        <v>2.9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5288-2026</t>
        </is>
      </c>
      <c r="B10051" s="1" t="n">
        <v>46050</v>
      </c>
      <c r="C10051" s="1" t="n">
        <v>46075</v>
      </c>
      <c r="D10051" t="inlineStr">
        <is>
          <t>VÄSTERBOTTENS LÄN</t>
        </is>
      </c>
      <c r="E10051" t="inlineStr">
        <is>
          <t>ROBERTSFORS</t>
        </is>
      </c>
      <c r="G10051" t="n">
        <v>6.8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52475-2022</t>
        </is>
      </c>
      <c r="B10052" s="1" t="n">
        <v>44869</v>
      </c>
      <c r="C10052" s="1" t="n">
        <v>46075</v>
      </c>
      <c r="D10052" t="inlineStr">
        <is>
          <t>VÄSTERBOTTENS LÄN</t>
        </is>
      </c>
      <c r="E10052" t="inlineStr">
        <is>
          <t>SKELLEFTEÅ</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9377-2026</t>
        </is>
      </c>
      <c r="B10053" s="1" t="n">
        <v>46070.91310185185</v>
      </c>
      <c r="C10053" s="1" t="n">
        <v>46075</v>
      </c>
      <c r="D10053" t="inlineStr">
        <is>
          <t>VÄSTERBOTTENS LÄN</t>
        </is>
      </c>
      <c r="E10053" t="inlineStr">
        <is>
          <t>UMEÅ</t>
        </is>
      </c>
      <c r="G10053" t="n">
        <v>9.1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9525-2026</t>
        </is>
      </c>
      <c r="B10054" s="1" t="n">
        <v>46071.60148148148</v>
      </c>
      <c r="C10054" s="1" t="n">
        <v>46075</v>
      </c>
      <c r="D10054" t="inlineStr">
        <is>
          <t>VÄSTERBOTTENS LÄN</t>
        </is>
      </c>
      <c r="E10054" t="inlineStr">
        <is>
          <t>VÄNNÄS</t>
        </is>
      </c>
      <c r="G10054" t="n">
        <v>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5289-2026</t>
        </is>
      </c>
      <c r="B10055" s="1" t="n">
        <v>46050.34459490741</v>
      </c>
      <c r="C10055" s="1" t="n">
        <v>46075</v>
      </c>
      <c r="D10055" t="inlineStr">
        <is>
          <t>VÄSTERBOTTENS LÄN</t>
        </is>
      </c>
      <c r="E10055" t="inlineStr">
        <is>
          <t>ROBERTSFORS</t>
        </is>
      </c>
      <c r="G10055" t="n">
        <v>2.1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42181-2023</t>
        </is>
      </c>
      <c r="B10056" s="1" t="n">
        <v>45178.92329861111</v>
      </c>
      <c r="C10056" s="1" t="n">
        <v>46075</v>
      </c>
      <c r="D10056" t="inlineStr">
        <is>
          <t>VÄSTERBOTTENS LÄN</t>
        </is>
      </c>
      <c r="E10056" t="inlineStr">
        <is>
          <t>NORSJÖ</t>
        </is>
      </c>
      <c r="G10056" t="n">
        <v>0.6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9222-2026</t>
        </is>
      </c>
      <c r="B10057" s="1" t="n">
        <v>46070.44840277778</v>
      </c>
      <c r="C10057" s="1" t="n">
        <v>46075</v>
      </c>
      <c r="D10057" t="inlineStr">
        <is>
          <t>VÄSTERBOTTENS LÄN</t>
        </is>
      </c>
      <c r="E10057" t="inlineStr">
        <is>
          <t>VINDELN</t>
        </is>
      </c>
      <c r="F10057" t="inlineStr">
        <is>
          <t>SCA</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57194-2024</t>
        </is>
      </c>
      <c r="B10058" s="1" t="n">
        <v>45629.46908564815</v>
      </c>
      <c r="C10058" s="1" t="n">
        <v>46075</v>
      </c>
      <c r="D10058" t="inlineStr">
        <is>
          <t>VÄSTERBOTTENS LÄN</t>
        </is>
      </c>
      <c r="E10058" t="inlineStr">
        <is>
          <t>VINDELN</t>
        </is>
      </c>
      <c r="F10058" t="inlineStr">
        <is>
          <t>SCA</t>
        </is>
      </c>
      <c r="G10058" t="n">
        <v>15.9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494-2026</t>
        </is>
      </c>
      <c r="B10059" s="1" t="n">
        <v>46029.42859953704</v>
      </c>
      <c r="C10059" s="1" t="n">
        <v>46075</v>
      </c>
      <c r="D10059" t="inlineStr">
        <is>
          <t>VÄSTERBOTTENS LÄN</t>
        </is>
      </c>
      <c r="E10059" t="inlineStr">
        <is>
          <t>NORDMALING</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464-2026</t>
        </is>
      </c>
      <c r="B10060" s="1" t="n">
        <v>46029.38431712963</v>
      </c>
      <c r="C10060" s="1" t="n">
        <v>46075</v>
      </c>
      <c r="D10060" t="inlineStr">
        <is>
          <t>VÄSTERBOTTENS LÄN</t>
        </is>
      </c>
      <c r="E10060" t="inlineStr">
        <is>
          <t>SKELLEFTEÅ</t>
        </is>
      </c>
      <c r="G10060" t="n">
        <v>4.7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501-2026</t>
        </is>
      </c>
      <c r="B10061" s="1" t="n">
        <v>46029.43572916667</v>
      </c>
      <c r="C10061" s="1" t="n">
        <v>46075</v>
      </c>
      <c r="D10061" t="inlineStr">
        <is>
          <t>VÄSTERBOTTENS LÄN</t>
        </is>
      </c>
      <c r="E10061" t="inlineStr">
        <is>
          <t>NORDMALING</t>
        </is>
      </c>
      <c r="G10061" t="n">
        <v>2.3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46105-2022</t>
        </is>
      </c>
      <c r="B10062" s="1" t="n">
        <v>44845</v>
      </c>
      <c r="C10062" s="1" t="n">
        <v>46075</v>
      </c>
      <c r="D10062" t="inlineStr">
        <is>
          <t>VÄSTERBOTTENS LÄN</t>
        </is>
      </c>
      <c r="E10062" t="inlineStr">
        <is>
          <t>VINDELN</t>
        </is>
      </c>
      <c r="G10062" t="n">
        <v>8.6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9565-2026</t>
        </is>
      </c>
      <c r="B10063" s="1" t="n">
        <v>46071.65601851852</v>
      </c>
      <c r="C10063" s="1" t="n">
        <v>46075</v>
      </c>
      <c r="D10063" t="inlineStr">
        <is>
          <t>VÄSTERBOTTENS LÄN</t>
        </is>
      </c>
      <c r="E10063" t="inlineStr">
        <is>
          <t>STORUMAN</t>
        </is>
      </c>
      <c r="G10063" t="n">
        <v>10</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3164-2025</t>
        </is>
      </c>
      <c r="B10064" s="1" t="n">
        <v>45679.34158564815</v>
      </c>
      <c r="C10064" s="1" t="n">
        <v>46075</v>
      </c>
      <c r="D10064" t="inlineStr">
        <is>
          <t>VÄSTERBOTTENS LÄN</t>
        </is>
      </c>
      <c r="E10064" t="inlineStr">
        <is>
          <t>SKELLEFTEÅ</t>
        </is>
      </c>
      <c r="F10064" t="inlineStr">
        <is>
          <t>Holmen skog AB</t>
        </is>
      </c>
      <c r="G10064" t="n">
        <v>3.7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31575-2024</t>
        </is>
      </c>
      <c r="B10065" s="1" t="n">
        <v>45506</v>
      </c>
      <c r="C10065" s="1" t="n">
        <v>46075</v>
      </c>
      <c r="D10065" t="inlineStr">
        <is>
          <t>VÄSTERBOTTENS LÄN</t>
        </is>
      </c>
      <c r="E10065" t="inlineStr">
        <is>
          <t>BJURHOLM</t>
        </is>
      </c>
      <c r="F10065" t="inlineStr">
        <is>
          <t>Holmen skog AB</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58012-2023</t>
        </is>
      </c>
      <c r="B10066" s="1" t="n">
        <v>45244</v>
      </c>
      <c r="C10066" s="1" t="n">
        <v>46075</v>
      </c>
      <c r="D10066" t="inlineStr">
        <is>
          <t>VÄSTERBOTTENS LÄN</t>
        </is>
      </c>
      <c r="E10066" t="inlineStr">
        <is>
          <t>SKELLEFTEÅ</t>
        </is>
      </c>
      <c r="G10066" t="n">
        <v>2.5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55888-2022</t>
        </is>
      </c>
      <c r="B10067" s="1" t="n">
        <v>44888</v>
      </c>
      <c r="C10067" s="1" t="n">
        <v>46075</v>
      </c>
      <c r="D10067" t="inlineStr">
        <is>
          <t>VÄSTERBOTTENS LÄN</t>
        </is>
      </c>
      <c r="E10067" t="inlineStr">
        <is>
          <t>DOROTEA</t>
        </is>
      </c>
      <c r="G10067" t="n">
        <v>7.6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38366-2024</t>
        </is>
      </c>
      <c r="B10068" s="1" t="n">
        <v>45545</v>
      </c>
      <c r="C10068" s="1" t="n">
        <v>46075</v>
      </c>
      <c r="D10068" t="inlineStr">
        <is>
          <t>VÄSTERBOTTENS LÄN</t>
        </is>
      </c>
      <c r="E10068" t="inlineStr">
        <is>
          <t>STORUMAN</t>
        </is>
      </c>
      <c r="G10068" t="n">
        <v>5.9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49130-2024</t>
        </is>
      </c>
      <c r="B10069" s="1" t="n">
        <v>45594</v>
      </c>
      <c r="C10069" s="1" t="n">
        <v>46075</v>
      </c>
      <c r="D10069" t="inlineStr">
        <is>
          <t>VÄSTERBOTTENS LÄN</t>
        </is>
      </c>
      <c r="E10069" t="inlineStr">
        <is>
          <t>LYCKSELE</t>
        </is>
      </c>
      <c r="F10069" t="inlineStr">
        <is>
          <t>Sveaskog</t>
        </is>
      </c>
      <c r="G10069" t="n">
        <v>3.5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9256-2026</t>
        </is>
      </c>
      <c r="B10070" s="1" t="n">
        <v>46070.51081018519</v>
      </c>
      <c r="C10070" s="1" t="n">
        <v>46075</v>
      </c>
      <c r="D10070" t="inlineStr">
        <is>
          <t>VÄSTERBOTTENS LÄN</t>
        </is>
      </c>
      <c r="E10070" t="inlineStr">
        <is>
          <t>SKELLEFTEÅ</t>
        </is>
      </c>
      <c r="G10070" t="n">
        <v>1.4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4367-2026</t>
        </is>
      </c>
      <c r="B10071" s="1" t="n">
        <v>46045.54577546296</v>
      </c>
      <c r="C10071" s="1" t="n">
        <v>46075</v>
      </c>
      <c r="D10071" t="inlineStr">
        <is>
          <t>VÄSTERBOTTENS LÄN</t>
        </is>
      </c>
      <c r="E10071" t="inlineStr">
        <is>
          <t>SORSELE</t>
        </is>
      </c>
      <c r="F10071" t="inlineStr">
        <is>
          <t>Sveaskog</t>
        </is>
      </c>
      <c r="G10071" t="n">
        <v>24.9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9199-2026</t>
        </is>
      </c>
      <c r="B10072" s="1" t="n">
        <v>46070.40673611111</v>
      </c>
      <c r="C10072" s="1" t="n">
        <v>46075</v>
      </c>
      <c r="D10072" t="inlineStr">
        <is>
          <t>VÄSTERBOTTENS LÄN</t>
        </is>
      </c>
      <c r="E10072" t="inlineStr">
        <is>
          <t>ÅSELE</t>
        </is>
      </c>
      <c r="F10072" t="inlineStr">
        <is>
          <t>SCA</t>
        </is>
      </c>
      <c r="G10072" t="n">
        <v>3.7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1022-2025</t>
        </is>
      </c>
      <c r="B10073" s="1" t="n">
        <v>45665</v>
      </c>
      <c r="C10073" s="1" t="n">
        <v>46075</v>
      </c>
      <c r="D10073" t="inlineStr">
        <is>
          <t>VÄSTERBOTTENS LÄN</t>
        </is>
      </c>
      <c r="E10073" t="inlineStr">
        <is>
          <t>SKELLEFTEÅ</t>
        </is>
      </c>
      <c r="G10073" t="n">
        <v>5.5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13007-2025</t>
        </is>
      </c>
      <c r="B10074" s="1" t="n">
        <v>45734.51712962963</v>
      </c>
      <c r="C10074" s="1" t="n">
        <v>46075</v>
      </c>
      <c r="D10074" t="inlineStr">
        <is>
          <t>VÄSTERBOTTENS LÄN</t>
        </is>
      </c>
      <c r="E10074" t="inlineStr">
        <is>
          <t>MALÅ</t>
        </is>
      </c>
      <c r="G10074" t="n">
        <v>6.5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57877-2023</t>
        </is>
      </c>
      <c r="B10075" s="1" t="n">
        <v>45247.46681712963</v>
      </c>
      <c r="C10075" s="1" t="n">
        <v>46075</v>
      </c>
      <c r="D10075" t="inlineStr">
        <is>
          <t>VÄSTERBOTTENS LÄN</t>
        </is>
      </c>
      <c r="E10075" t="inlineStr">
        <is>
          <t>BJURHOLM</t>
        </is>
      </c>
      <c r="G10075" t="n">
        <v>0.3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9925-2022</t>
        </is>
      </c>
      <c r="B10076" s="1" t="n">
        <v>44620.92208333333</v>
      </c>
      <c r="C10076" s="1" t="n">
        <v>46075</v>
      </c>
      <c r="D10076" t="inlineStr">
        <is>
          <t>VÄSTERBOTTENS LÄN</t>
        </is>
      </c>
      <c r="E10076" t="inlineStr">
        <is>
          <t>SKELLEFTEÅ</t>
        </is>
      </c>
      <c r="G10076" t="n">
        <v>2.4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59689-2024</t>
        </is>
      </c>
      <c r="B10077" s="1" t="n">
        <v>45639.40660879629</v>
      </c>
      <c r="C10077" s="1" t="n">
        <v>46075</v>
      </c>
      <c r="D10077" t="inlineStr">
        <is>
          <t>VÄSTERBOTTENS LÄN</t>
        </is>
      </c>
      <c r="E10077" t="inlineStr">
        <is>
          <t>SKELLEFTEÅ</t>
        </is>
      </c>
      <c r="F10077" t="inlineStr">
        <is>
          <t>Holmen skog AB</t>
        </is>
      </c>
      <c r="G10077" t="n">
        <v>2.5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61064-2023</t>
        </is>
      </c>
      <c r="B10078" s="1" t="n">
        <v>45259</v>
      </c>
      <c r="C10078" s="1" t="n">
        <v>46075</v>
      </c>
      <c r="D10078" t="inlineStr">
        <is>
          <t>VÄSTERBOTTENS LÄN</t>
        </is>
      </c>
      <c r="E10078" t="inlineStr">
        <is>
          <t>SKELLEFTEÅ</t>
        </is>
      </c>
      <c r="G10078" t="n">
        <v>5.8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61094-2023</t>
        </is>
      </c>
      <c r="B10079" s="1" t="n">
        <v>45261</v>
      </c>
      <c r="C10079" s="1" t="n">
        <v>46075</v>
      </c>
      <c r="D10079" t="inlineStr">
        <is>
          <t>VÄSTERBOTTENS LÄN</t>
        </is>
      </c>
      <c r="E10079" t="inlineStr">
        <is>
          <t>LYCKSELE</t>
        </is>
      </c>
      <c r="G10079" t="n">
        <v>0</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41181-2024</t>
        </is>
      </c>
      <c r="B10080" s="1" t="n">
        <v>45559</v>
      </c>
      <c r="C10080" s="1" t="n">
        <v>46075</v>
      </c>
      <c r="D10080" t="inlineStr">
        <is>
          <t>VÄSTERBOTTENS LÄN</t>
        </is>
      </c>
      <c r="E10080" t="inlineStr">
        <is>
          <t>VINDELN</t>
        </is>
      </c>
      <c r="F10080" t="inlineStr">
        <is>
          <t>Sveaskog</t>
        </is>
      </c>
      <c r="G10080" t="n">
        <v>14.7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3977-2026</t>
        </is>
      </c>
      <c r="B10081" s="1" t="n">
        <v>46044</v>
      </c>
      <c r="C10081" s="1" t="n">
        <v>46075</v>
      </c>
      <c r="D10081" t="inlineStr">
        <is>
          <t>VÄSTERBOTTENS LÄN</t>
        </is>
      </c>
      <c r="E10081" t="inlineStr">
        <is>
          <t>LYCKSELE</t>
        </is>
      </c>
      <c r="G10081" t="n">
        <v>2.2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2661-2025</t>
        </is>
      </c>
      <c r="B10082" s="1" t="n">
        <v>45676.86069444445</v>
      </c>
      <c r="C10082" s="1" t="n">
        <v>46075</v>
      </c>
      <c r="D10082" t="inlineStr">
        <is>
          <t>VÄSTERBOTTENS LÄN</t>
        </is>
      </c>
      <c r="E10082" t="inlineStr">
        <is>
          <t>VINDELN</t>
        </is>
      </c>
      <c r="G10082" t="n">
        <v>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2696-2025</t>
        </is>
      </c>
      <c r="B10083" s="1" t="n">
        <v>45674</v>
      </c>
      <c r="C10083" s="1" t="n">
        <v>46075</v>
      </c>
      <c r="D10083" t="inlineStr">
        <is>
          <t>VÄSTERBOTTENS LÄN</t>
        </is>
      </c>
      <c r="E10083" t="inlineStr">
        <is>
          <t>ROBERTSFORS</t>
        </is>
      </c>
      <c r="G10083" t="n">
        <v>3.2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473-2026</t>
        </is>
      </c>
      <c r="B10084" s="1" t="n">
        <v>46029.39254629629</v>
      </c>
      <c r="C10084" s="1" t="n">
        <v>46075</v>
      </c>
      <c r="D10084" t="inlineStr">
        <is>
          <t>VÄSTERBOTTENS LÄN</t>
        </is>
      </c>
      <c r="E10084" t="inlineStr">
        <is>
          <t>SKELLEFTEÅ</t>
        </is>
      </c>
      <c r="G10084" t="n">
        <v>12.8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37948-2023</t>
        </is>
      </c>
      <c r="B10085" s="1" t="n">
        <v>45159</v>
      </c>
      <c r="C10085" s="1" t="n">
        <v>46075</v>
      </c>
      <c r="D10085" t="inlineStr">
        <is>
          <t>VÄSTERBOTTENS LÄN</t>
        </is>
      </c>
      <c r="E10085" t="inlineStr">
        <is>
          <t>VINDELN</t>
        </is>
      </c>
      <c r="G10085" t="n">
        <v>1</v>
      </c>
      <c r="H10085" t="n">
        <v>0</v>
      </c>
      <c r="I10085" t="n">
        <v>0</v>
      </c>
      <c r="J10085" t="n">
        <v>0</v>
      </c>
      <c r="K10085" t="n">
        <v>0</v>
      </c>
      <c r="L10085" t="n">
        <v>0</v>
      </c>
      <c r="M10085" t="n">
        <v>0</v>
      </c>
      <c r="N10085" t="n">
        <v>0</v>
      </c>
      <c r="O10085" t="n">
        <v>0</v>
      </c>
      <c r="P10085" t="n">
        <v>0</v>
      </c>
      <c r="Q10085" t="n">
        <v>0</v>
      </c>
      <c r="R10085" s="2" t="inlineStr"/>
      <c r="U10085">
        <f>HYPERLINK("https://klasma.github.io/Logging_2404/knärot/A 37948-2023 karta knärot.png", "A 37948-2023")</f>
        <v/>
      </c>
      <c r="V10085">
        <f>HYPERLINK("https://klasma.github.io/Logging_2404/klagomål/A 37948-2023 FSC-klagomål.docx", "A 37948-2023")</f>
        <v/>
      </c>
      <c r="W10085">
        <f>HYPERLINK("https://klasma.github.io/Logging_2404/klagomålsmail/A 37948-2023 FSC-klagomål mail.docx", "A 37948-2023")</f>
        <v/>
      </c>
      <c r="X10085">
        <f>HYPERLINK("https://klasma.github.io/Logging_2404/tillsyn/A 37948-2023 tillsynsbegäran.docx", "A 37948-2023")</f>
        <v/>
      </c>
      <c r="Y10085">
        <f>HYPERLINK("https://klasma.github.io/Logging_2404/tillsynsmail/A 37948-2023 tillsynsbegäran mail.docx", "A 37948-2023")</f>
        <v/>
      </c>
    </row>
    <row r="10086" ht="15" customHeight="1">
      <c r="A10086" t="inlineStr">
        <is>
          <t>A 37960-2023</t>
        </is>
      </c>
      <c r="B10086" s="1" t="n">
        <v>45160</v>
      </c>
      <c r="C10086" s="1" t="n">
        <v>46075</v>
      </c>
      <c r="D10086" t="inlineStr">
        <is>
          <t>VÄSTERBOTTENS LÄN</t>
        </is>
      </c>
      <c r="E10086" t="inlineStr">
        <is>
          <t>MALÅ</t>
        </is>
      </c>
      <c r="F10086" t="inlineStr">
        <is>
          <t>Sveaskog</t>
        </is>
      </c>
      <c r="G10086" t="n">
        <v>21.8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37937-2023</t>
        </is>
      </c>
      <c r="B10087" s="1" t="n">
        <v>45159</v>
      </c>
      <c r="C10087" s="1" t="n">
        <v>46075</v>
      </c>
      <c r="D10087" t="inlineStr">
        <is>
          <t>VÄSTERBOTTENS LÄN</t>
        </is>
      </c>
      <c r="E10087" t="inlineStr">
        <is>
          <t>VILHELMINA</t>
        </is>
      </c>
      <c r="G10087" t="n">
        <v>2.2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51405-2024</t>
        </is>
      </c>
      <c r="B10088" s="1" t="n">
        <v>45604</v>
      </c>
      <c r="C10088" s="1" t="n">
        <v>46075</v>
      </c>
      <c r="D10088" t="inlineStr">
        <is>
          <t>VÄSTERBOTTENS LÄN</t>
        </is>
      </c>
      <c r="E10088" t="inlineStr">
        <is>
          <t>ÅSELE</t>
        </is>
      </c>
      <c r="F10088" t="inlineStr">
        <is>
          <t>SCA</t>
        </is>
      </c>
      <c r="G10088" t="n">
        <v>2.1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50464-2023</t>
        </is>
      </c>
      <c r="B10089" s="1" t="n">
        <v>45216.84891203704</v>
      </c>
      <c r="C10089" s="1" t="n">
        <v>46075</v>
      </c>
      <c r="D10089" t="inlineStr">
        <is>
          <t>VÄSTERBOTTENS LÄN</t>
        </is>
      </c>
      <c r="E10089" t="inlineStr">
        <is>
          <t>SKELLEFTEÅ</t>
        </is>
      </c>
      <c r="G10089" t="n">
        <v>3.7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9294-2026</t>
        </is>
      </c>
      <c r="B10090" s="1" t="n">
        <v>46070.59443287037</v>
      </c>
      <c r="C10090" s="1" t="n">
        <v>46075</v>
      </c>
      <c r="D10090" t="inlineStr">
        <is>
          <t>VÄSTERBOTTENS LÄN</t>
        </is>
      </c>
      <c r="E10090" t="inlineStr">
        <is>
          <t>VINDELN</t>
        </is>
      </c>
      <c r="F10090" t="inlineStr">
        <is>
          <t>SCA</t>
        </is>
      </c>
      <c r="G10090" t="n">
        <v>6.7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16494-2023</t>
        </is>
      </c>
      <c r="B10091" s="1" t="n">
        <v>45029.60325231482</v>
      </c>
      <c r="C10091" s="1" t="n">
        <v>46075</v>
      </c>
      <c r="D10091" t="inlineStr">
        <is>
          <t>VÄSTERBOTTENS LÄN</t>
        </is>
      </c>
      <c r="E10091" t="inlineStr">
        <is>
          <t>SKELLEFTEÅ</t>
        </is>
      </c>
      <c r="G10091" t="n">
        <v>0.5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45703-2021</t>
        </is>
      </c>
      <c r="B10092" s="1" t="n">
        <v>44441</v>
      </c>
      <c r="C10092" s="1" t="n">
        <v>46075</v>
      </c>
      <c r="D10092" t="inlineStr">
        <is>
          <t>VÄSTERBOTTENS LÄN</t>
        </is>
      </c>
      <c r="E10092" t="inlineStr">
        <is>
          <t>VINDELN</t>
        </is>
      </c>
      <c r="G10092" t="n">
        <v>3.9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46177-2023</t>
        </is>
      </c>
      <c r="B10093" s="1" t="n">
        <v>45190</v>
      </c>
      <c r="C10093" s="1" t="n">
        <v>46075</v>
      </c>
      <c r="D10093" t="inlineStr">
        <is>
          <t>VÄSTERBOTTENS LÄN</t>
        </is>
      </c>
      <c r="E10093" t="inlineStr">
        <is>
          <t>VILHELMINA</t>
        </is>
      </c>
      <c r="F10093" t="inlineStr">
        <is>
          <t>Övriga Aktiebolag</t>
        </is>
      </c>
      <c r="G10093" t="n">
        <v>7.7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3234-2026</t>
        </is>
      </c>
      <c r="B10094" s="1" t="n">
        <v>46041.56347222222</v>
      </c>
      <c r="C10094" s="1" t="n">
        <v>46075</v>
      </c>
      <c r="D10094" t="inlineStr">
        <is>
          <t>VÄSTERBOTTENS LÄN</t>
        </is>
      </c>
      <c r="E10094" t="inlineStr">
        <is>
          <t>UMEÅ</t>
        </is>
      </c>
      <c r="G10094" t="n">
        <v>8.1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54786-2023</t>
        </is>
      </c>
      <c r="B10095" s="1" t="n">
        <v>45229</v>
      </c>
      <c r="C10095" s="1" t="n">
        <v>46075</v>
      </c>
      <c r="D10095" t="inlineStr">
        <is>
          <t>VÄSTERBOTTENS LÄN</t>
        </is>
      </c>
      <c r="E10095" t="inlineStr">
        <is>
          <t>VINDELN</t>
        </is>
      </c>
      <c r="G10095" t="n">
        <v>4.2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1812-2024</t>
        </is>
      </c>
      <c r="B10096" s="1" t="n">
        <v>45307</v>
      </c>
      <c r="C10096" s="1" t="n">
        <v>46075</v>
      </c>
      <c r="D10096" t="inlineStr">
        <is>
          <t>VÄSTERBOTTENS LÄN</t>
        </is>
      </c>
      <c r="E10096" t="inlineStr">
        <is>
          <t>LYCKSELE</t>
        </is>
      </c>
      <c r="F10096" t="inlineStr">
        <is>
          <t>Sveaskog</t>
        </is>
      </c>
      <c r="G10096" t="n">
        <v>14.9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60871-2023</t>
        </is>
      </c>
      <c r="B10097" s="1" t="n">
        <v>45260.96678240741</v>
      </c>
      <c r="C10097" s="1" t="n">
        <v>46075</v>
      </c>
      <c r="D10097" t="inlineStr">
        <is>
          <t>VÄSTERBOTTENS LÄN</t>
        </is>
      </c>
      <c r="E10097" t="inlineStr">
        <is>
          <t>VINDELN</t>
        </is>
      </c>
      <c r="F10097" t="inlineStr">
        <is>
          <t>SCA</t>
        </is>
      </c>
      <c r="G10097" t="n">
        <v>3.3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55087-2024</t>
        </is>
      </c>
      <c r="B10098" s="1" t="n">
        <v>45621.43199074074</v>
      </c>
      <c r="C10098" s="1" t="n">
        <v>46075</v>
      </c>
      <c r="D10098" t="inlineStr">
        <is>
          <t>VÄSTERBOTTENS LÄN</t>
        </is>
      </c>
      <c r="E10098" t="inlineStr">
        <is>
          <t>LYCKSELE</t>
        </is>
      </c>
      <c r="F10098" t="inlineStr">
        <is>
          <t>Sveaskog</t>
        </is>
      </c>
      <c r="G10098" t="n">
        <v>5.2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41096-2024</t>
        </is>
      </c>
      <c r="B10099" s="1" t="n">
        <v>45559.43212962963</v>
      </c>
      <c r="C10099" s="1" t="n">
        <v>46075</v>
      </c>
      <c r="D10099" t="inlineStr">
        <is>
          <t>VÄSTERBOTTENS LÄN</t>
        </is>
      </c>
      <c r="E10099" t="inlineStr">
        <is>
          <t>VINDELN</t>
        </is>
      </c>
      <c r="F10099" t="inlineStr">
        <is>
          <t>Sveaskog</t>
        </is>
      </c>
      <c r="G10099" t="n">
        <v>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56663-2024</t>
        </is>
      </c>
      <c r="B10100" s="1" t="n">
        <v>45625</v>
      </c>
      <c r="C10100" s="1" t="n">
        <v>46075</v>
      </c>
      <c r="D10100" t="inlineStr">
        <is>
          <t>VÄSTERBOTTENS LÄN</t>
        </is>
      </c>
      <c r="E10100" t="inlineStr">
        <is>
          <t>MALÅ</t>
        </is>
      </c>
      <c r="G10100" t="n">
        <v>2.6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21668-2024</t>
        </is>
      </c>
      <c r="B10101" s="1" t="n">
        <v>45441.85773148148</v>
      </c>
      <c r="C10101" s="1" t="n">
        <v>46075</v>
      </c>
      <c r="D10101" t="inlineStr">
        <is>
          <t>VÄSTERBOTTENS LÄN</t>
        </is>
      </c>
      <c r="E10101" t="inlineStr">
        <is>
          <t>LYCKSELE</t>
        </is>
      </c>
      <c r="G10101" t="n">
        <v>0.4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42494-2024</t>
        </is>
      </c>
      <c r="B10102" s="1" t="n">
        <v>45565.49755787037</v>
      </c>
      <c r="C10102" s="1" t="n">
        <v>46075</v>
      </c>
      <c r="D10102" t="inlineStr">
        <is>
          <t>VÄSTERBOTTENS LÄN</t>
        </is>
      </c>
      <c r="E10102" t="inlineStr">
        <is>
          <t>ROBERTSFORS</t>
        </is>
      </c>
      <c r="G10102" t="n">
        <v>0.8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12336-2024</t>
        </is>
      </c>
      <c r="B10103" s="1" t="n">
        <v>45378</v>
      </c>
      <c r="C10103" s="1" t="n">
        <v>46075</v>
      </c>
      <c r="D10103" t="inlineStr">
        <is>
          <t>VÄSTERBOTTENS LÄN</t>
        </is>
      </c>
      <c r="E10103" t="inlineStr">
        <is>
          <t>LYCKSELE</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53457-2024</t>
        </is>
      </c>
      <c r="B10104" s="1" t="n">
        <v>45614.54942129629</v>
      </c>
      <c r="C10104" s="1" t="n">
        <v>46075</v>
      </c>
      <c r="D10104" t="inlineStr">
        <is>
          <t>VÄSTERBOTTENS LÄN</t>
        </is>
      </c>
      <c r="E10104" t="inlineStr">
        <is>
          <t>NORSJÖ</t>
        </is>
      </c>
      <c r="F10104" t="inlineStr">
        <is>
          <t>Holmen skog AB</t>
        </is>
      </c>
      <c r="G10104" t="n">
        <v>2.4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56104-2022</t>
        </is>
      </c>
      <c r="B10105" s="1" t="n">
        <v>44889</v>
      </c>
      <c r="C10105" s="1" t="n">
        <v>46075</v>
      </c>
      <c r="D10105" t="inlineStr">
        <is>
          <t>VÄSTERBOTTENS LÄN</t>
        </is>
      </c>
      <c r="E10105" t="inlineStr">
        <is>
          <t>VINDELN</t>
        </is>
      </c>
      <c r="F10105" t="inlineStr">
        <is>
          <t>Holmen skog AB</t>
        </is>
      </c>
      <c r="G10105" t="n">
        <v>2.5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2857-2026</t>
        </is>
      </c>
      <c r="B10106" s="1" t="n">
        <v>46038</v>
      </c>
      <c r="C10106" s="1" t="n">
        <v>46075</v>
      </c>
      <c r="D10106" t="inlineStr">
        <is>
          <t>VÄSTERBOTTENS LÄN</t>
        </is>
      </c>
      <c r="E10106" t="inlineStr">
        <is>
          <t>UMEÅ</t>
        </is>
      </c>
      <c r="G10106" t="n">
        <v>4.5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56703-2024</t>
        </is>
      </c>
      <c r="B10107" s="1" t="n">
        <v>45627</v>
      </c>
      <c r="C10107" s="1" t="n">
        <v>46075</v>
      </c>
      <c r="D10107" t="inlineStr">
        <is>
          <t>VÄSTERBOTTENS LÄN</t>
        </is>
      </c>
      <c r="E10107" t="inlineStr">
        <is>
          <t>ROBERTSFORS</t>
        </is>
      </c>
      <c r="G10107" t="n">
        <v>0.6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26708-2024</t>
        </is>
      </c>
      <c r="B10108" s="1" t="n">
        <v>45470</v>
      </c>
      <c r="C10108" s="1" t="n">
        <v>46075</v>
      </c>
      <c r="D10108" t="inlineStr">
        <is>
          <t>VÄSTERBOTTENS LÄN</t>
        </is>
      </c>
      <c r="E10108" t="inlineStr">
        <is>
          <t>SKELLEFTEÅ</t>
        </is>
      </c>
      <c r="F10108" t="inlineStr">
        <is>
          <t>Sveaskog</t>
        </is>
      </c>
      <c r="G10108" t="n">
        <v>6.3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26717-2024</t>
        </is>
      </c>
      <c r="B10109" s="1" t="n">
        <v>45470.40854166666</v>
      </c>
      <c r="C10109" s="1" t="n">
        <v>46075</v>
      </c>
      <c r="D10109" t="inlineStr">
        <is>
          <t>VÄSTERBOTTENS LÄN</t>
        </is>
      </c>
      <c r="E10109" t="inlineStr">
        <is>
          <t>LYCKSELE</t>
        </is>
      </c>
      <c r="F10109" t="inlineStr">
        <is>
          <t>Sveaskog</t>
        </is>
      </c>
      <c r="G10109" t="n">
        <v>2.8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20947-2023</t>
        </is>
      </c>
      <c r="B10110" s="1" t="n">
        <v>45056</v>
      </c>
      <c r="C10110" s="1" t="n">
        <v>46075</v>
      </c>
      <c r="D10110" t="inlineStr">
        <is>
          <t>VÄSTERBOTTENS LÄN</t>
        </is>
      </c>
      <c r="E10110" t="inlineStr">
        <is>
          <t>SORSELE</t>
        </is>
      </c>
      <c r="G10110" t="n">
        <v>5.3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9218-2026</t>
        </is>
      </c>
      <c r="B10111" s="1" t="n">
        <v>46070.44359953704</v>
      </c>
      <c r="C10111" s="1" t="n">
        <v>46075</v>
      </c>
      <c r="D10111" t="inlineStr">
        <is>
          <t>VÄSTERBOTTENS LÄN</t>
        </is>
      </c>
      <c r="E10111" t="inlineStr">
        <is>
          <t>UMEÅ</t>
        </is>
      </c>
      <c r="G10111" t="n">
        <v>3.6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5107-2026</t>
        </is>
      </c>
      <c r="B10112" s="1" t="n">
        <v>46049.5721412037</v>
      </c>
      <c r="C10112" s="1" t="n">
        <v>46075</v>
      </c>
      <c r="D10112" t="inlineStr">
        <is>
          <t>VÄSTERBOTTENS LÄN</t>
        </is>
      </c>
      <c r="E10112" t="inlineStr">
        <is>
          <t>VINDELN</t>
        </is>
      </c>
      <c r="G10112" t="n">
        <v>8.199999999999999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80-2024</t>
        </is>
      </c>
      <c r="B10113" s="1" t="n">
        <v>45293</v>
      </c>
      <c r="C10113" s="1" t="n">
        <v>46075</v>
      </c>
      <c r="D10113" t="inlineStr">
        <is>
          <t>VÄSTERBOTTENS LÄN</t>
        </is>
      </c>
      <c r="E10113" t="inlineStr">
        <is>
          <t>BJURHOLM</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28825-2023</t>
        </is>
      </c>
      <c r="B10114" s="1" t="n">
        <v>45104.39052083333</v>
      </c>
      <c r="C10114" s="1" t="n">
        <v>46075</v>
      </c>
      <c r="D10114" t="inlineStr">
        <is>
          <t>VÄSTERBOTTENS LÄN</t>
        </is>
      </c>
      <c r="E10114" t="inlineStr">
        <is>
          <t>VINDELN</t>
        </is>
      </c>
      <c r="F10114" t="inlineStr">
        <is>
          <t>Holmen skog AB</t>
        </is>
      </c>
      <c r="G10114" t="n">
        <v>2.1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42357-2022</t>
        </is>
      </c>
      <c r="B10115" s="1" t="n">
        <v>44827</v>
      </c>
      <c r="C10115" s="1" t="n">
        <v>46075</v>
      </c>
      <c r="D10115" t="inlineStr">
        <is>
          <t>VÄSTERBOTTENS LÄN</t>
        </is>
      </c>
      <c r="E10115" t="inlineStr">
        <is>
          <t>SKELLEFTEÅ</t>
        </is>
      </c>
      <c r="G10115" t="n">
        <v>2.4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404-2026</t>
        </is>
      </c>
      <c r="B10116" s="1" t="n">
        <v>46028.66927083334</v>
      </c>
      <c r="C10116" s="1" t="n">
        <v>46075</v>
      </c>
      <c r="D10116" t="inlineStr">
        <is>
          <t>VÄSTERBOTTENS LÄN</t>
        </is>
      </c>
      <c r="E10116" t="inlineStr">
        <is>
          <t>NORDMALING</t>
        </is>
      </c>
      <c r="G10116" t="n">
        <v>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413-2026</t>
        </is>
      </c>
      <c r="B10117" s="1" t="n">
        <v>46028.75300925926</v>
      </c>
      <c r="C10117" s="1" t="n">
        <v>46075</v>
      </c>
      <c r="D10117" t="inlineStr">
        <is>
          <t>VÄSTERBOTTENS LÄN</t>
        </is>
      </c>
      <c r="E10117" t="inlineStr">
        <is>
          <t>ÅSELE</t>
        </is>
      </c>
      <c r="G10117" t="n">
        <v>3.8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466-2026</t>
        </is>
      </c>
      <c r="B10118" s="1" t="n">
        <v>46029.38585648148</v>
      </c>
      <c r="C10118" s="1" t="n">
        <v>46075</v>
      </c>
      <c r="D10118" t="inlineStr">
        <is>
          <t>VÄSTERBOTTENS LÄN</t>
        </is>
      </c>
      <c r="E10118" t="inlineStr">
        <is>
          <t>NORSJÖ</t>
        </is>
      </c>
      <c r="G10118" t="n">
        <v>4.3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22267-2023</t>
        </is>
      </c>
      <c r="B10119" s="1" t="n">
        <v>45068</v>
      </c>
      <c r="C10119" s="1" t="n">
        <v>46075</v>
      </c>
      <c r="D10119" t="inlineStr">
        <is>
          <t>VÄSTERBOTTENS LÄN</t>
        </is>
      </c>
      <c r="E10119" t="inlineStr">
        <is>
          <t>ÅSELE</t>
        </is>
      </c>
      <c r="G10119" t="n">
        <v>2.1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15395-2023</t>
        </is>
      </c>
      <c r="B10120" s="1" t="n">
        <v>45019.65273148148</v>
      </c>
      <c r="C10120" s="1" t="n">
        <v>46075</v>
      </c>
      <c r="D10120" t="inlineStr">
        <is>
          <t>VÄSTERBOTTENS LÄN</t>
        </is>
      </c>
      <c r="E10120" t="inlineStr">
        <is>
          <t>NORSJÖ</t>
        </is>
      </c>
      <c r="F10120" t="inlineStr">
        <is>
          <t>Holmen skog AB</t>
        </is>
      </c>
      <c r="G10120" t="n">
        <v>0.6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39425-2022</t>
        </is>
      </c>
      <c r="B10121" s="1" t="n">
        <v>44818</v>
      </c>
      <c r="C10121" s="1" t="n">
        <v>46075</v>
      </c>
      <c r="D10121" t="inlineStr">
        <is>
          <t>VÄSTERBOTTENS LÄN</t>
        </is>
      </c>
      <c r="E10121" t="inlineStr">
        <is>
          <t>VINDELN</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62284-2022</t>
        </is>
      </c>
      <c r="B10122" s="1" t="n">
        <v>44923.40487268518</v>
      </c>
      <c r="C10122" s="1" t="n">
        <v>46075</v>
      </c>
      <c r="D10122" t="inlineStr">
        <is>
          <t>VÄSTERBOTTENS LÄN</t>
        </is>
      </c>
      <c r="E10122" t="inlineStr">
        <is>
          <t>SKELLEFTEÅ</t>
        </is>
      </c>
      <c r="F10122" t="inlineStr">
        <is>
          <t>Sveaskog</t>
        </is>
      </c>
      <c r="G10122" t="n">
        <v>13.4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393-2026</t>
        </is>
      </c>
      <c r="B10123" s="1" t="n">
        <v>46028</v>
      </c>
      <c r="C10123" s="1" t="n">
        <v>46075</v>
      </c>
      <c r="D10123" t="inlineStr">
        <is>
          <t>VÄSTERBOTTENS LÄN</t>
        </is>
      </c>
      <c r="E10123" t="inlineStr">
        <is>
          <t>BJURHOLM</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1869-2023</t>
        </is>
      </c>
      <c r="B10124" s="1" t="n">
        <v>44938.93825231482</v>
      </c>
      <c r="C10124" s="1" t="n">
        <v>46075</v>
      </c>
      <c r="D10124" t="inlineStr">
        <is>
          <t>VÄSTERBOTTENS LÄN</t>
        </is>
      </c>
      <c r="E10124" t="inlineStr">
        <is>
          <t>VINDELN</t>
        </is>
      </c>
      <c r="F10124" t="inlineStr">
        <is>
          <t>SCA</t>
        </is>
      </c>
      <c r="G10124" t="n">
        <v>2.5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33521-2021</t>
        </is>
      </c>
      <c r="B10125" s="1" t="n">
        <v>44377</v>
      </c>
      <c r="C10125" s="1" t="n">
        <v>46075</v>
      </c>
      <c r="D10125" t="inlineStr">
        <is>
          <t>VÄSTERBOTTENS LÄN</t>
        </is>
      </c>
      <c r="E10125" t="inlineStr">
        <is>
          <t>SKELLEFTEÅ</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56471-2023</t>
        </is>
      </c>
      <c r="B10126" s="1" t="n">
        <v>45243</v>
      </c>
      <c r="C10126" s="1" t="n">
        <v>46075</v>
      </c>
      <c r="D10126" t="inlineStr">
        <is>
          <t>VÄSTERBOTTENS LÄN</t>
        </is>
      </c>
      <c r="E10126" t="inlineStr">
        <is>
          <t>SKELLEFTEÅ</t>
        </is>
      </c>
      <c r="G10126" t="n">
        <v>0.5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10485-2023</t>
        </is>
      </c>
      <c r="B10127" s="1" t="n">
        <v>44981</v>
      </c>
      <c r="C10127" s="1" t="n">
        <v>46075</v>
      </c>
      <c r="D10127" t="inlineStr">
        <is>
          <t>VÄSTERBOTTENS LÄN</t>
        </is>
      </c>
      <c r="E10127" t="inlineStr">
        <is>
          <t>LYCKSELE</t>
        </is>
      </c>
      <c r="F10127" t="inlineStr">
        <is>
          <t>Sveaskog</t>
        </is>
      </c>
      <c r="G10127" t="n">
        <v>2.9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31200-2024</t>
        </is>
      </c>
      <c r="B10128" s="1" t="n">
        <v>45503</v>
      </c>
      <c r="C10128" s="1" t="n">
        <v>46075</v>
      </c>
      <c r="D10128" t="inlineStr">
        <is>
          <t>VÄSTERBOTTENS LÄN</t>
        </is>
      </c>
      <c r="E10128" t="inlineStr">
        <is>
          <t>UMEÅ</t>
        </is>
      </c>
      <c r="F10128" t="inlineStr">
        <is>
          <t>Holmen skog AB</t>
        </is>
      </c>
      <c r="G10128" t="n">
        <v>3.7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31251-2024</t>
        </is>
      </c>
      <c r="B10129" s="1" t="n">
        <v>45503.65972222222</v>
      </c>
      <c r="C10129" s="1" t="n">
        <v>46075</v>
      </c>
      <c r="D10129" t="inlineStr">
        <is>
          <t>VÄSTERBOTTENS LÄN</t>
        </is>
      </c>
      <c r="E10129" t="inlineStr">
        <is>
          <t>LYCKSELE</t>
        </is>
      </c>
      <c r="F10129" t="inlineStr">
        <is>
          <t>Sveaskog</t>
        </is>
      </c>
      <c r="G10129" t="n">
        <v>7.4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13090-2024</t>
        </is>
      </c>
      <c r="B10130" s="1" t="n">
        <v>45385</v>
      </c>
      <c r="C10130" s="1" t="n">
        <v>46075</v>
      </c>
      <c r="D10130" t="inlineStr">
        <is>
          <t>VÄSTERBOTTENS LÄN</t>
        </is>
      </c>
      <c r="E10130" t="inlineStr">
        <is>
          <t>UMEÅ</t>
        </is>
      </c>
      <c r="G10130" t="n">
        <v>2.1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468-2024</t>
        </is>
      </c>
      <c r="B10131" s="1" t="n">
        <v>45297</v>
      </c>
      <c r="C10131" s="1" t="n">
        <v>46075</v>
      </c>
      <c r="D10131" t="inlineStr">
        <is>
          <t>VÄSTERBOTTENS LÄN</t>
        </is>
      </c>
      <c r="E10131" t="inlineStr">
        <is>
          <t>VILHELMINA</t>
        </is>
      </c>
      <c r="G10131" t="n">
        <v>6.7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667-2026</t>
        </is>
      </c>
      <c r="B10132" s="1" t="n">
        <v>46029.58945601852</v>
      </c>
      <c r="C10132" s="1" t="n">
        <v>46075</v>
      </c>
      <c r="D10132" t="inlineStr">
        <is>
          <t>VÄSTERBOTTENS LÄN</t>
        </is>
      </c>
      <c r="E10132" t="inlineStr">
        <is>
          <t>UMEÅ</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42749-2023</t>
        </is>
      </c>
      <c r="B10133" s="1" t="n">
        <v>45177</v>
      </c>
      <c r="C10133" s="1" t="n">
        <v>46075</v>
      </c>
      <c r="D10133" t="inlineStr">
        <is>
          <t>VÄSTERBOTTENS LÄN</t>
        </is>
      </c>
      <c r="E10133" t="inlineStr">
        <is>
          <t>SORSELE</t>
        </is>
      </c>
      <c r="G10133" t="n">
        <v>4.7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4633-2026</t>
        </is>
      </c>
      <c r="B10134" s="1" t="n">
        <v>46048.3909375</v>
      </c>
      <c r="C10134" s="1" t="n">
        <v>46075</v>
      </c>
      <c r="D10134" t="inlineStr">
        <is>
          <t>VÄSTERBOTTENS LÄN</t>
        </is>
      </c>
      <c r="E10134" t="inlineStr">
        <is>
          <t>UMEÅ</t>
        </is>
      </c>
      <c r="G10134" t="n">
        <v>3.3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8577-2026</t>
        </is>
      </c>
      <c r="B10135" s="1" t="n">
        <v>46065</v>
      </c>
      <c r="C10135" s="1" t="n">
        <v>46075</v>
      </c>
      <c r="D10135" t="inlineStr">
        <is>
          <t>VÄSTERBOTTENS LÄN</t>
        </is>
      </c>
      <c r="E10135" t="inlineStr">
        <is>
          <t>LYCKSELE</t>
        </is>
      </c>
      <c r="G10135" t="n">
        <v>9.9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9311-2026</t>
        </is>
      </c>
      <c r="B10136" s="1" t="n">
        <v>46070.61159722223</v>
      </c>
      <c r="C10136" s="1" t="n">
        <v>46075</v>
      </c>
      <c r="D10136" t="inlineStr">
        <is>
          <t>VÄSTERBOTTENS LÄN</t>
        </is>
      </c>
      <c r="E10136" t="inlineStr">
        <is>
          <t>MALÅ</t>
        </is>
      </c>
      <c r="G10136" t="n">
        <v>6.3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17582-2024</t>
        </is>
      </c>
      <c r="B10137" s="1" t="n">
        <v>45415</v>
      </c>
      <c r="C10137" s="1" t="n">
        <v>46075</v>
      </c>
      <c r="D10137" t="inlineStr">
        <is>
          <t>VÄSTERBOTTENS LÄN</t>
        </is>
      </c>
      <c r="E10137" t="inlineStr">
        <is>
          <t>VÄNNÄS</t>
        </is>
      </c>
      <c r="G10137" t="n">
        <v>1.3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56315-2023</t>
        </is>
      </c>
      <c r="B10138" s="1" t="n">
        <v>45236</v>
      </c>
      <c r="C10138" s="1" t="n">
        <v>46075</v>
      </c>
      <c r="D10138" t="inlineStr">
        <is>
          <t>VÄSTERBOTTENS LÄN</t>
        </is>
      </c>
      <c r="E10138" t="inlineStr">
        <is>
          <t>BJURHOLM</t>
        </is>
      </c>
      <c r="G10138" t="n">
        <v>2.6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11945-2023</t>
        </is>
      </c>
      <c r="B10139" s="1" t="n">
        <v>44995</v>
      </c>
      <c r="C10139" s="1" t="n">
        <v>46075</v>
      </c>
      <c r="D10139" t="inlineStr">
        <is>
          <t>VÄSTERBOTTENS LÄN</t>
        </is>
      </c>
      <c r="E10139" t="inlineStr">
        <is>
          <t>SKELLEFTEÅ</t>
        </is>
      </c>
      <c r="F10139" t="inlineStr">
        <is>
          <t>Sveaskog</t>
        </is>
      </c>
      <c r="G10139" t="n">
        <v>2.6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5738-2026</t>
        </is>
      </c>
      <c r="B10140" s="1" t="n">
        <v>46049</v>
      </c>
      <c r="C10140" s="1" t="n">
        <v>46075</v>
      </c>
      <c r="D10140" t="inlineStr">
        <is>
          <t>VÄSTERBOTTENS LÄN</t>
        </is>
      </c>
      <c r="E10140" t="inlineStr">
        <is>
          <t>VILHELMINA</t>
        </is>
      </c>
      <c r="G10140" t="n">
        <v>4.1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474-2026</t>
        </is>
      </c>
      <c r="B10141" s="1" t="n">
        <v>46029.39258101852</v>
      </c>
      <c r="C10141" s="1" t="n">
        <v>46075</v>
      </c>
      <c r="D10141" t="inlineStr">
        <is>
          <t>VÄSTERBOTTENS LÄN</t>
        </is>
      </c>
      <c r="E10141" t="inlineStr">
        <is>
          <t>SKELLEFTEÅ</t>
        </is>
      </c>
      <c r="G10141" t="n">
        <v>8.300000000000001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64920-2023</t>
        </is>
      </c>
      <c r="B10142" s="1" t="n">
        <v>45282.68806712963</v>
      </c>
      <c r="C10142" s="1" t="n">
        <v>46075</v>
      </c>
      <c r="D10142" t="inlineStr">
        <is>
          <t>VÄSTERBOTTENS LÄN</t>
        </is>
      </c>
      <c r="E10142" t="inlineStr">
        <is>
          <t>SKELLEFTEÅ</t>
        </is>
      </c>
      <c r="F10142" t="inlineStr">
        <is>
          <t>Sveaskog</t>
        </is>
      </c>
      <c r="G10142" t="n">
        <v>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524-2026</t>
        </is>
      </c>
      <c r="B10143" s="1" t="n">
        <v>46029.44908564815</v>
      </c>
      <c r="C10143" s="1" t="n">
        <v>46075</v>
      </c>
      <c r="D10143" t="inlineStr">
        <is>
          <t>VÄSTERBOTTENS LÄN</t>
        </is>
      </c>
      <c r="E10143" t="inlineStr">
        <is>
          <t>UMEÅ</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553-2026</t>
        </is>
      </c>
      <c r="B10144" s="1" t="n">
        <v>46029.46365740741</v>
      </c>
      <c r="C10144" s="1" t="n">
        <v>46075</v>
      </c>
      <c r="D10144" t="inlineStr">
        <is>
          <t>VÄSTERBOTTENS LÄN</t>
        </is>
      </c>
      <c r="E10144" t="inlineStr">
        <is>
          <t>NORSJÖ</t>
        </is>
      </c>
      <c r="G10144" t="n">
        <v>2.6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52144-2023</t>
        </is>
      </c>
      <c r="B10145" s="1" t="n">
        <v>45223.96712962963</v>
      </c>
      <c r="C10145" s="1" t="n">
        <v>46075</v>
      </c>
      <c r="D10145" t="inlineStr">
        <is>
          <t>VÄSTERBOTTENS LÄN</t>
        </is>
      </c>
      <c r="E10145" t="inlineStr">
        <is>
          <t>DOROTEA</t>
        </is>
      </c>
      <c r="F10145" t="inlineStr">
        <is>
          <t>SCA</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46372-2023</t>
        </is>
      </c>
      <c r="B10146" s="1" t="n">
        <v>45197</v>
      </c>
      <c r="C10146" s="1" t="n">
        <v>46075</v>
      </c>
      <c r="D10146" t="inlineStr">
        <is>
          <t>VÄSTERBOTTENS LÄN</t>
        </is>
      </c>
      <c r="E10146" t="inlineStr">
        <is>
          <t>UMEÅ</t>
        </is>
      </c>
      <c r="F10146" t="inlineStr">
        <is>
          <t>Holmen skog AB</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55444-2023</t>
        </is>
      </c>
      <c r="B10147" s="1" t="n">
        <v>45231</v>
      </c>
      <c r="C10147" s="1" t="n">
        <v>46075</v>
      </c>
      <c r="D10147" t="inlineStr">
        <is>
          <t>VÄSTERBOTTENS LÄN</t>
        </is>
      </c>
      <c r="E10147" t="inlineStr">
        <is>
          <t>VÄNNÄS</t>
        </is>
      </c>
      <c r="G10147" t="n">
        <v>3.4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686-2026</t>
        </is>
      </c>
      <c r="B10148" s="1" t="n">
        <v>46029.60719907407</v>
      </c>
      <c r="C10148" s="1" t="n">
        <v>46075</v>
      </c>
      <c r="D10148" t="inlineStr">
        <is>
          <t>VÄSTERBOTTENS LÄN</t>
        </is>
      </c>
      <c r="E10148" t="inlineStr">
        <is>
          <t>VÄNNÄS</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58934-2024</t>
        </is>
      </c>
      <c r="B10149" s="1" t="n">
        <v>45636</v>
      </c>
      <c r="C10149" s="1" t="n">
        <v>46075</v>
      </c>
      <c r="D10149" t="inlineStr">
        <is>
          <t>VÄSTERBOTTENS LÄN</t>
        </is>
      </c>
      <c r="E10149" t="inlineStr">
        <is>
          <t>VILHELMINA</t>
        </is>
      </c>
      <c r="F10149" t="inlineStr">
        <is>
          <t>Allmännings- och besparingsskogar</t>
        </is>
      </c>
      <c r="G10149" t="n">
        <v>47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9181-2023</t>
        </is>
      </c>
      <c r="B10150" s="1" t="n">
        <v>44972</v>
      </c>
      <c r="C10150" s="1" t="n">
        <v>46075</v>
      </c>
      <c r="D10150" t="inlineStr">
        <is>
          <t>VÄSTERBOTTENS LÄN</t>
        </is>
      </c>
      <c r="E10150" t="inlineStr">
        <is>
          <t>VILHELMINA</t>
        </is>
      </c>
      <c r="F10150" t="inlineStr">
        <is>
          <t>Allmännings- och besparingsskogar</t>
        </is>
      </c>
      <c r="G10150" t="n">
        <v>220.1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9310-2026</t>
        </is>
      </c>
      <c r="B10151" s="1" t="n">
        <v>46070.60898148148</v>
      </c>
      <c r="C10151" s="1" t="n">
        <v>46075</v>
      </c>
      <c r="D10151" t="inlineStr">
        <is>
          <t>VÄSTERBOTTENS LÄN</t>
        </is>
      </c>
      <c r="E10151" t="inlineStr">
        <is>
          <t>LYCKSELE</t>
        </is>
      </c>
      <c r="G10151" t="n">
        <v>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4018-2026</t>
        </is>
      </c>
      <c r="B10152" s="1" t="n">
        <v>46044.42516203703</v>
      </c>
      <c r="C10152" s="1" t="n">
        <v>46075</v>
      </c>
      <c r="D10152" t="inlineStr">
        <is>
          <t>VÄSTERBOTTENS LÄN</t>
        </is>
      </c>
      <c r="E10152" t="inlineStr">
        <is>
          <t>BJURHOLM</t>
        </is>
      </c>
      <c r="G10152" t="n">
        <v>3.2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9457-2026</t>
        </is>
      </c>
      <c r="B10153" s="1" t="n">
        <v>46071.48806712963</v>
      </c>
      <c r="C10153" s="1" t="n">
        <v>46075</v>
      </c>
      <c r="D10153" t="inlineStr">
        <is>
          <t>VÄSTERBOTTENS LÄN</t>
        </is>
      </c>
      <c r="E10153" t="inlineStr">
        <is>
          <t>UMEÅ</t>
        </is>
      </c>
      <c r="G10153" t="n">
        <v>0.3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30986-2024</t>
        </is>
      </c>
      <c r="B10154" s="1" t="n">
        <v>45499.52881944444</v>
      </c>
      <c r="C10154" s="1" t="n">
        <v>46075</v>
      </c>
      <c r="D10154" t="inlineStr">
        <is>
          <t>VÄSTERBOTTENS LÄN</t>
        </is>
      </c>
      <c r="E10154" t="inlineStr">
        <is>
          <t>SKELLEFTEÅ</t>
        </is>
      </c>
      <c r="F10154" t="inlineStr">
        <is>
          <t>Sveaskog</t>
        </is>
      </c>
      <c r="G10154" t="n">
        <v>13.9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58581-2022</t>
        </is>
      </c>
      <c r="B10155" s="1" t="n">
        <v>44902</v>
      </c>
      <c r="C10155" s="1" t="n">
        <v>46075</v>
      </c>
      <c r="D10155" t="inlineStr">
        <is>
          <t>VÄSTERBOTTENS LÄN</t>
        </is>
      </c>
      <c r="E10155" t="inlineStr">
        <is>
          <t>VINDELN</t>
        </is>
      </c>
      <c r="G10155" t="n">
        <v>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50187-2023</t>
        </is>
      </c>
      <c r="B10156" s="1" t="n">
        <v>45215.78850694445</v>
      </c>
      <c r="C10156" s="1" t="n">
        <v>46075</v>
      </c>
      <c r="D10156" t="inlineStr">
        <is>
          <t>VÄSTERBOTTENS LÄN</t>
        </is>
      </c>
      <c r="E10156" t="inlineStr">
        <is>
          <t>ROBERTSFORS</t>
        </is>
      </c>
      <c r="G10156" t="n">
        <v>0.4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32820-2023</t>
        </is>
      </c>
      <c r="B10157" s="1" t="n">
        <v>45112</v>
      </c>
      <c r="C10157" s="1" t="n">
        <v>46075</v>
      </c>
      <c r="D10157" t="inlineStr">
        <is>
          <t>VÄSTERBOTTENS LÄN</t>
        </is>
      </c>
      <c r="E10157" t="inlineStr">
        <is>
          <t>SKELLEFTEÅ</t>
        </is>
      </c>
      <c r="G10157" t="n">
        <v>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9250-2026</t>
        </is>
      </c>
      <c r="B10158" s="1" t="n">
        <v>46070.50366898148</v>
      </c>
      <c r="C10158" s="1" t="n">
        <v>46075</v>
      </c>
      <c r="D10158" t="inlineStr">
        <is>
          <t>VÄSTERBOTTENS LÄN</t>
        </is>
      </c>
      <c r="E10158" t="inlineStr">
        <is>
          <t>VÄNNÄS</t>
        </is>
      </c>
      <c r="G10158" t="n">
        <v>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511-2026</t>
        </is>
      </c>
      <c r="B10159" s="1" t="n">
        <v>46029.44138888889</v>
      </c>
      <c r="C10159" s="1" t="n">
        <v>46075</v>
      </c>
      <c r="D10159" t="inlineStr">
        <is>
          <t>VÄSTERBOTTENS LÄN</t>
        </is>
      </c>
      <c r="E10159" t="inlineStr">
        <is>
          <t>NORDMALING</t>
        </is>
      </c>
      <c r="G10159" t="n">
        <v>8.9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33400-2023</t>
        </is>
      </c>
      <c r="B10160" s="1" t="n">
        <v>45128.64351851852</v>
      </c>
      <c r="C10160" s="1" t="n">
        <v>46075</v>
      </c>
      <c r="D10160" t="inlineStr">
        <is>
          <t>VÄSTERBOTTENS LÄN</t>
        </is>
      </c>
      <c r="E10160" t="inlineStr">
        <is>
          <t>LYCKSELE</t>
        </is>
      </c>
      <c r="F10160" t="inlineStr">
        <is>
          <t>Holmen skog AB</t>
        </is>
      </c>
      <c r="G10160" t="n">
        <v>3.3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33412-2023</t>
        </is>
      </c>
      <c r="B10161" s="1" t="n">
        <v>45117</v>
      </c>
      <c r="C10161" s="1" t="n">
        <v>46075</v>
      </c>
      <c r="D10161" t="inlineStr">
        <is>
          <t>VÄSTERBOTTENS LÄN</t>
        </is>
      </c>
      <c r="E10161" t="inlineStr">
        <is>
          <t>VILHELMINA</t>
        </is>
      </c>
      <c r="F10161" t="inlineStr">
        <is>
          <t>Övriga Aktiebolag</t>
        </is>
      </c>
      <c r="G10161" t="n">
        <v>0.3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38505-2021</t>
        </is>
      </c>
      <c r="B10162" s="1" t="n">
        <v>44407.49136574074</v>
      </c>
      <c r="C10162" s="1" t="n">
        <v>46075</v>
      </c>
      <c r="D10162" t="inlineStr">
        <is>
          <t>VÄSTERBOTTENS LÄN</t>
        </is>
      </c>
      <c r="E10162" t="inlineStr">
        <is>
          <t>SKELLEFTEÅ</t>
        </is>
      </c>
      <c r="G10162" t="n">
        <v>2.7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572-2026</t>
        </is>
      </c>
      <c r="B10163" s="1" t="n">
        <v>46029.47375</v>
      </c>
      <c r="C10163" s="1" t="n">
        <v>46075</v>
      </c>
      <c r="D10163" t="inlineStr">
        <is>
          <t>VÄSTERBOTTENS LÄN</t>
        </is>
      </c>
      <c r="E10163" t="inlineStr">
        <is>
          <t>NORSJÖ</t>
        </is>
      </c>
      <c r="G10163" t="n">
        <v>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35732-2023</t>
        </is>
      </c>
      <c r="B10164" s="1" t="n">
        <v>45147</v>
      </c>
      <c r="C10164" s="1" t="n">
        <v>46075</v>
      </c>
      <c r="D10164" t="inlineStr">
        <is>
          <t>VÄSTERBOTTENS LÄN</t>
        </is>
      </c>
      <c r="E10164" t="inlineStr">
        <is>
          <t>SKELLEFTEÅ</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9264-2026</t>
        </is>
      </c>
      <c r="B10165" s="1" t="n">
        <v>46070.53387731482</v>
      </c>
      <c r="C10165" s="1" t="n">
        <v>46075</v>
      </c>
      <c r="D10165" t="inlineStr">
        <is>
          <t>VÄSTERBOTTENS LÄN</t>
        </is>
      </c>
      <c r="E10165" t="inlineStr">
        <is>
          <t>BJURHOLM</t>
        </is>
      </c>
      <c r="G10165" t="n">
        <v>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56674-2021</t>
        </is>
      </c>
      <c r="B10166" s="1" t="n">
        <v>44480</v>
      </c>
      <c r="C10166" s="1" t="n">
        <v>46075</v>
      </c>
      <c r="D10166" t="inlineStr">
        <is>
          <t>VÄSTERBOTTENS LÄN</t>
        </is>
      </c>
      <c r="E10166" t="inlineStr">
        <is>
          <t>NORDMALING</t>
        </is>
      </c>
      <c r="G10166" t="n">
        <v>12.5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56676-2021</t>
        </is>
      </c>
      <c r="B10167" s="1" t="n">
        <v>44481.32383101852</v>
      </c>
      <c r="C10167" s="1" t="n">
        <v>46075</v>
      </c>
      <c r="D10167" t="inlineStr">
        <is>
          <t>VÄSTERBOTTENS LÄN</t>
        </is>
      </c>
      <c r="E10167" t="inlineStr">
        <is>
          <t>UMEÅ</t>
        </is>
      </c>
      <c r="F10167" t="inlineStr">
        <is>
          <t>Sveaskog</t>
        </is>
      </c>
      <c r="G10167" t="n">
        <v>1.9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526-2026</t>
        </is>
      </c>
      <c r="B10168" s="1" t="n">
        <v>46029.44914351852</v>
      </c>
      <c r="C10168" s="1" t="n">
        <v>46075</v>
      </c>
      <c r="D10168" t="inlineStr">
        <is>
          <t>VÄSTERBOTTENS LÄN</t>
        </is>
      </c>
      <c r="E10168" t="inlineStr">
        <is>
          <t>UMEÅ</t>
        </is>
      </c>
      <c r="G10168" t="n">
        <v>2.4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527-2026</t>
        </is>
      </c>
      <c r="B10169" s="1" t="n">
        <v>46029.44916666667</v>
      </c>
      <c r="C10169" s="1" t="n">
        <v>46075</v>
      </c>
      <c r="D10169" t="inlineStr">
        <is>
          <t>VÄSTERBOTTENS LÄN</t>
        </is>
      </c>
      <c r="E10169" t="inlineStr">
        <is>
          <t>UMEÅ</t>
        </is>
      </c>
      <c r="G10169" t="n">
        <v>0.7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3150-2026</t>
        </is>
      </c>
      <c r="B10170" s="1" t="n">
        <v>46041.42417824074</v>
      </c>
      <c r="C10170" s="1" t="n">
        <v>46075</v>
      </c>
      <c r="D10170" t="inlineStr">
        <is>
          <t>VÄSTERBOTTENS LÄN</t>
        </is>
      </c>
      <c r="E10170" t="inlineStr">
        <is>
          <t>UMEÅ</t>
        </is>
      </c>
      <c r="G10170" t="n">
        <v>0.6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11139-2022</t>
        </is>
      </c>
      <c r="B10171" s="1" t="n">
        <v>44628</v>
      </c>
      <c r="C10171" s="1" t="n">
        <v>46075</v>
      </c>
      <c r="D10171" t="inlineStr">
        <is>
          <t>VÄSTERBOTTENS LÄN</t>
        </is>
      </c>
      <c r="E10171" t="inlineStr">
        <is>
          <t>VILHELMINA</t>
        </is>
      </c>
      <c r="G10171" t="n">
        <v>13.6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36991-2022</t>
        </is>
      </c>
      <c r="B10172" s="1" t="n">
        <v>44806</v>
      </c>
      <c r="C10172" s="1" t="n">
        <v>46075</v>
      </c>
      <c r="D10172" t="inlineStr">
        <is>
          <t>VÄSTERBOTTENS LÄN</t>
        </is>
      </c>
      <c r="E10172" t="inlineStr">
        <is>
          <t>BJURHOLM</t>
        </is>
      </c>
      <c r="G10172" t="n">
        <v>1.8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23336-2022</t>
        </is>
      </c>
      <c r="B10173" s="1" t="n">
        <v>44719</v>
      </c>
      <c r="C10173" s="1" t="n">
        <v>46075</v>
      </c>
      <c r="D10173" t="inlineStr">
        <is>
          <t>VÄSTERBOTTENS LÄN</t>
        </is>
      </c>
      <c r="E10173" t="inlineStr">
        <is>
          <t>SORSELE</t>
        </is>
      </c>
      <c r="G10173" t="n">
        <v>8.6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61967-2022</t>
        </is>
      </c>
      <c r="B10174" s="1" t="n">
        <v>44918.35616898148</v>
      </c>
      <c r="C10174" s="1" t="n">
        <v>46075</v>
      </c>
      <c r="D10174" t="inlineStr">
        <is>
          <t>VÄSTERBOTTENS LÄN</t>
        </is>
      </c>
      <c r="E10174" t="inlineStr">
        <is>
          <t>SORSELE</t>
        </is>
      </c>
      <c r="F10174" t="inlineStr">
        <is>
          <t>Sveaskog</t>
        </is>
      </c>
      <c r="G10174" t="n">
        <v>17.5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9255-2026</t>
        </is>
      </c>
      <c r="B10175" s="1" t="n">
        <v>46070.51079861111</v>
      </c>
      <c r="C10175" s="1" t="n">
        <v>46075</v>
      </c>
      <c r="D10175" t="inlineStr">
        <is>
          <t>VÄSTERBOTTENS LÄN</t>
        </is>
      </c>
      <c r="E10175" t="inlineStr">
        <is>
          <t>SKELLEFTEÅ</t>
        </is>
      </c>
      <c r="G10175" t="n">
        <v>6.4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36425-2023</t>
        </is>
      </c>
      <c r="B10176" s="1" t="n">
        <v>45152</v>
      </c>
      <c r="C10176" s="1" t="n">
        <v>46075</v>
      </c>
      <c r="D10176" t="inlineStr">
        <is>
          <t>VÄSTERBOTTENS LÄN</t>
        </is>
      </c>
      <c r="E10176" t="inlineStr">
        <is>
          <t>MALÅ</t>
        </is>
      </c>
      <c r="G10176" t="n">
        <v>2.7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671-2026</t>
        </is>
      </c>
      <c r="B10177" s="1" t="n">
        <v>46029.59167824074</v>
      </c>
      <c r="C10177" s="1" t="n">
        <v>46075</v>
      </c>
      <c r="D10177" t="inlineStr">
        <is>
          <t>VÄSTERBOTTENS LÄN</t>
        </is>
      </c>
      <c r="E10177" t="inlineStr">
        <is>
          <t>NORSJÖ</t>
        </is>
      </c>
      <c r="G10177" t="n">
        <v>2.4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55456-2022</t>
        </is>
      </c>
      <c r="B10178" s="1" t="n">
        <v>44887</v>
      </c>
      <c r="C10178" s="1" t="n">
        <v>46075</v>
      </c>
      <c r="D10178" t="inlineStr">
        <is>
          <t>VÄSTERBOTTENS LÄN</t>
        </is>
      </c>
      <c r="E10178" t="inlineStr">
        <is>
          <t>LYCKSELE</t>
        </is>
      </c>
      <c r="F10178" t="inlineStr">
        <is>
          <t>Holmen skog AB</t>
        </is>
      </c>
      <c r="G10178" t="n">
        <v>3.2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36852-2023</t>
        </is>
      </c>
      <c r="B10179" s="1" t="n">
        <v>45154.54208333333</v>
      </c>
      <c r="C10179" s="1" t="n">
        <v>46075</v>
      </c>
      <c r="D10179" t="inlineStr">
        <is>
          <t>VÄSTERBOTTENS LÄN</t>
        </is>
      </c>
      <c r="E10179" t="inlineStr">
        <is>
          <t>ÅSELE</t>
        </is>
      </c>
      <c r="F10179" t="inlineStr">
        <is>
          <t>Holmen skog AB</t>
        </is>
      </c>
      <c r="G10179" t="n">
        <v>11.8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33460-2024</t>
        </is>
      </c>
      <c r="B10180" s="1" t="n">
        <v>45519.58368055556</v>
      </c>
      <c r="C10180" s="1" t="n">
        <v>46075</v>
      </c>
      <c r="D10180" t="inlineStr">
        <is>
          <t>VÄSTERBOTTENS LÄN</t>
        </is>
      </c>
      <c r="E10180" t="inlineStr">
        <is>
          <t>NORSJÖ</t>
        </is>
      </c>
      <c r="G10180" t="n">
        <v>1.6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19498-2023</t>
        </is>
      </c>
      <c r="B10181" s="1" t="n">
        <v>45049</v>
      </c>
      <c r="C10181" s="1" t="n">
        <v>46075</v>
      </c>
      <c r="D10181" t="inlineStr">
        <is>
          <t>VÄSTERBOTTENS LÄN</t>
        </is>
      </c>
      <c r="E10181" t="inlineStr">
        <is>
          <t>SKELLEFTEÅ</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22502-2024</t>
        </is>
      </c>
      <c r="B10182" s="1" t="n">
        <v>45447</v>
      </c>
      <c r="C10182" s="1" t="n">
        <v>46075</v>
      </c>
      <c r="D10182" t="inlineStr">
        <is>
          <t>VÄSTERBOTTENS LÄN</t>
        </is>
      </c>
      <c r="E10182" t="inlineStr">
        <is>
          <t>BJURHOLM</t>
        </is>
      </c>
      <c r="F10182" t="inlineStr">
        <is>
          <t>Holmen skog AB</t>
        </is>
      </c>
      <c r="G10182" t="n">
        <v>2.5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23169-2024</t>
        </is>
      </c>
      <c r="B10183" s="1" t="n">
        <v>45450</v>
      </c>
      <c r="C10183" s="1" t="n">
        <v>46075</v>
      </c>
      <c r="D10183" t="inlineStr">
        <is>
          <t>VÄSTERBOTTENS LÄN</t>
        </is>
      </c>
      <c r="E10183" t="inlineStr">
        <is>
          <t>SKELLEFTEÅ</t>
        </is>
      </c>
      <c r="G10183" t="n">
        <v>4.1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23171-2024</t>
        </is>
      </c>
      <c r="B10184" s="1" t="n">
        <v>45450</v>
      </c>
      <c r="C10184" s="1" t="n">
        <v>46075</v>
      </c>
      <c r="D10184" t="inlineStr">
        <is>
          <t>VÄSTERBOTTENS LÄN</t>
        </is>
      </c>
      <c r="E10184" t="inlineStr">
        <is>
          <t>NORSJÖ</t>
        </is>
      </c>
      <c r="G10184" t="n">
        <v>0.5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29747-2023</t>
        </is>
      </c>
      <c r="B10185" s="1" t="n">
        <v>45107</v>
      </c>
      <c r="C10185" s="1" t="n">
        <v>46075</v>
      </c>
      <c r="D10185" t="inlineStr">
        <is>
          <t>VÄSTERBOTTENS LÄN</t>
        </is>
      </c>
      <c r="E10185" t="inlineStr">
        <is>
          <t>STORUMAN</t>
        </is>
      </c>
      <c r="F10185" t="inlineStr">
        <is>
          <t>Holmen skog AB</t>
        </is>
      </c>
      <c r="G10185" t="n">
        <v>13.3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39677-2024</t>
        </is>
      </c>
      <c r="B10186" s="1" t="n">
        <v>45552</v>
      </c>
      <c r="C10186" s="1" t="n">
        <v>46075</v>
      </c>
      <c r="D10186" t="inlineStr">
        <is>
          <t>VÄSTERBOTTENS LÄN</t>
        </is>
      </c>
      <c r="E10186" t="inlineStr">
        <is>
          <t>VILHELMINA</t>
        </is>
      </c>
      <c r="F10186" t="inlineStr">
        <is>
          <t>SCA</t>
        </is>
      </c>
      <c r="G10186" t="n">
        <v>8.800000000000001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60488-2022</t>
        </is>
      </c>
      <c r="B10187" s="1" t="n">
        <v>44911.43144675926</v>
      </c>
      <c r="C10187" s="1" t="n">
        <v>46075</v>
      </c>
      <c r="D10187" t="inlineStr">
        <is>
          <t>VÄSTERBOTTENS LÄN</t>
        </is>
      </c>
      <c r="E10187" t="inlineStr">
        <is>
          <t>SKELLEFTEÅ</t>
        </is>
      </c>
      <c r="F10187" t="inlineStr">
        <is>
          <t>Sveaskog</t>
        </is>
      </c>
      <c r="G10187" t="n">
        <v>11.6</v>
      </c>
      <c r="H10187" t="n">
        <v>0</v>
      </c>
      <c r="I10187" t="n">
        <v>0</v>
      </c>
      <c r="J10187" t="n">
        <v>0</v>
      </c>
      <c r="K10187" t="n">
        <v>0</v>
      </c>
      <c r="L10187" t="n">
        <v>0</v>
      </c>
      <c r="M10187" t="n">
        <v>0</v>
      </c>
      <c r="N10187" t="n">
        <v>0</v>
      </c>
      <c r="O10187" t="n">
        <v>0</v>
      </c>
      <c r="P10187" t="n">
        <v>0</v>
      </c>
      <c r="Q10187" t="n">
        <v>0</v>
      </c>
      <c r="R10187" s="2" t="inlineStr"/>
      <c r="U10187">
        <f>HYPERLINK("https://klasma.github.io/Logging_2482/knärot/A 60488-2022 karta knärot.png", "A 60488-2022")</f>
        <v/>
      </c>
      <c r="V10187">
        <f>HYPERLINK("https://klasma.github.io/Logging_2482/klagomål/A 60488-2022 FSC-klagomål.docx", "A 60488-2022")</f>
        <v/>
      </c>
      <c r="W10187">
        <f>HYPERLINK("https://klasma.github.io/Logging_2482/klagomålsmail/A 60488-2022 FSC-klagomål mail.docx", "A 60488-2022")</f>
        <v/>
      </c>
      <c r="X10187">
        <f>HYPERLINK("https://klasma.github.io/Logging_2482/tillsyn/A 60488-2022 tillsynsbegäran.docx", "A 60488-2022")</f>
        <v/>
      </c>
      <c r="Y10187">
        <f>HYPERLINK("https://klasma.github.io/Logging_2482/tillsynsmail/A 60488-2022 tillsynsbegäran mail.docx", "A 60488-2022")</f>
        <v/>
      </c>
    </row>
    <row r="10188" ht="15" customHeight="1">
      <c r="A10188" t="inlineStr">
        <is>
          <t>A 47494-2023</t>
        </is>
      </c>
      <c r="B10188" s="1" t="n">
        <v>45202.9420949074</v>
      </c>
      <c r="C10188" s="1" t="n">
        <v>46075</v>
      </c>
      <c r="D10188" t="inlineStr">
        <is>
          <t>VÄSTERBOTTENS LÄN</t>
        </is>
      </c>
      <c r="E10188" t="inlineStr">
        <is>
          <t>DOROTEA</t>
        </is>
      </c>
      <c r="F10188" t="inlineStr">
        <is>
          <t>SCA</t>
        </is>
      </c>
      <c r="G10188" t="n">
        <v>1.9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3154-2026</t>
        </is>
      </c>
      <c r="B10189" s="1" t="n">
        <v>46041.42799768518</v>
      </c>
      <c r="C10189" s="1" t="n">
        <v>46075</v>
      </c>
      <c r="D10189" t="inlineStr">
        <is>
          <t>VÄSTERBOTTENS LÄN</t>
        </is>
      </c>
      <c r="E10189" t="inlineStr">
        <is>
          <t>UMEÅ</t>
        </is>
      </c>
      <c r="G10189" t="n">
        <v>0.6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32677-2022</t>
        </is>
      </c>
      <c r="B10190" s="1" t="n">
        <v>44783.55438657408</v>
      </c>
      <c r="C10190" s="1" t="n">
        <v>46075</v>
      </c>
      <c r="D10190" t="inlineStr">
        <is>
          <t>VÄSTERBOTTENS LÄN</t>
        </is>
      </c>
      <c r="E10190" t="inlineStr">
        <is>
          <t>SKELLEFTEÅ</t>
        </is>
      </c>
      <c r="G10190" t="n">
        <v>2.6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3242-2026</t>
        </is>
      </c>
      <c r="B10191" s="1" t="n">
        <v>46041.56930555555</v>
      </c>
      <c r="C10191" s="1" t="n">
        <v>46075</v>
      </c>
      <c r="D10191" t="inlineStr">
        <is>
          <t>VÄSTERBOTTENS LÄN</t>
        </is>
      </c>
      <c r="E10191" t="inlineStr">
        <is>
          <t>VINDELN</t>
        </is>
      </c>
      <c r="G10191" t="n">
        <v>2.7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3973-2026</t>
        </is>
      </c>
      <c r="B10192" s="1" t="n">
        <v>46044</v>
      </c>
      <c r="C10192" s="1" t="n">
        <v>46075</v>
      </c>
      <c r="D10192" t="inlineStr">
        <is>
          <t>VÄSTERBOTTENS LÄN</t>
        </is>
      </c>
      <c r="E10192" t="inlineStr">
        <is>
          <t>LYCKSELE</t>
        </is>
      </c>
      <c r="G10192" t="n">
        <v>6.1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48751-2023</t>
        </is>
      </c>
      <c r="B10193" s="1" t="n">
        <v>45208.89429398148</v>
      </c>
      <c r="C10193" s="1" t="n">
        <v>46075</v>
      </c>
      <c r="D10193" t="inlineStr">
        <is>
          <t>VÄSTERBOTTENS LÄN</t>
        </is>
      </c>
      <c r="E10193" t="inlineStr">
        <is>
          <t>UMEÅ</t>
        </is>
      </c>
      <c r="G10193" t="n">
        <v>5.9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29347-2021</t>
        </is>
      </c>
      <c r="B10194" s="1" t="n">
        <v>44361</v>
      </c>
      <c r="C10194" s="1" t="n">
        <v>46075</v>
      </c>
      <c r="D10194" t="inlineStr">
        <is>
          <t>VÄSTERBOTTENS LÄN</t>
        </is>
      </c>
      <c r="E10194" t="inlineStr">
        <is>
          <t>VILHELMINA</t>
        </is>
      </c>
      <c r="F10194" t="inlineStr">
        <is>
          <t>Allmännings- och besparingsskogar</t>
        </is>
      </c>
      <c r="G10194" t="n">
        <v>52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3982-2026</t>
        </is>
      </c>
      <c r="B10195" s="1" t="n">
        <v>46044</v>
      </c>
      <c r="C10195" s="1" t="n">
        <v>46075</v>
      </c>
      <c r="D10195" t="inlineStr">
        <is>
          <t>VÄSTERBOTTENS LÄN</t>
        </is>
      </c>
      <c r="E10195" t="inlineStr">
        <is>
          <t>LYCKSELE</t>
        </is>
      </c>
      <c r="G10195" t="n">
        <v>1.3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14504-2024</t>
        </is>
      </c>
      <c r="B10196" s="1" t="n">
        <v>45394</v>
      </c>
      <c r="C10196" s="1" t="n">
        <v>46075</v>
      </c>
      <c r="D10196" t="inlineStr">
        <is>
          <t>VÄSTERBOTTENS LÄN</t>
        </is>
      </c>
      <c r="E10196" t="inlineStr">
        <is>
          <t>MALÅ</t>
        </is>
      </c>
      <c r="F10196" t="inlineStr">
        <is>
          <t>Sveaskog</t>
        </is>
      </c>
      <c r="G10196" t="n">
        <v>6.5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14512-2024</t>
        </is>
      </c>
      <c r="B10197" s="1" t="n">
        <v>45394</v>
      </c>
      <c r="C10197" s="1" t="n">
        <v>46075</v>
      </c>
      <c r="D10197" t="inlineStr">
        <is>
          <t>VÄSTERBOTTENS LÄN</t>
        </is>
      </c>
      <c r="E10197" t="inlineStr">
        <is>
          <t>MALÅ</t>
        </is>
      </c>
      <c r="F10197" t="inlineStr">
        <is>
          <t>Sveaskog</t>
        </is>
      </c>
      <c r="G10197" t="n">
        <v>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9306-2026</t>
        </is>
      </c>
      <c r="B10198" s="1" t="n">
        <v>46070.60636574074</v>
      </c>
      <c r="C10198" s="1" t="n">
        <v>46075</v>
      </c>
      <c r="D10198" t="inlineStr">
        <is>
          <t>VÄSTERBOTTENS LÄN</t>
        </is>
      </c>
      <c r="E10198" t="inlineStr">
        <is>
          <t>MALÅ</t>
        </is>
      </c>
      <c r="G10198" t="n">
        <v>3.6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26105-2021</t>
        </is>
      </c>
      <c r="B10199" s="1" t="n">
        <v>44344.93608796296</v>
      </c>
      <c r="C10199" s="1" t="n">
        <v>46075</v>
      </c>
      <c r="D10199" t="inlineStr">
        <is>
          <t>VÄSTERBOTTENS LÄN</t>
        </is>
      </c>
      <c r="E10199" t="inlineStr">
        <is>
          <t>LYCKSELE</t>
        </is>
      </c>
      <c r="F10199" t="inlineStr">
        <is>
          <t>SCA</t>
        </is>
      </c>
      <c r="G10199" t="n">
        <v>4.3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22931-2024</t>
        </is>
      </c>
      <c r="B10200" s="1" t="n">
        <v>45448.9278125</v>
      </c>
      <c r="C10200" s="1" t="n">
        <v>46075</v>
      </c>
      <c r="D10200" t="inlineStr">
        <is>
          <t>VÄSTERBOTTENS LÄN</t>
        </is>
      </c>
      <c r="E10200" t="inlineStr">
        <is>
          <t>DOROTEA</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22942-2024</t>
        </is>
      </c>
      <c r="B10201" s="1" t="n">
        <v>45448.94540509259</v>
      </c>
      <c r="C10201" s="1" t="n">
        <v>46075</v>
      </c>
      <c r="D10201" t="inlineStr">
        <is>
          <t>VÄSTERBOTTENS LÄN</t>
        </is>
      </c>
      <c r="E10201" t="inlineStr">
        <is>
          <t>DOROTEA</t>
        </is>
      </c>
      <c r="F10201" t="inlineStr">
        <is>
          <t>SCA</t>
        </is>
      </c>
      <c r="G10201" t="n">
        <v>0.6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22945-2024</t>
        </is>
      </c>
      <c r="B10202" s="1" t="n">
        <v>45448.94569444445</v>
      </c>
      <c r="C10202" s="1" t="n">
        <v>46075</v>
      </c>
      <c r="D10202" t="inlineStr">
        <is>
          <t>VÄSTERBOTTENS LÄN</t>
        </is>
      </c>
      <c r="E10202" t="inlineStr">
        <is>
          <t>ÅSELE</t>
        </is>
      </c>
      <c r="F10202" t="inlineStr">
        <is>
          <t>SCA</t>
        </is>
      </c>
      <c r="G10202" t="n">
        <v>7.5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23751-2024</t>
        </is>
      </c>
      <c r="B10203" s="1" t="n">
        <v>45455</v>
      </c>
      <c r="C10203" s="1" t="n">
        <v>46075</v>
      </c>
      <c r="D10203" t="inlineStr">
        <is>
          <t>VÄSTERBOTTENS LÄN</t>
        </is>
      </c>
      <c r="E10203" t="inlineStr">
        <is>
          <t>UMEÅ</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31068-2023</t>
        </is>
      </c>
      <c r="B10204" s="1" t="n">
        <v>45113</v>
      </c>
      <c r="C10204" s="1" t="n">
        <v>46075</v>
      </c>
      <c r="D10204" t="inlineStr">
        <is>
          <t>VÄSTERBOTTENS LÄN</t>
        </is>
      </c>
      <c r="E10204" t="inlineStr">
        <is>
          <t>UMEÅ</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617-2026</t>
        </is>
      </c>
      <c r="B10205" s="1" t="n">
        <v>46029.54206018519</v>
      </c>
      <c r="C10205" s="1" t="n">
        <v>46075</v>
      </c>
      <c r="D10205" t="inlineStr">
        <is>
          <t>VÄSTERBOTTENS LÄN</t>
        </is>
      </c>
      <c r="E10205" t="inlineStr">
        <is>
          <t>SKELLEFTEÅ</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30967-2024</t>
        </is>
      </c>
      <c r="B10206" s="1" t="n">
        <v>45499.45645833333</v>
      </c>
      <c r="C10206" s="1" t="n">
        <v>46075</v>
      </c>
      <c r="D10206" t="inlineStr">
        <is>
          <t>VÄSTERBOTTENS LÄN</t>
        </is>
      </c>
      <c r="E10206" t="inlineStr">
        <is>
          <t>NORSJÖ</t>
        </is>
      </c>
      <c r="F10206" t="inlineStr">
        <is>
          <t>Holmen skog AB</t>
        </is>
      </c>
      <c r="G10206" t="n">
        <v>11.9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38944-2024</t>
        </is>
      </c>
      <c r="B10207" s="1" t="n">
        <v>45548.34501157407</v>
      </c>
      <c r="C10207" s="1" t="n">
        <v>46075</v>
      </c>
      <c r="D10207" t="inlineStr">
        <is>
          <t>VÄSTERBOTTENS LÄN</t>
        </is>
      </c>
      <c r="E10207" t="inlineStr">
        <is>
          <t>SORSELE</t>
        </is>
      </c>
      <c r="F10207" t="inlineStr">
        <is>
          <t>SCA</t>
        </is>
      </c>
      <c r="G10207" t="n">
        <v>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55173-2023</t>
        </is>
      </c>
      <c r="B10208" s="1" t="n">
        <v>45237</v>
      </c>
      <c r="C10208" s="1" t="n">
        <v>46075</v>
      </c>
      <c r="D10208" t="inlineStr">
        <is>
          <t>VÄSTERBOTTENS LÄN</t>
        </is>
      </c>
      <c r="E10208" t="inlineStr">
        <is>
          <t>VÄNNÄS</t>
        </is>
      </c>
      <c r="G10208" t="n">
        <v>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48377-2024</t>
        </is>
      </c>
      <c r="B10209" s="1" t="n">
        <v>45590.58260416667</v>
      </c>
      <c r="C10209" s="1" t="n">
        <v>46075</v>
      </c>
      <c r="D10209" t="inlineStr">
        <is>
          <t>VÄSTERBOTTENS LÄN</t>
        </is>
      </c>
      <c r="E10209" t="inlineStr">
        <is>
          <t>LYCKSELE</t>
        </is>
      </c>
      <c r="F10209" t="inlineStr">
        <is>
          <t>Holmen skog AB</t>
        </is>
      </c>
      <c r="G10209" t="n">
        <v>16.6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1207-2026</t>
        </is>
      </c>
      <c r="B10210" s="1" t="n">
        <v>46031</v>
      </c>
      <c r="C10210" s="1" t="n">
        <v>46075</v>
      </c>
      <c r="D10210" t="inlineStr">
        <is>
          <t>VÄSTERBOTTENS LÄN</t>
        </is>
      </c>
      <c r="E10210" t="inlineStr">
        <is>
          <t>MALÅ</t>
        </is>
      </c>
      <c r="G10210" t="n">
        <v>8.199999999999999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49587-2024</t>
        </is>
      </c>
      <c r="B10211" s="1" t="n">
        <v>45596</v>
      </c>
      <c r="C10211" s="1" t="n">
        <v>46075</v>
      </c>
      <c r="D10211" t="inlineStr">
        <is>
          <t>VÄSTERBOTTENS LÄN</t>
        </is>
      </c>
      <c r="E10211" t="inlineStr">
        <is>
          <t>VINDELN</t>
        </is>
      </c>
      <c r="G10211" t="n">
        <v>0.6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44166-2024</t>
        </is>
      </c>
      <c r="B10212" s="1" t="n">
        <v>45572.73465277778</v>
      </c>
      <c r="C10212" s="1" t="n">
        <v>46075</v>
      </c>
      <c r="D10212" t="inlineStr">
        <is>
          <t>VÄSTERBOTTENS LÄN</t>
        </is>
      </c>
      <c r="E10212" t="inlineStr">
        <is>
          <t>UMEÅ</t>
        </is>
      </c>
      <c r="G10212" t="n">
        <v>3.2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4619-2022</t>
        </is>
      </c>
      <c r="B10213" s="1" t="n">
        <v>44592</v>
      </c>
      <c r="C10213" s="1" t="n">
        <v>46075</v>
      </c>
      <c r="D10213" t="inlineStr">
        <is>
          <t>VÄSTERBOTTENS LÄN</t>
        </is>
      </c>
      <c r="E10213" t="inlineStr">
        <is>
          <t>ÅSELE</t>
        </is>
      </c>
      <c r="G10213" t="n">
        <v>17.6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1258-2026</t>
        </is>
      </c>
      <c r="B10214" s="1" t="n">
        <v>46031</v>
      </c>
      <c r="C10214" s="1" t="n">
        <v>46075</v>
      </c>
      <c r="D10214" t="inlineStr">
        <is>
          <t>VÄSTERBOTTENS LÄN</t>
        </is>
      </c>
      <c r="E10214" t="inlineStr">
        <is>
          <t>VINDELN</t>
        </is>
      </c>
      <c r="F10214" t="inlineStr">
        <is>
          <t>SCA</t>
        </is>
      </c>
      <c r="G10214" t="n">
        <v>2.5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1267-2026</t>
        </is>
      </c>
      <c r="B10215" s="1" t="n">
        <v>46031</v>
      </c>
      <c r="C10215" s="1" t="n">
        <v>46075</v>
      </c>
      <c r="D10215" t="inlineStr">
        <is>
          <t>VÄSTERBOTTENS LÄN</t>
        </is>
      </c>
      <c r="E10215" t="inlineStr">
        <is>
          <t>VINDELN</t>
        </is>
      </c>
      <c r="G10215" t="n">
        <v>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4626-2022</t>
        </is>
      </c>
      <c r="B10216" s="1" t="n">
        <v>44592</v>
      </c>
      <c r="C10216" s="1" t="n">
        <v>46075</v>
      </c>
      <c r="D10216" t="inlineStr">
        <is>
          <t>VÄSTERBOTTENS LÄN</t>
        </is>
      </c>
      <c r="E10216" t="inlineStr">
        <is>
          <t>ÅSELE</t>
        </is>
      </c>
      <c r="G10216" t="n">
        <v>6.2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18152-2024</t>
        </is>
      </c>
      <c r="B10217" s="1" t="n">
        <v>45420</v>
      </c>
      <c r="C10217" s="1" t="n">
        <v>46075</v>
      </c>
      <c r="D10217" t="inlineStr">
        <is>
          <t>VÄSTERBOTTENS LÄN</t>
        </is>
      </c>
      <c r="E10217" t="inlineStr">
        <is>
          <t>VINDELN</t>
        </is>
      </c>
      <c r="G10217" t="n">
        <v>9.300000000000001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31817-2024</t>
        </is>
      </c>
      <c r="B10218" s="1" t="n">
        <v>45509</v>
      </c>
      <c r="C10218" s="1" t="n">
        <v>46075</v>
      </c>
      <c r="D10218" t="inlineStr">
        <is>
          <t>VÄSTERBOTTENS LÄN</t>
        </is>
      </c>
      <c r="E10218" t="inlineStr">
        <is>
          <t>VÄNNÄS</t>
        </is>
      </c>
      <c r="G10218" t="n">
        <v>0.7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20600-2023</t>
        </is>
      </c>
      <c r="B10219" s="1" t="n">
        <v>45057</v>
      </c>
      <c r="C10219" s="1" t="n">
        <v>46075</v>
      </c>
      <c r="D10219" t="inlineStr">
        <is>
          <t>VÄSTERBOTTENS LÄN</t>
        </is>
      </c>
      <c r="E10219" t="inlineStr">
        <is>
          <t>DOROTEA</t>
        </is>
      </c>
      <c r="F10219" t="inlineStr">
        <is>
          <t>SCA</t>
        </is>
      </c>
      <c r="G10219" t="n">
        <v>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29722-2024</t>
        </is>
      </c>
      <c r="B10220" s="1" t="n">
        <v>45485</v>
      </c>
      <c r="C10220" s="1" t="n">
        <v>46075</v>
      </c>
      <c r="D10220" t="inlineStr">
        <is>
          <t>VÄSTERBOTTENS LÄN</t>
        </is>
      </c>
      <c r="E10220" t="inlineStr">
        <is>
          <t>VILHELMINA</t>
        </is>
      </c>
      <c r="G10220" t="n">
        <v>2.5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29736-2024</t>
        </is>
      </c>
      <c r="B10221" s="1" t="n">
        <v>45485.38484953704</v>
      </c>
      <c r="C10221" s="1" t="n">
        <v>46075</v>
      </c>
      <c r="D10221" t="inlineStr">
        <is>
          <t>VÄSTERBOTTENS LÄN</t>
        </is>
      </c>
      <c r="E10221" t="inlineStr">
        <is>
          <t>ÅSELE</t>
        </is>
      </c>
      <c r="G10221" t="n">
        <v>0.2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18180-2024</t>
        </is>
      </c>
      <c r="B10222" s="1" t="n">
        <v>45420</v>
      </c>
      <c r="C10222" s="1" t="n">
        <v>46075</v>
      </c>
      <c r="D10222" t="inlineStr">
        <is>
          <t>VÄSTERBOTTENS LÄN</t>
        </is>
      </c>
      <c r="E10222" t="inlineStr">
        <is>
          <t>SORSELE</t>
        </is>
      </c>
      <c r="G10222" t="n">
        <v>8.300000000000001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862-2026</t>
        </is>
      </c>
      <c r="B10223" s="1" t="n">
        <v>46030.42516203703</v>
      </c>
      <c r="C10223" s="1" t="n">
        <v>46075</v>
      </c>
      <c r="D10223" t="inlineStr">
        <is>
          <t>VÄSTERBOTTENS LÄN</t>
        </is>
      </c>
      <c r="E10223" t="inlineStr">
        <is>
          <t>VÄNNÄS</t>
        </is>
      </c>
      <c r="G10223" t="n">
        <v>0.8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923-2026</t>
        </is>
      </c>
      <c r="B10224" s="1" t="n">
        <v>46030.49034722222</v>
      </c>
      <c r="C10224" s="1" t="n">
        <v>46075</v>
      </c>
      <c r="D10224" t="inlineStr">
        <is>
          <t>VÄSTERBOTTENS LÄN</t>
        </is>
      </c>
      <c r="E10224" t="inlineStr">
        <is>
          <t>UMEÅ</t>
        </is>
      </c>
      <c r="G10224" t="n">
        <v>9.1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25080-2024</t>
        </is>
      </c>
      <c r="B10225" s="1" t="n">
        <v>45462.38275462963</v>
      </c>
      <c r="C10225" s="1" t="n">
        <v>46075</v>
      </c>
      <c r="D10225" t="inlineStr">
        <is>
          <t>VÄSTERBOTTENS LÄN</t>
        </is>
      </c>
      <c r="E10225" t="inlineStr">
        <is>
          <t>NORSJÖ</t>
        </is>
      </c>
      <c r="G10225" t="n">
        <v>0.3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25084-2024</t>
        </is>
      </c>
      <c r="B10226" s="1" t="n">
        <v>45462.38805555556</v>
      </c>
      <c r="C10226" s="1" t="n">
        <v>46075</v>
      </c>
      <c r="D10226" t="inlineStr">
        <is>
          <t>VÄSTERBOTTENS LÄN</t>
        </is>
      </c>
      <c r="E10226" t="inlineStr">
        <is>
          <t>NORSJÖ</t>
        </is>
      </c>
      <c r="G10226" t="n">
        <v>2.9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5394-2026</t>
        </is>
      </c>
      <c r="B10227" s="1" t="n">
        <v>46048</v>
      </c>
      <c r="C10227" s="1" t="n">
        <v>46075</v>
      </c>
      <c r="D10227" t="inlineStr">
        <is>
          <t>VÄSTERBOTTENS LÄN</t>
        </is>
      </c>
      <c r="E10227" t="inlineStr">
        <is>
          <t>STORUMAN</t>
        </is>
      </c>
      <c r="G10227" t="n">
        <v>3.2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12757-2022</t>
        </is>
      </c>
      <c r="B10228" s="1" t="n">
        <v>44641</v>
      </c>
      <c r="C10228" s="1" t="n">
        <v>46075</v>
      </c>
      <c r="D10228" t="inlineStr">
        <is>
          <t>VÄSTERBOTTENS LÄN</t>
        </is>
      </c>
      <c r="E10228" t="inlineStr">
        <is>
          <t>VINDELN</t>
        </is>
      </c>
      <c r="G10228" t="n">
        <v>18.2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8241-2025</t>
        </is>
      </c>
      <c r="B10229" s="1" t="n">
        <v>45708.48162037037</v>
      </c>
      <c r="C10229" s="1" t="n">
        <v>46075</v>
      </c>
      <c r="D10229" t="inlineStr">
        <is>
          <t>VÄSTERBOTTENS LÄN</t>
        </is>
      </c>
      <c r="E10229" t="inlineStr">
        <is>
          <t>SKELLEFTEÅ</t>
        </is>
      </c>
      <c r="G10229" t="n">
        <v>2.7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8301-2025</t>
        </is>
      </c>
      <c r="B10230" s="1" t="n">
        <v>45708</v>
      </c>
      <c r="C10230" s="1" t="n">
        <v>46075</v>
      </c>
      <c r="D10230" t="inlineStr">
        <is>
          <t>VÄSTERBOTTENS LÄN</t>
        </is>
      </c>
      <c r="E10230" t="inlineStr">
        <is>
          <t>SKELLEFTEÅ</t>
        </is>
      </c>
      <c r="G10230" t="n">
        <v>5.2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8309-2025</t>
        </is>
      </c>
      <c r="B10231" s="1" t="n">
        <v>45708.60898148148</v>
      </c>
      <c r="C10231" s="1" t="n">
        <v>46075</v>
      </c>
      <c r="D10231" t="inlineStr">
        <is>
          <t>VÄSTERBOTTENS LÄN</t>
        </is>
      </c>
      <c r="E10231" t="inlineStr">
        <is>
          <t>ROBERTSFORS</t>
        </is>
      </c>
      <c r="G10231" t="n">
        <v>4.6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1334-2026</t>
        </is>
      </c>
      <c r="B10232" s="1" t="n">
        <v>46031.57356481482</v>
      </c>
      <c r="C10232" s="1" t="n">
        <v>46075</v>
      </c>
      <c r="D10232" t="inlineStr">
        <is>
          <t>VÄSTERBOTTENS LÄN</t>
        </is>
      </c>
      <c r="E10232" t="inlineStr">
        <is>
          <t>VINDELN</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29675-2023</t>
        </is>
      </c>
      <c r="B10233" s="1" t="n">
        <v>45107</v>
      </c>
      <c r="C10233" s="1" t="n">
        <v>46075</v>
      </c>
      <c r="D10233" t="inlineStr">
        <is>
          <t>VÄSTERBOTTENS LÄN</t>
        </is>
      </c>
      <c r="E10233" t="inlineStr">
        <is>
          <t>LYCKSELE</t>
        </is>
      </c>
      <c r="F10233" t="inlineStr">
        <is>
          <t>Holmen skog AB</t>
        </is>
      </c>
      <c r="G10233" t="n">
        <v>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992-2026</t>
        </is>
      </c>
      <c r="B10234" s="1" t="n">
        <v>46030.58759259259</v>
      </c>
      <c r="C10234" s="1" t="n">
        <v>46075</v>
      </c>
      <c r="D10234" t="inlineStr">
        <is>
          <t>VÄSTERBOTTENS LÄN</t>
        </is>
      </c>
      <c r="E10234" t="inlineStr">
        <is>
          <t>BJURHOLM</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1007-2026</t>
        </is>
      </c>
      <c r="B10235" s="1" t="n">
        <v>46030.59869212963</v>
      </c>
      <c r="C10235" s="1" t="n">
        <v>46075</v>
      </c>
      <c r="D10235" t="inlineStr">
        <is>
          <t>VÄSTERBOTTENS LÄN</t>
        </is>
      </c>
      <c r="E10235" t="inlineStr">
        <is>
          <t>SKELLEFTEÅ</t>
        </is>
      </c>
      <c r="G10235" t="n">
        <v>5.3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19378-2023</t>
        </is>
      </c>
      <c r="B10236" s="1" t="n">
        <v>45049</v>
      </c>
      <c r="C10236" s="1" t="n">
        <v>46075</v>
      </c>
      <c r="D10236" t="inlineStr">
        <is>
          <t>VÄSTERBOTTENS LÄN</t>
        </is>
      </c>
      <c r="E10236" t="inlineStr">
        <is>
          <t>ROBERTSFORS</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1095-2026</t>
        </is>
      </c>
      <c r="B10237" s="1" t="n">
        <v>46030.66328703704</v>
      </c>
      <c r="C10237" s="1" t="n">
        <v>46075</v>
      </c>
      <c r="D10237" t="inlineStr">
        <is>
          <t>VÄSTERBOTTENS LÄN</t>
        </is>
      </c>
      <c r="E10237" t="inlineStr">
        <is>
          <t>SKELLEFTEÅ</t>
        </is>
      </c>
      <c r="G10237" t="n">
        <v>7.6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40443-2024</t>
        </is>
      </c>
      <c r="B10238" s="1" t="n">
        <v>45555.48571759259</v>
      </c>
      <c r="C10238" s="1" t="n">
        <v>46075</v>
      </c>
      <c r="D10238" t="inlineStr">
        <is>
          <t>VÄSTERBOTTENS LÄN</t>
        </is>
      </c>
      <c r="E10238" t="inlineStr">
        <is>
          <t>VINDELN</t>
        </is>
      </c>
      <c r="F10238" t="inlineStr">
        <is>
          <t>Naturvårdsverket</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70718-2021</t>
        </is>
      </c>
      <c r="B10239" s="1" t="n">
        <v>44536</v>
      </c>
      <c r="C10239" s="1" t="n">
        <v>46075</v>
      </c>
      <c r="D10239" t="inlineStr">
        <is>
          <t>VÄSTERBOTTENS LÄN</t>
        </is>
      </c>
      <c r="E10239" t="inlineStr">
        <is>
          <t>SKELLEFTEÅ</t>
        </is>
      </c>
      <c r="G10239" t="n">
        <v>3.3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17783-2023</t>
        </is>
      </c>
      <c r="B10240" s="1" t="n">
        <v>45036</v>
      </c>
      <c r="C10240" s="1" t="n">
        <v>46075</v>
      </c>
      <c r="D10240" t="inlineStr">
        <is>
          <t>VÄSTERBOTTENS LÄN</t>
        </is>
      </c>
      <c r="E10240" t="inlineStr">
        <is>
          <t>DOROTEA</t>
        </is>
      </c>
      <c r="G10240" t="n">
        <v>4.8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25182-2022</t>
        </is>
      </c>
      <c r="B10241" s="1" t="n">
        <v>44729.60717592593</v>
      </c>
      <c r="C10241" s="1" t="n">
        <v>46075</v>
      </c>
      <c r="D10241" t="inlineStr">
        <is>
          <t>VÄSTERBOTTENS LÄN</t>
        </is>
      </c>
      <c r="E10241" t="inlineStr">
        <is>
          <t>SKELLEFTEÅ</t>
        </is>
      </c>
      <c r="F10241" t="inlineStr">
        <is>
          <t>Holmen skog AB</t>
        </is>
      </c>
      <c r="G10241" t="n">
        <v>6.4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3510-2026</t>
        </is>
      </c>
      <c r="B10242" s="1" t="n">
        <v>46042</v>
      </c>
      <c r="C10242" s="1" t="n">
        <v>46075</v>
      </c>
      <c r="D10242" t="inlineStr">
        <is>
          <t>VÄSTERBOTTENS LÄN</t>
        </is>
      </c>
      <c r="E10242" t="inlineStr">
        <is>
          <t>NORDMALING</t>
        </is>
      </c>
      <c r="G10242" t="n">
        <v>3.6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37159-2023</t>
        </is>
      </c>
      <c r="B10243" s="1" t="n">
        <v>45154</v>
      </c>
      <c r="C10243" s="1" t="n">
        <v>46075</v>
      </c>
      <c r="D10243" t="inlineStr">
        <is>
          <t>VÄSTERBOTTENS LÄN</t>
        </is>
      </c>
      <c r="E10243" t="inlineStr">
        <is>
          <t>MALÅ</t>
        </is>
      </c>
      <c r="G10243" t="n">
        <v>63.5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52680-2023</t>
        </is>
      </c>
      <c r="B10244" s="1" t="n">
        <v>45219</v>
      </c>
      <c r="C10244" s="1" t="n">
        <v>46075</v>
      </c>
      <c r="D10244" t="inlineStr">
        <is>
          <t>VÄSTERBOTTENS LÄN</t>
        </is>
      </c>
      <c r="E10244" t="inlineStr">
        <is>
          <t>STORUMAN</t>
        </is>
      </c>
      <c r="G10244" t="n">
        <v>31.8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9748-2026</t>
        </is>
      </c>
      <c r="B10245" s="1" t="n">
        <v>46072.52645833333</v>
      </c>
      <c r="C10245" s="1" t="n">
        <v>46075</v>
      </c>
      <c r="D10245" t="inlineStr">
        <is>
          <t>VÄSTERBOTTENS LÄN</t>
        </is>
      </c>
      <c r="E10245" t="inlineStr">
        <is>
          <t>MALÅ</t>
        </is>
      </c>
      <c r="G10245" t="n">
        <v>0.5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58376-2022</t>
        </is>
      </c>
      <c r="B10246" s="1" t="n">
        <v>44901</v>
      </c>
      <c r="C10246" s="1" t="n">
        <v>46075</v>
      </c>
      <c r="D10246" t="inlineStr">
        <is>
          <t>VÄSTERBOTTENS LÄN</t>
        </is>
      </c>
      <c r="E10246" t="inlineStr">
        <is>
          <t>SKELLEFTEÅ</t>
        </is>
      </c>
      <c r="G10246" t="n">
        <v>0.2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33318-2024</t>
        </is>
      </c>
      <c r="B10247" s="1" t="n">
        <v>45518.97211805556</v>
      </c>
      <c r="C10247" s="1" t="n">
        <v>46075</v>
      </c>
      <c r="D10247" t="inlineStr">
        <is>
          <t>VÄSTERBOTTENS LÄN</t>
        </is>
      </c>
      <c r="E10247" t="inlineStr">
        <is>
          <t>VILHELMINA</t>
        </is>
      </c>
      <c r="F10247" t="inlineStr">
        <is>
          <t>SCA</t>
        </is>
      </c>
      <c r="G10247" t="n">
        <v>0.6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58426-2022</t>
        </is>
      </c>
      <c r="B10248" s="1" t="n">
        <v>44901</v>
      </c>
      <c r="C10248" s="1" t="n">
        <v>46075</v>
      </c>
      <c r="D10248" t="inlineStr">
        <is>
          <t>VÄSTERBOTTENS LÄN</t>
        </is>
      </c>
      <c r="E10248" t="inlineStr">
        <is>
          <t>ROBERTSFORS</t>
        </is>
      </c>
      <c r="G10248" t="n">
        <v>0.7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54022-2024</t>
        </is>
      </c>
      <c r="B10249" s="1" t="n">
        <v>45616.38693287037</v>
      </c>
      <c r="C10249" s="1" t="n">
        <v>46075</v>
      </c>
      <c r="D10249" t="inlineStr">
        <is>
          <t>VÄSTERBOTTENS LÄN</t>
        </is>
      </c>
      <c r="E10249" t="inlineStr">
        <is>
          <t>VINDELN</t>
        </is>
      </c>
      <c r="F10249" t="inlineStr">
        <is>
          <t>Sveaskog</t>
        </is>
      </c>
      <c r="G10249" t="n">
        <v>0.9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10134-2025</t>
        </is>
      </c>
      <c r="B10250" s="1" t="n">
        <v>45719</v>
      </c>
      <c r="C10250" s="1" t="n">
        <v>46075</v>
      </c>
      <c r="D10250" t="inlineStr">
        <is>
          <t>VÄSTERBOTTENS LÄN</t>
        </is>
      </c>
      <c r="E10250" t="inlineStr">
        <is>
          <t>NORSJÖ</t>
        </is>
      </c>
      <c r="G10250" t="n">
        <v>2.9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10162-2025</t>
        </is>
      </c>
      <c r="B10251" s="1" t="n">
        <v>45719.64917824074</v>
      </c>
      <c r="C10251" s="1" t="n">
        <v>46075</v>
      </c>
      <c r="D10251" t="inlineStr">
        <is>
          <t>VÄSTERBOTTENS LÄN</t>
        </is>
      </c>
      <c r="E10251" t="inlineStr">
        <is>
          <t>VINDELN</t>
        </is>
      </c>
      <c r="G10251" t="n">
        <v>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9716-2026</t>
        </is>
      </c>
      <c r="B10252" s="1" t="n">
        <v>46072.44842592593</v>
      </c>
      <c r="C10252" s="1" t="n">
        <v>46075</v>
      </c>
      <c r="D10252" t="inlineStr">
        <is>
          <t>VÄSTERBOTTENS LÄN</t>
        </is>
      </c>
      <c r="E10252" t="inlineStr">
        <is>
          <t>LYCKSELE</t>
        </is>
      </c>
      <c r="F10252" t="inlineStr">
        <is>
          <t>SCA</t>
        </is>
      </c>
      <c r="G10252" t="n">
        <v>3.2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9717-2026</t>
        </is>
      </c>
      <c r="B10253" s="1" t="n">
        <v>46072.44855324074</v>
      </c>
      <c r="C10253" s="1" t="n">
        <v>46075</v>
      </c>
      <c r="D10253" t="inlineStr">
        <is>
          <t>VÄSTERBOTTENS LÄN</t>
        </is>
      </c>
      <c r="E10253" t="inlineStr">
        <is>
          <t>NORDMALING</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46173-2023</t>
        </is>
      </c>
      <c r="B10254" s="1" t="n">
        <v>45196.6055324074</v>
      </c>
      <c r="C10254" s="1" t="n">
        <v>46075</v>
      </c>
      <c r="D10254" t="inlineStr">
        <is>
          <t>VÄSTERBOTTENS LÄN</t>
        </is>
      </c>
      <c r="E10254" t="inlineStr">
        <is>
          <t>ÅSELE</t>
        </is>
      </c>
      <c r="F10254" t="inlineStr">
        <is>
          <t>Sveaskog</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34714-2023</t>
        </is>
      </c>
      <c r="B10255" s="1" t="n">
        <v>45141.32886574074</v>
      </c>
      <c r="C10255" s="1" t="n">
        <v>46075</v>
      </c>
      <c r="D10255" t="inlineStr">
        <is>
          <t>VÄSTERBOTTENS LÄN</t>
        </is>
      </c>
      <c r="E10255" t="inlineStr">
        <is>
          <t>BJURHOLM</t>
        </is>
      </c>
      <c r="F10255" t="inlineStr">
        <is>
          <t>Holmen skog AB</t>
        </is>
      </c>
      <c r="G10255" t="n">
        <v>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34761-2023</t>
        </is>
      </c>
      <c r="B10256" s="1" t="n">
        <v>45141.47096064815</v>
      </c>
      <c r="C10256" s="1" t="n">
        <v>46075</v>
      </c>
      <c r="D10256" t="inlineStr">
        <is>
          <t>VÄSTERBOTTENS LÄN</t>
        </is>
      </c>
      <c r="E10256" t="inlineStr">
        <is>
          <t>BJURHOLM</t>
        </is>
      </c>
      <c r="F10256" t="inlineStr">
        <is>
          <t>Holmen skog AB</t>
        </is>
      </c>
      <c r="G10256" t="n">
        <v>4.1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34807-2023</t>
        </is>
      </c>
      <c r="B10257" s="1" t="n">
        <v>45140</v>
      </c>
      <c r="C10257" s="1" t="n">
        <v>46075</v>
      </c>
      <c r="D10257" t="inlineStr">
        <is>
          <t>VÄSTERBOTTENS LÄN</t>
        </is>
      </c>
      <c r="E10257" t="inlineStr">
        <is>
          <t>VILHELMINA</t>
        </is>
      </c>
      <c r="G10257" t="n">
        <v>8.1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9615-2026</t>
        </is>
      </c>
      <c r="B10258" s="1" t="n">
        <v>46070</v>
      </c>
      <c r="C10258" s="1" t="n">
        <v>46075</v>
      </c>
      <c r="D10258" t="inlineStr">
        <is>
          <t>VÄSTERBOTTENS LÄN</t>
        </is>
      </c>
      <c r="E10258" t="inlineStr">
        <is>
          <t>VILHELMINA</t>
        </is>
      </c>
      <c r="G10258" t="n">
        <v>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34821-2023</t>
        </is>
      </c>
      <c r="B10259" s="1" t="n">
        <v>45140</v>
      </c>
      <c r="C10259" s="1" t="n">
        <v>46075</v>
      </c>
      <c r="D10259" t="inlineStr">
        <is>
          <t>VÄSTERBOTTENS LÄN</t>
        </is>
      </c>
      <c r="E10259" t="inlineStr">
        <is>
          <t>ROBERTSFORS</t>
        </is>
      </c>
      <c r="G10259" t="n">
        <v>15.3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33710-2023</t>
        </is>
      </c>
      <c r="B10260" s="1" t="n">
        <v>45132.92306712963</v>
      </c>
      <c r="C10260" s="1" t="n">
        <v>46075</v>
      </c>
      <c r="D10260" t="inlineStr">
        <is>
          <t>VÄSTERBOTTENS LÄN</t>
        </is>
      </c>
      <c r="E10260" t="inlineStr">
        <is>
          <t>SKELLEFTEÅ</t>
        </is>
      </c>
      <c r="G10260" t="n">
        <v>0.3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41358-2022</t>
        </is>
      </c>
      <c r="B10261" s="1" t="n">
        <v>44826</v>
      </c>
      <c r="C10261" s="1" t="n">
        <v>46075</v>
      </c>
      <c r="D10261" t="inlineStr">
        <is>
          <t>VÄSTERBOTTENS LÄN</t>
        </is>
      </c>
      <c r="E10261" t="inlineStr">
        <is>
          <t>LYCKSELE</t>
        </is>
      </c>
      <c r="G10261" t="n">
        <v>6.2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58594-2022</t>
        </is>
      </c>
      <c r="B10262" s="1" t="n">
        <v>44902.54416666667</v>
      </c>
      <c r="C10262" s="1" t="n">
        <v>46075</v>
      </c>
      <c r="D10262" t="inlineStr">
        <is>
          <t>VÄSTERBOTTENS LÄN</t>
        </is>
      </c>
      <c r="E10262" t="inlineStr">
        <is>
          <t>LYCKSELE</t>
        </is>
      </c>
      <c r="F10262" t="inlineStr">
        <is>
          <t>Sveaskog</t>
        </is>
      </c>
      <c r="G10262" t="n">
        <v>1.2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58613-2022</t>
        </is>
      </c>
      <c r="B10263" s="1" t="n">
        <v>44902.58502314815</v>
      </c>
      <c r="C10263" s="1" t="n">
        <v>46075</v>
      </c>
      <c r="D10263" t="inlineStr">
        <is>
          <t>VÄSTERBOTTENS LÄN</t>
        </is>
      </c>
      <c r="E10263" t="inlineStr">
        <is>
          <t>NORDMALING</t>
        </is>
      </c>
      <c r="G10263" t="n">
        <v>0.5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34849-2023</t>
        </is>
      </c>
      <c r="B10264" s="1" t="n">
        <v>45141.96019675926</v>
      </c>
      <c r="C10264" s="1" t="n">
        <v>46075</v>
      </c>
      <c r="D10264" t="inlineStr">
        <is>
          <t>VÄSTERBOTTENS LÄN</t>
        </is>
      </c>
      <c r="E10264" t="inlineStr">
        <is>
          <t>LYCKSELE</t>
        </is>
      </c>
      <c r="F10264" t="inlineStr">
        <is>
          <t>SCA</t>
        </is>
      </c>
      <c r="G10264" t="n">
        <v>2.7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983-2026</t>
        </is>
      </c>
      <c r="B10265" s="1" t="n">
        <v>46030.58021990741</v>
      </c>
      <c r="C10265" s="1" t="n">
        <v>46075</v>
      </c>
      <c r="D10265" t="inlineStr">
        <is>
          <t>VÄSTERBOTTENS LÄN</t>
        </is>
      </c>
      <c r="E10265" t="inlineStr">
        <is>
          <t>SKELLEFTEÅ</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26677-2023</t>
        </is>
      </c>
      <c r="B10266" s="1" t="n">
        <v>45093.31925925926</v>
      </c>
      <c r="C10266" s="1" t="n">
        <v>46075</v>
      </c>
      <c r="D10266" t="inlineStr">
        <is>
          <t>VÄSTERBOTTENS LÄN</t>
        </is>
      </c>
      <c r="E10266" t="inlineStr">
        <is>
          <t>ÅSELE</t>
        </is>
      </c>
      <c r="F10266" t="inlineStr">
        <is>
          <t>Sveaskog</t>
        </is>
      </c>
      <c r="G10266" t="n">
        <v>3.3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42832-2025</t>
        </is>
      </c>
      <c r="B10267" s="1" t="n">
        <v>45908</v>
      </c>
      <c r="C10267" s="1" t="n">
        <v>46075</v>
      </c>
      <c r="D10267" t="inlineStr">
        <is>
          <t>VÄSTERBOTTENS LÄN</t>
        </is>
      </c>
      <c r="E10267" t="inlineStr">
        <is>
          <t>UMEÅ</t>
        </is>
      </c>
      <c r="G10267" t="n">
        <v>1.9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26663-2023</t>
        </is>
      </c>
      <c r="B10268" s="1" t="n">
        <v>45092.94042824074</v>
      </c>
      <c r="C10268" s="1" t="n">
        <v>46075</v>
      </c>
      <c r="D10268" t="inlineStr">
        <is>
          <t>VÄSTERBOTTENS LÄN</t>
        </is>
      </c>
      <c r="E10268" t="inlineStr">
        <is>
          <t>VILHELMINA</t>
        </is>
      </c>
      <c r="F10268" t="inlineStr">
        <is>
          <t>SCA</t>
        </is>
      </c>
      <c r="G10268" t="n">
        <v>2.2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56539-2024</t>
        </is>
      </c>
      <c r="B10269" s="1" t="n">
        <v>45625</v>
      </c>
      <c r="C10269" s="1" t="n">
        <v>46075</v>
      </c>
      <c r="D10269" t="inlineStr">
        <is>
          <t>VÄSTERBOTTENS LÄN</t>
        </is>
      </c>
      <c r="E10269" t="inlineStr">
        <is>
          <t>SKELLEFTEÅ</t>
        </is>
      </c>
      <c r="G10269" t="n">
        <v>3.8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43723-2024</t>
        </is>
      </c>
      <c r="B10270" s="1" t="n">
        <v>45569.63114583334</v>
      </c>
      <c r="C10270" s="1" t="n">
        <v>46075</v>
      </c>
      <c r="D10270" t="inlineStr">
        <is>
          <t>VÄSTERBOTTENS LÄN</t>
        </is>
      </c>
      <c r="E10270" t="inlineStr">
        <is>
          <t>SKELLEFTEÅ</t>
        </is>
      </c>
      <c r="G10270" t="n">
        <v>1.8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43748-2024</t>
        </is>
      </c>
      <c r="B10271" s="1" t="n">
        <v>45569.66576388889</v>
      </c>
      <c r="C10271" s="1" t="n">
        <v>46075</v>
      </c>
      <c r="D10271" t="inlineStr">
        <is>
          <t>VÄSTERBOTTENS LÄN</t>
        </is>
      </c>
      <c r="E10271" t="inlineStr">
        <is>
          <t>SKELLEFTEÅ</t>
        </is>
      </c>
      <c r="G10271" t="n">
        <v>2.6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43754-2024</t>
        </is>
      </c>
      <c r="B10272" s="1" t="n">
        <v>45569.67591435185</v>
      </c>
      <c r="C10272" s="1" t="n">
        <v>46075</v>
      </c>
      <c r="D10272" t="inlineStr">
        <is>
          <t>VÄSTERBOTTENS LÄN</t>
        </is>
      </c>
      <c r="E10272" t="inlineStr">
        <is>
          <t>VINDELN</t>
        </is>
      </c>
      <c r="F10272" t="inlineStr">
        <is>
          <t>Naturvårdsverket</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49981-2024</t>
        </is>
      </c>
      <c r="B10273" s="1" t="n">
        <v>45597.75133101852</v>
      </c>
      <c r="C10273" s="1" t="n">
        <v>46075</v>
      </c>
      <c r="D10273" t="inlineStr">
        <is>
          <t>VÄSTERBOTTENS LÄN</t>
        </is>
      </c>
      <c r="E10273" t="inlineStr">
        <is>
          <t>SKELLEFTEÅ</t>
        </is>
      </c>
      <c r="F10273" t="inlineStr">
        <is>
          <t>Sveaskog</t>
        </is>
      </c>
      <c r="G10273" t="n">
        <v>5.5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10027-2026</t>
        </is>
      </c>
      <c r="B10274" s="1" t="n">
        <v>46073.58924768519</v>
      </c>
      <c r="C10274" s="1" t="n">
        <v>46075</v>
      </c>
      <c r="D10274" t="inlineStr">
        <is>
          <t>VÄSTERBOTTENS LÄN</t>
        </is>
      </c>
      <c r="E10274" t="inlineStr">
        <is>
          <t>VINDELN</t>
        </is>
      </c>
      <c r="G10274" t="n">
        <v>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9950-2026</t>
        </is>
      </c>
      <c r="B10275" s="1" t="n">
        <v>46073.47167824074</v>
      </c>
      <c r="C10275" s="1" t="n">
        <v>46075</v>
      </c>
      <c r="D10275" t="inlineStr">
        <is>
          <t>VÄSTERBOTTENS LÄN</t>
        </is>
      </c>
      <c r="E10275" t="inlineStr">
        <is>
          <t>ÅSELE</t>
        </is>
      </c>
      <c r="G10275" t="n">
        <v>29.9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9951-2026</t>
        </is>
      </c>
      <c r="B10276" s="1" t="n">
        <v>46073.47201388889</v>
      </c>
      <c r="C10276" s="1" t="n">
        <v>46075</v>
      </c>
      <c r="D10276" t="inlineStr">
        <is>
          <t>VÄSTERBOTTENS LÄN</t>
        </is>
      </c>
      <c r="E10276" t="inlineStr">
        <is>
          <t>ÅSELE</t>
        </is>
      </c>
      <c r="G10276" t="n">
        <v>17.1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54220-2023</t>
        </is>
      </c>
      <c r="B10277" s="1" t="n">
        <v>45232</v>
      </c>
      <c r="C10277" s="1" t="n">
        <v>46075</v>
      </c>
      <c r="D10277" t="inlineStr">
        <is>
          <t>VÄSTERBOTTENS LÄN</t>
        </is>
      </c>
      <c r="E10277" t="inlineStr">
        <is>
          <t>VINDELN</t>
        </is>
      </c>
      <c r="F10277" t="inlineStr">
        <is>
          <t>Holmen skog AB</t>
        </is>
      </c>
      <c r="G10277" t="n">
        <v>7.9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50046-2024</t>
        </is>
      </c>
      <c r="B10278" s="1" t="n">
        <v>45600.31105324074</v>
      </c>
      <c r="C10278" s="1" t="n">
        <v>46075</v>
      </c>
      <c r="D10278" t="inlineStr">
        <is>
          <t>VÄSTERBOTTENS LÄN</t>
        </is>
      </c>
      <c r="E10278" t="inlineStr">
        <is>
          <t>ROBERTSFORS</t>
        </is>
      </c>
      <c r="G10278" t="n">
        <v>2.3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20846-2025</t>
        </is>
      </c>
      <c r="B10279" s="1" t="n">
        <v>45777</v>
      </c>
      <c r="C10279" s="1" t="n">
        <v>46075</v>
      </c>
      <c r="D10279" t="inlineStr">
        <is>
          <t>VÄSTERBOTTENS LÄN</t>
        </is>
      </c>
      <c r="E10279" t="inlineStr">
        <is>
          <t>VILHELMINA</t>
        </is>
      </c>
      <c r="G10279" t="n">
        <v>19.1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40103-2024</t>
        </is>
      </c>
      <c r="B10280" s="1" t="n">
        <v>45554.42751157407</v>
      </c>
      <c r="C10280" s="1" t="n">
        <v>46075</v>
      </c>
      <c r="D10280" t="inlineStr">
        <is>
          <t>VÄSTERBOTTENS LÄN</t>
        </is>
      </c>
      <c r="E10280" t="inlineStr">
        <is>
          <t>NORSJÖ</t>
        </is>
      </c>
      <c r="G10280" t="n">
        <v>15.5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20322-2022</t>
        </is>
      </c>
      <c r="B10281" s="1" t="n">
        <v>44698</v>
      </c>
      <c r="C10281" s="1" t="n">
        <v>46075</v>
      </c>
      <c r="D10281" t="inlineStr">
        <is>
          <t>VÄSTERBOTTENS LÄN</t>
        </is>
      </c>
      <c r="E10281" t="inlineStr">
        <is>
          <t>VILHELMINA</t>
        </is>
      </c>
      <c r="G10281" t="n">
        <v>10.5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15337-2025</t>
        </is>
      </c>
      <c r="B10282" s="1" t="n">
        <v>45747.36483796296</v>
      </c>
      <c r="C10282" s="1" t="n">
        <v>46075</v>
      </c>
      <c r="D10282" t="inlineStr">
        <is>
          <t>VÄSTERBOTTENS LÄN</t>
        </is>
      </c>
      <c r="E10282" t="inlineStr">
        <is>
          <t>UMEÅ</t>
        </is>
      </c>
      <c r="G10282" t="n">
        <v>8.6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38197-2024</t>
        </is>
      </c>
      <c r="B10283" s="1" t="n">
        <v>45545</v>
      </c>
      <c r="C10283" s="1" t="n">
        <v>46075</v>
      </c>
      <c r="D10283" t="inlineStr">
        <is>
          <t>VÄSTERBOTTENS LÄN</t>
        </is>
      </c>
      <c r="E10283" t="inlineStr">
        <is>
          <t>ÅSELE</t>
        </is>
      </c>
      <c r="F10283" t="inlineStr">
        <is>
          <t>Sveaskog</t>
        </is>
      </c>
      <c r="G10283" t="n">
        <v>10.6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15375-2025</t>
        </is>
      </c>
      <c r="B10284" s="1" t="n">
        <v>45747.40652777778</v>
      </c>
      <c r="C10284" s="1" t="n">
        <v>46075</v>
      </c>
      <c r="D10284" t="inlineStr">
        <is>
          <t>VÄSTERBOTTENS LÄN</t>
        </is>
      </c>
      <c r="E10284" t="inlineStr">
        <is>
          <t>UMEÅ</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38212-2024</t>
        </is>
      </c>
      <c r="B10285" s="1" t="n">
        <v>45545.52331018518</v>
      </c>
      <c r="C10285" s="1" t="n">
        <v>46075</v>
      </c>
      <c r="D10285" t="inlineStr">
        <is>
          <t>VÄSTERBOTTENS LÄN</t>
        </is>
      </c>
      <c r="E10285" t="inlineStr">
        <is>
          <t>LYCKSELE</t>
        </is>
      </c>
      <c r="F10285" t="inlineStr">
        <is>
          <t>Holmen skog AB</t>
        </is>
      </c>
      <c r="G10285" t="n">
        <v>1.3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38222-2024</t>
        </is>
      </c>
      <c r="B10286" s="1" t="n">
        <v>45545.53619212963</v>
      </c>
      <c r="C10286" s="1" t="n">
        <v>46075</v>
      </c>
      <c r="D10286" t="inlineStr">
        <is>
          <t>VÄSTERBOTTENS LÄN</t>
        </is>
      </c>
      <c r="E10286" t="inlineStr">
        <is>
          <t>VILHELMINA</t>
        </is>
      </c>
      <c r="F10286" t="inlineStr">
        <is>
          <t>Sveaskog</t>
        </is>
      </c>
      <c r="G10286" t="n">
        <v>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1373-2026</t>
        </is>
      </c>
      <c r="B10287" s="1" t="n">
        <v>46031</v>
      </c>
      <c r="C10287" s="1" t="n">
        <v>46075</v>
      </c>
      <c r="D10287" t="inlineStr">
        <is>
          <t>VÄSTERBOTTENS LÄN</t>
        </is>
      </c>
      <c r="E10287" t="inlineStr">
        <is>
          <t>NORDMALING</t>
        </is>
      </c>
      <c r="G10287" t="n">
        <v>2.1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18482-2025</t>
        </is>
      </c>
      <c r="B10288" s="1" t="n">
        <v>45763.26912037037</v>
      </c>
      <c r="C10288" s="1" t="n">
        <v>46075</v>
      </c>
      <c r="D10288" t="inlineStr">
        <is>
          <t>VÄSTERBOTTENS LÄN</t>
        </is>
      </c>
      <c r="E10288" t="inlineStr">
        <is>
          <t>VINDELN</t>
        </is>
      </c>
      <c r="F10288" t="inlineStr">
        <is>
          <t>Holmen skog AB</t>
        </is>
      </c>
      <c r="G10288" t="n">
        <v>2.1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1388-2026</t>
        </is>
      </c>
      <c r="B10289" s="1" t="n">
        <v>46031.62766203703</v>
      </c>
      <c r="C10289" s="1" t="n">
        <v>46075</v>
      </c>
      <c r="D10289" t="inlineStr">
        <is>
          <t>VÄSTERBOTTENS LÄN</t>
        </is>
      </c>
      <c r="E10289" t="inlineStr">
        <is>
          <t>UMEÅ</t>
        </is>
      </c>
      <c r="G10289" t="n">
        <v>1.1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1424-2026</t>
        </is>
      </c>
      <c r="B10290" s="1" t="n">
        <v>46031</v>
      </c>
      <c r="C10290" s="1" t="n">
        <v>46075</v>
      </c>
      <c r="D10290" t="inlineStr">
        <is>
          <t>VÄSTERBOTTENS LÄN</t>
        </is>
      </c>
      <c r="E10290" t="inlineStr">
        <is>
          <t>ROBERTSFORS</t>
        </is>
      </c>
      <c r="G10290" t="n">
        <v>3.1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56743-2023</t>
        </is>
      </c>
      <c r="B10291" s="1" t="n">
        <v>45244</v>
      </c>
      <c r="C10291" s="1" t="n">
        <v>46075</v>
      </c>
      <c r="D10291" t="inlineStr">
        <is>
          <t>VÄSTERBOTTENS LÄN</t>
        </is>
      </c>
      <c r="E10291" t="inlineStr">
        <is>
          <t>UMEÅ</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56747-2023</t>
        </is>
      </c>
      <c r="B10292" s="1" t="n">
        <v>45238</v>
      </c>
      <c r="C10292" s="1" t="n">
        <v>46075</v>
      </c>
      <c r="D10292" t="inlineStr">
        <is>
          <t>VÄSTERBOTTENS LÄN</t>
        </is>
      </c>
      <c r="E10292" t="inlineStr">
        <is>
          <t>VILHELMINA</t>
        </is>
      </c>
      <c r="F10292" t="inlineStr">
        <is>
          <t>Allmännings- och besparingsskogar</t>
        </is>
      </c>
      <c r="G10292" t="n">
        <v>16.2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56758-2023</t>
        </is>
      </c>
      <c r="B10293" s="1" t="n">
        <v>45238</v>
      </c>
      <c r="C10293" s="1" t="n">
        <v>46075</v>
      </c>
      <c r="D10293" t="inlineStr">
        <is>
          <t>VÄSTERBOTTENS LÄN</t>
        </is>
      </c>
      <c r="E10293" t="inlineStr">
        <is>
          <t>VILHELMINA</t>
        </is>
      </c>
      <c r="F10293" t="inlineStr">
        <is>
          <t>Allmännings- och besparingsskogar</t>
        </is>
      </c>
      <c r="G10293" t="n">
        <v>371.4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1103-2026</t>
        </is>
      </c>
      <c r="B10294" s="1" t="n">
        <v>46030.6678587963</v>
      </c>
      <c r="C10294" s="1" t="n">
        <v>46075</v>
      </c>
      <c r="D10294" t="inlineStr">
        <is>
          <t>VÄSTERBOTTENS LÄN</t>
        </is>
      </c>
      <c r="E10294" t="inlineStr">
        <is>
          <t>LYCKSELE</t>
        </is>
      </c>
      <c r="G10294" t="n">
        <v>16.3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1272-2026</t>
        </is>
      </c>
      <c r="B10295" s="1" t="n">
        <v>46031.46912037037</v>
      </c>
      <c r="C10295" s="1" t="n">
        <v>46075</v>
      </c>
      <c r="D10295" t="inlineStr">
        <is>
          <t>VÄSTERBOTTENS LÄN</t>
        </is>
      </c>
      <c r="E10295" t="inlineStr">
        <is>
          <t>MALÅ</t>
        </is>
      </c>
      <c r="G10295" t="n">
        <v>9.5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55483-2023</t>
        </is>
      </c>
      <c r="B10296" s="1" t="n">
        <v>45231</v>
      </c>
      <c r="C10296" s="1" t="n">
        <v>46075</v>
      </c>
      <c r="D10296" t="inlineStr">
        <is>
          <t>VÄSTERBOTTENS LÄN</t>
        </is>
      </c>
      <c r="E10296" t="inlineStr">
        <is>
          <t>VINDELN</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53775-2023</t>
        </is>
      </c>
      <c r="B10297" s="1" t="n">
        <v>45231.27434027778</v>
      </c>
      <c r="C10297" s="1" t="n">
        <v>46075</v>
      </c>
      <c r="D10297" t="inlineStr">
        <is>
          <t>VÄSTERBOTTENS LÄN</t>
        </is>
      </c>
      <c r="E10297" t="inlineStr">
        <is>
          <t>NORDMALING</t>
        </is>
      </c>
      <c r="G10297" t="n">
        <v>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60175-2022</t>
        </is>
      </c>
      <c r="B10298" s="1" t="n">
        <v>44909</v>
      </c>
      <c r="C10298" s="1" t="n">
        <v>46075</v>
      </c>
      <c r="D10298" t="inlineStr">
        <is>
          <t>VÄSTERBOTTENS LÄN</t>
        </is>
      </c>
      <c r="E10298" t="inlineStr">
        <is>
          <t>NORDMALING</t>
        </is>
      </c>
      <c r="F10298" t="inlineStr">
        <is>
          <t>SCA</t>
        </is>
      </c>
      <c r="G10298" t="n">
        <v>3.2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53839-2023</t>
        </is>
      </c>
      <c r="B10299" s="1" t="n">
        <v>45231.43283564815</v>
      </c>
      <c r="C10299" s="1" t="n">
        <v>46075</v>
      </c>
      <c r="D10299" t="inlineStr">
        <is>
          <t>VÄSTERBOTTENS LÄN</t>
        </is>
      </c>
      <c r="E10299" t="inlineStr">
        <is>
          <t>LYCKSELE</t>
        </is>
      </c>
      <c r="F10299" t="inlineStr">
        <is>
          <t>Sveaskog</t>
        </is>
      </c>
      <c r="G10299" t="n">
        <v>2.7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9630-2026</t>
        </is>
      </c>
      <c r="B10300" s="1" t="n">
        <v>46072.34447916667</v>
      </c>
      <c r="C10300" s="1" t="n">
        <v>46075</v>
      </c>
      <c r="D10300" t="inlineStr">
        <is>
          <t>VÄSTERBOTTENS LÄN</t>
        </is>
      </c>
      <c r="E10300" t="inlineStr">
        <is>
          <t>ÅSELE</t>
        </is>
      </c>
      <c r="F10300" t="inlineStr">
        <is>
          <t>SCA</t>
        </is>
      </c>
      <c r="G10300" t="n">
        <v>2.9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9692-2026</t>
        </is>
      </c>
      <c r="B10301" s="1" t="n">
        <v>46072.40678240741</v>
      </c>
      <c r="C10301" s="1" t="n">
        <v>46075</v>
      </c>
      <c r="D10301" t="inlineStr">
        <is>
          <t>VÄSTERBOTTENS LÄN</t>
        </is>
      </c>
      <c r="E10301" t="inlineStr">
        <is>
          <t>NORDMALING</t>
        </is>
      </c>
      <c r="F10301" t="inlineStr">
        <is>
          <t>SCA</t>
        </is>
      </c>
      <c r="G10301" t="n">
        <v>3.1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12118-2024</t>
        </is>
      </c>
      <c r="B10302" s="1" t="n">
        <v>45376</v>
      </c>
      <c r="C10302" s="1" t="n">
        <v>46075</v>
      </c>
      <c r="D10302" t="inlineStr">
        <is>
          <t>VÄSTERBOTTENS LÄN</t>
        </is>
      </c>
      <c r="E10302" t="inlineStr">
        <is>
          <t>VILHELMINA</t>
        </is>
      </c>
      <c r="G10302" t="n">
        <v>3.6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11320-2023</t>
        </is>
      </c>
      <c r="B10303" s="1" t="n">
        <v>44993.01296296297</v>
      </c>
      <c r="C10303" s="1" t="n">
        <v>46075</v>
      </c>
      <c r="D10303" t="inlineStr">
        <is>
          <t>VÄSTERBOTTENS LÄN</t>
        </is>
      </c>
      <c r="E10303" t="inlineStr">
        <is>
          <t>ÅSELE</t>
        </is>
      </c>
      <c r="F10303" t="inlineStr">
        <is>
          <t>SCA</t>
        </is>
      </c>
      <c r="G10303" t="n">
        <v>2.5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29344-2023</t>
        </is>
      </c>
      <c r="B10304" s="1" t="n">
        <v>45105.94471064815</v>
      </c>
      <c r="C10304" s="1" t="n">
        <v>46075</v>
      </c>
      <c r="D10304" t="inlineStr">
        <is>
          <t>VÄSTERBOTTENS LÄN</t>
        </is>
      </c>
      <c r="E10304" t="inlineStr">
        <is>
          <t>NORDMALING</t>
        </is>
      </c>
      <c r="F10304" t="inlineStr">
        <is>
          <t>SCA</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6943-2025</t>
        </is>
      </c>
      <c r="B10305" s="1" t="n">
        <v>45701</v>
      </c>
      <c r="C10305" s="1" t="n">
        <v>46075</v>
      </c>
      <c r="D10305" t="inlineStr">
        <is>
          <t>VÄSTERBOTTENS LÄN</t>
        </is>
      </c>
      <c r="E10305" t="inlineStr">
        <is>
          <t>LYCKSELE</t>
        </is>
      </c>
      <c r="G10305" t="n">
        <v>3.4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38694-2023</t>
        </is>
      </c>
      <c r="B10306" s="1" t="n">
        <v>45162</v>
      </c>
      <c r="C10306" s="1" t="n">
        <v>46075</v>
      </c>
      <c r="D10306" t="inlineStr">
        <is>
          <t>VÄSTERBOTTENS LÄN</t>
        </is>
      </c>
      <c r="E10306" t="inlineStr">
        <is>
          <t>SORSELE</t>
        </is>
      </c>
      <c r="F10306" t="inlineStr">
        <is>
          <t>SCA</t>
        </is>
      </c>
      <c r="G10306" t="n">
        <v>3.3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38717-2023</t>
        </is>
      </c>
      <c r="B10307" s="1" t="n">
        <v>45160</v>
      </c>
      <c r="C10307" s="1" t="n">
        <v>46075</v>
      </c>
      <c r="D10307" t="inlineStr">
        <is>
          <t>VÄSTERBOTTENS LÄN</t>
        </is>
      </c>
      <c r="E10307" t="inlineStr">
        <is>
          <t>SKELLEFTEÅ</t>
        </is>
      </c>
      <c r="G10307" t="n">
        <v>0.5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38776-2023</t>
        </is>
      </c>
      <c r="B10308" s="1" t="n">
        <v>45163</v>
      </c>
      <c r="C10308" s="1" t="n">
        <v>46075</v>
      </c>
      <c r="D10308" t="inlineStr">
        <is>
          <t>VÄSTERBOTTENS LÄN</t>
        </is>
      </c>
      <c r="E10308" t="inlineStr">
        <is>
          <t>NORSJÖ</t>
        </is>
      </c>
      <c r="F10308" t="inlineStr">
        <is>
          <t>Sveaskog</t>
        </is>
      </c>
      <c r="G10308" t="n">
        <v>19.6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15326-2024</t>
        </is>
      </c>
      <c r="B10309" s="1" t="n">
        <v>45400</v>
      </c>
      <c r="C10309" s="1" t="n">
        <v>46075</v>
      </c>
      <c r="D10309" t="inlineStr">
        <is>
          <t>VÄSTERBOTTENS LÄN</t>
        </is>
      </c>
      <c r="E10309" t="inlineStr">
        <is>
          <t>VILHELMINA</t>
        </is>
      </c>
      <c r="G10309" t="n">
        <v>4.7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45697-2024</t>
        </is>
      </c>
      <c r="B10310" s="1" t="n">
        <v>45579.55914351852</v>
      </c>
      <c r="C10310" s="1" t="n">
        <v>46075</v>
      </c>
      <c r="D10310" t="inlineStr">
        <is>
          <t>VÄSTERBOTTENS LÄN</t>
        </is>
      </c>
      <c r="E10310" t="inlineStr">
        <is>
          <t>NORSJÖ</t>
        </is>
      </c>
      <c r="G10310" t="n">
        <v>1.9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49498-2025</t>
        </is>
      </c>
      <c r="B10311" s="1" t="n">
        <v>45939.36655092592</v>
      </c>
      <c r="C10311" s="1" t="n">
        <v>46075</v>
      </c>
      <c r="D10311" t="inlineStr">
        <is>
          <t>VÄSTERBOTTENS LÄN</t>
        </is>
      </c>
      <c r="E10311" t="inlineStr">
        <is>
          <t>VINDELN</t>
        </is>
      </c>
      <c r="G10311" t="n">
        <v>14.9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9868-2026</t>
        </is>
      </c>
      <c r="B10312" s="1" t="n">
        <v>46072</v>
      </c>
      <c r="C10312" s="1" t="n">
        <v>46075</v>
      </c>
      <c r="D10312" t="inlineStr">
        <is>
          <t>VÄSTERBOTTENS LÄN</t>
        </is>
      </c>
      <c r="E10312" t="inlineStr">
        <is>
          <t>NORDMALING</t>
        </is>
      </c>
      <c r="G10312" t="n">
        <v>2.8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54143-2024</t>
        </is>
      </c>
      <c r="B10313" s="1" t="n">
        <v>45616</v>
      </c>
      <c r="C10313" s="1" t="n">
        <v>46075</v>
      </c>
      <c r="D10313" t="inlineStr">
        <is>
          <t>VÄSTERBOTTENS LÄN</t>
        </is>
      </c>
      <c r="E10313" t="inlineStr">
        <is>
          <t>UMEÅ</t>
        </is>
      </c>
      <c r="G10313" t="n">
        <v>0.3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59559-2022</t>
        </is>
      </c>
      <c r="B10314" s="1" t="n">
        <v>44900</v>
      </c>
      <c r="C10314" s="1" t="n">
        <v>46075</v>
      </c>
      <c r="D10314" t="inlineStr">
        <is>
          <t>VÄSTERBOTTENS LÄN</t>
        </is>
      </c>
      <c r="E10314" t="inlineStr">
        <is>
          <t>LYCKSELE</t>
        </is>
      </c>
      <c r="G10314" t="n">
        <v>0.3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31281-2023</t>
        </is>
      </c>
      <c r="B10315" s="1" t="n">
        <v>45114</v>
      </c>
      <c r="C10315" s="1" t="n">
        <v>46075</v>
      </c>
      <c r="D10315" t="inlineStr">
        <is>
          <t>VÄSTERBOTTENS LÄN</t>
        </is>
      </c>
      <c r="E10315" t="inlineStr">
        <is>
          <t>NORSJÖ</t>
        </is>
      </c>
      <c r="G10315" t="n">
        <v>6.4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1085-2026</t>
        </is>
      </c>
      <c r="B10316" s="1" t="n">
        <v>46030.65726851852</v>
      </c>
      <c r="C10316" s="1" t="n">
        <v>46075</v>
      </c>
      <c r="D10316" t="inlineStr">
        <is>
          <t>VÄSTERBOTTENS LÄN</t>
        </is>
      </c>
      <c r="E10316" t="inlineStr">
        <is>
          <t>LYCKSELE</t>
        </is>
      </c>
      <c r="G10316" t="n">
        <v>5.5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47329-2024</t>
        </is>
      </c>
      <c r="B10317" s="1" t="n">
        <v>45587.38643518519</v>
      </c>
      <c r="C10317" s="1" t="n">
        <v>46075</v>
      </c>
      <c r="D10317" t="inlineStr">
        <is>
          <t>VÄSTERBOTTENS LÄN</t>
        </is>
      </c>
      <c r="E10317" t="inlineStr">
        <is>
          <t>ROBERTSFORS</t>
        </is>
      </c>
      <c r="G10317" t="n">
        <v>9.4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1143-2026</t>
        </is>
      </c>
      <c r="B10318" s="1" t="n">
        <v>46030</v>
      </c>
      <c r="C10318" s="1" t="n">
        <v>46075</v>
      </c>
      <c r="D10318" t="inlineStr">
        <is>
          <t>VÄSTERBOTTENS LÄN</t>
        </is>
      </c>
      <c r="E10318" t="inlineStr">
        <is>
          <t>UMEÅ</t>
        </is>
      </c>
      <c r="G10318" t="n">
        <v>1.6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49793-2024</t>
        </is>
      </c>
      <c r="B10319" s="1" t="n">
        <v>45597.3706712963</v>
      </c>
      <c r="C10319" s="1" t="n">
        <v>46075</v>
      </c>
      <c r="D10319" t="inlineStr">
        <is>
          <t>VÄSTERBOTTENS LÄN</t>
        </is>
      </c>
      <c r="E10319" t="inlineStr">
        <is>
          <t>UMEÅ</t>
        </is>
      </c>
      <c r="F10319" t="inlineStr">
        <is>
          <t>Holmen skog AB</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1166-2026</t>
        </is>
      </c>
      <c r="B10320" s="1" t="n">
        <v>46031.3431712963</v>
      </c>
      <c r="C10320" s="1" t="n">
        <v>46075</v>
      </c>
      <c r="D10320" t="inlineStr">
        <is>
          <t>VÄSTERBOTTENS LÄN</t>
        </is>
      </c>
      <c r="E10320" t="inlineStr">
        <is>
          <t>NORSJÖ</t>
        </is>
      </c>
      <c r="F10320" t="inlineStr">
        <is>
          <t>Holmen skog AB</t>
        </is>
      </c>
      <c r="G10320" t="n">
        <v>4.6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36839-2024</t>
        </is>
      </c>
      <c r="B10321" s="1" t="n">
        <v>45538.53047453704</v>
      </c>
      <c r="C10321" s="1" t="n">
        <v>46075</v>
      </c>
      <c r="D10321" t="inlineStr">
        <is>
          <t>VÄSTERBOTTENS LÄN</t>
        </is>
      </c>
      <c r="E10321" t="inlineStr">
        <is>
          <t>VINDELN</t>
        </is>
      </c>
      <c r="F10321" t="inlineStr">
        <is>
          <t>Holmen skog AB</t>
        </is>
      </c>
      <c r="G10321" t="n">
        <v>3.7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48204-2024</t>
        </is>
      </c>
      <c r="B10322" s="1" t="n">
        <v>45589</v>
      </c>
      <c r="C10322" s="1" t="n">
        <v>46075</v>
      </c>
      <c r="D10322" t="inlineStr">
        <is>
          <t>VÄSTERBOTTENS LÄN</t>
        </is>
      </c>
      <c r="E10322" t="inlineStr">
        <is>
          <t>SKELLEFTEÅ</t>
        </is>
      </c>
      <c r="G10322" t="n">
        <v>4.1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36932-2024</t>
        </is>
      </c>
      <c r="B10323" s="1" t="n">
        <v>45538</v>
      </c>
      <c r="C10323" s="1" t="n">
        <v>46075</v>
      </c>
      <c r="D10323" t="inlineStr">
        <is>
          <t>VÄSTERBOTTENS LÄN</t>
        </is>
      </c>
      <c r="E10323" t="inlineStr">
        <is>
          <t>UMEÅ</t>
        </is>
      </c>
      <c r="F10323" t="inlineStr">
        <is>
          <t>Holmen skog AB</t>
        </is>
      </c>
      <c r="G10323" t="n">
        <v>2.3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1206-2026</t>
        </is>
      </c>
      <c r="B10324" s="1" t="n">
        <v>46031.38577546296</v>
      </c>
      <c r="C10324" s="1" t="n">
        <v>46075</v>
      </c>
      <c r="D10324" t="inlineStr">
        <is>
          <t>VÄSTERBOTTENS LÄN</t>
        </is>
      </c>
      <c r="E10324" t="inlineStr">
        <is>
          <t>ROBERTSFORS</t>
        </is>
      </c>
      <c r="G10324" t="n">
        <v>2.3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36933-2024</t>
        </is>
      </c>
      <c r="B10325" s="1" t="n">
        <v>45538</v>
      </c>
      <c r="C10325" s="1" t="n">
        <v>46075</v>
      </c>
      <c r="D10325" t="inlineStr">
        <is>
          <t>VÄSTERBOTTENS LÄN</t>
        </is>
      </c>
      <c r="E10325" t="inlineStr">
        <is>
          <t>ROBERTSFORS</t>
        </is>
      </c>
      <c r="F10325" t="inlineStr">
        <is>
          <t>Holmen skog AB</t>
        </is>
      </c>
      <c r="G10325" t="n">
        <v>7.9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8644-2025</t>
        </is>
      </c>
      <c r="B10326" s="1" t="n">
        <v>45712</v>
      </c>
      <c r="C10326" s="1" t="n">
        <v>46075</v>
      </c>
      <c r="D10326" t="inlineStr">
        <is>
          <t>VÄSTERBOTTENS LÄN</t>
        </is>
      </c>
      <c r="E10326" t="inlineStr">
        <is>
          <t>SKELLEFTEÅ</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1246-2026</t>
        </is>
      </c>
      <c r="B10327" s="1" t="n">
        <v>46031</v>
      </c>
      <c r="C10327" s="1" t="n">
        <v>46075</v>
      </c>
      <c r="D10327" t="inlineStr">
        <is>
          <t>VÄSTERBOTTENS LÄN</t>
        </is>
      </c>
      <c r="E10327" t="inlineStr">
        <is>
          <t>MALÅ</t>
        </is>
      </c>
      <c r="G10327" t="n">
        <v>10.8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8722-2025</t>
        </is>
      </c>
      <c r="B10328" s="1" t="n">
        <v>45712.51097222222</v>
      </c>
      <c r="C10328" s="1" t="n">
        <v>46075</v>
      </c>
      <c r="D10328" t="inlineStr">
        <is>
          <t>VÄSTERBOTTENS LÄN</t>
        </is>
      </c>
      <c r="E10328" t="inlineStr">
        <is>
          <t>ÅSELE</t>
        </is>
      </c>
      <c r="F10328" t="inlineStr">
        <is>
          <t>SCA</t>
        </is>
      </c>
      <c r="G10328" t="n">
        <v>2.7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42473-2024</t>
        </is>
      </c>
      <c r="B10329" s="1" t="n">
        <v>45565.49016203704</v>
      </c>
      <c r="C10329" s="1" t="n">
        <v>46075</v>
      </c>
      <c r="D10329" t="inlineStr">
        <is>
          <t>VÄSTERBOTTENS LÄN</t>
        </is>
      </c>
      <c r="E10329" t="inlineStr">
        <is>
          <t>DOROTEA</t>
        </is>
      </c>
      <c r="F10329" t="inlineStr">
        <is>
          <t>SCA</t>
        </is>
      </c>
      <c r="G10329" t="n">
        <v>2.6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38315-2023</t>
        </is>
      </c>
      <c r="B10330" s="1" t="n">
        <v>45161.6918287037</v>
      </c>
      <c r="C10330" s="1" t="n">
        <v>46075</v>
      </c>
      <c r="D10330" t="inlineStr">
        <is>
          <t>VÄSTERBOTTENS LÄN</t>
        </is>
      </c>
      <c r="E10330" t="inlineStr">
        <is>
          <t>VINDELN</t>
        </is>
      </c>
      <c r="F10330" t="inlineStr">
        <is>
          <t>Holmen skog AB</t>
        </is>
      </c>
      <c r="G10330" t="n">
        <v>1.6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48472-2023</t>
        </is>
      </c>
      <c r="B10331" s="1" t="n">
        <v>45206.95761574074</v>
      </c>
      <c r="C10331" s="1" t="n">
        <v>46075</v>
      </c>
      <c r="D10331" t="inlineStr">
        <is>
          <t>VÄSTERBOTTENS LÄN</t>
        </is>
      </c>
      <c r="E10331" t="inlineStr">
        <is>
          <t>VILHELMINA</t>
        </is>
      </c>
      <c r="F10331" t="inlineStr">
        <is>
          <t>SCA</t>
        </is>
      </c>
      <c r="G10331" t="n">
        <v>4.6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59287-2022</t>
        </is>
      </c>
      <c r="B10332" s="1" t="n">
        <v>44904.60694444444</v>
      </c>
      <c r="C10332" s="1" t="n">
        <v>46075</v>
      </c>
      <c r="D10332" t="inlineStr">
        <is>
          <t>VÄSTERBOTTENS LÄN</t>
        </is>
      </c>
      <c r="E10332" t="inlineStr">
        <is>
          <t>LYCKSELE</t>
        </is>
      </c>
      <c r="F10332" t="inlineStr">
        <is>
          <t>Sveaskog</t>
        </is>
      </c>
      <c r="G10332" t="n">
        <v>5.7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9982-2026</t>
        </is>
      </c>
      <c r="B10333" s="1" t="n">
        <v>46073.5375462963</v>
      </c>
      <c r="C10333" s="1" t="n">
        <v>46075</v>
      </c>
      <c r="D10333" t="inlineStr">
        <is>
          <t>VÄSTERBOTTENS LÄN</t>
        </is>
      </c>
      <c r="E10333" t="inlineStr">
        <is>
          <t>SKELLEFTEÅ</t>
        </is>
      </c>
      <c r="G10333" t="n">
        <v>4.6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36665-2024</t>
        </is>
      </c>
      <c r="B10334" s="1" t="n">
        <v>45537</v>
      </c>
      <c r="C10334" s="1" t="n">
        <v>46075</v>
      </c>
      <c r="D10334" t="inlineStr">
        <is>
          <t>VÄSTERBOTTENS LÄN</t>
        </is>
      </c>
      <c r="E10334" t="inlineStr">
        <is>
          <t>VINDELN</t>
        </is>
      </c>
      <c r="F10334" t="inlineStr">
        <is>
          <t>Sveaskog</t>
        </is>
      </c>
      <c r="G10334" t="n">
        <v>7.6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20000-2025</t>
        </is>
      </c>
      <c r="B10335" s="1" t="n">
        <v>45771.90070601852</v>
      </c>
      <c r="C10335" s="1" t="n">
        <v>46075</v>
      </c>
      <c r="D10335" t="inlineStr">
        <is>
          <t>VÄSTERBOTTENS LÄN</t>
        </is>
      </c>
      <c r="E10335" t="inlineStr">
        <is>
          <t>VINDELN</t>
        </is>
      </c>
      <c r="G10335" t="n">
        <v>3.4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20001-2025</t>
        </is>
      </c>
      <c r="B10336" s="1" t="n">
        <v>45771</v>
      </c>
      <c r="C10336" s="1" t="n">
        <v>46075</v>
      </c>
      <c r="D10336" t="inlineStr">
        <is>
          <t>VÄSTERBOTTENS LÄN</t>
        </is>
      </c>
      <c r="E10336" t="inlineStr">
        <is>
          <t>VINDELN</t>
        </is>
      </c>
      <c r="G10336" t="n">
        <v>0.8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10014-2026</t>
        </is>
      </c>
      <c r="B10337" s="1" t="n">
        <v>46073.5741550926</v>
      </c>
      <c r="C10337" s="1" t="n">
        <v>46075</v>
      </c>
      <c r="D10337" t="inlineStr">
        <is>
          <t>VÄSTERBOTTENS LÄN</t>
        </is>
      </c>
      <c r="E10337" t="inlineStr">
        <is>
          <t>UMEÅ</t>
        </is>
      </c>
      <c r="G10337" t="n">
        <v>1.6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52740-2023</t>
        </is>
      </c>
      <c r="B10338" s="1" t="n">
        <v>45225</v>
      </c>
      <c r="C10338" s="1" t="n">
        <v>46075</v>
      </c>
      <c r="D10338" t="inlineStr">
        <is>
          <t>VÄSTERBOTTENS LÄN</t>
        </is>
      </c>
      <c r="E10338" t="inlineStr">
        <is>
          <t>VILHELMINA</t>
        </is>
      </c>
      <c r="F10338" t="inlineStr">
        <is>
          <t>SCA</t>
        </is>
      </c>
      <c r="G10338" t="n">
        <v>2.4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9904-2026</t>
        </is>
      </c>
      <c r="B10339" s="1" t="n">
        <v>46073.40673611111</v>
      </c>
      <c r="C10339" s="1" t="n">
        <v>46075</v>
      </c>
      <c r="D10339" t="inlineStr">
        <is>
          <t>VÄSTERBOTTENS LÄN</t>
        </is>
      </c>
      <c r="E10339" t="inlineStr">
        <is>
          <t>VILHELMINA</t>
        </is>
      </c>
      <c r="F10339" t="inlineStr">
        <is>
          <t>SCA</t>
        </is>
      </c>
      <c r="G10339" t="n">
        <v>2.6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48327-2023</t>
        </is>
      </c>
      <c r="B10340" s="1" t="n">
        <v>45201</v>
      </c>
      <c r="C10340" s="1" t="n">
        <v>46075</v>
      </c>
      <c r="D10340" t="inlineStr">
        <is>
          <t>VÄSTERBOTTENS LÄN</t>
        </is>
      </c>
      <c r="E10340" t="inlineStr">
        <is>
          <t>MALÅ</t>
        </is>
      </c>
      <c r="G10340" t="n">
        <v>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27504-2022</t>
        </is>
      </c>
      <c r="B10341" s="1" t="n">
        <v>44742</v>
      </c>
      <c r="C10341" s="1" t="n">
        <v>46075</v>
      </c>
      <c r="D10341" t="inlineStr">
        <is>
          <t>VÄSTERBOTTENS LÄN</t>
        </is>
      </c>
      <c r="E10341" t="inlineStr">
        <is>
          <t>NORDMALING</t>
        </is>
      </c>
      <c r="G10341" t="n">
        <v>2.3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9768-2026</t>
        </is>
      </c>
      <c r="B10342" s="1" t="n">
        <v>46072.56574074074</v>
      </c>
      <c r="C10342" s="1" t="n">
        <v>46075</v>
      </c>
      <c r="D10342" t="inlineStr">
        <is>
          <t>VÄSTERBOTTENS LÄN</t>
        </is>
      </c>
      <c r="E10342" t="inlineStr">
        <is>
          <t>SORSELE</t>
        </is>
      </c>
      <c r="G10342" t="n">
        <v>45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9782-2026</t>
        </is>
      </c>
      <c r="B10343" s="1" t="n">
        <v>46072.58782407407</v>
      </c>
      <c r="C10343" s="1" t="n">
        <v>46075</v>
      </c>
      <c r="D10343" t="inlineStr">
        <is>
          <t>VÄSTERBOTTENS LÄN</t>
        </is>
      </c>
      <c r="E10343" t="inlineStr">
        <is>
          <t>VILHELMINA</t>
        </is>
      </c>
      <c r="G10343" t="n">
        <v>8.1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51734-2021</t>
        </is>
      </c>
      <c r="B10344" s="1" t="n">
        <v>44461</v>
      </c>
      <c r="C10344" s="1" t="n">
        <v>46075</v>
      </c>
      <c r="D10344" t="inlineStr">
        <is>
          <t>VÄSTERBOTTENS LÄN</t>
        </is>
      </c>
      <c r="E10344" t="inlineStr">
        <is>
          <t>SKELLEFTEÅ</t>
        </is>
      </c>
      <c r="G10344" t="n">
        <v>3.5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9869-2026</t>
        </is>
      </c>
      <c r="B10345" s="1" t="n">
        <v>46072</v>
      </c>
      <c r="C10345" s="1" t="n">
        <v>46075</v>
      </c>
      <c r="D10345" t="inlineStr">
        <is>
          <t>VÄSTERBOTTENS LÄN</t>
        </is>
      </c>
      <c r="E10345" t="inlineStr">
        <is>
          <t>NORDMALING</t>
        </is>
      </c>
      <c r="G10345" t="n">
        <v>1.7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9792-2026</t>
        </is>
      </c>
      <c r="B10346" s="1" t="n">
        <v>46072.60488425926</v>
      </c>
      <c r="C10346" s="1" t="n">
        <v>46075</v>
      </c>
      <c r="D10346" t="inlineStr">
        <is>
          <t>VÄSTERBOTTENS LÄN</t>
        </is>
      </c>
      <c r="E10346" t="inlineStr">
        <is>
          <t>NORDMALING</t>
        </is>
      </c>
      <c r="G10346" t="n">
        <v>9.699999999999999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909-2026</t>
        </is>
      </c>
      <c r="B10347" s="1" t="n">
        <v>46030.47678240741</v>
      </c>
      <c r="C10347" s="1" t="n">
        <v>46075</v>
      </c>
      <c r="D10347" t="inlineStr">
        <is>
          <t>VÄSTERBOTTENS LÄN</t>
        </is>
      </c>
      <c r="E10347" t="inlineStr">
        <is>
          <t>DOROTEA</t>
        </is>
      </c>
      <c r="G10347" t="n">
        <v>18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1142-2026</t>
        </is>
      </c>
      <c r="B10348" s="1" t="n">
        <v>46030.84501157407</v>
      </c>
      <c r="C10348" s="1" t="n">
        <v>46075</v>
      </c>
      <c r="D10348" t="inlineStr">
        <is>
          <t>VÄSTERBOTTENS LÄN</t>
        </is>
      </c>
      <c r="E10348" t="inlineStr">
        <is>
          <t>UMEÅ</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10057-2026</t>
        </is>
      </c>
      <c r="B10349" s="1" t="n">
        <v>46073.62258101852</v>
      </c>
      <c r="C10349" s="1" t="n">
        <v>46075</v>
      </c>
      <c r="D10349" t="inlineStr">
        <is>
          <t>VÄSTERBOTTENS LÄN</t>
        </is>
      </c>
      <c r="E10349" t="inlineStr">
        <is>
          <t>VINDELN</t>
        </is>
      </c>
      <c r="G10349" t="n">
        <v>4.3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1565-2024</t>
        </is>
      </c>
      <c r="B10350" s="1" t="n">
        <v>45306.52886574074</v>
      </c>
      <c r="C10350" s="1" t="n">
        <v>46075</v>
      </c>
      <c r="D10350" t="inlineStr">
        <is>
          <t>VÄSTERBOTTENS LÄN</t>
        </is>
      </c>
      <c r="E10350" t="inlineStr">
        <is>
          <t>NORSJÖ</t>
        </is>
      </c>
      <c r="F10350" t="inlineStr">
        <is>
          <t>Holmen skog AB</t>
        </is>
      </c>
      <c r="G10350" t="n">
        <v>23.6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9948-2026</t>
        </is>
      </c>
      <c r="B10351" s="1" t="n">
        <v>46073.47048611111</v>
      </c>
      <c r="C10351" s="1" t="n">
        <v>46075</v>
      </c>
      <c r="D10351" t="inlineStr">
        <is>
          <t>VÄSTERBOTTENS LÄN</t>
        </is>
      </c>
      <c r="E10351" t="inlineStr">
        <is>
          <t>STORUMAN</t>
        </is>
      </c>
      <c r="F10351" t="inlineStr">
        <is>
          <t>SCA</t>
        </is>
      </c>
      <c r="G10351" t="n">
        <v>2.9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48328-2024</t>
        </is>
      </c>
      <c r="B10352" s="1" t="n">
        <v>45590</v>
      </c>
      <c r="C10352" s="1" t="n">
        <v>46075</v>
      </c>
      <c r="D10352" t="inlineStr">
        <is>
          <t>VÄSTERBOTTENS LÄN</t>
        </is>
      </c>
      <c r="E10352" t="inlineStr">
        <is>
          <t>ÅSELE</t>
        </is>
      </c>
      <c r="F10352" t="inlineStr">
        <is>
          <t>Sveaskog</t>
        </is>
      </c>
      <c r="G10352" t="n">
        <v>3.3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9943-2026</t>
        </is>
      </c>
      <c r="B10353" s="1" t="n">
        <v>46073.46966435185</v>
      </c>
      <c r="C10353" s="1" t="n">
        <v>46075</v>
      </c>
      <c r="D10353" t="inlineStr">
        <is>
          <t>VÄSTERBOTTENS LÄN</t>
        </is>
      </c>
      <c r="E10353" t="inlineStr">
        <is>
          <t>ÅSELE</t>
        </is>
      </c>
      <c r="F10353" t="inlineStr">
        <is>
          <t>SCA</t>
        </is>
      </c>
      <c r="G10353" t="n">
        <v>7.1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9945-2026</t>
        </is>
      </c>
      <c r="B10354" s="1" t="n">
        <v>46073.47011574074</v>
      </c>
      <c r="C10354" s="1" t="n">
        <v>46075</v>
      </c>
      <c r="D10354" t="inlineStr">
        <is>
          <t>VÄSTERBOTTENS LÄN</t>
        </is>
      </c>
      <c r="E10354" t="inlineStr">
        <is>
          <t>STORUMAN</t>
        </is>
      </c>
      <c r="F10354" t="inlineStr">
        <is>
          <t>SCA</t>
        </is>
      </c>
      <c r="G10354" t="n">
        <v>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1325-2026</t>
        </is>
      </c>
      <c r="B10355" s="1" t="n">
        <v>46031</v>
      </c>
      <c r="C10355" s="1" t="n">
        <v>46075</v>
      </c>
      <c r="D10355" t="inlineStr">
        <is>
          <t>VÄSTERBOTTENS LÄN</t>
        </is>
      </c>
      <c r="E10355" t="inlineStr">
        <is>
          <t>MALÅ</t>
        </is>
      </c>
      <c r="G10355" t="n">
        <v>6.4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66952-2021</t>
        </is>
      </c>
      <c r="B10356" s="1" t="n">
        <v>44522</v>
      </c>
      <c r="C10356" s="1" t="n">
        <v>46075</v>
      </c>
      <c r="D10356" t="inlineStr">
        <is>
          <t>VÄSTERBOTTENS LÄN</t>
        </is>
      </c>
      <c r="E10356" t="inlineStr">
        <is>
          <t>VILHELMINA</t>
        </is>
      </c>
      <c r="F10356" t="inlineStr">
        <is>
          <t>Allmännings- och besparingsskogar</t>
        </is>
      </c>
      <c r="G10356" t="n">
        <v>70</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35209-2024</t>
        </is>
      </c>
      <c r="B10357" s="1" t="n">
        <v>45530</v>
      </c>
      <c r="C10357" s="1" t="n">
        <v>46075</v>
      </c>
      <c r="D10357" t="inlineStr">
        <is>
          <t>VÄSTERBOTTENS LÄN</t>
        </is>
      </c>
      <c r="E10357" t="inlineStr">
        <is>
          <t>UMEÅ</t>
        </is>
      </c>
      <c r="F10357" t="inlineStr">
        <is>
          <t>Holmen skog AB</t>
        </is>
      </c>
      <c r="G10357" t="n">
        <v>2.3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9822-2026</t>
        </is>
      </c>
      <c r="B10358" s="1" t="n">
        <v>46072.64327546296</v>
      </c>
      <c r="C10358" s="1" t="n">
        <v>46075</v>
      </c>
      <c r="D10358" t="inlineStr">
        <is>
          <t>VÄSTERBOTTENS LÄN</t>
        </is>
      </c>
      <c r="E10358" t="inlineStr">
        <is>
          <t>VINDELN</t>
        </is>
      </c>
      <c r="G10358" t="n">
        <v>0.9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2148-2024</t>
        </is>
      </c>
      <c r="B10359" s="1" t="n">
        <v>45309</v>
      </c>
      <c r="C10359" s="1" t="n">
        <v>46075</v>
      </c>
      <c r="D10359" t="inlineStr">
        <is>
          <t>VÄSTERBOTTENS LÄN</t>
        </is>
      </c>
      <c r="E10359" t="inlineStr">
        <is>
          <t>UMEÅ</t>
        </is>
      </c>
      <c r="G10359" t="n">
        <v>2.9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33636-2024</t>
        </is>
      </c>
      <c r="B10360" s="1" t="n">
        <v>45520.43614583334</v>
      </c>
      <c r="C10360" s="1" t="n">
        <v>46075</v>
      </c>
      <c r="D10360" t="inlineStr">
        <is>
          <t>VÄSTERBOTTENS LÄN</t>
        </is>
      </c>
      <c r="E10360" t="inlineStr">
        <is>
          <t>SORSELE</t>
        </is>
      </c>
      <c r="F10360" t="inlineStr">
        <is>
          <t>Sveaskog</t>
        </is>
      </c>
      <c r="G10360" t="n">
        <v>1.8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31699-2024</t>
        </is>
      </c>
      <c r="B10361" s="1" t="n">
        <v>45508.61318287037</v>
      </c>
      <c r="C10361" s="1" t="n">
        <v>46075</v>
      </c>
      <c r="D10361" t="inlineStr">
        <is>
          <t>VÄSTERBOTTENS LÄN</t>
        </is>
      </c>
      <c r="E10361" t="inlineStr">
        <is>
          <t>VÄNNÄS</t>
        </is>
      </c>
      <c r="F10361" t="inlineStr">
        <is>
          <t>Holmen skog AB</t>
        </is>
      </c>
      <c r="G10361" t="n">
        <v>2.8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36667-2021</t>
        </is>
      </c>
      <c r="B10362" s="1" t="n">
        <v>44392</v>
      </c>
      <c r="C10362" s="1" t="n">
        <v>46075</v>
      </c>
      <c r="D10362" t="inlineStr">
        <is>
          <t>VÄSTERBOTTENS LÄN</t>
        </is>
      </c>
      <c r="E10362" t="inlineStr">
        <is>
          <t>NORDMALING</t>
        </is>
      </c>
      <c r="G10362" t="n">
        <v>1.7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6769-2025</t>
        </is>
      </c>
      <c r="B10363" s="1" t="n">
        <v>45700.63939814815</v>
      </c>
      <c r="C10363" s="1" t="n">
        <v>46075</v>
      </c>
      <c r="D10363" t="inlineStr">
        <is>
          <t>VÄSTERBOTTENS LÄN</t>
        </is>
      </c>
      <c r="E10363" t="inlineStr">
        <is>
          <t>LYCKSELE</t>
        </is>
      </c>
      <c r="F10363" t="inlineStr">
        <is>
          <t>Sveaskog</t>
        </is>
      </c>
      <c r="G10363" t="n">
        <v>1.8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10032-2026</t>
        </is>
      </c>
      <c r="B10364" s="1" t="n">
        <v>46073.5922337963</v>
      </c>
      <c r="C10364" s="1" t="n">
        <v>46075</v>
      </c>
      <c r="D10364" t="inlineStr">
        <is>
          <t>VÄSTERBOTTENS LÄN</t>
        </is>
      </c>
      <c r="E10364" t="inlineStr">
        <is>
          <t>VINDELN</t>
        </is>
      </c>
      <c r="G10364" t="n">
        <v>0.6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18421-2024</t>
        </is>
      </c>
      <c r="B10365" s="1" t="n">
        <v>45425.40733796296</v>
      </c>
      <c r="C10365" s="1" t="n">
        <v>46075</v>
      </c>
      <c r="D10365" t="inlineStr">
        <is>
          <t>VÄSTERBOTTENS LÄN</t>
        </is>
      </c>
      <c r="E10365" t="inlineStr">
        <is>
          <t>NORSJÖ</t>
        </is>
      </c>
      <c r="F10365" t="inlineStr">
        <is>
          <t>Holmen skog AB</t>
        </is>
      </c>
      <c r="G10365" t="n">
        <v>2.6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19452-2022</t>
        </is>
      </c>
      <c r="B10366" s="1" t="n">
        <v>44693</v>
      </c>
      <c r="C10366" s="1" t="n">
        <v>46075</v>
      </c>
      <c r="D10366" t="inlineStr">
        <is>
          <t>VÄSTERBOTTENS LÄN</t>
        </is>
      </c>
      <c r="E10366" t="inlineStr">
        <is>
          <t>VINDELN</t>
        </is>
      </c>
      <c r="G10366" t="n">
        <v>5.9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47544-2024</t>
        </is>
      </c>
      <c r="B10367" s="1" t="n">
        <v>45587</v>
      </c>
      <c r="C10367" s="1" t="n">
        <v>46075</v>
      </c>
      <c r="D10367" t="inlineStr">
        <is>
          <t>VÄSTERBOTTENS LÄN</t>
        </is>
      </c>
      <c r="E10367" t="inlineStr">
        <is>
          <t>SKELLEFTEÅ</t>
        </is>
      </c>
      <c r="G10367" t="n">
        <v>0.4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9944-2026</t>
        </is>
      </c>
      <c r="B10368" s="1" t="n">
        <v>46073.46987268519</v>
      </c>
      <c r="C10368" s="1" t="n">
        <v>46075</v>
      </c>
      <c r="D10368" t="inlineStr">
        <is>
          <t>VÄSTERBOTTENS LÄN</t>
        </is>
      </c>
      <c r="E10368" t="inlineStr">
        <is>
          <t>STORUMAN</t>
        </is>
      </c>
      <c r="F10368" t="inlineStr">
        <is>
          <t>SCA</t>
        </is>
      </c>
      <c r="G10368" t="n">
        <v>2.6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9961-2026</t>
        </is>
      </c>
      <c r="B10369" s="1" t="n">
        <v>46073.49317129629</v>
      </c>
      <c r="C10369" s="1" t="n">
        <v>46075</v>
      </c>
      <c r="D10369" t="inlineStr">
        <is>
          <t>VÄSTERBOTTENS LÄN</t>
        </is>
      </c>
      <c r="E10369" t="inlineStr">
        <is>
          <t>UMEÅ</t>
        </is>
      </c>
      <c r="G10369" t="n">
        <v>4.1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24828-2023</t>
        </is>
      </c>
      <c r="B10370" s="1" t="n">
        <v>45084</v>
      </c>
      <c r="C10370" s="1" t="n">
        <v>46075</v>
      </c>
      <c r="D10370" t="inlineStr">
        <is>
          <t>VÄSTERBOTTENS LÄN</t>
        </is>
      </c>
      <c r="E10370" t="inlineStr">
        <is>
          <t>VILHELMINA</t>
        </is>
      </c>
      <c r="F10370" t="inlineStr">
        <is>
          <t>SCA</t>
        </is>
      </c>
      <c r="G10370" t="n">
        <v>3.2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36972-2023</t>
        </is>
      </c>
      <c r="B10371" s="1" t="n">
        <v>45154</v>
      </c>
      <c r="C10371" s="1" t="n">
        <v>46075</v>
      </c>
      <c r="D10371" t="inlineStr">
        <is>
          <t>VÄSTERBOTTENS LÄN</t>
        </is>
      </c>
      <c r="E10371" t="inlineStr">
        <is>
          <t>VILHELMINA</t>
        </is>
      </c>
      <c r="F10371" t="inlineStr">
        <is>
          <t>SCA</t>
        </is>
      </c>
      <c r="G10371" t="n">
        <v>2.6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55873-2023</t>
        </is>
      </c>
      <c r="B10372" s="1" t="n">
        <v>45239</v>
      </c>
      <c r="C10372" s="1" t="n">
        <v>46075</v>
      </c>
      <c r="D10372" t="inlineStr">
        <is>
          <t>VÄSTERBOTTENS LÄN</t>
        </is>
      </c>
      <c r="E10372" t="inlineStr">
        <is>
          <t>SKELLEFTEÅ</t>
        </is>
      </c>
      <c r="F10372" t="inlineStr">
        <is>
          <t>Sveaskog</t>
        </is>
      </c>
      <c r="G10372" t="n">
        <v>7.8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18101-2021</t>
        </is>
      </c>
      <c r="B10373" s="1" t="n">
        <v>44302</v>
      </c>
      <c r="C10373" s="1" t="n">
        <v>46075</v>
      </c>
      <c r="D10373" t="inlineStr">
        <is>
          <t>VÄSTERBOTTENS LÄN</t>
        </is>
      </c>
      <c r="E10373" t="inlineStr">
        <is>
          <t>SKELLEFTEÅ</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8442-2025</t>
        </is>
      </c>
      <c r="B10374" s="1" t="n">
        <v>45709.44940972222</v>
      </c>
      <c r="C10374" s="1" t="n">
        <v>46075</v>
      </c>
      <c r="D10374" t="inlineStr">
        <is>
          <t>VÄSTERBOTTENS LÄN</t>
        </is>
      </c>
      <c r="E10374" t="inlineStr">
        <is>
          <t>SKELLEFTEÅ</t>
        </is>
      </c>
      <c r="G10374" t="n">
        <v>4.7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1392-2026</t>
        </is>
      </c>
      <c r="B10375" s="1" t="n">
        <v>46031.63582175926</v>
      </c>
      <c r="C10375" s="1" t="n">
        <v>46075</v>
      </c>
      <c r="D10375" t="inlineStr">
        <is>
          <t>VÄSTERBOTTENS LÄN</t>
        </is>
      </c>
      <c r="E10375" t="inlineStr">
        <is>
          <t>NORSJÖ</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30575-2024</t>
        </is>
      </c>
      <c r="B10376" s="1" t="n">
        <v>45492.95818287037</v>
      </c>
      <c r="C10376" s="1" t="n">
        <v>46075</v>
      </c>
      <c r="D10376" t="inlineStr">
        <is>
          <t>VÄSTERBOTTENS LÄN</t>
        </is>
      </c>
      <c r="E10376" t="inlineStr">
        <is>
          <t>VILHELMINA</t>
        </is>
      </c>
      <c r="F10376" t="inlineStr">
        <is>
          <t>SCA</t>
        </is>
      </c>
      <c r="G10376" t="n">
        <v>6.5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30578-2024</t>
        </is>
      </c>
      <c r="B10377" s="1" t="n">
        <v>45492.95939814814</v>
      </c>
      <c r="C10377" s="1" t="n">
        <v>46075</v>
      </c>
      <c r="D10377" t="inlineStr">
        <is>
          <t>VÄSTERBOTTENS LÄN</t>
        </is>
      </c>
      <c r="E10377" t="inlineStr">
        <is>
          <t>VILHELMINA</t>
        </is>
      </c>
      <c r="F10377" t="inlineStr">
        <is>
          <t>SCA</t>
        </is>
      </c>
      <c r="G10377" t="n">
        <v>1.7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30580-2024</t>
        </is>
      </c>
      <c r="B10378" s="1" t="n">
        <v>45492.95981481481</v>
      </c>
      <c r="C10378" s="1" t="n">
        <v>46075</v>
      </c>
      <c r="D10378" t="inlineStr">
        <is>
          <t>VÄSTERBOTTENS LÄN</t>
        </is>
      </c>
      <c r="E10378" t="inlineStr">
        <is>
          <t>VILHELMINA</t>
        </is>
      </c>
      <c r="F10378" t="inlineStr">
        <is>
          <t>SCA</t>
        </is>
      </c>
      <c r="G10378" t="n">
        <v>3.3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30581-2024</t>
        </is>
      </c>
      <c r="B10379" s="1" t="n">
        <v>45492.96038194445</v>
      </c>
      <c r="C10379" s="1" t="n">
        <v>46075</v>
      </c>
      <c r="D10379" t="inlineStr">
        <is>
          <t>VÄSTERBOTTENS LÄN</t>
        </is>
      </c>
      <c r="E10379" t="inlineStr">
        <is>
          <t>LYCKSELE</t>
        </is>
      </c>
      <c r="F10379" t="inlineStr">
        <is>
          <t>SCA</t>
        </is>
      </c>
      <c r="G10379" t="n">
        <v>1.3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10823-2025</t>
        </is>
      </c>
      <c r="B10380" s="1" t="n">
        <v>45722.55241898148</v>
      </c>
      <c r="C10380" s="1" t="n">
        <v>46075</v>
      </c>
      <c r="D10380" t="inlineStr">
        <is>
          <t>VÄSTERBOTTENS LÄN</t>
        </is>
      </c>
      <c r="E10380" t="inlineStr">
        <is>
          <t>SORSELE</t>
        </is>
      </c>
      <c r="F10380" t="inlineStr">
        <is>
          <t>SCA</t>
        </is>
      </c>
      <c r="G10380" t="n">
        <v>18.7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9796-2026</t>
        </is>
      </c>
      <c r="B10381" s="1" t="n">
        <v>46072.61136574074</v>
      </c>
      <c r="C10381" s="1" t="n">
        <v>46075</v>
      </c>
      <c r="D10381" t="inlineStr">
        <is>
          <t>VÄSTERBOTTENS LÄN</t>
        </is>
      </c>
      <c r="E10381" t="inlineStr">
        <is>
          <t>DOROTEA</t>
        </is>
      </c>
      <c r="G10381" t="n">
        <v>20.1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9829-2026</t>
        </is>
      </c>
      <c r="B10382" s="1" t="n">
        <v>46072.65678240741</v>
      </c>
      <c r="C10382" s="1" t="n">
        <v>46075</v>
      </c>
      <c r="D10382" t="inlineStr">
        <is>
          <t>VÄSTERBOTTENS LÄN</t>
        </is>
      </c>
      <c r="E10382" t="inlineStr">
        <is>
          <t>STORUMAN</t>
        </is>
      </c>
      <c r="F10382" t="inlineStr">
        <is>
          <t>SCA</t>
        </is>
      </c>
      <c r="G10382" t="n">
        <v>9.1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9830-2026</t>
        </is>
      </c>
      <c r="B10383" s="1" t="n">
        <v>46072.65697916667</v>
      </c>
      <c r="C10383" s="1" t="n">
        <v>46075</v>
      </c>
      <c r="D10383" t="inlineStr">
        <is>
          <t>VÄSTERBOTTENS LÄN</t>
        </is>
      </c>
      <c r="E10383" t="inlineStr">
        <is>
          <t>STORUMAN</t>
        </is>
      </c>
      <c r="F10383" t="inlineStr">
        <is>
          <t>SCA</t>
        </is>
      </c>
      <c r="G10383" t="n">
        <v>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10841-2025</t>
        </is>
      </c>
      <c r="B10384" s="1" t="n">
        <v>45722.57315972223</v>
      </c>
      <c r="C10384" s="1" t="n">
        <v>46075</v>
      </c>
      <c r="D10384" t="inlineStr">
        <is>
          <t>VÄSTERBOTTENS LÄN</t>
        </is>
      </c>
      <c r="E10384" t="inlineStr">
        <is>
          <t>SKELLEFTEÅ</t>
        </is>
      </c>
      <c r="G10384" t="n">
        <v>2.1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51396-2023</t>
        </is>
      </c>
      <c r="B10385" s="1" t="n">
        <v>45219.67503472222</v>
      </c>
      <c r="C10385" s="1" t="n">
        <v>46075</v>
      </c>
      <c r="D10385" t="inlineStr">
        <is>
          <t>VÄSTERBOTTENS LÄN</t>
        </is>
      </c>
      <c r="E10385" t="inlineStr">
        <is>
          <t>SKELLEFTEÅ</t>
        </is>
      </c>
      <c r="F10385" t="inlineStr">
        <is>
          <t>Holmen skog AB</t>
        </is>
      </c>
      <c r="G10385" t="n">
        <v>7.5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26352-2024</t>
        </is>
      </c>
      <c r="B10386" s="1" t="n">
        <v>45469.36628472222</v>
      </c>
      <c r="C10386" s="1" t="n">
        <v>46075</v>
      </c>
      <c r="D10386" t="inlineStr">
        <is>
          <t>VÄSTERBOTTENS LÄN</t>
        </is>
      </c>
      <c r="E10386" t="inlineStr">
        <is>
          <t>UMEÅ</t>
        </is>
      </c>
      <c r="G10386" t="n">
        <v>0.5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26381-2024</t>
        </is>
      </c>
      <c r="B10387" s="1" t="n">
        <v>45469</v>
      </c>
      <c r="C10387" s="1" t="n">
        <v>46075</v>
      </c>
      <c r="D10387" t="inlineStr">
        <is>
          <t>VÄSTERBOTTENS LÄN</t>
        </is>
      </c>
      <c r="E10387" t="inlineStr">
        <is>
          <t>VILHELMINA</t>
        </is>
      </c>
      <c r="F10387" t="inlineStr">
        <is>
          <t>Sveaskog</t>
        </is>
      </c>
      <c r="G10387" t="n">
        <v>1.6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26389-2024</t>
        </is>
      </c>
      <c r="B10388" s="1" t="n">
        <v>45469.43194444444</v>
      </c>
      <c r="C10388" s="1" t="n">
        <v>46075</v>
      </c>
      <c r="D10388" t="inlineStr">
        <is>
          <t>VÄSTERBOTTENS LÄN</t>
        </is>
      </c>
      <c r="E10388" t="inlineStr">
        <is>
          <t>SKELLEFTEÅ</t>
        </is>
      </c>
      <c r="G10388" t="n">
        <v>8.4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58192-2023</t>
        </is>
      </c>
      <c r="B10389" s="1" t="n">
        <v>45245</v>
      </c>
      <c r="C10389" s="1" t="n">
        <v>46075</v>
      </c>
      <c r="D10389" t="inlineStr">
        <is>
          <t>VÄSTERBOTTENS LÄN</t>
        </is>
      </c>
      <c r="E10389" t="inlineStr">
        <is>
          <t>LYCKSELE</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58240-2023</t>
        </is>
      </c>
      <c r="B10390" s="1" t="n">
        <v>45250.47113425926</v>
      </c>
      <c r="C10390" s="1" t="n">
        <v>46075</v>
      </c>
      <c r="D10390" t="inlineStr">
        <is>
          <t>VÄSTERBOTTENS LÄN</t>
        </is>
      </c>
      <c r="E10390" t="inlineStr">
        <is>
          <t>ROBERTSFORS</t>
        </is>
      </c>
      <c r="G10390" t="n">
        <v>2.5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2429-2025</t>
        </is>
      </c>
      <c r="B10391" s="1" t="n">
        <v>45674.40556712963</v>
      </c>
      <c r="C10391" s="1" t="n">
        <v>46075</v>
      </c>
      <c r="D10391" t="inlineStr">
        <is>
          <t>VÄSTERBOTTENS LÄN</t>
        </is>
      </c>
      <c r="E10391" t="inlineStr">
        <is>
          <t>VINDELN</t>
        </is>
      </c>
      <c r="G10391" t="n">
        <v>8.300000000000001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63981-2021</t>
        </is>
      </c>
      <c r="B10392" s="1" t="n">
        <v>44509</v>
      </c>
      <c r="C10392" s="1" t="n">
        <v>46075</v>
      </c>
      <c r="D10392" t="inlineStr">
        <is>
          <t>VÄSTERBOTTENS LÄN</t>
        </is>
      </c>
      <c r="E10392" t="inlineStr">
        <is>
          <t>VÄNNÄS</t>
        </is>
      </c>
      <c r="G10392" t="n">
        <v>2.7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57070-2023</t>
        </is>
      </c>
      <c r="B10393" s="1" t="n">
        <v>45244.96695601852</v>
      </c>
      <c r="C10393" s="1" t="n">
        <v>46075</v>
      </c>
      <c r="D10393" t="inlineStr">
        <is>
          <t>VÄSTERBOTTENS LÄN</t>
        </is>
      </c>
      <c r="E10393" t="inlineStr">
        <is>
          <t>DOROTEA</t>
        </is>
      </c>
      <c r="F10393" t="inlineStr">
        <is>
          <t>SCA</t>
        </is>
      </c>
      <c r="G10393" t="n">
        <v>1.9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36288-2021</t>
        </is>
      </c>
      <c r="B10394" s="1" t="n">
        <v>44389</v>
      </c>
      <c r="C10394" s="1" t="n">
        <v>46075</v>
      </c>
      <c r="D10394" t="inlineStr">
        <is>
          <t>VÄSTERBOTTENS LÄN</t>
        </is>
      </c>
      <c r="E10394" t="inlineStr">
        <is>
          <t>VILHELMINA</t>
        </is>
      </c>
      <c r="G10394" t="n">
        <v>20.5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16764-2025</t>
        </is>
      </c>
      <c r="B10395" s="1" t="n">
        <v>45754</v>
      </c>
      <c r="C10395" s="1" t="n">
        <v>46075</v>
      </c>
      <c r="D10395" t="inlineStr">
        <is>
          <t>VÄSTERBOTTENS LÄN</t>
        </is>
      </c>
      <c r="E10395" t="inlineStr">
        <is>
          <t>VINDELN</t>
        </is>
      </c>
      <c r="G10395" t="n">
        <v>4.3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43317-2022</t>
        </is>
      </c>
      <c r="B10396" s="1" t="n">
        <v>44834</v>
      </c>
      <c r="C10396" s="1" t="n">
        <v>46075</v>
      </c>
      <c r="D10396" t="inlineStr">
        <is>
          <t>VÄSTERBOTTENS LÄN</t>
        </is>
      </c>
      <c r="E10396" t="inlineStr">
        <is>
          <t>SORSELE</t>
        </is>
      </c>
      <c r="G10396" t="n">
        <v>0.5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26646-2024</t>
        </is>
      </c>
      <c r="B10397" s="1" t="n">
        <v>45469</v>
      </c>
      <c r="C10397" s="1" t="n">
        <v>46075</v>
      </c>
      <c r="D10397" t="inlineStr">
        <is>
          <t>VÄSTERBOTTENS LÄN</t>
        </is>
      </c>
      <c r="E10397" t="inlineStr">
        <is>
          <t>BJURHOLM</t>
        </is>
      </c>
      <c r="F10397" t="inlineStr">
        <is>
          <t>SCA</t>
        </is>
      </c>
      <c r="G10397" t="n">
        <v>2.8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52822-2024</t>
        </is>
      </c>
      <c r="B10398" s="1" t="n">
        <v>45610.5895949074</v>
      </c>
      <c r="C10398" s="1" t="n">
        <v>46075</v>
      </c>
      <c r="D10398" t="inlineStr">
        <is>
          <t>VÄSTERBOTTENS LÄN</t>
        </is>
      </c>
      <c r="E10398" t="inlineStr">
        <is>
          <t>NORSJÖ</t>
        </is>
      </c>
      <c r="F10398" t="inlineStr">
        <is>
          <t>Holmen skog AB</t>
        </is>
      </c>
      <c r="G10398" t="n">
        <v>2.6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52833-2024</t>
        </is>
      </c>
      <c r="B10399" s="1" t="n">
        <v>45610.59439814815</v>
      </c>
      <c r="C10399" s="1" t="n">
        <v>46075</v>
      </c>
      <c r="D10399" t="inlineStr">
        <is>
          <t>VÄSTERBOTTENS LÄN</t>
        </is>
      </c>
      <c r="E10399" t="inlineStr">
        <is>
          <t>ROBERTSFORS</t>
        </is>
      </c>
      <c r="F10399" t="inlineStr">
        <is>
          <t>SCA</t>
        </is>
      </c>
      <c r="G10399" t="n">
        <v>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49525-2023</t>
        </is>
      </c>
      <c r="B10400" s="1" t="n">
        <v>45205</v>
      </c>
      <c r="C10400" s="1" t="n">
        <v>46075</v>
      </c>
      <c r="D10400" t="inlineStr">
        <is>
          <t>VÄSTERBOTTENS LÄN</t>
        </is>
      </c>
      <c r="E10400" t="inlineStr">
        <is>
          <t>UMEÅ</t>
        </is>
      </c>
      <c r="G10400" t="n">
        <v>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52862-2024</t>
        </is>
      </c>
      <c r="B10401" s="1" t="n">
        <v>45610.61991898148</v>
      </c>
      <c r="C10401" s="1" t="n">
        <v>46075</v>
      </c>
      <c r="D10401" t="inlineStr">
        <is>
          <t>VÄSTERBOTTENS LÄN</t>
        </is>
      </c>
      <c r="E10401" t="inlineStr">
        <is>
          <t>SKELLEFTEÅ</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52864-2024</t>
        </is>
      </c>
      <c r="B10402" s="1" t="n">
        <v>45610.62194444444</v>
      </c>
      <c r="C10402" s="1" t="n">
        <v>46075</v>
      </c>
      <c r="D10402" t="inlineStr">
        <is>
          <t>VÄSTERBOTTENS LÄN</t>
        </is>
      </c>
      <c r="E10402" t="inlineStr">
        <is>
          <t>SKELLEFTEÅ</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9808-2026</t>
        </is>
      </c>
      <c r="B10403" s="1" t="n">
        <v>46072.62802083333</v>
      </c>
      <c r="C10403" s="1" t="n">
        <v>46075</v>
      </c>
      <c r="D10403" t="inlineStr">
        <is>
          <t>VÄSTERBOTTENS LÄN</t>
        </is>
      </c>
      <c r="E10403" t="inlineStr">
        <is>
          <t>SKELLEFTEÅ</t>
        </is>
      </c>
      <c r="G10403" t="n">
        <v>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52899-2024</t>
        </is>
      </c>
      <c r="B10404" s="1" t="n">
        <v>45610.67768518518</v>
      </c>
      <c r="C10404" s="1" t="n">
        <v>46075</v>
      </c>
      <c r="D10404" t="inlineStr">
        <is>
          <t>VÄSTERBOTTENS LÄN</t>
        </is>
      </c>
      <c r="E10404" t="inlineStr">
        <is>
          <t>DOROTEA</t>
        </is>
      </c>
      <c r="F10404" t="inlineStr">
        <is>
          <t>SCA</t>
        </is>
      </c>
      <c r="G10404" t="n">
        <v>12.4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9817-2026</t>
        </is>
      </c>
      <c r="B10405" s="1" t="n">
        <v>46072.6358912037</v>
      </c>
      <c r="C10405" s="1" t="n">
        <v>46075</v>
      </c>
      <c r="D10405" t="inlineStr">
        <is>
          <t>VÄSTERBOTTENS LÄN</t>
        </is>
      </c>
      <c r="E10405" t="inlineStr">
        <is>
          <t>VINDELN</t>
        </is>
      </c>
      <c r="F10405" t="inlineStr">
        <is>
          <t>SCA</t>
        </is>
      </c>
      <c r="G10405" t="n">
        <v>14.8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739-2026</t>
        </is>
      </c>
      <c r="B10406" s="1" t="n">
        <v>46029.65706018519</v>
      </c>
      <c r="C10406" s="1" t="n">
        <v>46075</v>
      </c>
      <c r="D10406" t="inlineStr">
        <is>
          <t>VÄSTERBOTTENS LÄN</t>
        </is>
      </c>
      <c r="E10406" t="inlineStr">
        <is>
          <t>VINDELN</t>
        </is>
      </c>
      <c r="G10406" t="n">
        <v>17.6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841-2026</t>
        </is>
      </c>
      <c r="B10407" s="1" t="n">
        <v>46030</v>
      </c>
      <c r="C10407" s="1" t="n">
        <v>46075</v>
      </c>
      <c r="D10407" t="inlineStr">
        <is>
          <t>VÄSTERBOTTENS LÄN</t>
        </is>
      </c>
      <c r="E10407" t="inlineStr">
        <is>
          <t>UMEÅ</t>
        </is>
      </c>
      <c r="G10407" t="n">
        <v>2.2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53002-2023</t>
        </is>
      </c>
      <c r="B10408" s="1" t="n">
        <v>45226.64099537037</v>
      </c>
      <c r="C10408" s="1" t="n">
        <v>46075</v>
      </c>
      <c r="D10408" t="inlineStr">
        <is>
          <t>VÄSTERBOTTENS LÄN</t>
        </is>
      </c>
      <c r="E10408" t="inlineStr">
        <is>
          <t>VINDELN</t>
        </is>
      </c>
      <c r="F10408" t="inlineStr">
        <is>
          <t>Holmen skog AB</t>
        </is>
      </c>
      <c r="G10408" t="n">
        <v>1.5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53037-2023</t>
        </is>
      </c>
      <c r="B10409" s="1" t="n">
        <v>45226</v>
      </c>
      <c r="C10409" s="1" t="n">
        <v>46075</v>
      </c>
      <c r="D10409" t="inlineStr">
        <is>
          <t>VÄSTERBOTTENS LÄN</t>
        </is>
      </c>
      <c r="E10409" t="inlineStr">
        <is>
          <t>LYCKSELE</t>
        </is>
      </c>
      <c r="F10409" t="inlineStr">
        <is>
          <t>SCA</t>
        </is>
      </c>
      <c r="G10409" t="n">
        <v>7.4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59007-2024</t>
        </is>
      </c>
      <c r="B10410" s="1" t="n">
        <v>45636</v>
      </c>
      <c r="C10410" s="1" t="n">
        <v>46075</v>
      </c>
      <c r="D10410" t="inlineStr">
        <is>
          <t>VÄSTERBOTTENS LÄN</t>
        </is>
      </c>
      <c r="E10410" t="inlineStr">
        <is>
          <t>DOROTEA</t>
        </is>
      </c>
      <c r="F10410" t="inlineStr">
        <is>
          <t>SCA</t>
        </is>
      </c>
      <c r="G10410" t="n">
        <v>5.3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22904-2024</t>
        </is>
      </c>
      <c r="B10411" s="1" t="n">
        <v>45448.70927083334</v>
      </c>
      <c r="C10411" s="1" t="n">
        <v>46075</v>
      </c>
      <c r="D10411" t="inlineStr">
        <is>
          <t>VÄSTERBOTTENS LÄN</t>
        </is>
      </c>
      <c r="E10411" t="inlineStr">
        <is>
          <t>VINDELN</t>
        </is>
      </c>
      <c r="F10411" t="inlineStr">
        <is>
          <t>Holmen skog AB</t>
        </is>
      </c>
      <c r="G10411" t="n">
        <v>4.5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22943-2024</t>
        </is>
      </c>
      <c r="B10412" s="1" t="n">
        <v>45448.94550925926</v>
      </c>
      <c r="C10412" s="1" t="n">
        <v>46075</v>
      </c>
      <c r="D10412" t="inlineStr">
        <is>
          <t>VÄSTERBOTTENS LÄN</t>
        </is>
      </c>
      <c r="E10412" t="inlineStr">
        <is>
          <t>DOROTEA</t>
        </is>
      </c>
      <c r="F10412" t="inlineStr">
        <is>
          <t>SCA</t>
        </is>
      </c>
      <c r="G10412" t="n">
        <v>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22944-2024</t>
        </is>
      </c>
      <c r="B10413" s="1" t="n">
        <v>45448.94559027778</v>
      </c>
      <c r="C10413" s="1" t="n">
        <v>46075</v>
      </c>
      <c r="D10413" t="inlineStr">
        <is>
          <t>VÄSTERBOTTENS LÄN</t>
        </is>
      </c>
      <c r="E10413" t="inlineStr">
        <is>
          <t>DOROTEA</t>
        </is>
      </c>
      <c r="F10413" t="inlineStr">
        <is>
          <t>SCA</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23561-2024</t>
        </is>
      </c>
      <c r="B10414" s="1" t="n">
        <v>45453.95478009259</v>
      </c>
      <c r="C10414" s="1" t="n">
        <v>46075</v>
      </c>
      <c r="D10414" t="inlineStr">
        <is>
          <t>VÄSTERBOTTENS LÄN</t>
        </is>
      </c>
      <c r="E10414" t="inlineStr">
        <is>
          <t>VINDELN</t>
        </is>
      </c>
      <c r="F10414" t="inlineStr">
        <is>
          <t>SCA</t>
        </is>
      </c>
      <c r="G10414" t="n">
        <v>4.3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23566-2024</t>
        </is>
      </c>
      <c r="B10415" s="1" t="n">
        <v>45453.95530092593</v>
      </c>
      <c r="C10415" s="1" t="n">
        <v>46075</v>
      </c>
      <c r="D10415" t="inlineStr">
        <is>
          <t>VÄSTERBOTTENS LÄN</t>
        </is>
      </c>
      <c r="E10415" t="inlineStr">
        <is>
          <t>NORDMALING</t>
        </is>
      </c>
      <c r="F10415" t="inlineStr">
        <is>
          <t>SCA</t>
        </is>
      </c>
      <c r="G10415" t="n">
        <v>2.1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53335-2024</t>
        </is>
      </c>
      <c r="B10416" s="1" t="n">
        <v>45614.42590277778</v>
      </c>
      <c r="C10416" s="1" t="n">
        <v>46075</v>
      </c>
      <c r="D10416" t="inlineStr">
        <is>
          <t>VÄSTERBOTTENS LÄN</t>
        </is>
      </c>
      <c r="E10416" t="inlineStr">
        <is>
          <t>LYCKSELE</t>
        </is>
      </c>
      <c r="F10416" t="inlineStr">
        <is>
          <t>Sveaskog</t>
        </is>
      </c>
      <c r="G10416" t="n">
        <v>5.5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53374-2024</t>
        </is>
      </c>
      <c r="B10417" s="1" t="n">
        <v>45614</v>
      </c>
      <c r="C10417" s="1" t="n">
        <v>46075</v>
      </c>
      <c r="D10417" t="inlineStr">
        <is>
          <t>VÄSTERBOTTENS LÄN</t>
        </is>
      </c>
      <c r="E10417" t="inlineStr">
        <is>
          <t>BJURHOLM</t>
        </is>
      </c>
      <c r="G10417" t="n">
        <v>0.5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33460-2022</t>
        </is>
      </c>
      <c r="B10418" s="1" t="n">
        <v>44788.6674537037</v>
      </c>
      <c r="C10418" s="1" t="n">
        <v>46075</v>
      </c>
      <c r="D10418" t="inlineStr">
        <is>
          <t>VÄSTERBOTTENS LÄN</t>
        </is>
      </c>
      <c r="E10418" t="inlineStr">
        <is>
          <t>BJURHOLM</t>
        </is>
      </c>
      <c r="G10418" t="n">
        <v>2.2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32965-2024</t>
        </is>
      </c>
      <c r="B10419" s="1" t="n">
        <v>45517.3959837963</v>
      </c>
      <c r="C10419" s="1" t="n">
        <v>46075</v>
      </c>
      <c r="D10419" t="inlineStr">
        <is>
          <t>VÄSTERBOTTENS LÄN</t>
        </is>
      </c>
      <c r="E10419" t="inlineStr">
        <is>
          <t>NORDMALING</t>
        </is>
      </c>
      <c r="F10419" t="inlineStr">
        <is>
          <t>Holmen skog AB</t>
        </is>
      </c>
      <c r="G10419" t="n">
        <v>4.3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46663-2024</t>
        </is>
      </c>
      <c r="B10420" s="1" t="n">
        <v>45583.3650462963</v>
      </c>
      <c r="C10420" s="1" t="n">
        <v>46075</v>
      </c>
      <c r="D10420" t="inlineStr">
        <is>
          <t>VÄSTERBOTTENS LÄN</t>
        </is>
      </c>
      <c r="E10420" t="inlineStr">
        <is>
          <t>ROBERTSFORS</t>
        </is>
      </c>
      <c r="G10420" t="n">
        <v>9.6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7683-2024</t>
        </is>
      </c>
      <c r="B10421" s="1" t="n">
        <v>45348</v>
      </c>
      <c r="C10421" s="1" t="n">
        <v>46075</v>
      </c>
      <c r="D10421" t="inlineStr">
        <is>
          <t>VÄSTERBOTTENS LÄN</t>
        </is>
      </c>
      <c r="E10421" t="inlineStr">
        <is>
          <t>BJURHOLM</t>
        </is>
      </c>
      <c r="G10421" t="n">
        <v>11.5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7728-2024</t>
        </is>
      </c>
      <c r="B10422" s="1" t="n">
        <v>45348</v>
      </c>
      <c r="C10422" s="1" t="n">
        <v>46075</v>
      </c>
      <c r="D10422" t="inlineStr">
        <is>
          <t>VÄSTERBOTTENS LÄN</t>
        </is>
      </c>
      <c r="E10422" t="inlineStr">
        <is>
          <t>BJURHOLM</t>
        </is>
      </c>
      <c r="G10422" t="n">
        <v>3.5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25505-2023</t>
        </is>
      </c>
      <c r="B10423" s="1" t="n">
        <v>45089.49538194444</v>
      </c>
      <c r="C10423" s="1" t="n">
        <v>46075</v>
      </c>
      <c r="D10423" t="inlineStr">
        <is>
          <t>VÄSTERBOTTENS LÄN</t>
        </is>
      </c>
      <c r="E10423" t="inlineStr">
        <is>
          <t>UMEÅ</t>
        </is>
      </c>
      <c r="G10423" t="n">
        <v>0.5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11077-2024</t>
        </is>
      </c>
      <c r="B10424" s="1" t="n">
        <v>45370.92724537037</v>
      </c>
      <c r="C10424" s="1" t="n">
        <v>46075</v>
      </c>
      <c r="D10424" t="inlineStr">
        <is>
          <t>VÄSTERBOTTENS LÄN</t>
        </is>
      </c>
      <c r="E10424" t="inlineStr">
        <is>
          <t>SKELLEFTEÅ</t>
        </is>
      </c>
      <c r="G10424" t="n">
        <v>0.9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11079-2024</t>
        </is>
      </c>
      <c r="B10425" s="1" t="n">
        <v>45370.92737268518</v>
      </c>
      <c r="C10425" s="1" t="n">
        <v>46075</v>
      </c>
      <c r="D10425" t="inlineStr">
        <is>
          <t>VÄSTERBOTTENS LÄN</t>
        </is>
      </c>
      <c r="E10425" t="inlineStr">
        <is>
          <t>SKELLEFTEÅ</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16719-2025</t>
        </is>
      </c>
      <c r="B10426" s="1" t="n">
        <v>45754.49008101852</v>
      </c>
      <c r="C10426" s="1" t="n">
        <v>46075</v>
      </c>
      <c r="D10426" t="inlineStr">
        <is>
          <t>VÄSTERBOTTENS LÄN</t>
        </is>
      </c>
      <c r="E10426" t="inlineStr">
        <is>
          <t>VILHELMINA</t>
        </is>
      </c>
      <c r="F10426" t="inlineStr">
        <is>
          <t>SCA</t>
        </is>
      </c>
      <c r="G10426" t="n">
        <v>2.1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52507-2024</t>
        </is>
      </c>
      <c r="B10427" s="1" t="n">
        <v>45609.59013888889</v>
      </c>
      <c r="C10427" s="1" t="n">
        <v>46075</v>
      </c>
      <c r="D10427" t="inlineStr">
        <is>
          <t>VÄSTERBOTTENS LÄN</t>
        </is>
      </c>
      <c r="E10427" t="inlineStr">
        <is>
          <t>SORSELE</t>
        </is>
      </c>
      <c r="F10427" t="inlineStr">
        <is>
          <t>Sveaskog</t>
        </is>
      </c>
      <c r="G10427" t="n">
        <v>21.8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5726-2024</t>
        </is>
      </c>
      <c r="B10428" s="1" t="n">
        <v>45334.9250925926</v>
      </c>
      <c r="C10428" s="1" t="n">
        <v>46075</v>
      </c>
      <c r="D10428" t="inlineStr">
        <is>
          <t>VÄSTERBOTTENS LÄN</t>
        </is>
      </c>
      <c r="E10428" t="inlineStr">
        <is>
          <t>ÅSELE</t>
        </is>
      </c>
      <c r="G10428" t="n">
        <v>2.9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713-2025</t>
        </is>
      </c>
      <c r="B10429" s="1" t="n">
        <v>45664</v>
      </c>
      <c r="C10429" s="1" t="n">
        <v>46075</v>
      </c>
      <c r="D10429" t="inlineStr">
        <is>
          <t>VÄSTERBOTTENS LÄN</t>
        </is>
      </c>
      <c r="E10429" t="inlineStr">
        <is>
          <t>SKELLEFTEÅ</t>
        </is>
      </c>
      <c r="G10429" t="n">
        <v>7.1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14071-2023</t>
        </is>
      </c>
      <c r="B10430" s="1" t="n">
        <v>45009.08837962963</v>
      </c>
      <c r="C10430" s="1" t="n">
        <v>46075</v>
      </c>
      <c r="D10430" t="inlineStr">
        <is>
          <t>VÄSTERBOTTENS LÄN</t>
        </is>
      </c>
      <c r="E10430" t="inlineStr">
        <is>
          <t>BJURHOLM</t>
        </is>
      </c>
      <c r="F10430" t="inlineStr">
        <is>
          <t>SCA</t>
        </is>
      </c>
      <c r="G10430" t="n">
        <v>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58130-2023</t>
        </is>
      </c>
      <c r="B10431" s="1" t="n">
        <v>45249.95226851852</v>
      </c>
      <c r="C10431" s="1" t="n">
        <v>46075</v>
      </c>
      <c r="D10431" t="inlineStr">
        <is>
          <t>VÄSTERBOTTENS LÄN</t>
        </is>
      </c>
      <c r="E10431" t="inlineStr">
        <is>
          <t>UMEÅ</t>
        </is>
      </c>
      <c r="G10431" t="n">
        <v>0.5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54457-2024</t>
        </is>
      </c>
      <c r="B10432" s="1" t="n">
        <v>45617</v>
      </c>
      <c r="C10432" s="1" t="n">
        <v>46075</v>
      </c>
      <c r="D10432" t="inlineStr">
        <is>
          <t>VÄSTERBOTTENS LÄN</t>
        </is>
      </c>
      <c r="E10432" t="inlineStr">
        <is>
          <t>VILHELMINA</t>
        </is>
      </c>
      <c r="F10432" t="inlineStr">
        <is>
          <t>SCA</t>
        </is>
      </c>
      <c r="G10432" t="n">
        <v>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4102-2023</t>
        </is>
      </c>
      <c r="B10433" s="1" t="n">
        <v>44952</v>
      </c>
      <c r="C10433" s="1" t="n">
        <v>46075</v>
      </c>
      <c r="D10433" t="inlineStr">
        <is>
          <t>VÄSTERBOTTENS LÄN</t>
        </is>
      </c>
      <c r="E10433" t="inlineStr">
        <is>
          <t>SKELLEFTEÅ</t>
        </is>
      </c>
      <c r="F10433" t="inlineStr">
        <is>
          <t>Sveaskog</t>
        </is>
      </c>
      <c r="G10433" t="n">
        <v>5.1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46195-2024</t>
        </is>
      </c>
      <c r="B10434" s="1" t="n">
        <v>45581.51873842593</v>
      </c>
      <c r="C10434" s="1" t="n">
        <v>46075</v>
      </c>
      <c r="D10434" t="inlineStr">
        <is>
          <t>VÄSTERBOTTENS LÄN</t>
        </is>
      </c>
      <c r="E10434" t="inlineStr">
        <is>
          <t>VÄNNÄS</t>
        </is>
      </c>
      <c r="G10434" t="n">
        <v>1.2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46205-2024</t>
        </is>
      </c>
      <c r="B10435" s="1" t="n">
        <v>45581.54357638889</v>
      </c>
      <c r="C10435" s="1" t="n">
        <v>46075</v>
      </c>
      <c r="D10435" t="inlineStr">
        <is>
          <t>VÄSTERBOTTENS LÄN</t>
        </is>
      </c>
      <c r="E10435" t="inlineStr">
        <is>
          <t>VÄNNÄS</t>
        </is>
      </c>
      <c r="G10435" t="n">
        <v>0.6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53638-2022</t>
        </is>
      </c>
      <c r="B10436" s="1" t="n">
        <v>44879</v>
      </c>
      <c r="C10436" s="1" t="n">
        <v>46075</v>
      </c>
      <c r="D10436" t="inlineStr">
        <is>
          <t>VÄSTERBOTTENS LÄN</t>
        </is>
      </c>
      <c r="E10436" t="inlineStr">
        <is>
          <t>ÅSELE</t>
        </is>
      </c>
      <c r="G10436" t="n">
        <v>4.7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53641-2022</t>
        </is>
      </c>
      <c r="B10437" s="1" t="n">
        <v>44879.93</v>
      </c>
      <c r="C10437" s="1" t="n">
        <v>46075</v>
      </c>
      <c r="D10437" t="inlineStr">
        <is>
          <t>VÄSTERBOTTENS LÄN</t>
        </is>
      </c>
      <c r="E10437" t="inlineStr">
        <is>
          <t>SKELLEFTEÅ</t>
        </is>
      </c>
      <c r="G10437" t="n">
        <v>1.4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31402-2022</t>
        </is>
      </c>
      <c r="B10438" s="1" t="n">
        <v>44774</v>
      </c>
      <c r="C10438" s="1" t="n">
        <v>46075</v>
      </c>
      <c r="D10438" t="inlineStr">
        <is>
          <t>VÄSTERBOTTENS LÄN</t>
        </is>
      </c>
      <c r="E10438" t="inlineStr">
        <is>
          <t>ÅSELE</t>
        </is>
      </c>
      <c r="G10438" t="n">
        <v>7.7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977-2022</t>
        </is>
      </c>
      <c r="B10439" s="1" t="n">
        <v>44571</v>
      </c>
      <c r="C10439" s="1" t="n">
        <v>46075</v>
      </c>
      <c r="D10439" t="inlineStr">
        <is>
          <t>VÄSTERBOTTENS LÄN</t>
        </is>
      </c>
      <c r="E10439" t="inlineStr">
        <is>
          <t>ROBERTSFORS</t>
        </is>
      </c>
      <c r="G10439" t="n">
        <v>3.8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24810-2024</t>
        </is>
      </c>
      <c r="B10440" s="1" t="n">
        <v>45460.95396990741</v>
      </c>
      <c r="C10440" s="1" t="n">
        <v>46075</v>
      </c>
      <c r="D10440" t="inlineStr">
        <is>
          <t>VÄSTERBOTTENS LÄN</t>
        </is>
      </c>
      <c r="E10440" t="inlineStr">
        <is>
          <t>LYCKSELE</t>
        </is>
      </c>
      <c r="F10440" t="inlineStr">
        <is>
          <t>SCA</t>
        </is>
      </c>
      <c r="G10440" t="n">
        <v>5.3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58790-2022</t>
        </is>
      </c>
      <c r="B10441" s="1" t="n">
        <v>44895</v>
      </c>
      <c r="C10441" s="1" t="n">
        <v>46075</v>
      </c>
      <c r="D10441" t="inlineStr">
        <is>
          <t>VÄSTERBOTTENS LÄN</t>
        </is>
      </c>
      <c r="E10441" t="inlineStr">
        <is>
          <t>ROBERTSFORS</t>
        </is>
      </c>
      <c r="G10441" t="n">
        <v>2.5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26000-2023</t>
        </is>
      </c>
      <c r="B10442" s="1" t="n">
        <v>45090</v>
      </c>
      <c r="C10442" s="1" t="n">
        <v>46075</v>
      </c>
      <c r="D10442" t="inlineStr">
        <is>
          <t>VÄSTERBOTTENS LÄN</t>
        </is>
      </c>
      <c r="E10442" t="inlineStr">
        <is>
          <t>VILHELMINA</t>
        </is>
      </c>
      <c r="F10442" t="inlineStr">
        <is>
          <t>SCA</t>
        </is>
      </c>
      <c r="G10442" t="n">
        <v>2.8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60179-2024</t>
        </is>
      </c>
      <c r="B10443" s="1" t="n">
        <v>45642.63862268518</v>
      </c>
      <c r="C10443" s="1" t="n">
        <v>46075</v>
      </c>
      <c r="D10443" t="inlineStr">
        <is>
          <t>VÄSTERBOTTENS LÄN</t>
        </is>
      </c>
      <c r="E10443" t="inlineStr">
        <is>
          <t>UMEÅ</t>
        </is>
      </c>
      <c r="G10443" t="n">
        <v>3.4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34236-2023</t>
        </is>
      </c>
      <c r="B10444" s="1" t="n">
        <v>45127</v>
      </c>
      <c r="C10444" s="1" t="n">
        <v>46075</v>
      </c>
      <c r="D10444" t="inlineStr">
        <is>
          <t>VÄSTERBOTTENS LÄN</t>
        </is>
      </c>
      <c r="E10444" t="inlineStr">
        <is>
          <t>ÅSELE</t>
        </is>
      </c>
      <c r="F10444" t="inlineStr">
        <is>
          <t>Kommuner</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9465-2024</t>
        </is>
      </c>
      <c r="B10445" s="1" t="n">
        <v>45359.54578703704</v>
      </c>
      <c r="C10445" s="1" t="n">
        <v>46075</v>
      </c>
      <c r="D10445" t="inlineStr">
        <is>
          <t>VÄSTERBOTTENS LÄN</t>
        </is>
      </c>
      <c r="E10445" t="inlineStr">
        <is>
          <t>SKELLEFTEÅ</t>
        </is>
      </c>
      <c r="G10445" t="n">
        <v>4.7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35006-2024</t>
        </is>
      </c>
      <c r="B10446" s="1" t="n">
        <v>45527</v>
      </c>
      <c r="C10446" s="1" t="n">
        <v>46075</v>
      </c>
      <c r="D10446" t="inlineStr">
        <is>
          <t>VÄSTERBOTTENS LÄN</t>
        </is>
      </c>
      <c r="E10446" t="inlineStr">
        <is>
          <t>VÄNNÄS</t>
        </is>
      </c>
      <c r="G10446" t="n">
        <v>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51993-2024</t>
        </is>
      </c>
      <c r="B10447" s="1" t="n">
        <v>45607</v>
      </c>
      <c r="C10447" s="1" t="n">
        <v>46075</v>
      </c>
      <c r="D10447" t="inlineStr">
        <is>
          <t>VÄSTERBOTTENS LÄN</t>
        </is>
      </c>
      <c r="E10447" t="inlineStr">
        <is>
          <t>SKELLEFTEÅ</t>
        </is>
      </c>
      <c r="F10447" t="inlineStr">
        <is>
          <t>Kommuner</t>
        </is>
      </c>
      <c r="G10447" t="n">
        <v>3.9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46839-2024</t>
        </is>
      </c>
      <c r="B10448" s="1" t="n">
        <v>45583.59901620371</v>
      </c>
      <c r="C10448" s="1" t="n">
        <v>46075</v>
      </c>
      <c r="D10448" t="inlineStr">
        <is>
          <t>VÄSTERBOTTENS LÄN</t>
        </is>
      </c>
      <c r="E10448" t="inlineStr">
        <is>
          <t>VINDELN</t>
        </is>
      </c>
      <c r="F10448" t="inlineStr">
        <is>
          <t>Holmen skog AB</t>
        </is>
      </c>
      <c r="G10448" t="n">
        <v>2.9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46846-2024</t>
        </is>
      </c>
      <c r="B10449" s="1" t="n">
        <v>45583</v>
      </c>
      <c r="C10449" s="1" t="n">
        <v>46075</v>
      </c>
      <c r="D10449" t="inlineStr">
        <is>
          <t>VÄSTERBOTTENS LÄN</t>
        </is>
      </c>
      <c r="E10449" t="inlineStr">
        <is>
          <t>SKELLEFTEÅ</t>
        </is>
      </c>
      <c r="G10449" t="n">
        <v>7.5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58897-2022</t>
        </is>
      </c>
      <c r="B10450" s="1" t="n">
        <v>44895</v>
      </c>
      <c r="C10450" s="1" t="n">
        <v>46075</v>
      </c>
      <c r="D10450" t="inlineStr">
        <is>
          <t>VÄSTERBOTTENS LÄN</t>
        </is>
      </c>
      <c r="E10450" t="inlineStr">
        <is>
          <t>SKELLEFTEÅ</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60980-2024</t>
        </is>
      </c>
      <c r="B10451" s="1" t="n">
        <v>45645.41027777778</v>
      </c>
      <c r="C10451" s="1" t="n">
        <v>46075</v>
      </c>
      <c r="D10451" t="inlineStr">
        <is>
          <t>VÄSTERBOTTENS LÄN</t>
        </is>
      </c>
      <c r="E10451" t="inlineStr">
        <is>
          <t>VINDELN</t>
        </is>
      </c>
      <c r="G10451" t="n">
        <v>3.2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52493-2023</t>
        </is>
      </c>
      <c r="B10452" s="1" t="n">
        <v>45225.45331018518</v>
      </c>
      <c r="C10452" s="1" t="n">
        <v>46075</v>
      </c>
      <c r="D10452" t="inlineStr">
        <is>
          <t>VÄSTERBOTTENS LÄN</t>
        </is>
      </c>
      <c r="E10452" t="inlineStr">
        <is>
          <t>SKELLEFTEÅ</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56993-2022</t>
        </is>
      </c>
      <c r="B10453" s="1" t="n">
        <v>44894</v>
      </c>
      <c r="C10453" s="1" t="n">
        <v>46075</v>
      </c>
      <c r="D10453" t="inlineStr">
        <is>
          <t>VÄSTERBOTTENS LÄN</t>
        </is>
      </c>
      <c r="E10453" t="inlineStr">
        <is>
          <t>SKELLEFTEÅ</t>
        </is>
      </c>
      <c r="G10453" t="n">
        <v>4.9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60859-2022</t>
        </is>
      </c>
      <c r="B10454" s="1" t="n">
        <v>44908</v>
      </c>
      <c r="C10454" s="1" t="n">
        <v>46075</v>
      </c>
      <c r="D10454" t="inlineStr">
        <is>
          <t>VÄSTERBOTTENS LÄN</t>
        </is>
      </c>
      <c r="E10454" t="inlineStr">
        <is>
          <t>LYCKSELE</t>
        </is>
      </c>
      <c r="G10454" t="n">
        <v>3.4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55417-2023</t>
        </is>
      </c>
      <c r="B10455" s="1" t="n">
        <v>45238.41365740741</v>
      </c>
      <c r="C10455" s="1" t="n">
        <v>46075</v>
      </c>
      <c r="D10455" t="inlineStr">
        <is>
          <t>VÄSTERBOTTENS LÄN</t>
        </is>
      </c>
      <c r="E10455" t="inlineStr">
        <is>
          <t>ROBERTSFORS</t>
        </is>
      </c>
      <c r="G10455" t="n">
        <v>1.2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41160-2024</t>
        </is>
      </c>
      <c r="B10456" s="1" t="n">
        <v>45559.47989583333</v>
      </c>
      <c r="C10456" s="1" t="n">
        <v>46075</v>
      </c>
      <c r="D10456" t="inlineStr">
        <is>
          <t>VÄSTERBOTTENS LÄN</t>
        </is>
      </c>
      <c r="E10456" t="inlineStr">
        <is>
          <t>ÅSELE</t>
        </is>
      </c>
      <c r="F10456" t="inlineStr">
        <is>
          <t>Sveaskog</t>
        </is>
      </c>
      <c r="G10456" t="n">
        <v>18.8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41242-2024</t>
        </is>
      </c>
      <c r="B10457" s="1" t="n">
        <v>45559.57296296296</v>
      </c>
      <c r="C10457" s="1" t="n">
        <v>46075</v>
      </c>
      <c r="D10457" t="inlineStr">
        <is>
          <t>VÄSTERBOTTENS LÄN</t>
        </is>
      </c>
      <c r="E10457" t="inlineStr">
        <is>
          <t>SKELLEFTEÅ</t>
        </is>
      </c>
      <c r="G10457" t="n">
        <v>1.7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37897-2023</t>
        </is>
      </c>
      <c r="B10458" s="1" t="n">
        <v>45159</v>
      </c>
      <c r="C10458" s="1" t="n">
        <v>46075</v>
      </c>
      <c r="D10458" t="inlineStr">
        <is>
          <t>VÄSTERBOTTENS LÄN</t>
        </is>
      </c>
      <c r="E10458" t="inlineStr">
        <is>
          <t>MALÅ</t>
        </is>
      </c>
      <c r="G10458" t="n">
        <v>30.4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55542-2022</t>
        </is>
      </c>
      <c r="B10459" s="1" t="n">
        <v>44887</v>
      </c>
      <c r="C10459" s="1" t="n">
        <v>46075</v>
      </c>
      <c r="D10459" t="inlineStr">
        <is>
          <t>VÄSTERBOTTENS LÄN</t>
        </is>
      </c>
      <c r="E10459" t="inlineStr">
        <is>
          <t>BJURHOLM</t>
        </is>
      </c>
      <c r="F10459" t="inlineStr">
        <is>
          <t>SCA</t>
        </is>
      </c>
      <c r="G10459" t="n">
        <v>1.5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58256-2023</t>
        </is>
      </c>
      <c r="B10460" s="1" t="n">
        <v>45250.48440972222</v>
      </c>
      <c r="C10460" s="1" t="n">
        <v>46075</v>
      </c>
      <c r="D10460" t="inlineStr">
        <is>
          <t>VÄSTERBOTTENS LÄN</t>
        </is>
      </c>
      <c r="E10460" t="inlineStr">
        <is>
          <t>UMEÅ</t>
        </is>
      </c>
      <c r="G10460" t="n">
        <v>0.3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54958-2024</t>
        </is>
      </c>
      <c r="B10461" s="1" t="n">
        <v>45619.7193287037</v>
      </c>
      <c r="C10461" s="1" t="n">
        <v>46075</v>
      </c>
      <c r="D10461" t="inlineStr">
        <is>
          <t>VÄSTERBOTTENS LÄN</t>
        </is>
      </c>
      <c r="E10461" t="inlineStr">
        <is>
          <t>ÅSELE</t>
        </is>
      </c>
      <c r="F10461" t="inlineStr">
        <is>
          <t>SCA</t>
        </is>
      </c>
      <c r="G10461" t="n">
        <v>1.9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43602-2024</t>
        </is>
      </c>
      <c r="B10462" s="1" t="n">
        <v>45569.44695601852</v>
      </c>
      <c r="C10462" s="1" t="n">
        <v>46075</v>
      </c>
      <c r="D10462" t="inlineStr">
        <is>
          <t>VÄSTERBOTTENS LÄN</t>
        </is>
      </c>
      <c r="E10462" t="inlineStr">
        <is>
          <t>NORDMALING</t>
        </is>
      </c>
      <c r="G10462" t="n">
        <v>2.8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43611-2024</t>
        </is>
      </c>
      <c r="B10463" s="1" t="n">
        <v>45569.46443287037</v>
      </c>
      <c r="C10463" s="1" t="n">
        <v>46075</v>
      </c>
      <c r="D10463" t="inlineStr">
        <is>
          <t>VÄSTERBOTTENS LÄN</t>
        </is>
      </c>
      <c r="E10463" t="inlineStr">
        <is>
          <t>VINDELN</t>
        </is>
      </c>
      <c r="F10463" t="inlineStr">
        <is>
          <t>Holmen skog AB</t>
        </is>
      </c>
      <c r="G10463" t="n">
        <v>7.2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54974-2024</t>
        </is>
      </c>
      <c r="B10464" s="1" t="n">
        <v>45620.67599537037</v>
      </c>
      <c r="C10464" s="1" t="n">
        <v>46075</v>
      </c>
      <c r="D10464" t="inlineStr">
        <is>
          <t>VÄSTERBOTTENS LÄN</t>
        </is>
      </c>
      <c r="E10464" t="inlineStr">
        <is>
          <t>SKELLEFTEÅ</t>
        </is>
      </c>
      <c r="G10464" t="n">
        <v>1.7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18549-2023</t>
        </is>
      </c>
      <c r="B10465" s="1" t="n">
        <v>45042.92578703703</v>
      </c>
      <c r="C10465" s="1" t="n">
        <v>46075</v>
      </c>
      <c r="D10465" t="inlineStr">
        <is>
          <t>VÄSTERBOTTENS LÄN</t>
        </is>
      </c>
      <c r="E10465" t="inlineStr">
        <is>
          <t>VINDELN</t>
        </is>
      </c>
      <c r="G10465" t="n">
        <v>2.3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13552-2024</t>
        </is>
      </c>
      <c r="B10466" s="1" t="n">
        <v>45387.95409722222</v>
      </c>
      <c r="C10466" s="1" t="n">
        <v>46075</v>
      </c>
      <c r="D10466" t="inlineStr">
        <is>
          <t>VÄSTERBOTTENS LÄN</t>
        </is>
      </c>
      <c r="E10466" t="inlineStr">
        <is>
          <t>ÅSELE</t>
        </is>
      </c>
      <c r="F10466" t="inlineStr">
        <is>
          <t>SCA</t>
        </is>
      </c>
      <c r="G10466" t="n">
        <v>42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48586-2024</t>
        </is>
      </c>
      <c r="B10467" s="1" t="n">
        <v>45593.42652777778</v>
      </c>
      <c r="C10467" s="1" t="n">
        <v>46075</v>
      </c>
      <c r="D10467" t="inlineStr">
        <is>
          <t>VÄSTERBOTTENS LÄN</t>
        </is>
      </c>
      <c r="E10467" t="inlineStr">
        <is>
          <t>UMEÅ</t>
        </is>
      </c>
      <c r="F10467" t="inlineStr">
        <is>
          <t>Holmen skog AB</t>
        </is>
      </c>
      <c r="G10467" t="n">
        <v>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26351-2022</t>
        </is>
      </c>
      <c r="B10468" s="1" t="n">
        <v>44735</v>
      </c>
      <c r="C10468" s="1" t="n">
        <v>46075</v>
      </c>
      <c r="D10468" t="inlineStr">
        <is>
          <t>VÄSTERBOTTENS LÄN</t>
        </is>
      </c>
      <c r="E10468" t="inlineStr">
        <is>
          <t>LYCKSELE</t>
        </is>
      </c>
      <c r="G10468" t="n">
        <v>0.5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40618-2023</t>
        </is>
      </c>
      <c r="B10469" s="1" t="n">
        <v>45170</v>
      </c>
      <c r="C10469" s="1" t="n">
        <v>46075</v>
      </c>
      <c r="D10469" t="inlineStr">
        <is>
          <t>VÄSTERBOTTENS LÄN</t>
        </is>
      </c>
      <c r="E10469" t="inlineStr">
        <is>
          <t>MALÅ</t>
        </is>
      </c>
      <c r="F10469" t="inlineStr">
        <is>
          <t>Sveaskog</t>
        </is>
      </c>
      <c r="G10469" t="n">
        <v>23.4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54437-2023</t>
        </is>
      </c>
      <c r="B10470" s="1" t="n">
        <v>45233</v>
      </c>
      <c r="C10470" s="1" t="n">
        <v>46075</v>
      </c>
      <c r="D10470" t="inlineStr">
        <is>
          <t>VÄSTERBOTTENS LÄN</t>
        </is>
      </c>
      <c r="E10470" t="inlineStr">
        <is>
          <t>MALÅ</t>
        </is>
      </c>
      <c r="G10470" t="n">
        <v>5.7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54446-2023</t>
        </is>
      </c>
      <c r="B10471" s="1" t="n">
        <v>45233</v>
      </c>
      <c r="C10471" s="1" t="n">
        <v>46075</v>
      </c>
      <c r="D10471" t="inlineStr">
        <is>
          <t>VÄSTERBOTTENS LÄN</t>
        </is>
      </c>
      <c r="E10471" t="inlineStr">
        <is>
          <t>LYCKSELE</t>
        </is>
      </c>
      <c r="G10471" t="n">
        <v>21.4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37716-2024</t>
        </is>
      </c>
      <c r="B10472" s="1" t="n">
        <v>45541.63592592593</v>
      </c>
      <c r="C10472" s="1" t="n">
        <v>46075</v>
      </c>
      <c r="D10472" t="inlineStr">
        <is>
          <t>VÄSTERBOTTENS LÄN</t>
        </is>
      </c>
      <c r="E10472" t="inlineStr">
        <is>
          <t>VILHELMINA</t>
        </is>
      </c>
      <c r="F10472" t="inlineStr">
        <is>
          <t>SCA</t>
        </is>
      </c>
      <c r="G10472" t="n">
        <v>1.9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8887-2025</t>
        </is>
      </c>
      <c r="B10473" s="1" t="n">
        <v>45713.39284722223</v>
      </c>
      <c r="C10473" s="1" t="n">
        <v>46075</v>
      </c>
      <c r="D10473" t="inlineStr">
        <is>
          <t>VÄSTERBOTTENS LÄN</t>
        </is>
      </c>
      <c r="E10473" t="inlineStr">
        <is>
          <t>SKELLEFTEÅ</t>
        </is>
      </c>
      <c r="G10473" t="n">
        <v>3.6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1877-2024</t>
        </is>
      </c>
      <c r="B10474" s="1" t="n">
        <v>45307</v>
      </c>
      <c r="C10474" s="1" t="n">
        <v>46075</v>
      </c>
      <c r="D10474" t="inlineStr">
        <is>
          <t>VÄSTERBOTTENS LÄN</t>
        </is>
      </c>
      <c r="E10474" t="inlineStr">
        <is>
          <t>BJURHOLM</t>
        </is>
      </c>
      <c r="G10474" t="n">
        <v>7.9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8927-2025</t>
        </is>
      </c>
      <c r="B10475" s="1" t="n">
        <v>45713.44215277778</v>
      </c>
      <c r="C10475" s="1" t="n">
        <v>46075</v>
      </c>
      <c r="D10475" t="inlineStr">
        <is>
          <t>VÄSTERBOTTENS LÄN</t>
        </is>
      </c>
      <c r="E10475" t="inlineStr">
        <is>
          <t>SKELLEFTEÅ</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17071-2023</t>
        </is>
      </c>
      <c r="B10476" s="1" t="n">
        <v>45030</v>
      </c>
      <c r="C10476" s="1" t="n">
        <v>46075</v>
      </c>
      <c r="D10476" t="inlineStr">
        <is>
          <t>VÄSTERBOTTENS LÄN</t>
        </is>
      </c>
      <c r="E10476" t="inlineStr">
        <is>
          <t>SKELLEFTEÅ</t>
        </is>
      </c>
      <c r="G10476" t="n">
        <v>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15160-2025</t>
        </is>
      </c>
      <c r="B10477" s="1" t="n">
        <v>45744</v>
      </c>
      <c r="C10477" s="1" t="n">
        <v>46075</v>
      </c>
      <c r="D10477" t="inlineStr">
        <is>
          <t>VÄSTERBOTTENS LÄN</t>
        </is>
      </c>
      <c r="E10477" t="inlineStr">
        <is>
          <t>UMEÅ</t>
        </is>
      </c>
      <c r="F10477" t="inlineStr">
        <is>
          <t>Kommuner</t>
        </is>
      </c>
      <c r="G10477" t="n">
        <v>0.7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60896-2021</t>
        </is>
      </c>
      <c r="B10478" s="1" t="n">
        <v>44496</v>
      </c>
      <c r="C10478" s="1" t="n">
        <v>46075</v>
      </c>
      <c r="D10478" t="inlineStr">
        <is>
          <t>VÄSTERBOTTENS LÄN</t>
        </is>
      </c>
      <c r="E10478" t="inlineStr">
        <is>
          <t>SORSELE</t>
        </is>
      </c>
      <c r="G10478" t="n">
        <v>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52956-2022</t>
        </is>
      </c>
      <c r="B10479" s="1" t="n">
        <v>44875</v>
      </c>
      <c r="C10479" s="1" t="n">
        <v>46075</v>
      </c>
      <c r="D10479" t="inlineStr">
        <is>
          <t>VÄSTERBOTTENS LÄN</t>
        </is>
      </c>
      <c r="E10479" t="inlineStr">
        <is>
          <t>LYCKSELE</t>
        </is>
      </c>
      <c r="F10479" t="inlineStr">
        <is>
          <t>Holmen skog AB</t>
        </is>
      </c>
      <c r="G10479" t="n">
        <v>6.4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26368-2024</t>
        </is>
      </c>
      <c r="B10480" s="1" t="n">
        <v>45468</v>
      </c>
      <c r="C10480" s="1" t="n">
        <v>46075</v>
      </c>
      <c r="D10480" t="inlineStr">
        <is>
          <t>VÄSTERBOTTENS LÄN</t>
        </is>
      </c>
      <c r="E10480" t="inlineStr">
        <is>
          <t>ROBERTSFORS</t>
        </is>
      </c>
      <c r="G10480" t="n">
        <v>1.1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41441-2024</t>
        </is>
      </c>
      <c r="B10481" s="1" t="n">
        <v>45560.38535879629</v>
      </c>
      <c r="C10481" s="1" t="n">
        <v>46075</v>
      </c>
      <c r="D10481" t="inlineStr">
        <is>
          <t>VÄSTERBOTTENS LÄN</t>
        </is>
      </c>
      <c r="E10481" t="inlineStr">
        <is>
          <t>VINDELN</t>
        </is>
      </c>
      <c r="F10481" t="inlineStr">
        <is>
          <t>Holmen skog AB</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38112-2024</t>
        </is>
      </c>
      <c r="B10482" s="1" t="n">
        <v>45545.38578703703</v>
      </c>
      <c r="C10482" s="1" t="n">
        <v>46075</v>
      </c>
      <c r="D10482" t="inlineStr">
        <is>
          <t>VÄSTERBOTTENS LÄN</t>
        </is>
      </c>
      <c r="E10482" t="inlineStr">
        <is>
          <t>LYCKSELE</t>
        </is>
      </c>
      <c r="F10482" t="inlineStr">
        <is>
          <t>SCA</t>
        </is>
      </c>
      <c r="G10482" t="n">
        <v>2.5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41498-2024</t>
        </is>
      </c>
      <c r="B10483" s="1" t="n">
        <v>45560.46020833333</v>
      </c>
      <c r="C10483" s="1" t="n">
        <v>46075</v>
      </c>
      <c r="D10483" t="inlineStr">
        <is>
          <t>VÄSTERBOTTENS LÄN</t>
        </is>
      </c>
      <c r="E10483" t="inlineStr">
        <is>
          <t>VINDELN</t>
        </is>
      </c>
      <c r="F10483" t="inlineStr">
        <is>
          <t>Holmen skog AB</t>
        </is>
      </c>
      <c r="G10483" t="n">
        <v>2.4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38120-2024</t>
        </is>
      </c>
      <c r="B10484" s="1" t="n">
        <v>45545.40222222222</v>
      </c>
      <c r="C10484" s="1" t="n">
        <v>46075</v>
      </c>
      <c r="D10484" t="inlineStr">
        <is>
          <t>VÄSTERBOTTENS LÄN</t>
        </is>
      </c>
      <c r="E10484" t="inlineStr">
        <is>
          <t>ROBERTSFORS</t>
        </is>
      </c>
      <c r="G10484" t="n">
        <v>5.7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59516-2021</t>
        </is>
      </c>
      <c r="B10485" s="1" t="n">
        <v>44491</v>
      </c>
      <c r="C10485" s="1" t="n">
        <v>46075</v>
      </c>
      <c r="D10485" t="inlineStr">
        <is>
          <t>VÄSTERBOTTENS LÄN</t>
        </is>
      </c>
      <c r="E10485" t="inlineStr">
        <is>
          <t>LYCKSELE</t>
        </is>
      </c>
      <c r="F10485" t="inlineStr">
        <is>
          <t>Holmen skog AB</t>
        </is>
      </c>
      <c r="G10485" t="n">
        <v>2.7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642-2025</t>
        </is>
      </c>
      <c r="B10486" s="1" t="n">
        <v>45660</v>
      </c>
      <c r="C10486" s="1" t="n">
        <v>46075</v>
      </c>
      <c r="D10486" t="inlineStr">
        <is>
          <t>VÄSTERBOTTENS LÄN</t>
        </is>
      </c>
      <c r="E10486" t="inlineStr">
        <is>
          <t>SKELLEFTEÅ</t>
        </is>
      </c>
      <c r="G10486" t="n">
        <v>6.2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647-2025</t>
        </is>
      </c>
      <c r="B10487" s="1" t="n">
        <v>45661</v>
      </c>
      <c r="C10487" s="1" t="n">
        <v>46075</v>
      </c>
      <c r="D10487" t="inlineStr">
        <is>
          <t>VÄSTERBOTTENS LÄN</t>
        </is>
      </c>
      <c r="E10487" t="inlineStr">
        <is>
          <t>ROBERTSFORS</t>
        </is>
      </c>
      <c r="G10487" t="n">
        <v>34.3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676-2025</t>
        </is>
      </c>
      <c r="B10488" s="1" t="n">
        <v>45664</v>
      </c>
      <c r="C10488" s="1" t="n">
        <v>46075</v>
      </c>
      <c r="D10488" t="inlineStr">
        <is>
          <t>VÄSTERBOTTENS LÄN</t>
        </is>
      </c>
      <c r="E10488" t="inlineStr">
        <is>
          <t>ROBERTSFORS</t>
        </is>
      </c>
      <c r="G10488" t="n">
        <v>0.4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24604-2024</t>
        </is>
      </c>
      <c r="B10489" s="1" t="n">
        <v>45460</v>
      </c>
      <c r="C10489" s="1" t="n">
        <v>46075</v>
      </c>
      <c r="D10489" t="inlineStr">
        <is>
          <t>VÄSTERBOTTENS LÄN</t>
        </is>
      </c>
      <c r="E10489" t="inlineStr">
        <is>
          <t>SKELLEFTEÅ</t>
        </is>
      </c>
      <c r="G10489" t="n">
        <v>3.6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39513-2023</t>
        </is>
      </c>
      <c r="B10490" s="1" t="n">
        <v>45167</v>
      </c>
      <c r="C10490" s="1" t="n">
        <v>46075</v>
      </c>
      <c r="D10490" t="inlineStr">
        <is>
          <t>VÄSTERBOTTENS LÄN</t>
        </is>
      </c>
      <c r="E10490" t="inlineStr">
        <is>
          <t>SKELLEFTEÅ</t>
        </is>
      </c>
      <c r="F10490" t="inlineStr">
        <is>
          <t>Holmen skog AB</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547-2025</t>
        </is>
      </c>
      <c r="B10491" s="1" t="n">
        <v>45660</v>
      </c>
      <c r="C10491" s="1" t="n">
        <v>46075</v>
      </c>
      <c r="D10491" t="inlineStr">
        <is>
          <t>VÄSTERBOTTENS LÄN</t>
        </is>
      </c>
      <c r="E10491" t="inlineStr">
        <is>
          <t>MALÅ</t>
        </is>
      </c>
      <c r="G10491" t="n">
        <v>3.3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13170-2025</t>
        </is>
      </c>
      <c r="B10492" s="1" t="n">
        <v>45735</v>
      </c>
      <c r="C10492" s="1" t="n">
        <v>46075</v>
      </c>
      <c r="D10492" t="inlineStr">
        <is>
          <t>VÄSTERBOTTENS LÄN</t>
        </is>
      </c>
      <c r="E10492" t="inlineStr">
        <is>
          <t>DOROTEA</t>
        </is>
      </c>
      <c r="F10492" t="inlineStr">
        <is>
          <t>SCA</t>
        </is>
      </c>
      <c r="G10492" t="n">
        <v>5.1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6596-2023</t>
        </is>
      </c>
      <c r="B10493" s="1" t="n">
        <v>44963</v>
      </c>
      <c r="C10493" s="1" t="n">
        <v>46075</v>
      </c>
      <c r="D10493" t="inlineStr">
        <is>
          <t>VÄSTERBOTTENS LÄN</t>
        </is>
      </c>
      <c r="E10493" t="inlineStr">
        <is>
          <t>SKELLEFTEÅ</t>
        </is>
      </c>
      <c r="G10493" t="n">
        <v>1.4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38503-2024</t>
        </is>
      </c>
      <c r="B10494" s="1" t="n">
        <v>45546.52896990741</v>
      </c>
      <c r="C10494" s="1" t="n">
        <v>46075</v>
      </c>
      <c r="D10494" t="inlineStr">
        <is>
          <t>VÄSTERBOTTENS LÄN</t>
        </is>
      </c>
      <c r="E10494" t="inlineStr">
        <is>
          <t>SKELLEFTEÅ</t>
        </is>
      </c>
      <c r="G10494" t="n">
        <v>8.9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56343-2022</t>
        </is>
      </c>
      <c r="B10495" s="1" t="n">
        <v>44890</v>
      </c>
      <c r="C10495" s="1" t="n">
        <v>46075</v>
      </c>
      <c r="D10495" t="inlineStr">
        <is>
          <t>VÄSTERBOTTENS LÄN</t>
        </is>
      </c>
      <c r="E10495" t="inlineStr">
        <is>
          <t>LYCKSELE</t>
        </is>
      </c>
      <c r="F10495" t="inlineStr">
        <is>
          <t>Sveaskog</t>
        </is>
      </c>
      <c r="G10495" t="n">
        <v>0.5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13487-2025</t>
        </is>
      </c>
      <c r="B10496" s="1" t="n">
        <v>45736.42761574074</v>
      </c>
      <c r="C10496" s="1" t="n">
        <v>46075</v>
      </c>
      <c r="D10496" t="inlineStr">
        <is>
          <t>VÄSTERBOTTENS LÄN</t>
        </is>
      </c>
      <c r="E10496" t="inlineStr">
        <is>
          <t>SKELLEFTEÅ</t>
        </is>
      </c>
      <c r="G10496" t="n">
        <v>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1733-2025</t>
        </is>
      </c>
      <c r="B10497" s="1" t="n">
        <v>45671</v>
      </c>
      <c r="C10497" s="1" t="n">
        <v>46075</v>
      </c>
      <c r="D10497" t="inlineStr">
        <is>
          <t>VÄSTERBOTTENS LÄN</t>
        </is>
      </c>
      <c r="E10497" t="inlineStr">
        <is>
          <t>ÅSELE</t>
        </is>
      </c>
      <c r="F10497" t="inlineStr">
        <is>
          <t>Sveaskog</t>
        </is>
      </c>
      <c r="G10497" t="n">
        <v>18.2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49582-2024</t>
        </is>
      </c>
      <c r="B10498" s="1" t="n">
        <v>45596</v>
      </c>
      <c r="C10498" s="1" t="n">
        <v>46075</v>
      </c>
      <c r="D10498" t="inlineStr">
        <is>
          <t>VÄSTERBOTTENS LÄN</t>
        </is>
      </c>
      <c r="E10498" t="inlineStr">
        <is>
          <t>VINDELN</t>
        </is>
      </c>
      <c r="G10498" t="n">
        <v>4.6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49583-2024</t>
        </is>
      </c>
      <c r="B10499" s="1" t="n">
        <v>45596.54178240741</v>
      </c>
      <c r="C10499" s="1" t="n">
        <v>46075</v>
      </c>
      <c r="D10499" t="inlineStr">
        <is>
          <t>VÄSTERBOTTENS LÄN</t>
        </is>
      </c>
      <c r="E10499" t="inlineStr">
        <is>
          <t>VINDELN</t>
        </is>
      </c>
      <c r="G10499" t="n">
        <v>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2393-2023</t>
        </is>
      </c>
      <c r="B10500" s="1" t="n">
        <v>44942.9234375</v>
      </c>
      <c r="C10500" s="1" t="n">
        <v>46075</v>
      </c>
      <c r="D10500" t="inlineStr">
        <is>
          <t>VÄSTERBOTTENS LÄN</t>
        </is>
      </c>
      <c r="E10500" t="inlineStr">
        <is>
          <t>SKELLEFTEÅ</t>
        </is>
      </c>
      <c r="G10500" t="n">
        <v>7.6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36376-2023</t>
        </is>
      </c>
      <c r="B10501" s="1" t="n">
        <v>45152</v>
      </c>
      <c r="C10501" s="1" t="n">
        <v>46075</v>
      </c>
      <c r="D10501" t="inlineStr">
        <is>
          <t>VÄSTERBOTTENS LÄN</t>
        </is>
      </c>
      <c r="E10501" t="inlineStr">
        <is>
          <t>VILHELMINA</t>
        </is>
      </c>
      <c r="G10501" t="n">
        <v>12.7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29466-2024</t>
        </is>
      </c>
      <c r="B10502" s="1" t="n">
        <v>45483.97041666666</v>
      </c>
      <c r="C10502" s="1" t="n">
        <v>46075</v>
      </c>
      <c r="D10502" t="inlineStr">
        <is>
          <t>VÄSTERBOTTENS LÄN</t>
        </is>
      </c>
      <c r="E10502" t="inlineStr">
        <is>
          <t>VINDELN</t>
        </is>
      </c>
      <c r="F10502" t="inlineStr">
        <is>
          <t>SCA</t>
        </is>
      </c>
      <c r="G10502" t="n">
        <v>4.6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39736-2024</t>
        </is>
      </c>
      <c r="B10503" s="1" t="n">
        <v>45552.64715277778</v>
      </c>
      <c r="C10503" s="1" t="n">
        <v>46075</v>
      </c>
      <c r="D10503" t="inlineStr">
        <is>
          <t>VÄSTERBOTTENS LÄN</t>
        </is>
      </c>
      <c r="E10503" t="inlineStr">
        <is>
          <t>NORSJÖ</t>
        </is>
      </c>
      <c r="F10503" t="inlineStr">
        <is>
          <t>Holmen skog AB</t>
        </is>
      </c>
      <c r="G10503" t="n">
        <v>2.6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47514-2024</t>
        </is>
      </c>
      <c r="B10504" s="1" t="n">
        <v>45587</v>
      </c>
      <c r="C10504" s="1" t="n">
        <v>46075</v>
      </c>
      <c r="D10504" t="inlineStr">
        <is>
          <t>VÄSTERBOTTENS LÄN</t>
        </is>
      </c>
      <c r="E10504" t="inlineStr">
        <is>
          <t>SKELLEFTEÅ</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47591-2024</t>
        </is>
      </c>
      <c r="B10505" s="1" t="n">
        <v>45587.83815972223</v>
      </c>
      <c r="C10505" s="1" t="n">
        <v>46075</v>
      </c>
      <c r="D10505" t="inlineStr">
        <is>
          <t>VÄSTERBOTTENS LÄN</t>
        </is>
      </c>
      <c r="E10505" t="inlineStr">
        <is>
          <t>BJURHOLM</t>
        </is>
      </c>
      <c r="G10505" t="n">
        <v>5.4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19313-2024</t>
        </is>
      </c>
      <c r="B10506" s="1" t="n">
        <v>45428</v>
      </c>
      <c r="C10506" s="1" t="n">
        <v>46075</v>
      </c>
      <c r="D10506" t="inlineStr">
        <is>
          <t>VÄSTERBOTTENS LÄN</t>
        </is>
      </c>
      <c r="E10506" t="inlineStr">
        <is>
          <t>NORSJÖ</t>
        </is>
      </c>
      <c r="G10506" t="n">
        <v>5.8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19330-2024</t>
        </is>
      </c>
      <c r="B10507" s="1" t="n">
        <v>45428</v>
      </c>
      <c r="C10507" s="1" t="n">
        <v>46075</v>
      </c>
      <c r="D10507" t="inlineStr">
        <is>
          <t>VÄSTERBOTTENS LÄN</t>
        </is>
      </c>
      <c r="E10507" t="inlineStr">
        <is>
          <t>ÅSELE</t>
        </is>
      </c>
      <c r="F10507" t="inlineStr">
        <is>
          <t>SCA</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24653-2021</t>
        </is>
      </c>
      <c r="B10508" s="1" t="n">
        <v>44340</v>
      </c>
      <c r="C10508" s="1" t="n">
        <v>46075</v>
      </c>
      <c r="D10508" t="inlineStr">
        <is>
          <t>VÄSTERBOTTENS LÄN</t>
        </is>
      </c>
      <c r="E10508" t="inlineStr">
        <is>
          <t>SKELLEFTEÅ</t>
        </is>
      </c>
      <c r="G10508" t="n">
        <v>6.7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54984-2023</t>
        </is>
      </c>
      <c r="B10509" s="1" t="n">
        <v>45236</v>
      </c>
      <c r="C10509" s="1" t="n">
        <v>46075</v>
      </c>
      <c r="D10509" t="inlineStr">
        <is>
          <t>VÄSTERBOTTENS LÄN</t>
        </is>
      </c>
      <c r="E10509" t="inlineStr">
        <is>
          <t>VILHELMINA</t>
        </is>
      </c>
      <c r="F10509" t="inlineStr">
        <is>
          <t>SCA</t>
        </is>
      </c>
      <c r="G10509" t="n">
        <v>2.4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36546-2024</t>
        </is>
      </c>
      <c r="B10510" s="1" t="n">
        <v>45537</v>
      </c>
      <c r="C10510" s="1" t="n">
        <v>46075</v>
      </c>
      <c r="D10510" t="inlineStr">
        <is>
          <t>VÄSTERBOTTENS LÄN</t>
        </is>
      </c>
      <c r="E10510" t="inlineStr">
        <is>
          <t>SKELLEFTEÅ</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8247-2024</t>
        </is>
      </c>
      <c r="B10511" s="1" t="n">
        <v>45351.9859375</v>
      </c>
      <c r="C10511" s="1" t="n">
        <v>46075</v>
      </c>
      <c r="D10511" t="inlineStr">
        <is>
          <t>VÄSTERBOTTENS LÄN</t>
        </is>
      </c>
      <c r="E10511" t="inlineStr">
        <is>
          <t>DOROTEA</t>
        </is>
      </c>
      <c r="F10511" t="inlineStr">
        <is>
          <t>SCA</t>
        </is>
      </c>
      <c r="G10511" t="n">
        <v>6.9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42889-2024</t>
        </is>
      </c>
      <c r="B10512" s="1" t="n">
        <v>45566</v>
      </c>
      <c r="C10512" s="1" t="n">
        <v>46075</v>
      </c>
      <c r="D10512" t="inlineStr">
        <is>
          <t>VÄSTERBOTTENS LÄN</t>
        </is>
      </c>
      <c r="E10512" t="inlineStr">
        <is>
          <t>DOROTEA</t>
        </is>
      </c>
      <c r="G10512" t="n">
        <v>0.6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34830-2021</t>
        </is>
      </c>
      <c r="B10513" s="1" t="n">
        <v>44383.37496527778</v>
      </c>
      <c r="C10513" s="1" t="n">
        <v>46075</v>
      </c>
      <c r="D10513" t="inlineStr">
        <is>
          <t>VÄSTERBOTTENS LÄN</t>
        </is>
      </c>
      <c r="E10513" t="inlineStr">
        <is>
          <t>VINDELN</t>
        </is>
      </c>
      <c r="G10513" t="n">
        <v>8.5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34900-2021</t>
        </is>
      </c>
      <c r="B10514" s="1" t="n">
        <v>44383.50582175926</v>
      </c>
      <c r="C10514" s="1" t="n">
        <v>46075</v>
      </c>
      <c r="D10514" t="inlineStr">
        <is>
          <t>VÄSTERBOTTENS LÄN</t>
        </is>
      </c>
      <c r="E10514" t="inlineStr">
        <is>
          <t>NORSJÖ</t>
        </is>
      </c>
      <c r="G10514" t="n">
        <v>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10956-2023</t>
        </is>
      </c>
      <c r="B10515" s="1" t="n">
        <v>44985</v>
      </c>
      <c r="C10515" s="1" t="n">
        <v>46075</v>
      </c>
      <c r="D10515" t="inlineStr">
        <is>
          <t>VÄSTERBOTTENS LÄN</t>
        </is>
      </c>
      <c r="E10515" t="inlineStr">
        <is>
          <t>VILHELMINA</t>
        </is>
      </c>
      <c r="G10515" t="n">
        <v>3.3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10984-2023</t>
        </is>
      </c>
      <c r="B10516" s="1" t="n">
        <v>44985</v>
      </c>
      <c r="C10516" s="1" t="n">
        <v>46075</v>
      </c>
      <c r="D10516" t="inlineStr">
        <is>
          <t>VÄSTERBOTTENS LÄN</t>
        </is>
      </c>
      <c r="E10516" t="inlineStr">
        <is>
          <t>BJURHOLM</t>
        </is>
      </c>
      <c r="G10516" t="n">
        <v>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2683-2023</t>
        </is>
      </c>
      <c r="B10517" s="1" t="n">
        <v>44942</v>
      </c>
      <c r="C10517" s="1" t="n">
        <v>46075</v>
      </c>
      <c r="D10517" t="inlineStr">
        <is>
          <t>VÄSTERBOTTENS LÄN</t>
        </is>
      </c>
      <c r="E10517" t="inlineStr">
        <is>
          <t>DOROTEA</t>
        </is>
      </c>
      <c r="G10517" t="n">
        <v>22.7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60672-2022</t>
        </is>
      </c>
      <c r="B10518" s="1" t="n">
        <v>44911.93910879629</v>
      </c>
      <c r="C10518" s="1" t="n">
        <v>46075</v>
      </c>
      <c r="D10518" t="inlineStr">
        <is>
          <t>VÄSTERBOTTENS LÄN</t>
        </is>
      </c>
      <c r="E10518" t="inlineStr">
        <is>
          <t>VINDELN</t>
        </is>
      </c>
      <c r="F10518" t="inlineStr">
        <is>
          <t>SCA</t>
        </is>
      </c>
      <c r="G10518" t="n">
        <v>3.9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2048-2023</t>
        </is>
      </c>
      <c r="B10519" s="1" t="n">
        <v>44939</v>
      </c>
      <c r="C10519" s="1" t="n">
        <v>46075</v>
      </c>
      <c r="D10519" t="inlineStr">
        <is>
          <t>VÄSTERBOTTENS LÄN</t>
        </is>
      </c>
      <c r="E10519" t="inlineStr">
        <is>
          <t>UMEÅ</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2054-2023</t>
        </is>
      </c>
      <c r="B10520" s="1" t="n">
        <v>44939</v>
      </c>
      <c r="C10520" s="1" t="n">
        <v>46075</v>
      </c>
      <c r="D10520" t="inlineStr">
        <is>
          <t>VÄSTERBOTTENS LÄN</t>
        </is>
      </c>
      <c r="E10520" t="inlineStr">
        <is>
          <t>VILHELMINA</t>
        </is>
      </c>
      <c r="F10520" t="inlineStr">
        <is>
          <t>Sveaskog</t>
        </is>
      </c>
      <c r="G10520" t="n">
        <v>19.2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2704-2025</t>
        </is>
      </c>
      <c r="B10521" s="1" t="n">
        <v>45677</v>
      </c>
      <c r="C10521" s="1" t="n">
        <v>46075</v>
      </c>
      <c r="D10521" t="inlineStr">
        <is>
          <t>VÄSTERBOTTENS LÄN</t>
        </is>
      </c>
      <c r="E10521" t="inlineStr">
        <is>
          <t>VINDELN</t>
        </is>
      </c>
      <c r="G10521" t="n">
        <v>1.9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43735-2021</t>
        </is>
      </c>
      <c r="B10522" s="1" t="n">
        <v>44433</v>
      </c>
      <c r="C10522" s="1" t="n">
        <v>46075</v>
      </c>
      <c r="D10522" t="inlineStr">
        <is>
          <t>VÄSTERBOTTENS LÄN</t>
        </is>
      </c>
      <c r="E10522" t="inlineStr">
        <is>
          <t>NORDMALING</t>
        </is>
      </c>
      <c r="G10522" t="n">
        <v>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44475-2024</t>
        </is>
      </c>
      <c r="B10523" s="1" t="n">
        <v>45574</v>
      </c>
      <c r="C10523" s="1" t="n">
        <v>46075</v>
      </c>
      <c r="D10523" t="inlineStr">
        <is>
          <t>VÄSTERBOTTENS LÄN</t>
        </is>
      </c>
      <c r="E10523" t="inlineStr">
        <is>
          <t>NORDMALING</t>
        </is>
      </c>
      <c r="G10523" t="n">
        <v>4.6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44479-2024</t>
        </is>
      </c>
      <c r="B10524" s="1" t="n">
        <v>45574</v>
      </c>
      <c r="C10524" s="1" t="n">
        <v>46075</v>
      </c>
      <c r="D10524" t="inlineStr">
        <is>
          <t>VÄSTERBOTTENS LÄN</t>
        </is>
      </c>
      <c r="E10524" t="inlineStr">
        <is>
          <t>SKELLEFTEÅ</t>
        </is>
      </c>
      <c r="G10524" t="n">
        <v>7.7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55810-2022</t>
        </is>
      </c>
      <c r="B10525" s="1" t="n">
        <v>44888.65146990741</v>
      </c>
      <c r="C10525" s="1" t="n">
        <v>46075</v>
      </c>
      <c r="D10525" t="inlineStr">
        <is>
          <t>VÄSTERBOTTENS LÄN</t>
        </is>
      </c>
      <c r="E10525" t="inlineStr">
        <is>
          <t>NORDMALING</t>
        </is>
      </c>
      <c r="G10525" t="n">
        <v>5.4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44505-2024</t>
        </is>
      </c>
      <c r="B10526" s="1" t="n">
        <v>45574.40974537037</v>
      </c>
      <c r="C10526" s="1" t="n">
        <v>46075</v>
      </c>
      <c r="D10526" t="inlineStr">
        <is>
          <t>VÄSTERBOTTENS LÄN</t>
        </is>
      </c>
      <c r="E10526" t="inlineStr">
        <is>
          <t>VILHELMINA</t>
        </is>
      </c>
      <c r="G10526" t="n">
        <v>15.5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23180-2024</t>
        </is>
      </c>
      <c r="B10527" s="1" t="n">
        <v>45450.9444212963</v>
      </c>
      <c r="C10527" s="1" t="n">
        <v>46075</v>
      </c>
      <c r="D10527" t="inlineStr">
        <is>
          <t>VÄSTERBOTTENS LÄN</t>
        </is>
      </c>
      <c r="E10527" t="inlineStr">
        <is>
          <t>VILHELMINA</t>
        </is>
      </c>
      <c r="F10527" t="inlineStr">
        <is>
          <t>SCA</t>
        </is>
      </c>
      <c r="G10527" t="n">
        <v>5.6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23184-2024</t>
        </is>
      </c>
      <c r="B10528" s="1" t="n">
        <v>45450.94480324074</v>
      </c>
      <c r="C10528" s="1" t="n">
        <v>46075</v>
      </c>
      <c r="D10528" t="inlineStr">
        <is>
          <t>VÄSTERBOTTENS LÄN</t>
        </is>
      </c>
      <c r="E10528" t="inlineStr">
        <is>
          <t>BJURHOLM</t>
        </is>
      </c>
      <c r="F10528" t="inlineStr">
        <is>
          <t>SCA</t>
        </is>
      </c>
      <c r="G10528" t="n">
        <v>1.8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61101-2022</t>
        </is>
      </c>
      <c r="B10529" s="1" t="n">
        <v>44915</v>
      </c>
      <c r="C10529" s="1" t="n">
        <v>46075</v>
      </c>
      <c r="D10529" t="inlineStr">
        <is>
          <t>VÄSTERBOTTENS LÄN</t>
        </is>
      </c>
      <c r="E10529" t="inlineStr">
        <is>
          <t>SKELLEFTEÅ</t>
        </is>
      </c>
      <c r="F10529" t="inlineStr">
        <is>
          <t>Sveaskog</t>
        </is>
      </c>
      <c r="G10529" t="n">
        <v>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27698-2021</t>
        </is>
      </c>
      <c r="B10530" s="1" t="n">
        <v>44354.44306712963</v>
      </c>
      <c r="C10530" s="1" t="n">
        <v>46075</v>
      </c>
      <c r="D10530" t="inlineStr">
        <is>
          <t>VÄSTERBOTTENS LÄN</t>
        </is>
      </c>
      <c r="E10530" t="inlineStr">
        <is>
          <t>SKELLEFTEÅ</t>
        </is>
      </c>
      <c r="F10530" t="inlineStr">
        <is>
          <t>Holmen skog AB</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14297-2025</t>
        </is>
      </c>
      <c r="B10531" s="1" t="n">
        <v>45740.68304398148</v>
      </c>
      <c r="C10531" s="1" t="n">
        <v>46075</v>
      </c>
      <c r="D10531" t="inlineStr">
        <is>
          <t>VÄSTERBOTTENS LÄN</t>
        </is>
      </c>
      <c r="E10531" t="inlineStr">
        <is>
          <t>DOROTEA</t>
        </is>
      </c>
      <c r="G10531" t="n">
        <v>6.1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14305-2025</t>
        </is>
      </c>
      <c r="B10532" s="1" t="n">
        <v>45740.69831018519</v>
      </c>
      <c r="C10532" s="1" t="n">
        <v>46075</v>
      </c>
      <c r="D10532" t="inlineStr">
        <is>
          <t>VÄSTERBOTTENS LÄN</t>
        </is>
      </c>
      <c r="E10532" t="inlineStr">
        <is>
          <t>MALÅ</t>
        </is>
      </c>
      <c r="G10532" t="n">
        <v>10.3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6721-2024</t>
        </is>
      </c>
      <c r="B10533" s="1" t="n">
        <v>45342</v>
      </c>
      <c r="C10533" s="1" t="n">
        <v>46075</v>
      </c>
      <c r="D10533" t="inlineStr">
        <is>
          <t>VÄSTERBOTTENS LÄN</t>
        </is>
      </c>
      <c r="E10533" t="inlineStr">
        <is>
          <t>BJURHOLM</t>
        </is>
      </c>
      <c r="G10533" t="n">
        <v>6.6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15906-2023</t>
        </is>
      </c>
      <c r="B10534" s="1" t="n">
        <v>45021</v>
      </c>
      <c r="C10534" s="1" t="n">
        <v>46075</v>
      </c>
      <c r="D10534" t="inlineStr">
        <is>
          <t>VÄSTERBOTTENS LÄN</t>
        </is>
      </c>
      <c r="E10534" t="inlineStr">
        <is>
          <t>SKELLEFTEÅ</t>
        </is>
      </c>
      <c r="G10534" t="n">
        <v>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45311-2024</t>
        </is>
      </c>
      <c r="B10535" s="1" t="n">
        <v>45576.43226851852</v>
      </c>
      <c r="C10535" s="1" t="n">
        <v>46075</v>
      </c>
      <c r="D10535" t="inlineStr">
        <is>
          <t>VÄSTERBOTTENS LÄN</t>
        </is>
      </c>
      <c r="E10535" t="inlineStr">
        <is>
          <t>ÅSELE</t>
        </is>
      </c>
      <c r="F10535" t="inlineStr">
        <is>
          <t>Sveaskog</t>
        </is>
      </c>
      <c r="G10535" t="n">
        <v>1.5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13093-2023</t>
        </is>
      </c>
      <c r="B10536" s="1" t="n">
        <v>45002</v>
      </c>
      <c r="C10536" s="1" t="n">
        <v>46075</v>
      </c>
      <c r="D10536" t="inlineStr">
        <is>
          <t>VÄSTERBOTTENS LÄN</t>
        </is>
      </c>
      <c r="E10536" t="inlineStr">
        <is>
          <t>SORSELE</t>
        </is>
      </c>
      <c r="G10536" t="n">
        <v>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63123-2023</t>
        </is>
      </c>
      <c r="B10537" s="1" t="n">
        <v>45272</v>
      </c>
      <c r="C10537" s="1" t="n">
        <v>46075</v>
      </c>
      <c r="D10537" t="inlineStr">
        <is>
          <t>VÄSTERBOTTENS LÄN</t>
        </is>
      </c>
      <c r="E10537" t="inlineStr">
        <is>
          <t>DOROTEA</t>
        </is>
      </c>
      <c r="G10537" t="n">
        <v>3.7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63877-2023</t>
        </is>
      </c>
      <c r="B10538" s="1" t="n">
        <v>45278</v>
      </c>
      <c r="C10538" s="1" t="n">
        <v>46075</v>
      </c>
      <c r="D10538" t="inlineStr">
        <is>
          <t>VÄSTERBOTTENS LÄN</t>
        </is>
      </c>
      <c r="E10538" t="inlineStr">
        <is>
          <t>VILHELMINA</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18974-2023</t>
        </is>
      </c>
      <c r="B10539" s="1" t="n">
        <v>45044</v>
      </c>
      <c r="C10539" s="1" t="n">
        <v>46075</v>
      </c>
      <c r="D10539" t="inlineStr">
        <is>
          <t>VÄSTERBOTTENS LÄN</t>
        </is>
      </c>
      <c r="E10539" t="inlineStr">
        <is>
          <t>NORSJÖ</t>
        </is>
      </c>
      <c r="G10539" t="n">
        <v>7.6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41710-2024</t>
        </is>
      </c>
      <c r="B10540" s="1" t="n">
        <v>45560.70313657408</v>
      </c>
      <c r="C10540" s="1" t="n">
        <v>46075</v>
      </c>
      <c r="D10540" t="inlineStr">
        <is>
          <t>VÄSTERBOTTENS LÄN</t>
        </is>
      </c>
      <c r="E10540" t="inlineStr">
        <is>
          <t>SKELLEFTEÅ</t>
        </is>
      </c>
      <c r="F10540" t="inlineStr">
        <is>
          <t>Holmen skog AB</t>
        </is>
      </c>
      <c r="G10540" t="n">
        <v>2.8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63188-2023</t>
        </is>
      </c>
      <c r="B10541" s="1" t="n">
        <v>45272</v>
      </c>
      <c r="C10541" s="1" t="n">
        <v>46075</v>
      </c>
      <c r="D10541" t="inlineStr">
        <is>
          <t>VÄSTERBOTTENS LÄN</t>
        </is>
      </c>
      <c r="E10541" t="inlineStr">
        <is>
          <t>UMEÅ</t>
        </is>
      </c>
      <c r="G10541" t="n">
        <v>0.9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35839-2024</t>
        </is>
      </c>
      <c r="B10542" s="1" t="n">
        <v>45532.74556712963</v>
      </c>
      <c r="C10542" s="1" t="n">
        <v>46075</v>
      </c>
      <c r="D10542" t="inlineStr">
        <is>
          <t>VÄSTERBOTTENS LÄN</t>
        </is>
      </c>
      <c r="E10542" t="inlineStr">
        <is>
          <t>VINDELN</t>
        </is>
      </c>
      <c r="G10542" t="n">
        <v>1.2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58856-2024</t>
        </is>
      </c>
      <c r="B10543" s="1" t="n">
        <v>45636.39815972222</v>
      </c>
      <c r="C10543" s="1" t="n">
        <v>46075</v>
      </c>
      <c r="D10543" t="inlineStr">
        <is>
          <t>VÄSTERBOTTENS LÄN</t>
        </is>
      </c>
      <c r="E10543" t="inlineStr">
        <is>
          <t>MALÅ</t>
        </is>
      </c>
      <c r="G10543" t="n">
        <v>1.3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58858-2024</t>
        </is>
      </c>
      <c r="B10544" s="1" t="n">
        <v>45636.39973379629</v>
      </c>
      <c r="C10544" s="1" t="n">
        <v>46075</v>
      </c>
      <c r="D10544" t="inlineStr">
        <is>
          <t>VÄSTERBOTTENS LÄN</t>
        </is>
      </c>
      <c r="E10544" t="inlineStr">
        <is>
          <t>MALÅ</t>
        </is>
      </c>
      <c r="G10544" t="n">
        <v>2.2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8510-2024</t>
        </is>
      </c>
      <c r="B10545" s="1" t="n">
        <v>45351</v>
      </c>
      <c r="C10545" s="1" t="n">
        <v>46075</v>
      </c>
      <c r="D10545" t="inlineStr">
        <is>
          <t>VÄSTERBOTTENS LÄN</t>
        </is>
      </c>
      <c r="E10545" t="inlineStr">
        <is>
          <t>BJURHOLM</t>
        </is>
      </c>
      <c r="G10545" t="n">
        <v>0.4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13493-2025</t>
        </is>
      </c>
      <c r="B10546" s="1" t="n">
        <v>45736.43454861111</v>
      </c>
      <c r="C10546" s="1" t="n">
        <v>46075</v>
      </c>
      <c r="D10546" t="inlineStr">
        <is>
          <t>VÄSTERBOTTENS LÄN</t>
        </is>
      </c>
      <c r="E10546" t="inlineStr">
        <is>
          <t>SKELLEFTEÅ</t>
        </is>
      </c>
      <c r="G10546" t="n">
        <v>1.6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9053-2022</t>
        </is>
      </c>
      <c r="B10547" s="1" t="n">
        <v>44615</v>
      </c>
      <c r="C10547" s="1" t="n">
        <v>46075</v>
      </c>
      <c r="D10547" t="inlineStr">
        <is>
          <t>VÄSTERBOTTENS LÄN</t>
        </is>
      </c>
      <c r="E10547" t="inlineStr">
        <is>
          <t>SKELLEFTEÅ</t>
        </is>
      </c>
      <c r="G10547" t="n">
        <v>2.5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5864-2025</t>
        </is>
      </c>
      <c r="B10548" s="1" t="n">
        <v>45695.35236111111</v>
      </c>
      <c r="C10548" s="1" t="n">
        <v>46075</v>
      </c>
      <c r="D10548" t="inlineStr">
        <is>
          <t>VÄSTERBOTTENS LÄN</t>
        </is>
      </c>
      <c r="E10548" t="inlineStr">
        <is>
          <t>ROBERTSFORS</t>
        </is>
      </c>
      <c r="G10548" t="n">
        <v>2.5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8238-2025</t>
        </is>
      </c>
      <c r="B10549" s="1" t="n">
        <v>45708.47898148148</v>
      </c>
      <c r="C10549" s="1" t="n">
        <v>46075</v>
      </c>
      <c r="D10549" t="inlineStr">
        <is>
          <t>VÄSTERBOTTENS LÄN</t>
        </is>
      </c>
      <c r="E10549" t="inlineStr">
        <is>
          <t>ROBERTSFORS</t>
        </is>
      </c>
      <c r="G10549" t="n">
        <v>4.6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8317-2025</t>
        </is>
      </c>
      <c r="B10550" s="1" t="n">
        <v>45708</v>
      </c>
      <c r="C10550" s="1" t="n">
        <v>46075</v>
      </c>
      <c r="D10550" t="inlineStr">
        <is>
          <t>VÄSTERBOTTENS LÄN</t>
        </is>
      </c>
      <c r="E10550" t="inlineStr">
        <is>
          <t>UMEÅ</t>
        </is>
      </c>
      <c r="F10550" t="inlineStr">
        <is>
          <t>Holmen skog AB</t>
        </is>
      </c>
      <c r="G10550" t="n">
        <v>1.5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58313-2024</t>
        </is>
      </c>
      <c r="B10551" s="1" t="n">
        <v>45632</v>
      </c>
      <c r="C10551" s="1" t="n">
        <v>46075</v>
      </c>
      <c r="D10551" t="inlineStr">
        <is>
          <t>VÄSTERBOTTENS LÄN</t>
        </is>
      </c>
      <c r="E10551" t="inlineStr">
        <is>
          <t>DOROTEA</t>
        </is>
      </c>
      <c r="F10551" t="inlineStr">
        <is>
          <t>SCA</t>
        </is>
      </c>
      <c r="G10551" t="n">
        <v>2.1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58335-2024</t>
        </is>
      </c>
      <c r="B10552" s="1" t="n">
        <v>45632</v>
      </c>
      <c r="C10552" s="1" t="n">
        <v>46075</v>
      </c>
      <c r="D10552" t="inlineStr">
        <is>
          <t>VÄSTERBOTTENS LÄN</t>
        </is>
      </c>
      <c r="E10552" t="inlineStr">
        <is>
          <t>DOROTEA</t>
        </is>
      </c>
      <c r="F10552" t="inlineStr">
        <is>
          <t>SCA</t>
        </is>
      </c>
      <c r="G10552" t="n">
        <v>5.4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50338-2023</t>
        </is>
      </c>
      <c r="B10553" s="1" t="n">
        <v>45216</v>
      </c>
      <c r="C10553" s="1" t="n">
        <v>46075</v>
      </c>
      <c r="D10553" t="inlineStr">
        <is>
          <t>VÄSTERBOTTENS LÄN</t>
        </is>
      </c>
      <c r="E10553" t="inlineStr">
        <is>
          <t>SKELLEFTEÅ</t>
        </is>
      </c>
      <c r="G10553" t="n">
        <v>0.9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34964-2022</t>
        </is>
      </c>
      <c r="B10554" s="1" t="n">
        <v>44796</v>
      </c>
      <c r="C10554" s="1" t="n">
        <v>46075</v>
      </c>
      <c r="D10554" t="inlineStr">
        <is>
          <t>VÄSTERBOTTENS LÄN</t>
        </is>
      </c>
      <c r="E10554" t="inlineStr">
        <is>
          <t>SORSELE</t>
        </is>
      </c>
      <c r="F10554" t="inlineStr">
        <is>
          <t>Sveaskog</t>
        </is>
      </c>
      <c r="G10554" t="n">
        <v>5.8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45846-2024</t>
        </is>
      </c>
      <c r="B10555" s="1" t="n">
        <v>45580.31106481481</v>
      </c>
      <c r="C10555" s="1" t="n">
        <v>46075</v>
      </c>
      <c r="D10555" t="inlineStr">
        <is>
          <t>VÄSTERBOTTENS LÄN</t>
        </is>
      </c>
      <c r="E10555" t="inlineStr">
        <is>
          <t>ROBERTSFORS</t>
        </is>
      </c>
      <c r="G10555" t="n">
        <v>1.5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13190-2025</t>
        </is>
      </c>
      <c r="B10556" s="1" t="n">
        <v>45735.39761574074</v>
      </c>
      <c r="C10556" s="1" t="n">
        <v>46075</v>
      </c>
      <c r="D10556" t="inlineStr">
        <is>
          <t>VÄSTERBOTTENS LÄN</t>
        </is>
      </c>
      <c r="E10556" t="inlineStr">
        <is>
          <t>UMEÅ</t>
        </is>
      </c>
      <c r="G10556" t="n">
        <v>1.2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13197-2025</t>
        </is>
      </c>
      <c r="B10557" s="1" t="n">
        <v>45735</v>
      </c>
      <c r="C10557" s="1" t="n">
        <v>46075</v>
      </c>
      <c r="D10557" t="inlineStr">
        <is>
          <t>VÄSTERBOTTENS LÄN</t>
        </is>
      </c>
      <c r="E10557" t="inlineStr">
        <is>
          <t>UMEÅ</t>
        </is>
      </c>
      <c r="G10557" t="n">
        <v>2.3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29476-2023</t>
        </is>
      </c>
      <c r="B10558" s="1" t="n">
        <v>45106.57149305556</v>
      </c>
      <c r="C10558" s="1" t="n">
        <v>46075</v>
      </c>
      <c r="D10558" t="inlineStr">
        <is>
          <t>VÄSTERBOTTENS LÄN</t>
        </is>
      </c>
      <c r="E10558" t="inlineStr">
        <is>
          <t>VÄNNÄS</t>
        </is>
      </c>
      <c r="G10558" t="n">
        <v>3.8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20011-2024</t>
        </is>
      </c>
      <c r="B10559" s="1" t="n">
        <v>45433.94342592593</v>
      </c>
      <c r="C10559" s="1" t="n">
        <v>46075</v>
      </c>
      <c r="D10559" t="inlineStr">
        <is>
          <t>VÄSTERBOTTENS LÄN</t>
        </is>
      </c>
      <c r="E10559" t="inlineStr">
        <is>
          <t>BJURHOLM</t>
        </is>
      </c>
      <c r="F10559" t="inlineStr">
        <is>
          <t>SCA</t>
        </is>
      </c>
      <c r="G10559" t="n">
        <v>2.9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8917-2022</t>
        </is>
      </c>
      <c r="B10560" s="1" t="n">
        <v>44615</v>
      </c>
      <c r="C10560" s="1" t="n">
        <v>46075</v>
      </c>
      <c r="D10560" t="inlineStr">
        <is>
          <t>VÄSTERBOTTENS LÄN</t>
        </is>
      </c>
      <c r="E10560" t="inlineStr">
        <is>
          <t>NORSJÖ</t>
        </is>
      </c>
      <c r="G10560" t="n">
        <v>1.1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31867-2023</t>
        </is>
      </c>
      <c r="B10561" s="1" t="n">
        <v>45118.61844907407</v>
      </c>
      <c r="C10561" s="1" t="n">
        <v>46075</v>
      </c>
      <c r="D10561" t="inlineStr">
        <is>
          <t>VÄSTERBOTTENS LÄN</t>
        </is>
      </c>
      <c r="E10561" t="inlineStr">
        <is>
          <t>VÄNNÄS</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31869-2023</t>
        </is>
      </c>
      <c r="B10562" s="1" t="n">
        <v>45118.62401620371</v>
      </c>
      <c r="C10562" s="1" t="n">
        <v>46075</v>
      </c>
      <c r="D10562" t="inlineStr">
        <is>
          <t>VÄSTERBOTTENS LÄN</t>
        </is>
      </c>
      <c r="E10562" t="inlineStr">
        <is>
          <t>VÄNNÄS</t>
        </is>
      </c>
      <c r="G10562" t="n">
        <v>2.6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9086-2023</t>
        </is>
      </c>
      <c r="B10563" s="1" t="n">
        <v>44979</v>
      </c>
      <c r="C10563" s="1" t="n">
        <v>46075</v>
      </c>
      <c r="D10563" t="inlineStr">
        <is>
          <t>VÄSTERBOTTENS LÄN</t>
        </is>
      </c>
      <c r="E10563" t="inlineStr">
        <is>
          <t>VÄNNÄS</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27887-2023</t>
        </is>
      </c>
      <c r="B10564" s="1" t="n">
        <v>45098</v>
      </c>
      <c r="C10564" s="1" t="n">
        <v>46075</v>
      </c>
      <c r="D10564" t="inlineStr">
        <is>
          <t>VÄSTERBOTTENS LÄN</t>
        </is>
      </c>
      <c r="E10564" t="inlineStr">
        <is>
          <t>VINDELN</t>
        </is>
      </c>
      <c r="F10564" t="inlineStr">
        <is>
          <t>Sveaskog</t>
        </is>
      </c>
      <c r="G10564" t="n">
        <v>15.3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27898-2023</t>
        </is>
      </c>
      <c r="B10565" s="1" t="n">
        <v>45098</v>
      </c>
      <c r="C10565" s="1" t="n">
        <v>46075</v>
      </c>
      <c r="D10565" t="inlineStr">
        <is>
          <t>VÄSTERBOTTENS LÄN</t>
        </is>
      </c>
      <c r="E10565" t="inlineStr">
        <is>
          <t>NORSJÖ</t>
        </is>
      </c>
      <c r="G10565" t="n">
        <v>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29687-2021</t>
        </is>
      </c>
      <c r="B10566" s="1" t="n">
        <v>44362.37407407408</v>
      </c>
      <c r="C10566" s="1" t="n">
        <v>46075</v>
      </c>
      <c r="D10566" t="inlineStr">
        <is>
          <t>VÄSTERBOTTENS LÄN</t>
        </is>
      </c>
      <c r="E10566" t="inlineStr">
        <is>
          <t>SKELLEFTEÅ</t>
        </is>
      </c>
      <c r="G10566" t="n">
        <v>1.9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1206-2023</t>
        </is>
      </c>
      <c r="B10567" s="1" t="n">
        <v>44930</v>
      </c>
      <c r="C10567" s="1" t="n">
        <v>46075</v>
      </c>
      <c r="D10567" t="inlineStr">
        <is>
          <t>VÄSTERBOTTENS LÄN</t>
        </is>
      </c>
      <c r="E10567" t="inlineStr">
        <is>
          <t>SKELLEFTEÅ</t>
        </is>
      </c>
      <c r="G10567" t="n">
        <v>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41323-2024</t>
        </is>
      </c>
      <c r="B10568" s="1" t="n">
        <v>45559.65309027778</v>
      </c>
      <c r="C10568" s="1" t="n">
        <v>46075</v>
      </c>
      <c r="D10568" t="inlineStr">
        <is>
          <t>VÄSTERBOTTENS LÄN</t>
        </is>
      </c>
      <c r="E10568" t="inlineStr">
        <is>
          <t>NORSJÖ</t>
        </is>
      </c>
      <c r="F10568" t="inlineStr">
        <is>
          <t>Sveaskog</t>
        </is>
      </c>
      <c r="G10568" t="n">
        <v>9.5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17285-2025</t>
        </is>
      </c>
      <c r="B10569" s="1" t="n">
        <v>45756.57349537037</v>
      </c>
      <c r="C10569" s="1" t="n">
        <v>46075</v>
      </c>
      <c r="D10569" t="inlineStr">
        <is>
          <t>VÄSTERBOTTENS LÄN</t>
        </is>
      </c>
      <c r="E10569" t="inlineStr">
        <is>
          <t>ÅSELE</t>
        </is>
      </c>
      <c r="F10569" t="inlineStr">
        <is>
          <t>SCA</t>
        </is>
      </c>
      <c r="G10569" t="n">
        <v>5.9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60616-2024</t>
        </is>
      </c>
      <c r="B10570" s="1" t="n">
        <v>45642</v>
      </c>
      <c r="C10570" s="1" t="n">
        <v>46075</v>
      </c>
      <c r="D10570" t="inlineStr">
        <is>
          <t>VÄSTERBOTTENS LÄN</t>
        </is>
      </c>
      <c r="E10570" t="inlineStr">
        <is>
          <t>MALÅ</t>
        </is>
      </c>
      <c r="G10570" t="n">
        <v>2.4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61542-2024</t>
        </is>
      </c>
      <c r="B10571" s="1" t="n">
        <v>45645</v>
      </c>
      <c r="C10571" s="1" t="n">
        <v>46075</v>
      </c>
      <c r="D10571" t="inlineStr">
        <is>
          <t>VÄSTERBOTTENS LÄN</t>
        </is>
      </c>
      <c r="E10571" t="inlineStr">
        <is>
          <t>ÅSELE</t>
        </is>
      </c>
      <c r="G10571" t="n">
        <v>1.2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17961-2025</t>
        </is>
      </c>
      <c r="B10572" s="1" t="n">
        <v>45761.32622685185</v>
      </c>
      <c r="C10572" s="1" t="n">
        <v>46075</v>
      </c>
      <c r="D10572" t="inlineStr">
        <is>
          <t>VÄSTERBOTTENS LÄN</t>
        </is>
      </c>
      <c r="E10572" t="inlineStr">
        <is>
          <t>SKELLEFTEÅ</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28408-2023</t>
        </is>
      </c>
      <c r="B10573" s="1" t="n">
        <v>45101</v>
      </c>
      <c r="C10573" s="1" t="n">
        <v>46075</v>
      </c>
      <c r="D10573" t="inlineStr">
        <is>
          <t>VÄSTERBOTTENS LÄN</t>
        </is>
      </c>
      <c r="E10573" t="inlineStr">
        <is>
          <t>LYCKSELE</t>
        </is>
      </c>
      <c r="G10573" t="n">
        <v>5.7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11942-2023</t>
        </is>
      </c>
      <c r="B10574" s="1" t="n">
        <v>44995.52376157408</v>
      </c>
      <c r="C10574" s="1" t="n">
        <v>46075</v>
      </c>
      <c r="D10574" t="inlineStr">
        <is>
          <t>VÄSTERBOTTENS LÄN</t>
        </is>
      </c>
      <c r="E10574" t="inlineStr">
        <is>
          <t>SKELLEFTEÅ</t>
        </is>
      </c>
      <c r="F10574" t="inlineStr">
        <is>
          <t>Sveaskog</t>
        </is>
      </c>
      <c r="G10574" t="n">
        <v>2.1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52920-2024</t>
        </is>
      </c>
      <c r="B10575" s="1" t="n">
        <v>45610</v>
      </c>
      <c r="C10575" s="1" t="n">
        <v>46075</v>
      </c>
      <c r="D10575" t="inlineStr">
        <is>
          <t>VÄSTERBOTTENS LÄN</t>
        </is>
      </c>
      <c r="E10575" t="inlineStr">
        <is>
          <t>SKELLEFTEÅ</t>
        </is>
      </c>
      <c r="G10575" t="n">
        <v>1.9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14176-2023</t>
        </is>
      </c>
      <c r="B10576" s="1" t="n">
        <v>45009</v>
      </c>
      <c r="C10576" s="1" t="n">
        <v>46075</v>
      </c>
      <c r="D10576" t="inlineStr">
        <is>
          <t>VÄSTERBOTTENS LÄN</t>
        </is>
      </c>
      <c r="E10576" t="inlineStr">
        <is>
          <t>ROBERTSFORS</t>
        </is>
      </c>
      <c r="G10576" t="n">
        <v>3.2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45770-2024</t>
        </is>
      </c>
      <c r="B10577" s="1" t="n">
        <v>45579.64884259259</v>
      </c>
      <c r="C10577" s="1" t="n">
        <v>46075</v>
      </c>
      <c r="D10577" t="inlineStr">
        <is>
          <t>VÄSTERBOTTENS LÄN</t>
        </is>
      </c>
      <c r="E10577" t="inlineStr">
        <is>
          <t>UMEÅ</t>
        </is>
      </c>
      <c r="G10577" t="n">
        <v>1.2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4056-2023</t>
        </is>
      </c>
      <c r="B10578" s="1" t="n">
        <v>44952</v>
      </c>
      <c r="C10578" s="1" t="n">
        <v>46075</v>
      </c>
      <c r="D10578" t="inlineStr">
        <is>
          <t>VÄSTERBOTTENS LÄN</t>
        </is>
      </c>
      <c r="E10578" t="inlineStr">
        <is>
          <t>LYCKSELE</t>
        </is>
      </c>
      <c r="F10578" t="inlineStr">
        <is>
          <t>Sveaskog</t>
        </is>
      </c>
      <c r="G10578" t="n">
        <v>2.8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15745-2025</t>
        </is>
      </c>
      <c r="B10579" s="1" t="n">
        <v>45748.5515162037</v>
      </c>
      <c r="C10579" s="1" t="n">
        <v>46075</v>
      </c>
      <c r="D10579" t="inlineStr">
        <is>
          <t>VÄSTERBOTTENS LÄN</t>
        </is>
      </c>
      <c r="E10579" t="inlineStr">
        <is>
          <t>SKELLEFTEÅ</t>
        </is>
      </c>
      <c r="G10579" t="n">
        <v>2.5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15750-2025</t>
        </is>
      </c>
      <c r="B10580" s="1" t="n">
        <v>45748.55476851852</v>
      </c>
      <c r="C10580" s="1" t="n">
        <v>46075</v>
      </c>
      <c r="D10580" t="inlineStr">
        <is>
          <t>VÄSTERBOTTENS LÄN</t>
        </is>
      </c>
      <c r="E10580" t="inlineStr">
        <is>
          <t>VINDELN</t>
        </is>
      </c>
      <c r="F10580" t="inlineStr">
        <is>
          <t>Holmen skog AB</t>
        </is>
      </c>
      <c r="G10580" t="n">
        <v>2.4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15777-2025</t>
        </is>
      </c>
      <c r="B10581" s="1" t="n">
        <v>45748</v>
      </c>
      <c r="C10581" s="1" t="n">
        <v>46075</v>
      </c>
      <c r="D10581" t="inlineStr">
        <is>
          <t>VÄSTERBOTTENS LÄN</t>
        </is>
      </c>
      <c r="E10581" t="inlineStr">
        <is>
          <t>ÅSELE</t>
        </is>
      </c>
      <c r="G10581" t="n">
        <v>8.199999999999999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15782-2025</t>
        </is>
      </c>
      <c r="B10582" s="1" t="n">
        <v>45748</v>
      </c>
      <c r="C10582" s="1" t="n">
        <v>46075</v>
      </c>
      <c r="D10582" t="inlineStr">
        <is>
          <t>VÄSTERBOTTENS LÄN</t>
        </is>
      </c>
      <c r="E10582" t="inlineStr">
        <is>
          <t>VILHELMINA</t>
        </is>
      </c>
      <c r="G10582" t="n">
        <v>2.5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54193-2021</t>
        </is>
      </c>
      <c r="B10583" s="1" t="n">
        <v>44470</v>
      </c>
      <c r="C10583" s="1" t="n">
        <v>46075</v>
      </c>
      <c r="D10583" t="inlineStr">
        <is>
          <t>VÄSTERBOTTENS LÄN</t>
        </is>
      </c>
      <c r="E10583" t="inlineStr">
        <is>
          <t>SKELLEFTEÅ</t>
        </is>
      </c>
      <c r="G10583" t="n">
        <v>26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33109-2024</t>
        </is>
      </c>
      <c r="B10584" s="1" t="n">
        <v>45517</v>
      </c>
      <c r="C10584" s="1" t="n">
        <v>46075</v>
      </c>
      <c r="D10584" t="inlineStr">
        <is>
          <t>VÄSTERBOTTENS LÄN</t>
        </is>
      </c>
      <c r="E10584" t="inlineStr">
        <is>
          <t>SKELLEFTEÅ</t>
        </is>
      </c>
      <c r="G10584" t="n">
        <v>0.3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30588-2024</t>
        </is>
      </c>
      <c r="B10585" s="1" t="n">
        <v>45492</v>
      </c>
      <c r="C10585" s="1" t="n">
        <v>46075</v>
      </c>
      <c r="D10585" t="inlineStr">
        <is>
          <t>VÄSTERBOTTENS LÄN</t>
        </is>
      </c>
      <c r="E10585" t="inlineStr">
        <is>
          <t>ÅSELE</t>
        </is>
      </c>
      <c r="F10585" t="inlineStr">
        <is>
          <t>SCA</t>
        </is>
      </c>
      <c r="G10585" t="n">
        <v>1.7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7621-2025</t>
        </is>
      </c>
      <c r="B10586" s="1" t="n">
        <v>45705.71922453704</v>
      </c>
      <c r="C10586" s="1" t="n">
        <v>46075</v>
      </c>
      <c r="D10586" t="inlineStr">
        <is>
          <t>VÄSTERBOTTENS LÄN</t>
        </is>
      </c>
      <c r="E10586" t="inlineStr">
        <is>
          <t>ÅSELE</t>
        </is>
      </c>
      <c r="G10586" t="n">
        <v>5.9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7623-2025</t>
        </is>
      </c>
      <c r="B10587" s="1" t="n">
        <v>45705.72366898148</v>
      </c>
      <c r="C10587" s="1" t="n">
        <v>46075</v>
      </c>
      <c r="D10587" t="inlineStr">
        <is>
          <t>VÄSTERBOTTENS LÄN</t>
        </is>
      </c>
      <c r="E10587" t="inlineStr">
        <is>
          <t>LYCKSELE</t>
        </is>
      </c>
      <c r="G10587" t="n">
        <v>6.5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42478-2024</t>
        </is>
      </c>
      <c r="B10588" s="1" t="n">
        <v>45565.4912962963</v>
      </c>
      <c r="C10588" s="1" t="n">
        <v>46075</v>
      </c>
      <c r="D10588" t="inlineStr">
        <is>
          <t>VÄSTERBOTTENS LÄN</t>
        </is>
      </c>
      <c r="E10588" t="inlineStr">
        <is>
          <t>VILHELMINA</t>
        </is>
      </c>
      <c r="F10588" t="inlineStr">
        <is>
          <t>SCA</t>
        </is>
      </c>
      <c r="G10588" t="n">
        <v>6.6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61730-2024</t>
        </is>
      </c>
      <c r="B10589" s="1" t="n">
        <v>45649</v>
      </c>
      <c r="C10589" s="1" t="n">
        <v>46075</v>
      </c>
      <c r="D10589" t="inlineStr">
        <is>
          <t>VÄSTERBOTTENS LÄN</t>
        </is>
      </c>
      <c r="E10589" t="inlineStr">
        <is>
          <t>BJURHOLM</t>
        </is>
      </c>
      <c r="G10589" t="n">
        <v>2.2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61735-2024</t>
        </is>
      </c>
      <c r="B10590" s="1" t="n">
        <v>45649.3635300926</v>
      </c>
      <c r="C10590" s="1" t="n">
        <v>46075</v>
      </c>
      <c r="D10590" t="inlineStr">
        <is>
          <t>VÄSTERBOTTENS LÄN</t>
        </is>
      </c>
      <c r="E10590" t="inlineStr">
        <is>
          <t>BJURHOLM</t>
        </is>
      </c>
      <c r="G10590" t="n">
        <v>7.8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4138-2024</t>
        </is>
      </c>
      <c r="B10591" s="1" t="n">
        <v>45323</v>
      </c>
      <c r="C10591" s="1" t="n">
        <v>46075</v>
      </c>
      <c r="D10591" t="inlineStr">
        <is>
          <t>VÄSTERBOTTENS LÄN</t>
        </is>
      </c>
      <c r="E10591" t="inlineStr">
        <is>
          <t>SKELLEFTEÅ</t>
        </is>
      </c>
      <c r="G10591" t="n">
        <v>5.6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19422-2023</t>
        </is>
      </c>
      <c r="B10592" s="1" t="n">
        <v>45049</v>
      </c>
      <c r="C10592" s="1" t="n">
        <v>46075</v>
      </c>
      <c r="D10592" t="inlineStr">
        <is>
          <t>VÄSTERBOTTENS LÄN</t>
        </is>
      </c>
      <c r="E10592" t="inlineStr">
        <is>
          <t>SKELLEFTEÅ</t>
        </is>
      </c>
      <c r="G10592" t="n">
        <v>2.3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30733-2024</t>
        </is>
      </c>
      <c r="B10593" s="1" t="n">
        <v>45496.62179398148</v>
      </c>
      <c r="C10593" s="1" t="n">
        <v>46075</v>
      </c>
      <c r="D10593" t="inlineStr">
        <is>
          <t>VÄSTERBOTTENS LÄN</t>
        </is>
      </c>
      <c r="E10593" t="inlineStr">
        <is>
          <t>ROBERTSFORS</t>
        </is>
      </c>
      <c r="F10593" t="inlineStr">
        <is>
          <t>Holmen skog AB</t>
        </is>
      </c>
      <c r="G10593" t="n">
        <v>8.6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21883-2022</t>
        </is>
      </c>
      <c r="B10594" s="1" t="n">
        <v>44711</v>
      </c>
      <c r="C10594" s="1" t="n">
        <v>46075</v>
      </c>
      <c r="D10594" t="inlineStr">
        <is>
          <t>VÄSTERBOTTENS LÄN</t>
        </is>
      </c>
      <c r="E10594" t="inlineStr">
        <is>
          <t>SKELLEFTEÅ</t>
        </is>
      </c>
      <c r="F10594" t="inlineStr">
        <is>
          <t>Holmen skog AB</t>
        </is>
      </c>
      <c r="G10594" t="n">
        <v>9.9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49175-2023</t>
        </is>
      </c>
      <c r="B10595" s="1" t="n">
        <v>45210.55800925926</v>
      </c>
      <c r="C10595" s="1" t="n">
        <v>46075</v>
      </c>
      <c r="D10595" t="inlineStr">
        <is>
          <t>VÄSTERBOTTENS LÄN</t>
        </is>
      </c>
      <c r="E10595" t="inlineStr">
        <is>
          <t>LYCKSELE</t>
        </is>
      </c>
      <c r="G10595" t="n">
        <v>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27110-2024</t>
        </is>
      </c>
      <c r="B10596" s="1" t="n">
        <v>45471.50009259259</v>
      </c>
      <c r="C10596" s="1" t="n">
        <v>46075</v>
      </c>
      <c r="D10596" t="inlineStr">
        <is>
          <t>VÄSTERBOTTENS LÄN</t>
        </is>
      </c>
      <c r="E10596" t="inlineStr">
        <is>
          <t>VÄNNÄS</t>
        </is>
      </c>
      <c r="G10596" t="n">
        <v>0.6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55130-2023</t>
        </is>
      </c>
      <c r="B10597" s="1" t="n">
        <v>45237</v>
      </c>
      <c r="C10597" s="1" t="n">
        <v>46075</v>
      </c>
      <c r="D10597" t="inlineStr">
        <is>
          <t>VÄSTERBOTTENS LÄN</t>
        </is>
      </c>
      <c r="E10597" t="inlineStr">
        <is>
          <t>NORDMALING</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33689-2024</t>
        </is>
      </c>
      <c r="B10598" s="1" t="n">
        <v>45520.51114583333</v>
      </c>
      <c r="C10598" s="1" t="n">
        <v>46075</v>
      </c>
      <c r="D10598" t="inlineStr">
        <is>
          <t>VÄSTERBOTTENS LÄN</t>
        </is>
      </c>
      <c r="E10598" t="inlineStr">
        <is>
          <t>LYCKSELE</t>
        </is>
      </c>
      <c r="F10598" t="inlineStr">
        <is>
          <t>Sveaskog</t>
        </is>
      </c>
      <c r="G10598" t="n">
        <v>3.2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33690-2024</t>
        </is>
      </c>
      <c r="B10599" s="1" t="n">
        <v>45520.51274305556</v>
      </c>
      <c r="C10599" s="1" t="n">
        <v>46075</v>
      </c>
      <c r="D10599" t="inlineStr">
        <is>
          <t>VÄSTERBOTTENS LÄN</t>
        </is>
      </c>
      <c r="E10599" t="inlineStr">
        <is>
          <t>MALÅ</t>
        </is>
      </c>
      <c r="F10599" t="inlineStr">
        <is>
          <t>Sveaskog</t>
        </is>
      </c>
      <c r="G10599" t="n">
        <v>5.7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33701-2024</t>
        </is>
      </c>
      <c r="B10600" s="1" t="n">
        <v>45520.52251157408</v>
      </c>
      <c r="C10600" s="1" t="n">
        <v>46075</v>
      </c>
      <c r="D10600" t="inlineStr">
        <is>
          <t>VÄSTERBOTTENS LÄN</t>
        </is>
      </c>
      <c r="E10600" t="inlineStr">
        <is>
          <t>LYCKSELE</t>
        </is>
      </c>
      <c r="F10600" t="inlineStr">
        <is>
          <t>Sveaskog</t>
        </is>
      </c>
      <c r="G10600" t="n">
        <v>12.1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24944-2022</t>
        </is>
      </c>
      <c r="B10601" s="1" t="n">
        <v>44728</v>
      </c>
      <c r="C10601" s="1" t="n">
        <v>46075</v>
      </c>
      <c r="D10601" t="inlineStr">
        <is>
          <t>VÄSTERBOTTENS LÄN</t>
        </is>
      </c>
      <c r="E10601" t="inlineStr">
        <is>
          <t>NORDMALING</t>
        </is>
      </c>
      <c r="G10601" t="n">
        <v>1.2</v>
      </c>
      <c r="H10601" t="n">
        <v>0</v>
      </c>
      <c r="I10601" t="n">
        <v>0</v>
      </c>
      <c r="J10601" t="n">
        <v>0</v>
      </c>
      <c r="K10601" t="n">
        <v>0</v>
      </c>
      <c r="L10601" t="n">
        <v>0</v>
      </c>
      <c r="M10601" t="n">
        <v>0</v>
      </c>
      <c r="N10601" t="n">
        <v>0</v>
      </c>
      <c r="O10601" t="n">
        <v>0</v>
      </c>
      <c r="P10601" t="n">
        <v>0</v>
      </c>
      <c r="Q10601" t="n">
        <v>0</v>
      </c>
      <c r="R10601" s="2" t="inlineStr"/>
      <c r="U10601">
        <f>HYPERLINK("https://klasma.github.io/Logging_2401/knärot/A 24944-2022 karta knärot.png", "A 24944-2022")</f>
        <v/>
      </c>
      <c r="V10601">
        <f>HYPERLINK("https://klasma.github.io/Logging_2401/klagomål/A 24944-2022 FSC-klagomål.docx", "A 24944-2022")</f>
        <v/>
      </c>
      <c r="W10601">
        <f>HYPERLINK("https://klasma.github.io/Logging_2401/klagomålsmail/A 24944-2022 FSC-klagomål mail.docx", "A 24944-2022")</f>
        <v/>
      </c>
      <c r="X10601">
        <f>HYPERLINK("https://klasma.github.io/Logging_2401/tillsyn/A 24944-2022 tillsynsbegäran.docx", "A 24944-2022")</f>
        <v/>
      </c>
      <c r="Y10601">
        <f>HYPERLINK("https://klasma.github.io/Logging_2401/tillsynsmail/A 24944-2022 tillsynsbegäran mail.docx", "A 24944-2022")</f>
        <v/>
      </c>
    </row>
    <row r="10602" ht="15" customHeight="1">
      <c r="A10602" t="inlineStr">
        <is>
          <t>A 58356-2024</t>
        </is>
      </c>
      <c r="B10602" s="1" t="n">
        <v>45632.65679398148</v>
      </c>
      <c r="C10602" s="1" t="n">
        <v>46075</v>
      </c>
      <c r="D10602" t="inlineStr">
        <is>
          <t>VÄSTERBOTTENS LÄN</t>
        </is>
      </c>
      <c r="E10602" t="inlineStr">
        <is>
          <t>LYCKSELE</t>
        </is>
      </c>
      <c r="F10602" t="inlineStr">
        <is>
          <t>SCA</t>
        </is>
      </c>
      <c r="G10602" t="n">
        <v>10.4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10173-2022</t>
        </is>
      </c>
      <c r="B10603" s="1" t="n">
        <v>44622</v>
      </c>
      <c r="C10603" s="1" t="n">
        <v>46075</v>
      </c>
      <c r="D10603" t="inlineStr">
        <is>
          <t>VÄSTERBOTTENS LÄN</t>
        </is>
      </c>
      <c r="E10603" t="inlineStr">
        <is>
          <t>ROBERTSFORS</t>
        </is>
      </c>
      <c r="F10603" t="inlineStr">
        <is>
          <t>Holmen skog AB</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27881-2022</t>
        </is>
      </c>
      <c r="B10604" s="1" t="n">
        <v>44743</v>
      </c>
      <c r="C10604" s="1" t="n">
        <v>46075</v>
      </c>
      <c r="D10604" t="inlineStr">
        <is>
          <t>VÄSTERBOTTENS LÄN</t>
        </is>
      </c>
      <c r="E10604" t="inlineStr">
        <is>
          <t>VILHELMINA</t>
        </is>
      </c>
      <c r="F10604" t="inlineStr">
        <is>
          <t>Sveaskog</t>
        </is>
      </c>
      <c r="G10604" t="n">
        <v>14.3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28283-2024</t>
        </is>
      </c>
      <c r="B10605" s="1" t="n">
        <v>45477.46223379629</v>
      </c>
      <c r="C10605" s="1" t="n">
        <v>46075</v>
      </c>
      <c r="D10605" t="inlineStr">
        <is>
          <t>VÄSTERBOTTENS LÄN</t>
        </is>
      </c>
      <c r="E10605" t="inlineStr">
        <is>
          <t>SKELLEFTEÅ</t>
        </is>
      </c>
      <c r="G10605" t="n">
        <v>6.2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50018-2024</t>
        </is>
      </c>
      <c r="B10606" s="1" t="n">
        <v>45599</v>
      </c>
      <c r="C10606" s="1" t="n">
        <v>46075</v>
      </c>
      <c r="D10606" t="inlineStr">
        <is>
          <t>VÄSTERBOTTENS LÄN</t>
        </is>
      </c>
      <c r="E10606" t="inlineStr">
        <is>
          <t>LYCKSELE</t>
        </is>
      </c>
      <c r="F10606" t="inlineStr">
        <is>
          <t>Sveaskog</t>
        </is>
      </c>
      <c r="G10606" t="n">
        <v>0.9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50762-2024</t>
        </is>
      </c>
      <c r="B10607" s="1" t="n">
        <v>45602.4377662037</v>
      </c>
      <c r="C10607" s="1" t="n">
        <v>46075</v>
      </c>
      <c r="D10607" t="inlineStr">
        <is>
          <t>VÄSTERBOTTENS LÄN</t>
        </is>
      </c>
      <c r="E10607" t="inlineStr">
        <is>
          <t>BJURHOLM</t>
        </is>
      </c>
      <c r="G10607" t="n">
        <v>4.5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67092-2021</t>
        </is>
      </c>
      <c r="B10608" s="1" t="n">
        <v>44522</v>
      </c>
      <c r="C10608" s="1" t="n">
        <v>46075</v>
      </c>
      <c r="D10608" t="inlineStr">
        <is>
          <t>VÄSTERBOTTENS LÄN</t>
        </is>
      </c>
      <c r="E10608" t="inlineStr">
        <is>
          <t>LYCKSELE</t>
        </is>
      </c>
      <c r="F10608" t="inlineStr">
        <is>
          <t>SCA</t>
        </is>
      </c>
      <c r="G10608" t="n">
        <v>2.7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11989-2023</t>
        </is>
      </c>
      <c r="B10609" s="1" t="n">
        <v>44994</v>
      </c>
      <c r="C10609" s="1" t="n">
        <v>46075</v>
      </c>
      <c r="D10609" t="inlineStr">
        <is>
          <t>VÄSTERBOTTENS LÄN</t>
        </is>
      </c>
      <c r="E10609" t="inlineStr">
        <is>
          <t>SKELLEFTEÅ</t>
        </is>
      </c>
      <c r="G10609" t="n">
        <v>6.8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55500-2024</t>
        </is>
      </c>
      <c r="B10610" s="1" t="n">
        <v>45622.45622685185</v>
      </c>
      <c r="C10610" s="1" t="n">
        <v>46075</v>
      </c>
      <c r="D10610" t="inlineStr">
        <is>
          <t>VÄSTERBOTTENS LÄN</t>
        </is>
      </c>
      <c r="E10610" t="inlineStr">
        <is>
          <t>SKELLEFTEÅ</t>
        </is>
      </c>
      <c r="G10610" t="n">
        <v>11.2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55507-2024</t>
        </is>
      </c>
      <c r="B10611" s="1" t="n">
        <v>45622.46129629629</v>
      </c>
      <c r="C10611" s="1" t="n">
        <v>46075</v>
      </c>
      <c r="D10611" t="inlineStr">
        <is>
          <t>VÄSTERBOTTENS LÄN</t>
        </is>
      </c>
      <c r="E10611" t="inlineStr">
        <is>
          <t>MALÅ</t>
        </is>
      </c>
      <c r="F10611" t="inlineStr">
        <is>
          <t>Sveaskog</t>
        </is>
      </c>
      <c r="G10611" t="n">
        <v>12.5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30425-2024</t>
        </is>
      </c>
      <c r="B10612" s="1" t="n">
        <v>45491.67836805555</v>
      </c>
      <c r="C10612" s="1" t="n">
        <v>46075</v>
      </c>
      <c r="D10612" t="inlineStr">
        <is>
          <t>VÄSTERBOTTENS LÄN</t>
        </is>
      </c>
      <c r="E10612" t="inlineStr">
        <is>
          <t>LYCKSELE</t>
        </is>
      </c>
      <c r="F10612" t="inlineStr">
        <is>
          <t>Sveaskog</t>
        </is>
      </c>
      <c r="G10612" t="n">
        <v>3.9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12359-2024</t>
        </is>
      </c>
      <c r="B10613" s="1" t="n">
        <v>45378.93795138889</v>
      </c>
      <c r="C10613" s="1" t="n">
        <v>46075</v>
      </c>
      <c r="D10613" t="inlineStr">
        <is>
          <t>VÄSTERBOTTENS LÄN</t>
        </is>
      </c>
      <c r="E10613" t="inlineStr">
        <is>
          <t>ÅSELE</t>
        </is>
      </c>
      <c r="F10613" t="inlineStr">
        <is>
          <t>SCA</t>
        </is>
      </c>
      <c r="G10613" t="n">
        <v>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12374-2024</t>
        </is>
      </c>
      <c r="B10614" s="1" t="n">
        <v>45378</v>
      </c>
      <c r="C10614" s="1" t="n">
        <v>46075</v>
      </c>
      <c r="D10614" t="inlineStr">
        <is>
          <t>VÄSTERBOTTENS LÄN</t>
        </is>
      </c>
      <c r="E10614" t="inlineStr">
        <is>
          <t>NORDMALING</t>
        </is>
      </c>
      <c r="G10614" t="n">
        <v>4.4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45673-2023</t>
        </is>
      </c>
      <c r="B10615" s="1" t="n">
        <v>45194</v>
      </c>
      <c r="C10615" s="1" t="n">
        <v>46075</v>
      </c>
      <c r="D10615" t="inlineStr">
        <is>
          <t>VÄSTERBOTTENS LÄN</t>
        </is>
      </c>
      <c r="E10615" t="inlineStr">
        <is>
          <t>VILHELMINA</t>
        </is>
      </c>
      <c r="G10615" t="n">
        <v>13.4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25572-2023</t>
        </is>
      </c>
      <c r="B10616" s="1" t="n">
        <v>45082</v>
      </c>
      <c r="C10616" s="1" t="n">
        <v>46075</v>
      </c>
      <c r="D10616" t="inlineStr">
        <is>
          <t>VÄSTERBOTTENS LÄN</t>
        </is>
      </c>
      <c r="E10616" t="inlineStr">
        <is>
          <t>ROBERTSFORS</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25638-2023</t>
        </is>
      </c>
      <c r="B10617" s="1" t="n">
        <v>45084</v>
      </c>
      <c r="C10617" s="1" t="n">
        <v>46075</v>
      </c>
      <c r="D10617" t="inlineStr">
        <is>
          <t>VÄSTERBOTTENS LÄN</t>
        </is>
      </c>
      <c r="E10617" t="inlineStr">
        <is>
          <t>SKELLEFTEÅ</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11707-2023</t>
        </is>
      </c>
      <c r="B10618" s="1" t="n">
        <v>44992</v>
      </c>
      <c r="C10618" s="1" t="n">
        <v>46075</v>
      </c>
      <c r="D10618" t="inlineStr">
        <is>
          <t>VÄSTERBOTTENS LÄN</t>
        </is>
      </c>
      <c r="E10618" t="inlineStr">
        <is>
          <t>SKELLEFTEÅ</t>
        </is>
      </c>
      <c r="G10618" t="n">
        <v>7.2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21213-2023</t>
        </is>
      </c>
      <c r="B10619" s="1" t="n">
        <v>45058</v>
      </c>
      <c r="C10619" s="1" t="n">
        <v>46075</v>
      </c>
      <c r="D10619" t="inlineStr">
        <is>
          <t>VÄSTERBOTTENS LÄN</t>
        </is>
      </c>
      <c r="E10619" t="inlineStr">
        <is>
          <t>LYCKSELE</t>
        </is>
      </c>
      <c r="G10619" t="n">
        <v>5.7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8878-2024</t>
        </is>
      </c>
      <c r="B10620" s="1" t="n">
        <v>45357</v>
      </c>
      <c r="C10620" s="1" t="n">
        <v>46075</v>
      </c>
      <c r="D10620" t="inlineStr">
        <is>
          <t>VÄSTERBOTTENS LÄN</t>
        </is>
      </c>
      <c r="E10620" t="inlineStr">
        <is>
          <t>ÅSELE</t>
        </is>
      </c>
      <c r="F10620" t="inlineStr">
        <is>
          <t>SCA</t>
        </is>
      </c>
      <c r="G10620" t="n">
        <v>4.8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21666-2024</t>
        </is>
      </c>
      <c r="B10621" s="1" t="n">
        <v>45441.85204861111</v>
      </c>
      <c r="C10621" s="1" t="n">
        <v>46075</v>
      </c>
      <c r="D10621" t="inlineStr">
        <is>
          <t>VÄSTERBOTTENS LÄN</t>
        </is>
      </c>
      <c r="E10621" t="inlineStr">
        <is>
          <t>LYCKSELE</t>
        </is>
      </c>
      <c r="G10621" t="n">
        <v>2.6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21669-2024</t>
        </is>
      </c>
      <c r="B10622" s="1" t="n">
        <v>45442</v>
      </c>
      <c r="C10622" s="1" t="n">
        <v>46075</v>
      </c>
      <c r="D10622" t="inlineStr">
        <is>
          <t>VÄSTERBOTTENS LÄN</t>
        </is>
      </c>
      <c r="E10622" t="inlineStr">
        <is>
          <t>VINDELN</t>
        </is>
      </c>
      <c r="F10622" t="inlineStr">
        <is>
          <t>Holmen skog AB</t>
        </is>
      </c>
      <c r="G10622" t="n">
        <v>3.5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42910-2024</t>
        </is>
      </c>
      <c r="B10623" s="1" t="n">
        <v>45566.94626157408</v>
      </c>
      <c r="C10623" s="1" t="n">
        <v>46075</v>
      </c>
      <c r="D10623" t="inlineStr">
        <is>
          <t>VÄSTERBOTTENS LÄN</t>
        </is>
      </c>
      <c r="E10623" t="inlineStr">
        <is>
          <t>ÅSELE</t>
        </is>
      </c>
      <c r="F10623" t="inlineStr">
        <is>
          <t>Sveaskog</t>
        </is>
      </c>
      <c r="G10623" t="n">
        <v>1.5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14663-2024</t>
        </is>
      </c>
      <c r="B10624" s="1" t="n">
        <v>45397.41376157408</v>
      </c>
      <c r="C10624" s="1" t="n">
        <v>46075</v>
      </c>
      <c r="D10624" t="inlineStr">
        <is>
          <t>VÄSTERBOTTENS LÄN</t>
        </is>
      </c>
      <c r="E10624" t="inlineStr">
        <is>
          <t>SKELLEFTEÅ</t>
        </is>
      </c>
      <c r="G10624" t="n">
        <v>2.5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21607-2022</t>
        </is>
      </c>
      <c r="B10625" s="1" t="n">
        <v>44706.66061342593</v>
      </c>
      <c r="C10625" s="1" t="n">
        <v>46075</v>
      </c>
      <c r="D10625" t="inlineStr">
        <is>
          <t>VÄSTERBOTTENS LÄN</t>
        </is>
      </c>
      <c r="E10625" t="inlineStr">
        <is>
          <t>NORDMALING</t>
        </is>
      </c>
      <c r="G10625" t="n">
        <v>2.7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60591-2024</t>
        </is>
      </c>
      <c r="B10626" s="1" t="n">
        <v>45642</v>
      </c>
      <c r="C10626" s="1" t="n">
        <v>46075</v>
      </c>
      <c r="D10626" t="inlineStr">
        <is>
          <t>VÄSTERBOTTENS LÄN</t>
        </is>
      </c>
      <c r="E10626" t="inlineStr">
        <is>
          <t>MALÅ</t>
        </is>
      </c>
      <c r="G10626" t="n">
        <v>3.5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60597-2024</t>
        </is>
      </c>
      <c r="B10627" s="1" t="n">
        <v>45644.36103009259</v>
      </c>
      <c r="C10627" s="1" t="n">
        <v>46075</v>
      </c>
      <c r="D10627" t="inlineStr">
        <is>
          <t>VÄSTERBOTTENS LÄN</t>
        </is>
      </c>
      <c r="E10627" t="inlineStr">
        <is>
          <t>VINDELN</t>
        </is>
      </c>
      <c r="F10627" t="inlineStr">
        <is>
          <t>Holmen skog AB</t>
        </is>
      </c>
      <c r="G10627" t="n">
        <v>1.6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60604-2024</t>
        </is>
      </c>
      <c r="B10628" s="1" t="n">
        <v>45644.37731481482</v>
      </c>
      <c r="C10628" s="1" t="n">
        <v>46075</v>
      </c>
      <c r="D10628" t="inlineStr">
        <is>
          <t>VÄSTERBOTTENS LÄN</t>
        </is>
      </c>
      <c r="E10628" t="inlineStr">
        <is>
          <t>ROBERTSFORS</t>
        </is>
      </c>
      <c r="G10628" t="n">
        <v>0.4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367-2024</t>
        </is>
      </c>
      <c r="B10629" s="1" t="n">
        <v>45295</v>
      </c>
      <c r="C10629" s="1" t="n">
        <v>46075</v>
      </c>
      <c r="D10629" t="inlineStr">
        <is>
          <t>VÄSTERBOTTENS LÄN</t>
        </is>
      </c>
      <c r="E10629" t="inlineStr">
        <is>
          <t>VILHELMINA</t>
        </is>
      </c>
      <c r="F10629" t="inlineStr">
        <is>
          <t>SCA</t>
        </is>
      </c>
      <c r="G10629" t="n">
        <v>5.4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65178-2023</t>
        </is>
      </c>
      <c r="B10630" s="1" t="n">
        <v>45288.93209490741</v>
      </c>
      <c r="C10630" s="1" t="n">
        <v>46075</v>
      </c>
      <c r="D10630" t="inlineStr">
        <is>
          <t>VÄSTERBOTTENS LÄN</t>
        </is>
      </c>
      <c r="E10630" t="inlineStr">
        <is>
          <t>SKELLEFTEÅ</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52548-2022</t>
        </is>
      </c>
      <c r="B10631" s="1" t="n">
        <v>44874</v>
      </c>
      <c r="C10631" s="1" t="n">
        <v>46075</v>
      </c>
      <c r="D10631" t="inlineStr">
        <is>
          <t>VÄSTERBOTTENS LÄN</t>
        </is>
      </c>
      <c r="E10631" t="inlineStr">
        <is>
          <t>SKELLEFTEÅ</t>
        </is>
      </c>
      <c r="G10631" t="n">
        <v>0.9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7150-2024</t>
        </is>
      </c>
      <c r="B10632" s="1" t="n">
        <v>45344</v>
      </c>
      <c r="C10632" s="1" t="n">
        <v>46075</v>
      </c>
      <c r="D10632" t="inlineStr">
        <is>
          <t>VÄSTERBOTTENS LÄN</t>
        </is>
      </c>
      <c r="E10632" t="inlineStr">
        <is>
          <t>VINDELN</t>
        </is>
      </c>
      <c r="G10632" t="n">
        <v>3.9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8508-2025</t>
        </is>
      </c>
      <c r="B10633" s="1" t="n">
        <v>45709.53199074074</v>
      </c>
      <c r="C10633" s="1" t="n">
        <v>46075</v>
      </c>
      <c r="D10633" t="inlineStr">
        <is>
          <t>VÄSTERBOTTENS LÄN</t>
        </is>
      </c>
      <c r="E10633" t="inlineStr">
        <is>
          <t>SORSELE</t>
        </is>
      </c>
      <c r="F10633" t="inlineStr">
        <is>
          <t>SCA</t>
        </is>
      </c>
      <c r="G10633" t="n">
        <v>4.8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36146-2023</t>
        </is>
      </c>
      <c r="B10634" s="1" t="n">
        <v>45149.59932870371</v>
      </c>
      <c r="C10634" s="1" t="n">
        <v>46075</v>
      </c>
      <c r="D10634" t="inlineStr">
        <is>
          <t>VÄSTERBOTTENS LÄN</t>
        </is>
      </c>
      <c r="E10634" t="inlineStr">
        <is>
          <t>LYCKSELE</t>
        </is>
      </c>
      <c r="G10634" t="n">
        <v>2.3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35284-2023</t>
        </is>
      </c>
      <c r="B10635" s="1" t="n">
        <v>45145</v>
      </c>
      <c r="C10635" s="1" t="n">
        <v>46075</v>
      </c>
      <c r="D10635" t="inlineStr">
        <is>
          <t>VÄSTERBOTTENS LÄN</t>
        </is>
      </c>
      <c r="E10635" t="inlineStr">
        <is>
          <t>LYCKSELE</t>
        </is>
      </c>
      <c r="F10635" t="inlineStr">
        <is>
          <t>SCA</t>
        </is>
      </c>
      <c r="G10635" t="n">
        <v>0.5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35294-2023</t>
        </is>
      </c>
      <c r="B10636" s="1" t="n">
        <v>45145</v>
      </c>
      <c r="C10636" s="1" t="n">
        <v>46075</v>
      </c>
      <c r="D10636" t="inlineStr">
        <is>
          <t>VÄSTERBOTTENS LÄN</t>
        </is>
      </c>
      <c r="E10636" t="inlineStr">
        <is>
          <t>VINDELN</t>
        </is>
      </c>
      <c r="F10636" t="inlineStr">
        <is>
          <t>SCA</t>
        </is>
      </c>
      <c r="G10636" t="n">
        <v>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23126-2022</t>
        </is>
      </c>
      <c r="B10637" s="1" t="n">
        <v>44719</v>
      </c>
      <c r="C10637" s="1" t="n">
        <v>46075</v>
      </c>
      <c r="D10637" t="inlineStr">
        <is>
          <t>VÄSTERBOTTENS LÄN</t>
        </is>
      </c>
      <c r="E10637" t="inlineStr">
        <is>
          <t>SORSELE</t>
        </is>
      </c>
      <c r="G10637" t="n">
        <v>20.7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8726-2023</t>
        </is>
      </c>
      <c r="B10638" s="1" t="n">
        <v>44972</v>
      </c>
      <c r="C10638" s="1" t="n">
        <v>46075</v>
      </c>
      <c r="D10638" t="inlineStr">
        <is>
          <t>VÄSTERBOTTENS LÄN</t>
        </is>
      </c>
      <c r="E10638" t="inlineStr">
        <is>
          <t>VILHELMINA</t>
        </is>
      </c>
      <c r="F10638" t="inlineStr">
        <is>
          <t>Allmännings- och besparingsskogar</t>
        </is>
      </c>
      <c r="G10638" t="n">
        <v>50</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38125-2024</t>
        </is>
      </c>
      <c r="B10639" s="1" t="n">
        <v>45545.40717592592</v>
      </c>
      <c r="C10639" s="1" t="n">
        <v>46075</v>
      </c>
      <c r="D10639" t="inlineStr">
        <is>
          <t>VÄSTERBOTTENS LÄN</t>
        </is>
      </c>
      <c r="E10639" t="inlineStr">
        <is>
          <t>VILHELMINA</t>
        </is>
      </c>
      <c r="F10639" t="inlineStr">
        <is>
          <t>SCA</t>
        </is>
      </c>
      <c r="G10639" t="n">
        <v>3.8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38126-2024</t>
        </is>
      </c>
      <c r="B10640" s="1" t="n">
        <v>45545</v>
      </c>
      <c r="C10640" s="1" t="n">
        <v>46075</v>
      </c>
      <c r="D10640" t="inlineStr">
        <is>
          <t>VÄSTERBOTTENS LÄN</t>
        </is>
      </c>
      <c r="E10640" t="inlineStr">
        <is>
          <t>VILHELMINA</t>
        </is>
      </c>
      <c r="F10640" t="inlineStr">
        <is>
          <t>SCA</t>
        </is>
      </c>
      <c r="G10640" t="n">
        <v>2.6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38130-2024</t>
        </is>
      </c>
      <c r="B10641" s="1" t="n">
        <v>45545</v>
      </c>
      <c r="C10641" s="1" t="n">
        <v>46075</v>
      </c>
      <c r="D10641" t="inlineStr">
        <is>
          <t>VÄSTERBOTTENS LÄN</t>
        </is>
      </c>
      <c r="E10641" t="inlineStr">
        <is>
          <t>VILHELMINA</t>
        </is>
      </c>
      <c r="F10641" t="inlineStr">
        <is>
          <t>SCA</t>
        </is>
      </c>
      <c r="G10641" t="n">
        <v>3.9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51709-2023</t>
        </is>
      </c>
      <c r="B10642" s="1" t="n">
        <v>45215</v>
      </c>
      <c r="C10642" s="1" t="n">
        <v>46075</v>
      </c>
      <c r="D10642" t="inlineStr">
        <is>
          <t>VÄSTERBOTTENS LÄN</t>
        </is>
      </c>
      <c r="E10642" t="inlineStr">
        <is>
          <t>UMEÅ</t>
        </is>
      </c>
      <c r="G10642" t="n">
        <v>2.1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37922-2023</t>
        </is>
      </c>
      <c r="B10643" s="1" t="n">
        <v>45159</v>
      </c>
      <c r="C10643" s="1" t="n">
        <v>46075</v>
      </c>
      <c r="D10643" t="inlineStr">
        <is>
          <t>VÄSTERBOTTENS LÄN</t>
        </is>
      </c>
      <c r="E10643" t="inlineStr">
        <is>
          <t>MALÅ</t>
        </is>
      </c>
      <c r="G10643" t="n">
        <v>9.699999999999999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16212-2023</t>
        </is>
      </c>
      <c r="B10644" s="1" t="n">
        <v>45028</v>
      </c>
      <c r="C10644" s="1" t="n">
        <v>46075</v>
      </c>
      <c r="D10644" t="inlineStr">
        <is>
          <t>VÄSTERBOTTENS LÄN</t>
        </is>
      </c>
      <c r="E10644" t="inlineStr">
        <is>
          <t>NORDMALING</t>
        </is>
      </c>
      <c r="G10644" t="n">
        <v>1.5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50944-2024</t>
        </is>
      </c>
      <c r="B10645" s="1" t="n">
        <v>45602</v>
      </c>
      <c r="C10645" s="1" t="n">
        <v>46075</v>
      </c>
      <c r="D10645" t="inlineStr">
        <is>
          <t>VÄSTERBOTTENS LÄN</t>
        </is>
      </c>
      <c r="E10645" t="inlineStr">
        <is>
          <t>SORSELE</t>
        </is>
      </c>
      <c r="G10645" t="n">
        <v>3.8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50997-2024</t>
        </is>
      </c>
      <c r="B10646" s="1" t="n">
        <v>45603.3777662037</v>
      </c>
      <c r="C10646" s="1" t="n">
        <v>46075</v>
      </c>
      <c r="D10646" t="inlineStr">
        <is>
          <t>VÄSTERBOTTENS LÄN</t>
        </is>
      </c>
      <c r="E10646" t="inlineStr">
        <is>
          <t>VINDELN</t>
        </is>
      </c>
      <c r="F10646" t="inlineStr">
        <is>
          <t>Holmen skog AB</t>
        </is>
      </c>
      <c r="G10646" t="n">
        <v>9.9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22193-2023</t>
        </is>
      </c>
      <c r="B10647" s="1" t="n">
        <v>45069</v>
      </c>
      <c r="C10647" s="1" t="n">
        <v>46075</v>
      </c>
      <c r="D10647" t="inlineStr">
        <is>
          <t>VÄSTERBOTTENS LÄN</t>
        </is>
      </c>
      <c r="E10647" t="inlineStr">
        <is>
          <t>VÄNNÄS</t>
        </is>
      </c>
      <c r="G10647" t="n">
        <v>0.4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5908-2024</t>
        </is>
      </c>
      <c r="B10648" s="1" t="n">
        <v>45335</v>
      </c>
      <c r="C10648" s="1" t="n">
        <v>46075</v>
      </c>
      <c r="D10648" t="inlineStr">
        <is>
          <t>VÄSTERBOTTENS LÄN</t>
        </is>
      </c>
      <c r="E10648" t="inlineStr">
        <is>
          <t>STORUMAN</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18366-2022</t>
        </is>
      </c>
      <c r="B10649" s="1" t="n">
        <v>44685</v>
      </c>
      <c r="C10649" s="1" t="n">
        <v>46075</v>
      </c>
      <c r="D10649" t="inlineStr">
        <is>
          <t>VÄSTERBOTTENS LÄN</t>
        </is>
      </c>
      <c r="E10649" t="inlineStr">
        <is>
          <t>STORUMAN</t>
        </is>
      </c>
      <c r="G10649" t="n">
        <v>19.6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4016-2023</t>
        </is>
      </c>
      <c r="B10650" s="1" t="n">
        <v>44952.54068287037</v>
      </c>
      <c r="C10650" s="1" t="n">
        <v>46075</v>
      </c>
      <c r="D10650" t="inlineStr">
        <is>
          <t>VÄSTERBOTTENS LÄN</t>
        </is>
      </c>
      <c r="E10650" t="inlineStr">
        <is>
          <t>ROBERTSFORS</t>
        </is>
      </c>
      <c r="G10650" t="n">
        <v>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41330-2022</t>
        </is>
      </c>
      <c r="B10651" s="1" t="n">
        <v>44826</v>
      </c>
      <c r="C10651" s="1" t="n">
        <v>46075</v>
      </c>
      <c r="D10651" t="inlineStr">
        <is>
          <t>VÄSTERBOTTENS LÄN</t>
        </is>
      </c>
      <c r="E10651" t="inlineStr">
        <is>
          <t>VILHELMINA</t>
        </is>
      </c>
      <c r="G10651" t="n">
        <v>3.4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4568-2024</t>
        </is>
      </c>
      <c r="B10652" s="1" t="n">
        <v>45327</v>
      </c>
      <c r="C10652" s="1" t="n">
        <v>46075</v>
      </c>
      <c r="D10652" t="inlineStr">
        <is>
          <t>VÄSTERBOTTENS LÄN</t>
        </is>
      </c>
      <c r="E10652" t="inlineStr">
        <is>
          <t>VINDELN</t>
        </is>
      </c>
      <c r="G10652" t="n">
        <v>2.9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9259-2025</t>
        </is>
      </c>
      <c r="B10653" s="1" t="n">
        <v>45714</v>
      </c>
      <c r="C10653" s="1" t="n">
        <v>46075</v>
      </c>
      <c r="D10653" t="inlineStr">
        <is>
          <t>VÄSTERBOTTENS LÄN</t>
        </is>
      </c>
      <c r="E10653" t="inlineStr">
        <is>
          <t>ÅSELE</t>
        </is>
      </c>
      <c r="G10653" t="n">
        <v>1.3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9272-2025</t>
        </is>
      </c>
      <c r="B10654" s="1" t="n">
        <v>45714</v>
      </c>
      <c r="C10654" s="1" t="n">
        <v>46075</v>
      </c>
      <c r="D10654" t="inlineStr">
        <is>
          <t>VÄSTERBOTTENS LÄN</t>
        </is>
      </c>
      <c r="E10654" t="inlineStr">
        <is>
          <t>UMEÅ</t>
        </is>
      </c>
      <c r="F10654" t="inlineStr">
        <is>
          <t>Holmen skog AB</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38350-2024</t>
        </is>
      </c>
      <c r="B10655" s="1" t="n">
        <v>45545</v>
      </c>
      <c r="C10655" s="1" t="n">
        <v>46075</v>
      </c>
      <c r="D10655" t="inlineStr">
        <is>
          <t>VÄSTERBOTTENS LÄN</t>
        </is>
      </c>
      <c r="E10655" t="inlineStr">
        <is>
          <t>ÅSELE</t>
        </is>
      </c>
      <c r="F10655" t="inlineStr">
        <is>
          <t>SCA</t>
        </is>
      </c>
      <c r="G10655" t="n">
        <v>2.1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59866-2021</t>
        </is>
      </c>
      <c r="B10656" s="1" t="n">
        <v>44491</v>
      </c>
      <c r="C10656" s="1" t="n">
        <v>46075</v>
      </c>
      <c r="D10656" t="inlineStr">
        <is>
          <t>VÄSTERBOTTENS LÄN</t>
        </is>
      </c>
      <c r="E10656" t="inlineStr">
        <is>
          <t>MALÅ</t>
        </is>
      </c>
      <c r="G10656" t="n">
        <v>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50077-2023</t>
        </is>
      </c>
      <c r="B10657" s="1" t="n">
        <v>45215.57974537037</v>
      </c>
      <c r="C10657" s="1" t="n">
        <v>46075</v>
      </c>
      <c r="D10657" t="inlineStr">
        <is>
          <t>VÄSTERBOTTENS LÄN</t>
        </is>
      </c>
      <c r="E10657" t="inlineStr">
        <is>
          <t>VINDELN</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32647-2024</t>
        </is>
      </c>
      <c r="B10658" s="1" t="n">
        <v>45513.9633912037</v>
      </c>
      <c r="C10658" s="1" t="n">
        <v>46075</v>
      </c>
      <c r="D10658" t="inlineStr">
        <is>
          <t>VÄSTERBOTTENS LÄN</t>
        </is>
      </c>
      <c r="E10658" t="inlineStr">
        <is>
          <t>VINDELN</t>
        </is>
      </c>
      <c r="F10658" t="inlineStr">
        <is>
          <t>SCA</t>
        </is>
      </c>
      <c r="G10658" t="n">
        <v>7.7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54691-2022</t>
        </is>
      </c>
      <c r="B10659" s="1" t="n">
        <v>44881</v>
      </c>
      <c r="C10659" s="1" t="n">
        <v>46075</v>
      </c>
      <c r="D10659" t="inlineStr">
        <is>
          <t>VÄSTERBOTTENS LÄN</t>
        </is>
      </c>
      <c r="E10659" t="inlineStr">
        <is>
          <t>VINDELN</t>
        </is>
      </c>
      <c r="G10659" t="n">
        <v>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33372-2024</t>
        </is>
      </c>
      <c r="B10660" s="1" t="n">
        <v>45519</v>
      </c>
      <c r="C10660" s="1" t="n">
        <v>46075</v>
      </c>
      <c r="D10660" t="inlineStr">
        <is>
          <t>VÄSTERBOTTENS LÄN</t>
        </is>
      </c>
      <c r="E10660" t="inlineStr">
        <is>
          <t>DOROTEA</t>
        </is>
      </c>
      <c r="G10660" t="n">
        <v>8.9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10334-2023</t>
        </is>
      </c>
      <c r="B10661" s="1" t="n">
        <v>44980</v>
      </c>
      <c r="C10661" s="1" t="n">
        <v>46075</v>
      </c>
      <c r="D10661" t="inlineStr">
        <is>
          <t>VÄSTERBOTTENS LÄN</t>
        </is>
      </c>
      <c r="E10661" t="inlineStr">
        <is>
          <t>ROBERTSFORS</t>
        </is>
      </c>
      <c r="G10661" t="n">
        <v>1.2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12825-2023</t>
        </is>
      </c>
      <c r="B10662" s="1" t="n">
        <v>45000</v>
      </c>
      <c r="C10662" s="1" t="n">
        <v>46075</v>
      </c>
      <c r="D10662" t="inlineStr">
        <is>
          <t>VÄSTERBOTTENS LÄN</t>
        </is>
      </c>
      <c r="E10662" t="inlineStr">
        <is>
          <t>VILHELMINA</t>
        </is>
      </c>
      <c r="G10662" t="n">
        <v>22.4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45477-2024</t>
        </is>
      </c>
      <c r="B10663" s="1" t="n">
        <v>45576.83114583333</v>
      </c>
      <c r="C10663" s="1" t="n">
        <v>46075</v>
      </c>
      <c r="D10663" t="inlineStr">
        <is>
          <t>VÄSTERBOTTENS LÄN</t>
        </is>
      </c>
      <c r="E10663" t="inlineStr">
        <is>
          <t>ÅSELE</t>
        </is>
      </c>
      <c r="F10663" t="inlineStr">
        <is>
          <t>Sveaskog</t>
        </is>
      </c>
      <c r="G10663" t="n">
        <v>5.2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4022-2024</t>
        </is>
      </c>
      <c r="B10664" s="1" t="n">
        <v>45323</v>
      </c>
      <c r="C10664" s="1" t="n">
        <v>46075</v>
      </c>
      <c r="D10664" t="inlineStr">
        <is>
          <t>VÄSTERBOTTENS LÄN</t>
        </is>
      </c>
      <c r="E10664" t="inlineStr">
        <is>
          <t>SKELLEFTEÅ</t>
        </is>
      </c>
      <c r="G10664" t="n">
        <v>4.7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20510-2024</t>
        </is>
      </c>
      <c r="B10665" s="1" t="n">
        <v>45435.94324074074</v>
      </c>
      <c r="C10665" s="1" t="n">
        <v>46075</v>
      </c>
      <c r="D10665" t="inlineStr">
        <is>
          <t>VÄSTERBOTTENS LÄN</t>
        </is>
      </c>
      <c r="E10665" t="inlineStr">
        <is>
          <t>VILHELMINA</t>
        </is>
      </c>
      <c r="F10665" t="inlineStr">
        <is>
          <t>SCA</t>
        </is>
      </c>
      <c r="G10665" t="n">
        <v>7.7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36763-2023</t>
        </is>
      </c>
      <c r="B10666" s="1" t="n">
        <v>45153</v>
      </c>
      <c r="C10666" s="1" t="n">
        <v>46075</v>
      </c>
      <c r="D10666" t="inlineStr">
        <is>
          <t>VÄSTERBOTTENS LÄN</t>
        </is>
      </c>
      <c r="E10666" t="inlineStr">
        <is>
          <t>DOROTEA</t>
        </is>
      </c>
      <c r="F10666" t="inlineStr">
        <is>
          <t>SCA</t>
        </is>
      </c>
      <c r="G10666" t="n">
        <v>4.2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2488-2023</t>
        </is>
      </c>
      <c r="B10667" s="1" t="n">
        <v>44943</v>
      </c>
      <c r="C10667" s="1" t="n">
        <v>46075</v>
      </c>
      <c r="D10667" t="inlineStr">
        <is>
          <t>VÄSTERBOTTENS LÄN</t>
        </is>
      </c>
      <c r="E10667" t="inlineStr">
        <is>
          <t>VILHELMINA</t>
        </is>
      </c>
      <c r="G10667" t="n">
        <v>69.3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4458-2023</t>
        </is>
      </c>
      <c r="B10668" s="1" t="n">
        <v>44952</v>
      </c>
      <c r="C10668" s="1" t="n">
        <v>46075</v>
      </c>
      <c r="D10668" t="inlineStr">
        <is>
          <t>VÄSTERBOTTENS LÄN</t>
        </is>
      </c>
      <c r="E10668" t="inlineStr">
        <is>
          <t>SKELLEFTEÅ</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50515-2024</t>
        </is>
      </c>
      <c r="B10669" s="1" t="n">
        <v>45601.55185185185</v>
      </c>
      <c r="C10669" s="1" t="n">
        <v>46075</v>
      </c>
      <c r="D10669" t="inlineStr">
        <is>
          <t>VÄSTERBOTTENS LÄN</t>
        </is>
      </c>
      <c r="E10669" t="inlineStr">
        <is>
          <t>SKELLEFTEÅ</t>
        </is>
      </c>
      <c r="F10669" t="inlineStr">
        <is>
          <t>Holmen skog AB</t>
        </is>
      </c>
      <c r="G10669" t="n">
        <v>8.5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50517-2024</t>
        </is>
      </c>
      <c r="B10670" s="1" t="n">
        <v>45601</v>
      </c>
      <c r="C10670" s="1" t="n">
        <v>46075</v>
      </c>
      <c r="D10670" t="inlineStr">
        <is>
          <t>VÄSTERBOTTENS LÄN</t>
        </is>
      </c>
      <c r="E10670" t="inlineStr">
        <is>
          <t>MALÅ</t>
        </is>
      </c>
      <c r="F10670" t="inlineStr">
        <is>
          <t>SCA</t>
        </is>
      </c>
      <c r="G10670" t="n">
        <v>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2090-2024</t>
        </is>
      </c>
      <c r="B10671" s="1" t="n">
        <v>45309.434375</v>
      </c>
      <c r="C10671" s="1" t="n">
        <v>46075</v>
      </c>
      <c r="D10671" t="inlineStr">
        <is>
          <t>VÄSTERBOTTENS LÄN</t>
        </is>
      </c>
      <c r="E10671" t="inlineStr">
        <is>
          <t>SKELLEFTEÅ</t>
        </is>
      </c>
      <c r="F10671" t="inlineStr">
        <is>
          <t>Sveaskog</t>
        </is>
      </c>
      <c r="G10671" t="n">
        <v>2.7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5012-2024</t>
        </is>
      </c>
      <c r="B10672" s="1" t="n">
        <v>45329</v>
      </c>
      <c r="C10672" s="1" t="n">
        <v>46075</v>
      </c>
      <c r="D10672" t="inlineStr">
        <is>
          <t>VÄSTERBOTTENS LÄN</t>
        </is>
      </c>
      <c r="E10672" t="inlineStr">
        <is>
          <t>ÅSELE</t>
        </is>
      </c>
      <c r="F10672" t="inlineStr">
        <is>
          <t>Övriga Aktiebolag</t>
        </is>
      </c>
      <c r="G10672" t="n">
        <v>2.4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34898-2023</t>
        </is>
      </c>
      <c r="B10673" s="1" t="n">
        <v>45141</v>
      </c>
      <c r="C10673" s="1" t="n">
        <v>46075</v>
      </c>
      <c r="D10673" t="inlineStr">
        <is>
          <t>VÄSTERBOTTENS LÄN</t>
        </is>
      </c>
      <c r="E10673" t="inlineStr">
        <is>
          <t>NORDMALING</t>
        </is>
      </c>
      <c r="G10673" t="n">
        <v>1.1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34929-2023</t>
        </is>
      </c>
      <c r="B10674" s="1" t="n">
        <v>45142</v>
      </c>
      <c r="C10674" s="1" t="n">
        <v>46075</v>
      </c>
      <c r="D10674" t="inlineStr">
        <is>
          <t>VÄSTERBOTTENS LÄN</t>
        </is>
      </c>
      <c r="E10674" t="inlineStr">
        <is>
          <t>LYCKSELE</t>
        </is>
      </c>
      <c r="F10674" t="inlineStr">
        <is>
          <t>Sveaskog</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34779-2024</t>
        </is>
      </c>
      <c r="B10675" s="1" t="n">
        <v>45526.63690972222</v>
      </c>
      <c r="C10675" s="1" t="n">
        <v>46075</v>
      </c>
      <c r="D10675" t="inlineStr">
        <is>
          <t>VÄSTERBOTTENS LÄN</t>
        </is>
      </c>
      <c r="E10675" t="inlineStr">
        <is>
          <t>ÅSELE</t>
        </is>
      </c>
      <c r="F10675" t="inlineStr">
        <is>
          <t>SCA</t>
        </is>
      </c>
      <c r="G10675" t="n">
        <v>1.9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706-2024</t>
        </is>
      </c>
      <c r="B10676" s="1" t="n">
        <v>45300</v>
      </c>
      <c r="C10676" s="1" t="n">
        <v>46075</v>
      </c>
      <c r="D10676" t="inlineStr">
        <is>
          <t>VÄSTERBOTTENS LÄN</t>
        </is>
      </c>
      <c r="E10676" t="inlineStr">
        <is>
          <t>VILHELMINA</t>
        </is>
      </c>
      <c r="G10676" t="n">
        <v>2.8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46108-2024</t>
        </is>
      </c>
      <c r="B10677" s="1" t="n">
        <v>45581</v>
      </c>
      <c r="C10677" s="1" t="n">
        <v>46075</v>
      </c>
      <c r="D10677" t="inlineStr">
        <is>
          <t>VÄSTERBOTTENS LÄN</t>
        </is>
      </c>
      <c r="E10677" t="inlineStr">
        <is>
          <t>SKELLEFTEÅ</t>
        </is>
      </c>
      <c r="G10677" t="n">
        <v>2.3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16642-2025</t>
        </is>
      </c>
      <c r="B10678" s="1" t="n">
        <v>45754.37208333334</v>
      </c>
      <c r="C10678" s="1" t="n">
        <v>46075</v>
      </c>
      <c r="D10678" t="inlineStr">
        <is>
          <t>VÄSTERBOTTENS LÄN</t>
        </is>
      </c>
      <c r="E10678" t="inlineStr">
        <is>
          <t>SKELLEFTEÅ</t>
        </is>
      </c>
      <c r="G10678" t="n">
        <v>2.7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2043-2024</t>
        </is>
      </c>
      <c r="B10679" s="1" t="n">
        <v>45308</v>
      </c>
      <c r="C10679" s="1" t="n">
        <v>46075</v>
      </c>
      <c r="D10679" t="inlineStr">
        <is>
          <t>VÄSTERBOTTENS LÄN</t>
        </is>
      </c>
      <c r="E10679" t="inlineStr">
        <is>
          <t>SKELLEFTEÅ</t>
        </is>
      </c>
      <c r="G10679" t="n">
        <v>10.5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16659-2025</t>
        </is>
      </c>
      <c r="B10680" s="1" t="n">
        <v>45754.41245370371</v>
      </c>
      <c r="C10680" s="1" t="n">
        <v>46075</v>
      </c>
      <c r="D10680" t="inlineStr">
        <is>
          <t>VÄSTERBOTTENS LÄN</t>
        </is>
      </c>
      <c r="E10680" t="inlineStr">
        <is>
          <t>NORSJÖ</t>
        </is>
      </c>
      <c r="G10680" t="n">
        <v>3.9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62605-2023</t>
        </is>
      </c>
      <c r="B10681" s="1" t="n">
        <v>45267</v>
      </c>
      <c r="C10681" s="1" t="n">
        <v>46075</v>
      </c>
      <c r="D10681" t="inlineStr">
        <is>
          <t>VÄSTERBOTTENS LÄN</t>
        </is>
      </c>
      <c r="E10681" t="inlineStr">
        <is>
          <t>VINDELN</t>
        </is>
      </c>
      <c r="G10681" t="n">
        <v>7.4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9051-2021</t>
        </is>
      </c>
      <c r="B10682" s="1" t="n">
        <v>44249</v>
      </c>
      <c r="C10682" s="1" t="n">
        <v>46075</v>
      </c>
      <c r="D10682" t="inlineStr">
        <is>
          <t>VÄSTERBOTTENS LÄN</t>
        </is>
      </c>
      <c r="E10682" t="inlineStr">
        <is>
          <t>SKELLEFTEÅ</t>
        </is>
      </c>
      <c r="G10682" t="n">
        <v>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30341-2023</t>
        </is>
      </c>
      <c r="B10683" s="1" t="n">
        <v>45111</v>
      </c>
      <c r="C10683" s="1" t="n">
        <v>46075</v>
      </c>
      <c r="D10683" t="inlineStr">
        <is>
          <t>VÄSTERBOTTENS LÄN</t>
        </is>
      </c>
      <c r="E10683" t="inlineStr">
        <is>
          <t>ROBERTSFORS</t>
        </is>
      </c>
      <c r="F10683" t="inlineStr">
        <is>
          <t>Sveaskog</t>
        </is>
      </c>
      <c r="G10683" t="n">
        <v>13.7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30369-2023</t>
        </is>
      </c>
      <c r="B10684" s="1" t="n">
        <v>45111</v>
      </c>
      <c r="C10684" s="1" t="n">
        <v>46075</v>
      </c>
      <c r="D10684" t="inlineStr">
        <is>
          <t>VÄSTERBOTTENS LÄN</t>
        </is>
      </c>
      <c r="E10684" t="inlineStr">
        <is>
          <t>SKELLEFTEÅ</t>
        </is>
      </c>
      <c r="F10684" t="inlineStr">
        <is>
          <t>Holmen skog AB</t>
        </is>
      </c>
      <c r="G10684" t="n">
        <v>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27939-2024</t>
        </is>
      </c>
      <c r="B10685" s="1" t="n">
        <v>45476</v>
      </c>
      <c r="C10685" s="1" t="n">
        <v>46075</v>
      </c>
      <c r="D10685" t="inlineStr">
        <is>
          <t>VÄSTERBOTTENS LÄN</t>
        </is>
      </c>
      <c r="E10685" t="inlineStr">
        <is>
          <t>ÅSELE</t>
        </is>
      </c>
      <c r="F10685" t="inlineStr">
        <is>
          <t>Sveaskog</t>
        </is>
      </c>
      <c r="G10685" t="n">
        <v>2.1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4104-2023</t>
        </is>
      </c>
      <c r="B10686" s="1" t="n">
        <v>44952</v>
      </c>
      <c r="C10686" s="1" t="n">
        <v>46075</v>
      </c>
      <c r="D10686" t="inlineStr">
        <is>
          <t>VÄSTERBOTTENS LÄN</t>
        </is>
      </c>
      <c r="E10686" t="inlineStr">
        <is>
          <t>SKELLEFTEÅ</t>
        </is>
      </c>
      <c r="F10686" t="inlineStr">
        <is>
          <t>Sveaskog</t>
        </is>
      </c>
      <c r="G10686" t="n">
        <v>1.5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11114-2022</t>
        </is>
      </c>
      <c r="B10687" s="1" t="n">
        <v>44628.925625</v>
      </c>
      <c r="C10687" s="1" t="n">
        <v>46075</v>
      </c>
      <c r="D10687" t="inlineStr">
        <is>
          <t>VÄSTERBOTTENS LÄN</t>
        </is>
      </c>
      <c r="E10687" t="inlineStr">
        <is>
          <t>VILHELMINA</t>
        </is>
      </c>
      <c r="G10687" t="n">
        <v>8.6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59675-2021</t>
        </is>
      </c>
      <c r="B10688" s="1" t="n">
        <v>44494</v>
      </c>
      <c r="C10688" s="1" t="n">
        <v>46075</v>
      </c>
      <c r="D10688" t="inlineStr">
        <is>
          <t>VÄSTERBOTTENS LÄN</t>
        </is>
      </c>
      <c r="E10688" t="inlineStr">
        <is>
          <t>BJURHOLM</t>
        </is>
      </c>
      <c r="G10688" t="n">
        <v>0.1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5373-2023</t>
        </is>
      </c>
      <c r="B10689" s="1" t="n">
        <v>44957</v>
      </c>
      <c r="C10689" s="1" t="n">
        <v>46075</v>
      </c>
      <c r="D10689" t="inlineStr">
        <is>
          <t>VÄSTERBOTTENS LÄN</t>
        </is>
      </c>
      <c r="E10689" t="inlineStr">
        <is>
          <t>SKELLEFTEÅ</t>
        </is>
      </c>
      <c r="G10689" t="n">
        <v>1.3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58575-2023</t>
        </is>
      </c>
      <c r="B10690" s="1" t="n">
        <v>45251.44665509259</v>
      </c>
      <c r="C10690" s="1" t="n">
        <v>46075</v>
      </c>
      <c r="D10690" t="inlineStr">
        <is>
          <t>VÄSTERBOTTENS LÄN</t>
        </is>
      </c>
      <c r="E10690" t="inlineStr">
        <is>
          <t>SKELLEFTEÅ</t>
        </is>
      </c>
      <c r="G10690" t="n">
        <v>1.2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18692-2023</t>
        </is>
      </c>
      <c r="B10691" s="1" t="n">
        <v>45042</v>
      </c>
      <c r="C10691" s="1" t="n">
        <v>46075</v>
      </c>
      <c r="D10691" t="inlineStr">
        <is>
          <t>VÄSTERBOTTENS LÄN</t>
        </is>
      </c>
      <c r="E10691" t="inlineStr">
        <is>
          <t>VILHELMINA</t>
        </is>
      </c>
      <c r="F10691" t="inlineStr">
        <is>
          <t>Allmännings- och besparingsskogar</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29185-2022</t>
        </is>
      </c>
      <c r="B10692" s="1" t="n">
        <v>44750.54626157408</v>
      </c>
      <c r="C10692" s="1" t="n">
        <v>46075</v>
      </c>
      <c r="D10692" t="inlineStr">
        <is>
          <t>VÄSTERBOTTENS LÄN</t>
        </is>
      </c>
      <c r="E10692" t="inlineStr">
        <is>
          <t>LYCKSELE</t>
        </is>
      </c>
      <c r="F10692" t="inlineStr">
        <is>
          <t>Holmen skog AB</t>
        </is>
      </c>
      <c r="G10692" t="n">
        <v>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63390-2023</t>
        </is>
      </c>
      <c r="B10693" s="1" t="n">
        <v>45274</v>
      </c>
      <c r="C10693" s="1" t="n">
        <v>46075</v>
      </c>
      <c r="D10693" t="inlineStr">
        <is>
          <t>VÄSTERBOTTENS LÄN</t>
        </is>
      </c>
      <c r="E10693" t="inlineStr">
        <is>
          <t>ROBERTSFORS</t>
        </is>
      </c>
      <c r="G10693" t="n">
        <v>2.6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21842-2022</t>
        </is>
      </c>
      <c r="B10694" s="1" t="n">
        <v>44711.30804398148</v>
      </c>
      <c r="C10694" s="1" t="n">
        <v>46075</v>
      </c>
      <c r="D10694" t="inlineStr">
        <is>
          <t>VÄSTERBOTTENS LÄN</t>
        </is>
      </c>
      <c r="E10694" t="inlineStr">
        <is>
          <t>SKELLEFTEÅ</t>
        </is>
      </c>
      <c r="G10694" t="n">
        <v>5.4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26626-2024</t>
        </is>
      </c>
      <c r="B10695" s="1" t="n">
        <v>45469.78458333333</v>
      </c>
      <c r="C10695" s="1" t="n">
        <v>46075</v>
      </c>
      <c r="D10695" t="inlineStr">
        <is>
          <t>VÄSTERBOTTENS LÄN</t>
        </is>
      </c>
      <c r="E10695" t="inlineStr">
        <is>
          <t>SKELLEFTEÅ</t>
        </is>
      </c>
      <c r="F10695" t="inlineStr">
        <is>
          <t>Sveaskog</t>
        </is>
      </c>
      <c r="G10695" t="n">
        <v>4.1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13873-2025</t>
        </is>
      </c>
      <c r="B10696" s="1" t="n">
        <v>45737.58700231482</v>
      </c>
      <c r="C10696" s="1" t="n">
        <v>46075</v>
      </c>
      <c r="D10696" t="inlineStr">
        <is>
          <t>VÄSTERBOTTENS LÄN</t>
        </is>
      </c>
      <c r="E10696" t="inlineStr">
        <is>
          <t>VINDELN</t>
        </is>
      </c>
      <c r="G10696" t="n">
        <v>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18861-2024</t>
        </is>
      </c>
      <c r="B10697" s="1" t="n">
        <v>45426</v>
      </c>
      <c r="C10697" s="1" t="n">
        <v>46075</v>
      </c>
      <c r="D10697" t="inlineStr">
        <is>
          <t>VÄSTERBOTTENS LÄN</t>
        </is>
      </c>
      <c r="E10697" t="inlineStr">
        <is>
          <t>UMEÅ</t>
        </is>
      </c>
      <c r="G10697" t="n">
        <v>7.4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41583-2024</t>
        </is>
      </c>
      <c r="B10698" s="1" t="n">
        <v>45560.55664351852</v>
      </c>
      <c r="C10698" s="1" t="n">
        <v>46075</v>
      </c>
      <c r="D10698" t="inlineStr">
        <is>
          <t>VÄSTERBOTTENS LÄN</t>
        </is>
      </c>
      <c r="E10698" t="inlineStr">
        <is>
          <t>ÅSELE</t>
        </is>
      </c>
      <c r="F10698" t="inlineStr">
        <is>
          <t>Holmen skog AB</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33343-2022</t>
        </is>
      </c>
      <c r="B10699" s="1" t="n">
        <v>44788</v>
      </c>
      <c r="C10699" s="1" t="n">
        <v>46075</v>
      </c>
      <c r="D10699" t="inlineStr">
        <is>
          <t>VÄSTERBOTTENS LÄN</t>
        </is>
      </c>
      <c r="E10699" t="inlineStr">
        <is>
          <t>NORDMALING</t>
        </is>
      </c>
      <c r="G10699" t="n">
        <v>2.6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54302-2024</t>
        </is>
      </c>
      <c r="B10700" s="1" t="n">
        <v>45617</v>
      </c>
      <c r="C10700" s="1" t="n">
        <v>46075</v>
      </c>
      <c r="D10700" t="inlineStr">
        <is>
          <t>VÄSTERBOTTENS LÄN</t>
        </is>
      </c>
      <c r="E10700" t="inlineStr">
        <is>
          <t>DOROTEA</t>
        </is>
      </c>
      <c r="G10700" t="n">
        <v>12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44289-2024</t>
        </is>
      </c>
      <c r="B10701" s="1" t="n">
        <v>45573.51078703703</v>
      </c>
      <c r="C10701" s="1" t="n">
        <v>46075</v>
      </c>
      <c r="D10701" t="inlineStr">
        <is>
          <t>VÄSTERBOTTENS LÄN</t>
        </is>
      </c>
      <c r="E10701" t="inlineStr">
        <is>
          <t>LYCKSELE</t>
        </is>
      </c>
      <c r="F10701" t="inlineStr">
        <is>
          <t>SCA</t>
        </is>
      </c>
      <c r="G10701" t="n">
        <v>4.4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8159-2025</t>
        </is>
      </c>
      <c r="B10702" s="1" t="n">
        <v>45708.34431712963</v>
      </c>
      <c r="C10702" s="1" t="n">
        <v>46075</v>
      </c>
      <c r="D10702" t="inlineStr">
        <is>
          <t>VÄSTERBOTTENS LÄN</t>
        </is>
      </c>
      <c r="E10702" t="inlineStr">
        <is>
          <t>NORSJÖ</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60757-2024</t>
        </is>
      </c>
      <c r="B10703" s="1" t="n">
        <v>45642</v>
      </c>
      <c r="C10703" s="1" t="n">
        <v>46075</v>
      </c>
      <c r="D10703" t="inlineStr">
        <is>
          <t>VÄSTERBOTTENS LÄN</t>
        </is>
      </c>
      <c r="E10703" t="inlineStr">
        <is>
          <t>DOROTEA</t>
        </is>
      </c>
      <c r="G10703" t="n">
        <v>11.7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35569-2024</t>
        </is>
      </c>
      <c r="B10704" s="1" t="n">
        <v>45531.6409375</v>
      </c>
      <c r="C10704" s="1" t="n">
        <v>46075</v>
      </c>
      <c r="D10704" t="inlineStr">
        <is>
          <t>VÄSTERBOTTENS LÄN</t>
        </is>
      </c>
      <c r="E10704" t="inlineStr">
        <is>
          <t>LYCKSELE</t>
        </is>
      </c>
      <c r="F10704" t="inlineStr">
        <is>
          <t>Sveaskog</t>
        </is>
      </c>
      <c r="G10704" t="n">
        <v>2.6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14956-2023</t>
        </is>
      </c>
      <c r="B10705" s="1" t="n">
        <v>45014</v>
      </c>
      <c r="C10705" s="1" t="n">
        <v>46075</v>
      </c>
      <c r="D10705" t="inlineStr">
        <is>
          <t>VÄSTERBOTTENS LÄN</t>
        </is>
      </c>
      <c r="E10705" t="inlineStr">
        <is>
          <t>STORUMAN</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16850-2023</t>
        </is>
      </c>
      <c r="B10706" s="1" t="n">
        <v>45029</v>
      </c>
      <c r="C10706" s="1" t="n">
        <v>46075</v>
      </c>
      <c r="D10706" t="inlineStr">
        <is>
          <t>VÄSTERBOTTENS LÄN</t>
        </is>
      </c>
      <c r="E10706" t="inlineStr">
        <is>
          <t>SORSELE</t>
        </is>
      </c>
      <c r="G10706" t="n">
        <v>2.2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48405-2024</t>
        </is>
      </c>
      <c r="B10707" s="1" t="n">
        <v>45590.62112268519</v>
      </c>
      <c r="C10707" s="1" t="n">
        <v>46075</v>
      </c>
      <c r="D10707" t="inlineStr">
        <is>
          <t>VÄSTERBOTTENS LÄN</t>
        </is>
      </c>
      <c r="E10707" t="inlineStr">
        <is>
          <t>LYCKSELE</t>
        </is>
      </c>
      <c r="F10707" t="inlineStr">
        <is>
          <t>Holmen skog AB</t>
        </is>
      </c>
      <c r="G10707" t="n">
        <v>3.2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14043-2024</t>
        </is>
      </c>
      <c r="B10708" s="1" t="n">
        <v>45392</v>
      </c>
      <c r="C10708" s="1" t="n">
        <v>46075</v>
      </c>
      <c r="D10708" t="inlineStr">
        <is>
          <t>VÄSTERBOTTENS LÄN</t>
        </is>
      </c>
      <c r="E10708" t="inlineStr">
        <is>
          <t>UMEÅ</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36327-2023</t>
        </is>
      </c>
      <c r="B10709" s="1" t="n">
        <v>45152</v>
      </c>
      <c r="C10709" s="1" t="n">
        <v>46075</v>
      </c>
      <c r="D10709" t="inlineStr">
        <is>
          <t>VÄSTERBOTTENS LÄN</t>
        </is>
      </c>
      <c r="E10709" t="inlineStr">
        <is>
          <t>SKELLEFTEÅ</t>
        </is>
      </c>
      <c r="F10709" t="inlineStr">
        <is>
          <t>Holmen skog AB</t>
        </is>
      </c>
      <c r="G10709" t="n">
        <v>3.5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35952-2023</t>
        </is>
      </c>
      <c r="B10710" s="1" t="n">
        <v>45148</v>
      </c>
      <c r="C10710" s="1" t="n">
        <v>46075</v>
      </c>
      <c r="D10710" t="inlineStr">
        <is>
          <t>VÄSTERBOTTENS LÄN</t>
        </is>
      </c>
      <c r="E10710" t="inlineStr">
        <is>
          <t>SKELLEFTEÅ</t>
        </is>
      </c>
      <c r="G10710" t="n">
        <v>2.1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10911-2024</t>
        </is>
      </c>
      <c r="B10711" s="1" t="n">
        <v>45370</v>
      </c>
      <c r="C10711" s="1" t="n">
        <v>46075</v>
      </c>
      <c r="D10711" t="inlineStr">
        <is>
          <t>VÄSTERBOTTENS LÄN</t>
        </is>
      </c>
      <c r="E10711" t="inlineStr">
        <is>
          <t>SKELLEFTEÅ</t>
        </is>
      </c>
      <c r="G10711" t="n">
        <v>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7897-2022</t>
        </is>
      </c>
      <c r="B10712" s="1" t="n">
        <v>44608</v>
      </c>
      <c r="C10712" s="1" t="n">
        <v>46075</v>
      </c>
      <c r="D10712" t="inlineStr">
        <is>
          <t>VÄSTERBOTTENS LÄN</t>
        </is>
      </c>
      <c r="E10712" t="inlineStr">
        <is>
          <t>BJURHOLM</t>
        </is>
      </c>
      <c r="G10712" t="n">
        <v>17.8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7908-2022</t>
        </is>
      </c>
      <c r="B10713" s="1" t="n">
        <v>44608.66927083334</v>
      </c>
      <c r="C10713" s="1" t="n">
        <v>46075</v>
      </c>
      <c r="D10713" t="inlineStr">
        <is>
          <t>VÄSTERBOTTENS LÄN</t>
        </is>
      </c>
      <c r="E10713" t="inlineStr">
        <is>
          <t>BJURHOLM</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14167-2024</t>
        </is>
      </c>
      <c r="B10714" s="1" t="n">
        <v>45392</v>
      </c>
      <c r="C10714" s="1" t="n">
        <v>46075</v>
      </c>
      <c r="D10714" t="inlineStr">
        <is>
          <t>VÄSTERBOTTENS LÄN</t>
        </is>
      </c>
      <c r="E10714" t="inlineStr">
        <is>
          <t>ÅSELE</t>
        </is>
      </c>
      <c r="F10714" t="inlineStr">
        <is>
          <t>SCA</t>
        </is>
      </c>
      <c r="G10714" t="n">
        <v>6.5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48765-2023</t>
        </is>
      </c>
      <c r="B10715" s="1" t="n">
        <v>45208.94865740741</v>
      </c>
      <c r="C10715" s="1" t="n">
        <v>46075</v>
      </c>
      <c r="D10715" t="inlineStr">
        <is>
          <t>VÄSTERBOTTENS LÄN</t>
        </is>
      </c>
      <c r="E10715" t="inlineStr">
        <is>
          <t>NORSJÖ</t>
        </is>
      </c>
      <c r="F10715" t="inlineStr">
        <is>
          <t>SCA</t>
        </is>
      </c>
      <c r="G10715" t="n">
        <v>1.2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18443-2025</t>
        </is>
      </c>
      <c r="B10716" s="1" t="n">
        <v>45762.65668981482</v>
      </c>
      <c r="C10716" s="1" t="n">
        <v>46075</v>
      </c>
      <c r="D10716" t="inlineStr">
        <is>
          <t>VÄSTERBOTTENS LÄN</t>
        </is>
      </c>
      <c r="E10716" t="inlineStr">
        <is>
          <t>SKELLEFTEÅ</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4921-2024</t>
        </is>
      </c>
      <c r="B10717" s="1" t="n">
        <v>45329</v>
      </c>
      <c r="C10717" s="1" t="n">
        <v>46075</v>
      </c>
      <c r="D10717" t="inlineStr">
        <is>
          <t>VÄSTERBOTTENS LÄN</t>
        </is>
      </c>
      <c r="E10717" t="inlineStr">
        <is>
          <t>ÅSELE</t>
        </is>
      </c>
      <c r="F10717" t="inlineStr">
        <is>
          <t>Övriga Aktiebolag</t>
        </is>
      </c>
      <c r="G10717" t="n">
        <v>7.9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51826-2023</t>
        </is>
      </c>
      <c r="B10718" s="1" t="n">
        <v>45222.9678125</v>
      </c>
      <c r="C10718" s="1" t="n">
        <v>46075</v>
      </c>
      <c r="D10718" t="inlineStr">
        <is>
          <t>VÄSTERBOTTENS LÄN</t>
        </is>
      </c>
      <c r="E10718" t="inlineStr">
        <is>
          <t>VILHELMINA</t>
        </is>
      </c>
      <c r="F10718" t="inlineStr">
        <is>
          <t>SCA</t>
        </is>
      </c>
      <c r="G10718" t="n">
        <v>3.2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41661-2024</t>
        </is>
      </c>
      <c r="B10719" s="1" t="n">
        <v>45560.64589120371</v>
      </c>
      <c r="C10719" s="1" t="n">
        <v>46075</v>
      </c>
      <c r="D10719" t="inlineStr">
        <is>
          <t>VÄSTERBOTTENS LÄN</t>
        </is>
      </c>
      <c r="E10719" t="inlineStr">
        <is>
          <t>VINDELN</t>
        </is>
      </c>
      <c r="F10719" t="inlineStr">
        <is>
          <t>Sveaskog</t>
        </is>
      </c>
      <c r="G10719" t="n">
        <v>0.8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51746-2021</t>
        </is>
      </c>
      <c r="B10720" s="1" t="n">
        <v>44462</v>
      </c>
      <c r="C10720" s="1" t="n">
        <v>46075</v>
      </c>
      <c r="D10720" t="inlineStr">
        <is>
          <t>VÄSTERBOTTENS LÄN</t>
        </is>
      </c>
      <c r="E10720" t="inlineStr">
        <is>
          <t>NORDMALING</t>
        </is>
      </c>
      <c r="G10720" t="n">
        <v>2.3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60122-2022</t>
        </is>
      </c>
      <c r="B10721" s="1" t="n">
        <v>44909</v>
      </c>
      <c r="C10721" s="1" t="n">
        <v>46075</v>
      </c>
      <c r="D10721" t="inlineStr">
        <is>
          <t>VÄSTERBOTTENS LÄN</t>
        </is>
      </c>
      <c r="E10721" t="inlineStr">
        <is>
          <t>LYCKSELE</t>
        </is>
      </c>
      <c r="F10721" t="inlineStr">
        <is>
          <t>Sveaskog</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44672-2024</t>
        </is>
      </c>
      <c r="B10722" s="1" t="n">
        <v>45574.53748842593</v>
      </c>
      <c r="C10722" s="1" t="n">
        <v>46075</v>
      </c>
      <c r="D10722" t="inlineStr">
        <is>
          <t>VÄSTERBOTTENS LÄN</t>
        </is>
      </c>
      <c r="E10722" t="inlineStr">
        <is>
          <t>LYCKSELE</t>
        </is>
      </c>
      <c r="F10722" t="inlineStr">
        <is>
          <t>Sveaskog</t>
        </is>
      </c>
      <c r="G10722" t="n">
        <v>11.6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40361-2024</t>
        </is>
      </c>
      <c r="B10723" s="1" t="n">
        <v>45555.37684027778</v>
      </c>
      <c r="C10723" s="1" t="n">
        <v>46075</v>
      </c>
      <c r="D10723" t="inlineStr">
        <is>
          <t>VÄSTERBOTTENS LÄN</t>
        </is>
      </c>
      <c r="E10723" t="inlineStr">
        <is>
          <t>LYCKSELE</t>
        </is>
      </c>
      <c r="G10723" t="n">
        <v>14.7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31648-2024</t>
        </is>
      </c>
      <c r="B10724" s="1" t="n">
        <v>45506.61575231481</v>
      </c>
      <c r="C10724" s="1" t="n">
        <v>46075</v>
      </c>
      <c r="D10724" t="inlineStr">
        <is>
          <t>VÄSTERBOTTENS LÄN</t>
        </is>
      </c>
      <c r="E10724" t="inlineStr">
        <is>
          <t>LYCKSELE</t>
        </is>
      </c>
      <c r="F10724" t="inlineStr">
        <is>
          <t>Sveaskog</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7875-2023</t>
        </is>
      </c>
      <c r="B10725" s="1" t="n">
        <v>44967</v>
      </c>
      <c r="C10725" s="1" t="n">
        <v>46075</v>
      </c>
      <c r="D10725" t="inlineStr">
        <is>
          <t>VÄSTERBOTTENS LÄN</t>
        </is>
      </c>
      <c r="E10725" t="inlineStr">
        <is>
          <t>SKELLEFTEÅ</t>
        </is>
      </c>
      <c r="G10725" t="n">
        <v>0.1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53720-2024</t>
        </is>
      </c>
      <c r="B10726" s="1" t="n">
        <v>45615.43817129629</v>
      </c>
      <c r="C10726" s="1" t="n">
        <v>46075</v>
      </c>
      <c r="D10726" t="inlineStr">
        <is>
          <t>VÄSTERBOTTENS LÄN</t>
        </is>
      </c>
      <c r="E10726" t="inlineStr">
        <is>
          <t>SKELLEFTEÅ</t>
        </is>
      </c>
      <c r="G10726" t="n">
        <v>2.6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32747-2023</t>
        </is>
      </c>
      <c r="B10727" s="1" t="n">
        <v>45122</v>
      </c>
      <c r="C10727" s="1" t="n">
        <v>46075</v>
      </c>
      <c r="D10727" t="inlineStr">
        <is>
          <t>VÄSTERBOTTENS LÄN</t>
        </is>
      </c>
      <c r="E10727" t="inlineStr">
        <is>
          <t>SKELLEFTEÅ</t>
        </is>
      </c>
      <c r="F10727" t="inlineStr">
        <is>
          <t>Holmen skog AB</t>
        </is>
      </c>
      <c r="G10727" t="n">
        <v>2.8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35829-2023</t>
        </is>
      </c>
      <c r="B10728" s="1" t="n">
        <v>45148.47032407407</v>
      </c>
      <c r="C10728" s="1" t="n">
        <v>46075</v>
      </c>
      <c r="D10728" t="inlineStr">
        <is>
          <t>VÄSTERBOTTENS LÄN</t>
        </is>
      </c>
      <c r="E10728" t="inlineStr">
        <is>
          <t>BJURHOLM</t>
        </is>
      </c>
      <c r="F10728" t="inlineStr">
        <is>
          <t>Holmen skog AB</t>
        </is>
      </c>
      <c r="G10728" t="n">
        <v>3.6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35835-2023</t>
        </is>
      </c>
      <c r="B10729" s="1" t="n">
        <v>45148</v>
      </c>
      <c r="C10729" s="1" t="n">
        <v>46075</v>
      </c>
      <c r="D10729" t="inlineStr">
        <is>
          <t>VÄSTERBOTTENS LÄN</t>
        </is>
      </c>
      <c r="E10729" t="inlineStr">
        <is>
          <t>BJURHOLM</t>
        </is>
      </c>
      <c r="F10729" t="inlineStr">
        <is>
          <t>Holmen skog AB</t>
        </is>
      </c>
      <c r="G10729" t="n">
        <v>2.3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38906-2024</t>
        </is>
      </c>
      <c r="B10730" s="1" t="n">
        <v>45547</v>
      </c>
      <c r="C10730" s="1" t="n">
        <v>46075</v>
      </c>
      <c r="D10730" t="inlineStr">
        <is>
          <t>VÄSTERBOTTENS LÄN</t>
        </is>
      </c>
      <c r="E10730" t="inlineStr">
        <is>
          <t>BJURHOLM</t>
        </is>
      </c>
      <c r="F10730" t="inlineStr">
        <is>
          <t>SCA</t>
        </is>
      </c>
      <c r="G10730" t="n">
        <v>2.3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51222-2022</t>
        </is>
      </c>
      <c r="B10731" s="1" t="n">
        <v>44868.63834490741</v>
      </c>
      <c r="C10731" s="1" t="n">
        <v>46075</v>
      </c>
      <c r="D10731" t="inlineStr">
        <is>
          <t>VÄSTERBOTTENS LÄN</t>
        </is>
      </c>
      <c r="E10731" t="inlineStr">
        <is>
          <t>SKELLEFTEÅ</t>
        </is>
      </c>
      <c r="F10731" t="inlineStr">
        <is>
          <t>Holmen skog AB</t>
        </is>
      </c>
      <c r="G10731" t="n">
        <v>16.4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10760-2023</t>
        </is>
      </c>
      <c r="B10732" s="1" t="n">
        <v>44988.92247685185</v>
      </c>
      <c r="C10732" s="1" t="n">
        <v>46075</v>
      </c>
      <c r="D10732" t="inlineStr">
        <is>
          <t>VÄSTERBOTTENS LÄN</t>
        </is>
      </c>
      <c r="E10732" t="inlineStr">
        <is>
          <t>ÅSELE</t>
        </is>
      </c>
      <c r="G10732" t="n">
        <v>0.3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8184-2025</t>
        </is>
      </c>
      <c r="B10733" s="1" t="n">
        <v>45708</v>
      </c>
      <c r="C10733" s="1" t="n">
        <v>46075</v>
      </c>
      <c r="D10733" t="inlineStr">
        <is>
          <t>VÄSTERBOTTENS LÄN</t>
        </is>
      </c>
      <c r="E10733" t="inlineStr">
        <is>
          <t>UMEÅ</t>
        </is>
      </c>
      <c r="F10733" t="inlineStr">
        <is>
          <t>Holmen skog AB</t>
        </is>
      </c>
      <c r="G10733" t="n">
        <v>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10761-2023</t>
        </is>
      </c>
      <c r="B10734" s="1" t="n">
        <v>44988.92252314815</v>
      </c>
      <c r="C10734" s="1" t="n">
        <v>46075</v>
      </c>
      <c r="D10734" t="inlineStr">
        <is>
          <t>VÄSTERBOTTENS LÄN</t>
        </is>
      </c>
      <c r="E10734" t="inlineStr">
        <is>
          <t>ÅSELE</t>
        </is>
      </c>
      <c r="G10734" t="n">
        <v>0.3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8256-2025</t>
        </is>
      </c>
      <c r="B10735" s="1" t="n">
        <v>45708.49795138889</v>
      </c>
      <c r="C10735" s="1" t="n">
        <v>46075</v>
      </c>
      <c r="D10735" t="inlineStr">
        <is>
          <t>VÄSTERBOTTENS LÄN</t>
        </is>
      </c>
      <c r="E10735" t="inlineStr">
        <is>
          <t>ROBERTSFORS</t>
        </is>
      </c>
      <c r="G10735" t="n">
        <v>2.6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35615-2024</t>
        </is>
      </c>
      <c r="B10736" s="1" t="n">
        <v>45531.69771990741</v>
      </c>
      <c r="C10736" s="1" t="n">
        <v>46075</v>
      </c>
      <c r="D10736" t="inlineStr">
        <is>
          <t>VÄSTERBOTTENS LÄN</t>
        </is>
      </c>
      <c r="E10736" t="inlineStr">
        <is>
          <t>VINDELN</t>
        </is>
      </c>
      <c r="F10736" t="inlineStr">
        <is>
          <t>Holmen skog AB</t>
        </is>
      </c>
      <c r="G10736" t="n">
        <v>7.7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35630-2024</t>
        </is>
      </c>
      <c r="B10737" s="1" t="n">
        <v>45531</v>
      </c>
      <c r="C10737" s="1" t="n">
        <v>46075</v>
      </c>
      <c r="D10737" t="inlineStr">
        <is>
          <t>VÄSTERBOTTENS LÄN</t>
        </is>
      </c>
      <c r="E10737" t="inlineStr">
        <is>
          <t>UMEÅ</t>
        </is>
      </c>
      <c r="G10737" t="n">
        <v>4.7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47981-2024</t>
        </is>
      </c>
      <c r="B10738" s="1" t="n">
        <v>45589</v>
      </c>
      <c r="C10738" s="1" t="n">
        <v>46075</v>
      </c>
      <c r="D10738" t="inlineStr">
        <is>
          <t>VÄSTERBOTTENS LÄN</t>
        </is>
      </c>
      <c r="E10738" t="inlineStr">
        <is>
          <t>SORSELE</t>
        </is>
      </c>
      <c r="G10738" t="n">
        <v>6.4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56627-2021</t>
        </is>
      </c>
      <c r="B10739" s="1" t="n">
        <v>44480.84313657408</v>
      </c>
      <c r="C10739" s="1" t="n">
        <v>46075</v>
      </c>
      <c r="D10739" t="inlineStr">
        <is>
          <t>VÄSTERBOTTENS LÄN</t>
        </is>
      </c>
      <c r="E10739" t="inlineStr">
        <is>
          <t>SKELLEFTEÅ</t>
        </is>
      </c>
      <c r="F10739" t="inlineStr">
        <is>
          <t>Sveaskog</t>
        </is>
      </c>
      <c r="G10739" t="n">
        <v>20.1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33854-2024</t>
        </is>
      </c>
      <c r="B10740" s="1" t="n">
        <v>45520.64584490741</v>
      </c>
      <c r="C10740" s="1" t="n">
        <v>46075</v>
      </c>
      <c r="D10740" t="inlineStr">
        <is>
          <t>VÄSTERBOTTENS LÄN</t>
        </is>
      </c>
      <c r="E10740" t="inlineStr">
        <is>
          <t>STORUMAN</t>
        </is>
      </c>
      <c r="F10740" t="inlineStr">
        <is>
          <t>Sveaskog</t>
        </is>
      </c>
      <c r="G10740" t="n">
        <v>8.4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15089-2025</t>
        </is>
      </c>
      <c r="B10741" s="1" t="n">
        <v>45744.32665509259</v>
      </c>
      <c r="C10741" s="1" t="n">
        <v>46075</v>
      </c>
      <c r="D10741" t="inlineStr">
        <is>
          <t>VÄSTERBOTTENS LÄN</t>
        </is>
      </c>
      <c r="E10741" t="inlineStr">
        <is>
          <t>SKELLEFTEÅ</t>
        </is>
      </c>
      <c r="G10741" t="n">
        <v>2.5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23229-2022</t>
        </is>
      </c>
      <c r="B10742" s="1" t="n">
        <v>44719</v>
      </c>
      <c r="C10742" s="1" t="n">
        <v>46075</v>
      </c>
      <c r="D10742" t="inlineStr">
        <is>
          <t>VÄSTERBOTTENS LÄN</t>
        </is>
      </c>
      <c r="E10742" t="inlineStr">
        <is>
          <t>SORSELE</t>
        </is>
      </c>
      <c r="G10742" t="n">
        <v>22.6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35557-2021</t>
        </is>
      </c>
      <c r="B10743" s="1" t="n">
        <v>44385</v>
      </c>
      <c r="C10743" s="1" t="n">
        <v>46075</v>
      </c>
      <c r="D10743" t="inlineStr">
        <is>
          <t>VÄSTERBOTTENS LÄN</t>
        </is>
      </c>
      <c r="E10743" t="inlineStr">
        <is>
          <t>VÄNNÄS</t>
        </is>
      </c>
      <c r="G10743" t="n">
        <v>2.2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10440-2023</t>
        </is>
      </c>
      <c r="B10744" s="1" t="n">
        <v>44987</v>
      </c>
      <c r="C10744" s="1" t="n">
        <v>46075</v>
      </c>
      <c r="D10744" t="inlineStr">
        <is>
          <t>VÄSTERBOTTENS LÄN</t>
        </is>
      </c>
      <c r="E10744" t="inlineStr">
        <is>
          <t>VÄNNÄS</t>
        </is>
      </c>
      <c r="G10744" t="n">
        <v>3.7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37327-2023</t>
        </is>
      </c>
      <c r="B10745" s="1" t="n">
        <v>45154</v>
      </c>
      <c r="C10745" s="1" t="n">
        <v>46075</v>
      </c>
      <c r="D10745" t="inlineStr">
        <is>
          <t>VÄSTERBOTTENS LÄN</t>
        </is>
      </c>
      <c r="E10745" t="inlineStr">
        <is>
          <t>MALÅ</t>
        </is>
      </c>
      <c r="G10745" t="n">
        <v>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57818-2021</t>
        </is>
      </c>
      <c r="B10746" s="1" t="n">
        <v>44484.64653935185</v>
      </c>
      <c r="C10746" s="1" t="n">
        <v>46075</v>
      </c>
      <c r="D10746" t="inlineStr">
        <is>
          <t>VÄSTERBOTTENS LÄN</t>
        </is>
      </c>
      <c r="E10746" t="inlineStr">
        <is>
          <t>LYCKSELE</t>
        </is>
      </c>
      <c r="G10746" t="n">
        <v>5.4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43547-2023</t>
        </is>
      </c>
      <c r="B10747" s="1" t="n">
        <v>45184.56421296296</v>
      </c>
      <c r="C10747" s="1" t="n">
        <v>46075</v>
      </c>
      <c r="D10747" t="inlineStr">
        <is>
          <t>VÄSTERBOTTENS LÄN</t>
        </is>
      </c>
      <c r="E10747" t="inlineStr">
        <is>
          <t>ROBERTSFORS</t>
        </is>
      </c>
      <c r="F10747" t="inlineStr">
        <is>
          <t>Holmen skog AB</t>
        </is>
      </c>
      <c r="G10747" t="n">
        <v>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34857-2024</t>
        </is>
      </c>
      <c r="B10748" s="1" t="n">
        <v>45527.32915509259</v>
      </c>
      <c r="C10748" s="1" t="n">
        <v>46075</v>
      </c>
      <c r="D10748" t="inlineStr">
        <is>
          <t>VÄSTERBOTTENS LÄN</t>
        </is>
      </c>
      <c r="E10748" t="inlineStr">
        <is>
          <t>LYCKSELE</t>
        </is>
      </c>
      <c r="F10748" t="inlineStr">
        <is>
          <t>Sveaskog</t>
        </is>
      </c>
      <c r="G10748" t="n">
        <v>2.3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44777-2023</t>
        </is>
      </c>
      <c r="B10749" s="1" t="n">
        <v>45190</v>
      </c>
      <c r="C10749" s="1" t="n">
        <v>46075</v>
      </c>
      <c r="D10749" t="inlineStr">
        <is>
          <t>VÄSTERBOTTENS LÄN</t>
        </is>
      </c>
      <c r="E10749" t="inlineStr">
        <is>
          <t>BJURHOLM</t>
        </is>
      </c>
      <c r="F10749" t="inlineStr">
        <is>
          <t>Holmen skog AB</t>
        </is>
      </c>
      <c r="G10749" t="n">
        <v>10.7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34945-2024</t>
        </is>
      </c>
      <c r="B10750" s="1" t="n">
        <v>45527.46944444445</v>
      </c>
      <c r="C10750" s="1" t="n">
        <v>46075</v>
      </c>
      <c r="D10750" t="inlineStr">
        <is>
          <t>VÄSTERBOTTENS LÄN</t>
        </is>
      </c>
      <c r="E10750" t="inlineStr">
        <is>
          <t>NORSJÖ</t>
        </is>
      </c>
      <c r="F10750" t="inlineStr">
        <is>
          <t>Holmen skog AB</t>
        </is>
      </c>
      <c r="G10750" t="n">
        <v>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61033-2022</t>
        </is>
      </c>
      <c r="B10751" s="1" t="n">
        <v>44914</v>
      </c>
      <c r="C10751" s="1" t="n">
        <v>46075</v>
      </c>
      <c r="D10751" t="inlineStr">
        <is>
          <t>VÄSTERBOTTENS LÄN</t>
        </is>
      </c>
      <c r="E10751" t="inlineStr">
        <is>
          <t>NORSJÖ</t>
        </is>
      </c>
      <c r="G10751" t="n">
        <v>1.6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45259-2024</t>
        </is>
      </c>
      <c r="B10752" s="1" t="n">
        <v>45576</v>
      </c>
      <c r="C10752" s="1" t="n">
        <v>46075</v>
      </c>
      <c r="D10752" t="inlineStr">
        <is>
          <t>VÄSTERBOTTENS LÄN</t>
        </is>
      </c>
      <c r="E10752" t="inlineStr">
        <is>
          <t>UMEÅ</t>
        </is>
      </c>
      <c r="G10752" t="n">
        <v>5.1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22640-2024</t>
        </is>
      </c>
      <c r="B10753" s="1" t="n">
        <v>45447</v>
      </c>
      <c r="C10753" s="1" t="n">
        <v>46075</v>
      </c>
      <c r="D10753" t="inlineStr">
        <is>
          <t>VÄSTERBOTTENS LÄN</t>
        </is>
      </c>
      <c r="E10753" t="inlineStr">
        <is>
          <t>VINDELN</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34121-2021</t>
        </is>
      </c>
      <c r="B10754" s="1" t="n">
        <v>44379</v>
      </c>
      <c r="C10754" s="1" t="n">
        <v>46075</v>
      </c>
      <c r="D10754" t="inlineStr">
        <is>
          <t>VÄSTERBOTTENS LÄN</t>
        </is>
      </c>
      <c r="E10754" t="inlineStr">
        <is>
          <t>UMEÅ</t>
        </is>
      </c>
      <c r="G10754" t="n">
        <v>2.5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46849-2023</t>
        </is>
      </c>
      <c r="B10755" s="1" t="n">
        <v>45199.87405092592</v>
      </c>
      <c r="C10755" s="1" t="n">
        <v>46075</v>
      </c>
      <c r="D10755" t="inlineStr">
        <is>
          <t>VÄSTERBOTTENS LÄN</t>
        </is>
      </c>
      <c r="E10755" t="inlineStr">
        <is>
          <t>UMEÅ</t>
        </is>
      </c>
      <c r="G10755" t="n">
        <v>1.6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55920-2023</t>
        </is>
      </c>
      <c r="B10756" s="1" t="n">
        <v>45239.96893518518</v>
      </c>
      <c r="C10756" s="1" t="n">
        <v>46075</v>
      </c>
      <c r="D10756" t="inlineStr">
        <is>
          <t>VÄSTERBOTTENS LÄN</t>
        </is>
      </c>
      <c r="E10756" t="inlineStr">
        <is>
          <t>ÅSELE</t>
        </is>
      </c>
      <c r="F10756" t="inlineStr">
        <is>
          <t>SCA</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50680-2024</t>
        </is>
      </c>
      <c r="B10757" s="1" t="n">
        <v>45602</v>
      </c>
      <c r="C10757" s="1" t="n">
        <v>46075</v>
      </c>
      <c r="D10757" t="inlineStr">
        <is>
          <t>VÄSTERBOTTENS LÄN</t>
        </is>
      </c>
      <c r="E10757" t="inlineStr">
        <is>
          <t>BJURHOLM</t>
        </is>
      </c>
      <c r="F10757" t="inlineStr">
        <is>
          <t>Holmen skog AB</t>
        </is>
      </c>
      <c r="G10757" t="n">
        <v>4.8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50805-2023</t>
        </is>
      </c>
      <c r="B10758" s="1" t="n">
        <v>45211</v>
      </c>
      <c r="C10758" s="1" t="n">
        <v>46075</v>
      </c>
      <c r="D10758" t="inlineStr">
        <is>
          <t>VÄSTERBOTTENS LÄN</t>
        </is>
      </c>
      <c r="E10758" t="inlineStr">
        <is>
          <t>VINDELN</t>
        </is>
      </c>
      <c r="G10758" t="n">
        <v>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9740-2023</t>
        </is>
      </c>
      <c r="B10759" s="1" t="n">
        <v>44978</v>
      </c>
      <c r="C10759" s="1" t="n">
        <v>46075</v>
      </c>
      <c r="D10759" t="inlineStr">
        <is>
          <t>VÄSTERBOTTENS LÄN</t>
        </is>
      </c>
      <c r="E10759" t="inlineStr">
        <is>
          <t>SKELLEFTEÅ</t>
        </is>
      </c>
      <c r="G10759" t="n">
        <v>1.1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58838-2023</t>
        </is>
      </c>
      <c r="B10760" s="1" t="n">
        <v>45252.41853009259</v>
      </c>
      <c r="C10760" s="1" t="n">
        <v>46075</v>
      </c>
      <c r="D10760" t="inlineStr">
        <is>
          <t>VÄSTERBOTTENS LÄN</t>
        </is>
      </c>
      <c r="E10760" t="inlineStr">
        <is>
          <t>SKELLEFTEÅ</t>
        </is>
      </c>
      <c r="G10760" t="n">
        <v>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47220-2024</t>
        </is>
      </c>
      <c r="B10761" s="1" t="n">
        <v>45586.66560185186</v>
      </c>
      <c r="C10761" s="1" t="n">
        <v>46075</v>
      </c>
      <c r="D10761" t="inlineStr">
        <is>
          <t>VÄSTERBOTTENS LÄN</t>
        </is>
      </c>
      <c r="E10761" t="inlineStr">
        <is>
          <t>NORSJÖ</t>
        </is>
      </c>
      <c r="F10761" t="inlineStr">
        <is>
          <t>Sveaskog</t>
        </is>
      </c>
      <c r="G10761" t="n">
        <v>6.4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47225-2024</t>
        </is>
      </c>
      <c r="B10762" s="1" t="n">
        <v>45586</v>
      </c>
      <c r="C10762" s="1" t="n">
        <v>46075</v>
      </c>
      <c r="D10762" t="inlineStr">
        <is>
          <t>VÄSTERBOTTENS LÄN</t>
        </is>
      </c>
      <c r="E10762" t="inlineStr">
        <is>
          <t>NORSJÖ</t>
        </is>
      </c>
      <c r="F10762" t="inlineStr">
        <is>
          <t>Sveaskog</t>
        </is>
      </c>
      <c r="G10762" t="n">
        <v>2.3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33682-2024</t>
        </is>
      </c>
      <c r="B10763" s="1" t="n">
        <v>45520.50972222222</v>
      </c>
      <c r="C10763" s="1" t="n">
        <v>46075</v>
      </c>
      <c r="D10763" t="inlineStr">
        <is>
          <t>VÄSTERBOTTENS LÄN</t>
        </is>
      </c>
      <c r="E10763" t="inlineStr">
        <is>
          <t>SORSELE</t>
        </is>
      </c>
      <c r="F10763" t="inlineStr">
        <is>
          <t>Sveaskog</t>
        </is>
      </c>
      <c r="G10763" t="n">
        <v>5.8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33692-2024</t>
        </is>
      </c>
      <c r="B10764" s="1" t="n">
        <v>45520.51524305555</v>
      </c>
      <c r="C10764" s="1" t="n">
        <v>46075</v>
      </c>
      <c r="D10764" t="inlineStr">
        <is>
          <t>VÄSTERBOTTENS LÄN</t>
        </is>
      </c>
      <c r="E10764" t="inlineStr">
        <is>
          <t>MALÅ</t>
        </is>
      </c>
      <c r="F10764" t="inlineStr">
        <is>
          <t>Sveaskog</t>
        </is>
      </c>
      <c r="G10764" t="n">
        <v>1.9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45872-2024</t>
        </is>
      </c>
      <c r="B10765" s="1" t="n">
        <v>45580.37296296296</v>
      </c>
      <c r="C10765" s="1" t="n">
        <v>46075</v>
      </c>
      <c r="D10765" t="inlineStr">
        <is>
          <t>VÄSTERBOTTENS LÄN</t>
        </is>
      </c>
      <c r="E10765" t="inlineStr">
        <is>
          <t>UMEÅ</t>
        </is>
      </c>
      <c r="F10765" t="inlineStr">
        <is>
          <t>Holmen skog AB</t>
        </is>
      </c>
      <c r="G10765" t="n">
        <v>3.4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45927-2024</t>
        </is>
      </c>
      <c r="B10766" s="1" t="n">
        <v>45580</v>
      </c>
      <c r="C10766" s="1" t="n">
        <v>46075</v>
      </c>
      <c r="D10766" t="inlineStr">
        <is>
          <t>VÄSTERBOTTENS LÄN</t>
        </is>
      </c>
      <c r="E10766" t="inlineStr">
        <is>
          <t>ROBERTSFORS</t>
        </is>
      </c>
      <c r="G10766" t="n">
        <v>0.8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45944-2024</t>
        </is>
      </c>
      <c r="B10767" s="1" t="n">
        <v>45580.54452546296</v>
      </c>
      <c r="C10767" s="1" t="n">
        <v>46075</v>
      </c>
      <c r="D10767" t="inlineStr">
        <is>
          <t>VÄSTERBOTTENS LÄN</t>
        </is>
      </c>
      <c r="E10767" t="inlineStr">
        <is>
          <t>NORSJÖ</t>
        </is>
      </c>
      <c r="F10767" t="inlineStr">
        <is>
          <t>Holmen skog AB</t>
        </is>
      </c>
      <c r="G10767" t="n">
        <v>2.6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62405-2022</t>
        </is>
      </c>
      <c r="B10768" s="1" t="n">
        <v>44923</v>
      </c>
      <c r="C10768" s="1" t="n">
        <v>46075</v>
      </c>
      <c r="D10768" t="inlineStr">
        <is>
          <t>VÄSTERBOTTENS LÄN</t>
        </is>
      </c>
      <c r="E10768" t="inlineStr">
        <is>
          <t>VILHELMINA</t>
        </is>
      </c>
      <c r="F10768" t="inlineStr">
        <is>
          <t>SCA</t>
        </is>
      </c>
      <c r="G10768" t="n">
        <v>4.3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48424-2023</t>
        </is>
      </c>
      <c r="B10769" s="1" t="n">
        <v>45205</v>
      </c>
      <c r="C10769" s="1" t="n">
        <v>46075</v>
      </c>
      <c r="D10769" t="inlineStr">
        <is>
          <t>VÄSTERBOTTENS LÄN</t>
        </is>
      </c>
      <c r="E10769" t="inlineStr">
        <is>
          <t>VILHELMINA</t>
        </is>
      </c>
      <c r="F10769" t="inlineStr">
        <is>
          <t>SCA</t>
        </is>
      </c>
      <c r="G10769" t="n">
        <v>3.5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14320-2024</t>
        </is>
      </c>
      <c r="B10770" s="1" t="n">
        <v>45393</v>
      </c>
      <c r="C10770" s="1" t="n">
        <v>46075</v>
      </c>
      <c r="D10770" t="inlineStr">
        <is>
          <t>VÄSTERBOTTENS LÄN</t>
        </is>
      </c>
      <c r="E10770" t="inlineStr">
        <is>
          <t>DOROTEA</t>
        </is>
      </c>
      <c r="G10770" t="n">
        <v>10.2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4478-2023</t>
        </is>
      </c>
      <c r="B10771" s="1" t="n">
        <v>44952</v>
      </c>
      <c r="C10771" s="1" t="n">
        <v>46075</v>
      </c>
      <c r="D10771" t="inlineStr">
        <is>
          <t>VÄSTERBOTTENS LÄN</t>
        </is>
      </c>
      <c r="E10771" t="inlineStr">
        <is>
          <t>ROBERTSFORS</t>
        </is>
      </c>
      <c r="G10771" t="n">
        <v>16.1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14935-2024</t>
        </is>
      </c>
      <c r="B10772" s="1" t="n">
        <v>45399</v>
      </c>
      <c r="C10772" s="1" t="n">
        <v>46075</v>
      </c>
      <c r="D10772" t="inlineStr">
        <is>
          <t>VÄSTERBOTTENS LÄN</t>
        </is>
      </c>
      <c r="E10772" t="inlineStr">
        <is>
          <t>DOROTEA</t>
        </is>
      </c>
      <c r="G10772" t="n">
        <v>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17026-2023</t>
        </is>
      </c>
      <c r="B10773" s="1" t="n">
        <v>45030</v>
      </c>
      <c r="C10773" s="1" t="n">
        <v>46075</v>
      </c>
      <c r="D10773" t="inlineStr">
        <is>
          <t>VÄSTERBOTTENS LÄN</t>
        </is>
      </c>
      <c r="E10773" t="inlineStr">
        <is>
          <t>SKELLEFTEÅ</t>
        </is>
      </c>
      <c r="G10773" t="n">
        <v>7.1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28433-2023</t>
        </is>
      </c>
      <c r="B10774" s="1" t="n">
        <v>45102.60045138889</v>
      </c>
      <c r="C10774" s="1" t="n">
        <v>46075</v>
      </c>
      <c r="D10774" t="inlineStr">
        <is>
          <t>VÄSTERBOTTENS LÄN</t>
        </is>
      </c>
      <c r="E10774" t="inlineStr">
        <is>
          <t>SKELLEFTEÅ</t>
        </is>
      </c>
      <c r="G10774" t="n">
        <v>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20344-2025</t>
        </is>
      </c>
      <c r="B10775" s="1" t="n">
        <v>45775.37510416667</v>
      </c>
      <c r="C10775" s="1" t="n">
        <v>46075</v>
      </c>
      <c r="D10775" t="inlineStr">
        <is>
          <t>VÄSTERBOTTENS LÄN</t>
        </is>
      </c>
      <c r="E10775" t="inlineStr">
        <is>
          <t>LYCKSELE</t>
        </is>
      </c>
      <c r="F10775" t="inlineStr">
        <is>
          <t>Sveaskog</t>
        </is>
      </c>
      <c r="G10775" t="n">
        <v>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59418-2023</t>
        </is>
      </c>
      <c r="B10776" s="1" t="n">
        <v>45253</v>
      </c>
      <c r="C10776" s="1" t="n">
        <v>46075</v>
      </c>
      <c r="D10776" t="inlineStr">
        <is>
          <t>VÄSTERBOTTENS LÄN</t>
        </is>
      </c>
      <c r="E10776" t="inlineStr">
        <is>
          <t>DOROTEA</t>
        </is>
      </c>
      <c r="F10776" t="inlineStr">
        <is>
          <t>SCA</t>
        </is>
      </c>
      <c r="G10776" t="n">
        <v>7.6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15037-2025</t>
        </is>
      </c>
      <c r="B10777" s="1" t="n">
        <v>45743.68226851852</v>
      </c>
      <c r="C10777" s="1" t="n">
        <v>46075</v>
      </c>
      <c r="D10777" t="inlineStr">
        <is>
          <t>VÄSTERBOTTENS LÄN</t>
        </is>
      </c>
      <c r="E10777" t="inlineStr">
        <is>
          <t>LYCKSELE</t>
        </is>
      </c>
      <c r="G10777" t="n">
        <v>12.1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16081-2024</t>
        </is>
      </c>
      <c r="B10778" s="1" t="n">
        <v>45406</v>
      </c>
      <c r="C10778" s="1" t="n">
        <v>46075</v>
      </c>
      <c r="D10778" t="inlineStr">
        <is>
          <t>VÄSTERBOTTENS LÄN</t>
        </is>
      </c>
      <c r="E10778" t="inlineStr">
        <is>
          <t>BJURHOLM</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36150-2024</t>
        </is>
      </c>
      <c r="B10779" s="1" t="n">
        <v>45534.36832175926</v>
      </c>
      <c r="C10779" s="1" t="n">
        <v>46075</v>
      </c>
      <c r="D10779" t="inlineStr">
        <is>
          <t>VÄSTERBOTTENS LÄN</t>
        </is>
      </c>
      <c r="E10779" t="inlineStr">
        <is>
          <t>LYCKSELE</t>
        </is>
      </c>
      <c r="F10779" t="inlineStr">
        <is>
          <t>Holmen skog AB</t>
        </is>
      </c>
      <c r="G10779" t="n">
        <v>1.7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2705-2023</t>
        </is>
      </c>
      <c r="B10780" s="1" t="n">
        <v>44944.52116898148</v>
      </c>
      <c r="C10780" s="1" t="n">
        <v>46075</v>
      </c>
      <c r="D10780" t="inlineStr">
        <is>
          <t>VÄSTERBOTTENS LÄN</t>
        </is>
      </c>
      <c r="E10780" t="inlineStr">
        <is>
          <t>NORSJÖ</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64656-2023</t>
        </is>
      </c>
      <c r="B10781" s="1" t="n">
        <v>45281</v>
      </c>
      <c r="C10781" s="1" t="n">
        <v>46075</v>
      </c>
      <c r="D10781" t="inlineStr">
        <is>
          <t>VÄSTERBOTTENS LÄN</t>
        </is>
      </c>
      <c r="E10781" t="inlineStr">
        <is>
          <t>LYCKSELE</t>
        </is>
      </c>
      <c r="G10781" t="n">
        <v>12.3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28087-2023</t>
        </is>
      </c>
      <c r="B10782" s="1" t="n">
        <v>45099</v>
      </c>
      <c r="C10782" s="1" t="n">
        <v>46075</v>
      </c>
      <c r="D10782" t="inlineStr">
        <is>
          <t>VÄSTERBOTTENS LÄN</t>
        </is>
      </c>
      <c r="E10782" t="inlineStr">
        <is>
          <t>ÅSELE</t>
        </is>
      </c>
      <c r="F10782" t="inlineStr">
        <is>
          <t>Holmen skog AB</t>
        </is>
      </c>
      <c r="G10782" t="n">
        <v>2.3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17996-2024</t>
        </is>
      </c>
      <c r="B10783" s="1" t="n">
        <v>45419</v>
      </c>
      <c r="C10783" s="1" t="n">
        <v>46075</v>
      </c>
      <c r="D10783" t="inlineStr">
        <is>
          <t>VÄSTERBOTTENS LÄN</t>
        </is>
      </c>
      <c r="E10783" t="inlineStr">
        <is>
          <t>VILHELMINA</t>
        </is>
      </c>
      <c r="G10783" t="n">
        <v>5.3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54387-2024</t>
        </is>
      </c>
      <c r="B10784" s="1" t="n">
        <v>45617</v>
      </c>
      <c r="C10784" s="1" t="n">
        <v>46075</v>
      </c>
      <c r="D10784" t="inlineStr">
        <is>
          <t>VÄSTERBOTTENS LÄN</t>
        </is>
      </c>
      <c r="E10784" t="inlineStr">
        <is>
          <t>VILHELMINA</t>
        </is>
      </c>
      <c r="F10784" t="inlineStr">
        <is>
          <t>SCA</t>
        </is>
      </c>
      <c r="G10784" t="n">
        <v>7.6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34480-2024</t>
        </is>
      </c>
      <c r="B10785" s="1" t="n">
        <v>45525.60537037037</v>
      </c>
      <c r="C10785" s="1" t="n">
        <v>46075</v>
      </c>
      <c r="D10785" t="inlineStr">
        <is>
          <t>VÄSTERBOTTENS LÄN</t>
        </is>
      </c>
      <c r="E10785" t="inlineStr">
        <is>
          <t>NORDMALING</t>
        </is>
      </c>
      <c r="G10785" t="n">
        <v>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46224-2023</t>
        </is>
      </c>
      <c r="B10786" s="1" t="n">
        <v>45196</v>
      </c>
      <c r="C10786" s="1" t="n">
        <v>46075</v>
      </c>
      <c r="D10786" t="inlineStr">
        <is>
          <t>VÄSTERBOTTENS LÄN</t>
        </is>
      </c>
      <c r="E10786" t="inlineStr">
        <is>
          <t>ÅSELE</t>
        </is>
      </c>
      <c r="F10786" t="inlineStr">
        <is>
          <t>Naturvårdsverket</t>
        </is>
      </c>
      <c r="G10786" t="n">
        <v>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35881-2024</t>
        </is>
      </c>
      <c r="B10787" s="1" t="n">
        <v>45533.35347222222</v>
      </c>
      <c r="C10787" s="1" t="n">
        <v>46075</v>
      </c>
      <c r="D10787" t="inlineStr">
        <is>
          <t>VÄSTERBOTTENS LÄN</t>
        </is>
      </c>
      <c r="E10787" t="inlineStr">
        <is>
          <t>SKELLEFTEÅ</t>
        </is>
      </c>
      <c r="G10787" t="n">
        <v>0.5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35882-2024</t>
        </is>
      </c>
      <c r="B10788" s="1" t="n">
        <v>45533.35350694445</v>
      </c>
      <c r="C10788" s="1" t="n">
        <v>46075</v>
      </c>
      <c r="D10788" t="inlineStr">
        <is>
          <t>VÄSTERBOTTENS LÄN</t>
        </is>
      </c>
      <c r="E10788" t="inlineStr">
        <is>
          <t>NORDMALING</t>
        </is>
      </c>
      <c r="G10788" t="n">
        <v>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57410-2024</t>
        </is>
      </c>
      <c r="B10789" s="1" t="n">
        <v>45629</v>
      </c>
      <c r="C10789" s="1" t="n">
        <v>46075</v>
      </c>
      <c r="D10789" t="inlineStr">
        <is>
          <t>VÄSTERBOTTENS LÄN</t>
        </is>
      </c>
      <c r="E10789" t="inlineStr">
        <is>
          <t>UMEÅ</t>
        </is>
      </c>
      <c r="G10789" t="n">
        <v>0.7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728-2025</t>
        </is>
      </c>
      <c r="B10790" s="1" t="n">
        <v>45665</v>
      </c>
      <c r="C10790" s="1" t="n">
        <v>46075</v>
      </c>
      <c r="D10790" t="inlineStr">
        <is>
          <t>VÄSTERBOTTENS LÄN</t>
        </is>
      </c>
      <c r="E10790" t="inlineStr">
        <is>
          <t>VINDELN</t>
        </is>
      </c>
      <c r="F10790" t="inlineStr">
        <is>
          <t>SCA</t>
        </is>
      </c>
      <c r="G10790" t="n">
        <v>2.2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34135-2024</t>
        </is>
      </c>
      <c r="B10791" s="1" t="n">
        <v>45524.35605324074</v>
      </c>
      <c r="C10791" s="1" t="n">
        <v>46075</v>
      </c>
      <c r="D10791" t="inlineStr">
        <is>
          <t>VÄSTERBOTTENS LÄN</t>
        </is>
      </c>
      <c r="E10791" t="inlineStr">
        <is>
          <t>VILHELMINA</t>
        </is>
      </c>
      <c r="F10791" t="inlineStr">
        <is>
          <t>Sveaskog</t>
        </is>
      </c>
      <c r="G10791" t="n">
        <v>5.7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52126-2022</t>
        </is>
      </c>
      <c r="B10792" s="1" t="n">
        <v>44873.43465277777</v>
      </c>
      <c r="C10792" s="1" t="n">
        <v>46075</v>
      </c>
      <c r="D10792" t="inlineStr">
        <is>
          <t>VÄSTERBOTTENS LÄN</t>
        </is>
      </c>
      <c r="E10792" t="inlineStr">
        <is>
          <t>UMEÅ</t>
        </is>
      </c>
      <c r="G10792" t="n">
        <v>3.3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34252-2024</t>
        </is>
      </c>
      <c r="B10793" s="1" t="n">
        <v>45524.59075231481</v>
      </c>
      <c r="C10793" s="1" t="n">
        <v>46075</v>
      </c>
      <c r="D10793" t="inlineStr">
        <is>
          <t>VÄSTERBOTTENS LÄN</t>
        </is>
      </c>
      <c r="E10793" t="inlineStr">
        <is>
          <t>NORDMALING</t>
        </is>
      </c>
      <c r="G10793" t="n">
        <v>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52129-2022</t>
        </is>
      </c>
      <c r="B10794" s="1" t="n">
        <v>44868</v>
      </c>
      <c r="C10794" s="1" t="n">
        <v>46075</v>
      </c>
      <c r="D10794" t="inlineStr">
        <is>
          <t>VÄSTERBOTTENS LÄN</t>
        </is>
      </c>
      <c r="E10794" t="inlineStr">
        <is>
          <t>SKELLEFTEÅ</t>
        </is>
      </c>
      <c r="G10794" t="n">
        <v>2.9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57846-2023</t>
        </is>
      </c>
      <c r="B10795" s="1" t="n">
        <v>45247</v>
      </c>
      <c r="C10795" s="1" t="n">
        <v>46075</v>
      </c>
      <c r="D10795" t="inlineStr">
        <is>
          <t>VÄSTERBOTTENS LÄN</t>
        </is>
      </c>
      <c r="E10795" t="inlineStr">
        <is>
          <t>VINDELN</t>
        </is>
      </c>
      <c r="F10795" t="inlineStr">
        <is>
          <t>Sveaskog</t>
        </is>
      </c>
      <c r="G10795" t="n">
        <v>5.3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210-2022</t>
        </is>
      </c>
      <c r="B10796" s="1" t="n">
        <v>44564.80189814815</v>
      </c>
      <c r="C10796" s="1" t="n">
        <v>46075</v>
      </c>
      <c r="D10796" t="inlineStr">
        <is>
          <t>VÄSTERBOTTENS LÄN</t>
        </is>
      </c>
      <c r="E10796" t="inlineStr">
        <is>
          <t>VILHELMINA</t>
        </is>
      </c>
      <c r="G10796" t="n">
        <v>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15183-2024</t>
        </is>
      </c>
      <c r="B10797" s="1" t="n">
        <v>45400</v>
      </c>
      <c r="C10797" s="1" t="n">
        <v>46075</v>
      </c>
      <c r="D10797" t="inlineStr">
        <is>
          <t>VÄSTERBOTTENS LÄN</t>
        </is>
      </c>
      <c r="E10797" t="inlineStr">
        <is>
          <t>SORSELE</t>
        </is>
      </c>
      <c r="G10797" t="n">
        <v>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36268-2023</t>
        </is>
      </c>
      <c r="B10798" s="1" t="n">
        <v>45151.94431712963</v>
      </c>
      <c r="C10798" s="1" t="n">
        <v>46075</v>
      </c>
      <c r="D10798" t="inlineStr">
        <is>
          <t>VÄSTERBOTTENS LÄN</t>
        </is>
      </c>
      <c r="E10798" t="inlineStr">
        <is>
          <t>VINDELN</t>
        </is>
      </c>
      <c r="F10798" t="inlineStr">
        <is>
          <t>SCA</t>
        </is>
      </c>
      <c r="G10798" t="n">
        <v>1.6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37543-2024</t>
        </is>
      </c>
      <c r="B10799" s="1" t="n">
        <v>45541.42739583334</v>
      </c>
      <c r="C10799" s="1" t="n">
        <v>46075</v>
      </c>
      <c r="D10799" t="inlineStr">
        <is>
          <t>VÄSTERBOTTENS LÄN</t>
        </is>
      </c>
      <c r="E10799" t="inlineStr">
        <is>
          <t>VINDELN</t>
        </is>
      </c>
      <c r="F10799" t="inlineStr">
        <is>
          <t>SCA</t>
        </is>
      </c>
      <c r="G10799" t="n">
        <v>0.6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37544-2024</t>
        </is>
      </c>
      <c r="B10800" s="1" t="n">
        <v>45541.42741898148</v>
      </c>
      <c r="C10800" s="1" t="n">
        <v>46075</v>
      </c>
      <c r="D10800" t="inlineStr">
        <is>
          <t>VÄSTERBOTTENS LÄN</t>
        </is>
      </c>
      <c r="E10800" t="inlineStr">
        <is>
          <t>VINDELN</t>
        </is>
      </c>
      <c r="F10800" t="inlineStr">
        <is>
          <t>SCA</t>
        </is>
      </c>
      <c r="G10800" t="n">
        <v>1.9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70195-2021</t>
        </is>
      </c>
      <c r="B10801" s="1" t="n">
        <v>44534.49537037037</v>
      </c>
      <c r="C10801" s="1" t="n">
        <v>46075</v>
      </c>
      <c r="D10801" t="inlineStr">
        <is>
          <t>VÄSTERBOTTENS LÄN</t>
        </is>
      </c>
      <c r="E10801" t="inlineStr">
        <is>
          <t>LYCKSELE</t>
        </is>
      </c>
      <c r="G10801" t="n">
        <v>1.4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41251-2024</t>
        </is>
      </c>
      <c r="B10802" s="1" t="n">
        <v>45559</v>
      </c>
      <c r="C10802" s="1" t="n">
        <v>46075</v>
      </c>
      <c r="D10802" t="inlineStr">
        <is>
          <t>VÄSTERBOTTENS LÄN</t>
        </is>
      </c>
      <c r="E10802" t="inlineStr">
        <is>
          <t>SORSELE</t>
        </is>
      </c>
      <c r="G10802" t="n">
        <v>1.7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22511-2023</t>
        </is>
      </c>
      <c r="B10803" s="1" t="n">
        <v>45069</v>
      </c>
      <c r="C10803" s="1" t="n">
        <v>46075</v>
      </c>
      <c r="D10803" t="inlineStr">
        <is>
          <t>VÄSTERBOTTENS LÄN</t>
        </is>
      </c>
      <c r="E10803" t="inlineStr">
        <is>
          <t>VINDELN</t>
        </is>
      </c>
      <c r="G10803" t="n">
        <v>0.2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45899-2024</t>
        </is>
      </c>
      <c r="B10804" s="1" t="n">
        <v>45580.43047453704</v>
      </c>
      <c r="C10804" s="1" t="n">
        <v>46075</v>
      </c>
      <c r="D10804" t="inlineStr">
        <is>
          <t>VÄSTERBOTTENS LÄN</t>
        </is>
      </c>
      <c r="E10804" t="inlineStr">
        <is>
          <t>VÄNNÄS</t>
        </is>
      </c>
      <c r="F10804" t="inlineStr">
        <is>
          <t>Holmen skog AB</t>
        </is>
      </c>
      <c r="G10804" t="n">
        <v>0.5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44714-2021</t>
        </is>
      </c>
      <c r="B10805" s="1" t="n">
        <v>44435</v>
      </c>
      <c r="C10805" s="1" t="n">
        <v>46075</v>
      </c>
      <c r="D10805" t="inlineStr">
        <is>
          <t>VÄSTERBOTTENS LÄN</t>
        </is>
      </c>
      <c r="E10805" t="inlineStr">
        <is>
          <t>VILHELMINA</t>
        </is>
      </c>
      <c r="G10805" t="n">
        <v>4.3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42331-2021</t>
        </is>
      </c>
      <c r="B10806" s="1" t="n">
        <v>44427</v>
      </c>
      <c r="C10806" s="1" t="n">
        <v>46075</v>
      </c>
      <c r="D10806" t="inlineStr">
        <is>
          <t>VÄSTERBOTTENS LÄN</t>
        </is>
      </c>
      <c r="E10806" t="inlineStr">
        <is>
          <t>STORUMAN</t>
        </is>
      </c>
      <c r="G10806" t="n">
        <v>10.8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42995-2024</t>
        </is>
      </c>
      <c r="B10807" s="1" t="n">
        <v>45567.37570601852</v>
      </c>
      <c r="C10807" s="1" t="n">
        <v>46075</v>
      </c>
      <c r="D10807" t="inlineStr">
        <is>
          <t>VÄSTERBOTTENS LÄN</t>
        </is>
      </c>
      <c r="E10807" t="inlineStr">
        <is>
          <t>SKELLEFTEÅ</t>
        </is>
      </c>
      <c r="G10807" t="n">
        <v>1.3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55082-2023</t>
        </is>
      </c>
      <c r="B10808" s="1" t="n">
        <v>45230</v>
      </c>
      <c r="C10808" s="1" t="n">
        <v>46075</v>
      </c>
      <c r="D10808" t="inlineStr">
        <is>
          <t>VÄSTERBOTTENS LÄN</t>
        </is>
      </c>
      <c r="E10808" t="inlineStr">
        <is>
          <t>UMEÅ</t>
        </is>
      </c>
      <c r="G10808" t="n">
        <v>1.3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44380-2022</t>
        </is>
      </c>
      <c r="B10809" s="1" t="n">
        <v>44838</v>
      </c>
      <c r="C10809" s="1" t="n">
        <v>46075</v>
      </c>
      <c r="D10809" t="inlineStr">
        <is>
          <t>VÄSTERBOTTENS LÄN</t>
        </is>
      </c>
      <c r="E10809" t="inlineStr">
        <is>
          <t>DOROTEA</t>
        </is>
      </c>
      <c r="G10809" t="n">
        <v>12.5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40527-2024</t>
        </is>
      </c>
      <c r="B10810" s="1" t="n">
        <v>45555.60515046296</v>
      </c>
      <c r="C10810" s="1" t="n">
        <v>46075</v>
      </c>
      <c r="D10810" t="inlineStr">
        <is>
          <t>VÄSTERBOTTENS LÄN</t>
        </is>
      </c>
      <c r="E10810" t="inlineStr">
        <is>
          <t>LYCKSELE</t>
        </is>
      </c>
      <c r="F10810" t="inlineStr">
        <is>
          <t>Sveaskog</t>
        </is>
      </c>
      <c r="G10810" t="n">
        <v>8.9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41099-2024</t>
        </is>
      </c>
      <c r="B10811" s="1" t="n">
        <v>45559.43377314815</v>
      </c>
      <c r="C10811" s="1" t="n">
        <v>46075</v>
      </c>
      <c r="D10811" t="inlineStr">
        <is>
          <t>VÄSTERBOTTENS LÄN</t>
        </is>
      </c>
      <c r="E10811" t="inlineStr">
        <is>
          <t>VINDELN</t>
        </is>
      </c>
      <c r="F10811" t="inlineStr">
        <is>
          <t>Sveaskog</t>
        </is>
      </c>
      <c r="G10811" t="n">
        <v>0.3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41112-2024</t>
        </is>
      </c>
      <c r="B10812" s="1" t="n">
        <v>45559.45047453704</v>
      </c>
      <c r="C10812" s="1" t="n">
        <v>46075</v>
      </c>
      <c r="D10812" t="inlineStr">
        <is>
          <t>VÄSTERBOTTENS LÄN</t>
        </is>
      </c>
      <c r="E10812" t="inlineStr">
        <is>
          <t>SKELLEFTEÅ</t>
        </is>
      </c>
      <c r="F10812" t="inlineStr">
        <is>
          <t>Holmen skog AB</t>
        </is>
      </c>
      <c r="G10812" t="n">
        <v>5.3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41118-2024</t>
        </is>
      </c>
      <c r="B10813" s="1" t="n">
        <v>45559.45327546296</v>
      </c>
      <c r="C10813" s="1" t="n">
        <v>46075</v>
      </c>
      <c r="D10813" t="inlineStr">
        <is>
          <t>VÄSTERBOTTENS LÄN</t>
        </is>
      </c>
      <c r="E10813" t="inlineStr">
        <is>
          <t>SKELLEFTEÅ</t>
        </is>
      </c>
      <c r="F10813" t="inlineStr">
        <is>
          <t>Holmen skog AB</t>
        </is>
      </c>
      <c r="G10813" t="n">
        <v>4.5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23520-2024</t>
        </is>
      </c>
      <c r="B10814" s="1" t="n">
        <v>45453</v>
      </c>
      <c r="C10814" s="1" t="n">
        <v>46075</v>
      </c>
      <c r="D10814" t="inlineStr">
        <is>
          <t>VÄSTERBOTTENS LÄN</t>
        </is>
      </c>
      <c r="E10814" t="inlineStr">
        <is>
          <t>SKELLEFTEÅ</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23523-2024</t>
        </is>
      </c>
      <c r="B10815" s="1" t="n">
        <v>45453.92482638889</v>
      </c>
      <c r="C10815" s="1" t="n">
        <v>46075</v>
      </c>
      <c r="D10815" t="inlineStr">
        <is>
          <t>VÄSTERBOTTENS LÄN</t>
        </is>
      </c>
      <c r="E10815" t="inlineStr">
        <is>
          <t>VINDELN</t>
        </is>
      </c>
      <c r="G10815" t="n">
        <v>0.6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16903-2025</t>
        </is>
      </c>
      <c r="B10816" s="1" t="n">
        <v>45755.34568287037</v>
      </c>
      <c r="C10816" s="1" t="n">
        <v>46075</v>
      </c>
      <c r="D10816" t="inlineStr">
        <is>
          <t>VÄSTERBOTTENS LÄN</t>
        </is>
      </c>
      <c r="E10816" t="inlineStr">
        <is>
          <t>UMEÅ</t>
        </is>
      </c>
      <c r="G10816" t="n">
        <v>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50706-2022</t>
        </is>
      </c>
      <c r="B10817" s="1" t="n">
        <v>44867</v>
      </c>
      <c r="C10817" s="1" t="n">
        <v>46075</v>
      </c>
      <c r="D10817" t="inlineStr">
        <is>
          <t>VÄSTERBOTTENS LÄN</t>
        </is>
      </c>
      <c r="E10817" t="inlineStr">
        <is>
          <t>NORSJÖ</t>
        </is>
      </c>
      <c r="F10817" t="inlineStr">
        <is>
          <t>Holmen skog AB</t>
        </is>
      </c>
      <c r="G10817" t="n">
        <v>1.2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51573-2023</t>
        </is>
      </c>
      <c r="B10818" s="1" t="n">
        <v>45222</v>
      </c>
      <c r="C10818" s="1" t="n">
        <v>46075</v>
      </c>
      <c r="D10818" t="inlineStr">
        <is>
          <t>VÄSTERBOTTENS LÄN</t>
        </is>
      </c>
      <c r="E10818" t="inlineStr">
        <is>
          <t>MALÅ</t>
        </is>
      </c>
      <c r="G10818" t="n">
        <v>3.1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9814-2024</t>
        </is>
      </c>
      <c r="B10819" s="1" t="n">
        <v>45362.96918981482</v>
      </c>
      <c r="C10819" s="1" t="n">
        <v>46075</v>
      </c>
      <c r="D10819" t="inlineStr">
        <is>
          <t>VÄSTERBOTTENS LÄN</t>
        </is>
      </c>
      <c r="E10819" t="inlineStr">
        <is>
          <t>NORSJÖ</t>
        </is>
      </c>
      <c r="G10819" t="n">
        <v>1.6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46657-2024</t>
        </is>
      </c>
      <c r="B10820" s="1" t="n">
        <v>45583.36118055556</v>
      </c>
      <c r="C10820" s="1" t="n">
        <v>46075</v>
      </c>
      <c r="D10820" t="inlineStr">
        <is>
          <t>VÄSTERBOTTENS LÄN</t>
        </is>
      </c>
      <c r="E10820" t="inlineStr">
        <is>
          <t>SKELLEFTEÅ</t>
        </is>
      </c>
      <c r="F10820" t="inlineStr">
        <is>
          <t>Holmen skog AB</t>
        </is>
      </c>
      <c r="G10820" t="n">
        <v>1.9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8642-2023</t>
        </is>
      </c>
      <c r="B10821" s="1" t="n">
        <v>44977</v>
      </c>
      <c r="C10821" s="1" t="n">
        <v>46075</v>
      </c>
      <c r="D10821" t="inlineStr">
        <is>
          <t>VÄSTERBOTTENS LÄN</t>
        </is>
      </c>
      <c r="E10821" t="inlineStr">
        <is>
          <t>NORDMALING</t>
        </is>
      </c>
      <c r="F10821" t="inlineStr">
        <is>
          <t>SCA</t>
        </is>
      </c>
      <c r="G10821" t="n">
        <v>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29054-2023</t>
        </is>
      </c>
      <c r="B10822" s="1" t="n">
        <v>45104.92340277778</v>
      </c>
      <c r="C10822" s="1" t="n">
        <v>46075</v>
      </c>
      <c r="D10822" t="inlineStr">
        <is>
          <t>VÄSTERBOTTENS LÄN</t>
        </is>
      </c>
      <c r="E10822" t="inlineStr">
        <is>
          <t>ÅSELE</t>
        </is>
      </c>
      <c r="G10822" t="n">
        <v>1.9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29055-2023</t>
        </is>
      </c>
      <c r="B10823" s="1" t="n">
        <v>45104.9234375</v>
      </c>
      <c r="C10823" s="1" t="n">
        <v>46075</v>
      </c>
      <c r="D10823" t="inlineStr">
        <is>
          <t>VÄSTERBOTTENS LÄN</t>
        </is>
      </c>
      <c r="E10823" t="inlineStr">
        <is>
          <t>ÅSELE</t>
        </is>
      </c>
      <c r="G10823" t="n">
        <v>3.5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8643-2023</t>
        </is>
      </c>
      <c r="B10824" s="1" t="n">
        <v>44977.98320601852</v>
      </c>
      <c r="C10824" s="1" t="n">
        <v>46075</v>
      </c>
      <c r="D10824" t="inlineStr">
        <is>
          <t>VÄSTERBOTTENS LÄN</t>
        </is>
      </c>
      <c r="E10824" t="inlineStr">
        <is>
          <t>VINDELN</t>
        </is>
      </c>
      <c r="F10824" t="inlineStr">
        <is>
          <t>SCA</t>
        </is>
      </c>
      <c r="G10824" t="n">
        <v>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8644-2023</t>
        </is>
      </c>
      <c r="B10825" s="1" t="n">
        <v>44977</v>
      </c>
      <c r="C10825" s="1" t="n">
        <v>46075</v>
      </c>
      <c r="D10825" t="inlineStr">
        <is>
          <t>VÄSTERBOTTENS LÄN</t>
        </is>
      </c>
      <c r="E10825" t="inlineStr">
        <is>
          <t>BJURHOLM</t>
        </is>
      </c>
      <c r="F10825" t="inlineStr">
        <is>
          <t>SCA</t>
        </is>
      </c>
      <c r="G10825" t="n">
        <v>3.8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8652-2023</t>
        </is>
      </c>
      <c r="B10826" s="1" t="n">
        <v>44977.98401620371</v>
      </c>
      <c r="C10826" s="1" t="n">
        <v>46075</v>
      </c>
      <c r="D10826" t="inlineStr">
        <is>
          <t>VÄSTERBOTTENS LÄN</t>
        </is>
      </c>
      <c r="E10826" t="inlineStr">
        <is>
          <t>VILHELMINA</t>
        </is>
      </c>
      <c r="F10826" t="inlineStr">
        <is>
          <t>SCA</t>
        </is>
      </c>
      <c r="G10826" t="n">
        <v>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8653-2023</t>
        </is>
      </c>
      <c r="B10827" s="1" t="n">
        <v>44977</v>
      </c>
      <c r="C10827" s="1" t="n">
        <v>46075</v>
      </c>
      <c r="D10827" t="inlineStr">
        <is>
          <t>VÄSTERBOTTENS LÄN</t>
        </is>
      </c>
      <c r="E10827" t="inlineStr">
        <is>
          <t>VILHELMINA</t>
        </is>
      </c>
      <c r="F10827" t="inlineStr">
        <is>
          <t>SCA</t>
        </is>
      </c>
      <c r="G10827" t="n">
        <v>7.9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20276-2025</t>
        </is>
      </c>
      <c r="B10828" s="1" t="n">
        <v>45774.32366898148</v>
      </c>
      <c r="C10828" s="1" t="n">
        <v>46075</v>
      </c>
      <c r="D10828" t="inlineStr">
        <is>
          <t>VÄSTERBOTTENS LÄN</t>
        </is>
      </c>
      <c r="E10828" t="inlineStr">
        <is>
          <t>ÅSELE</t>
        </is>
      </c>
      <c r="G10828" t="n">
        <v>16.3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53124-2024</t>
        </is>
      </c>
      <c r="B10829" s="1" t="n">
        <v>45611.58855324074</v>
      </c>
      <c r="C10829" s="1" t="n">
        <v>46075</v>
      </c>
      <c r="D10829" t="inlineStr">
        <is>
          <t>VÄSTERBOTTENS LÄN</t>
        </is>
      </c>
      <c r="E10829" t="inlineStr">
        <is>
          <t>SKELLEFTEÅ</t>
        </is>
      </c>
      <c r="F10829" t="inlineStr">
        <is>
          <t>Holmen skog AB</t>
        </is>
      </c>
      <c r="G10829" t="n">
        <v>6.8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5660-2024</t>
        </is>
      </c>
      <c r="B10830" s="1" t="n">
        <v>45334.64248842592</v>
      </c>
      <c r="C10830" s="1" t="n">
        <v>46075</v>
      </c>
      <c r="D10830" t="inlineStr">
        <is>
          <t>VÄSTERBOTTENS LÄN</t>
        </is>
      </c>
      <c r="E10830" t="inlineStr">
        <is>
          <t>SKELLEFTEÅ</t>
        </is>
      </c>
      <c r="G10830" t="n">
        <v>14.1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51873-2024</t>
        </is>
      </c>
      <c r="B10831" s="1" t="n">
        <v>45607</v>
      </c>
      <c r="C10831" s="1" t="n">
        <v>46075</v>
      </c>
      <c r="D10831" t="inlineStr">
        <is>
          <t>VÄSTERBOTTENS LÄN</t>
        </is>
      </c>
      <c r="E10831" t="inlineStr">
        <is>
          <t>ROBERTSFORS</t>
        </is>
      </c>
      <c r="G10831" t="n">
        <v>7.6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50943-2024</t>
        </is>
      </c>
      <c r="B10832" s="1" t="n">
        <v>45602</v>
      </c>
      <c r="C10832" s="1" t="n">
        <v>46075</v>
      </c>
      <c r="D10832" t="inlineStr">
        <is>
          <t>VÄSTERBOTTENS LÄN</t>
        </is>
      </c>
      <c r="E10832" t="inlineStr">
        <is>
          <t>SORSELE</t>
        </is>
      </c>
      <c r="G10832" t="n">
        <v>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13506-2025</t>
        </is>
      </c>
      <c r="B10833" s="1" t="n">
        <v>45736.46910879629</v>
      </c>
      <c r="C10833" s="1" t="n">
        <v>46075</v>
      </c>
      <c r="D10833" t="inlineStr">
        <is>
          <t>VÄSTERBOTTENS LÄN</t>
        </is>
      </c>
      <c r="E10833" t="inlineStr">
        <is>
          <t>NORDMALING</t>
        </is>
      </c>
      <c r="G10833" t="n">
        <v>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18889-2025</t>
        </is>
      </c>
      <c r="B10834" s="1" t="n">
        <v>45764.44584490741</v>
      </c>
      <c r="C10834" s="1" t="n">
        <v>46075</v>
      </c>
      <c r="D10834" t="inlineStr">
        <is>
          <t>VÄSTERBOTTENS LÄN</t>
        </is>
      </c>
      <c r="E10834" t="inlineStr">
        <is>
          <t>UMEÅ</t>
        </is>
      </c>
      <c r="F10834" t="inlineStr">
        <is>
          <t>Holmen skog AB</t>
        </is>
      </c>
      <c r="G10834" t="n">
        <v>8.1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43749-2024</t>
        </is>
      </c>
      <c r="B10835" s="1" t="n">
        <v>45569.66871527778</v>
      </c>
      <c r="C10835" s="1" t="n">
        <v>46075</v>
      </c>
      <c r="D10835" t="inlineStr">
        <is>
          <t>VÄSTERBOTTENS LÄN</t>
        </is>
      </c>
      <c r="E10835" t="inlineStr">
        <is>
          <t>SKELLEFTEÅ</t>
        </is>
      </c>
      <c r="G10835" t="n">
        <v>6.3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23718-2023</t>
        </is>
      </c>
      <c r="B10836" s="1" t="n">
        <v>45077.66282407408</v>
      </c>
      <c r="C10836" s="1" t="n">
        <v>46075</v>
      </c>
      <c r="D10836" t="inlineStr">
        <is>
          <t>VÄSTERBOTTENS LÄN</t>
        </is>
      </c>
      <c r="E10836" t="inlineStr">
        <is>
          <t>UMEÅ</t>
        </is>
      </c>
      <c r="G10836" t="n">
        <v>2.6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56529-2024</t>
        </is>
      </c>
      <c r="B10837" s="1" t="n">
        <v>45625.5534837963</v>
      </c>
      <c r="C10837" s="1" t="n">
        <v>46075</v>
      </c>
      <c r="D10837" t="inlineStr">
        <is>
          <t>VÄSTERBOTTENS LÄN</t>
        </is>
      </c>
      <c r="E10837" t="inlineStr">
        <is>
          <t>SKELLEFTEÅ</t>
        </is>
      </c>
      <c r="G10837" t="n">
        <v>4.6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56530-2024</t>
        </is>
      </c>
      <c r="B10838" s="1" t="n">
        <v>45625</v>
      </c>
      <c r="C10838" s="1" t="n">
        <v>46075</v>
      </c>
      <c r="D10838" t="inlineStr">
        <is>
          <t>VÄSTERBOTTENS LÄN</t>
        </is>
      </c>
      <c r="E10838" t="inlineStr">
        <is>
          <t>SKELLEFTEÅ</t>
        </is>
      </c>
      <c r="G10838" t="n">
        <v>0.6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52453-2021</t>
        </is>
      </c>
      <c r="B10839" s="1" t="n">
        <v>44463</v>
      </c>
      <c r="C10839" s="1" t="n">
        <v>46075</v>
      </c>
      <c r="D10839" t="inlineStr">
        <is>
          <t>VÄSTERBOTTENS LÄN</t>
        </is>
      </c>
      <c r="E10839" t="inlineStr">
        <is>
          <t>SKELLEFTEÅ</t>
        </is>
      </c>
      <c r="G10839" t="n">
        <v>1.6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32645-2024</t>
        </is>
      </c>
      <c r="B10840" s="1" t="n">
        <v>45513.96297453704</v>
      </c>
      <c r="C10840" s="1" t="n">
        <v>46075</v>
      </c>
      <c r="D10840" t="inlineStr">
        <is>
          <t>VÄSTERBOTTENS LÄN</t>
        </is>
      </c>
      <c r="E10840" t="inlineStr">
        <is>
          <t>VINDELN</t>
        </is>
      </c>
      <c r="F10840" t="inlineStr">
        <is>
          <t>SCA</t>
        </is>
      </c>
      <c r="G10840" t="n">
        <v>6.3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56590-2024</t>
        </is>
      </c>
      <c r="B10841" s="1" t="n">
        <v>45625.62136574074</v>
      </c>
      <c r="C10841" s="1" t="n">
        <v>46075</v>
      </c>
      <c r="D10841" t="inlineStr">
        <is>
          <t>VÄSTERBOTTENS LÄN</t>
        </is>
      </c>
      <c r="E10841" t="inlineStr">
        <is>
          <t>DOROTEA</t>
        </is>
      </c>
      <c r="G10841" t="n">
        <v>1.3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46080-2022</t>
        </is>
      </c>
      <c r="B10842" s="1" t="n">
        <v>44845</v>
      </c>
      <c r="C10842" s="1" t="n">
        <v>46075</v>
      </c>
      <c r="D10842" t="inlineStr">
        <is>
          <t>VÄSTERBOTTENS LÄN</t>
        </is>
      </c>
      <c r="E10842" t="inlineStr">
        <is>
          <t>STORUMAN</t>
        </is>
      </c>
      <c r="G10842" t="n">
        <v>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33235-2024</t>
        </is>
      </c>
      <c r="B10843" s="1" t="n">
        <v>45518.58706018519</v>
      </c>
      <c r="C10843" s="1" t="n">
        <v>46075</v>
      </c>
      <c r="D10843" t="inlineStr">
        <is>
          <t>VÄSTERBOTTENS LÄN</t>
        </is>
      </c>
      <c r="E10843" t="inlineStr">
        <is>
          <t>SORSELE</t>
        </is>
      </c>
      <c r="G10843" t="n">
        <v>3.8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16239-2023</t>
        </is>
      </c>
      <c r="B10844" s="1" t="n">
        <v>45028</v>
      </c>
      <c r="C10844" s="1" t="n">
        <v>46075</v>
      </c>
      <c r="D10844" t="inlineStr">
        <is>
          <t>VÄSTERBOTTENS LÄN</t>
        </is>
      </c>
      <c r="E10844" t="inlineStr">
        <is>
          <t>SKELLEFTEÅ</t>
        </is>
      </c>
      <c r="G10844" t="n">
        <v>0.3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14734-2023</t>
        </is>
      </c>
      <c r="B10845" s="1" t="n">
        <v>45013</v>
      </c>
      <c r="C10845" s="1" t="n">
        <v>46075</v>
      </c>
      <c r="D10845" t="inlineStr">
        <is>
          <t>VÄSTERBOTTENS LÄN</t>
        </is>
      </c>
      <c r="E10845" t="inlineStr">
        <is>
          <t>UMEÅ</t>
        </is>
      </c>
      <c r="G10845" t="n">
        <v>14.4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24289-2023</t>
        </is>
      </c>
      <c r="B10846" s="1" t="n">
        <v>45079.92747685185</v>
      </c>
      <c r="C10846" s="1" t="n">
        <v>46075</v>
      </c>
      <c r="D10846" t="inlineStr">
        <is>
          <t>VÄSTERBOTTENS LÄN</t>
        </is>
      </c>
      <c r="E10846" t="inlineStr">
        <is>
          <t>LYCKSELE</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176-2025</t>
        </is>
      </c>
      <c r="B10847" s="1" t="n">
        <v>45659</v>
      </c>
      <c r="C10847" s="1" t="n">
        <v>46075</v>
      </c>
      <c r="D10847" t="inlineStr">
        <is>
          <t>VÄSTERBOTTENS LÄN</t>
        </is>
      </c>
      <c r="E10847" t="inlineStr">
        <is>
          <t>ROBERTSFORS</t>
        </is>
      </c>
      <c r="G10847" t="n">
        <v>2.9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48250-2024</t>
        </is>
      </c>
      <c r="B10848" s="1" t="n">
        <v>45590</v>
      </c>
      <c r="C10848" s="1" t="n">
        <v>46075</v>
      </c>
      <c r="D10848" t="inlineStr">
        <is>
          <t>VÄSTERBOTTENS LÄN</t>
        </is>
      </c>
      <c r="E10848" t="inlineStr">
        <is>
          <t>ÅSELE</t>
        </is>
      </c>
      <c r="F10848" t="inlineStr">
        <is>
          <t>SCA</t>
        </is>
      </c>
      <c r="G10848" t="n">
        <v>3.6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10188-2023</t>
        </is>
      </c>
      <c r="B10849" s="1" t="n">
        <v>44980</v>
      </c>
      <c r="C10849" s="1" t="n">
        <v>46075</v>
      </c>
      <c r="D10849" t="inlineStr">
        <is>
          <t>VÄSTERBOTTENS LÄN</t>
        </is>
      </c>
      <c r="E10849" t="inlineStr">
        <is>
          <t>ROBERTSFORS</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28893-2024</t>
        </is>
      </c>
      <c r="B10850" s="1" t="n">
        <v>45479.949375</v>
      </c>
      <c r="C10850" s="1" t="n">
        <v>46075</v>
      </c>
      <c r="D10850" t="inlineStr">
        <is>
          <t>VÄSTERBOTTENS LÄN</t>
        </is>
      </c>
      <c r="E10850" t="inlineStr">
        <is>
          <t>LYCKSELE</t>
        </is>
      </c>
      <c r="F10850" t="inlineStr">
        <is>
          <t>SCA</t>
        </is>
      </c>
      <c r="G10850" t="n">
        <v>2.2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6837-2022</t>
        </is>
      </c>
      <c r="B10851" s="1" t="n">
        <v>44602</v>
      </c>
      <c r="C10851" s="1" t="n">
        <v>46075</v>
      </c>
      <c r="D10851" t="inlineStr">
        <is>
          <t>VÄSTERBOTTENS LÄN</t>
        </is>
      </c>
      <c r="E10851" t="inlineStr">
        <is>
          <t>SKELLEFTEÅ</t>
        </is>
      </c>
      <c r="G10851" t="n">
        <v>1.5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32992-2023</t>
        </is>
      </c>
      <c r="B10852" s="1" t="n">
        <v>45113</v>
      </c>
      <c r="C10852" s="1" t="n">
        <v>46075</v>
      </c>
      <c r="D10852" t="inlineStr">
        <is>
          <t>VÄSTERBOTTENS LÄN</t>
        </is>
      </c>
      <c r="E10852" t="inlineStr">
        <is>
          <t>VINDELN</t>
        </is>
      </c>
      <c r="G10852" t="n">
        <v>13.4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32993-2023</t>
        </is>
      </c>
      <c r="B10853" s="1" t="n">
        <v>45113</v>
      </c>
      <c r="C10853" s="1" t="n">
        <v>46075</v>
      </c>
      <c r="D10853" t="inlineStr">
        <is>
          <t>VÄSTERBOTTENS LÄN</t>
        </is>
      </c>
      <c r="E10853" t="inlineStr">
        <is>
          <t>ÅSELE</t>
        </is>
      </c>
      <c r="G10853" t="n">
        <v>3.2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30570-2023</t>
        </is>
      </c>
      <c r="B10854" s="1" t="n">
        <v>45111</v>
      </c>
      <c r="C10854" s="1" t="n">
        <v>46075</v>
      </c>
      <c r="D10854" t="inlineStr">
        <is>
          <t>VÄSTERBOTTENS LÄN</t>
        </is>
      </c>
      <c r="E10854" t="inlineStr">
        <is>
          <t>DOROTEA</t>
        </is>
      </c>
      <c r="F10854" t="inlineStr">
        <is>
          <t>SCA</t>
        </is>
      </c>
      <c r="G10854" t="n">
        <v>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1256-2024</t>
        </is>
      </c>
      <c r="B10855" s="1" t="n">
        <v>45302</v>
      </c>
      <c r="C10855" s="1" t="n">
        <v>46075</v>
      </c>
      <c r="D10855" t="inlineStr">
        <is>
          <t>VÄSTERBOTTENS LÄN</t>
        </is>
      </c>
      <c r="E10855" t="inlineStr">
        <is>
          <t>SKELLEFTEÅ</t>
        </is>
      </c>
      <c r="G10855" t="n">
        <v>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43286-2024</t>
        </is>
      </c>
      <c r="B10856" s="1" t="n">
        <v>45568</v>
      </c>
      <c r="C10856" s="1" t="n">
        <v>46075</v>
      </c>
      <c r="D10856" t="inlineStr">
        <is>
          <t>VÄSTERBOTTENS LÄN</t>
        </is>
      </c>
      <c r="E10856" t="inlineStr">
        <is>
          <t>SORSELE</t>
        </is>
      </c>
      <c r="G10856" t="n">
        <v>5.5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41505-2021</t>
        </is>
      </c>
      <c r="B10857" s="1" t="n">
        <v>44424.94164351852</v>
      </c>
      <c r="C10857" s="1" t="n">
        <v>46075</v>
      </c>
      <c r="D10857" t="inlineStr">
        <is>
          <t>VÄSTERBOTTENS LÄN</t>
        </is>
      </c>
      <c r="E10857" t="inlineStr">
        <is>
          <t>BJURHOLM</t>
        </is>
      </c>
      <c r="F10857" t="inlineStr">
        <is>
          <t>SCA</t>
        </is>
      </c>
      <c r="G10857" t="n">
        <v>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7373-2024</t>
        </is>
      </c>
      <c r="B10858" s="1" t="n">
        <v>45345</v>
      </c>
      <c r="C10858" s="1" t="n">
        <v>46075</v>
      </c>
      <c r="D10858" t="inlineStr">
        <is>
          <t>VÄSTERBOTTENS LÄN</t>
        </is>
      </c>
      <c r="E10858" t="inlineStr">
        <is>
          <t>UMEÅ</t>
        </is>
      </c>
      <c r="G10858" t="n">
        <v>4.1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42515-2023</t>
        </is>
      </c>
      <c r="B10859" s="1" t="n">
        <v>45180</v>
      </c>
      <c r="C10859" s="1" t="n">
        <v>46075</v>
      </c>
      <c r="D10859" t="inlineStr">
        <is>
          <t>VÄSTERBOTTENS LÄN</t>
        </is>
      </c>
      <c r="E10859" t="inlineStr">
        <is>
          <t>DOROTEA</t>
        </is>
      </c>
      <c r="F10859" t="inlineStr">
        <is>
          <t>SCA</t>
        </is>
      </c>
      <c r="G10859" t="n">
        <v>27.7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43095-2023</t>
        </is>
      </c>
      <c r="B10860" s="1" t="n">
        <v>45182</v>
      </c>
      <c r="C10860" s="1" t="n">
        <v>46075</v>
      </c>
      <c r="D10860" t="inlineStr">
        <is>
          <t>VÄSTERBOTTENS LÄN</t>
        </is>
      </c>
      <c r="E10860" t="inlineStr">
        <is>
          <t>ROBERTSFORS</t>
        </is>
      </c>
      <c r="G10860" t="n">
        <v>3.5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8270-2023</t>
        </is>
      </c>
      <c r="B10861" s="1" t="n">
        <v>44971</v>
      </c>
      <c r="C10861" s="1" t="n">
        <v>46075</v>
      </c>
      <c r="D10861" t="inlineStr">
        <is>
          <t>VÄSTERBOTTENS LÄN</t>
        </is>
      </c>
      <c r="E10861" t="inlineStr">
        <is>
          <t>VINDELN</t>
        </is>
      </c>
      <c r="G10861" t="n">
        <v>1.1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21135-2024</t>
        </is>
      </c>
      <c r="B10862" s="1" t="n">
        <v>45440</v>
      </c>
      <c r="C10862" s="1" t="n">
        <v>46075</v>
      </c>
      <c r="D10862" t="inlineStr">
        <is>
          <t>VÄSTERBOTTENS LÄN</t>
        </is>
      </c>
      <c r="E10862" t="inlineStr">
        <is>
          <t>VÄNNÄS</t>
        </is>
      </c>
      <c r="F10862" t="inlineStr">
        <is>
          <t>Holmen skog AB</t>
        </is>
      </c>
      <c r="G10862" t="n">
        <v>3.7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45788-2024</t>
        </is>
      </c>
      <c r="B10863" s="1" t="n">
        <v>45579</v>
      </c>
      <c r="C10863" s="1" t="n">
        <v>46075</v>
      </c>
      <c r="D10863" t="inlineStr">
        <is>
          <t>VÄSTERBOTTENS LÄN</t>
        </is>
      </c>
      <c r="E10863" t="inlineStr">
        <is>
          <t>SKELLEFTEÅ</t>
        </is>
      </c>
      <c r="G10863" t="n">
        <v>1.8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29827-2023</t>
        </is>
      </c>
      <c r="B10864" s="1" t="n">
        <v>45107</v>
      </c>
      <c r="C10864" s="1" t="n">
        <v>46075</v>
      </c>
      <c r="D10864" t="inlineStr">
        <is>
          <t>VÄSTERBOTTENS LÄN</t>
        </is>
      </c>
      <c r="E10864" t="inlineStr">
        <is>
          <t>UMEÅ</t>
        </is>
      </c>
      <c r="G10864" t="n">
        <v>11.9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47910-2023</t>
        </is>
      </c>
      <c r="B10865" s="1" t="n">
        <v>45204.5140625</v>
      </c>
      <c r="C10865" s="1" t="n">
        <v>46075</v>
      </c>
      <c r="D10865" t="inlineStr">
        <is>
          <t>VÄSTERBOTTENS LÄN</t>
        </is>
      </c>
      <c r="E10865" t="inlineStr">
        <is>
          <t>SKELLEFTEÅ</t>
        </is>
      </c>
      <c r="G10865" t="n">
        <v>6.7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47933-2023</t>
        </is>
      </c>
      <c r="B10866" s="1" t="n">
        <v>45198</v>
      </c>
      <c r="C10866" s="1" t="n">
        <v>46075</v>
      </c>
      <c r="D10866" t="inlineStr">
        <is>
          <t>VÄSTERBOTTENS LÄN</t>
        </is>
      </c>
      <c r="E10866" t="inlineStr">
        <is>
          <t>SORSELE</t>
        </is>
      </c>
      <c r="G10866" t="n">
        <v>125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36816-2022</t>
        </is>
      </c>
      <c r="B10867" s="1" t="n">
        <v>44805.5507175926</v>
      </c>
      <c r="C10867" s="1" t="n">
        <v>46075</v>
      </c>
      <c r="D10867" t="inlineStr">
        <is>
          <t>VÄSTERBOTTENS LÄN</t>
        </is>
      </c>
      <c r="E10867" t="inlineStr">
        <is>
          <t>UMEÅ</t>
        </is>
      </c>
      <c r="F10867" t="inlineStr">
        <is>
          <t>Holmen skog AB</t>
        </is>
      </c>
      <c r="G10867" t="n">
        <v>2.9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44548-2023</t>
        </is>
      </c>
      <c r="B10868" s="1" t="n">
        <v>45183</v>
      </c>
      <c r="C10868" s="1" t="n">
        <v>46075</v>
      </c>
      <c r="D10868" t="inlineStr">
        <is>
          <t>VÄSTERBOTTENS LÄN</t>
        </is>
      </c>
      <c r="E10868" t="inlineStr">
        <is>
          <t>NORDMALING</t>
        </is>
      </c>
      <c r="G10868" t="n">
        <v>4.3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6244-2024</t>
        </is>
      </c>
      <c r="B10869" s="1" t="n">
        <v>45337</v>
      </c>
      <c r="C10869" s="1" t="n">
        <v>46075</v>
      </c>
      <c r="D10869" t="inlineStr">
        <is>
          <t>VÄSTERBOTTENS LÄN</t>
        </is>
      </c>
      <c r="E10869" t="inlineStr">
        <is>
          <t>SKELLEFTEÅ</t>
        </is>
      </c>
      <c r="G10869" t="n">
        <v>1.2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4879-2024</t>
        </is>
      </c>
      <c r="B10870" s="1" t="n">
        <v>45329</v>
      </c>
      <c r="C10870" s="1" t="n">
        <v>46075</v>
      </c>
      <c r="D10870" t="inlineStr">
        <is>
          <t>VÄSTERBOTTENS LÄN</t>
        </is>
      </c>
      <c r="E10870" t="inlineStr">
        <is>
          <t>VINDELN</t>
        </is>
      </c>
      <c r="G10870" t="n">
        <v>2.4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4901-2024</t>
        </is>
      </c>
      <c r="B10871" s="1" t="n">
        <v>45329</v>
      </c>
      <c r="C10871" s="1" t="n">
        <v>46075</v>
      </c>
      <c r="D10871" t="inlineStr">
        <is>
          <t>VÄSTERBOTTENS LÄN</t>
        </is>
      </c>
      <c r="E10871" t="inlineStr">
        <is>
          <t>ÅSELE</t>
        </is>
      </c>
      <c r="F10871" t="inlineStr">
        <is>
          <t>Övriga Aktiebolag</t>
        </is>
      </c>
      <c r="G10871" t="n">
        <v>3.9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20036-2025</t>
        </is>
      </c>
      <c r="B10872" s="1" t="n">
        <v>45772.36670138889</v>
      </c>
      <c r="C10872" s="1" t="n">
        <v>46075</v>
      </c>
      <c r="D10872" t="inlineStr">
        <is>
          <t>VÄSTERBOTTENS LÄN</t>
        </is>
      </c>
      <c r="E10872" t="inlineStr">
        <is>
          <t>ÅSELE</t>
        </is>
      </c>
      <c r="F10872" t="inlineStr">
        <is>
          <t>Holmen skog AB</t>
        </is>
      </c>
      <c r="G10872" t="n">
        <v>2.6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37007-2024</t>
        </is>
      </c>
      <c r="B10873" s="1" t="n">
        <v>45539</v>
      </c>
      <c r="C10873" s="1" t="n">
        <v>46075</v>
      </c>
      <c r="D10873" t="inlineStr">
        <is>
          <t>VÄSTERBOTTENS LÄN</t>
        </is>
      </c>
      <c r="E10873" t="inlineStr">
        <is>
          <t>UMEÅ</t>
        </is>
      </c>
      <c r="G10873" t="n">
        <v>6.2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41386-2023</t>
        </is>
      </c>
      <c r="B10874" s="1" t="n">
        <v>45174.92231481482</v>
      </c>
      <c r="C10874" s="1" t="n">
        <v>46075</v>
      </c>
      <c r="D10874" t="inlineStr">
        <is>
          <t>VÄSTERBOTTENS LÄN</t>
        </is>
      </c>
      <c r="E10874" t="inlineStr">
        <is>
          <t>NORSJÖ</t>
        </is>
      </c>
      <c r="G10874" t="n">
        <v>4.4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62599-2023</t>
        </is>
      </c>
      <c r="B10875" s="1" t="n">
        <v>45267</v>
      </c>
      <c r="C10875" s="1" t="n">
        <v>46075</v>
      </c>
      <c r="D10875" t="inlineStr">
        <is>
          <t>VÄSTERBOTTENS LÄN</t>
        </is>
      </c>
      <c r="E10875" t="inlineStr">
        <is>
          <t>SKELLEFTEÅ</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62601-2023</t>
        </is>
      </c>
      <c r="B10876" s="1" t="n">
        <v>45267</v>
      </c>
      <c r="C10876" s="1" t="n">
        <v>46075</v>
      </c>
      <c r="D10876" t="inlineStr">
        <is>
          <t>VÄSTERBOTTENS LÄN</t>
        </is>
      </c>
      <c r="E10876" t="inlineStr">
        <is>
          <t>SKELLEFTEÅ</t>
        </is>
      </c>
      <c r="G10876" t="n">
        <v>5.6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48117-2022</t>
        </is>
      </c>
      <c r="B10877" s="1" t="n">
        <v>44857</v>
      </c>
      <c r="C10877" s="1" t="n">
        <v>46075</v>
      </c>
      <c r="D10877" t="inlineStr">
        <is>
          <t>VÄSTERBOTTENS LÄN</t>
        </is>
      </c>
      <c r="E10877" t="inlineStr">
        <is>
          <t>VILHELMINA</t>
        </is>
      </c>
      <c r="G10877" t="n">
        <v>5.6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4059-2025</t>
        </is>
      </c>
      <c r="B10878" s="1" t="n">
        <v>45684.62690972222</v>
      </c>
      <c r="C10878" s="1" t="n">
        <v>46075</v>
      </c>
      <c r="D10878" t="inlineStr">
        <is>
          <t>VÄSTERBOTTENS LÄN</t>
        </is>
      </c>
      <c r="E10878" t="inlineStr">
        <is>
          <t>VINDELN</t>
        </is>
      </c>
      <c r="G10878" t="n">
        <v>12.6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42352-2021</t>
        </is>
      </c>
      <c r="B10879" s="1" t="n">
        <v>44427</v>
      </c>
      <c r="C10879" s="1" t="n">
        <v>46075</v>
      </c>
      <c r="D10879" t="inlineStr">
        <is>
          <t>VÄSTERBOTTENS LÄN</t>
        </is>
      </c>
      <c r="E10879" t="inlineStr">
        <is>
          <t>UMEÅ</t>
        </is>
      </c>
      <c r="G10879" t="n">
        <v>0.9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56072-2022</t>
        </is>
      </c>
      <c r="B10880" s="1" t="n">
        <v>44889.60342592592</v>
      </c>
      <c r="C10880" s="1" t="n">
        <v>46075</v>
      </c>
      <c r="D10880" t="inlineStr">
        <is>
          <t>VÄSTERBOTTENS LÄN</t>
        </is>
      </c>
      <c r="E10880" t="inlineStr">
        <is>
          <t>SKELLEFTEÅ</t>
        </is>
      </c>
      <c r="F10880" t="inlineStr">
        <is>
          <t>Holmen skog AB</t>
        </is>
      </c>
      <c r="G10880" t="n">
        <v>3.6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41411-2023</t>
        </is>
      </c>
      <c r="B10881" s="1" t="n">
        <v>45174.93942129629</v>
      </c>
      <c r="C10881" s="1" t="n">
        <v>46075</v>
      </c>
      <c r="D10881" t="inlineStr">
        <is>
          <t>VÄSTERBOTTENS LÄN</t>
        </is>
      </c>
      <c r="E10881" t="inlineStr">
        <is>
          <t>ÅSELE</t>
        </is>
      </c>
      <c r="F10881" t="inlineStr">
        <is>
          <t>SCA</t>
        </is>
      </c>
      <c r="G10881" t="n">
        <v>12.7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60210-2024</t>
        </is>
      </c>
      <c r="B10882" s="1" t="n">
        <v>45642</v>
      </c>
      <c r="C10882" s="1" t="n">
        <v>46075</v>
      </c>
      <c r="D10882" t="inlineStr">
        <is>
          <t>VÄSTERBOTTENS LÄN</t>
        </is>
      </c>
      <c r="E10882" t="inlineStr">
        <is>
          <t>SKELLEFTEÅ</t>
        </is>
      </c>
      <c r="G10882" t="n">
        <v>0.5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20161-2025</t>
        </is>
      </c>
      <c r="B10883" s="1" t="n">
        <v>45772.56854166667</v>
      </c>
      <c r="C10883" s="1" t="n">
        <v>46075</v>
      </c>
      <c r="D10883" t="inlineStr">
        <is>
          <t>VÄSTERBOTTENS LÄN</t>
        </is>
      </c>
      <c r="E10883" t="inlineStr">
        <is>
          <t>LYCKSELE</t>
        </is>
      </c>
      <c r="F10883" t="inlineStr">
        <is>
          <t>Holmen skog AB</t>
        </is>
      </c>
      <c r="G10883" t="n">
        <v>6.5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55907-2023</t>
        </is>
      </c>
      <c r="B10884" s="1" t="n">
        <v>45239</v>
      </c>
      <c r="C10884" s="1" t="n">
        <v>46075</v>
      </c>
      <c r="D10884" t="inlineStr">
        <is>
          <t>VÄSTERBOTTENS LÄN</t>
        </is>
      </c>
      <c r="E10884" t="inlineStr">
        <is>
          <t>SKELLEFTEÅ</t>
        </is>
      </c>
      <c r="G10884" t="n">
        <v>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60482-2024</t>
        </is>
      </c>
      <c r="B10885" s="1" t="n">
        <v>45643.63650462963</v>
      </c>
      <c r="C10885" s="1" t="n">
        <v>46075</v>
      </c>
      <c r="D10885" t="inlineStr">
        <is>
          <t>VÄSTERBOTTENS LÄN</t>
        </is>
      </c>
      <c r="E10885" t="inlineStr">
        <is>
          <t>LYCKSELE</t>
        </is>
      </c>
      <c r="F10885" t="inlineStr">
        <is>
          <t>Sveaskog</t>
        </is>
      </c>
      <c r="G10885" t="n">
        <v>7.8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46775-2021</t>
        </is>
      </c>
      <c r="B10886" s="1" t="n">
        <v>44445.92061342593</v>
      </c>
      <c r="C10886" s="1" t="n">
        <v>46075</v>
      </c>
      <c r="D10886" t="inlineStr">
        <is>
          <t>VÄSTERBOTTENS LÄN</t>
        </is>
      </c>
      <c r="E10886" t="inlineStr">
        <is>
          <t>NORSJÖ</t>
        </is>
      </c>
      <c r="G10886" t="n">
        <v>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25074-2024</t>
        </is>
      </c>
      <c r="B10887" s="1" t="n">
        <v>45462.37814814815</v>
      </c>
      <c r="C10887" s="1" t="n">
        <v>46075</v>
      </c>
      <c r="D10887" t="inlineStr">
        <is>
          <t>VÄSTERBOTTENS LÄN</t>
        </is>
      </c>
      <c r="E10887" t="inlineStr">
        <is>
          <t>NORSJÖ</t>
        </is>
      </c>
      <c r="G10887" t="n">
        <v>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40053-2021</t>
        </is>
      </c>
      <c r="B10888" s="1" t="n">
        <v>44418</v>
      </c>
      <c r="C10888" s="1" t="n">
        <v>46075</v>
      </c>
      <c r="D10888" t="inlineStr">
        <is>
          <t>VÄSTERBOTTENS LÄN</t>
        </is>
      </c>
      <c r="E10888" t="inlineStr">
        <is>
          <t>NORDMALING</t>
        </is>
      </c>
      <c r="G10888" t="n">
        <v>1.5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8634-2023</t>
        </is>
      </c>
      <c r="B10889" s="1" t="n">
        <v>44977.93446759259</v>
      </c>
      <c r="C10889" s="1" t="n">
        <v>46075</v>
      </c>
      <c r="D10889" t="inlineStr">
        <is>
          <t>VÄSTERBOTTENS LÄN</t>
        </is>
      </c>
      <c r="E10889" t="inlineStr">
        <is>
          <t>ÅSELE</t>
        </is>
      </c>
      <c r="G10889" t="n">
        <v>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8648-2023</t>
        </is>
      </c>
      <c r="B10890" s="1" t="n">
        <v>44977.98358796296</v>
      </c>
      <c r="C10890" s="1" t="n">
        <v>46075</v>
      </c>
      <c r="D10890" t="inlineStr">
        <is>
          <t>VÄSTERBOTTENS LÄN</t>
        </is>
      </c>
      <c r="E10890" t="inlineStr">
        <is>
          <t>SKELLEFTEÅ</t>
        </is>
      </c>
      <c r="F10890" t="inlineStr">
        <is>
          <t>SCA</t>
        </is>
      </c>
      <c r="G10890" t="n">
        <v>1.4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58030-2024</t>
        </is>
      </c>
      <c r="B10891" s="1" t="n">
        <v>45631</v>
      </c>
      <c r="C10891" s="1" t="n">
        <v>46075</v>
      </c>
      <c r="D10891" t="inlineStr">
        <is>
          <t>VÄSTERBOTTENS LÄN</t>
        </is>
      </c>
      <c r="E10891" t="inlineStr">
        <is>
          <t>ROBERTSFORS</t>
        </is>
      </c>
      <c r="G10891" t="n">
        <v>2.2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33726-2022</t>
        </is>
      </c>
      <c r="B10892" s="1" t="n">
        <v>44789</v>
      </c>
      <c r="C10892" s="1" t="n">
        <v>46075</v>
      </c>
      <c r="D10892" t="inlineStr">
        <is>
          <t>VÄSTERBOTTENS LÄN</t>
        </is>
      </c>
      <c r="E10892" t="inlineStr">
        <is>
          <t>LYCKSELE</t>
        </is>
      </c>
      <c r="F10892" t="inlineStr">
        <is>
          <t>SCA</t>
        </is>
      </c>
      <c r="G10892" t="n">
        <v>12.7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3602-2025</t>
        </is>
      </c>
      <c r="B10893" s="1" t="n">
        <v>45681.34489583333</v>
      </c>
      <c r="C10893" s="1" t="n">
        <v>46075</v>
      </c>
      <c r="D10893" t="inlineStr">
        <is>
          <t>VÄSTERBOTTENS LÄN</t>
        </is>
      </c>
      <c r="E10893" t="inlineStr">
        <is>
          <t>SORSELE</t>
        </is>
      </c>
      <c r="F10893" t="inlineStr">
        <is>
          <t>SCA</t>
        </is>
      </c>
      <c r="G10893" t="n">
        <v>1.5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19806-2024</t>
        </is>
      </c>
      <c r="B10894" s="1" t="n">
        <v>45433</v>
      </c>
      <c r="C10894" s="1" t="n">
        <v>46075</v>
      </c>
      <c r="D10894" t="inlineStr">
        <is>
          <t>VÄSTERBOTTENS LÄN</t>
        </is>
      </c>
      <c r="E10894" t="inlineStr">
        <is>
          <t>ROBERTSFORS</t>
        </is>
      </c>
      <c r="F10894" t="inlineStr">
        <is>
          <t>Sveaskog</t>
        </is>
      </c>
      <c r="G10894" t="n">
        <v>19.5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53096-2024</t>
        </is>
      </c>
      <c r="B10895" s="1" t="n">
        <v>45611.53107638889</v>
      </c>
      <c r="C10895" s="1" t="n">
        <v>46075</v>
      </c>
      <c r="D10895" t="inlineStr">
        <is>
          <t>VÄSTERBOTTENS LÄN</t>
        </is>
      </c>
      <c r="E10895" t="inlineStr">
        <is>
          <t>LYCKSELE</t>
        </is>
      </c>
      <c r="F10895" t="inlineStr">
        <is>
          <t>Sveaskog</t>
        </is>
      </c>
      <c r="G10895" t="n">
        <v>8.4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25491-2021</t>
        </is>
      </c>
      <c r="B10896" s="1" t="n">
        <v>44342</v>
      </c>
      <c r="C10896" s="1" t="n">
        <v>46075</v>
      </c>
      <c r="D10896" t="inlineStr">
        <is>
          <t>VÄSTERBOTTENS LÄN</t>
        </is>
      </c>
      <c r="E10896" t="inlineStr">
        <is>
          <t>SKELLEFTEÅ</t>
        </is>
      </c>
      <c r="G10896" t="n">
        <v>2.9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55203-2024</t>
        </is>
      </c>
      <c r="B10897" s="1" t="n">
        <v>45621.55994212963</v>
      </c>
      <c r="C10897" s="1" t="n">
        <v>46075</v>
      </c>
      <c r="D10897" t="inlineStr">
        <is>
          <t>VÄSTERBOTTENS LÄN</t>
        </is>
      </c>
      <c r="E10897" t="inlineStr">
        <is>
          <t>LYCKSELE</t>
        </is>
      </c>
      <c r="F10897" t="inlineStr">
        <is>
          <t>Sveaskog</t>
        </is>
      </c>
      <c r="G10897" t="n">
        <v>3.2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40274-2023</t>
        </is>
      </c>
      <c r="B10898" s="1" t="n">
        <v>45169.55936342593</v>
      </c>
      <c r="C10898" s="1" t="n">
        <v>46075</v>
      </c>
      <c r="D10898" t="inlineStr">
        <is>
          <t>VÄSTERBOTTENS LÄN</t>
        </is>
      </c>
      <c r="E10898" t="inlineStr">
        <is>
          <t>SKELLEFTEÅ</t>
        </is>
      </c>
      <c r="G10898" t="n">
        <v>2.6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50476-2024</t>
        </is>
      </c>
      <c r="B10899" s="1" t="n">
        <v>45601.47450231481</v>
      </c>
      <c r="C10899" s="1" t="n">
        <v>46075</v>
      </c>
      <c r="D10899" t="inlineStr">
        <is>
          <t>VÄSTERBOTTENS LÄN</t>
        </is>
      </c>
      <c r="E10899" t="inlineStr">
        <is>
          <t>SKELLEFTEÅ</t>
        </is>
      </c>
      <c r="F10899" t="inlineStr">
        <is>
          <t>Holmen skog AB</t>
        </is>
      </c>
      <c r="G10899" t="n">
        <v>0.5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26395-2023</t>
        </is>
      </c>
      <c r="B10900" s="1" t="n">
        <v>45092.35770833334</v>
      </c>
      <c r="C10900" s="1" t="n">
        <v>46075</v>
      </c>
      <c r="D10900" t="inlineStr">
        <is>
          <t>VÄSTERBOTTENS LÄN</t>
        </is>
      </c>
      <c r="E10900" t="inlineStr">
        <is>
          <t>ÅSELE</t>
        </is>
      </c>
      <c r="F10900" t="inlineStr">
        <is>
          <t>Holmen skog AB</t>
        </is>
      </c>
      <c r="G10900" t="n">
        <v>4.1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7777-2024</t>
        </is>
      </c>
      <c r="B10901" s="1" t="n">
        <v>45349</v>
      </c>
      <c r="C10901" s="1" t="n">
        <v>46075</v>
      </c>
      <c r="D10901" t="inlineStr">
        <is>
          <t>VÄSTERBOTTENS LÄN</t>
        </is>
      </c>
      <c r="E10901" t="inlineStr">
        <is>
          <t>VILHELMINA</t>
        </is>
      </c>
      <c r="G10901" t="n">
        <v>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49481-2024</t>
        </is>
      </c>
      <c r="B10902" s="1" t="n">
        <v>45596.3479050926</v>
      </c>
      <c r="C10902" s="1" t="n">
        <v>46075</v>
      </c>
      <c r="D10902" t="inlineStr">
        <is>
          <t>VÄSTERBOTTENS LÄN</t>
        </is>
      </c>
      <c r="E10902" t="inlineStr">
        <is>
          <t>NORSJÖ</t>
        </is>
      </c>
      <c r="G10902" t="n">
        <v>6.8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9162-2022</t>
        </is>
      </c>
      <c r="B10903" s="1" t="n">
        <v>44615</v>
      </c>
      <c r="C10903" s="1" t="n">
        <v>46075</v>
      </c>
      <c r="D10903" t="inlineStr">
        <is>
          <t>VÄSTERBOTTENS LÄN</t>
        </is>
      </c>
      <c r="E10903" t="inlineStr">
        <is>
          <t>VILHELMINA</t>
        </is>
      </c>
      <c r="G10903" t="n">
        <v>7.2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52280-2023</t>
        </is>
      </c>
      <c r="B10904" s="1" t="n">
        <v>45224.57511574074</v>
      </c>
      <c r="C10904" s="1" t="n">
        <v>46075</v>
      </c>
      <c r="D10904" t="inlineStr">
        <is>
          <t>VÄSTERBOTTENS LÄN</t>
        </is>
      </c>
      <c r="E10904" t="inlineStr">
        <is>
          <t>ÅSELE</t>
        </is>
      </c>
      <c r="F10904" t="inlineStr">
        <is>
          <t>Holmen skog AB</t>
        </is>
      </c>
      <c r="G10904" t="n">
        <v>15.4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33753-2021</t>
        </is>
      </c>
      <c r="B10905" s="1" t="n">
        <v>44378.49517361111</v>
      </c>
      <c r="C10905" s="1" t="n">
        <v>46075</v>
      </c>
      <c r="D10905" t="inlineStr">
        <is>
          <t>VÄSTERBOTTENS LÄN</t>
        </is>
      </c>
      <c r="E10905" t="inlineStr">
        <is>
          <t>UMEÅ</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14226-2023</t>
        </is>
      </c>
      <c r="B10906" s="1" t="n">
        <v>45009</v>
      </c>
      <c r="C10906" s="1" t="n">
        <v>46075</v>
      </c>
      <c r="D10906" t="inlineStr">
        <is>
          <t>VÄSTERBOTTENS LÄN</t>
        </is>
      </c>
      <c r="E10906" t="inlineStr">
        <is>
          <t>NORSJÖ</t>
        </is>
      </c>
      <c r="G10906" t="n">
        <v>0.8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8282-2023</t>
        </is>
      </c>
      <c r="B10907" s="1" t="n">
        <v>44974</v>
      </c>
      <c r="C10907" s="1" t="n">
        <v>46075</v>
      </c>
      <c r="D10907" t="inlineStr">
        <is>
          <t>VÄSTERBOTTENS LÄN</t>
        </is>
      </c>
      <c r="E10907" t="inlineStr">
        <is>
          <t>SORSELE</t>
        </is>
      </c>
      <c r="G10907" t="n">
        <v>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26541-2024</t>
        </is>
      </c>
      <c r="B10908" s="1" t="n">
        <v>45469.61785879629</v>
      </c>
      <c r="C10908" s="1" t="n">
        <v>46075</v>
      </c>
      <c r="D10908" t="inlineStr">
        <is>
          <t>VÄSTERBOTTENS LÄN</t>
        </is>
      </c>
      <c r="E10908" t="inlineStr">
        <is>
          <t>NORSJÖ</t>
        </is>
      </c>
      <c r="F10908" t="inlineStr">
        <is>
          <t>Holmen skog AB</t>
        </is>
      </c>
      <c r="G10908" t="n">
        <v>3.9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13569-2025</t>
        </is>
      </c>
      <c r="B10909" s="1" t="n">
        <v>45736.57212962963</v>
      </c>
      <c r="C10909" s="1" t="n">
        <v>46075</v>
      </c>
      <c r="D10909" t="inlineStr">
        <is>
          <t>VÄSTERBOTTENS LÄN</t>
        </is>
      </c>
      <c r="E10909" t="inlineStr">
        <is>
          <t>SKELLEFTEÅ</t>
        </is>
      </c>
      <c r="G10909" t="n">
        <v>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61992-2024</t>
        </is>
      </c>
      <c r="B10910" s="1" t="n">
        <v>45646</v>
      </c>
      <c r="C10910" s="1" t="n">
        <v>46075</v>
      </c>
      <c r="D10910" t="inlineStr">
        <is>
          <t>VÄSTERBOTTENS LÄN</t>
        </is>
      </c>
      <c r="E10910" t="inlineStr">
        <is>
          <t>MALÅ</t>
        </is>
      </c>
      <c r="F10910" t="inlineStr">
        <is>
          <t>Sveaskog</t>
        </is>
      </c>
      <c r="G10910" t="n">
        <v>2.3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13758-2024</t>
        </is>
      </c>
      <c r="B10911" s="1" t="n">
        <v>45390.92747685185</v>
      </c>
      <c r="C10911" s="1" t="n">
        <v>46075</v>
      </c>
      <c r="D10911" t="inlineStr">
        <is>
          <t>VÄSTERBOTTENS LÄN</t>
        </is>
      </c>
      <c r="E10911" t="inlineStr">
        <is>
          <t>VÄNNÄS</t>
        </is>
      </c>
      <c r="G10911" t="n">
        <v>3.4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52529-2023</t>
        </is>
      </c>
      <c r="B10912" s="1" t="n">
        <v>45225.53422453703</v>
      </c>
      <c r="C10912" s="1" t="n">
        <v>46075</v>
      </c>
      <c r="D10912" t="inlineStr">
        <is>
          <t>VÄSTERBOTTENS LÄN</t>
        </is>
      </c>
      <c r="E10912" t="inlineStr">
        <is>
          <t>UMEÅ</t>
        </is>
      </c>
      <c r="G10912" t="n">
        <v>0.5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38616-2024</t>
        </is>
      </c>
      <c r="B10913" s="1" t="n">
        <v>45546.70543981482</v>
      </c>
      <c r="C10913" s="1" t="n">
        <v>46075</v>
      </c>
      <c r="D10913" t="inlineStr">
        <is>
          <t>VÄSTERBOTTENS LÄN</t>
        </is>
      </c>
      <c r="E10913" t="inlineStr">
        <is>
          <t>SKELLEFTEÅ</t>
        </is>
      </c>
      <c r="F10913" t="inlineStr">
        <is>
          <t>Holmen skog AB</t>
        </is>
      </c>
      <c r="G10913" t="n">
        <v>9.199999999999999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16229-2025</t>
        </is>
      </c>
      <c r="B10914" s="1" t="n">
        <v>45750.65299768518</v>
      </c>
      <c r="C10914" s="1" t="n">
        <v>46075</v>
      </c>
      <c r="D10914" t="inlineStr">
        <is>
          <t>VÄSTERBOTTENS LÄN</t>
        </is>
      </c>
      <c r="E10914" t="inlineStr">
        <is>
          <t>NORSJÖ</t>
        </is>
      </c>
      <c r="G10914" t="n">
        <v>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16232-2025</t>
        </is>
      </c>
      <c r="B10915" s="1" t="n">
        <v>45750.65483796296</v>
      </c>
      <c r="C10915" s="1" t="n">
        <v>46075</v>
      </c>
      <c r="D10915" t="inlineStr">
        <is>
          <t>VÄSTERBOTTENS LÄN</t>
        </is>
      </c>
      <c r="E10915" t="inlineStr">
        <is>
          <t>NORSJÖ</t>
        </is>
      </c>
      <c r="G10915" t="n">
        <v>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16236-2025</t>
        </is>
      </c>
      <c r="B10916" s="1" t="n">
        <v>45750</v>
      </c>
      <c r="C10916" s="1" t="n">
        <v>46075</v>
      </c>
      <c r="D10916" t="inlineStr">
        <is>
          <t>VÄSTERBOTTENS LÄN</t>
        </is>
      </c>
      <c r="E10916" t="inlineStr">
        <is>
          <t>SKELLEFTEÅ</t>
        </is>
      </c>
      <c r="G10916" t="n">
        <v>4.9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60061-2023</t>
        </is>
      </c>
      <c r="B10917" s="1" t="n">
        <v>45258.38234953704</v>
      </c>
      <c r="C10917" s="1" t="n">
        <v>46075</v>
      </c>
      <c r="D10917" t="inlineStr">
        <is>
          <t>VÄSTERBOTTENS LÄN</t>
        </is>
      </c>
      <c r="E10917" t="inlineStr">
        <is>
          <t>LYCKSELE</t>
        </is>
      </c>
      <c r="G10917" t="n">
        <v>4.4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51664-2023</t>
        </is>
      </c>
      <c r="B10918" s="1" t="n">
        <v>45215</v>
      </c>
      <c r="C10918" s="1" t="n">
        <v>46075</v>
      </c>
      <c r="D10918" t="inlineStr">
        <is>
          <t>VÄSTERBOTTENS LÄN</t>
        </is>
      </c>
      <c r="E10918" t="inlineStr">
        <is>
          <t>SKELLEFTEÅ</t>
        </is>
      </c>
      <c r="G10918" t="n">
        <v>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64281-2023</t>
        </is>
      </c>
      <c r="B10919" s="1" t="n">
        <v>45279</v>
      </c>
      <c r="C10919" s="1" t="n">
        <v>46075</v>
      </c>
      <c r="D10919" t="inlineStr">
        <is>
          <t>VÄSTERBOTTENS LÄN</t>
        </is>
      </c>
      <c r="E10919" t="inlineStr">
        <is>
          <t>LYCKSELE</t>
        </is>
      </c>
      <c r="G10919" t="n">
        <v>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6910-2023</t>
        </is>
      </c>
      <c r="B10920" s="1" t="n">
        <v>44964</v>
      </c>
      <c r="C10920" s="1" t="n">
        <v>46075</v>
      </c>
      <c r="D10920" t="inlineStr">
        <is>
          <t>VÄSTERBOTTENS LÄN</t>
        </is>
      </c>
      <c r="E10920" t="inlineStr">
        <is>
          <t>MALÅ</t>
        </is>
      </c>
      <c r="G10920" t="n">
        <v>1.7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25734-2023</t>
        </is>
      </c>
      <c r="B10921" s="1" t="n">
        <v>45090.41349537037</v>
      </c>
      <c r="C10921" s="1" t="n">
        <v>46075</v>
      </c>
      <c r="D10921" t="inlineStr">
        <is>
          <t>VÄSTERBOTTENS LÄN</t>
        </is>
      </c>
      <c r="E10921" t="inlineStr">
        <is>
          <t>NORSJÖ</t>
        </is>
      </c>
      <c r="F10921" t="inlineStr">
        <is>
          <t>Holmen skog AB</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40373-2023</t>
        </is>
      </c>
      <c r="B10922" s="1" t="n">
        <v>45169</v>
      </c>
      <c r="C10922" s="1" t="n">
        <v>46075</v>
      </c>
      <c r="D10922" t="inlineStr">
        <is>
          <t>VÄSTERBOTTENS LÄN</t>
        </is>
      </c>
      <c r="E10922" t="inlineStr">
        <is>
          <t>SKELLEFTEÅ</t>
        </is>
      </c>
      <c r="F10922" t="inlineStr">
        <is>
          <t>Sveaskog</t>
        </is>
      </c>
      <c r="G10922" t="n">
        <v>16.6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59133-2024</t>
        </is>
      </c>
      <c r="B10923" s="1" t="n">
        <v>45636</v>
      </c>
      <c r="C10923" s="1" t="n">
        <v>46075</v>
      </c>
      <c r="D10923" t="inlineStr">
        <is>
          <t>VÄSTERBOTTENS LÄN</t>
        </is>
      </c>
      <c r="E10923" t="inlineStr">
        <is>
          <t>NORSJÖ</t>
        </is>
      </c>
      <c r="G10923" t="n">
        <v>8.199999999999999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41427-2024</t>
        </is>
      </c>
      <c r="B10924" s="1" t="n">
        <v>45560.35121527778</v>
      </c>
      <c r="C10924" s="1" t="n">
        <v>46075</v>
      </c>
      <c r="D10924" t="inlineStr">
        <is>
          <t>VÄSTERBOTTENS LÄN</t>
        </is>
      </c>
      <c r="E10924" t="inlineStr">
        <is>
          <t>ÅSELE</t>
        </is>
      </c>
      <c r="F10924" t="inlineStr">
        <is>
          <t>Sveaskog</t>
        </is>
      </c>
      <c r="G10924" t="n">
        <v>1.4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45343-2024</t>
        </is>
      </c>
      <c r="B10925" s="1" t="n">
        <v>45576.47199074074</v>
      </c>
      <c r="C10925" s="1" t="n">
        <v>46075</v>
      </c>
      <c r="D10925" t="inlineStr">
        <is>
          <t>VÄSTERBOTTENS LÄN</t>
        </is>
      </c>
      <c r="E10925" t="inlineStr">
        <is>
          <t>UMEÅ</t>
        </is>
      </c>
      <c r="F10925" t="inlineStr">
        <is>
          <t>Holmen skog AB</t>
        </is>
      </c>
      <c r="G10925" t="n">
        <v>6.1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45374-2024</t>
        </is>
      </c>
      <c r="B10926" s="1" t="n">
        <v>45576.51516203704</v>
      </c>
      <c r="C10926" s="1" t="n">
        <v>46075</v>
      </c>
      <c r="D10926" t="inlineStr">
        <is>
          <t>VÄSTERBOTTENS LÄN</t>
        </is>
      </c>
      <c r="E10926" t="inlineStr">
        <is>
          <t>SKELLEFTEÅ</t>
        </is>
      </c>
      <c r="G10926" t="n">
        <v>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52104-2023</t>
        </is>
      </c>
      <c r="B10927" s="1" t="n">
        <v>45223</v>
      </c>
      <c r="C10927" s="1" t="n">
        <v>46075</v>
      </c>
      <c r="D10927" t="inlineStr">
        <is>
          <t>VÄSTERBOTTENS LÄN</t>
        </is>
      </c>
      <c r="E10927" t="inlineStr">
        <is>
          <t>MALÅ</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45403-2024</t>
        </is>
      </c>
      <c r="B10928" s="1" t="n">
        <v>45576.57667824074</v>
      </c>
      <c r="C10928" s="1" t="n">
        <v>46075</v>
      </c>
      <c r="D10928" t="inlineStr">
        <is>
          <t>VÄSTERBOTTENS LÄN</t>
        </is>
      </c>
      <c r="E10928" t="inlineStr">
        <is>
          <t>SKELLEFTEÅ</t>
        </is>
      </c>
      <c r="G10928" t="n">
        <v>2.5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52148-2023</t>
        </is>
      </c>
      <c r="B10929" s="1" t="n">
        <v>45223.9649537037</v>
      </c>
      <c r="C10929" s="1" t="n">
        <v>46075</v>
      </c>
      <c r="D10929" t="inlineStr">
        <is>
          <t>VÄSTERBOTTENS LÄN</t>
        </is>
      </c>
      <c r="E10929" t="inlineStr">
        <is>
          <t>DOROTEA</t>
        </is>
      </c>
      <c r="F10929" t="inlineStr">
        <is>
          <t>SCA</t>
        </is>
      </c>
      <c r="G10929" t="n">
        <v>2.8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28939-2024</t>
        </is>
      </c>
      <c r="B10930" s="1" t="n">
        <v>45481.37263888889</v>
      </c>
      <c r="C10930" s="1" t="n">
        <v>46075</v>
      </c>
      <c r="D10930" t="inlineStr">
        <is>
          <t>VÄSTERBOTTENS LÄN</t>
        </is>
      </c>
      <c r="E10930" t="inlineStr">
        <is>
          <t>ÅSELE</t>
        </is>
      </c>
      <c r="F10930" t="inlineStr">
        <is>
          <t>Sveaskog</t>
        </is>
      </c>
      <c r="G10930" t="n">
        <v>1.6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31731-2024</t>
        </is>
      </c>
      <c r="B10931" s="1" t="n">
        <v>45509.36456018518</v>
      </c>
      <c r="C10931" s="1" t="n">
        <v>46075</v>
      </c>
      <c r="D10931" t="inlineStr">
        <is>
          <t>VÄSTERBOTTENS LÄN</t>
        </is>
      </c>
      <c r="E10931" t="inlineStr">
        <is>
          <t>ROBERTSFORS</t>
        </is>
      </c>
      <c r="G10931" t="n">
        <v>0.5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71798-2021</t>
        </is>
      </c>
      <c r="B10932" s="1" t="n">
        <v>44543.56943287037</v>
      </c>
      <c r="C10932" s="1" t="n">
        <v>46075</v>
      </c>
      <c r="D10932" t="inlineStr">
        <is>
          <t>VÄSTERBOTTENS LÄN</t>
        </is>
      </c>
      <c r="E10932" t="inlineStr">
        <is>
          <t>SKELLEFTEÅ</t>
        </is>
      </c>
      <c r="G10932" t="n">
        <v>1.7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26955-2023</t>
        </is>
      </c>
      <c r="B10933" s="1" t="n">
        <v>45091</v>
      </c>
      <c r="C10933" s="1" t="n">
        <v>46075</v>
      </c>
      <c r="D10933" t="inlineStr">
        <is>
          <t>VÄSTERBOTTENS LÄN</t>
        </is>
      </c>
      <c r="E10933" t="inlineStr">
        <is>
          <t>SKELLEFTEÅ</t>
        </is>
      </c>
      <c r="G10933" t="n">
        <v>0.7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39594-2023</t>
        </is>
      </c>
      <c r="B10934" s="1" t="n">
        <v>45167</v>
      </c>
      <c r="C10934" s="1" t="n">
        <v>46075</v>
      </c>
      <c r="D10934" t="inlineStr">
        <is>
          <t>VÄSTERBOTTENS LÄN</t>
        </is>
      </c>
      <c r="E10934" t="inlineStr">
        <is>
          <t>UMEÅ</t>
        </is>
      </c>
      <c r="F10934" t="inlineStr">
        <is>
          <t>Sveaskog</t>
        </is>
      </c>
      <c r="G10934" t="n">
        <v>8.6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61475-2022</t>
        </is>
      </c>
      <c r="B10935" s="1" t="n">
        <v>44916</v>
      </c>
      <c r="C10935" s="1" t="n">
        <v>46075</v>
      </c>
      <c r="D10935" t="inlineStr">
        <is>
          <t>VÄSTERBOTTENS LÄN</t>
        </is>
      </c>
      <c r="E10935" t="inlineStr">
        <is>
          <t>VINDELN</t>
        </is>
      </c>
      <c r="F10935" t="inlineStr">
        <is>
          <t>Holmen skog AB</t>
        </is>
      </c>
      <c r="G10935" t="n">
        <v>4.4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13745-2021</t>
        </is>
      </c>
      <c r="B10936" s="1" t="n">
        <v>44274</v>
      </c>
      <c r="C10936" s="1" t="n">
        <v>46075</v>
      </c>
      <c r="D10936" t="inlineStr">
        <is>
          <t>VÄSTERBOTTENS LÄN</t>
        </is>
      </c>
      <c r="E10936" t="inlineStr">
        <is>
          <t>UMEÅ</t>
        </is>
      </c>
      <c r="G10936" t="n">
        <v>1.7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5374-2025</t>
        </is>
      </c>
      <c r="B10937" s="1" t="n">
        <v>45692</v>
      </c>
      <c r="C10937" s="1" t="n">
        <v>46075</v>
      </c>
      <c r="D10937" t="inlineStr">
        <is>
          <t>VÄSTERBOTTENS LÄN</t>
        </is>
      </c>
      <c r="E10937" t="inlineStr">
        <is>
          <t>SKELLEFTEÅ</t>
        </is>
      </c>
      <c r="G10937" t="n">
        <v>0.5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25944-2023</t>
        </is>
      </c>
      <c r="B10938" s="1" t="n">
        <v>45090.70563657407</v>
      </c>
      <c r="C10938" s="1" t="n">
        <v>46075</v>
      </c>
      <c r="D10938" t="inlineStr">
        <is>
          <t>VÄSTERBOTTENS LÄN</t>
        </is>
      </c>
      <c r="E10938" t="inlineStr">
        <is>
          <t>BJURHOLM</t>
        </is>
      </c>
      <c r="G10938" t="n">
        <v>1.2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51352-2024</t>
        </is>
      </c>
      <c r="B10939" s="1" t="n">
        <v>45604.36130787037</v>
      </c>
      <c r="C10939" s="1" t="n">
        <v>46075</v>
      </c>
      <c r="D10939" t="inlineStr">
        <is>
          <t>VÄSTERBOTTENS LÄN</t>
        </is>
      </c>
      <c r="E10939" t="inlineStr">
        <is>
          <t>NORSJÖ</t>
        </is>
      </c>
      <c r="F10939" t="inlineStr">
        <is>
          <t>Holmen skog AB</t>
        </is>
      </c>
      <c r="G10939" t="n">
        <v>7.4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4034-2024</t>
        </is>
      </c>
      <c r="B10940" s="1" t="n">
        <v>45323.41511574074</v>
      </c>
      <c r="C10940" s="1" t="n">
        <v>46075</v>
      </c>
      <c r="D10940" t="inlineStr">
        <is>
          <t>VÄSTERBOTTENS LÄN</t>
        </is>
      </c>
      <c r="E10940" t="inlineStr">
        <is>
          <t>SKELLEFTEÅ</t>
        </is>
      </c>
      <c r="G10940" t="n">
        <v>0.6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5541-2025</t>
        </is>
      </c>
      <c r="B10941" s="1" t="n">
        <v>45693.45158564814</v>
      </c>
      <c r="C10941" s="1" t="n">
        <v>46075</v>
      </c>
      <c r="D10941" t="inlineStr">
        <is>
          <t>VÄSTERBOTTENS LÄN</t>
        </is>
      </c>
      <c r="E10941" t="inlineStr">
        <is>
          <t>BJURHOLM</t>
        </is>
      </c>
      <c r="G10941" t="n">
        <v>3.7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5563-2025</t>
        </is>
      </c>
      <c r="B10942" s="1" t="n">
        <v>45693</v>
      </c>
      <c r="C10942" s="1" t="n">
        <v>46075</v>
      </c>
      <c r="D10942" t="inlineStr">
        <is>
          <t>VÄSTERBOTTENS LÄN</t>
        </is>
      </c>
      <c r="E10942" t="inlineStr">
        <is>
          <t>SKELLEFTEÅ</t>
        </is>
      </c>
      <c r="G10942" t="n">
        <v>2.7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37467-2023</t>
        </is>
      </c>
      <c r="B10943" s="1" t="n">
        <v>45156</v>
      </c>
      <c r="C10943" s="1" t="n">
        <v>46075</v>
      </c>
      <c r="D10943" t="inlineStr">
        <is>
          <t>VÄSTERBOTTENS LÄN</t>
        </is>
      </c>
      <c r="E10943" t="inlineStr">
        <is>
          <t>NORSJÖ</t>
        </is>
      </c>
      <c r="G10943" t="n">
        <v>0.7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37491-2023</t>
        </is>
      </c>
      <c r="B10944" s="1" t="n">
        <v>45156</v>
      </c>
      <c r="C10944" s="1" t="n">
        <v>46075</v>
      </c>
      <c r="D10944" t="inlineStr">
        <is>
          <t>VÄSTERBOTTENS LÄN</t>
        </is>
      </c>
      <c r="E10944" t="inlineStr">
        <is>
          <t>LYCKSELE</t>
        </is>
      </c>
      <c r="F10944" t="inlineStr">
        <is>
          <t>SCA</t>
        </is>
      </c>
      <c r="G10944" t="n">
        <v>0.4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59596-2023</t>
        </is>
      </c>
      <c r="B10945" s="1" t="n">
        <v>45254</v>
      </c>
      <c r="C10945" s="1" t="n">
        <v>46075</v>
      </c>
      <c r="D10945" t="inlineStr">
        <is>
          <t>VÄSTERBOTTENS LÄN</t>
        </is>
      </c>
      <c r="E10945" t="inlineStr">
        <is>
          <t>ROBERTSFORS</t>
        </is>
      </c>
      <c r="F10945" t="inlineStr">
        <is>
          <t>Holmen skog AB</t>
        </is>
      </c>
      <c r="G10945" t="n">
        <v>3.3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39260-2024</t>
        </is>
      </c>
      <c r="B10946" s="1" t="n">
        <v>45551.33335648148</v>
      </c>
      <c r="C10946" s="1" t="n">
        <v>46075</v>
      </c>
      <c r="D10946" t="inlineStr">
        <is>
          <t>VÄSTERBOTTENS LÄN</t>
        </is>
      </c>
      <c r="E10946" t="inlineStr">
        <is>
          <t>STORUMAN</t>
        </is>
      </c>
      <c r="G10946" t="n">
        <v>3.2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56414-2022</t>
        </is>
      </c>
      <c r="B10947" s="1" t="n">
        <v>44890</v>
      </c>
      <c r="C10947" s="1" t="n">
        <v>46075</v>
      </c>
      <c r="D10947" t="inlineStr">
        <is>
          <t>VÄSTERBOTTENS LÄN</t>
        </is>
      </c>
      <c r="E10947" t="inlineStr">
        <is>
          <t>SORSELE</t>
        </is>
      </c>
      <c r="F10947" t="inlineStr">
        <is>
          <t>SCA</t>
        </is>
      </c>
      <c r="G10947" t="n">
        <v>2.3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40607-2023</t>
        </is>
      </c>
      <c r="B10948" s="1" t="n">
        <v>45170</v>
      </c>
      <c r="C10948" s="1" t="n">
        <v>46075</v>
      </c>
      <c r="D10948" t="inlineStr">
        <is>
          <t>VÄSTERBOTTENS LÄN</t>
        </is>
      </c>
      <c r="E10948" t="inlineStr">
        <is>
          <t>MALÅ</t>
        </is>
      </c>
      <c r="F10948" t="inlineStr">
        <is>
          <t>Sveaskog</t>
        </is>
      </c>
      <c r="G10948" t="n">
        <v>14.7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14185-2022</t>
        </is>
      </c>
      <c r="B10949" s="1" t="n">
        <v>44650</v>
      </c>
      <c r="C10949" s="1" t="n">
        <v>46075</v>
      </c>
      <c r="D10949" t="inlineStr">
        <is>
          <t>VÄSTERBOTTENS LÄN</t>
        </is>
      </c>
      <c r="E10949" t="inlineStr">
        <is>
          <t>STORUMAN</t>
        </is>
      </c>
      <c r="F10949" t="inlineStr">
        <is>
          <t>Övriga statliga verk och myndigheter</t>
        </is>
      </c>
      <c r="G10949" t="n">
        <v>4.8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54212-2024</t>
        </is>
      </c>
      <c r="B10950" s="1" t="n">
        <v>45616.65744212963</v>
      </c>
      <c r="C10950" s="1" t="n">
        <v>46075</v>
      </c>
      <c r="D10950" t="inlineStr">
        <is>
          <t>VÄSTERBOTTENS LÄN</t>
        </is>
      </c>
      <c r="E10950" t="inlineStr">
        <is>
          <t>VINDELN</t>
        </is>
      </c>
      <c r="F10950" t="inlineStr">
        <is>
          <t>Holmen skog AB</t>
        </is>
      </c>
      <c r="G10950" t="n">
        <v>5.5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61895-2024</t>
        </is>
      </c>
      <c r="B10951" s="1" t="n">
        <v>45652.74261574074</v>
      </c>
      <c r="C10951" s="1" t="n">
        <v>46075</v>
      </c>
      <c r="D10951" t="inlineStr">
        <is>
          <t>VÄSTERBOTTENS LÄN</t>
        </is>
      </c>
      <c r="E10951" t="inlineStr">
        <is>
          <t>LYCKSELE</t>
        </is>
      </c>
      <c r="G10951" t="n">
        <v>2.7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18751-2023</t>
        </is>
      </c>
      <c r="B10952" s="1" t="n">
        <v>45043</v>
      </c>
      <c r="C10952" s="1" t="n">
        <v>46075</v>
      </c>
      <c r="D10952" t="inlineStr">
        <is>
          <t>VÄSTERBOTTENS LÄN</t>
        </is>
      </c>
      <c r="E10952" t="inlineStr">
        <is>
          <t>SORSELE</t>
        </is>
      </c>
      <c r="G10952" t="n">
        <v>5.7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19230-2023</t>
        </is>
      </c>
      <c r="B10953" s="1" t="n">
        <v>45048</v>
      </c>
      <c r="C10953" s="1" t="n">
        <v>46075</v>
      </c>
      <c r="D10953" t="inlineStr">
        <is>
          <t>VÄSTERBOTTENS LÄN</t>
        </is>
      </c>
      <c r="E10953" t="inlineStr">
        <is>
          <t>NORDMALING</t>
        </is>
      </c>
      <c r="G10953" t="n">
        <v>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62700-2022</t>
        </is>
      </c>
      <c r="B10954" s="1" t="n">
        <v>44925.59396990741</v>
      </c>
      <c r="C10954" s="1" t="n">
        <v>46075</v>
      </c>
      <c r="D10954" t="inlineStr">
        <is>
          <t>VÄSTERBOTTENS LÄN</t>
        </is>
      </c>
      <c r="E10954" t="inlineStr">
        <is>
          <t>VINDELN</t>
        </is>
      </c>
      <c r="G10954" t="n">
        <v>0.6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10941-2023</t>
        </is>
      </c>
      <c r="B10955" s="1" t="n">
        <v>44985</v>
      </c>
      <c r="C10955" s="1" t="n">
        <v>46075</v>
      </c>
      <c r="D10955" t="inlineStr">
        <is>
          <t>VÄSTERBOTTENS LÄN</t>
        </is>
      </c>
      <c r="E10955" t="inlineStr">
        <is>
          <t>VILHELMINA</t>
        </is>
      </c>
      <c r="G10955" t="n">
        <v>16.7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8974-2022</t>
        </is>
      </c>
      <c r="B10956" s="1" t="n">
        <v>44614</v>
      </c>
      <c r="C10956" s="1" t="n">
        <v>46075</v>
      </c>
      <c r="D10956" t="inlineStr">
        <is>
          <t>VÄSTERBOTTENS LÄN</t>
        </is>
      </c>
      <c r="E10956" t="inlineStr">
        <is>
          <t>VINDELN</t>
        </is>
      </c>
      <c r="G10956" t="n">
        <v>0.7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54509-2024</t>
        </is>
      </c>
      <c r="B10957" s="1" t="n">
        <v>45617.58597222222</v>
      </c>
      <c r="C10957" s="1" t="n">
        <v>46075</v>
      </c>
      <c r="D10957" t="inlineStr">
        <is>
          <t>VÄSTERBOTTENS LÄN</t>
        </is>
      </c>
      <c r="E10957" t="inlineStr">
        <is>
          <t>UMEÅ</t>
        </is>
      </c>
      <c r="F10957" t="inlineStr">
        <is>
          <t>Holmen skog AB</t>
        </is>
      </c>
      <c r="G10957" t="n">
        <v>7.2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11640-2024</t>
        </is>
      </c>
      <c r="B10958" s="1" t="n">
        <v>45373</v>
      </c>
      <c r="C10958" s="1" t="n">
        <v>46075</v>
      </c>
      <c r="D10958" t="inlineStr">
        <is>
          <t>VÄSTERBOTTENS LÄN</t>
        </is>
      </c>
      <c r="E10958" t="inlineStr">
        <is>
          <t>LYCKSELE</t>
        </is>
      </c>
      <c r="G10958" t="n">
        <v>0.5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56447-2021</t>
        </is>
      </c>
      <c r="B10959" s="1" t="n">
        <v>44479</v>
      </c>
      <c r="C10959" s="1" t="n">
        <v>46075</v>
      </c>
      <c r="D10959" t="inlineStr">
        <is>
          <t>VÄSTERBOTTENS LÄN</t>
        </is>
      </c>
      <c r="E10959" t="inlineStr">
        <is>
          <t>VINDELN</t>
        </is>
      </c>
      <c r="G10959" t="n">
        <v>1.9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33693-2024</t>
        </is>
      </c>
      <c r="B10960" s="1" t="n">
        <v>45520.51587962963</v>
      </c>
      <c r="C10960" s="1" t="n">
        <v>46075</v>
      </c>
      <c r="D10960" t="inlineStr">
        <is>
          <t>VÄSTERBOTTENS LÄN</t>
        </is>
      </c>
      <c r="E10960" t="inlineStr">
        <is>
          <t>LYCKSELE</t>
        </is>
      </c>
      <c r="F10960" t="inlineStr">
        <is>
          <t>Sveaskog</t>
        </is>
      </c>
      <c r="G10960" t="n">
        <v>1.3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1407-2023</t>
        </is>
      </c>
      <c r="B10961" s="1" t="n">
        <v>44936</v>
      </c>
      <c r="C10961" s="1" t="n">
        <v>46075</v>
      </c>
      <c r="D10961" t="inlineStr">
        <is>
          <t>VÄSTERBOTTENS LÄN</t>
        </is>
      </c>
      <c r="E10961" t="inlineStr">
        <is>
          <t>ÅSELE</t>
        </is>
      </c>
      <c r="G10961" t="n">
        <v>11.5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41823-2024</t>
        </is>
      </c>
      <c r="B10962" s="1" t="n">
        <v>45561.39728009259</v>
      </c>
      <c r="C10962" s="1" t="n">
        <v>46075</v>
      </c>
      <c r="D10962" t="inlineStr">
        <is>
          <t>VÄSTERBOTTENS LÄN</t>
        </is>
      </c>
      <c r="E10962" t="inlineStr">
        <is>
          <t>STORUMAN</t>
        </is>
      </c>
      <c r="F10962" t="inlineStr">
        <is>
          <t>Sveaskog</t>
        </is>
      </c>
      <c r="G10962" t="n">
        <v>2.4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25344-2024</t>
        </is>
      </c>
      <c r="B10963" s="1" t="n">
        <v>45462.92693287037</v>
      </c>
      <c r="C10963" s="1" t="n">
        <v>46075</v>
      </c>
      <c r="D10963" t="inlineStr">
        <is>
          <t>VÄSTERBOTTENS LÄN</t>
        </is>
      </c>
      <c r="E10963" t="inlineStr">
        <is>
          <t>NORDMALING</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25349-2024</t>
        </is>
      </c>
      <c r="B10964" s="1" t="n">
        <v>45462</v>
      </c>
      <c r="C10964" s="1" t="n">
        <v>46075</v>
      </c>
      <c r="D10964" t="inlineStr">
        <is>
          <t>VÄSTERBOTTENS LÄN</t>
        </is>
      </c>
      <c r="E10964" t="inlineStr">
        <is>
          <t>NORDMALING</t>
        </is>
      </c>
      <c r="G10964" t="n">
        <v>1.5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8341-2024</t>
        </is>
      </c>
      <c r="B10965" s="1" t="n">
        <v>45351</v>
      </c>
      <c r="C10965" s="1" t="n">
        <v>46075</v>
      </c>
      <c r="D10965" t="inlineStr">
        <is>
          <t>VÄSTERBOTTENS LÄN</t>
        </is>
      </c>
      <c r="E10965" t="inlineStr">
        <is>
          <t>SKELLEFTEÅ</t>
        </is>
      </c>
      <c r="G10965" t="n">
        <v>9.6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1402-2025</t>
        </is>
      </c>
      <c r="B10966" s="1" t="n">
        <v>45667.70535879629</v>
      </c>
      <c r="C10966" s="1" t="n">
        <v>46075</v>
      </c>
      <c r="D10966" t="inlineStr">
        <is>
          <t>VÄSTERBOTTENS LÄN</t>
        </is>
      </c>
      <c r="E10966" t="inlineStr">
        <is>
          <t>SKELLEFTEÅ</t>
        </is>
      </c>
      <c r="G10966" t="n">
        <v>4.3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37816-2023</t>
        </is>
      </c>
      <c r="B10967" s="1" t="n">
        <v>45159.94234953704</v>
      </c>
      <c r="C10967" s="1" t="n">
        <v>46075</v>
      </c>
      <c r="D10967" t="inlineStr">
        <is>
          <t>VÄSTERBOTTENS LÄN</t>
        </is>
      </c>
      <c r="E10967" t="inlineStr">
        <is>
          <t>SORSELE</t>
        </is>
      </c>
      <c r="F10967" t="inlineStr">
        <is>
          <t>SCA</t>
        </is>
      </c>
      <c r="G10967" t="n">
        <v>1.4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26401-2022</t>
        </is>
      </c>
      <c r="B10968" s="1" t="n">
        <v>44735</v>
      </c>
      <c r="C10968" s="1" t="n">
        <v>46075</v>
      </c>
      <c r="D10968" t="inlineStr">
        <is>
          <t>VÄSTERBOTTENS LÄN</t>
        </is>
      </c>
      <c r="E10968" t="inlineStr">
        <is>
          <t>VILHELMINA</t>
        </is>
      </c>
      <c r="F10968" t="inlineStr">
        <is>
          <t>SCA</t>
        </is>
      </c>
      <c r="G10968" t="n">
        <v>2.4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57379-2023</t>
        </is>
      </c>
      <c r="B10969" s="1" t="n">
        <v>45245.92914351852</v>
      </c>
      <c r="C10969" s="1" t="n">
        <v>46075</v>
      </c>
      <c r="D10969" t="inlineStr">
        <is>
          <t>VÄSTERBOTTENS LÄN</t>
        </is>
      </c>
      <c r="E10969" t="inlineStr">
        <is>
          <t>DOROTEA</t>
        </is>
      </c>
      <c r="G10969" t="n">
        <v>6.5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57388-2023</t>
        </is>
      </c>
      <c r="B10970" s="1" t="n">
        <v>45245</v>
      </c>
      <c r="C10970" s="1" t="n">
        <v>46075</v>
      </c>
      <c r="D10970" t="inlineStr">
        <is>
          <t>VÄSTERBOTTENS LÄN</t>
        </is>
      </c>
      <c r="E10970" t="inlineStr">
        <is>
          <t>NORDMALING</t>
        </is>
      </c>
      <c r="G10970" t="n">
        <v>0.9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32510-2024</t>
        </is>
      </c>
      <c r="B10971" s="1" t="n">
        <v>45513.45313657408</v>
      </c>
      <c r="C10971" s="1" t="n">
        <v>46075</v>
      </c>
      <c r="D10971" t="inlineStr">
        <is>
          <t>VÄSTERBOTTENS LÄN</t>
        </is>
      </c>
      <c r="E10971" t="inlineStr">
        <is>
          <t>VINDELN</t>
        </is>
      </c>
      <c r="F10971" t="inlineStr">
        <is>
          <t>Holmen skog AB</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58363-2021</t>
        </is>
      </c>
      <c r="B10972" s="1" t="n">
        <v>44488</v>
      </c>
      <c r="C10972" s="1" t="n">
        <v>46075</v>
      </c>
      <c r="D10972" t="inlineStr">
        <is>
          <t>VÄSTERBOTTENS LÄN</t>
        </is>
      </c>
      <c r="E10972" t="inlineStr">
        <is>
          <t>VILHELMINA</t>
        </is>
      </c>
      <c r="G10972" t="n">
        <v>7.3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50081-2022</t>
        </is>
      </c>
      <c r="B10973" s="1" t="n">
        <v>44860</v>
      </c>
      <c r="C10973" s="1" t="n">
        <v>46075</v>
      </c>
      <c r="D10973" t="inlineStr">
        <is>
          <t>VÄSTERBOTTENS LÄN</t>
        </is>
      </c>
      <c r="E10973" t="inlineStr">
        <is>
          <t>VINDELN</t>
        </is>
      </c>
      <c r="G10973" t="n">
        <v>1.9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4617-2023</t>
        </is>
      </c>
      <c r="B10974" s="1" t="n">
        <v>44956.93971064815</v>
      </c>
      <c r="C10974" s="1" t="n">
        <v>46075</v>
      </c>
      <c r="D10974" t="inlineStr">
        <is>
          <t>VÄSTERBOTTENS LÄN</t>
        </is>
      </c>
      <c r="E10974" t="inlineStr">
        <is>
          <t>DOROTEA</t>
        </is>
      </c>
      <c r="F10974" t="inlineStr">
        <is>
          <t>SCA</t>
        </is>
      </c>
      <c r="G10974" t="n">
        <v>3.4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56646-2022</t>
        </is>
      </c>
      <c r="B10975" s="1" t="n">
        <v>44888</v>
      </c>
      <c r="C10975" s="1" t="n">
        <v>46075</v>
      </c>
      <c r="D10975" t="inlineStr">
        <is>
          <t>VÄSTERBOTTENS LÄN</t>
        </is>
      </c>
      <c r="E10975" t="inlineStr">
        <is>
          <t>ÅSELE</t>
        </is>
      </c>
      <c r="G10975" t="n">
        <v>5.1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957-2023</t>
        </is>
      </c>
      <c r="B10976" s="1" t="n">
        <v>44934.85548611111</v>
      </c>
      <c r="C10976" s="1" t="n">
        <v>46075</v>
      </c>
      <c r="D10976" t="inlineStr">
        <is>
          <t>VÄSTERBOTTENS LÄN</t>
        </is>
      </c>
      <c r="E10976" t="inlineStr">
        <is>
          <t>LYCKSELE</t>
        </is>
      </c>
      <c r="F10976" t="inlineStr">
        <is>
          <t>Sveaskog</t>
        </is>
      </c>
      <c r="G10976" t="n">
        <v>3.4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5783-2025</t>
        </is>
      </c>
      <c r="B10977" s="1" t="n">
        <v>45694.63975694445</v>
      </c>
      <c r="C10977" s="1" t="n">
        <v>46075</v>
      </c>
      <c r="D10977" t="inlineStr">
        <is>
          <t>VÄSTERBOTTENS LÄN</t>
        </is>
      </c>
      <c r="E10977" t="inlineStr">
        <is>
          <t>SKELLEFTEÅ</t>
        </is>
      </c>
      <c r="G10977" t="n">
        <v>3.4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16251-2025</t>
        </is>
      </c>
      <c r="B10978" s="1" t="n">
        <v>45750.69998842593</v>
      </c>
      <c r="C10978" s="1" t="n">
        <v>46075</v>
      </c>
      <c r="D10978" t="inlineStr">
        <is>
          <t>VÄSTERBOTTENS LÄN</t>
        </is>
      </c>
      <c r="E10978" t="inlineStr">
        <is>
          <t>SKELLEFTEÅ</t>
        </is>
      </c>
      <c r="F10978" t="inlineStr">
        <is>
          <t>Kommuner</t>
        </is>
      </c>
      <c r="G10978" t="n">
        <v>4.6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16289-2025</t>
        </is>
      </c>
      <c r="B10979" s="1" t="n">
        <v>45751.32021990741</v>
      </c>
      <c r="C10979" s="1" t="n">
        <v>46075</v>
      </c>
      <c r="D10979" t="inlineStr">
        <is>
          <t>VÄSTERBOTTENS LÄN</t>
        </is>
      </c>
      <c r="E10979" t="inlineStr">
        <is>
          <t>LYCKSELE</t>
        </is>
      </c>
      <c r="F10979" t="inlineStr">
        <is>
          <t>Holmen skog AB</t>
        </is>
      </c>
      <c r="G10979" t="n">
        <v>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5856-2025</t>
        </is>
      </c>
      <c r="B10980" s="1" t="n">
        <v>45695.34431712963</v>
      </c>
      <c r="C10980" s="1" t="n">
        <v>46075</v>
      </c>
      <c r="D10980" t="inlineStr">
        <is>
          <t>VÄSTERBOTTENS LÄN</t>
        </is>
      </c>
      <c r="E10980" t="inlineStr">
        <is>
          <t>LYCKSELE</t>
        </is>
      </c>
      <c r="F10980" t="inlineStr">
        <is>
          <t>SCA</t>
        </is>
      </c>
      <c r="G10980" t="n">
        <v>1.3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58676-2024</t>
        </is>
      </c>
      <c r="B10981" s="1" t="n">
        <v>45635</v>
      </c>
      <c r="C10981" s="1" t="n">
        <v>46075</v>
      </c>
      <c r="D10981" t="inlineStr">
        <is>
          <t>VÄSTERBOTTENS LÄN</t>
        </is>
      </c>
      <c r="E10981" t="inlineStr">
        <is>
          <t>SORSELE</t>
        </is>
      </c>
      <c r="G10981" t="n">
        <v>1.8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32880-2023</t>
        </is>
      </c>
      <c r="B10982" s="1" t="n">
        <v>45124</v>
      </c>
      <c r="C10982" s="1" t="n">
        <v>46075</v>
      </c>
      <c r="D10982" t="inlineStr">
        <is>
          <t>VÄSTERBOTTENS LÄN</t>
        </is>
      </c>
      <c r="E10982" t="inlineStr">
        <is>
          <t>SORSELE</t>
        </is>
      </c>
      <c r="G10982" t="n">
        <v>2.4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56713-2023</t>
        </is>
      </c>
      <c r="B10983" s="1" t="n">
        <v>45238</v>
      </c>
      <c r="C10983" s="1" t="n">
        <v>46075</v>
      </c>
      <c r="D10983" t="inlineStr">
        <is>
          <t>VÄSTERBOTTENS LÄN</t>
        </is>
      </c>
      <c r="E10983" t="inlineStr">
        <is>
          <t>STORUMAN</t>
        </is>
      </c>
      <c r="G10983" t="n">
        <v>3.5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56749-2023</t>
        </is>
      </c>
      <c r="B10984" s="1" t="n">
        <v>45244</v>
      </c>
      <c r="C10984" s="1" t="n">
        <v>46075</v>
      </c>
      <c r="D10984" t="inlineStr">
        <is>
          <t>VÄSTERBOTTENS LÄN</t>
        </is>
      </c>
      <c r="E10984" t="inlineStr">
        <is>
          <t>UMEÅ</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24010-2022</t>
        </is>
      </c>
      <c r="B10985" s="1" t="n">
        <v>44722.94122685185</v>
      </c>
      <c r="C10985" s="1" t="n">
        <v>46075</v>
      </c>
      <c r="D10985" t="inlineStr">
        <is>
          <t>VÄSTERBOTTENS LÄN</t>
        </is>
      </c>
      <c r="E10985" t="inlineStr">
        <is>
          <t>NORDMALING</t>
        </is>
      </c>
      <c r="F10985" t="inlineStr">
        <is>
          <t>SCA</t>
        </is>
      </c>
      <c r="G10985" t="n">
        <v>1.8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9448-2025</t>
        </is>
      </c>
      <c r="B10986" s="1" t="n">
        <v>45715.42537037037</v>
      </c>
      <c r="C10986" s="1" t="n">
        <v>46075</v>
      </c>
      <c r="D10986" t="inlineStr">
        <is>
          <t>VÄSTERBOTTENS LÄN</t>
        </is>
      </c>
      <c r="E10986" t="inlineStr">
        <is>
          <t>SKELLEFTEÅ</t>
        </is>
      </c>
      <c r="G10986" t="n">
        <v>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12537-2024</t>
        </is>
      </c>
      <c r="B10987" s="1" t="n">
        <v>45379</v>
      </c>
      <c r="C10987" s="1" t="n">
        <v>46075</v>
      </c>
      <c r="D10987" t="inlineStr">
        <is>
          <t>VÄSTERBOTTENS LÄN</t>
        </is>
      </c>
      <c r="E10987" t="inlineStr">
        <is>
          <t>SKELLEFTEÅ</t>
        </is>
      </c>
      <c r="G10987" t="n">
        <v>5.3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8915-2025</t>
        </is>
      </c>
      <c r="B10988" s="1" t="n">
        <v>45713</v>
      </c>
      <c r="C10988" s="1" t="n">
        <v>46075</v>
      </c>
      <c r="D10988" t="inlineStr">
        <is>
          <t>VÄSTERBOTTENS LÄN</t>
        </is>
      </c>
      <c r="E10988" t="inlineStr">
        <is>
          <t>LYCKSELE</t>
        </is>
      </c>
      <c r="G10988" t="n">
        <v>1.8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30815-2024</t>
        </is>
      </c>
      <c r="B10989" s="1" t="n">
        <v>45497</v>
      </c>
      <c r="C10989" s="1" t="n">
        <v>46075</v>
      </c>
      <c r="D10989" t="inlineStr">
        <is>
          <t>VÄSTERBOTTENS LÄN</t>
        </is>
      </c>
      <c r="E10989" t="inlineStr">
        <is>
          <t>STORUMAN</t>
        </is>
      </c>
      <c r="G10989" t="n">
        <v>25.8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8938-2025</t>
        </is>
      </c>
      <c r="B10990" s="1" t="n">
        <v>45713.44842592593</v>
      </c>
      <c r="C10990" s="1" t="n">
        <v>46075</v>
      </c>
      <c r="D10990" t="inlineStr">
        <is>
          <t>VÄSTERBOTTENS LÄN</t>
        </is>
      </c>
      <c r="E10990" t="inlineStr">
        <is>
          <t>VÄNNÄS</t>
        </is>
      </c>
      <c r="G10990" t="n">
        <v>0.6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8964-2025</t>
        </is>
      </c>
      <c r="B10991" s="1" t="n">
        <v>45713</v>
      </c>
      <c r="C10991" s="1" t="n">
        <v>46075</v>
      </c>
      <c r="D10991" t="inlineStr">
        <is>
          <t>VÄSTERBOTTENS LÄN</t>
        </is>
      </c>
      <c r="E10991" t="inlineStr">
        <is>
          <t>ÅSELE</t>
        </is>
      </c>
      <c r="F10991" t="inlineStr">
        <is>
          <t>SCA</t>
        </is>
      </c>
      <c r="G10991" t="n">
        <v>20.5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8980-2025</t>
        </is>
      </c>
      <c r="B10992" s="1" t="n">
        <v>45713.53248842592</v>
      </c>
      <c r="C10992" s="1" t="n">
        <v>46075</v>
      </c>
      <c r="D10992" t="inlineStr">
        <is>
          <t>VÄSTERBOTTENS LÄN</t>
        </is>
      </c>
      <c r="E10992" t="inlineStr">
        <is>
          <t>SORSELE</t>
        </is>
      </c>
      <c r="G10992" t="n">
        <v>4.5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8989-2025</t>
        </is>
      </c>
      <c r="B10993" s="1" t="n">
        <v>45713.5396412037</v>
      </c>
      <c r="C10993" s="1" t="n">
        <v>46075</v>
      </c>
      <c r="D10993" t="inlineStr">
        <is>
          <t>VÄSTERBOTTENS LÄN</t>
        </is>
      </c>
      <c r="E10993" t="inlineStr">
        <is>
          <t>SORSELE</t>
        </is>
      </c>
      <c r="G10993" t="n">
        <v>5.4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22205-2024</t>
        </is>
      </c>
      <c r="B10994" s="1" t="n">
        <v>45446.37524305555</v>
      </c>
      <c r="C10994" s="1" t="n">
        <v>46075</v>
      </c>
      <c r="D10994" t="inlineStr">
        <is>
          <t>VÄSTERBOTTENS LÄN</t>
        </is>
      </c>
      <c r="E10994" t="inlineStr">
        <is>
          <t>SKELLEFTEÅ</t>
        </is>
      </c>
      <c r="G10994" t="n">
        <v>2.7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60224-2024</t>
        </is>
      </c>
      <c r="B10995" s="1" t="n">
        <v>45642.70561342593</v>
      </c>
      <c r="C10995" s="1" t="n">
        <v>46075</v>
      </c>
      <c r="D10995" t="inlineStr">
        <is>
          <t>VÄSTERBOTTENS LÄN</t>
        </is>
      </c>
      <c r="E10995" t="inlineStr">
        <is>
          <t>BJURHOLM</t>
        </is>
      </c>
      <c r="F10995" t="inlineStr">
        <is>
          <t>Sveaskog</t>
        </is>
      </c>
      <c r="G10995" t="n">
        <v>9.4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19491-2023</t>
        </is>
      </c>
      <c r="B10996" s="1" t="n">
        <v>45049</v>
      </c>
      <c r="C10996" s="1" t="n">
        <v>46075</v>
      </c>
      <c r="D10996" t="inlineStr">
        <is>
          <t>VÄSTERBOTTENS LÄN</t>
        </is>
      </c>
      <c r="E10996" t="inlineStr">
        <is>
          <t>SKELLEFTEÅ</t>
        </is>
      </c>
      <c r="G10996" t="n">
        <v>1.7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53547-2024</t>
        </is>
      </c>
      <c r="B10997" s="1" t="n">
        <v>45614.63747685185</v>
      </c>
      <c r="C10997" s="1" t="n">
        <v>46075</v>
      </c>
      <c r="D10997" t="inlineStr">
        <is>
          <t>VÄSTERBOTTENS LÄN</t>
        </is>
      </c>
      <c r="E10997" t="inlineStr">
        <is>
          <t>NORSJÖ</t>
        </is>
      </c>
      <c r="G10997" t="n">
        <v>8.6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34709-2023</t>
        </is>
      </c>
      <c r="B10998" s="1" t="n">
        <v>45141</v>
      </c>
      <c r="C10998" s="1" t="n">
        <v>46075</v>
      </c>
      <c r="D10998" t="inlineStr">
        <is>
          <t>VÄSTERBOTTENS LÄN</t>
        </is>
      </c>
      <c r="E10998" t="inlineStr">
        <is>
          <t>UMEÅ</t>
        </is>
      </c>
      <c r="F10998" t="inlineStr">
        <is>
          <t>Holmen skog AB</t>
        </is>
      </c>
      <c r="G10998" t="n">
        <v>4.1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33708-2024</t>
        </is>
      </c>
      <c r="B10999" s="1" t="n">
        <v>45520.526875</v>
      </c>
      <c r="C10999" s="1" t="n">
        <v>46075</v>
      </c>
      <c r="D10999" t="inlineStr">
        <is>
          <t>VÄSTERBOTTENS LÄN</t>
        </is>
      </c>
      <c r="E10999" t="inlineStr">
        <is>
          <t>LYCKSELE</t>
        </is>
      </c>
      <c r="F10999" t="inlineStr">
        <is>
          <t>Sveaskog</t>
        </is>
      </c>
      <c r="G10999" t="n">
        <v>2.7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33714-2024</t>
        </is>
      </c>
      <c r="B11000" s="1" t="n">
        <v>45520.53230324074</v>
      </c>
      <c r="C11000" s="1" t="n">
        <v>46075</v>
      </c>
      <c r="D11000" t="inlineStr">
        <is>
          <t>VÄSTERBOTTENS LÄN</t>
        </is>
      </c>
      <c r="E11000" t="inlineStr">
        <is>
          <t>LYCKSELE</t>
        </is>
      </c>
      <c r="F11000" t="inlineStr">
        <is>
          <t>Sveaskog</t>
        </is>
      </c>
      <c r="G11000" t="n">
        <v>10.4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34273-2024</t>
        </is>
      </c>
      <c r="B11001" s="1" t="n">
        <v>45524.61850694445</v>
      </c>
      <c r="C11001" s="1" t="n">
        <v>46075</v>
      </c>
      <c r="D11001" t="inlineStr">
        <is>
          <t>VÄSTERBOTTENS LÄN</t>
        </is>
      </c>
      <c r="E11001" t="inlineStr">
        <is>
          <t>LYCKSELE</t>
        </is>
      </c>
      <c r="G11001" t="n">
        <v>6.7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16228-2024</t>
        </is>
      </c>
      <c r="B11002" s="1" t="n">
        <v>45406</v>
      </c>
      <c r="C11002" s="1" t="n">
        <v>46075</v>
      </c>
      <c r="D11002" t="inlineStr">
        <is>
          <t>VÄSTERBOTTENS LÄN</t>
        </is>
      </c>
      <c r="E11002" t="inlineStr">
        <is>
          <t>NORSJÖ</t>
        </is>
      </c>
      <c r="G11002" t="n">
        <v>6.8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14239-2025</t>
        </is>
      </c>
      <c r="B11003" s="1" t="n">
        <v>45740.61157407407</v>
      </c>
      <c r="C11003" s="1" t="n">
        <v>46075</v>
      </c>
      <c r="D11003" t="inlineStr">
        <is>
          <t>VÄSTERBOTTENS LÄN</t>
        </is>
      </c>
      <c r="E11003" t="inlineStr">
        <is>
          <t>VINDELN</t>
        </is>
      </c>
      <c r="G11003" t="n">
        <v>12.2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14249-2025</t>
        </is>
      </c>
      <c r="B11004" s="1" t="n">
        <v>45740</v>
      </c>
      <c r="C11004" s="1" t="n">
        <v>46075</v>
      </c>
      <c r="D11004" t="inlineStr">
        <is>
          <t>VÄSTERBOTTENS LÄN</t>
        </is>
      </c>
      <c r="E11004" t="inlineStr">
        <is>
          <t>LYCKSELE</t>
        </is>
      </c>
      <c r="F11004" t="inlineStr">
        <is>
          <t>SCA</t>
        </is>
      </c>
      <c r="G11004" t="n">
        <v>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14304-2025</t>
        </is>
      </c>
      <c r="B11005" s="1" t="n">
        <v>45740.69827546296</v>
      </c>
      <c r="C11005" s="1" t="n">
        <v>46075</v>
      </c>
      <c r="D11005" t="inlineStr">
        <is>
          <t>VÄSTERBOTTENS LÄN</t>
        </is>
      </c>
      <c r="E11005" t="inlineStr">
        <is>
          <t>MALÅ</t>
        </is>
      </c>
      <c r="G11005" t="n">
        <v>2.9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5700-2025</t>
        </is>
      </c>
      <c r="B11006" s="1" t="n">
        <v>45694.42777777778</v>
      </c>
      <c r="C11006" s="1" t="n">
        <v>46075</v>
      </c>
      <c r="D11006" t="inlineStr">
        <is>
          <t>VÄSTERBOTTENS LÄN</t>
        </is>
      </c>
      <c r="E11006" t="inlineStr">
        <is>
          <t>MALÅ</t>
        </is>
      </c>
      <c r="G11006" t="n">
        <v>3.1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9976-2024</t>
        </is>
      </c>
      <c r="B11007" s="1" t="n">
        <v>45363</v>
      </c>
      <c r="C11007" s="1" t="n">
        <v>46075</v>
      </c>
      <c r="D11007" t="inlineStr">
        <is>
          <t>VÄSTERBOTTENS LÄN</t>
        </is>
      </c>
      <c r="E11007" t="inlineStr">
        <is>
          <t>LYCKSELE</t>
        </is>
      </c>
      <c r="F11007" t="inlineStr">
        <is>
          <t>Holmen skog AB</t>
        </is>
      </c>
      <c r="G11007" t="n">
        <v>2.9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10176-2024</t>
        </is>
      </c>
      <c r="B11008" s="1" t="n">
        <v>45364</v>
      </c>
      <c r="C11008" s="1" t="n">
        <v>46075</v>
      </c>
      <c r="D11008" t="inlineStr">
        <is>
          <t>VÄSTERBOTTENS LÄN</t>
        </is>
      </c>
      <c r="E11008" t="inlineStr">
        <is>
          <t>ÅSELE</t>
        </is>
      </c>
      <c r="G11008" t="n">
        <v>4.2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10843-2024</t>
        </is>
      </c>
      <c r="B11009" s="1" t="n">
        <v>45369</v>
      </c>
      <c r="C11009" s="1" t="n">
        <v>46075</v>
      </c>
      <c r="D11009" t="inlineStr">
        <is>
          <t>VÄSTERBOTTENS LÄN</t>
        </is>
      </c>
      <c r="E11009" t="inlineStr">
        <is>
          <t>MALÅ</t>
        </is>
      </c>
      <c r="G11009" t="n">
        <v>1.9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14925-2023</t>
        </is>
      </c>
      <c r="B11010" s="1" t="n">
        <v>45014</v>
      </c>
      <c r="C11010" s="1" t="n">
        <v>46075</v>
      </c>
      <c r="D11010" t="inlineStr">
        <is>
          <t>VÄSTERBOTTENS LÄN</t>
        </is>
      </c>
      <c r="E11010" t="inlineStr">
        <is>
          <t>ÅSELE</t>
        </is>
      </c>
      <c r="G11010" t="n">
        <v>9.4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63356-2023</t>
        </is>
      </c>
      <c r="B11011" s="1" t="n">
        <v>45274.44392361111</v>
      </c>
      <c r="C11011" s="1" t="n">
        <v>46075</v>
      </c>
      <c r="D11011" t="inlineStr">
        <is>
          <t>VÄSTERBOTTENS LÄN</t>
        </is>
      </c>
      <c r="E11011" t="inlineStr">
        <is>
          <t>MALÅ</t>
        </is>
      </c>
      <c r="F11011" t="inlineStr">
        <is>
          <t>Sveaskog</t>
        </is>
      </c>
      <c r="G11011" t="n">
        <v>9.300000000000001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18564-2024</t>
        </is>
      </c>
      <c r="B11012" s="1" t="n">
        <v>45425</v>
      </c>
      <c r="C11012" s="1" t="n">
        <v>46075</v>
      </c>
      <c r="D11012" t="inlineStr">
        <is>
          <t>VÄSTERBOTTENS LÄN</t>
        </is>
      </c>
      <c r="E11012" t="inlineStr">
        <is>
          <t>SKELLEFTEÅ</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41626-2024</t>
        </is>
      </c>
      <c r="B11013" s="1" t="n">
        <v>45560.60815972222</v>
      </c>
      <c r="C11013" s="1" t="n">
        <v>46075</v>
      </c>
      <c r="D11013" t="inlineStr">
        <is>
          <t>VÄSTERBOTTENS LÄN</t>
        </is>
      </c>
      <c r="E11013" t="inlineStr">
        <is>
          <t>VINDELN</t>
        </is>
      </c>
      <c r="F11013" t="inlineStr">
        <is>
          <t>Holmen skog AB</t>
        </is>
      </c>
      <c r="G11013" t="n">
        <v>2.1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41663-2024</t>
        </is>
      </c>
      <c r="B11014" s="1" t="n">
        <v>45560.64923611111</v>
      </c>
      <c r="C11014" s="1" t="n">
        <v>46075</v>
      </c>
      <c r="D11014" t="inlineStr">
        <is>
          <t>VÄSTERBOTTENS LÄN</t>
        </is>
      </c>
      <c r="E11014" t="inlineStr">
        <is>
          <t>VINDELN</t>
        </is>
      </c>
      <c r="F11014" t="inlineStr">
        <is>
          <t>Sveaskog</t>
        </is>
      </c>
      <c r="G11014" t="n">
        <v>4.9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41668-2024</t>
        </is>
      </c>
      <c r="B11015" s="1" t="n">
        <v>45560.65291666667</v>
      </c>
      <c r="C11015" s="1" t="n">
        <v>46075</v>
      </c>
      <c r="D11015" t="inlineStr">
        <is>
          <t>VÄSTERBOTTENS LÄN</t>
        </is>
      </c>
      <c r="E11015" t="inlineStr">
        <is>
          <t>VINDELN</t>
        </is>
      </c>
      <c r="F11015" t="inlineStr">
        <is>
          <t>Sveaskog</t>
        </is>
      </c>
      <c r="G11015" t="n">
        <v>3.5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23544-2024</t>
        </is>
      </c>
      <c r="B11016" s="1" t="n">
        <v>45453.95314814815</v>
      </c>
      <c r="C11016" s="1" t="n">
        <v>46075</v>
      </c>
      <c r="D11016" t="inlineStr">
        <is>
          <t>VÄSTERBOTTENS LÄN</t>
        </is>
      </c>
      <c r="E11016" t="inlineStr">
        <is>
          <t>VILHELMINA</t>
        </is>
      </c>
      <c r="F11016" t="inlineStr">
        <is>
          <t>SCA</t>
        </is>
      </c>
      <c r="G11016" t="n">
        <v>1.4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23545-2024</t>
        </is>
      </c>
      <c r="B11017" s="1" t="n">
        <v>45453.95326388889</v>
      </c>
      <c r="C11017" s="1" t="n">
        <v>46075</v>
      </c>
      <c r="D11017" t="inlineStr">
        <is>
          <t>VÄSTERBOTTENS LÄN</t>
        </is>
      </c>
      <c r="E11017" t="inlineStr">
        <is>
          <t>VILHELMINA</t>
        </is>
      </c>
      <c r="F11017" t="inlineStr">
        <is>
          <t>SCA</t>
        </is>
      </c>
      <c r="G11017" t="n">
        <v>2.8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59609-2023</t>
        </is>
      </c>
      <c r="B11018" s="1" t="n">
        <v>45254.6369675926</v>
      </c>
      <c r="C11018" s="1" t="n">
        <v>46075</v>
      </c>
      <c r="D11018" t="inlineStr">
        <is>
          <t>VÄSTERBOTTENS LÄN</t>
        </is>
      </c>
      <c r="E11018" t="inlineStr">
        <is>
          <t>VINDELN</t>
        </is>
      </c>
      <c r="G11018" t="n">
        <v>0.7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57303-2023</t>
        </is>
      </c>
      <c r="B11019" s="1" t="n">
        <v>45245</v>
      </c>
      <c r="C11019" s="1" t="n">
        <v>46075</v>
      </c>
      <c r="D11019" t="inlineStr">
        <is>
          <t>VÄSTERBOTTENS LÄN</t>
        </is>
      </c>
      <c r="E11019" t="inlineStr">
        <is>
          <t>MALÅ</t>
        </is>
      </c>
      <c r="F11019" t="inlineStr">
        <is>
          <t>Sveaskog</t>
        </is>
      </c>
      <c r="G11019" t="n">
        <v>5.8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15358-2023</t>
        </is>
      </c>
      <c r="B11020" s="1" t="n">
        <v>45016</v>
      </c>
      <c r="C11020" s="1" t="n">
        <v>46075</v>
      </c>
      <c r="D11020" t="inlineStr">
        <is>
          <t>VÄSTERBOTTENS LÄN</t>
        </is>
      </c>
      <c r="E11020" t="inlineStr">
        <is>
          <t>UMEÅ</t>
        </is>
      </c>
      <c r="F11020" t="inlineStr">
        <is>
          <t>Kommuner</t>
        </is>
      </c>
      <c r="G11020" t="n">
        <v>4.4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10112-2025</t>
        </is>
      </c>
      <c r="B11021" s="1" t="n">
        <v>45719</v>
      </c>
      <c r="C11021" s="1" t="n">
        <v>46075</v>
      </c>
      <c r="D11021" t="inlineStr">
        <is>
          <t>VÄSTERBOTTENS LÄN</t>
        </is>
      </c>
      <c r="E11021" t="inlineStr">
        <is>
          <t>NORSJÖ</t>
        </is>
      </c>
      <c r="G11021" t="n">
        <v>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13091-2025</t>
        </is>
      </c>
      <c r="B11022" s="1" t="n">
        <v>45734.65295138889</v>
      </c>
      <c r="C11022" s="1" t="n">
        <v>46075</v>
      </c>
      <c r="D11022" t="inlineStr">
        <is>
          <t>VÄSTERBOTTENS LÄN</t>
        </is>
      </c>
      <c r="E11022" t="inlineStr">
        <is>
          <t>VINDELN</t>
        </is>
      </c>
      <c r="G11022" t="n">
        <v>1.5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62937-2023</t>
        </is>
      </c>
      <c r="B11023" s="1" t="n">
        <v>45271</v>
      </c>
      <c r="C11023" s="1" t="n">
        <v>46075</v>
      </c>
      <c r="D11023" t="inlineStr">
        <is>
          <t>VÄSTERBOTTENS LÄN</t>
        </is>
      </c>
      <c r="E11023" t="inlineStr">
        <is>
          <t>ROBERTSFORS</t>
        </is>
      </c>
      <c r="G11023" t="n">
        <v>7.5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11604-2023</t>
        </is>
      </c>
      <c r="B11024" s="1" t="n">
        <v>44994</v>
      </c>
      <c r="C11024" s="1" t="n">
        <v>46075</v>
      </c>
      <c r="D11024" t="inlineStr">
        <is>
          <t>VÄSTERBOTTENS LÄN</t>
        </is>
      </c>
      <c r="E11024" t="inlineStr">
        <is>
          <t>LYCKSELE</t>
        </is>
      </c>
      <c r="G11024" t="n">
        <v>4.3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7618-2024</t>
        </is>
      </c>
      <c r="B11025" s="1" t="n">
        <v>45348</v>
      </c>
      <c r="C11025" s="1" t="n">
        <v>46075</v>
      </c>
      <c r="D11025" t="inlineStr">
        <is>
          <t>VÄSTERBOTTENS LÄN</t>
        </is>
      </c>
      <c r="E11025" t="inlineStr">
        <is>
          <t>NORDMALING</t>
        </is>
      </c>
      <c r="G11025" t="n">
        <v>4.4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7745-2024</t>
        </is>
      </c>
      <c r="B11026" s="1" t="n">
        <v>45348</v>
      </c>
      <c r="C11026" s="1" t="n">
        <v>46075</v>
      </c>
      <c r="D11026" t="inlineStr">
        <is>
          <t>VÄSTERBOTTENS LÄN</t>
        </is>
      </c>
      <c r="E11026" t="inlineStr">
        <is>
          <t>SKELLEFTEÅ</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55698-2024</t>
        </is>
      </c>
      <c r="B11027" s="1" t="n">
        <v>45622.68798611111</v>
      </c>
      <c r="C11027" s="1" t="n">
        <v>46075</v>
      </c>
      <c r="D11027" t="inlineStr">
        <is>
          <t>VÄSTERBOTTENS LÄN</t>
        </is>
      </c>
      <c r="E11027" t="inlineStr">
        <is>
          <t>NORDMALING</t>
        </is>
      </c>
      <c r="G11027" t="n">
        <v>1.3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748-2025</t>
        </is>
      </c>
      <c r="B11028" s="1" t="n">
        <v>45665.43998842593</v>
      </c>
      <c r="C11028" s="1" t="n">
        <v>46075</v>
      </c>
      <c r="D11028" t="inlineStr">
        <is>
          <t>VÄSTERBOTTENS LÄN</t>
        </is>
      </c>
      <c r="E11028" t="inlineStr">
        <is>
          <t>VINDELN</t>
        </is>
      </c>
      <c r="G11028" t="n">
        <v>0.6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11629-2023</t>
        </is>
      </c>
      <c r="B11029" s="1" t="n">
        <v>44994.43855324074</v>
      </c>
      <c r="C11029" s="1" t="n">
        <v>46075</v>
      </c>
      <c r="D11029" t="inlineStr">
        <is>
          <t>VÄSTERBOTTENS LÄN</t>
        </is>
      </c>
      <c r="E11029" t="inlineStr">
        <is>
          <t>SKELLEFTEÅ</t>
        </is>
      </c>
      <c r="G11029" t="n">
        <v>4.5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11642-2023</t>
        </is>
      </c>
      <c r="B11030" s="1" t="n">
        <v>44994.45225694445</v>
      </c>
      <c r="C11030" s="1" t="n">
        <v>46075</v>
      </c>
      <c r="D11030" t="inlineStr">
        <is>
          <t>VÄSTERBOTTENS LÄN</t>
        </is>
      </c>
      <c r="E11030" t="inlineStr">
        <is>
          <t>SKELLEFTEÅ</t>
        </is>
      </c>
      <c r="G11030" t="n">
        <v>1.9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34029-2023</t>
        </is>
      </c>
      <c r="B11031" s="1" t="n">
        <v>45135</v>
      </c>
      <c r="C11031" s="1" t="n">
        <v>46075</v>
      </c>
      <c r="D11031" t="inlineStr">
        <is>
          <t>VÄSTERBOTTENS LÄN</t>
        </is>
      </c>
      <c r="E11031" t="inlineStr">
        <is>
          <t>ROBERTSFORS</t>
        </is>
      </c>
      <c r="F11031" t="inlineStr">
        <is>
          <t>Holmen skog AB</t>
        </is>
      </c>
      <c r="G11031" t="n">
        <v>1.6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13730-2025</t>
        </is>
      </c>
      <c r="B11032" s="1" t="n">
        <v>45737.38648148148</v>
      </c>
      <c r="C11032" s="1" t="n">
        <v>46075</v>
      </c>
      <c r="D11032" t="inlineStr">
        <is>
          <t>VÄSTERBOTTENS LÄN</t>
        </is>
      </c>
      <c r="E11032" t="inlineStr">
        <is>
          <t>VINDELN</t>
        </is>
      </c>
      <c r="G11032" t="n">
        <v>3.3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27372-2023</t>
        </is>
      </c>
      <c r="B11033" s="1" t="n">
        <v>45096.93851851852</v>
      </c>
      <c r="C11033" s="1" t="n">
        <v>46075</v>
      </c>
      <c r="D11033" t="inlineStr">
        <is>
          <t>VÄSTERBOTTENS LÄN</t>
        </is>
      </c>
      <c r="E11033" t="inlineStr">
        <is>
          <t>NORDMALING</t>
        </is>
      </c>
      <c r="F11033" t="inlineStr">
        <is>
          <t>SCA</t>
        </is>
      </c>
      <c r="G11033" t="n">
        <v>1.1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44488-2023</t>
        </is>
      </c>
      <c r="B11034" s="1" t="n">
        <v>45189.44546296296</v>
      </c>
      <c r="C11034" s="1" t="n">
        <v>46075</v>
      </c>
      <c r="D11034" t="inlineStr">
        <is>
          <t>VÄSTERBOTTENS LÄN</t>
        </is>
      </c>
      <c r="E11034" t="inlineStr">
        <is>
          <t>BJURHOLM</t>
        </is>
      </c>
      <c r="F11034" t="inlineStr">
        <is>
          <t>Holmen skog AB</t>
        </is>
      </c>
      <c r="G11034" t="n">
        <v>3.2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38404-2023</t>
        </is>
      </c>
      <c r="B11035" s="1" t="n">
        <v>45162</v>
      </c>
      <c r="C11035" s="1" t="n">
        <v>46075</v>
      </c>
      <c r="D11035" t="inlineStr">
        <is>
          <t>VÄSTERBOTTENS LÄN</t>
        </is>
      </c>
      <c r="E11035" t="inlineStr">
        <is>
          <t>MALÅ</t>
        </is>
      </c>
      <c r="G11035" t="n">
        <v>17.5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38953-2023</t>
        </is>
      </c>
      <c r="B11036" s="1" t="n">
        <v>45163.61561342593</v>
      </c>
      <c r="C11036" s="1" t="n">
        <v>46075</v>
      </c>
      <c r="D11036" t="inlineStr">
        <is>
          <t>VÄSTERBOTTENS LÄN</t>
        </is>
      </c>
      <c r="E11036" t="inlineStr">
        <is>
          <t>VINDELN</t>
        </is>
      </c>
      <c r="F11036" t="inlineStr">
        <is>
          <t>Holmen skog AB</t>
        </is>
      </c>
      <c r="G11036" t="n">
        <v>3.2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27154-2024</t>
        </is>
      </c>
      <c r="B11037" s="1" t="n">
        <v>45471.56107638889</v>
      </c>
      <c r="C11037" s="1" t="n">
        <v>46075</v>
      </c>
      <c r="D11037" t="inlineStr">
        <is>
          <t>VÄSTERBOTTENS LÄN</t>
        </is>
      </c>
      <c r="E11037" t="inlineStr">
        <is>
          <t>UMEÅ</t>
        </is>
      </c>
      <c r="F11037" t="inlineStr">
        <is>
          <t>Holmen skog AB</t>
        </is>
      </c>
      <c r="G11037" t="n">
        <v>1.6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41852-2023</t>
        </is>
      </c>
      <c r="B11038" s="1" t="n">
        <v>45174</v>
      </c>
      <c r="C11038" s="1" t="n">
        <v>46075</v>
      </c>
      <c r="D11038" t="inlineStr">
        <is>
          <t>VÄSTERBOTTENS LÄN</t>
        </is>
      </c>
      <c r="E11038" t="inlineStr">
        <is>
          <t>MALÅ</t>
        </is>
      </c>
      <c r="G11038" t="n">
        <v>3.5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41913-2023</t>
        </is>
      </c>
      <c r="B11039" s="1" t="n">
        <v>45176</v>
      </c>
      <c r="C11039" s="1" t="n">
        <v>46075</v>
      </c>
      <c r="D11039" t="inlineStr">
        <is>
          <t>VÄSTERBOTTENS LÄN</t>
        </is>
      </c>
      <c r="E11039" t="inlineStr">
        <is>
          <t>MALÅ</t>
        </is>
      </c>
      <c r="F11039" t="inlineStr">
        <is>
          <t>Sveaskog</t>
        </is>
      </c>
      <c r="G11039" t="n">
        <v>1.8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58534-2024</t>
        </is>
      </c>
      <c r="B11040" s="1" t="n">
        <v>45635.44981481481</v>
      </c>
      <c r="C11040" s="1" t="n">
        <v>46075</v>
      </c>
      <c r="D11040" t="inlineStr">
        <is>
          <t>VÄSTERBOTTENS LÄN</t>
        </is>
      </c>
      <c r="E11040" t="inlineStr">
        <is>
          <t>LYCKSELE</t>
        </is>
      </c>
      <c r="F11040" t="inlineStr">
        <is>
          <t>Holmen skog AB</t>
        </is>
      </c>
      <c r="G11040" t="n">
        <v>4.1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41297-2024</t>
        </is>
      </c>
      <c r="B11041" s="1" t="n">
        <v>45559.61015046296</v>
      </c>
      <c r="C11041" s="1" t="n">
        <v>46075</v>
      </c>
      <c r="D11041" t="inlineStr">
        <is>
          <t>VÄSTERBOTTENS LÄN</t>
        </is>
      </c>
      <c r="E11041" t="inlineStr">
        <is>
          <t>SKELLEFTEÅ</t>
        </is>
      </c>
      <c r="F11041" t="inlineStr">
        <is>
          <t>Holmen skog AB</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72692-2021</t>
        </is>
      </c>
      <c r="B11042" s="1" t="n">
        <v>44545</v>
      </c>
      <c r="C11042" s="1" t="n">
        <v>46075</v>
      </c>
      <c r="D11042" t="inlineStr">
        <is>
          <t>VÄSTERBOTTENS LÄN</t>
        </is>
      </c>
      <c r="E11042" t="inlineStr">
        <is>
          <t>SKELLEFTEÅ</t>
        </is>
      </c>
      <c r="G11042" t="n">
        <v>0.9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51238-2024</t>
        </is>
      </c>
      <c r="B11043" s="1" t="n">
        <v>45603.67048611111</v>
      </c>
      <c r="C11043" s="1" t="n">
        <v>46075</v>
      </c>
      <c r="D11043" t="inlineStr">
        <is>
          <t>VÄSTERBOTTENS LÄN</t>
        </is>
      </c>
      <c r="E11043" t="inlineStr">
        <is>
          <t>VINDELN</t>
        </is>
      </c>
      <c r="G11043" t="n">
        <v>13.1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12365-2025</t>
        </is>
      </c>
      <c r="B11044" s="1" t="n">
        <v>45730.37549768519</v>
      </c>
      <c r="C11044" s="1" t="n">
        <v>46075</v>
      </c>
      <c r="D11044" t="inlineStr">
        <is>
          <t>VÄSTERBOTTENS LÄN</t>
        </is>
      </c>
      <c r="E11044" t="inlineStr">
        <is>
          <t>VILHELMINA</t>
        </is>
      </c>
      <c r="F11044" t="inlineStr">
        <is>
          <t>Övriga statliga verk och myndigheter</t>
        </is>
      </c>
      <c r="G11044" t="n">
        <v>11.5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12370-2025</t>
        </is>
      </c>
      <c r="B11045" s="1" t="n">
        <v>45730.37681712963</v>
      </c>
      <c r="C11045" s="1" t="n">
        <v>46075</v>
      </c>
      <c r="D11045" t="inlineStr">
        <is>
          <t>VÄSTERBOTTENS LÄN</t>
        </is>
      </c>
      <c r="E11045" t="inlineStr">
        <is>
          <t>VILHELMINA</t>
        </is>
      </c>
      <c r="F11045" t="inlineStr">
        <is>
          <t>Övriga statliga verk och myndigheter</t>
        </is>
      </c>
      <c r="G11045" t="n">
        <v>8.9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56807-2021</t>
        </is>
      </c>
      <c r="B11046" s="1" t="n">
        <v>44481</v>
      </c>
      <c r="C11046" s="1" t="n">
        <v>46075</v>
      </c>
      <c r="D11046" t="inlineStr">
        <is>
          <t>VÄSTERBOTTENS LÄN</t>
        </is>
      </c>
      <c r="E11046" t="inlineStr">
        <is>
          <t>DOROTEA</t>
        </is>
      </c>
      <c r="G11046" t="n">
        <v>1.8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28855-2024</t>
        </is>
      </c>
      <c r="B11047" s="1" t="n">
        <v>45478</v>
      </c>
      <c r="C11047" s="1" t="n">
        <v>46075</v>
      </c>
      <c r="D11047" t="inlineStr">
        <is>
          <t>VÄSTERBOTTENS LÄN</t>
        </is>
      </c>
      <c r="E11047" t="inlineStr">
        <is>
          <t>UMEÅ</t>
        </is>
      </c>
      <c r="G11047" t="n">
        <v>1.9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12585-2025</t>
        </is>
      </c>
      <c r="B11048" s="1" t="n">
        <v>45732</v>
      </c>
      <c r="C11048" s="1" t="n">
        <v>46075</v>
      </c>
      <c r="D11048" t="inlineStr">
        <is>
          <t>VÄSTERBOTTENS LÄN</t>
        </is>
      </c>
      <c r="E11048" t="inlineStr">
        <is>
          <t>LYCKSELE</t>
        </is>
      </c>
      <c r="G11048" t="n">
        <v>15.5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26462-2023</t>
        </is>
      </c>
      <c r="B11049" s="1" t="n">
        <v>45092.4658449074</v>
      </c>
      <c r="C11049" s="1" t="n">
        <v>46075</v>
      </c>
      <c r="D11049" t="inlineStr">
        <is>
          <t>VÄSTERBOTTENS LÄN</t>
        </is>
      </c>
      <c r="E11049" t="inlineStr">
        <is>
          <t>SKELLEFTEÅ</t>
        </is>
      </c>
      <c r="F11049" t="inlineStr">
        <is>
          <t>Holmen skog AB</t>
        </is>
      </c>
      <c r="G11049" t="n">
        <v>4.4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40588-2023</t>
        </is>
      </c>
      <c r="B11050" s="1" t="n">
        <v>45170</v>
      </c>
      <c r="C11050" s="1" t="n">
        <v>46075</v>
      </c>
      <c r="D11050" t="inlineStr">
        <is>
          <t>VÄSTERBOTTENS LÄN</t>
        </is>
      </c>
      <c r="E11050" t="inlineStr">
        <is>
          <t>MALÅ</t>
        </is>
      </c>
      <c r="F11050" t="inlineStr">
        <is>
          <t>Sveaskog</t>
        </is>
      </c>
      <c r="G11050" t="n">
        <v>15.6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37796-2023</t>
        </is>
      </c>
      <c r="B11051" s="1" t="n">
        <v>45159.92447916666</v>
      </c>
      <c r="C11051" s="1" t="n">
        <v>46075</v>
      </c>
      <c r="D11051" t="inlineStr">
        <is>
          <t>VÄSTERBOTTENS LÄN</t>
        </is>
      </c>
      <c r="E11051" t="inlineStr">
        <is>
          <t>SKELLEFTEÅ</t>
        </is>
      </c>
      <c r="G11051" t="n">
        <v>3.3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28409-2023</t>
        </is>
      </c>
      <c r="B11052" s="1" t="n">
        <v>45101</v>
      </c>
      <c r="C11052" s="1" t="n">
        <v>46075</v>
      </c>
      <c r="D11052" t="inlineStr">
        <is>
          <t>VÄSTERBOTTENS LÄN</t>
        </is>
      </c>
      <c r="E11052" t="inlineStr">
        <is>
          <t>LYCKSELE</t>
        </is>
      </c>
      <c r="G11052" t="n">
        <v>12.9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46065-2022</t>
        </is>
      </c>
      <c r="B11053" s="1" t="n">
        <v>44844</v>
      </c>
      <c r="C11053" s="1" t="n">
        <v>46075</v>
      </c>
      <c r="D11053" t="inlineStr">
        <is>
          <t>VÄSTERBOTTENS LÄN</t>
        </is>
      </c>
      <c r="E11053" t="inlineStr">
        <is>
          <t>STORUMAN</t>
        </is>
      </c>
      <c r="G11053" t="n">
        <v>4.2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47777-2022</t>
        </is>
      </c>
      <c r="B11054" s="1" t="n">
        <v>44854</v>
      </c>
      <c r="C11054" s="1" t="n">
        <v>46075</v>
      </c>
      <c r="D11054" t="inlineStr">
        <is>
          <t>VÄSTERBOTTENS LÄN</t>
        </is>
      </c>
      <c r="E11054" t="inlineStr">
        <is>
          <t>NORDMALING</t>
        </is>
      </c>
      <c r="G11054" t="n">
        <v>10.5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14248-2025</t>
        </is>
      </c>
      <c r="B11055" s="1" t="n">
        <v>45740</v>
      </c>
      <c r="C11055" s="1" t="n">
        <v>46075</v>
      </c>
      <c r="D11055" t="inlineStr">
        <is>
          <t>VÄSTERBOTTENS LÄN</t>
        </is>
      </c>
      <c r="E11055" t="inlineStr">
        <is>
          <t>LYCKSELE</t>
        </is>
      </c>
      <c r="F11055" t="inlineStr">
        <is>
          <t>SCA</t>
        </is>
      </c>
      <c r="G11055" t="n">
        <v>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569-2025</t>
        </is>
      </c>
      <c r="B11056" s="1" t="n">
        <v>45660</v>
      </c>
      <c r="C11056" s="1" t="n">
        <v>46075</v>
      </c>
      <c r="D11056" t="inlineStr">
        <is>
          <t>VÄSTERBOTTENS LÄN</t>
        </is>
      </c>
      <c r="E11056" t="inlineStr">
        <is>
          <t>SORSELE</t>
        </is>
      </c>
      <c r="G11056" t="n">
        <v>20.6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20026-2025</t>
        </is>
      </c>
      <c r="B11057" s="1" t="n">
        <v>45772.34459490741</v>
      </c>
      <c r="C11057" s="1" t="n">
        <v>46075</v>
      </c>
      <c r="D11057" t="inlineStr">
        <is>
          <t>VÄSTERBOTTENS LÄN</t>
        </is>
      </c>
      <c r="E11057" t="inlineStr">
        <is>
          <t>LYCKSELE</t>
        </is>
      </c>
      <c r="G11057" t="n">
        <v>1.3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20034-2025</t>
        </is>
      </c>
      <c r="B11058" s="1" t="n">
        <v>45772.36483796296</v>
      </c>
      <c r="C11058" s="1" t="n">
        <v>46075</v>
      </c>
      <c r="D11058" t="inlineStr">
        <is>
          <t>VÄSTERBOTTENS LÄN</t>
        </is>
      </c>
      <c r="E11058" t="inlineStr">
        <is>
          <t>LYCKSELE</t>
        </is>
      </c>
      <c r="G11058" t="n">
        <v>2.8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9620-2025</t>
        </is>
      </c>
      <c r="B11059" s="1" t="n">
        <v>45715.67895833333</v>
      </c>
      <c r="C11059" s="1" t="n">
        <v>46075</v>
      </c>
      <c r="D11059" t="inlineStr">
        <is>
          <t>VÄSTERBOTTENS LÄN</t>
        </is>
      </c>
      <c r="E11059" t="inlineStr">
        <is>
          <t>VINDELN</t>
        </is>
      </c>
      <c r="G11059" t="n">
        <v>9.300000000000001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19221-2025</t>
        </is>
      </c>
      <c r="B11060" s="1" t="n">
        <v>45769</v>
      </c>
      <c r="C11060" s="1" t="n">
        <v>46075</v>
      </c>
      <c r="D11060" t="inlineStr">
        <is>
          <t>VÄSTERBOTTENS LÄN</t>
        </is>
      </c>
      <c r="E11060" t="inlineStr">
        <is>
          <t>VILHELMINA</t>
        </is>
      </c>
      <c r="F11060" t="inlineStr">
        <is>
          <t>SCA</t>
        </is>
      </c>
      <c r="G11060" t="n">
        <v>1.2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40845-2024</t>
        </is>
      </c>
      <c r="B11061" s="1" t="n">
        <v>45558</v>
      </c>
      <c r="C11061" s="1" t="n">
        <v>46075</v>
      </c>
      <c r="D11061" t="inlineStr">
        <is>
          <t>VÄSTERBOTTENS LÄN</t>
        </is>
      </c>
      <c r="E11061" t="inlineStr">
        <is>
          <t>NORDMALING</t>
        </is>
      </c>
      <c r="G11061" t="n">
        <v>8.5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17870-2025</t>
        </is>
      </c>
      <c r="B11062" s="1" t="n">
        <v>45758.63540509259</v>
      </c>
      <c r="C11062" s="1" t="n">
        <v>46075</v>
      </c>
      <c r="D11062" t="inlineStr">
        <is>
          <t>VÄSTERBOTTENS LÄN</t>
        </is>
      </c>
      <c r="E11062" t="inlineStr">
        <is>
          <t>SORSELE</t>
        </is>
      </c>
      <c r="G11062" t="n">
        <v>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7774-2025</t>
        </is>
      </c>
      <c r="B11063" s="1" t="n">
        <v>45706.57314814815</v>
      </c>
      <c r="C11063" s="1" t="n">
        <v>46075</v>
      </c>
      <c r="D11063" t="inlineStr">
        <is>
          <t>VÄSTERBOTTENS LÄN</t>
        </is>
      </c>
      <c r="E11063" t="inlineStr">
        <is>
          <t>UMEÅ</t>
        </is>
      </c>
      <c r="G11063" t="n">
        <v>2.6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27253-2024</t>
        </is>
      </c>
      <c r="B11064" s="1" t="n">
        <v>45471.70609953703</v>
      </c>
      <c r="C11064" s="1" t="n">
        <v>46075</v>
      </c>
      <c r="D11064" t="inlineStr">
        <is>
          <t>VÄSTERBOTTENS LÄN</t>
        </is>
      </c>
      <c r="E11064" t="inlineStr">
        <is>
          <t>SKELLEFTEÅ</t>
        </is>
      </c>
      <c r="F11064" t="inlineStr">
        <is>
          <t>Holmen skog AB</t>
        </is>
      </c>
      <c r="G11064" t="n">
        <v>12.5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48299-2024</t>
        </is>
      </c>
      <c r="B11065" s="1" t="n">
        <v>45590</v>
      </c>
      <c r="C11065" s="1" t="n">
        <v>46075</v>
      </c>
      <c r="D11065" t="inlineStr">
        <is>
          <t>VÄSTERBOTTENS LÄN</t>
        </is>
      </c>
      <c r="E11065" t="inlineStr">
        <is>
          <t>ÅSELE</t>
        </is>
      </c>
      <c r="G11065" t="n">
        <v>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59690-2024</t>
        </is>
      </c>
      <c r="B11066" s="1" t="n">
        <v>45639.40667824074</v>
      </c>
      <c r="C11066" s="1" t="n">
        <v>46075</v>
      </c>
      <c r="D11066" t="inlineStr">
        <is>
          <t>VÄSTERBOTTENS LÄN</t>
        </is>
      </c>
      <c r="E11066" t="inlineStr">
        <is>
          <t>ÅSELE</t>
        </is>
      </c>
      <c r="F11066" t="inlineStr">
        <is>
          <t>SCA</t>
        </is>
      </c>
      <c r="G11066" t="n">
        <v>4.8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9159-2025</t>
        </is>
      </c>
      <c r="B11067" s="1" t="n">
        <v>45714.35774305555</v>
      </c>
      <c r="C11067" s="1" t="n">
        <v>46075</v>
      </c>
      <c r="D11067" t="inlineStr">
        <is>
          <t>VÄSTERBOTTENS LÄN</t>
        </is>
      </c>
      <c r="E11067" t="inlineStr">
        <is>
          <t>UMEÅ</t>
        </is>
      </c>
      <c r="G11067" t="n">
        <v>3.2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4858-2025</t>
        </is>
      </c>
      <c r="B11068" s="1" t="n">
        <v>45688.67435185185</v>
      </c>
      <c r="C11068" s="1" t="n">
        <v>46075</v>
      </c>
      <c r="D11068" t="inlineStr">
        <is>
          <t>VÄSTERBOTTENS LÄN</t>
        </is>
      </c>
      <c r="E11068" t="inlineStr">
        <is>
          <t>LYCKSELE</t>
        </is>
      </c>
      <c r="F11068" t="inlineStr">
        <is>
          <t>SCA</t>
        </is>
      </c>
      <c r="G11068" t="n">
        <v>4.9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59783-2024</t>
        </is>
      </c>
      <c r="B11069" s="1" t="n">
        <v>45639.57982638889</v>
      </c>
      <c r="C11069" s="1" t="n">
        <v>46075</v>
      </c>
      <c r="D11069" t="inlineStr">
        <is>
          <t>VÄSTERBOTTENS LÄN</t>
        </is>
      </c>
      <c r="E11069" t="inlineStr">
        <is>
          <t>SKELLEFTEÅ</t>
        </is>
      </c>
      <c r="G11069" t="n">
        <v>4.1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53092-2024</t>
        </is>
      </c>
      <c r="B11070" s="1" t="n">
        <v>45611</v>
      </c>
      <c r="C11070" s="1" t="n">
        <v>46075</v>
      </c>
      <c r="D11070" t="inlineStr">
        <is>
          <t>VÄSTERBOTTENS LÄN</t>
        </is>
      </c>
      <c r="E11070" t="inlineStr">
        <is>
          <t>DOROTEA</t>
        </is>
      </c>
      <c r="G11070" t="n">
        <v>3.2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35434-2024</t>
        </is>
      </c>
      <c r="B11071" s="1" t="n">
        <v>45531.41466435185</v>
      </c>
      <c r="C11071" s="1" t="n">
        <v>46075</v>
      </c>
      <c r="D11071" t="inlineStr">
        <is>
          <t>VÄSTERBOTTENS LÄN</t>
        </is>
      </c>
      <c r="E11071" t="inlineStr">
        <is>
          <t>UMEÅ</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3254-2024</t>
        </is>
      </c>
      <c r="B11072" s="1" t="n">
        <v>45316</v>
      </c>
      <c r="C11072" s="1" t="n">
        <v>46075</v>
      </c>
      <c r="D11072" t="inlineStr">
        <is>
          <t>VÄSTERBOTTENS LÄN</t>
        </is>
      </c>
      <c r="E11072" t="inlineStr">
        <is>
          <t>UMEÅ</t>
        </is>
      </c>
      <c r="G11072" t="n">
        <v>4.1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14231-2025</t>
        </is>
      </c>
      <c r="B11073" s="1" t="n">
        <v>45740.6012962963</v>
      </c>
      <c r="C11073" s="1" t="n">
        <v>46075</v>
      </c>
      <c r="D11073" t="inlineStr">
        <is>
          <t>VÄSTERBOTTENS LÄN</t>
        </is>
      </c>
      <c r="E11073" t="inlineStr">
        <is>
          <t>VINDELN</t>
        </is>
      </c>
      <c r="G11073" t="n">
        <v>2.2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62714-2022</t>
        </is>
      </c>
      <c r="B11074" s="1" t="n">
        <v>44925.62908564815</v>
      </c>
      <c r="C11074" s="1" t="n">
        <v>46075</v>
      </c>
      <c r="D11074" t="inlineStr">
        <is>
          <t>VÄSTERBOTTENS LÄN</t>
        </is>
      </c>
      <c r="E11074" t="inlineStr">
        <is>
          <t>VINDELN</t>
        </is>
      </c>
      <c r="G11074" t="n">
        <v>0.7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62718-2022</t>
        </is>
      </c>
      <c r="B11075" s="1" t="n">
        <v>44925.63877314814</v>
      </c>
      <c r="C11075" s="1" t="n">
        <v>46075</v>
      </c>
      <c r="D11075" t="inlineStr">
        <is>
          <t>VÄSTERBOTTENS LÄN</t>
        </is>
      </c>
      <c r="E11075" t="inlineStr">
        <is>
          <t>VINDELN</t>
        </is>
      </c>
      <c r="G11075" t="n">
        <v>0.4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62748-2022</t>
        </is>
      </c>
      <c r="B11076" s="1" t="n">
        <v>44925.93875</v>
      </c>
      <c r="C11076" s="1" t="n">
        <v>46075</v>
      </c>
      <c r="D11076" t="inlineStr">
        <is>
          <t>VÄSTERBOTTENS LÄN</t>
        </is>
      </c>
      <c r="E11076" t="inlineStr">
        <is>
          <t>ÅSELE</t>
        </is>
      </c>
      <c r="F11076" t="inlineStr">
        <is>
          <t>SCA</t>
        </is>
      </c>
      <c r="G11076" t="n">
        <v>0.5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62752-2022</t>
        </is>
      </c>
      <c r="B11077" s="1" t="n">
        <v>44925.93988425926</v>
      </c>
      <c r="C11077" s="1" t="n">
        <v>46075</v>
      </c>
      <c r="D11077" t="inlineStr">
        <is>
          <t>VÄSTERBOTTENS LÄN</t>
        </is>
      </c>
      <c r="E11077" t="inlineStr">
        <is>
          <t>SORSELE</t>
        </is>
      </c>
      <c r="F11077" t="inlineStr">
        <is>
          <t>SCA</t>
        </is>
      </c>
      <c r="G11077" t="n">
        <v>0.8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61105-2022</t>
        </is>
      </c>
      <c r="B11078" s="1" t="n">
        <v>44915.41087962963</v>
      </c>
      <c r="C11078" s="1" t="n">
        <v>46075</v>
      </c>
      <c r="D11078" t="inlineStr">
        <is>
          <t>VÄSTERBOTTENS LÄN</t>
        </is>
      </c>
      <c r="E11078" t="inlineStr">
        <is>
          <t>SKELLEFTEÅ</t>
        </is>
      </c>
      <c r="F11078" t="inlineStr">
        <is>
          <t>Sveaskog</t>
        </is>
      </c>
      <c r="G11078" t="n">
        <v>19.5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61132-2022</t>
        </is>
      </c>
      <c r="B11079" s="1" t="n">
        <v>44915.44849537037</v>
      </c>
      <c r="C11079" s="1" t="n">
        <v>46075</v>
      </c>
      <c r="D11079" t="inlineStr">
        <is>
          <t>VÄSTERBOTTENS LÄN</t>
        </is>
      </c>
      <c r="E11079" t="inlineStr">
        <is>
          <t>SKELLEFTEÅ</t>
        </is>
      </c>
      <c r="F11079" t="inlineStr">
        <is>
          <t>Sveaskog</t>
        </is>
      </c>
      <c r="G11079" t="n">
        <v>14.5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16661-2025</t>
        </is>
      </c>
      <c r="B11080" s="1" t="n">
        <v>45754.41447916667</v>
      </c>
      <c r="C11080" s="1" t="n">
        <v>46075</v>
      </c>
      <c r="D11080" t="inlineStr">
        <is>
          <t>VÄSTERBOTTENS LÄN</t>
        </is>
      </c>
      <c r="E11080" t="inlineStr">
        <is>
          <t>NORSJÖ</t>
        </is>
      </c>
      <c r="G11080" t="n">
        <v>2.7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1640-2025</t>
        </is>
      </c>
      <c r="B11081" s="1" t="n">
        <v>45670</v>
      </c>
      <c r="C11081" s="1" t="n">
        <v>46075</v>
      </c>
      <c r="D11081" t="inlineStr">
        <is>
          <t>VÄSTERBOTTENS LÄN</t>
        </is>
      </c>
      <c r="E11081" t="inlineStr">
        <is>
          <t>ÅSELE</t>
        </is>
      </c>
      <c r="G11081" t="n">
        <v>2.9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34485-2023</t>
        </is>
      </c>
      <c r="B11082" s="1" t="n">
        <v>45139.94703703704</v>
      </c>
      <c r="C11082" s="1" t="n">
        <v>46075</v>
      </c>
      <c r="D11082" t="inlineStr">
        <is>
          <t>VÄSTERBOTTENS LÄN</t>
        </is>
      </c>
      <c r="E11082" t="inlineStr">
        <is>
          <t>NORDMALING</t>
        </is>
      </c>
      <c r="F11082" t="inlineStr">
        <is>
          <t>SCA</t>
        </is>
      </c>
      <c r="G11082" t="n">
        <v>0.5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43541-2024</t>
        </is>
      </c>
      <c r="B11083" s="1" t="n">
        <v>45569.36511574074</v>
      </c>
      <c r="C11083" s="1" t="n">
        <v>46075</v>
      </c>
      <c r="D11083" t="inlineStr">
        <is>
          <t>VÄSTERBOTTENS LÄN</t>
        </is>
      </c>
      <c r="E11083" t="inlineStr">
        <is>
          <t>NORDMALING</t>
        </is>
      </c>
      <c r="G11083" t="n">
        <v>1.9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44836-2024</t>
        </is>
      </c>
      <c r="B11084" s="1" t="n">
        <v>45574.70622685185</v>
      </c>
      <c r="C11084" s="1" t="n">
        <v>46075</v>
      </c>
      <c r="D11084" t="inlineStr">
        <is>
          <t>VÄSTERBOTTENS LÄN</t>
        </is>
      </c>
      <c r="E11084" t="inlineStr">
        <is>
          <t>UMEÅ</t>
        </is>
      </c>
      <c r="F11084" t="inlineStr">
        <is>
          <t>Holmen skog AB</t>
        </is>
      </c>
      <c r="G11084" t="n">
        <v>2.1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8860-2023</t>
        </is>
      </c>
      <c r="B11085" s="1" t="n">
        <v>44978.92381944445</v>
      </c>
      <c r="C11085" s="1" t="n">
        <v>46075</v>
      </c>
      <c r="D11085" t="inlineStr">
        <is>
          <t>VÄSTERBOTTENS LÄN</t>
        </is>
      </c>
      <c r="E11085" t="inlineStr">
        <is>
          <t>BJURHOLM</t>
        </is>
      </c>
      <c r="G11085" t="n">
        <v>3.4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49417-2022</t>
        </is>
      </c>
      <c r="B11086" s="1" t="n">
        <v>44859</v>
      </c>
      <c r="C11086" s="1" t="n">
        <v>46075</v>
      </c>
      <c r="D11086" t="inlineStr">
        <is>
          <t>VÄSTERBOTTENS LÄN</t>
        </is>
      </c>
      <c r="E11086" t="inlineStr">
        <is>
          <t>NORDMALING</t>
        </is>
      </c>
      <c r="G11086" t="n">
        <v>2.1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60690-2022</t>
        </is>
      </c>
      <c r="B11087" s="1" t="n">
        <v>44911</v>
      </c>
      <c r="C11087" s="1" t="n">
        <v>46075</v>
      </c>
      <c r="D11087" t="inlineStr">
        <is>
          <t>VÄSTERBOTTENS LÄN</t>
        </is>
      </c>
      <c r="E11087" t="inlineStr">
        <is>
          <t>BJURHOLM</t>
        </is>
      </c>
      <c r="F11087" t="inlineStr">
        <is>
          <t>SCA</t>
        </is>
      </c>
      <c r="G11087" t="n">
        <v>1.5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9892-2022</t>
        </is>
      </c>
      <c r="B11088" s="1" t="n">
        <v>44620</v>
      </c>
      <c r="C11088" s="1" t="n">
        <v>46075</v>
      </c>
      <c r="D11088" t="inlineStr">
        <is>
          <t>VÄSTERBOTTENS LÄN</t>
        </is>
      </c>
      <c r="E11088" t="inlineStr">
        <is>
          <t>LYCKSELE</t>
        </is>
      </c>
      <c r="G11088" t="n">
        <v>14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12715-2022</t>
        </is>
      </c>
      <c r="B11089" s="1" t="n">
        <v>44641</v>
      </c>
      <c r="C11089" s="1" t="n">
        <v>46075</v>
      </c>
      <c r="D11089" t="inlineStr">
        <is>
          <t>VÄSTERBOTTENS LÄN</t>
        </is>
      </c>
      <c r="E11089" t="inlineStr">
        <is>
          <t>SKELLEFTEÅ</t>
        </is>
      </c>
      <c r="G11089" t="n">
        <v>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14242-2023</t>
        </is>
      </c>
      <c r="B11090" s="1" t="n">
        <v>45009</v>
      </c>
      <c r="C11090" s="1" t="n">
        <v>46075</v>
      </c>
      <c r="D11090" t="inlineStr">
        <is>
          <t>VÄSTERBOTTENS LÄN</t>
        </is>
      </c>
      <c r="E11090" t="inlineStr">
        <is>
          <t>UMEÅ</t>
        </is>
      </c>
      <c r="G11090" t="n">
        <v>1.3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17352-2023</t>
        </is>
      </c>
      <c r="B11091" s="1" t="n">
        <v>45033</v>
      </c>
      <c r="C11091" s="1" t="n">
        <v>46075</v>
      </c>
      <c r="D11091" t="inlineStr">
        <is>
          <t>VÄSTERBOTTENS LÄN</t>
        </is>
      </c>
      <c r="E11091" t="inlineStr">
        <is>
          <t>UMEÅ</t>
        </is>
      </c>
      <c r="F11091" t="inlineStr">
        <is>
          <t>Kommuner</t>
        </is>
      </c>
      <c r="G11091" t="n">
        <v>0.9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44677-2023</t>
        </is>
      </c>
      <c r="B11092" s="1" t="n">
        <v>45189</v>
      </c>
      <c r="C11092" s="1" t="n">
        <v>46075</v>
      </c>
      <c r="D11092" t="inlineStr">
        <is>
          <t>VÄSTERBOTTENS LÄN</t>
        </is>
      </c>
      <c r="E11092" t="inlineStr">
        <is>
          <t>ÅSELE</t>
        </is>
      </c>
      <c r="G11092" t="n">
        <v>7.9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62058-2024</t>
        </is>
      </c>
      <c r="B11093" s="1" t="n">
        <v>45656.37960648148</v>
      </c>
      <c r="C11093" s="1" t="n">
        <v>46075</v>
      </c>
      <c r="D11093" t="inlineStr">
        <is>
          <t>VÄSTERBOTTENS LÄN</t>
        </is>
      </c>
      <c r="E11093" t="inlineStr">
        <is>
          <t>SKELLEFTEÅ</t>
        </is>
      </c>
      <c r="F11093" t="inlineStr">
        <is>
          <t>Sveaskog</t>
        </is>
      </c>
      <c r="G11093" t="n">
        <v>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59395-2023</t>
        </is>
      </c>
      <c r="B11094" s="1" t="n">
        <v>45253</v>
      </c>
      <c r="C11094" s="1" t="n">
        <v>46075</v>
      </c>
      <c r="D11094" t="inlineStr">
        <is>
          <t>VÄSTERBOTTENS LÄN</t>
        </is>
      </c>
      <c r="E11094" t="inlineStr">
        <is>
          <t>DOROTEA</t>
        </is>
      </c>
      <c r="G11094" t="n">
        <v>5.3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59397-2023</t>
        </is>
      </c>
      <c r="B11095" s="1" t="n">
        <v>45253</v>
      </c>
      <c r="C11095" s="1" t="n">
        <v>46075</v>
      </c>
      <c r="D11095" t="inlineStr">
        <is>
          <t>VÄSTERBOTTENS LÄN</t>
        </is>
      </c>
      <c r="E11095" t="inlineStr">
        <is>
          <t>DOROTEA</t>
        </is>
      </c>
      <c r="G11095" t="n">
        <v>8.5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19107-2025</t>
        </is>
      </c>
      <c r="B11096" s="1" t="n">
        <v>45768.37873842593</v>
      </c>
      <c r="C11096" s="1" t="n">
        <v>46075</v>
      </c>
      <c r="D11096" t="inlineStr">
        <is>
          <t>VÄSTERBOTTENS LÄN</t>
        </is>
      </c>
      <c r="E11096" t="inlineStr">
        <is>
          <t>SKELLEFTEÅ</t>
        </is>
      </c>
      <c r="G11096" t="n">
        <v>0.7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52386-2023</t>
        </is>
      </c>
      <c r="B11097" s="1" t="n">
        <v>45224.88442129629</v>
      </c>
      <c r="C11097" s="1" t="n">
        <v>46075</v>
      </c>
      <c r="D11097" t="inlineStr">
        <is>
          <t>VÄSTERBOTTENS LÄN</t>
        </is>
      </c>
      <c r="E11097" t="inlineStr">
        <is>
          <t>BJURHOLM</t>
        </is>
      </c>
      <c r="G11097" t="n">
        <v>5.2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19053-2023</t>
        </is>
      </c>
      <c r="B11098" s="1" t="n">
        <v>45047</v>
      </c>
      <c r="C11098" s="1" t="n">
        <v>46075</v>
      </c>
      <c r="D11098" t="inlineStr">
        <is>
          <t>VÄSTERBOTTENS LÄN</t>
        </is>
      </c>
      <c r="E11098" t="inlineStr">
        <is>
          <t>UMEÅ</t>
        </is>
      </c>
      <c r="G11098" t="n">
        <v>4.8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9147-2025</t>
        </is>
      </c>
      <c r="B11099" s="1" t="n">
        <v>45714</v>
      </c>
      <c r="C11099" s="1" t="n">
        <v>46075</v>
      </c>
      <c r="D11099" t="inlineStr">
        <is>
          <t>VÄSTERBOTTENS LÄN</t>
        </is>
      </c>
      <c r="E11099" t="inlineStr">
        <is>
          <t>UMEÅ</t>
        </is>
      </c>
      <c r="F11099" t="inlineStr">
        <is>
          <t>Holmen skog AB</t>
        </is>
      </c>
      <c r="G11099" t="n">
        <v>1.2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40822-2023</t>
        </is>
      </c>
      <c r="B11100" s="1" t="n">
        <v>45171</v>
      </c>
      <c r="C11100" s="1" t="n">
        <v>46075</v>
      </c>
      <c r="D11100" t="inlineStr">
        <is>
          <t>VÄSTERBOTTENS LÄN</t>
        </is>
      </c>
      <c r="E11100" t="inlineStr">
        <is>
          <t>MALÅ</t>
        </is>
      </c>
      <c r="G11100" t="n">
        <v>0.5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35990-2023</t>
        </is>
      </c>
      <c r="B11101" s="1" t="n">
        <v>45148.96259259259</v>
      </c>
      <c r="C11101" s="1" t="n">
        <v>46075</v>
      </c>
      <c r="D11101" t="inlineStr">
        <is>
          <t>VÄSTERBOTTENS LÄN</t>
        </is>
      </c>
      <c r="E11101" t="inlineStr">
        <is>
          <t>DOROTEA</t>
        </is>
      </c>
      <c r="F11101" t="inlineStr">
        <is>
          <t>SCA</t>
        </is>
      </c>
      <c r="G11101" t="n">
        <v>1.1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23458-2023</t>
        </is>
      </c>
      <c r="B11102" s="1" t="n">
        <v>45076.61943287037</v>
      </c>
      <c r="C11102" s="1" t="n">
        <v>46075</v>
      </c>
      <c r="D11102" t="inlineStr">
        <is>
          <t>VÄSTERBOTTENS LÄN</t>
        </is>
      </c>
      <c r="E11102" t="inlineStr">
        <is>
          <t>SKELLEFTEÅ</t>
        </is>
      </c>
      <c r="G11102" t="n">
        <v>0.5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58669-2022</t>
        </is>
      </c>
      <c r="B11103" s="1" t="n">
        <v>44895</v>
      </c>
      <c r="C11103" s="1" t="n">
        <v>46075</v>
      </c>
      <c r="D11103" t="inlineStr">
        <is>
          <t>VÄSTERBOTTENS LÄN</t>
        </is>
      </c>
      <c r="E11103" t="inlineStr">
        <is>
          <t>SORSELE</t>
        </is>
      </c>
      <c r="G11103" t="n">
        <v>1.4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2794-2022</t>
        </is>
      </c>
      <c r="B11104" s="1" t="n">
        <v>44580</v>
      </c>
      <c r="C11104" s="1" t="n">
        <v>46075</v>
      </c>
      <c r="D11104" t="inlineStr">
        <is>
          <t>VÄSTERBOTTENS LÄN</t>
        </is>
      </c>
      <c r="E11104" t="inlineStr">
        <is>
          <t>STORUMAN</t>
        </is>
      </c>
      <c r="G11104" t="n">
        <v>12.5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56277-2023</t>
        </is>
      </c>
      <c r="B11105" s="1" t="n">
        <v>45241.61490740741</v>
      </c>
      <c r="C11105" s="1" t="n">
        <v>46075</v>
      </c>
      <c r="D11105" t="inlineStr">
        <is>
          <t>VÄSTERBOTTENS LÄN</t>
        </is>
      </c>
      <c r="E11105" t="inlineStr">
        <is>
          <t>NORDMALING</t>
        </is>
      </c>
      <c r="G11105" t="n">
        <v>4.1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64949-2023</t>
        </is>
      </c>
      <c r="B11106" s="1" t="n">
        <v>45282.94709490741</v>
      </c>
      <c r="C11106" s="1" t="n">
        <v>46075</v>
      </c>
      <c r="D11106" t="inlineStr">
        <is>
          <t>VÄSTERBOTTENS LÄN</t>
        </is>
      </c>
      <c r="E11106" t="inlineStr">
        <is>
          <t>ÅSELE</t>
        </is>
      </c>
      <c r="F11106" t="inlineStr">
        <is>
          <t>SCA</t>
        </is>
      </c>
      <c r="G11106" t="n">
        <v>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18975-2023</t>
        </is>
      </c>
      <c r="B11107" s="1" t="n">
        <v>45044</v>
      </c>
      <c r="C11107" s="1" t="n">
        <v>46075</v>
      </c>
      <c r="D11107" t="inlineStr">
        <is>
          <t>VÄSTERBOTTENS LÄN</t>
        </is>
      </c>
      <c r="E11107" t="inlineStr">
        <is>
          <t>SKELLEFTEÅ</t>
        </is>
      </c>
      <c r="G11107" t="n">
        <v>2.2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11646-2023</t>
        </is>
      </c>
      <c r="B11108" s="1" t="n">
        <v>44992</v>
      </c>
      <c r="C11108" s="1" t="n">
        <v>46075</v>
      </c>
      <c r="D11108" t="inlineStr">
        <is>
          <t>VÄSTERBOTTENS LÄN</t>
        </is>
      </c>
      <c r="E11108" t="inlineStr">
        <is>
          <t>SORSELE</t>
        </is>
      </c>
      <c r="G11108" t="n">
        <v>4.3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52871-2022</t>
        </is>
      </c>
      <c r="B11109" s="1" t="n">
        <v>44872</v>
      </c>
      <c r="C11109" s="1" t="n">
        <v>46075</v>
      </c>
      <c r="D11109" t="inlineStr">
        <is>
          <t>VÄSTERBOTTENS LÄN</t>
        </is>
      </c>
      <c r="E11109" t="inlineStr">
        <is>
          <t>SKELLEFTEÅ</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35435-2024</t>
        </is>
      </c>
      <c r="B11110" s="1" t="n">
        <v>45531.41481481482</v>
      </c>
      <c r="C11110" s="1" t="n">
        <v>46075</v>
      </c>
      <c r="D11110" t="inlineStr">
        <is>
          <t>VÄSTERBOTTENS LÄN</t>
        </is>
      </c>
      <c r="E11110" t="inlineStr">
        <is>
          <t>SKELLEFTEÅ</t>
        </is>
      </c>
      <c r="G11110" t="n">
        <v>10.8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36245-2024</t>
        </is>
      </c>
      <c r="B11111" s="1" t="n">
        <v>45534.52609953703</v>
      </c>
      <c r="C11111" s="1" t="n">
        <v>46075</v>
      </c>
      <c r="D11111" t="inlineStr">
        <is>
          <t>VÄSTERBOTTENS LÄN</t>
        </is>
      </c>
      <c r="E11111" t="inlineStr">
        <is>
          <t>NORSJÖ</t>
        </is>
      </c>
      <c r="F11111" t="inlineStr">
        <is>
          <t>Holmen skog AB</t>
        </is>
      </c>
      <c r="G11111" t="n">
        <v>2.1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4342-2023</t>
        </is>
      </c>
      <c r="B11112" s="1" t="n">
        <v>44953.97421296296</v>
      </c>
      <c r="C11112" s="1" t="n">
        <v>46075</v>
      </c>
      <c r="D11112" t="inlineStr">
        <is>
          <t>VÄSTERBOTTENS LÄN</t>
        </is>
      </c>
      <c r="E11112" t="inlineStr">
        <is>
          <t>ÅSELE</t>
        </is>
      </c>
      <c r="F11112" t="inlineStr">
        <is>
          <t>SCA</t>
        </is>
      </c>
      <c r="G11112" t="n">
        <v>2.2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50090-2021</t>
        </is>
      </c>
      <c r="B11113" s="1" t="n">
        <v>44455</v>
      </c>
      <c r="C11113" s="1" t="n">
        <v>46075</v>
      </c>
      <c r="D11113" t="inlineStr">
        <is>
          <t>VÄSTERBOTTENS LÄN</t>
        </is>
      </c>
      <c r="E11113" t="inlineStr">
        <is>
          <t>VINDELN</t>
        </is>
      </c>
      <c r="G11113" t="n">
        <v>4.7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35650-2023</t>
        </is>
      </c>
      <c r="B11114" s="1" t="n">
        <v>45147.58692129629</v>
      </c>
      <c r="C11114" s="1" t="n">
        <v>46075</v>
      </c>
      <c r="D11114" t="inlineStr">
        <is>
          <t>VÄSTERBOTTENS LÄN</t>
        </is>
      </c>
      <c r="E11114" t="inlineStr">
        <is>
          <t>NORDMALING</t>
        </is>
      </c>
      <c r="G11114" t="n">
        <v>0.7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39776-2024</t>
        </is>
      </c>
      <c r="B11115" s="1" t="n">
        <v>45552.8096875</v>
      </c>
      <c r="C11115" s="1" t="n">
        <v>46075</v>
      </c>
      <c r="D11115" t="inlineStr">
        <is>
          <t>VÄSTERBOTTENS LÄN</t>
        </is>
      </c>
      <c r="E11115" t="inlineStr">
        <is>
          <t>NORDMALING</t>
        </is>
      </c>
      <c r="G11115" t="n">
        <v>3.5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28099-2023</t>
        </is>
      </c>
      <c r="B11116" s="1" t="n">
        <v>45099</v>
      </c>
      <c r="C11116" s="1" t="n">
        <v>46075</v>
      </c>
      <c r="D11116" t="inlineStr">
        <is>
          <t>VÄSTERBOTTENS LÄN</t>
        </is>
      </c>
      <c r="E11116" t="inlineStr">
        <is>
          <t>UMEÅ</t>
        </is>
      </c>
      <c r="F11116" t="inlineStr">
        <is>
          <t>Holmen skog AB</t>
        </is>
      </c>
      <c r="G11116" t="n">
        <v>3.9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8753-2025</t>
        </is>
      </c>
      <c r="B11117" s="1" t="n">
        <v>45712</v>
      </c>
      <c r="C11117" s="1" t="n">
        <v>46075</v>
      </c>
      <c r="D11117" t="inlineStr">
        <is>
          <t>VÄSTERBOTTENS LÄN</t>
        </is>
      </c>
      <c r="E11117" t="inlineStr">
        <is>
          <t>ROBERTSFORS</t>
        </is>
      </c>
      <c r="F11117" t="inlineStr">
        <is>
          <t>Kommuner</t>
        </is>
      </c>
      <c r="G11117" t="n">
        <v>8.1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18301-2025</t>
        </is>
      </c>
      <c r="B11118" s="1" t="n">
        <v>45762.43146990741</v>
      </c>
      <c r="C11118" s="1" t="n">
        <v>46075</v>
      </c>
      <c r="D11118" t="inlineStr">
        <is>
          <t>VÄSTERBOTTENS LÄN</t>
        </is>
      </c>
      <c r="E11118" t="inlineStr">
        <is>
          <t>ÅSELE</t>
        </is>
      </c>
      <c r="G11118" t="n">
        <v>7.1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14689-2025</t>
        </is>
      </c>
      <c r="B11119" s="1" t="n">
        <v>45742</v>
      </c>
      <c r="C11119" s="1" t="n">
        <v>46075</v>
      </c>
      <c r="D11119" t="inlineStr">
        <is>
          <t>VÄSTERBOTTENS LÄN</t>
        </is>
      </c>
      <c r="E11119" t="inlineStr">
        <is>
          <t>NORDMALING</t>
        </is>
      </c>
      <c r="G11119" t="n">
        <v>1.8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59051-2024</t>
        </is>
      </c>
      <c r="B11120" s="1" t="n">
        <v>45636.78251157407</v>
      </c>
      <c r="C11120" s="1" t="n">
        <v>46075</v>
      </c>
      <c r="D11120" t="inlineStr">
        <is>
          <t>VÄSTERBOTTENS LÄN</t>
        </is>
      </c>
      <c r="E11120" t="inlineStr">
        <is>
          <t>ROBERTSFORS</t>
        </is>
      </c>
      <c r="G11120" t="n">
        <v>1.2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58596-2024</t>
        </is>
      </c>
      <c r="B11121" s="1" t="n">
        <v>45635</v>
      </c>
      <c r="C11121" s="1" t="n">
        <v>46075</v>
      </c>
      <c r="D11121" t="inlineStr">
        <is>
          <t>VÄSTERBOTTENS LÄN</t>
        </is>
      </c>
      <c r="E11121" t="inlineStr">
        <is>
          <t>ÅSELE</t>
        </is>
      </c>
      <c r="F11121" t="inlineStr">
        <is>
          <t>SCA</t>
        </is>
      </c>
      <c r="G11121" t="n">
        <v>3.3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24234-2023</t>
        </is>
      </c>
      <c r="B11122" s="1" t="n">
        <v>45079</v>
      </c>
      <c r="C11122" s="1" t="n">
        <v>46075</v>
      </c>
      <c r="D11122" t="inlineStr">
        <is>
          <t>VÄSTERBOTTENS LÄN</t>
        </is>
      </c>
      <c r="E11122" t="inlineStr">
        <is>
          <t>LYCKSELE</t>
        </is>
      </c>
      <c r="G11122" t="n">
        <v>3.3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26253-2024</t>
        </is>
      </c>
      <c r="B11123" s="1" t="n">
        <v>45468.64837962963</v>
      </c>
      <c r="C11123" s="1" t="n">
        <v>46075</v>
      </c>
      <c r="D11123" t="inlineStr">
        <is>
          <t>VÄSTERBOTTENS LÄN</t>
        </is>
      </c>
      <c r="E11123" t="inlineStr">
        <is>
          <t>SKELLEFTEÅ</t>
        </is>
      </c>
      <c r="F11123" t="inlineStr">
        <is>
          <t>Holmen skog AB</t>
        </is>
      </c>
      <c r="G11123" t="n">
        <v>2.8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28203-2023</t>
        </is>
      </c>
      <c r="B11124" s="1" t="n">
        <v>45096</v>
      </c>
      <c r="C11124" s="1" t="n">
        <v>46075</v>
      </c>
      <c r="D11124" t="inlineStr">
        <is>
          <t>VÄSTERBOTTENS LÄN</t>
        </is>
      </c>
      <c r="E11124" t="inlineStr">
        <is>
          <t>SKELLEFTEÅ</t>
        </is>
      </c>
      <c r="G11124" t="n">
        <v>1.3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30553-2023</t>
        </is>
      </c>
      <c r="B11125" s="1" t="n">
        <v>45111</v>
      </c>
      <c r="C11125" s="1" t="n">
        <v>46075</v>
      </c>
      <c r="D11125" t="inlineStr">
        <is>
          <t>VÄSTERBOTTENS LÄN</t>
        </is>
      </c>
      <c r="E11125" t="inlineStr">
        <is>
          <t>UMEÅ</t>
        </is>
      </c>
      <c r="G11125" t="n">
        <v>5.1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41353-2023</t>
        </is>
      </c>
      <c r="B11126" s="1" t="n">
        <v>45174</v>
      </c>
      <c r="C11126" s="1" t="n">
        <v>46075</v>
      </c>
      <c r="D11126" t="inlineStr">
        <is>
          <t>VÄSTERBOTTENS LÄN</t>
        </is>
      </c>
      <c r="E11126" t="inlineStr">
        <is>
          <t>MALÅ</t>
        </is>
      </c>
      <c r="G11126" t="n">
        <v>2.5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19326-2023</t>
        </is>
      </c>
      <c r="B11127" s="1" t="n">
        <v>45049</v>
      </c>
      <c r="C11127" s="1" t="n">
        <v>46075</v>
      </c>
      <c r="D11127" t="inlineStr">
        <is>
          <t>VÄSTERBOTTENS LÄN</t>
        </is>
      </c>
      <c r="E11127" t="inlineStr">
        <is>
          <t>STORUMAN</t>
        </is>
      </c>
      <c r="G11127" t="n">
        <v>35.3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33206-2024</t>
        </is>
      </c>
      <c r="B11128" s="1" t="n">
        <v>45518</v>
      </c>
      <c r="C11128" s="1" t="n">
        <v>46075</v>
      </c>
      <c r="D11128" t="inlineStr">
        <is>
          <t>VÄSTERBOTTENS LÄN</t>
        </is>
      </c>
      <c r="E11128" t="inlineStr">
        <is>
          <t>VINDELN</t>
        </is>
      </c>
      <c r="G11128" t="n">
        <v>1.3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60868-2022</t>
        </is>
      </c>
      <c r="B11129" s="1" t="n">
        <v>44908</v>
      </c>
      <c r="C11129" s="1" t="n">
        <v>46075</v>
      </c>
      <c r="D11129" t="inlineStr">
        <is>
          <t>VÄSTERBOTTENS LÄN</t>
        </is>
      </c>
      <c r="E11129" t="inlineStr">
        <is>
          <t>ÅSELE</t>
        </is>
      </c>
      <c r="G11129" t="n">
        <v>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46818-2023</t>
        </is>
      </c>
      <c r="B11130" s="1" t="n">
        <v>45198</v>
      </c>
      <c r="C11130" s="1" t="n">
        <v>46075</v>
      </c>
      <c r="D11130" t="inlineStr">
        <is>
          <t>VÄSTERBOTTENS LÄN</t>
        </is>
      </c>
      <c r="E11130" t="inlineStr">
        <is>
          <t>DOROTEA</t>
        </is>
      </c>
      <c r="F11130" t="inlineStr">
        <is>
          <t>SCA</t>
        </is>
      </c>
      <c r="G11130" t="n">
        <v>2.2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32769-2024</t>
        </is>
      </c>
      <c r="B11131" s="1" t="n">
        <v>45516</v>
      </c>
      <c r="C11131" s="1" t="n">
        <v>46075</v>
      </c>
      <c r="D11131" t="inlineStr">
        <is>
          <t>VÄSTERBOTTENS LÄN</t>
        </is>
      </c>
      <c r="E11131" t="inlineStr">
        <is>
          <t>MALÅ</t>
        </is>
      </c>
      <c r="G11131" t="n">
        <v>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32436-2024</t>
        </is>
      </c>
      <c r="B11132" s="1" t="n">
        <v>45512</v>
      </c>
      <c r="C11132" s="1" t="n">
        <v>46075</v>
      </c>
      <c r="D11132" t="inlineStr">
        <is>
          <t>VÄSTERBOTTENS LÄN</t>
        </is>
      </c>
      <c r="E11132" t="inlineStr">
        <is>
          <t>BJURHOLM</t>
        </is>
      </c>
      <c r="G11132" t="n">
        <v>2.8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36978-2024</t>
        </is>
      </c>
      <c r="B11133" s="1" t="n">
        <v>45539</v>
      </c>
      <c r="C11133" s="1" t="n">
        <v>46075</v>
      </c>
      <c r="D11133" t="inlineStr">
        <is>
          <t>VÄSTERBOTTENS LÄN</t>
        </is>
      </c>
      <c r="E11133" t="inlineStr">
        <is>
          <t>BJURHOLM</t>
        </is>
      </c>
      <c r="G11133" t="n">
        <v>0.4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58975-2022</t>
        </is>
      </c>
      <c r="B11134" s="1" t="n">
        <v>44903</v>
      </c>
      <c r="C11134" s="1" t="n">
        <v>46075</v>
      </c>
      <c r="D11134" t="inlineStr">
        <is>
          <t>VÄSTERBOTTENS LÄN</t>
        </is>
      </c>
      <c r="E11134" t="inlineStr">
        <is>
          <t>LYCKSELE</t>
        </is>
      </c>
      <c r="F11134" t="inlineStr">
        <is>
          <t>Holmen skog AB</t>
        </is>
      </c>
      <c r="G11134" t="n">
        <v>2.2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80-2025</t>
        </is>
      </c>
      <c r="B11135" s="1" t="n">
        <v>45659.44478009259</v>
      </c>
      <c r="C11135" s="1" t="n">
        <v>46075</v>
      </c>
      <c r="D11135" t="inlineStr">
        <is>
          <t>VÄSTERBOTTENS LÄN</t>
        </is>
      </c>
      <c r="E11135" t="inlineStr">
        <is>
          <t>BJURHOLM</t>
        </is>
      </c>
      <c r="G11135" t="n">
        <v>5.3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45061-2024</t>
        </is>
      </c>
      <c r="B11136" s="1" t="n">
        <v>45575</v>
      </c>
      <c r="C11136" s="1" t="n">
        <v>46075</v>
      </c>
      <c r="D11136" t="inlineStr">
        <is>
          <t>VÄSTERBOTTENS LÄN</t>
        </is>
      </c>
      <c r="E11136" t="inlineStr">
        <is>
          <t>NORDMALING</t>
        </is>
      </c>
      <c r="G11136" t="n">
        <v>3.7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18143-2023</t>
        </is>
      </c>
      <c r="B11137" s="1" t="n">
        <v>45040</v>
      </c>
      <c r="C11137" s="1" t="n">
        <v>46075</v>
      </c>
      <c r="D11137" t="inlineStr">
        <is>
          <t>VÄSTERBOTTENS LÄN</t>
        </is>
      </c>
      <c r="E11137" t="inlineStr">
        <is>
          <t>ROBERTSFORS</t>
        </is>
      </c>
      <c r="G11137" t="n">
        <v>11.5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49429-2024</t>
        </is>
      </c>
      <c r="B11138" s="1" t="n">
        <v>45595.80703703704</v>
      </c>
      <c r="C11138" s="1" t="n">
        <v>46075</v>
      </c>
      <c r="D11138" t="inlineStr">
        <is>
          <t>VÄSTERBOTTENS LÄN</t>
        </is>
      </c>
      <c r="E11138" t="inlineStr">
        <is>
          <t>SKELLEFTEÅ</t>
        </is>
      </c>
      <c r="G11138" t="n">
        <v>3.7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3600-2023</t>
        </is>
      </c>
      <c r="B11139" s="1" t="n">
        <v>44946</v>
      </c>
      <c r="C11139" s="1" t="n">
        <v>46075</v>
      </c>
      <c r="D11139" t="inlineStr">
        <is>
          <t>VÄSTERBOTTENS LÄN</t>
        </is>
      </c>
      <c r="E11139" t="inlineStr">
        <is>
          <t>SKELLEFTEÅ</t>
        </is>
      </c>
      <c r="G11139" t="n">
        <v>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42897-2024</t>
        </is>
      </c>
      <c r="B11140" s="1" t="n">
        <v>45566.85192129629</v>
      </c>
      <c r="C11140" s="1" t="n">
        <v>46075</v>
      </c>
      <c r="D11140" t="inlineStr">
        <is>
          <t>VÄSTERBOTTENS LÄN</t>
        </is>
      </c>
      <c r="E11140" t="inlineStr">
        <is>
          <t>ÅSELE</t>
        </is>
      </c>
      <c r="F11140" t="inlineStr">
        <is>
          <t>Holmen skog AB</t>
        </is>
      </c>
      <c r="G11140" t="n">
        <v>3.7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2576-2022</t>
        </is>
      </c>
      <c r="B11141" s="1" t="n">
        <v>44580</v>
      </c>
      <c r="C11141" s="1" t="n">
        <v>46075</v>
      </c>
      <c r="D11141" t="inlineStr">
        <is>
          <t>VÄSTERBOTTENS LÄN</t>
        </is>
      </c>
      <c r="E11141" t="inlineStr">
        <is>
          <t>LYCKSELE</t>
        </is>
      </c>
      <c r="G11141" t="n">
        <v>0.5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62581-2022</t>
        </is>
      </c>
      <c r="B11142" s="1" t="n">
        <v>44924</v>
      </c>
      <c r="C11142" s="1" t="n">
        <v>46075</v>
      </c>
      <c r="D11142" t="inlineStr">
        <is>
          <t>VÄSTERBOTTENS LÄN</t>
        </is>
      </c>
      <c r="E11142" t="inlineStr">
        <is>
          <t>BJURHOLM</t>
        </is>
      </c>
      <c r="F11142" t="inlineStr">
        <is>
          <t>SCA</t>
        </is>
      </c>
      <c r="G11142" t="n">
        <v>2.3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34130-2024</t>
        </is>
      </c>
      <c r="B11143" s="1" t="n">
        <v>45524.34668981482</v>
      </c>
      <c r="C11143" s="1" t="n">
        <v>46075</v>
      </c>
      <c r="D11143" t="inlineStr">
        <is>
          <t>VÄSTERBOTTENS LÄN</t>
        </is>
      </c>
      <c r="E11143" t="inlineStr">
        <is>
          <t>VILHELMINA</t>
        </is>
      </c>
      <c r="F11143" t="inlineStr">
        <is>
          <t>Sveaskog</t>
        </is>
      </c>
      <c r="G11143" t="n">
        <v>3.7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46557-2024</t>
        </is>
      </c>
      <c r="B11144" s="1" t="n">
        <v>45582.67056712963</v>
      </c>
      <c r="C11144" s="1" t="n">
        <v>46075</v>
      </c>
      <c r="D11144" t="inlineStr">
        <is>
          <t>VÄSTERBOTTENS LÄN</t>
        </is>
      </c>
      <c r="E11144" t="inlineStr">
        <is>
          <t>SKELLEFTEÅ</t>
        </is>
      </c>
      <c r="G11144" t="n">
        <v>1.1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51476-2021</t>
        </is>
      </c>
      <c r="B11145" s="1" t="n">
        <v>44462</v>
      </c>
      <c r="C11145" s="1" t="n">
        <v>46075</v>
      </c>
      <c r="D11145" t="inlineStr">
        <is>
          <t>VÄSTERBOTTENS LÄN</t>
        </is>
      </c>
      <c r="E11145" t="inlineStr">
        <is>
          <t>SKELLEFTEÅ</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56763-2023</t>
        </is>
      </c>
      <c r="B11146" s="1" t="n">
        <v>45238</v>
      </c>
      <c r="C11146" s="1" t="n">
        <v>46075</v>
      </c>
      <c r="D11146" t="inlineStr">
        <is>
          <t>VÄSTERBOTTENS LÄN</t>
        </is>
      </c>
      <c r="E11146" t="inlineStr">
        <is>
          <t>VILHELMINA</t>
        </is>
      </c>
      <c r="F11146" t="inlineStr">
        <is>
          <t>Allmännings- och besparingsskogar</t>
        </is>
      </c>
      <c r="G11146" t="n">
        <v>77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21835-2023</t>
        </is>
      </c>
      <c r="B11147" s="1" t="n">
        <v>45068.3797337963</v>
      </c>
      <c r="C11147" s="1" t="n">
        <v>46075</v>
      </c>
      <c r="D11147" t="inlineStr">
        <is>
          <t>VÄSTERBOTTENS LÄN</t>
        </is>
      </c>
      <c r="E11147" t="inlineStr">
        <is>
          <t>VINDELN</t>
        </is>
      </c>
      <c r="G11147" t="n">
        <v>0.6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41109-2024</t>
        </is>
      </c>
      <c r="B11148" s="1" t="n">
        <v>45559.4494675926</v>
      </c>
      <c r="C11148" s="1" t="n">
        <v>46075</v>
      </c>
      <c r="D11148" t="inlineStr">
        <is>
          <t>VÄSTERBOTTENS LÄN</t>
        </is>
      </c>
      <c r="E11148" t="inlineStr">
        <is>
          <t>VINDELN</t>
        </is>
      </c>
      <c r="F11148" t="inlineStr">
        <is>
          <t>Sveaskog</t>
        </is>
      </c>
      <c r="G11148" t="n">
        <v>1.9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45007-2024</t>
        </is>
      </c>
      <c r="B11149" s="1" t="n">
        <v>45575.49100694444</v>
      </c>
      <c r="C11149" s="1" t="n">
        <v>46075</v>
      </c>
      <c r="D11149" t="inlineStr">
        <is>
          <t>VÄSTERBOTTENS LÄN</t>
        </is>
      </c>
      <c r="E11149" t="inlineStr">
        <is>
          <t>VILHELMINA</t>
        </is>
      </c>
      <c r="F11149" t="inlineStr">
        <is>
          <t>SCA</t>
        </is>
      </c>
      <c r="G11149" t="n">
        <v>14.8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1746-2025</t>
        </is>
      </c>
      <c r="B11150" s="1" t="n">
        <v>45671.40643518518</v>
      </c>
      <c r="C11150" s="1" t="n">
        <v>46075</v>
      </c>
      <c r="D11150" t="inlineStr">
        <is>
          <t>VÄSTERBOTTENS LÄN</t>
        </is>
      </c>
      <c r="E11150" t="inlineStr">
        <is>
          <t>SKELLEFTEÅ</t>
        </is>
      </c>
      <c r="G11150" t="n">
        <v>2.3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18034-2025</t>
        </is>
      </c>
      <c r="B11151" s="1" t="n">
        <v>45761</v>
      </c>
      <c r="C11151" s="1" t="n">
        <v>46075</v>
      </c>
      <c r="D11151" t="inlineStr">
        <is>
          <t>VÄSTERBOTTENS LÄN</t>
        </is>
      </c>
      <c r="E11151" t="inlineStr">
        <is>
          <t>ÅSELE</t>
        </is>
      </c>
      <c r="G11151" t="n">
        <v>6.7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32221-2024</t>
        </is>
      </c>
      <c r="B11152" s="1" t="n">
        <v>45511</v>
      </c>
      <c r="C11152" s="1" t="n">
        <v>46075</v>
      </c>
      <c r="D11152" t="inlineStr">
        <is>
          <t>VÄSTERBOTTENS LÄN</t>
        </is>
      </c>
      <c r="E11152" t="inlineStr">
        <is>
          <t>UMEÅ</t>
        </is>
      </c>
      <c r="G11152" t="n">
        <v>1.1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33776-2024</t>
        </is>
      </c>
      <c r="B11153" s="1" t="n">
        <v>45520.57944444445</v>
      </c>
      <c r="C11153" s="1" t="n">
        <v>46075</v>
      </c>
      <c r="D11153" t="inlineStr">
        <is>
          <t>VÄSTERBOTTENS LÄN</t>
        </is>
      </c>
      <c r="E11153" t="inlineStr">
        <is>
          <t>SKELLEFTEÅ</t>
        </is>
      </c>
      <c r="F11153" t="inlineStr">
        <is>
          <t>Sveaskog</t>
        </is>
      </c>
      <c r="G11153" t="n">
        <v>16.4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33786-2024</t>
        </is>
      </c>
      <c r="B11154" s="1" t="n">
        <v>45520.58966435185</v>
      </c>
      <c r="C11154" s="1" t="n">
        <v>46075</v>
      </c>
      <c r="D11154" t="inlineStr">
        <is>
          <t>VÄSTERBOTTENS LÄN</t>
        </is>
      </c>
      <c r="E11154" t="inlineStr">
        <is>
          <t>VILHELMINA</t>
        </is>
      </c>
      <c r="F11154" t="inlineStr">
        <is>
          <t>SCA</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36901-2024</t>
        </is>
      </c>
      <c r="B11155" s="1" t="n">
        <v>45538.62810185185</v>
      </c>
      <c r="C11155" s="1" t="n">
        <v>46075</v>
      </c>
      <c r="D11155" t="inlineStr">
        <is>
          <t>VÄSTERBOTTENS LÄN</t>
        </is>
      </c>
      <c r="E11155" t="inlineStr">
        <is>
          <t>UMEÅ</t>
        </is>
      </c>
      <c r="F11155" t="inlineStr">
        <is>
          <t>Holmen skog AB</t>
        </is>
      </c>
      <c r="G11155" t="n">
        <v>4.4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43768-2023</t>
        </is>
      </c>
      <c r="B11156" s="1" t="n">
        <v>45187.50721064815</v>
      </c>
      <c r="C11156" s="1" t="n">
        <v>46075</v>
      </c>
      <c r="D11156" t="inlineStr">
        <is>
          <t>VÄSTERBOTTENS LÄN</t>
        </is>
      </c>
      <c r="E11156" t="inlineStr">
        <is>
          <t>ÅSELE</t>
        </is>
      </c>
      <c r="G11156" t="n">
        <v>1.7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49055-2024</t>
        </is>
      </c>
      <c r="B11157" s="1" t="n">
        <v>45594</v>
      </c>
      <c r="C11157" s="1" t="n">
        <v>46075</v>
      </c>
      <c r="D11157" t="inlineStr">
        <is>
          <t>VÄSTERBOTTENS LÄN</t>
        </is>
      </c>
      <c r="E11157" t="inlineStr">
        <is>
          <t>UMEÅ</t>
        </is>
      </c>
      <c r="G11157" t="n">
        <v>11.4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31872-2024</t>
        </is>
      </c>
      <c r="B11158" s="1" t="n">
        <v>45509.9290625</v>
      </c>
      <c r="C11158" s="1" t="n">
        <v>46075</v>
      </c>
      <c r="D11158" t="inlineStr">
        <is>
          <t>VÄSTERBOTTENS LÄN</t>
        </is>
      </c>
      <c r="E11158" t="inlineStr">
        <is>
          <t>SKELLEFTEÅ</t>
        </is>
      </c>
      <c r="G11158" t="n">
        <v>1.4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9784-2023</t>
        </is>
      </c>
      <c r="B11159" s="1" t="n">
        <v>44984</v>
      </c>
      <c r="C11159" s="1" t="n">
        <v>46075</v>
      </c>
      <c r="D11159" t="inlineStr">
        <is>
          <t>VÄSTERBOTTENS LÄN</t>
        </is>
      </c>
      <c r="E11159" t="inlineStr">
        <is>
          <t>SORSELE</t>
        </is>
      </c>
      <c r="G11159" t="n">
        <v>9.800000000000001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48931-2023</t>
        </is>
      </c>
      <c r="B11160" s="1" t="n">
        <v>45209</v>
      </c>
      <c r="C11160" s="1" t="n">
        <v>46075</v>
      </c>
      <c r="D11160" t="inlineStr">
        <is>
          <t>VÄSTERBOTTENS LÄN</t>
        </is>
      </c>
      <c r="E11160" t="inlineStr">
        <is>
          <t>MALÅ</t>
        </is>
      </c>
      <c r="G11160" t="n">
        <v>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59359-2022</t>
        </is>
      </c>
      <c r="B11161" s="1" t="n">
        <v>44904.92574074074</v>
      </c>
      <c r="C11161" s="1" t="n">
        <v>46075</v>
      </c>
      <c r="D11161" t="inlineStr">
        <is>
          <t>VÄSTERBOTTENS LÄN</t>
        </is>
      </c>
      <c r="E11161" t="inlineStr">
        <is>
          <t>STORUMAN</t>
        </is>
      </c>
      <c r="G11161" t="n">
        <v>3.3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10567-2023</t>
        </is>
      </c>
      <c r="B11162" s="1" t="n">
        <v>44981</v>
      </c>
      <c r="C11162" s="1" t="n">
        <v>46075</v>
      </c>
      <c r="D11162" t="inlineStr">
        <is>
          <t>VÄSTERBOTTENS LÄN</t>
        </is>
      </c>
      <c r="E11162" t="inlineStr">
        <is>
          <t>SKELLEFTEÅ</t>
        </is>
      </c>
      <c r="G11162" t="n">
        <v>7.8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14538-2023</t>
        </is>
      </c>
      <c r="B11163" s="1" t="n">
        <v>45013</v>
      </c>
      <c r="C11163" s="1" t="n">
        <v>46075</v>
      </c>
      <c r="D11163" t="inlineStr">
        <is>
          <t>VÄSTERBOTTENS LÄN</t>
        </is>
      </c>
      <c r="E11163" t="inlineStr">
        <is>
          <t>ROBERTSFORS</t>
        </is>
      </c>
      <c r="G11163" t="n">
        <v>6.9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52509-2024</t>
        </is>
      </c>
      <c r="B11164" s="1" t="n">
        <v>45609.59239583334</v>
      </c>
      <c r="C11164" s="1" t="n">
        <v>46075</v>
      </c>
      <c r="D11164" t="inlineStr">
        <is>
          <t>VÄSTERBOTTENS LÄN</t>
        </is>
      </c>
      <c r="E11164" t="inlineStr">
        <is>
          <t>SKELLEFTEÅ</t>
        </is>
      </c>
      <c r="G11164" t="n">
        <v>3.8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52549-2024</t>
        </is>
      </c>
      <c r="B11165" s="1" t="n">
        <v>45609.64043981482</v>
      </c>
      <c r="C11165" s="1" t="n">
        <v>46075</v>
      </c>
      <c r="D11165" t="inlineStr">
        <is>
          <t>VÄSTERBOTTENS LÄN</t>
        </is>
      </c>
      <c r="E11165" t="inlineStr">
        <is>
          <t>BJURHOLM</t>
        </is>
      </c>
      <c r="G11165" t="n">
        <v>1.4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52552-2024</t>
        </is>
      </c>
      <c r="B11166" s="1" t="n">
        <v>45609.64550925926</v>
      </c>
      <c r="C11166" s="1" t="n">
        <v>46075</v>
      </c>
      <c r="D11166" t="inlineStr">
        <is>
          <t>VÄSTERBOTTENS LÄN</t>
        </is>
      </c>
      <c r="E11166" t="inlineStr">
        <is>
          <t>STORUMAN</t>
        </is>
      </c>
      <c r="F11166" t="inlineStr">
        <is>
          <t>Sveaskog</t>
        </is>
      </c>
      <c r="G11166" t="n">
        <v>6.6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60859-2023</t>
        </is>
      </c>
      <c r="B11167" s="1" t="n">
        <v>45260</v>
      </c>
      <c r="C11167" s="1" t="n">
        <v>46075</v>
      </c>
      <c r="D11167" t="inlineStr">
        <is>
          <t>VÄSTERBOTTENS LÄN</t>
        </is>
      </c>
      <c r="E11167" t="inlineStr">
        <is>
          <t>VINDELN</t>
        </is>
      </c>
      <c r="F11167" t="inlineStr">
        <is>
          <t>SCA</t>
        </is>
      </c>
      <c r="G11167" t="n">
        <v>1.6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7693-2025</t>
        </is>
      </c>
      <c r="B11168" s="1" t="n">
        <v>45706.39457175926</v>
      </c>
      <c r="C11168" s="1" t="n">
        <v>46075</v>
      </c>
      <c r="D11168" t="inlineStr">
        <is>
          <t>VÄSTERBOTTENS LÄN</t>
        </is>
      </c>
      <c r="E11168" t="inlineStr">
        <is>
          <t>UMEÅ</t>
        </is>
      </c>
      <c r="G11168" t="n">
        <v>19.7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7696-2025</t>
        </is>
      </c>
      <c r="B11169" s="1" t="n">
        <v>45706.39914351852</v>
      </c>
      <c r="C11169" s="1" t="n">
        <v>46075</v>
      </c>
      <c r="D11169" t="inlineStr">
        <is>
          <t>VÄSTERBOTTENS LÄN</t>
        </is>
      </c>
      <c r="E11169" t="inlineStr">
        <is>
          <t>UMEÅ</t>
        </is>
      </c>
      <c r="G11169" t="n">
        <v>5.2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18781-2021</t>
        </is>
      </c>
      <c r="B11170" s="1" t="n">
        <v>44307</v>
      </c>
      <c r="C11170" s="1" t="n">
        <v>46075</v>
      </c>
      <c r="D11170" t="inlineStr">
        <is>
          <t>VÄSTERBOTTENS LÄN</t>
        </is>
      </c>
      <c r="E11170" t="inlineStr">
        <is>
          <t>VILHELMINA</t>
        </is>
      </c>
      <c r="G11170" t="n">
        <v>3.5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18790-2021</t>
        </is>
      </c>
      <c r="B11171" s="1" t="n">
        <v>44307</v>
      </c>
      <c r="C11171" s="1" t="n">
        <v>46075</v>
      </c>
      <c r="D11171" t="inlineStr">
        <is>
          <t>VÄSTERBOTTENS LÄN</t>
        </is>
      </c>
      <c r="E11171" t="inlineStr">
        <is>
          <t>VILHELMINA</t>
        </is>
      </c>
      <c r="G11171" t="n">
        <v>1.1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32183-2023</t>
        </is>
      </c>
      <c r="B11172" s="1" t="n">
        <v>45119</v>
      </c>
      <c r="C11172" s="1" t="n">
        <v>46075</v>
      </c>
      <c r="D11172" t="inlineStr">
        <is>
          <t>VÄSTERBOTTENS LÄN</t>
        </is>
      </c>
      <c r="E11172" t="inlineStr">
        <is>
          <t>NORDMALING</t>
        </is>
      </c>
      <c r="G11172" t="n">
        <v>0.8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28954-2024</t>
        </is>
      </c>
      <c r="B11173" s="1" t="n">
        <v>45481.40775462963</v>
      </c>
      <c r="C11173" s="1" t="n">
        <v>46075</v>
      </c>
      <c r="D11173" t="inlineStr">
        <is>
          <t>VÄSTERBOTTENS LÄN</t>
        </is>
      </c>
      <c r="E11173" t="inlineStr">
        <is>
          <t>ÅSELE</t>
        </is>
      </c>
      <c r="F11173" t="inlineStr">
        <is>
          <t>Sveaskog</t>
        </is>
      </c>
      <c r="G11173" t="n">
        <v>7.1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41752-2023</t>
        </is>
      </c>
      <c r="B11174" s="1" t="n">
        <v>45176</v>
      </c>
      <c r="C11174" s="1" t="n">
        <v>46075</v>
      </c>
      <c r="D11174" t="inlineStr">
        <is>
          <t>VÄSTERBOTTENS LÄN</t>
        </is>
      </c>
      <c r="E11174" t="inlineStr">
        <is>
          <t>ROBERTSFORS</t>
        </is>
      </c>
      <c r="F11174" t="inlineStr">
        <is>
          <t>Holmen skog AB</t>
        </is>
      </c>
      <c r="G11174" t="n">
        <v>1.7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56296-2023</t>
        </is>
      </c>
      <c r="B11175" s="1" t="n">
        <v>45242</v>
      </c>
      <c r="C11175" s="1" t="n">
        <v>46075</v>
      </c>
      <c r="D11175" t="inlineStr">
        <is>
          <t>VÄSTERBOTTENS LÄN</t>
        </is>
      </c>
      <c r="E11175" t="inlineStr">
        <is>
          <t>STORUMAN</t>
        </is>
      </c>
      <c r="G11175" t="n">
        <v>3.1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59671-2023</t>
        </is>
      </c>
      <c r="B11176" s="1" t="n">
        <v>45254.96524305556</v>
      </c>
      <c r="C11176" s="1" t="n">
        <v>46075</v>
      </c>
      <c r="D11176" t="inlineStr">
        <is>
          <t>VÄSTERBOTTENS LÄN</t>
        </is>
      </c>
      <c r="E11176" t="inlineStr">
        <is>
          <t>VILHELMINA</t>
        </is>
      </c>
      <c r="F11176" t="inlineStr">
        <is>
          <t>SCA</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31474-2024</t>
        </is>
      </c>
      <c r="B11177" s="1" t="n">
        <v>45505.95200231481</v>
      </c>
      <c r="C11177" s="1" t="n">
        <v>46075</v>
      </c>
      <c r="D11177" t="inlineStr">
        <is>
          <t>VÄSTERBOTTENS LÄN</t>
        </is>
      </c>
      <c r="E11177" t="inlineStr">
        <is>
          <t>ÅSELE</t>
        </is>
      </c>
      <c r="F11177" t="inlineStr">
        <is>
          <t>SCA</t>
        </is>
      </c>
      <c r="G11177" t="n">
        <v>6.3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6671-2025</t>
        </is>
      </c>
      <c r="B11178" s="1" t="n">
        <v>45700.46908564815</v>
      </c>
      <c r="C11178" s="1" t="n">
        <v>46075</v>
      </c>
      <c r="D11178" t="inlineStr">
        <is>
          <t>VÄSTERBOTTENS LÄN</t>
        </is>
      </c>
      <c r="E11178" t="inlineStr">
        <is>
          <t>MALÅ</t>
        </is>
      </c>
      <c r="F11178" t="inlineStr">
        <is>
          <t>SCA</t>
        </is>
      </c>
      <c r="G11178" t="n">
        <v>2.6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6700-2025</t>
        </is>
      </c>
      <c r="B11179" s="1" t="n">
        <v>45700.54133101852</v>
      </c>
      <c r="C11179" s="1" t="n">
        <v>46075</v>
      </c>
      <c r="D11179" t="inlineStr">
        <is>
          <t>VÄSTERBOTTENS LÄN</t>
        </is>
      </c>
      <c r="E11179" t="inlineStr">
        <is>
          <t>LYCKSELE</t>
        </is>
      </c>
      <c r="G11179" t="n">
        <v>18.1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13820-2025</t>
        </is>
      </c>
      <c r="B11180" s="1" t="n">
        <v>45737.5315625</v>
      </c>
      <c r="C11180" s="1" t="n">
        <v>46075</v>
      </c>
      <c r="D11180" t="inlineStr">
        <is>
          <t>VÄSTERBOTTENS LÄN</t>
        </is>
      </c>
      <c r="E11180" t="inlineStr">
        <is>
          <t>UMEÅ</t>
        </is>
      </c>
      <c r="G11180" t="n">
        <v>5.3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850-2025</t>
        </is>
      </c>
      <c r="B11181" s="1" t="n">
        <v>45665</v>
      </c>
      <c r="C11181" s="1" t="n">
        <v>46075</v>
      </c>
      <c r="D11181" t="inlineStr">
        <is>
          <t>VÄSTERBOTTENS LÄN</t>
        </is>
      </c>
      <c r="E11181" t="inlineStr">
        <is>
          <t>SORSELE</t>
        </is>
      </c>
      <c r="F11181" t="inlineStr">
        <is>
          <t>Allmännings- och besparingsskogar</t>
        </is>
      </c>
      <c r="G11181" t="n">
        <v>35.6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858-2025</t>
        </is>
      </c>
      <c r="B11182" s="1" t="n">
        <v>45665</v>
      </c>
      <c r="C11182" s="1" t="n">
        <v>46075</v>
      </c>
      <c r="D11182" t="inlineStr">
        <is>
          <t>VÄSTERBOTTENS LÄN</t>
        </is>
      </c>
      <c r="E11182" t="inlineStr">
        <is>
          <t>VINDELN</t>
        </is>
      </c>
      <c r="F11182" t="inlineStr">
        <is>
          <t>Naturvårdsverket</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41064-2024</t>
        </is>
      </c>
      <c r="B11183" s="1" t="n">
        <v>45559.38644675926</v>
      </c>
      <c r="C11183" s="1" t="n">
        <v>46075</v>
      </c>
      <c r="D11183" t="inlineStr">
        <is>
          <t>VÄSTERBOTTENS LÄN</t>
        </is>
      </c>
      <c r="E11183" t="inlineStr">
        <is>
          <t>SKELLEFTEÅ</t>
        </is>
      </c>
      <c r="F11183" t="inlineStr">
        <is>
          <t>Holmen skog AB</t>
        </is>
      </c>
      <c r="G11183" t="n">
        <v>3.6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19778-2025</t>
        </is>
      </c>
      <c r="B11184" s="1" t="n">
        <v>45771.42734953704</v>
      </c>
      <c r="C11184" s="1" t="n">
        <v>46075</v>
      </c>
      <c r="D11184" t="inlineStr">
        <is>
          <t>VÄSTERBOTTENS LÄN</t>
        </is>
      </c>
      <c r="E11184" t="inlineStr">
        <is>
          <t>SKELLEFTEÅ</t>
        </is>
      </c>
      <c r="G11184" t="n">
        <v>6.7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31329-2023</t>
        </is>
      </c>
      <c r="B11185" s="1" t="n">
        <v>45114</v>
      </c>
      <c r="C11185" s="1" t="n">
        <v>46075</v>
      </c>
      <c r="D11185" t="inlineStr">
        <is>
          <t>VÄSTERBOTTENS LÄN</t>
        </is>
      </c>
      <c r="E11185" t="inlineStr">
        <is>
          <t>STORUMAN</t>
        </is>
      </c>
      <c r="F11185" t="inlineStr">
        <is>
          <t>Holmen skog AB</t>
        </is>
      </c>
      <c r="G11185" t="n">
        <v>6.4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31348-2023</t>
        </is>
      </c>
      <c r="B11186" s="1" t="n">
        <v>45114.4889699074</v>
      </c>
      <c r="C11186" s="1" t="n">
        <v>46075</v>
      </c>
      <c r="D11186" t="inlineStr">
        <is>
          <t>VÄSTERBOTTENS LÄN</t>
        </is>
      </c>
      <c r="E11186" t="inlineStr">
        <is>
          <t>ÅSELE</t>
        </is>
      </c>
      <c r="F11186" t="inlineStr">
        <is>
          <t>Holmen skog AB</t>
        </is>
      </c>
      <c r="G11186" t="n">
        <v>5.8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38947-2024</t>
        </is>
      </c>
      <c r="B11187" s="1" t="n">
        <v>45548.34546296296</v>
      </c>
      <c r="C11187" s="1" t="n">
        <v>46075</v>
      </c>
      <c r="D11187" t="inlineStr">
        <is>
          <t>VÄSTERBOTTENS LÄN</t>
        </is>
      </c>
      <c r="E11187" t="inlineStr">
        <is>
          <t>SORSELE</t>
        </is>
      </c>
      <c r="F11187" t="inlineStr">
        <is>
          <t>SCA</t>
        </is>
      </c>
      <c r="G11187" t="n">
        <v>3.7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12701-2025</t>
        </is>
      </c>
      <c r="B11188" s="1" t="n">
        <v>45733.46592592593</v>
      </c>
      <c r="C11188" s="1" t="n">
        <v>46075</v>
      </c>
      <c r="D11188" t="inlineStr">
        <is>
          <t>VÄSTERBOTTENS LÄN</t>
        </is>
      </c>
      <c r="E11188" t="inlineStr">
        <is>
          <t>SKELLEFTEÅ</t>
        </is>
      </c>
      <c r="G11188" t="n">
        <v>7.2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10568-2024</t>
        </is>
      </c>
      <c r="B11189" s="1" t="n">
        <v>45366</v>
      </c>
      <c r="C11189" s="1" t="n">
        <v>46075</v>
      </c>
      <c r="D11189" t="inlineStr">
        <is>
          <t>VÄSTERBOTTENS LÄN</t>
        </is>
      </c>
      <c r="E11189" t="inlineStr">
        <is>
          <t>UMEÅ</t>
        </is>
      </c>
      <c r="G11189" t="n">
        <v>6.3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39810-2021</t>
        </is>
      </c>
      <c r="B11190" s="1" t="n">
        <v>44417</v>
      </c>
      <c r="C11190" s="1" t="n">
        <v>46075</v>
      </c>
      <c r="D11190" t="inlineStr">
        <is>
          <t>VÄSTERBOTTENS LÄN</t>
        </is>
      </c>
      <c r="E11190" t="inlineStr">
        <is>
          <t>STORUMAN</t>
        </is>
      </c>
      <c r="G11190" t="n">
        <v>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27383-2024</t>
        </is>
      </c>
      <c r="B11191" s="1" t="n">
        <v>45473</v>
      </c>
      <c r="C11191" s="1" t="n">
        <v>46075</v>
      </c>
      <c r="D11191" t="inlineStr">
        <is>
          <t>VÄSTERBOTTENS LÄN</t>
        </is>
      </c>
      <c r="E11191" t="inlineStr">
        <is>
          <t>NORDMALING</t>
        </is>
      </c>
      <c r="G11191" t="n">
        <v>0.6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35128-2024</t>
        </is>
      </c>
      <c r="B11192" s="1" t="n">
        <v>45530</v>
      </c>
      <c r="C11192" s="1" t="n">
        <v>46075</v>
      </c>
      <c r="D11192" t="inlineStr">
        <is>
          <t>VÄSTERBOTTENS LÄN</t>
        </is>
      </c>
      <c r="E11192" t="inlineStr">
        <is>
          <t>VINDELN</t>
        </is>
      </c>
      <c r="G11192" t="n">
        <v>7.6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35135-2024</t>
        </is>
      </c>
      <c r="B11193" s="1" t="n">
        <v>45530.34371527778</v>
      </c>
      <c r="C11193" s="1" t="n">
        <v>46075</v>
      </c>
      <c r="D11193" t="inlineStr">
        <is>
          <t>VÄSTERBOTTENS LÄN</t>
        </is>
      </c>
      <c r="E11193" t="inlineStr">
        <is>
          <t>SKELLEFTEÅ</t>
        </is>
      </c>
      <c r="G11193" t="n">
        <v>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50915-2022</t>
        </is>
      </c>
      <c r="B11194" s="1" t="n">
        <v>44867</v>
      </c>
      <c r="C11194" s="1" t="n">
        <v>46075</v>
      </c>
      <c r="D11194" t="inlineStr">
        <is>
          <t>VÄSTERBOTTENS LÄN</t>
        </is>
      </c>
      <c r="E11194" t="inlineStr">
        <is>
          <t>STORUMAN</t>
        </is>
      </c>
      <c r="F11194" t="inlineStr">
        <is>
          <t>Sveaskog</t>
        </is>
      </c>
      <c r="G11194" t="n">
        <v>1.4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48543-2024</t>
        </is>
      </c>
      <c r="B11195" s="1" t="n">
        <v>45593</v>
      </c>
      <c r="C11195" s="1" t="n">
        <v>46075</v>
      </c>
      <c r="D11195" t="inlineStr">
        <is>
          <t>VÄSTERBOTTENS LÄN</t>
        </is>
      </c>
      <c r="E11195" t="inlineStr">
        <is>
          <t>LYCKSELE</t>
        </is>
      </c>
      <c r="F11195" t="inlineStr">
        <is>
          <t>Holmen skog AB</t>
        </is>
      </c>
      <c r="G11195" t="n">
        <v>5.2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14993-2025</t>
        </is>
      </c>
      <c r="B11196" s="1" t="n">
        <v>45743</v>
      </c>
      <c r="C11196" s="1" t="n">
        <v>46075</v>
      </c>
      <c r="D11196" t="inlineStr">
        <is>
          <t>VÄSTERBOTTENS LÄN</t>
        </is>
      </c>
      <c r="E11196" t="inlineStr">
        <is>
          <t>VILHELMINA</t>
        </is>
      </c>
      <c r="G11196" t="n">
        <v>2.1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18666-2025</t>
        </is>
      </c>
      <c r="B11197" s="1" t="n">
        <v>45763.59434027778</v>
      </c>
      <c r="C11197" s="1" t="n">
        <v>46075</v>
      </c>
      <c r="D11197" t="inlineStr">
        <is>
          <t>VÄSTERBOTTENS LÄN</t>
        </is>
      </c>
      <c r="E11197" t="inlineStr">
        <is>
          <t>NORSJÖ</t>
        </is>
      </c>
      <c r="G11197" t="n">
        <v>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18667-2025</t>
        </is>
      </c>
      <c r="B11198" s="1" t="n">
        <v>45763.59436342592</v>
      </c>
      <c r="C11198" s="1" t="n">
        <v>46075</v>
      </c>
      <c r="D11198" t="inlineStr">
        <is>
          <t>VÄSTERBOTTENS LÄN</t>
        </is>
      </c>
      <c r="E11198" t="inlineStr">
        <is>
          <t>NORSJÖ</t>
        </is>
      </c>
      <c r="G11198" t="n">
        <v>1.4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18668-2025</t>
        </is>
      </c>
      <c r="B11199" s="1" t="n">
        <v>45763.59438657408</v>
      </c>
      <c r="C11199" s="1" t="n">
        <v>46075</v>
      </c>
      <c r="D11199" t="inlineStr">
        <is>
          <t>VÄSTERBOTTENS LÄN</t>
        </is>
      </c>
      <c r="E11199" t="inlineStr">
        <is>
          <t>NORSJÖ</t>
        </is>
      </c>
      <c r="G11199" t="n">
        <v>0.5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35917-2022</t>
        </is>
      </c>
      <c r="B11200" s="1" t="n">
        <v>44802</v>
      </c>
      <c r="C11200" s="1" t="n">
        <v>46075</v>
      </c>
      <c r="D11200" t="inlineStr">
        <is>
          <t>VÄSTERBOTTENS LÄN</t>
        </is>
      </c>
      <c r="E11200" t="inlineStr">
        <is>
          <t>MALÅ</t>
        </is>
      </c>
      <c r="G11200" t="n">
        <v>2.2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27868-2023</t>
        </is>
      </c>
      <c r="B11201" s="1" t="n">
        <v>45098</v>
      </c>
      <c r="C11201" s="1" t="n">
        <v>46075</v>
      </c>
      <c r="D11201" t="inlineStr">
        <is>
          <t>VÄSTERBOTTENS LÄN</t>
        </is>
      </c>
      <c r="E11201" t="inlineStr">
        <is>
          <t>ÅSELE</t>
        </is>
      </c>
      <c r="F11201" t="inlineStr">
        <is>
          <t>Sveaskog</t>
        </is>
      </c>
      <c r="G11201" t="n">
        <v>2.3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21159-2024</t>
        </is>
      </c>
      <c r="B11202" s="1" t="n">
        <v>45440.42893518518</v>
      </c>
      <c r="C11202" s="1" t="n">
        <v>46075</v>
      </c>
      <c r="D11202" t="inlineStr">
        <is>
          <t>VÄSTERBOTTENS LÄN</t>
        </is>
      </c>
      <c r="E11202" t="inlineStr">
        <is>
          <t>UMEÅ</t>
        </is>
      </c>
      <c r="G11202" t="n">
        <v>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35226-2024</t>
        </is>
      </c>
      <c r="B11203" s="1" t="n">
        <v>45530</v>
      </c>
      <c r="C11203" s="1" t="n">
        <v>46075</v>
      </c>
      <c r="D11203" t="inlineStr">
        <is>
          <t>VÄSTERBOTTENS LÄN</t>
        </is>
      </c>
      <c r="E11203" t="inlineStr">
        <is>
          <t>UMEÅ</t>
        </is>
      </c>
      <c r="F11203" t="inlineStr">
        <is>
          <t>Holmen skog AB</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17848-2022</t>
        </is>
      </c>
      <c r="B11204" s="1" t="n">
        <v>44683.46040509259</v>
      </c>
      <c r="C11204" s="1" t="n">
        <v>46075</v>
      </c>
      <c r="D11204" t="inlineStr">
        <is>
          <t>VÄSTERBOTTENS LÄN</t>
        </is>
      </c>
      <c r="E11204" t="inlineStr">
        <is>
          <t>ROBERTSFORS</t>
        </is>
      </c>
      <c r="F11204" t="inlineStr">
        <is>
          <t>Holmen skog AB</t>
        </is>
      </c>
      <c r="G11204" t="n">
        <v>1.4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29651-2024</t>
        </is>
      </c>
      <c r="B11205" s="1" t="n">
        <v>45484.85026620371</v>
      </c>
      <c r="C11205" s="1" t="n">
        <v>46075</v>
      </c>
      <c r="D11205" t="inlineStr">
        <is>
          <t>VÄSTERBOTTENS LÄN</t>
        </is>
      </c>
      <c r="E11205" t="inlineStr">
        <is>
          <t>VINDELN</t>
        </is>
      </c>
      <c r="G11205" t="n">
        <v>3.6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50232-2024</t>
        </is>
      </c>
      <c r="B11206" s="1" t="n">
        <v>45600.55253472222</v>
      </c>
      <c r="C11206" s="1" t="n">
        <v>46075</v>
      </c>
      <c r="D11206" t="inlineStr">
        <is>
          <t>VÄSTERBOTTENS LÄN</t>
        </is>
      </c>
      <c r="E11206" t="inlineStr">
        <is>
          <t>SKELLEFTEÅ</t>
        </is>
      </c>
      <c r="F11206" t="inlineStr">
        <is>
          <t>Holmen skog AB</t>
        </is>
      </c>
      <c r="G11206" t="n">
        <v>1.6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47050-2024</t>
        </is>
      </c>
      <c r="B11207" s="1" t="n">
        <v>45586.45775462963</v>
      </c>
      <c r="C11207" s="1" t="n">
        <v>46075</v>
      </c>
      <c r="D11207" t="inlineStr">
        <is>
          <t>VÄSTERBOTTENS LÄN</t>
        </is>
      </c>
      <c r="E11207" t="inlineStr">
        <is>
          <t>STORUMAN</t>
        </is>
      </c>
      <c r="G11207" t="n">
        <v>1.7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61697-2022</t>
        </is>
      </c>
      <c r="B11208" s="1" t="n">
        <v>44911</v>
      </c>
      <c r="C11208" s="1" t="n">
        <v>46075</v>
      </c>
      <c r="D11208" t="inlineStr">
        <is>
          <t>VÄSTERBOTTENS LÄN</t>
        </is>
      </c>
      <c r="E11208" t="inlineStr">
        <is>
          <t>SKELLEFTEÅ</t>
        </is>
      </c>
      <c r="G11208" t="n">
        <v>2.6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60227-2022</t>
        </is>
      </c>
      <c r="B11209" s="1" t="n">
        <v>44903</v>
      </c>
      <c r="C11209" s="1" t="n">
        <v>46075</v>
      </c>
      <c r="D11209" t="inlineStr">
        <is>
          <t>VÄSTERBOTTENS LÄN</t>
        </is>
      </c>
      <c r="E11209" t="inlineStr">
        <is>
          <t>VILHELMINA</t>
        </is>
      </c>
      <c r="G11209" t="n">
        <v>11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60272-2022</t>
        </is>
      </c>
      <c r="B11210" s="1" t="n">
        <v>44910.49471064815</v>
      </c>
      <c r="C11210" s="1" t="n">
        <v>46075</v>
      </c>
      <c r="D11210" t="inlineStr">
        <is>
          <t>VÄSTERBOTTENS LÄN</t>
        </is>
      </c>
      <c r="E11210" t="inlineStr">
        <is>
          <t>LYCKSELE</t>
        </is>
      </c>
      <c r="F11210" t="inlineStr">
        <is>
          <t>Sveaskog</t>
        </is>
      </c>
      <c r="G11210" t="n">
        <v>7.4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39663-2023</t>
        </is>
      </c>
      <c r="B11211" s="1" t="n">
        <v>45167</v>
      </c>
      <c r="C11211" s="1" t="n">
        <v>46075</v>
      </c>
      <c r="D11211" t="inlineStr">
        <is>
          <t>VÄSTERBOTTENS LÄN</t>
        </is>
      </c>
      <c r="E11211" t="inlineStr">
        <is>
          <t>MALÅ</t>
        </is>
      </c>
      <c r="F11211" t="inlineStr">
        <is>
          <t>Sveaskog</t>
        </is>
      </c>
      <c r="G11211" t="n">
        <v>30.8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49835-2023</t>
        </is>
      </c>
      <c r="B11212" s="1" t="n">
        <v>45210</v>
      </c>
      <c r="C11212" s="1" t="n">
        <v>46075</v>
      </c>
      <c r="D11212" t="inlineStr">
        <is>
          <t>VÄSTERBOTTENS LÄN</t>
        </is>
      </c>
      <c r="E11212" t="inlineStr">
        <is>
          <t>MALÅ</t>
        </is>
      </c>
      <c r="G11212" t="n">
        <v>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5740-2023</t>
        </is>
      </c>
      <c r="B11213" s="1" t="n">
        <v>44962.79574074074</v>
      </c>
      <c r="C11213" s="1" t="n">
        <v>46075</v>
      </c>
      <c r="D11213" t="inlineStr">
        <is>
          <t>VÄSTERBOTTENS LÄN</t>
        </is>
      </c>
      <c r="E11213" t="inlineStr">
        <is>
          <t>SKELLEFTEÅ</t>
        </is>
      </c>
      <c r="G11213" t="n">
        <v>0.5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74152-2021</t>
        </is>
      </c>
      <c r="B11214" s="1" t="n">
        <v>44557</v>
      </c>
      <c r="C11214" s="1" t="n">
        <v>46075</v>
      </c>
      <c r="D11214" t="inlineStr">
        <is>
          <t>VÄSTERBOTTENS LÄN</t>
        </is>
      </c>
      <c r="E11214" t="inlineStr">
        <is>
          <t>BJURHOLM</t>
        </is>
      </c>
      <c r="G11214" t="n">
        <v>1.4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17496-2023</t>
        </is>
      </c>
      <c r="B11215" s="1" t="n">
        <v>45034</v>
      </c>
      <c r="C11215" s="1" t="n">
        <v>46075</v>
      </c>
      <c r="D11215" t="inlineStr">
        <is>
          <t>VÄSTERBOTTENS LÄN</t>
        </is>
      </c>
      <c r="E11215" t="inlineStr">
        <is>
          <t>NORDMALING</t>
        </is>
      </c>
      <c r="G11215" t="n">
        <v>13.1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70186-2021</t>
        </is>
      </c>
      <c r="B11216" s="1" t="n">
        <v>44533.94483796296</v>
      </c>
      <c r="C11216" s="1" t="n">
        <v>46075</v>
      </c>
      <c r="D11216" t="inlineStr">
        <is>
          <t>VÄSTERBOTTENS LÄN</t>
        </is>
      </c>
      <c r="E11216" t="inlineStr">
        <is>
          <t>ÅSELE</t>
        </is>
      </c>
      <c r="F11216" t="inlineStr">
        <is>
          <t>SCA</t>
        </is>
      </c>
      <c r="G11216" t="n">
        <v>6.4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32785-2024</t>
        </is>
      </c>
      <c r="B11217" s="1" t="n">
        <v>45516.53230324074</v>
      </c>
      <c r="C11217" s="1" t="n">
        <v>46075</v>
      </c>
      <c r="D11217" t="inlineStr">
        <is>
          <t>VÄSTERBOTTENS LÄN</t>
        </is>
      </c>
      <c r="E11217" t="inlineStr">
        <is>
          <t>VÄNNÄS</t>
        </is>
      </c>
      <c r="G11217" t="n">
        <v>5.3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32791-2024</t>
        </is>
      </c>
      <c r="B11218" s="1" t="n">
        <v>45516.54195601852</v>
      </c>
      <c r="C11218" s="1" t="n">
        <v>46075</v>
      </c>
      <c r="D11218" t="inlineStr">
        <is>
          <t>VÄSTERBOTTENS LÄN</t>
        </is>
      </c>
      <c r="E11218" t="inlineStr">
        <is>
          <t>UMEÅ</t>
        </is>
      </c>
      <c r="G11218" t="n">
        <v>0.6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32792-2024</t>
        </is>
      </c>
      <c r="B11219" s="1" t="n">
        <v>45516.55068287037</v>
      </c>
      <c r="C11219" s="1" t="n">
        <v>46075</v>
      </c>
      <c r="D11219" t="inlineStr">
        <is>
          <t>VÄSTERBOTTENS LÄN</t>
        </is>
      </c>
      <c r="E11219" t="inlineStr">
        <is>
          <t>VÄNNÄS</t>
        </is>
      </c>
      <c r="G11219" t="n">
        <v>0.5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20591-2025</t>
        </is>
      </c>
      <c r="B11220" s="1" t="n">
        <v>45775</v>
      </c>
      <c r="C11220" s="1" t="n">
        <v>46075</v>
      </c>
      <c r="D11220" t="inlineStr">
        <is>
          <t>VÄSTERBOTTENS LÄN</t>
        </is>
      </c>
      <c r="E11220" t="inlineStr">
        <is>
          <t>VILHELMINA</t>
        </is>
      </c>
      <c r="F11220" t="inlineStr">
        <is>
          <t>SCA</t>
        </is>
      </c>
      <c r="G11220" t="n">
        <v>27.4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35221-2024</t>
        </is>
      </c>
      <c r="B11221" s="1" t="n">
        <v>45530.50326388889</v>
      </c>
      <c r="C11221" s="1" t="n">
        <v>46075</v>
      </c>
      <c r="D11221" t="inlineStr">
        <is>
          <t>VÄSTERBOTTENS LÄN</t>
        </is>
      </c>
      <c r="E11221" t="inlineStr">
        <is>
          <t>ROBERTSFORS</t>
        </is>
      </c>
      <c r="G11221" t="n">
        <v>5.8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35222-2024</t>
        </is>
      </c>
      <c r="B11222" s="1" t="n">
        <v>45530.50581018518</v>
      </c>
      <c r="C11222" s="1" t="n">
        <v>46075</v>
      </c>
      <c r="D11222" t="inlineStr">
        <is>
          <t>VÄSTERBOTTENS LÄN</t>
        </is>
      </c>
      <c r="E11222" t="inlineStr">
        <is>
          <t>ROBERTSFORS</t>
        </is>
      </c>
      <c r="G11222" t="n">
        <v>3.1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42823-2024</t>
        </is>
      </c>
      <c r="B11223" s="1" t="n">
        <v>45566</v>
      </c>
      <c r="C11223" s="1" t="n">
        <v>46075</v>
      </c>
      <c r="D11223" t="inlineStr">
        <is>
          <t>VÄSTERBOTTENS LÄN</t>
        </is>
      </c>
      <c r="E11223" t="inlineStr">
        <is>
          <t>NORDMALING</t>
        </is>
      </c>
      <c r="G11223" t="n">
        <v>3.9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45643-2024</t>
        </is>
      </c>
      <c r="B11224" s="1" t="n">
        <v>45579</v>
      </c>
      <c r="C11224" s="1" t="n">
        <v>46075</v>
      </c>
      <c r="D11224" t="inlineStr">
        <is>
          <t>VÄSTERBOTTENS LÄN</t>
        </is>
      </c>
      <c r="E11224" t="inlineStr">
        <is>
          <t>SKELLEFTEÅ</t>
        </is>
      </c>
      <c r="G11224" t="n">
        <v>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15786-2025</t>
        </is>
      </c>
      <c r="B11225" s="1" t="n">
        <v>45748.62240740741</v>
      </c>
      <c r="C11225" s="1" t="n">
        <v>46075</v>
      </c>
      <c r="D11225" t="inlineStr">
        <is>
          <t>VÄSTERBOTTENS LÄN</t>
        </is>
      </c>
      <c r="E11225" t="inlineStr">
        <is>
          <t>VILHELMINA</t>
        </is>
      </c>
      <c r="G11225" t="n">
        <v>1.1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49236-2024</t>
        </is>
      </c>
      <c r="B11226" s="1" t="n">
        <v>45595</v>
      </c>
      <c r="C11226" s="1" t="n">
        <v>46075</v>
      </c>
      <c r="D11226" t="inlineStr">
        <is>
          <t>VÄSTERBOTTENS LÄN</t>
        </is>
      </c>
      <c r="E11226" t="inlineStr">
        <is>
          <t>VILHELMINA</t>
        </is>
      </c>
      <c r="G11226" t="n">
        <v>4.1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49246-2024</t>
        </is>
      </c>
      <c r="B11227" s="1" t="n">
        <v>45595.4618287037</v>
      </c>
      <c r="C11227" s="1" t="n">
        <v>46075</v>
      </c>
      <c r="D11227" t="inlineStr">
        <is>
          <t>VÄSTERBOTTENS LÄN</t>
        </is>
      </c>
      <c r="E11227" t="inlineStr">
        <is>
          <t>VILHELMINA</t>
        </is>
      </c>
      <c r="G11227" t="n">
        <v>0.9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49434-2023</t>
        </is>
      </c>
      <c r="B11228" s="1" t="n">
        <v>45211</v>
      </c>
      <c r="C11228" s="1" t="n">
        <v>46075</v>
      </c>
      <c r="D11228" t="inlineStr">
        <is>
          <t>VÄSTERBOTTENS LÄN</t>
        </is>
      </c>
      <c r="E11228" t="inlineStr">
        <is>
          <t>MALÅ</t>
        </is>
      </c>
      <c r="G11228" t="n">
        <v>1.4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57955-2021</t>
        </is>
      </c>
      <c r="B11229" s="1" t="n">
        <v>44484</v>
      </c>
      <c r="C11229" s="1" t="n">
        <v>46075</v>
      </c>
      <c r="D11229" t="inlineStr">
        <is>
          <t>VÄSTERBOTTENS LÄN</t>
        </is>
      </c>
      <c r="E11229" t="inlineStr">
        <is>
          <t>DOROTEA</t>
        </is>
      </c>
      <c r="G11229" t="n">
        <v>3.1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5689-2023</t>
        </is>
      </c>
      <c r="B11230" s="1" t="n">
        <v>44960</v>
      </c>
      <c r="C11230" s="1" t="n">
        <v>46075</v>
      </c>
      <c r="D11230" t="inlineStr">
        <is>
          <t>VÄSTERBOTTENS LÄN</t>
        </is>
      </c>
      <c r="E11230" t="inlineStr">
        <is>
          <t>ROBERTSFORS</t>
        </is>
      </c>
      <c r="G11230" t="n">
        <v>1.8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37496-2024</t>
        </is>
      </c>
      <c r="B11231" s="1" t="n">
        <v>45541.36414351852</v>
      </c>
      <c r="C11231" s="1" t="n">
        <v>46075</v>
      </c>
      <c r="D11231" t="inlineStr">
        <is>
          <t>VÄSTERBOTTENS LÄN</t>
        </is>
      </c>
      <c r="E11231" t="inlineStr">
        <is>
          <t>NORSJÖ</t>
        </is>
      </c>
      <c r="F11231" t="inlineStr">
        <is>
          <t>Holmen skog AB</t>
        </is>
      </c>
      <c r="G11231" t="n">
        <v>5.9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37499-2024</t>
        </is>
      </c>
      <c r="B11232" s="1" t="n">
        <v>45541.36834490741</v>
      </c>
      <c r="C11232" s="1" t="n">
        <v>46075</v>
      </c>
      <c r="D11232" t="inlineStr">
        <is>
          <t>VÄSTERBOTTENS LÄN</t>
        </is>
      </c>
      <c r="E11232" t="inlineStr">
        <is>
          <t>SKELLEFTEÅ</t>
        </is>
      </c>
      <c r="F11232" t="inlineStr">
        <is>
          <t>Holmen skog AB</t>
        </is>
      </c>
      <c r="G11232" t="n">
        <v>2.4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36867-2024</t>
        </is>
      </c>
      <c r="B11233" s="1" t="n">
        <v>45538.57938657407</v>
      </c>
      <c r="C11233" s="1" t="n">
        <v>46075</v>
      </c>
      <c r="D11233" t="inlineStr">
        <is>
          <t>VÄSTERBOTTENS LÄN</t>
        </is>
      </c>
      <c r="E11233" t="inlineStr">
        <is>
          <t>SKELLEFTEÅ</t>
        </is>
      </c>
      <c r="F11233" t="inlineStr">
        <is>
          <t>Holmen skog AB</t>
        </is>
      </c>
      <c r="G11233" t="n">
        <v>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38274-2022</t>
        </is>
      </c>
      <c r="B11234" s="1" t="n">
        <v>44812</v>
      </c>
      <c r="C11234" s="1" t="n">
        <v>46075</v>
      </c>
      <c r="D11234" t="inlineStr">
        <is>
          <t>VÄSTERBOTTENS LÄN</t>
        </is>
      </c>
      <c r="E11234" t="inlineStr">
        <is>
          <t>NORDMALING</t>
        </is>
      </c>
      <c r="G11234" t="n">
        <v>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58480-2023</t>
        </is>
      </c>
      <c r="B11235" s="1" t="n">
        <v>45251.3116087963</v>
      </c>
      <c r="C11235" s="1" t="n">
        <v>46075</v>
      </c>
      <c r="D11235" t="inlineStr">
        <is>
          <t>VÄSTERBOTTENS LÄN</t>
        </is>
      </c>
      <c r="E11235" t="inlineStr">
        <is>
          <t>NORDMALING</t>
        </is>
      </c>
      <c r="G11235" t="n">
        <v>3.8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44973-2023</t>
        </is>
      </c>
      <c r="B11236" s="1" t="n">
        <v>45190.92554398148</v>
      </c>
      <c r="C11236" s="1" t="n">
        <v>46075</v>
      </c>
      <c r="D11236" t="inlineStr">
        <is>
          <t>VÄSTERBOTTENS LÄN</t>
        </is>
      </c>
      <c r="E11236" t="inlineStr">
        <is>
          <t>DOROTEA</t>
        </is>
      </c>
      <c r="G11236" t="n">
        <v>23.9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44976-2023</t>
        </is>
      </c>
      <c r="B11237" s="1" t="n">
        <v>45190</v>
      </c>
      <c r="C11237" s="1" t="n">
        <v>46075</v>
      </c>
      <c r="D11237" t="inlineStr">
        <is>
          <t>VÄSTERBOTTENS LÄN</t>
        </is>
      </c>
      <c r="E11237" t="inlineStr">
        <is>
          <t>NORSJÖ</t>
        </is>
      </c>
      <c r="G11237" t="n">
        <v>2.1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7710-2023</t>
        </is>
      </c>
      <c r="B11238" s="1" t="n">
        <v>44972</v>
      </c>
      <c r="C11238" s="1" t="n">
        <v>46075</v>
      </c>
      <c r="D11238" t="inlineStr">
        <is>
          <t>VÄSTERBOTTENS LÄN</t>
        </is>
      </c>
      <c r="E11238" t="inlineStr">
        <is>
          <t>STORUMAN</t>
        </is>
      </c>
      <c r="G11238" t="n">
        <v>30.5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15221-2025</t>
        </is>
      </c>
      <c r="B11239" s="1" t="n">
        <v>45744.58421296296</v>
      </c>
      <c r="C11239" s="1" t="n">
        <v>46075</v>
      </c>
      <c r="D11239" t="inlineStr">
        <is>
          <t>VÄSTERBOTTENS LÄN</t>
        </is>
      </c>
      <c r="E11239" t="inlineStr">
        <is>
          <t>LYCKSELE</t>
        </is>
      </c>
      <c r="F11239" t="inlineStr">
        <is>
          <t>Holmen skog AB</t>
        </is>
      </c>
      <c r="G11239" t="n">
        <v>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8539-2022</t>
        </is>
      </c>
      <c r="B11240" s="1" t="n">
        <v>44613</v>
      </c>
      <c r="C11240" s="1" t="n">
        <v>46075</v>
      </c>
      <c r="D11240" t="inlineStr">
        <is>
          <t>VÄSTERBOTTENS LÄN</t>
        </is>
      </c>
      <c r="E11240" t="inlineStr">
        <is>
          <t>SKELLEFTEÅ</t>
        </is>
      </c>
      <c r="G11240" t="n">
        <v>3.5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9158-2024</t>
        </is>
      </c>
      <c r="B11241" s="1" t="n">
        <v>45357</v>
      </c>
      <c r="C11241" s="1" t="n">
        <v>46075</v>
      </c>
      <c r="D11241" t="inlineStr">
        <is>
          <t>VÄSTERBOTTENS LÄN</t>
        </is>
      </c>
      <c r="E11241" t="inlineStr">
        <is>
          <t>BJURHOLM</t>
        </is>
      </c>
      <c r="G11241" t="n">
        <v>2.1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4376-2022</t>
        </is>
      </c>
      <c r="B11242" s="1" t="n">
        <v>44588</v>
      </c>
      <c r="C11242" s="1" t="n">
        <v>46075</v>
      </c>
      <c r="D11242" t="inlineStr">
        <is>
          <t>VÄSTERBOTTENS LÄN</t>
        </is>
      </c>
      <c r="E11242" t="inlineStr">
        <is>
          <t>ROBERTSFORS</t>
        </is>
      </c>
      <c r="G11242" t="n">
        <v>1.8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34894-2023</t>
        </is>
      </c>
      <c r="B11243" s="1" t="n">
        <v>45141</v>
      </c>
      <c r="C11243" s="1" t="n">
        <v>46075</v>
      </c>
      <c r="D11243" t="inlineStr">
        <is>
          <t>VÄSTERBOTTENS LÄN</t>
        </is>
      </c>
      <c r="E11243" t="inlineStr">
        <is>
          <t>NORDMALING</t>
        </is>
      </c>
      <c r="G11243" t="n">
        <v>0.6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20489-2025</t>
        </is>
      </c>
      <c r="B11244" s="1" t="n">
        <v>45775.56321759259</v>
      </c>
      <c r="C11244" s="1" t="n">
        <v>46075</v>
      </c>
      <c r="D11244" t="inlineStr">
        <is>
          <t>VÄSTERBOTTENS LÄN</t>
        </is>
      </c>
      <c r="E11244" t="inlineStr">
        <is>
          <t>NORDMALING</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57071-2023</t>
        </is>
      </c>
      <c r="B11245" s="1" t="n">
        <v>45244.96703703704</v>
      </c>
      <c r="C11245" s="1" t="n">
        <v>46075</v>
      </c>
      <c r="D11245" t="inlineStr">
        <is>
          <t>VÄSTERBOTTENS LÄN</t>
        </is>
      </c>
      <c r="E11245" t="inlineStr">
        <is>
          <t>DOROTEA</t>
        </is>
      </c>
      <c r="F11245" t="inlineStr">
        <is>
          <t>SCA</t>
        </is>
      </c>
      <c r="G11245" t="n">
        <v>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27439-2024</t>
        </is>
      </c>
      <c r="B11246" s="1" t="n">
        <v>45474</v>
      </c>
      <c r="C11246" s="1" t="n">
        <v>46075</v>
      </c>
      <c r="D11246" t="inlineStr">
        <is>
          <t>VÄSTERBOTTENS LÄN</t>
        </is>
      </c>
      <c r="E11246" t="inlineStr">
        <is>
          <t>SKELLEFTEÅ</t>
        </is>
      </c>
      <c r="G11246" t="n">
        <v>3.7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30385-2024</t>
        </is>
      </c>
      <c r="B11247" s="1" t="n">
        <v>45491.4734375</v>
      </c>
      <c r="C11247" s="1" t="n">
        <v>46075</v>
      </c>
      <c r="D11247" t="inlineStr">
        <is>
          <t>VÄSTERBOTTENS LÄN</t>
        </is>
      </c>
      <c r="E11247" t="inlineStr">
        <is>
          <t>ÅSELE</t>
        </is>
      </c>
      <c r="F11247" t="inlineStr">
        <is>
          <t>Holmen skog AB</t>
        </is>
      </c>
      <c r="G11247" t="n">
        <v>2.1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50894-2024</t>
        </is>
      </c>
      <c r="B11248" s="1" t="n">
        <v>45602.67774305555</v>
      </c>
      <c r="C11248" s="1" t="n">
        <v>46075</v>
      </c>
      <c r="D11248" t="inlineStr">
        <is>
          <t>VÄSTERBOTTENS LÄN</t>
        </is>
      </c>
      <c r="E11248" t="inlineStr">
        <is>
          <t>SKELLEFTEÅ</t>
        </is>
      </c>
      <c r="F11248" t="inlineStr">
        <is>
          <t>Sveaskog</t>
        </is>
      </c>
      <c r="G11248" t="n">
        <v>2.1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44368-2024</t>
        </is>
      </c>
      <c r="B11249" s="1" t="n">
        <v>45573</v>
      </c>
      <c r="C11249" s="1" t="n">
        <v>46075</v>
      </c>
      <c r="D11249" t="inlineStr">
        <is>
          <t>VÄSTERBOTTENS LÄN</t>
        </is>
      </c>
      <c r="E11249" t="inlineStr">
        <is>
          <t>VILHELMINA</t>
        </is>
      </c>
      <c r="F11249" t="inlineStr">
        <is>
          <t>SCA</t>
        </is>
      </c>
      <c r="G11249" t="n">
        <v>2.4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46212-2024</t>
        </is>
      </c>
      <c r="B11250" s="1" t="n">
        <v>45581.55569444445</v>
      </c>
      <c r="C11250" s="1" t="n">
        <v>46075</v>
      </c>
      <c r="D11250" t="inlineStr">
        <is>
          <t>VÄSTERBOTTENS LÄN</t>
        </is>
      </c>
      <c r="E11250" t="inlineStr">
        <is>
          <t>VÄNNÄS</t>
        </is>
      </c>
      <c r="G11250" t="n">
        <v>1.8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48731-2023</t>
        </is>
      </c>
      <c r="B11251" s="1" t="n">
        <v>45203</v>
      </c>
      <c r="C11251" s="1" t="n">
        <v>46075</v>
      </c>
      <c r="D11251" t="inlineStr">
        <is>
          <t>VÄSTERBOTTENS LÄN</t>
        </is>
      </c>
      <c r="E11251" t="inlineStr">
        <is>
          <t>MALÅ</t>
        </is>
      </c>
      <c r="G11251" t="n">
        <v>1.2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39185-2024</t>
        </is>
      </c>
      <c r="B11252" s="1" t="n">
        <v>45548</v>
      </c>
      <c r="C11252" s="1" t="n">
        <v>46075</v>
      </c>
      <c r="D11252" t="inlineStr">
        <is>
          <t>VÄSTERBOTTENS LÄN</t>
        </is>
      </c>
      <c r="E11252" t="inlineStr">
        <is>
          <t>VÄNNÄS</t>
        </is>
      </c>
      <c r="G11252" t="n">
        <v>1.6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49599-2022</t>
        </is>
      </c>
      <c r="B11253" s="1" t="n">
        <v>44859</v>
      </c>
      <c r="C11253" s="1" t="n">
        <v>46075</v>
      </c>
      <c r="D11253" t="inlineStr">
        <is>
          <t>VÄSTERBOTTENS LÄN</t>
        </is>
      </c>
      <c r="E11253" t="inlineStr">
        <is>
          <t>VILHELMINA</t>
        </is>
      </c>
      <c r="G11253" t="n">
        <v>3.6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5220-2024</t>
        </is>
      </c>
      <c r="B11254" s="1" t="n">
        <v>45330</v>
      </c>
      <c r="C11254" s="1" t="n">
        <v>46075</v>
      </c>
      <c r="D11254" t="inlineStr">
        <is>
          <t>VÄSTERBOTTENS LÄN</t>
        </is>
      </c>
      <c r="E11254" t="inlineStr">
        <is>
          <t>SKELLEFTEÅ</t>
        </is>
      </c>
      <c r="G11254" t="n">
        <v>2.8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14434-2024</t>
        </is>
      </c>
      <c r="B11255" s="1" t="n">
        <v>45394</v>
      </c>
      <c r="C11255" s="1" t="n">
        <v>46075</v>
      </c>
      <c r="D11255" t="inlineStr">
        <is>
          <t>VÄSTERBOTTENS LÄN</t>
        </is>
      </c>
      <c r="E11255" t="inlineStr">
        <is>
          <t>NORDMALING</t>
        </is>
      </c>
      <c r="G11255" t="n">
        <v>1.2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8724-2025</t>
        </is>
      </c>
      <c r="B11256" s="1" t="n">
        <v>45712.51121527778</v>
      </c>
      <c r="C11256" s="1" t="n">
        <v>46075</v>
      </c>
      <c r="D11256" t="inlineStr">
        <is>
          <t>VÄSTERBOTTENS LÄN</t>
        </is>
      </c>
      <c r="E11256" t="inlineStr">
        <is>
          <t>ÅSELE</t>
        </is>
      </c>
      <c r="F11256" t="inlineStr">
        <is>
          <t>SCA</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60640-2024</t>
        </is>
      </c>
      <c r="B11257" s="1" t="n">
        <v>45644.42787037037</v>
      </c>
      <c r="C11257" s="1" t="n">
        <v>46075</v>
      </c>
      <c r="D11257" t="inlineStr">
        <is>
          <t>VÄSTERBOTTENS LÄN</t>
        </is>
      </c>
      <c r="E11257" t="inlineStr">
        <is>
          <t>VÄNNÄS</t>
        </is>
      </c>
      <c r="F11257" t="inlineStr">
        <is>
          <t>Holmen skog AB</t>
        </is>
      </c>
      <c r="G11257" t="n">
        <v>0.3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50070-2024</t>
        </is>
      </c>
      <c r="B11258" s="1" t="n">
        <v>45600.35901620371</v>
      </c>
      <c r="C11258" s="1" t="n">
        <v>46075</v>
      </c>
      <c r="D11258" t="inlineStr">
        <is>
          <t>VÄSTERBOTTENS LÄN</t>
        </is>
      </c>
      <c r="E11258" t="inlineStr">
        <is>
          <t>SKELLEFTEÅ</t>
        </is>
      </c>
      <c r="F11258" t="inlineStr">
        <is>
          <t>Kommuner</t>
        </is>
      </c>
      <c r="G11258" t="n">
        <v>4.6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39321-2024</t>
        </is>
      </c>
      <c r="B11259" s="1" t="n">
        <v>45551.41628472223</v>
      </c>
      <c r="C11259" s="1" t="n">
        <v>46075</v>
      </c>
      <c r="D11259" t="inlineStr">
        <is>
          <t>VÄSTERBOTTENS LÄN</t>
        </is>
      </c>
      <c r="E11259" t="inlineStr">
        <is>
          <t>LYCKSELE</t>
        </is>
      </c>
      <c r="G11259" t="n">
        <v>1.7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50151-2024</t>
        </is>
      </c>
      <c r="B11260" s="1" t="n">
        <v>45600.45456018519</v>
      </c>
      <c r="C11260" s="1" t="n">
        <v>46075</v>
      </c>
      <c r="D11260" t="inlineStr">
        <is>
          <t>VÄSTERBOTTENS LÄN</t>
        </is>
      </c>
      <c r="E11260" t="inlineStr">
        <is>
          <t>ÅSELE</t>
        </is>
      </c>
      <c r="F11260" t="inlineStr">
        <is>
          <t>Holmen skog AB</t>
        </is>
      </c>
      <c r="G11260" t="n">
        <v>3.3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39989-2023</t>
        </is>
      </c>
      <c r="B11261" s="1" t="n">
        <v>45167</v>
      </c>
      <c r="C11261" s="1" t="n">
        <v>46075</v>
      </c>
      <c r="D11261" t="inlineStr">
        <is>
          <t>VÄSTERBOTTENS LÄN</t>
        </is>
      </c>
      <c r="E11261" t="inlineStr">
        <is>
          <t>ÅSELE</t>
        </is>
      </c>
      <c r="G11261" t="n">
        <v>5.2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39994-2023</t>
        </is>
      </c>
      <c r="B11262" s="1" t="n">
        <v>45168</v>
      </c>
      <c r="C11262" s="1" t="n">
        <v>46075</v>
      </c>
      <c r="D11262" t="inlineStr">
        <is>
          <t>VÄSTERBOTTENS LÄN</t>
        </is>
      </c>
      <c r="E11262" t="inlineStr">
        <is>
          <t>MALÅ</t>
        </is>
      </c>
      <c r="G11262" t="n">
        <v>27.9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425-2022</t>
        </is>
      </c>
      <c r="B11263" s="1" t="n">
        <v>44565.92798611111</v>
      </c>
      <c r="C11263" s="1" t="n">
        <v>46075</v>
      </c>
      <c r="D11263" t="inlineStr">
        <is>
          <t>VÄSTERBOTTENS LÄN</t>
        </is>
      </c>
      <c r="E11263" t="inlineStr">
        <is>
          <t>VINDELN</t>
        </is>
      </c>
      <c r="G11263" t="n">
        <v>2.6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1853-2023</t>
        </is>
      </c>
      <c r="B11264" s="1" t="n">
        <v>44938.90767361111</v>
      </c>
      <c r="C11264" s="1" t="n">
        <v>46075</v>
      </c>
      <c r="D11264" t="inlineStr">
        <is>
          <t>VÄSTERBOTTENS LÄN</t>
        </is>
      </c>
      <c r="E11264" t="inlineStr">
        <is>
          <t>SKELLEFTEÅ</t>
        </is>
      </c>
      <c r="G11264" t="n">
        <v>1.8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60557-2023</t>
        </is>
      </c>
      <c r="B11265" s="1" t="n">
        <v>45259</v>
      </c>
      <c r="C11265" s="1" t="n">
        <v>46075</v>
      </c>
      <c r="D11265" t="inlineStr">
        <is>
          <t>VÄSTERBOTTENS LÄN</t>
        </is>
      </c>
      <c r="E11265" t="inlineStr">
        <is>
          <t>VÄNNÄS</t>
        </is>
      </c>
      <c r="G11265" t="n">
        <v>3.9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31118-2024</t>
        </is>
      </c>
      <c r="B11266" s="1" t="n">
        <v>45502</v>
      </c>
      <c r="C11266" s="1" t="n">
        <v>46075</v>
      </c>
      <c r="D11266" t="inlineStr">
        <is>
          <t>VÄSTERBOTTENS LÄN</t>
        </is>
      </c>
      <c r="E11266" t="inlineStr">
        <is>
          <t>ÅSELE</t>
        </is>
      </c>
      <c r="F11266" t="inlineStr">
        <is>
          <t>Holmen skog AB</t>
        </is>
      </c>
      <c r="G11266" t="n">
        <v>1.6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61654-2022</t>
        </is>
      </c>
      <c r="B11267" s="1" t="n">
        <v>44916.9260300926</v>
      </c>
      <c r="C11267" s="1" t="n">
        <v>46075</v>
      </c>
      <c r="D11267" t="inlineStr">
        <is>
          <t>VÄSTERBOTTENS LÄN</t>
        </is>
      </c>
      <c r="E11267" t="inlineStr">
        <is>
          <t>BJURHOLM</t>
        </is>
      </c>
      <c r="G11267" t="n">
        <v>0.7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21079-2024</t>
        </is>
      </c>
      <c r="B11268" s="1" t="n">
        <v>45439</v>
      </c>
      <c r="C11268" s="1" t="n">
        <v>46075</v>
      </c>
      <c r="D11268" t="inlineStr">
        <is>
          <t>VÄSTERBOTTENS LÄN</t>
        </is>
      </c>
      <c r="E11268" t="inlineStr">
        <is>
          <t>NORDMALING</t>
        </is>
      </c>
      <c r="G11268" t="n">
        <v>3.6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34376-2023</t>
        </is>
      </c>
      <c r="B11269" s="1" t="n">
        <v>45139</v>
      </c>
      <c r="C11269" s="1" t="n">
        <v>46075</v>
      </c>
      <c r="D11269" t="inlineStr">
        <is>
          <t>VÄSTERBOTTENS LÄN</t>
        </is>
      </c>
      <c r="E11269" t="inlineStr">
        <is>
          <t>MALÅ</t>
        </is>
      </c>
      <c r="F11269" t="inlineStr">
        <is>
          <t>Sveaskog</t>
        </is>
      </c>
      <c r="G11269" t="n">
        <v>10.1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3237-2024</t>
        </is>
      </c>
      <c r="B11270" s="1" t="n">
        <v>45316.9474537037</v>
      </c>
      <c r="C11270" s="1" t="n">
        <v>46075</v>
      </c>
      <c r="D11270" t="inlineStr">
        <is>
          <t>VÄSTERBOTTENS LÄN</t>
        </is>
      </c>
      <c r="E11270" t="inlineStr">
        <is>
          <t>VILHELMINA</t>
        </is>
      </c>
      <c r="F11270" t="inlineStr">
        <is>
          <t>SCA</t>
        </is>
      </c>
      <c r="G11270" t="n">
        <v>0.8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44100-2024</t>
        </is>
      </c>
      <c r="B11271" s="1" t="n">
        <v>45572.62739583333</v>
      </c>
      <c r="C11271" s="1" t="n">
        <v>46075</v>
      </c>
      <c r="D11271" t="inlineStr">
        <is>
          <t>VÄSTERBOTTENS LÄN</t>
        </is>
      </c>
      <c r="E11271" t="inlineStr">
        <is>
          <t>SKELLEFTEÅ</t>
        </is>
      </c>
      <c r="F11271" t="inlineStr">
        <is>
          <t>Holmen skog AB</t>
        </is>
      </c>
      <c r="G11271" t="n">
        <v>6.7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33274-2023</t>
        </is>
      </c>
      <c r="B11272" s="1" t="n">
        <v>45127.59840277778</v>
      </c>
      <c r="C11272" s="1" t="n">
        <v>46075</v>
      </c>
      <c r="D11272" t="inlineStr">
        <is>
          <t>VÄSTERBOTTENS LÄN</t>
        </is>
      </c>
      <c r="E11272" t="inlineStr">
        <is>
          <t>SKELLEFTEÅ</t>
        </is>
      </c>
      <c r="F11272" t="inlineStr">
        <is>
          <t>Holmen skog AB</t>
        </is>
      </c>
      <c r="G11272" t="n">
        <v>4.8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63525-2023</t>
        </is>
      </c>
      <c r="B11273" s="1" t="n">
        <v>45274</v>
      </c>
      <c r="C11273" s="1" t="n">
        <v>46075</v>
      </c>
      <c r="D11273" t="inlineStr">
        <is>
          <t>VÄSTERBOTTENS LÄN</t>
        </is>
      </c>
      <c r="E11273" t="inlineStr">
        <is>
          <t>SKELLEFTEÅ</t>
        </is>
      </c>
      <c r="G11273" t="n">
        <v>0.9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13768-2024</t>
        </is>
      </c>
      <c r="B11274" s="1" t="n">
        <v>45390.95230324074</v>
      </c>
      <c r="C11274" s="1" t="n">
        <v>46075</v>
      </c>
      <c r="D11274" t="inlineStr">
        <is>
          <t>VÄSTERBOTTENS LÄN</t>
        </is>
      </c>
      <c r="E11274" t="inlineStr">
        <is>
          <t>VILHELMINA</t>
        </is>
      </c>
      <c r="F11274" t="inlineStr">
        <is>
          <t>SCA</t>
        </is>
      </c>
      <c r="G11274" t="n">
        <v>1.2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11963-2023</t>
        </is>
      </c>
      <c r="B11275" s="1" t="n">
        <v>44994</v>
      </c>
      <c r="C11275" s="1" t="n">
        <v>46075</v>
      </c>
      <c r="D11275" t="inlineStr">
        <is>
          <t>VÄSTERBOTTENS LÄN</t>
        </is>
      </c>
      <c r="E11275" t="inlineStr">
        <is>
          <t>SKELLEFTEÅ</t>
        </is>
      </c>
      <c r="G11275" t="n">
        <v>2.8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59569-2024</t>
        </is>
      </c>
      <c r="B11276" s="1" t="n">
        <v>45638.64100694445</v>
      </c>
      <c r="C11276" s="1" t="n">
        <v>46075</v>
      </c>
      <c r="D11276" t="inlineStr">
        <is>
          <t>VÄSTERBOTTENS LÄN</t>
        </is>
      </c>
      <c r="E11276" t="inlineStr">
        <is>
          <t>LYCKSELE</t>
        </is>
      </c>
      <c r="F11276" t="inlineStr">
        <is>
          <t>Holmen skog AB</t>
        </is>
      </c>
      <c r="G11276" t="n">
        <v>1.5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22907-2024</t>
        </is>
      </c>
      <c r="B11277" s="1" t="n">
        <v>45448</v>
      </c>
      <c r="C11277" s="1" t="n">
        <v>46075</v>
      </c>
      <c r="D11277" t="inlineStr">
        <is>
          <t>VÄSTERBOTTENS LÄN</t>
        </is>
      </c>
      <c r="E11277" t="inlineStr">
        <is>
          <t>VINDELN</t>
        </is>
      </c>
      <c r="F11277" t="inlineStr">
        <is>
          <t>Holmen skog AB</t>
        </is>
      </c>
      <c r="G11277" t="n">
        <v>2.4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12371-2025</t>
        </is>
      </c>
      <c r="B11278" s="1" t="n">
        <v>45730</v>
      </c>
      <c r="C11278" s="1" t="n">
        <v>46075</v>
      </c>
      <c r="D11278" t="inlineStr">
        <is>
          <t>VÄSTERBOTTENS LÄN</t>
        </is>
      </c>
      <c r="E11278" t="inlineStr">
        <is>
          <t>VILHELMINA</t>
        </is>
      </c>
      <c r="F11278" t="inlineStr">
        <is>
          <t>Övriga statliga verk och myndigheter</t>
        </is>
      </c>
      <c r="G11278" t="n">
        <v>37.1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26545-2022</t>
        </is>
      </c>
      <c r="B11279" s="1" t="n">
        <v>44739.46318287037</v>
      </c>
      <c r="C11279" s="1" t="n">
        <v>46075</v>
      </c>
      <c r="D11279" t="inlineStr">
        <is>
          <t>VÄSTERBOTTENS LÄN</t>
        </is>
      </c>
      <c r="E11279" t="inlineStr">
        <is>
          <t>SKELLEFTEÅ</t>
        </is>
      </c>
      <c r="G11279" t="n">
        <v>1.6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12593-2022</t>
        </is>
      </c>
      <c r="B11280" s="1" t="n">
        <v>44640</v>
      </c>
      <c r="C11280" s="1" t="n">
        <v>46075</v>
      </c>
      <c r="D11280" t="inlineStr">
        <is>
          <t>VÄSTERBOTTENS LÄN</t>
        </is>
      </c>
      <c r="E11280" t="inlineStr">
        <is>
          <t>VILHELMINA</t>
        </is>
      </c>
      <c r="G11280" t="n">
        <v>10.4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19578-2024</t>
        </is>
      </c>
      <c r="B11281" s="1" t="n">
        <v>45429.92396990741</v>
      </c>
      <c r="C11281" s="1" t="n">
        <v>46075</v>
      </c>
      <c r="D11281" t="inlineStr">
        <is>
          <t>VÄSTERBOTTENS LÄN</t>
        </is>
      </c>
      <c r="E11281" t="inlineStr">
        <is>
          <t>BJURHOLM</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19581-2024</t>
        </is>
      </c>
      <c r="B11282" s="1" t="n">
        <v>45429</v>
      </c>
      <c r="C11282" s="1" t="n">
        <v>46075</v>
      </c>
      <c r="D11282" t="inlineStr">
        <is>
          <t>VÄSTERBOTTENS LÄN</t>
        </is>
      </c>
      <c r="E11282" t="inlineStr">
        <is>
          <t>NORDMALING</t>
        </is>
      </c>
      <c r="G11282" t="n">
        <v>2.8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19582-2024</t>
        </is>
      </c>
      <c r="B11283" s="1" t="n">
        <v>45429.92415509259</v>
      </c>
      <c r="C11283" s="1" t="n">
        <v>46075</v>
      </c>
      <c r="D11283" t="inlineStr">
        <is>
          <t>VÄSTERBOTTENS LÄN</t>
        </is>
      </c>
      <c r="E11283" t="inlineStr">
        <is>
          <t>SKELLEFTEÅ</t>
        </is>
      </c>
      <c r="G11283" t="n">
        <v>0.6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1640-2023</t>
        </is>
      </c>
      <c r="B11284" s="1" t="n">
        <v>44937</v>
      </c>
      <c r="C11284" s="1" t="n">
        <v>46075</v>
      </c>
      <c r="D11284" t="inlineStr">
        <is>
          <t>VÄSTERBOTTENS LÄN</t>
        </is>
      </c>
      <c r="E11284" t="inlineStr">
        <is>
          <t>SKELLEFTEÅ</t>
        </is>
      </c>
      <c r="G11284" t="n">
        <v>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45297-2024</t>
        </is>
      </c>
      <c r="B11285" s="1" t="n">
        <v>45576.40248842593</v>
      </c>
      <c r="C11285" s="1" t="n">
        <v>46075</v>
      </c>
      <c r="D11285" t="inlineStr">
        <is>
          <t>VÄSTERBOTTENS LÄN</t>
        </is>
      </c>
      <c r="E11285" t="inlineStr">
        <is>
          <t>ÅSELE</t>
        </is>
      </c>
      <c r="F11285" t="inlineStr">
        <is>
          <t>Sveaskog</t>
        </is>
      </c>
      <c r="G11285" t="n">
        <v>2.8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48330-2024</t>
        </is>
      </c>
      <c r="B11286" s="1" t="n">
        <v>45590.52324074074</v>
      </c>
      <c r="C11286" s="1" t="n">
        <v>46075</v>
      </c>
      <c r="D11286" t="inlineStr">
        <is>
          <t>VÄSTERBOTTENS LÄN</t>
        </is>
      </c>
      <c r="E11286" t="inlineStr">
        <is>
          <t>LYCKSELE</t>
        </is>
      </c>
      <c r="F11286" t="inlineStr">
        <is>
          <t>Sveaskog</t>
        </is>
      </c>
      <c r="G11286" t="n">
        <v>1.9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35520-2023</t>
        </is>
      </c>
      <c r="B11287" s="1" t="n">
        <v>45147.32908564815</v>
      </c>
      <c r="C11287" s="1" t="n">
        <v>46075</v>
      </c>
      <c r="D11287" t="inlineStr">
        <is>
          <t>VÄSTERBOTTENS LÄN</t>
        </is>
      </c>
      <c r="E11287" t="inlineStr">
        <is>
          <t>ÅSELE</t>
        </is>
      </c>
      <c r="F11287" t="inlineStr">
        <is>
          <t>Holmen skog AB</t>
        </is>
      </c>
      <c r="G11287" t="n">
        <v>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3445-2024</t>
        </is>
      </c>
      <c r="B11288" s="1" t="n">
        <v>45320</v>
      </c>
      <c r="C11288" s="1" t="n">
        <v>46075</v>
      </c>
      <c r="D11288" t="inlineStr">
        <is>
          <t>VÄSTERBOTTENS LÄN</t>
        </is>
      </c>
      <c r="E11288" t="inlineStr">
        <is>
          <t>SKELLEFTEÅ</t>
        </is>
      </c>
      <c r="G11288" t="n">
        <v>19.1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3453-2024</t>
        </is>
      </c>
      <c r="B11289" s="1" t="n">
        <v>45320.39112268519</v>
      </c>
      <c r="C11289" s="1" t="n">
        <v>46075</v>
      </c>
      <c r="D11289" t="inlineStr">
        <is>
          <t>VÄSTERBOTTENS LÄN</t>
        </is>
      </c>
      <c r="E11289" t="inlineStr">
        <is>
          <t>SKELLEFTEÅ</t>
        </is>
      </c>
      <c r="G11289" t="n">
        <v>11.3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33519-2021</t>
        </is>
      </c>
      <c r="B11290" s="1" t="n">
        <v>44377.75302083333</v>
      </c>
      <c r="C11290" s="1" t="n">
        <v>46075</v>
      </c>
      <c r="D11290" t="inlineStr">
        <is>
          <t>VÄSTERBOTTENS LÄN</t>
        </is>
      </c>
      <c r="E11290" t="inlineStr">
        <is>
          <t>SKELLEFTEÅ</t>
        </is>
      </c>
      <c r="G11290" t="n">
        <v>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26257-2024</t>
        </is>
      </c>
      <c r="B11291" s="1" t="n">
        <v>45468</v>
      </c>
      <c r="C11291" s="1" t="n">
        <v>46075</v>
      </c>
      <c r="D11291" t="inlineStr">
        <is>
          <t>VÄSTERBOTTENS LÄN</t>
        </is>
      </c>
      <c r="E11291" t="inlineStr">
        <is>
          <t>SKELLEFTEÅ</t>
        </is>
      </c>
      <c r="G11291" t="n">
        <v>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28666-2021</t>
        </is>
      </c>
      <c r="B11292" s="1" t="n">
        <v>44357</v>
      </c>
      <c r="C11292" s="1" t="n">
        <v>46075</v>
      </c>
      <c r="D11292" t="inlineStr">
        <is>
          <t>VÄSTERBOTTENS LÄN</t>
        </is>
      </c>
      <c r="E11292" t="inlineStr">
        <is>
          <t>SKELLEFTEÅ</t>
        </is>
      </c>
      <c r="G11292" t="n">
        <v>1.5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37870-2024</t>
        </is>
      </c>
      <c r="B11293" s="1" t="n">
        <v>45544</v>
      </c>
      <c r="C11293" s="1" t="n">
        <v>46075</v>
      </c>
      <c r="D11293" t="inlineStr">
        <is>
          <t>VÄSTERBOTTENS LÄN</t>
        </is>
      </c>
      <c r="E11293" t="inlineStr">
        <is>
          <t>UMEÅ</t>
        </is>
      </c>
      <c r="G11293" t="n">
        <v>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1225-2022</t>
        </is>
      </c>
      <c r="B11294" s="1" t="n">
        <v>44572</v>
      </c>
      <c r="C11294" s="1" t="n">
        <v>46075</v>
      </c>
      <c r="D11294" t="inlineStr">
        <is>
          <t>VÄSTERBOTTENS LÄN</t>
        </is>
      </c>
      <c r="E11294" t="inlineStr">
        <is>
          <t>VINDELN</t>
        </is>
      </c>
      <c r="G11294" t="n">
        <v>1.6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18108-2025</t>
        </is>
      </c>
      <c r="B11295" s="1" t="n">
        <v>45761.56107638889</v>
      </c>
      <c r="C11295" s="1" t="n">
        <v>46075</v>
      </c>
      <c r="D11295" t="inlineStr">
        <is>
          <t>VÄSTERBOTTENS LÄN</t>
        </is>
      </c>
      <c r="E11295" t="inlineStr">
        <is>
          <t>UMEÅ</t>
        </is>
      </c>
      <c r="F11295" t="inlineStr">
        <is>
          <t>Holmen skog AB</t>
        </is>
      </c>
      <c r="G11295" t="n">
        <v>3.5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60498-2022</t>
        </is>
      </c>
      <c r="B11296" s="1" t="n">
        <v>44911.44347222222</v>
      </c>
      <c r="C11296" s="1" t="n">
        <v>46075</v>
      </c>
      <c r="D11296" t="inlineStr">
        <is>
          <t>VÄSTERBOTTENS LÄN</t>
        </is>
      </c>
      <c r="E11296" t="inlineStr">
        <is>
          <t>SKELLEFTEÅ</t>
        </is>
      </c>
      <c r="F11296" t="inlineStr">
        <is>
          <t>Sveaskog</t>
        </is>
      </c>
      <c r="G11296" t="n">
        <v>21.2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60145-2021</t>
        </is>
      </c>
      <c r="B11297" s="1" t="n">
        <v>44494</v>
      </c>
      <c r="C11297" s="1" t="n">
        <v>46075</v>
      </c>
      <c r="D11297" t="inlineStr">
        <is>
          <t>VÄSTERBOTTENS LÄN</t>
        </is>
      </c>
      <c r="E11297" t="inlineStr">
        <is>
          <t>DOROTEA</t>
        </is>
      </c>
      <c r="G11297" t="n">
        <v>13.3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28549-2023</t>
        </is>
      </c>
      <c r="B11298" s="1" t="n">
        <v>45103</v>
      </c>
      <c r="C11298" s="1" t="n">
        <v>46075</v>
      </c>
      <c r="D11298" t="inlineStr">
        <is>
          <t>VÄSTERBOTTENS LÄN</t>
        </is>
      </c>
      <c r="E11298" t="inlineStr">
        <is>
          <t>DOROTEA</t>
        </is>
      </c>
      <c r="G11298" t="n">
        <v>3.6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33520-2021</t>
        </is>
      </c>
      <c r="B11299" s="1" t="n">
        <v>44377.75653935185</v>
      </c>
      <c r="C11299" s="1" t="n">
        <v>46075</v>
      </c>
      <c r="D11299" t="inlineStr">
        <is>
          <t>VÄSTERBOTTENS LÄN</t>
        </is>
      </c>
      <c r="E11299" t="inlineStr">
        <is>
          <t>SKELLEFTEÅ</t>
        </is>
      </c>
      <c r="G11299" t="n">
        <v>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64258-2023</t>
        </is>
      </c>
      <c r="B11300" s="1" t="n">
        <v>45279</v>
      </c>
      <c r="C11300" s="1" t="n">
        <v>46075</v>
      </c>
      <c r="D11300" t="inlineStr">
        <is>
          <t>VÄSTERBOTTENS LÄN</t>
        </is>
      </c>
      <c r="E11300" t="inlineStr">
        <is>
          <t>SKELLEFTEÅ</t>
        </is>
      </c>
      <c r="G11300" t="n">
        <v>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59716-2024</t>
        </is>
      </c>
      <c r="B11301" s="1" t="n">
        <v>45639.45857638889</v>
      </c>
      <c r="C11301" s="1" t="n">
        <v>46075</v>
      </c>
      <c r="D11301" t="inlineStr">
        <is>
          <t>VÄSTERBOTTENS LÄN</t>
        </is>
      </c>
      <c r="E11301" t="inlineStr">
        <is>
          <t>VÄNNÄS</t>
        </is>
      </c>
      <c r="G11301" t="n">
        <v>5.8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8203-2022</t>
        </is>
      </c>
      <c r="B11302" s="1" t="n">
        <v>44609</v>
      </c>
      <c r="C11302" s="1" t="n">
        <v>46075</v>
      </c>
      <c r="D11302" t="inlineStr">
        <is>
          <t>VÄSTERBOTTENS LÄN</t>
        </is>
      </c>
      <c r="E11302" t="inlineStr">
        <is>
          <t>SKELLEFTEÅ</t>
        </is>
      </c>
      <c r="G11302" t="n">
        <v>1.6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64028-2023</t>
        </is>
      </c>
      <c r="B11303" s="1" t="n">
        <v>45278.94263888889</v>
      </c>
      <c r="C11303" s="1" t="n">
        <v>46075</v>
      </c>
      <c r="D11303" t="inlineStr">
        <is>
          <t>VÄSTERBOTTENS LÄN</t>
        </is>
      </c>
      <c r="E11303" t="inlineStr">
        <is>
          <t>VILHELMINA</t>
        </is>
      </c>
      <c r="F11303" t="inlineStr">
        <is>
          <t>SCA</t>
        </is>
      </c>
      <c r="G11303" t="n">
        <v>1.4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25373-2024</t>
        </is>
      </c>
      <c r="B11304" s="1" t="n">
        <v>45462.96096064815</v>
      </c>
      <c r="C11304" s="1" t="n">
        <v>46075</v>
      </c>
      <c r="D11304" t="inlineStr">
        <is>
          <t>VÄSTERBOTTENS LÄN</t>
        </is>
      </c>
      <c r="E11304" t="inlineStr">
        <is>
          <t>NORDMALING</t>
        </is>
      </c>
      <c r="F11304" t="inlineStr">
        <is>
          <t>SCA</t>
        </is>
      </c>
      <c r="G11304" t="n">
        <v>2.4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46541-2022</t>
        </is>
      </c>
      <c r="B11305" s="1" t="n">
        <v>44847</v>
      </c>
      <c r="C11305" s="1" t="n">
        <v>46075</v>
      </c>
      <c r="D11305" t="inlineStr">
        <is>
          <t>VÄSTERBOTTENS LÄN</t>
        </is>
      </c>
      <c r="E11305" t="inlineStr">
        <is>
          <t>LYCKSELE</t>
        </is>
      </c>
      <c r="G11305" t="n">
        <v>2.8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24327-2023</t>
        </is>
      </c>
      <c r="B11306" s="1" t="n">
        <v>45080</v>
      </c>
      <c r="C11306" s="1" t="n">
        <v>46075</v>
      </c>
      <c r="D11306" t="inlineStr">
        <is>
          <t>VÄSTERBOTTENS LÄN</t>
        </is>
      </c>
      <c r="E11306" t="inlineStr">
        <is>
          <t>SKELLEFTEÅ</t>
        </is>
      </c>
      <c r="F11306" t="inlineStr">
        <is>
          <t>SCA</t>
        </is>
      </c>
      <c r="G11306" t="n">
        <v>5.5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36115-2024</t>
        </is>
      </c>
      <c r="B11307" s="1" t="n">
        <v>45534.30681712963</v>
      </c>
      <c r="C11307" s="1" t="n">
        <v>46075</v>
      </c>
      <c r="D11307" t="inlineStr">
        <is>
          <t>VÄSTERBOTTENS LÄN</t>
        </is>
      </c>
      <c r="E11307" t="inlineStr">
        <is>
          <t>ÅSELE</t>
        </is>
      </c>
      <c r="F11307" t="inlineStr">
        <is>
          <t>Sveaskog</t>
        </is>
      </c>
      <c r="G11307" t="n">
        <v>6.4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18853-2024</t>
        </is>
      </c>
      <c r="B11308" s="1" t="n">
        <v>45426</v>
      </c>
      <c r="C11308" s="1" t="n">
        <v>46075</v>
      </c>
      <c r="D11308" t="inlineStr">
        <is>
          <t>VÄSTERBOTTENS LÄN</t>
        </is>
      </c>
      <c r="E11308" t="inlineStr">
        <is>
          <t>NORSJÖ</t>
        </is>
      </c>
      <c r="G11308" t="n">
        <v>0.4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32767-2024</t>
        </is>
      </c>
      <c r="B11309" s="1" t="n">
        <v>45516</v>
      </c>
      <c r="C11309" s="1" t="n">
        <v>46075</v>
      </c>
      <c r="D11309" t="inlineStr">
        <is>
          <t>VÄSTERBOTTENS LÄN</t>
        </is>
      </c>
      <c r="E11309" t="inlineStr">
        <is>
          <t>MALÅ</t>
        </is>
      </c>
      <c r="G11309" t="n">
        <v>0.5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52124-2024</t>
        </is>
      </c>
      <c r="B11310" s="1" t="n">
        <v>45608.46447916667</v>
      </c>
      <c r="C11310" s="1" t="n">
        <v>46075</v>
      </c>
      <c r="D11310" t="inlineStr">
        <is>
          <t>VÄSTERBOTTENS LÄN</t>
        </is>
      </c>
      <c r="E11310" t="inlineStr">
        <is>
          <t>LYCKSELE</t>
        </is>
      </c>
      <c r="F11310" t="inlineStr">
        <is>
          <t>Sveaskog</t>
        </is>
      </c>
      <c r="G11310" t="n">
        <v>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531-2023</t>
        </is>
      </c>
      <c r="B11311" s="1" t="n">
        <v>44925</v>
      </c>
      <c r="C11311" s="1" t="n">
        <v>46075</v>
      </c>
      <c r="D11311" t="inlineStr">
        <is>
          <t>VÄSTERBOTTENS LÄN</t>
        </is>
      </c>
      <c r="E11311" t="inlineStr">
        <is>
          <t>SKELLEFTEÅ</t>
        </is>
      </c>
      <c r="G11311" t="n">
        <v>2.6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35758-2023</t>
        </is>
      </c>
      <c r="B11312" s="1" t="n">
        <v>45147.95452546296</v>
      </c>
      <c r="C11312" s="1" t="n">
        <v>46075</v>
      </c>
      <c r="D11312" t="inlineStr">
        <is>
          <t>VÄSTERBOTTENS LÄN</t>
        </is>
      </c>
      <c r="E11312" t="inlineStr">
        <is>
          <t>VILHELMINA</t>
        </is>
      </c>
      <c r="F11312" t="inlineStr">
        <is>
          <t>SCA</t>
        </is>
      </c>
      <c r="G11312" t="n">
        <v>1.8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27530-2024</t>
        </is>
      </c>
      <c r="B11313" s="1" t="n">
        <v>45474.56820601852</v>
      </c>
      <c r="C11313" s="1" t="n">
        <v>46075</v>
      </c>
      <c r="D11313" t="inlineStr">
        <is>
          <t>VÄSTERBOTTENS LÄN</t>
        </is>
      </c>
      <c r="E11313" t="inlineStr">
        <is>
          <t>VÄNNÄS</t>
        </is>
      </c>
      <c r="F11313" t="inlineStr">
        <is>
          <t>Holmen skog AB</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45576-2023</t>
        </is>
      </c>
      <c r="B11314" s="1" t="n">
        <v>45188</v>
      </c>
      <c r="C11314" s="1" t="n">
        <v>46075</v>
      </c>
      <c r="D11314" t="inlineStr">
        <is>
          <t>VÄSTERBOTTENS LÄN</t>
        </is>
      </c>
      <c r="E11314" t="inlineStr">
        <is>
          <t>SKELLEFTEÅ</t>
        </is>
      </c>
      <c r="G11314" t="n">
        <v>0.7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35301-2024</t>
        </is>
      </c>
      <c r="B11315" s="1" t="n">
        <v>45530</v>
      </c>
      <c r="C11315" s="1" t="n">
        <v>46075</v>
      </c>
      <c r="D11315" t="inlineStr">
        <is>
          <t>VÄSTERBOTTENS LÄN</t>
        </is>
      </c>
      <c r="E11315" t="inlineStr">
        <is>
          <t>VINDELN</t>
        </is>
      </c>
      <c r="F11315" t="inlineStr">
        <is>
          <t>Holmen skog AB</t>
        </is>
      </c>
      <c r="G11315" t="n">
        <v>0.8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19786-2025</t>
        </is>
      </c>
      <c r="B11316" s="1" t="n">
        <v>45771.44086805556</v>
      </c>
      <c r="C11316" s="1" t="n">
        <v>46075</v>
      </c>
      <c r="D11316" t="inlineStr">
        <is>
          <t>VÄSTERBOTTENS LÄN</t>
        </is>
      </c>
      <c r="E11316" t="inlineStr">
        <is>
          <t>VÄNNÄS</t>
        </is>
      </c>
      <c r="F11316" t="inlineStr">
        <is>
          <t>Holmen skog AB</t>
        </is>
      </c>
      <c r="G11316" t="n">
        <v>1.8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13753-2025</t>
        </is>
      </c>
      <c r="B11317" s="1" t="n">
        <v>45737.41443287037</v>
      </c>
      <c r="C11317" s="1" t="n">
        <v>46075</v>
      </c>
      <c r="D11317" t="inlineStr">
        <is>
          <t>VÄSTERBOTTENS LÄN</t>
        </is>
      </c>
      <c r="E11317" t="inlineStr">
        <is>
          <t>VINDELN</t>
        </is>
      </c>
      <c r="G11317" t="n">
        <v>1.9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51740-2024</t>
        </is>
      </c>
      <c r="B11318" s="1" t="n">
        <v>45607.40678240741</v>
      </c>
      <c r="C11318" s="1" t="n">
        <v>46075</v>
      </c>
      <c r="D11318" t="inlineStr">
        <is>
          <t>VÄSTERBOTTENS LÄN</t>
        </is>
      </c>
      <c r="E11318" t="inlineStr">
        <is>
          <t>DOROTEA</t>
        </is>
      </c>
      <c r="F11318" t="inlineStr">
        <is>
          <t>SCA</t>
        </is>
      </c>
      <c r="G11318" t="n">
        <v>5.2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51741-2024</t>
        </is>
      </c>
      <c r="B11319" s="1" t="n">
        <v>45607.40694444445</v>
      </c>
      <c r="C11319" s="1" t="n">
        <v>46075</v>
      </c>
      <c r="D11319" t="inlineStr">
        <is>
          <t>VÄSTERBOTTENS LÄN</t>
        </is>
      </c>
      <c r="E11319" t="inlineStr">
        <is>
          <t>DOROTEA</t>
        </is>
      </c>
      <c r="F11319" t="inlineStr">
        <is>
          <t>SCA</t>
        </is>
      </c>
      <c r="G11319" t="n">
        <v>2.1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53875-2024</t>
        </is>
      </c>
      <c r="B11320" s="1" t="n">
        <v>45615</v>
      </c>
      <c r="C11320" s="1" t="n">
        <v>46075</v>
      </c>
      <c r="D11320" t="inlineStr">
        <is>
          <t>VÄSTERBOTTENS LÄN</t>
        </is>
      </c>
      <c r="E11320" t="inlineStr">
        <is>
          <t>LYCKSELE</t>
        </is>
      </c>
      <c r="F11320" t="inlineStr">
        <is>
          <t>SCA</t>
        </is>
      </c>
      <c r="G11320" t="n">
        <v>8.699999999999999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36513-2024</t>
        </is>
      </c>
      <c r="B11321" s="1" t="n">
        <v>45537.42751157407</v>
      </c>
      <c r="C11321" s="1" t="n">
        <v>46075</v>
      </c>
      <c r="D11321" t="inlineStr">
        <is>
          <t>VÄSTERBOTTENS LÄN</t>
        </is>
      </c>
      <c r="E11321" t="inlineStr">
        <is>
          <t>SKELLEFTEÅ</t>
        </is>
      </c>
      <c r="G11321" t="n">
        <v>24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17989-2023</t>
        </is>
      </c>
      <c r="B11322" s="1" t="n">
        <v>45040</v>
      </c>
      <c r="C11322" s="1" t="n">
        <v>46075</v>
      </c>
      <c r="D11322" t="inlineStr">
        <is>
          <t>VÄSTERBOTTENS LÄN</t>
        </is>
      </c>
      <c r="E11322" t="inlineStr">
        <is>
          <t>UMEÅ</t>
        </is>
      </c>
      <c r="F11322" t="inlineStr">
        <is>
          <t>Kommuner</t>
        </is>
      </c>
      <c r="G11322" t="n">
        <v>1.1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9671-2024</t>
        </is>
      </c>
      <c r="B11323" s="1" t="n">
        <v>45362.46013888889</v>
      </c>
      <c r="C11323" s="1" t="n">
        <v>46075</v>
      </c>
      <c r="D11323" t="inlineStr">
        <is>
          <t>VÄSTERBOTTENS LÄN</t>
        </is>
      </c>
      <c r="E11323" t="inlineStr">
        <is>
          <t>UMEÅ</t>
        </is>
      </c>
      <c r="G11323" t="n">
        <v>0.8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62729-2022</t>
        </is>
      </c>
      <c r="B11324" s="1" t="n">
        <v>44925</v>
      </c>
      <c r="C11324" s="1" t="n">
        <v>46075</v>
      </c>
      <c r="D11324" t="inlineStr">
        <is>
          <t>VÄSTERBOTTENS LÄN</t>
        </is>
      </c>
      <c r="E11324" t="inlineStr">
        <is>
          <t>VINDELN</t>
        </is>
      </c>
      <c r="G11324" t="n">
        <v>5.1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36348-2024</t>
        </is>
      </c>
      <c r="B11325" s="1" t="n">
        <v>45534.64422453703</v>
      </c>
      <c r="C11325" s="1" t="n">
        <v>46075</v>
      </c>
      <c r="D11325" t="inlineStr">
        <is>
          <t>VÄSTERBOTTENS LÄN</t>
        </is>
      </c>
      <c r="E11325" t="inlineStr">
        <is>
          <t>VILHELMINA</t>
        </is>
      </c>
      <c r="F11325" t="inlineStr">
        <is>
          <t>SCA</t>
        </is>
      </c>
      <c r="G11325" t="n">
        <v>2.5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36355-2024</t>
        </is>
      </c>
      <c r="B11326" s="1" t="n">
        <v>45534.64508101852</v>
      </c>
      <c r="C11326" s="1" t="n">
        <v>46075</v>
      </c>
      <c r="D11326" t="inlineStr">
        <is>
          <t>VÄSTERBOTTENS LÄN</t>
        </is>
      </c>
      <c r="E11326" t="inlineStr">
        <is>
          <t>VILHELMINA</t>
        </is>
      </c>
      <c r="F11326" t="inlineStr">
        <is>
          <t>SCA</t>
        </is>
      </c>
      <c r="G11326" t="n">
        <v>4.1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36357-2024</t>
        </is>
      </c>
      <c r="B11327" s="1" t="n">
        <v>45534.64569444444</v>
      </c>
      <c r="C11327" s="1" t="n">
        <v>46075</v>
      </c>
      <c r="D11327" t="inlineStr">
        <is>
          <t>VÄSTERBOTTENS LÄN</t>
        </is>
      </c>
      <c r="E11327" t="inlineStr">
        <is>
          <t>LYCKSELE</t>
        </is>
      </c>
      <c r="F11327" t="inlineStr">
        <is>
          <t>SCA</t>
        </is>
      </c>
      <c r="G11327" t="n">
        <v>4.8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2326-2025</t>
        </is>
      </c>
      <c r="B11328" s="1" t="n">
        <v>45673.63425925926</v>
      </c>
      <c r="C11328" s="1" t="n">
        <v>46075</v>
      </c>
      <c r="D11328" t="inlineStr">
        <is>
          <t>VÄSTERBOTTENS LÄN</t>
        </is>
      </c>
      <c r="E11328" t="inlineStr">
        <is>
          <t>SKELLEFTEÅ</t>
        </is>
      </c>
      <c r="F11328" t="inlineStr">
        <is>
          <t>Holmen skog AB</t>
        </is>
      </c>
      <c r="G11328" t="n">
        <v>4.7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7229-2025</t>
        </is>
      </c>
      <c r="B11329" s="1" t="n">
        <v>45702</v>
      </c>
      <c r="C11329" s="1" t="n">
        <v>46075</v>
      </c>
      <c r="D11329" t="inlineStr">
        <is>
          <t>VÄSTERBOTTENS LÄN</t>
        </is>
      </c>
      <c r="E11329" t="inlineStr">
        <is>
          <t>STORUMAN</t>
        </is>
      </c>
      <c r="G11329" t="n">
        <v>15.2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164-2025</t>
        </is>
      </c>
      <c r="B11330" s="1" t="n">
        <v>45659.63700231481</v>
      </c>
      <c r="C11330" s="1" t="n">
        <v>46075</v>
      </c>
      <c r="D11330" t="inlineStr">
        <is>
          <t>VÄSTERBOTTENS LÄN</t>
        </is>
      </c>
      <c r="E11330" t="inlineStr">
        <is>
          <t>ROBERTSFORS</t>
        </is>
      </c>
      <c r="G11330" t="n">
        <v>5.7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6535-2025</t>
        </is>
      </c>
      <c r="B11331" s="1" t="n">
        <v>45699.67743055556</v>
      </c>
      <c r="C11331" s="1" t="n">
        <v>46075</v>
      </c>
      <c r="D11331" t="inlineStr">
        <is>
          <t>VÄSTERBOTTENS LÄN</t>
        </is>
      </c>
      <c r="E11331" t="inlineStr">
        <is>
          <t>ROBERTSFORS</t>
        </is>
      </c>
      <c r="G11331" t="n">
        <v>3.7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56797-2024</t>
        </is>
      </c>
      <c r="B11332" s="1" t="n">
        <v>45628.46482638889</v>
      </c>
      <c r="C11332" s="1" t="n">
        <v>46075</v>
      </c>
      <c r="D11332" t="inlineStr">
        <is>
          <t>VÄSTERBOTTENS LÄN</t>
        </is>
      </c>
      <c r="E11332" t="inlineStr">
        <is>
          <t>SKELLEFTEÅ</t>
        </is>
      </c>
      <c r="F11332" t="inlineStr">
        <is>
          <t>Holmen skog AB</t>
        </is>
      </c>
      <c r="G11332" t="n">
        <v>2.4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19073-2023</t>
        </is>
      </c>
      <c r="B11333" s="1" t="n">
        <v>45048.37394675926</v>
      </c>
      <c r="C11333" s="1" t="n">
        <v>46075</v>
      </c>
      <c r="D11333" t="inlineStr">
        <is>
          <t>VÄSTERBOTTENS LÄN</t>
        </is>
      </c>
      <c r="E11333" t="inlineStr">
        <is>
          <t>SKELLEFTEÅ</t>
        </is>
      </c>
      <c r="G11333" t="n">
        <v>4.8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4925-2025</t>
        </is>
      </c>
      <c r="B11334" s="1" t="n">
        <v>45688.68439814815</v>
      </c>
      <c r="C11334" s="1" t="n">
        <v>46075</v>
      </c>
      <c r="D11334" t="inlineStr">
        <is>
          <t>VÄSTERBOTTENS LÄN</t>
        </is>
      </c>
      <c r="E11334" t="inlineStr">
        <is>
          <t>MALÅ</t>
        </is>
      </c>
      <c r="G11334" t="n">
        <v>2.9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4958-2025</t>
        </is>
      </c>
      <c r="B11335" s="1" t="n">
        <v>45689.58603009259</v>
      </c>
      <c r="C11335" s="1" t="n">
        <v>46075</v>
      </c>
      <c r="D11335" t="inlineStr">
        <is>
          <t>VÄSTERBOTTENS LÄN</t>
        </is>
      </c>
      <c r="E11335" t="inlineStr">
        <is>
          <t>SKELLEFTEÅ</t>
        </is>
      </c>
      <c r="G11335" t="n">
        <v>5.1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4959-2025</t>
        </is>
      </c>
      <c r="B11336" s="1" t="n">
        <v>45689.59054398148</v>
      </c>
      <c r="C11336" s="1" t="n">
        <v>46075</v>
      </c>
      <c r="D11336" t="inlineStr">
        <is>
          <t>VÄSTERBOTTENS LÄN</t>
        </is>
      </c>
      <c r="E11336" t="inlineStr">
        <is>
          <t>SKELLEFTEÅ</t>
        </is>
      </c>
      <c r="G11336" t="n">
        <v>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6800-2025</t>
        </is>
      </c>
      <c r="B11337" s="1" t="n">
        <v>45700.67916666667</v>
      </c>
      <c r="C11337" s="1" t="n">
        <v>46075</v>
      </c>
      <c r="D11337" t="inlineStr">
        <is>
          <t>VÄSTERBOTTENS LÄN</t>
        </is>
      </c>
      <c r="E11337" t="inlineStr">
        <is>
          <t>LYCKSELE</t>
        </is>
      </c>
      <c r="G11337" t="n">
        <v>1.8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19744-2024</t>
        </is>
      </c>
      <c r="B11338" s="1" t="n">
        <v>45432.65126157407</v>
      </c>
      <c r="C11338" s="1" t="n">
        <v>46075</v>
      </c>
      <c r="D11338" t="inlineStr">
        <is>
          <t>VÄSTERBOTTENS LÄN</t>
        </is>
      </c>
      <c r="E11338" t="inlineStr">
        <is>
          <t>NORSJÖ</t>
        </is>
      </c>
      <c r="F11338" t="inlineStr">
        <is>
          <t>Holmen skog AB</t>
        </is>
      </c>
      <c r="G11338" t="n">
        <v>7.8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29599-2024</t>
        </is>
      </c>
      <c r="B11339" s="1" t="n">
        <v>45484.59297453704</v>
      </c>
      <c r="C11339" s="1" t="n">
        <v>46075</v>
      </c>
      <c r="D11339" t="inlineStr">
        <is>
          <t>VÄSTERBOTTENS LÄN</t>
        </is>
      </c>
      <c r="E11339" t="inlineStr">
        <is>
          <t>ÅSELE</t>
        </is>
      </c>
      <c r="F11339" t="inlineStr">
        <is>
          <t>Sveaskog</t>
        </is>
      </c>
      <c r="G11339" t="n">
        <v>5.7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46584-2023</t>
        </is>
      </c>
      <c r="B11340" s="1" t="n">
        <v>45198</v>
      </c>
      <c r="C11340" s="1" t="n">
        <v>46075</v>
      </c>
      <c r="D11340" t="inlineStr">
        <is>
          <t>VÄSTERBOTTENS LÄN</t>
        </is>
      </c>
      <c r="E11340" t="inlineStr">
        <is>
          <t>SKELLEFTEÅ</t>
        </is>
      </c>
      <c r="G11340" t="n">
        <v>3.1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60143-2022</t>
        </is>
      </c>
      <c r="B11341" s="1" t="n">
        <v>44909</v>
      </c>
      <c r="C11341" s="1" t="n">
        <v>46075</v>
      </c>
      <c r="D11341" t="inlineStr">
        <is>
          <t>VÄSTERBOTTENS LÄN</t>
        </is>
      </c>
      <c r="E11341" t="inlineStr">
        <is>
          <t>LYCKSELE</t>
        </is>
      </c>
      <c r="F11341" t="inlineStr">
        <is>
          <t>Sveaskog</t>
        </is>
      </c>
      <c r="G11341" t="n">
        <v>0.5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39104-2022</t>
        </is>
      </c>
      <c r="B11342" s="1" t="n">
        <v>44816</v>
      </c>
      <c r="C11342" s="1" t="n">
        <v>46075</v>
      </c>
      <c r="D11342" t="inlineStr">
        <is>
          <t>VÄSTERBOTTENS LÄN</t>
        </is>
      </c>
      <c r="E11342" t="inlineStr">
        <is>
          <t>NORDMALING</t>
        </is>
      </c>
      <c r="G11342" t="n">
        <v>1.4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7063-2022</t>
        </is>
      </c>
      <c r="B11343" s="1" t="n">
        <v>44603</v>
      </c>
      <c r="C11343" s="1" t="n">
        <v>46075</v>
      </c>
      <c r="D11343" t="inlineStr">
        <is>
          <t>VÄSTERBOTTENS LÄN</t>
        </is>
      </c>
      <c r="E11343" t="inlineStr">
        <is>
          <t>LYCKSELE</t>
        </is>
      </c>
      <c r="G11343" t="n">
        <v>14.2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41703-2023</t>
        </is>
      </c>
      <c r="B11344" s="1" t="n">
        <v>45176</v>
      </c>
      <c r="C11344" s="1" t="n">
        <v>46075</v>
      </c>
      <c r="D11344" t="inlineStr">
        <is>
          <t>VÄSTERBOTTENS LÄN</t>
        </is>
      </c>
      <c r="E11344" t="inlineStr">
        <is>
          <t>LYCKSELE</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17805-2025</t>
        </is>
      </c>
      <c r="B11345" s="1" t="n">
        <v>45758.5525462963</v>
      </c>
      <c r="C11345" s="1" t="n">
        <v>46075</v>
      </c>
      <c r="D11345" t="inlineStr">
        <is>
          <t>VÄSTERBOTTENS LÄN</t>
        </is>
      </c>
      <c r="E11345" t="inlineStr">
        <is>
          <t>ÅSELE</t>
        </is>
      </c>
      <c r="F11345" t="inlineStr">
        <is>
          <t>SCA</t>
        </is>
      </c>
      <c r="G11345" t="n">
        <v>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24756-2024</t>
        </is>
      </c>
      <c r="B11346" s="1" t="n">
        <v>45460</v>
      </c>
      <c r="C11346" s="1" t="n">
        <v>46075</v>
      </c>
      <c r="D11346" t="inlineStr">
        <is>
          <t>VÄSTERBOTTENS LÄN</t>
        </is>
      </c>
      <c r="E11346" t="inlineStr">
        <is>
          <t>VINDELN</t>
        </is>
      </c>
      <c r="F11346" t="inlineStr">
        <is>
          <t>Holmen skog AB</t>
        </is>
      </c>
      <c r="G11346" t="n">
        <v>0.5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8566-2025</t>
        </is>
      </c>
      <c r="B11347" s="1" t="n">
        <v>45709</v>
      </c>
      <c r="C11347" s="1" t="n">
        <v>46075</v>
      </c>
      <c r="D11347" t="inlineStr">
        <is>
          <t>VÄSTERBOTTENS LÄN</t>
        </is>
      </c>
      <c r="E11347" t="inlineStr">
        <is>
          <t>VILHELMINA</t>
        </is>
      </c>
      <c r="G11347" t="n">
        <v>10.5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41767-2023</t>
        </is>
      </c>
      <c r="B11348" s="1" t="n">
        <v>45176</v>
      </c>
      <c r="C11348" s="1" t="n">
        <v>46075</v>
      </c>
      <c r="D11348" t="inlineStr">
        <is>
          <t>VÄSTERBOTTENS LÄN</t>
        </is>
      </c>
      <c r="E11348" t="inlineStr">
        <is>
          <t>ROBERTSFORS</t>
        </is>
      </c>
      <c r="F11348" t="inlineStr">
        <is>
          <t>Holmen skog AB</t>
        </is>
      </c>
      <c r="G11348" t="n">
        <v>0.8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37514-2024</t>
        </is>
      </c>
      <c r="B11349" s="1" t="n">
        <v>45541.38586805556</v>
      </c>
      <c r="C11349" s="1" t="n">
        <v>46075</v>
      </c>
      <c r="D11349" t="inlineStr">
        <is>
          <t>VÄSTERBOTTENS LÄN</t>
        </is>
      </c>
      <c r="E11349" t="inlineStr">
        <is>
          <t>VILHELMINA</t>
        </is>
      </c>
      <c r="F11349" t="inlineStr">
        <is>
          <t>SCA</t>
        </is>
      </c>
      <c r="G11349" t="n">
        <v>1.4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33731-2024</t>
        </is>
      </c>
      <c r="B11350" s="1" t="n">
        <v>45520.54680555555</v>
      </c>
      <c r="C11350" s="1" t="n">
        <v>46075</v>
      </c>
      <c r="D11350" t="inlineStr">
        <is>
          <t>VÄSTERBOTTENS LÄN</t>
        </is>
      </c>
      <c r="E11350" t="inlineStr">
        <is>
          <t>STORUMAN</t>
        </is>
      </c>
      <c r="F11350" t="inlineStr">
        <is>
          <t>Sveaskog</t>
        </is>
      </c>
      <c r="G11350" t="n">
        <v>6.1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37547-2024</t>
        </is>
      </c>
      <c r="B11351" s="1" t="n">
        <v>45541.42965277778</v>
      </c>
      <c r="C11351" s="1" t="n">
        <v>46075</v>
      </c>
      <c r="D11351" t="inlineStr">
        <is>
          <t>VÄSTERBOTTENS LÄN</t>
        </is>
      </c>
      <c r="E11351" t="inlineStr">
        <is>
          <t>SKELLEFTEÅ</t>
        </is>
      </c>
      <c r="F11351" t="inlineStr">
        <is>
          <t>Holmen skog AB</t>
        </is>
      </c>
      <c r="G11351" t="n">
        <v>6.6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52686-2023</t>
        </is>
      </c>
      <c r="B11352" s="1" t="n">
        <v>45225.73399305555</v>
      </c>
      <c r="C11352" s="1" t="n">
        <v>46075</v>
      </c>
      <c r="D11352" t="inlineStr">
        <is>
          <t>VÄSTERBOTTENS LÄN</t>
        </is>
      </c>
      <c r="E11352" t="inlineStr">
        <is>
          <t>SKELLEFTEÅ</t>
        </is>
      </c>
      <c r="F11352" t="inlineStr">
        <is>
          <t>Sveaskog</t>
        </is>
      </c>
      <c r="G11352" t="n">
        <v>18.1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59664-2022</t>
        </is>
      </c>
      <c r="B11353" s="1" t="n">
        <v>44908.33321759259</v>
      </c>
      <c r="C11353" s="1" t="n">
        <v>46075</v>
      </c>
      <c r="D11353" t="inlineStr">
        <is>
          <t>VÄSTERBOTTENS LÄN</t>
        </is>
      </c>
      <c r="E11353" t="inlineStr">
        <is>
          <t>SKELLEFTEÅ</t>
        </is>
      </c>
      <c r="G11353" t="n">
        <v>0.6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4084-2023</t>
        </is>
      </c>
      <c r="B11354" s="1" t="n">
        <v>44952</v>
      </c>
      <c r="C11354" s="1" t="n">
        <v>46075</v>
      </c>
      <c r="D11354" t="inlineStr">
        <is>
          <t>VÄSTERBOTTENS LÄN</t>
        </is>
      </c>
      <c r="E11354" t="inlineStr">
        <is>
          <t>ÅSELE</t>
        </is>
      </c>
      <c r="G11354" t="n">
        <v>4.5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10753-2025</t>
        </is>
      </c>
      <c r="B11355" s="1" t="n">
        <v>45722.44828703703</v>
      </c>
      <c r="C11355" s="1" t="n">
        <v>46075</v>
      </c>
      <c r="D11355" t="inlineStr">
        <is>
          <t>VÄSTERBOTTENS LÄN</t>
        </is>
      </c>
      <c r="E11355" t="inlineStr">
        <is>
          <t>SORSELE</t>
        </is>
      </c>
      <c r="F11355" t="inlineStr">
        <is>
          <t>SCA</t>
        </is>
      </c>
      <c r="G11355" t="n">
        <v>2.8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34434-2024</t>
        </is>
      </c>
      <c r="B11356" s="1" t="n">
        <v>45525.53164351852</v>
      </c>
      <c r="C11356" s="1" t="n">
        <v>46075</v>
      </c>
      <c r="D11356" t="inlineStr">
        <is>
          <t>VÄSTERBOTTENS LÄN</t>
        </is>
      </c>
      <c r="E11356" t="inlineStr">
        <is>
          <t>ROBERTSFORS</t>
        </is>
      </c>
      <c r="G11356" t="n">
        <v>2.3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19200-2023</t>
        </is>
      </c>
      <c r="B11357" s="1" t="n">
        <v>45048</v>
      </c>
      <c r="C11357" s="1" t="n">
        <v>46075</v>
      </c>
      <c r="D11357" t="inlineStr">
        <is>
          <t>VÄSTERBOTTENS LÄN</t>
        </is>
      </c>
      <c r="E11357" t="inlineStr">
        <is>
          <t>UMEÅ</t>
        </is>
      </c>
      <c r="G11357" t="n">
        <v>0.2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14280-2024</t>
        </is>
      </c>
      <c r="B11358" s="1" t="n">
        <v>45393.61599537037</v>
      </c>
      <c r="C11358" s="1" t="n">
        <v>46075</v>
      </c>
      <c r="D11358" t="inlineStr">
        <is>
          <t>VÄSTERBOTTENS LÄN</t>
        </is>
      </c>
      <c r="E11358" t="inlineStr">
        <is>
          <t>MALÅ</t>
        </is>
      </c>
      <c r="F11358" t="inlineStr">
        <is>
          <t>Sveaskog</t>
        </is>
      </c>
      <c r="G11358" t="n">
        <v>7.3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57021-2024</t>
        </is>
      </c>
      <c r="B11359" s="1" t="n">
        <v>45626</v>
      </c>
      <c r="C11359" s="1" t="n">
        <v>46075</v>
      </c>
      <c r="D11359" t="inlineStr">
        <is>
          <t>VÄSTERBOTTENS LÄN</t>
        </is>
      </c>
      <c r="E11359" t="inlineStr">
        <is>
          <t>SORSELE</t>
        </is>
      </c>
      <c r="G11359" t="n">
        <v>8.800000000000001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19315-2025</t>
        </is>
      </c>
      <c r="B11360" s="1" t="n">
        <v>45769.5737037037</v>
      </c>
      <c r="C11360" s="1" t="n">
        <v>46075</v>
      </c>
      <c r="D11360" t="inlineStr">
        <is>
          <t>VÄSTERBOTTENS LÄN</t>
        </is>
      </c>
      <c r="E11360" t="inlineStr">
        <is>
          <t>ROBERTSFORS</t>
        </is>
      </c>
      <c r="G11360" t="n">
        <v>2.5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13195-2025</t>
        </is>
      </c>
      <c r="B11361" s="1" t="n">
        <v>45735</v>
      </c>
      <c r="C11361" s="1" t="n">
        <v>46075</v>
      </c>
      <c r="D11361" t="inlineStr">
        <is>
          <t>VÄSTERBOTTENS LÄN</t>
        </is>
      </c>
      <c r="E11361" t="inlineStr">
        <is>
          <t>UMEÅ</t>
        </is>
      </c>
      <c r="G11361" t="n">
        <v>1.6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57022-2024</t>
        </is>
      </c>
      <c r="B11362" s="1" t="n">
        <v>45626</v>
      </c>
      <c r="C11362" s="1" t="n">
        <v>46075</v>
      </c>
      <c r="D11362" t="inlineStr">
        <is>
          <t>VÄSTERBOTTENS LÄN</t>
        </is>
      </c>
      <c r="E11362" t="inlineStr">
        <is>
          <t>SORSELE</t>
        </is>
      </c>
      <c r="G11362" t="n">
        <v>14.2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48314-2024</t>
        </is>
      </c>
      <c r="B11363" s="1" t="n">
        <v>45590.48991898148</v>
      </c>
      <c r="C11363" s="1" t="n">
        <v>46075</v>
      </c>
      <c r="D11363" t="inlineStr">
        <is>
          <t>VÄSTERBOTTENS LÄN</t>
        </is>
      </c>
      <c r="E11363" t="inlineStr">
        <is>
          <t>BJURHOLM</t>
        </is>
      </c>
      <c r="G11363" t="n">
        <v>3.9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63062-2023</t>
        </is>
      </c>
      <c r="B11364" s="1" t="n">
        <v>45272</v>
      </c>
      <c r="C11364" s="1" t="n">
        <v>46075</v>
      </c>
      <c r="D11364" t="inlineStr">
        <is>
          <t>VÄSTERBOTTENS LÄN</t>
        </is>
      </c>
      <c r="E11364" t="inlineStr">
        <is>
          <t>ÅSELE</t>
        </is>
      </c>
      <c r="F11364" t="inlineStr">
        <is>
          <t>SCA</t>
        </is>
      </c>
      <c r="G11364" t="n">
        <v>1.4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41965-2024</t>
        </is>
      </c>
      <c r="B11365" s="1" t="n">
        <v>45561</v>
      </c>
      <c r="C11365" s="1" t="n">
        <v>46075</v>
      </c>
      <c r="D11365" t="inlineStr">
        <is>
          <t>VÄSTERBOTTENS LÄN</t>
        </is>
      </c>
      <c r="E11365" t="inlineStr">
        <is>
          <t>NORSJÖ</t>
        </is>
      </c>
      <c r="G11365" t="n">
        <v>1.7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42402-2024</t>
        </is>
      </c>
      <c r="B11366" s="1" t="n">
        <v>45565.34449074074</v>
      </c>
      <c r="C11366" s="1" t="n">
        <v>46075</v>
      </c>
      <c r="D11366" t="inlineStr">
        <is>
          <t>VÄSTERBOTTENS LÄN</t>
        </is>
      </c>
      <c r="E11366" t="inlineStr">
        <is>
          <t>BJURHOLM</t>
        </is>
      </c>
      <c r="G11366" t="n">
        <v>2.7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47697-2021</t>
        </is>
      </c>
      <c r="B11367" s="1" t="n">
        <v>44448.47038194445</v>
      </c>
      <c r="C11367" s="1" t="n">
        <v>46075</v>
      </c>
      <c r="D11367" t="inlineStr">
        <is>
          <t>VÄSTERBOTTENS LÄN</t>
        </is>
      </c>
      <c r="E11367" t="inlineStr">
        <is>
          <t>LYCKSELE</t>
        </is>
      </c>
      <c r="G11367" t="n">
        <v>3.9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9947-2025</t>
        </is>
      </c>
      <c r="B11368" s="1" t="n">
        <v>45719.31428240741</v>
      </c>
      <c r="C11368" s="1" t="n">
        <v>46075</v>
      </c>
      <c r="D11368" t="inlineStr">
        <is>
          <t>VÄSTERBOTTENS LÄN</t>
        </is>
      </c>
      <c r="E11368" t="inlineStr">
        <is>
          <t>MALÅ</t>
        </is>
      </c>
      <c r="G11368" t="n">
        <v>9.300000000000001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6719-2025</t>
        </is>
      </c>
      <c r="B11369" s="1" t="n">
        <v>45700.5778587963</v>
      </c>
      <c r="C11369" s="1" t="n">
        <v>46075</v>
      </c>
      <c r="D11369" t="inlineStr">
        <is>
          <t>VÄSTERBOTTENS LÄN</t>
        </is>
      </c>
      <c r="E11369" t="inlineStr">
        <is>
          <t>SORSELE</t>
        </is>
      </c>
      <c r="G11369" t="n">
        <v>9.4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5251-2025</t>
        </is>
      </c>
      <c r="B11370" s="1" t="n">
        <v>45692.34487268519</v>
      </c>
      <c r="C11370" s="1" t="n">
        <v>46075</v>
      </c>
      <c r="D11370" t="inlineStr">
        <is>
          <t>VÄSTERBOTTENS LÄN</t>
        </is>
      </c>
      <c r="E11370" t="inlineStr">
        <is>
          <t>ROBERTSFORS</t>
        </is>
      </c>
      <c r="G11370" t="n">
        <v>2.8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16013-2025</t>
        </is>
      </c>
      <c r="B11371" s="1" t="n">
        <v>45749.60484953703</v>
      </c>
      <c r="C11371" s="1" t="n">
        <v>46075</v>
      </c>
      <c r="D11371" t="inlineStr">
        <is>
          <t>VÄSTERBOTTENS LÄN</t>
        </is>
      </c>
      <c r="E11371" t="inlineStr">
        <is>
          <t>BJURHOLM</t>
        </is>
      </c>
      <c r="G11371" t="n">
        <v>3.7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7916-2025</t>
        </is>
      </c>
      <c r="B11372" s="1" t="n">
        <v>45707.35113425926</v>
      </c>
      <c r="C11372" s="1" t="n">
        <v>46075</v>
      </c>
      <c r="D11372" t="inlineStr">
        <is>
          <t>VÄSTERBOTTENS LÄN</t>
        </is>
      </c>
      <c r="E11372" t="inlineStr">
        <is>
          <t>SKELLEFTEÅ</t>
        </is>
      </c>
      <c r="G11372" t="n">
        <v>1.2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7536-2025</t>
        </is>
      </c>
      <c r="B11373" s="1" t="n">
        <v>45705.56554398148</v>
      </c>
      <c r="C11373" s="1" t="n">
        <v>46075</v>
      </c>
      <c r="D11373" t="inlineStr">
        <is>
          <t>VÄSTERBOTTENS LÄN</t>
        </is>
      </c>
      <c r="E11373" t="inlineStr">
        <is>
          <t>MALÅ</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26472-2021</t>
        </is>
      </c>
      <c r="B11374" s="1" t="n">
        <v>44348.40371527777</v>
      </c>
      <c r="C11374" s="1" t="n">
        <v>46075</v>
      </c>
      <c r="D11374" t="inlineStr">
        <is>
          <t>VÄSTERBOTTENS LÄN</t>
        </is>
      </c>
      <c r="E11374" t="inlineStr">
        <is>
          <t>NORSJÖ</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7080-2025</t>
        </is>
      </c>
      <c r="B11375" s="1" t="n">
        <v>45701.69836805556</v>
      </c>
      <c r="C11375" s="1" t="n">
        <v>46075</v>
      </c>
      <c r="D11375" t="inlineStr">
        <is>
          <t>VÄSTERBOTTENS LÄN</t>
        </is>
      </c>
      <c r="E11375" t="inlineStr">
        <is>
          <t>NORDMALING</t>
        </is>
      </c>
      <c r="F11375" t="inlineStr">
        <is>
          <t>SCA</t>
        </is>
      </c>
      <c r="G11375" t="n">
        <v>3.3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9815-2024</t>
        </is>
      </c>
      <c r="B11376" s="1" t="n">
        <v>45362.96927083333</v>
      </c>
      <c r="C11376" s="1" t="n">
        <v>46075</v>
      </c>
      <c r="D11376" t="inlineStr">
        <is>
          <t>VÄSTERBOTTENS LÄN</t>
        </is>
      </c>
      <c r="E11376" t="inlineStr">
        <is>
          <t>VILHELMINA</t>
        </is>
      </c>
      <c r="G11376" t="n">
        <v>1.3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4032-2024</t>
        </is>
      </c>
      <c r="B11377" s="1" t="n">
        <v>45323.40850694444</v>
      </c>
      <c r="C11377" s="1" t="n">
        <v>46075</v>
      </c>
      <c r="D11377" t="inlineStr">
        <is>
          <t>VÄSTERBOTTENS LÄN</t>
        </is>
      </c>
      <c r="E11377" t="inlineStr">
        <is>
          <t>SKELLEFTEÅ</t>
        </is>
      </c>
      <c r="G11377" t="n">
        <v>0.8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43496-2024</t>
        </is>
      </c>
      <c r="B11378" s="1" t="n">
        <v>45568.93936342592</v>
      </c>
      <c r="C11378" s="1" t="n">
        <v>46075</v>
      </c>
      <c r="D11378" t="inlineStr">
        <is>
          <t>VÄSTERBOTTENS LÄN</t>
        </is>
      </c>
      <c r="E11378" t="inlineStr">
        <is>
          <t>VINDELN</t>
        </is>
      </c>
      <c r="G11378" t="n">
        <v>2.2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44295-2023</t>
        </is>
      </c>
      <c r="B11379" s="1" t="n">
        <v>45188.64064814815</v>
      </c>
      <c r="C11379" s="1" t="n">
        <v>46075</v>
      </c>
      <c r="D11379" t="inlineStr">
        <is>
          <t>VÄSTERBOTTENS LÄN</t>
        </is>
      </c>
      <c r="E11379" t="inlineStr">
        <is>
          <t>VÄNNÄS</t>
        </is>
      </c>
      <c r="G11379" t="n">
        <v>0.6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44310-2023</t>
        </is>
      </c>
      <c r="B11380" s="1" t="n">
        <v>45187</v>
      </c>
      <c r="C11380" s="1" t="n">
        <v>46075</v>
      </c>
      <c r="D11380" t="inlineStr">
        <is>
          <t>VÄSTERBOTTENS LÄN</t>
        </is>
      </c>
      <c r="E11380" t="inlineStr">
        <is>
          <t>NORSJÖ</t>
        </is>
      </c>
      <c r="G11380" t="n">
        <v>1.9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55634-2023</t>
        </is>
      </c>
      <c r="B11381" s="1" t="n">
        <v>45238</v>
      </c>
      <c r="C11381" s="1" t="n">
        <v>46075</v>
      </c>
      <c r="D11381" t="inlineStr">
        <is>
          <t>VÄSTERBOTTENS LÄN</t>
        </is>
      </c>
      <c r="E11381" t="inlineStr">
        <is>
          <t>NORDMALING</t>
        </is>
      </c>
      <c r="G11381" t="n">
        <v>2.7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16945-2025</t>
        </is>
      </c>
      <c r="B11382" s="1" t="n">
        <v>45755.42978009259</v>
      </c>
      <c r="C11382" s="1" t="n">
        <v>46075</v>
      </c>
      <c r="D11382" t="inlineStr">
        <is>
          <t>VÄSTERBOTTENS LÄN</t>
        </is>
      </c>
      <c r="E11382" t="inlineStr">
        <is>
          <t>UMEÅ</t>
        </is>
      </c>
      <c r="F11382" t="inlineStr">
        <is>
          <t>Holmen skog AB</t>
        </is>
      </c>
      <c r="G11382" t="n">
        <v>1.8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34630-2024</t>
        </is>
      </c>
      <c r="B11383" s="1" t="n">
        <v>45526.46234953704</v>
      </c>
      <c r="C11383" s="1" t="n">
        <v>46075</v>
      </c>
      <c r="D11383" t="inlineStr">
        <is>
          <t>VÄSTERBOTTENS LÄN</t>
        </is>
      </c>
      <c r="E11383" t="inlineStr">
        <is>
          <t>VILHELMINA</t>
        </is>
      </c>
      <c r="F11383" t="inlineStr">
        <is>
          <t>SCA</t>
        </is>
      </c>
      <c r="G11383" t="n">
        <v>0.6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55720-2023</t>
        </is>
      </c>
      <c r="B11384" s="1" t="n">
        <v>45232</v>
      </c>
      <c r="C11384" s="1" t="n">
        <v>46075</v>
      </c>
      <c r="D11384" t="inlineStr">
        <is>
          <t>VÄSTERBOTTENS LÄN</t>
        </is>
      </c>
      <c r="E11384" t="inlineStr">
        <is>
          <t>VILHELMINA</t>
        </is>
      </c>
      <c r="G11384" t="n">
        <v>0.8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57769-2023</t>
        </is>
      </c>
      <c r="B11385" s="1" t="n">
        <v>45246.9253587963</v>
      </c>
      <c r="C11385" s="1" t="n">
        <v>46075</v>
      </c>
      <c r="D11385" t="inlineStr">
        <is>
          <t>VÄSTERBOTTENS LÄN</t>
        </is>
      </c>
      <c r="E11385" t="inlineStr">
        <is>
          <t>STORUMAN</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34635-2024</t>
        </is>
      </c>
      <c r="B11386" s="1" t="n">
        <v>45526.47052083333</v>
      </c>
      <c r="C11386" s="1" t="n">
        <v>46075</v>
      </c>
      <c r="D11386" t="inlineStr">
        <is>
          <t>VÄSTERBOTTENS LÄN</t>
        </is>
      </c>
      <c r="E11386" t="inlineStr">
        <is>
          <t>LYCKSELE</t>
        </is>
      </c>
      <c r="F11386" t="inlineStr">
        <is>
          <t>Holmen skog AB</t>
        </is>
      </c>
      <c r="G11386" t="n">
        <v>0.7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28367-2022</t>
        </is>
      </c>
      <c r="B11387" s="1" t="n">
        <v>44747</v>
      </c>
      <c r="C11387" s="1" t="n">
        <v>46075</v>
      </c>
      <c r="D11387" t="inlineStr">
        <is>
          <t>VÄSTERBOTTENS LÄN</t>
        </is>
      </c>
      <c r="E11387" t="inlineStr">
        <is>
          <t>VÄNNÄS</t>
        </is>
      </c>
      <c r="G11387" t="n">
        <v>2.7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21590-2023</t>
        </is>
      </c>
      <c r="B11388" s="1" t="n">
        <v>45063</v>
      </c>
      <c r="C11388" s="1" t="n">
        <v>46075</v>
      </c>
      <c r="D11388" t="inlineStr">
        <is>
          <t>VÄSTERBOTTENS LÄN</t>
        </is>
      </c>
      <c r="E11388" t="inlineStr">
        <is>
          <t>SORSELE</t>
        </is>
      </c>
      <c r="G11388" t="n">
        <v>54.1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41667-2024</t>
        </is>
      </c>
      <c r="B11389" s="1" t="n">
        <v>45560</v>
      </c>
      <c r="C11389" s="1" t="n">
        <v>46075</v>
      </c>
      <c r="D11389" t="inlineStr">
        <is>
          <t>VÄSTERBOTTENS LÄN</t>
        </is>
      </c>
      <c r="E11389" t="inlineStr">
        <is>
          <t>VINDELN</t>
        </is>
      </c>
      <c r="F11389" t="inlineStr">
        <is>
          <t>Holmen skog AB</t>
        </is>
      </c>
      <c r="G11389" t="n">
        <v>2.7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43974-2024</t>
        </is>
      </c>
      <c r="B11390" s="1" t="n">
        <v>45572</v>
      </c>
      <c r="C11390" s="1" t="n">
        <v>46075</v>
      </c>
      <c r="D11390" t="inlineStr">
        <is>
          <t>VÄSTERBOTTENS LÄN</t>
        </is>
      </c>
      <c r="E11390" t="inlineStr">
        <is>
          <t>UMEÅ</t>
        </is>
      </c>
      <c r="G11390" t="n">
        <v>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23325-2023</t>
        </is>
      </c>
      <c r="B11391" s="1" t="n">
        <v>45076</v>
      </c>
      <c r="C11391" s="1" t="n">
        <v>46075</v>
      </c>
      <c r="D11391" t="inlineStr">
        <is>
          <t>VÄSTERBOTTENS LÄN</t>
        </is>
      </c>
      <c r="E11391" t="inlineStr">
        <is>
          <t>BJURHOLM</t>
        </is>
      </c>
      <c r="G11391" t="n">
        <v>3.3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16294-2022</t>
        </is>
      </c>
      <c r="B11392" s="1" t="n">
        <v>44670.54792824074</v>
      </c>
      <c r="C11392" s="1" t="n">
        <v>46075</v>
      </c>
      <c r="D11392" t="inlineStr">
        <is>
          <t>VÄSTERBOTTENS LÄN</t>
        </is>
      </c>
      <c r="E11392" t="inlineStr">
        <is>
          <t>NORSJÖ</t>
        </is>
      </c>
      <c r="G11392" t="n">
        <v>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29347-2023</t>
        </is>
      </c>
      <c r="B11393" s="1" t="n">
        <v>45105.94494212963</v>
      </c>
      <c r="C11393" s="1" t="n">
        <v>46075</v>
      </c>
      <c r="D11393" t="inlineStr">
        <is>
          <t>VÄSTERBOTTENS LÄN</t>
        </is>
      </c>
      <c r="E11393" t="inlineStr">
        <is>
          <t>VINDELN</t>
        </is>
      </c>
      <c r="F11393" t="inlineStr">
        <is>
          <t>SCA</t>
        </is>
      </c>
      <c r="G11393" t="n">
        <v>9.4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47635-2024</t>
        </is>
      </c>
      <c r="B11394" s="1" t="n">
        <v>45588.35972222222</v>
      </c>
      <c r="C11394" s="1" t="n">
        <v>46075</v>
      </c>
      <c r="D11394" t="inlineStr">
        <is>
          <t>VÄSTERBOTTENS LÄN</t>
        </is>
      </c>
      <c r="E11394" t="inlineStr">
        <is>
          <t>NORDMALING</t>
        </is>
      </c>
      <c r="G11394" t="n">
        <v>1.9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47686-2024</t>
        </is>
      </c>
      <c r="B11395" s="1" t="n">
        <v>45588.42978009259</v>
      </c>
      <c r="C11395" s="1" t="n">
        <v>46075</v>
      </c>
      <c r="D11395" t="inlineStr">
        <is>
          <t>VÄSTERBOTTENS LÄN</t>
        </is>
      </c>
      <c r="E11395" t="inlineStr">
        <is>
          <t>SKELLEFTEÅ</t>
        </is>
      </c>
      <c r="F11395" t="inlineStr">
        <is>
          <t>Holmen skog AB</t>
        </is>
      </c>
      <c r="G11395" t="n">
        <v>12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9860-2022</t>
        </is>
      </c>
      <c r="B11396" s="1" t="n">
        <v>44620</v>
      </c>
      <c r="C11396" s="1" t="n">
        <v>46075</v>
      </c>
      <c r="D11396" t="inlineStr">
        <is>
          <t>VÄSTERBOTTENS LÄN</t>
        </is>
      </c>
      <c r="E11396" t="inlineStr">
        <is>
          <t>NORDMALING</t>
        </is>
      </c>
      <c r="G11396" t="n">
        <v>82.40000000000001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61406-2024</t>
        </is>
      </c>
      <c r="B11397" s="1" t="n">
        <v>45646.43638888889</v>
      </c>
      <c r="C11397" s="1" t="n">
        <v>46075</v>
      </c>
      <c r="D11397" t="inlineStr">
        <is>
          <t>VÄSTERBOTTENS LÄN</t>
        </is>
      </c>
      <c r="E11397" t="inlineStr">
        <is>
          <t>ROBERTSFORS</t>
        </is>
      </c>
      <c r="G11397" t="n">
        <v>4.2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34615-2024</t>
        </is>
      </c>
      <c r="B11398" s="1" t="n">
        <v>45526.41416666667</v>
      </c>
      <c r="C11398" s="1" t="n">
        <v>46075</v>
      </c>
      <c r="D11398" t="inlineStr">
        <is>
          <t>VÄSTERBOTTENS LÄN</t>
        </is>
      </c>
      <c r="E11398" t="inlineStr">
        <is>
          <t>SKELLEFTEÅ</t>
        </is>
      </c>
      <c r="F11398" t="inlineStr">
        <is>
          <t>Holmen skog AB</t>
        </is>
      </c>
      <c r="G11398" t="n">
        <v>2.7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12189-2024</t>
        </is>
      </c>
      <c r="B11399" s="1" t="n">
        <v>45377.94945601852</v>
      </c>
      <c r="C11399" s="1" t="n">
        <v>46075</v>
      </c>
      <c r="D11399" t="inlineStr">
        <is>
          <t>VÄSTERBOTTENS LÄN</t>
        </is>
      </c>
      <c r="E11399" t="inlineStr">
        <is>
          <t>VILHELMINA</t>
        </is>
      </c>
      <c r="F11399" t="inlineStr">
        <is>
          <t>SCA</t>
        </is>
      </c>
      <c r="G11399" t="n">
        <v>2.8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20340-2025</t>
        </is>
      </c>
      <c r="B11400" s="1" t="n">
        <v>45775.36581018518</v>
      </c>
      <c r="C11400" s="1" t="n">
        <v>46075</v>
      </c>
      <c r="D11400" t="inlineStr">
        <is>
          <t>VÄSTERBOTTENS LÄN</t>
        </is>
      </c>
      <c r="E11400" t="inlineStr">
        <is>
          <t>SKELLEFTEÅ</t>
        </is>
      </c>
      <c r="G11400" t="n">
        <v>12.5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20432-2025</t>
        </is>
      </c>
      <c r="B11401" s="1" t="n">
        <v>45775.47893518519</v>
      </c>
      <c r="C11401" s="1" t="n">
        <v>46075</v>
      </c>
      <c r="D11401" t="inlineStr">
        <is>
          <t>VÄSTERBOTTENS LÄN</t>
        </is>
      </c>
      <c r="E11401" t="inlineStr">
        <is>
          <t>VÄNNÄS</t>
        </is>
      </c>
      <c r="G11401" t="n">
        <v>2.8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17885-2023</t>
        </is>
      </c>
      <c r="B11402" s="1" t="n">
        <v>45037</v>
      </c>
      <c r="C11402" s="1" t="n">
        <v>46075</v>
      </c>
      <c r="D11402" t="inlineStr">
        <is>
          <t>VÄSTERBOTTENS LÄN</t>
        </is>
      </c>
      <c r="E11402" t="inlineStr">
        <is>
          <t>ÅSELE</t>
        </is>
      </c>
      <c r="G11402" t="n">
        <v>7.6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19029-2025</t>
        </is>
      </c>
      <c r="B11403" s="1" t="n">
        <v>45764.6515162037</v>
      </c>
      <c r="C11403" s="1" t="n">
        <v>46075</v>
      </c>
      <c r="D11403" t="inlineStr">
        <is>
          <t>VÄSTERBOTTENS LÄN</t>
        </is>
      </c>
      <c r="E11403" t="inlineStr">
        <is>
          <t>NORDMALING</t>
        </is>
      </c>
      <c r="G11403" t="n">
        <v>4.5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19038-2025</t>
        </is>
      </c>
      <c r="B11404" s="1" t="n">
        <v>45764.67561342593</v>
      </c>
      <c r="C11404" s="1" t="n">
        <v>46075</v>
      </c>
      <c r="D11404" t="inlineStr">
        <is>
          <t>VÄSTERBOTTENS LÄN</t>
        </is>
      </c>
      <c r="E11404" t="inlineStr">
        <is>
          <t>NORDMALING</t>
        </is>
      </c>
      <c r="G11404" t="n">
        <v>2.3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58247-2022</t>
        </is>
      </c>
      <c r="B11405" s="1" t="n">
        <v>44893</v>
      </c>
      <c r="C11405" s="1" t="n">
        <v>46075</v>
      </c>
      <c r="D11405" t="inlineStr">
        <is>
          <t>VÄSTERBOTTENS LÄN</t>
        </is>
      </c>
      <c r="E11405" t="inlineStr">
        <is>
          <t>SORSELE</t>
        </is>
      </c>
      <c r="G11405" t="n">
        <v>0.9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58250-2022</t>
        </is>
      </c>
      <c r="B11406" s="1" t="n">
        <v>44894</v>
      </c>
      <c r="C11406" s="1" t="n">
        <v>46075</v>
      </c>
      <c r="D11406" t="inlineStr">
        <is>
          <t>VÄSTERBOTTENS LÄN</t>
        </is>
      </c>
      <c r="E11406" t="inlineStr">
        <is>
          <t>SKELLEFTEÅ</t>
        </is>
      </c>
      <c r="G11406" t="n">
        <v>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18232-2024</t>
        </is>
      </c>
      <c r="B11407" s="1" t="n">
        <v>45420</v>
      </c>
      <c r="C11407" s="1" t="n">
        <v>46075</v>
      </c>
      <c r="D11407" t="inlineStr">
        <is>
          <t>VÄSTERBOTTENS LÄN</t>
        </is>
      </c>
      <c r="E11407" t="inlineStr">
        <is>
          <t>NORDMALING</t>
        </is>
      </c>
      <c r="F11407" t="inlineStr">
        <is>
          <t>SCA</t>
        </is>
      </c>
      <c r="G11407" t="n">
        <v>1.6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58008-2024</t>
        </is>
      </c>
      <c r="B11408" s="1" t="n">
        <v>45631.65482638889</v>
      </c>
      <c r="C11408" s="1" t="n">
        <v>46075</v>
      </c>
      <c r="D11408" t="inlineStr">
        <is>
          <t>VÄSTERBOTTENS LÄN</t>
        </is>
      </c>
      <c r="E11408" t="inlineStr">
        <is>
          <t>SKELLEFTEÅ</t>
        </is>
      </c>
      <c r="G11408" t="n">
        <v>2.5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25237-2023</t>
        </is>
      </c>
      <c r="B11409" s="1" t="n">
        <v>45079</v>
      </c>
      <c r="C11409" s="1" t="n">
        <v>46075</v>
      </c>
      <c r="D11409" t="inlineStr">
        <is>
          <t>VÄSTERBOTTENS LÄN</t>
        </is>
      </c>
      <c r="E11409" t="inlineStr">
        <is>
          <t>SKELLEFTEÅ</t>
        </is>
      </c>
      <c r="G11409" t="n">
        <v>1.1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11525-2024</t>
        </is>
      </c>
      <c r="B11410" s="1" t="n">
        <v>45372</v>
      </c>
      <c r="C11410" s="1" t="n">
        <v>46075</v>
      </c>
      <c r="D11410" t="inlineStr">
        <is>
          <t>VÄSTERBOTTENS LÄN</t>
        </is>
      </c>
      <c r="E11410" t="inlineStr">
        <is>
          <t>SKELLEFTEÅ</t>
        </is>
      </c>
      <c r="G11410" t="n">
        <v>1.5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32969-2021</t>
        </is>
      </c>
      <c r="B11411" s="1" t="n">
        <v>44376</v>
      </c>
      <c r="C11411" s="1" t="n">
        <v>46075</v>
      </c>
      <c r="D11411" t="inlineStr">
        <is>
          <t>VÄSTERBOTTENS LÄN</t>
        </is>
      </c>
      <c r="E11411" t="inlineStr">
        <is>
          <t>VINDELN</t>
        </is>
      </c>
      <c r="G11411" t="n">
        <v>14.4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38940-2022</t>
        </is>
      </c>
      <c r="B11412" s="1" t="n">
        <v>44816</v>
      </c>
      <c r="C11412" s="1" t="n">
        <v>46075</v>
      </c>
      <c r="D11412" t="inlineStr">
        <is>
          <t>VÄSTERBOTTENS LÄN</t>
        </is>
      </c>
      <c r="E11412" t="inlineStr">
        <is>
          <t>SKELLEFTEÅ</t>
        </is>
      </c>
      <c r="G11412" t="n">
        <v>0.8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38956-2022</t>
        </is>
      </c>
      <c r="B11413" s="1" t="n">
        <v>44816</v>
      </c>
      <c r="C11413" s="1" t="n">
        <v>46075</v>
      </c>
      <c r="D11413" t="inlineStr">
        <is>
          <t>VÄSTERBOTTENS LÄN</t>
        </is>
      </c>
      <c r="E11413" t="inlineStr">
        <is>
          <t>VÄNNÄS</t>
        </is>
      </c>
      <c r="G11413" t="n">
        <v>2.3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32709-2024</t>
        </is>
      </c>
      <c r="B11414" s="1" t="n">
        <v>45516.3629050926</v>
      </c>
      <c r="C11414" s="1" t="n">
        <v>46075</v>
      </c>
      <c r="D11414" t="inlineStr">
        <is>
          <t>VÄSTERBOTTENS LÄN</t>
        </is>
      </c>
      <c r="E11414" t="inlineStr">
        <is>
          <t>SKELLEFTEÅ</t>
        </is>
      </c>
      <c r="F11414" t="inlineStr">
        <is>
          <t>Holmen skog AB</t>
        </is>
      </c>
      <c r="G11414" t="n">
        <v>8.9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28610-2021</t>
        </is>
      </c>
      <c r="B11415" s="1" t="n">
        <v>44356.93482638889</v>
      </c>
      <c r="C11415" s="1" t="n">
        <v>46075</v>
      </c>
      <c r="D11415" t="inlineStr">
        <is>
          <t>VÄSTERBOTTENS LÄN</t>
        </is>
      </c>
      <c r="E11415" t="inlineStr">
        <is>
          <t>ÅSELE</t>
        </is>
      </c>
      <c r="F11415" t="inlineStr">
        <is>
          <t>SCA</t>
        </is>
      </c>
      <c r="G11415" t="n">
        <v>2.1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54680-2024</t>
        </is>
      </c>
      <c r="B11416" s="1" t="n">
        <v>45618.3540162037</v>
      </c>
      <c r="C11416" s="1" t="n">
        <v>46075</v>
      </c>
      <c r="D11416" t="inlineStr">
        <is>
          <t>VÄSTERBOTTENS LÄN</t>
        </is>
      </c>
      <c r="E11416" t="inlineStr">
        <is>
          <t>LYCKSELE</t>
        </is>
      </c>
      <c r="F11416" t="inlineStr">
        <is>
          <t>Sveaskog</t>
        </is>
      </c>
      <c r="G11416" t="n">
        <v>3.2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8917-2023</t>
        </is>
      </c>
      <c r="B11417" s="1" t="n">
        <v>44979.3956712963</v>
      </c>
      <c r="C11417" s="1" t="n">
        <v>46075</v>
      </c>
      <c r="D11417" t="inlineStr">
        <is>
          <t>VÄSTERBOTTENS LÄN</t>
        </is>
      </c>
      <c r="E11417" t="inlineStr">
        <is>
          <t>LYCKSELE</t>
        </is>
      </c>
      <c r="G11417" t="n">
        <v>12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43651-2023</t>
        </is>
      </c>
      <c r="B11418" s="1" t="n">
        <v>45187.32118055555</v>
      </c>
      <c r="C11418" s="1" t="n">
        <v>46075</v>
      </c>
      <c r="D11418" t="inlineStr">
        <is>
          <t>VÄSTERBOTTENS LÄN</t>
        </is>
      </c>
      <c r="E11418" t="inlineStr">
        <is>
          <t>NORDMALING</t>
        </is>
      </c>
      <c r="G11418" t="n">
        <v>5.5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26926-2024</t>
        </is>
      </c>
      <c r="B11419" s="1" t="n">
        <v>45470</v>
      </c>
      <c r="C11419" s="1" t="n">
        <v>46075</v>
      </c>
      <c r="D11419" t="inlineStr">
        <is>
          <t>VÄSTERBOTTENS LÄN</t>
        </is>
      </c>
      <c r="E11419" t="inlineStr">
        <is>
          <t>NORSJÖ</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58450-2024</t>
        </is>
      </c>
      <c r="B11420" s="1" t="n">
        <v>45635.34425925926</v>
      </c>
      <c r="C11420" s="1" t="n">
        <v>46075</v>
      </c>
      <c r="D11420" t="inlineStr">
        <is>
          <t>VÄSTERBOTTENS LÄN</t>
        </is>
      </c>
      <c r="E11420" t="inlineStr">
        <is>
          <t>VILHELMINA</t>
        </is>
      </c>
      <c r="F11420" t="inlineStr">
        <is>
          <t>SCA</t>
        </is>
      </c>
      <c r="G11420" t="n">
        <v>2.9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8759-2023</t>
        </is>
      </c>
      <c r="B11421" s="1" t="n">
        <v>44972</v>
      </c>
      <c r="C11421" s="1" t="n">
        <v>46075</v>
      </c>
      <c r="D11421" t="inlineStr">
        <is>
          <t>VÄSTERBOTTENS LÄN</t>
        </is>
      </c>
      <c r="E11421" t="inlineStr">
        <is>
          <t>VILHELMINA</t>
        </is>
      </c>
      <c r="F11421" t="inlineStr">
        <is>
          <t>Allmännings- och besparingsskogar</t>
        </is>
      </c>
      <c r="G11421" t="n">
        <v>23.4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32921-2024</t>
        </is>
      </c>
      <c r="B11422" s="1" t="n">
        <v>45516.9525462963</v>
      </c>
      <c r="C11422" s="1" t="n">
        <v>46075</v>
      </c>
      <c r="D11422" t="inlineStr">
        <is>
          <t>VÄSTERBOTTENS LÄN</t>
        </is>
      </c>
      <c r="E11422" t="inlineStr">
        <is>
          <t>VILHELMINA</t>
        </is>
      </c>
      <c r="F11422" t="inlineStr">
        <is>
          <t>SCA</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27595-2023</t>
        </is>
      </c>
      <c r="B11423" s="1" t="n">
        <v>45097</v>
      </c>
      <c r="C11423" s="1" t="n">
        <v>46075</v>
      </c>
      <c r="D11423" t="inlineStr">
        <is>
          <t>VÄSTERBOTTENS LÄN</t>
        </is>
      </c>
      <c r="E11423" t="inlineStr">
        <is>
          <t>LYCKSELE</t>
        </is>
      </c>
      <c r="F11423" t="inlineStr">
        <is>
          <t>Holmen skog AB</t>
        </is>
      </c>
      <c r="G11423" t="n">
        <v>1.3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18819-2023</t>
        </is>
      </c>
      <c r="B11424" s="1" t="n">
        <v>45044</v>
      </c>
      <c r="C11424" s="1" t="n">
        <v>46075</v>
      </c>
      <c r="D11424" t="inlineStr">
        <is>
          <t>VÄSTERBOTTENS LÄN</t>
        </is>
      </c>
      <c r="E11424" t="inlineStr">
        <is>
          <t>SKELLEFTEÅ</t>
        </is>
      </c>
      <c r="G11424" t="n">
        <v>3.5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32788-2024</t>
        </is>
      </c>
      <c r="B11425" s="1" t="n">
        <v>45516.5365625</v>
      </c>
      <c r="C11425" s="1" t="n">
        <v>46075</v>
      </c>
      <c r="D11425" t="inlineStr">
        <is>
          <t>VÄSTERBOTTENS LÄN</t>
        </is>
      </c>
      <c r="E11425" t="inlineStr">
        <is>
          <t>UMEÅ</t>
        </is>
      </c>
      <c r="G11425" t="n">
        <v>1.3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237-2025</t>
        </is>
      </c>
      <c r="B11426" s="1" t="n">
        <v>45660.40270833333</v>
      </c>
      <c r="C11426" s="1" t="n">
        <v>46075</v>
      </c>
      <c r="D11426" t="inlineStr">
        <is>
          <t>VÄSTERBOTTENS LÄN</t>
        </is>
      </c>
      <c r="E11426" t="inlineStr">
        <is>
          <t>VILHELMINA</t>
        </is>
      </c>
      <c r="G11426" t="n">
        <v>4.6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242-2025</t>
        </is>
      </c>
      <c r="B11427" s="1" t="n">
        <v>45660.41033564815</v>
      </c>
      <c r="C11427" s="1" t="n">
        <v>46075</v>
      </c>
      <c r="D11427" t="inlineStr">
        <is>
          <t>VÄSTERBOTTENS LÄN</t>
        </is>
      </c>
      <c r="E11427" t="inlineStr">
        <is>
          <t>VILHELMINA</t>
        </is>
      </c>
      <c r="G11427" t="n">
        <v>2.7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1815-2025</t>
        </is>
      </c>
      <c r="B11428" s="1" t="n">
        <v>45671</v>
      </c>
      <c r="C11428" s="1" t="n">
        <v>46075</v>
      </c>
      <c r="D11428" t="inlineStr">
        <is>
          <t>VÄSTERBOTTENS LÄN</t>
        </is>
      </c>
      <c r="E11428" t="inlineStr">
        <is>
          <t>ROBERTSFORS</t>
        </is>
      </c>
      <c r="G11428" t="n">
        <v>0.3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2608-2024</t>
        </is>
      </c>
      <c r="B11429" s="1" t="n">
        <v>45313.76722222222</v>
      </c>
      <c r="C11429" s="1" t="n">
        <v>46075</v>
      </c>
      <c r="D11429" t="inlineStr">
        <is>
          <t>VÄSTERBOTTENS LÄN</t>
        </is>
      </c>
      <c r="E11429" t="inlineStr">
        <is>
          <t>ÅSELE</t>
        </is>
      </c>
      <c r="F11429" t="inlineStr">
        <is>
          <t>Övriga Aktiebolag</t>
        </is>
      </c>
      <c r="G11429" t="n">
        <v>20.6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55870-2022</t>
        </is>
      </c>
      <c r="B11430" s="1" t="n">
        <v>44888</v>
      </c>
      <c r="C11430" s="1" t="n">
        <v>46075</v>
      </c>
      <c r="D11430" t="inlineStr">
        <is>
          <t>VÄSTERBOTTENS LÄN</t>
        </is>
      </c>
      <c r="E11430" t="inlineStr">
        <is>
          <t>VILHELMINA</t>
        </is>
      </c>
      <c r="G11430" t="n">
        <v>13.6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460-2025</t>
        </is>
      </c>
      <c r="B11431" s="1" t="n">
        <v>45664.41229166667</v>
      </c>
      <c r="C11431" s="1" t="n">
        <v>46075</v>
      </c>
      <c r="D11431" t="inlineStr">
        <is>
          <t>VÄSTERBOTTENS LÄN</t>
        </is>
      </c>
      <c r="E11431" t="inlineStr">
        <is>
          <t>DOROTEA</t>
        </is>
      </c>
      <c r="G11431" t="n">
        <v>1.3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51810-2024</t>
        </is>
      </c>
      <c r="B11432" s="1" t="n">
        <v>45607.48707175926</v>
      </c>
      <c r="C11432" s="1" t="n">
        <v>46075</v>
      </c>
      <c r="D11432" t="inlineStr">
        <is>
          <t>VÄSTERBOTTENS LÄN</t>
        </is>
      </c>
      <c r="E11432" t="inlineStr">
        <is>
          <t>SKELLEFTEÅ</t>
        </is>
      </c>
      <c r="G11432" t="n">
        <v>9.699999999999999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6682-2024</t>
        </is>
      </c>
      <c r="B11433" s="1" t="n">
        <v>45341.92533564815</v>
      </c>
      <c r="C11433" s="1" t="n">
        <v>46075</v>
      </c>
      <c r="D11433" t="inlineStr">
        <is>
          <t>VÄSTERBOTTENS LÄN</t>
        </is>
      </c>
      <c r="E11433" t="inlineStr">
        <is>
          <t>ÅSELE</t>
        </is>
      </c>
      <c r="G11433" t="n">
        <v>0.4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46480-2024</t>
        </is>
      </c>
      <c r="B11434" s="1" t="n">
        <v>45582.57158564815</v>
      </c>
      <c r="C11434" s="1" t="n">
        <v>46075</v>
      </c>
      <c r="D11434" t="inlineStr">
        <is>
          <t>VÄSTERBOTTENS LÄN</t>
        </is>
      </c>
      <c r="E11434" t="inlineStr">
        <is>
          <t>SKELLEFTEÅ</t>
        </is>
      </c>
      <c r="G11434" t="n">
        <v>2.8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47482-2024</t>
        </is>
      </c>
      <c r="B11435" s="1" t="n">
        <v>45587.5822337963</v>
      </c>
      <c r="C11435" s="1" t="n">
        <v>46075</v>
      </c>
      <c r="D11435" t="inlineStr">
        <is>
          <t>VÄSTERBOTTENS LÄN</t>
        </is>
      </c>
      <c r="E11435" t="inlineStr">
        <is>
          <t>NORDMALING</t>
        </is>
      </c>
      <c r="G11435" t="n">
        <v>8.1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73557-2021</t>
        </is>
      </c>
      <c r="B11436" s="1" t="n">
        <v>44551.9203125</v>
      </c>
      <c r="C11436" s="1" t="n">
        <v>46075</v>
      </c>
      <c r="D11436" t="inlineStr">
        <is>
          <t>VÄSTERBOTTENS LÄN</t>
        </is>
      </c>
      <c r="E11436" t="inlineStr">
        <is>
          <t>ROBERTSFORS</t>
        </is>
      </c>
      <c r="G11436" t="n">
        <v>1.8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5790-2023</t>
        </is>
      </c>
      <c r="B11437" s="1" t="n">
        <v>44963.44527777778</v>
      </c>
      <c r="C11437" s="1" t="n">
        <v>46075</v>
      </c>
      <c r="D11437" t="inlineStr">
        <is>
          <t>VÄSTERBOTTENS LÄN</t>
        </is>
      </c>
      <c r="E11437" t="inlineStr">
        <is>
          <t>NORSJÖ</t>
        </is>
      </c>
      <c r="G11437" t="n">
        <v>12.1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46817-2022</t>
        </is>
      </c>
      <c r="B11438" s="1" t="n">
        <v>44848</v>
      </c>
      <c r="C11438" s="1" t="n">
        <v>46075</v>
      </c>
      <c r="D11438" t="inlineStr">
        <is>
          <t>VÄSTERBOTTENS LÄN</t>
        </is>
      </c>
      <c r="E11438" t="inlineStr">
        <is>
          <t>DOROTEA</t>
        </is>
      </c>
      <c r="G11438" t="n">
        <v>29.8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22852-2023</t>
        </is>
      </c>
      <c r="B11439" s="1" t="n">
        <v>45072.47021990741</v>
      </c>
      <c r="C11439" s="1" t="n">
        <v>46075</v>
      </c>
      <c r="D11439" t="inlineStr">
        <is>
          <t>VÄSTERBOTTENS LÄN</t>
        </is>
      </c>
      <c r="E11439" t="inlineStr">
        <is>
          <t>BJURHOLM</t>
        </is>
      </c>
      <c r="G11439" t="n">
        <v>0.2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19401-2023</t>
        </is>
      </c>
      <c r="B11440" s="1" t="n">
        <v>45048</v>
      </c>
      <c r="C11440" s="1" t="n">
        <v>46075</v>
      </c>
      <c r="D11440" t="inlineStr">
        <is>
          <t>VÄSTERBOTTENS LÄN</t>
        </is>
      </c>
      <c r="E11440" t="inlineStr">
        <is>
          <t>VILHELMINA</t>
        </is>
      </c>
      <c r="G11440" t="n">
        <v>5.4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40756-2023</t>
        </is>
      </c>
      <c r="B11441" s="1" t="n">
        <v>45170</v>
      </c>
      <c r="C11441" s="1" t="n">
        <v>46075</v>
      </c>
      <c r="D11441" t="inlineStr">
        <is>
          <t>VÄSTERBOTTENS LÄN</t>
        </is>
      </c>
      <c r="E11441" t="inlineStr">
        <is>
          <t>NORSJÖ</t>
        </is>
      </c>
      <c r="G11441" t="n">
        <v>0.8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27457-2024</t>
        </is>
      </c>
      <c r="B11442" s="1" t="n">
        <v>45474.43996527778</v>
      </c>
      <c r="C11442" s="1" t="n">
        <v>46075</v>
      </c>
      <c r="D11442" t="inlineStr">
        <is>
          <t>VÄSTERBOTTENS LÄN</t>
        </is>
      </c>
      <c r="E11442" t="inlineStr">
        <is>
          <t>NORSJÖ</t>
        </is>
      </c>
      <c r="F11442" t="inlineStr">
        <is>
          <t>Holmen skog AB</t>
        </is>
      </c>
      <c r="G11442" t="n">
        <v>20.6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18649-2025</t>
        </is>
      </c>
      <c r="B11443" s="1" t="n">
        <v>45763.57402777778</v>
      </c>
      <c r="C11443" s="1" t="n">
        <v>46075</v>
      </c>
      <c r="D11443" t="inlineStr">
        <is>
          <t>VÄSTERBOTTENS LÄN</t>
        </is>
      </c>
      <c r="E11443" t="inlineStr">
        <is>
          <t>NORDMALING</t>
        </is>
      </c>
      <c r="F11443" t="inlineStr">
        <is>
          <t>SCA</t>
        </is>
      </c>
      <c r="G11443" t="n">
        <v>3.5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32058-2024</t>
        </is>
      </c>
      <c r="B11444" s="1" t="n">
        <v>45510</v>
      </c>
      <c r="C11444" s="1" t="n">
        <v>46075</v>
      </c>
      <c r="D11444" t="inlineStr">
        <is>
          <t>VÄSTERBOTTENS LÄN</t>
        </is>
      </c>
      <c r="E11444" t="inlineStr">
        <is>
          <t>ÅSELE</t>
        </is>
      </c>
      <c r="F11444" t="inlineStr">
        <is>
          <t>SCA</t>
        </is>
      </c>
      <c r="G11444" t="n">
        <v>1.6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55743-2024</t>
        </is>
      </c>
      <c r="B11445" s="1" t="n">
        <v>45623.30952546297</v>
      </c>
      <c r="C11445" s="1" t="n">
        <v>46075</v>
      </c>
      <c r="D11445" t="inlineStr">
        <is>
          <t>VÄSTERBOTTENS LÄN</t>
        </is>
      </c>
      <c r="E11445" t="inlineStr">
        <is>
          <t>SKELLEFTEÅ</t>
        </is>
      </c>
      <c r="G11445" t="n">
        <v>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16663-2025</t>
        </is>
      </c>
      <c r="B11446" s="1" t="n">
        <v>45754.41936342593</v>
      </c>
      <c r="C11446" s="1" t="n">
        <v>46075</v>
      </c>
      <c r="D11446" t="inlineStr">
        <is>
          <t>VÄSTERBOTTENS LÄN</t>
        </is>
      </c>
      <c r="E11446" t="inlineStr">
        <is>
          <t>SKELLEFTEÅ</t>
        </is>
      </c>
      <c r="G11446" t="n">
        <v>8.300000000000001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16721-2025</t>
        </is>
      </c>
      <c r="B11447" s="1" t="n">
        <v>45754.49045138889</v>
      </c>
      <c r="C11447" s="1" t="n">
        <v>46075</v>
      </c>
      <c r="D11447" t="inlineStr">
        <is>
          <t>VÄSTERBOTTENS LÄN</t>
        </is>
      </c>
      <c r="E11447" t="inlineStr">
        <is>
          <t>VILHELMINA</t>
        </is>
      </c>
      <c r="F11447" t="inlineStr">
        <is>
          <t>SCA</t>
        </is>
      </c>
      <c r="G11447" t="n">
        <v>1.7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25122-2024</t>
        </is>
      </c>
      <c r="B11448" s="1" t="n">
        <v>45462.45252314815</v>
      </c>
      <c r="C11448" s="1" t="n">
        <v>46075</v>
      </c>
      <c r="D11448" t="inlineStr">
        <is>
          <t>VÄSTERBOTTENS LÄN</t>
        </is>
      </c>
      <c r="E11448" t="inlineStr">
        <is>
          <t>NORSJÖ</t>
        </is>
      </c>
      <c r="F11448" t="inlineStr">
        <is>
          <t>Sveaskog</t>
        </is>
      </c>
      <c r="G11448" t="n">
        <v>6.5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55615-2024</t>
        </is>
      </c>
      <c r="B11449" s="1" t="n">
        <v>45622.58969907407</v>
      </c>
      <c r="C11449" s="1" t="n">
        <v>46075</v>
      </c>
      <c r="D11449" t="inlineStr">
        <is>
          <t>VÄSTERBOTTENS LÄN</t>
        </is>
      </c>
      <c r="E11449" t="inlineStr">
        <is>
          <t>ÅSELE</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13035-2024</t>
        </is>
      </c>
      <c r="B11450" s="1" t="n">
        <v>45385</v>
      </c>
      <c r="C11450" s="1" t="n">
        <v>46075</v>
      </c>
      <c r="D11450" t="inlineStr">
        <is>
          <t>VÄSTERBOTTENS LÄN</t>
        </is>
      </c>
      <c r="E11450" t="inlineStr">
        <is>
          <t>DOROTEA</t>
        </is>
      </c>
      <c r="G11450" t="n">
        <v>5.2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53000-2024</t>
        </is>
      </c>
      <c r="B11451" s="1" t="n">
        <v>45611.38673611111</v>
      </c>
      <c r="C11451" s="1" t="n">
        <v>46075</v>
      </c>
      <c r="D11451" t="inlineStr">
        <is>
          <t>VÄSTERBOTTENS LÄN</t>
        </is>
      </c>
      <c r="E11451" t="inlineStr">
        <is>
          <t>SKELLEFTEÅ</t>
        </is>
      </c>
      <c r="G11451" t="n">
        <v>7.2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37658-2024</t>
        </is>
      </c>
      <c r="B11452" s="1" t="n">
        <v>45541.56019675926</v>
      </c>
      <c r="C11452" s="1" t="n">
        <v>46075</v>
      </c>
      <c r="D11452" t="inlineStr">
        <is>
          <t>VÄSTERBOTTENS LÄN</t>
        </is>
      </c>
      <c r="E11452" t="inlineStr">
        <is>
          <t>LYCKSELE</t>
        </is>
      </c>
      <c r="F11452" t="inlineStr">
        <is>
          <t>Holmen skog AB</t>
        </is>
      </c>
      <c r="G11452" t="n">
        <v>1.1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61467-2022</t>
        </is>
      </c>
      <c r="B11453" s="1" t="n">
        <v>44916</v>
      </c>
      <c r="C11453" s="1" t="n">
        <v>46075</v>
      </c>
      <c r="D11453" t="inlineStr">
        <is>
          <t>VÄSTERBOTTENS LÄN</t>
        </is>
      </c>
      <c r="E11453" t="inlineStr">
        <is>
          <t>SKELLEFTEÅ</t>
        </is>
      </c>
      <c r="G11453" t="n">
        <v>2.8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15108-2025</t>
        </is>
      </c>
      <c r="B11454" s="1" t="n">
        <v>45744</v>
      </c>
      <c r="C11454" s="1" t="n">
        <v>46075</v>
      </c>
      <c r="D11454" t="inlineStr">
        <is>
          <t>VÄSTERBOTTENS LÄN</t>
        </is>
      </c>
      <c r="E11454" t="inlineStr">
        <is>
          <t>ROBERTSFORS</t>
        </is>
      </c>
      <c r="G11454" t="n">
        <v>4.5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11184-2021</t>
        </is>
      </c>
      <c r="B11455" s="1" t="n">
        <v>44263.27416666667</v>
      </c>
      <c r="C11455" s="1" t="n">
        <v>46075</v>
      </c>
      <c r="D11455" t="inlineStr">
        <is>
          <t>VÄSTERBOTTENS LÄN</t>
        </is>
      </c>
      <c r="E11455" t="inlineStr">
        <is>
          <t>ROBERTSFORS</t>
        </is>
      </c>
      <c r="G11455" t="n">
        <v>1.6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32662-2024</t>
        </is>
      </c>
      <c r="B11456" s="1" t="n">
        <v>45514.37979166667</v>
      </c>
      <c r="C11456" s="1" t="n">
        <v>46075</v>
      </c>
      <c r="D11456" t="inlineStr">
        <is>
          <t>VÄSTERBOTTENS LÄN</t>
        </is>
      </c>
      <c r="E11456" t="inlineStr">
        <is>
          <t>UMEÅ</t>
        </is>
      </c>
      <c r="F11456" t="inlineStr">
        <is>
          <t>Holmen skog AB</t>
        </is>
      </c>
      <c r="G11456" t="n">
        <v>5.3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32678-2024</t>
        </is>
      </c>
      <c r="B11457" s="1" t="n">
        <v>45514.96238425926</v>
      </c>
      <c r="C11457" s="1" t="n">
        <v>46075</v>
      </c>
      <c r="D11457" t="inlineStr">
        <is>
          <t>VÄSTERBOTTENS LÄN</t>
        </is>
      </c>
      <c r="E11457" t="inlineStr">
        <is>
          <t>VINDELN</t>
        </is>
      </c>
      <c r="F11457" t="inlineStr">
        <is>
          <t>SCA</t>
        </is>
      </c>
      <c r="G11457" t="n">
        <v>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29275-2022</t>
        </is>
      </c>
      <c r="B11458" s="1" t="n">
        <v>44750.674375</v>
      </c>
      <c r="C11458" s="1" t="n">
        <v>46075</v>
      </c>
      <c r="D11458" t="inlineStr">
        <is>
          <t>VÄSTERBOTTENS LÄN</t>
        </is>
      </c>
      <c r="E11458" t="inlineStr">
        <is>
          <t>NORSJÖ</t>
        </is>
      </c>
      <c r="F11458" t="inlineStr">
        <is>
          <t>Holmen skog AB</t>
        </is>
      </c>
      <c r="G11458" t="n">
        <v>2.1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12855-2025</t>
        </is>
      </c>
      <c r="B11459" s="1" t="n">
        <v>45733.66163194444</v>
      </c>
      <c r="C11459" s="1" t="n">
        <v>46075</v>
      </c>
      <c r="D11459" t="inlineStr">
        <is>
          <t>VÄSTERBOTTENS LÄN</t>
        </is>
      </c>
      <c r="E11459" t="inlineStr">
        <is>
          <t>SKELLEFTEÅ</t>
        </is>
      </c>
      <c r="G11459" t="n">
        <v>7.8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50287-2023</t>
        </is>
      </c>
      <c r="B11460" s="1" t="n">
        <v>45216</v>
      </c>
      <c r="C11460" s="1" t="n">
        <v>46075</v>
      </c>
      <c r="D11460" t="inlineStr">
        <is>
          <t>VÄSTERBOTTENS LÄN</t>
        </is>
      </c>
      <c r="E11460" t="inlineStr">
        <is>
          <t>UMEÅ</t>
        </is>
      </c>
      <c r="F11460" t="inlineStr">
        <is>
          <t>Holmen skog AB</t>
        </is>
      </c>
      <c r="G11460" t="n">
        <v>1.3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23295-2023</t>
        </is>
      </c>
      <c r="B11461" s="1" t="n">
        <v>45075</v>
      </c>
      <c r="C11461" s="1" t="n">
        <v>46075</v>
      </c>
      <c r="D11461" t="inlineStr">
        <is>
          <t>VÄSTERBOTTENS LÄN</t>
        </is>
      </c>
      <c r="E11461" t="inlineStr">
        <is>
          <t>LYCKSELE</t>
        </is>
      </c>
      <c r="F11461" t="inlineStr">
        <is>
          <t>SCA</t>
        </is>
      </c>
      <c r="G11461" t="n">
        <v>7.4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30439-2024</t>
        </is>
      </c>
      <c r="B11462" s="1" t="n">
        <v>45491.74201388889</v>
      </c>
      <c r="C11462" s="1" t="n">
        <v>46075</v>
      </c>
      <c r="D11462" t="inlineStr">
        <is>
          <t>VÄSTERBOTTENS LÄN</t>
        </is>
      </c>
      <c r="E11462" t="inlineStr">
        <is>
          <t>NORDMALING</t>
        </is>
      </c>
      <c r="G11462" t="n">
        <v>0.6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30636-2024</t>
        </is>
      </c>
      <c r="B11463" s="1" t="n">
        <v>45495.56212962963</v>
      </c>
      <c r="C11463" s="1" t="n">
        <v>46075</v>
      </c>
      <c r="D11463" t="inlineStr">
        <is>
          <t>VÄSTERBOTTENS LÄN</t>
        </is>
      </c>
      <c r="E11463" t="inlineStr">
        <is>
          <t>LYCKSELE</t>
        </is>
      </c>
      <c r="F11463" t="inlineStr">
        <is>
          <t>Sveaskog</t>
        </is>
      </c>
      <c r="G11463" t="n">
        <v>6.2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1645-2024</t>
        </is>
      </c>
      <c r="B11464" s="1" t="n">
        <v>45306</v>
      </c>
      <c r="C11464" s="1" t="n">
        <v>46075</v>
      </c>
      <c r="D11464" t="inlineStr">
        <is>
          <t>VÄSTERBOTTENS LÄN</t>
        </is>
      </c>
      <c r="E11464" t="inlineStr">
        <is>
          <t>SORSELE</t>
        </is>
      </c>
      <c r="G11464" t="n">
        <v>49.3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1680-2024</t>
        </is>
      </c>
      <c r="B11465" s="1" t="n">
        <v>45306.97434027777</v>
      </c>
      <c r="C11465" s="1" t="n">
        <v>46075</v>
      </c>
      <c r="D11465" t="inlineStr">
        <is>
          <t>VÄSTERBOTTENS LÄN</t>
        </is>
      </c>
      <c r="E11465" t="inlineStr">
        <is>
          <t>VINDELN</t>
        </is>
      </c>
      <c r="F11465" t="inlineStr">
        <is>
          <t>SCA</t>
        </is>
      </c>
      <c r="G11465" t="n">
        <v>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50615-2024</t>
        </is>
      </c>
      <c r="B11466" s="1" t="n">
        <v>45601</v>
      </c>
      <c r="C11466" s="1" t="n">
        <v>46075</v>
      </c>
      <c r="D11466" t="inlineStr">
        <is>
          <t>VÄSTERBOTTENS LÄN</t>
        </is>
      </c>
      <c r="E11466" t="inlineStr">
        <is>
          <t>VINDELN</t>
        </is>
      </c>
      <c r="G11466" t="n">
        <v>2.5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50620-2024</t>
        </is>
      </c>
      <c r="B11467" s="1" t="n">
        <v>45601</v>
      </c>
      <c r="C11467" s="1" t="n">
        <v>46075</v>
      </c>
      <c r="D11467" t="inlineStr">
        <is>
          <t>VÄSTERBOTTENS LÄN</t>
        </is>
      </c>
      <c r="E11467" t="inlineStr">
        <is>
          <t>VINDELN</t>
        </is>
      </c>
      <c r="G11467" t="n">
        <v>9.199999999999999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34685-2023</t>
        </is>
      </c>
      <c r="B11468" s="1" t="n">
        <v>45140.96217592592</v>
      </c>
      <c r="C11468" s="1" t="n">
        <v>46075</v>
      </c>
      <c r="D11468" t="inlineStr">
        <is>
          <t>VÄSTERBOTTENS LÄN</t>
        </is>
      </c>
      <c r="E11468" t="inlineStr">
        <is>
          <t>NORDMALING</t>
        </is>
      </c>
      <c r="F11468" t="inlineStr">
        <is>
          <t>SCA</t>
        </is>
      </c>
      <c r="G11468" t="n">
        <v>1.4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34712-2023</t>
        </is>
      </c>
      <c r="B11469" s="1" t="n">
        <v>45139</v>
      </c>
      <c r="C11469" s="1" t="n">
        <v>46075</v>
      </c>
      <c r="D11469" t="inlineStr">
        <is>
          <t>VÄSTERBOTTENS LÄN</t>
        </is>
      </c>
      <c r="E11469" t="inlineStr">
        <is>
          <t>BJURHOLM</t>
        </is>
      </c>
      <c r="G11469" t="n">
        <v>1.7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25575-2022</t>
        </is>
      </c>
      <c r="B11470" s="1" t="n">
        <v>44732</v>
      </c>
      <c r="C11470" s="1" t="n">
        <v>46075</v>
      </c>
      <c r="D11470" t="inlineStr">
        <is>
          <t>VÄSTERBOTTENS LÄN</t>
        </is>
      </c>
      <c r="E11470" t="inlineStr">
        <is>
          <t>ROBERTSFORS</t>
        </is>
      </c>
      <c r="G11470" t="n">
        <v>1.7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46966-2024</t>
        </is>
      </c>
      <c r="B11471" s="1" t="n">
        <v>45586.32145833333</v>
      </c>
      <c r="C11471" s="1" t="n">
        <v>46075</v>
      </c>
      <c r="D11471" t="inlineStr">
        <is>
          <t>VÄSTERBOTTENS LÄN</t>
        </is>
      </c>
      <c r="E11471" t="inlineStr">
        <is>
          <t>DOROTEA</t>
        </is>
      </c>
      <c r="F11471" t="inlineStr">
        <is>
          <t>Sveaskog</t>
        </is>
      </c>
      <c r="G11471" t="n">
        <v>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44018-2024</t>
        </is>
      </c>
      <c r="B11472" s="1" t="n">
        <v>45572</v>
      </c>
      <c r="C11472" s="1" t="n">
        <v>46075</v>
      </c>
      <c r="D11472" t="inlineStr">
        <is>
          <t>VÄSTERBOTTENS LÄN</t>
        </is>
      </c>
      <c r="E11472" t="inlineStr">
        <is>
          <t>MALÅ</t>
        </is>
      </c>
      <c r="F11472" t="inlineStr">
        <is>
          <t>Kommuner</t>
        </is>
      </c>
      <c r="G11472" t="n">
        <v>10.4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33638-2024</t>
        </is>
      </c>
      <c r="B11473" s="1" t="n">
        <v>45520.44297453704</v>
      </c>
      <c r="C11473" s="1" t="n">
        <v>46075</v>
      </c>
      <c r="D11473" t="inlineStr">
        <is>
          <t>VÄSTERBOTTENS LÄN</t>
        </is>
      </c>
      <c r="E11473" t="inlineStr">
        <is>
          <t>SORSELE</t>
        </is>
      </c>
      <c r="F11473" t="inlineStr">
        <is>
          <t>Sveaskog</t>
        </is>
      </c>
      <c r="G11473" t="n">
        <v>3.1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33648-2024</t>
        </is>
      </c>
      <c r="B11474" s="1" t="n">
        <v>45520.44971064815</v>
      </c>
      <c r="C11474" s="1" t="n">
        <v>46075</v>
      </c>
      <c r="D11474" t="inlineStr">
        <is>
          <t>VÄSTERBOTTENS LÄN</t>
        </is>
      </c>
      <c r="E11474" t="inlineStr">
        <is>
          <t>SORSELE</t>
        </is>
      </c>
      <c r="F11474" t="inlineStr">
        <is>
          <t>Sveaskog</t>
        </is>
      </c>
      <c r="G11474" t="n">
        <v>3.2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33657-2024</t>
        </is>
      </c>
      <c r="B11475" s="1" t="n">
        <v>45520.46878472222</v>
      </c>
      <c r="C11475" s="1" t="n">
        <v>46075</v>
      </c>
      <c r="D11475" t="inlineStr">
        <is>
          <t>VÄSTERBOTTENS LÄN</t>
        </is>
      </c>
      <c r="E11475" t="inlineStr">
        <is>
          <t>VINDELN</t>
        </is>
      </c>
      <c r="F11475" t="inlineStr">
        <is>
          <t>Holmen skog AB</t>
        </is>
      </c>
      <c r="G11475" t="n">
        <v>1.7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3111-2024</t>
        </is>
      </c>
      <c r="B11476" s="1" t="n">
        <v>45316</v>
      </c>
      <c r="C11476" s="1" t="n">
        <v>46075</v>
      </c>
      <c r="D11476" t="inlineStr">
        <is>
          <t>VÄSTERBOTTENS LÄN</t>
        </is>
      </c>
      <c r="E11476" t="inlineStr">
        <is>
          <t>ÅSELE</t>
        </is>
      </c>
      <c r="G11476" t="n">
        <v>1.6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51368-2023</t>
        </is>
      </c>
      <c r="B11477" s="1" t="n">
        <v>45219</v>
      </c>
      <c r="C11477" s="1" t="n">
        <v>46075</v>
      </c>
      <c r="D11477" t="inlineStr">
        <is>
          <t>VÄSTERBOTTENS LÄN</t>
        </is>
      </c>
      <c r="E11477" t="inlineStr">
        <is>
          <t>LYCKSELE</t>
        </is>
      </c>
      <c r="F11477" t="inlineStr">
        <is>
          <t>Holmen skog AB</t>
        </is>
      </c>
      <c r="G11477" t="n">
        <v>9.199999999999999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21002-2024</t>
        </is>
      </c>
      <c r="B11478" s="1" t="n">
        <v>45439</v>
      </c>
      <c r="C11478" s="1" t="n">
        <v>46075</v>
      </c>
      <c r="D11478" t="inlineStr">
        <is>
          <t>VÄSTERBOTTENS LÄN</t>
        </is>
      </c>
      <c r="E11478" t="inlineStr">
        <is>
          <t>NORSJÖ</t>
        </is>
      </c>
      <c r="G11478" t="n">
        <v>3.3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28486-2022</t>
        </is>
      </c>
      <c r="B11479" s="1" t="n">
        <v>44747</v>
      </c>
      <c r="C11479" s="1" t="n">
        <v>46075</v>
      </c>
      <c r="D11479" t="inlineStr">
        <is>
          <t>VÄSTERBOTTENS LÄN</t>
        </is>
      </c>
      <c r="E11479" t="inlineStr">
        <is>
          <t>VILHELMINA</t>
        </is>
      </c>
      <c r="F11479" t="inlineStr">
        <is>
          <t>SCA</t>
        </is>
      </c>
      <c r="G11479" t="n">
        <v>7.9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7364-2023</t>
        </is>
      </c>
      <c r="B11480" s="1" t="n">
        <v>44971</v>
      </c>
      <c r="C11480" s="1" t="n">
        <v>46075</v>
      </c>
      <c r="D11480" t="inlineStr">
        <is>
          <t>VÄSTERBOTTENS LÄN</t>
        </is>
      </c>
      <c r="E11480" t="inlineStr">
        <is>
          <t>SKELLEFTEÅ</t>
        </is>
      </c>
      <c r="G11480" t="n">
        <v>2.4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50725-2023</t>
        </is>
      </c>
      <c r="B11481" s="1" t="n">
        <v>45217</v>
      </c>
      <c r="C11481" s="1" t="n">
        <v>46075</v>
      </c>
      <c r="D11481" t="inlineStr">
        <is>
          <t>VÄSTERBOTTENS LÄN</t>
        </is>
      </c>
      <c r="E11481" t="inlineStr">
        <is>
          <t>UMEÅ</t>
        </is>
      </c>
      <c r="F11481" t="inlineStr">
        <is>
          <t>Sveaskog</t>
        </is>
      </c>
      <c r="G11481" t="n">
        <v>1.3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50726-2023</t>
        </is>
      </c>
      <c r="B11482" s="1" t="n">
        <v>45217</v>
      </c>
      <c r="C11482" s="1" t="n">
        <v>46075</v>
      </c>
      <c r="D11482" t="inlineStr">
        <is>
          <t>VÄSTERBOTTENS LÄN</t>
        </is>
      </c>
      <c r="E11482" t="inlineStr">
        <is>
          <t>UMEÅ</t>
        </is>
      </c>
      <c r="F11482" t="inlineStr">
        <is>
          <t>Sveaskog</t>
        </is>
      </c>
      <c r="G11482" t="n">
        <v>1.6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50014-2024</t>
        </is>
      </c>
      <c r="B11483" s="1" t="n">
        <v>45598.89230324074</v>
      </c>
      <c r="C11483" s="1" t="n">
        <v>46075</v>
      </c>
      <c r="D11483" t="inlineStr">
        <is>
          <t>VÄSTERBOTTENS LÄN</t>
        </is>
      </c>
      <c r="E11483" t="inlineStr">
        <is>
          <t>MALÅ</t>
        </is>
      </c>
      <c r="G11483" t="n">
        <v>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38092-2022</t>
        </is>
      </c>
      <c r="B11484" s="1" t="n">
        <v>44811.93648148148</v>
      </c>
      <c r="C11484" s="1" t="n">
        <v>46075</v>
      </c>
      <c r="D11484" t="inlineStr">
        <is>
          <t>VÄSTERBOTTENS LÄN</t>
        </is>
      </c>
      <c r="E11484" t="inlineStr">
        <is>
          <t>ROBERTSFORS</t>
        </is>
      </c>
      <c r="G11484" t="n">
        <v>0.4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27555-2022</t>
        </is>
      </c>
      <c r="B11485" s="1" t="n">
        <v>44742.92666666667</v>
      </c>
      <c r="C11485" s="1" t="n">
        <v>46075</v>
      </c>
      <c r="D11485" t="inlineStr">
        <is>
          <t>VÄSTERBOTTENS LÄN</t>
        </is>
      </c>
      <c r="E11485" t="inlineStr">
        <is>
          <t>SKELLEFTEÅ</t>
        </is>
      </c>
      <c r="F11485" t="inlineStr">
        <is>
          <t>Kommuner</t>
        </is>
      </c>
      <c r="G11485" t="n">
        <v>5.3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52370-2022</t>
        </is>
      </c>
      <c r="B11486" s="1" t="n">
        <v>44874</v>
      </c>
      <c r="C11486" s="1" t="n">
        <v>46075</v>
      </c>
      <c r="D11486" t="inlineStr">
        <is>
          <t>VÄSTERBOTTENS LÄN</t>
        </is>
      </c>
      <c r="E11486" t="inlineStr">
        <is>
          <t>LYCKSELE</t>
        </is>
      </c>
      <c r="F11486" t="inlineStr">
        <is>
          <t>Sveaskog</t>
        </is>
      </c>
      <c r="G11486" t="n">
        <v>3.1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20519-2022</t>
        </is>
      </c>
      <c r="B11487" s="1" t="n">
        <v>44699</v>
      </c>
      <c r="C11487" s="1" t="n">
        <v>46075</v>
      </c>
      <c r="D11487" t="inlineStr">
        <is>
          <t>VÄSTERBOTTENS LÄN</t>
        </is>
      </c>
      <c r="E11487" t="inlineStr">
        <is>
          <t>ROBERTSFORS</t>
        </is>
      </c>
      <c r="G11487" t="n">
        <v>1.7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50520-2023</t>
        </is>
      </c>
      <c r="B11488" s="1" t="n">
        <v>45216</v>
      </c>
      <c r="C11488" s="1" t="n">
        <v>46075</v>
      </c>
      <c r="D11488" t="inlineStr">
        <is>
          <t>VÄSTERBOTTENS LÄN</t>
        </is>
      </c>
      <c r="E11488" t="inlineStr">
        <is>
          <t>NORDMALING</t>
        </is>
      </c>
      <c r="F11488" t="inlineStr">
        <is>
          <t>SCA</t>
        </is>
      </c>
      <c r="G11488" t="n">
        <v>1.8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41227-2024</t>
        </is>
      </c>
      <c r="B11489" s="1" t="n">
        <v>45559.55923611111</v>
      </c>
      <c r="C11489" s="1" t="n">
        <v>46075</v>
      </c>
      <c r="D11489" t="inlineStr">
        <is>
          <t>VÄSTERBOTTENS LÄN</t>
        </is>
      </c>
      <c r="E11489" t="inlineStr">
        <is>
          <t>VINDELN</t>
        </is>
      </c>
      <c r="F11489" t="inlineStr">
        <is>
          <t>Holmen skog AB</t>
        </is>
      </c>
      <c r="G11489" t="n">
        <v>1.5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51875-2024</t>
        </is>
      </c>
      <c r="B11490" s="1" t="n">
        <v>45607.55600694445</v>
      </c>
      <c r="C11490" s="1" t="n">
        <v>46075</v>
      </c>
      <c r="D11490" t="inlineStr">
        <is>
          <t>VÄSTERBOTTENS LÄN</t>
        </is>
      </c>
      <c r="E11490" t="inlineStr">
        <is>
          <t>ROBERTSFORS</t>
        </is>
      </c>
      <c r="G11490" t="n">
        <v>0.9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41548-2023</t>
        </is>
      </c>
      <c r="B11491" s="1" t="n">
        <v>45172</v>
      </c>
      <c r="C11491" s="1" t="n">
        <v>46075</v>
      </c>
      <c r="D11491" t="inlineStr">
        <is>
          <t>VÄSTERBOTTENS LÄN</t>
        </is>
      </c>
      <c r="E11491" t="inlineStr">
        <is>
          <t>NORSJÖ</t>
        </is>
      </c>
      <c r="G11491" t="n">
        <v>3.6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41552-2023</t>
        </is>
      </c>
      <c r="B11492" s="1" t="n">
        <v>45173</v>
      </c>
      <c r="C11492" s="1" t="n">
        <v>46075</v>
      </c>
      <c r="D11492" t="inlineStr">
        <is>
          <t>VÄSTERBOTTENS LÄN</t>
        </is>
      </c>
      <c r="E11492" t="inlineStr">
        <is>
          <t>NORSJÖ</t>
        </is>
      </c>
      <c r="G11492" t="n">
        <v>3.6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41591-2023</t>
        </is>
      </c>
      <c r="B11493" s="1" t="n">
        <v>45173</v>
      </c>
      <c r="C11493" s="1" t="n">
        <v>46075</v>
      </c>
      <c r="D11493" t="inlineStr">
        <is>
          <t>VÄSTERBOTTENS LÄN</t>
        </is>
      </c>
      <c r="E11493" t="inlineStr">
        <is>
          <t>NORSJÖ</t>
        </is>
      </c>
      <c r="G11493" t="n">
        <v>7.6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34986-2023</t>
        </is>
      </c>
      <c r="B11494" s="1" t="n">
        <v>45142</v>
      </c>
      <c r="C11494" s="1" t="n">
        <v>46075</v>
      </c>
      <c r="D11494" t="inlineStr">
        <is>
          <t>VÄSTERBOTTENS LÄN</t>
        </is>
      </c>
      <c r="E11494" t="inlineStr">
        <is>
          <t>SKELLEFTEÅ</t>
        </is>
      </c>
      <c r="G11494" t="n">
        <v>2.6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59833-2022</t>
        </is>
      </c>
      <c r="B11495" s="1" t="n">
        <v>44901</v>
      </c>
      <c r="C11495" s="1" t="n">
        <v>46075</v>
      </c>
      <c r="D11495" t="inlineStr">
        <is>
          <t>VÄSTERBOTTENS LÄN</t>
        </is>
      </c>
      <c r="E11495" t="inlineStr">
        <is>
          <t>ROBERTSFORS</t>
        </is>
      </c>
      <c r="G11495" t="n">
        <v>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12763-2025</t>
        </is>
      </c>
      <c r="B11496" s="1" t="n">
        <v>45733</v>
      </c>
      <c r="C11496" s="1" t="n">
        <v>46075</v>
      </c>
      <c r="D11496" t="inlineStr">
        <is>
          <t>VÄSTERBOTTENS LÄN</t>
        </is>
      </c>
      <c r="E11496" t="inlineStr">
        <is>
          <t>VILHELMINA</t>
        </is>
      </c>
      <c r="F11496" t="inlineStr">
        <is>
          <t>SCA</t>
        </is>
      </c>
      <c r="G11496" t="n">
        <v>8.800000000000001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28962-2024</t>
        </is>
      </c>
      <c r="B11497" s="1" t="n">
        <v>45481.41788194444</v>
      </c>
      <c r="C11497" s="1" t="n">
        <v>46075</v>
      </c>
      <c r="D11497" t="inlineStr">
        <is>
          <t>VÄSTERBOTTENS LÄN</t>
        </is>
      </c>
      <c r="E11497" t="inlineStr">
        <is>
          <t>ÅSELE</t>
        </is>
      </c>
      <c r="F11497" t="inlineStr">
        <is>
          <t>Sveaskog</t>
        </is>
      </c>
      <c r="G11497" t="n">
        <v>3.3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53731-2024</t>
        </is>
      </c>
      <c r="B11498" s="1" t="n">
        <v>45615</v>
      </c>
      <c r="C11498" s="1" t="n">
        <v>46075</v>
      </c>
      <c r="D11498" t="inlineStr">
        <is>
          <t>VÄSTERBOTTENS LÄN</t>
        </is>
      </c>
      <c r="E11498" t="inlineStr">
        <is>
          <t>UMEÅ</t>
        </is>
      </c>
      <c r="G11498" t="n">
        <v>2.7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53788-2024</t>
        </is>
      </c>
      <c r="B11499" s="1" t="n">
        <v>45615.57329861111</v>
      </c>
      <c r="C11499" s="1" t="n">
        <v>46075</v>
      </c>
      <c r="D11499" t="inlineStr">
        <is>
          <t>VÄSTERBOTTENS LÄN</t>
        </is>
      </c>
      <c r="E11499" t="inlineStr">
        <is>
          <t>LYCKSELE</t>
        </is>
      </c>
      <c r="F11499" t="inlineStr">
        <is>
          <t>SCA</t>
        </is>
      </c>
      <c r="G11499" t="n">
        <v>1.5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53790-2024</t>
        </is>
      </c>
      <c r="B11500" s="1" t="n">
        <v>45615.5746412037</v>
      </c>
      <c r="C11500" s="1" t="n">
        <v>46075</v>
      </c>
      <c r="D11500" t="inlineStr">
        <is>
          <t>VÄSTERBOTTENS LÄN</t>
        </is>
      </c>
      <c r="E11500" t="inlineStr">
        <is>
          <t>LYCKSELE</t>
        </is>
      </c>
      <c r="F11500" t="inlineStr">
        <is>
          <t>SCA</t>
        </is>
      </c>
      <c r="G11500" t="n">
        <v>1.6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53791-2024</t>
        </is>
      </c>
      <c r="B11501" s="1" t="n">
        <v>45615.57478009259</v>
      </c>
      <c r="C11501" s="1" t="n">
        <v>46075</v>
      </c>
      <c r="D11501" t="inlineStr">
        <is>
          <t>VÄSTERBOTTENS LÄN</t>
        </is>
      </c>
      <c r="E11501" t="inlineStr">
        <is>
          <t>LYCKSELE</t>
        </is>
      </c>
      <c r="F11501" t="inlineStr">
        <is>
          <t>SCA</t>
        </is>
      </c>
      <c r="G11501" t="n">
        <v>7.5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58053-2022</t>
        </is>
      </c>
      <c r="B11502" s="1" t="n">
        <v>44900</v>
      </c>
      <c r="C11502" s="1" t="n">
        <v>46075</v>
      </c>
      <c r="D11502" t="inlineStr">
        <is>
          <t>VÄSTERBOTTENS LÄN</t>
        </is>
      </c>
      <c r="E11502" t="inlineStr">
        <is>
          <t>SKELLEFTEÅ</t>
        </is>
      </c>
      <c r="G11502" t="n">
        <v>5.3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27542-2024</t>
        </is>
      </c>
      <c r="B11503" s="1" t="n">
        <v>45474.59413194445</v>
      </c>
      <c r="C11503" s="1" t="n">
        <v>46075</v>
      </c>
      <c r="D11503" t="inlineStr">
        <is>
          <t>VÄSTERBOTTENS LÄN</t>
        </is>
      </c>
      <c r="E11503" t="inlineStr">
        <is>
          <t>SKELLEFTEÅ</t>
        </is>
      </c>
      <c r="F11503" t="inlineStr">
        <is>
          <t>Sveaskog</t>
        </is>
      </c>
      <c r="G11503" t="n">
        <v>17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41126-2023</t>
        </is>
      </c>
      <c r="B11504" s="1" t="n">
        <v>45173</v>
      </c>
      <c r="C11504" s="1" t="n">
        <v>46075</v>
      </c>
      <c r="D11504" t="inlineStr">
        <is>
          <t>VÄSTERBOTTENS LÄN</t>
        </is>
      </c>
      <c r="E11504" t="inlineStr">
        <is>
          <t>MALÅ</t>
        </is>
      </c>
      <c r="G11504" t="n">
        <v>8.5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61151-2023</t>
        </is>
      </c>
      <c r="B11505" s="1" t="n">
        <v>45261.96797453704</v>
      </c>
      <c r="C11505" s="1" t="n">
        <v>46075</v>
      </c>
      <c r="D11505" t="inlineStr">
        <is>
          <t>VÄSTERBOTTENS LÄN</t>
        </is>
      </c>
      <c r="E11505" t="inlineStr">
        <is>
          <t>VINDELN</t>
        </is>
      </c>
      <c r="F11505" t="inlineStr">
        <is>
          <t>SCA</t>
        </is>
      </c>
      <c r="G11505" t="n">
        <v>6.8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61152-2023</t>
        </is>
      </c>
      <c r="B11506" s="1" t="n">
        <v>45261</v>
      </c>
      <c r="C11506" s="1" t="n">
        <v>46075</v>
      </c>
      <c r="D11506" t="inlineStr">
        <is>
          <t>VÄSTERBOTTENS LÄN</t>
        </is>
      </c>
      <c r="E11506" t="inlineStr">
        <is>
          <t>VINDELN</t>
        </is>
      </c>
      <c r="F11506" t="inlineStr">
        <is>
          <t>SCA</t>
        </is>
      </c>
      <c r="G11506" t="n">
        <v>3.1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73537-2021</t>
        </is>
      </c>
      <c r="B11507" s="1" t="n">
        <v>44550</v>
      </c>
      <c r="C11507" s="1" t="n">
        <v>46075</v>
      </c>
      <c r="D11507" t="inlineStr">
        <is>
          <t>VÄSTERBOTTENS LÄN</t>
        </is>
      </c>
      <c r="E11507" t="inlineStr">
        <is>
          <t>UMEÅ</t>
        </is>
      </c>
      <c r="G11507" t="n">
        <v>2.6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33184-2023</t>
        </is>
      </c>
      <c r="B11508" s="1" t="n">
        <v>45114</v>
      </c>
      <c r="C11508" s="1" t="n">
        <v>46075</v>
      </c>
      <c r="D11508" t="inlineStr">
        <is>
          <t>VÄSTERBOTTENS LÄN</t>
        </is>
      </c>
      <c r="E11508" t="inlineStr">
        <is>
          <t>SKELLEFTEÅ</t>
        </is>
      </c>
      <c r="G11508" t="n">
        <v>3.2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55305-2023</t>
        </is>
      </c>
      <c r="B11509" s="1" t="n">
        <v>45237.86452546297</v>
      </c>
      <c r="C11509" s="1" t="n">
        <v>46075</v>
      </c>
      <c r="D11509" t="inlineStr">
        <is>
          <t>VÄSTERBOTTENS LÄN</t>
        </is>
      </c>
      <c r="E11509" t="inlineStr">
        <is>
          <t>NORDMALING</t>
        </is>
      </c>
      <c r="G11509" t="n">
        <v>4.4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803-2022</t>
        </is>
      </c>
      <c r="B11510" s="1" t="n">
        <v>44568</v>
      </c>
      <c r="C11510" s="1" t="n">
        <v>46075</v>
      </c>
      <c r="D11510" t="inlineStr">
        <is>
          <t>VÄSTERBOTTENS LÄN</t>
        </is>
      </c>
      <c r="E11510" t="inlineStr">
        <is>
          <t>SKELLEFTEÅ</t>
        </is>
      </c>
      <c r="G11510" t="n">
        <v>1.5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23300-2023</t>
        </is>
      </c>
      <c r="B11511" s="1" t="n">
        <v>45075</v>
      </c>
      <c r="C11511" s="1" t="n">
        <v>46075</v>
      </c>
      <c r="D11511" t="inlineStr">
        <is>
          <t>VÄSTERBOTTENS LÄN</t>
        </is>
      </c>
      <c r="E11511" t="inlineStr">
        <is>
          <t>DOROTEA</t>
        </is>
      </c>
      <c r="F11511" t="inlineStr">
        <is>
          <t>SCA</t>
        </is>
      </c>
      <c r="G11511" t="n">
        <v>1.5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32914-2024</t>
        </is>
      </c>
      <c r="B11512" s="1" t="n">
        <v>45516.95133101852</v>
      </c>
      <c r="C11512" s="1" t="n">
        <v>46075</v>
      </c>
      <c r="D11512" t="inlineStr">
        <is>
          <t>VÄSTERBOTTENS LÄN</t>
        </is>
      </c>
      <c r="E11512" t="inlineStr">
        <is>
          <t>SKELLEFTEÅ</t>
        </is>
      </c>
      <c r="F11512" t="inlineStr">
        <is>
          <t>SCA</t>
        </is>
      </c>
      <c r="G11512" t="n">
        <v>3.1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32925-2024</t>
        </is>
      </c>
      <c r="B11513" s="1" t="n">
        <v>45516.95302083333</v>
      </c>
      <c r="C11513" s="1" t="n">
        <v>46075</v>
      </c>
      <c r="D11513" t="inlineStr">
        <is>
          <t>VÄSTERBOTTENS LÄN</t>
        </is>
      </c>
      <c r="E11513" t="inlineStr">
        <is>
          <t>VILHELMINA</t>
        </is>
      </c>
      <c r="F11513" t="inlineStr">
        <is>
          <t>SCA</t>
        </is>
      </c>
      <c r="G11513" t="n">
        <v>0.8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32926-2024</t>
        </is>
      </c>
      <c r="B11514" s="1" t="n">
        <v>45516.95311342592</v>
      </c>
      <c r="C11514" s="1" t="n">
        <v>46075</v>
      </c>
      <c r="D11514" t="inlineStr">
        <is>
          <t>VÄSTERBOTTENS LÄN</t>
        </is>
      </c>
      <c r="E11514" t="inlineStr">
        <is>
          <t>VILHELMINA</t>
        </is>
      </c>
      <c r="F11514" t="inlineStr">
        <is>
          <t>SCA</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52772-2024</t>
        </is>
      </c>
      <c r="B11515" s="1" t="n">
        <v>45610</v>
      </c>
      <c r="C11515" s="1" t="n">
        <v>46075</v>
      </c>
      <c r="D11515" t="inlineStr">
        <is>
          <t>VÄSTERBOTTENS LÄN</t>
        </is>
      </c>
      <c r="E11515" t="inlineStr">
        <is>
          <t>ÅSELE</t>
        </is>
      </c>
      <c r="F11515" t="inlineStr">
        <is>
          <t>SCA</t>
        </is>
      </c>
      <c r="G11515" t="n">
        <v>3.1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58542-2023</t>
        </is>
      </c>
      <c r="B11516" s="1" t="n">
        <v>45246</v>
      </c>
      <c r="C11516" s="1" t="n">
        <v>46075</v>
      </c>
      <c r="D11516" t="inlineStr">
        <is>
          <t>VÄSTERBOTTENS LÄN</t>
        </is>
      </c>
      <c r="E11516" t="inlineStr">
        <is>
          <t>ROBERTSFORS</t>
        </is>
      </c>
      <c r="G11516" t="n">
        <v>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14016-2025</t>
        </is>
      </c>
      <c r="B11517" s="1" t="n">
        <v>45740.31862268518</v>
      </c>
      <c r="C11517" s="1" t="n">
        <v>46075</v>
      </c>
      <c r="D11517" t="inlineStr">
        <is>
          <t>VÄSTERBOTTENS LÄN</t>
        </is>
      </c>
      <c r="E11517" t="inlineStr">
        <is>
          <t>SKELLEFTEÅ</t>
        </is>
      </c>
      <c r="G11517" t="n">
        <v>3.2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14247-2025</t>
        </is>
      </c>
      <c r="B11518" s="1" t="n">
        <v>45740.61497685185</v>
      </c>
      <c r="C11518" s="1" t="n">
        <v>46075</v>
      </c>
      <c r="D11518" t="inlineStr">
        <is>
          <t>VÄSTERBOTTENS LÄN</t>
        </is>
      </c>
      <c r="E11518" t="inlineStr">
        <is>
          <t>VINDELN</t>
        </is>
      </c>
      <c r="G11518" t="n">
        <v>5.9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34189-2021</t>
        </is>
      </c>
      <c r="B11519" s="1" t="n">
        <v>44379.50560185185</v>
      </c>
      <c r="C11519" s="1" t="n">
        <v>46075</v>
      </c>
      <c r="D11519" t="inlineStr">
        <is>
          <t>VÄSTERBOTTENS LÄN</t>
        </is>
      </c>
      <c r="E11519" t="inlineStr">
        <is>
          <t>ÅSELE</t>
        </is>
      </c>
      <c r="F11519" t="inlineStr">
        <is>
          <t>Holmen skog AB</t>
        </is>
      </c>
      <c r="G11519" t="n">
        <v>2.1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30019-2024</t>
        </is>
      </c>
      <c r="B11520" s="1" t="n">
        <v>45485</v>
      </c>
      <c r="C11520" s="1" t="n">
        <v>46075</v>
      </c>
      <c r="D11520" t="inlineStr">
        <is>
          <t>VÄSTERBOTTENS LÄN</t>
        </is>
      </c>
      <c r="E11520" t="inlineStr">
        <is>
          <t>NORSJÖ</t>
        </is>
      </c>
      <c r="G11520" t="n">
        <v>2.4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28713-2022</t>
        </is>
      </c>
      <c r="B11521" s="1" t="n">
        <v>44748</v>
      </c>
      <c r="C11521" s="1" t="n">
        <v>46075</v>
      </c>
      <c r="D11521" t="inlineStr">
        <is>
          <t>VÄSTERBOTTENS LÄN</t>
        </is>
      </c>
      <c r="E11521" t="inlineStr">
        <is>
          <t>STORUMAN</t>
        </is>
      </c>
      <c r="G11521" t="n">
        <v>14.9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28717-2022</t>
        </is>
      </c>
      <c r="B11522" s="1" t="n">
        <v>44748.94555555555</v>
      </c>
      <c r="C11522" s="1" t="n">
        <v>46075</v>
      </c>
      <c r="D11522" t="inlineStr">
        <is>
          <t>VÄSTERBOTTENS LÄN</t>
        </is>
      </c>
      <c r="E11522" t="inlineStr">
        <is>
          <t>DOROTEA</t>
        </is>
      </c>
      <c r="F11522" t="inlineStr">
        <is>
          <t>SCA</t>
        </is>
      </c>
      <c r="G11522" t="n">
        <v>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30059-2024</t>
        </is>
      </c>
      <c r="B11523" s="1" t="n">
        <v>45488.94804398148</v>
      </c>
      <c r="C11523" s="1" t="n">
        <v>46075</v>
      </c>
      <c r="D11523" t="inlineStr">
        <is>
          <t>VÄSTERBOTTENS LÄN</t>
        </is>
      </c>
      <c r="E11523" t="inlineStr">
        <is>
          <t>DOROTEA</t>
        </is>
      </c>
      <c r="F11523" t="inlineStr">
        <is>
          <t>SCA</t>
        </is>
      </c>
      <c r="G11523" t="n">
        <v>3.7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17971-2025</t>
        </is>
      </c>
      <c r="B11524" s="1" t="n">
        <v>45761</v>
      </c>
      <c r="C11524" s="1" t="n">
        <v>46075</v>
      </c>
      <c r="D11524" t="inlineStr">
        <is>
          <t>VÄSTERBOTTENS LÄN</t>
        </is>
      </c>
      <c r="E11524" t="inlineStr">
        <is>
          <t>STORUMAN</t>
        </is>
      </c>
      <c r="F11524" t="inlineStr">
        <is>
          <t>Allmännings- och besparingsskogar</t>
        </is>
      </c>
      <c r="G11524" t="n">
        <v>0.2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6436-2024</t>
        </is>
      </c>
      <c r="B11525" s="1" t="n">
        <v>45338</v>
      </c>
      <c r="C11525" s="1" t="n">
        <v>46075</v>
      </c>
      <c r="D11525" t="inlineStr">
        <is>
          <t>VÄSTERBOTTENS LÄN</t>
        </is>
      </c>
      <c r="E11525" t="inlineStr">
        <is>
          <t>VINDELN</t>
        </is>
      </c>
      <c r="G11525" t="n">
        <v>17.6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6016-2023</t>
        </is>
      </c>
      <c r="B11526" s="1" t="n">
        <v>44959</v>
      </c>
      <c r="C11526" s="1" t="n">
        <v>46075</v>
      </c>
      <c r="D11526" t="inlineStr">
        <is>
          <t>VÄSTERBOTTENS LÄN</t>
        </is>
      </c>
      <c r="E11526" t="inlineStr">
        <is>
          <t>SKELLEFTEÅ</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35291-2023</t>
        </is>
      </c>
      <c r="B11527" s="1" t="n">
        <v>45145.95565972223</v>
      </c>
      <c r="C11527" s="1" t="n">
        <v>46075</v>
      </c>
      <c r="D11527" t="inlineStr">
        <is>
          <t>VÄSTERBOTTENS LÄN</t>
        </is>
      </c>
      <c r="E11527" t="inlineStr">
        <is>
          <t>NORDMALING</t>
        </is>
      </c>
      <c r="F11527" t="inlineStr">
        <is>
          <t>SCA</t>
        </is>
      </c>
      <c r="G11527" t="n">
        <v>1.9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35292-2023</t>
        </is>
      </c>
      <c r="B11528" s="1" t="n">
        <v>45145</v>
      </c>
      <c r="C11528" s="1" t="n">
        <v>46075</v>
      </c>
      <c r="D11528" t="inlineStr">
        <is>
          <t>VÄSTERBOTTENS LÄN</t>
        </is>
      </c>
      <c r="E11528" t="inlineStr">
        <is>
          <t>NORDMALING</t>
        </is>
      </c>
      <c r="F11528" t="inlineStr">
        <is>
          <t>SCA</t>
        </is>
      </c>
      <c r="G11528" t="n">
        <v>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51239-2022</t>
        </is>
      </c>
      <c r="B11529" s="1" t="n">
        <v>44866</v>
      </c>
      <c r="C11529" s="1" t="n">
        <v>46075</v>
      </c>
      <c r="D11529" t="inlineStr">
        <is>
          <t>VÄSTERBOTTENS LÄN</t>
        </is>
      </c>
      <c r="E11529" t="inlineStr">
        <is>
          <t>BJURHOLM</t>
        </is>
      </c>
      <c r="G11529" t="n">
        <v>1.2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42317-2023</t>
        </is>
      </c>
      <c r="B11530" s="1" t="n">
        <v>45175</v>
      </c>
      <c r="C11530" s="1" t="n">
        <v>46075</v>
      </c>
      <c r="D11530" t="inlineStr">
        <is>
          <t>VÄSTERBOTTENS LÄN</t>
        </is>
      </c>
      <c r="E11530" t="inlineStr">
        <is>
          <t>VÄNNÄS</t>
        </is>
      </c>
      <c r="G11530" t="n">
        <v>1.3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42327-2023</t>
        </is>
      </c>
      <c r="B11531" s="1" t="n">
        <v>45175</v>
      </c>
      <c r="C11531" s="1" t="n">
        <v>46075</v>
      </c>
      <c r="D11531" t="inlineStr">
        <is>
          <t>VÄSTERBOTTENS LÄN</t>
        </is>
      </c>
      <c r="E11531" t="inlineStr">
        <is>
          <t>VÄNNÄS</t>
        </is>
      </c>
      <c r="G11531" t="n">
        <v>3.4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58542-2024</t>
        </is>
      </c>
      <c r="B11532" s="1" t="n">
        <v>45635.45708333333</v>
      </c>
      <c r="C11532" s="1" t="n">
        <v>46075</v>
      </c>
      <c r="D11532" t="inlineStr">
        <is>
          <t>VÄSTERBOTTENS LÄN</t>
        </is>
      </c>
      <c r="E11532" t="inlineStr">
        <is>
          <t>SKELLEFTEÅ</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58544-2024</t>
        </is>
      </c>
      <c r="B11533" s="1" t="n">
        <v>45635.45777777778</v>
      </c>
      <c r="C11533" s="1" t="n">
        <v>46075</v>
      </c>
      <c r="D11533" t="inlineStr">
        <is>
          <t>VÄSTERBOTTENS LÄN</t>
        </is>
      </c>
      <c r="E11533" t="inlineStr">
        <is>
          <t>VINDELN</t>
        </is>
      </c>
      <c r="G11533" t="n">
        <v>0.8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72873-2021</t>
        </is>
      </c>
      <c r="B11534" s="1" t="n">
        <v>44547</v>
      </c>
      <c r="C11534" s="1" t="n">
        <v>46075</v>
      </c>
      <c r="D11534" t="inlineStr">
        <is>
          <t>VÄSTERBOTTENS LÄN</t>
        </is>
      </c>
      <c r="E11534" t="inlineStr">
        <is>
          <t>NORDMALING</t>
        </is>
      </c>
      <c r="G11534" t="n">
        <v>0.4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13533-2023</t>
        </is>
      </c>
      <c r="B11535" s="1" t="n">
        <v>45005</v>
      </c>
      <c r="C11535" s="1" t="n">
        <v>46075</v>
      </c>
      <c r="D11535" t="inlineStr">
        <is>
          <t>VÄSTERBOTTENS LÄN</t>
        </is>
      </c>
      <c r="E11535" t="inlineStr">
        <is>
          <t>ROBERTSFORS</t>
        </is>
      </c>
      <c r="G11535" t="n">
        <v>3.6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16030-2025</t>
        </is>
      </c>
      <c r="B11536" s="1" t="n">
        <v>45748</v>
      </c>
      <c r="C11536" s="1" t="n">
        <v>46075</v>
      </c>
      <c r="D11536" t="inlineStr">
        <is>
          <t>VÄSTERBOTTENS LÄN</t>
        </is>
      </c>
      <c r="E11536" t="inlineStr">
        <is>
          <t>NORSJÖ</t>
        </is>
      </c>
      <c r="G11536" t="n">
        <v>13.1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2425-2025</t>
        </is>
      </c>
      <c r="B11537" s="1" t="n">
        <v>45674</v>
      </c>
      <c r="C11537" s="1" t="n">
        <v>46075</v>
      </c>
      <c r="D11537" t="inlineStr">
        <is>
          <t>VÄSTERBOTTENS LÄN</t>
        </is>
      </c>
      <c r="E11537" t="inlineStr">
        <is>
          <t>VINDELN</t>
        </is>
      </c>
      <c r="G11537" t="n">
        <v>7.8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13768-2023</t>
        </is>
      </c>
      <c r="B11538" s="1" t="n">
        <v>45006</v>
      </c>
      <c r="C11538" s="1" t="n">
        <v>46075</v>
      </c>
      <c r="D11538" t="inlineStr">
        <is>
          <t>VÄSTERBOTTENS LÄN</t>
        </is>
      </c>
      <c r="E11538" t="inlineStr">
        <is>
          <t>UMEÅ</t>
        </is>
      </c>
      <c r="F11538" t="inlineStr">
        <is>
          <t>Kommuner</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39945-2023</t>
        </is>
      </c>
      <c r="B11539" s="1" t="n">
        <v>45168</v>
      </c>
      <c r="C11539" s="1" t="n">
        <v>46075</v>
      </c>
      <c r="D11539" t="inlineStr">
        <is>
          <t>VÄSTERBOTTENS LÄN</t>
        </is>
      </c>
      <c r="E11539" t="inlineStr">
        <is>
          <t>UMEÅ</t>
        </is>
      </c>
      <c r="G11539" t="n">
        <v>4.9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43092-2023</t>
        </is>
      </c>
      <c r="B11540" s="1" t="n">
        <v>45182.92409722223</v>
      </c>
      <c r="C11540" s="1" t="n">
        <v>46075</v>
      </c>
      <c r="D11540" t="inlineStr">
        <is>
          <t>VÄSTERBOTTENS LÄN</t>
        </is>
      </c>
      <c r="E11540" t="inlineStr">
        <is>
          <t>DOROTEA</t>
        </is>
      </c>
      <c r="G11540" t="n">
        <v>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34719-2024</t>
        </is>
      </c>
      <c r="B11541" s="1" t="n">
        <v>45526.56435185186</v>
      </c>
      <c r="C11541" s="1" t="n">
        <v>46075</v>
      </c>
      <c r="D11541" t="inlineStr">
        <is>
          <t>VÄSTERBOTTENS LÄN</t>
        </is>
      </c>
      <c r="E11541" t="inlineStr">
        <is>
          <t>VILHELMINA</t>
        </is>
      </c>
      <c r="G11541" t="n">
        <v>1.7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6760-2023</t>
        </is>
      </c>
      <c r="B11542" s="1" t="n">
        <v>44966</v>
      </c>
      <c r="C11542" s="1" t="n">
        <v>46075</v>
      </c>
      <c r="D11542" t="inlineStr">
        <is>
          <t>VÄSTERBOTTENS LÄN</t>
        </is>
      </c>
      <c r="E11542" t="inlineStr">
        <is>
          <t>STORUMAN</t>
        </is>
      </c>
      <c r="F11542" t="inlineStr">
        <is>
          <t>Sveaskog</t>
        </is>
      </c>
      <c r="G11542" t="n">
        <v>7.1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14661-2023</t>
        </is>
      </c>
      <c r="B11543" s="1" t="n">
        <v>45013</v>
      </c>
      <c r="C11543" s="1" t="n">
        <v>46075</v>
      </c>
      <c r="D11543" t="inlineStr">
        <is>
          <t>VÄSTERBOTTENS LÄN</t>
        </is>
      </c>
      <c r="E11543" t="inlineStr">
        <is>
          <t>STORUMAN</t>
        </is>
      </c>
      <c r="G11543" t="n">
        <v>1.3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8940-2025</t>
        </is>
      </c>
      <c r="B11544" s="1" t="n">
        <v>45713.44855324074</v>
      </c>
      <c r="C11544" s="1" t="n">
        <v>46075</v>
      </c>
      <c r="D11544" t="inlineStr">
        <is>
          <t>VÄSTERBOTTENS LÄN</t>
        </is>
      </c>
      <c r="E11544" t="inlineStr">
        <is>
          <t>VÄNNÄS</t>
        </is>
      </c>
      <c r="G11544" t="n">
        <v>0.6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52584-2024</t>
        </is>
      </c>
      <c r="B11545" s="1" t="n">
        <v>45609.67881944445</v>
      </c>
      <c r="C11545" s="1" t="n">
        <v>46075</v>
      </c>
      <c r="D11545" t="inlineStr">
        <is>
          <t>VÄSTERBOTTENS LÄN</t>
        </is>
      </c>
      <c r="E11545" t="inlineStr">
        <is>
          <t>BJURHOLM</t>
        </is>
      </c>
      <c r="G11545" t="n">
        <v>0.4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42877-2024</t>
        </is>
      </c>
      <c r="B11546" s="1" t="n">
        <v>45566.68878472222</v>
      </c>
      <c r="C11546" s="1" t="n">
        <v>46075</v>
      </c>
      <c r="D11546" t="inlineStr">
        <is>
          <t>VÄSTERBOTTENS LÄN</t>
        </is>
      </c>
      <c r="E11546" t="inlineStr">
        <is>
          <t>SKELLEFTEÅ</t>
        </is>
      </c>
      <c r="G11546" t="n">
        <v>1.5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21746-2024</t>
        </is>
      </c>
      <c r="B11547" s="1" t="n">
        <v>45442</v>
      </c>
      <c r="C11547" s="1" t="n">
        <v>46075</v>
      </c>
      <c r="D11547" t="inlineStr">
        <is>
          <t>VÄSTERBOTTENS LÄN</t>
        </is>
      </c>
      <c r="E11547" t="inlineStr">
        <is>
          <t>NORSJÖ</t>
        </is>
      </c>
      <c r="F11547" t="inlineStr">
        <is>
          <t>Holmen skog AB</t>
        </is>
      </c>
      <c r="G11547" t="n">
        <v>4.6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56572-2022</t>
        </is>
      </c>
      <c r="B11548" s="1" t="n">
        <v>44888</v>
      </c>
      <c r="C11548" s="1" t="n">
        <v>46075</v>
      </c>
      <c r="D11548" t="inlineStr">
        <is>
          <t>VÄSTERBOTTENS LÄN</t>
        </is>
      </c>
      <c r="E11548" t="inlineStr">
        <is>
          <t>ÅSELE</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48992-2023</t>
        </is>
      </c>
      <c r="B11549" s="1" t="n">
        <v>45209.64944444445</v>
      </c>
      <c r="C11549" s="1" t="n">
        <v>46075</v>
      </c>
      <c r="D11549" t="inlineStr">
        <is>
          <t>VÄSTERBOTTENS LÄN</t>
        </is>
      </c>
      <c r="E11549" t="inlineStr">
        <is>
          <t>LYCKSELE</t>
        </is>
      </c>
      <c r="G11549" t="n">
        <v>4.6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20749-2024</t>
        </is>
      </c>
      <c r="B11550" s="1" t="n">
        <v>45436</v>
      </c>
      <c r="C11550" s="1" t="n">
        <v>46075</v>
      </c>
      <c r="D11550" t="inlineStr">
        <is>
          <t>VÄSTERBOTTENS LÄN</t>
        </is>
      </c>
      <c r="E11550" t="inlineStr">
        <is>
          <t>UMEÅ</t>
        </is>
      </c>
      <c r="G11550" t="n">
        <v>1.8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20778-2024</t>
        </is>
      </c>
      <c r="B11551" s="1" t="n">
        <v>45436.94701388889</v>
      </c>
      <c r="C11551" s="1" t="n">
        <v>46075</v>
      </c>
      <c r="D11551" t="inlineStr">
        <is>
          <t>VÄSTERBOTTENS LÄN</t>
        </is>
      </c>
      <c r="E11551" t="inlineStr">
        <is>
          <t>BJURHOLM</t>
        </is>
      </c>
      <c r="F11551" t="inlineStr">
        <is>
          <t>SCA</t>
        </is>
      </c>
      <c r="G11551" t="n">
        <v>0.6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43954-2024</t>
        </is>
      </c>
      <c r="B11552" s="1" t="n">
        <v>45572.47539351852</v>
      </c>
      <c r="C11552" s="1" t="n">
        <v>46075</v>
      </c>
      <c r="D11552" t="inlineStr">
        <is>
          <t>VÄSTERBOTTENS LÄN</t>
        </is>
      </c>
      <c r="E11552" t="inlineStr">
        <is>
          <t>SKELLEFTEÅ</t>
        </is>
      </c>
      <c r="F11552" t="inlineStr">
        <is>
          <t>Sveaskog</t>
        </is>
      </c>
      <c r="G11552" t="n">
        <v>24.1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18394-2025</t>
        </is>
      </c>
      <c r="B11553" s="1" t="n">
        <v>45762</v>
      </c>
      <c r="C11553" s="1" t="n">
        <v>46075</v>
      </c>
      <c r="D11553" t="inlineStr">
        <is>
          <t>VÄSTERBOTTENS LÄN</t>
        </is>
      </c>
      <c r="E11553" t="inlineStr">
        <is>
          <t>VILHELMINA</t>
        </is>
      </c>
      <c r="F11553" t="inlineStr">
        <is>
          <t>SCA</t>
        </is>
      </c>
      <c r="G11553" t="n">
        <v>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69516-2021</t>
        </is>
      </c>
      <c r="B11554" s="1" t="n">
        <v>44531</v>
      </c>
      <c r="C11554" s="1" t="n">
        <v>46075</v>
      </c>
      <c r="D11554" t="inlineStr">
        <is>
          <t>VÄSTERBOTTENS LÄN</t>
        </is>
      </c>
      <c r="E11554" t="inlineStr">
        <is>
          <t>NORDMALING</t>
        </is>
      </c>
      <c r="G11554" t="n">
        <v>3.5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35688-2023</t>
        </is>
      </c>
      <c r="B11555" s="1" t="n">
        <v>45147.64556712963</v>
      </c>
      <c r="C11555" s="1" t="n">
        <v>46075</v>
      </c>
      <c r="D11555" t="inlineStr">
        <is>
          <t>VÄSTERBOTTENS LÄN</t>
        </is>
      </c>
      <c r="E11555" t="inlineStr">
        <is>
          <t>NORDMALING</t>
        </is>
      </c>
      <c r="G11555" t="n">
        <v>1.4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35755-2023</t>
        </is>
      </c>
      <c r="B11556" s="1" t="n">
        <v>45147.9540625</v>
      </c>
      <c r="C11556" s="1" t="n">
        <v>46075</v>
      </c>
      <c r="D11556" t="inlineStr">
        <is>
          <t>VÄSTERBOTTENS LÄN</t>
        </is>
      </c>
      <c r="E11556" t="inlineStr">
        <is>
          <t>VILHELMINA</t>
        </is>
      </c>
      <c r="F11556" t="inlineStr">
        <is>
          <t>SCA</t>
        </is>
      </c>
      <c r="G11556" t="n">
        <v>5.9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35780-2023</t>
        </is>
      </c>
      <c r="B11557" s="1" t="n">
        <v>45148.3397337963</v>
      </c>
      <c r="C11557" s="1" t="n">
        <v>46075</v>
      </c>
      <c r="D11557" t="inlineStr">
        <is>
          <t>VÄSTERBOTTENS LÄN</t>
        </is>
      </c>
      <c r="E11557" t="inlineStr">
        <is>
          <t>ÅSELE</t>
        </is>
      </c>
      <c r="F11557" t="inlineStr">
        <is>
          <t>Holmen skog AB</t>
        </is>
      </c>
      <c r="G11557" t="n">
        <v>2.8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35787-2023</t>
        </is>
      </c>
      <c r="B11558" s="1" t="n">
        <v>45148.37356481481</v>
      </c>
      <c r="C11558" s="1" t="n">
        <v>46075</v>
      </c>
      <c r="D11558" t="inlineStr">
        <is>
          <t>VÄSTERBOTTENS LÄN</t>
        </is>
      </c>
      <c r="E11558" t="inlineStr">
        <is>
          <t>ROBERTSFORS</t>
        </is>
      </c>
      <c r="F11558" t="inlineStr">
        <is>
          <t>Holmen skog AB</t>
        </is>
      </c>
      <c r="G11558" t="n">
        <v>1.7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30332-2021</t>
        </is>
      </c>
      <c r="B11559" s="1" t="n">
        <v>44364</v>
      </c>
      <c r="C11559" s="1" t="n">
        <v>46075</v>
      </c>
      <c r="D11559" t="inlineStr">
        <is>
          <t>VÄSTERBOTTENS LÄN</t>
        </is>
      </c>
      <c r="E11559" t="inlineStr">
        <is>
          <t>SKELLEFTEÅ</t>
        </is>
      </c>
      <c r="G11559" t="n">
        <v>1.6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21012-2024</t>
        </is>
      </c>
      <c r="B11560" s="1" t="n">
        <v>45439</v>
      </c>
      <c r="C11560" s="1" t="n">
        <v>46075</v>
      </c>
      <c r="D11560" t="inlineStr">
        <is>
          <t>VÄSTERBOTTENS LÄN</t>
        </is>
      </c>
      <c r="E11560" t="inlineStr">
        <is>
          <t>NORSJÖ</t>
        </is>
      </c>
      <c r="G11560" t="n">
        <v>5.7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40111-2023</t>
        </is>
      </c>
      <c r="B11561" s="1" t="n">
        <v>45168.93827546296</v>
      </c>
      <c r="C11561" s="1" t="n">
        <v>46075</v>
      </c>
      <c r="D11561" t="inlineStr">
        <is>
          <t>VÄSTERBOTTENS LÄN</t>
        </is>
      </c>
      <c r="E11561" t="inlineStr">
        <is>
          <t>STORUMAN</t>
        </is>
      </c>
      <c r="F11561" t="inlineStr">
        <is>
          <t>SCA</t>
        </is>
      </c>
      <c r="G11561" t="n">
        <v>0.6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41408-2024</t>
        </is>
      </c>
      <c r="B11562" s="1" t="n">
        <v>45560.34202546296</v>
      </c>
      <c r="C11562" s="1" t="n">
        <v>46075</v>
      </c>
      <c r="D11562" t="inlineStr">
        <is>
          <t>VÄSTERBOTTENS LÄN</t>
        </is>
      </c>
      <c r="E11562" t="inlineStr">
        <is>
          <t>ÅSELE</t>
        </is>
      </c>
      <c r="F11562" t="inlineStr">
        <is>
          <t>Sveaskog</t>
        </is>
      </c>
      <c r="G11562" t="n">
        <v>2.1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42014-2024</t>
        </is>
      </c>
      <c r="B11563" s="1" t="n">
        <v>45561.69625</v>
      </c>
      <c r="C11563" s="1" t="n">
        <v>46075</v>
      </c>
      <c r="D11563" t="inlineStr">
        <is>
          <t>VÄSTERBOTTENS LÄN</t>
        </is>
      </c>
      <c r="E11563" t="inlineStr">
        <is>
          <t>UMEÅ</t>
        </is>
      </c>
      <c r="G11563" t="n">
        <v>3.5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48135-2024</t>
        </is>
      </c>
      <c r="B11564" s="1" t="n">
        <v>45589.65295138889</v>
      </c>
      <c r="C11564" s="1" t="n">
        <v>46075</v>
      </c>
      <c r="D11564" t="inlineStr">
        <is>
          <t>VÄSTERBOTTENS LÄN</t>
        </is>
      </c>
      <c r="E11564" t="inlineStr">
        <is>
          <t>VINDELN</t>
        </is>
      </c>
      <c r="F11564" t="inlineStr">
        <is>
          <t>Holmen skog AB</t>
        </is>
      </c>
      <c r="G11564" t="n">
        <v>2.2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48138-2024</t>
        </is>
      </c>
      <c r="B11565" s="1" t="n">
        <v>45589.6599074074</v>
      </c>
      <c r="C11565" s="1" t="n">
        <v>46075</v>
      </c>
      <c r="D11565" t="inlineStr">
        <is>
          <t>VÄSTERBOTTENS LÄN</t>
        </is>
      </c>
      <c r="E11565" t="inlineStr">
        <is>
          <t>VINDELN</t>
        </is>
      </c>
      <c r="F11565" t="inlineStr">
        <is>
          <t>Holmen skog AB</t>
        </is>
      </c>
      <c r="G11565" t="n">
        <v>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28528-2023</t>
        </is>
      </c>
      <c r="B11566" s="1" t="n">
        <v>45103</v>
      </c>
      <c r="C11566" s="1" t="n">
        <v>46075</v>
      </c>
      <c r="D11566" t="inlineStr">
        <is>
          <t>VÄSTERBOTTENS LÄN</t>
        </is>
      </c>
      <c r="E11566" t="inlineStr">
        <is>
          <t>LYCKSELE</t>
        </is>
      </c>
      <c r="F11566" t="inlineStr">
        <is>
          <t>Sveaskog</t>
        </is>
      </c>
      <c r="G11566" t="n">
        <v>4.1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31395-2021</t>
        </is>
      </c>
      <c r="B11567" s="1" t="n">
        <v>44369.31599537037</v>
      </c>
      <c r="C11567" s="1" t="n">
        <v>46075</v>
      </c>
      <c r="D11567" t="inlineStr">
        <is>
          <t>VÄSTERBOTTENS LÄN</t>
        </is>
      </c>
      <c r="E11567" t="inlineStr">
        <is>
          <t>SKELLEFTEÅ</t>
        </is>
      </c>
      <c r="G11567" t="n">
        <v>1.5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5947-2023</t>
        </is>
      </c>
      <c r="B11568" s="1" t="n">
        <v>44963.92259259259</v>
      </c>
      <c r="C11568" s="1" t="n">
        <v>46075</v>
      </c>
      <c r="D11568" t="inlineStr">
        <is>
          <t>VÄSTERBOTTENS LÄN</t>
        </is>
      </c>
      <c r="E11568" t="inlineStr">
        <is>
          <t>VILHELMINA</t>
        </is>
      </c>
      <c r="G11568" t="n">
        <v>4.3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15050-2024</t>
        </is>
      </c>
      <c r="B11569" s="1" t="n">
        <v>45399</v>
      </c>
      <c r="C11569" s="1" t="n">
        <v>46075</v>
      </c>
      <c r="D11569" t="inlineStr">
        <is>
          <t>VÄSTERBOTTENS LÄN</t>
        </is>
      </c>
      <c r="E11569" t="inlineStr">
        <is>
          <t>VILHELMINA</t>
        </is>
      </c>
      <c r="F11569" t="inlineStr">
        <is>
          <t>SCA</t>
        </is>
      </c>
      <c r="G11569" t="n">
        <v>0.5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28380-2023</t>
        </is>
      </c>
      <c r="B11570" s="1" t="n">
        <v>45099</v>
      </c>
      <c r="C11570" s="1" t="n">
        <v>46075</v>
      </c>
      <c r="D11570" t="inlineStr">
        <is>
          <t>VÄSTERBOTTENS LÄN</t>
        </is>
      </c>
      <c r="E11570" t="inlineStr">
        <is>
          <t>VILHELMINA</t>
        </is>
      </c>
      <c r="F11570" t="inlineStr">
        <is>
          <t>SCA</t>
        </is>
      </c>
      <c r="G11570" t="n">
        <v>1.6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35808-2022</t>
        </is>
      </c>
      <c r="B11571" s="1" t="n">
        <v>44802.31871527778</v>
      </c>
      <c r="C11571" s="1" t="n">
        <v>46075</v>
      </c>
      <c r="D11571" t="inlineStr">
        <is>
          <t>VÄSTERBOTTENS LÄN</t>
        </is>
      </c>
      <c r="E11571" t="inlineStr">
        <is>
          <t>UMEÅ</t>
        </is>
      </c>
      <c r="G11571" t="n">
        <v>0.8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23164-2022</t>
        </is>
      </c>
      <c r="B11572" s="1" t="n">
        <v>44719</v>
      </c>
      <c r="C11572" s="1" t="n">
        <v>46075</v>
      </c>
      <c r="D11572" t="inlineStr">
        <is>
          <t>VÄSTERBOTTENS LÄN</t>
        </is>
      </c>
      <c r="E11572" t="inlineStr">
        <is>
          <t>LYCKSELE</t>
        </is>
      </c>
      <c r="G11572" t="n">
        <v>4.1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22656-2024</t>
        </is>
      </c>
      <c r="B11573" s="1" t="n">
        <v>45447</v>
      </c>
      <c r="C11573" s="1" t="n">
        <v>46075</v>
      </c>
      <c r="D11573" t="inlineStr">
        <is>
          <t>VÄSTERBOTTENS LÄN</t>
        </is>
      </c>
      <c r="E11573" t="inlineStr">
        <is>
          <t>ROBERTSFORS</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22657-2024</t>
        </is>
      </c>
      <c r="B11574" s="1" t="n">
        <v>45447</v>
      </c>
      <c r="C11574" s="1" t="n">
        <v>46075</v>
      </c>
      <c r="D11574" t="inlineStr">
        <is>
          <t>VÄSTERBOTTENS LÄN</t>
        </is>
      </c>
      <c r="E11574" t="inlineStr">
        <is>
          <t>SORSELE</t>
        </is>
      </c>
      <c r="G11574" t="n">
        <v>0.9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60663-2024</t>
        </is>
      </c>
      <c r="B11575" s="1" t="n">
        <v>45644</v>
      </c>
      <c r="C11575" s="1" t="n">
        <v>46075</v>
      </c>
      <c r="D11575" t="inlineStr">
        <is>
          <t>VÄSTERBOTTENS LÄN</t>
        </is>
      </c>
      <c r="E11575" t="inlineStr">
        <is>
          <t>NORSJÖ</t>
        </is>
      </c>
      <c r="F11575" t="inlineStr">
        <is>
          <t>Kommuner</t>
        </is>
      </c>
      <c r="G11575" t="n">
        <v>6.2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2609-2024</t>
        </is>
      </c>
      <c r="B11576" s="1" t="n">
        <v>45313</v>
      </c>
      <c r="C11576" s="1" t="n">
        <v>46075</v>
      </c>
      <c r="D11576" t="inlineStr">
        <is>
          <t>VÄSTERBOTTENS LÄN</t>
        </is>
      </c>
      <c r="E11576" t="inlineStr">
        <is>
          <t>ÅSELE</t>
        </is>
      </c>
      <c r="F11576" t="inlineStr">
        <is>
          <t>Övriga Aktiebolag</t>
        </is>
      </c>
      <c r="G11576" t="n">
        <v>5.5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9039-2024</t>
        </is>
      </c>
      <c r="B11577" s="1" t="n">
        <v>45356</v>
      </c>
      <c r="C11577" s="1" t="n">
        <v>46075</v>
      </c>
      <c r="D11577" t="inlineStr">
        <is>
          <t>VÄSTERBOTTENS LÄN</t>
        </is>
      </c>
      <c r="E11577" t="inlineStr">
        <is>
          <t>VÄNNÄS</t>
        </is>
      </c>
      <c r="G11577" t="n">
        <v>0.9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36955-2023</t>
        </is>
      </c>
      <c r="B11578" s="1" t="n">
        <v>45154</v>
      </c>
      <c r="C11578" s="1" t="n">
        <v>46075</v>
      </c>
      <c r="D11578" t="inlineStr">
        <is>
          <t>VÄSTERBOTTENS LÄN</t>
        </is>
      </c>
      <c r="E11578" t="inlineStr">
        <is>
          <t>UMEÅ</t>
        </is>
      </c>
      <c r="G11578" t="n">
        <v>2.4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36957-2023</t>
        </is>
      </c>
      <c r="B11579" s="1" t="n">
        <v>45154.92628472222</v>
      </c>
      <c r="C11579" s="1" t="n">
        <v>46075</v>
      </c>
      <c r="D11579" t="inlineStr">
        <is>
          <t>VÄSTERBOTTENS LÄN</t>
        </is>
      </c>
      <c r="E11579" t="inlineStr">
        <is>
          <t>VILHELMINA</t>
        </is>
      </c>
      <c r="G11579" t="n">
        <v>0.5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4387-2025</t>
        </is>
      </c>
      <c r="B11580" s="1" t="n">
        <v>45686.40269675926</v>
      </c>
      <c r="C11580" s="1" t="n">
        <v>46075</v>
      </c>
      <c r="D11580" t="inlineStr">
        <is>
          <t>VÄSTERBOTTENS LÄN</t>
        </is>
      </c>
      <c r="E11580" t="inlineStr">
        <is>
          <t>SKELLEFTEÅ</t>
        </is>
      </c>
      <c r="G11580" t="n">
        <v>3.5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54275-2024</t>
        </is>
      </c>
      <c r="B11581" s="1" t="n">
        <v>45616.83502314815</v>
      </c>
      <c r="C11581" s="1" t="n">
        <v>46075</v>
      </c>
      <c r="D11581" t="inlineStr">
        <is>
          <t>VÄSTERBOTTENS LÄN</t>
        </is>
      </c>
      <c r="E11581" t="inlineStr">
        <is>
          <t>LYCKSELE</t>
        </is>
      </c>
      <c r="F11581" t="inlineStr">
        <is>
          <t>Sveaskog</t>
        </is>
      </c>
      <c r="G11581" t="n">
        <v>6.4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41728-2023</t>
        </is>
      </c>
      <c r="B11582" s="1" t="n">
        <v>45176</v>
      </c>
      <c r="C11582" s="1" t="n">
        <v>46075</v>
      </c>
      <c r="D11582" t="inlineStr">
        <is>
          <t>VÄSTERBOTTENS LÄN</t>
        </is>
      </c>
      <c r="E11582" t="inlineStr">
        <is>
          <t>LYCKSELE</t>
        </is>
      </c>
      <c r="G11582" t="n">
        <v>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37505-2023</t>
        </is>
      </c>
      <c r="B11583" s="1" t="n">
        <v>45158.31186342592</v>
      </c>
      <c r="C11583" s="1" t="n">
        <v>46075</v>
      </c>
      <c r="D11583" t="inlineStr">
        <is>
          <t>VÄSTERBOTTENS LÄN</t>
        </is>
      </c>
      <c r="E11583" t="inlineStr">
        <is>
          <t>VILHELMINA</t>
        </is>
      </c>
      <c r="G11583" t="n">
        <v>10.5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61105-2023</t>
        </is>
      </c>
      <c r="B11584" s="1" t="n">
        <v>45261.66517361111</v>
      </c>
      <c r="C11584" s="1" t="n">
        <v>46075</v>
      </c>
      <c r="D11584" t="inlineStr">
        <is>
          <t>VÄSTERBOTTENS LÄN</t>
        </is>
      </c>
      <c r="E11584" t="inlineStr">
        <is>
          <t>UMEÅ</t>
        </is>
      </c>
      <c r="G11584" t="n">
        <v>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44319-2023</t>
        </is>
      </c>
      <c r="B11585" s="1" t="n">
        <v>45183</v>
      </c>
      <c r="C11585" s="1" t="n">
        <v>46075</v>
      </c>
      <c r="D11585" t="inlineStr">
        <is>
          <t>VÄSTERBOTTENS LÄN</t>
        </is>
      </c>
      <c r="E11585" t="inlineStr">
        <is>
          <t>VÄNNÄS</t>
        </is>
      </c>
      <c r="G11585" t="n">
        <v>2.6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2658-2025</t>
        </is>
      </c>
      <c r="B11586" s="1" t="n">
        <v>45676</v>
      </c>
      <c r="C11586" s="1" t="n">
        <v>46075</v>
      </c>
      <c r="D11586" t="inlineStr">
        <is>
          <t>VÄSTERBOTTENS LÄN</t>
        </is>
      </c>
      <c r="E11586" t="inlineStr">
        <is>
          <t>NORDMALING</t>
        </is>
      </c>
      <c r="G11586" t="n">
        <v>0.1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12043-2025</t>
        </is>
      </c>
      <c r="B11587" s="1" t="n">
        <v>45728.65733796296</v>
      </c>
      <c r="C11587" s="1" t="n">
        <v>46075</v>
      </c>
      <c r="D11587" t="inlineStr">
        <is>
          <t>VÄSTERBOTTENS LÄN</t>
        </is>
      </c>
      <c r="E11587" t="inlineStr">
        <is>
          <t>SORSELE</t>
        </is>
      </c>
      <c r="F11587" t="inlineStr">
        <is>
          <t>SCA</t>
        </is>
      </c>
      <c r="G11587" t="n">
        <v>13.2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12090-2025</t>
        </is>
      </c>
      <c r="B11588" s="1" t="n">
        <v>45729.30722222223</v>
      </c>
      <c r="C11588" s="1" t="n">
        <v>46075</v>
      </c>
      <c r="D11588" t="inlineStr">
        <is>
          <t>VÄSTERBOTTENS LÄN</t>
        </is>
      </c>
      <c r="E11588" t="inlineStr">
        <is>
          <t>SKELLEFTEÅ</t>
        </is>
      </c>
      <c r="G11588" t="n">
        <v>1.9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12645-2025</t>
        </is>
      </c>
      <c r="B11589" s="1" t="n">
        <v>45733.39303240741</v>
      </c>
      <c r="C11589" s="1" t="n">
        <v>46075</v>
      </c>
      <c r="D11589" t="inlineStr">
        <is>
          <t>VÄSTERBOTTENS LÄN</t>
        </is>
      </c>
      <c r="E11589" t="inlineStr">
        <is>
          <t>SKELLEFTEÅ</t>
        </is>
      </c>
      <c r="G11589" t="n">
        <v>5.9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10591-2021</t>
        </is>
      </c>
      <c r="B11590" s="1" t="n">
        <v>44258</v>
      </c>
      <c r="C11590" s="1" t="n">
        <v>46075</v>
      </c>
      <c r="D11590" t="inlineStr">
        <is>
          <t>VÄSTERBOTTENS LÄN</t>
        </is>
      </c>
      <c r="E11590" t="inlineStr">
        <is>
          <t>NORDMALING</t>
        </is>
      </c>
      <c r="G11590" t="n">
        <v>0.8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8937-2025</t>
        </is>
      </c>
      <c r="B11591" s="1" t="n">
        <v>45713.44841435185</v>
      </c>
      <c r="C11591" s="1" t="n">
        <v>46075</v>
      </c>
      <c r="D11591" t="inlineStr">
        <is>
          <t>VÄSTERBOTTENS LÄN</t>
        </is>
      </c>
      <c r="E11591" t="inlineStr">
        <is>
          <t>VÄNNÄS</t>
        </is>
      </c>
      <c r="G11591" t="n">
        <v>1.5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44950-2023</t>
        </is>
      </c>
      <c r="B11592" s="1" t="n">
        <v>45187</v>
      </c>
      <c r="C11592" s="1" t="n">
        <v>46075</v>
      </c>
      <c r="D11592" t="inlineStr">
        <is>
          <t>VÄSTERBOTTENS LÄN</t>
        </is>
      </c>
      <c r="E11592" t="inlineStr">
        <is>
          <t>NORDMALING</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44952-2023</t>
        </is>
      </c>
      <c r="B11593" s="1" t="n">
        <v>45187</v>
      </c>
      <c r="C11593" s="1" t="n">
        <v>46075</v>
      </c>
      <c r="D11593" t="inlineStr">
        <is>
          <t>VÄSTERBOTTENS LÄN</t>
        </is>
      </c>
      <c r="E11593" t="inlineStr">
        <is>
          <t>NORDMALING</t>
        </is>
      </c>
      <c r="G11593" t="n">
        <v>1.9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61801-2024</t>
        </is>
      </c>
      <c r="B11594" s="1" t="n">
        <v>45649.56392361111</v>
      </c>
      <c r="C11594" s="1" t="n">
        <v>46075</v>
      </c>
      <c r="D11594" t="inlineStr">
        <is>
          <t>VÄSTERBOTTENS LÄN</t>
        </is>
      </c>
      <c r="E11594" t="inlineStr">
        <is>
          <t>VILHELMINA</t>
        </is>
      </c>
      <c r="G11594" t="n">
        <v>2.5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20302-2025</t>
        </is>
      </c>
      <c r="B11595" s="1" t="n">
        <v>45774.7928587963</v>
      </c>
      <c r="C11595" s="1" t="n">
        <v>46075</v>
      </c>
      <c r="D11595" t="inlineStr">
        <is>
          <t>VÄSTERBOTTENS LÄN</t>
        </is>
      </c>
      <c r="E11595" t="inlineStr">
        <is>
          <t>ÅSELE</t>
        </is>
      </c>
      <c r="G11595" t="n">
        <v>12.7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20303-2025</t>
        </is>
      </c>
      <c r="B11596" s="1" t="n">
        <v>45774.80667824074</v>
      </c>
      <c r="C11596" s="1" t="n">
        <v>46075</v>
      </c>
      <c r="D11596" t="inlineStr">
        <is>
          <t>VÄSTERBOTTENS LÄN</t>
        </is>
      </c>
      <c r="E11596" t="inlineStr">
        <is>
          <t>ÅSELE</t>
        </is>
      </c>
      <c r="G11596" t="n">
        <v>4.1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20378-2025</t>
        </is>
      </c>
      <c r="B11597" s="1" t="n">
        <v>45775.42729166667</v>
      </c>
      <c r="C11597" s="1" t="n">
        <v>46075</v>
      </c>
      <c r="D11597" t="inlineStr">
        <is>
          <t>VÄSTERBOTTENS LÄN</t>
        </is>
      </c>
      <c r="E11597" t="inlineStr">
        <is>
          <t>SKELLEFTEÅ</t>
        </is>
      </c>
      <c r="G11597" t="n">
        <v>4.1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40142-2023</t>
        </is>
      </c>
      <c r="B11598" s="1" t="n">
        <v>45168</v>
      </c>
      <c r="C11598" s="1" t="n">
        <v>46075</v>
      </c>
      <c r="D11598" t="inlineStr">
        <is>
          <t>VÄSTERBOTTENS LÄN</t>
        </is>
      </c>
      <c r="E11598" t="inlineStr">
        <is>
          <t>BJURHOLM</t>
        </is>
      </c>
      <c r="G11598" t="n">
        <v>2.3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53345-2023</t>
        </is>
      </c>
      <c r="B11599" s="1" t="n">
        <v>45229.64980324074</v>
      </c>
      <c r="C11599" s="1" t="n">
        <v>46075</v>
      </c>
      <c r="D11599" t="inlineStr">
        <is>
          <t>VÄSTERBOTTENS LÄN</t>
        </is>
      </c>
      <c r="E11599" t="inlineStr">
        <is>
          <t>NORSJÖ</t>
        </is>
      </c>
      <c r="F11599" t="inlineStr">
        <is>
          <t>Holmen skog AB</t>
        </is>
      </c>
      <c r="G11599" t="n">
        <v>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2697-2025</t>
        </is>
      </c>
      <c r="B11600" s="1" t="n">
        <v>45677.39728009259</v>
      </c>
      <c r="C11600" s="1" t="n">
        <v>46075</v>
      </c>
      <c r="D11600" t="inlineStr">
        <is>
          <t>VÄSTERBOTTENS LÄN</t>
        </is>
      </c>
      <c r="E11600" t="inlineStr">
        <is>
          <t>VINDELN</t>
        </is>
      </c>
      <c r="G11600" t="n">
        <v>3.6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42223-2024</t>
        </is>
      </c>
      <c r="B11601" s="1" t="n">
        <v>45562.55023148148</v>
      </c>
      <c r="C11601" s="1" t="n">
        <v>46075</v>
      </c>
      <c r="D11601" t="inlineStr">
        <is>
          <t>VÄSTERBOTTENS LÄN</t>
        </is>
      </c>
      <c r="E11601" t="inlineStr">
        <is>
          <t>SKELLEFTEÅ</t>
        </is>
      </c>
      <c r="G11601" t="n">
        <v>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29121-2024</t>
        </is>
      </c>
      <c r="B11602" s="1" t="n">
        <v>45482.30600694445</v>
      </c>
      <c r="C11602" s="1" t="n">
        <v>46075</v>
      </c>
      <c r="D11602" t="inlineStr">
        <is>
          <t>VÄSTERBOTTENS LÄN</t>
        </is>
      </c>
      <c r="E11602" t="inlineStr">
        <is>
          <t>NORSJÖ</t>
        </is>
      </c>
      <c r="F11602" t="inlineStr">
        <is>
          <t>Holmen skog AB</t>
        </is>
      </c>
      <c r="G11602" t="n">
        <v>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29656-2024</t>
        </is>
      </c>
      <c r="B11603" s="1" t="n">
        <v>45484.92354166666</v>
      </c>
      <c r="C11603" s="1" t="n">
        <v>46075</v>
      </c>
      <c r="D11603" t="inlineStr">
        <is>
          <t>VÄSTERBOTTENS LÄN</t>
        </is>
      </c>
      <c r="E11603" t="inlineStr">
        <is>
          <t>UMEÅ</t>
        </is>
      </c>
      <c r="G11603" t="n">
        <v>1.2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17125-2021</t>
        </is>
      </c>
      <c r="B11604" s="1" t="n">
        <v>44295</v>
      </c>
      <c r="C11604" s="1" t="n">
        <v>46075</v>
      </c>
      <c r="D11604" t="inlineStr">
        <is>
          <t>VÄSTERBOTTENS LÄN</t>
        </is>
      </c>
      <c r="E11604" t="inlineStr">
        <is>
          <t>STORUMAN</t>
        </is>
      </c>
      <c r="G11604" t="n">
        <v>0.7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7001-2022</t>
        </is>
      </c>
      <c r="B11605" s="1" t="n">
        <v>44603</v>
      </c>
      <c r="C11605" s="1" t="n">
        <v>46075</v>
      </c>
      <c r="D11605" t="inlineStr">
        <is>
          <t>VÄSTERBOTTENS LÄN</t>
        </is>
      </c>
      <c r="E11605" t="inlineStr">
        <is>
          <t>LYCKSELE</t>
        </is>
      </c>
      <c r="G11605" t="n">
        <v>0.8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22859-2024</t>
        </is>
      </c>
      <c r="B11606" s="1" t="n">
        <v>45448</v>
      </c>
      <c r="C11606" s="1" t="n">
        <v>46075</v>
      </c>
      <c r="D11606" t="inlineStr">
        <is>
          <t>VÄSTERBOTTENS LÄN</t>
        </is>
      </c>
      <c r="E11606" t="inlineStr">
        <is>
          <t>SKELLEFTEÅ</t>
        </is>
      </c>
      <c r="G11606" t="n">
        <v>1.2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61330-2024</t>
        </is>
      </c>
      <c r="B11607" s="1" t="n">
        <v>45645</v>
      </c>
      <c r="C11607" s="1" t="n">
        <v>46075</v>
      </c>
      <c r="D11607" t="inlineStr">
        <is>
          <t>VÄSTERBOTTENS LÄN</t>
        </is>
      </c>
      <c r="E11607" t="inlineStr">
        <is>
          <t>ÅSELE</t>
        </is>
      </c>
      <c r="F11607" t="inlineStr">
        <is>
          <t>Sveaskog</t>
        </is>
      </c>
      <c r="G11607" t="n">
        <v>8.6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65038-2023</t>
        </is>
      </c>
      <c r="B11608" s="1" t="n">
        <v>45282</v>
      </c>
      <c r="C11608" s="1" t="n">
        <v>46075</v>
      </c>
      <c r="D11608" t="inlineStr">
        <is>
          <t>VÄSTERBOTTENS LÄN</t>
        </is>
      </c>
      <c r="E11608" t="inlineStr">
        <is>
          <t>ÅSELE</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25374-2022</t>
        </is>
      </c>
      <c r="B11609" s="1" t="n">
        <v>44731</v>
      </c>
      <c r="C11609" s="1" t="n">
        <v>46075</v>
      </c>
      <c r="D11609" t="inlineStr">
        <is>
          <t>VÄSTERBOTTENS LÄN</t>
        </is>
      </c>
      <c r="E11609" t="inlineStr">
        <is>
          <t>SORSELE</t>
        </is>
      </c>
      <c r="G11609" t="n">
        <v>37.1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19061-2024</t>
        </is>
      </c>
      <c r="B11610" s="1" t="n">
        <v>45427.93501157407</v>
      </c>
      <c r="C11610" s="1" t="n">
        <v>46075</v>
      </c>
      <c r="D11610" t="inlineStr">
        <is>
          <t>VÄSTERBOTTENS LÄN</t>
        </is>
      </c>
      <c r="E11610" t="inlineStr">
        <is>
          <t>UMEÅ</t>
        </is>
      </c>
      <c r="G11610" t="n">
        <v>4.4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43925-2024</t>
        </is>
      </c>
      <c r="B11611" s="1" t="n">
        <v>45572.45052083334</v>
      </c>
      <c r="C11611" s="1" t="n">
        <v>46075</v>
      </c>
      <c r="D11611" t="inlineStr">
        <is>
          <t>VÄSTERBOTTENS LÄN</t>
        </is>
      </c>
      <c r="E11611" t="inlineStr">
        <is>
          <t>LYCKSELE</t>
        </is>
      </c>
      <c r="G11611" t="n">
        <v>1.2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1573-2025</t>
        </is>
      </c>
      <c r="B11612" s="1" t="n">
        <v>45670</v>
      </c>
      <c r="C11612" s="1" t="n">
        <v>46075</v>
      </c>
      <c r="D11612" t="inlineStr">
        <is>
          <t>VÄSTERBOTTENS LÄN</t>
        </is>
      </c>
      <c r="E11612" t="inlineStr">
        <is>
          <t>ROBERTSFORS</t>
        </is>
      </c>
      <c r="G11612" t="n">
        <v>3.9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49900-2023</t>
        </is>
      </c>
      <c r="B11613" s="1" t="n">
        <v>45213.86512731481</v>
      </c>
      <c r="C11613" s="1" t="n">
        <v>46075</v>
      </c>
      <c r="D11613" t="inlineStr">
        <is>
          <t>VÄSTERBOTTENS LÄN</t>
        </is>
      </c>
      <c r="E11613" t="inlineStr">
        <is>
          <t>SKELLEFTEÅ</t>
        </is>
      </c>
      <c r="G11613" t="n">
        <v>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38750-2021</t>
        </is>
      </c>
      <c r="B11614" s="1" t="n">
        <v>44410</v>
      </c>
      <c r="C11614" s="1" t="n">
        <v>46075</v>
      </c>
      <c r="D11614" t="inlineStr">
        <is>
          <t>VÄSTERBOTTENS LÄN</t>
        </is>
      </c>
      <c r="E11614" t="inlineStr">
        <is>
          <t>UMEÅ</t>
        </is>
      </c>
      <c r="F11614" t="inlineStr">
        <is>
          <t>Kommuner</t>
        </is>
      </c>
      <c r="G11614" t="n">
        <v>1.7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20287-2022</t>
        </is>
      </c>
      <c r="B11615" s="1" t="n">
        <v>44698</v>
      </c>
      <c r="C11615" s="1" t="n">
        <v>46075</v>
      </c>
      <c r="D11615" t="inlineStr">
        <is>
          <t>VÄSTERBOTTENS LÄN</t>
        </is>
      </c>
      <c r="E11615" t="inlineStr">
        <is>
          <t>LYCKSELE</t>
        </is>
      </c>
      <c r="F11615" t="inlineStr">
        <is>
          <t>Holmen skog AB</t>
        </is>
      </c>
      <c r="G11615" t="n">
        <v>11.5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4620-2025</t>
        </is>
      </c>
      <c r="B11616" s="1" t="n">
        <v>45687.61184027778</v>
      </c>
      <c r="C11616" s="1" t="n">
        <v>46075</v>
      </c>
      <c r="D11616" t="inlineStr">
        <is>
          <t>VÄSTERBOTTENS LÄN</t>
        </is>
      </c>
      <c r="E11616" t="inlineStr">
        <is>
          <t>SKELLEFTEÅ</t>
        </is>
      </c>
      <c r="G11616" t="n">
        <v>2.6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22351-2023</t>
        </is>
      </c>
      <c r="B11617" s="1" t="n">
        <v>45068</v>
      </c>
      <c r="C11617" s="1" t="n">
        <v>46075</v>
      </c>
      <c r="D11617" t="inlineStr">
        <is>
          <t>VÄSTERBOTTENS LÄN</t>
        </is>
      </c>
      <c r="E11617" t="inlineStr">
        <is>
          <t>SKELLEFTEÅ</t>
        </is>
      </c>
      <c r="G11617" t="n">
        <v>2.8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27249-2024</t>
        </is>
      </c>
      <c r="B11618" s="1" t="n">
        <v>45471</v>
      </c>
      <c r="C11618" s="1" t="n">
        <v>46075</v>
      </c>
      <c r="D11618" t="inlineStr">
        <is>
          <t>VÄSTERBOTTENS LÄN</t>
        </is>
      </c>
      <c r="E11618" t="inlineStr">
        <is>
          <t>VINDELN</t>
        </is>
      </c>
      <c r="F11618" t="inlineStr">
        <is>
          <t>Holmen skog AB</t>
        </is>
      </c>
      <c r="G11618" t="n">
        <v>9.9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9192-2021</t>
        </is>
      </c>
      <c r="B11619" s="1" t="n">
        <v>44249</v>
      </c>
      <c r="C11619" s="1" t="n">
        <v>46075</v>
      </c>
      <c r="D11619" t="inlineStr">
        <is>
          <t>VÄSTERBOTTENS LÄN</t>
        </is>
      </c>
      <c r="E11619" t="inlineStr">
        <is>
          <t>SKELLEFTEÅ</t>
        </is>
      </c>
      <c r="G11619" t="n">
        <v>2.1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14697-2023</t>
        </is>
      </c>
      <c r="B11620" s="1" t="n">
        <v>45012</v>
      </c>
      <c r="C11620" s="1" t="n">
        <v>46075</v>
      </c>
      <c r="D11620" t="inlineStr">
        <is>
          <t>VÄSTERBOTTENS LÄN</t>
        </is>
      </c>
      <c r="E11620" t="inlineStr">
        <is>
          <t>SKELLEFTEÅ</t>
        </is>
      </c>
      <c r="G11620" t="n">
        <v>3.7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19423-2022</t>
        </is>
      </c>
      <c r="B11621" s="1" t="n">
        <v>44693.32515046297</v>
      </c>
      <c r="C11621" s="1" t="n">
        <v>46075</v>
      </c>
      <c r="D11621" t="inlineStr">
        <is>
          <t>VÄSTERBOTTENS LÄN</t>
        </is>
      </c>
      <c r="E11621" t="inlineStr">
        <is>
          <t>VILHELMINA</t>
        </is>
      </c>
      <c r="G11621" t="n">
        <v>1.9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43566-2024</t>
        </is>
      </c>
      <c r="B11622" s="1" t="n">
        <v>45569.40431712963</v>
      </c>
      <c r="C11622" s="1" t="n">
        <v>46075</v>
      </c>
      <c r="D11622" t="inlineStr">
        <is>
          <t>VÄSTERBOTTENS LÄN</t>
        </is>
      </c>
      <c r="E11622" t="inlineStr">
        <is>
          <t>LYCKSELE</t>
        </is>
      </c>
      <c r="F11622" t="inlineStr">
        <is>
          <t>Sveaskog</t>
        </is>
      </c>
      <c r="G11622" t="n">
        <v>3.7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27288-2024</t>
        </is>
      </c>
      <c r="B11623" s="1" t="n">
        <v>45471.92630787037</v>
      </c>
      <c r="C11623" s="1" t="n">
        <v>46075</v>
      </c>
      <c r="D11623" t="inlineStr">
        <is>
          <t>VÄSTERBOTTENS LÄN</t>
        </is>
      </c>
      <c r="E11623" t="inlineStr">
        <is>
          <t>SKELLEFTEÅ</t>
        </is>
      </c>
      <c r="G11623" t="n">
        <v>2.3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4614-2025</t>
        </is>
      </c>
      <c r="B11624" s="1" t="n">
        <v>45687</v>
      </c>
      <c r="C11624" s="1" t="n">
        <v>46075</v>
      </c>
      <c r="D11624" t="inlineStr">
        <is>
          <t>VÄSTERBOTTENS LÄN</t>
        </is>
      </c>
      <c r="E11624" t="inlineStr">
        <is>
          <t>ROBERTSFORS</t>
        </is>
      </c>
      <c r="G11624" t="n">
        <v>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55586-2024</t>
        </is>
      </c>
      <c r="B11625" s="1" t="n">
        <v>45622.56356481482</v>
      </c>
      <c r="C11625" s="1" t="n">
        <v>46075</v>
      </c>
      <c r="D11625" t="inlineStr">
        <is>
          <t>VÄSTERBOTTENS LÄN</t>
        </is>
      </c>
      <c r="E11625" t="inlineStr">
        <is>
          <t>NORSJÖ</t>
        </is>
      </c>
      <c r="F11625" t="inlineStr">
        <is>
          <t>Holmen skog AB</t>
        </is>
      </c>
      <c r="G11625" t="n">
        <v>3.2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55594-2024</t>
        </is>
      </c>
      <c r="B11626" s="1" t="n">
        <v>45622</v>
      </c>
      <c r="C11626" s="1" t="n">
        <v>46075</v>
      </c>
      <c r="D11626" t="inlineStr">
        <is>
          <t>VÄSTERBOTTENS LÄN</t>
        </is>
      </c>
      <c r="E11626" t="inlineStr">
        <is>
          <t>MALÅ</t>
        </is>
      </c>
      <c r="F11626" t="inlineStr">
        <is>
          <t>Sveaskog</t>
        </is>
      </c>
      <c r="G11626" t="n">
        <v>60.1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1275-2025</t>
        </is>
      </c>
      <c r="B11627" s="1" t="n">
        <v>45666</v>
      </c>
      <c r="C11627" s="1" t="n">
        <v>46075</v>
      </c>
      <c r="D11627" t="inlineStr">
        <is>
          <t>VÄSTERBOTTENS LÄN</t>
        </is>
      </c>
      <c r="E11627" t="inlineStr">
        <is>
          <t>ÅSELE</t>
        </is>
      </c>
      <c r="G11627" t="n">
        <v>8.1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63060-2023</t>
        </is>
      </c>
      <c r="B11628" s="1" t="n">
        <v>45272.95590277778</v>
      </c>
      <c r="C11628" s="1" t="n">
        <v>46075</v>
      </c>
      <c r="D11628" t="inlineStr">
        <is>
          <t>VÄSTERBOTTENS LÄN</t>
        </is>
      </c>
      <c r="E11628" t="inlineStr">
        <is>
          <t>ÅSELE</t>
        </is>
      </c>
      <c r="F11628" t="inlineStr">
        <is>
          <t>SCA</t>
        </is>
      </c>
      <c r="G11628" t="n">
        <v>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56784-2024</t>
        </is>
      </c>
      <c r="B11629" s="1" t="n">
        <v>45628</v>
      </c>
      <c r="C11629" s="1" t="n">
        <v>46075</v>
      </c>
      <c r="D11629" t="inlineStr">
        <is>
          <t>VÄSTERBOTTENS LÄN</t>
        </is>
      </c>
      <c r="E11629" t="inlineStr">
        <is>
          <t>VINDELN</t>
        </is>
      </c>
      <c r="F11629" t="inlineStr">
        <is>
          <t>Holmen skog AB</t>
        </is>
      </c>
      <c r="G11629" t="n">
        <v>4.8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14325-2025</t>
        </is>
      </c>
      <c r="B11630" s="1" t="n">
        <v>45740.81103009259</v>
      </c>
      <c r="C11630" s="1" t="n">
        <v>46075</v>
      </c>
      <c r="D11630" t="inlineStr">
        <is>
          <t>VÄSTERBOTTENS LÄN</t>
        </is>
      </c>
      <c r="E11630" t="inlineStr">
        <is>
          <t>DOROTEA</t>
        </is>
      </c>
      <c r="G11630" t="n">
        <v>1.8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14380-2025</t>
        </is>
      </c>
      <c r="B11631" s="1" t="n">
        <v>45741.41429398148</v>
      </c>
      <c r="C11631" s="1" t="n">
        <v>46075</v>
      </c>
      <c r="D11631" t="inlineStr">
        <is>
          <t>VÄSTERBOTTENS LÄN</t>
        </is>
      </c>
      <c r="E11631" t="inlineStr">
        <is>
          <t>UMEÅ</t>
        </is>
      </c>
      <c r="G11631" t="n">
        <v>0.5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12190-2024</t>
        </is>
      </c>
      <c r="B11632" s="1" t="n">
        <v>45377.94954861111</v>
      </c>
      <c r="C11632" s="1" t="n">
        <v>46075</v>
      </c>
      <c r="D11632" t="inlineStr">
        <is>
          <t>VÄSTERBOTTENS LÄN</t>
        </is>
      </c>
      <c r="E11632" t="inlineStr">
        <is>
          <t>VILHELMINA</t>
        </is>
      </c>
      <c r="F11632" t="inlineStr">
        <is>
          <t>SCA</t>
        </is>
      </c>
      <c r="G11632" t="n">
        <v>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13403-2025</t>
        </is>
      </c>
      <c r="B11633" s="1" t="n">
        <v>45735</v>
      </c>
      <c r="C11633" s="1" t="n">
        <v>46075</v>
      </c>
      <c r="D11633" t="inlineStr">
        <is>
          <t>VÄSTERBOTTENS LÄN</t>
        </is>
      </c>
      <c r="E11633" t="inlineStr">
        <is>
          <t>ÅSELE</t>
        </is>
      </c>
      <c r="G11633" t="n">
        <v>1.6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56789-2024</t>
        </is>
      </c>
      <c r="B11634" s="1" t="n">
        <v>45628</v>
      </c>
      <c r="C11634" s="1" t="n">
        <v>46075</v>
      </c>
      <c r="D11634" t="inlineStr">
        <is>
          <t>VÄSTERBOTTENS LÄN</t>
        </is>
      </c>
      <c r="E11634" t="inlineStr">
        <is>
          <t>VINDELN</t>
        </is>
      </c>
      <c r="F11634" t="inlineStr">
        <is>
          <t>Holmen skog AB</t>
        </is>
      </c>
      <c r="G11634" t="n">
        <v>4.8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711-2023</t>
        </is>
      </c>
      <c r="B11635" s="1" t="n">
        <v>44930.92725694444</v>
      </c>
      <c r="C11635" s="1" t="n">
        <v>46075</v>
      </c>
      <c r="D11635" t="inlineStr">
        <is>
          <t>VÄSTERBOTTENS LÄN</t>
        </is>
      </c>
      <c r="E11635" t="inlineStr">
        <is>
          <t>DOROTEA</t>
        </is>
      </c>
      <c r="G11635" t="n">
        <v>7.3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22760-2022</t>
        </is>
      </c>
      <c r="B11636" s="1" t="n">
        <v>44714</v>
      </c>
      <c r="C11636" s="1" t="n">
        <v>46075</v>
      </c>
      <c r="D11636" t="inlineStr">
        <is>
          <t>VÄSTERBOTTENS LÄN</t>
        </is>
      </c>
      <c r="E11636" t="inlineStr">
        <is>
          <t>SKELLEFTEÅ</t>
        </is>
      </c>
      <c r="G11636" t="n">
        <v>12.2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22795-2022</t>
        </is>
      </c>
      <c r="B11637" s="1" t="n">
        <v>44715.33833333333</v>
      </c>
      <c r="C11637" s="1" t="n">
        <v>46075</v>
      </c>
      <c r="D11637" t="inlineStr">
        <is>
          <t>VÄSTERBOTTENS LÄN</t>
        </is>
      </c>
      <c r="E11637" t="inlineStr">
        <is>
          <t>UMEÅ</t>
        </is>
      </c>
      <c r="G11637" t="n">
        <v>2.8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3626-2025</t>
        </is>
      </c>
      <c r="B11638" s="1" t="n">
        <v>45681.37163194444</v>
      </c>
      <c r="C11638" s="1" t="n">
        <v>46075</v>
      </c>
      <c r="D11638" t="inlineStr">
        <is>
          <t>VÄSTERBOTTENS LÄN</t>
        </is>
      </c>
      <c r="E11638" t="inlineStr">
        <is>
          <t>SKELLEFTEÅ</t>
        </is>
      </c>
      <c r="G11638" t="n">
        <v>0.9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4403-2025</t>
        </is>
      </c>
      <c r="B11639" s="1" t="n">
        <v>45686.43848379629</v>
      </c>
      <c r="C11639" s="1" t="n">
        <v>46075</v>
      </c>
      <c r="D11639" t="inlineStr">
        <is>
          <t>VÄSTERBOTTENS LÄN</t>
        </is>
      </c>
      <c r="E11639" t="inlineStr">
        <is>
          <t>SKELLEFTEÅ</t>
        </is>
      </c>
      <c r="G11639" t="n">
        <v>5.8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33737-2024</t>
        </is>
      </c>
      <c r="B11640" s="1" t="n">
        <v>45520.55659722222</v>
      </c>
      <c r="C11640" s="1" t="n">
        <v>46075</v>
      </c>
      <c r="D11640" t="inlineStr">
        <is>
          <t>VÄSTERBOTTENS LÄN</t>
        </is>
      </c>
      <c r="E11640" t="inlineStr">
        <is>
          <t>STORUMAN</t>
        </is>
      </c>
      <c r="F11640" t="inlineStr">
        <is>
          <t>Sveaskog</t>
        </is>
      </c>
      <c r="G11640" t="n">
        <v>6.7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61280-2023</t>
        </is>
      </c>
      <c r="B11641" s="1" t="n">
        <v>45260</v>
      </c>
      <c r="C11641" s="1" t="n">
        <v>46075</v>
      </c>
      <c r="D11641" t="inlineStr">
        <is>
          <t>VÄSTERBOTTENS LÄN</t>
        </is>
      </c>
      <c r="E11641" t="inlineStr">
        <is>
          <t>UMEÅ</t>
        </is>
      </c>
      <c r="G11641" t="n">
        <v>0.9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13023-2025</t>
        </is>
      </c>
      <c r="B11642" s="1" t="n">
        <v>45734.55266203704</v>
      </c>
      <c r="C11642" s="1" t="n">
        <v>46075</v>
      </c>
      <c r="D11642" t="inlineStr">
        <is>
          <t>VÄSTERBOTTENS LÄN</t>
        </is>
      </c>
      <c r="E11642" t="inlineStr">
        <is>
          <t>DOROTEA</t>
        </is>
      </c>
      <c r="F11642" t="inlineStr">
        <is>
          <t>SCA</t>
        </is>
      </c>
      <c r="G11642" t="n">
        <v>2.2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31119-2023</t>
        </is>
      </c>
      <c r="B11643" s="1" t="n">
        <v>45099</v>
      </c>
      <c r="C11643" s="1" t="n">
        <v>46075</v>
      </c>
      <c r="D11643" t="inlineStr">
        <is>
          <t>VÄSTERBOTTENS LÄN</t>
        </is>
      </c>
      <c r="E11643" t="inlineStr">
        <is>
          <t>ÅSELE</t>
        </is>
      </c>
      <c r="G11643" t="n">
        <v>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26358-2023</t>
        </is>
      </c>
      <c r="B11644" s="1" t="n">
        <v>45091</v>
      </c>
      <c r="C11644" s="1" t="n">
        <v>46075</v>
      </c>
      <c r="D11644" t="inlineStr">
        <is>
          <t>VÄSTERBOTTENS LÄN</t>
        </is>
      </c>
      <c r="E11644" t="inlineStr">
        <is>
          <t>LYCKSELE</t>
        </is>
      </c>
      <c r="F11644" t="inlineStr">
        <is>
          <t>SCA</t>
        </is>
      </c>
      <c r="G11644" t="n">
        <v>1.8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26071-2024</t>
        </is>
      </c>
      <c r="B11645" s="1" t="n">
        <v>45468.36027777778</v>
      </c>
      <c r="C11645" s="1" t="n">
        <v>46075</v>
      </c>
      <c r="D11645" t="inlineStr">
        <is>
          <t>VÄSTERBOTTENS LÄN</t>
        </is>
      </c>
      <c r="E11645" t="inlineStr">
        <is>
          <t>LYCKSELE</t>
        </is>
      </c>
      <c r="G11645" t="n">
        <v>8.1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21811-2024</t>
        </is>
      </c>
      <c r="B11646" s="1" t="n">
        <v>45442</v>
      </c>
      <c r="C11646" s="1" t="n">
        <v>46075</v>
      </c>
      <c r="D11646" t="inlineStr">
        <is>
          <t>VÄSTERBOTTENS LÄN</t>
        </is>
      </c>
      <c r="E11646" t="inlineStr">
        <is>
          <t>ROBERTSFORS</t>
        </is>
      </c>
      <c r="G11646" t="n">
        <v>1.1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23463-2024</t>
        </is>
      </c>
      <c r="B11647" s="1" t="n">
        <v>45453</v>
      </c>
      <c r="C11647" s="1" t="n">
        <v>46075</v>
      </c>
      <c r="D11647" t="inlineStr">
        <is>
          <t>VÄSTERBOTTENS LÄN</t>
        </is>
      </c>
      <c r="E11647" t="inlineStr">
        <is>
          <t>VINDELN</t>
        </is>
      </c>
      <c r="F11647" t="inlineStr">
        <is>
          <t>Sveaskog</t>
        </is>
      </c>
      <c r="G11647" t="n">
        <v>1.3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23521-2024</t>
        </is>
      </c>
      <c r="B11648" s="1" t="n">
        <v>45453.92469907407</v>
      </c>
      <c r="C11648" s="1" t="n">
        <v>46075</v>
      </c>
      <c r="D11648" t="inlineStr">
        <is>
          <t>VÄSTERBOTTENS LÄN</t>
        </is>
      </c>
      <c r="E11648" t="inlineStr">
        <is>
          <t>SKELLEFTEÅ</t>
        </is>
      </c>
      <c r="G11648" t="n">
        <v>1.6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23562-2024</t>
        </is>
      </c>
      <c r="B11649" s="1" t="n">
        <v>45453</v>
      </c>
      <c r="C11649" s="1" t="n">
        <v>46075</v>
      </c>
      <c r="D11649" t="inlineStr">
        <is>
          <t>VÄSTERBOTTENS LÄN</t>
        </is>
      </c>
      <c r="E11649" t="inlineStr">
        <is>
          <t>VINDELN</t>
        </is>
      </c>
      <c r="F11649" t="inlineStr">
        <is>
          <t>SCA</t>
        </is>
      </c>
      <c r="G11649" t="n">
        <v>1.9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24303-2021</t>
        </is>
      </c>
      <c r="B11650" s="1" t="n">
        <v>44337.33520833333</v>
      </c>
      <c r="C11650" s="1" t="n">
        <v>46075</v>
      </c>
      <c r="D11650" t="inlineStr">
        <is>
          <t>VÄSTERBOTTENS LÄN</t>
        </is>
      </c>
      <c r="E11650" t="inlineStr">
        <is>
          <t>SKELLEFTEÅ</t>
        </is>
      </c>
      <c r="G11650" t="n">
        <v>6.1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61779-2023</t>
        </is>
      </c>
      <c r="B11651" s="1" t="n">
        <v>45265.95677083333</v>
      </c>
      <c r="C11651" s="1" t="n">
        <v>46075</v>
      </c>
      <c r="D11651" t="inlineStr">
        <is>
          <t>VÄSTERBOTTENS LÄN</t>
        </is>
      </c>
      <c r="E11651" t="inlineStr">
        <is>
          <t>VILHELMINA</t>
        </is>
      </c>
      <c r="F11651" t="inlineStr">
        <is>
          <t>SCA</t>
        </is>
      </c>
      <c r="G11651" t="n">
        <v>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61799-2023</t>
        </is>
      </c>
      <c r="B11652" s="1" t="n">
        <v>45265.95865740741</v>
      </c>
      <c r="C11652" s="1" t="n">
        <v>46075</v>
      </c>
      <c r="D11652" t="inlineStr">
        <is>
          <t>VÄSTERBOTTENS LÄN</t>
        </is>
      </c>
      <c r="E11652" t="inlineStr">
        <is>
          <t>LYCKSELE</t>
        </is>
      </c>
      <c r="F11652" t="inlineStr">
        <is>
          <t>SCA</t>
        </is>
      </c>
      <c r="G11652" t="n">
        <v>3.3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16844-2025</t>
        </is>
      </c>
      <c r="B11653" s="1" t="n">
        <v>45754.67600694444</v>
      </c>
      <c r="C11653" s="1" t="n">
        <v>46075</v>
      </c>
      <c r="D11653" t="inlineStr">
        <is>
          <t>VÄSTERBOTTENS LÄN</t>
        </is>
      </c>
      <c r="E11653" t="inlineStr">
        <is>
          <t>VINDELN</t>
        </is>
      </c>
      <c r="G11653" t="n">
        <v>2.3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16856-2025</t>
        </is>
      </c>
      <c r="B11654" s="1" t="n">
        <v>45754</v>
      </c>
      <c r="C11654" s="1" t="n">
        <v>46075</v>
      </c>
      <c r="D11654" t="inlineStr">
        <is>
          <t>VÄSTERBOTTENS LÄN</t>
        </is>
      </c>
      <c r="E11654" t="inlineStr">
        <is>
          <t>SKELLEFTEÅ</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16907-2025</t>
        </is>
      </c>
      <c r="B11655" s="1" t="n">
        <v>45755.35048611111</v>
      </c>
      <c r="C11655" s="1" t="n">
        <v>46075</v>
      </c>
      <c r="D11655" t="inlineStr">
        <is>
          <t>VÄSTERBOTTENS LÄN</t>
        </is>
      </c>
      <c r="E11655" t="inlineStr">
        <is>
          <t>UMEÅ</t>
        </is>
      </c>
      <c r="G11655" t="n">
        <v>6.4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50072-2024</t>
        </is>
      </c>
      <c r="B11656" s="1" t="n">
        <v>45600.36332175926</v>
      </c>
      <c r="C11656" s="1" t="n">
        <v>46075</v>
      </c>
      <c r="D11656" t="inlineStr">
        <is>
          <t>VÄSTERBOTTENS LÄN</t>
        </is>
      </c>
      <c r="E11656" t="inlineStr">
        <is>
          <t>LYCKSELE</t>
        </is>
      </c>
      <c r="G11656" t="n">
        <v>2.5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30953-2023</t>
        </is>
      </c>
      <c r="B11657" s="1" t="n">
        <v>45113.46905092592</v>
      </c>
      <c r="C11657" s="1" t="n">
        <v>46075</v>
      </c>
      <c r="D11657" t="inlineStr">
        <is>
          <t>VÄSTERBOTTENS LÄN</t>
        </is>
      </c>
      <c r="E11657" t="inlineStr">
        <is>
          <t>SKELLEFTEÅ</t>
        </is>
      </c>
      <c r="F11657" t="inlineStr">
        <is>
          <t>Holmen skog AB</t>
        </is>
      </c>
      <c r="G11657" t="n">
        <v>1.4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61270-2022</t>
        </is>
      </c>
      <c r="B11658" s="1" t="n">
        <v>44909</v>
      </c>
      <c r="C11658" s="1" t="n">
        <v>46075</v>
      </c>
      <c r="D11658" t="inlineStr">
        <is>
          <t>VÄSTERBOTTENS LÄN</t>
        </is>
      </c>
      <c r="E11658" t="inlineStr">
        <is>
          <t>VILHELMINA</t>
        </is>
      </c>
      <c r="G11658" t="n">
        <v>8.9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12112-2024</t>
        </is>
      </c>
      <c r="B11659" s="1" t="n">
        <v>45376</v>
      </c>
      <c r="C11659" s="1" t="n">
        <v>46075</v>
      </c>
      <c r="D11659" t="inlineStr">
        <is>
          <t>VÄSTERBOTTENS LÄN</t>
        </is>
      </c>
      <c r="E11659" t="inlineStr">
        <is>
          <t>SKELLEFTEÅ</t>
        </is>
      </c>
      <c r="G11659" t="n">
        <v>0.5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56533-2021</t>
        </is>
      </c>
      <c r="B11660" s="1" t="n">
        <v>44480</v>
      </c>
      <c r="C11660" s="1" t="n">
        <v>46075</v>
      </c>
      <c r="D11660" t="inlineStr">
        <is>
          <t>VÄSTERBOTTENS LÄN</t>
        </is>
      </c>
      <c r="E11660" t="inlineStr">
        <is>
          <t>STORUMAN</t>
        </is>
      </c>
      <c r="G11660" t="n">
        <v>19.4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12373-2024</t>
        </is>
      </c>
      <c r="B11661" s="1" t="n">
        <v>45378</v>
      </c>
      <c r="C11661" s="1" t="n">
        <v>46075</v>
      </c>
      <c r="D11661" t="inlineStr">
        <is>
          <t>VÄSTERBOTTENS LÄN</t>
        </is>
      </c>
      <c r="E11661" t="inlineStr">
        <is>
          <t>VILHELMINA</t>
        </is>
      </c>
      <c r="G11661" t="n">
        <v>0.7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53349-2024</t>
        </is>
      </c>
      <c r="B11662" s="1" t="n">
        <v>45614.44842592593</v>
      </c>
      <c r="C11662" s="1" t="n">
        <v>46075</v>
      </c>
      <c r="D11662" t="inlineStr">
        <is>
          <t>VÄSTERBOTTENS LÄN</t>
        </is>
      </c>
      <c r="E11662" t="inlineStr">
        <is>
          <t>VINDELN</t>
        </is>
      </c>
      <c r="F11662" t="inlineStr">
        <is>
          <t>SCA</t>
        </is>
      </c>
      <c r="G11662" t="n">
        <v>4.1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53350-2024</t>
        </is>
      </c>
      <c r="B11663" s="1" t="n">
        <v>45614.44863425926</v>
      </c>
      <c r="C11663" s="1" t="n">
        <v>46075</v>
      </c>
      <c r="D11663" t="inlineStr">
        <is>
          <t>VÄSTERBOTTENS LÄN</t>
        </is>
      </c>
      <c r="E11663" t="inlineStr">
        <is>
          <t>VINDELN</t>
        </is>
      </c>
      <c r="F11663" t="inlineStr">
        <is>
          <t>SCA</t>
        </is>
      </c>
      <c r="G11663" t="n">
        <v>8.300000000000001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37298-2024</t>
        </is>
      </c>
      <c r="B11664" s="1" t="n">
        <v>45540.45724537037</v>
      </c>
      <c r="C11664" s="1" t="n">
        <v>46075</v>
      </c>
      <c r="D11664" t="inlineStr">
        <is>
          <t>VÄSTERBOTTENS LÄN</t>
        </is>
      </c>
      <c r="E11664" t="inlineStr">
        <is>
          <t>SKELLEFTEÅ</t>
        </is>
      </c>
      <c r="F11664" t="inlineStr">
        <is>
          <t>Holmen skog AB</t>
        </is>
      </c>
      <c r="G11664" t="n">
        <v>3.1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69458-2021</t>
        </is>
      </c>
      <c r="B11665" s="1" t="n">
        <v>44531</v>
      </c>
      <c r="C11665" s="1" t="n">
        <v>46075</v>
      </c>
      <c r="D11665" t="inlineStr">
        <is>
          <t>VÄSTERBOTTENS LÄN</t>
        </is>
      </c>
      <c r="E11665" t="inlineStr">
        <is>
          <t>SORSELE</t>
        </is>
      </c>
      <c r="G11665" t="n">
        <v>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14994-2025</t>
        </is>
      </c>
      <c r="B11666" s="1" t="n">
        <v>45743</v>
      </c>
      <c r="C11666" s="1" t="n">
        <v>46075</v>
      </c>
      <c r="D11666" t="inlineStr">
        <is>
          <t>VÄSTERBOTTENS LÄN</t>
        </is>
      </c>
      <c r="E11666" t="inlineStr">
        <is>
          <t>VINDELN</t>
        </is>
      </c>
      <c r="G11666" t="n">
        <v>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39401-2022</t>
        </is>
      </c>
      <c r="B11667" s="1" t="n">
        <v>44817.94894675926</v>
      </c>
      <c r="C11667" s="1" t="n">
        <v>46075</v>
      </c>
      <c r="D11667" t="inlineStr">
        <is>
          <t>VÄSTERBOTTENS LÄN</t>
        </is>
      </c>
      <c r="E11667" t="inlineStr">
        <is>
          <t>ÅSELE</t>
        </is>
      </c>
      <c r="F11667" t="inlineStr">
        <is>
          <t>SCA</t>
        </is>
      </c>
      <c r="G11667" t="n">
        <v>3.2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21843-2024</t>
        </is>
      </c>
      <c r="B11668" s="1" t="n">
        <v>45442.96064814815</v>
      </c>
      <c r="C11668" s="1" t="n">
        <v>46075</v>
      </c>
      <c r="D11668" t="inlineStr">
        <is>
          <t>VÄSTERBOTTENS LÄN</t>
        </is>
      </c>
      <c r="E11668" t="inlineStr">
        <is>
          <t>VILHELMINA</t>
        </is>
      </c>
      <c r="F11668" t="inlineStr">
        <is>
          <t>SCA</t>
        </is>
      </c>
      <c r="G11668" t="n">
        <v>1.2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959-2025</t>
        </is>
      </c>
      <c r="B11669" s="1" t="n">
        <v>45666</v>
      </c>
      <c r="C11669" s="1" t="n">
        <v>46075</v>
      </c>
      <c r="D11669" t="inlineStr">
        <is>
          <t>VÄSTERBOTTENS LÄN</t>
        </is>
      </c>
      <c r="E11669" t="inlineStr">
        <is>
          <t>VINDELN</t>
        </is>
      </c>
      <c r="F11669" t="inlineStr">
        <is>
          <t>Sveaskog</t>
        </is>
      </c>
      <c r="G11669" t="n">
        <v>8.5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49275-2023</t>
        </is>
      </c>
      <c r="B11670" s="1" t="n">
        <v>45210</v>
      </c>
      <c r="C11670" s="1" t="n">
        <v>46075</v>
      </c>
      <c r="D11670" t="inlineStr">
        <is>
          <t>VÄSTERBOTTENS LÄN</t>
        </is>
      </c>
      <c r="E11670" t="inlineStr">
        <is>
          <t>VINDELN</t>
        </is>
      </c>
      <c r="F11670" t="inlineStr">
        <is>
          <t>Sveaskog</t>
        </is>
      </c>
      <c r="G11670" t="n">
        <v>2.9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59660-2024</t>
        </is>
      </c>
      <c r="B11671" s="1" t="n">
        <v>45639.35697916667</v>
      </c>
      <c r="C11671" s="1" t="n">
        <v>46075</v>
      </c>
      <c r="D11671" t="inlineStr">
        <is>
          <t>VÄSTERBOTTENS LÄN</t>
        </is>
      </c>
      <c r="E11671" t="inlineStr">
        <is>
          <t>SKELLEFTEÅ</t>
        </is>
      </c>
      <c r="F11671" t="inlineStr">
        <is>
          <t>Sveaskog</t>
        </is>
      </c>
      <c r="G11671" t="n">
        <v>13.9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20008-2025</t>
        </is>
      </c>
      <c r="B11672" s="1" t="n">
        <v>45772.27237268518</v>
      </c>
      <c r="C11672" s="1" t="n">
        <v>46075</v>
      </c>
      <c r="D11672" t="inlineStr">
        <is>
          <t>VÄSTERBOTTENS LÄN</t>
        </is>
      </c>
      <c r="E11672" t="inlineStr">
        <is>
          <t>NORDMALING</t>
        </is>
      </c>
      <c r="G11672" t="n">
        <v>1.4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28833-2024</t>
        </is>
      </c>
      <c r="B11673" s="1" t="n">
        <v>45478.6802662037</v>
      </c>
      <c r="C11673" s="1" t="n">
        <v>46075</v>
      </c>
      <c r="D11673" t="inlineStr">
        <is>
          <t>VÄSTERBOTTENS LÄN</t>
        </is>
      </c>
      <c r="E11673" t="inlineStr">
        <is>
          <t>LYCKSELE</t>
        </is>
      </c>
      <c r="F11673" t="inlineStr">
        <is>
          <t>Sveaskog</t>
        </is>
      </c>
      <c r="G11673" t="n">
        <v>1.6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46803-2023</t>
        </is>
      </c>
      <c r="B11674" s="1" t="n">
        <v>45198</v>
      </c>
      <c r="C11674" s="1" t="n">
        <v>46075</v>
      </c>
      <c r="D11674" t="inlineStr">
        <is>
          <t>VÄSTERBOTTENS LÄN</t>
        </is>
      </c>
      <c r="E11674" t="inlineStr">
        <is>
          <t>NORSJÖ</t>
        </is>
      </c>
      <c r="G11674" t="n">
        <v>9.1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44924-2023</t>
        </is>
      </c>
      <c r="B11675" s="1" t="n">
        <v>45187</v>
      </c>
      <c r="C11675" s="1" t="n">
        <v>46075</v>
      </c>
      <c r="D11675" t="inlineStr">
        <is>
          <t>VÄSTERBOTTENS LÄN</t>
        </is>
      </c>
      <c r="E11675" t="inlineStr">
        <is>
          <t>NORDMALING</t>
        </is>
      </c>
      <c r="G11675" t="n">
        <v>5.8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2109-2025</t>
        </is>
      </c>
      <c r="B11676" s="1" t="n">
        <v>45672</v>
      </c>
      <c r="C11676" s="1" t="n">
        <v>46075</v>
      </c>
      <c r="D11676" t="inlineStr">
        <is>
          <t>VÄSTERBOTTENS LÄN</t>
        </is>
      </c>
      <c r="E11676" t="inlineStr">
        <is>
          <t>LYCKSELE</t>
        </is>
      </c>
      <c r="G11676" t="n">
        <v>5.6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61876-2023</t>
        </is>
      </c>
      <c r="B11677" s="1" t="n">
        <v>45266</v>
      </c>
      <c r="C11677" s="1" t="n">
        <v>46075</v>
      </c>
      <c r="D11677" t="inlineStr">
        <is>
          <t>VÄSTERBOTTENS LÄN</t>
        </is>
      </c>
      <c r="E11677" t="inlineStr">
        <is>
          <t>ÅSELE</t>
        </is>
      </c>
      <c r="F11677" t="inlineStr">
        <is>
          <t>Sveaskog</t>
        </is>
      </c>
      <c r="G11677" t="n">
        <v>6.3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41606-2024</t>
        </is>
      </c>
      <c r="B11678" s="1" t="n">
        <v>45560.58483796296</v>
      </c>
      <c r="C11678" s="1" t="n">
        <v>46075</v>
      </c>
      <c r="D11678" t="inlineStr">
        <is>
          <t>VÄSTERBOTTENS LÄN</t>
        </is>
      </c>
      <c r="E11678" t="inlineStr">
        <is>
          <t>NORDMALING</t>
        </is>
      </c>
      <c r="G11678" t="n">
        <v>3.4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36274-2024</t>
        </is>
      </c>
      <c r="B11679" s="1" t="n">
        <v>45534.57965277778</v>
      </c>
      <c r="C11679" s="1" t="n">
        <v>46075</v>
      </c>
      <c r="D11679" t="inlineStr">
        <is>
          <t>VÄSTERBOTTENS LÄN</t>
        </is>
      </c>
      <c r="E11679" t="inlineStr">
        <is>
          <t>LYCKSELE</t>
        </is>
      </c>
      <c r="F11679" t="inlineStr">
        <is>
          <t>Holmen skog AB</t>
        </is>
      </c>
      <c r="G11679" t="n">
        <v>1.7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1013-2023</t>
        </is>
      </c>
      <c r="B11680" s="1" t="n">
        <v>44935.45384259259</v>
      </c>
      <c r="C11680" s="1" t="n">
        <v>46075</v>
      </c>
      <c r="D11680" t="inlineStr">
        <is>
          <t>VÄSTERBOTTENS LÄN</t>
        </is>
      </c>
      <c r="E11680" t="inlineStr">
        <is>
          <t>SORSELE</t>
        </is>
      </c>
      <c r="G11680" t="n">
        <v>5.2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7076-2025</t>
        </is>
      </c>
      <c r="B11681" s="1" t="n">
        <v>45701.68518518518</v>
      </c>
      <c r="C11681" s="1" t="n">
        <v>46075</v>
      </c>
      <c r="D11681" t="inlineStr">
        <is>
          <t>VÄSTERBOTTENS LÄN</t>
        </is>
      </c>
      <c r="E11681" t="inlineStr">
        <is>
          <t>ROBERTSFORS</t>
        </is>
      </c>
      <c r="G11681" t="n">
        <v>3.6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7104-2025</t>
        </is>
      </c>
      <c r="B11682" s="1" t="n">
        <v>45701.91782407407</v>
      </c>
      <c r="C11682" s="1" t="n">
        <v>46075</v>
      </c>
      <c r="D11682" t="inlineStr">
        <is>
          <t>VÄSTERBOTTENS LÄN</t>
        </is>
      </c>
      <c r="E11682" t="inlineStr">
        <is>
          <t>VINDELN</t>
        </is>
      </c>
      <c r="G11682" t="n">
        <v>1.2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45844-2021</t>
        </is>
      </c>
      <c r="B11683" s="1" t="n">
        <v>44441</v>
      </c>
      <c r="C11683" s="1" t="n">
        <v>46075</v>
      </c>
      <c r="D11683" t="inlineStr">
        <is>
          <t>VÄSTERBOTTENS LÄN</t>
        </is>
      </c>
      <c r="E11683" t="inlineStr">
        <is>
          <t>BJURHOLM</t>
        </is>
      </c>
      <c r="G11683" t="n">
        <v>0.4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54152-2024</t>
        </is>
      </c>
      <c r="B11684" s="1" t="n">
        <v>45616</v>
      </c>
      <c r="C11684" s="1" t="n">
        <v>46075</v>
      </c>
      <c r="D11684" t="inlineStr">
        <is>
          <t>VÄSTERBOTTENS LÄN</t>
        </is>
      </c>
      <c r="E11684" t="inlineStr">
        <is>
          <t>UMEÅ</t>
        </is>
      </c>
      <c r="G11684" t="n">
        <v>0.4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54169-2024</t>
        </is>
      </c>
      <c r="B11685" s="1" t="n">
        <v>45616.625</v>
      </c>
      <c r="C11685" s="1" t="n">
        <v>46075</v>
      </c>
      <c r="D11685" t="inlineStr">
        <is>
          <t>VÄSTERBOTTENS LÄN</t>
        </is>
      </c>
      <c r="E11685" t="inlineStr">
        <is>
          <t>NORDMALING</t>
        </is>
      </c>
      <c r="G11685" t="n">
        <v>2.7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15138-2025</t>
        </is>
      </c>
      <c r="B11686" s="1" t="n">
        <v>45744.38621527778</v>
      </c>
      <c r="C11686" s="1" t="n">
        <v>46075</v>
      </c>
      <c r="D11686" t="inlineStr">
        <is>
          <t>VÄSTERBOTTENS LÄN</t>
        </is>
      </c>
      <c r="E11686" t="inlineStr">
        <is>
          <t>SKELLEFTEÅ</t>
        </is>
      </c>
      <c r="G11686" t="n">
        <v>1.9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58954-2024</t>
        </is>
      </c>
      <c r="B11687" s="1" t="n">
        <v>45636.57275462963</v>
      </c>
      <c r="C11687" s="1" t="n">
        <v>46075</v>
      </c>
      <c r="D11687" t="inlineStr">
        <is>
          <t>VÄSTERBOTTENS LÄN</t>
        </is>
      </c>
      <c r="E11687" t="inlineStr">
        <is>
          <t>UMEÅ</t>
        </is>
      </c>
      <c r="G11687" t="n">
        <v>0.8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50238-2024</t>
        </is>
      </c>
      <c r="B11688" s="1" t="n">
        <v>45600.55559027778</v>
      </c>
      <c r="C11688" s="1" t="n">
        <v>46075</v>
      </c>
      <c r="D11688" t="inlineStr">
        <is>
          <t>VÄSTERBOTTENS LÄN</t>
        </is>
      </c>
      <c r="E11688" t="inlineStr">
        <is>
          <t>BJURHOLM</t>
        </is>
      </c>
      <c r="F11688" t="inlineStr">
        <is>
          <t>Holmen skog AB</t>
        </is>
      </c>
      <c r="G11688" t="n">
        <v>5.7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50276-2024</t>
        </is>
      </c>
      <c r="B11689" s="1" t="n">
        <v>45600.60181712963</v>
      </c>
      <c r="C11689" s="1" t="n">
        <v>46075</v>
      </c>
      <c r="D11689" t="inlineStr">
        <is>
          <t>VÄSTERBOTTENS LÄN</t>
        </is>
      </c>
      <c r="E11689" t="inlineStr">
        <is>
          <t>SKELLEFTEÅ</t>
        </is>
      </c>
      <c r="G11689" t="n">
        <v>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50278-2024</t>
        </is>
      </c>
      <c r="B11690" s="1" t="n">
        <v>45600.60490740741</v>
      </c>
      <c r="C11690" s="1" t="n">
        <v>46075</v>
      </c>
      <c r="D11690" t="inlineStr">
        <is>
          <t>VÄSTERBOTTENS LÄN</t>
        </is>
      </c>
      <c r="E11690" t="inlineStr">
        <is>
          <t>VINDELN</t>
        </is>
      </c>
      <c r="G11690" t="n">
        <v>1.8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16999-2023</t>
        </is>
      </c>
      <c r="B11691" s="1" t="n">
        <v>45033.92614583333</v>
      </c>
      <c r="C11691" s="1" t="n">
        <v>46075</v>
      </c>
      <c r="D11691" t="inlineStr">
        <is>
          <t>VÄSTERBOTTENS LÄN</t>
        </is>
      </c>
      <c r="E11691" t="inlineStr">
        <is>
          <t>UMEÅ</t>
        </is>
      </c>
      <c r="G11691" t="n">
        <v>20.1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23216-2024</t>
        </is>
      </c>
      <c r="B11692" s="1" t="n">
        <v>45452</v>
      </c>
      <c r="C11692" s="1" t="n">
        <v>46075</v>
      </c>
      <c r="D11692" t="inlineStr">
        <is>
          <t>VÄSTERBOTTENS LÄN</t>
        </is>
      </c>
      <c r="E11692" t="inlineStr">
        <is>
          <t>VINDELN</t>
        </is>
      </c>
      <c r="G11692" t="n">
        <v>3.3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60390-2024</t>
        </is>
      </c>
      <c r="B11693" s="1" t="n">
        <v>45643.49013888889</v>
      </c>
      <c r="C11693" s="1" t="n">
        <v>46075</v>
      </c>
      <c r="D11693" t="inlineStr">
        <is>
          <t>VÄSTERBOTTENS LÄN</t>
        </is>
      </c>
      <c r="E11693" t="inlineStr">
        <is>
          <t>VINDELN</t>
        </is>
      </c>
      <c r="F11693" t="inlineStr">
        <is>
          <t>SCA</t>
        </is>
      </c>
      <c r="G11693" t="n">
        <v>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61532-2024</t>
        </is>
      </c>
      <c r="B11694" s="1" t="n">
        <v>45646.58855324074</v>
      </c>
      <c r="C11694" s="1" t="n">
        <v>46075</v>
      </c>
      <c r="D11694" t="inlineStr">
        <is>
          <t>VÄSTERBOTTENS LÄN</t>
        </is>
      </c>
      <c r="E11694" t="inlineStr">
        <is>
          <t>UMEÅ</t>
        </is>
      </c>
      <c r="G11694" t="n">
        <v>2.3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61586-2024</t>
        </is>
      </c>
      <c r="B11695" s="1" t="n">
        <v>45646.62806712963</v>
      </c>
      <c r="C11695" s="1" t="n">
        <v>46075</v>
      </c>
      <c r="D11695" t="inlineStr">
        <is>
          <t>VÄSTERBOTTENS LÄN</t>
        </is>
      </c>
      <c r="E11695" t="inlineStr">
        <is>
          <t>VINDELN</t>
        </is>
      </c>
      <c r="G11695" t="n">
        <v>2.3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57092-2024</t>
        </is>
      </c>
      <c r="B11696" s="1" t="n">
        <v>45629.35725694444</v>
      </c>
      <c r="C11696" s="1" t="n">
        <v>46075</v>
      </c>
      <c r="D11696" t="inlineStr">
        <is>
          <t>VÄSTERBOTTENS LÄN</t>
        </is>
      </c>
      <c r="E11696" t="inlineStr">
        <is>
          <t>DOROTEA</t>
        </is>
      </c>
      <c r="F11696" t="inlineStr">
        <is>
          <t>SCA</t>
        </is>
      </c>
      <c r="G11696" t="n">
        <v>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57108-2024</t>
        </is>
      </c>
      <c r="B11697" s="1" t="n">
        <v>45629.36464120371</v>
      </c>
      <c r="C11697" s="1" t="n">
        <v>46075</v>
      </c>
      <c r="D11697" t="inlineStr">
        <is>
          <t>VÄSTERBOTTENS LÄN</t>
        </is>
      </c>
      <c r="E11697" t="inlineStr">
        <is>
          <t>LYCKSELE</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57109-2024</t>
        </is>
      </c>
      <c r="B11698" s="1" t="n">
        <v>45629.36469907407</v>
      </c>
      <c r="C11698" s="1" t="n">
        <v>46075</v>
      </c>
      <c r="D11698" t="inlineStr">
        <is>
          <t>VÄSTERBOTTENS LÄN</t>
        </is>
      </c>
      <c r="E11698" t="inlineStr">
        <is>
          <t>LYCKSELE</t>
        </is>
      </c>
      <c r="G11698" t="n">
        <v>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44132-2023</t>
        </is>
      </c>
      <c r="B11699" s="1" t="n">
        <v>45182</v>
      </c>
      <c r="C11699" s="1" t="n">
        <v>46075</v>
      </c>
      <c r="D11699" t="inlineStr">
        <is>
          <t>VÄSTERBOTTENS LÄN</t>
        </is>
      </c>
      <c r="E11699" t="inlineStr">
        <is>
          <t>SORSELE</t>
        </is>
      </c>
      <c r="G11699" t="n">
        <v>7.1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17393-2023</t>
        </is>
      </c>
      <c r="B11700" s="1" t="n">
        <v>45035</v>
      </c>
      <c r="C11700" s="1" t="n">
        <v>46075</v>
      </c>
      <c r="D11700" t="inlineStr">
        <is>
          <t>VÄSTERBOTTENS LÄN</t>
        </is>
      </c>
      <c r="E11700" t="inlineStr">
        <is>
          <t>LYCKSELE</t>
        </is>
      </c>
      <c r="G11700" t="n">
        <v>1.6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3611-2025</t>
        </is>
      </c>
      <c r="B11701" s="1" t="n">
        <v>45681.36076388889</v>
      </c>
      <c r="C11701" s="1" t="n">
        <v>46075</v>
      </c>
      <c r="D11701" t="inlineStr">
        <is>
          <t>VÄSTERBOTTENS LÄN</t>
        </is>
      </c>
      <c r="E11701" t="inlineStr">
        <is>
          <t>SKELLEFTEÅ</t>
        </is>
      </c>
      <c r="G11701" t="n">
        <v>6.5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13011-2025</t>
        </is>
      </c>
      <c r="B11702" s="1" t="n">
        <v>45734.53167824074</v>
      </c>
      <c r="C11702" s="1" t="n">
        <v>46075</v>
      </c>
      <c r="D11702" t="inlineStr">
        <is>
          <t>VÄSTERBOTTENS LÄN</t>
        </is>
      </c>
      <c r="E11702" t="inlineStr">
        <is>
          <t>ÅSELE</t>
        </is>
      </c>
      <c r="F11702" t="inlineStr">
        <is>
          <t>SCA</t>
        </is>
      </c>
      <c r="G11702" t="n">
        <v>2.1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13026-2025</t>
        </is>
      </c>
      <c r="B11703" s="1" t="n">
        <v>45734.5574537037</v>
      </c>
      <c r="C11703" s="1" t="n">
        <v>46075</v>
      </c>
      <c r="D11703" t="inlineStr">
        <is>
          <t>VÄSTERBOTTENS LÄN</t>
        </is>
      </c>
      <c r="E11703" t="inlineStr">
        <is>
          <t>ROBERTSFORS</t>
        </is>
      </c>
      <c r="G11703" t="n">
        <v>24.4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759-2023</t>
        </is>
      </c>
      <c r="B11704" s="1" t="n">
        <v>44931</v>
      </c>
      <c r="C11704" s="1" t="n">
        <v>46075</v>
      </c>
      <c r="D11704" t="inlineStr">
        <is>
          <t>VÄSTERBOTTENS LÄN</t>
        </is>
      </c>
      <c r="E11704" t="inlineStr">
        <is>
          <t>UMEÅ</t>
        </is>
      </c>
      <c r="G11704" t="n">
        <v>1.8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20550-2024</t>
        </is>
      </c>
      <c r="B11705" s="1" t="n">
        <v>45436</v>
      </c>
      <c r="C11705" s="1" t="n">
        <v>46075</v>
      </c>
      <c r="D11705" t="inlineStr">
        <is>
          <t>VÄSTERBOTTENS LÄN</t>
        </is>
      </c>
      <c r="E11705" t="inlineStr">
        <is>
          <t>VINDELN</t>
        </is>
      </c>
      <c r="F11705" t="inlineStr">
        <is>
          <t>Sveaskog</t>
        </is>
      </c>
      <c r="G11705" t="n">
        <v>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57474-2024</t>
        </is>
      </c>
      <c r="B11706" s="1" t="n">
        <v>45630.34488425926</v>
      </c>
      <c r="C11706" s="1" t="n">
        <v>46075</v>
      </c>
      <c r="D11706" t="inlineStr">
        <is>
          <t>VÄSTERBOTTENS LÄN</t>
        </is>
      </c>
      <c r="E11706" t="inlineStr">
        <is>
          <t>VINDELN</t>
        </is>
      </c>
      <c r="F11706" t="inlineStr">
        <is>
          <t>SCA</t>
        </is>
      </c>
      <c r="G11706" t="n">
        <v>1.2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57476-2024</t>
        </is>
      </c>
      <c r="B11707" s="1" t="n">
        <v>45630.34612268519</v>
      </c>
      <c r="C11707" s="1" t="n">
        <v>46075</v>
      </c>
      <c r="D11707" t="inlineStr">
        <is>
          <t>VÄSTERBOTTENS LÄN</t>
        </is>
      </c>
      <c r="E11707" t="inlineStr">
        <is>
          <t>NORSJÖ</t>
        </is>
      </c>
      <c r="F11707" t="inlineStr">
        <is>
          <t>Holmen skog AB</t>
        </is>
      </c>
      <c r="G11707" t="n">
        <v>23.7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36687-2023</t>
        </is>
      </c>
      <c r="B11708" s="1" t="n">
        <v>45152</v>
      </c>
      <c r="C11708" s="1" t="n">
        <v>46075</v>
      </c>
      <c r="D11708" t="inlineStr">
        <is>
          <t>VÄSTERBOTTENS LÄN</t>
        </is>
      </c>
      <c r="E11708" t="inlineStr">
        <is>
          <t>MALÅ</t>
        </is>
      </c>
      <c r="G11708" t="n">
        <v>13.3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36742-2023</t>
        </is>
      </c>
      <c r="B11709" s="1" t="n">
        <v>45153</v>
      </c>
      <c r="C11709" s="1" t="n">
        <v>46075</v>
      </c>
      <c r="D11709" t="inlineStr">
        <is>
          <t>VÄSTERBOTTENS LÄN</t>
        </is>
      </c>
      <c r="E11709" t="inlineStr">
        <is>
          <t>MALÅ</t>
        </is>
      </c>
      <c r="G11709" t="n">
        <v>0.5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879-2025</t>
        </is>
      </c>
      <c r="B11710" s="1" t="n">
        <v>45665</v>
      </c>
      <c r="C11710" s="1" t="n">
        <v>46075</v>
      </c>
      <c r="D11710" t="inlineStr">
        <is>
          <t>VÄSTERBOTTENS LÄN</t>
        </is>
      </c>
      <c r="E11710" t="inlineStr">
        <is>
          <t>NORDMALING</t>
        </is>
      </c>
      <c r="G11710" t="n">
        <v>3.5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886-2025</t>
        </is>
      </c>
      <c r="B11711" s="1" t="n">
        <v>45665.64759259259</v>
      </c>
      <c r="C11711" s="1" t="n">
        <v>46075</v>
      </c>
      <c r="D11711" t="inlineStr">
        <is>
          <t>VÄSTERBOTTENS LÄN</t>
        </is>
      </c>
      <c r="E11711" t="inlineStr">
        <is>
          <t>LYCKSELE</t>
        </is>
      </c>
      <c r="F11711" t="inlineStr">
        <is>
          <t>Naturvårdsverket</t>
        </is>
      </c>
      <c r="G11711" t="n">
        <v>2.9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36747-2023</t>
        </is>
      </c>
      <c r="B11712" s="1" t="n">
        <v>45153</v>
      </c>
      <c r="C11712" s="1" t="n">
        <v>46075</v>
      </c>
      <c r="D11712" t="inlineStr">
        <is>
          <t>VÄSTERBOTTENS LÄN</t>
        </is>
      </c>
      <c r="E11712" t="inlineStr">
        <is>
          <t>MALÅ</t>
        </is>
      </c>
      <c r="G11712" t="n">
        <v>3.3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964-2025</t>
        </is>
      </c>
      <c r="B11713" s="1" t="n">
        <v>45666.38408564815</v>
      </c>
      <c r="C11713" s="1" t="n">
        <v>46075</v>
      </c>
      <c r="D11713" t="inlineStr">
        <is>
          <t>VÄSTERBOTTENS LÄN</t>
        </is>
      </c>
      <c r="E11713" t="inlineStr">
        <is>
          <t>SKELLEFTEÅ</t>
        </is>
      </c>
      <c r="G11713" t="n">
        <v>0.7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1480-2023</t>
        </is>
      </c>
      <c r="B11714" s="1" t="n">
        <v>44937</v>
      </c>
      <c r="C11714" s="1" t="n">
        <v>46075</v>
      </c>
      <c r="D11714" t="inlineStr">
        <is>
          <t>VÄSTERBOTTENS LÄN</t>
        </is>
      </c>
      <c r="E11714" t="inlineStr">
        <is>
          <t>UMEÅ</t>
        </is>
      </c>
      <c r="G11714" t="n">
        <v>2.9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56563-2021</t>
        </is>
      </c>
      <c r="B11715" s="1" t="n">
        <v>44480</v>
      </c>
      <c r="C11715" s="1" t="n">
        <v>46075</v>
      </c>
      <c r="D11715" t="inlineStr">
        <is>
          <t>VÄSTERBOTTENS LÄN</t>
        </is>
      </c>
      <c r="E11715" t="inlineStr">
        <is>
          <t>UMEÅ</t>
        </is>
      </c>
      <c r="G11715" t="n">
        <v>1.1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13878-2025</t>
        </is>
      </c>
      <c r="B11716" s="1" t="n">
        <v>45737.59420138889</v>
      </c>
      <c r="C11716" s="1" t="n">
        <v>46075</v>
      </c>
      <c r="D11716" t="inlineStr">
        <is>
          <t>VÄSTERBOTTENS LÄN</t>
        </is>
      </c>
      <c r="E11716" t="inlineStr">
        <is>
          <t>VINDELN</t>
        </is>
      </c>
      <c r="G11716" t="n">
        <v>3.3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61198-2024</t>
        </is>
      </c>
      <c r="B11717" s="1" t="n">
        <v>45645.63362268519</v>
      </c>
      <c r="C11717" s="1" t="n">
        <v>46075</v>
      </c>
      <c r="D11717" t="inlineStr">
        <is>
          <t>VÄSTERBOTTENS LÄN</t>
        </is>
      </c>
      <c r="E11717" t="inlineStr">
        <is>
          <t>NORDMALING</t>
        </is>
      </c>
      <c r="G11717" t="n">
        <v>0.6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8663-2025</t>
        </is>
      </c>
      <c r="B11718" s="1" t="n">
        <v>45712.39594907407</v>
      </c>
      <c r="C11718" s="1" t="n">
        <v>46075</v>
      </c>
      <c r="D11718" t="inlineStr">
        <is>
          <t>VÄSTERBOTTENS LÄN</t>
        </is>
      </c>
      <c r="E11718" t="inlineStr">
        <is>
          <t>BJURHOLM</t>
        </is>
      </c>
      <c r="F11718" t="inlineStr">
        <is>
          <t>Holmen skog AB</t>
        </is>
      </c>
      <c r="G11718" t="n">
        <v>5.2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61161-2024</t>
        </is>
      </c>
      <c r="B11719" s="1" t="n">
        <v>45645.59473379629</v>
      </c>
      <c r="C11719" s="1" t="n">
        <v>46075</v>
      </c>
      <c r="D11719" t="inlineStr">
        <is>
          <t>VÄSTERBOTTENS LÄN</t>
        </is>
      </c>
      <c r="E11719" t="inlineStr">
        <is>
          <t>LYCKSELE</t>
        </is>
      </c>
      <c r="F11719" t="inlineStr">
        <is>
          <t>SCA</t>
        </is>
      </c>
      <c r="G11719" t="n">
        <v>4.4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61170-2024</t>
        </is>
      </c>
      <c r="B11720" s="1" t="n">
        <v>45645.60092592592</v>
      </c>
      <c r="C11720" s="1" t="n">
        <v>46075</v>
      </c>
      <c r="D11720" t="inlineStr">
        <is>
          <t>VÄSTERBOTTENS LÄN</t>
        </is>
      </c>
      <c r="E11720" t="inlineStr">
        <is>
          <t>BJURHOLM</t>
        </is>
      </c>
      <c r="G11720" t="n">
        <v>0.7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18693-2025</t>
        </is>
      </c>
      <c r="B11721" s="1" t="n">
        <v>45763</v>
      </c>
      <c r="C11721" s="1" t="n">
        <v>46075</v>
      </c>
      <c r="D11721" t="inlineStr">
        <is>
          <t>VÄSTERBOTTENS LÄN</t>
        </is>
      </c>
      <c r="E11721" t="inlineStr">
        <is>
          <t>ÅSELE</t>
        </is>
      </c>
      <c r="F11721" t="inlineStr">
        <is>
          <t>SCA</t>
        </is>
      </c>
      <c r="G11721" t="n">
        <v>10.3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15910-2025</t>
        </is>
      </c>
      <c r="B11722" s="1" t="n">
        <v>45749.44096064815</v>
      </c>
      <c r="C11722" s="1" t="n">
        <v>46075</v>
      </c>
      <c r="D11722" t="inlineStr">
        <is>
          <t>VÄSTERBOTTENS LÄN</t>
        </is>
      </c>
      <c r="E11722" t="inlineStr">
        <is>
          <t>BJURHOLM</t>
        </is>
      </c>
      <c r="G11722" t="n">
        <v>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16563-2024</t>
        </is>
      </c>
      <c r="B11723" s="1" t="n">
        <v>45408</v>
      </c>
      <c r="C11723" s="1" t="n">
        <v>46075</v>
      </c>
      <c r="D11723" t="inlineStr">
        <is>
          <t>VÄSTERBOTTENS LÄN</t>
        </is>
      </c>
      <c r="E11723" t="inlineStr">
        <is>
          <t>LYCKSELE</t>
        </is>
      </c>
      <c r="G11723" t="n">
        <v>2.3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6942-2025</t>
        </is>
      </c>
      <c r="B11724" s="1" t="n">
        <v>45701</v>
      </c>
      <c r="C11724" s="1" t="n">
        <v>46075</v>
      </c>
      <c r="D11724" t="inlineStr">
        <is>
          <t>VÄSTERBOTTENS LÄN</t>
        </is>
      </c>
      <c r="E11724" t="inlineStr">
        <is>
          <t>LYCKSELE</t>
        </is>
      </c>
      <c r="G11724" t="n">
        <v>6.1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38781-2021</t>
        </is>
      </c>
      <c r="B11725" s="1" t="n">
        <v>44410</v>
      </c>
      <c r="C11725" s="1" t="n">
        <v>46075</v>
      </c>
      <c r="D11725" t="inlineStr">
        <is>
          <t>VÄSTERBOTTENS LÄN</t>
        </is>
      </c>
      <c r="E11725" t="inlineStr">
        <is>
          <t>DOROTEA</t>
        </is>
      </c>
      <c r="G11725" t="n">
        <v>0.5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59518-2024</t>
        </is>
      </c>
      <c r="B11726" s="1" t="n">
        <v>45638.5696875</v>
      </c>
      <c r="C11726" s="1" t="n">
        <v>46075</v>
      </c>
      <c r="D11726" t="inlineStr">
        <is>
          <t>VÄSTERBOTTENS LÄN</t>
        </is>
      </c>
      <c r="E11726" t="inlineStr">
        <is>
          <t>NORDMALING</t>
        </is>
      </c>
      <c r="G11726" t="n">
        <v>5.2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59553-2024</t>
        </is>
      </c>
      <c r="B11727" s="1" t="n">
        <v>45638.63533564815</v>
      </c>
      <c r="C11727" s="1" t="n">
        <v>46075</v>
      </c>
      <c r="D11727" t="inlineStr">
        <is>
          <t>VÄSTERBOTTENS LÄN</t>
        </is>
      </c>
      <c r="E11727" t="inlineStr">
        <is>
          <t>BJURHOLM</t>
        </is>
      </c>
      <c r="G11727" t="n">
        <v>3.7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59788-2023</t>
        </is>
      </c>
      <c r="B11728" s="1" t="n">
        <v>45257.44923611111</v>
      </c>
      <c r="C11728" s="1" t="n">
        <v>46075</v>
      </c>
      <c r="D11728" t="inlineStr">
        <is>
          <t>VÄSTERBOTTENS LÄN</t>
        </is>
      </c>
      <c r="E11728" t="inlineStr">
        <is>
          <t>SKELLEFTEÅ</t>
        </is>
      </c>
      <c r="G11728" t="n">
        <v>1.4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10496-2025</t>
        </is>
      </c>
      <c r="B11729" s="1" t="n">
        <v>45721.36486111111</v>
      </c>
      <c r="C11729" s="1" t="n">
        <v>46075</v>
      </c>
      <c r="D11729" t="inlineStr">
        <is>
          <t>VÄSTERBOTTENS LÄN</t>
        </is>
      </c>
      <c r="E11729" t="inlineStr">
        <is>
          <t>DOROTEA</t>
        </is>
      </c>
      <c r="F11729" t="inlineStr">
        <is>
          <t>SCA</t>
        </is>
      </c>
      <c r="G11729" t="n">
        <v>9.5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19462-2025</t>
        </is>
      </c>
      <c r="B11730" s="1" t="n">
        <v>45770.36570601852</v>
      </c>
      <c r="C11730" s="1" t="n">
        <v>46075</v>
      </c>
      <c r="D11730" t="inlineStr">
        <is>
          <t>VÄSTERBOTTENS LÄN</t>
        </is>
      </c>
      <c r="E11730" t="inlineStr">
        <is>
          <t>ÅSELE</t>
        </is>
      </c>
      <c r="F11730" t="inlineStr">
        <is>
          <t>SCA</t>
        </is>
      </c>
      <c r="G11730" t="n">
        <v>2.1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39059-2023</t>
        </is>
      </c>
      <c r="B11731" s="1" t="n">
        <v>45163</v>
      </c>
      <c r="C11731" s="1" t="n">
        <v>46075</v>
      </c>
      <c r="D11731" t="inlineStr">
        <is>
          <t>VÄSTERBOTTENS LÄN</t>
        </is>
      </c>
      <c r="E11731" t="inlineStr">
        <is>
          <t>SORSELE</t>
        </is>
      </c>
      <c r="F11731" t="inlineStr">
        <is>
          <t>SCA</t>
        </is>
      </c>
      <c r="G11731" t="n">
        <v>3.3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35228-2024</t>
        </is>
      </c>
      <c r="B11732" s="1" t="n">
        <v>45530.52100694444</v>
      </c>
      <c r="C11732" s="1" t="n">
        <v>46075</v>
      </c>
      <c r="D11732" t="inlineStr">
        <is>
          <t>VÄSTERBOTTENS LÄN</t>
        </is>
      </c>
      <c r="E11732" t="inlineStr">
        <is>
          <t>UMEÅ</t>
        </is>
      </c>
      <c r="G11732" t="n">
        <v>1.9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20796-2025</t>
        </is>
      </c>
      <c r="B11733" s="1" t="n">
        <v>45776.63987268518</v>
      </c>
      <c r="C11733" s="1" t="n">
        <v>46075</v>
      </c>
      <c r="D11733" t="inlineStr">
        <is>
          <t>VÄSTERBOTTENS LÄN</t>
        </is>
      </c>
      <c r="E11733" t="inlineStr">
        <is>
          <t>VINDELN</t>
        </is>
      </c>
      <c r="G11733" t="n">
        <v>6.7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58680-2024</t>
        </is>
      </c>
      <c r="B11734" s="1" t="n">
        <v>45635</v>
      </c>
      <c r="C11734" s="1" t="n">
        <v>46075</v>
      </c>
      <c r="D11734" t="inlineStr">
        <is>
          <t>VÄSTERBOTTENS LÄN</t>
        </is>
      </c>
      <c r="E11734" t="inlineStr">
        <is>
          <t>UMEÅ</t>
        </is>
      </c>
      <c r="G11734" t="n">
        <v>1.6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20964-2025</t>
        </is>
      </c>
      <c r="B11735" s="1" t="n">
        <v>45777</v>
      </c>
      <c r="C11735" s="1" t="n">
        <v>46075</v>
      </c>
      <c r="D11735" t="inlineStr">
        <is>
          <t>VÄSTERBOTTENS LÄN</t>
        </is>
      </c>
      <c r="E11735" t="inlineStr">
        <is>
          <t>VINDELN</t>
        </is>
      </c>
      <c r="F11735" t="inlineStr">
        <is>
          <t>Sveaskog</t>
        </is>
      </c>
      <c r="G11735" t="n">
        <v>11.6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6224-2025</t>
        </is>
      </c>
      <c r="B11736" s="1" t="n">
        <v>45697</v>
      </c>
      <c r="C11736" s="1" t="n">
        <v>46075</v>
      </c>
      <c r="D11736" t="inlineStr">
        <is>
          <t>VÄSTERBOTTENS LÄN</t>
        </is>
      </c>
      <c r="E11736" t="inlineStr">
        <is>
          <t>SORSELE</t>
        </is>
      </c>
      <c r="G11736" t="n">
        <v>4.6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19730-2025</t>
        </is>
      </c>
      <c r="B11737" s="1" t="n">
        <v>45771.36560185185</v>
      </c>
      <c r="C11737" s="1" t="n">
        <v>46075</v>
      </c>
      <c r="D11737" t="inlineStr">
        <is>
          <t>VÄSTERBOTTENS LÄN</t>
        </is>
      </c>
      <c r="E11737" t="inlineStr">
        <is>
          <t>SKELLEFTEÅ</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20962-2025</t>
        </is>
      </c>
      <c r="B11738" s="1" t="n">
        <v>45777.44890046296</v>
      </c>
      <c r="C11738" s="1" t="n">
        <v>46075</v>
      </c>
      <c r="D11738" t="inlineStr">
        <is>
          <t>VÄSTERBOTTENS LÄN</t>
        </is>
      </c>
      <c r="E11738" t="inlineStr">
        <is>
          <t>VINDELN</t>
        </is>
      </c>
      <c r="F11738" t="inlineStr">
        <is>
          <t>Holmen skog AB</t>
        </is>
      </c>
      <c r="G11738" t="n">
        <v>1.4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21069-2025</t>
        </is>
      </c>
      <c r="B11739" s="1" t="n">
        <v>45777.59427083333</v>
      </c>
      <c r="C11739" s="1" t="n">
        <v>46075</v>
      </c>
      <c r="D11739" t="inlineStr">
        <is>
          <t>VÄSTERBOTTENS LÄN</t>
        </is>
      </c>
      <c r="E11739" t="inlineStr">
        <is>
          <t>VILHELMINA</t>
        </is>
      </c>
      <c r="F11739" t="inlineStr">
        <is>
          <t>SCA</t>
        </is>
      </c>
      <c r="G11739" t="n">
        <v>2.2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38352-2023</t>
        </is>
      </c>
      <c r="B11740" s="1" t="n">
        <v>45161</v>
      </c>
      <c r="C11740" s="1" t="n">
        <v>46075</v>
      </c>
      <c r="D11740" t="inlineStr">
        <is>
          <t>VÄSTERBOTTENS LÄN</t>
        </is>
      </c>
      <c r="E11740" t="inlineStr">
        <is>
          <t>ROBERTSFORS</t>
        </is>
      </c>
      <c r="G11740" t="n">
        <v>1.5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20981-2025</t>
        </is>
      </c>
      <c r="B11741" s="1" t="n">
        <v>45777.46688657408</v>
      </c>
      <c r="C11741" s="1" t="n">
        <v>46075</v>
      </c>
      <c r="D11741" t="inlineStr">
        <is>
          <t>VÄSTERBOTTENS LÄN</t>
        </is>
      </c>
      <c r="E11741" t="inlineStr">
        <is>
          <t>UMEÅ</t>
        </is>
      </c>
      <c r="G11741" t="n">
        <v>0.6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12561-2023</t>
        </is>
      </c>
      <c r="B11742" s="1" t="n">
        <v>44998</v>
      </c>
      <c r="C11742" s="1" t="n">
        <v>46075</v>
      </c>
      <c r="D11742" t="inlineStr">
        <is>
          <t>VÄSTERBOTTENS LÄN</t>
        </is>
      </c>
      <c r="E11742" t="inlineStr">
        <is>
          <t>STORUMAN</t>
        </is>
      </c>
      <c r="F11742" t="inlineStr">
        <is>
          <t>Övriga statliga verk och myndigheter</t>
        </is>
      </c>
      <c r="G11742" t="n">
        <v>6.9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39371-2024</t>
        </is>
      </c>
      <c r="B11743" s="1" t="n">
        <v>45551</v>
      </c>
      <c r="C11743" s="1" t="n">
        <v>46075</v>
      </c>
      <c r="D11743" t="inlineStr">
        <is>
          <t>VÄSTERBOTTENS LÄN</t>
        </is>
      </c>
      <c r="E11743" t="inlineStr">
        <is>
          <t>SKELLEFTEÅ</t>
        </is>
      </c>
      <c r="G11743" t="n">
        <v>9.6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19729-2025</t>
        </is>
      </c>
      <c r="B11744" s="1" t="n">
        <v>45771.36559027778</v>
      </c>
      <c r="C11744" s="1" t="n">
        <v>46075</v>
      </c>
      <c r="D11744" t="inlineStr">
        <is>
          <t>VÄSTERBOTTENS LÄN</t>
        </is>
      </c>
      <c r="E11744" t="inlineStr">
        <is>
          <t>SKELLEFTEÅ</t>
        </is>
      </c>
      <c r="G11744" t="n">
        <v>8.5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40072-2024</t>
        </is>
      </c>
      <c r="B11745" s="1" t="n">
        <v>45554.32503472222</v>
      </c>
      <c r="C11745" s="1" t="n">
        <v>46075</v>
      </c>
      <c r="D11745" t="inlineStr">
        <is>
          <t>VÄSTERBOTTENS LÄN</t>
        </is>
      </c>
      <c r="E11745" t="inlineStr">
        <is>
          <t>SKELLEFTEÅ</t>
        </is>
      </c>
      <c r="F11745" t="inlineStr">
        <is>
          <t>Holmen skog AB</t>
        </is>
      </c>
      <c r="G11745" t="n">
        <v>3.7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58582-2023</t>
        </is>
      </c>
      <c r="B11746" s="1" t="n">
        <v>45246</v>
      </c>
      <c r="C11746" s="1" t="n">
        <v>46075</v>
      </c>
      <c r="D11746" t="inlineStr">
        <is>
          <t>VÄSTERBOTTENS LÄN</t>
        </is>
      </c>
      <c r="E11746" t="inlineStr">
        <is>
          <t>ROBERTSFORS</t>
        </is>
      </c>
      <c r="G11746" t="n">
        <v>4.5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12550-2023</t>
        </is>
      </c>
      <c r="B11747" s="1" t="n">
        <v>44998</v>
      </c>
      <c r="C11747" s="1" t="n">
        <v>46075</v>
      </c>
      <c r="D11747" t="inlineStr">
        <is>
          <t>VÄSTERBOTTENS LÄN</t>
        </is>
      </c>
      <c r="E11747" t="inlineStr">
        <is>
          <t>STORUMAN</t>
        </is>
      </c>
      <c r="F11747" t="inlineStr">
        <is>
          <t>Övriga statliga verk och myndigheter</t>
        </is>
      </c>
      <c r="G11747" t="n">
        <v>9.300000000000001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12556-2023</t>
        </is>
      </c>
      <c r="B11748" s="1" t="n">
        <v>44998</v>
      </c>
      <c r="C11748" s="1" t="n">
        <v>46075</v>
      </c>
      <c r="D11748" t="inlineStr">
        <is>
          <t>VÄSTERBOTTENS LÄN</t>
        </is>
      </c>
      <c r="E11748" t="inlineStr">
        <is>
          <t>STORUMAN</t>
        </is>
      </c>
      <c r="F11748" t="inlineStr">
        <is>
          <t>Övriga statliga verk och myndigheter</t>
        </is>
      </c>
      <c r="G11748" t="n">
        <v>9.800000000000001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21095-2025</t>
        </is>
      </c>
      <c r="B11749" s="1" t="n">
        <v>45777.63572916666</v>
      </c>
      <c r="C11749" s="1" t="n">
        <v>46075</v>
      </c>
      <c r="D11749" t="inlineStr">
        <is>
          <t>VÄSTERBOTTENS LÄN</t>
        </is>
      </c>
      <c r="E11749" t="inlineStr">
        <is>
          <t>ÅSELE</t>
        </is>
      </c>
      <c r="F11749" t="inlineStr">
        <is>
          <t>SCA</t>
        </is>
      </c>
      <c r="G11749" t="n">
        <v>1.5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20865-2025</t>
        </is>
      </c>
      <c r="B11750" s="1" t="n">
        <v>45777.34438657408</v>
      </c>
      <c r="C11750" s="1" t="n">
        <v>46075</v>
      </c>
      <c r="D11750" t="inlineStr">
        <is>
          <t>VÄSTERBOTTENS LÄN</t>
        </is>
      </c>
      <c r="E11750" t="inlineStr">
        <is>
          <t>SKELLEFTEÅ</t>
        </is>
      </c>
      <c r="F11750" t="inlineStr">
        <is>
          <t>SCA</t>
        </is>
      </c>
      <c r="G11750" t="n">
        <v>8.4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58579-2023</t>
        </is>
      </c>
      <c r="B11751" s="1" t="n">
        <v>45246</v>
      </c>
      <c r="C11751" s="1" t="n">
        <v>46075</v>
      </c>
      <c r="D11751" t="inlineStr">
        <is>
          <t>VÄSTERBOTTENS LÄN</t>
        </is>
      </c>
      <c r="E11751" t="inlineStr">
        <is>
          <t>ROBERTSFORS</t>
        </is>
      </c>
      <c r="G11751" t="n">
        <v>3.9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20958-2025</t>
        </is>
      </c>
      <c r="B11752" s="1" t="n">
        <v>45777.44641203704</v>
      </c>
      <c r="C11752" s="1" t="n">
        <v>46075</v>
      </c>
      <c r="D11752" t="inlineStr">
        <is>
          <t>VÄSTERBOTTENS LÄN</t>
        </is>
      </c>
      <c r="E11752" t="inlineStr">
        <is>
          <t>LYCKSELE</t>
        </is>
      </c>
      <c r="F11752" t="inlineStr">
        <is>
          <t>Sveaskog</t>
        </is>
      </c>
      <c r="G11752" t="n">
        <v>31.1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20968-2025</t>
        </is>
      </c>
      <c r="B11753" s="1" t="n">
        <v>45777</v>
      </c>
      <c r="C11753" s="1" t="n">
        <v>46075</v>
      </c>
      <c r="D11753" t="inlineStr">
        <is>
          <t>VÄSTERBOTTENS LÄN</t>
        </is>
      </c>
      <c r="E11753" t="inlineStr">
        <is>
          <t>VINDELN</t>
        </is>
      </c>
      <c r="F11753" t="inlineStr">
        <is>
          <t>Sveaskog</t>
        </is>
      </c>
      <c r="G11753" t="n">
        <v>31.1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20685-2025</t>
        </is>
      </c>
      <c r="B11754" s="1" t="n">
        <v>45776.45245370371</v>
      </c>
      <c r="C11754" s="1" t="n">
        <v>46075</v>
      </c>
      <c r="D11754" t="inlineStr">
        <is>
          <t>VÄSTERBOTTENS LÄN</t>
        </is>
      </c>
      <c r="E11754" t="inlineStr">
        <is>
          <t>LYCKSELE</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20738-2025</t>
        </is>
      </c>
      <c r="B11755" s="1" t="n">
        <v>45776</v>
      </c>
      <c r="C11755" s="1" t="n">
        <v>46075</v>
      </c>
      <c r="D11755" t="inlineStr">
        <is>
          <t>VÄSTERBOTTENS LÄN</t>
        </is>
      </c>
      <c r="E11755" t="inlineStr">
        <is>
          <t>VINDELN</t>
        </is>
      </c>
      <c r="G11755" t="n">
        <v>1.6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21014-2025</t>
        </is>
      </c>
      <c r="B11756" s="1" t="n">
        <v>45777</v>
      </c>
      <c r="C11756" s="1" t="n">
        <v>46075</v>
      </c>
      <c r="D11756" t="inlineStr">
        <is>
          <t>VÄSTERBOTTENS LÄN</t>
        </is>
      </c>
      <c r="E11756" t="inlineStr">
        <is>
          <t>VINDELN</t>
        </is>
      </c>
      <c r="F11756" t="inlineStr">
        <is>
          <t>Sveaskog</t>
        </is>
      </c>
      <c r="G11756" t="n">
        <v>4.2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21035-2025</t>
        </is>
      </c>
      <c r="B11757" s="1" t="n">
        <v>45777.53157407408</v>
      </c>
      <c r="C11757" s="1" t="n">
        <v>46075</v>
      </c>
      <c r="D11757" t="inlineStr">
        <is>
          <t>VÄSTERBOTTENS LÄN</t>
        </is>
      </c>
      <c r="E11757" t="inlineStr">
        <is>
          <t>VILHELMINA</t>
        </is>
      </c>
      <c r="F11757" t="inlineStr">
        <is>
          <t>SCA</t>
        </is>
      </c>
      <c r="G11757" t="n">
        <v>3.8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21046-2025</t>
        </is>
      </c>
      <c r="B11758" s="1" t="n">
        <v>45777.55637731482</v>
      </c>
      <c r="C11758" s="1" t="n">
        <v>46075</v>
      </c>
      <c r="D11758" t="inlineStr">
        <is>
          <t>VÄSTERBOTTENS LÄN</t>
        </is>
      </c>
      <c r="E11758" t="inlineStr">
        <is>
          <t>LYCKSELE</t>
        </is>
      </c>
      <c r="F11758" t="inlineStr">
        <is>
          <t>Holmen skog AB</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20900-2025</t>
        </is>
      </c>
      <c r="B11759" s="1" t="n">
        <v>45777</v>
      </c>
      <c r="C11759" s="1" t="n">
        <v>46075</v>
      </c>
      <c r="D11759" t="inlineStr">
        <is>
          <t>VÄSTERBOTTENS LÄN</t>
        </is>
      </c>
      <c r="E11759" t="inlineStr">
        <is>
          <t>VINDELN</t>
        </is>
      </c>
      <c r="F11759" t="inlineStr">
        <is>
          <t>Holmen skog AB</t>
        </is>
      </c>
      <c r="G11759" t="n">
        <v>13.4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31865-2023</t>
        </is>
      </c>
      <c r="B11760" s="1" t="n">
        <v>45118.61383101852</v>
      </c>
      <c r="C11760" s="1" t="n">
        <v>46075</v>
      </c>
      <c r="D11760" t="inlineStr">
        <is>
          <t>VÄSTERBOTTENS LÄN</t>
        </is>
      </c>
      <c r="E11760" t="inlineStr">
        <is>
          <t>VÄNNÄS</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15459-2025</t>
        </is>
      </c>
      <c r="B11761" s="1" t="n">
        <v>45747.50991898148</v>
      </c>
      <c r="C11761" s="1" t="n">
        <v>46075</v>
      </c>
      <c r="D11761" t="inlineStr">
        <is>
          <t>VÄSTERBOTTENS LÄN</t>
        </is>
      </c>
      <c r="E11761" t="inlineStr">
        <is>
          <t>UMEÅ</t>
        </is>
      </c>
      <c r="G11761" t="n">
        <v>0.9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38083-2023</t>
        </is>
      </c>
      <c r="B11762" s="1" t="n">
        <v>45160</v>
      </c>
      <c r="C11762" s="1" t="n">
        <v>46075</v>
      </c>
      <c r="D11762" t="inlineStr">
        <is>
          <t>VÄSTERBOTTENS LÄN</t>
        </is>
      </c>
      <c r="E11762" t="inlineStr">
        <is>
          <t>ROBERTSFORS</t>
        </is>
      </c>
      <c r="G11762" t="n">
        <v>2.8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20941-2025</t>
        </is>
      </c>
      <c r="B11763" s="1" t="n">
        <v>45777</v>
      </c>
      <c r="C11763" s="1" t="n">
        <v>46075</v>
      </c>
      <c r="D11763" t="inlineStr">
        <is>
          <t>VÄSTERBOTTENS LÄN</t>
        </is>
      </c>
      <c r="E11763" t="inlineStr">
        <is>
          <t>VINDELN</t>
        </is>
      </c>
      <c r="F11763" t="inlineStr">
        <is>
          <t>Sveaskog</t>
        </is>
      </c>
      <c r="G11763" t="n">
        <v>8.199999999999999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20979-2025</t>
        </is>
      </c>
      <c r="B11764" s="1" t="n">
        <v>45777.46550925926</v>
      </c>
      <c r="C11764" s="1" t="n">
        <v>46075</v>
      </c>
      <c r="D11764" t="inlineStr">
        <is>
          <t>VÄSTERBOTTENS LÄN</t>
        </is>
      </c>
      <c r="E11764" t="inlineStr">
        <is>
          <t>LYCKSELE</t>
        </is>
      </c>
      <c r="F11764" t="inlineStr">
        <is>
          <t>Sveaskog</t>
        </is>
      </c>
      <c r="G11764" t="n">
        <v>2.1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55409-2023</t>
        </is>
      </c>
      <c r="B11765" s="1" t="n">
        <v>45231</v>
      </c>
      <c r="C11765" s="1" t="n">
        <v>46075</v>
      </c>
      <c r="D11765" t="inlineStr">
        <is>
          <t>VÄSTERBOTTENS LÄN</t>
        </is>
      </c>
      <c r="E11765" t="inlineStr">
        <is>
          <t>SKELLEFTEÅ</t>
        </is>
      </c>
      <c r="G11765" t="n">
        <v>0.9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60570-2024</t>
        </is>
      </c>
      <c r="B11766" s="1" t="n">
        <v>45644.32280092593</v>
      </c>
      <c r="C11766" s="1" t="n">
        <v>46075</v>
      </c>
      <c r="D11766" t="inlineStr">
        <is>
          <t>VÄSTERBOTTENS LÄN</t>
        </is>
      </c>
      <c r="E11766" t="inlineStr">
        <is>
          <t>ROBERTSFORS</t>
        </is>
      </c>
      <c r="G11766" t="n">
        <v>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20800-2025</t>
        </is>
      </c>
      <c r="B11767" s="1" t="n">
        <v>45776.6444212963</v>
      </c>
      <c r="C11767" s="1" t="n">
        <v>46075</v>
      </c>
      <c r="D11767" t="inlineStr">
        <is>
          <t>VÄSTERBOTTENS LÄN</t>
        </is>
      </c>
      <c r="E11767" t="inlineStr">
        <is>
          <t>VINDELN</t>
        </is>
      </c>
      <c r="G11767" t="n">
        <v>1.1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57008-2024</t>
        </is>
      </c>
      <c r="B11768" s="1" t="n">
        <v>45628</v>
      </c>
      <c r="C11768" s="1" t="n">
        <v>46075</v>
      </c>
      <c r="D11768" t="inlineStr">
        <is>
          <t>VÄSTERBOTTENS LÄN</t>
        </is>
      </c>
      <c r="E11768" t="inlineStr">
        <is>
          <t>ROBERTSFORS</t>
        </is>
      </c>
      <c r="G11768" t="n">
        <v>12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58899-2024</t>
        </is>
      </c>
      <c r="B11769" s="1" t="n">
        <v>45636.4705787037</v>
      </c>
      <c r="C11769" s="1" t="n">
        <v>46075</v>
      </c>
      <c r="D11769" t="inlineStr">
        <is>
          <t>VÄSTERBOTTENS LÄN</t>
        </is>
      </c>
      <c r="E11769" t="inlineStr">
        <is>
          <t>UMEÅ</t>
        </is>
      </c>
      <c r="G11769" t="n">
        <v>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30583-2024</t>
        </is>
      </c>
      <c r="B11770" s="1" t="n">
        <v>45492.96108796296</v>
      </c>
      <c r="C11770" s="1" t="n">
        <v>46075</v>
      </c>
      <c r="D11770" t="inlineStr">
        <is>
          <t>VÄSTERBOTTENS LÄN</t>
        </is>
      </c>
      <c r="E11770" t="inlineStr">
        <is>
          <t>VILHELMINA</t>
        </is>
      </c>
      <c r="F11770" t="inlineStr">
        <is>
          <t>SCA</t>
        </is>
      </c>
      <c r="G11770" t="n">
        <v>3.3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20640-2025</t>
        </is>
      </c>
      <c r="B11771" s="1" t="n">
        <v>45776.37438657408</v>
      </c>
      <c r="C11771" s="1" t="n">
        <v>46075</v>
      </c>
      <c r="D11771" t="inlineStr">
        <is>
          <t>VÄSTERBOTTENS LÄN</t>
        </is>
      </c>
      <c r="E11771" t="inlineStr">
        <is>
          <t>VÄNNÄS</t>
        </is>
      </c>
      <c r="G11771" t="n">
        <v>5.2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10772-2023</t>
        </is>
      </c>
      <c r="B11772" s="1" t="n">
        <v>44988.93965277778</v>
      </c>
      <c r="C11772" s="1" t="n">
        <v>46075</v>
      </c>
      <c r="D11772" t="inlineStr">
        <is>
          <t>VÄSTERBOTTENS LÄN</t>
        </is>
      </c>
      <c r="E11772" t="inlineStr">
        <is>
          <t>ÅSELE</t>
        </is>
      </c>
      <c r="F11772" t="inlineStr">
        <is>
          <t>SCA</t>
        </is>
      </c>
      <c r="G11772" t="n">
        <v>1.6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21190-2025</t>
        </is>
      </c>
      <c r="B11773" s="1" t="n">
        <v>45779.45958333334</v>
      </c>
      <c r="C11773" s="1" t="n">
        <v>46075</v>
      </c>
      <c r="D11773" t="inlineStr">
        <is>
          <t>VÄSTERBOTTENS LÄN</t>
        </is>
      </c>
      <c r="E11773" t="inlineStr">
        <is>
          <t>SKELLEFTEÅ</t>
        </is>
      </c>
      <c r="F11773" t="inlineStr">
        <is>
          <t>Holmen skog AB</t>
        </is>
      </c>
      <c r="G11773" t="n">
        <v>2.1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21228-2025</t>
        </is>
      </c>
      <c r="B11774" s="1" t="n">
        <v>45779.52741898148</v>
      </c>
      <c r="C11774" s="1" t="n">
        <v>46075</v>
      </c>
      <c r="D11774" t="inlineStr">
        <is>
          <t>VÄSTERBOTTENS LÄN</t>
        </is>
      </c>
      <c r="E11774" t="inlineStr">
        <is>
          <t>UMEÅ</t>
        </is>
      </c>
      <c r="F11774" t="inlineStr">
        <is>
          <t>Holmen skog AB</t>
        </is>
      </c>
      <c r="G11774" t="n">
        <v>1.2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58751-2023</t>
        </is>
      </c>
      <c r="B11775" s="1" t="n">
        <v>45251</v>
      </c>
      <c r="C11775" s="1" t="n">
        <v>46075</v>
      </c>
      <c r="D11775" t="inlineStr">
        <is>
          <t>VÄSTERBOTTENS LÄN</t>
        </is>
      </c>
      <c r="E11775" t="inlineStr">
        <is>
          <t>SKELLEFTEÅ</t>
        </is>
      </c>
      <c r="G11775" t="n">
        <v>3.2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43944-2024</t>
        </is>
      </c>
      <c r="B11776" s="1" t="n">
        <v>45572.46914351852</v>
      </c>
      <c r="C11776" s="1" t="n">
        <v>46075</v>
      </c>
      <c r="D11776" t="inlineStr">
        <is>
          <t>VÄSTERBOTTENS LÄN</t>
        </is>
      </c>
      <c r="E11776" t="inlineStr">
        <is>
          <t>DOROTEA</t>
        </is>
      </c>
      <c r="F11776" t="inlineStr">
        <is>
          <t>SCA</t>
        </is>
      </c>
      <c r="G11776" t="n">
        <v>1.2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21148-2025</t>
        </is>
      </c>
      <c r="B11777" s="1" t="n">
        <v>45779.34300925926</v>
      </c>
      <c r="C11777" s="1" t="n">
        <v>46075</v>
      </c>
      <c r="D11777" t="inlineStr">
        <is>
          <t>VÄSTERBOTTENS LÄN</t>
        </is>
      </c>
      <c r="E11777" t="inlineStr">
        <is>
          <t>ROBERTSFORS</t>
        </is>
      </c>
      <c r="G11777" t="n">
        <v>7.5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21171-2025</t>
        </is>
      </c>
      <c r="B11778" s="1" t="n">
        <v>45779.42604166667</v>
      </c>
      <c r="C11778" s="1" t="n">
        <v>46075</v>
      </c>
      <c r="D11778" t="inlineStr">
        <is>
          <t>VÄSTERBOTTENS LÄN</t>
        </is>
      </c>
      <c r="E11778" t="inlineStr">
        <is>
          <t>LYCKSELE</t>
        </is>
      </c>
      <c r="F11778" t="inlineStr">
        <is>
          <t>Sveaskog</t>
        </is>
      </c>
      <c r="G11778" t="n">
        <v>4.9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29450-2024</t>
        </is>
      </c>
      <c r="B11779" s="1" t="n">
        <v>45483.93383101852</v>
      </c>
      <c r="C11779" s="1" t="n">
        <v>46075</v>
      </c>
      <c r="D11779" t="inlineStr">
        <is>
          <t>VÄSTERBOTTENS LÄN</t>
        </is>
      </c>
      <c r="E11779" t="inlineStr">
        <is>
          <t>MALÅ</t>
        </is>
      </c>
      <c r="G11779" t="n">
        <v>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50030-2024</t>
        </is>
      </c>
      <c r="B11780" s="1" t="n">
        <v>45599.74957175926</v>
      </c>
      <c r="C11780" s="1" t="n">
        <v>46075</v>
      </c>
      <c r="D11780" t="inlineStr">
        <is>
          <t>VÄSTERBOTTENS LÄN</t>
        </is>
      </c>
      <c r="E11780" t="inlineStr">
        <is>
          <t>ÅSELE</t>
        </is>
      </c>
      <c r="G11780" t="n">
        <v>4.4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21222-2025</t>
        </is>
      </c>
      <c r="B11781" s="1" t="n">
        <v>45779.5078125</v>
      </c>
      <c r="C11781" s="1" t="n">
        <v>46075</v>
      </c>
      <c r="D11781" t="inlineStr">
        <is>
          <t>VÄSTERBOTTENS LÄN</t>
        </is>
      </c>
      <c r="E11781" t="inlineStr">
        <is>
          <t>SKELLEFTEÅ</t>
        </is>
      </c>
      <c r="G11781" t="n">
        <v>4.4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21195-2025</t>
        </is>
      </c>
      <c r="B11782" s="1" t="n">
        <v>45779.46914351852</v>
      </c>
      <c r="C11782" s="1" t="n">
        <v>46075</v>
      </c>
      <c r="D11782" t="inlineStr">
        <is>
          <t>VÄSTERBOTTENS LÄN</t>
        </is>
      </c>
      <c r="E11782" t="inlineStr">
        <is>
          <t>LYCKSELE</t>
        </is>
      </c>
      <c r="F11782" t="inlineStr">
        <is>
          <t>SCA</t>
        </is>
      </c>
      <c r="G11782" t="n">
        <v>6.5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21205-2025</t>
        </is>
      </c>
      <c r="B11783" s="1" t="n">
        <v>45779</v>
      </c>
      <c r="C11783" s="1" t="n">
        <v>46075</v>
      </c>
      <c r="D11783" t="inlineStr">
        <is>
          <t>VÄSTERBOTTENS LÄN</t>
        </is>
      </c>
      <c r="E11783" t="inlineStr">
        <is>
          <t>VILHELMINA</t>
        </is>
      </c>
      <c r="F11783" t="inlineStr">
        <is>
          <t>Allmännings- och besparingsskogar</t>
        </is>
      </c>
      <c r="G11783" t="n">
        <v>6.2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21127-2025</t>
        </is>
      </c>
      <c r="B11784" s="1" t="n">
        <v>45778.34434027778</v>
      </c>
      <c r="C11784" s="1" t="n">
        <v>46075</v>
      </c>
      <c r="D11784" t="inlineStr">
        <is>
          <t>VÄSTERBOTTENS LÄN</t>
        </is>
      </c>
      <c r="E11784" t="inlineStr">
        <is>
          <t>DOROTEA</t>
        </is>
      </c>
      <c r="F11784" t="inlineStr">
        <is>
          <t>SCA</t>
        </is>
      </c>
      <c r="G11784" t="n">
        <v>9.1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21219-2025</t>
        </is>
      </c>
      <c r="B11785" s="1" t="n">
        <v>45779.4949537037</v>
      </c>
      <c r="C11785" s="1" t="n">
        <v>46075</v>
      </c>
      <c r="D11785" t="inlineStr">
        <is>
          <t>VÄSTERBOTTENS LÄN</t>
        </is>
      </c>
      <c r="E11785" t="inlineStr">
        <is>
          <t>ÅSELE</t>
        </is>
      </c>
      <c r="F11785" t="inlineStr">
        <is>
          <t>Holmen skog AB</t>
        </is>
      </c>
      <c r="G11785" t="n">
        <v>4.6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36918-2021</t>
        </is>
      </c>
      <c r="B11786" s="1" t="n">
        <v>44393.48011574074</v>
      </c>
      <c r="C11786" s="1" t="n">
        <v>46075</v>
      </c>
      <c r="D11786" t="inlineStr">
        <is>
          <t>VÄSTERBOTTENS LÄN</t>
        </is>
      </c>
      <c r="E11786" t="inlineStr">
        <is>
          <t>STORUMAN</t>
        </is>
      </c>
      <c r="F11786" t="inlineStr">
        <is>
          <t>Sveaskog</t>
        </is>
      </c>
      <c r="G11786" t="n">
        <v>3.2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28856-2024</t>
        </is>
      </c>
      <c r="B11787" s="1" t="n">
        <v>45478.92837962963</v>
      </c>
      <c r="C11787" s="1" t="n">
        <v>46075</v>
      </c>
      <c r="D11787" t="inlineStr">
        <is>
          <t>VÄSTERBOTTENS LÄN</t>
        </is>
      </c>
      <c r="E11787" t="inlineStr">
        <is>
          <t>DOROTEA</t>
        </is>
      </c>
      <c r="G11787" t="n">
        <v>1.8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16758-2023</t>
        </is>
      </c>
      <c r="B11788" s="1" t="n">
        <v>45030</v>
      </c>
      <c r="C11788" s="1" t="n">
        <v>46075</v>
      </c>
      <c r="D11788" t="inlineStr">
        <is>
          <t>VÄSTERBOTTENS LÄN</t>
        </is>
      </c>
      <c r="E11788" t="inlineStr">
        <is>
          <t>NORDMALING</t>
        </is>
      </c>
      <c r="F11788" t="inlineStr">
        <is>
          <t>SCA</t>
        </is>
      </c>
      <c r="G11788" t="n">
        <v>1.4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58838-2024</t>
        </is>
      </c>
      <c r="B11789" s="1" t="n">
        <v>45636.38042824074</v>
      </c>
      <c r="C11789" s="1" t="n">
        <v>46075</v>
      </c>
      <c r="D11789" t="inlineStr">
        <is>
          <t>VÄSTERBOTTENS LÄN</t>
        </is>
      </c>
      <c r="E11789" t="inlineStr">
        <is>
          <t>MALÅ</t>
        </is>
      </c>
      <c r="G11789" t="n">
        <v>2.3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3745-2023</t>
        </is>
      </c>
      <c r="B11790" s="1" t="n">
        <v>44949</v>
      </c>
      <c r="C11790" s="1" t="n">
        <v>46075</v>
      </c>
      <c r="D11790" t="inlineStr">
        <is>
          <t>VÄSTERBOTTENS LÄN</t>
        </is>
      </c>
      <c r="E11790" t="inlineStr">
        <is>
          <t>VILHELMINA</t>
        </is>
      </c>
      <c r="G11790" t="n">
        <v>36.6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41890-2022</t>
        </is>
      </c>
      <c r="B11791" s="1" t="n">
        <v>44830.32160879629</v>
      </c>
      <c r="C11791" s="1" t="n">
        <v>46075</v>
      </c>
      <c r="D11791" t="inlineStr">
        <is>
          <t>VÄSTERBOTTENS LÄN</t>
        </is>
      </c>
      <c r="E11791" t="inlineStr">
        <is>
          <t>NORSJÖ</t>
        </is>
      </c>
      <c r="G11791" t="n">
        <v>0.9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3431-2023</t>
        </is>
      </c>
      <c r="B11792" s="1" t="n">
        <v>44949</v>
      </c>
      <c r="C11792" s="1" t="n">
        <v>46075</v>
      </c>
      <c r="D11792" t="inlineStr">
        <is>
          <t>VÄSTERBOTTENS LÄN</t>
        </is>
      </c>
      <c r="E11792" t="inlineStr">
        <is>
          <t>VINDELN</t>
        </is>
      </c>
      <c r="F11792" t="inlineStr">
        <is>
          <t>Sveaskog</t>
        </is>
      </c>
      <c r="G11792" t="n">
        <v>5.8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52880-2022</t>
        </is>
      </c>
      <c r="B11793" s="1" t="n">
        <v>44875</v>
      </c>
      <c r="C11793" s="1" t="n">
        <v>46075</v>
      </c>
      <c r="D11793" t="inlineStr">
        <is>
          <t>VÄSTERBOTTENS LÄN</t>
        </is>
      </c>
      <c r="E11793" t="inlineStr">
        <is>
          <t>VINDELN</t>
        </is>
      </c>
      <c r="F11793" t="inlineStr">
        <is>
          <t>Sveaskog</t>
        </is>
      </c>
      <c r="G11793" t="n">
        <v>1.2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5143-2023</t>
        </is>
      </c>
      <c r="B11794" s="1" t="n">
        <v>44958.92283564815</v>
      </c>
      <c r="C11794" s="1" t="n">
        <v>46075</v>
      </c>
      <c r="D11794" t="inlineStr">
        <is>
          <t>VÄSTERBOTTENS LÄN</t>
        </is>
      </c>
      <c r="E11794" t="inlineStr">
        <is>
          <t>NORSJÖ</t>
        </is>
      </c>
      <c r="G11794" t="n">
        <v>2.6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46107-2023</t>
        </is>
      </c>
      <c r="B11795" s="1" t="n">
        <v>45190</v>
      </c>
      <c r="C11795" s="1" t="n">
        <v>46075</v>
      </c>
      <c r="D11795" t="inlineStr">
        <is>
          <t>VÄSTERBOTTENS LÄN</t>
        </is>
      </c>
      <c r="E11795" t="inlineStr">
        <is>
          <t>SKELLEFTEÅ</t>
        </is>
      </c>
      <c r="G11795" t="n">
        <v>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53382-2024</t>
        </is>
      </c>
      <c r="B11796" s="1" t="n">
        <v>45614</v>
      </c>
      <c r="C11796" s="1" t="n">
        <v>46075</v>
      </c>
      <c r="D11796" t="inlineStr">
        <is>
          <t>VÄSTERBOTTENS LÄN</t>
        </is>
      </c>
      <c r="E11796" t="inlineStr">
        <is>
          <t>DOROTEA</t>
        </is>
      </c>
      <c r="G11796" t="n">
        <v>11.2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21265-2025</t>
        </is>
      </c>
      <c r="B11797" s="1" t="n">
        <v>45779.61490740741</v>
      </c>
      <c r="C11797" s="1" t="n">
        <v>46075</v>
      </c>
      <c r="D11797" t="inlineStr">
        <is>
          <t>VÄSTERBOTTENS LÄN</t>
        </is>
      </c>
      <c r="E11797" t="inlineStr">
        <is>
          <t>DOROTEA</t>
        </is>
      </c>
      <c r="F11797" t="inlineStr">
        <is>
          <t>SCA</t>
        </is>
      </c>
      <c r="G11797" t="n">
        <v>3.1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21266-2025</t>
        </is>
      </c>
      <c r="B11798" s="1" t="n">
        <v>45779.61503472222</v>
      </c>
      <c r="C11798" s="1" t="n">
        <v>46075</v>
      </c>
      <c r="D11798" t="inlineStr">
        <is>
          <t>VÄSTERBOTTENS LÄN</t>
        </is>
      </c>
      <c r="E11798" t="inlineStr">
        <is>
          <t>LYCKSELE</t>
        </is>
      </c>
      <c r="F11798" t="inlineStr">
        <is>
          <t>SCA</t>
        </is>
      </c>
      <c r="G11798" t="n">
        <v>3.3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21204-2025</t>
        </is>
      </c>
      <c r="B11799" s="1" t="n">
        <v>45779</v>
      </c>
      <c r="C11799" s="1" t="n">
        <v>46075</v>
      </c>
      <c r="D11799" t="inlineStr">
        <is>
          <t>VÄSTERBOTTENS LÄN</t>
        </is>
      </c>
      <c r="E11799" t="inlineStr">
        <is>
          <t>VILHELMINA</t>
        </is>
      </c>
      <c r="F11799" t="inlineStr">
        <is>
          <t>Allmännings- och besparingsskogar</t>
        </is>
      </c>
      <c r="G11799" t="n">
        <v>0.9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21215-2025</t>
        </is>
      </c>
      <c r="B11800" s="1" t="n">
        <v>45779.49037037037</v>
      </c>
      <c r="C11800" s="1" t="n">
        <v>46075</v>
      </c>
      <c r="D11800" t="inlineStr">
        <is>
          <t>VÄSTERBOTTENS LÄN</t>
        </is>
      </c>
      <c r="E11800" t="inlineStr">
        <is>
          <t>DOROTEA</t>
        </is>
      </c>
      <c r="F11800" t="inlineStr">
        <is>
          <t>SCA</t>
        </is>
      </c>
      <c r="G11800" t="n">
        <v>6.1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21207-2025</t>
        </is>
      </c>
      <c r="B11801" s="1" t="n">
        <v>45779.48564814815</v>
      </c>
      <c r="C11801" s="1" t="n">
        <v>46075</v>
      </c>
      <c r="D11801" t="inlineStr">
        <is>
          <t>VÄSTERBOTTENS LÄN</t>
        </is>
      </c>
      <c r="E11801" t="inlineStr">
        <is>
          <t>SKELLEFTEÅ</t>
        </is>
      </c>
      <c r="F11801" t="inlineStr">
        <is>
          <t>Holmen skog AB</t>
        </is>
      </c>
      <c r="G11801" t="n">
        <v>4.8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21144-2025</t>
        </is>
      </c>
      <c r="B11802" s="1" t="n">
        <v>45779.33128472222</v>
      </c>
      <c r="C11802" s="1" t="n">
        <v>46075</v>
      </c>
      <c r="D11802" t="inlineStr">
        <is>
          <t>VÄSTERBOTTENS LÄN</t>
        </is>
      </c>
      <c r="E11802" t="inlineStr">
        <is>
          <t>ROBERTSFORS</t>
        </is>
      </c>
      <c r="G11802" t="n">
        <v>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21131-2025</t>
        </is>
      </c>
      <c r="B11803" s="1" t="n">
        <v>45778.36864583333</v>
      </c>
      <c r="C11803" s="1" t="n">
        <v>46075</v>
      </c>
      <c r="D11803" t="inlineStr">
        <is>
          <t>VÄSTERBOTTENS LÄN</t>
        </is>
      </c>
      <c r="E11803" t="inlineStr">
        <is>
          <t>SKELLEFTEÅ</t>
        </is>
      </c>
      <c r="G11803" t="n">
        <v>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43357-2021</t>
        </is>
      </c>
      <c r="B11804" s="1" t="n">
        <v>44432</v>
      </c>
      <c r="C11804" s="1" t="n">
        <v>46075</v>
      </c>
      <c r="D11804" t="inlineStr">
        <is>
          <t>VÄSTERBOTTENS LÄN</t>
        </is>
      </c>
      <c r="E11804" t="inlineStr">
        <is>
          <t>UMEÅ</t>
        </is>
      </c>
      <c r="G11804" t="n">
        <v>6.3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18455-2021</t>
        </is>
      </c>
      <c r="B11805" s="1" t="n">
        <v>44305</v>
      </c>
      <c r="C11805" s="1" t="n">
        <v>46075</v>
      </c>
      <c r="D11805" t="inlineStr">
        <is>
          <t>VÄSTERBOTTENS LÄN</t>
        </is>
      </c>
      <c r="E11805" t="inlineStr">
        <is>
          <t>UMEÅ</t>
        </is>
      </c>
      <c r="F11805" t="inlineStr">
        <is>
          <t>SCA</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21420-2025</t>
        </is>
      </c>
      <c r="B11806" s="1" t="n">
        <v>45782.5021875</v>
      </c>
      <c r="C11806" s="1" t="n">
        <v>46075</v>
      </c>
      <c r="D11806" t="inlineStr">
        <is>
          <t>VÄSTERBOTTENS LÄN</t>
        </is>
      </c>
      <c r="E11806" t="inlineStr">
        <is>
          <t>SKELLEFTEÅ</t>
        </is>
      </c>
      <c r="G11806" t="n">
        <v>1.1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21435-2025</t>
        </is>
      </c>
      <c r="B11807" s="1" t="n">
        <v>45782.51766203704</v>
      </c>
      <c r="C11807" s="1" t="n">
        <v>46075</v>
      </c>
      <c r="D11807" t="inlineStr">
        <is>
          <t>VÄSTERBOTTENS LÄN</t>
        </is>
      </c>
      <c r="E11807" t="inlineStr">
        <is>
          <t>VÄNNÄS</t>
        </is>
      </c>
      <c r="G11807" t="n">
        <v>2.2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21437-2025</t>
        </is>
      </c>
      <c r="B11808" s="1" t="n">
        <v>45782.52001157407</v>
      </c>
      <c r="C11808" s="1" t="n">
        <v>46075</v>
      </c>
      <c r="D11808" t="inlineStr">
        <is>
          <t>VÄSTERBOTTENS LÄN</t>
        </is>
      </c>
      <c r="E11808" t="inlineStr">
        <is>
          <t>VÄNNÄS</t>
        </is>
      </c>
      <c r="G11808" t="n">
        <v>0.8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21733-2025</t>
        </is>
      </c>
      <c r="B11809" s="1" t="n">
        <v>45783.58576388889</v>
      </c>
      <c r="C11809" s="1" t="n">
        <v>46075</v>
      </c>
      <c r="D11809" t="inlineStr">
        <is>
          <t>VÄSTERBOTTENS LÄN</t>
        </is>
      </c>
      <c r="E11809" t="inlineStr">
        <is>
          <t>NORDMALING</t>
        </is>
      </c>
      <c r="G11809" t="n">
        <v>2.5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21743-2025</t>
        </is>
      </c>
      <c r="B11810" s="1" t="n">
        <v>45783.5943287037</v>
      </c>
      <c r="C11810" s="1" t="n">
        <v>46075</v>
      </c>
      <c r="D11810" t="inlineStr">
        <is>
          <t>VÄSTERBOTTENS LÄN</t>
        </is>
      </c>
      <c r="E11810" t="inlineStr">
        <is>
          <t>SORSELE</t>
        </is>
      </c>
      <c r="G11810" t="n">
        <v>5.2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21795-2025</t>
        </is>
      </c>
      <c r="B11811" s="1" t="n">
        <v>45783.68131944445</v>
      </c>
      <c r="C11811" s="1" t="n">
        <v>46075</v>
      </c>
      <c r="D11811" t="inlineStr">
        <is>
          <t>VÄSTERBOTTENS LÄN</t>
        </is>
      </c>
      <c r="E11811" t="inlineStr">
        <is>
          <t>UMEÅ</t>
        </is>
      </c>
      <c r="F11811" t="inlineStr">
        <is>
          <t>Kyrkan</t>
        </is>
      </c>
      <c r="G11811" t="n">
        <v>3.3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21410-2025</t>
        </is>
      </c>
      <c r="B11812" s="1" t="n">
        <v>45782</v>
      </c>
      <c r="C11812" s="1" t="n">
        <v>46075</v>
      </c>
      <c r="D11812" t="inlineStr">
        <is>
          <t>VÄSTERBOTTENS LÄN</t>
        </is>
      </c>
      <c r="E11812" t="inlineStr">
        <is>
          <t>VILHELMINA</t>
        </is>
      </c>
      <c r="F11812" t="inlineStr">
        <is>
          <t>SCA</t>
        </is>
      </c>
      <c r="G11812" t="n">
        <v>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21800-2025</t>
        </is>
      </c>
      <c r="B11813" s="1" t="n">
        <v>45783.68863425926</v>
      </c>
      <c r="C11813" s="1" t="n">
        <v>46075</v>
      </c>
      <c r="D11813" t="inlineStr">
        <is>
          <t>VÄSTERBOTTENS LÄN</t>
        </is>
      </c>
      <c r="E11813" t="inlineStr">
        <is>
          <t>UMEÅ</t>
        </is>
      </c>
      <c r="F11813" t="inlineStr">
        <is>
          <t>Kyrkan</t>
        </is>
      </c>
      <c r="G11813" t="n">
        <v>2.4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21736-2025</t>
        </is>
      </c>
      <c r="B11814" s="1" t="n">
        <v>45783.58952546296</v>
      </c>
      <c r="C11814" s="1" t="n">
        <v>46075</v>
      </c>
      <c r="D11814" t="inlineStr">
        <is>
          <t>VÄSTERBOTTENS LÄN</t>
        </is>
      </c>
      <c r="E11814" t="inlineStr">
        <is>
          <t>NORDMALING</t>
        </is>
      </c>
      <c r="G11814" t="n">
        <v>0.3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21585-2025</t>
        </is>
      </c>
      <c r="B11815" s="1" t="n">
        <v>45783</v>
      </c>
      <c r="C11815" s="1" t="n">
        <v>46075</v>
      </c>
      <c r="D11815" t="inlineStr">
        <is>
          <t>VÄSTERBOTTENS LÄN</t>
        </is>
      </c>
      <c r="E11815" t="inlineStr">
        <is>
          <t>SKELLEFTEÅ</t>
        </is>
      </c>
      <c r="G11815" t="n">
        <v>0.3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21448-2025</t>
        </is>
      </c>
      <c r="B11816" s="1" t="n">
        <v>45782.55241898148</v>
      </c>
      <c r="C11816" s="1" t="n">
        <v>46075</v>
      </c>
      <c r="D11816" t="inlineStr">
        <is>
          <t>VÄSTERBOTTENS LÄN</t>
        </is>
      </c>
      <c r="E11816" t="inlineStr">
        <is>
          <t>VILHELMINA</t>
        </is>
      </c>
      <c r="F11816" t="inlineStr">
        <is>
          <t>SCA</t>
        </is>
      </c>
      <c r="G11816" t="n">
        <v>9.699999999999999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21374-2025</t>
        </is>
      </c>
      <c r="B11817" s="1" t="n">
        <v>45782.44893518519</v>
      </c>
      <c r="C11817" s="1" t="n">
        <v>46075</v>
      </c>
      <c r="D11817" t="inlineStr">
        <is>
          <t>VÄSTERBOTTENS LÄN</t>
        </is>
      </c>
      <c r="E11817" t="inlineStr">
        <is>
          <t>LYCKSELE</t>
        </is>
      </c>
      <c r="F11817" t="inlineStr">
        <is>
          <t>SCA</t>
        </is>
      </c>
      <c r="G11817" t="n">
        <v>3.1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21622-2025</t>
        </is>
      </c>
      <c r="B11818" s="1" t="n">
        <v>45783.40668981482</v>
      </c>
      <c r="C11818" s="1" t="n">
        <v>46075</v>
      </c>
      <c r="D11818" t="inlineStr">
        <is>
          <t>VÄSTERBOTTENS LÄN</t>
        </is>
      </c>
      <c r="E11818" t="inlineStr">
        <is>
          <t>DOROTEA</t>
        </is>
      </c>
      <c r="F11818" t="inlineStr">
        <is>
          <t>SCA</t>
        </is>
      </c>
      <c r="G11818" t="n">
        <v>11.8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21375-2025</t>
        </is>
      </c>
      <c r="B11819" s="1" t="n">
        <v>45782.44907407407</v>
      </c>
      <c r="C11819" s="1" t="n">
        <v>46075</v>
      </c>
      <c r="D11819" t="inlineStr">
        <is>
          <t>VÄSTERBOTTENS LÄN</t>
        </is>
      </c>
      <c r="E11819" t="inlineStr">
        <is>
          <t>SORSELE</t>
        </is>
      </c>
      <c r="F11819" t="inlineStr">
        <is>
          <t>SCA</t>
        </is>
      </c>
      <c r="G11819" t="n">
        <v>5.9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21381-2025</t>
        </is>
      </c>
      <c r="B11820" s="1" t="n">
        <v>45782.45925925926</v>
      </c>
      <c r="C11820" s="1" t="n">
        <v>46075</v>
      </c>
      <c r="D11820" t="inlineStr">
        <is>
          <t>VÄSTERBOTTENS LÄN</t>
        </is>
      </c>
      <c r="E11820" t="inlineStr">
        <is>
          <t>SKELLEFTEÅ</t>
        </is>
      </c>
      <c r="F11820" t="inlineStr">
        <is>
          <t>Holmen skog AB</t>
        </is>
      </c>
      <c r="G11820" t="n">
        <v>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21350-2025</t>
        </is>
      </c>
      <c r="B11821" s="1" t="n">
        <v>45782.40702546296</v>
      </c>
      <c r="C11821" s="1" t="n">
        <v>46075</v>
      </c>
      <c r="D11821" t="inlineStr">
        <is>
          <t>VÄSTERBOTTENS LÄN</t>
        </is>
      </c>
      <c r="E11821" t="inlineStr">
        <is>
          <t>SKELLEFTEÅ</t>
        </is>
      </c>
      <c r="F11821" t="inlineStr">
        <is>
          <t>Holmen skog AB</t>
        </is>
      </c>
      <c r="G11821" t="n">
        <v>3.5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21371-2025</t>
        </is>
      </c>
      <c r="B11822" s="1" t="n">
        <v>45782.44856481482</v>
      </c>
      <c r="C11822" s="1" t="n">
        <v>46075</v>
      </c>
      <c r="D11822" t="inlineStr">
        <is>
          <t>VÄSTERBOTTENS LÄN</t>
        </is>
      </c>
      <c r="E11822" t="inlineStr">
        <is>
          <t>SORSELE</t>
        </is>
      </c>
      <c r="F11822" t="inlineStr">
        <is>
          <t>SCA</t>
        </is>
      </c>
      <c r="G11822" t="n">
        <v>2.2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21427-2025</t>
        </is>
      </c>
      <c r="B11823" s="1" t="n">
        <v>45782.50858796296</v>
      </c>
      <c r="C11823" s="1" t="n">
        <v>46075</v>
      </c>
      <c r="D11823" t="inlineStr">
        <is>
          <t>VÄSTERBOTTENS LÄN</t>
        </is>
      </c>
      <c r="E11823" t="inlineStr">
        <is>
          <t>SKELLEFTEÅ</t>
        </is>
      </c>
      <c r="G11823" t="n">
        <v>1.6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21750-2025</t>
        </is>
      </c>
      <c r="B11824" s="1" t="n">
        <v>45783.61346064815</v>
      </c>
      <c r="C11824" s="1" t="n">
        <v>46075</v>
      </c>
      <c r="D11824" t="inlineStr">
        <is>
          <t>VÄSTERBOTTENS LÄN</t>
        </is>
      </c>
      <c r="E11824" t="inlineStr">
        <is>
          <t>SKELLEFTEÅ</t>
        </is>
      </c>
      <c r="F11824" t="inlineStr">
        <is>
          <t>Kyrkan</t>
        </is>
      </c>
      <c r="G11824" t="n">
        <v>0.9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21361-2025</t>
        </is>
      </c>
      <c r="B11825" s="1" t="n">
        <v>45782.43983796296</v>
      </c>
      <c r="C11825" s="1" t="n">
        <v>46075</v>
      </c>
      <c r="D11825" t="inlineStr">
        <is>
          <t>VÄSTERBOTTENS LÄN</t>
        </is>
      </c>
      <c r="E11825" t="inlineStr">
        <is>
          <t>VÄNNÄS</t>
        </is>
      </c>
      <c r="G11825" t="n">
        <v>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21615-2025</t>
        </is>
      </c>
      <c r="B11826" s="1" t="n">
        <v>45783.40077546296</v>
      </c>
      <c r="C11826" s="1" t="n">
        <v>46075</v>
      </c>
      <c r="D11826" t="inlineStr">
        <is>
          <t>VÄSTERBOTTENS LÄN</t>
        </is>
      </c>
      <c r="E11826" t="inlineStr">
        <is>
          <t>VÄNNÄS</t>
        </is>
      </c>
      <c r="F11826" t="inlineStr">
        <is>
          <t>Holmen skog AB</t>
        </is>
      </c>
      <c r="G11826" t="n">
        <v>5.4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21623-2025</t>
        </is>
      </c>
      <c r="B11827" s="1" t="n">
        <v>45783</v>
      </c>
      <c r="C11827" s="1" t="n">
        <v>46075</v>
      </c>
      <c r="D11827" t="inlineStr">
        <is>
          <t>VÄSTERBOTTENS LÄN</t>
        </is>
      </c>
      <c r="E11827" t="inlineStr">
        <is>
          <t>VILHELMINA</t>
        </is>
      </c>
      <c r="F11827" t="inlineStr">
        <is>
          <t>SCA</t>
        </is>
      </c>
      <c r="G11827" t="n">
        <v>8.300000000000001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21424-2025</t>
        </is>
      </c>
      <c r="B11828" s="1" t="n">
        <v>45782.50584490741</v>
      </c>
      <c r="C11828" s="1" t="n">
        <v>46075</v>
      </c>
      <c r="D11828" t="inlineStr">
        <is>
          <t>VÄSTERBOTTENS LÄN</t>
        </is>
      </c>
      <c r="E11828" t="inlineStr">
        <is>
          <t>SKELLEFTEÅ</t>
        </is>
      </c>
      <c r="G11828" t="n">
        <v>1.9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21727-2025</t>
        </is>
      </c>
      <c r="B11829" s="1" t="n">
        <v>45783.57331018519</v>
      </c>
      <c r="C11829" s="1" t="n">
        <v>46075</v>
      </c>
      <c r="D11829" t="inlineStr">
        <is>
          <t>VÄSTERBOTTENS LÄN</t>
        </is>
      </c>
      <c r="E11829" t="inlineStr">
        <is>
          <t>LYCKSELE</t>
        </is>
      </c>
      <c r="F11829" t="inlineStr">
        <is>
          <t>SCA</t>
        </is>
      </c>
      <c r="G11829" t="n">
        <v>5.4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21755-2025</t>
        </is>
      </c>
      <c r="B11830" s="1" t="n">
        <v>45783.61917824074</v>
      </c>
      <c r="C11830" s="1" t="n">
        <v>46075</v>
      </c>
      <c r="D11830" t="inlineStr">
        <is>
          <t>VÄSTERBOTTENS LÄN</t>
        </is>
      </c>
      <c r="E11830" t="inlineStr">
        <is>
          <t>SKELLEFTEÅ</t>
        </is>
      </c>
      <c r="G11830" t="n">
        <v>13.6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21757-2025</t>
        </is>
      </c>
      <c r="B11831" s="1" t="n">
        <v>45783</v>
      </c>
      <c r="C11831" s="1" t="n">
        <v>46075</v>
      </c>
      <c r="D11831" t="inlineStr">
        <is>
          <t>VÄSTERBOTTENS LÄN</t>
        </is>
      </c>
      <c r="E11831" t="inlineStr">
        <is>
          <t>SKELLEFTEÅ</t>
        </is>
      </c>
      <c r="G11831" t="n">
        <v>0.9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21794-2025</t>
        </is>
      </c>
      <c r="B11832" s="1" t="n">
        <v>45783.67894675926</v>
      </c>
      <c r="C11832" s="1" t="n">
        <v>46075</v>
      </c>
      <c r="D11832" t="inlineStr">
        <is>
          <t>VÄSTERBOTTENS LÄN</t>
        </is>
      </c>
      <c r="E11832" t="inlineStr">
        <is>
          <t>UMEÅ</t>
        </is>
      </c>
      <c r="G11832" t="n">
        <v>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21670-2025</t>
        </is>
      </c>
      <c r="B11833" s="1" t="n">
        <v>45783.46917824074</v>
      </c>
      <c r="C11833" s="1" t="n">
        <v>46075</v>
      </c>
      <c r="D11833" t="inlineStr">
        <is>
          <t>VÄSTERBOTTENS LÄN</t>
        </is>
      </c>
      <c r="E11833" t="inlineStr">
        <is>
          <t>VILHELMINA</t>
        </is>
      </c>
      <c r="F11833" t="inlineStr">
        <is>
          <t>SCA</t>
        </is>
      </c>
      <c r="G11833" t="n">
        <v>3.4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21482-2025</t>
        </is>
      </c>
      <c r="B11834" s="1" t="n">
        <v>45782</v>
      </c>
      <c r="C11834" s="1" t="n">
        <v>46075</v>
      </c>
      <c r="D11834" t="inlineStr">
        <is>
          <t>VÄSTERBOTTENS LÄN</t>
        </is>
      </c>
      <c r="E11834" t="inlineStr">
        <is>
          <t>DOROTEA</t>
        </is>
      </c>
      <c r="F11834" t="inlineStr">
        <is>
          <t>SCA</t>
        </is>
      </c>
      <c r="G11834" t="n">
        <v>4.3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21510-2025</t>
        </is>
      </c>
      <c r="B11835" s="1" t="n">
        <v>45782.62412037037</v>
      </c>
      <c r="C11835" s="1" t="n">
        <v>46075</v>
      </c>
      <c r="D11835" t="inlineStr">
        <is>
          <t>VÄSTERBOTTENS LÄN</t>
        </is>
      </c>
      <c r="E11835" t="inlineStr">
        <is>
          <t>VINDELN</t>
        </is>
      </c>
      <c r="F11835" t="inlineStr">
        <is>
          <t>Holmen skog AB</t>
        </is>
      </c>
      <c r="G11835" t="n">
        <v>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21610-2025</t>
        </is>
      </c>
      <c r="B11836" s="1" t="n">
        <v>45783.39127314815</v>
      </c>
      <c r="C11836" s="1" t="n">
        <v>46075</v>
      </c>
      <c r="D11836" t="inlineStr">
        <is>
          <t>VÄSTERBOTTENS LÄN</t>
        </is>
      </c>
      <c r="E11836" t="inlineStr">
        <is>
          <t>UMEÅ</t>
        </is>
      </c>
      <c r="G11836" t="n">
        <v>0.7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21612-2025</t>
        </is>
      </c>
      <c r="B11837" s="1" t="n">
        <v>45783.39449074074</v>
      </c>
      <c r="C11837" s="1" t="n">
        <v>46075</v>
      </c>
      <c r="D11837" t="inlineStr">
        <is>
          <t>VÄSTERBOTTENS LÄN</t>
        </is>
      </c>
      <c r="E11837" t="inlineStr">
        <is>
          <t>UMEÅ</t>
        </is>
      </c>
      <c r="G11837" t="n">
        <v>8.199999999999999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21411-2025</t>
        </is>
      </c>
      <c r="B11838" s="1" t="n">
        <v>45782</v>
      </c>
      <c r="C11838" s="1" t="n">
        <v>46075</v>
      </c>
      <c r="D11838" t="inlineStr">
        <is>
          <t>VÄSTERBOTTENS LÄN</t>
        </is>
      </c>
      <c r="E11838" t="inlineStr">
        <is>
          <t>DOROTEA</t>
        </is>
      </c>
      <c r="F11838" t="inlineStr">
        <is>
          <t>SCA</t>
        </is>
      </c>
      <c r="G11838" t="n">
        <v>3.8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21320-2025</t>
        </is>
      </c>
      <c r="B11839" s="1" t="n">
        <v>45782</v>
      </c>
      <c r="C11839" s="1" t="n">
        <v>46075</v>
      </c>
      <c r="D11839" t="inlineStr">
        <is>
          <t>VÄSTERBOTTENS LÄN</t>
        </is>
      </c>
      <c r="E11839" t="inlineStr">
        <is>
          <t>DOROTEA</t>
        </is>
      </c>
      <c r="F11839" t="inlineStr">
        <is>
          <t>SCA</t>
        </is>
      </c>
      <c r="G11839" t="n">
        <v>3.6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21587-2025</t>
        </is>
      </c>
      <c r="B11840" s="1" t="n">
        <v>45783</v>
      </c>
      <c r="C11840" s="1" t="n">
        <v>46075</v>
      </c>
      <c r="D11840" t="inlineStr">
        <is>
          <t>VÄSTERBOTTENS LÄN</t>
        </is>
      </c>
      <c r="E11840" t="inlineStr">
        <is>
          <t>SKELLEFTEÅ</t>
        </is>
      </c>
      <c r="G11840" t="n">
        <v>0.4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21650-2025</t>
        </is>
      </c>
      <c r="B11841" s="1" t="n">
        <v>45783.44258101852</v>
      </c>
      <c r="C11841" s="1" t="n">
        <v>46075</v>
      </c>
      <c r="D11841" t="inlineStr">
        <is>
          <t>VÄSTERBOTTENS LÄN</t>
        </is>
      </c>
      <c r="E11841" t="inlineStr">
        <is>
          <t>VINDELN</t>
        </is>
      </c>
      <c r="F11841" t="inlineStr">
        <is>
          <t>Holmen skog AB</t>
        </is>
      </c>
      <c r="G11841" t="n">
        <v>4.6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21701-2025</t>
        </is>
      </c>
      <c r="B11842" s="1" t="n">
        <v>45783</v>
      </c>
      <c r="C11842" s="1" t="n">
        <v>46075</v>
      </c>
      <c r="D11842" t="inlineStr">
        <is>
          <t>VÄSTERBOTTENS LÄN</t>
        </is>
      </c>
      <c r="E11842" t="inlineStr">
        <is>
          <t>DOROTEA</t>
        </is>
      </c>
      <c r="F11842" t="inlineStr">
        <is>
          <t>SCA</t>
        </is>
      </c>
      <c r="G11842" t="n">
        <v>10</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21404-2025</t>
        </is>
      </c>
      <c r="B11843" s="1" t="n">
        <v>45782</v>
      </c>
      <c r="C11843" s="1" t="n">
        <v>46075</v>
      </c>
      <c r="D11843" t="inlineStr">
        <is>
          <t>VÄSTERBOTTENS LÄN</t>
        </is>
      </c>
      <c r="E11843" t="inlineStr">
        <is>
          <t>DOROTEA</t>
        </is>
      </c>
      <c r="F11843" t="inlineStr">
        <is>
          <t>SCA</t>
        </is>
      </c>
      <c r="G11843" t="n">
        <v>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42104-2024</t>
        </is>
      </c>
      <c r="B11844" s="1" t="n">
        <v>45562</v>
      </c>
      <c r="C11844" s="1" t="n">
        <v>46075</v>
      </c>
      <c r="D11844" t="inlineStr">
        <is>
          <t>VÄSTERBOTTENS LÄN</t>
        </is>
      </c>
      <c r="E11844" t="inlineStr">
        <is>
          <t>DOROTEA</t>
        </is>
      </c>
      <c r="F11844" t="inlineStr">
        <is>
          <t>SCA</t>
        </is>
      </c>
      <c r="G11844" t="n">
        <v>3.7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21888-2025</t>
        </is>
      </c>
      <c r="B11845" s="1" t="n">
        <v>45784.43131944445</v>
      </c>
      <c r="C11845" s="1" t="n">
        <v>46075</v>
      </c>
      <c r="D11845" t="inlineStr">
        <is>
          <t>VÄSTERBOTTENS LÄN</t>
        </is>
      </c>
      <c r="E11845" t="inlineStr">
        <is>
          <t>LYCKSELE</t>
        </is>
      </c>
      <c r="F11845" t="inlineStr">
        <is>
          <t>Holmen skog AB</t>
        </is>
      </c>
      <c r="G11845" t="n">
        <v>4.4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44480-2024</t>
        </is>
      </c>
      <c r="B11846" s="1" t="n">
        <v>45574</v>
      </c>
      <c r="C11846" s="1" t="n">
        <v>46075</v>
      </c>
      <c r="D11846" t="inlineStr">
        <is>
          <t>VÄSTERBOTTENS LÄN</t>
        </is>
      </c>
      <c r="E11846" t="inlineStr">
        <is>
          <t>SKELLEFTEÅ</t>
        </is>
      </c>
      <c r="G11846" t="n">
        <v>0.7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22229-2025</t>
        </is>
      </c>
      <c r="B11847" s="1" t="n">
        <v>45785.66422453704</v>
      </c>
      <c r="C11847" s="1" t="n">
        <v>46075</v>
      </c>
      <c r="D11847" t="inlineStr">
        <is>
          <t>VÄSTERBOTTENS LÄN</t>
        </is>
      </c>
      <c r="E11847" t="inlineStr">
        <is>
          <t>LYCKSELE</t>
        </is>
      </c>
      <c r="F11847" t="inlineStr">
        <is>
          <t>Holmen skog AB</t>
        </is>
      </c>
      <c r="G11847" t="n">
        <v>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21950-2025</t>
        </is>
      </c>
      <c r="B11848" s="1" t="n">
        <v>45784.59418981482</v>
      </c>
      <c r="C11848" s="1" t="n">
        <v>46075</v>
      </c>
      <c r="D11848" t="inlineStr">
        <is>
          <t>VÄSTERBOTTENS LÄN</t>
        </is>
      </c>
      <c r="E11848" t="inlineStr">
        <is>
          <t>VILHELMINA</t>
        </is>
      </c>
      <c r="F11848" t="inlineStr">
        <is>
          <t>SCA</t>
        </is>
      </c>
      <c r="G11848" t="n">
        <v>1.8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21887-2025</t>
        </is>
      </c>
      <c r="B11849" s="1" t="n">
        <v>45784.42898148148</v>
      </c>
      <c r="C11849" s="1" t="n">
        <v>46075</v>
      </c>
      <c r="D11849" t="inlineStr">
        <is>
          <t>VÄSTERBOTTENS LÄN</t>
        </is>
      </c>
      <c r="E11849" t="inlineStr">
        <is>
          <t>BJURHOLM</t>
        </is>
      </c>
      <c r="G11849" t="n">
        <v>1.1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22095-2025</t>
        </is>
      </c>
      <c r="B11850" s="1" t="n">
        <v>45785.46921296296</v>
      </c>
      <c r="C11850" s="1" t="n">
        <v>46075</v>
      </c>
      <c r="D11850" t="inlineStr">
        <is>
          <t>VÄSTERBOTTENS LÄN</t>
        </is>
      </c>
      <c r="E11850" t="inlineStr">
        <is>
          <t>BJURHOLM</t>
        </is>
      </c>
      <c r="G11850" t="n">
        <v>3.6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22107-2025</t>
        </is>
      </c>
      <c r="B11851" s="1" t="n">
        <v>45785.49008101852</v>
      </c>
      <c r="C11851" s="1" t="n">
        <v>46075</v>
      </c>
      <c r="D11851" t="inlineStr">
        <is>
          <t>VÄSTERBOTTENS LÄN</t>
        </is>
      </c>
      <c r="E11851" t="inlineStr">
        <is>
          <t>LYCKSELE</t>
        </is>
      </c>
      <c r="F11851" t="inlineStr">
        <is>
          <t>SCA</t>
        </is>
      </c>
      <c r="G11851" t="n">
        <v>8.4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22032-2025</t>
        </is>
      </c>
      <c r="B11852" s="1" t="n">
        <v>45784</v>
      </c>
      <c r="C11852" s="1" t="n">
        <v>46075</v>
      </c>
      <c r="D11852" t="inlineStr">
        <is>
          <t>VÄSTERBOTTENS LÄN</t>
        </is>
      </c>
      <c r="E11852" t="inlineStr">
        <is>
          <t>ROBERTSFORS</t>
        </is>
      </c>
      <c r="G11852" t="n">
        <v>3.9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22127-2025</t>
        </is>
      </c>
      <c r="B11853" s="1" t="n">
        <v>45785.53003472222</v>
      </c>
      <c r="C11853" s="1" t="n">
        <v>46075</v>
      </c>
      <c r="D11853" t="inlineStr">
        <is>
          <t>VÄSTERBOTTENS LÄN</t>
        </is>
      </c>
      <c r="E11853" t="inlineStr">
        <is>
          <t>LYCKSELE</t>
        </is>
      </c>
      <c r="F11853" t="inlineStr">
        <is>
          <t>Sveaskog</t>
        </is>
      </c>
      <c r="G11853" t="n">
        <v>0.7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15903-2025</t>
        </is>
      </c>
      <c r="B11854" s="1" t="n">
        <v>45749</v>
      </c>
      <c r="C11854" s="1" t="n">
        <v>46075</v>
      </c>
      <c r="D11854" t="inlineStr">
        <is>
          <t>VÄSTERBOTTENS LÄN</t>
        </is>
      </c>
      <c r="E11854" t="inlineStr">
        <is>
          <t>UMEÅ</t>
        </is>
      </c>
      <c r="G11854" t="n">
        <v>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22213-2025</t>
        </is>
      </c>
      <c r="B11855" s="1" t="n">
        <v>45785.65777777778</v>
      </c>
      <c r="C11855" s="1" t="n">
        <v>46075</v>
      </c>
      <c r="D11855" t="inlineStr">
        <is>
          <t>VÄSTERBOTTENS LÄN</t>
        </is>
      </c>
      <c r="E11855" t="inlineStr">
        <is>
          <t>DOROTEA</t>
        </is>
      </c>
      <c r="F11855" t="inlineStr">
        <is>
          <t>SCA</t>
        </is>
      </c>
      <c r="G11855" t="n">
        <v>1.8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21906-2025</t>
        </is>
      </c>
      <c r="B11856" s="1" t="n">
        <v>45784</v>
      </c>
      <c r="C11856" s="1" t="n">
        <v>46075</v>
      </c>
      <c r="D11856" t="inlineStr">
        <is>
          <t>VÄSTERBOTTENS LÄN</t>
        </is>
      </c>
      <c r="E11856" t="inlineStr">
        <is>
          <t>NORSJÖ</t>
        </is>
      </c>
      <c r="G11856" t="n">
        <v>2.7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21960-2025</t>
        </is>
      </c>
      <c r="B11857" s="1" t="n">
        <v>45784</v>
      </c>
      <c r="C11857" s="1" t="n">
        <v>46075</v>
      </c>
      <c r="D11857" t="inlineStr">
        <is>
          <t>VÄSTERBOTTENS LÄN</t>
        </is>
      </c>
      <c r="E11857" t="inlineStr">
        <is>
          <t>DOROTEA</t>
        </is>
      </c>
      <c r="F11857" t="inlineStr">
        <is>
          <t>SCA</t>
        </is>
      </c>
      <c r="G11857" t="n">
        <v>26.9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21910-2025</t>
        </is>
      </c>
      <c r="B11858" s="1" t="n">
        <v>45784.47021990741</v>
      </c>
      <c r="C11858" s="1" t="n">
        <v>46075</v>
      </c>
      <c r="D11858" t="inlineStr">
        <is>
          <t>VÄSTERBOTTENS LÄN</t>
        </is>
      </c>
      <c r="E11858" t="inlineStr">
        <is>
          <t>SKELLEFTEÅ</t>
        </is>
      </c>
      <c r="F11858" t="inlineStr">
        <is>
          <t>Holmen skog AB</t>
        </is>
      </c>
      <c r="G11858" t="n">
        <v>4.3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22007-2025</t>
        </is>
      </c>
      <c r="B11859" s="1" t="n">
        <v>45784</v>
      </c>
      <c r="C11859" s="1" t="n">
        <v>46075</v>
      </c>
      <c r="D11859" t="inlineStr">
        <is>
          <t>VÄSTERBOTTENS LÄN</t>
        </is>
      </c>
      <c r="E11859" t="inlineStr">
        <is>
          <t>UMEÅ</t>
        </is>
      </c>
      <c r="G11859" t="n">
        <v>2.2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1113-2025</t>
        </is>
      </c>
      <c r="B11860" s="1" t="n">
        <v>45666</v>
      </c>
      <c r="C11860" s="1" t="n">
        <v>46075</v>
      </c>
      <c r="D11860" t="inlineStr">
        <is>
          <t>VÄSTERBOTTENS LÄN</t>
        </is>
      </c>
      <c r="E11860" t="inlineStr">
        <is>
          <t>SKELLEFTEÅ</t>
        </is>
      </c>
      <c r="G11860" t="n">
        <v>7.4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50482-2023</t>
        </is>
      </c>
      <c r="B11861" s="1" t="n">
        <v>45216</v>
      </c>
      <c r="C11861" s="1" t="n">
        <v>46075</v>
      </c>
      <c r="D11861" t="inlineStr">
        <is>
          <t>VÄSTERBOTTENS LÄN</t>
        </is>
      </c>
      <c r="E11861" t="inlineStr">
        <is>
          <t>VILHELMINA</t>
        </is>
      </c>
      <c r="G11861" t="n">
        <v>3.5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22048-2025</t>
        </is>
      </c>
      <c r="B11862" s="1" t="n">
        <v>45785.3443287037</v>
      </c>
      <c r="C11862" s="1" t="n">
        <v>46075</v>
      </c>
      <c r="D11862" t="inlineStr">
        <is>
          <t>VÄSTERBOTTENS LÄN</t>
        </is>
      </c>
      <c r="E11862" t="inlineStr">
        <is>
          <t>VILHELMINA</t>
        </is>
      </c>
      <c r="F11862" t="inlineStr">
        <is>
          <t>SCA</t>
        </is>
      </c>
      <c r="G11862" t="n">
        <v>3.2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22096-2025</t>
        </is>
      </c>
      <c r="B11863" s="1" t="n">
        <v>45785.46922453704</v>
      </c>
      <c r="C11863" s="1" t="n">
        <v>46075</v>
      </c>
      <c r="D11863" t="inlineStr">
        <is>
          <t>VÄSTERBOTTENS LÄN</t>
        </is>
      </c>
      <c r="E11863" t="inlineStr">
        <is>
          <t>BJURHOLM</t>
        </is>
      </c>
      <c r="G11863" t="n">
        <v>1.1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22145-2025</t>
        </is>
      </c>
      <c r="B11864" s="1" t="n">
        <v>45785.55422453704</v>
      </c>
      <c r="C11864" s="1" t="n">
        <v>46075</v>
      </c>
      <c r="D11864" t="inlineStr">
        <is>
          <t>VÄSTERBOTTENS LÄN</t>
        </is>
      </c>
      <c r="E11864" t="inlineStr">
        <is>
          <t>UMEÅ</t>
        </is>
      </c>
      <c r="G11864" t="n">
        <v>0.3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22146-2025</t>
        </is>
      </c>
      <c r="B11865" s="1" t="n">
        <v>45785.55462962963</v>
      </c>
      <c r="C11865" s="1" t="n">
        <v>46075</v>
      </c>
      <c r="D11865" t="inlineStr">
        <is>
          <t>VÄSTERBOTTENS LÄN</t>
        </is>
      </c>
      <c r="E11865" t="inlineStr">
        <is>
          <t>UMEÅ</t>
        </is>
      </c>
      <c r="G11865" t="n">
        <v>1.6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27504-2023</t>
        </is>
      </c>
      <c r="B11866" s="1" t="n">
        <v>45097</v>
      </c>
      <c r="C11866" s="1" t="n">
        <v>46075</v>
      </c>
      <c r="D11866" t="inlineStr">
        <is>
          <t>VÄSTERBOTTENS LÄN</t>
        </is>
      </c>
      <c r="E11866" t="inlineStr">
        <is>
          <t>SKELLEFTEÅ</t>
        </is>
      </c>
      <c r="G11866" t="n">
        <v>4.2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21972-2025</t>
        </is>
      </c>
      <c r="B11867" s="1" t="n">
        <v>45784.63592592593</v>
      </c>
      <c r="C11867" s="1" t="n">
        <v>46075</v>
      </c>
      <c r="D11867" t="inlineStr">
        <is>
          <t>VÄSTERBOTTENS LÄN</t>
        </is>
      </c>
      <c r="E11867" t="inlineStr">
        <is>
          <t>VILHELMINA</t>
        </is>
      </c>
      <c r="F11867" t="inlineStr">
        <is>
          <t>SCA</t>
        </is>
      </c>
      <c r="G11867" t="n">
        <v>2.4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21992-2025</t>
        </is>
      </c>
      <c r="B11868" s="1" t="n">
        <v>45784.66221064814</v>
      </c>
      <c r="C11868" s="1" t="n">
        <v>46075</v>
      </c>
      <c r="D11868" t="inlineStr">
        <is>
          <t>VÄSTERBOTTENS LÄN</t>
        </is>
      </c>
      <c r="E11868" t="inlineStr">
        <is>
          <t>SKELLEFTEÅ</t>
        </is>
      </c>
      <c r="G11868" t="n">
        <v>3.7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5986-2025</t>
        </is>
      </c>
      <c r="B11869" s="1" t="n">
        <v>45695</v>
      </c>
      <c r="C11869" s="1" t="n">
        <v>46075</v>
      </c>
      <c r="D11869" t="inlineStr">
        <is>
          <t>VÄSTERBOTTENS LÄN</t>
        </is>
      </c>
      <c r="E11869" t="inlineStr">
        <is>
          <t>SKELLEFTEÅ</t>
        </is>
      </c>
      <c r="G11869" t="n">
        <v>2.2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22161-2025</t>
        </is>
      </c>
      <c r="B11870" s="1" t="n">
        <v>45785.58844907407</v>
      </c>
      <c r="C11870" s="1" t="n">
        <v>46075</v>
      </c>
      <c r="D11870" t="inlineStr">
        <is>
          <t>VÄSTERBOTTENS LÄN</t>
        </is>
      </c>
      <c r="E11870" t="inlineStr">
        <is>
          <t>UMEÅ</t>
        </is>
      </c>
      <c r="G11870" t="n">
        <v>0.8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22144-2025</t>
        </is>
      </c>
      <c r="B11871" s="1" t="n">
        <v>45785.55258101852</v>
      </c>
      <c r="C11871" s="1" t="n">
        <v>46075</v>
      </c>
      <c r="D11871" t="inlineStr">
        <is>
          <t>VÄSTERBOTTENS LÄN</t>
        </is>
      </c>
      <c r="E11871" t="inlineStr">
        <is>
          <t>ÅSELE</t>
        </is>
      </c>
      <c r="G11871" t="n">
        <v>8.4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34809-2023</t>
        </is>
      </c>
      <c r="B11872" s="1" t="n">
        <v>45140</v>
      </c>
      <c r="C11872" s="1" t="n">
        <v>46075</v>
      </c>
      <c r="D11872" t="inlineStr">
        <is>
          <t>VÄSTERBOTTENS LÄN</t>
        </is>
      </c>
      <c r="E11872" t="inlineStr">
        <is>
          <t>VILHELMINA</t>
        </is>
      </c>
      <c r="G11872" t="n">
        <v>8.699999999999999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36695-2023</t>
        </is>
      </c>
      <c r="B11873" s="1" t="n">
        <v>45152</v>
      </c>
      <c r="C11873" s="1" t="n">
        <v>46075</v>
      </c>
      <c r="D11873" t="inlineStr">
        <is>
          <t>VÄSTERBOTTENS LÄN</t>
        </is>
      </c>
      <c r="E11873" t="inlineStr">
        <is>
          <t>MALÅ</t>
        </is>
      </c>
      <c r="G11873" t="n">
        <v>4.6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22031-2025</t>
        </is>
      </c>
      <c r="B11874" s="1" t="n">
        <v>45785.27292824074</v>
      </c>
      <c r="C11874" s="1" t="n">
        <v>46075</v>
      </c>
      <c r="D11874" t="inlineStr">
        <is>
          <t>VÄSTERBOTTENS LÄN</t>
        </is>
      </c>
      <c r="E11874" t="inlineStr">
        <is>
          <t>SKELLEFTEÅ</t>
        </is>
      </c>
      <c r="G11874" t="n">
        <v>1.4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21861-2025</t>
        </is>
      </c>
      <c r="B11875" s="1" t="n">
        <v>45784.36506944444</v>
      </c>
      <c r="C11875" s="1" t="n">
        <v>46075</v>
      </c>
      <c r="D11875" t="inlineStr">
        <is>
          <t>VÄSTERBOTTENS LÄN</t>
        </is>
      </c>
      <c r="E11875" t="inlineStr">
        <is>
          <t>LYCKSELE</t>
        </is>
      </c>
      <c r="F11875" t="inlineStr">
        <is>
          <t>SCA</t>
        </is>
      </c>
      <c r="G11875" t="n">
        <v>10.5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22004-2025</t>
        </is>
      </c>
      <c r="B11876" s="1" t="n">
        <v>45784</v>
      </c>
      <c r="C11876" s="1" t="n">
        <v>46075</v>
      </c>
      <c r="D11876" t="inlineStr">
        <is>
          <t>VÄSTERBOTTENS LÄN</t>
        </is>
      </c>
      <c r="E11876" t="inlineStr">
        <is>
          <t>UMEÅ</t>
        </is>
      </c>
      <c r="G11876" t="n">
        <v>2.5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21999-2025</t>
        </is>
      </c>
      <c r="B11877" s="1" t="n">
        <v>45784</v>
      </c>
      <c r="C11877" s="1" t="n">
        <v>46075</v>
      </c>
      <c r="D11877" t="inlineStr">
        <is>
          <t>VÄSTERBOTTENS LÄN</t>
        </is>
      </c>
      <c r="E11877" t="inlineStr">
        <is>
          <t>VILHELMINA</t>
        </is>
      </c>
      <c r="F11877" t="inlineStr">
        <is>
          <t>SCA</t>
        </is>
      </c>
      <c r="G11877" t="n">
        <v>2.6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21924-2025</t>
        </is>
      </c>
      <c r="B11878" s="1" t="n">
        <v>45784</v>
      </c>
      <c r="C11878" s="1" t="n">
        <v>46075</v>
      </c>
      <c r="D11878" t="inlineStr">
        <is>
          <t>VÄSTERBOTTENS LÄN</t>
        </is>
      </c>
      <c r="E11878" t="inlineStr">
        <is>
          <t>VILHELMINA</t>
        </is>
      </c>
      <c r="G11878" t="n">
        <v>10.2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39165-2021</t>
        </is>
      </c>
      <c r="B11879" s="1" t="n">
        <v>44412</v>
      </c>
      <c r="C11879" s="1" t="n">
        <v>46075</v>
      </c>
      <c r="D11879" t="inlineStr">
        <is>
          <t>VÄSTERBOTTENS LÄN</t>
        </is>
      </c>
      <c r="E11879" t="inlineStr">
        <is>
          <t>LYCKSELE</t>
        </is>
      </c>
      <c r="G11879" t="n">
        <v>6.2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22657-2025</t>
        </is>
      </c>
      <c r="B11880" s="1" t="n">
        <v>45789.47297453704</v>
      </c>
      <c r="C11880" s="1" t="n">
        <v>46075</v>
      </c>
      <c r="D11880" t="inlineStr">
        <is>
          <t>VÄSTERBOTTENS LÄN</t>
        </is>
      </c>
      <c r="E11880" t="inlineStr">
        <is>
          <t>UMEÅ</t>
        </is>
      </c>
      <c r="G11880" t="n">
        <v>1.6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58670-2024</t>
        </is>
      </c>
      <c r="B11881" s="1" t="n">
        <v>45634</v>
      </c>
      <c r="C11881" s="1" t="n">
        <v>46075</v>
      </c>
      <c r="D11881" t="inlineStr">
        <is>
          <t>VÄSTERBOTTENS LÄN</t>
        </is>
      </c>
      <c r="E11881" t="inlineStr">
        <is>
          <t>SORSELE</t>
        </is>
      </c>
      <c r="G11881" t="n">
        <v>10.3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58708-2024</t>
        </is>
      </c>
      <c r="B11882" s="1" t="n">
        <v>45635</v>
      </c>
      <c r="C11882" s="1" t="n">
        <v>46075</v>
      </c>
      <c r="D11882" t="inlineStr">
        <is>
          <t>VÄSTERBOTTENS LÄN</t>
        </is>
      </c>
      <c r="E11882" t="inlineStr">
        <is>
          <t>UMEÅ</t>
        </is>
      </c>
      <c r="G11882" t="n">
        <v>10.8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22486-2025</t>
        </is>
      </c>
      <c r="B11883" s="1" t="n">
        <v>45786.64646990741</v>
      </c>
      <c r="C11883" s="1" t="n">
        <v>46075</v>
      </c>
      <c r="D11883" t="inlineStr">
        <is>
          <t>VÄSTERBOTTENS LÄN</t>
        </is>
      </c>
      <c r="E11883" t="inlineStr">
        <is>
          <t>ÅSELE</t>
        </is>
      </c>
      <c r="F11883" t="inlineStr">
        <is>
          <t>Holmen skog AB</t>
        </is>
      </c>
      <c r="G11883" t="n">
        <v>8.199999999999999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22759-2025</t>
        </is>
      </c>
      <c r="B11884" s="1" t="n">
        <v>45789.61988425926</v>
      </c>
      <c r="C11884" s="1" t="n">
        <v>46075</v>
      </c>
      <c r="D11884" t="inlineStr">
        <is>
          <t>VÄSTERBOTTENS LÄN</t>
        </is>
      </c>
      <c r="E11884" t="inlineStr">
        <is>
          <t>LYCKSELE</t>
        </is>
      </c>
      <c r="F11884" t="inlineStr">
        <is>
          <t>Sveaskog</t>
        </is>
      </c>
      <c r="G11884" t="n">
        <v>25.5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22778-2025</t>
        </is>
      </c>
      <c r="B11885" s="1" t="n">
        <v>45789.6372337963</v>
      </c>
      <c r="C11885" s="1" t="n">
        <v>46075</v>
      </c>
      <c r="D11885" t="inlineStr">
        <is>
          <t>VÄSTERBOTTENS LÄN</t>
        </is>
      </c>
      <c r="E11885" t="inlineStr">
        <is>
          <t>ROBERTSFORS</t>
        </is>
      </c>
      <c r="G11885" t="n">
        <v>0.6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22551-2025</t>
        </is>
      </c>
      <c r="B11886" s="1" t="n">
        <v>45788.65594907408</v>
      </c>
      <c r="C11886" s="1" t="n">
        <v>46075</v>
      </c>
      <c r="D11886" t="inlineStr">
        <is>
          <t>VÄSTERBOTTENS LÄN</t>
        </is>
      </c>
      <c r="E11886" t="inlineStr">
        <is>
          <t>NORSJÖ</t>
        </is>
      </c>
      <c r="G11886" t="n">
        <v>2.5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22408-2025</t>
        </is>
      </c>
      <c r="B11887" s="1" t="n">
        <v>45786</v>
      </c>
      <c r="C11887" s="1" t="n">
        <v>46075</v>
      </c>
      <c r="D11887" t="inlineStr">
        <is>
          <t>VÄSTERBOTTENS LÄN</t>
        </is>
      </c>
      <c r="E11887" t="inlineStr">
        <is>
          <t>LYCKSELE</t>
        </is>
      </c>
      <c r="G11887" t="n">
        <v>1.1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22452-2025</t>
        </is>
      </c>
      <c r="B11888" s="1" t="n">
        <v>45786.60216435185</v>
      </c>
      <c r="C11888" s="1" t="n">
        <v>46075</v>
      </c>
      <c r="D11888" t="inlineStr">
        <is>
          <t>VÄSTERBOTTENS LÄN</t>
        </is>
      </c>
      <c r="E11888" t="inlineStr">
        <is>
          <t>LYCKSELE</t>
        </is>
      </c>
      <c r="F11888" t="inlineStr">
        <is>
          <t>Sveaskog</t>
        </is>
      </c>
      <c r="G11888" t="n">
        <v>11.4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22311-2025</t>
        </is>
      </c>
      <c r="B11889" s="1" t="n">
        <v>45786</v>
      </c>
      <c r="C11889" s="1" t="n">
        <v>46075</v>
      </c>
      <c r="D11889" t="inlineStr">
        <is>
          <t>VÄSTERBOTTENS LÄN</t>
        </is>
      </c>
      <c r="E11889" t="inlineStr">
        <is>
          <t>SKELLEFTEÅ</t>
        </is>
      </c>
      <c r="G11889" t="n">
        <v>2.5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32474-2024</t>
        </is>
      </c>
      <c r="B11890" s="1" t="n">
        <v>45513.31015046296</v>
      </c>
      <c r="C11890" s="1" t="n">
        <v>46075</v>
      </c>
      <c r="D11890" t="inlineStr">
        <is>
          <t>VÄSTERBOTTENS LÄN</t>
        </is>
      </c>
      <c r="E11890" t="inlineStr">
        <is>
          <t>LYCKSELE</t>
        </is>
      </c>
      <c r="F11890" t="inlineStr">
        <is>
          <t>Holmen skog AB</t>
        </is>
      </c>
      <c r="G11890" t="n">
        <v>3.8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43848-2023</t>
        </is>
      </c>
      <c r="B11891" s="1" t="n">
        <v>45182</v>
      </c>
      <c r="C11891" s="1" t="n">
        <v>46075</v>
      </c>
      <c r="D11891" t="inlineStr">
        <is>
          <t>VÄSTERBOTTENS LÄN</t>
        </is>
      </c>
      <c r="E11891" t="inlineStr">
        <is>
          <t>NORSJÖ</t>
        </is>
      </c>
      <c r="G11891" t="n">
        <v>0.7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43852-2024</t>
        </is>
      </c>
      <c r="B11892" s="1" t="n">
        <v>45572.35177083333</v>
      </c>
      <c r="C11892" s="1" t="n">
        <v>46075</v>
      </c>
      <c r="D11892" t="inlineStr">
        <is>
          <t>VÄSTERBOTTENS LÄN</t>
        </is>
      </c>
      <c r="E11892" t="inlineStr">
        <is>
          <t>ROBERTSFORS</t>
        </is>
      </c>
      <c r="G11892" t="n">
        <v>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32216-2024</t>
        </is>
      </c>
      <c r="B11893" s="1" t="n">
        <v>45511.92706018518</v>
      </c>
      <c r="C11893" s="1" t="n">
        <v>46075</v>
      </c>
      <c r="D11893" t="inlineStr">
        <is>
          <t>VÄSTERBOTTENS LÄN</t>
        </is>
      </c>
      <c r="E11893" t="inlineStr">
        <is>
          <t>NORSJÖ</t>
        </is>
      </c>
      <c r="G11893" t="n">
        <v>5.1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22584-2025</t>
        </is>
      </c>
      <c r="B11894" s="1" t="n">
        <v>45789</v>
      </c>
      <c r="C11894" s="1" t="n">
        <v>46075</v>
      </c>
      <c r="D11894" t="inlineStr">
        <is>
          <t>VÄSTERBOTTENS LÄN</t>
        </is>
      </c>
      <c r="E11894" t="inlineStr">
        <is>
          <t>LYCKSELE</t>
        </is>
      </c>
      <c r="G11894" t="n">
        <v>5.2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22309-2025</t>
        </is>
      </c>
      <c r="B11895" s="1" t="n">
        <v>45786.36578703704</v>
      </c>
      <c r="C11895" s="1" t="n">
        <v>46075</v>
      </c>
      <c r="D11895" t="inlineStr">
        <is>
          <t>VÄSTERBOTTENS LÄN</t>
        </is>
      </c>
      <c r="E11895" t="inlineStr">
        <is>
          <t>LYCKSELE</t>
        </is>
      </c>
      <c r="F11895" t="inlineStr">
        <is>
          <t>Holmen skog AB</t>
        </is>
      </c>
      <c r="G11895" t="n">
        <v>3.1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50969-2024</t>
        </is>
      </c>
      <c r="B11896" s="1" t="n">
        <v>45603.33398148148</v>
      </c>
      <c r="C11896" s="1" t="n">
        <v>46075</v>
      </c>
      <c r="D11896" t="inlineStr">
        <is>
          <t>VÄSTERBOTTENS LÄN</t>
        </is>
      </c>
      <c r="E11896" t="inlineStr">
        <is>
          <t>NORDMALING</t>
        </is>
      </c>
      <c r="G11896" t="n">
        <v>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22266-2025</t>
        </is>
      </c>
      <c r="B11897" s="1" t="n">
        <v>45785.84664351852</v>
      </c>
      <c r="C11897" s="1" t="n">
        <v>46075</v>
      </c>
      <c r="D11897" t="inlineStr">
        <is>
          <t>VÄSTERBOTTENS LÄN</t>
        </is>
      </c>
      <c r="E11897" t="inlineStr">
        <is>
          <t>BJURHOLM</t>
        </is>
      </c>
      <c r="F11897" t="inlineStr">
        <is>
          <t>SCA</t>
        </is>
      </c>
      <c r="G11897" t="n">
        <v>2.7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22344-2025</t>
        </is>
      </c>
      <c r="B11898" s="1" t="n">
        <v>45786.44856481482</v>
      </c>
      <c r="C11898" s="1" t="n">
        <v>46075</v>
      </c>
      <c r="D11898" t="inlineStr">
        <is>
          <t>VÄSTERBOTTENS LÄN</t>
        </is>
      </c>
      <c r="E11898" t="inlineStr">
        <is>
          <t>LYCKSELE</t>
        </is>
      </c>
      <c r="F11898" t="inlineStr">
        <is>
          <t>SCA</t>
        </is>
      </c>
      <c r="G11898" t="n">
        <v>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15664-2025</t>
        </is>
      </c>
      <c r="B11899" s="1" t="n">
        <v>45748</v>
      </c>
      <c r="C11899" s="1" t="n">
        <v>46075</v>
      </c>
      <c r="D11899" t="inlineStr">
        <is>
          <t>VÄSTERBOTTENS LÄN</t>
        </is>
      </c>
      <c r="E11899" t="inlineStr">
        <is>
          <t>UMEÅ</t>
        </is>
      </c>
      <c r="G11899" t="n">
        <v>1.2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40754-2023</t>
        </is>
      </c>
      <c r="B11900" s="1" t="n">
        <v>45170.92561342593</v>
      </c>
      <c r="C11900" s="1" t="n">
        <v>46075</v>
      </c>
      <c r="D11900" t="inlineStr">
        <is>
          <t>VÄSTERBOTTENS LÄN</t>
        </is>
      </c>
      <c r="E11900" t="inlineStr">
        <is>
          <t>NORSJÖ</t>
        </is>
      </c>
      <c r="G11900" t="n">
        <v>1.5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50549-2023</t>
        </is>
      </c>
      <c r="B11901" s="1" t="n">
        <v>45217.36358796297</v>
      </c>
      <c r="C11901" s="1" t="n">
        <v>46075</v>
      </c>
      <c r="D11901" t="inlineStr">
        <is>
          <t>VÄSTERBOTTENS LÄN</t>
        </is>
      </c>
      <c r="E11901" t="inlineStr">
        <is>
          <t>SKELLEFTEÅ</t>
        </is>
      </c>
      <c r="F11901" t="inlineStr">
        <is>
          <t>Holmen skog AB</t>
        </is>
      </c>
      <c r="G11901" t="n">
        <v>28.5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22272-2025</t>
        </is>
      </c>
      <c r="B11902" s="1" t="n">
        <v>45785.94577546296</v>
      </c>
      <c r="C11902" s="1" t="n">
        <v>46075</v>
      </c>
      <c r="D11902" t="inlineStr">
        <is>
          <t>VÄSTERBOTTENS LÄN</t>
        </is>
      </c>
      <c r="E11902" t="inlineStr">
        <is>
          <t>VINDELN</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22290-2025</t>
        </is>
      </c>
      <c r="B11903" s="1" t="n">
        <v>45786.34450231482</v>
      </c>
      <c r="C11903" s="1" t="n">
        <v>46075</v>
      </c>
      <c r="D11903" t="inlineStr">
        <is>
          <t>VÄSTERBOTTENS LÄN</t>
        </is>
      </c>
      <c r="E11903" t="inlineStr">
        <is>
          <t>BJURHOLM</t>
        </is>
      </c>
      <c r="F11903" t="inlineStr">
        <is>
          <t>SCA</t>
        </is>
      </c>
      <c r="G11903" t="n">
        <v>3.4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22265-2025</t>
        </is>
      </c>
      <c r="B11904" s="1" t="n">
        <v>45785.84648148148</v>
      </c>
      <c r="C11904" s="1" t="n">
        <v>46075</v>
      </c>
      <c r="D11904" t="inlineStr">
        <is>
          <t>VÄSTERBOTTENS LÄN</t>
        </is>
      </c>
      <c r="E11904" t="inlineStr">
        <is>
          <t>BJURHOLM</t>
        </is>
      </c>
      <c r="F11904" t="inlineStr">
        <is>
          <t>SCA</t>
        </is>
      </c>
      <c r="G11904" t="n">
        <v>2.8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23631-2024</t>
        </is>
      </c>
      <c r="B11905" s="1" t="n">
        <v>45454</v>
      </c>
      <c r="C11905" s="1" t="n">
        <v>46075</v>
      </c>
      <c r="D11905" t="inlineStr">
        <is>
          <t>VÄSTERBOTTENS LÄN</t>
        </is>
      </c>
      <c r="E11905" t="inlineStr">
        <is>
          <t>MALÅ</t>
        </is>
      </c>
      <c r="G11905" t="n">
        <v>9.4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22410-2025</t>
        </is>
      </c>
      <c r="B11906" s="1" t="n">
        <v>45786.5508449074</v>
      </c>
      <c r="C11906" s="1" t="n">
        <v>46075</v>
      </c>
      <c r="D11906" t="inlineStr">
        <is>
          <t>VÄSTERBOTTENS LÄN</t>
        </is>
      </c>
      <c r="E11906" t="inlineStr">
        <is>
          <t>VINDELN</t>
        </is>
      </c>
      <c r="F11906" t="inlineStr">
        <is>
          <t>Holmen skog AB</t>
        </is>
      </c>
      <c r="G11906" t="n">
        <v>16.3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22560-2025</t>
        </is>
      </c>
      <c r="B11907" s="1" t="n">
        <v>45789.33638888889</v>
      </c>
      <c r="C11907" s="1" t="n">
        <v>46075</v>
      </c>
      <c r="D11907" t="inlineStr">
        <is>
          <t>VÄSTERBOTTENS LÄN</t>
        </is>
      </c>
      <c r="E11907" t="inlineStr">
        <is>
          <t>VINDELN</t>
        </is>
      </c>
      <c r="G11907" t="n">
        <v>7.5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11634-2023</t>
        </is>
      </c>
      <c r="B11908" s="1" t="n">
        <v>44992</v>
      </c>
      <c r="C11908" s="1" t="n">
        <v>46075</v>
      </c>
      <c r="D11908" t="inlineStr">
        <is>
          <t>VÄSTERBOTTENS LÄN</t>
        </is>
      </c>
      <c r="E11908" t="inlineStr">
        <is>
          <t>SORSELE</t>
        </is>
      </c>
      <c r="G11908" t="n">
        <v>12.4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22732-2025</t>
        </is>
      </c>
      <c r="B11909" s="1" t="n">
        <v>45789.58261574074</v>
      </c>
      <c r="C11909" s="1" t="n">
        <v>46075</v>
      </c>
      <c r="D11909" t="inlineStr">
        <is>
          <t>VÄSTERBOTTENS LÄN</t>
        </is>
      </c>
      <c r="E11909" t="inlineStr">
        <is>
          <t>LYCKSELE</t>
        </is>
      </c>
      <c r="F11909" t="inlineStr">
        <is>
          <t>Sveaskog</t>
        </is>
      </c>
      <c r="G11909" t="n">
        <v>29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22284-2025</t>
        </is>
      </c>
      <c r="B11910" s="1" t="n">
        <v>45786.34259259259</v>
      </c>
      <c r="C11910" s="1" t="n">
        <v>46075</v>
      </c>
      <c r="D11910" t="inlineStr">
        <is>
          <t>VÄSTERBOTTENS LÄN</t>
        </is>
      </c>
      <c r="E11910" t="inlineStr">
        <is>
          <t>SKELLEFTEÅ</t>
        </is>
      </c>
      <c r="G11910" t="n">
        <v>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64391-2023</t>
        </is>
      </c>
      <c r="B11911" s="1" t="n">
        <v>45280</v>
      </c>
      <c r="C11911" s="1" t="n">
        <v>46075</v>
      </c>
      <c r="D11911" t="inlineStr">
        <is>
          <t>VÄSTERBOTTENS LÄN</t>
        </is>
      </c>
      <c r="E11911" t="inlineStr">
        <is>
          <t>LYCKSELE</t>
        </is>
      </c>
      <c r="G11911" t="n">
        <v>5.8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22371-2025</t>
        </is>
      </c>
      <c r="B11912" s="1" t="n">
        <v>45786.47739583333</v>
      </c>
      <c r="C11912" s="1" t="n">
        <v>46075</v>
      </c>
      <c r="D11912" t="inlineStr">
        <is>
          <t>VÄSTERBOTTENS LÄN</t>
        </is>
      </c>
      <c r="E11912" t="inlineStr">
        <is>
          <t>VINDELN</t>
        </is>
      </c>
      <c r="F11912" t="inlineStr">
        <is>
          <t>Holmen skog AB</t>
        </is>
      </c>
      <c r="G11912" t="n">
        <v>8.300000000000001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21763-2025</t>
        </is>
      </c>
      <c r="B11913" s="1" t="n">
        <v>45783</v>
      </c>
      <c r="C11913" s="1" t="n">
        <v>46075</v>
      </c>
      <c r="D11913" t="inlineStr">
        <is>
          <t>VÄSTERBOTTENS LÄN</t>
        </is>
      </c>
      <c r="E11913" t="inlineStr">
        <is>
          <t>SKELLEFTEÅ</t>
        </is>
      </c>
      <c r="G11913" t="n">
        <v>0.6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61616-2023</t>
        </is>
      </c>
      <c r="B11914" s="1" t="n">
        <v>45261</v>
      </c>
      <c r="C11914" s="1" t="n">
        <v>46075</v>
      </c>
      <c r="D11914" t="inlineStr">
        <is>
          <t>VÄSTERBOTTENS LÄN</t>
        </is>
      </c>
      <c r="E11914" t="inlineStr">
        <is>
          <t>NORDMALING</t>
        </is>
      </c>
      <c r="G11914" t="n">
        <v>1.2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9724-2024</t>
        </is>
      </c>
      <c r="B11915" s="1" t="n">
        <v>45362</v>
      </c>
      <c r="C11915" s="1" t="n">
        <v>46075</v>
      </c>
      <c r="D11915" t="inlineStr">
        <is>
          <t>VÄSTERBOTTENS LÄN</t>
        </is>
      </c>
      <c r="E11915" t="inlineStr">
        <is>
          <t>NORSJÖ</t>
        </is>
      </c>
      <c r="G11915" t="n">
        <v>4.2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29658-2024</t>
        </is>
      </c>
      <c r="B11916" s="1" t="n">
        <v>45484.9237037037</v>
      </c>
      <c r="C11916" s="1" t="n">
        <v>46075</v>
      </c>
      <c r="D11916" t="inlineStr">
        <is>
          <t>VÄSTERBOTTENS LÄN</t>
        </is>
      </c>
      <c r="E11916" t="inlineStr">
        <is>
          <t>UMEÅ</t>
        </is>
      </c>
      <c r="G11916" t="n">
        <v>11.4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22343-2025</t>
        </is>
      </c>
      <c r="B11917" s="1" t="n">
        <v>45786.44841435185</v>
      </c>
      <c r="C11917" s="1" t="n">
        <v>46075</v>
      </c>
      <c r="D11917" t="inlineStr">
        <is>
          <t>VÄSTERBOTTENS LÄN</t>
        </is>
      </c>
      <c r="E11917" t="inlineStr">
        <is>
          <t>LYCKSELE</t>
        </is>
      </c>
      <c r="F11917" t="inlineStr">
        <is>
          <t>SCA</t>
        </is>
      </c>
      <c r="G11917" t="n">
        <v>4.7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22764-2025</t>
        </is>
      </c>
      <c r="B11918" s="1" t="n">
        <v>45789.6282175926</v>
      </c>
      <c r="C11918" s="1" t="n">
        <v>46075</v>
      </c>
      <c r="D11918" t="inlineStr">
        <is>
          <t>VÄSTERBOTTENS LÄN</t>
        </is>
      </c>
      <c r="E11918" t="inlineStr">
        <is>
          <t>VINDELN</t>
        </is>
      </c>
      <c r="F11918" t="inlineStr">
        <is>
          <t>Holmen skog AB</t>
        </is>
      </c>
      <c r="G11918" t="n">
        <v>6.1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22774-2025</t>
        </is>
      </c>
      <c r="B11919" s="1" t="n">
        <v>45789.63657407407</v>
      </c>
      <c r="C11919" s="1" t="n">
        <v>46075</v>
      </c>
      <c r="D11919" t="inlineStr">
        <is>
          <t>VÄSTERBOTTENS LÄN</t>
        </is>
      </c>
      <c r="E11919" t="inlineStr">
        <is>
          <t>DOROTEA</t>
        </is>
      </c>
      <c r="F11919" t="inlineStr">
        <is>
          <t>SCA</t>
        </is>
      </c>
      <c r="G11919" t="n">
        <v>4.4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22720-2025</t>
        </is>
      </c>
      <c r="B11920" s="1" t="n">
        <v>45789.5709375</v>
      </c>
      <c r="C11920" s="1" t="n">
        <v>46075</v>
      </c>
      <c r="D11920" t="inlineStr">
        <is>
          <t>VÄSTERBOTTENS LÄN</t>
        </is>
      </c>
      <c r="E11920" t="inlineStr">
        <is>
          <t>LYCKSELE</t>
        </is>
      </c>
      <c r="F11920" t="inlineStr">
        <is>
          <t>Sveaskog</t>
        </is>
      </c>
      <c r="G11920" t="n">
        <v>29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30643-2024</t>
        </is>
      </c>
      <c r="B11921" s="1" t="n">
        <v>45495.58291666667</v>
      </c>
      <c r="C11921" s="1" t="n">
        <v>46075</v>
      </c>
      <c r="D11921" t="inlineStr">
        <is>
          <t>VÄSTERBOTTENS LÄN</t>
        </is>
      </c>
      <c r="E11921" t="inlineStr">
        <is>
          <t>ROBERTSFORS</t>
        </is>
      </c>
      <c r="F11921" t="inlineStr">
        <is>
          <t>Holmen skog AB</t>
        </is>
      </c>
      <c r="G11921" t="n">
        <v>5.8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22453-2025</t>
        </is>
      </c>
      <c r="B11922" s="1" t="n">
        <v>45786.60395833333</v>
      </c>
      <c r="C11922" s="1" t="n">
        <v>46075</v>
      </c>
      <c r="D11922" t="inlineStr">
        <is>
          <t>VÄSTERBOTTENS LÄN</t>
        </is>
      </c>
      <c r="E11922" t="inlineStr">
        <is>
          <t>LYCKSELE</t>
        </is>
      </c>
      <c r="F11922" t="inlineStr">
        <is>
          <t>Sveaskog</t>
        </is>
      </c>
      <c r="G11922" t="n">
        <v>5.9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22456-2025</t>
        </is>
      </c>
      <c r="B11923" s="1" t="n">
        <v>45786.6059837963</v>
      </c>
      <c r="C11923" s="1" t="n">
        <v>46075</v>
      </c>
      <c r="D11923" t="inlineStr">
        <is>
          <t>VÄSTERBOTTENS LÄN</t>
        </is>
      </c>
      <c r="E11923" t="inlineStr">
        <is>
          <t>LYCKSELE</t>
        </is>
      </c>
      <c r="F11923" t="inlineStr">
        <is>
          <t>Sveaskog</t>
        </is>
      </c>
      <c r="G11923" t="n">
        <v>4.2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22557-2025</t>
        </is>
      </c>
      <c r="B11924" s="1" t="n">
        <v>45789.29510416667</v>
      </c>
      <c r="C11924" s="1" t="n">
        <v>46075</v>
      </c>
      <c r="D11924" t="inlineStr">
        <is>
          <t>VÄSTERBOTTENS LÄN</t>
        </is>
      </c>
      <c r="E11924" t="inlineStr">
        <is>
          <t>VINDELN</t>
        </is>
      </c>
      <c r="G11924" t="n">
        <v>6.9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22739-2025</t>
        </is>
      </c>
      <c r="B11925" s="1" t="n">
        <v>45789.59297453704</v>
      </c>
      <c r="C11925" s="1" t="n">
        <v>46075</v>
      </c>
      <c r="D11925" t="inlineStr">
        <is>
          <t>VÄSTERBOTTENS LÄN</t>
        </is>
      </c>
      <c r="E11925" t="inlineStr">
        <is>
          <t>NORDMALING</t>
        </is>
      </c>
      <c r="G11925" t="n">
        <v>11.9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22752-2025</t>
        </is>
      </c>
      <c r="B11926" s="1" t="n">
        <v>45789</v>
      </c>
      <c r="C11926" s="1" t="n">
        <v>46075</v>
      </c>
      <c r="D11926" t="inlineStr">
        <is>
          <t>VÄSTERBOTTENS LÄN</t>
        </is>
      </c>
      <c r="E11926" t="inlineStr">
        <is>
          <t>DOROTEA</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60225-2024</t>
        </is>
      </c>
      <c r="B11927" s="1" t="n">
        <v>45642.71113425926</v>
      </c>
      <c r="C11927" s="1" t="n">
        <v>46075</v>
      </c>
      <c r="D11927" t="inlineStr">
        <is>
          <t>VÄSTERBOTTENS LÄN</t>
        </is>
      </c>
      <c r="E11927" t="inlineStr">
        <is>
          <t>ROBERTSFORS</t>
        </is>
      </c>
      <c r="G11927" t="n">
        <v>1.9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22550-2025</t>
        </is>
      </c>
      <c r="B11928" s="1" t="n">
        <v>45788.52340277778</v>
      </c>
      <c r="C11928" s="1" t="n">
        <v>46075</v>
      </c>
      <c r="D11928" t="inlineStr">
        <is>
          <t>VÄSTERBOTTENS LÄN</t>
        </is>
      </c>
      <c r="E11928" t="inlineStr">
        <is>
          <t>VINDELN</t>
        </is>
      </c>
      <c r="F11928" t="inlineStr">
        <is>
          <t>Holmen skog AB</t>
        </is>
      </c>
      <c r="G11928" t="n">
        <v>2.7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51380-2023</t>
        </is>
      </c>
      <c r="B11929" s="1" t="n">
        <v>45219</v>
      </c>
      <c r="C11929" s="1" t="n">
        <v>46075</v>
      </c>
      <c r="D11929" t="inlineStr">
        <is>
          <t>VÄSTERBOTTENS LÄN</t>
        </is>
      </c>
      <c r="E11929" t="inlineStr">
        <is>
          <t>MALÅ</t>
        </is>
      </c>
      <c r="F11929" t="inlineStr">
        <is>
          <t>Sveaskog</t>
        </is>
      </c>
      <c r="G11929" t="n">
        <v>21.5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26293-2024</t>
        </is>
      </c>
      <c r="B11930" s="1" t="n">
        <v>45468.81053240741</v>
      </c>
      <c r="C11930" s="1" t="n">
        <v>46075</v>
      </c>
      <c r="D11930" t="inlineStr">
        <is>
          <t>VÄSTERBOTTENS LÄN</t>
        </is>
      </c>
      <c r="E11930" t="inlineStr">
        <is>
          <t>SKELLEFTEÅ</t>
        </is>
      </c>
      <c r="G11930" t="n">
        <v>1.7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67383-2021</t>
        </is>
      </c>
      <c r="B11931" s="1" t="n">
        <v>44523</v>
      </c>
      <c r="C11931" s="1" t="n">
        <v>46075</v>
      </c>
      <c r="D11931" t="inlineStr">
        <is>
          <t>VÄSTERBOTTENS LÄN</t>
        </is>
      </c>
      <c r="E11931" t="inlineStr">
        <is>
          <t>MALÅ</t>
        </is>
      </c>
      <c r="G11931" t="n">
        <v>0.9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22851-2025</t>
        </is>
      </c>
      <c r="B11932" s="1" t="n">
        <v>45790.34162037037</v>
      </c>
      <c r="C11932" s="1" t="n">
        <v>46075</v>
      </c>
      <c r="D11932" t="inlineStr">
        <is>
          <t>VÄSTERBOTTENS LÄN</t>
        </is>
      </c>
      <c r="E11932" t="inlineStr">
        <is>
          <t>UMEÅ</t>
        </is>
      </c>
      <c r="F11932" t="inlineStr">
        <is>
          <t>Holmen skog AB</t>
        </is>
      </c>
      <c r="G11932" t="n">
        <v>20.6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22962-2025</t>
        </is>
      </c>
      <c r="B11933" s="1" t="n">
        <v>45790.53908564815</v>
      </c>
      <c r="C11933" s="1" t="n">
        <v>46075</v>
      </c>
      <c r="D11933" t="inlineStr">
        <is>
          <t>VÄSTERBOTTENS LÄN</t>
        </is>
      </c>
      <c r="E11933" t="inlineStr">
        <is>
          <t>NORDMALING</t>
        </is>
      </c>
      <c r="G11933" t="n">
        <v>2.7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19074-2021</t>
        </is>
      </c>
      <c r="B11934" s="1" t="n">
        <v>44308</v>
      </c>
      <c r="C11934" s="1" t="n">
        <v>46075</v>
      </c>
      <c r="D11934" t="inlineStr">
        <is>
          <t>VÄSTERBOTTENS LÄN</t>
        </is>
      </c>
      <c r="E11934" t="inlineStr">
        <is>
          <t>UMEÅ</t>
        </is>
      </c>
      <c r="G11934" t="n">
        <v>2.6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45126-2023</t>
        </is>
      </c>
      <c r="B11935" s="1" t="n">
        <v>45187</v>
      </c>
      <c r="C11935" s="1" t="n">
        <v>46075</v>
      </c>
      <c r="D11935" t="inlineStr">
        <is>
          <t>VÄSTERBOTTENS LÄN</t>
        </is>
      </c>
      <c r="E11935" t="inlineStr">
        <is>
          <t>VÄNNÄS</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23101-2025</t>
        </is>
      </c>
      <c r="B11936" s="1" t="n">
        <v>45791.35427083333</v>
      </c>
      <c r="C11936" s="1" t="n">
        <v>46075</v>
      </c>
      <c r="D11936" t="inlineStr">
        <is>
          <t>VÄSTERBOTTENS LÄN</t>
        </is>
      </c>
      <c r="E11936" t="inlineStr">
        <is>
          <t>VÄNNÄS</t>
        </is>
      </c>
      <c r="F11936" t="inlineStr">
        <is>
          <t>Holmen skog AB</t>
        </is>
      </c>
      <c r="G11936" t="n">
        <v>8.199999999999999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57499-2022</t>
        </is>
      </c>
      <c r="B11937" s="1" t="n">
        <v>44889</v>
      </c>
      <c r="C11937" s="1" t="n">
        <v>46075</v>
      </c>
      <c r="D11937" t="inlineStr">
        <is>
          <t>VÄSTERBOTTENS LÄN</t>
        </is>
      </c>
      <c r="E11937" t="inlineStr">
        <is>
          <t>MALÅ</t>
        </is>
      </c>
      <c r="G11937" t="n">
        <v>10.2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22833-2025</t>
        </is>
      </c>
      <c r="B11938" s="1" t="n">
        <v>45789.89773148148</v>
      </c>
      <c r="C11938" s="1" t="n">
        <v>46075</v>
      </c>
      <c r="D11938" t="inlineStr">
        <is>
          <t>VÄSTERBOTTENS LÄN</t>
        </is>
      </c>
      <c r="E11938" t="inlineStr">
        <is>
          <t>NORDMALING</t>
        </is>
      </c>
      <c r="G11938" t="n">
        <v>5.8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22838-2025</t>
        </is>
      </c>
      <c r="B11939" s="1" t="n">
        <v>45790.28381944444</v>
      </c>
      <c r="C11939" s="1" t="n">
        <v>46075</v>
      </c>
      <c r="D11939" t="inlineStr">
        <is>
          <t>VÄSTERBOTTENS LÄN</t>
        </is>
      </c>
      <c r="E11939" t="inlineStr">
        <is>
          <t>SKELLEFTEÅ</t>
        </is>
      </c>
      <c r="G11939" t="n">
        <v>8.300000000000001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23271-2025</t>
        </is>
      </c>
      <c r="B11940" s="1" t="n">
        <v>45791.5622337963</v>
      </c>
      <c r="C11940" s="1" t="n">
        <v>46075</v>
      </c>
      <c r="D11940" t="inlineStr">
        <is>
          <t>VÄSTERBOTTENS LÄN</t>
        </is>
      </c>
      <c r="E11940" t="inlineStr">
        <is>
          <t>UMEÅ</t>
        </is>
      </c>
      <c r="F11940" t="inlineStr">
        <is>
          <t>Holmen skog AB</t>
        </is>
      </c>
      <c r="G11940" t="n">
        <v>1.9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22423-2025</t>
        </is>
      </c>
      <c r="B11941" s="1" t="n">
        <v>45786.5633912037</v>
      </c>
      <c r="C11941" s="1" t="n">
        <v>46075</v>
      </c>
      <c r="D11941" t="inlineStr">
        <is>
          <t>VÄSTERBOTTENS LÄN</t>
        </is>
      </c>
      <c r="E11941" t="inlineStr">
        <is>
          <t>LYCKSELE</t>
        </is>
      </c>
      <c r="G11941" t="n">
        <v>3.2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13451-2022</t>
        </is>
      </c>
      <c r="B11942" s="1" t="n">
        <v>44645</v>
      </c>
      <c r="C11942" s="1" t="n">
        <v>46075</v>
      </c>
      <c r="D11942" t="inlineStr">
        <is>
          <t>VÄSTERBOTTENS LÄN</t>
        </is>
      </c>
      <c r="E11942" t="inlineStr">
        <is>
          <t>DOROTEA</t>
        </is>
      </c>
      <c r="G11942" t="n">
        <v>0.9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23281-2025</t>
        </is>
      </c>
      <c r="B11943" s="1" t="n">
        <v>45791.57324074074</v>
      </c>
      <c r="C11943" s="1" t="n">
        <v>46075</v>
      </c>
      <c r="D11943" t="inlineStr">
        <is>
          <t>VÄSTERBOTTENS LÄN</t>
        </is>
      </c>
      <c r="E11943" t="inlineStr">
        <is>
          <t>VILHELMINA</t>
        </is>
      </c>
      <c r="F11943" t="inlineStr">
        <is>
          <t>SCA</t>
        </is>
      </c>
      <c r="G11943" t="n">
        <v>1.2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19889-2025</t>
        </is>
      </c>
      <c r="B11944" s="1" t="n">
        <v>45771.57355324074</v>
      </c>
      <c r="C11944" s="1" t="n">
        <v>46075</v>
      </c>
      <c r="D11944" t="inlineStr">
        <is>
          <t>VÄSTERBOTTENS LÄN</t>
        </is>
      </c>
      <c r="E11944" t="inlineStr">
        <is>
          <t>DOROTEA</t>
        </is>
      </c>
      <c r="F11944" t="inlineStr">
        <is>
          <t>SCA</t>
        </is>
      </c>
      <c r="G11944" t="n">
        <v>1.8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378-2024</t>
        </is>
      </c>
      <c r="B11945" s="1" t="n">
        <v>45296</v>
      </c>
      <c r="C11945" s="1" t="n">
        <v>46075</v>
      </c>
      <c r="D11945" t="inlineStr">
        <is>
          <t>VÄSTERBOTTENS LÄN</t>
        </is>
      </c>
      <c r="E11945" t="inlineStr">
        <is>
          <t>VINDELN</t>
        </is>
      </c>
      <c r="G11945" t="n">
        <v>1.4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10133-2024</t>
        </is>
      </c>
      <c r="B11946" s="1" t="n">
        <v>45364.59172453704</v>
      </c>
      <c r="C11946" s="1" t="n">
        <v>46075</v>
      </c>
      <c r="D11946" t="inlineStr">
        <is>
          <t>VÄSTERBOTTENS LÄN</t>
        </is>
      </c>
      <c r="E11946" t="inlineStr">
        <is>
          <t>SORSELE</t>
        </is>
      </c>
      <c r="G11946" t="n">
        <v>1.4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24706-2024</t>
        </is>
      </c>
      <c r="B11947" s="1" t="n">
        <v>45460.62152777778</v>
      </c>
      <c r="C11947" s="1" t="n">
        <v>46075</v>
      </c>
      <c r="D11947" t="inlineStr">
        <is>
          <t>VÄSTERBOTTENS LÄN</t>
        </is>
      </c>
      <c r="E11947" t="inlineStr">
        <is>
          <t>VINDELN</t>
        </is>
      </c>
      <c r="F11947" t="inlineStr">
        <is>
          <t>Holmen skog AB</t>
        </is>
      </c>
      <c r="G11947" t="n">
        <v>7.5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44372-2023</t>
        </is>
      </c>
      <c r="B11948" s="1" t="n">
        <v>45188</v>
      </c>
      <c r="C11948" s="1" t="n">
        <v>46075</v>
      </c>
      <c r="D11948" t="inlineStr">
        <is>
          <t>VÄSTERBOTTENS LÄN</t>
        </is>
      </c>
      <c r="E11948" t="inlineStr">
        <is>
          <t>ROBERTSFORS</t>
        </is>
      </c>
      <c r="G11948" t="n">
        <v>5.4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60535-2023</t>
        </is>
      </c>
      <c r="B11949" s="1" t="n">
        <v>45258</v>
      </c>
      <c r="C11949" s="1" t="n">
        <v>46075</v>
      </c>
      <c r="D11949" t="inlineStr">
        <is>
          <t>VÄSTERBOTTENS LÄN</t>
        </is>
      </c>
      <c r="E11949" t="inlineStr">
        <is>
          <t>STORUMAN</t>
        </is>
      </c>
      <c r="G11949" t="n">
        <v>16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22955-2025</t>
        </is>
      </c>
      <c r="B11950" s="1" t="n">
        <v>45790.52902777777</v>
      </c>
      <c r="C11950" s="1" t="n">
        <v>46075</v>
      </c>
      <c r="D11950" t="inlineStr">
        <is>
          <t>VÄSTERBOTTENS LÄN</t>
        </is>
      </c>
      <c r="E11950" t="inlineStr">
        <is>
          <t>NORDMALING</t>
        </is>
      </c>
      <c r="G11950" t="n">
        <v>20.3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23205-2025</t>
        </is>
      </c>
      <c r="B11951" s="1" t="n">
        <v>45791.46658564815</v>
      </c>
      <c r="C11951" s="1" t="n">
        <v>46075</v>
      </c>
      <c r="D11951" t="inlineStr">
        <is>
          <t>VÄSTERBOTTENS LÄN</t>
        </is>
      </c>
      <c r="E11951" t="inlineStr">
        <is>
          <t>VÄNNÄS</t>
        </is>
      </c>
      <c r="F11951" t="inlineStr">
        <is>
          <t>Holmen skog AB</t>
        </is>
      </c>
      <c r="G11951" t="n">
        <v>0.5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23213-2025</t>
        </is>
      </c>
      <c r="B11952" s="1" t="n">
        <v>45791</v>
      </c>
      <c r="C11952" s="1" t="n">
        <v>46075</v>
      </c>
      <c r="D11952" t="inlineStr">
        <is>
          <t>VÄSTERBOTTENS LÄN</t>
        </is>
      </c>
      <c r="E11952" t="inlineStr">
        <is>
          <t>SKELLEFTEÅ</t>
        </is>
      </c>
      <c r="G11952" t="n">
        <v>1.7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23074-2025</t>
        </is>
      </c>
      <c r="B11953" s="1" t="n">
        <v>45790</v>
      </c>
      <c r="C11953" s="1" t="n">
        <v>46075</v>
      </c>
      <c r="D11953" t="inlineStr">
        <is>
          <t>VÄSTERBOTTENS LÄN</t>
        </is>
      </c>
      <c r="E11953" t="inlineStr">
        <is>
          <t>BJURHOLM</t>
        </is>
      </c>
      <c r="G11953" t="n">
        <v>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23327-2025</t>
        </is>
      </c>
      <c r="B11954" s="1" t="n">
        <v>45791.62792824074</v>
      </c>
      <c r="C11954" s="1" t="n">
        <v>46075</v>
      </c>
      <c r="D11954" t="inlineStr">
        <is>
          <t>VÄSTERBOTTENS LÄN</t>
        </is>
      </c>
      <c r="E11954" t="inlineStr">
        <is>
          <t>SKELLEFTEÅ</t>
        </is>
      </c>
      <c r="F11954" t="inlineStr">
        <is>
          <t>Holmen skog AB</t>
        </is>
      </c>
      <c r="G11954" t="n">
        <v>5.4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23208-2025</t>
        </is>
      </c>
      <c r="B11955" s="1" t="n">
        <v>45791</v>
      </c>
      <c r="C11955" s="1" t="n">
        <v>46075</v>
      </c>
      <c r="D11955" t="inlineStr">
        <is>
          <t>VÄSTERBOTTENS LÄN</t>
        </is>
      </c>
      <c r="E11955" t="inlineStr">
        <is>
          <t>SKELLEFTEÅ</t>
        </is>
      </c>
      <c r="G11955" t="n">
        <v>0.4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45789-2023</t>
        </is>
      </c>
      <c r="B11956" s="1" t="n">
        <v>45189</v>
      </c>
      <c r="C11956" s="1" t="n">
        <v>46075</v>
      </c>
      <c r="D11956" t="inlineStr">
        <is>
          <t>VÄSTERBOTTENS LÄN</t>
        </is>
      </c>
      <c r="E11956" t="inlineStr">
        <is>
          <t>MALÅ</t>
        </is>
      </c>
      <c r="G11956" t="n">
        <v>2.2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23018-2025</t>
        </is>
      </c>
      <c r="B11957" s="1" t="n">
        <v>45790.6446875</v>
      </c>
      <c r="C11957" s="1" t="n">
        <v>46075</v>
      </c>
      <c r="D11957" t="inlineStr">
        <is>
          <t>VÄSTERBOTTENS LÄN</t>
        </is>
      </c>
      <c r="E11957" t="inlineStr">
        <is>
          <t>SKELLEFTEÅ</t>
        </is>
      </c>
      <c r="F11957" t="inlineStr">
        <is>
          <t>Holmen skog AB</t>
        </is>
      </c>
      <c r="G11957" t="n">
        <v>4.1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23029-2025</t>
        </is>
      </c>
      <c r="B11958" s="1" t="n">
        <v>45790.65723379629</v>
      </c>
      <c r="C11958" s="1" t="n">
        <v>46075</v>
      </c>
      <c r="D11958" t="inlineStr">
        <is>
          <t>VÄSTERBOTTENS LÄN</t>
        </is>
      </c>
      <c r="E11958" t="inlineStr">
        <is>
          <t>NORDMALING</t>
        </is>
      </c>
      <c r="G11958" t="n">
        <v>2.2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23041-2025</t>
        </is>
      </c>
      <c r="B11959" s="1" t="n">
        <v>45790.66664351852</v>
      </c>
      <c r="C11959" s="1" t="n">
        <v>46075</v>
      </c>
      <c r="D11959" t="inlineStr">
        <is>
          <t>VÄSTERBOTTENS LÄN</t>
        </is>
      </c>
      <c r="E11959" t="inlineStr">
        <is>
          <t>NORDMALING</t>
        </is>
      </c>
      <c r="G11959" t="n">
        <v>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22900-2025</t>
        </is>
      </c>
      <c r="B11960" s="1" t="n">
        <v>45790.41079861111</v>
      </c>
      <c r="C11960" s="1" t="n">
        <v>46075</v>
      </c>
      <c r="D11960" t="inlineStr">
        <is>
          <t>VÄSTERBOTTENS LÄN</t>
        </is>
      </c>
      <c r="E11960" t="inlineStr">
        <is>
          <t>VÄNNÄS</t>
        </is>
      </c>
      <c r="F11960" t="inlineStr">
        <is>
          <t>Holmen skog AB</t>
        </is>
      </c>
      <c r="G11960" t="n">
        <v>1.5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51387-2023</t>
        </is>
      </c>
      <c r="B11961" s="1" t="n">
        <v>45219</v>
      </c>
      <c r="C11961" s="1" t="n">
        <v>46075</v>
      </c>
      <c r="D11961" t="inlineStr">
        <is>
          <t>VÄSTERBOTTENS LÄN</t>
        </is>
      </c>
      <c r="E11961" t="inlineStr">
        <is>
          <t>MALÅ</t>
        </is>
      </c>
      <c r="F11961" t="inlineStr">
        <is>
          <t>Sveaskog</t>
        </is>
      </c>
      <c r="G11961" t="n">
        <v>1.2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15226-2024</t>
        </is>
      </c>
      <c r="B11962" s="1" t="n">
        <v>45400</v>
      </c>
      <c r="C11962" s="1" t="n">
        <v>46075</v>
      </c>
      <c r="D11962" t="inlineStr">
        <is>
          <t>VÄSTERBOTTENS LÄN</t>
        </is>
      </c>
      <c r="E11962" t="inlineStr">
        <is>
          <t>SORSELE</t>
        </is>
      </c>
      <c r="G11962" t="n">
        <v>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46989-2023</t>
        </is>
      </c>
      <c r="B11963" s="1" t="n">
        <v>45201</v>
      </c>
      <c r="C11963" s="1" t="n">
        <v>46075</v>
      </c>
      <c r="D11963" t="inlineStr">
        <is>
          <t>VÄSTERBOTTENS LÄN</t>
        </is>
      </c>
      <c r="E11963" t="inlineStr">
        <is>
          <t>MALÅ</t>
        </is>
      </c>
      <c r="G11963" t="n">
        <v>22.9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26385-2024</t>
        </is>
      </c>
      <c r="B11964" s="1" t="n">
        <v>45469.42753472222</v>
      </c>
      <c r="C11964" s="1" t="n">
        <v>46075</v>
      </c>
      <c r="D11964" t="inlineStr">
        <is>
          <t>VÄSTERBOTTENS LÄN</t>
        </is>
      </c>
      <c r="E11964" t="inlineStr">
        <is>
          <t>NORSJÖ</t>
        </is>
      </c>
      <c r="F11964" t="inlineStr">
        <is>
          <t>Holmen skog AB</t>
        </is>
      </c>
      <c r="G11964" t="n">
        <v>2.6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23153-2025</t>
        </is>
      </c>
      <c r="B11965" s="1" t="n">
        <v>45791</v>
      </c>
      <c r="C11965" s="1" t="n">
        <v>46075</v>
      </c>
      <c r="D11965" t="inlineStr">
        <is>
          <t>VÄSTERBOTTENS LÄN</t>
        </is>
      </c>
      <c r="E11965" t="inlineStr">
        <is>
          <t>SKELLEFTEÅ</t>
        </is>
      </c>
      <c r="G11965" t="n">
        <v>1.4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22912-2025</t>
        </is>
      </c>
      <c r="B11966" s="1" t="n">
        <v>45790</v>
      </c>
      <c r="C11966" s="1" t="n">
        <v>46075</v>
      </c>
      <c r="D11966" t="inlineStr">
        <is>
          <t>VÄSTERBOTTENS LÄN</t>
        </is>
      </c>
      <c r="E11966" t="inlineStr">
        <is>
          <t>UMEÅ</t>
        </is>
      </c>
      <c r="G11966" t="n">
        <v>2.4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23037-2025</t>
        </is>
      </c>
      <c r="B11967" s="1" t="n">
        <v>45790.66141203704</v>
      </c>
      <c r="C11967" s="1" t="n">
        <v>46075</v>
      </c>
      <c r="D11967" t="inlineStr">
        <is>
          <t>VÄSTERBOTTENS LÄN</t>
        </is>
      </c>
      <c r="E11967" t="inlineStr">
        <is>
          <t>NORDMALING</t>
        </is>
      </c>
      <c r="G11967" t="n">
        <v>1.4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19873-2024</t>
        </is>
      </c>
      <c r="B11968" s="1" t="n">
        <v>45433</v>
      </c>
      <c r="C11968" s="1" t="n">
        <v>46075</v>
      </c>
      <c r="D11968" t="inlineStr">
        <is>
          <t>VÄSTERBOTTENS LÄN</t>
        </is>
      </c>
      <c r="E11968" t="inlineStr">
        <is>
          <t>VILHELMINA</t>
        </is>
      </c>
      <c r="G11968" t="n">
        <v>8.6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59801-2021</t>
        </is>
      </c>
      <c r="B11969" s="1" t="n">
        <v>44491</v>
      </c>
      <c r="C11969" s="1" t="n">
        <v>46075</v>
      </c>
      <c r="D11969" t="inlineStr">
        <is>
          <t>VÄSTERBOTTENS LÄN</t>
        </is>
      </c>
      <c r="E11969" t="inlineStr">
        <is>
          <t>MALÅ</t>
        </is>
      </c>
      <c r="G11969" t="n">
        <v>2.2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23260-2025</t>
        </is>
      </c>
      <c r="B11970" s="1" t="n">
        <v>45791.54234953703</v>
      </c>
      <c r="C11970" s="1" t="n">
        <v>46075</v>
      </c>
      <c r="D11970" t="inlineStr">
        <is>
          <t>VÄSTERBOTTENS LÄN</t>
        </is>
      </c>
      <c r="E11970" t="inlineStr">
        <is>
          <t>ROBERTSFORS</t>
        </is>
      </c>
      <c r="F11970" t="inlineStr">
        <is>
          <t>Holmen skog AB</t>
        </is>
      </c>
      <c r="G11970" t="n">
        <v>1.7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8472-2025</t>
        </is>
      </c>
      <c r="B11971" s="1" t="n">
        <v>45709</v>
      </c>
      <c r="C11971" s="1" t="n">
        <v>46075</v>
      </c>
      <c r="D11971" t="inlineStr">
        <is>
          <t>VÄSTERBOTTENS LÄN</t>
        </is>
      </c>
      <c r="E11971" t="inlineStr">
        <is>
          <t>SORSELE</t>
        </is>
      </c>
      <c r="G11971" t="n">
        <v>2.4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22673-2025</t>
        </is>
      </c>
      <c r="B11972" s="1" t="n">
        <v>45789.49042824074</v>
      </c>
      <c r="C11972" s="1" t="n">
        <v>46075</v>
      </c>
      <c r="D11972" t="inlineStr">
        <is>
          <t>VÄSTERBOTTENS LÄN</t>
        </is>
      </c>
      <c r="E11972" t="inlineStr">
        <is>
          <t>ROBERTSFORS</t>
        </is>
      </c>
      <c r="G11972" t="n">
        <v>1.8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22674-2025</t>
        </is>
      </c>
      <c r="B11973" s="1" t="n">
        <v>45789.49047453704</v>
      </c>
      <c r="C11973" s="1" t="n">
        <v>46075</v>
      </c>
      <c r="D11973" t="inlineStr">
        <is>
          <t>VÄSTERBOTTENS LÄN</t>
        </is>
      </c>
      <c r="E11973" t="inlineStr">
        <is>
          <t>UMEÅ</t>
        </is>
      </c>
      <c r="G11973" t="n">
        <v>0.6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23170-2025</t>
        </is>
      </c>
      <c r="B11974" s="1" t="n">
        <v>45791.42770833334</v>
      </c>
      <c r="C11974" s="1" t="n">
        <v>46075</v>
      </c>
      <c r="D11974" t="inlineStr">
        <is>
          <t>VÄSTERBOTTENS LÄN</t>
        </is>
      </c>
      <c r="E11974" t="inlineStr">
        <is>
          <t>ÅSELE</t>
        </is>
      </c>
      <c r="F11974" t="inlineStr">
        <is>
          <t>SCA</t>
        </is>
      </c>
      <c r="G11974" t="n">
        <v>6.4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17711-2023</t>
        </is>
      </c>
      <c r="B11975" s="1" t="n">
        <v>45036</v>
      </c>
      <c r="C11975" s="1" t="n">
        <v>46075</v>
      </c>
      <c r="D11975" t="inlineStr">
        <is>
          <t>VÄSTERBOTTENS LÄN</t>
        </is>
      </c>
      <c r="E11975" t="inlineStr">
        <is>
          <t>NORDMALING</t>
        </is>
      </c>
      <c r="G11975" t="n">
        <v>1.4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43398-2023</t>
        </is>
      </c>
      <c r="B11976" s="1" t="n">
        <v>45183</v>
      </c>
      <c r="C11976" s="1" t="n">
        <v>46075</v>
      </c>
      <c r="D11976" t="inlineStr">
        <is>
          <t>VÄSTERBOTTENS LÄN</t>
        </is>
      </c>
      <c r="E11976" t="inlineStr">
        <is>
          <t>NORSJÖ</t>
        </is>
      </c>
      <c r="G11976" t="n">
        <v>3.2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19349-2023</t>
        </is>
      </c>
      <c r="B11977" s="1" t="n">
        <v>45049.59215277778</v>
      </c>
      <c r="C11977" s="1" t="n">
        <v>46075</v>
      </c>
      <c r="D11977" t="inlineStr">
        <is>
          <t>VÄSTERBOTTENS LÄN</t>
        </is>
      </c>
      <c r="E11977" t="inlineStr">
        <is>
          <t>SKELLEFTEÅ</t>
        </is>
      </c>
      <c r="G11977" t="n">
        <v>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64340-2023</t>
        </is>
      </c>
      <c r="B11978" s="1" t="n">
        <v>45280.45571759259</v>
      </c>
      <c r="C11978" s="1" t="n">
        <v>46075</v>
      </c>
      <c r="D11978" t="inlineStr">
        <is>
          <t>VÄSTERBOTTENS LÄN</t>
        </is>
      </c>
      <c r="E11978" t="inlineStr">
        <is>
          <t>SKELLEFTEÅ</t>
        </is>
      </c>
      <c r="G11978" t="n">
        <v>1.2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22896-2025</t>
        </is>
      </c>
      <c r="B11979" s="1" t="n">
        <v>45790.40627314815</v>
      </c>
      <c r="C11979" s="1" t="n">
        <v>46075</v>
      </c>
      <c r="D11979" t="inlineStr">
        <is>
          <t>VÄSTERBOTTENS LÄN</t>
        </is>
      </c>
      <c r="E11979" t="inlineStr">
        <is>
          <t>VINDELN</t>
        </is>
      </c>
      <c r="G11979" t="n">
        <v>4.4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22921-2025</t>
        </is>
      </c>
      <c r="B11980" s="1" t="n">
        <v>45790.43959490741</v>
      </c>
      <c r="C11980" s="1" t="n">
        <v>46075</v>
      </c>
      <c r="D11980" t="inlineStr">
        <is>
          <t>VÄSTERBOTTENS LÄN</t>
        </is>
      </c>
      <c r="E11980" t="inlineStr">
        <is>
          <t>SKELLEFTEÅ</t>
        </is>
      </c>
      <c r="F11980" t="inlineStr">
        <is>
          <t>Holmen skog AB</t>
        </is>
      </c>
      <c r="G11980" t="n">
        <v>3.7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43854-2024</t>
        </is>
      </c>
      <c r="B11981" s="1" t="n">
        <v>45572</v>
      </c>
      <c r="C11981" s="1" t="n">
        <v>46075</v>
      </c>
      <c r="D11981" t="inlineStr">
        <is>
          <t>VÄSTERBOTTENS LÄN</t>
        </is>
      </c>
      <c r="E11981" t="inlineStr">
        <is>
          <t>MALÅ</t>
        </is>
      </c>
      <c r="F11981" t="inlineStr">
        <is>
          <t>Kommuner</t>
        </is>
      </c>
      <c r="G11981" t="n">
        <v>12.7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32979-2024</t>
        </is>
      </c>
      <c r="B11982" s="1" t="n">
        <v>45516</v>
      </c>
      <c r="C11982" s="1" t="n">
        <v>46075</v>
      </c>
      <c r="D11982" t="inlineStr">
        <is>
          <t>VÄSTERBOTTENS LÄN</t>
        </is>
      </c>
      <c r="E11982" t="inlineStr">
        <is>
          <t>MALÅ</t>
        </is>
      </c>
      <c r="G11982" t="n">
        <v>15.5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23241-2025</t>
        </is>
      </c>
      <c r="B11983" s="1" t="n">
        <v>45791.50141203704</v>
      </c>
      <c r="C11983" s="1" t="n">
        <v>46075</v>
      </c>
      <c r="D11983" t="inlineStr">
        <is>
          <t>VÄSTERBOTTENS LÄN</t>
        </is>
      </c>
      <c r="E11983" t="inlineStr">
        <is>
          <t>SKELLEFTEÅ</t>
        </is>
      </c>
      <c r="F11983" t="inlineStr">
        <is>
          <t>Holmen skog AB</t>
        </is>
      </c>
      <c r="G11983" t="n">
        <v>6.8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43714-2024</t>
        </is>
      </c>
      <c r="B11984" s="1" t="n">
        <v>45569</v>
      </c>
      <c r="C11984" s="1" t="n">
        <v>46075</v>
      </c>
      <c r="D11984" t="inlineStr">
        <is>
          <t>VÄSTERBOTTENS LÄN</t>
        </is>
      </c>
      <c r="E11984" t="inlineStr">
        <is>
          <t>SKELLEFTEÅ</t>
        </is>
      </c>
      <c r="G11984" t="n">
        <v>12.2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47242-2024</t>
        </is>
      </c>
      <c r="B11985" s="1" t="n">
        <v>45586</v>
      </c>
      <c r="C11985" s="1" t="n">
        <v>46075</v>
      </c>
      <c r="D11985" t="inlineStr">
        <is>
          <t>VÄSTERBOTTENS LÄN</t>
        </is>
      </c>
      <c r="E11985" t="inlineStr">
        <is>
          <t>VILHELMINA</t>
        </is>
      </c>
      <c r="F11985" t="inlineStr">
        <is>
          <t>SCA</t>
        </is>
      </c>
      <c r="G11985" t="n">
        <v>2.7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23826-2025</t>
        </is>
      </c>
      <c r="B11986" s="1" t="n">
        <v>45793.59461805555</v>
      </c>
      <c r="C11986" s="1" t="n">
        <v>46075</v>
      </c>
      <c r="D11986" t="inlineStr">
        <is>
          <t>VÄSTERBOTTENS LÄN</t>
        </is>
      </c>
      <c r="E11986" t="inlineStr">
        <is>
          <t>VILHELMINA</t>
        </is>
      </c>
      <c r="F11986" t="inlineStr">
        <is>
          <t>SCA</t>
        </is>
      </c>
      <c r="G11986" t="n">
        <v>5.9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23886-2025</t>
        </is>
      </c>
      <c r="B11987" s="1" t="n">
        <v>45793</v>
      </c>
      <c r="C11987" s="1" t="n">
        <v>46075</v>
      </c>
      <c r="D11987" t="inlineStr">
        <is>
          <t>VÄSTERBOTTENS LÄN</t>
        </is>
      </c>
      <c r="E11987" t="inlineStr">
        <is>
          <t>SKELLEFTEÅ</t>
        </is>
      </c>
      <c r="F11987" t="inlineStr">
        <is>
          <t>Sveaskog</t>
        </is>
      </c>
      <c r="G11987" t="n">
        <v>1.8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23827-2025</t>
        </is>
      </c>
      <c r="B11988" s="1" t="n">
        <v>45793.59476851852</v>
      </c>
      <c r="C11988" s="1" t="n">
        <v>46075</v>
      </c>
      <c r="D11988" t="inlineStr">
        <is>
          <t>VÄSTERBOTTENS LÄN</t>
        </is>
      </c>
      <c r="E11988" t="inlineStr">
        <is>
          <t>LYCKSELE</t>
        </is>
      </c>
      <c r="F11988" t="inlineStr">
        <is>
          <t>SCA</t>
        </is>
      </c>
      <c r="G11988" t="n">
        <v>3.7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23567-2025</t>
        </is>
      </c>
      <c r="B11989" s="1" t="n">
        <v>45792.60107638889</v>
      </c>
      <c r="C11989" s="1" t="n">
        <v>46075</v>
      </c>
      <c r="D11989" t="inlineStr">
        <is>
          <t>VÄSTERBOTTENS LÄN</t>
        </is>
      </c>
      <c r="E11989" t="inlineStr">
        <is>
          <t>VÄNNÄS</t>
        </is>
      </c>
      <c r="G11989" t="n">
        <v>3.7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23686-2025</t>
        </is>
      </c>
      <c r="B11990" s="1" t="n">
        <v>45793</v>
      </c>
      <c r="C11990" s="1" t="n">
        <v>46075</v>
      </c>
      <c r="D11990" t="inlineStr">
        <is>
          <t>VÄSTERBOTTENS LÄN</t>
        </is>
      </c>
      <c r="E11990" t="inlineStr">
        <is>
          <t>VILHELMINA</t>
        </is>
      </c>
      <c r="F11990" t="inlineStr">
        <is>
          <t>SCA</t>
        </is>
      </c>
      <c r="G11990" t="n">
        <v>5.3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23474-2025</t>
        </is>
      </c>
      <c r="B11991" s="1" t="n">
        <v>45792.4493287037</v>
      </c>
      <c r="C11991" s="1" t="n">
        <v>46075</v>
      </c>
      <c r="D11991" t="inlineStr">
        <is>
          <t>VÄSTERBOTTENS LÄN</t>
        </is>
      </c>
      <c r="E11991" t="inlineStr">
        <is>
          <t>UMEÅ</t>
        </is>
      </c>
      <c r="G11991" t="n">
        <v>4.8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23593-2025</t>
        </is>
      </c>
      <c r="B11992" s="1" t="n">
        <v>45792.63686342593</v>
      </c>
      <c r="C11992" s="1" t="n">
        <v>46075</v>
      </c>
      <c r="D11992" t="inlineStr">
        <is>
          <t>VÄSTERBOTTENS LÄN</t>
        </is>
      </c>
      <c r="E11992" t="inlineStr">
        <is>
          <t>ROBERTSFORS</t>
        </is>
      </c>
      <c r="G11992" t="n">
        <v>11.3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34820-2023</t>
        </is>
      </c>
      <c r="B11993" s="1" t="n">
        <v>45140</v>
      </c>
      <c r="C11993" s="1" t="n">
        <v>46075</v>
      </c>
      <c r="D11993" t="inlineStr">
        <is>
          <t>VÄSTERBOTTENS LÄN</t>
        </is>
      </c>
      <c r="E11993" t="inlineStr">
        <is>
          <t>DOROTEA</t>
        </is>
      </c>
      <c r="G11993" t="n">
        <v>0.9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29737-2024</t>
        </is>
      </c>
      <c r="B11994" s="1" t="n">
        <v>45485.38835648148</v>
      </c>
      <c r="C11994" s="1" t="n">
        <v>46075</v>
      </c>
      <c r="D11994" t="inlineStr">
        <is>
          <t>VÄSTERBOTTENS LÄN</t>
        </is>
      </c>
      <c r="E11994" t="inlineStr">
        <is>
          <t>DOROTEA</t>
        </is>
      </c>
      <c r="G11994" t="n">
        <v>10.2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47440-2024</t>
        </is>
      </c>
      <c r="B11995" s="1" t="n">
        <v>45587</v>
      </c>
      <c r="C11995" s="1" t="n">
        <v>46075</v>
      </c>
      <c r="D11995" t="inlineStr">
        <is>
          <t>VÄSTERBOTTENS LÄN</t>
        </is>
      </c>
      <c r="E11995" t="inlineStr">
        <is>
          <t>VILHELMINA</t>
        </is>
      </c>
      <c r="F11995" t="inlineStr">
        <is>
          <t>SCA</t>
        </is>
      </c>
      <c r="G11995" t="n">
        <v>3.9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23554-2025</t>
        </is>
      </c>
      <c r="B11996" s="1" t="n">
        <v>45792.57557870371</v>
      </c>
      <c r="C11996" s="1" t="n">
        <v>46075</v>
      </c>
      <c r="D11996" t="inlineStr">
        <is>
          <t>VÄSTERBOTTENS LÄN</t>
        </is>
      </c>
      <c r="E11996" t="inlineStr">
        <is>
          <t>LYCKSELE</t>
        </is>
      </c>
      <c r="F11996" t="inlineStr">
        <is>
          <t>Holmen skog AB</t>
        </is>
      </c>
      <c r="G11996" t="n">
        <v>4.4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23563-2025</t>
        </is>
      </c>
      <c r="B11997" s="1" t="n">
        <v>45792.58780092592</v>
      </c>
      <c r="C11997" s="1" t="n">
        <v>46075</v>
      </c>
      <c r="D11997" t="inlineStr">
        <is>
          <t>VÄSTERBOTTENS LÄN</t>
        </is>
      </c>
      <c r="E11997" t="inlineStr">
        <is>
          <t>UMEÅ</t>
        </is>
      </c>
      <c r="G11997" t="n">
        <v>8.5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23744-2025</t>
        </is>
      </c>
      <c r="B11998" s="1" t="n">
        <v>45793.44201388889</v>
      </c>
      <c r="C11998" s="1" t="n">
        <v>46075</v>
      </c>
      <c r="D11998" t="inlineStr">
        <is>
          <t>VÄSTERBOTTENS LÄN</t>
        </is>
      </c>
      <c r="E11998" t="inlineStr">
        <is>
          <t>VINDELN</t>
        </is>
      </c>
      <c r="F11998" t="inlineStr">
        <is>
          <t>Holmen skog AB</t>
        </is>
      </c>
      <c r="G11998" t="n">
        <v>4.4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23764-2025</t>
        </is>
      </c>
      <c r="B11999" s="1" t="n">
        <v>45793</v>
      </c>
      <c r="C11999" s="1" t="n">
        <v>46075</v>
      </c>
      <c r="D11999" t="inlineStr">
        <is>
          <t>VÄSTERBOTTENS LÄN</t>
        </is>
      </c>
      <c r="E11999" t="inlineStr">
        <is>
          <t>VILHELMINA</t>
        </is>
      </c>
      <c r="F11999" t="inlineStr">
        <is>
          <t>SCA</t>
        </is>
      </c>
      <c r="G11999" t="n">
        <v>0.9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23801-2025</t>
        </is>
      </c>
      <c r="B12000" s="1" t="n">
        <v>45793.55439814815</v>
      </c>
      <c r="C12000" s="1" t="n">
        <v>46075</v>
      </c>
      <c r="D12000" t="inlineStr">
        <is>
          <t>VÄSTERBOTTENS LÄN</t>
        </is>
      </c>
      <c r="E12000" t="inlineStr">
        <is>
          <t>LYCKSELE</t>
        </is>
      </c>
      <c r="F12000" t="inlineStr">
        <is>
          <t>Holmen skog AB</t>
        </is>
      </c>
      <c r="G12000" t="n">
        <v>4.6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23824-2025</t>
        </is>
      </c>
      <c r="B12001" s="1" t="n">
        <v>45793.59431712963</v>
      </c>
      <c r="C12001" s="1" t="n">
        <v>46075</v>
      </c>
      <c r="D12001" t="inlineStr">
        <is>
          <t>VÄSTERBOTTENS LÄN</t>
        </is>
      </c>
      <c r="E12001" t="inlineStr">
        <is>
          <t>ÅSELE</t>
        </is>
      </c>
      <c r="F12001" t="inlineStr">
        <is>
          <t>SCA</t>
        </is>
      </c>
      <c r="G12001" t="n">
        <v>1.4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23847-2025</t>
        </is>
      </c>
      <c r="B12002" s="1" t="n">
        <v>45793.62730324074</v>
      </c>
      <c r="C12002" s="1" t="n">
        <v>46075</v>
      </c>
      <c r="D12002" t="inlineStr">
        <is>
          <t>VÄSTERBOTTENS LÄN</t>
        </is>
      </c>
      <c r="E12002" t="inlineStr">
        <is>
          <t>SKELLEFTEÅ</t>
        </is>
      </c>
      <c r="F12002" t="inlineStr">
        <is>
          <t>Holmen skog AB</t>
        </is>
      </c>
      <c r="G12002" t="n">
        <v>5.9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23631-2025</t>
        </is>
      </c>
      <c r="B12003" s="1" t="n">
        <v>45792.67769675926</v>
      </c>
      <c r="C12003" s="1" t="n">
        <v>46075</v>
      </c>
      <c r="D12003" t="inlineStr">
        <is>
          <t>VÄSTERBOTTENS LÄN</t>
        </is>
      </c>
      <c r="E12003" t="inlineStr">
        <is>
          <t>ROBERTSFORS</t>
        </is>
      </c>
      <c r="G12003" t="n">
        <v>10.1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146-2025</t>
        </is>
      </c>
      <c r="B12004" s="1" t="n">
        <v>45659</v>
      </c>
      <c r="C12004" s="1" t="n">
        <v>46075</v>
      </c>
      <c r="D12004" t="inlineStr">
        <is>
          <t>VÄSTERBOTTENS LÄN</t>
        </is>
      </c>
      <c r="E12004" t="inlineStr">
        <is>
          <t>VILHELMINA</t>
        </is>
      </c>
      <c r="F12004" t="inlineStr">
        <is>
          <t>SCA</t>
        </is>
      </c>
      <c r="G12004" t="n">
        <v>9.1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23676-2025</t>
        </is>
      </c>
      <c r="B12005" s="1" t="n">
        <v>45793.31434027778</v>
      </c>
      <c r="C12005" s="1" t="n">
        <v>46075</v>
      </c>
      <c r="D12005" t="inlineStr">
        <is>
          <t>VÄSTERBOTTENS LÄN</t>
        </is>
      </c>
      <c r="E12005" t="inlineStr">
        <is>
          <t>SKELLEFTEÅ</t>
        </is>
      </c>
      <c r="G12005" t="n">
        <v>2.5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25308-2025</t>
        </is>
      </c>
      <c r="B12006" s="1" t="n">
        <v>45800</v>
      </c>
      <c r="C12006" s="1" t="n">
        <v>46075</v>
      </c>
      <c r="D12006" t="inlineStr">
        <is>
          <t>VÄSTERBOTTENS LÄN</t>
        </is>
      </c>
      <c r="E12006" t="inlineStr">
        <is>
          <t>VILHELMINA</t>
        </is>
      </c>
      <c r="F12006" t="inlineStr">
        <is>
          <t>SCA</t>
        </is>
      </c>
      <c r="G12006" t="n">
        <v>5.9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29641-2024</t>
        </is>
      </c>
      <c r="B12007" s="1" t="n">
        <v>45484.71327546296</v>
      </c>
      <c r="C12007" s="1" t="n">
        <v>46075</v>
      </c>
      <c r="D12007" t="inlineStr">
        <is>
          <t>VÄSTERBOTTENS LÄN</t>
        </is>
      </c>
      <c r="E12007" t="inlineStr">
        <is>
          <t>BJURHOLM</t>
        </is>
      </c>
      <c r="G12007" t="n">
        <v>0.7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23442-2025</t>
        </is>
      </c>
      <c r="B12008" s="1" t="n">
        <v>45792.3788425926</v>
      </c>
      <c r="C12008" s="1" t="n">
        <v>46075</v>
      </c>
      <c r="D12008" t="inlineStr">
        <is>
          <t>VÄSTERBOTTENS LÄN</t>
        </is>
      </c>
      <c r="E12008" t="inlineStr">
        <is>
          <t>UMEÅ</t>
        </is>
      </c>
      <c r="G12008" t="n">
        <v>4.7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23492-2025</t>
        </is>
      </c>
      <c r="B12009" s="1" t="n">
        <v>45792.46936342592</v>
      </c>
      <c r="C12009" s="1" t="n">
        <v>46075</v>
      </c>
      <c r="D12009" t="inlineStr">
        <is>
          <t>VÄSTERBOTTENS LÄN</t>
        </is>
      </c>
      <c r="E12009" t="inlineStr">
        <is>
          <t>DOROTEA</t>
        </is>
      </c>
      <c r="F12009" t="inlineStr">
        <is>
          <t>SCA</t>
        </is>
      </c>
      <c r="G12009" t="n">
        <v>3.7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23605-2025</t>
        </is>
      </c>
      <c r="B12010" s="1" t="n">
        <v>45792.65528935185</v>
      </c>
      <c r="C12010" s="1" t="n">
        <v>46075</v>
      </c>
      <c r="D12010" t="inlineStr">
        <is>
          <t>VÄSTERBOTTENS LÄN</t>
        </is>
      </c>
      <c r="E12010" t="inlineStr">
        <is>
          <t>ROBERTSFORS</t>
        </is>
      </c>
      <c r="G12010" t="n">
        <v>0.9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48088-2024</t>
        </is>
      </c>
      <c r="B12011" s="1" t="n">
        <v>45589</v>
      </c>
      <c r="C12011" s="1" t="n">
        <v>46075</v>
      </c>
      <c r="D12011" t="inlineStr">
        <is>
          <t>VÄSTERBOTTENS LÄN</t>
        </is>
      </c>
      <c r="E12011" t="inlineStr">
        <is>
          <t>VILHELMINA</t>
        </is>
      </c>
      <c r="F12011" t="inlineStr">
        <is>
          <t>SCA</t>
        </is>
      </c>
      <c r="G12011" t="n">
        <v>6.9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39035-2024</t>
        </is>
      </c>
      <c r="B12012" s="1" t="n">
        <v>45548.46918981482</v>
      </c>
      <c r="C12012" s="1" t="n">
        <v>46075</v>
      </c>
      <c r="D12012" t="inlineStr">
        <is>
          <t>VÄSTERBOTTENS LÄN</t>
        </is>
      </c>
      <c r="E12012" t="inlineStr">
        <is>
          <t>VILHELMINA</t>
        </is>
      </c>
      <c r="F12012" t="inlineStr">
        <is>
          <t>SCA</t>
        </is>
      </c>
      <c r="G12012" t="n">
        <v>1.7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23737-2025</t>
        </is>
      </c>
      <c r="B12013" s="1" t="n">
        <v>45793.42809027778</v>
      </c>
      <c r="C12013" s="1" t="n">
        <v>46075</v>
      </c>
      <c r="D12013" t="inlineStr">
        <is>
          <t>VÄSTERBOTTENS LÄN</t>
        </is>
      </c>
      <c r="E12013" t="inlineStr">
        <is>
          <t>ÅSELE</t>
        </is>
      </c>
      <c r="F12013" t="inlineStr">
        <is>
          <t>SCA</t>
        </is>
      </c>
      <c r="G12013" t="n">
        <v>6.5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23646-2025</t>
        </is>
      </c>
      <c r="B12014" s="1" t="n">
        <v>45792.69844907407</v>
      </c>
      <c r="C12014" s="1" t="n">
        <v>46075</v>
      </c>
      <c r="D12014" t="inlineStr">
        <is>
          <t>VÄSTERBOTTENS LÄN</t>
        </is>
      </c>
      <c r="E12014" t="inlineStr">
        <is>
          <t>ROBERTSFORS</t>
        </is>
      </c>
      <c r="G12014" t="n">
        <v>5.7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23798-2025</t>
        </is>
      </c>
      <c r="B12015" s="1" t="n">
        <v>45793.55248842593</v>
      </c>
      <c r="C12015" s="1" t="n">
        <v>46075</v>
      </c>
      <c r="D12015" t="inlineStr">
        <is>
          <t>VÄSTERBOTTENS LÄN</t>
        </is>
      </c>
      <c r="E12015" t="inlineStr">
        <is>
          <t>LYCKSELE</t>
        </is>
      </c>
      <c r="F12015" t="inlineStr">
        <is>
          <t>SCA</t>
        </is>
      </c>
      <c r="G12015" t="n">
        <v>3.2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17467-2025</t>
        </is>
      </c>
      <c r="B12016" s="1" t="n">
        <v>45757</v>
      </c>
      <c r="C12016" s="1" t="n">
        <v>46075</v>
      </c>
      <c r="D12016" t="inlineStr">
        <is>
          <t>VÄSTERBOTTENS LÄN</t>
        </is>
      </c>
      <c r="E12016" t="inlineStr">
        <is>
          <t>VILHELMINA</t>
        </is>
      </c>
      <c r="F12016" t="inlineStr">
        <is>
          <t>SCA</t>
        </is>
      </c>
      <c r="G12016" t="n">
        <v>1.6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23551-2025</t>
        </is>
      </c>
      <c r="B12017" s="1" t="n">
        <v>45792.57373842593</v>
      </c>
      <c r="C12017" s="1" t="n">
        <v>46075</v>
      </c>
      <c r="D12017" t="inlineStr">
        <is>
          <t>VÄSTERBOTTENS LÄN</t>
        </is>
      </c>
      <c r="E12017" t="inlineStr">
        <is>
          <t>LYCKSELE</t>
        </is>
      </c>
      <c r="F12017" t="inlineStr">
        <is>
          <t>SCA</t>
        </is>
      </c>
      <c r="G12017" t="n">
        <v>5.3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23537-2025</t>
        </is>
      </c>
      <c r="B12018" s="1" t="n">
        <v>45792.54960648148</v>
      </c>
      <c r="C12018" s="1" t="n">
        <v>46075</v>
      </c>
      <c r="D12018" t="inlineStr">
        <is>
          <t>VÄSTERBOTTENS LÄN</t>
        </is>
      </c>
      <c r="E12018" t="inlineStr">
        <is>
          <t>SKELLEFTEÅ</t>
        </is>
      </c>
      <c r="G12018" t="n">
        <v>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33623-2023</t>
        </is>
      </c>
      <c r="B12019" s="1" t="n">
        <v>45132.38693287037</v>
      </c>
      <c r="C12019" s="1" t="n">
        <v>46075</v>
      </c>
      <c r="D12019" t="inlineStr">
        <is>
          <t>VÄSTERBOTTENS LÄN</t>
        </is>
      </c>
      <c r="E12019" t="inlineStr">
        <is>
          <t>NORSJÖ</t>
        </is>
      </c>
      <c r="F12019" t="inlineStr">
        <is>
          <t>Holmen skog AB</t>
        </is>
      </c>
      <c r="G12019" t="n">
        <v>2.3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23696-2025</t>
        </is>
      </c>
      <c r="B12020" s="1" t="n">
        <v>45793</v>
      </c>
      <c r="C12020" s="1" t="n">
        <v>46075</v>
      </c>
      <c r="D12020" t="inlineStr">
        <is>
          <t>VÄSTERBOTTENS LÄN</t>
        </is>
      </c>
      <c r="E12020" t="inlineStr">
        <is>
          <t>SKELLEFTEÅ</t>
        </is>
      </c>
      <c r="F12020" t="inlineStr">
        <is>
          <t>Sveaskog</t>
        </is>
      </c>
      <c r="G12020" t="n">
        <v>1.5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23749-2025</t>
        </is>
      </c>
      <c r="B12021" s="1" t="n">
        <v>45793.44805555556</v>
      </c>
      <c r="C12021" s="1" t="n">
        <v>46075</v>
      </c>
      <c r="D12021" t="inlineStr">
        <is>
          <t>VÄSTERBOTTENS LÄN</t>
        </is>
      </c>
      <c r="E12021" t="inlineStr">
        <is>
          <t>VINDELN</t>
        </is>
      </c>
      <c r="G12021" t="n">
        <v>2</v>
      </c>
      <c r="H12021" t="n">
        <v>0</v>
      </c>
      <c r="I12021" t="n">
        <v>0</v>
      </c>
      <c r="J12021" t="n">
        <v>0</v>
      </c>
      <c r="K12021" t="n">
        <v>0</v>
      </c>
      <c r="L12021" t="n">
        <v>0</v>
      </c>
      <c r="M12021" t="n">
        <v>0</v>
      </c>
      <c r="N12021" t="n">
        <v>0</v>
      </c>
      <c r="O12021" t="n">
        <v>0</v>
      </c>
      <c r="P12021" t="n">
        <v>0</v>
      </c>
      <c r="Q12021" t="n">
        <v>0</v>
      </c>
      <c r="R12021" s="2" t="inlineStr"/>
      <c r="U12021">
        <f>HYPERLINK("https://klasma.github.io/Logging_2404/knärot/A 23749-2025 karta knärot.png", "A 23749-2025")</f>
        <v/>
      </c>
      <c r="V12021">
        <f>HYPERLINK("https://klasma.github.io/Logging_2404/klagomål/A 23749-2025 FSC-klagomål.docx", "A 23749-2025")</f>
        <v/>
      </c>
      <c r="W12021">
        <f>HYPERLINK("https://klasma.github.io/Logging_2404/klagomålsmail/A 23749-2025 FSC-klagomål mail.docx", "A 23749-2025")</f>
        <v/>
      </c>
      <c r="X12021">
        <f>HYPERLINK("https://klasma.github.io/Logging_2404/tillsyn/A 23749-2025 tillsynsbegäran.docx", "A 23749-2025")</f>
        <v/>
      </c>
      <c r="Y12021">
        <f>HYPERLINK("https://klasma.github.io/Logging_2404/tillsynsmail/A 23749-2025 tillsynsbegäran mail.docx", "A 23749-2025")</f>
        <v/>
      </c>
    </row>
    <row r="12022" ht="15" customHeight="1">
      <c r="A12022" t="inlineStr">
        <is>
          <t>A 23750-2025</t>
        </is>
      </c>
      <c r="B12022" s="1" t="n">
        <v>45793.44913194444</v>
      </c>
      <c r="C12022" s="1" t="n">
        <v>46075</v>
      </c>
      <c r="D12022" t="inlineStr">
        <is>
          <t>VÄSTERBOTTENS LÄN</t>
        </is>
      </c>
      <c r="E12022" t="inlineStr">
        <is>
          <t>VINDELN</t>
        </is>
      </c>
      <c r="G12022" t="n">
        <v>1.4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23415-2025</t>
        </is>
      </c>
      <c r="B12023" s="1" t="n">
        <v>45792.34643518519</v>
      </c>
      <c r="C12023" s="1" t="n">
        <v>46075</v>
      </c>
      <c r="D12023" t="inlineStr">
        <is>
          <t>VÄSTERBOTTENS LÄN</t>
        </is>
      </c>
      <c r="E12023" t="inlineStr">
        <is>
          <t>VILHELMINA</t>
        </is>
      </c>
      <c r="F12023" t="inlineStr">
        <is>
          <t>SCA</t>
        </is>
      </c>
      <c r="G12023" t="n">
        <v>36.9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23678-2025</t>
        </is>
      </c>
      <c r="B12024" s="1" t="n">
        <v>45793.32435185185</v>
      </c>
      <c r="C12024" s="1" t="n">
        <v>46075</v>
      </c>
      <c r="D12024" t="inlineStr">
        <is>
          <t>VÄSTERBOTTENS LÄN</t>
        </is>
      </c>
      <c r="E12024" t="inlineStr">
        <is>
          <t>SKELLEFTEÅ</t>
        </is>
      </c>
      <c r="G12024" t="n">
        <v>7.1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23881-2025</t>
        </is>
      </c>
      <c r="B12025" s="1" t="n">
        <v>45793</v>
      </c>
      <c r="C12025" s="1" t="n">
        <v>46075</v>
      </c>
      <c r="D12025" t="inlineStr">
        <is>
          <t>VÄSTERBOTTENS LÄN</t>
        </is>
      </c>
      <c r="E12025" t="inlineStr">
        <is>
          <t>SKELLEFTEÅ</t>
        </is>
      </c>
      <c r="F12025" t="inlineStr">
        <is>
          <t>Sveaskog</t>
        </is>
      </c>
      <c r="G12025" t="n">
        <v>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23406-2025</t>
        </is>
      </c>
      <c r="B12026" s="1" t="n">
        <v>45792.34540509259</v>
      </c>
      <c r="C12026" s="1" t="n">
        <v>46075</v>
      </c>
      <c r="D12026" t="inlineStr">
        <is>
          <t>VÄSTERBOTTENS LÄN</t>
        </is>
      </c>
      <c r="E12026" t="inlineStr">
        <is>
          <t>VILHELMINA</t>
        </is>
      </c>
      <c r="F12026" t="inlineStr">
        <is>
          <t>SCA</t>
        </is>
      </c>
      <c r="G12026" t="n">
        <v>15.4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23373-2025</t>
        </is>
      </c>
      <c r="B12027" s="1" t="n">
        <v>45791.75634259259</v>
      </c>
      <c r="C12027" s="1" t="n">
        <v>46075</v>
      </c>
      <c r="D12027" t="inlineStr">
        <is>
          <t>VÄSTERBOTTENS LÄN</t>
        </is>
      </c>
      <c r="E12027" t="inlineStr">
        <is>
          <t>SKELLEFTEÅ</t>
        </is>
      </c>
      <c r="G12027" t="n">
        <v>2.4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23457-2025</t>
        </is>
      </c>
      <c r="B12028" s="1" t="n">
        <v>45792.42746527777</v>
      </c>
      <c r="C12028" s="1" t="n">
        <v>46075</v>
      </c>
      <c r="D12028" t="inlineStr">
        <is>
          <t>VÄSTERBOTTENS LÄN</t>
        </is>
      </c>
      <c r="E12028" t="inlineStr">
        <is>
          <t>DOROTEA</t>
        </is>
      </c>
      <c r="F12028" t="inlineStr">
        <is>
          <t>SCA</t>
        </is>
      </c>
      <c r="G12028" t="n">
        <v>5.9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23459-2025</t>
        </is>
      </c>
      <c r="B12029" s="1" t="n">
        <v>45792</v>
      </c>
      <c r="C12029" s="1" t="n">
        <v>46075</v>
      </c>
      <c r="D12029" t="inlineStr">
        <is>
          <t>VÄSTERBOTTENS LÄN</t>
        </is>
      </c>
      <c r="E12029" t="inlineStr">
        <is>
          <t>VILHELMINA</t>
        </is>
      </c>
      <c r="F12029" t="inlineStr">
        <is>
          <t>SCA</t>
        </is>
      </c>
      <c r="G12029" t="n">
        <v>7.4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23461-2025</t>
        </is>
      </c>
      <c r="B12030" s="1" t="n">
        <v>45792</v>
      </c>
      <c r="C12030" s="1" t="n">
        <v>46075</v>
      </c>
      <c r="D12030" t="inlineStr">
        <is>
          <t>VÄSTERBOTTENS LÄN</t>
        </is>
      </c>
      <c r="E12030" t="inlineStr">
        <is>
          <t>VILHELMINA</t>
        </is>
      </c>
      <c r="F12030" t="inlineStr">
        <is>
          <t>SCA</t>
        </is>
      </c>
      <c r="G12030" t="n">
        <v>2.9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23462-2025</t>
        </is>
      </c>
      <c r="B12031" s="1" t="n">
        <v>45792.43016203704</v>
      </c>
      <c r="C12031" s="1" t="n">
        <v>46075</v>
      </c>
      <c r="D12031" t="inlineStr">
        <is>
          <t>VÄSTERBOTTENS LÄN</t>
        </is>
      </c>
      <c r="E12031" t="inlineStr">
        <is>
          <t>VÄNNÄS</t>
        </is>
      </c>
      <c r="G12031" t="n">
        <v>1.5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23776-2025</t>
        </is>
      </c>
      <c r="B12032" s="1" t="n">
        <v>45793.50012731482</v>
      </c>
      <c r="C12032" s="1" t="n">
        <v>46075</v>
      </c>
      <c r="D12032" t="inlineStr">
        <is>
          <t>VÄSTERBOTTENS LÄN</t>
        </is>
      </c>
      <c r="E12032" t="inlineStr">
        <is>
          <t>VÄNNÄS</t>
        </is>
      </c>
      <c r="G12032" t="n">
        <v>8.1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48062-2024</t>
        </is>
      </c>
      <c r="B12033" s="1" t="n">
        <v>45589</v>
      </c>
      <c r="C12033" s="1" t="n">
        <v>46075</v>
      </c>
      <c r="D12033" t="inlineStr">
        <is>
          <t>VÄSTERBOTTENS LÄN</t>
        </is>
      </c>
      <c r="E12033" t="inlineStr">
        <is>
          <t>VILHELMINA</t>
        </is>
      </c>
      <c r="F12033" t="inlineStr">
        <is>
          <t>SCA</t>
        </is>
      </c>
      <c r="G12033" t="n">
        <v>6.2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47548-2024</t>
        </is>
      </c>
      <c r="B12034" s="1" t="n">
        <v>45587</v>
      </c>
      <c r="C12034" s="1" t="n">
        <v>46075</v>
      </c>
      <c r="D12034" t="inlineStr">
        <is>
          <t>VÄSTERBOTTENS LÄN</t>
        </is>
      </c>
      <c r="E12034" t="inlineStr">
        <is>
          <t>VILHELMINA</t>
        </is>
      </c>
      <c r="F12034" t="inlineStr">
        <is>
          <t>SCA</t>
        </is>
      </c>
      <c r="G12034" t="n">
        <v>7.7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23679-2025</t>
        </is>
      </c>
      <c r="B12035" s="1" t="n">
        <v>45793.32454861111</v>
      </c>
      <c r="C12035" s="1" t="n">
        <v>46075</v>
      </c>
      <c r="D12035" t="inlineStr">
        <is>
          <t>VÄSTERBOTTENS LÄN</t>
        </is>
      </c>
      <c r="E12035" t="inlineStr">
        <is>
          <t>LYCKSELE</t>
        </is>
      </c>
      <c r="F12035" t="inlineStr">
        <is>
          <t>Sveaskog</t>
        </is>
      </c>
      <c r="G12035" t="n">
        <v>29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23453-2025</t>
        </is>
      </c>
      <c r="B12036" s="1" t="n">
        <v>45792.42302083333</v>
      </c>
      <c r="C12036" s="1" t="n">
        <v>46075</v>
      </c>
      <c r="D12036" t="inlineStr">
        <is>
          <t>VÄSTERBOTTENS LÄN</t>
        </is>
      </c>
      <c r="E12036" t="inlineStr">
        <is>
          <t>VÄNNÄS</t>
        </is>
      </c>
      <c r="F12036" t="inlineStr">
        <is>
          <t>Holmen skog AB</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23472-2025</t>
        </is>
      </c>
      <c r="B12037" s="1" t="n">
        <v>45792</v>
      </c>
      <c r="C12037" s="1" t="n">
        <v>46075</v>
      </c>
      <c r="D12037" t="inlineStr">
        <is>
          <t>VÄSTERBOTTENS LÄN</t>
        </is>
      </c>
      <c r="E12037" t="inlineStr">
        <is>
          <t>UMEÅ</t>
        </is>
      </c>
      <c r="G12037" t="n">
        <v>1.9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23500-2025</t>
        </is>
      </c>
      <c r="B12038" s="1" t="n">
        <v>45792.48252314814</v>
      </c>
      <c r="C12038" s="1" t="n">
        <v>46075</v>
      </c>
      <c r="D12038" t="inlineStr">
        <is>
          <t>VÄSTERBOTTENS LÄN</t>
        </is>
      </c>
      <c r="E12038" t="inlineStr">
        <is>
          <t>UMEÅ</t>
        </is>
      </c>
      <c r="F12038" t="inlineStr">
        <is>
          <t>Holmen skog AB</t>
        </is>
      </c>
      <c r="G12038" t="n">
        <v>4.1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23523-2025</t>
        </is>
      </c>
      <c r="B12039" s="1" t="n">
        <v>45792.51623842592</v>
      </c>
      <c r="C12039" s="1" t="n">
        <v>46075</v>
      </c>
      <c r="D12039" t="inlineStr">
        <is>
          <t>VÄSTERBOTTENS LÄN</t>
        </is>
      </c>
      <c r="E12039" t="inlineStr">
        <is>
          <t>NORSJÖ</t>
        </is>
      </c>
      <c r="F12039" t="inlineStr">
        <is>
          <t>Holmen skog AB</t>
        </is>
      </c>
      <c r="G12039" t="n">
        <v>5.8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53226-2022</t>
        </is>
      </c>
      <c r="B12040" s="1" t="n">
        <v>44876.63155092593</v>
      </c>
      <c r="C12040" s="1" t="n">
        <v>46075</v>
      </c>
      <c r="D12040" t="inlineStr">
        <is>
          <t>VÄSTERBOTTENS LÄN</t>
        </is>
      </c>
      <c r="E12040" t="inlineStr">
        <is>
          <t>LYCKSELE</t>
        </is>
      </c>
      <c r="F12040" t="inlineStr">
        <is>
          <t>Holmen skog AB</t>
        </is>
      </c>
      <c r="G12040" t="n">
        <v>10.5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23645-2025</t>
        </is>
      </c>
      <c r="B12041" s="1" t="n">
        <v>45792.69283564815</v>
      </c>
      <c r="C12041" s="1" t="n">
        <v>46075</v>
      </c>
      <c r="D12041" t="inlineStr">
        <is>
          <t>VÄSTERBOTTENS LÄN</t>
        </is>
      </c>
      <c r="E12041" t="inlineStr">
        <is>
          <t>LYCKSELE</t>
        </is>
      </c>
      <c r="F12041" t="inlineStr">
        <is>
          <t>Sveaskog</t>
        </is>
      </c>
      <c r="G12041" t="n">
        <v>2.3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59555-2022</t>
        </is>
      </c>
      <c r="B12042" s="1" t="n">
        <v>44900</v>
      </c>
      <c r="C12042" s="1" t="n">
        <v>46075</v>
      </c>
      <c r="D12042" t="inlineStr">
        <is>
          <t>VÄSTERBOTTENS LÄN</t>
        </is>
      </c>
      <c r="E12042" t="inlineStr">
        <is>
          <t>SORSELE</t>
        </is>
      </c>
      <c r="G12042" t="n">
        <v>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23465-2025</t>
        </is>
      </c>
      <c r="B12043" s="1" t="n">
        <v>45792.43493055556</v>
      </c>
      <c r="C12043" s="1" t="n">
        <v>46075</v>
      </c>
      <c r="D12043" t="inlineStr">
        <is>
          <t>VÄSTERBOTTENS LÄN</t>
        </is>
      </c>
      <c r="E12043" t="inlineStr">
        <is>
          <t>VÄNNÄS</t>
        </is>
      </c>
      <c r="G12043" t="n">
        <v>0.6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15386-2024</t>
        </is>
      </c>
      <c r="B12044" s="1" t="n">
        <v>45400</v>
      </c>
      <c r="C12044" s="1" t="n">
        <v>46075</v>
      </c>
      <c r="D12044" t="inlineStr">
        <is>
          <t>VÄSTERBOTTENS LÄN</t>
        </is>
      </c>
      <c r="E12044" t="inlineStr">
        <is>
          <t>STORUMAN</t>
        </is>
      </c>
      <c r="G12044" t="n">
        <v>5.7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37210-2021</t>
        </is>
      </c>
      <c r="B12045" s="1" t="n">
        <v>44396</v>
      </c>
      <c r="C12045" s="1" t="n">
        <v>46075</v>
      </c>
      <c r="D12045" t="inlineStr">
        <is>
          <t>VÄSTERBOTTENS LÄN</t>
        </is>
      </c>
      <c r="E12045" t="inlineStr">
        <is>
          <t>SKELLEFTEÅ</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37057-2023</t>
        </is>
      </c>
      <c r="B12046" s="1" t="n">
        <v>45155</v>
      </c>
      <c r="C12046" s="1" t="n">
        <v>46075</v>
      </c>
      <c r="D12046" t="inlineStr">
        <is>
          <t>VÄSTERBOTTENS LÄN</t>
        </is>
      </c>
      <c r="E12046" t="inlineStr">
        <is>
          <t>NORSJÖ</t>
        </is>
      </c>
      <c r="F12046" t="inlineStr">
        <is>
          <t>Kommuner</t>
        </is>
      </c>
      <c r="G12046" t="n">
        <v>1.4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2749-2023</t>
        </is>
      </c>
      <c r="B12047" s="1" t="n">
        <v>44943</v>
      </c>
      <c r="C12047" s="1" t="n">
        <v>46075</v>
      </c>
      <c r="D12047" t="inlineStr">
        <is>
          <t>VÄSTERBOTTENS LÄN</t>
        </is>
      </c>
      <c r="E12047" t="inlineStr">
        <is>
          <t>NORSJÖ</t>
        </is>
      </c>
      <c r="G12047" t="n">
        <v>1.4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24129-2025</t>
        </is>
      </c>
      <c r="B12048" s="1" t="n">
        <v>45796</v>
      </c>
      <c r="C12048" s="1" t="n">
        <v>46075</v>
      </c>
      <c r="D12048" t="inlineStr">
        <is>
          <t>VÄSTERBOTTENS LÄN</t>
        </is>
      </c>
      <c r="E12048" t="inlineStr">
        <is>
          <t>LYCKSELE</t>
        </is>
      </c>
      <c r="F12048" t="inlineStr">
        <is>
          <t>Holmen skog AB</t>
        </is>
      </c>
      <c r="G12048" t="n">
        <v>4.9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24165-2025</t>
        </is>
      </c>
      <c r="B12049" s="1" t="n">
        <v>45796.67317129629</v>
      </c>
      <c r="C12049" s="1" t="n">
        <v>46075</v>
      </c>
      <c r="D12049" t="inlineStr">
        <is>
          <t>VÄSTERBOTTENS LÄN</t>
        </is>
      </c>
      <c r="E12049" t="inlineStr">
        <is>
          <t>VINDELN</t>
        </is>
      </c>
      <c r="F12049" t="inlineStr">
        <is>
          <t>Holmen skog AB</t>
        </is>
      </c>
      <c r="G12049" t="n">
        <v>17.6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23753-2025</t>
        </is>
      </c>
      <c r="B12050" s="1" t="n">
        <v>45793</v>
      </c>
      <c r="C12050" s="1" t="n">
        <v>46075</v>
      </c>
      <c r="D12050" t="inlineStr">
        <is>
          <t>VÄSTERBOTTENS LÄN</t>
        </is>
      </c>
      <c r="E12050" t="inlineStr">
        <is>
          <t>VINDELN</t>
        </is>
      </c>
      <c r="G12050" t="n">
        <v>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39470-2024</t>
        </is>
      </c>
      <c r="B12051" s="1" t="n">
        <v>45551</v>
      </c>
      <c r="C12051" s="1" t="n">
        <v>46075</v>
      </c>
      <c r="D12051" t="inlineStr">
        <is>
          <t>VÄSTERBOTTENS LÄN</t>
        </is>
      </c>
      <c r="E12051" t="inlineStr">
        <is>
          <t>DOROTEA</t>
        </is>
      </c>
      <c r="G12051" t="n">
        <v>1.3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24171-2025</t>
        </is>
      </c>
      <c r="B12052" s="1" t="n">
        <v>45796.68282407407</v>
      </c>
      <c r="C12052" s="1" t="n">
        <v>46075</v>
      </c>
      <c r="D12052" t="inlineStr">
        <is>
          <t>VÄSTERBOTTENS LÄN</t>
        </is>
      </c>
      <c r="E12052" t="inlineStr">
        <is>
          <t>NORSJÖ</t>
        </is>
      </c>
      <c r="F12052" t="inlineStr">
        <is>
          <t>Holmen skog AB</t>
        </is>
      </c>
      <c r="G12052" t="n">
        <v>1.2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24064-2025</t>
        </is>
      </c>
      <c r="B12053" s="1" t="n">
        <v>45796.53480324074</v>
      </c>
      <c r="C12053" s="1" t="n">
        <v>46075</v>
      </c>
      <c r="D12053" t="inlineStr">
        <is>
          <t>VÄSTERBOTTENS LÄN</t>
        </is>
      </c>
      <c r="E12053" t="inlineStr">
        <is>
          <t>SKELLEFTEÅ</t>
        </is>
      </c>
      <c r="G12053" t="n">
        <v>8.4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24067-2025</t>
        </is>
      </c>
      <c r="B12054" s="1" t="n">
        <v>45796.53820601852</v>
      </c>
      <c r="C12054" s="1" t="n">
        <v>46075</v>
      </c>
      <c r="D12054" t="inlineStr">
        <is>
          <t>VÄSTERBOTTENS LÄN</t>
        </is>
      </c>
      <c r="E12054" t="inlineStr">
        <is>
          <t>SKELLEFTEÅ</t>
        </is>
      </c>
      <c r="G12054" t="n">
        <v>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14357-2022</t>
        </is>
      </c>
      <c r="B12055" s="1" t="n">
        <v>44652</v>
      </c>
      <c r="C12055" s="1" t="n">
        <v>46075</v>
      </c>
      <c r="D12055" t="inlineStr">
        <is>
          <t>VÄSTERBOTTENS LÄN</t>
        </is>
      </c>
      <c r="E12055" t="inlineStr">
        <is>
          <t>VINDELN</t>
        </is>
      </c>
      <c r="G12055" t="n">
        <v>21.6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51394-2022</t>
        </is>
      </c>
      <c r="B12056" s="1" t="n">
        <v>44866</v>
      </c>
      <c r="C12056" s="1" t="n">
        <v>46075</v>
      </c>
      <c r="D12056" t="inlineStr">
        <is>
          <t>VÄSTERBOTTENS LÄN</t>
        </is>
      </c>
      <c r="E12056" t="inlineStr">
        <is>
          <t>SORSELE</t>
        </is>
      </c>
      <c r="F12056" t="inlineStr">
        <is>
          <t>SCA</t>
        </is>
      </c>
      <c r="G12056" t="n">
        <v>2.7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48997-2021</t>
        </is>
      </c>
      <c r="B12057" s="1" t="n">
        <v>44453.44574074074</v>
      </c>
      <c r="C12057" s="1" t="n">
        <v>46075</v>
      </c>
      <c r="D12057" t="inlineStr">
        <is>
          <t>VÄSTERBOTTENS LÄN</t>
        </is>
      </c>
      <c r="E12057" t="inlineStr">
        <is>
          <t>LYCKSELE</t>
        </is>
      </c>
      <c r="G12057" t="n">
        <v>4.6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23943-2025</t>
        </is>
      </c>
      <c r="B12058" s="1" t="n">
        <v>45794</v>
      </c>
      <c r="C12058" s="1" t="n">
        <v>46075</v>
      </c>
      <c r="D12058" t="inlineStr">
        <is>
          <t>VÄSTERBOTTENS LÄN</t>
        </is>
      </c>
      <c r="E12058" t="inlineStr">
        <is>
          <t>SORSELE</t>
        </is>
      </c>
      <c r="G12058" t="n">
        <v>11.9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23995-2025</t>
        </is>
      </c>
      <c r="B12059" s="1" t="n">
        <v>45796.41136574074</v>
      </c>
      <c r="C12059" s="1" t="n">
        <v>46075</v>
      </c>
      <c r="D12059" t="inlineStr">
        <is>
          <t>VÄSTERBOTTENS LÄN</t>
        </is>
      </c>
      <c r="E12059" t="inlineStr">
        <is>
          <t>VINDELN</t>
        </is>
      </c>
      <c r="F12059" t="inlineStr">
        <is>
          <t>Holmen skog AB</t>
        </is>
      </c>
      <c r="G12059" t="n">
        <v>1.2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10693-2024</t>
        </is>
      </c>
      <c r="B12060" s="1" t="n">
        <v>45369</v>
      </c>
      <c r="C12060" s="1" t="n">
        <v>46075</v>
      </c>
      <c r="D12060" t="inlineStr">
        <is>
          <t>VÄSTERBOTTENS LÄN</t>
        </is>
      </c>
      <c r="E12060" t="inlineStr">
        <is>
          <t>SKELLEFTEÅ</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1812-2025</t>
        </is>
      </c>
      <c r="B12061" s="1" t="n">
        <v>45671.49204861111</v>
      </c>
      <c r="C12061" s="1" t="n">
        <v>46075</v>
      </c>
      <c r="D12061" t="inlineStr">
        <is>
          <t>VÄSTERBOTTENS LÄN</t>
        </is>
      </c>
      <c r="E12061" t="inlineStr">
        <is>
          <t>VINDELN</t>
        </is>
      </c>
      <c r="G12061" t="n">
        <v>6.7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45503-2021</t>
        </is>
      </c>
      <c r="B12062" s="1" t="n">
        <v>44440</v>
      </c>
      <c r="C12062" s="1" t="n">
        <v>46075</v>
      </c>
      <c r="D12062" t="inlineStr">
        <is>
          <t>VÄSTERBOTTENS LÄN</t>
        </is>
      </c>
      <c r="E12062" t="inlineStr">
        <is>
          <t>LYCKSELE</t>
        </is>
      </c>
      <c r="G12062" t="n">
        <v>29.1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23979-2025</t>
        </is>
      </c>
      <c r="B12063" s="1" t="n">
        <v>45796.38870370371</v>
      </c>
      <c r="C12063" s="1" t="n">
        <v>46075</v>
      </c>
      <c r="D12063" t="inlineStr">
        <is>
          <t>VÄSTERBOTTENS LÄN</t>
        </is>
      </c>
      <c r="E12063" t="inlineStr">
        <is>
          <t>ROBERTSFORS</t>
        </is>
      </c>
      <c r="G12063" t="n">
        <v>4.1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10548-2022</t>
        </is>
      </c>
      <c r="B12064" s="1" t="n">
        <v>44623</v>
      </c>
      <c r="C12064" s="1" t="n">
        <v>46075</v>
      </c>
      <c r="D12064" t="inlineStr">
        <is>
          <t>VÄSTERBOTTENS LÄN</t>
        </is>
      </c>
      <c r="E12064" t="inlineStr">
        <is>
          <t>VILHELMINA</t>
        </is>
      </c>
      <c r="F12064" t="inlineStr">
        <is>
          <t>SCA</t>
        </is>
      </c>
      <c r="G12064" t="n">
        <v>11.5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24346-2024</t>
        </is>
      </c>
      <c r="B12065" s="1" t="n">
        <v>45457</v>
      </c>
      <c r="C12065" s="1" t="n">
        <v>46075</v>
      </c>
      <c r="D12065" t="inlineStr">
        <is>
          <t>VÄSTERBOTTENS LÄN</t>
        </is>
      </c>
      <c r="E12065" t="inlineStr">
        <is>
          <t>LYCKSELE</t>
        </is>
      </c>
      <c r="F12065" t="inlineStr">
        <is>
          <t>Holmen skog AB</t>
        </is>
      </c>
      <c r="G12065" t="n">
        <v>5.4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38588-2024</t>
        </is>
      </c>
      <c r="B12066" s="1" t="n">
        <v>45546.65261574074</v>
      </c>
      <c r="C12066" s="1" t="n">
        <v>46075</v>
      </c>
      <c r="D12066" t="inlineStr">
        <is>
          <t>VÄSTERBOTTENS LÄN</t>
        </is>
      </c>
      <c r="E12066" t="inlineStr">
        <is>
          <t>SKELLEFTEÅ</t>
        </is>
      </c>
      <c r="F12066" t="inlineStr">
        <is>
          <t>Holmen skog AB</t>
        </is>
      </c>
      <c r="G12066" t="n">
        <v>4.1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3631-2024</t>
        </is>
      </c>
      <c r="B12067" s="1" t="n">
        <v>45320.95365740741</v>
      </c>
      <c r="C12067" s="1" t="n">
        <v>46075</v>
      </c>
      <c r="D12067" t="inlineStr">
        <is>
          <t>VÄSTERBOTTENS LÄN</t>
        </is>
      </c>
      <c r="E12067" t="inlineStr">
        <is>
          <t>VINDELN</t>
        </is>
      </c>
      <c r="F12067" t="inlineStr">
        <is>
          <t>SCA</t>
        </is>
      </c>
      <c r="G12067" t="n">
        <v>3.3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24205-2025</t>
        </is>
      </c>
      <c r="B12068" s="1" t="n">
        <v>45797.32711805555</v>
      </c>
      <c r="C12068" s="1" t="n">
        <v>46075</v>
      </c>
      <c r="D12068" t="inlineStr">
        <is>
          <t>VÄSTERBOTTENS LÄN</t>
        </is>
      </c>
      <c r="E12068" t="inlineStr">
        <is>
          <t>SKELLEFTEÅ</t>
        </is>
      </c>
      <c r="G12068" t="n">
        <v>0.7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24208-2025</t>
        </is>
      </c>
      <c r="B12069" s="1" t="n">
        <v>45797.34456018519</v>
      </c>
      <c r="C12069" s="1" t="n">
        <v>46075</v>
      </c>
      <c r="D12069" t="inlineStr">
        <is>
          <t>VÄSTERBOTTENS LÄN</t>
        </is>
      </c>
      <c r="E12069" t="inlineStr">
        <is>
          <t>ÅSELE</t>
        </is>
      </c>
      <c r="F12069" t="inlineStr">
        <is>
          <t>SCA</t>
        </is>
      </c>
      <c r="G12069" t="n">
        <v>14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36676-2023</t>
        </is>
      </c>
      <c r="B12070" s="1" t="n">
        <v>45152</v>
      </c>
      <c r="C12070" s="1" t="n">
        <v>46075</v>
      </c>
      <c r="D12070" t="inlineStr">
        <is>
          <t>VÄSTERBOTTENS LÄN</t>
        </is>
      </c>
      <c r="E12070" t="inlineStr">
        <is>
          <t>MALÅ</t>
        </is>
      </c>
      <c r="G12070" t="n">
        <v>16.6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14823-2024</t>
        </is>
      </c>
      <c r="B12071" s="1" t="n">
        <v>45397</v>
      </c>
      <c r="C12071" s="1" t="n">
        <v>46075</v>
      </c>
      <c r="D12071" t="inlineStr">
        <is>
          <t>VÄSTERBOTTENS LÄN</t>
        </is>
      </c>
      <c r="E12071" t="inlineStr">
        <is>
          <t>STORUMAN</t>
        </is>
      </c>
      <c r="G12071" t="n">
        <v>18.2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33113-2024</t>
        </is>
      </c>
      <c r="B12072" s="1" t="n">
        <v>45517</v>
      </c>
      <c r="C12072" s="1" t="n">
        <v>46075</v>
      </c>
      <c r="D12072" t="inlineStr">
        <is>
          <t>VÄSTERBOTTENS LÄN</t>
        </is>
      </c>
      <c r="E12072" t="inlineStr">
        <is>
          <t>DOROTEA</t>
        </is>
      </c>
      <c r="G12072" t="n">
        <v>2.2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60226-2022</t>
        </is>
      </c>
      <c r="B12073" s="1" t="n">
        <v>44910</v>
      </c>
      <c r="C12073" s="1" t="n">
        <v>46075</v>
      </c>
      <c r="D12073" t="inlineStr">
        <is>
          <t>VÄSTERBOTTENS LÄN</t>
        </is>
      </c>
      <c r="E12073" t="inlineStr">
        <is>
          <t>LYCKSELE</t>
        </is>
      </c>
      <c r="G12073" t="n">
        <v>5.4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32236-2024</t>
        </is>
      </c>
      <c r="B12074" s="1" t="n">
        <v>45511.92907407408</v>
      </c>
      <c r="C12074" s="1" t="n">
        <v>46075</v>
      </c>
      <c r="D12074" t="inlineStr">
        <is>
          <t>VÄSTERBOTTENS LÄN</t>
        </is>
      </c>
      <c r="E12074" t="inlineStr">
        <is>
          <t>NORSJÖ</t>
        </is>
      </c>
      <c r="G12074" t="n">
        <v>5.6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23315-2024</t>
        </is>
      </c>
      <c r="B12075" s="1" t="n">
        <v>45453</v>
      </c>
      <c r="C12075" s="1" t="n">
        <v>46075</v>
      </c>
      <c r="D12075" t="inlineStr">
        <is>
          <t>VÄSTERBOTTENS LÄN</t>
        </is>
      </c>
      <c r="E12075" t="inlineStr">
        <is>
          <t>LYCKSELE</t>
        </is>
      </c>
      <c r="G12075" t="n">
        <v>7.3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23971-2025</t>
        </is>
      </c>
      <c r="B12076" s="1" t="n">
        <v>45796.38513888889</v>
      </c>
      <c r="C12076" s="1" t="n">
        <v>46075</v>
      </c>
      <c r="D12076" t="inlineStr">
        <is>
          <t>VÄSTERBOTTENS LÄN</t>
        </is>
      </c>
      <c r="E12076" t="inlineStr">
        <is>
          <t>NORSJÖ</t>
        </is>
      </c>
      <c r="F12076" t="inlineStr">
        <is>
          <t>Holmen skog AB</t>
        </is>
      </c>
      <c r="G12076" t="n">
        <v>0.9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16175-2025</t>
        </is>
      </c>
      <c r="B12077" s="1" t="n">
        <v>45750.5587962963</v>
      </c>
      <c r="C12077" s="1" t="n">
        <v>46075</v>
      </c>
      <c r="D12077" t="inlineStr">
        <is>
          <t>VÄSTERBOTTENS LÄN</t>
        </is>
      </c>
      <c r="E12077" t="inlineStr">
        <is>
          <t>ÅSELE</t>
        </is>
      </c>
      <c r="G12077" t="n">
        <v>15.4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12800-2024</t>
        </is>
      </c>
      <c r="B12078" s="1" t="n">
        <v>45384</v>
      </c>
      <c r="C12078" s="1" t="n">
        <v>46075</v>
      </c>
      <c r="D12078" t="inlineStr">
        <is>
          <t>VÄSTERBOTTENS LÄN</t>
        </is>
      </c>
      <c r="E12078" t="inlineStr">
        <is>
          <t>NORSJÖ</t>
        </is>
      </c>
      <c r="G12078" t="n">
        <v>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30050-2024</t>
        </is>
      </c>
      <c r="B12079" s="1" t="n">
        <v>45488</v>
      </c>
      <c r="C12079" s="1" t="n">
        <v>46075</v>
      </c>
      <c r="D12079" t="inlineStr">
        <is>
          <t>VÄSTERBOTTENS LÄN</t>
        </is>
      </c>
      <c r="E12079" t="inlineStr">
        <is>
          <t>UMEÅ</t>
        </is>
      </c>
      <c r="G12079" t="n">
        <v>2.6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60503-2024</t>
        </is>
      </c>
      <c r="B12080" s="1" t="n">
        <v>45643</v>
      </c>
      <c r="C12080" s="1" t="n">
        <v>46075</v>
      </c>
      <c r="D12080" t="inlineStr">
        <is>
          <t>VÄSTERBOTTENS LÄN</t>
        </is>
      </c>
      <c r="E12080" t="inlineStr">
        <is>
          <t>MALÅ</t>
        </is>
      </c>
      <c r="G12080" t="n">
        <v>28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24264-2025</t>
        </is>
      </c>
      <c r="B12081" s="1" t="n">
        <v>45797.42381944445</v>
      </c>
      <c r="C12081" s="1" t="n">
        <v>46075</v>
      </c>
      <c r="D12081" t="inlineStr">
        <is>
          <t>VÄSTERBOTTENS LÄN</t>
        </is>
      </c>
      <c r="E12081" t="inlineStr">
        <is>
          <t>SKELLEFTEÅ</t>
        </is>
      </c>
      <c r="G12081" t="n">
        <v>3.4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24066-2025</t>
        </is>
      </c>
      <c r="B12082" s="1" t="n">
        <v>45796.53686342593</v>
      </c>
      <c r="C12082" s="1" t="n">
        <v>46075</v>
      </c>
      <c r="D12082" t="inlineStr">
        <is>
          <t>VÄSTERBOTTENS LÄN</t>
        </is>
      </c>
      <c r="E12082" t="inlineStr">
        <is>
          <t>SKELLEFTEÅ</t>
        </is>
      </c>
      <c r="G12082" t="n">
        <v>1.2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24070-2025</t>
        </is>
      </c>
      <c r="B12083" s="1" t="n">
        <v>45796.54060185186</v>
      </c>
      <c r="C12083" s="1" t="n">
        <v>46075</v>
      </c>
      <c r="D12083" t="inlineStr">
        <is>
          <t>VÄSTERBOTTENS LÄN</t>
        </is>
      </c>
      <c r="E12083" t="inlineStr">
        <is>
          <t>SKELLEFTEÅ</t>
        </is>
      </c>
      <c r="G12083" t="n">
        <v>2.4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31848-2024</t>
        </is>
      </c>
      <c r="B12084" s="1" t="n">
        <v>45509.67273148148</v>
      </c>
      <c r="C12084" s="1" t="n">
        <v>46075</v>
      </c>
      <c r="D12084" t="inlineStr">
        <is>
          <t>VÄSTERBOTTENS LÄN</t>
        </is>
      </c>
      <c r="E12084" t="inlineStr">
        <is>
          <t>LYCKSELE</t>
        </is>
      </c>
      <c r="F12084" t="inlineStr">
        <is>
          <t>Holmen skog AB</t>
        </is>
      </c>
      <c r="G12084" t="n">
        <v>1.2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58939-2024</t>
        </is>
      </c>
      <c r="B12085" s="1" t="n">
        <v>45636.53543981481</v>
      </c>
      <c r="C12085" s="1" t="n">
        <v>46075</v>
      </c>
      <c r="D12085" t="inlineStr">
        <is>
          <t>VÄSTERBOTTENS LÄN</t>
        </is>
      </c>
      <c r="E12085" t="inlineStr">
        <is>
          <t>SKELLEFTEÅ</t>
        </is>
      </c>
      <c r="G12085" t="n">
        <v>13.4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24152-2025</t>
        </is>
      </c>
      <c r="B12086" s="1" t="n">
        <v>45796.65622685185</v>
      </c>
      <c r="C12086" s="1" t="n">
        <v>46075</v>
      </c>
      <c r="D12086" t="inlineStr">
        <is>
          <t>VÄSTERBOTTENS LÄN</t>
        </is>
      </c>
      <c r="E12086" t="inlineStr">
        <is>
          <t>SORSELE</t>
        </is>
      </c>
      <c r="G12086" t="n">
        <v>3.3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24068-2025</t>
        </is>
      </c>
      <c r="B12087" s="1" t="n">
        <v>45796.53878472222</v>
      </c>
      <c r="C12087" s="1" t="n">
        <v>46075</v>
      </c>
      <c r="D12087" t="inlineStr">
        <is>
          <t>VÄSTERBOTTENS LÄN</t>
        </is>
      </c>
      <c r="E12087" t="inlineStr">
        <is>
          <t>SKELLEFTEÅ</t>
        </is>
      </c>
      <c r="G12087" t="n">
        <v>1.7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23903-2025</t>
        </is>
      </c>
      <c r="B12088" s="1" t="n">
        <v>45794</v>
      </c>
      <c r="C12088" s="1" t="n">
        <v>46075</v>
      </c>
      <c r="D12088" t="inlineStr">
        <is>
          <t>VÄSTERBOTTENS LÄN</t>
        </is>
      </c>
      <c r="E12088" t="inlineStr">
        <is>
          <t>VINDELN</t>
        </is>
      </c>
      <c r="G12088" t="n">
        <v>6.2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23952-2025</t>
        </is>
      </c>
      <c r="B12089" s="1" t="n">
        <v>45794</v>
      </c>
      <c r="C12089" s="1" t="n">
        <v>46075</v>
      </c>
      <c r="D12089" t="inlineStr">
        <is>
          <t>VÄSTERBOTTENS LÄN</t>
        </is>
      </c>
      <c r="E12089" t="inlineStr">
        <is>
          <t>SORSELE</t>
        </is>
      </c>
      <c r="G12089" t="n">
        <v>20.7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24224-2025</t>
        </is>
      </c>
      <c r="B12090" s="1" t="n">
        <v>45797</v>
      </c>
      <c r="C12090" s="1" t="n">
        <v>46075</v>
      </c>
      <c r="D12090" t="inlineStr">
        <is>
          <t>VÄSTERBOTTENS LÄN</t>
        </is>
      </c>
      <c r="E12090" t="inlineStr">
        <is>
          <t>VILHELMINA</t>
        </is>
      </c>
      <c r="G12090" t="n">
        <v>27.2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24342-2025</t>
        </is>
      </c>
      <c r="B12091" s="1" t="n">
        <v>45797.57418981481</v>
      </c>
      <c r="C12091" s="1" t="n">
        <v>46075</v>
      </c>
      <c r="D12091" t="inlineStr">
        <is>
          <t>VÄSTERBOTTENS LÄN</t>
        </is>
      </c>
      <c r="E12091" t="inlineStr">
        <is>
          <t>VÄNNÄS</t>
        </is>
      </c>
      <c r="G12091" t="n">
        <v>1.9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53380-2024</t>
        </is>
      </c>
      <c r="B12092" s="1" t="n">
        <v>45614</v>
      </c>
      <c r="C12092" s="1" t="n">
        <v>46075</v>
      </c>
      <c r="D12092" t="inlineStr">
        <is>
          <t>VÄSTERBOTTENS LÄN</t>
        </is>
      </c>
      <c r="E12092" t="inlineStr">
        <is>
          <t>DOROTEA</t>
        </is>
      </c>
      <c r="G12092" t="n">
        <v>12.8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43043-2024</t>
        </is>
      </c>
      <c r="B12093" s="1" t="n">
        <v>45567</v>
      </c>
      <c r="C12093" s="1" t="n">
        <v>46075</v>
      </c>
      <c r="D12093" t="inlineStr">
        <is>
          <t>VÄSTERBOTTENS LÄN</t>
        </is>
      </c>
      <c r="E12093" t="inlineStr">
        <is>
          <t>BJURHOLM</t>
        </is>
      </c>
      <c r="G12093" t="n">
        <v>1.1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24346-2025</t>
        </is>
      </c>
      <c r="B12094" s="1" t="n">
        <v>45797.58045138889</v>
      </c>
      <c r="C12094" s="1" t="n">
        <v>46075</v>
      </c>
      <c r="D12094" t="inlineStr">
        <is>
          <t>VÄSTERBOTTENS LÄN</t>
        </is>
      </c>
      <c r="E12094" t="inlineStr">
        <is>
          <t>VÄNNÄS</t>
        </is>
      </c>
      <c r="G12094" t="n">
        <v>2.3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23935-2025</t>
        </is>
      </c>
      <c r="B12095" s="1" t="n">
        <v>45795.8047337963</v>
      </c>
      <c r="C12095" s="1" t="n">
        <v>46075</v>
      </c>
      <c r="D12095" t="inlineStr">
        <is>
          <t>VÄSTERBOTTENS LÄN</t>
        </is>
      </c>
      <c r="E12095" t="inlineStr">
        <is>
          <t>SORSELE</t>
        </is>
      </c>
      <c r="G12095" t="n">
        <v>6.5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24261-2025</t>
        </is>
      </c>
      <c r="B12096" s="1" t="n">
        <v>45797</v>
      </c>
      <c r="C12096" s="1" t="n">
        <v>46075</v>
      </c>
      <c r="D12096" t="inlineStr">
        <is>
          <t>VÄSTERBOTTENS LÄN</t>
        </is>
      </c>
      <c r="E12096" t="inlineStr">
        <is>
          <t>SKELLEFTEÅ</t>
        </is>
      </c>
      <c r="G12096" t="n">
        <v>1.2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33319-2024</t>
        </is>
      </c>
      <c r="B12097" s="1" t="n">
        <v>45518</v>
      </c>
      <c r="C12097" s="1" t="n">
        <v>46075</v>
      </c>
      <c r="D12097" t="inlineStr">
        <is>
          <t>VÄSTERBOTTENS LÄN</t>
        </is>
      </c>
      <c r="E12097" t="inlineStr">
        <is>
          <t>VILHELMINA</t>
        </is>
      </c>
      <c r="F12097" t="inlineStr">
        <is>
          <t>SCA</t>
        </is>
      </c>
      <c r="G12097" t="n">
        <v>2.2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24045-2025</t>
        </is>
      </c>
      <c r="B12098" s="1" t="n">
        <v>45796.49280092592</v>
      </c>
      <c r="C12098" s="1" t="n">
        <v>46075</v>
      </c>
      <c r="D12098" t="inlineStr">
        <is>
          <t>VÄSTERBOTTENS LÄN</t>
        </is>
      </c>
      <c r="E12098" t="inlineStr">
        <is>
          <t>NORDMALING</t>
        </is>
      </c>
      <c r="G12098" t="n">
        <v>0.8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24061-2025</t>
        </is>
      </c>
      <c r="B12099" s="1" t="n">
        <v>45796.52805555556</v>
      </c>
      <c r="C12099" s="1" t="n">
        <v>46075</v>
      </c>
      <c r="D12099" t="inlineStr">
        <is>
          <t>VÄSTERBOTTENS LÄN</t>
        </is>
      </c>
      <c r="E12099" t="inlineStr">
        <is>
          <t>SKELLEFTEÅ</t>
        </is>
      </c>
      <c r="G12099" t="n">
        <v>2.8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35760-2023</t>
        </is>
      </c>
      <c r="B12100" s="1" t="n">
        <v>45147</v>
      </c>
      <c r="C12100" s="1" t="n">
        <v>46075</v>
      </c>
      <c r="D12100" t="inlineStr">
        <is>
          <t>VÄSTERBOTTENS LÄN</t>
        </is>
      </c>
      <c r="E12100" t="inlineStr">
        <is>
          <t>VILHELMINA</t>
        </is>
      </c>
      <c r="F12100" t="inlineStr">
        <is>
          <t>SCA</t>
        </is>
      </c>
      <c r="G12100" t="n">
        <v>1.7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24063-2025</t>
        </is>
      </c>
      <c r="B12101" s="1" t="n">
        <v>45796.53043981481</v>
      </c>
      <c r="C12101" s="1" t="n">
        <v>46075</v>
      </c>
      <c r="D12101" t="inlineStr">
        <is>
          <t>VÄSTERBOTTENS LÄN</t>
        </is>
      </c>
      <c r="E12101" t="inlineStr">
        <is>
          <t>LYCKSELE</t>
        </is>
      </c>
      <c r="G12101" t="n">
        <v>9.6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24065-2025</t>
        </is>
      </c>
      <c r="B12102" s="1" t="n">
        <v>45796.5358449074</v>
      </c>
      <c r="C12102" s="1" t="n">
        <v>46075</v>
      </c>
      <c r="D12102" t="inlineStr">
        <is>
          <t>VÄSTERBOTTENS LÄN</t>
        </is>
      </c>
      <c r="E12102" t="inlineStr">
        <is>
          <t>SKELLEFTEÅ</t>
        </is>
      </c>
      <c r="G12102" t="n">
        <v>7.5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32734-2024</t>
        </is>
      </c>
      <c r="B12103" s="1" t="n">
        <v>45516.43074074074</v>
      </c>
      <c r="C12103" s="1" t="n">
        <v>46075</v>
      </c>
      <c r="D12103" t="inlineStr">
        <is>
          <t>VÄSTERBOTTENS LÄN</t>
        </is>
      </c>
      <c r="E12103" t="inlineStr">
        <is>
          <t>VINDELN</t>
        </is>
      </c>
      <c r="F12103" t="inlineStr">
        <is>
          <t>Holmen skog AB</t>
        </is>
      </c>
      <c r="G12103" t="n">
        <v>17.1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32813-2024</t>
        </is>
      </c>
      <c r="B12104" s="1" t="n">
        <v>45516.57533564815</v>
      </c>
      <c r="C12104" s="1" t="n">
        <v>46075</v>
      </c>
      <c r="D12104" t="inlineStr">
        <is>
          <t>VÄSTERBOTTENS LÄN</t>
        </is>
      </c>
      <c r="E12104" t="inlineStr">
        <is>
          <t>UMEÅ</t>
        </is>
      </c>
      <c r="G12104" t="n">
        <v>1.4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20617-2024</t>
        </is>
      </c>
      <c r="B12105" s="1" t="n">
        <v>45436</v>
      </c>
      <c r="C12105" s="1" t="n">
        <v>46075</v>
      </c>
      <c r="D12105" t="inlineStr">
        <is>
          <t>VÄSTERBOTTENS LÄN</t>
        </is>
      </c>
      <c r="E12105" t="inlineStr">
        <is>
          <t>ÅSELE</t>
        </is>
      </c>
      <c r="F12105" t="inlineStr">
        <is>
          <t>Holmen skog AB</t>
        </is>
      </c>
      <c r="G12105" t="n">
        <v>2.6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23929-2025</t>
        </is>
      </c>
      <c r="B12106" s="1" t="n">
        <v>45795.49415509259</v>
      </c>
      <c r="C12106" s="1" t="n">
        <v>46075</v>
      </c>
      <c r="D12106" t="inlineStr">
        <is>
          <t>VÄSTERBOTTENS LÄN</t>
        </is>
      </c>
      <c r="E12106" t="inlineStr">
        <is>
          <t>SORSELE</t>
        </is>
      </c>
      <c r="G12106" t="n">
        <v>6.6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23989-2025</t>
        </is>
      </c>
      <c r="B12107" s="1" t="n">
        <v>45796.40104166666</v>
      </c>
      <c r="C12107" s="1" t="n">
        <v>46075</v>
      </c>
      <c r="D12107" t="inlineStr">
        <is>
          <t>VÄSTERBOTTENS LÄN</t>
        </is>
      </c>
      <c r="E12107" t="inlineStr">
        <is>
          <t>ROBERTSFORS</t>
        </is>
      </c>
      <c r="G12107" t="n">
        <v>0.7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23961-2025</t>
        </is>
      </c>
      <c r="B12108" s="1" t="n">
        <v>45794</v>
      </c>
      <c r="C12108" s="1" t="n">
        <v>46075</v>
      </c>
      <c r="D12108" t="inlineStr">
        <is>
          <t>VÄSTERBOTTENS LÄN</t>
        </is>
      </c>
      <c r="E12108" t="inlineStr">
        <is>
          <t>ROBERTSFORS</t>
        </is>
      </c>
      <c r="G12108" t="n">
        <v>7.3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361-2024</t>
        </is>
      </c>
      <c r="B12109" s="1" t="n">
        <v>45295</v>
      </c>
      <c r="C12109" s="1" t="n">
        <v>46075</v>
      </c>
      <c r="D12109" t="inlineStr">
        <is>
          <t>VÄSTERBOTTENS LÄN</t>
        </is>
      </c>
      <c r="E12109" t="inlineStr">
        <is>
          <t>DOROTEA</t>
        </is>
      </c>
      <c r="G12109" t="n">
        <v>2.1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58278-2024</t>
        </is>
      </c>
      <c r="B12110" s="1" t="n">
        <v>45632.57494212963</v>
      </c>
      <c r="C12110" s="1" t="n">
        <v>46075</v>
      </c>
      <c r="D12110" t="inlineStr">
        <is>
          <t>VÄSTERBOTTENS LÄN</t>
        </is>
      </c>
      <c r="E12110" t="inlineStr">
        <is>
          <t>UMEÅ</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25062-2025</t>
        </is>
      </c>
      <c r="B12111" s="1" t="n">
        <v>45799.69844907407</v>
      </c>
      <c r="C12111" s="1" t="n">
        <v>46075</v>
      </c>
      <c r="D12111" t="inlineStr">
        <is>
          <t>VÄSTERBOTTENS LÄN</t>
        </is>
      </c>
      <c r="E12111" t="inlineStr">
        <is>
          <t>VILHELMINA</t>
        </is>
      </c>
      <c r="F12111" t="inlineStr">
        <is>
          <t>SCA</t>
        </is>
      </c>
      <c r="G12111" t="n">
        <v>4.7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24676-2025</t>
        </is>
      </c>
      <c r="B12112" s="1" t="n">
        <v>45798.65332175926</v>
      </c>
      <c r="C12112" s="1" t="n">
        <v>46075</v>
      </c>
      <c r="D12112" t="inlineStr">
        <is>
          <t>VÄSTERBOTTENS LÄN</t>
        </is>
      </c>
      <c r="E12112" t="inlineStr">
        <is>
          <t>NORSJÖ</t>
        </is>
      </c>
      <c r="G12112" t="n">
        <v>4.2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24679-2025</t>
        </is>
      </c>
      <c r="B12113" s="1" t="n">
        <v>45798</v>
      </c>
      <c r="C12113" s="1" t="n">
        <v>46075</v>
      </c>
      <c r="D12113" t="inlineStr">
        <is>
          <t>VÄSTERBOTTENS LÄN</t>
        </is>
      </c>
      <c r="E12113" t="inlineStr">
        <is>
          <t>LYCKSELE</t>
        </is>
      </c>
      <c r="G12113" t="n">
        <v>0.7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24705-2025</t>
        </is>
      </c>
      <c r="B12114" s="1" t="n">
        <v>45798</v>
      </c>
      <c r="C12114" s="1" t="n">
        <v>46075</v>
      </c>
      <c r="D12114" t="inlineStr">
        <is>
          <t>VÄSTERBOTTENS LÄN</t>
        </is>
      </c>
      <c r="E12114" t="inlineStr">
        <is>
          <t>ROBERTSFORS</t>
        </is>
      </c>
      <c r="G12114" t="n">
        <v>0.8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24762-2025</t>
        </is>
      </c>
      <c r="B12115" s="1" t="n">
        <v>45799.38585648148</v>
      </c>
      <c r="C12115" s="1" t="n">
        <v>46075</v>
      </c>
      <c r="D12115" t="inlineStr">
        <is>
          <t>VÄSTERBOTTENS LÄN</t>
        </is>
      </c>
      <c r="E12115" t="inlineStr">
        <is>
          <t>ÅSELE</t>
        </is>
      </c>
      <c r="F12115" t="inlineStr">
        <is>
          <t>SCA</t>
        </is>
      </c>
      <c r="G12115" t="n">
        <v>12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24569-2025</t>
        </is>
      </c>
      <c r="B12116" s="1" t="n">
        <v>45798.46928240741</v>
      </c>
      <c r="C12116" s="1" t="n">
        <v>46075</v>
      </c>
      <c r="D12116" t="inlineStr">
        <is>
          <t>VÄSTERBOTTENS LÄN</t>
        </is>
      </c>
      <c r="E12116" t="inlineStr">
        <is>
          <t>SKELLEFTEÅ</t>
        </is>
      </c>
      <c r="G12116" t="n">
        <v>20.9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18168-2025</t>
        </is>
      </c>
      <c r="B12117" s="1" t="n">
        <v>45761.6440625</v>
      </c>
      <c r="C12117" s="1" t="n">
        <v>46075</v>
      </c>
      <c r="D12117" t="inlineStr">
        <is>
          <t>VÄSTERBOTTENS LÄN</t>
        </is>
      </c>
      <c r="E12117" t="inlineStr">
        <is>
          <t>ROBERTSFORS</t>
        </is>
      </c>
      <c r="G12117" t="n">
        <v>0.7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24930-2025</t>
        </is>
      </c>
      <c r="B12118" s="1" t="n">
        <v>45799.55508101852</v>
      </c>
      <c r="C12118" s="1" t="n">
        <v>46075</v>
      </c>
      <c r="D12118" t="inlineStr">
        <is>
          <t>VÄSTERBOTTENS LÄN</t>
        </is>
      </c>
      <c r="E12118" t="inlineStr">
        <is>
          <t>NORSJÖ</t>
        </is>
      </c>
      <c r="G12118" t="n">
        <v>1.7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44968-2024</t>
        </is>
      </c>
      <c r="B12119" s="1" t="n">
        <v>45575.45949074074</v>
      </c>
      <c r="C12119" s="1" t="n">
        <v>46075</v>
      </c>
      <c r="D12119" t="inlineStr">
        <is>
          <t>VÄSTERBOTTENS LÄN</t>
        </is>
      </c>
      <c r="E12119" t="inlineStr">
        <is>
          <t>SKELLEFTEÅ</t>
        </is>
      </c>
      <c r="G12119" t="n">
        <v>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6402-2025</t>
        </is>
      </c>
      <c r="B12120" s="1" t="n">
        <v>45699.44813657407</v>
      </c>
      <c r="C12120" s="1" t="n">
        <v>46075</v>
      </c>
      <c r="D12120" t="inlineStr">
        <is>
          <t>VÄSTERBOTTENS LÄN</t>
        </is>
      </c>
      <c r="E12120" t="inlineStr">
        <is>
          <t>NORDMALING</t>
        </is>
      </c>
      <c r="G12120" t="n">
        <v>7.4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24511-2025</t>
        </is>
      </c>
      <c r="B12121" s="1" t="n">
        <v>45798.40518518518</v>
      </c>
      <c r="C12121" s="1" t="n">
        <v>46075</v>
      </c>
      <c r="D12121" t="inlineStr">
        <is>
          <t>VÄSTERBOTTENS LÄN</t>
        </is>
      </c>
      <c r="E12121" t="inlineStr">
        <is>
          <t>LYCKSELE</t>
        </is>
      </c>
      <c r="F12121" t="inlineStr">
        <is>
          <t>Sveaskog</t>
        </is>
      </c>
      <c r="G12121" t="n">
        <v>29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24514-2025</t>
        </is>
      </c>
      <c r="B12122" s="1" t="n">
        <v>45798.40986111111</v>
      </c>
      <c r="C12122" s="1" t="n">
        <v>46075</v>
      </c>
      <c r="D12122" t="inlineStr">
        <is>
          <t>VÄSTERBOTTENS LÄN</t>
        </is>
      </c>
      <c r="E12122" t="inlineStr">
        <is>
          <t>LYCKSELE</t>
        </is>
      </c>
      <c r="F12122" t="inlineStr">
        <is>
          <t>Sveaskog</t>
        </is>
      </c>
      <c r="G12122" t="n">
        <v>8.300000000000001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25046-2025</t>
        </is>
      </c>
      <c r="B12123" s="1" t="n">
        <v>45799.6671412037</v>
      </c>
      <c r="C12123" s="1" t="n">
        <v>46075</v>
      </c>
      <c r="D12123" t="inlineStr">
        <is>
          <t>VÄSTERBOTTENS LÄN</t>
        </is>
      </c>
      <c r="E12123" t="inlineStr">
        <is>
          <t>SKELLEFTEÅ</t>
        </is>
      </c>
      <c r="G12123" t="n">
        <v>2.5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25018-2025</t>
        </is>
      </c>
      <c r="B12124" s="1" t="n">
        <v>45799.6438425926</v>
      </c>
      <c r="C12124" s="1" t="n">
        <v>46075</v>
      </c>
      <c r="D12124" t="inlineStr">
        <is>
          <t>VÄSTERBOTTENS LÄN</t>
        </is>
      </c>
      <c r="E12124" t="inlineStr">
        <is>
          <t>NORDMALING</t>
        </is>
      </c>
      <c r="G12124" t="n">
        <v>2.7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24595-2025</t>
        </is>
      </c>
      <c r="B12125" s="1" t="n">
        <v>45798</v>
      </c>
      <c r="C12125" s="1" t="n">
        <v>46075</v>
      </c>
      <c r="D12125" t="inlineStr">
        <is>
          <t>VÄSTERBOTTENS LÄN</t>
        </is>
      </c>
      <c r="E12125" t="inlineStr">
        <is>
          <t>UMEÅ</t>
        </is>
      </c>
      <c r="F12125" t="inlineStr">
        <is>
          <t>Holmen skog AB</t>
        </is>
      </c>
      <c r="G12125" t="n">
        <v>4.3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56332-2023</t>
        </is>
      </c>
      <c r="B12126" s="1" t="n">
        <v>45243.34</v>
      </c>
      <c r="C12126" s="1" t="n">
        <v>46075</v>
      </c>
      <c r="D12126" t="inlineStr">
        <is>
          <t>VÄSTERBOTTENS LÄN</t>
        </is>
      </c>
      <c r="E12126" t="inlineStr">
        <is>
          <t>UMEÅ</t>
        </is>
      </c>
      <c r="G12126" t="n">
        <v>1.7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24770-2025</t>
        </is>
      </c>
      <c r="B12127" s="1" t="n">
        <v>45799.39927083333</v>
      </c>
      <c r="C12127" s="1" t="n">
        <v>46075</v>
      </c>
      <c r="D12127" t="inlineStr">
        <is>
          <t>VÄSTERBOTTENS LÄN</t>
        </is>
      </c>
      <c r="E12127" t="inlineStr">
        <is>
          <t>LYCKSELE</t>
        </is>
      </c>
      <c r="F12127" t="inlineStr">
        <is>
          <t>Holmen skog AB</t>
        </is>
      </c>
      <c r="G12127" t="n">
        <v>8.5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25061-2025</t>
        </is>
      </c>
      <c r="B12128" s="1" t="n">
        <v>45799.69825231482</v>
      </c>
      <c r="C12128" s="1" t="n">
        <v>46075</v>
      </c>
      <c r="D12128" t="inlineStr">
        <is>
          <t>VÄSTERBOTTENS LÄN</t>
        </is>
      </c>
      <c r="E12128" t="inlineStr">
        <is>
          <t>LYCKSELE</t>
        </is>
      </c>
      <c r="F12128" t="inlineStr">
        <is>
          <t>SCA</t>
        </is>
      </c>
      <c r="G12128" t="n">
        <v>13.7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24924-2025</t>
        </is>
      </c>
      <c r="B12129" s="1" t="n">
        <v>45799.55288194444</v>
      </c>
      <c r="C12129" s="1" t="n">
        <v>46075</v>
      </c>
      <c r="D12129" t="inlineStr">
        <is>
          <t>VÄSTERBOTTENS LÄN</t>
        </is>
      </c>
      <c r="E12129" t="inlineStr">
        <is>
          <t>MALÅ</t>
        </is>
      </c>
      <c r="G12129" t="n">
        <v>5.8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24951-2025</t>
        </is>
      </c>
      <c r="B12130" s="1" t="n">
        <v>45799.56951388889</v>
      </c>
      <c r="C12130" s="1" t="n">
        <v>46075</v>
      </c>
      <c r="D12130" t="inlineStr">
        <is>
          <t>VÄSTERBOTTENS LÄN</t>
        </is>
      </c>
      <c r="E12130" t="inlineStr">
        <is>
          <t>LYCKSELE</t>
        </is>
      </c>
      <c r="G12130" t="n">
        <v>2.8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36215-2023</t>
        </is>
      </c>
      <c r="B12131" s="1" t="n">
        <v>45149.95266203704</v>
      </c>
      <c r="C12131" s="1" t="n">
        <v>46075</v>
      </c>
      <c r="D12131" t="inlineStr">
        <is>
          <t>VÄSTERBOTTENS LÄN</t>
        </is>
      </c>
      <c r="E12131" t="inlineStr">
        <is>
          <t>VILHELMINA</t>
        </is>
      </c>
      <c r="F12131" t="inlineStr">
        <is>
          <t>SCA</t>
        </is>
      </c>
      <c r="G12131" t="n">
        <v>1.9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24728-2025</t>
        </is>
      </c>
      <c r="B12132" s="1" t="n">
        <v>45799</v>
      </c>
      <c r="C12132" s="1" t="n">
        <v>46075</v>
      </c>
      <c r="D12132" t="inlineStr">
        <is>
          <t>VÄSTERBOTTENS LÄN</t>
        </is>
      </c>
      <c r="E12132" t="inlineStr">
        <is>
          <t>SKELLEFTEÅ</t>
        </is>
      </c>
      <c r="G12132" t="n">
        <v>0.9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24729-2025</t>
        </is>
      </c>
      <c r="B12133" s="1" t="n">
        <v>45799.34076388889</v>
      </c>
      <c r="C12133" s="1" t="n">
        <v>46075</v>
      </c>
      <c r="D12133" t="inlineStr">
        <is>
          <t>VÄSTERBOTTENS LÄN</t>
        </is>
      </c>
      <c r="E12133" t="inlineStr">
        <is>
          <t>LYCKSELE</t>
        </is>
      </c>
      <c r="F12133" t="inlineStr">
        <is>
          <t>Holmen skog AB</t>
        </is>
      </c>
      <c r="G12133" t="n">
        <v>4.8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24756-2025</t>
        </is>
      </c>
      <c r="B12134" s="1" t="n">
        <v>45799.37510416667</v>
      </c>
      <c r="C12134" s="1" t="n">
        <v>46075</v>
      </c>
      <c r="D12134" t="inlineStr">
        <is>
          <t>VÄSTERBOTTENS LÄN</t>
        </is>
      </c>
      <c r="E12134" t="inlineStr">
        <is>
          <t>VÄNNÄS</t>
        </is>
      </c>
      <c r="G12134" t="n">
        <v>3.8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24846-2025</t>
        </is>
      </c>
      <c r="B12135" s="1" t="n">
        <v>45799.46851851852</v>
      </c>
      <c r="C12135" s="1" t="n">
        <v>46075</v>
      </c>
      <c r="D12135" t="inlineStr">
        <is>
          <t>VÄSTERBOTTENS LÄN</t>
        </is>
      </c>
      <c r="E12135" t="inlineStr">
        <is>
          <t>VÄNNÄS</t>
        </is>
      </c>
      <c r="G12135" t="n">
        <v>2.8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24518-2025</t>
        </is>
      </c>
      <c r="B12136" s="1" t="n">
        <v>45798.41498842592</v>
      </c>
      <c r="C12136" s="1" t="n">
        <v>46075</v>
      </c>
      <c r="D12136" t="inlineStr">
        <is>
          <t>VÄSTERBOTTENS LÄN</t>
        </is>
      </c>
      <c r="E12136" t="inlineStr">
        <is>
          <t>LYCKSELE</t>
        </is>
      </c>
      <c r="F12136" t="inlineStr">
        <is>
          <t>Sveaskog</t>
        </is>
      </c>
      <c r="G12136" t="n">
        <v>29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47797-2021</t>
        </is>
      </c>
      <c r="B12137" s="1" t="n">
        <v>44448</v>
      </c>
      <c r="C12137" s="1" t="n">
        <v>46075</v>
      </c>
      <c r="D12137" t="inlineStr">
        <is>
          <t>VÄSTERBOTTENS LÄN</t>
        </is>
      </c>
      <c r="E12137" t="inlineStr">
        <is>
          <t>MALÅ</t>
        </is>
      </c>
      <c r="F12137" t="inlineStr">
        <is>
          <t>Sveaskog</t>
        </is>
      </c>
      <c r="G12137" t="n">
        <v>6.3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24785-2025</t>
        </is>
      </c>
      <c r="B12138" s="1" t="n">
        <v>45799</v>
      </c>
      <c r="C12138" s="1" t="n">
        <v>46075</v>
      </c>
      <c r="D12138" t="inlineStr">
        <is>
          <t>VÄSTERBOTTENS LÄN</t>
        </is>
      </c>
      <c r="E12138" t="inlineStr">
        <is>
          <t>DOROTEA</t>
        </is>
      </c>
      <c r="F12138" t="inlineStr">
        <is>
          <t>SCA</t>
        </is>
      </c>
      <c r="G12138" t="n">
        <v>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24805-2025</t>
        </is>
      </c>
      <c r="B12139" s="1" t="n">
        <v>45799.4409375</v>
      </c>
      <c r="C12139" s="1" t="n">
        <v>46075</v>
      </c>
      <c r="D12139" t="inlineStr">
        <is>
          <t>VÄSTERBOTTENS LÄN</t>
        </is>
      </c>
      <c r="E12139" t="inlineStr">
        <is>
          <t>VÄNNÄS</t>
        </is>
      </c>
      <c r="G12139" t="n">
        <v>1.4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24932-2025</t>
        </is>
      </c>
      <c r="B12140" s="1" t="n">
        <v>45799.55607638889</v>
      </c>
      <c r="C12140" s="1" t="n">
        <v>46075</v>
      </c>
      <c r="D12140" t="inlineStr">
        <is>
          <t>VÄSTERBOTTENS LÄN</t>
        </is>
      </c>
      <c r="E12140" t="inlineStr">
        <is>
          <t>NORSJÖ</t>
        </is>
      </c>
      <c r="G12140" t="n">
        <v>0.7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24603-2025</t>
        </is>
      </c>
      <c r="B12141" s="1" t="n">
        <v>45798.57329861111</v>
      </c>
      <c r="C12141" s="1" t="n">
        <v>46075</v>
      </c>
      <c r="D12141" t="inlineStr">
        <is>
          <t>VÄSTERBOTTENS LÄN</t>
        </is>
      </c>
      <c r="E12141" t="inlineStr">
        <is>
          <t>LYCKSELE</t>
        </is>
      </c>
      <c r="F12141" t="inlineStr">
        <is>
          <t>SCA</t>
        </is>
      </c>
      <c r="G12141" t="n">
        <v>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24780-2025</t>
        </is>
      </c>
      <c r="B12142" s="1" t="n">
        <v>45799</v>
      </c>
      <c r="C12142" s="1" t="n">
        <v>46075</v>
      </c>
      <c r="D12142" t="inlineStr">
        <is>
          <t>VÄSTERBOTTENS LÄN</t>
        </is>
      </c>
      <c r="E12142" t="inlineStr">
        <is>
          <t>UMEÅ</t>
        </is>
      </c>
      <c r="F12142" t="inlineStr">
        <is>
          <t>Holmen skog AB</t>
        </is>
      </c>
      <c r="G12142" t="n">
        <v>2.5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24812-2025</t>
        </is>
      </c>
      <c r="B12143" s="1" t="n">
        <v>45799.44790509259</v>
      </c>
      <c r="C12143" s="1" t="n">
        <v>46075</v>
      </c>
      <c r="D12143" t="inlineStr">
        <is>
          <t>VÄSTERBOTTENS LÄN</t>
        </is>
      </c>
      <c r="E12143" t="inlineStr">
        <is>
          <t>VÄNNÄS</t>
        </is>
      </c>
      <c r="G12143" t="n">
        <v>2.6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24871-2025</t>
        </is>
      </c>
      <c r="B12144" s="1" t="n">
        <v>45799.49028935185</v>
      </c>
      <c r="C12144" s="1" t="n">
        <v>46075</v>
      </c>
      <c r="D12144" t="inlineStr">
        <is>
          <t>VÄSTERBOTTENS LÄN</t>
        </is>
      </c>
      <c r="E12144" t="inlineStr">
        <is>
          <t>VILHELMINA</t>
        </is>
      </c>
      <c r="F12144" t="inlineStr">
        <is>
          <t>SCA</t>
        </is>
      </c>
      <c r="G12144" t="n">
        <v>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12842-2025</t>
        </is>
      </c>
      <c r="B12145" s="1" t="n">
        <v>45733.64532407407</v>
      </c>
      <c r="C12145" s="1" t="n">
        <v>46075</v>
      </c>
      <c r="D12145" t="inlineStr">
        <is>
          <t>VÄSTERBOTTENS LÄN</t>
        </is>
      </c>
      <c r="E12145" t="inlineStr">
        <is>
          <t>SKELLEFTEÅ</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24925-2025</t>
        </is>
      </c>
      <c r="B12146" s="1" t="n">
        <v>45799.55289351852</v>
      </c>
      <c r="C12146" s="1" t="n">
        <v>46075</v>
      </c>
      <c r="D12146" t="inlineStr">
        <is>
          <t>VÄSTERBOTTENS LÄN</t>
        </is>
      </c>
      <c r="E12146" t="inlineStr">
        <is>
          <t>MALÅ</t>
        </is>
      </c>
      <c r="G12146" t="n">
        <v>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24935-2025</t>
        </is>
      </c>
      <c r="B12147" s="1" t="n">
        <v>45799.55739583333</v>
      </c>
      <c r="C12147" s="1" t="n">
        <v>46075</v>
      </c>
      <c r="D12147" t="inlineStr">
        <is>
          <t>VÄSTERBOTTENS LÄN</t>
        </is>
      </c>
      <c r="E12147" t="inlineStr">
        <is>
          <t>NORSJÖ</t>
        </is>
      </c>
      <c r="G12147" t="n">
        <v>5.1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24792-2025</t>
        </is>
      </c>
      <c r="B12148" s="1" t="n">
        <v>45799</v>
      </c>
      <c r="C12148" s="1" t="n">
        <v>46075</v>
      </c>
      <c r="D12148" t="inlineStr">
        <is>
          <t>VÄSTERBOTTENS LÄN</t>
        </is>
      </c>
      <c r="E12148" t="inlineStr">
        <is>
          <t>VÄNNÄS</t>
        </is>
      </c>
      <c r="G12148" t="n">
        <v>1.9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25043-2025</t>
        </is>
      </c>
      <c r="B12149" s="1" t="n">
        <v>45799.66578703704</v>
      </c>
      <c r="C12149" s="1" t="n">
        <v>46075</v>
      </c>
      <c r="D12149" t="inlineStr">
        <is>
          <t>VÄSTERBOTTENS LÄN</t>
        </is>
      </c>
      <c r="E12149" t="inlineStr">
        <is>
          <t>NORDMALING</t>
        </is>
      </c>
      <c r="G12149" t="n">
        <v>2.1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24858-2025</t>
        </is>
      </c>
      <c r="B12150" s="1" t="n">
        <v>45799.47877314815</v>
      </c>
      <c r="C12150" s="1" t="n">
        <v>46075</v>
      </c>
      <c r="D12150" t="inlineStr">
        <is>
          <t>VÄSTERBOTTENS LÄN</t>
        </is>
      </c>
      <c r="E12150" t="inlineStr">
        <is>
          <t>SKELLEFTEÅ</t>
        </is>
      </c>
      <c r="F12150" t="inlineStr">
        <is>
          <t>Holmen skog AB</t>
        </is>
      </c>
      <c r="G12150" t="n">
        <v>2.1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24868-2025</t>
        </is>
      </c>
      <c r="B12151" s="1" t="n">
        <v>45799.48819444444</v>
      </c>
      <c r="C12151" s="1" t="n">
        <v>46075</v>
      </c>
      <c r="D12151" t="inlineStr">
        <is>
          <t>VÄSTERBOTTENS LÄN</t>
        </is>
      </c>
      <c r="E12151" t="inlineStr">
        <is>
          <t>VÄNNÄS</t>
        </is>
      </c>
      <c r="G12151" t="n">
        <v>1.8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54893-2023</t>
        </is>
      </c>
      <c r="B12152" s="1" t="n">
        <v>45236.63934027778</v>
      </c>
      <c r="C12152" s="1" t="n">
        <v>46075</v>
      </c>
      <c r="D12152" t="inlineStr">
        <is>
          <t>VÄSTERBOTTENS LÄN</t>
        </is>
      </c>
      <c r="E12152" t="inlineStr">
        <is>
          <t>LYCKSELE</t>
        </is>
      </c>
      <c r="F12152" t="inlineStr">
        <is>
          <t>Sveaskog</t>
        </is>
      </c>
      <c r="G12152" t="n">
        <v>6.5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24906-2025</t>
        </is>
      </c>
      <c r="B12153" s="1" t="n">
        <v>45799.5315162037</v>
      </c>
      <c r="C12153" s="1" t="n">
        <v>46075</v>
      </c>
      <c r="D12153" t="inlineStr">
        <is>
          <t>VÄSTERBOTTENS LÄN</t>
        </is>
      </c>
      <c r="E12153" t="inlineStr">
        <is>
          <t>LYCKSELE</t>
        </is>
      </c>
      <c r="G12153" t="n">
        <v>1.4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24680-2025</t>
        </is>
      </c>
      <c r="B12154" s="1" t="n">
        <v>45798</v>
      </c>
      <c r="C12154" s="1" t="n">
        <v>46075</v>
      </c>
      <c r="D12154" t="inlineStr">
        <is>
          <t>VÄSTERBOTTENS LÄN</t>
        </is>
      </c>
      <c r="E12154" t="inlineStr">
        <is>
          <t>LYCKSELE</t>
        </is>
      </c>
      <c r="G12154" t="n">
        <v>0.8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24829-2025</t>
        </is>
      </c>
      <c r="B12155" s="1" t="n">
        <v>45799.45777777778</v>
      </c>
      <c r="C12155" s="1" t="n">
        <v>46075</v>
      </c>
      <c r="D12155" t="inlineStr">
        <is>
          <t>VÄSTERBOTTENS LÄN</t>
        </is>
      </c>
      <c r="E12155" t="inlineStr">
        <is>
          <t>SKELLEFTEÅ</t>
        </is>
      </c>
      <c r="F12155" t="inlineStr">
        <is>
          <t>Holmen skog AB</t>
        </is>
      </c>
      <c r="G12155" t="n">
        <v>0.8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24856-2025</t>
        </is>
      </c>
      <c r="B12156" s="1" t="n">
        <v>45799.47508101852</v>
      </c>
      <c r="C12156" s="1" t="n">
        <v>46075</v>
      </c>
      <c r="D12156" t="inlineStr">
        <is>
          <t>VÄSTERBOTTENS LÄN</t>
        </is>
      </c>
      <c r="E12156" t="inlineStr">
        <is>
          <t>VÄNNÄS</t>
        </is>
      </c>
      <c r="G12156" t="n">
        <v>1.6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24870-2025</t>
        </is>
      </c>
      <c r="B12157" s="1" t="n">
        <v>45799.49025462963</v>
      </c>
      <c r="C12157" s="1" t="n">
        <v>46075</v>
      </c>
      <c r="D12157" t="inlineStr">
        <is>
          <t>VÄSTERBOTTENS LÄN</t>
        </is>
      </c>
      <c r="E12157" t="inlineStr">
        <is>
          <t>VILHELMINA</t>
        </is>
      </c>
      <c r="F12157" t="inlineStr">
        <is>
          <t>SCA</t>
        </is>
      </c>
      <c r="G12157" t="n">
        <v>3.3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24873-2025</t>
        </is>
      </c>
      <c r="B12158" s="1" t="n">
        <v>45799</v>
      </c>
      <c r="C12158" s="1" t="n">
        <v>46075</v>
      </c>
      <c r="D12158" t="inlineStr">
        <is>
          <t>VÄSTERBOTTENS LÄN</t>
        </is>
      </c>
      <c r="E12158" t="inlineStr">
        <is>
          <t>DOROTEA</t>
        </is>
      </c>
      <c r="F12158" t="inlineStr">
        <is>
          <t>SCA</t>
        </is>
      </c>
      <c r="G12158" t="n">
        <v>5.5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24891-2025</t>
        </is>
      </c>
      <c r="B12159" s="1" t="n">
        <v>45799.51130787037</v>
      </c>
      <c r="C12159" s="1" t="n">
        <v>46075</v>
      </c>
      <c r="D12159" t="inlineStr">
        <is>
          <t>VÄSTERBOTTENS LÄN</t>
        </is>
      </c>
      <c r="E12159" t="inlineStr">
        <is>
          <t>NORSJÖ</t>
        </is>
      </c>
      <c r="G12159" t="n">
        <v>3.8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24633-2025</t>
        </is>
      </c>
      <c r="B12160" s="1" t="n">
        <v>45798.60709490741</v>
      </c>
      <c r="C12160" s="1" t="n">
        <v>46075</v>
      </c>
      <c r="D12160" t="inlineStr">
        <is>
          <t>VÄSTERBOTTENS LÄN</t>
        </is>
      </c>
      <c r="E12160" t="inlineStr">
        <is>
          <t>VINDELN</t>
        </is>
      </c>
      <c r="G12160" t="n">
        <v>8.5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24540-2025</t>
        </is>
      </c>
      <c r="B12161" s="1" t="n">
        <v>45798.44232638889</v>
      </c>
      <c r="C12161" s="1" t="n">
        <v>46075</v>
      </c>
      <c r="D12161" t="inlineStr">
        <is>
          <t>VÄSTERBOTTENS LÄN</t>
        </is>
      </c>
      <c r="E12161" t="inlineStr">
        <is>
          <t>UMEÅ</t>
        </is>
      </c>
      <c r="G12161" t="n">
        <v>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24744-2025</t>
        </is>
      </c>
      <c r="B12162" s="1" t="n">
        <v>45799</v>
      </c>
      <c r="C12162" s="1" t="n">
        <v>46075</v>
      </c>
      <c r="D12162" t="inlineStr">
        <is>
          <t>VÄSTERBOTTENS LÄN</t>
        </is>
      </c>
      <c r="E12162" t="inlineStr">
        <is>
          <t>ÅSELE</t>
        </is>
      </c>
      <c r="F12162" t="inlineStr">
        <is>
          <t>SCA</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24654-2025</t>
        </is>
      </c>
      <c r="B12163" s="1" t="n">
        <v>45798</v>
      </c>
      <c r="C12163" s="1" t="n">
        <v>46075</v>
      </c>
      <c r="D12163" t="inlineStr">
        <is>
          <t>VÄSTERBOTTENS LÄN</t>
        </is>
      </c>
      <c r="E12163" t="inlineStr">
        <is>
          <t>ÅSELE</t>
        </is>
      </c>
      <c r="G12163" t="n">
        <v>2.4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24681-2025</t>
        </is>
      </c>
      <c r="B12164" s="1" t="n">
        <v>45798</v>
      </c>
      <c r="C12164" s="1" t="n">
        <v>46075</v>
      </c>
      <c r="D12164" t="inlineStr">
        <is>
          <t>VÄSTERBOTTENS LÄN</t>
        </is>
      </c>
      <c r="E12164" t="inlineStr">
        <is>
          <t>MALÅ</t>
        </is>
      </c>
      <c r="G12164" t="n">
        <v>1.9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24727-2025</t>
        </is>
      </c>
      <c r="B12165" s="1" t="n">
        <v>45799.33260416667</v>
      </c>
      <c r="C12165" s="1" t="n">
        <v>46075</v>
      </c>
      <c r="D12165" t="inlineStr">
        <is>
          <t>VÄSTERBOTTENS LÄN</t>
        </is>
      </c>
      <c r="E12165" t="inlineStr">
        <is>
          <t>SKELLEFTEÅ</t>
        </is>
      </c>
      <c r="G12165" t="n">
        <v>1.2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24509-2025</t>
        </is>
      </c>
      <c r="B12166" s="1" t="n">
        <v>45798.40288194444</v>
      </c>
      <c r="C12166" s="1" t="n">
        <v>46075</v>
      </c>
      <c r="D12166" t="inlineStr">
        <is>
          <t>VÄSTERBOTTENS LÄN</t>
        </is>
      </c>
      <c r="E12166" t="inlineStr">
        <is>
          <t>LYCKSELE</t>
        </is>
      </c>
      <c r="F12166" t="inlineStr">
        <is>
          <t>Sveaskog</t>
        </is>
      </c>
      <c r="G12166" t="n">
        <v>29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25373-2025</t>
        </is>
      </c>
      <c r="B12167" s="1" t="n">
        <v>45800.63518518519</v>
      </c>
      <c r="C12167" s="1" t="n">
        <v>46075</v>
      </c>
      <c r="D12167" t="inlineStr">
        <is>
          <t>VÄSTERBOTTENS LÄN</t>
        </is>
      </c>
      <c r="E12167" t="inlineStr">
        <is>
          <t>ROBERTSFORS</t>
        </is>
      </c>
      <c r="G12167" t="n">
        <v>1.6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25394-2025</t>
        </is>
      </c>
      <c r="B12168" s="1" t="n">
        <v>45800.64912037037</v>
      </c>
      <c r="C12168" s="1" t="n">
        <v>46075</v>
      </c>
      <c r="D12168" t="inlineStr">
        <is>
          <t>VÄSTERBOTTENS LÄN</t>
        </is>
      </c>
      <c r="E12168" t="inlineStr">
        <is>
          <t>ÅSELE</t>
        </is>
      </c>
      <c r="F12168" t="inlineStr">
        <is>
          <t>Sveaskog</t>
        </is>
      </c>
      <c r="G12168" t="n">
        <v>10.9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40676-2024</t>
        </is>
      </c>
      <c r="B12169" s="1" t="n">
        <v>45558.36774305555</v>
      </c>
      <c r="C12169" s="1" t="n">
        <v>46075</v>
      </c>
      <c r="D12169" t="inlineStr">
        <is>
          <t>VÄSTERBOTTENS LÄN</t>
        </is>
      </c>
      <c r="E12169" t="inlineStr">
        <is>
          <t>STORUMAN</t>
        </is>
      </c>
      <c r="F12169" t="inlineStr">
        <is>
          <t>Holmen skog AB</t>
        </is>
      </c>
      <c r="G12169" t="n">
        <v>0.8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43080-2024</t>
        </is>
      </c>
      <c r="B12170" s="1" t="n">
        <v>45567.50909722222</v>
      </c>
      <c r="C12170" s="1" t="n">
        <v>46075</v>
      </c>
      <c r="D12170" t="inlineStr">
        <is>
          <t>VÄSTERBOTTENS LÄN</t>
        </is>
      </c>
      <c r="E12170" t="inlineStr">
        <is>
          <t>VINDELN</t>
        </is>
      </c>
      <c r="G12170" t="n">
        <v>0.9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25618-2025</t>
        </is>
      </c>
      <c r="B12171" s="1" t="n">
        <v>45803.57362268519</v>
      </c>
      <c r="C12171" s="1" t="n">
        <v>46075</v>
      </c>
      <c r="D12171" t="inlineStr">
        <is>
          <t>VÄSTERBOTTENS LÄN</t>
        </is>
      </c>
      <c r="E12171" t="inlineStr">
        <is>
          <t>LYCKSELE</t>
        </is>
      </c>
      <c r="F12171" t="inlineStr">
        <is>
          <t>SCA</t>
        </is>
      </c>
      <c r="G12171" t="n">
        <v>5.1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25688-2025</t>
        </is>
      </c>
      <c r="B12172" s="1" t="n">
        <v>45800</v>
      </c>
      <c r="C12172" s="1" t="n">
        <v>46075</v>
      </c>
      <c r="D12172" t="inlineStr">
        <is>
          <t>VÄSTERBOTTENS LÄN</t>
        </is>
      </c>
      <c r="E12172" t="inlineStr">
        <is>
          <t>SKELLEFTEÅ</t>
        </is>
      </c>
      <c r="G12172" t="n">
        <v>0.8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25616-2025</t>
        </is>
      </c>
      <c r="B12173" s="1" t="n">
        <v>45803.56601851852</v>
      </c>
      <c r="C12173" s="1" t="n">
        <v>46075</v>
      </c>
      <c r="D12173" t="inlineStr">
        <is>
          <t>VÄSTERBOTTENS LÄN</t>
        </is>
      </c>
      <c r="E12173" t="inlineStr">
        <is>
          <t>LYCKSELE</t>
        </is>
      </c>
      <c r="F12173" t="inlineStr">
        <is>
          <t>Sveaskog</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25617-2025</t>
        </is>
      </c>
      <c r="B12174" s="1" t="n">
        <v>45803.5733912037</v>
      </c>
      <c r="C12174" s="1" t="n">
        <v>46075</v>
      </c>
      <c r="D12174" t="inlineStr">
        <is>
          <t>VÄSTERBOTTENS LÄN</t>
        </is>
      </c>
      <c r="E12174" t="inlineStr">
        <is>
          <t>DOROTEA</t>
        </is>
      </c>
      <c r="F12174" t="inlineStr">
        <is>
          <t>SCA</t>
        </is>
      </c>
      <c r="G12174" t="n">
        <v>4.5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25676-2025</t>
        </is>
      </c>
      <c r="B12175" s="1" t="n">
        <v>45803.63585648148</v>
      </c>
      <c r="C12175" s="1" t="n">
        <v>46075</v>
      </c>
      <c r="D12175" t="inlineStr">
        <is>
          <t>VÄSTERBOTTENS LÄN</t>
        </is>
      </c>
      <c r="E12175" t="inlineStr">
        <is>
          <t>DOROTEA</t>
        </is>
      </c>
      <c r="F12175" t="inlineStr">
        <is>
          <t>SCA</t>
        </is>
      </c>
      <c r="G12175" t="n">
        <v>2.5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25657-2025</t>
        </is>
      </c>
      <c r="B12176" s="1" t="n">
        <v>45803.61543981481</v>
      </c>
      <c r="C12176" s="1" t="n">
        <v>46075</v>
      </c>
      <c r="D12176" t="inlineStr">
        <is>
          <t>VÄSTERBOTTENS LÄN</t>
        </is>
      </c>
      <c r="E12176" t="inlineStr">
        <is>
          <t>NORSJÖ</t>
        </is>
      </c>
      <c r="G12176" t="n">
        <v>1.4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60134-2024</t>
        </is>
      </c>
      <c r="B12177" s="1" t="n">
        <v>45642.60092592592</v>
      </c>
      <c r="C12177" s="1" t="n">
        <v>46075</v>
      </c>
      <c r="D12177" t="inlineStr">
        <is>
          <t>VÄSTERBOTTENS LÄN</t>
        </is>
      </c>
      <c r="E12177" t="inlineStr">
        <is>
          <t>SKELLEFTEÅ</t>
        </is>
      </c>
      <c r="G12177" t="n">
        <v>1.7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25523-2025</t>
        </is>
      </c>
      <c r="B12178" s="1" t="n">
        <v>45803.38633101852</v>
      </c>
      <c r="C12178" s="1" t="n">
        <v>46075</v>
      </c>
      <c r="D12178" t="inlineStr">
        <is>
          <t>VÄSTERBOTTENS LÄN</t>
        </is>
      </c>
      <c r="E12178" t="inlineStr">
        <is>
          <t>DOROTEA</t>
        </is>
      </c>
      <c r="F12178" t="inlineStr">
        <is>
          <t>SCA</t>
        </is>
      </c>
      <c r="G12178" t="n">
        <v>3.9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25525-2025</t>
        </is>
      </c>
      <c r="B12179" s="1" t="n">
        <v>45803.3865162037</v>
      </c>
      <c r="C12179" s="1" t="n">
        <v>46075</v>
      </c>
      <c r="D12179" t="inlineStr">
        <is>
          <t>VÄSTERBOTTENS LÄN</t>
        </is>
      </c>
      <c r="E12179" t="inlineStr">
        <is>
          <t>SKELLEFTEÅ</t>
        </is>
      </c>
      <c r="G12179" t="n">
        <v>0.6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25590-2025</t>
        </is>
      </c>
      <c r="B12180" s="1" t="n">
        <v>45803.49502314815</v>
      </c>
      <c r="C12180" s="1" t="n">
        <v>46075</v>
      </c>
      <c r="D12180" t="inlineStr">
        <is>
          <t>VÄSTERBOTTENS LÄN</t>
        </is>
      </c>
      <c r="E12180" t="inlineStr">
        <is>
          <t>LYCKSELE</t>
        </is>
      </c>
      <c r="G12180" t="n">
        <v>2.7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25606-2025</t>
        </is>
      </c>
      <c r="B12181" s="1" t="n">
        <v>45803.55297453704</v>
      </c>
      <c r="C12181" s="1" t="n">
        <v>46075</v>
      </c>
      <c r="D12181" t="inlineStr">
        <is>
          <t>VÄSTERBOTTENS LÄN</t>
        </is>
      </c>
      <c r="E12181" t="inlineStr">
        <is>
          <t>DOROTEA</t>
        </is>
      </c>
      <c r="F12181" t="inlineStr">
        <is>
          <t>SCA</t>
        </is>
      </c>
      <c r="G12181" t="n">
        <v>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25537-2025</t>
        </is>
      </c>
      <c r="B12182" s="1" t="n">
        <v>45803.41887731481</v>
      </c>
      <c r="C12182" s="1" t="n">
        <v>46075</v>
      </c>
      <c r="D12182" t="inlineStr">
        <is>
          <t>VÄSTERBOTTENS LÄN</t>
        </is>
      </c>
      <c r="E12182" t="inlineStr">
        <is>
          <t>LYCKSELE</t>
        </is>
      </c>
      <c r="F12182" t="inlineStr">
        <is>
          <t>Holmen skog AB</t>
        </is>
      </c>
      <c r="G12182" t="n">
        <v>2.5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25542-2025</t>
        </is>
      </c>
      <c r="B12183" s="1" t="n">
        <v>45803.42774305555</v>
      </c>
      <c r="C12183" s="1" t="n">
        <v>46075</v>
      </c>
      <c r="D12183" t="inlineStr">
        <is>
          <t>VÄSTERBOTTENS LÄN</t>
        </is>
      </c>
      <c r="E12183" t="inlineStr">
        <is>
          <t>SKELLEFTEÅ</t>
        </is>
      </c>
      <c r="F12183" t="inlineStr">
        <is>
          <t>Holmen skog AB</t>
        </is>
      </c>
      <c r="G12183" t="n">
        <v>7.5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60339-2023</t>
        </is>
      </c>
      <c r="B12184" s="1" t="n">
        <v>45259</v>
      </c>
      <c r="C12184" s="1" t="n">
        <v>46075</v>
      </c>
      <c r="D12184" t="inlineStr">
        <is>
          <t>VÄSTERBOTTENS LÄN</t>
        </is>
      </c>
      <c r="E12184" t="inlineStr">
        <is>
          <t>SKELLEFTEÅ</t>
        </is>
      </c>
      <c r="G12184" t="n">
        <v>1.5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25137-2025</t>
        </is>
      </c>
      <c r="B12185" s="1" t="n">
        <v>45800.39288194444</v>
      </c>
      <c r="C12185" s="1" t="n">
        <v>46075</v>
      </c>
      <c r="D12185" t="inlineStr">
        <is>
          <t>VÄSTERBOTTENS LÄN</t>
        </is>
      </c>
      <c r="E12185" t="inlineStr">
        <is>
          <t>NORDMALING</t>
        </is>
      </c>
      <c r="G12185" t="n">
        <v>2.9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25641-2025</t>
        </is>
      </c>
      <c r="B12186" s="1" t="n">
        <v>45803.60377314815</v>
      </c>
      <c r="C12186" s="1" t="n">
        <v>46075</v>
      </c>
      <c r="D12186" t="inlineStr">
        <is>
          <t>VÄSTERBOTTENS LÄN</t>
        </is>
      </c>
      <c r="E12186" t="inlineStr">
        <is>
          <t>SKELLEFTEÅ</t>
        </is>
      </c>
      <c r="F12186" t="inlineStr">
        <is>
          <t>Holmen skog AB</t>
        </is>
      </c>
      <c r="G12186" t="n">
        <v>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25333-2025</t>
        </is>
      </c>
      <c r="B12187" s="1" t="n">
        <v>45800.59549768519</v>
      </c>
      <c r="C12187" s="1" t="n">
        <v>46075</v>
      </c>
      <c r="D12187" t="inlineStr">
        <is>
          <t>VÄSTERBOTTENS LÄN</t>
        </is>
      </c>
      <c r="E12187" t="inlineStr">
        <is>
          <t>ROBERTSFORS</t>
        </is>
      </c>
      <c r="G12187" t="n">
        <v>6.4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25411-2025</t>
        </is>
      </c>
      <c r="B12188" s="1" t="n">
        <v>45800.66145833334</v>
      </c>
      <c r="C12188" s="1" t="n">
        <v>46075</v>
      </c>
      <c r="D12188" t="inlineStr">
        <is>
          <t>VÄSTERBOTTENS LÄN</t>
        </is>
      </c>
      <c r="E12188" t="inlineStr">
        <is>
          <t>ÅSELE</t>
        </is>
      </c>
      <c r="F12188" t="inlineStr">
        <is>
          <t>Sveaskog</t>
        </is>
      </c>
      <c r="G12188" t="n">
        <v>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59640-2024</t>
        </is>
      </c>
      <c r="B12189" s="1" t="n">
        <v>45639.30232638889</v>
      </c>
      <c r="C12189" s="1" t="n">
        <v>46075</v>
      </c>
      <c r="D12189" t="inlineStr">
        <is>
          <t>VÄSTERBOTTENS LÄN</t>
        </is>
      </c>
      <c r="E12189" t="inlineStr">
        <is>
          <t>SKELLEFTEÅ</t>
        </is>
      </c>
      <c r="G12189" t="n">
        <v>1.6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25341-2025</t>
        </is>
      </c>
      <c r="B12190" s="1" t="n">
        <v>45800.60171296296</v>
      </c>
      <c r="C12190" s="1" t="n">
        <v>46075</v>
      </c>
      <c r="D12190" t="inlineStr">
        <is>
          <t>VÄSTERBOTTENS LÄN</t>
        </is>
      </c>
      <c r="E12190" t="inlineStr">
        <is>
          <t>ROBERTSFORS</t>
        </is>
      </c>
      <c r="G12190" t="n">
        <v>1.3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25377-2025</t>
        </is>
      </c>
      <c r="B12191" s="1" t="n">
        <v>45800.63631944444</v>
      </c>
      <c r="C12191" s="1" t="n">
        <v>46075</v>
      </c>
      <c r="D12191" t="inlineStr">
        <is>
          <t>VÄSTERBOTTENS LÄN</t>
        </is>
      </c>
      <c r="E12191" t="inlineStr">
        <is>
          <t>ÅSELE</t>
        </is>
      </c>
      <c r="F12191" t="inlineStr">
        <is>
          <t>SCA</t>
        </is>
      </c>
      <c r="G12191" t="n">
        <v>4.3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25403-2025</t>
        </is>
      </c>
      <c r="B12192" s="1" t="n">
        <v>45800.65652777778</v>
      </c>
      <c r="C12192" s="1" t="n">
        <v>46075</v>
      </c>
      <c r="D12192" t="inlineStr">
        <is>
          <t>VÄSTERBOTTENS LÄN</t>
        </is>
      </c>
      <c r="E12192" t="inlineStr">
        <is>
          <t>SKELLEFTEÅ</t>
        </is>
      </c>
      <c r="G12192" t="n">
        <v>1.7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25405-2025</t>
        </is>
      </c>
      <c r="B12193" s="1" t="n">
        <v>45800.65744212963</v>
      </c>
      <c r="C12193" s="1" t="n">
        <v>46075</v>
      </c>
      <c r="D12193" t="inlineStr">
        <is>
          <t>VÄSTERBOTTENS LÄN</t>
        </is>
      </c>
      <c r="E12193" t="inlineStr">
        <is>
          <t>BJURHOLM</t>
        </is>
      </c>
      <c r="G12193" t="n">
        <v>3.6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25417-2025</t>
        </is>
      </c>
      <c r="B12194" s="1" t="n">
        <v>45800.67762731481</v>
      </c>
      <c r="C12194" s="1" t="n">
        <v>46075</v>
      </c>
      <c r="D12194" t="inlineStr">
        <is>
          <t>VÄSTERBOTTENS LÄN</t>
        </is>
      </c>
      <c r="E12194" t="inlineStr">
        <is>
          <t>ÅSELE</t>
        </is>
      </c>
      <c r="F12194" t="inlineStr">
        <is>
          <t>SCA</t>
        </is>
      </c>
      <c r="G12194" t="n">
        <v>1.6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17587-2024</t>
        </is>
      </c>
      <c r="B12195" s="1" t="n">
        <v>45415.94033564815</v>
      </c>
      <c r="C12195" s="1" t="n">
        <v>46075</v>
      </c>
      <c r="D12195" t="inlineStr">
        <is>
          <t>VÄSTERBOTTENS LÄN</t>
        </is>
      </c>
      <c r="E12195" t="inlineStr">
        <is>
          <t>VILHELMINA</t>
        </is>
      </c>
      <c r="F12195" t="inlineStr">
        <is>
          <t>SCA</t>
        </is>
      </c>
      <c r="G12195" t="n">
        <v>0.9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25416-2025</t>
        </is>
      </c>
      <c r="B12196" s="1" t="n">
        <v>45800.67747685185</v>
      </c>
      <c r="C12196" s="1" t="n">
        <v>46075</v>
      </c>
      <c r="D12196" t="inlineStr">
        <is>
          <t>VÄSTERBOTTENS LÄN</t>
        </is>
      </c>
      <c r="E12196" t="inlineStr">
        <is>
          <t>DOROTEA</t>
        </is>
      </c>
      <c r="F12196" t="inlineStr">
        <is>
          <t>SCA</t>
        </is>
      </c>
      <c r="G12196" t="n">
        <v>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42423-2024</t>
        </is>
      </c>
      <c r="B12197" s="1" t="n">
        <v>45565.39368055556</v>
      </c>
      <c r="C12197" s="1" t="n">
        <v>46075</v>
      </c>
      <c r="D12197" t="inlineStr">
        <is>
          <t>VÄSTERBOTTENS LÄN</t>
        </is>
      </c>
      <c r="E12197" t="inlineStr">
        <is>
          <t>STORUMAN</t>
        </is>
      </c>
      <c r="G12197" t="n">
        <v>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25527-2025</t>
        </is>
      </c>
      <c r="B12198" s="1" t="n">
        <v>45803.38699074074</v>
      </c>
      <c r="C12198" s="1" t="n">
        <v>46075</v>
      </c>
      <c r="D12198" t="inlineStr">
        <is>
          <t>VÄSTERBOTTENS LÄN</t>
        </is>
      </c>
      <c r="E12198" t="inlineStr">
        <is>
          <t>SKELLEFTEÅ</t>
        </is>
      </c>
      <c r="G12198" t="n">
        <v>1.4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25581-2025</t>
        </is>
      </c>
      <c r="B12199" s="1" t="n">
        <v>45803.4812962963</v>
      </c>
      <c r="C12199" s="1" t="n">
        <v>46075</v>
      </c>
      <c r="D12199" t="inlineStr">
        <is>
          <t>VÄSTERBOTTENS LÄN</t>
        </is>
      </c>
      <c r="E12199" t="inlineStr">
        <is>
          <t>LYCKSELE</t>
        </is>
      </c>
      <c r="G12199" t="n">
        <v>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25524-2025</t>
        </is>
      </c>
      <c r="B12200" s="1" t="n">
        <v>45803.38644675926</v>
      </c>
      <c r="C12200" s="1" t="n">
        <v>46075</v>
      </c>
      <c r="D12200" t="inlineStr">
        <is>
          <t>VÄSTERBOTTENS LÄN</t>
        </is>
      </c>
      <c r="E12200" t="inlineStr">
        <is>
          <t>VILHELMINA</t>
        </is>
      </c>
      <c r="F12200" t="inlineStr">
        <is>
          <t>SCA</t>
        </is>
      </c>
      <c r="G12200" t="n">
        <v>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25573-2025</t>
        </is>
      </c>
      <c r="B12201" s="1" t="n">
        <v>45803.47020833333</v>
      </c>
      <c r="C12201" s="1" t="n">
        <v>46075</v>
      </c>
      <c r="D12201" t="inlineStr">
        <is>
          <t>VÄSTERBOTTENS LÄN</t>
        </is>
      </c>
      <c r="E12201" t="inlineStr">
        <is>
          <t>LYCKSELE</t>
        </is>
      </c>
      <c r="G12201" t="n">
        <v>6.3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25603-2025</t>
        </is>
      </c>
      <c r="B12202" s="1" t="n">
        <v>45803.55256944444</v>
      </c>
      <c r="C12202" s="1" t="n">
        <v>46075</v>
      </c>
      <c r="D12202" t="inlineStr">
        <is>
          <t>VÄSTERBOTTENS LÄN</t>
        </is>
      </c>
      <c r="E12202" t="inlineStr">
        <is>
          <t>DOROTEA</t>
        </is>
      </c>
      <c r="F12202" t="inlineStr">
        <is>
          <t>SCA</t>
        </is>
      </c>
      <c r="G12202" t="n">
        <v>3.5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25686-2025</t>
        </is>
      </c>
      <c r="B12203" s="1" t="n">
        <v>45803.65416666667</v>
      </c>
      <c r="C12203" s="1" t="n">
        <v>46075</v>
      </c>
      <c r="D12203" t="inlineStr">
        <is>
          <t>VÄSTERBOTTENS LÄN</t>
        </is>
      </c>
      <c r="E12203" t="inlineStr">
        <is>
          <t>VINDELN</t>
        </is>
      </c>
      <c r="F12203" t="inlineStr">
        <is>
          <t>Holmen skog AB</t>
        </is>
      </c>
      <c r="G12203" t="n">
        <v>1.7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25801-2025</t>
        </is>
      </c>
      <c r="B12204" s="1" t="n">
        <v>45803</v>
      </c>
      <c r="C12204" s="1" t="n">
        <v>46075</v>
      </c>
      <c r="D12204" t="inlineStr">
        <is>
          <t>VÄSTERBOTTENS LÄN</t>
        </is>
      </c>
      <c r="E12204" t="inlineStr">
        <is>
          <t>SKELLEFTEÅ</t>
        </is>
      </c>
      <c r="G12204" t="n">
        <v>2.1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25804-2025</t>
        </is>
      </c>
      <c r="B12205" s="1" t="n">
        <v>45803</v>
      </c>
      <c r="C12205" s="1" t="n">
        <v>46075</v>
      </c>
      <c r="D12205" t="inlineStr">
        <is>
          <t>VÄSTERBOTTENS LÄN</t>
        </is>
      </c>
      <c r="E12205" t="inlineStr">
        <is>
          <t>SKELLEFTEÅ</t>
        </is>
      </c>
      <c r="G12205" t="n">
        <v>1.8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25579-2025</t>
        </is>
      </c>
      <c r="B12206" s="1" t="n">
        <v>45803.47896990741</v>
      </c>
      <c r="C12206" s="1" t="n">
        <v>46075</v>
      </c>
      <c r="D12206" t="inlineStr">
        <is>
          <t>VÄSTERBOTTENS LÄN</t>
        </is>
      </c>
      <c r="E12206" t="inlineStr">
        <is>
          <t>ROBERTSFORS</t>
        </is>
      </c>
      <c r="G12206" t="n">
        <v>1.8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25605-2025</t>
        </is>
      </c>
      <c r="B12207" s="1" t="n">
        <v>45803.5528125</v>
      </c>
      <c r="C12207" s="1" t="n">
        <v>46075</v>
      </c>
      <c r="D12207" t="inlineStr">
        <is>
          <t>VÄSTERBOTTENS LÄN</t>
        </is>
      </c>
      <c r="E12207" t="inlineStr">
        <is>
          <t>DOROTEA</t>
        </is>
      </c>
      <c r="F12207" t="inlineStr">
        <is>
          <t>SCA</t>
        </is>
      </c>
      <c r="G12207" t="n">
        <v>4.7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25180-2025</t>
        </is>
      </c>
      <c r="B12208" s="1" t="n">
        <v>45800.44892361111</v>
      </c>
      <c r="C12208" s="1" t="n">
        <v>46075</v>
      </c>
      <c r="D12208" t="inlineStr">
        <is>
          <t>VÄSTERBOTTENS LÄN</t>
        </is>
      </c>
      <c r="E12208" t="inlineStr">
        <is>
          <t>VILHELMINA</t>
        </is>
      </c>
      <c r="F12208" t="inlineStr">
        <is>
          <t>SCA</t>
        </is>
      </c>
      <c r="G12208" t="n">
        <v>10.8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25205-2025</t>
        </is>
      </c>
      <c r="B12209" s="1" t="n">
        <v>45800.46907407408</v>
      </c>
      <c r="C12209" s="1" t="n">
        <v>46075</v>
      </c>
      <c r="D12209" t="inlineStr">
        <is>
          <t>VÄSTERBOTTENS LÄN</t>
        </is>
      </c>
      <c r="E12209" t="inlineStr">
        <is>
          <t>VÄNNÄS</t>
        </is>
      </c>
      <c r="G12209" t="n">
        <v>1.4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25201-2025</t>
        </is>
      </c>
      <c r="B12210" s="1" t="n">
        <v>45800.4647337963</v>
      </c>
      <c r="C12210" s="1" t="n">
        <v>46075</v>
      </c>
      <c r="D12210" t="inlineStr">
        <is>
          <t>VÄSTERBOTTENS LÄN</t>
        </is>
      </c>
      <c r="E12210" t="inlineStr">
        <is>
          <t>ROBERTSFORS</t>
        </is>
      </c>
      <c r="G12210" t="n">
        <v>6.1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25310-2025</t>
        </is>
      </c>
      <c r="B12211" s="1" t="n">
        <v>45800.57395833333</v>
      </c>
      <c r="C12211" s="1" t="n">
        <v>46075</v>
      </c>
      <c r="D12211" t="inlineStr">
        <is>
          <t>VÄSTERBOTTENS LÄN</t>
        </is>
      </c>
      <c r="E12211" t="inlineStr">
        <is>
          <t>DOROTEA</t>
        </is>
      </c>
      <c r="F12211" t="inlineStr">
        <is>
          <t>SCA</t>
        </is>
      </c>
      <c r="G12211" t="n">
        <v>2.1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25655-2025</t>
        </is>
      </c>
      <c r="B12212" s="1" t="n">
        <v>45803.61508101852</v>
      </c>
      <c r="C12212" s="1" t="n">
        <v>46075</v>
      </c>
      <c r="D12212" t="inlineStr">
        <is>
          <t>VÄSTERBOTTENS LÄN</t>
        </is>
      </c>
      <c r="E12212" t="inlineStr">
        <is>
          <t>LYCKSELE</t>
        </is>
      </c>
      <c r="F12212" t="inlineStr">
        <is>
          <t>Sveaskog</t>
        </is>
      </c>
      <c r="G12212" t="n">
        <v>1.3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25356-2025</t>
        </is>
      </c>
      <c r="B12213" s="1" t="n">
        <v>45800.61635416667</v>
      </c>
      <c r="C12213" s="1" t="n">
        <v>46075</v>
      </c>
      <c r="D12213" t="inlineStr">
        <is>
          <t>VÄSTERBOTTENS LÄN</t>
        </is>
      </c>
      <c r="E12213" t="inlineStr">
        <is>
          <t>DOROTEA</t>
        </is>
      </c>
      <c r="F12213" t="inlineStr">
        <is>
          <t>SCA</t>
        </is>
      </c>
      <c r="G12213" t="n">
        <v>0.8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25131-2025</t>
        </is>
      </c>
      <c r="B12214" s="1" t="n">
        <v>45800.38581018519</v>
      </c>
      <c r="C12214" s="1" t="n">
        <v>46075</v>
      </c>
      <c r="D12214" t="inlineStr">
        <is>
          <t>VÄSTERBOTTENS LÄN</t>
        </is>
      </c>
      <c r="E12214" t="inlineStr">
        <is>
          <t>DOROTEA</t>
        </is>
      </c>
      <c r="F12214" t="inlineStr">
        <is>
          <t>SCA</t>
        </is>
      </c>
      <c r="G12214" t="n">
        <v>9.9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25176-2025</t>
        </is>
      </c>
      <c r="B12215" s="1" t="n">
        <v>45800.44840277778</v>
      </c>
      <c r="C12215" s="1" t="n">
        <v>46075</v>
      </c>
      <c r="D12215" t="inlineStr">
        <is>
          <t>VÄSTERBOTTENS LÄN</t>
        </is>
      </c>
      <c r="E12215" t="inlineStr">
        <is>
          <t>VILHELMINA</t>
        </is>
      </c>
      <c r="F12215" t="inlineStr">
        <is>
          <t>SCA</t>
        </is>
      </c>
      <c r="G12215" t="n">
        <v>3.5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46318-2022</t>
        </is>
      </c>
      <c r="B12216" s="1" t="n">
        <v>44847</v>
      </c>
      <c r="C12216" s="1" t="n">
        <v>46075</v>
      </c>
      <c r="D12216" t="inlineStr">
        <is>
          <t>VÄSTERBOTTENS LÄN</t>
        </is>
      </c>
      <c r="E12216" t="inlineStr">
        <is>
          <t>VILHELMINA</t>
        </is>
      </c>
      <c r="G12216" t="n">
        <v>11.7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58489-2023</t>
        </is>
      </c>
      <c r="B12217" s="1" t="n">
        <v>45251.33342592593</v>
      </c>
      <c r="C12217" s="1" t="n">
        <v>46075</v>
      </c>
      <c r="D12217" t="inlineStr">
        <is>
          <t>VÄSTERBOTTENS LÄN</t>
        </is>
      </c>
      <c r="E12217" t="inlineStr">
        <is>
          <t>BJURHOLM</t>
        </is>
      </c>
      <c r="G12217" t="n">
        <v>3.1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25708-2025</t>
        </is>
      </c>
      <c r="B12218" s="1" t="n">
        <v>45803.68094907407</v>
      </c>
      <c r="C12218" s="1" t="n">
        <v>46075</v>
      </c>
      <c r="D12218" t="inlineStr">
        <is>
          <t>VÄSTERBOTTENS LÄN</t>
        </is>
      </c>
      <c r="E12218" t="inlineStr">
        <is>
          <t>VINDELN</t>
        </is>
      </c>
      <c r="G12218" t="n">
        <v>1.4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25514-2025</t>
        </is>
      </c>
      <c r="B12219" s="1" t="n">
        <v>45803.36482638889</v>
      </c>
      <c r="C12219" s="1" t="n">
        <v>46075</v>
      </c>
      <c r="D12219" t="inlineStr">
        <is>
          <t>VÄSTERBOTTENS LÄN</t>
        </is>
      </c>
      <c r="E12219" t="inlineStr">
        <is>
          <t>SKELLEFTEÅ</t>
        </is>
      </c>
      <c r="G12219" t="n">
        <v>0.8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25526-2025</t>
        </is>
      </c>
      <c r="B12220" s="1" t="n">
        <v>45803.38655092593</v>
      </c>
      <c r="C12220" s="1" t="n">
        <v>46075</v>
      </c>
      <c r="D12220" t="inlineStr">
        <is>
          <t>VÄSTERBOTTENS LÄN</t>
        </is>
      </c>
      <c r="E12220" t="inlineStr">
        <is>
          <t>SKELLEFTEÅ</t>
        </is>
      </c>
      <c r="G12220" t="n">
        <v>0.6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25206-2025</t>
        </is>
      </c>
      <c r="B12221" s="1" t="n">
        <v>45800.46908564815</v>
      </c>
      <c r="C12221" s="1" t="n">
        <v>46075</v>
      </c>
      <c r="D12221" t="inlineStr">
        <is>
          <t>VÄSTERBOTTENS LÄN</t>
        </is>
      </c>
      <c r="E12221" t="inlineStr">
        <is>
          <t>VÄNNÄS</t>
        </is>
      </c>
      <c r="G12221" t="n">
        <v>2.2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14089-2023</t>
        </is>
      </c>
      <c r="B12222" s="1" t="n">
        <v>45009.33761574074</v>
      </c>
      <c r="C12222" s="1" t="n">
        <v>46075</v>
      </c>
      <c r="D12222" t="inlineStr">
        <is>
          <t>VÄSTERBOTTENS LÄN</t>
        </is>
      </c>
      <c r="E12222" t="inlineStr">
        <is>
          <t>SKELLEFTEÅ</t>
        </is>
      </c>
      <c r="G12222" t="n">
        <v>0.9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25100-2025</t>
        </is>
      </c>
      <c r="B12223" s="1" t="n">
        <v>45800.34435185185</v>
      </c>
      <c r="C12223" s="1" t="n">
        <v>46075</v>
      </c>
      <c r="D12223" t="inlineStr">
        <is>
          <t>VÄSTERBOTTENS LÄN</t>
        </is>
      </c>
      <c r="E12223" t="inlineStr">
        <is>
          <t>BJURHOLM</t>
        </is>
      </c>
      <c r="F12223" t="inlineStr">
        <is>
          <t>SCA</t>
        </is>
      </c>
      <c r="G12223" t="n">
        <v>7.7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25074-2025</t>
        </is>
      </c>
      <c r="B12224" s="1" t="n">
        <v>45799.80739583333</v>
      </c>
      <c r="C12224" s="1" t="n">
        <v>46075</v>
      </c>
      <c r="D12224" t="inlineStr">
        <is>
          <t>VÄSTERBOTTENS LÄN</t>
        </is>
      </c>
      <c r="E12224" t="inlineStr">
        <is>
          <t>NORDMALING</t>
        </is>
      </c>
      <c r="G12224" t="n">
        <v>2.1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25162-2025</t>
        </is>
      </c>
      <c r="B12225" s="1" t="n">
        <v>45800.43075231482</v>
      </c>
      <c r="C12225" s="1" t="n">
        <v>46075</v>
      </c>
      <c r="D12225" t="inlineStr">
        <is>
          <t>VÄSTERBOTTENS LÄN</t>
        </is>
      </c>
      <c r="E12225" t="inlineStr">
        <is>
          <t>NORDMALING</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25309-2025</t>
        </is>
      </c>
      <c r="B12226" s="1" t="n">
        <v>45800.57380787037</v>
      </c>
      <c r="C12226" s="1" t="n">
        <v>46075</v>
      </c>
      <c r="D12226" t="inlineStr">
        <is>
          <t>VÄSTERBOTTENS LÄN</t>
        </is>
      </c>
      <c r="E12226" t="inlineStr">
        <is>
          <t>VILHELMINA</t>
        </is>
      </c>
      <c r="F12226" t="inlineStr">
        <is>
          <t>SCA</t>
        </is>
      </c>
      <c r="G12226" t="n">
        <v>2.5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25239-2025</t>
        </is>
      </c>
      <c r="B12227" s="1" t="n">
        <v>45800</v>
      </c>
      <c r="C12227" s="1" t="n">
        <v>46075</v>
      </c>
      <c r="D12227" t="inlineStr">
        <is>
          <t>VÄSTERBOTTENS LÄN</t>
        </is>
      </c>
      <c r="E12227" t="inlineStr">
        <is>
          <t>VILHELMINA</t>
        </is>
      </c>
      <c r="F12227" t="inlineStr">
        <is>
          <t>SCA</t>
        </is>
      </c>
      <c r="G12227" t="n">
        <v>2.8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29375-2023</t>
        </is>
      </c>
      <c r="B12228" s="1" t="n">
        <v>45098</v>
      </c>
      <c r="C12228" s="1" t="n">
        <v>46075</v>
      </c>
      <c r="D12228" t="inlineStr">
        <is>
          <t>VÄSTERBOTTENS LÄN</t>
        </is>
      </c>
      <c r="E12228" t="inlineStr">
        <is>
          <t>MALÅ</t>
        </is>
      </c>
      <c r="G12228" t="n">
        <v>10.5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25773-2025</t>
        </is>
      </c>
      <c r="B12229" s="1" t="n">
        <v>45804.34528935186</v>
      </c>
      <c r="C12229" s="1" t="n">
        <v>46075</v>
      </c>
      <c r="D12229" t="inlineStr">
        <is>
          <t>VÄSTERBOTTENS LÄN</t>
        </is>
      </c>
      <c r="E12229" t="inlineStr">
        <is>
          <t>SKELLEFTEÅ</t>
        </is>
      </c>
      <c r="G12229" t="n">
        <v>1.6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1257-2024</t>
        </is>
      </c>
      <c r="B12230" s="1" t="n">
        <v>45302</v>
      </c>
      <c r="C12230" s="1" t="n">
        <v>46075</v>
      </c>
      <c r="D12230" t="inlineStr">
        <is>
          <t>VÄSTERBOTTENS LÄN</t>
        </is>
      </c>
      <c r="E12230" t="inlineStr">
        <is>
          <t>SKELLEFTEÅ</t>
        </is>
      </c>
      <c r="G12230" t="n">
        <v>2.7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25770-2025</t>
        </is>
      </c>
      <c r="B12231" s="1" t="n">
        <v>45804.3449537037</v>
      </c>
      <c r="C12231" s="1" t="n">
        <v>46075</v>
      </c>
      <c r="D12231" t="inlineStr">
        <is>
          <t>VÄSTERBOTTENS LÄN</t>
        </is>
      </c>
      <c r="E12231" t="inlineStr">
        <is>
          <t>VILHELMINA</t>
        </is>
      </c>
      <c r="F12231" t="inlineStr">
        <is>
          <t>SCA</t>
        </is>
      </c>
      <c r="G12231" t="n">
        <v>7.9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3924-2022</t>
        </is>
      </c>
      <c r="B12232" s="1" t="n">
        <v>44587</v>
      </c>
      <c r="C12232" s="1" t="n">
        <v>46075</v>
      </c>
      <c r="D12232" t="inlineStr">
        <is>
          <t>VÄSTERBOTTENS LÄN</t>
        </is>
      </c>
      <c r="E12232" t="inlineStr">
        <is>
          <t>SKELLEFTEÅ</t>
        </is>
      </c>
      <c r="G12232" t="n">
        <v>0.7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60714-2022</t>
        </is>
      </c>
      <c r="B12233" s="1" t="n">
        <v>44912.69100694444</v>
      </c>
      <c r="C12233" s="1" t="n">
        <v>46075</v>
      </c>
      <c r="D12233" t="inlineStr">
        <is>
          <t>VÄSTERBOTTENS LÄN</t>
        </is>
      </c>
      <c r="E12233" t="inlineStr">
        <is>
          <t>LYCKSELE</t>
        </is>
      </c>
      <c r="F12233" t="inlineStr">
        <is>
          <t>Sveaskog</t>
        </is>
      </c>
      <c r="G12233" t="n">
        <v>1.9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27355-2023</t>
        </is>
      </c>
      <c r="B12234" s="1" t="n">
        <v>45096</v>
      </c>
      <c r="C12234" s="1" t="n">
        <v>46075</v>
      </c>
      <c r="D12234" t="inlineStr">
        <is>
          <t>VÄSTERBOTTENS LÄN</t>
        </is>
      </c>
      <c r="E12234" t="inlineStr">
        <is>
          <t>VILHELMINA</t>
        </is>
      </c>
      <c r="G12234" t="n">
        <v>2.6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28166-2023</t>
        </is>
      </c>
      <c r="B12235" s="1" t="n">
        <v>45096</v>
      </c>
      <c r="C12235" s="1" t="n">
        <v>46075</v>
      </c>
      <c r="D12235" t="inlineStr">
        <is>
          <t>VÄSTERBOTTENS LÄN</t>
        </is>
      </c>
      <c r="E12235" t="inlineStr">
        <is>
          <t>SKELLEFTEÅ</t>
        </is>
      </c>
      <c r="G12235" t="n">
        <v>2.4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26315-2025</t>
        </is>
      </c>
      <c r="B12236" s="1" t="n">
        <v>45805.65696759259</v>
      </c>
      <c r="C12236" s="1" t="n">
        <v>46075</v>
      </c>
      <c r="D12236" t="inlineStr">
        <is>
          <t>VÄSTERBOTTENS LÄN</t>
        </is>
      </c>
      <c r="E12236" t="inlineStr">
        <is>
          <t>DOROTEA</t>
        </is>
      </c>
      <c r="F12236" t="inlineStr">
        <is>
          <t>SCA</t>
        </is>
      </c>
      <c r="G12236" t="n">
        <v>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25797-2025</t>
        </is>
      </c>
      <c r="B12237" s="1" t="n">
        <v>45804.3993287037</v>
      </c>
      <c r="C12237" s="1" t="n">
        <v>46075</v>
      </c>
      <c r="D12237" t="inlineStr">
        <is>
          <t>VÄSTERBOTTENS LÄN</t>
        </is>
      </c>
      <c r="E12237" t="inlineStr">
        <is>
          <t>STORUMAN</t>
        </is>
      </c>
      <c r="G12237" t="n">
        <v>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25838-2025</t>
        </is>
      </c>
      <c r="B12238" s="1" t="n">
        <v>45804.44883101852</v>
      </c>
      <c r="C12238" s="1" t="n">
        <v>46075</v>
      </c>
      <c r="D12238" t="inlineStr">
        <is>
          <t>VÄSTERBOTTENS LÄN</t>
        </is>
      </c>
      <c r="E12238" t="inlineStr">
        <is>
          <t>UMEÅ</t>
        </is>
      </c>
      <c r="G12238" t="n">
        <v>1.3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25577-2025</t>
        </is>
      </c>
      <c r="B12239" s="1" t="n">
        <v>45803.47759259259</v>
      </c>
      <c r="C12239" s="1" t="n">
        <v>46075</v>
      </c>
      <c r="D12239" t="inlineStr">
        <is>
          <t>VÄSTERBOTTENS LÄN</t>
        </is>
      </c>
      <c r="E12239" t="inlineStr">
        <is>
          <t>ROBERTSFORS</t>
        </is>
      </c>
      <c r="G12239" t="n">
        <v>1.8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26199-2025</t>
        </is>
      </c>
      <c r="B12240" s="1" t="n">
        <v>45805.50157407407</v>
      </c>
      <c r="C12240" s="1" t="n">
        <v>46075</v>
      </c>
      <c r="D12240" t="inlineStr">
        <is>
          <t>VÄSTERBOTTENS LÄN</t>
        </is>
      </c>
      <c r="E12240" t="inlineStr">
        <is>
          <t>LYCKSELE</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26307-2025</t>
        </is>
      </c>
      <c r="B12241" s="1" t="n">
        <v>45805.64918981482</v>
      </c>
      <c r="C12241" s="1" t="n">
        <v>46075</v>
      </c>
      <c r="D12241" t="inlineStr">
        <is>
          <t>VÄSTERBOTTENS LÄN</t>
        </is>
      </c>
      <c r="E12241" t="inlineStr">
        <is>
          <t>VINDELN</t>
        </is>
      </c>
      <c r="F12241" t="inlineStr">
        <is>
          <t>Holmen skog AB</t>
        </is>
      </c>
      <c r="G12241" t="n">
        <v>3.9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26159-2025</t>
        </is>
      </c>
      <c r="B12242" s="1" t="n">
        <v>45805.44869212963</v>
      </c>
      <c r="C12242" s="1" t="n">
        <v>46075</v>
      </c>
      <c r="D12242" t="inlineStr">
        <is>
          <t>VÄSTERBOTTENS LÄN</t>
        </is>
      </c>
      <c r="E12242" t="inlineStr">
        <is>
          <t>ÅSELE</t>
        </is>
      </c>
      <c r="F12242" t="inlineStr">
        <is>
          <t>SCA</t>
        </is>
      </c>
      <c r="G12242" t="n">
        <v>3.2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25958-2025</t>
        </is>
      </c>
      <c r="B12243" s="1" t="n">
        <v>45804.60783564814</v>
      </c>
      <c r="C12243" s="1" t="n">
        <v>46075</v>
      </c>
      <c r="D12243" t="inlineStr">
        <is>
          <t>VÄSTERBOTTENS LÄN</t>
        </is>
      </c>
      <c r="E12243" t="inlineStr">
        <is>
          <t>SKELLEFTEÅ</t>
        </is>
      </c>
      <c r="G12243" t="n">
        <v>0.6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26045-2025</t>
        </is>
      </c>
      <c r="B12244" s="1" t="n">
        <v>45804.70626157407</v>
      </c>
      <c r="C12244" s="1" t="n">
        <v>46075</v>
      </c>
      <c r="D12244" t="inlineStr">
        <is>
          <t>VÄSTERBOTTENS LÄN</t>
        </is>
      </c>
      <c r="E12244" t="inlineStr">
        <is>
          <t>SKELLEFTEÅ</t>
        </is>
      </c>
      <c r="G12244" t="n">
        <v>6.5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26286-2025</t>
        </is>
      </c>
      <c r="B12245" s="1" t="n">
        <v>45805.62082175926</v>
      </c>
      <c r="C12245" s="1" t="n">
        <v>46075</v>
      </c>
      <c r="D12245" t="inlineStr">
        <is>
          <t>VÄSTERBOTTENS LÄN</t>
        </is>
      </c>
      <c r="E12245" t="inlineStr">
        <is>
          <t>SKELLEFTEÅ</t>
        </is>
      </c>
      <c r="F12245" t="inlineStr">
        <is>
          <t>Sveaskog</t>
        </is>
      </c>
      <c r="G12245" t="n">
        <v>10.9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57195-2021</t>
        </is>
      </c>
      <c r="B12246" s="1" t="n">
        <v>44482.9227662037</v>
      </c>
      <c r="C12246" s="1" t="n">
        <v>46075</v>
      </c>
      <c r="D12246" t="inlineStr">
        <is>
          <t>VÄSTERBOTTENS LÄN</t>
        </is>
      </c>
      <c r="E12246" t="inlineStr">
        <is>
          <t>NORSJÖ</t>
        </is>
      </c>
      <c r="G12246" t="n">
        <v>0.9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26115-2025</t>
        </is>
      </c>
      <c r="B12247" s="1" t="n">
        <v>45805.37388888889</v>
      </c>
      <c r="C12247" s="1" t="n">
        <v>46075</v>
      </c>
      <c r="D12247" t="inlineStr">
        <is>
          <t>VÄSTERBOTTENS LÄN</t>
        </is>
      </c>
      <c r="E12247" t="inlineStr">
        <is>
          <t>ÅSELE</t>
        </is>
      </c>
      <c r="F12247" t="inlineStr">
        <is>
          <t>Sveaskog</t>
        </is>
      </c>
      <c r="G12247" t="n">
        <v>4.6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26245-2025</t>
        </is>
      </c>
      <c r="B12248" s="1" t="n">
        <v>45805</v>
      </c>
      <c r="C12248" s="1" t="n">
        <v>46075</v>
      </c>
      <c r="D12248" t="inlineStr">
        <is>
          <t>VÄSTERBOTTENS LÄN</t>
        </is>
      </c>
      <c r="E12248" t="inlineStr">
        <is>
          <t>ÅSELE</t>
        </is>
      </c>
      <c r="F12248" t="inlineStr">
        <is>
          <t>SCA</t>
        </is>
      </c>
      <c r="G12248" t="n">
        <v>6.9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26310-2025</t>
        </is>
      </c>
      <c r="B12249" s="1" t="n">
        <v>45805.65432870371</v>
      </c>
      <c r="C12249" s="1" t="n">
        <v>46075</v>
      </c>
      <c r="D12249" t="inlineStr">
        <is>
          <t>VÄSTERBOTTENS LÄN</t>
        </is>
      </c>
      <c r="E12249" t="inlineStr">
        <is>
          <t>UMEÅ</t>
        </is>
      </c>
      <c r="G12249" t="n">
        <v>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26329-2025</t>
        </is>
      </c>
      <c r="B12250" s="1" t="n">
        <v>45805</v>
      </c>
      <c r="C12250" s="1" t="n">
        <v>46075</v>
      </c>
      <c r="D12250" t="inlineStr">
        <is>
          <t>VÄSTERBOTTENS LÄN</t>
        </is>
      </c>
      <c r="E12250" t="inlineStr">
        <is>
          <t>STORUMAN</t>
        </is>
      </c>
      <c r="G12250" t="n">
        <v>1.2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26332-2025</t>
        </is>
      </c>
      <c r="B12251" s="1" t="n">
        <v>45805.68605324074</v>
      </c>
      <c r="C12251" s="1" t="n">
        <v>46075</v>
      </c>
      <c r="D12251" t="inlineStr">
        <is>
          <t>VÄSTERBOTTENS LÄN</t>
        </is>
      </c>
      <c r="E12251" t="inlineStr">
        <is>
          <t>VINDELN</t>
        </is>
      </c>
      <c r="F12251" t="inlineStr">
        <is>
          <t>Holmen skog AB</t>
        </is>
      </c>
      <c r="G12251" t="n">
        <v>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26344-2025</t>
        </is>
      </c>
      <c r="B12252" s="1" t="n">
        <v>45805</v>
      </c>
      <c r="C12252" s="1" t="n">
        <v>46075</v>
      </c>
      <c r="D12252" t="inlineStr">
        <is>
          <t>VÄSTERBOTTENS LÄN</t>
        </is>
      </c>
      <c r="E12252" t="inlineStr">
        <is>
          <t>STORUMAN</t>
        </is>
      </c>
      <c r="G12252" t="n">
        <v>3.9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26483-2022</t>
        </is>
      </c>
      <c r="B12253" s="1" t="n">
        <v>44739</v>
      </c>
      <c r="C12253" s="1" t="n">
        <v>46075</v>
      </c>
      <c r="D12253" t="inlineStr">
        <is>
          <t>VÄSTERBOTTENS LÄN</t>
        </is>
      </c>
      <c r="E12253" t="inlineStr">
        <is>
          <t>SKELLEFTEÅ</t>
        </is>
      </c>
      <c r="G12253" t="n">
        <v>0.7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26892-2022</t>
        </is>
      </c>
      <c r="B12254" s="1" t="n">
        <v>44740</v>
      </c>
      <c r="C12254" s="1" t="n">
        <v>46075</v>
      </c>
      <c r="D12254" t="inlineStr">
        <is>
          <t>VÄSTERBOTTENS LÄN</t>
        </is>
      </c>
      <c r="E12254" t="inlineStr">
        <is>
          <t>MALÅ</t>
        </is>
      </c>
      <c r="G12254" t="n">
        <v>0.8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34082-2022</t>
        </is>
      </c>
      <c r="B12255" s="1" t="n">
        <v>44791</v>
      </c>
      <c r="C12255" s="1" t="n">
        <v>46075</v>
      </c>
      <c r="D12255" t="inlineStr">
        <is>
          <t>VÄSTERBOTTENS LÄN</t>
        </is>
      </c>
      <c r="E12255" t="inlineStr">
        <is>
          <t>SKELLEFTEÅ</t>
        </is>
      </c>
      <c r="G12255" t="n">
        <v>1.1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26318-2024</t>
        </is>
      </c>
      <c r="B12256" s="1" t="n">
        <v>45468.97400462963</v>
      </c>
      <c r="C12256" s="1" t="n">
        <v>46075</v>
      </c>
      <c r="D12256" t="inlineStr">
        <is>
          <t>VÄSTERBOTTENS LÄN</t>
        </is>
      </c>
      <c r="E12256" t="inlineStr">
        <is>
          <t>LYCKSELE</t>
        </is>
      </c>
      <c r="F12256" t="inlineStr">
        <is>
          <t>SCA</t>
        </is>
      </c>
      <c r="G12256" t="n">
        <v>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26295-2025</t>
        </is>
      </c>
      <c r="B12257" s="1" t="n">
        <v>45805.63583333333</v>
      </c>
      <c r="C12257" s="1" t="n">
        <v>46075</v>
      </c>
      <c r="D12257" t="inlineStr">
        <is>
          <t>VÄSTERBOTTENS LÄN</t>
        </is>
      </c>
      <c r="E12257" t="inlineStr">
        <is>
          <t>LYCKSELE</t>
        </is>
      </c>
      <c r="F12257" t="inlineStr">
        <is>
          <t>SCA</t>
        </is>
      </c>
      <c r="G12257" t="n">
        <v>3.7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58946-2024</t>
        </is>
      </c>
      <c r="B12258" s="1" t="n">
        <v>45636.55063657407</v>
      </c>
      <c r="C12258" s="1" t="n">
        <v>46075</v>
      </c>
      <c r="D12258" t="inlineStr">
        <is>
          <t>VÄSTERBOTTENS LÄN</t>
        </is>
      </c>
      <c r="E12258" t="inlineStr">
        <is>
          <t>VILHELMINA</t>
        </is>
      </c>
      <c r="F12258" t="inlineStr">
        <is>
          <t>Kommuner</t>
        </is>
      </c>
      <c r="G12258" t="n">
        <v>4.9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53075-2022</t>
        </is>
      </c>
      <c r="B12259" s="1" t="n">
        <v>44876</v>
      </c>
      <c r="C12259" s="1" t="n">
        <v>46075</v>
      </c>
      <c r="D12259" t="inlineStr">
        <is>
          <t>VÄSTERBOTTENS LÄN</t>
        </is>
      </c>
      <c r="E12259" t="inlineStr">
        <is>
          <t>SKELLEFTEÅ</t>
        </is>
      </c>
      <c r="G12259" t="n">
        <v>0.8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26151-2025</t>
        </is>
      </c>
      <c r="B12260" s="1" t="n">
        <v>45805.43233796296</v>
      </c>
      <c r="C12260" s="1" t="n">
        <v>46075</v>
      </c>
      <c r="D12260" t="inlineStr">
        <is>
          <t>VÄSTERBOTTENS LÄN</t>
        </is>
      </c>
      <c r="E12260" t="inlineStr">
        <is>
          <t>LYCKSELE</t>
        </is>
      </c>
      <c r="G12260" t="n">
        <v>6.8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26168-2025</t>
        </is>
      </c>
      <c r="B12261" s="1" t="n">
        <v>45805.4591087963</v>
      </c>
      <c r="C12261" s="1" t="n">
        <v>46075</v>
      </c>
      <c r="D12261" t="inlineStr">
        <is>
          <t>VÄSTERBOTTENS LÄN</t>
        </is>
      </c>
      <c r="E12261" t="inlineStr">
        <is>
          <t>VINDELN</t>
        </is>
      </c>
      <c r="F12261" t="inlineStr">
        <is>
          <t>Holmen skog AB</t>
        </is>
      </c>
      <c r="G12261" t="n">
        <v>11.5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26215-2025</t>
        </is>
      </c>
      <c r="B12262" s="1" t="n">
        <v>45805.54438657407</v>
      </c>
      <c r="C12262" s="1" t="n">
        <v>46075</v>
      </c>
      <c r="D12262" t="inlineStr">
        <is>
          <t>VÄSTERBOTTENS LÄN</t>
        </is>
      </c>
      <c r="E12262" t="inlineStr">
        <is>
          <t>SKELLEFTEÅ</t>
        </is>
      </c>
      <c r="G12262" t="n">
        <v>10</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31419-2021</t>
        </is>
      </c>
      <c r="B12263" s="1" t="n">
        <v>44368</v>
      </c>
      <c r="C12263" s="1" t="n">
        <v>46075</v>
      </c>
      <c r="D12263" t="inlineStr">
        <is>
          <t>VÄSTERBOTTENS LÄN</t>
        </is>
      </c>
      <c r="E12263" t="inlineStr">
        <is>
          <t>SKELLEFTEÅ</t>
        </is>
      </c>
      <c r="G12263" t="n">
        <v>29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5641-2022</t>
        </is>
      </c>
      <c r="B12264" s="1" t="n">
        <v>44595.92319444445</v>
      </c>
      <c r="C12264" s="1" t="n">
        <v>46075</v>
      </c>
      <c r="D12264" t="inlineStr">
        <is>
          <t>VÄSTERBOTTENS LÄN</t>
        </is>
      </c>
      <c r="E12264" t="inlineStr">
        <is>
          <t>ÅSELE</t>
        </is>
      </c>
      <c r="G12264" t="n">
        <v>0.9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25942-2025</t>
        </is>
      </c>
      <c r="B12265" s="1" t="n">
        <v>45804.59461805555</v>
      </c>
      <c r="C12265" s="1" t="n">
        <v>46075</v>
      </c>
      <c r="D12265" t="inlineStr">
        <is>
          <t>VÄSTERBOTTENS LÄN</t>
        </is>
      </c>
      <c r="E12265" t="inlineStr">
        <is>
          <t>VILHELMINA</t>
        </is>
      </c>
      <c r="F12265" t="inlineStr">
        <is>
          <t>SCA</t>
        </is>
      </c>
      <c r="G12265" t="n">
        <v>6.2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52178-2022</t>
        </is>
      </c>
      <c r="B12266" s="1" t="n">
        <v>44868</v>
      </c>
      <c r="C12266" s="1" t="n">
        <v>46075</v>
      </c>
      <c r="D12266" t="inlineStr">
        <is>
          <t>VÄSTERBOTTENS LÄN</t>
        </is>
      </c>
      <c r="E12266" t="inlineStr">
        <is>
          <t>VINDELN</t>
        </is>
      </c>
      <c r="G12266" t="n">
        <v>1.5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26078-2025</t>
        </is>
      </c>
      <c r="B12267" s="1" t="n">
        <v>45805.3371412037</v>
      </c>
      <c r="C12267" s="1" t="n">
        <v>46075</v>
      </c>
      <c r="D12267" t="inlineStr">
        <is>
          <t>VÄSTERBOTTENS LÄN</t>
        </is>
      </c>
      <c r="E12267" t="inlineStr">
        <is>
          <t>ÅSELE</t>
        </is>
      </c>
      <c r="F12267" t="inlineStr">
        <is>
          <t>Sveaskog</t>
        </is>
      </c>
      <c r="G12267" t="n">
        <v>15.4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26104-2025</t>
        </is>
      </c>
      <c r="B12268" s="1" t="n">
        <v>45805.36008101852</v>
      </c>
      <c r="C12268" s="1" t="n">
        <v>46075</v>
      </c>
      <c r="D12268" t="inlineStr">
        <is>
          <t>VÄSTERBOTTENS LÄN</t>
        </is>
      </c>
      <c r="E12268" t="inlineStr">
        <is>
          <t>ÅSELE</t>
        </is>
      </c>
      <c r="F12268" t="inlineStr">
        <is>
          <t>Sveaskog</t>
        </is>
      </c>
      <c r="G12268" t="n">
        <v>5.9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26113-2025</t>
        </is>
      </c>
      <c r="B12269" s="1" t="n">
        <v>45805.36946759259</v>
      </c>
      <c r="C12269" s="1" t="n">
        <v>46075</v>
      </c>
      <c r="D12269" t="inlineStr">
        <is>
          <t>VÄSTERBOTTENS LÄN</t>
        </is>
      </c>
      <c r="E12269" t="inlineStr">
        <is>
          <t>ÅSELE</t>
        </is>
      </c>
      <c r="F12269" t="inlineStr">
        <is>
          <t>Sveaskog</t>
        </is>
      </c>
      <c r="G12269" t="n">
        <v>45.5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26228-2025</t>
        </is>
      </c>
      <c r="B12270" s="1" t="n">
        <v>45805.56206018518</v>
      </c>
      <c r="C12270" s="1" t="n">
        <v>46075</v>
      </c>
      <c r="D12270" t="inlineStr">
        <is>
          <t>VÄSTERBOTTENS LÄN</t>
        </is>
      </c>
      <c r="E12270" t="inlineStr">
        <is>
          <t>LYCKSELE</t>
        </is>
      </c>
      <c r="F12270" t="inlineStr">
        <is>
          <t>Sveaskog</t>
        </is>
      </c>
      <c r="G12270" t="n">
        <v>3.2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26075-2025</t>
        </is>
      </c>
      <c r="B12271" s="1" t="n">
        <v>45805.32921296296</v>
      </c>
      <c r="C12271" s="1" t="n">
        <v>46075</v>
      </c>
      <c r="D12271" t="inlineStr">
        <is>
          <t>VÄSTERBOTTENS LÄN</t>
        </is>
      </c>
      <c r="E12271" t="inlineStr">
        <is>
          <t>ÅSELE</t>
        </is>
      </c>
      <c r="F12271" t="inlineStr">
        <is>
          <t>Sveaskog</t>
        </is>
      </c>
      <c r="G12271" t="n">
        <v>10</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26227-2025</t>
        </is>
      </c>
      <c r="B12272" s="1" t="n">
        <v>45805</v>
      </c>
      <c r="C12272" s="1" t="n">
        <v>46075</v>
      </c>
      <c r="D12272" t="inlineStr">
        <is>
          <t>VÄSTERBOTTENS LÄN</t>
        </is>
      </c>
      <c r="E12272" t="inlineStr">
        <is>
          <t>LYCKSELE</t>
        </is>
      </c>
      <c r="G12272" t="n">
        <v>1.9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26234-2025</t>
        </is>
      </c>
      <c r="B12273" s="1" t="n">
        <v>45805</v>
      </c>
      <c r="C12273" s="1" t="n">
        <v>46075</v>
      </c>
      <c r="D12273" t="inlineStr">
        <is>
          <t>VÄSTERBOTTENS LÄN</t>
        </is>
      </c>
      <c r="E12273" t="inlineStr">
        <is>
          <t>LYCKSELE</t>
        </is>
      </c>
      <c r="G12273" t="n">
        <v>2.2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26169-2025</t>
        </is>
      </c>
      <c r="B12274" s="1" t="n">
        <v>45805.46100694445</v>
      </c>
      <c r="C12274" s="1" t="n">
        <v>46075</v>
      </c>
      <c r="D12274" t="inlineStr">
        <is>
          <t>VÄSTERBOTTENS LÄN</t>
        </is>
      </c>
      <c r="E12274" t="inlineStr">
        <is>
          <t>VINDELN</t>
        </is>
      </c>
      <c r="F12274" t="inlineStr">
        <is>
          <t>Holmen skog AB</t>
        </is>
      </c>
      <c r="G12274" t="n">
        <v>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26183-2025</t>
        </is>
      </c>
      <c r="B12275" s="1" t="n">
        <v>45805.47530092593</v>
      </c>
      <c r="C12275" s="1" t="n">
        <v>46075</v>
      </c>
      <c r="D12275" t="inlineStr">
        <is>
          <t>VÄSTERBOTTENS LÄN</t>
        </is>
      </c>
      <c r="E12275" t="inlineStr">
        <is>
          <t>UMEÅ</t>
        </is>
      </c>
      <c r="F12275" t="inlineStr">
        <is>
          <t>Holmen skog AB</t>
        </is>
      </c>
      <c r="G12275" t="n">
        <v>2.4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60909-2021</t>
        </is>
      </c>
      <c r="B12276" s="1" t="n">
        <v>44496</v>
      </c>
      <c r="C12276" s="1" t="n">
        <v>46075</v>
      </c>
      <c r="D12276" t="inlineStr">
        <is>
          <t>VÄSTERBOTTENS LÄN</t>
        </is>
      </c>
      <c r="E12276" t="inlineStr">
        <is>
          <t>SORSELE</t>
        </is>
      </c>
      <c r="G12276" t="n">
        <v>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21345-2024</t>
        </is>
      </c>
      <c r="B12277" s="1" t="n">
        <v>45440.92866898148</v>
      </c>
      <c r="C12277" s="1" t="n">
        <v>46075</v>
      </c>
      <c r="D12277" t="inlineStr">
        <is>
          <t>VÄSTERBOTTENS LÄN</t>
        </is>
      </c>
      <c r="E12277" t="inlineStr">
        <is>
          <t>VILHELMINA</t>
        </is>
      </c>
      <c r="G12277" t="n">
        <v>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25774-2025</t>
        </is>
      </c>
      <c r="B12278" s="1" t="n">
        <v>45804.34530092592</v>
      </c>
      <c r="C12278" s="1" t="n">
        <v>46075</v>
      </c>
      <c r="D12278" t="inlineStr">
        <is>
          <t>VÄSTERBOTTENS LÄN</t>
        </is>
      </c>
      <c r="E12278" t="inlineStr">
        <is>
          <t>SKELLEFTEÅ</t>
        </is>
      </c>
      <c r="G12278" t="n">
        <v>2.1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8233-2025</t>
        </is>
      </c>
      <c r="B12279" s="1" t="n">
        <v>45707</v>
      </c>
      <c r="C12279" s="1" t="n">
        <v>46075</v>
      </c>
      <c r="D12279" t="inlineStr">
        <is>
          <t>VÄSTERBOTTENS LÄN</t>
        </is>
      </c>
      <c r="E12279" t="inlineStr">
        <is>
          <t>SORSELE</t>
        </is>
      </c>
      <c r="G12279" t="n">
        <v>36.6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39589-2021</t>
        </is>
      </c>
      <c r="B12280" s="1" t="n">
        <v>44413</v>
      </c>
      <c r="C12280" s="1" t="n">
        <v>46075</v>
      </c>
      <c r="D12280" t="inlineStr">
        <is>
          <t>VÄSTERBOTTENS LÄN</t>
        </is>
      </c>
      <c r="E12280" t="inlineStr">
        <is>
          <t>SKELLEFTEÅ</t>
        </is>
      </c>
      <c r="G12280" t="n">
        <v>0.9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26049-2025</t>
        </is>
      </c>
      <c r="B12281" s="1" t="n">
        <v>45804.71578703704</v>
      </c>
      <c r="C12281" s="1" t="n">
        <v>46075</v>
      </c>
      <c r="D12281" t="inlineStr">
        <is>
          <t>VÄSTERBOTTENS LÄN</t>
        </is>
      </c>
      <c r="E12281" t="inlineStr">
        <is>
          <t>SKELLEFTEÅ</t>
        </is>
      </c>
      <c r="G12281" t="n">
        <v>12.5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26098-2025</t>
        </is>
      </c>
      <c r="B12282" s="1" t="n">
        <v>45805</v>
      </c>
      <c r="C12282" s="1" t="n">
        <v>46075</v>
      </c>
      <c r="D12282" t="inlineStr">
        <is>
          <t>VÄSTERBOTTENS LÄN</t>
        </is>
      </c>
      <c r="E12282" t="inlineStr">
        <is>
          <t>VILHELMINA</t>
        </is>
      </c>
      <c r="F12282" t="inlineStr">
        <is>
          <t>Övriga statliga verk och myndigheter</t>
        </is>
      </c>
      <c r="G12282" t="n">
        <v>5.4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26422-2025</t>
        </is>
      </c>
      <c r="B12283" s="1" t="n">
        <v>45807.37386574074</v>
      </c>
      <c r="C12283" s="1" t="n">
        <v>46075</v>
      </c>
      <c r="D12283" t="inlineStr">
        <is>
          <t>VÄSTERBOTTENS LÄN</t>
        </is>
      </c>
      <c r="E12283" t="inlineStr">
        <is>
          <t>LYCKSELE</t>
        </is>
      </c>
      <c r="F12283" t="inlineStr">
        <is>
          <t>Sveaskog</t>
        </is>
      </c>
      <c r="G12283" t="n">
        <v>3.9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46908-2024</t>
        </is>
      </c>
      <c r="B12284" s="1" t="n">
        <v>45583</v>
      </c>
      <c r="C12284" s="1" t="n">
        <v>46075</v>
      </c>
      <c r="D12284" t="inlineStr">
        <is>
          <t>VÄSTERBOTTENS LÄN</t>
        </is>
      </c>
      <c r="E12284" t="inlineStr">
        <is>
          <t>VILHELMINA</t>
        </is>
      </c>
      <c r="F12284" t="inlineStr">
        <is>
          <t>SCA</t>
        </is>
      </c>
      <c r="G12284" t="n">
        <v>7.5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26425-2025</t>
        </is>
      </c>
      <c r="B12285" s="1" t="n">
        <v>45807.38453703704</v>
      </c>
      <c r="C12285" s="1" t="n">
        <v>46075</v>
      </c>
      <c r="D12285" t="inlineStr">
        <is>
          <t>VÄSTERBOTTENS LÄN</t>
        </is>
      </c>
      <c r="E12285" t="inlineStr">
        <is>
          <t>SKELLEFTEÅ</t>
        </is>
      </c>
      <c r="G12285" t="n">
        <v>4.9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26481-2025</t>
        </is>
      </c>
      <c r="B12286" s="1" t="n">
        <v>45807.47043981482</v>
      </c>
      <c r="C12286" s="1" t="n">
        <v>46075</v>
      </c>
      <c r="D12286" t="inlineStr">
        <is>
          <t>VÄSTERBOTTENS LÄN</t>
        </is>
      </c>
      <c r="E12286" t="inlineStr">
        <is>
          <t>DOROTEA</t>
        </is>
      </c>
      <c r="F12286" t="inlineStr">
        <is>
          <t>SCA</t>
        </is>
      </c>
      <c r="G12286" t="n">
        <v>0.7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26576-2025</t>
        </is>
      </c>
      <c r="B12287" s="1" t="n">
        <v>45807.68725694445</v>
      </c>
      <c r="C12287" s="1" t="n">
        <v>46075</v>
      </c>
      <c r="D12287" t="inlineStr">
        <is>
          <t>VÄSTERBOTTENS LÄN</t>
        </is>
      </c>
      <c r="E12287" t="inlineStr">
        <is>
          <t>VÄNNÄS</t>
        </is>
      </c>
      <c r="G12287" t="n">
        <v>1.7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26194-2025</t>
        </is>
      </c>
      <c r="B12288" s="1" t="n">
        <v>45805.48989583334</v>
      </c>
      <c r="C12288" s="1" t="n">
        <v>46075</v>
      </c>
      <c r="D12288" t="inlineStr">
        <is>
          <t>VÄSTERBOTTENS LÄN</t>
        </is>
      </c>
      <c r="E12288" t="inlineStr">
        <is>
          <t>SKELLEFTEÅ</t>
        </is>
      </c>
      <c r="G12288" t="n">
        <v>0.9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26522-2025</t>
        </is>
      </c>
      <c r="B12289" s="1" t="n">
        <v>45807.56353009259</v>
      </c>
      <c r="C12289" s="1" t="n">
        <v>46075</v>
      </c>
      <c r="D12289" t="inlineStr">
        <is>
          <t>VÄSTERBOTTENS LÄN</t>
        </is>
      </c>
      <c r="E12289" t="inlineStr">
        <is>
          <t>VINDELN</t>
        </is>
      </c>
      <c r="F12289" t="inlineStr">
        <is>
          <t>Holmen skog AB</t>
        </is>
      </c>
      <c r="G12289" t="n">
        <v>2.1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26542-2025</t>
        </is>
      </c>
      <c r="B12290" s="1" t="n">
        <v>45807.58521990741</v>
      </c>
      <c r="C12290" s="1" t="n">
        <v>46075</v>
      </c>
      <c r="D12290" t="inlineStr">
        <is>
          <t>VÄSTERBOTTENS LÄN</t>
        </is>
      </c>
      <c r="E12290" t="inlineStr">
        <is>
          <t>SKELLEFTEÅ</t>
        </is>
      </c>
      <c r="F12290" t="inlineStr">
        <is>
          <t>Holmen skog AB</t>
        </is>
      </c>
      <c r="G12290" t="n">
        <v>11.8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26410-2025</t>
        </is>
      </c>
      <c r="B12291" s="1" t="n">
        <v>45807.34731481481</v>
      </c>
      <c r="C12291" s="1" t="n">
        <v>46075</v>
      </c>
      <c r="D12291" t="inlineStr">
        <is>
          <t>VÄSTERBOTTENS LÄN</t>
        </is>
      </c>
      <c r="E12291" t="inlineStr">
        <is>
          <t>LYCKSELE</t>
        </is>
      </c>
      <c r="F12291" t="inlineStr">
        <is>
          <t>Holmen skog AB</t>
        </is>
      </c>
      <c r="G12291" t="n">
        <v>2.2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26439-2025</t>
        </is>
      </c>
      <c r="B12292" s="1" t="n">
        <v>45807.40659722222</v>
      </c>
      <c r="C12292" s="1" t="n">
        <v>46075</v>
      </c>
      <c r="D12292" t="inlineStr">
        <is>
          <t>VÄSTERBOTTENS LÄN</t>
        </is>
      </c>
      <c r="E12292" t="inlineStr">
        <is>
          <t>DOROTEA</t>
        </is>
      </c>
      <c r="F12292" t="inlineStr">
        <is>
          <t>SCA</t>
        </is>
      </c>
      <c r="G12292" t="n">
        <v>5.1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26394-2025</t>
        </is>
      </c>
      <c r="B12293" s="1" t="n">
        <v>45806.84342592592</v>
      </c>
      <c r="C12293" s="1" t="n">
        <v>46075</v>
      </c>
      <c r="D12293" t="inlineStr">
        <is>
          <t>VÄSTERBOTTENS LÄN</t>
        </is>
      </c>
      <c r="E12293" t="inlineStr">
        <is>
          <t>ROBERTSFORS</t>
        </is>
      </c>
      <c r="G12293" t="n">
        <v>1.9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26419-2025</t>
        </is>
      </c>
      <c r="B12294" s="1" t="n">
        <v>45807.36931712963</v>
      </c>
      <c r="C12294" s="1" t="n">
        <v>46075</v>
      </c>
      <c r="D12294" t="inlineStr">
        <is>
          <t>VÄSTERBOTTENS LÄN</t>
        </is>
      </c>
      <c r="E12294" t="inlineStr">
        <is>
          <t>LYCKSELE</t>
        </is>
      </c>
      <c r="F12294" t="inlineStr">
        <is>
          <t>Sveaskog</t>
        </is>
      </c>
      <c r="G12294" t="n">
        <v>9.4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26480-2025</t>
        </is>
      </c>
      <c r="B12295" s="1" t="n">
        <v>45807.47040509259</v>
      </c>
      <c r="C12295" s="1" t="n">
        <v>46075</v>
      </c>
      <c r="D12295" t="inlineStr">
        <is>
          <t>VÄSTERBOTTENS LÄN</t>
        </is>
      </c>
      <c r="E12295" t="inlineStr">
        <is>
          <t>DOROTEA</t>
        </is>
      </c>
      <c r="F12295" t="inlineStr">
        <is>
          <t>SCA</t>
        </is>
      </c>
      <c r="G12295" t="n">
        <v>0.4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26440-2025</t>
        </is>
      </c>
      <c r="B12296" s="1" t="n">
        <v>45807</v>
      </c>
      <c r="C12296" s="1" t="n">
        <v>46075</v>
      </c>
      <c r="D12296" t="inlineStr">
        <is>
          <t>VÄSTERBOTTENS LÄN</t>
        </is>
      </c>
      <c r="E12296" t="inlineStr">
        <is>
          <t>DOROTEA</t>
        </is>
      </c>
      <c r="F12296" t="inlineStr">
        <is>
          <t>SCA</t>
        </is>
      </c>
      <c r="G12296" t="n">
        <v>2.2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17825-2024</t>
        </is>
      </c>
      <c r="B12297" s="1" t="n">
        <v>45418</v>
      </c>
      <c r="C12297" s="1" t="n">
        <v>46075</v>
      </c>
      <c r="D12297" t="inlineStr">
        <is>
          <t>VÄSTERBOTTENS LÄN</t>
        </is>
      </c>
      <c r="E12297" t="inlineStr">
        <is>
          <t>DOROTEA</t>
        </is>
      </c>
      <c r="F12297" t="inlineStr">
        <is>
          <t>SCA</t>
        </is>
      </c>
      <c r="G12297" t="n">
        <v>24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13852-2025</t>
        </is>
      </c>
      <c r="B12298" s="1" t="n">
        <v>45742</v>
      </c>
      <c r="C12298" s="1" t="n">
        <v>46075</v>
      </c>
      <c r="D12298" t="inlineStr">
        <is>
          <t>VÄSTERBOTTENS LÄN</t>
        </is>
      </c>
      <c r="E12298" t="inlineStr">
        <is>
          <t>DOROTEA</t>
        </is>
      </c>
      <c r="G12298" t="n">
        <v>8.699999999999999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26398-2025</t>
        </is>
      </c>
      <c r="B12299" s="1" t="n">
        <v>45807.31575231482</v>
      </c>
      <c r="C12299" s="1" t="n">
        <v>46075</v>
      </c>
      <c r="D12299" t="inlineStr">
        <is>
          <t>VÄSTERBOTTENS LÄN</t>
        </is>
      </c>
      <c r="E12299" t="inlineStr">
        <is>
          <t>LYCKSELE</t>
        </is>
      </c>
      <c r="F12299" t="inlineStr">
        <is>
          <t>Holmen skog AB</t>
        </is>
      </c>
      <c r="G12299" t="n">
        <v>4.9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26475-2025</t>
        </is>
      </c>
      <c r="B12300" s="1" t="n">
        <v>45807</v>
      </c>
      <c r="C12300" s="1" t="n">
        <v>46075</v>
      </c>
      <c r="D12300" t="inlineStr">
        <is>
          <t>VÄSTERBOTTENS LÄN</t>
        </is>
      </c>
      <c r="E12300" t="inlineStr">
        <is>
          <t>DOROTEA</t>
        </is>
      </c>
      <c r="F12300" t="inlineStr">
        <is>
          <t>SCA</t>
        </is>
      </c>
      <c r="G12300" t="n">
        <v>18.5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26512-2025</t>
        </is>
      </c>
      <c r="B12301" s="1" t="n">
        <v>45807.54668981482</v>
      </c>
      <c r="C12301" s="1" t="n">
        <v>46075</v>
      </c>
      <c r="D12301" t="inlineStr">
        <is>
          <t>VÄSTERBOTTENS LÄN</t>
        </is>
      </c>
      <c r="E12301" t="inlineStr">
        <is>
          <t>VINDELN</t>
        </is>
      </c>
      <c r="F12301" t="inlineStr">
        <is>
          <t>Holmen skog AB</t>
        </is>
      </c>
      <c r="G12301" t="n">
        <v>1.2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26352-2025</t>
        </is>
      </c>
      <c r="B12302" s="1" t="n">
        <v>45805.86056712963</v>
      </c>
      <c r="C12302" s="1" t="n">
        <v>46075</v>
      </c>
      <c r="D12302" t="inlineStr">
        <is>
          <t>VÄSTERBOTTENS LÄN</t>
        </is>
      </c>
      <c r="E12302" t="inlineStr">
        <is>
          <t>VINDELN</t>
        </is>
      </c>
      <c r="F12302" t="inlineStr">
        <is>
          <t>Holmen skog AB</t>
        </is>
      </c>
      <c r="G12302" t="n">
        <v>16.5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26474-2025</t>
        </is>
      </c>
      <c r="B12303" s="1" t="n">
        <v>45807</v>
      </c>
      <c r="C12303" s="1" t="n">
        <v>46075</v>
      </c>
      <c r="D12303" t="inlineStr">
        <is>
          <t>VÄSTERBOTTENS LÄN</t>
        </is>
      </c>
      <c r="E12303" t="inlineStr">
        <is>
          <t>ÅSELE</t>
        </is>
      </c>
      <c r="F12303" t="inlineStr">
        <is>
          <t>SCA</t>
        </is>
      </c>
      <c r="G12303" t="n">
        <v>11.5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55627-2023</t>
        </is>
      </c>
      <c r="B12304" s="1" t="n">
        <v>45238.92649305556</v>
      </c>
      <c r="C12304" s="1" t="n">
        <v>46075</v>
      </c>
      <c r="D12304" t="inlineStr">
        <is>
          <t>VÄSTERBOTTENS LÄN</t>
        </is>
      </c>
      <c r="E12304" t="inlineStr">
        <is>
          <t>NORDMALING</t>
        </is>
      </c>
      <c r="G12304" t="n">
        <v>1.5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26729-2025</t>
        </is>
      </c>
      <c r="B12305" s="1" t="n">
        <v>45810.50392361111</v>
      </c>
      <c r="C12305" s="1" t="n">
        <v>46075</v>
      </c>
      <c r="D12305" t="inlineStr">
        <is>
          <t>VÄSTERBOTTENS LÄN</t>
        </is>
      </c>
      <c r="E12305" t="inlineStr">
        <is>
          <t>STORUMAN</t>
        </is>
      </c>
      <c r="F12305" t="inlineStr">
        <is>
          <t>Sveaskog</t>
        </is>
      </c>
      <c r="G12305" t="n">
        <v>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27072-2025</t>
        </is>
      </c>
      <c r="B12306" s="1" t="n">
        <v>45811.64100694445</v>
      </c>
      <c r="C12306" s="1" t="n">
        <v>46075</v>
      </c>
      <c r="D12306" t="inlineStr">
        <is>
          <t>VÄSTERBOTTENS LÄN</t>
        </is>
      </c>
      <c r="E12306" t="inlineStr">
        <is>
          <t>LYCKSELE</t>
        </is>
      </c>
      <c r="F12306" t="inlineStr">
        <is>
          <t>Sveaskog</t>
        </is>
      </c>
      <c r="G12306" t="n">
        <v>4.2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44301-2023</t>
        </is>
      </c>
      <c r="B12307" s="1" t="n">
        <v>45188</v>
      </c>
      <c r="C12307" s="1" t="n">
        <v>46075</v>
      </c>
      <c r="D12307" t="inlineStr">
        <is>
          <t>VÄSTERBOTTENS LÄN</t>
        </is>
      </c>
      <c r="E12307" t="inlineStr">
        <is>
          <t>SKELLEFTEÅ</t>
        </is>
      </c>
      <c r="G12307" t="n">
        <v>2.4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54162-2024</t>
        </is>
      </c>
      <c r="B12308" s="1" t="n">
        <v>45616</v>
      </c>
      <c r="C12308" s="1" t="n">
        <v>46075</v>
      </c>
      <c r="D12308" t="inlineStr">
        <is>
          <t>VÄSTERBOTTENS LÄN</t>
        </is>
      </c>
      <c r="E12308" t="inlineStr">
        <is>
          <t>SKELLEFTEÅ</t>
        </is>
      </c>
      <c r="G12308" t="n">
        <v>1.5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55250-2024</t>
        </is>
      </c>
      <c r="B12309" s="1" t="n">
        <v>45621.595</v>
      </c>
      <c r="C12309" s="1" t="n">
        <v>46075</v>
      </c>
      <c r="D12309" t="inlineStr">
        <is>
          <t>VÄSTERBOTTENS LÄN</t>
        </is>
      </c>
      <c r="E12309" t="inlineStr">
        <is>
          <t>LYCKSELE</t>
        </is>
      </c>
      <c r="G12309" t="n">
        <v>2.8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26987-2025</t>
        </is>
      </c>
      <c r="B12310" s="1" t="n">
        <v>45811.50929398148</v>
      </c>
      <c r="C12310" s="1" t="n">
        <v>46075</v>
      </c>
      <c r="D12310" t="inlineStr">
        <is>
          <t>VÄSTERBOTTENS LÄN</t>
        </is>
      </c>
      <c r="E12310" t="inlineStr">
        <is>
          <t>ROBERTSFORS</t>
        </is>
      </c>
      <c r="G12310" t="n">
        <v>1.2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26635-2025</t>
        </is>
      </c>
      <c r="B12311" s="1" t="n">
        <v>45810.35407407407</v>
      </c>
      <c r="C12311" s="1" t="n">
        <v>46075</v>
      </c>
      <c r="D12311" t="inlineStr">
        <is>
          <t>VÄSTERBOTTENS LÄN</t>
        </is>
      </c>
      <c r="E12311" t="inlineStr">
        <is>
          <t>NORDMALING</t>
        </is>
      </c>
      <c r="G12311" t="n">
        <v>1.4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51695-2024</t>
        </is>
      </c>
      <c r="B12312" s="1" t="n">
        <v>45607.34743055556</v>
      </c>
      <c r="C12312" s="1" t="n">
        <v>46075</v>
      </c>
      <c r="D12312" t="inlineStr">
        <is>
          <t>VÄSTERBOTTENS LÄN</t>
        </is>
      </c>
      <c r="E12312" t="inlineStr">
        <is>
          <t>NORDMALING</t>
        </is>
      </c>
      <c r="G12312" t="n">
        <v>1.2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27091-2025</t>
        </is>
      </c>
      <c r="B12313" s="1" t="n">
        <v>45811.66915509259</v>
      </c>
      <c r="C12313" s="1" t="n">
        <v>46075</v>
      </c>
      <c r="D12313" t="inlineStr">
        <is>
          <t>VÄSTERBOTTENS LÄN</t>
        </is>
      </c>
      <c r="E12313" t="inlineStr">
        <is>
          <t>SKELLEFTEÅ</t>
        </is>
      </c>
      <c r="G12313" t="n">
        <v>0.8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55817-2022</t>
        </is>
      </c>
      <c r="B12314" s="1" t="n">
        <v>44886</v>
      </c>
      <c r="C12314" s="1" t="n">
        <v>46075</v>
      </c>
      <c r="D12314" t="inlineStr">
        <is>
          <t>VÄSTERBOTTENS LÄN</t>
        </is>
      </c>
      <c r="E12314" t="inlineStr">
        <is>
          <t>SORSELE</t>
        </is>
      </c>
      <c r="G12314" t="n">
        <v>10</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58119-2024</t>
        </is>
      </c>
      <c r="B12315" s="1" t="n">
        <v>45632.39261574074</v>
      </c>
      <c r="C12315" s="1" t="n">
        <v>46075</v>
      </c>
      <c r="D12315" t="inlineStr">
        <is>
          <t>VÄSTERBOTTENS LÄN</t>
        </is>
      </c>
      <c r="E12315" t="inlineStr">
        <is>
          <t>SKELLEFTEÅ</t>
        </is>
      </c>
      <c r="G12315" t="n">
        <v>2.8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36585-2024</t>
        </is>
      </c>
      <c r="B12316" s="1" t="n">
        <v>45537.52844907407</v>
      </c>
      <c r="C12316" s="1" t="n">
        <v>46075</v>
      </c>
      <c r="D12316" t="inlineStr">
        <is>
          <t>VÄSTERBOTTENS LÄN</t>
        </is>
      </c>
      <c r="E12316" t="inlineStr">
        <is>
          <t>NORSJÖ</t>
        </is>
      </c>
      <c r="F12316" t="inlineStr">
        <is>
          <t>Holmen skog AB</t>
        </is>
      </c>
      <c r="G12316" t="n">
        <v>2.4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50082-2024</t>
        </is>
      </c>
      <c r="B12317" s="1" t="n">
        <v>45597</v>
      </c>
      <c r="C12317" s="1" t="n">
        <v>46075</v>
      </c>
      <c r="D12317" t="inlineStr">
        <is>
          <t>VÄSTERBOTTENS LÄN</t>
        </is>
      </c>
      <c r="E12317" t="inlineStr">
        <is>
          <t>SKELLEFTEÅ</t>
        </is>
      </c>
      <c r="G12317" t="n">
        <v>2.4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26903-2025</t>
        </is>
      </c>
      <c r="B12318" s="1" t="n">
        <v>45811</v>
      </c>
      <c r="C12318" s="1" t="n">
        <v>46075</v>
      </c>
      <c r="D12318" t="inlineStr">
        <is>
          <t>VÄSTERBOTTENS LÄN</t>
        </is>
      </c>
      <c r="E12318" t="inlineStr">
        <is>
          <t>NORDMALING</t>
        </is>
      </c>
      <c r="F12318" t="inlineStr">
        <is>
          <t>SCA</t>
        </is>
      </c>
      <c r="G12318" t="n">
        <v>4.6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27049-2025</t>
        </is>
      </c>
      <c r="B12319" s="1" t="n">
        <v>45811.61696759259</v>
      </c>
      <c r="C12319" s="1" t="n">
        <v>46075</v>
      </c>
      <c r="D12319" t="inlineStr">
        <is>
          <t>VÄSTERBOTTENS LÄN</t>
        </is>
      </c>
      <c r="E12319" t="inlineStr">
        <is>
          <t>VINDELN</t>
        </is>
      </c>
      <c r="F12319" t="inlineStr">
        <is>
          <t>Sveaskog</t>
        </is>
      </c>
      <c r="G12319" t="n">
        <v>18.4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26902-2025</t>
        </is>
      </c>
      <c r="B12320" s="1" t="n">
        <v>45811</v>
      </c>
      <c r="C12320" s="1" t="n">
        <v>46075</v>
      </c>
      <c r="D12320" t="inlineStr">
        <is>
          <t>VÄSTERBOTTENS LÄN</t>
        </is>
      </c>
      <c r="E12320" t="inlineStr">
        <is>
          <t>DOROTEA</t>
        </is>
      </c>
      <c r="F12320" t="inlineStr">
        <is>
          <t>SCA</t>
        </is>
      </c>
      <c r="G12320" t="n">
        <v>6.7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26909-2025</t>
        </is>
      </c>
      <c r="B12321" s="1" t="n">
        <v>45811.3458912037</v>
      </c>
      <c r="C12321" s="1" t="n">
        <v>46075</v>
      </c>
      <c r="D12321" t="inlineStr">
        <is>
          <t>VÄSTERBOTTENS LÄN</t>
        </is>
      </c>
      <c r="E12321" t="inlineStr">
        <is>
          <t>SKELLEFTEÅ</t>
        </is>
      </c>
      <c r="G12321" t="n">
        <v>0.5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797-2025</t>
        </is>
      </c>
      <c r="B12322" s="1" t="n">
        <v>45664</v>
      </c>
      <c r="C12322" s="1" t="n">
        <v>46075</v>
      </c>
      <c r="D12322" t="inlineStr">
        <is>
          <t>VÄSTERBOTTENS LÄN</t>
        </is>
      </c>
      <c r="E12322" t="inlineStr">
        <is>
          <t>DOROTEA</t>
        </is>
      </c>
      <c r="G12322" t="n">
        <v>2.6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4602-2025</t>
        </is>
      </c>
      <c r="B12323" s="1" t="n">
        <v>45687.56137731481</v>
      </c>
      <c r="C12323" s="1" t="n">
        <v>46075</v>
      </c>
      <c r="D12323" t="inlineStr">
        <is>
          <t>VÄSTERBOTTENS LÄN</t>
        </is>
      </c>
      <c r="E12323" t="inlineStr">
        <is>
          <t>ROBERTSFORS</t>
        </is>
      </c>
      <c r="G12323" t="n">
        <v>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14759-2025</t>
        </is>
      </c>
      <c r="B12324" s="1" t="n">
        <v>45742</v>
      </c>
      <c r="C12324" s="1" t="n">
        <v>46075</v>
      </c>
      <c r="D12324" t="inlineStr">
        <is>
          <t>VÄSTERBOTTENS LÄN</t>
        </is>
      </c>
      <c r="E12324" t="inlineStr">
        <is>
          <t>DOROTEA</t>
        </is>
      </c>
      <c r="G12324" t="n">
        <v>1.8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26744-2025</t>
        </is>
      </c>
      <c r="B12325" s="1" t="n">
        <v>45810.53185185185</v>
      </c>
      <c r="C12325" s="1" t="n">
        <v>46075</v>
      </c>
      <c r="D12325" t="inlineStr">
        <is>
          <t>VÄSTERBOTTENS LÄN</t>
        </is>
      </c>
      <c r="E12325" t="inlineStr">
        <is>
          <t>VILHELMINA</t>
        </is>
      </c>
      <c r="F12325" t="inlineStr">
        <is>
          <t>SCA</t>
        </is>
      </c>
      <c r="G12325" t="n">
        <v>2.6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22538-2024</t>
        </is>
      </c>
      <c r="B12326" s="1" t="n">
        <v>45447.46972222222</v>
      </c>
      <c r="C12326" s="1" t="n">
        <v>46075</v>
      </c>
      <c r="D12326" t="inlineStr">
        <is>
          <t>VÄSTERBOTTENS LÄN</t>
        </is>
      </c>
      <c r="E12326" t="inlineStr">
        <is>
          <t>UMEÅ</t>
        </is>
      </c>
      <c r="F12326" t="inlineStr">
        <is>
          <t>Holmen skog AB</t>
        </is>
      </c>
      <c r="G12326" t="n">
        <v>7.1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43518-2023</t>
        </is>
      </c>
      <c r="B12327" s="1" t="n">
        <v>45181</v>
      </c>
      <c r="C12327" s="1" t="n">
        <v>46075</v>
      </c>
      <c r="D12327" t="inlineStr">
        <is>
          <t>VÄSTERBOTTENS LÄN</t>
        </is>
      </c>
      <c r="E12327" t="inlineStr">
        <is>
          <t>VINDELN</t>
        </is>
      </c>
      <c r="G12327" t="n">
        <v>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121-2023</t>
        </is>
      </c>
      <c r="B12328" s="1" t="n">
        <v>44918</v>
      </c>
      <c r="C12328" s="1" t="n">
        <v>46075</v>
      </c>
      <c r="D12328" t="inlineStr">
        <is>
          <t>VÄSTERBOTTENS LÄN</t>
        </is>
      </c>
      <c r="E12328" t="inlineStr">
        <is>
          <t>SKELLEFTEÅ</t>
        </is>
      </c>
      <c r="G12328" t="n">
        <v>0.6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27010-2025</t>
        </is>
      </c>
      <c r="B12329" s="1" t="n">
        <v>45811.56021990741</v>
      </c>
      <c r="C12329" s="1" t="n">
        <v>46075</v>
      </c>
      <c r="D12329" t="inlineStr">
        <is>
          <t>VÄSTERBOTTENS LÄN</t>
        </is>
      </c>
      <c r="E12329" t="inlineStr">
        <is>
          <t>SKELLEFTEÅ</t>
        </is>
      </c>
      <c r="G12329" t="n">
        <v>10.4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26622-2025</t>
        </is>
      </c>
      <c r="B12330" s="1" t="n">
        <v>45810.32515046297</v>
      </c>
      <c r="C12330" s="1" t="n">
        <v>46075</v>
      </c>
      <c r="D12330" t="inlineStr">
        <is>
          <t>VÄSTERBOTTENS LÄN</t>
        </is>
      </c>
      <c r="E12330" t="inlineStr">
        <is>
          <t>LYCKSELE</t>
        </is>
      </c>
      <c r="G12330" t="n">
        <v>3.6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26951-2025</t>
        </is>
      </c>
      <c r="B12331" s="1" t="n">
        <v>45811.44082175926</v>
      </c>
      <c r="C12331" s="1" t="n">
        <v>46075</v>
      </c>
      <c r="D12331" t="inlineStr">
        <is>
          <t>VÄSTERBOTTENS LÄN</t>
        </is>
      </c>
      <c r="E12331" t="inlineStr">
        <is>
          <t>LYCKSELE</t>
        </is>
      </c>
      <c r="F12331" t="inlineStr">
        <is>
          <t>Holmen skog AB</t>
        </is>
      </c>
      <c r="G12331" t="n">
        <v>3.1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26984-2025</t>
        </is>
      </c>
      <c r="B12332" s="1" t="n">
        <v>45811.49811342593</v>
      </c>
      <c r="C12332" s="1" t="n">
        <v>46075</v>
      </c>
      <c r="D12332" t="inlineStr">
        <is>
          <t>VÄSTERBOTTENS LÄN</t>
        </is>
      </c>
      <c r="E12332" t="inlineStr">
        <is>
          <t>ROBERTSFORS</t>
        </is>
      </c>
      <c r="F12332" t="inlineStr">
        <is>
          <t>Holmen skog AB</t>
        </is>
      </c>
      <c r="G12332" t="n">
        <v>12.7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26768-2025</t>
        </is>
      </c>
      <c r="B12333" s="1" t="n">
        <v>45810.56736111111</v>
      </c>
      <c r="C12333" s="1" t="n">
        <v>46075</v>
      </c>
      <c r="D12333" t="inlineStr">
        <is>
          <t>VÄSTERBOTTENS LÄN</t>
        </is>
      </c>
      <c r="E12333" t="inlineStr">
        <is>
          <t>STORUMAN</t>
        </is>
      </c>
      <c r="F12333" t="inlineStr">
        <is>
          <t>Sveaskog</t>
        </is>
      </c>
      <c r="G12333" t="n">
        <v>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26774-2025</t>
        </is>
      </c>
      <c r="B12334" s="1" t="n">
        <v>45810.57378472222</v>
      </c>
      <c r="C12334" s="1" t="n">
        <v>46075</v>
      </c>
      <c r="D12334" t="inlineStr">
        <is>
          <t>VÄSTERBOTTENS LÄN</t>
        </is>
      </c>
      <c r="E12334" t="inlineStr">
        <is>
          <t>ÅSELE</t>
        </is>
      </c>
      <c r="F12334" t="inlineStr">
        <is>
          <t>SCA</t>
        </is>
      </c>
      <c r="G12334" t="n">
        <v>2.5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26790-2025</t>
        </is>
      </c>
      <c r="B12335" s="1" t="n">
        <v>45810.59417824074</v>
      </c>
      <c r="C12335" s="1" t="n">
        <v>46075</v>
      </c>
      <c r="D12335" t="inlineStr">
        <is>
          <t>VÄSTERBOTTENS LÄN</t>
        </is>
      </c>
      <c r="E12335" t="inlineStr">
        <is>
          <t>VILHELMINA</t>
        </is>
      </c>
      <c r="F12335" t="inlineStr">
        <is>
          <t>SCA</t>
        </is>
      </c>
      <c r="G12335" t="n">
        <v>11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27080-2025</t>
        </is>
      </c>
      <c r="B12336" s="1" t="n">
        <v>45811.65400462963</v>
      </c>
      <c r="C12336" s="1" t="n">
        <v>46075</v>
      </c>
      <c r="D12336" t="inlineStr">
        <is>
          <t>VÄSTERBOTTENS LÄN</t>
        </is>
      </c>
      <c r="E12336" t="inlineStr">
        <is>
          <t>LYCKSELE</t>
        </is>
      </c>
      <c r="F12336" t="inlineStr">
        <is>
          <t>Holmen skog AB</t>
        </is>
      </c>
      <c r="G12336" t="n">
        <v>2.3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4732-2025</t>
        </is>
      </c>
      <c r="B12337" s="1" t="n">
        <v>45688.43670138889</v>
      </c>
      <c r="C12337" s="1" t="n">
        <v>46075</v>
      </c>
      <c r="D12337" t="inlineStr">
        <is>
          <t>VÄSTERBOTTENS LÄN</t>
        </is>
      </c>
      <c r="E12337" t="inlineStr">
        <is>
          <t>NORDMALING</t>
        </is>
      </c>
      <c r="G12337" t="n">
        <v>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26904-2025</t>
        </is>
      </c>
      <c r="B12338" s="1" t="n">
        <v>45811</v>
      </c>
      <c r="C12338" s="1" t="n">
        <v>46075</v>
      </c>
      <c r="D12338" t="inlineStr">
        <is>
          <t>VÄSTERBOTTENS LÄN</t>
        </is>
      </c>
      <c r="E12338" t="inlineStr">
        <is>
          <t>DOROTEA</t>
        </is>
      </c>
      <c r="F12338" t="inlineStr">
        <is>
          <t>SCA</t>
        </is>
      </c>
      <c r="G12338" t="n">
        <v>0.8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26930-2025</t>
        </is>
      </c>
      <c r="B12339" s="1" t="n">
        <v>45811.39753472222</v>
      </c>
      <c r="C12339" s="1" t="n">
        <v>46075</v>
      </c>
      <c r="D12339" t="inlineStr">
        <is>
          <t>VÄSTERBOTTENS LÄN</t>
        </is>
      </c>
      <c r="E12339" t="inlineStr">
        <is>
          <t>UMEÅ</t>
        </is>
      </c>
      <c r="F12339" t="inlineStr">
        <is>
          <t>Sveaskog</t>
        </is>
      </c>
      <c r="G12339" t="n">
        <v>1.8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26601-2025</t>
        </is>
      </c>
      <c r="B12340" s="1" t="n">
        <v>45808.88428240741</v>
      </c>
      <c r="C12340" s="1" t="n">
        <v>46075</v>
      </c>
      <c r="D12340" t="inlineStr">
        <is>
          <t>VÄSTERBOTTENS LÄN</t>
        </is>
      </c>
      <c r="E12340" t="inlineStr">
        <is>
          <t>SKELLEFTEÅ</t>
        </is>
      </c>
      <c r="G12340" t="n">
        <v>0.4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26769-2025</t>
        </is>
      </c>
      <c r="B12341" s="1" t="n">
        <v>45810.56748842593</v>
      </c>
      <c r="C12341" s="1" t="n">
        <v>46075</v>
      </c>
      <c r="D12341" t="inlineStr">
        <is>
          <t>VÄSTERBOTTENS LÄN</t>
        </is>
      </c>
      <c r="E12341" t="inlineStr">
        <is>
          <t>VINDELN</t>
        </is>
      </c>
      <c r="F12341" t="inlineStr">
        <is>
          <t>Holmen skog AB</t>
        </is>
      </c>
      <c r="G12341" t="n">
        <v>3.5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5248-2024</t>
        </is>
      </c>
      <c r="B12342" s="1" t="n">
        <v>45330</v>
      </c>
      <c r="C12342" s="1" t="n">
        <v>46075</v>
      </c>
      <c r="D12342" t="inlineStr">
        <is>
          <t>VÄSTERBOTTENS LÄN</t>
        </is>
      </c>
      <c r="E12342" t="inlineStr">
        <is>
          <t>VINDELN</t>
        </is>
      </c>
      <c r="G12342" t="n">
        <v>1.4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59028-2024</t>
        </is>
      </c>
      <c r="B12343" s="1" t="n">
        <v>45636</v>
      </c>
      <c r="C12343" s="1" t="n">
        <v>46075</v>
      </c>
      <c r="D12343" t="inlineStr">
        <is>
          <t>VÄSTERBOTTENS LÄN</t>
        </is>
      </c>
      <c r="E12343" t="inlineStr">
        <is>
          <t>ROBERTSFORS</t>
        </is>
      </c>
      <c r="G12343" t="n">
        <v>5.4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26981-2025</t>
        </is>
      </c>
      <c r="B12344" s="1" t="n">
        <v>45811.48984953704</v>
      </c>
      <c r="C12344" s="1" t="n">
        <v>46075</v>
      </c>
      <c r="D12344" t="inlineStr">
        <is>
          <t>VÄSTERBOTTENS LÄN</t>
        </is>
      </c>
      <c r="E12344" t="inlineStr">
        <is>
          <t>MALÅ</t>
        </is>
      </c>
      <c r="F12344" t="inlineStr">
        <is>
          <t>Sveaskog</t>
        </is>
      </c>
      <c r="G12344" t="n">
        <v>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26718-2025</t>
        </is>
      </c>
      <c r="B12345" s="1" t="n">
        <v>45810.47646990741</v>
      </c>
      <c r="C12345" s="1" t="n">
        <v>46075</v>
      </c>
      <c r="D12345" t="inlineStr">
        <is>
          <t>VÄSTERBOTTENS LÄN</t>
        </is>
      </c>
      <c r="E12345" t="inlineStr">
        <is>
          <t>STORUMAN</t>
        </is>
      </c>
      <c r="F12345" t="inlineStr">
        <is>
          <t>Sveaskog</t>
        </is>
      </c>
      <c r="G12345" t="n">
        <v>6.9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26665-2025</t>
        </is>
      </c>
      <c r="B12346" s="1" t="n">
        <v>45810</v>
      </c>
      <c r="C12346" s="1" t="n">
        <v>46075</v>
      </c>
      <c r="D12346" t="inlineStr">
        <is>
          <t>VÄSTERBOTTENS LÄN</t>
        </is>
      </c>
      <c r="E12346" t="inlineStr">
        <is>
          <t>VÄNNÄS</t>
        </is>
      </c>
      <c r="G12346" t="n">
        <v>1.5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26722-2025</t>
        </is>
      </c>
      <c r="B12347" s="1" t="n">
        <v>45810</v>
      </c>
      <c r="C12347" s="1" t="n">
        <v>46075</v>
      </c>
      <c r="D12347" t="inlineStr">
        <is>
          <t>VÄSTERBOTTENS LÄN</t>
        </is>
      </c>
      <c r="E12347" t="inlineStr">
        <is>
          <t>VILHELMINA</t>
        </is>
      </c>
      <c r="F12347" t="inlineStr">
        <is>
          <t>SCA</t>
        </is>
      </c>
      <c r="G12347" t="n">
        <v>1.4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26632-2025</t>
        </is>
      </c>
      <c r="B12348" s="1" t="n">
        <v>45810.35230324074</v>
      </c>
      <c r="C12348" s="1" t="n">
        <v>46075</v>
      </c>
      <c r="D12348" t="inlineStr">
        <is>
          <t>VÄSTERBOTTENS LÄN</t>
        </is>
      </c>
      <c r="E12348" t="inlineStr">
        <is>
          <t>NORDMALING</t>
        </is>
      </c>
      <c r="G12348" t="n">
        <v>1.6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26644-2025</t>
        </is>
      </c>
      <c r="B12349" s="1" t="n">
        <v>45810.37159722222</v>
      </c>
      <c r="C12349" s="1" t="n">
        <v>46075</v>
      </c>
      <c r="D12349" t="inlineStr">
        <is>
          <t>VÄSTERBOTTENS LÄN</t>
        </is>
      </c>
      <c r="E12349" t="inlineStr">
        <is>
          <t>ROBERTSFORS</t>
        </is>
      </c>
      <c r="F12349" t="inlineStr">
        <is>
          <t>Holmen skog AB</t>
        </is>
      </c>
      <c r="G12349" t="n">
        <v>9.699999999999999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26745-2025</t>
        </is>
      </c>
      <c r="B12350" s="1" t="n">
        <v>45810.53188657408</v>
      </c>
      <c r="C12350" s="1" t="n">
        <v>46075</v>
      </c>
      <c r="D12350" t="inlineStr">
        <is>
          <t>VÄSTERBOTTENS LÄN</t>
        </is>
      </c>
      <c r="E12350" t="inlineStr">
        <is>
          <t>VILHELMINA</t>
        </is>
      </c>
      <c r="F12350" t="inlineStr">
        <is>
          <t>SCA</t>
        </is>
      </c>
      <c r="G12350" t="n">
        <v>0.3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26646-2025</t>
        </is>
      </c>
      <c r="B12351" s="1" t="n">
        <v>45810.38410879629</v>
      </c>
      <c r="C12351" s="1" t="n">
        <v>46075</v>
      </c>
      <c r="D12351" t="inlineStr">
        <is>
          <t>VÄSTERBOTTENS LÄN</t>
        </is>
      </c>
      <c r="E12351" t="inlineStr">
        <is>
          <t>SKELLEFTEÅ</t>
        </is>
      </c>
      <c r="F12351" t="inlineStr">
        <is>
          <t>Holmen skog AB</t>
        </is>
      </c>
      <c r="G12351" t="n">
        <v>1.8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8859-2023</t>
        </is>
      </c>
      <c r="B12352" s="1" t="n">
        <v>44978</v>
      </c>
      <c r="C12352" s="1" t="n">
        <v>46075</v>
      </c>
      <c r="D12352" t="inlineStr">
        <is>
          <t>VÄSTERBOTTENS LÄN</t>
        </is>
      </c>
      <c r="E12352" t="inlineStr">
        <is>
          <t>VILHELMINA</t>
        </is>
      </c>
      <c r="G12352" t="n">
        <v>6.3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1003-2025</t>
        </is>
      </c>
      <c r="B12353" s="1" t="n">
        <v>45666.47462962963</v>
      </c>
      <c r="C12353" s="1" t="n">
        <v>46075</v>
      </c>
      <c r="D12353" t="inlineStr">
        <is>
          <t>VÄSTERBOTTENS LÄN</t>
        </is>
      </c>
      <c r="E12353" t="inlineStr">
        <is>
          <t>UMEÅ</t>
        </is>
      </c>
      <c r="G12353" t="n">
        <v>13.5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11771-2023</t>
        </is>
      </c>
      <c r="B12354" s="1" t="n">
        <v>44994.6418287037</v>
      </c>
      <c r="C12354" s="1" t="n">
        <v>46075</v>
      </c>
      <c r="D12354" t="inlineStr">
        <is>
          <t>VÄSTERBOTTENS LÄN</t>
        </is>
      </c>
      <c r="E12354" t="inlineStr">
        <is>
          <t>SKELLEFTEÅ</t>
        </is>
      </c>
      <c r="G12354" t="n">
        <v>1.2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26919-2025</t>
        </is>
      </c>
      <c r="B12355" s="1" t="n">
        <v>45811.37582175926</v>
      </c>
      <c r="C12355" s="1" t="n">
        <v>46075</v>
      </c>
      <c r="D12355" t="inlineStr">
        <is>
          <t>VÄSTERBOTTENS LÄN</t>
        </is>
      </c>
      <c r="E12355" t="inlineStr">
        <is>
          <t>VINDELN</t>
        </is>
      </c>
      <c r="F12355" t="inlineStr">
        <is>
          <t>Sveaskog</t>
        </is>
      </c>
      <c r="G12355" t="n">
        <v>2.6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7768-2023</t>
        </is>
      </c>
      <c r="B12356" s="1" t="n">
        <v>44973.39023148148</v>
      </c>
      <c r="C12356" s="1" t="n">
        <v>46075</v>
      </c>
      <c r="D12356" t="inlineStr">
        <is>
          <t>VÄSTERBOTTENS LÄN</t>
        </is>
      </c>
      <c r="E12356" t="inlineStr">
        <is>
          <t>LYCKSELE</t>
        </is>
      </c>
      <c r="G12356" t="n">
        <v>2.3</v>
      </c>
      <c r="H12356" t="n">
        <v>0</v>
      </c>
      <c r="I12356" t="n">
        <v>0</v>
      </c>
      <c r="J12356" t="n">
        <v>0</v>
      </c>
      <c r="K12356" t="n">
        <v>0</v>
      </c>
      <c r="L12356" t="n">
        <v>0</v>
      </c>
      <c r="M12356" t="n">
        <v>0</v>
      </c>
      <c r="N12356" t="n">
        <v>0</v>
      </c>
      <c r="O12356" t="n">
        <v>0</v>
      </c>
      <c r="P12356" t="n">
        <v>0</v>
      </c>
      <c r="Q12356" t="n">
        <v>0</v>
      </c>
      <c r="R12356" s="2" t="inlineStr"/>
      <c r="U12356">
        <f>HYPERLINK("https://klasma.github.io/Logging_2481/knärot/A 7768-2023 karta knärot.png", "A 7768-2023")</f>
        <v/>
      </c>
      <c r="V12356">
        <f>HYPERLINK("https://klasma.github.io/Logging_2481/klagomål/A 7768-2023 FSC-klagomål.docx", "A 7768-2023")</f>
        <v/>
      </c>
      <c r="W12356">
        <f>HYPERLINK("https://klasma.github.io/Logging_2481/klagomålsmail/A 7768-2023 FSC-klagomål mail.docx", "A 7768-2023")</f>
        <v/>
      </c>
      <c r="X12356">
        <f>HYPERLINK("https://klasma.github.io/Logging_2481/tillsyn/A 7768-2023 tillsynsbegäran.docx", "A 7768-2023")</f>
        <v/>
      </c>
      <c r="Y12356">
        <f>HYPERLINK("https://klasma.github.io/Logging_2481/tillsynsmail/A 7768-2023 tillsynsbegäran mail.docx", "A 7768-2023")</f>
        <v/>
      </c>
    </row>
    <row r="12357" ht="15" customHeight="1">
      <c r="A12357" t="inlineStr">
        <is>
          <t>A 27051-2025</t>
        </is>
      </c>
      <c r="B12357" s="1" t="n">
        <v>45811.62070601852</v>
      </c>
      <c r="C12357" s="1" t="n">
        <v>46075</v>
      </c>
      <c r="D12357" t="inlineStr">
        <is>
          <t>VÄSTERBOTTENS LÄN</t>
        </is>
      </c>
      <c r="E12357" t="inlineStr">
        <is>
          <t>VINDELN</t>
        </is>
      </c>
      <c r="F12357" t="inlineStr">
        <is>
          <t>Sveaskog</t>
        </is>
      </c>
      <c r="G12357" t="n">
        <v>0.8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27082-2025</t>
        </is>
      </c>
      <c r="B12358" s="1" t="n">
        <v>45811.65423611111</v>
      </c>
      <c r="C12358" s="1" t="n">
        <v>46075</v>
      </c>
      <c r="D12358" t="inlineStr">
        <is>
          <t>VÄSTERBOTTENS LÄN</t>
        </is>
      </c>
      <c r="E12358" t="inlineStr">
        <is>
          <t>SKELLEFTEÅ</t>
        </is>
      </c>
      <c r="F12358" t="inlineStr">
        <is>
          <t>Sveaskog</t>
        </is>
      </c>
      <c r="G12358" t="n">
        <v>2.1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26883-2025</t>
        </is>
      </c>
      <c r="B12359" s="1" t="n">
        <v>45810.8708912037</v>
      </c>
      <c r="C12359" s="1" t="n">
        <v>46075</v>
      </c>
      <c r="D12359" t="inlineStr">
        <is>
          <t>VÄSTERBOTTENS LÄN</t>
        </is>
      </c>
      <c r="E12359" t="inlineStr">
        <is>
          <t>BJURHOLM</t>
        </is>
      </c>
      <c r="G12359" t="n">
        <v>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26893-2025</t>
        </is>
      </c>
      <c r="B12360" s="1" t="n">
        <v>45811.33413194444</v>
      </c>
      <c r="C12360" s="1" t="n">
        <v>46075</v>
      </c>
      <c r="D12360" t="inlineStr">
        <is>
          <t>VÄSTERBOTTENS LÄN</t>
        </is>
      </c>
      <c r="E12360" t="inlineStr">
        <is>
          <t>LYCKSELE</t>
        </is>
      </c>
      <c r="F12360" t="inlineStr">
        <is>
          <t>Holmen skog AB</t>
        </is>
      </c>
      <c r="G12360" t="n">
        <v>22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26764-2025</t>
        </is>
      </c>
      <c r="B12361" s="1" t="n">
        <v>45810.56498842593</v>
      </c>
      <c r="C12361" s="1" t="n">
        <v>46075</v>
      </c>
      <c r="D12361" t="inlineStr">
        <is>
          <t>VÄSTERBOTTENS LÄN</t>
        </is>
      </c>
      <c r="E12361" t="inlineStr">
        <is>
          <t>STORUMAN</t>
        </is>
      </c>
      <c r="F12361" t="inlineStr">
        <is>
          <t>Sveaskog</t>
        </is>
      </c>
      <c r="G12361" t="n">
        <v>12.6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26782-2025</t>
        </is>
      </c>
      <c r="B12362" s="1" t="n">
        <v>45810</v>
      </c>
      <c r="C12362" s="1" t="n">
        <v>46075</v>
      </c>
      <c r="D12362" t="inlineStr">
        <is>
          <t>VÄSTERBOTTENS LÄN</t>
        </is>
      </c>
      <c r="E12362" t="inlineStr">
        <is>
          <t>ÅSELE</t>
        </is>
      </c>
      <c r="G12362" t="n">
        <v>3.3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26767-2025</t>
        </is>
      </c>
      <c r="B12363" s="1" t="n">
        <v>45810.56726851852</v>
      </c>
      <c r="C12363" s="1" t="n">
        <v>46075</v>
      </c>
      <c r="D12363" t="inlineStr">
        <is>
          <t>VÄSTERBOTTENS LÄN</t>
        </is>
      </c>
      <c r="E12363" t="inlineStr">
        <is>
          <t>SKELLEFTEÅ</t>
        </is>
      </c>
      <c r="F12363" t="inlineStr">
        <is>
          <t>Holmen skog AB</t>
        </is>
      </c>
      <c r="G12363" t="n">
        <v>9.9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5636-2024</t>
        </is>
      </c>
      <c r="B12364" s="1" t="n">
        <v>45334.61045138889</v>
      </c>
      <c r="C12364" s="1" t="n">
        <v>46075</v>
      </c>
      <c r="D12364" t="inlineStr">
        <is>
          <t>VÄSTERBOTTENS LÄN</t>
        </is>
      </c>
      <c r="E12364" t="inlineStr">
        <is>
          <t>SKELLEFTEÅ</t>
        </is>
      </c>
      <c r="G12364" t="n">
        <v>5.8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55053-2023</t>
        </is>
      </c>
      <c r="B12365" s="1" t="n">
        <v>45237</v>
      </c>
      <c r="C12365" s="1" t="n">
        <v>46075</v>
      </c>
      <c r="D12365" t="inlineStr">
        <is>
          <t>VÄSTERBOTTENS LÄN</t>
        </is>
      </c>
      <c r="E12365" t="inlineStr">
        <is>
          <t>UMEÅ</t>
        </is>
      </c>
      <c r="G12365" t="n">
        <v>1.3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52039-2023</t>
        </is>
      </c>
      <c r="B12366" s="1" t="n">
        <v>45223</v>
      </c>
      <c r="C12366" s="1" t="n">
        <v>46075</v>
      </c>
      <c r="D12366" t="inlineStr">
        <is>
          <t>VÄSTERBOTTENS LÄN</t>
        </is>
      </c>
      <c r="E12366" t="inlineStr">
        <is>
          <t>LYCKSELE</t>
        </is>
      </c>
      <c r="F12366" t="inlineStr">
        <is>
          <t>Sveaskog</t>
        </is>
      </c>
      <c r="G12366" t="n">
        <v>4.4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3303-2024</t>
        </is>
      </c>
      <c r="B12367" s="1" t="n">
        <v>45316</v>
      </c>
      <c r="C12367" s="1" t="n">
        <v>46075</v>
      </c>
      <c r="D12367" t="inlineStr">
        <is>
          <t>VÄSTERBOTTENS LÄN</t>
        </is>
      </c>
      <c r="E12367" t="inlineStr">
        <is>
          <t>LYCKSELE</t>
        </is>
      </c>
      <c r="G12367" t="n">
        <v>2.1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21600-2024</t>
        </is>
      </c>
      <c r="B12368" s="1" t="n">
        <v>45441</v>
      </c>
      <c r="C12368" s="1" t="n">
        <v>46075</v>
      </c>
      <c r="D12368" t="inlineStr">
        <is>
          <t>VÄSTERBOTTENS LÄN</t>
        </is>
      </c>
      <c r="E12368" t="inlineStr">
        <is>
          <t>NORSJÖ</t>
        </is>
      </c>
      <c r="G12368" t="n">
        <v>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64334-2023</t>
        </is>
      </c>
      <c r="B12369" s="1" t="n">
        <v>45279</v>
      </c>
      <c r="C12369" s="1" t="n">
        <v>46075</v>
      </c>
      <c r="D12369" t="inlineStr">
        <is>
          <t>VÄSTERBOTTENS LÄN</t>
        </is>
      </c>
      <c r="E12369" t="inlineStr">
        <is>
          <t>LYCKSELE</t>
        </is>
      </c>
      <c r="G12369" t="n">
        <v>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27601-2025</t>
        </is>
      </c>
      <c r="B12370" s="1" t="n">
        <v>45813.52791666667</v>
      </c>
      <c r="C12370" s="1" t="n">
        <v>46075</v>
      </c>
      <c r="D12370" t="inlineStr">
        <is>
          <t>VÄSTERBOTTENS LÄN</t>
        </is>
      </c>
      <c r="E12370" t="inlineStr">
        <is>
          <t>VILHELMINA</t>
        </is>
      </c>
      <c r="F12370" t="inlineStr">
        <is>
          <t>Övriga statliga verk och myndigheter</t>
        </is>
      </c>
      <c r="G12370" t="n">
        <v>36.5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27464-2025</t>
        </is>
      </c>
      <c r="B12371" s="1" t="n">
        <v>45813</v>
      </c>
      <c r="C12371" s="1" t="n">
        <v>46075</v>
      </c>
      <c r="D12371" t="inlineStr">
        <is>
          <t>VÄSTERBOTTENS LÄN</t>
        </is>
      </c>
      <c r="E12371" t="inlineStr">
        <is>
          <t>ÅSELE</t>
        </is>
      </c>
      <c r="F12371" t="inlineStr">
        <is>
          <t>SCA</t>
        </is>
      </c>
      <c r="G12371" t="n">
        <v>4.5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27477-2025</t>
        </is>
      </c>
      <c r="B12372" s="1" t="n">
        <v>45813.37619212963</v>
      </c>
      <c r="C12372" s="1" t="n">
        <v>46075</v>
      </c>
      <c r="D12372" t="inlineStr">
        <is>
          <t>VÄSTERBOTTENS LÄN</t>
        </is>
      </c>
      <c r="E12372" t="inlineStr">
        <is>
          <t>SKELLEFTEÅ</t>
        </is>
      </c>
      <c r="G12372" t="n">
        <v>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27246-2025</t>
        </is>
      </c>
      <c r="B12373" s="1" t="n">
        <v>45812.46246527778</v>
      </c>
      <c r="C12373" s="1" t="n">
        <v>46075</v>
      </c>
      <c r="D12373" t="inlineStr">
        <is>
          <t>VÄSTERBOTTENS LÄN</t>
        </is>
      </c>
      <c r="E12373" t="inlineStr">
        <is>
          <t>UMEÅ</t>
        </is>
      </c>
      <c r="G12373" t="n">
        <v>7.2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27588-2025</t>
        </is>
      </c>
      <c r="B12374" s="1" t="n">
        <v>45813.50950231482</v>
      </c>
      <c r="C12374" s="1" t="n">
        <v>46075</v>
      </c>
      <c r="D12374" t="inlineStr">
        <is>
          <t>VÄSTERBOTTENS LÄN</t>
        </is>
      </c>
      <c r="E12374" t="inlineStr">
        <is>
          <t>LYCKSELE</t>
        </is>
      </c>
      <c r="G12374" t="n">
        <v>5.3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27851-2024</t>
        </is>
      </c>
      <c r="B12375" s="1" t="n">
        <v>45475.6459837963</v>
      </c>
      <c r="C12375" s="1" t="n">
        <v>46075</v>
      </c>
      <c r="D12375" t="inlineStr">
        <is>
          <t>VÄSTERBOTTENS LÄN</t>
        </is>
      </c>
      <c r="E12375" t="inlineStr">
        <is>
          <t>SKELLEFTEÅ</t>
        </is>
      </c>
      <c r="F12375" t="inlineStr">
        <is>
          <t>Sveaskog</t>
        </is>
      </c>
      <c r="G12375" t="n">
        <v>13.3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27237-2025</t>
        </is>
      </c>
      <c r="B12376" s="1" t="n">
        <v>45812.44833333333</v>
      </c>
      <c r="C12376" s="1" t="n">
        <v>46075</v>
      </c>
      <c r="D12376" t="inlineStr">
        <is>
          <t>VÄSTERBOTTENS LÄN</t>
        </is>
      </c>
      <c r="E12376" t="inlineStr">
        <is>
          <t>DOROTEA</t>
        </is>
      </c>
      <c r="F12376" t="inlineStr">
        <is>
          <t>SCA</t>
        </is>
      </c>
      <c r="G12376" t="n">
        <v>8.699999999999999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52105-2023</t>
        </is>
      </c>
      <c r="B12377" s="1" t="n">
        <v>45223.92668981481</v>
      </c>
      <c r="C12377" s="1" t="n">
        <v>46075</v>
      </c>
      <c r="D12377" t="inlineStr">
        <is>
          <t>VÄSTERBOTTENS LÄN</t>
        </is>
      </c>
      <c r="E12377" t="inlineStr">
        <is>
          <t>SKELLEFTEÅ</t>
        </is>
      </c>
      <c r="G12377" t="n">
        <v>1.5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27612-2025</t>
        </is>
      </c>
      <c r="B12378" s="1" t="n">
        <v>45813.53979166667</v>
      </c>
      <c r="C12378" s="1" t="n">
        <v>46075</v>
      </c>
      <c r="D12378" t="inlineStr">
        <is>
          <t>VÄSTERBOTTENS LÄN</t>
        </is>
      </c>
      <c r="E12378" t="inlineStr">
        <is>
          <t>BJURHOLM</t>
        </is>
      </c>
      <c r="G12378" t="n">
        <v>3.9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27641-2025</t>
        </is>
      </c>
      <c r="B12379" s="1" t="n">
        <v>45813.58498842592</v>
      </c>
      <c r="C12379" s="1" t="n">
        <v>46075</v>
      </c>
      <c r="D12379" t="inlineStr">
        <is>
          <t>VÄSTERBOTTENS LÄN</t>
        </is>
      </c>
      <c r="E12379" t="inlineStr">
        <is>
          <t>SKELLEFTEÅ</t>
        </is>
      </c>
      <c r="G12379" t="n">
        <v>1.7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27471-2025</t>
        </is>
      </c>
      <c r="B12380" s="1" t="n">
        <v>45813.36581018518</v>
      </c>
      <c r="C12380" s="1" t="n">
        <v>46075</v>
      </c>
      <c r="D12380" t="inlineStr">
        <is>
          <t>VÄSTERBOTTENS LÄN</t>
        </is>
      </c>
      <c r="E12380" t="inlineStr">
        <is>
          <t>LYCKSELE</t>
        </is>
      </c>
      <c r="G12380" t="n">
        <v>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27479-2025</t>
        </is>
      </c>
      <c r="B12381" s="1" t="n">
        <v>45813.37797453703</v>
      </c>
      <c r="C12381" s="1" t="n">
        <v>46075</v>
      </c>
      <c r="D12381" t="inlineStr">
        <is>
          <t>VÄSTERBOTTENS LÄN</t>
        </is>
      </c>
      <c r="E12381" t="inlineStr">
        <is>
          <t>ROBERTSFORS</t>
        </is>
      </c>
      <c r="F12381" t="inlineStr">
        <is>
          <t>Holmen skog AB</t>
        </is>
      </c>
      <c r="G12381" t="n">
        <v>2.6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27214-2025</t>
        </is>
      </c>
      <c r="B12382" s="1" t="n">
        <v>45812.41510416667</v>
      </c>
      <c r="C12382" s="1" t="n">
        <v>46075</v>
      </c>
      <c r="D12382" t="inlineStr">
        <is>
          <t>VÄSTERBOTTENS LÄN</t>
        </is>
      </c>
      <c r="E12382" t="inlineStr">
        <is>
          <t>NORSJÖ</t>
        </is>
      </c>
      <c r="F12382" t="inlineStr">
        <is>
          <t>Holmen skog AB</t>
        </is>
      </c>
      <c r="G12382" t="n">
        <v>8.4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48089-2024</t>
        </is>
      </c>
      <c r="B12383" s="1" t="n">
        <v>45589</v>
      </c>
      <c r="C12383" s="1" t="n">
        <v>46075</v>
      </c>
      <c r="D12383" t="inlineStr">
        <is>
          <t>VÄSTERBOTTENS LÄN</t>
        </is>
      </c>
      <c r="E12383" t="inlineStr">
        <is>
          <t>MALÅ</t>
        </is>
      </c>
      <c r="F12383" t="inlineStr">
        <is>
          <t>SCA</t>
        </is>
      </c>
      <c r="G12383" t="n">
        <v>5.1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27564-2025</t>
        </is>
      </c>
      <c r="B12384" s="1" t="n">
        <v>45813.48702546296</v>
      </c>
      <c r="C12384" s="1" t="n">
        <v>46075</v>
      </c>
      <c r="D12384" t="inlineStr">
        <is>
          <t>VÄSTERBOTTENS LÄN</t>
        </is>
      </c>
      <c r="E12384" t="inlineStr">
        <is>
          <t>LYCKSELE</t>
        </is>
      </c>
      <c r="G12384" t="n">
        <v>6.7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27568-2025</t>
        </is>
      </c>
      <c r="B12385" s="1" t="n">
        <v>45813.49008101852</v>
      </c>
      <c r="C12385" s="1" t="n">
        <v>46075</v>
      </c>
      <c r="D12385" t="inlineStr">
        <is>
          <t>VÄSTERBOTTENS LÄN</t>
        </is>
      </c>
      <c r="E12385" t="inlineStr">
        <is>
          <t>VINDELN</t>
        </is>
      </c>
      <c r="F12385" t="inlineStr">
        <is>
          <t>SCA</t>
        </is>
      </c>
      <c r="G12385" t="n">
        <v>7.2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27595-2025</t>
        </is>
      </c>
      <c r="B12386" s="1" t="n">
        <v>45813.52065972222</v>
      </c>
      <c r="C12386" s="1" t="n">
        <v>46075</v>
      </c>
      <c r="D12386" t="inlineStr">
        <is>
          <t>VÄSTERBOTTENS LÄN</t>
        </is>
      </c>
      <c r="E12386" t="inlineStr">
        <is>
          <t>LYCKSELE</t>
        </is>
      </c>
      <c r="G12386" t="n">
        <v>10</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27541-2025</t>
        </is>
      </c>
      <c r="B12387" s="1" t="n">
        <v>45813.46613425926</v>
      </c>
      <c r="C12387" s="1" t="n">
        <v>46075</v>
      </c>
      <c r="D12387" t="inlineStr">
        <is>
          <t>VÄSTERBOTTENS LÄN</t>
        </is>
      </c>
      <c r="E12387" t="inlineStr">
        <is>
          <t>ROBERTSFORS</t>
        </is>
      </c>
      <c r="G12387" t="n">
        <v>7.6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27400-2025</t>
        </is>
      </c>
      <c r="B12388" s="1" t="n">
        <v>45812.69835648148</v>
      </c>
      <c r="C12388" s="1" t="n">
        <v>46075</v>
      </c>
      <c r="D12388" t="inlineStr">
        <is>
          <t>VÄSTERBOTTENS LÄN</t>
        </is>
      </c>
      <c r="E12388" t="inlineStr">
        <is>
          <t>SKELLEFTEÅ</t>
        </is>
      </c>
      <c r="G12388" t="n">
        <v>5.1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27428-2025</t>
        </is>
      </c>
      <c r="B12389" s="1" t="n">
        <v>45813.28868055555</v>
      </c>
      <c r="C12389" s="1" t="n">
        <v>46075</v>
      </c>
      <c r="D12389" t="inlineStr">
        <is>
          <t>VÄSTERBOTTENS LÄN</t>
        </is>
      </c>
      <c r="E12389" t="inlineStr">
        <is>
          <t>VINDELN</t>
        </is>
      </c>
      <c r="F12389" t="inlineStr">
        <is>
          <t>Holmen skog AB</t>
        </is>
      </c>
      <c r="G12389" t="n">
        <v>6.5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27437-2025</t>
        </is>
      </c>
      <c r="B12390" s="1" t="n">
        <v>45813.31398148148</v>
      </c>
      <c r="C12390" s="1" t="n">
        <v>46075</v>
      </c>
      <c r="D12390" t="inlineStr">
        <is>
          <t>VÄSTERBOTTENS LÄN</t>
        </is>
      </c>
      <c r="E12390" t="inlineStr">
        <is>
          <t>SKELLEFTEÅ</t>
        </is>
      </c>
      <c r="G12390" t="n">
        <v>1.9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10568-2023</t>
        </is>
      </c>
      <c r="B12391" s="1" t="n">
        <v>44981</v>
      </c>
      <c r="C12391" s="1" t="n">
        <v>46075</v>
      </c>
      <c r="D12391" t="inlineStr">
        <is>
          <t>VÄSTERBOTTENS LÄN</t>
        </is>
      </c>
      <c r="E12391" t="inlineStr">
        <is>
          <t>SKELLEFTEÅ</t>
        </is>
      </c>
      <c r="G12391" t="n">
        <v>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27614-2025</t>
        </is>
      </c>
      <c r="B12392" s="1" t="n">
        <v>45813.54122685185</v>
      </c>
      <c r="C12392" s="1" t="n">
        <v>46075</v>
      </c>
      <c r="D12392" t="inlineStr">
        <is>
          <t>VÄSTERBOTTENS LÄN</t>
        </is>
      </c>
      <c r="E12392" t="inlineStr">
        <is>
          <t>BJURHOLM</t>
        </is>
      </c>
      <c r="G12392" t="n">
        <v>2.9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27621-2025</t>
        </is>
      </c>
      <c r="B12393" s="1" t="n">
        <v>45813.55248842593</v>
      </c>
      <c r="C12393" s="1" t="n">
        <v>46075</v>
      </c>
      <c r="D12393" t="inlineStr">
        <is>
          <t>VÄSTERBOTTENS LÄN</t>
        </is>
      </c>
      <c r="E12393" t="inlineStr">
        <is>
          <t>DOROTEA</t>
        </is>
      </c>
      <c r="F12393" t="inlineStr">
        <is>
          <t>SCA</t>
        </is>
      </c>
      <c r="G12393" t="n">
        <v>2.5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27643-2025</t>
        </is>
      </c>
      <c r="B12394" s="1" t="n">
        <v>45813.59416666667</v>
      </c>
      <c r="C12394" s="1" t="n">
        <v>46075</v>
      </c>
      <c r="D12394" t="inlineStr">
        <is>
          <t>VÄSTERBOTTENS LÄN</t>
        </is>
      </c>
      <c r="E12394" t="inlineStr">
        <is>
          <t>LYCKSELE</t>
        </is>
      </c>
      <c r="F12394" t="inlineStr">
        <is>
          <t>SCA</t>
        </is>
      </c>
      <c r="G12394" t="n">
        <v>6.3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27645-2025</t>
        </is>
      </c>
      <c r="B12395" s="1" t="n">
        <v>45813.59431712963</v>
      </c>
      <c r="C12395" s="1" t="n">
        <v>46075</v>
      </c>
      <c r="D12395" t="inlineStr">
        <is>
          <t>VÄSTERBOTTENS LÄN</t>
        </is>
      </c>
      <c r="E12395" t="inlineStr">
        <is>
          <t>VINDELN</t>
        </is>
      </c>
      <c r="F12395" t="inlineStr">
        <is>
          <t>SCA</t>
        </is>
      </c>
      <c r="G12395" t="n">
        <v>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244-2024</t>
        </is>
      </c>
      <c r="B12396" s="1" t="n">
        <v>45294.93322916667</v>
      </c>
      <c r="C12396" s="1" t="n">
        <v>46075</v>
      </c>
      <c r="D12396" t="inlineStr">
        <is>
          <t>VÄSTERBOTTENS LÄN</t>
        </is>
      </c>
      <c r="E12396" t="inlineStr">
        <is>
          <t>STORUMAN</t>
        </is>
      </c>
      <c r="G12396" t="n">
        <v>6.6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27442-2025</t>
        </is>
      </c>
      <c r="B12397" s="1" t="n">
        <v>45813.31957175926</v>
      </c>
      <c r="C12397" s="1" t="n">
        <v>46075</v>
      </c>
      <c r="D12397" t="inlineStr">
        <is>
          <t>VÄSTERBOTTENS LÄN</t>
        </is>
      </c>
      <c r="E12397" t="inlineStr">
        <is>
          <t>SKELLEFTEÅ</t>
        </is>
      </c>
      <c r="G12397" t="n">
        <v>3.6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27433-2025</t>
        </is>
      </c>
      <c r="B12398" s="1" t="n">
        <v>45813.31068287037</v>
      </c>
      <c r="C12398" s="1" t="n">
        <v>46075</v>
      </c>
      <c r="D12398" t="inlineStr">
        <is>
          <t>VÄSTERBOTTENS LÄN</t>
        </is>
      </c>
      <c r="E12398" t="inlineStr">
        <is>
          <t>SKELLEFTEÅ</t>
        </is>
      </c>
      <c r="G12398" t="n">
        <v>3.2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27657-2025</t>
        </is>
      </c>
      <c r="B12399" s="1" t="n">
        <v>45813.61297453703</v>
      </c>
      <c r="C12399" s="1" t="n">
        <v>46075</v>
      </c>
      <c r="D12399" t="inlineStr">
        <is>
          <t>VÄSTERBOTTENS LÄN</t>
        </is>
      </c>
      <c r="E12399" t="inlineStr">
        <is>
          <t>VINDELN</t>
        </is>
      </c>
      <c r="F12399" t="inlineStr">
        <is>
          <t>Holmen skog AB</t>
        </is>
      </c>
      <c r="G12399" t="n">
        <v>3.3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51073-2024</t>
        </is>
      </c>
      <c r="B12400" s="1" t="n">
        <v>45603.44994212963</v>
      </c>
      <c r="C12400" s="1" t="n">
        <v>46075</v>
      </c>
      <c r="D12400" t="inlineStr">
        <is>
          <t>VÄSTERBOTTENS LÄN</t>
        </is>
      </c>
      <c r="E12400" t="inlineStr">
        <is>
          <t>VINDELN</t>
        </is>
      </c>
      <c r="G12400" t="n">
        <v>4.5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25161-2024</t>
        </is>
      </c>
      <c r="B12401" s="1" t="n">
        <v>45462.53011574074</v>
      </c>
      <c r="C12401" s="1" t="n">
        <v>46075</v>
      </c>
      <c r="D12401" t="inlineStr">
        <is>
          <t>VÄSTERBOTTENS LÄN</t>
        </is>
      </c>
      <c r="E12401" t="inlineStr">
        <is>
          <t>NORSJÖ</t>
        </is>
      </c>
      <c r="G12401" t="n">
        <v>5.4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6052-2025</t>
        </is>
      </c>
      <c r="B12402" s="1" t="n">
        <v>45695.71142361111</v>
      </c>
      <c r="C12402" s="1" t="n">
        <v>46075</v>
      </c>
      <c r="D12402" t="inlineStr">
        <is>
          <t>VÄSTERBOTTENS LÄN</t>
        </is>
      </c>
      <c r="E12402" t="inlineStr">
        <is>
          <t>VINDELN</t>
        </is>
      </c>
      <c r="G12402" t="n">
        <v>18.6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27695-2025</t>
        </is>
      </c>
      <c r="B12403" s="1" t="n">
        <v>45813.65725694445</v>
      </c>
      <c r="C12403" s="1" t="n">
        <v>46075</v>
      </c>
      <c r="D12403" t="inlineStr">
        <is>
          <t>VÄSTERBOTTENS LÄN</t>
        </is>
      </c>
      <c r="E12403" t="inlineStr">
        <is>
          <t>VINDELN</t>
        </is>
      </c>
      <c r="F12403" t="inlineStr">
        <is>
          <t>SCA</t>
        </is>
      </c>
      <c r="G12403" t="n">
        <v>20.5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27578-2025</t>
        </is>
      </c>
      <c r="B12404" s="1" t="n">
        <v>45813</v>
      </c>
      <c r="C12404" s="1" t="n">
        <v>46075</v>
      </c>
      <c r="D12404" t="inlineStr">
        <is>
          <t>VÄSTERBOTTENS LÄN</t>
        </is>
      </c>
      <c r="E12404" t="inlineStr">
        <is>
          <t>SKELLEFTEÅ</t>
        </is>
      </c>
      <c r="G12404" t="n">
        <v>0.3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27579-2025</t>
        </is>
      </c>
      <c r="B12405" s="1" t="n">
        <v>45813</v>
      </c>
      <c r="C12405" s="1" t="n">
        <v>46075</v>
      </c>
      <c r="D12405" t="inlineStr">
        <is>
          <t>VÄSTERBOTTENS LÄN</t>
        </is>
      </c>
      <c r="E12405" t="inlineStr">
        <is>
          <t>SKELLEFTEÅ</t>
        </is>
      </c>
      <c r="G12405" t="n">
        <v>0.5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27597-2025</t>
        </is>
      </c>
      <c r="B12406" s="1" t="n">
        <v>45813.52341435185</v>
      </c>
      <c r="C12406" s="1" t="n">
        <v>46075</v>
      </c>
      <c r="D12406" t="inlineStr">
        <is>
          <t>VÄSTERBOTTENS LÄN</t>
        </is>
      </c>
      <c r="E12406" t="inlineStr">
        <is>
          <t>BJURHOLM</t>
        </is>
      </c>
      <c r="G12406" t="n">
        <v>3.4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27654-2025</t>
        </is>
      </c>
      <c r="B12407" s="1" t="n">
        <v>45813.60324074074</v>
      </c>
      <c r="C12407" s="1" t="n">
        <v>46075</v>
      </c>
      <c r="D12407" t="inlineStr">
        <is>
          <t>VÄSTERBOTTENS LÄN</t>
        </is>
      </c>
      <c r="E12407" t="inlineStr">
        <is>
          <t>VINDELN</t>
        </is>
      </c>
      <c r="G12407" t="n">
        <v>1.6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27681-2025</t>
        </is>
      </c>
      <c r="B12408" s="1" t="n">
        <v>45813.646875</v>
      </c>
      <c r="C12408" s="1" t="n">
        <v>46075</v>
      </c>
      <c r="D12408" t="inlineStr">
        <is>
          <t>VÄSTERBOTTENS LÄN</t>
        </is>
      </c>
      <c r="E12408" t="inlineStr">
        <is>
          <t>UMEÅ</t>
        </is>
      </c>
      <c r="G12408" t="n">
        <v>6.9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27610-2025</t>
        </is>
      </c>
      <c r="B12409" s="1" t="n">
        <v>45813.53611111111</v>
      </c>
      <c r="C12409" s="1" t="n">
        <v>46075</v>
      </c>
      <c r="D12409" t="inlineStr">
        <is>
          <t>VÄSTERBOTTENS LÄN</t>
        </is>
      </c>
      <c r="E12409" t="inlineStr">
        <is>
          <t>LYCKSELE</t>
        </is>
      </c>
      <c r="F12409" t="inlineStr">
        <is>
          <t>Holmen skog AB</t>
        </is>
      </c>
      <c r="G12409" t="n">
        <v>15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27627-2025</t>
        </is>
      </c>
      <c r="B12410" s="1" t="n">
        <v>45813.55851851852</v>
      </c>
      <c r="C12410" s="1" t="n">
        <v>46075</v>
      </c>
      <c r="D12410" t="inlineStr">
        <is>
          <t>VÄSTERBOTTENS LÄN</t>
        </is>
      </c>
      <c r="E12410" t="inlineStr">
        <is>
          <t>VINDELN</t>
        </is>
      </c>
      <c r="F12410" t="inlineStr">
        <is>
          <t>Holmen skog AB</t>
        </is>
      </c>
      <c r="G12410" t="n">
        <v>1.4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27144-2025</t>
        </is>
      </c>
      <c r="B12411" s="1" t="n">
        <v>45812.28108796296</v>
      </c>
      <c r="C12411" s="1" t="n">
        <v>46075</v>
      </c>
      <c r="D12411" t="inlineStr">
        <is>
          <t>VÄSTERBOTTENS LÄN</t>
        </is>
      </c>
      <c r="E12411" t="inlineStr">
        <is>
          <t>SKELLEFTEÅ</t>
        </is>
      </c>
      <c r="G12411" t="n">
        <v>0.9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27172-2025</t>
        </is>
      </c>
      <c r="B12412" s="1" t="n">
        <v>45812.34858796297</v>
      </c>
      <c r="C12412" s="1" t="n">
        <v>46075</v>
      </c>
      <c r="D12412" t="inlineStr">
        <is>
          <t>VÄSTERBOTTENS LÄN</t>
        </is>
      </c>
      <c r="E12412" t="inlineStr">
        <is>
          <t>UMEÅ</t>
        </is>
      </c>
      <c r="G12412" t="n">
        <v>3.6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27173-2025</t>
        </is>
      </c>
      <c r="B12413" s="1" t="n">
        <v>45812.34997685185</v>
      </c>
      <c r="C12413" s="1" t="n">
        <v>46075</v>
      </c>
      <c r="D12413" t="inlineStr">
        <is>
          <t>VÄSTERBOTTENS LÄN</t>
        </is>
      </c>
      <c r="E12413" t="inlineStr">
        <is>
          <t>UMEÅ</t>
        </is>
      </c>
      <c r="G12413" t="n">
        <v>1.1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16415-2025</t>
        </is>
      </c>
      <c r="B12414" s="1" t="n">
        <v>45751.46192129629</v>
      </c>
      <c r="C12414" s="1" t="n">
        <v>46075</v>
      </c>
      <c r="D12414" t="inlineStr">
        <is>
          <t>VÄSTERBOTTENS LÄN</t>
        </is>
      </c>
      <c r="E12414" t="inlineStr">
        <is>
          <t>SKELLEFTEÅ</t>
        </is>
      </c>
      <c r="G12414" t="n">
        <v>1.4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27689-2025</t>
        </is>
      </c>
      <c r="B12415" s="1" t="n">
        <v>45813.65648148148</v>
      </c>
      <c r="C12415" s="1" t="n">
        <v>46075</v>
      </c>
      <c r="D12415" t="inlineStr">
        <is>
          <t>VÄSTERBOTTENS LÄN</t>
        </is>
      </c>
      <c r="E12415" t="inlineStr">
        <is>
          <t>UMEÅ</t>
        </is>
      </c>
      <c r="F12415" t="inlineStr">
        <is>
          <t>Holmen skog AB</t>
        </is>
      </c>
      <c r="G12415" t="n">
        <v>6.7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27306-2025</t>
        </is>
      </c>
      <c r="B12416" s="1" t="n">
        <v>45812.57329861111</v>
      </c>
      <c r="C12416" s="1" t="n">
        <v>46075</v>
      </c>
      <c r="D12416" t="inlineStr">
        <is>
          <t>VÄSTERBOTTENS LÄN</t>
        </is>
      </c>
      <c r="E12416" t="inlineStr">
        <is>
          <t>LYCKSELE</t>
        </is>
      </c>
      <c r="F12416" t="inlineStr">
        <is>
          <t>SCA</t>
        </is>
      </c>
      <c r="G12416" t="n">
        <v>7.1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27687-2025</t>
        </is>
      </c>
      <c r="B12417" s="1" t="n">
        <v>45813.654375</v>
      </c>
      <c r="C12417" s="1" t="n">
        <v>46075</v>
      </c>
      <c r="D12417" t="inlineStr">
        <is>
          <t>VÄSTERBOTTENS LÄN</t>
        </is>
      </c>
      <c r="E12417" t="inlineStr">
        <is>
          <t>ROBERTSFORS</t>
        </is>
      </c>
      <c r="G12417" t="n">
        <v>5.3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27698-2025</t>
        </is>
      </c>
      <c r="B12418" s="1" t="n">
        <v>45813.67741898148</v>
      </c>
      <c r="C12418" s="1" t="n">
        <v>46075</v>
      </c>
      <c r="D12418" t="inlineStr">
        <is>
          <t>VÄSTERBOTTENS LÄN</t>
        </is>
      </c>
      <c r="E12418" t="inlineStr">
        <is>
          <t>ÅSELE</t>
        </is>
      </c>
      <c r="F12418" t="inlineStr">
        <is>
          <t>SCA</t>
        </is>
      </c>
      <c r="G12418" t="n">
        <v>18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27699-2025</t>
        </is>
      </c>
      <c r="B12419" s="1" t="n">
        <v>45813.67763888889</v>
      </c>
      <c r="C12419" s="1" t="n">
        <v>46075</v>
      </c>
      <c r="D12419" t="inlineStr">
        <is>
          <t>VÄSTERBOTTENS LÄN</t>
        </is>
      </c>
      <c r="E12419" t="inlineStr">
        <is>
          <t>VINDELN</t>
        </is>
      </c>
      <c r="F12419" t="inlineStr">
        <is>
          <t>SCA</t>
        </is>
      </c>
      <c r="G12419" t="n">
        <v>25.3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27256-2025</t>
        </is>
      </c>
      <c r="B12420" s="1" t="n">
        <v>45812.47314814815</v>
      </c>
      <c r="C12420" s="1" t="n">
        <v>46075</v>
      </c>
      <c r="D12420" t="inlineStr">
        <is>
          <t>VÄSTERBOTTENS LÄN</t>
        </is>
      </c>
      <c r="E12420" t="inlineStr">
        <is>
          <t>BJURHOLM</t>
        </is>
      </c>
      <c r="G12420" t="n">
        <v>48.1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56085-2024</t>
        </is>
      </c>
      <c r="B12421" s="1" t="n">
        <v>45623</v>
      </c>
      <c r="C12421" s="1" t="n">
        <v>46075</v>
      </c>
      <c r="D12421" t="inlineStr">
        <is>
          <t>VÄSTERBOTTENS LÄN</t>
        </is>
      </c>
      <c r="E12421" t="inlineStr">
        <is>
          <t>UMEÅ</t>
        </is>
      </c>
      <c r="G12421" t="n">
        <v>1.4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6448-2024</t>
        </is>
      </c>
      <c r="B12422" s="1" t="n">
        <v>45338.67314814815</v>
      </c>
      <c r="C12422" s="1" t="n">
        <v>46075</v>
      </c>
      <c r="D12422" t="inlineStr">
        <is>
          <t>VÄSTERBOTTENS LÄN</t>
        </is>
      </c>
      <c r="E12422" t="inlineStr">
        <is>
          <t>SKELLEFTEÅ</t>
        </is>
      </c>
      <c r="G12422" t="n">
        <v>4.6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37576-2024</t>
        </is>
      </c>
      <c r="B12423" s="1" t="n">
        <v>45541</v>
      </c>
      <c r="C12423" s="1" t="n">
        <v>46075</v>
      </c>
      <c r="D12423" t="inlineStr">
        <is>
          <t>VÄSTERBOTTENS LÄN</t>
        </is>
      </c>
      <c r="E12423" t="inlineStr">
        <is>
          <t>ÅSELE</t>
        </is>
      </c>
      <c r="F12423" t="inlineStr">
        <is>
          <t>Holmen skog AB</t>
        </is>
      </c>
      <c r="G12423" t="n">
        <v>17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27168-2025</t>
        </is>
      </c>
      <c r="B12424" s="1" t="n">
        <v>45812.34475694445</v>
      </c>
      <c r="C12424" s="1" t="n">
        <v>46075</v>
      </c>
      <c r="D12424" t="inlineStr">
        <is>
          <t>VÄSTERBOTTENS LÄN</t>
        </is>
      </c>
      <c r="E12424" t="inlineStr">
        <is>
          <t>ÅSELE</t>
        </is>
      </c>
      <c r="F12424" t="inlineStr">
        <is>
          <t>SCA</t>
        </is>
      </c>
      <c r="G12424" t="n">
        <v>2.6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16409-2025</t>
        </is>
      </c>
      <c r="B12425" s="1" t="n">
        <v>45751.45391203704</v>
      </c>
      <c r="C12425" s="1" t="n">
        <v>46075</v>
      </c>
      <c r="D12425" t="inlineStr">
        <is>
          <t>VÄSTERBOTTENS LÄN</t>
        </is>
      </c>
      <c r="E12425" t="inlineStr">
        <is>
          <t>SKELLEFTEÅ</t>
        </is>
      </c>
      <c r="G12425" t="n">
        <v>1.8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29468-2024</t>
        </is>
      </c>
      <c r="B12426" s="1" t="n">
        <v>45483</v>
      </c>
      <c r="C12426" s="1" t="n">
        <v>46075</v>
      </c>
      <c r="D12426" t="inlineStr">
        <is>
          <t>VÄSTERBOTTENS LÄN</t>
        </is>
      </c>
      <c r="E12426" t="inlineStr">
        <is>
          <t>VINDELN</t>
        </is>
      </c>
      <c r="F12426" t="inlineStr">
        <is>
          <t>SCA</t>
        </is>
      </c>
      <c r="G12426" t="n">
        <v>3.6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13563-2023</t>
        </is>
      </c>
      <c r="B12427" s="1" t="n">
        <v>45006.48116898148</v>
      </c>
      <c r="C12427" s="1" t="n">
        <v>46075</v>
      </c>
      <c r="D12427" t="inlineStr">
        <is>
          <t>VÄSTERBOTTENS LÄN</t>
        </is>
      </c>
      <c r="E12427" t="inlineStr">
        <is>
          <t>LYCKSELE</t>
        </is>
      </c>
      <c r="G12427" t="n">
        <v>2.6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57845-2023</t>
        </is>
      </c>
      <c r="B12428" s="1" t="n">
        <v>45247</v>
      </c>
      <c r="C12428" s="1" t="n">
        <v>46075</v>
      </c>
      <c r="D12428" t="inlineStr">
        <is>
          <t>VÄSTERBOTTENS LÄN</t>
        </is>
      </c>
      <c r="E12428" t="inlineStr">
        <is>
          <t>LYCKSELE</t>
        </is>
      </c>
      <c r="F12428" t="inlineStr">
        <is>
          <t>Sveaskog</t>
        </is>
      </c>
      <c r="G12428" t="n">
        <v>2.9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27875-2025</t>
        </is>
      </c>
      <c r="B12429" s="1" t="n">
        <v>45817.43524305556</v>
      </c>
      <c r="C12429" s="1" t="n">
        <v>46075</v>
      </c>
      <c r="D12429" t="inlineStr">
        <is>
          <t>VÄSTERBOTTENS LÄN</t>
        </is>
      </c>
      <c r="E12429" t="inlineStr">
        <is>
          <t>SKELLEFTEÅ</t>
        </is>
      </c>
      <c r="G12429" t="n">
        <v>2.3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27877-2025</t>
        </is>
      </c>
      <c r="B12430" s="1" t="n">
        <v>45817.44212962963</v>
      </c>
      <c r="C12430" s="1" t="n">
        <v>46075</v>
      </c>
      <c r="D12430" t="inlineStr">
        <is>
          <t>VÄSTERBOTTENS LÄN</t>
        </is>
      </c>
      <c r="E12430" t="inlineStr">
        <is>
          <t>SKELLEFTEÅ</t>
        </is>
      </c>
      <c r="G12430" t="n">
        <v>0.5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27943-2025</t>
        </is>
      </c>
      <c r="B12431" s="1" t="n">
        <v>45817.51078703703</v>
      </c>
      <c r="C12431" s="1" t="n">
        <v>46075</v>
      </c>
      <c r="D12431" t="inlineStr">
        <is>
          <t>VÄSTERBOTTENS LÄN</t>
        </is>
      </c>
      <c r="E12431" t="inlineStr">
        <is>
          <t>VILHELMINA</t>
        </is>
      </c>
      <c r="F12431" t="inlineStr">
        <is>
          <t>SCA</t>
        </is>
      </c>
      <c r="G12431" t="n">
        <v>4.4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28327-2025</t>
        </is>
      </c>
      <c r="B12432" s="1" t="n">
        <v>45817</v>
      </c>
      <c r="C12432" s="1" t="n">
        <v>46075</v>
      </c>
      <c r="D12432" t="inlineStr">
        <is>
          <t>VÄSTERBOTTENS LÄN</t>
        </is>
      </c>
      <c r="E12432" t="inlineStr">
        <is>
          <t>SKELLEFTEÅ</t>
        </is>
      </c>
      <c r="G12432" t="n">
        <v>2.7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5039-2025</t>
        </is>
      </c>
      <c r="B12433" s="1" t="n">
        <v>45691</v>
      </c>
      <c r="C12433" s="1" t="n">
        <v>46075</v>
      </c>
      <c r="D12433" t="inlineStr">
        <is>
          <t>VÄSTERBOTTENS LÄN</t>
        </is>
      </c>
      <c r="E12433" t="inlineStr">
        <is>
          <t>LYCKSELE</t>
        </is>
      </c>
      <c r="G12433" t="n">
        <v>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19219-2025</t>
        </is>
      </c>
      <c r="B12434" s="1" t="n">
        <v>45769.44732638889</v>
      </c>
      <c r="C12434" s="1" t="n">
        <v>46075</v>
      </c>
      <c r="D12434" t="inlineStr">
        <is>
          <t>VÄSTERBOTTENS LÄN</t>
        </is>
      </c>
      <c r="E12434" t="inlineStr">
        <is>
          <t>UMEÅ</t>
        </is>
      </c>
      <c r="G12434" t="n">
        <v>1.4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27736-2025</t>
        </is>
      </c>
      <c r="B12435" s="1" t="n">
        <v>45815.323125</v>
      </c>
      <c r="C12435" s="1" t="n">
        <v>46075</v>
      </c>
      <c r="D12435" t="inlineStr">
        <is>
          <t>VÄSTERBOTTENS LÄN</t>
        </is>
      </c>
      <c r="E12435" t="inlineStr">
        <is>
          <t>LYCKSELE</t>
        </is>
      </c>
      <c r="G12435" t="n">
        <v>6.8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27722-2025</t>
        </is>
      </c>
      <c r="B12436" s="1" t="n">
        <v>45814</v>
      </c>
      <c r="C12436" s="1" t="n">
        <v>46075</v>
      </c>
      <c r="D12436" t="inlineStr">
        <is>
          <t>VÄSTERBOTTENS LÄN</t>
        </is>
      </c>
      <c r="E12436" t="inlineStr">
        <is>
          <t>ÅSELE</t>
        </is>
      </c>
      <c r="G12436" t="n">
        <v>11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27952-2025</t>
        </is>
      </c>
      <c r="B12437" s="1" t="n">
        <v>45817.53157407408</v>
      </c>
      <c r="C12437" s="1" t="n">
        <v>46075</v>
      </c>
      <c r="D12437" t="inlineStr">
        <is>
          <t>VÄSTERBOTTENS LÄN</t>
        </is>
      </c>
      <c r="E12437" t="inlineStr">
        <is>
          <t>VILHELMINA</t>
        </is>
      </c>
      <c r="F12437" t="inlineStr">
        <is>
          <t>SCA</t>
        </is>
      </c>
      <c r="G12437" t="n">
        <v>1.8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28016-2025</t>
        </is>
      </c>
      <c r="B12438" s="1" t="n">
        <v>45817.61506944444</v>
      </c>
      <c r="C12438" s="1" t="n">
        <v>46075</v>
      </c>
      <c r="D12438" t="inlineStr">
        <is>
          <t>VÄSTERBOTTENS LÄN</t>
        </is>
      </c>
      <c r="E12438" t="inlineStr">
        <is>
          <t>VILHELMINA</t>
        </is>
      </c>
      <c r="F12438" t="inlineStr">
        <is>
          <t>SCA</t>
        </is>
      </c>
      <c r="G12438" t="n">
        <v>1.4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35168-2024</t>
        </is>
      </c>
      <c r="B12439" s="1" t="n">
        <v>45530.40608796296</v>
      </c>
      <c r="C12439" s="1" t="n">
        <v>46075</v>
      </c>
      <c r="D12439" t="inlineStr">
        <is>
          <t>VÄSTERBOTTENS LÄN</t>
        </is>
      </c>
      <c r="E12439" t="inlineStr">
        <is>
          <t>SKELLEFTEÅ</t>
        </is>
      </c>
      <c r="G12439" t="n">
        <v>3.9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27799-2025</t>
        </is>
      </c>
      <c r="B12440" s="1" t="n">
        <v>45816.90836805556</v>
      </c>
      <c r="C12440" s="1" t="n">
        <v>46075</v>
      </c>
      <c r="D12440" t="inlineStr">
        <is>
          <t>VÄSTERBOTTENS LÄN</t>
        </is>
      </c>
      <c r="E12440" t="inlineStr">
        <is>
          <t>VINDELN</t>
        </is>
      </c>
      <c r="F12440" t="inlineStr">
        <is>
          <t>Holmen skog AB</t>
        </is>
      </c>
      <c r="G12440" t="n">
        <v>4.1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28002-2025</t>
        </is>
      </c>
      <c r="B12441" s="1" t="n">
        <v>45817.59523148148</v>
      </c>
      <c r="C12441" s="1" t="n">
        <v>46075</v>
      </c>
      <c r="D12441" t="inlineStr">
        <is>
          <t>VÄSTERBOTTENS LÄN</t>
        </is>
      </c>
      <c r="E12441" t="inlineStr">
        <is>
          <t>DOROTEA</t>
        </is>
      </c>
      <c r="F12441" t="inlineStr">
        <is>
          <t>SCA</t>
        </is>
      </c>
      <c r="G12441" t="n">
        <v>1.6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33995-2024</t>
        </is>
      </c>
      <c r="B12442" s="1" t="n">
        <v>45523</v>
      </c>
      <c r="C12442" s="1" t="n">
        <v>46075</v>
      </c>
      <c r="D12442" t="inlineStr">
        <is>
          <t>VÄSTERBOTTENS LÄN</t>
        </is>
      </c>
      <c r="E12442" t="inlineStr">
        <is>
          <t>NORSJÖ</t>
        </is>
      </c>
      <c r="G12442" t="n">
        <v>1.6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28014-2025</t>
        </is>
      </c>
      <c r="B12443" s="1" t="n">
        <v>45817</v>
      </c>
      <c r="C12443" s="1" t="n">
        <v>46075</v>
      </c>
      <c r="D12443" t="inlineStr">
        <is>
          <t>VÄSTERBOTTENS LÄN</t>
        </is>
      </c>
      <c r="E12443" t="inlineStr">
        <is>
          <t>VINDELN</t>
        </is>
      </c>
      <c r="G12443" t="n">
        <v>3.9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27744-2025</t>
        </is>
      </c>
      <c r="B12444" s="1" t="n">
        <v>45815.60288194445</v>
      </c>
      <c r="C12444" s="1" t="n">
        <v>46075</v>
      </c>
      <c r="D12444" t="inlineStr">
        <is>
          <t>VÄSTERBOTTENS LÄN</t>
        </is>
      </c>
      <c r="E12444" t="inlineStr">
        <is>
          <t>SORSELE</t>
        </is>
      </c>
      <c r="G12444" t="n">
        <v>4.5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27945-2025</t>
        </is>
      </c>
      <c r="B12445" s="1" t="n">
        <v>45817</v>
      </c>
      <c r="C12445" s="1" t="n">
        <v>46075</v>
      </c>
      <c r="D12445" t="inlineStr">
        <is>
          <t>VÄSTERBOTTENS LÄN</t>
        </is>
      </c>
      <c r="E12445" t="inlineStr">
        <is>
          <t>VILHELMINA</t>
        </is>
      </c>
      <c r="F12445" t="inlineStr">
        <is>
          <t>SCA</t>
        </is>
      </c>
      <c r="G12445" t="n">
        <v>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28071-2025</t>
        </is>
      </c>
      <c r="B12446" s="1" t="n">
        <v>45817.67755787037</v>
      </c>
      <c r="C12446" s="1" t="n">
        <v>46075</v>
      </c>
      <c r="D12446" t="inlineStr">
        <is>
          <t>VÄSTERBOTTENS LÄN</t>
        </is>
      </c>
      <c r="E12446" t="inlineStr">
        <is>
          <t>VILHELMINA</t>
        </is>
      </c>
      <c r="F12446" t="inlineStr">
        <is>
          <t>SCA</t>
        </is>
      </c>
      <c r="G12446" t="n">
        <v>2.9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28019-2025</t>
        </is>
      </c>
      <c r="B12447" s="1" t="n">
        <v>45817.61545138889</v>
      </c>
      <c r="C12447" s="1" t="n">
        <v>46075</v>
      </c>
      <c r="D12447" t="inlineStr">
        <is>
          <t>VÄSTERBOTTENS LÄN</t>
        </is>
      </c>
      <c r="E12447" t="inlineStr">
        <is>
          <t>VILHELMINA</t>
        </is>
      </c>
      <c r="F12447" t="inlineStr">
        <is>
          <t>SCA</t>
        </is>
      </c>
      <c r="G12447" t="n">
        <v>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28050-2025</t>
        </is>
      </c>
      <c r="B12448" s="1" t="n">
        <v>45817.65658564815</v>
      </c>
      <c r="C12448" s="1" t="n">
        <v>46075</v>
      </c>
      <c r="D12448" t="inlineStr">
        <is>
          <t>VÄSTERBOTTENS LÄN</t>
        </is>
      </c>
      <c r="E12448" t="inlineStr">
        <is>
          <t>VILHELMINA</t>
        </is>
      </c>
      <c r="F12448" t="inlineStr">
        <is>
          <t>SCA</t>
        </is>
      </c>
      <c r="G12448" t="n">
        <v>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28051-2025</t>
        </is>
      </c>
      <c r="B12449" s="1" t="n">
        <v>45817.65678240741</v>
      </c>
      <c r="C12449" s="1" t="n">
        <v>46075</v>
      </c>
      <c r="D12449" t="inlineStr">
        <is>
          <t>VÄSTERBOTTENS LÄN</t>
        </is>
      </c>
      <c r="E12449" t="inlineStr">
        <is>
          <t>VINDELN</t>
        </is>
      </c>
      <c r="F12449" t="inlineStr">
        <is>
          <t>SCA</t>
        </is>
      </c>
      <c r="G12449" t="n">
        <v>2.7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28022-2025</t>
        </is>
      </c>
      <c r="B12450" s="1" t="n">
        <v>45817.61836805556</v>
      </c>
      <c r="C12450" s="1" t="n">
        <v>46075</v>
      </c>
      <c r="D12450" t="inlineStr">
        <is>
          <t>VÄSTERBOTTENS LÄN</t>
        </is>
      </c>
      <c r="E12450" t="inlineStr">
        <is>
          <t>BJURHOLM</t>
        </is>
      </c>
      <c r="F12450" t="inlineStr">
        <is>
          <t>Holmen skog AB</t>
        </is>
      </c>
      <c r="G12450" t="n">
        <v>9.800000000000001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28032-2025</t>
        </is>
      </c>
      <c r="B12451" s="1" t="n">
        <v>45817.63113425926</v>
      </c>
      <c r="C12451" s="1" t="n">
        <v>46075</v>
      </c>
      <c r="D12451" t="inlineStr">
        <is>
          <t>VÄSTERBOTTENS LÄN</t>
        </is>
      </c>
      <c r="E12451" t="inlineStr">
        <is>
          <t>BJURHOLM</t>
        </is>
      </c>
      <c r="F12451" t="inlineStr">
        <is>
          <t>Holmen skog AB</t>
        </is>
      </c>
      <c r="G12451" t="n">
        <v>4.7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27735-2025</t>
        </is>
      </c>
      <c r="B12452" s="1" t="n">
        <v>45815</v>
      </c>
      <c r="C12452" s="1" t="n">
        <v>46075</v>
      </c>
      <c r="D12452" t="inlineStr">
        <is>
          <t>VÄSTERBOTTENS LÄN</t>
        </is>
      </c>
      <c r="E12452" t="inlineStr">
        <is>
          <t>LYCKSELE</t>
        </is>
      </c>
      <c r="G12452" t="n">
        <v>7.9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27843-2025</t>
        </is>
      </c>
      <c r="B12453" s="1" t="n">
        <v>45817.38577546296</v>
      </c>
      <c r="C12453" s="1" t="n">
        <v>46075</v>
      </c>
      <c r="D12453" t="inlineStr">
        <is>
          <t>VÄSTERBOTTENS LÄN</t>
        </is>
      </c>
      <c r="E12453" t="inlineStr">
        <is>
          <t>DOROTEA</t>
        </is>
      </c>
      <c r="F12453" t="inlineStr">
        <is>
          <t>SCA</t>
        </is>
      </c>
      <c r="G12453" t="n">
        <v>3.7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35374-2024</t>
        </is>
      </c>
      <c r="B12454" s="1" t="n">
        <v>45531.37258101852</v>
      </c>
      <c r="C12454" s="1" t="n">
        <v>46075</v>
      </c>
      <c r="D12454" t="inlineStr">
        <is>
          <t>VÄSTERBOTTENS LÄN</t>
        </is>
      </c>
      <c r="E12454" t="inlineStr">
        <is>
          <t>STORUMAN</t>
        </is>
      </c>
      <c r="G12454" t="n">
        <v>4.5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18564-2022</t>
        </is>
      </c>
      <c r="B12455" s="1" t="n">
        <v>44686</v>
      </c>
      <c r="C12455" s="1" t="n">
        <v>46075</v>
      </c>
      <c r="D12455" t="inlineStr">
        <is>
          <t>VÄSTERBOTTENS LÄN</t>
        </is>
      </c>
      <c r="E12455" t="inlineStr">
        <is>
          <t>VILHELMINA</t>
        </is>
      </c>
      <c r="F12455" t="inlineStr">
        <is>
          <t>SCA</t>
        </is>
      </c>
      <c r="G12455" t="n">
        <v>6</v>
      </c>
      <c r="H12455" t="n">
        <v>0</v>
      </c>
      <c r="I12455" t="n">
        <v>0</v>
      </c>
      <c r="J12455" t="n">
        <v>0</v>
      </c>
      <c r="K12455" t="n">
        <v>0</v>
      </c>
      <c r="L12455" t="n">
        <v>0</v>
      </c>
      <c r="M12455" t="n">
        <v>0</v>
      </c>
      <c r="N12455" t="n">
        <v>0</v>
      </c>
      <c r="O12455" t="n">
        <v>0</v>
      </c>
      <c r="P12455" t="n">
        <v>0</v>
      </c>
      <c r="Q12455" t="n">
        <v>0</v>
      </c>
      <c r="R12455" s="2" t="inlineStr"/>
    </row>
    <row r="12456">
      <c r="A12456" t="inlineStr">
        <is>
          <t>A 28066-2025</t>
        </is>
      </c>
      <c r="B12456" s="1" t="n">
        <v>45817</v>
      </c>
      <c r="C12456" s="1" t="n">
        <v>46075</v>
      </c>
      <c r="D12456" t="inlineStr">
        <is>
          <t>VÄSTERBOTTENS LÄN</t>
        </is>
      </c>
      <c r="E12456" t="inlineStr">
        <is>
          <t>ÅSELE</t>
        </is>
      </c>
      <c r="F12456" t="inlineStr">
        <is>
          <t>Sveaskog</t>
        </is>
      </c>
      <c r="G12456" t="n">
        <v>7.1</v>
      </c>
      <c r="H12456" t="n">
        <v>0</v>
      </c>
      <c r="I12456" t="n">
        <v>0</v>
      </c>
      <c r="J12456" t="n">
        <v>0</v>
      </c>
      <c r="K12456" t="n">
        <v>0</v>
      </c>
      <c r="L12456" t="n">
        <v>0</v>
      </c>
      <c r="M12456" t="n">
        <v>0</v>
      </c>
      <c r="N12456" t="n">
        <v>0</v>
      </c>
      <c r="O12456" t="n">
        <v>0</v>
      </c>
      <c r="P12456" t="n">
        <v>0</v>
      </c>
      <c r="Q12456" t="n">
        <v>0</v>
      </c>
      <c r="R124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2026-02-22T11:02:36Z</dcterms:created>
  <dcterms:modified xmlns:dcterms="http://purl.org/dc/terms/" xmlns:xsi="http://www.w3.org/2001/XMLSchema-instance" xsi:type="dcterms:W3CDTF">2026-02-22T11:02:48Z</dcterms:modified>
</cp:coreProperties>
</file>